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hit\Documents\Excel_AllDose\Adv_V3.0\"/>
    </mc:Choice>
  </mc:AlternateContent>
  <xr:revisionPtr revIDLastSave="0" documentId="13_ncr:1_{2E69FB9D-BD88-4566-9D71-910C978CED5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ster" sheetId="1" r:id="rId1"/>
    <sheet name="Place_data_here" sheetId="10" r:id="rId2"/>
    <sheet name="About" sheetId="195" r:id="rId3"/>
    <sheet name="ICRU95_EyeLens_Dose" sheetId="190" state="hidden" r:id="rId4"/>
    <sheet name="ICRU95_SkinDose_PillarPhantom" sheetId="192" state="hidden" r:id="rId5"/>
    <sheet name="ICRU95_SkinDose_RodPhantom" sheetId="194" state="hidden" r:id="rId6"/>
    <sheet name="ICRU95_SkinDose_SlabPhantom" sheetId="191" state="hidden" r:id="rId7"/>
    <sheet name="ICRU95_PersonalDose_SlabPhantom" sheetId="189" state="hidden" r:id="rId8"/>
    <sheet name="H'(0.07)" sheetId="186" state="hidden" r:id="rId9"/>
    <sheet name="H'(3)" sheetId="187" state="hidden" r:id="rId10"/>
    <sheet name="H'(10)" sheetId="188" state="hidden" r:id="rId11"/>
    <sheet name="L_10_250cm" sheetId="126" state="hidden" r:id="rId12"/>
    <sheet name="L_20_250cm" sheetId="127" state="hidden" r:id="rId13"/>
    <sheet name="L_30_250cm" sheetId="128" state="hidden" r:id="rId14"/>
    <sheet name="L_35_250cm" sheetId="129" state="hidden" r:id="rId15"/>
    <sheet name="L_55_250cm" sheetId="130" state="hidden" r:id="rId16"/>
    <sheet name="L_70_250cm" sheetId="131" state="hidden" r:id="rId17"/>
    <sheet name="L_100_250cm" sheetId="132" state="hidden" r:id="rId18"/>
    <sheet name="L_125_250cm" sheetId="133" state="hidden" r:id="rId19"/>
    <sheet name="L_170_250cm" sheetId="134" state="hidden" r:id="rId20"/>
    <sheet name="L_210_250cm" sheetId="135" state="hidden" r:id="rId21"/>
    <sheet name="L_240_250cm" sheetId="136" state="hidden" r:id="rId22"/>
    <sheet name="H_20_250cm" sheetId="115" state="hidden" r:id="rId23"/>
    <sheet name="H_30_250cm" sheetId="116" state="hidden" r:id="rId24"/>
    <sheet name="H_40_250cm" sheetId="117" state="hidden" r:id="rId25"/>
    <sheet name="H_60_250cm" sheetId="118" state="hidden" r:id="rId26"/>
    <sheet name="H_80_250cm" sheetId="119" state="hidden" r:id="rId27"/>
    <sheet name="H_100_250cm" sheetId="120" state="hidden" r:id="rId28"/>
    <sheet name="H_150_250cm" sheetId="121" state="hidden" r:id="rId29"/>
    <sheet name="H_200_250cm" sheetId="122" state="hidden" r:id="rId30"/>
    <sheet name="H_250_250cm" sheetId="123" state="hidden" r:id="rId31"/>
    <sheet name="H_300_250cm" sheetId="124" state="hidden" r:id="rId32"/>
    <sheet name="H_280_250cm" sheetId="125" state="hidden" r:id="rId33"/>
    <sheet name="H_20_100cm" sheetId="30" state="hidden" r:id="rId34"/>
    <sheet name="H_30_100cm" sheetId="31" state="hidden" r:id="rId35"/>
    <sheet name="H_40_100cm" sheetId="32" state="hidden" r:id="rId36"/>
    <sheet name="H_60_100cm" sheetId="33" state="hidden" r:id="rId37"/>
    <sheet name="H_80_100cm" sheetId="34" state="hidden" r:id="rId38"/>
    <sheet name="H_100_100cm" sheetId="35" state="hidden" r:id="rId39"/>
    <sheet name="H_150_100cm" sheetId="36" state="hidden" r:id="rId40"/>
    <sheet name="H_200_100cm" sheetId="37" state="hidden" r:id="rId41"/>
    <sheet name="H_250_100cm" sheetId="38" state="hidden" r:id="rId42"/>
    <sheet name="H_280_100cm" sheetId="40" state="hidden" r:id="rId43"/>
    <sheet name="H_300_100cm" sheetId="39" state="hidden" r:id="rId44"/>
    <sheet name="Calculations" sheetId="6" state="hidden" r:id="rId45"/>
    <sheet name="N_10_100cm" sheetId="16" state="hidden" r:id="rId46"/>
    <sheet name="N_15_100cm" sheetId="15" state="hidden" r:id="rId47"/>
    <sheet name="Hp(0.07)_Slab_Phantom" sheetId="14" state="hidden" r:id="rId48"/>
    <sheet name="Hp(10)_Slab_Phantom" sheetId="82" state="hidden" r:id="rId49"/>
    <sheet name="Hp(0.07)_Pillar_Phantom" sheetId="13" state="hidden" r:id="rId50"/>
    <sheet name="Hp(0.07)_Rod_Phantom" sheetId="12" state="hidden" r:id="rId51"/>
    <sheet name="Hp(3)_Cylinder_Phantom" sheetId="9" state="hidden" r:id="rId52"/>
    <sheet name="Own_Spectrum_250cm" sheetId="43" state="hidden" r:id="rId53"/>
    <sheet name="Own_Spectrum_100cm" sheetId="11" state="hidden" r:id="rId54"/>
    <sheet name="N_20_100cm" sheetId="17" state="hidden" r:id="rId55"/>
    <sheet name="N_25_100cm" sheetId="18" state="hidden" r:id="rId56"/>
    <sheet name="N_30_100cm" sheetId="19" state="hidden" r:id="rId57"/>
    <sheet name="N_40_100cm" sheetId="20" state="hidden" r:id="rId58"/>
    <sheet name="N_60_100cm" sheetId="21" state="hidden" r:id="rId59"/>
    <sheet name="N_80_100cm" sheetId="22" state="hidden" r:id="rId60"/>
    <sheet name="N_100_100cm" sheetId="24" state="hidden" r:id="rId61"/>
    <sheet name="N_120_100cm" sheetId="26" state="hidden" r:id="rId62"/>
    <sheet name="N_150_100cm" sheetId="25" state="hidden" r:id="rId63"/>
    <sheet name="N_200_100cm" sheetId="27" state="hidden" r:id="rId64"/>
    <sheet name="N_250_100cm" sheetId="28" state="hidden" r:id="rId65"/>
    <sheet name="N_300_100cm" sheetId="29" state="hidden" r:id="rId66"/>
    <sheet name="list" sheetId="42" state="hidden" r:id="rId67"/>
    <sheet name="_15kVp_250cm" sheetId="161" state="hidden" r:id="rId68"/>
    <sheet name="_20kVp_250cm" sheetId="162" state="hidden" r:id="rId69"/>
    <sheet name="_25kVp_250cm" sheetId="163" state="hidden" r:id="rId70"/>
    <sheet name="_30kVp_250cm" sheetId="164" state="hidden" r:id="rId71"/>
    <sheet name="_35kVp_250cm" sheetId="165" state="hidden" r:id="rId72"/>
    <sheet name="_40kVp_250cm" sheetId="166" state="hidden" r:id="rId73"/>
    <sheet name="_50kVp_250cm" sheetId="167" state="hidden" r:id="rId74"/>
    <sheet name="_55kVp_250cm" sheetId="168" state="hidden" r:id="rId75"/>
    <sheet name="_60kVp_250cm" sheetId="169" state="hidden" r:id="rId76"/>
    <sheet name="_70kVp_250cm" sheetId="170" state="hidden" r:id="rId77"/>
    <sheet name="_80kVp_250cm" sheetId="171" state="hidden" r:id="rId78"/>
    <sheet name="_90kVp_250cm" sheetId="172" state="hidden" r:id="rId79"/>
    <sheet name="_100kVp_250cm" sheetId="173" state="hidden" r:id="rId80"/>
    <sheet name="_110kVp_250cm" sheetId="174" state="hidden" r:id="rId81"/>
    <sheet name="_120kVp_250cm" sheetId="175" state="hidden" r:id="rId82"/>
    <sheet name="_125kVp_250cm" sheetId="176" state="hidden" r:id="rId83"/>
    <sheet name="_140kVp_250cm" sheetId="177" state="hidden" r:id="rId84"/>
    <sheet name="_150kVp_250cm" sheetId="178" state="hidden" r:id="rId85"/>
    <sheet name="_170kVp_250cm" sheetId="179" state="hidden" r:id="rId86"/>
    <sheet name="_200kVp_250cm" sheetId="180" state="hidden" r:id="rId87"/>
    <sheet name="_240kVp_250cm" sheetId="181" state="hidden" r:id="rId88"/>
    <sheet name="_250kVp_250cm" sheetId="182" state="hidden" r:id="rId89"/>
    <sheet name="_280kVp_250cm" sheetId="183" state="hidden" r:id="rId90"/>
    <sheet name="_300kVp_250cm" sheetId="184" state="hidden" r:id="rId91"/>
    <sheet name="W_300_250cm" sheetId="159" state="hidden" r:id="rId92"/>
    <sheet name="W_30_250cm" sheetId="151" state="hidden" r:id="rId93"/>
    <sheet name="W_40_250cm" sheetId="152" state="hidden" r:id="rId94"/>
    <sheet name="W_60_250cm" sheetId="153" state="hidden" r:id="rId95"/>
    <sheet name="W_80_250cm" sheetId="154" state="hidden" r:id="rId96"/>
    <sheet name="W_110_250cm" sheetId="155" state="hidden" r:id="rId97"/>
    <sheet name="W_150_250cm" sheetId="156" state="hidden" r:id="rId98"/>
    <sheet name="W_200_250cm" sheetId="157" state="hidden" r:id="rId99"/>
    <sheet name="W_250_250cm" sheetId="158" state="hidden" r:id="rId100"/>
    <sheet name="N_80_250cm" sheetId="143" state="hidden" r:id="rId101"/>
    <sheet name="N_100_250cm" sheetId="144" state="hidden" r:id="rId102"/>
    <sheet name="N_120_250cm" sheetId="145" state="hidden" r:id="rId103"/>
    <sheet name="N_150_250cm" sheetId="146" state="hidden" r:id="rId104"/>
    <sheet name="N_200_250cm" sheetId="147" state="hidden" r:id="rId105"/>
    <sheet name="N_250_250cm" sheetId="148" state="hidden" r:id="rId106"/>
    <sheet name="N_300_250cm" sheetId="149" state="hidden" r:id="rId107"/>
    <sheet name="N_10_250cm" sheetId="137" state="hidden" r:id="rId108"/>
    <sheet name="N_15_250cm" sheetId="138" state="hidden" r:id="rId109"/>
    <sheet name="N_20_250cm" sheetId="139" state="hidden" r:id="rId110"/>
    <sheet name="N_30_250cm" sheetId="140" state="hidden" r:id="rId111"/>
    <sheet name="N_25_250cm" sheetId="150" state="hidden" r:id="rId112"/>
    <sheet name="N_40_250cm" sheetId="141" state="hidden" r:id="rId113"/>
    <sheet name="N_60_250cm" sheetId="142" state="hidden" r:id="rId114"/>
    <sheet name="_15kVp_100cm" sheetId="67" state="hidden" r:id="rId115"/>
    <sheet name="_20kVp_100cm" sheetId="68" state="hidden" r:id="rId116"/>
    <sheet name="_25kVp_100cm" sheetId="69" state="hidden" r:id="rId117"/>
    <sheet name="_30kVp_100cm" sheetId="70" state="hidden" r:id="rId118"/>
    <sheet name="_35kVp_100cm" sheetId="71" state="hidden" r:id="rId119"/>
    <sheet name="_40kVp_100cm" sheetId="72" state="hidden" r:id="rId120"/>
    <sheet name="_50kVp_100cm" sheetId="73" state="hidden" r:id="rId121"/>
    <sheet name="_55kVp_100cm" sheetId="74" state="hidden" r:id="rId122"/>
    <sheet name="_60kVp_100cm" sheetId="75" state="hidden" r:id="rId123"/>
    <sheet name="_70kVp_100cm" sheetId="76" state="hidden" r:id="rId124"/>
    <sheet name="_80kVp_100cm" sheetId="77" state="hidden" r:id="rId125"/>
    <sheet name="_90kVp_100cm" sheetId="78" state="hidden" r:id="rId126"/>
    <sheet name="_100kVp_100cm" sheetId="79" state="hidden" r:id="rId127"/>
    <sheet name="_110kVp_100cm" sheetId="80" state="hidden" r:id="rId128"/>
    <sheet name="_120kVp_100cm" sheetId="81" state="hidden" r:id="rId129"/>
    <sheet name="RQR2_100cm" sheetId="92" state="hidden" r:id="rId130"/>
    <sheet name="RQR3_100cm" sheetId="93" state="hidden" r:id="rId131"/>
    <sheet name="RQR4_100cm" sheetId="94" state="hidden" r:id="rId132"/>
    <sheet name="RQR5_100cm" sheetId="95" state="hidden" r:id="rId133"/>
    <sheet name="RQR6_100cm" sheetId="96" state="hidden" r:id="rId134"/>
    <sheet name="RQR7_100cm" sheetId="97" state="hidden" r:id="rId135"/>
    <sheet name="RQR8_100cm" sheetId="98" state="hidden" r:id="rId136"/>
    <sheet name="RQR9_100cm" sheetId="99" state="hidden" r:id="rId137"/>
    <sheet name="RQR10_100cm" sheetId="100" state="hidden" r:id="rId138"/>
    <sheet name="RQT_100cm" sheetId="101" state="hidden" r:id="rId139"/>
    <sheet name="SH50_100cm" sheetId="102" state="hidden" r:id="rId140"/>
    <sheet name="SH70_100cm" sheetId="103" state="hidden" r:id="rId141"/>
    <sheet name="TH70_100cm" sheetId="104" state="hidden" r:id="rId142"/>
    <sheet name="TH100_100cm" sheetId="105" state="hidden" r:id="rId143"/>
    <sheet name="TH120_100cm" sheetId="106" state="hidden" r:id="rId144"/>
    <sheet name="TH140_100cm" sheetId="107" state="hidden" r:id="rId145"/>
    <sheet name="TW10_300cm" sheetId="108" state="hidden" r:id="rId146"/>
    <sheet name="TW15_300cm" sheetId="109" state="hidden" r:id="rId147"/>
    <sheet name="TW20_300cm" sheetId="110" state="hidden" r:id="rId148"/>
    <sheet name="TW30_300cm" sheetId="111" state="hidden" r:id="rId149"/>
    <sheet name="TW40_300cm" sheetId="112" state="hidden" r:id="rId150"/>
    <sheet name="TW50_300cm" sheetId="113" state="hidden" r:id="rId151"/>
    <sheet name="TW75_300cm" sheetId="114" state="hidden" r:id="rId152"/>
    <sheet name="RQA2_100cm" sheetId="83" state="hidden" r:id="rId153"/>
    <sheet name="RQA3_100cm" sheetId="84" state="hidden" r:id="rId154"/>
    <sheet name="RQA4_100cm" sheetId="85" state="hidden" r:id="rId155"/>
    <sheet name="RQA5_100cm" sheetId="86" state="hidden" r:id="rId156"/>
    <sheet name="RQA6_100cm" sheetId="87" state="hidden" r:id="rId157"/>
    <sheet name="RQA7_100cm" sheetId="88" state="hidden" r:id="rId158"/>
    <sheet name="RQA8_100cm" sheetId="89" state="hidden" r:id="rId159"/>
    <sheet name="RQA9_100cm" sheetId="90" state="hidden" r:id="rId160"/>
    <sheet name="RQA10_100cm" sheetId="91" state="hidden" r:id="rId161"/>
    <sheet name="W_30_100cm" sheetId="57" state="hidden" r:id="rId162"/>
    <sheet name="W_40_100cm" sheetId="58" state="hidden" r:id="rId163"/>
    <sheet name="W_60_100cm" sheetId="59" state="hidden" r:id="rId164"/>
    <sheet name="W_80_100cm" sheetId="60" state="hidden" r:id="rId165"/>
    <sheet name="W_110_100cm" sheetId="61" state="hidden" r:id="rId166"/>
    <sheet name="W_150_100cm" sheetId="62" state="hidden" r:id="rId167"/>
    <sheet name="W_200_100cm" sheetId="63" state="hidden" r:id="rId168"/>
    <sheet name="W_250_100cm" sheetId="64" state="hidden" r:id="rId169"/>
    <sheet name="W_300_100cm" sheetId="65" state="hidden" r:id="rId170"/>
    <sheet name="L_10_100cm" sheetId="46" state="hidden" r:id="rId171"/>
    <sheet name="L_20_100cm" sheetId="47" state="hidden" r:id="rId172"/>
    <sheet name="L_30_100cm" sheetId="48" state="hidden" r:id="rId173"/>
    <sheet name="L_35_100cm" sheetId="49" state="hidden" r:id="rId174"/>
    <sheet name="L_55_100cm" sheetId="50" state="hidden" r:id="rId175"/>
    <sheet name="L_70_100cm" sheetId="51" state="hidden" r:id="rId176"/>
    <sheet name="L_100_100cm" sheetId="52" state="hidden" r:id="rId177"/>
    <sheet name="L_125_100cm" sheetId="53" state="hidden" r:id="rId178"/>
    <sheet name="L_170_100cm" sheetId="54" state="hidden" r:id="rId179"/>
    <sheet name="L_210_100cm" sheetId="55" state="hidden" r:id="rId180"/>
    <sheet name="L_240_100cm" sheetId="56" state="hidden" r:id="rId181"/>
  </sheets>
  <functionGroups builtInGroupCount="19"/>
  <definedNames>
    <definedName name="_100cm">list!$B$4:$B$13</definedName>
    <definedName name="_250cm">list!$C$4:$C$11</definedName>
    <definedName name="_300cm">list!$N$4:$N$5</definedName>
    <definedName name="_xlnm._FilterDatabase" localSheetId="53" hidden="1">Own_Spectrum_100cm!$H$7:$H$39</definedName>
    <definedName name="_xlnm._FilterDatabase" localSheetId="52" hidden="1">Own_Spectrum_250cm!$H$7:$H$39</definedName>
    <definedName name="Area_Dosimetry">list!$O$4:$O$8</definedName>
    <definedName name="Diagonostic_Beams">list!$H$4:$H$24</definedName>
    <definedName name="Distance">list!$A$4:$A$8</definedName>
    <definedName name="Dosimetry">list!$P$4:$P$7</definedName>
    <definedName name="High_Kerma_Series">list!$E$4:$E$16</definedName>
    <definedName name="Low_Kerma_Series">list!$F$4:$F$16</definedName>
    <definedName name="Narrow_Series">list!$D$4:$D$19</definedName>
    <definedName name="Own_Spectrum">list!$J$4:$J$5</definedName>
    <definedName name="Personal_Dosimetry">list!$L$4:$L$14</definedName>
    <definedName name="Therapy__Beams">list!$M$4:$M$12</definedName>
    <definedName name="Therapy_Beams">list!$I$4:$I$12</definedName>
    <definedName name="Unfiltered_Series">list!$K$4:$K$20</definedName>
    <definedName name="Wide_Spectrum_Series">list!$G$4:$G$14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" l="1"/>
  <c r="D3" i="43" l="1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0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155" i="43"/>
  <c r="D156" i="43"/>
  <c r="D157" i="43"/>
  <c r="D158" i="43"/>
  <c r="D159" i="43"/>
  <c r="D160" i="43"/>
  <c r="D161" i="43"/>
  <c r="D162" i="43"/>
  <c r="D163" i="43"/>
  <c r="D164" i="43"/>
  <c r="D165" i="43"/>
  <c r="D166" i="43"/>
  <c r="D167" i="43"/>
  <c r="D168" i="43"/>
  <c r="D169" i="43"/>
  <c r="D170" i="43"/>
  <c r="D171" i="43"/>
  <c r="D172" i="43"/>
  <c r="D173" i="43"/>
  <c r="D174" i="43"/>
  <c r="D175" i="43"/>
  <c r="D176" i="43"/>
  <c r="D177" i="43"/>
  <c r="D178" i="43"/>
  <c r="D179" i="43"/>
  <c r="D180" i="43"/>
  <c r="D181" i="43"/>
  <c r="D182" i="43"/>
  <c r="D183" i="43"/>
  <c r="D184" i="43"/>
  <c r="D185" i="43"/>
  <c r="D186" i="43"/>
  <c r="D187" i="43"/>
  <c r="D188" i="43"/>
  <c r="D189" i="43"/>
  <c r="D190" i="43"/>
  <c r="D191" i="43"/>
  <c r="D192" i="43"/>
  <c r="D193" i="43"/>
  <c r="D194" i="43"/>
  <c r="D195" i="43"/>
  <c r="D196" i="43"/>
  <c r="D197" i="43"/>
  <c r="D198" i="43"/>
  <c r="D199" i="43"/>
  <c r="D200" i="43"/>
  <c r="D201" i="43"/>
  <c r="D202" i="43"/>
  <c r="D203" i="43"/>
  <c r="D204" i="43"/>
  <c r="D205" i="43"/>
  <c r="D206" i="43"/>
  <c r="D207" i="43"/>
  <c r="D208" i="43"/>
  <c r="D209" i="43"/>
  <c r="D210" i="43"/>
  <c r="D211" i="43"/>
  <c r="D212" i="43"/>
  <c r="D213" i="43"/>
  <c r="D214" i="43"/>
  <c r="D215" i="43"/>
  <c r="D216" i="43"/>
  <c r="D217" i="43"/>
  <c r="D218" i="43"/>
  <c r="D219" i="43"/>
  <c r="D220" i="43"/>
  <c r="D221" i="43"/>
  <c r="D222" i="43"/>
  <c r="D223" i="43"/>
  <c r="D224" i="43"/>
  <c r="D225" i="43"/>
  <c r="D226" i="43"/>
  <c r="D227" i="43"/>
  <c r="D228" i="43"/>
  <c r="D229" i="43"/>
  <c r="D230" i="43"/>
  <c r="D231" i="43"/>
  <c r="D232" i="43"/>
  <c r="D233" i="43"/>
  <c r="D234" i="43"/>
  <c r="D235" i="43"/>
  <c r="D236" i="43"/>
  <c r="D237" i="43"/>
  <c r="D238" i="43"/>
  <c r="D239" i="43"/>
  <c r="D240" i="43"/>
  <c r="D241" i="43"/>
  <c r="D242" i="43"/>
  <c r="D243" i="43"/>
  <c r="D244" i="43"/>
  <c r="D245" i="43"/>
  <c r="D246" i="43"/>
  <c r="D247" i="43"/>
  <c r="D248" i="43"/>
  <c r="D249" i="43"/>
  <c r="D250" i="43"/>
  <c r="D251" i="43"/>
  <c r="D252" i="43"/>
  <c r="D253" i="43"/>
  <c r="D254" i="43"/>
  <c r="D255" i="43"/>
  <c r="D256" i="43"/>
  <c r="D257" i="43"/>
  <c r="D258" i="43"/>
  <c r="D259" i="43"/>
  <c r="D260" i="43"/>
  <c r="D261" i="43"/>
  <c r="D262" i="43"/>
  <c r="D263" i="43"/>
  <c r="D264" i="43"/>
  <c r="D265" i="43"/>
  <c r="D266" i="43"/>
  <c r="D267" i="43"/>
  <c r="D268" i="43"/>
  <c r="D269" i="43"/>
  <c r="D270" i="43"/>
  <c r="D271" i="43"/>
  <c r="D272" i="43"/>
  <c r="D273" i="43"/>
  <c r="D274" i="43"/>
  <c r="D275" i="43"/>
  <c r="D276" i="43"/>
  <c r="D277" i="43"/>
  <c r="D278" i="43"/>
  <c r="D279" i="43"/>
  <c r="D280" i="43"/>
  <c r="D281" i="43"/>
  <c r="D282" i="43"/>
  <c r="D283" i="43"/>
  <c r="D284" i="43"/>
  <c r="D285" i="43"/>
  <c r="D286" i="43"/>
  <c r="D287" i="43"/>
  <c r="D288" i="43"/>
  <c r="D289" i="43"/>
  <c r="D290" i="43"/>
  <c r="D291" i="43"/>
  <c r="D292" i="43"/>
  <c r="D293" i="43"/>
  <c r="D294" i="43"/>
  <c r="D295" i="43"/>
  <c r="D296" i="43"/>
  <c r="D297" i="43"/>
  <c r="D298" i="43"/>
  <c r="D299" i="43"/>
  <c r="D300" i="43"/>
  <c r="D301" i="43"/>
  <c r="D302" i="43"/>
  <c r="D303" i="43"/>
  <c r="D304" i="43"/>
  <c r="D305" i="43"/>
  <c r="D306" i="43"/>
  <c r="D307" i="43"/>
  <c r="D308" i="43"/>
  <c r="D309" i="43"/>
  <c r="D310" i="43"/>
  <c r="D311" i="43"/>
  <c r="D312" i="43"/>
  <c r="D313" i="43"/>
  <c r="D314" i="43"/>
  <c r="D315" i="43"/>
  <c r="D316" i="43"/>
  <c r="D317" i="43"/>
  <c r="D318" i="43"/>
  <c r="D319" i="43"/>
  <c r="D320" i="43"/>
  <c r="D321" i="43"/>
  <c r="D322" i="43"/>
  <c r="D323" i="43"/>
  <c r="D324" i="43"/>
  <c r="D325" i="43"/>
  <c r="D326" i="43"/>
  <c r="D327" i="43"/>
  <c r="D328" i="43"/>
  <c r="D329" i="43"/>
  <c r="D330" i="43"/>
  <c r="D331" i="43"/>
  <c r="D332" i="43"/>
  <c r="D333" i="43"/>
  <c r="D334" i="43"/>
  <c r="D335" i="43"/>
  <c r="D336" i="43"/>
  <c r="D337" i="43"/>
  <c r="D338" i="43"/>
  <c r="D339" i="43"/>
  <c r="D340" i="43"/>
  <c r="D341" i="43"/>
  <c r="D342" i="43"/>
  <c r="D343" i="43"/>
  <c r="D344" i="43"/>
  <c r="D345" i="43"/>
  <c r="D346" i="43"/>
  <c r="D347" i="43"/>
  <c r="D348" i="43"/>
  <c r="D349" i="43"/>
  <c r="D350" i="43"/>
  <c r="D351" i="43"/>
  <c r="D352" i="43"/>
  <c r="D353" i="43"/>
  <c r="D354" i="43"/>
  <c r="D355" i="43"/>
  <c r="D356" i="43"/>
  <c r="D357" i="43"/>
  <c r="D358" i="43"/>
  <c r="D359" i="43"/>
  <c r="D360" i="43"/>
  <c r="D361" i="43"/>
  <c r="D362" i="43"/>
  <c r="D363" i="43"/>
  <c r="D364" i="43"/>
  <c r="D365" i="43"/>
  <c r="D366" i="43"/>
  <c r="D367" i="43"/>
  <c r="D368" i="43"/>
  <c r="D369" i="43"/>
  <c r="D370" i="43"/>
  <c r="D371" i="43"/>
  <c r="D372" i="43"/>
  <c r="D373" i="43"/>
  <c r="D374" i="43"/>
  <c r="D375" i="43"/>
  <c r="D376" i="43"/>
  <c r="D377" i="43"/>
  <c r="D378" i="43"/>
  <c r="D379" i="43"/>
  <c r="D380" i="43"/>
  <c r="D381" i="43"/>
  <c r="D382" i="43"/>
  <c r="D383" i="43"/>
  <c r="D384" i="43"/>
  <c r="D385" i="43"/>
  <c r="D386" i="43"/>
  <c r="D387" i="43"/>
  <c r="D388" i="43"/>
  <c r="D389" i="43"/>
  <c r="D390" i="43"/>
  <c r="D391" i="43"/>
  <c r="D392" i="43"/>
  <c r="D393" i="43"/>
  <c r="D394" i="43"/>
  <c r="D395" i="43"/>
  <c r="D396" i="43"/>
  <c r="D397" i="43"/>
  <c r="D398" i="43"/>
  <c r="D399" i="43"/>
  <c r="D400" i="43"/>
  <c r="D401" i="43"/>
  <c r="D402" i="43"/>
  <c r="D403" i="43"/>
  <c r="D404" i="43"/>
  <c r="D405" i="43"/>
  <c r="D406" i="43"/>
  <c r="D407" i="43"/>
  <c r="D408" i="43"/>
  <c r="D409" i="43"/>
  <c r="D410" i="43"/>
  <c r="D411" i="43"/>
  <c r="D412" i="43"/>
  <c r="D413" i="43"/>
  <c r="D414" i="43"/>
  <c r="D415" i="43"/>
  <c r="D416" i="43"/>
  <c r="D417" i="43"/>
  <c r="D418" i="43"/>
  <c r="D419" i="43"/>
  <c r="D420" i="43"/>
  <c r="D421" i="43"/>
  <c r="D422" i="43"/>
  <c r="D423" i="43"/>
  <c r="D424" i="43"/>
  <c r="D425" i="43"/>
  <c r="D426" i="43"/>
  <c r="D427" i="43"/>
  <c r="D428" i="43"/>
  <c r="D429" i="43"/>
  <c r="D430" i="43"/>
  <c r="D431" i="43"/>
  <c r="D432" i="43"/>
  <c r="D433" i="43"/>
  <c r="D434" i="43"/>
  <c r="D435" i="43"/>
  <c r="D436" i="43"/>
  <c r="D437" i="43"/>
  <c r="D438" i="43"/>
  <c r="D439" i="43"/>
  <c r="D440" i="43"/>
  <c r="D441" i="43"/>
  <c r="D442" i="43"/>
  <c r="D443" i="43"/>
  <c r="D444" i="43"/>
  <c r="D445" i="43"/>
  <c r="D446" i="43"/>
  <c r="D447" i="43"/>
  <c r="D448" i="43"/>
  <c r="D449" i="43"/>
  <c r="D450" i="43"/>
  <c r="D451" i="43"/>
  <c r="D452" i="43"/>
  <c r="D453" i="43"/>
  <c r="D454" i="43"/>
  <c r="D455" i="43"/>
  <c r="D456" i="43"/>
  <c r="D457" i="43"/>
  <c r="D458" i="43"/>
  <c r="D459" i="43"/>
  <c r="D460" i="43"/>
  <c r="D461" i="43"/>
  <c r="D462" i="43"/>
  <c r="D463" i="43"/>
  <c r="D464" i="43"/>
  <c r="D465" i="43"/>
  <c r="D466" i="43"/>
  <c r="D467" i="43"/>
  <c r="D468" i="43"/>
  <c r="D469" i="43"/>
  <c r="D470" i="43"/>
  <c r="D471" i="43"/>
  <c r="D472" i="43"/>
  <c r="D473" i="43"/>
  <c r="D474" i="43"/>
  <c r="D475" i="43"/>
  <c r="D476" i="43"/>
  <c r="D477" i="43"/>
  <c r="D478" i="43"/>
  <c r="D479" i="43"/>
  <c r="D480" i="43"/>
  <c r="D481" i="43"/>
  <c r="D482" i="43"/>
  <c r="D483" i="43"/>
  <c r="D484" i="43"/>
  <c r="D485" i="43"/>
  <c r="D486" i="43"/>
  <c r="D487" i="43"/>
  <c r="D488" i="43"/>
  <c r="D489" i="43"/>
  <c r="D490" i="43"/>
  <c r="D491" i="43"/>
  <c r="D492" i="43"/>
  <c r="D493" i="43"/>
  <c r="D494" i="43"/>
  <c r="D495" i="43"/>
  <c r="D496" i="43"/>
  <c r="D497" i="43"/>
  <c r="D498" i="43"/>
  <c r="D499" i="43"/>
  <c r="D500" i="43"/>
  <c r="D501" i="43"/>
  <c r="D502" i="43"/>
  <c r="D503" i="43"/>
  <c r="D504" i="43"/>
  <c r="D505" i="43"/>
  <c r="D506" i="43"/>
  <c r="D507" i="43"/>
  <c r="D508" i="43"/>
  <c r="D509" i="43"/>
  <c r="D510" i="43"/>
  <c r="D511" i="43"/>
  <c r="D512" i="43"/>
  <c r="D513" i="43"/>
  <c r="D514" i="43"/>
  <c r="D515" i="43"/>
  <c r="D516" i="43"/>
  <c r="D517" i="43"/>
  <c r="D518" i="43"/>
  <c r="D519" i="43"/>
  <c r="D520" i="43"/>
  <c r="D521" i="43"/>
  <c r="D522" i="43"/>
  <c r="D523" i="43"/>
  <c r="D524" i="43"/>
  <c r="D525" i="43"/>
  <c r="D526" i="43"/>
  <c r="D527" i="43"/>
  <c r="D528" i="43"/>
  <c r="D529" i="43"/>
  <c r="D530" i="43"/>
  <c r="D531" i="43"/>
  <c r="D532" i="43"/>
  <c r="D533" i="43"/>
  <c r="D534" i="43"/>
  <c r="D535" i="43"/>
  <c r="D536" i="43"/>
  <c r="D537" i="43"/>
  <c r="D538" i="43"/>
  <c r="D539" i="43"/>
  <c r="D540" i="43"/>
  <c r="D541" i="43"/>
  <c r="D542" i="43"/>
  <c r="D543" i="43"/>
  <c r="D544" i="43"/>
  <c r="D545" i="43"/>
  <c r="D546" i="43"/>
  <c r="D547" i="43"/>
  <c r="D548" i="43"/>
  <c r="D549" i="43"/>
  <c r="D550" i="43"/>
  <c r="D551" i="43"/>
  <c r="D552" i="43"/>
  <c r="D553" i="43"/>
  <c r="D554" i="43"/>
  <c r="D555" i="43"/>
  <c r="D556" i="43"/>
  <c r="D557" i="43"/>
  <c r="D558" i="43"/>
  <c r="D559" i="43"/>
  <c r="D560" i="43"/>
  <c r="D561" i="43"/>
  <c r="D562" i="43"/>
  <c r="D563" i="43"/>
  <c r="D564" i="43"/>
  <c r="D565" i="43"/>
  <c r="D566" i="43"/>
  <c r="D567" i="43"/>
  <c r="D568" i="43"/>
  <c r="D569" i="43"/>
  <c r="D570" i="43"/>
  <c r="D571" i="43"/>
  <c r="D572" i="43"/>
  <c r="D573" i="43"/>
  <c r="D574" i="43"/>
  <c r="D575" i="43"/>
  <c r="D576" i="43"/>
  <c r="D577" i="43"/>
  <c r="D578" i="43"/>
  <c r="D579" i="43"/>
  <c r="D580" i="43"/>
  <c r="D581" i="43"/>
  <c r="D582" i="43"/>
  <c r="D583" i="43"/>
  <c r="D584" i="43"/>
  <c r="D585" i="43"/>
  <c r="D586" i="43"/>
  <c r="D587" i="43"/>
  <c r="D588" i="43"/>
  <c r="D589" i="43"/>
  <c r="D590" i="43"/>
  <c r="D591" i="43"/>
  <c r="D592" i="43"/>
  <c r="D593" i="43"/>
  <c r="D594" i="43"/>
  <c r="D595" i="43"/>
  <c r="D596" i="43"/>
  <c r="D597" i="43"/>
  <c r="D598" i="43"/>
  <c r="D599" i="43"/>
  <c r="D600" i="43"/>
  <c r="D601" i="43"/>
  <c r="D602" i="43"/>
  <c r="D603" i="43"/>
  <c r="D604" i="43"/>
  <c r="D605" i="43"/>
  <c r="D606" i="43"/>
  <c r="D607" i="43"/>
  <c r="D608" i="43"/>
  <c r="D609" i="43"/>
  <c r="D610" i="43"/>
  <c r="D611" i="43"/>
  <c r="D612" i="43"/>
  <c r="D613" i="43"/>
  <c r="D614" i="43"/>
  <c r="D615" i="43"/>
  <c r="D616" i="43"/>
  <c r="D617" i="43"/>
  <c r="D618" i="43"/>
  <c r="D619" i="43"/>
  <c r="D620" i="43"/>
  <c r="D621" i="43"/>
  <c r="D622" i="43"/>
  <c r="D623" i="43"/>
  <c r="D624" i="43"/>
  <c r="D625" i="43"/>
  <c r="D626" i="43"/>
  <c r="D627" i="43"/>
  <c r="D628" i="43"/>
  <c r="D629" i="43"/>
  <c r="D630" i="43"/>
  <c r="D631" i="43"/>
  <c r="D632" i="43"/>
  <c r="D633" i="43"/>
  <c r="D634" i="43"/>
  <c r="D635" i="43"/>
  <c r="D636" i="43"/>
  <c r="D637" i="43"/>
  <c r="D638" i="43"/>
  <c r="D639" i="43"/>
  <c r="D640" i="43"/>
  <c r="D641" i="43"/>
  <c r="D642" i="43"/>
  <c r="D643" i="43"/>
  <c r="D644" i="43"/>
  <c r="D645" i="43"/>
  <c r="D646" i="43"/>
  <c r="D647" i="43"/>
  <c r="D648" i="43"/>
  <c r="D649" i="43"/>
  <c r="D650" i="43"/>
  <c r="D651" i="43"/>
  <c r="D652" i="43"/>
  <c r="D653" i="43"/>
  <c r="D654" i="43"/>
  <c r="D655" i="43"/>
  <c r="D656" i="43"/>
  <c r="D657" i="43"/>
  <c r="D658" i="43"/>
  <c r="D659" i="43"/>
  <c r="D660" i="43"/>
  <c r="D661" i="43"/>
  <c r="D662" i="43"/>
  <c r="D663" i="43"/>
  <c r="D664" i="43"/>
  <c r="D665" i="43"/>
  <c r="D666" i="43"/>
  <c r="D667" i="43"/>
  <c r="D668" i="43"/>
  <c r="D669" i="43"/>
  <c r="D670" i="43"/>
  <c r="D671" i="43"/>
  <c r="D672" i="43"/>
  <c r="D673" i="43"/>
  <c r="D674" i="43"/>
  <c r="D675" i="43"/>
  <c r="D676" i="43"/>
  <c r="D677" i="43"/>
  <c r="D678" i="43"/>
  <c r="D679" i="43"/>
  <c r="D680" i="43"/>
  <c r="D681" i="43"/>
  <c r="D682" i="43"/>
  <c r="D683" i="43"/>
  <c r="D684" i="43"/>
  <c r="D685" i="43"/>
  <c r="D686" i="43"/>
  <c r="D687" i="43"/>
  <c r="D688" i="43"/>
  <c r="D689" i="43"/>
  <c r="D690" i="43"/>
  <c r="D691" i="43"/>
  <c r="D692" i="43"/>
  <c r="D693" i="43"/>
  <c r="D694" i="43"/>
  <c r="D695" i="43"/>
  <c r="D696" i="43"/>
  <c r="D697" i="43"/>
  <c r="D698" i="43"/>
  <c r="D699" i="43"/>
  <c r="D700" i="43"/>
  <c r="D701" i="43"/>
  <c r="D702" i="43"/>
  <c r="D703" i="43"/>
  <c r="D704" i="43"/>
  <c r="D705" i="43"/>
  <c r="D706" i="43"/>
  <c r="D707" i="43"/>
  <c r="D708" i="43"/>
  <c r="D709" i="43"/>
  <c r="D710" i="43"/>
  <c r="D711" i="43"/>
  <c r="D712" i="43"/>
  <c r="D713" i="43"/>
  <c r="D714" i="43"/>
  <c r="D715" i="43"/>
  <c r="D716" i="43"/>
  <c r="D717" i="43"/>
  <c r="D718" i="43"/>
  <c r="D719" i="43"/>
  <c r="D720" i="43"/>
  <c r="D721" i="43"/>
  <c r="D722" i="43"/>
  <c r="D723" i="43"/>
  <c r="D724" i="43"/>
  <c r="D725" i="43"/>
  <c r="D726" i="43"/>
  <c r="D727" i="43"/>
  <c r="D728" i="43"/>
  <c r="D729" i="43"/>
  <c r="D730" i="43"/>
  <c r="D731" i="43"/>
  <c r="D732" i="43"/>
  <c r="D733" i="43"/>
  <c r="D734" i="43"/>
  <c r="D735" i="43"/>
  <c r="D736" i="43"/>
  <c r="D737" i="43"/>
  <c r="D738" i="43"/>
  <c r="D739" i="43"/>
  <c r="D740" i="43"/>
  <c r="D741" i="43"/>
  <c r="D742" i="43"/>
  <c r="D743" i="43"/>
  <c r="D744" i="43"/>
  <c r="D745" i="43"/>
  <c r="D746" i="43"/>
  <c r="D747" i="43"/>
  <c r="D748" i="43"/>
  <c r="D749" i="43"/>
  <c r="D750" i="43"/>
  <c r="D751" i="43"/>
  <c r="D752" i="43"/>
  <c r="D753" i="43"/>
  <c r="D754" i="43"/>
  <c r="D755" i="43"/>
  <c r="D756" i="43"/>
  <c r="D757" i="43"/>
  <c r="D758" i="43"/>
  <c r="D759" i="43"/>
  <c r="D760" i="43"/>
  <c r="D761" i="43"/>
  <c r="D762" i="43"/>
  <c r="D763" i="43"/>
  <c r="D764" i="43"/>
  <c r="D765" i="43"/>
  <c r="D766" i="43"/>
  <c r="D767" i="43"/>
  <c r="D768" i="43"/>
  <c r="D769" i="43"/>
  <c r="D770" i="43"/>
  <c r="D771" i="43"/>
  <c r="D772" i="43"/>
  <c r="D773" i="43"/>
  <c r="D774" i="43"/>
  <c r="D775" i="43"/>
  <c r="D776" i="43"/>
  <c r="D777" i="43"/>
  <c r="D778" i="43"/>
  <c r="D779" i="43"/>
  <c r="D780" i="43"/>
  <c r="D781" i="43"/>
  <c r="D782" i="43"/>
  <c r="D783" i="43"/>
  <c r="D784" i="43"/>
  <c r="D785" i="43"/>
  <c r="D786" i="43"/>
  <c r="D787" i="43"/>
  <c r="D788" i="43"/>
  <c r="D789" i="43"/>
  <c r="D790" i="43"/>
  <c r="D791" i="43"/>
  <c r="D792" i="43"/>
  <c r="D793" i="43"/>
  <c r="D794" i="43"/>
  <c r="D795" i="43"/>
  <c r="D796" i="43"/>
  <c r="D797" i="43"/>
  <c r="D798" i="43"/>
  <c r="D799" i="43"/>
  <c r="D800" i="43"/>
  <c r="D801" i="43"/>
  <c r="D802" i="43"/>
  <c r="D803" i="43"/>
  <c r="D804" i="43"/>
  <c r="D805" i="43"/>
  <c r="D806" i="43"/>
  <c r="D807" i="43"/>
  <c r="D808" i="43"/>
  <c r="D809" i="43"/>
  <c r="D810" i="43"/>
  <c r="D811" i="43"/>
  <c r="D812" i="43"/>
  <c r="D813" i="43"/>
  <c r="D814" i="43"/>
  <c r="D815" i="43"/>
  <c r="D816" i="43"/>
  <c r="D817" i="43"/>
  <c r="D818" i="43"/>
  <c r="D819" i="43"/>
  <c r="D820" i="43"/>
  <c r="D821" i="43"/>
  <c r="D822" i="43"/>
  <c r="D823" i="43"/>
  <c r="D824" i="43"/>
  <c r="D825" i="43"/>
  <c r="D826" i="43"/>
  <c r="D827" i="43"/>
  <c r="D828" i="43"/>
  <c r="D829" i="43"/>
  <c r="D830" i="43"/>
  <c r="D831" i="43"/>
  <c r="D832" i="43"/>
  <c r="D833" i="43"/>
  <c r="D834" i="43"/>
  <c r="D835" i="43"/>
  <c r="D836" i="43"/>
  <c r="D837" i="43"/>
  <c r="D838" i="43"/>
  <c r="D839" i="43"/>
  <c r="D840" i="43"/>
  <c r="D841" i="43"/>
  <c r="D842" i="43"/>
  <c r="D843" i="43"/>
  <c r="D844" i="43"/>
  <c r="D845" i="43"/>
  <c r="D846" i="43"/>
  <c r="D847" i="43"/>
  <c r="D848" i="43"/>
  <c r="D849" i="43"/>
  <c r="D850" i="43"/>
  <c r="D851" i="43"/>
  <c r="D852" i="43"/>
  <c r="D853" i="43"/>
  <c r="D854" i="43"/>
  <c r="D855" i="43"/>
  <c r="D856" i="43"/>
  <c r="D857" i="43"/>
  <c r="D858" i="43"/>
  <c r="D859" i="43"/>
  <c r="D860" i="43"/>
  <c r="D861" i="43"/>
  <c r="D862" i="43"/>
  <c r="D863" i="43"/>
  <c r="D864" i="43"/>
  <c r="D865" i="43"/>
  <c r="D866" i="43"/>
  <c r="D867" i="43"/>
  <c r="D868" i="43"/>
  <c r="D869" i="43"/>
  <c r="D870" i="43"/>
  <c r="D871" i="43"/>
  <c r="D872" i="43"/>
  <c r="D873" i="43"/>
  <c r="D874" i="43"/>
  <c r="D875" i="43"/>
  <c r="D876" i="43"/>
  <c r="D877" i="43"/>
  <c r="D878" i="43"/>
  <c r="D879" i="43"/>
  <c r="D880" i="43"/>
  <c r="D881" i="43"/>
  <c r="D882" i="43"/>
  <c r="D883" i="43"/>
  <c r="D884" i="43"/>
  <c r="D885" i="43"/>
  <c r="D886" i="43"/>
  <c r="D887" i="43"/>
  <c r="D888" i="43"/>
  <c r="D889" i="43"/>
  <c r="D890" i="43"/>
  <c r="D891" i="43"/>
  <c r="D892" i="43"/>
  <c r="D893" i="43"/>
  <c r="D894" i="43"/>
  <c r="D895" i="43"/>
  <c r="D896" i="43"/>
  <c r="D897" i="43"/>
  <c r="D898" i="43"/>
  <c r="D899" i="43"/>
  <c r="D900" i="43"/>
  <c r="D901" i="43"/>
  <c r="D902" i="43"/>
  <c r="D903" i="43"/>
  <c r="D904" i="43"/>
  <c r="D905" i="43"/>
  <c r="D906" i="43"/>
  <c r="D907" i="43"/>
  <c r="D908" i="43"/>
  <c r="D909" i="43"/>
  <c r="D910" i="43"/>
  <c r="D911" i="43"/>
  <c r="D912" i="43"/>
  <c r="D913" i="43"/>
  <c r="D914" i="43"/>
  <c r="D915" i="43"/>
  <c r="D916" i="43"/>
  <c r="D917" i="43"/>
  <c r="D918" i="43"/>
  <c r="D919" i="43"/>
  <c r="D920" i="43"/>
  <c r="D921" i="43"/>
  <c r="D922" i="43"/>
  <c r="D923" i="43"/>
  <c r="D924" i="43"/>
  <c r="D925" i="43"/>
  <c r="D926" i="43"/>
  <c r="D927" i="43"/>
  <c r="D928" i="43"/>
  <c r="D929" i="43"/>
  <c r="D930" i="43"/>
  <c r="D931" i="43"/>
  <c r="D932" i="43"/>
  <c r="D933" i="43"/>
  <c r="D934" i="43"/>
  <c r="D935" i="43"/>
  <c r="D936" i="43"/>
  <c r="D937" i="43"/>
  <c r="D938" i="43"/>
  <c r="D939" i="43"/>
  <c r="D940" i="43"/>
  <c r="D941" i="43"/>
  <c r="D942" i="43"/>
  <c r="D943" i="43"/>
  <c r="D944" i="43"/>
  <c r="D945" i="43"/>
  <c r="D946" i="43"/>
  <c r="D947" i="43"/>
  <c r="D948" i="43"/>
  <c r="D949" i="43"/>
  <c r="D950" i="43"/>
  <c r="D951" i="43"/>
  <c r="D952" i="43"/>
  <c r="D953" i="43"/>
  <c r="D954" i="43"/>
  <c r="D955" i="43"/>
  <c r="D956" i="43"/>
  <c r="D957" i="43"/>
  <c r="D958" i="43"/>
  <c r="D959" i="43"/>
  <c r="D960" i="43"/>
  <c r="D961" i="43"/>
  <c r="D962" i="43"/>
  <c r="D963" i="43"/>
  <c r="D964" i="43"/>
  <c r="D965" i="43"/>
  <c r="D966" i="43"/>
  <c r="D967" i="43"/>
  <c r="D968" i="43"/>
  <c r="D969" i="43"/>
  <c r="D970" i="43"/>
  <c r="D971" i="43"/>
  <c r="D972" i="43"/>
  <c r="D973" i="43"/>
  <c r="D974" i="43"/>
  <c r="D975" i="43"/>
  <c r="D976" i="43"/>
  <c r="D977" i="43"/>
  <c r="D978" i="43"/>
  <c r="D979" i="43"/>
  <c r="D980" i="43"/>
  <c r="D981" i="43"/>
  <c r="D982" i="43"/>
  <c r="D983" i="43"/>
  <c r="D984" i="43"/>
  <c r="D985" i="43"/>
  <c r="D986" i="43"/>
  <c r="D987" i="43"/>
  <c r="D988" i="43"/>
  <c r="D989" i="43"/>
  <c r="D990" i="43"/>
  <c r="D991" i="43"/>
  <c r="D992" i="43"/>
  <c r="D993" i="43"/>
  <c r="D994" i="43"/>
  <c r="D995" i="43"/>
  <c r="D996" i="43"/>
  <c r="D997" i="43"/>
  <c r="D998" i="43"/>
  <c r="D999" i="43"/>
  <c r="D1000" i="43"/>
  <c r="D1001" i="43"/>
  <c r="D1002" i="43"/>
  <c r="D1003" i="43"/>
  <c r="D1004" i="43"/>
  <c r="D1005" i="43"/>
  <c r="D1006" i="43"/>
  <c r="D1007" i="43"/>
  <c r="D1008" i="43"/>
  <c r="D1009" i="43"/>
  <c r="D1010" i="43"/>
  <c r="D1011" i="43"/>
  <c r="D1012" i="43"/>
  <c r="D1013" i="43"/>
  <c r="D1014" i="43"/>
  <c r="D1015" i="43"/>
  <c r="D1016" i="43"/>
  <c r="D1017" i="43"/>
  <c r="D1018" i="43"/>
  <c r="D1019" i="43"/>
  <c r="D1020" i="43"/>
  <c r="D1021" i="43"/>
  <c r="D1022" i="43"/>
  <c r="D1023" i="43"/>
  <c r="D1024" i="43"/>
  <c r="D1025" i="43"/>
  <c r="D1026" i="43"/>
  <c r="D2" i="43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2" i="11"/>
  <c r="A2" i="11"/>
  <c r="A1026" i="43"/>
  <c r="A1025" i="43"/>
  <c r="A1024" i="43"/>
  <c r="A1023" i="43"/>
  <c r="A1022" i="43"/>
  <c r="A1021" i="43"/>
  <c r="A1020" i="43"/>
  <c r="A1019" i="43"/>
  <c r="A1018" i="43"/>
  <c r="A1017" i="43"/>
  <c r="A1016" i="43"/>
  <c r="A1015" i="43"/>
  <c r="A1014" i="43"/>
  <c r="A1013" i="43"/>
  <c r="A1012" i="43"/>
  <c r="A1011" i="43"/>
  <c r="A1010" i="43"/>
  <c r="A1009" i="43"/>
  <c r="A1008" i="43"/>
  <c r="A1007" i="43"/>
  <c r="A1006" i="43"/>
  <c r="A1005" i="43"/>
  <c r="A1004" i="43"/>
  <c r="A1003" i="43"/>
  <c r="A1002" i="43"/>
  <c r="A1001" i="43"/>
  <c r="A1000" i="43"/>
  <c r="A999" i="43"/>
  <c r="A998" i="43"/>
  <c r="A997" i="43"/>
  <c r="A996" i="43"/>
  <c r="A995" i="43"/>
  <c r="A994" i="43"/>
  <c r="A993" i="43"/>
  <c r="A992" i="43"/>
  <c r="A991" i="43"/>
  <c r="A990" i="43"/>
  <c r="A989" i="43"/>
  <c r="A988" i="43"/>
  <c r="A987" i="43"/>
  <c r="A986" i="43"/>
  <c r="A985" i="43"/>
  <c r="A984" i="43"/>
  <c r="A983" i="43"/>
  <c r="A982" i="43"/>
  <c r="A981" i="43"/>
  <c r="A980" i="43"/>
  <c r="A979" i="43"/>
  <c r="A978" i="43"/>
  <c r="A977" i="43"/>
  <c r="A976" i="43"/>
  <c r="A975" i="43"/>
  <c r="A974" i="43"/>
  <c r="A973" i="43"/>
  <c r="A972" i="43"/>
  <c r="A971" i="43"/>
  <c r="A970" i="43"/>
  <c r="A969" i="43"/>
  <c r="A968" i="43"/>
  <c r="A967" i="43"/>
  <c r="A966" i="43"/>
  <c r="A965" i="43"/>
  <c r="A964" i="43"/>
  <c r="A963" i="43"/>
  <c r="A962" i="43"/>
  <c r="A961" i="43"/>
  <c r="A960" i="43"/>
  <c r="A959" i="43"/>
  <c r="A958" i="43"/>
  <c r="A957" i="43"/>
  <c r="A956" i="43"/>
  <c r="A955" i="43"/>
  <c r="A954" i="43"/>
  <c r="A953" i="43"/>
  <c r="A952" i="43"/>
  <c r="A951" i="43"/>
  <c r="A950" i="43"/>
  <c r="A949" i="43"/>
  <c r="A948" i="43"/>
  <c r="A947" i="43"/>
  <c r="A946" i="43"/>
  <c r="A945" i="43"/>
  <c r="A944" i="43"/>
  <c r="A943" i="43"/>
  <c r="A942" i="43"/>
  <c r="A941" i="43"/>
  <c r="A940" i="43"/>
  <c r="A939" i="43"/>
  <c r="A938" i="43"/>
  <c r="A937" i="43"/>
  <c r="A936" i="43"/>
  <c r="A935" i="43"/>
  <c r="A934" i="43"/>
  <c r="A933" i="43"/>
  <c r="A932" i="43"/>
  <c r="A931" i="43"/>
  <c r="A930" i="43"/>
  <c r="A929" i="43"/>
  <c r="A928" i="43"/>
  <c r="A927" i="43"/>
  <c r="A926" i="43"/>
  <c r="A925" i="43"/>
  <c r="A924" i="43"/>
  <c r="A923" i="43"/>
  <c r="A922" i="43"/>
  <c r="A921" i="43"/>
  <c r="A920" i="43"/>
  <c r="A919" i="43"/>
  <c r="A918" i="43"/>
  <c r="A917" i="43"/>
  <c r="A916" i="43"/>
  <c r="A915" i="43"/>
  <c r="A914" i="43"/>
  <c r="A913" i="43"/>
  <c r="A912" i="43"/>
  <c r="A911" i="43"/>
  <c r="A910" i="43"/>
  <c r="A909" i="43"/>
  <c r="A908" i="43"/>
  <c r="A907" i="43"/>
  <c r="A906" i="43"/>
  <c r="A905" i="43"/>
  <c r="A904" i="43"/>
  <c r="A903" i="43"/>
  <c r="A902" i="43"/>
  <c r="A901" i="43"/>
  <c r="A900" i="43"/>
  <c r="A899" i="43"/>
  <c r="A898" i="43"/>
  <c r="A897" i="43"/>
  <c r="A896" i="43"/>
  <c r="A895" i="43"/>
  <c r="A894" i="43"/>
  <c r="A893" i="43"/>
  <c r="A892" i="43"/>
  <c r="A891" i="43"/>
  <c r="A890" i="43"/>
  <c r="A889" i="43"/>
  <c r="A888" i="43"/>
  <c r="A887" i="43"/>
  <c r="A886" i="43"/>
  <c r="A885" i="43"/>
  <c r="A884" i="43"/>
  <c r="A883" i="43"/>
  <c r="A882" i="43"/>
  <c r="A881" i="43"/>
  <c r="A880" i="43"/>
  <c r="A879" i="43"/>
  <c r="A878" i="43"/>
  <c r="A877" i="43"/>
  <c r="A876" i="43"/>
  <c r="A875" i="43"/>
  <c r="A874" i="43"/>
  <c r="A873" i="43"/>
  <c r="A872" i="43"/>
  <c r="A871" i="43"/>
  <c r="A870" i="43"/>
  <c r="A869" i="43"/>
  <c r="A868" i="43"/>
  <c r="A867" i="43"/>
  <c r="A866" i="43"/>
  <c r="A865" i="43"/>
  <c r="A864" i="43"/>
  <c r="A863" i="43"/>
  <c r="A862" i="43"/>
  <c r="A861" i="43"/>
  <c r="A860" i="43"/>
  <c r="A859" i="43"/>
  <c r="A858" i="43"/>
  <c r="A857" i="43"/>
  <c r="A856" i="43"/>
  <c r="A855" i="43"/>
  <c r="A854" i="43"/>
  <c r="A853" i="43"/>
  <c r="A852" i="43"/>
  <c r="A851" i="43"/>
  <c r="A850" i="43"/>
  <c r="A849" i="43"/>
  <c r="A848" i="43"/>
  <c r="A847" i="43"/>
  <c r="A846" i="43"/>
  <c r="A845" i="43"/>
  <c r="A844" i="43"/>
  <c r="A843" i="43"/>
  <c r="A842" i="43"/>
  <c r="A841" i="43"/>
  <c r="A840" i="43"/>
  <c r="A839" i="43"/>
  <c r="A838" i="43"/>
  <c r="A837" i="43"/>
  <c r="A836" i="43"/>
  <c r="A835" i="43"/>
  <c r="A834" i="43"/>
  <c r="A833" i="43"/>
  <c r="A832" i="43"/>
  <c r="A831" i="43"/>
  <c r="A830" i="43"/>
  <c r="A829" i="43"/>
  <c r="A828" i="43"/>
  <c r="A827" i="43"/>
  <c r="A826" i="43"/>
  <c r="A825" i="43"/>
  <c r="A824" i="43"/>
  <c r="A823" i="43"/>
  <c r="A822" i="43"/>
  <c r="A821" i="43"/>
  <c r="A820" i="43"/>
  <c r="A819" i="43"/>
  <c r="A818" i="43"/>
  <c r="A817" i="43"/>
  <c r="A816" i="43"/>
  <c r="A815" i="43"/>
  <c r="A814" i="43"/>
  <c r="A813" i="43"/>
  <c r="A812" i="43"/>
  <c r="A811" i="43"/>
  <c r="A810" i="43"/>
  <c r="A809" i="43"/>
  <c r="A808" i="43"/>
  <c r="A807" i="43"/>
  <c r="A806" i="43"/>
  <c r="A805" i="43"/>
  <c r="A804" i="43"/>
  <c r="A803" i="43"/>
  <c r="A802" i="43"/>
  <c r="A801" i="43"/>
  <c r="A800" i="43"/>
  <c r="A799" i="43"/>
  <c r="A798" i="43"/>
  <c r="A797" i="43"/>
  <c r="A796" i="43"/>
  <c r="A795" i="43"/>
  <c r="A794" i="43"/>
  <c r="A793" i="43"/>
  <c r="A792" i="43"/>
  <c r="A791" i="43"/>
  <c r="A790" i="43"/>
  <c r="A789" i="43"/>
  <c r="A788" i="43"/>
  <c r="A787" i="43"/>
  <c r="A786" i="43"/>
  <c r="A785" i="43"/>
  <c r="A784" i="43"/>
  <c r="A783" i="43"/>
  <c r="A782" i="43"/>
  <c r="A781" i="43"/>
  <c r="A780" i="43"/>
  <c r="A779" i="43"/>
  <c r="A778" i="43"/>
  <c r="A777" i="43"/>
  <c r="A776" i="43"/>
  <c r="A775" i="43"/>
  <c r="A774" i="43"/>
  <c r="A773" i="43"/>
  <c r="A772" i="43"/>
  <c r="A771" i="43"/>
  <c r="A770" i="43"/>
  <c r="A769" i="43"/>
  <c r="A768" i="43"/>
  <c r="A767" i="43"/>
  <c r="A766" i="43"/>
  <c r="A765" i="43"/>
  <c r="A764" i="43"/>
  <c r="A763" i="43"/>
  <c r="A762" i="43"/>
  <c r="A761" i="43"/>
  <c r="A760" i="43"/>
  <c r="A759" i="43"/>
  <c r="A758" i="43"/>
  <c r="A757" i="43"/>
  <c r="A756" i="43"/>
  <c r="A755" i="43"/>
  <c r="A754" i="43"/>
  <c r="A753" i="43"/>
  <c r="A752" i="43"/>
  <c r="A751" i="43"/>
  <c r="A750" i="43"/>
  <c r="A749" i="43"/>
  <c r="A748" i="43"/>
  <c r="A747" i="43"/>
  <c r="A746" i="43"/>
  <c r="A745" i="43"/>
  <c r="A744" i="43"/>
  <c r="A743" i="43"/>
  <c r="A742" i="43"/>
  <c r="A741" i="43"/>
  <c r="A740" i="43"/>
  <c r="A739" i="43"/>
  <c r="A738" i="43"/>
  <c r="A737" i="43"/>
  <c r="A736" i="43"/>
  <c r="A735" i="43"/>
  <c r="A734" i="43"/>
  <c r="A733" i="43"/>
  <c r="A732" i="43"/>
  <c r="A731" i="43"/>
  <c r="A730" i="43"/>
  <c r="A729" i="43"/>
  <c r="A728" i="43"/>
  <c r="A727" i="43"/>
  <c r="A726" i="43"/>
  <c r="A725" i="43"/>
  <c r="A724" i="43"/>
  <c r="A723" i="43"/>
  <c r="A722" i="43"/>
  <c r="A721" i="43"/>
  <c r="A720" i="43"/>
  <c r="A719" i="43"/>
  <c r="A718" i="43"/>
  <c r="A717" i="43"/>
  <c r="A716" i="43"/>
  <c r="A715" i="43"/>
  <c r="A714" i="43"/>
  <c r="A713" i="43"/>
  <c r="A712" i="43"/>
  <c r="A711" i="43"/>
  <c r="A710" i="43"/>
  <c r="A709" i="43"/>
  <c r="A708" i="43"/>
  <c r="A707" i="43"/>
  <c r="A706" i="43"/>
  <c r="A705" i="43"/>
  <c r="A704" i="43"/>
  <c r="A703" i="43"/>
  <c r="A702" i="43"/>
  <c r="A701" i="43"/>
  <c r="A700" i="43"/>
  <c r="A699" i="43"/>
  <c r="A698" i="43"/>
  <c r="A697" i="43"/>
  <c r="A696" i="43"/>
  <c r="A695" i="43"/>
  <c r="A694" i="43"/>
  <c r="A693" i="43"/>
  <c r="A692" i="43"/>
  <c r="A691" i="43"/>
  <c r="A690" i="43"/>
  <c r="A689" i="43"/>
  <c r="A688" i="43"/>
  <c r="A687" i="43"/>
  <c r="A686" i="43"/>
  <c r="A685" i="43"/>
  <c r="A684" i="43"/>
  <c r="A683" i="43"/>
  <c r="A682" i="43"/>
  <c r="A681" i="43"/>
  <c r="A680" i="43"/>
  <c r="A679" i="43"/>
  <c r="A678" i="43"/>
  <c r="A677" i="43"/>
  <c r="A676" i="43"/>
  <c r="A675" i="43"/>
  <c r="A674" i="43"/>
  <c r="A673" i="43"/>
  <c r="A672" i="43"/>
  <c r="A671" i="43"/>
  <c r="A670" i="43"/>
  <c r="A669" i="43"/>
  <c r="A668" i="43"/>
  <c r="A667" i="43"/>
  <c r="A666" i="43"/>
  <c r="A665" i="43"/>
  <c r="A664" i="43"/>
  <c r="A663" i="43"/>
  <c r="A662" i="43"/>
  <c r="A661" i="43"/>
  <c r="A660" i="43"/>
  <c r="A659" i="43"/>
  <c r="A658" i="43"/>
  <c r="A657" i="43"/>
  <c r="A656" i="43"/>
  <c r="A655" i="43"/>
  <c r="A654" i="43"/>
  <c r="A653" i="43"/>
  <c r="A652" i="43"/>
  <c r="A651" i="43"/>
  <c r="A650" i="43"/>
  <c r="A649" i="43"/>
  <c r="A648" i="43"/>
  <c r="A647" i="43"/>
  <c r="A646" i="43"/>
  <c r="A645" i="43"/>
  <c r="A644" i="43"/>
  <c r="A643" i="43"/>
  <c r="A642" i="43"/>
  <c r="A641" i="43"/>
  <c r="A640" i="43"/>
  <c r="A639" i="43"/>
  <c r="A638" i="43"/>
  <c r="A637" i="43"/>
  <c r="A636" i="43"/>
  <c r="A635" i="43"/>
  <c r="A634" i="43"/>
  <c r="A633" i="43"/>
  <c r="A632" i="43"/>
  <c r="A631" i="43"/>
  <c r="A630" i="43"/>
  <c r="A629" i="43"/>
  <c r="A628" i="43"/>
  <c r="A627" i="43"/>
  <c r="A626" i="43"/>
  <c r="A625" i="43"/>
  <c r="A624" i="43"/>
  <c r="A623" i="43"/>
  <c r="A622" i="43"/>
  <c r="A621" i="43"/>
  <c r="A620" i="43"/>
  <c r="A619" i="43"/>
  <c r="A618" i="43"/>
  <c r="A617" i="43"/>
  <c r="A616" i="43"/>
  <c r="A615" i="43"/>
  <c r="A614" i="43"/>
  <c r="A613" i="43"/>
  <c r="A612" i="43"/>
  <c r="A611" i="43"/>
  <c r="A610" i="43"/>
  <c r="A609" i="43"/>
  <c r="A608" i="43"/>
  <c r="A607" i="43"/>
  <c r="A606" i="43"/>
  <c r="A605" i="43"/>
  <c r="A604" i="43"/>
  <c r="A603" i="43"/>
  <c r="A602" i="43"/>
  <c r="A601" i="43"/>
  <c r="A600" i="43"/>
  <c r="A599" i="43"/>
  <c r="A598" i="43"/>
  <c r="A597" i="43"/>
  <c r="A596" i="43"/>
  <c r="A595" i="43"/>
  <c r="A594" i="43"/>
  <c r="A593" i="43"/>
  <c r="A592" i="43"/>
  <c r="A591" i="43"/>
  <c r="A590" i="43"/>
  <c r="A589" i="43"/>
  <c r="A588" i="43"/>
  <c r="A587" i="43"/>
  <c r="A586" i="43"/>
  <c r="A585" i="43"/>
  <c r="A584" i="43"/>
  <c r="A583" i="43"/>
  <c r="A582" i="43"/>
  <c r="A581" i="43"/>
  <c r="A580" i="43"/>
  <c r="A579" i="43"/>
  <c r="A578" i="43"/>
  <c r="A577" i="43"/>
  <c r="A576" i="43"/>
  <c r="A575" i="43"/>
  <c r="A574" i="43"/>
  <c r="A573" i="43"/>
  <c r="A572" i="43"/>
  <c r="A571" i="43"/>
  <c r="A570" i="43"/>
  <c r="A569" i="43"/>
  <c r="A568" i="43"/>
  <c r="A567" i="43"/>
  <c r="A566" i="43"/>
  <c r="A565" i="43"/>
  <c r="A564" i="43"/>
  <c r="A563" i="43"/>
  <c r="A562" i="43"/>
  <c r="A561" i="43"/>
  <c r="A560" i="43"/>
  <c r="A559" i="43"/>
  <c r="A558" i="43"/>
  <c r="A557" i="43"/>
  <c r="A556" i="43"/>
  <c r="A555" i="43"/>
  <c r="A554" i="43"/>
  <c r="A553" i="43"/>
  <c r="A552" i="43"/>
  <c r="A551" i="43"/>
  <c r="A550" i="43"/>
  <c r="A549" i="43"/>
  <c r="A548" i="43"/>
  <c r="A547" i="43"/>
  <c r="A546" i="43"/>
  <c r="A545" i="43"/>
  <c r="A544" i="43"/>
  <c r="A543" i="43"/>
  <c r="A542" i="43"/>
  <c r="A541" i="43"/>
  <c r="A540" i="43"/>
  <c r="A539" i="43"/>
  <c r="A538" i="43"/>
  <c r="A537" i="43"/>
  <c r="A536" i="43"/>
  <c r="A535" i="43"/>
  <c r="A534" i="43"/>
  <c r="A533" i="43"/>
  <c r="A532" i="43"/>
  <c r="A531" i="43"/>
  <c r="A530" i="43"/>
  <c r="A529" i="43"/>
  <c r="A528" i="43"/>
  <c r="A527" i="43"/>
  <c r="A526" i="43"/>
  <c r="A525" i="43"/>
  <c r="A524" i="43"/>
  <c r="A523" i="43"/>
  <c r="A522" i="43"/>
  <c r="A521" i="43"/>
  <c r="A520" i="43"/>
  <c r="A519" i="43"/>
  <c r="A518" i="43"/>
  <c r="A517" i="43"/>
  <c r="A516" i="43"/>
  <c r="A515" i="43"/>
  <c r="A514" i="43"/>
  <c r="A513" i="43"/>
  <c r="A512" i="43"/>
  <c r="A511" i="43"/>
  <c r="A510" i="43"/>
  <c r="A509" i="43"/>
  <c r="A508" i="43"/>
  <c r="A507" i="43"/>
  <c r="A506" i="43"/>
  <c r="A505" i="43"/>
  <c r="A504" i="43"/>
  <c r="A503" i="43"/>
  <c r="A502" i="43"/>
  <c r="A501" i="43"/>
  <c r="A500" i="43"/>
  <c r="A499" i="43"/>
  <c r="A498" i="43"/>
  <c r="A497" i="43"/>
  <c r="A496" i="43"/>
  <c r="A495" i="43"/>
  <c r="A494" i="43"/>
  <c r="A493" i="43"/>
  <c r="A492" i="43"/>
  <c r="A491" i="43"/>
  <c r="A490" i="43"/>
  <c r="A489" i="43"/>
  <c r="A488" i="43"/>
  <c r="A487" i="43"/>
  <c r="A486" i="43"/>
  <c r="A485" i="43"/>
  <c r="A484" i="43"/>
  <c r="A483" i="43"/>
  <c r="A482" i="43"/>
  <c r="A481" i="43"/>
  <c r="A480" i="43"/>
  <c r="A479" i="43"/>
  <c r="A478" i="43"/>
  <c r="A477" i="43"/>
  <c r="A476" i="43"/>
  <c r="A475" i="43"/>
  <c r="A474" i="43"/>
  <c r="A473" i="43"/>
  <c r="A472" i="43"/>
  <c r="A471" i="43"/>
  <c r="A470" i="43"/>
  <c r="A469" i="43"/>
  <c r="A468" i="43"/>
  <c r="A467" i="43"/>
  <c r="A466" i="43"/>
  <c r="A465" i="43"/>
  <c r="A464" i="43"/>
  <c r="A463" i="43"/>
  <c r="A462" i="43"/>
  <c r="A461" i="43"/>
  <c r="A460" i="43"/>
  <c r="A459" i="43"/>
  <c r="A458" i="43"/>
  <c r="A457" i="43"/>
  <c r="A456" i="43"/>
  <c r="A455" i="43"/>
  <c r="A454" i="43"/>
  <c r="A453" i="43"/>
  <c r="A452" i="43"/>
  <c r="A451" i="43"/>
  <c r="A450" i="43"/>
  <c r="A449" i="43"/>
  <c r="A448" i="43"/>
  <c r="A447" i="43"/>
  <c r="A446" i="43"/>
  <c r="A445" i="43"/>
  <c r="A444" i="43"/>
  <c r="A443" i="43"/>
  <c r="A442" i="43"/>
  <c r="A441" i="43"/>
  <c r="A440" i="43"/>
  <c r="A439" i="43"/>
  <c r="A438" i="43"/>
  <c r="A437" i="43"/>
  <c r="A436" i="43"/>
  <c r="A435" i="43"/>
  <c r="A434" i="43"/>
  <c r="A433" i="43"/>
  <c r="A432" i="43"/>
  <c r="A431" i="43"/>
  <c r="A430" i="43"/>
  <c r="A429" i="43"/>
  <c r="A428" i="43"/>
  <c r="A427" i="43"/>
  <c r="A426" i="43"/>
  <c r="A425" i="43"/>
  <c r="A424" i="43"/>
  <c r="A423" i="43"/>
  <c r="A422" i="43"/>
  <c r="A421" i="43"/>
  <c r="A420" i="43"/>
  <c r="A419" i="43"/>
  <c r="A418" i="43"/>
  <c r="A417" i="43"/>
  <c r="A416" i="43"/>
  <c r="A415" i="43"/>
  <c r="A414" i="43"/>
  <c r="A413" i="43"/>
  <c r="A412" i="43"/>
  <c r="A411" i="43"/>
  <c r="A410" i="43"/>
  <c r="A409" i="43"/>
  <c r="A408" i="43"/>
  <c r="A407" i="43"/>
  <c r="A406" i="43"/>
  <c r="A405" i="43"/>
  <c r="A404" i="43"/>
  <c r="A403" i="43"/>
  <c r="A402" i="43"/>
  <c r="A401" i="43"/>
  <c r="A400" i="43"/>
  <c r="A399" i="43"/>
  <c r="A398" i="43"/>
  <c r="A397" i="43"/>
  <c r="A396" i="43"/>
  <c r="A395" i="43"/>
  <c r="A394" i="43"/>
  <c r="A393" i="43"/>
  <c r="A392" i="43"/>
  <c r="A391" i="43"/>
  <c r="A390" i="43"/>
  <c r="A389" i="43"/>
  <c r="A388" i="43"/>
  <c r="A387" i="43"/>
  <c r="A386" i="43"/>
  <c r="A385" i="43"/>
  <c r="A384" i="43"/>
  <c r="A383" i="43"/>
  <c r="A382" i="43"/>
  <c r="A381" i="43"/>
  <c r="A380" i="43"/>
  <c r="A379" i="43"/>
  <c r="A378" i="43"/>
  <c r="A377" i="43"/>
  <c r="A376" i="43"/>
  <c r="A375" i="43"/>
  <c r="A374" i="43"/>
  <c r="A373" i="43"/>
  <c r="A372" i="43"/>
  <c r="A371" i="43"/>
  <c r="A370" i="43"/>
  <c r="A369" i="43"/>
  <c r="A368" i="43"/>
  <c r="A367" i="43"/>
  <c r="A366" i="43"/>
  <c r="A365" i="43"/>
  <c r="A364" i="43"/>
  <c r="A363" i="43"/>
  <c r="A362" i="43"/>
  <c r="A361" i="43"/>
  <c r="A360" i="43"/>
  <c r="A359" i="43"/>
  <c r="A358" i="43"/>
  <c r="A357" i="43"/>
  <c r="A356" i="43"/>
  <c r="A355" i="43"/>
  <c r="A354" i="43"/>
  <c r="A353" i="43"/>
  <c r="A352" i="43"/>
  <c r="A351" i="43"/>
  <c r="A350" i="43"/>
  <c r="A349" i="43"/>
  <c r="A348" i="43"/>
  <c r="A347" i="43"/>
  <c r="A346" i="43"/>
  <c r="A345" i="43"/>
  <c r="A344" i="43"/>
  <c r="A343" i="43"/>
  <c r="A342" i="43"/>
  <c r="A341" i="43"/>
  <c r="A340" i="43"/>
  <c r="A339" i="43"/>
  <c r="A338" i="43"/>
  <c r="A337" i="43"/>
  <c r="A336" i="43"/>
  <c r="A335" i="43"/>
  <c r="A334" i="43"/>
  <c r="A333" i="43"/>
  <c r="A332" i="43"/>
  <c r="A331" i="43"/>
  <c r="A330" i="43"/>
  <c r="A329" i="43"/>
  <c r="A328" i="43"/>
  <c r="A327" i="43"/>
  <c r="A326" i="43"/>
  <c r="A325" i="43"/>
  <c r="A324" i="43"/>
  <c r="A323" i="43"/>
  <c r="A322" i="43"/>
  <c r="A321" i="43"/>
  <c r="A320" i="43"/>
  <c r="A319" i="43"/>
  <c r="A318" i="43"/>
  <c r="A317" i="43"/>
  <c r="A316" i="43"/>
  <c r="A315" i="43"/>
  <c r="A314" i="43"/>
  <c r="A313" i="43"/>
  <c r="A312" i="43"/>
  <c r="A311" i="43"/>
  <c r="A310" i="43"/>
  <c r="A309" i="43"/>
  <c r="A308" i="43"/>
  <c r="A307" i="43"/>
  <c r="A306" i="43"/>
  <c r="A305" i="43"/>
  <c r="A304" i="43"/>
  <c r="A303" i="43"/>
  <c r="A302" i="43"/>
  <c r="A301" i="43"/>
  <c r="A300" i="43"/>
  <c r="A299" i="43"/>
  <c r="A298" i="43"/>
  <c r="A297" i="43"/>
  <c r="A296" i="43"/>
  <c r="A295" i="43"/>
  <c r="A294" i="43"/>
  <c r="A293" i="43"/>
  <c r="A292" i="43"/>
  <c r="A291" i="43"/>
  <c r="A290" i="43"/>
  <c r="A289" i="43"/>
  <c r="A288" i="43"/>
  <c r="A287" i="43"/>
  <c r="A286" i="43"/>
  <c r="A285" i="43"/>
  <c r="A284" i="43"/>
  <c r="A283" i="43"/>
  <c r="A282" i="43"/>
  <c r="A281" i="43"/>
  <c r="A280" i="43"/>
  <c r="A279" i="43"/>
  <c r="A278" i="43"/>
  <c r="A277" i="43"/>
  <c r="A276" i="43"/>
  <c r="A275" i="43"/>
  <c r="A274" i="43"/>
  <c r="A273" i="43"/>
  <c r="A272" i="43"/>
  <c r="A271" i="43"/>
  <c r="A270" i="43"/>
  <c r="A269" i="43"/>
  <c r="A268" i="43"/>
  <c r="A267" i="43"/>
  <c r="A266" i="43"/>
  <c r="A265" i="43"/>
  <c r="A264" i="43"/>
  <c r="A263" i="43"/>
  <c r="A262" i="43"/>
  <c r="A261" i="43"/>
  <c r="A260" i="43"/>
  <c r="A259" i="43"/>
  <c r="A258" i="43"/>
  <c r="A257" i="43"/>
  <c r="A256" i="43"/>
  <c r="A255" i="43"/>
  <c r="A254" i="43"/>
  <c r="A253" i="43"/>
  <c r="A252" i="43"/>
  <c r="A251" i="43"/>
  <c r="A250" i="43"/>
  <c r="A249" i="43"/>
  <c r="A248" i="43"/>
  <c r="A247" i="43"/>
  <c r="A246" i="43"/>
  <c r="A245" i="43"/>
  <c r="A244" i="43"/>
  <c r="A243" i="43"/>
  <c r="A242" i="43"/>
  <c r="A241" i="43"/>
  <c r="A240" i="43"/>
  <c r="A239" i="43"/>
  <c r="A238" i="43"/>
  <c r="A237" i="43"/>
  <c r="A236" i="43"/>
  <c r="A235" i="43"/>
  <c r="A234" i="43"/>
  <c r="A233" i="43"/>
  <c r="A232" i="43"/>
  <c r="A231" i="43"/>
  <c r="A230" i="43"/>
  <c r="A229" i="43"/>
  <c r="A228" i="43"/>
  <c r="A227" i="43"/>
  <c r="A226" i="43"/>
  <c r="A225" i="43"/>
  <c r="A224" i="43"/>
  <c r="A223" i="43"/>
  <c r="A222" i="43"/>
  <c r="A221" i="43"/>
  <c r="A220" i="43"/>
  <c r="A219" i="43"/>
  <c r="A218" i="43"/>
  <c r="A217" i="43"/>
  <c r="A216" i="43"/>
  <c r="A215" i="43"/>
  <c r="A214" i="43"/>
  <c r="A213" i="43"/>
  <c r="A212" i="43"/>
  <c r="A211" i="43"/>
  <c r="A210" i="43"/>
  <c r="A209" i="43"/>
  <c r="A208" i="43"/>
  <c r="A207" i="43"/>
  <c r="A206" i="43"/>
  <c r="A205" i="43"/>
  <c r="A204" i="43"/>
  <c r="A203" i="43"/>
  <c r="A202" i="43"/>
  <c r="A201" i="43"/>
  <c r="A200" i="43"/>
  <c r="A199" i="43"/>
  <c r="A198" i="43"/>
  <c r="A197" i="43"/>
  <c r="A196" i="43"/>
  <c r="A195" i="43"/>
  <c r="A194" i="43"/>
  <c r="A193" i="43"/>
  <c r="A192" i="43"/>
  <c r="A191" i="43"/>
  <c r="A190" i="43"/>
  <c r="A189" i="43"/>
  <c r="A188" i="43"/>
  <c r="A187" i="43"/>
  <c r="A186" i="43"/>
  <c r="A185" i="43"/>
  <c r="A184" i="43"/>
  <c r="A183" i="43"/>
  <c r="A182" i="43"/>
  <c r="A181" i="43"/>
  <c r="A180" i="43"/>
  <c r="A179" i="43"/>
  <c r="A178" i="43"/>
  <c r="A177" i="43"/>
  <c r="A176" i="43"/>
  <c r="A175" i="43"/>
  <c r="A174" i="43"/>
  <c r="A173" i="43"/>
  <c r="A172" i="43"/>
  <c r="A171" i="43"/>
  <c r="A170" i="43"/>
  <c r="A169" i="43"/>
  <c r="A168" i="43"/>
  <c r="A167" i="43"/>
  <c r="A166" i="43"/>
  <c r="A165" i="43"/>
  <c r="A164" i="43"/>
  <c r="A163" i="43"/>
  <c r="A162" i="43"/>
  <c r="A161" i="43"/>
  <c r="A160" i="43"/>
  <c r="A159" i="43"/>
  <c r="A158" i="43"/>
  <c r="A157" i="43"/>
  <c r="A156" i="43"/>
  <c r="A155" i="43"/>
  <c r="A154" i="43"/>
  <c r="A153" i="43"/>
  <c r="A152" i="43"/>
  <c r="A151" i="43"/>
  <c r="A150" i="43"/>
  <c r="A149" i="43"/>
  <c r="A148" i="43"/>
  <c r="A147" i="43"/>
  <c r="A146" i="43"/>
  <c r="A145" i="43"/>
  <c r="A144" i="43"/>
  <c r="A143" i="43"/>
  <c r="A142" i="43"/>
  <c r="A141" i="43"/>
  <c r="A140" i="43"/>
  <c r="A139" i="43"/>
  <c r="A138" i="43"/>
  <c r="A137" i="43"/>
  <c r="A136" i="43"/>
  <c r="A135" i="43"/>
  <c r="A134" i="43"/>
  <c r="A133" i="43"/>
  <c r="A132" i="43"/>
  <c r="A131" i="43"/>
  <c r="A130" i="43"/>
  <c r="A129" i="43"/>
  <c r="A128" i="43"/>
  <c r="A127" i="43"/>
  <c r="A126" i="43"/>
  <c r="A125" i="43"/>
  <c r="A124" i="43"/>
  <c r="A123" i="43"/>
  <c r="A122" i="43"/>
  <c r="A121" i="43"/>
  <c r="A120" i="43"/>
  <c r="A119" i="43"/>
  <c r="A118" i="43"/>
  <c r="A117" i="43"/>
  <c r="A116" i="43"/>
  <c r="A115" i="43"/>
  <c r="A114" i="43"/>
  <c r="A113" i="43"/>
  <c r="A112" i="43"/>
  <c r="A111" i="43"/>
  <c r="A110" i="43"/>
  <c r="A109" i="43"/>
  <c r="A108" i="43"/>
  <c r="A107" i="43"/>
  <c r="A106" i="43"/>
  <c r="A105" i="43"/>
  <c r="A104" i="43"/>
  <c r="A103" i="43"/>
  <c r="A102" i="43"/>
  <c r="A101" i="43"/>
  <c r="A100" i="43"/>
  <c r="A99" i="43"/>
  <c r="A98" i="43"/>
  <c r="A97" i="43"/>
  <c r="A96" i="43"/>
  <c r="A95" i="43"/>
  <c r="A94" i="43"/>
  <c r="A93" i="43"/>
  <c r="A92" i="43"/>
  <c r="A91" i="43"/>
  <c r="A90" i="43"/>
  <c r="A89" i="43"/>
  <c r="A88" i="43"/>
  <c r="A87" i="43"/>
  <c r="A86" i="43"/>
  <c r="A85" i="43"/>
  <c r="A84" i="43"/>
  <c r="A83" i="43"/>
  <c r="A82" i="43"/>
  <c r="A81" i="43"/>
  <c r="A80" i="43"/>
  <c r="A79" i="43"/>
  <c r="A78" i="43"/>
  <c r="A77" i="43"/>
  <c r="A76" i="43"/>
  <c r="A75" i="43"/>
  <c r="A74" i="43"/>
  <c r="A73" i="43"/>
  <c r="A72" i="43"/>
  <c r="A71" i="43"/>
  <c r="A70" i="43"/>
  <c r="A69" i="43"/>
  <c r="A68" i="43"/>
  <c r="A67" i="43"/>
  <c r="A66" i="43"/>
  <c r="A65" i="43"/>
  <c r="A64" i="43"/>
  <c r="A63" i="43"/>
  <c r="A62" i="43"/>
  <c r="A61" i="43"/>
  <c r="A60" i="43"/>
  <c r="A59" i="43"/>
  <c r="A58" i="43"/>
  <c r="A57" i="43"/>
  <c r="A56" i="43"/>
  <c r="A55" i="43"/>
  <c r="A54" i="43"/>
  <c r="A53" i="43"/>
  <c r="A52" i="43"/>
  <c r="A51" i="43"/>
  <c r="A50" i="43"/>
  <c r="A49" i="43"/>
  <c r="A48" i="43"/>
  <c r="A47" i="43"/>
  <c r="A46" i="43"/>
  <c r="A45" i="43"/>
  <c r="A44" i="43"/>
  <c r="A43" i="43"/>
  <c r="A42" i="43"/>
  <c r="A41" i="43"/>
  <c r="A40" i="43"/>
  <c r="A39" i="43"/>
  <c r="A38" i="43"/>
  <c r="A37" i="43"/>
  <c r="A36" i="43"/>
  <c r="A35" i="43"/>
  <c r="A34" i="43"/>
  <c r="A33" i="43"/>
  <c r="A32" i="43"/>
  <c r="A31" i="43"/>
  <c r="A30" i="43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A2" i="6"/>
  <c r="D2" i="6"/>
  <c r="E2" i="6"/>
  <c r="B2" i="6"/>
  <c r="G2" i="6"/>
  <c r="C2" i="6"/>
  <c r="F2" i="6"/>
  <c r="A1025" i="11" l="1"/>
  <c r="A1026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A729" i="11"/>
  <c r="A730" i="11"/>
  <c r="A731" i="11"/>
  <c r="A73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47" i="11"/>
  <c r="A748" i="11"/>
  <c r="A749" i="11"/>
  <c r="A750" i="11"/>
  <c r="A751" i="11"/>
  <c r="A752" i="11"/>
  <c r="A753" i="11"/>
  <c r="A754" i="11"/>
  <c r="A755" i="11"/>
  <c r="A756" i="11"/>
  <c r="A757" i="11"/>
  <c r="A758" i="11"/>
  <c r="A759" i="11"/>
  <c r="A760" i="11"/>
  <c r="A761" i="11"/>
  <c r="A762" i="11"/>
  <c r="A763" i="11"/>
  <c r="A764" i="11"/>
  <c r="A765" i="11"/>
  <c r="A766" i="11"/>
  <c r="A767" i="11"/>
  <c r="A768" i="11"/>
  <c r="A769" i="11"/>
  <c r="A770" i="11"/>
  <c r="A771" i="11"/>
  <c r="A772" i="11"/>
  <c r="A773" i="11"/>
  <c r="A774" i="11"/>
  <c r="A775" i="11"/>
  <c r="A776" i="11"/>
  <c r="A77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92" i="11"/>
  <c r="A793" i="11"/>
  <c r="A794" i="11"/>
  <c r="A795" i="11"/>
  <c r="A796" i="11"/>
  <c r="A797" i="11"/>
  <c r="A798" i="11"/>
  <c r="A799" i="11"/>
  <c r="A800" i="11"/>
  <c r="A801" i="11"/>
  <c r="A802" i="11"/>
  <c r="A803" i="11"/>
  <c r="A804" i="11"/>
  <c r="A805" i="11"/>
  <c r="A806" i="11"/>
  <c r="A807" i="11"/>
  <c r="A808" i="11"/>
  <c r="A809" i="11"/>
  <c r="A810" i="11"/>
  <c r="A811" i="11"/>
  <c r="A812" i="11"/>
  <c r="A813" i="11"/>
  <c r="A814" i="11"/>
  <c r="A815" i="11"/>
  <c r="A816" i="11"/>
  <c r="A817" i="11"/>
  <c r="A818" i="11"/>
  <c r="A819" i="11"/>
  <c r="A820" i="11"/>
  <c r="A821" i="11"/>
  <c r="A822" i="11"/>
  <c r="A823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37" i="11"/>
  <c r="A838" i="11"/>
  <c r="A839" i="11"/>
  <c r="A840" i="11"/>
  <c r="A841" i="11"/>
  <c r="A842" i="11"/>
  <c r="A843" i="11"/>
  <c r="A844" i="11"/>
  <c r="A845" i="11"/>
  <c r="A846" i="11"/>
  <c r="A847" i="11"/>
  <c r="A848" i="11"/>
  <c r="A849" i="11"/>
  <c r="A850" i="11"/>
  <c r="A851" i="11"/>
  <c r="A852" i="11"/>
  <c r="A853" i="11"/>
  <c r="A854" i="11"/>
  <c r="A855" i="11"/>
  <c r="A856" i="11"/>
  <c r="A857" i="11"/>
  <c r="A858" i="11"/>
  <c r="A859" i="11"/>
  <c r="A860" i="11"/>
  <c r="A861" i="11"/>
  <c r="A862" i="11"/>
  <c r="A863" i="11"/>
  <c r="A864" i="11"/>
  <c r="A865" i="11"/>
  <c r="A866" i="11"/>
  <c r="A867" i="11"/>
  <c r="A868" i="1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82" i="11"/>
  <c r="A883" i="11"/>
  <c r="A884" i="11"/>
  <c r="A885" i="11"/>
  <c r="A886" i="11"/>
  <c r="A887" i="11"/>
  <c r="A888" i="11"/>
  <c r="A889" i="11"/>
  <c r="A890" i="11"/>
  <c r="A891" i="11"/>
  <c r="A892" i="11"/>
  <c r="A893" i="11"/>
  <c r="A894" i="11"/>
  <c r="A895" i="11"/>
  <c r="A896" i="11"/>
  <c r="A897" i="11"/>
  <c r="A898" i="11"/>
  <c r="A899" i="11"/>
  <c r="A900" i="11"/>
  <c r="A901" i="11"/>
  <c r="A902" i="11"/>
  <c r="A903" i="11"/>
  <c r="A904" i="11"/>
  <c r="A905" i="11"/>
  <c r="A906" i="11"/>
  <c r="A907" i="11"/>
  <c r="A908" i="11"/>
  <c r="A909" i="11"/>
  <c r="A910" i="11"/>
  <c r="A911" i="11"/>
  <c r="A912" i="11"/>
  <c r="A913" i="11"/>
  <c r="A914" i="11"/>
  <c r="A915" i="11"/>
  <c r="A916" i="11"/>
  <c r="A917" i="11"/>
  <c r="A918" i="11"/>
  <c r="A919" i="11"/>
  <c r="A920" i="11"/>
  <c r="A921" i="11"/>
  <c r="A922" i="11"/>
  <c r="A923" i="11"/>
  <c r="A924" i="11"/>
  <c r="A925" i="11"/>
  <c r="A926" i="11"/>
  <c r="A927" i="11"/>
  <c r="A928" i="11"/>
  <c r="A929" i="11"/>
  <c r="A930" i="11"/>
  <c r="A931" i="11"/>
  <c r="A932" i="11"/>
  <c r="A933" i="11"/>
  <c r="A934" i="11"/>
  <c r="A935" i="11"/>
  <c r="A936" i="11"/>
  <c r="A937" i="11"/>
  <c r="A938" i="11"/>
  <c r="A939" i="11"/>
  <c r="A940" i="11"/>
  <c r="A941" i="11"/>
  <c r="A942" i="11"/>
  <c r="A943" i="11"/>
  <c r="A944" i="11"/>
  <c r="A945" i="11"/>
  <c r="A946" i="11"/>
  <c r="A947" i="11"/>
  <c r="A948" i="11"/>
  <c r="A949" i="11"/>
  <c r="A950" i="11"/>
  <c r="A951" i="11"/>
  <c r="A952" i="11"/>
  <c r="A953" i="11"/>
  <c r="A954" i="11"/>
  <c r="A955" i="11"/>
  <c r="A956" i="11"/>
  <c r="A957" i="11"/>
  <c r="A958" i="11"/>
  <c r="A959" i="11"/>
  <c r="A960" i="11"/>
  <c r="A961" i="11"/>
  <c r="A962" i="11"/>
  <c r="A963" i="11"/>
  <c r="A964" i="11"/>
  <c r="A965" i="11"/>
  <c r="A966" i="11"/>
  <c r="A967" i="11"/>
  <c r="A968" i="11"/>
  <c r="A969" i="11"/>
  <c r="A970" i="11"/>
  <c r="A971" i="11"/>
  <c r="A972" i="11"/>
  <c r="A973" i="11"/>
  <c r="A974" i="11"/>
  <c r="A975" i="11"/>
  <c r="A976" i="11"/>
  <c r="A977" i="11"/>
  <c r="A978" i="11"/>
  <c r="A979" i="11"/>
  <c r="A980" i="11"/>
  <c r="A981" i="11"/>
  <c r="A982" i="11"/>
  <c r="A983" i="11"/>
  <c r="A984" i="11"/>
  <c r="A985" i="11"/>
  <c r="A986" i="11"/>
  <c r="A987" i="11"/>
  <c r="A988" i="11"/>
  <c r="A989" i="11"/>
  <c r="A990" i="11"/>
  <c r="A991" i="11"/>
  <c r="A992" i="11"/>
  <c r="A993" i="11"/>
  <c r="A994" i="11"/>
  <c r="A995" i="11"/>
  <c r="A996" i="11"/>
  <c r="A997" i="11"/>
  <c r="A998" i="11"/>
  <c r="A999" i="11"/>
  <c r="A1000" i="11"/>
  <c r="A1001" i="11"/>
  <c r="A1002" i="11"/>
  <c r="A1003" i="11"/>
  <c r="A1004" i="11"/>
  <c r="A1005" i="11"/>
  <c r="A1006" i="11"/>
  <c r="A1007" i="11"/>
  <c r="A1008" i="11"/>
  <c r="A1009" i="11"/>
  <c r="A1010" i="11"/>
  <c r="A1011" i="11"/>
  <c r="A1012" i="11"/>
  <c r="A1013" i="11"/>
  <c r="A1014" i="11"/>
  <c r="A1015" i="11"/>
  <c r="A1016" i="11"/>
  <c r="A1017" i="11"/>
  <c r="A1018" i="11"/>
  <c r="A1019" i="11"/>
  <c r="A1020" i="11"/>
  <c r="A1021" i="11"/>
  <c r="A1022" i="11"/>
  <c r="A1023" i="11"/>
  <c r="A1024" i="11"/>
  <c r="H2" i="6"/>
  <c r="A1027" i="6" l="1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C935" i="43"/>
  <c r="C755" i="43"/>
  <c r="C855" i="43"/>
  <c r="C794" i="43"/>
  <c r="C978" i="43"/>
  <c r="C853" i="43"/>
  <c r="C785" i="43"/>
  <c r="C528" i="43"/>
  <c r="C470" i="43"/>
  <c r="C497" i="43"/>
  <c r="C120" i="43"/>
  <c r="C828" i="43"/>
  <c r="C903" i="43"/>
  <c r="C1005" i="43"/>
  <c r="C951" i="43"/>
  <c r="C392" i="43"/>
  <c r="C466" i="43"/>
  <c r="C981" i="43"/>
  <c r="C992" i="43"/>
  <c r="C345" i="43"/>
  <c r="C1020" i="43"/>
  <c r="C906" i="43"/>
  <c r="C414" i="43"/>
  <c r="C659" i="43"/>
  <c r="C954" i="43"/>
  <c r="C350" i="43"/>
  <c r="C408" i="43"/>
  <c r="C786" i="43"/>
  <c r="C620" i="43"/>
  <c r="C651" i="43"/>
  <c r="C758" i="43"/>
  <c r="C1019" i="43"/>
  <c r="C974" i="43"/>
  <c r="C398" i="43"/>
  <c r="C943" i="43"/>
  <c r="C668" i="43"/>
  <c r="C602" i="43"/>
  <c r="C430" i="43"/>
  <c r="C546" i="43"/>
  <c r="C914" i="43"/>
  <c r="C409" i="43"/>
  <c r="C991" i="43"/>
  <c r="C740" i="43"/>
  <c r="C982" i="43"/>
  <c r="C778" i="43"/>
  <c r="C510" i="43"/>
  <c r="C217" i="43"/>
  <c r="C878" i="43"/>
  <c r="C505" i="43"/>
  <c r="C145" i="43"/>
  <c r="C623" i="43"/>
  <c r="C214" i="43"/>
  <c r="C504" i="43"/>
  <c r="C312" i="43"/>
  <c r="C552" i="43"/>
  <c r="C860" i="43"/>
  <c r="C913" i="43"/>
  <c r="C1007" i="43"/>
  <c r="C403" i="43"/>
  <c r="C867" i="43"/>
  <c r="C380" i="43"/>
  <c r="C771" i="43"/>
  <c r="C109" i="43"/>
  <c r="C718" i="43"/>
  <c r="C885" i="43"/>
  <c r="C923" i="43"/>
  <c r="C458" i="43"/>
  <c r="C1006" i="43"/>
  <c r="C553" i="43"/>
  <c r="C598" i="43"/>
  <c r="C704" i="43"/>
  <c r="C526" i="43"/>
  <c r="C825" i="43"/>
  <c r="C690" i="43"/>
  <c r="C206" i="43"/>
  <c r="C875" i="43"/>
  <c r="C958" i="43"/>
  <c r="C472" i="43"/>
  <c r="C868" i="43"/>
  <c r="C478" i="43"/>
  <c r="C947" i="43"/>
  <c r="C850" i="43"/>
  <c r="C196" i="43"/>
  <c r="C627" i="43"/>
  <c r="C305" i="43"/>
  <c r="C622" i="43"/>
  <c r="C1017" i="43"/>
  <c r="C569" i="43"/>
  <c r="C536" i="43"/>
  <c r="C695" i="43"/>
  <c r="C799" i="43"/>
  <c r="C962" i="43"/>
  <c r="C521" i="43"/>
  <c r="C930" i="43"/>
  <c r="C186" i="43"/>
  <c r="C593" i="43"/>
  <c r="C315" i="43"/>
  <c r="C483" i="43"/>
  <c r="C626" i="11"/>
  <c r="C865" i="43"/>
  <c r="C547" i="43"/>
  <c r="C271" i="43"/>
  <c r="C129" i="11"/>
  <c r="C463" i="43"/>
  <c r="C509" i="43"/>
  <c r="C361" i="43"/>
  <c r="C193" i="43"/>
  <c r="C642" i="43"/>
  <c r="C177" i="11"/>
  <c r="C490" i="11"/>
  <c r="C672" i="11"/>
  <c r="C754" i="43"/>
  <c r="C900" i="43"/>
  <c r="C535" i="11"/>
  <c r="C898" i="43"/>
  <c r="C366" i="43"/>
  <c r="C596" i="43"/>
  <c r="C517" i="43"/>
  <c r="C1001" i="43"/>
  <c r="C164" i="43"/>
  <c r="C270" i="43"/>
  <c r="C513" i="43"/>
  <c r="C774" i="43"/>
  <c r="C862" i="43"/>
  <c r="C948" i="43"/>
  <c r="C395" i="43"/>
  <c r="C130" i="11"/>
  <c r="C1018" i="43"/>
  <c r="C925" i="43"/>
  <c r="C498" i="43"/>
  <c r="C587" i="43"/>
  <c r="C410" i="43"/>
  <c r="C1022" i="43"/>
  <c r="C986" i="43"/>
  <c r="C615" i="43"/>
  <c r="C730" i="43"/>
  <c r="C827" i="43"/>
  <c r="C356" i="43"/>
  <c r="C278" i="43"/>
  <c r="C779" i="43"/>
  <c r="C911" i="43"/>
  <c r="C826" i="43"/>
  <c r="C934" i="43"/>
  <c r="C656" i="43"/>
  <c r="C216" i="43"/>
  <c r="C434" i="43"/>
  <c r="C320" i="43"/>
  <c r="C942" i="43"/>
  <c r="C819" i="43"/>
  <c r="C490" i="43"/>
  <c r="C702" i="43"/>
  <c r="C921" i="43"/>
  <c r="C200" i="43"/>
  <c r="C238" i="43"/>
  <c r="C294" i="43"/>
  <c r="C782" i="43"/>
  <c r="C581" i="43"/>
  <c r="C732" i="43"/>
  <c r="C301" i="43"/>
  <c r="C895" i="43"/>
  <c r="C566" i="43"/>
  <c r="C672" i="43"/>
  <c r="C260" i="43"/>
  <c r="C185" i="43"/>
  <c r="C836" i="43"/>
  <c r="C514" i="43"/>
  <c r="C632" i="43"/>
  <c r="C932" i="43"/>
  <c r="C941" i="43"/>
  <c r="C654" i="43"/>
  <c r="C1023" i="43"/>
  <c r="C473" i="43"/>
  <c r="C184" i="43"/>
  <c r="C610" i="43"/>
  <c r="C282" i="43"/>
  <c r="C343" i="43"/>
  <c r="C525" i="43"/>
  <c r="C243" i="43"/>
  <c r="C439" i="43"/>
  <c r="C773" i="43"/>
  <c r="C251" i="43"/>
  <c r="C422" i="43"/>
  <c r="C576" i="11"/>
  <c r="C201" i="43"/>
  <c r="C212" i="43"/>
  <c r="C462" i="43"/>
  <c r="C816" i="43"/>
  <c r="C832" i="43"/>
  <c r="C665" i="43"/>
  <c r="C218" i="43"/>
  <c r="C1018" i="11"/>
  <c r="C959" i="43"/>
  <c r="C582" i="43"/>
  <c r="C877" i="43"/>
  <c r="C464" i="43"/>
  <c r="C715" i="43"/>
  <c r="C835" i="43"/>
  <c r="C742" i="43"/>
  <c r="C446" i="43"/>
  <c r="C344" i="43"/>
  <c r="C512" i="43"/>
  <c r="C440" i="43"/>
  <c r="C565" i="43"/>
  <c r="C843" i="43"/>
  <c r="C881" i="43"/>
  <c r="C910" i="43"/>
  <c r="C391" i="43"/>
  <c r="C299" i="43"/>
  <c r="C459" i="43"/>
  <c r="C662" i="43"/>
  <c r="C637" i="43"/>
  <c r="C795" i="43"/>
  <c r="C849" i="43"/>
  <c r="C272" i="43"/>
  <c r="C348" i="43"/>
  <c r="C845" i="43"/>
  <c r="C966" i="43"/>
  <c r="C266" i="43"/>
  <c r="C916" i="43"/>
  <c r="C604" i="43"/>
  <c r="C591" i="43"/>
  <c r="C889" i="43"/>
  <c r="C540" i="43"/>
  <c r="C244" i="11"/>
  <c r="C421" i="43"/>
  <c r="C705" i="11"/>
  <c r="C353" i="43"/>
  <c r="C355" i="11"/>
  <c r="C227" i="43"/>
  <c r="C616" i="43"/>
  <c r="C768" i="43"/>
  <c r="C726" i="43"/>
  <c r="C921" i="11"/>
  <c r="C1025" i="43"/>
  <c r="C205" i="43"/>
  <c r="C584" i="43"/>
  <c r="C389" i="43"/>
  <c r="C369" i="11"/>
  <c r="C132" i="11"/>
  <c r="C162" i="11"/>
  <c r="C977" i="11"/>
  <c r="C873" i="43"/>
  <c r="C455" i="11"/>
  <c r="C273" i="43"/>
  <c r="C218" i="11"/>
  <c r="C375" i="43"/>
  <c r="C912" i="43"/>
  <c r="C609" i="43"/>
  <c r="C880" i="43"/>
  <c r="C543" i="43"/>
  <c r="C648" i="43"/>
  <c r="C781" i="43"/>
  <c r="C442" i="43"/>
  <c r="C965" i="11"/>
  <c r="C555" i="11"/>
  <c r="C1015" i="43"/>
  <c r="C611" i="43"/>
  <c r="C750" i="43"/>
  <c r="C805" i="43"/>
  <c r="C386" i="43"/>
  <c r="C334" i="43"/>
  <c r="C329" i="43"/>
  <c r="C548" i="43"/>
  <c r="C603" i="43"/>
  <c r="C891" i="43"/>
  <c r="C558" i="43"/>
  <c r="C926" i="43"/>
  <c r="C645" i="43"/>
  <c r="C817" i="43"/>
  <c r="C262" i="43"/>
  <c r="C151" i="43"/>
  <c r="C128" i="43"/>
  <c r="C360" i="43"/>
  <c r="C493" i="43"/>
  <c r="C999" i="11"/>
  <c r="C884" i="43"/>
  <c r="C574" i="11"/>
  <c r="C445" i="43"/>
  <c r="C765" i="11"/>
  <c r="C696" i="43"/>
  <c r="C711" i="43"/>
  <c r="C158" i="43"/>
  <c r="C888" i="43"/>
  <c r="C480" i="43"/>
  <c r="C600" i="43"/>
  <c r="C787" i="43"/>
  <c r="C338" i="11"/>
  <c r="C1026" i="43"/>
  <c r="C710" i="43"/>
  <c r="C170" i="43"/>
  <c r="C354" i="43"/>
  <c r="C524" i="43"/>
  <c r="C923" i="11"/>
  <c r="C774" i="11"/>
  <c r="C555" i="43"/>
  <c r="C667" i="43"/>
  <c r="C289" i="43"/>
  <c r="C449" i="43"/>
  <c r="C541" i="43"/>
  <c r="C276" i="43"/>
  <c r="C706" i="43"/>
  <c r="C1009" i="43"/>
  <c r="C902" i="43"/>
  <c r="C332" i="11"/>
  <c r="C993" i="43"/>
  <c r="C169" i="43"/>
  <c r="C119" i="43"/>
  <c r="C323" i="11"/>
  <c r="C572" i="43"/>
  <c r="C966" i="11"/>
  <c r="C141" i="43"/>
  <c r="C487" i="11"/>
  <c r="C475" i="43"/>
  <c r="C401" i="43"/>
  <c r="C161" i="43"/>
  <c r="C657" i="43"/>
  <c r="C749" i="43"/>
  <c r="C797" i="43"/>
  <c r="C813" i="11"/>
  <c r="C514" i="11"/>
  <c r="C378" i="11"/>
  <c r="C807" i="43"/>
  <c r="C330" i="11"/>
  <c r="C747" i="11"/>
  <c r="C111" i="11"/>
  <c r="C122" i="11"/>
  <c r="C769" i="11"/>
  <c r="C663" i="11"/>
  <c r="C603" i="11"/>
  <c r="C294" i="11"/>
  <c r="C527" i="11"/>
  <c r="C203" i="11"/>
  <c r="C820" i="11"/>
  <c r="C577" i="11"/>
  <c r="C684" i="11"/>
  <c r="C137" i="11"/>
  <c r="C250" i="11"/>
  <c r="C351" i="43"/>
  <c r="C905" i="43"/>
  <c r="C751" i="43"/>
  <c r="C424" i="43"/>
  <c r="C187" i="43"/>
  <c r="C909" i="11"/>
  <c r="C751" i="11"/>
  <c r="C117" i="43"/>
  <c r="C156" i="43"/>
  <c r="C513" i="11"/>
  <c r="C179" i="11"/>
  <c r="C267" i="43"/>
  <c r="C721" i="11"/>
  <c r="C863" i="11"/>
  <c r="C365" i="11"/>
  <c r="C316" i="43"/>
  <c r="C413" i="43"/>
  <c r="C184" i="11"/>
  <c r="C144" i="11"/>
  <c r="C274" i="11"/>
  <c r="C690" i="11"/>
  <c r="C297" i="11"/>
  <c r="C669" i="11"/>
  <c r="C486" i="43"/>
  <c r="C578" i="11"/>
  <c r="C579" i="43"/>
  <c r="C761" i="11"/>
  <c r="C241" i="43"/>
  <c r="C416" i="11"/>
  <c r="C51" i="43"/>
  <c r="C586" i="11"/>
  <c r="C564" i="11"/>
  <c r="C347" i="11"/>
  <c r="C725" i="11"/>
  <c r="C779" i="11"/>
  <c r="C918" i="11"/>
  <c r="C784" i="11"/>
  <c r="C155" i="43"/>
  <c r="C362" i="11"/>
  <c r="C884" i="11"/>
  <c r="C163" i="11"/>
  <c r="C980" i="11"/>
  <c r="C398" i="11"/>
  <c r="C644" i="11"/>
  <c r="C385" i="11"/>
  <c r="C374" i="43"/>
  <c r="C222" i="43"/>
  <c r="C882" i="43"/>
  <c r="C939" i="43"/>
  <c r="C890" i="43"/>
  <c r="C376" i="43"/>
  <c r="C716" i="43"/>
  <c r="C626" i="43"/>
  <c r="C842" i="43"/>
  <c r="C130" i="43"/>
  <c r="C302" i="43"/>
  <c r="C310" i="43"/>
  <c r="C441" i="43"/>
  <c r="C562" i="11"/>
  <c r="C936" i="43"/>
  <c r="C335" i="43"/>
  <c r="C784" i="43"/>
  <c r="C1003" i="43"/>
  <c r="C537" i="43"/>
  <c r="C811" i="43"/>
  <c r="C949" i="43"/>
  <c r="C590" i="43"/>
  <c r="C997" i="43"/>
  <c r="C928" i="43"/>
  <c r="C197" i="43"/>
  <c r="C869" i="43"/>
  <c r="C436" i="43"/>
  <c r="C691" i="43"/>
  <c r="C720" i="43"/>
  <c r="C633" i="43"/>
  <c r="C995" i="43"/>
  <c r="C258" i="43"/>
  <c r="C714" i="43"/>
  <c r="C798" i="43"/>
  <c r="C803" i="43"/>
  <c r="C887" i="43"/>
  <c r="C972" i="43"/>
  <c r="C418" i="43"/>
  <c r="C202" i="43"/>
  <c r="C415" i="43"/>
  <c r="C427" i="43"/>
  <c r="C519" i="43"/>
  <c r="C851" i="11"/>
  <c r="C530" i="43"/>
  <c r="C987" i="43"/>
  <c r="C660" i="43"/>
  <c r="C676" i="43"/>
  <c r="C539" i="43"/>
  <c r="C549" i="43"/>
  <c r="C256" i="43"/>
  <c r="C337" i="43"/>
  <c r="C416" i="43"/>
  <c r="C485" i="43"/>
  <c r="C840" i="43"/>
  <c r="C283" i="43"/>
  <c r="C276" i="11"/>
  <c r="C727" i="11"/>
  <c r="C673" i="11"/>
  <c r="C239" i="43"/>
  <c r="C159" i="43"/>
  <c r="C499" i="43"/>
  <c r="C563" i="43"/>
  <c r="C561" i="11"/>
  <c r="C990" i="43"/>
  <c r="C635" i="43"/>
  <c r="C998" i="43"/>
  <c r="C153" i="43"/>
  <c r="C542" i="43"/>
  <c r="C550" i="43"/>
  <c r="C969" i="43"/>
  <c r="C617" i="43"/>
  <c r="C259" i="43"/>
  <c r="C453" i="43"/>
  <c r="C564" i="43"/>
  <c r="C639" i="43"/>
  <c r="C844" i="43"/>
  <c r="C571" i="43"/>
  <c r="C655" i="43"/>
  <c r="C940" i="43"/>
  <c r="C858" i="43"/>
  <c r="C983" i="43"/>
  <c r="C736" i="43"/>
  <c r="C194" i="43"/>
  <c r="C423" i="43"/>
  <c r="C160" i="43"/>
  <c r="C824" i="43"/>
  <c r="C295" i="43"/>
  <c r="C920" i="43"/>
  <c r="C469" i="43"/>
  <c r="C767" i="43"/>
  <c r="C956" i="43"/>
  <c r="C405" i="11"/>
  <c r="C866" i="43"/>
  <c r="C772" i="43"/>
  <c r="C557" i="43"/>
  <c r="C867" i="11"/>
  <c r="C828" i="11"/>
  <c r="C131" i="11"/>
  <c r="C544" i="11"/>
  <c r="C843" i="11"/>
  <c r="C305" i="11"/>
  <c r="C209" i="11"/>
  <c r="C874" i="11"/>
  <c r="C345" i="11"/>
  <c r="C829" i="11"/>
  <c r="C709" i="43"/>
  <c r="C451" i="43"/>
  <c r="C793" i="43"/>
  <c r="C698" i="43"/>
  <c r="C474" i="43"/>
  <c r="C931" i="11"/>
  <c r="C850" i="11"/>
  <c r="C719" i="11"/>
  <c r="C270" i="11"/>
  <c r="C723" i="11"/>
  <c r="C189" i="11"/>
  <c r="C1016" i="11"/>
  <c r="C991" i="11"/>
  <c r="C653" i="11"/>
  <c r="C225" i="11"/>
  <c r="C68" i="11"/>
  <c r="C768" i="11"/>
  <c r="C1004" i="11"/>
  <c r="C488" i="11"/>
  <c r="C835" i="11"/>
  <c r="C329" i="11"/>
  <c r="C625" i="11"/>
  <c r="C570" i="11"/>
  <c r="C154" i="43"/>
  <c r="C118" i="43"/>
  <c r="C568" i="43"/>
  <c r="C999" i="43"/>
  <c r="C264" i="43"/>
  <c r="C296" i="43"/>
  <c r="C249" i="43"/>
  <c r="C712" i="43"/>
  <c r="C927" i="11"/>
  <c r="C364" i="43"/>
  <c r="C589" i="43"/>
  <c r="C401" i="11"/>
  <c r="C692" i="43"/>
  <c r="C1012" i="43"/>
  <c r="C675" i="43"/>
  <c r="C812" i="43"/>
  <c r="C854" i="43"/>
  <c r="C722" i="43"/>
  <c r="C953" i="43"/>
  <c r="C300" i="11"/>
  <c r="C250" i="43"/>
  <c r="C952" i="43"/>
  <c r="C192" i="43"/>
  <c r="C423" i="11"/>
  <c r="C455" i="43"/>
  <c r="C643" i="43"/>
  <c r="C971" i="43"/>
  <c r="C240" i="43"/>
  <c r="C269" i="43"/>
  <c r="C535" i="43"/>
  <c r="C355" i="43"/>
  <c r="C916" i="11"/>
  <c r="C397" i="43"/>
  <c r="C144" i="43"/>
  <c r="C175" i="43"/>
  <c r="C523" i="11"/>
  <c r="C381" i="43"/>
  <c r="C613" i="43"/>
  <c r="C219" i="43"/>
  <c r="C90" i="43"/>
  <c r="C245" i="43"/>
  <c r="C822" i="43"/>
  <c r="C140" i="43"/>
  <c r="C368" i="43"/>
  <c r="C466" i="11"/>
  <c r="C367" i="43"/>
  <c r="C1015" i="11"/>
  <c r="C131" i="43"/>
  <c r="C946" i="11"/>
  <c r="C945" i="11"/>
  <c r="C607" i="11"/>
  <c r="C985" i="11"/>
  <c r="C671" i="43"/>
  <c r="C864" i="43"/>
  <c r="C271" i="11"/>
  <c r="C55" i="11"/>
  <c r="C676" i="11"/>
  <c r="C789" i="43"/>
  <c r="C291" i="43"/>
  <c r="C390" i="43"/>
  <c r="C299" i="11"/>
  <c r="C454" i="11"/>
  <c r="C1007" i="11"/>
  <c r="C9" i="43"/>
  <c r="C436" i="11"/>
  <c r="C246" i="11"/>
  <c r="C794" i="11"/>
  <c r="C981" i="11"/>
  <c r="C66" i="11"/>
  <c r="C98" i="43"/>
  <c r="C812" i="11"/>
  <c r="C848" i="11"/>
  <c r="C21" i="11"/>
  <c r="C1005" i="11"/>
  <c r="C618" i="11"/>
  <c r="C32" i="43"/>
  <c r="C358" i="11"/>
  <c r="C67" i="43"/>
  <c r="C14" i="11"/>
  <c r="C17" i="43"/>
  <c r="C978" i="11"/>
  <c r="C50" i="43"/>
  <c r="C259" i="11"/>
  <c r="C173" i="11"/>
  <c r="C95" i="11"/>
  <c r="C537" i="11"/>
  <c r="C802" i="11"/>
  <c r="C919" i="11"/>
  <c r="C47" i="43"/>
  <c r="C315" i="11"/>
  <c r="C64" i="43"/>
  <c r="C205" i="11"/>
  <c r="C424" i="11"/>
  <c r="C30" i="11"/>
  <c r="C45" i="43"/>
  <c r="C72" i="11"/>
  <c r="C63" i="11"/>
  <c r="C517" i="11"/>
  <c r="C623" i="11"/>
  <c r="C675" i="11"/>
  <c r="C680" i="11"/>
  <c r="C688" i="11"/>
  <c r="C301" i="11"/>
  <c r="C941" i="11"/>
  <c r="C125" i="11"/>
  <c r="C501" i="11"/>
  <c r="C891" i="11"/>
  <c r="C238" i="11"/>
  <c r="C393" i="11"/>
  <c r="C868" i="11"/>
  <c r="C778" i="11"/>
  <c r="C984" i="11"/>
  <c r="C93" i="43"/>
  <c r="C509" i="11"/>
  <c r="C540" i="11"/>
  <c r="C29" i="11"/>
  <c r="C832" i="11"/>
  <c r="C9" i="11"/>
  <c r="C56" i="43"/>
  <c r="C428" i="11"/>
  <c r="C2" i="43"/>
  <c r="C86" i="43"/>
  <c r="C308" i="11"/>
  <c r="C192" i="11"/>
  <c r="C39" i="43"/>
  <c r="C615" i="11"/>
  <c r="C379" i="11"/>
  <c r="C618" i="43"/>
  <c r="C433" i="43"/>
  <c r="C950" i="43"/>
  <c r="C686" i="43"/>
  <c r="C254" i="43"/>
  <c r="C1024" i="43"/>
  <c r="C681" i="43"/>
  <c r="C482" i="43"/>
  <c r="C944" i="43"/>
  <c r="C775" i="43"/>
  <c r="C204" i="43"/>
  <c r="C989" i="43"/>
  <c r="C388" i="43"/>
  <c r="C703" i="43"/>
  <c r="C339" i="43"/>
  <c r="C674" i="43"/>
  <c r="C738" i="43"/>
  <c r="C1010" i="43"/>
  <c r="C1002" i="43"/>
  <c r="C760" i="43"/>
  <c r="C638" i="11"/>
  <c r="C502" i="11"/>
  <c r="C306" i="43"/>
  <c r="C234" i="43"/>
  <c r="C861" i="43"/>
  <c r="C278" i="11"/>
  <c r="C979" i="11"/>
  <c r="C519" i="11"/>
  <c r="C962" i="11"/>
  <c r="C590" i="11"/>
  <c r="C896" i="11"/>
  <c r="C769" i="43"/>
  <c r="C803" i="11"/>
  <c r="C556" i="43"/>
  <c r="C372" i="11"/>
  <c r="C988" i="11"/>
  <c r="C969" i="11"/>
  <c r="C413" i="11"/>
  <c r="C120" i="11"/>
  <c r="C702" i="11"/>
  <c r="C214" i="11"/>
  <c r="C653" i="43"/>
  <c r="C644" i="43"/>
  <c r="C428" i="43"/>
  <c r="C841" i="43"/>
  <c r="C506" i="43"/>
  <c r="C277" i="43"/>
  <c r="C312" i="11"/>
  <c r="C763" i="11"/>
  <c r="C322" i="11"/>
  <c r="C817" i="11"/>
  <c r="C553" i="11"/>
  <c r="C862" i="11"/>
  <c r="C321" i="11"/>
  <c r="C530" i="11"/>
  <c r="C845" i="11"/>
  <c r="C73" i="11"/>
  <c r="C387" i="43"/>
  <c r="C901" i="11"/>
  <c r="C253" i="11"/>
  <c r="C324" i="11"/>
  <c r="C834" i="11"/>
  <c r="C497" i="11"/>
  <c r="C239" i="11"/>
  <c r="C122" i="43"/>
  <c r="C298" i="43"/>
  <c r="C723" i="43"/>
  <c r="C804" i="43"/>
  <c r="C673" i="43"/>
  <c r="C833" i="43"/>
  <c r="C494" i="43"/>
  <c r="C346" i="43"/>
  <c r="C331" i="43"/>
  <c r="C347" i="43"/>
  <c r="C280" i="43"/>
  <c r="C127" i="43"/>
  <c r="C215" i="11"/>
  <c r="C234" i="11"/>
  <c r="C534" i="43"/>
  <c r="C744" i="43"/>
  <c r="C384" i="11"/>
  <c r="C199" i="43"/>
  <c r="C241" i="11"/>
  <c r="C933" i="11"/>
  <c r="C285" i="43"/>
  <c r="C168" i="43"/>
  <c r="C352" i="43"/>
  <c r="C1021" i="11"/>
  <c r="C367" i="11"/>
  <c r="C986" i="11"/>
  <c r="C341" i="11"/>
  <c r="C169" i="11"/>
  <c r="C191" i="11"/>
  <c r="C715" i="11"/>
  <c r="C290" i="11"/>
  <c r="C776" i="11"/>
  <c r="C52" i="43"/>
  <c r="C206" i="11"/>
  <c r="C604" i="11"/>
  <c r="C19" i="43"/>
  <c r="C736" i="11"/>
  <c r="C388" i="11"/>
  <c r="C741" i="11"/>
  <c r="C78" i="11"/>
  <c r="C477" i="11"/>
  <c r="C11" i="43"/>
  <c r="C637" i="11"/>
  <c r="C75" i="43"/>
  <c r="C806" i="11"/>
  <c r="C138" i="11"/>
  <c r="C375" i="11"/>
  <c r="C40" i="43"/>
  <c r="C860" i="11"/>
  <c r="C10" i="43"/>
  <c r="C361" i="11"/>
  <c r="C738" i="11"/>
  <c r="C245" i="11"/>
  <c r="C580" i="11"/>
  <c r="C359" i="11"/>
  <c r="C749" i="11"/>
  <c r="C113" i="11"/>
  <c r="C249" i="11"/>
  <c r="C102" i="43"/>
  <c r="C149" i="11"/>
  <c r="C883" i="11"/>
  <c r="C4" i="43"/>
  <c r="C227" i="11"/>
  <c r="C546" i="11"/>
  <c r="C108" i="43"/>
  <c r="C585" i="11"/>
  <c r="C38" i="11"/>
  <c r="C267" i="11"/>
  <c r="C207" i="11"/>
  <c r="C606" i="11"/>
  <c r="C3" i="43"/>
  <c r="C666" i="11"/>
  <c r="C402" i="11"/>
  <c r="C74" i="43"/>
  <c r="C158" i="11"/>
  <c r="C14" i="43"/>
  <c r="C186" i="11"/>
  <c r="C907" i="11"/>
  <c r="C16" i="11"/>
  <c r="C195" i="11"/>
  <c r="C65" i="11"/>
  <c r="C892" i="43"/>
  <c r="C896" i="43"/>
  <c r="C915" i="43"/>
  <c r="C856" i="43"/>
  <c r="C792" i="43"/>
  <c r="C640" i="43"/>
  <c r="C872" i="43"/>
  <c r="C173" i="43"/>
  <c r="C179" i="43"/>
  <c r="C332" i="43"/>
  <c r="C181" i="43"/>
  <c r="C349" i="43"/>
  <c r="C522" i="43"/>
  <c r="C261" i="43"/>
  <c r="C242" i="43"/>
  <c r="C139" i="43"/>
  <c r="C174" i="43"/>
  <c r="C203" i="43"/>
  <c r="C815" i="43"/>
  <c r="C515" i="11"/>
  <c r="C829" i="43"/>
  <c r="C733" i="43"/>
  <c r="C146" i="43"/>
  <c r="C411" i="43"/>
  <c r="C1019" i="11"/>
  <c r="C597" i="43"/>
  <c r="C495" i="43"/>
  <c r="C183" i="43"/>
  <c r="C963" i="43"/>
  <c r="C957" i="43"/>
  <c r="C237" i="43"/>
  <c r="C409" i="11"/>
  <c r="C841" i="11"/>
  <c r="C949" i="11"/>
  <c r="C492" i="43"/>
  <c r="C223" i="11"/>
  <c r="C858" i="11"/>
  <c r="C529" i="11"/>
  <c r="C491" i="11"/>
  <c r="C187" i="11"/>
  <c r="C432" i="43"/>
  <c r="C870" i="43"/>
  <c r="C287" i="43"/>
  <c r="C765" i="43"/>
  <c r="C172" i="43"/>
  <c r="C960" i="43"/>
  <c r="C1002" i="11"/>
  <c r="C233" i="11"/>
  <c r="C989" i="11"/>
  <c r="C792" i="11"/>
  <c r="C180" i="11"/>
  <c r="C839" i="11"/>
  <c r="C114" i="11"/>
  <c r="C124" i="11"/>
  <c r="C728" i="11"/>
  <c r="C518" i="11"/>
  <c r="C33" i="11"/>
  <c r="C366" i="11"/>
  <c r="C764" i="11"/>
  <c r="C263" i="43"/>
  <c r="C333" i="11"/>
  <c r="C693" i="11"/>
  <c r="C795" i="11"/>
  <c r="C336" i="11"/>
  <c r="C217" i="11"/>
  <c r="C754" i="11"/>
  <c r="C97" i="11"/>
  <c r="C838" i="11"/>
  <c r="C37" i="11"/>
  <c r="C787" i="11"/>
  <c r="C873" i="11"/>
  <c r="C91" i="43"/>
  <c r="C563" i="11"/>
  <c r="C568" i="11"/>
  <c r="C58" i="11"/>
  <c r="C864" i="11"/>
  <c r="C934" i="11"/>
  <c r="C885" i="11"/>
  <c r="C840" i="11"/>
  <c r="C72" i="43"/>
  <c r="C922" i="11"/>
  <c r="C175" i="11"/>
  <c r="C160" i="11"/>
  <c r="C228" i="11"/>
  <c r="C33" i="43"/>
  <c r="C232" i="11"/>
  <c r="C972" i="11"/>
  <c r="C100" i="43"/>
  <c r="C309" i="11"/>
  <c r="C442" i="11"/>
  <c r="C837" i="11"/>
  <c r="C422" i="11"/>
  <c r="C107" i="11"/>
  <c r="C443" i="11"/>
  <c r="C1014" i="11"/>
  <c r="C932" i="11"/>
  <c r="C118" i="11"/>
  <c r="C951" i="11"/>
  <c r="C242" i="11"/>
  <c r="C194" i="11"/>
  <c r="C437" i="11"/>
  <c r="C302" i="11"/>
  <c r="C559" i="11"/>
  <c r="C5" i="43"/>
  <c r="C268" i="43"/>
  <c r="C300" i="43"/>
  <c r="C195" i="43"/>
  <c r="C677" i="43"/>
  <c r="C741" i="43"/>
  <c r="C799" i="11"/>
  <c r="C1026" i="11"/>
  <c r="C1004" i="43"/>
  <c r="C985" i="43"/>
  <c r="C946" i="43"/>
  <c r="C871" i="43"/>
  <c r="C638" i="43"/>
  <c r="C210" i="43"/>
  <c r="C377" i="43"/>
  <c r="C330" i="43"/>
  <c r="C964" i="43"/>
  <c r="C652" i="43"/>
  <c r="C666" i="43"/>
  <c r="C809" i="43"/>
  <c r="C142" i="43"/>
  <c r="C125" i="43"/>
  <c r="C516" i="43"/>
  <c r="C561" i="43"/>
  <c r="C764" i="43"/>
  <c r="C922" i="43"/>
  <c r="C121" i="43"/>
  <c r="C468" i="43"/>
  <c r="C619" i="43"/>
  <c r="C457" i="43"/>
  <c r="C1000" i="43"/>
  <c r="C443" i="43"/>
  <c r="C283" i="11"/>
  <c r="C293" i="11"/>
  <c r="C760" i="11"/>
  <c r="C112" i="43"/>
  <c r="C470" i="11"/>
  <c r="C496" i="43"/>
  <c r="C444" i="43"/>
  <c r="C684" i="43"/>
  <c r="C402" i="43"/>
  <c r="C426" i="43"/>
  <c r="C967" i="43"/>
  <c r="C800" i="43"/>
  <c r="C588" i="43"/>
  <c r="C297" i="43"/>
  <c r="C719" i="43"/>
  <c r="C363" i="43"/>
  <c r="C918" i="43"/>
  <c r="C823" i="43"/>
  <c r="C171" i="43"/>
  <c r="C165" i="43"/>
  <c r="C647" i="43"/>
  <c r="C318" i="43"/>
  <c r="C825" i="11"/>
  <c r="C342" i="43"/>
  <c r="C495" i="11"/>
  <c r="C746" i="11"/>
  <c r="C201" i="11"/>
  <c r="C306" i="11"/>
  <c r="C805" i="11"/>
  <c r="C679" i="43"/>
  <c r="C309" i="43"/>
  <c r="C487" i="43"/>
  <c r="C777" i="11"/>
  <c r="C482" i="11"/>
  <c r="C821" i="11"/>
  <c r="C139" i="11"/>
  <c r="C925" i="11"/>
  <c r="C287" i="11"/>
  <c r="C808" i="11"/>
  <c r="C504" i="11"/>
  <c r="C190" i="43"/>
  <c r="C162" i="43"/>
  <c r="C226" i="43"/>
  <c r="C394" i="43"/>
  <c r="C870" i="11"/>
  <c r="C311" i="43"/>
  <c r="C599" i="43"/>
  <c r="C406" i="43"/>
  <c r="C303" i="43"/>
  <c r="C247" i="43"/>
  <c r="C395" i="11"/>
  <c r="C1000" i="11"/>
  <c r="C157" i="11"/>
  <c r="C225" i="43"/>
  <c r="C304" i="43"/>
  <c r="C252" i="43"/>
  <c r="C1020" i="11"/>
  <c r="C879" i="11"/>
  <c r="C461" i="11"/>
  <c r="C123" i="43"/>
  <c r="C1009" i="11"/>
  <c r="C433" i="11"/>
  <c r="C585" i="43"/>
  <c r="C213" i="43"/>
  <c r="C404" i="43"/>
  <c r="C331" i="11"/>
  <c r="C1011" i="43"/>
  <c r="C236" i="43"/>
  <c r="C686" i="11"/>
  <c r="C800" i="11"/>
  <c r="C728" i="43"/>
  <c r="C211" i="43"/>
  <c r="C786" i="11"/>
  <c r="C165" i="11"/>
  <c r="C775" i="11"/>
  <c r="C304" i="11"/>
  <c r="C7" i="11"/>
  <c r="C912" i="11"/>
  <c r="C4" i="11"/>
  <c r="C183" i="11"/>
  <c r="C104" i="43"/>
  <c r="C493" i="11"/>
  <c r="C110" i="11"/>
  <c r="C944" i="11"/>
  <c r="C40" i="11"/>
  <c r="C105" i="43"/>
  <c r="C737" i="11"/>
  <c r="C73" i="43"/>
  <c r="C48" i="11"/>
  <c r="C511" i="11"/>
  <c r="C457" i="11"/>
  <c r="C852" i="11"/>
  <c r="C697" i="11"/>
  <c r="C397" i="11"/>
  <c r="C565" i="11"/>
  <c r="C560" i="11"/>
  <c r="C59" i="11"/>
  <c r="C465" i="11"/>
  <c r="C235" i="11"/>
  <c r="C57" i="11"/>
  <c r="C284" i="11"/>
  <c r="C538" i="11"/>
  <c r="C101" i="11"/>
  <c r="C98" i="11"/>
  <c r="C207" i="43"/>
  <c r="C606" i="43"/>
  <c r="C802" i="43"/>
  <c r="C886" i="43"/>
  <c r="C745" i="43"/>
  <c r="C929" i="43"/>
  <c r="C683" i="43"/>
  <c r="C650" i="43"/>
  <c r="C670" i="43"/>
  <c r="C636" i="43"/>
  <c r="C848" i="43"/>
  <c r="C859" i="43"/>
  <c r="C420" i="43"/>
  <c r="C232" i="43"/>
  <c r="C748" i="43"/>
  <c r="C559" i="43"/>
  <c r="C789" i="11"/>
  <c r="C373" i="11"/>
  <c r="C391" i="11"/>
  <c r="C706" i="11"/>
  <c r="C640" i="11"/>
  <c r="C491" i="43"/>
  <c r="C484" i="43"/>
  <c r="C272" i="11"/>
  <c r="C1001" i="11"/>
  <c r="C956" i="11"/>
  <c r="C343" i="11"/>
  <c r="C694" i="11"/>
  <c r="C371" i="11"/>
  <c r="C662" i="11"/>
  <c r="C417" i="11"/>
  <c r="C314" i="11"/>
  <c r="C700" i="43"/>
  <c r="C788" i="43"/>
  <c r="C897" i="43"/>
  <c r="C976" i="43"/>
  <c r="C327" i="43"/>
  <c r="C293" i="43"/>
  <c r="C380" i="11"/>
  <c r="C831" i="43"/>
  <c r="C224" i="43"/>
  <c r="C876" i="11"/>
  <c r="C688" i="43"/>
  <c r="C405" i="43"/>
  <c r="C939" i="11"/>
  <c r="C473" i="11"/>
  <c r="C836" i="11"/>
  <c r="C831" i="11"/>
  <c r="C71" i="43"/>
  <c r="C726" i="11"/>
  <c r="C12" i="43"/>
  <c r="C196" i="11"/>
  <c r="C200" i="11"/>
  <c r="C961" i="11"/>
  <c r="C387" i="11"/>
  <c r="C658" i="11"/>
  <c r="C893" i="11"/>
  <c r="C263" i="11"/>
  <c r="C698" i="11"/>
  <c r="C279" i="11"/>
  <c r="C102" i="11"/>
  <c r="C311" i="11"/>
  <c r="C1003" i="11"/>
  <c r="C291" i="11"/>
  <c r="C22" i="43"/>
  <c r="C25" i="11"/>
  <c r="C474" i="11"/>
  <c r="C512" i="11"/>
  <c r="C915" i="11"/>
  <c r="C36" i="11"/>
  <c r="C531" i="11"/>
  <c r="C76" i="11"/>
  <c r="C452" i="43"/>
  <c r="C917" i="43"/>
  <c r="C592" i="43"/>
  <c r="C322" i="43"/>
  <c r="C325" i="43"/>
  <c r="C607" i="43"/>
  <c r="C968" i="43"/>
  <c r="C520" i="43"/>
  <c r="C208" i="43"/>
  <c r="C533" i="43"/>
  <c r="C342" i="11"/>
  <c r="C340" i="43"/>
  <c r="C128" i="11"/>
  <c r="C275" i="43"/>
  <c r="C680" i="43"/>
  <c r="C847" i="43"/>
  <c r="C353" i="11"/>
  <c r="C641" i="43"/>
  <c r="C822" i="11"/>
  <c r="C910" i="11"/>
  <c r="C317" i="11"/>
  <c r="C308" i="43"/>
  <c r="C437" i="43"/>
  <c r="C323" i="43"/>
  <c r="C159" i="11"/>
  <c r="C596" i="11"/>
  <c r="C506" i="11"/>
  <c r="C337" i="11"/>
  <c r="C448" i="11"/>
  <c r="C370" i="11"/>
  <c r="C440" i="11"/>
  <c r="C349" i="11"/>
  <c r="C678" i="11"/>
  <c r="C18" i="43"/>
  <c r="C43" i="11"/>
  <c r="C396" i="11"/>
  <c r="C27" i="43"/>
  <c r="C853" i="11"/>
  <c r="C412" i="11"/>
  <c r="C86" i="11"/>
  <c r="C634" i="11"/>
  <c r="C656" i="11"/>
  <c r="C13" i="11"/>
  <c r="C609" i="11"/>
  <c r="C85" i="43"/>
  <c r="C117" i="11"/>
  <c r="C39" i="11"/>
  <c r="C1024" i="11"/>
  <c r="C31" i="43"/>
  <c r="C298" i="11"/>
  <c r="C721" i="43"/>
  <c r="C167" i="43"/>
  <c r="C881" i="11"/>
  <c r="C909" i="43"/>
  <c r="C231" i="43"/>
  <c r="C649" i="43"/>
  <c r="C35" i="11"/>
  <c r="C459" i="11"/>
  <c r="C363" i="11"/>
  <c r="C740" i="11"/>
  <c r="C104" i="11"/>
  <c r="C707" i="11"/>
  <c r="C99" i="11"/>
  <c r="C49" i="11"/>
  <c r="C61" i="43"/>
  <c r="C75" i="11"/>
  <c r="C970" i="11"/>
  <c r="C703" i="11"/>
  <c r="C100" i="11"/>
  <c r="C905" i="11"/>
  <c r="C679" i="11"/>
  <c r="C107" i="43"/>
  <c r="C247" i="11"/>
  <c r="C96" i="43"/>
  <c r="C382" i="11"/>
  <c r="C948" i="11"/>
  <c r="C47" i="11"/>
  <c r="C711" i="11"/>
  <c r="C94" i="43"/>
  <c r="C2" i="11"/>
  <c r="C41" i="11"/>
  <c r="C28" i="11"/>
  <c r="C34" i="43"/>
  <c r="C687" i="11"/>
  <c r="C87" i="43"/>
  <c r="C619" i="11"/>
  <c r="C856" i="11"/>
  <c r="C258" i="11"/>
  <c r="C8" i="11"/>
  <c r="C586" i="43"/>
  <c r="C734" i="43"/>
  <c r="C384" i="43"/>
  <c r="C988" i="43"/>
  <c r="C182" i="43"/>
  <c r="C595" i="43"/>
  <c r="C783" i="43"/>
  <c r="C731" i="43"/>
  <c r="C116" i="43"/>
  <c r="C801" i="43"/>
  <c r="C770" i="43"/>
  <c r="C148" i="43"/>
  <c r="C137" i="43"/>
  <c r="C382" i="43"/>
  <c r="C727" i="43"/>
  <c r="C937" i="43"/>
  <c r="C883" i="43"/>
  <c r="C630" i="43"/>
  <c r="C756" i="43"/>
  <c r="C580" i="43"/>
  <c r="C114" i="43"/>
  <c r="C230" i="43"/>
  <c r="C852" i="43"/>
  <c r="C136" i="43"/>
  <c r="C364" i="11"/>
  <c r="C348" i="11"/>
  <c r="C284" i="43"/>
  <c r="C908" i="43"/>
  <c r="C472" i="11"/>
  <c r="C572" i="11"/>
  <c r="C326" i="43"/>
  <c r="C365" i="43"/>
  <c r="C849" i="11"/>
  <c r="C990" i="11"/>
  <c r="C266" i="11"/>
  <c r="C809" i="11"/>
  <c r="C243" i="11"/>
  <c r="C344" i="11"/>
  <c r="C899" i="11"/>
  <c r="C612" i="11"/>
  <c r="C869" i="11"/>
  <c r="C958" i="11"/>
  <c r="C288" i="43"/>
  <c r="C471" i="43"/>
  <c r="C813" i="43"/>
  <c r="C450" i="43"/>
  <c r="C759" i="11"/>
  <c r="C667" i="11"/>
  <c r="C419" i="11"/>
  <c r="C261" i="11"/>
  <c r="C155" i="11"/>
  <c r="C708" i="11"/>
  <c r="C724" i="11"/>
  <c r="C295" i="11"/>
  <c r="C847" i="11"/>
  <c r="C126" i="11"/>
  <c r="C70" i="11"/>
  <c r="C833" i="11"/>
  <c r="C394" i="11"/>
  <c r="C438" i="11"/>
  <c r="C651" i="11"/>
  <c r="C620" i="11"/>
  <c r="C350" i="11"/>
  <c r="C1012" i="11"/>
  <c r="C762" i="43"/>
  <c r="C739" i="43"/>
  <c r="C417" i="43"/>
  <c r="C583" i="11"/>
  <c r="C113" i="43"/>
  <c r="C265" i="43"/>
  <c r="C220" i="43"/>
  <c r="C507" i="43"/>
  <c r="C503" i="43"/>
  <c r="C693" i="43"/>
  <c r="C707" i="43"/>
  <c r="C244" i="43"/>
  <c r="C971" i="11"/>
  <c r="C500" i="43"/>
  <c r="C461" i="43"/>
  <c r="C319" i="43"/>
  <c r="C664" i="11"/>
  <c r="C776" i="43"/>
  <c r="C733" i="11"/>
  <c r="C185" i="11"/>
  <c r="C390" i="11"/>
  <c r="C463" i="11"/>
  <c r="C430" i="11"/>
  <c r="C318" i="11"/>
  <c r="C483" i="11"/>
  <c r="C854" i="11"/>
  <c r="C360" i="11"/>
  <c r="C691" i="11"/>
  <c r="C573" i="11"/>
  <c r="C661" i="11"/>
  <c r="C908" i="11"/>
  <c r="C140" i="11"/>
  <c r="C426" i="11"/>
  <c r="C631" i="11"/>
  <c r="C650" i="11"/>
  <c r="C595" i="11"/>
  <c r="C444" i="11"/>
  <c r="C27" i="11"/>
  <c r="C871" i="11"/>
  <c r="C630" i="11"/>
  <c r="C109" i="11"/>
  <c r="C172" i="11"/>
  <c r="C695" i="11"/>
  <c r="C20" i="43"/>
  <c r="C548" i="11"/>
  <c r="C898" i="11"/>
  <c r="C21" i="43"/>
  <c r="C642" i="11"/>
  <c r="C289" i="11"/>
  <c r="C64" i="11"/>
  <c r="C961" i="43"/>
  <c r="C379" i="43"/>
  <c r="C878" i="11"/>
  <c r="C399" i="11"/>
  <c r="C762" i="11"/>
  <c r="C882" i="11"/>
  <c r="C467" i="11"/>
  <c r="C66" i="43"/>
  <c r="C77" i="11"/>
  <c r="C579" i="11"/>
  <c r="C924" i="11"/>
  <c r="C23" i="11"/>
  <c r="C141" i="11"/>
  <c r="C42" i="43"/>
  <c r="C368" i="11"/>
  <c r="C859" i="11"/>
  <c r="C639" i="11"/>
  <c r="C911" i="11"/>
  <c r="C76" i="43"/>
  <c r="C744" i="11"/>
  <c r="C408" i="11"/>
  <c r="C97" i="43"/>
  <c r="C70" i="43"/>
  <c r="C505" i="11"/>
  <c r="C269" i="11"/>
  <c r="C492" i="11"/>
  <c r="C616" i="11"/>
  <c r="C12" i="11"/>
  <c r="C286" i="11"/>
  <c r="C536" i="11"/>
  <c r="C481" i="11"/>
  <c r="C830" i="43"/>
  <c r="C578" i="43"/>
  <c r="C290" i="43"/>
  <c r="C938" i="43"/>
  <c r="C313" i="43"/>
  <c r="C448" i="43"/>
  <c r="C678" i="43"/>
  <c r="C614" i="43"/>
  <c r="C857" i="43"/>
  <c r="C456" i="43"/>
  <c r="C879" i="43"/>
  <c r="C164" i="11"/>
  <c r="C324" i="43"/>
  <c r="C759" i="43"/>
  <c r="C369" i="43"/>
  <c r="C893" i="43"/>
  <c r="C625" i="43"/>
  <c r="C987" i="11"/>
  <c r="C341" i="43"/>
  <c r="C280" i="11"/>
  <c r="C412" i="43"/>
  <c r="C333" i="43"/>
  <c r="C810" i="43"/>
  <c r="C810" i="11"/>
  <c r="C892" i="11"/>
  <c r="C664" i="43"/>
  <c r="C594" i="43"/>
  <c r="C567" i="11"/>
  <c r="C454" i="43"/>
  <c r="C253" i="43"/>
  <c r="C429" i="43"/>
  <c r="C351" i="11"/>
  <c r="C1011" i="11"/>
  <c r="C704" i="11"/>
  <c r="C629" i="11"/>
  <c r="C682" i="11"/>
  <c r="C496" i="11"/>
  <c r="C154" i="11"/>
  <c r="C1023" i="11"/>
  <c r="C668" i="11"/>
  <c r="C796" i="11"/>
  <c r="C527" i="43"/>
  <c r="C577" i="43"/>
  <c r="C479" i="43"/>
  <c r="C515" i="43"/>
  <c r="C815" i="11"/>
  <c r="C952" i="11"/>
  <c r="C797" i="11"/>
  <c r="C180" i="43"/>
  <c r="C554" i="11"/>
  <c r="C920" i="11"/>
  <c r="C770" i="11"/>
  <c r="C717" i="43"/>
  <c r="C215" i="43"/>
  <c r="C167" i="11"/>
  <c r="C81" i="43"/>
  <c r="C69" i="11"/>
  <c r="C790" i="11"/>
  <c r="C857" i="11"/>
  <c r="C622" i="11"/>
  <c r="C222" i="11"/>
  <c r="C953" i="11"/>
  <c r="C696" i="11"/>
  <c r="C709" i="11"/>
  <c r="C6" i="43"/>
  <c r="C897" i="11"/>
  <c r="C614" i="11"/>
  <c r="C979" i="43"/>
  <c r="C489" i="11"/>
  <c r="C415" i="11"/>
  <c r="C19" i="11"/>
  <c r="C197" i="11"/>
  <c r="C982" i="11"/>
  <c r="C45" i="11"/>
  <c r="C174" i="11"/>
  <c r="C190" i="11"/>
  <c r="C5" i="11"/>
  <c r="C602" i="11"/>
  <c r="C499" i="11"/>
  <c r="C700" i="11"/>
  <c r="C13" i="43"/>
  <c r="C895" i="11"/>
  <c r="C750" i="11"/>
  <c r="C50" i="11"/>
  <c r="C83" i="11"/>
  <c r="C598" i="11"/>
  <c r="C842" i="11"/>
  <c r="C826" i="11"/>
  <c r="C534" i="11"/>
  <c r="C458" i="11"/>
  <c r="C628" i="11"/>
  <c r="C223" i="43"/>
  <c r="C396" i="43"/>
  <c r="C725" i="43"/>
  <c r="C478" i="11"/>
  <c r="C340" i="11"/>
  <c r="C171" i="11"/>
  <c r="C557" i="11"/>
  <c r="C571" i="11"/>
  <c r="C865" i="11"/>
  <c r="C549" i="11"/>
  <c r="C77" i="43"/>
  <c r="C745" i="11"/>
  <c r="C69" i="43"/>
  <c r="C326" i="11"/>
  <c r="C875" i="11"/>
  <c r="C968" i="11"/>
  <c r="C660" i="11"/>
  <c r="C903" i="11"/>
  <c r="C447" i="11"/>
  <c r="C150" i="11"/>
  <c r="C96" i="11"/>
  <c r="C84" i="11"/>
  <c r="C8" i="43"/>
  <c r="C229" i="11"/>
  <c r="C328" i="11"/>
  <c r="C119" i="11"/>
  <c r="C930" i="11"/>
  <c r="C240" i="11"/>
  <c r="C108" i="11"/>
  <c r="C220" i="11"/>
  <c r="C46" i="43"/>
  <c r="C804" i="11"/>
  <c r="C432" i="11"/>
  <c r="C844" i="11"/>
  <c r="C824" i="11"/>
  <c r="C145" i="11"/>
  <c r="C453" i="11"/>
  <c r="C677" i="11"/>
  <c r="C37" i="43"/>
  <c r="C872" i="11"/>
  <c r="C82" i="11"/>
  <c r="C38" i="43"/>
  <c r="C92" i="43"/>
  <c r="C123" i="11"/>
  <c r="C24" i="11"/>
  <c r="C587" i="11"/>
  <c r="C116" i="11"/>
  <c r="C757" i="11"/>
  <c r="C1025" i="11"/>
  <c r="C452" i="11"/>
  <c r="C127" i="11"/>
  <c r="C649" i="11"/>
  <c r="C49" i="43"/>
  <c r="C148" i="11"/>
  <c r="C766" i="43"/>
  <c r="C274" i="43"/>
  <c r="C538" i="43"/>
  <c r="C761" i="43"/>
  <c r="C729" i="43"/>
  <c r="C562" i="43"/>
  <c r="C796" i="43"/>
  <c r="C631" i="43"/>
  <c r="C110" i="43"/>
  <c r="C924" i="43"/>
  <c r="C780" i="43"/>
  <c r="C814" i="43"/>
  <c r="C984" i="43"/>
  <c r="C752" i="11"/>
  <c r="C994" i="43"/>
  <c r="C438" i="43"/>
  <c r="C362" i="43"/>
  <c r="C907" i="43"/>
  <c r="C839" i="43"/>
  <c r="C124" i="43"/>
  <c r="C777" i="43"/>
  <c r="C320" i="11"/>
  <c r="C378" i="43"/>
  <c r="C1008" i="11"/>
  <c r="C316" i="11"/>
  <c r="C252" i="11"/>
  <c r="C357" i="43"/>
  <c r="C307" i="43"/>
  <c r="C682" i="43"/>
  <c r="C435" i="43"/>
  <c r="C371" i="43"/>
  <c r="C143" i="43"/>
  <c r="C931" i="43"/>
  <c r="C820" i="43"/>
  <c r="C901" i="43"/>
  <c r="C612" i="43"/>
  <c r="C545" i="43"/>
  <c r="C383" i="43"/>
  <c r="C808" i="43"/>
  <c r="C149" i="43"/>
  <c r="C838" i="43"/>
  <c r="C400" i="43"/>
  <c r="C450" i="11"/>
  <c r="C747" i="43"/>
  <c r="C476" i="43"/>
  <c r="C1017" i="11"/>
  <c r="C518" i="43"/>
  <c r="C593" i="11"/>
  <c r="C277" i="11"/>
  <c r="C103" i="43"/>
  <c r="C861" i="11"/>
  <c r="C15" i="11"/>
  <c r="C407" i="43"/>
  <c r="C621" i="43"/>
  <c r="C573" i="43"/>
  <c r="C735" i="43"/>
  <c r="C260" i="11"/>
  <c r="C62" i="43"/>
  <c r="C917" i="11"/>
  <c r="C71" i="11"/>
  <c r="C275" i="11"/>
  <c r="C67" i="11"/>
  <c r="C938" i="11"/>
  <c r="C48" i="43"/>
  <c r="C178" i="43"/>
  <c r="C1021" i="43"/>
  <c r="C601" i="43"/>
  <c r="C980" i="43"/>
  <c r="C229" i="43"/>
  <c r="C166" i="43"/>
  <c r="C393" i="43"/>
  <c r="C502" i="43"/>
  <c r="C575" i="43"/>
  <c r="C236" i="11"/>
  <c r="C198" i="43"/>
  <c r="C957" i="11"/>
  <c r="C373" i="43"/>
  <c r="C591" i="11"/>
  <c r="C460" i="43"/>
  <c r="C199" i="11"/>
  <c r="C335" i="11"/>
  <c r="C524" i="11"/>
  <c r="C1022" i="11"/>
  <c r="C771" i="11"/>
  <c r="C947" i="11"/>
  <c r="C385" i="43"/>
  <c r="C936" i="11"/>
  <c r="C608" i="11"/>
  <c r="C255" i="11"/>
  <c r="C539" i="11"/>
  <c r="C834" i="43"/>
  <c r="C712" i="11"/>
  <c r="C204" i="11"/>
  <c r="C547" i="11"/>
  <c r="C717" i="11"/>
  <c r="C888" i="11"/>
  <c r="C647" i="11"/>
  <c r="C95" i="43"/>
  <c r="C91" i="11"/>
  <c r="C652" i="11"/>
  <c r="C257" i="11"/>
  <c r="C798" i="11"/>
  <c r="C20" i="11"/>
  <c r="C659" i="11"/>
  <c r="C94" i="11"/>
  <c r="C533" i="11"/>
  <c r="C31" i="11"/>
  <c r="C354" i="11"/>
  <c r="C541" i="11"/>
  <c r="C146" i="11"/>
  <c r="C88" i="11"/>
  <c r="C26" i="43"/>
  <c r="C101" i="43"/>
  <c r="C791" i="43"/>
  <c r="C467" i="43"/>
  <c r="C743" i="11"/>
  <c r="C823" i="11"/>
  <c r="C994" i="11"/>
  <c r="C756" i="11"/>
  <c r="C142" i="11"/>
  <c r="C469" i="11"/>
  <c r="C889" i="11"/>
  <c r="C954" i="11"/>
  <c r="C166" i="11"/>
  <c r="C29" i="43"/>
  <c r="C605" i="11"/>
  <c r="C434" i="11"/>
  <c r="C902" i="11"/>
  <c r="C708" i="43"/>
  <c r="C338" i="43"/>
  <c r="C996" i="43"/>
  <c r="C973" i="43"/>
  <c r="C257" i="43"/>
  <c r="C855" i="11"/>
  <c r="C126" i="43"/>
  <c r="C132" i="43"/>
  <c r="C583" i="43"/>
  <c r="C705" i="43"/>
  <c r="C545" i="11"/>
  <c r="C821" i="43"/>
  <c r="C567" i="43"/>
  <c r="C713" i="43"/>
  <c r="C372" i="43"/>
  <c r="C202" i="11"/>
  <c r="C818" i="11"/>
  <c r="C303" i="11"/>
  <c r="C319" i="11"/>
  <c r="C511" i="43"/>
  <c r="C746" i="43"/>
  <c r="C983" i="11"/>
  <c r="C507" i="11"/>
  <c r="C528" i="11"/>
  <c r="C610" i="11"/>
  <c r="C814" i="11"/>
  <c r="C974" i="11"/>
  <c r="C1013" i="11"/>
  <c r="C310" i="11"/>
  <c r="C516" i="11"/>
  <c r="C665" i="11"/>
  <c r="C846" i="43"/>
  <c r="C955" i="43"/>
  <c r="C560" i="43"/>
  <c r="C233" i="43"/>
  <c r="C886" i="11"/>
  <c r="C246" i="43"/>
  <c r="C248" i="11"/>
  <c r="C209" i="43"/>
  <c r="C807" i="11"/>
  <c r="C685" i="11"/>
  <c r="C288" i="11"/>
  <c r="C628" i="43"/>
  <c r="C624" i="11"/>
  <c r="C819" i="11"/>
  <c r="C80" i="43"/>
  <c r="C785" i="11"/>
  <c r="C581" i="11"/>
  <c r="C65" i="43"/>
  <c r="C212" i="11"/>
  <c r="C377" i="11"/>
  <c r="C522" i="11"/>
  <c r="C82" i="43"/>
  <c r="C307" i="11"/>
  <c r="C62" i="11"/>
  <c r="C613" i="11"/>
  <c r="C296" i="11"/>
  <c r="C198" i="11"/>
  <c r="C773" i="11"/>
  <c r="C446" i="11"/>
  <c r="C992" i="11"/>
  <c r="C74" i="11"/>
  <c r="C641" i="11"/>
  <c r="C718" i="11"/>
  <c r="C748" i="11"/>
  <c r="C993" i="11"/>
  <c r="C52" i="11"/>
  <c r="C887" i="11"/>
  <c r="C99" i="43"/>
  <c r="C906" i="11"/>
  <c r="C403" i="11"/>
  <c r="C791" i="11"/>
  <c r="C899" i="43"/>
  <c r="C138" i="43"/>
  <c r="C554" i="43"/>
  <c r="C743" i="43"/>
  <c r="C508" i="43"/>
  <c r="C317" i="43"/>
  <c r="C286" i="43"/>
  <c r="C752" i="43"/>
  <c r="C481" i="43"/>
  <c r="C176" i="11"/>
  <c r="C697" i="43"/>
  <c r="C262" i="11"/>
  <c r="C224" i="11"/>
  <c r="C456" i="11"/>
  <c r="C150" i="43"/>
  <c r="C477" i="43"/>
  <c r="C998" i="11"/>
  <c r="C147" i="43"/>
  <c r="C133" i="43"/>
  <c r="C900" i="11"/>
  <c r="C419" i="43"/>
  <c r="C235" i="43"/>
  <c r="C328" i="43"/>
  <c r="C648" i="11"/>
  <c r="C163" i="43"/>
  <c r="C890" i="11"/>
  <c r="C737" i="43"/>
  <c r="C592" i="11"/>
  <c r="C830" i="11"/>
  <c r="C937" i="11"/>
  <c r="C501" i="43"/>
  <c r="C551" i="11"/>
  <c r="C671" i="11"/>
  <c r="C30" i="43"/>
  <c r="C500" i="11"/>
  <c r="C327" i="11"/>
  <c r="C485" i="11"/>
  <c r="C28" i="43"/>
  <c r="C34" i="11"/>
  <c r="C356" i="11"/>
  <c r="C54" i="11"/>
  <c r="C421" i="11"/>
  <c r="C976" i="11"/>
  <c r="C6" i="11"/>
  <c r="C210" i="11"/>
  <c r="C716" i="11"/>
  <c r="C105" i="11"/>
  <c r="C846" i="11"/>
  <c r="C484" i="11"/>
  <c r="C780" i="11"/>
  <c r="C193" i="11"/>
  <c r="C720" i="11"/>
  <c r="C801" i="11"/>
  <c r="C599" i="11"/>
  <c r="C498" i="11"/>
  <c r="C410" i="11"/>
  <c r="C753" i="11"/>
  <c r="C17" i="11"/>
  <c r="C87" i="11"/>
  <c r="C292" i="11"/>
  <c r="C68" i="43"/>
  <c r="C655" i="11"/>
  <c r="C121" i="11"/>
  <c r="C15" i="43"/>
  <c r="C597" i="11"/>
  <c r="C381" i="11"/>
  <c r="C78" i="43"/>
  <c r="C339" i="11"/>
  <c r="C996" i="11"/>
  <c r="C755" i="11"/>
  <c r="C959" i="11"/>
  <c r="C56" i="11"/>
  <c r="C701" i="11"/>
  <c r="C18" i="11"/>
  <c r="C1006" i="11"/>
  <c r="C913" i="11"/>
  <c r="C213" i="11"/>
  <c r="C103" i="11"/>
  <c r="C508" i="11"/>
  <c r="C182" i="11"/>
  <c r="C168" i="11"/>
  <c r="C134" i="11"/>
  <c r="C59" i="43"/>
  <c r="C143" i="11"/>
  <c r="C730" i="11"/>
  <c r="C10" i="11"/>
  <c r="C89" i="43"/>
  <c r="C226" i="11"/>
  <c r="C464" i="11"/>
  <c r="C1013" i="43"/>
  <c r="C1014" i="43"/>
  <c r="C977" i="43"/>
  <c r="C281" i="43"/>
  <c r="C658" i="43"/>
  <c r="C818" i="43"/>
  <c r="C489" i="43"/>
  <c r="C152" i="43"/>
  <c r="C425" i="11"/>
  <c r="C529" i="43"/>
  <c r="C425" i="43"/>
  <c r="C811" i="11"/>
  <c r="C526" i="11"/>
  <c r="C153" i="11"/>
  <c r="C115" i="43"/>
  <c r="C624" i="43"/>
  <c r="C975" i="43"/>
  <c r="C763" i="43"/>
  <c r="C248" i="43"/>
  <c r="C669" i="43"/>
  <c r="C523" i="43"/>
  <c r="C689" i="43"/>
  <c r="C1008" i="43"/>
  <c r="C876" i="43"/>
  <c r="C176" i="43"/>
  <c r="C945" i="43"/>
  <c r="C188" i="43"/>
  <c r="C161" i="11"/>
  <c r="C790" i="43"/>
  <c r="C134" i="43"/>
  <c r="C358" i="43"/>
  <c r="C935" i="11"/>
  <c r="C942" i="11"/>
  <c r="C273" i="11"/>
  <c r="C732" i="11"/>
  <c r="C418" i="11"/>
  <c r="C594" i="11"/>
  <c r="C476" i="11"/>
  <c r="C386" i="11"/>
  <c r="C692" i="11"/>
  <c r="C997" i="11"/>
  <c r="C314" i="43"/>
  <c r="C757" i="43"/>
  <c r="C543" i="11"/>
  <c r="C321" i="43"/>
  <c r="C710" i="11"/>
  <c r="C1016" i="43"/>
  <c r="C268" i="11"/>
  <c r="C973" i="11"/>
  <c r="C188" i="11"/>
  <c r="C781" i="11"/>
  <c r="C995" i="11"/>
  <c r="C471" i="11"/>
  <c r="C742" i="11"/>
  <c r="C216" i="11"/>
  <c r="C445" i="11"/>
  <c r="C79" i="43"/>
  <c r="C532" i="11"/>
  <c r="C940" i="11"/>
  <c r="C914" i="11"/>
  <c r="C617" i="11"/>
  <c r="C494" i="11"/>
  <c r="C735" i="11"/>
  <c r="C929" i="11"/>
  <c r="C370" i="43"/>
  <c r="C570" i="43"/>
  <c r="C189" i="43"/>
  <c r="C724" i="43"/>
  <c r="C608" i="43"/>
  <c r="C657" i="11"/>
  <c r="C336" i="43"/>
  <c r="C414" i="11"/>
  <c r="C359" i="43"/>
  <c r="C729" i="11"/>
  <c r="C488" i="43"/>
  <c r="C866" i="11"/>
  <c r="C191" i="43"/>
  <c r="C389" i="11"/>
  <c r="C531" i="43"/>
  <c r="C136" i="11"/>
  <c r="C552" i="11"/>
  <c r="C46" i="11"/>
  <c r="C441" i="11"/>
  <c r="C230" i="11"/>
  <c r="C465" i="43"/>
  <c r="C532" i="43"/>
  <c r="C701" i="43"/>
  <c r="C157" i="43"/>
  <c r="C731" i="11"/>
  <c r="C605" i="43"/>
  <c r="C904" i="11"/>
  <c r="C11" i="11"/>
  <c r="C147" i="11"/>
  <c r="C251" i="11"/>
  <c r="C486" i="11"/>
  <c r="C334" i="11"/>
  <c r="C55" i="43"/>
  <c r="C633" i="11"/>
  <c r="C827" i="11"/>
  <c r="C57" i="43"/>
  <c r="C621" i="11"/>
  <c r="C767" i="11"/>
  <c r="C420" i="11"/>
  <c r="C211" i="11"/>
  <c r="C699" i="11"/>
  <c r="C54" i="43"/>
  <c r="C556" i="11"/>
  <c r="C462" i="11"/>
  <c r="C93" i="11"/>
  <c r="C90" i="11"/>
  <c r="C219" i="11"/>
  <c r="C53" i="11"/>
  <c r="C133" i="11"/>
  <c r="C928" i="11"/>
  <c r="C576" i="43"/>
  <c r="C352" i="11"/>
  <c r="C926" i="11"/>
  <c r="C449" i="11"/>
  <c r="C475" i="11"/>
  <c r="C23" i="43"/>
  <c r="C963" i="11"/>
  <c r="C281" i="11"/>
  <c r="C439" i="11"/>
  <c r="C42" i="11"/>
  <c r="C376" i="11"/>
  <c r="C24" i="43"/>
  <c r="C36" i="43"/>
  <c r="C60" i="43"/>
  <c r="C788" i="11"/>
  <c r="C550" i="11"/>
  <c r="C178" i="11"/>
  <c r="C510" i="11"/>
  <c r="C25" i="43"/>
  <c r="C713" i="11"/>
  <c r="C739" i="11"/>
  <c r="C88" i="43"/>
  <c r="C589" i="11"/>
  <c r="C601" i="11"/>
  <c r="C135" i="11"/>
  <c r="C542" i="11"/>
  <c r="C89" i="11"/>
  <c r="C16" i="43"/>
  <c r="C404" i="11"/>
  <c r="C400" i="11"/>
  <c r="C7" i="43"/>
  <c r="C806" i="43"/>
  <c r="C851" i="43"/>
  <c r="C927" i="43"/>
  <c r="C970" i="43"/>
  <c r="C919" i="43"/>
  <c r="C634" i="43"/>
  <c r="C863" i="43"/>
  <c r="C687" i="43"/>
  <c r="C228" i="43"/>
  <c r="C447" i="43"/>
  <c r="C135" i="43"/>
  <c r="C965" i="43"/>
  <c r="C894" i="43"/>
  <c r="C699" i="43"/>
  <c r="C177" i="43"/>
  <c r="C933" i="43"/>
  <c r="C129" i="43"/>
  <c r="C231" i="11"/>
  <c r="C111" i="43"/>
  <c r="C292" i="43"/>
  <c r="C663" i="43"/>
  <c r="C558" i="11"/>
  <c r="C967" i="11"/>
  <c r="C670" i="11"/>
  <c r="C357" i="11"/>
  <c r="C256" i="11"/>
  <c r="C551" i="43"/>
  <c r="C904" i="43"/>
  <c r="C575" i="11"/>
  <c r="C221" i="43"/>
  <c r="C208" i="11"/>
  <c r="C151" i="11"/>
  <c r="C627" i="11"/>
  <c r="C44" i="11"/>
  <c r="C880" i="11"/>
  <c r="C1010" i="11"/>
  <c r="C758" i="11"/>
  <c r="C22" i="11"/>
  <c r="C681" i="11"/>
  <c r="C584" i="11"/>
  <c r="C58" i="43"/>
  <c r="C60" i="11"/>
  <c r="C407" i="11"/>
  <c r="C468" i="11"/>
  <c r="C766" i="11"/>
  <c r="C645" i="11"/>
  <c r="C783" i="11"/>
  <c r="C588" i="11"/>
  <c r="C569" i="11"/>
  <c r="C566" i="11"/>
  <c r="C383" i="11"/>
  <c r="C661" i="43"/>
  <c r="C451" i="11"/>
  <c r="C53" i="43"/>
  <c r="C674" i="11"/>
  <c r="C32" i="11"/>
  <c r="C460" i="11"/>
  <c r="C26" i="11"/>
  <c r="C521" i="11"/>
  <c r="C112" i="11"/>
  <c r="C600" i="11"/>
  <c r="C683" i="11"/>
  <c r="C80" i="11"/>
  <c r="C79" i="11"/>
  <c r="C611" i="11"/>
  <c r="C61" i="11"/>
  <c r="C714" i="11"/>
  <c r="C955" i="11"/>
  <c r="C392" i="11"/>
  <c r="C92" i="11"/>
  <c r="C44" i="43"/>
  <c r="C636" i="11"/>
  <c r="C582" i="11"/>
  <c r="C221" i="11"/>
  <c r="C51" i="11"/>
  <c r="C237" i="11"/>
  <c r="C635" i="11"/>
  <c r="C874" i="43"/>
  <c r="C646" i="43"/>
  <c r="C975" i="11"/>
  <c r="C837" i="43"/>
  <c r="C816" i="11"/>
  <c r="C399" i="43"/>
  <c r="C689" i="11"/>
  <c r="C694" i="43"/>
  <c r="C629" i="43"/>
  <c r="C544" i="43"/>
  <c r="C632" i="11"/>
  <c r="C950" i="11"/>
  <c r="C346" i="11"/>
  <c r="C254" i="11"/>
  <c r="C431" i="11"/>
  <c r="C753" i="43"/>
  <c r="C431" i="43"/>
  <c r="C574" i="43"/>
  <c r="C264" i="11"/>
  <c r="C406" i="11"/>
  <c r="C685" i="43"/>
  <c r="C279" i="43"/>
  <c r="C525" i="11"/>
  <c r="C152" i="11"/>
  <c r="C520" i="11"/>
  <c r="C479" i="11"/>
  <c r="C894" i="11"/>
  <c r="C374" i="11"/>
  <c r="C170" i="11"/>
  <c r="C81" i="11"/>
  <c r="C654" i="11"/>
  <c r="C106" i="43"/>
  <c r="C325" i="11"/>
  <c r="C313" i="11"/>
  <c r="C156" i="11"/>
  <c r="C84" i="43"/>
  <c r="C503" i="11"/>
  <c r="C115" i="11"/>
  <c r="C85" i="11"/>
  <c r="C964" i="11"/>
  <c r="C255" i="43"/>
  <c r="C285" i="11"/>
  <c r="C181" i="11"/>
  <c r="C734" i="11"/>
  <c r="C643" i="11"/>
  <c r="C411" i="11"/>
  <c r="C722" i="11"/>
  <c r="C427" i="11"/>
  <c r="C41" i="43"/>
  <c r="C646" i="11"/>
  <c r="C43" i="43"/>
  <c r="C435" i="11"/>
  <c r="C429" i="11"/>
  <c r="C35" i="43"/>
  <c r="C282" i="11"/>
  <c r="C265" i="11"/>
  <c r="C960" i="11"/>
  <c r="C782" i="11"/>
  <c r="C83" i="43"/>
  <c r="C877" i="11"/>
  <c r="C480" i="11"/>
  <c r="C106" i="11"/>
  <c r="C943" i="11"/>
  <c r="C3" i="11"/>
  <c r="C772" i="11"/>
  <c r="C63" i="43"/>
  <c r="C793" i="11"/>
  <c r="C1028" i="11" l="1"/>
  <c r="B624" i="11" s="1"/>
  <c r="B382" i="11"/>
  <c r="B679" i="11"/>
  <c r="B970" i="11"/>
  <c r="B104" i="11"/>
  <c r="B35" i="11"/>
  <c r="B39" i="11"/>
  <c r="B634" i="11"/>
  <c r="B43" i="11"/>
  <c r="B440" i="11"/>
  <c r="B506" i="11"/>
  <c r="B317" i="11"/>
  <c r="B353" i="11"/>
  <c r="B342" i="11"/>
  <c r="B915" i="11"/>
  <c r="B1003" i="11"/>
  <c r="B698" i="11"/>
  <c r="B387" i="11"/>
  <c r="B836" i="11"/>
  <c r="B380" i="11"/>
  <c r="B371" i="11"/>
  <c r="B1001" i="11"/>
  <c r="B391" i="11"/>
  <c r="B101" i="11"/>
  <c r="B235" i="11"/>
  <c r="B565" i="11"/>
  <c r="B457" i="11"/>
  <c r="B737" i="11"/>
  <c r="B110" i="11"/>
  <c r="B7" i="11"/>
  <c r="B786" i="11"/>
  <c r="B1009" i="11"/>
  <c r="B1020" i="11"/>
  <c r="B395" i="11"/>
  <c r="B808" i="11"/>
  <c r="B821" i="11"/>
  <c r="B777" i="11"/>
  <c r="B306" i="11"/>
  <c r="B746" i="11"/>
  <c r="B825" i="11"/>
  <c r="B760" i="11"/>
  <c r="B283" i="11"/>
  <c r="B799" i="11"/>
  <c r="B302" i="11"/>
  <c r="B194" i="11"/>
  <c r="B951" i="11"/>
  <c r="B932" i="11"/>
  <c r="B443" i="11"/>
  <c r="B422" i="11"/>
  <c r="B442" i="11"/>
  <c r="B972" i="11"/>
  <c r="B228" i="11"/>
  <c r="B175" i="11"/>
  <c r="B840" i="11"/>
  <c r="B934" i="11"/>
  <c r="B58" i="11"/>
  <c r="B563" i="11"/>
  <c r="B787" i="11"/>
  <c r="B838" i="11"/>
  <c r="B754" i="11"/>
  <c r="B336" i="11"/>
  <c r="B693" i="11"/>
  <c r="B764" i="11"/>
  <c r="B33" i="11"/>
  <c r="B728" i="11"/>
  <c r="B114" i="11"/>
  <c r="B180" i="11"/>
  <c r="B989" i="11"/>
  <c r="B1002" i="11"/>
  <c r="B491" i="11"/>
  <c r="B858" i="11"/>
  <c r="B949" i="11"/>
  <c r="B409" i="11"/>
  <c r="B515" i="11"/>
  <c r="B195" i="11"/>
  <c r="B907" i="11"/>
  <c r="B158" i="11"/>
  <c r="B666" i="11"/>
  <c r="B207" i="11"/>
  <c r="B38" i="11"/>
  <c r="B546" i="11"/>
  <c r="B883" i="11"/>
  <c r="B249" i="11"/>
  <c r="B749" i="11"/>
  <c r="B580" i="11"/>
  <c r="B738" i="11"/>
  <c r="B361" i="11"/>
  <c r="B860" i="11"/>
  <c r="B375" i="11"/>
  <c r="B138" i="11"/>
  <c r="B806" i="11"/>
  <c r="B637" i="11"/>
  <c r="B477" i="11"/>
  <c r="B78" i="11"/>
  <c r="B741" i="11"/>
  <c r="B388" i="11"/>
  <c r="B736" i="11"/>
  <c r="B604" i="11"/>
  <c r="B206" i="11"/>
  <c r="B776" i="11"/>
  <c r="B290" i="11"/>
  <c r="B715" i="11"/>
  <c r="B191" i="11"/>
  <c r="B169" i="11"/>
  <c r="B341" i="11"/>
  <c r="B986" i="11"/>
  <c r="B367" i="11"/>
  <c r="B1021" i="11"/>
  <c r="B933" i="11"/>
  <c r="B241" i="11"/>
  <c r="B384" i="11"/>
  <c r="B234" i="11"/>
  <c r="B215" i="11"/>
  <c r="B239" i="11"/>
  <c r="B497" i="11"/>
  <c r="B834" i="11"/>
  <c r="B324" i="11"/>
  <c r="B253" i="11"/>
  <c r="B901" i="11"/>
  <c r="B73" i="11"/>
  <c r="B845" i="11"/>
  <c r="B530" i="11"/>
  <c r="B321" i="11"/>
  <c r="B862" i="11"/>
  <c r="B553" i="11"/>
  <c r="B817" i="11"/>
  <c r="B322" i="11"/>
  <c r="B763" i="11"/>
  <c r="B312" i="11"/>
  <c r="B214" i="11"/>
  <c r="B702" i="11"/>
  <c r="B120" i="11"/>
  <c r="B413" i="11"/>
  <c r="B969" i="11"/>
  <c r="B988" i="11"/>
  <c r="B372" i="11"/>
  <c r="B803" i="11"/>
  <c r="B896" i="11"/>
  <c r="B590" i="11"/>
  <c r="B962" i="11"/>
  <c r="B519" i="11"/>
  <c r="B979" i="11"/>
  <c r="B278" i="11"/>
  <c r="B502" i="11"/>
  <c r="B638" i="11"/>
  <c r="B379" i="11"/>
  <c r="B615" i="11"/>
  <c r="B192" i="11"/>
  <c r="B308" i="11"/>
  <c r="C1028" i="43"/>
  <c r="B94" i="43" s="1"/>
  <c r="B428" i="11"/>
  <c r="B9" i="11"/>
  <c r="B832" i="11"/>
  <c r="B29" i="11"/>
  <c r="B540" i="11"/>
  <c r="B509" i="11"/>
  <c r="B984" i="11"/>
  <c r="B778" i="11"/>
  <c r="B868" i="11"/>
  <c r="B393" i="11"/>
  <c r="B238" i="11"/>
  <c r="B891" i="11"/>
  <c r="B501" i="11"/>
  <c r="B125" i="11"/>
  <c r="B941" i="11"/>
  <c r="B301" i="11"/>
  <c r="B688" i="11"/>
  <c r="B680" i="11"/>
  <c r="B675" i="11"/>
  <c r="B623" i="11"/>
  <c r="B517" i="11"/>
  <c r="B63" i="11"/>
  <c r="B72" i="11"/>
  <c r="B30" i="11"/>
  <c r="B424" i="11"/>
  <c r="B205" i="11"/>
  <c r="B315" i="11"/>
  <c r="B919" i="11"/>
  <c r="B802" i="11"/>
  <c r="B537" i="11"/>
  <c r="B95" i="11"/>
  <c r="B173" i="11"/>
  <c r="B259" i="11"/>
  <c r="B50" i="43"/>
  <c r="B978" i="11"/>
  <c r="B17" i="43"/>
  <c r="B14" i="11"/>
  <c r="B67" i="43"/>
  <c r="B358" i="11"/>
  <c r="B32" i="43"/>
  <c r="B618" i="11"/>
  <c r="B1005" i="11"/>
  <c r="B21" i="11"/>
  <c r="B848" i="11"/>
  <c r="B812" i="11"/>
  <c r="B98" i="43"/>
  <c r="B66" i="11"/>
  <c r="B981" i="11"/>
  <c r="B794" i="11"/>
  <c r="B246" i="11"/>
  <c r="B436" i="11"/>
  <c r="B9" i="43"/>
  <c r="B1007" i="11"/>
  <c r="B454" i="11"/>
  <c r="B299" i="11"/>
  <c r="B390" i="43"/>
  <c r="B789" i="43"/>
  <c r="B676" i="11"/>
  <c r="B55" i="11"/>
  <c r="B271" i="11"/>
  <c r="B864" i="43"/>
  <c r="B985" i="11"/>
  <c r="B607" i="11"/>
  <c r="B945" i="11"/>
  <c r="B946" i="11"/>
  <c r="B131" i="43"/>
  <c r="B1015" i="11"/>
  <c r="B367" i="43"/>
  <c r="B466" i="11"/>
  <c r="B368" i="43"/>
  <c r="B822" i="43"/>
  <c r="B90" i="43"/>
  <c r="B613" i="43"/>
  <c r="B523" i="11"/>
  <c r="B144" i="43"/>
  <c r="B916" i="11"/>
  <c r="B535" i="43"/>
  <c r="B240" i="43"/>
  <c r="B643" i="43"/>
  <c r="B423" i="11"/>
  <c r="B952" i="43"/>
  <c r="B300" i="11"/>
  <c r="B722" i="43"/>
  <c r="B812" i="43"/>
  <c r="B1012" i="43"/>
  <c r="B401" i="11"/>
  <c r="B364" i="43"/>
  <c r="B927" i="11"/>
  <c r="B712" i="43"/>
  <c r="B296" i="43"/>
  <c r="B999" i="43"/>
  <c r="B118" i="43"/>
  <c r="B570" i="11"/>
  <c r="B625" i="11"/>
  <c r="B329" i="11"/>
  <c r="B835" i="11"/>
  <c r="B488" i="11"/>
  <c r="B1004" i="11"/>
  <c r="B768" i="11"/>
  <c r="B68" i="11"/>
  <c r="B225" i="11"/>
  <c r="B653" i="11"/>
  <c r="B991" i="11"/>
  <c r="B1016" i="11"/>
  <c r="B189" i="11"/>
  <c r="B723" i="11"/>
  <c r="B270" i="11"/>
  <c r="B719" i="11"/>
  <c r="B850" i="11"/>
  <c r="B931" i="11"/>
  <c r="B474" i="43"/>
  <c r="B793" i="43"/>
  <c r="B709" i="43"/>
  <c r="B829" i="11"/>
  <c r="B345" i="11"/>
  <c r="B874" i="11"/>
  <c r="B209" i="11"/>
  <c r="B305" i="11"/>
  <c r="B843" i="11"/>
  <c r="B544" i="11"/>
  <c r="B131" i="11"/>
  <c r="B828" i="11"/>
  <c r="B867" i="11"/>
  <c r="B772" i="43"/>
  <c r="B405" i="11"/>
  <c r="B767" i="43"/>
  <c r="B920" i="43"/>
  <c r="B824" i="43"/>
  <c r="B423" i="43"/>
  <c r="B736" i="43"/>
  <c r="B858" i="43"/>
  <c r="B655" i="43"/>
  <c r="B844" i="43"/>
  <c r="B564" i="43"/>
  <c r="B259" i="43"/>
  <c r="B969" i="43"/>
  <c r="B542" i="43"/>
  <c r="B998" i="43"/>
  <c r="B990" i="43"/>
  <c r="B561" i="11"/>
  <c r="B563" i="43"/>
  <c r="B159" i="43"/>
  <c r="B673" i="11"/>
  <c r="B727" i="11"/>
  <c r="B276" i="11"/>
  <c r="B840" i="43"/>
  <c r="B416" i="43"/>
  <c r="B256" i="43"/>
  <c r="B539" i="43"/>
  <c r="B660" i="43"/>
  <c r="B530" i="43"/>
  <c r="B851" i="11"/>
  <c r="B519" i="43"/>
  <c r="B415" i="43"/>
  <c r="B418" i="43"/>
  <c r="B887" i="43"/>
  <c r="B798" i="43"/>
  <c r="B258" i="43"/>
  <c r="B633" i="43"/>
  <c r="B691" i="43"/>
  <c r="B869" i="43"/>
  <c r="B928" i="43"/>
  <c r="B590" i="43"/>
  <c r="B811" i="43"/>
  <c r="B1003" i="43"/>
  <c r="B335" i="43"/>
  <c r="B562" i="11"/>
  <c r="B310" i="43"/>
  <c r="B130" i="43"/>
  <c r="B626" i="43"/>
  <c r="B376" i="43"/>
  <c r="B939" i="43"/>
  <c r="B222" i="43"/>
  <c r="B385" i="11"/>
  <c r="B644" i="11"/>
  <c r="B398" i="11"/>
  <c r="B980" i="11"/>
  <c r="B163" i="11"/>
  <c r="B884" i="11"/>
  <c r="B362" i="11"/>
  <c r="B784" i="11"/>
  <c r="B918" i="11"/>
  <c r="B779" i="11"/>
  <c r="B725" i="11"/>
  <c r="B347" i="11"/>
  <c r="B564" i="11"/>
  <c r="B586" i="11"/>
  <c r="B416" i="11"/>
  <c r="B761" i="11"/>
  <c r="B578" i="11"/>
  <c r="B669" i="11"/>
  <c r="B297" i="11"/>
  <c r="B690" i="11"/>
  <c r="B274" i="11"/>
  <c r="B144" i="11"/>
  <c r="B184" i="11"/>
  <c r="B413" i="43"/>
  <c r="B365" i="11"/>
  <c r="B863" i="11"/>
  <c r="B721" i="11"/>
  <c r="B179" i="11"/>
  <c r="B513" i="11"/>
  <c r="B156" i="43"/>
  <c r="B751" i="11"/>
  <c r="B909" i="11"/>
  <c r="B187" i="43"/>
  <c r="B751" i="43"/>
  <c r="B351" i="43"/>
  <c r="B250" i="11"/>
  <c r="B137" i="11"/>
  <c r="B684" i="11"/>
  <c r="B577" i="11"/>
  <c r="B820" i="11"/>
  <c r="B203" i="11"/>
  <c r="B527" i="11"/>
  <c r="B294" i="11"/>
  <c r="B603" i="11"/>
  <c r="B663" i="11"/>
  <c r="B769" i="11"/>
  <c r="B122" i="11"/>
  <c r="B111" i="11"/>
  <c r="B747" i="11"/>
  <c r="B330" i="11"/>
  <c r="B807" i="43"/>
  <c r="B378" i="11"/>
  <c r="B514" i="11"/>
  <c r="B813" i="11"/>
  <c r="B797" i="43"/>
  <c r="B657" i="43"/>
  <c r="B401" i="43"/>
  <c r="B487" i="11"/>
  <c r="B966" i="11"/>
  <c r="B323" i="11"/>
  <c r="B169" i="43"/>
  <c r="B332" i="11"/>
  <c r="B1009" i="43"/>
  <c r="B276" i="43"/>
  <c r="B449" i="43"/>
  <c r="B667" i="43"/>
  <c r="B774" i="11"/>
  <c r="B923" i="11"/>
  <c r="B524" i="43"/>
  <c r="B170" i="43"/>
  <c r="B1026" i="43"/>
  <c r="B338" i="11"/>
  <c r="B787" i="43"/>
  <c r="B480" i="43"/>
  <c r="B158" i="43"/>
  <c r="B696" i="43"/>
  <c r="B765" i="11"/>
  <c r="B445" i="43"/>
  <c r="B574" i="11"/>
  <c r="B884" i="43"/>
  <c r="B999" i="11"/>
  <c r="B493" i="43"/>
  <c r="B128" i="43"/>
  <c r="B262" i="43"/>
  <c r="B645" i="43"/>
  <c r="B558" i="43"/>
  <c r="B603" i="43"/>
  <c r="B329" i="43"/>
  <c r="B386" i="43"/>
  <c r="B750" i="43"/>
  <c r="B611" i="43"/>
  <c r="B1015" i="43"/>
  <c r="B555" i="11"/>
  <c r="B965" i="11"/>
  <c r="B442" i="43"/>
  <c r="B781" i="43"/>
  <c r="B648" i="43"/>
  <c r="B543" i="43"/>
  <c r="B880" i="43"/>
  <c r="B609" i="43"/>
  <c r="B912" i="43"/>
  <c r="B375" i="43"/>
  <c r="B218" i="11"/>
  <c r="B273" i="43"/>
  <c r="B455" i="11"/>
  <c r="B873" i="43"/>
  <c r="B977" i="11"/>
  <c r="B162" i="11"/>
  <c r="B132" i="11"/>
  <c r="B369" i="11"/>
  <c r="B389" i="43"/>
  <c r="B584" i="43"/>
  <c r="B205" i="43"/>
  <c r="B1025" i="43"/>
  <c r="B921" i="11"/>
  <c r="B726" i="43"/>
  <c r="B768" i="43"/>
  <c r="B616" i="43"/>
  <c r="B227" i="43"/>
  <c r="B355" i="11"/>
  <c r="B353" i="43"/>
  <c r="B705" i="11"/>
  <c r="B421" i="43"/>
  <c r="B244" i="11"/>
  <c r="B540" i="43"/>
  <c r="B889" i="43"/>
  <c r="B591" i="43"/>
  <c r="B604" i="43"/>
  <c r="B916" i="43"/>
  <c r="B266" i="43"/>
  <c r="B966" i="43"/>
  <c r="B845" i="43"/>
  <c r="B348" i="43"/>
  <c r="B272" i="43"/>
  <c r="B849" i="43"/>
  <c r="B795" i="43"/>
  <c r="B637" i="43"/>
  <c r="B662" i="43"/>
  <c r="B459" i="43"/>
  <c r="B299" i="43"/>
  <c r="B391" i="43"/>
  <c r="B910" i="43"/>
  <c r="B881" i="43"/>
  <c r="B843" i="43"/>
  <c r="B565" i="43"/>
  <c r="B440" i="43"/>
  <c r="B512" i="43"/>
  <c r="B344" i="43"/>
  <c r="B446" i="43"/>
  <c r="B742" i="43"/>
  <c r="B835" i="43"/>
  <c r="B715" i="43"/>
  <c r="B464" i="43"/>
  <c r="B877" i="43"/>
  <c r="B582" i="43"/>
  <c r="B959" i="43"/>
  <c r="B1018" i="11"/>
  <c r="B218" i="43"/>
  <c r="B665" i="43"/>
  <c r="B832" i="43"/>
  <c r="B816" i="43"/>
  <c r="B462" i="43"/>
  <c r="B212" i="43"/>
  <c r="B201" i="43"/>
  <c r="B576" i="11"/>
  <c r="B422" i="43"/>
  <c r="B251" i="43"/>
  <c r="B773" i="43"/>
  <c r="B439" i="43"/>
  <c r="B243" i="43"/>
  <c r="B525" i="43"/>
  <c r="B343" i="43"/>
  <c r="B282" i="43"/>
  <c r="B610" i="43"/>
  <c r="B184" i="43"/>
  <c r="B473" i="43"/>
  <c r="B1023" i="43"/>
  <c r="B654" i="43"/>
  <c r="B941" i="43"/>
  <c r="B932" i="43"/>
  <c r="B632" i="43"/>
  <c r="B514" i="43"/>
  <c r="B836" i="43"/>
  <c r="B185" i="43"/>
  <c r="B260" i="43"/>
  <c r="B672" i="43"/>
  <c r="B566" i="43"/>
  <c r="B895" i="43"/>
  <c r="B301" i="43"/>
  <c r="B732" i="43"/>
  <c r="B581" i="43"/>
  <c r="B782" i="43"/>
  <c r="B294" i="43"/>
  <c r="B238" i="43"/>
  <c r="B200" i="43"/>
  <c r="B921" i="43"/>
  <c r="B702" i="43"/>
  <c r="B490" i="43"/>
  <c r="B819" i="43"/>
  <c r="B942" i="43"/>
  <c r="B320" i="43"/>
  <c r="B434" i="43"/>
  <c r="B216" i="43"/>
  <c r="B656" i="43"/>
  <c r="B934" i="43"/>
  <c r="B826" i="43"/>
  <c r="B911" i="43"/>
  <c r="B779" i="43"/>
  <c r="B278" i="43"/>
  <c r="B356" i="43"/>
  <c r="B827" i="43"/>
  <c r="B730" i="43"/>
  <c r="B615" i="43"/>
  <c r="B986" i="43"/>
  <c r="B1022" i="43"/>
  <c r="B410" i="43"/>
  <c r="B587" i="43"/>
  <c r="B498" i="43"/>
  <c r="B925" i="43"/>
  <c r="B1018" i="43"/>
  <c r="B130" i="11"/>
  <c r="B395" i="43"/>
  <c r="B948" i="43"/>
  <c r="B862" i="43"/>
  <c r="B774" i="43"/>
  <c r="B513" i="43"/>
  <c r="B270" i="43"/>
  <c r="B164" i="43"/>
  <c r="B1001" i="43"/>
  <c r="B517" i="43"/>
  <c r="B596" i="43"/>
  <c r="B366" i="43"/>
  <c r="B898" i="43"/>
  <c r="B535" i="11"/>
  <c r="B900" i="43"/>
  <c r="B754" i="43"/>
  <c r="B672" i="11"/>
  <c r="B490" i="11"/>
  <c r="B177" i="11"/>
  <c r="B642" i="43"/>
  <c r="B193" i="43"/>
  <c r="B361" i="43"/>
  <c r="B509" i="43"/>
  <c r="B463" i="43"/>
  <c r="B129" i="11"/>
  <c r="B271" i="43"/>
  <c r="B547" i="43"/>
  <c r="B865" i="43"/>
  <c r="B626" i="11"/>
  <c r="B483" i="43"/>
  <c r="B315" i="43"/>
  <c r="B593" i="43"/>
  <c r="B186" i="43"/>
  <c r="B930" i="43"/>
  <c r="B521" i="43"/>
  <c r="B962" i="43"/>
  <c r="B799" i="43"/>
  <c r="B695" i="43"/>
  <c r="B536" i="43"/>
  <c r="B569" i="43"/>
  <c r="B1017" i="43"/>
  <c r="B622" i="43"/>
  <c r="B305" i="43"/>
  <c r="B627" i="43"/>
  <c r="B196" i="43"/>
  <c r="B850" i="43"/>
  <c r="B947" i="43"/>
  <c r="B478" i="43"/>
  <c r="B868" i="43"/>
  <c r="B472" i="43"/>
  <c r="B958" i="43"/>
  <c r="B875" i="43"/>
  <c r="B206" i="43"/>
  <c r="B690" i="43"/>
  <c r="B825" i="43"/>
  <c r="B526" i="43"/>
  <c r="B704" i="43"/>
  <c r="B598" i="43"/>
  <c r="B553" i="43"/>
  <c r="B1006" i="43"/>
  <c r="B458" i="43"/>
  <c r="B923" i="43"/>
  <c r="B885" i="43"/>
  <c r="B718" i="43"/>
  <c r="B109" i="43"/>
  <c r="B771" i="43"/>
  <c r="B380" i="43"/>
  <c r="B867" i="43"/>
  <c r="B403" i="43"/>
  <c r="B1007" i="43"/>
  <c r="B913" i="43"/>
  <c r="B860" i="43"/>
  <c r="B552" i="43"/>
  <c r="B312" i="43"/>
  <c r="B504" i="43"/>
  <c r="B214" i="43"/>
  <c r="B623" i="43"/>
  <c r="B145" i="43"/>
  <c r="B505" i="43"/>
  <c r="B878" i="43"/>
  <c r="B217" i="43"/>
  <c r="B510" i="43"/>
  <c r="B778" i="43"/>
  <c r="B982" i="43"/>
  <c r="B740" i="43"/>
  <c r="B991" i="43"/>
  <c r="B409" i="43"/>
  <c r="B914" i="43"/>
  <c r="B546" i="43"/>
  <c r="B430" i="43"/>
  <c r="B602" i="43"/>
  <c r="B668" i="43"/>
  <c r="B943" i="43"/>
  <c r="B398" i="43"/>
  <c r="B974" i="43"/>
  <c r="B1019" i="43"/>
  <c r="B758" i="43"/>
  <c r="B651" i="43"/>
  <c r="B620" i="43"/>
  <c r="B786" i="43"/>
  <c r="B408" i="43"/>
  <c r="B350" i="43"/>
  <c r="B954" i="43"/>
  <c r="B659" i="43"/>
  <c r="B414" i="43"/>
  <c r="B906" i="43"/>
  <c r="B1020" i="43"/>
  <c r="B345" i="43"/>
  <c r="B992" i="43"/>
  <c r="B981" i="43"/>
  <c r="B466" i="43"/>
  <c r="B392" i="43"/>
  <c r="B951" i="43"/>
  <c r="B1005" i="43"/>
  <c r="B903" i="43"/>
  <c r="B828" i="43"/>
  <c r="B120" i="43"/>
  <c r="B497" i="43"/>
  <c r="B470" i="43"/>
  <c r="B528" i="43"/>
  <c r="B785" i="43"/>
  <c r="B853" i="43"/>
  <c r="B978" i="43"/>
  <c r="B794" i="43"/>
  <c r="B855" i="43"/>
  <c r="B755" i="43"/>
  <c r="B935" i="43"/>
  <c r="B245" i="11" l="1"/>
  <c r="B359" i="11"/>
  <c r="B113" i="11"/>
  <c r="B149" i="11"/>
  <c r="B227" i="11"/>
  <c r="B585" i="11"/>
  <c r="B267" i="11"/>
  <c r="B606" i="11"/>
  <c r="B402" i="11"/>
  <c r="B186" i="11"/>
  <c r="B16" i="11"/>
  <c r="B65" i="11"/>
  <c r="B1019" i="11"/>
  <c r="B841" i="11"/>
  <c r="B223" i="11"/>
  <c r="B529" i="11"/>
  <c r="B187" i="11"/>
  <c r="B233" i="11"/>
  <c r="B792" i="11"/>
  <c r="B839" i="11"/>
  <c r="B124" i="11"/>
  <c r="B518" i="11"/>
  <c r="B366" i="11"/>
  <c r="B333" i="11"/>
  <c r="B795" i="11"/>
  <c r="B217" i="11"/>
  <c r="B97" i="11"/>
  <c r="B37" i="11"/>
  <c r="B873" i="11"/>
  <c r="B568" i="11"/>
  <c r="B864" i="11"/>
  <c r="B885" i="11"/>
  <c r="B922" i="11"/>
  <c r="B160" i="11"/>
  <c r="B232" i="11"/>
  <c r="B309" i="11"/>
  <c r="B837" i="11"/>
  <c r="B107" i="11"/>
  <c r="B1014" i="11"/>
  <c r="B118" i="11"/>
  <c r="B242" i="11"/>
  <c r="B437" i="11"/>
  <c r="B559" i="11"/>
  <c r="B1026" i="11"/>
  <c r="B293" i="11"/>
  <c r="B470" i="11"/>
  <c r="B495" i="11"/>
  <c r="B201" i="11"/>
  <c r="B805" i="11"/>
  <c r="B482" i="11"/>
  <c r="B925" i="11"/>
  <c r="B870" i="11"/>
  <c r="B157" i="11"/>
  <c r="B461" i="11"/>
  <c r="B686" i="11"/>
  <c r="B775" i="11"/>
  <c r="B4" i="11"/>
  <c r="B40" i="11"/>
  <c r="B48" i="11"/>
  <c r="B697" i="11"/>
  <c r="B59" i="11"/>
  <c r="B284" i="11"/>
  <c r="B789" i="11"/>
  <c r="B640" i="11"/>
  <c r="B343" i="11"/>
  <c r="B417" i="11"/>
  <c r="B939" i="11"/>
  <c r="B200" i="11"/>
  <c r="B893" i="11"/>
  <c r="B102" i="11"/>
  <c r="B474" i="11"/>
  <c r="B531" i="11"/>
  <c r="B128" i="11"/>
  <c r="B822" i="11"/>
  <c r="B159" i="11"/>
  <c r="B448" i="11"/>
  <c r="B678" i="11"/>
  <c r="B412" i="11"/>
  <c r="B13" i="11"/>
  <c r="B881" i="11"/>
  <c r="B363" i="11"/>
  <c r="B99" i="11"/>
  <c r="B100" i="11"/>
  <c r="B247" i="11"/>
  <c r="B47" i="11"/>
  <c r="B805" i="43"/>
  <c r="B334" i="43"/>
  <c r="B548" i="43"/>
  <c r="B891" i="43"/>
  <c r="B926" i="43"/>
  <c r="B817" i="43"/>
  <c r="B151" i="43"/>
  <c r="B360" i="43"/>
  <c r="B711" i="43"/>
  <c r="B888" i="43"/>
  <c r="B600" i="43"/>
  <c r="B710" i="43"/>
  <c r="B354" i="43"/>
  <c r="B555" i="43"/>
  <c r="B289" i="43"/>
  <c r="B541" i="43"/>
  <c r="B706" i="43"/>
  <c r="B902" i="43"/>
  <c r="B993" i="43"/>
  <c r="B119" i="43"/>
  <c r="B572" i="43"/>
  <c r="B141" i="43"/>
  <c r="B475" i="43"/>
  <c r="B161" i="43"/>
  <c r="B749" i="43"/>
  <c r="B905" i="43"/>
  <c r="B424" i="43"/>
  <c r="B117" i="43"/>
  <c r="B267" i="43"/>
  <c r="B316" i="43"/>
  <c r="B486" i="43"/>
  <c r="B579" i="43"/>
  <c r="B241" i="43"/>
  <c r="B51" i="43"/>
  <c r="B155" i="43"/>
  <c r="B374" i="43"/>
  <c r="B882" i="43"/>
  <c r="B890" i="43"/>
  <c r="B716" i="43"/>
  <c r="B842" i="43"/>
  <c r="B302" i="43"/>
  <c r="B441" i="43"/>
  <c r="B936" i="43"/>
  <c r="B784" i="43"/>
  <c r="B537" i="43"/>
  <c r="B949" i="43"/>
  <c r="B997" i="43"/>
  <c r="B197" i="43"/>
  <c r="B436" i="43"/>
  <c r="B720" i="43"/>
  <c r="B995" i="43"/>
  <c r="B714" i="43"/>
  <c r="B803" i="43"/>
  <c r="B972" i="43"/>
  <c r="B202" i="43"/>
  <c r="B427" i="43"/>
  <c r="B987" i="43"/>
  <c r="B676" i="43"/>
  <c r="B549" i="43"/>
  <c r="B337" i="43"/>
  <c r="B485" i="43"/>
  <c r="B283" i="43"/>
  <c r="B239" i="43"/>
  <c r="B499" i="43"/>
  <c r="B635" i="43"/>
  <c r="B153" i="43"/>
  <c r="B550" i="43"/>
  <c r="B617" i="43"/>
  <c r="B453" i="43"/>
  <c r="B639" i="43"/>
  <c r="B571" i="43"/>
  <c r="B940" i="43"/>
  <c r="B983" i="43"/>
  <c r="B194" i="43"/>
  <c r="B160" i="43"/>
  <c r="B295" i="43"/>
  <c r="B469" i="43"/>
  <c r="B956" i="43"/>
  <c r="B866" i="43"/>
  <c r="B557" i="43"/>
  <c r="B451" i="43"/>
  <c r="B698" i="43"/>
  <c r="B154" i="43"/>
  <c r="B568" i="43"/>
  <c r="B264" i="43"/>
  <c r="B249" i="43"/>
  <c r="B589" i="43"/>
  <c r="B692" i="43"/>
  <c r="B675" i="43"/>
  <c r="B854" i="43"/>
  <c r="B953" i="43"/>
  <c r="B250" i="43"/>
  <c r="B192" i="43"/>
  <c r="B455" i="43"/>
  <c r="B971" i="43"/>
  <c r="B269" i="43"/>
  <c r="B355" i="43"/>
  <c r="B397" i="43"/>
  <c r="B175" i="43"/>
  <c r="B381" i="43"/>
  <c r="B219" i="43"/>
  <c r="B245" i="43"/>
  <c r="B140" i="43"/>
  <c r="B671" i="43"/>
  <c r="B291" i="43"/>
  <c r="B47" i="43"/>
  <c r="B64" i="43"/>
  <c r="B45" i="43"/>
  <c r="B93" i="43"/>
  <c r="B56" i="43"/>
  <c r="B2" i="43"/>
  <c r="B86" i="43"/>
  <c r="B618" i="43"/>
  <c r="B950" i="43"/>
  <c r="B254" i="43"/>
  <c r="B681" i="43"/>
  <c r="B944" i="43"/>
  <c r="B204" i="43"/>
  <c r="B388" i="43"/>
  <c r="B339" i="43"/>
  <c r="B738" i="43"/>
  <c r="B1002" i="43"/>
  <c r="B306" i="43"/>
  <c r="B861" i="43"/>
  <c r="B644" i="43"/>
  <c r="B841" i="43"/>
  <c r="B277" i="43"/>
  <c r="B122" i="43"/>
  <c r="B723" i="43"/>
  <c r="B673" i="43"/>
  <c r="B494" i="43"/>
  <c r="B331" i="43"/>
  <c r="B280" i="43"/>
  <c r="B534" i="43"/>
  <c r="B285" i="43"/>
  <c r="B352" i="43"/>
  <c r="B52" i="43"/>
  <c r="B102" i="43"/>
  <c r="B108" i="43"/>
  <c r="B3" i="43"/>
  <c r="B896" i="43"/>
  <c r="B856" i="43"/>
  <c r="B640" i="43"/>
  <c r="B173" i="43"/>
  <c r="B332" i="43"/>
  <c r="B349" i="43"/>
  <c r="B261" i="43"/>
  <c r="B139" i="43"/>
  <c r="B203" i="43"/>
  <c r="B733" i="43"/>
  <c r="B411" i="43"/>
  <c r="B597" i="43"/>
  <c r="B183" i="43"/>
  <c r="B957" i="43"/>
  <c r="B870" i="43"/>
  <c r="B765" i="43"/>
  <c r="B960" i="43"/>
  <c r="B263" i="43"/>
  <c r="B91" i="43"/>
  <c r="B72" i="43"/>
  <c r="B100" i="43"/>
  <c r="B5" i="43"/>
  <c r="B300" i="43"/>
  <c r="B677" i="43"/>
  <c r="B1004" i="43"/>
  <c r="B946" i="43"/>
  <c r="B638" i="43"/>
  <c r="B377" i="43"/>
  <c r="B964" i="43"/>
  <c r="B666" i="43"/>
  <c r="B142" i="43"/>
  <c r="B516" i="43"/>
  <c r="B764" i="43"/>
  <c r="B121" i="43"/>
  <c r="B619" i="43"/>
  <c r="B1000" i="43"/>
  <c r="B444" i="43"/>
  <c r="B402" i="43"/>
  <c r="B967" i="43"/>
  <c r="B588" i="43"/>
  <c r="B719" i="43"/>
  <c r="B918" i="43"/>
  <c r="B171" i="43"/>
  <c r="B647" i="43"/>
  <c r="B309" i="43"/>
  <c r="B226" i="43"/>
  <c r="B599" i="43"/>
  <c r="B304" i="43"/>
  <c r="B585" i="43"/>
  <c r="B1011" i="43"/>
  <c r="B728" i="43"/>
  <c r="B802" i="43"/>
  <c r="B683" i="43"/>
  <c r="B848" i="43"/>
  <c r="B748" i="43"/>
  <c r="B484" i="43"/>
  <c r="B897" i="43"/>
  <c r="B688" i="43"/>
  <c r="B12" i="43"/>
  <c r="B592" i="43"/>
  <c r="B968" i="43"/>
  <c r="B680" i="43"/>
  <c r="B437" i="43"/>
  <c r="B721" i="43"/>
  <c r="B231" i="43"/>
  <c r="B595" i="43"/>
  <c r="B63" i="43"/>
  <c r="B35" i="43"/>
  <c r="B84" i="43"/>
  <c r="B106" i="43"/>
  <c r="B279" i="43"/>
  <c r="B574" i="43"/>
  <c r="B753" i="43"/>
  <c r="B544" i="43"/>
  <c r="B694" i="43"/>
  <c r="B399" i="43"/>
  <c r="B837" i="43"/>
  <c r="B646" i="43"/>
  <c r="B44" i="43"/>
  <c r="B58" i="43"/>
  <c r="B551" i="43"/>
  <c r="B663" i="43"/>
  <c r="B111" i="43"/>
  <c r="B129" i="43"/>
  <c r="B177" i="43"/>
  <c r="B894" i="43"/>
  <c r="B135" i="43"/>
  <c r="B228" i="43"/>
  <c r="B863" i="43"/>
  <c r="B919" i="43"/>
  <c r="B927" i="43"/>
  <c r="B806" i="43"/>
  <c r="B16" i="43"/>
  <c r="B88" i="43"/>
  <c r="B60" i="43"/>
  <c r="B24" i="43"/>
  <c r="B23" i="43"/>
  <c r="B83" i="43"/>
  <c r="B43" i="43"/>
  <c r="B661" i="43"/>
  <c r="B904" i="43"/>
  <c r="B292" i="43"/>
  <c r="B933" i="43"/>
  <c r="B965" i="43"/>
  <c r="B687" i="43"/>
  <c r="B970" i="43"/>
  <c r="B7" i="43"/>
  <c r="B25" i="43"/>
  <c r="B54" i="43"/>
  <c r="B57" i="43"/>
  <c r="B605" i="43"/>
  <c r="B157" i="43"/>
  <c r="B532" i="43"/>
  <c r="B724" i="43"/>
  <c r="B570" i="43"/>
  <c r="B314" i="43"/>
  <c r="B134" i="43"/>
  <c r="B945" i="43"/>
  <c r="B876" i="43"/>
  <c r="B689" i="43"/>
  <c r="B669" i="43"/>
  <c r="B763" i="43"/>
  <c r="B624" i="43"/>
  <c r="B529" i="43"/>
  <c r="B152" i="43"/>
  <c r="B818" i="43"/>
  <c r="B281" i="43"/>
  <c r="B1014" i="43"/>
  <c r="B89" i="43"/>
  <c r="B59" i="43"/>
  <c r="B15" i="43"/>
  <c r="B28" i="43"/>
  <c r="B30" i="43"/>
  <c r="B235" i="43"/>
  <c r="B147" i="43"/>
  <c r="B477" i="43"/>
  <c r="B752" i="43"/>
  <c r="B317" i="43"/>
  <c r="B743" i="43"/>
  <c r="B138" i="43"/>
  <c r="B41" i="43"/>
  <c r="B255" i="43"/>
  <c r="B685" i="43"/>
  <c r="B431" i="43"/>
  <c r="B629" i="43"/>
  <c r="B874" i="43"/>
  <c r="B53" i="43"/>
  <c r="B221" i="43"/>
  <c r="B699" i="43"/>
  <c r="B447" i="43"/>
  <c r="B634" i="43"/>
  <c r="B851" i="43"/>
  <c r="B36" i="43"/>
  <c r="B576" i="43"/>
  <c r="B55" i="43"/>
  <c r="B701" i="43"/>
  <c r="B465" i="43"/>
  <c r="B531" i="43"/>
  <c r="B191" i="43"/>
  <c r="B488" i="43"/>
  <c r="B359" i="43"/>
  <c r="B336" i="43"/>
  <c r="B608" i="43"/>
  <c r="B189" i="43"/>
  <c r="B370" i="43"/>
  <c r="B79" i="43"/>
  <c r="B1016" i="43"/>
  <c r="B321" i="43"/>
  <c r="B757" i="43"/>
  <c r="B358" i="43"/>
  <c r="B790" i="43"/>
  <c r="B188" i="43"/>
  <c r="B176" i="43"/>
  <c r="B1008" i="43"/>
  <c r="B523" i="43"/>
  <c r="B248" i="43"/>
  <c r="B975" i="43"/>
  <c r="B115" i="43"/>
  <c r="B425" i="43"/>
  <c r="B489" i="43"/>
  <c r="B658" i="43"/>
  <c r="B977" i="43"/>
  <c r="B1013" i="43"/>
  <c r="B78" i="43"/>
  <c r="B68" i="43"/>
  <c r="B501" i="43"/>
  <c r="B737" i="43"/>
  <c r="B163" i="43"/>
  <c r="B328" i="43"/>
  <c r="B419" i="43"/>
  <c r="B133" i="43"/>
  <c r="B150" i="43"/>
  <c r="B697" i="43"/>
  <c r="B481" i="43"/>
  <c r="B286" i="43"/>
  <c r="B508" i="43"/>
  <c r="B554" i="43"/>
  <c r="B899" i="43"/>
  <c r="B99" i="43"/>
  <c r="B82" i="43"/>
  <c r="B65" i="43"/>
  <c r="B628" i="43"/>
  <c r="B209" i="43"/>
  <c r="B246" i="43"/>
  <c r="B233" i="43"/>
  <c r="B955" i="43"/>
  <c r="B80" i="43"/>
  <c r="B560" i="43"/>
  <c r="B511" i="43"/>
  <c r="B713" i="43"/>
  <c r="B821" i="43"/>
  <c r="B705" i="43"/>
  <c r="B132" i="43"/>
  <c r="B973" i="43"/>
  <c r="B338" i="43"/>
  <c r="B791" i="43"/>
  <c r="B26" i="43"/>
  <c r="B95" i="43"/>
  <c r="B385" i="43"/>
  <c r="B502" i="43"/>
  <c r="B166" i="43"/>
  <c r="B980" i="43"/>
  <c r="B1021" i="43"/>
  <c r="B48" i="43"/>
  <c r="B62" i="43"/>
  <c r="B735" i="43"/>
  <c r="B621" i="43"/>
  <c r="B103" i="43"/>
  <c r="B747" i="43"/>
  <c r="B400" i="43"/>
  <c r="B149" i="43"/>
  <c r="B383" i="43"/>
  <c r="B612" i="43"/>
  <c r="B820" i="43"/>
  <c r="B143" i="43"/>
  <c r="B435" i="43"/>
  <c r="B307" i="43"/>
  <c r="B124" i="43"/>
  <c r="B907" i="43"/>
  <c r="B438" i="43"/>
  <c r="B814" i="43"/>
  <c r="B924" i="43"/>
  <c r="B631" i="43"/>
  <c r="B562" i="43"/>
  <c r="B761" i="43"/>
  <c r="B274" i="43"/>
  <c r="B38" i="43"/>
  <c r="B396" i="43"/>
  <c r="B13" i="43"/>
  <c r="B6" i="43"/>
  <c r="B717" i="43"/>
  <c r="B180" i="43"/>
  <c r="B515" i="43"/>
  <c r="B577" i="43"/>
  <c r="B429" i="43"/>
  <c r="B454" i="43"/>
  <c r="B594" i="43"/>
  <c r="B810" i="43"/>
  <c r="B412" i="43"/>
  <c r="B341" i="43"/>
  <c r="B625" i="43"/>
  <c r="B369" i="43"/>
  <c r="B324" i="43"/>
  <c r="B879" i="43"/>
  <c r="B857" i="43"/>
  <c r="B678" i="43"/>
  <c r="B313" i="43"/>
  <c r="B290" i="43"/>
  <c r="B830" i="43"/>
  <c r="B97" i="43"/>
  <c r="B42" i="43"/>
  <c r="B66" i="43"/>
  <c r="B379" i="43"/>
  <c r="B20" i="43"/>
  <c r="B776" i="43"/>
  <c r="B319" i="43"/>
  <c r="B500" i="43"/>
  <c r="B244" i="43"/>
  <c r="B693" i="43"/>
  <c r="B507" i="43"/>
  <c r="B265" i="43"/>
  <c r="B739" i="43"/>
  <c r="B450" i="43"/>
  <c r="B471" i="43"/>
  <c r="B365" i="43"/>
  <c r="B908" i="43"/>
  <c r="B136" i="43"/>
  <c r="B230" i="43"/>
  <c r="B580" i="43"/>
  <c r="B630" i="43"/>
  <c r="B937" i="43"/>
  <c r="B382" i="43"/>
  <c r="B148" i="43"/>
  <c r="B801" i="43"/>
  <c r="B731" i="43"/>
  <c r="B182" i="43"/>
  <c r="B384" i="43"/>
  <c r="B586" i="43"/>
  <c r="B846" i="43"/>
  <c r="B746" i="43"/>
  <c r="B372" i="43"/>
  <c r="B567" i="43"/>
  <c r="B583" i="43"/>
  <c r="B126" i="43"/>
  <c r="B257" i="43"/>
  <c r="B996" i="43"/>
  <c r="B708" i="43"/>
  <c r="B29" i="43"/>
  <c r="B467" i="43"/>
  <c r="B101" i="43"/>
  <c r="B834" i="43"/>
  <c r="B460" i="43"/>
  <c r="B373" i="43"/>
  <c r="B198" i="43"/>
  <c r="B575" i="43"/>
  <c r="B393" i="43"/>
  <c r="B229" i="43"/>
  <c r="B601" i="43"/>
  <c r="B178" i="43"/>
  <c r="B573" i="43"/>
  <c r="B407" i="43"/>
  <c r="B518" i="43"/>
  <c r="B476" i="43"/>
  <c r="B838" i="43"/>
  <c r="B808" i="43"/>
  <c r="B545" i="43"/>
  <c r="B901" i="43"/>
  <c r="B931" i="43"/>
  <c r="B371" i="43"/>
  <c r="B682" i="43"/>
  <c r="B357" i="43"/>
  <c r="B378" i="43"/>
  <c r="B777" i="43"/>
  <c r="B839" i="43"/>
  <c r="B362" i="43"/>
  <c r="B994" i="43"/>
  <c r="B984" i="43"/>
  <c r="B780" i="43"/>
  <c r="B110" i="43"/>
  <c r="B796" i="43"/>
  <c r="B729" i="43"/>
  <c r="B538" i="43"/>
  <c r="B766" i="43"/>
  <c r="B49" i="43"/>
  <c r="B92" i="43"/>
  <c r="B37" i="43"/>
  <c r="B46" i="43"/>
  <c r="B8" i="43"/>
  <c r="B69" i="43"/>
  <c r="B77" i="43"/>
  <c r="B725" i="43"/>
  <c r="B223" i="43"/>
  <c r="B979" i="43"/>
  <c r="B81" i="43"/>
  <c r="B215" i="43"/>
  <c r="B479" i="43"/>
  <c r="B527" i="43"/>
  <c r="B253" i="43"/>
  <c r="B664" i="43"/>
  <c r="B333" i="43"/>
  <c r="B893" i="43"/>
  <c r="B759" i="43"/>
  <c r="B456" i="43"/>
  <c r="B614" i="43"/>
  <c r="B448" i="43"/>
  <c r="B938" i="43"/>
  <c r="B578" i="43"/>
  <c r="B70" i="43"/>
  <c r="B76" i="43"/>
  <c r="B961" i="43"/>
  <c r="B21" i="43"/>
  <c r="B461" i="43"/>
  <c r="B707" i="43"/>
  <c r="B503" i="43"/>
  <c r="B220" i="43"/>
  <c r="B113" i="43"/>
  <c r="B417" i="43"/>
  <c r="B762" i="43"/>
  <c r="B813" i="43"/>
  <c r="B288" i="43"/>
  <c r="B326" i="43"/>
  <c r="B284" i="43"/>
  <c r="B852" i="43"/>
  <c r="B114" i="43"/>
  <c r="B756" i="43"/>
  <c r="B883" i="43"/>
  <c r="B727" i="43"/>
  <c r="B137" i="43"/>
  <c r="B770" i="43"/>
  <c r="B116" i="43"/>
  <c r="B783" i="43"/>
  <c r="B988" i="43"/>
  <c r="B734" i="43"/>
  <c r="B87" i="43"/>
  <c r="B34" i="43"/>
  <c r="B96" i="43"/>
  <c r="B107" i="43"/>
  <c r="B649" i="43"/>
  <c r="B909" i="43"/>
  <c r="B167" i="43"/>
  <c r="B18" i="43"/>
  <c r="B323" i="43"/>
  <c r="B308" i="43"/>
  <c r="B641" i="43"/>
  <c r="B847" i="43"/>
  <c r="B275" i="43"/>
  <c r="B340" i="43"/>
  <c r="B533" i="43"/>
  <c r="B520" i="43"/>
  <c r="B607" i="43"/>
  <c r="B322" i="43"/>
  <c r="B917" i="43"/>
  <c r="B405" i="43"/>
  <c r="B831" i="43"/>
  <c r="B293" i="43"/>
  <c r="B976" i="43"/>
  <c r="B788" i="43"/>
  <c r="B491" i="43"/>
  <c r="B559" i="43"/>
  <c r="B232" i="43"/>
  <c r="B859" i="43"/>
  <c r="B636" i="43"/>
  <c r="B650" i="43"/>
  <c r="B929" i="43"/>
  <c r="B886" i="43"/>
  <c r="B606" i="43"/>
  <c r="B73" i="43"/>
  <c r="B105" i="43"/>
  <c r="B211" i="43"/>
  <c r="B236" i="43"/>
  <c r="B213" i="43"/>
  <c r="B123" i="43"/>
  <c r="B252" i="43"/>
  <c r="B225" i="43"/>
  <c r="B247" i="43"/>
  <c r="B406" i="43"/>
  <c r="B311" i="43"/>
  <c r="B394" i="43"/>
  <c r="B162" i="43"/>
  <c r="B39" i="43"/>
  <c r="B433" i="43"/>
  <c r="B686" i="43"/>
  <c r="B1024" i="43"/>
  <c r="B482" i="43"/>
  <c r="B775" i="43"/>
  <c r="B989" i="43"/>
  <c r="B703" i="43"/>
  <c r="B674" i="43"/>
  <c r="B1010" i="43"/>
  <c r="B760" i="43"/>
  <c r="B234" i="43"/>
  <c r="B769" i="43"/>
  <c r="B556" i="43"/>
  <c r="B653" i="43"/>
  <c r="B428" i="43"/>
  <c r="B506" i="43"/>
  <c r="B387" i="43"/>
  <c r="B298" i="43"/>
  <c r="B804" i="43"/>
  <c r="B833" i="43"/>
  <c r="B346" i="43"/>
  <c r="B347" i="43"/>
  <c r="B127" i="43"/>
  <c r="B744" i="43"/>
  <c r="B199" i="43"/>
  <c r="B168" i="43"/>
  <c r="B19" i="43"/>
  <c r="B11" i="43"/>
  <c r="B75" i="43"/>
  <c r="B40" i="43"/>
  <c r="B10" i="43"/>
  <c r="B4" i="43"/>
  <c r="B74" i="43"/>
  <c r="B14" i="43"/>
  <c r="B892" i="43"/>
  <c r="B915" i="43"/>
  <c r="B792" i="43"/>
  <c r="B872" i="43"/>
  <c r="B179" i="43"/>
  <c r="B181" i="43"/>
  <c r="B522" i="43"/>
  <c r="B242" i="43"/>
  <c r="B174" i="43"/>
  <c r="B815" i="43"/>
  <c r="B829" i="43"/>
  <c r="B146" i="43"/>
  <c r="B495" i="43"/>
  <c r="B963" i="43"/>
  <c r="B237" i="43"/>
  <c r="B492" i="43"/>
  <c r="B432" i="43"/>
  <c r="B287" i="43"/>
  <c r="B172" i="43"/>
  <c r="B33" i="43"/>
  <c r="B268" i="43"/>
  <c r="B195" i="43"/>
  <c r="B741" i="43"/>
  <c r="B985" i="43"/>
  <c r="B871" i="43"/>
  <c r="B210" i="43"/>
  <c r="B330" i="43"/>
  <c r="B652" i="43"/>
  <c r="B809" i="43"/>
  <c r="B125" i="43"/>
  <c r="B561" i="43"/>
  <c r="B922" i="43"/>
  <c r="B468" i="43"/>
  <c r="B457" i="43"/>
  <c r="B443" i="43"/>
  <c r="B112" i="43"/>
  <c r="B496" i="43"/>
  <c r="B684" i="43"/>
  <c r="B426" i="43"/>
  <c r="B800" i="43"/>
  <c r="B297" i="43"/>
  <c r="B363" i="43"/>
  <c r="B823" i="43"/>
  <c r="B165" i="43"/>
  <c r="B318" i="43"/>
  <c r="B342" i="43"/>
  <c r="B679" i="43"/>
  <c r="B487" i="43"/>
  <c r="B190" i="43"/>
  <c r="B303" i="43"/>
  <c r="B404" i="43"/>
  <c r="B104" i="43"/>
  <c r="B207" i="43"/>
  <c r="B745" i="43"/>
  <c r="B670" i="43"/>
  <c r="B420" i="43"/>
  <c r="B700" i="43"/>
  <c r="B327" i="43"/>
  <c r="B224" i="43"/>
  <c r="B71" i="43"/>
  <c r="B22" i="43"/>
  <c r="B452" i="43"/>
  <c r="B325" i="43"/>
  <c r="B208" i="43"/>
  <c r="B27" i="43"/>
  <c r="B85" i="43"/>
  <c r="B31" i="43"/>
  <c r="B61" i="43"/>
  <c r="B139" i="11"/>
  <c r="B287" i="11"/>
  <c r="B504" i="11"/>
  <c r="B1000" i="11"/>
  <c r="B879" i="11"/>
  <c r="B433" i="11"/>
  <c r="B331" i="11"/>
  <c r="B800" i="11"/>
  <c r="B165" i="11"/>
  <c r="B304" i="11"/>
  <c r="B912" i="11"/>
  <c r="B183" i="11"/>
  <c r="B493" i="11"/>
  <c r="B944" i="11"/>
  <c r="B511" i="11"/>
  <c r="B852" i="11"/>
  <c r="B397" i="11"/>
  <c r="B560" i="11"/>
  <c r="B465" i="11"/>
  <c r="B57" i="11"/>
  <c r="B538" i="11"/>
  <c r="B98" i="11"/>
  <c r="B373" i="11"/>
  <c r="B706" i="11"/>
  <c r="B272" i="11"/>
  <c r="B956" i="11"/>
  <c r="B694" i="11"/>
  <c r="B662" i="11"/>
  <c r="B314" i="11"/>
  <c r="B876" i="11"/>
  <c r="B473" i="11"/>
  <c r="B831" i="11"/>
  <c r="B726" i="11"/>
  <c r="B196" i="11"/>
  <c r="B961" i="11"/>
  <c r="B658" i="11"/>
  <c r="B263" i="11"/>
  <c r="B279" i="11"/>
  <c r="B311" i="11"/>
  <c r="B291" i="11"/>
  <c r="B25" i="11"/>
  <c r="B512" i="11"/>
  <c r="B36" i="11"/>
  <c r="B76" i="11"/>
  <c r="B910" i="11"/>
  <c r="B596" i="11"/>
  <c r="B337" i="11"/>
  <c r="B370" i="11"/>
  <c r="B349" i="11"/>
  <c r="B396" i="11"/>
  <c r="B853" i="11"/>
  <c r="B86" i="11"/>
  <c r="B656" i="11"/>
  <c r="B609" i="11"/>
  <c r="B117" i="11"/>
  <c r="B1024" i="11"/>
  <c r="B298" i="11"/>
  <c r="B459" i="11"/>
  <c r="B740" i="11"/>
  <c r="B707" i="11"/>
  <c r="B49" i="11"/>
  <c r="B75" i="11"/>
  <c r="B703" i="11"/>
  <c r="B905" i="11"/>
  <c r="B948" i="11"/>
  <c r="B711" i="11"/>
  <c r="B2" i="11"/>
  <c r="B41" i="11"/>
  <c r="B856" i="11"/>
  <c r="B8" i="11"/>
  <c r="B364" i="11"/>
  <c r="B472" i="11"/>
  <c r="B849" i="11"/>
  <c r="B266" i="11"/>
  <c r="B243" i="11"/>
  <c r="B899" i="11"/>
  <c r="B869" i="11"/>
  <c r="B759" i="11"/>
  <c r="B419" i="11"/>
  <c r="B155" i="11"/>
  <c r="B724" i="11"/>
  <c r="B847" i="11"/>
  <c r="B70" i="11"/>
  <c r="B394" i="11"/>
  <c r="B651" i="11"/>
  <c r="B350" i="11"/>
  <c r="B971" i="11"/>
  <c r="B664" i="11"/>
  <c r="B733" i="11"/>
  <c r="B390" i="11"/>
  <c r="B430" i="11"/>
  <c r="B483" i="11"/>
  <c r="B360" i="11"/>
  <c r="B573" i="11"/>
  <c r="B908" i="11"/>
  <c r="B426" i="11"/>
  <c r="B650" i="11"/>
  <c r="B444" i="11"/>
  <c r="B871" i="11"/>
  <c r="B109" i="11"/>
  <c r="B695" i="11"/>
  <c r="B548" i="11"/>
  <c r="B289" i="11"/>
  <c r="B878" i="11"/>
  <c r="B762" i="11"/>
  <c r="B467" i="11"/>
  <c r="B77" i="11"/>
  <c r="B924" i="11"/>
  <c r="B141" i="11"/>
  <c r="B368" i="11"/>
  <c r="B639" i="11"/>
  <c r="B408" i="11"/>
  <c r="B269" i="11"/>
  <c r="B616" i="11"/>
  <c r="B286" i="11"/>
  <c r="B481" i="11"/>
  <c r="B164" i="11"/>
  <c r="B987" i="11"/>
  <c r="B280" i="11"/>
  <c r="B810" i="11"/>
  <c r="B567" i="11"/>
  <c r="B351" i="11"/>
  <c r="B704" i="11"/>
  <c r="B682" i="11"/>
  <c r="B154" i="11"/>
  <c r="B668" i="11"/>
  <c r="B815" i="11"/>
  <c r="B797" i="11"/>
  <c r="B554" i="11"/>
  <c r="B770" i="11"/>
  <c r="B790" i="11"/>
  <c r="B622" i="11"/>
  <c r="B953" i="11"/>
  <c r="B709" i="11"/>
  <c r="B897" i="11"/>
  <c r="B415" i="11"/>
  <c r="B197" i="11"/>
  <c r="B45" i="11"/>
  <c r="B190" i="11"/>
  <c r="B602" i="11"/>
  <c r="B700" i="11"/>
  <c r="B895" i="11"/>
  <c r="B50" i="11"/>
  <c r="B598" i="11"/>
  <c r="B826" i="11"/>
  <c r="B458" i="11"/>
  <c r="B340" i="11"/>
  <c r="B557" i="11"/>
  <c r="B865" i="11"/>
  <c r="B875" i="11"/>
  <c r="B660" i="11"/>
  <c r="B447" i="11"/>
  <c r="B96" i="11"/>
  <c r="B328" i="11"/>
  <c r="B930" i="11"/>
  <c r="B108" i="11"/>
  <c r="B432" i="11"/>
  <c r="B824" i="11"/>
  <c r="B453" i="11"/>
  <c r="B82" i="11"/>
  <c r="B24" i="11"/>
  <c r="B116" i="11"/>
  <c r="B1025" i="11"/>
  <c r="B127" i="11"/>
  <c r="B316" i="11"/>
  <c r="B450" i="11"/>
  <c r="B277" i="11"/>
  <c r="B861" i="11"/>
  <c r="B260" i="11"/>
  <c r="B917" i="11"/>
  <c r="B275" i="11"/>
  <c r="B938" i="11"/>
  <c r="B335" i="11"/>
  <c r="B1022" i="11"/>
  <c r="B947" i="11"/>
  <c r="B936" i="11"/>
  <c r="B255" i="11"/>
  <c r="B204" i="11"/>
  <c r="B717" i="11"/>
  <c r="B647" i="11"/>
  <c r="B91" i="11"/>
  <c r="B257" i="11"/>
  <c r="B20" i="11"/>
  <c r="B94" i="11"/>
  <c r="B31" i="11"/>
  <c r="B541" i="11"/>
  <c r="B88" i="11"/>
  <c r="B823" i="11"/>
  <c r="B756" i="11"/>
  <c r="B469" i="11"/>
  <c r="B954" i="11"/>
  <c r="B434" i="11"/>
  <c r="B545" i="11"/>
  <c r="B818" i="11"/>
  <c r="B319" i="11"/>
  <c r="B528" i="11"/>
  <c r="B1013" i="11"/>
  <c r="B886" i="11"/>
  <c r="B807" i="11"/>
  <c r="B508" i="11"/>
  <c r="B793" i="11"/>
  <c r="B772" i="11"/>
  <c r="B3" i="11"/>
  <c r="B106" i="11"/>
  <c r="B877" i="11"/>
  <c r="B782" i="11"/>
  <c r="B265" i="11"/>
  <c r="B435" i="11"/>
  <c r="B646" i="11"/>
  <c r="B427" i="11"/>
  <c r="B411" i="11"/>
  <c r="B734" i="11"/>
  <c r="B285" i="11"/>
  <c r="B964" i="11"/>
  <c r="B115" i="11"/>
  <c r="B313" i="11"/>
  <c r="B81" i="11"/>
  <c r="B374" i="11"/>
  <c r="B479" i="11"/>
  <c r="B152" i="11"/>
  <c r="B406" i="11"/>
  <c r="B254" i="11"/>
  <c r="B950" i="11"/>
  <c r="B635" i="11"/>
  <c r="B51" i="11"/>
  <c r="B582" i="11"/>
  <c r="B392" i="11"/>
  <c r="B714" i="11"/>
  <c r="B611" i="11"/>
  <c r="B80" i="11"/>
  <c r="B600" i="11"/>
  <c r="B521" i="11"/>
  <c r="B460" i="11"/>
  <c r="B674" i="11"/>
  <c r="B451" i="11"/>
  <c r="B383" i="11"/>
  <c r="B569" i="11"/>
  <c r="B783" i="11"/>
  <c r="B766" i="11"/>
  <c r="B407" i="11"/>
  <c r="B681" i="11"/>
  <c r="B758" i="11"/>
  <c r="B880" i="11"/>
  <c r="B627" i="11"/>
  <c r="B208" i="11"/>
  <c r="B575" i="11"/>
  <c r="B357" i="11"/>
  <c r="B967" i="11"/>
  <c r="B400" i="11"/>
  <c r="B542" i="11"/>
  <c r="B601" i="11"/>
  <c r="B713" i="11"/>
  <c r="B510" i="11"/>
  <c r="B550" i="11"/>
  <c r="B42" i="11"/>
  <c r="B281" i="11"/>
  <c r="B943" i="11"/>
  <c r="B282" i="11"/>
  <c r="B722" i="11"/>
  <c r="B181" i="11"/>
  <c r="B85" i="11"/>
  <c r="B156" i="11"/>
  <c r="B654" i="11"/>
  <c r="B894" i="11"/>
  <c r="B525" i="11"/>
  <c r="B264" i="11"/>
  <c r="B431" i="11"/>
  <c r="B632" i="11"/>
  <c r="B689" i="11"/>
  <c r="B975" i="11"/>
  <c r="B237" i="11"/>
  <c r="B636" i="11"/>
  <c r="B955" i="11"/>
  <c r="B79" i="11"/>
  <c r="B112" i="11"/>
  <c r="B32" i="11"/>
  <c r="B588" i="11"/>
  <c r="B468" i="11"/>
  <c r="B584" i="11"/>
  <c r="B1010" i="11"/>
  <c r="B151" i="11"/>
  <c r="B670" i="11"/>
  <c r="B89" i="11"/>
  <c r="B589" i="11"/>
  <c r="B788" i="11"/>
  <c r="B376" i="11"/>
  <c r="B963" i="11"/>
  <c r="B449" i="11"/>
  <c r="B352" i="11"/>
  <c r="B928" i="11"/>
  <c r="B53" i="11"/>
  <c r="B90" i="11"/>
  <c r="B462" i="11"/>
  <c r="B211" i="11"/>
  <c r="B767" i="11"/>
  <c r="B633" i="11"/>
  <c r="B334" i="11"/>
  <c r="B251" i="11"/>
  <c r="B11" i="11"/>
  <c r="B230" i="11"/>
  <c r="B46" i="11"/>
  <c r="B136" i="11"/>
  <c r="B389" i="11"/>
  <c r="B866" i="11"/>
  <c r="B729" i="11"/>
  <c r="B414" i="11"/>
  <c r="B657" i="11"/>
  <c r="B929" i="11"/>
  <c r="B494" i="11"/>
  <c r="B914" i="11"/>
  <c r="B532" i="11"/>
  <c r="B445" i="11"/>
  <c r="B742" i="11"/>
  <c r="B995" i="11"/>
  <c r="B188" i="11"/>
  <c r="B268" i="11"/>
  <c r="B710" i="11"/>
  <c r="B543" i="11"/>
  <c r="B692" i="11"/>
  <c r="B476" i="11"/>
  <c r="B418" i="11"/>
  <c r="B273" i="11"/>
  <c r="B935" i="11"/>
  <c r="B161" i="11"/>
  <c r="B153" i="11"/>
  <c r="B811" i="11"/>
  <c r="B464" i="11"/>
  <c r="B730" i="11"/>
  <c r="B168" i="11"/>
  <c r="B103" i="11"/>
  <c r="B913" i="11"/>
  <c r="B18" i="11"/>
  <c r="B56" i="11"/>
  <c r="B755" i="11"/>
  <c r="B339" i="11"/>
  <c r="B381" i="11"/>
  <c r="B655" i="11"/>
  <c r="B292" i="11"/>
  <c r="B17" i="11"/>
  <c r="B410" i="11"/>
  <c r="B599" i="11"/>
  <c r="B720" i="11"/>
  <c r="B780" i="11"/>
  <c r="B846" i="11"/>
  <c r="B716" i="11"/>
  <c r="B6" i="11"/>
  <c r="B421" i="11"/>
  <c r="B356" i="11"/>
  <c r="B327" i="11"/>
  <c r="B551" i="11"/>
  <c r="B937" i="11"/>
  <c r="B592" i="11"/>
  <c r="B890" i="11"/>
  <c r="B648" i="11"/>
  <c r="B900" i="11"/>
  <c r="B456" i="11"/>
  <c r="B262" i="11"/>
  <c r="B176" i="11"/>
  <c r="B791" i="11"/>
  <c r="B906" i="11"/>
  <c r="B887" i="11"/>
  <c r="B993" i="11"/>
  <c r="B718" i="11"/>
  <c r="B74" i="11"/>
  <c r="B446" i="11"/>
  <c r="B198" i="11"/>
  <c r="B613" i="11"/>
  <c r="B307" i="11"/>
  <c r="B522" i="11"/>
  <c r="B212" i="11"/>
  <c r="B581" i="11"/>
  <c r="B480" i="11"/>
  <c r="B960" i="11"/>
  <c r="B429" i="11"/>
  <c r="B643" i="11"/>
  <c r="B503" i="11"/>
  <c r="B325" i="11"/>
  <c r="B170" i="11"/>
  <c r="B520" i="11"/>
  <c r="B346" i="11"/>
  <c r="B816" i="11"/>
  <c r="B221" i="11"/>
  <c r="B92" i="11"/>
  <c r="B61" i="11"/>
  <c r="B683" i="11"/>
  <c r="B26" i="11"/>
  <c r="B566" i="11"/>
  <c r="B645" i="11"/>
  <c r="B60" i="11"/>
  <c r="B22" i="11"/>
  <c r="B44" i="11"/>
  <c r="B256" i="11"/>
  <c r="B558" i="11"/>
  <c r="B231" i="11"/>
  <c r="B404" i="11"/>
  <c r="B135" i="11"/>
  <c r="B739" i="11"/>
  <c r="B178" i="11"/>
  <c r="B439" i="11"/>
  <c r="B475" i="11"/>
  <c r="B926" i="11"/>
  <c r="B133" i="11"/>
  <c r="B219" i="11"/>
  <c r="B93" i="11"/>
  <c r="B556" i="11"/>
  <c r="B699" i="11"/>
  <c r="B420" i="11"/>
  <c r="B621" i="11"/>
  <c r="B827" i="11"/>
  <c r="B486" i="11"/>
  <c r="B147" i="11"/>
  <c r="B904" i="11"/>
  <c r="B731" i="11"/>
  <c r="B441" i="11"/>
  <c r="B552" i="11"/>
  <c r="B735" i="11"/>
  <c r="B617" i="11"/>
  <c r="B940" i="11"/>
  <c r="B216" i="11"/>
  <c r="B471" i="11"/>
  <c r="B781" i="11"/>
  <c r="B973" i="11"/>
  <c r="B997" i="11"/>
  <c r="B386" i="11"/>
  <c r="B594" i="11"/>
  <c r="B732" i="11"/>
  <c r="B942" i="11"/>
  <c r="B526" i="11"/>
  <c r="B425" i="11"/>
  <c r="B226" i="11"/>
  <c r="B10" i="11"/>
  <c r="B143" i="11"/>
  <c r="B134" i="11"/>
  <c r="B182" i="11"/>
  <c r="B213" i="11"/>
  <c r="B1006" i="11"/>
  <c r="B701" i="11"/>
  <c r="B959" i="11"/>
  <c r="B996" i="11"/>
  <c r="B597" i="11"/>
  <c r="B121" i="11"/>
  <c r="B87" i="11"/>
  <c r="B753" i="11"/>
  <c r="B498" i="11"/>
  <c r="B801" i="11"/>
  <c r="B193" i="11"/>
  <c r="B484" i="11"/>
  <c r="B105" i="11"/>
  <c r="B210" i="11"/>
  <c r="B976" i="11"/>
  <c r="B54" i="11"/>
  <c r="B34" i="11"/>
  <c r="B485" i="11"/>
  <c r="B500" i="11"/>
  <c r="B671" i="11"/>
  <c r="B830" i="11"/>
  <c r="B998" i="11"/>
  <c r="B224" i="11"/>
  <c r="B403" i="11"/>
  <c r="B52" i="11"/>
  <c r="B748" i="11"/>
  <c r="B641" i="11"/>
  <c r="B992" i="11"/>
  <c r="B773" i="11"/>
  <c r="B296" i="11"/>
  <c r="B62" i="11"/>
  <c r="B377" i="11"/>
  <c r="B785" i="11"/>
  <c r="B819" i="11"/>
  <c r="B685" i="11"/>
  <c r="B665" i="11"/>
  <c r="B310" i="11"/>
  <c r="B974" i="11"/>
  <c r="B610" i="11"/>
  <c r="B507" i="11"/>
  <c r="B28" i="11"/>
  <c r="B687" i="11"/>
  <c r="B619" i="11"/>
  <c r="B258" i="11"/>
  <c r="B348" i="11"/>
  <c r="B572" i="11"/>
  <c r="B990" i="11"/>
  <c r="B809" i="11"/>
  <c r="B344" i="11"/>
  <c r="B612" i="11"/>
  <c r="B958" i="11"/>
  <c r="B667" i="11"/>
  <c r="B261" i="11"/>
  <c r="B708" i="11"/>
  <c r="B295" i="11"/>
  <c r="B126" i="11"/>
  <c r="B833" i="11"/>
  <c r="B438" i="11"/>
  <c r="B620" i="11"/>
  <c r="B1012" i="11"/>
  <c r="B583" i="11"/>
  <c r="B185" i="11"/>
  <c r="B463" i="11"/>
  <c r="B318" i="11"/>
  <c r="B854" i="11"/>
  <c r="B691" i="11"/>
  <c r="B661" i="11"/>
  <c r="B140" i="11"/>
  <c r="B631" i="11"/>
  <c r="B595" i="11"/>
  <c r="B27" i="11"/>
  <c r="B630" i="11"/>
  <c r="B172" i="11"/>
  <c r="B898" i="11"/>
  <c r="B642" i="11"/>
  <c r="B64" i="11"/>
  <c r="B399" i="11"/>
  <c r="B882" i="11"/>
  <c r="B579" i="11"/>
  <c r="B23" i="11"/>
  <c r="B859" i="11"/>
  <c r="B911" i="11"/>
  <c r="B744" i="11"/>
  <c r="B505" i="11"/>
  <c r="B492" i="11"/>
  <c r="B12" i="11"/>
  <c r="B536" i="11"/>
  <c r="B892" i="11"/>
  <c r="B1011" i="11"/>
  <c r="B629" i="11"/>
  <c r="B496" i="11"/>
  <c r="B1023" i="11"/>
  <c r="B796" i="11"/>
  <c r="B952" i="11"/>
  <c r="B920" i="11"/>
  <c r="B167" i="11"/>
  <c r="B69" i="11"/>
  <c r="B857" i="11"/>
  <c r="B222" i="11"/>
  <c r="B696" i="11"/>
  <c r="B614" i="11"/>
  <c r="B489" i="11"/>
  <c r="B19" i="11"/>
  <c r="B982" i="11"/>
  <c r="B174" i="11"/>
  <c r="B5" i="11"/>
  <c r="B499" i="11"/>
  <c r="B750" i="11"/>
  <c r="B83" i="11"/>
  <c r="B842" i="11"/>
  <c r="B534" i="11"/>
  <c r="B628" i="11"/>
  <c r="B478" i="11"/>
  <c r="B171" i="11"/>
  <c r="B571" i="11"/>
  <c r="B549" i="11"/>
  <c r="B745" i="11"/>
  <c r="B326" i="11"/>
  <c r="B968" i="11"/>
  <c r="B903" i="11"/>
  <c r="B150" i="11"/>
  <c r="B84" i="11"/>
  <c r="B229" i="11"/>
  <c r="B119" i="11"/>
  <c r="B240" i="11"/>
  <c r="B220" i="11"/>
  <c r="B804" i="11"/>
  <c r="B844" i="11"/>
  <c r="B145" i="11"/>
  <c r="B677" i="11"/>
  <c r="B872" i="11"/>
  <c r="B123" i="11"/>
  <c r="B587" i="11"/>
  <c r="B757" i="11"/>
  <c r="B452" i="11"/>
  <c r="B649" i="11"/>
  <c r="B148" i="11"/>
  <c r="B752" i="11"/>
  <c r="B320" i="11"/>
  <c r="B1008" i="11"/>
  <c r="B252" i="11"/>
  <c r="B1017" i="11"/>
  <c r="B593" i="11"/>
  <c r="B15" i="11"/>
  <c r="B71" i="11"/>
  <c r="B67" i="11"/>
  <c r="B236" i="11"/>
  <c r="B957" i="11"/>
  <c r="B591" i="11"/>
  <c r="B199" i="11"/>
  <c r="B524" i="11"/>
  <c r="B771" i="11"/>
  <c r="B608" i="11"/>
  <c r="B539" i="11"/>
  <c r="B712" i="11"/>
  <c r="B547" i="11"/>
  <c r="B888" i="11"/>
  <c r="B652" i="11"/>
  <c r="B798" i="11"/>
  <c r="B659" i="11"/>
  <c r="B533" i="11"/>
  <c r="B354" i="11"/>
  <c r="B146" i="11"/>
  <c r="B743" i="11"/>
  <c r="B994" i="11"/>
  <c r="B142" i="11"/>
  <c r="B889" i="11"/>
  <c r="B166" i="11"/>
  <c r="B605" i="11"/>
  <c r="B902" i="11"/>
  <c r="B855" i="11"/>
  <c r="B202" i="11"/>
  <c r="B303" i="11"/>
  <c r="B983" i="11"/>
  <c r="B814" i="11"/>
  <c r="B516" i="11"/>
  <c r="B248" i="11"/>
  <c r="B288" i="11"/>
  <c r="A229" i="6"/>
  <c r="I28" i="6"/>
  <c r="A315" i="6"/>
  <c r="A654" i="6"/>
  <c r="A306" i="6"/>
  <c r="A129" i="6"/>
  <c r="A65" i="6"/>
  <c r="A534" i="6"/>
  <c r="A503" i="6"/>
  <c r="A531" i="6"/>
  <c r="A940" i="6"/>
  <c r="A435" i="6"/>
  <c r="A26" i="6"/>
  <c r="A780" i="6"/>
  <c r="A816" i="6"/>
  <c r="I962" i="6"/>
  <c r="A649" i="6"/>
  <c r="A126" i="6"/>
  <c r="A91" i="6"/>
  <c r="A562" i="6"/>
  <c r="A487" i="6"/>
  <c r="A348" i="6"/>
  <c r="A861" i="6"/>
  <c r="I745" i="6"/>
  <c r="A932" i="6"/>
  <c r="A36" i="6"/>
  <c r="A634" i="6"/>
  <c r="I443" i="6"/>
  <c r="A212" i="6"/>
  <c r="A92" i="6"/>
  <c r="A895" i="6"/>
  <c r="A279" i="6"/>
  <c r="A755" i="6"/>
  <c r="A793" i="6"/>
  <c r="A971" i="6"/>
  <c r="A388" i="6"/>
  <c r="A692" i="6"/>
  <c r="I907" i="6"/>
  <c r="A236" i="6"/>
  <c r="I686" i="6"/>
  <c r="A119" i="6"/>
  <c r="A311" i="6"/>
  <c r="A25" i="6"/>
  <c r="A508" i="6"/>
  <c r="I130" i="6"/>
  <c r="I395" i="6"/>
  <c r="A561" i="6"/>
  <c r="I317" i="6"/>
  <c r="A704" i="6"/>
  <c r="A684" i="6"/>
  <c r="A739" i="6"/>
  <c r="I849" i="6"/>
  <c r="A919" i="6"/>
  <c r="A241" i="6"/>
  <c r="I234" i="6"/>
  <c r="A733" i="6"/>
  <c r="A568" i="6"/>
  <c r="A551" i="6"/>
  <c r="I91" i="6"/>
  <c r="A740" i="6"/>
  <c r="I83" i="6"/>
  <c r="A57" i="6"/>
  <c r="A541" i="6"/>
  <c r="A434" i="6"/>
  <c r="A702" i="6"/>
  <c r="A72" i="6"/>
  <c r="A738" i="6"/>
  <c r="A827" i="6"/>
  <c r="A230" i="6"/>
  <c r="I903" i="6"/>
  <c r="I48" i="6"/>
  <c r="A693" i="6"/>
  <c r="A511" i="6"/>
  <c r="A454" i="6"/>
  <c r="A1004" i="6"/>
  <c r="A1019" i="6"/>
  <c r="A943" i="6"/>
  <c r="I471" i="6"/>
  <c r="A996" i="6"/>
  <c r="A499" i="6"/>
  <c r="A445" i="6"/>
  <c r="A12" i="6"/>
  <c r="A196" i="6"/>
  <c r="A830" i="6"/>
  <c r="A201" i="6"/>
  <c r="A875" i="6"/>
  <c r="I336" i="6"/>
  <c r="A1020" i="6"/>
  <c r="A199" i="6"/>
  <c r="A423" i="6"/>
  <c r="I31" i="6"/>
  <c r="I326" i="6"/>
  <c r="I933" i="6"/>
  <c r="A258" i="6"/>
  <c r="I181" i="6"/>
  <c r="A287" i="6"/>
  <c r="I723" i="6"/>
  <c r="A249" i="6"/>
  <c r="I14" i="6"/>
  <c r="A472" i="6"/>
  <c r="A397" i="6"/>
  <c r="A887" i="6"/>
  <c r="A322" i="6"/>
  <c r="A31" i="6"/>
  <c r="A70" i="6"/>
  <c r="A438" i="6"/>
  <c r="I282" i="6"/>
  <c r="A594" i="6"/>
  <c r="A567" i="6"/>
  <c r="A359" i="6"/>
  <c r="I38" i="6"/>
  <c r="I296" i="6"/>
  <c r="A563" i="6"/>
  <c r="A926" i="6"/>
  <c r="A756" i="6"/>
  <c r="A933" i="6"/>
  <c r="A111" i="6"/>
  <c r="A242" i="6"/>
  <c r="A193" i="6"/>
  <c r="A768" i="6"/>
  <c r="A452" i="6"/>
  <c r="A961" i="6"/>
  <c r="I755" i="6"/>
  <c r="I562" i="6"/>
  <c r="A298" i="6"/>
  <c r="I21" i="6"/>
  <c r="A992" i="6"/>
  <c r="A648" i="6"/>
  <c r="A379" i="6"/>
  <c r="A757" i="6"/>
  <c r="A459" i="6"/>
  <c r="A480" i="6"/>
  <c r="A175" i="6"/>
  <c r="I367" i="6"/>
  <c r="A837" i="6"/>
  <c r="A530" i="6"/>
  <c r="A850" i="6"/>
  <c r="A292" i="6"/>
  <c r="A215" i="6"/>
  <c r="A918" i="6"/>
  <c r="A165" i="6"/>
  <c r="I573" i="6"/>
  <c r="I647" i="6"/>
  <c r="I773" i="6"/>
  <c r="A238" i="6"/>
  <c r="A21" i="6"/>
  <c r="A422" i="6"/>
  <c r="A857" i="6"/>
  <c r="A470" i="6"/>
  <c r="A789" i="6"/>
  <c r="A900" i="6"/>
  <c r="A344" i="6"/>
  <c r="A986" i="6"/>
  <c r="A332" i="6"/>
  <c r="I89" i="6"/>
  <c r="A896" i="6"/>
  <c r="A811" i="6"/>
  <c r="A892" i="6"/>
  <c r="I445" i="6"/>
  <c r="A748" i="6"/>
  <c r="I357" i="6"/>
  <c r="A333" i="6"/>
  <c r="A821" i="6"/>
  <c r="A497" i="6"/>
  <c r="A181" i="6"/>
  <c r="A939" i="6"/>
  <c r="A305" i="6"/>
  <c r="A404" i="6"/>
  <c r="A484" i="6"/>
  <c r="A75" i="6"/>
  <c r="A389" i="6"/>
  <c r="A210" i="6"/>
  <c r="I50" i="6"/>
  <c r="A35" i="6"/>
  <c r="A948" i="6"/>
  <c r="A507" i="6"/>
  <c r="A874" i="6"/>
  <c r="A550" i="6"/>
  <c r="I646" i="6"/>
  <c r="A560" i="6"/>
  <c r="I137" i="6"/>
  <c r="A122" i="6"/>
  <c r="A781" i="6"/>
  <c r="A411" i="6"/>
  <c r="A865" i="6"/>
  <c r="A546" i="6"/>
  <c r="A689" i="6"/>
  <c r="A372" i="6"/>
  <c r="I206" i="6"/>
  <c r="A437" i="6"/>
  <c r="I182" i="6"/>
  <c r="I102" i="6"/>
  <c r="I866" i="6"/>
  <c r="A251" i="6"/>
  <c r="A118" i="6"/>
  <c r="I652" i="6"/>
  <c r="I208" i="6"/>
  <c r="I863" i="6"/>
  <c r="A167" i="6"/>
  <c r="A820" i="6"/>
  <c r="A642" i="6"/>
  <c r="A888" i="6"/>
  <c r="I100" i="6"/>
  <c r="A89" i="6"/>
  <c r="I467" i="6"/>
  <c r="A763" i="6"/>
  <c r="A370" i="6"/>
  <c r="I998" i="6"/>
  <c r="A488" i="6"/>
  <c r="A1003" i="6"/>
  <c r="A559" i="6"/>
  <c r="A66" i="6"/>
  <c r="I588" i="6"/>
  <c r="I841" i="6"/>
  <c r="A184" i="6"/>
  <c r="A73" i="6"/>
  <c r="A585" i="6"/>
  <c r="A8" i="6"/>
  <c r="I701" i="6"/>
  <c r="A611" i="6"/>
  <c r="I309" i="6"/>
  <c r="A619" i="6"/>
  <c r="A493" i="6"/>
  <c r="A20" i="6"/>
  <c r="A158" i="6"/>
  <c r="A673" i="6"/>
  <c r="A431" i="6"/>
  <c r="I293" i="6"/>
  <c r="I710" i="6"/>
  <c r="A639" i="6"/>
  <c r="A974" i="6"/>
  <c r="I730" i="6"/>
  <c r="A329" i="6"/>
  <c r="A641" i="6"/>
  <c r="A664" i="6"/>
  <c r="A977" i="6"/>
  <c r="I144" i="6"/>
  <c r="A911" i="6"/>
  <c r="A788" i="6"/>
  <c r="A239" i="6"/>
  <c r="A254" i="6"/>
  <c r="I804" i="6"/>
  <c r="A744" i="6"/>
  <c r="I368" i="6"/>
  <c r="B181" i="6"/>
  <c r="D57" i="6"/>
  <c r="I687" i="6"/>
  <c r="A141" i="6"/>
  <c r="A67" i="6"/>
  <c r="B1020" i="6"/>
  <c r="A968" i="6"/>
  <c r="A270" i="6"/>
  <c r="C270" i="6" s="1"/>
  <c r="A183" i="6"/>
  <c r="A778" i="6"/>
  <c r="I668" i="6"/>
  <c r="A325" i="6"/>
  <c r="B325" i="6" s="1"/>
  <c r="A951" i="6"/>
  <c r="A833" i="6"/>
  <c r="A202" i="6"/>
  <c r="A625" i="6"/>
  <c r="I828" i="6"/>
  <c r="I515" i="6"/>
  <c r="A465" i="6"/>
  <c r="A365" i="6"/>
  <c r="I1010" i="6"/>
  <c r="A956" i="6"/>
  <c r="A835" i="6"/>
  <c r="A867" i="6"/>
  <c r="A50" i="6"/>
  <c r="I953" i="6"/>
  <c r="A362" i="6"/>
  <c r="A62" i="6"/>
  <c r="A424" i="6"/>
  <c r="A681" i="6"/>
  <c r="A135" i="6"/>
  <c r="A812" i="6"/>
  <c r="A436" i="6"/>
  <c r="A829" i="6"/>
  <c r="A859" i="6"/>
  <c r="I921" i="6"/>
  <c r="A854" i="6"/>
  <c r="A80" i="6"/>
  <c r="I438" i="6"/>
  <c r="A136" i="6"/>
  <c r="A858" i="6"/>
  <c r="A281" i="6"/>
  <c r="I123" i="6"/>
  <c r="A964" i="6"/>
  <c r="A572" i="6"/>
  <c r="I30" i="6"/>
  <c r="A1021" i="6"/>
  <c r="I411" i="6"/>
  <c r="A916" i="6"/>
  <c r="I682" i="6"/>
  <c r="I274" i="6"/>
  <c r="A799" i="6"/>
  <c r="I452" i="6"/>
  <c r="I387" i="6"/>
  <c r="A949" i="6"/>
  <c r="I129" i="6"/>
  <c r="A440" i="6"/>
  <c r="I468" i="6"/>
  <c r="I785" i="6"/>
  <c r="I397" i="6"/>
  <c r="I449" i="6"/>
  <c r="A226" i="6"/>
  <c r="I88" i="6"/>
  <c r="I278" i="6"/>
  <c r="A747" i="6"/>
  <c r="A297" i="6"/>
  <c r="A724" i="6"/>
  <c r="A425" i="6"/>
  <c r="A542" i="6"/>
  <c r="A272" i="6"/>
  <c r="I149" i="6"/>
  <c r="E73" i="6"/>
  <c r="A898" i="6"/>
  <c r="A635" i="6"/>
  <c r="A277" i="6"/>
  <c r="A351" i="6"/>
  <c r="A512" i="6"/>
  <c r="I634" i="6"/>
  <c r="B241" i="6"/>
  <c r="A587" i="6"/>
  <c r="A49" i="6"/>
  <c r="I608" i="6"/>
  <c r="C452" i="6"/>
  <c r="I216" i="6"/>
  <c r="B73" i="6"/>
  <c r="A273" i="6"/>
  <c r="A473" i="6"/>
  <c r="A369" i="6"/>
  <c r="I564" i="6"/>
  <c r="B26" i="6"/>
  <c r="A665" i="6"/>
  <c r="I643" i="6"/>
  <c r="A624" i="6"/>
  <c r="I771" i="6"/>
  <c r="I929" i="6"/>
  <c r="I772" i="6"/>
  <c r="A719" i="6"/>
  <c r="A983" i="6"/>
  <c r="I417" i="6"/>
  <c r="A447" i="6"/>
  <c r="I46" i="6"/>
  <c r="A609" i="6"/>
  <c r="B236" i="6"/>
  <c r="I450" i="6"/>
  <c r="I736" i="6"/>
  <c r="I99" i="6"/>
  <c r="I684" i="6"/>
  <c r="A33" i="6"/>
  <c r="A846" i="6"/>
  <c r="A130" i="6"/>
  <c r="I487" i="6"/>
  <c r="I598" i="6"/>
  <c r="I10" i="6"/>
  <c r="A442" i="6"/>
  <c r="A375" i="6"/>
  <c r="A398" i="6"/>
  <c r="A617" i="6"/>
  <c r="I229" i="6"/>
  <c r="I5" i="6"/>
  <c r="A970" i="6"/>
  <c r="A636" i="6"/>
  <c r="A134" i="6"/>
  <c r="D739" i="6"/>
  <c r="I328" i="6"/>
  <c r="A946" i="6"/>
  <c r="A479" i="6"/>
  <c r="I1001" i="6"/>
  <c r="A268" i="6"/>
  <c r="A578" i="6"/>
  <c r="I1018" i="6"/>
  <c r="A197" i="6"/>
  <c r="A489" i="6"/>
  <c r="A318" i="6"/>
  <c r="A629" i="6"/>
  <c r="I873" i="6"/>
  <c r="I750" i="6"/>
  <c r="A680" i="6"/>
  <c r="A300" i="6"/>
  <c r="A975" i="6"/>
  <c r="A250" i="6"/>
  <c r="A245" i="6"/>
  <c r="A1013" i="6"/>
  <c r="A1012" i="6"/>
  <c r="A588" i="6"/>
  <c r="A481" i="6"/>
  <c r="A749" i="6"/>
  <c r="A540" i="6"/>
  <c r="A732" i="6"/>
  <c r="A198" i="6"/>
  <c r="A343" i="6"/>
  <c r="I498" i="6"/>
  <c r="A185" i="6"/>
  <c r="I203" i="6"/>
  <c r="I898" i="6"/>
  <c r="I746" i="6"/>
  <c r="I333" i="6"/>
  <c r="I936" i="6"/>
  <c r="A644" i="6"/>
  <c r="A735" i="6"/>
  <c r="A691" i="6"/>
  <c r="A304" i="6"/>
  <c r="I905" i="6"/>
  <c r="I96" i="6"/>
  <c r="A882" i="6"/>
  <c r="A929" i="6"/>
  <c r="A321" i="6"/>
  <c r="A616" i="6"/>
  <c r="I174" i="6"/>
  <c r="A206" i="6"/>
  <c r="A500" i="6"/>
  <c r="A505" i="6"/>
  <c r="A662" i="6"/>
  <c r="I298" i="6"/>
  <c r="I800" i="6"/>
  <c r="A967" i="6"/>
  <c r="I526" i="6"/>
  <c r="I729" i="6"/>
  <c r="A963" i="6"/>
  <c r="I658" i="6"/>
  <c r="A340" i="6"/>
  <c r="A516" i="6"/>
  <c r="A697" i="6"/>
  <c r="I599" i="6"/>
  <c r="A373" i="6"/>
  <c r="I207" i="6"/>
  <c r="I237" i="6"/>
  <c r="I880" i="6"/>
  <c r="A806" i="6"/>
  <c r="I896" i="6"/>
  <c r="A593" i="6"/>
  <c r="I948" i="6"/>
  <c r="A179" i="6"/>
  <c r="A695" i="6"/>
  <c r="I117" i="6"/>
  <c r="A877" i="6"/>
  <c r="A819" i="6"/>
  <c r="I766" i="6"/>
  <c r="G975" i="6"/>
  <c r="I595" i="6"/>
  <c r="E534" i="6"/>
  <c r="A759" i="6"/>
  <c r="C572" i="6"/>
  <c r="I460" i="6"/>
  <c r="C1013" i="6"/>
  <c r="I679" i="6"/>
  <c r="A52" i="6"/>
  <c r="I810" i="6"/>
  <c r="I51" i="6"/>
  <c r="A188" i="6"/>
  <c r="C1012" i="6"/>
  <c r="C67" i="6"/>
  <c r="A368" i="6"/>
  <c r="A457" i="6"/>
  <c r="A752" i="6"/>
  <c r="A276" i="6"/>
  <c r="I185" i="6"/>
  <c r="A838" i="6"/>
  <c r="A345" i="6"/>
  <c r="A889" i="6"/>
  <c r="A792" i="6"/>
  <c r="I761" i="6"/>
  <c r="I525" i="6"/>
  <c r="A842" i="6"/>
  <c r="A176" i="6"/>
  <c r="H900" i="6"/>
  <c r="B611" i="6"/>
  <c r="A595" i="6"/>
  <c r="C738" i="6"/>
  <c r="A990" i="6"/>
  <c r="A1017" i="6"/>
  <c r="A334" i="6"/>
  <c r="I719" i="6"/>
  <c r="I741" i="6"/>
  <c r="I522" i="6"/>
  <c r="I940" i="6"/>
  <c r="A338" i="6"/>
  <c r="I501" i="6"/>
  <c r="A234" i="6"/>
  <c r="I885" i="6"/>
  <c r="I1013" i="6"/>
  <c r="A449" i="6"/>
  <c r="I822" i="6"/>
  <c r="E277" i="6"/>
  <c r="A85" i="6"/>
  <c r="A88" i="6"/>
  <c r="A521" i="6"/>
  <c r="A453" i="6"/>
  <c r="A959" i="6"/>
  <c r="C167" i="6"/>
  <c r="A856" i="6"/>
  <c r="A937" i="6"/>
  <c r="A414" i="6"/>
  <c r="B484" i="6"/>
  <c r="A640" i="6"/>
  <c r="A265" i="6"/>
  <c r="A260" i="6"/>
  <c r="A257" i="6"/>
  <c r="A149" i="6"/>
  <c r="A753" i="6"/>
  <c r="A513" i="6"/>
  <c r="A16" i="6"/>
  <c r="A997" i="6"/>
  <c r="I748" i="6"/>
  <c r="I818" i="6"/>
  <c r="A765" i="6"/>
  <c r="A427" i="6"/>
  <c r="A103" i="6"/>
  <c r="A203" i="6"/>
  <c r="A403" i="6"/>
  <c r="A564" i="6"/>
  <c r="I689" i="6"/>
  <c r="I757" i="6"/>
  <c r="A312" i="6"/>
  <c r="A809" i="6"/>
  <c r="I733" i="6"/>
  <c r="I324" i="6"/>
  <c r="I393" i="6"/>
  <c r="A742" i="6"/>
  <c r="B742" i="6" s="1"/>
  <c r="A7" i="6"/>
  <c r="I110" i="6"/>
  <c r="A834" i="6"/>
  <c r="D499" i="6"/>
  <c r="I659" i="6"/>
  <c r="A23" i="6"/>
  <c r="I561" i="6"/>
  <c r="I964" i="6"/>
  <c r="A652" i="6"/>
  <c r="I742" i="6"/>
  <c r="A694" i="6"/>
  <c r="A667" i="6"/>
  <c r="A248" i="6"/>
  <c r="A754" i="6"/>
  <c r="I931" i="6"/>
  <c r="I490" i="6"/>
  <c r="I677" i="6"/>
  <c r="I735" i="6"/>
  <c r="A252" i="6"/>
  <c r="A307" i="6"/>
  <c r="I724" i="6"/>
  <c r="I170" i="6"/>
  <c r="A59" i="6"/>
  <c r="I454" i="6"/>
  <c r="A936" i="6"/>
  <c r="A601" i="6"/>
  <c r="I456" i="6"/>
  <c r="A79" i="6"/>
  <c r="A501" i="6"/>
  <c r="I266" i="6"/>
  <c r="I118" i="6"/>
  <c r="B754" i="6"/>
  <c r="I33" i="6"/>
  <c r="A912" i="6"/>
  <c r="I980" i="6"/>
  <c r="A110" i="6"/>
  <c r="A186" i="6"/>
  <c r="A502" i="6"/>
  <c r="I791" i="6"/>
  <c r="I650" i="6"/>
  <c r="A917" i="6"/>
  <c r="A701" i="6"/>
  <c r="I350" i="6"/>
  <c r="A1018" i="6"/>
  <c r="I897" i="6"/>
  <c r="I1006" i="6"/>
  <c r="A378" i="6"/>
  <c r="A462" i="6"/>
  <c r="A728" i="6"/>
  <c r="A474" i="6"/>
  <c r="A526" i="6"/>
  <c r="A987" i="6"/>
  <c r="D987" i="6" s="1"/>
  <c r="A468" i="6"/>
  <c r="A612" i="6"/>
  <c r="A598" i="6"/>
  <c r="I803" i="6"/>
  <c r="A494" i="6"/>
  <c r="A554" i="6"/>
  <c r="A384" i="6"/>
  <c r="I251" i="6"/>
  <c r="C175" i="6"/>
  <c r="A34" i="6"/>
  <c r="A99" i="6"/>
  <c r="A908" i="6"/>
  <c r="I811" i="6"/>
  <c r="D165" i="6"/>
  <c r="A45" i="6"/>
  <c r="I122" i="6"/>
  <c r="A506" i="6"/>
  <c r="I125" i="6"/>
  <c r="A271" i="6"/>
  <c r="I645" i="6"/>
  <c r="I548" i="6"/>
  <c r="A851" i="6"/>
  <c r="I238" i="6"/>
  <c r="I516" i="6"/>
  <c r="A83" i="6"/>
  <c r="I330" i="6"/>
  <c r="I489" i="6"/>
  <c r="I884" i="6"/>
  <c r="I442" i="6"/>
  <c r="I938" i="6"/>
  <c r="D304" i="6"/>
  <c r="A1008" i="6"/>
  <c r="A237" i="6"/>
  <c r="C436" i="6"/>
  <c r="I209" i="6"/>
  <c r="I574" i="6"/>
  <c r="I496" i="6"/>
  <c r="C497" i="6"/>
  <c r="I167" i="6"/>
  <c r="I265" i="6"/>
  <c r="A139" i="6"/>
  <c r="B681" i="6"/>
  <c r="A173" i="6"/>
  <c r="I270" i="6"/>
  <c r="I648" i="6"/>
  <c r="A953" i="6"/>
  <c r="A160" i="6"/>
  <c r="A380" i="6"/>
  <c r="B359" i="6"/>
  <c r="A221" i="6"/>
  <c r="A426" i="6"/>
  <c r="I391" i="6"/>
  <c r="I877" i="6"/>
  <c r="A862" i="6"/>
  <c r="A1026" i="6"/>
  <c r="C568" i="6"/>
  <c r="B837" i="6"/>
  <c r="B793" i="6"/>
  <c r="A309" i="6"/>
  <c r="I628" i="6"/>
  <c r="C948" i="6"/>
  <c r="A930" i="6"/>
  <c r="I731" i="6"/>
  <c r="A9" i="6"/>
  <c r="A280" i="6"/>
  <c r="I281" i="6"/>
  <c r="A387" i="6"/>
  <c r="A518" i="6"/>
  <c r="C12" i="6"/>
  <c r="I968" i="6"/>
  <c r="I934" i="6"/>
  <c r="I146" i="6"/>
  <c r="I365" i="6"/>
  <c r="A938" i="6"/>
  <c r="B728" i="6"/>
  <c r="A847" i="6"/>
  <c r="A182" i="6"/>
  <c r="H59" i="6"/>
  <c r="A313" i="6"/>
  <c r="A106" i="6"/>
  <c r="A383" i="6"/>
  <c r="A545" i="6"/>
  <c r="A247" i="6"/>
  <c r="C829" i="6"/>
  <c r="I661" i="6"/>
  <c r="I805" i="6"/>
  <c r="I543" i="6"/>
  <c r="A519" i="6"/>
  <c r="A669" i="6"/>
  <c r="I461" i="6"/>
  <c r="I985" i="6"/>
  <c r="B540" i="6"/>
  <c r="D611" i="6"/>
  <c r="A162" i="6"/>
  <c r="A646" i="6"/>
  <c r="B234" i="6"/>
  <c r="F874" i="6"/>
  <c r="I727" i="6"/>
  <c r="A316" i="6"/>
  <c r="B639" i="6"/>
  <c r="A655" i="6"/>
  <c r="A482" i="6"/>
  <c r="A803" i="6"/>
  <c r="A547" i="6"/>
  <c r="A762" i="6"/>
  <c r="C470" i="6"/>
  <c r="I342" i="6"/>
  <c r="I544" i="6"/>
  <c r="C434" i="6"/>
  <c r="E564" i="6"/>
  <c r="A591" i="6"/>
  <c r="C265" i="6"/>
  <c r="D546" i="6"/>
  <c r="I637" i="6"/>
  <c r="B329" i="6"/>
  <c r="A552" i="6"/>
  <c r="B238" i="6"/>
  <c r="A337" i="6"/>
  <c r="E898" i="6"/>
  <c r="C898" i="6"/>
  <c r="C414" i="6"/>
  <c r="A527" i="6"/>
  <c r="B865" i="6"/>
  <c r="I633" i="6"/>
  <c r="B452" i="6"/>
  <c r="I250" i="6"/>
  <c r="F895" i="6"/>
  <c r="A549" i="6"/>
  <c r="A696" i="6"/>
  <c r="C664" i="6"/>
  <c r="H516" i="6"/>
  <c r="A632" i="6"/>
  <c r="A235" i="6"/>
  <c r="A925" i="6"/>
  <c r="C974" i="6"/>
  <c r="I161" i="6"/>
  <c r="A1011" i="6"/>
  <c r="G287" i="6"/>
  <c r="C454" i="6"/>
  <c r="I195" i="6"/>
  <c r="B530" i="6"/>
  <c r="D959" i="6"/>
  <c r="I113" i="6"/>
  <c r="G560" i="6"/>
  <c r="C72" i="6"/>
  <c r="E519" i="6"/>
  <c r="A399" i="6"/>
  <c r="I268" i="6"/>
  <c r="B389" i="6"/>
  <c r="I951" i="6"/>
  <c r="B318" i="6"/>
  <c r="B85" i="6"/>
  <c r="I360" i="6"/>
  <c r="I959" i="6"/>
  <c r="B654" i="6"/>
  <c r="D186" i="6"/>
  <c r="A475" i="6"/>
  <c r="C442" i="6"/>
  <c r="D457" i="6"/>
  <c r="A761" i="6"/>
  <c r="A525" i="6"/>
  <c r="A77" i="6"/>
  <c r="A745" i="6"/>
  <c r="A868" i="6"/>
  <c r="I925" i="6"/>
  <c r="I787" i="6"/>
  <c r="I832" i="6"/>
  <c r="I254" i="6"/>
  <c r="A800" i="6"/>
  <c r="A814" i="6"/>
  <c r="A6" i="6"/>
  <c r="I390" i="6"/>
  <c r="I655" i="6"/>
  <c r="A190" i="6"/>
  <c r="I440" i="6"/>
  <c r="I323" i="6"/>
  <c r="I385" i="6"/>
  <c r="A264" i="6"/>
  <c r="A255" i="6"/>
  <c r="I62" i="6"/>
  <c r="B765" i="6"/>
  <c r="A813" i="6"/>
  <c r="E813" i="6" s="1"/>
  <c r="I392" i="6"/>
  <c r="I72" i="6"/>
  <c r="A419" i="6"/>
  <c r="I1025" i="6"/>
  <c r="A515" i="6"/>
  <c r="A897" i="6"/>
  <c r="H419" i="6"/>
  <c r="C768" i="6"/>
  <c r="C694" i="6"/>
  <c r="I279" i="6"/>
  <c r="A299" i="6"/>
  <c r="I580" i="6"/>
  <c r="A577" i="6"/>
  <c r="I143" i="6"/>
  <c r="A471" i="6"/>
  <c r="A690" i="6"/>
  <c r="I792" i="6"/>
  <c r="I875" i="6"/>
  <c r="I325" i="6"/>
  <c r="I644" i="6"/>
  <c r="I187" i="6"/>
  <c r="A615" i="6"/>
  <c r="I246" i="6"/>
  <c r="A599" i="6"/>
  <c r="A444" i="6"/>
  <c r="E444" i="6" s="1"/>
  <c r="A259" i="6"/>
  <c r="A645" i="6"/>
  <c r="E242" i="6"/>
  <c r="A885" i="6"/>
  <c r="A208" i="6"/>
  <c r="I488" i="6"/>
  <c r="I242" i="6"/>
  <c r="A890" i="6"/>
  <c r="C80" i="6"/>
  <c r="A51" i="6"/>
  <c r="I983" i="6"/>
  <c r="A461" i="6"/>
  <c r="I854" i="6"/>
  <c r="A978" i="6"/>
  <c r="A86" i="6"/>
  <c r="I823" i="6"/>
  <c r="A278" i="6"/>
  <c r="E245" i="6"/>
  <c r="I24" i="6"/>
  <c r="I826" i="6"/>
  <c r="A714" i="6"/>
  <c r="A960" i="6"/>
  <c r="I481" i="6"/>
  <c r="I973" i="6"/>
  <c r="A570" i="6"/>
  <c r="I70" i="6"/>
  <c r="C318" i="6"/>
  <c r="A583" i="6"/>
  <c r="I67" i="6"/>
  <c r="A915" i="6"/>
  <c r="A410" i="6"/>
  <c r="A428" i="6"/>
  <c r="A600" i="6"/>
  <c r="I683" i="6"/>
  <c r="E765" i="6"/>
  <c r="I801" i="6"/>
  <c r="I313" i="6"/>
  <c r="A55" i="6"/>
  <c r="I926" i="6"/>
  <c r="A224" i="6"/>
  <c r="D799" i="6"/>
  <c r="I402" i="6"/>
  <c r="A53" i="6"/>
  <c r="A390" i="6"/>
  <c r="A90" i="6"/>
  <c r="A401" i="6"/>
  <c r="I314" i="6"/>
  <c r="I700" i="6"/>
  <c r="I591" i="6"/>
  <c r="I243" i="6"/>
  <c r="B781" i="6"/>
  <c r="A606" i="6"/>
  <c r="I138" i="6"/>
  <c r="C306" i="6"/>
  <c r="A211" i="6"/>
  <c r="A125" i="6"/>
  <c r="I164" i="6"/>
  <c r="A219" i="6"/>
  <c r="B550" i="6"/>
  <c r="I508" i="6"/>
  <c r="I396" i="6"/>
  <c r="C1004" i="6"/>
  <c r="I691" i="6"/>
  <c r="A726" i="6"/>
  <c r="E375" i="6"/>
  <c r="I364" i="6"/>
  <c r="C383" i="6"/>
  <c r="A872" i="6"/>
  <c r="D753" i="6"/>
  <c r="I703" i="6"/>
  <c r="I26" i="6"/>
  <c r="A429" i="6"/>
  <c r="A47" i="6"/>
  <c r="A358" i="6"/>
  <c r="A999" i="6"/>
  <c r="A227" i="6"/>
  <c r="A314" i="6"/>
  <c r="B126" i="6"/>
  <c r="A699" i="6"/>
  <c r="I602" i="6"/>
  <c r="I166" i="6"/>
  <c r="H278" i="6"/>
  <c r="I322" i="6"/>
  <c r="B411" i="6"/>
  <c r="D861" i="6"/>
  <c r="I673" i="6"/>
  <c r="I241" i="6"/>
  <c r="C272" i="6"/>
  <c r="I737" i="6"/>
  <c r="A782" i="6"/>
  <c r="H401" i="6"/>
  <c r="A302" i="6"/>
  <c r="B242" i="6"/>
  <c r="A367" i="6"/>
  <c r="A1025" i="6"/>
  <c r="B1021" i="6"/>
  <c r="F986" i="6"/>
  <c r="I663" i="6"/>
  <c r="I276" i="6"/>
  <c r="F953" i="6"/>
  <c r="C992" i="6"/>
  <c r="A573" i="6"/>
  <c r="A520" i="6"/>
  <c r="A866" i="6"/>
  <c r="C861" i="6"/>
  <c r="I917" i="6"/>
  <c r="H1004" i="6"/>
  <c r="A394" i="6"/>
  <c r="I833" i="6"/>
  <c r="A828" i="6"/>
  <c r="A409" i="6"/>
  <c r="E453" i="6"/>
  <c r="A687" i="6"/>
  <c r="I225" i="6"/>
  <c r="B951" i="6"/>
  <c r="B434" i="6"/>
  <c r="B135" i="6"/>
  <c r="A845" i="6"/>
  <c r="A104" i="6"/>
  <c r="C62" i="6"/>
  <c r="A660" i="6"/>
  <c r="A64" i="6"/>
  <c r="A712" i="6"/>
  <c r="I763" i="6"/>
  <c r="A597" i="6"/>
  <c r="A893" i="6"/>
  <c r="B665" i="6"/>
  <c r="B780" i="6"/>
  <c r="D36" i="6"/>
  <c r="I688" i="6"/>
  <c r="C877" i="6"/>
  <c r="G819" i="6"/>
  <c r="G158" i="6"/>
  <c r="F763" i="6"/>
  <c r="E251" i="6"/>
  <c r="F248" i="6"/>
  <c r="A195" i="6"/>
  <c r="A232" i="6"/>
  <c r="C644" i="6"/>
  <c r="D411" i="6"/>
  <c r="B453" i="6"/>
  <c r="I505" i="6"/>
  <c r="I301" i="6"/>
  <c r="I649" i="6"/>
  <c r="E748" i="6"/>
  <c r="I923" i="6"/>
  <c r="C52" i="6"/>
  <c r="A498" i="6"/>
  <c r="H453" i="6"/>
  <c r="C375" i="6"/>
  <c r="G493" i="6"/>
  <c r="A1022" i="6"/>
  <c r="A233" i="6"/>
  <c r="F812" i="6"/>
  <c r="C241" i="6"/>
  <c r="D245" i="6"/>
  <c r="E304" i="6"/>
  <c r="F20" i="6"/>
  <c r="E704" i="6"/>
  <c r="I550" i="6"/>
  <c r="D251" i="6"/>
  <c r="C806" i="6"/>
  <c r="B1026" i="6"/>
  <c r="C611" i="6"/>
  <c r="C895" i="6"/>
  <c r="A746" i="6"/>
  <c r="I976" i="6"/>
  <c r="C277" i="6"/>
  <c r="I288" i="6"/>
  <c r="F88" i="6"/>
  <c r="I444" i="6"/>
  <c r="D551" i="6"/>
  <c r="D287" i="6"/>
  <c r="E662" i="6"/>
  <c r="A223" i="6"/>
  <c r="A659" i="6"/>
  <c r="A29" i="6"/>
  <c r="G502" i="6"/>
  <c r="A675" i="6"/>
  <c r="I895" i="6"/>
  <c r="I275" i="6"/>
  <c r="A244" i="6"/>
  <c r="G193" i="6"/>
  <c r="I920" i="6"/>
  <c r="I630" i="6"/>
  <c r="B813" i="6"/>
  <c r="I813" i="6"/>
  <c r="I171" i="6"/>
  <c r="B80" i="6"/>
  <c r="I8" i="6"/>
  <c r="A620" i="6"/>
  <c r="I315" i="6"/>
  <c r="C111" i="6"/>
  <c r="C203" i="6"/>
  <c r="A275" i="6"/>
  <c r="I361" i="6"/>
  <c r="I806" i="6"/>
  <c r="A776" i="6"/>
  <c r="D239" i="6"/>
  <c r="A263" i="6"/>
  <c r="A947" i="6"/>
  <c r="I616" i="6"/>
  <c r="I300" i="6"/>
  <c r="A406" i="6"/>
  <c r="B554" i="6"/>
  <c r="I236" i="6"/>
  <c r="G248" i="6"/>
  <c r="A980" i="6"/>
  <c r="B809" i="6"/>
  <c r="I830" i="6"/>
  <c r="I420" i="6"/>
  <c r="I60" i="6"/>
  <c r="I603" i="6"/>
  <c r="I754" i="6"/>
  <c r="A377" i="6"/>
  <c r="I451" i="6"/>
  <c r="A328" i="6"/>
  <c r="A335" i="6"/>
  <c r="A731" i="6"/>
  <c r="C521" i="6"/>
  <c r="D50" i="6"/>
  <c r="C238" i="6"/>
  <c r="A661" i="6"/>
  <c r="C563" i="6"/>
  <c r="A802" i="6"/>
  <c r="I497" i="6"/>
  <c r="A96" i="6"/>
  <c r="G594" i="6"/>
  <c r="E488" i="6"/>
  <c r="A448" i="6"/>
  <c r="A282" i="6"/>
  <c r="A672" i="6"/>
  <c r="A623" i="6"/>
  <c r="I1005" i="6"/>
  <c r="B694" i="6"/>
  <c r="A787" i="6"/>
  <c r="I664" i="6"/>
  <c r="I255" i="6"/>
  <c r="A935" i="6"/>
  <c r="I758" i="6"/>
  <c r="A63" i="6"/>
  <c r="I942" i="6"/>
  <c r="A985" i="6"/>
  <c r="I547" i="6"/>
  <c r="B271" i="6"/>
  <c r="H515" i="6"/>
  <c r="I887" i="6"/>
  <c r="A703" i="6"/>
  <c r="A717" i="6"/>
  <c r="I148" i="6"/>
  <c r="C542" i="6"/>
  <c r="I774" i="6"/>
  <c r="H996" i="6"/>
  <c r="I401" i="6"/>
  <c r="A14" i="6"/>
  <c r="A853" i="6"/>
  <c r="C996" i="6"/>
  <c r="I843" i="6"/>
  <c r="I821" i="6"/>
  <c r="G445" i="6"/>
  <c r="H299" i="6"/>
  <c r="H481" i="6"/>
  <c r="A285" i="6"/>
  <c r="C260" i="6"/>
  <c r="A934" i="6"/>
  <c r="A730" i="6"/>
  <c r="F16" i="6"/>
  <c r="A469" i="6"/>
  <c r="A727" i="6"/>
  <c r="I678" i="6"/>
  <c r="I914" i="6"/>
  <c r="I112" i="6"/>
  <c r="D462" i="6"/>
  <c r="I465" i="6"/>
  <c r="I374" i="6"/>
  <c r="A603" i="6"/>
  <c r="I457" i="6"/>
  <c r="I901" i="6"/>
  <c r="B134" i="6"/>
  <c r="A116" i="6"/>
  <c r="I715" i="6"/>
  <c r="I292" i="6"/>
  <c r="A336" i="6"/>
  <c r="F184" i="6"/>
  <c r="I629" i="6"/>
  <c r="I190" i="6"/>
  <c r="A246" i="6"/>
  <c r="I836" i="6"/>
  <c r="E103" i="6"/>
  <c r="A216" i="6"/>
  <c r="I4" i="6"/>
  <c r="I198" i="6"/>
  <c r="C693" i="6"/>
  <c r="B948" i="6"/>
  <c r="D129" i="6"/>
  <c r="I651" i="6"/>
  <c r="E497" i="6"/>
  <c r="I995" i="6"/>
  <c r="B348" i="6"/>
  <c r="C259" i="6"/>
  <c r="A931" i="6"/>
  <c r="B856" i="6"/>
  <c r="A860" i="6"/>
  <c r="A19" i="6"/>
  <c r="A668" i="6"/>
  <c r="A849" i="6"/>
  <c r="I542" i="6"/>
  <c r="I354" i="6"/>
  <c r="A353" i="6"/>
  <c r="A131" i="6"/>
  <c r="B23" i="6"/>
  <c r="B369" i="6"/>
  <c r="A342" i="6"/>
  <c r="E329" i="6"/>
  <c r="I971" i="6"/>
  <c r="C245" i="6"/>
  <c r="I827" i="6"/>
  <c r="C949" i="6"/>
  <c r="H106" i="6"/>
  <c r="A962" i="6"/>
  <c r="I262" i="6"/>
  <c r="A13" i="6"/>
  <c r="B254" i="6"/>
  <c r="I970" i="6"/>
  <c r="C34" i="6"/>
  <c r="C226" i="6"/>
  <c r="G196" i="6"/>
  <c r="H398" i="6"/>
  <c r="A42" i="6"/>
  <c r="F199" i="6"/>
  <c r="A607" i="6"/>
  <c r="E321" i="6"/>
  <c r="B165" i="6"/>
  <c r="I891" i="6"/>
  <c r="I103" i="6"/>
  <c r="D480" i="6"/>
  <c r="I52" i="6"/>
  <c r="D889" i="6"/>
  <c r="I180" i="6"/>
  <c r="D427" i="6"/>
  <c r="A156" i="6"/>
  <c r="I267" i="6"/>
  <c r="I290" i="6"/>
  <c r="E692" i="6"/>
  <c r="I842" i="6"/>
  <c r="A222" i="6"/>
  <c r="A1002" i="6"/>
  <c r="A982" i="6"/>
  <c r="A214" i="6"/>
  <c r="E803" i="6"/>
  <c r="I147" i="6"/>
  <c r="C788" i="6"/>
  <c r="I43" i="6"/>
  <c r="F641" i="6"/>
  <c r="I848" i="6"/>
  <c r="I403" i="6"/>
  <c r="F309" i="6"/>
  <c r="I84" i="6"/>
  <c r="E664" i="6"/>
  <c r="A571" i="6"/>
  <c r="I260" i="6"/>
  <c r="A228" i="6"/>
  <c r="I669" i="6"/>
  <c r="B190" i="6"/>
  <c r="I484" i="6"/>
  <c r="I610" i="6"/>
  <c r="B459" i="6"/>
  <c r="G437" i="6"/>
  <c r="B542" i="6"/>
  <c r="B908" i="6"/>
  <c r="I101" i="6"/>
  <c r="H215" i="6"/>
  <c r="A582" i="6"/>
  <c r="I264" i="6"/>
  <c r="A266" i="6"/>
  <c r="B158" i="6"/>
  <c r="A848" i="6"/>
  <c r="I988" i="6"/>
  <c r="D51" i="6"/>
  <c r="F160" i="6"/>
  <c r="B91" i="6"/>
  <c r="C156" i="6"/>
  <c r="E438" i="6"/>
  <c r="E740" i="6"/>
  <c r="C321" i="6"/>
  <c r="A286" i="6"/>
  <c r="B667" i="6"/>
  <c r="B624" i="6"/>
  <c r="C378" i="6"/>
  <c r="H329" i="6"/>
  <c r="I153" i="6"/>
  <c r="B937" i="6"/>
  <c r="I482" i="6"/>
  <c r="C83" i="6"/>
  <c r="C248" i="6"/>
  <c r="A171" i="6"/>
  <c r="I749" i="6"/>
  <c r="A1023" i="6"/>
  <c r="A396" i="6"/>
  <c r="I318" i="6"/>
  <c r="A631" i="6"/>
  <c r="A443" i="6"/>
  <c r="B534" i="6"/>
  <c r="B208" i="6"/>
  <c r="I624" i="6"/>
  <c r="E493" i="6"/>
  <c r="I541" i="6"/>
  <c r="H134" i="6"/>
  <c r="I685" i="6"/>
  <c r="A1000" i="6"/>
  <c r="C236" i="6"/>
  <c r="H753" i="6"/>
  <c r="I600" i="6"/>
  <c r="G425" i="6"/>
  <c r="G694" i="6"/>
  <c r="A261" i="6"/>
  <c r="A39" i="6"/>
  <c r="E196" i="6"/>
  <c r="A288" i="6"/>
  <c r="E186" i="6"/>
  <c r="I570" i="6"/>
  <c r="E312" i="6"/>
  <c r="B419" i="6"/>
  <c r="C912" i="6"/>
  <c r="A43" i="6"/>
  <c r="D298" i="6"/>
  <c r="I375" i="6"/>
  <c r="A115" i="6"/>
  <c r="B119" i="6"/>
  <c r="I952" i="6"/>
  <c r="I974" i="6"/>
  <c r="A884" i="6"/>
  <c r="I958" i="6"/>
  <c r="A326" i="6"/>
  <c r="B334" i="6"/>
  <c r="C279" i="6"/>
  <c r="G953" i="6"/>
  <c r="D668" i="6"/>
  <c r="D640" i="6"/>
  <c r="I40" i="6"/>
  <c r="H578" i="6"/>
  <c r="G423" i="6"/>
  <c r="B827" i="6"/>
  <c r="G119" i="6"/>
  <c r="B344" i="6"/>
  <c r="B264" i="6"/>
  <c r="A901" i="6"/>
  <c r="A989" i="6"/>
  <c r="A100" i="6"/>
  <c r="A576" i="6"/>
  <c r="B576" i="6" s="1"/>
  <c r="A456" i="6"/>
  <c r="C344" i="6"/>
  <c r="A750" i="6"/>
  <c r="A15" i="6"/>
  <c r="A159" i="6"/>
  <c r="B159" i="6" s="1"/>
  <c r="B111" i="6"/>
  <c r="A296" i="6"/>
  <c r="D296" i="6" s="1"/>
  <c r="A1006" i="6"/>
  <c r="B1006" i="6" s="1"/>
  <c r="A331" i="6"/>
  <c r="A886" i="6"/>
  <c r="A638" i="6"/>
  <c r="D397" i="6"/>
  <c r="A737" i="6"/>
  <c r="A95" i="6"/>
  <c r="G95" i="6" s="1"/>
  <c r="A490" i="6"/>
  <c r="C490" i="6" s="1"/>
  <c r="A852" i="6"/>
  <c r="C852" i="6" s="1"/>
  <c r="I882" i="6"/>
  <c r="A832" i="6"/>
  <c r="I553" i="6"/>
  <c r="A927" i="6"/>
  <c r="I177" i="6"/>
  <c r="A682" i="6"/>
  <c r="I796" i="6"/>
  <c r="I331" i="6"/>
  <c r="E793" i="6"/>
  <c r="I384" i="6"/>
  <c r="I426" i="6"/>
  <c r="A824" i="6"/>
  <c r="C824" i="6" s="1"/>
  <c r="A350" i="6"/>
  <c r="A524" i="6"/>
  <c r="A496" i="6"/>
  <c r="I605" i="6"/>
  <c r="I339" i="6"/>
  <c r="A450" i="6"/>
  <c r="I930" i="6"/>
  <c r="I607" i="6"/>
  <c r="A923" i="6"/>
  <c r="I994" i="6"/>
  <c r="A364" i="6"/>
  <c r="D167" i="6"/>
  <c r="A729" i="6"/>
  <c r="A385" i="6"/>
  <c r="I614" i="6"/>
  <c r="B422" i="6"/>
  <c r="C258" i="6"/>
  <c r="A1016" i="6"/>
  <c r="A602" i="6"/>
  <c r="I192" i="6"/>
  <c r="A38" i="6"/>
  <c r="B250" i="6"/>
  <c r="A805" i="6"/>
  <c r="H404" i="6"/>
  <c r="A191" i="6"/>
  <c r="C837" i="6"/>
  <c r="C970" i="6"/>
  <c r="I963" i="6"/>
  <c r="D895" i="6"/>
  <c r="F265" i="6"/>
  <c r="A495" i="6"/>
  <c r="A798" i="6"/>
  <c r="I592" i="6"/>
  <c r="I459" i="6"/>
  <c r="C625" i="6"/>
  <c r="A416" i="6"/>
  <c r="A5" i="6"/>
  <c r="B507" i="6"/>
  <c r="A102" i="6"/>
  <c r="A446" i="6"/>
  <c r="G446" i="6" s="1"/>
  <c r="A721" i="6"/>
  <c r="D258" i="6"/>
  <c r="A146" i="6"/>
  <c r="I306" i="6"/>
  <c r="I469" i="6"/>
  <c r="C304" i="6"/>
  <c r="C701" i="6"/>
  <c r="B546" i="6"/>
  <c r="C373" i="6"/>
  <c r="B427" i="6"/>
  <c r="A910" i="6"/>
  <c r="I41" i="6"/>
  <c r="D506" i="6"/>
  <c r="I797" i="6"/>
  <c r="F503" i="6"/>
  <c r="I466" i="6"/>
  <c r="I581" i="6"/>
  <c r="D159" i="6"/>
  <c r="E521" i="6"/>
  <c r="I872" i="6"/>
  <c r="G521" i="6"/>
  <c r="A535" i="6"/>
  <c r="A514" i="6"/>
  <c r="F662" i="6"/>
  <c r="E1008" i="6"/>
  <c r="C26" i="6"/>
  <c r="A751" i="6"/>
  <c r="C199" i="6"/>
  <c r="B551" i="6"/>
  <c r="D1003" i="6"/>
  <c r="I839" i="6"/>
  <c r="C573" i="6"/>
  <c r="E452" i="6"/>
  <c r="E334" i="6"/>
  <c r="A432" i="6"/>
  <c r="I23" i="6"/>
  <c r="A1005" i="6"/>
  <c r="E184" i="6"/>
  <c r="C257" i="6"/>
  <c r="B501" i="6"/>
  <c r="C90" i="6"/>
  <c r="F629" i="6"/>
  <c r="I583" i="6"/>
  <c r="F497" i="6"/>
  <c r="I532" i="6"/>
  <c r="I506" i="6"/>
  <c r="F926" i="6"/>
  <c r="I332" i="6"/>
  <c r="I996" i="6"/>
  <c r="A725" i="6"/>
  <c r="I540" i="6"/>
  <c r="I42" i="6"/>
  <c r="I53" i="6"/>
  <c r="I154" i="6"/>
  <c r="A253" i="6"/>
  <c r="A391" i="6"/>
  <c r="A105" i="6"/>
  <c r="I597" i="6"/>
  <c r="A137" i="6"/>
  <c r="A120" i="6"/>
  <c r="C120" i="6" s="1"/>
  <c r="I210" i="6"/>
  <c r="C315" i="6"/>
  <c r="I794" i="6"/>
  <c r="A891" i="6"/>
  <c r="A417" i="6"/>
  <c r="D697" i="6"/>
  <c r="I353" i="6"/>
  <c r="A954" i="6"/>
  <c r="B850" i="6"/>
  <c r="A40" i="6"/>
  <c r="C748" i="6"/>
  <c r="C929" i="6"/>
  <c r="A393" i="6"/>
  <c r="B757" i="6"/>
  <c r="B21" i="6"/>
  <c r="A548" i="6"/>
  <c r="A293" i="6"/>
  <c r="A356" i="6"/>
  <c r="I404" i="6"/>
  <c r="I956" i="6"/>
  <c r="A630" i="6"/>
  <c r="A769" i="6"/>
  <c r="I78" i="6"/>
  <c r="A400" i="6"/>
  <c r="I819" i="6"/>
  <c r="I32" i="6"/>
  <c r="I881" i="6"/>
  <c r="B417" i="6"/>
  <c r="I1009" i="6"/>
  <c r="A27" i="6"/>
  <c r="A180" i="6"/>
  <c r="D180" i="6" s="1"/>
  <c r="D1020" i="6"/>
  <c r="I86" i="6"/>
  <c r="A575" i="6"/>
  <c r="A108" i="6"/>
  <c r="F398" i="6"/>
  <c r="A405" i="6"/>
  <c r="I287" i="6"/>
  <c r="C119" i="6"/>
  <c r="I744" i="6"/>
  <c r="F857" i="6"/>
  <c r="A178" i="6"/>
  <c r="E487" i="6"/>
  <c r="I692" i="6"/>
  <c r="B820" i="6"/>
  <c r="I230" i="6"/>
  <c r="I802" i="6"/>
  <c r="B50" i="6"/>
  <c r="I80" i="6"/>
  <c r="A357" i="6"/>
  <c r="C357" i="6" s="1"/>
  <c r="I194" i="6"/>
  <c r="I463" i="6"/>
  <c r="C484" i="6"/>
  <c r="A906" i="6"/>
  <c r="B122" i="6"/>
  <c r="I380" i="6"/>
  <c r="A138" i="6"/>
  <c r="C488" i="6"/>
  <c r="G667" i="6"/>
  <c r="A458" i="6"/>
  <c r="I780" i="6"/>
  <c r="B6" i="6"/>
  <c r="I694" i="6"/>
  <c r="I636" i="6"/>
  <c r="A317" i="6"/>
  <c r="C212" i="6"/>
  <c r="C858" i="6"/>
  <c r="C593" i="6"/>
  <c r="D851" i="6"/>
  <c r="B370" i="6"/>
  <c r="A114" i="6"/>
  <c r="I770" i="6"/>
  <c r="B377" i="6"/>
  <c r="E102" i="6"/>
  <c r="C462" i="6"/>
  <c r="B1002" i="6"/>
  <c r="F1016" i="6"/>
  <c r="I632" i="6"/>
  <c r="A142" i="6"/>
  <c r="D917" i="6"/>
  <c r="G1008" i="6"/>
  <c r="D216" i="6"/>
  <c r="E781" i="6"/>
  <c r="A657" i="6"/>
  <c r="H365" i="6"/>
  <c r="A310" i="6"/>
  <c r="D440" i="6"/>
  <c r="A32" i="6"/>
  <c r="D365" i="6"/>
  <c r="D453" i="6"/>
  <c r="I47" i="6"/>
  <c r="E141" i="6"/>
  <c r="A140" i="6"/>
  <c r="I473" i="6"/>
  <c r="F848" i="6"/>
  <c r="A663" i="6"/>
  <c r="D489" i="6"/>
  <c r="G816" i="6"/>
  <c r="I824" i="6"/>
  <c r="A133" i="6"/>
  <c r="I66" i="6"/>
  <c r="C587" i="6"/>
  <c r="G731" i="6"/>
  <c r="E162" i="6"/>
  <c r="A708" i="6"/>
  <c r="I1000" i="6"/>
  <c r="E550" i="6"/>
  <c r="I319" i="6"/>
  <c r="I105" i="6"/>
  <c r="I104" i="6"/>
  <c r="I299" i="6"/>
  <c r="H850" i="6"/>
  <c r="E911" i="6"/>
  <c r="I35" i="6"/>
  <c r="E236" i="6"/>
  <c r="D405" i="6"/>
  <c r="A758" i="6"/>
  <c r="B867" i="6"/>
  <c r="B149" i="6"/>
  <c r="G689" i="6"/>
  <c r="C551" i="6"/>
  <c r="G552" i="6"/>
  <c r="I582" i="6"/>
  <c r="I991" i="6"/>
  <c r="A294" i="6"/>
  <c r="B12" i="6"/>
  <c r="A773" i="6"/>
  <c r="C956" i="6"/>
  <c r="C224" i="6"/>
  <c r="I500" i="6"/>
  <c r="I218" i="6"/>
  <c r="H500" i="6"/>
  <c r="G316" i="6"/>
  <c r="B447" i="6"/>
  <c r="I64" i="6"/>
  <c r="I133" i="6"/>
  <c r="B900" i="6"/>
  <c r="I286" i="6"/>
  <c r="I566" i="6"/>
  <c r="F893" i="6"/>
  <c r="A1007" i="6"/>
  <c r="C598" i="6"/>
  <c r="E100" i="6"/>
  <c r="B445" i="6"/>
  <c r="G762" i="6"/>
  <c r="A991" i="6"/>
  <c r="I817" i="6"/>
  <c r="I439" i="6"/>
  <c r="I421" i="6"/>
  <c r="I95" i="6"/>
  <c r="I519" i="6"/>
  <c r="E853" i="6"/>
  <c r="I22" i="6"/>
  <c r="I697" i="6"/>
  <c r="H932" i="6"/>
  <c r="D400" i="6"/>
  <c r="C55" i="6"/>
  <c r="I9" i="6"/>
  <c r="A952" i="6"/>
  <c r="I178" i="6"/>
  <c r="C480" i="6"/>
  <c r="E258" i="6"/>
  <c r="G508" i="6"/>
  <c r="A969" i="6"/>
  <c r="I61" i="6"/>
  <c r="G606" i="6"/>
  <c r="D138" i="6"/>
  <c r="E211" i="6"/>
  <c r="F446" i="6"/>
  <c r="A94" i="6"/>
  <c r="I760" i="6"/>
  <c r="B20" i="6"/>
  <c r="A621" i="6"/>
  <c r="I536" i="6"/>
  <c r="A590" i="6"/>
  <c r="E248" i="6"/>
  <c r="E338" i="6"/>
  <c r="D383" i="6"/>
  <c r="C554" i="6"/>
  <c r="E134" i="6"/>
  <c r="A376" i="6"/>
  <c r="E276" i="6"/>
  <c r="H697" i="6"/>
  <c r="C545" i="6"/>
  <c r="E754" i="6"/>
  <c r="B852" i="6"/>
  <c r="A710" i="6"/>
  <c r="C612" i="6"/>
  <c r="I379" i="6"/>
  <c r="E603" i="6"/>
  <c r="A463" i="6"/>
  <c r="C162" i="6"/>
  <c r="A113" i="6"/>
  <c r="C691" i="6"/>
  <c r="E648" i="6"/>
  <c r="D19" i="6"/>
  <c r="G632" i="6"/>
  <c r="B456" i="6"/>
  <c r="B246" i="6"/>
  <c r="I219" i="6"/>
  <c r="H105" i="6"/>
  <c r="D417" i="6"/>
  <c r="A736" i="6"/>
  <c r="C896" i="6"/>
  <c r="A688" i="6"/>
  <c r="I825" i="6"/>
  <c r="C165" i="6"/>
  <c r="I1017" i="6"/>
  <c r="A995" i="6"/>
  <c r="I513" i="6"/>
  <c r="E23" i="6"/>
  <c r="H838" i="6"/>
  <c r="H328" i="6"/>
  <c r="E53" i="6"/>
  <c r="C724" i="6"/>
  <c r="A124" i="6"/>
  <c r="E265" i="6"/>
  <c r="H185" i="6"/>
  <c r="A341" i="6"/>
  <c r="G576" i="6"/>
  <c r="D201" i="6"/>
  <c r="C560" i="6"/>
  <c r="A808" i="6"/>
  <c r="C100" i="6"/>
  <c r="A82" i="6"/>
  <c r="I344" i="6"/>
  <c r="C550" i="6"/>
  <c r="F318" i="6"/>
  <c r="B296" i="6"/>
  <c r="G180" i="6"/>
  <c r="I808" i="6"/>
  <c r="I913" i="6"/>
  <c r="F573" i="6"/>
  <c r="A360" i="6"/>
  <c r="I721" i="6"/>
  <c r="B526" i="6"/>
  <c r="E872" i="6"/>
  <c r="D424" i="6"/>
  <c r="C377" i="6"/>
  <c r="A779" i="6"/>
  <c r="A592" i="6"/>
  <c r="E311" i="6"/>
  <c r="E583" i="6"/>
  <c r="B515" i="6"/>
  <c r="C409" i="6"/>
  <c r="A164" i="6"/>
  <c r="I383" i="6"/>
  <c r="I114" i="6"/>
  <c r="I625" i="6"/>
  <c r="B300" i="6"/>
  <c r="I163" i="6"/>
  <c r="A586" i="6"/>
  <c r="I869" i="6"/>
  <c r="I850" i="6"/>
  <c r="I68" i="6"/>
  <c r="I294" i="6"/>
  <c r="G234" i="6"/>
  <c r="G564" i="6"/>
  <c r="D695" i="6"/>
  <c r="G792" i="6"/>
  <c r="I906" i="6"/>
  <c r="A670" i="6"/>
  <c r="C717" i="6"/>
  <c r="B255" i="6"/>
  <c r="B279" i="6"/>
  <c r="D64" i="6"/>
  <c r="B67" i="6"/>
  <c r="A169" i="6"/>
  <c r="G438" i="6"/>
  <c r="I335" i="6"/>
  <c r="E629" i="6"/>
  <c r="H848" i="6"/>
  <c r="I549" i="6"/>
  <c r="I423" i="6"/>
  <c r="H236" i="6"/>
  <c r="A981" i="6"/>
  <c r="F849" i="6"/>
  <c r="F897" i="6"/>
  <c r="G314" i="6"/>
  <c r="C892" i="6"/>
  <c r="H444" i="6"/>
  <c r="D67" i="6"/>
  <c r="I535" i="6"/>
  <c r="F1006" i="6"/>
  <c r="F72" i="6"/>
  <c r="B646" i="6"/>
  <c r="F515" i="6"/>
  <c r="B975" i="6"/>
  <c r="F182" i="6"/>
  <c r="E359" i="6"/>
  <c r="I847" i="6"/>
  <c r="D385" i="6"/>
  <c r="F850" i="6"/>
  <c r="C642" i="6"/>
  <c r="I221" i="6"/>
  <c r="D530" i="6"/>
  <c r="A707" i="6"/>
  <c r="G62" i="6"/>
  <c r="F918" i="6"/>
  <c r="F196" i="6"/>
  <c r="I851" i="6"/>
  <c r="D249" i="6"/>
  <c r="C115" i="6"/>
  <c r="I528" i="6"/>
  <c r="D632" i="6"/>
  <c r="I351" i="6"/>
  <c r="H862" i="6"/>
  <c r="G14" i="6"/>
  <c r="B594" i="6"/>
  <c r="D493" i="6"/>
  <c r="C1008" i="6"/>
  <c r="G348" i="6"/>
  <c r="I394" i="6"/>
  <c r="H208" i="6"/>
  <c r="H63" i="6"/>
  <c r="F288" i="6"/>
  <c r="H918" i="6"/>
  <c r="B758" i="6"/>
  <c r="G602" i="6"/>
  <c r="I55" i="6"/>
  <c r="G964" i="6"/>
  <c r="H946" i="6"/>
  <c r="I511" i="6"/>
  <c r="D390" i="6"/>
  <c r="F513" i="6"/>
  <c r="H778" i="6"/>
  <c r="A538" i="6"/>
  <c r="F740" i="6"/>
  <c r="H1013" i="6"/>
  <c r="B693" i="6"/>
  <c r="C252" i="6"/>
  <c r="A899" i="6"/>
  <c r="I726" i="6"/>
  <c r="F471" i="6"/>
  <c r="C737" i="6"/>
  <c r="D199" i="6"/>
  <c r="D449" i="6"/>
  <c r="B316" i="6"/>
  <c r="H824" i="6"/>
  <c r="B342" i="6"/>
  <c r="D956" i="6"/>
  <c r="H331" i="6"/>
  <c r="H847" i="6"/>
  <c r="E422" i="6"/>
  <c r="G450" i="6"/>
  <c r="C88" i="6"/>
  <c r="H158" i="6"/>
  <c r="H854" i="6"/>
  <c r="A972" i="6"/>
  <c r="D297" i="6"/>
  <c r="I982" i="6"/>
  <c r="I474" i="6"/>
  <c r="D977" i="6"/>
  <c r="F1004" i="6"/>
  <c r="A685" i="6"/>
  <c r="A818" i="6"/>
  <c r="A213" i="6"/>
  <c r="B213" i="6" s="1"/>
  <c r="I231" i="6"/>
  <c r="A41" i="6"/>
  <c r="I358" i="6"/>
  <c r="D768" i="6"/>
  <c r="I377" i="6"/>
  <c r="I13" i="6"/>
  <c r="C649" i="6"/>
  <c r="A678" i="6"/>
  <c r="C678" i="6" s="1"/>
  <c r="A163" i="6"/>
  <c r="C163" i="6" s="1"/>
  <c r="A543" i="6"/>
  <c r="I1023" i="6"/>
  <c r="I889" i="6"/>
  <c r="I858" i="6"/>
  <c r="I184" i="6"/>
  <c r="A626" i="6"/>
  <c r="A965" i="6"/>
  <c r="I441" i="6"/>
  <c r="I656" i="6"/>
  <c r="C531" i="6"/>
  <c r="C255" i="6"/>
  <c r="I862" i="6"/>
  <c r="I366" i="6"/>
  <c r="C763" i="6"/>
  <c r="I150" i="6"/>
  <c r="A984" i="6"/>
  <c r="B984" i="6" s="1"/>
  <c r="A107" i="6"/>
  <c r="C107" i="6" s="1"/>
  <c r="B889" i="6"/>
  <c r="I638" i="6"/>
  <c r="C472" i="6"/>
  <c r="B568" i="6"/>
  <c r="I899" i="6"/>
  <c r="I310" i="6"/>
  <c r="I696" i="6"/>
  <c r="D322" i="6"/>
  <c r="D505" i="6"/>
  <c r="A145" i="6"/>
  <c r="F145" i="6" s="1"/>
  <c r="C851" i="6"/>
  <c r="F929" i="6"/>
  <c r="A18" i="6"/>
  <c r="G18" i="6" s="1"/>
  <c r="B818" i="6"/>
  <c r="C64" i="6"/>
  <c r="F799" i="6"/>
  <c r="H238" i="6"/>
  <c r="B489" i="6"/>
  <c r="A903" i="6"/>
  <c r="E903" i="6" s="1"/>
  <c r="F195" i="6"/>
  <c r="A945" i="6"/>
  <c r="I111" i="6"/>
  <c r="H300" i="6"/>
  <c r="A580" i="6"/>
  <c r="A303" i="6"/>
  <c r="D303" i="6" s="1"/>
  <c r="C588" i="6"/>
  <c r="I464" i="6"/>
  <c r="G830" i="6"/>
  <c r="A11" i="6"/>
  <c r="B229" i="6"/>
  <c r="E593" i="6"/>
  <c r="G64" i="6"/>
  <c r="E858" i="6"/>
  <c r="I520" i="6"/>
  <c r="A291" i="6"/>
  <c r="E291" i="6" s="1"/>
  <c r="A565" i="6"/>
  <c r="C565" i="6" s="1"/>
  <c r="A327" i="6"/>
  <c r="A74" i="6"/>
  <c r="C74" i="6" s="1"/>
  <c r="A544" i="6"/>
  <c r="H544" i="6" s="1"/>
  <c r="I240" i="6"/>
  <c r="A777" i="6"/>
  <c r="A37" i="6"/>
  <c r="A795" i="6"/>
  <c r="D795" i="6" s="1"/>
  <c r="A905" i="6"/>
  <c r="D158" i="6"/>
  <c r="A734" i="6"/>
  <c r="I347" i="6"/>
  <c r="A683" i="6"/>
  <c r="E118" i="6"/>
  <c r="A883" i="6"/>
  <c r="B564" i="6"/>
  <c r="C562" i="6"/>
  <c r="B859" i="6"/>
  <c r="C75" i="6"/>
  <c r="A1009" i="6"/>
  <c r="A822" i="6"/>
  <c r="I606" i="6"/>
  <c r="A627" i="6"/>
  <c r="E971" i="6"/>
  <c r="I690" i="6"/>
  <c r="I212" i="6"/>
  <c r="F85" i="6"/>
  <c r="I788" i="6"/>
  <c r="I124" i="6"/>
  <c r="I840" i="6"/>
  <c r="A904" i="6"/>
  <c r="G904" i="6" s="1"/>
  <c r="C239" i="6"/>
  <c r="C820" i="6"/>
  <c r="A347" i="6"/>
  <c r="A844" i="6"/>
  <c r="A225" i="6"/>
  <c r="A922" i="6"/>
  <c r="B943" i="6"/>
  <c r="C680" i="6"/>
  <c r="A128" i="6"/>
  <c r="I966" i="6"/>
  <c r="B103" i="6"/>
  <c r="C619" i="6"/>
  <c r="H799" i="6"/>
  <c r="I868" i="6"/>
  <c r="G53" i="6"/>
  <c r="A973" i="6"/>
  <c r="D701" i="6"/>
  <c r="E388" i="6"/>
  <c r="C721" i="6"/>
  <c r="C400" i="6"/>
  <c r="I671" i="6"/>
  <c r="H999" i="6"/>
  <c r="A920" i="6"/>
  <c r="C920" i="6" s="1"/>
  <c r="A579" i="6"/>
  <c r="A24" i="6"/>
  <c r="B617" i="6"/>
  <c r="I604" i="6"/>
  <c r="F333" i="6"/>
  <c r="G343" i="6"/>
  <c r="I900" i="6"/>
  <c r="C334" i="6"/>
  <c r="C66" i="6"/>
  <c r="C708" i="6"/>
  <c r="I778" i="6"/>
  <c r="G80" i="6"/>
  <c r="I816" i="6"/>
  <c r="I734" i="6"/>
  <c r="A109" i="6"/>
  <c r="E576" i="6"/>
  <c r="A770" i="6"/>
  <c r="G889" i="6"/>
  <c r="I764" i="6"/>
  <c r="F977" i="6"/>
  <c r="E932" i="6"/>
  <c r="A523" i="6"/>
  <c r="E523" i="6" s="1"/>
  <c r="I611" i="6"/>
  <c r="A346" i="6"/>
  <c r="I311" i="6"/>
  <c r="I740" i="6"/>
  <c r="C251" i="6"/>
  <c r="F964" i="6"/>
  <c r="B36" i="6"/>
  <c r="I283" i="6"/>
  <c r="D728" i="6"/>
  <c r="C336" i="6"/>
  <c r="A101" i="6"/>
  <c r="A881" i="6"/>
  <c r="C867" i="6"/>
  <c r="G627" i="6"/>
  <c r="G328" i="6"/>
  <c r="H660" i="6"/>
  <c r="I660" i="6"/>
  <c r="E961" i="6"/>
  <c r="D328" i="6"/>
  <c r="C95" i="6"/>
  <c r="C917" i="6"/>
  <c r="G629" i="6"/>
  <c r="I57" i="6"/>
  <c r="B634" i="6"/>
  <c r="D85" i="6"/>
  <c r="B401" i="6"/>
  <c r="H426" i="6"/>
  <c r="E847" i="6"/>
  <c r="A928" i="6"/>
  <c r="E849" i="6"/>
  <c r="I867" i="6"/>
  <c r="I58" i="6"/>
  <c r="A283" i="6"/>
  <c r="I718" i="6"/>
  <c r="C645" i="6"/>
  <c r="D1025" i="6"/>
  <c r="B861" i="6"/>
  <c r="C331" i="6"/>
  <c r="I575" i="6"/>
  <c r="C453" i="6"/>
  <c r="D778" i="6"/>
  <c r="A363" i="6"/>
  <c r="I239" i="6"/>
  <c r="B494" i="6"/>
  <c r="I494" i="6"/>
  <c r="E390" i="6"/>
  <c r="C740" i="6"/>
  <c r="F37" i="6"/>
  <c r="A478" i="6"/>
  <c r="A650" i="6"/>
  <c r="E654" i="6"/>
  <c r="F434" i="6"/>
  <c r="G91" i="6"/>
  <c r="G110" i="6"/>
  <c r="F559" i="6"/>
  <c r="H372" i="6"/>
  <c r="I910" i="6"/>
  <c r="A476" i="6"/>
  <c r="H307" i="6"/>
  <c r="E691" i="6"/>
  <c r="F724" i="6"/>
  <c r="C15" i="6"/>
  <c r="I106" i="6"/>
  <c r="C59" i="6"/>
  <c r="A555" i="6"/>
  <c r="B202" i="6"/>
  <c r="B683" i="6"/>
  <c r="I233" i="6"/>
  <c r="H856" i="6"/>
  <c r="F210" i="6"/>
  <c r="E883" i="6"/>
  <c r="I1014" i="6"/>
  <c r="H943" i="6"/>
  <c r="F500" i="6"/>
  <c r="I979" i="6"/>
  <c r="G116" i="6"/>
  <c r="A460" i="6"/>
  <c r="E968" i="6"/>
  <c r="H590" i="6"/>
  <c r="I704" i="6"/>
  <c r="D378" i="6"/>
  <c r="E16" i="6"/>
  <c r="C727" i="6"/>
  <c r="D259" i="6"/>
  <c r="F345" i="6"/>
  <c r="C427" i="6"/>
  <c r="I74" i="6"/>
  <c r="A339" i="6"/>
  <c r="E370" i="6"/>
  <c r="A170" i="6"/>
  <c r="I432" i="6"/>
  <c r="A174" i="6"/>
  <c r="I935" i="6"/>
  <c r="C987" i="6"/>
  <c r="H737" i="6"/>
  <c r="A147" i="6"/>
  <c r="C990" i="6"/>
  <c r="E1011" i="6"/>
  <c r="I620" i="6"/>
  <c r="F511" i="6"/>
  <c r="G478" i="6"/>
  <c r="F611" i="6"/>
  <c r="G974" i="6"/>
  <c r="A706" i="6"/>
  <c r="B424" i="6"/>
  <c r="A785" i="6"/>
  <c r="G33" i="6"/>
  <c r="G624" i="6"/>
  <c r="B929" i="6"/>
  <c r="I76" i="6"/>
  <c r="I893" i="6"/>
  <c r="D236" i="6"/>
  <c r="G739" i="6"/>
  <c r="E756" i="6"/>
  <c r="E884" i="6"/>
  <c r="D898" i="6"/>
  <c r="F95" i="6"/>
  <c r="F516" i="6"/>
  <c r="A168" i="6"/>
  <c r="B397" i="6"/>
  <c r="B800" i="6"/>
  <c r="C171" i="6"/>
  <c r="A791" i="6"/>
  <c r="I341" i="6"/>
  <c r="A804" i="6"/>
  <c r="F828" i="6"/>
  <c r="I783" i="6"/>
  <c r="I751" i="6"/>
  <c r="A604" i="6"/>
  <c r="A817" i="6"/>
  <c r="C253" i="6"/>
  <c r="C440" i="6"/>
  <c r="I617" i="6"/>
  <c r="B748" i="6"/>
  <c r="A760" i="6"/>
  <c r="G997" i="6"/>
  <c r="C36" i="6"/>
  <c r="I960" i="6"/>
  <c r="D80" i="6"/>
  <c r="E1017" i="6"/>
  <c r="A61" i="6"/>
  <c r="B281" i="6"/>
  <c r="C118" i="6"/>
  <c r="D896" i="6"/>
  <c r="C635" i="6"/>
  <c r="B756" i="6"/>
  <c r="F636" i="6"/>
  <c r="B1009" i="6"/>
  <c r="C803" i="6"/>
  <c r="F134" i="6"/>
  <c r="C351" i="6"/>
  <c r="F45" i="6"/>
  <c r="C719" i="6"/>
  <c r="D974" i="6"/>
  <c r="A836" i="6"/>
  <c r="D291" i="6"/>
  <c r="G303" i="6"/>
  <c r="A123" i="6"/>
  <c r="A352" i="6"/>
  <c r="B1025" i="6"/>
  <c r="E821" i="6"/>
  <c r="C8" i="6"/>
  <c r="C280" i="6"/>
  <c r="A98" i="6"/>
  <c r="C940" i="6"/>
  <c r="I373" i="6"/>
  <c r="F963" i="6"/>
  <c r="I657" i="6"/>
  <c r="A774" i="6"/>
  <c r="D334" i="6"/>
  <c r="C508" i="6"/>
  <c r="F146" i="6"/>
  <c r="I567" i="6"/>
  <c r="E806" i="6"/>
  <c r="E159" i="6"/>
  <c r="I894" i="6"/>
  <c r="E62" i="6"/>
  <c r="G215" i="6"/>
  <c r="D160" i="6"/>
  <c r="I892" i="6"/>
  <c r="G225" i="6"/>
  <c r="G798" i="6"/>
  <c r="F388" i="6"/>
  <c r="I738" i="6"/>
  <c r="A4" i="6"/>
  <c r="A878" i="6"/>
  <c r="C285" i="6"/>
  <c r="E544" i="6"/>
  <c r="F31" i="6"/>
  <c r="F347" i="6"/>
  <c r="I172" i="6"/>
  <c r="D213" i="6"/>
  <c r="D929" i="6"/>
  <c r="F922" i="6"/>
  <c r="D423" i="6"/>
  <c r="C291" i="6"/>
  <c r="E1005" i="6"/>
  <c r="G310" i="6"/>
  <c r="E429" i="6"/>
  <c r="H905" i="6"/>
  <c r="E927" i="6"/>
  <c r="H752" i="6"/>
  <c r="E714" i="6"/>
  <c r="D307" i="6"/>
  <c r="F672" i="6"/>
  <c r="C953" i="6"/>
  <c r="F997" i="6"/>
  <c r="B272" i="6"/>
  <c r="E597" i="6"/>
  <c r="B260" i="6"/>
  <c r="C210" i="6"/>
  <c r="B689" i="6"/>
  <c r="H925" i="6"/>
  <c r="D426" i="6"/>
  <c r="I334" i="6"/>
  <c r="H919" i="6"/>
  <c r="D92" i="6"/>
  <c r="I779" i="6"/>
  <c r="G598" i="6"/>
  <c r="B245" i="6"/>
  <c r="A716" i="6"/>
  <c r="I622" i="6"/>
  <c r="B514" i="6"/>
  <c r="E694" i="6"/>
  <c r="I560" i="6"/>
  <c r="I654" i="6"/>
  <c r="H903" i="6"/>
  <c r="G496" i="6"/>
  <c r="E885" i="6"/>
  <c r="G266" i="6"/>
  <c r="E333" i="6"/>
  <c r="I909" i="6"/>
  <c r="G968" i="6"/>
  <c r="I220" i="6"/>
  <c r="G736" i="6"/>
  <c r="H853" i="6"/>
  <c r="D372" i="6"/>
  <c r="I399" i="6"/>
  <c r="F726" i="6"/>
  <c r="D273" i="6"/>
  <c r="H883" i="6"/>
  <c r="C417" i="6"/>
  <c r="C137" i="6"/>
  <c r="I510" i="6"/>
  <c r="A510" i="6"/>
  <c r="B980" i="6"/>
  <c r="G963" i="6"/>
  <c r="I1026" i="6"/>
  <c r="I136" i="6"/>
  <c r="F135" i="6"/>
  <c r="I639" i="6"/>
  <c r="A656" i="6"/>
  <c r="D98" i="6"/>
  <c r="I121" i="6"/>
  <c r="G923" i="6"/>
  <c r="G142" i="6"/>
  <c r="I475" i="6"/>
  <c r="E595" i="6"/>
  <c r="I845" i="6"/>
  <c r="E952" i="6"/>
  <c r="C657" i="6"/>
  <c r="E915" i="6"/>
  <c r="B249" i="6"/>
  <c r="H708" i="6"/>
  <c r="E937" i="6"/>
  <c r="E680" i="6"/>
  <c r="H607" i="6"/>
  <c r="H288" i="6"/>
  <c r="F1007" i="6"/>
  <c r="H291" i="6"/>
  <c r="B1019" i="6"/>
  <c r="E591" i="6"/>
  <c r="I20" i="6"/>
  <c r="B760" i="6"/>
  <c r="F571" i="6"/>
  <c r="F577" i="6"/>
  <c r="E111" i="6"/>
  <c r="E726" i="6"/>
  <c r="C811" i="6"/>
  <c r="F472" i="6"/>
  <c r="H582" i="6"/>
  <c r="E951" i="6"/>
  <c r="B378" i="6"/>
  <c r="C125" i="6"/>
  <c r="I1022" i="6"/>
  <c r="H272" i="6"/>
  <c r="F428" i="6"/>
  <c r="G585" i="6"/>
  <c r="H595" i="6"/>
  <c r="A17" i="6"/>
  <c r="G615" i="6"/>
  <c r="D1002" i="6"/>
  <c r="A382" i="6"/>
  <c r="B560" i="6"/>
  <c r="I349" i="6"/>
  <c r="E221" i="6"/>
  <c r="D264" i="6"/>
  <c r="E222" i="6"/>
  <c r="I63" i="6"/>
  <c r="B156" i="6"/>
  <c r="G685" i="6"/>
  <c r="E731" i="6"/>
  <c r="H142" i="6"/>
  <c r="C547" i="6"/>
  <c r="D362" i="6"/>
  <c r="C227" i="6"/>
  <c r="A386" i="6"/>
  <c r="F960" i="6"/>
  <c r="E779" i="6"/>
  <c r="F310" i="6"/>
  <c r="F110" i="6"/>
  <c r="C345" i="6"/>
  <c r="D45" i="6"/>
  <c r="G235" i="6"/>
  <c r="G307" i="6"/>
  <c r="I189" i="6"/>
  <c r="E65" i="6"/>
  <c r="B619" i="6"/>
  <c r="H479" i="6"/>
  <c r="C456" i="6"/>
  <c r="D927" i="6"/>
  <c r="G184" i="6"/>
  <c r="I789" i="6"/>
  <c r="A843" i="6"/>
  <c r="D811" i="6"/>
  <c r="A1014" i="6"/>
  <c r="I201" i="6"/>
  <c r="F253" i="6"/>
  <c r="A155" i="6"/>
  <c r="A863" i="6"/>
  <c r="A44" i="6"/>
  <c r="A483" i="6"/>
  <c r="E297" i="6"/>
  <c r="A921" i="6"/>
  <c r="B315" i="6"/>
  <c r="D431" i="6"/>
  <c r="A1001" i="6"/>
  <c r="B645" i="6"/>
  <c r="I883" i="6"/>
  <c r="B332" i="6"/>
  <c r="E253" i="6"/>
  <c r="D600" i="6"/>
  <c r="B640" i="6"/>
  <c r="I478" i="6"/>
  <c r="G85" i="6"/>
  <c r="D624" i="6"/>
  <c r="B821" i="6"/>
  <c r="H248" i="6"/>
  <c r="I1015" i="6"/>
  <c r="I179" i="6"/>
  <c r="I155" i="6"/>
  <c r="D803" i="6"/>
  <c r="A671" i="6"/>
  <c r="C648" i="6"/>
  <c r="A941" i="6"/>
  <c r="B167" i="6"/>
  <c r="G847" i="6"/>
  <c r="D821" i="6"/>
  <c r="I618" i="6"/>
  <c r="E404" i="6"/>
  <c r="H551" i="6"/>
  <c r="H937" i="6"/>
  <c r="D388" i="6"/>
  <c r="G92" i="6"/>
  <c r="B57" i="6"/>
  <c r="D885" i="6"/>
  <c r="I879" i="6"/>
  <c r="H965" i="6"/>
  <c r="C473" i="6"/>
  <c r="I675" i="6"/>
  <c r="E368" i="6"/>
  <c r="C193" i="6"/>
  <c r="F226" i="6"/>
  <c r="B188" i="6"/>
  <c r="I427" i="6"/>
  <c r="B896" i="6"/>
  <c r="G259" i="6"/>
  <c r="B472" i="6"/>
  <c r="A622" i="6"/>
  <c r="C530" i="6"/>
  <c r="H19" i="6"/>
  <c r="I492" i="6"/>
  <c r="C391" i="6"/>
  <c r="B45" i="6"/>
  <c r="C534" i="6"/>
  <c r="B508" i="6"/>
  <c r="A381" i="6"/>
  <c r="I584" i="6"/>
  <c r="E163" i="6"/>
  <c r="E185" i="6"/>
  <c r="I782" i="6"/>
  <c r="E732" i="6"/>
  <c r="H385" i="6"/>
  <c r="A148" i="6"/>
  <c r="I382" i="6"/>
  <c r="H42" i="6"/>
  <c r="A144" i="6"/>
  <c r="A807" i="6"/>
  <c r="C469" i="6"/>
  <c r="F765" i="6"/>
  <c r="E861" i="6"/>
  <c r="H353" i="6"/>
  <c r="A569" i="6"/>
  <c r="E734" i="6"/>
  <c r="C1025" i="6"/>
  <c r="H546" i="6"/>
  <c r="I967" i="6"/>
  <c r="I504" i="6"/>
  <c r="I378" i="6"/>
  <c r="E428" i="6"/>
  <c r="A486" i="6"/>
  <c r="I545" i="6"/>
  <c r="I957" i="6"/>
  <c r="I222" i="6"/>
  <c r="A608" i="6"/>
  <c r="C1019" i="6"/>
  <c r="B858" i="6"/>
  <c r="A112" i="6"/>
  <c r="I711" i="6"/>
  <c r="H399" i="6"/>
  <c r="B691" i="6"/>
  <c r="A97" i="6"/>
  <c r="D644" i="6"/>
  <c r="I248" i="6"/>
  <c r="H829" i="6"/>
  <c r="A355" i="6"/>
  <c r="A994" i="6"/>
  <c r="G617" i="6"/>
  <c r="C819" i="6"/>
  <c r="A151" i="6"/>
  <c r="B201" i="6"/>
  <c r="C6" i="6"/>
  <c r="I92" i="6"/>
  <c r="D40" i="6"/>
  <c r="A522" i="6"/>
  <c r="B806" i="6"/>
  <c r="B184" i="6"/>
  <c r="E822" i="6"/>
  <c r="H416" i="6"/>
  <c r="E513" i="6"/>
  <c r="B805" i="6"/>
  <c r="A581" i="6"/>
  <c r="D496" i="6"/>
  <c r="I107" i="6"/>
  <c r="A87" i="6"/>
  <c r="I247" i="6"/>
  <c r="A873" i="6"/>
  <c r="I539" i="6"/>
  <c r="B638" i="6"/>
  <c r="D805" i="6"/>
  <c r="C176" i="6"/>
  <c r="I320" i="6"/>
  <c r="C149" i="6"/>
  <c r="H561" i="6"/>
  <c r="F130" i="6"/>
  <c r="F410" i="6"/>
  <c r="I640" i="6"/>
  <c r="C726" i="6"/>
  <c r="I784" i="6"/>
  <c r="E856" i="6"/>
  <c r="C458" i="6"/>
  <c r="B964" i="6"/>
  <c r="I16" i="6"/>
  <c r="B268" i="6"/>
  <c r="I81" i="6"/>
  <c r="F710" i="6"/>
  <c r="B92" i="6"/>
  <c r="G518" i="6"/>
  <c r="H265" i="6"/>
  <c r="I524" i="6"/>
  <c r="C977" i="6"/>
  <c r="F1018" i="6"/>
  <c r="F915" i="6"/>
  <c r="I615" i="6"/>
  <c r="G886" i="6"/>
  <c r="A713" i="6"/>
  <c r="D171" i="6"/>
  <c r="A269" i="6"/>
  <c r="B74" i="6"/>
  <c r="C971" i="6"/>
  <c r="B854" i="6"/>
  <c r="A880" i="6"/>
  <c r="B570" i="6"/>
  <c r="E736" i="6"/>
  <c r="I372" i="6"/>
  <c r="I559" i="6"/>
  <c r="F489" i="6"/>
  <c r="H35" i="6"/>
  <c r="D260" i="6"/>
  <c r="F935" i="6"/>
  <c r="I433" i="6"/>
  <c r="F540" i="6"/>
  <c r="B601" i="6"/>
  <c r="F630" i="6"/>
  <c r="F367" i="6"/>
  <c r="G949" i="6"/>
  <c r="D265" i="6"/>
  <c r="I709" i="6"/>
  <c r="B219" i="6"/>
  <c r="E97" i="6"/>
  <c r="H667" i="6"/>
  <c r="H305" i="6"/>
  <c r="E180" i="6"/>
  <c r="G43" i="6"/>
  <c r="D225" i="6"/>
  <c r="G991" i="6"/>
  <c r="A46" i="6"/>
  <c r="A796" i="6"/>
  <c r="B759" i="6"/>
  <c r="A596" i="6"/>
  <c r="F693" i="6"/>
  <c r="E642" i="6"/>
  <c r="D571" i="6"/>
  <c r="I371" i="6"/>
  <c r="A705" i="6"/>
  <c r="I698" i="6"/>
  <c r="I641" i="6"/>
  <c r="D849" i="6"/>
  <c r="C918" i="6"/>
  <c r="E697" i="6"/>
  <c r="E673" i="6"/>
  <c r="F978" i="6"/>
  <c r="C211" i="6"/>
  <c r="F414" i="6"/>
  <c r="E719" i="6"/>
  <c r="E545" i="6"/>
  <c r="G140" i="6"/>
  <c r="B360" i="6"/>
  <c r="H503" i="6"/>
  <c r="G335" i="6"/>
  <c r="G326" i="6"/>
  <c r="E590" i="6"/>
  <c r="B946" i="6"/>
  <c r="B483" i="6"/>
  <c r="B176" i="6"/>
  <c r="A643" i="6"/>
  <c r="I188" i="6"/>
  <c r="A914" i="6"/>
  <c r="A509" i="6"/>
  <c r="H1001" i="6"/>
  <c r="E805" i="6"/>
  <c r="C580" i="6"/>
  <c r="E990" i="6"/>
  <c r="I613" i="6"/>
  <c r="D105" i="6"/>
  <c r="C906" i="6"/>
  <c r="H391" i="6"/>
  <c r="F156" i="6"/>
  <c r="A451" i="6"/>
  <c r="B521" i="6"/>
  <c r="F185" i="6"/>
  <c r="A256" i="6"/>
  <c r="F650" i="6"/>
  <c r="E787" i="6"/>
  <c r="I807" i="6"/>
  <c r="D713" i="6"/>
  <c r="B38" i="6"/>
  <c r="G554" i="6"/>
  <c r="C25" i="6"/>
  <c r="C865" i="6"/>
  <c r="A767" i="6"/>
  <c r="E158" i="6"/>
  <c r="B910" i="6"/>
  <c r="A797" i="6"/>
  <c r="C821" i="6"/>
  <c r="A274" i="6"/>
  <c r="C300" i="6"/>
  <c r="C972" i="6"/>
  <c r="B479" i="6"/>
  <c r="B311" i="6"/>
  <c r="D897" i="6"/>
  <c r="G546" i="6"/>
  <c r="I131" i="6"/>
  <c r="D781" i="6"/>
  <c r="B317" i="6"/>
  <c r="D1001" i="6"/>
  <c r="D193" i="6"/>
  <c r="H645" i="6"/>
  <c r="G941" i="6"/>
  <c r="I493" i="6"/>
  <c r="C94" i="6"/>
  <c r="B583" i="6"/>
  <c r="G561" i="6"/>
  <c r="H99" i="6"/>
  <c r="I612" i="6"/>
  <c r="D908" i="6"/>
  <c r="I768" i="6"/>
  <c r="D748" i="6"/>
  <c r="C448" i="6"/>
  <c r="C513" i="6"/>
  <c r="I672" i="6"/>
  <c r="A677" i="6"/>
  <c r="I448" i="6"/>
  <c r="B816" i="6"/>
  <c r="B488" i="6"/>
  <c r="I437" i="6"/>
  <c r="D818" i="6"/>
  <c r="I820" i="6"/>
  <c r="A979" i="6"/>
  <c r="E64" i="6"/>
  <c r="D639" i="6"/>
  <c r="E417" i="6"/>
  <c r="C630" i="6"/>
  <c r="E137" i="6"/>
  <c r="D859" i="6"/>
  <c r="G979" i="6"/>
  <c r="E423" i="6"/>
  <c r="H889" i="6"/>
  <c r="H443" i="6"/>
  <c r="F104" i="6"/>
  <c r="G409" i="6"/>
  <c r="D554" i="6"/>
  <c r="D96" i="6"/>
  <c r="G652" i="6"/>
  <c r="G549" i="6"/>
  <c r="D710" i="6"/>
  <c r="G67" i="6"/>
  <c r="I422" i="6"/>
  <c r="G559" i="6"/>
  <c r="E89" i="6"/>
  <c r="I145" i="6"/>
  <c r="B795" i="6"/>
  <c r="I834" i="6"/>
  <c r="D425" i="6"/>
  <c r="I462" i="6"/>
  <c r="H967" i="6"/>
  <c r="F565" i="6"/>
  <c r="I419" i="6"/>
  <c r="D221" i="6"/>
  <c r="H226" i="6"/>
  <c r="B83" i="6"/>
  <c r="C406" i="6"/>
  <c r="B822" i="6"/>
  <c r="E191" i="6"/>
  <c r="I871" i="6"/>
  <c r="G1017" i="6"/>
  <c r="I631" i="6"/>
  <c r="G253" i="6"/>
  <c r="C733" i="6"/>
  <c r="C429" i="6"/>
  <c r="D919" i="6"/>
  <c r="A718" i="6"/>
  <c r="F689" i="6"/>
  <c r="C938" i="6"/>
  <c r="H400" i="6"/>
  <c r="H14" i="6"/>
  <c r="D230" i="6"/>
  <c r="I837" i="6"/>
  <c r="E747" i="6"/>
  <c r="F948" i="6"/>
  <c r="I870" i="6"/>
  <c r="B270" i="6"/>
  <c r="I680" i="6"/>
  <c r="C732" i="6"/>
  <c r="B183" i="6"/>
  <c r="F694" i="6"/>
  <c r="H356" i="6"/>
  <c r="C842" i="6"/>
  <c r="H576" i="6"/>
  <c r="B798" i="6"/>
  <c r="I436" i="6"/>
  <c r="C419" i="6"/>
  <c r="I538" i="6"/>
  <c r="H977" i="6"/>
  <c r="G611" i="6"/>
  <c r="H622" i="6"/>
  <c r="E342" i="6"/>
  <c r="C621" i="6"/>
  <c r="B649" i="6"/>
  <c r="I156" i="6"/>
  <c r="B897" i="6"/>
  <c r="G756" i="6"/>
  <c r="E454" i="6"/>
  <c r="H212" i="6"/>
  <c r="B782" i="6"/>
  <c r="A537" i="6"/>
  <c r="D630" i="6"/>
  <c r="B425" i="6"/>
  <c r="C500" i="6"/>
  <c r="A177" i="6"/>
  <c r="B541" i="6"/>
  <c r="E917" i="6"/>
  <c r="C381" i="6"/>
  <c r="A715" i="6"/>
  <c r="G141" i="6"/>
  <c r="D119" i="6"/>
  <c r="F342" i="6"/>
  <c r="G603" i="6"/>
  <c r="C930" i="6"/>
  <c r="I37" i="6"/>
  <c r="I453" i="6"/>
  <c r="G381" i="6"/>
  <c r="I356" i="6"/>
  <c r="E867" i="6"/>
  <c r="F994" i="6"/>
  <c r="H735" i="6"/>
  <c r="B379" i="6"/>
  <c r="B362" i="6"/>
  <c r="B440" i="6"/>
  <c r="E981" i="6"/>
  <c r="E759" i="6"/>
  <c r="F973" i="6"/>
  <c r="B774" i="6"/>
  <c r="C296" i="6"/>
  <c r="B715" i="6"/>
  <c r="F116" i="6"/>
  <c r="I902" i="6"/>
  <c r="D391" i="6"/>
  <c r="E588" i="6"/>
  <c r="F296" i="6"/>
  <c r="D568" i="6"/>
  <c r="C535" i="6"/>
  <c r="I19" i="6"/>
  <c r="F59" i="6"/>
  <c r="D964" i="6"/>
  <c r="C916" i="6"/>
  <c r="D943" i="6"/>
  <c r="B705" i="6"/>
  <c r="F393" i="6"/>
  <c r="B662" i="6"/>
  <c r="F682" i="6"/>
  <c r="G596" i="6"/>
  <c r="F391" i="6"/>
  <c r="E926" i="6"/>
  <c r="H7" i="6"/>
  <c r="H107" i="6"/>
  <c r="E904" i="6"/>
  <c r="D579" i="6"/>
  <c r="H1019" i="6"/>
  <c r="H449" i="6"/>
  <c r="C685" i="6"/>
  <c r="F490" i="6"/>
  <c r="H62" i="6"/>
  <c r="G365" i="6"/>
  <c r="D34" i="6"/>
  <c r="G269" i="6"/>
  <c r="H652" i="6"/>
  <c r="I714" i="6"/>
  <c r="G654" i="6"/>
  <c r="H524" i="6"/>
  <c r="G752" i="6"/>
  <c r="D375" i="6"/>
  <c r="F23" i="6"/>
  <c r="I969" i="6"/>
  <c r="E827" i="6"/>
  <c r="F493" i="6"/>
  <c r="F728" i="6"/>
  <c r="F15" i="6"/>
  <c r="H857" i="6"/>
  <c r="F718" i="6"/>
  <c r="F608" i="6"/>
  <c r="B853" i="6"/>
  <c r="B732" i="6"/>
  <c r="D1026" i="6"/>
  <c r="D351" i="6"/>
  <c r="F435" i="6"/>
  <c r="E834" i="6"/>
  <c r="H597" i="6"/>
  <c r="D104" i="6"/>
  <c r="D108" i="6"/>
  <c r="H765" i="6"/>
  <c r="E343" i="6"/>
  <c r="B193" i="6"/>
  <c r="I874" i="6"/>
  <c r="D331" i="6"/>
  <c r="D384" i="6"/>
  <c r="E6" i="6"/>
  <c r="E490" i="6"/>
  <c r="H450" i="6"/>
  <c r="E530" i="6"/>
  <c r="I388" i="6"/>
  <c r="C779" i="6"/>
  <c r="I407" i="6"/>
  <c r="H219" i="6"/>
  <c r="G169" i="6"/>
  <c r="G134" i="6"/>
  <c r="E496" i="6"/>
  <c r="E278" i="6"/>
  <c r="F203" i="6"/>
  <c r="B578" i="6"/>
  <c r="D1016" i="6"/>
  <c r="G551" i="6"/>
  <c r="H279" i="6"/>
  <c r="F947" i="6"/>
  <c r="E234" i="6"/>
  <c r="H846" i="6"/>
  <c r="D548" i="6"/>
  <c r="C807" i="6"/>
  <c r="E380" i="6"/>
  <c r="D247" i="6"/>
  <c r="C494" i="6"/>
  <c r="G149" i="6"/>
  <c r="F223" i="6"/>
  <c r="C799" i="6"/>
  <c r="D20" i="6"/>
  <c r="F863" i="6"/>
  <c r="G931" i="6"/>
  <c r="I829" i="6"/>
  <c r="E101" i="6"/>
  <c r="C707" i="6"/>
  <c r="F181" i="6"/>
  <c r="H316" i="6"/>
  <c r="G355" i="6"/>
  <c r="B273" i="6"/>
  <c r="E965" i="6"/>
  <c r="E868" i="6"/>
  <c r="H345" i="6"/>
  <c r="C23" i="6"/>
  <c r="B372" i="6"/>
  <c r="G88" i="6"/>
  <c r="H884" i="6"/>
  <c r="H480" i="6"/>
  <c r="B1013" i="6"/>
  <c r="I676" i="6"/>
  <c r="A371" i="6"/>
  <c r="I831" i="6"/>
  <c r="B932" i="6"/>
  <c r="A68" i="6"/>
  <c r="A467" i="6"/>
  <c r="A998" i="6"/>
  <c r="C986" i="6"/>
  <c r="B265" i="6"/>
  <c r="I431" i="6"/>
  <c r="A764" i="6"/>
  <c r="C764" i="6" s="1"/>
  <c r="A957" i="6"/>
  <c r="B957" i="6" s="1"/>
  <c r="I435" i="6"/>
  <c r="I204" i="6"/>
  <c r="E851" i="6"/>
  <c r="I939" i="6"/>
  <c r="A121" i="6"/>
  <c r="A944" i="6"/>
  <c r="E944" i="6" s="1"/>
  <c r="I134" i="6"/>
  <c r="I781" i="6"/>
  <c r="A870" i="6"/>
  <c r="A153" i="6"/>
  <c r="G153" i="6" s="1"/>
  <c r="A349" i="6"/>
  <c r="H349" i="6" s="1"/>
  <c r="I244" i="6"/>
  <c r="D564" i="6"/>
  <c r="I17" i="6"/>
  <c r="E560" i="6"/>
  <c r="C506" i="6"/>
  <c r="A323" i="6"/>
  <c r="C474" i="6"/>
  <c r="I447" i="6"/>
  <c r="A205" i="6"/>
  <c r="E205" i="6" s="1"/>
  <c r="D649" i="6"/>
  <c r="A22" i="6"/>
  <c r="B99" i="6"/>
  <c r="A613" i="6"/>
  <c r="D111" i="6"/>
  <c r="D576" i="6"/>
  <c r="A231" i="6"/>
  <c r="A674" i="6"/>
  <c r="H674" i="6" s="1"/>
  <c r="C827" i="6"/>
  <c r="A366" i="6"/>
  <c r="D366" i="6" s="1"/>
  <c r="B875" i="6"/>
  <c r="A566" i="6"/>
  <c r="E566" i="6" s="1"/>
  <c r="A775" i="6"/>
  <c r="D206" i="6"/>
  <c r="C316" i="6"/>
  <c r="B331" i="6"/>
  <c r="A826" i="6"/>
  <c r="B444" i="6"/>
  <c r="D285" i="6"/>
  <c r="I705" i="6"/>
  <c r="B384" i="6"/>
  <c r="A491" i="6"/>
  <c r="G491" i="6" s="1"/>
  <c r="B406" i="6"/>
  <c r="A117" i="6"/>
  <c r="E117" i="6" s="1"/>
  <c r="F566" i="6"/>
  <c r="I556" i="6"/>
  <c r="H182" i="6"/>
  <c r="A295" i="6"/>
  <c r="I77" i="6"/>
  <c r="A392" i="6"/>
  <c r="H392" i="6" s="1"/>
  <c r="A194" i="6"/>
  <c r="E562" i="6"/>
  <c r="G391" i="6"/>
  <c r="A407" i="6"/>
  <c r="C757" i="6"/>
  <c r="B450" i="6"/>
  <c r="A71" i="6"/>
  <c r="B740" i="6"/>
  <c r="C126" i="6"/>
  <c r="B394" i="6"/>
  <c r="F221" i="6"/>
  <c r="C379" i="6"/>
  <c r="I3" i="6"/>
  <c r="B842" i="6"/>
  <c r="D446" i="6"/>
  <c r="I852" i="6"/>
  <c r="A78" i="6"/>
  <c r="B78" i="6" s="1"/>
  <c r="I49" i="6"/>
  <c r="I355" i="6"/>
  <c r="G768" i="6"/>
  <c r="A711" i="6"/>
  <c r="E86" i="6"/>
  <c r="C14" i="6"/>
  <c r="B799" i="6"/>
  <c r="H541" i="6"/>
  <c r="B939" i="6"/>
  <c r="I406" i="6"/>
  <c r="H961" i="6"/>
  <c r="I140" i="6"/>
  <c r="I346" i="6"/>
  <c r="D764" i="6"/>
  <c r="D394" i="6"/>
  <c r="E729" i="6"/>
  <c r="C105" i="6"/>
  <c r="B851" i="6"/>
  <c r="G221" i="6"/>
  <c r="G238" i="6"/>
  <c r="H26" i="6"/>
  <c r="D867" i="6"/>
  <c r="G833" i="6"/>
  <c r="H744" i="6"/>
  <c r="A192" i="6"/>
  <c r="G192" i="6" s="1"/>
  <c r="C667" i="6"/>
  <c r="C540" i="6"/>
  <c r="E682" i="6"/>
  <c r="H244" i="6"/>
  <c r="H16" i="6"/>
  <c r="A187" i="6"/>
  <c r="H187" i="6" s="1"/>
  <c r="C186" i="6"/>
  <c r="C498" i="6"/>
  <c r="D100" i="6"/>
  <c r="I947" i="6"/>
  <c r="G435" i="6"/>
  <c r="I483" i="6"/>
  <c r="I530" i="6"/>
  <c r="F429" i="6"/>
  <c r="G377" i="6"/>
  <c r="A720" i="6"/>
  <c r="E985" i="6"/>
  <c r="B661" i="6"/>
  <c r="A402" i="6"/>
  <c r="H452" i="6"/>
  <c r="B124" i="6"/>
  <c r="I18" i="6"/>
  <c r="F259" i="6"/>
  <c r="C755" i="6"/>
  <c r="G117" i="6"/>
  <c r="F981" i="6"/>
  <c r="F498" i="6"/>
  <c r="G460" i="6"/>
  <c r="D549" i="6"/>
  <c r="I257" i="6"/>
  <c r="D752" i="6"/>
  <c r="I307" i="6"/>
  <c r="A902" i="6"/>
  <c r="B902" i="6" s="1"/>
  <c r="F332" i="6"/>
  <c r="I169" i="6"/>
  <c r="I415" i="6"/>
  <c r="E481" i="6"/>
  <c r="C937" i="6"/>
  <c r="F366" i="6"/>
  <c r="I285" i="6"/>
  <c r="F560" i="6"/>
  <c r="F193" i="6"/>
  <c r="G13" i="6"/>
  <c r="D91" i="6"/>
  <c r="E82" i="6"/>
  <c r="E389" i="6"/>
  <c r="A839" i="6"/>
  <c r="G665" i="6"/>
  <c r="C856" i="6"/>
  <c r="G965" i="6"/>
  <c r="B882" i="6"/>
  <c r="E893" i="6"/>
  <c r="I36" i="6"/>
  <c r="D1019" i="6"/>
  <c r="H851" i="6"/>
  <c r="E176" i="6"/>
  <c r="I157" i="6"/>
  <c r="D727" i="6"/>
  <c r="I119" i="6"/>
  <c r="B346" i="6"/>
  <c r="A894" i="6"/>
  <c r="A154" i="6"/>
  <c r="I619" i="6"/>
  <c r="I809" i="6"/>
  <c r="D502" i="6"/>
  <c r="E816" i="6"/>
  <c r="H457" i="6"/>
  <c r="B298" i="6"/>
  <c r="C198" i="6"/>
  <c r="E120" i="6"/>
  <c r="B898" i="6"/>
  <c r="H436" i="6"/>
  <c r="C422" i="6"/>
  <c r="C753" i="6"/>
  <c r="I211" i="6"/>
  <c r="D332" i="6"/>
  <c r="I312" i="6"/>
  <c r="B212" i="6"/>
  <c r="I271" i="6"/>
  <c r="C278" i="6"/>
  <c r="G405" i="6"/>
  <c r="C397" i="6"/>
  <c r="E424" i="6"/>
  <c r="E548" i="6"/>
  <c r="D254" i="6"/>
  <c r="E923" i="6"/>
  <c r="D875" i="6"/>
  <c r="H180" i="6"/>
  <c r="B625" i="6"/>
  <c r="H701" i="6"/>
  <c r="I928" i="6"/>
  <c r="H560" i="6"/>
  <c r="F33" i="6"/>
  <c r="F436" i="6"/>
  <c r="F121" i="6"/>
  <c r="A723" i="6"/>
  <c r="D920" i="6"/>
  <c r="I1019" i="6"/>
  <c r="G570" i="6"/>
  <c r="D224" i="6"/>
  <c r="D999" i="6"/>
  <c r="F245" i="6"/>
  <c r="G273" i="6"/>
  <c r="G199" i="6"/>
  <c r="I621" i="6"/>
  <c r="H793" i="6"/>
  <c r="E749" i="6"/>
  <c r="C215" i="6"/>
  <c r="F550" i="6"/>
  <c r="H739" i="6"/>
  <c r="E47" i="6"/>
  <c r="E571" i="6"/>
  <c r="E960" i="6"/>
  <c r="I635" i="6"/>
  <c r="F889" i="6"/>
  <c r="E730" i="6"/>
  <c r="G822" i="6"/>
  <c r="I502" i="6"/>
  <c r="C777" i="6"/>
  <c r="G896" i="6"/>
  <c r="A354" i="6"/>
  <c r="G101" i="6"/>
  <c r="G75" i="6"/>
  <c r="E819" i="6"/>
  <c r="C888" i="6"/>
  <c r="A319" i="6"/>
  <c r="G929" i="6"/>
  <c r="E604" i="6"/>
  <c r="H964" i="6"/>
  <c r="C617" i="6"/>
  <c r="E578" i="6"/>
  <c r="B66" i="6"/>
  <c r="I93" i="6"/>
  <c r="F543" i="6"/>
  <c r="I165" i="6"/>
  <c r="A361" i="6"/>
  <c r="D6" i="6"/>
  <c r="D364" i="6"/>
  <c r="I424" i="6"/>
  <c r="H599" i="6"/>
  <c r="A240" i="6"/>
  <c r="C20" i="6"/>
  <c r="C196" i="6"/>
  <c r="F305" i="6"/>
  <c r="H121" i="6"/>
  <c r="B399" i="6"/>
  <c r="D250" i="6"/>
  <c r="I977" i="6"/>
  <c r="B703" i="6"/>
  <c r="I579" i="6"/>
  <c r="B735" i="6"/>
  <c r="I408" i="6"/>
  <c r="A558" i="6"/>
  <c r="C558" i="6" s="1"/>
  <c r="B199" i="6"/>
  <c r="I308" i="6"/>
  <c r="A637" i="6"/>
  <c r="E744" i="6"/>
  <c r="B263" i="6"/>
  <c r="I712" i="6"/>
  <c r="A823" i="6"/>
  <c r="F823" i="6" s="1"/>
  <c r="A408" i="6"/>
  <c r="I946" i="6"/>
  <c r="C712" i="6"/>
  <c r="I115" i="6"/>
  <c r="F49" i="6"/>
  <c r="G986" i="6"/>
  <c r="A30" i="6"/>
  <c r="H30" i="6" s="1"/>
  <c r="E77" i="6"/>
  <c r="A430" i="6"/>
  <c r="I509" i="6"/>
  <c r="I44" i="6"/>
  <c r="I215" i="6"/>
  <c r="B345" i="6"/>
  <c r="A466" i="6"/>
  <c r="I245" i="6"/>
  <c r="H263" i="6"/>
  <c r="D625" i="6"/>
  <c r="I495" i="6"/>
  <c r="I514" i="6"/>
  <c r="G695" i="6"/>
  <c r="H235" i="6"/>
  <c r="G635" i="6"/>
  <c r="B730" i="6"/>
  <c r="A741" i="6"/>
  <c r="D741" i="6" s="1"/>
  <c r="B938" i="6"/>
  <c r="C889" i="6"/>
  <c r="A628" i="6"/>
  <c r="A93" i="6"/>
  <c r="F299" i="6"/>
  <c r="I34" i="6"/>
  <c r="C68" i="6"/>
  <c r="E391" i="6"/>
  <c r="I15" i="6"/>
  <c r="C692" i="6"/>
  <c r="I196" i="6"/>
  <c r="G912" i="6"/>
  <c r="C654" i="6"/>
  <c r="E594" i="6"/>
  <c r="A374" i="6"/>
  <c r="A289" i="6"/>
  <c r="D289" i="6" s="1"/>
  <c r="I1002" i="6"/>
  <c r="E559" i="6"/>
  <c r="A698" i="6"/>
  <c r="I135" i="6"/>
  <c r="B769" i="6"/>
  <c r="C33" i="6"/>
  <c r="G121" i="6"/>
  <c r="D368" i="6"/>
  <c r="D603" i="6"/>
  <c r="B75" i="6"/>
  <c r="I919" i="6"/>
  <c r="I446" i="6"/>
  <c r="B887" i="6"/>
  <c r="E298" i="6"/>
  <c r="B1007" i="6"/>
  <c r="E397" i="6"/>
  <c r="A653" i="6"/>
  <c r="A477" i="6"/>
  <c r="C873" i="6"/>
  <c r="D459" i="6"/>
  <c r="H731" i="6"/>
  <c r="D271" i="6"/>
  <c r="B22" i="6"/>
  <c r="B86" i="6"/>
  <c r="F787" i="6"/>
  <c r="E364" i="6"/>
  <c r="G321" i="6"/>
  <c r="B872" i="6"/>
  <c r="D401" i="6"/>
  <c r="G996" i="6"/>
  <c r="A433" i="6"/>
  <c r="D433" i="6" s="1"/>
  <c r="I141" i="6"/>
  <c r="I425" i="6"/>
  <c r="E634" i="6"/>
  <c r="B585" i="6"/>
  <c r="H64" i="6"/>
  <c r="E850" i="6"/>
  <c r="G1022" i="6"/>
  <c r="B811" i="6"/>
  <c r="B535" i="6"/>
  <c r="H640" i="6"/>
  <c r="F176" i="6"/>
  <c r="E283" i="6"/>
  <c r="E479" i="6"/>
  <c r="B9" i="6"/>
  <c r="B559" i="6"/>
  <c r="I890" i="6"/>
  <c r="I413" i="6"/>
  <c r="D526" i="6"/>
  <c r="D13" i="6"/>
  <c r="B513" i="6"/>
  <c r="D227" i="6"/>
  <c r="H983" i="6"/>
  <c r="I965" i="6"/>
  <c r="C519" i="6"/>
  <c r="F1025" i="6"/>
  <c r="G24" i="6"/>
  <c r="I409" i="6"/>
  <c r="H954" i="6"/>
  <c r="H751" i="6"/>
  <c r="G519" i="6"/>
  <c r="C312" i="6"/>
  <c r="I418" i="6"/>
  <c r="D336" i="6"/>
  <c r="A441" i="6"/>
  <c r="A679" i="6"/>
  <c r="D706" i="6"/>
  <c r="A942" i="6"/>
  <c r="D1017" i="6"/>
  <c r="F129" i="6"/>
  <c r="F14" i="6"/>
  <c r="F526" i="6"/>
  <c r="B538" i="6"/>
  <c r="G714" i="6"/>
  <c r="C741" i="6"/>
  <c r="G475" i="6"/>
  <c r="H881" i="6"/>
  <c r="A54" i="6"/>
  <c r="B832" i="6"/>
  <c r="I183" i="6"/>
  <c r="D860" i="6"/>
  <c r="A950" i="6"/>
  <c r="A589" i="6"/>
  <c r="A772" i="6"/>
  <c r="E978" i="6"/>
  <c r="F779" i="6"/>
  <c r="I915" i="6"/>
  <c r="B747" i="6"/>
  <c r="D212" i="6"/>
  <c r="E164" i="6"/>
  <c r="H201" i="6"/>
  <c r="D469" i="6"/>
  <c r="I695" i="6"/>
  <c r="A485" i="6"/>
  <c r="D5" i="6"/>
  <c r="H724" i="6"/>
  <c r="D313" i="6"/>
  <c r="I412" i="6"/>
  <c r="A48" i="6"/>
  <c r="B48" i="6" s="1"/>
  <c r="F755" i="6"/>
  <c r="F51" i="6"/>
  <c r="F87" i="6"/>
  <c r="B846" i="6"/>
  <c r="G760" i="6"/>
  <c r="E843" i="6"/>
  <c r="E394" i="6"/>
  <c r="G577" i="6"/>
  <c r="D136" i="6"/>
  <c r="I386" i="6"/>
  <c r="I1007" i="6"/>
  <c r="G572" i="6"/>
  <c r="I503" i="6"/>
  <c r="D535" i="6"/>
  <c r="I699" i="6"/>
  <c r="D23" i="6"/>
  <c r="I82" i="6"/>
  <c r="G501" i="6"/>
  <c r="D866" i="6"/>
  <c r="C276" i="6"/>
  <c r="C736" i="6"/>
  <c r="G531" i="6"/>
  <c r="D699" i="6"/>
  <c r="I769" i="6"/>
  <c r="G239" i="6"/>
  <c r="D314" i="6"/>
  <c r="A647" i="6"/>
  <c r="F764" i="6"/>
  <c r="A60" i="6"/>
  <c r="E60" i="6" s="1"/>
  <c r="G278" i="6"/>
  <c r="B358" i="6"/>
  <c r="H78" i="6"/>
  <c r="H277" i="6"/>
  <c r="C333" i="6"/>
  <c r="C368" i="6"/>
  <c r="A152" i="6"/>
  <c r="H425" i="6"/>
  <c r="G297" i="6"/>
  <c r="D487" i="6"/>
  <c r="D253" i="6"/>
  <c r="H748" i="6"/>
  <c r="B387" i="6"/>
  <c r="G746" i="6"/>
  <c r="B812" i="6"/>
  <c r="C190" i="6"/>
  <c r="H67" i="6"/>
  <c r="C398" i="6"/>
  <c r="F735" i="6"/>
  <c r="C281" i="6"/>
  <c r="I916" i="6"/>
  <c r="I128" i="6"/>
  <c r="I370" i="6"/>
  <c r="H11" i="6"/>
  <c r="G175" i="6"/>
  <c r="A81" i="6"/>
  <c r="F41" i="6"/>
  <c r="F661" i="6"/>
  <c r="E72" i="6"/>
  <c r="E735" i="6"/>
  <c r="H888" i="6"/>
  <c r="B240" i="6"/>
  <c r="D961" i="6"/>
  <c r="B685" i="6"/>
  <c r="C493" i="6"/>
  <c r="G946" i="6"/>
  <c r="H956" i="6"/>
  <c r="F325" i="6"/>
  <c r="A955" i="6"/>
  <c r="G826" i="6"/>
  <c r="E632" i="6"/>
  <c r="G222" i="6"/>
  <c r="I576" i="6"/>
  <c r="F488" i="6"/>
  <c r="E796" i="6"/>
  <c r="C602" i="6"/>
  <c r="F183" i="6"/>
  <c r="F664" i="6"/>
  <c r="A771" i="6"/>
  <c r="E212" i="6"/>
  <c r="G306" i="6"/>
  <c r="F844" i="6"/>
  <c r="D338" i="6"/>
  <c r="I670" i="6"/>
  <c r="B933" i="6"/>
  <c r="E483" i="6"/>
  <c r="F901" i="6"/>
  <c r="D155" i="6"/>
  <c r="D24" i="6"/>
  <c r="D629" i="6"/>
  <c r="D935" i="6"/>
  <c r="B52" i="6"/>
  <c r="F326" i="6"/>
  <c r="F720" i="6"/>
  <c r="D679" i="6"/>
  <c r="E393" i="6"/>
  <c r="C449" i="6"/>
  <c r="B258" i="6"/>
  <c r="C246" i="6"/>
  <c r="F858" i="6"/>
  <c r="H689" i="6"/>
  <c r="D77" i="6"/>
  <c r="H393" i="6"/>
  <c r="G165" i="6"/>
  <c r="G431" i="6"/>
  <c r="E269" i="6"/>
  <c r="F285" i="6"/>
  <c r="B721" i="6"/>
  <c r="B25" i="6"/>
  <c r="I706" i="6"/>
  <c r="I470" i="6"/>
  <c r="D754" i="6"/>
  <c r="G699" i="6"/>
  <c r="I369" i="6"/>
  <c r="A700" i="6"/>
  <c r="D540" i="6"/>
  <c r="D591" i="6"/>
  <c r="E570" i="6"/>
  <c r="G1020" i="6"/>
  <c r="F91" i="6"/>
  <c r="H513" i="6"/>
  <c r="D66" i="6"/>
  <c r="E295" i="6"/>
  <c r="D525" i="6"/>
  <c r="G483" i="6"/>
  <c r="H632" i="6"/>
  <c r="G513" i="6"/>
  <c r="E167" i="6"/>
  <c r="D277" i="6"/>
  <c r="G179" i="6"/>
  <c r="F67" i="6"/>
  <c r="C798" i="6"/>
  <c r="D445" i="6"/>
  <c r="G401" i="6"/>
  <c r="C728" i="6"/>
  <c r="E474" i="6"/>
  <c r="H525" i="6"/>
  <c r="C515" i="6"/>
  <c r="D693" i="6"/>
  <c r="E941" i="6"/>
  <c r="D419" i="6"/>
  <c r="H904" i="6"/>
  <c r="C78" i="6"/>
  <c r="F524" i="6"/>
  <c r="G821" i="6"/>
  <c r="C91" i="6"/>
  <c r="E940" i="6"/>
  <c r="C309" i="6"/>
  <c r="D816" i="6"/>
  <c r="C266" i="6"/>
  <c r="G236" i="6"/>
  <c r="B151" i="6"/>
  <c r="A651" i="6"/>
  <c r="E703" i="6"/>
  <c r="D451" i="6"/>
  <c r="H933" i="6"/>
  <c r="E875" i="6"/>
  <c r="I941" i="6"/>
  <c r="A539" i="6"/>
  <c r="C364" i="6"/>
  <c r="I747" i="6"/>
  <c r="G46" i="6"/>
  <c r="I1003" i="6"/>
  <c r="I859" i="6"/>
  <c r="C641" i="6"/>
  <c r="A284" i="6"/>
  <c r="E275" i="6"/>
  <c r="C159" i="6"/>
  <c r="C295" i="6"/>
  <c r="I531" i="6"/>
  <c r="H655" i="6"/>
  <c r="C181" i="6"/>
  <c r="I865" i="6"/>
  <c r="H865" i="6"/>
  <c r="D797" i="6"/>
  <c r="G251" i="6"/>
  <c r="H221" i="6"/>
  <c r="C158" i="6"/>
  <c r="H703" i="6"/>
  <c r="G980" i="6"/>
  <c r="D575" i="6"/>
  <c r="D745" i="6"/>
  <c r="H897" i="6"/>
  <c r="E987" i="6"/>
  <c r="D311" i="6"/>
  <c r="F216" i="6"/>
  <c r="E50" i="6"/>
  <c r="C435" i="6"/>
  <c r="B926" i="6"/>
  <c r="I943" i="6"/>
  <c r="I362" i="6"/>
  <c r="I590" i="6"/>
  <c r="E194" i="6"/>
  <c r="B55" i="6"/>
  <c r="A413" i="6"/>
  <c r="D883" i="6"/>
  <c r="E617" i="6"/>
  <c r="G693" i="6"/>
  <c r="C325" i="6"/>
  <c r="B18" i="6"/>
  <c r="H796" i="6"/>
  <c r="H979" i="6"/>
  <c r="D838" i="6"/>
  <c r="H252" i="6"/>
  <c r="H116" i="6"/>
  <c r="C597" i="6"/>
  <c r="H947" i="6"/>
  <c r="F657" i="6"/>
  <c r="G280" i="6"/>
  <c r="G748" i="6"/>
  <c r="B953" i="6"/>
  <c r="I416" i="6"/>
  <c r="H875" i="6"/>
  <c r="D300" i="6"/>
  <c r="E197" i="6"/>
  <c r="H110" i="6"/>
  <c r="E546" i="6"/>
  <c r="D774" i="6"/>
  <c r="F165" i="6"/>
  <c r="I589" i="6"/>
  <c r="F1026" i="6"/>
  <c r="F638" i="6"/>
  <c r="E156" i="6"/>
  <c r="F451" i="6"/>
  <c r="D340" i="6"/>
  <c r="F623" i="6"/>
  <c r="F351" i="6"/>
  <c r="D619" i="6"/>
  <c r="H225" i="6"/>
  <c r="C61" i="6"/>
  <c r="E650" i="6"/>
  <c r="F691" i="6"/>
  <c r="F313" i="6"/>
  <c r="H146" i="6"/>
  <c r="F531" i="6"/>
  <c r="I856" i="6"/>
  <c r="D635" i="6"/>
  <c r="E891" i="6"/>
  <c r="D813" i="6"/>
  <c r="G806" i="6"/>
  <c r="E128" i="6"/>
  <c r="C403" i="6"/>
  <c r="B959" i="6"/>
  <c r="F1017" i="6"/>
  <c r="E782" i="6"/>
  <c r="C502" i="6"/>
  <c r="F250" i="6"/>
  <c r="D347" i="6"/>
  <c r="B79" i="6"/>
  <c r="D238" i="6"/>
  <c r="D428" i="6"/>
  <c r="F327" i="6"/>
  <c r="E396" i="6"/>
  <c r="D687" i="6"/>
  <c r="F683" i="6"/>
  <c r="F495" i="6"/>
  <c r="B366" i="6"/>
  <c r="C731" i="6"/>
  <c r="B215" i="6"/>
  <c r="C355" i="6"/>
  <c r="H910" i="6"/>
  <c r="C583" i="6"/>
  <c r="G487" i="6"/>
  <c r="F224" i="6"/>
  <c r="H585" i="6"/>
  <c r="F830" i="6"/>
  <c r="F788" i="6"/>
  <c r="F583" i="6"/>
  <c r="C22" i="6"/>
  <c r="G586" i="6"/>
  <c r="E177" i="6"/>
  <c r="C600" i="6"/>
  <c r="C569" i="6"/>
  <c r="B27" i="6"/>
  <c r="G16" i="6"/>
  <c r="G265" i="6"/>
  <c r="D914" i="6"/>
  <c r="H87" i="6"/>
  <c r="D653" i="6"/>
  <c r="H241" i="6"/>
  <c r="H727" i="6"/>
  <c r="G86" i="6"/>
  <c r="F821" i="6"/>
  <c r="D756" i="6"/>
  <c r="F238" i="6"/>
  <c r="D622" i="6"/>
  <c r="D642" i="6"/>
  <c r="D281" i="6"/>
  <c r="G778" i="6"/>
  <c r="F44" i="6"/>
  <c r="F117" i="6"/>
  <c r="G775" i="6"/>
  <c r="H269" i="6"/>
  <c r="E213" i="6"/>
  <c r="G880" i="6"/>
  <c r="F761" i="6"/>
  <c r="E271" i="6"/>
  <c r="A958" i="6"/>
  <c r="E640" i="6"/>
  <c r="G538" i="6"/>
  <c r="G114" i="6"/>
  <c r="H184" i="6"/>
  <c r="B314" i="6"/>
  <c r="C696" i="6"/>
  <c r="D474" i="6"/>
  <c r="D910" i="6"/>
  <c r="E462" i="6"/>
  <c r="G325" i="6"/>
  <c r="D203" i="6"/>
  <c r="I142" i="6"/>
  <c r="C936" i="6"/>
  <c r="B1008" i="6"/>
  <c r="E611" i="6"/>
  <c r="E129" i="6"/>
  <c r="E972" i="6"/>
  <c r="G678" i="6"/>
  <c r="E486" i="6"/>
  <c r="E339" i="6"/>
  <c r="D923" i="6"/>
  <c r="I922" i="6"/>
  <c r="E842" i="6"/>
  <c r="G967" i="6"/>
  <c r="B297" i="6"/>
  <c r="B89" i="6"/>
  <c r="D757" i="6"/>
  <c r="D443" i="6"/>
  <c r="C973" i="6"/>
  <c r="D928" i="6"/>
  <c r="H144" i="6"/>
  <c r="D376" i="6"/>
  <c r="C833" i="6"/>
  <c r="C795" i="6"/>
  <c r="B680" i="6"/>
  <c r="I338" i="6"/>
  <c r="G317" i="6"/>
  <c r="C509" i="6"/>
  <c r="F384" i="6"/>
  <c r="B506" i="6"/>
  <c r="B133" i="6"/>
  <c r="F409" i="6"/>
  <c r="D833" i="6"/>
  <c r="H949" i="6"/>
  <c r="B510" i="6"/>
  <c r="G41" i="6"/>
  <c r="D7" i="6"/>
  <c r="E537" i="6"/>
  <c r="D60" i="6"/>
  <c r="E467" i="6"/>
  <c r="F688" i="6"/>
  <c r="E413" i="6"/>
  <c r="I381" i="6"/>
  <c r="E358" i="6"/>
  <c r="E340" i="6"/>
  <c r="D422" i="6"/>
  <c r="H835" i="6"/>
  <c r="G311" i="6"/>
  <c r="H115" i="6"/>
  <c r="D934" i="6"/>
  <c r="E645" i="6"/>
  <c r="I653" i="6"/>
  <c r="E568" i="6"/>
  <c r="F507" i="6"/>
  <c r="I224" i="6"/>
  <c r="D886" i="6"/>
  <c r="B266" i="6"/>
  <c r="H776" i="6"/>
  <c r="B531" i="6"/>
  <c r="E227" i="6"/>
  <c r="I127" i="6"/>
  <c r="C822" i="6"/>
  <c r="F512" i="6"/>
  <c r="F795" i="6"/>
  <c r="G797" i="6"/>
  <c r="F112" i="6"/>
  <c r="G133" i="6"/>
  <c r="C268" i="6"/>
  <c r="C322" i="6"/>
  <c r="I297" i="6"/>
  <c r="G212" i="6"/>
  <c r="E32" i="6"/>
  <c r="H255" i="6"/>
  <c r="H33" i="6"/>
  <c r="B562" i="6"/>
  <c r="B545" i="6"/>
  <c r="I702" i="6"/>
  <c r="C524" i="6"/>
  <c r="E623" i="6"/>
  <c r="D359" i="6"/>
  <c r="D802" i="6"/>
  <c r="G516" i="6"/>
  <c r="C249" i="6"/>
  <c r="E458" i="6"/>
  <c r="F969" i="6"/>
  <c r="H502" i="6"/>
  <c r="F919" i="6"/>
  <c r="G123" i="6"/>
  <c r="H462" i="6"/>
  <c r="E309" i="6"/>
  <c r="F884" i="6"/>
  <c r="C775" i="6"/>
  <c r="D205" i="6"/>
  <c r="H388" i="6"/>
  <c r="I775" i="6"/>
  <c r="F968" i="6"/>
  <c r="F1009" i="6"/>
  <c r="D288" i="6"/>
  <c r="D488" i="6"/>
  <c r="H663" i="6"/>
  <c r="G422" i="6"/>
  <c r="C687" i="6"/>
  <c r="E360" i="6"/>
  <c r="G781" i="6"/>
  <c r="D263" i="6"/>
  <c r="F711" i="6"/>
  <c r="B485" i="6"/>
  <c r="G375" i="6"/>
  <c r="F103" i="6"/>
  <c r="H213" i="6"/>
  <c r="C30" i="6"/>
  <c r="E286" i="6"/>
  <c r="H611" i="6"/>
  <c r="D599" i="6"/>
  <c r="E524" i="6"/>
  <c r="B1003" i="6"/>
  <c r="E1016" i="6"/>
  <c r="D435" i="6"/>
  <c r="D299" i="6"/>
  <c r="B429" i="6"/>
  <c r="F18" i="6"/>
  <c r="D636" i="6"/>
  <c r="H619" i="6"/>
  <c r="F432" i="6"/>
  <c r="F406" i="6"/>
  <c r="G738" i="6"/>
  <c r="H149" i="6"/>
  <c r="D95" i="6"/>
  <c r="E620" i="6"/>
  <c r="H558" i="6"/>
  <c r="D141" i="6"/>
  <c r="F416" i="6"/>
  <c r="H921" i="6"/>
  <c r="F982" i="6"/>
  <c r="G639" i="6"/>
  <c r="E182" i="6"/>
  <c r="D1000" i="6"/>
  <c r="H625" i="6"/>
  <c r="D731" i="6"/>
  <c r="F598" i="6"/>
  <c r="H37" i="6"/>
  <c r="G400" i="6"/>
  <c r="E1023" i="6"/>
  <c r="C275" i="6"/>
  <c r="F496" i="6"/>
  <c r="E499" i="6"/>
  <c r="H1025" i="6"/>
  <c r="D294" i="6"/>
  <c r="E995" i="6"/>
  <c r="G162" i="6"/>
  <c r="B509" i="6"/>
  <c r="G659" i="6"/>
  <c r="H297" i="6"/>
  <c r="G872" i="6"/>
  <c r="D156" i="6"/>
  <c r="E683" i="6"/>
  <c r="G379" i="6"/>
  <c r="E538" i="6"/>
  <c r="D410" i="6"/>
  <c r="B981" i="6"/>
  <c r="C431" i="6"/>
  <c r="E406" i="6"/>
  <c r="E235" i="6"/>
  <c r="C885" i="6"/>
  <c r="H567" i="6"/>
  <c r="C338" i="6"/>
  <c r="G597" i="6"/>
  <c r="B927" i="6"/>
  <c r="H91" i="6"/>
  <c r="C142" i="6"/>
  <c r="G655" i="6"/>
  <c r="G1005" i="6"/>
  <c r="G865" i="6"/>
  <c r="D737" i="6"/>
  <c r="C681" i="6"/>
  <c r="D113" i="6"/>
  <c r="G680" i="6"/>
  <c r="C695" i="6"/>
  <c r="E646" i="6"/>
  <c r="H795" i="6"/>
  <c r="G436" i="6"/>
  <c r="I708" i="6"/>
  <c r="H55" i="6"/>
  <c r="F673" i="6"/>
  <c r="H812" i="6"/>
  <c r="C382" i="6"/>
  <c r="F473" i="6"/>
  <c r="B971" i="6"/>
  <c r="E411" i="6"/>
  <c r="D436" i="6"/>
  <c r="D62" i="6"/>
  <c r="F242" i="6"/>
  <c r="F232" i="6"/>
  <c r="H86" i="6"/>
  <c r="F751" i="6"/>
  <c r="H695" i="6"/>
  <c r="G530" i="6"/>
  <c r="F461" i="6"/>
  <c r="B319" i="6"/>
  <c r="E776" i="6"/>
  <c r="F582" i="6"/>
  <c r="D746" i="6"/>
  <c r="C893" i="6"/>
  <c r="E865" i="6"/>
  <c r="E992" i="6"/>
  <c r="B967" i="6"/>
  <c r="D681" i="6"/>
  <c r="B725" i="6"/>
  <c r="F383" i="6"/>
  <c r="F827" i="6"/>
  <c r="H927" i="6"/>
  <c r="D812" i="6"/>
  <c r="G682" i="6"/>
  <c r="H6" i="6"/>
  <c r="C385" i="6"/>
  <c r="C230" i="6"/>
  <c r="C233" i="6"/>
  <c r="C366" i="6"/>
  <c r="G881" i="6"/>
  <c r="E306" i="6"/>
  <c r="F78" i="6"/>
  <c r="C130" i="6"/>
  <c r="D573" i="6"/>
  <c r="F607" i="6"/>
  <c r="F159" i="6"/>
  <c r="H332" i="6"/>
  <c r="E602" i="6"/>
  <c r="E601" i="6"/>
  <c r="B881" i="6"/>
  <c r="A143" i="6"/>
  <c r="E26" i="6"/>
  <c r="G745" i="6"/>
  <c r="H128" i="6"/>
  <c r="H312" i="6"/>
  <c r="D237" i="6"/>
  <c r="G899" i="6"/>
  <c r="F443" i="6"/>
  <c r="B986" i="6"/>
  <c r="H266" i="6"/>
  <c r="H564" i="6"/>
  <c r="E173" i="6"/>
  <c r="D582" i="6"/>
  <c r="B304" i="6"/>
  <c r="E266" i="6"/>
  <c r="I563" i="6"/>
  <c r="C499" i="6"/>
  <c r="C544" i="6"/>
  <c r="D690" i="6"/>
  <c r="E541" i="6"/>
  <c r="F264" i="6"/>
  <c r="E67" i="6"/>
  <c r="D86" i="6"/>
  <c r="H859" i="6"/>
  <c r="F244" i="6"/>
  <c r="B726" i="6"/>
  <c r="E255" i="6"/>
  <c r="C410" i="6"/>
  <c r="F437" i="6"/>
  <c r="C423" i="6"/>
  <c r="H210" i="6"/>
  <c r="C964" i="6"/>
  <c r="E282" i="6"/>
  <c r="F549" i="6"/>
  <c r="E526" i="6"/>
  <c r="G293" i="6"/>
  <c r="I295" i="6"/>
  <c r="E681" i="6"/>
  <c r="F530" i="6"/>
  <c r="D724" i="6"/>
  <c r="B1018" i="6"/>
  <c r="G882" i="6"/>
  <c r="I626" i="6"/>
  <c r="B136" i="6"/>
  <c r="D691" i="6"/>
  <c r="G512" i="6"/>
  <c r="B187" i="6"/>
  <c r="I305" i="6"/>
  <c r="I1020" i="6"/>
  <c r="I838" i="6"/>
  <c r="A3" i="6"/>
  <c r="A532" i="6"/>
  <c r="B340" i="6"/>
  <c r="I557" i="6"/>
  <c r="A204" i="6"/>
  <c r="I223" i="6"/>
  <c r="F431" i="6"/>
  <c r="I259" i="6"/>
  <c r="B664" i="6"/>
  <c r="B474" i="6"/>
  <c r="B107" i="6"/>
  <c r="I217" i="6"/>
  <c r="A801" i="6"/>
  <c r="A412" i="6"/>
  <c r="A262" i="6"/>
  <c r="A988" i="6"/>
  <c r="C988" i="6" s="1"/>
  <c r="I39" i="6"/>
  <c r="C960" i="6"/>
  <c r="D473" i="6"/>
  <c r="E139" i="6"/>
  <c r="I765" i="6"/>
  <c r="I1016" i="6"/>
  <c r="A301" i="6"/>
  <c r="I752" i="6"/>
  <c r="I261" i="6"/>
  <c r="B563" i="6"/>
  <c r="C206" i="6"/>
  <c r="H757" i="6"/>
  <c r="D175" i="6"/>
  <c r="A658" i="6"/>
  <c r="G271" i="6"/>
  <c r="I235" i="6"/>
  <c r="I94" i="6"/>
  <c r="I937" i="6"/>
  <c r="I717" i="6"/>
  <c r="I352" i="6"/>
  <c r="A455" i="6"/>
  <c r="C481" i="6"/>
  <c r="I269" i="6"/>
  <c r="I158" i="6"/>
  <c r="C347" i="6"/>
  <c r="D176" i="6"/>
  <c r="D18" i="6"/>
  <c r="F206" i="6"/>
  <c r="A10" i="6"/>
  <c r="B10" i="6" s="1"/>
  <c r="I835" i="6"/>
  <c r="E547" i="6"/>
  <c r="I6" i="6"/>
  <c r="H568" i="6"/>
  <c r="B468" i="6"/>
  <c r="G346" i="6"/>
  <c r="I359" i="6"/>
  <c r="A913" i="6"/>
  <c r="D913" i="6" s="1"/>
  <c r="C697" i="6"/>
  <c r="D519" i="6"/>
  <c r="H740" i="6"/>
  <c r="C665" i="6"/>
  <c r="C92" i="6"/>
  <c r="D41" i="6"/>
  <c r="H117" i="6"/>
  <c r="B734" i="6"/>
  <c r="I162" i="6"/>
  <c r="C511" i="6"/>
  <c r="C242" i="6"/>
  <c r="F373" i="6"/>
  <c r="C951" i="6"/>
  <c r="H1026" i="6"/>
  <c r="H75" i="6"/>
  <c r="E824" i="6"/>
  <c r="C332" i="6"/>
  <c r="E551" i="6"/>
  <c r="G272" i="6"/>
  <c r="F852" i="6"/>
  <c r="F372" i="6"/>
  <c r="A556" i="6"/>
  <c r="G452" i="6"/>
  <c r="B34" i="6"/>
  <c r="H410" i="6"/>
  <c r="F263" i="6"/>
  <c r="D601" i="6"/>
  <c r="D101" i="6"/>
  <c r="G105" i="6"/>
  <c r="B448" i="6"/>
  <c r="I924" i="6"/>
  <c r="C388" i="6"/>
  <c r="I587" i="6"/>
  <c r="F962" i="6"/>
  <c r="G12" i="6"/>
  <c r="G835" i="6"/>
  <c r="A290" i="6"/>
  <c r="F554" i="6"/>
  <c r="I666" i="6"/>
  <c r="I455" i="6"/>
  <c r="I518" i="6"/>
  <c r="H968" i="6"/>
  <c r="F739" i="6"/>
  <c r="D736" i="6"/>
  <c r="I799" i="6"/>
  <c r="B106" i="6"/>
  <c r="B931" i="6"/>
  <c r="E450" i="6"/>
  <c r="I253" i="6"/>
  <c r="G674" i="6"/>
  <c r="H227" i="6"/>
  <c r="I202" i="6"/>
  <c r="E85" i="6"/>
  <c r="H373" i="6"/>
  <c r="B883" i="6"/>
  <c r="G191" i="6"/>
  <c r="F856" i="6"/>
  <c r="H456" i="6"/>
  <c r="H52" i="6"/>
  <c r="B230" i="6"/>
  <c r="G474" i="6"/>
  <c r="C961" i="6"/>
  <c r="D369" i="6"/>
  <c r="I861" i="6"/>
  <c r="I812" i="6"/>
  <c r="B253" i="6"/>
  <c r="D782" i="6"/>
  <c r="C943" i="6"/>
  <c r="C197" i="6"/>
  <c r="B175" i="6"/>
  <c r="A605" i="6"/>
  <c r="G605" i="6" s="1"/>
  <c r="G740" i="6"/>
  <c r="G887" i="6"/>
  <c r="G270" i="6"/>
  <c r="B593" i="6"/>
  <c r="E567" i="6"/>
  <c r="I398" i="6"/>
  <c r="G730" i="6"/>
  <c r="D344" i="6"/>
  <c r="I713" i="6"/>
  <c r="E702" i="6"/>
  <c r="C53" i="6"/>
  <c r="B829" i="6"/>
  <c r="I252" i="6"/>
  <c r="E316" i="6"/>
  <c r="B313" i="6"/>
  <c r="I795" i="6"/>
  <c r="I226" i="6"/>
  <c r="I945" i="6"/>
  <c r="I527" i="6"/>
  <c r="I7" i="6"/>
  <c r="B982" i="6"/>
  <c r="F239" i="6"/>
  <c r="E625" i="6"/>
  <c r="D769" i="6"/>
  <c r="D472" i="6"/>
  <c r="I997" i="6"/>
  <c r="H104" i="6"/>
  <c r="B830" i="6"/>
  <c r="B956" i="6"/>
  <c r="C638" i="6"/>
  <c r="I993" i="6"/>
  <c r="F898" i="6"/>
  <c r="I568" i="6"/>
  <c r="G1006" i="6"/>
  <c r="E512" i="6"/>
  <c r="H936" i="6"/>
  <c r="C16" i="6"/>
  <c r="A84" i="6"/>
  <c r="C702" i="6"/>
  <c r="H543" i="6"/>
  <c r="F959" i="6"/>
  <c r="F19" i="6"/>
  <c r="B237" i="6"/>
  <c r="A504" i="6"/>
  <c r="F980" i="6"/>
  <c r="I232" i="6"/>
  <c r="E918" i="6"/>
  <c r="I908" i="6"/>
  <c r="D953" i="6"/>
  <c r="C900" i="6"/>
  <c r="A56" i="6"/>
  <c r="C24" i="6"/>
  <c r="C608" i="6"/>
  <c r="G755" i="6"/>
  <c r="G455" i="6"/>
  <c r="E670" i="6"/>
  <c r="C507" i="6"/>
  <c r="I707" i="6"/>
  <c r="H239" i="6"/>
  <c r="F317" i="6"/>
  <c r="D252" i="6"/>
  <c r="F300" i="6"/>
  <c r="A976" i="6"/>
  <c r="G943" i="6"/>
  <c r="H895" i="6"/>
  <c r="I499" i="6"/>
  <c r="G495" i="6"/>
  <c r="D31" i="6"/>
  <c r="H602" i="6"/>
  <c r="C73" i="6"/>
  <c r="H18" i="6"/>
  <c r="E472" i="6"/>
  <c r="E977" i="6"/>
  <c r="B768" i="6"/>
  <c r="I280" i="6"/>
  <c r="B802" i="6"/>
  <c r="G849" i="6"/>
  <c r="C387" i="6"/>
  <c r="D432" i="6"/>
  <c r="E621" i="6"/>
  <c r="A993" i="6"/>
  <c r="C993" i="6" s="1"/>
  <c r="G702" i="6"/>
  <c r="F452" i="6"/>
  <c r="E908" i="6"/>
  <c r="A492" i="6"/>
  <c r="E1019" i="6"/>
  <c r="D246" i="6"/>
  <c r="B650" i="6"/>
  <c r="D448" i="6"/>
  <c r="E742" i="6"/>
  <c r="C704" i="6"/>
  <c r="D232" i="6"/>
  <c r="G32" i="6"/>
  <c r="G313" i="6"/>
  <c r="F295" i="6"/>
  <c r="G575" i="6"/>
  <c r="G340" i="6"/>
  <c r="I790" i="6"/>
  <c r="D416" i="6"/>
  <c r="I200" i="6"/>
  <c r="E986" i="6"/>
  <c r="G873" i="6"/>
  <c r="B580" i="6"/>
  <c r="H381" i="6"/>
  <c r="F374" i="6"/>
  <c r="F696" i="6"/>
  <c r="D667" i="6"/>
  <c r="F900" i="6"/>
  <c r="I777" i="6"/>
  <c r="A553" i="6"/>
  <c r="E553" i="6" s="1"/>
  <c r="H85" i="6"/>
  <c r="C443" i="6"/>
  <c r="D282" i="6"/>
  <c r="E410" i="6"/>
  <c r="I159" i="6"/>
  <c r="B920" i="6"/>
  <c r="E863" i="6"/>
  <c r="I434" i="6"/>
  <c r="F970" i="6"/>
  <c r="F233" i="6"/>
  <c r="B414" i="6"/>
  <c r="F115" i="6"/>
  <c r="D78" i="6"/>
  <c r="G485" i="6"/>
  <c r="G194" i="6"/>
  <c r="B712" i="6"/>
  <c r="B923" i="6"/>
  <c r="C433" i="6"/>
  <c r="I85" i="6"/>
  <c r="H41" i="6"/>
  <c r="A794" i="6"/>
  <c r="D550" i="6"/>
  <c r="B365" i="6"/>
  <c r="B88" i="6"/>
  <c r="E409" i="6"/>
  <c r="G356" i="6"/>
  <c r="D587" i="6"/>
  <c r="I458" i="6"/>
  <c r="G565" i="6"/>
  <c r="H746" i="6"/>
  <c r="B977" i="6"/>
  <c r="G336" i="6"/>
  <c r="D954" i="6"/>
  <c r="G417" i="6"/>
  <c r="E962" i="6"/>
  <c r="G735" i="6"/>
  <c r="G761" i="6"/>
  <c r="H976" i="6"/>
  <c r="H671" i="6"/>
  <c r="F174" i="6"/>
  <c r="D904" i="6"/>
  <c r="D937" i="6"/>
  <c r="F119" i="6"/>
  <c r="C305" i="6"/>
  <c r="E925" i="6"/>
  <c r="I429" i="6"/>
  <c r="C576" i="6"/>
  <c r="F612" i="6"/>
  <c r="B503" i="6"/>
  <c r="G910" i="6"/>
  <c r="G878" i="6"/>
  <c r="G198" i="6"/>
  <c r="D650" i="6"/>
  <c r="F642" i="6"/>
  <c r="H124" i="6"/>
  <c r="E392" i="6"/>
  <c r="G228" i="6"/>
  <c r="H726" i="6"/>
  <c r="D604" i="6"/>
  <c r="G757" i="6"/>
  <c r="H39" i="6"/>
  <c r="B481" i="6"/>
  <c r="D983" i="6"/>
  <c r="I477" i="6"/>
  <c r="F572" i="6"/>
  <c r="G344" i="6"/>
  <c r="G399" i="6"/>
  <c r="G690" i="6"/>
  <c r="H1006" i="6"/>
  <c r="D671" i="6"/>
  <c r="F578" i="6"/>
  <c r="H844" i="6"/>
  <c r="H145" i="6"/>
  <c r="B599" i="6"/>
  <c r="G488" i="6"/>
  <c r="H526" i="6"/>
  <c r="E569" i="6"/>
  <c r="H699" i="6"/>
  <c r="E854" i="6"/>
  <c r="D393" i="6"/>
  <c r="G936" i="6"/>
  <c r="E7" i="6"/>
  <c r="F933" i="6"/>
  <c r="F343" i="6"/>
  <c r="F685" i="6"/>
  <c r="A831" i="6"/>
  <c r="F738" i="6"/>
  <c r="H137" i="6"/>
  <c r="I565" i="6"/>
  <c r="C482" i="6"/>
  <c r="A207" i="6"/>
  <c r="D53" i="6"/>
  <c r="I876" i="6"/>
  <c r="D187" i="6"/>
  <c r="E615" i="6"/>
  <c r="F35" i="6"/>
  <c r="F665" i="6"/>
  <c r="I205" i="6"/>
  <c r="D638" i="6"/>
  <c r="C104" i="6"/>
  <c r="B727" i="6"/>
  <c r="H749" i="6"/>
  <c r="E54" i="6"/>
  <c r="D747" i="6"/>
  <c r="C653" i="6"/>
  <c r="G451" i="6"/>
  <c r="F646" i="6"/>
  <c r="D852" i="6"/>
  <c r="F675" i="6"/>
  <c r="H920" i="6"/>
  <c r="H982" i="6"/>
  <c r="C671" i="6"/>
  <c r="F803" i="6"/>
  <c r="F706" i="6"/>
  <c r="B423" i="6"/>
  <c r="C566" i="6"/>
  <c r="E436" i="6"/>
  <c r="D447" i="6"/>
  <c r="D475" i="6"/>
  <c r="A308" i="6"/>
  <c r="E532" i="6"/>
  <c r="C476" i="6"/>
  <c r="C85" i="6"/>
  <c r="D827" i="6"/>
  <c r="I1011" i="6"/>
  <c r="H347" i="6"/>
  <c r="I343" i="6"/>
  <c r="D1008" i="6"/>
  <c r="F903" i="6"/>
  <c r="C835" i="6"/>
  <c r="C603" i="6"/>
  <c r="F411" i="6"/>
  <c r="B647" i="6"/>
  <c r="G827" i="6"/>
  <c r="D515" i="6"/>
  <c r="C1026" i="6"/>
  <c r="B916" i="6"/>
  <c r="I126" i="6"/>
  <c r="C689" i="6"/>
  <c r="G616" i="6"/>
  <c r="C169" i="6"/>
  <c r="H687" i="6"/>
  <c r="F595" i="6"/>
  <c r="H492" i="6"/>
  <c r="D367" i="6"/>
  <c r="I623" i="6"/>
  <c r="I716" i="6"/>
  <c r="E928" i="6"/>
  <c r="H827" i="6"/>
  <c r="B702" i="6"/>
  <c r="G461" i="6"/>
  <c r="C690" i="6"/>
  <c r="B917" i="6"/>
  <c r="H211" i="6"/>
  <c r="B890" i="6"/>
  <c r="C800" i="6"/>
  <c r="E352" i="6"/>
  <c r="C927" i="6"/>
  <c r="G858" i="6"/>
  <c r="D309" i="6"/>
  <c r="G173" i="6"/>
  <c r="H552" i="6"/>
  <c r="H95" i="6"/>
  <c r="E808" i="6"/>
  <c r="E501" i="6"/>
  <c r="F731" i="6"/>
  <c r="I992" i="6"/>
  <c r="D409" i="6"/>
  <c r="C904" i="6"/>
  <c r="B773" i="6"/>
  <c r="G202" i="6"/>
  <c r="C870" i="6"/>
  <c r="H159" i="6"/>
  <c r="E946" i="6"/>
  <c r="C444" i="6"/>
  <c r="F86" i="6"/>
  <c r="G524" i="6"/>
  <c r="E713" i="6"/>
  <c r="H1022" i="6"/>
  <c r="H665" i="6"/>
  <c r="E463" i="6"/>
  <c r="D278" i="6"/>
  <c r="C188" i="6"/>
  <c r="E238" i="6"/>
  <c r="E507" i="6"/>
  <c r="E88" i="6"/>
  <c r="E552" i="6"/>
  <c r="H478" i="6"/>
  <c r="D361" i="6"/>
  <c r="G256" i="6"/>
  <c r="B848" i="6"/>
  <c r="H679" i="6"/>
  <c r="D945" i="6"/>
  <c r="H773" i="6"/>
  <c r="B755" i="6"/>
  <c r="H454" i="6"/>
  <c r="I555" i="6"/>
  <c r="G154" i="6"/>
  <c r="C65" i="6"/>
  <c r="D970" i="6"/>
  <c r="D484" i="6"/>
  <c r="C319" i="6"/>
  <c r="E113" i="6"/>
  <c r="B590" i="6"/>
  <c r="E695" i="6"/>
  <c r="G126" i="6"/>
  <c r="F535" i="6"/>
  <c r="A464" i="6"/>
  <c r="F806" i="6"/>
  <c r="E577" i="6"/>
  <c r="D740" i="6"/>
  <c r="H148" i="6"/>
  <c r="C310" i="6"/>
  <c r="A415" i="6"/>
  <c r="F283" i="6"/>
  <c r="D434" i="6"/>
  <c r="F896" i="6"/>
  <c r="C326" i="6"/>
  <c r="E110" i="6"/>
  <c r="E49" i="6"/>
  <c r="H315" i="6"/>
  <c r="D565" i="6"/>
  <c r="F505" i="6"/>
  <c r="C413" i="6"/>
  <c r="D652" i="6"/>
  <c r="F311" i="6"/>
  <c r="G411" i="6"/>
  <c r="G120" i="6"/>
  <c r="G707" i="6"/>
  <c r="H861" i="6"/>
  <c r="C758" i="6"/>
  <c r="F201" i="6"/>
  <c r="H702" i="6"/>
  <c r="G188" i="6"/>
  <c r="F272" i="6"/>
  <c r="F170" i="6"/>
  <c r="D211" i="6"/>
  <c r="H112" i="6"/>
  <c r="F750" i="6"/>
  <c r="H119" i="6"/>
  <c r="B753" i="6"/>
  <c r="B31" i="6"/>
  <c r="G795" i="6"/>
  <c r="B81" i="6"/>
  <c r="E42" i="6"/>
  <c r="G146" i="6"/>
  <c r="F107" i="6"/>
  <c r="D1012" i="6"/>
  <c r="D349" i="6"/>
  <c r="D275" i="6"/>
  <c r="H448" i="6"/>
  <c r="G201" i="6"/>
  <c r="I558" i="6"/>
  <c r="E403" i="6"/>
  <c r="B532" i="6"/>
  <c r="I303" i="6"/>
  <c r="D508" i="6"/>
  <c r="I722" i="6"/>
  <c r="A243" i="6"/>
  <c r="A676" i="6"/>
  <c r="B357" i="6"/>
  <c r="B505" i="6"/>
  <c r="D590" i="6"/>
  <c r="E959" i="6"/>
  <c r="C122" i="6"/>
  <c r="I888" i="6"/>
  <c r="F644" i="6"/>
  <c r="E778" i="6"/>
  <c r="I585" i="6"/>
  <c r="D609" i="6"/>
  <c r="E105" i="6"/>
  <c r="F911" i="6"/>
  <c r="H805" i="6"/>
  <c r="D348" i="6"/>
  <c r="G542" i="6"/>
  <c r="G630" i="6"/>
  <c r="E5" i="6"/>
  <c r="B118" i="6"/>
  <c r="D215" i="6"/>
  <c r="G543" i="6"/>
  <c r="E448" i="6"/>
  <c r="E500" i="6"/>
  <c r="A127" i="6"/>
  <c r="B277" i="6"/>
  <c r="D801" i="6"/>
  <c r="F659" i="6"/>
  <c r="B186" i="6"/>
  <c r="G691" i="6"/>
  <c r="E751" i="6"/>
  <c r="H204" i="6"/>
  <c r="C425" i="6"/>
  <c r="F127" i="6"/>
  <c r="F148" i="6"/>
  <c r="H318" i="6"/>
  <c r="H603" i="6"/>
  <c r="G115" i="6"/>
  <c r="G337" i="6"/>
  <c r="G214" i="6"/>
  <c r="H138" i="6"/>
  <c r="D804" i="6"/>
  <c r="F122" i="6"/>
  <c r="I693" i="6"/>
  <c r="H362" i="6"/>
  <c r="E916" i="6"/>
  <c r="C716" i="6"/>
  <c r="G322" i="6"/>
  <c r="I476" i="6"/>
  <c r="C477" i="6"/>
  <c r="B828" i="6"/>
  <c r="H314" i="6"/>
  <c r="A439" i="6"/>
  <c r="E657" i="6"/>
  <c r="A784" i="6"/>
  <c r="A267" i="6"/>
  <c r="C18" i="6"/>
  <c r="H1008" i="6"/>
  <c r="F341" i="6"/>
  <c r="C35" i="6"/>
  <c r="H912" i="6"/>
  <c r="D9" i="6"/>
  <c r="E900" i="6"/>
  <c r="E280" i="6"/>
  <c r="I256" i="6"/>
  <c r="C629" i="6"/>
  <c r="D602" i="6"/>
  <c r="F140" i="6"/>
  <c r="G587" i="6"/>
  <c r="F141" i="6"/>
  <c r="E171" i="6"/>
  <c r="D345" i="6"/>
  <c r="H129" i="6"/>
  <c r="C954" i="6"/>
  <c r="I844" i="6"/>
  <c r="B198" i="6"/>
  <c r="C838" i="6"/>
  <c r="C922" i="6"/>
  <c r="D244" i="6"/>
  <c r="A614" i="6"/>
  <c r="B587" i="6"/>
  <c r="C402" i="6"/>
  <c r="C620" i="6"/>
  <c r="D785" i="6"/>
  <c r="C140" i="6"/>
  <c r="I529" i="6"/>
  <c r="G583" i="6"/>
  <c r="I681" i="6"/>
  <c r="I814" i="6"/>
  <c r="G27" i="6"/>
  <c r="G535" i="6"/>
  <c r="G893" i="6"/>
  <c r="F679" i="6"/>
  <c r="F548" i="6"/>
  <c r="E505" i="6"/>
  <c r="C813" i="6"/>
  <c r="B598" i="6"/>
  <c r="B696" i="6"/>
  <c r="B860" i="6"/>
  <c r="H962" i="6"/>
  <c r="F547" i="6"/>
  <c r="F601" i="6"/>
  <c r="H863" i="6"/>
  <c r="E230" i="6"/>
  <c r="C663" i="6"/>
  <c r="E979" i="6"/>
  <c r="G261" i="6"/>
  <c r="H467" i="6"/>
  <c r="E95" i="6"/>
  <c r="E939" i="6"/>
  <c r="C407" i="6"/>
  <c r="D116" i="6"/>
  <c r="C191" i="6"/>
  <c r="B497" i="6"/>
  <c r="C335" i="6"/>
  <c r="E758" i="6"/>
  <c r="C834" i="6"/>
  <c r="D915" i="6"/>
  <c r="C496" i="6"/>
  <c r="G156" i="6"/>
  <c r="G944" i="6"/>
  <c r="F579" i="6"/>
  <c r="G176" i="6"/>
  <c r="F205" i="6"/>
  <c r="F842" i="6"/>
  <c r="C136" i="6"/>
  <c r="G370" i="6"/>
  <c r="F725" i="6"/>
  <c r="E232" i="6"/>
  <c r="A876" i="6"/>
  <c r="E508" i="6"/>
  <c r="D333" i="6"/>
  <c r="D620" i="6"/>
  <c r="G74" i="6"/>
  <c r="H495" i="6"/>
  <c r="A1010" i="6"/>
  <c r="D10" i="6"/>
  <c r="I512" i="6"/>
  <c r="C935" i="6"/>
  <c r="D725" i="6"/>
  <c r="I667" i="6"/>
  <c r="D16" i="6"/>
  <c r="F99" i="6"/>
  <c r="D46" i="6"/>
  <c r="C631" i="6"/>
  <c r="G621" i="6"/>
  <c r="D521" i="6"/>
  <c r="I71" i="6"/>
  <c r="G145" i="6"/>
  <c r="H713" i="6"/>
  <c r="I485" i="6"/>
  <c r="C965" i="6"/>
  <c r="B367" i="6"/>
  <c r="I743" i="6"/>
  <c r="G811" i="6"/>
  <c r="F440" i="6"/>
  <c r="G725" i="6"/>
  <c r="B376" i="6"/>
  <c r="C298" i="6"/>
  <c r="F279" i="6"/>
  <c r="C591" i="6"/>
  <c r="E999" i="6"/>
  <c r="C805" i="6"/>
  <c r="H282" i="6"/>
  <c r="D399" i="6"/>
  <c r="H295" i="6"/>
  <c r="I521" i="6"/>
  <c r="F741" i="6"/>
  <c r="D944" i="6"/>
  <c r="H759" i="6"/>
  <c r="H549" i="6"/>
  <c r="G567" i="6"/>
  <c r="C27" i="6"/>
  <c r="H424" i="6"/>
  <c r="G503" i="6"/>
  <c r="E55" i="6"/>
  <c r="G128" i="6"/>
  <c r="C745" i="6"/>
  <c r="B56" i="6"/>
  <c r="G177" i="6"/>
  <c r="D117" i="6"/>
  <c r="G492" i="6"/>
  <c r="C818" i="6"/>
  <c r="C287" i="6"/>
  <c r="D762" i="6"/>
  <c r="C460" i="6"/>
  <c r="G950" i="6"/>
  <c r="B295" i="6"/>
  <c r="H338" i="6"/>
  <c r="F932" i="6"/>
  <c r="D992" i="6"/>
  <c r="B476" i="6"/>
  <c r="F102" i="6"/>
  <c r="F762" i="6"/>
  <c r="G289" i="6"/>
  <c r="H22" i="6"/>
  <c r="B327" i="6"/>
  <c r="G187" i="6"/>
  <c r="H984" i="6"/>
  <c r="C882" i="6"/>
  <c r="F173" i="6"/>
  <c r="F294" i="6"/>
  <c r="I798" i="6"/>
  <c r="C404" i="6"/>
  <c r="G719" i="6"/>
  <c r="H908" i="6"/>
  <c r="D826" i="6"/>
  <c r="B895" i="6"/>
  <c r="A810" i="6"/>
  <c r="A666" i="6"/>
  <c r="I54" i="6"/>
  <c r="A58" i="6"/>
  <c r="E502" i="6"/>
  <c r="C328" i="6"/>
  <c r="G620" i="6"/>
  <c r="I815" i="6"/>
  <c r="F698" i="6"/>
  <c r="H390" i="6"/>
  <c r="C29" i="6"/>
  <c r="B62" i="6"/>
  <c r="D616" i="6"/>
  <c r="H712" i="6"/>
  <c r="E471" i="6"/>
  <c r="F705" i="6"/>
  <c r="C5" i="6"/>
  <c r="C582" i="6"/>
  <c r="C71" i="6"/>
  <c r="C672" i="6"/>
  <c r="H579" i="6"/>
  <c r="G252" i="6"/>
  <c r="E914" i="6"/>
  <c r="B844" i="6"/>
  <c r="H530" i="6"/>
  <c r="I345" i="6"/>
  <c r="E953" i="6"/>
  <c r="E696" i="6"/>
  <c r="H1009" i="6"/>
  <c r="B993" i="6"/>
  <c r="C706" i="6"/>
  <c r="E239" i="6"/>
  <c r="G155" i="6"/>
  <c r="E303" i="6"/>
  <c r="H661" i="6"/>
  <c r="H336" i="6"/>
  <c r="G854" i="6"/>
  <c r="H130" i="6"/>
  <c r="G681" i="6"/>
  <c r="G679" i="6"/>
  <c r="H228" i="6"/>
  <c r="C1011" i="6"/>
  <c r="I918" i="6"/>
  <c r="C261" i="6"/>
  <c r="F640" i="6"/>
  <c r="F90" i="6"/>
  <c r="F597" i="6"/>
  <c r="H437" i="6"/>
  <c r="E641" i="6"/>
  <c r="G347" i="6"/>
  <c r="C548" i="6"/>
  <c r="D765" i="6"/>
  <c r="H484" i="6"/>
  <c r="E639" i="6"/>
  <c r="A533" i="6"/>
  <c r="C380" i="6"/>
  <c r="A217" i="6"/>
  <c r="I753" i="6"/>
  <c r="B309" i="6"/>
  <c r="D703" i="6"/>
  <c r="E580" i="6"/>
  <c r="F886" i="6"/>
  <c r="C396" i="6"/>
  <c r="H190" i="6"/>
  <c r="H237" i="6"/>
  <c r="F480" i="6"/>
  <c r="D532" i="6"/>
  <c r="A633" i="6"/>
  <c r="F936" i="6"/>
  <c r="B637" i="6"/>
  <c r="F733" i="6"/>
  <c r="F824" i="6"/>
  <c r="I601" i="6"/>
  <c r="G249" i="6"/>
  <c r="H926" i="6"/>
  <c r="G808" i="6"/>
  <c r="B631" i="6"/>
  <c r="B512" i="6"/>
  <c r="B162" i="6"/>
  <c r="E478" i="6"/>
  <c r="B674" i="6"/>
  <c r="F719" i="6"/>
  <c r="D708" i="6"/>
  <c r="E203" i="6"/>
  <c r="H193" i="6"/>
  <c r="F809" i="6"/>
  <c r="D979" i="6"/>
  <c r="F984" i="6"/>
  <c r="F745" i="6"/>
  <c r="C746" i="6"/>
  <c r="E20" i="6"/>
  <c r="F338" i="6"/>
  <c r="D197" i="6"/>
  <c r="B195" i="6"/>
  <c r="F838" i="6"/>
  <c r="D608" i="6"/>
  <c r="E37" i="6"/>
  <c r="D893" i="6"/>
  <c r="D485" i="6"/>
  <c r="E107" i="6"/>
  <c r="F934" i="6"/>
  <c r="F681" i="6"/>
  <c r="D319" i="6"/>
  <c r="G163" i="6"/>
  <c r="H246" i="6"/>
  <c r="E367" i="6"/>
  <c r="H359" i="6"/>
  <c r="F593" i="6"/>
  <c r="D918" i="6"/>
  <c r="E881" i="6"/>
  <c r="G298" i="6"/>
  <c r="I961" i="6"/>
  <c r="G345" i="6"/>
  <c r="D124" i="6"/>
  <c r="H374" i="6"/>
  <c r="G264" i="6"/>
  <c r="A172" i="6"/>
  <c r="E318" i="6"/>
  <c r="G971" i="6"/>
  <c r="D381" i="6"/>
  <c r="G859" i="6"/>
  <c r="E619" i="6"/>
  <c r="E804" i="6"/>
  <c r="D798" i="6"/>
  <c r="C609" i="6"/>
  <c r="F89" i="6"/>
  <c r="D125" i="6"/>
  <c r="G25" i="6"/>
  <c r="E887" i="6"/>
  <c r="D478" i="6"/>
  <c r="B403" i="6"/>
  <c r="D523" i="6"/>
  <c r="F328" i="6"/>
  <c r="D1004" i="6"/>
  <c r="E792" i="6"/>
  <c r="C177" i="6"/>
  <c r="D196" i="6"/>
  <c r="E461" i="6"/>
  <c r="H818" i="6"/>
  <c r="G70" i="6"/>
  <c r="B44" i="6"/>
  <c r="C437" i="6"/>
  <c r="F361" i="6"/>
  <c r="G527" i="6"/>
  <c r="F448" i="6"/>
  <c r="D1018" i="6"/>
  <c r="G315" i="6"/>
  <c r="H769" i="6"/>
  <c r="C751" i="6"/>
  <c r="D266" i="6"/>
  <c r="G670" i="6"/>
  <c r="C17" i="6"/>
  <c r="E383" i="6"/>
  <c r="C151" i="6"/>
  <c r="H894" i="6"/>
  <c r="E870" i="6"/>
  <c r="D358" i="6"/>
  <c r="G58" i="6"/>
  <c r="H264" i="6"/>
  <c r="E791" i="6"/>
  <c r="B1014" i="6"/>
  <c r="D408" i="6"/>
  <c r="F692" i="6"/>
  <c r="E228" i="6"/>
  <c r="A418" i="6"/>
  <c r="E491" i="6"/>
  <c r="I73" i="6"/>
  <c r="E762" i="6"/>
  <c r="G1019" i="6"/>
  <c r="H991" i="6"/>
  <c r="H767" i="6"/>
  <c r="B561" i="6"/>
  <c r="C1003" i="6"/>
  <c r="H441" i="6"/>
  <c r="H61" i="6"/>
  <c r="G113" i="6"/>
  <c r="C749" i="6"/>
  <c r="D985" i="6"/>
  <c r="B465" i="6"/>
  <c r="C925" i="6"/>
  <c r="E252" i="6"/>
  <c r="G96" i="6"/>
  <c r="E12" i="6"/>
  <c r="D670" i="6"/>
  <c r="E106" i="6"/>
  <c r="H1014" i="6"/>
  <c r="F956" i="6"/>
  <c r="H957" i="6"/>
  <c r="E631" i="6"/>
  <c r="E674" i="6"/>
  <c r="D633" i="6"/>
  <c r="E948" i="6"/>
  <c r="I175" i="6"/>
  <c r="H333" i="6"/>
  <c r="G942" i="6"/>
  <c r="C134" i="6"/>
  <c r="D268" i="6"/>
  <c r="F749" i="6"/>
  <c r="G507" i="6"/>
  <c r="D597" i="6"/>
  <c r="F732" i="6"/>
  <c r="H616" i="6"/>
  <c r="C655" i="6"/>
  <c r="B341" i="6"/>
  <c r="D984" i="6"/>
  <c r="G726" i="6"/>
  <c r="G958" i="6"/>
  <c r="D763" i="6"/>
  <c r="E477" i="6"/>
  <c r="H93" i="6"/>
  <c r="D133" i="6"/>
  <c r="F603" i="6"/>
  <c r="E929" i="6"/>
  <c r="F214" i="6"/>
  <c r="F457" i="6"/>
  <c r="F494" i="6"/>
  <c r="G174" i="6"/>
  <c r="F859" i="6"/>
  <c r="B354" i="6"/>
  <c r="C926" i="6"/>
  <c r="F952" i="6"/>
  <c r="D581" i="6"/>
  <c r="E3" i="6"/>
  <c r="B862" i="6"/>
  <c r="B749" i="6"/>
  <c r="G305" i="6"/>
  <c r="G22" i="6"/>
  <c r="E693" i="6"/>
  <c r="D661" i="6"/>
  <c r="G366" i="6"/>
  <c r="F797" i="6"/>
  <c r="F860" i="6"/>
  <c r="B293" i="6"/>
  <c r="H46" i="6"/>
  <c r="F137" i="6"/>
  <c r="E728" i="6"/>
  <c r="H511" i="6"/>
  <c r="E800" i="6"/>
  <c r="H473" i="6"/>
  <c r="B588" i="6"/>
  <c r="G78" i="6"/>
  <c r="G803" i="6"/>
  <c r="B499" i="6"/>
  <c r="H47" i="6"/>
  <c r="H498" i="6"/>
  <c r="E848" i="6"/>
  <c r="H944" i="6"/>
  <c r="D698" i="6"/>
  <c r="H802" i="6"/>
  <c r="E45" i="6"/>
  <c r="D998" i="6"/>
  <c r="F979" i="6"/>
  <c r="F882" i="6"/>
  <c r="C624" i="6"/>
  <c r="D207" i="6"/>
  <c r="C57" i="6"/>
  <c r="D32" i="6"/>
  <c r="F323" i="6"/>
  <c r="H468" i="6"/>
  <c r="C939" i="6"/>
  <c r="B990" i="6"/>
  <c r="H81" i="6"/>
  <c r="H898" i="6"/>
  <c r="D481" i="6"/>
  <c r="D751" i="6"/>
  <c r="H199" i="6"/>
  <c r="F626" i="6"/>
  <c r="D678" i="6"/>
  <c r="D182" i="6"/>
  <c r="D738" i="6"/>
  <c r="E678" i="6"/>
  <c r="B153" i="6"/>
  <c r="F9" i="6"/>
  <c r="B252" i="6"/>
  <c r="E148" i="6"/>
  <c r="D477" i="6"/>
  <c r="G526" i="6"/>
  <c r="C945" i="6"/>
  <c r="C283" i="6"/>
  <c r="F468" i="6"/>
  <c r="C303" i="6"/>
  <c r="G459" i="6"/>
  <c r="B46" i="6"/>
  <c r="F716" i="6"/>
  <c r="F368" i="6"/>
  <c r="B29" i="6"/>
  <c r="D363" i="6"/>
  <c r="G151" i="6"/>
  <c r="C778" i="6"/>
  <c r="B789" i="6"/>
  <c r="E812" i="6"/>
  <c r="E598" i="6"/>
  <c r="D947" i="6"/>
  <c r="E1003" i="6"/>
  <c r="B995" i="6"/>
  <c r="F972" i="6"/>
  <c r="E480" i="6"/>
  <c r="C214" i="6"/>
  <c r="D195" i="6"/>
  <c r="C997" i="6"/>
  <c r="C358" i="6"/>
  <c r="E1014" i="6"/>
  <c r="E87" i="6"/>
  <c r="C886" i="6"/>
  <c r="F975" i="6"/>
  <c r="H487" i="6"/>
  <c r="D279" i="6"/>
  <c r="G318" i="6"/>
  <c r="G274" i="6"/>
  <c r="D820" i="6"/>
  <c r="C1006" i="6"/>
  <c r="I363" i="6"/>
  <c r="E341" i="6"/>
  <c r="E753" i="6"/>
  <c r="G329" i="6"/>
  <c r="C810" i="6"/>
  <c r="G167" i="6"/>
  <c r="B463" i="6"/>
  <c r="D490" i="6"/>
  <c r="F65" i="6"/>
  <c r="F950" i="6"/>
  <c r="E416" i="6"/>
  <c r="C346" i="6"/>
  <c r="D788" i="6"/>
  <c r="G480" i="6"/>
  <c r="F83" i="6"/>
  <c r="C659" i="6"/>
  <c r="H952" i="6"/>
  <c r="H458" i="6"/>
  <c r="C84" i="6"/>
  <c r="F213" i="6"/>
  <c r="F152" i="6"/>
  <c r="F50" i="6"/>
  <c r="B961" i="6"/>
  <c r="H203" i="6"/>
  <c r="C178" i="6"/>
  <c r="F942" i="6"/>
  <c r="C141" i="6"/>
  <c r="E289" i="6"/>
  <c r="C670" i="6"/>
  <c r="C307" i="6"/>
  <c r="E345" i="6"/>
  <c r="B82" i="6"/>
  <c r="D59" i="6"/>
  <c r="C459" i="6"/>
  <c r="C486" i="6"/>
  <c r="D115" i="6"/>
  <c r="B13" i="6"/>
  <c r="C523" i="6"/>
  <c r="G73" i="6"/>
  <c r="E8" i="6"/>
  <c r="G89" i="6"/>
  <c r="B555" i="6"/>
  <c r="I523" i="6"/>
  <c r="E190" i="6"/>
  <c r="E671" i="6"/>
  <c r="H308" i="6"/>
  <c r="H438" i="6"/>
  <c r="C921" i="6"/>
  <c r="B65" i="6"/>
  <c r="H194" i="6"/>
  <c r="B223" i="6"/>
  <c r="G1003" i="6"/>
  <c r="I329" i="6"/>
  <c r="G915" i="6"/>
  <c r="I981" i="6"/>
  <c r="G1007" i="6"/>
  <c r="G890" i="6"/>
  <c r="D355" i="6"/>
  <c r="F100" i="6"/>
  <c r="F1003" i="6"/>
  <c r="G729" i="6"/>
  <c r="H826" i="6"/>
  <c r="B658" i="6"/>
  <c r="H140" i="6"/>
  <c r="H787" i="6"/>
  <c r="D177" i="6"/>
  <c r="F768" i="6"/>
  <c r="F3" i="6"/>
  <c r="E1025" i="6"/>
  <c r="D514" i="6"/>
  <c r="F853" i="6"/>
  <c r="D664" i="6"/>
  <c r="E198" i="6"/>
  <c r="D26" i="6"/>
  <c r="D560" i="6"/>
  <c r="B776" i="6"/>
  <c r="C791" i="6"/>
  <c r="D185" i="6"/>
  <c r="H77" i="6"/>
  <c r="F73" i="6"/>
  <c r="D955" i="6"/>
  <c r="B615" i="6"/>
  <c r="G35" i="6"/>
  <c r="F938" i="6"/>
  <c r="G55" i="6"/>
  <c r="B87" i="6"/>
  <c r="D466" i="6"/>
  <c r="E81" i="6"/>
  <c r="H638" i="6"/>
  <c r="F447" i="6"/>
  <c r="H304" i="6"/>
  <c r="B644" i="6"/>
  <c r="E874" i="6"/>
  <c r="F561" i="6"/>
  <c r="C595" i="6"/>
  <c r="G454" i="6"/>
  <c r="E561" i="6"/>
  <c r="C650" i="6"/>
  <c r="F564" i="6"/>
  <c r="B333" i="6"/>
  <c r="F380" i="6"/>
  <c r="C950" i="6"/>
  <c r="A618" i="6"/>
  <c r="E997" i="6"/>
  <c r="H335" i="6"/>
  <c r="F94" i="6"/>
  <c r="B1000" i="6"/>
  <c r="G683" i="6"/>
  <c r="E494" i="6"/>
  <c r="C97" i="6"/>
  <c r="B461" i="6"/>
  <c r="D483" i="6"/>
  <c r="E889" i="6"/>
  <c r="B797" i="6"/>
  <c r="E17" i="6"/>
  <c r="B870" i="6"/>
  <c r="C684" i="6"/>
  <c r="D1023" i="6"/>
  <c r="G48" i="6"/>
  <c r="G868" i="6"/>
  <c r="C754" i="6"/>
  <c r="D563" i="6"/>
  <c r="E718" i="6"/>
  <c r="F483" i="6"/>
  <c r="G323" i="6"/>
  <c r="H858" i="6"/>
  <c r="G473" i="6"/>
  <c r="B849" i="6"/>
  <c r="G628" i="6"/>
  <c r="E90" i="6"/>
  <c r="E665" i="6"/>
  <c r="G774" i="6"/>
  <c r="H860" i="6"/>
  <c r="G737" i="6"/>
  <c r="E609" i="6"/>
  <c r="F811" i="6"/>
  <c r="F190" i="6"/>
  <c r="B1005" i="6"/>
  <c r="G342" i="6"/>
  <c r="I197" i="6"/>
  <c r="C978" i="6"/>
  <c r="H874" i="6"/>
  <c r="F403" i="6"/>
  <c r="D255" i="6"/>
  <c r="H994" i="6"/>
  <c r="E407" i="6"/>
  <c r="H542" i="6"/>
  <c r="E78" i="6"/>
  <c r="G26" i="6"/>
  <c r="D38" i="6"/>
  <c r="F704" i="6"/>
  <c r="D226" i="6"/>
  <c r="E882" i="6"/>
  <c r="F604" i="6"/>
  <c r="C273" i="6"/>
  <c r="C579" i="6"/>
  <c r="B713" i="6"/>
  <c r="G834" i="6"/>
  <c r="C525" i="6"/>
  <c r="I517" i="6"/>
  <c r="E25" i="6"/>
  <c r="B41" i="6"/>
  <c r="H407" i="6"/>
  <c r="I199" i="6"/>
  <c r="F163" i="6"/>
  <c r="E457" i="6"/>
  <c r="C814" i="6"/>
  <c r="B471" i="6"/>
  <c r="F1020" i="6"/>
  <c r="H615" i="6"/>
  <c r="F851" i="6"/>
  <c r="D382" i="6"/>
  <c r="B620" i="6"/>
  <c r="C491" i="6"/>
  <c r="H720" i="6"/>
  <c r="C767" i="6"/>
  <c r="C874" i="6"/>
  <c r="D577" i="6"/>
  <c r="D1011" i="6"/>
  <c r="H886" i="6"/>
  <c r="F668" i="6"/>
  <c r="F917" i="6"/>
  <c r="B635" i="6"/>
  <c r="I609" i="6"/>
  <c r="H745" i="6"/>
  <c r="E112" i="6"/>
  <c r="D139" i="6"/>
  <c r="H460" i="6"/>
  <c r="B196" i="6"/>
  <c r="G164" i="6"/>
  <c r="E773" i="6"/>
  <c r="B5" i="6"/>
  <c r="G448" i="6"/>
  <c r="G901" i="6"/>
  <c r="H292" i="6"/>
  <c r="E153" i="6"/>
  <c r="H617" i="6"/>
  <c r="E331" i="6"/>
  <c r="D570" i="6"/>
  <c r="D33" i="6"/>
  <c r="D354" i="6"/>
  <c r="E710" i="6"/>
  <c r="F192" i="6"/>
  <c r="G894" i="6"/>
  <c r="D872" i="6"/>
  <c r="F504" i="6"/>
  <c r="G144" i="6"/>
  <c r="B987" i="6"/>
  <c r="D468" i="6"/>
  <c r="D926" i="6"/>
  <c r="D930" i="6"/>
  <c r="G721" i="6"/>
  <c r="F401" i="6"/>
  <c r="C363" i="6"/>
  <c r="D4" i="6"/>
  <c r="F778" i="6"/>
  <c r="G131" i="6"/>
  <c r="D646" i="6"/>
  <c r="E465" i="6"/>
  <c r="D312" i="6"/>
  <c r="A161" i="6"/>
  <c r="H90" i="6"/>
  <c r="G837" i="6"/>
  <c r="G295" i="6"/>
  <c r="B1011" i="6"/>
  <c r="H350" i="6"/>
  <c r="F759" i="6"/>
  <c r="G50" i="6"/>
  <c r="H175" i="6"/>
  <c r="C605" i="6"/>
  <c r="D84" i="6"/>
  <c r="D208" i="6"/>
  <c r="B736" i="6"/>
  <c r="F271" i="6"/>
  <c r="C570" i="6"/>
  <c r="D241" i="6"/>
  <c r="B95" i="6"/>
  <c r="C286" i="6"/>
  <c r="H12" i="6"/>
  <c r="H342" i="6"/>
  <c r="D524" i="6"/>
  <c r="B451" i="6"/>
  <c r="G717" i="6"/>
  <c r="H779" i="6"/>
  <c r="H482" i="6"/>
  <c r="E33" i="6"/>
  <c r="C831" i="6"/>
  <c r="F236" i="6"/>
  <c r="F700" i="6"/>
  <c r="B573" i="6"/>
  <c r="G885" i="6"/>
  <c r="E160" i="6"/>
  <c r="C784" i="6"/>
  <c r="B609" i="6"/>
  <c r="F57" i="6"/>
  <c r="G809" i="6"/>
  <c r="G1026" i="6"/>
  <c r="C58" i="6"/>
  <c r="E310" i="6"/>
  <c r="E857" i="6"/>
  <c r="D507" i="6"/>
  <c r="B302" i="6"/>
  <c r="E942" i="6"/>
  <c r="E667" i="6"/>
  <c r="H447" i="6"/>
  <c r="H656" i="6"/>
  <c r="B312" i="6"/>
  <c r="C890" i="6"/>
  <c r="B363" i="6"/>
  <c r="H506" i="6"/>
  <c r="E663" i="6"/>
  <c r="H366" i="6"/>
  <c r="I886" i="6"/>
  <c r="C1014" i="6"/>
  <c r="E936" i="6"/>
  <c r="G533" i="6"/>
  <c r="H666" i="6"/>
  <c r="F737" i="6"/>
  <c r="H120" i="6"/>
  <c r="H635" i="6"/>
  <c r="E738" i="6"/>
  <c r="H114" i="6"/>
  <c r="B405" i="6"/>
  <c r="B504" i="6"/>
  <c r="G919" i="6"/>
  <c r="H493" i="6"/>
  <c r="C117" i="6"/>
  <c r="C781" i="6"/>
  <c r="G641" i="6"/>
  <c r="E168" i="6"/>
  <c r="E967" i="6"/>
  <c r="H322" i="6"/>
  <c r="H581" i="6"/>
  <c r="F487" i="6"/>
  <c r="D12" i="6"/>
  <c r="F677" i="6"/>
  <c r="F519" i="6"/>
  <c r="G710" i="6"/>
  <c r="G960" i="6"/>
  <c r="G947" i="6"/>
  <c r="E71" i="6"/>
  <c r="I405" i="6"/>
  <c r="G426" i="6"/>
  <c r="C70" i="6"/>
  <c r="C135" i="6"/>
  <c r="E365" i="6"/>
  <c r="H696" i="6"/>
  <c r="B224" i="6"/>
  <c r="B548" i="6"/>
  <c r="E596" i="6"/>
  <c r="H186" i="6"/>
  <c r="C905" i="6"/>
  <c r="D940" i="6"/>
  <c r="C575" i="6"/>
  <c r="D830" i="6"/>
  <c r="F633" i="6"/>
  <c r="F988" i="6"/>
  <c r="F38" i="6"/>
  <c r="C1002" i="6"/>
  <c r="B231" i="6"/>
  <c r="H20" i="6"/>
  <c r="E161" i="6"/>
  <c r="C787" i="6"/>
  <c r="C541" i="6"/>
  <c r="E606" i="6"/>
  <c r="H642" i="6"/>
  <c r="B836" i="6"/>
  <c r="H153" i="6"/>
  <c r="D925" i="6"/>
  <c r="C359" i="6"/>
  <c r="H232" i="6"/>
  <c r="E761" i="6"/>
  <c r="B400" i="6"/>
  <c r="E635" i="6"/>
  <c r="G497" i="6"/>
  <c r="G258" i="6"/>
  <c r="D90" i="6"/>
  <c r="G976" i="6"/>
  <c r="C860" i="6"/>
  <c r="D154" i="6"/>
  <c r="G618" i="6"/>
  <c r="H1012" i="6"/>
  <c r="F991" i="6"/>
  <c r="I989" i="6"/>
  <c r="E572" i="6"/>
  <c r="B39" i="6"/>
  <c r="E19" i="6"/>
  <c r="C11" i="6"/>
  <c r="F670" i="6"/>
  <c r="H176" i="6"/>
  <c r="H566" i="6"/>
  <c r="F155" i="6"/>
  <c r="E52" i="6"/>
  <c r="H191" i="6"/>
  <c r="H111" i="6"/>
  <c r="H819" i="6"/>
  <c r="B642" i="6"/>
  <c r="H414" i="6"/>
  <c r="F297" i="6"/>
  <c r="C466" i="6"/>
  <c r="G206" i="6"/>
  <c r="D544" i="6"/>
  <c r="H761" i="6"/>
  <c r="H127" i="6"/>
  <c r="C876" i="6"/>
  <c r="I725" i="6"/>
  <c r="H877" i="6"/>
  <c r="H102" i="6"/>
  <c r="D438" i="6"/>
  <c r="D97" i="6"/>
  <c r="B779" i="6"/>
  <c r="E91" i="6"/>
  <c r="C128" i="6"/>
  <c r="B652" i="6"/>
  <c r="C216" i="6"/>
  <c r="D47" i="6"/>
  <c r="B666" i="6"/>
  <c r="B288" i="6"/>
  <c r="D214" i="6"/>
  <c r="C223" i="6"/>
  <c r="E677" i="6"/>
  <c r="H963" i="6"/>
  <c r="H899" i="6"/>
  <c r="H711" i="6"/>
  <c r="C839" i="6"/>
  <c r="C155" i="6"/>
  <c r="E651" i="6"/>
  <c r="E142" i="6"/>
  <c r="C313" i="6"/>
  <c r="B874" i="6"/>
  <c r="C976" i="6"/>
  <c r="B775" i="6"/>
  <c r="F348" i="6"/>
  <c r="B390" i="6"/>
  <c r="E441" i="6"/>
  <c r="C713" i="6"/>
  <c r="H79" i="6"/>
  <c r="E414" i="6"/>
  <c r="C495" i="6"/>
  <c r="F465" i="6"/>
  <c r="B586" i="6"/>
  <c r="G229" i="6"/>
  <c r="F782" i="6"/>
  <c r="G332" i="6"/>
  <c r="E174" i="6"/>
  <c r="B985" i="6"/>
  <c r="H341" i="6"/>
  <c r="E958" i="6"/>
  <c r="H981" i="6"/>
  <c r="F179" i="6"/>
  <c r="G7" i="6"/>
  <c r="F877" i="6"/>
  <c r="E27" i="6"/>
  <c r="E328" i="6"/>
  <c r="F807" i="6"/>
  <c r="D152" i="6"/>
  <c r="E763" i="6"/>
  <c r="E836" i="6"/>
  <c r="C262" i="6"/>
  <c r="H973" i="6"/>
  <c r="C471" i="6"/>
  <c r="G240" i="6"/>
  <c r="C116" i="6"/>
  <c r="H691" i="6"/>
  <c r="G60" i="6"/>
  <c r="B838" i="6"/>
  <c r="H760" i="6"/>
  <c r="H876" i="6"/>
  <c r="C910" i="6"/>
  <c r="B374" i="6"/>
  <c r="G921" i="6"/>
  <c r="F4" i="6"/>
  <c r="E202" i="6"/>
  <c r="G125" i="6"/>
  <c r="B659" i="6"/>
  <c r="H591" i="6"/>
  <c r="G66" i="6"/>
  <c r="G100" i="6"/>
  <c r="C19" i="6"/>
  <c r="I389" i="6"/>
  <c r="B228" i="6"/>
  <c r="C353" i="6"/>
  <c r="G398" i="6"/>
  <c r="C826" i="6"/>
  <c r="C1023" i="6"/>
  <c r="D662" i="6"/>
  <c r="E511" i="6"/>
  <c r="H24" i="6"/>
  <c r="C48" i="6"/>
  <c r="B147" i="6"/>
  <c r="C881" i="6"/>
  <c r="G354" i="6"/>
  <c r="D726" i="6"/>
  <c r="D539" i="6"/>
  <c r="H346" i="6"/>
  <c r="E708" i="6"/>
  <c r="E439" i="6"/>
  <c r="C394" i="6"/>
  <c r="C596" i="6"/>
  <c r="B925" i="6"/>
  <c r="H430" i="6"/>
  <c r="B1017" i="6"/>
  <c r="H509" i="6"/>
  <c r="D43" i="6"/>
  <c r="D846" i="6"/>
  <c r="E99" i="6"/>
  <c r="E988" i="6"/>
  <c r="G38" i="6"/>
  <c r="C683" i="6"/>
  <c r="E880" i="6"/>
  <c r="D387" i="6"/>
  <c r="F721" i="6"/>
  <c r="F79" i="6"/>
  <c r="D598" i="6"/>
  <c r="C627" i="6"/>
  <c r="G430" i="6"/>
  <c r="F1008" i="6"/>
  <c r="F819" i="6"/>
  <c r="F126" i="6"/>
  <c r="H405" i="6"/>
  <c r="H811" i="6"/>
  <c r="E48" i="6"/>
  <c r="B636" i="6"/>
  <c r="G532" i="6"/>
  <c r="F22" i="6"/>
  <c r="C527" i="6"/>
  <c r="F829" i="6"/>
  <c r="B595" i="6"/>
  <c r="F525" i="6"/>
  <c r="B567" i="6"/>
  <c r="C361" i="6"/>
  <c r="F906" i="6"/>
  <c r="H987" i="6"/>
  <c r="E669" i="6"/>
  <c r="G1023" i="6"/>
  <c r="B724" i="6"/>
  <c r="H931" i="6"/>
  <c r="F669" i="6"/>
  <c r="E638" i="6"/>
  <c r="H842" i="6"/>
  <c r="C744" i="6"/>
  <c r="D839" i="6"/>
  <c r="F359" i="6"/>
  <c r="D464" i="6"/>
  <c r="F227" i="6"/>
  <c r="F509" i="6"/>
  <c r="C618" i="6"/>
  <c r="G647" i="6"/>
  <c r="E974" i="6"/>
  <c r="I975" i="6"/>
  <c r="D162" i="6"/>
  <c r="G383" i="6"/>
  <c r="H70" i="6"/>
  <c r="G457" i="6"/>
  <c r="F396" i="6"/>
  <c r="G351" i="6"/>
  <c r="B678" i="6"/>
  <c r="D906" i="6"/>
  <c r="D688" i="6"/>
  <c r="D202" i="6"/>
  <c r="B407" i="6"/>
  <c r="H980" i="6"/>
  <c r="H135" i="6"/>
  <c r="F336" i="6"/>
  <c r="C616" i="6"/>
  <c r="G319" i="6"/>
  <c r="H510" i="6"/>
  <c r="E484" i="6"/>
  <c r="H429" i="6"/>
  <c r="G124" i="6"/>
  <c r="F941" i="6"/>
  <c r="H570" i="6"/>
  <c r="G791" i="6"/>
  <c r="F885" i="6"/>
  <c r="F940" i="6"/>
  <c r="E802" i="6"/>
  <c r="G52" i="6"/>
  <c r="F335" i="6"/>
  <c r="E270" i="6"/>
  <c r="D1013" i="6"/>
  <c r="E575" i="6"/>
  <c r="H451" i="6"/>
  <c r="C222" i="6"/>
  <c r="D990" i="6"/>
  <c r="E372" i="6"/>
  <c r="D498" i="6"/>
  <c r="H352" i="6"/>
  <c r="D127" i="6"/>
  <c r="C776" i="6"/>
  <c r="G832" i="6"/>
  <c r="D566" i="6"/>
  <c r="F142" i="6"/>
  <c r="F518" i="6"/>
  <c r="H605" i="6"/>
  <c r="E582" i="6"/>
  <c r="E983" i="6"/>
  <c r="H361" i="6"/>
  <c r="F208" i="6"/>
  <c r="B391" i="6"/>
  <c r="B257" i="6"/>
  <c r="G302" i="6"/>
  <c r="C894" i="6"/>
  <c r="D723" i="6"/>
  <c r="E784" i="6"/>
  <c r="H878" i="6"/>
  <c r="D295" i="6"/>
  <c r="G283" i="6"/>
  <c r="D868" i="6"/>
  <c r="C725" i="6"/>
  <c r="G589" i="6"/>
  <c r="D758" i="6"/>
  <c r="H464" i="6"/>
  <c r="D39" i="6"/>
  <c r="G17" i="6"/>
  <c r="H1002" i="6"/>
  <c r="B699" i="6"/>
  <c r="C263" i="6"/>
  <c r="C884" i="6"/>
  <c r="F39" i="6"/>
  <c r="C957" i="6"/>
  <c r="D482" i="6"/>
  <c r="D592" i="6"/>
  <c r="B294" i="6"/>
  <c r="G447" i="6"/>
  <c r="B928" i="6"/>
  <c r="E626" i="6"/>
  <c r="D243" i="6"/>
  <c r="D707" i="6"/>
  <c r="F569" i="6"/>
  <c r="D398" i="6"/>
  <c r="G185" i="6"/>
  <c r="E931" i="6"/>
  <c r="D892" i="6"/>
  <c r="C668" i="6"/>
  <c r="E356" i="6"/>
  <c r="E274" i="6"/>
  <c r="C901" i="6"/>
  <c r="C564" i="6"/>
  <c r="B614" i="6"/>
  <c r="H122" i="6"/>
  <c r="E40" i="6"/>
  <c r="F7" i="6"/>
  <c r="C759" i="6"/>
  <c r="H867" i="6"/>
  <c r="G983" i="6"/>
  <c r="G216" i="6"/>
  <c r="F164" i="6"/>
  <c r="D142" i="6"/>
  <c r="H154" i="6"/>
  <c r="D418" i="6"/>
  <c r="G995" i="6"/>
  <c r="H386" i="6"/>
  <c r="H1000" i="6"/>
  <c r="B921" i="6"/>
  <c r="E554" i="6"/>
  <c r="E549" i="6"/>
  <c r="B525" i="6"/>
  <c r="F931" i="6"/>
  <c r="I572" i="6"/>
  <c r="G900" i="6"/>
  <c r="B1022" i="6"/>
  <c r="G61" i="6"/>
  <c r="E771" i="6"/>
  <c r="B127" i="6"/>
  <c r="F773" i="6"/>
  <c r="F80" i="6"/>
  <c r="A786" i="6"/>
  <c r="H285" i="6"/>
  <c r="G434" i="6"/>
  <c r="E146" i="6"/>
  <c r="F385" i="6"/>
  <c r="D147" i="6"/>
  <c r="I662" i="6"/>
  <c r="C124" i="6"/>
  <c r="F482" i="6"/>
  <c r="E229" i="6"/>
  <c r="H165" i="6"/>
  <c r="F826" i="6"/>
  <c r="C792" i="6"/>
  <c r="D173" i="6"/>
  <c r="B579" i="6"/>
  <c r="H837" i="6"/>
  <c r="B192" i="6"/>
  <c r="D831" i="6"/>
  <c r="H1021" i="6"/>
  <c r="C991" i="6"/>
  <c r="D151" i="6"/>
  <c r="D341" i="6"/>
  <c r="C522" i="6"/>
  <c r="F492" i="6"/>
  <c r="F628" i="6"/>
  <c r="E485" i="6"/>
  <c r="H784" i="6"/>
  <c r="H562" i="6"/>
  <c r="B113" i="6"/>
  <c r="F284" i="6"/>
  <c r="B941" i="6"/>
  <c r="F267" i="6"/>
  <c r="B814" i="6"/>
  <c r="C698" i="6"/>
  <c r="D234" i="6"/>
  <c r="E831" i="6"/>
  <c r="F415" i="6"/>
  <c r="C538" i="6"/>
  <c r="E745" i="6"/>
  <c r="E707" i="6"/>
  <c r="B602" i="6"/>
  <c r="D810" i="6"/>
  <c r="B965" i="6"/>
  <c r="E797" i="6"/>
  <c r="F43" i="6"/>
  <c r="D794" i="6"/>
  <c r="C786" i="6"/>
  <c r="B104" i="6"/>
  <c r="C640" i="6"/>
  <c r="F81" i="6"/>
  <c r="D968" i="6"/>
  <c r="F865" i="6"/>
  <c r="E183" i="6"/>
  <c r="B161" i="6"/>
  <c r="E39" i="6"/>
  <c r="D510" i="6"/>
  <c r="B537" i="6"/>
  <c r="B191" i="6"/>
  <c r="B409" i="6"/>
  <c r="B415" i="6"/>
  <c r="C243" i="6"/>
  <c r="D631" i="6"/>
  <c r="F796" i="6"/>
  <c r="B396" i="6"/>
  <c r="E319" i="6"/>
  <c r="E592" i="6"/>
  <c r="C205" i="6"/>
  <c r="H771" i="6"/>
  <c r="G556" i="6"/>
  <c r="H171" i="6"/>
  <c r="F553" i="6"/>
  <c r="E770" i="6"/>
  <c r="G905" i="6"/>
  <c r="D873" i="6"/>
  <c r="H902" i="6"/>
  <c r="D413" i="6"/>
  <c r="G545" i="6"/>
  <c r="H302" i="6"/>
  <c r="G477" i="6"/>
  <c r="C700" i="6"/>
  <c r="B744" i="6"/>
  <c r="H326" i="6"/>
  <c r="H100" i="6"/>
  <c r="G981" i="6"/>
  <c r="G836" i="6"/>
  <c r="H738" i="6"/>
  <c r="E969" i="6"/>
  <c r="E201" i="6"/>
  <c r="H310" i="6"/>
  <c r="C844" i="6"/>
  <c r="E322" i="6"/>
  <c r="G410" i="6"/>
  <c r="G544" i="6"/>
  <c r="G471" i="6"/>
  <c r="F690" i="6"/>
  <c r="F832" i="6"/>
  <c r="H653" i="6"/>
  <c r="G357" i="6"/>
  <c r="H422" i="6"/>
  <c r="E892" i="6"/>
  <c r="H569" i="6"/>
  <c r="F314" i="6"/>
  <c r="F138" i="6"/>
  <c r="H916" i="6"/>
  <c r="D982" i="6"/>
  <c r="H606" i="6"/>
  <c r="G300" i="6"/>
  <c r="G562" i="6"/>
  <c r="B40" i="6"/>
  <c r="F169" i="6"/>
  <c r="B915" i="6"/>
  <c r="H71" i="6"/>
  <c r="F552" i="6"/>
  <c r="B972" i="6"/>
  <c r="F418" i="6"/>
  <c r="D442" i="6"/>
  <c r="E656" i="6"/>
  <c r="B950" i="6"/>
  <c r="B994" i="6"/>
  <c r="B392" i="6"/>
  <c r="B719" i="6"/>
  <c r="F586" i="6"/>
  <c r="C415" i="6"/>
  <c r="G290" i="6"/>
  <c r="B402" i="6"/>
  <c r="H413" i="6"/>
  <c r="E195" i="6"/>
  <c r="F647" i="6"/>
  <c r="C590" i="6"/>
  <c r="D134" i="6"/>
  <c r="G653" i="6"/>
  <c r="C392" i="6"/>
  <c r="D786" i="6"/>
  <c r="E950" i="6"/>
  <c r="E405" i="6"/>
  <c r="H732" i="6"/>
  <c r="F64" i="6"/>
  <c r="H415" i="6"/>
  <c r="B222" i="6"/>
  <c r="F334" i="6"/>
  <c r="B116" i="6"/>
  <c r="B323" i="6"/>
  <c r="E46" i="6"/>
  <c r="H786" i="6"/>
  <c r="D814" i="6"/>
  <c r="C354" i="6"/>
  <c r="E630" i="6"/>
  <c r="B839" i="6"/>
  <c r="F873" i="6"/>
  <c r="C426" i="6"/>
  <c r="F222" i="6"/>
  <c r="H770" i="6"/>
  <c r="C109" i="6"/>
  <c r="E402" i="6"/>
  <c r="G898" i="6"/>
  <c r="G700" i="6"/>
  <c r="C194" i="6"/>
  <c r="D94" i="6"/>
  <c r="G817" i="6"/>
  <c r="F987" i="6"/>
  <c r="F53" i="6"/>
  <c r="H1011" i="6"/>
  <c r="C145" i="6"/>
  <c r="C902" i="6"/>
  <c r="C89" i="6"/>
  <c r="C445" i="6"/>
  <c r="H556" i="6"/>
  <c r="C999" i="6"/>
  <c r="D702" i="6"/>
  <c r="I551" i="6"/>
  <c r="D997" i="6"/>
  <c r="C424" i="6"/>
  <c r="H357" i="6"/>
  <c r="E888" i="6"/>
  <c r="I594" i="6"/>
  <c r="H565" i="6"/>
  <c r="C510" i="6"/>
  <c r="H545" i="6"/>
  <c r="G296" i="6"/>
  <c r="B276" i="6"/>
  <c r="E989" i="6"/>
  <c r="D900" i="6"/>
  <c r="C632" i="6"/>
  <c r="F976" i="6"/>
  <c r="B16" i="6"/>
  <c r="B244" i="6"/>
  <c r="H294" i="6"/>
  <c r="H627" i="6"/>
  <c r="G848" i="6"/>
  <c r="B120" i="6"/>
  <c r="G31" i="6"/>
  <c r="D870" i="6"/>
  <c r="D952" i="6"/>
  <c r="H953" i="6"/>
  <c r="G852" i="6"/>
  <c r="C1017" i="6"/>
  <c r="C143" i="6"/>
  <c r="F523" i="6"/>
  <c r="G403" i="6"/>
  <c r="E712" i="6"/>
  <c r="B322" i="6"/>
  <c r="G15" i="6"/>
  <c r="G807" i="6"/>
  <c r="B670" i="6"/>
  <c r="D188" i="6"/>
  <c r="F992" i="6"/>
  <c r="H782" i="6"/>
  <c r="I228" i="6"/>
  <c r="H231" i="6"/>
  <c r="G47" i="6"/>
  <c r="H465" i="6"/>
  <c r="G770" i="6"/>
  <c r="F983" i="6"/>
  <c r="B763" i="6"/>
  <c r="F621" i="6"/>
  <c r="D916" i="6"/>
  <c r="D932" i="6"/>
  <c r="F835" i="6"/>
  <c r="F282" i="6"/>
  <c r="B992" i="6"/>
  <c r="C133" i="6"/>
  <c r="D969" i="6"/>
  <c r="F427" i="6"/>
  <c r="C144" i="6"/>
  <c r="I27" i="6"/>
  <c r="E459" i="6"/>
  <c r="B498" i="6"/>
  <c r="H693" i="6"/>
  <c r="C170" i="6"/>
  <c r="F266" i="6"/>
  <c r="E226" i="6"/>
  <c r="B1023" i="6"/>
  <c r="H885" i="6"/>
  <c r="G767" i="6"/>
  <c r="I289" i="6"/>
  <c r="D30" i="6"/>
  <c r="E679" i="6"/>
  <c r="G139" i="6"/>
  <c r="F167" i="6"/>
  <c r="D836" i="6"/>
  <c r="E122" i="6"/>
  <c r="H283" i="6"/>
  <c r="F6" i="6"/>
  <c r="F990" i="6"/>
  <c r="D231" i="6"/>
  <c r="G23" i="6"/>
  <c r="C679" i="6"/>
  <c r="D15" i="6"/>
  <c r="D881" i="6"/>
  <c r="G250" i="6"/>
  <c r="E894" i="6"/>
  <c r="E890" i="6"/>
  <c r="H281" i="6"/>
  <c r="H832" i="6"/>
  <c r="B328" i="6"/>
  <c r="F74" i="6"/>
  <c r="B679" i="6"/>
  <c r="E18" i="6"/>
  <c r="H284" i="6"/>
  <c r="C546" i="6"/>
  <c r="C201" i="6"/>
  <c r="C750" i="6"/>
  <c r="E323" i="6"/>
  <c r="G136" i="6"/>
  <c r="H72" i="6"/>
  <c r="C185" i="6"/>
  <c r="C623" i="6"/>
  <c r="B792" i="6"/>
  <c r="G481" i="6"/>
  <c r="F937" i="6"/>
  <c r="F306" i="6"/>
  <c r="H839" i="6"/>
  <c r="E284" i="6"/>
  <c r="F47" i="6"/>
  <c r="A528" i="6"/>
  <c r="I927" i="6"/>
  <c r="G952" i="6"/>
  <c r="D775" i="6"/>
  <c r="F379" i="6"/>
  <c r="H13" i="6"/>
  <c r="D318" i="6"/>
  <c r="D874" i="6"/>
  <c r="H756" i="6"/>
  <c r="H528" i="6"/>
  <c r="I577" i="6"/>
  <c r="I554" i="6"/>
  <c r="F356" i="6"/>
  <c r="D441" i="6"/>
  <c r="H651" i="6"/>
  <c r="G853" i="6"/>
  <c r="E249" i="6"/>
  <c r="F845" i="6"/>
  <c r="G397" i="6"/>
  <c r="E29" i="6"/>
  <c r="H807" i="6"/>
  <c r="H571" i="6"/>
  <c r="F1005" i="6"/>
  <c r="G863" i="6"/>
  <c r="D292" i="6"/>
  <c r="A557" i="6"/>
  <c r="D621" i="6"/>
  <c r="F695" i="6"/>
  <c r="F413" i="6"/>
  <c r="D967" i="6"/>
  <c r="F400" i="6"/>
  <c r="B704" i="6"/>
  <c r="D817" i="6"/>
  <c r="F105" i="6"/>
  <c r="E515" i="6"/>
  <c r="D261" i="6"/>
  <c r="E362" i="6"/>
  <c r="E285" i="6"/>
  <c r="G708" i="6"/>
  <c r="G498" i="6"/>
  <c r="D476" i="6"/>
  <c r="B96" i="6"/>
  <c r="F27" i="6"/>
  <c r="G741" i="6"/>
  <c r="A395" i="6"/>
  <c r="A209" i="6"/>
  <c r="A909" i="6"/>
  <c r="I904" i="6"/>
  <c r="A825" i="6"/>
  <c r="B473" i="6"/>
  <c r="G245" i="6"/>
  <c r="A69" i="6"/>
  <c r="C747" i="6"/>
  <c r="I263" i="6"/>
  <c r="I1004" i="6"/>
  <c r="E795" i="6"/>
  <c r="A218" i="6"/>
  <c r="F370" i="6"/>
  <c r="H930" i="6"/>
  <c r="I75" i="6"/>
  <c r="I571" i="6"/>
  <c r="I1024" i="6"/>
  <c r="F202" i="6"/>
  <c r="B739" i="6"/>
  <c r="A610" i="6"/>
  <c r="A76" i="6"/>
  <c r="I284" i="6"/>
  <c r="D49" i="6"/>
  <c r="E250" i="6"/>
  <c r="H563" i="6"/>
  <c r="F995" i="6"/>
  <c r="I972" i="6"/>
  <c r="C615" i="6"/>
  <c r="B903" i="6"/>
  <c r="G751" i="6"/>
  <c r="C457" i="6"/>
  <c r="E435" i="6"/>
  <c r="H15" i="6"/>
  <c r="E775" i="6"/>
  <c r="F397" i="6"/>
  <c r="B305" i="6"/>
  <c r="G732" i="6"/>
  <c r="C99" i="6"/>
  <c r="F162" i="6"/>
  <c r="G600" i="6"/>
  <c r="F40" i="6"/>
  <c r="B287" i="6"/>
  <c r="C808" i="6"/>
  <c r="C947" i="6"/>
  <c r="F36" i="6"/>
  <c r="E398" i="6"/>
  <c r="D719" i="6"/>
  <c r="H490" i="6"/>
  <c r="D137" i="6"/>
  <c r="C634" i="6"/>
  <c r="F555" i="6"/>
  <c r="G804" i="6"/>
  <c r="G599" i="6"/>
  <c r="B15" i="6"/>
  <c r="H49" i="6"/>
  <c r="A421" i="6"/>
  <c r="E434" i="6"/>
  <c r="D792" i="6"/>
  <c r="I578" i="6"/>
  <c r="D350" i="6"/>
  <c r="C578" i="6"/>
  <c r="E135" i="6"/>
  <c r="A841" i="6"/>
  <c r="B350" i="6"/>
  <c r="B442" i="6"/>
  <c r="A324" i="6"/>
  <c r="B364" i="6"/>
  <c r="E281" i="6"/>
  <c r="I191" i="6"/>
  <c r="H9" i="6"/>
  <c r="I430" i="6"/>
  <c r="G939" i="6"/>
  <c r="B259" i="6"/>
  <c r="D694" i="6"/>
  <c r="D467" i="6"/>
  <c r="B963" i="6"/>
  <c r="G137" i="6"/>
  <c r="C9" i="6"/>
  <c r="F331" i="6"/>
  <c r="B701" i="6"/>
  <c r="B163" i="6"/>
  <c r="I79" i="6"/>
  <c r="E811" i="6"/>
  <c r="G429" i="6"/>
  <c r="E327" i="6"/>
  <c r="B460" i="6"/>
  <c r="D305" i="6"/>
  <c r="F76" i="6"/>
  <c r="B582" i="6"/>
  <c r="H109" i="6"/>
  <c r="D843" i="6"/>
  <c r="C561" i="6"/>
  <c r="A166" i="6"/>
  <c r="F620" i="6"/>
  <c r="C1016" i="6"/>
  <c r="A157" i="6"/>
  <c r="I348" i="6"/>
  <c r="D986" i="6"/>
  <c r="G934" i="6"/>
  <c r="I213" i="6"/>
  <c r="D809" i="6"/>
  <c r="B524" i="6"/>
  <c r="E13" i="6"/>
  <c r="I593" i="6"/>
  <c r="I97" i="6"/>
  <c r="A574" i="6"/>
  <c r="B32" i="6"/>
  <c r="B1012" i="6"/>
  <c r="I759" i="6"/>
  <c r="F847" i="6"/>
  <c r="F792" i="6"/>
  <c r="A840" i="6"/>
  <c r="B428" i="6"/>
  <c r="D888" i="6"/>
  <c r="H196" i="6"/>
  <c r="A790" i="6"/>
  <c r="H790" i="6" s="1"/>
  <c r="E188" i="6"/>
  <c r="E223" i="6"/>
  <c r="F637" i="6"/>
  <c r="C237" i="6"/>
  <c r="F234" i="6"/>
  <c r="E35" i="6"/>
  <c r="E644" i="6"/>
  <c r="D513" i="6"/>
  <c r="H728" i="6"/>
  <c r="G579" i="6"/>
  <c r="I984" i="6"/>
  <c r="G671" i="6"/>
  <c r="D593" i="6"/>
  <c r="I160" i="6"/>
  <c r="C850" i="6"/>
  <c r="C1007" i="6"/>
  <c r="H205" i="6"/>
  <c r="E315" i="6"/>
  <c r="C148" i="6"/>
  <c r="B495" i="6"/>
  <c r="F425" i="6"/>
  <c r="F581" i="6"/>
  <c r="D605" i="6"/>
  <c r="D637" i="6"/>
  <c r="H1023" i="6"/>
  <c r="H229" i="6"/>
  <c r="I486" i="6"/>
  <c r="I479" i="6"/>
  <c r="I108" i="6"/>
  <c r="E353" i="6"/>
  <c r="G82" i="6"/>
  <c r="G373" i="6"/>
  <c r="B496" i="6"/>
  <c r="C594" i="6"/>
  <c r="A709" i="6"/>
  <c r="I45" i="6"/>
  <c r="C765" i="6"/>
  <c r="D612" i="6"/>
  <c r="D184" i="6"/>
  <c r="G160" i="6"/>
  <c r="D379" i="6"/>
  <c r="H157" i="6"/>
  <c r="D103" i="6"/>
  <c r="C438" i="6"/>
  <c r="B608" i="6"/>
  <c r="H754" i="6"/>
  <c r="E540" i="6"/>
  <c r="C714" i="6"/>
  <c r="I59" i="6"/>
  <c r="I864" i="6"/>
  <c r="I878" i="6"/>
  <c r="I950" i="6"/>
  <c r="I29" i="6"/>
  <c r="G1004" i="6"/>
  <c r="I376" i="6"/>
  <c r="G861" i="6"/>
  <c r="I762" i="6"/>
  <c r="C244" i="6"/>
  <c r="F667" i="6"/>
  <c r="F818" i="6"/>
  <c r="G993" i="6"/>
  <c r="D494" i="6"/>
  <c r="D963" i="6"/>
  <c r="G77" i="6"/>
  <c r="F175" i="6"/>
  <c r="C932" i="6"/>
  <c r="A1024" i="6"/>
  <c r="D542" i="6"/>
  <c r="H692" i="6"/>
  <c r="H820" i="6"/>
  <c r="C730" i="6"/>
  <c r="F794" i="6"/>
  <c r="G578" i="6"/>
  <c r="F252" i="6"/>
  <c r="F602" i="6"/>
  <c r="F510" i="6"/>
  <c r="G227" i="6"/>
  <c r="D704" i="6"/>
  <c r="D819" i="6"/>
  <c r="E15" i="6"/>
  <c r="B974" i="6"/>
  <c r="I316" i="6"/>
  <c r="C293" i="6"/>
  <c r="H816" i="6"/>
  <c r="H940" i="6"/>
  <c r="F307" i="6"/>
  <c r="D594" i="6"/>
  <c r="F875" i="6"/>
  <c r="D112" i="6"/>
  <c r="B663" i="6"/>
  <c r="H141" i="6"/>
  <c r="F996" i="6"/>
  <c r="B885" i="6"/>
  <c r="D555" i="6"/>
  <c r="C339" i="6"/>
  <c r="D878" i="6"/>
  <c r="I151" i="6"/>
  <c r="E401" i="6"/>
  <c r="G769" i="6"/>
  <c r="C797" i="6"/>
  <c r="G102" i="6"/>
  <c r="H152" i="6"/>
  <c r="E587" i="6"/>
  <c r="H669" i="6"/>
  <c r="F177" i="6"/>
  <c r="D284" i="6"/>
  <c r="G494" i="6"/>
  <c r="B148" i="6"/>
  <c r="A584" i="6"/>
  <c r="F584" i="6" s="1"/>
  <c r="B437" i="6"/>
  <c r="B61" i="6"/>
  <c r="G338" i="6"/>
  <c r="F872" i="6"/>
  <c r="F186" i="6"/>
  <c r="G99" i="6"/>
  <c r="B930" i="6"/>
  <c r="H841" i="6"/>
  <c r="D168" i="6"/>
  <c r="G870" i="6"/>
  <c r="H379" i="6"/>
  <c r="F785" i="6"/>
  <c r="G362" i="6"/>
  <c r="D325" i="6"/>
  <c r="C610" i="6"/>
  <c r="H504" i="6"/>
  <c r="A330" i="6"/>
  <c r="G1002" i="6"/>
  <c r="H83" i="6"/>
  <c r="F888" i="6"/>
  <c r="E63" i="6"/>
  <c r="G829" i="6"/>
  <c r="D562" i="6"/>
  <c r="F469" i="6"/>
  <c r="G166" i="6"/>
  <c r="B470" i="6"/>
  <c r="A815" i="6"/>
  <c r="I912" i="6"/>
  <c r="H780" i="6"/>
  <c r="E886" i="6"/>
  <c r="F780" i="6"/>
  <c r="C327" i="6"/>
  <c r="F247" i="6"/>
  <c r="B68" i="6"/>
  <c r="E699" i="6"/>
  <c r="G350" i="6"/>
  <c r="H368" i="6"/>
  <c r="B454" i="6"/>
  <c r="E518" i="6"/>
  <c r="C982" i="6"/>
  <c r="E431" i="6"/>
  <c r="C967" i="6"/>
  <c r="F868" i="6"/>
  <c r="D170" i="6"/>
  <c r="F671" i="6"/>
  <c r="H681" i="6"/>
  <c r="E307" i="6"/>
  <c r="F908" i="6"/>
  <c r="F729" i="6"/>
  <c r="H997" i="6"/>
  <c r="D89" i="6"/>
  <c r="G982" i="6"/>
  <c r="D760" i="6"/>
  <c r="F24" i="6"/>
  <c r="B100" i="6"/>
  <c r="C962" i="6"/>
  <c r="G276" i="6"/>
  <c r="G479" i="6"/>
  <c r="F625" i="6"/>
  <c r="B801" i="6"/>
  <c r="D107" i="6"/>
  <c r="E1004" i="6"/>
  <c r="B53" i="6"/>
  <c r="I321" i="6"/>
  <c r="H1018" i="6"/>
  <c r="D588" i="6"/>
  <c r="I732" i="6"/>
  <c r="B684" i="6"/>
  <c r="C390" i="6"/>
  <c r="H821" i="6"/>
  <c r="I978" i="6"/>
  <c r="E432" i="6"/>
  <c r="D993" i="6"/>
  <c r="G291" i="6"/>
  <c r="I304" i="6"/>
  <c r="D850" i="6"/>
  <c r="B205" i="6"/>
  <c r="F883" i="6"/>
  <c r="F151" i="6"/>
  <c r="G636" i="6"/>
  <c r="F748" i="6"/>
  <c r="G566" i="6"/>
  <c r="I227" i="6"/>
  <c r="C830" i="6"/>
  <c r="H409" i="6"/>
  <c r="B710" i="6"/>
  <c r="F302" i="6"/>
  <c r="B973" i="6"/>
  <c r="H717" i="6"/>
  <c r="H554" i="6"/>
  <c r="F822" i="6"/>
  <c r="D641" i="6"/>
  <c r="G765" i="6"/>
  <c r="B866" i="6"/>
  <c r="A907" i="6"/>
  <c r="G444" i="6"/>
  <c r="I1021" i="6"/>
  <c r="H397" i="6"/>
  <c r="F777" i="6"/>
  <c r="B480" i="6"/>
  <c r="H586" i="6"/>
  <c r="F837" i="6"/>
  <c r="I109" i="6"/>
  <c r="D327" i="6"/>
  <c r="C980" i="6"/>
  <c r="H985" i="6"/>
  <c r="E70" i="6"/>
  <c r="D994" i="6"/>
  <c r="H580" i="6"/>
  <c r="I776" i="6"/>
  <c r="B251" i="6"/>
  <c r="D63" i="6"/>
  <c r="H242" i="6"/>
  <c r="B612" i="6"/>
  <c r="G828" i="6"/>
  <c r="B141" i="6"/>
  <c r="G1012" i="6"/>
  <c r="D606" i="6"/>
  <c r="F197" i="6"/>
  <c r="H461" i="6"/>
  <c r="G49" i="6"/>
  <c r="C674" i="6"/>
  <c r="H978" i="6"/>
  <c r="D219" i="6"/>
  <c r="I990" i="6"/>
  <c r="D634" i="6"/>
  <c r="I786" i="6"/>
  <c r="H371" i="6"/>
  <c r="E246" i="6"/>
  <c r="I756" i="6"/>
  <c r="E878" i="6"/>
  <c r="B179" i="6"/>
  <c r="B502" i="6"/>
  <c r="B185" i="6"/>
  <c r="C985" i="6"/>
  <c r="F944" i="6"/>
  <c r="B692" i="6"/>
  <c r="F502" i="6"/>
  <c r="G592" i="6"/>
  <c r="H723" i="6"/>
  <c r="G104" i="6"/>
  <c r="F921" i="6"/>
  <c r="C742" i="6"/>
  <c r="E351" i="6"/>
  <c r="H833" i="6"/>
  <c r="E219" i="6"/>
  <c r="E104" i="6"/>
  <c r="B102" i="6"/>
  <c r="B349" i="6"/>
  <c r="E279" i="6"/>
  <c r="E910" i="6"/>
  <c r="D497" i="6"/>
  <c r="F13" i="6"/>
  <c r="G793" i="6"/>
  <c r="G69" i="6"/>
  <c r="G607" i="6"/>
  <c r="I546" i="6"/>
  <c r="C343" i="6"/>
  <c r="I949" i="6"/>
  <c r="C862" i="6"/>
  <c r="B123" i="6"/>
  <c r="F404" i="6"/>
  <c r="D269" i="6"/>
  <c r="I428" i="6"/>
  <c r="B731" i="6"/>
  <c r="I410" i="6"/>
  <c r="H896" i="6"/>
  <c r="G148" i="6"/>
  <c r="D721" i="6"/>
  <c r="A420" i="6"/>
  <c r="H575" i="6"/>
  <c r="H354" i="6"/>
  <c r="H289" i="6"/>
  <c r="E788" i="6"/>
  <c r="H183" i="6"/>
  <c r="H344" i="6"/>
  <c r="G244" i="6"/>
  <c r="C174" i="6"/>
  <c r="G361" i="6"/>
  <c r="C607" i="6"/>
  <c r="H268" i="6"/>
  <c r="E346" i="6"/>
  <c r="F298" i="6"/>
  <c r="D899" i="6"/>
  <c r="D72" i="6"/>
  <c r="F463" i="6"/>
  <c r="B991" i="6"/>
  <c r="F574" i="6"/>
  <c r="B211" i="6"/>
  <c r="H623" i="6"/>
  <c r="H520" i="6"/>
  <c r="E1020" i="6"/>
  <c r="F17" i="6"/>
  <c r="C98" i="6"/>
  <c r="F392" i="6"/>
  <c r="B942" i="6"/>
  <c r="E826" i="6"/>
  <c r="E993" i="6"/>
  <c r="C944" i="6"/>
  <c r="C802" i="6"/>
  <c r="E133" i="6"/>
  <c r="G625" i="6"/>
  <c r="I932" i="6"/>
  <c r="D323" i="6"/>
  <c r="E963" i="6"/>
  <c r="H733" i="6"/>
  <c r="F96" i="6"/>
  <c r="F278" i="6"/>
  <c r="D824" i="6"/>
  <c r="G638" i="6"/>
  <c r="F624" i="6"/>
  <c r="C526" i="6"/>
  <c r="F753" i="6"/>
  <c r="F840" i="6"/>
  <c r="H527" i="6"/>
  <c r="D191" i="6"/>
  <c r="C324" i="6"/>
  <c r="E814" i="6"/>
  <c r="G190" i="6"/>
  <c r="F774" i="6"/>
  <c r="F478" i="6"/>
  <c r="E833" i="6"/>
  <c r="H643" i="6"/>
  <c r="H403" i="6"/>
  <c r="C958" i="6"/>
  <c r="D912" i="6"/>
  <c r="D329" i="6"/>
  <c r="D73" i="6"/>
  <c r="C614" i="6"/>
  <c r="H917" i="6"/>
  <c r="D902" i="6"/>
  <c r="E739" i="6"/>
  <c r="F1022" i="6"/>
  <c r="C374" i="6"/>
  <c r="B709" i="6"/>
  <c r="E817" i="6"/>
  <c r="F887" i="6"/>
  <c r="B11" i="6"/>
  <c r="H48" i="6"/>
  <c r="F276" i="6"/>
  <c r="D890" i="6"/>
  <c r="B449" i="6"/>
  <c r="G441" i="6"/>
  <c r="B172" i="6"/>
  <c r="B261" i="6"/>
  <c r="G637" i="6"/>
  <c r="F957" i="6"/>
  <c r="F11" i="6"/>
  <c r="G171" i="6"/>
  <c r="I168" i="6"/>
  <c r="F378" i="6"/>
  <c r="F654" i="6"/>
  <c r="B955" i="6"/>
  <c r="C432" i="6"/>
  <c r="F357" i="6"/>
  <c r="G785" i="6"/>
  <c r="C389" i="6"/>
  <c r="G563" i="6"/>
  <c r="D856" i="6"/>
  <c r="F363" i="6"/>
  <c r="B997" i="6"/>
  <c r="G922" i="6"/>
  <c r="G962" i="6"/>
  <c r="E145" i="6"/>
  <c r="E755" i="6"/>
  <c r="G380" i="6"/>
  <c r="H325" i="6"/>
  <c r="F814" i="6"/>
  <c r="H929" i="6"/>
  <c r="B475" i="6"/>
  <c r="C984" i="6"/>
  <c r="H383" i="6"/>
  <c r="F538" i="6"/>
  <c r="F771" i="6"/>
  <c r="H51" i="6"/>
  <c r="H57" i="6"/>
  <c r="E69" i="6"/>
  <c r="B285" i="6"/>
  <c r="G182" i="6"/>
  <c r="F484" i="6"/>
  <c r="E1000" i="6"/>
  <c r="G661" i="6"/>
  <c r="G998" i="6"/>
  <c r="C669" i="6"/>
  <c r="C232" i="6"/>
  <c r="F458" i="6"/>
  <c r="B697" i="6"/>
  <c r="G790" i="6"/>
  <c r="H192" i="6"/>
  <c r="B17" i="6"/>
  <c r="G712" i="6"/>
  <c r="D229" i="6"/>
  <c r="I507" i="6"/>
  <c r="D822" i="6"/>
  <c r="H680" i="6"/>
  <c r="H396" i="6"/>
  <c r="C365" i="6"/>
  <c r="H831" i="6"/>
  <c r="D714" i="6"/>
  <c r="H791" i="6"/>
  <c r="C836" i="6"/>
  <c r="B888" i="6"/>
  <c r="E860" i="6"/>
  <c r="D455" i="6"/>
  <c r="D346" i="6"/>
  <c r="H677" i="6"/>
  <c r="H613" i="6"/>
  <c r="G420" i="6"/>
  <c r="G412" i="6"/>
  <c r="D520" i="6"/>
  <c r="E600" i="6"/>
  <c r="G36" i="6"/>
  <c r="H207" i="6"/>
  <c r="D75" i="6"/>
  <c r="F93" i="6"/>
  <c r="H155" i="6"/>
  <c r="B171" i="6"/>
  <c r="F890" i="6"/>
  <c r="B375" i="6"/>
  <c r="C350" i="6"/>
  <c r="G771" i="6"/>
  <c r="D980" i="6"/>
  <c r="F194" i="6"/>
  <c r="I173" i="6"/>
  <c r="B968" i="6"/>
  <c r="E426" i="6"/>
  <c r="F562" i="6"/>
  <c r="F616" i="6"/>
  <c r="E61" i="6"/>
  <c r="E877" i="6"/>
  <c r="E724" i="6"/>
  <c r="C772" i="6"/>
  <c r="F207" i="6"/>
  <c r="B207" i="6"/>
  <c r="D534" i="6"/>
  <c r="H23" i="6"/>
  <c r="D854" i="6"/>
  <c r="G883" i="6"/>
  <c r="G247" i="6"/>
  <c r="E475" i="6"/>
  <c r="H223" i="6"/>
  <c r="H990" i="6"/>
  <c r="F816" i="6"/>
  <c r="C785" i="6"/>
  <c r="C1001" i="6"/>
  <c r="E616" i="6"/>
  <c r="G232" i="6"/>
  <c r="H50" i="6"/>
  <c r="B979" i="6"/>
  <c r="B784" i="6"/>
  <c r="G3" i="6"/>
  <c r="B128" i="6"/>
  <c r="C512" i="6"/>
  <c r="H508" i="6"/>
  <c r="H245" i="6"/>
  <c r="H533" i="6"/>
  <c r="H364" i="6"/>
  <c r="E897" i="6"/>
  <c r="F619" i="6"/>
  <c r="C451" i="6"/>
  <c r="D146" i="6"/>
  <c r="H593" i="6"/>
  <c r="H380" i="6"/>
  <c r="D501" i="6"/>
  <c r="H94" i="6"/>
  <c r="H262" i="6"/>
  <c r="H945" i="6"/>
  <c r="G877" i="6"/>
  <c r="C341" i="6"/>
  <c r="E272" i="6"/>
  <c r="B371" i="6"/>
  <c r="G81" i="6"/>
  <c r="F277" i="6"/>
  <c r="C718" i="6"/>
  <c r="E975" i="6"/>
  <c r="E347" i="6"/>
  <c r="H472" i="6"/>
  <c r="D522" i="6"/>
  <c r="C207" i="6"/>
  <c r="E935" i="6"/>
  <c r="B574" i="6"/>
  <c r="G992" i="6"/>
  <c r="F789" i="6"/>
  <c r="G677" i="6"/>
  <c r="H84" i="6"/>
  <c r="C703" i="6"/>
  <c r="C931" i="6"/>
  <c r="G79" i="6"/>
  <c r="H319" i="6"/>
  <c r="F449" i="6"/>
  <c r="H915" i="6"/>
  <c r="H198" i="6"/>
  <c r="G223" i="6"/>
  <c r="B469" i="6"/>
  <c r="D421" i="6"/>
  <c r="F967" i="6"/>
  <c r="E504" i="6"/>
  <c r="H809" i="6"/>
  <c r="G645" i="6"/>
  <c r="C646" i="6"/>
  <c r="H431" i="6"/>
  <c r="C208" i="6"/>
  <c r="E11" i="6"/>
  <c r="G5" i="6"/>
  <c r="H139" i="6"/>
  <c r="F92" i="6"/>
  <c r="E845" i="6"/>
  <c r="E293" i="6"/>
  <c r="H989" i="6"/>
  <c r="E305" i="6"/>
  <c r="H172" i="6"/>
  <c r="D876" i="6"/>
  <c r="H501" i="6"/>
  <c r="G972" i="6"/>
  <c r="D257" i="6"/>
  <c r="D106" i="6"/>
  <c r="B1004" i="6"/>
  <c r="F951" i="6"/>
  <c r="H45" i="6"/>
  <c r="D771" i="6"/>
  <c r="F124" i="6"/>
  <c r="E376" i="6"/>
  <c r="G224" i="6"/>
  <c r="E302" i="6"/>
  <c r="D767" i="6"/>
  <c r="B361" i="6"/>
  <c r="B59" i="6"/>
  <c r="D492" i="6"/>
  <c r="B796" i="6"/>
  <c r="B203" i="6"/>
  <c r="D52" i="6"/>
  <c r="G640" i="6"/>
  <c r="G34" i="6"/>
  <c r="H505" i="6"/>
  <c r="H260" i="6"/>
  <c r="B247" i="6"/>
  <c r="D627" i="6"/>
  <c r="B706" i="6"/>
  <c r="F389" i="6"/>
  <c r="G938" i="6"/>
  <c r="G83" i="6"/>
  <c r="E437" i="6"/>
  <c r="F836" i="6"/>
  <c r="G51" i="6"/>
  <c r="I258" i="6"/>
  <c r="G555" i="6"/>
  <c r="D949" i="6"/>
  <c r="G210" i="6"/>
  <c r="G57" i="6"/>
  <c r="G902" i="6"/>
  <c r="G734" i="6"/>
  <c r="H800" i="6"/>
  <c r="E922" i="6"/>
  <c r="E217" i="6"/>
  <c r="B109" i="6"/>
  <c r="E930" i="6"/>
  <c r="D25" i="6"/>
  <c r="D109" i="6"/>
  <c r="D840" i="6"/>
  <c r="C828" i="6"/>
  <c r="G352" i="6"/>
  <c r="G242" i="6"/>
  <c r="H993" i="6"/>
  <c r="H808" i="6"/>
  <c r="E954" i="6"/>
  <c r="H675" i="6"/>
  <c r="C284" i="6"/>
  <c r="D293" i="6"/>
  <c r="C815" i="6"/>
  <c r="F521" i="6"/>
  <c r="B60" i="6"/>
  <c r="G818" i="6"/>
  <c r="E41" i="6"/>
  <c r="F776" i="6"/>
  <c r="H631" i="6"/>
  <c r="F752" i="6"/>
  <c r="D971" i="6"/>
  <c r="F928" i="6"/>
  <c r="G687" i="6"/>
  <c r="B880" i="6"/>
  <c r="E907" i="6"/>
  <c r="B613" i="6"/>
  <c r="B843" i="6"/>
  <c r="H161" i="6"/>
  <c r="E574" i="6"/>
  <c r="B278" i="6"/>
  <c r="E349" i="6"/>
  <c r="B432" i="6"/>
  <c r="H935" i="6"/>
  <c r="D210" i="6"/>
  <c r="H222" i="6"/>
  <c r="F767" i="6"/>
  <c r="B899" i="6"/>
  <c r="G19" i="6"/>
  <c r="C658" i="6"/>
  <c r="D14" i="6"/>
  <c r="H588" i="6"/>
  <c r="H709" i="6"/>
  <c r="E31" i="6"/>
  <c r="F453" i="6"/>
  <c r="B233" i="6"/>
  <c r="C123" i="6"/>
  <c r="B826" i="6"/>
  <c r="F460" i="6"/>
  <c r="C308" i="6"/>
  <c r="H553" i="6"/>
  <c r="D69" i="6"/>
  <c r="H893" i="6"/>
  <c r="F75" i="6"/>
  <c r="H650" i="6"/>
  <c r="G669" i="6"/>
  <c r="F1001" i="6"/>
  <c r="D787" i="6"/>
  <c r="E825" i="6"/>
  <c r="B121" i="6"/>
  <c r="G776" i="6"/>
  <c r="B978" i="6"/>
  <c r="D976" i="6"/>
  <c r="C4" i="6"/>
  <c r="E415" i="6"/>
  <c r="H169" i="6"/>
  <c r="B381" i="6"/>
  <c r="E56" i="6"/>
  <c r="D685" i="6"/>
  <c r="C271" i="6"/>
  <c r="H53" i="6"/>
  <c r="H547" i="6"/>
  <c r="F180" i="6"/>
  <c r="E717" i="6"/>
  <c r="F834" i="6"/>
  <c r="G860" i="6"/>
  <c r="F25" i="6"/>
  <c r="H523" i="6"/>
  <c r="H162" i="6"/>
  <c r="C81" i="6"/>
  <c r="G814" i="6"/>
  <c r="H892" i="6"/>
  <c r="H537" i="6"/>
  <c r="G866" i="6"/>
  <c r="B178" i="6"/>
  <c r="E314" i="6"/>
  <c r="G846" i="6"/>
  <c r="G959" i="6"/>
  <c r="H494" i="6"/>
  <c r="B912" i="6"/>
  <c r="F592" i="6"/>
  <c r="F965" i="6"/>
  <c r="B408" i="6"/>
  <c r="H334" i="6"/>
  <c r="F652" i="6"/>
  <c r="H852" i="6"/>
  <c r="D463" i="6"/>
  <c r="D865" i="6"/>
  <c r="F217" i="6"/>
  <c r="B733" i="6"/>
  <c r="F867" i="6"/>
  <c r="E207" i="6"/>
  <c r="D283" i="6"/>
  <c r="F178" i="6"/>
  <c r="B606" i="6"/>
  <c r="H440" i="6"/>
  <c r="D353" i="6"/>
  <c r="D615" i="6"/>
  <c r="C782" i="6"/>
  <c r="H173" i="6"/>
  <c r="E344" i="6"/>
  <c r="G20" i="6"/>
  <c r="D586" i="6"/>
  <c r="B458" i="6"/>
  <c r="B110" i="6"/>
  <c r="F441" i="6"/>
  <c r="G107" i="6"/>
  <c r="C909" i="6"/>
  <c r="G443" i="6"/>
  <c r="D572" i="6"/>
  <c r="D404" i="6"/>
  <c r="G161" i="6"/>
  <c r="B308" i="6"/>
  <c r="B970" i="6"/>
  <c r="F815" i="6"/>
  <c r="G127" i="6"/>
  <c r="D217" i="6"/>
  <c r="G277" i="6"/>
  <c r="B682" i="6"/>
  <c r="H644" i="6"/>
  <c r="H768" i="6"/>
  <c r="F439" i="6"/>
  <c r="H950" i="6"/>
  <c r="B918" i="6"/>
  <c r="D680" i="6"/>
  <c r="E737" i="6"/>
  <c r="B226" i="6"/>
  <c r="D509" i="6"/>
  <c r="C919" i="6"/>
  <c r="G143" i="6"/>
  <c r="H206" i="6"/>
  <c r="F262" i="6"/>
  <c r="C139" i="6"/>
  <c r="D779" i="6"/>
  <c r="D547" i="6"/>
  <c r="E124" i="6"/>
  <c r="G304" i="6"/>
  <c r="B569" i="6"/>
  <c r="F643" i="6"/>
  <c r="G697" i="6"/>
  <c r="D663" i="6"/>
  <c r="D973" i="6"/>
  <c r="H938" i="6"/>
  <c r="B33" i="6"/>
  <c r="H195" i="6"/>
  <c r="G874" i="6"/>
  <c r="H82" i="6"/>
  <c r="H891" i="6"/>
  <c r="B698" i="6"/>
  <c r="H475" i="6"/>
  <c r="E57" i="6"/>
  <c r="G715" i="6"/>
  <c r="F999" i="6"/>
  <c r="C604" i="6"/>
  <c r="D169" i="6"/>
  <c r="B174" i="6"/>
  <c r="C907" i="6"/>
  <c r="D370" i="6"/>
  <c r="C317" i="6"/>
  <c r="F786" i="6"/>
  <c r="E510" i="6"/>
  <c r="H486" i="6"/>
  <c r="B289" i="6"/>
  <c r="H174" i="6"/>
  <c r="C46" i="6"/>
  <c r="C676" i="6"/>
  <c r="D894" i="6"/>
  <c r="E906" i="6"/>
  <c r="H375" i="6"/>
  <c r="G87" i="6"/>
  <c r="F1011" i="6"/>
  <c r="E786" i="6"/>
  <c r="E607" i="6"/>
  <c r="E509" i="6"/>
  <c r="B443" i="6"/>
  <c r="B716" i="6"/>
  <c r="C846" i="6"/>
  <c r="G622" i="6"/>
  <c r="E1010" i="6"/>
  <c r="B626" i="6"/>
  <c r="C337" i="6"/>
  <c r="B677" i="6"/>
  <c r="G786" i="6"/>
  <c r="G676" i="6"/>
  <c r="B431" i="6"/>
  <c r="H522" i="6"/>
  <c r="F350" i="6"/>
  <c r="C790" i="6"/>
  <c r="B919" i="6"/>
  <c r="E210" i="6"/>
  <c r="D677" i="6"/>
  <c r="E192" i="6"/>
  <c r="H254" i="6"/>
  <c r="E506" i="6"/>
  <c r="F841" i="6"/>
  <c r="H1010" i="6"/>
  <c r="E633" i="6"/>
  <c r="B352" i="6"/>
  <c r="E835" i="6"/>
  <c r="D796" i="6"/>
  <c r="F464" i="6"/>
  <c r="D958" i="6"/>
  <c r="C114" i="6"/>
  <c r="F614" i="6"/>
  <c r="E256" i="6"/>
  <c r="H256" i="6"/>
  <c r="B4" i="6"/>
  <c r="F958" i="6"/>
  <c r="E873" i="6"/>
  <c r="D700" i="6"/>
  <c r="B139" i="6"/>
  <c r="B37" i="6"/>
  <c r="E1002" i="6"/>
  <c r="E366" i="6"/>
  <c r="B58" i="6"/>
  <c r="D29" i="6"/>
  <c r="E622" i="6"/>
  <c r="E659" i="6"/>
  <c r="E1022" i="6"/>
  <c r="E772" i="6"/>
  <c r="H303" i="6"/>
  <c r="F539" i="6"/>
  <c r="H715" i="6"/>
  <c r="F902" i="6"/>
  <c r="B19" i="6"/>
  <c r="E460" i="6"/>
  <c r="B790" i="6"/>
  <c r="G727" i="6"/>
  <c r="F590" i="6"/>
  <c r="H147" i="6"/>
  <c r="B877" i="6"/>
  <c r="H1017" i="6"/>
  <c r="E466" i="6"/>
  <c r="G360" i="6"/>
  <c r="H868" i="6"/>
  <c r="H747" i="6"/>
  <c r="E9" i="6"/>
  <c r="G581" i="6"/>
  <c r="G590" i="6"/>
  <c r="E22" i="6"/>
  <c r="E206" i="6"/>
  <c r="F757" i="6"/>
  <c r="E263" i="6"/>
  <c r="F727" i="6"/>
  <c r="E902" i="6"/>
  <c r="G888" i="6"/>
  <c r="H101" i="6"/>
  <c r="G875" i="6"/>
  <c r="F377" i="6"/>
  <c r="G263" i="6"/>
  <c r="I537" i="6"/>
  <c r="I860" i="6"/>
  <c r="G656" i="6"/>
  <c r="H755" i="6"/>
  <c r="D978" i="6"/>
  <c r="D242" i="6"/>
  <c r="F212" i="6"/>
  <c r="E178" i="6"/>
  <c r="B876" i="6"/>
  <c r="C537" i="6"/>
  <c r="C86" i="6"/>
  <c r="G406" i="6"/>
  <c r="C234" i="6"/>
  <c r="H797" i="6"/>
  <c r="A150" i="6"/>
  <c r="F477" i="6"/>
  <c r="H306" i="6"/>
  <c r="E259" i="6"/>
  <c r="F810" i="6"/>
  <c r="G1025" i="6"/>
  <c r="B940" i="6"/>
  <c r="E257" i="6"/>
  <c r="B738" i="6"/>
  <c r="G504" i="6"/>
  <c r="F292" i="6"/>
  <c r="B373" i="6"/>
  <c r="H251" i="6"/>
  <c r="B596" i="6"/>
  <c r="F1023" i="6"/>
  <c r="H777" i="6"/>
  <c r="B280" i="6"/>
  <c r="D380" i="6"/>
  <c r="G742" i="6"/>
  <c r="G442" i="6"/>
  <c r="D711" i="6"/>
  <c r="E492" i="6"/>
  <c r="B623" i="6"/>
  <c r="D44" i="6"/>
  <c r="G999" i="6"/>
  <c r="D1022" i="6"/>
  <c r="D181" i="6"/>
  <c r="H577" i="6"/>
  <c r="C102" i="6"/>
  <c r="E837" i="6"/>
  <c r="F770" i="6"/>
  <c r="B421" i="6"/>
  <c r="H73" i="6"/>
  <c r="G97" i="6"/>
  <c r="D128" i="6"/>
  <c r="H646" i="6"/>
  <c r="F405" i="6"/>
  <c r="H781" i="6"/>
  <c r="G371" i="6"/>
  <c r="E852" i="6"/>
  <c r="G973" i="6"/>
  <c r="F736" i="6"/>
  <c r="D791" i="6"/>
  <c r="G916" i="6"/>
  <c r="G358" i="6"/>
  <c r="G254" i="6"/>
  <c r="G1011" i="6"/>
  <c r="F26" i="6"/>
  <c r="A200" i="6"/>
  <c r="F648" i="6"/>
  <c r="H214" i="6"/>
  <c r="F470" i="6"/>
  <c r="F758" i="6"/>
  <c r="F744" i="6"/>
  <c r="E637" i="6"/>
  <c r="E449" i="6"/>
  <c r="F591" i="6"/>
  <c r="H446" i="6"/>
  <c r="D233" i="6"/>
  <c r="F34" i="6"/>
  <c r="D559" i="6"/>
  <c r="C816" i="6"/>
  <c r="F303" i="6"/>
  <c r="E823" i="6"/>
  <c r="G404" i="6"/>
  <c r="G6" i="6"/>
  <c r="B629" i="6"/>
  <c r="B1016" i="6"/>
  <c r="D911" i="6"/>
  <c r="G108" i="6"/>
  <c r="E503" i="6"/>
  <c r="G466" i="6"/>
  <c r="B690" i="6"/>
  <c r="D495" i="6"/>
  <c r="B633" i="6"/>
  <c r="F70" i="6"/>
  <c r="H843" i="6"/>
  <c r="E138" i="6"/>
  <c r="E956" i="6"/>
  <c r="H66" i="6"/>
  <c r="F846" i="6"/>
  <c r="H483" i="6"/>
  <c r="E996" i="6"/>
  <c r="C288" i="6"/>
  <c r="C585" i="6"/>
  <c r="F635" i="6"/>
  <c r="I400" i="6"/>
  <c r="D337" i="6"/>
  <c r="E716" i="6"/>
  <c r="B49" i="6"/>
  <c r="F422" i="6"/>
  <c r="D356" i="6"/>
  <c r="D862" i="6"/>
  <c r="F312" i="6"/>
  <c r="F939" i="6"/>
  <c r="B557" i="6"/>
  <c r="C899" i="6"/>
  <c r="G840" i="6"/>
  <c r="I139" i="6"/>
  <c r="C21" i="6"/>
  <c r="E244" i="6"/>
  <c r="E261" i="6"/>
  <c r="F113" i="6"/>
  <c r="F634" i="6"/>
  <c r="F912" i="6"/>
  <c r="F274" i="6"/>
  <c r="E913" i="6"/>
  <c r="B292" i="6"/>
  <c r="C952" i="6"/>
  <c r="H624" i="6"/>
  <c r="D931" i="6"/>
  <c r="B687" i="6"/>
  <c r="F319" i="6"/>
  <c r="E273" i="6"/>
  <c r="D733" i="6"/>
  <c r="B831" i="6"/>
  <c r="E296" i="6"/>
  <c r="C773" i="6"/>
  <c r="E140" i="6"/>
  <c r="H439" i="6"/>
  <c r="E427" i="6"/>
  <c r="D518" i="6"/>
  <c r="D665" i="6"/>
  <c r="H845" i="6"/>
  <c r="G520" i="6"/>
  <c r="B653" i="6"/>
  <c r="F444" i="6"/>
  <c r="G463" i="6"/>
  <c r="C274" i="6"/>
  <c r="B516" i="6"/>
  <c r="C955" i="6"/>
  <c r="H163" i="6"/>
  <c r="F715" i="6"/>
  <c r="H594" i="6"/>
  <c r="H734" i="6"/>
  <c r="H901" i="6"/>
  <c r="E175" i="6"/>
  <c r="D315" i="6"/>
  <c r="G233" i="6"/>
  <c r="G21" i="6"/>
  <c r="H521" i="6"/>
  <c r="E933" i="6"/>
  <c r="E599" i="6"/>
  <c r="E92" i="6"/>
  <c r="B770" i="6"/>
  <c r="F249" i="6"/>
  <c r="D389" i="6"/>
  <c r="F358" i="6"/>
  <c r="F697" i="6"/>
  <c r="H688" i="6"/>
  <c r="E165" i="6"/>
  <c r="H721" i="6"/>
  <c r="F537" i="6"/>
  <c r="H992" i="6"/>
  <c r="G490" i="6"/>
  <c r="D773" i="6"/>
  <c r="H133" i="6"/>
  <c r="B117" i="6"/>
  <c r="B944" i="6"/>
  <c r="H164" i="6"/>
  <c r="F308" i="6"/>
  <c r="C571" i="6"/>
  <c r="H17" i="6"/>
  <c r="D832" i="6"/>
  <c r="C756" i="6"/>
  <c r="H89" i="6"/>
  <c r="D829" i="6"/>
  <c r="G876" i="6"/>
  <c r="E489" i="6"/>
  <c r="D83" i="6"/>
  <c r="B63" i="6"/>
  <c r="B169" i="6"/>
  <c r="I596" i="6"/>
  <c r="I1012" i="6"/>
  <c r="E535" i="6"/>
  <c r="H641" i="6"/>
  <c r="G467" i="6"/>
  <c r="G688" i="6"/>
  <c r="E264" i="6"/>
  <c r="E127" i="6"/>
  <c r="D770" i="6"/>
  <c r="G651" i="6"/>
  <c r="G593" i="6"/>
  <c r="B934" i="6"/>
  <c r="F424" i="6"/>
  <c r="G813" i="6"/>
  <c r="C1022" i="6"/>
  <c r="F678" i="6"/>
  <c r="B326" i="6"/>
  <c r="G349" i="6"/>
  <c r="D755" i="6"/>
  <c r="F798" i="6"/>
  <c r="F514" i="6"/>
  <c r="F916" i="6"/>
  <c r="C911" i="6"/>
  <c r="B761" i="6"/>
  <c r="H538" i="6"/>
  <c r="D164" i="6"/>
  <c r="G684" i="6"/>
  <c r="G63" i="6"/>
  <c r="F198" i="6"/>
  <c r="F1002" i="6"/>
  <c r="E555" i="6"/>
  <c r="E456" i="6"/>
  <c r="F32" i="6"/>
  <c r="E768" i="6"/>
  <c r="D684" i="6"/>
  <c r="B720" i="6"/>
  <c r="E241" i="6"/>
  <c r="E586" i="6"/>
  <c r="C656" i="6"/>
  <c r="F544" i="6"/>
  <c r="H21" i="6"/>
  <c r="G623" i="6"/>
  <c r="C771" i="6"/>
  <c r="H298" i="6"/>
  <c r="G927" i="6"/>
  <c r="E369" i="6"/>
  <c r="C219" i="6"/>
  <c r="H340" i="6"/>
  <c r="D274" i="6"/>
  <c r="H557" i="6"/>
  <c r="H830" i="6"/>
  <c r="H275" i="6"/>
  <c r="B741" i="6"/>
  <c r="G857" i="6"/>
  <c r="H694" i="6"/>
  <c r="G812" i="6"/>
  <c r="H330" i="6"/>
  <c r="G294" i="6"/>
  <c r="D676" i="6"/>
  <c r="G288" i="6"/>
  <c r="H572" i="6"/>
  <c r="D276" i="6"/>
  <c r="C93" i="6"/>
  <c r="C711" i="6"/>
  <c r="B303" i="6"/>
  <c r="E581" i="6"/>
  <c r="G994" i="6"/>
  <c r="H649" i="6"/>
  <c r="G42" i="6"/>
  <c r="H948" i="6"/>
  <c r="F337" i="6"/>
  <c r="F974" i="6"/>
  <c r="G255" i="6"/>
  <c r="F376" i="6"/>
  <c r="C393" i="6"/>
  <c r="C428" i="6"/>
  <c r="D99" i="6"/>
  <c r="G820" i="6"/>
  <c r="H531" i="6"/>
  <c r="F632" i="6"/>
  <c r="B129" i="6"/>
  <c r="D414" i="6"/>
  <c r="F920" i="6"/>
  <c r="H88" i="6"/>
  <c r="G292" i="6"/>
  <c r="C637" i="6"/>
  <c r="H654" i="6"/>
  <c r="H828" i="6"/>
  <c r="H96" i="6"/>
  <c r="C606" i="6"/>
  <c r="B487" i="6"/>
  <c r="I642" i="6"/>
  <c r="G390" i="6"/>
  <c r="H620" i="6"/>
  <c r="C549" i="6"/>
  <c r="D1005" i="6"/>
  <c r="F230" i="6"/>
  <c r="C887" i="6"/>
  <c r="C446" i="6"/>
  <c r="C82" i="6"/>
  <c r="G181" i="6"/>
  <c r="D654" i="6"/>
  <c r="H1005" i="6"/>
  <c r="C675" i="6"/>
  <c r="F139" i="6"/>
  <c r="H700" i="6"/>
  <c r="H911" i="6"/>
  <c r="H633" i="6"/>
  <c r="E895" i="6"/>
  <c r="B767" i="6"/>
  <c r="F712" i="6"/>
  <c r="E585" i="6"/>
  <c r="G571" i="6"/>
  <c r="C613" i="6"/>
  <c r="G733" i="6"/>
  <c r="B558" i="6"/>
  <c r="F949" i="6"/>
  <c r="G218" i="6"/>
  <c r="F339" i="6"/>
  <c r="E14" i="6"/>
  <c r="B290" i="6"/>
  <c r="D617" i="6"/>
  <c r="F219" i="6"/>
  <c r="G257" i="6"/>
  <c r="D145" i="6"/>
  <c r="C682" i="6"/>
  <c r="H574" i="6"/>
  <c r="H794" i="6"/>
  <c r="B845" i="6"/>
  <c r="F861" i="6"/>
  <c r="C622" i="6"/>
  <c r="H420" i="6"/>
  <c r="G541" i="6"/>
  <c r="F545" i="6"/>
  <c r="E357" i="6"/>
  <c r="E685" i="6"/>
  <c r="C915" i="6"/>
  <c r="E684" i="6"/>
  <c r="B523" i="6"/>
  <c r="F971" i="6"/>
  <c r="G867" i="6"/>
  <c r="F291" i="6"/>
  <c r="E769" i="6"/>
  <c r="H906" i="6"/>
  <c r="C577" i="6"/>
  <c r="F925" i="6"/>
  <c r="C883" i="6"/>
  <c r="D957" i="6"/>
  <c r="G948" i="6"/>
  <c r="E51" i="6"/>
  <c r="G713" i="6"/>
  <c r="F131" i="6"/>
  <c r="I116" i="6"/>
  <c r="D825" i="6"/>
  <c r="F476" i="6"/>
  <c r="D516" i="6"/>
  <c r="F261" i="6"/>
  <c r="D194" i="6"/>
  <c r="H324" i="6"/>
  <c r="D1009" i="6"/>
  <c r="H710" i="6"/>
  <c r="C13" i="6"/>
  <c r="B607" i="6"/>
  <c r="D614" i="6"/>
  <c r="E354" i="6"/>
  <c r="F417" i="6"/>
  <c r="C710" i="6"/>
  <c r="C160" i="6"/>
  <c r="E498" i="6"/>
  <c r="C485" i="6"/>
  <c r="H418" i="6"/>
  <c r="D538" i="6"/>
  <c r="B873" i="6"/>
  <c r="H673" i="6"/>
  <c r="E237" i="6"/>
  <c r="G613" i="6"/>
  <c r="F386" i="6"/>
  <c r="F268" i="6"/>
  <c r="G619" i="6"/>
  <c r="E799" i="6"/>
  <c r="D847" i="6"/>
  <c r="H29" i="6"/>
  <c r="F831" i="6"/>
  <c r="B675" i="6"/>
  <c r="G648" i="6"/>
  <c r="B976" i="6"/>
  <c r="D607" i="6"/>
  <c r="D183" i="6"/>
  <c r="F1021" i="6"/>
  <c r="E34" i="6"/>
  <c r="E268" i="6"/>
  <c r="H389" i="6"/>
  <c r="E794" i="6"/>
  <c r="C660" i="6"/>
  <c r="F340" i="6"/>
  <c r="D841" i="6"/>
  <c r="G668" i="6"/>
  <c r="D623" i="6"/>
  <c r="H742" i="6"/>
  <c r="F54" i="6"/>
  <c r="G580" i="6"/>
  <c r="B243" i="6"/>
  <c r="G1000" i="6"/>
  <c r="H532" i="6"/>
  <c r="B577" i="6"/>
  <c r="C44" i="6"/>
  <c r="B630" i="6"/>
  <c r="F133" i="6"/>
  <c r="G614" i="6"/>
  <c r="F459" i="6"/>
  <c r="H774" i="6"/>
  <c r="E379" i="6"/>
  <c r="F606" i="6"/>
  <c r="E468" i="6"/>
  <c r="E912" i="6"/>
  <c r="F701" i="6"/>
  <c r="G37" i="6"/>
  <c r="C138" i="6"/>
  <c r="G747" i="6"/>
  <c r="E687" i="6"/>
  <c r="G90" i="6"/>
  <c r="G957" i="6"/>
  <c r="D471" i="6"/>
  <c r="C42" i="6"/>
  <c r="D962" i="6"/>
  <c r="C240" i="6"/>
  <c r="C633" i="6"/>
  <c r="F542" i="6"/>
  <c r="D905" i="6"/>
  <c r="F12" i="6"/>
  <c r="D316" i="6"/>
  <c r="C914" i="6"/>
  <c r="B857" i="6"/>
  <c r="H609" i="6"/>
  <c r="C47" i="6"/>
  <c r="F171" i="6"/>
  <c r="C983" i="6"/>
  <c r="G472" i="6"/>
  <c r="B197" i="6"/>
  <c r="B655" i="6"/>
  <c r="H775" i="6"/>
  <c r="B194" i="6"/>
  <c r="B669" i="6"/>
  <c r="C903" i="6"/>
  <c r="F618" i="6"/>
  <c r="F200" i="6"/>
  <c r="C79" i="6"/>
  <c r="D326" i="6"/>
  <c r="D666" i="6"/>
  <c r="F128" i="6"/>
  <c r="C553" i="6"/>
  <c r="C192" i="6"/>
  <c r="B803" i="6"/>
  <c r="H274" i="6"/>
  <c r="D683" i="6"/>
  <c r="G794" i="6"/>
  <c r="B616" i="6"/>
  <c r="E789" i="6"/>
  <c r="B762" i="6"/>
  <c r="D310" i="6"/>
  <c r="C933" i="6"/>
  <c r="B960" i="6"/>
  <c r="D880" i="6"/>
  <c r="H941" i="6"/>
  <c r="C370" i="6"/>
  <c r="E661" i="6"/>
  <c r="H630" i="6"/>
  <c r="H614" i="6"/>
  <c r="B589" i="6"/>
  <c r="H958" i="6"/>
  <c r="F501" i="6"/>
  <c r="E733" i="6"/>
  <c r="H230" i="6"/>
  <c r="E649" i="6"/>
  <c r="G658" i="6"/>
  <c r="F84" i="6"/>
  <c r="G553" i="6"/>
  <c r="E982" i="6"/>
  <c r="C567" i="6"/>
  <c r="H730" i="6"/>
  <c r="C1000" i="6"/>
  <c r="H648" i="6"/>
  <c r="C63" i="6"/>
  <c r="F527" i="6"/>
  <c r="D280" i="6"/>
  <c r="H118" i="6"/>
  <c r="G662" i="6"/>
  <c r="F605" i="6"/>
  <c r="B177" i="6"/>
  <c r="F576" i="6"/>
  <c r="C1005" i="6"/>
  <c r="H327" i="6"/>
  <c r="H974" i="6"/>
  <c r="H170" i="6"/>
  <c r="B894" i="6"/>
  <c r="G299" i="6"/>
  <c r="D877" i="6"/>
  <c r="G650" i="6"/>
  <c r="C314" i="6"/>
  <c r="G76" i="6"/>
  <c r="H550" i="6"/>
  <c r="C518" i="6"/>
  <c r="H442" i="6"/>
  <c r="G386" i="6"/>
  <c r="G984" i="6"/>
  <c r="F475" i="6"/>
  <c r="D286" i="6"/>
  <c r="B909" i="6"/>
  <c r="C146" i="6"/>
  <c r="G788" i="6"/>
  <c r="H378" i="6"/>
  <c r="H706" i="6"/>
  <c r="D891" i="6"/>
  <c r="F98" i="6"/>
  <c r="F466" i="6"/>
  <c r="G548" i="6"/>
  <c r="H612" i="6"/>
  <c r="G810" i="6"/>
  <c r="G584" i="6"/>
  <c r="G308" i="6"/>
  <c r="B566" i="6"/>
  <c r="F1024" i="6"/>
  <c r="G213" i="6"/>
  <c r="D585" i="6"/>
  <c r="C411" i="6"/>
  <c r="E919" i="6"/>
  <c r="F587" i="6"/>
  <c r="B356" i="6"/>
  <c r="G851" i="6"/>
  <c r="G98" i="6"/>
  <c r="B904" i="6"/>
  <c r="G382" i="6"/>
  <c r="F360" i="6"/>
  <c r="G510" i="6"/>
  <c r="G118" i="6"/>
  <c r="F854" i="6"/>
  <c r="D887" i="6"/>
  <c r="H471" i="6"/>
  <c r="D58" i="6"/>
  <c r="H559" i="6"/>
  <c r="D437" i="6"/>
  <c r="B140" i="6"/>
  <c r="G989" i="6"/>
  <c r="B810" i="6"/>
  <c r="G197" i="6"/>
  <c r="B275" i="6"/>
  <c r="H287" i="6"/>
  <c r="G363" i="6"/>
  <c r="H758" i="6"/>
  <c r="E447" i="6"/>
  <c r="G484" i="6"/>
  <c r="G701" i="6"/>
  <c r="G339" i="6"/>
  <c r="H150" i="6"/>
  <c r="H785" i="6"/>
  <c r="D118" i="6"/>
  <c r="H43" i="6"/>
  <c r="B999" i="6"/>
  <c r="B905" i="6"/>
  <c r="F651" i="6"/>
  <c r="H969" i="6"/>
  <c r="F1014" i="6"/>
  <c r="G839" i="6"/>
  <c r="B539" i="6"/>
  <c r="D161" i="6"/>
  <c r="B511" i="6"/>
  <c r="C329" i="6"/>
  <c r="E901" i="6"/>
  <c r="D256" i="6"/>
  <c r="E723" i="6"/>
  <c r="D647" i="6"/>
  <c r="D61" i="6"/>
  <c r="F257" i="6"/>
  <c r="G1021" i="6"/>
  <c r="E381" i="6"/>
  <c r="B435" i="6"/>
  <c r="D835" i="6"/>
  <c r="G850" i="6"/>
  <c r="G805" i="6"/>
  <c r="C386" i="6"/>
  <c r="E355" i="6"/>
  <c r="B752" i="6"/>
  <c r="G54" i="6"/>
  <c r="B751" i="6"/>
  <c r="F946" i="6"/>
  <c r="G465" i="6"/>
  <c r="H657" i="6"/>
  <c r="G569" i="6"/>
  <c r="B657" i="6"/>
  <c r="F120" i="6"/>
  <c r="E451" i="6"/>
  <c r="F354" i="6"/>
  <c r="C661" i="6"/>
  <c r="D321" i="6"/>
  <c r="E482" i="6"/>
  <c r="B707" i="6"/>
  <c r="G537" i="6"/>
  <c r="B131" i="6"/>
  <c r="G205" i="6"/>
  <c r="C38" i="6"/>
  <c r="C599" i="6"/>
  <c r="D561" i="6"/>
  <c r="F1010" i="6"/>
  <c r="E382" i="6"/>
  <c r="E859" i="6"/>
  <c r="D922" i="6"/>
  <c r="F423" i="6"/>
  <c r="F699" i="6"/>
  <c r="B77" i="6"/>
  <c r="D857" i="6"/>
  <c r="C172" i="6"/>
  <c r="G985" i="6"/>
  <c r="B584" i="6"/>
  <c r="H705" i="6"/>
  <c r="D79" i="6"/>
  <c r="C762" i="6"/>
  <c r="E647" i="6"/>
  <c r="H942" i="6"/>
  <c r="B426" i="6"/>
  <c r="F407" i="6"/>
  <c r="F580" i="6"/>
  <c r="C677" i="6"/>
  <c r="E528" i="6"/>
  <c r="E420" i="6"/>
  <c r="B878" i="6"/>
  <c r="G643" i="6"/>
  <c r="B605" i="6"/>
  <c r="E810" i="6"/>
  <c r="B958" i="6"/>
  <c r="F289" i="6"/>
  <c r="B155" i="6"/>
  <c r="C1009" i="6"/>
  <c r="H243" i="6"/>
  <c r="G284" i="6"/>
  <c r="E446" i="6"/>
  <c r="C533" i="6"/>
  <c r="D174" i="6"/>
  <c r="E4" i="6"/>
  <c r="B3" i="6"/>
  <c r="B777" i="6"/>
  <c r="D613" i="6"/>
  <c r="C734" i="6"/>
  <c r="F225" i="6"/>
  <c r="G1001" i="6"/>
  <c r="F30" i="6"/>
  <c r="H628" i="6"/>
  <c r="E715" i="6"/>
  <c r="H143" i="6"/>
  <c r="D150" i="6"/>
  <c r="B150" i="6"/>
  <c r="B528" i="6"/>
  <c r="G528" i="6"/>
  <c r="G557" i="6"/>
  <c r="F557" i="6"/>
  <c r="D200" i="6"/>
  <c r="E200" i="6"/>
  <c r="A966" i="6"/>
  <c r="C292" i="6"/>
  <c r="B436" i="6"/>
  <c r="A536" i="6"/>
  <c r="I186" i="6"/>
  <c r="A871" i="6"/>
  <c r="I767" i="6"/>
  <c r="A1015" i="6"/>
  <c r="A864" i="6"/>
  <c r="E193" i="6"/>
  <c r="G750" i="6"/>
  <c r="A722" i="6"/>
  <c r="I152" i="6"/>
  <c r="G268" i="6"/>
  <c r="E96" i="6"/>
  <c r="E943" i="6"/>
  <c r="I12" i="6"/>
  <c r="D396" i="6"/>
  <c r="H890" i="6"/>
  <c r="B996" i="6"/>
  <c r="D412" i="6"/>
  <c r="A766" i="6"/>
  <c r="B729" i="6"/>
  <c r="I98" i="6"/>
  <c r="A517" i="6"/>
  <c r="I132" i="6"/>
  <c r="E83" i="6"/>
  <c r="B210" i="6"/>
  <c r="B597" i="6"/>
  <c r="E964" i="6"/>
  <c r="E385" i="6"/>
  <c r="E947" i="6"/>
  <c r="G449" i="6"/>
  <c r="H634" i="6"/>
  <c r="G40" i="6"/>
  <c r="I337" i="6"/>
  <c r="F479" i="6"/>
  <c r="E675" i="6"/>
  <c r="I302" i="6"/>
  <c r="F52" i="6"/>
  <c r="G928" i="6"/>
  <c r="H672" i="6"/>
  <c r="I176" i="6"/>
  <c r="E970" i="6"/>
  <c r="H351" i="6"/>
  <c r="D789" i="6"/>
  <c r="C362" i="6"/>
  <c r="E254" i="6"/>
  <c r="F769" i="6"/>
  <c r="D65" i="6"/>
  <c r="F322" i="6"/>
  <c r="B949" i="6"/>
  <c r="C50" i="6"/>
  <c r="B410" i="6"/>
  <c r="D88" i="6"/>
  <c r="D951" i="6"/>
  <c r="C946" i="6"/>
  <c r="A869" i="6"/>
  <c r="B835" i="6"/>
  <c r="I273" i="6"/>
  <c r="F456" i="6"/>
  <c r="G758" i="6"/>
  <c r="B864" i="6"/>
  <c r="H311" i="6"/>
  <c r="H719" i="6"/>
  <c r="I491" i="6"/>
  <c r="C975" i="6"/>
  <c r="B819" i="6"/>
  <c r="D371" i="6"/>
  <c r="I1008" i="6"/>
  <c r="I249" i="6"/>
  <c r="A189" i="6"/>
  <c r="A924" i="6"/>
  <c r="I954" i="6"/>
  <c r="I291" i="6"/>
  <c r="I987" i="6"/>
  <c r="H834" i="6"/>
  <c r="I857" i="6"/>
  <c r="I627" i="6"/>
  <c r="C789" i="6"/>
  <c r="B227" i="6"/>
  <c r="C468" i="6"/>
  <c r="C356" i="6"/>
  <c r="G388" i="6"/>
  <c r="H629" i="6"/>
  <c r="E701" i="6"/>
  <c r="G754" i="6"/>
  <c r="E984" i="6"/>
  <c r="G389" i="6"/>
  <c r="C179" i="6"/>
  <c r="B673" i="6"/>
  <c r="C559" i="6"/>
  <c r="H729" i="6"/>
  <c r="G926" i="6"/>
  <c r="B130" i="6"/>
  <c r="E400" i="6"/>
  <c r="D149" i="6"/>
  <c r="D645" i="6"/>
  <c r="A783" i="6"/>
  <c r="D1007" i="6"/>
  <c r="D628" i="6"/>
  <c r="I955" i="6"/>
  <c r="F270" i="6"/>
  <c r="F63" i="6"/>
  <c r="F585" i="6"/>
  <c r="I65" i="6"/>
  <c r="E317" i="6"/>
  <c r="A220" i="6"/>
  <c r="B35" i="6"/>
  <c r="C297" i="6"/>
  <c r="C1015" i="6"/>
  <c r="D500" i="6"/>
  <c r="D960" i="6"/>
  <c r="I944" i="6"/>
  <c r="E531" i="6"/>
  <c r="E473" i="6"/>
  <c r="B886" i="6"/>
  <c r="G612" i="6"/>
  <c r="G72" i="6"/>
  <c r="B112" i="6"/>
  <c r="D135" i="6"/>
  <c r="I414" i="6"/>
  <c r="I472" i="6"/>
  <c r="F228" i="6"/>
  <c r="D552" i="6"/>
  <c r="B457" i="6"/>
  <c r="E746" i="6"/>
  <c r="B214" i="6"/>
  <c r="D730" i="6"/>
  <c r="A529" i="6"/>
  <c r="G103" i="6"/>
  <c r="D793" i="6"/>
  <c r="H309" i="6"/>
  <c r="E1012" i="6"/>
  <c r="D742" i="6"/>
  <c r="E994" i="6"/>
  <c r="G424" i="6"/>
  <c r="I720" i="6"/>
  <c r="D837" i="6"/>
  <c r="E780" i="6"/>
  <c r="H804" i="6"/>
  <c r="B225" i="6"/>
  <c r="G414" i="6"/>
  <c r="H126" i="6"/>
  <c r="I739" i="6"/>
  <c r="I728" i="6"/>
  <c r="G764" i="6"/>
  <c r="C503" i="6"/>
  <c r="B398" i="6"/>
  <c r="E1006" i="6"/>
  <c r="F680" i="6"/>
  <c r="E757" i="6"/>
  <c r="C505" i="6"/>
  <c r="C552" i="6"/>
  <c r="H44" i="6"/>
  <c r="C723" i="6"/>
  <c r="E725" i="6"/>
  <c r="E542" i="6"/>
  <c r="E752" i="6"/>
  <c r="D377" i="6"/>
  <c r="H639" i="6"/>
  <c r="E764" i="6"/>
  <c r="E1015" i="6"/>
  <c r="G186" i="6"/>
  <c r="D655" i="6"/>
  <c r="B339" i="6"/>
  <c r="F369" i="6"/>
  <c r="I534" i="6"/>
  <c r="E378" i="6"/>
  <c r="G207" i="6"/>
  <c r="D545" i="6"/>
  <c r="B441" i="6"/>
  <c r="C662" i="6"/>
  <c r="G990" i="6"/>
  <c r="H411" i="6"/>
  <c r="F649" i="6"/>
  <c r="B72" i="6"/>
  <c r="F61" i="6"/>
  <c r="G657" i="6"/>
  <c r="H276" i="6"/>
  <c r="C780" i="6"/>
  <c r="F258" i="6"/>
  <c r="H668" i="6"/>
  <c r="E818" i="6"/>
  <c r="H68" i="6"/>
  <c r="I2" i="6"/>
  <c r="I11" i="6"/>
  <c r="B125" i="6"/>
  <c r="G609" i="6"/>
  <c r="G977" i="6"/>
  <c r="F118" i="6"/>
  <c r="E624" i="6"/>
  <c r="H31" i="6"/>
  <c r="D140" i="6"/>
  <c r="E1026" i="6"/>
  <c r="B892" i="6"/>
  <c r="C405" i="6"/>
  <c r="G334" i="6"/>
  <c r="G917" i="6"/>
  <c r="F756" i="6"/>
  <c r="D938" i="6"/>
  <c r="A743" i="6"/>
  <c r="E777" i="6"/>
  <c r="F293" i="6"/>
  <c r="I586" i="6"/>
  <c r="E470" i="6"/>
  <c r="F870" i="6"/>
  <c r="G831" i="6"/>
  <c r="G241" i="6"/>
  <c r="A28" i="6"/>
  <c r="B256" i="6"/>
  <c r="B274" i="6"/>
  <c r="D772" i="6"/>
  <c r="G838" i="6"/>
  <c r="G845" i="6"/>
  <c r="H685" i="6"/>
  <c r="F955" i="6"/>
  <c r="H54" i="6"/>
  <c r="F989" i="6"/>
  <c r="H323" i="6"/>
  <c r="D674" i="6"/>
  <c r="H716" i="6"/>
  <c r="B368" i="6"/>
  <c r="G703" i="6"/>
  <c r="D465" i="6"/>
  <c r="G39" i="6"/>
  <c r="C766" i="6"/>
  <c r="B841" i="6"/>
  <c r="F218" i="6"/>
  <c r="B627" i="6"/>
  <c r="B43" i="6"/>
  <c r="F77" i="6"/>
  <c r="C455" i="6"/>
  <c r="G4" i="6"/>
  <c r="F344" i="6"/>
  <c r="D81" i="6"/>
  <c r="D27" i="6"/>
  <c r="B791" i="6"/>
  <c r="B154" i="6"/>
  <c r="E613" i="6"/>
  <c r="D981" i="6"/>
  <c r="G178" i="6"/>
  <c r="B353" i="6"/>
  <c r="D995" i="6"/>
  <c r="H65" i="6"/>
  <c r="H80" i="6"/>
  <c r="H435" i="6"/>
  <c r="G10" i="6"/>
  <c r="C770" i="6"/>
  <c r="B69" i="6"/>
  <c r="F255" i="6"/>
  <c r="F329" i="6"/>
  <c r="I853" i="6"/>
  <c r="I665" i="6"/>
  <c r="G195" i="6"/>
  <c r="H966" i="6"/>
  <c r="H293" i="6"/>
  <c r="A855" i="6"/>
  <c r="F445" i="6"/>
  <c r="G724" i="6"/>
  <c r="F687" i="6"/>
  <c r="F930" i="6"/>
  <c r="B343" i="6"/>
  <c r="G940" i="6"/>
  <c r="D450" i="6"/>
  <c r="E527" i="6"/>
  <c r="C96" i="6"/>
  <c r="B847" i="6"/>
  <c r="D735" i="6"/>
  <c r="G932" i="6"/>
  <c r="D732" i="6"/>
  <c r="E335" i="6"/>
  <c r="D470" i="6"/>
  <c r="B310" i="6"/>
  <c r="G1009" i="6"/>
  <c r="D903" i="6"/>
  <c r="G649" i="6"/>
  <c r="C40" i="6"/>
  <c r="C348" i="6"/>
  <c r="G94" i="6"/>
  <c r="E348" i="6"/>
  <c r="I87" i="6"/>
  <c r="G260" i="6"/>
  <c r="I533" i="6"/>
  <c r="C968" i="6"/>
  <c r="D595" i="6"/>
  <c r="C183" i="6"/>
  <c r="B385" i="6"/>
  <c r="G856" i="6"/>
  <c r="H621" i="6"/>
  <c r="C923" i="6"/>
  <c r="C113" i="6"/>
  <c r="E399" i="6"/>
  <c r="C202" i="6"/>
  <c r="E187" i="6"/>
  <c r="F42" i="6"/>
  <c r="I793" i="6"/>
  <c r="D950" i="6"/>
  <c r="A686" i="6"/>
  <c r="D834" i="6"/>
  <c r="D939" i="6"/>
  <c r="D845" i="6"/>
  <c r="C859" i="6"/>
  <c r="C963" i="6"/>
  <c r="H823" i="6"/>
  <c r="E233" i="6"/>
  <c r="G511" i="6"/>
  <c r="I69" i="6"/>
  <c r="H763" i="6"/>
  <c r="G634" i="6"/>
  <c r="D720" i="6"/>
  <c r="D527" i="6"/>
  <c r="G45" i="6"/>
  <c r="H8" i="6"/>
  <c r="F534" i="6"/>
  <c r="H97" i="6"/>
  <c r="D991" i="6"/>
  <c r="H548" i="6"/>
  <c r="C51" i="6"/>
  <c r="C793" i="6"/>
  <c r="D734" i="6"/>
  <c r="E896" i="6"/>
  <c r="G395" i="6"/>
  <c r="C1020" i="6"/>
  <c r="G698" i="6"/>
  <c r="I569" i="6"/>
  <c r="D749" i="6"/>
  <c r="B248" i="6"/>
  <c r="G208" i="6"/>
  <c r="H434" i="6"/>
  <c r="G384" i="6"/>
  <c r="D729" i="6"/>
  <c r="G660" i="6"/>
  <c r="F622" i="6"/>
  <c r="C543" i="6"/>
  <c r="G219" i="6"/>
  <c r="G470" i="6"/>
  <c r="F364" i="6"/>
  <c r="G573" i="6"/>
  <c r="B466" i="6"/>
  <c r="G871" i="6"/>
  <c r="D672" i="6"/>
  <c r="H412" i="6"/>
  <c r="G312" i="6"/>
  <c r="E433" i="6"/>
  <c r="F609" i="6"/>
  <c r="D461" i="6"/>
  <c r="C868" i="6"/>
  <c r="C408" i="6"/>
  <c r="B648" i="6"/>
  <c r="B969" i="6"/>
  <c r="F703" i="6"/>
  <c r="D11" i="6"/>
  <c r="G432" i="6"/>
  <c r="H698" i="6"/>
  <c r="G1016" i="6"/>
  <c r="H659" i="6"/>
  <c r="A320" i="6"/>
  <c r="A879" i="6"/>
  <c r="H988" i="6"/>
  <c r="C928" i="6"/>
  <c r="E949" i="6"/>
  <c r="D110" i="6"/>
  <c r="B891" i="6"/>
  <c r="I193" i="6"/>
  <c r="B321" i="6"/>
  <c r="G540" i="6"/>
  <c r="E938" i="6"/>
  <c r="B527" i="6"/>
  <c r="I340" i="6"/>
  <c r="F781" i="6"/>
  <c r="D235" i="6"/>
  <c r="B416" i="6"/>
  <c r="A132" i="6"/>
  <c r="H417" i="6"/>
  <c r="H469" i="6"/>
  <c r="H583" i="6"/>
  <c r="G720" i="6"/>
  <c r="G393" i="6"/>
  <c r="F754" i="6"/>
  <c r="B549" i="6"/>
  <c r="B262" i="6"/>
  <c r="I999" i="6"/>
  <c r="D406" i="6"/>
  <c r="H317" i="6"/>
  <c r="G961" i="6"/>
  <c r="C995" i="6"/>
  <c r="B306" i="6"/>
  <c r="F730" i="6"/>
  <c r="B235" i="6"/>
  <c r="D240" i="6"/>
  <c r="C401" i="6"/>
  <c r="H113" i="6"/>
  <c r="I277" i="6"/>
  <c r="G646" i="6"/>
  <c r="F556" i="6"/>
  <c r="D858" i="6"/>
  <c r="H810" i="6"/>
  <c r="B604" i="6"/>
  <c r="F419" i="6"/>
  <c r="D750" i="6"/>
  <c r="D324" i="6"/>
  <c r="D536" i="6"/>
  <c r="E109" i="6"/>
  <c r="E700" i="6"/>
  <c r="H806" i="6"/>
  <c r="E215" i="6"/>
  <c r="H872" i="6"/>
  <c r="B180" i="6"/>
  <c r="F563" i="6"/>
  <c r="B299" i="6"/>
  <c r="G558" i="6"/>
  <c r="D306" i="6"/>
  <c r="F905" i="6"/>
  <c r="G65" i="6"/>
  <c r="F260" i="6"/>
  <c r="D626" i="6"/>
  <c r="F316" i="6"/>
  <c r="C229" i="6"/>
  <c r="D87" i="6"/>
  <c r="E288" i="6"/>
  <c r="B64" i="6"/>
  <c r="F394" i="6"/>
  <c r="C581" i="6"/>
  <c r="B170" i="6"/>
  <c r="I986" i="6"/>
  <c r="D567" i="6"/>
  <c r="H408" i="6"/>
  <c r="C586" i="6"/>
  <c r="H224" i="6"/>
  <c r="D807" i="6"/>
  <c r="E224" i="6"/>
  <c r="D884" i="6"/>
  <c r="C720" i="6"/>
  <c r="D55" i="6"/>
  <c r="C49" i="6"/>
  <c r="F101" i="6"/>
  <c r="F551" i="6"/>
  <c r="E627" i="6"/>
  <c r="B745" i="6"/>
  <c r="G505" i="6"/>
  <c r="H489" i="6"/>
  <c r="B90" i="6"/>
  <c r="G935" i="6"/>
  <c r="F655" i="6"/>
  <c r="F111" i="6"/>
  <c r="E727" i="6"/>
  <c r="B93" i="6"/>
  <c r="B30" i="6"/>
  <c r="B500" i="6"/>
  <c r="C254" i="6"/>
  <c r="H922" i="6"/>
  <c r="H363" i="6"/>
  <c r="G978" i="6"/>
  <c r="D357" i="6"/>
  <c r="H772" i="6"/>
  <c r="G243" i="6"/>
  <c r="H321" i="6"/>
  <c r="G987" i="6"/>
  <c r="H406" i="6"/>
  <c r="H428" i="6"/>
  <c r="C666" i="6"/>
  <c r="E260" i="6"/>
  <c r="E30" i="6"/>
  <c r="B115" i="6"/>
  <c r="D126" i="6"/>
  <c r="B622" i="6"/>
  <c r="G376" i="6"/>
  <c r="G226" i="6"/>
  <c r="G170" i="6"/>
  <c r="H971" i="6"/>
  <c r="C184" i="6"/>
  <c r="H485" i="6"/>
  <c r="G246" i="6"/>
  <c r="E589" i="6"/>
  <c r="G427" i="6"/>
  <c r="D130" i="6"/>
  <c r="F286" i="6"/>
  <c r="D120" i="6"/>
  <c r="H270" i="6"/>
  <c r="H189" i="6"/>
  <c r="E565" i="6"/>
  <c r="G413" i="6"/>
  <c r="E208" i="6"/>
  <c r="G8" i="6"/>
  <c r="E373" i="6"/>
  <c r="H32" i="6"/>
  <c r="G327" i="6"/>
  <c r="E332" i="6"/>
  <c r="H637" i="6"/>
  <c r="D790" i="6"/>
  <c r="B386" i="6"/>
  <c r="G911" i="6"/>
  <c r="D192" i="6"/>
  <c r="F820" i="6"/>
  <c r="G550" i="6"/>
  <c r="G138" i="6"/>
  <c r="G203" i="6"/>
  <c r="F707" i="6"/>
  <c r="B600" i="6"/>
  <c r="H534" i="6"/>
  <c r="H704" i="6"/>
  <c r="C247" i="6"/>
  <c r="E377" i="6"/>
  <c r="E24" i="6"/>
  <c r="C871" i="6"/>
  <c r="G285" i="6"/>
  <c r="G372" i="6"/>
  <c r="F722" i="6"/>
  <c r="G11" i="6"/>
  <c r="G801" i="6"/>
  <c r="B794" i="6"/>
  <c r="B101" i="6"/>
  <c r="F454" i="6"/>
  <c r="D712" i="6"/>
  <c r="C420" i="6"/>
  <c r="C43" i="6"/>
  <c r="C652" i="6"/>
  <c r="D456" i="6"/>
  <c r="D302" i="6"/>
  <c r="D806" i="6"/>
  <c r="F717" i="6"/>
  <c r="F438" i="6"/>
  <c r="E957" i="6"/>
  <c r="H4" i="6"/>
  <c r="E688" i="6"/>
  <c r="E809" i="6"/>
  <c r="E558" i="6"/>
  <c r="H337" i="6"/>
  <c r="C853" i="6"/>
  <c r="C376" i="6"/>
  <c r="G686" i="6"/>
  <c r="C213" i="6"/>
  <c r="E125" i="6"/>
  <c r="D114" i="6"/>
  <c r="B492" i="6"/>
  <c r="B656" i="6"/>
  <c r="B884" i="6"/>
  <c r="D808" i="6"/>
  <c r="F474" i="6"/>
  <c r="F910" i="6"/>
  <c r="F878" i="6"/>
  <c r="H789" i="6"/>
  <c r="G918" i="6"/>
  <c r="H160" i="6"/>
  <c r="B351" i="6"/>
  <c r="G969" i="6"/>
  <c r="D696" i="6"/>
  <c r="D543" i="6"/>
  <c r="E643" i="6"/>
  <c r="F71" i="6"/>
  <c r="D270" i="6"/>
  <c r="G419" i="6"/>
  <c r="G673" i="6"/>
  <c r="B482" i="6"/>
  <c r="E686" i="6"/>
  <c r="C108" i="6"/>
  <c r="G159" i="6"/>
  <c r="H788" i="6"/>
  <c r="D248" i="6"/>
  <c r="F153" i="6"/>
  <c r="G723" i="6"/>
  <c r="E976" i="6"/>
  <c r="C182" i="6"/>
  <c r="H240" i="6"/>
  <c r="E573" i="6"/>
  <c r="F125" i="6"/>
  <c r="H873" i="6"/>
  <c r="C489" i="6"/>
  <c r="C636" i="6"/>
  <c r="E514" i="6"/>
  <c r="E612" i="6"/>
  <c r="E618" i="6"/>
  <c r="B907" i="6"/>
  <c r="B478" i="6"/>
  <c r="H959" i="6"/>
  <c r="F1013" i="6"/>
  <c r="F927" i="6"/>
  <c r="G135" i="6"/>
  <c r="D933" i="6"/>
  <c r="D948" i="6"/>
  <c r="E529" i="6"/>
  <c r="D153" i="6"/>
  <c r="C843" i="6"/>
  <c r="B269" i="6"/>
  <c r="B668" i="6"/>
  <c r="C106" i="6"/>
  <c r="C520" i="6"/>
  <c r="G522" i="6"/>
  <c r="H370" i="6"/>
  <c r="E920" i="6"/>
  <c r="C823" i="6"/>
  <c r="G784" i="6"/>
  <c r="F382" i="6"/>
  <c r="E225" i="6"/>
  <c r="H58" i="6"/>
  <c r="E166" i="6"/>
  <c r="G895" i="6"/>
  <c r="B660" i="6"/>
  <c r="B591" i="6"/>
  <c r="E924" i="6"/>
  <c r="G718" i="6"/>
  <c r="G672" i="6"/>
  <c r="H313" i="6"/>
  <c r="D452" i="6"/>
  <c r="H343" i="6"/>
  <c r="G387" i="6"/>
  <c r="D689" i="6"/>
  <c r="D272" i="6"/>
  <c r="F114" i="6"/>
  <c r="F55" i="6"/>
  <c r="H217" i="6"/>
  <c r="H584" i="6"/>
  <c r="C643" i="6"/>
  <c r="D172" i="6"/>
  <c r="E361" i="6"/>
  <c r="C103" i="6"/>
  <c r="G862" i="6"/>
  <c r="E58" i="6"/>
  <c r="G951" i="6"/>
  <c r="G892" i="6"/>
  <c r="H914" i="6"/>
  <c r="E469" i="6"/>
  <c r="C418" i="6"/>
  <c r="B216" i="6"/>
  <c r="G462" i="6"/>
  <c r="G515" i="6"/>
  <c r="B778" i="6"/>
  <c r="H40" i="6"/>
  <c r="D673" i="6"/>
  <c r="F48" i="6"/>
  <c r="C399" i="6"/>
  <c r="H360" i="6"/>
  <c r="B936" i="6"/>
  <c r="G539" i="6"/>
  <c r="G568" i="6"/>
  <c r="G920" i="6"/>
  <c r="D648" i="6"/>
  <c r="B173" i="6"/>
  <c r="D504" i="6"/>
  <c r="B380" i="6"/>
  <c r="B522" i="6"/>
  <c r="E672" i="6"/>
  <c r="D965" i="6"/>
  <c r="H339" i="6"/>
  <c r="E464" i="6"/>
  <c r="D529" i="6"/>
  <c r="D17" i="6"/>
  <c r="C110" i="6"/>
  <c r="B337" i="6"/>
  <c r="G666" i="6"/>
  <c r="D553" i="6"/>
  <c r="F596" i="6"/>
  <c r="C555" i="6"/>
  <c r="E363" i="6"/>
  <c r="F10" i="6"/>
  <c r="E533" i="6"/>
  <c r="H98" i="6"/>
  <c r="F686" i="6"/>
  <c r="E838" i="6"/>
  <c r="F742" i="6"/>
  <c r="C796" i="6"/>
  <c r="B47" i="6"/>
  <c r="C153" i="6"/>
  <c r="G456" i="6"/>
  <c r="E899" i="6"/>
  <c r="E172" i="6"/>
  <c r="F802" i="6"/>
  <c r="G509" i="6"/>
  <c r="H267" i="6"/>
  <c r="H670" i="6"/>
  <c r="C235" i="6"/>
  <c r="C269" i="6"/>
  <c r="H880" i="6"/>
  <c r="B529" i="6"/>
  <c r="F594" i="6"/>
  <c r="G421" i="6"/>
  <c r="G907" i="6"/>
  <c r="C187" i="6"/>
  <c r="B413" i="6"/>
  <c r="H499" i="6"/>
  <c r="E563" i="6"/>
  <c r="C854" i="6"/>
  <c r="H589" i="6"/>
  <c r="H1020" i="6"/>
  <c r="E330" i="6"/>
  <c r="H519" i="6"/>
  <c r="F880" i="6"/>
  <c r="G44" i="6"/>
  <c r="E247" i="6"/>
  <c r="E287" i="6"/>
  <c r="D882" i="6"/>
  <c r="H74" i="6"/>
  <c r="E1001" i="6"/>
  <c r="H986" i="6"/>
  <c r="H197" i="6"/>
  <c r="F943" i="6"/>
  <c r="H814" i="6"/>
  <c r="H1003" i="6"/>
  <c r="B221" i="6"/>
  <c r="H573" i="6"/>
  <c r="H421" i="6"/>
  <c r="G84" i="6"/>
  <c r="G506" i="6"/>
  <c r="D780" i="6"/>
  <c r="E151" i="6"/>
  <c r="G469" i="6"/>
  <c r="B152" i="6"/>
  <c r="G525" i="6"/>
  <c r="H718" i="6"/>
  <c r="I855" i="6"/>
  <c r="B952" i="6"/>
  <c r="B788" i="6"/>
  <c r="H103" i="6"/>
  <c r="E774" i="6"/>
  <c r="B282" i="6"/>
  <c r="C56" i="6"/>
  <c r="C267" i="6"/>
  <c r="F450" i="6"/>
  <c r="H683" i="6"/>
  <c r="E844" i="6"/>
  <c r="C847" i="6"/>
  <c r="D122" i="6"/>
  <c r="F660" i="6"/>
  <c r="D308" i="6"/>
  <c r="G489" i="6"/>
  <c r="D669" i="6"/>
  <c r="H587" i="6"/>
  <c r="E689" i="6"/>
  <c r="G433" i="6"/>
  <c r="D93" i="6"/>
  <c r="G626" i="6"/>
  <c r="E21" i="6"/>
  <c r="F674" i="6"/>
  <c r="D486" i="6"/>
  <c r="C180" i="6"/>
  <c r="E1013" i="6"/>
  <c r="F876" i="6"/>
  <c r="I327" i="6"/>
  <c r="G782" i="6"/>
  <c r="H5" i="6"/>
  <c r="H882" i="6"/>
  <c r="B160" i="6"/>
  <c r="H664" i="6"/>
  <c r="F491" i="6"/>
  <c r="B672" i="6"/>
  <c r="G374" i="6"/>
  <c r="G286" i="6"/>
  <c r="F60" i="6"/>
  <c r="F362" i="6"/>
  <c r="H539" i="6"/>
  <c r="H108" i="6"/>
  <c r="I120" i="6"/>
  <c r="F793" i="6"/>
  <c r="G93" i="6"/>
  <c r="D855" i="6"/>
  <c r="E80" i="6"/>
  <c r="E832" i="6"/>
  <c r="F588" i="6"/>
  <c r="F639" i="6"/>
  <c r="E495" i="6"/>
  <c r="E655" i="6"/>
  <c r="D541" i="6"/>
  <c r="D879" i="6"/>
  <c r="I272" i="6"/>
  <c r="G331" i="6"/>
  <c r="G152" i="6"/>
  <c r="E421" i="6"/>
  <c r="H36" i="6"/>
  <c r="F499" i="6"/>
  <c r="F353" i="6"/>
  <c r="B718" i="6"/>
  <c r="G780" i="6"/>
  <c r="H975" i="6"/>
  <c r="C504" i="6"/>
  <c r="F390" i="6"/>
  <c r="B438" i="6"/>
  <c r="B746" i="6"/>
  <c r="D996" i="6"/>
  <c r="B324" i="6"/>
  <c r="I25" i="6"/>
  <c r="B338" i="6"/>
  <c r="B893" i="6"/>
  <c r="E126" i="6"/>
  <c r="F256" i="6"/>
  <c r="H592" i="6"/>
  <c r="E38" i="6"/>
  <c r="B766" i="6"/>
  <c r="H247" i="6"/>
  <c r="H762" i="6"/>
  <c r="B572" i="6"/>
  <c r="H432" i="6"/>
  <c r="H377" i="6"/>
  <c r="F804" i="6"/>
  <c r="F684" i="6"/>
  <c r="G591" i="6"/>
  <c r="F904" i="6"/>
  <c r="B552" i="6"/>
  <c r="B493" i="6"/>
  <c r="D22" i="6"/>
  <c r="C367" i="6"/>
  <c r="E905" i="6"/>
  <c r="G631" i="6"/>
  <c r="D842" i="6"/>
  <c r="I480" i="6"/>
  <c r="D48" i="6"/>
  <c r="H879" i="6"/>
  <c r="D439" i="6"/>
  <c r="H394" i="6"/>
  <c r="D444" i="6"/>
  <c r="F833" i="6"/>
  <c r="F817" i="6"/>
  <c r="F273" i="6"/>
  <c r="G523" i="6"/>
  <c r="E750" i="6"/>
  <c r="E114" i="6"/>
  <c r="C129" i="6"/>
  <c r="C465" i="6"/>
  <c r="G279" i="6"/>
  <c r="F29" i="6"/>
  <c r="G796" i="6"/>
  <c r="B804" i="6"/>
  <c r="B132" i="6"/>
  <c r="H817" i="6"/>
  <c r="G773" i="6"/>
  <c r="H257" i="6"/>
  <c r="D339" i="6"/>
  <c r="H258" i="6"/>
  <c r="B547" i="6"/>
  <c r="C924" i="6"/>
  <c r="C875" i="6"/>
  <c r="F240" i="6"/>
  <c r="E152" i="6"/>
  <c r="B239" i="6"/>
  <c r="H234" i="6"/>
  <c r="D8" i="6"/>
  <c r="I90" i="6"/>
  <c r="D682" i="6"/>
  <c r="E991" i="6"/>
  <c r="F541" i="6"/>
  <c r="I846" i="6"/>
  <c r="F533" i="6"/>
  <c r="C164" i="6"/>
  <c r="F143" i="6"/>
  <c r="F617" i="6"/>
  <c r="E418" i="6"/>
  <c r="F772" i="6"/>
  <c r="F211" i="6"/>
  <c r="C897" i="6"/>
  <c r="B772" i="6"/>
  <c r="G869" i="6"/>
  <c r="F631" i="6"/>
  <c r="E116" i="6"/>
  <c r="E169" i="6"/>
  <c r="G71" i="6"/>
  <c r="D946" i="6"/>
  <c r="C539" i="6"/>
  <c r="H1016" i="6"/>
  <c r="G378" i="6"/>
  <c r="B24" i="6"/>
  <c r="C31" i="6"/>
  <c r="C761" i="6"/>
  <c r="H348" i="6"/>
  <c r="B553" i="6"/>
  <c r="H387" i="6"/>
  <c r="G824" i="6"/>
  <c r="E66" i="6"/>
  <c r="H951" i="6"/>
  <c r="G908" i="6"/>
  <c r="C880" i="6"/>
  <c r="H286" i="6"/>
  <c r="D123" i="6"/>
  <c r="G418" i="6"/>
  <c r="D675" i="6"/>
  <c r="B834" i="6"/>
  <c r="G396" i="6"/>
  <c r="F304" i="6"/>
  <c r="C739" i="6"/>
  <c r="D70" i="6"/>
  <c r="I552" i="6"/>
  <c r="E955" i="6"/>
  <c r="F375" i="6"/>
  <c r="H690" i="6"/>
  <c r="C152" i="6"/>
  <c r="H813" i="6"/>
  <c r="G789" i="6"/>
  <c r="E705" i="6"/>
  <c r="C264" i="6"/>
  <c r="D580" i="6"/>
  <c r="D901" i="6"/>
  <c r="C189" i="6"/>
  <c r="E181" i="6"/>
  <c r="D163" i="6"/>
  <c r="E608" i="6"/>
  <c r="D222" i="6"/>
  <c r="H474" i="6"/>
  <c r="D828" i="6"/>
  <c r="C256" i="6"/>
  <c r="C450" i="6"/>
  <c r="F365" i="6"/>
  <c r="F150" i="6"/>
  <c r="B520" i="6"/>
  <c r="B823" i="6"/>
  <c r="G692" i="6"/>
  <c r="B462" i="6"/>
  <c r="F615" i="6"/>
  <c r="F168" i="6"/>
  <c r="F28" i="6"/>
  <c r="E698" i="6"/>
  <c r="G281" i="6"/>
  <c r="D783" i="6"/>
  <c r="B283" i="6"/>
  <c r="D189" i="6"/>
  <c r="E522" i="6"/>
  <c r="C352" i="6"/>
  <c r="F187" i="6"/>
  <c r="B433" i="6"/>
  <c r="D1010" i="6"/>
  <c r="D392" i="6"/>
  <c r="B477" i="6"/>
  <c r="B439" i="6"/>
  <c r="E579" i="6"/>
  <c r="G500" i="6"/>
  <c r="D21" i="6"/>
  <c r="H647" i="6"/>
  <c r="H488" i="6"/>
  <c r="G933" i="6"/>
  <c r="H3" i="6"/>
  <c r="D784" i="6"/>
  <c r="H271" i="6"/>
  <c r="C514" i="6"/>
  <c r="H491" i="6"/>
  <c r="G385" i="6"/>
  <c r="E374" i="6"/>
  <c r="F287" i="6"/>
  <c r="C464" i="6"/>
  <c r="B966" i="6"/>
  <c r="G954" i="6"/>
  <c r="G369" i="6"/>
  <c r="E189" i="6"/>
  <c r="F254" i="6"/>
  <c r="C729" i="6"/>
  <c r="F21" i="6"/>
  <c r="G514" i="6"/>
  <c r="C934" i="6"/>
  <c r="F442" i="6"/>
  <c r="B383" i="6"/>
  <c r="C845" i="6"/>
  <c r="C3" i="6"/>
  <c r="E408" i="6"/>
  <c r="F702" i="6"/>
  <c r="F481" i="6"/>
  <c r="H535" i="6"/>
  <c r="B603" i="6"/>
  <c r="F46" i="6"/>
  <c r="B906" i="6"/>
  <c r="H849" i="6"/>
  <c r="C127" i="6"/>
  <c r="E147" i="6"/>
  <c r="H233" i="6"/>
  <c r="B833" i="6"/>
  <c r="D942" i="6"/>
  <c r="H684" i="6"/>
  <c r="H707" i="6"/>
  <c r="H512" i="6"/>
  <c r="B486" i="6"/>
  <c r="F914" i="6"/>
  <c r="F486" i="6"/>
  <c r="B544" i="6"/>
  <c r="E131" i="6"/>
  <c r="F866" i="6"/>
  <c r="E150" i="6"/>
  <c r="F790" i="6"/>
  <c r="B808" i="6"/>
  <c r="C290" i="6"/>
  <c r="E443" i="6"/>
  <c r="B700" i="6"/>
  <c r="D972" i="6"/>
  <c r="E539" i="6"/>
  <c r="G897" i="6"/>
  <c r="E815" i="6"/>
  <c r="D716" i="6"/>
  <c r="C872" i="6"/>
  <c r="C479" i="6"/>
  <c r="F570" i="6"/>
  <c r="G763" i="6"/>
  <c r="H249" i="6"/>
  <c r="G772" i="6"/>
  <c r="G744" i="6"/>
  <c r="F243" i="6"/>
  <c r="G499" i="6"/>
  <c r="E325" i="6"/>
  <c r="H470" i="6"/>
  <c r="G183" i="6"/>
  <c r="C769" i="6"/>
  <c r="B771" i="6"/>
  <c r="C41" i="6"/>
  <c r="B84" i="6"/>
  <c r="G407" i="6"/>
  <c r="G476" i="6"/>
  <c r="G341" i="6"/>
  <c r="G415" i="6"/>
  <c r="F536" i="6"/>
  <c r="B785" i="6"/>
  <c r="C10" i="6"/>
  <c r="B786" i="6"/>
  <c r="G56" i="6"/>
  <c r="C161" i="6"/>
  <c r="B676" i="6"/>
  <c r="D102" i="6"/>
  <c r="B105" i="6"/>
  <c r="C752" i="6"/>
  <c r="C360" i="6"/>
  <c r="E308" i="6"/>
  <c r="D777" i="6"/>
  <c r="F734" i="6"/>
  <c r="B1001" i="6"/>
  <c r="C628" i="6"/>
  <c r="C715" i="6"/>
  <c r="G150" i="6"/>
  <c r="D528" i="6"/>
  <c r="C557" i="6"/>
  <c r="H200" i="6"/>
  <c r="G884" i="6"/>
  <c r="D267" i="6"/>
  <c r="H253" i="6"/>
  <c r="D352" i="6"/>
  <c r="D35" i="6"/>
  <c r="G842" i="6"/>
  <c r="F1019" i="6"/>
  <c r="C147" i="6"/>
  <c r="F855" i="6"/>
  <c r="C1018" i="6"/>
  <c r="E154" i="6"/>
  <c r="H972" i="6"/>
  <c r="H433" i="6"/>
  <c r="F813" i="6"/>
  <c r="H177" i="6"/>
  <c r="B901" i="6"/>
  <c r="F961" i="6"/>
  <c r="H250" i="6"/>
  <c r="D402" i="6"/>
  <c r="B446" i="6"/>
  <c r="E149" i="6"/>
  <c r="G468" i="6"/>
  <c r="D569" i="6"/>
  <c r="F522" i="6"/>
  <c r="C848" i="6"/>
  <c r="F862" i="6"/>
  <c r="E442" i="6"/>
  <c r="H156" i="6"/>
  <c r="F825" i="6"/>
  <c r="F954" i="6"/>
  <c r="E520" i="6"/>
  <c r="E876" i="6"/>
  <c r="G230" i="6"/>
  <c r="H445" i="6"/>
  <c r="G453" i="6"/>
  <c r="D578" i="6"/>
  <c r="D531" i="6"/>
  <c r="E785" i="6"/>
  <c r="H822" i="6"/>
  <c r="C441" i="6"/>
  <c r="G800" i="6"/>
  <c r="H960" i="6"/>
  <c r="G704" i="6"/>
  <c r="C301" i="6"/>
  <c r="H725" i="6"/>
  <c r="H792" i="6"/>
  <c r="E720" i="6"/>
  <c r="D335" i="6"/>
  <c r="H514" i="6"/>
  <c r="C492" i="6"/>
  <c r="D823" i="6"/>
  <c r="F645" i="6"/>
  <c r="I674" i="6"/>
  <c r="D373" i="6"/>
  <c r="E820" i="6"/>
  <c r="H476" i="6"/>
  <c r="G913" i="6"/>
  <c r="G956" i="6"/>
  <c r="B404" i="6"/>
  <c r="D454" i="6"/>
  <c r="F627" i="6"/>
  <c r="G595" i="6"/>
  <c r="F269" i="6"/>
  <c r="H202" i="6"/>
  <c r="H259" i="6"/>
  <c r="F506" i="6"/>
  <c r="D574" i="6"/>
  <c r="H662" i="6"/>
  <c r="B388" i="6"/>
  <c r="H741" i="6"/>
  <c r="H296" i="6"/>
  <c r="H1007" i="6"/>
  <c r="B983" i="6"/>
  <c r="E798" i="6"/>
  <c r="E846" i="6"/>
  <c r="E157" i="6"/>
  <c r="G582" i="6"/>
  <c r="E384" i="6"/>
  <c r="E652" i="6"/>
  <c r="G749" i="6"/>
  <c r="G547" i="6"/>
  <c r="B922" i="6"/>
  <c r="D936" i="6"/>
  <c r="E660" i="6"/>
  <c r="E143" i="6"/>
  <c r="G211" i="6"/>
  <c r="F147" i="6"/>
  <c r="C372" i="6"/>
  <c r="B108" i="6"/>
  <c r="H167" i="6"/>
  <c r="E387" i="6"/>
  <c r="F558" i="6"/>
  <c r="C384" i="6"/>
  <c r="D148" i="6"/>
  <c r="G903" i="6"/>
  <c r="H382" i="6"/>
  <c r="F800" i="6"/>
  <c r="F891" i="6"/>
  <c r="G925" i="6"/>
  <c r="I56" i="6"/>
  <c r="H358" i="6"/>
  <c r="B824" i="6"/>
  <c r="F907" i="6"/>
  <c r="D800" i="6"/>
  <c r="G891" i="6"/>
  <c r="B575" i="6"/>
  <c r="B307" i="6"/>
  <c r="D692" i="6"/>
  <c r="D988" i="6"/>
  <c r="E300" i="6"/>
  <c r="H25" i="6"/>
  <c r="B913" i="6"/>
  <c r="H34" i="6"/>
  <c r="C447" i="6"/>
  <c r="F275" i="6"/>
  <c r="F241" i="6"/>
  <c r="F281" i="6"/>
  <c r="C349" i="6"/>
  <c r="H676" i="6"/>
  <c r="G106" i="6"/>
  <c r="E828" i="6"/>
  <c r="F567" i="6"/>
  <c r="H427" i="6"/>
  <c r="H913" i="6"/>
  <c r="F381" i="6"/>
  <c r="F839" i="6"/>
  <c r="F508" i="6"/>
  <c r="D537" i="6"/>
  <c r="F346" i="6"/>
  <c r="E690" i="6"/>
  <c r="H188" i="6"/>
  <c r="G914" i="6"/>
  <c r="F290" i="6"/>
  <c r="F805" i="6"/>
  <c r="F82" i="6"/>
  <c r="D583" i="6"/>
  <c r="H955" i="6"/>
  <c r="D82" i="6"/>
  <c r="G324" i="6"/>
  <c r="E862" i="6"/>
  <c r="E790" i="6"/>
  <c r="D643" i="6"/>
  <c r="B145" i="6"/>
  <c r="E74" i="6"/>
  <c r="E676" i="6"/>
  <c r="D386" i="6"/>
  <c r="F808" i="6"/>
  <c r="C651" i="6"/>
  <c r="D941" i="6"/>
  <c r="F589" i="6"/>
  <c r="F899" i="6"/>
  <c r="G359" i="6"/>
  <c r="F149" i="6"/>
  <c r="F215" i="6"/>
  <c r="B218" i="6"/>
  <c r="D198" i="6"/>
  <c r="E170" i="6"/>
  <c r="G716" i="6"/>
  <c r="B8" i="6"/>
  <c r="C32" i="6"/>
  <c r="G416" i="6"/>
  <c r="F144" i="6"/>
  <c r="D458" i="6"/>
  <c r="H92" i="6"/>
  <c r="D921" i="6"/>
  <c r="C1021" i="6"/>
  <c r="G147" i="6"/>
  <c r="D844" i="6"/>
  <c r="F321" i="6"/>
  <c r="C866" i="6"/>
  <c r="H125" i="6"/>
  <c r="C228" i="6"/>
  <c r="H682" i="6"/>
  <c r="C589" i="6"/>
  <c r="E326" i="6"/>
  <c r="F251" i="6"/>
  <c r="G458" i="6"/>
  <c r="C959" i="6"/>
  <c r="C340" i="6"/>
  <c r="C760" i="6"/>
  <c r="I911" i="6"/>
  <c r="F166" i="6"/>
  <c r="G955" i="6"/>
  <c r="C969" i="6"/>
  <c r="D223" i="6"/>
  <c r="B382" i="6"/>
  <c r="C131" i="6"/>
  <c r="E386" i="6"/>
  <c r="E760" i="6"/>
  <c r="F709" i="6"/>
  <c r="H598" i="6"/>
  <c r="H168" i="6"/>
  <c r="D131" i="6"/>
  <c r="D715" i="6"/>
  <c r="B519" i="6"/>
  <c r="G368" i="6"/>
  <c r="F568" i="6"/>
  <c r="E614" i="6"/>
  <c r="D415" i="6"/>
  <c r="B54" i="6"/>
  <c r="B98" i="6"/>
  <c r="B863" i="6"/>
  <c r="G464" i="6"/>
  <c r="G753" i="6"/>
  <c r="G333" i="6"/>
  <c r="C841" i="6"/>
  <c r="F231" i="6"/>
  <c r="F433" i="6"/>
  <c r="F600" i="6"/>
  <c r="H369" i="6"/>
  <c r="H463" i="6"/>
  <c r="H131" i="6"/>
  <c r="E299" i="6"/>
  <c r="E866" i="6"/>
  <c r="H178" i="6"/>
  <c r="D705" i="6"/>
  <c r="B464" i="6"/>
  <c r="D853" i="6"/>
  <c r="G394" i="6"/>
  <c r="E425" i="6"/>
  <c r="D610" i="6"/>
  <c r="C154" i="6"/>
  <c r="D651" i="6"/>
  <c r="G779" i="6"/>
  <c r="C942" i="6"/>
  <c r="C601" i="6"/>
  <c r="B114" i="6"/>
  <c r="B556" i="6"/>
  <c r="F985" i="6"/>
  <c r="E839" i="6"/>
  <c r="E840" i="6"/>
  <c r="G439" i="6"/>
  <c r="H402" i="6"/>
  <c r="E605" i="6"/>
  <c r="E10" i="6"/>
  <c r="E584" i="6"/>
  <c r="G945" i="6"/>
  <c r="G237" i="6"/>
  <c r="F760" i="6"/>
  <c r="H714" i="6"/>
  <c r="G482" i="6"/>
  <c r="E1009" i="6"/>
  <c r="D759" i="6"/>
  <c r="E807" i="6"/>
  <c r="F713" i="6"/>
  <c r="E216" i="6"/>
  <c r="C60" i="6"/>
  <c r="C584" i="6"/>
  <c r="G267" i="6"/>
  <c r="F913" i="6"/>
  <c r="D556" i="6"/>
  <c r="G675" i="6"/>
  <c r="C217" i="6"/>
  <c r="B671" i="6"/>
  <c r="D460" i="6"/>
  <c r="F923" i="6"/>
  <c r="C857" i="6"/>
  <c r="H678" i="6"/>
  <c r="C863" i="6"/>
  <c r="C112" i="6"/>
  <c r="E123" i="6"/>
  <c r="G574" i="6"/>
  <c r="C794" i="6"/>
  <c r="G486" i="6"/>
  <c r="D3" i="6"/>
  <c r="B518" i="6"/>
  <c r="E706" i="6"/>
  <c r="G633" i="6"/>
  <c r="B954" i="6"/>
  <c r="G408" i="6"/>
  <c r="E199" i="6"/>
  <c r="E59" i="6"/>
  <c r="F246" i="6"/>
  <c r="E741" i="6"/>
  <c r="G728" i="6"/>
  <c r="G759" i="6"/>
  <c r="G440" i="6"/>
  <c r="H870" i="6"/>
  <c r="H540" i="6"/>
  <c r="F708" i="6"/>
  <c r="B491" i="6"/>
  <c r="E525" i="6"/>
  <c r="F775" i="6"/>
  <c r="E136" i="6"/>
  <c r="E84" i="6"/>
  <c r="H273" i="6"/>
  <c r="H636" i="6"/>
  <c r="G970" i="6"/>
  <c r="F5" i="6"/>
  <c r="G309" i="6"/>
  <c r="G392" i="6"/>
  <c r="B708" i="6"/>
  <c r="H38" i="6"/>
  <c r="B945" i="6"/>
  <c r="I214" i="6"/>
  <c r="B688" i="6"/>
  <c r="C878" i="6"/>
  <c r="E294" i="6"/>
  <c r="E43" i="6"/>
  <c r="D228" i="6"/>
  <c r="B711" i="6"/>
  <c r="F158" i="6"/>
  <c r="D190" i="6"/>
  <c r="C311" i="6"/>
  <c r="H803" i="6"/>
  <c r="G1018" i="6"/>
  <c r="C463" i="6"/>
  <c r="E292" i="6"/>
  <c r="H507" i="6"/>
  <c r="C487" i="6"/>
  <c r="E179" i="6"/>
  <c r="F663" i="6"/>
  <c r="G802" i="6"/>
  <c r="B764" i="6"/>
  <c r="E1021" i="6"/>
  <c r="H970" i="6"/>
  <c r="G534" i="6"/>
  <c r="B182" i="6"/>
  <c r="G601" i="6"/>
  <c r="D761" i="6"/>
  <c r="H866" i="6"/>
  <c r="F402" i="6"/>
  <c r="F66" i="6"/>
  <c r="B142" i="6"/>
  <c r="D317" i="6"/>
  <c r="G157" i="6"/>
  <c r="C28" i="6"/>
  <c r="D179" i="6"/>
  <c r="C461" i="6"/>
  <c r="G275" i="6"/>
  <c r="G988" i="6"/>
  <c r="D479" i="6"/>
  <c r="F676" i="6"/>
  <c r="F430" i="6"/>
  <c r="G663" i="6"/>
  <c r="H459" i="6"/>
  <c r="F408" i="6"/>
  <c r="E214" i="6"/>
  <c r="F315" i="6"/>
  <c r="B146" i="6"/>
  <c r="E653" i="6"/>
  <c r="E721" i="6"/>
  <c r="F714" i="6"/>
  <c r="E921" i="6"/>
  <c r="G799" i="6"/>
  <c r="D144" i="6"/>
  <c r="E668" i="6"/>
  <c r="B825" i="6"/>
  <c r="E830" i="6"/>
  <c r="G353" i="6"/>
  <c r="H10" i="6"/>
  <c r="C323" i="6"/>
  <c r="G644" i="6"/>
  <c r="C478" i="6"/>
  <c r="D143" i="6"/>
  <c r="F945" i="6"/>
  <c r="C294" i="6"/>
  <c r="F520" i="6"/>
  <c r="G168" i="6"/>
  <c r="C812" i="6"/>
  <c r="G172" i="6"/>
  <c r="F136" i="6"/>
  <c r="F894" i="6"/>
  <c r="E767" i="6"/>
  <c r="F656" i="6"/>
  <c r="H798" i="6"/>
  <c r="D863" i="6"/>
  <c r="G111" i="6"/>
  <c r="D717" i="6"/>
  <c r="G130" i="6"/>
  <c r="H518" i="6"/>
  <c r="H376" i="6"/>
  <c r="H608" i="6"/>
  <c r="H939" i="6"/>
  <c r="G777" i="6"/>
  <c r="H601" i="6"/>
  <c r="E476" i="6"/>
  <c r="G1014" i="6"/>
  <c r="C809" i="6"/>
  <c r="C101" i="6"/>
  <c r="E350" i="6"/>
  <c r="B336" i="6"/>
  <c r="E1018" i="6"/>
  <c r="F191" i="6"/>
  <c r="H423" i="6"/>
  <c r="D262" i="6"/>
  <c r="H934" i="6"/>
  <c r="D1006" i="6"/>
  <c r="E75" i="6"/>
  <c r="G604" i="6"/>
  <c r="H355" i="6"/>
  <c r="H181" i="6"/>
  <c r="F280" i="6"/>
  <c r="B911" i="6"/>
  <c r="H27" i="6"/>
  <c r="D596" i="6"/>
  <c r="H907" i="6"/>
  <c r="B168" i="6"/>
  <c r="D659" i="6"/>
  <c r="F387" i="6"/>
  <c r="D178" i="6"/>
  <c r="C320" i="6"/>
  <c r="B787" i="6"/>
  <c r="C475" i="6"/>
  <c r="C699" i="6"/>
  <c r="H923" i="6"/>
  <c r="E94" i="6"/>
  <c r="F349" i="6"/>
  <c r="F237" i="6"/>
  <c r="E337" i="6"/>
  <c r="E301" i="6"/>
  <c r="G59" i="6"/>
  <c r="C673" i="6"/>
  <c r="F746" i="6"/>
  <c r="D429" i="6"/>
  <c r="E440" i="6"/>
  <c r="B868" i="6"/>
  <c r="D491" i="6"/>
  <c r="B284" i="6"/>
  <c r="D511" i="6"/>
  <c r="E313" i="6"/>
  <c r="C735" i="6"/>
  <c r="D656" i="6"/>
  <c r="G843" i="6"/>
  <c r="F355" i="6"/>
  <c r="F1000" i="6"/>
  <c r="C231" i="6"/>
  <c r="D657" i="6"/>
  <c r="F106" i="6"/>
  <c r="B714" i="6"/>
  <c r="F546" i="6"/>
  <c r="F575" i="6"/>
  <c r="H836" i="6"/>
  <c r="H887" i="6"/>
  <c r="D975" i="6"/>
  <c r="H151" i="6"/>
  <c r="F881" i="6"/>
  <c r="F462" i="6"/>
  <c r="C282" i="6"/>
  <c r="C804" i="6"/>
  <c r="C342" i="6"/>
  <c r="G664" i="6"/>
  <c r="F235" i="6"/>
  <c r="H555" i="6"/>
  <c r="F188" i="6"/>
  <c r="D744" i="6"/>
  <c r="E419" i="6"/>
  <c r="H60" i="6"/>
  <c r="B723" i="6"/>
  <c r="F62" i="6"/>
  <c r="E98" i="6"/>
  <c r="G1024" i="6"/>
  <c r="C195" i="6"/>
  <c r="G588" i="6"/>
  <c r="C218" i="6"/>
  <c r="G787" i="6"/>
  <c r="E801" i="6"/>
  <c r="G1010" i="6"/>
  <c r="E79" i="6"/>
  <c r="D503" i="6"/>
  <c r="G122" i="6"/>
  <c r="G428" i="6"/>
  <c r="D42" i="6"/>
  <c r="E516" i="6"/>
  <c r="B418" i="6"/>
  <c r="C501" i="6"/>
  <c r="E636" i="6"/>
  <c r="G937" i="6"/>
  <c r="B51" i="6"/>
  <c r="H1015" i="6"/>
  <c r="E1007" i="6"/>
  <c r="B200" i="6"/>
  <c r="F528" i="6"/>
  <c r="B717" i="6"/>
  <c r="G642" i="6"/>
  <c r="F399" i="6"/>
  <c r="D1021" i="6"/>
  <c r="C39" i="6"/>
  <c r="G844" i="6"/>
  <c r="F8" i="6"/>
  <c r="C574" i="6"/>
  <c r="G367" i="6"/>
  <c r="H367" i="6"/>
  <c r="G129" i="6"/>
  <c r="F747" i="6"/>
  <c r="H179" i="6"/>
  <c r="F892" i="6"/>
  <c r="G29" i="6"/>
  <c r="H618" i="6"/>
  <c r="F123" i="6"/>
  <c r="E290" i="6"/>
  <c r="E980" i="6"/>
  <c r="B632" i="6"/>
  <c r="C849" i="6"/>
  <c r="H995" i="6"/>
  <c r="E666" i="6"/>
  <c r="D660" i="6"/>
  <c r="G132" i="6"/>
  <c r="E115" i="6"/>
  <c r="B420" i="6"/>
  <c r="C592" i="6"/>
  <c r="E144" i="6"/>
  <c r="B393" i="6"/>
  <c r="F352" i="6"/>
  <c r="H216" i="6"/>
  <c r="F109" i="6"/>
  <c r="H596" i="6"/>
  <c r="C250" i="6"/>
  <c r="B1010" i="6"/>
  <c r="H764" i="6"/>
  <c r="H801" i="6"/>
  <c r="F485" i="6"/>
  <c r="C299" i="6"/>
  <c r="F791" i="6"/>
  <c r="H600" i="6"/>
  <c r="B94" i="6"/>
  <c r="C913" i="6"/>
  <c r="D343" i="6"/>
  <c r="E108" i="6"/>
  <c r="G1013" i="6"/>
  <c r="D848" i="6"/>
  <c r="C908" i="6"/>
  <c r="D584" i="6"/>
  <c r="C981" i="6"/>
  <c r="H384" i="6"/>
  <c r="C302" i="6"/>
  <c r="D718" i="6"/>
  <c r="H496" i="6"/>
  <c r="H261" i="6"/>
  <c r="C54" i="6"/>
  <c r="D403" i="6"/>
  <c r="E336" i="6"/>
  <c r="E36" i="6"/>
  <c r="F229" i="6"/>
  <c r="G930" i="6"/>
  <c r="C369" i="6"/>
  <c r="E445" i="6"/>
  <c r="E829" i="6"/>
  <c r="C817" i="6"/>
  <c r="G9" i="6"/>
  <c r="H280" i="6"/>
  <c r="E130" i="6"/>
  <c r="E243" i="6"/>
  <c r="B592" i="6"/>
  <c r="E557" i="6"/>
  <c r="G402" i="6"/>
  <c r="F1012" i="6"/>
  <c r="F599" i="6"/>
  <c r="F723" i="6"/>
  <c r="E945" i="6"/>
  <c r="B232" i="6"/>
  <c r="G217" i="6"/>
  <c r="C150" i="6"/>
  <c r="B962" i="6"/>
  <c r="F161" i="6"/>
  <c r="C416" i="6"/>
  <c r="G364" i="6"/>
  <c r="E934" i="6"/>
  <c r="E119" i="6"/>
  <c r="B695" i="6"/>
  <c r="F426" i="6"/>
  <c r="E973" i="6"/>
  <c r="E709" i="6"/>
  <c r="H136" i="6"/>
  <c r="E93" i="6"/>
  <c r="B42" i="6"/>
  <c r="G706" i="6"/>
  <c r="B618" i="6"/>
  <c r="H497" i="6"/>
  <c r="H928" i="6"/>
  <c r="G696" i="6"/>
  <c r="D512" i="6"/>
  <c r="F653" i="6"/>
  <c r="B347" i="6"/>
  <c r="C168" i="6"/>
  <c r="G109" i="6"/>
  <c r="C705" i="6"/>
  <c r="F869" i="6"/>
  <c r="B330" i="6"/>
  <c r="D374" i="6"/>
  <c r="B267" i="6"/>
  <c r="C686" i="6"/>
  <c r="B651" i="6"/>
  <c r="C688" i="6"/>
  <c r="D320" i="6"/>
  <c r="B628" i="6"/>
  <c r="C639" i="6"/>
  <c r="F97" i="6"/>
  <c r="F154" i="6"/>
  <c r="F132" i="6"/>
  <c r="D407" i="6"/>
  <c r="F613" i="6"/>
  <c r="C225" i="6"/>
  <c r="G30" i="6"/>
  <c r="E628" i="6"/>
  <c r="B143" i="6"/>
  <c r="C528" i="6"/>
  <c r="D557" i="6"/>
  <c r="G200" i="6"/>
  <c r="C200" i="6"/>
  <c r="C979" i="6"/>
  <c r="C87" i="6"/>
  <c r="B164" i="6"/>
  <c r="H736" i="6"/>
  <c r="D342" i="6"/>
  <c r="C832" i="6"/>
  <c r="B737" i="6"/>
  <c r="B70" i="6"/>
  <c r="G709" i="6"/>
  <c r="B817" i="6"/>
  <c r="D360" i="6"/>
  <c r="B335" i="6"/>
  <c r="C221" i="6"/>
  <c r="D618" i="6"/>
  <c r="H123" i="6"/>
  <c r="B621" i="6"/>
  <c r="F68" i="6"/>
  <c r="D533" i="6"/>
  <c r="H604" i="6"/>
  <c r="C77" i="6"/>
  <c r="D54" i="6"/>
  <c r="E76" i="6"/>
  <c r="B291" i="6"/>
  <c r="B641" i="6"/>
  <c r="C774" i="6"/>
  <c r="B138" i="6"/>
  <c r="C173" i="6"/>
  <c r="B7" i="6"/>
  <c r="C7" i="6"/>
  <c r="C989" i="6"/>
  <c r="D989" i="6"/>
  <c r="B989" i="6"/>
  <c r="H750" i="6"/>
  <c r="B750" i="6"/>
  <c r="B543" i="6"/>
  <c r="E543" i="6"/>
  <c r="C626" i="6"/>
  <c r="H626" i="6"/>
  <c r="C37" i="6"/>
  <c r="D37" i="6"/>
  <c r="E371" i="6"/>
  <c r="F371" i="6"/>
  <c r="C371" i="6"/>
  <c r="E68" i="6"/>
  <c r="G68" i="6"/>
  <c r="D68" i="6"/>
  <c r="C467" i="6"/>
  <c r="F467" i="6"/>
  <c r="B467" i="6"/>
  <c r="E998" i="6"/>
  <c r="B998" i="6"/>
  <c r="C998" i="6"/>
  <c r="F998" i="6"/>
  <c r="H998" i="6"/>
  <c r="C121" i="6"/>
  <c r="D121" i="6"/>
  <c r="E121" i="6"/>
  <c r="G231" i="6"/>
  <c r="E231" i="6"/>
  <c r="B71" i="6"/>
  <c r="D71" i="6"/>
  <c r="E711" i="6"/>
  <c r="G711" i="6"/>
  <c r="C430" i="6"/>
  <c r="B430" i="6"/>
  <c r="D430" i="6"/>
  <c r="C532" i="6"/>
  <c r="F532" i="6"/>
  <c r="B204" i="6"/>
  <c r="G204" i="6"/>
  <c r="C204" i="6"/>
  <c r="E204" i="6"/>
  <c r="D204" i="6"/>
  <c r="F204" i="6"/>
  <c r="C801" i="6"/>
  <c r="F801" i="6"/>
  <c r="F412" i="6"/>
  <c r="E412" i="6"/>
  <c r="B412" i="6"/>
  <c r="C412" i="6"/>
  <c r="G262" i="6"/>
  <c r="E262" i="6"/>
  <c r="D301" i="6"/>
  <c r="H301" i="6"/>
  <c r="B301" i="6"/>
  <c r="F301" i="6"/>
  <c r="G301" i="6"/>
  <c r="H658" i="6"/>
  <c r="E658" i="6"/>
  <c r="F658" i="6"/>
  <c r="D658" i="6"/>
  <c r="E455" i="6"/>
  <c r="H455" i="6"/>
  <c r="F455" i="6"/>
  <c r="B455" i="6"/>
  <c r="E556" i="6"/>
  <c r="C556" i="6"/>
  <c r="H290" i="6"/>
  <c r="D290" i="6"/>
  <c r="D56" i="6"/>
  <c r="H56" i="6"/>
  <c r="H395" i="6"/>
  <c r="F395" i="6"/>
  <c r="D395" i="6"/>
  <c r="E395" i="6"/>
  <c r="B395" i="6"/>
  <c r="C395" i="6"/>
  <c r="D209" i="6"/>
  <c r="G209" i="6"/>
  <c r="E209" i="6"/>
  <c r="F209" i="6"/>
  <c r="H209" i="6"/>
  <c r="B209" i="6"/>
  <c r="C209" i="6"/>
  <c r="F909" i="6"/>
  <c r="E909" i="6"/>
  <c r="D909" i="6"/>
  <c r="G909" i="6"/>
  <c r="H909" i="6"/>
  <c r="G825" i="6"/>
  <c r="C825" i="6"/>
  <c r="H825" i="6"/>
  <c r="F69" i="6"/>
  <c r="H69" i="6"/>
  <c r="C69" i="6"/>
  <c r="E218" i="6"/>
  <c r="H218" i="6"/>
  <c r="D218" i="6"/>
  <c r="B610" i="6"/>
  <c r="G610" i="6"/>
  <c r="E610" i="6"/>
  <c r="H610" i="6"/>
  <c r="F610" i="6"/>
  <c r="D76" i="6"/>
  <c r="C76" i="6"/>
  <c r="B76" i="6"/>
  <c r="H76" i="6"/>
  <c r="F421" i="6"/>
  <c r="C421" i="6"/>
  <c r="E841" i="6"/>
  <c r="G841" i="6"/>
  <c r="E324" i="6"/>
  <c r="F324" i="6"/>
  <c r="H166" i="6"/>
  <c r="C166" i="6"/>
  <c r="D166" i="6"/>
  <c r="B157" i="6"/>
  <c r="C157" i="6"/>
  <c r="D157" i="6"/>
  <c r="B840" i="6"/>
  <c r="C840" i="6"/>
  <c r="H840" i="6"/>
  <c r="C709" i="6"/>
  <c r="D709" i="6"/>
  <c r="D1024" i="6"/>
  <c r="C1024" i="6"/>
  <c r="H1024" i="6"/>
  <c r="E1024" i="6"/>
  <c r="B1024" i="6"/>
  <c r="D330" i="6"/>
  <c r="F330" i="6"/>
  <c r="C330" i="6"/>
  <c r="B815" i="6"/>
  <c r="G815" i="6"/>
  <c r="D815" i="6"/>
  <c r="F420" i="6"/>
  <c r="D420" i="6"/>
  <c r="D966" i="6"/>
  <c r="C966" i="6"/>
  <c r="F966" i="6"/>
  <c r="G966" i="6"/>
  <c r="E966" i="6"/>
  <c r="C536" i="6"/>
  <c r="B536" i="6"/>
  <c r="H536" i="6"/>
  <c r="E536" i="6"/>
  <c r="G536" i="6"/>
  <c r="D871" i="6"/>
  <c r="H871" i="6"/>
  <c r="F871" i="6"/>
  <c r="E871" i="6"/>
  <c r="B871" i="6"/>
  <c r="D1015" i="6"/>
  <c r="F1015" i="6"/>
  <c r="G1015" i="6"/>
  <c r="B1015" i="6"/>
  <c r="E864" i="6"/>
  <c r="H864" i="6"/>
  <c r="C864" i="6"/>
  <c r="F864" i="6"/>
  <c r="G864" i="6"/>
  <c r="D864" i="6"/>
  <c r="B722" i="6"/>
  <c r="E722" i="6"/>
  <c r="D722" i="6"/>
  <c r="H722" i="6"/>
  <c r="C722" i="6"/>
  <c r="G722" i="6"/>
  <c r="G766" i="6"/>
  <c r="H766" i="6"/>
  <c r="F766" i="6"/>
  <c r="E766" i="6"/>
  <c r="D766" i="6"/>
  <c r="B517" i="6"/>
  <c r="E517" i="6"/>
  <c r="C517" i="6"/>
  <c r="H517" i="6"/>
  <c r="D517" i="6"/>
  <c r="F517" i="6"/>
  <c r="G517" i="6"/>
  <c r="B869" i="6"/>
  <c r="D869" i="6"/>
  <c r="E869" i="6"/>
  <c r="H869" i="6"/>
  <c r="C869" i="6"/>
  <c r="B189" i="6"/>
  <c r="F189" i="6"/>
  <c r="G189" i="6"/>
  <c r="H924" i="6"/>
  <c r="D924" i="6"/>
  <c r="F924" i="6"/>
  <c r="B924" i="6"/>
  <c r="B783" i="6"/>
  <c r="E783" i="6"/>
  <c r="F783" i="6"/>
  <c r="H783" i="6"/>
  <c r="G783" i="6"/>
  <c r="C783" i="6"/>
  <c r="B220" i="6"/>
  <c r="H220" i="6"/>
  <c r="E220" i="6"/>
  <c r="F220" i="6"/>
  <c r="G220" i="6"/>
  <c r="C220" i="6"/>
  <c r="G529" i="6"/>
  <c r="H529" i="6"/>
  <c r="F529" i="6"/>
  <c r="C529" i="6"/>
  <c r="B743" i="6"/>
  <c r="D743" i="6"/>
  <c r="H743" i="6"/>
  <c r="C743" i="6"/>
  <c r="F743" i="6"/>
  <c r="E743" i="6"/>
  <c r="G743" i="6"/>
  <c r="H28" i="6"/>
  <c r="D28" i="6"/>
  <c r="E28" i="6"/>
  <c r="G28" i="6"/>
  <c r="B28" i="6"/>
  <c r="H855" i="6"/>
  <c r="C855" i="6"/>
  <c r="B855" i="6"/>
  <c r="E855" i="6"/>
  <c r="G855" i="6"/>
  <c r="H686" i="6"/>
  <c r="D686" i="6"/>
  <c r="E320" i="6"/>
  <c r="G320" i="6"/>
  <c r="F320" i="6"/>
  <c r="H320" i="6"/>
  <c r="B320" i="6"/>
  <c r="G879" i="6"/>
  <c r="E879" i="6"/>
  <c r="B879" i="6"/>
  <c r="C879" i="6"/>
  <c r="E132" i="6"/>
  <c r="H132" i="6"/>
  <c r="D132" i="6"/>
  <c r="K200" i="6" l="1"/>
  <c r="O200" i="6"/>
  <c r="L557" i="6"/>
  <c r="K528" i="6"/>
  <c r="J143" i="6"/>
  <c r="M628" i="6"/>
  <c r="O30" i="6"/>
  <c r="K225" i="6"/>
  <c r="N613" i="6"/>
  <c r="L407" i="6"/>
  <c r="N132" i="6"/>
  <c r="N154" i="6"/>
  <c r="N97" i="6"/>
  <c r="K639" i="6"/>
  <c r="J628" i="6"/>
  <c r="L320" i="6"/>
  <c r="K688" i="6"/>
  <c r="J651" i="6"/>
  <c r="K686" i="6"/>
  <c r="J267" i="6"/>
  <c r="L374" i="6"/>
  <c r="J330" i="6"/>
  <c r="N869" i="6"/>
  <c r="K705" i="6"/>
  <c r="O109" i="6"/>
  <c r="K168" i="6"/>
  <c r="J347" i="6"/>
  <c r="N653" i="6"/>
  <c r="L512" i="6"/>
  <c r="O696" i="6"/>
  <c r="P928" i="6"/>
  <c r="P497" i="6"/>
  <c r="J618" i="6"/>
  <c r="O706" i="6"/>
  <c r="J42" i="6"/>
  <c r="M93" i="6"/>
  <c r="P136" i="6"/>
  <c r="M709" i="6"/>
  <c r="M973" i="6"/>
  <c r="N426" i="6"/>
  <c r="J695" i="6"/>
  <c r="M119" i="6"/>
  <c r="M934" i="6"/>
  <c r="O364" i="6"/>
  <c r="K416" i="6"/>
  <c r="N161" i="6"/>
  <c r="J962" i="6"/>
  <c r="K150" i="6"/>
  <c r="O217" i="6"/>
  <c r="J232" i="6"/>
  <c r="M945" i="6"/>
  <c r="N723" i="6"/>
  <c r="N599" i="6"/>
  <c r="N1012" i="6"/>
  <c r="O402" i="6"/>
  <c r="M557" i="6"/>
  <c r="J592" i="6"/>
  <c r="M243" i="6"/>
  <c r="M130" i="6"/>
  <c r="P280" i="6"/>
  <c r="O9" i="6"/>
  <c r="K817" i="6"/>
  <c r="M829" i="6"/>
  <c r="M445" i="6"/>
  <c r="K369" i="6"/>
  <c r="O930" i="6"/>
  <c r="N229" i="6"/>
  <c r="M36" i="6"/>
  <c r="M336" i="6"/>
  <c r="L403" i="6"/>
  <c r="K54" i="6"/>
  <c r="P261" i="6"/>
  <c r="P496" i="6"/>
  <c r="L718" i="6"/>
  <c r="K302" i="6"/>
  <c r="P384" i="6"/>
  <c r="K981" i="6"/>
  <c r="L584" i="6"/>
  <c r="K908" i="6"/>
  <c r="L848" i="6"/>
  <c r="O1013" i="6"/>
  <c r="M108" i="6"/>
  <c r="L343" i="6"/>
  <c r="K913" i="6"/>
  <c r="J94" i="6"/>
  <c r="P600" i="6"/>
  <c r="N791" i="6"/>
  <c r="K299" i="6"/>
  <c r="N485" i="6"/>
  <c r="P801" i="6"/>
  <c r="P764" i="6"/>
  <c r="J1010" i="6"/>
  <c r="K250" i="6"/>
  <c r="P596" i="6"/>
  <c r="N109" i="6"/>
  <c r="P216" i="6"/>
  <c r="N352" i="6"/>
  <c r="J393" i="6"/>
  <c r="M144" i="6"/>
  <c r="K592" i="6"/>
  <c r="J420" i="6"/>
  <c r="M115" i="6"/>
  <c r="O132" i="6"/>
  <c r="L660" i="6"/>
  <c r="M666" i="6"/>
  <c r="P995" i="6"/>
  <c r="K849" i="6"/>
  <c r="J632" i="6"/>
  <c r="M980" i="6"/>
  <c r="M290" i="6"/>
  <c r="N123" i="6"/>
  <c r="P618" i="6"/>
  <c r="O29" i="6"/>
  <c r="N892" i="6"/>
  <c r="P179" i="6"/>
  <c r="N747" i="6"/>
  <c r="O129" i="6"/>
  <c r="P367" i="6"/>
  <c r="O367" i="6"/>
  <c r="K574" i="6"/>
  <c r="N8" i="6"/>
  <c r="O844" i="6"/>
  <c r="K39" i="6"/>
  <c r="L1021" i="6"/>
  <c r="N399" i="6"/>
  <c r="O642" i="6"/>
  <c r="J717" i="6"/>
  <c r="N528" i="6"/>
  <c r="J200" i="6"/>
  <c r="M1007" i="6"/>
  <c r="P1015" i="6"/>
  <c r="J51" i="6"/>
  <c r="O937" i="6"/>
  <c r="M636" i="6"/>
  <c r="K501" i="6"/>
  <c r="J418" i="6"/>
  <c r="M516" i="6"/>
  <c r="L42" i="6"/>
  <c r="O428" i="6"/>
  <c r="O122" i="6"/>
  <c r="L503" i="6"/>
  <c r="M79" i="6"/>
  <c r="O1010" i="6"/>
  <c r="M801" i="6"/>
  <c r="O787" i="6"/>
  <c r="K218" i="6"/>
  <c r="O588" i="6"/>
  <c r="K195" i="6"/>
  <c r="O1024" i="6"/>
  <c r="M98" i="6"/>
  <c r="N62" i="6"/>
  <c r="J723" i="6"/>
  <c r="P60" i="6"/>
  <c r="M419" i="6"/>
  <c r="L744" i="6"/>
  <c r="N188" i="6"/>
  <c r="P555" i="6"/>
  <c r="N235" i="6"/>
  <c r="O664" i="6"/>
  <c r="K342" i="6"/>
  <c r="K804" i="6"/>
  <c r="K282" i="6"/>
  <c r="N462" i="6"/>
  <c r="N881" i="6"/>
  <c r="P151" i="6"/>
  <c r="L975" i="6"/>
  <c r="P887" i="6"/>
  <c r="P836" i="6"/>
  <c r="N575" i="6"/>
  <c r="N546" i="6"/>
  <c r="J714" i="6"/>
  <c r="N106" i="6"/>
  <c r="L657" i="6"/>
  <c r="K231" i="6"/>
  <c r="N1000" i="6"/>
  <c r="N355" i="6"/>
  <c r="O843" i="6"/>
  <c r="L656" i="6"/>
  <c r="K735" i="6"/>
  <c r="M313" i="6"/>
  <c r="L511" i="6"/>
  <c r="J284" i="6"/>
  <c r="L491" i="6"/>
  <c r="J868" i="6"/>
  <c r="M440" i="6"/>
  <c r="L429" i="6"/>
  <c r="N746" i="6"/>
  <c r="K673" i="6"/>
  <c r="O59" i="6"/>
  <c r="M301" i="6"/>
  <c r="M337" i="6"/>
  <c r="N237" i="6"/>
  <c r="N349" i="6"/>
  <c r="M94" i="6"/>
  <c r="P923" i="6"/>
  <c r="K699" i="6"/>
  <c r="K475" i="6"/>
  <c r="J787" i="6"/>
  <c r="K320" i="6"/>
  <c r="L178" i="6"/>
  <c r="N387" i="6"/>
  <c r="L659" i="6"/>
  <c r="J168" i="6"/>
  <c r="P907" i="6"/>
  <c r="L596" i="6"/>
  <c r="P27" i="6"/>
  <c r="J911" i="6"/>
  <c r="N280" i="6"/>
  <c r="P181" i="6"/>
  <c r="P355" i="6"/>
  <c r="O604" i="6"/>
  <c r="M75" i="6"/>
  <c r="L1006" i="6"/>
  <c r="P934" i="6"/>
  <c r="L262" i="6"/>
  <c r="P423" i="6"/>
  <c r="N191" i="6"/>
  <c r="M1018" i="6"/>
  <c r="J336" i="6"/>
  <c r="M350" i="6"/>
  <c r="K101" i="6"/>
  <c r="K809" i="6"/>
  <c r="O1014" i="6"/>
  <c r="M476" i="6"/>
  <c r="P601" i="6"/>
  <c r="O777" i="6"/>
  <c r="P939" i="6"/>
  <c r="P608" i="6"/>
  <c r="P376" i="6"/>
  <c r="P518" i="6"/>
  <c r="O130" i="6"/>
  <c r="L717" i="6"/>
  <c r="O111" i="6"/>
  <c r="L863" i="6"/>
  <c r="P798" i="6"/>
  <c r="N656" i="6"/>
  <c r="M767" i="6"/>
  <c r="N894" i="6"/>
  <c r="N136" i="6"/>
  <c r="O172" i="6"/>
  <c r="K812" i="6"/>
  <c r="O168" i="6"/>
  <c r="N520" i="6"/>
  <c r="K294" i="6"/>
  <c r="N945" i="6"/>
  <c r="L143" i="6"/>
  <c r="K478" i="6"/>
  <c r="O644" i="6"/>
  <c r="K323" i="6"/>
  <c r="P10" i="6"/>
  <c r="O353" i="6"/>
  <c r="M830" i="6"/>
  <c r="J825" i="6"/>
  <c r="M668" i="6"/>
  <c r="L144" i="6"/>
  <c r="O799" i="6"/>
  <c r="M921" i="6"/>
  <c r="N714" i="6"/>
  <c r="M721" i="6"/>
  <c r="M653" i="6"/>
  <c r="J146" i="6"/>
  <c r="N315" i="6"/>
  <c r="M214" i="6"/>
  <c r="N408" i="6"/>
  <c r="P459" i="6"/>
  <c r="O663" i="6"/>
  <c r="N430" i="6"/>
  <c r="N676" i="6"/>
  <c r="L479" i="6"/>
  <c r="O988" i="6"/>
  <c r="O275" i="6"/>
  <c r="K461" i="6"/>
  <c r="L179" i="6"/>
  <c r="K28" i="6"/>
  <c r="O157" i="6"/>
  <c r="L317" i="6"/>
  <c r="J142" i="6"/>
  <c r="N66" i="6"/>
  <c r="N402" i="6"/>
  <c r="P866" i="6"/>
  <c r="L761" i="6"/>
  <c r="O601" i="6"/>
  <c r="J182" i="6"/>
  <c r="O534" i="6"/>
  <c r="P970" i="6"/>
  <c r="M1021" i="6"/>
  <c r="J764" i="6"/>
  <c r="O802" i="6"/>
  <c r="N663" i="6"/>
  <c r="M179" i="6"/>
  <c r="K487" i="6"/>
  <c r="P507" i="6"/>
  <c r="M292" i="6"/>
  <c r="K463" i="6"/>
  <c r="O1018" i="6"/>
  <c r="P803" i="6"/>
  <c r="K311" i="6"/>
  <c r="L190" i="6"/>
  <c r="N158" i="6"/>
  <c r="J711" i="6"/>
  <c r="L228" i="6"/>
  <c r="M43" i="6"/>
  <c r="M294" i="6"/>
  <c r="K878" i="6"/>
  <c r="J688" i="6"/>
  <c r="J945" i="6"/>
  <c r="P38" i="6"/>
  <c r="J708" i="6"/>
  <c r="O392" i="6"/>
  <c r="O309" i="6"/>
  <c r="N5" i="6"/>
  <c r="O970" i="6"/>
  <c r="P636" i="6"/>
  <c r="P273" i="6"/>
  <c r="M84" i="6"/>
  <c r="M136" i="6"/>
  <c r="N775" i="6"/>
  <c r="M525" i="6"/>
  <c r="J491" i="6"/>
  <c r="N708" i="6"/>
  <c r="P540" i="6"/>
  <c r="P870" i="6"/>
  <c r="O440" i="6"/>
  <c r="O759" i="6"/>
  <c r="O728" i="6"/>
  <c r="M741" i="6"/>
  <c r="N246" i="6"/>
  <c r="M59" i="6"/>
  <c r="M199" i="6"/>
  <c r="O408" i="6"/>
  <c r="J954" i="6"/>
  <c r="O633" i="6"/>
  <c r="M706" i="6"/>
  <c r="J518" i="6"/>
  <c r="L3" i="6"/>
  <c r="O486" i="6"/>
  <c r="K794" i="6"/>
  <c r="O574" i="6"/>
  <c r="M123" i="6"/>
  <c r="K112" i="6"/>
  <c r="K863" i="6"/>
  <c r="P678" i="6"/>
  <c r="K857" i="6"/>
  <c r="N923" i="6"/>
  <c r="L460" i="6"/>
  <c r="J671" i="6"/>
  <c r="K217" i="6"/>
  <c r="O675" i="6"/>
  <c r="L556" i="6"/>
  <c r="N913" i="6"/>
  <c r="O267" i="6"/>
  <c r="K584" i="6"/>
  <c r="K60" i="6"/>
  <c r="M216" i="6"/>
  <c r="N713" i="6"/>
  <c r="M807" i="6"/>
  <c r="L759" i="6"/>
  <c r="M1009" i="6"/>
  <c r="O482" i="6"/>
  <c r="P714" i="6"/>
  <c r="N760" i="6"/>
  <c r="O237" i="6"/>
  <c r="O945" i="6"/>
  <c r="M584" i="6"/>
  <c r="M10" i="6"/>
  <c r="M605" i="6"/>
  <c r="P402" i="6"/>
  <c r="O439" i="6"/>
  <c r="M840" i="6"/>
  <c r="M839" i="6"/>
  <c r="N985" i="6"/>
  <c r="J556" i="6"/>
  <c r="J114" i="6"/>
  <c r="K601" i="6"/>
  <c r="K942" i="6"/>
  <c r="O779" i="6"/>
  <c r="L651" i="6"/>
  <c r="K154" i="6"/>
  <c r="L610" i="6"/>
  <c r="M425" i="6"/>
  <c r="O394" i="6"/>
  <c r="L853" i="6"/>
  <c r="J464" i="6"/>
  <c r="L705" i="6"/>
  <c r="P178" i="6"/>
  <c r="M866" i="6"/>
  <c r="M299" i="6"/>
  <c r="P131" i="6"/>
  <c r="P463" i="6"/>
  <c r="P369" i="6"/>
  <c r="N600" i="6"/>
  <c r="N433" i="6"/>
  <c r="N231" i="6"/>
  <c r="K841" i="6"/>
  <c r="O333" i="6"/>
  <c r="O753" i="6"/>
  <c r="O464" i="6"/>
  <c r="J863" i="6"/>
  <c r="J98" i="6"/>
  <c r="J54" i="6"/>
  <c r="L415" i="6"/>
  <c r="M614" i="6"/>
  <c r="N568" i="6"/>
  <c r="O368" i="6"/>
  <c r="J519" i="6"/>
  <c r="L715" i="6"/>
  <c r="L131" i="6"/>
  <c r="P168" i="6"/>
  <c r="P598" i="6"/>
  <c r="N709" i="6"/>
  <c r="M760" i="6"/>
  <c r="M386" i="6"/>
  <c r="K131" i="6"/>
  <c r="J382" i="6"/>
  <c r="L223" i="6"/>
  <c r="K969" i="6"/>
  <c r="O955" i="6"/>
  <c r="N166" i="6"/>
  <c r="K760" i="6"/>
  <c r="K340" i="6"/>
  <c r="K959" i="6"/>
  <c r="O458" i="6"/>
  <c r="N251" i="6"/>
  <c r="M326" i="6"/>
  <c r="K589" i="6"/>
  <c r="P682" i="6"/>
  <c r="K228" i="6"/>
  <c r="P125" i="6"/>
  <c r="K866" i="6"/>
  <c r="N321" i="6"/>
  <c r="L844" i="6"/>
  <c r="O147" i="6"/>
  <c r="K1021" i="6"/>
  <c r="L921" i="6"/>
  <c r="P92" i="6"/>
  <c r="L458" i="6"/>
  <c r="N144" i="6"/>
  <c r="O416" i="6"/>
  <c r="K32" i="6"/>
  <c r="J8" i="6"/>
  <c r="O716" i="6"/>
  <c r="M170" i="6"/>
  <c r="L198" i="6"/>
  <c r="J218" i="6"/>
  <c r="N215" i="6"/>
  <c r="N149" i="6"/>
  <c r="O359" i="6"/>
  <c r="N899" i="6"/>
  <c r="N589" i="6"/>
  <c r="L941" i="6"/>
  <c r="K651" i="6"/>
  <c r="N808" i="6"/>
  <c r="L386" i="6"/>
  <c r="M676" i="6"/>
  <c r="M74" i="6"/>
  <c r="J145" i="6"/>
  <c r="L643" i="6"/>
  <c r="M790" i="6"/>
  <c r="M862" i="6"/>
  <c r="O324" i="6"/>
  <c r="L82" i="6"/>
  <c r="P955" i="6"/>
  <c r="L583" i="6"/>
  <c r="N82" i="6"/>
  <c r="N805" i="6"/>
  <c r="N290" i="6"/>
  <c r="O914" i="6"/>
  <c r="P188" i="6"/>
  <c r="M690" i="6"/>
  <c r="N346" i="6"/>
  <c r="L537" i="6"/>
  <c r="N508" i="6"/>
  <c r="N839" i="6"/>
  <c r="N381" i="6"/>
  <c r="P913" i="6"/>
  <c r="P427" i="6"/>
  <c r="N567" i="6"/>
  <c r="M828" i="6"/>
  <c r="O106" i="6"/>
  <c r="P676" i="6"/>
  <c r="K349" i="6"/>
  <c r="N281" i="6"/>
  <c r="N241" i="6"/>
  <c r="N275" i="6"/>
  <c r="K447" i="6"/>
  <c r="P34" i="6"/>
  <c r="J913" i="6"/>
  <c r="P25" i="6"/>
  <c r="M300" i="6"/>
  <c r="L988" i="6"/>
  <c r="L692" i="6"/>
  <c r="J307" i="6"/>
  <c r="J575" i="6"/>
  <c r="O891" i="6"/>
  <c r="L800" i="6"/>
  <c r="N907" i="6"/>
  <c r="J824" i="6"/>
  <c r="P358" i="6"/>
  <c r="O925" i="6"/>
  <c r="N891" i="6"/>
  <c r="N800" i="6"/>
  <c r="P382" i="6"/>
  <c r="O903" i="6"/>
  <c r="L148" i="6"/>
  <c r="K384" i="6"/>
  <c r="N558" i="6"/>
  <c r="M387" i="6"/>
  <c r="P167" i="6"/>
  <c r="J108" i="6"/>
  <c r="K372" i="6"/>
  <c r="N147" i="6"/>
  <c r="O211" i="6"/>
  <c r="M143" i="6"/>
  <c r="M660" i="6"/>
  <c r="L936" i="6"/>
  <c r="J922" i="6"/>
  <c r="O547" i="6"/>
  <c r="O749" i="6"/>
  <c r="M652" i="6"/>
  <c r="M384" i="6"/>
  <c r="O582" i="6"/>
  <c r="M157" i="6"/>
  <c r="M846" i="6"/>
  <c r="M798" i="6"/>
  <c r="J983" i="6"/>
  <c r="P1007" i="6"/>
  <c r="P296" i="6"/>
  <c r="P741" i="6"/>
  <c r="J388" i="6"/>
  <c r="P662" i="6"/>
  <c r="L574" i="6"/>
  <c r="N506" i="6"/>
  <c r="P259" i="6"/>
  <c r="P202" i="6"/>
  <c r="N269" i="6"/>
  <c r="O595" i="6"/>
  <c r="N627" i="6"/>
  <c r="L454" i="6"/>
  <c r="J404" i="6"/>
  <c r="O956" i="6"/>
  <c r="O913" i="6"/>
  <c r="P476" i="6"/>
  <c r="M820" i="6"/>
  <c r="L373" i="6"/>
  <c r="N645" i="6"/>
  <c r="L823" i="6"/>
  <c r="K492" i="6"/>
  <c r="P514" i="6"/>
  <c r="L335" i="6"/>
  <c r="M720" i="6"/>
  <c r="P792" i="6"/>
  <c r="P725" i="6"/>
  <c r="K301" i="6"/>
  <c r="O704" i="6"/>
  <c r="P960" i="6"/>
  <c r="O800" i="6"/>
  <c r="K441" i="6"/>
  <c r="P822" i="6"/>
  <c r="M785" i="6"/>
  <c r="L531" i="6"/>
  <c r="L578" i="6"/>
  <c r="O453" i="6"/>
  <c r="P445" i="6"/>
  <c r="O230" i="6"/>
  <c r="M876" i="6"/>
  <c r="M520" i="6"/>
  <c r="N954" i="6"/>
  <c r="N825" i="6"/>
  <c r="P156" i="6"/>
  <c r="M442" i="6"/>
  <c r="N862" i="6"/>
  <c r="K848" i="6"/>
  <c r="N522" i="6"/>
  <c r="L569" i="6"/>
  <c r="O468" i="6"/>
  <c r="M149" i="6"/>
  <c r="J446" i="6"/>
  <c r="L402" i="6"/>
  <c r="P250" i="6"/>
  <c r="N961" i="6"/>
  <c r="J901" i="6"/>
  <c r="P177" i="6"/>
  <c r="N813" i="6"/>
  <c r="P433" i="6"/>
  <c r="P972" i="6"/>
  <c r="M154" i="6"/>
  <c r="K1018" i="6"/>
  <c r="N855" i="6"/>
  <c r="K147" i="6"/>
  <c r="N1019" i="6"/>
  <c r="O842" i="6"/>
  <c r="L35" i="6"/>
  <c r="L352" i="6"/>
  <c r="P253" i="6"/>
  <c r="L267" i="6"/>
  <c r="O884" i="6"/>
  <c r="P200" i="6"/>
  <c r="K557" i="6"/>
  <c r="L528" i="6"/>
  <c r="O150" i="6"/>
  <c r="K715" i="6"/>
  <c r="K628" i="6"/>
  <c r="J1001" i="6"/>
  <c r="N734" i="6"/>
  <c r="L777" i="6"/>
  <c r="M308" i="6"/>
  <c r="K360" i="6"/>
  <c r="K752" i="6"/>
  <c r="J105" i="6"/>
  <c r="L102" i="6"/>
  <c r="J676" i="6"/>
  <c r="K161" i="6"/>
  <c r="O56" i="6"/>
  <c r="J786" i="6"/>
  <c r="K10" i="6"/>
  <c r="J785" i="6"/>
  <c r="N536" i="6"/>
  <c r="O415" i="6"/>
  <c r="O341" i="6"/>
  <c r="O476" i="6"/>
  <c r="O407" i="6"/>
  <c r="J84" i="6"/>
  <c r="K41" i="6"/>
  <c r="J771" i="6"/>
  <c r="K769" i="6"/>
  <c r="O183" i="6"/>
  <c r="P470" i="6"/>
  <c r="M325" i="6"/>
  <c r="O499" i="6"/>
  <c r="N243" i="6"/>
  <c r="O744" i="6"/>
  <c r="O772" i="6"/>
  <c r="P249" i="6"/>
  <c r="O763" i="6"/>
  <c r="N570" i="6"/>
  <c r="K479" i="6"/>
  <c r="K872" i="6"/>
  <c r="L716" i="6"/>
  <c r="M815" i="6"/>
  <c r="O897" i="6"/>
  <c r="M539" i="6"/>
  <c r="L972" i="6"/>
  <c r="J700" i="6"/>
  <c r="M443" i="6"/>
  <c r="K290" i="6"/>
  <c r="J808" i="6"/>
  <c r="N790" i="6"/>
  <c r="M150" i="6"/>
  <c r="N866" i="6"/>
  <c r="M131" i="6"/>
  <c r="J544" i="6"/>
  <c r="N486" i="6"/>
  <c r="N914" i="6"/>
  <c r="J486" i="6"/>
  <c r="P512" i="6"/>
  <c r="P707" i="6"/>
  <c r="P684" i="6"/>
  <c r="L942" i="6"/>
  <c r="J833" i="6"/>
  <c r="P233" i="6"/>
  <c r="M147" i="6"/>
  <c r="K127" i="6"/>
  <c r="P849" i="6"/>
  <c r="J906" i="6"/>
  <c r="N46" i="6"/>
  <c r="J603" i="6"/>
  <c r="P535" i="6"/>
  <c r="N481" i="6"/>
  <c r="N702" i="6"/>
  <c r="M408" i="6"/>
  <c r="K3" i="6"/>
  <c r="K845" i="6"/>
  <c r="J383" i="6"/>
  <c r="N442" i="6"/>
  <c r="K934" i="6"/>
  <c r="O514" i="6"/>
  <c r="N21" i="6"/>
  <c r="K729" i="6"/>
  <c r="N254" i="6"/>
  <c r="M189" i="6"/>
  <c r="O369" i="6"/>
  <c r="O954" i="6"/>
  <c r="J966" i="6"/>
  <c r="K464" i="6"/>
  <c r="N287" i="6"/>
  <c r="M374" i="6"/>
  <c r="O385" i="6"/>
  <c r="P491" i="6"/>
  <c r="K514" i="6"/>
  <c r="P271" i="6"/>
  <c r="L784" i="6"/>
  <c r="P3" i="6"/>
  <c r="O933" i="6"/>
  <c r="P488" i="6"/>
  <c r="P647" i="6"/>
  <c r="L21" i="6"/>
  <c r="O500" i="6"/>
  <c r="M579" i="6"/>
  <c r="J439" i="6"/>
  <c r="J477" i="6"/>
  <c r="L392" i="6"/>
  <c r="L1010" i="6"/>
  <c r="J433" i="6"/>
  <c r="N187" i="6"/>
  <c r="K352" i="6"/>
  <c r="M522" i="6"/>
  <c r="L189" i="6"/>
  <c r="J283" i="6"/>
  <c r="L783" i="6"/>
  <c r="O281" i="6"/>
  <c r="M698" i="6"/>
  <c r="N28" i="6"/>
  <c r="N168" i="6"/>
  <c r="N615" i="6"/>
  <c r="J462" i="6"/>
  <c r="O692" i="6"/>
  <c r="J823" i="6"/>
  <c r="J520" i="6"/>
  <c r="N150" i="6"/>
  <c r="N365" i="6"/>
  <c r="K450" i="6"/>
  <c r="K256" i="6"/>
  <c r="L828" i="6"/>
  <c r="P474" i="6"/>
  <c r="L222" i="6"/>
  <c r="M608" i="6"/>
  <c r="L163" i="6"/>
  <c r="M181" i="6"/>
  <c r="K189" i="6"/>
  <c r="L901" i="6"/>
  <c r="L580" i="6"/>
  <c r="K264" i="6"/>
  <c r="M705" i="6"/>
  <c r="O789" i="6"/>
  <c r="P813" i="6"/>
  <c r="K152" i="6"/>
  <c r="P690" i="6"/>
  <c r="N375" i="6"/>
  <c r="M955" i="6"/>
  <c r="L70" i="6"/>
  <c r="K739" i="6"/>
  <c r="N304" i="6"/>
  <c r="O396" i="6"/>
  <c r="J834" i="6"/>
  <c r="L675" i="6"/>
  <c r="O418" i="6"/>
  <c r="L123" i="6"/>
  <c r="P286" i="6"/>
  <c r="K880" i="6"/>
  <c r="O908" i="6"/>
  <c r="P951" i="6"/>
  <c r="M66" i="6"/>
  <c r="O824" i="6"/>
  <c r="P387" i="6"/>
  <c r="J553" i="6"/>
  <c r="P348" i="6"/>
  <c r="K761" i="6"/>
  <c r="K31" i="6"/>
  <c r="J24" i="6"/>
  <c r="O378" i="6"/>
  <c r="P1016" i="6"/>
  <c r="K539" i="6"/>
  <c r="L946" i="6"/>
  <c r="O71" i="6"/>
  <c r="M169" i="6"/>
  <c r="M116" i="6"/>
  <c r="N631" i="6"/>
  <c r="O869" i="6"/>
  <c r="J772" i="6"/>
  <c r="K897" i="6"/>
  <c r="N211" i="6"/>
  <c r="N772" i="6"/>
  <c r="M418" i="6"/>
  <c r="N617" i="6"/>
  <c r="N143" i="6"/>
  <c r="K164" i="6"/>
  <c r="N533" i="6"/>
  <c r="N541" i="6"/>
  <c r="M991" i="6"/>
  <c r="L682" i="6"/>
  <c r="L8" i="6"/>
  <c r="P234" i="6"/>
  <c r="J239" i="6"/>
  <c r="M152" i="6"/>
  <c r="N240" i="6"/>
  <c r="K875" i="6"/>
  <c r="K924" i="6"/>
  <c r="J547" i="6"/>
  <c r="P258" i="6"/>
  <c r="L339" i="6"/>
  <c r="P257" i="6"/>
  <c r="O773" i="6"/>
  <c r="P817" i="6"/>
  <c r="J132" i="6"/>
  <c r="J804" i="6"/>
  <c r="O796" i="6"/>
  <c r="N29" i="6"/>
  <c r="O279" i="6"/>
  <c r="K465" i="6"/>
  <c r="K129" i="6"/>
  <c r="M114" i="6"/>
  <c r="M750" i="6"/>
  <c r="O523" i="6"/>
  <c r="N273" i="6"/>
  <c r="N817" i="6"/>
  <c r="N833" i="6"/>
  <c r="L444" i="6"/>
  <c r="P394" i="6"/>
  <c r="L439" i="6"/>
  <c r="P879" i="6"/>
  <c r="L48" i="6"/>
  <c r="L842" i="6"/>
  <c r="O631" i="6"/>
  <c r="M905" i="6"/>
  <c r="K367" i="6"/>
  <c r="L22" i="6"/>
  <c r="J493" i="6"/>
  <c r="J552" i="6"/>
  <c r="N904" i="6"/>
  <c r="O591" i="6"/>
  <c r="N684" i="6"/>
  <c r="N804" i="6"/>
  <c r="P377" i="6"/>
  <c r="P432" i="6"/>
  <c r="J572" i="6"/>
  <c r="P762" i="6"/>
  <c r="P247" i="6"/>
  <c r="J766" i="6"/>
  <c r="M38" i="6"/>
  <c r="P592" i="6"/>
  <c r="N256" i="6"/>
  <c r="M126" i="6"/>
  <c r="J893" i="6"/>
  <c r="J338" i="6"/>
  <c r="J324" i="6"/>
  <c r="L996" i="6"/>
  <c r="J746" i="6"/>
  <c r="J438" i="6"/>
  <c r="N390" i="6"/>
  <c r="K504" i="6"/>
  <c r="P975" i="6"/>
  <c r="O780" i="6"/>
  <c r="J718" i="6"/>
  <c r="N353" i="6"/>
  <c r="N499" i="6"/>
  <c r="P36" i="6"/>
  <c r="M421" i="6"/>
  <c r="O152" i="6"/>
  <c r="O331" i="6"/>
  <c r="L879" i="6"/>
  <c r="L541" i="6"/>
  <c r="M655" i="6"/>
  <c r="M495" i="6"/>
  <c r="N639" i="6"/>
  <c r="N588" i="6"/>
  <c r="M832" i="6"/>
  <c r="M80" i="6"/>
  <c r="L855" i="6"/>
  <c r="O93" i="6"/>
  <c r="N793" i="6"/>
  <c r="P108" i="6"/>
  <c r="P539" i="6"/>
  <c r="N362" i="6"/>
  <c r="N60" i="6"/>
  <c r="O286" i="6"/>
  <c r="O374" i="6"/>
  <c r="J672" i="6"/>
  <c r="N491" i="6"/>
  <c r="P664" i="6"/>
  <c r="J160" i="6"/>
  <c r="P882" i="6"/>
  <c r="P5" i="6"/>
  <c r="O782" i="6"/>
  <c r="N876" i="6"/>
  <c r="M1013" i="6"/>
  <c r="K180" i="6"/>
  <c r="L486" i="6"/>
  <c r="N674" i="6"/>
  <c r="M21" i="6"/>
  <c r="O626" i="6"/>
  <c r="L93" i="6"/>
  <c r="O433" i="6"/>
  <c r="M689" i="6"/>
  <c r="P587" i="6"/>
  <c r="L669" i="6"/>
  <c r="O489" i="6"/>
  <c r="L308" i="6"/>
  <c r="N660" i="6"/>
  <c r="L122" i="6"/>
  <c r="K847" i="6"/>
  <c r="M844" i="6"/>
  <c r="P683" i="6"/>
  <c r="N450" i="6"/>
  <c r="K267" i="6"/>
  <c r="K56" i="6"/>
  <c r="J282" i="6"/>
  <c r="M774" i="6"/>
  <c r="P103" i="6"/>
  <c r="J788" i="6"/>
  <c r="J952" i="6"/>
  <c r="P718" i="6"/>
  <c r="O525" i="6"/>
  <c r="J152" i="6"/>
  <c r="O469" i="6"/>
  <c r="M151" i="6"/>
  <c r="L780" i="6"/>
  <c r="O506" i="6"/>
  <c r="O84" i="6"/>
  <c r="P421" i="6"/>
  <c r="P573" i="6"/>
  <c r="J221" i="6"/>
  <c r="P1003" i="6"/>
  <c r="P814" i="6"/>
  <c r="N943" i="6"/>
  <c r="P197" i="6"/>
  <c r="P986" i="6"/>
  <c r="M1001" i="6"/>
  <c r="P74" i="6"/>
  <c r="L882" i="6"/>
  <c r="M287" i="6"/>
  <c r="M247" i="6"/>
  <c r="O44" i="6"/>
  <c r="N880" i="6"/>
  <c r="P519" i="6"/>
  <c r="M330" i="6"/>
  <c r="P1020" i="6"/>
  <c r="P589" i="6"/>
  <c r="K854" i="6"/>
  <c r="M563" i="6"/>
  <c r="P499" i="6"/>
  <c r="J413" i="6"/>
  <c r="K187" i="6"/>
  <c r="O907" i="6"/>
  <c r="O421" i="6"/>
  <c r="N594" i="6"/>
  <c r="J529" i="6"/>
  <c r="P880" i="6"/>
  <c r="K269" i="6"/>
  <c r="K235" i="6"/>
  <c r="P670" i="6"/>
  <c r="P267" i="6"/>
  <c r="O509" i="6"/>
  <c r="N802" i="6"/>
  <c r="M172" i="6"/>
  <c r="M899" i="6"/>
  <c r="O456" i="6"/>
  <c r="K153" i="6"/>
  <c r="J47" i="6"/>
  <c r="K796" i="6"/>
  <c r="N742" i="6"/>
  <c r="M838" i="6"/>
  <c r="N686" i="6"/>
  <c r="P98" i="6"/>
  <c r="M533" i="6"/>
  <c r="N10" i="6"/>
  <c r="M363" i="6"/>
  <c r="K555" i="6"/>
  <c r="N596" i="6"/>
  <c r="L553" i="6"/>
  <c r="O666" i="6"/>
  <c r="J337" i="6"/>
  <c r="K110" i="6"/>
  <c r="L17" i="6"/>
  <c r="L529" i="6"/>
  <c r="M464" i="6"/>
  <c r="P339" i="6"/>
  <c r="L965" i="6"/>
  <c r="M672" i="6"/>
  <c r="J522" i="6"/>
  <c r="J380" i="6"/>
  <c r="L504" i="6"/>
  <c r="J173" i="6"/>
  <c r="L648" i="6"/>
  <c r="O920" i="6"/>
  <c r="O568" i="6"/>
  <c r="O539" i="6"/>
  <c r="J936" i="6"/>
  <c r="P360" i="6"/>
  <c r="K399" i="6"/>
  <c r="N48" i="6"/>
  <c r="L673" i="6"/>
  <c r="P40" i="6"/>
  <c r="J778" i="6"/>
  <c r="O515" i="6"/>
  <c r="O462" i="6"/>
  <c r="J216" i="6"/>
  <c r="K418" i="6"/>
  <c r="M469" i="6"/>
  <c r="P914" i="6"/>
  <c r="O892" i="6"/>
  <c r="O951" i="6"/>
  <c r="M58" i="6"/>
  <c r="O862" i="6"/>
  <c r="K103" i="6"/>
  <c r="M361" i="6"/>
  <c r="L172" i="6"/>
  <c r="K643" i="6"/>
  <c r="P584" i="6"/>
  <c r="P217" i="6"/>
  <c r="N55" i="6"/>
  <c r="N114" i="6"/>
  <c r="L272" i="6"/>
  <c r="L689" i="6"/>
  <c r="O387" i="6"/>
  <c r="P343" i="6"/>
  <c r="L452" i="6"/>
  <c r="P313" i="6"/>
  <c r="O672" i="6"/>
  <c r="O718" i="6"/>
  <c r="M924" i="6"/>
  <c r="J591" i="6"/>
  <c r="J660" i="6"/>
  <c r="O895" i="6"/>
  <c r="M166" i="6"/>
  <c r="P58" i="6"/>
  <c r="M225" i="6"/>
  <c r="N382" i="6"/>
  <c r="O784" i="6"/>
  <c r="K823" i="6"/>
  <c r="M920" i="6"/>
  <c r="P370" i="6"/>
  <c r="O522" i="6"/>
  <c r="K520" i="6"/>
  <c r="K106" i="6"/>
  <c r="J668" i="6"/>
  <c r="J269" i="6"/>
  <c r="K843" i="6"/>
  <c r="L153" i="6"/>
  <c r="M529" i="6"/>
  <c r="L948" i="6"/>
  <c r="L933" i="6"/>
  <c r="O135" i="6"/>
  <c r="N927" i="6"/>
  <c r="N1013" i="6"/>
  <c r="P959" i="6"/>
  <c r="J478" i="6"/>
  <c r="J907" i="6"/>
  <c r="M618" i="6"/>
  <c r="M612" i="6"/>
  <c r="M514" i="6"/>
  <c r="K636" i="6"/>
  <c r="K489" i="6"/>
  <c r="P873" i="6"/>
  <c r="N125" i="6"/>
  <c r="M573" i="6"/>
  <c r="P240" i="6"/>
  <c r="K182" i="6"/>
  <c r="M976" i="6"/>
  <c r="O723" i="6"/>
  <c r="N153" i="6"/>
  <c r="L248" i="6"/>
  <c r="P788" i="6"/>
  <c r="O159" i="6"/>
  <c r="K108" i="6"/>
  <c r="M686" i="6"/>
  <c r="J482" i="6"/>
  <c r="O673" i="6"/>
  <c r="O419" i="6"/>
  <c r="L270" i="6"/>
  <c r="N71" i="6"/>
  <c r="M643" i="6"/>
  <c r="L543" i="6"/>
  <c r="L696" i="6"/>
  <c r="O969" i="6"/>
  <c r="J351" i="6"/>
  <c r="P160" i="6"/>
  <c r="O918" i="6"/>
  <c r="P789" i="6"/>
  <c r="N878" i="6"/>
  <c r="N910" i="6"/>
  <c r="N474" i="6"/>
  <c r="L808" i="6"/>
  <c r="J884" i="6"/>
  <c r="J656" i="6"/>
  <c r="J492" i="6"/>
  <c r="L114" i="6"/>
  <c r="M125" i="6"/>
  <c r="K213" i="6"/>
  <c r="O686" i="6"/>
  <c r="K376" i="6"/>
  <c r="K853" i="6"/>
  <c r="P337" i="6"/>
  <c r="M558" i="6"/>
  <c r="M809" i="6"/>
  <c r="M688" i="6"/>
  <c r="P4" i="6"/>
  <c r="M957" i="6"/>
  <c r="N438" i="6"/>
  <c r="N717" i="6"/>
  <c r="L806" i="6"/>
  <c r="L302" i="6"/>
  <c r="L456" i="6"/>
  <c r="K652" i="6"/>
  <c r="K43" i="6"/>
  <c r="K420" i="6"/>
  <c r="L712" i="6"/>
  <c r="N454" i="6"/>
  <c r="J101" i="6"/>
  <c r="J794" i="6"/>
  <c r="O801" i="6"/>
  <c r="O11" i="6"/>
  <c r="N722" i="6"/>
  <c r="O372" i="6"/>
  <c r="O285" i="6"/>
  <c r="K871" i="6"/>
  <c r="M24" i="6"/>
  <c r="M377" i="6"/>
  <c r="K247" i="6"/>
  <c r="P704" i="6"/>
  <c r="P534" i="6"/>
  <c r="J600" i="6"/>
  <c r="N707" i="6"/>
  <c r="O203" i="6"/>
  <c r="O138" i="6"/>
  <c r="O550" i="6"/>
  <c r="N820" i="6"/>
  <c r="L192" i="6"/>
  <c r="O911" i="6"/>
  <c r="J386" i="6"/>
  <c r="L790" i="6"/>
  <c r="P637" i="6"/>
  <c r="M332" i="6"/>
  <c r="O327" i="6"/>
  <c r="P32" i="6"/>
  <c r="M373" i="6"/>
  <c r="O8" i="6"/>
  <c r="M208" i="6"/>
  <c r="O413" i="6"/>
  <c r="M565" i="6"/>
  <c r="P189" i="6"/>
  <c r="P270" i="6"/>
  <c r="L120" i="6"/>
  <c r="N286" i="6"/>
  <c r="L130" i="6"/>
  <c r="O427" i="6"/>
  <c r="M589" i="6"/>
  <c r="O246" i="6"/>
  <c r="P485" i="6"/>
  <c r="K184" i="6"/>
  <c r="P971" i="6"/>
  <c r="O170" i="6"/>
  <c r="O226" i="6"/>
  <c r="O376" i="6"/>
  <c r="J622" i="6"/>
  <c r="L126" i="6"/>
  <c r="J115" i="6"/>
  <c r="M30" i="6"/>
  <c r="M260" i="6"/>
  <c r="K666" i="6"/>
  <c r="P428" i="6"/>
  <c r="P406" i="6"/>
  <c r="O987" i="6"/>
  <c r="P321" i="6"/>
  <c r="O243" i="6"/>
  <c r="P772" i="6"/>
  <c r="L357" i="6"/>
  <c r="O978" i="6"/>
  <c r="P363" i="6"/>
  <c r="P922" i="6"/>
  <c r="K254" i="6"/>
  <c r="J500" i="6"/>
  <c r="J30" i="6"/>
  <c r="J93" i="6"/>
  <c r="M727" i="6"/>
  <c r="N111" i="6"/>
  <c r="N655" i="6"/>
  <c r="O935" i="6"/>
  <c r="J90" i="6"/>
  <c r="P489" i="6"/>
  <c r="O505" i="6"/>
  <c r="J745" i="6"/>
  <c r="M627" i="6"/>
  <c r="N551" i="6"/>
  <c r="N101" i="6"/>
  <c r="K49" i="6"/>
  <c r="L55" i="6"/>
  <c r="K720" i="6"/>
  <c r="L884" i="6"/>
  <c r="M224" i="6"/>
  <c r="L807" i="6"/>
  <c r="P224" i="6"/>
  <c r="K586" i="6"/>
  <c r="P408" i="6"/>
  <c r="L567" i="6"/>
  <c r="J170" i="6"/>
  <c r="K581" i="6"/>
  <c r="N394" i="6"/>
  <c r="J64" i="6"/>
  <c r="M288" i="6"/>
  <c r="L87" i="6"/>
  <c r="K229" i="6"/>
  <c r="N316" i="6"/>
  <c r="L626" i="6"/>
  <c r="N260" i="6"/>
  <c r="O65" i="6"/>
  <c r="N905" i="6"/>
  <c r="L306" i="6"/>
  <c r="O558" i="6"/>
  <c r="J299" i="6"/>
  <c r="N563" i="6"/>
  <c r="J180" i="6"/>
  <c r="P872" i="6"/>
  <c r="M215" i="6"/>
  <c r="P806" i="6"/>
  <c r="M700" i="6"/>
  <c r="M109" i="6"/>
  <c r="L536" i="6"/>
  <c r="L324" i="6"/>
  <c r="L750" i="6"/>
  <c r="N419" i="6"/>
  <c r="J604" i="6"/>
  <c r="P810" i="6"/>
  <c r="L858" i="6"/>
  <c r="N556" i="6"/>
  <c r="O646" i="6"/>
  <c r="P113" i="6"/>
  <c r="K401" i="6"/>
  <c r="L240" i="6"/>
  <c r="J235" i="6"/>
  <c r="N730" i="6"/>
  <c r="J306" i="6"/>
  <c r="K995" i="6"/>
  <c r="O961" i="6"/>
  <c r="P317" i="6"/>
  <c r="L406" i="6"/>
  <c r="J262" i="6"/>
  <c r="J549" i="6"/>
  <c r="N754" i="6"/>
  <c r="O393" i="6"/>
  <c r="O720" i="6"/>
  <c r="P583" i="6"/>
  <c r="P469" i="6"/>
  <c r="P417" i="6"/>
  <c r="J416" i="6"/>
  <c r="L235" i="6"/>
  <c r="N781" i="6"/>
  <c r="J527" i="6"/>
  <c r="M938" i="6"/>
  <c r="O540" i="6"/>
  <c r="J321" i="6"/>
  <c r="J891" i="6"/>
  <c r="L110" i="6"/>
  <c r="M949" i="6"/>
  <c r="K928" i="6"/>
  <c r="P988" i="6"/>
  <c r="P659" i="6"/>
  <c r="O1016" i="6"/>
  <c r="P698" i="6"/>
  <c r="O432" i="6"/>
  <c r="L11" i="6"/>
  <c r="N703" i="6"/>
  <c r="J969" i="6"/>
  <c r="J648" i="6"/>
  <c r="K408" i="6"/>
  <c r="K868" i="6"/>
  <c r="L461" i="6"/>
  <c r="N609" i="6"/>
  <c r="M433" i="6"/>
  <c r="O312" i="6"/>
  <c r="P412" i="6"/>
  <c r="L672" i="6"/>
  <c r="O871" i="6"/>
  <c r="J466" i="6"/>
  <c r="O573" i="6"/>
  <c r="N364" i="6"/>
  <c r="O470" i="6"/>
  <c r="O219" i="6"/>
  <c r="K543" i="6"/>
  <c r="N622" i="6"/>
  <c r="O660" i="6"/>
  <c r="L729" i="6"/>
  <c r="O384" i="6"/>
  <c r="P434" i="6"/>
  <c r="O208" i="6"/>
  <c r="J248" i="6"/>
  <c r="L749" i="6"/>
  <c r="O698" i="6"/>
  <c r="K1020" i="6"/>
  <c r="O395" i="6"/>
  <c r="M896" i="6"/>
  <c r="L734" i="6"/>
  <c r="K793" i="6"/>
  <c r="K51" i="6"/>
  <c r="P548" i="6"/>
  <c r="L991" i="6"/>
  <c r="P97" i="6"/>
  <c r="N534" i="6"/>
  <c r="P8" i="6"/>
  <c r="O45" i="6"/>
  <c r="L527" i="6"/>
  <c r="L720" i="6"/>
  <c r="O634" i="6"/>
  <c r="P763" i="6"/>
  <c r="O511" i="6"/>
  <c r="M233" i="6"/>
  <c r="P823" i="6"/>
  <c r="K963" i="6"/>
  <c r="K859" i="6"/>
  <c r="L845" i="6"/>
  <c r="L939" i="6"/>
  <c r="L834" i="6"/>
  <c r="L950" i="6"/>
  <c r="N42" i="6"/>
  <c r="M187" i="6"/>
  <c r="K202" i="6"/>
  <c r="M399" i="6"/>
  <c r="K113" i="6"/>
  <c r="K923" i="6"/>
  <c r="P621" i="6"/>
  <c r="O856" i="6"/>
  <c r="J385" i="6"/>
  <c r="K183" i="6"/>
  <c r="L595" i="6"/>
  <c r="K968" i="6"/>
  <c r="O260" i="6"/>
  <c r="M348" i="6"/>
  <c r="O94" i="6"/>
  <c r="K348" i="6"/>
  <c r="K40" i="6"/>
  <c r="O649" i="6"/>
  <c r="L903" i="6"/>
  <c r="O1009" i="6"/>
  <c r="J310" i="6"/>
  <c r="L470" i="6"/>
  <c r="M335" i="6"/>
  <c r="L732" i="6"/>
  <c r="O932" i="6"/>
  <c r="L735" i="6"/>
  <c r="J847" i="6"/>
  <c r="K96" i="6"/>
  <c r="M527" i="6"/>
  <c r="L450" i="6"/>
  <c r="O940" i="6"/>
  <c r="J343" i="6"/>
  <c r="N930" i="6"/>
  <c r="N687" i="6"/>
  <c r="O724" i="6"/>
  <c r="N445" i="6"/>
  <c r="P293" i="6"/>
  <c r="P966" i="6"/>
  <c r="O195" i="6"/>
  <c r="N329" i="6"/>
  <c r="N255" i="6"/>
  <c r="J69" i="6"/>
  <c r="K770" i="6"/>
  <c r="O10" i="6"/>
  <c r="P435" i="6"/>
  <c r="P80" i="6"/>
  <c r="P65" i="6"/>
  <c r="L995" i="6"/>
  <c r="J353" i="6"/>
  <c r="O178" i="6"/>
  <c r="L981" i="6"/>
  <c r="M613" i="6"/>
  <c r="J154" i="6"/>
  <c r="J791" i="6"/>
  <c r="L27" i="6"/>
  <c r="L81" i="6"/>
  <c r="N344" i="6"/>
  <c r="O4" i="6"/>
  <c r="K455" i="6"/>
  <c r="N77" i="6"/>
  <c r="J43" i="6"/>
  <c r="J627" i="6"/>
  <c r="N218" i="6"/>
  <c r="J841" i="6"/>
  <c r="K766" i="6"/>
  <c r="O39" i="6"/>
  <c r="L465" i="6"/>
  <c r="O703" i="6"/>
  <c r="J368" i="6"/>
  <c r="P716" i="6"/>
  <c r="L674" i="6"/>
  <c r="P323" i="6"/>
  <c r="N989" i="6"/>
  <c r="P54" i="6"/>
  <c r="N955" i="6"/>
  <c r="P685" i="6"/>
  <c r="O845" i="6"/>
  <c r="O838" i="6"/>
  <c r="L772" i="6"/>
  <c r="J274" i="6"/>
  <c r="J256" i="6"/>
  <c r="O241" i="6"/>
  <c r="O831" i="6"/>
  <c r="N870" i="6"/>
  <c r="M470" i="6"/>
  <c r="N293" i="6"/>
  <c r="M777" i="6"/>
  <c r="L938" i="6"/>
  <c r="N756" i="6"/>
  <c r="O917" i="6"/>
  <c r="O334" i="6"/>
  <c r="K405" i="6"/>
  <c r="J892" i="6"/>
  <c r="M1026" i="6"/>
  <c r="L140" i="6"/>
  <c r="P31" i="6"/>
  <c r="M624" i="6"/>
  <c r="N118" i="6"/>
  <c r="O977" i="6"/>
  <c r="O609" i="6"/>
  <c r="J125" i="6"/>
  <c r="P2" i="6"/>
  <c r="M2" i="6"/>
  <c r="K2" i="6"/>
  <c r="O2" i="6"/>
  <c r="L2" i="6"/>
  <c r="J2" i="6"/>
  <c r="N2" i="6"/>
  <c r="P68" i="6"/>
  <c r="M818" i="6"/>
  <c r="P668" i="6"/>
  <c r="N258" i="6"/>
  <c r="K780" i="6"/>
  <c r="P276" i="6"/>
  <c r="O657" i="6"/>
  <c r="N61" i="6"/>
  <c r="J72" i="6"/>
  <c r="N649" i="6"/>
  <c r="P411" i="6"/>
  <c r="O990" i="6"/>
  <c r="K662" i="6"/>
  <c r="J441" i="6"/>
  <c r="L545" i="6"/>
  <c r="O207" i="6"/>
  <c r="M378" i="6"/>
  <c r="N369" i="6"/>
  <c r="J339" i="6"/>
  <c r="L655" i="6"/>
  <c r="O186" i="6"/>
  <c r="M1015" i="6"/>
  <c r="M764" i="6"/>
  <c r="P639" i="6"/>
  <c r="L377" i="6"/>
  <c r="M752" i="6"/>
  <c r="M542" i="6"/>
  <c r="M725" i="6"/>
  <c r="K723" i="6"/>
  <c r="P44" i="6"/>
  <c r="K552" i="6"/>
  <c r="K505" i="6"/>
  <c r="M757" i="6"/>
  <c r="N680" i="6"/>
  <c r="M1006" i="6"/>
  <c r="J398" i="6"/>
  <c r="K503" i="6"/>
  <c r="O764" i="6"/>
  <c r="P126" i="6"/>
  <c r="O414" i="6"/>
  <c r="J225" i="6"/>
  <c r="P804" i="6"/>
  <c r="M780" i="6"/>
  <c r="L837" i="6"/>
  <c r="O424" i="6"/>
  <c r="M994" i="6"/>
  <c r="L742" i="6"/>
  <c r="M1012" i="6"/>
  <c r="P309" i="6"/>
  <c r="L793" i="6"/>
  <c r="O103" i="6"/>
  <c r="L730" i="6"/>
  <c r="J214" i="6"/>
  <c r="M746" i="6"/>
  <c r="J457" i="6"/>
  <c r="L552" i="6"/>
  <c r="N228" i="6"/>
  <c r="L135" i="6"/>
  <c r="J112" i="6"/>
  <c r="O72" i="6"/>
  <c r="O612" i="6"/>
  <c r="J886" i="6"/>
  <c r="M473" i="6"/>
  <c r="M531" i="6"/>
  <c r="L960" i="6"/>
  <c r="L500" i="6"/>
  <c r="K1015" i="6"/>
  <c r="K297" i="6"/>
  <c r="J35" i="6"/>
  <c r="M317" i="6"/>
  <c r="N585" i="6"/>
  <c r="N63" i="6"/>
  <c r="N270" i="6"/>
  <c r="L628" i="6"/>
  <c r="L1007" i="6"/>
  <c r="L645" i="6"/>
  <c r="L149" i="6"/>
  <c r="M400" i="6"/>
  <c r="J130" i="6"/>
  <c r="O926" i="6"/>
  <c r="P729" i="6"/>
  <c r="K559" i="6"/>
  <c r="J673" i="6"/>
  <c r="K179" i="6"/>
  <c r="O389" i="6"/>
  <c r="M984" i="6"/>
  <c r="O754" i="6"/>
  <c r="M701" i="6"/>
  <c r="P629" i="6"/>
  <c r="O388" i="6"/>
  <c r="K356" i="6"/>
  <c r="K468" i="6"/>
  <c r="J227" i="6"/>
  <c r="K789" i="6"/>
  <c r="P834" i="6"/>
  <c r="L371" i="6"/>
  <c r="J819" i="6"/>
  <c r="K975" i="6"/>
  <c r="P719" i="6"/>
  <c r="P311" i="6"/>
  <c r="J864" i="6"/>
  <c r="O758" i="6"/>
  <c r="N456" i="6"/>
  <c r="J835" i="6"/>
  <c r="K946" i="6"/>
  <c r="L951" i="6"/>
  <c r="L88" i="6"/>
  <c r="J410" i="6"/>
  <c r="K50" i="6"/>
  <c r="J949" i="6"/>
  <c r="N322" i="6"/>
  <c r="L65" i="6"/>
  <c r="N769" i="6"/>
  <c r="M254" i="6"/>
  <c r="K362" i="6"/>
  <c r="L789" i="6"/>
  <c r="P351" i="6"/>
  <c r="M970" i="6"/>
  <c r="P672" i="6"/>
  <c r="O928" i="6"/>
  <c r="N52" i="6"/>
  <c r="M675" i="6"/>
  <c r="N479" i="6"/>
  <c r="O40" i="6"/>
  <c r="P634" i="6"/>
  <c r="O449" i="6"/>
  <c r="M947" i="6"/>
  <c r="M385" i="6"/>
  <c r="M964" i="6"/>
  <c r="J597" i="6"/>
  <c r="J210" i="6"/>
  <c r="M83" i="6"/>
  <c r="J729" i="6"/>
  <c r="L412" i="6"/>
  <c r="J996" i="6"/>
  <c r="P890" i="6"/>
  <c r="L396" i="6"/>
  <c r="M943" i="6"/>
  <c r="M96" i="6"/>
  <c r="O268" i="6"/>
  <c r="O750" i="6"/>
  <c r="M193" i="6"/>
  <c r="J436" i="6"/>
  <c r="K292" i="6"/>
  <c r="M200" i="6"/>
  <c r="L200" i="6"/>
  <c r="N557" i="6"/>
  <c r="O557" i="6"/>
  <c r="O528" i="6"/>
  <c r="J528" i="6"/>
  <c r="J150" i="6"/>
  <c r="L150" i="6"/>
  <c r="P143" i="6"/>
  <c r="M715" i="6"/>
  <c r="P628" i="6"/>
  <c r="N30" i="6"/>
  <c r="O1001" i="6"/>
  <c r="N225" i="6"/>
  <c r="K734" i="6"/>
  <c r="L613" i="6"/>
  <c r="J777" i="6"/>
  <c r="J3" i="6"/>
  <c r="M4" i="6"/>
  <c r="O879" i="6"/>
  <c r="P924" i="6"/>
  <c r="L174" i="6"/>
  <c r="K533" i="6"/>
  <c r="M446" i="6"/>
  <c r="O284" i="6"/>
  <c r="P243" i="6"/>
  <c r="K1009" i="6"/>
  <c r="J155" i="6"/>
  <c r="N289" i="6"/>
  <c r="J958" i="6"/>
  <c r="M810" i="6"/>
  <c r="J605" i="6"/>
  <c r="O643" i="6"/>
  <c r="J878" i="6"/>
  <c r="M420" i="6"/>
  <c r="M528" i="6"/>
  <c r="K677" i="6"/>
  <c r="N580" i="6"/>
  <c r="N407" i="6"/>
  <c r="J426" i="6"/>
  <c r="P942" i="6"/>
  <c r="M647" i="6"/>
  <c r="K762" i="6"/>
  <c r="L79" i="6"/>
  <c r="P705" i="6"/>
  <c r="J584" i="6"/>
  <c r="O985" i="6"/>
  <c r="K172" i="6"/>
  <c r="L857" i="6"/>
  <c r="J77" i="6"/>
  <c r="N699" i="6"/>
  <c r="N423" i="6"/>
  <c r="L922" i="6"/>
  <c r="M859" i="6"/>
  <c r="M382" i="6"/>
  <c r="N1010" i="6"/>
  <c r="L561" i="6"/>
  <c r="K599" i="6"/>
  <c r="K38" i="6"/>
  <c r="O205" i="6"/>
  <c r="J131" i="6"/>
  <c r="O537" i="6"/>
  <c r="J707" i="6"/>
  <c r="M482" i="6"/>
  <c r="L321" i="6"/>
  <c r="K661" i="6"/>
  <c r="N354" i="6"/>
  <c r="M451" i="6"/>
  <c r="J189" i="6"/>
  <c r="N120" i="6"/>
  <c r="J657" i="6"/>
  <c r="O569" i="6"/>
  <c r="P657" i="6"/>
  <c r="O465" i="6"/>
  <c r="N946" i="6"/>
  <c r="J751" i="6"/>
  <c r="O54" i="6"/>
  <c r="J752" i="6"/>
  <c r="M355" i="6"/>
  <c r="K386" i="6"/>
  <c r="O805" i="6"/>
  <c r="O850" i="6"/>
  <c r="L835" i="6"/>
  <c r="J435" i="6"/>
  <c r="M381" i="6"/>
  <c r="O1021" i="6"/>
  <c r="N257" i="6"/>
  <c r="L61" i="6"/>
  <c r="M132" i="6"/>
  <c r="L647" i="6"/>
  <c r="M723" i="6"/>
  <c r="L256" i="6"/>
  <c r="M901" i="6"/>
  <c r="K329" i="6"/>
  <c r="J511" i="6"/>
  <c r="L161" i="6"/>
  <c r="J539" i="6"/>
  <c r="O839" i="6"/>
  <c r="N1014" i="6"/>
  <c r="P969" i="6"/>
  <c r="N651" i="6"/>
  <c r="J905" i="6"/>
  <c r="J999" i="6"/>
  <c r="P43" i="6"/>
  <c r="L118" i="6"/>
  <c r="P785" i="6"/>
  <c r="P150" i="6"/>
  <c r="O339" i="6"/>
  <c r="O701" i="6"/>
  <c r="O484" i="6"/>
  <c r="M447" i="6"/>
  <c r="P758" i="6"/>
  <c r="O363" i="6"/>
  <c r="P287" i="6"/>
  <c r="J275" i="6"/>
  <c r="O197" i="6"/>
  <c r="J810" i="6"/>
  <c r="O989" i="6"/>
  <c r="J140" i="6"/>
  <c r="L437" i="6"/>
  <c r="P559" i="6"/>
  <c r="L58" i="6"/>
  <c r="P471" i="6"/>
  <c r="L887" i="6"/>
  <c r="N854" i="6"/>
  <c r="O118" i="6"/>
  <c r="O510" i="6"/>
  <c r="N360" i="6"/>
  <c r="O382" i="6"/>
  <c r="J904" i="6"/>
  <c r="O98" i="6"/>
  <c r="O851" i="6"/>
  <c r="J356" i="6"/>
  <c r="N587" i="6"/>
  <c r="M919" i="6"/>
  <c r="J783" i="6"/>
  <c r="K411" i="6"/>
  <c r="L585" i="6"/>
  <c r="O213" i="6"/>
  <c r="N1024" i="6"/>
  <c r="J566" i="6"/>
  <c r="O308" i="6"/>
  <c r="O584" i="6"/>
  <c r="O810" i="6"/>
  <c r="P612" i="6"/>
  <c r="O548" i="6"/>
  <c r="N466" i="6"/>
  <c r="N98" i="6"/>
  <c r="L891" i="6"/>
  <c r="P706" i="6"/>
  <c r="P378" i="6"/>
  <c r="O788" i="6"/>
  <c r="P132" i="6"/>
  <c r="K146" i="6"/>
  <c r="J909" i="6"/>
  <c r="L286" i="6"/>
  <c r="N475" i="6"/>
  <c r="O984" i="6"/>
  <c r="O386" i="6"/>
  <c r="P442" i="6"/>
  <c r="K518" i="6"/>
  <c r="P550" i="6"/>
  <c r="O76" i="6"/>
  <c r="K314" i="6"/>
  <c r="O650" i="6"/>
  <c r="L877" i="6"/>
  <c r="O299" i="6"/>
  <c r="J894" i="6"/>
  <c r="P170" i="6"/>
  <c r="P974" i="6"/>
  <c r="P327" i="6"/>
  <c r="K1005" i="6"/>
  <c r="N576" i="6"/>
  <c r="J177" i="6"/>
  <c r="N605" i="6"/>
  <c r="O662" i="6"/>
  <c r="P118" i="6"/>
  <c r="L280" i="6"/>
  <c r="N527" i="6"/>
  <c r="K63" i="6"/>
  <c r="P648" i="6"/>
  <c r="J722" i="6"/>
  <c r="K1000" i="6"/>
  <c r="P730" i="6"/>
  <c r="K567" i="6"/>
  <c r="M982" i="6"/>
  <c r="O553" i="6"/>
  <c r="N84" i="6"/>
  <c r="O658" i="6"/>
  <c r="M649" i="6"/>
  <c r="M320" i="6"/>
  <c r="P230" i="6"/>
  <c r="M733" i="6"/>
  <c r="N501" i="6"/>
  <c r="P958" i="6"/>
  <c r="J589" i="6"/>
  <c r="P614" i="6"/>
  <c r="P630" i="6"/>
  <c r="M661" i="6"/>
  <c r="K370" i="6"/>
  <c r="P941" i="6"/>
  <c r="L880" i="6"/>
  <c r="J960" i="6"/>
  <c r="K933" i="6"/>
  <c r="L310" i="6"/>
  <c r="J762" i="6"/>
  <c r="M789" i="6"/>
  <c r="J616" i="6"/>
  <c r="O794" i="6"/>
  <c r="L683" i="6"/>
  <c r="P274" i="6"/>
  <c r="J803" i="6"/>
  <c r="K192" i="6"/>
  <c r="K553" i="6"/>
  <c r="N128" i="6"/>
  <c r="L666" i="6"/>
  <c r="L326" i="6"/>
  <c r="K79" i="6"/>
  <c r="N200" i="6"/>
  <c r="N618" i="6"/>
  <c r="K903" i="6"/>
  <c r="J669" i="6"/>
  <c r="M879" i="6"/>
  <c r="J194" i="6"/>
  <c r="P775" i="6"/>
  <c r="J655" i="6"/>
  <c r="J197" i="6"/>
  <c r="O472" i="6"/>
  <c r="K983" i="6"/>
  <c r="N171" i="6"/>
  <c r="K47" i="6"/>
  <c r="P609" i="6"/>
  <c r="J857" i="6"/>
  <c r="K914" i="6"/>
  <c r="L316" i="6"/>
  <c r="N12" i="6"/>
  <c r="L905" i="6"/>
  <c r="N542" i="6"/>
  <c r="K633" i="6"/>
  <c r="K240" i="6"/>
  <c r="L962" i="6"/>
  <c r="K42" i="6"/>
  <c r="L471" i="6"/>
  <c r="O957" i="6"/>
  <c r="O90" i="6"/>
  <c r="M687" i="6"/>
  <c r="O747" i="6"/>
  <c r="K138" i="6"/>
  <c r="O37" i="6"/>
  <c r="N701" i="6"/>
  <c r="M912" i="6"/>
  <c r="M468" i="6"/>
  <c r="N606" i="6"/>
  <c r="M379" i="6"/>
  <c r="P774" i="6"/>
  <c r="N459" i="6"/>
  <c r="O614" i="6"/>
  <c r="N133" i="6"/>
  <c r="J630" i="6"/>
  <c r="K44" i="6"/>
  <c r="J577" i="6"/>
  <c r="P532" i="6"/>
  <c r="O1000" i="6"/>
  <c r="J243" i="6"/>
  <c r="O580" i="6"/>
  <c r="N54" i="6"/>
  <c r="P742" i="6"/>
  <c r="L623" i="6"/>
  <c r="O668" i="6"/>
  <c r="L841" i="6"/>
  <c r="J220" i="6"/>
  <c r="N340" i="6"/>
  <c r="K660" i="6"/>
  <c r="M794" i="6"/>
  <c r="P389" i="6"/>
  <c r="M268" i="6"/>
  <c r="M34" i="6"/>
  <c r="N1021" i="6"/>
  <c r="L183" i="6"/>
  <c r="L607" i="6"/>
  <c r="J976" i="6"/>
  <c r="O648" i="6"/>
  <c r="J675" i="6"/>
  <c r="N831" i="6"/>
  <c r="P29" i="6"/>
  <c r="L847" i="6"/>
  <c r="M799" i="6"/>
  <c r="O619" i="6"/>
  <c r="N268" i="6"/>
  <c r="N386" i="6"/>
  <c r="O613" i="6"/>
  <c r="M237" i="6"/>
  <c r="P673" i="6"/>
  <c r="J873" i="6"/>
  <c r="L538" i="6"/>
  <c r="P418" i="6"/>
  <c r="K485" i="6"/>
  <c r="M498" i="6"/>
  <c r="K160" i="6"/>
  <c r="K710" i="6"/>
  <c r="N417" i="6"/>
  <c r="M354" i="6"/>
  <c r="L614" i="6"/>
  <c r="J607" i="6"/>
  <c r="K13" i="6"/>
  <c r="P710" i="6"/>
  <c r="L1009" i="6"/>
  <c r="P324" i="6"/>
  <c r="L194" i="6"/>
  <c r="N261" i="6"/>
  <c r="L516" i="6"/>
  <c r="N476" i="6"/>
  <c r="L825" i="6"/>
  <c r="N131" i="6"/>
  <c r="O713" i="6"/>
  <c r="M51" i="6"/>
  <c r="O948" i="6"/>
  <c r="L957" i="6"/>
  <c r="K883" i="6"/>
  <c r="N925" i="6"/>
  <c r="K577" i="6"/>
  <c r="P906" i="6"/>
  <c r="M769" i="6"/>
  <c r="N291" i="6"/>
  <c r="O867" i="6"/>
  <c r="N971" i="6"/>
  <c r="J523" i="6"/>
  <c r="M684" i="6"/>
  <c r="K915" i="6"/>
  <c r="M685" i="6"/>
  <c r="M357" i="6"/>
  <c r="N545" i="6"/>
  <c r="O541" i="6"/>
  <c r="P420" i="6"/>
  <c r="K622" i="6"/>
  <c r="N861" i="6"/>
  <c r="J845" i="6"/>
  <c r="P794" i="6"/>
  <c r="P574" i="6"/>
  <c r="K682" i="6"/>
  <c r="L145" i="6"/>
  <c r="O257" i="6"/>
  <c r="N219" i="6"/>
  <c r="L617" i="6"/>
  <c r="J290" i="6"/>
  <c r="M14" i="6"/>
  <c r="N339" i="6"/>
  <c r="O218" i="6"/>
  <c r="N949" i="6"/>
  <c r="J558" i="6"/>
  <c r="O733" i="6"/>
  <c r="J743" i="6"/>
  <c r="K613" i="6"/>
  <c r="P855" i="6"/>
  <c r="O571" i="6"/>
  <c r="M585" i="6"/>
  <c r="N712" i="6"/>
  <c r="J767" i="6"/>
  <c r="M895" i="6"/>
  <c r="P633" i="6"/>
  <c r="P911" i="6"/>
  <c r="P700" i="6"/>
  <c r="N139" i="6"/>
  <c r="K675" i="6"/>
  <c r="P1005" i="6"/>
  <c r="L654" i="6"/>
  <c r="O181" i="6"/>
  <c r="K82" i="6"/>
  <c r="K446" i="6"/>
  <c r="K887" i="6"/>
  <c r="N230" i="6"/>
  <c r="L1005" i="6"/>
  <c r="K549" i="6"/>
  <c r="P620" i="6"/>
  <c r="O390" i="6"/>
  <c r="J487" i="6"/>
  <c r="K606" i="6"/>
  <c r="P96" i="6"/>
  <c r="P828" i="6"/>
  <c r="P654" i="6"/>
  <c r="K637" i="6"/>
  <c r="O292" i="6"/>
  <c r="P88" i="6"/>
  <c r="N920" i="6"/>
  <c r="L414" i="6"/>
  <c r="J129" i="6"/>
  <c r="N632" i="6"/>
  <c r="P531" i="6"/>
  <c r="O820" i="6"/>
  <c r="L99" i="6"/>
  <c r="K428" i="6"/>
  <c r="K393" i="6"/>
  <c r="N376" i="6"/>
  <c r="O255" i="6"/>
  <c r="N974" i="6"/>
  <c r="N337" i="6"/>
  <c r="P948" i="6"/>
  <c r="O42" i="6"/>
  <c r="P649" i="6"/>
  <c r="O994" i="6"/>
  <c r="M581" i="6"/>
  <c r="J303" i="6"/>
  <c r="K711" i="6"/>
  <c r="K93" i="6"/>
  <c r="L276" i="6"/>
  <c r="P572" i="6"/>
  <c r="O288" i="6"/>
  <c r="L676" i="6"/>
  <c r="O294" i="6"/>
  <c r="P330" i="6"/>
  <c r="O812" i="6"/>
  <c r="P694" i="6"/>
  <c r="O857" i="6"/>
  <c r="J741" i="6"/>
  <c r="P275" i="6"/>
  <c r="P830" i="6"/>
  <c r="P557" i="6"/>
  <c r="L274" i="6"/>
  <c r="P340" i="6"/>
  <c r="K219" i="6"/>
  <c r="M369" i="6"/>
  <c r="O927" i="6"/>
  <c r="P298" i="6"/>
  <c r="K771" i="6"/>
  <c r="O623" i="6"/>
  <c r="P21" i="6"/>
  <c r="N544" i="6"/>
  <c r="K656" i="6"/>
  <c r="M586" i="6"/>
  <c r="M241" i="6"/>
  <c r="J720" i="6"/>
  <c r="L684" i="6"/>
  <c r="M768" i="6"/>
  <c r="L743" i="6"/>
  <c r="N32" i="6"/>
  <c r="M456" i="6"/>
  <c r="M555" i="6"/>
  <c r="N1002" i="6"/>
  <c r="N198" i="6"/>
  <c r="O63" i="6"/>
  <c r="O684" i="6"/>
  <c r="L164" i="6"/>
  <c r="P538" i="6"/>
  <c r="J761" i="6"/>
  <c r="K911" i="6"/>
  <c r="N916" i="6"/>
  <c r="N514" i="6"/>
  <c r="N798" i="6"/>
  <c r="L755" i="6"/>
  <c r="O349" i="6"/>
  <c r="J326" i="6"/>
  <c r="N678" i="6"/>
  <c r="K1022" i="6"/>
  <c r="O813" i="6"/>
  <c r="N424" i="6"/>
  <c r="J934" i="6"/>
  <c r="O593" i="6"/>
  <c r="O651" i="6"/>
  <c r="L770" i="6"/>
  <c r="M127" i="6"/>
  <c r="M264" i="6"/>
  <c r="O688" i="6"/>
  <c r="O467" i="6"/>
  <c r="P641" i="6"/>
  <c r="M535" i="6"/>
  <c r="J169" i="6"/>
  <c r="J63" i="6"/>
  <c r="L83" i="6"/>
  <c r="M489" i="6"/>
  <c r="O876" i="6"/>
  <c r="L829" i="6"/>
  <c r="P89" i="6"/>
  <c r="K756" i="6"/>
  <c r="L832" i="6"/>
  <c r="P17" i="6"/>
  <c r="K571" i="6"/>
  <c r="N308" i="6"/>
  <c r="P164" i="6"/>
  <c r="J944" i="6"/>
  <c r="J117" i="6"/>
  <c r="P133" i="6"/>
  <c r="L773" i="6"/>
  <c r="O490" i="6"/>
  <c r="P992" i="6"/>
  <c r="N537" i="6"/>
  <c r="P721" i="6"/>
  <c r="M165" i="6"/>
  <c r="P688" i="6"/>
  <c r="N697" i="6"/>
  <c r="N358" i="6"/>
  <c r="L389" i="6"/>
  <c r="N249" i="6"/>
  <c r="J770" i="6"/>
  <c r="P743" i="6"/>
  <c r="M92" i="6"/>
  <c r="M599" i="6"/>
  <c r="M933" i="6"/>
  <c r="P521" i="6"/>
  <c r="O21" i="6"/>
  <c r="O233" i="6"/>
  <c r="L315" i="6"/>
  <c r="M175" i="6"/>
  <c r="P901" i="6"/>
  <c r="P734" i="6"/>
  <c r="P594" i="6"/>
  <c r="N715" i="6"/>
  <c r="P163" i="6"/>
  <c r="K955" i="6"/>
  <c r="J516" i="6"/>
  <c r="K274" i="6"/>
  <c r="O463" i="6"/>
  <c r="N444" i="6"/>
  <c r="J653" i="6"/>
  <c r="O520" i="6"/>
  <c r="P845" i="6"/>
  <c r="L665" i="6"/>
  <c r="L518" i="6"/>
  <c r="M427" i="6"/>
  <c r="P439" i="6"/>
  <c r="M140" i="6"/>
  <c r="K773" i="6"/>
  <c r="M296" i="6"/>
  <c r="J831" i="6"/>
  <c r="L733" i="6"/>
  <c r="M273" i="6"/>
  <c r="N319" i="6"/>
  <c r="J687" i="6"/>
  <c r="L931" i="6"/>
  <c r="P624" i="6"/>
  <c r="K952" i="6"/>
  <c r="J292" i="6"/>
  <c r="M913" i="6"/>
  <c r="N274" i="6"/>
  <c r="N912" i="6"/>
  <c r="N634" i="6"/>
  <c r="N113" i="6"/>
  <c r="M261" i="6"/>
  <c r="M244" i="6"/>
  <c r="K21" i="6"/>
  <c r="O840" i="6"/>
  <c r="K899" i="6"/>
  <c r="J557" i="6"/>
  <c r="N939" i="6"/>
  <c r="N312" i="6"/>
  <c r="L862" i="6"/>
  <c r="L356" i="6"/>
  <c r="N422" i="6"/>
  <c r="J49" i="6"/>
  <c r="M716" i="6"/>
  <c r="L337" i="6"/>
  <c r="N635" i="6"/>
  <c r="K585" i="6"/>
  <c r="K288" i="6"/>
  <c r="M996" i="6"/>
  <c r="P483" i="6"/>
  <c r="N846" i="6"/>
  <c r="P66" i="6"/>
  <c r="M956" i="6"/>
  <c r="M138" i="6"/>
  <c r="P843" i="6"/>
  <c r="N70" i="6"/>
  <c r="J633" i="6"/>
  <c r="L495" i="6"/>
  <c r="J690" i="6"/>
  <c r="O466" i="6"/>
  <c r="M503" i="6"/>
  <c r="O108" i="6"/>
  <c r="L911" i="6"/>
  <c r="J1016" i="6"/>
  <c r="J629" i="6"/>
  <c r="O6" i="6"/>
  <c r="O404" i="6"/>
  <c r="M823" i="6"/>
  <c r="N303" i="6"/>
  <c r="K816" i="6"/>
  <c r="L559" i="6"/>
  <c r="N34" i="6"/>
  <c r="L233" i="6"/>
  <c r="P446" i="6"/>
  <c r="N591" i="6"/>
  <c r="K855" i="6"/>
  <c r="M449" i="6"/>
  <c r="M637" i="6"/>
  <c r="N744" i="6"/>
  <c r="N758" i="6"/>
  <c r="N470" i="6"/>
  <c r="P214" i="6"/>
  <c r="N648" i="6"/>
  <c r="N26" i="6"/>
  <c r="O1011" i="6"/>
  <c r="O254" i="6"/>
  <c r="L132" i="6"/>
  <c r="O358" i="6"/>
  <c r="O916" i="6"/>
  <c r="L791" i="6"/>
  <c r="N736" i="6"/>
  <c r="M783" i="6"/>
  <c r="O973" i="6"/>
  <c r="M852" i="6"/>
  <c r="O371" i="6"/>
  <c r="P781" i="6"/>
  <c r="N405" i="6"/>
  <c r="P646" i="6"/>
  <c r="L128" i="6"/>
  <c r="O97" i="6"/>
  <c r="P73" i="6"/>
  <c r="J421" i="6"/>
  <c r="N770" i="6"/>
  <c r="M837" i="6"/>
  <c r="K102" i="6"/>
  <c r="P577" i="6"/>
  <c r="L181" i="6"/>
  <c r="L1022" i="6"/>
  <c r="O999" i="6"/>
  <c r="L44" i="6"/>
  <c r="L871" i="6"/>
  <c r="J623" i="6"/>
  <c r="M492" i="6"/>
  <c r="L711" i="6"/>
  <c r="O442" i="6"/>
  <c r="K743" i="6"/>
  <c r="O742" i="6"/>
  <c r="L380" i="6"/>
  <c r="J280" i="6"/>
  <c r="P777" i="6"/>
  <c r="N1023" i="6"/>
  <c r="J596" i="6"/>
  <c r="P251" i="6"/>
  <c r="J373" i="6"/>
  <c r="N292" i="6"/>
  <c r="O504" i="6"/>
  <c r="J738" i="6"/>
  <c r="M257" i="6"/>
  <c r="J940" i="6"/>
  <c r="O1025" i="6"/>
  <c r="N810" i="6"/>
  <c r="M259" i="6"/>
  <c r="P306" i="6"/>
  <c r="N477" i="6"/>
  <c r="P797" i="6"/>
  <c r="K234" i="6"/>
  <c r="O406" i="6"/>
  <c r="K86" i="6"/>
  <c r="K537" i="6"/>
  <c r="J876" i="6"/>
  <c r="M178" i="6"/>
  <c r="N212" i="6"/>
  <c r="L242" i="6"/>
  <c r="L978" i="6"/>
  <c r="P755" i="6"/>
  <c r="O656" i="6"/>
  <c r="O263" i="6"/>
  <c r="N377" i="6"/>
  <c r="O875" i="6"/>
  <c r="P101" i="6"/>
  <c r="O888" i="6"/>
  <c r="M902" i="6"/>
  <c r="N727" i="6"/>
  <c r="M263" i="6"/>
  <c r="N757" i="6"/>
  <c r="M206" i="6"/>
  <c r="M22" i="6"/>
  <c r="O590" i="6"/>
  <c r="O581" i="6"/>
  <c r="M9" i="6"/>
  <c r="P747" i="6"/>
  <c r="P868" i="6"/>
  <c r="O360" i="6"/>
  <c r="M466" i="6"/>
  <c r="P1017" i="6"/>
  <c r="J877" i="6"/>
  <c r="P147" i="6"/>
  <c r="N590" i="6"/>
  <c r="O727" i="6"/>
  <c r="J790" i="6"/>
  <c r="M460" i="6"/>
  <c r="J19" i="6"/>
  <c r="N902" i="6"/>
  <c r="P715" i="6"/>
  <c r="N539" i="6"/>
  <c r="P303" i="6"/>
  <c r="M772" i="6"/>
  <c r="M1022" i="6"/>
  <c r="M659" i="6"/>
  <c r="M622" i="6"/>
  <c r="L29" i="6"/>
  <c r="J58" i="6"/>
  <c r="M366" i="6"/>
  <c r="M1002" i="6"/>
  <c r="J37" i="6"/>
  <c r="J139" i="6"/>
  <c r="L700" i="6"/>
  <c r="M873" i="6"/>
  <c r="N958" i="6"/>
  <c r="J4" i="6"/>
  <c r="P256" i="6"/>
  <c r="M256" i="6"/>
  <c r="N614" i="6"/>
  <c r="K114" i="6"/>
  <c r="L958" i="6"/>
  <c r="N464" i="6"/>
  <c r="L796" i="6"/>
  <c r="M835" i="6"/>
  <c r="J352" i="6"/>
  <c r="M633" i="6"/>
  <c r="P1010" i="6"/>
  <c r="N841" i="6"/>
  <c r="M506" i="6"/>
  <c r="P254" i="6"/>
  <c r="M192" i="6"/>
  <c r="L677" i="6"/>
  <c r="M210" i="6"/>
  <c r="J919" i="6"/>
  <c r="K790" i="6"/>
  <c r="N350" i="6"/>
  <c r="P522" i="6"/>
  <c r="J431" i="6"/>
  <c r="O676" i="6"/>
  <c r="O786" i="6"/>
  <c r="J677" i="6"/>
  <c r="K337" i="6"/>
  <c r="J626" i="6"/>
  <c r="M1010" i="6"/>
  <c r="O622" i="6"/>
  <c r="K846" i="6"/>
  <c r="J716" i="6"/>
  <c r="J443" i="6"/>
  <c r="M509" i="6"/>
  <c r="M607" i="6"/>
  <c r="M786" i="6"/>
  <c r="N1011" i="6"/>
  <c r="O87" i="6"/>
  <c r="P375" i="6"/>
  <c r="M906" i="6"/>
  <c r="L894" i="6"/>
  <c r="O529" i="6"/>
  <c r="K676" i="6"/>
  <c r="K46" i="6"/>
  <c r="P174" i="6"/>
  <c r="J289" i="6"/>
  <c r="P486" i="6"/>
  <c r="M510" i="6"/>
  <c r="N786" i="6"/>
  <c r="K317" i="6"/>
  <c r="L370" i="6"/>
  <c r="K907" i="6"/>
  <c r="J174" i="6"/>
  <c r="L169" i="6"/>
  <c r="J869" i="6"/>
  <c r="K604" i="6"/>
  <c r="N999" i="6"/>
  <c r="O715" i="6"/>
  <c r="M57" i="6"/>
  <c r="P475" i="6"/>
  <c r="J698" i="6"/>
  <c r="P891" i="6"/>
  <c r="P82" i="6"/>
  <c r="O874" i="6"/>
  <c r="P195" i="6"/>
  <c r="J33" i="6"/>
  <c r="P938" i="6"/>
  <c r="L973" i="6"/>
  <c r="L663" i="6"/>
  <c r="O697" i="6"/>
  <c r="N643" i="6"/>
  <c r="J569" i="6"/>
  <c r="O304" i="6"/>
  <c r="M124" i="6"/>
  <c r="L547" i="6"/>
  <c r="L779" i="6"/>
  <c r="K139" i="6"/>
  <c r="N262" i="6"/>
  <c r="P206" i="6"/>
  <c r="O143" i="6"/>
  <c r="K919" i="6"/>
  <c r="L509" i="6"/>
  <c r="J226" i="6"/>
  <c r="M737" i="6"/>
  <c r="L680" i="6"/>
  <c r="J918" i="6"/>
  <c r="P950" i="6"/>
  <c r="N439" i="6"/>
  <c r="P768" i="6"/>
  <c r="P644" i="6"/>
  <c r="J682" i="6"/>
  <c r="O277" i="6"/>
  <c r="L217" i="6"/>
  <c r="O127" i="6"/>
  <c r="M722" i="6"/>
  <c r="N815" i="6"/>
  <c r="J970" i="6"/>
  <c r="J308" i="6"/>
  <c r="O161" i="6"/>
  <c r="L404" i="6"/>
  <c r="L572" i="6"/>
  <c r="O443" i="6"/>
  <c r="K909" i="6"/>
  <c r="O107" i="6"/>
  <c r="N441" i="6"/>
  <c r="J110" i="6"/>
  <c r="J458" i="6"/>
  <c r="L586" i="6"/>
  <c r="O20" i="6"/>
  <c r="M344" i="6"/>
  <c r="P173" i="6"/>
  <c r="K782" i="6"/>
  <c r="L615" i="6"/>
  <c r="L353" i="6"/>
  <c r="P440" i="6"/>
  <c r="J606" i="6"/>
  <c r="N178" i="6"/>
  <c r="L283" i="6"/>
  <c r="M207" i="6"/>
  <c r="N867" i="6"/>
  <c r="J733" i="6"/>
  <c r="N217" i="6"/>
  <c r="L865" i="6"/>
  <c r="L463" i="6"/>
  <c r="P852" i="6"/>
  <c r="N652" i="6"/>
  <c r="P334" i="6"/>
  <c r="J408" i="6"/>
  <c r="N965" i="6"/>
  <c r="N592" i="6"/>
  <c r="J912" i="6"/>
  <c r="P494" i="6"/>
  <c r="O959" i="6"/>
  <c r="O846" i="6"/>
  <c r="M314" i="6"/>
  <c r="J178" i="6"/>
  <c r="O866" i="6"/>
  <c r="P537" i="6"/>
  <c r="P892" i="6"/>
  <c r="O814" i="6"/>
  <c r="K81" i="6"/>
  <c r="P162" i="6"/>
  <c r="P523" i="6"/>
  <c r="N25" i="6"/>
  <c r="O860" i="6"/>
  <c r="N834" i="6"/>
  <c r="M717" i="6"/>
  <c r="N180" i="6"/>
  <c r="P547" i="6"/>
  <c r="P53" i="6"/>
  <c r="K271" i="6"/>
  <c r="P529" i="6"/>
  <c r="L685" i="6"/>
  <c r="M56" i="6"/>
  <c r="J381" i="6"/>
  <c r="P169" i="6"/>
  <c r="P686" i="6"/>
  <c r="M415" i="6"/>
  <c r="K4" i="6"/>
  <c r="L976" i="6"/>
  <c r="J978" i="6"/>
  <c r="O776" i="6"/>
  <c r="J121" i="6"/>
  <c r="M825" i="6"/>
  <c r="L787" i="6"/>
  <c r="N1001" i="6"/>
  <c r="O669" i="6"/>
  <c r="P650" i="6"/>
  <c r="N75" i="6"/>
  <c r="P893" i="6"/>
  <c r="L69" i="6"/>
  <c r="P553" i="6"/>
  <c r="K308" i="6"/>
  <c r="N460" i="6"/>
  <c r="J826" i="6"/>
  <c r="K123" i="6"/>
  <c r="J233" i="6"/>
  <c r="N453" i="6"/>
  <c r="L924" i="6"/>
  <c r="M31" i="6"/>
  <c r="P709" i="6"/>
  <c r="P588" i="6"/>
  <c r="L14" i="6"/>
  <c r="K658" i="6"/>
  <c r="O19" i="6"/>
  <c r="J899" i="6"/>
  <c r="N767" i="6"/>
  <c r="P222" i="6"/>
  <c r="L210" i="6"/>
  <c r="P935" i="6"/>
  <c r="J432" i="6"/>
  <c r="M349" i="6"/>
  <c r="J278" i="6"/>
  <c r="M574" i="6"/>
  <c r="P161" i="6"/>
  <c r="J843" i="6"/>
  <c r="J613" i="6"/>
  <c r="M907" i="6"/>
  <c r="J880" i="6"/>
  <c r="O687" i="6"/>
  <c r="N928" i="6"/>
  <c r="L971" i="6"/>
  <c r="N752" i="6"/>
  <c r="P631" i="6"/>
  <c r="N776" i="6"/>
  <c r="M41" i="6"/>
  <c r="J517" i="6"/>
  <c r="O818" i="6"/>
  <c r="J60" i="6"/>
  <c r="N521" i="6"/>
  <c r="K815" i="6"/>
  <c r="L293" i="6"/>
  <c r="K284" i="6"/>
  <c r="P675" i="6"/>
  <c r="M954" i="6"/>
  <c r="P808" i="6"/>
  <c r="P993" i="6"/>
  <c r="O242" i="6"/>
  <c r="O352" i="6"/>
  <c r="K828" i="6"/>
  <c r="L840" i="6"/>
  <c r="L109" i="6"/>
  <c r="L25" i="6"/>
  <c r="M930" i="6"/>
  <c r="J109" i="6"/>
  <c r="M217" i="6"/>
  <c r="M922" i="6"/>
  <c r="P800" i="6"/>
  <c r="O734" i="6"/>
  <c r="L722" i="6"/>
  <c r="O902" i="6"/>
  <c r="O57" i="6"/>
  <c r="O210" i="6"/>
  <c r="L949" i="6"/>
  <c r="O555" i="6"/>
  <c r="O51" i="6"/>
  <c r="N836" i="6"/>
  <c r="M437" i="6"/>
  <c r="O83" i="6"/>
  <c r="O938" i="6"/>
  <c r="N389" i="6"/>
  <c r="J706" i="6"/>
  <c r="L627" i="6"/>
  <c r="J247" i="6"/>
  <c r="P260" i="6"/>
  <c r="P505" i="6"/>
  <c r="O34" i="6"/>
  <c r="O640" i="6"/>
  <c r="L52" i="6"/>
  <c r="J203" i="6"/>
  <c r="J796" i="6"/>
  <c r="L492" i="6"/>
  <c r="J59" i="6"/>
  <c r="J361" i="6"/>
  <c r="L767" i="6"/>
  <c r="M302" i="6"/>
  <c r="O224" i="6"/>
  <c r="M376" i="6"/>
  <c r="N124" i="6"/>
  <c r="L771" i="6"/>
  <c r="P45" i="6"/>
  <c r="N951" i="6"/>
  <c r="J1004" i="6"/>
  <c r="N783" i="6"/>
  <c r="L106" i="6"/>
  <c r="L257" i="6"/>
  <c r="O972" i="6"/>
  <c r="P501" i="6"/>
  <c r="L876" i="6"/>
  <c r="P172" i="6"/>
  <c r="M305" i="6"/>
  <c r="P989" i="6"/>
  <c r="M293" i="6"/>
  <c r="M845" i="6"/>
  <c r="N92" i="6"/>
  <c r="P139" i="6"/>
  <c r="O5" i="6"/>
  <c r="M11" i="6"/>
  <c r="K208" i="6"/>
  <c r="P431" i="6"/>
  <c r="K646" i="6"/>
  <c r="O645" i="6"/>
  <c r="P809" i="6"/>
  <c r="M504" i="6"/>
  <c r="N967" i="6"/>
  <c r="L421" i="6"/>
  <c r="J469" i="6"/>
  <c r="O223" i="6"/>
  <c r="P198" i="6"/>
  <c r="P915" i="6"/>
  <c r="N449" i="6"/>
  <c r="P319" i="6"/>
  <c r="O79" i="6"/>
  <c r="K931" i="6"/>
  <c r="K703" i="6"/>
  <c r="P84" i="6"/>
  <c r="L869" i="6"/>
  <c r="O677" i="6"/>
  <c r="N789" i="6"/>
  <c r="O992" i="6"/>
  <c r="J574" i="6"/>
  <c r="M935" i="6"/>
  <c r="K207" i="6"/>
  <c r="L522" i="6"/>
  <c r="P472" i="6"/>
  <c r="M347" i="6"/>
  <c r="M975" i="6"/>
  <c r="K718" i="6"/>
  <c r="N277" i="6"/>
  <c r="O81" i="6"/>
  <c r="J371" i="6"/>
  <c r="M272" i="6"/>
  <c r="J879" i="6"/>
  <c r="K341" i="6"/>
  <c r="O877" i="6"/>
  <c r="P945" i="6"/>
  <c r="P262" i="6"/>
  <c r="P94" i="6"/>
  <c r="L501" i="6"/>
  <c r="P380" i="6"/>
  <c r="P593" i="6"/>
  <c r="L146" i="6"/>
  <c r="K451" i="6"/>
  <c r="N619" i="6"/>
  <c r="M897" i="6"/>
  <c r="P364" i="6"/>
  <c r="P533" i="6"/>
  <c r="P245" i="6"/>
  <c r="P508" i="6"/>
  <c r="K512" i="6"/>
  <c r="J128" i="6"/>
  <c r="O3" i="6"/>
  <c r="J784" i="6"/>
  <c r="J979" i="6"/>
  <c r="P50" i="6"/>
  <c r="O232" i="6"/>
  <c r="M616" i="6"/>
  <c r="K1001" i="6"/>
  <c r="K785" i="6"/>
  <c r="N816" i="6"/>
  <c r="P990" i="6"/>
  <c r="P223" i="6"/>
  <c r="M475" i="6"/>
  <c r="J855" i="6"/>
  <c r="O247" i="6"/>
  <c r="O883" i="6"/>
  <c r="L854" i="6"/>
  <c r="P23" i="6"/>
  <c r="L534" i="6"/>
  <c r="J207" i="6"/>
  <c r="N207" i="6"/>
  <c r="K772" i="6"/>
  <c r="M724" i="6"/>
  <c r="M877" i="6"/>
  <c r="M61" i="6"/>
  <c r="N616" i="6"/>
  <c r="N562" i="6"/>
  <c r="M426" i="6"/>
  <c r="J968" i="6"/>
  <c r="N194" i="6"/>
  <c r="L980" i="6"/>
  <c r="O771" i="6"/>
  <c r="K350" i="6"/>
  <c r="J375" i="6"/>
  <c r="N890" i="6"/>
  <c r="J171" i="6"/>
  <c r="P155" i="6"/>
  <c r="N93" i="6"/>
  <c r="L75" i="6"/>
  <c r="P207" i="6"/>
  <c r="O36" i="6"/>
  <c r="M600" i="6"/>
  <c r="L520" i="6"/>
  <c r="O412" i="6"/>
  <c r="O420" i="6"/>
  <c r="P613" i="6"/>
  <c r="P677" i="6"/>
  <c r="L346" i="6"/>
  <c r="L455" i="6"/>
  <c r="M860" i="6"/>
  <c r="P220" i="6"/>
  <c r="J888" i="6"/>
  <c r="K836" i="6"/>
  <c r="P791" i="6"/>
  <c r="L714" i="6"/>
  <c r="P831" i="6"/>
  <c r="K365" i="6"/>
  <c r="P396" i="6"/>
  <c r="P680" i="6"/>
  <c r="L822" i="6"/>
  <c r="L229" i="6"/>
  <c r="O320" i="6"/>
  <c r="O712" i="6"/>
  <c r="J17" i="6"/>
  <c r="P192" i="6"/>
  <c r="O790" i="6"/>
  <c r="J697" i="6"/>
  <c r="N458" i="6"/>
  <c r="K232" i="6"/>
  <c r="K669" i="6"/>
  <c r="O998" i="6"/>
  <c r="O661" i="6"/>
  <c r="M1000" i="6"/>
  <c r="N484" i="6"/>
  <c r="O182" i="6"/>
  <c r="J285" i="6"/>
  <c r="M69" i="6"/>
  <c r="P57" i="6"/>
  <c r="P51" i="6"/>
  <c r="N771" i="6"/>
  <c r="N538" i="6"/>
  <c r="P383" i="6"/>
  <c r="K984" i="6"/>
  <c r="J475" i="6"/>
  <c r="P929" i="6"/>
  <c r="N814" i="6"/>
  <c r="P325" i="6"/>
  <c r="O380" i="6"/>
  <c r="M755" i="6"/>
  <c r="M145" i="6"/>
  <c r="O962" i="6"/>
  <c r="O922" i="6"/>
  <c r="J997" i="6"/>
  <c r="N363" i="6"/>
  <c r="L856" i="6"/>
  <c r="O563" i="6"/>
  <c r="K389" i="6"/>
  <c r="O785" i="6"/>
  <c r="N357" i="6"/>
  <c r="K432" i="6"/>
  <c r="J955" i="6"/>
  <c r="N654" i="6"/>
  <c r="N378" i="6"/>
  <c r="O171" i="6"/>
  <c r="N11" i="6"/>
  <c r="N957" i="6"/>
  <c r="O637" i="6"/>
  <c r="J261" i="6"/>
  <c r="J172" i="6"/>
  <c r="O441" i="6"/>
  <c r="J449" i="6"/>
  <c r="L890" i="6"/>
  <c r="N276" i="6"/>
  <c r="P48" i="6"/>
  <c r="J11" i="6"/>
  <c r="N887" i="6"/>
  <c r="M817" i="6"/>
  <c r="J709" i="6"/>
  <c r="K374" i="6"/>
  <c r="N1022" i="6"/>
  <c r="M739" i="6"/>
  <c r="L902" i="6"/>
  <c r="P917" i="6"/>
  <c r="K614" i="6"/>
  <c r="L73" i="6"/>
  <c r="N320" i="6"/>
  <c r="L329" i="6"/>
  <c r="L912" i="6"/>
  <c r="K958" i="6"/>
  <c r="P403" i="6"/>
  <c r="P643" i="6"/>
  <c r="M833" i="6"/>
  <c r="N478" i="6"/>
  <c r="N774" i="6"/>
  <c r="O190" i="6"/>
  <c r="M220" i="6"/>
  <c r="M814" i="6"/>
  <c r="K324" i="6"/>
  <c r="L191" i="6"/>
  <c r="P527" i="6"/>
  <c r="N840" i="6"/>
  <c r="N753" i="6"/>
  <c r="K526" i="6"/>
  <c r="N624" i="6"/>
  <c r="M864" i="6"/>
  <c r="O638" i="6"/>
  <c r="L824" i="6"/>
  <c r="N278" i="6"/>
  <c r="N96" i="6"/>
  <c r="P733" i="6"/>
  <c r="M963" i="6"/>
  <c r="L323" i="6"/>
  <c r="O625" i="6"/>
  <c r="M133" i="6"/>
  <c r="K802" i="6"/>
  <c r="K944" i="6"/>
  <c r="M993" i="6"/>
  <c r="M826" i="6"/>
  <c r="J942" i="6"/>
  <c r="N392" i="6"/>
  <c r="K98" i="6"/>
  <c r="N17" i="6"/>
  <c r="M1020" i="6"/>
  <c r="P520" i="6"/>
  <c r="P623" i="6"/>
  <c r="J211" i="6"/>
  <c r="N574" i="6"/>
  <c r="J991" i="6"/>
  <c r="N463" i="6"/>
  <c r="L72" i="6"/>
  <c r="L899" i="6"/>
  <c r="N298" i="6"/>
  <c r="M346" i="6"/>
  <c r="P268" i="6"/>
  <c r="K607" i="6"/>
  <c r="O361" i="6"/>
  <c r="K174" i="6"/>
  <c r="O244" i="6"/>
  <c r="P344" i="6"/>
  <c r="P183" i="6"/>
  <c r="M788" i="6"/>
  <c r="P289" i="6"/>
  <c r="P354" i="6"/>
  <c r="P575" i="6"/>
  <c r="L721" i="6"/>
  <c r="O148" i="6"/>
  <c r="P896" i="6"/>
  <c r="J731" i="6"/>
  <c r="L269" i="6"/>
  <c r="N404" i="6"/>
  <c r="J123" i="6"/>
  <c r="K862" i="6"/>
  <c r="K343" i="6"/>
  <c r="O607" i="6"/>
  <c r="O69" i="6"/>
  <c r="O793" i="6"/>
  <c r="N13" i="6"/>
  <c r="L497" i="6"/>
  <c r="M910" i="6"/>
  <c r="M279" i="6"/>
  <c r="J349" i="6"/>
  <c r="J102" i="6"/>
  <c r="M104" i="6"/>
  <c r="M219" i="6"/>
  <c r="P833" i="6"/>
  <c r="M351" i="6"/>
  <c r="K742" i="6"/>
  <c r="N921" i="6"/>
  <c r="O104" i="6"/>
  <c r="P723" i="6"/>
  <c r="O592" i="6"/>
  <c r="N502" i="6"/>
  <c r="J692" i="6"/>
  <c r="N944" i="6"/>
  <c r="K985" i="6"/>
  <c r="J185" i="6"/>
  <c r="J502" i="6"/>
  <c r="J179" i="6"/>
  <c r="M878" i="6"/>
  <c r="M246" i="6"/>
  <c r="P371" i="6"/>
  <c r="L634" i="6"/>
  <c r="L219" i="6"/>
  <c r="P978" i="6"/>
  <c r="K674" i="6"/>
  <c r="O49" i="6"/>
  <c r="M517" i="6"/>
  <c r="P461" i="6"/>
  <c r="N197" i="6"/>
  <c r="L606" i="6"/>
  <c r="O1012" i="6"/>
  <c r="J141" i="6"/>
  <c r="O828" i="6"/>
  <c r="J612" i="6"/>
  <c r="P242" i="6"/>
  <c r="L63" i="6"/>
  <c r="J251" i="6"/>
  <c r="P580" i="6"/>
  <c r="L994" i="6"/>
  <c r="M70" i="6"/>
  <c r="P985" i="6"/>
  <c r="K980" i="6"/>
  <c r="L327" i="6"/>
  <c r="N837" i="6"/>
  <c r="P586" i="6"/>
  <c r="J480" i="6"/>
  <c r="N777" i="6"/>
  <c r="P397" i="6"/>
  <c r="O444" i="6"/>
  <c r="J866" i="6"/>
  <c r="O765" i="6"/>
  <c r="L641" i="6"/>
  <c r="N822" i="6"/>
  <c r="P554" i="6"/>
  <c r="P717" i="6"/>
  <c r="J973" i="6"/>
  <c r="N302" i="6"/>
  <c r="J710" i="6"/>
  <c r="P409" i="6"/>
  <c r="K830" i="6"/>
  <c r="O566" i="6"/>
  <c r="N748" i="6"/>
  <c r="O636" i="6"/>
  <c r="N151" i="6"/>
  <c r="N883" i="6"/>
  <c r="J205" i="6"/>
  <c r="L850" i="6"/>
  <c r="O291" i="6"/>
  <c r="L993" i="6"/>
  <c r="M432" i="6"/>
  <c r="P821" i="6"/>
  <c r="K390" i="6"/>
  <c r="J684" i="6"/>
  <c r="L588" i="6"/>
  <c r="P1018" i="6"/>
  <c r="J53" i="6"/>
  <c r="M1004" i="6"/>
  <c r="L107" i="6"/>
  <c r="J801" i="6"/>
  <c r="N625" i="6"/>
  <c r="O479" i="6"/>
  <c r="O276" i="6"/>
  <c r="K962" i="6"/>
  <c r="J100" i="6"/>
  <c r="N24" i="6"/>
  <c r="L760" i="6"/>
  <c r="O982" i="6"/>
  <c r="L89" i="6"/>
  <c r="P997" i="6"/>
  <c r="N729" i="6"/>
  <c r="N908" i="6"/>
  <c r="M307" i="6"/>
  <c r="P681" i="6"/>
  <c r="N671" i="6"/>
  <c r="L170" i="6"/>
  <c r="N868" i="6"/>
  <c r="K967" i="6"/>
  <c r="L966" i="6"/>
  <c r="M431" i="6"/>
  <c r="K982" i="6"/>
  <c r="M518" i="6"/>
  <c r="J454" i="6"/>
  <c r="P368" i="6"/>
  <c r="O350" i="6"/>
  <c r="M699" i="6"/>
  <c r="J68" i="6"/>
  <c r="N247" i="6"/>
  <c r="K327" i="6"/>
  <c r="N780" i="6"/>
  <c r="M886" i="6"/>
  <c r="P780" i="6"/>
  <c r="J470" i="6"/>
  <c r="O166" i="6"/>
  <c r="N469" i="6"/>
  <c r="L562" i="6"/>
  <c r="O829" i="6"/>
  <c r="M63" i="6"/>
  <c r="N888" i="6"/>
  <c r="P83" i="6"/>
  <c r="O1002" i="6"/>
  <c r="P504" i="6"/>
  <c r="K610" i="6"/>
  <c r="L325" i="6"/>
  <c r="O362" i="6"/>
  <c r="P864" i="6"/>
  <c r="N785" i="6"/>
  <c r="P379" i="6"/>
  <c r="O870" i="6"/>
  <c r="L168" i="6"/>
  <c r="P841" i="6"/>
  <c r="J930" i="6"/>
  <c r="O99" i="6"/>
  <c r="N186" i="6"/>
  <c r="N872" i="6"/>
  <c r="O338" i="6"/>
  <c r="J61" i="6"/>
  <c r="J437" i="6"/>
  <c r="J148" i="6"/>
  <c r="O494" i="6"/>
  <c r="L284" i="6"/>
  <c r="N177" i="6"/>
  <c r="P669" i="6"/>
  <c r="M587" i="6"/>
  <c r="P152" i="6"/>
  <c r="O102" i="6"/>
  <c r="K797" i="6"/>
  <c r="O769" i="6"/>
  <c r="M401" i="6"/>
  <c r="L878" i="6"/>
  <c r="K339" i="6"/>
  <c r="L555" i="6"/>
  <c r="J885" i="6"/>
  <c r="N996" i="6"/>
  <c r="P141" i="6"/>
  <c r="J663" i="6"/>
  <c r="L112" i="6"/>
  <c r="N875" i="6"/>
  <c r="L594" i="6"/>
  <c r="N307" i="6"/>
  <c r="P940" i="6"/>
  <c r="P816" i="6"/>
  <c r="K293" i="6"/>
  <c r="J974" i="6"/>
  <c r="M15" i="6"/>
  <c r="L819" i="6"/>
  <c r="L704" i="6"/>
  <c r="O227" i="6"/>
  <c r="N510" i="6"/>
  <c r="N602" i="6"/>
  <c r="N252" i="6"/>
  <c r="O578" i="6"/>
  <c r="N794" i="6"/>
  <c r="K730" i="6"/>
  <c r="P820" i="6"/>
  <c r="P692" i="6"/>
  <c r="L542" i="6"/>
  <c r="K932" i="6"/>
  <c r="N175" i="6"/>
  <c r="O77" i="6"/>
  <c r="L963" i="6"/>
  <c r="L494" i="6"/>
  <c r="O993" i="6"/>
  <c r="N818" i="6"/>
  <c r="N667" i="6"/>
  <c r="K244" i="6"/>
  <c r="O861" i="6"/>
  <c r="O1004" i="6"/>
  <c r="K714" i="6"/>
  <c r="M540" i="6"/>
  <c r="P754" i="6"/>
  <c r="J608" i="6"/>
  <c r="K438" i="6"/>
  <c r="L103" i="6"/>
  <c r="P157" i="6"/>
  <c r="L379" i="6"/>
  <c r="O160" i="6"/>
  <c r="L184" i="6"/>
  <c r="L612" i="6"/>
  <c r="K765" i="6"/>
  <c r="K594" i="6"/>
  <c r="J496" i="6"/>
  <c r="O373" i="6"/>
  <c r="O82" i="6"/>
  <c r="M353" i="6"/>
  <c r="P229" i="6"/>
  <c r="P1023" i="6"/>
  <c r="L637" i="6"/>
  <c r="L605" i="6"/>
  <c r="N581" i="6"/>
  <c r="N425" i="6"/>
  <c r="J495" i="6"/>
  <c r="K148" i="6"/>
  <c r="M315" i="6"/>
  <c r="P205" i="6"/>
  <c r="K1007" i="6"/>
  <c r="K850" i="6"/>
  <c r="L593" i="6"/>
  <c r="O671" i="6"/>
  <c r="O579" i="6"/>
  <c r="P728" i="6"/>
  <c r="L513" i="6"/>
  <c r="M644" i="6"/>
  <c r="M35" i="6"/>
  <c r="N234" i="6"/>
  <c r="K237" i="6"/>
  <c r="N637" i="6"/>
  <c r="M223" i="6"/>
  <c r="M188" i="6"/>
  <c r="P196" i="6"/>
  <c r="L888" i="6"/>
  <c r="J428" i="6"/>
  <c r="N792" i="6"/>
  <c r="N847" i="6"/>
  <c r="J1012" i="6"/>
  <c r="J32" i="6"/>
  <c r="M13" i="6"/>
  <c r="J524" i="6"/>
  <c r="L809" i="6"/>
  <c r="O934" i="6"/>
  <c r="L986" i="6"/>
  <c r="K1016" i="6"/>
  <c r="N620" i="6"/>
  <c r="K561" i="6"/>
  <c r="L843" i="6"/>
  <c r="P109" i="6"/>
  <c r="J582" i="6"/>
  <c r="N76" i="6"/>
  <c r="L305" i="6"/>
  <c r="J460" i="6"/>
  <c r="M327" i="6"/>
  <c r="O429" i="6"/>
  <c r="M811" i="6"/>
  <c r="J163" i="6"/>
  <c r="J701" i="6"/>
  <c r="N331" i="6"/>
  <c r="K9" i="6"/>
  <c r="O137" i="6"/>
  <c r="J963" i="6"/>
  <c r="L467" i="6"/>
  <c r="L694" i="6"/>
  <c r="J259" i="6"/>
  <c r="O939" i="6"/>
  <c r="P9" i="6"/>
  <c r="M281" i="6"/>
  <c r="J364" i="6"/>
  <c r="J442" i="6"/>
  <c r="J350" i="6"/>
  <c r="M135" i="6"/>
  <c r="K578" i="6"/>
  <c r="L350" i="6"/>
  <c r="L792" i="6"/>
  <c r="M434" i="6"/>
  <c r="P49" i="6"/>
  <c r="J15" i="6"/>
  <c r="O599" i="6"/>
  <c r="O804" i="6"/>
  <c r="N555" i="6"/>
  <c r="K634" i="6"/>
  <c r="L137" i="6"/>
  <c r="P490" i="6"/>
  <c r="L719" i="6"/>
  <c r="M398" i="6"/>
  <c r="N36" i="6"/>
  <c r="K947" i="6"/>
  <c r="K808" i="6"/>
  <c r="J287" i="6"/>
  <c r="N40" i="6"/>
  <c r="O600" i="6"/>
  <c r="N162" i="6"/>
  <c r="K99" i="6"/>
  <c r="O732" i="6"/>
  <c r="J305" i="6"/>
  <c r="N397" i="6"/>
  <c r="M775" i="6"/>
  <c r="P15" i="6"/>
  <c r="M435" i="6"/>
  <c r="K457" i="6"/>
  <c r="O751" i="6"/>
  <c r="J903" i="6"/>
  <c r="K615" i="6"/>
  <c r="N995" i="6"/>
  <c r="P563" i="6"/>
  <c r="M250" i="6"/>
  <c r="L49" i="6"/>
  <c r="J739" i="6"/>
  <c r="N202" i="6"/>
  <c r="P930" i="6"/>
  <c r="N370" i="6"/>
  <c r="M795" i="6"/>
  <c r="K747" i="6"/>
  <c r="K536" i="6"/>
  <c r="O245" i="6"/>
  <c r="J473" i="6"/>
  <c r="O741" i="6"/>
  <c r="N27" i="6"/>
  <c r="J96" i="6"/>
  <c r="L476" i="6"/>
  <c r="O498" i="6"/>
  <c r="O708" i="6"/>
  <c r="M285" i="6"/>
  <c r="M362" i="6"/>
  <c r="K517" i="6"/>
  <c r="L261" i="6"/>
  <c r="M515" i="6"/>
  <c r="N105" i="6"/>
  <c r="L817" i="6"/>
  <c r="J704" i="6"/>
  <c r="N400" i="6"/>
  <c r="L967" i="6"/>
  <c r="N413" i="6"/>
  <c r="N695" i="6"/>
  <c r="L621" i="6"/>
  <c r="L292" i="6"/>
  <c r="O863" i="6"/>
  <c r="N1005" i="6"/>
  <c r="P571" i="6"/>
  <c r="P807" i="6"/>
  <c r="M29" i="6"/>
  <c r="O397" i="6"/>
  <c r="N845" i="6"/>
  <c r="M249" i="6"/>
  <c r="O853" i="6"/>
  <c r="P651" i="6"/>
  <c r="L441" i="6"/>
  <c r="N356" i="6"/>
  <c r="P528" i="6"/>
  <c r="P756" i="6"/>
  <c r="L874" i="6"/>
  <c r="L318" i="6"/>
  <c r="P13" i="6"/>
  <c r="N379" i="6"/>
  <c r="L775" i="6"/>
  <c r="O952" i="6"/>
  <c r="N47" i="6"/>
  <c r="M284" i="6"/>
  <c r="P839" i="6"/>
  <c r="N306" i="6"/>
  <c r="N937" i="6"/>
  <c r="O481" i="6"/>
  <c r="J792" i="6"/>
  <c r="K623" i="6"/>
  <c r="K185" i="6"/>
  <c r="P72" i="6"/>
  <c r="O136" i="6"/>
  <c r="M323" i="6"/>
  <c r="K750" i="6"/>
  <c r="K201" i="6"/>
  <c r="K546" i="6"/>
  <c r="P284" i="6"/>
  <c r="M18" i="6"/>
  <c r="J679" i="6"/>
  <c r="L330" i="6"/>
  <c r="N74" i="6"/>
  <c r="J328" i="6"/>
  <c r="P832" i="6"/>
  <c r="L1015" i="6"/>
  <c r="P281" i="6"/>
  <c r="M890" i="6"/>
  <c r="M894" i="6"/>
  <c r="O250" i="6"/>
  <c r="L881" i="6"/>
  <c r="L15" i="6"/>
  <c r="K679" i="6"/>
  <c r="O23" i="6"/>
  <c r="L231" i="6"/>
  <c r="N990" i="6"/>
  <c r="N6" i="6"/>
  <c r="P283" i="6"/>
  <c r="M122" i="6"/>
  <c r="L836" i="6"/>
  <c r="N167" i="6"/>
  <c r="O139" i="6"/>
  <c r="M679" i="6"/>
  <c r="L30" i="6"/>
  <c r="K709" i="6"/>
  <c r="O767" i="6"/>
  <c r="P885" i="6"/>
  <c r="J1023" i="6"/>
  <c r="M226" i="6"/>
  <c r="N266" i="6"/>
  <c r="K170" i="6"/>
  <c r="P693" i="6"/>
  <c r="J498" i="6"/>
  <c r="M459" i="6"/>
  <c r="K144" i="6"/>
  <c r="N427" i="6"/>
  <c r="L969" i="6"/>
  <c r="K133" i="6"/>
  <c r="J992" i="6"/>
  <c r="N282" i="6"/>
  <c r="N835" i="6"/>
  <c r="L932" i="6"/>
  <c r="L916" i="6"/>
  <c r="N621" i="6"/>
  <c r="J763" i="6"/>
  <c r="N983" i="6"/>
  <c r="O770" i="6"/>
  <c r="P465" i="6"/>
  <c r="O47" i="6"/>
  <c r="P231" i="6"/>
  <c r="P782" i="6"/>
  <c r="N992" i="6"/>
  <c r="L188" i="6"/>
  <c r="J670" i="6"/>
  <c r="O807" i="6"/>
  <c r="O15" i="6"/>
  <c r="K864" i="6"/>
  <c r="J322" i="6"/>
  <c r="M712" i="6"/>
  <c r="O403" i="6"/>
  <c r="N523" i="6"/>
  <c r="K143" i="6"/>
  <c r="K1017" i="6"/>
  <c r="O852" i="6"/>
  <c r="P953" i="6"/>
  <c r="L952" i="6"/>
  <c r="L870" i="6"/>
  <c r="O31" i="6"/>
  <c r="J120" i="6"/>
  <c r="O848" i="6"/>
  <c r="P627" i="6"/>
  <c r="P294" i="6"/>
  <c r="J244" i="6"/>
  <c r="J16" i="6"/>
  <c r="N976" i="6"/>
  <c r="K632" i="6"/>
  <c r="L900" i="6"/>
  <c r="P166" i="6"/>
  <c r="M989" i="6"/>
  <c r="J276" i="6"/>
  <c r="O296" i="6"/>
  <c r="P545" i="6"/>
  <c r="K510" i="6"/>
  <c r="P565" i="6"/>
  <c r="M888" i="6"/>
  <c r="P357" i="6"/>
  <c r="K424" i="6"/>
  <c r="L997" i="6"/>
  <c r="L702" i="6"/>
  <c r="K999" i="6"/>
  <c r="P556" i="6"/>
  <c r="K445" i="6"/>
  <c r="K89" i="6"/>
  <c r="K902" i="6"/>
  <c r="K145" i="6"/>
  <c r="P1011" i="6"/>
  <c r="J610" i="6"/>
  <c r="N53" i="6"/>
  <c r="N987" i="6"/>
  <c r="O817" i="6"/>
  <c r="L94" i="6"/>
  <c r="K194" i="6"/>
  <c r="O700" i="6"/>
  <c r="O898" i="6"/>
  <c r="M402" i="6"/>
  <c r="K109" i="6"/>
  <c r="P770" i="6"/>
  <c r="N222" i="6"/>
  <c r="K426" i="6"/>
  <c r="L686" i="6"/>
  <c r="N873" i="6"/>
  <c r="J839" i="6"/>
  <c r="M630" i="6"/>
  <c r="K354" i="6"/>
  <c r="L814" i="6"/>
  <c r="P786" i="6"/>
  <c r="M46" i="6"/>
  <c r="N743" i="6"/>
  <c r="J323" i="6"/>
  <c r="J116" i="6"/>
  <c r="N334" i="6"/>
  <c r="J222" i="6"/>
  <c r="P415" i="6"/>
  <c r="N64" i="6"/>
  <c r="P732" i="6"/>
  <c r="M405" i="6"/>
  <c r="M950" i="6"/>
  <c r="L786" i="6"/>
  <c r="L1024" i="6"/>
  <c r="K392" i="6"/>
  <c r="O653" i="6"/>
  <c r="L134" i="6"/>
  <c r="K590" i="6"/>
  <c r="N647" i="6"/>
  <c r="M195" i="6"/>
  <c r="P413" i="6"/>
  <c r="J536" i="6"/>
  <c r="J402" i="6"/>
  <c r="O290" i="6"/>
  <c r="K415" i="6"/>
  <c r="N586" i="6"/>
  <c r="J719" i="6"/>
  <c r="J392" i="6"/>
  <c r="N421" i="6"/>
  <c r="J994" i="6"/>
  <c r="J950" i="6"/>
  <c r="M656" i="6"/>
  <c r="L442" i="6"/>
  <c r="N418" i="6"/>
  <c r="J815" i="6"/>
  <c r="J972" i="6"/>
  <c r="N552" i="6"/>
  <c r="P71" i="6"/>
  <c r="J915" i="6"/>
  <c r="N169" i="6"/>
  <c r="J40" i="6"/>
  <c r="O562" i="6"/>
  <c r="O300" i="6"/>
  <c r="P606" i="6"/>
  <c r="L982" i="6"/>
  <c r="P916" i="6"/>
  <c r="M324" i="6"/>
  <c r="N138" i="6"/>
  <c r="N314" i="6"/>
  <c r="P569" i="6"/>
  <c r="M892" i="6"/>
  <c r="P422" i="6"/>
  <c r="O357" i="6"/>
  <c r="P653" i="6"/>
  <c r="N832" i="6"/>
  <c r="N690" i="6"/>
  <c r="O471" i="6"/>
  <c r="O544" i="6"/>
  <c r="O410" i="6"/>
  <c r="M322" i="6"/>
  <c r="L209" i="6"/>
  <c r="K844" i="6"/>
  <c r="P310" i="6"/>
  <c r="N420" i="6"/>
  <c r="M218" i="6"/>
  <c r="M201" i="6"/>
  <c r="M969" i="6"/>
  <c r="P738" i="6"/>
  <c r="O836" i="6"/>
  <c r="O981" i="6"/>
  <c r="P100" i="6"/>
  <c r="P326" i="6"/>
  <c r="J744" i="6"/>
  <c r="K700" i="6"/>
  <c r="O477" i="6"/>
  <c r="P302" i="6"/>
  <c r="O545" i="6"/>
  <c r="L413" i="6"/>
  <c r="P902" i="6"/>
  <c r="L873" i="6"/>
  <c r="O905" i="6"/>
  <c r="M770" i="6"/>
  <c r="N553" i="6"/>
  <c r="P171" i="6"/>
  <c r="O556" i="6"/>
  <c r="P771" i="6"/>
  <c r="K205" i="6"/>
  <c r="M592" i="6"/>
  <c r="M319" i="6"/>
  <c r="J396" i="6"/>
  <c r="N796" i="6"/>
  <c r="M869" i="6"/>
  <c r="L631" i="6"/>
  <c r="K243" i="6"/>
  <c r="J415" i="6"/>
  <c r="J409" i="6"/>
  <c r="K879" i="6"/>
  <c r="J191" i="6"/>
  <c r="J537" i="6"/>
  <c r="L510" i="6"/>
  <c r="M39" i="6"/>
  <c r="J161" i="6"/>
  <c r="M855" i="6"/>
  <c r="M183" i="6"/>
  <c r="N865" i="6"/>
  <c r="L968" i="6"/>
  <c r="N81" i="6"/>
  <c r="K640" i="6"/>
  <c r="J104" i="6"/>
  <c r="K786" i="6"/>
  <c r="L794" i="6"/>
  <c r="N43" i="6"/>
  <c r="M797" i="6"/>
  <c r="J965" i="6"/>
  <c r="J157" i="6"/>
  <c r="L810" i="6"/>
  <c r="J602" i="6"/>
  <c r="M707" i="6"/>
  <c r="M745" i="6"/>
  <c r="K538" i="6"/>
  <c r="N415" i="6"/>
  <c r="M831" i="6"/>
  <c r="L234" i="6"/>
  <c r="K698" i="6"/>
  <c r="J814" i="6"/>
  <c r="N267" i="6"/>
  <c r="J941" i="6"/>
  <c r="N284" i="6"/>
  <c r="J113" i="6"/>
  <c r="P562" i="6"/>
  <c r="P784" i="6"/>
  <c r="M485" i="6"/>
  <c r="N628" i="6"/>
  <c r="N492" i="6"/>
  <c r="K522" i="6"/>
  <c r="L341" i="6"/>
  <c r="L151" i="6"/>
  <c r="K991" i="6"/>
  <c r="P1021" i="6"/>
  <c r="L831" i="6"/>
  <c r="J192" i="6"/>
  <c r="P837" i="6"/>
  <c r="J579" i="6"/>
  <c r="L173" i="6"/>
  <c r="K792" i="6"/>
  <c r="N826" i="6"/>
  <c r="P165" i="6"/>
  <c r="M229" i="6"/>
  <c r="N482" i="6"/>
  <c r="K124" i="6"/>
  <c r="L147" i="6"/>
  <c r="N385" i="6"/>
  <c r="M146" i="6"/>
  <c r="O434" i="6"/>
  <c r="P285" i="6"/>
  <c r="N80" i="6"/>
  <c r="N773" i="6"/>
  <c r="J127" i="6"/>
  <c r="M771" i="6"/>
  <c r="O61" i="6"/>
  <c r="J1022" i="6"/>
  <c r="O900" i="6"/>
  <c r="N931" i="6"/>
  <c r="J525" i="6"/>
  <c r="M549" i="6"/>
  <c r="M554" i="6"/>
  <c r="J921" i="6"/>
  <c r="P1000" i="6"/>
  <c r="P386" i="6"/>
  <c r="O995" i="6"/>
  <c r="L418" i="6"/>
  <c r="P154" i="6"/>
  <c r="L142" i="6"/>
  <c r="N164" i="6"/>
  <c r="O216" i="6"/>
  <c r="O983" i="6"/>
  <c r="P867" i="6"/>
  <c r="K759" i="6"/>
  <c r="N7" i="6"/>
  <c r="M40" i="6"/>
  <c r="P122" i="6"/>
  <c r="J614" i="6"/>
  <c r="K564" i="6"/>
  <c r="K901" i="6"/>
  <c r="M274" i="6"/>
  <c r="M356" i="6"/>
  <c r="K668" i="6"/>
  <c r="L892" i="6"/>
  <c r="M931" i="6"/>
  <c r="O185" i="6"/>
  <c r="L398" i="6"/>
  <c r="K966" i="6"/>
  <c r="N569" i="6"/>
  <c r="L707" i="6"/>
  <c r="L243" i="6"/>
  <c r="M626" i="6"/>
  <c r="J928" i="6"/>
  <c r="O447" i="6"/>
  <c r="J294" i="6"/>
  <c r="L592" i="6"/>
  <c r="L482" i="6"/>
  <c r="K957" i="6"/>
  <c r="N39" i="6"/>
  <c r="K884" i="6"/>
  <c r="K263" i="6"/>
  <c r="J699" i="6"/>
  <c r="P1002" i="6"/>
  <c r="O17" i="6"/>
  <c r="L39" i="6"/>
  <c r="P464" i="6"/>
  <c r="N529" i="6"/>
  <c r="L758" i="6"/>
  <c r="O589" i="6"/>
  <c r="K725" i="6"/>
  <c r="L868" i="6"/>
  <c r="P869" i="6"/>
  <c r="K529" i="6"/>
  <c r="O283" i="6"/>
  <c r="L295" i="6"/>
  <c r="P878" i="6"/>
  <c r="M784" i="6"/>
  <c r="L723" i="6"/>
  <c r="K894" i="6"/>
  <c r="O302" i="6"/>
  <c r="J257" i="6"/>
  <c r="J391" i="6"/>
  <c r="N208" i="6"/>
  <c r="P361" i="6"/>
  <c r="M983" i="6"/>
  <c r="M582" i="6"/>
  <c r="P605" i="6"/>
  <c r="N518" i="6"/>
  <c r="N142" i="6"/>
  <c r="L566" i="6"/>
  <c r="N924" i="6"/>
  <c r="O832" i="6"/>
  <c r="K776" i="6"/>
  <c r="L127" i="6"/>
  <c r="P352" i="6"/>
  <c r="L498" i="6"/>
  <c r="M372" i="6"/>
  <c r="L990" i="6"/>
  <c r="K222" i="6"/>
  <c r="P451" i="6"/>
  <c r="M575" i="6"/>
  <c r="L1013" i="6"/>
  <c r="M270" i="6"/>
  <c r="O855" i="6"/>
  <c r="N335" i="6"/>
  <c r="O52" i="6"/>
  <c r="M802" i="6"/>
  <c r="N940" i="6"/>
  <c r="N885" i="6"/>
  <c r="O791" i="6"/>
  <c r="P570" i="6"/>
  <c r="N941" i="6"/>
  <c r="O124" i="6"/>
  <c r="P429" i="6"/>
  <c r="M484" i="6"/>
  <c r="P510" i="6"/>
  <c r="N584" i="6"/>
  <c r="O319" i="6"/>
  <c r="K616" i="6"/>
  <c r="N336" i="6"/>
  <c r="P135" i="6"/>
  <c r="P980" i="6"/>
  <c r="J407" i="6"/>
  <c r="L202" i="6"/>
  <c r="L688" i="6"/>
  <c r="L906" i="6"/>
  <c r="J678" i="6"/>
  <c r="O351" i="6"/>
  <c r="N396" i="6"/>
  <c r="O457" i="6"/>
  <c r="P70" i="6"/>
  <c r="O383" i="6"/>
  <c r="L162" i="6"/>
  <c r="M974" i="6"/>
  <c r="O647" i="6"/>
  <c r="K618" i="6"/>
  <c r="N509" i="6"/>
  <c r="N227" i="6"/>
  <c r="L464" i="6"/>
  <c r="N359" i="6"/>
  <c r="L420" i="6"/>
  <c r="L839" i="6"/>
  <c r="P28" i="6"/>
  <c r="K744" i="6"/>
  <c r="P842" i="6"/>
  <c r="M638" i="6"/>
  <c r="N669" i="6"/>
  <c r="P931" i="6"/>
  <c r="O610" i="6"/>
  <c r="J724" i="6"/>
  <c r="O1023" i="6"/>
  <c r="M669" i="6"/>
  <c r="P987" i="6"/>
  <c r="N906" i="6"/>
  <c r="K361" i="6"/>
  <c r="J567" i="6"/>
  <c r="N525" i="6"/>
  <c r="J595" i="6"/>
  <c r="J924" i="6"/>
  <c r="N829" i="6"/>
  <c r="K527" i="6"/>
  <c r="N22" i="6"/>
  <c r="O532" i="6"/>
  <c r="J636" i="6"/>
  <c r="M48" i="6"/>
  <c r="P811" i="6"/>
  <c r="P405" i="6"/>
  <c r="N126" i="6"/>
  <c r="N819" i="6"/>
  <c r="N1008" i="6"/>
  <c r="O430" i="6"/>
  <c r="K627" i="6"/>
  <c r="L598" i="6"/>
  <c r="N79" i="6"/>
  <c r="N721" i="6"/>
  <c r="L387" i="6"/>
  <c r="M880" i="6"/>
  <c r="K683" i="6"/>
  <c r="O38" i="6"/>
  <c r="M988" i="6"/>
  <c r="M99" i="6"/>
  <c r="L846" i="6"/>
  <c r="K1024" i="6"/>
  <c r="L43" i="6"/>
  <c r="P509" i="6"/>
  <c r="J1017" i="6"/>
  <c r="P430" i="6"/>
  <c r="P320" i="6"/>
  <c r="J925" i="6"/>
  <c r="K596" i="6"/>
  <c r="K394" i="6"/>
  <c r="M439" i="6"/>
  <c r="M708" i="6"/>
  <c r="P346" i="6"/>
  <c r="L539" i="6"/>
  <c r="L726" i="6"/>
  <c r="O354" i="6"/>
  <c r="K881" i="6"/>
  <c r="J147" i="6"/>
  <c r="K48" i="6"/>
  <c r="P24" i="6"/>
  <c r="M511" i="6"/>
  <c r="L662" i="6"/>
  <c r="K1023" i="6"/>
  <c r="K826" i="6"/>
  <c r="L28" i="6"/>
  <c r="O398" i="6"/>
  <c r="K353" i="6"/>
  <c r="J228" i="6"/>
  <c r="K19" i="6"/>
  <c r="O100" i="6"/>
  <c r="O66" i="6"/>
  <c r="P591" i="6"/>
  <c r="J659" i="6"/>
  <c r="O125" i="6"/>
  <c r="M202" i="6"/>
  <c r="N4" i="6"/>
  <c r="O921" i="6"/>
  <c r="J374" i="6"/>
  <c r="K910" i="6"/>
  <c r="P876" i="6"/>
  <c r="P760" i="6"/>
  <c r="J838" i="6"/>
  <c r="O60" i="6"/>
  <c r="P691" i="6"/>
  <c r="K116" i="6"/>
  <c r="P722" i="6"/>
  <c r="O240" i="6"/>
  <c r="K471" i="6"/>
  <c r="O815" i="6"/>
  <c r="P973" i="6"/>
  <c r="K262" i="6"/>
  <c r="M836" i="6"/>
  <c r="M763" i="6"/>
  <c r="L152" i="6"/>
  <c r="N807" i="6"/>
  <c r="M328" i="6"/>
  <c r="M27" i="6"/>
  <c r="N877" i="6"/>
  <c r="O7" i="6"/>
  <c r="N179" i="6"/>
  <c r="P981" i="6"/>
  <c r="M610" i="6"/>
  <c r="M958" i="6"/>
  <c r="P341" i="6"/>
  <c r="J985" i="6"/>
  <c r="M174" i="6"/>
  <c r="O332" i="6"/>
  <c r="N782" i="6"/>
  <c r="O229" i="6"/>
  <c r="J586" i="6"/>
  <c r="N465" i="6"/>
  <c r="K495" i="6"/>
  <c r="M414" i="6"/>
  <c r="P79" i="6"/>
  <c r="J320" i="6"/>
  <c r="K713" i="6"/>
  <c r="M441" i="6"/>
  <c r="J390" i="6"/>
  <c r="M841" i="6"/>
  <c r="N348" i="6"/>
  <c r="J775" i="6"/>
  <c r="K976" i="6"/>
  <c r="J874" i="6"/>
  <c r="K313" i="6"/>
  <c r="M142" i="6"/>
  <c r="M651" i="6"/>
  <c r="K155" i="6"/>
  <c r="P790" i="6"/>
  <c r="K839" i="6"/>
  <c r="P711" i="6"/>
  <c r="P899" i="6"/>
  <c r="P963" i="6"/>
  <c r="P1024" i="6"/>
  <c r="M677" i="6"/>
  <c r="K223" i="6"/>
  <c r="L214" i="6"/>
  <c r="J288" i="6"/>
  <c r="J666" i="6"/>
  <c r="L47" i="6"/>
  <c r="K216" i="6"/>
  <c r="J652" i="6"/>
  <c r="K128" i="6"/>
  <c r="M91" i="6"/>
  <c r="N909" i="6"/>
  <c r="J779" i="6"/>
  <c r="L97" i="6"/>
  <c r="L438" i="6"/>
  <c r="P102" i="6"/>
  <c r="P877" i="6"/>
  <c r="K876" i="6"/>
  <c r="P127" i="6"/>
  <c r="P761" i="6"/>
  <c r="L544" i="6"/>
  <c r="P218" i="6"/>
  <c r="O206" i="6"/>
  <c r="K466" i="6"/>
  <c r="N297" i="6"/>
  <c r="P414" i="6"/>
  <c r="J642" i="6"/>
  <c r="P819" i="6"/>
  <c r="P111" i="6"/>
  <c r="P191" i="6"/>
  <c r="M52" i="6"/>
  <c r="N155" i="6"/>
  <c r="P566" i="6"/>
  <c r="P176" i="6"/>
  <c r="N670" i="6"/>
  <c r="K11" i="6"/>
  <c r="M19" i="6"/>
  <c r="J39" i="6"/>
  <c r="M572" i="6"/>
  <c r="N991" i="6"/>
  <c r="P1012" i="6"/>
  <c r="O618" i="6"/>
  <c r="L154" i="6"/>
  <c r="K860" i="6"/>
  <c r="O976" i="6"/>
  <c r="L90" i="6"/>
  <c r="O258" i="6"/>
  <c r="O497" i="6"/>
  <c r="M635" i="6"/>
  <c r="J400" i="6"/>
  <c r="M761" i="6"/>
  <c r="P232" i="6"/>
  <c r="K359" i="6"/>
  <c r="L925" i="6"/>
  <c r="P153" i="6"/>
  <c r="J836" i="6"/>
  <c r="P642" i="6"/>
  <c r="M606" i="6"/>
  <c r="K541" i="6"/>
  <c r="K787" i="6"/>
  <c r="M161" i="6"/>
  <c r="P20" i="6"/>
  <c r="J231" i="6"/>
  <c r="K1002" i="6"/>
  <c r="N38" i="6"/>
  <c r="N988" i="6"/>
  <c r="N633" i="6"/>
  <c r="L830" i="6"/>
  <c r="K575" i="6"/>
  <c r="L940" i="6"/>
  <c r="K905" i="6"/>
  <c r="P186" i="6"/>
  <c r="M596" i="6"/>
  <c r="J548" i="6"/>
  <c r="J224" i="6"/>
  <c r="P696" i="6"/>
  <c r="M365" i="6"/>
  <c r="K135" i="6"/>
  <c r="K70" i="6"/>
  <c r="O426" i="6"/>
  <c r="M71" i="6"/>
  <c r="O947" i="6"/>
  <c r="O960" i="6"/>
  <c r="O710" i="6"/>
  <c r="N519" i="6"/>
  <c r="N677" i="6"/>
  <c r="L12" i="6"/>
  <c r="N487" i="6"/>
  <c r="P581" i="6"/>
  <c r="P322" i="6"/>
  <c r="M967" i="6"/>
  <c r="M168" i="6"/>
  <c r="O641" i="6"/>
  <c r="K781" i="6"/>
  <c r="K117" i="6"/>
  <c r="P493" i="6"/>
  <c r="O919" i="6"/>
  <c r="O841" i="6"/>
  <c r="J504" i="6"/>
  <c r="J405" i="6"/>
  <c r="P114" i="6"/>
  <c r="M738" i="6"/>
  <c r="P635" i="6"/>
  <c r="P120" i="6"/>
  <c r="N737" i="6"/>
  <c r="P666" i="6"/>
  <c r="O533" i="6"/>
  <c r="M936" i="6"/>
  <c r="K1014" i="6"/>
  <c r="P366" i="6"/>
  <c r="M663" i="6"/>
  <c r="P506" i="6"/>
  <c r="J363" i="6"/>
  <c r="K890" i="6"/>
  <c r="J312" i="6"/>
  <c r="P656" i="6"/>
  <c r="P447" i="6"/>
  <c r="M667" i="6"/>
  <c r="M942" i="6"/>
  <c r="J302" i="6"/>
  <c r="L507" i="6"/>
  <c r="M857" i="6"/>
  <c r="M310" i="6"/>
  <c r="K58" i="6"/>
  <c r="O1026" i="6"/>
  <c r="O809" i="6"/>
  <c r="N57" i="6"/>
  <c r="J609" i="6"/>
  <c r="K784" i="6"/>
  <c r="M160" i="6"/>
  <c r="O885" i="6"/>
  <c r="J573" i="6"/>
  <c r="N700" i="6"/>
  <c r="N236" i="6"/>
  <c r="K831" i="6"/>
  <c r="M33" i="6"/>
  <c r="P482" i="6"/>
  <c r="P779" i="6"/>
  <c r="O717" i="6"/>
  <c r="J451" i="6"/>
  <c r="L524" i="6"/>
  <c r="P342" i="6"/>
  <c r="P12" i="6"/>
  <c r="M28" i="6"/>
  <c r="K286" i="6"/>
  <c r="J95" i="6"/>
  <c r="L241" i="6"/>
  <c r="K570" i="6"/>
  <c r="N271" i="6"/>
  <c r="J736" i="6"/>
  <c r="L208" i="6"/>
  <c r="L84" i="6"/>
  <c r="K605" i="6"/>
  <c r="P175" i="6"/>
  <c r="O50" i="6"/>
  <c r="N759" i="6"/>
  <c r="P350" i="6"/>
  <c r="J1011" i="6"/>
  <c r="O295" i="6"/>
  <c r="O837" i="6"/>
  <c r="P90" i="6"/>
  <c r="L312" i="6"/>
  <c r="M465" i="6"/>
  <c r="L646" i="6"/>
  <c r="K869" i="6"/>
  <c r="O131" i="6"/>
  <c r="N778" i="6"/>
  <c r="L4" i="6"/>
  <c r="K363" i="6"/>
  <c r="N401" i="6"/>
  <c r="O721" i="6"/>
  <c r="L930" i="6"/>
  <c r="L926" i="6"/>
  <c r="L468" i="6"/>
  <c r="J987" i="6"/>
  <c r="O144" i="6"/>
  <c r="N504" i="6"/>
  <c r="L872" i="6"/>
  <c r="O894" i="6"/>
  <c r="N192" i="6"/>
  <c r="M710" i="6"/>
  <c r="L354" i="6"/>
  <c r="L33" i="6"/>
  <c r="L570" i="6"/>
  <c r="M331" i="6"/>
  <c r="P617" i="6"/>
  <c r="M153" i="6"/>
  <c r="P292" i="6"/>
  <c r="O901" i="6"/>
  <c r="O448" i="6"/>
  <c r="J5" i="6"/>
  <c r="M773" i="6"/>
  <c r="O164" i="6"/>
  <c r="J196" i="6"/>
  <c r="P460" i="6"/>
  <c r="L139" i="6"/>
  <c r="M112" i="6"/>
  <c r="P745" i="6"/>
  <c r="J635" i="6"/>
  <c r="N917" i="6"/>
  <c r="N668" i="6"/>
  <c r="P886" i="6"/>
  <c r="L1011" i="6"/>
  <c r="L577" i="6"/>
  <c r="K874" i="6"/>
  <c r="K767" i="6"/>
  <c r="P720" i="6"/>
  <c r="K491" i="6"/>
  <c r="J620" i="6"/>
  <c r="L382" i="6"/>
  <c r="N851" i="6"/>
  <c r="P615" i="6"/>
  <c r="N1020" i="6"/>
  <c r="J471" i="6"/>
  <c r="K814" i="6"/>
  <c r="L76" i="6"/>
  <c r="P871" i="6"/>
  <c r="M457" i="6"/>
  <c r="N163" i="6"/>
  <c r="P407" i="6"/>
  <c r="J41" i="6"/>
  <c r="M25" i="6"/>
  <c r="K525" i="6"/>
  <c r="O834" i="6"/>
  <c r="J840" i="6"/>
  <c r="J713" i="6"/>
  <c r="K579" i="6"/>
  <c r="K273" i="6"/>
  <c r="N604" i="6"/>
  <c r="M882" i="6"/>
  <c r="L226" i="6"/>
  <c r="N704" i="6"/>
  <c r="L38" i="6"/>
  <c r="N189" i="6"/>
  <c r="O26" i="6"/>
  <c r="M78" i="6"/>
  <c r="P542" i="6"/>
  <c r="M407" i="6"/>
  <c r="P994" i="6"/>
  <c r="L255" i="6"/>
  <c r="M743" i="6"/>
  <c r="N403" i="6"/>
  <c r="P874" i="6"/>
  <c r="K978" i="6"/>
  <c r="O342" i="6"/>
  <c r="J1005" i="6"/>
  <c r="N190" i="6"/>
  <c r="N811" i="6"/>
  <c r="M609" i="6"/>
  <c r="O737" i="6"/>
  <c r="P860" i="6"/>
  <c r="O774" i="6"/>
  <c r="M665" i="6"/>
  <c r="M90" i="6"/>
  <c r="O628" i="6"/>
  <c r="J849" i="6"/>
  <c r="O473" i="6"/>
  <c r="P858" i="6"/>
  <c r="O743" i="6"/>
  <c r="O323" i="6"/>
  <c r="N483" i="6"/>
  <c r="M718" i="6"/>
  <c r="L563" i="6"/>
  <c r="K754" i="6"/>
  <c r="O868" i="6"/>
  <c r="O48" i="6"/>
  <c r="L1023" i="6"/>
  <c r="K684" i="6"/>
  <c r="J870" i="6"/>
  <c r="M17" i="6"/>
  <c r="J797" i="6"/>
  <c r="M889" i="6"/>
  <c r="L483" i="6"/>
  <c r="J461" i="6"/>
  <c r="K97" i="6"/>
  <c r="M494" i="6"/>
  <c r="O683" i="6"/>
  <c r="J1000" i="6"/>
  <c r="N94" i="6"/>
  <c r="P335" i="6"/>
  <c r="M997" i="6"/>
  <c r="K950" i="6"/>
  <c r="N380" i="6"/>
  <c r="J333" i="6"/>
  <c r="N564" i="6"/>
  <c r="O189" i="6"/>
  <c r="K650" i="6"/>
  <c r="M561" i="6"/>
  <c r="O454" i="6"/>
  <c r="K595" i="6"/>
  <c r="L218" i="6"/>
  <c r="N561" i="6"/>
  <c r="M874" i="6"/>
  <c r="J644" i="6"/>
  <c r="P304" i="6"/>
  <c r="N447" i="6"/>
  <c r="P638" i="6"/>
  <c r="M81" i="6"/>
  <c r="L466" i="6"/>
  <c r="J87" i="6"/>
  <c r="O55" i="6"/>
  <c r="N938" i="6"/>
  <c r="O35" i="6"/>
  <c r="J615" i="6"/>
  <c r="L955" i="6"/>
  <c r="N73" i="6"/>
  <c r="P77" i="6"/>
  <c r="L185" i="6"/>
  <c r="K791" i="6"/>
  <c r="J776" i="6"/>
  <c r="L560" i="6"/>
  <c r="N330" i="6"/>
  <c r="L26" i="6"/>
  <c r="M198" i="6"/>
  <c r="L664" i="6"/>
  <c r="N853" i="6"/>
  <c r="L514" i="6"/>
  <c r="M1025" i="6"/>
  <c r="N3" i="6"/>
  <c r="N768" i="6"/>
  <c r="L177" i="6"/>
  <c r="P787" i="6"/>
  <c r="P140" i="6"/>
  <c r="J658" i="6"/>
  <c r="P826" i="6"/>
  <c r="O729" i="6"/>
  <c r="N1003" i="6"/>
  <c r="N100" i="6"/>
  <c r="L355" i="6"/>
  <c r="O890" i="6"/>
  <c r="O1007" i="6"/>
  <c r="O915" i="6"/>
  <c r="O1003" i="6"/>
  <c r="K330" i="6"/>
  <c r="J223" i="6"/>
  <c r="P194" i="6"/>
  <c r="J65" i="6"/>
  <c r="K921" i="6"/>
  <c r="P438" i="6"/>
  <c r="P308" i="6"/>
  <c r="M671" i="6"/>
  <c r="M190" i="6"/>
  <c r="J555" i="6"/>
  <c r="O89" i="6"/>
  <c r="M8" i="6"/>
  <c r="O73" i="6"/>
  <c r="K523" i="6"/>
  <c r="J13" i="6"/>
  <c r="L115" i="6"/>
  <c r="K486" i="6"/>
  <c r="K459" i="6"/>
  <c r="L59" i="6"/>
  <c r="J82" i="6"/>
  <c r="M345" i="6"/>
  <c r="K307" i="6"/>
  <c r="K670" i="6"/>
  <c r="M289" i="6"/>
  <c r="K141" i="6"/>
  <c r="N942" i="6"/>
  <c r="K178" i="6"/>
  <c r="P203" i="6"/>
  <c r="J961" i="6"/>
  <c r="N50" i="6"/>
  <c r="N152" i="6"/>
  <c r="N213" i="6"/>
  <c r="K84" i="6"/>
  <c r="P458" i="6"/>
  <c r="P952" i="6"/>
  <c r="K659" i="6"/>
  <c r="N83" i="6"/>
  <c r="O480" i="6"/>
  <c r="L788" i="6"/>
  <c r="K346" i="6"/>
  <c r="M416" i="6"/>
  <c r="N950" i="6"/>
  <c r="N65" i="6"/>
  <c r="L490" i="6"/>
  <c r="J463" i="6"/>
  <c r="O167" i="6"/>
  <c r="K810" i="6"/>
  <c r="O329" i="6"/>
  <c r="M753" i="6"/>
  <c r="M341" i="6"/>
  <c r="K1006" i="6"/>
  <c r="L820" i="6"/>
  <c r="O274" i="6"/>
  <c r="O318" i="6"/>
  <c r="L279" i="6"/>
  <c r="P487" i="6"/>
  <c r="N975" i="6"/>
  <c r="K886" i="6"/>
  <c r="M87" i="6"/>
  <c r="M1014" i="6"/>
  <c r="K358" i="6"/>
  <c r="K997" i="6"/>
  <c r="L195" i="6"/>
  <c r="K214" i="6"/>
  <c r="M480" i="6"/>
  <c r="N972" i="6"/>
  <c r="J995" i="6"/>
  <c r="M1003" i="6"/>
  <c r="L947" i="6"/>
  <c r="M598" i="6"/>
  <c r="N1015" i="6"/>
  <c r="M812" i="6"/>
  <c r="J789" i="6"/>
  <c r="K778" i="6"/>
  <c r="O151" i="6"/>
  <c r="L363" i="6"/>
  <c r="J29" i="6"/>
  <c r="N368" i="6"/>
  <c r="N716" i="6"/>
  <c r="J46" i="6"/>
  <c r="O459" i="6"/>
  <c r="K303" i="6"/>
  <c r="N468" i="6"/>
  <c r="K283" i="6"/>
  <c r="K945" i="6"/>
  <c r="O526" i="6"/>
  <c r="L477" i="6"/>
  <c r="M148" i="6"/>
  <c r="J252" i="6"/>
  <c r="N9" i="6"/>
  <c r="J153" i="6"/>
  <c r="M678" i="6"/>
  <c r="L738" i="6"/>
  <c r="L182" i="6"/>
  <c r="L678" i="6"/>
  <c r="N626" i="6"/>
  <c r="P199" i="6"/>
  <c r="L751" i="6"/>
  <c r="L481" i="6"/>
  <c r="P898" i="6"/>
  <c r="M1024" i="6"/>
  <c r="P81" i="6"/>
  <c r="J990" i="6"/>
  <c r="K939" i="6"/>
  <c r="P468" i="6"/>
  <c r="N323" i="6"/>
  <c r="L32" i="6"/>
  <c r="K57" i="6"/>
  <c r="L207" i="6"/>
  <c r="K624" i="6"/>
  <c r="N882" i="6"/>
  <c r="K166" i="6"/>
  <c r="N979" i="6"/>
  <c r="L998" i="6"/>
  <c r="M45" i="6"/>
  <c r="P802" i="6"/>
  <c r="L698" i="6"/>
  <c r="P944" i="6"/>
  <c r="M848" i="6"/>
  <c r="P498" i="6"/>
  <c r="P47" i="6"/>
  <c r="J499" i="6"/>
  <c r="O803" i="6"/>
  <c r="O78" i="6"/>
  <c r="J588" i="6"/>
  <c r="P473" i="6"/>
  <c r="M800" i="6"/>
  <c r="P511" i="6"/>
  <c r="M728" i="6"/>
  <c r="N137" i="6"/>
  <c r="P46" i="6"/>
  <c r="J293" i="6"/>
  <c r="N860" i="6"/>
  <c r="N797" i="6"/>
  <c r="O366" i="6"/>
  <c r="L661" i="6"/>
  <c r="M693" i="6"/>
  <c r="O22" i="6"/>
  <c r="O305" i="6"/>
  <c r="J749" i="6"/>
  <c r="J862" i="6"/>
  <c r="M3" i="6"/>
  <c r="L581" i="6"/>
  <c r="P517" i="6"/>
  <c r="N952" i="6"/>
  <c r="K926" i="6"/>
  <c r="J354" i="6"/>
  <c r="N859" i="6"/>
  <c r="O174" i="6"/>
  <c r="N494" i="6"/>
  <c r="N457" i="6"/>
  <c r="N214" i="6"/>
  <c r="M929" i="6"/>
  <c r="N603" i="6"/>
  <c r="L133" i="6"/>
  <c r="P93" i="6"/>
  <c r="M477" i="6"/>
  <c r="L763" i="6"/>
  <c r="O958" i="6"/>
  <c r="O726" i="6"/>
  <c r="L984" i="6"/>
  <c r="N966" i="6"/>
  <c r="J341" i="6"/>
  <c r="K655" i="6"/>
  <c r="P616" i="6"/>
  <c r="N732" i="6"/>
  <c r="L597" i="6"/>
  <c r="O507" i="6"/>
  <c r="K76" i="6"/>
  <c r="N749" i="6"/>
  <c r="L268" i="6"/>
  <c r="K134" i="6"/>
  <c r="O942" i="6"/>
  <c r="P333" i="6"/>
  <c r="M948" i="6"/>
  <c r="L633" i="6"/>
  <c r="M674" i="6"/>
  <c r="M631" i="6"/>
  <c r="P957" i="6"/>
  <c r="N956" i="6"/>
  <c r="P1014" i="6"/>
  <c r="M106" i="6"/>
  <c r="L670" i="6"/>
  <c r="M12" i="6"/>
  <c r="O96" i="6"/>
  <c r="M252" i="6"/>
  <c r="K925" i="6"/>
  <c r="J465" i="6"/>
  <c r="L985" i="6"/>
  <c r="K749" i="6"/>
  <c r="O113" i="6"/>
  <c r="P61" i="6"/>
  <c r="P610" i="6"/>
  <c r="P441" i="6"/>
  <c r="K1003" i="6"/>
  <c r="P536" i="6"/>
  <c r="J561" i="6"/>
  <c r="P767" i="6"/>
  <c r="P991" i="6"/>
  <c r="O1019" i="6"/>
  <c r="M762" i="6"/>
  <c r="M491" i="6"/>
  <c r="M228" i="6"/>
  <c r="N692" i="6"/>
  <c r="L408" i="6"/>
  <c r="J1014" i="6"/>
  <c r="M791" i="6"/>
  <c r="P264" i="6"/>
  <c r="O58" i="6"/>
  <c r="L358" i="6"/>
  <c r="M870" i="6"/>
  <c r="O766" i="6"/>
  <c r="P894" i="6"/>
  <c r="K151" i="6"/>
  <c r="M383" i="6"/>
  <c r="K17" i="6"/>
  <c r="K840" i="6"/>
  <c r="O670" i="6"/>
  <c r="L266" i="6"/>
  <c r="K751" i="6"/>
  <c r="P769" i="6"/>
  <c r="O315" i="6"/>
  <c r="L1018" i="6"/>
  <c r="N448" i="6"/>
  <c r="O527" i="6"/>
  <c r="N361" i="6"/>
  <c r="K437" i="6"/>
  <c r="J44" i="6"/>
  <c r="P783" i="6"/>
  <c r="O70" i="6"/>
  <c r="P818" i="6"/>
  <c r="M461" i="6"/>
  <c r="L196" i="6"/>
  <c r="K177" i="6"/>
  <c r="M792" i="6"/>
  <c r="L1004" i="6"/>
  <c r="N328" i="6"/>
  <c r="L523" i="6"/>
  <c r="J403" i="6"/>
  <c r="L478" i="6"/>
  <c r="M887" i="6"/>
  <c r="O25" i="6"/>
  <c r="L125" i="6"/>
  <c r="N89" i="6"/>
  <c r="K609" i="6"/>
  <c r="L798" i="6"/>
  <c r="M804" i="6"/>
  <c r="M619" i="6"/>
  <c r="O859" i="6"/>
  <c r="L381" i="6"/>
  <c r="O971" i="6"/>
  <c r="M318" i="6"/>
  <c r="O264" i="6"/>
  <c r="P374" i="6"/>
  <c r="L124" i="6"/>
  <c r="O345" i="6"/>
  <c r="O298" i="6"/>
  <c r="M881" i="6"/>
  <c r="L918" i="6"/>
  <c r="N593" i="6"/>
  <c r="P359" i="6"/>
  <c r="M367" i="6"/>
  <c r="P246" i="6"/>
  <c r="O163" i="6"/>
  <c r="L319" i="6"/>
  <c r="N681" i="6"/>
  <c r="N934" i="6"/>
  <c r="M107" i="6"/>
  <c r="L485" i="6"/>
  <c r="L893" i="6"/>
  <c r="M37" i="6"/>
  <c r="L608" i="6"/>
  <c r="N838" i="6"/>
  <c r="J195" i="6"/>
  <c r="L197" i="6"/>
  <c r="N338" i="6"/>
  <c r="M20" i="6"/>
  <c r="K746" i="6"/>
  <c r="N745" i="6"/>
  <c r="N984" i="6"/>
  <c r="L979" i="6"/>
  <c r="N809" i="6"/>
  <c r="P193" i="6"/>
  <c r="M203" i="6"/>
  <c r="L708" i="6"/>
  <c r="N719" i="6"/>
  <c r="J674" i="6"/>
  <c r="M478" i="6"/>
  <c r="J162" i="6"/>
  <c r="J512" i="6"/>
  <c r="J631" i="6"/>
  <c r="O808" i="6"/>
  <c r="P926" i="6"/>
  <c r="O249" i="6"/>
  <c r="N824" i="6"/>
  <c r="N733" i="6"/>
  <c r="J637" i="6"/>
  <c r="N936" i="6"/>
  <c r="L532" i="6"/>
  <c r="M909" i="6"/>
  <c r="O966" i="6"/>
  <c r="N480" i="6"/>
  <c r="P237" i="6"/>
  <c r="P190" i="6"/>
  <c r="K396" i="6"/>
  <c r="N886" i="6"/>
  <c r="M580" i="6"/>
  <c r="L703" i="6"/>
  <c r="J309" i="6"/>
  <c r="K380" i="6"/>
  <c r="M639" i="6"/>
  <c r="P484" i="6"/>
  <c r="L765" i="6"/>
  <c r="K548" i="6"/>
  <c r="O347" i="6"/>
  <c r="M641" i="6"/>
  <c r="P437" i="6"/>
  <c r="N597" i="6"/>
  <c r="N90" i="6"/>
  <c r="N640" i="6"/>
  <c r="K261" i="6"/>
  <c r="K1011" i="6"/>
  <c r="P228" i="6"/>
  <c r="O679" i="6"/>
  <c r="O681" i="6"/>
  <c r="P130" i="6"/>
  <c r="O854" i="6"/>
  <c r="P336" i="6"/>
  <c r="P661" i="6"/>
  <c r="M303" i="6"/>
  <c r="O155" i="6"/>
  <c r="M239" i="6"/>
  <c r="K706" i="6"/>
  <c r="J993" i="6"/>
  <c r="P1009" i="6"/>
  <c r="M696" i="6"/>
  <c r="M953" i="6"/>
  <c r="L815" i="6"/>
  <c r="P530" i="6"/>
  <c r="J844" i="6"/>
  <c r="M914" i="6"/>
  <c r="O252" i="6"/>
  <c r="P579" i="6"/>
  <c r="K672" i="6"/>
  <c r="K71" i="6"/>
  <c r="K582" i="6"/>
  <c r="K5" i="6"/>
  <c r="N705" i="6"/>
  <c r="M471" i="6"/>
  <c r="P712" i="6"/>
  <c r="L616" i="6"/>
  <c r="J62" i="6"/>
  <c r="J1024" i="6"/>
  <c r="K29" i="6"/>
  <c r="P390" i="6"/>
  <c r="N698" i="6"/>
  <c r="O620" i="6"/>
  <c r="K328" i="6"/>
  <c r="M502" i="6"/>
  <c r="J895" i="6"/>
  <c r="L826" i="6"/>
  <c r="P908" i="6"/>
  <c r="O1015" i="6"/>
  <c r="O719" i="6"/>
  <c r="K404" i="6"/>
  <c r="N294" i="6"/>
  <c r="N173" i="6"/>
  <c r="K882" i="6"/>
  <c r="P984" i="6"/>
  <c r="O187" i="6"/>
  <c r="J327" i="6"/>
  <c r="P22" i="6"/>
  <c r="O289" i="6"/>
  <c r="N762" i="6"/>
  <c r="N102" i="6"/>
  <c r="J476" i="6"/>
  <c r="L992" i="6"/>
  <c r="N932" i="6"/>
  <c r="P338" i="6"/>
  <c r="J295" i="6"/>
  <c r="O950" i="6"/>
  <c r="K460" i="6"/>
  <c r="L762" i="6"/>
  <c r="K287" i="6"/>
  <c r="K818" i="6"/>
  <c r="O492" i="6"/>
  <c r="L117" i="6"/>
  <c r="O177" i="6"/>
  <c r="J56" i="6"/>
  <c r="K745" i="6"/>
  <c r="O128" i="6"/>
  <c r="M55" i="6"/>
  <c r="O503" i="6"/>
  <c r="P424" i="6"/>
  <c r="K27" i="6"/>
  <c r="O567" i="6"/>
  <c r="P549" i="6"/>
  <c r="P759" i="6"/>
  <c r="L944" i="6"/>
  <c r="L709" i="6"/>
  <c r="N741" i="6"/>
  <c r="P295" i="6"/>
  <c r="L399" i="6"/>
  <c r="P282" i="6"/>
  <c r="K805" i="6"/>
  <c r="M999" i="6"/>
  <c r="K591" i="6"/>
  <c r="N279" i="6"/>
  <c r="K298" i="6"/>
  <c r="J376" i="6"/>
  <c r="O725" i="6"/>
  <c r="N440" i="6"/>
  <c r="O811" i="6"/>
  <c r="J367" i="6"/>
  <c r="K965" i="6"/>
  <c r="P713" i="6"/>
  <c r="O145" i="6"/>
  <c r="L521" i="6"/>
  <c r="O621" i="6"/>
  <c r="K631" i="6"/>
  <c r="L46" i="6"/>
  <c r="N99" i="6"/>
  <c r="L16" i="6"/>
  <c r="L725" i="6"/>
  <c r="K935" i="6"/>
  <c r="L10" i="6"/>
  <c r="P495" i="6"/>
  <c r="O74" i="6"/>
  <c r="L620" i="6"/>
  <c r="L333" i="6"/>
  <c r="M508" i="6"/>
  <c r="M232" i="6"/>
  <c r="N864" i="6"/>
  <c r="N725" i="6"/>
  <c r="O370" i="6"/>
  <c r="K136" i="6"/>
  <c r="N842" i="6"/>
  <c r="N205" i="6"/>
  <c r="O176" i="6"/>
  <c r="N579" i="6"/>
  <c r="O944" i="6"/>
  <c r="O156" i="6"/>
  <c r="K496" i="6"/>
  <c r="L915" i="6"/>
  <c r="K834" i="6"/>
  <c r="M758" i="6"/>
  <c r="K335" i="6"/>
  <c r="J497" i="6"/>
  <c r="K191" i="6"/>
  <c r="L116" i="6"/>
  <c r="K407" i="6"/>
  <c r="M939" i="6"/>
  <c r="M95" i="6"/>
  <c r="P467" i="6"/>
  <c r="O261" i="6"/>
  <c r="M979" i="6"/>
  <c r="K663" i="6"/>
  <c r="M230" i="6"/>
  <c r="P863" i="6"/>
  <c r="N601" i="6"/>
  <c r="N547" i="6"/>
  <c r="P962" i="6"/>
  <c r="J860" i="6"/>
  <c r="J696" i="6"/>
  <c r="J598" i="6"/>
  <c r="K813" i="6"/>
  <c r="M505" i="6"/>
  <c r="N548" i="6"/>
  <c r="N679" i="6"/>
  <c r="O893" i="6"/>
  <c r="O535" i="6"/>
  <c r="O27" i="6"/>
  <c r="O583" i="6"/>
  <c r="K140" i="6"/>
  <c r="L785" i="6"/>
  <c r="K620" i="6"/>
  <c r="K402" i="6"/>
  <c r="J587" i="6"/>
  <c r="L244" i="6"/>
  <c r="K922" i="6"/>
  <c r="K838" i="6"/>
  <c r="J198" i="6"/>
  <c r="K954" i="6"/>
  <c r="P129" i="6"/>
  <c r="L345" i="6"/>
  <c r="M171" i="6"/>
  <c r="N141" i="6"/>
  <c r="O587" i="6"/>
  <c r="N140" i="6"/>
  <c r="L602" i="6"/>
  <c r="K629" i="6"/>
  <c r="M280" i="6"/>
  <c r="M900" i="6"/>
  <c r="L9" i="6"/>
  <c r="P912" i="6"/>
  <c r="K35" i="6"/>
  <c r="N341" i="6"/>
  <c r="P1008" i="6"/>
  <c r="K18" i="6"/>
  <c r="M657" i="6"/>
  <c r="J76" i="6"/>
  <c r="P314" i="6"/>
  <c r="J828" i="6"/>
  <c r="K477" i="6"/>
  <c r="O322" i="6"/>
  <c r="K716" i="6"/>
  <c r="M916" i="6"/>
  <c r="P362" i="6"/>
  <c r="N122" i="6"/>
  <c r="L804" i="6"/>
  <c r="P138" i="6"/>
  <c r="O214" i="6"/>
  <c r="O337" i="6"/>
  <c r="O115" i="6"/>
  <c r="P603" i="6"/>
  <c r="P318" i="6"/>
  <c r="N148" i="6"/>
  <c r="N127" i="6"/>
  <c r="K425" i="6"/>
  <c r="P204" i="6"/>
  <c r="M751" i="6"/>
  <c r="O691" i="6"/>
  <c r="J186" i="6"/>
  <c r="N659" i="6"/>
  <c r="L801" i="6"/>
  <c r="J277" i="6"/>
  <c r="M500" i="6"/>
  <c r="M448" i="6"/>
  <c r="O543" i="6"/>
  <c r="L215" i="6"/>
  <c r="J118" i="6"/>
  <c r="M5" i="6"/>
  <c r="O630" i="6"/>
  <c r="O542" i="6"/>
  <c r="L348" i="6"/>
  <c r="P805" i="6"/>
  <c r="N911" i="6"/>
  <c r="M105" i="6"/>
  <c r="L609" i="6"/>
  <c r="M778" i="6"/>
  <c r="N644" i="6"/>
  <c r="K122" i="6"/>
  <c r="M959" i="6"/>
  <c r="L590" i="6"/>
  <c r="J505" i="6"/>
  <c r="J357" i="6"/>
  <c r="L508" i="6"/>
  <c r="J532" i="6"/>
  <c r="M403" i="6"/>
  <c r="O201" i="6"/>
  <c r="P448" i="6"/>
  <c r="L275" i="6"/>
  <c r="L349" i="6"/>
  <c r="L1012" i="6"/>
  <c r="N107" i="6"/>
  <c r="O146" i="6"/>
  <c r="M42" i="6"/>
  <c r="J81" i="6"/>
  <c r="O795" i="6"/>
  <c r="J31" i="6"/>
  <c r="J753" i="6"/>
  <c r="P119" i="6"/>
  <c r="N750" i="6"/>
  <c r="P112" i="6"/>
  <c r="L211" i="6"/>
  <c r="N170" i="6"/>
  <c r="N272" i="6"/>
  <c r="O188" i="6"/>
  <c r="P702" i="6"/>
  <c r="N201" i="6"/>
  <c r="K758" i="6"/>
  <c r="P861" i="6"/>
  <c r="O707" i="6"/>
  <c r="O120" i="6"/>
  <c r="O411" i="6"/>
  <c r="N311" i="6"/>
  <c r="L652" i="6"/>
  <c r="K413" i="6"/>
  <c r="N505" i="6"/>
  <c r="L565" i="6"/>
  <c r="P315" i="6"/>
  <c r="M49" i="6"/>
  <c r="O28" i="6"/>
  <c r="M110" i="6"/>
  <c r="K326" i="6"/>
  <c r="N896" i="6"/>
  <c r="L434" i="6"/>
  <c r="N283" i="6"/>
  <c r="K310" i="6"/>
  <c r="P148" i="6"/>
  <c r="L740" i="6"/>
  <c r="M577" i="6"/>
  <c r="N806" i="6"/>
  <c r="O864" i="6"/>
  <c r="N535" i="6"/>
  <c r="O126" i="6"/>
  <c r="M695" i="6"/>
  <c r="J590" i="6"/>
  <c r="M113" i="6"/>
  <c r="K319" i="6"/>
  <c r="L484" i="6"/>
  <c r="L970" i="6"/>
  <c r="O825" i="6"/>
  <c r="K65" i="6"/>
  <c r="O783" i="6"/>
  <c r="O154" i="6"/>
  <c r="P454" i="6"/>
  <c r="J755" i="6"/>
  <c r="P773" i="6"/>
  <c r="L945" i="6"/>
  <c r="P76" i="6"/>
  <c r="P679" i="6"/>
  <c r="J848" i="6"/>
  <c r="O256" i="6"/>
  <c r="K421" i="6"/>
  <c r="L361" i="6"/>
  <c r="P478" i="6"/>
  <c r="M552" i="6"/>
  <c r="M88" i="6"/>
  <c r="M507" i="6"/>
  <c r="M238" i="6"/>
  <c r="K188" i="6"/>
  <c r="L278" i="6"/>
  <c r="M463" i="6"/>
  <c r="P665" i="6"/>
  <c r="P1022" i="6"/>
  <c r="M713" i="6"/>
  <c r="O524" i="6"/>
  <c r="N86" i="6"/>
  <c r="K444" i="6"/>
  <c r="M946" i="6"/>
  <c r="P159" i="6"/>
  <c r="K870" i="6"/>
  <c r="O202" i="6"/>
  <c r="J773" i="6"/>
  <c r="K904" i="6"/>
  <c r="L409" i="6"/>
  <c r="N731" i="6"/>
  <c r="M501" i="6"/>
  <c r="M808" i="6"/>
  <c r="P95" i="6"/>
  <c r="P552" i="6"/>
  <c r="O173" i="6"/>
  <c r="L309" i="6"/>
  <c r="O858" i="6"/>
  <c r="K927" i="6"/>
  <c r="M352" i="6"/>
  <c r="K800" i="6"/>
  <c r="J890" i="6"/>
  <c r="P211" i="6"/>
  <c r="J917" i="6"/>
  <c r="K690" i="6"/>
  <c r="O461" i="6"/>
  <c r="J702" i="6"/>
  <c r="P827" i="6"/>
  <c r="M928" i="6"/>
  <c r="L367" i="6"/>
  <c r="L517" i="6"/>
  <c r="P492" i="6"/>
  <c r="N595" i="6"/>
  <c r="P687" i="6"/>
  <c r="K169" i="6"/>
  <c r="O616" i="6"/>
  <c r="K689" i="6"/>
  <c r="J916" i="6"/>
  <c r="K1026" i="6"/>
  <c r="L515" i="6"/>
  <c r="O827" i="6"/>
  <c r="J647" i="6"/>
  <c r="N411" i="6"/>
  <c r="K603" i="6"/>
  <c r="K835" i="6"/>
  <c r="N903" i="6"/>
  <c r="L1008" i="6"/>
  <c r="P347" i="6"/>
  <c r="L827" i="6"/>
  <c r="K85" i="6"/>
  <c r="K476" i="6"/>
  <c r="M532" i="6"/>
  <c r="L475" i="6"/>
  <c r="L447" i="6"/>
  <c r="M436" i="6"/>
  <c r="K566" i="6"/>
  <c r="J423" i="6"/>
  <c r="N706" i="6"/>
  <c r="N803" i="6"/>
  <c r="K671" i="6"/>
  <c r="P982" i="6"/>
  <c r="P920" i="6"/>
  <c r="N675" i="6"/>
  <c r="L852" i="6"/>
  <c r="N646" i="6"/>
  <c r="O451" i="6"/>
  <c r="K653" i="6"/>
  <c r="L747" i="6"/>
  <c r="M54" i="6"/>
  <c r="P749" i="6"/>
  <c r="J727" i="6"/>
  <c r="K104" i="6"/>
  <c r="L638" i="6"/>
  <c r="N665" i="6"/>
  <c r="N35" i="6"/>
  <c r="M615" i="6"/>
  <c r="L187" i="6"/>
  <c r="L53" i="6"/>
  <c r="K482" i="6"/>
  <c r="P137" i="6"/>
  <c r="N738" i="6"/>
  <c r="N685" i="6"/>
  <c r="N343" i="6"/>
  <c r="N933" i="6"/>
  <c r="M7" i="6"/>
  <c r="O936" i="6"/>
  <c r="L393" i="6"/>
  <c r="M854" i="6"/>
  <c r="P699" i="6"/>
  <c r="M569" i="6"/>
  <c r="P526" i="6"/>
  <c r="O488" i="6"/>
  <c r="J599" i="6"/>
  <c r="P145" i="6"/>
  <c r="N517" i="6"/>
  <c r="P844" i="6"/>
  <c r="N578" i="6"/>
  <c r="L671" i="6"/>
  <c r="P1006" i="6"/>
  <c r="O690" i="6"/>
  <c r="O399" i="6"/>
  <c r="O344" i="6"/>
  <c r="N572" i="6"/>
  <c r="L983" i="6"/>
  <c r="J481" i="6"/>
  <c r="P39" i="6"/>
  <c r="O757" i="6"/>
  <c r="K157" i="6"/>
  <c r="L604" i="6"/>
  <c r="P726" i="6"/>
  <c r="O228" i="6"/>
  <c r="M392" i="6"/>
  <c r="P124" i="6"/>
  <c r="N642" i="6"/>
  <c r="L650" i="6"/>
  <c r="O198" i="6"/>
  <c r="O878" i="6"/>
  <c r="O910" i="6"/>
  <c r="J503" i="6"/>
  <c r="N612" i="6"/>
  <c r="K576" i="6"/>
  <c r="M925" i="6"/>
  <c r="K305" i="6"/>
  <c r="N119" i="6"/>
  <c r="L937" i="6"/>
  <c r="L904" i="6"/>
  <c r="N174" i="6"/>
  <c r="P671" i="6"/>
  <c r="P976" i="6"/>
  <c r="O761" i="6"/>
  <c r="O735" i="6"/>
  <c r="M962" i="6"/>
  <c r="O417" i="6"/>
  <c r="L954" i="6"/>
  <c r="O336" i="6"/>
  <c r="J977" i="6"/>
  <c r="P746" i="6"/>
  <c r="O565" i="6"/>
  <c r="L587" i="6"/>
  <c r="O356" i="6"/>
  <c r="M409" i="6"/>
  <c r="J88" i="6"/>
  <c r="J365" i="6"/>
  <c r="L550" i="6"/>
  <c r="P41" i="6"/>
  <c r="K433" i="6"/>
  <c r="J923" i="6"/>
  <c r="J712" i="6"/>
  <c r="O194" i="6"/>
  <c r="O485" i="6"/>
  <c r="L78" i="6"/>
  <c r="N115" i="6"/>
  <c r="J414" i="6"/>
  <c r="N233" i="6"/>
  <c r="N970" i="6"/>
  <c r="M863" i="6"/>
  <c r="J920" i="6"/>
  <c r="M410" i="6"/>
  <c r="L282" i="6"/>
  <c r="K443" i="6"/>
  <c r="P85" i="6"/>
  <c r="N900" i="6"/>
  <c r="L667" i="6"/>
  <c r="N696" i="6"/>
  <c r="N374" i="6"/>
  <c r="P381" i="6"/>
  <c r="J580" i="6"/>
  <c r="P395" i="6"/>
  <c r="O873" i="6"/>
  <c r="M986" i="6"/>
  <c r="L416" i="6"/>
  <c r="O340" i="6"/>
  <c r="O575" i="6"/>
  <c r="N295" i="6"/>
  <c r="O313" i="6"/>
  <c r="O32" i="6"/>
  <c r="L232" i="6"/>
  <c r="K704" i="6"/>
  <c r="M742" i="6"/>
  <c r="L448" i="6"/>
  <c r="J650" i="6"/>
  <c r="L246" i="6"/>
  <c r="M1019" i="6"/>
  <c r="M908" i="6"/>
  <c r="N452" i="6"/>
  <c r="O702" i="6"/>
  <c r="M621" i="6"/>
  <c r="K722" i="6"/>
  <c r="L432" i="6"/>
  <c r="K387" i="6"/>
  <c r="O849" i="6"/>
  <c r="J802" i="6"/>
  <c r="J768" i="6"/>
  <c r="M977" i="6"/>
  <c r="M472" i="6"/>
  <c r="P18" i="6"/>
  <c r="K73" i="6"/>
  <c r="P602" i="6"/>
  <c r="L31" i="6"/>
  <c r="O495" i="6"/>
  <c r="P895" i="6"/>
  <c r="O943" i="6"/>
  <c r="N300" i="6"/>
  <c r="L252" i="6"/>
  <c r="N317" i="6"/>
  <c r="P239" i="6"/>
  <c r="K507" i="6"/>
  <c r="M670" i="6"/>
  <c r="O455" i="6"/>
  <c r="O755" i="6"/>
  <c r="K608" i="6"/>
  <c r="K24" i="6"/>
  <c r="K900" i="6"/>
  <c r="O209" i="6"/>
  <c r="L953" i="6"/>
  <c r="N871" i="6"/>
  <c r="M918" i="6"/>
  <c r="N980" i="6"/>
  <c r="J237" i="6"/>
  <c r="N19" i="6"/>
  <c r="N959" i="6"/>
  <c r="P543" i="6"/>
  <c r="K702" i="6"/>
  <c r="K16" i="6"/>
  <c r="P936" i="6"/>
  <c r="M512" i="6"/>
  <c r="O1006" i="6"/>
  <c r="N898" i="6"/>
  <c r="K638" i="6"/>
  <c r="J956" i="6"/>
  <c r="J830" i="6"/>
  <c r="P104" i="6"/>
  <c r="L472" i="6"/>
  <c r="L769" i="6"/>
  <c r="M625" i="6"/>
  <c r="N239" i="6"/>
  <c r="J982" i="6"/>
  <c r="J313" i="6"/>
  <c r="M316" i="6"/>
  <c r="J829" i="6"/>
  <c r="K53" i="6"/>
  <c r="M702" i="6"/>
  <c r="L344" i="6"/>
  <c r="O730" i="6"/>
  <c r="M567" i="6"/>
  <c r="J593" i="6"/>
  <c r="O270" i="6"/>
  <c r="O887" i="6"/>
  <c r="O740" i="6"/>
  <c r="J175" i="6"/>
  <c r="K197" i="6"/>
  <c r="K943" i="6"/>
  <c r="L782" i="6"/>
  <c r="J253" i="6"/>
  <c r="L369" i="6"/>
  <c r="K961" i="6"/>
  <c r="O474" i="6"/>
  <c r="J230" i="6"/>
  <c r="P52" i="6"/>
  <c r="P456" i="6"/>
  <c r="N856" i="6"/>
  <c r="O191" i="6"/>
  <c r="J883" i="6"/>
  <c r="P373" i="6"/>
  <c r="M85" i="6"/>
  <c r="P227" i="6"/>
  <c r="O674" i="6"/>
  <c r="M450" i="6"/>
  <c r="J931" i="6"/>
  <c r="J106" i="6"/>
  <c r="L736" i="6"/>
  <c r="N739" i="6"/>
  <c r="P968" i="6"/>
  <c r="N554" i="6"/>
  <c r="O835" i="6"/>
  <c r="O12" i="6"/>
  <c r="N962" i="6"/>
  <c r="K388" i="6"/>
  <c r="J448" i="6"/>
  <c r="O105" i="6"/>
  <c r="L101" i="6"/>
  <c r="L601" i="6"/>
  <c r="N263" i="6"/>
  <c r="P410" i="6"/>
  <c r="J34" i="6"/>
  <c r="O452" i="6"/>
  <c r="N372" i="6"/>
  <c r="N852" i="6"/>
  <c r="O272" i="6"/>
  <c r="M551" i="6"/>
  <c r="K332" i="6"/>
  <c r="M824" i="6"/>
  <c r="P75" i="6"/>
  <c r="P1026" i="6"/>
  <c r="K951" i="6"/>
  <c r="N373" i="6"/>
  <c r="K242" i="6"/>
  <c r="K511" i="6"/>
  <c r="J734" i="6"/>
  <c r="P117" i="6"/>
  <c r="L41" i="6"/>
  <c r="K92" i="6"/>
  <c r="K665" i="6"/>
  <c r="P740" i="6"/>
  <c r="L519" i="6"/>
  <c r="K697" i="6"/>
  <c r="O346" i="6"/>
  <c r="J468" i="6"/>
  <c r="P568" i="6"/>
  <c r="M547" i="6"/>
  <c r="N206" i="6"/>
  <c r="L18" i="6"/>
  <c r="L176" i="6"/>
  <c r="K347" i="6"/>
  <c r="K481" i="6"/>
  <c r="O271" i="6"/>
  <c r="L175" i="6"/>
  <c r="P757" i="6"/>
  <c r="K206" i="6"/>
  <c r="J563" i="6"/>
  <c r="M139" i="6"/>
  <c r="L473" i="6"/>
  <c r="K960" i="6"/>
  <c r="J107" i="6"/>
  <c r="J474" i="6"/>
  <c r="J664" i="6"/>
  <c r="N431" i="6"/>
  <c r="J340" i="6"/>
  <c r="J187" i="6"/>
  <c r="O512" i="6"/>
  <c r="L691" i="6"/>
  <c r="J136" i="6"/>
  <c r="O882" i="6"/>
  <c r="J1018" i="6"/>
  <c r="L724" i="6"/>
  <c r="N530" i="6"/>
  <c r="M681" i="6"/>
  <c r="O293" i="6"/>
  <c r="M526" i="6"/>
  <c r="N549" i="6"/>
  <c r="M282" i="6"/>
  <c r="K964" i="6"/>
  <c r="P210" i="6"/>
  <c r="K423" i="6"/>
  <c r="N437" i="6"/>
  <c r="K410" i="6"/>
  <c r="M255" i="6"/>
  <c r="J726" i="6"/>
  <c r="N244" i="6"/>
  <c r="P859" i="6"/>
  <c r="L86" i="6"/>
  <c r="M67" i="6"/>
  <c r="M455" i="6"/>
  <c r="N264" i="6"/>
  <c r="M541" i="6"/>
  <c r="L690" i="6"/>
  <c r="K544" i="6"/>
  <c r="K499" i="6"/>
  <c r="M266" i="6"/>
  <c r="J304" i="6"/>
  <c r="L582" i="6"/>
  <c r="M173" i="6"/>
  <c r="P564" i="6"/>
  <c r="P266" i="6"/>
  <c r="J986" i="6"/>
  <c r="N443" i="6"/>
  <c r="O899" i="6"/>
  <c r="L237" i="6"/>
  <c r="P312" i="6"/>
  <c r="P128" i="6"/>
  <c r="O745" i="6"/>
  <c r="M26" i="6"/>
  <c r="J881" i="6"/>
  <c r="M601" i="6"/>
  <c r="M602" i="6"/>
  <c r="P332" i="6"/>
  <c r="N159" i="6"/>
  <c r="N607" i="6"/>
  <c r="L573" i="6"/>
  <c r="K130" i="6"/>
  <c r="P455" i="6"/>
  <c r="N78" i="6"/>
  <c r="M306" i="6"/>
  <c r="O881" i="6"/>
  <c r="K366" i="6"/>
  <c r="K233" i="6"/>
  <c r="K230" i="6"/>
  <c r="K385" i="6"/>
  <c r="P6" i="6"/>
  <c r="O682" i="6"/>
  <c r="L812" i="6"/>
  <c r="M871" i="6"/>
  <c r="P927" i="6"/>
  <c r="N827" i="6"/>
  <c r="L301" i="6"/>
  <c r="N383" i="6"/>
  <c r="J725" i="6"/>
  <c r="L681" i="6"/>
  <c r="J967" i="6"/>
  <c r="M992" i="6"/>
  <c r="M865" i="6"/>
  <c r="K893" i="6"/>
  <c r="L746" i="6"/>
  <c r="N582" i="6"/>
  <c r="M776" i="6"/>
  <c r="J319" i="6"/>
  <c r="N461" i="6"/>
  <c r="O530" i="6"/>
  <c r="P695" i="6"/>
  <c r="N751" i="6"/>
  <c r="J28" i="6"/>
  <c r="P86" i="6"/>
  <c r="N232" i="6"/>
  <c r="N242" i="6"/>
  <c r="L62" i="6"/>
  <c r="L436" i="6"/>
  <c r="M411" i="6"/>
  <c r="J971" i="6"/>
  <c r="N473" i="6"/>
  <c r="K382" i="6"/>
  <c r="P812" i="6"/>
  <c r="N673" i="6"/>
  <c r="P55" i="6"/>
  <c r="O436" i="6"/>
  <c r="P795" i="6"/>
  <c r="M646" i="6"/>
  <c r="K695" i="6"/>
  <c r="O680" i="6"/>
  <c r="L113" i="6"/>
  <c r="K681" i="6"/>
  <c r="L737" i="6"/>
  <c r="P840" i="6"/>
  <c r="O865" i="6"/>
  <c r="O1005" i="6"/>
  <c r="O655" i="6"/>
  <c r="K142" i="6"/>
  <c r="P91" i="6"/>
  <c r="J927" i="6"/>
  <c r="O597" i="6"/>
  <c r="K338" i="6"/>
  <c r="P567" i="6"/>
  <c r="K885" i="6"/>
  <c r="M235" i="6"/>
  <c r="M406" i="6"/>
  <c r="K431" i="6"/>
  <c r="J981" i="6"/>
  <c r="N220" i="6"/>
  <c r="L410" i="6"/>
  <c r="M538" i="6"/>
  <c r="O379" i="6"/>
  <c r="M683" i="6"/>
  <c r="L156" i="6"/>
  <c r="O872" i="6"/>
  <c r="P297" i="6"/>
  <c r="O659" i="6"/>
  <c r="J509" i="6"/>
  <c r="O162" i="6"/>
  <c r="M995" i="6"/>
  <c r="L294" i="6"/>
  <c r="P1025" i="6"/>
  <c r="M499" i="6"/>
  <c r="N496" i="6"/>
  <c r="K275" i="6"/>
  <c r="M1023" i="6"/>
  <c r="O400" i="6"/>
  <c r="P37" i="6"/>
  <c r="N598" i="6"/>
  <c r="L731" i="6"/>
  <c r="P625" i="6"/>
  <c r="L1000" i="6"/>
  <c r="M182" i="6"/>
  <c r="O639" i="6"/>
  <c r="N982" i="6"/>
  <c r="P921" i="6"/>
  <c r="N416" i="6"/>
  <c r="L141" i="6"/>
  <c r="P558" i="6"/>
  <c r="M620" i="6"/>
  <c r="L95" i="6"/>
  <c r="P149" i="6"/>
  <c r="O738" i="6"/>
  <c r="N406" i="6"/>
  <c r="N432" i="6"/>
  <c r="P619" i="6"/>
  <c r="L636" i="6"/>
  <c r="N18" i="6"/>
  <c r="O262" i="6"/>
  <c r="J429" i="6"/>
  <c r="L299" i="6"/>
  <c r="L435" i="6"/>
  <c r="M1016" i="6"/>
  <c r="J1003" i="6"/>
  <c r="M524" i="6"/>
  <c r="L599" i="6"/>
  <c r="P611" i="6"/>
  <c r="M286" i="6"/>
  <c r="K30" i="6"/>
  <c r="P213" i="6"/>
  <c r="N103" i="6"/>
  <c r="O375" i="6"/>
  <c r="J485" i="6"/>
  <c r="N711" i="6"/>
  <c r="L263" i="6"/>
  <c r="O781" i="6"/>
  <c r="M360" i="6"/>
  <c r="K687" i="6"/>
  <c r="O422" i="6"/>
  <c r="P663" i="6"/>
  <c r="L488" i="6"/>
  <c r="L288" i="6"/>
  <c r="N1009" i="6"/>
  <c r="N968" i="6"/>
  <c r="P388" i="6"/>
  <c r="L205" i="6"/>
  <c r="K775" i="6"/>
  <c r="N884" i="6"/>
  <c r="M309" i="6"/>
  <c r="P462" i="6"/>
  <c r="N412" i="6"/>
  <c r="O123" i="6"/>
  <c r="N919" i="6"/>
  <c r="P502" i="6"/>
  <c r="N969" i="6"/>
  <c r="M458" i="6"/>
  <c r="K249" i="6"/>
  <c r="O516" i="6"/>
  <c r="P658" i="6"/>
  <c r="L802" i="6"/>
  <c r="L359" i="6"/>
  <c r="M623" i="6"/>
  <c r="K524" i="6"/>
  <c r="J545" i="6"/>
  <c r="J562" i="6"/>
  <c r="P33" i="6"/>
  <c r="P255" i="6"/>
  <c r="M32" i="6"/>
  <c r="O212" i="6"/>
  <c r="K322" i="6"/>
  <c r="K268" i="6"/>
  <c r="O133" i="6"/>
  <c r="N112" i="6"/>
  <c r="O797" i="6"/>
  <c r="N795" i="6"/>
  <c r="N512" i="6"/>
  <c r="K822" i="6"/>
  <c r="M227" i="6"/>
  <c r="J531" i="6"/>
  <c r="P776" i="6"/>
  <c r="J266" i="6"/>
  <c r="L886" i="6"/>
  <c r="N507" i="6"/>
  <c r="M568" i="6"/>
  <c r="M645" i="6"/>
  <c r="L934" i="6"/>
  <c r="P115" i="6"/>
  <c r="O311" i="6"/>
  <c r="O517" i="6"/>
  <c r="P835" i="6"/>
  <c r="L422" i="6"/>
  <c r="M340" i="6"/>
  <c r="M358" i="6"/>
  <c r="M413" i="6"/>
  <c r="N688" i="6"/>
  <c r="M467" i="6"/>
  <c r="L60" i="6"/>
  <c r="M537" i="6"/>
  <c r="L7" i="6"/>
  <c r="O41" i="6"/>
  <c r="J510" i="6"/>
  <c r="P949" i="6"/>
  <c r="O605" i="6"/>
  <c r="L833" i="6"/>
  <c r="N409" i="6"/>
  <c r="J133" i="6"/>
  <c r="J506" i="6"/>
  <c r="N384" i="6"/>
  <c r="K509" i="6"/>
  <c r="O317" i="6"/>
  <c r="J680" i="6"/>
  <c r="K795" i="6"/>
  <c r="K833" i="6"/>
  <c r="L376" i="6"/>
  <c r="P144" i="6"/>
  <c r="L928" i="6"/>
  <c r="K973" i="6"/>
  <c r="L443" i="6"/>
  <c r="L757" i="6"/>
  <c r="J89" i="6"/>
  <c r="J297" i="6"/>
  <c r="O967" i="6"/>
  <c r="M842" i="6"/>
  <c r="L923" i="6"/>
  <c r="M339" i="6"/>
  <c r="M486" i="6"/>
  <c r="O678" i="6"/>
  <c r="M972" i="6"/>
  <c r="M129" i="6"/>
  <c r="M611" i="6"/>
  <c r="J1008" i="6"/>
  <c r="K936" i="6"/>
  <c r="L203" i="6"/>
  <c r="O325" i="6"/>
  <c r="M462" i="6"/>
  <c r="L910" i="6"/>
  <c r="L474" i="6"/>
  <c r="K696" i="6"/>
  <c r="J314" i="6"/>
  <c r="P184" i="6"/>
  <c r="O114" i="6"/>
  <c r="O538" i="6"/>
  <c r="M640" i="6"/>
  <c r="M271" i="6"/>
  <c r="N761" i="6"/>
  <c r="O880" i="6"/>
  <c r="M213" i="6"/>
  <c r="P269" i="6"/>
  <c r="O775" i="6"/>
  <c r="N117" i="6"/>
  <c r="N44" i="6"/>
  <c r="O778" i="6"/>
  <c r="L281" i="6"/>
  <c r="P290" i="6"/>
  <c r="L642" i="6"/>
  <c r="L622" i="6"/>
  <c r="N238" i="6"/>
  <c r="L756" i="6"/>
  <c r="N821" i="6"/>
  <c r="O220" i="6"/>
  <c r="O86" i="6"/>
  <c r="P727" i="6"/>
  <c r="P241" i="6"/>
  <c r="M556" i="6"/>
  <c r="L653" i="6"/>
  <c r="P87" i="6"/>
  <c r="L914" i="6"/>
  <c r="O265" i="6"/>
  <c r="O16" i="6"/>
  <c r="J27" i="6"/>
  <c r="K569" i="6"/>
  <c r="K600" i="6"/>
  <c r="M177" i="6"/>
  <c r="O586" i="6"/>
  <c r="K22" i="6"/>
  <c r="N583" i="6"/>
  <c r="N788" i="6"/>
  <c r="N830" i="6"/>
  <c r="P585" i="6"/>
  <c r="N224" i="6"/>
  <c r="O487" i="6"/>
  <c r="K583" i="6"/>
  <c r="P910" i="6"/>
  <c r="K355" i="6"/>
  <c r="J215" i="6"/>
  <c r="K731" i="6"/>
  <c r="J366" i="6"/>
  <c r="N495" i="6"/>
  <c r="J10" i="6"/>
  <c r="N683" i="6"/>
  <c r="L687" i="6"/>
  <c r="M396" i="6"/>
  <c r="N327" i="6"/>
  <c r="L428" i="6"/>
  <c r="L238" i="6"/>
  <c r="J79" i="6"/>
  <c r="L347" i="6"/>
  <c r="N250" i="6"/>
  <c r="K502" i="6"/>
  <c r="M782" i="6"/>
  <c r="N1017" i="6"/>
  <c r="J959" i="6"/>
  <c r="K403" i="6"/>
  <c r="M128" i="6"/>
  <c r="O806" i="6"/>
  <c r="L813" i="6"/>
  <c r="M891" i="6"/>
  <c r="M536" i="6"/>
  <c r="L635" i="6"/>
  <c r="N531" i="6"/>
  <c r="P146" i="6"/>
  <c r="N313" i="6"/>
  <c r="N691" i="6"/>
  <c r="M650" i="6"/>
  <c r="K61" i="6"/>
  <c r="P225" i="6"/>
  <c r="L619" i="6"/>
  <c r="N351" i="6"/>
  <c r="L157" i="6"/>
  <c r="N623" i="6"/>
  <c r="L340" i="6"/>
  <c r="N451" i="6"/>
  <c r="M156" i="6"/>
  <c r="N638" i="6"/>
  <c r="N1026" i="6"/>
  <c r="N165" i="6"/>
  <c r="L774" i="6"/>
  <c r="M546" i="6"/>
  <c r="P110" i="6"/>
  <c r="M197" i="6"/>
  <c r="L300" i="6"/>
  <c r="P875" i="6"/>
  <c r="J953" i="6"/>
  <c r="O748" i="6"/>
  <c r="O280" i="6"/>
  <c r="N657" i="6"/>
  <c r="P947" i="6"/>
  <c r="K597" i="6"/>
  <c r="P116" i="6"/>
  <c r="P252" i="6"/>
  <c r="L838" i="6"/>
  <c r="P979" i="6"/>
  <c r="P796" i="6"/>
  <c r="J18" i="6"/>
  <c r="K325" i="6"/>
  <c r="O693" i="6"/>
  <c r="M617" i="6"/>
  <c r="L883" i="6"/>
  <c r="J55" i="6"/>
  <c r="M194" i="6"/>
  <c r="J926" i="6"/>
  <c r="K435" i="6"/>
  <c r="M50" i="6"/>
  <c r="N216" i="6"/>
  <c r="K993" i="6"/>
  <c r="L311" i="6"/>
  <c r="M987" i="6"/>
  <c r="P897" i="6"/>
  <c r="J204" i="6"/>
  <c r="L745" i="6"/>
  <c r="L575" i="6"/>
  <c r="O980" i="6"/>
  <c r="P703" i="6"/>
  <c r="K158" i="6"/>
  <c r="P221" i="6"/>
  <c r="O251" i="6"/>
  <c r="P766" i="6"/>
  <c r="L797" i="6"/>
  <c r="P865" i="6"/>
  <c r="K181" i="6"/>
  <c r="O204" i="6"/>
  <c r="P655" i="6"/>
  <c r="K295" i="6"/>
  <c r="K159" i="6"/>
  <c r="M275" i="6"/>
  <c r="K641" i="6"/>
  <c r="O46" i="6"/>
  <c r="K364" i="6"/>
  <c r="M875" i="6"/>
  <c r="N455" i="6"/>
  <c r="P933" i="6"/>
  <c r="L451" i="6"/>
  <c r="M703" i="6"/>
  <c r="J151" i="6"/>
  <c r="O236" i="6"/>
  <c r="K532" i="6"/>
  <c r="K266" i="6"/>
  <c r="L816" i="6"/>
  <c r="N766" i="6"/>
  <c r="K309" i="6"/>
  <c r="M940" i="6"/>
  <c r="K91" i="6"/>
  <c r="O821" i="6"/>
  <c r="N524" i="6"/>
  <c r="K78" i="6"/>
  <c r="P904" i="6"/>
  <c r="L419" i="6"/>
  <c r="M941" i="6"/>
  <c r="L693" i="6"/>
  <c r="K515" i="6"/>
  <c r="P525" i="6"/>
  <c r="M474" i="6"/>
  <c r="K728" i="6"/>
  <c r="O401" i="6"/>
  <c r="L445" i="6"/>
  <c r="K798" i="6"/>
  <c r="N67" i="6"/>
  <c r="O179" i="6"/>
  <c r="L277" i="6"/>
  <c r="K988" i="6"/>
  <c r="M167" i="6"/>
  <c r="O513" i="6"/>
  <c r="P632" i="6"/>
  <c r="O483" i="6"/>
  <c r="L525" i="6"/>
  <c r="M295" i="6"/>
  <c r="L66" i="6"/>
  <c r="P513" i="6"/>
  <c r="N91" i="6"/>
  <c r="O1020" i="6"/>
  <c r="M570" i="6"/>
  <c r="L591" i="6"/>
  <c r="L540" i="6"/>
  <c r="O699" i="6"/>
  <c r="L754" i="6"/>
  <c r="J25" i="6"/>
  <c r="J721" i="6"/>
  <c r="N285" i="6"/>
  <c r="M269" i="6"/>
  <c r="O431" i="6"/>
  <c r="O165" i="6"/>
  <c r="P393" i="6"/>
  <c r="L77" i="6"/>
  <c r="M658" i="6"/>
  <c r="P689" i="6"/>
  <c r="N858" i="6"/>
  <c r="K246" i="6"/>
  <c r="J258" i="6"/>
  <c r="K449" i="6"/>
  <c r="M393" i="6"/>
  <c r="L679" i="6"/>
  <c r="N720" i="6"/>
  <c r="N326" i="6"/>
  <c r="J52" i="6"/>
  <c r="L935" i="6"/>
  <c r="L629" i="6"/>
  <c r="L24" i="6"/>
  <c r="L155" i="6"/>
  <c r="N901" i="6"/>
  <c r="M483" i="6"/>
  <c r="J933" i="6"/>
  <c r="M553" i="6"/>
  <c r="L338" i="6"/>
  <c r="N844" i="6"/>
  <c r="O536" i="6"/>
  <c r="O306" i="6"/>
  <c r="M212" i="6"/>
  <c r="N664" i="6"/>
  <c r="N183" i="6"/>
  <c r="K602" i="6"/>
  <c r="M796" i="6"/>
  <c r="N488" i="6"/>
  <c r="O222" i="6"/>
  <c r="M632" i="6"/>
  <c r="O826" i="6"/>
  <c r="N325" i="6"/>
  <c r="P956" i="6"/>
  <c r="O946" i="6"/>
  <c r="K493" i="6"/>
  <c r="J685" i="6"/>
  <c r="L961" i="6"/>
  <c r="J240" i="6"/>
  <c r="P888" i="6"/>
  <c r="M735" i="6"/>
  <c r="M72" i="6"/>
  <c r="N661" i="6"/>
  <c r="N41" i="6"/>
  <c r="O175" i="6"/>
  <c r="P11" i="6"/>
  <c r="K281" i="6"/>
  <c r="N735" i="6"/>
  <c r="K398" i="6"/>
  <c r="P67" i="6"/>
  <c r="K190" i="6"/>
  <c r="J812" i="6"/>
  <c r="O746" i="6"/>
  <c r="J387" i="6"/>
  <c r="P748" i="6"/>
  <c r="L253" i="6"/>
  <c r="L487" i="6"/>
  <c r="O297" i="6"/>
  <c r="P425" i="6"/>
  <c r="K368" i="6"/>
  <c r="K333" i="6"/>
  <c r="P277" i="6"/>
  <c r="P78" i="6"/>
  <c r="J358" i="6"/>
  <c r="O278" i="6"/>
  <c r="N764" i="6"/>
  <c r="L314" i="6"/>
  <c r="O239" i="6"/>
  <c r="L699" i="6"/>
  <c r="O531" i="6"/>
  <c r="K736" i="6"/>
  <c r="K276" i="6"/>
  <c r="L866" i="6"/>
  <c r="O501" i="6"/>
  <c r="L23" i="6"/>
  <c r="L535" i="6"/>
  <c r="O572" i="6"/>
  <c r="L136" i="6"/>
  <c r="O577" i="6"/>
  <c r="M394" i="6"/>
  <c r="M843" i="6"/>
  <c r="O760" i="6"/>
  <c r="J846" i="6"/>
  <c r="N87" i="6"/>
  <c r="N51" i="6"/>
  <c r="N755" i="6"/>
  <c r="L313" i="6"/>
  <c r="P724" i="6"/>
  <c r="L913" i="6"/>
  <c r="L5" i="6"/>
  <c r="L469" i="6"/>
  <c r="P201" i="6"/>
  <c r="M164" i="6"/>
  <c r="L212" i="6"/>
  <c r="J747" i="6"/>
  <c r="N779" i="6"/>
  <c r="M978" i="6"/>
  <c r="L860" i="6"/>
  <c r="J832" i="6"/>
  <c r="P881" i="6"/>
  <c r="O475" i="6"/>
  <c r="K741" i="6"/>
  <c r="O714" i="6"/>
  <c r="J538" i="6"/>
  <c r="N526" i="6"/>
  <c r="N14" i="6"/>
  <c r="N129" i="6"/>
  <c r="L1017" i="6"/>
  <c r="L706" i="6"/>
  <c r="L336" i="6"/>
  <c r="K312" i="6"/>
  <c r="O519" i="6"/>
  <c r="P751" i="6"/>
  <c r="N324" i="6"/>
  <c r="P954" i="6"/>
  <c r="O24" i="6"/>
  <c r="N1025" i="6"/>
  <c r="K519" i="6"/>
  <c r="P983" i="6"/>
  <c r="L227" i="6"/>
  <c r="J513" i="6"/>
  <c r="L13" i="6"/>
  <c r="L526" i="6"/>
  <c r="J559" i="6"/>
  <c r="J9" i="6"/>
  <c r="M479" i="6"/>
  <c r="M283" i="6"/>
  <c r="N176" i="6"/>
  <c r="P640" i="6"/>
  <c r="J535" i="6"/>
  <c r="J811" i="6"/>
  <c r="O1022" i="6"/>
  <c r="M850" i="6"/>
  <c r="P64" i="6"/>
  <c r="J585" i="6"/>
  <c r="M634" i="6"/>
  <c r="O996" i="6"/>
  <c r="L401" i="6"/>
  <c r="J872" i="6"/>
  <c r="O321" i="6"/>
  <c r="M364" i="6"/>
  <c r="N787" i="6"/>
  <c r="J86" i="6"/>
  <c r="J22" i="6"/>
  <c r="L271" i="6"/>
  <c r="P731" i="6"/>
  <c r="L459" i="6"/>
  <c r="M766" i="6"/>
  <c r="K873" i="6"/>
  <c r="M397" i="6"/>
  <c r="J1007" i="6"/>
  <c r="M298" i="6"/>
  <c r="J887" i="6"/>
  <c r="J75" i="6"/>
  <c r="L603" i="6"/>
  <c r="L368" i="6"/>
  <c r="O121" i="6"/>
  <c r="K33" i="6"/>
  <c r="J769" i="6"/>
  <c r="M559" i="6"/>
  <c r="M594" i="6"/>
  <c r="K654" i="6"/>
  <c r="O912" i="6"/>
  <c r="K692" i="6"/>
  <c r="M391" i="6"/>
  <c r="K68" i="6"/>
  <c r="N299" i="6"/>
  <c r="K889" i="6"/>
  <c r="J938" i="6"/>
  <c r="J730" i="6"/>
  <c r="O635" i="6"/>
  <c r="P235" i="6"/>
  <c r="O695" i="6"/>
  <c r="L625" i="6"/>
  <c r="P263" i="6"/>
  <c r="J345" i="6"/>
  <c r="M77" i="6"/>
  <c r="O986" i="6"/>
  <c r="N49" i="6"/>
  <c r="K712" i="6"/>
  <c r="J263" i="6"/>
  <c r="M744" i="6"/>
  <c r="J199" i="6"/>
  <c r="J735" i="6"/>
  <c r="J703" i="6"/>
  <c r="L250" i="6"/>
  <c r="J399" i="6"/>
  <c r="P121" i="6"/>
  <c r="N305" i="6"/>
  <c r="K196" i="6"/>
  <c r="K20" i="6"/>
  <c r="P599" i="6"/>
  <c r="L364" i="6"/>
  <c r="L6" i="6"/>
  <c r="N543" i="6"/>
  <c r="J66" i="6"/>
  <c r="M578" i="6"/>
  <c r="K617" i="6"/>
  <c r="P964" i="6"/>
  <c r="M604" i="6"/>
  <c r="O929" i="6"/>
  <c r="K888" i="6"/>
  <c r="M819" i="6"/>
  <c r="O75" i="6"/>
  <c r="O101" i="6"/>
  <c r="O896" i="6"/>
  <c r="K777" i="6"/>
  <c r="O822" i="6"/>
  <c r="M730" i="6"/>
  <c r="N889" i="6"/>
  <c r="M960" i="6"/>
  <c r="M571" i="6"/>
  <c r="M47" i="6"/>
  <c r="P739" i="6"/>
  <c r="N395" i="6"/>
  <c r="N550" i="6"/>
  <c r="K215" i="6"/>
  <c r="M749" i="6"/>
  <c r="P793" i="6"/>
  <c r="O199" i="6"/>
  <c r="O273" i="6"/>
  <c r="N245" i="6"/>
  <c r="M209" i="6"/>
  <c r="L999" i="6"/>
  <c r="L224" i="6"/>
  <c r="O570" i="6"/>
  <c r="L920" i="6"/>
  <c r="N121" i="6"/>
  <c r="N436" i="6"/>
  <c r="N33" i="6"/>
  <c r="P560" i="6"/>
  <c r="P701" i="6"/>
  <c r="J625" i="6"/>
  <c r="P180" i="6"/>
  <c r="L875" i="6"/>
  <c r="M923" i="6"/>
  <c r="L254" i="6"/>
  <c r="M548" i="6"/>
  <c r="M424" i="6"/>
  <c r="K397" i="6"/>
  <c r="O405" i="6"/>
  <c r="K278" i="6"/>
  <c r="J212" i="6"/>
  <c r="L332" i="6"/>
  <c r="K753" i="6"/>
  <c r="K422" i="6"/>
  <c r="P436" i="6"/>
  <c r="J898" i="6"/>
  <c r="M120" i="6"/>
  <c r="K198" i="6"/>
  <c r="J298" i="6"/>
  <c r="P457" i="6"/>
  <c r="M816" i="6"/>
  <c r="L502" i="6"/>
  <c r="J346" i="6"/>
  <c r="L727" i="6"/>
  <c r="M176" i="6"/>
  <c r="P851" i="6"/>
  <c r="L1019" i="6"/>
  <c r="M893" i="6"/>
  <c r="J882" i="6"/>
  <c r="O965" i="6"/>
  <c r="K856" i="6"/>
  <c r="O665" i="6"/>
  <c r="M389" i="6"/>
  <c r="M82" i="6"/>
  <c r="L91" i="6"/>
  <c r="O13" i="6"/>
  <c r="N193" i="6"/>
  <c r="N560" i="6"/>
  <c r="N366" i="6"/>
  <c r="K937" i="6"/>
  <c r="M481" i="6"/>
  <c r="N332" i="6"/>
  <c r="L752" i="6"/>
  <c r="L549" i="6"/>
  <c r="O460" i="6"/>
  <c r="N498" i="6"/>
  <c r="N981" i="6"/>
  <c r="O117" i="6"/>
  <c r="K755" i="6"/>
  <c r="N259" i="6"/>
  <c r="J124" i="6"/>
  <c r="P452" i="6"/>
  <c r="J661" i="6"/>
  <c r="M985" i="6"/>
  <c r="O377" i="6"/>
  <c r="N429" i="6"/>
  <c r="L395" i="6"/>
  <c r="O435" i="6"/>
  <c r="L100" i="6"/>
  <c r="N209" i="6"/>
  <c r="K498" i="6"/>
  <c r="K186" i="6"/>
  <c r="P16" i="6"/>
  <c r="P244" i="6"/>
  <c r="M682" i="6"/>
  <c r="K540" i="6"/>
  <c r="K667" i="6"/>
  <c r="N532" i="6"/>
  <c r="P744" i="6"/>
  <c r="O833" i="6"/>
  <c r="L867" i="6"/>
  <c r="P26" i="6"/>
  <c r="O238" i="6"/>
  <c r="O221" i="6"/>
  <c r="J851" i="6"/>
  <c r="K105" i="6"/>
  <c r="M729" i="6"/>
  <c r="L394" i="6"/>
  <c r="L764" i="6"/>
  <c r="P961" i="6"/>
  <c r="J939" i="6"/>
  <c r="P541" i="6"/>
  <c r="J799" i="6"/>
  <c r="K14" i="6"/>
  <c r="M86" i="6"/>
  <c r="O768" i="6"/>
  <c r="L446" i="6"/>
  <c r="J842" i="6"/>
  <c r="K379" i="6"/>
  <c r="N221" i="6"/>
  <c r="J394" i="6"/>
  <c r="K126" i="6"/>
  <c r="J740" i="6"/>
  <c r="J450" i="6"/>
  <c r="K757" i="6"/>
  <c r="O391" i="6"/>
  <c r="M562" i="6"/>
  <c r="P182" i="6"/>
  <c r="N566" i="6"/>
  <c r="J406" i="6"/>
  <c r="J384" i="6"/>
  <c r="L285" i="6"/>
  <c r="J444" i="6"/>
  <c r="J331" i="6"/>
  <c r="K316" i="6"/>
  <c r="L206" i="6"/>
  <c r="J875" i="6"/>
  <c r="K827" i="6"/>
  <c r="L576" i="6"/>
  <c r="L111" i="6"/>
  <c r="J99" i="6"/>
  <c r="L649" i="6"/>
  <c r="K474" i="6"/>
  <c r="K506" i="6"/>
  <c r="M560" i="6"/>
  <c r="L564" i="6"/>
  <c r="M851" i="6"/>
  <c r="J265" i="6"/>
  <c r="K986" i="6"/>
  <c r="J932" i="6"/>
  <c r="J1013" i="6"/>
  <c r="P480" i="6"/>
  <c r="J455" i="6"/>
  <c r="P884" i="6"/>
  <c r="O88" i="6"/>
  <c r="J372" i="6"/>
  <c r="K23" i="6"/>
  <c r="P345" i="6"/>
  <c r="M868" i="6"/>
  <c r="M965" i="6"/>
  <c r="J273" i="6"/>
  <c r="O355" i="6"/>
  <c r="L56" i="6"/>
  <c r="K825" i="6"/>
  <c r="K220" i="6"/>
  <c r="P316" i="6"/>
  <c r="N181" i="6"/>
  <c r="L741" i="6"/>
  <c r="K707" i="6"/>
  <c r="M101" i="6"/>
  <c r="O931" i="6"/>
  <c r="N863" i="6"/>
  <c r="P301" i="6"/>
  <c r="M60" i="6"/>
  <c r="K783" i="6"/>
  <c r="L20" i="6"/>
  <c r="J48" i="6"/>
  <c r="K799" i="6"/>
  <c r="L166" i="6"/>
  <c r="N223" i="6"/>
  <c r="O149" i="6"/>
  <c r="K494" i="6"/>
  <c r="L247" i="6"/>
  <c r="M380" i="6"/>
  <c r="K807" i="6"/>
  <c r="L548" i="6"/>
  <c r="P846" i="6"/>
  <c r="M234" i="6"/>
  <c r="N947" i="6"/>
  <c r="P279" i="6"/>
  <c r="O551" i="6"/>
  <c r="L1016" i="6"/>
  <c r="J578" i="6"/>
  <c r="N203" i="6"/>
  <c r="M278" i="6"/>
  <c r="M496" i="6"/>
  <c r="L290" i="6"/>
  <c r="O134" i="6"/>
  <c r="O169" i="6"/>
  <c r="P219" i="6"/>
  <c r="K779" i="6"/>
  <c r="M530" i="6"/>
  <c r="P450" i="6"/>
  <c r="M490" i="6"/>
  <c r="M6" i="6"/>
  <c r="L384" i="6"/>
  <c r="L331" i="6"/>
  <c r="J193" i="6"/>
  <c r="M343" i="6"/>
  <c r="M566" i="6"/>
  <c r="P765" i="6"/>
  <c r="L108" i="6"/>
  <c r="K430" i="6"/>
  <c r="L104" i="6"/>
  <c r="P597" i="6"/>
  <c r="M834" i="6"/>
  <c r="N435" i="6"/>
  <c r="L351" i="6"/>
  <c r="L1026" i="6"/>
  <c r="J732" i="6"/>
  <c r="J853" i="6"/>
  <c r="N608" i="6"/>
  <c r="N718" i="6"/>
  <c r="P857" i="6"/>
  <c r="N15" i="6"/>
  <c r="N728" i="6"/>
  <c r="N493" i="6"/>
  <c r="M827" i="6"/>
  <c r="N23" i="6"/>
  <c r="L375" i="6"/>
  <c r="O752" i="6"/>
  <c r="P524" i="6"/>
  <c r="O654" i="6"/>
  <c r="P652" i="6"/>
  <c r="O269" i="6"/>
  <c r="L34" i="6"/>
  <c r="O365" i="6"/>
  <c r="P62" i="6"/>
  <c r="N490" i="6"/>
  <c r="K685" i="6"/>
  <c r="P449" i="6"/>
  <c r="P1019" i="6"/>
  <c r="L579" i="6"/>
  <c r="M904" i="6"/>
  <c r="P107" i="6"/>
  <c r="P7" i="6"/>
  <c r="M926" i="6"/>
  <c r="N391" i="6"/>
  <c r="O596" i="6"/>
  <c r="J301" i="6"/>
  <c r="N682" i="6"/>
  <c r="J662" i="6"/>
  <c r="N393" i="6"/>
  <c r="J705" i="6"/>
  <c r="L943" i="6"/>
  <c r="K916" i="6"/>
  <c r="L964" i="6"/>
  <c r="N59" i="6"/>
  <c r="J430" i="6"/>
  <c r="K556" i="6"/>
  <c r="K535" i="6"/>
  <c r="L568" i="6"/>
  <c r="N296" i="6"/>
  <c r="M588" i="6"/>
  <c r="L391" i="6"/>
  <c r="N116" i="6"/>
  <c r="J715" i="6"/>
  <c r="K296" i="6"/>
  <c r="J774" i="6"/>
  <c r="N973" i="6"/>
  <c r="M759" i="6"/>
  <c r="M981" i="6"/>
  <c r="J440" i="6"/>
  <c r="J362" i="6"/>
  <c r="J379" i="6"/>
  <c r="P735" i="6"/>
  <c r="N994" i="6"/>
  <c r="M867" i="6"/>
  <c r="O381" i="6"/>
  <c r="K930" i="6"/>
  <c r="O603" i="6"/>
  <c r="N342" i="6"/>
  <c r="L119" i="6"/>
  <c r="L289" i="6"/>
  <c r="O141" i="6"/>
  <c r="K381" i="6"/>
  <c r="M917" i="6"/>
  <c r="J541" i="6"/>
  <c r="K500" i="6"/>
  <c r="J425" i="6"/>
  <c r="L630" i="6"/>
  <c r="J782" i="6"/>
  <c r="P212" i="6"/>
  <c r="M454" i="6"/>
  <c r="O756" i="6"/>
  <c r="L909" i="6"/>
  <c r="J897" i="6"/>
  <c r="J649" i="6"/>
  <c r="K621" i="6"/>
  <c r="M342" i="6"/>
  <c r="P622" i="6"/>
  <c r="O611" i="6"/>
  <c r="P56" i="6"/>
  <c r="P977" i="6"/>
  <c r="K419" i="6"/>
  <c r="J798" i="6"/>
  <c r="P576" i="6"/>
  <c r="K842" i="6"/>
  <c r="P356" i="6"/>
  <c r="N694" i="6"/>
  <c r="O192" i="6"/>
  <c r="J183" i="6"/>
  <c r="K732" i="6"/>
  <c r="J270" i="6"/>
  <c r="N948" i="6"/>
  <c r="M747" i="6"/>
  <c r="L230" i="6"/>
  <c r="P14" i="6"/>
  <c r="P400" i="6"/>
  <c r="K938" i="6"/>
  <c r="N689" i="6"/>
  <c r="L919" i="6"/>
  <c r="K429" i="6"/>
  <c r="K733" i="6"/>
  <c r="O253" i="6"/>
  <c r="O1017" i="6"/>
  <c r="K801" i="6"/>
  <c r="M191" i="6"/>
  <c r="L433" i="6"/>
  <c r="J822" i="6"/>
  <c r="K406" i="6"/>
  <c r="J83" i="6"/>
  <c r="P226" i="6"/>
  <c r="L221" i="6"/>
  <c r="N565" i="6"/>
  <c r="P967" i="6"/>
  <c r="L425" i="6"/>
  <c r="J795" i="6"/>
  <c r="M89" i="6"/>
  <c r="O559" i="6"/>
  <c r="O67" i="6"/>
  <c r="L710" i="6"/>
  <c r="O549" i="6"/>
  <c r="O652" i="6"/>
  <c r="L96" i="6"/>
  <c r="L430" i="6"/>
  <c r="L554" i="6"/>
  <c r="O409" i="6"/>
  <c r="N104" i="6"/>
  <c r="P443" i="6"/>
  <c r="P889" i="6"/>
  <c r="M423" i="6"/>
  <c r="O979" i="6"/>
  <c r="L859" i="6"/>
  <c r="M137" i="6"/>
  <c r="K630" i="6"/>
  <c r="M417" i="6"/>
  <c r="L639" i="6"/>
  <c r="M64" i="6"/>
  <c r="L818" i="6"/>
  <c r="J488" i="6"/>
  <c r="J816" i="6"/>
  <c r="K513" i="6"/>
  <c r="K448" i="6"/>
  <c r="L748" i="6"/>
  <c r="L908" i="6"/>
  <c r="P99" i="6"/>
  <c r="O561" i="6"/>
  <c r="J583" i="6"/>
  <c r="K94" i="6"/>
  <c r="K558" i="6"/>
  <c r="P30" i="6"/>
  <c r="M68" i="6"/>
  <c r="O941" i="6"/>
  <c r="P645" i="6"/>
  <c r="L193" i="6"/>
  <c r="L1001" i="6"/>
  <c r="J317" i="6"/>
  <c r="L781" i="6"/>
  <c r="O546" i="6"/>
  <c r="L897" i="6"/>
  <c r="J71" i="6"/>
  <c r="J311" i="6"/>
  <c r="J479" i="6"/>
  <c r="M371" i="6"/>
  <c r="K972" i="6"/>
  <c r="K300" i="6"/>
  <c r="K821" i="6"/>
  <c r="J910" i="6"/>
  <c r="M158" i="6"/>
  <c r="N610" i="6"/>
  <c r="K865" i="6"/>
  <c r="K25" i="6"/>
  <c r="O554" i="6"/>
  <c r="J38" i="6"/>
  <c r="L713" i="6"/>
  <c r="M787" i="6"/>
  <c r="N650" i="6"/>
  <c r="N185" i="6"/>
  <c r="J521" i="6"/>
  <c r="N156" i="6"/>
  <c r="P391" i="6"/>
  <c r="K906" i="6"/>
  <c r="L105" i="6"/>
  <c r="M990" i="6"/>
  <c r="K580" i="6"/>
  <c r="M805" i="6"/>
  <c r="P1001" i="6"/>
  <c r="P674" i="6"/>
  <c r="J176" i="6"/>
  <c r="J483" i="6"/>
  <c r="J946" i="6"/>
  <c r="M590" i="6"/>
  <c r="O326" i="6"/>
  <c r="L766" i="6"/>
  <c r="P825" i="6"/>
  <c r="O335" i="6"/>
  <c r="M117" i="6"/>
  <c r="N69" i="6"/>
  <c r="P503" i="6"/>
  <c r="J360" i="6"/>
  <c r="O140" i="6"/>
  <c r="M545" i="6"/>
  <c r="M719" i="6"/>
  <c r="N414" i="6"/>
  <c r="K211" i="6"/>
  <c r="N978" i="6"/>
  <c r="M673" i="6"/>
  <c r="M697" i="6"/>
  <c r="K918" i="6"/>
  <c r="L849" i="6"/>
  <c r="N823" i="6"/>
  <c r="L571" i="6"/>
  <c r="M642" i="6"/>
  <c r="N693" i="6"/>
  <c r="J759" i="6"/>
  <c r="O991" i="6"/>
  <c r="L225" i="6"/>
  <c r="O43" i="6"/>
  <c r="M180" i="6"/>
  <c r="P305" i="6"/>
  <c r="P667" i="6"/>
  <c r="M97" i="6"/>
  <c r="J219" i="6"/>
  <c r="L265" i="6"/>
  <c r="O949" i="6"/>
  <c r="N367" i="6"/>
  <c r="N630" i="6"/>
  <c r="J601" i="6"/>
  <c r="N540" i="6"/>
  <c r="N935" i="6"/>
  <c r="L260" i="6"/>
  <c r="P35" i="6"/>
  <c r="N489" i="6"/>
  <c r="M736" i="6"/>
  <c r="J570" i="6"/>
  <c r="J854" i="6"/>
  <c r="K971" i="6"/>
  <c r="J74" i="6"/>
  <c r="L171" i="6"/>
  <c r="O886" i="6"/>
  <c r="M711" i="6"/>
  <c r="N915" i="6"/>
  <c r="N1018" i="6"/>
  <c r="K977" i="6"/>
  <c r="P265" i="6"/>
  <c r="O518" i="6"/>
  <c r="J92" i="6"/>
  <c r="N710" i="6"/>
  <c r="J268" i="6"/>
  <c r="M998" i="6"/>
  <c r="J964" i="6"/>
  <c r="K458" i="6"/>
  <c r="M856" i="6"/>
  <c r="K726" i="6"/>
  <c r="N410" i="6"/>
  <c r="N658" i="6"/>
  <c r="N130" i="6"/>
  <c r="P561" i="6"/>
  <c r="K149" i="6"/>
  <c r="K176" i="6"/>
  <c r="L805" i="6"/>
  <c r="J638" i="6"/>
  <c r="L496" i="6"/>
  <c r="J805" i="6"/>
  <c r="M513" i="6"/>
  <c r="P416" i="6"/>
  <c r="M822" i="6"/>
  <c r="J184" i="6"/>
  <c r="J806" i="6"/>
  <c r="J1015" i="6"/>
  <c r="L40" i="6"/>
  <c r="K6" i="6"/>
  <c r="J201" i="6"/>
  <c r="K819" i="6"/>
  <c r="O617" i="6"/>
  <c r="P829" i="6"/>
  <c r="L644" i="6"/>
  <c r="J691" i="6"/>
  <c r="P399" i="6"/>
  <c r="J858" i="6"/>
  <c r="K1019" i="6"/>
  <c r="M428" i="6"/>
  <c r="P546" i="6"/>
  <c r="K1025" i="6"/>
  <c r="M734" i="6"/>
  <c r="P353" i="6"/>
  <c r="M861" i="6"/>
  <c r="N765" i="6"/>
  <c r="K469" i="6"/>
  <c r="P42" i="6"/>
  <c r="P385" i="6"/>
  <c r="M732" i="6"/>
  <c r="M185" i="6"/>
  <c r="M163" i="6"/>
  <c r="J508" i="6"/>
  <c r="K534" i="6"/>
  <c r="J45" i="6"/>
  <c r="K391" i="6"/>
  <c r="P19" i="6"/>
  <c r="K530" i="6"/>
  <c r="J472" i="6"/>
  <c r="O259" i="6"/>
  <c r="J896" i="6"/>
  <c r="J188" i="6"/>
  <c r="N226" i="6"/>
  <c r="K193" i="6"/>
  <c r="M368" i="6"/>
  <c r="K473" i="6"/>
  <c r="P965" i="6"/>
  <c r="L885" i="6"/>
  <c r="J57" i="6"/>
  <c r="O92" i="6"/>
  <c r="L388" i="6"/>
  <c r="P937" i="6"/>
  <c r="P551" i="6"/>
  <c r="M404" i="6"/>
  <c r="L821" i="6"/>
  <c r="O847" i="6"/>
  <c r="K121" i="6"/>
  <c r="J167" i="6"/>
  <c r="K648" i="6"/>
  <c r="L803" i="6"/>
  <c r="P248" i="6"/>
  <c r="J821" i="6"/>
  <c r="L624" i="6"/>
  <c r="O85" i="6"/>
  <c r="M262" i="6"/>
  <c r="J640" i="6"/>
  <c r="L600" i="6"/>
  <c r="M395" i="6"/>
  <c r="O231" i="6"/>
  <c r="M253" i="6"/>
  <c r="J332" i="6"/>
  <c r="J645" i="6"/>
  <c r="L431" i="6"/>
  <c r="J315" i="6"/>
  <c r="M297" i="6"/>
  <c r="N253" i="6"/>
  <c r="K204" i="6"/>
  <c r="L811" i="6"/>
  <c r="O184" i="6"/>
  <c r="L927" i="6"/>
  <c r="O491" i="6"/>
  <c r="K456" i="6"/>
  <c r="P479" i="6"/>
  <c r="J619" i="6"/>
  <c r="M65" i="6"/>
  <c r="O307" i="6"/>
  <c r="O235" i="6"/>
  <c r="L45" i="6"/>
  <c r="K345" i="6"/>
  <c r="N110" i="6"/>
  <c r="L366" i="6"/>
  <c r="N310" i="6"/>
  <c r="M779" i="6"/>
  <c r="N960" i="6"/>
  <c r="K227" i="6"/>
  <c r="L121" i="6"/>
  <c r="L362" i="6"/>
  <c r="K547" i="6"/>
  <c r="P142" i="6"/>
  <c r="M731" i="6"/>
  <c r="O685" i="6"/>
  <c r="J156" i="6"/>
  <c r="M222" i="6"/>
  <c r="L264" i="6"/>
  <c r="M221" i="6"/>
  <c r="J560" i="6"/>
  <c r="L1002" i="6"/>
  <c r="O615" i="6"/>
  <c r="P595" i="6"/>
  <c r="O585" i="6"/>
  <c r="N428" i="6"/>
  <c r="P272" i="6"/>
  <c r="K125" i="6"/>
  <c r="M412" i="6"/>
  <c r="J378" i="6"/>
  <c r="M951" i="6"/>
  <c r="P582" i="6"/>
  <c r="N472" i="6"/>
  <c r="K811" i="6"/>
  <c r="P187" i="6"/>
  <c r="M726" i="6"/>
  <c r="P209" i="6"/>
  <c r="M111" i="6"/>
  <c r="N577" i="6"/>
  <c r="N571" i="6"/>
  <c r="J760" i="6"/>
  <c r="M591" i="6"/>
  <c r="L864" i="6"/>
  <c r="J1019" i="6"/>
  <c r="P291" i="6"/>
  <c r="N1007" i="6"/>
  <c r="P288" i="6"/>
  <c r="P607" i="6"/>
  <c r="M680" i="6"/>
  <c r="M937" i="6"/>
  <c r="P708" i="6"/>
  <c r="J249" i="6"/>
  <c r="M915" i="6"/>
  <c r="K657" i="6"/>
  <c r="M952" i="6"/>
  <c r="M595" i="6"/>
  <c r="O142" i="6"/>
  <c r="O923" i="6"/>
  <c r="L98" i="6"/>
  <c r="N135" i="6"/>
  <c r="J871" i="6"/>
  <c r="O963" i="6"/>
  <c r="J980" i="6"/>
  <c r="K137" i="6"/>
  <c r="K417" i="6"/>
  <c r="P883" i="6"/>
  <c r="L273" i="6"/>
  <c r="M204" i="6"/>
  <c r="N726" i="6"/>
  <c r="L372" i="6"/>
  <c r="P853" i="6"/>
  <c r="O736" i="6"/>
  <c r="P349" i="6"/>
  <c r="O968" i="6"/>
  <c r="M333" i="6"/>
  <c r="O266" i="6"/>
  <c r="M885" i="6"/>
  <c r="O496" i="6"/>
  <c r="P903" i="6"/>
  <c r="M694" i="6"/>
  <c r="J514" i="6"/>
  <c r="J245" i="6"/>
  <c r="O598" i="6"/>
  <c r="L92" i="6"/>
  <c r="P919" i="6"/>
  <c r="L426" i="6"/>
  <c r="P925" i="6"/>
  <c r="J689" i="6"/>
  <c r="K210" i="6"/>
  <c r="J260" i="6"/>
  <c r="M597" i="6"/>
  <c r="J272" i="6"/>
  <c r="N997" i="6"/>
  <c r="K953" i="6"/>
  <c r="N672" i="6"/>
  <c r="L307" i="6"/>
  <c r="M714" i="6"/>
  <c r="P752" i="6"/>
  <c r="M927" i="6"/>
  <c r="P905" i="6"/>
  <c r="M429" i="6"/>
  <c r="J902" i="6"/>
  <c r="O310" i="6"/>
  <c r="M1005" i="6"/>
  <c r="K291" i="6"/>
  <c r="L423" i="6"/>
  <c r="N922" i="6"/>
  <c r="L929" i="6"/>
  <c r="L213" i="6"/>
  <c r="N347" i="6"/>
  <c r="N31" i="6"/>
  <c r="M544" i="6"/>
  <c r="K285" i="6"/>
  <c r="L658" i="6"/>
  <c r="N388" i="6"/>
  <c r="O798" i="6"/>
  <c r="O225" i="6"/>
  <c r="N301" i="6"/>
  <c r="L160" i="6"/>
  <c r="O215" i="6"/>
  <c r="M62" i="6"/>
  <c r="M159" i="6"/>
  <c r="M806" i="6"/>
  <c r="N146" i="6"/>
  <c r="K508" i="6"/>
  <c r="O711" i="6"/>
  <c r="L334" i="6"/>
  <c r="N963" i="6"/>
  <c r="K940" i="6"/>
  <c r="K280" i="6"/>
  <c r="K8" i="6"/>
  <c r="M821" i="6"/>
  <c r="O722" i="6"/>
  <c r="J1025" i="6"/>
  <c r="O303" i="6"/>
  <c r="L291" i="6"/>
  <c r="L974" i="6"/>
  <c r="K719" i="6"/>
  <c r="N45" i="6"/>
  <c r="K351" i="6"/>
  <c r="N134" i="6"/>
  <c r="K803" i="6"/>
  <c r="J1009" i="6"/>
  <c r="N636" i="6"/>
  <c r="J756" i="6"/>
  <c r="K635" i="6"/>
  <c r="L896" i="6"/>
  <c r="K118" i="6"/>
  <c r="J281" i="6"/>
  <c r="M1017" i="6"/>
  <c r="L80" i="6"/>
  <c r="K36" i="6"/>
  <c r="O997" i="6"/>
  <c r="J748" i="6"/>
  <c r="M121" i="6"/>
  <c r="K440" i="6"/>
  <c r="K253" i="6"/>
  <c r="N828" i="6"/>
  <c r="K171" i="6"/>
  <c r="J800" i="6"/>
  <c r="J397" i="6"/>
  <c r="N801" i="6"/>
  <c r="N516" i="6"/>
  <c r="N95" i="6"/>
  <c r="L898" i="6"/>
  <c r="M884" i="6"/>
  <c r="M756" i="6"/>
  <c r="O739" i="6"/>
  <c r="L236" i="6"/>
  <c r="J929" i="6"/>
  <c r="O624" i="6"/>
  <c r="O33" i="6"/>
  <c r="J424" i="6"/>
  <c r="O974" i="6"/>
  <c r="N611" i="6"/>
  <c r="O478" i="6"/>
  <c r="N511" i="6"/>
  <c r="M1011" i="6"/>
  <c r="K990" i="6"/>
  <c r="O909" i="6"/>
  <c r="P737" i="6"/>
  <c r="K987" i="6"/>
  <c r="J78" i="6"/>
  <c r="M370" i="6"/>
  <c r="K427" i="6"/>
  <c r="N345" i="6"/>
  <c r="L259" i="6"/>
  <c r="K727" i="6"/>
  <c r="M16" i="6"/>
  <c r="M944" i="6"/>
  <c r="L378" i="6"/>
  <c r="P590" i="6"/>
  <c r="M968" i="6"/>
  <c r="O116" i="6"/>
  <c r="N500" i="6"/>
  <c r="P943" i="6"/>
  <c r="M883" i="6"/>
  <c r="N210" i="6"/>
  <c r="P856" i="6"/>
  <c r="J683" i="6"/>
  <c r="J202" i="6"/>
  <c r="K59" i="6"/>
  <c r="K15" i="6"/>
  <c r="N724" i="6"/>
  <c r="M691" i="6"/>
  <c r="L71" i="6"/>
  <c r="P307" i="6"/>
  <c r="J957" i="6"/>
  <c r="P372" i="6"/>
  <c r="N559" i="6"/>
  <c r="O110" i="6"/>
  <c r="O91" i="6"/>
  <c r="N434" i="6"/>
  <c r="M654" i="6"/>
  <c r="N37" i="6"/>
  <c r="K740" i="6"/>
  <c r="M390" i="6"/>
  <c r="J494" i="6"/>
  <c r="N371" i="6"/>
  <c r="L778" i="6"/>
  <c r="K453" i="6"/>
  <c r="K331" i="6"/>
  <c r="J861" i="6"/>
  <c r="L1025" i="6"/>
  <c r="K645" i="6"/>
  <c r="M849" i="6"/>
  <c r="M847" i="6"/>
  <c r="P426" i="6"/>
  <c r="J401" i="6"/>
  <c r="L85" i="6"/>
  <c r="J634" i="6"/>
  <c r="O629" i="6"/>
  <c r="K917" i="6"/>
  <c r="K95" i="6"/>
  <c r="L328" i="6"/>
  <c r="M961" i="6"/>
  <c r="P660" i="6"/>
  <c r="O328" i="6"/>
  <c r="O627" i="6"/>
  <c r="K867" i="6"/>
  <c r="K336" i="6"/>
  <c r="L728" i="6"/>
  <c r="J36" i="6"/>
  <c r="N964" i="6"/>
  <c r="M205" i="6"/>
  <c r="K251" i="6"/>
  <c r="M932" i="6"/>
  <c r="N977" i="6"/>
  <c r="O889" i="6"/>
  <c r="J412" i="6"/>
  <c r="M576" i="6"/>
  <c r="O80" i="6"/>
  <c r="K708" i="6"/>
  <c r="K66" i="6"/>
  <c r="K334" i="6"/>
  <c r="O343" i="6"/>
  <c r="N333" i="6"/>
  <c r="J617" i="6"/>
  <c r="O301" i="6"/>
  <c r="P999" i="6"/>
  <c r="K400" i="6"/>
  <c r="K721" i="6"/>
  <c r="M388" i="6"/>
  <c r="L701" i="6"/>
  <c r="O53" i="6"/>
  <c r="P799" i="6"/>
  <c r="K619" i="6"/>
  <c r="J103" i="6"/>
  <c r="K680" i="6"/>
  <c r="J943" i="6"/>
  <c r="J998" i="6"/>
  <c r="K820" i="6"/>
  <c r="K239" i="6"/>
  <c r="N85" i="6"/>
  <c r="M971" i="6"/>
  <c r="K75" i="6"/>
  <c r="J859" i="6"/>
  <c r="K562" i="6"/>
  <c r="J564" i="6"/>
  <c r="M118" i="6"/>
  <c r="L158" i="6"/>
  <c r="M858" i="6"/>
  <c r="O64" i="6"/>
  <c r="M593" i="6"/>
  <c r="J229" i="6"/>
  <c r="O830" i="6"/>
  <c r="K588" i="6"/>
  <c r="P300" i="6"/>
  <c r="N195" i="6"/>
  <c r="J489" i="6"/>
  <c r="P238" i="6"/>
  <c r="N799" i="6"/>
  <c r="K64" i="6"/>
  <c r="J818" i="6"/>
  <c r="N929" i="6"/>
  <c r="K851" i="6"/>
  <c r="L505" i="6"/>
  <c r="L322" i="6"/>
  <c r="J568" i="6"/>
  <c r="K472" i="6"/>
  <c r="J889" i="6"/>
  <c r="K763" i="6"/>
  <c r="K255" i="6"/>
  <c r="K531" i="6"/>
  <c r="K649" i="6"/>
  <c r="L768" i="6"/>
  <c r="N1004" i="6"/>
  <c r="L977" i="6"/>
  <c r="L297" i="6"/>
  <c r="P854" i="6"/>
  <c r="P158" i="6"/>
  <c r="K88" i="6"/>
  <c r="O450" i="6"/>
  <c r="M422" i="6"/>
  <c r="P847" i="6"/>
  <c r="P331" i="6"/>
  <c r="L956" i="6"/>
  <c r="J342" i="6"/>
  <c r="P824" i="6"/>
  <c r="J316" i="6"/>
  <c r="L449" i="6"/>
  <c r="J209" i="6"/>
  <c r="L199" i="6"/>
  <c r="K737" i="6"/>
  <c r="N471" i="6"/>
  <c r="K37" i="6"/>
  <c r="K252" i="6"/>
  <c r="J693" i="6"/>
  <c r="M966" i="6"/>
  <c r="P1013" i="6"/>
  <c r="N740" i="6"/>
  <c r="P778" i="6"/>
  <c r="N513" i="6"/>
  <c r="L390" i="6"/>
  <c r="P946" i="6"/>
  <c r="O964" i="6"/>
  <c r="O602" i="6"/>
  <c r="J758" i="6"/>
  <c r="P918" i="6"/>
  <c r="N288" i="6"/>
  <c r="P69" i="6"/>
  <c r="P63" i="6"/>
  <c r="P208" i="6"/>
  <c r="O348" i="6"/>
  <c r="K1008" i="6"/>
  <c r="L493" i="6"/>
  <c r="J594" i="6"/>
  <c r="P392" i="6"/>
  <c r="O14" i="6"/>
  <c r="P862" i="6"/>
  <c r="L632" i="6"/>
  <c r="K115" i="6"/>
  <c r="L249" i="6"/>
  <c r="N196" i="6"/>
  <c r="N918" i="6"/>
  <c r="O62" i="6"/>
  <c r="L530" i="6"/>
  <c r="K642" i="6"/>
  <c r="N850" i="6"/>
  <c r="L385" i="6"/>
  <c r="M359" i="6"/>
  <c r="K920" i="6"/>
  <c r="N182" i="6"/>
  <c r="J975" i="6"/>
  <c r="N515" i="6"/>
  <c r="J646" i="6"/>
  <c r="N72" i="6"/>
  <c r="N1006" i="6"/>
  <c r="L67" i="6"/>
  <c r="P444" i="6"/>
  <c r="K892" i="6"/>
  <c r="O314" i="6"/>
  <c r="N897" i="6"/>
  <c r="N849" i="6"/>
  <c r="P236" i="6"/>
  <c r="P848" i="6"/>
  <c r="M629" i="6"/>
  <c r="O438" i="6"/>
  <c r="L303" i="6"/>
  <c r="J67" i="6"/>
  <c r="L64" i="6"/>
  <c r="J279" i="6"/>
  <c r="J255" i="6"/>
  <c r="K717" i="6"/>
  <c r="M523" i="6"/>
  <c r="O792" i="6"/>
  <c r="L695" i="6"/>
  <c r="O564" i="6"/>
  <c r="O234" i="6"/>
  <c r="J300" i="6"/>
  <c r="K409" i="6"/>
  <c r="J515" i="6"/>
  <c r="M583" i="6"/>
  <c r="M311" i="6"/>
  <c r="K377" i="6"/>
  <c r="L424" i="6"/>
  <c r="M872" i="6"/>
  <c r="J526" i="6"/>
  <c r="N573" i="6"/>
  <c r="O180" i="6"/>
  <c r="J296" i="6"/>
  <c r="N318" i="6"/>
  <c r="K550" i="6"/>
  <c r="K74" i="6"/>
  <c r="K100" i="6"/>
  <c r="K560" i="6"/>
  <c r="L201" i="6"/>
  <c r="O576" i="6"/>
  <c r="P185" i="6"/>
  <c r="M265" i="6"/>
  <c r="K724" i="6"/>
  <c r="M53" i="6"/>
  <c r="O153" i="6"/>
  <c r="P328" i="6"/>
  <c r="P838" i="6"/>
  <c r="M23" i="6"/>
  <c r="P544" i="6"/>
  <c r="K165" i="6"/>
  <c r="K896" i="6"/>
  <c r="L417" i="6"/>
  <c r="P105" i="6"/>
  <c r="J246" i="6"/>
  <c r="J456" i="6"/>
  <c r="O632" i="6"/>
  <c r="L19" i="6"/>
  <c r="M648" i="6"/>
  <c r="K691" i="6"/>
  <c r="K162" i="6"/>
  <c r="M603" i="6"/>
  <c r="K612" i="6"/>
  <c r="J852" i="6"/>
  <c r="M754" i="6"/>
  <c r="K545" i="6"/>
  <c r="P697" i="6"/>
  <c r="M276" i="6"/>
  <c r="M134" i="6"/>
  <c r="K554" i="6"/>
  <c r="L383" i="6"/>
  <c r="M338" i="6"/>
  <c r="M248" i="6"/>
  <c r="J20" i="6"/>
  <c r="N446" i="6"/>
  <c r="M211" i="6"/>
  <c r="L138" i="6"/>
  <c r="O606" i="6"/>
  <c r="K107" i="6"/>
  <c r="O508" i="6"/>
  <c r="M258" i="6"/>
  <c r="K480" i="6"/>
  <c r="M903" i="6"/>
  <c r="K55" i="6"/>
  <c r="L400" i="6"/>
  <c r="P932" i="6"/>
  <c r="M231" i="6"/>
  <c r="M853" i="6"/>
  <c r="O762" i="6"/>
  <c r="J445" i="6"/>
  <c r="M100" i="6"/>
  <c r="K598" i="6"/>
  <c r="N145" i="6"/>
  <c r="N893" i="6"/>
  <c r="J900" i="6"/>
  <c r="J447" i="6"/>
  <c r="O316" i="6"/>
  <c r="P500" i="6"/>
  <c r="P909" i="6"/>
  <c r="L795" i="6"/>
  <c r="K224" i="6"/>
  <c r="K956" i="6"/>
  <c r="J12" i="6"/>
  <c r="L204" i="6"/>
  <c r="O552" i="6"/>
  <c r="K551" i="6"/>
  <c r="O689" i="6"/>
  <c r="J149" i="6"/>
  <c r="J867" i="6"/>
  <c r="L405" i="6"/>
  <c r="M236" i="6"/>
  <c r="M911" i="6"/>
  <c r="P850" i="6"/>
  <c r="M550" i="6"/>
  <c r="M162" i="6"/>
  <c r="O731" i="6"/>
  <c r="K587" i="6"/>
  <c r="M291" i="6"/>
  <c r="O816" i="6"/>
  <c r="L489" i="6"/>
  <c r="N848" i="6"/>
  <c r="M141" i="6"/>
  <c r="L453" i="6"/>
  <c r="L365" i="6"/>
  <c r="L440" i="6"/>
  <c r="P365" i="6"/>
  <c r="M781" i="6"/>
  <c r="L216" i="6"/>
  <c r="O1008" i="6"/>
  <c r="L917" i="6"/>
  <c r="N1016" i="6"/>
  <c r="J1002" i="6"/>
  <c r="K462" i="6"/>
  <c r="M102" i="6"/>
  <c r="J377" i="6"/>
  <c r="J370" i="6"/>
  <c r="L851" i="6"/>
  <c r="K593" i="6"/>
  <c r="K858" i="6"/>
  <c r="K212" i="6"/>
  <c r="J6" i="6"/>
  <c r="O667" i="6"/>
  <c r="K488" i="6"/>
  <c r="J122" i="6"/>
  <c r="K484" i="6"/>
  <c r="J50" i="6"/>
  <c r="J820" i="6"/>
  <c r="M487" i="6"/>
  <c r="N857" i="6"/>
  <c r="K119" i="6"/>
  <c r="N398" i="6"/>
  <c r="L1020" i="6"/>
  <c r="J417" i="6"/>
  <c r="J543" i="6"/>
  <c r="J21" i="6"/>
  <c r="J757" i="6"/>
  <c r="K929" i="6"/>
  <c r="K748" i="6"/>
  <c r="J850" i="6"/>
  <c r="L697" i="6"/>
  <c r="K163" i="6"/>
  <c r="K315" i="6"/>
  <c r="N926" i="6"/>
  <c r="N497" i="6"/>
  <c r="N629" i="6"/>
  <c r="K90" i="6"/>
  <c r="J501" i="6"/>
  <c r="K998" i="6"/>
  <c r="K257" i="6"/>
  <c r="M184" i="6"/>
  <c r="M334" i="6"/>
  <c r="M452" i="6"/>
  <c r="K573" i="6"/>
  <c r="L1003" i="6"/>
  <c r="J551" i="6"/>
  <c r="K199" i="6"/>
  <c r="K26" i="6"/>
  <c r="M1008" i="6"/>
  <c r="N662" i="6"/>
  <c r="O521" i="6"/>
  <c r="M521" i="6"/>
  <c r="L159" i="6"/>
  <c r="M543" i="6"/>
  <c r="N503" i="6"/>
  <c r="L506" i="6"/>
  <c r="J427" i="6"/>
  <c r="K373" i="6"/>
  <c r="J546" i="6"/>
  <c r="O68" i="6"/>
  <c r="K701" i="6"/>
  <c r="K304" i="6"/>
  <c r="L258" i="6"/>
  <c r="J507" i="6"/>
  <c r="K625" i="6"/>
  <c r="N265" i="6"/>
  <c r="L895" i="6"/>
  <c r="K970" i="6"/>
  <c r="K837" i="6"/>
  <c r="P404" i="6"/>
  <c r="J250" i="6"/>
  <c r="K258" i="6"/>
  <c r="J422" i="6"/>
  <c r="L167" i="6"/>
  <c r="K626" i="6"/>
  <c r="M793" i="6"/>
  <c r="L397" i="6"/>
  <c r="J111" i="6"/>
  <c r="K344" i="6"/>
  <c r="O904" i="6"/>
  <c r="J264" i="6"/>
  <c r="J344" i="6"/>
  <c r="O119" i="6"/>
  <c r="J827" i="6"/>
  <c r="L180" i="6"/>
  <c r="O423" i="6"/>
  <c r="P578" i="6"/>
  <c r="J984" i="6"/>
  <c r="L640" i="6"/>
  <c r="L668" i="6"/>
  <c r="O953" i="6"/>
  <c r="K279" i="6"/>
  <c r="J334" i="6"/>
  <c r="J119" i="6"/>
  <c r="L298" i="6"/>
  <c r="K912" i="6"/>
  <c r="N998" i="6"/>
  <c r="J419" i="6"/>
  <c r="M312" i="6"/>
  <c r="M186" i="6"/>
  <c r="K120" i="6"/>
  <c r="M196" i="6"/>
  <c r="O694" i="6"/>
  <c r="O425" i="6"/>
  <c r="P753" i="6"/>
  <c r="K467" i="6"/>
  <c r="K236" i="6"/>
  <c r="P134" i="6"/>
  <c r="M493" i="6"/>
  <c r="J208" i="6"/>
  <c r="J534" i="6"/>
  <c r="N204" i="6"/>
  <c r="O18" i="6"/>
  <c r="K248" i="6"/>
  <c r="K357" i="6"/>
  <c r="K83" i="6"/>
  <c r="J937" i="6"/>
  <c r="P329" i="6"/>
  <c r="K565" i="6"/>
  <c r="L37" i="6"/>
  <c r="K378" i="6"/>
  <c r="J624" i="6"/>
  <c r="J667" i="6"/>
  <c r="K321" i="6"/>
  <c r="M740" i="6"/>
  <c r="M438" i="6"/>
  <c r="K156" i="6"/>
  <c r="J91" i="6"/>
  <c r="N160" i="6"/>
  <c r="L51" i="6"/>
  <c r="J158" i="6"/>
  <c r="P215" i="6"/>
  <c r="J908" i="6"/>
  <c r="J542" i="6"/>
  <c r="P750" i="6"/>
  <c r="O437" i="6"/>
  <c r="K69" i="6"/>
  <c r="J459" i="6"/>
  <c r="J190" i="6"/>
  <c r="M664" i="6"/>
  <c r="K764" i="6"/>
  <c r="N309" i="6"/>
  <c r="N641" i="6"/>
  <c r="K788" i="6"/>
  <c r="M803" i="6"/>
  <c r="M692" i="6"/>
  <c r="O446" i="6"/>
  <c r="L427" i="6"/>
  <c r="L889" i="6"/>
  <c r="L480" i="6"/>
  <c r="J165" i="6"/>
  <c r="M321" i="6"/>
  <c r="N199" i="6"/>
  <c r="P398" i="6"/>
  <c r="O196" i="6"/>
  <c r="K226" i="6"/>
  <c r="K34" i="6"/>
  <c r="J254" i="6"/>
  <c r="P106" i="6"/>
  <c r="K949" i="6"/>
  <c r="K245" i="6"/>
  <c r="M329" i="6"/>
  <c r="J369" i="6"/>
  <c r="J23" i="6"/>
  <c r="J750" i="6"/>
  <c r="J856" i="6"/>
  <c r="K259" i="6"/>
  <c r="J348" i="6"/>
  <c r="M497" i="6"/>
  <c r="L129" i="6"/>
  <c r="J948" i="6"/>
  <c r="K693" i="6"/>
  <c r="M103" i="6"/>
  <c r="N184" i="6"/>
  <c r="L68" i="6"/>
  <c r="J134" i="6"/>
  <c r="L462" i="6"/>
  <c r="N16" i="6"/>
  <c r="K260" i="6"/>
  <c r="P481" i="6"/>
  <c r="P299" i="6"/>
  <c r="O445" i="6"/>
  <c r="K996" i="6"/>
  <c r="P996" i="6"/>
  <c r="K542" i="6"/>
  <c r="P515" i="6"/>
  <c r="J271" i="6"/>
  <c r="K412" i="6"/>
  <c r="J694" i="6"/>
  <c r="M488" i="6"/>
  <c r="O594" i="6"/>
  <c r="K563" i="6"/>
  <c r="K238" i="6"/>
  <c r="L50" i="6"/>
  <c r="K521" i="6"/>
  <c r="J809" i="6"/>
  <c r="O248" i="6"/>
  <c r="J554" i="6"/>
  <c r="L239" i="6"/>
  <c r="K203" i="6"/>
  <c r="K111" i="6"/>
  <c r="J80" i="6"/>
  <c r="J813" i="6"/>
  <c r="P998" i="6"/>
  <c r="N467" i="6"/>
  <c r="O193" i="6"/>
  <c r="J213" i="6"/>
  <c r="O502" i="6"/>
  <c r="M662" i="6"/>
  <c r="L287" i="6"/>
  <c r="L551" i="6"/>
  <c r="N88" i="6"/>
  <c r="K277" i="6"/>
  <c r="K895" i="6"/>
  <c r="K611" i="6"/>
  <c r="J1026" i="6"/>
  <c r="K806" i="6"/>
  <c r="L251" i="6"/>
  <c r="M704" i="6"/>
  <c r="N20" i="6"/>
  <c r="M304" i="6"/>
  <c r="L245" i="6"/>
  <c r="K241" i="6"/>
  <c r="N812" i="6"/>
  <c r="O493" i="6"/>
  <c r="K375" i="6"/>
  <c r="P453" i="6"/>
  <c r="K52" i="6"/>
  <c r="M748" i="6"/>
  <c r="J453" i="6"/>
  <c r="L411" i="6"/>
  <c r="K644" i="6"/>
  <c r="N248" i="6"/>
  <c r="M251" i="6"/>
  <c r="N763" i="6"/>
  <c r="O158" i="6"/>
  <c r="O819" i="6"/>
  <c r="K877" i="6"/>
  <c r="L36" i="6"/>
  <c r="J780" i="6"/>
  <c r="J665" i="6"/>
  <c r="K678" i="6"/>
  <c r="K62" i="6"/>
  <c r="J135" i="6"/>
  <c r="J434" i="6"/>
  <c r="J951" i="6"/>
  <c r="M453" i="6"/>
  <c r="P1004" i="6"/>
  <c r="J395" i="6"/>
  <c r="K490" i="6"/>
  <c r="K861" i="6"/>
  <c r="K992" i="6"/>
  <c r="N953" i="6"/>
  <c r="N986" i="6"/>
  <c r="J1021" i="6"/>
  <c r="J242" i="6"/>
  <c r="P626" i="6"/>
  <c r="P401" i="6"/>
  <c r="K272" i="6"/>
  <c r="L861" i="6"/>
  <c r="J411" i="6"/>
  <c r="J1006" i="6"/>
  <c r="P278" i="6"/>
  <c r="J126" i="6"/>
  <c r="L753" i="6"/>
  <c r="K383" i="6"/>
  <c r="K209" i="6"/>
  <c r="M375" i="6"/>
  <c r="K1004" i="6"/>
  <c r="J550" i="6"/>
  <c r="K306" i="6"/>
  <c r="J781" i="6"/>
  <c r="L799" i="6"/>
  <c r="M765" i="6"/>
  <c r="K318" i="6"/>
  <c r="M245" i="6"/>
  <c r="K80" i="6"/>
  <c r="M242" i="6"/>
  <c r="K694" i="6"/>
  <c r="K768" i="6"/>
  <c r="P419" i="6"/>
  <c r="J765" i="6"/>
  <c r="L296" i="6"/>
  <c r="L457" i="6"/>
  <c r="K442" i="6"/>
  <c r="L186" i="6"/>
  <c r="J654" i="6"/>
  <c r="J85" i="6"/>
  <c r="J318" i="6"/>
  <c r="K989" i="6"/>
  <c r="J389" i="6"/>
  <c r="M519" i="6"/>
  <c r="K72" i="6"/>
  <c r="O560" i="6"/>
  <c r="L959" i="6"/>
  <c r="J530" i="6"/>
  <c r="K454" i="6"/>
  <c r="O287" i="6"/>
  <c r="K974" i="6"/>
  <c r="K824" i="6"/>
  <c r="P516" i="6"/>
  <c r="K664" i="6"/>
  <c r="N895" i="6"/>
  <c r="J452" i="6"/>
  <c r="J865" i="6"/>
  <c r="K414" i="6"/>
  <c r="K898" i="6"/>
  <c r="M898" i="6"/>
  <c r="O95" i="6"/>
  <c r="J238" i="6"/>
  <c r="J329" i="6"/>
  <c r="L546" i="6"/>
  <c r="K265" i="6"/>
  <c r="M564" i="6"/>
  <c r="K434" i="6"/>
  <c r="K470" i="6"/>
  <c r="J639" i="6"/>
  <c r="N874" i="6"/>
  <c r="J234" i="6"/>
  <c r="L611" i="6"/>
  <c r="J540" i="6"/>
  <c r="K371" i="6"/>
  <c r="K829" i="6"/>
  <c r="P59" i="6"/>
  <c r="J728" i="6"/>
  <c r="K12" i="6"/>
  <c r="K948" i="6"/>
  <c r="J793" i="6"/>
  <c r="J837" i="6"/>
  <c r="K568" i="6"/>
  <c r="J576" i="6"/>
  <c r="J359" i="6"/>
  <c r="J681" i="6"/>
  <c r="J467" i="6"/>
  <c r="K497" i="6"/>
  <c r="K436" i="6"/>
  <c r="L304" i="6"/>
  <c r="M813" i="6"/>
  <c r="L165" i="6"/>
  <c r="K175" i="6"/>
  <c r="J754" i="6"/>
  <c r="L499" i="6"/>
  <c r="K852" i="6"/>
  <c r="J484" i="6"/>
  <c r="J159" i="6"/>
  <c r="K167" i="6"/>
  <c r="M277" i="6"/>
  <c r="L987" i="6"/>
  <c r="K738" i="6"/>
  <c r="J611" i="6"/>
  <c r="P900" i="6"/>
  <c r="M444" i="6"/>
  <c r="K67" i="6"/>
  <c r="K1012" i="6"/>
  <c r="J7" i="6"/>
  <c r="K1013" i="6"/>
  <c r="K572" i="6"/>
  <c r="M534" i="6"/>
  <c r="O975" i="6"/>
  <c r="L989" i="6"/>
  <c r="K7" i="6"/>
  <c r="L739" i="6"/>
  <c r="J742" i="6"/>
  <c r="J236" i="6"/>
  <c r="J26" i="6"/>
  <c r="K395" i="6"/>
  <c r="J73" i="6"/>
  <c r="K452" i="6"/>
  <c r="J241" i="6"/>
  <c r="M73" i="6"/>
  <c r="J1020" i="6"/>
  <c r="L57" i="6"/>
  <c r="K270" i="6"/>
  <c r="J181" i="6"/>
  <c r="J989" i="6"/>
  <c r="J325" i="6"/>
  <c r="K173" i="6"/>
  <c r="K221" i="6"/>
  <c r="K77" i="6"/>
  <c r="J335" i="6"/>
  <c r="J138" i="6"/>
  <c r="L360" i="6"/>
  <c r="P604" i="6"/>
  <c r="J817" i="6"/>
  <c r="K774" i="6"/>
  <c r="O709" i="6"/>
  <c r="L533" i="6"/>
  <c r="J70" i="6"/>
  <c r="J641" i="6"/>
  <c r="J737" i="6"/>
  <c r="N68" i="6"/>
  <c r="K832" i="6"/>
  <c r="J291" i="6"/>
  <c r="L342" i="6"/>
  <c r="J621" i="6"/>
  <c r="P736" i="6"/>
  <c r="M76" i="6"/>
  <c r="J164" i="6"/>
  <c r="P123" i="6"/>
  <c r="K87" i="6"/>
  <c r="L54" i="6"/>
  <c r="K979" i="6"/>
  <c r="L618" i="6"/>
  <c r="F879" i="6"/>
  <c r="D220" i="6"/>
  <c r="D907" i="6"/>
  <c r="F157" i="6"/>
  <c r="F666" i="6"/>
  <c r="C1010" i="6"/>
  <c r="E267" i="6"/>
  <c r="C439" i="6"/>
  <c r="F56" i="6"/>
  <c r="B988" i="6"/>
  <c r="H477" i="6"/>
  <c r="C289" i="6"/>
  <c r="H466" i="6"/>
  <c r="E430" i="6"/>
  <c r="E240" i="6"/>
  <c r="B643" i="6"/>
  <c r="G705" i="6"/>
  <c r="C994" i="6"/>
  <c r="B97" i="6"/>
  <c r="G608" i="6"/>
  <c r="B144" i="6"/>
  <c r="C941" i="6"/>
  <c r="C483" i="6"/>
  <c r="E155" i="6"/>
  <c r="D74" i="6"/>
  <c r="G906" i="6"/>
  <c r="F108" i="6"/>
  <c r="C891" i="6"/>
  <c r="B571" i="6"/>
  <c r="C516" i="6"/>
  <c r="C132" i="6"/>
  <c r="B686" i="6"/>
  <c r="G924" i="6"/>
  <c r="H815" i="6"/>
  <c r="G330" i="6"/>
  <c r="B166" i="6"/>
  <c r="F172" i="6"/>
  <c r="B217" i="6"/>
  <c r="B533" i="6"/>
  <c r="F58" i="6"/>
  <c r="F784" i="6"/>
  <c r="F993" i="6"/>
  <c r="C647" i="6"/>
  <c r="D589" i="6"/>
  <c r="G823" i="6"/>
  <c r="D558" i="6"/>
  <c r="B914" i="6"/>
  <c r="B581" i="6"/>
  <c r="B355" i="6"/>
  <c r="G112" i="6"/>
  <c r="B807" i="6"/>
  <c r="E44" i="6"/>
  <c r="D1014" i="6"/>
  <c r="F843" i="6"/>
  <c r="B565" i="6"/>
  <c r="B137" i="6"/>
  <c r="B490" i="6"/>
  <c r="B286" i="6"/>
  <c r="B14" i="6"/>
  <c r="B935" i="6"/>
  <c r="G282" i="6"/>
  <c r="B947" i="6"/>
  <c r="D776" i="6"/>
  <c r="C45" i="6"/>
  <c r="B206" i="6"/>
  <c r="J206" i="6" l="1"/>
  <c r="K45" i="6"/>
  <c r="L776" i="6"/>
  <c r="J947" i="6"/>
  <c r="O282" i="6"/>
  <c r="J935" i="6"/>
  <c r="J14" i="6"/>
  <c r="J286" i="6"/>
  <c r="J490" i="6"/>
  <c r="J137" i="6"/>
  <c r="J565" i="6"/>
  <c r="N843" i="6"/>
  <c r="L1014" i="6"/>
  <c r="M44" i="6"/>
  <c r="J807" i="6"/>
  <c r="O112" i="6"/>
  <c r="J355" i="6"/>
  <c r="J581" i="6"/>
  <c r="J914" i="6"/>
  <c r="L558" i="6"/>
  <c r="O823" i="6"/>
  <c r="L589" i="6"/>
  <c r="K647" i="6"/>
  <c r="N993" i="6"/>
  <c r="N784" i="6"/>
  <c r="N58" i="6"/>
  <c r="J533" i="6"/>
  <c r="J217" i="6"/>
  <c r="N172" i="6"/>
  <c r="J166" i="6"/>
  <c r="O330" i="6"/>
  <c r="P815" i="6"/>
  <c r="O924" i="6"/>
  <c r="J686" i="6"/>
  <c r="K132" i="6"/>
  <c r="K516" i="6"/>
  <c r="J571" i="6"/>
  <c r="K891" i="6"/>
  <c r="N108" i="6"/>
  <c r="O906" i="6"/>
  <c r="L74" i="6"/>
  <c r="M155" i="6"/>
  <c r="K483" i="6"/>
  <c r="K941" i="6"/>
  <c r="J144" i="6"/>
  <c r="O608" i="6"/>
  <c r="J97" i="6"/>
  <c r="K994" i="6"/>
  <c r="O705" i="6"/>
  <c r="J643" i="6"/>
  <c r="M240" i="6"/>
  <c r="M430" i="6"/>
  <c r="P466" i="6"/>
  <c r="K289" i="6"/>
  <c r="P477" i="6"/>
  <c r="J988" i="6"/>
  <c r="N56" i="6"/>
  <c r="K439" i="6"/>
  <c r="M267" i="6"/>
  <c r="K1010" i="6"/>
  <c r="N666" i="6"/>
  <c r="N157" i="6"/>
  <c r="L907" i="6"/>
  <c r="L1031" i="6" s="1"/>
  <c r="K13" i="1" s="1"/>
  <c r="L220" i="6"/>
  <c r="N879" i="6"/>
  <c r="N1031" i="6" l="1"/>
  <c r="M13" i="1" s="1"/>
  <c r="P1031" i="6"/>
  <c r="O13" i="1" s="1"/>
  <c r="M1031" i="6"/>
  <c r="L13" i="1" s="1"/>
  <c r="O1031" i="6"/>
  <c r="N13" i="1" s="1"/>
  <c r="J1031" i="6"/>
  <c r="I13" i="1" s="1"/>
  <c r="K1031" i="6"/>
  <c r="J13" i="1" s="1"/>
</calcChain>
</file>

<file path=xl/sharedStrings.xml><?xml version="1.0" encoding="utf-8"?>
<sst xmlns="http://schemas.openxmlformats.org/spreadsheetml/2006/main" count="644" uniqueCount="202">
  <si>
    <t>Energy</t>
  </si>
  <si>
    <t>0 deg</t>
  </si>
  <si>
    <t>15 deg</t>
  </si>
  <si>
    <t xml:space="preserve">30 deg </t>
  </si>
  <si>
    <t>45 deg</t>
  </si>
  <si>
    <t xml:space="preserve">60 deg </t>
  </si>
  <si>
    <t>75 deg</t>
  </si>
  <si>
    <t>90 deg</t>
  </si>
  <si>
    <t>Dose Equivalent</t>
  </si>
  <si>
    <t>Beam</t>
  </si>
  <si>
    <t>30 deg</t>
  </si>
  <si>
    <t>60 deg</t>
  </si>
  <si>
    <t>Normalised Kerma</t>
  </si>
  <si>
    <t>SUM</t>
  </si>
  <si>
    <t>Dose Equivalent on Phantom</t>
  </si>
  <si>
    <t>Energy(keV)</t>
  </si>
  <si>
    <t>KermaCF(pSv cm2)</t>
  </si>
  <si>
    <t>Energy (keV)</t>
  </si>
  <si>
    <t>Fluence</t>
  </si>
  <si>
    <t>Kerma(pGy)</t>
  </si>
  <si>
    <t>Sum</t>
  </si>
  <si>
    <t>N_15</t>
  </si>
  <si>
    <t>N_20</t>
  </si>
  <si>
    <t>N_10</t>
  </si>
  <si>
    <t>N_25</t>
  </si>
  <si>
    <t>N_30</t>
  </si>
  <si>
    <t>N_40</t>
  </si>
  <si>
    <t>N_60</t>
  </si>
  <si>
    <t>N_80</t>
  </si>
  <si>
    <t>N_100</t>
  </si>
  <si>
    <t>N_120</t>
  </si>
  <si>
    <t>N_150</t>
  </si>
  <si>
    <t>N_200</t>
  </si>
  <si>
    <t>N_250</t>
  </si>
  <si>
    <t>N_300</t>
  </si>
  <si>
    <t>H_20</t>
  </si>
  <si>
    <t>H_30</t>
  </si>
  <si>
    <t>H_40</t>
  </si>
  <si>
    <t>H_60</t>
  </si>
  <si>
    <t>H_80</t>
  </si>
  <si>
    <t>H_100</t>
  </si>
  <si>
    <t>H_150</t>
  </si>
  <si>
    <t>H_200</t>
  </si>
  <si>
    <t>H_250</t>
  </si>
  <si>
    <t>H_300</t>
  </si>
  <si>
    <t>H_280</t>
  </si>
  <si>
    <t>Distance</t>
  </si>
  <si>
    <t>100cm</t>
  </si>
  <si>
    <t>Choose Input Variables</t>
  </si>
  <si>
    <t>250cm</t>
  </si>
  <si>
    <t>Type of Beam</t>
  </si>
  <si>
    <t>Narrow Series</t>
  </si>
  <si>
    <t>High Kerma Series</t>
  </si>
  <si>
    <t>Low Kerma Series</t>
  </si>
  <si>
    <t>Diagonostic Beams</t>
  </si>
  <si>
    <t>Therapy Beams</t>
  </si>
  <si>
    <t>Own Spectrum</t>
  </si>
  <si>
    <t>Own_Spectrum</t>
  </si>
  <si>
    <t>Narrow_Series</t>
  </si>
  <si>
    <t>High_Kerma_Series</t>
  </si>
  <si>
    <t>Low_Kerma_Series</t>
  </si>
  <si>
    <t>Diagonostic_Beams</t>
  </si>
  <si>
    <t>Therapy_Beams</t>
  </si>
  <si>
    <t>L_10</t>
  </si>
  <si>
    <t>L_20</t>
  </si>
  <si>
    <t>L_30</t>
  </si>
  <si>
    <t>L_35</t>
  </si>
  <si>
    <t>L_55</t>
  </si>
  <si>
    <t>L_70</t>
  </si>
  <si>
    <t>L_100</t>
  </si>
  <si>
    <t>L_125</t>
  </si>
  <si>
    <t>L_170</t>
  </si>
  <si>
    <t>L_210</t>
  </si>
  <si>
    <t>L_240</t>
  </si>
  <si>
    <t>W_30</t>
  </si>
  <si>
    <t>W_40</t>
  </si>
  <si>
    <t>W_60</t>
  </si>
  <si>
    <t>W_80</t>
  </si>
  <si>
    <t>W_110</t>
  </si>
  <si>
    <t>W_150</t>
  </si>
  <si>
    <t>W_200</t>
  </si>
  <si>
    <t>W_250</t>
  </si>
  <si>
    <t>W_300</t>
  </si>
  <si>
    <t>Unfiltered_Series</t>
  </si>
  <si>
    <t>_120kVp</t>
  </si>
  <si>
    <t>_15kVp</t>
  </si>
  <si>
    <t>_20kVp</t>
  </si>
  <si>
    <t>_25kVp</t>
  </si>
  <si>
    <t>_30kVp</t>
  </si>
  <si>
    <t>_35kVp</t>
  </si>
  <si>
    <t>_40kVp</t>
  </si>
  <si>
    <t>_50kVp</t>
  </si>
  <si>
    <t>_55kVp</t>
  </si>
  <si>
    <t>_60kVp</t>
  </si>
  <si>
    <t>_70kVp</t>
  </si>
  <si>
    <t>_80kVp</t>
  </si>
  <si>
    <t>_90kVp</t>
  </si>
  <si>
    <t>_100kVp</t>
  </si>
  <si>
    <t>_110kVp</t>
  </si>
  <si>
    <t>Wide_Spectrum_Series</t>
  </si>
  <si>
    <t>Wide Spectrum Series</t>
  </si>
  <si>
    <t>RQA2</t>
  </si>
  <si>
    <t>RQA3</t>
  </si>
  <si>
    <t>RQA4</t>
  </si>
  <si>
    <t>RQA5</t>
  </si>
  <si>
    <t>RQA6</t>
  </si>
  <si>
    <t>RQA7</t>
  </si>
  <si>
    <t>RQA8</t>
  </si>
  <si>
    <t>RQA9</t>
  </si>
  <si>
    <t>RQA10</t>
  </si>
  <si>
    <t>RQR2</t>
  </si>
  <si>
    <t>RQR3</t>
  </si>
  <si>
    <t>RQR4</t>
  </si>
  <si>
    <t>RQR5</t>
  </si>
  <si>
    <t>RQR6</t>
  </si>
  <si>
    <t>RQR7</t>
  </si>
  <si>
    <t>RQR8</t>
  </si>
  <si>
    <t>RQR9</t>
  </si>
  <si>
    <t>RQR10</t>
  </si>
  <si>
    <t>RQT</t>
  </si>
  <si>
    <t>Therapy__Beams</t>
  </si>
  <si>
    <t>TW10</t>
  </si>
  <si>
    <t>TW15</t>
  </si>
  <si>
    <t>TW20</t>
  </si>
  <si>
    <t>TW30</t>
  </si>
  <si>
    <t>TW40</t>
  </si>
  <si>
    <t>TW50</t>
  </si>
  <si>
    <t>TW75</t>
  </si>
  <si>
    <t>300cm</t>
  </si>
  <si>
    <t>_250cm</t>
  </si>
  <si>
    <t>_300cm</t>
  </si>
  <si>
    <t>_100cm</t>
  </si>
  <si>
    <t>SH50</t>
  </si>
  <si>
    <t>SH70</t>
  </si>
  <si>
    <t>TH70</t>
  </si>
  <si>
    <t>TH100</t>
  </si>
  <si>
    <t>TH120</t>
  </si>
  <si>
    <t>TH140</t>
  </si>
  <si>
    <t>H*(10)</t>
  </si>
  <si>
    <t>Dosimetry</t>
  </si>
  <si>
    <t>Type of Dosimetry</t>
  </si>
  <si>
    <t xml:space="preserve">Area_Dosimetry </t>
  </si>
  <si>
    <t>Personal_Dosimetry</t>
  </si>
  <si>
    <t>Area_Dosimetry</t>
  </si>
  <si>
    <t>Hp(0.07)_Slab_Phantom</t>
  </si>
  <si>
    <t>Hp(10)_Slab_Phantom</t>
  </si>
  <si>
    <t>Hp(3)_Cylinder_Phantom</t>
  </si>
  <si>
    <t>Hp(0.07)_Rod_Phantom</t>
  </si>
  <si>
    <t>Hp(0.07)_Pillar_Phantom</t>
  </si>
  <si>
    <t>0deg</t>
  </si>
  <si>
    <t>15deg</t>
  </si>
  <si>
    <t>30deg</t>
  </si>
  <si>
    <t>45deg</t>
  </si>
  <si>
    <t>60deg</t>
  </si>
  <si>
    <t>75deg</t>
  </si>
  <si>
    <t>90deg</t>
  </si>
  <si>
    <t>H*(3)</t>
  </si>
  <si>
    <t>H*(0.07)</t>
  </si>
  <si>
    <t>ICRU95_EyeLens_Dose</t>
  </si>
  <si>
    <t>Kerma to dose equivalent conversion coefficients</t>
  </si>
  <si>
    <t>3.02E-321</t>
  </si>
  <si>
    <t>ICRU95_SkinDose_SlabPhantom</t>
  </si>
  <si>
    <t>ICRU95_PersonalDose_SlabPhantom</t>
  </si>
  <si>
    <t>ICRU95_SkinDose_PillarPhantom</t>
  </si>
  <si>
    <t>Angles (in Degree)</t>
  </si>
  <si>
    <t>ICRU95_SkinDose_RodPhantom</t>
  </si>
  <si>
    <t>About</t>
  </si>
  <si>
    <t>1)  Spectral fluence spectra used in this excel are taken from Ankerhold (2000) for both 1 m and 2.5 m.</t>
  </si>
  <si>
    <t>2) User can estimate conversion coefficients from air kerma to :</t>
  </si>
  <si>
    <t xml:space="preserve"> (a) Personnel Dosimetry </t>
  </si>
  <si>
    <t xml:space="preserve">(i) Hp(10) on slab phantom </t>
  </si>
  <si>
    <t>(ii) Hp(3) on cylinderical Phantom</t>
  </si>
  <si>
    <t xml:space="preserve"> (iii) Hp(0.07) on slab, pillar and rod phatom </t>
  </si>
  <si>
    <t>(iv) Personal Dose (Hp) on slab as per ICRU 95</t>
  </si>
  <si>
    <t>(v) Absorbed dose to eye lens (Dp, lens) on pillar phantom as per ICRU 95</t>
  </si>
  <si>
    <t>(vi) Absorbed dose to local skin (Dp, local skin) on slab, rod and pillar phantom as per ICRU 95</t>
  </si>
  <si>
    <t xml:space="preserve"> (a) Area Dosimetry </t>
  </si>
  <si>
    <t>(i) H'(0.07)</t>
  </si>
  <si>
    <t>(iii) H*(10)</t>
  </si>
  <si>
    <t>(ii) H'(3)</t>
  </si>
  <si>
    <t>3) This Tool is designed by RP&amp;AD, BARC, INDIA. Please contact rohityadav@barc.gov.in for any error or discripancy.</t>
  </si>
  <si>
    <t>References:</t>
  </si>
  <si>
    <t>1) Ankerhold U. 2000, Catalogue of X-ray spectra and their characteristic data — ISO and DIN radiation qualities, therapy and diagnostic radiation qualities, unfiltered X-ray spectra,
Physikalisch-Technische Bundesanstalt, PTB-Bericht Dos-34.</t>
  </si>
  <si>
    <t>2) International Commission on Radiation Units and Measurements (ICRU). 2020. Operational quantities for external radiation exposure ICRU report 95 J. ICRU 20.</t>
  </si>
  <si>
    <t xml:space="preserve"> 2) Replace only energy and fluence column in the excel sheet with you fluence spectrum </t>
  </si>
  <si>
    <t xml:space="preserve"> 1) Maximum Enegry bins can be 1024.  </t>
  </si>
  <si>
    <t>Note:</t>
  </si>
  <si>
    <t xml:space="preserve"> 3)  Maximum energy limit of fluence for different dose equivalents is:</t>
  </si>
  <si>
    <t>(i) Hp(10) on slab pahtom-  upto 10 MeV</t>
  </si>
  <si>
    <t>(ii) Hp(3) on cylinderical pahtom-  upto 10 MeV</t>
  </si>
  <si>
    <t>(iv) Hp(0.07) on slab pahtom-  upto 10 MeV</t>
  </si>
  <si>
    <t>(v) Hp(0.07) on pillar pahtom-  upto 1.25 MeV</t>
  </si>
  <si>
    <t>(v) Hp(0.07) on rod pahtom-  upto 1.25 MeV</t>
  </si>
  <si>
    <t>(vi) Personal Dose (Hp) on slab pahtom-  upto 50 MeV</t>
  </si>
  <si>
    <t>(vii) Absorbed dose to eye lens (Dp, lens) on slab pahtom-  upto 50 MeV</t>
  </si>
  <si>
    <t>(viii) Absorbed dose to local skin (Dp, local skin) on slab pahtom-  upto 50 MeV</t>
  </si>
  <si>
    <t>(ix) Absorbed dose to local skin (Dp, local skin) on pillar pahtom-  upto 50 MeV</t>
  </si>
  <si>
    <t>(x) Absorbed dose to local skin (Dp, local skin) on rod pahtom-  upto 50 MeV</t>
  </si>
  <si>
    <t>(xii) H'(3)  -  upto 10 MeV</t>
  </si>
  <si>
    <t>(xiii) H*(10)  -  upto 10 MeV</t>
  </si>
  <si>
    <t>(xi) H'(0.07)  -  upto 1.25 MeV</t>
  </si>
  <si>
    <t>KermaCF(pGy cm2)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</si>
</sst>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"/>
    <numFmt numFmtId="166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0"/>
      <name val="Times New Roman"/>
      <family val="1"/>
    </font>
    <font>
      <b/>
      <sz val="12"/>
      <color theme="1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1"/>
      <name val="Times New Roman"/>
      <family val="1"/>
    </font>
    <font>
      <b/>
      <sz val="12"/>
      <color theme="1"/>
      <name val="Imprint MT Shadow"/>
      <family val="5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quotePrefix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13" borderId="0" xfId="0" applyFill="1"/>
    <xf numFmtId="0" fontId="0" fillId="13" borderId="0" xfId="0" applyFill="1" applyAlignment="1">
      <alignment vertical="top"/>
    </xf>
    <xf numFmtId="0" fontId="0" fillId="13" borderId="0" xfId="0" applyFill="1" applyAlignment="1">
      <alignment vertical="top" wrapText="1"/>
    </xf>
    <xf numFmtId="0" fontId="0" fillId="13" borderId="0" xfId="0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7" fillId="13" borderId="0" xfId="0" applyFont="1" applyFill="1" applyAlignment="1">
      <alignment horizontal="center" vertical="top"/>
    </xf>
    <xf numFmtId="0" fontId="3" fillId="15" borderId="0" xfId="0" applyFont="1" applyFill="1" applyAlignment="1">
      <alignment horizontal="center"/>
    </xf>
    <xf numFmtId="0" fontId="6" fillId="13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 wrapText="1"/>
    </xf>
    <xf numFmtId="0" fontId="5" fillId="13" borderId="0" xfId="0" applyFont="1" applyFill="1" applyAlignment="1">
      <alignment horizontal="left" vertical="top" wrapText="1"/>
    </xf>
    <xf numFmtId="0" fontId="4" fillId="13" borderId="0" xfId="0" applyFont="1" applyFill="1" applyAlignment="1">
      <alignment horizontal="center"/>
    </xf>
    <xf numFmtId="0" fontId="1" fillId="13" borderId="0" xfId="0" applyFont="1" applyFill="1" applyAlignment="1">
      <alignment horizontal="left" vertical="center" wrapText="1"/>
    </xf>
    <xf numFmtId="0" fontId="1" fillId="13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theme" Target="theme/theme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customXml" Target="../customXml/item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microsoft.com/office/2006/relationships/vbaProject" Target="vbaProject.bin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42359088675563E-2"/>
          <c:y val="5.0983289845367569E-2"/>
          <c:w val="0.8648912948381452"/>
          <c:h val="0.8416746864975212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/>
          </c:spPr>
          <c:marker>
            <c:symbol val="diamond"/>
            <c:size val="8"/>
            <c:spPr>
              <a:solidFill>
                <a:srgbClr val="FF0000"/>
              </a:solidFill>
              <a:ln>
                <a:noFill/>
              </a:ln>
              <a:effectLst/>
            </c:spPr>
          </c:marker>
          <c:xVal>
            <c:numRef>
              <c:f>Master!$I$12:$O$12</c:f>
              <c:numCache>
                <c:formatCode>0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45</c:v>
                </c:pt>
                <c:pt idx="4">
                  <c:v>60</c:v>
                </c:pt>
                <c:pt idx="5">
                  <c:v>75</c:v>
                </c:pt>
                <c:pt idx="6">
                  <c:v>90</c:v>
                </c:pt>
              </c:numCache>
            </c:numRef>
          </c:xVal>
          <c:yVal>
            <c:numRef>
              <c:f>Master!$I$13:$O$13</c:f>
              <c:numCache>
                <c:formatCode>0.00</c:formatCode>
                <c:ptCount val="7"/>
                <c:pt idx="0">
                  <c:v>1.2069748676533931</c:v>
                </c:pt>
                <c:pt idx="1">
                  <c:v>1.2069118642273133</c:v>
                </c:pt>
                <c:pt idx="2">
                  <c:v>1.2088124970849694</c:v>
                </c:pt>
                <c:pt idx="3">
                  <c:v>1.2141404638136799</c:v>
                </c:pt>
                <c:pt idx="4">
                  <c:v>1.2156364362688352</c:v>
                </c:pt>
                <c:pt idx="5">
                  <c:v>1.2043157756092864</c:v>
                </c:pt>
                <c:pt idx="6">
                  <c:v>1.1067982602407005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82-4C44-8ADD-5270B1D16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73151"/>
        <c:axId val="1767968159"/>
      </c:scatterChart>
      <c:valAx>
        <c:axId val="1767973151"/>
        <c:scaling>
          <c:orientation val="minMax"/>
          <c:max val="100"/>
          <c:min val="0"/>
        </c:scaling>
        <c:delete val="0"/>
        <c:axPos val="b"/>
        <c:majorGridlines>
          <c:spPr>
            <a:ln w="0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Angle (in 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68159"/>
        <c:crosses val="autoZero"/>
        <c:crossBetween val="midCat"/>
        <c:majorUnit val="15"/>
        <c:minorUnit val="5"/>
      </c:valAx>
      <c:valAx>
        <c:axId val="1767968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  <a:alpha val="75000"/>
                </a:schemeClr>
              </a:solidFill>
              <a:prstDash val="dash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Conversion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73151"/>
        <c:crosses val="autoZero"/>
        <c:crossBetween val="midCat"/>
      </c:valAx>
      <c:spPr>
        <a:noFill/>
        <a:ln>
          <a:solidFill>
            <a:schemeClr val="bg2">
              <a:lumMod val="90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15</xdr:row>
      <xdr:rowOff>9525</xdr:rowOff>
    </xdr:from>
    <xdr:to>
      <xdr:col>14</xdr:col>
      <xdr:colOff>695326</xdr:colOff>
      <xdr:row>31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11</xdr:row>
      <xdr:rowOff>0</xdr:rowOff>
    </xdr:from>
    <xdr:to>
      <xdr:col>5</xdr:col>
      <xdr:colOff>1866900</xdr:colOff>
      <xdr:row>12</xdr:row>
      <xdr:rowOff>9525</xdr:rowOff>
    </xdr:to>
    <xdr:sp macro="[0]!RecalculateWorkbook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76650" y="2095500"/>
          <a:ext cx="1866900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Calculate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3:P14"/>
  <sheetViews>
    <sheetView tabSelected="1" topLeftCell="C1" workbookViewId="0">
      <selection activeCell="I13" sqref="I13"/>
    </sheetView>
  </sheetViews>
  <sheetFormatPr defaultRowHeight="15" x14ac:dyDescent="0.25"/>
  <cols>
    <col min="1" max="4" width="9.140625" style="4"/>
    <col min="5" max="5" width="18.5703125" style="4" customWidth="1"/>
    <col min="6" max="6" width="28.85546875" style="4" customWidth="1"/>
    <col min="7" max="7" width="9.140625" style="4"/>
    <col min="8" max="8" width="33.28515625" style="4" customWidth="1"/>
    <col min="9" max="15" width="10.5703125" style="4" bestFit="1" customWidth="1"/>
    <col min="16" max="16384" width="9.140625" style="4"/>
  </cols>
  <sheetData>
    <row r="3" spans="5:16" x14ac:dyDescent="0.25">
      <c r="E3" s="42" t="s">
        <v>48</v>
      </c>
      <c r="F3" s="42"/>
    </row>
    <row r="4" spans="5:16" x14ac:dyDescent="0.25">
      <c r="E4" s="42"/>
      <c r="F4" s="42"/>
    </row>
    <row r="6" spans="5:16" x14ac:dyDescent="0.25">
      <c r="E6" s="21" t="s">
        <v>46</v>
      </c>
      <c r="F6" s="23" t="s">
        <v>131</v>
      </c>
    </row>
    <row r="7" spans="5:16" x14ac:dyDescent="0.25">
      <c r="E7" s="26" t="s">
        <v>50</v>
      </c>
      <c r="F7" s="27" t="s">
        <v>57</v>
      </c>
    </row>
    <row r="8" spans="5:16" x14ac:dyDescent="0.25">
      <c r="E8" s="20" t="s">
        <v>9</v>
      </c>
      <c r="F8" s="24" t="s">
        <v>57</v>
      </c>
    </row>
    <row r="9" spans="5:16" x14ac:dyDescent="0.25">
      <c r="E9" s="22" t="s">
        <v>140</v>
      </c>
      <c r="F9" s="25" t="s">
        <v>142</v>
      </c>
      <c r="G9" s="11"/>
    </row>
    <row r="10" spans="5:16" x14ac:dyDescent="0.25">
      <c r="E10" s="32" t="s">
        <v>8</v>
      </c>
      <c r="F10" s="31" t="s">
        <v>146</v>
      </c>
      <c r="H10" s="43" t="s">
        <v>14</v>
      </c>
      <c r="I10" s="44" t="s">
        <v>159</v>
      </c>
      <c r="J10" s="44"/>
      <c r="K10" s="44"/>
      <c r="L10" s="44"/>
      <c r="M10" s="44"/>
      <c r="N10" s="44"/>
      <c r="O10" s="44"/>
    </row>
    <row r="11" spans="5:16" ht="15" customHeight="1" x14ac:dyDescent="0.25">
      <c r="H11" s="43"/>
      <c r="I11" s="41" t="s">
        <v>164</v>
      </c>
      <c r="J11" s="41"/>
      <c r="K11" s="41"/>
      <c r="L11" s="41"/>
      <c r="M11" s="41"/>
      <c r="N11" s="41"/>
      <c r="O11" s="41"/>
    </row>
    <row r="12" spans="5:16" x14ac:dyDescent="0.25">
      <c r="H12" s="43"/>
      <c r="I12" s="12">
        <v>0</v>
      </c>
      <c r="J12" s="12">
        <v>15</v>
      </c>
      <c r="K12" s="12">
        <v>30</v>
      </c>
      <c r="L12" s="12">
        <v>45</v>
      </c>
      <c r="M12" s="12">
        <v>60</v>
      </c>
      <c r="N12" s="12">
        <v>75</v>
      </c>
      <c r="O12" s="12">
        <v>90</v>
      </c>
    </row>
    <row r="13" spans="5:16" x14ac:dyDescent="0.25">
      <c r="H13" s="4" t="str">
        <f>F10</f>
        <v>Hp(3)_Cylinder_Phantom</v>
      </c>
      <c r="I13" s="16">
        <f ca="1">IF(Calculations!J1031=0,"",Calculations!J1031)</f>
        <v>1.2069748676533931</v>
      </c>
      <c r="J13" s="16">
        <f ca="1">IF(Calculations!K1031=0,"",Calculations!K1031)</f>
        <v>1.2069118642273133</v>
      </c>
      <c r="K13" s="16">
        <f ca="1">IF(Calculations!L1031=0,"",Calculations!L1031)</f>
        <v>1.2088124970849694</v>
      </c>
      <c r="L13" s="16">
        <f ca="1">IF(Calculations!M1031=0,"",Calculations!M1031)</f>
        <v>1.2141404638136799</v>
      </c>
      <c r="M13" s="16">
        <f ca="1">IF(Calculations!N1031=0,"",Calculations!N1031)</f>
        <v>1.2156364362688352</v>
      </c>
      <c r="N13" s="16">
        <f ca="1">IF(Calculations!O1031=0,"",Calculations!O1031)</f>
        <v>1.2043157756092864</v>
      </c>
      <c r="O13" s="16">
        <f ca="1">IF(Calculations!P1031=0,"",Calculations!P1031)</f>
        <v>1.1067982602407005</v>
      </c>
      <c r="P13" s="10"/>
    </row>
    <row r="14" spans="5:16" ht="31.5" customHeight="1" x14ac:dyDescent="0.25"/>
  </sheetData>
  <dataConsolidate/>
  <mergeCells count="4">
    <mergeCell ref="I11:O11"/>
    <mergeCell ref="E3:F4"/>
    <mergeCell ref="H10:H12"/>
    <mergeCell ref="I10:O10"/>
  </mergeCells>
  <dataValidations count="6">
    <dataValidation type="list" allowBlank="1" showInputMessage="1" showErrorMessage="1" sqref="F6" xr:uid="{00000000-0002-0000-0000-000000000000}">
      <formula1>Distance</formula1>
    </dataValidation>
    <dataValidation type="list" allowBlank="1" showInputMessage="1" showErrorMessage="1" promptTitle="ISO" sqref="F9" xr:uid="{00000000-0002-0000-0000-000001000000}">
      <formula1>Dosimetry</formula1>
    </dataValidation>
    <dataValidation type="list" allowBlank="1" showInputMessage="1" showErrorMessage="1" sqref="F7" xr:uid="{00000000-0002-0000-0000-000002000000}">
      <formula1>INDIRECT($F$6)</formula1>
    </dataValidation>
    <dataValidation type="list" allowBlank="1" showInputMessage="1" showErrorMessage="1" sqref="F8" xr:uid="{00000000-0002-0000-0000-000003000000}">
      <formula1>INDIRECT($F$7)</formula1>
    </dataValidation>
    <dataValidation allowBlank="1" showInputMessage="1" showErrorMessage="1" promptTitle="ISO" sqref="G3:I8 G9:G10 I9:I10 H9" xr:uid="{00000000-0002-0000-0000-000004000000}"/>
    <dataValidation type="list" allowBlank="1" showInputMessage="1" showErrorMessage="1" sqref="F10" xr:uid="{00000000-0002-0000-0000-000005000000}">
      <formula1>INDIRECT($F$9)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51"/>
  <sheetViews>
    <sheetView topLeftCell="A72" workbookViewId="0">
      <selection activeCell="B92" sqref="B92"/>
    </sheetView>
  </sheetViews>
  <sheetFormatPr defaultRowHeight="15" x14ac:dyDescent="0.25"/>
  <cols>
    <col min="1" max="1" width="22.140625" style="16" customWidth="1"/>
    <col min="2" max="2" width="23.140625" style="4" customWidth="1"/>
    <col min="3" max="16384" width="9.140625" style="4"/>
  </cols>
  <sheetData>
    <row r="1" spans="1:24" x14ac:dyDescent="0.25">
      <c r="A1" s="15" t="s">
        <v>17</v>
      </c>
      <c r="B1" s="3" t="s">
        <v>18</v>
      </c>
    </row>
    <row r="2" spans="1:24" ht="15.75" x14ac:dyDescent="0.25">
      <c r="A2" s="13">
        <v>15.625</v>
      </c>
      <c r="B2" s="14">
        <v>4.7500000000000003E-9</v>
      </c>
      <c r="K2" s="47" t="s">
        <v>186</v>
      </c>
      <c r="L2" s="47"/>
      <c r="M2" s="47"/>
      <c r="N2" s="47"/>
      <c r="O2" s="47"/>
      <c r="P2" s="47"/>
    </row>
    <row r="3" spans="1:24" ht="15.75" x14ac:dyDescent="0.25">
      <c r="A3" s="13">
        <v>46.875</v>
      </c>
      <c r="B3" s="14">
        <v>4.6999999999999999E-9</v>
      </c>
      <c r="G3" s="46" t="s">
        <v>185</v>
      </c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</row>
    <row r="4" spans="1:24" ht="15.75" x14ac:dyDescent="0.25">
      <c r="A4" s="13">
        <v>78.125</v>
      </c>
      <c r="B4" s="14">
        <v>3.77E-8</v>
      </c>
      <c r="G4" s="46" t="s">
        <v>184</v>
      </c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</row>
    <row r="5" spans="1:24" ht="15.75" x14ac:dyDescent="0.25">
      <c r="A5" s="13">
        <v>109.375</v>
      </c>
      <c r="B5" s="14">
        <v>1.5099999999999999E-7</v>
      </c>
      <c r="G5" s="46" t="s">
        <v>187</v>
      </c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</row>
    <row r="6" spans="1:24" ht="15" customHeight="1" x14ac:dyDescent="0.25">
      <c r="A6" s="13">
        <v>140.65</v>
      </c>
      <c r="B6" s="14">
        <v>3.3400000000000001E-8</v>
      </c>
      <c r="G6" s="40"/>
      <c r="H6" s="40"/>
      <c r="I6" s="40"/>
      <c r="J6" s="40"/>
      <c r="K6" s="40"/>
      <c r="L6" s="40"/>
      <c r="M6" s="45" t="s">
        <v>188</v>
      </c>
      <c r="N6" s="45"/>
      <c r="O6" s="45"/>
      <c r="P6" s="45"/>
      <c r="Q6" s="45"/>
      <c r="R6" s="45"/>
      <c r="S6" s="45"/>
      <c r="T6" s="45"/>
      <c r="U6" s="45"/>
      <c r="V6" s="30"/>
      <c r="W6" s="30"/>
      <c r="X6" s="30"/>
    </row>
    <row r="7" spans="1:24" x14ac:dyDescent="0.25">
      <c r="A7" s="13">
        <v>171.9</v>
      </c>
      <c r="B7" s="14">
        <v>3.6099999999999999E-8</v>
      </c>
      <c r="G7" s="40"/>
      <c r="H7" s="40"/>
      <c r="I7" s="40"/>
      <c r="J7" s="40"/>
      <c r="K7" s="40"/>
      <c r="L7" s="40"/>
      <c r="M7" s="45" t="s">
        <v>189</v>
      </c>
      <c r="N7" s="45"/>
      <c r="O7" s="45"/>
      <c r="P7" s="45"/>
      <c r="Q7" s="45"/>
      <c r="R7" s="45"/>
      <c r="S7" s="45"/>
      <c r="T7" s="45"/>
      <c r="U7" s="45"/>
    </row>
    <row r="8" spans="1:24" x14ac:dyDescent="0.25">
      <c r="A8" s="13">
        <v>203.15</v>
      </c>
      <c r="B8" s="14">
        <v>4.43E-8</v>
      </c>
      <c r="G8" s="40"/>
      <c r="H8" s="40"/>
      <c r="I8" s="40"/>
      <c r="J8" s="40"/>
      <c r="K8" s="40"/>
      <c r="L8" s="40"/>
      <c r="M8" s="45" t="s">
        <v>190</v>
      </c>
      <c r="N8" s="45"/>
      <c r="O8" s="45"/>
      <c r="P8" s="45"/>
      <c r="Q8" s="45"/>
      <c r="R8" s="45"/>
      <c r="S8" s="45"/>
      <c r="T8" s="45"/>
      <c r="U8" s="45"/>
    </row>
    <row r="9" spans="1:24" x14ac:dyDescent="0.25">
      <c r="A9" s="13">
        <v>234.4</v>
      </c>
      <c r="B9" s="14">
        <v>4.6800000000000002E-8</v>
      </c>
      <c r="G9" s="40"/>
      <c r="H9" s="40"/>
      <c r="I9" s="40"/>
      <c r="J9" s="40"/>
      <c r="K9" s="40"/>
      <c r="L9" s="40"/>
      <c r="M9" s="45" t="s">
        <v>191</v>
      </c>
      <c r="N9" s="45"/>
      <c r="O9" s="45"/>
      <c r="P9" s="45"/>
      <c r="Q9" s="45"/>
      <c r="R9" s="45"/>
      <c r="S9" s="45"/>
      <c r="T9" s="45"/>
      <c r="U9" s="45"/>
    </row>
    <row r="10" spans="1:24" x14ac:dyDescent="0.25">
      <c r="A10" s="13">
        <v>265.64999999999998</v>
      </c>
      <c r="B10" s="14">
        <v>5.6400000000000002E-8</v>
      </c>
      <c r="G10" s="40"/>
      <c r="H10" s="40"/>
      <c r="I10" s="40"/>
      <c r="J10" s="40"/>
      <c r="K10" s="40"/>
      <c r="L10" s="40"/>
      <c r="M10" s="45" t="s">
        <v>192</v>
      </c>
      <c r="N10" s="45"/>
      <c r="O10" s="45"/>
      <c r="P10" s="45"/>
      <c r="Q10" s="45"/>
      <c r="R10" s="45"/>
      <c r="S10" s="45"/>
      <c r="T10" s="45"/>
      <c r="U10" s="45"/>
    </row>
    <row r="11" spans="1:24" x14ac:dyDescent="0.25">
      <c r="A11" s="13">
        <v>296.89999999999998</v>
      </c>
      <c r="B11" s="14">
        <v>5.7299999999999997E-8</v>
      </c>
      <c r="G11" s="40"/>
      <c r="H11" s="40"/>
      <c r="I11" s="40"/>
      <c r="J11" s="40"/>
      <c r="K11" s="40"/>
      <c r="L11" s="40"/>
      <c r="M11" s="45" t="s">
        <v>193</v>
      </c>
      <c r="N11" s="45"/>
      <c r="O11" s="45"/>
      <c r="P11" s="45"/>
      <c r="Q11" s="45"/>
      <c r="R11" s="45"/>
      <c r="S11" s="45"/>
      <c r="T11" s="45"/>
      <c r="U11" s="45"/>
    </row>
    <row r="12" spans="1:24" x14ac:dyDescent="0.25">
      <c r="A12" s="13">
        <v>328.15</v>
      </c>
      <c r="B12" s="14">
        <v>5.9200000000000001E-8</v>
      </c>
      <c r="G12" s="40"/>
      <c r="H12" s="40"/>
      <c r="I12" s="40"/>
      <c r="J12" s="40"/>
      <c r="K12" s="40"/>
      <c r="L12" s="40"/>
      <c r="M12" s="45" t="s">
        <v>194</v>
      </c>
      <c r="N12" s="45"/>
      <c r="O12" s="45"/>
      <c r="P12" s="45"/>
      <c r="Q12" s="45"/>
      <c r="R12" s="45"/>
      <c r="S12" s="45"/>
      <c r="T12" s="45"/>
      <c r="U12" s="45"/>
    </row>
    <row r="13" spans="1:24" x14ac:dyDescent="0.25">
      <c r="A13" s="13">
        <v>359.4</v>
      </c>
      <c r="B13" s="14">
        <v>5.9699999999999999E-8</v>
      </c>
      <c r="G13" s="40"/>
      <c r="H13" s="40"/>
      <c r="I13" s="40"/>
      <c r="J13" s="40"/>
      <c r="K13" s="40"/>
      <c r="L13" s="40"/>
      <c r="M13" s="45" t="s">
        <v>195</v>
      </c>
      <c r="N13" s="45"/>
      <c r="O13" s="45"/>
      <c r="P13" s="45"/>
      <c r="Q13" s="45"/>
      <c r="R13" s="45"/>
      <c r="S13" s="45"/>
      <c r="T13" s="45"/>
      <c r="U13" s="45"/>
    </row>
    <row r="14" spans="1:24" x14ac:dyDescent="0.25">
      <c r="A14" s="13">
        <v>390.65</v>
      </c>
      <c r="B14" s="14">
        <v>6.2600000000000005E-8</v>
      </c>
      <c r="G14" s="40"/>
      <c r="H14" s="40"/>
      <c r="I14" s="40"/>
      <c r="J14" s="40"/>
      <c r="K14" s="40"/>
      <c r="L14" s="40"/>
      <c r="M14" s="45" t="s">
        <v>196</v>
      </c>
      <c r="N14" s="45"/>
      <c r="O14" s="45"/>
      <c r="P14" s="45"/>
      <c r="Q14" s="45"/>
      <c r="R14" s="45"/>
      <c r="S14" s="45"/>
      <c r="T14" s="45"/>
      <c r="U14" s="45"/>
    </row>
    <row r="15" spans="1:24" x14ac:dyDescent="0.25">
      <c r="A15" s="13">
        <v>421.9</v>
      </c>
      <c r="B15" s="14">
        <v>5.62E-8</v>
      </c>
      <c r="G15" s="40"/>
      <c r="H15" s="40"/>
      <c r="I15" s="40"/>
      <c r="J15" s="40"/>
      <c r="K15" s="40"/>
      <c r="L15" s="40"/>
      <c r="M15" s="45" t="s">
        <v>197</v>
      </c>
      <c r="N15" s="45"/>
      <c r="O15" s="45"/>
      <c r="P15" s="45"/>
      <c r="Q15" s="45"/>
      <c r="R15" s="45"/>
      <c r="S15" s="45"/>
      <c r="T15" s="45"/>
      <c r="U15" s="45"/>
    </row>
    <row r="16" spans="1:24" x14ac:dyDescent="0.25">
      <c r="A16" s="13">
        <v>453.15</v>
      </c>
      <c r="B16" s="14">
        <v>5.2100000000000003E-8</v>
      </c>
      <c r="G16" s="40"/>
      <c r="H16" s="40"/>
      <c r="I16" s="40"/>
      <c r="J16" s="40"/>
      <c r="K16" s="40"/>
      <c r="L16" s="40"/>
      <c r="M16" s="45" t="s">
        <v>200</v>
      </c>
      <c r="N16" s="45"/>
      <c r="O16" s="45"/>
      <c r="P16" s="45"/>
      <c r="Q16" s="45"/>
      <c r="R16" s="45"/>
      <c r="S16" s="45"/>
      <c r="T16" s="45"/>
      <c r="U16" s="45"/>
    </row>
    <row r="17" spans="1:21" x14ac:dyDescent="0.25">
      <c r="A17" s="13">
        <v>484.4</v>
      </c>
      <c r="B17" s="14">
        <v>4.73E-8</v>
      </c>
      <c r="G17" s="40"/>
      <c r="H17" s="40"/>
      <c r="I17" s="40"/>
      <c r="J17" s="40"/>
      <c r="K17" s="40"/>
      <c r="L17" s="40"/>
      <c r="M17" s="45" t="s">
        <v>198</v>
      </c>
      <c r="N17" s="45"/>
      <c r="O17" s="45"/>
      <c r="P17" s="45"/>
      <c r="Q17" s="45"/>
      <c r="R17" s="45"/>
      <c r="S17" s="45"/>
      <c r="T17" s="45"/>
      <c r="U17" s="45"/>
    </row>
    <row r="18" spans="1:21" x14ac:dyDescent="0.25">
      <c r="A18" s="13">
        <v>515.65</v>
      </c>
      <c r="B18" s="14">
        <v>4.8100000000000001E-8</v>
      </c>
      <c r="G18" s="40"/>
      <c r="H18" s="40"/>
      <c r="I18" s="40"/>
      <c r="J18" s="40"/>
      <c r="K18" s="40"/>
      <c r="L18" s="40"/>
      <c r="M18" s="45" t="s">
        <v>199</v>
      </c>
      <c r="N18" s="45"/>
      <c r="O18" s="45"/>
      <c r="P18" s="45"/>
      <c r="Q18" s="45"/>
      <c r="R18" s="45"/>
      <c r="S18" s="45"/>
      <c r="T18" s="45"/>
      <c r="U18" s="45"/>
    </row>
    <row r="19" spans="1:21" x14ac:dyDescent="0.25">
      <c r="A19" s="13">
        <v>546.9</v>
      </c>
      <c r="B19" s="14">
        <v>4.4799999999999997E-8</v>
      </c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</row>
    <row r="20" spans="1:21" x14ac:dyDescent="0.25">
      <c r="A20" s="13">
        <v>578.15</v>
      </c>
      <c r="B20" s="14">
        <v>4.3499999999999999E-8</v>
      </c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</row>
    <row r="21" spans="1:21" x14ac:dyDescent="0.25">
      <c r="A21" s="13">
        <v>609.4</v>
      </c>
      <c r="B21" s="14">
        <v>3.9699999999999998E-8</v>
      </c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</row>
    <row r="22" spans="1:21" x14ac:dyDescent="0.25">
      <c r="A22" s="13">
        <v>640.65</v>
      </c>
      <c r="B22" s="14">
        <v>4.1600000000000002E-8</v>
      </c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</row>
    <row r="23" spans="1:21" x14ac:dyDescent="0.25">
      <c r="A23" s="13">
        <v>671.9</v>
      </c>
      <c r="B23" s="14">
        <v>3.8500000000000001E-8</v>
      </c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</row>
    <row r="24" spans="1:21" x14ac:dyDescent="0.25">
      <c r="A24" s="13">
        <v>703.15</v>
      </c>
      <c r="B24" s="14">
        <v>2.6400000000000001E-8</v>
      </c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</row>
    <row r="25" spans="1:21" x14ac:dyDescent="0.25">
      <c r="A25" s="13">
        <v>734.4</v>
      </c>
      <c r="B25" s="14">
        <v>2.9900000000000003E-8</v>
      </c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</row>
    <row r="26" spans="1:21" x14ac:dyDescent="0.25">
      <c r="A26" s="13">
        <v>765.65</v>
      </c>
      <c r="B26" s="14">
        <v>2.8900000000000001E-8</v>
      </c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</row>
    <row r="27" spans="1:21" x14ac:dyDescent="0.25">
      <c r="A27" s="13">
        <v>796.9</v>
      </c>
      <c r="B27" s="14">
        <v>2.3199999999999999E-8</v>
      </c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</row>
    <row r="28" spans="1:21" x14ac:dyDescent="0.25">
      <c r="A28" s="13">
        <v>828.15</v>
      </c>
      <c r="B28" s="14">
        <v>2.3400000000000001E-8</v>
      </c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</row>
    <row r="29" spans="1:21" x14ac:dyDescent="0.25">
      <c r="A29" s="13">
        <v>859.4</v>
      </c>
      <c r="B29" s="14">
        <v>1.9300000000000001E-8</v>
      </c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</row>
    <row r="30" spans="1:21" x14ac:dyDescent="0.25">
      <c r="A30" s="13">
        <v>890.65</v>
      </c>
      <c r="B30" s="14">
        <v>1.96E-8</v>
      </c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</row>
    <row r="31" spans="1:21" x14ac:dyDescent="0.25">
      <c r="A31" s="13">
        <v>921.9</v>
      </c>
      <c r="B31" s="14">
        <v>1.13E-8</v>
      </c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</row>
    <row r="32" spans="1:21" x14ac:dyDescent="0.25">
      <c r="A32" s="13">
        <v>953.15</v>
      </c>
      <c r="B32" s="14">
        <v>1.5700000000000002E-8</v>
      </c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</row>
    <row r="33" spans="1:21" x14ac:dyDescent="0.25">
      <c r="A33" s="13">
        <v>984.4</v>
      </c>
      <c r="B33" s="14">
        <v>1.7800000000000001E-8</v>
      </c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</row>
    <row r="34" spans="1:21" x14ac:dyDescent="0.25">
      <c r="A34" s="13">
        <v>1015.5</v>
      </c>
      <c r="B34" s="14">
        <v>1.0099999999999999E-8</v>
      </c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</row>
    <row r="35" spans="1:21" x14ac:dyDescent="0.25">
      <c r="A35" s="13">
        <v>1047</v>
      </c>
      <c r="B35" s="14">
        <v>1.15E-8</v>
      </c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</row>
    <row r="36" spans="1:21" x14ac:dyDescent="0.25">
      <c r="A36" s="13">
        <v>1078.5</v>
      </c>
      <c r="B36" s="14">
        <v>1.05E-8</v>
      </c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</row>
    <row r="37" spans="1:21" x14ac:dyDescent="0.25">
      <c r="A37" s="13">
        <v>1109.5</v>
      </c>
      <c r="B37" s="14">
        <v>7.6000000000000002E-9</v>
      </c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</row>
    <row r="38" spans="1:21" x14ac:dyDescent="0.25">
      <c r="A38" s="13">
        <v>1140.5</v>
      </c>
      <c r="B38" s="14">
        <v>5.4899999999999999E-9</v>
      </c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</row>
    <row r="39" spans="1:21" x14ac:dyDescent="0.25">
      <c r="A39" s="13">
        <v>1172</v>
      </c>
      <c r="B39" s="14">
        <v>6.2799999999999998E-9</v>
      </c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</row>
    <row r="40" spans="1:21" x14ac:dyDescent="0.25">
      <c r="A40" s="13">
        <v>1203.5</v>
      </c>
      <c r="B40" s="14">
        <v>5.2000000000000002E-9</v>
      </c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</row>
    <row r="41" spans="1:21" x14ac:dyDescent="0.25">
      <c r="A41" s="13">
        <v>1234.5</v>
      </c>
      <c r="B41" s="14">
        <v>7.54E-9</v>
      </c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</row>
    <row r="42" spans="1:21" x14ac:dyDescent="0.25">
      <c r="A42" s="13">
        <v>1265.5</v>
      </c>
      <c r="B42" s="14">
        <v>3.2000000000000001E-9</v>
      </c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</row>
    <row r="43" spans="1:21" x14ac:dyDescent="0.25">
      <c r="A43" s="13">
        <v>1297</v>
      </c>
      <c r="B43" s="14">
        <v>3E-9</v>
      </c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</row>
    <row r="44" spans="1:21" x14ac:dyDescent="0.25">
      <c r="A44" s="13">
        <v>1328.5</v>
      </c>
      <c r="B44" s="14">
        <v>2.5000000000000001E-9</v>
      </c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</row>
    <row r="45" spans="1:21" x14ac:dyDescent="0.25">
      <c r="A45" s="13">
        <v>1359.5</v>
      </c>
      <c r="B45" s="14">
        <v>3.8199999999999996E-9</v>
      </c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</row>
    <row r="46" spans="1:21" x14ac:dyDescent="0.25">
      <c r="A46" s="13">
        <v>1390.5</v>
      </c>
      <c r="B46" s="14">
        <v>1.81E-9</v>
      </c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</row>
    <row r="47" spans="1:21" x14ac:dyDescent="0.25">
      <c r="A47" s="13">
        <v>1422</v>
      </c>
      <c r="B47" s="14">
        <v>1.32E-9</v>
      </c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</row>
    <row r="48" spans="1:21" x14ac:dyDescent="0.25">
      <c r="A48" s="13">
        <v>1453.5</v>
      </c>
      <c r="B48" s="14">
        <v>1.33E-9</v>
      </c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</row>
    <row r="49" spans="1:21" x14ac:dyDescent="0.25">
      <c r="A49" s="13">
        <v>1484.5</v>
      </c>
      <c r="B49" s="14">
        <v>5.4099999999999999E-10</v>
      </c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</row>
    <row r="50" spans="1:21" x14ac:dyDescent="0.25">
      <c r="A50" s="13">
        <v>1515.5</v>
      </c>
      <c r="B50" s="14">
        <v>1.5900000000000001E-9</v>
      </c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</row>
    <row r="51" spans="1:21" x14ac:dyDescent="0.25">
      <c r="A51" s="13">
        <v>1547</v>
      </c>
      <c r="B51" s="14">
        <v>1.4200000000000001E-9</v>
      </c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</row>
    <row r="52" spans="1:21" x14ac:dyDescent="0.25">
      <c r="A52" s="13">
        <v>1578.5</v>
      </c>
      <c r="B52" s="14">
        <v>1.7599999999999999E-9</v>
      </c>
      <c r="G52" s="35"/>
      <c r="H52" s="36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</row>
    <row r="53" spans="1:21" x14ac:dyDescent="0.25">
      <c r="A53" s="13">
        <v>1609.5</v>
      </c>
      <c r="B53" s="14">
        <v>1.37E-9</v>
      </c>
      <c r="H53" s="14"/>
    </row>
    <row r="54" spans="1:21" x14ac:dyDescent="0.25">
      <c r="A54" s="13">
        <v>1640.5</v>
      </c>
      <c r="B54" s="14">
        <v>8.1699999999999997E-10</v>
      </c>
      <c r="H54" s="14"/>
    </row>
    <row r="55" spans="1:21" x14ac:dyDescent="0.25">
      <c r="A55" s="13">
        <v>1672</v>
      </c>
      <c r="B55" s="14">
        <v>5.7599999999999998E-10</v>
      </c>
      <c r="H55" s="14"/>
    </row>
    <row r="56" spans="1:21" x14ac:dyDescent="0.25">
      <c r="A56" s="13">
        <v>1703.5</v>
      </c>
      <c r="B56" s="14">
        <v>0</v>
      </c>
      <c r="H56" s="14"/>
    </row>
    <row r="57" spans="1:21" x14ac:dyDescent="0.25">
      <c r="A57" s="13">
        <v>1734.5</v>
      </c>
      <c r="B57" s="14">
        <v>2.8699999999999999E-10</v>
      </c>
      <c r="H57" s="14"/>
    </row>
    <row r="58" spans="1:21" x14ac:dyDescent="0.25">
      <c r="A58" s="13">
        <v>1765.5</v>
      </c>
      <c r="B58" s="14">
        <v>4.9800000000000004E-10</v>
      </c>
      <c r="H58" s="14"/>
    </row>
    <row r="59" spans="1:21" x14ac:dyDescent="0.25">
      <c r="A59" s="13">
        <v>1797</v>
      </c>
      <c r="B59" s="14">
        <v>8.0200000000000002E-10</v>
      </c>
      <c r="H59" s="14"/>
    </row>
    <row r="60" spans="1:21" x14ac:dyDescent="0.25">
      <c r="A60" s="13">
        <v>1828.5</v>
      </c>
      <c r="B60" s="14">
        <v>2.5300000000000001E-10</v>
      </c>
      <c r="H60" s="14"/>
    </row>
    <row r="61" spans="1:21" x14ac:dyDescent="0.25">
      <c r="A61" s="13">
        <v>1859.5</v>
      </c>
      <c r="B61" s="14">
        <v>0</v>
      </c>
      <c r="H61" s="14"/>
    </row>
    <row r="62" spans="1:21" x14ac:dyDescent="0.25">
      <c r="A62" s="13">
        <v>1890.5</v>
      </c>
      <c r="B62" s="14">
        <v>2.8200000000000001E-10</v>
      </c>
      <c r="H62" s="14"/>
    </row>
    <row r="63" spans="1:21" x14ac:dyDescent="0.25">
      <c r="A63" s="13">
        <v>1922</v>
      </c>
      <c r="B63" s="14">
        <v>3.3800000000000002E-10</v>
      </c>
      <c r="H63" s="14"/>
    </row>
    <row r="64" spans="1:21" x14ac:dyDescent="0.25">
      <c r="A64" s="13">
        <v>1953.5</v>
      </c>
      <c r="B64" s="14">
        <v>0</v>
      </c>
      <c r="H64" s="14"/>
    </row>
    <row r="65" spans="1:8" x14ac:dyDescent="0.25">
      <c r="A65" s="13">
        <v>1984.5</v>
      </c>
      <c r="B65" s="14">
        <v>0</v>
      </c>
      <c r="H65" s="14"/>
    </row>
    <row r="66" spans="1:8" x14ac:dyDescent="0.25">
      <c r="A66" s="13">
        <v>2015.5</v>
      </c>
      <c r="B66" s="14">
        <v>0</v>
      </c>
      <c r="H66" s="14"/>
    </row>
    <row r="67" spans="1:8" x14ac:dyDescent="0.25">
      <c r="A67" s="13">
        <v>2046.5</v>
      </c>
      <c r="B67" s="14">
        <v>0</v>
      </c>
      <c r="H67" s="14"/>
    </row>
    <row r="68" spans="1:8" x14ac:dyDescent="0.25">
      <c r="A68" s="13">
        <v>2078</v>
      </c>
      <c r="B68" s="14">
        <v>0</v>
      </c>
      <c r="H68" s="14"/>
    </row>
    <row r="69" spans="1:8" x14ac:dyDescent="0.25">
      <c r="A69" s="13">
        <v>2109.5</v>
      </c>
      <c r="B69" s="14">
        <v>0</v>
      </c>
      <c r="H69" s="14"/>
    </row>
    <row r="70" spans="1:8" x14ac:dyDescent="0.25">
      <c r="A70" s="13">
        <v>2140.5</v>
      </c>
      <c r="B70" s="14">
        <v>0</v>
      </c>
      <c r="H70" s="14"/>
    </row>
    <row r="71" spans="1:8" x14ac:dyDescent="0.25">
      <c r="A71" s="13">
        <v>2172</v>
      </c>
      <c r="B71" s="14">
        <v>0</v>
      </c>
      <c r="H71" s="14"/>
    </row>
    <row r="72" spans="1:8" x14ac:dyDescent="0.25">
      <c r="A72" s="13">
        <v>2203.5</v>
      </c>
      <c r="B72" s="14">
        <v>0</v>
      </c>
      <c r="H72" s="14"/>
    </row>
    <row r="73" spans="1:8" x14ac:dyDescent="0.25">
      <c r="A73" s="13">
        <v>2234.5</v>
      </c>
      <c r="B73" s="14">
        <v>0</v>
      </c>
      <c r="H73" s="14"/>
    </row>
    <row r="74" spans="1:8" x14ac:dyDescent="0.25">
      <c r="A74" s="13">
        <v>2265.5</v>
      </c>
      <c r="B74" s="14">
        <v>0</v>
      </c>
      <c r="H74" s="14"/>
    </row>
    <row r="75" spans="1:8" x14ac:dyDescent="0.25">
      <c r="A75" s="13">
        <v>2297</v>
      </c>
      <c r="B75" s="14">
        <v>0</v>
      </c>
      <c r="H75" s="14"/>
    </row>
    <row r="76" spans="1:8" x14ac:dyDescent="0.25">
      <c r="A76" s="13">
        <v>2328.5</v>
      </c>
      <c r="B76" s="14">
        <v>0</v>
      </c>
      <c r="H76" s="14"/>
    </row>
    <row r="77" spans="1:8" x14ac:dyDescent="0.25">
      <c r="A77" s="13">
        <v>2359.5</v>
      </c>
      <c r="B77" s="14">
        <v>0</v>
      </c>
      <c r="H77" s="14"/>
    </row>
    <row r="78" spans="1:8" x14ac:dyDescent="0.25">
      <c r="A78" s="13">
        <v>2390.5</v>
      </c>
      <c r="B78" s="14">
        <v>0</v>
      </c>
      <c r="H78" s="14"/>
    </row>
    <row r="79" spans="1:8" x14ac:dyDescent="0.25">
      <c r="A79" s="13">
        <v>2422</v>
      </c>
      <c r="B79" s="14">
        <v>0</v>
      </c>
      <c r="H79" s="14"/>
    </row>
    <row r="80" spans="1:8" x14ac:dyDescent="0.25">
      <c r="A80" s="13">
        <v>2453.5</v>
      </c>
      <c r="B80" s="14">
        <v>0</v>
      </c>
      <c r="H80" s="14"/>
    </row>
    <row r="81" spans="1:8" x14ac:dyDescent="0.25">
      <c r="A81" s="13">
        <v>2484.5</v>
      </c>
      <c r="B81" s="14">
        <v>0</v>
      </c>
      <c r="H81" s="14"/>
    </row>
    <row r="82" spans="1:8" x14ac:dyDescent="0.25">
      <c r="A82" s="13"/>
      <c r="B82" s="14"/>
      <c r="H82" s="14"/>
    </row>
    <row r="83" spans="1:8" x14ac:dyDescent="0.25">
      <c r="A83" s="13"/>
      <c r="B83" s="14"/>
      <c r="H83" s="14"/>
    </row>
    <row r="84" spans="1:8" x14ac:dyDescent="0.25">
      <c r="A84" s="13"/>
      <c r="B84" s="14"/>
      <c r="H84" s="14"/>
    </row>
    <row r="85" spans="1:8" x14ac:dyDescent="0.25">
      <c r="A85" s="13"/>
      <c r="B85" s="14"/>
      <c r="H85" s="14"/>
    </row>
    <row r="86" spans="1:8" x14ac:dyDescent="0.25">
      <c r="A86" s="13"/>
      <c r="B86" s="14"/>
      <c r="H86" s="14"/>
    </row>
    <row r="87" spans="1:8" x14ac:dyDescent="0.25">
      <c r="A87" s="13"/>
      <c r="B87" s="14"/>
      <c r="H87" s="14"/>
    </row>
    <row r="88" spans="1:8" x14ac:dyDescent="0.25">
      <c r="A88" s="13"/>
      <c r="B88" s="14"/>
      <c r="H88" s="14"/>
    </row>
    <row r="89" spans="1:8" x14ac:dyDescent="0.25">
      <c r="A89" s="13"/>
      <c r="B89" s="14"/>
      <c r="H89" s="14"/>
    </row>
    <row r="90" spans="1:8" x14ac:dyDescent="0.25">
      <c r="A90" s="13"/>
      <c r="B90" s="14"/>
      <c r="H90" s="14"/>
    </row>
    <row r="91" spans="1:8" x14ac:dyDescent="0.25">
      <c r="A91" s="13"/>
      <c r="B91" s="14"/>
      <c r="H91" s="14"/>
    </row>
    <row r="92" spans="1:8" x14ac:dyDescent="0.25">
      <c r="A92" s="13"/>
      <c r="B92" s="14"/>
      <c r="H92" s="14"/>
    </row>
    <row r="93" spans="1:8" x14ac:dyDescent="0.25">
      <c r="A93" s="13"/>
      <c r="B93" s="14"/>
      <c r="H93" s="14"/>
    </row>
    <row r="94" spans="1:8" x14ac:dyDescent="0.25">
      <c r="A94" s="13"/>
      <c r="B94" s="14"/>
      <c r="H94" s="14"/>
    </row>
    <row r="95" spans="1:8" x14ac:dyDescent="0.25">
      <c r="A95" s="13"/>
      <c r="B95" s="14"/>
      <c r="H95" s="14"/>
    </row>
    <row r="96" spans="1:8" x14ac:dyDescent="0.25">
      <c r="A96" s="13"/>
      <c r="B96" s="14"/>
      <c r="H96" s="14"/>
    </row>
    <row r="97" spans="1:8" x14ac:dyDescent="0.25">
      <c r="A97" s="13"/>
      <c r="B97" s="14"/>
      <c r="H97" s="14"/>
    </row>
    <row r="98" spans="1:8" x14ac:dyDescent="0.25">
      <c r="A98" s="13"/>
      <c r="B98" s="14"/>
      <c r="H98" s="14"/>
    </row>
    <row r="99" spans="1:8" x14ac:dyDescent="0.25">
      <c r="A99" s="13"/>
      <c r="B99" s="14"/>
      <c r="H99" s="14"/>
    </row>
    <row r="100" spans="1:8" x14ac:dyDescent="0.25">
      <c r="A100" s="13"/>
      <c r="B100" s="14"/>
      <c r="H100" s="14"/>
    </row>
    <row r="101" spans="1:8" x14ac:dyDescent="0.25">
      <c r="A101" s="13"/>
      <c r="B101" s="14"/>
      <c r="H101" s="14"/>
    </row>
    <row r="102" spans="1:8" x14ac:dyDescent="0.25">
      <c r="A102" s="13"/>
      <c r="B102" s="14"/>
      <c r="H102" s="14"/>
    </row>
    <row r="103" spans="1:8" x14ac:dyDescent="0.25">
      <c r="A103" s="13"/>
      <c r="B103" s="14"/>
      <c r="H103" s="14"/>
    </row>
    <row r="104" spans="1:8" x14ac:dyDescent="0.25">
      <c r="A104" s="13"/>
      <c r="B104" s="14"/>
      <c r="H104" s="14"/>
    </row>
    <row r="105" spans="1:8" x14ac:dyDescent="0.25">
      <c r="A105" s="13"/>
      <c r="B105" s="14"/>
      <c r="H105" s="14"/>
    </row>
    <row r="106" spans="1:8" x14ac:dyDescent="0.25">
      <c r="A106" s="13"/>
      <c r="B106" s="14"/>
      <c r="H106" s="14"/>
    </row>
    <row r="107" spans="1:8" x14ac:dyDescent="0.25">
      <c r="A107" s="13"/>
      <c r="B107" s="14"/>
      <c r="H107" s="14"/>
    </row>
    <row r="108" spans="1:8" x14ac:dyDescent="0.25">
      <c r="A108" s="13"/>
      <c r="B108" s="14"/>
      <c r="H108" s="14"/>
    </row>
    <row r="109" spans="1:8" x14ac:dyDescent="0.25">
      <c r="B109" s="14"/>
      <c r="H109" s="14"/>
    </row>
    <row r="110" spans="1:8" x14ac:dyDescent="0.25">
      <c r="B110" s="14"/>
      <c r="H110" s="14"/>
    </row>
    <row r="111" spans="1:8" x14ac:dyDescent="0.25">
      <c r="B111" s="14"/>
      <c r="H111" s="14"/>
    </row>
    <row r="112" spans="1:8" x14ac:dyDescent="0.25">
      <c r="B112" s="14"/>
    </row>
    <row r="113" spans="2:2" x14ac:dyDescent="0.25">
      <c r="B113" s="14"/>
    </row>
    <row r="114" spans="2:2" x14ac:dyDescent="0.25">
      <c r="B114" s="14"/>
    </row>
    <row r="115" spans="2:2" x14ac:dyDescent="0.25">
      <c r="B115" s="14"/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/>
    </row>
    <row r="120" spans="2:2" x14ac:dyDescent="0.25">
      <c r="B120" s="14"/>
    </row>
    <row r="121" spans="2:2" x14ac:dyDescent="0.25">
      <c r="B121" s="14"/>
    </row>
    <row r="122" spans="2:2" x14ac:dyDescent="0.25">
      <c r="B122" s="14"/>
    </row>
    <row r="123" spans="2:2" x14ac:dyDescent="0.25">
      <c r="B123" s="14"/>
    </row>
    <row r="124" spans="2:2" x14ac:dyDescent="0.25">
      <c r="B124" s="14"/>
    </row>
    <row r="125" spans="2:2" x14ac:dyDescent="0.25">
      <c r="B125" s="14"/>
    </row>
    <row r="126" spans="2:2" x14ac:dyDescent="0.25">
      <c r="B126" s="14"/>
    </row>
    <row r="127" spans="2:2" x14ac:dyDescent="0.25">
      <c r="B127" s="14"/>
    </row>
    <row r="128" spans="2:2" x14ac:dyDescent="0.25">
      <c r="B128" s="14"/>
    </row>
    <row r="129" spans="2:2" x14ac:dyDescent="0.25">
      <c r="B129" s="14"/>
    </row>
    <row r="130" spans="2:2" x14ac:dyDescent="0.25">
      <c r="B130" s="14"/>
    </row>
    <row r="131" spans="2:2" x14ac:dyDescent="0.25">
      <c r="B131" s="14"/>
    </row>
    <row r="132" spans="2:2" x14ac:dyDescent="0.25">
      <c r="B132" s="14"/>
    </row>
    <row r="133" spans="2:2" x14ac:dyDescent="0.25">
      <c r="B133" s="14"/>
    </row>
    <row r="134" spans="2:2" x14ac:dyDescent="0.25">
      <c r="B134" s="14"/>
    </row>
    <row r="135" spans="2:2" x14ac:dyDescent="0.25">
      <c r="B135" s="14"/>
    </row>
    <row r="136" spans="2:2" x14ac:dyDescent="0.25">
      <c r="B136" s="14"/>
    </row>
    <row r="137" spans="2:2" x14ac:dyDescent="0.25">
      <c r="B137" s="14"/>
    </row>
    <row r="138" spans="2:2" x14ac:dyDescent="0.25">
      <c r="B138" s="14"/>
    </row>
    <row r="139" spans="2:2" x14ac:dyDescent="0.25">
      <c r="B139" s="14"/>
    </row>
    <row r="140" spans="2:2" x14ac:dyDescent="0.25">
      <c r="B140" s="14"/>
    </row>
    <row r="141" spans="2:2" x14ac:dyDescent="0.25">
      <c r="B141" s="14"/>
    </row>
    <row r="142" spans="2:2" x14ac:dyDescent="0.25">
      <c r="B142" s="14"/>
    </row>
    <row r="143" spans="2:2" x14ac:dyDescent="0.25">
      <c r="B143" s="14"/>
    </row>
    <row r="144" spans="2:2" x14ac:dyDescent="0.25">
      <c r="B144" s="14"/>
    </row>
    <row r="145" spans="2:2" x14ac:dyDescent="0.25">
      <c r="B145" s="14"/>
    </row>
    <row r="146" spans="2:2" x14ac:dyDescent="0.25">
      <c r="B146" s="14"/>
    </row>
    <row r="147" spans="2:2" x14ac:dyDescent="0.25">
      <c r="B147" s="14"/>
    </row>
    <row r="148" spans="2:2" x14ac:dyDescent="0.25">
      <c r="B148" s="14"/>
    </row>
    <row r="149" spans="2:2" x14ac:dyDescent="0.25">
      <c r="B149" s="14"/>
    </row>
    <row r="150" spans="2:2" x14ac:dyDescent="0.25">
      <c r="B150" s="14"/>
    </row>
    <row r="151" spans="2:2" x14ac:dyDescent="0.25">
      <c r="B151" s="14"/>
    </row>
    <row r="152" spans="2:2" x14ac:dyDescent="0.25">
      <c r="B152" s="14"/>
    </row>
    <row r="153" spans="2:2" x14ac:dyDescent="0.25">
      <c r="B153" s="14"/>
    </row>
    <row r="154" spans="2:2" x14ac:dyDescent="0.25">
      <c r="B154" s="14"/>
    </row>
    <row r="155" spans="2:2" x14ac:dyDescent="0.25">
      <c r="B155" s="14"/>
    </row>
    <row r="156" spans="2:2" x14ac:dyDescent="0.25">
      <c r="B156" s="14"/>
    </row>
    <row r="157" spans="2:2" x14ac:dyDescent="0.25">
      <c r="B157" s="14"/>
    </row>
    <row r="158" spans="2:2" x14ac:dyDescent="0.25">
      <c r="B158" s="14"/>
    </row>
    <row r="159" spans="2:2" x14ac:dyDescent="0.25">
      <c r="B159" s="14"/>
    </row>
    <row r="160" spans="2:2" x14ac:dyDescent="0.25">
      <c r="B160" s="14"/>
    </row>
    <row r="161" spans="2:2" x14ac:dyDescent="0.25">
      <c r="B161" s="14"/>
    </row>
    <row r="162" spans="2:2" x14ac:dyDescent="0.25">
      <c r="B162" s="14"/>
    </row>
    <row r="163" spans="2:2" x14ac:dyDescent="0.25">
      <c r="B163" s="14"/>
    </row>
    <row r="164" spans="2:2" x14ac:dyDescent="0.25">
      <c r="B164" s="14"/>
    </row>
    <row r="165" spans="2:2" x14ac:dyDescent="0.25">
      <c r="B165" s="14"/>
    </row>
    <row r="166" spans="2:2" x14ac:dyDescent="0.25">
      <c r="B166" s="14"/>
    </row>
    <row r="167" spans="2:2" x14ac:dyDescent="0.25">
      <c r="B167" s="14"/>
    </row>
    <row r="168" spans="2:2" x14ac:dyDescent="0.25">
      <c r="B168" s="14"/>
    </row>
    <row r="169" spans="2:2" x14ac:dyDescent="0.25">
      <c r="B169" s="14"/>
    </row>
    <row r="170" spans="2:2" x14ac:dyDescent="0.25">
      <c r="B170" s="14"/>
    </row>
    <row r="171" spans="2:2" x14ac:dyDescent="0.25">
      <c r="B171" s="14"/>
    </row>
    <row r="172" spans="2:2" x14ac:dyDescent="0.25">
      <c r="B172" s="14"/>
    </row>
    <row r="173" spans="2:2" x14ac:dyDescent="0.25">
      <c r="B173" s="14"/>
    </row>
    <row r="174" spans="2:2" x14ac:dyDescent="0.25">
      <c r="B174" s="14"/>
    </row>
    <row r="175" spans="2:2" x14ac:dyDescent="0.25">
      <c r="B175" s="14"/>
    </row>
    <row r="176" spans="2:2" x14ac:dyDescent="0.25">
      <c r="B176" s="14"/>
    </row>
    <row r="177" spans="2:2" x14ac:dyDescent="0.25">
      <c r="B177" s="14"/>
    </row>
    <row r="178" spans="2:2" x14ac:dyDescent="0.25">
      <c r="B178" s="14"/>
    </row>
    <row r="179" spans="2:2" x14ac:dyDescent="0.25">
      <c r="B179" s="14"/>
    </row>
    <row r="180" spans="2:2" x14ac:dyDescent="0.25">
      <c r="B180" s="14"/>
    </row>
    <row r="181" spans="2:2" x14ac:dyDescent="0.25">
      <c r="B181" s="14"/>
    </row>
    <row r="182" spans="2:2" x14ac:dyDescent="0.25">
      <c r="B182" s="14"/>
    </row>
    <row r="183" spans="2:2" x14ac:dyDescent="0.25">
      <c r="B183" s="14"/>
    </row>
    <row r="184" spans="2:2" x14ac:dyDescent="0.25">
      <c r="B184" s="14"/>
    </row>
    <row r="185" spans="2:2" x14ac:dyDescent="0.25">
      <c r="B185" s="14"/>
    </row>
    <row r="186" spans="2:2" x14ac:dyDescent="0.25">
      <c r="B186" s="14"/>
    </row>
    <row r="187" spans="2:2" x14ac:dyDescent="0.25">
      <c r="B187" s="14"/>
    </row>
    <row r="188" spans="2:2" x14ac:dyDescent="0.25">
      <c r="B188" s="14"/>
    </row>
    <row r="189" spans="2:2" x14ac:dyDescent="0.25">
      <c r="B189" s="14"/>
    </row>
    <row r="190" spans="2:2" x14ac:dyDescent="0.25">
      <c r="B190" s="14"/>
    </row>
    <row r="191" spans="2:2" x14ac:dyDescent="0.25">
      <c r="B191" s="14"/>
    </row>
    <row r="192" spans="2:2" x14ac:dyDescent="0.25">
      <c r="B192" s="14"/>
    </row>
    <row r="193" spans="2:2" x14ac:dyDescent="0.25">
      <c r="B193" s="14"/>
    </row>
    <row r="194" spans="2:2" x14ac:dyDescent="0.25">
      <c r="B194" s="14"/>
    </row>
    <row r="195" spans="2:2" x14ac:dyDescent="0.25">
      <c r="B195" s="14"/>
    </row>
    <row r="196" spans="2:2" x14ac:dyDescent="0.25">
      <c r="B196" s="14"/>
    </row>
    <row r="197" spans="2:2" x14ac:dyDescent="0.25">
      <c r="B197" s="14"/>
    </row>
    <row r="198" spans="2:2" x14ac:dyDescent="0.25">
      <c r="B198" s="14"/>
    </row>
    <row r="199" spans="2:2" x14ac:dyDescent="0.25">
      <c r="B199" s="14"/>
    </row>
    <row r="200" spans="2:2" x14ac:dyDescent="0.25">
      <c r="B200" s="14"/>
    </row>
    <row r="201" spans="2:2" x14ac:dyDescent="0.25">
      <c r="B201" s="14"/>
    </row>
    <row r="202" spans="2:2" x14ac:dyDescent="0.25">
      <c r="B202" s="14"/>
    </row>
    <row r="203" spans="2:2" x14ac:dyDescent="0.25">
      <c r="B203" s="14"/>
    </row>
    <row r="204" spans="2:2" x14ac:dyDescent="0.25">
      <c r="B204" s="14"/>
    </row>
    <row r="205" spans="2:2" x14ac:dyDescent="0.25">
      <c r="B205" s="14"/>
    </row>
    <row r="206" spans="2:2" x14ac:dyDescent="0.25">
      <c r="B206" s="14"/>
    </row>
    <row r="207" spans="2:2" x14ac:dyDescent="0.25">
      <c r="B207" s="14"/>
    </row>
    <row r="208" spans="2:2" x14ac:dyDescent="0.25">
      <c r="B208" s="14"/>
    </row>
    <row r="209" spans="2:2" x14ac:dyDescent="0.25">
      <c r="B209" s="14"/>
    </row>
    <row r="210" spans="2:2" x14ac:dyDescent="0.25">
      <c r="B210" s="14"/>
    </row>
    <row r="211" spans="2:2" x14ac:dyDescent="0.25">
      <c r="B211" s="14"/>
    </row>
    <row r="212" spans="2:2" x14ac:dyDescent="0.25">
      <c r="B212" s="14"/>
    </row>
    <row r="213" spans="2:2" x14ac:dyDescent="0.25">
      <c r="B213" s="14"/>
    </row>
    <row r="214" spans="2:2" x14ac:dyDescent="0.25">
      <c r="B214" s="14"/>
    </row>
    <row r="215" spans="2:2" x14ac:dyDescent="0.25">
      <c r="B215" s="14"/>
    </row>
    <row r="216" spans="2:2" x14ac:dyDescent="0.25">
      <c r="B216" s="14"/>
    </row>
    <row r="217" spans="2:2" x14ac:dyDescent="0.25">
      <c r="B217" s="14"/>
    </row>
    <row r="218" spans="2:2" x14ac:dyDescent="0.25">
      <c r="B218" s="14"/>
    </row>
    <row r="219" spans="2:2" x14ac:dyDescent="0.25">
      <c r="B219" s="14"/>
    </row>
    <row r="220" spans="2:2" x14ac:dyDescent="0.25">
      <c r="B220" s="14"/>
    </row>
    <row r="221" spans="2:2" x14ac:dyDescent="0.25">
      <c r="B221" s="14"/>
    </row>
    <row r="222" spans="2:2" x14ac:dyDescent="0.25">
      <c r="B222" s="14"/>
    </row>
    <row r="223" spans="2:2" x14ac:dyDescent="0.25">
      <c r="B223" s="14"/>
    </row>
    <row r="224" spans="2:2" x14ac:dyDescent="0.25">
      <c r="B224" s="14"/>
    </row>
    <row r="225" spans="2:2" x14ac:dyDescent="0.25">
      <c r="B225" s="14"/>
    </row>
    <row r="226" spans="2:2" x14ac:dyDescent="0.25">
      <c r="B226" s="14"/>
    </row>
    <row r="227" spans="2:2" x14ac:dyDescent="0.25">
      <c r="B227" s="14"/>
    </row>
    <row r="228" spans="2:2" x14ac:dyDescent="0.25">
      <c r="B228" s="14"/>
    </row>
    <row r="229" spans="2:2" x14ac:dyDescent="0.25">
      <c r="B229" s="14"/>
    </row>
    <row r="230" spans="2:2" x14ac:dyDescent="0.25">
      <c r="B230" s="14"/>
    </row>
    <row r="231" spans="2:2" x14ac:dyDescent="0.25">
      <c r="B231" s="14"/>
    </row>
    <row r="232" spans="2:2" x14ac:dyDescent="0.25">
      <c r="B232" s="14"/>
    </row>
    <row r="233" spans="2:2" x14ac:dyDescent="0.25">
      <c r="B233" s="14"/>
    </row>
    <row r="234" spans="2:2" x14ac:dyDescent="0.25">
      <c r="B234" s="14"/>
    </row>
    <row r="235" spans="2:2" x14ac:dyDescent="0.25">
      <c r="B235" s="14"/>
    </row>
    <row r="236" spans="2:2" x14ac:dyDescent="0.25">
      <c r="B236" s="14"/>
    </row>
    <row r="237" spans="2:2" x14ac:dyDescent="0.25">
      <c r="B237" s="14"/>
    </row>
    <row r="238" spans="2:2" x14ac:dyDescent="0.25">
      <c r="B238" s="14"/>
    </row>
    <row r="239" spans="2:2" x14ac:dyDescent="0.25">
      <c r="B239" s="14"/>
    </row>
    <row r="240" spans="2:2" x14ac:dyDescent="0.25">
      <c r="B240" s="14"/>
    </row>
    <row r="241" spans="2:2" x14ac:dyDescent="0.25">
      <c r="B241" s="14"/>
    </row>
    <row r="242" spans="2:2" x14ac:dyDescent="0.25">
      <c r="B242" s="14"/>
    </row>
    <row r="243" spans="2:2" x14ac:dyDescent="0.25">
      <c r="B243" s="14"/>
    </row>
    <row r="244" spans="2:2" x14ac:dyDescent="0.25">
      <c r="B244" s="14"/>
    </row>
    <row r="245" spans="2:2" x14ac:dyDescent="0.25">
      <c r="B245" s="14"/>
    </row>
    <row r="246" spans="2:2" x14ac:dyDescent="0.25">
      <c r="B246" s="14"/>
    </row>
    <row r="247" spans="2:2" x14ac:dyDescent="0.25">
      <c r="B247" s="14"/>
    </row>
    <row r="248" spans="2:2" x14ac:dyDescent="0.25">
      <c r="B248" s="14"/>
    </row>
    <row r="249" spans="2:2" x14ac:dyDescent="0.25">
      <c r="B249" s="14"/>
    </row>
    <row r="250" spans="2:2" x14ac:dyDescent="0.25">
      <c r="B250" s="14"/>
    </row>
    <row r="251" spans="2:2" x14ac:dyDescent="0.25">
      <c r="B251" s="14"/>
    </row>
    <row r="252" spans="2:2" x14ac:dyDescent="0.25">
      <c r="B252" s="14"/>
    </row>
    <row r="253" spans="2:2" x14ac:dyDescent="0.25">
      <c r="B253" s="14"/>
    </row>
    <row r="254" spans="2:2" x14ac:dyDescent="0.25">
      <c r="B254" s="14"/>
    </row>
    <row r="255" spans="2:2" x14ac:dyDescent="0.25">
      <c r="B255" s="14"/>
    </row>
    <row r="256" spans="2:2" x14ac:dyDescent="0.25">
      <c r="B256" s="14"/>
    </row>
    <row r="257" spans="2:2" x14ac:dyDescent="0.25">
      <c r="B257" s="14"/>
    </row>
    <row r="258" spans="2:2" x14ac:dyDescent="0.25">
      <c r="B258" s="14"/>
    </row>
    <row r="259" spans="2:2" x14ac:dyDescent="0.25">
      <c r="B259" s="14"/>
    </row>
    <row r="260" spans="2:2" x14ac:dyDescent="0.25">
      <c r="B260" s="14"/>
    </row>
    <row r="261" spans="2:2" x14ac:dyDescent="0.25">
      <c r="B261" s="14"/>
    </row>
    <row r="262" spans="2:2" x14ac:dyDescent="0.25">
      <c r="B262" s="14"/>
    </row>
    <row r="263" spans="2:2" x14ac:dyDescent="0.25">
      <c r="B263" s="14"/>
    </row>
    <row r="264" spans="2:2" x14ac:dyDescent="0.25">
      <c r="B264" s="14"/>
    </row>
    <row r="265" spans="2:2" x14ac:dyDescent="0.25">
      <c r="B265" s="14"/>
    </row>
    <row r="266" spans="2:2" x14ac:dyDescent="0.25">
      <c r="B266" s="14"/>
    </row>
    <row r="267" spans="2:2" x14ac:dyDescent="0.25">
      <c r="B267" s="14"/>
    </row>
    <row r="268" spans="2:2" x14ac:dyDescent="0.25">
      <c r="B268" s="14"/>
    </row>
    <row r="269" spans="2:2" x14ac:dyDescent="0.25">
      <c r="B269" s="14"/>
    </row>
    <row r="270" spans="2:2" x14ac:dyDescent="0.25">
      <c r="B270" s="14"/>
    </row>
    <row r="271" spans="2:2" x14ac:dyDescent="0.25">
      <c r="B271" s="14"/>
    </row>
    <row r="272" spans="2:2" x14ac:dyDescent="0.25">
      <c r="B272" s="14"/>
    </row>
    <row r="273" spans="2:2" x14ac:dyDescent="0.25">
      <c r="B273" s="14"/>
    </row>
    <row r="274" spans="2:2" x14ac:dyDescent="0.25">
      <c r="B274" s="14"/>
    </row>
    <row r="275" spans="2:2" x14ac:dyDescent="0.25">
      <c r="B275" s="14"/>
    </row>
    <row r="276" spans="2:2" x14ac:dyDescent="0.25">
      <c r="B276" s="14"/>
    </row>
    <row r="277" spans="2:2" x14ac:dyDescent="0.25">
      <c r="B277" s="14"/>
    </row>
    <row r="278" spans="2:2" x14ac:dyDescent="0.25">
      <c r="B278" s="14"/>
    </row>
    <row r="279" spans="2:2" x14ac:dyDescent="0.25">
      <c r="B279" s="14"/>
    </row>
    <row r="280" spans="2:2" x14ac:dyDescent="0.25">
      <c r="B280" s="14"/>
    </row>
    <row r="281" spans="2:2" x14ac:dyDescent="0.25">
      <c r="B281" s="14"/>
    </row>
    <row r="282" spans="2:2" x14ac:dyDescent="0.25">
      <c r="B282" s="14"/>
    </row>
    <row r="283" spans="2:2" x14ac:dyDescent="0.25">
      <c r="B283" s="14"/>
    </row>
    <row r="284" spans="2:2" x14ac:dyDescent="0.25">
      <c r="B284" s="14"/>
    </row>
    <row r="285" spans="2:2" x14ac:dyDescent="0.25">
      <c r="B285" s="14"/>
    </row>
    <row r="286" spans="2:2" x14ac:dyDescent="0.25">
      <c r="B286" s="14"/>
    </row>
    <row r="287" spans="2:2" x14ac:dyDescent="0.25">
      <c r="B287" s="14"/>
    </row>
    <row r="288" spans="2:2" x14ac:dyDescent="0.25">
      <c r="B288" s="14"/>
    </row>
    <row r="289" spans="2:2" x14ac:dyDescent="0.25">
      <c r="B289" s="14"/>
    </row>
    <row r="290" spans="2:2" x14ac:dyDescent="0.25">
      <c r="B290" s="14"/>
    </row>
    <row r="291" spans="2:2" x14ac:dyDescent="0.25">
      <c r="B291" s="14"/>
    </row>
    <row r="292" spans="2:2" x14ac:dyDescent="0.25">
      <c r="B292" s="14"/>
    </row>
    <row r="293" spans="2:2" x14ac:dyDescent="0.25">
      <c r="B293" s="14"/>
    </row>
    <row r="294" spans="2:2" x14ac:dyDescent="0.25">
      <c r="B294" s="14"/>
    </row>
    <row r="295" spans="2:2" x14ac:dyDescent="0.25">
      <c r="B295" s="14"/>
    </row>
    <row r="296" spans="2:2" x14ac:dyDescent="0.25">
      <c r="B296" s="14"/>
    </row>
    <row r="297" spans="2:2" x14ac:dyDescent="0.25">
      <c r="B297" s="14"/>
    </row>
    <row r="298" spans="2:2" x14ac:dyDescent="0.25">
      <c r="B298" s="14"/>
    </row>
    <row r="299" spans="2:2" x14ac:dyDescent="0.25">
      <c r="B299" s="14"/>
    </row>
    <row r="300" spans="2:2" x14ac:dyDescent="0.25">
      <c r="B300" s="14"/>
    </row>
    <row r="301" spans="2:2" x14ac:dyDescent="0.25">
      <c r="B301" s="14"/>
    </row>
    <row r="302" spans="2:2" x14ac:dyDescent="0.25">
      <c r="B302" s="14"/>
    </row>
    <row r="303" spans="2:2" x14ac:dyDescent="0.25">
      <c r="B303" s="14"/>
    </row>
    <row r="304" spans="2:2" x14ac:dyDescent="0.25">
      <c r="B304" s="14"/>
    </row>
    <row r="305" spans="2:2" x14ac:dyDescent="0.25">
      <c r="B305" s="14"/>
    </row>
    <row r="306" spans="2:2" x14ac:dyDescent="0.25">
      <c r="B306" s="14"/>
    </row>
    <row r="307" spans="2:2" x14ac:dyDescent="0.25">
      <c r="B307" s="14"/>
    </row>
    <row r="308" spans="2:2" x14ac:dyDescent="0.25">
      <c r="B308" s="14"/>
    </row>
    <row r="309" spans="2:2" x14ac:dyDescent="0.25">
      <c r="B309" s="14"/>
    </row>
    <row r="310" spans="2:2" x14ac:dyDescent="0.25">
      <c r="B310" s="14"/>
    </row>
    <row r="311" spans="2:2" x14ac:dyDescent="0.25">
      <c r="B311" s="14"/>
    </row>
    <row r="312" spans="2:2" x14ac:dyDescent="0.25">
      <c r="B312" s="14"/>
    </row>
    <row r="313" spans="2:2" x14ac:dyDescent="0.25">
      <c r="B313" s="14"/>
    </row>
    <row r="314" spans="2:2" x14ac:dyDescent="0.25">
      <c r="B314" s="14"/>
    </row>
    <row r="315" spans="2:2" x14ac:dyDescent="0.25">
      <c r="B315" s="14"/>
    </row>
    <row r="316" spans="2:2" x14ac:dyDescent="0.25">
      <c r="B316" s="14"/>
    </row>
    <row r="317" spans="2:2" x14ac:dyDescent="0.25">
      <c r="B317" s="14"/>
    </row>
    <row r="318" spans="2:2" x14ac:dyDescent="0.25">
      <c r="B318" s="14"/>
    </row>
    <row r="319" spans="2:2" x14ac:dyDescent="0.25">
      <c r="B319" s="14"/>
    </row>
    <row r="320" spans="2:2" x14ac:dyDescent="0.25">
      <c r="B320" s="14"/>
    </row>
    <row r="321" spans="2:2" x14ac:dyDescent="0.25">
      <c r="B321" s="14"/>
    </row>
    <row r="322" spans="2:2" x14ac:dyDescent="0.25">
      <c r="B322" s="14"/>
    </row>
    <row r="323" spans="2:2" x14ac:dyDescent="0.25">
      <c r="B323" s="14"/>
    </row>
    <row r="324" spans="2:2" x14ac:dyDescent="0.25">
      <c r="B324" s="14"/>
    </row>
    <row r="325" spans="2:2" x14ac:dyDescent="0.25">
      <c r="B325" s="14"/>
    </row>
    <row r="326" spans="2:2" x14ac:dyDescent="0.25">
      <c r="B326" s="14"/>
    </row>
    <row r="327" spans="2:2" x14ac:dyDescent="0.25">
      <c r="B327" s="14"/>
    </row>
    <row r="328" spans="2:2" x14ac:dyDescent="0.25">
      <c r="B328" s="14"/>
    </row>
    <row r="329" spans="2:2" x14ac:dyDescent="0.25">
      <c r="B329" s="14"/>
    </row>
    <row r="330" spans="2:2" x14ac:dyDescent="0.25">
      <c r="B330" s="14"/>
    </row>
    <row r="331" spans="2:2" x14ac:dyDescent="0.25">
      <c r="B331" s="14"/>
    </row>
    <row r="332" spans="2:2" x14ac:dyDescent="0.25">
      <c r="B332" s="14"/>
    </row>
    <row r="333" spans="2:2" x14ac:dyDescent="0.25">
      <c r="B333" s="14"/>
    </row>
    <row r="334" spans="2:2" x14ac:dyDescent="0.25">
      <c r="B334" s="14"/>
    </row>
    <row r="335" spans="2:2" x14ac:dyDescent="0.25">
      <c r="B335" s="14"/>
    </row>
    <row r="336" spans="2:2" x14ac:dyDescent="0.25">
      <c r="B336" s="14"/>
    </row>
    <row r="337" spans="2:2" x14ac:dyDescent="0.25">
      <c r="B337" s="14"/>
    </row>
    <row r="338" spans="2:2" x14ac:dyDescent="0.25">
      <c r="B338" s="14"/>
    </row>
    <row r="339" spans="2:2" x14ac:dyDescent="0.25">
      <c r="B339" s="14"/>
    </row>
    <row r="340" spans="2:2" x14ac:dyDescent="0.25">
      <c r="B340" s="14"/>
    </row>
    <row r="341" spans="2:2" x14ac:dyDescent="0.25">
      <c r="B341" s="14"/>
    </row>
    <row r="342" spans="2:2" x14ac:dyDescent="0.25">
      <c r="B342" s="14"/>
    </row>
    <row r="343" spans="2:2" x14ac:dyDescent="0.25">
      <c r="B343" s="14"/>
    </row>
    <row r="344" spans="2:2" x14ac:dyDescent="0.25">
      <c r="B344" s="14"/>
    </row>
    <row r="345" spans="2:2" x14ac:dyDescent="0.25">
      <c r="B345" s="14"/>
    </row>
    <row r="346" spans="2:2" x14ac:dyDescent="0.25">
      <c r="B346" s="14"/>
    </row>
    <row r="347" spans="2:2" x14ac:dyDescent="0.25">
      <c r="B347" s="14"/>
    </row>
    <row r="348" spans="2:2" x14ac:dyDescent="0.25">
      <c r="B348" s="14"/>
    </row>
    <row r="349" spans="2:2" x14ac:dyDescent="0.25">
      <c r="B349" s="14"/>
    </row>
    <row r="350" spans="2:2" x14ac:dyDescent="0.25">
      <c r="B350" s="14"/>
    </row>
    <row r="351" spans="2:2" x14ac:dyDescent="0.25">
      <c r="B351" s="14"/>
    </row>
  </sheetData>
  <mergeCells count="17">
    <mergeCell ref="M17:U17"/>
    <mergeCell ref="M18:U18"/>
    <mergeCell ref="M13:U13"/>
    <mergeCell ref="M14:U14"/>
    <mergeCell ref="M15:U15"/>
    <mergeCell ref="M16:U16"/>
    <mergeCell ref="M8:U8"/>
    <mergeCell ref="M9:U9"/>
    <mergeCell ref="M10:U10"/>
    <mergeCell ref="M11:U11"/>
    <mergeCell ref="M12:U12"/>
    <mergeCell ref="M7:U7"/>
    <mergeCell ref="G3:U3"/>
    <mergeCell ref="G4:U4"/>
    <mergeCell ref="K2:P2"/>
    <mergeCell ref="G5:U5"/>
    <mergeCell ref="M6:U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AB60"/>
  <sheetViews>
    <sheetView workbookViewId="0">
      <selection activeCell="I39" sqref="I39"/>
    </sheetView>
  </sheetViews>
  <sheetFormatPr defaultRowHeight="15" x14ac:dyDescent="0.25"/>
  <cols>
    <col min="12" max="12" width="7.140625" customWidth="1"/>
    <col min="15" max="15" width="23" customWidth="1"/>
    <col min="19" max="19" width="21.140625" customWidth="1"/>
    <col min="20" max="20" width="12" customWidth="1"/>
  </cols>
  <sheetData>
    <row r="2" spans="1:28" ht="15" customHeight="1" x14ac:dyDescent="0.3">
      <c r="C2" s="49" t="s">
        <v>166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33"/>
      <c r="U2" s="33"/>
      <c r="V2" s="33"/>
      <c r="W2" s="33"/>
      <c r="X2" s="33"/>
      <c r="Y2" s="33"/>
      <c r="Z2" s="33"/>
      <c r="AA2" s="33"/>
      <c r="AB2" s="33"/>
    </row>
    <row r="3" spans="1:28" x14ac:dyDescent="0.25">
      <c r="A3" s="37"/>
      <c r="B3" s="37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3"/>
      <c r="W3" s="33"/>
      <c r="X3" s="33"/>
      <c r="Y3" s="33"/>
      <c r="Z3" s="33"/>
      <c r="AA3" s="33"/>
      <c r="AB3" s="33"/>
    </row>
    <row r="4" spans="1:28" x14ac:dyDescent="0.25">
      <c r="A4" s="37"/>
      <c r="B4" s="37"/>
      <c r="C4" s="50" t="s">
        <v>167</v>
      </c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38"/>
      <c r="U4" s="38"/>
      <c r="V4" s="33"/>
      <c r="W4" s="33"/>
      <c r="X4" s="33"/>
      <c r="Y4" s="33"/>
      <c r="Z4" s="33"/>
      <c r="AA4" s="33"/>
      <c r="AB4" s="33"/>
    </row>
    <row r="5" spans="1:28" x14ac:dyDescent="0.25">
      <c r="A5" s="37"/>
      <c r="B5" s="37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38"/>
      <c r="U5" s="38"/>
      <c r="V5" s="33"/>
      <c r="W5" s="33"/>
      <c r="X5" s="33"/>
      <c r="Y5" s="33"/>
      <c r="Z5" s="33"/>
      <c r="AA5" s="33"/>
      <c r="AB5" s="33"/>
    </row>
    <row r="6" spans="1:28" x14ac:dyDescent="0.25">
      <c r="A6" s="37"/>
      <c r="B6" s="37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3"/>
      <c r="W6" s="33"/>
      <c r="X6" s="33"/>
      <c r="Y6" s="33"/>
      <c r="Z6" s="33"/>
      <c r="AA6" s="33"/>
      <c r="AB6" s="33"/>
    </row>
    <row r="7" spans="1:28" ht="15" customHeight="1" x14ac:dyDescent="0.25">
      <c r="A7" s="37"/>
      <c r="B7" s="37"/>
      <c r="C7" s="51" t="s">
        <v>168</v>
      </c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38"/>
      <c r="U7" s="38"/>
      <c r="V7" s="33"/>
      <c r="W7" s="33"/>
      <c r="X7" s="33"/>
      <c r="Y7" s="33"/>
      <c r="Z7" s="33"/>
      <c r="AA7" s="33"/>
      <c r="AB7" s="33"/>
    </row>
    <row r="8" spans="1:28" ht="15" customHeight="1" x14ac:dyDescent="0.25">
      <c r="A8" s="37"/>
      <c r="B8" s="37"/>
      <c r="C8" s="39"/>
      <c r="D8" s="39"/>
      <c r="E8" s="39"/>
      <c r="F8" s="39"/>
      <c r="G8" s="39"/>
      <c r="H8" s="39"/>
      <c r="I8" s="39"/>
      <c r="J8" s="39"/>
      <c r="K8" s="39"/>
      <c r="L8" s="52" t="s">
        <v>169</v>
      </c>
      <c r="M8" s="52"/>
      <c r="N8" s="52"/>
      <c r="O8" s="52"/>
      <c r="P8" s="52"/>
      <c r="Q8" s="52"/>
      <c r="R8" s="52"/>
      <c r="S8" s="52"/>
      <c r="T8" s="38"/>
      <c r="U8" s="38"/>
      <c r="V8" s="33"/>
      <c r="W8" s="33"/>
      <c r="X8" s="33"/>
      <c r="Y8" s="33"/>
      <c r="Z8" s="33"/>
      <c r="AA8" s="33"/>
      <c r="AB8" s="33"/>
    </row>
    <row r="9" spans="1:28" x14ac:dyDescent="0.25">
      <c r="A9" s="37"/>
      <c r="B9" s="37"/>
      <c r="C9" s="38"/>
      <c r="D9" s="38"/>
      <c r="E9" s="38"/>
      <c r="F9" s="38"/>
      <c r="G9" s="38"/>
      <c r="H9" s="38"/>
      <c r="I9" s="38"/>
      <c r="J9" s="38"/>
      <c r="K9" s="38"/>
      <c r="L9" s="38"/>
      <c r="M9" s="48" t="s">
        <v>170</v>
      </c>
      <c r="N9" s="48"/>
      <c r="O9" s="48"/>
      <c r="P9" s="48"/>
      <c r="Q9" s="48"/>
      <c r="R9" s="48"/>
      <c r="S9" s="48"/>
      <c r="T9" s="38"/>
      <c r="U9" s="38"/>
      <c r="V9" s="33"/>
      <c r="W9" s="33"/>
      <c r="X9" s="33"/>
      <c r="Y9" s="33"/>
      <c r="Z9" s="33"/>
      <c r="AA9" s="33"/>
      <c r="AB9" s="33"/>
    </row>
    <row r="10" spans="1:28" x14ac:dyDescent="0.25">
      <c r="A10" s="37"/>
      <c r="B10" s="37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48" t="s">
        <v>171</v>
      </c>
      <c r="N10" s="48"/>
      <c r="O10" s="48"/>
      <c r="P10" s="48"/>
      <c r="Q10" s="48"/>
      <c r="R10" s="48"/>
      <c r="S10" s="48"/>
      <c r="T10" s="38"/>
      <c r="U10" s="38"/>
      <c r="V10" s="33"/>
      <c r="W10" s="33"/>
      <c r="X10" s="33"/>
      <c r="Y10" s="33"/>
      <c r="Z10" s="33"/>
      <c r="AA10" s="33"/>
      <c r="AB10" s="33"/>
    </row>
    <row r="11" spans="1:28" x14ac:dyDescent="0.25">
      <c r="A11" s="37"/>
      <c r="B11" s="37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48" t="s">
        <v>172</v>
      </c>
      <c r="N11" s="48"/>
      <c r="O11" s="48"/>
      <c r="P11" s="48"/>
      <c r="Q11" s="48"/>
      <c r="R11" s="48"/>
      <c r="S11" s="48"/>
      <c r="T11" s="38"/>
      <c r="U11" s="38"/>
      <c r="V11" s="33"/>
      <c r="W11" s="33"/>
      <c r="X11" s="33"/>
      <c r="Y11" s="33"/>
      <c r="Z11" s="33"/>
      <c r="AA11" s="33"/>
      <c r="AB11" s="33"/>
    </row>
    <row r="12" spans="1:28" x14ac:dyDescent="0.25">
      <c r="A12" s="37"/>
      <c r="B12" s="37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48" t="s">
        <v>173</v>
      </c>
      <c r="N12" s="48"/>
      <c r="O12" s="48"/>
      <c r="P12" s="48"/>
      <c r="Q12" s="48"/>
      <c r="R12" s="48"/>
      <c r="S12" s="48"/>
      <c r="T12" s="38"/>
      <c r="U12" s="38"/>
      <c r="V12" s="33"/>
      <c r="W12" s="33"/>
      <c r="X12" s="33"/>
      <c r="Y12" s="33"/>
      <c r="Z12" s="33"/>
      <c r="AA12" s="33"/>
      <c r="AB12" s="33"/>
    </row>
    <row r="13" spans="1:28" x14ac:dyDescent="0.25">
      <c r="A13" s="37"/>
      <c r="B13" s="37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48" t="s">
        <v>174</v>
      </c>
      <c r="N13" s="48"/>
      <c r="O13" s="48"/>
      <c r="P13" s="48"/>
      <c r="Q13" s="48"/>
      <c r="R13" s="48"/>
      <c r="S13" s="48"/>
      <c r="T13" s="38"/>
      <c r="U13" s="38"/>
      <c r="V13" s="33"/>
      <c r="W13" s="33"/>
      <c r="X13" s="33"/>
      <c r="Y13" s="33"/>
      <c r="Z13" s="33"/>
      <c r="AA13" s="33"/>
      <c r="AB13" s="33"/>
    </row>
    <row r="14" spans="1:28" x14ac:dyDescent="0.25">
      <c r="A14" s="37"/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48" t="s">
        <v>175</v>
      </c>
      <c r="N14" s="48"/>
      <c r="O14" s="48"/>
      <c r="P14" s="48"/>
      <c r="Q14" s="48"/>
      <c r="R14" s="48"/>
      <c r="S14" s="48"/>
      <c r="T14" s="38"/>
      <c r="U14" s="38"/>
      <c r="V14" s="33"/>
      <c r="W14" s="33"/>
      <c r="X14" s="33"/>
      <c r="Y14" s="33"/>
      <c r="Z14" s="33"/>
      <c r="AA14" s="33"/>
      <c r="AB14" s="33"/>
    </row>
    <row r="15" spans="1:28" x14ac:dyDescent="0.25">
      <c r="A15" s="37"/>
      <c r="B15" s="37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3"/>
      <c r="W15" s="33"/>
      <c r="X15" s="33"/>
      <c r="Y15" s="33"/>
      <c r="Z15" s="33"/>
      <c r="AA15" s="33"/>
      <c r="AB15" s="33"/>
    </row>
    <row r="16" spans="1:28" ht="15.75" x14ac:dyDescent="0.25">
      <c r="A16" s="37"/>
      <c r="B16" s="37"/>
      <c r="C16" s="38"/>
      <c r="D16" s="38"/>
      <c r="E16" s="38"/>
      <c r="F16" s="38"/>
      <c r="G16" s="38"/>
      <c r="H16" s="38"/>
      <c r="I16" s="38"/>
      <c r="J16" s="38"/>
      <c r="K16" s="38"/>
      <c r="L16" s="52" t="s">
        <v>176</v>
      </c>
      <c r="M16" s="52"/>
      <c r="N16" s="52"/>
      <c r="O16" s="52"/>
      <c r="P16" s="52"/>
      <c r="Q16" s="52"/>
      <c r="R16" s="52"/>
      <c r="S16" s="52"/>
      <c r="T16" s="38"/>
      <c r="U16" s="38"/>
      <c r="V16" s="33"/>
      <c r="W16" s="33"/>
      <c r="X16" s="33"/>
      <c r="Y16" s="33"/>
      <c r="Z16" s="33"/>
      <c r="AA16" s="33"/>
      <c r="AB16" s="33"/>
    </row>
    <row r="17" spans="1:28" x14ac:dyDescent="0.25">
      <c r="A17" s="37"/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48" t="s">
        <v>177</v>
      </c>
      <c r="N17" s="48"/>
      <c r="O17" s="48"/>
      <c r="P17" s="48"/>
      <c r="Q17" s="48"/>
      <c r="R17" s="48"/>
      <c r="S17" s="48"/>
      <c r="T17" s="38"/>
      <c r="U17" s="38"/>
      <c r="V17" s="33"/>
      <c r="W17" s="33"/>
      <c r="X17" s="33"/>
      <c r="Y17" s="33"/>
      <c r="Z17" s="33"/>
      <c r="AA17" s="33"/>
      <c r="AB17" s="33"/>
    </row>
    <row r="18" spans="1:28" x14ac:dyDescent="0.25">
      <c r="A18" s="37"/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48" t="s">
        <v>179</v>
      </c>
      <c r="N18" s="48"/>
      <c r="O18" s="48"/>
      <c r="P18" s="48"/>
      <c r="Q18" s="48"/>
      <c r="R18" s="48"/>
      <c r="S18" s="48"/>
      <c r="T18" s="38"/>
      <c r="U18" s="38"/>
      <c r="V18" s="33"/>
      <c r="W18" s="33"/>
      <c r="X18" s="33"/>
      <c r="Y18" s="33"/>
      <c r="Z18" s="33"/>
      <c r="AA18" s="33"/>
      <c r="AB18" s="33"/>
    </row>
    <row r="19" spans="1:28" x14ac:dyDescent="0.25">
      <c r="A19" s="37"/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48" t="s">
        <v>178</v>
      </c>
      <c r="N19" s="48"/>
      <c r="O19" s="48"/>
      <c r="P19" s="48"/>
      <c r="Q19" s="48"/>
      <c r="R19" s="48"/>
      <c r="S19" s="48"/>
      <c r="T19" s="38"/>
      <c r="U19" s="38"/>
      <c r="V19" s="33"/>
      <c r="W19" s="33"/>
      <c r="X19" s="33"/>
      <c r="Y19" s="33"/>
      <c r="Z19" s="33"/>
      <c r="AA19" s="33"/>
      <c r="AB19" s="33"/>
    </row>
    <row r="20" spans="1:28" x14ac:dyDescent="0.25">
      <c r="A20" s="37"/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3"/>
      <c r="W20" s="33"/>
      <c r="X20" s="33"/>
      <c r="Y20" s="33"/>
      <c r="Z20" s="33"/>
      <c r="AA20" s="33"/>
      <c r="AB20" s="33"/>
    </row>
    <row r="21" spans="1:28" x14ac:dyDescent="0.25">
      <c r="A21" s="37"/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3"/>
      <c r="W21" s="33"/>
      <c r="X21" s="33"/>
      <c r="Y21" s="33"/>
      <c r="Z21" s="33"/>
      <c r="AA21" s="33"/>
      <c r="AB21" s="33"/>
    </row>
    <row r="22" spans="1:28" x14ac:dyDescent="0.25">
      <c r="A22" s="37"/>
      <c r="B22" s="37"/>
      <c r="C22" s="50" t="s">
        <v>180</v>
      </c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38"/>
      <c r="U22" s="38"/>
      <c r="V22" s="33"/>
      <c r="W22" s="33"/>
      <c r="X22" s="33"/>
      <c r="Y22" s="33"/>
      <c r="Z22" s="33"/>
      <c r="AA22" s="33"/>
      <c r="AB22" s="33"/>
    </row>
    <row r="23" spans="1:28" x14ac:dyDescent="0.25">
      <c r="A23" s="37"/>
      <c r="B23" s="37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38"/>
      <c r="U23" s="38"/>
      <c r="V23" s="33"/>
      <c r="W23" s="33"/>
      <c r="X23" s="33"/>
      <c r="Y23" s="33"/>
      <c r="Z23" s="33"/>
      <c r="AA23" s="33"/>
      <c r="AB23" s="33"/>
    </row>
    <row r="24" spans="1:28" x14ac:dyDescent="0.25">
      <c r="A24" s="37"/>
      <c r="B24" s="37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3"/>
      <c r="W24" s="33"/>
      <c r="X24" s="33"/>
      <c r="Y24" s="33"/>
      <c r="Z24" s="33"/>
      <c r="AA24" s="33"/>
      <c r="AB24" s="33"/>
    </row>
    <row r="25" spans="1:28" x14ac:dyDescent="0.25">
      <c r="A25" s="37"/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3"/>
      <c r="W25" s="33"/>
      <c r="X25" s="33"/>
      <c r="Y25" s="33"/>
      <c r="Z25" s="33"/>
      <c r="AA25" s="33"/>
      <c r="AB25" s="33"/>
    </row>
    <row r="26" spans="1:28" x14ac:dyDescent="0.25">
      <c r="A26" s="37"/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3"/>
      <c r="W26" s="33"/>
      <c r="X26" s="33"/>
      <c r="Y26" s="33"/>
      <c r="Z26" s="33"/>
      <c r="AA26" s="33"/>
      <c r="AB26" s="33"/>
    </row>
    <row r="27" spans="1:28" ht="15.75" x14ac:dyDescent="0.25">
      <c r="A27" s="37"/>
      <c r="B27" s="37"/>
      <c r="C27" s="38"/>
      <c r="D27" s="38"/>
      <c r="E27" s="53" t="s">
        <v>181</v>
      </c>
      <c r="F27" s="53"/>
      <c r="G27" s="53"/>
      <c r="H27" s="53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3"/>
      <c r="W27" s="33"/>
      <c r="X27" s="33"/>
      <c r="Y27" s="33"/>
      <c r="Z27" s="33"/>
      <c r="AA27" s="33"/>
      <c r="AB27" s="33"/>
    </row>
    <row r="28" spans="1:28" x14ac:dyDescent="0.25">
      <c r="A28" s="37"/>
      <c r="B28" s="37"/>
      <c r="C28" s="38"/>
      <c r="D28" s="38"/>
      <c r="E28" s="54" t="s">
        <v>182</v>
      </c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38"/>
      <c r="U28" s="38"/>
      <c r="V28" s="33"/>
      <c r="W28" s="33"/>
      <c r="X28" s="33"/>
      <c r="Y28" s="33"/>
      <c r="Z28" s="33"/>
      <c r="AA28" s="33"/>
      <c r="AB28" s="33"/>
    </row>
    <row r="29" spans="1:28" ht="31.5" customHeight="1" x14ac:dyDescent="0.25">
      <c r="A29" s="37"/>
      <c r="B29" s="37"/>
      <c r="C29" s="38"/>
      <c r="D29" s="38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38"/>
      <c r="U29" s="38"/>
      <c r="V29" s="33"/>
      <c r="W29" s="33"/>
      <c r="X29" s="33"/>
      <c r="Y29" s="33"/>
      <c r="Z29" s="33"/>
      <c r="AA29" s="33"/>
      <c r="AB29" s="33"/>
    </row>
    <row r="30" spans="1:28" x14ac:dyDescent="0.25">
      <c r="A30" s="37"/>
      <c r="B30" s="37"/>
      <c r="C30" s="38"/>
      <c r="D30" s="38"/>
      <c r="E30" s="54" t="s">
        <v>183</v>
      </c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38"/>
      <c r="U30" s="38"/>
      <c r="V30" s="33"/>
      <c r="W30" s="33"/>
      <c r="X30" s="33"/>
      <c r="Y30" s="33"/>
      <c r="Z30" s="33"/>
      <c r="AA30" s="33"/>
      <c r="AB30" s="33"/>
    </row>
    <row r="31" spans="1:28" x14ac:dyDescent="0.25">
      <c r="A31" s="37"/>
      <c r="B31" s="37"/>
      <c r="C31" s="38"/>
      <c r="D31" s="38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38"/>
      <c r="U31" s="38"/>
      <c r="V31" s="33"/>
      <c r="W31" s="33"/>
      <c r="X31" s="33"/>
      <c r="Y31" s="33"/>
      <c r="Z31" s="33"/>
      <c r="AA31" s="33"/>
      <c r="AB31" s="33"/>
    </row>
    <row r="32" spans="1:28" x14ac:dyDescent="0.25">
      <c r="A32" s="37"/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3"/>
      <c r="W32" s="33"/>
      <c r="X32" s="33"/>
      <c r="Y32" s="33"/>
      <c r="Z32" s="33"/>
      <c r="AA32" s="33"/>
      <c r="AB32" s="33"/>
    </row>
    <row r="33" spans="1:28" x14ac:dyDescent="0.25">
      <c r="A33" s="37"/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3"/>
      <c r="W33" s="33"/>
      <c r="X33" s="33"/>
      <c r="Y33" s="33"/>
      <c r="Z33" s="33"/>
      <c r="AA33" s="33"/>
      <c r="AB33" s="33"/>
    </row>
    <row r="34" spans="1:28" x14ac:dyDescent="0.25">
      <c r="A34" s="37"/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3"/>
      <c r="W34" s="33"/>
      <c r="X34" s="33"/>
      <c r="Y34" s="33"/>
      <c r="Z34" s="33"/>
      <c r="AA34" s="33"/>
      <c r="AB34" s="33"/>
    </row>
    <row r="35" spans="1:28" x14ac:dyDescent="0.25"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</row>
    <row r="36" spans="1:28" x14ac:dyDescent="0.25"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</row>
    <row r="37" spans="1:28" x14ac:dyDescent="0.25"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</row>
    <row r="38" spans="1:28" x14ac:dyDescent="0.25"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</row>
    <row r="39" spans="1:28" x14ac:dyDescent="0.25"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</row>
    <row r="40" spans="1:28" x14ac:dyDescent="0.25"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</row>
    <row r="41" spans="1:28" x14ac:dyDescent="0.25"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</row>
    <row r="42" spans="1:28" x14ac:dyDescent="0.25"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</row>
    <row r="43" spans="1:28" x14ac:dyDescent="0.25"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</row>
    <row r="44" spans="1:28" x14ac:dyDescent="0.25"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</row>
    <row r="45" spans="1:28" x14ac:dyDescent="0.25"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</row>
    <row r="46" spans="1:28" x14ac:dyDescent="0.25"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</row>
    <row r="47" spans="1:28" x14ac:dyDescent="0.25"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</row>
    <row r="48" spans="1:28" x14ac:dyDescent="0.25"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</row>
    <row r="49" spans="3:28" x14ac:dyDescent="0.25"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</row>
    <row r="50" spans="3:28" x14ac:dyDescent="0.25"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</row>
    <row r="51" spans="3:28" x14ac:dyDescent="0.25"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</row>
    <row r="52" spans="3:28" x14ac:dyDescent="0.25"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</row>
    <row r="53" spans="3:28" x14ac:dyDescent="0.25"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</row>
    <row r="54" spans="3:28" x14ac:dyDescent="0.25"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</row>
    <row r="55" spans="3:28" x14ac:dyDescent="0.25"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</row>
    <row r="56" spans="3:28" x14ac:dyDescent="0.25"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</row>
    <row r="57" spans="3:28" x14ac:dyDescent="0.25"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</row>
    <row r="58" spans="3:28" x14ac:dyDescent="0.25"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</row>
    <row r="59" spans="3:28" x14ac:dyDescent="0.25"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</row>
    <row r="60" spans="3:28" x14ac:dyDescent="0.25"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</row>
  </sheetData>
  <mergeCells count="18">
    <mergeCell ref="E27:H27"/>
    <mergeCell ref="E28:S29"/>
    <mergeCell ref="E30:S31"/>
    <mergeCell ref="L16:S16"/>
    <mergeCell ref="M17:S17"/>
    <mergeCell ref="M18:S18"/>
    <mergeCell ref="M19:S19"/>
    <mergeCell ref="C22:S23"/>
    <mergeCell ref="M14:S14"/>
    <mergeCell ref="C2:S2"/>
    <mergeCell ref="C4:S5"/>
    <mergeCell ref="C7:S7"/>
    <mergeCell ref="M10:S10"/>
    <mergeCell ref="M9:S9"/>
    <mergeCell ref="L8:S8"/>
    <mergeCell ref="M11:S11"/>
    <mergeCell ref="M12:S12"/>
    <mergeCell ref="M13:S1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52"/>
  <sheetViews>
    <sheetView topLeftCell="A13" workbookViewId="0">
      <selection activeCell="K29" sqref="K29"/>
    </sheetView>
  </sheetViews>
  <sheetFormatPr defaultRowHeight="15" x14ac:dyDescent="0.25"/>
  <cols>
    <col min="1" max="1" width="12" customWidth="1"/>
  </cols>
  <sheetData>
    <row r="1" spans="1:9" x14ac:dyDescent="0.25">
      <c r="A1" s="3" t="s">
        <v>15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 x14ac:dyDescent="0.25">
      <c r="A2" s="4">
        <v>5</v>
      </c>
      <c r="B2" s="14">
        <v>2.8099999999999999E-7</v>
      </c>
      <c r="C2" s="14">
        <v>5.3000000000000001E-7</v>
      </c>
      <c r="D2" s="14">
        <v>1.13E-6</v>
      </c>
      <c r="E2" s="14">
        <v>1.0699999999999999E-6</v>
      </c>
      <c r="F2" s="14">
        <v>4.39E-7</v>
      </c>
      <c r="G2" s="14">
        <v>5.4200000000000002E-8</v>
      </c>
      <c r="H2" s="14">
        <v>2.2499999999999999E-9</v>
      </c>
      <c r="I2" s="14"/>
    </row>
    <row r="3" spans="1:9" x14ac:dyDescent="0.25">
      <c r="A3" s="4">
        <v>6</v>
      </c>
      <c r="B3" s="14">
        <v>9.4099999999999997E-5</v>
      </c>
      <c r="C3" s="14">
        <v>1.15E-4</v>
      </c>
      <c r="D3" s="14">
        <v>1.3999999999999999E-4</v>
      </c>
      <c r="E3" s="14">
        <v>1.34E-4</v>
      </c>
      <c r="F3" s="14">
        <v>6.97E-5</v>
      </c>
      <c r="G3" s="14">
        <v>1.9199999999999999E-5</v>
      </c>
      <c r="H3" s="14">
        <v>2.0099999999999998E-6</v>
      </c>
      <c r="I3" s="14"/>
    </row>
    <row r="4" spans="1:9" x14ac:dyDescent="0.25">
      <c r="A4" s="4">
        <v>7</v>
      </c>
      <c r="B4" s="14">
        <v>2.4099999999999998E-3</v>
      </c>
      <c r="C4" s="14">
        <v>2.2899999999999999E-3</v>
      </c>
      <c r="D4" s="14">
        <v>2.3700000000000001E-3</v>
      </c>
      <c r="E4" s="14">
        <v>2.1800000000000001E-3</v>
      </c>
      <c r="F4" s="14">
        <v>1.2999999999999999E-3</v>
      </c>
      <c r="G4" s="14">
        <v>5.0000000000000001E-4</v>
      </c>
      <c r="H4" s="14">
        <v>1.13E-4</v>
      </c>
      <c r="I4" s="14"/>
    </row>
    <row r="5" spans="1:9" x14ac:dyDescent="0.25">
      <c r="A5" s="4">
        <v>8</v>
      </c>
      <c r="B5" s="14">
        <v>1.5699999999999999E-2</v>
      </c>
      <c r="C5" s="14">
        <v>1.46E-2</v>
      </c>
      <c r="D5" s="14">
        <v>1.38E-2</v>
      </c>
      <c r="E5" s="14">
        <v>1.2699999999999999E-2</v>
      </c>
      <c r="F5" s="14">
        <v>8.3199999999999993E-3</v>
      </c>
      <c r="G5" s="14">
        <v>3.98E-3</v>
      </c>
      <c r="H5" s="14">
        <v>1.24E-3</v>
      </c>
      <c r="I5" s="14"/>
    </row>
    <row r="6" spans="1:9" x14ac:dyDescent="0.25">
      <c r="A6" s="4">
        <v>9</v>
      </c>
      <c r="B6" s="14">
        <v>5.1499999999999997E-2</v>
      </c>
      <c r="C6" s="14">
        <v>4.7800000000000002E-2</v>
      </c>
      <c r="D6" s="14">
        <v>4.4699999999999997E-2</v>
      </c>
      <c r="E6" s="14">
        <v>4.0899999999999999E-2</v>
      </c>
      <c r="F6" s="14">
        <v>2.8899999999999999E-2</v>
      </c>
      <c r="G6" s="14">
        <v>1.6299999999999999E-2</v>
      </c>
      <c r="H6" s="14">
        <v>6.3899999999999998E-3</v>
      </c>
      <c r="I6" s="14"/>
    </row>
    <row r="7" spans="1:9" x14ac:dyDescent="0.25">
      <c r="A7" s="4">
        <v>10</v>
      </c>
      <c r="B7" s="14">
        <v>0.113</v>
      </c>
      <c r="C7" s="14">
        <v>0.105</v>
      </c>
      <c r="D7" s="14">
        <v>9.8699999999999996E-2</v>
      </c>
      <c r="E7" s="14">
        <v>9.0899999999999995E-2</v>
      </c>
      <c r="F7" s="14">
        <v>6.8500000000000005E-2</v>
      </c>
      <c r="G7" s="14">
        <v>4.3299999999999998E-2</v>
      </c>
      <c r="H7" s="14">
        <v>2.06E-2</v>
      </c>
      <c r="I7" s="14"/>
    </row>
    <row r="8" spans="1:9" x14ac:dyDescent="0.25">
      <c r="A8" s="4">
        <v>11</v>
      </c>
      <c r="B8" s="14">
        <v>0.191</v>
      </c>
      <c r="C8" s="14">
        <v>0.182</v>
      </c>
      <c r="D8" s="14">
        <v>0.17199999999999999</v>
      </c>
      <c r="E8" s="14">
        <v>0.16</v>
      </c>
      <c r="F8" s="14">
        <v>0.128</v>
      </c>
      <c r="G8" s="14">
        <v>8.8599999999999998E-2</v>
      </c>
      <c r="H8" s="14">
        <v>4.7800000000000002E-2</v>
      </c>
      <c r="I8" s="14"/>
    </row>
    <row r="9" spans="1:9" x14ac:dyDescent="0.25">
      <c r="A9" s="4">
        <v>13</v>
      </c>
      <c r="B9" s="14">
        <v>0.36299999999999999</v>
      </c>
      <c r="C9" s="14">
        <v>0.35899999999999999</v>
      </c>
      <c r="D9" s="14">
        <v>0.34399999999999997</v>
      </c>
      <c r="E9" s="14">
        <v>0.32</v>
      </c>
      <c r="F9" s="14">
        <v>0.28199999999999997</v>
      </c>
      <c r="G9" s="14">
        <v>0.22</v>
      </c>
      <c r="H9" s="14">
        <v>0.14099999999999999</v>
      </c>
      <c r="I9" s="14"/>
    </row>
    <row r="10" spans="1:9" x14ac:dyDescent="0.25">
      <c r="A10" s="4">
        <v>15</v>
      </c>
      <c r="B10" s="14">
        <v>0.52</v>
      </c>
      <c r="C10" s="14">
        <v>0.52100000000000002</v>
      </c>
      <c r="D10" s="14">
        <v>0.50700000000000001</v>
      </c>
      <c r="E10" s="14">
        <v>0.47599999999999998</v>
      </c>
      <c r="F10" s="14">
        <v>0.44</v>
      </c>
      <c r="G10" s="14">
        <v>0.372</v>
      </c>
      <c r="H10" s="14">
        <v>0.26600000000000001</v>
      </c>
      <c r="I10" s="14"/>
    </row>
    <row r="11" spans="1:9" x14ac:dyDescent="0.25">
      <c r="A11" s="4">
        <v>17</v>
      </c>
      <c r="B11" s="14">
        <v>0.64900000000000002</v>
      </c>
      <c r="C11" s="14">
        <v>0.65800000000000003</v>
      </c>
      <c r="D11" s="14">
        <v>0.64300000000000002</v>
      </c>
      <c r="E11" s="14">
        <v>0.61099999999999999</v>
      </c>
      <c r="F11" s="14">
        <v>0.58199999999999996</v>
      </c>
      <c r="G11" s="14">
        <v>0.51500000000000001</v>
      </c>
      <c r="H11" s="14">
        <v>0.39900000000000002</v>
      </c>
      <c r="I11" s="14"/>
    </row>
    <row r="12" spans="1:9" x14ac:dyDescent="0.25">
      <c r="A12" s="4">
        <v>20</v>
      </c>
      <c r="B12" s="14">
        <v>0.79900000000000004</v>
      </c>
      <c r="C12" s="14">
        <v>0.81499999999999995</v>
      </c>
      <c r="D12" s="14">
        <v>0.80700000000000005</v>
      </c>
      <c r="E12" s="14">
        <v>0.77100000000000002</v>
      </c>
      <c r="F12" s="14">
        <v>0.755</v>
      </c>
      <c r="G12" s="14">
        <v>0.69099999999999995</v>
      </c>
      <c r="H12" s="14">
        <v>0.57299999999999995</v>
      </c>
      <c r="I12" s="14"/>
    </row>
    <row r="13" spans="1:9" x14ac:dyDescent="0.25">
      <c r="A13" s="4">
        <v>24</v>
      </c>
      <c r="B13" s="14">
        <v>0.94699999999999995</v>
      </c>
      <c r="C13" s="14">
        <v>0.96399999999999997</v>
      </c>
      <c r="D13" s="14">
        <v>0.96699999999999997</v>
      </c>
      <c r="E13" s="14">
        <v>0.92900000000000005</v>
      </c>
      <c r="F13" s="14">
        <v>0.92100000000000004</v>
      </c>
      <c r="G13" s="14">
        <v>0.86699999999999999</v>
      </c>
      <c r="H13" s="14">
        <v>0.75600000000000001</v>
      </c>
      <c r="I13" s="14"/>
    </row>
    <row r="14" spans="1:9" x14ac:dyDescent="0.25">
      <c r="A14" s="4">
        <v>30</v>
      </c>
      <c r="B14" s="14">
        <v>1.1200000000000001</v>
      </c>
      <c r="C14" s="14">
        <v>1.1599999999999999</v>
      </c>
      <c r="D14" s="14">
        <v>1.1599999999999999</v>
      </c>
      <c r="E14" s="14">
        <v>1.1299999999999999</v>
      </c>
      <c r="F14" s="14">
        <v>1.1299999999999999</v>
      </c>
      <c r="G14" s="14">
        <v>1.08</v>
      </c>
      <c r="H14" s="14">
        <v>0.96899999999999997</v>
      </c>
      <c r="I14" s="14"/>
    </row>
    <row r="15" spans="1:9" x14ac:dyDescent="0.25">
      <c r="A15" s="4">
        <v>40</v>
      </c>
      <c r="B15" s="14">
        <v>1.35</v>
      </c>
      <c r="C15" s="14">
        <v>1.38</v>
      </c>
      <c r="D15" s="14">
        <v>1.4</v>
      </c>
      <c r="E15" s="14">
        <v>1.37</v>
      </c>
      <c r="F15" s="14">
        <v>1.38</v>
      </c>
      <c r="G15" s="14">
        <v>1.33</v>
      </c>
      <c r="H15" s="14">
        <v>1.23</v>
      </c>
      <c r="I15" s="14"/>
    </row>
    <row r="16" spans="1:9" x14ac:dyDescent="0.25">
      <c r="A16" s="4">
        <v>50</v>
      </c>
      <c r="B16" s="14">
        <v>1.5</v>
      </c>
      <c r="C16" s="14">
        <v>1.53</v>
      </c>
      <c r="D16" s="14">
        <v>1.56</v>
      </c>
      <c r="E16" s="14">
        <v>1.54</v>
      </c>
      <c r="F16" s="14">
        <v>1.53</v>
      </c>
      <c r="G16" s="14">
        <v>1.48</v>
      </c>
      <c r="H16" s="14">
        <v>1.38</v>
      </c>
      <c r="I16" s="14"/>
    </row>
    <row r="17" spans="1:9" x14ac:dyDescent="0.25">
      <c r="A17" s="4">
        <v>60</v>
      </c>
      <c r="B17" s="14">
        <v>1.56</v>
      </c>
      <c r="C17" s="14">
        <v>1.59</v>
      </c>
      <c r="D17" s="14">
        <v>1.62</v>
      </c>
      <c r="E17" s="14">
        <v>1.61</v>
      </c>
      <c r="F17" s="14">
        <v>1.6</v>
      </c>
      <c r="G17" s="14">
        <v>1.56</v>
      </c>
      <c r="H17" s="14">
        <v>1.48</v>
      </c>
      <c r="I17" s="14"/>
    </row>
    <row r="18" spans="1:9" x14ac:dyDescent="0.25">
      <c r="A18" s="4">
        <v>70</v>
      </c>
      <c r="B18" s="14">
        <v>1.58</v>
      </c>
      <c r="C18" s="14">
        <v>1.61</v>
      </c>
      <c r="D18" s="14">
        <v>1.62</v>
      </c>
      <c r="E18" s="14">
        <v>1.61</v>
      </c>
      <c r="F18" s="14">
        <v>1.6</v>
      </c>
      <c r="G18" s="14">
        <v>1.58</v>
      </c>
      <c r="H18" s="14">
        <v>1.51</v>
      </c>
      <c r="I18" s="14"/>
    </row>
    <row r="19" spans="1:9" x14ac:dyDescent="0.25">
      <c r="A19" s="4">
        <v>80</v>
      </c>
      <c r="B19" s="14">
        <v>1.57</v>
      </c>
      <c r="C19" s="14">
        <v>1.58</v>
      </c>
      <c r="D19" s="14">
        <v>1.59</v>
      </c>
      <c r="E19" s="14">
        <v>1.58</v>
      </c>
      <c r="F19" s="14">
        <v>1.6</v>
      </c>
      <c r="G19" s="14">
        <v>1.56</v>
      </c>
      <c r="H19" s="14">
        <v>1.49</v>
      </c>
      <c r="I19" s="14"/>
    </row>
    <row r="20" spans="1:9" x14ac:dyDescent="0.25">
      <c r="A20" s="4">
        <v>100</v>
      </c>
      <c r="B20" s="14">
        <v>1.51</v>
      </c>
      <c r="C20" s="14">
        <v>1.51</v>
      </c>
      <c r="D20" s="14">
        <v>1.53</v>
      </c>
      <c r="E20" s="14">
        <v>1.54</v>
      </c>
      <c r="F20" s="14">
        <v>1.54</v>
      </c>
      <c r="G20" s="14">
        <v>1.5</v>
      </c>
      <c r="H20" s="14">
        <v>1.46</v>
      </c>
      <c r="I20" s="14"/>
    </row>
    <row r="21" spans="1:9" x14ac:dyDescent="0.25">
      <c r="A21" s="4">
        <v>120</v>
      </c>
      <c r="B21" s="14">
        <v>1.44</v>
      </c>
      <c r="C21" s="14">
        <v>1.45</v>
      </c>
      <c r="D21" s="14">
        <v>1.46</v>
      </c>
      <c r="E21" s="14">
        <v>1.46</v>
      </c>
      <c r="F21" s="14">
        <v>1.46</v>
      </c>
      <c r="G21" s="14">
        <v>1.44</v>
      </c>
      <c r="H21" s="14">
        <v>1.4</v>
      </c>
      <c r="I21" s="14"/>
    </row>
    <row r="22" spans="1:9" x14ac:dyDescent="0.25">
      <c r="A22" s="4">
        <v>150</v>
      </c>
      <c r="B22" s="14">
        <v>1.4</v>
      </c>
      <c r="C22" s="14">
        <v>1.4</v>
      </c>
      <c r="D22" s="14">
        <v>1.41</v>
      </c>
      <c r="E22" s="14">
        <v>1.41</v>
      </c>
      <c r="F22" s="14">
        <v>1.41</v>
      </c>
      <c r="G22" s="14">
        <v>1.39</v>
      </c>
      <c r="H22" s="14">
        <v>1.35</v>
      </c>
      <c r="I22" s="14"/>
    </row>
    <row r="23" spans="1:9" x14ac:dyDescent="0.25">
      <c r="A23" s="4">
        <v>200</v>
      </c>
      <c r="B23" s="14">
        <v>1.32</v>
      </c>
      <c r="C23" s="14">
        <v>1.34</v>
      </c>
      <c r="D23" s="14">
        <v>1.36</v>
      </c>
      <c r="E23" s="14">
        <v>1.37</v>
      </c>
      <c r="F23" s="14">
        <v>1.34</v>
      </c>
      <c r="G23" s="14">
        <v>1.33</v>
      </c>
      <c r="H23" s="14">
        <v>1.32</v>
      </c>
      <c r="I23" s="14"/>
    </row>
    <row r="24" spans="1:9" x14ac:dyDescent="0.25">
      <c r="A24" s="4">
        <v>240</v>
      </c>
      <c r="B24" s="14">
        <v>1.3</v>
      </c>
      <c r="C24" s="14">
        <v>1.3</v>
      </c>
      <c r="D24" s="14">
        <v>1.32</v>
      </c>
      <c r="E24" s="14">
        <v>1.33</v>
      </c>
      <c r="F24" s="14">
        <v>1.31</v>
      </c>
      <c r="G24" s="14">
        <v>1.3</v>
      </c>
      <c r="H24" s="14">
        <v>1.29</v>
      </c>
      <c r="I24" s="14"/>
    </row>
    <row r="25" spans="1:9" x14ac:dyDescent="0.25">
      <c r="A25" s="4">
        <v>300</v>
      </c>
      <c r="B25" s="14">
        <v>1.26</v>
      </c>
      <c r="C25" s="14">
        <v>1.26</v>
      </c>
      <c r="D25" s="14">
        <v>1.28</v>
      </c>
      <c r="E25" s="14">
        <v>1.31</v>
      </c>
      <c r="F25" s="14">
        <v>1.27</v>
      </c>
      <c r="G25" s="14">
        <v>1.26</v>
      </c>
      <c r="H25" s="14">
        <v>1.25</v>
      </c>
      <c r="I25" s="14"/>
    </row>
    <row r="26" spans="1:9" x14ac:dyDescent="0.25">
      <c r="A26" s="4">
        <v>400</v>
      </c>
      <c r="B26" s="14">
        <v>1.21</v>
      </c>
      <c r="C26" s="14">
        <v>1.23</v>
      </c>
      <c r="D26" s="14">
        <v>1.24</v>
      </c>
      <c r="E26" s="14">
        <v>1.26</v>
      </c>
      <c r="F26" s="14">
        <v>1.24</v>
      </c>
      <c r="G26" s="14">
        <v>1.22</v>
      </c>
      <c r="H26" s="14">
        <v>1.23</v>
      </c>
      <c r="I26" s="14"/>
    </row>
    <row r="27" spans="1:9" x14ac:dyDescent="0.25">
      <c r="A27" s="4">
        <v>500</v>
      </c>
      <c r="B27" s="14">
        <v>1.19</v>
      </c>
      <c r="C27" s="14">
        <v>1.19</v>
      </c>
      <c r="D27" s="14">
        <v>1.21</v>
      </c>
      <c r="E27" s="14">
        <v>1.23</v>
      </c>
      <c r="F27" s="14">
        <v>1.22</v>
      </c>
      <c r="G27" s="14">
        <v>1.19</v>
      </c>
      <c r="H27" s="14">
        <v>1.19</v>
      </c>
      <c r="I27" s="14"/>
    </row>
    <row r="28" spans="1:9" x14ac:dyDescent="0.25">
      <c r="A28" s="4">
        <v>511</v>
      </c>
      <c r="B28" s="14">
        <v>1.18</v>
      </c>
      <c r="C28" s="14">
        <v>1.18</v>
      </c>
      <c r="D28" s="14">
        <v>1.22</v>
      </c>
      <c r="E28" s="14">
        <v>1.24</v>
      </c>
      <c r="F28" s="14">
        <v>1.23</v>
      </c>
      <c r="G28" s="14">
        <v>1.19</v>
      </c>
      <c r="H28" s="14">
        <v>1.19</v>
      </c>
      <c r="I28" s="14"/>
    </row>
    <row r="29" spans="1:9" x14ac:dyDescent="0.25">
      <c r="A29" s="4">
        <v>600</v>
      </c>
      <c r="B29" s="14">
        <v>1.18</v>
      </c>
      <c r="C29" s="14">
        <v>1.18</v>
      </c>
      <c r="D29" s="14">
        <v>1.2</v>
      </c>
      <c r="E29" s="14">
        <v>1.22</v>
      </c>
      <c r="F29" s="14">
        <v>1.2</v>
      </c>
      <c r="G29" s="14">
        <v>1.18</v>
      </c>
      <c r="H29" s="14">
        <v>1.18</v>
      </c>
      <c r="I29" s="14"/>
    </row>
    <row r="30" spans="1:9" x14ac:dyDescent="0.25">
      <c r="A30" s="4">
        <v>662</v>
      </c>
      <c r="B30" s="14">
        <v>1.17</v>
      </c>
      <c r="C30" s="14">
        <v>1.17</v>
      </c>
      <c r="D30" s="14">
        <v>1.18</v>
      </c>
      <c r="E30" s="14">
        <v>1.21</v>
      </c>
      <c r="F30" s="14">
        <v>1.19</v>
      </c>
      <c r="G30" s="14">
        <v>1.17</v>
      </c>
      <c r="H30" s="14">
        <v>1.17</v>
      </c>
      <c r="I30" s="14"/>
    </row>
    <row r="31" spans="1:9" x14ac:dyDescent="0.25">
      <c r="A31" s="4">
        <v>800</v>
      </c>
      <c r="B31" s="14">
        <v>1.1499999999999999</v>
      </c>
      <c r="C31" s="14">
        <v>1.1599999999999999</v>
      </c>
      <c r="D31" s="14">
        <v>1.17</v>
      </c>
      <c r="E31" s="14">
        <v>1.19</v>
      </c>
      <c r="F31" s="14">
        <v>1.18</v>
      </c>
      <c r="G31" s="14">
        <v>1.1499999999999999</v>
      </c>
      <c r="H31" s="14">
        <v>1.1499999999999999</v>
      </c>
      <c r="I31" s="14"/>
    </row>
    <row r="32" spans="1:9" x14ac:dyDescent="0.25">
      <c r="A32" s="4">
        <v>1000</v>
      </c>
      <c r="B32" s="14">
        <v>1.1299999999999999</v>
      </c>
      <c r="C32" s="14">
        <v>1.1299999999999999</v>
      </c>
      <c r="D32" s="14">
        <v>1.1499999999999999</v>
      </c>
      <c r="E32" s="14">
        <v>1.18</v>
      </c>
      <c r="F32" s="14">
        <v>1.1599999999999999</v>
      </c>
      <c r="G32" s="14">
        <v>1.1299999999999999</v>
      </c>
      <c r="H32" s="14">
        <v>1.1399999999999999</v>
      </c>
      <c r="I32" s="14"/>
    </row>
    <row r="33" spans="1:9" x14ac:dyDescent="0.25">
      <c r="A33" s="4">
        <v>1117</v>
      </c>
      <c r="B33" s="14">
        <v>1.1299999999999999</v>
      </c>
      <c r="C33" s="14">
        <v>1.1399999999999999</v>
      </c>
      <c r="D33" s="14">
        <v>1.1399999999999999</v>
      </c>
      <c r="E33" s="14">
        <v>1.1599999999999999</v>
      </c>
      <c r="F33" s="14">
        <v>1.1499999999999999</v>
      </c>
      <c r="G33" s="14">
        <v>1.1399999999999999</v>
      </c>
      <c r="H33" s="14">
        <v>1.1399999999999999</v>
      </c>
      <c r="I33" s="14"/>
    </row>
    <row r="34" spans="1:9" x14ac:dyDescent="0.25">
      <c r="A34" s="4">
        <v>1200</v>
      </c>
      <c r="B34" s="14">
        <v>1.1299999999999999</v>
      </c>
      <c r="C34" s="14">
        <v>1.1299999999999999</v>
      </c>
      <c r="D34" s="14">
        <v>1.1399999999999999</v>
      </c>
      <c r="E34" s="14">
        <v>1.1599999999999999</v>
      </c>
      <c r="F34" s="14">
        <v>1.1499999999999999</v>
      </c>
      <c r="G34" s="14">
        <v>1.1299999999999999</v>
      </c>
      <c r="H34" s="14">
        <v>1.1499999999999999</v>
      </c>
      <c r="I34" s="14"/>
    </row>
    <row r="35" spans="1:9" x14ac:dyDescent="0.25">
      <c r="A35" s="4">
        <v>1300</v>
      </c>
      <c r="B35" s="14">
        <v>1.1000000000000001</v>
      </c>
      <c r="C35" s="14">
        <v>1.1200000000000001</v>
      </c>
      <c r="D35" s="14">
        <v>1.1200000000000001</v>
      </c>
      <c r="E35" s="14">
        <v>1.1599999999999999</v>
      </c>
      <c r="F35" s="14">
        <v>1.1499999999999999</v>
      </c>
      <c r="G35" s="14">
        <v>1.1200000000000001</v>
      </c>
      <c r="H35" s="14">
        <v>1.1299999999999999</v>
      </c>
      <c r="I35" s="14"/>
    </row>
    <row r="36" spans="1:9" x14ac:dyDescent="0.25">
      <c r="A36" s="4">
        <v>1330</v>
      </c>
      <c r="B36" s="14">
        <v>1.1000000000000001</v>
      </c>
      <c r="C36" s="14">
        <v>1.1200000000000001</v>
      </c>
      <c r="D36" s="14">
        <v>1.1200000000000001</v>
      </c>
      <c r="E36" s="14">
        <v>1.1399999999999999</v>
      </c>
      <c r="F36" s="14">
        <v>1.1499999999999999</v>
      </c>
      <c r="G36" s="14">
        <v>1.1200000000000001</v>
      </c>
      <c r="H36" s="14">
        <v>1.1200000000000001</v>
      </c>
      <c r="I36" s="14"/>
    </row>
    <row r="37" spans="1:9" x14ac:dyDescent="0.25">
      <c r="A37" s="4">
        <v>1500</v>
      </c>
      <c r="B37" s="14">
        <v>1.07</v>
      </c>
      <c r="C37" s="14">
        <v>1.08</v>
      </c>
      <c r="D37" s="14">
        <v>1.0900000000000001</v>
      </c>
      <c r="E37" s="14">
        <v>1.1200000000000001</v>
      </c>
      <c r="F37" s="14">
        <v>1.1200000000000001</v>
      </c>
      <c r="G37" s="14">
        <v>1.1000000000000001</v>
      </c>
      <c r="H37" s="14">
        <v>1.1100000000000001</v>
      </c>
      <c r="I37" s="14"/>
    </row>
    <row r="38" spans="1:9" x14ac:dyDescent="0.25">
      <c r="A38" s="4">
        <v>1700</v>
      </c>
      <c r="B38" s="14">
        <v>1.03</v>
      </c>
      <c r="C38" s="14">
        <v>1.03</v>
      </c>
      <c r="D38" s="14">
        <v>1.05</v>
      </c>
      <c r="E38" s="14">
        <v>1.08</v>
      </c>
      <c r="F38" s="14">
        <v>1.1000000000000001</v>
      </c>
      <c r="G38" s="14">
        <v>1.08</v>
      </c>
      <c r="H38" s="14">
        <v>1.1000000000000001</v>
      </c>
      <c r="I38" s="14"/>
    </row>
    <row r="39" spans="1:9" x14ac:dyDescent="0.25">
      <c r="A39" s="4">
        <v>2000</v>
      </c>
      <c r="B39" s="14">
        <v>0.93200000000000005</v>
      </c>
      <c r="C39" s="14">
        <v>0.94799999999999995</v>
      </c>
      <c r="D39" s="14">
        <v>0.96399999999999997</v>
      </c>
      <c r="E39" s="14">
        <v>1.01</v>
      </c>
      <c r="F39" s="14">
        <v>1.05</v>
      </c>
      <c r="G39" s="14">
        <v>1.04</v>
      </c>
      <c r="H39" s="14">
        <v>1.07</v>
      </c>
      <c r="I39" s="14"/>
    </row>
    <row r="40" spans="1:9" x14ac:dyDescent="0.25">
      <c r="A40" s="4">
        <v>2400</v>
      </c>
      <c r="B40" s="14">
        <v>0.79900000000000004</v>
      </c>
      <c r="C40" s="14">
        <v>0.81</v>
      </c>
      <c r="D40" s="14">
        <v>0.84599999999999997</v>
      </c>
      <c r="E40" s="14">
        <v>0.91600000000000004</v>
      </c>
      <c r="F40" s="14">
        <v>0.98899999999999999</v>
      </c>
      <c r="G40" s="14">
        <v>1.01</v>
      </c>
      <c r="H40" s="14">
        <v>1.02</v>
      </c>
      <c r="I40" s="14"/>
    </row>
    <row r="41" spans="1:9" x14ac:dyDescent="0.25">
      <c r="A41" s="4">
        <v>3000</v>
      </c>
      <c r="B41" s="14">
        <v>0.63600000000000001</v>
      </c>
      <c r="C41" s="14">
        <v>0.65100000000000002</v>
      </c>
      <c r="D41" s="14">
        <v>0.69299999999999995</v>
      </c>
      <c r="E41" s="14">
        <v>0.78900000000000003</v>
      </c>
      <c r="F41" s="14">
        <v>0.90200000000000002</v>
      </c>
      <c r="G41" s="14">
        <v>0.96299999999999997</v>
      </c>
      <c r="H41" s="14">
        <v>0.93500000000000005</v>
      </c>
      <c r="I41" s="14"/>
    </row>
    <row r="42" spans="1:9" x14ac:dyDescent="0.25">
      <c r="A42" s="4">
        <v>4000</v>
      </c>
      <c r="B42" s="14">
        <v>0.46300000000000002</v>
      </c>
      <c r="C42" s="14">
        <v>0.48199999999999998</v>
      </c>
      <c r="D42" s="14">
        <v>0.52900000000000003</v>
      </c>
      <c r="E42" s="14">
        <v>0.63200000000000001</v>
      </c>
      <c r="F42" s="14">
        <v>0.79400000000000004</v>
      </c>
      <c r="G42" s="14">
        <v>0.90100000000000002</v>
      </c>
      <c r="H42" s="14">
        <v>0.90400000000000003</v>
      </c>
    </row>
    <row r="43" spans="1:9" x14ac:dyDescent="0.25">
      <c r="A43" s="4">
        <v>5000</v>
      </c>
      <c r="B43" s="14">
        <v>0.36199999999999999</v>
      </c>
      <c r="C43" s="14">
        <v>0.377</v>
      </c>
      <c r="D43" s="14">
        <v>0.42899999999999999</v>
      </c>
      <c r="E43" s="14">
        <v>0.54100000000000004</v>
      </c>
      <c r="F43" s="14">
        <v>0.71499999999999997</v>
      </c>
      <c r="G43" s="14">
        <v>0.86099999999999999</v>
      </c>
      <c r="H43" s="14">
        <v>0.88900000000000001</v>
      </c>
    </row>
    <row r="44" spans="1:9" x14ac:dyDescent="0.25">
      <c r="A44" s="4">
        <v>6000</v>
      </c>
      <c r="B44" s="14">
        <v>0.29799999999999999</v>
      </c>
      <c r="C44" s="14">
        <v>0.312</v>
      </c>
      <c r="D44" s="14">
        <v>0.36299999999999999</v>
      </c>
      <c r="E44" s="14">
        <v>0.47</v>
      </c>
      <c r="F44" s="14">
        <v>0.66200000000000003</v>
      </c>
      <c r="G44" s="14">
        <v>0.83</v>
      </c>
      <c r="H44" s="14">
        <v>0.86799999999999999</v>
      </c>
    </row>
    <row r="45" spans="1:9" x14ac:dyDescent="0.25">
      <c r="A45" s="4">
        <v>6129</v>
      </c>
      <c r="B45" s="14">
        <v>0.29199999999999998</v>
      </c>
      <c r="C45" s="14">
        <v>0.308</v>
      </c>
      <c r="D45" s="14">
        <v>0.35</v>
      </c>
      <c r="E45" s="14">
        <v>0.46300000000000002</v>
      </c>
      <c r="F45" s="14">
        <v>0.65500000000000003</v>
      </c>
      <c r="G45" s="14">
        <v>0.81299999999999994</v>
      </c>
      <c r="H45" s="14">
        <v>0.86899999999999999</v>
      </c>
    </row>
    <row r="46" spans="1:9" x14ac:dyDescent="0.25">
      <c r="A46" s="4">
        <v>8000</v>
      </c>
      <c r="B46" s="14">
        <v>0.22</v>
      </c>
      <c r="C46" s="14">
        <v>0.23200000000000001</v>
      </c>
      <c r="D46" s="14">
        <v>0.27400000000000002</v>
      </c>
      <c r="E46" s="14">
        <v>0.371</v>
      </c>
      <c r="F46" s="14">
        <v>0.57399999999999995</v>
      </c>
      <c r="G46" s="14">
        <v>0.77300000000000002</v>
      </c>
      <c r="H46" s="14">
        <v>0.84699999999999998</v>
      </c>
    </row>
    <row r="47" spans="1:9" x14ac:dyDescent="0.25">
      <c r="A47" s="4">
        <v>10000</v>
      </c>
      <c r="B47" s="14">
        <v>0.17299999999999999</v>
      </c>
      <c r="C47" s="14">
        <v>0.18099999999999999</v>
      </c>
      <c r="D47" s="14">
        <v>0.215</v>
      </c>
      <c r="E47" s="14">
        <v>0.29699999999999999</v>
      </c>
      <c r="F47" s="14">
        <v>0.50600000000000001</v>
      </c>
      <c r="G47" s="14">
        <v>0.72799999999999998</v>
      </c>
      <c r="H47" s="14">
        <v>0.80700000000000005</v>
      </c>
    </row>
    <row r="48" spans="1:9" x14ac:dyDescent="0.25">
      <c r="A48" s="4">
        <v>15000</v>
      </c>
      <c r="B48" s="14">
        <v>0.115</v>
      </c>
      <c r="C48" s="14">
        <v>0.121</v>
      </c>
      <c r="D48" s="14">
        <v>0.13900000000000001</v>
      </c>
      <c r="E48" s="14">
        <v>0.191</v>
      </c>
      <c r="F48" s="14">
        <v>0.36199999999999999</v>
      </c>
      <c r="G48" s="14">
        <v>0.60399999999999998</v>
      </c>
      <c r="H48" s="14">
        <v>0.747</v>
      </c>
    </row>
    <row r="49" spans="1:8" x14ac:dyDescent="0.25">
      <c r="A49" s="4">
        <v>20000</v>
      </c>
      <c r="B49" s="14">
        <v>8.6900000000000005E-2</v>
      </c>
      <c r="C49" s="14">
        <v>0.09</v>
      </c>
      <c r="D49" s="14">
        <v>0.10100000000000001</v>
      </c>
      <c r="E49" s="14">
        <v>0.13500000000000001</v>
      </c>
      <c r="F49" s="14">
        <v>0.27400000000000002</v>
      </c>
      <c r="G49" s="14">
        <v>0.504</v>
      </c>
      <c r="H49" s="14">
        <v>0.68100000000000005</v>
      </c>
    </row>
    <row r="50" spans="1:8" x14ac:dyDescent="0.25">
      <c r="A50" s="4">
        <v>30000</v>
      </c>
      <c r="B50" s="14">
        <v>5.8400000000000001E-2</v>
      </c>
      <c r="C50" s="14">
        <v>0.06</v>
      </c>
      <c r="D50" s="14">
        <v>6.6799999999999998E-2</v>
      </c>
      <c r="E50" s="14">
        <v>8.5099999999999995E-2</v>
      </c>
      <c r="F50" s="14">
        <v>0.17399999999999999</v>
      </c>
      <c r="G50" s="14">
        <v>0.35899999999999999</v>
      </c>
      <c r="H50" s="14">
        <v>0.55300000000000005</v>
      </c>
    </row>
    <row r="51" spans="1:8" x14ac:dyDescent="0.25">
      <c r="A51" s="4">
        <v>40000</v>
      </c>
      <c r="B51" s="14">
        <v>4.3900000000000002E-2</v>
      </c>
      <c r="C51" s="14">
        <v>4.48E-2</v>
      </c>
      <c r="D51" s="14">
        <v>5.0099999999999999E-2</v>
      </c>
      <c r="E51" s="14">
        <v>6.0999999999999999E-2</v>
      </c>
      <c r="F51" s="14">
        <v>0.126</v>
      </c>
      <c r="G51" s="14">
        <v>0.27300000000000002</v>
      </c>
      <c r="H51" s="14">
        <v>0.45200000000000001</v>
      </c>
    </row>
    <row r="52" spans="1:8" x14ac:dyDescent="0.25">
      <c r="A52" s="4">
        <v>50000</v>
      </c>
      <c r="B52" s="14">
        <v>3.49E-2</v>
      </c>
      <c r="C52" s="14">
        <v>3.6200000000000003E-2</v>
      </c>
      <c r="D52" s="14">
        <v>3.95E-2</v>
      </c>
      <c r="E52" s="14">
        <v>4.7899999999999998E-2</v>
      </c>
      <c r="F52" s="14">
        <v>9.7699999999999995E-2</v>
      </c>
      <c r="G52" s="14">
        <v>0.221</v>
      </c>
      <c r="H52" s="14">
        <v>0.38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31"/>
  <sheetViews>
    <sheetView workbookViewId="0">
      <selection activeCell="A2" sqref="A2:H6"/>
    </sheetView>
  </sheetViews>
  <sheetFormatPr defaultRowHeight="15" x14ac:dyDescent="0.25"/>
  <cols>
    <col min="1" max="1" width="16.140625" style="1" customWidth="1"/>
  </cols>
  <sheetData>
    <row r="1" spans="1:8" x14ac:dyDescent="0.25">
      <c r="A1" s="3" t="s">
        <v>15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v>2</v>
      </c>
      <c r="B2" s="13">
        <v>1.7999999999999999E-2</v>
      </c>
      <c r="C2" s="13">
        <v>1.5800000000000002E-2</v>
      </c>
      <c r="D2" s="13">
        <v>1.0200000000000001E-2</v>
      </c>
      <c r="E2" s="13">
        <v>4.1099999999999999E-3</v>
      </c>
      <c r="F2" s="13">
        <v>6.7000000000000002E-4</v>
      </c>
      <c r="G2" s="13">
        <v>1.2500000000000001E-5</v>
      </c>
      <c r="H2" s="13">
        <v>1.9999999999999999E-7</v>
      </c>
    </row>
    <row r="3" spans="1:8" x14ac:dyDescent="0.25">
      <c r="A3" s="1">
        <v>3</v>
      </c>
      <c r="B3" s="13">
        <v>0.27600000000000002</v>
      </c>
      <c r="C3" s="13">
        <v>0.26400000000000001</v>
      </c>
      <c r="D3" s="13">
        <v>0.224</v>
      </c>
      <c r="E3" s="13">
        <v>0.159</v>
      </c>
      <c r="F3" s="13">
        <v>7.5899999999999995E-2</v>
      </c>
      <c r="G3" s="13">
        <v>1.1599999999999999E-2</v>
      </c>
      <c r="H3" s="13">
        <v>3.3599999999999997E-5</v>
      </c>
    </row>
    <row r="4" spans="1:8" x14ac:dyDescent="0.25">
      <c r="A4" s="1">
        <v>4</v>
      </c>
      <c r="B4" s="13">
        <v>0.55000000000000004</v>
      </c>
      <c r="C4" s="13">
        <v>0.53900000000000003</v>
      </c>
      <c r="D4" s="13">
        <v>0.501</v>
      </c>
      <c r="E4" s="13">
        <v>0.42799999999999999</v>
      </c>
      <c r="F4" s="13">
        <v>0.30099999999999999</v>
      </c>
      <c r="G4" s="13">
        <v>0.109</v>
      </c>
      <c r="H4" s="13">
        <v>2E-3</v>
      </c>
    </row>
    <row r="5" spans="1:8" x14ac:dyDescent="0.25">
      <c r="A5" s="1">
        <v>5</v>
      </c>
      <c r="B5" s="13">
        <v>0.74</v>
      </c>
      <c r="C5" s="13">
        <v>0.73099999999999998</v>
      </c>
      <c r="D5" s="13">
        <v>0.70399999999999996</v>
      </c>
      <c r="E5" s="13">
        <v>0.64800000000000002</v>
      </c>
      <c r="F5" s="13">
        <v>0.53800000000000003</v>
      </c>
      <c r="G5" s="13">
        <v>0.29799999999999999</v>
      </c>
      <c r="H5" s="13">
        <v>1.8100000000000002E-2</v>
      </c>
    </row>
    <row r="6" spans="1:8" x14ac:dyDescent="0.25">
      <c r="A6" s="1">
        <v>7</v>
      </c>
      <c r="B6" s="13">
        <v>0.90400000000000003</v>
      </c>
      <c r="C6" s="13">
        <v>0.90100000000000002</v>
      </c>
      <c r="D6" s="13">
        <v>0.88700000000000001</v>
      </c>
      <c r="E6" s="13">
        <v>0.86</v>
      </c>
      <c r="F6" s="13">
        <v>0.80200000000000005</v>
      </c>
      <c r="G6" s="13">
        <v>0.63300000000000001</v>
      </c>
      <c r="H6" s="13">
        <v>0.11799999999999999</v>
      </c>
    </row>
    <row r="7" spans="1:8" x14ac:dyDescent="0.25">
      <c r="A7" s="1">
        <v>10</v>
      </c>
      <c r="B7" s="13">
        <v>0.97399999999999998</v>
      </c>
      <c r="C7" s="13">
        <v>0.97499999999999998</v>
      </c>
      <c r="D7" s="13">
        <v>0.96899999999999997</v>
      </c>
      <c r="E7" s="13">
        <v>0.96499999999999997</v>
      </c>
      <c r="F7" s="13">
        <v>0.93799999999999994</v>
      </c>
      <c r="G7" s="13">
        <v>0.86099999999999999</v>
      </c>
      <c r="H7" s="13">
        <v>0.33</v>
      </c>
    </row>
    <row r="8" spans="1:8" x14ac:dyDescent="0.25">
      <c r="A8" s="1">
        <v>15</v>
      </c>
      <c r="B8" s="13">
        <v>1.03</v>
      </c>
      <c r="C8" s="13">
        <v>1.03</v>
      </c>
      <c r="D8" s="13">
        <v>1.03</v>
      </c>
      <c r="E8" s="13">
        <v>1.02</v>
      </c>
      <c r="F8" s="13">
        <v>1.02</v>
      </c>
      <c r="G8" s="13">
        <v>0.98599999999999999</v>
      </c>
      <c r="H8" s="13">
        <v>0.63900000000000001</v>
      </c>
    </row>
    <row r="9" spans="1:8" x14ac:dyDescent="0.25">
      <c r="A9" s="1">
        <v>20</v>
      </c>
      <c r="B9" s="13">
        <v>1.1000000000000001</v>
      </c>
      <c r="C9" s="13">
        <v>1.0900000000000001</v>
      </c>
      <c r="D9" s="13">
        <v>1.1000000000000001</v>
      </c>
      <c r="E9" s="13">
        <v>1.0900000000000001</v>
      </c>
      <c r="F9" s="13">
        <v>1.07</v>
      </c>
      <c r="G9" s="13">
        <v>1.05</v>
      </c>
      <c r="H9" s="13">
        <v>0.83499999999999996</v>
      </c>
    </row>
    <row r="10" spans="1:8" x14ac:dyDescent="0.25">
      <c r="A10" s="1">
        <v>30</v>
      </c>
      <c r="B10" s="13">
        <v>1.24</v>
      </c>
      <c r="C10" s="13">
        <v>1.25</v>
      </c>
      <c r="D10" s="13">
        <v>1.25</v>
      </c>
      <c r="E10" s="13">
        <v>1.23</v>
      </c>
      <c r="F10" s="13">
        <v>1.23</v>
      </c>
      <c r="G10" s="13">
        <v>1.2</v>
      </c>
      <c r="H10" s="13">
        <v>1.07</v>
      </c>
    </row>
    <row r="11" spans="1:8" x14ac:dyDescent="0.25">
      <c r="A11" s="1">
        <v>50</v>
      </c>
      <c r="B11" s="13">
        <v>1.44</v>
      </c>
      <c r="C11" s="13">
        <v>1.45</v>
      </c>
      <c r="D11" s="13">
        <v>1.41</v>
      </c>
      <c r="E11" s="13">
        <v>1.43</v>
      </c>
      <c r="F11" s="13">
        <v>1.41</v>
      </c>
      <c r="G11" s="13">
        <v>1.39</v>
      </c>
      <c r="H11" s="13">
        <v>1.31</v>
      </c>
    </row>
    <row r="12" spans="1:8" x14ac:dyDescent="0.25">
      <c r="A12" s="1">
        <v>70</v>
      </c>
      <c r="B12" s="13">
        <v>1.46</v>
      </c>
      <c r="C12" s="13">
        <v>1.46</v>
      </c>
      <c r="D12" s="13">
        <v>1.45</v>
      </c>
      <c r="E12" s="13">
        <v>1.43</v>
      </c>
      <c r="F12" s="13">
        <v>1.44</v>
      </c>
      <c r="G12" s="13">
        <v>1.43</v>
      </c>
      <c r="H12" s="13">
        <v>1.35</v>
      </c>
    </row>
    <row r="13" spans="1:8" x14ac:dyDescent="0.25">
      <c r="A13" s="1">
        <v>100</v>
      </c>
      <c r="B13" s="13">
        <v>1.37</v>
      </c>
      <c r="C13" s="13">
        <v>1.38</v>
      </c>
      <c r="D13" s="13">
        <v>1.38</v>
      </c>
      <c r="E13" s="13">
        <v>1.37</v>
      </c>
      <c r="F13" s="13">
        <v>1.37</v>
      </c>
      <c r="G13" s="13">
        <v>1.38</v>
      </c>
      <c r="H13" s="13">
        <v>1.33</v>
      </c>
    </row>
    <row r="14" spans="1:8" x14ac:dyDescent="0.25">
      <c r="A14" s="1">
        <v>150</v>
      </c>
      <c r="B14" s="13">
        <v>1.3</v>
      </c>
      <c r="C14" s="13">
        <v>1.3</v>
      </c>
      <c r="D14" s="13">
        <v>1.29</v>
      </c>
      <c r="E14" s="13">
        <v>1.29</v>
      </c>
      <c r="F14" s="13">
        <v>1.31</v>
      </c>
      <c r="G14" s="13">
        <v>1.33</v>
      </c>
      <c r="H14" s="13">
        <v>1.29</v>
      </c>
    </row>
    <row r="15" spans="1:8" x14ac:dyDescent="0.25">
      <c r="A15" s="1">
        <v>200</v>
      </c>
      <c r="B15" s="13">
        <v>1.2</v>
      </c>
      <c r="C15" s="13">
        <v>1.22</v>
      </c>
      <c r="D15" s="13">
        <v>1.23</v>
      </c>
      <c r="E15" s="13">
        <v>1.24</v>
      </c>
      <c r="F15" s="13">
        <v>1.26</v>
      </c>
      <c r="G15" s="13">
        <v>1.29</v>
      </c>
      <c r="H15" s="13">
        <v>1.25</v>
      </c>
    </row>
    <row r="16" spans="1:8" x14ac:dyDescent="0.25">
      <c r="A16" s="1">
        <v>300</v>
      </c>
      <c r="B16" s="13">
        <v>0.80100000000000005</v>
      </c>
      <c r="C16" s="13">
        <v>0.81399999999999995</v>
      </c>
      <c r="D16" s="13">
        <v>0.86199999999999999</v>
      </c>
      <c r="E16" s="13">
        <v>0.92700000000000005</v>
      </c>
      <c r="F16" s="13">
        <v>1.02</v>
      </c>
      <c r="G16" s="13">
        <v>1.1100000000000001</v>
      </c>
      <c r="H16" s="13">
        <v>1.1399999999999999</v>
      </c>
    </row>
    <row r="17" spans="1:8" x14ac:dyDescent="0.25">
      <c r="A17" s="1">
        <v>500</v>
      </c>
      <c r="B17" s="13">
        <v>0.39600000000000002</v>
      </c>
      <c r="C17" s="13">
        <v>0.40799999999999997</v>
      </c>
      <c r="D17" s="13">
        <v>0.45700000000000002</v>
      </c>
      <c r="E17" s="13">
        <v>0.53800000000000003</v>
      </c>
      <c r="F17" s="13">
        <v>0.65800000000000003</v>
      </c>
      <c r="G17" s="13">
        <v>0.79700000000000004</v>
      </c>
      <c r="H17" s="13">
        <v>0.91100000000000003</v>
      </c>
    </row>
    <row r="18" spans="1:8" x14ac:dyDescent="0.25">
      <c r="A18" s="1">
        <v>662</v>
      </c>
      <c r="B18" s="13">
        <v>0.26300000000000001</v>
      </c>
      <c r="C18" s="13">
        <v>0.27600000000000002</v>
      </c>
      <c r="D18" s="13">
        <v>0.316</v>
      </c>
      <c r="E18" s="13">
        <v>0.39700000000000002</v>
      </c>
      <c r="F18" s="13">
        <v>0.50600000000000001</v>
      </c>
      <c r="G18" s="13">
        <v>0.65600000000000003</v>
      </c>
      <c r="H18" s="13">
        <v>0.79400000000000004</v>
      </c>
    </row>
    <row r="19" spans="1:8" x14ac:dyDescent="0.25">
      <c r="A19" s="1">
        <v>700</v>
      </c>
      <c r="B19" s="13">
        <v>0.246</v>
      </c>
      <c r="C19" s="13">
        <v>0.255</v>
      </c>
      <c r="D19" s="13">
        <v>0.29799999999999999</v>
      </c>
      <c r="E19" s="13">
        <v>0.371</v>
      </c>
      <c r="F19" s="13">
        <v>0.48799999999999999</v>
      </c>
      <c r="G19" s="13">
        <v>0.63600000000000001</v>
      </c>
      <c r="H19" s="13">
        <v>0.77500000000000002</v>
      </c>
    </row>
    <row r="20" spans="1:8" x14ac:dyDescent="0.25">
      <c r="A20" s="1">
        <v>1000</v>
      </c>
      <c r="B20" s="13">
        <v>0.14799999999999999</v>
      </c>
      <c r="C20" s="13">
        <v>0.158</v>
      </c>
      <c r="D20" s="13">
        <v>0.186</v>
      </c>
      <c r="E20" s="13">
        <v>0.24299999999999999</v>
      </c>
      <c r="F20" s="13">
        <v>0.35699999999999998</v>
      </c>
      <c r="G20" s="13">
        <v>0.504</v>
      </c>
      <c r="H20" s="13">
        <v>0.66500000000000004</v>
      </c>
    </row>
    <row r="21" spans="1:8" x14ac:dyDescent="0.25">
      <c r="A21" s="1">
        <v>1250</v>
      </c>
      <c r="B21" s="13">
        <v>0.108</v>
      </c>
      <c r="C21" s="13">
        <v>0.114</v>
      </c>
      <c r="D21" s="13">
        <v>0.14199999999999999</v>
      </c>
      <c r="E21" s="13">
        <v>0.20599999999999999</v>
      </c>
      <c r="F21" s="13">
        <v>0.3</v>
      </c>
      <c r="G21" s="13">
        <v>0.441</v>
      </c>
      <c r="H21" s="13">
        <v>0.61699999999999999</v>
      </c>
    </row>
    <row r="22" spans="1:8" x14ac:dyDescent="0.25">
      <c r="A22" s="1">
        <v>1500</v>
      </c>
      <c r="B22" s="13">
        <v>8.6800000000000002E-2</v>
      </c>
      <c r="C22" s="13">
        <v>9.2999999999999999E-2</v>
      </c>
      <c r="D22" s="13">
        <v>0.11899999999999999</v>
      </c>
      <c r="E22" s="13">
        <v>0.159</v>
      </c>
      <c r="F22" s="13">
        <v>0.254</v>
      </c>
      <c r="G22" s="13">
        <v>0.39900000000000002</v>
      </c>
      <c r="H22" s="13">
        <v>0.57399999999999995</v>
      </c>
    </row>
    <row r="23" spans="1:8" x14ac:dyDescent="0.25">
      <c r="A23" s="1">
        <v>2000</v>
      </c>
      <c r="B23" s="13">
        <v>5.8200000000000002E-2</v>
      </c>
      <c r="C23" s="13">
        <v>6.13E-2</v>
      </c>
      <c r="D23" s="13">
        <v>8.0100000000000005E-2</v>
      </c>
      <c r="E23" s="13">
        <v>0.121</v>
      </c>
      <c r="F23" s="13">
        <v>0.19700000000000001</v>
      </c>
      <c r="G23" s="13">
        <v>0.34</v>
      </c>
      <c r="H23" s="13">
        <v>0.52800000000000002</v>
      </c>
    </row>
    <row r="24" spans="1:8" x14ac:dyDescent="0.25">
      <c r="A24" s="1">
        <v>3000</v>
      </c>
      <c r="B24" s="13">
        <v>3.2500000000000001E-2</v>
      </c>
      <c r="C24" s="13">
        <v>3.5700000000000003E-2</v>
      </c>
      <c r="D24" s="13">
        <v>4.9700000000000001E-2</v>
      </c>
      <c r="E24" s="13">
        <v>7.6499999999999999E-2</v>
      </c>
      <c r="F24" s="13">
        <v>0.13800000000000001</v>
      </c>
      <c r="G24" s="13">
        <v>0.26200000000000001</v>
      </c>
      <c r="H24" s="13">
        <v>0.47</v>
      </c>
    </row>
    <row r="25" spans="1:8" x14ac:dyDescent="0.25">
      <c r="A25" s="1">
        <v>5000</v>
      </c>
      <c r="B25" s="13">
        <v>1.77E-2</v>
      </c>
      <c r="C25" s="13">
        <v>1.9400000000000001E-2</v>
      </c>
      <c r="D25" s="13">
        <v>2.5700000000000001E-2</v>
      </c>
      <c r="E25" s="13">
        <v>3.9699999999999999E-2</v>
      </c>
      <c r="F25" s="13">
        <v>7.5999999999999998E-2</v>
      </c>
      <c r="G25" s="13">
        <v>0.17499999999999999</v>
      </c>
      <c r="H25" s="13">
        <v>0.39</v>
      </c>
    </row>
    <row r="26" spans="1:8" x14ac:dyDescent="0.25">
      <c r="A26" s="1">
        <v>7000</v>
      </c>
      <c r="B26" s="13">
        <v>1.11E-2</v>
      </c>
      <c r="C26" s="13">
        <v>1.2800000000000001E-2</v>
      </c>
      <c r="D26" s="13">
        <v>1.61E-2</v>
      </c>
      <c r="E26" s="13">
        <v>2.5700000000000001E-2</v>
      </c>
      <c r="F26" s="13">
        <v>4.9200000000000001E-2</v>
      </c>
      <c r="G26" s="13">
        <v>0.12</v>
      </c>
      <c r="H26" s="13">
        <v>0.33300000000000002</v>
      </c>
    </row>
    <row r="27" spans="1:8" x14ac:dyDescent="0.25">
      <c r="A27" s="1">
        <v>10000</v>
      </c>
      <c r="B27" s="13">
        <v>8.5400000000000007E-3</v>
      </c>
      <c r="C27" s="13">
        <v>8.0499999999999999E-3</v>
      </c>
      <c r="D27" s="13">
        <v>9.3900000000000008E-3</v>
      </c>
      <c r="E27" s="13">
        <v>1.55E-2</v>
      </c>
      <c r="F27" s="13">
        <v>3.09E-2</v>
      </c>
      <c r="G27" s="13">
        <v>7.4999999999999997E-2</v>
      </c>
      <c r="H27" s="13">
        <v>0.245</v>
      </c>
    </row>
    <row r="28" spans="1:8" x14ac:dyDescent="0.25">
      <c r="A28" s="1">
        <v>15000</v>
      </c>
      <c r="B28" s="13">
        <v>5.2500000000000003E-3</v>
      </c>
      <c r="C28" s="13">
        <v>5.3600000000000002E-3</v>
      </c>
      <c r="D28" s="13">
        <v>6.13E-3</v>
      </c>
      <c r="E28" s="13">
        <v>8.8000000000000005E-3</v>
      </c>
      <c r="F28" s="13">
        <v>1.55E-2</v>
      </c>
      <c r="G28" s="13">
        <v>3.9800000000000002E-2</v>
      </c>
      <c r="H28" s="13">
        <v>0.158</v>
      </c>
    </row>
    <row r="29" spans="1:8" x14ac:dyDescent="0.25">
      <c r="A29" s="1">
        <v>20000</v>
      </c>
      <c r="B29" s="13">
        <v>3.3700000000000002E-3</v>
      </c>
      <c r="C29" s="13">
        <v>3.3999999999999998E-3</v>
      </c>
      <c r="D29" s="13">
        <v>4.1999999999999997E-3</v>
      </c>
      <c r="E29" s="13">
        <v>5.45E-3</v>
      </c>
      <c r="F29" s="13">
        <v>0.01</v>
      </c>
      <c r="G29" s="13">
        <v>2.5399999999999999E-2</v>
      </c>
      <c r="H29" s="13">
        <v>0.112</v>
      </c>
    </row>
    <row r="30" spans="1:8" x14ac:dyDescent="0.25">
      <c r="A30" s="1">
        <v>30000</v>
      </c>
      <c r="B30" s="13">
        <v>2.1700000000000001E-3</v>
      </c>
      <c r="C30" s="13">
        <v>2.16E-3</v>
      </c>
      <c r="D30" s="13">
        <v>2.31E-3</v>
      </c>
      <c r="E30" s="13">
        <v>3.2699999999999999E-3</v>
      </c>
      <c r="F30" s="13">
        <v>5.4400000000000004E-3</v>
      </c>
      <c r="G30" s="13">
        <v>1.35E-2</v>
      </c>
      <c r="H30" s="13">
        <v>6.8099999999999994E-2</v>
      </c>
    </row>
    <row r="31" spans="1:8" x14ac:dyDescent="0.25">
      <c r="A31" s="1">
        <v>50000</v>
      </c>
      <c r="B31" s="13">
        <v>9.3300000000000002E-4</v>
      </c>
      <c r="C31" s="13">
        <v>9.2699999999999998E-4</v>
      </c>
      <c r="D31" s="13">
        <v>1.2199999999999999E-3</v>
      </c>
      <c r="E31" s="13">
        <v>1.48E-3</v>
      </c>
      <c r="F31" s="13">
        <v>2.5500000000000002E-3</v>
      </c>
      <c r="G31" s="13">
        <v>6.3E-3</v>
      </c>
      <c r="H31" s="13">
        <v>3.6700000000000003E-2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4"/>
  <sheetViews>
    <sheetView workbookViewId="0">
      <selection activeCell="J5" sqref="J5"/>
    </sheetView>
  </sheetViews>
  <sheetFormatPr defaultRowHeight="15" x14ac:dyDescent="0.25"/>
  <cols>
    <col min="1" max="1" width="16.140625" style="1" customWidth="1"/>
  </cols>
  <sheetData>
    <row r="1" spans="1:12" x14ac:dyDescent="0.25">
      <c r="A1" s="3" t="s">
        <v>15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12" x14ac:dyDescent="0.25">
      <c r="A2" s="1">
        <v>2</v>
      </c>
      <c r="B2" s="18">
        <v>1.55E-2</v>
      </c>
      <c r="C2" s="13">
        <v>1.3899999999999999E-2</v>
      </c>
      <c r="D2" s="13">
        <v>9.9600000000000001E-3</v>
      </c>
      <c r="E2" s="13">
        <v>5.5500000000000002E-3</v>
      </c>
      <c r="F2" s="13">
        <v>2.2100000000000002E-3</v>
      </c>
      <c r="G2" s="13">
        <v>5.22E-4</v>
      </c>
      <c r="H2" s="13">
        <v>0</v>
      </c>
    </row>
    <row r="3" spans="1:12" x14ac:dyDescent="0.25">
      <c r="A3" s="1">
        <v>3</v>
      </c>
      <c r="B3" s="18">
        <v>0.26200000000000001</v>
      </c>
      <c r="C3" s="18">
        <v>0.248</v>
      </c>
      <c r="D3" s="18">
        <v>0.21</v>
      </c>
      <c r="E3" s="18">
        <v>0.151</v>
      </c>
      <c r="F3" s="18">
        <v>8.8400000000000006E-2</v>
      </c>
      <c r="G3" s="18">
        <v>3.8600000000000002E-2</v>
      </c>
      <c r="H3" s="18">
        <v>9.8099999999999993E-3</v>
      </c>
    </row>
    <row r="4" spans="1:12" x14ac:dyDescent="0.25">
      <c r="A4" s="1">
        <v>4</v>
      </c>
      <c r="B4" s="18">
        <v>0.53800000000000003</v>
      </c>
      <c r="C4" s="18">
        <v>0.52300000000000002</v>
      </c>
      <c r="D4" s="18">
        <v>0.48099999999999998</v>
      </c>
      <c r="E4" s="18">
        <v>0.39900000000000002</v>
      </c>
      <c r="F4" s="18">
        <v>0.27700000000000002</v>
      </c>
      <c r="G4" s="18">
        <v>0.155</v>
      </c>
      <c r="H4" s="18">
        <v>5.96E-2</v>
      </c>
    </row>
    <row r="5" spans="1:12" x14ac:dyDescent="0.25">
      <c r="A5" s="1">
        <v>5</v>
      </c>
      <c r="B5" s="18">
        <v>0.73099999999999998</v>
      </c>
      <c r="C5" s="18">
        <v>0.72099999999999997</v>
      </c>
      <c r="D5" s="18">
        <v>0.68500000000000005</v>
      </c>
      <c r="E5" s="18">
        <v>0.61299999999999999</v>
      </c>
      <c r="F5" s="18">
        <v>0.47299999999999998</v>
      </c>
      <c r="G5" s="18">
        <v>0.3</v>
      </c>
      <c r="H5" s="18">
        <v>0.14199999999999999</v>
      </c>
    </row>
    <row r="6" spans="1:12" x14ac:dyDescent="0.25">
      <c r="A6" s="1">
        <v>7</v>
      </c>
      <c r="B6" s="18">
        <v>0.89700000000000002</v>
      </c>
      <c r="C6" s="18">
        <v>0.89</v>
      </c>
      <c r="D6" s="18">
        <v>0.877</v>
      </c>
      <c r="E6" s="18">
        <v>0.83899999999999997</v>
      </c>
      <c r="F6" s="18">
        <v>0.73499999999999999</v>
      </c>
      <c r="G6" s="18">
        <v>0.52800000000000002</v>
      </c>
      <c r="H6" s="18">
        <v>0.30399999999999999</v>
      </c>
      <c r="L6" s="18"/>
    </row>
    <row r="7" spans="1:12" x14ac:dyDescent="0.25">
      <c r="A7" s="1">
        <v>10</v>
      </c>
      <c r="B7" s="18">
        <v>0.97599999999999998</v>
      </c>
      <c r="C7" s="18">
        <v>0.97399999999999998</v>
      </c>
      <c r="D7" s="18">
        <v>0.96899999999999997</v>
      </c>
      <c r="E7" s="18">
        <v>0.95399999999999996</v>
      </c>
      <c r="F7" s="18">
        <v>0.90300000000000002</v>
      </c>
      <c r="G7" s="18">
        <v>0.73499999999999999</v>
      </c>
      <c r="H7" s="18">
        <v>0.49299999999999999</v>
      </c>
      <c r="L7" s="18"/>
    </row>
    <row r="8" spans="1:12" x14ac:dyDescent="0.25">
      <c r="A8" s="1">
        <v>15</v>
      </c>
      <c r="B8" s="18">
        <v>1.03</v>
      </c>
      <c r="C8" s="18">
        <v>1.03</v>
      </c>
      <c r="D8" s="18">
        <v>1.03</v>
      </c>
      <c r="E8" s="18">
        <v>1.02</v>
      </c>
      <c r="F8" s="18">
        <v>0.995</v>
      </c>
      <c r="G8" s="18">
        <v>0.90600000000000003</v>
      </c>
      <c r="H8" s="18">
        <v>0.73299999999999998</v>
      </c>
      <c r="L8" s="18"/>
    </row>
    <row r="9" spans="1:12" x14ac:dyDescent="0.25">
      <c r="A9" s="1">
        <v>20</v>
      </c>
      <c r="B9" s="18">
        <v>1.07</v>
      </c>
      <c r="C9" s="18">
        <v>1.07</v>
      </c>
      <c r="D9" s="18">
        <v>1.07</v>
      </c>
      <c r="E9" s="18">
        <v>1.06</v>
      </c>
      <c r="F9" s="18">
        <v>1.05</v>
      </c>
      <c r="G9" s="18">
        <v>1</v>
      </c>
      <c r="H9" s="18">
        <v>0.89100000000000001</v>
      </c>
      <c r="L9" s="18"/>
    </row>
    <row r="10" spans="1:12" x14ac:dyDescent="0.25">
      <c r="A10" s="1">
        <v>30</v>
      </c>
      <c r="B10" s="18">
        <v>1.1299999999999999</v>
      </c>
      <c r="C10" s="18">
        <v>1.1299999999999999</v>
      </c>
      <c r="D10" s="18">
        <v>1.1299999999999999</v>
      </c>
      <c r="E10" s="18">
        <v>1.1200000000000001</v>
      </c>
      <c r="F10" s="18">
        <v>1.1100000000000001</v>
      </c>
      <c r="G10" s="18">
        <v>1.0900000000000001</v>
      </c>
      <c r="H10" s="18">
        <v>1.03</v>
      </c>
      <c r="L10" s="18"/>
    </row>
    <row r="11" spans="1:12" x14ac:dyDescent="0.25">
      <c r="A11" s="1">
        <v>50</v>
      </c>
      <c r="B11" s="18">
        <v>1.19</v>
      </c>
      <c r="C11" s="18">
        <v>1.18</v>
      </c>
      <c r="D11" s="18">
        <v>1.18</v>
      </c>
      <c r="E11" s="18">
        <v>1.17</v>
      </c>
      <c r="F11" s="18">
        <v>1.17</v>
      </c>
      <c r="G11" s="18">
        <v>1.1499999999999999</v>
      </c>
      <c r="H11" s="18">
        <v>1.1100000000000001</v>
      </c>
      <c r="L11" s="18"/>
    </row>
    <row r="12" spans="1:12" x14ac:dyDescent="0.25">
      <c r="A12" s="1">
        <v>60</v>
      </c>
      <c r="B12" s="18">
        <v>1.19</v>
      </c>
      <c r="C12" s="18">
        <v>1.19</v>
      </c>
      <c r="D12" s="18">
        <v>1.19</v>
      </c>
      <c r="E12" s="18">
        <v>1.18</v>
      </c>
      <c r="F12" s="18">
        <v>1.18</v>
      </c>
      <c r="G12" s="18">
        <v>1.17</v>
      </c>
      <c r="H12" s="18">
        <v>1.1299999999999999</v>
      </c>
      <c r="L12" s="18"/>
    </row>
    <row r="13" spans="1:12" x14ac:dyDescent="0.25">
      <c r="A13" s="1">
        <v>70</v>
      </c>
      <c r="B13" s="18">
        <v>1.2</v>
      </c>
      <c r="C13" s="18">
        <v>1.2</v>
      </c>
      <c r="D13" s="18">
        <v>1.2</v>
      </c>
      <c r="E13" s="18">
        <v>1.2</v>
      </c>
      <c r="F13" s="18">
        <v>1.19</v>
      </c>
      <c r="G13" s="18">
        <v>1.18</v>
      </c>
      <c r="H13" s="18">
        <v>1.1399999999999999</v>
      </c>
      <c r="L13" s="18"/>
    </row>
    <row r="14" spans="1:12" x14ac:dyDescent="0.25">
      <c r="A14" s="1">
        <v>100</v>
      </c>
      <c r="B14" s="18">
        <v>1.17</v>
      </c>
      <c r="C14" s="18">
        <v>1.17</v>
      </c>
      <c r="D14" s="18">
        <v>1.17</v>
      </c>
      <c r="E14" s="18">
        <v>1.17</v>
      </c>
      <c r="F14" s="18">
        <v>1.17</v>
      </c>
      <c r="G14" s="18">
        <v>1.17</v>
      </c>
      <c r="H14" s="18">
        <v>1.1399999999999999</v>
      </c>
      <c r="L14" s="18"/>
    </row>
    <row r="15" spans="1:12" x14ac:dyDescent="0.25">
      <c r="A15" s="1">
        <v>150</v>
      </c>
      <c r="B15" s="18">
        <v>1.1599999999999999</v>
      </c>
      <c r="C15" s="18">
        <v>1.1599999999999999</v>
      </c>
      <c r="D15" s="18">
        <v>1.1599999999999999</v>
      </c>
      <c r="E15" s="18">
        <v>1.1599999999999999</v>
      </c>
      <c r="F15" s="18">
        <v>1.1599999999999999</v>
      </c>
      <c r="G15" s="18">
        <v>1.1599999999999999</v>
      </c>
      <c r="H15" s="18">
        <v>1.1299999999999999</v>
      </c>
      <c r="L15" s="18"/>
    </row>
    <row r="16" spans="1:12" x14ac:dyDescent="0.25">
      <c r="A16" s="1">
        <v>200</v>
      </c>
      <c r="B16" s="18">
        <v>1.1100000000000001</v>
      </c>
      <c r="C16" s="18">
        <v>1.1100000000000001</v>
      </c>
      <c r="D16" s="18">
        <v>1.1200000000000001</v>
      </c>
      <c r="E16" s="18">
        <v>1.1299999999999999</v>
      </c>
      <c r="F16" s="18">
        <v>1.1399999999999999</v>
      </c>
      <c r="G16" s="18">
        <v>1.1399999999999999</v>
      </c>
      <c r="H16" s="18">
        <v>1.1200000000000001</v>
      </c>
      <c r="L16" s="18"/>
    </row>
    <row r="17" spans="1:12" x14ac:dyDescent="0.25">
      <c r="A17" s="1">
        <v>300</v>
      </c>
      <c r="B17" s="18">
        <v>0.73799999999999999</v>
      </c>
      <c r="C17" s="18">
        <v>0.752</v>
      </c>
      <c r="D17" s="18">
        <v>0.79500000000000004</v>
      </c>
      <c r="E17" s="18">
        <v>0.85299999999999998</v>
      </c>
      <c r="F17" s="18">
        <v>0.92600000000000005</v>
      </c>
      <c r="G17" s="18">
        <v>0.99099999999999999</v>
      </c>
      <c r="H17" s="18">
        <v>1.03</v>
      </c>
      <c r="L17" s="18"/>
    </row>
    <row r="18" spans="1:12" x14ac:dyDescent="0.25">
      <c r="A18" s="1">
        <v>500</v>
      </c>
      <c r="B18" s="18">
        <v>0.36599999999999999</v>
      </c>
      <c r="C18" s="18">
        <v>0.38</v>
      </c>
      <c r="D18" s="18">
        <v>0.42499999999999999</v>
      </c>
      <c r="E18" s="18">
        <v>0.5</v>
      </c>
      <c r="F18" s="18">
        <v>0.60499999999999998</v>
      </c>
      <c r="G18" s="18">
        <v>0.71499999999999997</v>
      </c>
      <c r="H18" s="18">
        <v>0.81499999999999995</v>
      </c>
      <c r="L18" s="18"/>
    </row>
    <row r="19" spans="1:12" x14ac:dyDescent="0.25">
      <c r="A19" s="1">
        <v>662</v>
      </c>
      <c r="B19" s="18">
        <v>0.246</v>
      </c>
      <c r="C19" s="18">
        <v>0.26</v>
      </c>
      <c r="D19" s="18">
        <v>0.30099999999999999</v>
      </c>
      <c r="E19" s="18">
        <v>0.373</v>
      </c>
      <c r="F19" s="18">
        <v>0.47599999999999998</v>
      </c>
      <c r="G19" s="18">
        <v>0.59799999999999998</v>
      </c>
      <c r="H19" s="18">
        <v>0.71299999999999997</v>
      </c>
      <c r="L19" s="18"/>
    </row>
    <row r="20" spans="1:12" x14ac:dyDescent="0.25">
      <c r="A20" s="1">
        <v>700</v>
      </c>
      <c r="B20" s="18">
        <v>0.22900000000000001</v>
      </c>
      <c r="C20" s="18">
        <v>0.24099999999999999</v>
      </c>
      <c r="D20" s="18">
        <v>0.28100000000000003</v>
      </c>
      <c r="E20" s="18">
        <v>0.35099999999999998</v>
      </c>
      <c r="F20" s="18">
        <v>0.45200000000000001</v>
      </c>
      <c r="G20" s="18">
        <v>0.57399999999999995</v>
      </c>
      <c r="H20" s="18">
        <v>0.69299999999999995</v>
      </c>
      <c r="L20" s="18"/>
    </row>
    <row r="21" spans="1:12" x14ac:dyDescent="0.25">
      <c r="A21" s="1">
        <v>1000</v>
      </c>
      <c r="B21" s="18">
        <v>0.105</v>
      </c>
      <c r="C21" s="18">
        <v>0.115</v>
      </c>
      <c r="D21" s="18">
        <v>0.14799999999999999</v>
      </c>
      <c r="E21" s="18">
        <v>0.215</v>
      </c>
      <c r="F21" s="18">
        <v>0.33</v>
      </c>
      <c r="G21" s="18">
        <v>0.498</v>
      </c>
      <c r="H21" s="18">
        <v>0.69</v>
      </c>
      <c r="L21" s="18"/>
    </row>
    <row r="22" spans="1:12" x14ac:dyDescent="0.25">
      <c r="A22" s="1">
        <v>1250</v>
      </c>
      <c r="B22" s="18">
        <v>0.1</v>
      </c>
      <c r="C22" s="18">
        <v>0.109</v>
      </c>
      <c r="D22" s="18">
        <v>0.13700000000000001</v>
      </c>
      <c r="E22" s="18">
        <v>0.191</v>
      </c>
      <c r="F22" s="18">
        <v>0.28100000000000003</v>
      </c>
      <c r="G22" s="18">
        <v>0.40500000000000003</v>
      </c>
      <c r="H22" s="18">
        <v>0.54400000000000004</v>
      </c>
      <c r="L22" s="18"/>
    </row>
    <row r="23" spans="1:12" x14ac:dyDescent="0.25">
      <c r="A23" s="1">
        <v>1500</v>
      </c>
      <c r="B23" s="18">
        <v>0.10100000000000001</v>
      </c>
      <c r="C23" s="18">
        <v>0.108</v>
      </c>
      <c r="D23" s="18">
        <v>0.13200000000000001</v>
      </c>
      <c r="E23" s="18">
        <v>0.17599999999999999</v>
      </c>
      <c r="F23" s="18">
        <v>0.246</v>
      </c>
      <c r="G23" s="18">
        <v>0.33500000000000002</v>
      </c>
      <c r="H23" s="18">
        <v>0.43099999999999999</v>
      </c>
      <c r="L23" s="18"/>
    </row>
    <row r="24" spans="1:12" x14ac:dyDescent="0.25">
      <c r="A24" s="1">
        <v>2000</v>
      </c>
      <c r="B24" s="18">
        <v>5.1499999999999997E-2</v>
      </c>
      <c r="C24" s="18">
        <v>5.6599999999999998E-2</v>
      </c>
      <c r="D24" s="18">
        <v>7.4399999999999994E-2</v>
      </c>
      <c r="E24" s="18">
        <v>0.113</v>
      </c>
      <c r="F24" s="18">
        <v>0.187</v>
      </c>
      <c r="G24" s="18">
        <v>0.30299999999999999</v>
      </c>
      <c r="H24" s="18">
        <v>0.44900000000000001</v>
      </c>
      <c r="L24" s="18"/>
    </row>
    <row r="25" spans="1:12" x14ac:dyDescent="0.25">
      <c r="A25" s="1">
        <v>3000</v>
      </c>
      <c r="B25" s="18">
        <v>2.93E-2</v>
      </c>
      <c r="C25" s="18">
        <v>3.2099999999999997E-2</v>
      </c>
      <c r="D25" s="18">
        <v>4.2799999999999998E-2</v>
      </c>
      <c r="E25" s="18">
        <v>6.7599999999999993E-2</v>
      </c>
      <c r="F25" s="18">
        <v>0.121</v>
      </c>
      <c r="G25" s="18">
        <v>0.223</v>
      </c>
      <c r="H25" s="18">
        <v>0.36599999999999999</v>
      </c>
      <c r="L25" s="18"/>
    </row>
    <row r="26" spans="1:12" x14ac:dyDescent="0.25">
      <c r="A26" s="1">
        <v>5000</v>
      </c>
      <c r="B26" s="18">
        <v>1.44E-2</v>
      </c>
      <c r="C26" s="18">
        <v>1.5699999999999999E-2</v>
      </c>
      <c r="D26" s="18">
        <v>2.0500000000000001E-2</v>
      </c>
      <c r="E26" s="18">
        <v>3.2199999999999999E-2</v>
      </c>
      <c r="F26" s="18">
        <v>6.1400000000000003E-2</v>
      </c>
      <c r="G26" s="18">
        <v>0.128</v>
      </c>
      <c r="H26" s="18">
        <v>0.24299999999999999</v>
      </c>
      <c r="L26" s="18"/>
    </row>
    <row r="27" spans="1:12" x14ac:dyDescent="0.25">
      <c r="A27" s="1">
        <v>10000</v>
      </c>
      <c r="B27" s="18">
        <v>5.5100000000000001E-3</v>
      </c>
      <c r="C27" s="18">
        <v>5.9300000000000004E-3</v>
      </c>
      <c r="D27" s="18">
        <v>7.4200000000000004E-3</v>
      </c>
      <c r="E27" s="18">
        <v>1.12E-2</v>
      </c>
      <c r="F27" s="18">
        <v>2.1899999999999999E-2</v>
      </c>
      <c r="G27" s="18">
        <v>5.2600000000000001E-2</v>
      </c>
      <c r="H27" s="18">
        <v>0.114</v>
      </c>
      <c r="L27" s="18"/>
    </row>
    <row r="28" spans="1:12" x14ac:dyDescent="0.25">
      <c r="A28" s="1">
        <v>15000</v>
      </c>
      <c r="B28" s="18">
        <v>3.16E-3</v>
      </c>
      <c r="C28" s="18">
        <v>3.3999999999999998E-3</v>
      </c>
      <c r="D28" s="18">
        <v>4.1799999999999997E-3</v>
      </c>
      <c r="E28" s="18">
        <v>6.1799999999999997E-3</v>
      </c>
      <c r="F28" s="18">
        <v>1.23E-2</v>
      </c>
      <c r="G28" s="18">
        <v>3.1899999999999998E-2</v>
      </c>
      <c r="H28" s="18">
        <v>7.3400000000000007E-2</v>
      </c>
      <c r="L28" s="18"/>
    </row>
    <row r="29" spans="1:12" x14ac:dyDescent="0.25">
      <c r="A29" s="1">
        <v>20000</v>
      </c>
      <c r="B29" s="18">
        <v>2.1700000000000001E-3</v>
      </c>
      <c r="C29" s="18">
        <v>2.31E-3</v>
      </c>
      <c r="D29" s="18">
        <v>2.82E-3</v>
      </c>
      <c r="E29" s="18">
        <v>4.1200000000000004E-3</v>
      </c>
      <c r="F29" s="18">
        <v>8.2199999999999999E-3</v>
      </c>
      <c r="G29" s="18">
        <v>2.2499999999999999E-2</v>
      </c>
      <c r="H29" s="18">
        <v>5.3999999999999999E-2</v>
      </c>
      <c r="L29" s="18"/>
    </row>
    <row r="30" spans="1:12" x14ac:dyDescent="0.25">
      <c r="A30" s="1">
        <v>30000</v>
      </c>
      <c r="B30" s="18">
        <v>1.2800000000000001E-3</v>
      </c>
      <c r="C30" s="18">
        <v>1.3600000000000001E-3</v>
      </c>
      <c r="D30" s="18">
        <v>1.65E-3</v>
      </c>
      <c r="E30" s="18">
        <v>2.3600000000000001E-3</v>
      </c>
      <c r="F30" s="18">
        <v>4.7800000000000004E-3</v>
      </c>
      <c r="G30" s="18">
        <v>1.41E-2</v>
      </c>
      <c r="H30" s="18">
        <v>3.5400000000000001E-2</v>
      </c>
      <c r="L30" s="18"/>
    </row>
    <row r="31" spans="1:12" x14ac:dyDescent="0.25">
      <c r="A31" s="1">
        <v>50000</v>
      </c>
      <c r="B31" s="18">
        <v>6.8099999999999996E-4</v>
      </c>
      <c r="C31" s="18">
        <v>7.18E-4</v>
      </c>
      <c r="D31" s="18">
        <v>8.5599999999999999E-4</v>
      </c>
      <c r="E31" s="18">
        <v>1.2199999999999999E-3</v>
      </c>
      <c r="F31" s="18">
        <v>2.5200000000000001E-3</v>
      </c>
      <c r="G31" s="18">
        <v>7.9900000000000006E-3</v>
      </c>
      <c r="H31" s="18">
        <v>2.1100000000000001E-2</v>
      </c>
      <c r="L31" s="18"/>
    </row>
    <row r="32" spans="1:12" x14ac:dyDescent="0.25">
      <c r="L32" s="18"/>
    </row>
    <row r="33" spans="12:12" x14ac:dyDescent="0.25">
      <c r="L33" s="18"/>
    </row>
    <row r="34" spans="12:12" x14ac:dyDescent="0.25">
      <c r="L34" s="1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35"/>
  <sheetViews>
    <sheetView topLeftCell="A10" workbookViewId="0">
      <selection activeCell="K4" sqref="K4"/>
    </sheetView>
  </sheetViews>
  <sheetFormatPr defaultRowHeight="15" x14ac:dyDescent="0.25"/>
  <cols>
    <col min="1" max="1" width="13.7109375" style="1" customWidth="1"/>
  </cols>
  <sheetData>
    <row r="1" spans="1:8" x14ac:dyDescent="0.25">
      <c r="A1" s="3" t="s">
        <v>15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8" x14ac:dyDescent="0.25">
      <c r="A2" s="1">
        <v>2</v>
      </c>
      <c r="B2" s="13">
        <v>1.7999999999999999E-2</v>
      </c>
      <c r="C2" s="13">
        <v>1.5800000000000002E-2</v>
      </c>
      <c r="D2" s="13">
        <v>1.0200000000000001E-2</v>
      </c>
      <c r="E2" s="13">
        <v>4.1099999999999999E-3</v>
      </c>
      <c r="F2" s="13">
        <v>6.7000000000000002E-4</v>
      </c>
      <c r="G2" s="13">
        <v>1.2500000000000001E-5</v>
      </c>
      <c r="H2" s="13"/>
    </row>
    <row r="3" spans="1:8" x14ac:dyDescent="0.25">
      <c r="A3" s="1">
        <v>3</v>
      </c>
      <c r="B3" s="13">
        <v>0.27600000000000002</v>
      </c>
      <c r="C3" s="13">
        <v>0.26400000000000001</v>
      </c>
      <c r="D3" s="13">
        <v>0.224</v>
      </c>
      <c r="E3" s="13">
        <v>0.159</v>
      </c>
      <c r="F3" s="13">
        <v>7.5899999999999995E-2</v>
      </c>
      <c r="G3" s="13">
        <v>1.1599999999999999E-2</v>
      </c>
      <c r="H3" s="13"/>
    </row>
    <row r="4" spans="1:8" x14ac:dyDescent="0.25">
      <c r="A4" s="1">
        <v>4</v>
      </c>
      <c r="B4" s="13">
        <v>0.55000000000000004</v>
      </c>
      <c r="C4" s="13">
        <v>0.53900000000000003</v>
      </c>
      <c r="D4" s="13">
        <v>0.501</v>
      </c>
      <c r="E4" s="13">
        <v>0.42799999999999999</v>
      </c>
      <c r="F4" s="13">
        <v>0.30099999999999999</v>
      </c>
      <c r="G4" s="13">
        <v>0.109</v>
      </c>
      <c r="H4" s="13"/>
    </row>
    <row r="5" spans="1:8" x14ac:dyDescent="0.25">
      <c r="A5" s="1">
        <v>5</v>
      </c>
      <c r="B5" s="13">
        <v>0.74</v>
      </c>
      <c r="C5" s="13">
        <v>0.73099999999999998</v>
      </c>
      <c r="D5" s="13">
        <v>0.70399999999999996</v>
      </c>
      <c r="E5" s="13">
        <v>0.64800000000000002</v>
      </c>
      <c r="F5" s="13">
        <v>0.53800000000000003</v>
      </c>
      <c r="G5" s="13">
        <v>0.29799999999999999</v>
      </c>
      <c r="H5" s="13"/>
    </row>
    <row r="6" spans="1:8" x14ac:dyDescent="0.25">
      <c r="A6" s="1">
        <v>7</v>
      </c>
      <c r="B6" s="13">
        <v>0.90400000000000003</v>
      </c>
      <c r="C6" s="13">
        <v>0.90100000000000002</v>
      </c>
      <c r="D6" s="13">
        <v>0.88700000000000001</v>
      </c>
      <c r="E6" s="13">
        <v>0.86</v>
      </c>
      <c r="F6" s="13">
        <v>0.80200000000000005</v>
      </c>
      <c r="G6" s="13">
        <v>0.63300000000000001</v>
      </c>
      <c r="H6" s="13"/>
    </row>
    <row r="7" spans="1:8" x14ac:dyDescent="0.25">
      <c r="A7" s="1">
        <v>10</v>
      </c>
      <c r="B7" s="18">
        <v>0.97299999999999998</v>
      </c>
      <c r="C7" s="18">
        <v>0.96899999999999997</v>
      </c>
      <c r="D7" s="18">
        <v>0.96499999999999997</v>
      </c>
      <c r="E7" s="18">
        <v>0.95099999999999996</v>
      </c>
      <c r="F7" s="18">
        <v>0.93100000000000005</v>
      </c>
      <c r="G7" s="18">
        <v>0.86199999999999999</v>
      </c>
    </row>
    <row r="8" spans="1:8" x14ac:dyDescent="0.25">
      <c r="A8" s="1">
        <v>15</v>
      </c>
      <c r="B8" s="18">
        <v>1.03</v>
      </c>
      <c r="C8" s="18">
        <v>1.02</v>
      </c>
      <c r="D8" s="18">
        <v>1.02</v>
      </c>
      <c r="E8" s="18">
        <v>1.01</v>
      </c>
      <c r="F8" s="18">
        <v>1</v>
      </c>
      <c r="G8" s="18">
        <v>0.97299999999999998</v>
      </c>
    </row>
    <row r="9" spans="1:8" x14ac:dyDescent="0.25">
      <c r="A9" s="1">
        <v>20</v>
      </c>
      <c r="B9" s="18">
        <v>1.1000000000000001</v>
      </c>
      <c r="C9" s="18">
        <v>1.0900000000000001</v>
      </c>
      <c r="D9" s="18">
        <v>1.07</v>
      </c>
      <c r="E9" s="18">
        <v>1.07</v>
      </c>
      <c r="F9" s="18">
        <v>1.06</v>
      </c>
      <c r="G9" s="18">
        <v>1.03</v>
      </c>
    </row>
    <row r="10" spans="1:8" x14ac:dyDescent="0.25">
      <c r="A10" s="1">
        <v>30</v>
      </c>
      <c r="B10" s="18">
        <v>1.3</v>
      </c>
      <c r="C10" s="18">
        <v>1.28</v>
      </c>
      <c r="D10" s="18">
        <v>1.27</v>
      </c>
      <c r="E10" s="18">
        <v>1.25</v>
      </c>
      <c r="F10" s="18">
        <v>1.23</v>
      </c>
      <c r="G10" s="18">
        <v>1.1399999999999999</v>
      </c>
    </row>
    <row r="11" spans="1:8" x14ac:dyDescent="0.25">
      <c r="A11" s="1">
        <v>40</v>
      </c>
      <c r="B11" s="18">
        <v>1.48</v>
      </c>
      <c r="C11" s="18">
        <v>1.51</v>
      </c>
      <c r="D11" s="18">
        <v>1.47</v>
      </c>
      <c r="E11" s="18">
        <v>1.46</v>
      </c>
      <c r="F11" s="18">
        <v>1.4</v>
      </c>
      <c r="G11" s="18">
        <v>1.27</v>
      </c>
    </row>
    <row r="12" spans="1:8" x14ac:dyDescent="0.25">
      <c r="A12" s="1">
        <v>50</v>
      </c>
      <c r="B12" s="18">
        <v>1.68</v>
      </c>
      <c r="C12" s="18">
        <v>1.69</v>
      </c>
      <c r="D12" s="18">
        <v>1.62</v>
      </c>
      <c r="E12" s="18">
        <v>1.63</v>
      </c>
      <c r="F12" s="18">
        <v>1.49</v>
      </c>
      <c r="G12" s="18">
        <v>1.39</v>
      </c>
    </row>
    <row r="13" spans="1:8" x14ac:dyDescent="0.25">
      <c r="A13" s="1">
        <v>60</v>
      </c>
      <c r="B13" s="18">
        <v>1.77</v>
      </c>
      <c r="C13" s="18">
        <v>1.75</v>
      </c>
      <c r="D13" s="18">
        <v>1.7</v>
      </c>
      <c r="E13" s="18">
        <v>1.68</v>
      </c>
      <c r="F13" s="18">
        <v>1.56</v>
      </c>
      <c r="G13" s="18">
        <v>1.47</v>
      </c>
    </row>
    <row r="14" spans="1:8" x14ac:dyDescent="0.25">
      <c r="A14" s="1">
        <v>70</v>
      </c>
      <c r="B14" s="18">
        <v>1.81</v>
      </c>
      <c r="C14" s="18">
        <v>1.79</v>
      </c>
      <c r="D14" s="18">
        <v>1.75</v>
      </c>
      <c r="E14" s="18">
        <v>1.69</v>
      </c>
      <c r="F14" s="18">
        <v>1.65</v>
      </c>
      <c r="G14" s="18">
        <v>1.56</v>
      </c>
    </row>
    <row r="15" spans="1:8" x14ac:dyDescent="0.25">
      <c r="A15" s="1">
        <v>80</v>
      </c>
      <c r="B15" s="18">
        <v>1.79</v>
      </c>
      <c r="C15" s="18">
        <v>1.73</v>
      </c>
      <c r="D15" s="18">
        <v>1.76</v>
      </c>
      <c r="E15" s="18">
        <v>1.71</v>
      </c>
      <c r="F15" s="18">
        <v>1.63</v>
      </c>
      <c r="G15" s="18">
        <v>1.51</v>
      </c>
    </row>
    <row r="16" spans="1:8" x14ac:dyDescent="0.25">
      <c r="A16" s="1">
        <v>100</v>
      </c>
      <c r="B16" s="18">
        <v>1.66</v>
      </c>
      <c r="C16" s="18">
        <v>1.64</v>
      </c>
      <c r="D16" s="18">
        <v>1.66</v>
      </c>
      <c r="E16" s="18">
        <v>1.67</v>
      </c>
      <c r="F16" s="18">
        <v>1.56</v>
      </c>
      <c r="G16" s="18">
        <v>1.52</v>
      </c>
    </row>
    <row r="17" spans="1:7" x14ac:dyDescent="0.25">
      <c r="A17" s="1">
        <v>150</v>
      </c>
      <c r="B17" s="18">
        <v>1.54</v>
      </c>
      <c r="C17" s="18">
        <v>1.51</v>
      </c>
      <c r="D17" s="18">
        <v>1.55</v>
      </c>
      <c r="E17" s="18">
        <v>1.49</v>
      </c>
      <c r="F17" s="18">
        <v>1.48</v>
      </c>
      <c r="G17" s="18">
        <v>1.44</v>
      </c>
    </row>
    <row r="18" spans="1:7" x14ac:dyDescent="0.25">
      <c r="A18" s="1">
        <v>200</v>
      </c>
      <c r="B18" s="18">
        <v>1.4</v>
      </c>
      <c r="C18" s="18">
        <v>1.41</v>
      </c>
      <c r="D18" s="18">
        <v>1.45</v>
      </c>
      <c r="E18" s="18">
        <v>1.39</v>
      </c>
      <c r="F18" s="18">
        <v>1.44</v>
      </c>
      <c r="G18" s="18">
        <v>1.4</v>
      </c>
    </row>
    <row r="19" spans="1:7" x14ac:dyDescent="0.25">
      <c r="A19" s="1">
        <v>300</v>
      </c>
      <c r="B19" s="18">
        <v>0.92600000000000005</v>
      </c>
      <c r="C19" s="18">
        <v>0.96899999999999997</v>
      </c>
      <c r="D19" s="18">
        <v>1.02</v>
      </c>
      <c r="E19" s="18">
        <v>1.06</v>
      </c>
      <c r="F19" s="18">
        <v>1.17</v>
      </c>
      <c r="G19" s="18">
        <v>1.22</v>
      </c>
    </row>
    <row r="20" spans="1:7" x14ac:dyDescent="0.25">
      <c r="A20" s="1">
        <v>400</v>
      </c>
      <c r="B20" s="18">
        <v>0.65</v>
      </c>
      <c r="C20" s="18">
        <v>0.68200000000000005</v>
      </c>
      <c r="D20" s="18">
        <v>0.70799999999999996</v>
      </c>
      <c r="E20" s="18">
        <v>0.78800000000000003</v>
      </c>
      <c r="F20" s="18">
        <v>0.92500000000000004</v>
      </c>
      <c r="G20" s="18">
        <v>0.98799999999999999</v>
      </c>
    </row>
    <row r="21" spans="1:7" x14ac:dyDescent="0.25">
      <c r="A21" s="1">
        <v>500</v>
      </c>
      <c r="B21" s="18">
        <v>0.47499999999999998</v>
      </c>
      <c r="C21" s="18">
        <v>0.48799999999999999</v>
      </c>
      <c r="D21" s="18">
        <v>0.53400000000000003</v>
      </c>
      <c r="E21" s="18">
        <v>0.626</v>
      </c>
      <c r="F21" s="18">
        <v>0.75700000000000001</v>
      </c>
      <c r="G21" s="18">
        <v>0.87</v>
      </c>
    </row>
    <row r="22" spans="1:7" x14ac:dyDescent="0.25">
      <c r="A22" s="1">
        <v>600</v>
      </c>
      <c r="B22" s="18">
        <v>0.38</v>
      </c>
      <c r="C22" s="18">
        <v>0.39</v>
      </c>
      <c r="D22" s="18">
        <v>0.436</v>
      </c>
      <c r="E22" s="18">
        <v>0.51700000000000002</v>
      </c>
      <c r="F22" s="18">
        <v>0.64</v>
      </c>
      <c r="G22" s="18">
        <v>0.79100000000000004</v>
      </c>
    </row>
    <row r="23" spans="1:7" x14ac:dyDescent="0.25">
      <c r="A23" s="1">
        <v>662</v>
      </c>
      <c r="B23" s="18">
        <v>0.33100000000000002</v>
      </c>
      <c r="C23" s="18">
        <v>0.34699999999999998</v>
      </c>
      <c r="D23" s="18">
        <v>0.40200000000000002</v>
      </c>
      <c r="E23" s="18">
        <v>0.45300000000000001</v>
      </c>
      <c r="F23" s="18">
        <v>0.58499999999999996</v>
      </c>
      <c r="G23" s="18">
        <v>0.72599999999999998</v>
      </c>
    </row>
    <row r="24" spans="1:7" x14ac:dyDescent="0.25">
      <c r="A24" s="1">
        <v>800</v>
      </c>
      <c r="B24" s="18">
        <v>0.25600000000000001</v>
      </c>
      <c r="C24" s="18">
        <v>0.26700000000000002</v>
      </c>
      <c r="D24" s="18">
        <v>0.30299999999999999</v>
      </c>
      <c r="E24" s="18">
        <v>0.38100000000000001</v>
      </c>
      <c r="F24" s="18">
        <v>0.48899999999999999</v>
      </c>
      <c r="G24" s="18">
        <v>0.64800000000000002</v>
      </c>
    </row>
    <row r="25" spans="1:7" x14ac:dyDescent="0.25">
      <c r="A25" s="1">
        <v>1000</v>
      </c>
      <c r="B25" s="18">
        <v>0.19</v>
      </c>
      <c r="C25" s="18">
        <v>0.19800000000000001</v>
      </c>
      <c r="D25" s="18">
        <v>0.23</v>
      </c>
      <c r="E25" s="18">
        <v>0.29699999999999999</v>
      </c>
      <c r="F25" s="18">
        <v>0.40600000000000003</v>
      </c>
      <c r="G25" s="18">
        <v>0.58499999999999996</v>
      </c>
    </row>
    <row r="26" spans="1:7" x14ac:dyDescent="0.25">
      <c r="A26" s="1">
        <v>1250</v>
      </c>
      <c r="B26" s="18">
        <v>0.13800000000000001</v>
      </c>
      <c r="C26" s="18">
        <v>0.15</v>
      </c>
      <c r="D26" s="18">
        <v>0.182</v>
      </c>
      <c r="E26" s="18">
        <v>0.23100000000000001</v>
      </c>
      <c r="F26" s="18">
        <v>0.33200000000000002</v>
      </c>
      <c r="G26" s="18">
        <v>0.497</v>
      </c>
    </row>
    <row r="27" spans="1:7" x14ac:dyDescent="0.25">
      <c r="A27" s="1">
        <v>1500</v>
      </c>
      <c r="B27" s="18">
        <v>0.107</v>
      </c>
      <c r="C27" s="18">
        <v>0.115</v>
      </c>
      <c r="D27" s="18">
        <v>0.14699999999999999</v>
      </c>
      <c r="E27" s="18">
        <v>0.2</v>
      </c>
      <c r="F27" s="18">
        <v>0.29299999999999998</v>
      </c>
      <c r="G27" s="18">
        <v>0.45200000000000001</v>
      </c>
    </row>
    <row r="28" spans="1:7" x14ac:dyDescent="0.25">
      <c r="A28" s="1">
        <v>2000</v>
      </c>
      <c r="B28" s="18">
        <v>7.5999999999999998E-2</v>
      </c>
      <c r="C28" s="18">
        <v>8.2400000000000001E-2</v>
      </c>
      <c r="D28" s="18">
        <v>0.10199999999999999</v>
      </c>
      <c r="E28" s="18">
        <v>0.13900000000000001</v>
      </c>
      <c r="F28" s="18">
        <v>0.23</v>
      </c>
      <c r="G28" s="18">
        <v>0.39400000000000002</v>
      </c>
    </row>
    <row r="29" spans="1:7" x14ac:dyDescent="0.25">
      <c r="A29" s="1">
        <v>3000</v>
      </c>
      <c r="B29" s="18">
        <v>4.4699999999999997E-2</v>
      </c>
      <c r="C29" s="18">
        <v>4.6699999999999998E-2</v>
      </c>
      <c r="D29" s="18">
        <v>6.4899999999999999E-2</v>
      </c>
      <c r="E29" s="18">
        <v>9.7299999999999998E-2</v>
      </c>
      <c r="F29" s="18">
        <v>0.17100000000000001</v>
      </c>
      <c r="G29" s="18">
        <v>0.318</v>
      </c>
    </row>
    <row r="30" spans="1:7" x14ac:dyDescent="0.25">
      <c r="A30" s="1">
        <v>5000</v>
      </c>
      <c r="B30" s="18">
        <v>2.3599999999999999E-2</v>
      </c>
      <c r="C30" s="18">
        <v>2.52E-2</v>
      </c>
      <c r="D30" s="18">
        <v>3.4200000000000001E-2</v>
      </c>
      <c r="E30" s="18">
        <v>5.1700000000000003E-2</v>
      </c>
      <c r="F30" s="18">
        <v>0.112</v>
      </c>
      <c r="G30" s="18">
        <v>0.24299999999999999</v>
      </c>
    </row>
    <row r="31" spans="1:7" x14ac:dyDescent="0.25">
      <c r="A31" s="1">
        <v>10000</v>
      </c>
      <c r="B31" s="18">
        <v>1.1900000000000001E-2</v>
      </c>
      <c r="C31" s="18">
        <v>1.26E-2</v>
      </c>
      <c r="D31" s="18">
        <v>1.5599999999999999E-2</v>
      </c>
      <c r="E31" s="18">
        <v>2.4400000000000002E-2</v>
      </c>
      <c r="F31" s="18">
        <v>5.0999999999999997E-2</v>
      </c>
      <c r="G31" s="18">
        <v>0.154</v>
      </c>
    </row>
    <row r="32" spans="1:7" x14ac:dyDescent="0.25">
      <c r="A32" s="1">
        <v>15000</v>
      </c>
      <c r="B32" s="18">
        <v>7.7499999999999999E-3</v>
      </c>
      <c r="C32" s="18">
        <v>8.1300000000000001E-3</v>
      </c>
      <c r="D32" s="18">
        <v>9.6600000000000002E-3</v>
      </c>
      <c r="E32" s="18">
        <v>1.46E-2</v>
      </c>
      <c r="F32" s="18">
        <v>3.3099999999999997E-2</v>
      </c>
      <c r="G32" s="18">
        <v>0.11</v>
      </c>
    </row>
    <row r="33" spans="1:7" x14ac:dyDescent="0.25">
      <c r="A33" s="1">
        <v>20000</v>
      </c>
      <c r="B33" s="18">
        <v>5.7099999999999998E-3</v>
      </c>
      <c r="C33" s="18">
        <v>5.6899999999999997E-3</v>
      </c>
      <c r="D33" s="18">
        <v>6.6100000000000004E-3</v>
      </c>
      <c r="E33" s="18">
        <v>1.09E-2</v>
      </c>
      <c r="F33" s="18">
        <v>2.47E-2</v>
      </c>
      <c r="G33" s="18">
        <v>8.6599999999999996E-2</v>
      </c>
    </row>
    <row r="34" spans="1:7" x14ac:dyDescent="0.25">
      <c r="A34" s="1">
        <v>30000</v>
      </c>
      <c r="B34" s="18">
        <v>3.5400000000000002E-3</v>
      </c>
      <c r="C34" s="18">
        <v>3.47E-3</v>
      </c>
      <c r="D34" s="18">
        <v>4.4200000000000003E-3</v>
      </c>
      <c r="E34" s="18">
        <v>6.0699999999999999E-3</v>
      </c>
      <c r="F34" s="18">
        <v>1.4200000000000001E-2</v>
      </c>
      <c r="G34" s="18">
        <v>6.0400000000000002E-2</v>
      </c>
    </row>
    <row r="35" spans="1:7" x14ac:dyDescent="0.25">
      <c r="A35" s="1">
        <v>50000</v>
      </c>
      <c r="B35" s="18">
        <v>1.7899999999999999E-3</v>
      </c>
      <c r="C35" s="18">
        <v>1.6900000000000001E-3</v>
      </c>
      <c r="D35" s="18">
        <v>2.3700000000000001E-3</v>
      </c>
      <c r="E35" s="18">
        <v>3.2399999999999998E-3</v>
      </c>
      <c r="F35" s="18">
        <v>6.9300000000000004E-3</v>
      </c>
      <c r="G35" s="18">
        <v>3.1699999999999999E-2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41"/>
  <sheetViews>
    <sheetView workbookViewId="0">
      <selection sqref="A1:A1048576"/>
    </sheetView>
  </sheetViews>
  <sheetFormatPr defaultRowHeight="15" x14ac:dyDescent="0.25"/>
  <cols>
    <col min="1" max="1" width="14.140625" customWidth="1"/>
  </cols>
  <sheetData>
    <row r="1" spans="1:8" x14ac:dyDescent="0.25">
      <c r="A1" s="3" t="s">
        <v>15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4">
        <v>5</v>
      </c>
      <c r="B2" s="14">
        <v>4.3600000000000003E-4</v>
      </c>
      <c r="C2" s="14">
        <v>4.5800000000000002E-4</v>
      </c>
      <c r="D2" s="14">
        <v>4.55E-4</v>
      </c>
      <c r="E2" s="14">
        <v>4.2299999999999998E-4</v>
      </c>
      <c r="F2" s="14">
        <v>3.77E-4</v>
      </c>
      <c r="G2" s="14">
        <v>3.0600000000000001E-4</v>
      </c>
      <c r="H2" s="14">
        <v>2.24E-4</v>
      </c>
    </row>
    <row r="3" spans="1:8" x14ac:dyDescent="0.25">
      <c r="A3" s="4">
        <v>6</v>
      </c>
      <c r="B3" s="14">
        <v>7.7999999999999999E-4</v>
      </c>
      <c r="C3" s="14">
        <v>8.4099999999999995E-4</v>
      </c>
      <c r="D3" s="14">
        <v>8.5099999999999998E-4</v>
      </c>
      <c r="E3" s="14">
        <v>8.0400000000000003E-4</v>
      </c>
      <c r="F3" s="14">
        <v>7.1199999999999996E-4</v>
      </c>
      <c r="G3" s="14">
        <v>5.5999999999999995E-4</v>
      </c>
      <c r="H3" s="14">
        <v>3.8999999999999999E-4</v>
      </c>
    </row>
    <row r="4" spans="1:8" x14ac:dyDescent="0.25">
      <c r="A4" s="4">
        <v>7</v>
      </c>
      <c r="B4" s="14">
        <v>1.4499999999999999E-3</v>
      </c>
      <c r="C4" s="14">
        <v>1.57E-3</v>
      </c>
      <c r="D4" s="14">
        <v>1.56E-3</v>
      </c>
      <c r="E4" s="14">
        <v>1.4499999999999999E-3</v>
      </c>
      <c r="F4" s="14">
        <v>1.2700000000000001E-3</v>
      </c>
      <c r="G4" s="14">
        <v>9.7400000000000004E-4</v>
      </c>
      <c r="H4" s="14">
        <v>6.3699999999999998E-4</v>
      </c>
    </row>
    <row r="5" spans="1:8" x14ac:dyDescent="0.25">
      <c r="A5" s="4">
        <v>8</v>
      </c>
      <c r="B5" s="14">
        <v>2.8400000000000001E-3</v>
      </c>
      <c r="C5" s="14">
        <v>2.96E-3</v>
      </c>
      <c r="D5" s="14">
        <v>2.8500000000000001E-3</v>
      </c>
      <c r="E5" s="14">
        <v>2.5699999999999998E-3</v>
      </c>
      <c r="F5" s="14">
        <v>2.1800000000000001E-3</v>
      </c>
      <c r="G5" s="14">
        <v>1.64E-3</v>
      </c>
      <c r="H5" s="14">
        <v>1.0200000000000001E-3</v>
      </c>
    </row>
    <row r="6" spans="1:8" x14ac:dyDescent="0.25">
      <c r="A6" s="4">
        <v>9</v>
      </c>
      <c r="B6" s="14">
        <v>5.3099999999999996E-3</v>
      </c>
      <c r="C6" s="14">
        <v>5.3899999999999998E-3</v>
      </c>
      <c r="D6" s="14">
        <v>5.0099999999999997E-3</v>
      </c>
      <c r="E6" s="14">
        <v>4.3899999999999998E-3</v>
      </c>
      <c r="F6" s="14">
        <v>3.63E-3</v>
      </c>
      <c r="G6" s="14">
        <v>2.66E-3</v>
      </c>
      <c r="H6" s="14">
        <v>1.6000000000000001E-3</v>
      </c>
    </row>
    <row r="7" spans="1:8" x14ac:dyDescent="0.25">
      <c r="A7" s="4">
        <v>10</v>
      </c>
      <c r="B7" s="14">
        <v>9.2599999999999991E-3</v>
      </c>
      <c r="C7" s="14">
        <v>9.0699999999999999E-3</v>
      </c>
      <c r="D7" s="14">
        <v>8.2799999999999992E-3</v>
      </c>
      <c r="E7" s="14">
        <v>7.1000000000000004E-3</v>
      </c>
      <c r="F7" s="14">
        <v>5.7400000000000003E-3</v>
      </c>
      <c r="G7" s="14">
        <v>4.13E-3</v>
      </c>
      <c r="H7" s="14">
        <v>2.5100000000000001E-3</v>
      </c>
    </row>
    <row r="8" spans="1:8" x14ac:dyDescent="0.25">
      <c r="A8" s="4">
        <v>12</v>
      </c>
      <c r="B8" s="14">
        <v>2.0899999999999998E-2</v>
      </c>
      <c r="C8" s="14">
        <v>2.0500000000000001E-2</v>
      </c>
      <c r="D8" s="14">
        <v>1.8700000000000001E-2</v>
      </c>
      <c r="E8" s="14">
        <v>1.5800000000000002E-2</v>
      </c>
      <c r="F8" s="14">
        <v>1.24E-2</v>
      </c>
      <c r="G8" s="14">
        <v>8.8000000000000005E-3</v>
      </c>
      <c r="H8" s="14">
        <v>5.3099999999999996E-3</v>
      </c>
    </row>
    <row r="9" spans="1:8" x14ac:dyDescent="0.25">
      <c r="A9" s="4">
        <v>13</v>
      </c>
      <c r="B9" s="14">
        <v>2.87E-2</v>
      </c>
      <c r="C9" s="14">
        <v>2.8299999999999999E-2</v>
      </c>
      <c r="D9" s="14">
        <v>2.58E-2</v>
      </c>
      <c r="E9" s="14">
        <v>2.1899999999999999E-2</v>
      </c>
      <c r="F9" s="14">
        <v>1.7100000000000001E-2</v>
      </c>
      <c r="G9" s="14">
        <v>1.2E-2</v>
      </c>
      <c r="H9" s="14">
        <v>7.3200000000000001E-3</v>
      </c>
    </row>
    <row r="10" spans="1:8" x14ac:dyDescent="0.25">
      <c r="A10" s="4">
        <v>15</v>
      </c>
      <c r="B10" s="14">
        <v>4.99E-2</v>
      </c>
      <c r="C10" s="14">
        <v>4.8099999999999997E-2</v>
      </c>
      <c r="D10" s="14">
        <v>4.4400000000000002E-2</v>
      </c>
      <c r="E10" s="14">
        <v>3.7999999999999999E-2</v>
      </c>
      <c r="F10" s="14">
        <v>2.9700000000000001E-2</v>
      </c>
      <c r="G10" s="14">
        <v>2.0500000000000001E-2</v>
      </c>
      <c r="H10" s="14">
        <v>1.29E-2</v>
      </c>
    </row>
    <row r="11" spans="1:8" x14ac:dyDescent="0.25">
      <c r="A11" s="4">
        <v>17</v>
      </c>
      <c r="B11" s="14">
        <v>7.5600000000000001E-2</v>
      </c>
      <c r="C11" s="14">
        <v>7.4899999999999994E-2</v>
      </c>
      <c r="D11" s="14">
        <v>6.9699999999999998E-2</v>
      </c>
      <c r="E11" s="14">
        <v>6.0199999999999997E-2</v>
      </c>
      <c r="F11" s="14">
        <v>4.7399999999999998E-2</v>
      </c>
      <c r="G11" s="14">
        <v>3.2300000000000002E-2</v>
      </c>
      <c r="H11" s="14">
        <v>0.02</v>
      </c>
    </row>
    <row r="12" spans="1:8" x14ac:dyDescent="0.25">
      <c r="A12" s="4">
        <v>20</v>
      </c>
      <c r="B12" s="14">
        <v>0.13400000000000001</v>
      </c>
      <c r="C12" s="14">
        <v>0.13</v>
      </c>
      <c r="D12" s="14">
        <v>0.122</v>
      </c>
      <c r="E12" s="14">
        <v>0.106</v>
      </c>
      <c r="F12" s="14">
        <v>8.4500000000000006E-2</v>
      </c>
      <c r="G12" s="14">
        <v>5.8000000000000003E-2</v>
      </c>
      <c r="H12" s="14">
        <v>3.6400000000000002E-2</v>
      </c>
    </row>
    <row r="13" spans="1:8" x14ac:dyDescent="0.25">
      <c r="A13" s="4">
        <v>25</v>
      </c>
      <c r="B13" s="14">
        <v>0.26</v>
      </c>
      <c r="C13" s="14">
        <v>0.25600000000000001</v>
      </c>
      <c r="D13" s="14">
        <v>0.24099999999999999</v>
      </c>
      <c r="E13" s="14">
        <v>0.214</v>
      </c>
      <c r="F13" s="14">
        <v>0.17299999999999999</v>
      </c>
      <c r="G13" s="14">
        <v>0.122</v>
      </c>
      <c r="H13" s="14">
        <v>7.4499999999999997E-2</v>
      </c>
    </row>
    <row r="14" spans="1:8" x14ac:dyDescent="0.25">
      <c r="A14" s="4">
        <v>30</v>
      </c>
      <c r="B14" s="14">
        <v>0.432</v>
      </c>
      <c r="C14" s="14">
        <v>0.42499999999999999</v>
      </c>
      <c r="D14" s="14">
        <v>0.40100000000000002</v>
      </c>
      <c r="E14" s="14">
        <v>0.35399999999999998</v>
      </c>
      <c r="F14" s="14">
        <v>0.28899999999999998</v>
      </c>
      <c r="G14" s="14">
        <v>0.21</v>
      </c>
      <c r="H14" s="14">
        <v>0.13700000000000001</v>
      </c>
    </row>
    <row r="15" spans="1:8" x14ac:dyDescent="0.25">
      <c r="A15" s="4">
        <v>40</v>
      </c>
      <c r="B15" s="14">
        <v>0.81599999999999995</v>
      </c>
      <c r="C15" s="14">
        <v>0.79200000000000004</v>
      </c>
      <c r="D15" s="14">
        <v>0.755</v>
      </c>
      <c r="E15" s="14">
        <v>0.67500000000000004</v>
      </c>
      <c r="F15" s="14">
        <v>0.56499999999999995</v>
      </c>
      <c r="G15" s="14">
        <v>0.42799999999999999</v>
      </c>
      <c r="H15" s="14">
        <v>0.29299999999999998</v>
      </c>
    </row>
    <row r="16" spans="1:8" x14ac:dyDescent="0.25">
      <c r="A16" s="4">
        <v>50</v>
      </c>
      <c r="B16" s="14">
        <v>1.1399999999999999</v>
      </c>
      <c r="C16" s="14">
        <v>1.1100000000000001</v>
      </c>
      <c r="D16" s="14">
        <v>1.07</v>
      </c>
      <c r="E16" s="14">
        <v>0.95</v>
      </c>
      <c r="F16" s="14">
        <v>0.81799999999999995</v>
      </c>
      <c r="G16" s="14">
        <v>0.61799999999999999</v>
      </c>
      <c r="H16" s="14">
        <v>0.44900000000000001</v>
      </c>
    </row>
    <row r="17" spans="1:8" x14ac:dyDescent="0.25">
      <c r="A17" s="4">
        <v>60</v>
      </c>
      <c r="B17" s="14">
        <v>1.35</v>
      </c>
      <c r="C17" s="14">
        <v>1.32</v>
      </c>
      <c r="D17" s="14">
        <v>1.26</v>
      </c>
      <c r="E17" s="14">
        <v>1.1299999999999999</v>
      </c>
      <c r="F17" s="14">
        <v>0.97199999999999998</v>
      </c>
      <c r="G17" s="14">
        <v>0.75900000000000001</v>
      </c>
      <c r="H17" s="14">
        <v>0.55900000000000005</v>
      </c>
    </row>
    <row r="18" spans="1:8" x14ac:dyDescent="0.25">
      <c r="A18" s="4">
        <v>70</v>
      </c>
      <c r="B18" s="14">
        <v>1.43</v>
      </c>
      <c r="C18" s="14">
        <v>1.41</v>
      </c>
      <c r="D18" s="14">
        <v>1.34</v>
      </c>
      <c r="E18" s="14">
        <v>1.21</v>
      </c>
      <c r="F18" s="14">
        <v>1.04</v>
      </c>
      <c r="G18" s="14">
        <v>0.82699999999999996</v>
      </c>
      <c r="H18" s="14">
        <v>0.61799999999999999</v>
      </c>
    </row>
    <row r="19" spans="1:8" x14ac:dyDescent="0.25">
      <c r="A19" s="4">
        <v>80</v>
      </c>
      <c r="B19" s="14">
        <v>1.44</v>
      </c>
      <c r="C19" s="14">
        <v>1.42</v>
      </c>
      <c r="D19" s="14">
        <v>1.36</v>
      </c>
      <c r="E19" s="14">
        <v>1.22</v>
      </c>
      <c r="F19" s="14">
        <v>1.07</v>
      </c>
      <c r="G19" s="14">
        <v>0.85599999999999998</v>
      </c>
      <c r="H19" s="14">
        <v>0.64200000000000002</v>
      </c>
    </row>
    <row r="20" spans="1:8" x14ac:dyDescent="0.25">
      <c r="A20" s="4">
        <v>100</v>
      </c>
      <c r="B20" s="14">
        <v>1.39</v>
      </c>
      <c r="C20" s="14">
        <v>1.38</v>
      </c>
      <c r="D20" s="14">
        <v>1.3</v>
      </c>
      <c r="E20" s="14">
        <v>1.21</v>
      </c>
      <c r="F20" s="14">
        <v>1.06</v>
      </c>
      <c r="G20" s="14">
        <v>0.85699999999999998</v>
      </c>
      <c r="H20" s="14">
        <v>0.64500000000000002</v>
      </c>
    </row>
    <row r="21" spans="1:8" x14ac:dyDescent="0.25">
      <c r="A21" s="4">
        <v>150</v>
      </c>
      <c r="B21" s="14">
        <v>1.25</v>
      </c>
      <c r="C21" s="14">
        <v>1.24</v>
      </c>
      <c r="D21" s="14">
        <v>1.18</v>
      </c>
      <c r="E21" s="14">
        <v>1.0900000000000001</v>
      </c>
      <c r="F21" s="14">
        <v>0.97499999999999998</v>
      </c>
      <c r="G21" s="14">
        <v>0.81299999999999994</v>
      </c>
      <c r="H21" s="14">
        <v>0.61499999999999999</v>
      </c>
    </row>
    <row r="22" spans="1:8" x14ac:dyDescent="0.25">
      <c r="A22" s="4">
        <v>200</v>
      </c>
      <c r="B22" s="14">
        <v>1.17</v>
      </c>
      <c r="C22" s="14">
        <v>1.1599999999999999</v>
      </c>
      <c r="D22" s="14">
        <v>1.1100000000000001</v>
      </c>
      <c r="E22" s="14">
        <v>1.04</v>
      </c>
      <c r="F22" s="14">
        <v>0.93500000000000005</v>
      </c>
      <c r="G22" s="14">
        <v>0.78600000000000003</v>
      </c>
      <c r="H22" s="14">
        <v>0.60399999999999998</v>
      </c>
    </row>
    <row r="23" spans="1:8" x14ac:dyDescent="0.25">
      <c r="A23" s="4">
        <v>300</v>
      </c>
      <c r="B23" s="14">
        <v>1.0900000000000001</v>
      </c>
      <c r="C23" s="14">
        <v>1.0900000000000001</v>
      </c>
      <c r="D23" s="14">
        <v>1.05</v>
      </c>
      <c r="E23" s="14">
        <v>0.98699999999999999</v>
      </c>
      <c r="F23" s="14">
        <v>0.89600000000000002</v>
      </c>
      <c r="G23" s="14">
        <v>0.77100000000000002</v>
      </c>
      <c r="H23" s="14">
        <v>0.60599999999999998</v>
      </c>
    </row>
    <row r="24" spans="1:8" x14ac:dyDescent="0.25">
      <c r="A24" s="4">
        <v>400</v>
      </c>
      <c r="B24" s="14">
        <v>1.06</v>
      </c>
      <c r="C24" s="14">
        <v>1.05</v>
      </c>
      <c r="D24" s="14">
        <v>1.02</v>
      </c>
      <c r="E24" s="14">
        <v>0.96199999999999997</v>
      </c>
      <c r="F24" s="14">
        <v>0.88700000000000001</v>
      </c>
      <c r="G24" s="14">
        <v>0.76500000000000001</v>
      </c>
      <c r="H24" s="14">
        <v>0.621</v>
      </c>
    </row>
    <row r="25" spans="1:8" x14ac:dyDescent="0.25">
      <c r="A25" s="4">
        <v>500</v>
      </c>
      <c r="B25" s="14">
        <v>1.04</v>
      </c>
      <c r="C25" s="14">
        <v>1.03</v>
      </c>
      <c r="D25" s="14">
        <v>1.01</v>
      </c>
      <c r="E25" s="14">
        <v>0.95299999999999996</v>
      </c>
      <c r="F25" s="14">
        <v>0.89</v>
      </c>
      <c r="G25" s="14">
        <v>0.77400000000000002</v>
      </c>
      <c r="H25" s="14">
        <v>0.63500000000000001</v>
      </c>
    </row>
    <row r="26" spans="1:8" x14ac:dyDescent="0.25">
      <c r="A26" s="4">
        <v>600</v>
      </c>
      <c r="B26" s="14">
        <v>1.02</v>
      </c>
      <c r="C26" s="14">
        <v>1.02</v>
      </c>
      <c r="D26" s="14">
        <v>1</v>
      </c>
      <c r="E26" s="14">
        <v>0.94699999999999995</v>
      </c>
      <c r="F26" s="14">
        <v>0.88600000000000001</v>
      </c>
      <c r="G26" s="14">
        <v>0.77700000000000002</v>
      </c>
      <c r="H26" s="14">
        <v>0.64700000000000002</v>
      </c>
    </row>
    <row r="27" spans="1:8" x14ac:dyDescent="0.25">
      <c r="A27" s="4">
        <v>800</v>
      </c>
      <c r="B27" s="14">
        <v>1.01</v>
      </c>
      <c r="C27" s="14">
        <v>1.01</v>
      </c>
      <c r="D27" s="14">
        <v>0.98499999999999999</v>
      </c>
      <c r="E27" s="14">
        <v>0.95099999999999996</v>
      </c>
      <c r="F27" s="14">
        <v>0.89200000000000002</v>
      </c>
      <c r="G27" s="14">
        <v>0.79100000000000004</v>
      </c>
      <c r="H27" s="14">
        <v>0.67100000000000004</v>
      </c>
    </row>
    <row r="28" spans="1:8" x14ac:dyDescent="0.25">
      <c r="A28" s="4">
        <v>1000</v>
      </c>
      <c r="B28" s="14">
        <v>1</v>
      </c>
      <c r="C28" s="14">
        <v>1</v>
      </c>
      <c r="D28" s="14">
        <v>0.98399999999999999</v>
      </c>
      <c r="E28" s="14">
        <v>0.95</v>
      </c>
      <c r="F28" s="14">
        <v>0.89800000000000002</v>
      </c>
      <c r="G28" s="14">
        <v>0.79700000000000004</v>
      </c>
      <c r="H28" s="14">
        <v>0.69499999999999995</v>
      </c>
    </row>
    <row r="29" spans="1:8" x14ac:dyDescent="0.25">
      <c r="A29" s="4">
        <v>1500</v>
      </c>
      <c r="B29" s="14">
        <v>0.996</v>
      </c>
      <c r="C29" s="14">
        <v>0.99399999999999999</v>
      </c>
      <c r="D29" s="14">
        <v>0.98199999999999998</v>
      </c>
      <c r="E29" s="14">
        <v>0.95299999999999996</v>
      </c>
      <c r="F29" s="14">
        <v>0.91100000000000003</v>
      </c>
      <c r="G29" s="14">
        <v>0.84</v>
      </c>
      <c r="H29" s="14">
        <v>0.73899999999999999</v>
      </c>
    </row>
    <row r="30" spans="1:8" x14ac:dyDescent="0.25">
      <c r="A30" s="4">
        <v>2000</v>
      </c>
      <c r="B30" s="14">
        <v>0.99</v>
      </c>
      <c r="C30" s="14">
        <v>0.99099999999999999</v>
      </c>
      <c r="D30" s="14">
        <v>0.98</v>
      </c>
      <c r="E30" s="14">
        <v>0.95299999999999996</v>
      </c>
      <c r="F30" s="14">
        <v>0.91700000000000004</v>
      </c>
      <c r="G30" s="14">
        <v>0.85699999999999998</v>
      </c>
      <c r="H30" s="14">
        <v>0.76900000000000002</v>
      </c>
    </row>
    <row r="31" spans="1:8" x14ac:dyDescent="0.25">
      <c r="A31" s="4">
        <v>3000</v>
      </c>
      <c r="B31" s="14">
        <v>0.97699999999999998</v>
      </c>
      <c r="C31" s="14">
        <v>0.98299999999999998</v>
      </c>
      <c r="D31" s="14">
        <v>0.96699999999999997</v>
      </c>
      <c r="E31" s="14">
        <v>0.95499999999999996</v>
      </c>
      <c r="F31" s="14">
        <v>0.93500000000000005</v>
      </c>
      <c r="G31" s="14">
        <v>0.871</v>
      </c>
      <c r="H31" s="14">
        <v>0.80500000000000005</v>
      </c>
    </row>
    <row r="32" spans="1:8" x14ac:dyDescent="0.25">
      <c r="A32" s="4">
        <v>4000</v>
      </c>
      <c r="B32" s="14">
        <v>0.96399999999999997</v>
      </c>
      <c r="C32" s="14">
        <v>0.96399999999999997</v>
      </c>
      <c r="D32" s="14">
        <v>0.95499999999999996</v>
      </c>
      <c r="E32" s="14">
        <v>0.95099999999999996</v>
      </c>
      <c r="F32" s="14">
        <v>0.93100000000000005</v>
      </c>
      <c r="G32" s="14">
        <v>0.876</v>
      </c>
      <c r="H32" s="14">
        <v>0.82499999999999996</v>
      </c>
    </row>
    <row r="33" spans="1:8" x14ac:dyDescent="0.25">
      <c r="A33" s="4">
        <v>5000</v>
      </c>
      <c r="B33" s="14">
        <v>0.94499999999999995</v>
      </c>
      <c r="C33" s="14">
        <v>0.94299999999999995</v>
      </c>
      <c r="D33" s="14">
        <v>0.94</v>
      </c>
      <c r="E33" s="14">
        <v>0.93400000000000005</v>
      </c>
      <c r="F33" s="14">
        <v>0.93200000000000005</v>
      </c>
      <c r="G33" s="14">
        <v>0.88</v>
      </c>
      <c r="H33" s="14">
        <v>0.83199999999999996</v>
      </c>
    </row>
    <row r="34" spans="1:8" x14ac:dyDescent="0.25">
      <c r="A34" s="4">
        <v>6000</v>
      </c>
      <c r="B34" s="14">
        <v>0.92800000000000005</v>
      </c>
      <c r="C34" s="14">
        <v>0.93200000000000005</v>
      </c>
      <c r="D34" s="14">
        <v>0.92200000000000004</v>
      </c>
      <c r="E34" s="14">
        <v>0.91800000000000004</v>
      </c>
      <c r="F34" s="14">
        <v>0.91600000000000004</v>
      </c>
      <c r="G34" s="14">
        <v>0.875</v>
      </c>
      <c r="H34" s="14">
        <v>0.83499999999999996</v>
      </c>
    </row>
    <row r="35" spans="1:8" x14ac:dyDescent="0.25">
      <c r="A35" s="4">
        <v>8000</v>
      </c>
      <c r="B35" s="14">
        <v>0.88400000000000001</v>
      </c>
      <c r="C35" s="14">
        <v>0.89200000000000002</v>
      </c>
      <c r="D35" s="14">
        <v>0.89</v>
      </c>
      <c r="E35" s="14">
        <v>0.89</v>
      </c>
      <c r="F35" s="14">
        <v>0.89300000000000002</v>
      </c>
      <c r="G35" s="14">
        <v>0.86099999999999999</v>
      </c>
      <c r="H35" s="14">
        <v>0.83199999999999996</v>
      </c>
    </row>
    <row r="36" spans="1:8" x14ac:dyDescent="0.25">
      <c r="A36" s="4">
        <v>10000</v>
      </c>
      <c r="B36" s="14">
        <v>0.85</v>
      </c>
      <c r="C36" s="14">
        <v>0.85399999999999998</v>
      </c>
      <c r="D36" s="14">
        <v>0.85099999999999998</v>
      </c>
      <c r="E36" s="14">
        <v>0.85399999999999998</v>
      </c>
      <c r="F36" s="14">
        <v>0.86499999999999999</v>
      </c>
      <c r="G36" s="14">
        <v>0.84599999999999997</v>
      </c>
      <c r="H36" s="14">
        <v>0.82299999999999995</v>
      </c>
    </row>
    <row r="37" spans="1:8" x14ac:dyDescent="0.25">
      <c r="A37" s="4">
        <v>15000</v>
      </c>
      <c r="B37" s="14">
        <v>0.75700000000000001</v>
      </c>
      <c r="C37" s="14">
        <v>0.76600000000000001</v>
      </c>
      <c r="D37" s="14">
        <v>0.76500000000000001</v>
      </c>
      <c r="E37" s="14">
        <v>0.77400000000000002</v>
      </c>
      <c r="F37" s="14">
        <v>0.79200000000000004</v>
      </c>
      <c r="G37" s="14">
        <v>0.79</v>
      </c>
      <c r="H37" s="14">
        <v>0.78900000000000003</v>
      </c>
    </row>
    <row r="38" spans="1:8" x14ac:dyDescent="0.25">
      <c r="A38" s="4">
        <v>20000</v>
      </c>
      <c r="B38" s="14">
        <v>0.67900000000000005</v>
      </c>
      <c r="C38" s="14">
        <v>0.68300000000000005</v>
      </c>
      <c r="D38" s="14">
        <v>0.69</v>
      </c>
      <c r="E38" s="14">
        <v>0.70399999999999996</v>
      </c>
      <c r="F38" s="14">
        <v>0.72599999999999998</v>
      </c>
      <c r="G38" s="14">
        <v>0.74399999999999999</v>
      </c>
      <c r="H38" s="14">
        <v>0.75700000000000001</v>
      </c>
    </row>
    <row r="39" spans="1:8" x14ac:dyDescent="0.25">
      <c r="A39" s="4">
        <v>30000</v>
      </c>
      <c r="B39" s="14">
        <v>0.55300000000000005</v>
      </c>
      <c r="C39" s="14">
        <v>0.55700000000000005</v>
      </c>
      <c r="D39" s="14">
        <v>0.56399999999999995</v>
      </c>
      <c r="E39" s="14">
        <v>0.58799999999999997</v>
      </c>
      <c r="F39" s="14">
        <v>0.62</v>
      </c>
      <c r="G39" s="14">
        <v>0.65400000000000003</v>
      </c>
      <c r="H39" s="14">
        <v>0.69499999999999995</v>
      </c>
    </row>
    <row r="40" spans="1:8" x14ac:dyDescent="0.25">
      <c r="A40" s="4">
        <v>40000</v>
      </c>
      <c r="B40" s="14">
        <v>0.46300000000000002</v>
      </c>
      <c r="C40" s="14">
        <v>0.46200000000000002</v>
      </c>
      <c r="D40" s="14">
        <v>0.47799999999999998</v>
      </c>
      <c r="E40" s="14">
        <v>0.502</v>
      </c>
      <c r="F40" s="14">
        <v>0.54500000000000004</v>
      </c>
      <c r="G40" s="14">
        <v>0.59399999999999997</v>
      </c>
      <c r="H40" s="14">
        <v>0.64400000000000002</v>
      </c>
    </row>
    <row r="41" spans="1:8" x14ac:dyDescent="0.25">
      <c r="A41" s="4">
        <v>50000</v>
      </c>
      <c r="B41" s="14">
        <v>0.39500000000000002</v>
      </c>
      <c r="C41" s="14">
        <v>0.39500000000000002</v>
      </c>
      <c r="D41" s="14">
        <v>0.40799999999999997</v>
      </c>
      <c r="E41" s="14">
        <v>0.437</v>
      </c>
      <c r="F41" s="14">
        <v>0.47899999999999998</v>
      </c>
      <c r="G41" s="14">
        <v>0.53500000000000003</v>
      </c>
      <c r="H41" s="14">
        <v>0.59599999999999997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25"/>
  <sheetViews>
    <sheetView workbookViewId="0">
      <selection activeCell="G3" sqref="G3:U51"/>
    </sheetView>
  </sheetViews>
  <sheetFormatPr defaultRowHeight="15" x14ac:dyDescent="0.25"/>
  <sheetData>
    <row r="1" spans="1: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">
        <v>3</v>
      </c>
      <c r="B2" s="1">
        <v>0.28699999999999998</v>
      </c>
      <c r="C2" s="1">
        <v>0.26600000000000001</v>
      </c>
      <c r="D2" s="1">
        <v>0.214</v>
      </c>
      <c r="E2" s="1">
        <v>0.151</v>
      </c>
      <c r="F2" s="1">
        <v>4.3999999999999997E-2</v>
      </c>
      <c r="G2" s="1">
        <v>0</v>
      </c>
      <c r="H2" s="1">
        <v>0</v>
      </c>
    </row>
    <row r="3" spans="1:8" x14ac:dyDescent="0.25">
      <c r="A3" s="1">
        <v>4</v>
      </c>
      <c r="B3" s="1">
        <v>0.58599999999999997</v>
      </c>
      <c r="C3" s="1">
        <v>0.55700000000000005</v>
      </c>
      <c r="D3" s="1">
        <v>0.49</v>
      </c>
      <c r="E3" s="1">
        <v>0.41599999999999998</v>
      </c>
      <c r="F3" s="1">
        <v>0.185</v>
      </c>
      <c r="G3" s="1">
        <v>0</v>
      </c>
      <c r="H3" s="1">
        <v>0</v>
      </c>
    </row>
    <row r="4" spans="1:8" x14ac:dyDescent="0.25">
      <c r="A4" s="1">
        <v>5</v>
      </c>
      <c r="B4" s="1">
        <v>0.76</v>
      </c>
      <c r="C4" s="1">
        <v>0.73</v>
      </c>
      <c r="D4" s="1">
        <v>0.66</v>
      </c>
      <c r="E4" s="1">
        <v>0.6</v>
      </c>
      <c r="F4" s="1">
        <v>0.31</v>
      </c>
      <c r="G4" s="1">
        <v>0</v>
      </c>
      <c r="H4" s="1">
        <v>0</v>
      </c>
    </row>
    <row r="5" spans="1:8" x14ac:dyDescent="0.25">
      <c r="A5" s="1">
        <v>6</v>
      </c>
      <c r="B5" s="1">
        <v>7.98</v>
      </c>
      <c r="C5" s="1">
        <v>7.72</v>
      </c>
      <c r="D5" s="1">
        <v>7.15</v>
      </c>
      <c r="E5" s="1">
        <v>6.67</v>
      </c>
      <c r="F5" s="1">
        <v>4.32</v>
      </c>
      <c r="G5" s="1">
        <v>1.69</v>
      </c>
      <c r="H5" s="1">
        <v>0.36</v>
      </c>
    </row>
    <row r="6" spans="1:8" x14ac:dyDescent="0.25">
      <c r="A6" s="1">
        <v>8</v>
      </c>
      <c r="B6" s="1">
        <v>8.74</v>
      </c>
      <c r="C6" s="1">
        <v>8.56</v>
      </c>
      <c r="D6" s="1">
        <v>8.23</v>
      </c>
      <c r="E6" s="1">
        <v>7.99</v>
      </c>
      <c r="F6" s="1">
        <v>6.72</v>
      </c>
      <c r="G6" s="1">
        <v>5.07</v>
      </c>
      <c r="H6" s="1">
        <v>1.08</v>
      </c>
    </row>
    <row r="7" spans="1:8" x14ac:dyDescent="0.25">
      <c r="A7" s="1">
        <v>10</v>
      </c>
      <c r="B7" s="1">
        <v>0.95</v>
      </c>
      <c r="C7" s="1">
        <v>0.94</v>
      </c>
      <c r="D7" s="1">
        <v>0.93</v>
      </c>
      <c r="E7" s="1">
        <v>0.93</v>
      </c>
      <c r="F7" s="1">
        <v>0.91</v>
      </c>
      <c r="G7" s="1">
        <v>0.85</v>
      </c>
      <c r="H7" s="1">
        <v>0.18</v>
      </c>
    </row>
    <row r="8" spans="1:8" x14ac:dyDescent="0.25">
      <c r="A8" s="1">
        <v>12</v>
      </c>
      <c r="B8" s="1">
        <v>9.66</v>
      </c>
      <c r="C8" s="1">
        <v>9.58</v>
      </c>
      <c r="D8" s="1">
        <v>9.49</v>
      </c>
      <c r="E8" s="1">
        <v>9.51</v>
      </c>
      <c r="F8" s="1">
        <v>9.35</v>
      </c>
      <c r="G8" s="1">
        <v>8.7799999999999994</v>
      </c>
      <c r="H8" s="1">
        <v>2.5299999999999998</v>
      </c>
    </row>
    <row r="9" spans="1:8" x14ac:dyDescent="0.25">
      <c r="A9" s="1">
        <v>14</v>
      </c>
      <c r="B9" s="1">
        <v>9.82</v>
      </c>
      <c r="C9" s="1">
        <v>9.76</v>
      </c>
      <c r="D9" s="1">
        <v>9.66</v>
      </c>
      <c r="E9" s="1">
        <v>9.6999999999999993</v>
      </c>
      <c r="F9" s="1">
        <v>9.59</v>
      </c>
      <c r="G9" s="1">
        <v>9.1</v>
      </c>
      <c r="H9" s="1">
        <v>3.25</v>
      </c>
    </row>
    <row r="10" spans="1:8" x14ac:dyDescent="0.25">
      <c r="A10" s="1">
        <v>15</v>
      </c>
      <c r="B10" s="1">
        <v>0.99</v>
      </c>
      <c r="C10" s="1">
        <v>9.85</v>
      </c>
      <c r="D10" s="1">
        <v>9.75</v>
      </c>
      <c r="E10" s="1">
        <v>9.8000000000000007</v>
      </c>
      <c r="F10" s="1">
        <v>9.6999999999999993</v>
      </c>
      <c r="G10" s="1">
        <v>9.26</v>
      </c>
      <c r="H10" s="1">
        <v>3.61</v>
      </c>
    </row>
    <row r="11" spans="1:8" x14ac:dyDescent="0.25">
      <c r="A11" s="1">
        <v>20</v>
      </c>
      <c r="B11" s="1">
        <v>1.05</v>
      </c>
      <c r="C11" s="1">
        <v>1.05</v>
      </c>
      <c r="D11" s="1">
        <v>1.04</v>
      </c>
      <c r="E11" s="1">
        <v>1.05</v>
      </c>
      <c r="F11" s="1">
        <v>1.05</v>
      </c>
      <c r="G11" s="1">
        <v>1.03</v>
      </c>
      <c r="H11" s="1">
        <v>0.56999999999999995</v>
      </c>
    </row>
    <row r="12" spans="1:8" x14ac:dyDescent="0.25">
      <c r="A12" s="1">
        <v>30</v>
      </c>
      <c r="B12" s="1">
        <v>1.22</v>
      </c>
      <c r="C12" s="1">
        <v>1.21</v>
      </c>
      <c r="D12" s="1">
        <v>1.21</v>
      </c>
      <c r="E12" s="1">
        <v>1.21</v>
      </c>
      <c r="F12" s="1">
        <v>1.2</v>
      </c>
      <c r="G12" s="1">
        <v>1.1499999999999999</v>
      </c>
      <c r="H12" s="1">
        <v>0.76</v>
      </c>
    </row>
    <row r="13" spans="1:8" x14ac:dyDescent="0.25">
      <c r="A13" s="1">
        <v>40</v>
      </c>
      <c r="B13" s="1">
        <v>1.41</v>
      </c>
      <c r="C13" s="1">
        <v>1.4</v>
      </c>
      <c r="D13" s="1">
        <v>1.39</v>
      </c>
      <c r="E13" s="1">
        <v>1.39</v>
      </c>
      <c r="F13" s="1">
        <v>1.37</v>
      </c>
      <c r="G13" s="1">
        <v>1.31</v>
      </c>
      <c r="H13" s="1">
        <v>9.24</v>
      </c>
    </row>
    <row r="14" spans="1:8" x14ac:dyDescent="0.25">
      <c r="A14" s="1">
        <v>50</v>
      </c>
      <c r="B14" s="1">
        <v>1.53</v>
      </c>
      <c r="C14" s="1">
        <v>1.51</v>
      </c>
      <c r="D14" s="1">
        <v>1.5</v>
      </c>
      <c r="E14" s="1">
        <v>1.5</v>
      </c>
      <c r="F14" s="1">
        <v>1.48</v>
      </c>
      <c r="G14" s="1">
        <v>1.41</v>
      </c>
      <c r="H14" s="1">
        <v>1.06</v>
      </c>
    </row>
    <row r="15" spans="1:8" x14ac:dyDescent="0.25">
      <c r="A15" s="1">
        <v>60</v>
      </c>
      <c r="B15" s="1">
        <v>1.59</v>
      </c>
      <c r="C15" s="1">
        <v>1.57</v>
      </c>
      <c r="D15" s="1">
        <v>1.56</v>
      </c>
      <c r="E15" s="1">
        <v>1.56</v>
      </c>
      <c r="F15" s="1">
        <v>1.55</v>
      </c>
      <c r="G15" s="1">
        <v>1.47</v>
      </c>
      <c r="H15" s="1">
        <v>1.1200000000000001</v>
      </c>
    </row>
    <row r="16" spans="1:8" x14ac:dyDescent="0.25">
      <c r="A16" s="1">
        <v>70</v>
      </c>
      <c r="B16" s="1">
        <v>1.61</v>
      </c>
      <c r="C16" s="1">
        <v>1.6</v>
      </c>
      <c r="D16" s="1">
        <v>1.59</v>
      </c>
      <c r="E16" s="1">
        <v>1.59</v>
      </c>
      <c r="F16" s="1">
        <v>1.57</v>
      </c>
      <c r="G16" s="1">
        <v>1.5</v>
      </c>
      <c r="H16" s="1">
        <v>1.1599999999999999</v>
      </c>
    </row>
    <row r="17" spans="1:8" x14ac:dyDescent="0.25">
      <c r="A17" s="1">
        <v>80</v>
      </c>
      <c r="B17" s="1">
        <v>1.61</v>
      </c>
      <c r="C17" s="1">
        <v>1.59</v>
      </c>
      <c r="D17" s="1">
        <v>1.59</v>
      </c>
      <c r="E17" s="1">
        <v>1.59</v>
      </c>
      <c r="F17" s="1">
        <v>1.57</v>
      </c>
      <c r="G17" s="1">
        <v>1.5</v>
      </c>
      <c r="H17" s="1">
        <v>1.19</v>
      </c>
    </row>
    <row r="18" spans="1:8" x14ac:dyDescent="0.25">
      <c r="A18" s="1">
        <v>100</v>
      </c>
      <c r="B18" s="1">
        <v>1.55</v>
      </c>
      <c r="C18" s="1">
        <v>1.53</v>
      </c>
      <c r="D18" s="1">
        <v>1.53</v>
      </c>
      <c r="E18" s="1">
        <v>1.53</v>
      </c>
      <c r="F18" s="1">
        <v>1.52</v>
      </c>
      <c r="G18" s="1">
        <v>1.46</v>
      </c>
      <c r="H18" s="1">
        <v>1.19</v>
      </c>
    </row>
    <row r="19" spans="1:8" x14ac:dyDescent="0.25">
      <c r="A19" s="1">
        <v>125</v>
      </c>
      <c r="B19" s="1">
        <v>1.49</v>
      </c>
      <c r="C19" s="1">
        <v>1.47</v>
      </c>
      <c r="D19" s="1">
        <v>1.47</v>
      </c>
      <c r="E19" s="1">
        <v>1.47</v>
      </c>
      <c r="F19" s="1">
        <v>1.46</v>
      </c>
      <c r="G19" s="1">
        <v>1.42</v>
      </c>
      <c r="H19" s="1">
        <v>1.21</v>
      </c>
    </row>
    <row r="20" spans="1:8" x14ac:dyDescent="0.25">
      <c r="A20" s="1">
        <v>150</v>
      </c>
      <c r="B20" s="1">
        <v>1.42</v>
      </c>
      <c r="C20" s="1">
        <v>1.41</v>
      </c>
      <c r="D20" s="1">
        <v>1.41</v>
      </c>
      <c r="E20" s="1">
        <v>1.41</v>
      </c>
      <c r="F20" s="1">
        <v>1.41</v>
      </c>
      <c r="G20" s="1">
        <v>1.38</v>
      </c>
      <c r="H20" s="1">
        <v>1.24</v>
      </c>
    </row>
    <row r="21" spans="1:8" x14ac:dyDescent="0.25">
      <c r="A21" s="1">
        <v>200</v>
      </c>
      <c r="B21" s="1">
        <v>1.34</v>
      </c>
      <c r="C21" s="1">
        <v>1.33</v>
      </c>
      <c r="D21" s="1">
        <v>1.33</v>
      </c>
      <c r="E21" s="1">
        <v>1.33</v>
      </c>
      <c r="F21" s="1">
        <v>1.34</v>
      </c>
      <c r="G21" s="1">
        <v>1.31</v>
      </c>
      <c r="H21" s="1">
        <v>1.17</v>
      </c>
    </row>
    <row r="22" spans="1:8" x14ac:dyDescent="0.25">
      <c r="A22" s="1">
        <v>300</v>
      </c>
      <c r="B22" s="1">
        <v>1.31</v>
      </c>
      <c r="C22" s="1">
        <v>1.31</v>
      </c>
      <c r="D22" s="1">
        <v>1.31</v>
      </c>
      <c r="E22" s="1">
        <v>1.31</v>
      </c>
      <c r="F22" s="1">
        <v>1.34</v>
      </c>
      <c r="G22" s="1">
        <v>1.31</v>
      </c>
      <c r="H22" s="1">
        <v>1.17</v>
      </c>
    </row>
    <row r="23" spans="1:8" x14ac:dyDescent="0.25">
      <c r="A23" s="1">
        <v>662</v>
      </c>
      <c r="B23" s="1">
        <v>1.2</v>
      </c>
      <c r="C23" s="1">
        <v>1.2</v>
      </c>
      <c r="D23" s="1">
        <v>1.2</v>
      </c>
      <c r="E23" s="1">
        <v>1.2</v>
      </c>
      <c r="F23" s="1">
        <v>1.2</v>
      </c>
      <c r="G23" s="1">
        <v>1.18</v>
      </c>
      <c r="H23" s="1">
        <v>1.07</v>
      </c>
    </row>
    <row r="24" spans="1:8" x14ac:dyDescent="0.25">
      <c r="A24" s="1">
        <v>1250</v>
      </c>
      <c r="B24" s="1">
        <v>1.1599999999999999</v>
      </c>
      <c r="C24" s="1">
        <v>1.1599999999999999</v>
      </c>
      <c r="D24" s="1">
        <v>1.1599999999999999</v>
      </c>
      <c r="E24" s="1">
        <v>1.1599999999999999</v>
      </c>
      <c r="F24" s="1">
        <v>1.1599999999999999</v>
      </c>
      <c r="G24" s="1">
        <v>1.1399999999999999</v>
      </c>
      <c r="H24" s="1">
        <v>1.04</v>
      </c>
    </row>
    <row r="25" spans="1:8" x14ac:dyDescent="0.25">
      <c r="A25" s="1"/>
      <c r="B25" s="1"/>
      <c r="C25" s="1"/>
      <c r="D25" s="1"/>
      <c r="E25" s="1"/>
      <c r="F25" s="1"/>
      <c r="G25" s="1"/>
      <c r="H25" s="1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H36"/>
  <sheetViews>
    <sheetView workbookViewId="0">
      <selection activeCell="G3" sqref="G3:U51"/>
    </sheetView>
  </sheetViews>
  <sheetFormatPr defaultRowHeight="15" x14ac:dyDescent="0.25"/>
  <cols>
    <col min="1" max="16384" width="9.140625" style="4"/>
  </cols>
  <sheetData>
    <row r="1" spans="1:8" x14ac:dyDescent="0.25">
      <c r="A1" s="3" t="s">
        <v>0</v>
      </c>
      <c r="B1" s="3" t="s">
        <v>149</v>
      </c>
      <c r="C1" s="3" t="s">
        <v>150</v>
      </c>
      <c r="D1" s="3" t="s">
        <v>151</v>
      </c>
      <c r="E1" s="3" t="s">
        <v>152</v>
      </c>
      <c r="F1" s="3" t="s">
        <v>153</v>
      </c>
      <c r="G1" s="3" t="s">
        <v>154</v>
      </c>
      <c r="H1" s="3" t="s">
        <v>155</v>
      </c>
    </row>
    <row r="2" spans="1:8" x14ac:dyDescent="0.25">
      <c r="A2" s="4">
        <v>5</v>
      </c>
      <c r="B2" s="4">
        <v>1E-4</v>
      </c>
      <c r="C2" s="4">
        <v>1E-4</v>
      </c>
      <c r="D2" s="4">
        <v>1E-4</v>
      </c>
      <c r="E2" s="4">
        <v>1E-4</v>
      </c>
      <c r="F2" s="4">
        <v>1E-4</v>
      </c>
      <c r="G2" s="4">
        <v>1E-4</v>
      </c>
      <c r="H2" s="4">
        <v>1E-4</v>
      </c>
    </row>
    <row r="3" spans="1:8" x14ac:dyDescent="0.25">
      <c r="A3" s="4">
        <v>6</v>
      </c>
      <c r="B3" s="4">
        <v>1.1000000000000001E-3</v>
      </c>
      <c r="C3" s="4">
        <v>8.9999999999999998E-4</v>
      </c>
      <c r="D3" s="4">
        <v>4.0000000000000002E-4</v>
      </c>
      <c r="E3" s="4">
        <v>1E-4</v>
      </c>
      <c r="F3" s="4">
        <v>1E-4</v>
      </c>
      <c r="G3" s="4">
        <v>1E-4</v>
      </c>
      <c r="H3" s="4">
        <v>1E-4</v>
      </c>
    </row>
    <row r="4" spans="1:8" x14ac:dyDescent="0.25">
      <c r="A4" s="4">
        <v>7</v>
      </c>
      <c r="B4" s="4">
        <v>1.43E-2</v>
      </c>
      <c r="C4" s="4">
        <v>1.23E-2</v>
      </c>
      <c r="D4" s="4">
        <v>7.4999999999999997E-3</v>
      </c>
      <c r="E4" s="4">
        <v>2.7000000000000001E-3</v>
      </c>
      <c r="F4" s="4">
        <v>2.9999999999999997E-4</v>
      </c>
      <c r="G4" s="4">
        <v>1E-4</v>
      </c>
      <c r="H4" s="4">
        <v>1E-4</v>
      </c>
    </row>
    <row r="5" spans="1:8" x14ac:dyDescent="0.25">
      <c r="A5" s="4">
        <v>8</v>
      </c>
      <c r="B5" s="4">
        <v>5.9200000000000003E-2</v>
      </c>
      <c r="C5" s="4">
        <v>5.3600000000000002E-2</v>
      </c>
      <c r="D5" s="4">
        <v>3.8600000000000002E-2</v>
      </c>
      <c r="E5" s="4">
        <v>1.9199999999999998E-2</v>
      </c>
      <c r="F5" s="4">
        <v>4.4000000000000003E-3</v>
      </c>
      <c r="G5" s="4">
        <v>2.1000000000000001E-4</v>
      </c>
      <c r="H5" s="4">
        <v>1E-4</v>
      </c>
    </row>
    <row r="6" spans="1:8" x14ac:dyDescent="0.25">
      <c r="A6" s="4">
        <v>9</v>
      </c>
      <c r="B6" s="4">
        <v>0.14000000000000001</v>
      </c>
      <c r="C6" s="4">
        <v>0.13</v>
      </c>
      <c r="D6" s="4">
        <v>0.104</v>
      </c>
      <c r="E6" s="4">
        <v>6.3299999999999995E-2</v>
      </c>
      <c r="F6" s="4">
        <v>2.2100000000000002E-2</v>
      </c>
      <c r="G6" s="4">
        <v>1.7099999999999999E-3</v>
      </c>
      <c r="H6" s="4">
        <v>1E-4</v>
      </c>
    </row>
    <row r="7" spans="1:8" x14ac:dyDescent="0.25">
      <c r="A7" s="4">
        <v>10</v>
      </c>
      <c r="B7" s="4">
        <v>0.24</v>
      </c>
      <c r="C7" s="4">
        <v>0.22900000000000001</v>
      </c>
      <c r="D7" s="4">
        <v>0.19400000000000001</v>
      </c>
      <c r="E7" s="4">
        <v>0.13500000000000001</v>
      </c>
      <c r="F7" s="4">
        <v>6.2300000000000001E-2</v>
      </c>
      <c r="G7" s="4">
        <v>8.4499999999999992E-3</v>
      </c>
      <c r="H7" s="4">
        <v>1E-4</v>
      </c>
    </row>
    <row r="8" spans="1:8" x14ac:dyDescent="0.25">
      <c r="A8" s="4">
        <v>11</v>
      </c>
      <c r="B8" s="4">
        <v>0.34699999999999998</v>
      </c>
      <c r="C8" s="4">
        <v>0.33400000000000002</v>
      </c>
      <c r="D8" s="4">
        <v>0.29499999999999998</v>
      </c>
      <c r="E8" s="4">
        <v>0.22500000000000001</v>
      </c>
      <c r="F8" s="4">
        <v>0.125</v>
      </c>
      <c r="G8" s="4">
        <v>2.6599999999999999E-2</v>
      </c>
      <c r="H8" s="4">
        <v>2.9999999999999997E-4</v>
      </c>
    </row>
    <row r="9" spans="1:8" x14ac:dyDescent="0.25">
      <c r="A9" s="4">
        <v>13</v>
      </c>
      <c r="B9" s="4">
        <v>0.53600000000000003</v>
      </c>
      <c r="C9" s="4">
        <v>0.52400000000000002</v>
      </c>
      <c r="D9" s="4">
        <v>0.48599999999999999</v>
      </c>
      <c r="E9" s="4">
        <v>0.41199999999999998</v>
      </c>
      <c r="F9" s="4">
        <v>0.28699999999999998</v>
      </c>
      <c r="G9" s="4">
        <v>0.108</v>
      </c>
      <c r="H9" s="4">
        <v>2.7000000000000001E-3</v>
      </c>
    </row>
    <row r="10" spans="1:8" x14ac:dyDescent="0.25">
      <c r="A10" s="4">
        <v>15</v>
      </c>
      <c r="B10" s="4">
        <v>0.68200000000000005</v>
      </c>
      <c r="C10" s="4">
        <v>0.67100000000000004</v>
      </c>
      <c r="D10" s="4">
        <v>0.63800000000000001</v>
      </c>
      <c r="E10" s="4">
        <v>0.57099999999999995</v>
      </c>
      <c r="F10" s="4">
        <v>0.44900000000000001</v>
      </c>
      <c r="G10" s="4">
        <v>0.23100000000000001</v>
      </c>
      <c r="H10" s="4">
        <v>1.55E-2</v>
      </c>
    </row>
    <row r="11" spans="1:8" x14ac:dyDescent="0.25">
      <c r="A11" s="4">
        <v>17</v>
      </c>
      <c r="B11" s="4">
        <v>0.79100000000000004</v>
      </c>
      <c r="C11" s="4">
        <v>0.78400000000000003</v>
      </c>
      <c r="D11" s="4">
        <v>0.75600000000000001</v>
      </c>
      <c r="E11" s="4">
        <v>0.69899999999999995</v>
      </c>
      <c r="F11" s="4">
        <v>0.58799999999999997</v>
      </c>
      <c r="G11" s="4">
        <v>0.36399999999999999</v>
      </c>
      <c r="H11" s="4">
        <v>4.87E-2</v>
      </c>
    </row>
    <row r="12" spans="1:8" x14ac:dyDescent="0.25">
      <c r="A12" s="4">
        <v>20</v>
      </c>
      <c r="B12" s="4">
        <v>0.91700000000000004</v>
      </c>
      <c r="C12" s="4">
        <v>0.91200000000000003</v>
      </c>
      <c r="D12" s="4">
        <v>0.89</v>
      </c>
      <c r="E12" s="4">
        <v>0.84399999999999997</v>
      </c>
      <c r="F12" s="4">
        <v>0.75</v>
      </c>
      <c r="G12" s="4">
        <v>0.54100000000000004</v>
      </c>
      <c r="H12" s="4">
        <v>0.13600000000000001</v>
      </c>
    </row>
    <row r="13" spans="1:8" x14ac:dyDescent="0.25">
      <c r="A13" s="4">
        <v>24</v>
      </c>
      <c r="B13" s="4">
        <v>1.04</v>
      </c>
      <c r="C13" s="4">
        <v>1.04</v>
      </c>
      <c r="D13" s="4">
        <v>1.02</v>
      </c>
      <c r="E13" s="4">
        <v>0.98199999999999998</v>
      </c>
      <c r="F13" s="4">
        <v>0.90300000000000002</v>
      </c>
      <c r="G13" s="4">
        <v>0.71899999999999997</v>
      </c>
      <c r="H13" s="4">
        <v>0.27800000000000002</v>
      </c>
    </row>
    <row r="14" spans="1:8" x14ac:dyDescent="0.25">
      <c r="A14" s="4">
        <v>30</v>
      </c>
      <c r="B14" s="4">
        <v>1.22</v>
      </c>
      <c r="C14" s="4">
        <v>1.21</v>
      </c>
      <c r="D14" s="4">
        <v>1.2</v>
      </c>
      <c r="E14" s="4">
        <v>1.1599999999999999</v>
      </c>
      <c r="F14" s="4">
        <v>1.0900000000000001</v>
      </c>
      <c r="G14" s="4">
        <v>0.92100000000000004</v>
      </c>
      <c r="H14" s="4">
        <v>0.47799999999999998</v>
      </c>
    </row>
    <row r="15" spans="1:8" x14ac:dyDescent="0.25">
      <c r="A15" s="4">
        <v>40</v>
      </c>
      <c r="B15" s="4">
        <v>1.45</v>
      </c>
      <c r="C15" s="4">
        <v>1.44</v>
      </c>
      <c r="D15" s="4">
        <v>1.43</v>
      </c>
      <c r="E15" s="4">
        <v>1.39</v>
      </c>
      <c r="F15" s="4">
        <v>1.31</v>
      </c>
      <c r="G15" s="4">
        <v>1.1499999999999999</v>
      </c>
      <c r="H15" s="4">
        <v>0.71499999999999997</v>
      </c>
    </row>
    <row r="16" spans="1:8" x14ac:dyDescent="0.25">
      <c r="A16" s="4">
        <v>50</v>
      </c>
      <c r="B16" s="4">
        <v>1.61</v>
      </c>
      <c r="C16" s="4">
        <v>1.6</v>
      </c>
      <c r="D16" s="4">
        <v>1.58</v>
      </c>
      <c r="E16" s="4">
        <v>1.54</v>
      </c>
      <c r="F16" s="4">
        <v>1.46</v>
      </c>
      <c r="G16" s="4">
        <v>1.3</v>
      </c>
      <c r="H16" s="4">
        <v>0.875</v>
      </c>
    </row>
    <row r="17" spans="1:8" x14ac:dyDescent="0.25">
      <c r="A17" s="4">
        <v>60</v>
      </c>
      <c r="B17" s="4">
        <v>1.68</v>
      </c>
      <c r="C17" s="4">
        <v>1.68</v>
      </c>
      <c r="D17" s="4">
        <v>1.66</v>
      </c>
      <c r="E17" s="4">
        <v>1.62</v>
      </c>
      <c r="F17" s="4">
        <v>1.54</v>
      </c>
      <c r="G17" s="4">
        <v>1.38</v>
      </c>
      <c r="H17" s="4">
        <v>0.97099999999999997</v>
      </c>
    </row>
    <row r="18" spans="1:8" x14ac:dyDescent="0.25">
      <c r="A18" s="4">
        <v>70</v>
      </c>
      <c r="B18" s="4">
        <v>1.7</v>
      </c>
      <c r="C18" s="4">
        <v>1.7</v>
      </c>
      <c r="D18" s="4">
        <v>1.68</v>
      </c>
      <c r="E18" s="4">
        <v>1.64</v>
      </c>
      <c r="F18" s="4">
        <v>1.57</v>
      </c>
      <c r="G18" s="4">
        <v>1.42</v>
      </c>
      <c r="H18" s="4">
        <v>1.03</v>
      </c>
    </row>
    <row r="19" spans="1:8" x14ac:dyDescent="0.25">
      <c r="A19" s="4">
        <v>80</v>
      </c>
      <c r="B19" s="4">
        <v>1.68</v>
      </c>
      <c r="C19" s="4">
        <v>1.67</v>
      </c>
      <c r="D19" s="4">
        <v>1.66</v>
      </c>
      <c r="E19" s="4">
        <v>1.63</v>
      </c>
      <c r="F19" s="4">
        <v>1.56</v>
      </c>
      <c r="G19" s="4">
        <v>1.43</v>
      </c>
      <c r="H19" s="4">
        <v>1.05</v>
      </c>
    </row>
    <row r="20" spans="1:8" x14ac:dyDescent="0.25">
      <c r="A20" s="4">
        <v>100</v>
      </c>
      <c r="B20" s="4">
        <v>1.61</v>
      </c>
      <c r="C20" s="4">
        <v>1.61</v>
      </c>
      <c r="D20" s="4">
        <v>1.6</v>
      </c>
      <c r="E20" s="4">
        <v>1.57</v>
      </c>
      <c r="F20" s="4">
        <v>1.52</v>
      </c>
      <c r="G20" s="4">
        <v>1.41</v>
      </c>
      <c r="H20" s="4">
        <v>1.06</v>
      </c>
    </row>
    <row r="21" spans="1:8" x14ac:dyDescent="0.25">
      <c r="A21" s="4">
        <v>120</v>
      </c>
      <c r="B21" s="4">
        <v>1.52</v>
      </c>
      <c r="C21" s="4">
        <v>1.52</v>
      </c>
      <c r="D21" s="4">
        <v>1.52</v>
      </c>
      <c r="E21" s="4">
        <v>1.5</v>
      </c>
      <c r="F21" s="4">
        <v>1.47</v>
      </c>
      <c r="G21" s="4">
        <v>1.37</v>
      </c>
      <c r="H21" s="4">
        <v>1.05</v>
      </c>
    </row>
    <row r="22" spans="1:8" x14ac:dyDescent="0.25">
      <c r="A22" s="4">
        <v>150</v>
      </c>
      <c r="B22" s="4">
        <v>1.47</v>
      </c>
      <c r="C22" s="4">
        <v>1.47</v>
      </c>
      <c r="D22" s="4">
        <v>1.46</v>
      </c>
      <c r="E22" s="4">
        <v>1.46</v>
      </c>
      <c r="F22" s="4">
        <v>1.43</v>
      </c>
      <c r="G22" s="4">
        <v>1.35</v>
      </c>
      <c r="H22" s="4">
        <v>1.06</v>
      </c>
    </row>
    <row r="23" spans="1:8" x14ac:dyDescent="0.25">
      <c r="A23" s="4">
        <v>200</v>
      </c>
      <c r="B23" s="4">
        <v>1.39</v>
      </c>
      <c r="C23" s="4">
        <v>1.39</v>
      </c>
      <c r="D23" s="4">
        <v>1.39</v>
      </c>
      <c r="E23" s="4">
        <v>1.38</v>
      </c>
      <c r="F23" s="4">
        <v>1.37</v>
      </c>
      <c r="G23" s="4">
        <v>1.31</v>
      </c>
      <c r="H23" s="4">
        <v>1.06</v>
      </c>
    </row>
    <row r="24" spans="1:8" x14ac:dyDescent="0.25">
      <c r="A24" s="4">
        <v>300</v>
      </c>
      <c r="B24" s="4">
        <v>1.3</v>
      </c>
      <c r="C24" s="4">
        <v>1.3</v>
      </c>
      <c r="D24" s="4">
        <v>1.3</v>
      </c>
      <c r="E24" s="4">
        <v>1.31</v>
      </c>
      <c r="F24" s="4">
        <v>1.31</v>
      </c>
      <c r="G24" s="4">
        <v>1.27</v>
      </c>
      <c r="H24" s="4">
        <v>1.07</v>
      </c>
    </row>
    <row r="25" spans="1:8" x14ac:dyDescent="0.25">
      <c r="A25" s="4">
        <v>400</v>
      </c>
      <c r="B25" s="4">
        <v>1.26</v>
      </c>
      <c r="C25" s="4">
        <v>1.25</v>
      </c>
      <c r="D25" s="4">
        <v>1.25</v>
      </c>
      <c r="E25" s="4">
        <v>1.26</v>
      </c>
      <c r="F25" s="4">
        <v>1.26</v>
      </c>
      <c r="G25" s="4">
        <v>1.24</v>
      </c>
      <c r="H25" s="4">
        <v>1.07</v>
      </c>
    </row>
    <row r="26" spans="1:8" x14ac:dyDescent="0.25">
      <c r="A26" s="4">
        <v>500</v>
      </c>
      <c r="B26" s="4">
        <v>1.22</v>
      </c>
      <c r="C26" s="4">
        <v>1.22</v>
      </c>
      <c r="D26" s="4">
        <v>1.22</v>
      </c>
      <c r="E26" s="4">
        <v>1.23</v>
      </c>
      <c r="F26" s="4">
        <v>1.24</v>
      </c>
      <c r="G26" s="4">
        <v>1.22</v>
      </c>
      <c r="H26" s="4">
        <v>1.07</v>
      </c>
    </row>
    <row r="27" spans="1:8" x14ac:dyDescent="0.25">
      <c r="A27" s="4">
        <v>662</v>
      </c>
      <c r="B27" s="4">
        <v>1.18</v>
      </c>
      <c r="C27" s="4">
        <v>1.19</v>
      </c>
      <c r="D27" s="4">
        <v>1.2</v>
      </c>
      <c r="E27" s="4">
        <v>1.2</v>
      </c>
      <c r="F27" s="4">
        <v>1.21</v>
      </c>
      <c r="G27" s="4">
        <v>1.2</v>
      </c>
      <c r="H27" s="4">
        <v>1.08</v>
      </c>
    </row>
    <row r="28" spans="1:8" x14ac:dyDescent="0.25">
      <c r="A28" s="4">
        <v>800</v>
      </c>
      <c r="B28" s="4">
        <v>1.17</v>
      </c>
      <c r="C28" s="4">
        <v>1.17</v>
      </c>
      <c r="D28" s="4">
        <v>1.18</v>
      </c>
      <c r="E28" s="4">
        <v>1.18</v>
      </c>
      <c r="F28" s="4">
        <v>1.19</v>
      </c>
      <c r="G28" s="4">
        <v>1.19</v>
      </c>
      <c r="H28" s="4">
        <v>1.07</v>
      </c>
    </row>
    <row r="29" spans="1:8" x14ac:dyDescent="0.25">
      <c r="A29" s="4">
        <v>1000</v>
      </c>
      <c r="B29" s="4">
        <v>1.1499999999999999</v>
      </c>
      <c r="C29" s="4">
        <v>1.1599999999999999</v>
      </c>
      <c r="D29" s="4">
        <v>1.1599999999999999</v>
      </c>
      <c r="E29" s="4">
        <v>1.17</v>
      </c>
      <c r="F29" s="4">
        <v>1.17</v>
      </c>
      <c r="G29" s="4">
        <v>1.17</v>
      </c>
      <c r="H29" s="4">
        <v>1.07</v>
      </c>
    </row>
    <row r="30" spans="1:8" x14ac:dyDescent="0.25">
      <c r="A30" s="4">
        <v>1300</v>
      </c>
      <c r="B30" s="4">
        <v>1.1499999999999999</v>
      </c>
      <c r="C30" s="4">
        <v>1.1499999999999999</v>
      </c>
      <c r="D30" s="4">
        <v>1.1499999999999999</v>
      </c>
      <c r="E30" s="4">
        <v>1.1499999999999999</v>
      </c>
      <c r="F30" s="4">
        <v>1.1599999999999999</v>
      </c>
      <c r="G30" s="4">
        <v>1.1599999999999999</v>
      </c>
      <c r="H30" s="4">
        <v>1.08</v>
      </c>
    </row>
    <row r="31" spans="1:8" x14ac:dyDescent="0.25">
      <c r="A31" s="4">
        <v>1500</v>
      </c>
      <c r="B31" s="4">
        <v>1.1399999999999999</v>
      </c>
      <c r="C31" s="4">
        <v>1.1399999999999999</v>
      </c>
      <c r="D31" s="4">
        <v>1.1399999999999999</v>
      </c>
      <c r="E31" s="4">
        <v>1.1399999999999999</v>
      </c>
      <c r="F31" s="4">
        <v>1.1499999999999999</v>
      </c>
      <c r="G31" s="4">
        <v>1.1499999999999999</v>
      </c>
      <c r="H31" s="4">
        <v>1.08</v>
      </c>
    </row>
    <row r="32" spans="1:8" x14ac:dyDescent="0.25">
      <c r="A32" s="4">
        <v>2000</v>
      </c>
      <c r="B32" s="4">
        <v>1.1200000000000001</v>
      </c>
      <c r="C32" s="4">
        <v>1.1200000000000001</v>
      </c>
      <c r="D32" s="4">
        <v>1.1200000000000001</v>
      </c>
      <c r="E32" s="4">
        <v>1.1299999999999999</v>
      </c>
      <c r="F32" s="4">
        <v>1.1299999999999999</v>
      </c>
      <c r="G32" s="4">
        <v>1.1299999999999999</v>
      </c>
      <c r="H32" s="4">
        <v>1.07</v>
      </c>
    </row>
    <row r="33" spans="1:8" x14ac:dyDescent="0.25">
      <c r="A33" s="4">
        <v>3000</v>
      </c>
      <c r="B33" s="4">
        <v>1.1100000000000001</v>
      </c>
      <c r="C33" s="4">
        <v>1.1100000000000001</v>
      </c>
      <c r="D33" s="4">
        <v>1.1100000000000001</v>
      </c>
      <c r="E33" s="4">
        <v>1.1100000000000001</v>
      </c>
      <c r="F33" s="4">
        <v>1.1200000000000001</v>
      </c>
      <c r="G33" s="4">
        <v>1.1200000000000001</v>
      </c>
      <c r="H33" s="4">
        <v>1.07</v>
      </c>
    </row>
    <row r="34" spans="1:8" x14ac:dyDescent="0.25">
      <c r="A34" s="4">
        <v>5000</v>
      </c>
      <c r="B34" s="4">
        <v>1.1000000000000001</v>
      </c>
      <c r="C34" s="4">
        <v>1.0900000000000001</v>
      </c>
      <c r="D34" s="4">
        <v>1.0900000000000001</v>
      </c>
      <c r="E34" s="4">
        <v>1.1000000000000001</v>
      </c>
      <c r="F34" s="4">
        <v>1.1000000000000001</v>
      </c>
      <c r="G34" s="4">
        <v>1.0900000000000001</v>
      </c>
      <c r="H34" s="4">
        <v>1.06</v>
      </c>
    </row>
    <row r="35" spans="1:8" x14ac:dyDescent="0.25">
      <c r="A35" s="4">
        <v>8000</v>
      </c>
      <c r="B35" s="4">
        <v>1.08</v>
      </c>
      <c r="C35" s="4">
        <v>1.08</v>
      </c>
      <c r="D35" s="4">
        <v>1.07</v>
      </c>
      <c r="E35" s="4">
        <v>1.08</v>
      </c>
      <c r="F35" s="4">
        <v>1.08</v>
      </c>
      <c r="G35" s="4">
        <v>1.07</v>
      </c>
      <c r="H35" s="4">
        <v>1.04</v>
      </c>
    </row>
    <row r="36" spans="1:8" x14ac:dyDescent="0.25">
      <c r="A36" s="4">
        <v>10000</v>
      </c>
      <c r="B36" s="4">
        <v>1.07</v>
      </c>
      <c r="C36" s="4">
        <v>1.07</v>
      </c>
      <c r="D36" s="4">
        <v>1.07</v>
      </c>
      <c r="E36" s="4">
        <v>1.07</v>
      </c>
      <c r="F36" s="4">
        <v>1.07</v>
      </c>
      <c r="G36" s="4">
        <v>1.06</v>
      </c>
      <c r="H36" s="4">
        <v>1.03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37"/>
  <sheetViews>
    <sheetView workbookViewId="0">
      <selection activeCell="G3" sqref="G3:U51"/>
    </sheetView>
  </sheetViews>
  <sheetFormatPr defaultRowHeight="15" x14ac:dyDescent="0.25"/>
  <sheetData>
    <row r="1" spans="1:2" x14ac:dyDescent="0.25">
      <c r="A1" t="s">
        <v>15</v>
      </c>
      <c r="B1" t="s">
        <v>1</v>
      </c>
    </row>
    <row r="2" spans="1:2" x14ac:dyDescent="0.25">
      <c r="A2">
        <v>7</v>
      </c>
      <c r="B2">
        <v>1.2E-5</v>
      </c>
    </row>
    <row r="3" spans="1:2" x14ac:dyDescent="0.25">
      <c r="A3">
        <v>8</v>
      </c>
      <c r="B3">
        <v>9.5000000000000005E-5</v>
      </c>
    </row>
    <row r="4" spans="1:2" x14ac:dyDescent="0.25">
      <c r="A4">
        <v>9</v>
      </c>
      <c r="B4">
        <v>1.4499999999999999E-3</v>
      </c>
    </row>
    <row r="5" spans="1:2" x14ac:dyDescent="0.25">
      <c r="A5">
        <v>10</v>
      </c>
      <c r="B5">
        <v>8.0000000000000002E-3</v>
      </c>
    </row>
    <row r="6" spans="1:2" x14ac:dyDescent="0.25">
      <c r="A6">
        <v>11</v>
      </c>
      <c r="B6">
        <v>3.3099999999999997E-2</v>
      </c>
    </row>
    <row r="7" spans="1:2" x14ac:dyDescent="0.25">
      <c r="A7">
        <v>12</v>
      </c>
      <c r="B7">
        <v>7.3700000000000002E-2</v>
      </c>
    </row>
    <row r="8" spans="1:2" x14ac:dyDescent="0.25">
      <c r="A8">
        <v>13</v>
      </c>
      <c r="B8">
        <v>0.127</v>
      </c>
    </row>
    <row r="9" spans="1:2" x14ac:dyDescent="0.25">
      <c r="A9">
        <v>14</v>
      </c>
      <c r="B9">
        <v>0.19</v>
      </c>
    </row>
    <row r="10" spans="1:2" x14ac:dyDescent="0.25">
      <c r="A10">
        <v>15</v>
      </c>
      <c r="B10">
        <v>0.26</v>
      </c>
    </row>
    <row r="11" spans="1:2" x14ac:dyDescent="0.25">
      <c r="A11">
        <v>16</v>
      </c>
      <c r="B11">
        <v>0.32600000000000001</v>
      </c>
    </row>
    <row r="12" spans="1:2" x14ac:dyDescent="0.25">
      <c r="A12">
        <v>17</v>
      </c>
      <c r="B12">
        <v>0.39500000000000002</v>
      </c>
    </row>
    <row r="13" spans="1:2" x14ac:dyDescent="0.25">
      <c r="A13">
        <v>18</v>
      </c>
      <c r="B13">
        <v>0.46600000000000003</v>
      </c>
    </row>
    <row r="14" spans="1:2" x14ac:dyDescent="0.25">
      <c r="A14">
        <v>19</v>
      </c>
      <c r="B14">
        <v>0.53800000000000003</v>
      </c>
    </row>
    <row r="15" spans="1:2" x14ac:dyDescent="0.25">
      <c r="A15">
        <v>20</v>
      </c>
      <c r="B15">
        <v>0.61</v>
      </c>
    </row>
    <row r="16" spans="1:2" x14ac:dyDescent="0.25">
      <c r="A16">
        <v>30</v>
      </c>
      <c r="B16">
        <v>1.1000000000000001</v>
      </c>
    </row>
    <row r="17" spans="1:2" x14ac:dyDescent="0.25">
      <c r="A17">
        <v>40</v>
      </c>
      <c r="B17">
        <v>1.47</v>
      </c>
    </row>
    <row r="18" spans="1:2" x14ac:dyDescent="0.25">
      <c r="A18">
        <v>50</v>
      </c>
      <c r="B18">
        <v>1.67</v>
      </c>
    </row>
    <row r="19" spans="1:2" x14ac:dyDescent="0.25">
      <c r="A19">
        <v>60</v>
      </c>
      <c r="B19">
        <v>1.74</v>
      </c>
    </row>
    <row r="20" spans="1:2" x14ac:dyDescent="0.25">
      <c r="A20">
        <v>80</v>
      </c>
      <c r="B20">
        <v>1.72</v>
      </c>
    </row>
    <row r="21" spans="1:2" x14ac:dyDescent="0.25">
      <c r="A21">
        <v>100</v>
      </c>
      <c r="B21">
        <v>1.65</v>
      </c>
    </row>
    <row r="22" spans="1:2" x14ac:dyDescent="0.25">
      <c r="A22">
        <v>150</v>
      </c>
      <c r="B22">
        <v>1.49</v>
      </c>
    </row>
    <row r="23" spans="1:2" x14ac:dyDescent="0.25">
      <c r="A23">
        <v>200</v>
      </c>
      <c r="B23">
        <v>1.4</v>
      </c>
    </row>
    <row r="24" spans="1:2" x14ac:dyDescent="0.25">
      <c r="A24">
        <v>300</v>
      </c>
      <c r="B24">
        <v>1.31</v>
      </c>
    </row>
    <row r="25" spans="1:2" x14ac:dyDescent="0.25">
      <c r="A25">
        <v>400</v>
      </c>
      <c r="B25">
        <v>1.26</v>
      </c>
    </row>
    <row r="26" spans="1:2" x14ac:dyDescent="0.25">
      <c r="A26">
        <v>500</v>
      </c>
      <c r="B26">
        <v>1.23</v>
      </c>
    </row>
    <row r="27" spans="1:2" x14ac:dyDescent="0.25">
      <c r="A27">
        <v>600</v>
      </c>
      <c r="B27">
        <v>1.21</v>
      </c>
    </row>
    <row r="28" spans="1:2" x14ac:dyDescent="0.25">
      <c r="A28">
        <v>800</v>
      </c>
      <c r="B28">
        <v>1.19</v>
      </c>
    </row>
    <row r="29" spans="1:2" x14ac:dyDescent="0.25">
      <c r="A29">
        <v>1000</v>
      </c>
      <c r="B29">
        <v>1.17</v>
      </c>
    </row>
    <row r="30" spans="1:2" x14ac:dyDescent="0.25">
      <c r="A30">
        <v>1500</v>
      </c>
      <c r="B30">
        <v>1.1499999999999999</v>
      </c>
    </row>
    <row r="31" spans="1:2" x14ac:dyDescent="0.25">
      <c r="A31">
        <v>2000</v>
      </c>
      <c r="B31">
        <v>1.1299999999999999</v>
      </c>
    </row>
    <row r="32" spans="1:2" x14ac:dyDescent="0.25">
      <c r="A32">
        <v>3000</v>
      </c>
      <c r="B32">
        <v>1.1200000000000001</v>
      </c>
    </row>
    <row r="33" spans="1:2" x14ac:dyDescent="0.25">
      <c r="A33">
        <v>4000</v>
      </c>
      <c r="B33">
        <v>1.1100000000000001</v>
      </c>
    </row>
    <row r="34" spans="1:2" x14ac:dyDescent="0.25">
      <c r="A34">
        <v>5000</v>
      </c>
      <c r="B34">
        <v>1.0900000000000001</v>
      </c>
    </row>
    <row r="35" spans="1:2" x14ac:dyDescent="0.25">
      <c r="A35">
        <v>6000</v>
      </c>
      <c r="B35">
        <v>1.0900000000000001</v>
      </c>
    </row>
    <row r="36" spans="1:2" x14ac:dyDescent="0.25">
      <c r="A36">
        <v>8000</v>
      </c>
      <c r="B36">
        <v>1.08</v>
      </c>
    </row>
    <row r="37" spans="1:2" x14ac:dyDescent="0.25">
      <c r="A37">
        <v>10000</v>
      </c>
      <c r="B37">
        <v>1.06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B36"/>
  <sheetViews>
    <sheetView workbookViewId="0">
      <selection sqref="A1:B1"/>
    </sheetView>
  </sheetViews>
  <sheetFormatPr defaultRowHeight="15" x14ac:dyDescent="0.25"/>
  <sheetData>
    <row r="1" spans="1:2" x14ac:dyDescent="0.25">
      <c r="A1" t="s">
        <v>17</v>
      </c>
      <c r="B1" t="s">
        <v>12</v>
      </c>
    </row>
    <row r="2" spans="1:2" x14ac:dyDescent="0.25">
      <c r="A2" s="18">
        <v>5.2</v>
      </c>
      <c r="B2" s="18">
        <v>4.46E-4</v>
      </c>
    </row>
    <row r="3" spans="1:2" x14ac:dyDescent="0.25">
      <c r="A3" s="18">
        <v>5.4</v>
      </c>
      <c r="B3" s="18">
        <v>3.1E-4</v>
      </c>
    </row>
    <row r="4" spans="1:2" x14ac:dyDescent="0.25">
      <c r="A4" s="18">
        <v>5.6</v>
      </c>
      <c r="B4" s="18">
        <v>5.5999999999999995E-4</v>
      </c>
    </row>
    <row r="5" spans="1:2" x14ac:dyDescent="0.25">
      <c r="A5" s="18">
        <v>5.8</v>
      </c>
      <c r="B5" s="18">
        <v>1.7799999999999999E-4</v>
      </c>
    </row>
    <row r="6" spans="1:2" x14ac:dyDescent="0.25">
      <c r="A6" s="18">
        <v>6</v>
      </c>
      <c r="B6" s="18">
        <v>7.3499999999999998E-4</v>
      </c>
    </row>
    <row r="7" spans="1:2" x14ac:dyDescent="0.25">
      <c r="A7" s="18">
        <v>6.2</v>
      </c>
      <c r="B7" s="18">
        <v>6.8199999999999999E-7</v>
      </c>
    </row>
    <row r="8" spans="1:2" x14ac:dyDescent="0.25">
      <c r="A8" s="18">
        <v>6.4</v>
      </c>
      <c r="B8" s="18">
        <v>4.95E-4</v>
      </c>
    </row>
    <row r="9" spans="1:2" x14ac:dyDescent="0.25">
      <c r="A9" s="18">
        <v>6.6</v>
      </c>
      <c r="B9" s="18">
        <v>9.1699999999999995E-4</v>
      </c>
    </row>
    <row r="10" spans="1:2" x14ac:dyDescent="0.25">
      <c r="A10" s="18">
        <v>6.8</v>
      </c>
      <c r="B10" s="18">
        <v>6.3599999999999996E-4</v>
      </c>
    </row>
    <row r="11" spans="1:2" x14ac:dyDescent="0.25">
      <c r="A11" s="18">
        <v>7</v>
      </c>
      <c r="B11" s="18">
        <v>1.48E-3</v>
      </c>
    </row>
    <row r="12" spans="1:2" x14ac:dyDescent="0.25">
      <c r="A12" s="18">
        <v>7.2</v>
      </c>
      <c r="B12" s="18">
        <v>3.16E-3</v>
      </c>
    </row>
    <row r="13" spans="1:2" x14ac:dyDescent="0.25">
      <c r="A13" s="18">
        <v>7.4</v>
      </c>
      <c r="B13" s="18">
        <v>6.28E-3</v>
      </c>
    </row>
    <row r="14" spans="1:2" x14ac:dyDescent="0.25">
      <c r="A14" s="18">
        <v>7.6</v>
      </c>
      <c r="B14" s="18">
        <v>1.04E-2</v>
      </c>
    </row>
    <row r="15" spans="1:2" x14ac:dyDescent="0.25">
      <c r="A15" s="18">
        <v>7.8</v>
      </c>
      <c r="B15" s="18">
        <v>1.7999999999999999E-2</v>
      </c>
    </row>
    <row r="16" spans="1:2" x14ac:dyDescent="0.25">
      <c r="A16" s="18">
        <v>8</v>
      </c>
      <c r="B16" s="18">
        <v>2.7199999999999998E-2</v>
      </c>
    </row>
    <row r="17" spans="1:2" x14ac:dyDescent="0.25">
      <c r="A17" s="18">
        <v>8.1999999999999993</v>
      </c>
      <c r="B17" s="18">
        <v>4.2299999999999997E-2</v>
      </c>
    </row>
    <row r="18" spans="1:2" x14ac:dyDescent="0.25">
      <c r="A18" s="18">
        <v>8.4</v>
      </c>
      <c r="B18" s="18">
        <v>5.6500000000000002E-2</v>
      </c>
    </row>
    <row r="19" spans="1:2" x14ac:dyDescent="0.25">
      <c r="A19" s="18">
        <v>8.6</v>
      </c>
      <c r="B19" s="18">
        <v>7.3899999999999993E-2</v>
      </c>
    </row>
    <row r="20" spans="1:2" x14ac:dyDescent="0.25">
      <c r="A20" s="18">
        <v>8.8000000000000007</v>
      </c>
      <c r="B20" s="18">
        <v>9.4200000000000006E-2</v>
      </c>
    </row>
    <row r="21" spans="1:2" x14ac:dyDescent="0.25">
      <c r="A21" s="18">
        <v>9</v>
      </c>
      <c r="B21" s="18">
        <v>0.11</v>
      </c>
    </row>
    <row r="22" spans="1:2" x14ac:dyDescent="0.25">
      <c r="A22" s="18">
        <v>9.1999999999999993</v>
      </c>
      <c r="B22" s="18">
        <v>0.127</v>
      </c>
    </row>
    <row r="23" spans="1:2" x14ac:dyDescent="0.25">
      <c r="A23" s="18">
        <v>9.4</v>
      </c>
      <c r="B23" s="18">
        <v>0.13300000000000001</v>
      </c>
    </row>
    <row r="24" spans="1:2" x14ac:dyDescent="0.25">
      <c r="A24" s="18">
        <v>9.6</v>
      </c>
      <c r="B24" s="18">
        <v>0.129</v>
      </c>
    </row>
    <row r="25" spans="1:2" x14ac:dyDescent="0.25">
      <c r="A25" s="18">
        <v>9.8000000000000007</v>
      </c>
      <c r="B25" s="18">
        <v>0.107</v>
      </c>
    </row>
    <row r="26" spans="1:2" x14ac:dyDescent="0.25">
      <c r="A26" s="18">
        <v>10</v>
      </c>
      <c r="B26" s="18">
        <v>4.9799999999999997E-2</v>
      </c>
    </row>
    <row r="27" spans="1:2" x14ac:dyDescent="0.25">
      <c r="A27" s="18">
        <v>10.199999999999999</v>
      </c>
      <c r="B27" s="18">
        <v>4.8500000000000001E-3</v>
      </c>
    </row>
    <row r="28" spans="1:2" x14ac:dyDescent="0.25">
      <c r="A28" s="18">
        <v>10.4</v>
      </c>
      <c r="B28" s="18">
        <v>4.5300000000000001E-4</v>
      </c>
    </row>
    <row r="29" spans="1:2" x14ac:dyDescent="0.25">
      <c r="A29" s="18">
        <v>10.6</v>
      </c>
      <c r="B29" s="18">
        <v>9.4900000000000003E-5</v>
      </c>
    </row>
    <row r="30" spans="1:2" x14ac:dyDescent="0.25">
      <c r="A30" s="18">
        <v>10.8</v>
      </c>
      <c r="B30" s="18">
        <v>4.8300000000000002E-5</v>
      </c>
    </row>
    <row r="31" spans="1:2" x14ac:dyDescent="0.25">
      <c r="A31" s="18">
        <v>11</v>
      </c>
      <c r="B31" s="18">
        <v>3.2700000000000002E-5</v>
      </c>
    </row>
    <row r="32" spans="1:2" x14ac:dyDescent="0.25">
      <c r="A32" s="18">
        <v>11.2</v>
      </c>
      <c r="B32" s="18">
        <v>3.1999999999999999E-5</v>
      </c>
    </row>
    <row r="33" spans="1:2" x14ac:dyDescent="0.25">
      <c r="A33" s="18">
        <v>11.4</v>
      </c>
      <c r="B33" s="18">
        <v>6.9999999999999994E-5</v>
      </c>
    </row>
    <row r="34" spans="1:2" x14ac:dyDescent="0.25">
      <c r="A34" s="18">
        <v>11.6</v>
      </c>
      <c r="B34" s="18">
        <v>7.0300000000000001E-5</v>
      </c>
    </row>
    <row r="35" spans="1:2" x14ac:dyDescent="0.25">
      <c r="A35" s="18">
        <v>11.8</v>
      </c>
      <c r="B35" s="18">
        <v>1.31E-5</v>
      </c>
    </row>
    <row r="36" spans="1:2" x14ac:dyDescent="0.25">
      <c r="A36" s="18">
        <v>12</v>
      </c>
      <c r="B36" s="18">
        <v>4.1999999999999998E-5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77"/>
  <sheetViews>
    <sheetView workbookViewId="0">
      <selection sqref="A1:B1"/>
    </sheetView>
  </sheetViews>
  <sheetFormatPr defaultRowHeight="15" x14ac:dyDescent="0.25"/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7</v>
      </c>
      <c r="B2" s="18">
        <v>1.82E-3</v>
      </c>
    </row>
    <row r="3" spans="1:2" x14ac:dyDescent="0.25">
      <c r="A3" s="18">
        <v>7.2</v>
      </c>
      <c r="B3" s="18">
        <v>5.0199999999999995E-4</v>
      </c>
    </row>
    <row r="4" spans="1:2" x14ac:dyDescent="0.25">
      <c r="A4" s="18">
        <v>7.4</v>
      </c>
      <c r="B4" s="18">
        <v>6.9200000000000002E-4</v>
      </c>
    </row>
    <row r="5" spans="1:2" x14ac:dyDescent="0.25">
      <c r="A5" s="18">
        <v>7.6</v>
      </c>
      <c r="B5" s="18">
        <v>1.3699999999999999E-3</v>
      </c>
    </row>
    <row r="6" spans="1:2" x14ac:dyDescent="0.25">
      <c r="A6" s="18">
        <v>7.8</v>
      </c>
      <c r="B6" s="18">
        <v>1.4300000000000001E-3</v>
      </c>
    </row>
    <row r="7" spans="1:2" x14ac:dyDescent="0.25">
      <c r="A7" s="18">
        <v>8</v>
      </c>
      <c r="B7" s="18">
        <v>1.48E-3</v>
      </c>
    </row>
    <row r="8" spans="1:2" x14ac:dyDescent="0.25">
      <c r="A8" s="18">
        <v>8.1999999999999993</v>
      </c>
      <c r="B8" s="18">
        <v>4.3100000000000001E-4</v>
      </c>
    </row>
    <row r="9" spans="1:2" x14ac:dyDescent="0.25">
      <c r="A9" s="18">
        <v>8.4</v>
      </c>
      <c r="B9" s="18">
        <v>1.3500000000000001E-3</v>
      </c>
    </row>
    <row r="10" spans="1:2" x14ac:dyDescent="0.25">
      <c r="A10" s="18">
        <v>8.6</v>
      </c>
      <c r="B10" s="18">
        <v>6.3699999999999998E-4</v>
      </c>
    </row>
    <row r="11" spans="1:2" x14ac:dyDescent="0.25">
      <c r="A11" s="18">
        <v>8.8000000000000007</v>
      </c>
      <c r="B11" s="18">
        <v>1.72E-3</v>
      </c>
    </row>
    <row r="12" spans="1:2" x14ac:dyDescent="0.25">
      <c r="A12" s="18">
        <v>9</v>
      </c>
      <c r="B12" s="18">
        <v>5.5400000000000002E-4</v>
      </c>
    </row>
    <row r="13" spans="1:2" x14ac:dyDescent="0.25">
      <c r="A13" s="18">
        <v>9.1999999999999993</v>
      </c>
      <c r="B13" s="18">
        <v>1.41E-3</v>
      </c>
    </row>
    <row r="14" spans="1:2" x14ac:dyDescent="0.25">
      <c r="A14" s="18">
        <v>9.4</v>
      </c>
      <c r="B14" s="18">
        <v>9.2400000000000002E-4</v>
      </c>
    </row>
    <row r="15" spans="1:2" x14ac:dyDescent="0.25">
      <c r="A15" s="18">
        <v>9.6</v>
      </c>
      <c r="B15" s="18">
        <v>2.3E-3</v>
      </c>
    </row>
    <row r="16" spans="1:2" x14ac:dyDescent="0.25">
      <c r="A16" s="18">
        <v>9.8000000000000007</v>
      </c>
      <c r="B16" s="18">
        <v>1.56E-3</v>
      </c>
    </row>
    <row r="17" spans="1:2" x14ac:dyDescent="0.25">
      <c r="A17" s="18">
        <v>10</v>
      </c>
      <c r="B17" s="18">
        <v>2.6099999999999999E-3</v>
      </c>
    </row>
    <row r="18" spans="1:2" x14ac:dyDescent="0.25">
      <c r="A18" s="18">
        <v>10.199999999999999</v>
      </c>
      <c r="B18" s="18">
        <v>1.25E-3</v>
      </c>
    </row>
    <row r="19" spans="1:2" x14ac:dyDescent="0.25">
      <c r="A19" s="18">
        <v>10.4</v>
      </c>
      <c r="B19" s="18">
        <v>3.4299999999999999E-4</v>
      </c>
    </row>
    <row r="20" spans="1:2" x14ac:dyDescent="0.25">
      <c r="A20" s="18">
        <v>10.6</v>
      </c>
      <c r="B20" s="18">
        <v>2.9700000000000001E-4</v>
      </c>
    </row>
    <row r="21" spans="1:2" x14ac:dyDescent="0.25">
      <c r="A21" s="18">
        <v>10.8</v>
      </c>
      <c r="B21" s="18">
        <v>4.0400000000000001E-4</v>
      </c>
    </row>
    <row r="22" spans="1:2" x14ac:dyDescent="0.25">
      <c r="A22" s="18">
        <v>11</v>
      </c>
      <c r="B22" s="18">
        <v>3.7599999999999998E-4</v>
      </c>
    </row>
    <row r="23" spans="1:2" x14ac:dyDescent="0.25">
      <c r="A23" s="18">
        <v>11.2</v>
      </c>
      <c r="B23" s="18">
        <v>2.4399999999999999E-4</v>
      </c>
    </row>
    <row r="24" spans="1:2" x14ac:dyDescent="0.25">
      <c r="A24" s="18">
        <v>11.4</v>
      </c>
      <c r="B24" s="18">
        <v>9.3099999999999997E-4</v>
      </c>
    </row>
    <row r="25" spans="1:2" x14ac:dyDescent="0.25">
      <c r="A25" s="18">
        <v>11.6</v>
      </c>
      <c r="B25" s="18">
        <v>2.6200000000000003E-4</v>
      </c>
    </row>
    <row r="26" spans="1:2" x14ac:dyDescent="0.25">
      <c r="A26" s="18">
        <v>11.8</v>
      </c>
      <c r="B26" s="18">
        <v>8.1099999999999998E-4</v>
      </c>
    </row>
    <row r="27" spans="1:2" x14ac:dyDescent="0.25">
      <c r="A27" s="18">
        <v>12</v>
      </c>
      <c r="B27" s="18">
        <v>9.3199999999999999E-4</v>
      </c>
    </row>
    <row r="28" spans="1:2" x14ac:dyDescent="0.25">
      <c r="A28" s="18">
        <v>12.2</v>
      </c>
      <c r="B28" s="18">
        <v>7.6900000000000004E-4</v>
      </c>
    </row>
    <row r="29" spans="1:2" x14ac:dyDescent="0.25">
      <c r="A29" s="18">
        <v>12.4</v>
      </c>
      <c r="B29" s="18">
        <v>1.6299999999999999E-3</v>
      </c>
    </row>
    <row r="30" spans="1:2" x14ac:dyDescent="0.25">
      <c r="A30" s="18">
        <v>12.6</v>
      </c>
      <c r="B30" s="18">
        <v>1.73E-3</v>
      </c>
    </row>
    <row r="31" spans="1:2" x14ac:dyDescent="0.25">
      <c r="A31" s="18">
        <v>12.8</v>
      </c>
      <c r="B31" s="18">
        <v>2.4399999999999999E-3</v>
      </c>
    </row>
    <row r="32" spans="1:2" x14ac:dyDescent="0.25">
      <c r="A32" s="18">
        <v>13</v>
      </c>
      <c r="B32" s="18">
        <v>3.1800000000000001E-3</v>
      </c>
    </row>
    <row r="33" spans="1:2" x14ac:dyDescent="0.25">
      <c r="A33" s="18">
        <v>13.2</v>
      </c>
      <c r="B33" s="18">
        <v>4.2700000000000004E-3</v>
      </c>
    </row>
    <row r="34" spans="1:2" x14ac:dyDescent="0.25">
      <c r="A34" s="18">
        <v>13.4</v>
      </c>
      <c r="B34" s="18">
        <v>5.13E-3</v>
      </c>
    </row>
    <row r="35" spans="1:2" x14ac:dyDescent="0.25">
      <c r="A35" s="18">
        <v>13.6</v>
      </c>
      <c r="B35" s="18">
        <v>6.2199999999999998E-3</v>
      </c>
    </row>
    <row r="36" spans="1:2" x14ac:dyDescent="0.25">
      <c r="A36" s="18">
        <v>13.8</v>
      </c>
      <c r="B36" s="18">
        <v>8.2199999999999999E-3</v>
      </c>
    </row>
    <row r="37" spans="1:2" x14ac:dyDescent="0.25">
      <c r="A37" s="18">
        <v>14</v>
      </c>
      <c r="B37" s="18">
        <v>8.9899999999999997E-3</v>
      </c>
    </row>
    <row r="38" spans="1:2" x14ac:dyDescent="0.25">
      <c r="A38" s="18">
        <v>14.2</v>
      </c>
      <c r="B38" s="18">
        <v>1.11E-2</v>
      </c>
    </row>
    <row r="39" spans="1:2" x14ac:dyDescent="0.25">
      <c r="A39" s="18">
        <v>14.4</v>
      </c>
      <c r="B39" s="18">
        <v>1.3100000000000001E-2</v>
      </c>
    </row>
    <row r="40" spans="1:2" x14ac:dyDescent="0.25">
      <c r="A40" s="18">
        <v>14.6</v>
      </c>
      <c r="B40" s="18">
        <v>1.5299999999999999E-2</v>
      </c>
    </row>
    <row r="41" spans="1:2" x14ac:dyDescent="0.25">
      <c r="A41" s="18">
        <v>14.8</v>
      </c>
      <c r="B41" s="18">
        <v>1.7299999999999999E-2</v>
      </c>
    </row>
    <row r="42" spans="1:2" x14ac:dyDescent="0.25">
      <c r="A42" s="18">
        <v>15</v>
      </c>
      <c r="B42" s="18">
        <v>1.9199999999999998E-2</v>
      </c>
    </row>
    <row r="43" spans="1:2" x14ac:dyDescent="0.25">
      <c r="A43" s="18">
        <v>15.2</v>
      </c>
      <c r="B43" s="18">
        <v>2.23E-2</v>
      </c>
    </row>
    <row r="44" spans="1:2" x14ac:dyDescent="0.25">
      <c r="A44" s="18">
        <v>15.4</v>
      </c>
      <c r="B44" s="18">
        <v>2.5499999999999998E-2</v>
      </c>
    </row>
    <row r="45" spans="1:2" x14ac:dyDescent="0.25">
      <c r="A45" s="18">
        <v>15.6</v>
      </c>
      <c r="B45" s="18">
        <v>2.5700000000000001E-2</v>
      </c>
    </row>
    <row r="46" spans="1:2" x14ac:dyDescent="0.25">
      <c r="A46" s="18">
        <v>15.8</v>
      </c>
      <c r="B46" s="18">
        <v>3.0599999999999999E-2</v>
      </c>
    </row>
    <row r="47" spans="1:2" x14ac:dyDescent="0.25">
      <c r="A47" s="18">
        <v>16</v>
      </c>
      <c r="B47" s="18">
        <v>3.1800000000000002E-2</v>
      </c>
    </row>
    <row r="48" spans="1:2" x14ac:dyDescent="0.25">
      <c r="A48" s="18">
        <v>16.2</v>
      </c>
      <c r="B48" s="18">
        <v>3.44E-2</v>
      </c>
    </row>
    <row r="49" spans="1:2" x14ac:dyDescent="0.25">
      <c r="A49" s="18">
        <v>16.399999999999999</v>
      </c>
      <c r="B49" s="18">
        <v>3.6600000000000001E-2</v>
      </c>
    </row>
    <row r="50" spans="1:2" x14ac:dyDescent="0.25">
      <c r="A50" s="18">
        <v>16.600000000000001</v>
      </c>
      <c r="B50" s="18">
        <v>3.8199999999999998E-2</v>
      </c>
    </row>
    <row r="51" spans="1:2" x14ac:dyDescent="0.25">
      <c r="A51" s="18">
        <v>16.8</v>
      </c>
      <c r="B51" s="18">
        <v>4.0800000000000003E-2</v>
      </c>
    </row>
    <row r="52" spans="1:2" x14ac:dyDescent="0.25">
      <c r="A52" s="18">
        <v>17</v>
      </c>
      <c r="B52" s="18">
        <v>4.2099999999999999E-2</v>
      </c>
    </row>
    <row r="53" spans="1:2" x14ac:dyDescent="0.25">
      <c r="A53" s="18">
        <v>17.2</v>
      </c>
      <c r="B53" s="18">
        <v>4.3200000000000002E-2</v>
      </c>
    </row>
    <row r="54" spans="1:2" x14ac:dyDescent="0.25">
      <c r="A54" s="18">
        <v>17.399999999999999</v>
      </c>
      <c r="B54" s="18">
        <v>4.3799999999999999E-2</v>
      </c>
    </row>
    <row r="55" spans="1:2" x14ac:dyDescent="0.25">
      <c r="A55" s="18">
        <v>17.600000000000001</v>
      </c>
      <c r="B55" s="18">
        <v>4.4699999999999997E-2</v>
      </c>
    </row>
    <row r="56" spans="1:2" x14ac:dyDescent="0.25">
      <c r="A56" s="18">
        <v>17.8</v>
      </c>
      <c r="B56" s="18">
        <v>4.4299999999999999E-2</v>
      </c>
    </row>
    <row r="57" spans="1:2" x14ac:dyDescent="0.25">
      <c r="A57" s="18">
        <v>18</v>
      </c>
      <c r="B57" s="18">
        <v>4.4400000000000002E-2</v>
      </c>
    </row>
    <row r="58" spans="1:2" x14ac:dyDescent="0.25">
      <c r="A58" s="18">
        <v>18.2</v>
      </c>
      <c r="B58" s="18">
        <v>4.36E-2</v>
      </c>
    </row>
    <row r="59" spans="1:2" x14ac:dyDescent="0.25">
      <c r="A59" s="18">
        <v>18.399999999999999</v>
      </c>
      <c r="B59" s="18">
        <v>4.2500000000000003E-2</v>
      </c>
    </row>
    <row r="60" spans="1:2" x14ac:dyDescent="0.25">
      <c r="A60" s="18">
        <v>18.600000000000001</v>
      </c>
      <c r="B60" s="18">
        <v>4.1399999999999999E-2</v>
      </c>
    </row>
    <row r="61" spans="1:2" x14ac:dyDescent="0.25">
      <c r="A61" s="18">
        <v>18.8</v>
      </c>
      <c r="B61" s="18">
        <v>3.8300000000000001E-2</v>
      </c>
    </row>
    <row r="62" spans="1:2" x14ac:dyDescent="0.25">
      <c r="A62" s="18">
        <v>19</v>
      </c>
      <c r="B62" s="18">
        <v>3.61E-2</v>
      </c>
    </row>
    <row r="63" spans="1:2" x14ac:dyDescent="0.25">
      <c r="A63" s="18">
        <v>19.2</v>
      </c>
      <c r="B63" s="18">
        <v>3.1699999999999999E-2</v>
      </c>
    </row>
    <row r="64" spans="1:2" x14ac:dyDescent="0.25">
      <c r="A64" s="18">
        <v>19.399999999999999</v>
      </c>
      <c r="B64" s="18">
        <v>2.8400000000000002E-2</v>
      </c>
    </row>
    <row r="65" spans="1:2" x14ac:dyDescent="0.25">
      <c r="A65" s="18">
        <v>19.600000000000001</v>
      </c>
      <c r="B65" s="18">
        <v>2.1999999999999999E-2</v>
      </c>
    </row>
    <row r="66" spans="1:2" x14ac:dyDescent="0.25">
      <c r="A66" s="18">
        <v>19.8</v>
      </c>
      <c r="B66" s="18">
        <v>1.5800000000000002E-2</v>
      </c>
    </row>
    <row r="67" spans="1:2" x14ac:dyDescent="0.25">
      <c r="A67" s="18">
        <v>20</v>
      </c>
      <c r="B67" s="18">
        <v>6.0099999999999997E-3</v>
      </c>
    </row>
    <row r="68" spans="1:2" x14ac:dyDescent="0.25">
      <c r="A68" s="18">
        <v>20.2</v>
      </c>
      <c r="B68" s="18">
        <v>3.6200000000000002E-4</v>
      </c>
    </row>
    <row r="69" spans="1:2" x14ac:dyDescent="0.25">
      <c r="A69" s="18">
        <v>20.399999999999999</v>
      </c>
      <c r="B69" s="18">
        <v>2.3900000000000002E-5</v>
      </c>
    </row>
    <row r="70" spans="1:2" x14ac:dyDescent="0.25">
      <c r="A70" s="18">
        <v>20.6</v>
      </c>
      <c r="B70" s="18">
        <v>7.3100000000000003E-6</v>
      </c>
    </row>
    <row r="71" spans="1:2" x14ac:dyDescent="0.25">
      <c r="A71" s="18">
        <v>20.8</v>
      </c>
      <c r="B71" s="18">
        <v>9.4599999999999992E-6</v>
      </c>
    </row>
    <row r="72" spans="1:2" x14ac:dyDescent="0.25">
      <c r="A72" s="18">
        <v>21</v>
      </c>
      <c r="B72" s="18">
        <v>9.7399999999999999E-6</v>
      </c>
    </row>
    <row r="73" spans="1:2" x14ac:dyDescent="0.25">
      <c r="A73" s="18">
        <v>21.2</v>
      </c>
      <c r="B73" s="18">
        <v>4.4599999999999996E-6</v>
      </c>
    </row>
    <row r="74" spans="1:2" x14ac:dyDescent="0.25">
      <c r="A74" s="18">
        <v>21.4</v>
      </c>
      <c r="B74" s="18">
        <v>8.2500000000000004E-7</v>
      </c>
    </row>
    <row r="75" spans="1:2" x14ac:dyDescent="0.25">
      <c r="A75" s="18">
        <v>21.6</v>
      </c>
      <c r="B75" s="18">
        <v>4.4900000000000002E-6</v>
      </c>
    </row>
    <row r="76" spans="1:2" x14ac:dyDescent="0.25">
      <c r="A76" s="18">
        <v>21.8</v>
      </c>
      <c r="B76" s="18">
        <v>8.1000000000000004E-6</v>
      </c>
    </row>
    <row r="77" spans="1:2" x14ac:dyDescent="0.25">
      <c r="A77" s="18">
        <v>22</v>
      </c>
      <c r="B77" s="18">
        <v>3.1099999999999999E-6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87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15</v>
      </c>
      <c r="B2" s="18">
        <v>1.5699999999999999E-4</v>
      </c>
    </row>
    <row r="3" spans="1:2" x14ac:dyDescent="0.25">
      <c r="A3" s="18">
        <v>15.2</v>
      </c>
      <c r="B3" s="18">
        <v>4.9200000000000003E-4</v>
      </c>
    </row>
    <row r="4" spans="1:2" x14ac:dyDescent="0.25">
      <c r="A4" s="18">
        <v>15.4</v>
      </c>
      <c r="B4" s="18">
        <v>2.6600000000000001E-4</v>
      </c>
    </row>
    <row r="5" spans="1:2" x14ac:dyDescent="0.25">
      <c r="A5" s="18">
        <v>15.6</v>
      </c>
      <c r="B5" s="18">
        <v>2.4899999999999998E-4</v>
      </c>
    </row>
    <row r="6" spans="1:2" x14ac:dyDescent="0.25">
      <c r="A6" s="18">
        <v>15.8</v>
      </c>
      <c r="B6" s="18">
        <v>6.4899999999999995E-4</v>
      </c>
    </row>
    <row r="7" spans="1:2" x14ac:dyDescent="0.25">
      <c r="A7" s="18">
        <v>16</v>
      </c>
      <c r="B7" s="18">
        <v>7.2099999999999996E-4</v>
      </c>
    </row>
    <row r="8" spans="1:2" x14ac:dyDescent="0.25">
      <c r="A8" s="18">
        <v>16.2</v>
      </c>
      <c r="B8" s="18">
        <v>7.1299999999999998E-4</v>
      </c>
    </row>
    <row r="9" spans="1:2" x14ac:dyDescent="0.25">
      <c r="A9" s="18">
        <v>16.399999999999999</v>
      </c>
      <c r="B9" s="18">
        <v>2.2599999999999999E-4</v>
      </c>
    </row>
    <row r="10" spans="1:2" x14ac:dyDescent="0.25">
      <c r="A10" s="18">
        <v>16.600000000000001</v>
      </c>
      <c r="B10" s="18">
        <v>1.47E-4</v>
      </c>
    </row>
    <row r="11" spans="1:2" x14ac:dyDescent="0.25">
      <c r="A11" s="18">
        <v>16.8</v>
      </c>
      <c r="B11" s="18">
        <v>6.86E-5</v>
      </c>
    </row>
    <row r="12" spans="1:2" x14ac:dyDescent="0.25">
      <c r="A12" s="18">
        <v>17</v>
      </c>
      <c r="B12" s="18">
        <v>7.7099999999999998E-4</v>
      </c>
    </row>
    <row r="13" spans="1:2" x14ac:dyDescent="0.25">
      <c r="A13" s="18">
        <v>17.2</v>
      </c>
      <c r="B13" s="18">
        <v>1.7899999999999999E-4</v>
      </c>
    </row>
    <row r="14" spans="1:2" x14ac:dyDescent="0.25">
      <c r="A14" s="18">
        <v>17.399999999999999</v>
      </c>
      <c r="B14" s="18">
        <v>3.19E-4</v>
      </c>
    </row>
    <row r="15" spans="1:2" x14ac:dyDescent="0.25">
      <c r="A15" s="18">
        <v>17.600000000000001</v>
      </c>
      <c r="B15" s="18">
        <v>3.3399999999999999E-4</v>
      </c>
    </row>
    <row r="16" spans="1:2" x14ac:dyDescent="0.25">
      <c r="A16" s="18">
        <v>17.8</v>
      </c>
      <c r="B16" s="18">
        <v>2.12E-4</v>
      </c>
    </row>
    <row r="17" spans="1:2" x14ac:dyDescent="0.25">
      <c r="A17" s="18">
        <v>18</v>
      </c>
      <c r="B17" s="18">
        <v>2.5999999999999998E-4</v>
      </c>
    </row>
    <row r="18" spans="1:2" x14ac:dyDescent="0.25">
      <c r="A18" s="18">
        <v>18.2</v>
      </c>
      <c r="B18" s="18">
        <v>3.6200000000000002E-4</v>
      </c>
    </row>
    <row r="19" spans="1:2" x14ac:dyDescent="0.25">
      <c r="A19" s="18">
        <v>18.399999999999999</v>
      </c>
      <c r="B19" s="18">
        <v>4.2400000000000001E-4</v>
      </c>
    </row>
    <row r="20" spans="1:2" x14ac:dyDescent="0.25">
      <c r="A20" s="18">
        <v>18.600000000000001</v>
      </c>
      <c r="B20" s="18">
        <v>4.28E-4</v>
      </c>
    </row>
    <row r="21" spans="1:2" x14ac:dyDescent="0.25">
      <c r="A21" s="18">
        <v>18.8</v>
      </c>
      <c r="B21" s="18">
        <v>5.62E-4</v>
      </c>
    </row>
    <row r="22" spans="1:2" x14ac:dyDescent="0.25">
      <c r="A22" s="18">
        <v>19</v>
      </c>
      <c r="B22" s="18">
        <v>3.3599999999999998E-4</v>
      </c>
    </row>
    <row r="23" spans="1:2" x14ac:dyDescent="0.25">
      <c r="A23" s="18">
        <v>19.2</v>
      </c>
      <c r="B23" s="18">
        <v>8.4500000000000005E-4</v>
      </c>
    </row>
    <row r="24" spans="1:2" x14ac:dyDescent="0.25">
      <c r="A24" s="18">
        <v>19.399999999999999</v>
      </c>
      <c r="B24" s="18">
        <v>7.6800000000000002E-4</v>
      </c>
    </row>
    <row r="25" spans="1:2" x14ac:dyDescent="0.25">
      <c r="A25" s="18">
        <v>19.600000000000001</v>
      </c>
      <c r="B25" s="18">
        <v>6.4300000000000002E-4</v>
      </c>
    </row>
    <row r="26" spans="1:2" x14ac:dyDescent="0.25">
      <c r="A26" s="18">
        <v>19.8</v>
      </c>
      <c r="B26" s="18">
        <v>1.3799999999999999E-3</v>
      </c>
    </row>
    <row r="27" spans="1:2" x14ac:dyDescent="0.25">
      <c r="A27" s="18">
        <v>20</v>
      </c>
      <c r="B27" s="18">
        <v>1.34E-3</v>
      </c>
    </row>
    <row r="28" spans="1:2" x14ac:dyDescent="0.25">
      <c r="A28" s="18">
        <v>20.2</v>
      </c>
      <c r="B28" s="18">
        <v>1.74E-3</v>
      </c>
    </row>
    <row r="29" spans="1:2" x14ac:dyDescent="0.25">
      <c r="A29" s="18">
        <v>20.399999999999999</v>
      </c>
      <c r="B29" s="18">
        <v>1.58E-3</v>
      </c>
    </row>
    <row r="30" spans="1:2" x14ac:dyDescent="0.25">
      <c r="A30" s="18">
        <v>20.6</v>
      </c>
      <c r="B30" s="18">
        <v>2.0799999999999998E-3</v>
      </c>
    </row>
    <row r="31" spans="1:2" x14ac:dyDescent="0.25">
      <c r="A31" s="18">
        <v>20.8</v>
      </c>
      <c r="B31" s="18">
        <v>2.2499999999999998E-3</v>
      </c>
    </row>
    <row r="32" spans="1:2" x14ac:dyDescent="0.25">
      <c r="A32" s="18">
        <v>21</v>
      </c>
      <c r="B32" s="18">
        <v>2.8999999999999998E-3</v>
      </c>
    </row>
    <row r="33" spans="1:2" x14ac:dyDescent="0.25">
      <c r="A33" s="18">
        <v>21.2</v>
      </c>
      <c r="B33" s="18">
        <v>3.31E-3</v>
      </c>
    </row>
    <row r="34" spans="1:2" x14ac:dyDescent="0.25">
      <c r="A34" s="18">
        <v>21.4</v>
      </c>
      <c r="B34" s="18">
        <v>3.8300000000000001E-3</v>
      </c>
    </row>
    <row r="35" spans="1:2" x14ac:dyDescent="0.25">
      <c r="A35" s="18">
        <v>21.6</v>
      </c>
      <c r="B35" s="18">
        <v>4.4099999999999999E-3</v>
      </c>
    </row>
    <row r="36" spans="1:2" x14ac:dyDescent="0.25">
      <c r="A36" s="18">
        <v>21.8</v>
      </c>
      <c r="B36" s="18">
        <v>5.3899999999999998E-3</v>
      </c>
    </row>
    <row r="37" spans="1:2" x14ac:dyDescent="0.25">
      <c r="A37" s="18">
        <v>22</v>
      </c>
      <c r="B37" s="18">
        <v>5.5999999999999999E-3</v>
      </c>
    </row>
    <row r="38" spans="1:2" x14ac:dyDescent="0.25">
      <c r="A38" s="18">
        <v>22.2</v>
      </c>
      <c r="B38" s="18">
        <v>6.8100000000000001E-3</v>
      </c>
    </row>
    <row r="39" spans="1:2" x14ac:dyDescent="0.25">
      <c r="A39" s="18">
        <v>22.4</v>
      </c>
      <c r="B39" s="18">
        <v>7.6E-3</v>
      </c>
    </row>
    <row r="40" spans="1:2" x14ac:dyDescent="0.25">
      <c r="A40" s="18">
        <v>22.6</v>
      </c>
      <c r="B40" s="18">
        <v>9.0900000000000009E-3</v>
      </c>
    </row>
    <row r="41" spans="1:2" x14ac:dyDescent="0.25">
      <c r="A41" s="18">
        <v>22.8</v>
      </c>
      <c r="B41" s="18">
        <v>9.3600000000000003E-3</v>
      </c>
    </row>
    <row r="42" spans="1:2" x14ac:dyDescent="0.25">
      <c r="A42" s="18">
        <v>23</v>
      </c>
      <c r="B42" s="18">
        <v>1.0699999999999999E-2</v>
      </c>
    </row>
    <row r="43" spans="1:2" x14ac:dyDescent="0.25">
      <c r="A43" s="18">
        <v>23.2</v>
      </c>
      <c r="B43" s="18">
        <v>1.26E-2</v>
      </c>
    </row>
    <row r="44" spans="1:2" x14ac:dyDescent="0.25">
      <c r="A44" s="18">
        <v>23.4</v>
      </c>
      <c r="B44" s="18">
        <v>1.34E-2</v>
      </c>
    </row>
    <row r="45" spans="1:2" x14ac:dyDescent="0.25">
      <c r="A45" s="18">
        <v>23.6</v>
      </c>
      <c r="B45" s="18">
        <v>1.52E-2</v>
      </c>
    </row>
    <row r="46" spans="1:2" x14ac:dyDescent="0.25">
      <c r="A46" s="18">
        <v>23.8</v>
      </c>
      <c r="B46" s="18">
        <v>1.5900000000000001E-2</v>
      </c>
    </row>
    <row r="47" spans="1:2" x14ac:dyDescent="0.25">
      <c r="A47" s="18">
        <v>24</v>
      </c>
      <c r="B47" s="18">
        <v>1.78E-2</v>
      </c>
    </row>
    <row r="48" spans="1:2" x14ac:dyDescent="0.25">
      <c r="A48" s="18">
        <v>24.2</v>
      </c>
      <c r="B48" s="18">
        <v>1.8599999999999998E-2</v>
      </c>
    </row>
    <row r="49" spans="1:2" x14ac:dyDescent="0.25">
      <c r="A49" s="18">
        <v>24.4</v>
      </c>
      <c r="B49" s="18">
        <v>2.1499999999999998E-2</v>
      </c>
    </row>
    <row r="50" spans="1:2" x14ac:dyDescent="0.25">
      <c r="A50" s="18">
        <v>24.6</v>
      </c>
      <c r="B50" s="18">
        <v>2.0799999999999999E-2</v>
      </c>
    </row>
    <row r="51" spans="1:2" x14ac:dyDescent="0.25">
      <c r="A51" s="18">
        <v>24.8</v>
      </c>
      <c r="B51" s="18">
        <v>2.3800000000000002E-2</v>
      </c>
    </row>
    <row r="52" spans="1:2" x14ac:dyDescent="0.25">
      <c r="A52" s="18">
        <v>25</v>
      </c>
      <c r="B52" s="18">
        <v>2.47E-2</v>
      </c>
    </row>
    <row r="53" spans="1:2" x14ac:dyDescent="0.25">
      <c r="A53" s="18">
        <v>25.2</v>
      </c>
      <c r="B53" s="18">
        <v>2.5999999999999999E-2</v>
      </c>
    </row>
    <row r="54" spans="1:2" x14ac:dyDescent="0.25">
      <c r="A54" s="18">
        <v>25.4</v>
      </c>
      <c r="B54" s="18">
        <v>2.7300000000000001E-2</v>
      </c>
    </row>
    <row r="55" spans="1:2" x14ac:dyDescent="0.25">
      <c r="A55" s="18">
        <v>25.6</v>
      </c>
      <c r="B55" s="18">
        <v>3.0200000000000001E-2</v>
      </c>
    </row>
    <row r="56" spans="1:2" x14ac:dyDescent="0.25">
      <c r="A56" s="18">
        <v>25.8</v>
      </c>
      <c r="B56" s="18">
        <v>2.9600000000000001E-2</v>
      </c>
    </row>
    <row r="57" spans="1:2" x14ac:dyDescent="0.25">
      <c r="A57" s="18">
        <v>26</v>
      </c>
      <c r="B57" s="18">
        <v>3.2099999999999997E-2</v>
      </c>
    </row>
    <row r="58" spans="1:2" x14ac:dyDescent="0.25">
      <c r="A58" s="18">
        <v>26.2</v>
      </c>
      <c r="B58" s="18">
        <v>3.1399999999999997E-2</v>
      </c>
    </row>
    <row r="59" spans="1:2" x14ac:dyDescent="0.25">
      <c r="A59" s="18">
        <v>26.4</v>
      </c>
      <c r="B59" s="18">
        <v>3.4599999999999999E-2</v>
      </c>
    </row>
    <row r="60" spans="1:2" x14ac:dyDescent="0.25">
      <c r="A60" s="18">
        <v>26.6</v>
      </c>
      <c r="B60" s="18">
        <v>3.3300000000000003E-2</v>
      </c>
    </row>
    <row r="61" spans="1:2" x14ac:dyDescent="0.25">
      <c r="A61" s="18">
        <v>26.8</v>
      </c>
      <c r="B61" s="18">
        <v>3.5200000000000002E-2</v>
      </c>
    </row>
    <row r="62" spans="1:2" x14ac:dyDescent="0.25">
      <c r="A62" s="18">
        <v>27</v>
      </c>
      <c r="B62" s="18">
        <v>3.5200000000000002E-2</v>
      </c>
    </row>
    <row r="63" spans="1:2" x14ac:dyDescent="0.25">
      <c r="A63" s="18">
        <v>27.2</v>
      </c>
      <c r="B63" s="18">
        <v>3.5799999999999998E-2</v>
      </c>
    </row>
    <row r="64" spans="1:2" x14ac:dyDescent="0.25">
      <c r="A64" s="18">
        <v>27.4</v>
      </c>
      <c r="B64" s="18">
        <v>3.5799999999999998E-2</v>
      </c>
    </row>
    <row r="65" spans="1:2" x14ac:dyDescent="0.25">
      <c r="A65" s="18">
        <v>27.6</v>
      </c>
      <c r="B65" s="18">
        <v>3.6700000000000003E-2</v>
      </c>
    </row>
    <row r="66" spans="1:2" x14ac:dyDescent="0.25">
      <c r="A66" s="18">
        <v>27.8</v>
      </c>
      <c r="B66" s="18">
        <v>3.56E-2</v>
      </c>
    </row>
    <row r="67" spans="1:2" x14ac:dyDescent="0.25">
      <c r="A67" s="18">
        <v>28</v>
      </c>
      <c r="B67" s="18">
        <v>3.5700000000000003E-2</v>
      </c>
    </row>
    <row r="68" spans="1:2" x14ac:dyDescent="0.25">
      <c r="A68" s="18">
        <v>28.2</v>
      </c>
      <c r="B68" s="18">
        <v>3.3700000000000001E-2</v>
      </c>
    </row>
    <row r="69" spans="1:2" x14ac:dyDescent="0.25">
      <c r="A69" s="18">
        <v>28.4</v>
      </c>
      <c r="B69" s="18">
        <v>3.2800000000000003E-2</v>
      </c>
    </row>
    <row r="70" spans="1:2" x14ac:dyDescent="0.25">
      <c r="A70" s="18">
        <v>28.6</v>
      </c>
      <c r="B70" s="18">
        <v>3.2099999999999997E-2</v>
      </c>
    </row>
    <row r="71" spans="1:2" x14ac:dyDescent="0.25">
      <c r="A71" s="18">
        <v>28.8</v>
      </c>
      <c r="B71" s="18">
        <v>2.93E-2</v>
      </c>
    </row>
    <row r="72" spans="1:2" x14ac:dyDescent="0.25">
      <c r="A72" s="18">
        <v>29</v>
      </c>
      <c r="B72" s="18">
        <v>2.6599999999999999E-2</v>
      </c>
    </row>
    <row r="73" spans="1:2" x14ac:dyDescent="0.25">
      <c r="A73" s="18">
        <v>29.2</v>
      </c>
      <c r="B73" s="18">
        <v>2.47E-2</v>
      </c>
    </row>
    <row r="74" spans="1:2" x14ac:dyDescent="0.25">
      <c r="A74" s="18">
        <v>29.4</v>
      </c>
      <c r="B74" s="18">
        <v>2.0400000000000001E-2</v>
      </c>
    </row>
    <row r="75" spans="1:2" x14ac:dyDescent="0.25">
      <c r="A75" s="18">
        <v>29.6</v>
      </c>
      <c r="B75" s="18">
        <v>1.67E-2</v>
      </c>
    </row>
    <row r="76" spans="1:2" x14ac:dyDescent="0.25">
      <c r="A76" s="18">
        <v>29.8</v>
      </c>
      <c r="B76" s="18">
        <v>1.15E-2</v>
      </c>
    </row>
    <row r="77" spans="1:2" x14ac:dyDescent="0.25">
      <c r="A77" s="18">
        <v>30</v>
      </c>
      <c r="B77" s="18">
        <v>3.7699999999999999E-3</v>
      </c>
    </row>
    <row r="78" spans="1:2" x14ac:dyDescent="0.25">
      <c r="A78" s="18">
        <v>30.2</v>
      </c>
      <c r="B78" s="18">
        <v>1.5899999999999999E-4</v>
      </c>
    </row>
    <row r="79" spans="1:2" x14ac:dyDescent="0.25">
      <c r="A79" s="18">
        <v>30.4</v>
      </c>
      <c r="B79" s="18">
        <v>2.9699999999999999E-6</v>
      </c>
    </row>
    <row r="80" spans="1:2" x14ac:dyDescent="0.25">
      <c r="A80" s="18">
        <v>30.6</v>
      </c>
      <c r="B80" s="18">
        <v>3.2899999999999998E-6</v>
      </c>
    </row>
    <row r="81" spans="1:2" x14ac:dyDescent="0.25">
      <c r="A81" s="18">
        <v>30.8</v>
      </c>
      <c r="B81" s="18">
        <v>5.2100000000000001E-6</v>
      </c>
    </row>
    <row r="82" spans="1:2" x14ac:dyDescent="0.25">
      <c r="A82" s="18">
        <v>31</v>
      </c>
      <c r="B82" s="18">
        <v>3.7000000000000002E-6</v>
      </c>
    </row>
    <row r="83" spans="1:2" x14ac:dyDescent="0.25">
      <c r="A83" s="18">
        <v>31.2</v>
      </c>
      <c r="B83" s="18">
        <v>7.3300000000000001E-6</v>
      </c>
    </row>
    <row r="84" spans="1:2" x14ac:dyDescent="0.25">
      <c r="A84" s="18">
        <v>31.4</v>
      </c>
      <c r="B84" s="18">
        <v>4.33E-6</v>
      </c>
    </row>
    <row r="85" spans="1:2" x14ac:dyDescent="0.25">
      <c r="A85" s="18">
        <v>31.6</v>
      </c>
      <c r="B85" s="18">
        <v>6.9600000000000003E-6</v>
      </c>
    </row>
    <row r="86" spans="1:2" x14ac:dyDescent="0.25">
      <c r="A86" s="18">
        <v>31.8</v>
      </c>
      <c r="B86" s="18">
        <v>1.38E-5</v>
      </c>
    </row>
    <row r="87" spans="1:2" x14ac:dyDescent="0.25">
      <c r="A87" s="18">
        <v>32</v>
      </c>
      <c r="B87" s="18">
        <v>2.1100000000000001E-6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B107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16</v>
      </c>
      <c r="B2" s="18">
        <v>2.12E-4</v>
      </c>
    </row>
    <row r="3" spans="1:2" x14ac:dyDescent="0.25">
      <c r="A3" s="18">
        <v>16.2</v>
      </c>
      <c r="B3" s="18">
        <v>3.6999999999999998E-5</v>
      </c>
    </row>
    <row r="4" spans="1:2" x14ac:dyDescent="0.25">
      <c r="A4" s="18">
        <v>16.399999999999999</v>
      </c>
      <c r="B4" s="18">
        <v>2.3499999999999999E-4</v>
      </c>
    </row>
    <row r="5" spans="1:2" x14ac:dyDescent="0.25">
      <c r="A5" s="18">
        <v>16.600000000000001</v>
      </c>
      <c r="B5" s="18">
        <v>2.3E-5</v>
      </c>
    </row>
    <row r="6" spans="1:2" x14ac:dyDescent="0.25">
      <c r="A6" s="18">
        <v>16.8</v>
      </c>
      <c r="B6" s="18">
        <v>2.7300000000000002E-4</v>
      </c>
    </row>
    <row r="7" spans="1:2" x14ac:dyDescent="0.25">
      <c r="A7" s="18">
        <v>17</v>
      </c>
      <c r="B7" s="18">
        <v>2.3900000000000001E-4</v>
      </c>
    </row>
    <row r="8" spans="1:2" x14ac:dyDescent="0.25">
      <c r="A8" s="18">
        <v>17.2</v>
      </c>
      <c r="B8" s="18">
        <v>1.65E-4</v>
      </c>
    </row>
    <row r="9" spans="1:2" x14ac:dyDescent="0.25">
      <c r="A9" s="18">
        <v>17.399999999999999</v>
      </c>
      <c r="B9" s="18">
        <v>7.9699999999999999E-5</v>
      </c>
    </row>
    <row r="10" spans="1:2" x14ac:dyDescent="0.25">
      <c r="A10" s="18">
        <v>17.600000000000001</v>
      </c>
      <c r="B10" s="18">
        <v>1.8499999999999999E-5</v>
      </c>
    </row>
    <row r="11" spans="1:2" x14ac:dyDescent="0.25">
      <c r="A11" s="18">
        <v>17.8</v>
      </c>
      <c r="B11" s="18">
        <v>3.28E-4</v>
      </c>
    </row>
    <row r="12" spans="1:2" x14ac:dyDescent="0.25">
      <c r="A12" s="18">
        <v>18</v>
      </c>
      <c r="B12" s="18">
        <v>8.3300000000000005E-5</v>
      </c>
    </row>
    <row r="13" spans="1:2" x14ac:dyDescent="0.25">
      <c r="A13" s="18">
        <v>18.2</v>
      </c>
      <c r="B13" s="18">
        <v>8.9599999999999996E-5</v>
      </c>
    </row>
    <row r="14" spans="1:2" x14ac:dyDescent="0.25">
      <c r="A14" s="18">
        <v>18.399999999999999</v>
      </c>
      <c r="B14" s="18">
        <v>1.54E-4</v>
      </c>
    </row>
    <row r="15" spans="1:2" x14ac:dyDescent="0.25">
      <c r="A15" s="18">
        <v>18.600000000000001</v>
      </c>
      <c r="B15" s="18">
        <v>1.4200000000000001E-4</v>
      </c>
    </row>
    <row r="16" spans="1:2" x14ac:dyDescent="0.25">
      <c r="A16" s="18">
        <v>18.8</v>
      </c>
      <c r="B16" s="18">
        <v>1.1900000000000001E-4</v>
      </c>
    </row>
    <row r="17" spans="1:2" x14ac:dyDescent="0.25">
      <c r="A17" s="18">
        <v>19</v>
      </c>
      <c r="B17" s="18">
        <v>3.7599999999999998E-4</v>
      </c>
    </row>
    <row r="18" spans="1:2" x14ac:dyDescent="0.25">
      <c r="A18" s="18">
        <v>19.2</v>
      </c>
      <c r="B18" s="18">
        <v>1.91E-5</v>
      </c>
    </row>
    <row r="19" spans="1:2" x14ac:dyDescent="0.25">
      <c r="A19" s="18">
        <v>19.399999999999999</v>
      </c>
      <c r="B19" s="18">
        <v>2.52E-4</v>
      </c>
    </row>
    <row r="20" spans="1:2" x14ac:dyDescent="0.25">
      <c r="A20" s="18">
        <v>19.600000000000001</v>
      </c>
      <c r="B20" s="18">
        <v>4.21E-5</v>
      </c>
    </row>
    <row r="21" spans="1:2" x14ac:dyDescent="0.25">
      <c r="A21" s="18">
        <v>19.8</v>
      </c>
      <c r="B21" s="18">
        <v>1.9899999999999999E-5</v>
      </c>
    </row>
    <row r="22" spans="1:2" x14ac:dyDescent="0.25">
      <c r="A22" s="18">
        <v>20</v>
      </c>
      <c r="B22" s="18">
        <v>1.63E-4</v>
      </c>
    </row>
    <row r="23" spans="1:2" x14ac:dyDescent="0.25">
      <c r="A23" s="18">
        <v>20.2</v>
      </c>
      <c r="B23" s="18">
        <v>1.8699999999999999E-4</v>
      </c>
    </row>
    <row r="24" spans="1:2" x14ac:dyDescent="0.25">
      <c r="A24" s="18">
        <v>20.399999999999999</v>
      </c>
      <c r="B24" s="18">
        <v>2.9700000000000001E-4</v>
      </c>
    </row>
    <row r="25" spans="1:2" x14ac:dyDescent="0.25">
      <c r="A25" s="18">
        <v>20.6</v>
      </c>
      <c r="B25" s="18">
        <v>3.5100000000000002E-4</v>
      </c>
    </row>
    <row r="26" spans="1:2" x14ac:dyDescent="0.25">
      <c r="A26" s="18">
        <v>20.8</v>
      </c>
      <c r="B26" s="18">
        <v>2.05E-4</v>
      </c>
    </row>
    <row r="27" spans="1:2" x14ac:dyDescent="0.25">
      <c r="A27" s="18">
        <v>21</v>
      </c>
      <c r="B27" s="18">
        <v>5.9000000000000003E-4</v>
      </c>
    </row>
    <row r="28" spans="1:2" x14ac:dyDescent="0.25">
      <c r="A28" s="18">
        <v>21.2</v>
      </c>
      <c r="B28" s="18">
        <v>6.4400000000000004E-4</v>
      </c>
    </row>
    <row r="29" spans="1:2" x14ac:dyDescent="0.25">
      <c r="A29" s="18">
        <v>21.4</v>
      </c>
      <c r="B29" s="18">
        <v>6.7199999999999996E-4</v>
      </c>
    </row>
    <row r="30" spans="1:2" x14ac:dyDescent="0.25">
      <c r="A30" s="18">
        <v>21.6</v>
      </c>
      <c r="B30" s="18">
        <v>7.6499999999999995E-4</v>
      </c>
    </row>
    <row r="31" spans="1:2" x14ac:dyDescent="0.25">
      <c r="A31" s="18">
        <v>21.8</v>
      </c>
      <c r="B31" s="18">
        <v>8.8000000000000003E-4</v>
      </c>
    </row>
    <row r="32" spans="1:2" x14ac:dyDescent="0.25">
      <c r="A32" s="18">
        <v>22</v>
      </c>
      <c r="B32" s="18">
        <v>9.0499999999999999E-4</v>
      </c>
    </row>
    <row r="33" spans="1:2" x14ac:dyDescent="0.25">
      <c r="A33" s="18">
        <v>22.2</v>
      </c>
      <c r="B33" s="18">
        <v>1.1900000000000001E-3</v>
      </c>
    </row>
    <row r="34" spans="1:2" x14ac:dyDescent="0.25">
      <c r="A34" s="18">
        <v>22.4</v>
      </c>
      <c r="B34" s="18">
        <v>1.5299999999999999E-3</v>
      </c>
    </row>
    <row r="35" spans="1:2" x14ac:dyDescent="0.25">
      <c r="A35" s="18">
        <v>22.6</v>
      </c>
      <c r="B35" s="18">
        <v>1.6999999999999999E-3</v>
      </c>
    </row>
    <row r="36" spans="1:2" x14ac:dyDescent="0.25">
      <c r="A36" s="18">
        <v>22.8</v>
      </c>
      <c r="B36" s="18">
        <v>2.1199999999999999E-3</v>
      </c>
    </row>
    <row r="37" spans="1:2" x14ac:dyDescent="0.25">
      <c r="A37" s="18">
        <v>23</v>
      </c>
      <c r="B37" s="18">
        <v>2.0100000000000001E-3</v>
      </c>
    </row>
    <row r="38" spans="1:2" x14ac:dyDescent="0.25">
      <c r="A38" s="18">
        <v>23.2</v>
      </c>
      <c r="B38" s="18">
        <v>2.8500000000000001E-3</v>
      </c>
    </row>
    <row r="39" spans="1:2" x14ac:dyDescent="0.25">
      <c r="A39" s="18">
        <v>23.4</v>
      </c>
      <c r="B39" s="18">
        <v>3.0000000000000001E-3</v>
      </c>
    </row>
    <row r="40" spans="1:2" x14ac:dyDescent="0.25">
      <c r="A40" s="18">
        <v>23.6</v>
      </c>
      <c r="B40" s="18">
        <v>3.1900000000000001E-3</v>
      </c>
    </row>
    <row r="41" spans="1:2" x14ac:dyDescent="0.25">
      <c r="A41" s="18">
        <v>23.8</v>
      </c>
      <c r="B41" s="18">
        <v>3.81E-3</v>
      </c>
    </row>
    <row r="42" spans="1:2" x14ac:dyDescent="0.25">
      <c r="A42" s="18">
        <v>24</v>
      </c>
      <c r="B42" s="18">
        <v>4.1999999999999997E-3</v>
      </c>
    </row>
    <row r="43" spans="1:2" x14ac:dyDescent="0.25">
      <c r="A43" s="18">
        <v>24.2</v>
      </c>
      <c r="B43" s="18">
        <v>4.5999999999999999E-3</v>
      </c>
    </row>
    <row r="44" spans="1:2" x14ac:dyDescent="0.25">
      <c r="A44" s="18">
        <v>24.4</v>
      </c>
      <c r="B44" s="18">
        <v>5.3299999999999997E-3</v>
      </c>
    </row>
    <row r="45" spans="1:2" x14ac:dyDescent="0.25">
      <c r="A45" s="18">
        <v>24.6</v>
      </c>
      <c r="B45" s="18">
        <v>5.47E-3</v>
      </c>
    </row>
    <row r="46" spans="1:2" x14ac:dyDescent="0.25">
      <c r="A46" s="18">
        <v>24.8</v>
      </c>
      <c r="B46" s="18">
        <v>6.4400000000000004E-3</v>
      </c>
    </row>
    <row r="47" spans="1:2" x14ac:dyDescent="0.25">
      <c r="A47" s="18">
        <v>25</v>
      </c>
      <c r="B47" s="18">
        <v>7.1799999999999998E-3</v>
      </c>
    </row>
    <row r="48" spans="1:2" x14ac:dyDescent="0.25">
      <c r="A48" s="18">
        <v>25.2</v>
      </c>
      <c r="B48" s="18">
        <v>7.4700000000000001E-3</v>
      </c>
    </row>
    <row r="49" spans="1:2" x14ac:dyDescent="0.25">
      <c r="A49" s="18">
        <v>25.4</v>
      </c>
      <c r="B49" s="18">
        <v>8.4200000000000004E-3</v>
      </c>
    </row>
    <row r="50" spans="1:2" x14ac:dyDescent="0.25">
      <c r="A50" s="18">
        <v>25.6</v>
      </c>
      <c r="B50" s="18">
        <v>8.8000000000000005E-3</v>
      </c>
    </row>
    <row r="51" spans="1:2" x14ac:dyDescent="0.25">
      <c r="A51" s="18">
        <v>25.8</v>
      </c>
      <c r="B51" s="18">
        <v>9.9500000000000005E-3</v>
      </c>
    </row>
    <row r="52" spans="1:2" x14ac:dyDescent="0.25">
      <c r="A52" s="18">
        <v>26</v>
      </c>
      <c r="B52" s="18">
        <v>1.03E-2</v>
      </c>
    </row>
    <row r="53" spans="1:2" x14ac:dyDescent="0.25">
      <c r="A53" s="18">
        <v>26.2</v>
      </c>
      <c r="B53" s="18">
        <v>1.1299999999999999E-2</v>
      </c>
    </row>
    <row r="54" spans="1:2" x14ac:dyDescent="0.25">
      <c r="A54" s="18">
        <v>26.4</v>
      </c>
      <c r="B54" s="18">
        <v>1.1900000000000001E-2</v>
      </c>
    </row>
    <row r="55" spans="1:2" x14ac:dyDescent="0.25">
      <c r="A55" s="18">
        <v>26.6</v>
      </c>
      <c r="B55" s="18">
        <v>1.32E-2</v>
      </c>
    </row>
    <row r="56" spans="1:2" x14ac:dyDescent="0.25">
      <c r="A56" s="18">
        <v>26.8</v>
      </c>
      <c r="B56" s="18">
        <v>1.37E-2</v>
      </c>
    </row>
    <row r="57" spans="1:2" x14ac:dyDescent="0.25">
      <c r="A57" s="18">
        <v>27</v>
      </c>
      <c r="B57" s="18">
        <v>1.47E-2</v>
      </c>
    </row>
    <row r="58" spans="1:2" x14ac:dyDescent="0.25">
      <c r="A58" s="18">
        <v>27.2</v>
      </c>
      <c r="B58" s="18">
        <v>1.5299999999999999E-2</v>
      </c>
    </row>
    <row r="59" spans="1:2" x14ac:dyDescent="0.25">
      <c r="A59" s="18">
        <v>27.4</v>
      </c>
      <c r="B59" s="18">
        <v>1.6E-2</v>
      </c>
    </row>
    <row r="60" spans="1:2" x14ac:dyDescent="0.25">
      <c r="A60" s="18">
        <v>27.6</v>
      </c>
      <c r="B60" s="18">
        <v>1.7000000000000001E-2</v>
      </c>
    </row>
    <row r="61" spans="1:2" x14ac:dyDescent="0.25">
      <c r="A61" s="18">
        <v>27.8</v>
      </c>
      <c r="B61" s="18">
        <v>1.7500000000000002E-2</v>
      </c>
    </row>
    <row r="62" spans="1:2" x14ac:dyDescent="0.25">
      <c r="A62" s="18">
        <v>28</v>
      </c>
      <c r="B62" s="18">
        <v>1.8700000000000001E-2</v>
      </c>
    </row>
    <row r="63" spans="1:2" x14ac:dyDescent="0.25">
      <c r="A63" s="18">
        <v>28.2</v>
      </c>
      <c r="B63" s="18">
        <v>1.9400000000000001E-2</v>
      </c>
    </row>
    <row r="64" spans="1:2" x14ac:dyDescent="0.25">
      <c r="A64" s="18">
        <v>28.4</v>
      </c>
      <c r="B64" s="18">
        <v>0.02</v>
      </c>
    </row>
    <row r="65" spans="1:2" x14ac:dyDescent="0.25">
      <c r="A65" s="18">
        <v>28.6</v>
      </c>
      <c r="B65" s="18">
        <v>2.07E-2</v>
      </c>
    </row>
    <row r="66" spans="1:2" x14ac:dyDescent="0.25">
      <c r="A66" s="18">
        <v>28.8</v>
      </c>
      <c r="B66" s="18">
        <v>2.1999999999999999E-2</v>
      </c>
    </row>
    <row r="67" spans="1:2" x14ac:dyDescent="0.25">
      <c r="A67" s="18">
        <v>29</v>
      </c>
      <c r="B67" s="18">
        <v>2.18E-2</v>
      </c>
    </row>
    <row r="68" spans="1:2" x14ac:dyDescent="0.25">
      <c r="A68" s="18">
        <v>29.2</v>
      </c>
      <c r="B68" s="18">
        <v>2.29E-2</v>
      </c>
    </row>
    <row r="69" spans="1:2" x14ac:dyDescent="0.25">
      <c r="A69" s="18">
        <v>29.4</v>
      </c>
      <c r="B69" s="18">
        <v>2.3800000000000002E-2</v>
      </c>
    </row>
    <row r="70" spans="1:2" x14ac:dyDescent="0.25">
      <c r="A70" s="18">
        <v>29.6</v>
      </c>
      <c r="B70" s="18">
        <v>2.3599999999999999E-2</v>
      </c>
    </row>
    <row r="71" spans="1:2" x14ac:dyDescent="0.25">
      <c r="A71" s="18">
        <v>29.8</v>
      </c>
      <c r="B71" s="18">
        <v>2.4899999999999999E-2</v>
      </c>
    </row>
    <row r="72" spans="1:2" x14ac:dyDescent="0.25">
      <c r="A72" s="18">
        <v>30</v>
      </c>
      <c r="B72" s="18">
        <v>2.5100000000000001E-2</v>
      </c>
    </row>
    <row r="73" spans="1:2" x14ac:dyDescent="0.25">
      <c r="A73" s="18">
        <v>30.2</v>
      </c>
      <c r="B73" s="18">
        <v>2.52E-2</v>
      </c>
    </row>
    <row r="74" spans="1:2" x14ac:dyDescent="0.25">
      <c r="A74" s="18">
        <v>30.4</v>
      </c>
      <c r="B74" s="18">
        <v>2.63E-2</v>
      </c>
    </row>
    <row r="75" spans="1:2" x14ac:dyDescent="0.25">
      <c r="A75" s="18">
        <v>30.6</v>
      </c>
      <c r="B75" s="18">
        <v>2.53E-2</v>
      </c>
    </row>
    <row r="76" spans="1:2" x14ac:dyDescent="0.25">
      <c r="A76" s="18">
        <v>30.8</v>
      </c>
      <c r="B76" s="18">
        <v>2.7E-2</v>
      </c>
    </row>
    <row r="77" spans="1:2" x14ac:dyDescent="0.25">
      <c r="A77" s="18">
        <v>31</v>
      </c>
      <c r="B77" s="18">
        <v>2.5700000000000001E-2</v>
      </c>
    </row>
    <row r="78" spans="1:2" x14ac:dyDescent="0.25">
      <c r="A78" s="18">
        <v>31.2</v>
      </c>
      <c r="B78" s="18">
        <v>2.6700000000000002E-2</v>
      </c>
    </row>
    <row r="79" spans="1:2" x14ac:dyDescent="0.25">
      <c r="A79" s="18">
        <v>31.4</v>
      </c>
      <c r="B79" s="18">
        <v>2.5700000000000001E-2</v>
      </c>
    </row>
    <row r="80" spans="1:2" x14ac:dyDescent="0.25">
      <c r="A80" s="18">
        <v>31.6</v>
      </c>
      <c r="B80" s="18">
        <v>2.5899999999999999E-2</v>
      </c>
    </row>
    <row r="81" spans="1:2" x14ac:dyDescent="0.25">
      <c r="A81" s="18">
        <v>31.8</v>
      </c>
      <c r="B81" s="18">
        <v>2.64E-2</v>
      </c>
    </row>
    <row r="82" spans="1:2" x14ac:dyDescent="0.25">
      <c r="A82" s="18">
        <v>32</v>
      </c>
      <c r="B82" s="18">
        <v>2.52E-2</v>
      </c>
    </row>
    <row r="83" spans="1:2" x14ac:dyDescent="0.25">
      <c r="A83" s="18">
        <v>32.200000000000003</v>
      </c>
      <c r="B83" s="18">
        <v>2.5399999999999999E-2</v>
      </c>
    </row>
    <row r="84" spans="1:2" x14ac:dyDescent="0.25">
      <c r="A84" s="18">
        <v>32.4</v>
      </c>
      <c r="B84" s="18">
        <v>2.5000000000000001E-2</v>
      </c>
    </row>
    <row r="85" spans="1:2" x14ac:dyDescent="0.25">
      <c r="A85" s="18">
        <v>32.6</v>
      </c>
      <c r="B85" s="18">
        <v>2.3800000000000002E-2</v>
      </c>
    </row>
    <row r="86" spans="1:2" x14ac:dyDescent="0.25">
      <c r="A86" s="18">
        <v>32.799999999999997</v>
      </c>
      <c r="B86" s="18">
        <v>2.3300000000000001E-2</v>
      </c>
    </row>
    <row r="87" spans="1:2" x14ac:dyDescent="0.25">
      <c r="A87" s="18">
        <v>33</v>
      </c>
      <c r="B87" s="18">
        <v>2.2599999999999999E-2</v>
      </c>
    </row>
    <row r="88" spans="1:2" x14ac:dyDescent="0.25">
      <c r="A88" s="18">
        <v>33.200000000000003</v>
      </c>
      <c r="B88" s="18">
        <v>2.1399999999999999E-2</v>
      </c>
    </row>
    <row r="89" spans="1:2" x14ac:dyDescent="0.25">
      <c r="A89" s="18">
        <v>33.4</v>
      </c>
      <c r="B89" s="18">
        <v>1.9900000000000001E-2</v>
      </c>
    </row>
    <row r="90" spans="1:2" x14ac:dyDescent="0.25">
      <c r="A90" s="18">
        <v>33.6</v>
      </c>
      <c r="B90" s="18">
        <v>1.95E-2</v>
      </c>
    </row>
    <row r="91" spans="1:2" x14ac:dyDescent="0.25">
      <c r="A91" s="18">
        <v>33.799999999999997</v>
      </c>
      <c r="B91" s="18">
        <v>1.7000000000000001E-2</v>
      </c>
    </row>
    <row r="92" spans="1:2" x14ac:dyDescent="0.25">
      <c r="A92" s="18">
        <v>34</v>
      </c>
      <c r="B92" s="18">
        <v>1.6299999999999999E-2</v>
      </c>
    </row>
    <row r="93" spans="1:2" x14ac:dyDescent="0.25">
      <c r="A93" s="18">
        <v>34.200000000000003</v>
      </c>
      <c r="B93" s="18">
        <v>1.38E-2</v>
      </c>
    </row>
    <row r="94" spans="1:2" x14ac:dyDescent="0.25">
      <c r="A94" s="18">
        <v>34.4</v>
      </c>
      <c r="B94" s="18">
        <v>1.2E-2</v>
      </c>
    </row>
    <row r="95" spans="1:2" x14ac:dyDescent="0.25">
      <c r="A95" s="18">
        <v>34.6</v>
      </c>
      <c r="B95" s="18">
        <v>9.4900000000000002E-3</v>
      </c>
    </row>
    <row r="96" spans="1:2" x14ac:dyDescent="0.25">
      <c r="A96" s="18">
        <v>34.799999999999997</v>
      </c>
      <c r="B96" s="18">
        <v>6.6400000000000001E-3</v>
      </c>
    </row>
    <row r="97" spans="1:2" x14ac:dyDescent="0.25">
      <c r="A97" s="18">
        <v>35</v>
      </c>
      <c r="B97" s="18">
        <v>2.5500000000000002E-3</v>
      </c>
    </row>
    <row r="98" spans="1:2" x14ac:dyDescent="0.25">
      <c r="A98" s="18">
        <v>35.200000000000003</v>
      </c>
      <c r="B98" s="18">
        <v>1.75E-4</v>
      </c>
    </row>
    <row r="99" spans="1:2" x14ac:dyDescent="0.25">
      <c r="A99" s="18">
        <v>35.4</v>
      </c>
      <c r="B99" s="18">
        <v>1.8899999999999999E-6</v>
      </c>
    </row>
    <row r="100" spans="1:2" x14ac:dyDescent="0.25">
      <c r="A100" s="18">
        <v>35.6</v>
      </c>
      <c r="B100" s="18">
        <v>1.99E-6</v>
      </c>
    </row>
    <row r="101" spans="1:2" x14ac:dyDescent="0.25">
      <c r="A101" s="18">
        <v>35.799999999999997</v>
      </c>
      <c r="B101" s="18">
        <v>3.2799999999999999E-6</v>
      </c>
    </row>
    <row r="102" spans="1:2" x14ac:dyDescent="0.25">
      <c r="A102" s="18">
        <v>36</v>
      </c>
      <c r="B102" s="18">
        <v>3.7599999999999998E-7</v>
      </c>
    </row>
    <row r="103" spans="1:2" x14ac:dyDescent="0.25">
      <c r="A103" s="18">
        <v>36.200000000000003</v>
      </c>
      <c r="B103" s="18">
        <v>7.7300000000000005E-7</v>
      </c>
    </row>
    <row r="104" spans="1:2" x14ac:dyDescent="0.25">
      <c r="A104" s="18">
        <v>36.4</v>
      </c>
      <c r="B104" s="18">
        <v>1.8300000000000001E-7</v>
      </c>
    </row>
    <row r="105" spans="1:2" x14ac:dyDescent="0.25">
      <c r="A105" s="18">
        <v>36.6</v>
      </c>
      <c r="B105" s="18">
        <v>1.31E-6</v>
      </c>
    </row>
    <row r="106" spans="1:2" x14ac:dyDescent="0.25">
      <c r="A106" s="18">
        <v>36.799999999999997</v>
      </c>
      <c r="B106" s="18">
        <v>3.5200000000000002E-6</v>
      </c>
    </row>
    <row r="107" spans="1:2" x14ac:dyDescent="0.25">
      <c r="A107" s="18">
        <v>37</v>
      </c>
      <c r="B107" s="18">
        <v>1.9199999999999998E-6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B157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26</v>
      </c>
      <c r="B2" s="18">
        <v>2.0100000000000001E-5</v>
      </c>
    </row>
    <row r="3" spans="1:2" x14ac:dyDescent="0.25">
      <c r="A3" s="18">
        <v>26.2</v>
      </c>
      <c r="B3" s="18">
        <v>2.2399999999999999E-5</v>
      </c>
    </row>
    <row r="4" spans="1:2" x14ac:dyDescent="0.25">
      <c r="A4" s="18">
        <v>26.4</v>
      </c>
      <c r="B4" s="18">
        <v>6.3600000000000001E-6</v>
      </c>
    </row>
    <row r="5" spans="1:2" x14ac:dyDescent="0.25">
      <c r="A5" s="18">
        <v>26.6</v>
      </c>
      <c r="B5" s="18">
        <v>3.36E-6</v>
      </c>
    </row>
    <row r="6" spans="1:2" x14ac:dyDescent="0.25">
      <c r="A6" s="18">
        <v>26.8</v>
      </c>
      <c r="B6" s="18">
        <v>3.1699999999999998E-5</v>
      </c>
    </row>
    <row r="7" spans="1:2" x14ac:dyDescent="0.25">
      <c r="A7" s="18">
        <v>27</v>
      </c>
      <c r="B7" s="18">
        <v>2.0600000000000002E-6</v>
      </c>
    </row>
    <row r="8" spans="1:2" x14ac:dyDescent="0.25">
      <c r="A8" s="18">
        <v>27.2</v>
      </c>
      <c r="B8" s="18">
        <v>7.0299999999999996E-6</v>
      </c>
    </row>
    <row r="9" spans="1:2" x14ac:dyDescent="0.25">
      <c r="A9" s="18">
        <v>27.4</v>
      </c>
      <c r="B9" s="18">
        <v>6.02E-5</v>
      </c>
    </row>
    <row r="10" spans="1:2" x14ac:dyDescent="0.25">
      <c r="A10" s="18">
        <v>27.6</v>
      </c>
      <c r="B10" s="18">
        <v>1.6799999999999998E-5</v>
      </c>
    </row>
    <row r="11" spans="1:2" x14ac:dyDescent="0.25">
      <c r="A11" s="18">
        <v>27.8</v>
      </c>
      <c r="B11" s="18">
        <v>3.4799999999999999E-5</v>
      </c>
    </row>
    <row r="12" spans="1:2" x14ac:dyDescent="0.25">
      <c r="A12" s="18">
        <v>28</v>
      </c>
      <c r="B12" s="18">
        <v>3.2199999999999997E-5</v>
      </c>
    </row>
    <row r="13" spans="1:2" x14ac:dyDescent="0.25">
      <c r="A13" s="18">
        <v>28.2</v>
      </c>
      <c r="B13" s="18">
        <v>2.8200000000000001E-7</v>
      </c>
    </row>
    <row r="14" spans="1:2" x14ac:dyDescent="0.25">
      <c r="A14" s="18">
        <v>28.4</v>
      </c>
      <c r="B14" s="18">
        <v>3.0899999999999999E-5</v>
      </c>
    </row>
    <row r="15" spans="1:2" x14ac:dyDescent="0.25">
      <c r="A15" s="18">
        <v>28.6</v>
      </c>
      <c r="B15" s="18">
        <v>1.1800000000000001E-5</v>
      </c>
    </row>
    <row r="16" spans="1:2" x14ac:dyDescent="0.25">
      <c r="A16" s="18">
        <v>28.8</v>
      </c>
      <c r="B16" s="18">
        <v>1.56E-5</v>
      </c>
    </row>
    <row r="17" spans="1:2" x14ac:dyDescent="0.25">
      <c r="A17" s="18">
        <v>29</v>
      </c>
      <c r="B17" s="18">
        <v>3.9400000000000004E-6</v>
      </c>
    </row>
    <row r="18" spans="1:2" x14ac:dyDescent="0.25">
      <c r="A18" s="18">
        <v>29.2</v>
      </c>
      <c r="B18" s="18">
        <v>3.1600000000000002E-5</v>
      </c>
    </row>
    <row r="19" spans="1:2" x14ac:dyDescent="0.25">
      <c r="A19" s="18">
        <v>29.4</v>
      </c>
      <c r="B19" s="18">
        <v>8.6000000000000007E-6</v>
      </c>
    </row>
    <row r="20" spans="1:2" x14ac:dyDescent="0.25">
      <c r="A20" s="18">
        <v>29.6</v>
      </c>
      <c r="B20" s="18">
        <v>3.93E-5</v>
      </c>
    </row>
    <row r="21" spans="1:2" x14ac:dyDescent="0.25">
      <c r="A21" s="18">
        <v>29.8</v>
      </c>
      <c r="B21" s="18">
        <v>4.1999999999999998E-5</v>
      </c>
    </row>
    <row r="22" spans="1:2" x14ac:dyDescent="0.25">
      <c r="A22" s="18">
        <v>30</v>
      </c>
      <c r="B22" s="18">
        <v>3.8099999999999998E-5</v>
      </c>
    </row>
    <row r="23" spans="1:2" x14ac:dyDescent="0.25">
      <c r="A23" s="18">
        <v>30.2</v>
      </c>
      <c r="B23" s="18">
        <v>8.2600000000000002E-5</v>
      </c>
    </row>
    <row r="24" spans="1:2" x14ac:dyDescent="0.25">
      <c r="A24" s="18">
        <v>30.4</v>
      </c>
      <c r="B24" s="18">
        <v>1.5099999999999999E-5</v>
      </c>
    </row>
    <row r="25" spans="1:2" x14ac:dyDescent="0.25">
      <c r="A25" s="18">
        <v>30.6</v>
      </c>
      <c r="B25" s="18">
        <v>3.3200000000000001E-5</v>
      </c>
    </row>
    <row r="26" spans="1:2" x14ac:dyDescent="0.25">
      <c r="A26" s="18">
        <v>30.8</v>
      </c>
      <c r="B26" s="18">
        <v>1.35E-4</v>
      </c>
    </row>
    <row r="27" spans="1:2" x14ac:dyDescent="0.25">
      <c r="A27" s="18">
        <v>31</v>
      </c>
      <c r="B27" s="18">
        <v>5.8300000000000001E-5</v>
      </c>
    </row>
    <row r="28" spans="1:2" x14ac:dyDescent="0.25">
      <c r="A28" s="18">
        <v>31.2</v>
      </c>
      <c r="B28" s="18">
        <v>1E-4</v>
      </c>
    </row>
    <row r="29" spans="1:2" x14ac:dyDescent="0.25">
      <c r="A29" s="18">
        <v>31.4</v>
      </c>
      <c r="B29" s="18">
        <v>3.5299999999999997E-5</v>
      </c>
    </row>
    <row r="30" spans="1:2" x14ac:dyDescent="0.25">
      <c r="A30" s="18">
        <v>31.6</v>
      </c>
      <c r="B30" s="18">
        <v>1.05E-4</v>
      </c>
    </row>
    <row r="31" spans="1:2" x14ac:dyDescent="0.25">
      <c r="A31" s="18">
        <v>31.8</v>
      </c>
      <c r="B31" s="18">
        <v>7.4499999999999995E-5</v>
      </c>
    </row>
    <row r="32" spans="1:2" x14ac:dyDescent="0.25">
      <c r="A32" s="18">
        <v>32</v>
      </c>
      <c r="B32" s="18">
        <v>8.25E-5</v>
      </c>
    </row>
    <row r="33" spans="1:2" x14ac:dyDescent="0.25">
      <c r="A33" s="18">
        <v>32.200000000000003</v>
      </c>
      <c r="B33" s="18">
        <v>8.1799999999999996E-5</v>
      </c>
    </row>
    <row r="34" spans="1:2" x14ac:dyDescent="0.25">
      <c r="A34" s="18">
        <v>32.4</v>
      </c>
      <c r="B34" s="18">
        <v>1.7799999999999999E-4</v>
      </c>
    </row>
    <row r="35" spans="1:2" x14ac:dyDescent="0.25">
      <c r="A35" s="18">
        <v>32.6</v>
      </c>
      <c r="B35" s="18">
        <v>9.0400000000000002E-5</v>
      </c>
    </row>
    <row r="36" spans="1:2" x14ac:dyDescent="0.25">
      <c r="A36" s="18">
        <v>32.799999999999997</v>
      </c>
      <c r="B36" s="18">
        <v>2.3499999999999999E-4</v>
      </c>
    </row>
    <row r="37" spans="1:2" x14ac:dyDescent="0.25">
      <c r="A37" s="18">
        <v>33</v>
      </c>
      <c r="B37" s="18">
        <v>1.3200000000000001E-4</v>
      </c>
    </row>
    <row r="38" spans="1:2" x14ac:dyDescent="0.25">
      <c r="A38" s="18">
        <v>33.200000000000003</v>
      </c>
      <c r="B38" s="18">
        <v>2.8299999999999999E-4</v>
      </c>
    </row>
    <row r="39" spans="1:2" x14ac:dyDescent="0.25">
      <c r="A39" s="18">
        <v>33.4</v>
      </c>
      <c r="B39" s="18">
        <v>2.33E-4</v>
      </c>
    </row>
    <row r="40" spans="1:2" x14ac:dyDescent="0.25">
      <c r="A40" s="18">
        <v>33.6</v>
      </c>
      <c r="B40" s="18">
        <v>2.5300000000000002E-4</v>
      </c>
    </row>
    <row r="41" spans="1:2" x14ac:dyDescent="0.25">
      <c r="A41" s="18">
        <v>33.799999999999997</v>
      </c>
      <c r="B41" s="18">
        <v>4.17E-4</v>
      </c>
    </row>
    <row r="42" spans="1:2" x14ac:dyDescent="0.25">
      <c r="A42" s="18">
        <v>34</v>
      </c>
      <c r="B42" s="18">
        <v>3.48E-4</v>
      </c>
    </row>
    <row r="43" spans="1:2" x14ac:dyDescent="0.25">
      <c r="A43" s="18">
        <v>34.200000000000003</v>
      </c>
      <c r="B43" s="18">
        <v>4.0400000000000001E-4</v>
      </c>
    </row>
    <row r="44" spans="1:2" x14ac:dyDescent="0.25">
      <c r="A44" s="18">
        <v>34.4</v>
      </c>
      <c r="B44" s="18">
        <v>4.86E-4</v>
      </c>
    </row>
    <row r="45" spans="1:2" x14ac:dyDescent="0.25">
      <c r="A45" s="18">
        <v>34.6</v>
      </c>
      <c r="B45" s="18">
        <v>5.1999999999999995E-4</v>
      </c>
    </row>
    <row r="46" spans="1:2" x14ac:dyDescent="0.25">
      <c r="A46" s="18">
        <v>34.799999999999997</v>
      </c>
      <c r="B46" s="18">
        <v>6.0999999999999997E-4</v>
      </c>
    </row>
    <row r="47" spans="1:2" x14ac:dyDescent="0.25">
      <c r="A47" s="18">
        <v>35</v>
      </c>
      <c r="B47" s="18">
        <v>6.4700000000000001E-4</v>
      </c>
    </row>
    <row r="48" spans="1:2" x14ac:dyDescent="0.25">
      <c r="A48" s="18">
        <v>35.200000000000003</v>
      </c>
      <c r="B48" s="18">
        <v>7.0799999999999997E-4</v>
      </c>
    </row>
    <row r="49" spans="1:2" x14ac:dyDescent="0.25">
      <c r="A49" s="18">
        <v>35.4</v>
      </c>
      <c r="B49" s="18">
        <v>8.1400000000000005E-4</v>
      </c>
    </row>
    <row r="50" spans="1:2" x14ac:dyDescent="0.25">
      <c r="A50" s="18">
        <v>35.6</v>
      </c>
      <c r="B50" s="18">
        <v>8.4999999999999995E-4</v>
      </c>
    </row>
    <row r="51" spans="1:2" x14ac:dyDescent="0.25">
      <c r="A51" s="18">
        <v>35.799999999999997</v>
      </c>
      <c r="B51" s="18">
        <v>1.09E-3</v>
      </c>
    </row>
    <row r="52" spans="1:2" x14ac:dyDescent="0.25">
      <c r="A52" s="18">
        <v>36</v>
      </c>
      <c r="B52" s="18">
        <v>1.1199999999999999E-3</v>
      </c>
    </row>
    <row r="53" spans="1:2" x14ac:dyDescent="0.25">
      <c r="A53" s="18">
        <v>36.200000000000003</v>
      </c>
      <c r="B53" s="18">
        <v>1.2199999999999999E-3</v>
      </c>
    </row>
    <row r="54" spans="1:2" x14ac:dyDescent="0.25">
      <c r="A54" s="18">
        <v>36.4</v>
      </c>
      <c r="B54" s="18">
        <v>1.41E-3</v>
      </c>
    </row>
    <row r="55" spans="1:2" x14ac:dyDescent="0.25">
      <c r="A55" s="18">
        <v>36.6</v>
      </c>
      <c r="B55" s="18">
        <v>1.2999999999999999E-3</v>
      </c>
    </row>
    <row r="56" spans="1:2" x14ac:dyDescent="0.25">
      <c r="A56" s="18">
        <v>36.799999999999997</v>
      </c>
      <c r="B56" s="18">
        <v>1.72E-3</v>
      </c>
    </row>
    <row r="57" spans="1:2" x14ac:dyDescent="0.25">
      <c r="A57" s="18">
        <v>37</v>
      </c>
      <c r="B57" s="18">
        <v>1.6999999999999999E-3</v>
      </c>
    </row>
    <row r="58" spans="1:2" x14ac:dyDescent="0.25">
      <c r="A58" s="18">
        <v>37.200000000000003</v>
      </c>
      <c r="B58" s="18">
        <v>1.7799999999999999E-3</v>
      </c>
    </row>
    <row r="59" spans="1:2" x14ac:dyDescent="0.25">
      <c r="A59" s="18">
        <v>37.4</v>
      </c>
      <c r="B59" s="18">
        <v>2.1800000000000001E-3</v>
      </c>
    </row>
    <row r="60" spans="1:2" x14ac:dyDescent="0.25">
      <c r="A60" s="18">
        <v>37.6</v>
      </c>
      <c r="B60" s="18">
        <v>2.0300000000000001E-3</v>
      </c>
    </row>
    <row r="61" spans="1:2" x14ac:dyDescent="0.25">
      <c r="A61" s="18">
        <v>37.799999999999997</v>
      </c>
      <c r="B61" s="18">
        <v>2.16E-3</v>
      </c>
    </row>
    <row r="62" spans="1:2" x14ac:dyDescent="0.25">
      <c r="A62" s="18">
        <v>38</v>
      </c>
      <c r="B62" s="18">
        <v>2.6900000000000001E-3</v>
      </c>
    </row>
    <row r="63" spans="1:2" x14ac:dyDescent="0.25">
      <c r="A63" s="18">
        <v>38.200000000000003</v>
      </c>
      <c r="B63" s="18">
        <v>2.64E-3</v>
      </c>
    </row>
    <row r="64" spans="1:2" x14ac:dyDescent="0.25">
      <c r="A64" s="18">
        <v>38.4</v>
      </c>
      <c r="B64" s="18">
        <v>2.9399999999999999E-3</v>
      </c>
    </row>
    <row r="65" spans="1:2" x14ac:dyDescent="0.25">
      <c r="A65" s="18">
        <v>38.6</v>
      </c>
      <c r="B65" s="18">
        <v>3.0100000000000001E-3</v>
      </c>
    </row>
    <row r="66" spans="1:2" x14ac:dyDescent="0.25">
      <c r="A66" s="18">
        <v>38.799999999999997</v>
      </c>
      <c r="B66" s="18">
        <v>3.3700000000000002E-3</v>
      </c>
    </row>
    <row r="67" spans="1:2" x14ac:dyDescent="0.25">
      <c r="A67" s="18">
        <v>39</v>
      </c>
      <c r="B67" s="18">
        <v>3.48E-3</v>
      </c>
    </row>
    <row r="68" spans="1:2" x14ac:dyDescent="0.25">
      <c r="A68" s="18">
        <v>39.200000000000003</v>
      </c>
      <c r="B68" s="18">
        <v>3.7200000000000002E-3</v>
      </c>
    </row>
    <row r="69" spans="1:2" x14ac:dyDescent="0.25">
      <c r="A69" s="18">
        <v>39.4</v>
      </c>
      <c r="B69" s="18">
        <v>4.0899999999999999E-3</v>
      </c>
    </row>
    <row r="70" spans="1:2" x14ac:dyDescent="0.25">
      <c r="A70" s="18">
        <v>39.6</v>
      </c>
      <c r="B70" s="18">
        <v>4.3899999999999998E-3</v>
      </c>
    </row>
    <row r="71" spans="1:2" x14ac:dyDescent="0.25">
      <c r="A71" s="18">
        <v>39.799999999999997</v>
      </c>
      <c r="B71" s="18">
        <v>4.2500000000000003E-3</v>
      </c>
    </row>
    <row r="72" spans="1:2" x14ac:dyDescent="0.25">
      <c r="A72" s="18">
        <v>40</v>
      </c>
      <c r="B72" s="18">
        <v>4.8900000000000002E-3</v>
      </c>
    </row>
    <row r="73" spans="1:2" x14ac:dyDescent="0.25">
      <c r="A73" s="18">
        <v>40.200000000000003</v>
      </c>
      <c r="B73" s="18">
        <v>5.1200000000000004E-3</v>
      </c>
    </row>
    <row r="74" spans="1:2" x14ac:dyDescent="0.25">
      <c r="A74" s="18">
        <v>40.4</v>
      </c>
      <c r="B74" s="18">
        <v>5.1700000000000001E-3</v>
      </c>
    </row>
    <row r="75" spans="1:2" x14ac:dyDescent="0.25">
      <c r="A75" s="18">
        <v>40.6</v>
      </c>
      <c r="B75" s="18">
        <v>5.6699999999999997E-3</v>
      </c>
    </row>
    <row r="76" spans="1:2" x14ac:dyDescent="0.25">
      <c r="A76" s="18">
        <v>40.799999999999997</v>
      </c>
      <c r="B76" s="18">
        <v>5.9800000000000001E-3</v>
      </c>
    </row>
    <row r="77" spans="1:2" x14ac:dyDescent="0.25">
      <c r="A77" s="18">
        <v>41</v>
      </c>
      <c r="B77" s="18">
        <v>6.3699999999999998E-3</v>
      </c>
    </row>
    <row r="78" spans="1:2" x14ac:dyDescent="0.25">
      <c r="A78" s="18">
        <v>41.2</v>
      </c>
      <c r="B78" s="18">
        <v>6.4900000000000001E-3</v>
      </c>
    </row>
    <row r="79" spans="1:2" x14ac:dyDescent="0.25">
      <c r="A79" s="18">
        <v>41.4</v>
      </c>
      <c r="B79" s="18">
        <v>7.1399999999999996E-3</v>
      </c>
    </row>
    <row r="80" spans="1:2" x14ac:dyDescent="0.25">
      <c r="A80" s="18">
        <v>41.6</v>
      </c>
      <c r="B80" s="18">
        <v>6.8799999999999998E-3</v>
      </c>
    </row>
    <row r="81" spans="1:2" x14ac:dyDescent="0.25">
      <c r="A81" s="18">
        <v>41.8</v>
      </c>
      <c r="B81" s="18">
        <v>7.7499999999999999E-3</v>
      </c>
    </row>
    <row r="82" spans="1:2" x14ac:dyDescent="0.25">
      <c r="A82" s="18">
        <v>42</v>
      </c>
      <c r="B82" s="18">
        <v>7.6499999999999997E-3</v>
      </c>
    </row>
    <row r="83" spans="1:2" x14ac:dyDescent="0.25">
      <c r="A83" s="18">
        <v>42.2</v>
      </c>
      <c r="B83" s="18">
        <v>8.5500000000000003E-3</v>
      </c>
    </row>
    <row r="84" spans="1:2" x14ac:dyDescent="0.25">
      <c r="A84" s="18">
        <v>42.4</v>
      </c>
      <c r="B84" s="18">
        <v>8.2900000000000005E-3</v>
      </c>
    </row>
    <row r="85" spans="1:2" x14ac:dyDescent="0.25">
      <c r="A85" s="18">
        <v>42.6</v>
      </c>
      <c r="B85" s="18">
        <v>9.2099999999999994E-3</v>
      </c>
    </row>
    <row r="86" spans="1:2" x14ac:dyDescent="0.25">
      <c r="A86" s="18">
        <v>42.8</v>
      </c>
      <c r="B86" s="18">
        <v>9.2899999999999996E-3</v>
      </c>
    </row>
    <row r="87" spans="1:2" x14ac:dyDescent="0.25">
      <c r="A87" s="18">
        <v>43</v>
      </c>
      <c r="B87" s="18">
        <v>9.6399999999999993E-3</v>
      </c>
    </row>
    <row r="88" spans="1:2" x14ac:dyDescent="0.25">
      <c r="A88" s="18">
        <v>43.2</v>
      </c>
      <c r="B88" s="18">
        <v>1.01E-2</v>
      </c>
    </row>
    <row r="89" spans="1:2" x14ac:dyDescent="0.25">
      <c r="A89" s="18">
        <v>43.4</v>
      </c>
      <c r="B89" s="18">
        <v>1.04E-2</v>
      </c>
    </row>
    <row r="90" spans="1:2" x14ac:dyDescent="0.25">
      <c r="A90" s="18">
        <v>43.6</v>
      </c>
      <c r="B90" s="18">
        <v>1.0500000000000001E-2</v>
      </c>
    </row>
    <row r="91" spans="1:2" x14ac:dyDescent="0.25">
      <c r="A91" s="18">
        <v>43.8</v>
      </c>
      <c r="B91" s="18">
        <v>1.1299999999999999E-2</v>
      </c>
    </row>
    <row r="92" spans="1:2" x14ac:dyDescent="0.25">
      <c r="A92" s="18">
        <v>44</v>
      </c>
      <c r="B92" s="18">
        <v>1.15E-2</v>
      </c>
    </row>
    <row r="93" spans="1:2" x14ac:dyDescent="0.25">
      <c r="A93" s="18">
        <v>44.2</v>
      </c>
      <c r="B93" s="18">
        <v>1.2E-2</v>
      </c>
    </row>
    <row r="94" spans="1:2" x14ac:dyDescent="0.25">
      <c r="A94" s="18">
        <v>44.4</v>
      </c>
      <c r="B94" s="18">
        <v>1.21E-2</v>
      </c>
    </row>
    <row r="95" spans="1:2" x14ac:dyDescent="0.25">
      <c r="A95" s="18">
        <v>44.6</v>
      </c>
      <c r="B95" s="18">
        <v>1.24E-2</v>
      </c>
    </row>
    <row r="96" spans="1:2" x14ac:dyDescent="0.25">
      <c r="A96" s="18">
        <v>44.8</v>
      </c>
      <c r="B96" s="18">
        <v>1.2699999999999999E-2</v>
      </c>
    </row>
    <row r="97" spans="1:2" x14ac:dyDescent="0.25">
      <c r="A97" s="18">
        <v>45</v>
      </c>
      <c r="B97" s="18">
        <v>1.35E-2</v>
      </c>
    </row>
    <row r="98" spans="1:2" x14ac:dyDescent="0.25">
      <c r="A98" s="18">
        <v>45.2</v>
      </c>
      <c r="B98" s="18">
        <v>1.34E-2</v>
      </c>
    </row>
    <row r="99" spans="1:2" x14ac:dyDescent="0.25">
      <c r="A99" s="18">
        <v>45.4</v>
      </c>
      <c r="B99" s="18">
        <v>1.35E-2</v>
      </c>
    </row>
    <row r="100" spans="1:2" x14ac:dyDescent="0.25">
      <c r="A100" s="18">
        <v>45.6</v>
      </c>
      <c r="B100" s="18">
        <v>1.44E-2</v>
      </c>
    </row>
    <row r="101" spans="1:2" x14ac:dyDescent="0.25">
      <c r="A101" s="18">
        <v>45.8</v>
      </c>
      <c r="B101" s="18">
        <v>1.43E-2</v>
      </c>
    </row>
    <row r="102" spans="1:2" x14ac:dyDescent="0.25">
      <c r="A102" s="18">
        <v>46</v>
      </c>
      <c r="B102" s="18">
        <v>1.46E-2</v>
      </c>
    </row>
    <row r="103" spans="1:2" x14ac:dyDescent="0.25">
      <c r="A103" s="18">
        <v>46.2</v>
      </c>
      <c r="B103" s="18">
        <v>1.4999999999999999E-2</v>
      </c>
    </row>
    <row r="104" spans="1:2" x14ac:dyDescent="0.25">
      <c r="A104" s="18">
        <v>46.4</v>
      </c>
      <c r="B104" s="18">
        <v>1.55E-2</v>
      </c>
    </row>
    <row r="105" spans="1:2" x14ac:dyDescent="0.25">
      <c r="A105" s="18">
        <v>46.6</v>
      </c>
      <c r="B105" s="18">
        <v>1.4999999999999999E-2</v>
      </c>
    </row>
    <row r="106" spans="1:2" x14ac:dyDescent="0.25">
      <c r="A106" s="18">
        <v>46.8</v>
      </c>
      <c r="B106" s="18">
        <v>1.6299999999999999E-2</v>
      </c>
    </row>
    <row r="107" spans="1:2" x14ac:dyDescent="0.25">
      <c r="A107" s="18">
        <v>47</v>
      </c>
      <c r="B107" s="18">
        <v>1.5800000000000002E-2</v>
      </c>
    </row>
    <row r="108" spans="1:2" x14ac:dyDescent="0.25">
      <c r="A108" s="18">
        <v>47.2</v>
      </c>
      <c r="B108" s="18">
        <v>1.6199999999999999E-2</v>
      </c>
    </row>
    <row r="109" spans="1:2" x14ac:dyDescent="0.25">
      <c r="A109" s="18">
        <v>47.4</v>
      </c>
      <c r="B109" s="18">
        <v>1.6500000000000001E-2</v>
      </c>
    </row>
    <row r="110" spans="1:2" x14ac:dyDescent="0.25">
      <c r="A110" s="18">
        <v>47.6</v>
      </c>
      <c r="B110" s="18">
        <v>1.67E-2</v>
      </c>
    </row>
    <row r="111" spans="1:2" x14ac:dyDescent="0.25">
      <c r="A111" s="18">
        <v>47.8</v>
      </c>
      <c r="B111" s="18">
        <v>1.67E-2</v>
      </c>
    </row>
    <row r="112" spans="1:2" x14ac:dyDescent="0.25">
      <c r="A112" s="18">
        <v>48</v>
      </c>
      <c r="B112" s="18">
        <v>1.6899999999999998E-2</v>
      </c>
    </row>
    <row r="113" spans="1:2" x14ac:dyDescent="0.25">
      <c r="A113" s="18">
        <v>48.2</v>
      </c>
      <c r="B113" s="18">
        <v>1.7500000000000002E-2</v>
      </c>
    </row>
    <row r="114" spans="1:2" x14ac:dyDescent="0.25">
      <c r="A114" s="18">
        <v>48.4</v>
      </c>
      <c r="B114" s="18">
        <v>1.6799999999999999E-2</v>
      </c>
    </row>
    <row r="115" spans="1:2" x14ac:dyDescent="0.25">
      <c r="A115" s="18">
        <v>48.6</v>
      </c>
      <c r="B115" s="18">
        <v>1.78E-2</v>
      </c>
    </row>
    <row r="116" spans="1:2" x14ac:dyDescent="0.25">
      <c r="A116" s="18">
        <v>48.8</v>
      </c>
      <c r="B116" s="18">
        <v>1.7000000000000001E-2</v>
      </c>
    </row>
    <row r="117" spans="1:2" x14ac:dyDescent="0.25">
      <c r="A117" s="18">
        <v>49</v>
      </c>
      <c r="B117" s="18">
        <v>1.7500000000000002E-2</v>
      </c>
    </row>
    <row r="118" spans="1:2" x14ac:dyDescent="0.25">
      <c r="A118" s="18">
        <v>49.2</v>
      </c>
      <c r="B118" s="18">
        <v>1.7399999999999999E-2</v>
      </c>
    </row>
    <row r="119" spans="1:2" x14ac:dyDescent="0.25">
      <c r="A119" s="18">
        <v>49.4</v>
      </c>
      <c r="B119" s="18">
        <v>1.7000000000000001E-2</v>
      </c>
    </row>
    <row r="120" spans="1:2" x14ac:dyDescent="0.25">
      <c r="A120" s="18">
        <v>49.6</v>
      </c>
      <c r="B120" s="18">
        <v>1.78E-2</v>
      </c>
    </row>
    <row r="121" spans="1:2" x14ac:dyDescent="0.25">
      <c r="A121" s="18">
        <v>49.8</v>
      </c>
      <c r="B121" s="18">
        <v>1.7100000000000001E-2</v>
      </c>
    </row>
    <row r="122" spans="1:2" x14ac:dyDescent="0.25">
      <c r="A122" s="18">
        <v>50</v>
      </c>
      <c r="B122" s="18">
        <v>1.72E-2</v>
      </c>
    </row>
    <row r="123" spans="1:2" x14ac:dyDescent="0.25">
      <c r="A123" s="18">
        <v>50.2</v>
      </c>
      <c r="B123" s="18">
        <v>1.7500000000000002E-2</v>
      </c>
    </row>
    <row r="124" spans="1:2" x14ac:dyDescent="0.25">
      <c r="A124" s="18">
        <v>50.4</v>
      </c>
      <c r="B124" s="18">
        <v>1.72E-2</v>
      </c>
    </row>
    <row r="125" spans="1:2" x14ac:dyDescent="0.25">
      <c r="A125" s="18">
        <v>50.6</v>
      </c>
      <c r="B125" s="18">
        <v>1.6400000000000001E-2</v>
      </c>
    </row>
    <row r="126" spans="1:2" x14ac:dyDescent="0.25">
      <c r="A126" s="18">
        <v>50.8</v>
      </c>
      <c r="B126" s="18">
        <v>1.7100000000000001E-2</v>
      </c>
    </row>
    <row r="127" spans="1:2" x14ac:dyDescent="0.25">
      <c r="A127" s="18">
        <v>51</v>
      </c>
      <c r="B127" s="18">
        <v>1.67E-2</v>
      </c>
    </row>
    <row r="128" spans="1:2" x14ac:dyDescent="0.25">
      <c r="A128" s="18">
        <v>51.2</v>
      </c>
      <c r="B128" s="18">
        <v>1.6199999999999999E-2</v>
      </c>
    </row>
    <row r="129" spans="1:2" x14ac:dyDescent="0.25">
      <c r="A129" s="18">
        <v>51.4</v>
      </c>
      <c r="B129" s="18">
        <v>1.6E-2</v>
      </c>
    </row>
    <row r="130" spans="1:2" x14ac:dyDescent="0.25">
      <c r="A130" s="18">
        <v>51.6</v>
      </c>
      <c r="B130" s="18">
        <v>1.5900000000000001E-2</v>
      </c>
    </row>
    <row r="131" spans="1:2" x14ac:dyDescent="0.25">
      <c r="A131" s="18">
        <v>51.8</v>
      </c>
      <c r="B131" s="18">
        <v>1.5299999999999999E-2</v>
      </c>
    </row>
    <row r="132" spans="1:2" x14ac:dyDescent="0.25">
      <c r="A132" s="18">
        <v>52</v>
      </c>
      <c r="B132" s="18">
        <v>1.5100000000000001E-2</v>
      </c>
    </row>
    <row r="133" spans="1:2" x14ac:dyDescent="0.25">
      <c r="A133" s="18">
        <v>52.2</v>
      </c>
      <c r="B133" s="18">
        <v>1.44E-2</v>
      </c>
    </row>
    <row r="134" spans="1:2" x14ac:dyDescent="0.25">
      <c r="A134" s="18">
        <v>52.4</v>
      </c>
      <c r="B134" s="18">
        <v>1.4200000000000001E-2</v>
      </c>
    </row>
    <row r="135" spans="1:2" x14ac:dyDescent="0.25">
      <c r="A135" s="18">
        <v>52.6</v>
      </c>
      <c r="B135" s="18">
        <v>1.3599999999999999E-2</v>
      </c>
    </row>
    <row r="136" spans="1:2" x14ac:dyDescent="0.25">
      <c r="A136" s="18">
        <v>52.8</v>
      </c>
      <c r="B136" s="18">
        <v>1.3100000000000001E-2</v>
      </c>
    </row>
    <row r="137" spans="1:2" x14ac:dyDescent="0.25">
      <c r="A137" s="18">
        <v>53</v>
      </c>
      <c r="B137" s="18">
        <v>1.21E-2</v>
      </c>
    </row>
    <row r="138" spans="1:2" x14ac:dyDescent="0.25">
      <c r="A138" s="18">
        <v>53.2</v>
      </c>
      <c r="B138" s="18">
        <v>1.2200000000000001E-2</v>
      </c>
    </row>
    <row r="139" spans="1:2" x14ac:dyDescent="0.25">
      <c r="A139" s="18">
        <v>53.4</v>
      </c>
      <c r="B139" s="18">
        <v>1.0800000000000001E-2</v>
      </c>
    </row>
    <row r="140" spans="1:2" x14ac:dyDescent="0.25">
      <c r="A140" s="18">
        <v>53.6</v>
      </c>
      <c r="B140" s="18">
        <v>1.03E-2</v>
      </c>
    </row>
    <row r="141" spans="1:2" x14ac:dyDescent="0.25">
      <c r="A141" s="18">
        <v>53.8</v>
      </c>
      <c r="B141" s="18">
        <v>9.2399999999999999E-3</v>
      </c>
    </row>
    <row r="142" spans="1:2" x14ac:dyDescent="0.25">
      <c r="A142" s="18">
        <v>54</v>
      </c>
      <c r="B142" s="18">
        <v>8.1300000000000001E-3</v>
      </c>
    </row>
    <row r="143" spans="1:2" x14ac:dyDescent="0.25">
      <c r="A143" s="18">
        <v>54.2</v>
      </c>
      <c r="B143" s="18">
        <v>7.3699999999999998E-3</v>
      </c>
    </row>
    <row r="144" spans="1:2" x14ac:dyDescent="0.25">
      <c r="A144" s="18">
        <v>54.4</v>
      </c>
      <c r="B144" s="18">
        <v>6.1599999999999997E-3</v>
      </c>
    </row>
    <row r="145" spans="1:2" x14ac:dyDescent="0.25">
      <c r="A145" s="18">
        <v>54.6</v>
      </c>
      <c r="B145" s="18">
        <v>4.6499999999999996E-3</v>
      </c>
    </row>
    <row r="146" spans="1:2" x14ac:dyDescent="0.25">
      <c r="A146" s="18">
        <v>54.8</v>
      </c>
      <c r="B146" s="18">
        <v>3.49E-3</v>
      </c>
    </row>
    <row r="147" spans="1:2" x14ac:dyDescent="0.25">
      <c r="A147" s="18">
        <v>55</v>
      </c>
      <c r="B147" s="18">
        <v>1.25E-3</v>
      </c>
    </row>
    <row r="148" spans="1:2" x14ac:dyDescent="0.25">
      <c r="A148" s="18">
        <v>55.2</v>
      </c>
      <c r="B148" s="18">
        <v>6.2799999999999995E-5</v>
      </c>
    </row>
    <row r="149" spans="1:2" x14ac:dyDescent="0.25">
      <c r="A149" s="18">
        <v>55.4</v>
      </c>
      <c r="B149" s="18">
        <v>2.43E-6</v>
      </c>
    </row>
    <row r="150" spans="1:2" x14ac:dyDescent="0.25">
      <c r="A150" s="18">
        <v>55.6</v>
      </c>
      <c r="B150" s="18">
        <v>3.0499999999999999E-7</v>
      </c>
    </row>
    <row r="151" spans="1:2" x14ac:dyDescent="0.25">
      <c r="A151" s="18">
        <v>55.8</v>
      </c>
      <c r="B151" s="18">
        <v>3.58E-6</v>
      </c>
    </row>
    <row r="152" spans="1:2" x14ac:dyDescent="0.25">
      <c r="A152" s="18">
        <v>56</v>
      </c>
      <c r="B152" s="18">
        <v>7.6199999999999999E-6</v>
      </c>
    </row>
    <row r="153" spans="1:2" x14ac:dyDescent="0.25">
      <c r="A153" s="18">
        <v>56.2</v>
      </c>
      <c r="B153" s="18">
        <v>8.3000000000000002E-6</v>
      </c>
    </row>
    <row r="154" spans="1:2" x14ac:dyDescent="0.25">
      <c r="A154" s="18">
        <v>56.4</v>
      </c>
      <c r="B154" s="18">
        <v>3.58E-6</v>
      </c>
    </row>
    <row r="155" spans="1:2" x14ac:dyDescent="0.25">
      <c r="A155" s="18">
        <v>56.6</v>
      </c>
      <c r="B155" s="18">
        <v>2.61E-6</v>
      </c>
    </row>
    <row r="156" spans="1:2" x14ac:dyDescent="0.25">
      <c r="A156" s="18">
        <v>56.8</v>
      </c>
      <c r="B156" s="18">
        <v>5.0000000000000004E-6</v>
      </c>
    </row>
    <row r="157" spans="1:2" x14ac:dyDescent="0.25">
      <c r="A157" s="18">
        <v>57</v>
      </c>
      <c r="B157" s="18">
        <v>8.0100000000000004E-7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B8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30</v>
      </c>
      <c r="B2" s="18">
        <v>1.73E-5</v>
      </c>
    </row>
    <row r="3" spans="1:2" x14ac:dyDescent="0.25">
      <c r="A3" s="18">
        <v>30.5</v>
      </c>
      <c r="B3" s="18">
        <v>4.5199999999999999E-6</v>
      </c>
    </row>
    <row r="4" spans="1:2" x14ac:dyDescent="0.25">
      <c r="A4" s="18">
        <v>31</v>
      </c>
      <c r="B4" s="18">
        <v>2.6699999999999998E-5</v>
      </c>
    </row>
    <row r="5" spans="1:2" x14ac:dyDescent="0.25">
      <c r="A5" s="18">
        <v>31.5</v>
      </c>
      <c r="B5" s="18">
        <v>4.6800000000000001E-6</v>
      </c>
    </row>
    <row r="6" spans="1:2" x14ac:dyDescent="0.25">
      <c r="A6" s="18">
        <v>32</v>
      </c>
      <c r="B6" s="18">
        <v>1.22E-5</v>
      </c>
    </row>
    <row r="7" spans="1:2" x14ac:dyDescent="0.25">
      <c r="A7" s="18">
        <v>32.5</v>
      </c>
      <c r="B7" s="18">
        <v>1.7E-5</v>
      </c>
    </row>
    <row r="8" spans="1:2" x14ac:dyDescent="0.25">
      <c r="A8" s="18">
        <v>33</v>
      </c>
      <c r="B8" s="18">
        <v>9.1400000000000006E-6</v>
      </c>
    </row>
    <row r="9" spans="1:2" x14ac:dyDescent="0.25">
      <c r="A9" s="18">
        <v>33.5</v>
      </c>
      <c r="B9" s="18">
        <v>1.8899999999999999E-5</v>
      </c>
    </row>
    <row r="10" spans="1:2" x14ac:dyDescent="0.25">
      <c r="A10" s="18">
        <v>34</v>
      </c>
      <c r="B10" s="18">
        <v>6.6699999999999997E-6</v>
      </c>
    </row>
    <row r="11" spans="1:2" x14ac:dyDescent="0.25">
      <c r="A11" s="18">
        <v>34.5</v>
      </c>
      <c r="B11" s="18">
        <v>3.63E-6</v>
      </c>
    </row>
    <row r="12" spans="1:2" x14ac:dyDescent="0.25">
      <c r="A12" s="18">
        <v>35</v>
      </c>
      <c r="B12" s="18">
        <v>2.3900000000000002E-5</v>
      </c>
    </row>
    <row r="13" spans="1:2" x14ac:dyDescent="0.25">
      <c r="A13" s="18">
        <v>35.5</v>
      </c>
      <c r="B13" s="18">
        <v>5.7200000000000003E-6</v>
      </c>
    </row>
    <row r="14" spans="1:2" x14ac:dyDescent="0.25">
      <c r="A14" s="18">
        <v>36</v>
      </c>
      <c r="B14" s="18">
        <v>4.1500000000000001E-6</v>
      </c>
    </row>
    <row r="15" spans="1:2" x14ac:dyDescent="0.25">
      <c r="A15" s="18">
        <v>36.5</v>
      </c>
      <c r="B15" s="18">
        <v>1.0699999999999999E-5</v>
      </c>
    </row>
    <row r="16" spans="1:2" x14ac:dyDescent="0.25">
      <c r="A16" s="18">
        <v>37</v>
      </c>
      <c r="B16" s="18">
        <v>8.2900000000000002E-6</v>
      </c>
    </row>
    <row r="17" spans="1:2" x14ac:dyDescent="0.25">
      <c r="A17" s="18">
        <v>37.5</v>
      </c>
      <c r="B17" s="18">
        <v>4.4199999999999997E-5</v>
      </c>
    </row>
    <row r="18" spans="1:2" x14ac:dyDescent="0.25">
      <c r="A18" s="18">
        <v>38</v>
      </c>
      <c r="B18" s="18">
        <v>2.76E-5</v>
      </c>
    </row>
    <row r="19" spans="1:2" x14ac:dyDescent="0.25">
      <c r="A19" s="18">
        <v>38.5</v>
      </c>
      <c r="B19" s="18">
        <v>4.2599999999999999E-5</v>
      </c>
    </row>
    <row r="20" spans="1:2" x14ac:dyDescent="0.25">
      <c r="A20" s="18">
        <v>39</v>
      </c>
      <c r="B20" s="18">
        <v>3.54E-5</v>
      </c>
    </row>
    <row r="21" spans="1:2" x14ac:dyDescent="0.25">
      <c r="A21" s="18">
        <v>39.5</v>
      </c>
      <c r="B21" s="18">
        <v>7.7700000000000005E-5</v>
      </c>
    </row>
    <row r="22" spans="1:2" x14ac:dyDescent="0.25">
      <c r="A22" s="18">
        <v>40</v>
      </c>
      <c r="B22" s="18">
        <v>9.3300000000000005E-5</v>
      </c>
    </row>
    <row r="23" spans="1:2" x14ac:dyDescent="0.25">
      <c r="A23" s="18">
        <v>40.5</v>
      </c>
      <c r="B23" s="18">
        <v>1.17E-4</v>
      </c>
    </row>
    <row r="24" spans="1:2" x14ac:dyDescent="0.25">
      <c r="A24" s="18">
        <v>41</v>
      </c>
      <c r="B24" s="18">
        <v>1.65E-4</v>
      </c>
    </row>
    <row r="25" spans="1:2" x14ac:dyDescent="0.25">
      <c r="A25" s="18">
        <v>41.5</v>
      </c>
      <c r="B25" s="18">
        <v>2.63E-4</v>
      </c>
    </row>
    <row r="26" spans="1:2" x14ac:dyDescent="0.25">
      <c r="A26" s="18">
        <v>42</v>
      </c>
      <c r="B26" s="18">
        <v>2.8400000000000002E-4</v>
      </c>
    </row>
    <row r="27" spans="1:2" x14ac:dyDescent="0.25">
      <c r="A27" s="18">
        <v>42.5</v>
      </c>
      <c r="B27" s="18">
        <v>4.3300000000000001E-4</v>
      </c>
    </row>
    <row r="28" spans="1:2" x14ac:dyDescent="0.25">
      <c r="A28" s="18">
        <v>43</v>
      </c>
      <c r="B28" s="18">
        <v>5.3399999999999997E-4</v>
      </c>
    </row>
    <row r="29" spans="1:2" x14ac:dyDescent="0.25">
      <c r="A29" s="18">
        <v>43.5</v>
      </c>
      <c r="B29" s="18">
        <v>6.8000000000000005E-4</v>
      </c>
    </row>
    <row r="30" spans="1:2" x14ac:dyDescent="0.25">
      <c r="A30" s="18">
        <v>44</v>
      </c>
      <c r="B30" s="18">
        <v>9.3800000000000003E-4</v>
      </c>
    </row>
    <row r="31" spans="1:2" x14ac:dyDescent="0.25">
      <c r="A31" s="18">
        <v>44.5</v>
      </c>
      <c r="B31" s="18">
        <v>1.15E-3</v>
      </c>
    </row>
    <row r="32" spans="1:2" x14ac:dyDescent="0.25">
      <c r="A32" s="18">
        <v>45</v>
      </c>
      <c r="B32" s="18">
        <v>1.42E-3</v>
      </c>
    </row>
    <row r="33" spans="1:2" x14ac:dyDescent="0.25">
      <c r="A33" s="18">
        <v>45.5</v>
      </c>
      <c r="B33" s="18">
        <v>1.7099999999999999E-3</v>
      </c>
    </row>
    <row r="34" spans="1:2" x14ac:dyDescent="0.25">
      <c r="A34" s="18">
        <v>46</v>
      </c>
      <c r="B34" s="18">
        <v>2.0699999999999998E-3</v>
      </c>
    </row>
    <row r="35" spans="1:2" x14ac:dyDescent="0.25">
      <c r="A35" s="18">
        <v>46.5</v>
      </c>
      <c r="B35" s="18">
        <v>2.4599999999999999E-3</v>
      </c>
    </row>
    <row r="36" spans="1:2" x14ac:dyDescent="0.25">
      <c r="A36" s="18">
        <v>47</v>
      </c>
      <c r="B36" s="18">
        <v>2.9399999999999999E-3</v>
      </c>
    </row>
    <row r="37" spans="1:2" x14ac:dyDescent="0.25">
      <c r="A37" s="18">
        <v>47.5</v>
      </c>
      <c r="B37" s="18">
        <v>3.3800000000000002E-3</v>
      </c>
    </row>
    <row r="38" spans="1:2" x14ac:dyDescent="0.25">
      <c r="A38" s="18">
        <v>48</v>
      </c>
      <c r="B38" s="18">
        <v>4.0600000000000002E-3</v>
      </c>
    </row>
    <row r="39" spans="1:2" x14ac:dyDescent="0.25">
      <c r="A39" s="18">
        <v>48.5</v>
      </c>
      <c r="B39" s="18">
        <v>4.6100000000000004E-3</v>
      </c>
    </row>
    <row r="40" spans="1:2" x14ac:dyDescent="0.25">
      <c r="A40" s="18">
        <v>49</v>
      </c>
      <c r="B40" s="18">
        <v>5.3899999999999998E-3</v>
      </c>
    </row>
    <row r="41" spans="1:2" x14ac:dyDescent="0.25">
      <c r="A41" s="18">
        <v>49.5</v>
      </c>
      <c r="B41" s="18">
        <v>6.0699999999999999E-3</v>
      </c>
    </row>
    <row r="42" spans="1:2" x14ac:dyDescent="0.25">
      <c r="A42" s="18">
        <v>50</v>
      </c>
      <c r="B42" s="18">
        <v>6.9499999999999996E-3</v>
      </c>
    </row>
    <row r="43" spans="1:2" x14ac:dyDescent="0.25">
      <c r="A43" s="18">
        <v>50.5</v>
      </c>
      <c r="B43" s="18">
        <v>7.8100000000000001E-3</v>
      </c>
    </row>
    <row r="44" spans="1:2" x14ac:dyDescent="0.25">
      <c r="A44" s="18">
        <v>51</v>
      </c>
      <c r="B44" s="18">
        <v>8.8699999999999994E-3</v>
      </c>
    </row>
    <row r="45" spans="1:2" x14ac:dyDescent="0.25">
      <c r="A45" s="18">
        <v>51.5</v>
      </c>
      <c r="B45" s="18">
        <v>0.01</v>
      </c>
    </row>
    <row r="46" spans="1:2" x14ac:dyDescent="0.25">
      <c r="A46" s="18">
        <v>52</v>
      </c>
      <c r="B46" s="18">
        <v>1.11E-2</v>
      </c>
    </row>
    <row r="47" spans="1:2" x14ac:dyDescent="0.25">
      <c r="A47" s="18">
        <v>52.5</v>
      </c>
      <c r="B47" s="18">
        <v>1.2200000000000001E-2</v>
      </c>
    </row>
    <row r="48" spans="1:2" x14ac:dyDescent="0.25">
      <c r="A48" s="18">
        <v>53</v>
      </c>
      <c r="B48" s="18">
        <v>1.3599999999999999E-2</v>
      </c>
    </row>
    <row r="49" spans="1:2" x14ac:dyDescent="0.25">
      <c r="A49" s="18">
        <v>53.5</v>
      </c>
      <c r="B49" s="18">
        <v>1.47E-2</v>
      </c>
    </row>
    <row r="50" spans="1:2" x14ac:dyDescent="0.25">
      <c r="A50" s="18">
        <v>54</v>
      </c>
      <c r="B50" s="18">
        <v>1.6E-2</v>
      </c>
    </row>
    <row r="51" spans="1:2" x14ac:dyDescent="0.25">
      <c r="A51" s="18">
        <v>54.5</v>
      </c>
      <c r="B51" s="18">
        <v>1.7600000000000001E-2</v>
      </c>
    </row>
    <row r="52" spans="1:2" x14ac:dyDescent="0.25">
      <c r="A52" s="18">
        <v>55</v>
      </c>
      <c r="B52" s="18">
        <v>1.8800000000000001E-2</v>
      </c>
    </row>
    <row r="53" spans="1:2" x14ac:dyDescent="0.25">
      <c r="A53" s="18">
        <v>55.5</v>
      </c>
      <c r="B53" s="18">
        <v>2.0400000000000001E-2</v>
      </c>
    </row>
    <row r="54" spans="1:2" x14ac:dyDescent="0.25">
      <c r="A54" s="18">
        <v>56</v>
      </c>
      <c r="B54" s="18">
        <v>2.1700000000000001E-2</v>
      </c>
    </row>
    <row r="55" spans="1:2" x14ac:dyDescent="0.25">
      <c r="A55" s="18">
        <v>56.5</v>
      </c>
      <c r="B55" s="18">
        <v>2.3E-2</v>
      </c>
    </row>
    <row r="56" spans="1:2" x14ac:dyDescent="0.25">
      <c r="A56" s="18">
        <v>57</v>
      </c>
      <c r="B56" s="18">
        <v>2.47E-2</v>
      </c>
    </row>
    <row r="57" spans="1:2" x14ac:dyDescent="0.25">
      <c r="A57" s="18">
        <v>57.5</v>
      </c>
      <c r="B57" s="18">
        <v>2.58E-2</v>
      </c>
    </row>
    <row r="58" spans="1:2" x14ac:dyDescent="0.25">
      <c r="A58" s="18">
        <v>58</v>
      </c>
      <c r="B58" s="18">
        <v>2.7199999999999998E-2</v>
      </c>
    </row>
    <row r="59" spans="1:2" x14ac:dyDescent="0.25">
      <c r="A59" s="18">
        <v>58.5</v>
      </c>
      <c r="B59" s="18">
        <v>2.8299999999999999E-2</v>
      </c>
    </row>
    <row r="60" spans="1:2" x14ac:dyDescent="0.25">
      <c r="A60" s="18">
        <v>59</v>
      </c>
      <c r="B60" s="18">
        <v>2.9600000000000001E-2</v>
      </c>
    </row>
    <row r="61" spans="1:2" x14ac:dyDescent="0.25">
      <c r="A61" s="18">
        <v>59.5</v>
      </c>
      <c r="B61" s="18">
        <v>3.09E-2</v>
      </c>
    </row>
    <row r="62" spans="1:2" x14ac:dyDescent="0.25">
      <c r="A62" s="18">
        <v>60</v>
      </c>
      <c r="B62" s="18">
        <v>3.1300000000000001E-2</v>
      </c>
    </row>
    <row r="63" spans="1:2" x14ac:dyDescent="0.25">
      <c r="A63" s="18">
        <v>60.5</v>
      </c>
      <c r="B63" s="18">
        <v>3.2500000000000001E-2</v>
      </c>
    </row>
    <row r="64" spans="1:2" x14ac:dyDescent="0.25">
      <c r="A64" s="18">
        <v>61</v>
      </c>
      <c r="B64" s="18">
        <v>3.3300000000000003E-2</v>
      </c>
    </row>
    <row r="65" spans="1:2" x14ac:dyDescent="0.25">
      <c r="A65" s="18">
        <v>61.5</v>
      </c>
      <c r="B65" s="18">
        <v>3.4099999999999998E-2</v>
      </c>
    </row>
    <row r="66" spans="1:2" x14ac:dyDescent="0.25">
      <c r="A66" s="18">
        <v>62</v>
      </c>
      <c r="B66" s="18">
        <v>3.49E-2</v>
      </c>
    </row>
    <row r="67" spans="1:2" x14ac:dyDescent="0.25">
      <c r="A67" s="18">
        <v>62.5</v>
      </c>
      <c r="B67" s="18">
        <v>3.5400000000000001E-2</v>
      </c>
    </row>
    <row r="68" spans="1:2" x14ac:dyDescent="0.25">
      <c r="A68" s="18">
        <v>63</v>
      </c>
      <c r="B68" s="18">
        <v>3.5700000000000003E-2</v>
      </c>
    </row>
    <row r="69" spans="1:2" x14ac:dyDescent="0.25">
      <c r="A69" s="18">
        <v>63.5</v>
      </c>
      <c r="B69" s="18">
        <v>3.56E-2</v>
      </c>
    </row>
    <row r="70" spans="1:2" x14ac:dyDescent="0.25">
      <c r="A70" s="18">
        <v>64</v>
      </c>
      <c r="B70" s="18">
        <v>3.56E-2</v>
      </c>
    </row>
    <row r="71" spans="1:2" x14ac:dyDescent="0.25">
      <c r="A71" s="18">
        <v>64.5</v>
      </c>
      <c r="B71" s="18">
        <v>3.5000000000000003E-2</v>
      </c>
    </row>
    <row r="72" spans="1:2" x14ac:dyDescent="0.25">
      <c r="A72" s="18">
        <v>65</v>
      </c>
      <c r="B72" s="18">
        <v>3.44E-2</v>
      </c>
    </row>
    <row r="73" spans="1:2" x14ac:dyDescent="0.25">
      <c r="A73" s="18">
        <v>65.5</v>
      </c>
      <c r="B73" s="18">
        <v>3.3099999999999997E-2</v>
      </c>
    </row>
    <row r="74" spans="1:2" x14ac:dyDescent="0.25">
      <c r="A74" s="18">
        <v>66</v>
      </c>
      <c r="B74" s="18">
        <v>3.2000000000000001E-2</v>
      </c>
    </row>
    <row r="75" spans="1:2" x14ac:dyDescent="0.25">
      <c r="A75" s="18">
        <v>66.5</v>
      </c>
      <c r="B75" s="18">
        <v>3.0099999999999998E-2</v>
      </c>
    </row>
    <row r="76" spans="1:2" x14ac:dyDescent="0.25">
      <c r="A76" s="18">
        <v>67</v>
      </c>
      <c r="B76" s="18">
        <v>2.8299999999999999E-2</v>
      </c>
    </row>
    <row r="77" spans="1:2" x14ac:dyDescent="0.25">
      <c r="A77" s="18">
        <v>67.5</v>
      </c>
      <c r="B77" s="18">
        <v>2.53E-2</v>
      </c>
    </row>
    <row r="78" spans="1:2" x14ac:dyDescent="0.25">
      <c r="A78" s="18">
        <v>68</v>
      </c>
      <c r="B78" s="18">
        <v>2.2200000000000001E-2</v>
      </c>
    </row>
    <row r="79" spans="1:2" x14ac:dyDescent="0.25">
      <c r="A79" s="18">
        <v>68.5</v>
      </c>
      <c r="B79" s="18">
        <v>1.84E-2</v>
      </c>
    </row>
    <row r="80" spans="1:2" x14ac:dyDescent="0.25">
      <c r="A80" s="18">
        <v>69</v>
      </c>
      <c r="B80" s="18">
        <v>1.4E-2</v>
      </c>
    </row>
    <row r="81" spans="1:2" x14ac:dyDescent="0.25">
      <c r="A81" s="18">
        <v>69.5</v>
      </c>
      <c r="B81" s="18">
        <v>8.4700000000000001E-3</v>
      </c>
    </row>
    <row r="82" spans="1:2" x14ac:dyDescent="0.25">
      <c r="A82" s="18">
        <v>70</v>
      </c>
      <c r="B82" s="18">
        <v>2.0899999999999998E-3</v>
      </c>
    </row>
    <row r="83" spans="1:2" x14ac:dyDescent="0.25">
      <c r="A83" s="18">
        <v>70.5</v>
      </c>
      <c r="B83" s="18">
        <v>4.07E-6</v>
      </c>
    </row>
    <row r="84" spans="1:2" x14ac:dyDescent="0.25">
      <c r="A84" s="18">
        <v>71</v>
      </c>
      <c r="B84" s="18">
        <v>1.4899999999999999E-6</v>
      </c>
    </row>
    <row r="85" spans="1:2" x14ac:dyDescent="0.25">
      <c r="A85" s="18">
        <v>71.5</v>
      </c>
      <c r="B85" s="18">
        <v>1.42E-6</v>
      </c>
    </row>
    <row r="86" spans="1:2" x14ac:dyDescent="0.25">
      <c r="A86" s="18">
        <v>72</v>
      </c>
      <c r="B86" s="18">
        <v>6.9699999999999995E-7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B10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50</v>
      </c>
      <c r="B2" s="18">
        <v>3.6200000000000001E-6</v>
      </c>
    </row>
    <row r="3" spans="1:2" x14ac:dyDescent="0.25">
      <c r="A3" s="18">
        <v>50.5</v>
      </c>
      <c r="B3" s="18">
        <v>6.3400000000000003E-6</v>
      </c>
    </row>
    <row r="4" spans="1:2" x14ac:dyDescent="0.25">
      <c r="A4" s="18">
        <v>51</v>
      </c>
      <c r="B4" s="18">
        <v>7.3900000000000004E-6</v>
      </c>
    </row>
    <row r="5" spans="1:2" x14ac:dyDescent="0.25">
      <c r="A5" s="18">
        <v>51.5</v>
      </c>
      <c r="B5" s="18">
        <v>1.0699999999999999E-5</v>
      </c>
    </row>
    <row r="6" spans="1:2" x14ac:dyDescent="0.25">
      <c r="A6" s="18">
        <v>52</v>
      </c>
      <c r="B6" s="18">
        <v>6.37E-6</v>
      </c>
    </row>
    <row r="7" spans="1:2" x14ac:dyDescent="0.25">
      <c r="A7" s="18">
        <v>52.5</v>
      </c>
      <c r="B7" s="18">
        <v>7.2899999999999997E-6</v>
      </c>
    </row>
    <row r="8" spans="1:2" x14ac:dyDescent="0.25">
      <c r="A8" s="18">
        <v>53</v>
      </c>
      <c r="B8" s="18">
        <v>5.9200000000000001E-6</v>
      </c>
    </row>
    <row r="9" spans="1:2" x14ac:dyDescent="0.25">
      <c r="A9" s="18">
        <v>53.5</v>
      </c>
      <c r="B9" s="18">
        <v>9.0000000000000002E-6</v>
      </c>
    </row>
    <row r="10" spans="1:2" x14ac:dyDescent="0.25">
      <c r="A10" s="18">
        <v>54</v>
      </c>
      <c r="B10" s="18">
        <v>1.04E-5</v>
      </c>
    </row>
    <row r="11" spans="1:2" x14ac:dyDescent="0.25">
      <c r="A11" s="18">
        <v>54.5</v>
      </c>
      <c r="B11" s="18">
        <v>1.63E-5</v>
      </c>
    </row>
    <row r="12" spans="1:2" x14ac:dyDescent="0.25">
      <c r="A12" s="18">
        <v>55</v>
      </c>
      <c r="B12" s="18">
        <v>1.2999999999999999E-5</v>
      </c>
    </row>
    <row r="13" spans="1:2" x14ac:dyDescent="0.25">
      <c r="A13" s="18">
        <v>55.5</v>
      </c>
      <c r="B13" s="18">
        <v>1.2799999999999999E-5</v>
      </c>
    </row>
    <row r="14" spans="1:2" x14ac:dyDescent="0.25">
      <c r="A14" s="18">
        <v>56</v>
      </c>
      <c r="B14" s="18">
        <v>2.7500000000000001E-5</v>
      </c>
    </row>
    <row r="15" spans="1:2" x14ac:dyDescent="0.25">
      <c r="A15" s="18">
        <v>56.5</v>
      </c>
      <c r="B15" s="18">
        <v>3.6199999999999999E-5</v>
      </c>
    </row>
    <row r="16" spans="1:2" x14ac:dyDescent="0.25">
      <c r="A16" s="18">
        <v>57</v>
      </c>
      <c r="B16" s="18">
        <v>3.2700000000000002E-5</v>
      </c>
    </row>
    <row r="17" spans="1:2" x14ac:dyDescent="0.25">
      <c r="A17" s="18">
        <v>57.5</v>
      </c>
      <c r="B17" s="18">
        <v>5.6499999999999998E-5</v>
      </c>
    </row>
    <row r="18" spans="1:2" x14ac:dyDescent="0.25">
      <c r="A18" s="18">
        <v>58</v>
      </c>
      <c r="B18" s="18">
        <v>1.56E-4</v>
      </c>
    </row>
    <row r="19" spans="1:2" x14ac:dyDescent="0.25">
      <c r="A19" s="18">
        <v>58.5</v>
      </c>
      <c r="B19" s="18">
        <v>8.25E-5</v>
      </c>
    </row>
    <row r="20" spans="1:2" x14ac:dyDescent="0.25">
      <c r="A20" s="18">
        <v>59</v>
      </c>
      <c r="B20" s="18">
        <v>2.5000000000000001E-4</v>
      </c>
    </row>
    <row r="21" spans="1:2" x14ac:dyDescent="0.25">
      <c r="A21" s="18">
        <v>59.5</v>
      </c>
      <c r="B21" s="18">
        <v>3.4600000000000001E-4</v>
      </c>
    </row>
    <row r="22" spans="1:2" x14ac:dyDescent="0.25">
      <c r="A22" s="18">
        <v>60</v>
      </c>
      <c r="B22" s="18">
        <v>1.3200000000000001E-4</v>
      </c>
    </row>
    <row r="23" spans="1:2" x14ac:dyDescent="0.25">
      <c r="A23" s="18">
        <v>60.5</v>
      </c>
      <c r="B23" s="18">
        <v>1.4899999999999999E-4</v>
      </c>
    </row>
    <row r="24" spans="1:2" x14ac:dyDescent="0.25">
      <c r="A24" s="18">
        <v>61</v>
      </c>
      <c r="B24" s="18">
        <v>1.94E-4</v>
      </c>
    </row>
    <row r="25" spans="1:2" x14ac:dyDescent="0.25">
      <c r="A25" s="18">
        <v>61.5</v>
      </c>
      <c r="B25" s="18">
        <v>2.2000000000000001E-4</v>
      </c>
    </row>
    <row r="26" spans="1:2" x14ac:dyDescent="0.25">
      <c r="A26" s="18">
        <v>62</v>
      </c>
      <c r="B26" s="18">
        <v>2.4899999999999998E-4</v>
      </c>
    </row>
    <row r="27" spans="1:2" x14ac:dyDescent="0.25">
      <c r="A27" s="18">
        <v>62.5</v>
      </c>
      <c r="B27" s="18">
        <v>3.39E-4</v>
      </c>
    </row>
    <row r="28" spans="1:2" x14ac:dyDescent="0.25">
      <c r="A28" s="18">
        <v>63</v>
      </c>
      <c r="B28" s="18">
        <v>4.0099999999999999E-4</v>
      </c>
    </row>
    <row r="29" spans="1:2" x14ac:dyDescent="0.25">
      <c r="A29" s="18">
        <v>63.5</v>
      </c>
      <c r="B29" s="18">
        <v>4.6500000000000003E-4</v>
      </c>
    </row>
    <row r="30" spans="1:2" x14ac:dyDescent="0.25">
      <c r="A30" s="18">
        <v>64</v>
      </c>
      <c r="B30" s="18">
        <v>5.44E-4</v>
      </c>
    </row>
    <row r="31" spans="1:2" x14ac:dyDescent="0.25">
      <c r="A31" s="18">
        <v>64.5</v>
      </c>
      <c r="B31" s="18">
        <v>6.2699999999999995E-4</v>
      </c>
    </row>
    <row r="32" spans="1:2" x14ac:dyDescent="0.25">
      <c r="A32" s="18">
        <v>65</v>
      </c>
      <c r="B32" s="18">
        <v>7.3499999999999998E-4</v>
      </c>
    </row>
    <row r="33" spans="1:2" x14ac:dyDescent="0.25">
      <c r="A33" s="18">
        <v>65.5</v>
      </c>
      <c r="B33" s="18">
        <v>8.6300000000000005E-4</v>
      </c>
    </row>
    <row r="34" spans="1:2" x14ac:dyDescent="0.25">
      <c r="A34" s="18">
        <v>66</v>
      </c>
      <c r="B34" s="18">
        <v>1E-3</v>
      </c>
    </row>
    <row r="35" spans="1:2" x14ac:dyDescent="0.25">
      <c r="A35" s="18">
        <v>66.5</v>
      </c>
      <c r="B35" s="18">
        <v>1.34E-3</v>
      </c>
    </row>
    <row r="36" spans="1:2" x14ac:dyDescent="0.25">
      <c r="A36" s="18">
        <v>67</v>
      </c>
      <c r="B36" s="18">
        <v>3.1199999999999999E-3</v>
      </c>
    </row>
    <row r="37" spans="1:2" x14ac:dyDescent="0.25">
      <c r="A37" s="18">
        <v>67.5</v>
      </c>
      <c r="B37" s="18">
        <v>2.5400000000000002E-3</v>
      </c>
    </row>
    <row r="38" spans="1:2" x14ac:dyDescent="0.25">
      <c r="A38" s="18">
        <v>68</v>
      </c>
      <c r="B38" s="18">
        <v>1.7600000000000001E-3</v>
      </c>
    </row>
    <row r="39" spans="1:2" x14ac:dyDescent="0.25">
      <c r="A39" s="18">
        <v>68.5</v>
      </c>
      <c r="B39" s="18">
        <v>2.0799999999999998E-3</v>
      </c>
    </row>
    <row r="40" spans="1:2" x14ac:dyDescent="0.25">
      <c r="A40" s="18">
        <v>69</v>
      </c>
      <c r="B40" s="18">
        <v>3.2000000000000002E-3</v>
      </c>
    </row>
    <row r="41" spans="1:2" x14ac:dyDescent="0.25">
      <c r="A41" s="18">
        <v>69.5</v>
      </c>
      <c r="B41" s="18">
        <v>2.7000000000000001E-3</v>
      </c>
    </row>
    <row r="42" spans="1:2" x14ac:dyDescent="0.25">
      <c r="A42" s="18">
        <v>70</v>
      </c>
      <c r="B42" s="18">
        <v>2.5300000000000001E-3</v>
      </c>
    </row>
    <row r="43" spans="1:2" x14ac:dyDescent="0.25">
      <c r="A43" s="18">
        <v>70.5</v>
      </c>
      <c r="B43" s="18">
        <v>2.8600000000000001E-3</v>
      </c>
    </row>
    <row r="44" spans="1:2" x14ac:dyDescent="0.25">
      <c r="A44" s="18">
        <v>71</v>
      </c>
      <c r="B44" s="18">
        <v>3.16E-3</v>
      </c>
    </row>
    <row r="45" spans="1:2" x14ac:dyDescent="0.25">
      <c r="A45" s="18">
        <v>71.5</v>
      </c>
      <c r="B45" s="18">
        <v>3.5100000000000001E-3</v>
      </c>
    </row>
    <row r="46" spans="1:2" x14ac:dyDescent="0.25">
      <c r="A46" s="18">
        <v>72</v>
      </c>
      <c r="B46" s="18">
        <v>3.8800000000000002E-3</v>
      </c>
    </row>
    <row r="47" spans="1:2" x14ac:dyDescent="0.25">
      <c r="A47" s="18">
        <v>72.5</v>
      </c>
      <c r="B47" s="18">
        <v>4.3600000000000002E-3</v>
      </c>
    </row>
    <row r="48" spans="1:2" x14ac:dyDescent="0.25">
      <c r="A48" s="18">
        <v>73</v>
      </c>
      <c r="B48" s="18">
        <v>4.7000000000000002E-3</v>
      </c>
    </row>
    <row r="49" spans="1:2" x14ac:dyDescent="0.25">
      <c r="A49" s="18">
        <v>73.5</v>
      </c>
      <c r="B49" s="18">
        <v>5.2399999999999999E-3</v>
      </c>
    </row>
    <row r="50" spans="1:2" x14ac:dyDescent="0.25">
      <c r="A50" s="18">
        <v>74</v>
      </c>
      <c r="B50" s="18">
        <v>5.6499999999999996E-3</v>
      </c>
    </row>
    <row r="51" spans="1:2" x14ac:dyDescent="0.25">
      <c r="A51" s="18">
        <v>74.5</v>
      </c>
      <c r="B51" s="18">
        <v>6.1700000000000001E-3</v>
      </c>
    </row>
    <row r="52" spans="1:2" x14ac:dyDescent="0.25">
      <c r="A52" s="18">
        <v>75</v>
      </c>
      <c r="B52" s="18">
        <v>6.79E-3</v>
      </c>
    </row>
    <row r="53" spans="1:2" x14ac:dyDescent="0.25">
      <c r="A53" s="18">
        <v>75.5</v>
      </c>
      <c r="B53" s="18">
        <v>7.3099999999999997E-3</v>
      </c>
    </row>
    <row r="54" spans="1:2" x14ac:dyDescent="0.25">
      <c r="A54" s="18">
        <v>76</v>
      </c>
      <c r="B54" s="18">
        <v>7.8499999999999993E-3</v>
      </c>
    </row>
    <row r="55" spans="1:2" x14ac:dyDescent="0.25">
      <c r="A55" s="18">
        <v>76.5</v>
      </c>
      <c r="B55" s="18">
        <v>8.4799999999999997E-3</v>
      </c>
    </row>
    <row r="56" spans="1:2" x14ac:dyDescent="0.25">
      <c r="A56" s="18">
        <v>77</v>
      </c>
      <c r="B56" s="18">
        <v>9.0299999999999998E-3</v>
      </c>
    </row>
    <row r="57" spans="1:2" x14ac:dyDescent="0.25">
      <c r="A57" s="18">
        <v>77.5</v>
      </c>
      <c r="B57" s="18">
        <v>9.7800000000000005E-3</v>
      </c>
    </row>
    <row r="58" spans="1:2" x14ac:dyDescent="0.25">
      <c r="A58" s="18">
        <v>78</v>
      </c>
      <c r="B58" s="18">
        <v>1.04E-2</v>
      </c>
    </row>
    <row r="59" spans="1:2" x14ac:dyDescent="0.25">
      <c r="A59" s="18">
        <v>78.5</v>
      </c>
      <c r="B59" s="18">
        <v>1.0999999999999999E-2</v>
      </c>
    </row>
    <row r="60" spans="1:2" x14ac:dyDescent="0.25">
      <c r="A60" s="18">
        <v>79</v>
      </c>
      <c r="B60" s="18">
        <v>1.18E-2</v>
      </c>
    </row>
    <row r="61" spans="1:2" x14ac:dyDescent="0.25">
      <c r="A61" s="18">
        <v>79.5</v>
      </c>
      <c r="B61" s="18">
        <v>1.24E-2</v>
      </c>
    </row>
    <row r="62" spans="1:2" x14ac:dyDescent="0.25">
      <c r="A62" s="18">
        <v>80</v>
      </c>
      <c r="B62" s="18">
        <v>1.3299999999999999E-2</v>
      </c>
    </row>
    <row r="63" spans="1:2" x14ac:dyDescent="0.25">
      <c r="A63" s="18">
        <v>80.5</v>
      </c>
      <c r="B63" s="18">
        <v>1.3899999999999999E-2</v>
      </c>
    </row>
    <row r="64" spans="1:2" x14ac:dyDescent="0.25">
      <c r="A64" s="18">
        <v>81</v>
      </c>
      <c r="B64" s="18">
        <v>1.49E-2</v>
      </c>
    </row>
    <row r="65" spans="1:2" x14ac:dyDescent="0.25">
      <c r="A65" s="18">
        <v>81.5</v>
      </c>
      <c r="B65" s="18">
        <v>1.5599999999999999E-2</v>
      </c>
    </row>
    <row r="66" spans="1:2" x14ac:dyDescent="0.25">
      <c r="A66" s="18">
        <v>82</v>
      </c>
      <c r="B66" s="18">
        <v>1.6500000000000001E-2</v>
      </c>
    </row>
    <row r="67" spans="1:2" x14ac:dyDescent="0.25">
      <c r="A67" s="18">
        <v>82.5</v>
      </c>
      <c r="B67" s="18">
        <v>1.7299999999999999E-2</v>
      </c>
    </row>
    <row r="68" spans="1:2" x14ac:dyDescent="0.25">
      <c r="A68" s="18">
        <v>83</v>
      </c>
      <c r="B68" s="18">
        <v>1.8200000000000001E-2</v>
      </c>
    </row>
    <row r="69" spans="1:2" x14ac:dyDescent="0.25">
      <c r="A69" s="18">
        <v>83.5</v>
      </c>
      <c r="B69" s="18">
        <v>1.89E-2</v>
      </c>
    </row>
    <row r="70" spans="1:2" x14ac:dyDescent="0.25">
      <c r="A70" s="18">
        <v>84</v>
      </c>
      <c r="B70" s="18">
        <v>1.9599999999999999E-2</v>
      </c>
    </row>
    <row r="71" spans="1:2" x14ac:dyDescent="0.25">
      <c r="A71" s="18">
        <v>84.5</v>
      </c>
      <c r="B71" s="18">
        <v>2.06E-2</v>
      </c>
    </row>
    <row r="72" spans="1:2" x14ac:dyDescent="0.25">
      <c r="A72" s="18">
        <v>85</v>
      </c>
      <c r="B72" s="18">
        <v>2.1399999999999999E-2</v>
      </c>
    </row>
    <row r="73" spans="1:2" x14ac:dyDescent="0.25">
      <c r="A73" s="18">
        <v>85.5</v>
      </c>
      <c r="B73" s="18">
        <v>2.2200000000000001E-2</v>
      </c>
    </row>
    <row r="74" spans="1:2" x14ac:dyDescent="0.25">
      <c r="A74" s="18">
        <v>86</v>
      </c>
      <c r="B74" s="18">
        <v>2.2800000000000001E-2</v>
      </c>
    </row>
    <row r="75" spans="1:2" x14ac:dyDescent="0.25">
      <c r="A75" s="18">
        <v>86.5</v>
      </c>
      <c r="B75" s="18">
        <v>2.35E-2</v>
      </c>
    </row>
    <row r="76" spans="1:2" x14ac:dyDescent="0.25">
      <c r="A76" s="18">
        <v>87</v>
      </c>
      <c r="B76" s="18">
        <v>2.4299999999999999E-2</v>
      </c>
    </row>
    <row r="77" spans="1:2" x14ac:dyDescent="0.25">
      <c r="A77" s="18">
        <v>87.5</v>
      </c>
      <c r="B77" s="18">
        <v>2.4899999999999999E-2</v>
      </c>
    </row>
    <row r="78" spans="1:2" x14ac:dyDescent="0.25">
      <c r="A78" s="18">
        <v>88</v>
      </c>
      <c r="B78" s="18">
        <v>2.52E-2</v>
      </c>
    </row>
    <row r="79" spans="1:2" x14ac:dyDescent="0.25">
      <c r="A79" s="18">
        <v>88.5</v>
      </c>
      <c r="B79" s="18">
        <v>2.5600000000000001E-2</v>
      </c>
    </row>
    <row r="80" spans="1:2" x14ac:dyDescent="0.25">
      <c r="A80" s="18">
        <v>89</v>
      </c>
      <c r="B80" s="18">
        <v>2.5899999999999999E-2</v>
      </c>
    </row>
    <row r="81" spans="1:2" x14ac:dyDescent="0.25">
      <c r="A81" s="18">
        <v>89.5</v>
      </c>
      <c r="B81" s="18">
        <v>2.63E-2</v>
      </c>
    </row>
    <row r="82" spans="1:2" x14ac:dyDescent="0.25">
      <c r="A82" s="18">
        <v>90</v>
      </c>
      <c r="B82" s="18">
        <v>2.6700000000000002E-2</v>
      </c>
    </row>
    <row r="83" spans="1:2" x14ac:dyDescent="0.25">
      <c r="A83" s="18">
        <v>90.5</v>
      </c>
      <c r="B83" s="18">
        <v>2.69E-2</v>
      </c>
    </row>
    <row r="84" spans="1:2" x14ac:dyDescent="0.25">
      <c r="A84" s="18">
        <v>91</v>
      </c>
      <c r="B84" s="18">
        <v>2.7E-2</v>
      </c>
    </row>
    <row r="85" spans="1:2" x14ac:dyDescent="0.25">
      <c r="A85" s="18">
        <v>91.5</v>
      </c>
      <c r="B85" s="18">
        <v>2.7E-2</v>
      </c>
    </row>
    <row r="86" spans="1:2" x14ac:dyDescent="0.25">
      <c r="A86" s="18">
        <v>92</v>
      </c>
      <c r="B86" s="18">
        <v>2.7099999999999999E-2</v>
      </c>
    </row>
    <row r="87" spans="1:2" x14ac:dyDescent="0.25">
      <c r="A87" s="18">
        <v>92.5</v>
      </c>
      <c r="B87" s="18">
        <v>2.69E-2</v>
      </c>
    </row>
    <row r="88" spans="1:2" x14ac:dyDescent="0.25">
      <c r="A88" s="18">
        <v>93</v>
      </c>
      <c r="B88" s="18">
        <v>2.6599999999999999E-2</v>
      </c>
    </row>
    <row r="89" spans="1:2" x14ac:dyDescent="0.25">
      <c r="A89" s="18">
        <v>93.5</v>
      </c>
      <c r="B89" s="18">
        <v>2.5999999999999999E-2</v>
      </c>
    </row>
    <row r="90" spans="1:2" x14ac:dyDescent="0.25">
      <c r="A90" s="18">
        <v>94</v>
      </c>
      <c r="B90" s="18">
        <v>2.5700000000000001E-2</v>
      </c>
    </row>
    <row r="91" spans="1:2" x14ac:dyDescent="0.25">
      <c r="A91" s="18">
        <v>94.5</v>
      </c>
      <c r="B91" s="18">
        <v>2.4799999999999999E-2</v>
      </c>
    </row>
    <row r="92" spans="1:2" x14ac:dyDescent="0.25">
      <c r="A92" s="18">
        <v>95</v>
      </c>
      <c r="B92" s="18">
        <v>2.3800000000000002E-2</v>
      </c>
    </row>
    <row r="93" spans="1:2" x14ac:dyDescent="0.25">
      <c r="A93" s="18">
        <v>95.5</v>
      </c>
      <c r="B93" s="18">
        <v>2.2800000000000001E-2</v>
      </c>
    </row>
    <row r="94" spans="1:2" x14ac:dyDescent="0.25">
      <c r="A94" s="18">
        <v>96</v>
      </c>
      <c r="B94" s="18">
        <v>2.1600000000000001E-2</v>
      </c>
    </row>
    <row r="95" spans="1:2" x14ac:dyDescent="0.25">
      <c r="A95" s="18">
        <v>96.5</v>
      </c>
      <c r="B95" s="18">
        <v>0.02</v>
      </c>
    </row>
    <row r="96" spans="1:2" x14ac:dyDescent="0.25">
      <c r="A96" s="18">
        <v>97</v>
      </c>
      <c r="B96" s="18">
        <v>1.84E-2</v>
      </c>
    </row>
    <row r="97" spans="1:2" x14ac:dyDescent="0.25">
      <c r="A97" s="18">
        <v>97.5</v>
      </c>
      <c r="B97" s="18">
        <v>1.6299999999999999E-2</v>
      </c>
    </row>
    <row r="98" spans="1:2" x14ac:dyDescent="0.25">
      <c r="A98" s="18">
        <v>98</v>
      </c>
      <c r="B98" s="18">
        <v>1.4200000000000001E-2</v>
      </c>
    </row>
    <row r="99" spans="1:2" x14ac:dyDescent="0.25">
      <c r="A99" s="18">
        <v>98.5</v>
      </c>
      <c r="B99" s="18">
        <v>1.1599999999999999E-2</v>
      </c>
    </row>
    <row r="100" spans="1:2" x14ac:dyDescent="0.25">
      <c r="A100" s="18">
        <v>99</v>
      </c>
      <c r="B100" s="18">
        <v>8.7299999999999999E-3</v>
      </c>
    </row>
    <row r="101" spans="1:2" x14ac:dyDescent="0.25">
      <c r="A101" s="18">
        <v>99.5</v>
      </c>
      <c r="B101" s="18">
        <v>5.0299999999999997E-3</v>
      </c>
    </row>
    <row r="102" spans="1:2" x14ac:dyDescent="0.25">
      <c r="A102" s="18">
        <v>100</v>
      </c>
      <c r="B102" s="18">
        <v>1.1999999999999999E-3</v>
      </c>
    </row>
    <row r="103" spans="1:2" x14ac:dyDescent="0.25">
      <c r="A103" s="18">
        <v>101</v>
      </c>
      <c r="B103" s="18">
        <v>1.7600000000000001E-5</v>
      </c>
    </row>
    <row r="104" spans="1:2" x14ac:dyDescent="0.25">
      <c r="A104" s="18">
        <v>101</v>
      </c>
      <c r="B104" s="18">
        <v>9.95E-7</v>
      </c>
    </row>
    <row r="105" spans="1:2" x14ac:dyDescent="0.25">
      <c r="A105" s="18">
        <v>102</v>
      </c>
      <c r="B105" s="18">
        <v>2.8499999999999998E-6</v>
      </c>
    </row>
    <row r="106" spans="1:2" x14ac:dyDescent="0.25">
      <c r="A106" s="18">
        <v>102</v>
      </c>
      <c r="B106" s="18">
        <v>1.31E-6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B17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40</v>
      </c>
      <c r="B2" s="18">
        <v>2.76E-5</v>
      </c>
    </row>
    <row r="3" spans="1:2" x14ac:dyDescent="0.25">
      <c r="A3" s="18">
        <v>40.5</v>
      </c>
      <c r="B3" s="18">
        <v>3.9700000000000003E-5</v>
      </c>
    </row>
    <row r="4" spans="1:2" x14ac:dyDescent="0.25">
      <c r="A4" s="18">
        <v>41</v>
      </c>
      <c r="B4" s="18">
        <v>2.34E-5</v>
      </c>
    </row>
    <row r="5" spans="1:2" x14ac:dyDescent="0.25">
      <c r="A5" s="18">
        <v>41.5</v>
      </c>
      <c r="B5" s="18">
        <v>3.3399999999999999E-5</v>
      </c>
    </row>
    <row r="6" spans="1:2" x14ac:dyDescent="0.25">
      <c r="A6" s="18">
        <v>42</v>
      </c>
      <c r="B6" s="18">
        <v>2.7800000000000001E-5</v>
      </c>
    </row>
    <row r="7" spans="1:2" x14ac:dyDescent="0.25">
      <c r="A7" s="18">
        <v>42.5</v>
      </c>
      <c r="B7" s="18">
        <v>3.4999999999999997E-5</v>
      </c>
    </row>
    <row r="8" spans="1:2" x14ac:dyDescent="0.25">
      <c r="A8" s="18">
        <v>43</v>
      </c>
      <c r="B8" s="18">
        <v>1.47E-5</v>
      </c>
    </row>
    <row r="9" spans="1:2" x14ac:dyDescent="0.25">
      <c r="A9" s="18">
        <v>43.5</v>
      </c>
      <c r="B9" s="18">
        <v>2.0999999999999999E-5</v>
      </c>
    </row>
    <row r="10" spans="1:2" x14ac:dyDescent="0.25">
      <c r="A10" s="18">
        <v>44</v>
      </c>
      <c r="B10" s="18">
        <v>3.2499999999999997E-5</v>
      </c>
    </row>
    <row r="11" spans="1:2" x14ac:dyDescent="0.25">
      <c r="A11" s="18">
        <v>44.5</v>
      </c>
      <c r="B11" s="18">
        <v>1.26E-5</v>
      </c>
    </row>
    <row r="12" spans="1:2" x14ac:dyDescent="0.25">
      <c r="A12" s="18">
        <v>45</v>
      </c>
      <c r="B12" s="18">
        <v>1.6799999999999998E-5</v>
      </c>
    </row>
    <row r="13" spans="1:2" x14ac:dyDescent="0.25">
      <c r="A13" s="18">
        <v>45.5</v>
      </c>
      <c r="B13" s="18">
        <v>2.7900000000000001E-5</v>
      </c>
    </row>
    <row r="14" spans="1:2" x14ac:dyDescent="0.25">
      <c r="A14" s="18">
        <v>46</v>
      </c>
      <c r="B14" s="18">
        <v>3.1999999999999999E-5</v>
      </c>
    </row>
    <row r="15" spans="1:2" x14ac:dyDescent="0.25">
      <c r="A15" s="18">
        <v>46.5</v>
      </c>
      <c r="B15" s="18">
        <v>1.2799999999999999E-5</v>
      </c>
    </row>
    <row r="16" spans="1:2" x14ac:dyDescent="0.25">
      <c r="A16" s="18">
        <v>47</v>
      </c>
      <c r="B16" s="18">
        <v>1.33E-5</v>
      </c>
    </row>
    <row r="17" spans="1:2" x14ac:dyDescent="0.25">
      <c r="A17" s="18">
        <v>47.5</v>
      </c>
      <c r="B17" s="18">
        <v>1.36E-5</v>
      </c>
    </row>
    <row r="18" spans="1:2" x14ac:dyDescent="0.25">
      <c r="A18" s="18">
        <v>48</v>
      </c>
      <c r="B18" s="18">
        <v>2.2500000000000001E-5</v>
      </c>
    </row>
    <row r="19" spans="1:2" x14ac:dyDescent="0.25">
      <c r="A19" s="18">
        <v>48.5</v>
      </c>
      <c r="B19" s="18">
        <v>1.08E-5</v>
      </c>
    </row>
    <row r="20" spans="1:2" x14ac:dyDescent="0.25">
      <c r="A20" s="18">
        <v>49</v>
      </c>
      <c r="B20" s="18">
        <v>8.0499999999999992E-6</v>
      </c>
    </row>
    <row r="21" spans="1:2" x14ac:dyDescent="0.25">
      <c r="A21" s="18">
        <v>49.5</v>
      </c>
      <c r="B21" s="18">
        <v>1.8099999999999999E-5</v>
      </c>
    </row>
    <row r="22" spans="1:2" x14ac:dyDescent="0.25">
      <c r="A22" s="18">
        <v>50</v>
      </c>
      <c r="B22" s="18">
        <v>1.0699999999999999E-5</v>
      </c>
    </row>
    <row r="23" spans="1:2" x14ac:dyDescent="0.25">
      <c r="A23" s="18">
        <v>50.5</v>
      </c>
      <c r="B23" s="18">
        <v>1.9899999999999999E-5</v>
      </c>
    </row>
    <row r="24" spans="1:2" x14ac:dyDescent="0.25">
      <c r="A24" s="18">
        <v>51</v>
      </c>
      <c r="B24" s="18">
        <v>1.5800000000000001E-5</v>
      </c>
    </row>
    <row r="25" spans="1:2" x14ac:dyDescent="0.25">
      <c r="A25" s="18">
        <v>51.5</v>
      </c>
      <c r="B25" s="18">
        <v>1.7600000000000001E-5</v>
      </c>
    </row>
    <row r="26" spans="1:2" x14ac:dyDescent="0.25">
      <c r="A26" s="18">
        <v>52</v>
      </c>
      <c r="B26" s="18">
        <v>1.3499999999999999E-5</v>
      </c>
    </row>
    <row r="27" spans="1:2" x14ac:dyDescent="0.25">
      <c r="A27" s="18">
        <v>52.5</v>
      </c>
      <c r="B27" s="18">
        <v>1.5299999999999999E-5</v>
      </c>
    </row>
    <row r="28" spans="1:2" x14ac:dyDescent="0.25">
      <c r="A28" s="18">
        <v>53</v>
      </c>
      <c r="B28" s="18">
        <v>1.38E-5</v>
      </c>
    </row>
    <row r="29" spans="1:2" x14ac:dyDescent="0.25">
      <c r="A29" s="18">
        <v>53.5</v>
      </c>
      <c r="B29" s="18">
        <v>9.0699999999999996E-6</v>
      </c>
    </row>
    <row r="30" spans="1:2" x14ac:dyDescent="0.25">
      <c r="A30" s="18">
        <v>54</v>
      </c>
      <c r="B30" s="18">
        <v>1.34E-5</v>
      </c>
    </row>
    <row r="31" spans="1:2" x14ac:dyDescent="0.25">
      <c r="A31" s="18">
        <v>54.5</v>
      </c>
      <c r="B31" s="18">
        <v>9.5899999999999997E-6</v>
      </c>
    </row>
    <row r="32" spans="1:2" x14ac:dyDescent="0.25">
      <c r="A32" s="18">
        <v>55</v>
      </c>
      <c r="B32" s="18">
        <v>2.3600000000000001E-5</v>
      </c>
    </row>
    <row r="33" spans="1:2" x14ac:dyDescent="0.25">
      <c r="A33" s="18">
        <v>55.5</v>
      </c>
      <c r="B33" s="18">
        <v>3.6899999999999998E-6</v>
      </c>
    </row>
    <row r="34" spans="1:2" x14ac:dyDescent="0.25">
      <c r="A34" s="18">
        <v>56</v>
      </c>
      <c r="B34" s="18">
        <v>8.9500000000000007E-6</v>
      </c>
    </row>
    <row r="35" spans="1:2" x14ac:dyDescent="0.25">
      <c r="A35" s="18">
        <v>56.5</v>
      </c>
      <c r="B35" s="18">
        <v>1.13E-5</v>
      </c>
    </row>
    <row r="36" spans="1:2" x14ac:dyDescent="0.25">
      <c r="A36" s="18">
        <v>57</v>
      </c>
      <c r="B36" s="18">
        <v>1.2500000000000001E-5</v>
      </c>
    </row>
    <row r="37" spans="1:2" x14ac:dyDescent="0.25">
      <c r="A37" s="18">
        <v>57.5</v>
      </c>
      <c r="B37" s="18">
        <v>1.45E-5</v>
      </c>
    </row>
    <row r="38" spans="1:2" x14ac:dyDescent="0.25">
      <c r="A38" s="18">
        <v>58</v>
      </c>
      <c r="B38" s="18">
        <v>1.1399999999999999E-5</v>
      </c>
    </row>
    <row r="39" spans="1:2" x14ac:dyDescent="0.25">
      <c r="A39" s="18">
        <v>58.5</v>
      </c>
      <c r="B39" s="18">
        <v>8.2400000000000007E-6</v>
      </c>
    </row>
    <row r="40" spans="1:2" x14ac:dyDescent="0.25">
      <c r="A40" s="18">
        <v>59</v>
      </c>
      <c r="B40" s="18">
        <v>1.5400000000000002E-5</v>
      </c>
    </row>
    <row r="41" spans="1:2" x14ac:dyDescent="0.25">
      <c r="A41" s="18">
        <v>59.5</v>
      </c>
      <c r="B41" s="18">
        <v>9.1099999999999992E-6</v>
      </c>
    </row>
    <row r="42" spans="1:2" x14ac:dyDescent="0.25">
      <c r="A42" s="18">
        <v>60</v>
      </c>
      <c r="B42" s="18">
        <v>1.6399999999999999E-5</v>
      </c>
    </row>
    <row r="43" spans="1:2" x14ac:dyDescent="0.25">
      <c r="A43" s="18">
        <v>60.5</v>
      </c>
      <c r="B43" s="18">
        <v>1.2799999999999999E-5</v>
      </c>
    </row>
    <row r="44" spans="1:2" x14ac:dyDescent="0.25">
      <c r="A44" s="18">
        <v>61</v>
      </c>
      <c r="B44" s="18">
        <v>1.8499999999999999E-5</v>
      </c>
    </row>
    <row r="45" spans="1:2" x14ac:dyDescent="0.25">
      <c r="A45" s="18">
        <v>61.5</v>
      </c>
      <c r="B45" s="18">
        <v>1.0000000000000001E-5</v>
      </c>
    </row>
    <row r="46" spans="1:2" x14ac:dyDescent="0.25">
      <c r="A46" s="18">
        <v>62</v>
      </c>
      <c r="B46" s="18">
        <v>2.1299999999999999E-5</v>
      </c>
    </row>
    <row r="47" spans="1:2" x14ac:dyDescent="0.25">
      <c r="A47" s="18">
        <v>62.5</v>
      </c>
      <c r="B47" s="18">
        <v>1.49E-5</v>
      </c>
    </row>
    <row r="48" spans="1:2" x14ac:dyDescent="0.25">
      <c r="A48" s="18">
        <v>63</v>
      </c>
      <c r="B48" s="18">
        <v>1.59E-5</v>
      </c>
    </row>
    <row r="49" spans="1:2" x14ac:dyDescent="0.25">
      <c r="A49" s="18">
        <v>63.5</v>
      </c>
      <c r="B49" s="18">
        <v>7.9200000000000004E-6</v>
      </c>
    </row>
    <row r="50" spans="1:2" x14ac:dyDescent="0.25">
      <c r="A50" s="18">
        <v>64</v>
      </c>
      <c r="B50" s="18">
        <v>1.4E-5</v>
      </c>
    </row>
    <row r="51" spans="1:2" x14ac:dyDescent="0.25">
      <c r="A51" s="18">
        <v>64.5</v>
      </c>
      <c r="B51" s="18">
        <v>9.8099999999999992E-6</v>
      </c>
    </row>
    <row r="52" spans="1:2" x14ac:dyDescent="0.25">
      <c r="A52" s="18">
        <v>65</v>
      </c>
      <c r="B52" s="18">
        <v>2.19E-5</v>
      </c>
    </row>
    <row r="53" spans="1:2" x14ac:dyDescent="0.25">
      <c r="A53" s="18">
        <v>65.5</v>
      </c>
      <c r="B53" s="18">
        <v>1.66E-5</v>
      </c>
    </row>
    <row r="54" spans="1:2" x14ac:dyDescent="0.25">
      <c r="A54" s="18">
        <v>66</v>
      </c>
      <c r="B54" s="18">
        <v>1.4800000000000001E-5</v>
      </c>
    </row>
    <row r="55" spans="1:2" x14ac:dyDescent="0.25">
      <c r="A55" s="18">
        <v>66.5</v>
      </c>
      <c r="B55" s="18">
        <v>1.26E-5</v>
      </c>
    </row>
    <row r="56" spans="1:2" x14ac:dyDescent="0.25">
      <c r="A56" s="18">
        <v>67</v>
      </c>
      <c r="B56" s="18">
        <v>2.0699999999999998E-5</v>
      </c>
    </row>
    <row r="57" spans="1:2" x14ac:dyDescent="0.25">
      <c r="A57" s="18">
        <v>67.5</v>
      </c>
      <c r="B57" s="18">
        <v>2.5700000000000001E-5</v>
      </c>
    </row>
    <row r="58" spans="1:2" x14ac:dyDescent="0.25">
      <c r="A58" s="18">
        <v>68</v>
      </c>
      <c r="B58" s="18">
        <v>1.59E-5</v>
      </c>
    </row>
    <row r="59" spans="1:2" x14ac:dyDescent="0.25">
      <c r="A59" s="18">
        <v>68.5</v>
      </c>
      <c r="B59" s="18">
        <v>1.03E-5</v>
      </c>
    </row>
    <row r="60" spans="1:2" x14ac:dyDescent="0.25">
      <c r="A60" s="18">
        <v>69</v>
      </c>
      <c r="B60" s="18">
        <v>2.5000000000000001E-5</v>
      </c>
    </row>
    <row r="61" spans="1:2" x14ac:dyDescent="0.25">
      <c r="A61" s="18">
        <v>69.5</v>
      </c>
      <c r="B61" s="18">
        <v>1.27E-5</v>
      </c>
    </row>
    <row r="62" spans="1:2" x14ac:dyDescent="0.25">
      <c r="A62" s="18">
        <v>70</v>
      </c>
      <c r="B62" s="18">
        <v>2.0000000000000002E-5</v>
      </c>
    </row>
    <row r="63" spans="1:2" x14ac:dyDescent="0.25">
      <c r="A63" s="18">
        <v>70.5</v>
      </c>
      <c r="B63" s="18">
        <v>2.12E-5</v>
      </c>
    </row>
    <row r="64" spans="1:2" x14ac:dyDescent="0.25">
      <c r="A64" s="18">
        <v>71</v>
      </c>
      <c r="B64" s="18">
        <v>1.84E-5</v>
      </c>
    </row>
    <row r="65" spans="1:2" x14ac:dyDescent="0.25">
      <c r="A65" s="18">
        <v>71.5</v>
      </c>
      <c r="B65" s="18">
        <v>2.4899999999999999E-5</v>
      </c>
    </row>
    <row r="66" spans="1:2" x14ac:dyDescent="0.25">
      <c r="A66" s="18">
        <v>72</v>
      </c>
      <c r="B66" s="18">
        <v>2.4199999999999999E-5</v>
      </c>
    </row>
    <row r="67" spans="1:2" x14ac:dyDescent="0.25">
      <c r="A67" s="18">
        <v>72.5</v>
      </c>
      <c r="B67" s="18">
        <v>4.2500000000000003E-5</v>
      </c>
    </row>
    <row r="68" spans="1:2" x14ac:dyDescent="0.25">
      <c r="A68" s="18">
        <v>73</v>
      </c>
      <c r="B68" s="18">
        <v>4.9700000000000002E-5</v>
      </c>
    </row>
    <row r="69" spans="1:2" x14ac:dyDescent="0.25">
      <c r="A69" s="18">
        <v>73.5</v>
      </c>
      <c r="B69" s="18">
        <v>2.72E-5</v>
      </c>
    </row>
    <row r="70" spans="1:2" x14ac:dyDescent="0.25">
      <c r="A70" s="18">
        <v>74</v>
      </c>
      <c r="B70" s="18">
        <v>4.5500000000000001E-5</v>
      </c>
    </row>
    <row r="71" spans="1:2" x14ac:dyDescent="0.25">
      <c r="A71" s="18">
        <v>74.5</v>
      </c>
      <c r="B71" s="18">
        <v>4.9400000000000001E-5</v>
      </c>
    </row>
    <row r="72" spans="1:2" x14ac:dyDescent="0.25">
      <c r="A72" s="18">
        <v>75</v>
      </c>
      <c r="B72" s="18">
        <v>4.8900000000000003E-5</v>
      </c>
    </row>
    <row r="73" spans="1:2" x14ac:dyDescent="0.25">
      <c r="A73" s="18">
        <v>75.5</v>
      </c>
      <c r="B73" s="18">
        <v>6.0900000000000003E-5</v>
      </c>
    </row>
    <row r="74" spans="1:2" x14ac:dyDescent="0.25">
      <c r="A74" s="18">
        <v>76</v>
      </c>
      <c r="B74" s="18">
        <v>7.6699999999999994E-5</v>
      </c>
    </row>
    <row r="75" spans="1:2" x14ac:dyDescent="0.25">
      <c r="A75" s="18">
        <v>76.5</v>
      </c>
      <c r="B75" s="18">
        <v>7.64E-5</v>
      </c>
    </row>
    <row r="76" spans="1:2" x14ac:dyDescent="0.25">
      <c r="A76" s="18">
        <v>77</v>
      </c>
      <c r="B76" s="18">
        <v>7.75E-5</v>
      </c>
    </row>
    <row r="77" spans="1:2" x14ac:dyDescent="0.25">
      <c r="A77" s="18">
        <v>77.5</v>
      </c>
      <c r="B77" s="18">
        <v>9.9300000000000001E-5</v>
      </c>
    </row>
    <row r="78" spans="1:2" x14ac:dyDescent="0.25">
      <c r="A78" s="18">
        <v>78</v>
      </c>
      <c r="B78" s="18">
        <v>1.37E-4</v>
      </c>
    </row>
    <row r="79" spans="1:2" x14ac:dyDescent="0.25">
      <c r="A79" s="18">
        <v>78.5</v>
      </c>
      <c r="B79" s="18">
        <v>1.15E-4</v>
      </c>
    </row>
    <row r="80" spans="1:2" x14ac:dyDescent="0.25">
      <c r="A80" s="18">
        <v>79</v>
      </c>
      <c r="B80" s="18">
        <v>1.5799999999999999E-4</v>
      </c>
    </row>
    <row r="81" spans="1:2" x14ac:dyDescent="0.25">
      <c r="A81" s="18">
        <v>79.5</v>
      </c>
      <c r="B81" s="18">
        <v>2.0699999999999999E-4</v>
      </c>
    </row>
    <row r="82" spans="1:2" x14ac:dyDescent="0.25">
      <c r="A82" s="18">
        <v>80</v>
      </c>
      <c r="B82" s="18">
        <v>1.9699999999999999E-4</v>
      </c>
    </row>
    <row r="83" spans="1:2" x14ac:dyDescent="0.25">
      <c r="A83" s="18">
        <v>80.5</v>
      </c>
      <c r="B83" s="18">
        <v>2.6899999999999998E-4</v>
      </c>
    </row>
    <row r="84" spans="1:2" x14ac:dyDescent="0.25">
      <c r="A84" s="18">
        <v>81</v>
      </c>
      <c r="B84" s="18">
        <v>2.8400000000000002E-4</v>
      </c>
    </row>
    <row r="85" spans="1:2" x14ac:dyDescent="0.25">
      <c r="A85" s="18">
        <v>81.5</v>
      </c>
      <c r="B85" s="18">
        <v>3.0499999999999999E-4</v>
      </c>
    </row>
    <row r="86" spans="1:2" x14ac:dyDescent="0.25">
      <c r="A86" s="18">
        <v>82</v>
      </c>
      <c r="B86" s="18">
        <v>4.2099999999999999E-4</v>
      </c>
    </row>
    <row r="87" spans="1:2" x14ac:dyDescent="0.25">
      <c r="A87" s="18">
        <v>82.5</v>
      </c>
      <c r="B87" s="18">
        <v>4.4299999999999998E-4</v>
      </c>
    </row>
    <row r="88" spans="1:2" x14ac:dyDescent="0.25">
      <c r="A88" s="18">
        <v>83</v>
      </c>
      <c r="B88" s="18">
        <v>5.2599999999999999E-4</v>
      </c>
    </row>
    <row r="89" spans="1:2" x14ac:dyDescent="0.25">
      <c r="A89" s="18">
        <v>83.5</v>
      </c>
      <c r="B89" s="18">
        <v>5.31E-4</v>
      </c>
    </row>
    <row r="90" spans="1:2" x14ac:dyDescent="0.25">
      <c r="A90" s="18">
        <v>84</v>
      </c>
      <c r="B90" s="18">
        <v>6.2799999999999998E-4</v>
      </c>
    </row>
    <row r="91" spans="1:2" x14ac:dyDescent="0.25">
      <c r="A91" s="18">
        <v>84.5</v>
      </c>
      <c r="B91" s="18">
        <v>6.9899999999999997E-4</v>
      </c>
    </row>
    <row r="92" spans="1:2" x14ac:dyDescent="0.25">
      <c r="A92" s="18">
        <v>85</v>
      </c>
      <c r="B92" s="18">
        <v>8.9899999999999995E-4</v>
      </c>
    </row>
    <row r="93" spans="1:2" x14ac:dyDescent="0.25">
      <c r="A93" s="18">
        <v>85.5</v>
      </c>
      <c r="B93" s="18">
        <v>9.5E-4</v>
      </c>
    </row>
    <row r="94" spans="1:2" x14ac:dyDescent="0.25">
      <c r="A94" s="18">
        <v>86</v>
      </c>
      <c r="B94" s="18">
        <v>1.1000000000000001E-3</v>
      </c>
    </row>
    <row r="95" spans="1:2" x14ac:dyDescent="0.25">
      <c r="A95" s="18">
        <v>86.5</v>
      </c>
      <c r="B95" s="18">
        <v>1.1900000000000001E-3</v>
      </c>
    </row>
    <row r="96" spans="1:2" x14ac:dyDescent="0.25">
      <c r="A96" s="18">
        <v>87</v>
      </c>
      <c r="B96" s="18">
        <v>1.3500000000000001E-3</v>
      </c>
    </row>
    <row r="97" spans="1:2" x14ac:dyDescent="0.25">
      <c r="A97" s="18">
        <v>87.5</v>
      </c>
      <c r="B97" s="18">
        <v>1.4300000000000001E-3</v>
      </c>
    </row>
    <row r="98" spans="1:2" x14ac:dyDescent="0.25">
      <c r="A98" s="18">
        <v>88</v>
      </c>
      <c r="B98" s="18">
        <v>1.57E-3</v>
      </c>
    </row>
    <row r="99" spans="1:2" x14ac:dyDescent="0.25">
      <c r="A99" s="18">
        <v>88.5</v>
      </c>
      <c r="B99" s="18">
        <v>1.75E-3</v>
      </c>
    </row>
    <row r="100" spans="1:2" x14ac:dyDescent="0.25">
      <c r="A100" s="18">
        <v>89</v>
      </c>
      <c r="B100" s="18">
        <v>1.9300000000000001E-3</v>
      </c>
    </row>
    <row r="101" spans="1:2" x14ac:dyDescent="0.25">
      <c r="A101" s="18">
        <v>89.5</v>
      </c>
      <c r="B101" s="18">
        <v>2.2100000000000002E-3</v>
      </c>
    </row>
    <row r="102" spans="1:2" x14ac:dyDescent="0.25">
      <c r="A102" s="18">
        <v>90</v>
      </c>
      <c r="B102" s="18">
        <v>2.31E-3</v>
      </c>
    </row>
    <row r="103" spans="1:2" x14ac:dyDescent="0.25">
      <c r="A103" s="18">
        <v>90.5</v>
      </c>
      <c r="B103" s="18">
        <v>2.6099999999999999E-3</v>
      </c>
    </row>
    <row r="104" spans="1:2" x14ac:dyDescent="0.25">
      <c r="A104" s="18">
        <v>91</v>
      </c>
      <c r="B104" s="18">
        <v>2.7799999999999999E-3</v>
      </c>
    </row>
    <row r="105" spans="1:2" x14ac:dyDescent="0.25">
      <c r="A105" s="18">
        <v>91.5</v>
      </c>
      <c r="B105" s="18">
        <v>3.0500000000000002E-3</v>
      </c>
    </row>
    <row r="106" spans="1:2" x14ac:dyDescent="0.25">
      <c r="A106" s="18">
        <v>92</v>
      </c>
      <c r="B106" s="18">
        <v>3.32E-3</v>
      </c>
    </row>
    <row r="107" spans="1:2" x14ac:dyDescent="0.25">
      <c r="A107" s="18">
        <v>92.5</v>
      </c>
      <c r="B107" s="18">
        <v>3.6600000000000001E-3</v>
      </c>
    </row>
    <row r="108" spans="1:2" x14ac:dyDescent="0.25">
      <c r="A108" s="18">
        <v>93</v>
      </c>
      <c r="B108" s="18">
        <v>3.8800000000000002E-3</v>
      </c>
    </row>
    <row r="109" spans="1:2" x14ac:dyDescent="0.25">
      <c r="A109" s="18">
        <v>93.5</v>
      </c>
      <c r="B109" s="18">
        <v>4.2500000000000003E-3</v>
      </c>
    </row>
    <row r="110" spans="1:2" x14ac:dyDescent="0.25">
      <c r="A110" s="18">
        <v>94</v>
      </c>
      <c r="B110" s="18">
        <v>4.5399999999999998E-3</v>
      </c>
    </row>
    <row r="111" spans="1:2" x14ac:dyDescent="0.25">
      <c r="A111" s="18">
        <v>94.5</v>
      </c>
      <c r="B111" s="18">
        <v>4.8300000000000001E-3</v>
      </c>
    </row>
    <row r="112" spans="1:2" x14ac:dyDescent="0.25">
      <c r="A112" s="18">
        <v>95</v>
      </c>
      <c r="B112" s="18">
        <v>5.2399999999999999E-3</v>
      </c>
    </row>
    <row r="113" spans="1:2" x14ac:dyDescent="0.25">
      <c r="A113" s="18">
        <v>95.5</v>
      </c>
      <c r="B113" s="18">
        <v>5.5799999999999999E-3</v>
      </c>
    </row>
    <row r="114" spans="1:2" x14ac:dyDescent="0.25">
      <c r="A114" s="18">
        <v>96</v>
      </c>
      <c r="B114" s="18">
        <v>5.9300000000000004E-3</v>
      </c>
    </row>
    <row r="115" spans="1:2" x14ac:dyDescent="0.25">
      <c r="A115" s="18">
        <v>96.5</v>
      </c>
      <c r="B115" s="18">
        <v>6.4099999999999999E-3</v>
      </c>
    </row>
    <row r="116" spans="1:2" x14ac:dyDescent="0.25">
      <c r="A116" s="18">
        <v>97</v>
      </c>
      <c r="B116" s="18">
        <v>6.7999999999999996E-3</v>
      </c>
    </row>
    <row r="117" spans="1:2" x14ac:dyDescent="0.25">
      <c r="A117" s="18">
        <v>97.5</v>
      </c>
      <c r="B117" s="18">
        <v>7.26E-3</v>
      </c>
    </row>
    <row r="118" spans="1:2" x14ac:dyDescent="0.25">
      <c r="A118" s="18">
        <v>98</v>
      </c>
      <c r="B118" s="18">
        <v>7.6499999999999997E-3</v>
      </c>
    </row>
    <row r="119" spans="1:2" x14ac:dyDescent="0.25">
      <c r="A119" s="18">
        <v>98.5</v>
      </c>
      <c r="B119" s="18">
        <v>8.0499999999999999E-3</v>
      </c>
    </row>
    <row r="120" spans="1:2" x14ac:dyDescent="0.25">
      <c r="A120" s="18">
        <v>99</v>
      </c>
      <c r="B120" s="18">
        <v>8.6700000000000006E-3</v>
      </c>
    </row>
    <row r="121" spans="1:2" x14ac:dyDescent="0.25">
      <c r="A121" s="18">
        <v>99.5</v>
      </c>
      <c r="B121" s="18">
        <v>9.11E-3</v>
      </c>
    </row>
    <row r="122" spans="1:2" x14ac:dyDescent="0.25">
      <c r="A122" s="18">
        <v>100</v>
      </c>
      <c r="B122" s="18">
        <v>9.5300000000000003E-3</v>
      </c>
    </row>
    <row r="123" spans="1:2" x14ac:dyDescent="0.25">
      <c r="A123" s="18">
        <v>101</v>
      </c>
      <c r="B123" s="18">
        <v>9.9799999999999993E-3</v>
      </c>
    </row>
    <row r="124" spans="1:2" x14ac:dyDescent="0.25">
      <c r="A124" s="18">
        <v>101</v>
      </c>
      <c r="B124" s="18">
        <v>1.06E-2</v>
      </c>
    </row>
    <row r="125" spans="1:2" x14ac:dyDescent="0.25">
      <c r="A125" s="18">
        <v>102</v>
      </c>
      <c r="B125" s="18">
        <v>1.0999999999999999E-2</v>
      </c>
    </row>
    <row r="126" spans="1:2" x14ac:dyDescent="0.25">
      <c r="A126" s="18">
        <v>102</v>
      </c>
      <c r="B126" s="18">
        <v>1.18E-2</v>
      </c>
    </row>
    <row r="127" spans="1:2" x14ac:dyDescent="0.25">
      <c r="A127" s="18">
        <v>103</v>
      </c>
      <c r="B127" s="18">
        <v>1.21E-2</v>
      </c>
    </row>
    <row r="128" spans="1:2" x14ac:dyDescent="0.25">
      <c r="A128" s="18">
        <v>103</v>
      </c>
      <c r="B128" s="18">
        <v>1.29E-2</v>
      </c>
    </row>
    <row r="129" spans="1:2" x14ac:dyDescent="0.25">
      <c r="A129" s="18">
        <v>104</v>
      </c>
      <c r="B129" s="18">
        <v>1.3299999999999999E-2</v>
      </c>
    </row>
    <row r="130" spans="1:2" x14ac:dyDescent="0.25">
      <c r="A130" s="18">
        <v>104</v>
      </c>
      <c r="B130" s="18">
        <v>1.43E-2</v>
      </c>
    </row>
    <row r="131" spans="1:2" x14ac:dyDescent="0.25">
      <c r="A131" s="18">
        <v>105</v>
      </c>
      <c r="B131" s="18">
        <v>1.44E-2</v>
      </c>
    </row>
    <row r="132" spans="1:2" x14ac:dyDescent="0.25">
      <c r="A132" s="18">
        <v>105</v>
      </c>
      <c r="B132" s="18">
        <v>1.5299999999999999E-2</v>
      </c>
    </row>
    <row r="133" spans="1:2" x14ac:dyDescent="0.25">
      <c r="A133" s="18">
        <v>106</v>
      </c>
      <c r="B133" s="18">
        <v>1.5699999999999999E-2</v>
      </c>
    </row>
    <row r="134" spans="1:2" x14ac:dyDescent="0.25">
      <c r="A134" s="18">
        <v>106</v>
      </c>
      <c r="B134" s="18">
        <v>1.61E-2</v>
      </c>
    </row>
    <row r="135" spans="1:2" x14ac:dyDescent="0.25">
      <c r="A135" s="18">
        <v>107</v>
      </c>
      <c r="B135" s="18">
        <v>1.6899999999999998E-2</v>
      </c>
    </row>
    <row r="136" spans="1:2" x14ac:dyDescent="0.25">
      <c r="A136" s="18">
        <v>107</v>
      </c>
      <c r="B136" s="18">
        <v>1.7399999999999999E-2</v>
      </c>
    </row>
    <row r="137" spans="1:2" x14ac:dyDescent="0.25">
      <c r="A137" s="18">
        <v>108</v>
      </c>
      <c r="B137" s="18">
        <v>1.7999999999999999E-2</v>
      </c>
    </row>
    <row r="138" spans="1:2" x14ac:dyDescent="0.25">
      <c r="A138" s="18">
        <v>108</v>
      </c>
      <c r="B138" s="18">
        <v>1.89E-2</v>
      </c>
    </row>
    <row r="139" spans="1:2" x14ac:dyDescent="0.25">
      <c r="A139" s="18">
        <v>109</v>
      </c>
      <c r="B139" s="18">
        <v>1.9300000000000001E-2</v>
      </c>
    </row>
    <row r="140" spans="1:2" x14ac:dyDescent="0.25">
      <c r="A140" s="18">
        <v>109</v>
      </c>
      <c r="B140" s="18">
        <v>1.9699999999999999E-2</v>
      </c>
    </row>
    <row r="141" spans="1:2" x14ac:dyDescent="0.25">
      <c r="A141" s="18">
        <v>110</v>
      </c>
      <c r="B141" s="18">
        <v>0.02</v>
      </c>
    </row>
    <row r="142" spans="1:2" x14ac:dyDescent="0.25">
      <c r="A142" s="18">
        <v>110</v>
      </c>
      <c r="B142" s="18">
        <v>2.06E-2</v>
      </c>
    </row>
    <row r="143" spans="1:2" x14ac:dyDescent="0.25">
      <c r="A143" s="18">
        <v>111</v>
      </c>
      <c r="B143" s="18">
        <v>2.1000000000000001E-2</v>
      </c>
    </row>
    <row r="144" spans="1:2" x14ac:dyDescent="0.25">
      <c r="A144" s="18">
        <v>111</v>
      </c>
      <c r="B144" s="18">
        <v>2.1299999999999999E-2</v>
      </c>
    </row>
    <row r="145" spans="1:2" x14ac:dyDescent="0.25">
      <c r="A145" s="18">
        <v>112</v>
      </c>
      <c r="B145" s="18">
        <v>2.1899999999999999E-2</v>
      </c>
    </row>
    <row r="146" spans="1:2" x14ac:dyDescent="0.25">
      <c r="A146" s="18">
        <v>112</v>
      </c>
      <c r="B146" s="18">
        <v>2.2100000000000002E-2</v>
      </c>
    </row>
    <row r="147" spans="1:2" x14ac:dyDescent="0.25">
      <c r="A147" s="18">
        <v>113</v>
      </c>
      <c r="B147" s="18">
        <v>2.23E-2</v>
      </c>
    </row>
    <row r="148" spans="1:2" x14ac:dyDescent="0.25">
      <c r="A148" s="18">
        <v>113</v>
      </c>
      <c r="B148" s="18">
        <v>2.2800000000000001E-2</v>
      </c>
    </row>
    <row r="149" spans="1:2" x14ac:dyDescent="0.25">
      <c r="A149" s="18">
        <v>114</v>
      </c>
      <c r="B149" s="18">
        <v>2.29E-2</v>
      </c>
    </row>
    <row r="150" spans="1:2" x14ac:dyDescent="0.25">
      <c r="A150" s="18">
        <v>114</v>
      </c>
      <c r="B150" s="18">
        <v>2.3099999999999999E-2</v>
      </c>
    </row>
    <row r="151" spans="1:2" x14ac:dyDescent="0.25">
      <c r="A151" s="18">
        <v>115</v>
      </c>
      <c r="B151" s="18">
        <v>2.2800000000000001E-2</v>
      </c>
    </row>
    <row r="152" spans="1:2" x14ac:dyDescent="0.25">
      <c r="A152" s="18">
        <v>115</v>
      </c>
      <c r="B152" s="18">
        <v>2.3599999999999999E-2</v>
      </c>
    </row>
    <row r="153" spans="1:2" x14ac:dyDescent="0.25">
      <c r="A153" s="18">
        <v>116</v>
      </c>
      <c r="B153" s="18">
        <v>2.3400000000000001E-2</v>
      </c>
    </row>
    <row r="154" spans="1:2" x14ac:dyDescent="0.25">
      <c r="A154" s="18">
        <v>116</v>
      </c>
      <c r="B154" s="18">
        <v>2.3099999999999999E-2</v>
      </c>
    </row>
    <row r="155" spans="1:2" x14ac:dyDescent="0.25">
      <c r="A155" s="18">
        <v>117</v>
      </c>
      <c r="B155" s="18">
        <v>2.29E-2</v>
      </c>
    </row>
    <row r="156" spans="1:2" x14ac:dyDescent="0.25">
      <c r="A156" s="18">
        <v>117</v>
      </c>
      <c r="B156" s="18">
        <v>2.24E-2</v>
      </c>
    </row>
    <row r="157" spans="1:2" x14ac:dyDescent="0.25">
      <c r="A157" s="18">
        <v>118</v>
      </c>
      <c r="B157" s="18">
        <v>2.23E-2</v>
      </c>
    </row>
    <row r="158" spans="1:2" x14ac:dyDescent="0.25">
      <c r="A158" s="18">
        <v>118</v>
      </c>
      <c r="B158" s="18">
        <v>2.18E-2</v>
      </c>
    </row>
    <row r="159" spans="1:2" x14ac:dyDescent="0.25">
      <c r="A159" s="18">
        <v>119</v>
      </c>
      <c r="B159" s="18">
        <v>2.12E-2</v>
      </c>
    </row>
    <row r="160" spans="1:2" x14ac:dyDescent="0.25">
      <c r="A160" s="18">
        <v>119</v>
      </c>
      <c r="B160" s="18">
        <v>2.0799999999999999E-2</v>
      </c>
    </row>
    <row r="161" spans="1:2" x14ac:dyDescent="0.25">
      <c r="A161" s="18">
        <v>120</v>
      </c>
      <c r="B161" s="18">
        <v>2.01E-2</v>
      </c>
    </row>
    <row r="162" spans="1:2" x14ac:dyDescent="0.25">
      <c r="A162" s="18">
        <v>120</v>
      </c>
      <c r="B162" s="18">
        <v>1.9099999999999999E-2</v>
      </c>
    </row>
    <row r="163" spans="1:2" x14ac:dyDescent="0.25">
      <c r="A163" s="18">
        <v>121</v>
      </c>
      <c r="B163" s="18">
        <v>1.7999999999999999E-2</v>
      </c>
    </row>
    <row r="164" spans="1:2" x14ac:dyDescent="0.25">
      <c r="A164" s="18">
        <v>121</v>
      </c>
      <c r="B164" s="18">
        <v>1.7000000000000001E-2</v>
      </c>
    </row>
    <row r="165" spans="1:2" x14ac:dyDescent="0.25">
      <c r="A165" s="18">
        <v>122</v>
      </c>
      <c r="B165" s="18">
        <v>1.5900000000000001E-2</v>
      </c>
    </row>
    <row r="166" spans="1:2" x14ac:dyDescent="0.25">
      <c r="A166" s="18">
        <v>122</v>
      </c>
      <c r="B166" s="18">
        <v>1.46E-2</v>
      </c>
    </row>
    <row r="167" spans="1:2" x14ac:dyDescent="0.25">
      <c r="A167" s="18">
        <v>123</v>
      </c>
      <c r="B167" s="18">
        <v>1.2999999999999999E-2</v>
      </c>
    </row>
    <row r="168" spans="1:2" x14ac:dyDescent="0.25">
      <c r="A168" s="18">
        <v>123</v>
      </c>
      <c r="B168" s="18">
        <v>1.1299999999999999E-2</v>
      </c>
    </row>
    <row r="169" spans="1:2" x14ac:dyDescent="0.25">
      <c r="A169" s="18">
        <v>124</v>
      </c>
      <c r="B169" s="18">
        <v>9.4299999999999991E-3</v>
      </c>
    </row>
    <row r="170" spans="1:2" x14ac:dyDescent="0.25">
      <c r="A170" s="18">
        <v>124</v>
      </c>
      <c r="B170" s="18">
        <v>7.3400000000000002E-3</v>
      </c>
    </row>
    <row r="171" spans="1:2" x14ac:dyDescent="0.25">
      <c r="A171" s="18">
        <v>125</v>
      </c>
      <c r="B171" s="18">
        <v>4.9199999999999999E-3</v>
      </c>
    </row>
    <row r="172" spans="1:2" x14ac:dyDescent="0.25">
      <c r="A172" s="18">
        <v>125</v>
      </c>
      <c r="B172" s="18">
        <v>2.2100000000000002E-3</v>
      </c>
    </row>
    <row r="173" spans="1:2" x14ac:dyDescent="0.25">
      <c r="A173" s="18">
        <v>126</v>
      </c>
      <c r="B173" s="18">
        <v>3.0600000000000001E-4</v>
      </c>
    </row>
    <row r="174" spans="1:2" x14ac:dyDescent="0.25">
      <c r="A174" s="18">
        <v>126</v>
      </c>
      <c r="B174" s="18">
        <v>2.1999999999999999E-5</v>
      </c>
    </row>
    <row r="175" spans="1:2" x14ac:dyDescent="0.25">
      <c r="A175" s="18">
        <v>127</v>
      </c>
      <c r="B175" s="18">
        <v>3.49E-6</v>
      </c>
    </row>
    <row r="176" spans="1:2" x14ac:dyDescent="0.25">
      <c r="A176" s="18">
        <v>127</v>
      </c>
      <c r="B176" s="18">
        <v>2.36E-8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B13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40</v>
      </c>
      <c r="B2" s="18">
        <v>4.2299999999999998E-5</v>
      </c>
    </row>
    <row r="3" spans="1:2" x14ac:dyDescent="0.25">
      <c r="A3" s="18">
        <v>41</v>
      </c>
      <c r="B3" s="18">
        <v>8.0199999999999998E-5</v>
      </c>
    </row>
    <row r="4" spans="1:2" x14ac:dyDescent="0.25">
      <c r="A4" s="18">
        <v>42</v>
      </c>
      <c r="B4" s="18">
        <v>5.1600000000000001E-5</v>
      </c>
    </row>
    <row r="5" spans="1:2" x14ac:dyDescent="0.25">
      <c r="A5" s="18">
        <v>43</v>
      </c>
      <c r="B5" s="18">
        <v>6.6199999999999996E-5</v>
      </c>
    </row>
    <row r="6" spans="1:2" x14ac:dyDescent="0.25">
      <c r="A6" s="18">
        <v>44</v>
      </c>
      <c r="B6" s="18">
        <v>6.9300000000000004E-5</v>
      </c>
    </row>
    <row r="7" spans="1:2" x14ac:dyDescent="0.25">
      <c r="A7" s="18">
        <v>45</v>
      </c>
      <c r="B7" s="18">
        <v>9.4900000000000003E-5</v>
      </c>
    </row>
    <row r="8" spans="1:2" x14ac:dyDescent="0.25">
      <c r="A8" s="18">
        <v>46</v>
      </c>
      <c r="B8" s="18">
        <v>8.1600000000000005E-5</v>
      </c>
    </row>
    <row r="9" spans="1:2" x14ac:dyDescent="0.25">
      <c r="A9" s="18">
        <v>47</v>
      </c>
      <c r="B9" s="18">
        <v>6.2700000000000006E-5</v>
      </c>
    </row>
    <row r="10" spans="1:2" x14ac:dyDescent="0.25">
      <c r="A10" s="18">
        <v>48</v>
      </c>
      <c r="B10" s="18">
        <v>6.8100000000000002E-5</v>
      </c>
    </row>
    <row r="11" spans="1:2" x14ac:dyDescent="0.25">
      <c r="A11" s="18">
        <v>49</v>
      </c>
      <c r="B11" s="18">
        <v>1.0900000000000001E-4</v>
      </c>
    </row>
    <row r="12" spans="1:2" x14ac:dyDescent="0.25">
      <c r="A12" s="18">
        <v>50</v>
      </c>
      <c r="B12" s="18">
        <v>4.7700000000000001E-5</v>
      </c>
    </row>
    <row r="13" spans="1:2" x14ac:dyDescent="0.25">
      <c r="A13" s="18">
        <v>51</v>
      </c>
      <c r="B13" s="18">
        <v>1.12E-4</v>
      </c>
    </row>
    <row r="14" spans="1:2" x14ac:dyDescent="0.25">
      <c r="A14" s="18">
        <v>52</v>
      </c>
      <c r="B14" s="18">
        <v>6.5599999999999995E-5</v>
      </c>
    </row>
    <row r="15" spans="1:2" x14ac:dyDescent="0.25">
      <c r="A15" s="18">
        <v>53</v>
      </c>
      <c r="B15" s="18">
        <v>5.24E-5</v>
      </c>
    </row>
    <row r="16" spans="1:2" x14ac:dyDescent="0.25">
      <c r="A16" s="18">
        <v>54</v>
      </c>
      <c r="B16" s="18">
        <v>1.16E-4</v>
      </c>
    </row>
    <row r="17" spans="1:2" x14ac:dyDescent="0.25">
      <c r="A17" s="18">
        <v>55</v>
      </c>
      <c r="B17" s="18">
        <v>1.03E-4</v>
      </c>
    </row>
    <row r="18" spans="1:2" x14ac:dyDescent="0.25">
      <c r="A18" s="18">
        <v>56</v>
      </c>
      <c r="B18" s="18">
        <v>6.0900000000000003E-5</v>
      </c>
    </row>
    <row r="19" spans="1:2" x14ac:dyDescent="0.25">
      <c r="A19" s="18">
        <v>57</v>
      </c>
      <c r="B19" s="18">
        <v>1.0399999999999999E-4</v>
      </c>
    </row>
    <row r="20" spans="1:2" x14ac:dyDescent="0.25">
      <c r="A20" s="18">
        <v>58</v>
      </c>
      <c r="B20" s="18">
        <v>9.9199999999999999E-5</v>
      </c>
    </row>
    <row r="21" spans="1:2" x14ac:dyDescent="0.25">
      <c r="A21" s="18">
        <v>59</v>
      </c>
      <c r="B21" s="18">
        <v>1.07E-4</v>
      </c>
    </row>
    <row r="22" spans="1:2" x14ac:dyDescent="0.25">
      <c r="A22" s="18">
        <v>60</v>
      </c>
      <c r="B22" s="18">
        <v>7.6500000000000003E-5</v>
      </c>
    </row>
    <row r="23" spans="1:2" x14ac:dyDescent="0.25">
      <c r="A23" s="18">
        <v>61</v>
      </c>
      <c r="B23" s="18">
        <v>6.4200000000000002E-5</v>
      </c>
    </row>
    <row r="24" spans="1:2" x14ac:dyDescent="0.25">
      <c r="A24" s="18">
        <v>62</v>
      </c>
      <c r="B24" s="18">
        <v>8.8399999999999994E-5</v>
      </c>
    </row>
    <row r="25" spans="1:2" x14ac:dyDescent="0.25">
      <c r="A25" s="18">
        <v>63</v>
      </c>
      <c r="B25" s="18">
        <v>6.3600000000000001E-5</v>
      </c>
    </row>
    <row r="26" spans="1:2" x14ac:dyDescent="0.25">
      <c r="A26" s="18">
        <v>64</v>
      </c>
      <c r="B26" s="18">
        <v>7.4300000000000004E-5</v>
      </c>
    </row>
    <row r="27" spans="1:2" x14ac:dyDescent="0.25">
      <c r="A27" s="18">
        <v>65</v>
      </c>
      <c r="B27" s="18">
        <v>6.5199999999999999E-5</v>
      </c>
    </row>
    <row r="28" spans="1:2" x14ac:dyDescent="0.25">
      <c r="A28" s="18">
        <v>66</v>
      </c>
      <c r="B28" s="18">
        <v>7.7600000000000002E-5</v>
      </c>
    </row>
    <row r="29" spans="1:2" x14ac:dyDescent="0.25">
      <c r="A29" s="18">
        <v>67</v>
      </c>
      <c r="B29" s="18">
        <v>7.4499999999999995E-5</v>
      </c>
    </row>
    <row r="30" spans="1:2" x14ac:dyDescent="0.25">
      <c r="A30" s="18">
        <v>68</v>
      </c>
      <c r="B30" s="18">
        <v>5.1499999999999998E-5</v>
      </c>
    </row>
    <row r="31" spans="1:2" x14ac:dyDescent="0.25">
      <c r="A31" s="18">
        <v>69</v>
      </c>
      <c r="B31" s="18">
        <v>8.2999999999999998E-5</v>
      </c>
    </row>
    <row r="32" spans="1:2" x14ac:dyDescent="0.25">
      <c r="A32" s="18">
        <v>70</v>
      </c>
      <c r="B32" s="18">
        <v>4.5399999999999999E-5</v>
      </c>
    </row>
    <row r="33" spans="1:2" x14ac:dyDescent="0.25">
      <c r="A33" s="18">
        <v>71</v>
      </c>
      <c r="B33" s="18">
        <v>5.7099999999999999E-5</v>
      </c>
    </row>
    <row r="34" spans="1:2" x14ac:dyDescent="0.25">
      <c r="A34" s="18">
        <v>72</v>
      </c>
      <c r="B34" s="18">
        <v>5.3699999999999997E-5</v>
      </c>
    </row>
    <row r="35" spans="1:2" x14ac:dyDescent="0.25">
      <c r="A35" s="18">
        <v>73</v>
      </c>
      <c r="B35" s="18">
        <v>8.8300000000000005E-5</v>
      </c>
    </row>
    <row r="36" spans="1:2" x14ac:dyDescent="0.25">
      <c r="A36" s="18">
        <v>74</v>
      </c>
      <c r="B36" s="18">
        <v>6.1699999999999995E-5</v>
      </c>
    </row>
    <row r="37" spans="1:2" x14ac:dyDescent="0.25">
      <c r="A37" s="18">
        <v>75</v>
      </c>
      <c r="B37" s="18">
        <v>1.3899999999999999E-4</v>
      </c>
    </row>
    <row r="38" spans="1:2" x14ac:dyDescent="0.25">
      <c r="A38" s="18">
        <v>76</v>
      </c>
      <c r="B38" s="18">
        <v>9.1700000000000006E-5</v>
      </c>
    </row>
    <row r="39" spans="1:2" x14ac:dyDescent="0.25">
      <c r="A39" s="18">
        <v>77</v>
      </c>
      <c r="B39" s="18">
        <v>9.9500000000000006E-5</v>
      </c>
    </row>
    <row r="40" spans="1:2" x14ac:dyDescent="0.25">
      <c r="A40" s="18">
        <v>78</v>
      </c>
      <c r="B40" s="18">
        <v>1.4300000000000001E-4</v>
      </c>
    </row>
    <row r="41" spans="1:2" x14ac:dyDescent="0.25">
      <c r="A41" s="18">
        <v>79</v>
      </c>
      <c r="B41" s="18">
        <v>1.65E-4</v>
      </c>
    </row>
    <row r="42" spans="1:2" x14ac:dyDescent="0.25">
      <c r="A42" s="18">
        <v>80</v>
      </c>
      <c r="B42" s="18">
        <v>2.3699999999999999E-4</v>
      </c>
    </row>
    <row r="43" spans="1:2" x14ac:dyDescent="0.25">
      <c r="A43" s="18">
        <v>81</v>
      </c>
      <c r="B43" s="18">
        <v>2.9999999999999997E-4</v>
      </c>
    </row>
    <row r="44" spans="1:2" x14ac:dyDescent="0.25">
      <c r="A44" s="18">
        <v>82</v>
      </c>
      <c r="B44" s="18">
        <v>3.9500000000000001E-4</v>
      </c>
    </row>
    <row r="45" spans="1:2" x14ac:dyDescent="0.25">
      <c r="A45" s="18">
        <v>83</v>
      </c>
      <c r="B45" s="18">
        <v>5.0100000000000003E-4</v>
      </c>
    </row>
    <row r="46" spans="1:2" x14ac:dyDescent="0.25">
      <c r="A46" s="18">
        <v>84</v>
      </c>
      <c r="B46" s="18">
        <v>6.8000000000000005E-4</v>
      </c>
    </row>
    <row r="47" spans="1:2" x14ac:dyDescent="0.25">
      <c r="A47" s="18">
        <v>85</v>
      </c>
      <c r="B47" s="18">
        <v>9.5799999999999998E-4</v>
      </c>
    </row>
    <row r="48" spans="1:2" x14ac:dyDescent="0.25">
      <c r="A48" s="18">
        <v>86</v>
      </c>
      <c r="B48" s="18">
        <v>1.24E-3</v>
      </c>
    </row>
    <row r="49" spans="1:2" x14ac:dyDescent="0.25">
      <c r="A49" s="18">
        <v>87</v>
      </c>
      <c r="B49" s="18">
        <v>1.5499999999999999E-3</v>
      </c>
    </row>
    <row r="50" spans="1:2" x14ac:dyDescent="0.25">
      <c r="A50" s="18">
        <v>88</v>
      </c>
      <c r="B50" s="18">
        <v>8.0800000000000002E-4</v>
      </c>
    </row>
    <row r="51" spans="1:2" x14ac:dyDescent="0.25">
      <c r="A51" s="18">
        <v>89</v>
      </c>
      <c r="B51" s="18">
        <v>1.5099999999999999E-5</v>
      </c>
    </row>
    <row r="52" spans="1:2" x14ac:dyDescent="0.25">
      <c r="A52" s="18">
        <v>90</v>
      </c>
      <c r="B52" s="18">
        <v>1.1000000000000001E-6</v>
      </c>
    </row>
    <row r="53" spans="1:2" x14ac:dyDescent="0.25">
      <c r="A53" s="18">
        <v>91</v>
      </c>
      <c r="B53" s="18">
        <v>9.6599999999999994E-7</v>
      </c>
    </row>
    <row r="54" spans="1:2" x14ac:dyDescent="0.25">
      <c r="A54" s="18">
        <v>92</v>
      </c>
      <c r="B54" s="18">
        <v>1.2699999999999999E-6</v>
      </c>
    </row>
    <row r="55" spans="1:2" x14ac:dyDescent="0.25">
      <c r="A55" s="18">
        <v>93</v>
      </c>
      <c r="B55" s="18">
        <v>4.4299999999999999E-6</v>
      </c>
    </row>
    <row r="56" spans="1:2" x14ac:dyDescent="0.25">
      <c r="A56" s="18">
        <v>94</v>
      </c>
      <c r="B56" s="18">
        <v>3.18E-5</v>
      </c>
    </row>
    <row r="57" spans="1:2" x14ac:dyDescent="0.25">
      <c r="A57" s="18">
        <v>95</v>
      </c>
      <c r="B57" s="18">
        <v>3.8399999999999998E-5</v>
      </c>
    </row>
    <row r="58" spans="1:2" x14ac:dyDescent="0.25">
      <c r="A58" s="18">
        <v>96</v>
      </c>
      <c r="B58" s="18">
        <v>2.2799999999999999E-5</v>
      </c>
    </row>
    <row r="59" spans="1:2" x14ac:dyDescent="0.25">
      <c r="A59" s="18">
        <v>97</v>
      </c>
      <c r="B59" s="18">
        <v>4.5599999999999997E-5</v>
      </c>
    </row>
    <row r="60" spans="1:2" x14ac:dyDescent="0.25">
      <c r="A60" s="18">
        <v>98</v>
      </c>
      <c r="B60" s="18">
        <v>5.7800000000000002E-5</v>
      </c>
    </row>
    <row r="61" spans="1:2" x14ac:dyDescent="0.25">
      <c r="A61" s="18">
        <v>99</v>
      </c>
      <c r="B61" s="18">
        <v>2.5999999999999998E-5</v>
      </c>
    </row>
    <row r="62" spans="1:2" x14ac:dyDescent="0.25">
      <c r="A62" s="18">
        <v>100</v>
      </c>
      <c r="B62" s="18">
        <v>8.4300000000000006E-6</v>
      </c>
    </row>
    <row r="63" spans="1:2" x14ac:dyDescent="0.25">
      <c r="A63" s="18">
        <v>101</v>
      </c>
      <c r="B63" s="18">
        <v>4.7600000000000002E-6</v>
      </c>
    </row>
    <row r="64" spans="1:2" x14ac:dyDescent="0.25">
      <c r="A64" s="18">
        <v>102</v>
      </c>
      <c r="B64" s="18">
        <v>4.21E-5</v>
      </c>
    </row>
    <row r="65" spans="1:2" x14ac:dyDescent="0.25">
      <c r="A65" s="18">
        <v>103</v>
      </c>
      <c r="B65" s="18">
        <v>6.7500000000000001E-5</v>
      </c>
    </row>
    <row r="66" spans="1:2" x14ac:dyDescent="0.25">
      <c r="A66" s="18">
        <v>104</v>
      </c>
      <c r="B66" s="18">
        <v>1.22E-4</v>
      </c>
    </row>
    <row r="67" spans="1:2" x14ac:dyDescent="0.25">
      <c r="A67" s="18">
        <v>105</v>
      </c>
      <c r="B67" s="18">
        <v>1.2799999999999999E-4</v>
      </c>
    </row>
    <row r="68" spans="1:2" x14ac:dyDescent="0.25">
      <c r="A68" s="18">
        <v>106</v>
      </c>
      <c r="B68" s="18">
        <v>1.7100000000000001E-4</v>
      </c>
    </row>
    <row r="69" spans="1:2" x14ac:dyDescent="0.25">
      <c r="A69" s="18">
        <v>107</v>
      </c>
      <c r="B69" s="18">
        <v>2.1900000000000001E-4</v>
      </c>
    </row>
    <row r="70" spans="1:2" x14ac:dyDescent="0.25">
      <c r="A70" s="18">
        <v>108</v>
      </c>
      <c r="B70" s="18">
        <v>2.6699999999999998E-4</v>
      </c>
    </row>
    <row r="71" spans="1:2" x14ac:dyDescent="0.25">
      <c r="A71" s="18">
        <v>109</v>
      </c>
      <c r="B71" s="18">
        <v>3.0499999999999999E-4</v>
      </c>
    </row>
    <row r="72" spans="1:2" x14ac:dyDescent="0.25">
      <c r="A72" s="18">
        <v>110</v>
      </c>
      <c r="B72" s="18">
        <v>3.6200000000000002E-4</v>
      </c>
    </row>
    <row r="73" spans="1:2" x14ac:dyDescent="0.25">
      <c r="A73" s="18">
        <v>111</v>
      </c>
      <c r="B73" s="18">
        <v>4.4299999999999998E-4</v>
      </c>
    </row>
    <row r="74" spans="1:2" x14ac:dyDescent="0.25">
      <c r="A74" s="18">
        <v>112</v>
      </c>
      <c r="B74" s="18">
        <v>5.2300000000000003E-4</v>
      </c>
    </row>
    <row r="75" spans="1:2" x14ac:dyDescent="0.25">
      <c r="A75" s="18">
        <v>113</v>
      </c>
      <c r="B75" s="18">
        <v>6.4099999999999997E-4</v>
      </c>
    </row>
    <row r="76" spans="1:2" x14ac:dyDescent="0.25">
      <c r="A76" s="18">
        <v>114</v>
      </c>
      <c r="B76" s="18">
        <v>7.27E-4</v>
      </c>
    </row>
    <row r="77" spans="1:2" x14ac:dyDescent="0.25">
      <c r="A77" s="18">
        <v>115</v>
      </c>
      <c r="B77" s="18">
        <v>8.8000000000000003E-4</v>
      </c>
    </row>
    <row r="78" spans="1:2" x14ac:dyDescent="0.25">
      <c r="A78" s="18">
        <v>116</v>
      </c>
      <c r="B78" s="18">
        <v>1.0200000000000001E-3</v>
      </c>
    </row>
    <row r="79" spans="1:2" x14ac:dyDescent="0.25">
      <c r="A79" s="18">
        <v>117</v>
      </c>
      <c r="B79" s="18">
        <v>1.23E-3</v>
      </c>
    </row>
    <row r="80" spans="1:2" x14ac:dyDescent="0.25">
      <c r="A80" s="18">
        <v>118</v>
      </c>
      <c r="B80" s="18">
        <v>1.41E-3</v>
      </c>
    </row>
    <row r="81" spans="1:2" x14ac:dyDescent="0.25">
      <c r="A81" s="18">
        <v>119</v>
      </c>
      <c r="B81" s="18">
        <v>1.67E-3</v>
      </c>
    </row>
    <row r="82" spans="1:2" x14ac:dyDescent="0.25">
      <c r="A82" s="18">
        <v>120</v>
      </c>
      <c r="B82" s="18">
        <v>1.97E-3</v>
      </c>
    </row>
    <row r="83" spans="1:2" x14ac:dyDescent="0.25">
      <c r="A83" s="18">
        <v>121</v>
      </c>
      <c r="B83" s="18">
        <v>2.2499999999999998E-3</v>
      </c>
    </row>
    <row r="84" spans="1:2" x14ac:dyDescent="0.25">
      <c r="A84" s="18">
        <v>122</v>
      </c>
      <c r="B84" s="18">
        <v>2.5999999999999999E-3</v>
      </c>
    </row>
    <row r="85" spans="1:2" x14ac:dyDescent="0.25">
      <c r="A85" s="18">
        <v>123</v>
      </c>
      <c r="B85" s="18">
        <v>2.8900000000000002E-3</v>
      </c>
    </row>
    <row r="86" spans="1:2" x14ac:dyDescent="0.25">
      <c r="A86" s="18">
        <v>124</v>
      </c>
      <c r="B86" s="18">
        <v>3.3700000000000002E-3</v>
      </c>
    </row>
    <row r="87" spans="1:2" x14ac:dyDescent="0.25">
      <c r="A87" s="18">
        <v>125</v>
      </c>
      <c r="B87" s="18">
        <v>3.7699999999999999E-3</v>
      </c>
    </row>
    <row r="88" spans="1:2" x14ac:dyDescent="0.25">
      <c r="A88" s="18">
        <v>126</v>
      </c>
      <c r="B88" s="18">
        <v>4.2300000000000003E-3</v>
      </c>
    </row>
    <row r="89" spans="1:2" x14ac:dyDescent="0.25">
      <c r="A89" s="18">
        <v>127</v>
      </c>
      <c r="B89" s="18">
        <v>4.7800000000000004E-3</v>
      </c>
    </row>
    <row r="90" spans="1:2" x14ac:dyDescent="0.25">
      <c r="A90" s="18">
        <v>128</v>
      </c>
      <c r="B90" s="18">
        <v>5.3499999999999997E-3</v>
      </c>
    </row>
    <row r="91" spans="1:2" x14ac:dyDescent="0.25">
      <c r="A91" s="18">
        <v>129</v>
      </c>
      <c r="B91" s="18">
        <v>5.94E-3</v>
      </c>
    </row>
    <row r="92" spans="1:2" x14ac:dyDescent="0.25">
      <c r="A92" s="18">
        <v>130</v>
      </c>
      <c r="B92" s="18">
        <v>6.6E-3</v>
      </c>
    </row>
    <row r="93" spans="1:2" x14ac:dyDescent="0.25">
      <c r="A93" s="18">
        <v>131</v>
      </c>
      <c r="B93" s="18">
        <v>7.28E-3</v>
      </c>
    </row>
    <row r="94" spans="1:2" x14ac:dyDescent="0.25">
      <c r="A94" s="18">
        <v>132</v>
      </c>
      <c r="B94" s="18">
        <v>8.1799999999999998E-3</v>
      </c>
    </row>
    <row r="95" spans="1:2" x14ac:dyDescent="0.25">
      <c r="A95" s="18">
        <v>133</v>
      </c>
      <c r="B95" s="18">
        <v>8.9999999999999993E-3</v>
      </c>
    </row>
    <row r="96" spans="1:2" x14ac:dyDescent="0.25">
      <c r="A96" s="18">
        <v>134</v>
      </c>
      <c r="B96" s="18">
        <v>9.9000000000000008E-3</v>
      </c>
    </row>
    <row r="97" spans="1:2" x14ac:dyDescent="0.25">
      <c r="A97" s="18">
        <v>135</v>
      </c>
      <c r="B97" s="18">
        <v>1.06E-2</v>
      </c>
    </row>
    <row r="98" spans="1:2" x14ac:dyDescent="0.25">
      <c r="A98" s="18">
        <v>136</v>
      </c>
      <c r="B98" s="18">
        <v>1.17E-2</v>
      </c>
    </row>
    <row r="99" spans="1:2" x14ac:dyDescent="0.25">
      <c r="A99" s="18">
        <v>137</v>
      </c>
      <c r="B99" s="18">
        <v>1.3100000000000001E-2</v>
      </c>
    </row>
    <row r="100" spans="1:2" x14ac:dyDescent="0.25">
      <c r="A100" s="18">
        <v>138</v>
      </c>
      <c r="B100" s="18">
        <v>1.43E-2</v>
      </c>
    </row>
    <row r="101" spans="1:2" x14ac:dyDescent="0.25">
      <c r="A101" s="18">
        <v>139</v>
      </c>
      <c r="B101" s="18">
        <v>1.5800000000000002E-2</v>
      </c>
    </row>
    <row r="102" spans="1:2" x14ac:dyDescent="0.25">
      <c r="A102" s="18">
        <v>140</v>
      </c>
      <c r="B102" s="18">
        <v>1.72E-2</v>
      </c>
    </row>
    <row r="103" spans="1:2" x14ac:dyDescent="0.25">
      <c r="A103" s="18">
        <v>141</v>
      </c>
      <c r="B103" s="18">
        <v>1.8499999999999999E-2</v>
      </c>
    </row>
    <row r="104" spans="1:2" x14ac:dyDescent="0.25">
      <c r="A104" s="18">
        <v>142</v>
      </c>
      <c r="B104" s="18">
        <v>0.02</v>
      </c>
    </row>
    <row r="105" spans="1:2" x14ac:dyDescent="0.25">
      <c r="A105" s="18">
        <v>143</v>
      </c>
      <c r="B105" s="18">
        <v>2.1499999999999998E-2</v>
      </c>
    </row>
    <row r="106" spans="1:2" x14ac:dyDescent="0.25">
      <c r="A106" s="18">
        <v>144</v>
      </c>
      <c r="B106" s="18">
        <v>2.29E-2</v>
      </c>
    </row>
    <row r="107" spans="1:2" x14ac:dyDescent="0.25">
      <c r="A107" s="18">
        <v>145</v>
      </c>
      <c r="B107" s="18">
        <v>2.4500000000000001E-2</v>
      </c>
    </row>
    <row r="108" spans="1:2" x14ac:dyDescent="0.25">
      <c r="A108" s="18">
        <v>146</v>
      </c>
      <c r="B108" s="18">
        <v>2.5899999999999999E-2</v>
      </c>
    </row>
    <row r="109" spans="1:2" x14ac:dyDescent="0.25">
      <c r="A109" s="18">
        <v>147</v>
      </c>
      <c r="B109" s="18">
        <v>2.7199999999999998E-2</v>
      </c>
    </row>
    <row r="110" spans="1:2" x14ac:dyDescent="0.25">
      <c r="A110" s="18">
        <v>148</v>
      </c>
      <c r="B110" s="18">
        <v>2.8799999999999999E-2</v>
      </c>
    </row>
    <row r="111" spans="1:2" x14ac:dyDescent="0.25">
      <c r="A111" s="18">
        <v>149</v>
      </c>
      <c r="B111" s="18">
        <v>3.0200000000000001E-2</v>
      </c>
    </row>
    <row r="112" spans="1:2" x14ac:dyDescent="0.25">
      <c r="A112" s="18">
        <v>150</v>
      </c>
      <c r="B112" s="18">
        <v>3.1699999999999999E-2</v>
      </c>
    </row>
    <row r="113" spans="1:2" x14ac:dyDescent="0.25">
      <c r="A113" s="18">
        <v>151</v>
      </c>
      <c r="B113" s="18">
        <v>3.2899999999999999E-2</v>
      </c>
    </row>
    <row r="114" spans="1:2" x14ac:dyDescent="0.25">
      <c r="A114" s="18">
        <v>152</v>
      </c>
      <c r="B114" s="18">
        <v>3.3799999999999997E-2</v>
      </c>
    </row>
    <row r="115" spans="1:2" x14ac:dyDescent="0.25">
      <c r="A115" s="18">
        <v>153</v>
      </c>
      <c r="B115" s="18">
        <v>3.4799999999999998E-2</v>
      </c>
    </row>
    <row r="116" spans="1:2" x14ac:dyDescent="0.25">
      <c r="A116" s="18">
        <v>154</v>
      </c>
      <c r="B116" s="18">
        <v>3.5400000000000001E-2</v>
      </c>
    </row>
    <row r="117" spans="1:2" x14ac:dyDescent="0.25">
      <c r="A117" s="18">
        <v>155</v>
      </c>
      <c r="B117" s="18">
        <v>3.5999999999999997E-2</v>
      </c>
    </row>
    <row r="118" spans="1:2" x14ac:dyDescent="0.25">
      <c r="A118" s="18">
        <v>156</v>
      </c>
      <c r="B118" s="18">
        <v>3.6299999999999999E-2</v>
      </c>
    </row>
    <row r="119" spans="1:2" x14ac:dyDescent="0.25">
      <c r="A119" s="18">
        <v>157</v>
      </c>
      <c r="B119" s="18">
        <v>3.6700000000000003E-2</v>
      </c>
    </row>
    <row r="120" spans="1:2" x14ac:dyDescent="0.25">
      <c r="A120" s="18">
        <v>158</v>
      </c>
      <c r="B120" s="18">
        <v>3.6499999999999998E-2</v>
      </c>
    </row>
    <row r="121" spans="1:2" x14ac:dyDescent="0.25">
      <c r="A121" s="18">
        <v>159</v>
      </c>
      <c r="B121" s="18">
        <v>3.5900000000000001E-2</v>
      </c>
    </row>
    <row r="122" spans="1:2" x14ac:dyDescent="0.25">
      <c r="A122" s="18">
        <v>160</v>
      </c>
      <c r="B122" s="18">
        <v>3.5200000000000002E-2</v>
      </c>
    </row>
    <row r="123" spans="1:2" x14ac:dyDescent="0.25">
      <c r="A123" s="18">
        <v>161</v>
      </c>
      <c r="B123" s="18">
        <v>3.4000000000000002E-2</v>
      </c>
    </row>
    <row r="124" spans="1:2" x14ac:dyDescent="0.25">
      <c r="A124" s="18">
        <v>162</v>
      </c>
      <c r="B124" s="18">
        <v>3.2500000000000001E-2</v>
      </c>
    </row>
    <row r="125" spans="1:2" x14ac:dyDescent="0.25">
      <c r="A125" s="18">
        <v>163</v>
      </c>
      <c r="B125" s="18">
        <v>3.0599999999999999E-2</v>
      </c>
    </row>
    <row r="126" spans="1:2" x14ac:dyDescent="0.25">
      <c r="A126" s="18">
        <v>164</v>
      </c>
      <c r="B126" s="18">
        <v>2.8199999999999999E-2</v>
      </c>
    </row>
    <row r="127" spans="1:2" x14ac:dyDescent="0.25">
      <c r="A127" s="18">
        <v>165</v>
      </c>
      <c r="B127" s="18">
        <v>2.5399999999999999E-2</v>
      </c>
    </row>
    <row r="128" spans="1:2" x14ac:dyDescent="0.25">
      <c r="A128" s="18">
        <v>166</v>
      </c>
      <c r="B128" s="18">
        <v>2.18E-2</v>
      </c>
    </row>
    <row r="129" spans="1:2" x14ac:dyDescent="0.25">
      <c r="A129" s="18">
        <v>167</v>
      </c>
      <c r="B129" s="18">
        <v>1.7899999999999999E-2</v>
      </c>
    </row>
    <row r="130" spans="1:2" x14ac:dyDescent="0.25">
      <c r="A130" s="18">
        <v>168</v>
      </c>
      <c r="B130" s="18">
        <v>1.3299999999999999E-2</v>
      </c>
    </row>
    <row r="131" spans="1:2" x14ac:dyDescent="0.25">
      <c r="A131" s="18">
        <v>169</v>
      </c>
      <c r="B131" s="18">
        <v>8.0499999999999999E-3</v>
      </c>
    </row>
    <row r="132" spans="1:2" x14ac:dyDescent="0.25">
      <c r="A132" s="18">
        <v>170</v>
      </c>
      <c r="B132" s="18">
        <v>2.3E-3</v>
      </c>
    </row>
    <row r="133" spans="1:2" x14ac:dyDescent="0.25">
      <c r="A133" s="18">
        <v>171</v>
      </c>
      <c r="B133" s="18">
        <v>5.6400000000000002E-5</v>
      </c>
    </row>
    <row r="134" spans="1:2" x14ac:dyDescent="0.25">
      <c r="A134" s="18">
        <v>172</v>
      </c>
      <c r="B134" s="18">
        <v>1.2100000000000001E-6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B159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55</v>
      </c>
      <c r="B2" s="18">
        <v>9.7899999999999994E-6</v>
      </c>
    </row>
    <row r="3" spans="1:2" x14ac:dyDescent="0.25">
      <c r="A3" s="18">
        <v>56</v>
      </c>
      <c r="B3" s="18">
        <v>3.8699999999999999E-5</v>
      </c>
    </row>
    <row r="4" spans="1:2" x14ac:dyDescent="0.25">
      <c r="A4" s="18">
        <v>57</v>
      </c>
      <c r="B4" s="18">
        <v>3.6900000000000002E-5</v>
      </c>
    </row>
    <row r="5" spans="1:2" x14ac:dyDescent="0.25">
      <c r="A5" s="18">
        <v>58</v>
      </c>
      <c r="B5" s="18">
        <v>2.6100000000000001E-5</v>
      </c>
    </row>
    <row r="6" spans="1:2" x14ac:dyDescent="0.25">
      <c r="A6" s="18">
        <v>59</v>
      </c>
      <c r="B6" s="18">
        <v>1.88E-5</v>
      </c>
    </row>
    <row r="7" spans="1:2" x14ac:dyDescent="0.25">
      <c r="A7" s="18">
        <v>60</v>
      </c>
      <c r="B7" s="18">
        <v>3.9199999999999997E-5</v>
      </c>
    </row>
    <row r="8" spans="1:2" x14ac:dyDescent="0.25">
      <c r="A8" s="18">
        <v>61</v>
      </c>
      <c r="B8" s="18">
        <v>3.1399999999999998E-5</v>
      </c>
    </row>
    <row r="9" spans="1:2" x14ac:dyDescent="0.25">
      <c r="A9" s="18">
        <v>62</v>
      </c>
      <c r="B9" s="18">
        <v>3.5500000000000002E-5</v>
      </c>
    </row>
    <row r="10" spans="1:2" x14ac:dyDescent="0.25">
      <c r="A10" s="18">
        <v>63</v>
      </c>
      <c r="B10" s="18">
        <v>2.73E-5</v>
      </c>
    </row>
    <row r="11" spans="1:2" x14ac:dyDescent="0.25">
      <c r="A11" s="18">
        <v>64</v>
      </c>
      <c r="B11" s="18">
        <v>4.8199999999999999E-5</v>
      </c>
    </row>
    <row r="12" spans="1:2" x14ac:dyDescent="0.25">
      <c r="A12" s="18">
        <v>65</v>
      </c>
      <c r="B12" s="18">
        <v>5.24E-5</v>
      </c>
    </row>
    <row r="13" spans="1:2" x14ac:dyDescent="0.25">
      <c r="A13" s="18">
        <v>66</v>
      </c>
      <c r="B13" s="18">
        <v>2.7399999999999999E-5</v>
      </c>
    </row>
    <row r="14" spans="1:2" x14ac:dyDescent="0.25">
      <c r="A14" s="18">
        <v>67</v>
      </c>
      <c r="B14" s="18">
        <v>4.2899999999999999E-5</v>
      </c>
    </row>
    <row r="15" spans="1:2" x14ac:dyDescent="0.25">
      <c r="A15" s="18">
        <v>68</v>
      </c>
      <c r="B15" s="18">
        <v>6.0900000000000003E-5</v>
      </c>
    </row>
    <row r="16" spans="1:2" x14ac:dyDescent="0.25">
      <c r="A16" s="18">
        <v>69</v>
      </c>
      <c r="B16" s="18">
        <v>8.0099999999999995E-5</v>
      </c>
    </row>
    <row r="17" spans="1:2" x14ac:dyDescent="0.25">
      <c r="A17" s="18">
        <v>70</v>
      </c>
      <c r="B17" s="18">
        <v>5.5300000000000002E-5</v>
      </c>
    </row>
    <row r="18" spans="1:2" x14ac:dyDescent="0.25">
      <c r="A18" s="18">
        <v>71</v>
      </c>
      <c r="B18" s="18">
        <v>4.2200000000000003E-5</v>
      </c>
    </row>
    <row r="19" spans="1:2" x14ac:dyDescent="0.25">
      <c r="A19" s="18">
        <v>72</v>
      </c>
      <c r="B19" s="18">
        <v>5.3699999999999997E-5</v>
      </c>
    </row>
    <row r="20" spans="1:2" x14ac:dyDescent="0.25">
      <c r="A20" s="18">
        <v>73</v>
      </c>
      <c r="B20" s="18">
        <v>9.0199999999999997E-5</v>
      </c>
    </row>
    <row r="21" spans="1:2" x14ac:dyDescent="0.25">
      <c r="A21" s="18">
        <v>74</v>
      </c>
      <c r="B21" s="18">
        <v>7.5799999999999999E-5</v>
      </c>
    </row>
    <row r="22" spans="1:2" x14ac:dyDescent="0.25">
      <c r="A22" s="18">
        <v>75</v>
      </c>
      <c r="B22" s="18">
        <v>1.44E-4</v>
      </c>
    </row>
    <row r="23" spans="1:2" x14ac:dyDescent="0.25">
      <c r="A23" s="18">
        <v>76</v>
      </c>
      <c r="B23" s="18">
        <v>5.5000000000000002E-5</v>
      </c>
    </row>
    <row r="24" spans="1:2" x14ac:dyDescent="0.25">
      <c r="A24" s="18">
        <v>77</v>
      </c>
      <c r="B24" s="18">
        <v>7.3100000000000001E-5</v>
      </c>
    </row>
    <row r="25" spans="1:2" x14ac:dyDescent="0.25">
      <c r="A25" s="18">
        <v>78</v>
      </c>
      <c r="B25" s="18">
        <v>8.1600000000000005E-5</v>
      </c>
    </row>
    <row r="26" spans="1:2" x14ac:dyDescent="0.25">
      <c r="A26" s="18">
        <v>79</v>
      </c>
      <c r="B26" s="18">
        <v>6.7899999999999997E-5</v>
      </c>
    </row>
    <row r="27" spans="1:2" x14ac:dyDescent="0.25">
      <c r="A27" s="18">
        <v>80</v>
      </c>
      <c r="B27" s="18">
        <v>8.4900000000000004E-5</v>
      </c>
    </row>
    <row r="28" spans="1:2" x14ac:dyDescent="0.25">
      <c r="A28" s="18">
        <v>81</v>
      </c>
      <c r="B28" s="18">
        <v>8.1000000000000004E-5</v>
      </c>
    </row>
    <row r="29" spans="1:2" x14ac:dyDescent="0.25">
      <c r="A29" s="18">
        <v>82</v>
      </c>
      <c r="B29" s="18">
        <v>9.9699999999999998E-5</v>
      </c>
    </row>
    <row r="30" spans="1:2" x14ac:dyDescent="0.25">
      <c r="A30" s="18">
        <v>83</v>
      </c>
      <c r="B30" s="18">
        <v>1.17E-4</v>
      </c>
    </row>
    <row r="31" spans="1:2" x14ac:dyDescent="0.25">
      <c r="A31" s="18">
        <v>84</v>
      </c>
      <c r="B31" s="18">
        <v>1.5699999999999999E-4</v>
      </c>
    </row>
    <row r="32" spans="1:2" x14ac:dyDescent="0.25">
      <c r="A32" s="18">
        <v>85</v>
      </c>
      <c r="B32" s="18">
        <v>2.2100000000000001E-4</v>
      </c>
    </row>
    <row r="33" spans="1:2" x14ac:dyDescent="0.25">
      <c r="A33" s="18">
        <v>86</v>
      </c>
      <c r="B33" s="18">
        <v>2.5999999999999998E-4</v>
      </c>
    </row>
    <row r="34" spans="1:2" x14ac:dyDescent="0.25">
      <c r="A34" s="18">
        <v>87</v>
      </c>
      <c r="B34" s="18">
        <v>2.9599999999999998E-4</v>
      </c>
    </row>
    <row r="35" spans="1:2" x14ac:dyDescent="0.25">
      <c r="A35" s="18">
        <v>88</v>
      </c>
      <c r="B35" s="18">
        <v>1.7200000000000001E-4</v>
      </c>
    </row>
    <row r="36" spans="1:2" x14ac:dyDescent="0.25">
      <c r="A36" s="18">
        <v>89</v>
      </c>
      <c r="B36" s="18">
        <v>5.13E-5</v>
      </c>
    </row>
    <row r="37" spans="1:2" x14ac:dyDescent="0.25">
      <c r="A37" s="18">
        <v>90</v>
      </c>
      <c r="B37" s="18">
        <v>4.9400000000000001E-5</v>
      </c>
    </row>
    <row r="38" spans="1:2" x14ac:dyDescent="0.25">
      <c r="A38" s="18">
        <v>91</v>
      </c>
      <c r="B38" s="18">
        <v>6.0900000000000003E-5</v>
      </c>
    </row>
    <row r="39" spans="1:2" x14ac:dyDescent="0.25">
      <c r="A39" s="18">
        <v>92</v>
      </c>
      <c r="B39" s="18">
        <v>6.3E-5</v>
      </c>
    </row>
    <row r="40" spans="1:2" x14ac:dyDescent="0.25">
      <c r="A40" s="18">
        <v>93</v>
      </c>
      <c r="B40" s="18">
        <v>4.4499999999999997E-5</v>
      </c>
    </row>
    <row r="41" spans="1:2" x14ac:dyDescent="0.25">
      <c r="A41" s="18">
        <v>94</v>
      </c>
      <c r="B41" s="18">
        <v>5.4700000000000001E-5</v>
      </c>
    </row>
    <row r="42" spans="1:2" x14ac:dyDescent="0.25">
      <c r="A42" s="18">
        <v>95</v>
      </c>
      <c r="B42" s="18">
        <v>4.2599999999999999E-5</v>
      </c>
    </row>
    <row r="43" spans="1:2" x14ac:dyDescent="0.25">
      <c r="A43" s="18">
        <v>96</v>
      </c>
      <c r="B43" s="18">
        <v>2.69E-5</v>
      </c>
    </row>
    <row r="44" spans="1:2" x14ac:dyDescent="0.25">
      <c r="A44" s="18">
        <v>97</v>
      </c>
      <c r="B44" s="18">
        <v>4.8399999999999997E-5</v>
      </c>
    </row>
    <row r="45" spans="1:2" x14ac:dyDescent="0.25">
      <c r="A45" s="18">
        <v>98</v>
      </c>
      <c r="B45" s="18">
        <v>2.8E-5</v>
      </c>
    </row>
    <row r="46" spans="1:2" x14ac:dyDescent="0.25">
      <c r="A46" s="18">
        <v>99</v>
      </c>
      <c r="B46" s="18">
        <v>2.34E-5</v>
      </c>
    </row>
    <row r="47" spans="1:2" x14ac:dyDescent="0.25">
      <c r="A47" s="18">
        <v>100</v>
      </c>
      <c r="B47" s="18">
        <v>2.5700000000000001E-5</v>
      </c>
    </row>
    <row r="48" spans="1:2" x14ac:dyDescent="0.25">
      <c r="A48" s="18">
        <v>101</v>
      </c>
      <c r="B48" s="18">
        <v>1.6799999999999998E-5</v>
      </c>
    </row>
    <row r="49" spans="1:2" x14ac:dyDescent="0.25">
      <c r="A49" s="18">
        <v>102</v>
      </c>
      <c r="B49" s="18">
        <v>2.41E-5</v>
      </c>
    </row>
    <row r="50" spans="1:2" x14ac:dyDescent="0.25">
      <c r="A50" s="18">
        <v>103</v>
      </c>
      <c r="B50" s="18">
        <v>1.8600000000000001E-5</v>
      </c>
    </row>
    <row r="51" spans="1:2" x14ac:dyDescent="0.25">
      <c r="A51" s="18">
        <v>104</v>
      </c>
      <c r="B51" s="18">
        <v>1.5800000000000001E-5</v>
      </c>
    </row>
    <row r="52" spans="1:2" x14ac:dyDescent="0.25">
      <c r="A52" s="18">
        <v>105</v>
      </c>
      <c r="B52" s="18">
        <v>1.66E-5</v>
      </c>
    </row>
    <row r="53" spans="1:2" x14ac:dyDescent="0.25">
      <c r="A53" s="18">
        <v>106</v>
      </c>
      <c r="B53" s="18">
        <v>2.19E-5</v>
      </c>
    </row>
    <row r="54" spans="1:2" x14ac:dyDescent="0.25">
      <c r="A54" s="18">
        <v>107</v>
      </c>
      <c r="B54" s="18">
        <v>5.1200000000000001E-6</v>
      </c>
    </row>
    <row r="55" spans="1:2" x14ac:dyDescent="0.25">
      <c r="A55" s="18">
        <v>108</v>
      </c>
      <c r="B55" s="18">
        <v>1.27E-5</v>
      </c>
    </row>
    <row r="56" spans="1:2" x14ac:dyDescent="0.25">
      <c r="A56" s="18">
        <v>109</v>
      </c>
      <c r="B56" s="18">
        <v>2.5100000000000001E-6</v>
      </c>
    </row>
    <row r="57" spans="1:2" x14ac:dyDescent="0.25">
      <c r="A57" s="18">
        <v>110</v>
      </c>
      <c r="B57" s="18">
        <v>2.0699999999999998E-5</v>
      </c>
    </row>
    <row r="58" spans="1:2" x14ac:dyDescent="0.25">
      <c r="A58" s="18">
        <v>111</v>
      </c>
      <c r="B58" s="18">
        <v>1.19E-5</v>
      </c>
    </row>
    <row r="59" spans="1:2" x14ac:dyDescent="0.25">
      <c r="A59" s="18">
        <v>112</v>
      </c>
      <c r="B59" s="18">
        <v>1.0200000000000001E-5</v>
      </c>
    </row>
    <row r="60" spans="1:2" x14ac:dyDescent="0.25">
      <c r="A60" s="18">
        <v>113</v>
      </c>
      <c r="B60" s="18">
        <v>3.0699999999999998E-6</v>
      </c>
    </row>
    <row r="61" spans="1:2" x14ac:dyDescent="0.25">
      <c r="A61" s="18">
        <v>114</v>
      </c>
      <c r="B61" s="18">
        <v>2.5299999999999998E-5</v>
      </c>
    </row>
    <row r="62" spans="1:2" x14ac:dyDescent="0.25">
      <c r="A62" s="18">
        <v>115</v>
      </c>
      <c r="B62" s="18">
        <v>4.1900000000000002E-5</v>
      </c>
    </row>
    <row r="63" spans="1:2" x14ac:dyDescent="0.25">
      <c r="A63" s="18">
        <v>116</v>
      </c>
      <c r="B63" s="18">
        <v>6.0399999999999998E-5</v>
      </c>
    </row>
    <row r="64" spans="1:2" x14ac:dyDescent="0.25">
      <c r="A64" s="18">
        <v>117</v>
      </c>
      <c r="B64" s="18">
        <v>6.3399999999999996E-5</v>
      </c>
    </row>
    <row r="65" spans="1:2" x14ac:dyDescent="0.25">
      <c r="A65" s="18">
        <v>118</v>
      </c>
      <c r="B65" s="18">
        <v>1.0399999999999999E-4</v>
      </c>
    </row>
    <row r="66" spans="1:2" x14ac:dyDescent="0.25">
      <c r="A66" s="18">
        <v>119</v>
      </c>
      <c r="B66" s="18">
        <v>1.26E-4</v>
      </c>
    </row>
    <row r="67" spans="1:2" x14ac:dyDescent="0.25">
      <c r="A67" s="18">
        <v>120</v>
      </c>
      <c r="B67" s="18">
        <v>1.1400000000000001E-4</v>
      </c>
    </row>
    <row r="68" spans="1:2" x14ac:dyDescent="0.25">
      <c r="A68" s="18">
        <v>121</v>
      </c>
      <c r="B68" s="18">
        <v>1.16E-4</v>
      </c>
    </row>
    <row r="69" spans="1:2" x14ac:dyDescent="0.25">
      <c r="A69" s="18">
        <v>122</v>
      </c>
      <c r="B69" s="18">
        <v>1.3100000000000001E-4</v>
      </c>
    </row>
    <row r="70" spans="1:2" x14ac:dyDescent="0.25">
      <c r="A70" s="18">
        <v>123</v>
      </c>
      <c r="B70" s="18">
        <v>1.3200000000000001E-4</v>
      </c>
    </row>
    <row r="71" spans="1:2" x14ac:dyDescent="0.25">
      <c r="A71" s="18">
        <v>124</v>
      </c>
      <c r="B71" s="18">
        <v>1.37E-4</v>
      </c>
    </row>
    <row r="72" spans="1:2" x14ac:dyDescent="0.25">
      <c r="A72" s="18">
        <v>125</v>
      </c>
      <c r="B72" s="18">
        <v>1.36E-4</v>
      </c>
    </row>
    <row r="73" spans="1:2" x14ac:dyDescent="0.25">
      <c r="A73" s="18">
        <v>126</v>
      </c>
      <c r="B73" s="18">
        <v>1.3300000000000001E-4</v>
      </c>
    </row>
    <row r="74" spans="1:2" x14ac:dyDescent="0.25">
      <c r="A74" s="18">
        <v>127</v>
      </c>
      <c r="B74" s="18">
        <v>1.5300000000000001E-4</v>
      </c>
    </row>
    <row r="75" spans="1:2" x14ac:dyDescent="0.25">
      <c r="A75" s="18">
        <v>128</v>
      </c>
      <c r="B75" s="18">
        <v>1.5699999999999999E-4</v>
      </c>
    </row>
    <row r="76" spans="1:2" x14ac:dyDescent="0.25">
      <c r="A76" s="18">
        <v>129</v>
      </c>
      <c r="B76" s="18">
        <v>1.65E-4</v>
      </c>
    </row>
    <row r="77" spans="1:2" x14ac:dyDescent="0.25">
      <c r="A77" s="18">
        <v>130</v>
      </c>
      <c r="B77" s="18">
        <v>1.47E-4</v>
      </c>
    </row>
    <row r="78" spans="1:2" x14ac:dyDescent="0.25">
      <c r="A78" s="18">
        <v>131</v>
      </c>
      <c r="B78" s="18">
        <v>1.64E-4</v>
      </c>
    </row>
    <row r="79" spans="1:2" x14ac:dyDescent="0.25">
      <c r="A79" s="18">
        <v>132</v>
      </c>
      <c r="B79" s="18">
        <v>1.7899999999999999E-4</v>
      </c>
    </row>
    <row r="80" spans="1:2" x14ac:dyDescent="0.25">
      <c r="A80" s="18">
        <v>133</v>
      </c>
      <c r="B80" s="18">
        <v>1.8100000000000001E-4</v>
      </c>
    </row>
    <row r="81" spans="1:2" x14ac:dyDescent="0.25">
      <c r="A81" s="18">
        <v>134</v>
      </c>
      <c r="B81" s="18">
        <v>2.23E-4</v>
      </c>
    </row>
    <row r="82" spans="1:2" x14ac:dyDescent="0.25">
      <c r="A82" s="18">
        <v>135</v>
      </c>
      <c r="B82" s="18">
        <v>2.22E-4</v>
      </c>
    </row>
    <row r="83" spans="1:2" x14ac:dyDescent="0.25">
      <c r="A83" s="18">
        <v>136</v>
      </c>
      <c r="B83" s="18">
        <v>2.6899999999999998E-4</v>
      </c>
    </row>
    <row r="84" spans="1:2" x14ac:dyDescent="0.25">
      <c r="A84" s="18">
        <v>137</v>
      </c>
      <c r="B84" s="18">
        <v>2.7300000000000002E-4</v>
      </c>
    </row>
    <row r="85" spans="1:2" x14ac:dyDescent="0.25">
      <c r="A85" s="18">
        <v>138</v>
      </c>
      <c r="B85" s="18">
        <v>3.3500000000000001E-4</v>
      </c>
    </row>
    <row r="86" spans="1:2" x14ac:dyDescent="0.25">
      <c r="A86" s="18">
        <v>139</v>
      </c>
      <c r="B86" s="18">
        <v>3.5799999999999997E-4</v>
      </c>
    </row>
    <row r="87" spans="1:2" x14ac:dyDescent="0.25">
      <c r="A87" s="18">
        <v>140</v>
      </c>
      <c r="B87" s="18">
        <v>4.26E-4</v>
      </c>
    </row>
    <row r="88" spans="1:2" x14ac:dyDescent="0.25">
      <c r="A88" s="18">
        <v>141</v>
      </c>
      <c r="B88" s="18">
        <v>4.75E-4</v>
      </c>
    </row>
    <row r="89" spans="1:2" x14ac:dyDescent="0.25">
      <c r="A89" s="18">
        <v>142</v>
      </c>
      <c r="B89" s="18">
        <v>5.8E-4</v>
      </c>
    </row>
    <row r="90" spans="1:2" x14ac:dyDescent="0.25">
      <c r="A90" s="18">
        <v>143</v>
      </c>
      <c r="B90" s="18">
        <v>6.5300000000000004E-4</v>
      </c>
    </row>
    <row r="91" spans="1:2" x14ac:dyDescent="0.25">
      <c r="A91" s="18">
        <v>144</v>
      </c>
      <c r="B91" s="18">
        <v>7.7999999999999999E-4</v>
      </c>
    </row>
    <row r="92" spans="1:2" x14ac:dyDescent="0.25">
      <c r="A92" s="18">
        <v>145</v>
      </c>
      <c r="B92" s="18">
        <v>8.6899999999999998E-4</v>
      </c>
    </row>
    <row r="93" spans="1:2" x14ac:dyDescent="0.25">
      <c r="A93" s="18">
        <v>146</v>
      </c>
      <c r="B93" s="18">
        <v>9.5E-4</v>
      </c>
    </row>
    <row r="94" spans="1:2" x14ac:dyDescent="0.25">
      <c r="A94" s="18">
        <v>147</v>
      </c>
      <c r="B94" s="18">
        <v>1.1199999999999999E-3</v>
      </c>
    </row>
    <row r="95" spans="1:2" x14ac:dyDescent="0.25">
      <c r="A95" s="18">
        <v>148</v>
      </c>
      <c r="B95" s="18">
        <v>1.2800000000000001E-3</v>
      </c>
    </row>
    <row r="96" spans="1:2" x14ac:dyDescent="0.25">
      <c r="A96" s="18">
        <v>149</v>
      </c>
      <c r="B96" s="18">
        <v>1.4599999999999999E-3</v>
      </c>
    </row>
    <row r="97" spans="1:2" x14ac:dyDescent="0.25">
      <c r="A97" s="18">
        <v>150</v>
      </c>
      <c r="B97" s="18">
        <v>1.65E-3</v>
      </c>
    </row>
    <row r="98" spans="1:2" x14ac:dyDescent="0.25">
      <c r="A98" s="18">
        <v>151</v>
      </c>
      <c r="B98" s="18">
        <v>1.8699999999999999E-3</v>
      </c>
    </row>
    <row r="99" spans="1:2" x14ac:dyDescent="0.25">
      <c r="A99" s="18">
        <v>152</v>
      </c>
      <c r="B99" s="18">
        <v>2.15E-3</v>
      </c>
    </row>
    <row r="100" spans="1:2" x14ac:dyDescent="0.25">
      <c r="A100" s="18">
        <v>153</v>
      </c>
      <c r="B100" s="18">
        <v>2.47E-3</v>
      </c>
    </row>
    <row r="101" spans="1:2" x14ac:dyDescent="0.25">
      <c r="A101" s="18">
        <v>154</v>
      </c>
      <c r="B101" s="18">
        <v>2.65E-3</v>
      </c>
    </row>
    <row r="102" spans="1:2" x14ac:dyDescent="0.25">
      <c r="A102" s="18">
        <v>155</v>
      </c>
      <c r="B102" s="18">
        <v>2.9499999999999999E-3</v>
      </c>
    </row>
    <row r="103" spans="1:2" x14ac:dyDescent="0.25">
      <c r="A103" s="18">
        <v>156</v>
      </c>
      <c r="B103" s="18">
        <v>3.2599999999999999E-3</v>
      </c>
    </row>
    <row r="104" spans="1:2" x14ac:dyDescent="0.25">
      <c r="A104" s="18">
        <v>157</v>
      </c>
      <c r="B104" s="18">
        <v>3.64E-3</v>
      </c>
    </row>
    <row r="105" spans="1:2" x14ac:dyDescent="0.25">
      <c r="A105" s="18">
        <v>158</v>
      </c>
      <c r="B105" s="18">
        <v>4.0499999999999998E-3</v>
      </c>
    </row>
    <row r="106" spans="1:2" x14ac:dyDescent="0.25">
      <c r="A106" s="18">
        <v>159</v>
      </c>
      <c r="B106" s="18">
        <v>4.5399999999999998E-3</v>
      </c>
    </row>
    <row r="107" spans="1:2" x14ac:dyDescent="0.25">
      <c r="A107" s="18">
        <v>160</v>
      </c>
      <c r="B107" s="18">
        <v>5.0899999999999999E-3</v>
      </c>
    </row>
    <row r="108" spans="1:2" x14ac:dyDescent="0.25">
      <c r="A108" s="18">
        <v>161</v>
      </c>
      <c r="B108" s="18">
        <v>5.5700000000000003E-3</v>
      </c>
    </row>
    <row r="109" spans="1:2" x14ac:dyDescent="0.25">
      <c r="A109" s="18">
        <v>162</v>
      </c>
      <c r="B109" s="18">
        <v>6.0499999999999998E-3</v>
      </c>
    </row>
    <row r="110" spans="1:2" x14ac:dyDescent="0.25">
      <c r="A110" s="18">
        <v>163</v>
      </c>
      <c r="B110" s="18">
        <v>6.7600000000000004E-3</v>
      </c>
    </row>
    <row r="111" spans="1:2" x14ac:dyDescent="0.25">
      <c r="A111" s="18">
        <v>164</v>
      </c>
      <c r="B111" s="18">
        <v>7.4000000000000003E-3</v>
      </c>
    </row>
    <row r="112" spans="1:2" x14ac:dyDescent="0.25">
      <c r="A112" s="18">
        <v>165</v>
      </c>
      <c r="B112" s="18">
        <v>8.0400000000000003E-3</v>
      </c>
    </row>
    <row r="113" spans="1:2" x14ac:dyDescent="0.25">
      <c r="A113" s="18">
        <v>166</v>
      </c>
      <c r="B113" s="18">
        <v>8.6E-3</v>
      </c>
    </row>
    <row r="114" spans="1:2" x14ac:dyDescent="0.25">
      <c r="A114" s="18">
        <v>167</v>
      </c>
      <c r="B114" s="18">
        <v>9.3200000000000002E-3</v>
      </c>
    </row>
    <row r="115" spans="1:2" x14ac:dyDescent="0.25">
      <c r="A115" s="18">
        <v>168</v>
      </c>
      <c r="B115" s="18">
        <v>0.01</v>
      </c>
    </row>
    <row r="116" spans="1:2" x14ac:dyDescent="0.25">
      <c r="A116" s="18">
        <v>169</v>
      </c>
      <c r="B116" s="18">
        <v>1.11E-2</v>
      </c>
    </row>
    <row r="117" spans="1:2" x14ac:dyDescent="0.25">
      <c r="A117" s="18">
        <v>170</v>
      </c>
      <c r="B117" s="18">
        <v>1.1599999999999999E-2</v>
      </c>
    </row>
    <row r="118" spans="1:2" x14ac:dyDescent="0.25">
      <c r="A118" s="18">
        <v>171</v>
      </c>
      <c r="B118" s="18">
        <v>1.24E-2</v>
      </c>
    </row>
    <row r="119" spans="1:2" x14ac:dyDescent="0.25">
      <c r="A119" s="18">
        <v>172</v>
      </c>
      <c r="B119" s="18">
        <v>1.3299999999999999E-2</v>
      </c>
    </row>
    <row r="120" spans="1:2" x14ac:dyDescent="0.25">
      <c r="A120" s="18">
        <v>173</v>
      </c>
      <c r="B120" s="18">
        <v>1.4E-2</v>
      </c>
    </row>
    <row r="121" spans="1:2" x14ac:dyDescent="0.25">
      <c r="A121" s="18">
        <v>174</v>
      </c>
      <c r="B121" s="18">
        <v>1.4800000000000001E-2</v>
      </c>
    </row>
    <row r="122" spans="1:2" x14ac:dyDescent="0.25">
      <c r="A122" s="18">
        <v>175</v>
      </c>
      <c r="B122" s="18">
        <v>1.5900000000000001E-2</v>
      </c>
    </row>
    <row r="123" spans="1:2" x14ac:dyDescent="0.25">
      <c r="A123" s="18">
        <v>176</v>
      </c>
      <c r="B123" s="18">
        <v>1.7000000000000001E-2</v>
      </c>
    </row>
    <row r="124" spans="1:2" x14ac:dyDescent="0.25">
      <c r="A124" s="18">
        <v>177</v>
      </c>
      <c r="B124" s="18">
        <v>1.8100000000000002E-2</v>
      </c>
    </row>
    <row r="125" spans="1:2" x14ac:dyDescent="0.25">
      <c r="A125" s="18">
        <v>178</v>
      </c>
      <c r="B125" s="18">
        <v>1.89E-2</v>
      </c>
    </row>
    <row r="126" spans="1:2" x14ac:dyDescent="0.25">
      <c r="A126" s="18">
        <v>179</v>
      </c>
      <c r="B126" s="18">
        <v>2.01E-2</v>
      </c>
    </row>
    <row r="127" spans="1:2" x14ac:dyDescent="0.25">
      <c r="A127" s="18">
        <v>180</v>
      </c>
      <c r="B127" s="18">
        <v>2.12E-2</v>
      </c>
    </row>
    <row r="128" spans="1:2" x14ac:dyDescent="0.25">
      <c r="A128" s="18">
        <v>181</v>
      </c>
      <c r="B128" s="18">
        <v>2.2200000000000001E-2</v>
      </c>
    </row>
    <row r="129" spans="1:2" x14ac:dyDescent="0.25">
      <c r="A129" s="18">
        <v>182</v>
      </c>
      <c r="B129" s="18">
        <v>2.3E-2</v>
      </c>
    </row>
    <row r="130" spans="1:2" x14ac:dyDescent="0.25">
      <c r="A130" s="18">
        <v>183</v>
      </c>
      <c r="B130" s="18">
        <v>2.4E-2</v>
      </c>
    </row>
    <row r="131" spans="1:2" x14ac:dyDescent="0.25">
      <c r="A131" s="18">
        <v>184</v>
      </c>
      <c r="B131" s="18">
        <v>2.4899999999999999E-2</v>
      </c>
    </row>
    <row r="132" spans="1:2" x14ac:dyDescent="0.25">
      <c r="A132" s="18">
        <v>185</v>
      </c>
      <c r="B132" s="18">
        <v>2.58E-2</v>
      </c>
    </row>
    <row r="133" spans="1:2" x14ac:dyDescent="0.25">
      <c r="A133" s="18">
        <v>186</v>
      </c>
      <c r="B133" s="18">
        <v>2.6599999999999999E-2</v>
      </c>
    </row>
    <row r="134" spans="1:2" x14ac:dyDescent="0.25">
      <c r="A134" s="18">
        <v>187</v>
      </c>
      <c r="B134" s="18">
        <v>2.7400000000000001E-2</v>
      </c>
    </row>
    <row r="135" spans="1:2" x14ac:dyDescent="0.25">
      <c r="A135" s="18">
        <v>188</v>
      </c>
      <c r="B135" s="18">
        <v>2.8000000000000001E-2</v>
      </c>
    </row>
    <row r="136" spans="1:2" x14ac:dyDescent="0.25">
      <c r="A136" s="18">
        <v>189</v>
      </c>
      <c r="B136" s="18">
        <v>2.86E-2</v>
      </c>
    </row>
    <row r="137" spans="1:2" x14ac:dyDescent="0.25">
      <c r="A137" s="18">
        <v>190</v>
      </c>
      <c r="B137" s="18">
        <v>2.87E-2</v>
      </c>
    </row>
    <row r="138" spans="1:2" x14ac:dyDescent="0.25">
      <c r="A138" s="18">
        <v>191</v>
      </c>
      <c r="B138" s="18">
        <v>2.9499999999999998E-2</v>
      </c>
    </row>
    <row r="139" spans="1:2" x14ac:dyDescent="0.25">
      <c r="A139" s="18">
        <v>192</v>
      </c>
      <c r="B139" s="18">
        <v>2.9899999999999999E-2</v>
      </c>
    </row>
    <row r="140" spans="1:2" x14ac:dyDescent="0.25">
      <c r="A140" s="18">
        <v>193</v>
      </c>
      <c r="B140" s="18">
        <v>0.03</v>
      </c>
    </row>
    <row r="141" spans="1:2" x14ac:dyDescent="0.25">
      <c r="A141" s="18">
        <v>194</v>
      </c>
      <c r="B141" s="18">
        <v>3.0300000000000001E-2</v>
      </c>
    </row>
    <row r="142" spans="1:2" x14ac:dyDescent="0.25">
      <c r="A142" s="18">
        <v>195</v>
      </c>
      <c r="B142" s="18">
        <v>2.9899999999999999E-2</v>
      </c>
    </row>
    <row r="143" spans="1:2" x14ac:dyDescent="0.25">
      <c r="A143" s="18">
        <v>196</v>
      </c>
      <c r="B143" s="18">
        <v>2.9899999999999999E-2</v>
      </c>
    </row>
    <row r="144" spans="1:2" x14ac:dyDescent="0.25">
      <c r="A144" s="18">
        <v>197</v>
      </c>
      <c r="B144" s="18">
        <v>2.9600000000000001E-2</v>
      </c>
    </row>
    <row r="145" spans="1:2" x14ac:dyDescent="0.25">
      <c r="A145" s="18">
        <v>198</v>
      </c>
      <c r="B145" s="18">
        <v>2.86E-2</v>
      </c>
    </row>
    <row r="146" spans="1:2" x14ac:dyDescent="0.25">
      <c r="A146" s="18">
        <v>199</v>
      </c>
      <c r="B146" s="18">
        <v>2.8000000000000001E-2</v>
      </c>
    </row>
    <row r="147" spans="1:2" x14ac:dyDescent="0.25">
      <c r="A147" s="18">
        <v>200</v>
      </c>
      <c r="B147" s="18">
        <v>2.6599999999999999E-2</v>
      </c>
    </row>
    <row r="148" spans="1:2" x14ac:dyDescent="0.25">
      <c r="A148" s="18">
        <v>201</v>
      </c>
      <c r="B148" s="18">
        <v>2.5499999999999998E-2</v>
      </c>
    </row>
    <row r="149" spans="1:2" x14ac:dyDescent="0.25">
      <c r="A149" s="18">
        <v>202</v>
      </c>
      <c r="B149" s="18">
        <v>2.3699999999999999E-2</v>
      </c>
    </row>
    <row r="150" spans="1:2" x14ac:dyDescent="0.25">
      <c r="A150" s="18">
        <v>203</v>
      </c>
      <c r="B150" s="18">
        <v>2.18E-2</v>
      </c>
    </row>
    <row r="151" spans="1:2" x14ac:dyDescent="0.25">
      <c r="A151" s="18">
        <v>204</v>
      </c>
      <c r="B151" s="18">
        <v>1.95E-2</v>
      </c>
    </row>
    <row r="152" spans="1:2" x14ac:dyDescent="0.25">
      <c r="A152" s="18">
        <v>205</v>
      </c>
      <c r="B152" s="18">
        <v>1.7100000000000001E-2</v>
      </c>
    </row>
    <row r="153" spans="1:2" x14ac:dyDescent="0.25">
      <c r="A153" s="18">
        <v>206</v>
      </c>
      <c r="B153" s="18">
        <v>1.44E-2</v>
      </c>
    </row>
    <row r="154" spans="1:2" x14ac:dyDescent="0.25">
      <c r="A154" s="18">
        <v>207</v>
      </c>
      <c r="B154" s="18">
        <v>1.14E-2</v>
      </c>
    </row>
    <row r="155" spans="1:2" x14ac:dyDescent="0.25">
      <c r="A155" s="18">
        <v>208</v>
      </c>
      <c r="B155" s="18">
        <v>8.1200000000000005E-3</v>
      </c>
    </row>
    <row r="156" spans="1:2" x14ac:dyDescent="0.25">
      <c r="A156" s="18">
        <v>209</v>
      </c>
      <c r="B156" s="18">
        <v>4.8700000000000002E-3</v>
      </c>
    </row>
    <row r="157" spans="1:2" x14ac:dyDescent="0.25">
      <c r="A157" s="18">
        <v>210</v>
      </c>
      <c r="B157" s="18">
        <v>1.2999999999999999E-3</v>
      </c>
    </row>
    <row r="158" spans="1:2" x14ac:dyDescent="0.25">
      <c r="A158" s="18">
        <v>211</v>
      </c>
      <c r="B158" s="18">
        <v>3.1999999999999999E-5</v>
      </c>
    </row>
    <row r="159" spans="1:2" x14ac:dyDescent="0.25">
      <c r="A159" s="18">
        <v>212</v>
      </c>
      <c r="B159" s="18">
        <v>3.1499999999999999E-6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B184"/>
  <sheetViews>
    <sheetView topLeftCell="A76"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60</v>
      </c>
      <c r="B2" s="18">
        <v>4.1E-5</v>
      </c>
    </row>
    <row r="3" spans="1:2" x14ac:dyDescent="0.25">
      <c r="A3" s="18">
        <v>61</v>
      </c>
      <c r="B3" s="18">
        <v>1.9700000000000001E-5</v>
      </c>
    </row>
    <row r="4" spans="1:2" x14ac:dyDescent="0.25">
      <c r="A4" s="18">
        <v>62</v>
      </c>
      <c r="B4" s="18">
        <v>1.47E-5</v>
      </c>
    </row>
    <row r="5" spans="1:2" x14ac:dyDescent="0.25">
      <c r="A5" s="18">
        <v>63</v>
      </c>
      <c r="B5" s="18">
        <v>3.4E-5</v>
      </c>
    </row>
    <row r="6" spans="1:2" x14ac:dyDescent="0.25">
      <c r="A6" s="18">
        <v>64</v>
      </c>
      <c r="B6" s="18">
        <v>4.1499999999999999E-5</v>
      </c>
    </row>
    <row r="7" spans="1:2" x14ac:dyDescent="0.25">
      <c r="A7" s="18">
        <v>65</v>
      </c>
      <c r="B7" s="18">
        <v>2.9E-5</v>
      </c>
    </row>
    <row r="8" spans="1:2" x14ac:dyDescent="0.25">
      <c r="A8" s="18">
        <v>66</v>
      </c>
      <c r="B8" s="18">
        <v>5.0599999999999997E-5</v>
      </c>
    </row>
    <row r="9" spans="1:2" x14ac:dyDescent="0.25">
      <c r="A9" s="18">
        <v>67</v>
      </c>
      <c r="B9" s="18">
        <v>4.6199999999999998E-5</v>
      </c>
    </row>
    <row r="10" spans="1:2" x14ac:dyDescent="0.25">
      <c r="A10" s="18">
        <v>68</v>
      </c>
      <c r="B10" s="18">
        <v>2.7699999999999999E-5</v>
      </c>
    </row>
    <row r="11" spans="1:2" x14ac:dyDescent="0.25">
      <c r="A11" s="18">
        <v>69</v>
      </c>
      <c r="B11" s="18">
        <v>3.2799999999999998E-5</v>
      </c>
    </row>
    <row r="12" spans="1:2" x14ac:dyDescent="0.25">
      <c r="A12" s="18">
        <v>70</v>
      </c>
      <c r="B12" s="18">
        <v>4.0500000000000002E-5</v>
      </c>
    </row>
    <row r="13" spans="1:2" x14ac:dyDescent="0.25">
      <c r="A13" s="18">
        <v>71</v>
      </c>
      <c r="B13" s="18">
        <v>3.8500000000000001E-5</v>
      </c>
    </row>
    <row r="14" spans="1:2" x14ac:dyDescent="0.25">
      <c r="A14" s="18">
        <v>72</v>
      </c>
      <c r="B14" s="18">
        <v>4.32E-5</v>
      </c>
    </row>
    <row r="15" spans="1:2" x14ac:dyDescent="0.25">
      <c r="A15" s="18">
        <v>73</v>
      </c>
      <c r="B15" s="18">
        <v>1.3200000000000001E-4</v>
      </c>
    </row>
    <row r="16" spans="1:2" x14ac:dyDescent="0.25">
      <c r="A16" s="18">
        <v>74</v>
      </c>
      <c r="B16" s="18">
        <v>3.0899999999999999E-5</v>
      </c>
    </row>
    <row r="17" spans="1:2" x14ac:dyDescent="0.25">
      <c r="A17" s="18">
        <v>75</v>
      </c>
      <c r="B17" s="18">
        <v>1.2300000000000001E-4</v>
      </c>
    </row>
    <row r="18" spans="1:2" x14ac:dyDescent="0.25">
      <c r="A18" s="18">
        <v>76</v>
      </c>
      <c r="B18" s="18">
        <v>6.4999999999999994E-5</v>
      </c>
    </row>
    <row r="19" spans="1:2" x14ac:dyDescent="0.25">
      <c r="A19" s="18">
        <v>77</v>
      </c>
      <c r="B19" s="18">
        <v>3.68E-5</v>
      </c>
    </row>
    <row r="20" spans="1:2" x14ac:dyDescent="0.25">
      <c r="A20" s="18">
        <v>78</v>
      </c>
      <c r="B20" s="18">
        <v>4.2200000000000003E-5</v>
      </c>
    </row>
    <row r="21" spans="1:2" x14ac:dyDescent="0.25">
      <c r="A21" s="18">
        <v>79</v>
      </c>
      <c r="B21" s="18">
        <v>4.07E-5</v>
      </c>
    </row>
    <row r="22" spans="1:2" x14ac:dyDescent="0.25">
      <c r="A22" s="18">
        <v>80</v>
      </c>
      <c r="B22" s="18">
        <v>6.2400000000000004E-6</v>
      </c>
    </row>
    <row r="23" spans="1:2" x14ac:dyDescent="0.25">
      <c r="A23" s="18">
        <v>81</v>
      </c>
      <c r="B23" s="18">
        <v>3.4999999999999997E-5</v>
      </c>
    </row>
    <row r="24" spans="1:2" x14ac:dyDescent="0.25">
      <c r="A24" s="18">
        <v>82</v>
      </c>
      <c r="B24" s="18">
        <v>4.8900000000000003E-5</v>
      </c>
    </row>
    <row r="25" spans="1:2" x14ac:dyDescent="0.25">
      <c r="A25" s="18">
        <v>83</v>
      </c>
      <c r="B25" s="18">
        <v>6.0099999999999997E-5</v>
      </c>
    </row>
    <row r="26" spans="1:2" x14ac:dyDescent="0.25">
      <c r="A26" s="18">
        <v>84</v>
      </c>
      <c r="B26" s="18">
        <v>4.8600000000000002E-5</v>
      </c>
    </row>
    <row r="27" spans="1:2" x14ac:dyDescent="0.25">
      <c r="A27" s="18">
        <v>85</v>
      </c>
      <c r="B27" s="18">
        <v>1.01E-4</v>
      </c>
    </row>
    <row r="28" spans="1:2" x14ac:dyDescent="0.25">
      <c r="A28" s="18">
        <v>86</v>
      </c>
      <c r="B28" s="18">
        <v>3.2299999999999999E-5</v>
      </c>
    </row>
    <row r="29" spans="1:2" x14ac:dyDescent="0.25">
      <c r="A29" s="18">
        <v>87</v>
      </c>
      <c r="B29" s="18">
        <v>8.0799999999999999E-5</v>
      </c>
    </row>
    <row r="30" spans="1:2" x14ac:dyDescent="0.25">
      <c r="A30" s="18">
        <v>88</v>
      </c>
      <c r="B30" s="18">
        <v>5.8E-5</v>
      </c>
    </row>
    <row r="31" spans="1:2" x14ac:dyDescent="0.25">
      <c r="A31" s="18">
        <v>89</v>
      </c>
      <c r="B31" s="18">
        <v>4.9799999999999998E-5</v>
      </c>
    </row>
    <row r="32" spans="1:2" x14ac:dyDescent="0.25">
      <c r="A32" s="18">
        <v>90</v>
      </c>
      <c r="B32" s="18">
        <v>3.8300000000000003E-5</v>
      </c>
    </row>
    <row r="33" spans="1:2" x14ac:dyDescent="0.25">
      <c r="A33" s="18">
        <v>91</v>
      </c>
      <c r="B33" s="18">
        <v>2.9799999999999999E-5</v>
      </c>
    </row>
    <row r="34" spans="1:2" x14ac:dyDescent="0.25">
      <c r="A34" s="18">
        <v>92</v>
      </c>
      <c r="B34" s="18">
        <v>4.9799999999999998E-5</v>
      </c>
    </row>
    <row r="35" spans="1:2" x14ac:dyDescent="0.25">
      <c r="A35" s="18">
        <v>93</v>
      </c>
      <c r="B35" s="18">
        <v>4.2599999999999999E-5</v>
      </c>
    </row>
    <row r="36" spans="1:2" x14ac:dyDescent="0.25">
      <c r="A36" s="18">
        <v>94</v>
      </c>
      <c r="B36" s="18">
        <v>5.3000000000000001E-5</v>
      </c>
    </row>
    <row r="37" spans="1:2" x14ac:dyDescent="0.25">
      <c r="A37" s="18">
        <v>95</v>
      </c>
      <c r="B37" s="18">
        <v>7.8899999999999993E-5</v>
      </c>
    </row>
    <row r="38" spans="1:2" x14ac:dyDescent="0.25">
      <c r="A38" s="18">
        <v>96</v>
      </c>
      <c r="B38" s="18">
        <v>6.9800000000000003E-5</v>
      </c>
    </row>
    <row r="39" spans="1:2" x14ac:dyDescent="0.25">
      <c r="A39" s="18">
        <v>97</v>
      </c>
      <c r="B39" s="18">
        <v>4.3699999999999998E-5</v>
      </c>
    </row>
    <row r="40" spans="1:2" x14ac:dyDescent="0.25">
      <c r="A40" s="18">
        <v>98</v>
      </c>
      <c r="B40" s="18">
        <v>3.6900000000000002E-5</v>
      </c>
    </row>
    <row r="41" spans="1:2" x14ac:dyDescent="0.25">
      <c r="A41" s="18">
        <v>99</v>
      </c>
      <c r="B41" s="18">
        <v>3.8099999999999998E-5</v>
      </c>
    </row>
    <row r="42" spans="1:2" x14ac:dyDescent="0.25">
      <c r="A42" s="18">
        <v>100</v>
      </c>
      <c r="B42" s="18">
        <v>6.2000000000000003E-5</v>
      </c>
    </row>
    <row r="43" spans="1:2" x14ac:dyDescent="0.25">
      <c r="A43" s="18">
        <v>101</v>
      </c>
      <c r="B43" s="18">
        <v>5.7299999999999997E-5</v>
      </c>
    </row>
    <row r="44" spans="1:2" x14ac:dyDescent="0.25">
      <c r="A44" s="18">
        <v>102</v>
      </c>
      <c r="B44" s="18">
        <v>8.4800000000000001E-5</v>
      </c>
    </row>
    <row r="45" spans="1:2" x14ac:dyDescent="0.25">
      <c r="A45" s="18">
        <v>103</v>
      </c>
      <c r="B45" s="18">
        <v>7.3800000000000005E-5</v>
      </c>
    </row>
    <row r="46" spans="1:2" x14ac:dyDescent="0.25">
      <c r="A46" s="18">
        <v>104</v>
      </c>
      <c r="B46" s="18">
        <v>3.8899999999999997E-5</v>
      </c>
    </row>
    <row r="47" spans="1:2" x14ac:dyDescent="0.25">
      <c r="A47" s="18">
        <v>105</v>
      </c>
      <c r="B47" s="18">
        <v>4.1E-5</v>
      </c>
    </row>
    <row r="48" spans="1:2" x14ac:dyDescent="0.25">
      <c r="A48" s="18">
        <v>106</v>
      </c>
      <c r="B48" s="18">
        <v>7.2299999999999996E-5</v>
      </c>
    </row>
    <row r="49" spans="1:2" x14ac:dyDescent="0.25">
      <c r="A49" s="18">
        <v>107</v>
      </c>
      <c r="B49" s="18">
        <v>5.27E-5</v>
      </c>
    </row>
    <row r="50" spans="1:2" x14ac:dyDescent="0.25">
      <c r="A50" s="18">
        <v>108</v>
      </c>
      <c r="B50" s="18">
        <v>5.6400000000000002E-5</v>
      </c>
    </row>
    <row r="51" spans="1:2" x14ac:dyDescent="0.25">
      <c r="A51" s="18">
        <v>109</v>
      </c>
      <c r="B51" s="18">
        <v>5.5399999999999998E-5</v>
      </c>
    </row>
    <row r="52" spans="1:2" x14ac:dyDescent="0.25">
      <c r="A52" s="18">
        <v>110</v>
      </c>
      <c r="B52" s="18">
        <v>6.2799999999999995E-5</v>
      </c>
    </row>
    <row r="53" spans="1:2" x14ac:dyDescent="0.25">
      <c r="A53" s="18">
        <v>111</v>
      </c>
      <c r="B53" s="18">
        <v>4.7700000000000001E-5</v>
      </c>
    </row>
    <row r="54" spans="1:2" x14ac:dyDescent="0.25">
      <c r="A54" s="18">
        <v>112</v>
      </c>
      <c r="B54" s="18">
        <v>9.7599999999999997E-6</v>
      </c>
    </row>
    <row r="55" spans="1:2" x14ac:dyDescent="0.25">
      <c r="A55" s="18">
        <v>113</v>
      </c>
      <c r="B55" s="18">
        <v>3.0300000000000001E-5</v>
      </c>
    </row>
    <row r="56" spans="1:2" x14ac:dyDescent="0.25">
      <c r="A56" s="18">
        <v>114</v>
      </c>
      <c r="B56" s="18">
        <v>3.8600000000000003E-5</v>
      </c>
    </row>
    <row r="57" spans="1:2" x14ac:dyDescent="0.25">
      <c r="A57" s="18">
        <v>115</v>
      </c>
      <c r="B57" s="18">
        <v>1.88E-5</v>
      </c>
    </row>
    <row r="58" spans="1:2" x14ac:dyDescent="0.25">
      <c r="A58" s="18">
        <v>116</v>
      </c>
      <c r="B58" s="18">
        <v>4.1999999999999998E-5</v>
      </c>
    </row>
    <row r="59" spans="1:2" x14ac:dyDescent="0.25">
      <c r="A59" s="18">
        <v>117</v>
      </c>
      <c r="B59" s="18">
        <v>1.6200000000000001E-5</v>
      </c>
    </row>
    <row r="60" spans="1:2" x14ac:dyDescent="0.25">
      <c r="A60" s="18">
        <v>118</v>
      </c>
      <c r="B60" s="18">
        <v>9.5100000000000004E-6</v>
      </c>
    </row>
    <row r="61" spans="1:2" x14ac:dyDescent="0.25">
      <c r="A61" s="18">
        <v>119</v>
      </c>
      <c r="B61" s="18">
        <v>4.6199999999999998E-5</v>
      </c>
    </row>
    <row r="62" spans="1:2" x14ac:dyDescent="0.25">
      <c r="A62" s="18">
        <v>120</v>
      </c>
      <c r="B62" s="18">
        <v>4.6100000000000002E-5</v>
      </c>
    </row>
    <row r="63" spans="1:2" x14ac:dyDescent="0.25">
      <c r="A63" s="18">
        <v>121</v>
      </c>
      <c r="B63" s="18">
        <v>2.72E-5</v>
      </c>
    </row>
    <row r="64" spans="1:2" x14ac:dyDescent="0.25">
      <c r="A64" s="18">
        <v>122</v>
      </c>
      <c r="B64" s="18">
        <v>7.2700000000000005E-5</v>
      </c>
    </row>
    <row r="65" spans="1:2" x14ac:dyDescent="0.25">
      <c r="A65" s="18">
        <v>123</v>
      </c>
      <c r="B65" s="18">
        <v>3.7799999999999997E-5</v>
      </c>
    </row>
    <row r="66" spans="1:2" x14ac:dyDescent="0.25">
      <c r="A66" s="18">
        <v>124</v>
      </c>
      <c r="B66" s="18">
        <v>8.7899999999999995E-5</v>
      </c>
    </row>
    <row r="67" spans="1:2" x14ac:dyDescent="0.25">
      <c r="A67" s="18">
        <v>125</v>
      </c>
      <c r="B67" s="18">
        <v>7.9900000000000004E-5</v>
      </c>
    </row>
    <row r="68" spans="1:2" x14ac:dyDescent="0.25">
      <c r="A68" s="18">
        <v>126</v>
      </c>
      <c r="B68" s="18">
        <v>8.3399999999999994E-5</v>
      </c>
    </row>
    <row r="69" spans="1:2" x14ac:dyDescent="0.25">
      <c r="A69" s="18">
        <v>127</v>
      </c>
      <c r="B69" s="18">
        <v>8.4400000000000005E-5</v>
      </c>
    </row>
    <row r="70" spans="1:2" x14ac:dyDescent="0.25">
      <c r="A70" s="18">
        <v>128</v>
      </c>
      <c r="B70" s="18">
        <v>1.13E-4</v>
      </c>
    </row>
    <row r="71" spans="1:2" x14ac:dyDescent="0.25">
      <c r="A71" s="18">
        <v>129</v>
      </c>
      <c r="B71" s="18">
        <v>1.3200000000000001E-4</v>
      </c>
    </row>
    <row r="72" spans="1:2" x14ac:dyDescent="0.25">
      <c r="A72" s="18">
        <v>130</v>
      </c>
      <c r="B72" s="18">
        <v>1.37E-4</v>
      </c>
    </row>
    <row r="73" spans="1:2" x14ac:dyDescent="0.25">
      <c r="A73" s="18">
        <v>131</v>
      </c>
      <c r="B73" s="18">
        <v>1.12E-4</v>
      </c>
    </row>
    <row r="74" spans="1:2" x14ac:dyDescent="0.25">
      <c r="A74" s="18">
        <v>132</v>
      </c>
      <c r="B74" s="18">
        <v>1.47E-4</v>
      </c>
    </row>
    <row r="75" spans="1:2" x14ac:dyDescent="0.25">
      <c r="A75" s="18">
        <v>133</v>
      </c>
      <c r="B75" s="18">
        <v>1.37E-4</v>
      </c>
    </row>
    <row r="76" spans="1:2" x14ac:dyDescent="0.25">
      <c r="A76" s="18">
        <v>134</v>
      </c>
      <c r="B76" s="18">
        <v>1.37E-4</v>
      </c>
    </row>
    <row r="77" spans="1:2" x14ac:dyDescent="0.25">
      <c r="A77" s="18">
        <v>135</v>
      </c>
      <c r="B77" s="18">
        <v>1.02E-4</v>
      </c>
    </row>
    <row r="78" spans="1:2" x14ac:dyDescent="0.25">
      <c r="A78" s="18">
        <v>136</v>
      </c>
      <c r="B78" s="18">
        <v>1.5200000000000001E-4</v>
      </c>
    </row>
    <row r="79" spans="1:2" x14ac:dyDescent="0.25">
      <c r="A79" s="18">
        <v>137</v>
      </c>
      <c r="B79" s="18">
        <v>1.2999999999999999E-4</v>
      </c>
    </row>
    <row r="80" spans="1:2" x14ac:dyDescent="0.25">
      <c r="A80" s="18">
        <v>138</v>
      </c>
      <c r="B80" s="18">
        <v>9.8599999999999998E-5</v>
      </c>
    </row>
    <row r="81" spans="1:2" x14ac:dyDescent="0.25">
      <c r="A81" s="18">
        <v>139</v>
      </c>
      <c r="B81" s="18">
        <v>9.1399999999999999E-5</v>
      </c>
    </row>
    <row r="82" spans="1:2" x14ac:dyDescent="0.25">
      <c r="A82" s="18">
        <v>140</v>
      </c>
      <c r="B82" s="18">
        <v>1.1400000000000001E-4</v>
      </c>
    </row>
    <row r="83" spans="1:2" x14ac:dyDescent="0.25">
      <c r="A83" s="18">
        <v>141</v>
      </c>
      <c r="B83" s="18">
        <v>1.12E-4</v>
      </c>
    </row>
    <row r="84" spans="1:2" x14ac:dyDescent="0.25">
      <c r="A84" s="18">
        <v>142</v>
      </c>
      <c r="B84" s="18">
        <v>1.13E-4</v>
      </c>
    </row>
    <row r="85" spans="1:2" x14ac:dyDescent="0.25">
      <c r="A85" s="18">
        <v>143</v>
      </c>
      <c r="B85" s="18">
        <v>8.7999999999999998E-5</v>
      </c>
    </row>
    <row r="86" spans="1:2" x14ac:dyDescent="0.25">
      <c r="A86" s="18">
        <v>144</v>
      </c>
      <c r="B86" s="18">
        <v>1.01E-4</v>
      </c>
    </row>
    <row r="87" spans="1:2" x14ac:dyDescent="0.25">
      <c r="A87" s="18">
        <v>145</v>
      </c>
      <c r="B87" s="18">
        <v>1.11E-4</v>
      </c>
    </row>
    <row r="88" spans="1:2" x14ac:dyDescent="0.25">
      <c r="A88" s="18">
        <v>146</v>
      </c>
      <c r="B88" s="18">
        <v>1.1E-4</v>
      </c>
    </row>
    <row r="89" spans="1:2" x14ac:dyDescent="0.25">
      <c r="A89" s="18">
        <v>147</v>
      </c>
      <c r="B89" s="18">
        <v>1.35E-4</v>
      </c>
    </row>
    <row r="90" spans="1:2" x14ac:dyDescent="0.25">
      <c r="A90" s="18">
        <v>148</v>
      </c>
      <c r="B90" s="18">
        <v>1.15E-4</v>
      </c>
    </row>
    <row r="91" spans="1:2" x14ac:dyDescent="0.25">
      <c r="A91" s="18">
        <v>149</v>
      </c>
      <c r="B91" s="18">
        <v>1.11E-4</v>
      </c>
    </row>
    <row r="92" spans="1:2" x14ac:dyDescent="0.25">
      <c r="A92" s="18">
        <v>150</v>
      </c>
      <c r="B92" s="18">
        <v>1.02E-4</v>
      </c>
    </row>
    <row r="93" spans="1:2" x14ac:dyDescent="0.25">
      <c r="A93" s="18">
        <v>151</v>
      </c>
      <c r="B93" s="18">
        <v>1.2999999999999999E-4</v>
      </c>
    </row>
    <row r="94" spans="1:2" x14ac:dyDescent="0.25">
      <c r="A94" s="18">
        <v>152</v>
      </c>
      <c r="B94" s="18">
        <v>1.44E-4</v>
      </c>
    </row>
    <row r="95" spans="1:2" x14ac:dyDescent="0.25">
      <c r="A95" s="18">
        <v>153</v>
      </c>
      <c r="B95" s="18">
        <v>1.5300000000000001E-4</v>
      </c>
    </row>
    <row r="96" spans="1:2" x14ac:dyDescent="0.25">
      <c r="A96" s="18">
        <v>154</v>
      </c>
      <c r="B96" s="18">
        <v>1.3899999999999999E-4</v>
      </c>
    </row>
    <row r="97" spans="1:2" x14ac:dyDescent="0.25">
      <c r="A97" s="18">
        <v>155</v>
      </c>
      <c r="B97" s="18">
        <v>1.4799999999999999E-4</v>
      </c>
    </row>
    <row r="98" spans="1:2" x14ac:dyDescent="0.25">
      <c r="A98" s="18">
        <v>156</v>
      </c>
      <c r="B98" s="18">
        <v>1.8699999999999999E-4</v>
      </c>
    </row>
    <row r="99" spans="1:2" x14ac:dyDescent="0.25">
      <c r="A99" s="18">
        <v>157</v>
      </c>
      <c r="B99" s="18">
        <v>1.95E-4</v>
      </c>
    </row>
    <row r="100" spans="1:2" x14ac:dyDescent="0.25">
      <c r="A100" s="18">
        <v>158</v>
      </c>
      <c r="B100" s="18">
        <v>2.24E-4</v>
      </c>
    </row>
    <row r="101" spans="1:2" x14ac:dyDescent="0.25">
      <c r="A101" s="18">
        <v>159</v>
      </c>
      <c r="B101" s="18">
        <v>2.5599999999999999E-4</v>
      </c>
    </row>
    <row r="102" spans="1:2" x14ac:dyDescent="0.25">
      <c r="A102" s="18">
        <v>160</v>
      </c>
      <c r="B102" s="18">
        <v>2.5399999999999999E-4</v>
      </c>
    </row>
    <row r="103" spans="1:2" x14ac:dyDescent="0.25">
      <c r="A103" s="18">
        <v>161</v>
      </c>
      <c r="B103" s="18">
        <v>2.8800000000000001E-4</v>
      </c>
    </row>
    <row r="104" spans="1:2" x14ac:dyDescent="0.25">
      <c r="A104" s="18">
        <v>162</v>
      </c>
      <c r="B104" s="18">
        <v>3.3799999999999998E-4</v>
      </c>
    </row>
    <row r="105" spans="1:2" x14ac:dyDescent="0.25">
      <c r="A105" s="18">
        <v>163</v>
      </c>
      <c r="B105" s="18">
        <v>3.8499999999999998E-4</v>
      </c>
    </row>
    <row r="106" spans="1:2" x14ac:dyDescent="0.25">
      <c r="A106" s="18">
        <v>164</v>
      </c>
      <c r="B106" s="18">
        <v>4.4000000000000002E-4</v>
      </c>
    </row>
    <row r="107" spans="1:2" x14ac:dyDescent="0.25">
      <c r="A107" s="18">
        <v>165</v>
      </c>
      <c r="B107" s="18">
        <v>5.5699999999999999E-4</v>
      </c>
    </row>
    <row r="108" spans="1:2" x14ac:dyDescent="0.25">
      <c r="A108" s="18">
        <v>166</v>
      </c>
      <c r="B108" s="18">
        <v>6.0400000000000004E-4</v>
      </c>
    </row>
    <row r="109" spans="1:2" x14ac:dyDescent="0.25">
      <c r="A109" s="18">
        <v>167</v>
      </c>
      <c r="B109" s="18">
        <v>6.3500000000000004E-4</v>
      </c>
    </row>
    <row r="110" spans="1:2" x14ac:dyDescent="0.25">
      <c r="A110" s="18">
        <v>168</v>
      </c>
      <c r="B110" s="18">
        <v>7.4299999999999995E-4</v>
      </c>
    </row>
    <row r="111" spans="1:2" x14ac:dyDescent="0.25">
      <c r="A111" s="18">
        <v>169</v>
      </c>
      <c r="B111" s="18">
        <v>8.3500000000000002E-4</v>
      </c>
    </row>
    <row r="112" spans="1:2" x14ac:dyDescent="0.25">
      <c r="A112" s="18">
        <v>170</v>
      </c>
      <c r="B112" s="18">
        <v>8.9899999999999995E-4</v>
      </c>
    </row>
    <row r="113" spans="1:2" x14ac:dyDescent="0.25">
      <c r="A113" s="18">
        <v>171</v>
      </c>
      <c r="B113" s="18">
        <v>1.07E-3</v>
      </c>
    </row>
    <row r="114" spans="1:2" x14ac:dyDescent="0.25">
      <c r="A114" s="18">
        <v>172</v>
      </c>
      <c r="B114" s="18">
        <v>1.1800000000000001E-3</v>
      </c>
    </row>
    <row r="115" spans="1:2" x14ac:dyDescent="0.25">
      <c r="A115" s="18">
        <v>173</v>
      </c>
      <c r="B115" s="18">
        <v>1.31E-3</v>
      </c>
    </row>
    <row r="116" spans="1:2" x14ac:dyDescent="0.25">
      <c r="A116" s="18">
        <v>174</v>
      </c>
      <c r="B116" s="18">
        <v>1.5399999999999999E-3</v>
      </c>
    </row>
    <row r="117" spans="1:2" x14ac:dyDescent="0.25">
      <c r="A117" s="18">
        <v>175</v>
      </c>
      <c r="B117" s="18">
        <v>1.7099999999999999E-3</v>
      </c>
    </row>
    <row r="118" spans="1:2" x14ac:dyDescent="0.25">
      <c r="A118" s="18">
        <v>176</v>
      </c>
      <c r="B118" s="18">
        <v>1.8799999999999999E-3</v>
      </c>
    </row>
    <row r="119" spans="1:2" x14ac:dyDescent="0.25">
      <c r="A119" s="18">
        <v>177</v>
      </c>
      <c r="B119" s="18">
        <v>2.14E-3</v>
      </c>
    </row>
    <row r="120" spans="1:2" x14ac:dyDescent="0.25">
      <c r="A120" s="18">
        <v>178</v>
      </c>
      <c r="B120" s="18">
        <v>2.3999999999999998E-3</v>
      </c>
    </row>
    <row r="121" spans="1:2" x14ac:dyDescent="0.25">
      <c r="A121" s="18">
        <v>179</v>
      </c>
      <c r="B121" s="18">
        <v>2.5100000000000001E-3</v>
      </c>
    </row>
    <row r="122" spans="1:2" x14ac:dyDescent="0.25">
      <c r="A122" s="18">
        <v>180</v>
      </c>
      <c r="B122" s="18">
        <v>2.8999999999999998E-3</v>
      </c>
    </row>
    <row r="123" spans="1:2" x14ac:dyDescent="0.25">
      <c r="A123" s="18">
        <v>181</v>
      </c>
      <c r="B123" s="18">
        <v>3.2399999999999998E-3</v>
      </c>
    </row>
    <row r="124" spans="1:2" x14ac:dyDescent="0.25">
      <c r="A124" s="18">
        <v>182</v>
      </c>
      <c r="B124" s="18">
        <v>3.3700000000000002E-3</v>
      </c>
    </row>
    <row r="125" spans="1:2" x14ac:dyDescent="0.25">
      <c r="A125" s="18">
        <v>183</v>
      </c>
      <c r="B125" s="18">
        <v>3.7799999999999999E-3</v>
      </c>
    </row>
    <row r="126" spans="1:2" x14ac:dyDescent="0.25">
      <c r="A126" s="18">
        <v>184</v>
      </c>
      <c r="B126" s="18">
        <v>4.0899999999999999E-3</v>
      </c>
    </row>
    <row r="127" spans="1:2" x14ac:dyDescent="0.25">
      <c r="A127" s="18">
        <v>185</v>
      </c>
      <c r="B127" s="18">
        <v>4.5300000000000002E-3</v>
      </c>
    </row>
    <row r="128" spans="1:2" x14ac:dyDescent="0.25">
      <c r="A128" s="18">
        <v>186</v>
      </c>
      <c r="B128" s="18">
        <v>5.0299999999999997E-3</v>
      </c>
    </row>
    <row r="129" spans="1:2" x14ac:dyDescent="0.25">
      <c r="A129" s="18">
        <v>187</v>
      </c>
      <c r="B129" s="18">
        <v>5.4799999999999996E-3</v>
      </c>
    </row>
    <row r="130" spans="1:2" x14ac:dyDescent="0.25">
      <c r="A130" s="18">
        <v>188</v>
      </c>
      <c r="B130" s="18">
        <v>5.7499999999999999E-3</v>
      </c>
    </row>
    <row r="131" spans="1:2" x14ac:dyDescent="0.25">
      <c r="A131" s="18">
        <v>189</v>
      </c>
      <c r="B131" s="18">
        <v>6.2500000000000003E-3</v>
      </c>
    </row>
    <row r="132" spans="1:2" x14ac:dyDescent="0.25">
      <c r="A132" s="18">
        <v>190</v>
      </c>
      <c r="B132" s="18">
        <v>6.8100000000000001E-3</v>
      </c>
    </row>
    <row r="133" spans="1:2" x14ac:dyDescent="0.25">
      <c r="A133" s="18">
        <v>191</v>
      </c>
      <c r="B133" s="18">
        <v>7.3299999999999997E-3</v>
      </c>
    </row>
    <row r="134" spans="1:2" x14ac:dyDescent="0.25">
      <c r="A134" s="18">
        <v>192</v>
      </c>
      <c r="B134" s="18">
        <v>7.9399999999999991E-3</v>
      </c>
    </row>
    <row r="135" spans="1:2" x14ac:dyDescent="0.25">
      <c r="A135" s="18">
        <v>193</v>
      </c>
      <c r="B135" s="18">
        <v>8.4700000000000001E-3</v>
      </c>
    </row>
    <row r="136" spans="1:2" x14ac:dyDescent="0.25">
      <c r="A136" s="18">
        <v>194</v>
      </c>
      <c r="B136" s="18">
        <v>9.2099999999999994E-3</v>
      </c>
    </row>
    <row r="137" spans="1:2" x14ac:dyDescent="0.25">
      <c r="A137" s="18">
        <v>195</v>
      </c>
      <c r="B137" s="18">
        <v>9.8700000000000003E-3</v>
      </c>
    </row>
    <row r="138" spans="1:2" x14ac:dyDescent="0.25">
      <c r="A138" s="18">
        <v>196</v>
      </c>
      <c r="B138" s="18">
        <v>1.04E-2</v>
      </c>
    </row>
    <row r="139" spans="1:2" x14ac:dyDescent="0.25">
      <c r="A139" s="18">
        <v>197</v>
      </c>
      <c r="B139" s="18">
        <v>1.0999999999999999E-2</v>
      </c>
    </row>
    <row r="140" spans="1:2" x14ac:dyDescent="0.25">
      <c r="A140" s="18">
        <v>198</v>
      </c>
      <c r="B140" s="18">
        <v>1.1900000000000001E-2</v>
      </c>
    </row>
    <row r="141" spans="1:2" x14ac:dyDescent="0.25">
      <c r="A141" s="18">
        <v>199</v>
      </c>
      <c r="B141" s="18">
        <v>1.29E-2</v>
      </c>
    </row>
    <row r="142" spans="1:2" x14ac:dyDescent="0.25">
      <c r="A142" s="18">
        <v>200</v>
      </c>
      <c r="B142" s="18">
        <v>1.37E-2</v>
      </c>
    </row>
    <row r="143" spans="1:2" x14ac:dyDescent="0.25">
      <c r="A143" s="18">
        <v>201</v>
      </c>
      <c r="B143" s="18">
        <v>1.47E-2</v>
      </c>
    </row>
    <row r="144" spans="1:2" x14ac:dyDescent="0.25">
      <c r="A144" s="18">
        <v>202</v>
      </c>
      <c r="B144" s="18">
        <v>1.55E-2</v>
      </c>
    </row>
    <row r="145" spans="1:2" x14ac:dyDescent="0.25">
      <c r="A145" s="18">
        <v>203</v>
      </c>
      <c r="B145" s="18">
        <v>1.6199999999999999E-2</v>
      </c>
    </row>
    <row r="146" spans="1:2" x14ac:dyDescent="0.25">
      <c r="A146" s="18">
        <v>204</v>
      </c>
      <c r="B146" s="18">
        <v>1.7500000000000002E-2</v>
      </c>
    </row>
    <row r="147" spans="1:2" x14ac:dyDescent="0.25">
      <c r="A147" s="18">
        <v>205</v>
      </c>
      <c r="B147" s="18">
        <v>1.7999999999999999E-2</v>
      </c>
    </row>
    <row r="148" spans="1:2" x14ac:dyDescent="0.25">
      <c r="A148" s="18">
        <v>206</v>
      </c>
      <c r="B148" s="18">
        <v>1.95E-2</v>
      </c>
    </row>
    <row r="149" spans="1:2" x14ac:dyDescent="0.25">
      <c r="A149" s="18">
        <v>207</v>
      </c>
      <c r="B149" s="18">
        <v>2.01E-2</v>
      </c>
    </row>
    <row r="150" spans="1:2" x14ac:dyDescent="0.25">
      <c r="A150" s="18">
        <v>208</v>
      </c>
      <c r="B150" s="18">
        <v>2.1299999999999999E-2</v>
      </c>
    </row>
    <row r="151" spans="1:2" x14ac:dyDescent="0.25">
      <c r="A151" s="18">
        <v>209</v>
      </c>
      <c r="B151" s="18">
        <v>2.2100000000000002E-2</v>
      </c>
    </row>
    <row r="152" spans="1:2" x14ac:dyDescent="0.25">
      <c r="A152" s="18">
        <v>210</v>
      </c>
      <c r="B152" s="18">
        <v>2.3199999999999998E-2</v>
      </c>
    </row>
    <row r="153" spans="1:2" x14ac:dyDescent="0.25">
      <c r="A153" s="18">
        <v>211</v>
      </c>
      <c r="B153" s="18">
        <v>2.3800000000000002E-2</v>
      </c>
    </row>
    <row r="154" spans="1:2" x14ac:dyDescent="0.25">
      <c r="A154" s="18">
        <v>212</v>
      </c>
      <c r="B154" s="18">
        <v>2.47E-2</v>
      </c>
    </row>
    <row r="155" spans="1:2" x14ac:dyDescent="0.25">
      <c r="A155" s="18">
        <v>213</v>
      </c>
      <c r="B155" s="18">
        <v>2.5399999999999999E-2</v>
      </c>
    </row>
    <row r="156" spans="1:2" x14ac:dyDescent="0.25">
      <c r="A156" s="18">
        <v>214</v>
      </c>
      <c r="B156" s="18">
        <v>2.6100000000000002E-2</v>
      </c>
    </row>
    <row r="157" spans="1:2" x14ac:dyDescent="0.25">
      <c r="A157" s="18">
        <v>215</v>
      </c>
      <c r="B157" s="18">
        <v>2.58E-2</v>
      </c>
    </row>
    <row r="158" spans="1:2" x14ac:dyDescent="0.25">
      <c r="A158" s="18">
        <v>216</v>
      </c>
      <c r="B158" s="18">
        <v>2.64E-2</v>
      </c>
    </row>
    <row r="159" spans="1:2" x14ac:dyDescent="0.25">
      <c r="A159" s="18">
        <v>217</v>
      </c>
      <c r="B159" s="18">
        <v>2.6700000000000002E-2</v>
      </c>
    </row>
    <row r="160" spans="1:2" x14ac:dyDescent="0.25">
      <c r="A160" s="18">
        <v>218</v>
      </c>
      <c r="B160" s="18">
        <v>2.7199999999999998E-2</v>
      </c>
    </row>
    <row r="161" spans="1:2" x14ac:dyDescent="0.25">
      <c r="A161" s="18">
        <v>219</v>
      </c>
      <c r="B161" s="18">
        <v>2.7300000000000001E-2</v>
      </c>
    </row>
    <row r="162" spans="1:2" x14ac:dyDescent="0.25">
      <c r="A162" s="18">
        <v>220</v>
      </c>
      <c r="B162" s="18">
        <v>2.7199999999999998E-2</v>
      </c>
    </row>
    <row r="163" spans="1:2" x14ac:dyDescent="0.25">
      <c r="A163" s="18">
        <v>221</v>
      </c>
      <c r="B163" s="18">
        <v>2.7099999999999999E-2</v>
      </c>
    </row>
    <row r="164" spans="1:2" x14ac:dyDescent="0.25">
      <c r="A164" s="18">
        <v>222</v>
      </c>
      <c r="B164" s="18">
        <v>2.7E-2</v>
      </c>
    </row>
    <row r="165" spans="1:2" x14ac:dyDescent="0.25">
      <c r="A165" s="18">
        <v>223</v>
      </c>
      <c r="B165" s="18">
        <v>2.7E-2</v>
      </c>
    </row>
    <row r="166" spans="1:2" x14ac:dyDescent="0.25">
      <c r="A166" s="18">
        <v>224</v>
      </c>
      <c r="B166" s="18">
        <v>2.69E-2</v>
      </c>
    </row>
    <row r="167" spans="1:2" x14ac:dyDescent="0.25">
      <c r="A167" s="18">
        <v>225</v>
      </c>
      <c r="B167" s="18">
        <v>2.63E-2</v>
      </c>
    </row>
    <row r="168" spans="1:2" x14ac:dyDescent="0.25">
      <c r="A168" s="18">
        <v>226</v>
      </c>
      <c r="B168" s="18">
        <v>2.53E-2</v>
      </c>
    </row>
    <row r="169" spans="1:2" x14ac:dyDescent="0.25">
      <c r="A169" s="18">
        <v>227</v>
      </c>
      <c r="B169" s="18">
        <v>2.5000000000000001E-2</v>
      </c>
    </row>
    <row r="170" spans="1:2" x14ac:dyDescent="0.25">
      <c r="A170" s="18">
        <v>228</v>
      </c>
      <c r="B170" s="18">
        <v>2.3800000000000002E-2</v>
      </c>
    </row>
    <row r="171" spans="1:2" x14ac:dyDescent="0.25">
      <c r="A171" s="18">
        <v>229</v>
      </c>
      <c r="B171" s="18">
        <v>2.3199999999999998E-2</v>
      </c>
    </row>
    <row r="172" spans="1:2" x14ac:dyDescent="0.25">
      <c r="A172" s="18">
        <v>230</v>
      </c>
      <c r="B172" s="18">
        <v>2.1999999999999999E-2</v>
      </c>
    </row>
    <row r="173" spans="1:2" x14ac:dyDescent="0.25">
      <c r="A173" s="18">
        <v>231</v>
      </c>
      <c r="B173" s="18">
        <v>2.01E-2</v>
      </c>
    </row>
    <row r="174" spans="1:2" x14ac:dyDescent="0.25">
      <c r="A174" s="18">
        <v>232</v>
      </c>
      <c r="B174" s="18">
        <v>1.9E-2</v>
      </c>
    </row>
    <row r="175" spans="1:2" x14ac:dyDescent="0.25">
      <c r="A175" s="18">
        <v>233</v>
      </c>
      <c r="B175" s="18">
        <v>1.6799999999999999E-2</v>
      </c>
    </row>
    <row r="176" spans="1:2" x14ac:dyDescent="0.25">
      <c r="A176" s="18">
        <v>234</v>
      </c>
      <c r="B176" s="18">
        <v>1.52E-2</v>
      </c>
    </row>
    <row r="177" spans="1:2" x14ac:dyDescent="0.25">
      <c r="A177" s="18">
        <v>235</v>
      </c>
      <c r="B177" s="18">
        <v>1.3100000000000001E-2</v>
      </c>
    </row>
    <row r="178" spans="1:2" x14ac:dyDescent="0.25">
      <c r="A178" s="18">
        <v>236</v>
      </c>
      <c r="B178" s="18">
        <v>1.0999999999999999E-2</v>
      </c>
    </row>
    <row r="179" spans="1:2" x14ac:dyDescent="0.25">
      <c r="A179" s="18">
        <v>237</v>
      </c>
      <c r="B179" s="18">
        <v>8.6E-3</v>
      </c>
    </row>
    <row r="180" spans="1:2" x14ac:dyDescent="0.25">
      <c r="A180" s="18">
        <v>238</v>
      </c>
      <c r="B180" s="18">
        <v>6.0499999999999998E-3</v>
      </c>
    </row>
    <row r="181" spans="1:2" x14ac:dyDescent="0.25">
      <c r="A181" s="18">
        <v>239</v>
      </c>
      <c r="B181" s="18">
        <v>3.4299999999999999E-3</v>
      </c>
    </row>
    <row r="182" spans="1:2" x14ac:dyDescent="0.25">
      <c r="A182" s="18">
        <v>240</v>
      </c>
      <c r="B182" s="18">
        <v>8.9400000000000005E-4</v>
      </c>
    </row>
    <row r="183" spans="1:2" x14ac:dyDescent="0.25">
      <c r="A183" s="18">
        <v>241</v>
      </c>
      <c r="B183" s="18">
        <v>3.23E-6</v>
      </c>
    </row>
    <row r="184" spans="1:2" x14ac:dyDescent="0.25">
      <c r="A184" s="18">
        <v>242</v>
      </c>
      <c r="B184" s="18">
        <v>1.4100000000000001E-5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B8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5.6</v>
      </c>
      <c r="B2" s="18">
        <v>1.8500000000000001E-3</v>
      </c>
    </row>
    <row r="3" spans="1:2" x14ac:dyDescent="0.25">
      <c r="A3" s="18">
        <v>5.8</v>
      </c>
      <c r="B3" s="18">
        <v>2.2100000000000002E-3</v>
      </c>
    </row>
    <row r="4" spans="1:2" x14ac:dyDescent="0.25">
      <c r="A4" s="18">
        <v>6</v>
      </c>
      <c r="B4" s="18">
        <v>8.5599999999999999E-4</v>
      </c>
    </row>
    <row r="5" spans="1:2" x14ac:dyDescent="0.25">
      <c r="A5" s="18">
        <v>6.2</v>
      </c>
      <c r="B5" s="18">
        <v>1.15E-3</v>
      </c>
    </row>
    <row r="6" spans="1:2" x14ac:dyDescent="0.25">
      <c r="A6" s="18">
        <v>6.4</v>
      </c>
      <c r="B6" s="18">
        <v>2.0799999999999998E-3</v>
      </c>
    </row>
    <row r="7" spans="1:2" x14ac:dyDescent="0.25">
      <c r="A7" s="18">
        <v>6.6</v>
      </c>
      <c r="B7" s="18">
        <v>3.2600000000000001E-4</v>
      </c>
    </row>
    <row r="8" spans="1:2" x14ac:dyDescent="0.25">
      <c r="A8" s="18">
        <v>6.8</v>
      </c>
      <c r="B8" s="18">
        <v>6.6E-4</v>
      </c>
    </row>
    <row r="9" spans="1:2" x14ac:dyDescent="0.25">
      <c r="A9" s="18">
        <v>7</v>
      </c>
      <c r="B9" s="18">
        <v>1.15E-3</v>
      </c>
    </row>
    <row r="10" spans="1:2" x14ac:dyDescent="0.25">
      <c r="A10" s="18">
        <v>7.2</v>
      </c>
      <c r="B10" s="18">
        <v>6.8900000000000005E-4</v>
      </c>
    </row>
    <row r="11" spans="1:2" x14ac:dyDescent="0.25">
      <c r="A11" s="18">
        <v>7.4</v>
      </c>
      <c r="B11" s="18">
        <v>1.9499999999999999E-3</v>
      </c>
    </row>
    <row r="12" spans="1:2" x14ac:dyDescent="0.25">
      <c r="A12" s="18">
        <v>7.6</v>
      </c>
      <c r="B12" s="18">
        <v>1.8699999999999999E-3</v>
      </c>
    </row>
    <row r="13" spans="1:2" x14ac:dyDescent="0.25">
      <c r="A13" s="18">
        <v>7.8</v>
      </c>
      <c r="B13" s="18">
        <v>2.0300000000000001E-3</v>
      </c>
    </row>
    <row r="14" spans="1:2" x14ac:dyDescent="0.25">
      <c r="A14" s="18">
        <v>8</v>
      </c>
      <c r="B14" s="18">
        <v>2.5400000000000002E-3</v>
      </c>
    </row>
    <row r="15" spans="1:2" x14ac:dyDescent="0.25">
      <c r="A15" s="18">
        <v>8.1999999999999993</v>
      </c>
      <c r="B15" s="18">
        <v>5.9699999999999996E-3</v>
      </c>
    </row>
    <row r="16" spans="1:2" x14ac:dyDescent="0.25">
      <c r="A16" s="18">
        <v>8.4</v>
      </c>
      <c r="B16" s="18">
        <v>3.6299999999999999E-2</v>
      </c>
    </row>
    <row r="17" spans="1:2" x14ac:dyDescent="0.25">
      <c r="A17" s="18">
        <v>8.6</v>
      </c>
      <c r="B17" s="18">
        <v>1.7899999999999999E-2</v>
      </c>
    </row>
    <row r="18" spans="1:2" x14ac:dyDescent="0.25">
      <c r="A18" s="18">
        <v>8.8000000000000007</v>
      </c>
      <c r="B18" s="18">
        <v>5.9300000000000004E-3</v>
      </c>
    </row>
    <row r="19" spans="1:2" x14ac:dyDescent="0.25">
      <c r="A19" s="18">
        <v>9</v>
      </c>
      <c r="B19" s="18">
        <v>7.8300000000000002E-3</v>
      </c>
    </row>
    <row r="20" spans="1:2" x14ac:dyDescent="0.25">
      <c r="A20" s="18">
        <v>9.1999999999999993</v>
      </c>
      <c r="B20" s="18">
        <v>9.8200000000000006E-3</v>
      </c>
    </row>
    <row r="21" spans="1:2" x14ac:dyDescent="0.25">
      <c r="A21" s="18">
        <v>9.4</v>
      </c>
      <c r="B21" s="18">
        <v>9.5600000000000008E-3</v>
      </c>
    </row>
    <row r="22" spans="1:2" x14ac:dyDescent="0.25">
      <c r="A22" s="18">
        <v>9.6</v>
      </c>
      <c r="B22" s="18">
        <v>4.53E-2</v>
      </c>
    </row>
    <row r="23" spans="1:2" x14ac:dyDescent="0.25">
      <c r="A23" s="18">
        <v>9.8000000000000007</v>
      </c>
      <c r="B23" s="18">
        <v>6.0600000000000001E-2</v>
      </c>
    </row>
    <row r="24" spans="1:2" x14ac:dyDescent="0.25">
      <c r="A24" s="18">
        <v>10</v>
      </c>
      <c r="B24" s="18">
        <v>4.7199999999999999E-2</v>
      </c>
    </row>
    <row r="25" spans="1:2" x14ac:dyDescent="0.25">
      <c r="A25" s="18">
        <v>10.199999999999999</v>
      </c>
      <c r="B25" s="18">
        <v>2.2599999999999999E-2</v>
      </c>
    </row>
    <row r="26" spans="1:2" x14ac:dyDescent="0.25">
      <c r="A26" s="18">
        <v>10.4</v>
      </c>
      <c r="B26" s="18">
        <v>1.5100000000000001E-2</v>
      </c>
    </row>
    <row r="27" spans="1:2" x14ac:dyDescent="0.25">
      <c r="A27" s="18">
        <v>10.6</v>
      </c>
      <c r="B27" s="18">
        <v>1.5900000000000001E-2</v>
      </c>
    </row>
    <row r="28" spans="1:2" x14ac:dyDescent="0.25">
      <c r="A28" s="18">
        <v>10.8</v>
      </c>
      <c r="B28" s="18">
        <v>1.7999999999999999E-2</v>
      </c>
    </row>
    <row r="29" spans="1:2" x14ac:dyDescent="0.25">
      <c r="A29" s="18">
        <v>11</v>
      </c>
      <c r="B29" s="18">
        <v>1.7999999999999999E-2</v>
      </c>
    </row>
    <row r="30" spans="1:2" x14ac:dyDescent="0.25">
      <c r="A30" s="18">
        <v>11.2</v>
      </c>
      <c r="B30" s="18">
        <v>2.7E-2</v>
      </c>
    </row>
    <row r="31" spans="1:2" x14ac:dyDescent="0.25">
      <c r="A31" s="18">
        <v>11.4</v>
      </c>
      <c r="B31" s="18">
        <v>3.5200000000000002E-2</v>
      </c>
    </row>
    <row r="32" spans="1:2" x14ac:dyDescent="0.25">
      <c r="A32" s="18">
        <v>11.6</v>
      </c>
      <c r="B32" s="18">
        <v>2.46E-2</v>
      </c>
    </row>
    <row r="33" spans="1:2" x14ac:dyDescent="0.25">
      <c r="A33" s="18">
        <v>11.8</v>
      </c>
      <c r="B33" s="18">
        <v>2.3900000000000001E-2</v>
      </c>
    </row>
    <row r="34" spans="1:2" x14ac:dyDescent="0.25">
      <c r="A34" s="18">
        <v>12</v>
      </c>
      <c r="B34" s="18">
        <v>2.0799999999999999E-2</v>
      </c>
    </row>
    <row r="35" spans="1:2" x14ac:dyDescent="0.25">
      <c r="A35" s="18">
        <v>12.2</v>
      </c>
      <c r="B35" s="18">
        <v>2.1499999999999998E-2</v>
      </c>
    </row>
    <row r="36" spans="1:2" x14ac:dyDescent="0.25">
      <c r="A36" s="18">
        <v>12.4</v>
      </c>
      <c r="B36" s="18">
        <v>0.02</v>
      </c>
    </row>
    <row r="37" spans="1:2" x14ac:dyDescent="0.25">
      <c r="A37" s="18">
        <v>12.6</v>
      </c>
      <c r="B37" s="18">
        <v>2.0899999999999998E-2</v>
      </c>
    </row>
    <row r="38" spans="1:2" x14ac:dyDescent="0.25">
      <c r="A38" s="18">
        <v>12.8</v>
      </c>
      <c r="B38" s="18">
        <v>2.06E-2</v>
      </c>
    </row>
    <row r="39" spans="1:2" x14ac:dyDescent="0.25">
      <c r="A39" s="18">
        <v>13</v>
      </c>
      <c r="B39" s="18">
        <v>2.07E-2</v>
      </c>
    </row>
    <row r="40" spans="1:2" x14ac:dyDescent="0.25">
      <c r="A40" s="18">
        <v>13.2</v>
      </c>
      <c r="B40" s="18">
        <v>1.9900000000000001E-2</v>
      </c>
    </row>
    <row r="41" spans="1:2" x14ac:dyDescent="0.25">
      <c r="A41" s="18">
        <v>13.4</v>
      </c>
      <c r="B41" s="18">
        <v>2.0500000000000001E-2</v>
      </c>
    </row>
    <row r="42" spans="1:2" x14ac:dyDescent="0.25">
      <c r="A42" s="18">
        <v>13.6</v>
      </c>
      <c r="B42" s="18">
        <v>2.01E-2</v>
      </c>
    </row>
    <row r="43" spans="1:2" x14ac:dyDescent="0.25">
      <c r="A43" s="18">
        <v>13.8</v>
      </c>
      <c r="B43" s="18">
        <v>1.9699999999999999E-2</v>
      </c>
    </row>
    <row r="44" spans="1:2" x14ac:dyDescent="0.25">
      <c r="A44" s="18">
        <v>14</v>
      </c>
      <c r="B44" s="18">
        <v>1.9099999999999999E-2</v>
      </c>
    </row>
    <row r="45" spans="1:2" x14ac:dyDescent="0.25">
      <c r="A45" s="18">
        <v>14.2</v>
      </c>
      <c r="B45" s="18">
        <v>1.8700000000000001E-2</v>
      </c>
    </row>
    <row r="46" spans="1:2" x14ac:dyDescent="0.25">
      <c r="A46" s="18">
        <v>14.4</v>
      </c>
      <c r="B46" s="18">
        <v>1.8700000000000001E-2</v>
      </c>
    </row>
    <row r="47" spans="1:2" x14ac:dyDescent="0.25">
      <c r="A47" s="18">
        <v>14.6</v>
      </c>
      <c r="B47" s="18">
        <v>1.7999999999999999E-2</v>
      </c>
    </row>
    <row r="48" spans="1:2" x14ac:dyDescent="0.25">
      <c r="A48" s="18">
        <v>14.8</v>
      </c>
      <c r="B48" s="18">
        <v>1.7999999999999999E-2</v>
      </c>
    </row>
    <row r="49" spans="1:2" x14ac:dyDescent="0.25">
      <c r="A49" s="18">
        <v>15</v>
      </c>
      <c r="B49" s="18">
        <v>1.6899999999999998E-2</v>
      </c>
    </row>
    <row r="50" spans="1:2" x14ac:dyDescent="0.25">
      <c r="A50" s="18">
        <v>15.2</v>
      </c>
      <c r="B50" s="18">
        <v>1.6400000000000001E-2</v>
      </c>
    </row>
    <row r="51" spans="1:2" x14ac:dyDescent="0.25">
      <c r="A51" s="18">
        <v>15.4</v>
      </c>
      <c r="B51" s="18">
        <v>1.5800000000000002E-2</v>
      </c>
    </row>
    <row r="52" spans="1:2" x14ac:dyDescent="0.25">
      <c r="A52" s="18">
        <v>15.6</v>
      </c>
      <c r="B52" s="18">
        <v>1.49E-2</v>
      </c>
    </row>
    <row r="53" spans="1:2" x14ac:dyDescent="0.25">
      <c r="A53" s="18">
        <v>15.8</v>
      </c>
      <c r="B53" s="18">
        <v>1.4800000000000001E-2</v>
      </c>
    </row>
    <row r="54" spans="1:2" x14ac:dyDescent="0.25">
      <c r="A54" s="18">
        <v>16</v>
      </c>
      <c r="B54" s="18">
        <v>1.41E-2</v>
      </c>
    </row>
    <row r="55" spans="1:2" x14ac:dyDescent="0.25">
      <c r="A55" s="18">
        <v>16.2</v>
      </c>
      <c r="B55" s="18">
        <v>1.3299999999999999E-2</v>
      </c>
    </row>
    <row r="56" spans="1:2" x14ac:dyDescent="0.25">
      <c r="A56" s="18">
        <v>16.399999999999999</v>
      </c>
      <c r="B56" s="18">
        <v>1.2500000000000001E-2</v>
      </c>
    </row>
    <row r="57" spans="1:2" x14ac:dyDescent="0.25">
      <c r="A57" s="18">
        <v>16.600000000000001</v>
      </c>
      <c r="B57" s="18">
        <v>1.26E-2</v>
      </c>
    </row>
    <row r="58" spans="1:2" x14ac:dyDescent="0.25">
      <c r="A58" s="18">
        <v>16.8</v>
      </c>
      <c r="B58" s="18">
        <v>1.12E-2</v>
      </c>
    </row>
    <row r="59" spans="1:2" x14ac:dyDescent="0.25">
      <c r="A59" s="18">
        <v>17</v>
      </c>
      <c r="B59" s="18">
        <v>1.0800000000000001E-2</v>
      </c>
    </row>
    <row r="60" spans="1:2" x14ac:dyDescent="0.25">
      <c r="A60" s="18">
        <v>17.2</v>
      </c>
      <c r="B60" s="18">
        <v>9.92E-3</v>
      </c>
    </row>
    <row r="61" spans="1:2" x14ac:dyDescent="0.25">
      <c r="A61" s="18">
        <v>17.399999999999999</v>
      </c>
      <c r="B61" s="18">
        <v>9.3500000000000007E-3</v>
      </c>
    </row>
    <row r="62" spans="1:2" x14ac:dyDescent="0.25">
      <c r="A62" s="18">
        <v>17.600000000000001</v>
      </c>
      <c r="B62" s="18">
        <v>8.9899999999999997E-3</v>
      </c>
    </row>
    <row r="63" spans="1:2" x14ac:dyDescent="0.25">
      <c r="A63" s="18">
        <v>17.8</v>
      </c>
      <c r="B63" s="18">
        <v>8.0700000000000008E-3</v>
      </c>
    </row>
    <row r="64" spans="1:2" x14ac:dyDescent="0.25">
      <c r="A64" s="18">
        <v>18</v>
      </c>
      <c r="B64" s="18">
        <v>7.7600000000000004E-3</v>
      </c>
    </row>
    <row r="65" spans="1:2" x14ac:dyDescent="0.25">
      <c r="A65" s="18">
        <v>18.2</v>
      </c>
      <c r="B65" s="18">
        <v>6.6499999999999997E-3</v>
      </c>
    </row>
    <row r="66" spans="1:2" x14ac:dyDescent="0.25">
      <c r="A66" s="18">
        <v>18.399999999999999</v>
      </c>
      <c r="B66" s="18">
        <v>6.5399999999999998E-3</v>
      </c>
    </row>
    <row r="67" spans="1:2" x14ac:dyDescent="0.25">
      <c r="A67" s="18">
        <v>18.600000000000001</v>
      </c>
      <c r="B67" s="18">
        <v>5.5599999999999998E-3</v>
      </c>
    </row>
    <row r="68" spans="1:2" x14ac:dyDescent="0.25">
      <c r="A68" s="18">
        <v>18.8</v>
      </c>
      <c r="B68" s="18">
        <v>5.0000000000000001E-3</v>
      </c>
    </row>
    <row r="69" spans="1:2" x14ac:dyDescent="0.25">
      <c r="A69" s="18">
        <v>19</v>
      </c>
      <c r="B69" s="18">
        <v>4.4299999999999999E-3</v>
      </c>
    </row>
    <row r="70" spans="1:2" x14ac:dyDescent="0.25">
      <c r="A70" s="18">
        <v>19.2</v>
      </c>
      <c r="B70" s="18">
        <v>3.7399999999999998E-3</v>
      </c>
    </row>
    <row r="71" spans="1:2" x14ac:dyDescent="0.25">
      <c r="A71" s="18">
        <v>19.399999999999999</v>
      </c>
      <c r="B71" s="18">
        <v>2.98E-3</v>
      </c>
    </row>
    <row r="72" spans="1:2" x14ac:dyDescent="0.25">
      <c r="A72" s="18">
        <v>19.600000000000001</v>
      </c>
      <c r="B72" s="18">
        <v>2.3800000000000002E-3</v>
      </c>
    </row>
    <row r="73" spans="1:2" x14ac:dyDescent="0.25">
      <c r="A73" s="18">
        <v>19.8</v>
      </c>
      <c r="B73" s="18">
        <v>1.49E-3</v>
      </c>
    </row>
    <row r="74" spans="1:2" x14ac:dyDescent="0.25">
      <c r="A74" s="18">
        <v>20</v>
      </c>
      <c r="B74" s="18">
        <v>5.8600000000000004E-4</v>
      </c>
    </row>
    <row r="75" spans="1:2" x14ac:dyDescent="0.25">
      <c r="A75" s="18">
        <v>20.2</v>
      </c>
      <c r="B75" s="18">
        <v>6.3099999999999997E-6</v>
      </c>
    </row>
    <row r="76" spans="1:2" x14ac:dyDescent="0.25">
      <c r="A76" s="18">
        <v>20.399999999999999</v>
      </c>
      <c r="B76" s="18">
        <v>4.1099999999999996E-6</v>
      </c>
    </row>
    <row r="77" spans="1:2" x14ac:dyDescent="0.25">
      <c r="A77" s="18">
        <v>20.6</v>
      </c>
      <c r="B77" s="18">
        <v>3.41E-6</v>
      </c>
    </row>
    <row r="78" spans="1:2" x14ac:dyDescent="0.25">
      <c r="A78" s="18">
        <v>20.8</v>
      </c>
      <c r="B78" s="18">
        <v>2.0700000000000001E-6</v>
      </c>
    </row>
    <row r="79" spans="1:2" x14ac:dyDescent="0.25">
      <c r="A79" s="18">
        <v>21</v>
      </c>
      <c r="B79" s="18">
        <v>4.4100000000000001E-6</v>
      </c>
    </row>
    <row r="80" spans="1:2" x14ac:dyDescent="0.25">
      <c r="A80" s="18">
        <v>21.2</v>
      </c>
      <c r="B80" s="18">
        <v>3.6399999999999999E-6</v>
      </c>
    </row>
    <row r="81" spans="1:2" x14ac:dyDescent="0.25">
      <c r="A81" s="18">
        <v>21.4</v>
      </c>
      <c r="B81" s="18">
        <v>6.3199999999999996E-6</v>
      </c>
    </row>
    <row r="82" spans="1:2" x14ac:dyDescent="0.25">
      <c r="A82" s="18">
        <v>21.6</v>
      </c>
      <c r="B82" s="18">
        <v>3.1699999999999999E-7</v>
      </c>
    </row>
    <row r="83" spans="1:2" x14ac:dyDescent="0.25">
      <c r="A83" s="18">
        <v>21.8</v>
      </c>
      <c r="B83" s="18">
        <v>2.34E-6</v>
      </c>
    </row>
    <row r="84" spans="1:2" x14ac:dyDescent="0.25">
      <c r="A84" s="18">
        <v>22</v>
      </c>
      <c r="B84" s="18">
        <v>7.3799999999999999E-8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B129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6.6</v>
      </c>
      <c r="B2" s="18">
        <v>7.8899999999999999E-4</v>
      </c>
    </row>
    <row r="3" spans="1:2" x14ac:dyDescent="0.25">
      <c r="A3" s="18">
        <v>6.8</v>
      </c>
      <c r="B3" s="18">
        <v>5.4500000000000002E-4</v>
      </c>
    </row>
    <row r="4" spans="1:2" x14ac:dyDescent="0.25">
      <c r="A4" s="18">
        <v>7</v>
      </c>
      <c r="B4" s="18">
        <v>7.3899999999999997E-4</v>
      </c>
    </row>
    <row r="5" spans="1:2" x14ac:dyDescent="0.25">
      <c r="A5" s="18">
        <v>7.2</v>
      </c>
      <c r="B5" s="18">
        <v>7.8700000000000005E-4</v>
      </c>
    </row>
    <row r="6" spans="1:2" x14ac:dyDescent="0.25">
      <c r="A6" s="18">
        <v>7.4</v>
      </c>
      <c r="B6" s="18">
        <v>8.2200000000000003E-4</v>
      </c>
    </row>
    <row r="7" spans="1:2" x14ac:dyDescent="0.25">
      <c r="A7" s="18">
        <v>7.6</v>
      </c>
      <c r="B7" s="18">
        <v>7.5299999999999998E-4</v>
      </c>
    </row>
    <row r="8" spans="1:2" x14ac:dyDescent="0.25">
      <c r="A8" s="18">
        <v>7.8</v>
      </c>
      <c r="B8" s="18">
        <v>8.7600000000000004E-4</v>
      </c>
    </row>
    <row r="9" spans="1:2" x14ac:dyDescent="0.25">
      <c r="A9" s="18">
        <v>8</v>
      </c>
      <c r="B9" s="18">
        <v>4.6000000000000001E-4</v>
      </c>
    </row>
    <row r="10" spans="1:2" x14ac:dyDescent="0.25">
      <c r="A10" s="18">
        <v>8.1999999999999993</v>
      </c>
      <c r="B10" s="18">
        <v>7.5500000000000003E-4</v>
      </c>
    </row>
    <row r="11" spans="1:2" x14ac:dyDescent="0.25">
      <c r="A11" s="18">
        <v>8.4</v>
      </c>
      <c r="B11" s="18">
        <v>2.0500000000000002E-3</v>
      </c>
    </row>
    <row r="12" spans="1:2" x14ac:dyDescent="0.25">
      <c r="A12" s="18">
        <v>8.6</v>
      </c>
      <c r="B12" s="18">
        <v>1.1299999999999999E-3</v>
      </c>
    </row>
    <row r="13" spans="1:2" x14ac:dyDescent="0.25">
      <c r="A13" s="18">
        <v>8.8000000000000007</v>
      </c>
      <c r="B13" s="18">
        <v>6.7299999999999999E-4</v>
      </c>
    </row>
    <row r="14" spans="1:2" x14ac:dyDescent="0.25">
      <c r="A14" s="18">
        <v>9</v>
      </c>
      <c r="B14" s="18">
        <v>6.9999999999999999E-4</v>
      </c>
    </row>
    <row r="15" spans="1:2" x14ac:dyDescent="0.25">
      <c r="A15" s="18">
        <v>9.1999999999999993</v>
      </c>
      <c r="B15" s="18">
        <v>1.33E-3</v>
      </c>
    </row>
    <row r="16" spans="1:2" x14ac:dyDescent="0.25">
      <c r="A16" s="18">
        <v>9.4</v>
      </c>
      <c r="B16" s="18">
        <v>7.0699999999999995E-4</v>
      </c>
    </row>
    <row r="17" spans="1:2" x14ac:dyDescent="0.25">
      <c r="A17" s="18">
        <v>9.6</v>
      </c>
      <c r="B17" s="18">
        <v>8.5800000000000008E-3</v>
      </c>
    </row>
    <row r="18" spans="1:2" x14ac:dyDescent="0.25">
      <c r="A18" s="18">
        <v>9.8000000000000007</v>
      </c>
      <c r="B18" s="18">
        <v>1.3299999999999999E-2</v>
      </c>
    </row>
    <row r="19" spans="1:2" x14ac:dyDescent="0.25">
      <c r="A19" s="18">
        <v>10</v>
      </c>
      <c r="B19" s="18">
        <v>9.5200000000000007E-3</v>
      </c>
    </row>
    <row r="20" spans="1:2" x14ac:dyDescent="0.25">
      <c r="A20" s="18">
        <v>10.199999999999999</v>
      </c>
      <c r="B20" s="18">
        <v>5.1500000000000001E-3</v>
      </c>
    </row>
    <row r="21" spans="1:2" x14ac:dyDescent="0.25">
      <c r="A21" s="18">
        <v>10.4</v>
      </c>
      <c r="B21" s="18">
        <v>3.1700000000000001E-3</v>
      </c>
    </row>
    <row r="22" spans="1:2" x14ac:dyDescent="0.25">
      <c r="A22" s="18">
        <v>10.6</v>
      </c>
      <c r="B22" s="18">
        <v>3.8400000000000001E-3</v>
      </c>
    </row>
    <row r="23" spans="1:2" x14ac:dyDescent="0.25">
      <c r="A23" s="18">
        <v>10.8</v>
      </c>
      <c r="B23" s="18">
        <v>4.5500000000000002E-3</v>
      </c>
    </row>
    <row r="24" spans="1:2" x14ac:dyDescent="0.25">
      <c r="A24" s="18">
        <v>11</v>
      </c>
      <c r="B24" s="18">
        <v>4.5599999999999998E-3</v>
      </c>
    </row>
    <row r="25" spans="1:2" x14ac:dyDescent="0.25">
      <c r="A25" s="18">
        <v>11.2</v>
      </c>
      <c r="B25" s="18">
        <v>1.06E-2</v>
      </c>
    </row>
    <row r="26" spans="1:2" x14ac:dyDescent="0.25">
      <c r="A26" s="18">
        <v>11.4</v>
      </c>
      <c r="B26" s="18">
        <v>1.4500000000000001E-2</v>
      </c>
    </row>
    <row r="27" spans="1:2" x14ac:dyDescent="0.25">
      <c r="A27" s="18">
        <v>11.6</v>
      </c>
      <c r="B27" s="18">
        <v>9.9399999999999992E-3</v>
      </c>
    </row>
    <row r="28" spans="1:2" x14ac:dyDescent="0.25">
      <c r="A28" s="18">
        <v>11.8</v>
      </c>
      <c r="B28" s="18">
        <v>1.06E-2</v>
      </c>
    </row>
    <row r="29" spans="1:2" x14ac:dyDescent="0.25">
      <c r="A29" s="18">
        <v>12</v>
      </c>
      <c r="B29" s="18">
        <v>8.1399999999999997E-3</v>
      </c>
    </row>
    <row r="30" spans="1:2" x14ac:dyDescent="0.25">
      <c r="A30" s="18">
        <v>12.2</v>
      </c>
      <c r="B30" s="18">
        <v>9.4400000000000005E-3</v>
      </c>
    </row>
    <row r="31" spans="1:2" x14ac:dyDescent="0.25">
      <c r="A31" s="18">
        <v>12.4</v>
      </c>
      <c r="B31" s="18">
        <v>8.9099999999999995E-3</v>
      </c>
    </row>
    <row r="32" spans="1:2" x14ac:dyDescent="0.25">
      <c r="A32" s="18">
        <v>12.6</v>
      </c>
      <c r="B32" s="18">
        <v>1.03E-2</v>
      </c>
    </row>
    <row r="33" spans="1:2" x14ac:dyDescent="0.25">
      <c r="A33" s="18">
        <v>12.8</v>
      </c>
      <c r="B33" s="18">
        <v>1.0500000000000001E-2</v>
      </c>
    </row>
    <row r="34" spans="1:2" x14ac:dyDescent="0.25">
      <c r="A34" s="18">
        <v>13</v>
      </c>
      <c r="B34" s="18">
        <v>1.14E-2</v>
      </c>
    </row>
    <row r="35" spans="1:2" x14ac:dyDescent="0.25">
      <c r="A35" s="18">
        <v>13.2</v>
      </c>
      <c r="B35" s="18">
        <v>1.23E-2</v>
      </c>
    </row>
    <row r="36" spans="1:2" x14ac:dyDescent="0.25">
      <c r="A36" s="18">
        <v>13.4</v>
      </c>
      <c r="B36" s="18">
        <v>1.2500000000000001E-2</v>
      </c>
    </row>
    <row r="37" spans="1:2" x14ac:dyDescent="0.25">
      <c r="A37" s="18">
        <v>13.6</v>
      </c>
      <c r="B37" s="18">
        <v>1.32E-2</v>
      </c>
    </row>
    <row r="38" spans="1:2" x14ac:dyDescent="0.25">
      <c r="A38" s="18">
        <v>13.8</v>
      </c>
      <c r="B38" s="18">
        <v>1.43E-2</v>
      </c>
    </row>
    <row r="39" spans="1:2" x14ac:dyDescent="0.25">
      <c r="A39" s="18">
        <v>14</v>
      </c>
      <c r="B39" s="18">
        <v>1.4E-2</v>
      </c>
    </row>
    <row r="40" spans="1:2" x14ac:dyDescent="0.25">
      <c r="A40" s="18">
        <v>14.2</v>
      </c>
      <c r="B40" s="18">
        <v>1.52E-2</v>
      </c>
    </row>
    <row r="41" spans="1:2" x14ac:dyDescent="0.25">
      <c r="A41" s="18">
        <v>14.4</v>
      </c>
      <c r="B41" s="18">
        <v>1.5100000000000001E-2</v>
      </c>
    </row>
    <row r="42" spans="1:2" x14ac:dyDescent="0.25">
      <c r="A42" s="18">
        <v>14.6</v>
      </c>
      <c r="B42" s="18">
        <v>1.5599999999999999E-2</v>
      </c>
    </row>
    <row r="43" spans="1:2" x14ac:dyDescent="0.25">
      <c r="A43" s="18">
        <v>14.8</v>
      </c>
      <c r="B43" s="18">
        <v>1.6400000000000001E-2</v>
      </c>
    </row>
    <row r="44" spans="1:2" x14ac:dyDescent="0.25">
      <c r="A44" s="18">
        <v>15</v>
      </c>
      <c r="B44" s="18">
        <v>1.6299999999999999E-2</v>
      </c>
    </row>
    <row r="45" spans="1:2" x14ac:dyDescent="0.25">
      <c r="A45" s="18">
        <v>15.2</v>
      </c>
      <c r="B45" s="18">
        <v>1.6500000000000001E-2</v>
      </c>
    </row>
    <row r="46" spans="1:2" x14ac:dyDescent="0.25">
      <c r="A46" s="18">
        <v>15.4</v>
      </c>
      <c r="B46" s="18">
        <v>1.7000000000000001E-2</v>
      </c>
    </row>
    <row r="47" spans="1:2" x14ac:dyDescent="0.25">
      <c r="A47" s="18">
        <v>15.6</v>
      </c>
      <c r="B47" s="18">
        <v>1.7000000000000001E-2</v>
      </c>
    </row>
    <row r="48" spans="1:2" x14ac:dyDescent="0.25">
      <c r="A48" s="18">
        <v>15.8</v>
      </c>
      <c r="B48" s="18">
        <v>1.6899999999999998E-2</v>
      </c>
    </row>
    <row r="49" spans="1:2" x14ac:dyDescent="0.25">
      <c r="A49" s="18">
        <v>16</v>
      </c>
      <c r="B49" s="18">
        <v>1.6899999999999998E-2</v>
      </c>
    </row>
    <row r="50" spans="1:2" x14ac:dyDescent="0.25">
      <c r="A50" s="18">
        <v>16.2</v>
      </c>
      <c r="B50" s="18">
        <v>1.7100000000000001E-2</v>
      </c>
    </row>
    <row r="51" spans="1:2" x14ac:dyDescent="0.25">
      <c r="A51" s="18">
        <v>16.399999999999999</v>
      </c>
      <c r="B51" s="18">
        <v>1.6799999999999999E-2</v>
      </c>
    </row>
    <row r="52" spans="1:2" x14ac:dyDescent="0.25">
      <c r="A52" s="18">
        <v>16.600000000000001</v>
      </c>
      <c r="B52" s="18">
        <v>1.7000000000000001E-2</v>
      </c>
    </row>
    <row r="53" spans="1:2" x14ac:dyDescent="0.25">
      <c r="A53" s="18">
        <v>16.8</v>
      </c>
      <c r="B53" s="18">
        <v>1.6899999999999998E-2</v>
      </c>
    </row>
    <row r="54" spans="1:2" x14ac:dyDescent="0.25">
      <c r="A54" s="18">
        <v>17</v>
      </c>
      <c r="B54" s="18">
        <v>1.6500000000000001E-2</v>
      </c>
    </row>
    <row r="55" spans="1:2" x14ac:dyDescent="0.25">
      <c r="A55" s="18">
        <v>17.2</v>
      </c>
      <c r="B55" s="18">
        <v>1.6799999999999999E-2</v>
      </c>
    </row>
    <row r="56" spans="1:2" x14ac:dyDescent="0.25">
      <c r="A56" s="18">
        <v>17.399999999999999</v>
      </c>
      <c r="B56" s="18">
        <v>1.6199999999999999E-2</v>
      </c>
    </row>
    <row r="57" spans="1:2" x14ac:dyDescent="0.25">
      <c r="A57" s="18">
        <v>17.600000000000001</v>
      </c>
      <c r="B57" s="18">
        <v>1.61E-2</v>
      </c>
    </row>
    <row r="58" spans="1:2" x14ac:dyDescent="0.25">
      <c r="A58" s="18">
        <v>17.8</v>
      </c>
      <c r="B58" s="18">
        <v>1.61E-2</v>
      </c>
    </row>
    <row r="59" spans="1:2" x14ac:dyDescent="0.25">
      <c r="A59" s="18">
        <v>18</v>
      </c>
      <c r="B59" s="18">
        <v>1.5699999999999999E-2</v>
      </c>
    </row>
    <row r="60" spans="1:2" x14ac:dyDescent="0.25">
      <c r="A60" s="18">
        <v>18.2</v>
      </c>
      <c r="B60" s="18">
        <v>1.5599999999999999E-2</v>
      </c>
    </row>
    <row r="61" spans="1:2" x14ac:dyDescent="0.25">
      <c r="A61" s="18">
        <v>18.399999999999999</v>
      </c>
      <c r="B61" s="18">
        <v>1.5299999999999999E-2</v>
      </c>
    </row>
    <row r="62" spans="1:2" x14ac:dyDescent="0.25">
      <c r="A62" s="18">
        <v>18.600000000000001</v>
      </c>
      <c r="B62" s="18">
        <v>1.5100000000000001E-2</v>
      </c>
    </row>
    <row r="63" spans="1:2" x14ac:dyDescent="0.25">
      <c r="A63" s="18">
        <v>18.8</v>
      </c>
      <c r="B63" s="18">
        <v>1.47E-2</v>
      </c>
    </row>
    <row r="64" spans="1:2" x14ac:dyDescent="0.25">
      <c r="A64" s="18">
        <v>19</v>
      </c>
      <c r="B64" s="18">
        <v>1.47E-2</v>
      </c>
    </row>
    <row r="65" spans="1:2" x14ac:dyDescent="0.25">
      <c r="A65" s="18">
        <v>19.2</v>
      </c>
      <c r="B65" s="18">
        <v>1.4E-2</v>
      </c>
    </row>
    <row r="66" spans="1:2" x14ac:dyDescent="0.25">
      <c r="A66" s="18">
        <v>19.399999999999999</v>
      </c>
      <c r="B66" s="18">
        <v>1.4E-2</v>
      </c>
    </row>
    <row r="67" spans="1:2" x14ac:dyDescent="0.25">
      <c r="A67" s="18">
        <v>19.600000000000001</v>
      </c>
      <c r="B67" s="18">
        <v>1.35E-2</v>
      </c>
    </row>
    <row r="68" spans="1:2" x14ac:dyDescent="0.25">
      <c r="A68" s="18">
        <v>19.8</v>
      </c>
      <c r="B68" s="18">
        <v>1.3100000000000001E-2</v>
      </c>
    </row>
    <row r="69" spans="1:2" x14ac:dyDescent="0.25">
      <c r="A69" s="18">
        <v>20</v>
      </c>
      <c r="B69" s="18">
        <v>1.3100000000000001E-2</v>
      </c>
    </row>
    <row r="70" spans="1:2" x14ac:dyDescent="0.25">
      <c r="A70" s="18">
        <v>20.2</v>
      </c>
      <c r="B70" s="18">
        <v>1.2699999999999999E-2</v>
      </c>
    </row>
    <row r="71" spans="1:2" x14ac:dyDescent="0.25">
      <c r="A71" s="18">
        <v>20.399999999999999</v>
      </c>
      <c r="B71" s="18">
        <v>1.24E-2</v>
      </c>
    </row>
    <row r="72" spans="1:2" x14ac:dyDescent="0.25">
      <c r="A72" s="18">
        <v>20.6</v>
      </c>
      <c r="B72" s="18">
        <v>1.1900000000000001E-2</v>
      </c>
    </row>
    <row r="73" spans="1:2" x14ac:dyDescent="0.25">
      <c r="A73" s="18">
        <v>20.8</v>
      </c>
      <c r="B73" s="18">
        <v>1.1599999999999999E-2</v>
      </c>
    </row>
    <row r="74" spans="1:2" x14ac:dyDescent="0.25">
      <c r="A74" s="18">
        <v>21</v>
      </c>
      <c r="B74" s="18">
        <v>1.1599999999999999E-2</v>
      </c>
    </row>
    <row r="75" spans="1:2" x14ac:dyDescent="0.25">
      <c r="A75" s="18">
        <v>21.2</v>
      </c>
      <c r="B75" s="18">
        <v>1.0999999999999999E-2</v>
      </c>
    </row>
    <row r="76" spans="1:2" x14ac:dyDescent="0.25">
      <c r="A76" s="18">
        <v>21.4</v>
      </c>
      <c r="B76" s="18">
        <v>1.0500000000000001E-2</v>
      </c>
    </row>
    <row r="77" spans="1:2" x14ac:dyDescent="0.25">
      <c r="A77" s="18">
        <v>21.6</v>
      </c>
      <c r="B77" s="18">
        <v>1.03E-2</v>
      </c>
    </row>
    <row r="78" spans="1:2" x14ac:dyDescent="0.25">
      <c r="A78" s="18">
        <v>21.8</v>
      </c>
      <c r="B78" s="18">
        <v>1.0200000000000001E-2</v>
      </c>
    </row>
    <row r="79" spans="1:2" x14ac:dyDescent="0.25">
      <c r="A79" s="18">
        <v>22</v>
      </c>
      <c r="B79" s="18">
        <v>9.7099999999999999E-3</v>
      </c>
    </row>
    <row r="80" spans="1:2" x14ac:dyDescent="0.25">
      <c r="A80" s="18">
        <v>22.2</v>
      </c>
      <c r="B80" s="18">
        <v>9.6799999999999994E-3</v>
      </c>
    </row>
    <row r="81" spans="1:2" x14ac:dyDescent="0.25">
      <c r="A81" s="18">
        <v>22.4</v>
      </c>
      <c r="B81" s="18">
        <v>9.0600000000000003E-3</v>
      </c>
    </row>
    <row r="82" spans="1:2" x14ac:dyDescent="0.25">
      <c r="A82" s="18">
        <v>22.6</v>
      </c>
      <c r="B82" s="18">
        <v>9.0799999999999995E-3</v>
      </c>
    </row>
    <row r="83" spans="1:2" x14ac:dyDescent="0.25">
      <c r="A83" s="18">
        <v>22.8</v>
      </c>
      <c r="B83" s="18">
        <v>8.43E-3</v>
      </c>
    </row>
    <row r="84" spans="1:2" x14ac:dyDescent="0.25">
      <c r="A84" s="18">
        <v>23</v>
      </c>
      <c r="B84" s="18">
        <v>8.3300000000000006E-3</v>
      </c>
    </row>
    <row r="85" spans="1:2" x14ac:dyDescent="0.25">
      <c r="A85" s="18">
        <v>23.2</v>
      </c>
      <c r="B85" s="18">
        <v>7.7999999999999996E-3</v>
      </c>
    </row>
    <row r="86" spans="1:2" x14ac:dyDescent="0.25">
      <c r="A86" s="18">
        <v>23.4</v>
      </c>
      <c r="B86" s="18">
        <v>7.6299999999999996E-3</v>
      </c>
    </row>
    <row r="87" spans="1:2" x14ac:dyDescent="0.25">
      <c r="A87" s="18">
        <v>23.6</v>
      </c>
      <c r="B87" s="18">
        <v>7.6600000000000001E-3</v>
      </c>
    </row>
    <row r="88" spans="1:2" x14ac:dyDescent="0.25">
      <c r="A88" s="18">
        <v>23.8</v>
      </c>
      <c r="B88" s="18">
        <v>6.9199999999999999E-3</v>
      </c>
    </row>
    <row r="89" spans="1:2" x14ac:dyDescent="0.25">
      <c r="A89" s="18">
        <v>24</v>
      </c>
      <c r="B89" s="18">
        <v>7.0200000000000002E-3</v>
      </c>
    </row>
    <row r="90" spans="1:2" x14ac:dyDescent="0.25">
      <c r="A90" s="18">
        <v>24.2</v>
      </c>
      <c r="B90" s="18">
        <v>6.4799999999999996E-3</v>
      </c>
    </row>
    <row r="91" spans="1:2" x14ac:dyDescent="0.25">
      <c r="A91" s="18">
        <v>24.4</v>
      </c>
      <c r="B91" s="18">
        <v>6.4599999999999996E-3</v>
      </c>
    </row>
    <row r="92" spans="1:2" x14ac:dyDescent="0.25">
      <c r="A92" s="18">
        <v>24.6</v>
      </c>
      <c r="B92" s="18">
        <v>6.0699999999999999E-3</v>
      </c>
    </row>
    <row r="93" spans="1:2" x14ac:dyDescent="0.25">
      <c r="A93" s="18">
        <v>24.8</v>
      </c>
      <c r="B93" s="18">
        <v>5.8399999999999997E-3</v>
      </c>
    </row>
    <row r="94" spans="1:2" x14ac:dyDescent="0.25">
      <c r="A94" s="18">
        <v>25</v>
      </c>
      <c r="B94" s="18">
        <v>5.62E-3</v>
      </c>
    </row>
    <row r="95" spans="1:2" x14ac:dyDescent="0.25">
      <c r="A95" s="18">
        <v>25.2</v>
      </c>
      <c r="B95" s="18">
        <v>5.1799999999999997E-3</v>
      </c>
    </row>
    <row r="96" spans="1:2" x14ac:dyDescent="0.25">
      <c r="A96" s="18">
        <v>25.4</v>
      </c>
      <c r="B96" s="18">
        <v>5.1399999999999996E-3</v>
      </c>
    </row>
    <row r="97" spans="1:2" x14ac:dyDescent="0.25">
      <c r="A97" s="18">
        <v>25.6</v>
      </c>
      <c r="B97" s="18">
        <v>4.81E-3</v>
      </c>
    </row>
    <row r="98" spans="1:2" x14ac:dyDescent="0.25">
      <c r="A98" s="18">
        <v>25.8</v>
      </c>
      <c r="B98" s="18">
        <v>4.5799999999999999E-3</v>
      </c>
    </row>
    <row r="99" spans="1:2" x14ac:dyDescent="0.25">
      <c r="A99" s="18">
        <v>26</v>
      </c>
      <c r="B99" s="18">
        <v>4.5399999999999998E-3</v>
      </c>
    </row>
    <row r="100" spans="1:2" x14ac:dyDescent="0.25">
      <c r="A100" s="18">
        <v>26.2</v>
      </c>
      <c r="B100" s="18">
        <v>3.9899999999999996E-3</v>
      </c>
    </row>
    <row r="101" spans="1:2" x14ac:dyDescent="0.25">
      <c r="A101" s="18">
        <v>26.4</v>
      </c>
      <c r="B101" s="18">
        <v>4.0899999999999999E-3</v>
      </c>
    </row>
    <row r="102" spans="1:2" x14ac:dyDescent="0.25">
      <c r="A102" s="18">
        <v>26.6</v>
      </c>
      <c r="B102" s="18">
        <v>3.5899999999999999E-3</v>
      </c>
    </row>
    <row r="103" spans="1:2" x14ac:dyDescent="0.25">
      <c r="A103" s="18">
        <v>26.8</v>
      </c>
      <c r="B103" s="18">
        <v>3.5699999999999998E-3</v>
      </c>
    </row>
    <row r="104" spans="1:2" x14ac:dyDescent="0.25">
      <c r="A104" s="18">
        <v>27</v>
      </c>
      <c r="B104" s="18">
        <v>3.2499999999999999E-3</v>
      </c>
    </row>
    <row r="105" spans="1:2" x14ac:dyDescent="0.25">
      <c r="A105" s="18">
        <v>27.2</v>
      </c>
      <c r="B105" s="18">
        <v>3.1199999999999999E-3</v>
      </c>
    </row>
    <row r="106" spans="1:2" x14ac:dyDescent="0.25">
      <c r="A106" s="18">
        <v>27.4</v>
      </c>
      <c r="B106" s="18">
        <v>2.8500000000000001E-3</v>
      </c>
    </row>
    <row r="107" spans="1:2" x14ac:dyDescent="0.25">
      <c r="A107" s="18">
        <v>27.6</v>
      </c>
      <c r="B107" s="18">
        <v>2.6199999999999999E-3</v>
      </c>
    </row>
    <row r="108" spans="1:2" x14ac:dyDescent="0.25">
      <c r="A108" s="18">
        <v>27.8</v>
      </c>
      <c r="B108" s="18">
        <v>2.5500000000000002E-3</v>
      </c>
    </row>
    <row r="109" spans="1:2" x14ac:dyDescent="0.25">
      <c r="A109" s="18">
        <v>28</v>
      </c>
      <c r="B109" s="18">
        <v>2.3E-3</v>
      </c>
    </row>
    <row r="110" spans="1:2" x14ac:dyDescent="0.25">
      <c r="A110" s="18">
        <v>28.2</v>
      </c>
      <c r="B110" s="18">
        <v>2.0999999999999999E-3</v>
      </c>
    </row>
    <row r="111" spans="1:2" x14ac:dyDescent="0.25">
      <c r="A111" s="18">
        <v>28.4</v>
      </c>
      <c r="B111" s="18">
        <v>1.82E-3</v>
      </c>
    </row>
    <row r="112" spans="1:2" x14ac:dyDescent="0.25">
      <c r="A112" s="18">
        <v>28.6</v>
      </c>
      <c r="B112" s="18">
        <v>1.8E-3</v>
      </c>
    </row>
    <row r="113" spans="1:2" x14ac:dyDescent="0.25">
      <c r="A113" s="18">
        <v>28.8</v>
      </c>
      <c r="B113" s="18">
        <v>1.4499999999999999E-3</v>
      </c>
    </row>
    <row r="114" spans="1:2" x14ac:dyDescent="0.25">
      <c r="A114" s="18">
        <v>29</v>
      </c>
      <c r="B114" s="18">
        <v>1.32E-3</v>
      </c>
    </row>
    <row r="115" spans="1:2" x14ac:dyDescent="0.25">
      <c r="A115" s="18">
        <v>29.2</v>
      </c>
      <c r="B115" s="18">
        <v>1.1100000000000001E-3</v>
      </c>
    </row>
    <row r="116" spans="1:2" x14ac:dyDescent="0.25">
      <c r="A116" s="18">
        <v>29.4</v>
      </c>
      <c r="B116" s="18">
        <v>8.9099999999999997E-4</v>
      </c>
    </row>
    <row r="117" spans="1:2" x14ac:dyDescent="0.25">
      <c r="A117" s="18">
        <v>29.6</v>
      </c>
      <c r="B117" s="18">
        <v>7.0600000000000003E-4</v>
      </c>
    </row>
    <row r="118" spans="1:2" x14ac:dyDescent="0.25">
      <c r="A118" s="18">
        <v>29.8</v>
      </c>
      <c r="B118" s="18">
        <v>4.3199999999999998E-4</v>
      </c>
    </row>
    <row r="119" spans="1:2" x14ac:dyDescent="0.25">
      <c r="A119" s="18">
        <v>30</v>
      </c>
      <c r="B119" s="18">
        <v>1.93E-4</v>
      </c>
    </row>
    <row r="120" spans="1:2" x14ac:dyDescent="0.25">
      <c r="A120" s="18">
        <v>30.2</v>
      </c>
      <c r="B120" s="18">
        <v>6.1099999999999999E-6</v>
      </c>
    </row>
    <row r="121" spans="1:2" x14ac:dyDescent="0.25">
      <c r="A121" s="18">
        <v>30.4</v>
      </c>
      <c r="B121" s="18">
        <v>5.84E-6</v>
      </c>
    </row>
    <row r="122" spans="1:2" x14ac:dyDescent="0.25">
      <c r="A122" s="18">
        <v>30.6</v>
      </c>
      <c r="B122" s="18">
        <v>2.2800000000000002E-6</v>
      </c>
    </row>
    <row r="123" spans="1:2" x14ac:dyDescent="0.25">
      <c r="A123" s="18">
        <v>30.8</v>
      </c>
      <c r="B123" s="18">
        <v>2.7199999999999998E-6</v>
      </c>
    </row>
    <row r="124" spans="1:2" x14ac:dyDescent="0.25">
      <c r="A124" s="18">
        <v>31</v>
      </c>
      <c r="B124" s="18">
        <v>5.0200000000000002E-7</v>
      </c>
    </row>
    <row r="125" spans="1:2" x14ac:dyDescent="0.25">
      <c r="A125" s="18">
        <v>31.2</v>
      </c>
      <c r="B125" s="18">
        <v>1.42E-6</v>
      </c>
    </row>
    <row r="126" spans="1:2" x14ac:dyDescent="0.25">
      <c r="A126" s="18">
        <v>31.4</v>
      </c>
      <c r="B126" s="18">
        <v>9.2099999999999995E-7</v>
      </c>
    </row>
    <row r="127" spans="1:2" x14ac:dyDescent="0.25">
      <c r="A127" s="18">
        <v>31.6</v>
      </c>
      <c r="B127" s="18">
        <v>4.0400000000000002E-7</v>
      </c>
    </row>
    <row r="128" spans="1:2" x14ac:dyDescent="0.25">
      <c r="A128" s="18">
        <v>31.8</v>
      </c>
      <c r="B128" s="18">
        <v>7.92E-7</v>
      </c>
    </row>
    <row r="129" spans="1:2" x14ac:dyDescent="0.25">
      <c r="A129" s="18">
        <v>32</v>
      </c>
      <c r="B129" s="18">
        <v>2.5300000000000002E-8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B172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2.9999999999999997E-4</v>
      </c>
    </row>
    <row r="3" spans="1:2" x14ac:dyDescent="0.25">
      <c r="A3" s="18">
        <v>8.1999999999999993</v>
      </c>
      <c r="B3" s="18">
        <v>3.4699999999999998E-4</v>
      </c>
    </row>
    <row r="4" spans="1:2" x14ac:dyDescent="0.25">
      <c r="A4" s="18">
        <v>8.4</v>
      </c>
      <c r="B4" s="18">
        <v>3.4900000000000003E-4</v>
      </c>
    </row>
    <row r="5" spans="1:2" x14ac:dyDescent="0.25">
      <c r="A5" s="18">
        <v>8.6</v>
      </c>
      <c r="B5" s="18">
        <v>4.28E-4</v>
      </c>
    </row>
    <row r="6" spans="1:2" x14ac:dyDescent="0.25">
      <c r="A6" s="18">
        <v>8.8000000000000007</v>
      </c>
      <c r="B6" s="18">
        <v>5.4200000000000003E-5</v>
      </c>
    </row>
    <row r="7" spans="1:2" x14ac:dyDescent="0.25">
      <c r="A7" s="18">
        <v>9</v>
      </c>
      <c r="B7" s="18">
        <v>5.4900000000000001E-4</v>
      </c>
    </row>
    <row r="8" spans="1:2" x14ac:dyDescent="0.25">
      <c r="A8" s="18">
        <v>9.1999999999999993</v>
      </c>
      <c r="B8" s="18">
        <v>7.0500000000000006E-5</v>
      </c>
    </row>
    <row r="9" spans="1:2" x14ac:dyDescent="0.25">
      <c r="A9" s="18">
        <v>9.4</v>
      </c>
      <c r="B9" s="18">
        <v>5.8E-4</v>
      </c>
    </row>
    <row r="10" spans="1:2" x14ac:dyDescent="0.25">
      <c r="A10" s="18">
        <v>9.6</v>
      </c>
      <c r="B10" s="18">
        <v>3.2899999999999997E-4</v>
      </c>
    </row>
    <row r="11" spans="1:2" x14ac:dyDescent="0.25">
      <c r="A11" s="18">
        <v>9.8000000000000007</v>
      </c>
      <c r="B11" s="18">
        <v>7.9500000000000003E-4</v>
      </c>
    </row>
    <row r="12" spans="1:2" x14ac:dyDescent="0.25">
      <c r="A12" s="18">
        <v>10</v>
      </c>
      <c r="B12" s="18">
        <v>1.16E-3</v>
      </c>
    </row>
    <row r="13" spans="1:2" x14ac:dyDescent="0.25">
      <c r="A13" s="18">
        <v>10.199999999999999</v>
      </c>
      <c r="B13" s="18">
        <v>6.5799999999999995E-4</v>
      </c>
    </row>
    <row r="14" spans="1:2" x14ac:dyDescent="0.25">
      <c r="A14" s="18">
        <v>10.4</v>
      </c>
      <c r="B14" s="18">
        <v>2.6899999999999998E-4</v>
      </c>
    </row>
    <row r="15" spans="1:2" x14ac:dyDescent="0.25">
      <c r="A15" s="18">
        <v>10.6</v>
      </c>
      <c r="B15" s="18">
        <v>6.3400000000000001E-4</v>
      </c>
    </row>
    <row r="16" spans="1:2" x14ac:dyDescent="0.25">
      <c r="A16" s="18">
        <v>10.8</v>
      </c>
      <c r="B16" s="18">
        <v>5.4199999999999995E-4</v>
      </c>
    </row>
    <row r="17" spans="1:2" x14ac:dyDescent="0.25">
      <c r="A17" s="18">
        <v>11</v>
      </c>
      <c r="B17" s="18">
        <v>6.3500000000000004E-4</v>
      </c>
    </row>
    <row r="18" spans="1:2" x14ac:dyDescent="0.25">
      <c r="A18" s="18">
        <v>11.2</v>
      </c>
      <c r="B18" s="18">
        <v>1.58E-3</v>
      </c>
    </row>
    <row r="19" spans="1:2" x14ac:dyDescent="0.25">
      <c r="A19" s="18">
        <v>11.4</v>
      </c>
      <c r="B19" s="18">
        <v>2.1299999999999999E-3</v>
      </c>
    </row>
    <row r="20" spans="1:2" x14ac:dyDescent="0.25">
      <c r="A20" s="18">
        <v>11.6</v>
      </c>
      <c r="B20" s="18">
        <v>1.5499999999999999E-3</v>
      </c>
    </row>
    <row r="21" spans="1:2" x14ac:dyDescent="0.25">
      <c r="A21" s="18">
        <v>11.8</v>
      </c>
      <c r="B21" s="18">
        <v>1.7700000000000001E-3</v>
      </c>
    </row>
    <row r="22" spans="1:2" x14ac:dyDescent="0.25">
      <c r="A22" s="18">
        <v>12</v>
      </c>
      <c r="B22" s="18">
        <v>1.57E-3</v>
      </c>
    </row>
    <row r="23" spans="1:2" x14ac:dyDescent="0.25">
      <c r="A23" s="18">
        <v>12.2</v>
      </c>
      <c r="B23" s="18">
        <v>1.6999999999999999E-3</v>
      </c>
    </row>
    <row r="24" spans="1:2" x14ac:dyDescent="0.25">
      <c r="A24" s="18">
        <v>12.4</v>
      </c>
      <c r="B24" s="18">
        <v>2.0100000000000001E-3</v>
      </c>
    </row>
    <row r="25" spans="1:2" x14ac:dyDescent="0.25">
      <c r="A25" s="18">
        <v>12.6</v>
      </c>
      <c r="B25" s="18">
        <v>2.2000000000000001E-3</v>
      </c>
    </row>
    <row r="26" spans="1:2" x14ac:dyDescent="0.25">
      <c r="A26" s="18">
        <v>12.8</v>
      </c>
      <c r="B26" s="18">
        <v>2.6199999999999999E-3</v>
      </c>
    </row>
    <row r="27" spans="1:2" x14ac:dyDescent="0.25">
      <c r="A27" s="18">
        <v>13</v>
      </c>
      <c r="B27" s="18">
        <v>3.1700000000000001E-3</v>
      </c>
    </row>
    <row r="28" spans="1:2" x14ac:dyDescent="0.25">
      <c r="A28" s="18">
        <v>13.2</v>
      </c>
      <c r="B28" s="18">
        <v>3.3600000000000001E-3</v>
      </c>
    </row>
    <row r="29" spans="1:2" x14ac:dyDescent="0.25">
      <c r="A29" s="18">
        <v>13.4</v>
      </c>
      <c r="B29" s="18">
        <v>3.7799999999999999E-3</v>
      </c>
    </row>
    <row r="30" spans="1:2" x14ac:dyDescent="0.25">
      <c r="A30" s="18">
        <v>13.6</v>
      </c>
      <c r="B30" s="18">
        <v>4.1200000000000004E-3</v>
      </c>
    </row>
    <row r="31" spans="1:2" x14ac:dyDescent="0.25">
      <c r="A31" s="18">
        <v>13.8</v>
      </c>
      <c r="B31" s="18">
        <v>5.0200000000000002E-3</v>
      </c>
    </row>
    <row r="32" spans="1:2" x14ac:dyDescent="0.25">
      <c r="A32" s="18">
        <v>14</v>
      </c>
      <c r="B32" s="18">
        <v>5.0000000000000001E-3</v>
      </c>
    </row>
    <row r="33" spans="1:2" x14ac:dyDescent="0.25">
      <c r="A33" s="18">
        <v>14.2</v>
      </c>
      <c r="B33" s="18">
        <v>5.7400000000000003E-3</v>
      </c>
    </row>
    <row r="34" spans="1:2" x14ac:dyDescent="0.25">
      <c r="A34" s="18">
        <v>14.4</v>
      </c>
      <c r="B34" s="18">
        <v>6.2199999999999998E-3</v>
      </c>
    </row>
    <row r="35" spans="1:2" x14ac:dyDescent="0.25">
      <c r="A35" s="18">
        <v>14.6</v>
      </c>
      <c r="B35" s="18">
        <v>6.77E-3</v>
      </c>
    </row>
    <row r="36" spans="1:2" x14ac:dyDescent="0.25">
      <c r="A36" s="18">
        <v>14.8</v>
      </c>
      <c r="B36" s="18">
        <v>7.3400000000000002E-3</v>
      </c>
    </row>
    <row r="37" spans="1:2" x14ac:dyDescent="0.25">
      <c r="A37" s="18">
        <v>15</v>
      </c>
      <c r="B37" s="18">
        <v>7.7400000000000004E-3</v>
      </c>
    </row>
    <row r="38" spans="1:2" x14ac:dyDescent="0.25">
      <c r="A38" s="18">
        <v>15.2</v>
      </c>
      <c r="B38" s="18">
        <v>8.4399999999999996E-3</v>
      </c>
    </row>
    <row r="39" spans="1:2" x14ac:dyDescent="0.25">
      <c r="A39" s="18">
        <v>15.4</v>
      </c>
      <c r="B39" s="18">
        <v>8.7500000000000008E-3</v>
      </c>
    </row>
    <row r="40" spans="1:2" x14ac:dyDescent="0.25">
      <c r="A40" s="18">
        <v>15.6</v>
      </c>
      <c r="B40" s="18">
        <v>9.3299999999999998E-3</v>
      </c>
    </row>
    <row r="41" spans="1:2" x14ac:dyDescent="0.25">
      <c r="A41" s="18">
        <v>15.8</v>
      </c>
      <c r="B41" s="18">
        <v>9.58E-3</v>
      </c>
    </row>
    <row r="42" spans="1:2" x14ac:dyDescent="0.25">
      <c r="A42" s="18">
        <v>16</v>
      </c>
      <c r="B42" s="18">
        <v>1.03E-2</v>
      </c>
    </row>
    <row r="43" spans="1:2" x14ac:dyDescent="0.25">
      <c r="A43" s="18">
        <v>16.2</v>
      </c>
      <c r="B43" s="18">
        <v>1.0500000000000001E-2</v>
      </c>
    </row>
    <row r="44" spans="1:2" x14ac:dyDescent="0.25">
      <c r="A44" s="18">
        <v>16.399999999999999</v>
      </c>
      <c r="B44" s="18">
        <v>1.09E-2</v>
      </c>
    </row>
    <row r="45" spans="1:2" x14ac:dyDescent="0.25">
      <c r="A45" s="18">
        <v>16.600000000000001</v>
      </c>
      <c r="B45" s="18">
        <v>1.1299999999999999E-2</v>
      </c>
    </row>
    <row r="46" spans="1:2" x14ac:dyDescent="0.25">
      <c r="A46" s="18">
        <v>16.8</v>
      </c>
      <c r="B46" s="18">
        <v>1.15E-2</v>
      </c>
    </row>
    <row r="47" spans="1:2" x14ac:dyDescent="0.25">
      <c r="A47" s="18">
        <v>17</v>
      </c>
      <c r="B47" s="18">
        <v>1.18E-2</v>
      </c>
    </row>
    <row r="48" spans="1:2" x14ac:dyDescent="0.25">
      <c r="A48" s="18">
        <v>17.2</v>
      </c>
      <c r="B48" s="18">
        <v>1.21E-2</v>
      </c>
    </row>
    <row r="49" spans="1:2" x14ac:dyDescent="0.25">
      <c r="A49" s="18">
        <v>17.399999999999999</v>
      </c>
      <c r="B49" s="18">
        <v>1.24E-2</v>
      </c>
    </row>
    <row r="50" spans="1:2" x14ac:dyDescent="0.25">
      <c r="A50" s="18">
        <v>17.600000000000001</v>
      </c>
      <c r="B50" s="18">
        <v>1.2699999999999999E-2</v>
      </c>
    </row>
    <row r="51" spans="1:2" x14ac:dyDescent="0.25">
      <c r="A51" s="18">
        <v>17.8</v>
      </c>
      <c r="B51" s="18">
        <v>1.29E-2</v>
      </c>
    </row>
    <row r="52" spans="1:2" x14ac:dyDescent="0.25">
      <c r="A52" s="18">
        <v>18</v>
      </c>
      <c r="B52" s="18">
        <v>1.32E-2</v>
      </c>
    </row>
    <row r="53" spans="1:2" x14ac:dyDescent="0.25">
      <c r="A53" s="18">
        <v>18.2</v>
      </c>
      <c r="B53" s="18">
        <v>1.32E-2</v>
      </c>
    </row>
    <row r="54" spans="1:2" x14ac:dyDescent="0.25">
      <c r="A54" s="18">
        <v>18.399999999999999</v>
      </c>
      <c r="B54" s="18">
        <v>1.3299999999999999E-2</v>
      </c>
    </row>
    <row r="55" spans="1:2" x14ac:dyDescent="0.25">
      <c r="A55" s="18">
        <v>18.600000000000001</v>
      </c>
      <c r="B55" s="18">
        <v>1.37E-2</v>
      </c>
    </row>
    <row r="56" spans="1:2" x14ac:dyDescent="0.25">
      <c r="A56" s="18">
        <v>18.8</v>
      </c>
      <c r="B56" s="18">
        <v>1.35E-2</v>
      </c>
    </row>
    <row r="57" spans="1:2" x14ac:dyDescent="0.25">
      <c r="A57" s="18">
        <v>19</v>
      </c>
      <c r="B57" s="18">
        <v>1.37E-2</v>
      </c>
    </row>
    <row r="58" spans="1:2" x14ac:dyDescent="0.25">
      <c r="A58" s="18">
        <v>19.2</v>
      </c>
      <c r="B58" s="18">
        <v>1.38E-2</v>
      </c>
    </row>
    <row r="59" spans="1:2" x14ac:dyDescent="0.25">
      <c r="A59" s="18">
        <v>19.399999999999999</v>
      </c>
      <c r="B59" s="18">
        <v>1.3599999999999999E-2</v>
      </c>
    </row>
    <row r="60" spans="1:2" x14ac:dyDescent="0.25">
      <c r="A60" s="18">
        <v>19.600000000000001</v>
      </c>
      <c r="B60" s="18">
        <v>1.37E-2</v>
      </c>
    </row>
    <row r="61" spans="1:2" x14ac:dyDescent="0.25">
      <c r="A61" s="18">
        <v>19.8</v>
      </c>
      <c r="B61" s="18">
        <v>1.4E-2</v>
      </c>
    </row>
    <row r="62" spans="1:2" x14ac:dyDescent="0.25">
      <c r="A62" s="18">
        <v>20</v>
      </c>
      <c r="B62" s="18">
        <v>1.37E-2</v>
      </c>
    </row>
    <row r="63" spans="1:2" x14ac:dyDescent="0.25">
      <c r="A63" s="18">
        <v>20.2</v>
      </c>
      <c r="B63" s="18">
        <v>1.3599999999999999E-2</v>
      </c>
    </row>
    <row r="64" spans="1:2" x14ac:dyDescent="0.25">
      <c r="A64" s="18">
        <v>20.399999999999999</v>
      </c>
      <c r="B64" s="18">
        <v>1.38E-2</v>
      </c>
    </row>
    <row r="65" spans="1:2" x14ac:dyDescent="0.25">
      <c r="A65" s="18">
        <v>20.6</v>
      </c>
      <c r="B65" s="18">
        <v>1.34E-2</v>
      </c>
    </row>
    <row r="66" spans="1:2" x14ac:dyDescent="0.25">
      <c r="A66" s="18">
        <v>20.8</v>
      </c>
      <c r="B66" s="18">
        <v>1.35E-2</v>
      </c>
    </row>
    <row r="67" spans="1:2" x14ac:dyDescent="0.25">
      <c r="A67" s="18">
        <v>21</v>
      </c>
      <c r="B67" s="18">
        <v>1.35E-2</v>
      </c>
    </row>
    <row r="68" spans="1:2" x14ac:dyDescent="0.25">
      <c r="A68" s="18">
        <v>21.2</v>
      </c>
      <c r="B68" s="18">
        <v>1.32E-2</v>
      </c>
    </row>
    <row r="69" spans="1:2" x14ac:dyDescent="0.25">
      <c r="A69" s="18">
        <v>21.4</v>
      </c>
      <c r="B69" s="18">
        <v>1.32E-2</v>
      </c>
    </row>
    <row r="70" spans="1:2" x14ac:dyDescent="0.25">
      <c r="A70" s="18">
        <v>21.6</v>
      </c>
      <c r="B70" s="18">
        <v>1.3100000000000001E-2</v>
      </c>
    </row>
    <row r="71" spans="1:2" x14ac:dyDescent="0.25">
      <c r="A71" s="18">
        <v>21.8</v>
      </c>
      <c r="B71" s="18">
        <v>1.2699999999999999E-2</v>
      </c>
    </row>
    <row r="72" spans="1:2" x14ac:dyDescent="0.25">
      <c r="A72" s="18">
        <v>22</v>
      </c>
      <c r="B72" s="18">
        <v>1.2800000000000001E-2</v>
      </c>
    </row>
    <row r="73" spans="1:2" x14ac:dyDescent="0.25">
      <c r="A73" s="18">
        <v>22.2</v>
      </c>
      <c r="B73" s="18">
        <v>1.2500000000000001E-2</v>
      </c>
    </row>
    <row r="74" spans="1:2" x14ac:dyDescent="0.25">
      <c r="A74" s="18">
        <v>22.4</v>
      </c>
      <c r="B74" s="18">
        <v>1.2500000000000001E-2</v>
      </c>
    </row>
    <row r="75" spans="1:2" x14ac:dyDescent="0.25">
      <c r="A75" s="18">
        <v>22.6</v>
      </c>
      <c r="B75" s="18">
        <v>1.2200000000000001E-2</v>
      </c>
    </row>
    <row r="76" spans="1:2" x14ac:dyDescent="0.25">
      <c r="A76" s="18">
        <v>22.8</v>
      </c>
      <c r="B76" s="18">
        <v>1.21E-2</v>
      </c>
    </row>
    <row r="77" spans="1:2" x14ac:dyDescent="0.25">
      <c r="A77" s="18">
        <v>23</v>
      </c>
      <c r="B77" s="18">
        <v>1.1900000000000001E-2</v>
      </c>
    </row>
    <row r="78" spans="1:2" x14ac:dyDescent="0.25">
      <c r="A78" s="18">
        <v>23.2</v>
      </c>
      <c r="B78" s="18">
        <v>1.1599999999999999E-2</v>
      </c>
    </row>
    <row r="79" spans="1:2" x14ac:dyDescent="0.25">
      <c r="A79" s="18">
        <v>23.4</v>
      </c>
      <c r="B79" s="18">
        <v>1.17E-2</v>
      </c>
    </row>
    <row r="80" spans="1:2" x14ac:dyDescent="0.25">
      <c r="A80" s="18">
        <v>23.6</v>
      </c>
      <c r="B80" s="18">
        <v>1.12E-2</v>
      </c>
    </row>
    <row r="81" spans="1:2" x14ac:dyDescent="0.25">
      <c r="A81" s="18">
        <v>23.8</v>
      </c>
      <c r="B81" s="18">
        <v>1.12E-2</v>
      </c>
    </row>
    <row r="82" spans="1:2" x14ac:dyDescent="0.25">
      <c r="A82" s="18">
        <v>24</v>
      </c>
      <c r="B82" s="18">
        <v>1.0999999999999999E-2</v>
      </c>
    </row>
    <row r="83" spans="1:2" x14ac:dyDescent="0.25">
      <c r="A83" s="18">
        <v>24.2</v>
      </c>
      <c r="B83" s="18">
        <v>1.0699999999999999E-2</v>
      </c>
    </row>
    <row r="84" spans="1:2" x14ac:dyDescent="0.25">
      <c r="A84" s="18">
        <v>24.4</v>
      </c>
      <c r="B84" s="18">
        <v>1.0500000000000001E-2</v>
      </c>
    </row>
    <row r="85" spans="1:2" x14ac:dyDescent="0.25">
      <c r="A85" s="18">
        <v>24.6</v>
      </c>
      <c r="B85" s="18">
        <v>1.04E-2</v>
      </c>
    </row>
    <row r="86" spans="1:2" x14ac:dyDescent="0.25">
      <c r="A86" s="18">
        <v>24.8</v>
      </c>
      <c r="B86" s="18">
        <v>1.0200000000000001E-2</v>
      </c>
    </row>
    <row r="87" spans="1:2" x14ac:dyDescent="0.25">
      <c r="A87" s="18">
        <v>25</v>
      </c>
      <c r="B87" s="18">
        <v>9.9699999999999997E-3</v>
      </c>
    </row>
    <row r="88" spans="1:2" x14ac:dyDescent="0.25">
      <c r="A88" s="18">
        <v>25.2</v>
      </c>
      <c r="B88" s="18">
        <v>9.7900000000000001E-3</v>
      </c>
    </row>
    <row r="89" spans="1:2" x14ac:dyDescent="0.25">
      <c r="A89" s="18">
        <v>25.4</v>
      </c>
      <c r="B89" s="18">
        <v>9.5200000000000007E-3</v>
      </c>
    </row>
    <row r="90" spans="1:2" x14ac:dyDescent="0.25">
      <c r="A90" s="18">
        <v>25.6</v>
      </c>
      <c r="B90" s="18">
        <v>9.4400000000000005E-3</v>
      </c>
    </row>
    <row r="91" spans="1:2" x14ac:dyDescent="0.25">
      <c r="A91" s="18">
        <v>25.8</v>
      </c>
      <c r="B91" s="18">
        <v>9.2499999999999995E-3</v>
      </c>
    </row>
    <row r="92" spans="1:2" x14ac:dyDescent="0.25">
      <c r="A92" s="18">
        <v>26</v>
      </c>
      <c r="B92" s="18">
        <v>8.94E-3</v>
      </c>
    </row>
    <row r="93" spans="1:2" x14ac:dyDescent="0.25">
      <c r="A93" s="18">
        <v>26.2</v>
      </c>
      <c r="B93" s="18">
        <v>8.7399999999999995E-3</v>
      </c>
    </row>
    <row r="94" spans="1:2" x14ac:dyDescent="0.25">
      <c r="A94" s="18">
        <v>26.4</v>
      </c>
      <c r="B94" s="18">
        <v>8.5599999999999999E-3</v>
      </c>
    </row>
    <row r="95" spans="1:2" x14ac:dyDescent="0.25">
      <c r="A95" s="18">
        <v>26.6</v>
      </c>
      <c r="B95" s="18">
        <v>8.5000000000000006E-3</v>
      </c>
    </row>
    <row r="96" spans="1:2" x14ac:dyDescent="0.25">
      <c r="A96" s="18">
        <v>26.8</v>
      </c>
      <c r="B96" s="18">
        <v>8.0700000000000008E-3</v>
      </c>
    </row>
    <row r="97" spans="1:2" x14ac:dyDescent="0.25">
      <c r="A97" s="18">
        <v>27</v>
      </c>
      <c r="B97" s="18">
        <v>8.1200000000000005E-3</v>
      </c>
    </row>
    <row r="98" spans="1:2" x14ac:dyDescent="0.25">
      <c r="A98" s="18">
        <v>27.2</v>
      </c>
      <c r="B98" s="18">
        <v>7.8600000000000007E-3</v>
      </c>
    </row>
    <row r="99" spans="1:2" x14ac:dyDescent="0.25">
      <c r="A99" s="18">
        <v>27.4</v>
      </c>
      <c r="B99" s="18">
        <v>7.5700000000000003E-3</v>
      </c>
    </row>
    <row r="100" spans="1:2" x14ac:dyDescent="0.25">
      <c r="A100" s="18">
        <v>27.6</v>
      </c>
      <c r="B100" s="18">
        <v>7.6699999999999997E-3</v>
      </c>
    </row>
    <row r="101" spans="1:2" x14ac:dyDescent="0.25">
      <c r="A101" s="18">
        <v>27.8</v>
      </c>
      <c r="B101" s="18">
        <v>7.2100000000000003E-3</v>
      </c>
    </row>
    <row r="102" spans="1:2" x14ac:dyDescent="0.25">
      <c r="A102" s="18">
        <v>28</v>
      </c>
      <c r="B102" s="18">
        <v>6.9800000000000001E-3</v>
      </c>
    </row>
    <row r="103" spans="1:2" x14ac:dyDescent="0.25">
      <c r="A103" s="18">
        <v>28.2</v>
      </c>
      <c r="B103" s="18">
        <v>7.1000000000000004E-3</v>
      </c>
    </row>
    <row r="104" spans="1:2" x14ac:dyDescent="0.25">
      <c r="A104" s="18">
        <v>28.4</v>
      </c>
      <c r="B104" s="18">
        <v>6.6400000000000001E-3</v>
      </c>
    </row>
    <row r="105" spans="1:2" x14ac:dyDescent="0.25">
      <c r="A105" s="18">
        <v>28.6</v>
      </c>
      <c r="B105" s="18">
        <v>6.7000000000000002E-3</v>
      </c>
    </row>
    <row r="106" spans="1:2" x14ac:dyDescent="0.25">
      <c r="A106" s="18">
        <v>28.8</v>
      </c>
      <c r="B106" s="18">
        <v>6.3E-3</v>
      </c>
    </row>
    <row r="107" spans="1:2" x14ac:dyDescent="0.25">
      <c r="A107" s="18">
        <v>29</v>
      </c>
      <c r="B107" s="18">
        <v>6.3899999999999998E-3</v>
      </c>
    </row>
    <row r="108" spans="1:2" x14ac:dyDescent="0.25">
      <c r="A108" s="18">
        <v>29.2</v>
      </c>
      <c r="B108" s="18">
        <v>5.9699999999999996E-3</v>
      </c>
    </row>
    <row r="109" spans="1:2" x14ac:dyDescent="0.25">
      <c r="A109" s="18">
        <v>29.4</v>
      </c>
      <c r="B109" s="18">
        <v>6.0499999999999998E-3</v>
      </c>
    </row>
    <row r="110" spans="1:2" x14ac:dyDescent="0.25">
      <c r="A110" s="18">
        <v>29.6</v>
      </c>
      <c r="B110" s="18">
        <v>5.7000000000000002E-3</v>
      </c>
    </row>
    <row r="111" spans="1:2" x14ac:dyDescent="0.25">
      <c r="A111" s="18">
        <v>29.8</v>
      </c>
      <c r="B111" s="18">
        <v>5.5900000000000004E-3</v>
      </c>
    </row>
    <row r="112" spans="1:2" x14ac:dyDescent="0.25">
      <c r="A112" s="18">
        <v>30</v>
      </c>
      <c r="B112" s="18">
        <v>5.5599999999999998E-3</v>
      </c>
    </row>
    <row r="113" spans="1:2" x14ac:dyDescent="0.25">
      <c r="A113" s="18">
        <v>30.2</v>
      </c>
      <c r="B113" s="18">
        <v>5.2399999999999999E-3</v>
      </c>
    </row>
    <row r="114" spans="1:2" x14ac:dyDescent="0.25">
      <c r="A114" s="18">
        <v>30.4</v>
      </c>
      <c r="B114" s="18">
        <v>5.1900000000000002E-3</v>
      </c>
    </row>
    <row r="115" spans="1:2" x14ac:dyDescent="0.25">
      <c r="A115" s="18">
        <v>30.6</v>
      </c>
      <c r="B115" s="18">
        <v>5.0499999999999998E-3</v>
      </c>
    </row>
    <row r="116" spans="1:2" x14ac:dyDescent="0.25">
      <c r="A116" s="18">
        <v>30.8</v>
      </c>
      <c r="B116" s="18">
        <v>4.8700000000000002E-3</v>
      </c>
    </row>
    <row r="117" spans="1:2" x14ac:dyDescent="0.25">
      <c r="A117" s="18">
        <v>31</v>
      </c>
      <c r="B117" s="18">
        <v>4.8300000000000001E-3</v>
      </c>
    </row>
    <row r="118" spans="1:2" x14ac:dyDescent="0.25">
      <c r="A118" s="18">
        <v>31.2</v>
      </c>
      <c r="B118" s="18">
        <v>4.5199999999999997E-3</v>
      </c>
    </row>
    <row r="119" spans="1:2" x14ac:dyDescent="0.25">
      <c r="A119" s="18">
        <v>31.4</v>
      </c>
      <c r="B119" s="18">
        <v>4.5599999999999998E-3</v>
      </c>
    </row>
    <row r="120" spans="1:2" x14ac:dyDescent="0.25">
      <c r="A120" s="18">
        <v>31.6</v>
      </c>
      <c r="B120" s="18">
        <v>4.28E-3</v>
      </c>
    </row>
    <row r="121" spans="1:2" x14ac:dyDescent="0.25">
      <c r="A121" s="18">
        <v>31.8</v>
      </c>
      <c r="B121" s="18">
        <v>4.2100000000000002E-3</v>
      </c>
    </row>
    <row r="122" spans="1:2" x14ac:dyDescent="0.25">
      <c r="A122" s="18">
        <v>32</v>
      </c>
      <c r="B122" s="18">
        <v>4.15E-3</v>
      </c>
    </row>
    <row r="123" spans="1:2" x14ac:dyDescent="0.25">
      <c r="A123" s="18">
        <v>32.200000000000003</v>
      </c>
      <c r="B123" s="18">
        <v>3.9100000000000003E-3</v>
      </c>
    </row>
    <row r="124" spans="1:2" x14ac:dyDescent="0.25">
      <c r="A124" s="18">
        <v>32.4</v>
      </c>
      <c r="B124" s="18">
        <v>3.8400000000000001E-3</v>
      </c>
    </row>
    <row r="125" spans="1:2" x14ac:dyDescent="0.25">
      <c r="A125" s="18">
        <v>32.6</v>
      </c>
      <c r="B125" s="18">
        <v>3.6800000000000001E-3</v>
      </c>
    </row>
    <row r="126" spans="1:2" x14ac:dyDescent="0.25">
      <c r="A126" s="18">
        <v>32.799999999999997</v>
      </c>
      <c r="B126" s="18">
        <v>3.64E-3</v>
      </c>
    </row>
    <row r="127" spans="1:2" x14ac:dyDescent="0.25">
      <c r="A127" s="18">
        <v>33</v>
      </c>
      <c r="B127" s="18">
        <v>3.5200000000000001E-3</v>
      </c>
    </row>
    <row r="128" spans="1:2" x14ac:dyDescent="0.25">
      <c r="A128" s="18">
        <v>33.200000000000003</v>
      </c>
      <c r="B128" s="18">
        <v>3.3600000000000001E-3</v>
      </c>
    </row>
    <row r="129" spans="1:2" x14ac:dyDescent="0.25">
      <c r="A129" s="18">
        <v>33.4</v>
      </c>
      <c r="B129" s="18">
        <v>3.2499999999999999E-3</v>
      </c>
    </row>
    <row r="130" spans="1:2" x14ac:dyDescent="0.25">
      <c r="A130" s="18">
        <v>33.6</v>
      </c>
      <c r="B130" s="18">
        <v>3.2000000000000002E-3</v>
      </c>
    </row>
    <row r="131" spans="1:2" x14ac:dyDescent="0.25">
      <c r="A131" s="18">
        <v>33.799999999999997</v>
      </c>
      <c r="B131" s="18">
        <v>2.9499999999999999E-3</v>
      </c>
    </row>
    <row r="132" spans="1:2" x14ac:dyDescent="0.25">
      <c r="A132" s="18">
        <v>34</v>
      </c>
      <c r="B132" s="18">
        <v>2.97E-3</v>
      </c>
    </row>
    <row r="133" spans="1:2" x14ac:dyDescent="0.25">
      <c r="A133" s="18">
        <v>34.200000000000003</v>
      </c>
      <c r="B133" s="18">
        <v>2.8500000000000001E-3</v>
      </c>
    </row>
    <row r="134" spans="1:2" x14ac:dyDescent="0.25">
      <c r="A134" s="18">
        <v>34.4</v>
      </c>
      <c r="B134" s="18">
        <v>2.66E-3</v>
      </c>
    </row>
    <row r="135" spans="1:2" x14ac:dyDescent="0.25">
      <c r="A135" s="18">
        <v>34.6</v>
      </c>
      <c r="B135" s="18">
        <v>2.64E-3</v>
      </c>
    </row>
    <row r="136" spans="1:2" x14ac:dyDescent="0.25">
      <c r="A136" s="18">
        <v>34.799999999999997</v>
      </c>
      <c r="B136" s="18">
        <v>2.5200000000000001E-3</v>
      </c>
    </row>
    <row r="137" spans="1:2" x14ac:dyDescent="0.25">
      <c r="A137" s="18">
        <v>35</v>
      </c>
      <c r="B137" s="18">
        <v>2.3999999999999998E-3</v>
      </c>
    </row>
    <row r="138" spans="1:2" x14ac:dyDescent="0.25">
      <c r="A138" s="18">
        <v>35.200000000000003</v>
      </c>
      <c r="B138" s="18">
        <v>2.31E-3</v>
      </c>
    </row>
    <row r="139" spans="1:2" x14ac:dyDescent="0.25">
      <c r="A139" s="18">
        <v>35.4</v>
      </c>
      <c r="B139" s="18">
        <v>2.2100000000000002E-3</v>
      </c>
    </row>
    <row r="140" spans="1:2" x14ac:dyDescent="0.25">
      <c r="A140" s="18">
        <v>35.6</v>
      </c>
      <c r="B140" s="18">
        <v>2.0799999999999998E-3</v>
      </c>
    </row>
    <row r="141" spans="1:2" x14ac:dyDescent="0.25">
      <c r="A141" s="18">
        <v>35.799999999999997</v>
      </c>
      <c r="B141" s="18">
        <v>2.0600000000000002E-3</v>
      </c>
    </row>
    <row r="142" spans="1:2" x14ac:dyDescent="0.25">
      <c r="A142" s="18">
        <v>36</v>
      </c>
      <c r="B142" s="18">
        <v>1.9E-3</v>
      </c>
    </row>
    <row r="143" spans="1:2" x14ac:dyDescent="0.25">
      <c r="A143" s="18">
        <v>36.200000000000003</v>
      </c>
      <c r="B143" s="18">
        <v>1.8600000000000001E-3</v>
      </c>
    </row>
    <row r="144" spans="1:2" x14ac:dyDescent="0.25">
      <c r="A144" s="18">
        <v>36.4</v>
      </c>
      <c r="B144" s="18">
        <v>1.6999999999999999E-3</v>
      </c>
    </row>
    <row r="145" spans="1:2" x14ac:dyDescent="0.25">
      <c r="A145" s="18">
        <v>36.6</v>
      </c>
      <c r="B145" s="18">
        <v>1.67E-3</v>
      </c>
    </row>
    <row r="146" spans="1:2" x14ac:dyDescent="0.25">
      <c r="A146" s="18">
        <v>36.799999999999997</v>
      </c>
      <c r="B146" s="18">
        <v>1.5499999999999999E-3</v>
      </c>
    </row>
    <row r="147" spans="1:2" x14ac:dyDescent="0.25">
      <c r="A147" s="18">
        <v>37</v>
      </c>
      <c r="B147" s="18">
        <v>1.49E-3</v>
      </c>
    </row>
    <row r="148" spans="1:2" x14ac:dyDescent="0.25">
      <c r="A148" s="18">
        <v>37.200000000000003</v>
      </c>
      <c r="B148" s="18">
        <v>1.3600000000000001E-3</v>
      </c>
    </row>
    <row r="149" spans="1:2" x14ac:dyDescent="0.25">
      <c r="A149" s="18">
        <v>37.4</v>
      </c>
      <c r="B149" s="18">
        <v>1.2999999999999999E-3</v>
      </c>
    </row>
    <row r="150" spans="1:2" x14ac:dyDescent="0.25">
      <c r="A150" s="18">
        <v>37.6</v>
      </c>
      <c r="B150" s="18">
        <v>1.2199999999999999E-3</v>
      </c>
    </row>
    <row r="151" spans="1:2" x14ac:dyDescent="0.25">
      <c r="A151" s="18">
        <v>37.799999999999997</v>
      </c>
      <c r="B151" s="18">
        <v>1.1000000000000001E-3</v>
      </c>
    </row>
    <row r="152" spans="1:2" x14ac:dyDescent="0.25">
      <c r="A152" s="18">
        <v>38</v>
      </c>
      <c r="B152" s="18">
        <v>1.06E-3</v>
      </c>
    </row>
    <row r="153" spans="1:2" x14ac:dyDescent="0.25">
      <c r="A153" s="18">
        <v>38.200000000000003</v>
      </c>
      <c r="B153" s="18">
        <v>9.3099999999999997E-4</v>
      </c>
    </row>
    <row r="154" spans="1:2" x14ac:dyDescent="0.25">
      <c r="A154" s="18">
        <v>38.4</v>
      </c>
      <c r="B154" s="18">
        <v>8.8800000000000001E-4</v>
      </c>
    </row>
    <row r="155" spans="1:2" x14ac:dyDescent="0.25">
      <c r="A155" s="18">
        <v>38.6</v>
      </c>
      <c r="B155" s="18">
        <v>7.6199999999999998E-4</v>
      </c>
    </row>
    <row r="156" spans="1:2" x14ac:dyDescent="0.25">
      <c r="A156" s="18">
        <v>38.799999999999997</v>
      </c>
      <c r="B156" s="18">
        <v>6.9099999999999999E-4</v>
      </c>
    </row>
    <row r="157" spans="1:2" x14ac:dyDescent="0.25">
      <c r="A157" s="18">
        <v>39</v>
      </c>
      <c r="B157" s="18">
        <v>5.9400000000000002E-4</v>
      </c>
    </row>
    <row r="158" spans="1:2" x14ac:dyDescent="0.25">
      <c r="A158" s="18">
        <v>39.200000000000003</v>
      </c>
      <c r="B158" s="18">
        <v>5.0600000000000005E-4</v>
      </c>
    </row>
    <row r="159" spans="1:2" x14ac:dyDescent="0.25">
      <c r="A159" s="18">
        <v>39.4</v>
      </c>
      <c r="B159" s="18">
        <v>4.1300000000000001E-4</v>
      </c>
    </row>
    <row r="160" spans="1:2" x14ac:dyDescent="0.25">
      <c r="A160" s="18">
        <v>39.6</v>
      </c>
      <c r="B160" s="18">
        <v>3.39E-4</v>
      </c>
    </row>
    <row r="161" spans="1:2" x14ac:dyDescent="0.25">
      <c r="A161" s="18">
        <v>39.799999999999997</v>
      </c>
      <c r="B161" s="18">
        <v>1.8699999999999999E-4</v>
      </c>
    </row>
    <row r="162" spans="1:2" x14ac:dyDescent="0.25">
      <c r="A162" s="18">
        <v>40</v>
      </c>
      <c r="B162" s="18">
        <v>1.01E-4</v>
      </c>
    </row>
    <row r="163" spans="1:2" x14ac:dyDescent="0.25">
      <c r="A163" s="18">
        <v>40.200000000000003</v>
      </c>
      <c r="B163" s="18">
        <v>7.8699999999999992E-6</v>
      </c>
    </row>
    <row r="164" spans="1:2" x14ac:dyDescent="0.25">
      <c r="A164" s="18">
        <v>40.4</v>
      </c>
      <c r="B164" s="18">
        <v>6.4099999999999996E-6</v>
      </c>
    </row>
    <row r="165" spans="1:2" x14ac:dyDescent="0.25">
      <c r="A165" s="18">
        <v>40.6</v>
      </c>
      <c r="B165" s="18">
        <v>1.64E-6</v>
      </c>
    </row>
    <row r="166" spans="1:2" x14ac:dyDescent="0.25">
      <c r="A166" s="18">
        <v>40.799999999999997</v>
      </c>
      <c r="B166" s="18">
        <v>2.5100000000000001E-6</v>
      </c>
    </row>
    <row r="167" spans="1:2" x14ac:dyDescent="0.25">
      <c r="A167" s="18">
        <v>41</v>
      </c>
      <c r="B167" s="18">
        <v>2.9900000000000002E-7</v>
      </c>
    </row>
    <row r="168" spans="1:2" x14ac:dyDescent="0.25">
      <c r="A168" s="18">
        <v>41.2</v>
      </c>
      <c r="B168" s="18">
        <v>1.9400000000000001E-6</v>
      </c>
    </row>
    <row r="169" spans="1:2" x14ac:dyDescent="0.25">
      <c r="A169" s="18">
        <v>41.4</v>
      </c>
      <c r="B169" s="18">
        <v>2.4299999999999999E-7</v>
      </c>
    </row>
    <row r="170" spans="1:2" x14ac:dyDescent="0.25">
      <c r="A170" s="18">
        <v>41.6</v>
      </c>
      <c r="B170" s="18">
        <v>6.2699999999999999E-7</v>
      </c>
    </row>
    <row r="171" spans="1:2" x14ac:dyDescent="0.25">
      <c r="A171" s="18">
        <v>41.8</v>
      </c>
      <c r="B171" s="18">
        <v>1.6500000000000001E-6</v>
      </c>
    </row>
    <row r="172" spans="1:2" x14ac:dyDescent="0.25">
      <c r="A172" s="18">
        <v>42</v>
      </c>
      <c r="B172" s="18">
        <v>3.3099999999999999E-8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B10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10</v>
      </c>
      <c r="B2" s="18">
        <v>7.4399999999999998E-4</v>
      </c>
    </row>
    <row r="3" spans="1:2" x14ac:dyDescent="0.25">
      <c r="A3" s="18">
        <v>10.5</v>
      </c>
      <c r="B3" s="18">
        <v>4.8899999999999996E-4</v>
      </c>
    </row>
    <row r="4" spans="1:2" x14ac:dyDescent="0.25">
      <c r="A4" s="18">
        <v>11</v>
      </c>
      <c r="B4" s="18">
        <v>5.3600000000000002E-4</v>
      </c>
    </row>
    <row r="5" spans="1:2" x14ac:dyDescent="0.25">
      <c r="A5" s="18">
        <v>11.5</v>
      </c>
      <c r="B5" s="18">
        <v>6.7500000000000004E-4</v>
      </c>
    </row>
    <row r="6" spans="1:2" x14ac:dyDescent="0.25">
      <c r="A6" s="18">
        <v>12</v>
      </c>
      <c r="B6" s="18">
        <v>7.3499999999999998E-4</v>
      </c>
    </row>
    <row r="7" spans="1:2" x14ac:dyDescent="0.25">
      <c r="A7" s="18">
        <v>12.5</v>
      </c>
      <c r="B7" s="18">
        <v>3.5399999999999999E-4</v>
      </c>
    </row>
    <row r="8" spans="1:2" x14ac:dyDescent="0.25">
      <c r="A8" s="18">
        <v>13</v>
      </c>
      <c r="B8" s="18">
        <v>7.0100000000000002E-4</v>
      </c>
    </row>
    <row r="9" spans="1:2" x14ac:dyDescent="0.25">
      <c r="A9" s="18">
        <v>13.5</v>
      </c>
      <c r="B9" s="18">
        <v>4.44E-4</v>
      </c>
    </row>
    <row r="10" spans="1:2" x14ac:dyDescent="0.25">
      <c r="A10" s="18">
        <v>14</v>
      </c>
      <c r="B10" s="18">
        <v>3.6000000000000002E-4</v>
      </c>
    </row>
    <row r="11" spans="1:2" x14ac:dyDescent="0.25">
      <c r="A11" s="18">
        <v>14.5</v>
      </c>
      <c r="B11" s="18">
        <v>4.8200000000000001E-4</v>
      </c>
    </row>
    <row r="12" spans="1:2" x14ac:dyDescent="0.25">
      <c r="A12" s="18">
        <v>15</v>
      </c>
      <c r="B12" s="18">
        <v>4.5399999999999998E-4</v>
      </c>
    </row>
    <row r="13" spans="1:2" x14ac:dyDescent="0.25">
      <c r="A13" s="18">
        <v>15.5</v>
      </c>
      <c r="B13" s="18">
        <v>4.3199999999999998E-4</v>
      </c>
    </row>
    <row r="14" spans="1:2" x14ac:dyDescent="0.25">
      <c r="A14" s="18">
        <v>16</v>
      </c>
      <c r="B14" s="18">
        <v>6.3500000000000004E-4</v>
      </c>
    </row>
    <row r="15" spans="1:2" x14ac:dyDescent="0.25">
      <c r="A15" s="18">
        <v>16.5</v>
      </c>
      <c r="B15" s="18">
        <v>8.12E-4</v>
      </c>
    </row>
    <row r="16" spans="1:2" x14ac:dyDescent="0.25">
      <c r="A16" s="18">
        <v>17</v>
      </c>
      <c r="B16" s="18">
        <v>1.1800000000000001E-3</v>
      </c>
    </row>
    <row r="17" spans="1:2" x14ac:dyDescent="0.25">
      <c r="A17" s="18">
        <v>17.5</v>
      </c>
      <c r="B17" s="18">
        <v>1.83E-3</v>
      </c>
    </row>
    <row r="18" spans="1:2" x14ac:dyDescent="0.25">
      <c r="A18" s="18">
        <v>18</v>
      </c>
      <c r="B18" s="18">
        <v>2.3600000000000001E-3</v>
      </c>
    </row>
    <row r="19" spans="1:2" x14ac:dyDescent="0.25">
      <c r="A19" s="18">
        <v>18.5</v>
      </c>
      <c r="B19" s="18">
        <v>3.2100000000000002E-3</v>
      </c>
    </row>
    <row r="20" spans="1:2" x14ac:dyDescent="0.25">
      <c r="A20" s="18">
        <v>19</v>
      </c>
      <c r="B20" s="18">
        <v>4.2599999999999999E-3</v>
      </c>
    </row>
    <row r="21" spans="1:2" x14ac:dyDescent="0.25">
      <c r="A21" s="18">
        <v>19.5</v>
      </c>
      <c r="B21" s="18">
        <v>5.3200000000000001E-3</v>
      </c>
    </row>
    <row r="22" spans="1:2" x14ac:dyDescent="0.25">
      <c r="A22" s="18">
        <v>20</v>
      </c>
      <c r="B22" s="18">
        <v>6.5300000000000002E-3</v>
      </c>
    </row>
    <row r="23" spans="1:2" x14ac:dyDescent="0.25">
      <c r="A23" s="18">
        <v>20.5</v>
      </c>
      <c r="B23" s="18">
        <v>7.9000000000000008E-3</v>
      </c>
    </row>
    <row r="24" spans="1:2" x14ac:dyDescent="0.25">
      <c r="A24" s="18">
        <v>21</v>
      </c>
      <c r="B24" s="18">
        <v>9.1999999999999998E-3</v>
      </c>
    </row>
    <row r="25" spans="1:2" x14ac:dyDescent="0.25">
      <c r="A25" s="18">
        <v>21.5</v>
      </c>
      <c r="B25" s="18">
        <v>1.06E-2</v>
      </c>
    </row>
    <row r="26" spans="1:2" x14ac:dyDescent="0.25">
      <c r="A26" s="18">
        <v>22</v>
      </c>
      <c r="B26" s="18">
        <v>1.21E-2</v>
      </c>
    </row>
    <row r="27" spans="1:2" x14ac:dyDescent="0.25">
      <c r="A27" s="18">
        <v>22.5</v>
      </c>
      <c r="B27" s="18">
        <v>1.3599999999999999E-2</v>
      </c>
    </row>
    <row r="28" spans="1:2" x14ac:dyDescent="0.25">
      <c r="A28" s="18">
        <v>23</v>
      </c>
      <c r="B28" s="18">
        <v>1.46E-2</v>
      </c>
    </row>
    <row r="29" spans="1:2" x14ac:dyDescent="0.25">
      <c r="A29" s="18">
        <v>23.5</v>
      </c>
      <c r="B29" s="18">
        <v>1.6E-2</v>
      </c>
    </row>
    <row r="30" spans="1:2" x14ac:dyDescent="0.25">
      <c r="A30" s="18">
        <v>24</v>
      </c>
      <c r="B30" s="18">
        <v>1.7299999999999999E-2</v>
      </c>
    </row>
    <row r="31" spans="1:2" x14ac:dyDescent="0.25">
      <c r="A31" s="18">
        <v>24.5</v>
      </c>
      <c r="B31" s="18">
        <v>1.8100000000000002E-2</v>
      </c>
    </row>
    <row r="32" spans="1:2" x14ac:dyDescent="0.25">
      <c r="A32" s="18">
        <v>25</v>
      </c>
      <c r="B32" s="18">
        <v>1.9199999999999998E-2</v>
      </c>
    </row>
    <row r="33" spans="1:2" x14ac:dyDescent="0.25">
      <c r="A33" s="18">
        <v>25.5</v>
      </c>
      <c r="B33" s="18">
        <v>0.02</v>
      </c>
    </row>
    <row r="34" spans="1:2" x14ac:dyDescent="0.25">
      <c r="A34" s="18">
        <v>26</v>
      </c>
      <c r="B34" s="18">
        <v>2.0400000000000001E-2</v>
      </c>
    </row>
    <row r="35" spans="1:2" x14ac:dyDescent="0.25">
      <c r="A35" s="18">
        <v>26.5</v>
      </c>
      <c r="B35" s="18">
        <v>2.1100000000000001E-2</v>
      </c>
    </row>
    <row r="36" spans="1:2" x14ac:dyDescent="0.25">
      <c r="A36" s="18">
        <v>27</v>
      </c>
      <c r="B36" s="18">
        <v>2.1600000000000001E-2</v>
      </c>
    </row>
    <row r="37" spans="1:2" x14ac:dyDescent="0.25">
      <c r="A37" s="18">
        <v>27.5</v>
      </c>
      <c r="B37" s="18">
        <v>2.1899999999999999E-2</v>
      </c>
    </row>
    <row r="38" spans="1:2" x14ac:dyDescent="0.25">
      <c r="A38" s="18">
        <v>28</v>
      </c>
      <c r="B38" s="18">
        <v>2.2200000000000001E-2</v>
      </c>
    </row>
    <row r="39" spans="1:2" x14ac:dyDescent="0.25">
      <c r="A39" s="18">
        <v>28.5</v>
      </c>
      <c r="B39" s="18">
        <v>2.2200000000000001E-2</v>
      </c>
    </row>
    <row r="40" spans="1:2" x14ac:dyDescent="0.25">
      <c r="A40" s="18">
        <v>29</v>
      </c>
      <c r="B40" s="18">
        <v>2.2200000000000001E-2</v>
      </c>
    </row>
    <row r="41" spans="1:2" x14ac:dyDescent="0.25">
      <c r="A41" s="18">
        <v>29.5</v>
      </c>
      <c r="B41" s="18">
        <v>2.2200000000000001E-2</v>
      </c>
    </row>
    <row r="42" spans="1:2" x14ac:dyDescent="0.25">
      <c r="A42" s="18">
        <v>30</v>
      </c>
      <c r="B42" s="18">
        <v>2.2100000000000002E-2</v>
      </c>
    </row>
    <row r="43" spans="1:2" x14ac:dyDescent="0.25">
      <c r="A43" s="18">
        <v>30.5</v>
      </c>
      <c r="B43" s="18">
        <v>2.18E-2</v>
      </c>
    </row>
    <row r="44" spans="1:2" x14ac:dyDescent="0.25">
      <c r="A44" s="18">
        <v>31</v>
      </c>
      <c r="B44" s="18">
        <v>2.1899999999999999E-2</v>
      </c>
    </row>
    <row r="45" spans="1:2" x14ac:dyDescent="0.25">
      <c r="A45" s="18">
        <v>31.5</v>
      </c>
      <c r="B45" s="18">
        <v>2.1499999999999998E-2</v>
      </c>
    </row>
    <row r="46" spans="1:2" x14ac:dyDescent="0.25">
      <c r="A46" s="18">
        <v>32</v>
      </c>
      <c r="B46" s="18">
        <v>2.1100000000000001E-2</v>
      </c>
    </row>
    <row r="47" spans="1:2" x14ac:dyDescent="0.25">
      <c r="A47" s="18">
        <v>32.5</v>
      </c>
      <c r="B47" s="18">
        <v>2.07E-2</v>
      </c>
    </row>
    <row r="48" spans="1:2" x14ac:dyDescent="0.25">
      <c r="A48" s="18">
        <v>33</v>
      </c>
      <c r="B48" s="18">
        <v>2.0400000000000001E-2</v>
      </c>
    </row>
    <row r="49" spans="1:2" x14ac:dyDescent="0.25">
      <c r="A49" s="18">
        <v>33.5</v>
      </c>
      <c r="B49" s="18">
        <v>0.02</v>
      </c>
    </row>
    <row r="50" spans="1:2" x14ac:dyDescent="0.25">
      <c r="A50" s="18">
        <v>34</v>
      </c>
      <c r="B50" s="18">
        <v>1.9699999999999999E-2</v>
      </c>
    </row>
    <row r="51" spans="1:2" x14ac:dyDescent="0.25">
      <c r="A51" s="18">
        <v>34.5</v>
      </c>
      <c r="B51" s="18">
        <v>1.9199999999999998E-2</v>
      </c>
    </row>
    <row r="52" spans="1:2" x14ac:dyDescent="0.25">
      <c r="A52" s="18">
        <v>35</v>
      </c>
      <c r="B52" s="18">
        <v>1.8700000000000001E-2</v>
      </c>
    </row>
    <row r="53" spans="1:2" x14ac:dyDescent="0.25">
      <c r="A53" s="18">
        <v>35.5</v>
      </c>
      <c r="B53" s="18">
        <v>1.8200000000000001E-2</v>
      </c>
    </row>
    <row r="54" spans="1:2" x14ac:dyDescent="0.25">
      <c r="A54" s="18">
        <v>36</v>
      </c>
      <c r="B54" s="18">
        <v>1.77E-2</v>
      </c>
    </row>
    <row r="55" spans="1:2" x14ac:dyDescent="0.25">
      <c r="A55" s="18">
        <v>36.5</v>
      </c>
      <c r="B55" s="18">
        <v>1.72E-2</v>
      </c>
    </row>
    <row r="56" spans="1:2" x14ac:dyDescent="0.25">
      <c r="A56" s="18">
        <v>37</v>
      </c>
      <c r="B56" s="18">
        <v>1.67E-2</v>
      </c>
    </row>
    <row r="57" spans="1:2" x14ac:dyDescent="0.25">
      <c r="A57" s="18">
        <v>37.5</v>
      </c>
      <c r="B57" s="18">
        <v>1.6199999999999999E-2</v>
      </c>
    </row>
    <row r="58" spans="1:2" x14ac:dyDescent="0.25">
      <c r="A58" s="18">
        <v>38</v>
      </c>
      <c r="B58" s="18">
        <v>1.5599999999999999E-2</v>
      </c>
    </row>
    <row r="59" spans="1:2" x14ac:dyDescent="0.25">
      <c r="A59" s="18">
        <v>38.5</v>
      </c>
      <c r="B59" s="18">
        <v>1.5100000000000001E-2</v>
      </c>
    </row>
    <row r="60" spans="1:2" x14ac:dyDescent="0.25">
      <c r="A60" s="18">
        <v>39</v>
      </c>
      <c r="B60" s="18">
        <v>1.46E-2</v>
      </c>
    </row>
    <row r="61" spans="1:2" x14ac:dyDescent="0.25">
      <c r="A61" s="18">
        <v>39.5</v>
      </c>
      <c r="B61" s="18">
        <v>1.41E-2</v>
      </c>
    </row>
    <row r="62" spans="1:2" x14ac:dyDescent="0.25">
      <c r="A62" s="18">
        <v>40</v>
      </c>
      <c r="B62" s="18">
        <v>1.3599999999999999E-2</v>
      </c>
    </row>
    <row r="63" spans="1:2" x14ac:dyDescent="0.25">
      <c r="A63" s="18">
        <v>40.5</v>
      </c>
      <c r="B63" s="18">
        <v>1.32E-2</v>
      </c>
    </row>
    <row r="64" spans="1:2" x14ac:dyDescent="0.25">
      <c r="A64" s="18">
        <v>41</v>
      </c>
      <c r="B64" s="18">
        <v>1.2800000000000001E-2</v>
      </c>
    </row>
    <row r="65" spans="1:2" x14ac:dyDescent="0.25">
      <c r="A65" s="18">
        <v>41.5</v>
      </c>
      <c r="B65" s="18">
        <v>1.24E-2</v>
      </c>
    </row>
    <row r="66" spans="1:2" x14ac:dyDescent="0.25">
      <c r="A66" s="18">
        <v>42</v>
      </c>
      <c r="B66" s="18">
        <v>1.2E-2</v>
      </c>
    </row>
    <row r="67" spans="1:2" x14ac:dyDescent="0.25">
      <c r="A67" s="18">
        <v>42.5</v>
      </c>
      <c r="B67" s="18">
        <v>1.15E-2</v>
      </c>
    </row>
    <row r="68" spans="1:2" x14ac:dyDescent="0.25">
      <c r="A68" s="18">
        <v>43</v>
      </c>
      <c r="B68" s="18">
        <v>1.12E-2</v>
      </c>
    </row>
    <row r="69" spans="1:2" x14ac:dyDescent="0.25">
      <c r="A69" s="18">
        <v>43.5</v>
      </c>
      <c r="B69" s="18">
        <v>1.0699999999999999E-2</v>
      </c>
    </row>
    <row r="70" spans="1:2" x14ac:dyDescent="0.25">
      <c r="A70" s="18">
        <v>44</v>
      </c>
      <c r="B70" s="18">
        <v>1.04E-2</v>
      </c>
    </row>
    <row r="71" spans="1:2" x14ac:dyDescent="0.25">
      <c r="A71" s="18">
        <v>44.5</v>
      </c>
      <c r="B71" s="18">
        <v>9.9100000000000004E-3</v>
      </c>
    </row>
    <row r="72" spans="1:2" x14ac:dyDescent="0.25">
      <c r="A72" s="18">
        <v>45</v>
      </c>
      <c r="B72" s="18">
        <v>9.5200000000000007E-3</v>
      </c>
    </row>
    <row r="73" spans="1:2" x14ac:dyDescent="0.25">
      <c r="A73" s="18">
        <v>45.5</v>
      </c>
      <c r="B73" s="18">
        <v>9.1500000000000001E-3</v>
      </c>
    </row>
    <row r="74" spans="1:2" x14ac:dyDescent="0.25">
      <c r="A74" s="18">
        <v>46</v>
      </c>
      <c r="B74" s="18">
        <v>8.7500000000000008E-3</v>
      </c>
    </row>
    <row r="75" spans="1:2" x14ac:dyDescent="0.25">
      <c r="A75" s="18">
        <v>46.5</v>
      </c>
      <c r="B75" s="18">
        <v>8.4700000000000001E-3</v>
      </c>
    </row>
    <row r="76" spans="1:2" x14ac:dyDescent="0.25">
      <c r="A76" s="18">
        <v>47</v>
      </c>
      <c r="B76" s="18">
        <v>8.0599999999999995E-3</v>
      </c>
    </row>
    <row r="77" spans="1:2" x14ac:dyDescent="0.25">
      <c r="A77" s="18">
        <v>47.5</v>
      </c>
      <c r="B77" s="18">
        <v>7.7099999999999998E-3</v>
      </c>
    </row>
    <row r="78" spans="1:2" x14ac:dyDescent="0.25">
      <c r="A78" s="18">
        <v>48</v>
      </c>
      <c r="B78" s="18">
        <v>7.3099999999999997E-3</v>
      </c>
    </row>
    <row r="79" spans="1:2" x14ac:dyDescent="0.25">
      <c r="A79" s="18">
        <v>48.5</v>
      </c>
      <c r="B79" s="18">
        <v>6.94E-3</v>
      </c>
    </row>
    <row r="80" spans="1:2" x14ac:dyDescent="0.25">
      <c r="A80" s="18">
        <v>49</v>
      </c>
      <c r="B80" s="18">
        <v>6.6299999999999996E-3</v>
      </c>
    </row>
    <row r="81" spans="1:2" x14ac:dyDescent="0.25">
      <c r="A81" s="18">
        <v>49.5</v>
      </c>
      <c r="B81" s="18">
        <v>6.3499999999999997E-3</v>
      </c>
    </row>
    <row r="82" spans="1:2" x14ac:dyDescent="0.25">
      <c r="A82" s="18">
        <v>50</v>
      </c>
      <c r="B82" s="18">
        <v>5.9500000000000004E-3</v>
      </c>
    </row>
    <row r="83" spans="1:2" x14ac:dyDescent="0.25">
      <c r="A83" s="18">
        <v>50.5</v>
      </c>
      <c r="B83" s="18">
        <v>5.7200000000000003E-3</v>
      </c>
    </row>
    <row r="84" spans="1:2" x14ac:dyDescent="0.25">
      <c r="A84" s="18">
        <v>51</v>
      </c>
      <c r="B84" s="18">
        <v>5.4000000000000003E-3</v>
      </c>
    </row>
    <row r="85" spans="1:2" x14ac:dyDescent="0.25">
      <c r="A85" s="18">
        <v>51.5</v>
      </c>
      <c r="B85" s="18">
        <v>5.11E-3</v>
      </c>
    </row>
    <row r="86" spans="1:2" x14ac:dyDescent="0.25">
      <c r="A86" s="18">
        <v>52</v>
      </c>
      <c r="B86" s="18">
        <v>4.8199999999999996E-3</v>
      </c>
    </row>
    <row r="87" spans="1:2" x14ac:dyDescent="0.25">
      <c r="A87" s="18">
        <v>52.5</v>
      </c>
      <c r="B87" s="18">
        <v>4.5599999999999998E-3</v>
      </c>
    </row>
    <row r="88" spans="1:2" x14ac:dyDescent="0.25">
      <c r="A88" s="18">
        <v>53</v>
      </c>
      <c r="B88" s="18">
        <v>4.3600000000000002E-3</v>
      </c>
    </row>
    <row r="89" spans="1:2" x14ac:dyDescent="0.25">
      <c r="A89" s="18">
        <v>53.5</v>
      </c>
      <c r="B89" s="18">
        <v>4.0499999999999998E-3</v>
      </c>
    </row>
    <row r="90" spans="1:2" x14ac:dyDescent="0.25">
      <c r="A90" s="18">
        <v>54</v>
      </c>
      <c r="B90" s="18">
        <v>3.7299999999999998E-3</v>
      </c>
    </row>
    <row r="91" spans="1:2" x14ac:dyDescent="0.25">
      <c r="A91" s="18">
        <v>54.5</v>
      </c>
      <c r="B91" s="18">
        <v>3.47E-3</v>
      </c>
    </row>
    <row r="92" spans="1:2" x14ac:dyDescent="0.25">
      <c r="A92" s="18">
        <v>55</v>
      </c>
      <c r="B92" s="18">
        <v>3.1900000000000001E-3</v>
      </c>
    </row>
    <row r="93" spans="1:2" x14ac:dyDescent="0.25">
      <c r="A93" s="18">
        <v>55.5</v>
      </c>
      <c r="B93" s="18">
        <v>2.9099999999999998E-3</v>
      </c>
    </row>
    <row r="94" spans="1:2" x14ac:dyDescent="0.25">
      <c r="A94" s="18">
        <v>56</v>
      </c>
      <c r="B94" s="18">
        <v>2.64E-3</v>
      </c>
    </row>
    <row r="95" spans="1:2" x14ac:dyDescent="0.25">
      <c r="A95" s="18">
        <v>56.5</v>
      </c>
      <c r="B95" s="18">
        <v>2.3500000000000001E-3</v>
      </c>
    </row>
    <row r="96" spans="1:2" x14ac:dyDescent="0.25">
      <c r="A96" s="18">
        <v>57</v>
      </c>
      <c r="B96" s="18">
        <v>2.0999999999999999E-3</v>
      </c>
    </row>
    <row r="97" spans="1:2" x14ac:dyDescent="0.25">
      <c r="A97" s="18">
        <v>57.5</v>
      </c>
      <c r="B97" s="18">
        <v>1.7799999999999999E-3</v>
      </c>
    </row>
    <row r="98" spans="1:2" x14ac:dyDescent="0.25">
      <c r="A98" s="18">
        <v>58</v>
      </c>
      <c r="B98" s="18">
        <v>1.49E-3</v>
      </c>
    </row>
    <row r="99" spans="1:2" x14ac:dyDescent="0.25">
      <c r="A99" s="18">
        <v>58.5</v>
      </c>
      <c r="B99" s="18">
        <v>1.1800000000000001E-3</v>
      </c>
    </row>
    <row r="100" spans="1:2" x14ac:dyDescent="0.25">
      <c r="A100" s="18">
        <v>59</v>
      </c>
      <c r="B100" s="18">
        <v>8.7500000000000002E-4</v>
      </c>
    </row>
    <row r="101" spans="1:2" x14ac:dyDescent="0.25">
      <c r="A101" s="18">
        <v>59.5</v>
      </c>
      <c r="B101" s="18">
        <v>5.1999999999999995E-4</v>
      </c>
    </row>
    <row r="102" spans="1:2" x14ac:dyDescent="0.25">
      <c r="A102" s="18">
        <v>60</v>
      </c>
      <c r="B102" s="18">
        <v>1.35E-4</v>
      </c>
    </row>
    <row r="103" spans="1:2" x14ac:dyDescent="0.25">
      <c r="A103" s="18">
        <v>60.5</v>
      </c>
      <c r="B103" s="18">
        <v>4.2400000000000001E-6</v>
      </c>
    </row>
    <row r="104" spans="1:2" x14ac:dyDescent="0.25">
      <c r="A104" s="18">
        <v>61</v>
      </c>
      <c r="B104" s="18">
        <v>2.9900000000000002E-6</v>
      </c>
    </row>
    <row r="105" spans="1:2" x14ac:dyDescent="0.25">
      <c r="A105" s="18">
        <v>61.5</v>
      </c>
      <c r="B105" s="18">
        <v>3.5099999999999999E-6</v>
      </c>
    </row>
    <row r="106" spans="1:2" x14ac:dyDescent="0.25">
      <c r="A106" s="18">
        <v>62</v>
      </c>
      <c r="B106" s="18">
        <v>1.9E-6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13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15</v>
      </c>
      <c r="B2" s="18">
        <v>2.4899999999999998E-4</v>
      </c>
    </row>
    <row r="3" spans="1:2" x14ac:dyDescent="0.25">
      <c r="A3" s="18">
        <v>15.5</v>
      </c>
      <c r="B3" s="18">
        <v>2.31E-4</v>
      </c>
    </row>
    <row r="4" spans="1:2" x14ac:dyDescent="0.25">
      <c r="A4" s="18">
        <v>16</v>
      </c>
      <c r="B4" s="18">
        <v>2.3900000000000001E-4</v>
      </c>
    </row>
    <row r="5" spans="1:2" x14ac:dyDescent="0.25">
      <c r="A5" s="18">
        <v>16.5</v>
      </c>
      <c r="B5" s="18">
        <v>2.7300000000000002E-4</v>
      </c>
    </row>
    <row r="6" spans="1:2" x14ac:dyDescent="0.25">
      <c r="A6" s="18">
        <v>17</v>
      </c>
      <c r="B6" s="18">
        <v>2.23E-4</v>
      </c>
    </row>
    <row r="7" spans="1:2" x14ac:dyDescent="0.25">
      <c r="A7" s="18">
        <v>17.5</v>
      </c>
      <c r="B7" s="18">
        <v>2.41E-4</v>
      </c>
    </row>
    <row r="8" spans="1:2" x14ac:dyDescent="0.25">
      <c r="A8" s="18">
        <v>18</v>
      </c>
      <c r="B8" s="18">
        <v>2.33E-4</v>
      </c>
    </row>
    <row r="9" spans="1:2" x14ac:dyDescent="0.25">
      <c r="A9" s="18">
        <v>18.5</v>
      </c>
      <c r="B9" s="18">
        <v>1.8900000000000001E-4</v>
      </c>
    </row>
    <row r="10" spans="1:2" x14ac:dyDescent="0.25">
      <c r="A10" s="18">
        <v>19</v>
      </c>
      <c r="B10" s="18">
        <v>2.5999999999999998E-4</v>
      </c>
    </row>
    <row r="11" spans="1:2" x14ac:dyDescent="0.25">
      <c r="A11" s="18">
        <v>19.5</v>
      </c>
      <c r="B11" s="18">
        <v>4.0000000000000002E-4</v>
      </c>
    </row>
    <row r="12" spans="1:2" x14ac:dyDescent="0.25">
      <c r="A12" s="18">
        <v>20</v>
      </c>
      <c r="B12" s="18">
        <v>4.6000000000000001E-4</v>
      </c>
    </row>
    <row r="13" spans="1:2" x14ac:dyDescent="0.25">
      <c r="A13" s="18">
        <v>20.5</v>
      </c>
      <c r="B13" s="18">
        <v>7.18E-4</v>
      </c>
    </row>
    <row r="14" spans="1:2" x14ac:dyDescent="0.25">
      <c r="A14" s="18">
        <v>21</v>
      </c>
      <c r="B14" s="18">
        <v>1.01E-3</v>
      </c>
    </row>
    <row r="15" spans="1:2" x14ac:dyDescent="0.25">
      <c r="A15" s="18">
        <v>21.5</v>
      </c>
      <c r="B15" s="18">
        <v>1.2600000000000001E-3</v>
      </c>
    </row>
    <row r="16" spans="1:2" x14ac:dyDescent="0.25">
      <c r="A16" s="18">
        <v>22</v>
      </c>
      <c r="B16" s="18">
        <v>1.67E-3</v>
      </c>
    </row>
    <row r="17" spans="1:2" x14ac:dyDescent="0.25">
      <c r="A17" s="18">
        <v>22.5</v>
      </c>
      <c r="B17" s="18">
        <v>2.1900000000000001E-3</v>
      </c>
    </row>
    <row r="18" spans="1:2" x14ac:dyDescent="0.25">
      <c r="A18" s="18">
        <v>23</v>
      </c>
      <c r="B18" s="18">
        <v>2.7699999999999999E-3</v>
      </c>
    </row>
    <row r="19" spans="1:2" x14ac:dyDescent="0.25">
      <c r="A19" s="18">
        <v>23.5</v>
      </c>
      <c r="B19" s="18">
        <v>3.4199999999999999E-3</v>
      </c>
    </row>
    <row r="20" spans="1:2" x14ac:dyDescent="0.25">
      <c r="A20" s="18">
        <v>24</v>
      </c>
      <c r="B20" s="18">
        <v>4.0200000000000001E-3</v>
      </c>
    </row>
    <row r="21" spans="1:2" x14ac:dyDescent="0.25">
      <c r="A21" s="18">
        <v>24.5</v>
      </c>
      <c r="B21" s="18">
        <v>4.79E-3</v>
      </c>
    </row>
    <row r="22" spans="1:2" x14ac:dyDescent="0.25">
      <c r="A22" s="18">
        <v>25</v>
      </c>
      <c r="B22" s="18">
        <v>5.5599999999999998E-3</v>
      </c>
    </row>
    <row r="23" spans="1:2" x14ac:dyDescent="0.25">
      <c r="A23" s="18">
        <v>25.5</v>
      </c>
      <c r="B23" s="18">
        <v>6.2700000000000004E-3</v>
      </c>
    </row>
    <row r="24" spans="1:2" x14ac:dyDescent="0.25">
      <c r="A24" s="18">
        <v>26</v>
      </c>
      <c r="B24" s="18">
        <v>7.0600000000000003E-3</v>
      </c>
    </row>
    <row r="25" spans="1:2" x14ac:dyDescent="0.25">
      <c r="A25" s="18">
        <v>26.5</v>
      </c>
      <c r="B25" s="18">
        <v>7.8399999999999997E-3</v>
      </c>
    </row>
    <row r="26" spans="1:2" x14ac:dyDescent="0.25">
      <c r="A26" s="18">
        <v>27</v>
      </c>
      <c r="B26" s="18">
        <v>8.5000000000000006E-3</v>
      </c>
    </row>
    <row r="27" spans="1:2" x14ac:dyDescent="0.25">
      <c r="A27" s="18">
        <v>27.5</v>
      </c>
      <c r="B27" s="18">
        <v>9.2599999999999991E-3</v>
      </c>
    </row>
    <row r="28" spans="1:2" x14ac:dyDescent="0.25">
      <c r="A28" s="18">
        <v>28</v>
      </c>
      <c r="B28" s="18">
        <v>0.01</v>
      </c>
    </row>
    <row r="29" spans="1:2" x14ac:dyDescent="0.25">
      <c r="A29" s="18">
        <v>28.5</v>
      </c>
      <c r="B29" s="18">
        <v>1.06E-2</v>
      </c>
    </row>
    <row r="30" spans="1:2" x14ac:dyDescent="0.25">
      <c r="A30" s="18">
        <v>29</v>
      </c>
      <c r="B30" s="18">
        <v>1.1299999999999999E-2</v>
      </c>
    </row>
    <row r="31" spans="1:2" x14ac:dyDescent="0.25">
      <c r="A31" s="18">
        <v>29.5</v>
      </c>
      <c r="B31" s="18">
        <v>1.1900000000000001E-2</v>
      </c>
    </row>
    <row r="32" spans="1:2" x14ac:dyDescent="0.25">
      <c r="A32" s="18">
        <v>30</v>
      </c>
      <c r="B32" s="18">
        <v>1.24E-2</v>
      </c>
    </row>
    <row r="33" spans="1:2" x14ac:dyDescent="0.25">
      <c r="A33" s="18">
        <v>30.5</v>
      </c>
      <c r="B33" s="18">
        <v>1.3100000000000001E-2</v>
      </c>
    </row>
    <row r="34" spans="1:2" x14ac:dyDescent="0.25">
      <c r="A34" s="18">
        <v>31</v>
      </c>
      <c r="B34" s="18">
        <v>1.3299999999999999E-2</v>
      </c>
    </row>
    <row r="35" spans="1:2" x14ac:dyDescent="0.25">
      <c r="A35" s="18">
        <v>31.5</v>
      </c>
      <c r="B35" s="18">
        <v>1.38E-2</v>
      </c>
    </row>
    <row r="36" spans="1:2" x14ac:dyDescent="0.25">
      <c r="A36" s="18">
        <v>32</v>
      </c>
      <c r="B36" s="18">
        <v>1.4200000000000001E-2</v>
      </c>
    </row>
    <row r="37" spans="1:2" x14ac:dyDescent="0.25">
      <c r="A37" s="18">
        <v>32.5</v>
      </c>
      <c r="B37" s="18">
        <v>1.4500000000000001E-2</v>
      </c>
    </row>
    <row r="38" spans="1:2" x14ac:dyDescent="0.25">
      <c r="A38" s="18">
        <v>33</v>
      </c>
      <c r="B38" s="18">
        <v>1.4800000000000001E-2</v>
      </c>
    </row>
    <row r="39" spans="1:2" x14ac:dyDescent="0.25">
      <c r="A39" s="18">
        <v>33.5</v>
      </c>
      <c r="B39" s="18">
        <v>1.49E-2</v>
      </c>
    </row>
    <row r="40" spans="1:2" x14ac:dyDescent="0.25">
      <c r="A40" s="18">
        <v>34</v>
      </c>
      <c r="B40" s="18">
        <v>1.52E-2</v>
      </c>
    </row>
    <row r="41" spans="1:2" x14ac:dyDescent="0.25">
      <c r="A41" s="18">
        <v>34.5</v>
      </c>
      <c r="B41" s="18">
        <v>1.55E-2</v>
      </c>
    </row>
    <row r="42" spans="1:2" x14ac:dyDescent="0.25">
      <c r="A42" s="18">
        <v>35</v>
      </c>
      <c r="B42" s="18">
        <v>1.54E-2</v>
      </c>
    </row>
    <row r="43" spans="1:2" x14ac:dyDescent="0.25">
      <c r="A43" s="18">
        <v>35.5</v>
      </c>
      <c r="B43" s="18">
        <v>1.5699999999999999E-2</v>
      </c>
    </row>
    <row r="44" spans="1:2" x14ac:dyDescent="0.25">
      <c r="A44" s="18">
        <v>36</v>
      </c>
      <c r="B44" s="18">
        <v>1.55E-2</v>
      </c>
    </row>
    <row r="45" spans="1:2" x14ac:dyDescent="0.25">
      <c r="A45" s="18">
        <v>36.5</v>
      </c>
      <c r="B45" s="18">
        <v>1.54E-2</v>
      </c>
    </row>
    <row r="46" spans="1:2" x14ac:dyDescent="0.25">
      <c r="A46" s="18">
        <v>37</v>
      </c>
      <c r="B46" s="18">
        <v>1.55E-2</v>
      </c>
    </row>
    <row r="47" spans="1:2" x14ac:dyDescent="0.25">
      <c r="A47" s="18">
        <v>37.5</v>
      </c>
      <c r="B47" s="18">
        <v>1.5299999999999999E-2</v>
      </c>
    </row>
    <row r="48" spans="1:2" x14ac:dyDescent="0.25">
      <c r="A48" s="18">
        <v>38</v>
      </c>
      <c r="B48" s="18">
        <v>1.52E-2</v>
      </c>
    </row>
    <row r="49" spans="1:2" x14ac:dyDescent="0.25">
      <c r="A49" s="18">
        <v>38.5</v>
      </c>
      <c r="B49" s="18">
        <v>1.4999999999999999E-2</v>
      </c>
    </row>
    <row r="50" spans="1:2" x14ac:dyDescent="0.25">
      <c r="A50" s="18">
        <v>39</v>
      </c>
      <c r="B50" s="18">
        <v>1.49E-2</v>
      </c>
    </row>
    <row r="51" spans="1:2" x14ac:dyDescent="0.25">
      <c r="A51" s="18">
        <v>39.5</v>
      </c>
      <c r="B51" s="18">
        <v>1.4800000000000001E-2</v>
      </c>
    </row>
    <row r="52" spans="1:2" x14ac:dyDescent="0.25">
      <c r="A52" s="18">
        <v>40</v>
      </c>
      <c r="B52" s="18">
        <v>1.46E-2</v>
      </c>
    </row>
    <row r="53" spans="1:2" x14ac:dyDescent="0.25">
      <c r="A53" s="18">
        <v>40.5</v>
      </c>
      <c r="B53" s="18">
        <v>1.44E-2</v>
      </c>
    </row>
    <row r="54" spans="1:2" x14ac:dyDescent="0.25">
      <c r="A54" s="18">
        <v>41</v>
      </c>
      <c r="B54" s="18">
        <v>1.43E-2</v>
      </c>
    </row>
    <row r="55" spans="1:2" x14ac:dyDescent="0.25">
      <c r="A55" s="18">
        <v>41.5</v>
      </c>
      <c r="B55" s="18">
        <v>1.41E-2</v>
      </c>
    </row>
    <row r="56" spans="1:2" x14ac:dyDescent="0.25">
      <c r="A56" s="18">
        <v>42</v>
      </c>
      <c r="B56" s="18">
        <v>1.3899999999999999E-2</v>
      </c>
    </row>
    <row r="57" spans="1:2" x14ac:dyDescent="0.25">
      <c r="A57" s="18">
        <v>42.5</v>
      </c>
      <c r="B57" s="18">
        <v>1.38E-2</v>
      </c>
    </row>
    <row r="58" spans="1:2" x14ac:dyDescent="0.25">
      <c r="A58" s="18">
        <v>43</v>
      </c>
      <c r="B58" s="18">
        <v>1.3599999999999999E-2</v>
      </c>
    </row>
    <row r="59" spans="1:2" x14ac:dyDescent="0.25">
      <c r="A59" s="18">
        <v>43.5</v>
      </c>
      <c r="B59" s="18">
        <v>1.34E-2</v>
      </c>
    </row>
    <row r="60" spans="1:2" x14ac:dyDescent="0.25">
      <c r="A60" s="18">
        <v>44</v>
      </c>
      <c r="B60" s="18">
        <v>1.32E-2</v>
      </c>
    </row>
    <row r="61" spans="1:2" x14ac:dyDescent="0.25">
      <c r="A61" s="18">
        <v>44.5</v>
      </c>
      <c r="B61" s="18">
        <v>1.2999999999999999E-2</v>
      </c>
    </row>
    <row r="62" spans="1:2" x14ac:dyDescent="0.25">
      <c r="A62" s="18">
        <v>45</v>
      </c>
      <c r="B62" s="18">
        <v>1.2699999999999999E-2</v>
      </c>
    </row>
    <row r="63" spans="1:2" x14ac:dyDescent="0.25">
      <c r="A63" s="18">
        <v>45.5</v>
      </c>
      <c r="B63" s="18">
        <v>1.2500000000000001E-2</v>
      </c>
    </row>
    <row r="64" spans="1:2" x14ac:dyDescent="0.25">
      <c r="A64" s="18">
        <v>46</v>
      </c>
      <c r="B64" s="18">
        <v>1.23E-2</v>
      </c>
    </row>
    <row r="65" spans="1:2" x14ac:dyDescent="0.25">
      <c r="A65" s="18">
        <v>46.5</v>
      </c>
      <c r="B65" s="18">
        <v>1.21E-2</v>
      </c>
    </row>
    <row r="66" spans="1:2" x14ac:dyDescent="0.25">
      <c r="A66" s="18">
        <v>47</v>
      </c>
      <c r="B66" s="18">
        <v>1.18E-2</v>
      </c>
    </row>
    <row r="67" spans="1:2" x14ac:dyDescent="0.25">
      <c r="A67" s="18">
        <v>47.5</v>
      </c>
      <c r="B67" s="18">
        <v>1.1599999999999999E-2</v>
      </c>
    </row>
    <row r="68" spans="1:2" x14ac:dyDescent="0.25">
      <c r="A68" s="18">
        <v>48</v>
      </c>
      <c r="B68" s="18">
        <v>1.1299999999999999E-2</v>
      </c>
    </row>
    <row r="69" spans="1:2" x14ac:dyDescent="0.25">
      <c r="A69" s="18">
        <v>48.5</v>
      </c>
      <c r="B69" s="18">
        <v>1.11E-2</v>
      </c>
    </row>
    <row r="70" spans="1:2" x14ac:dyDescent="0.25">
      <c r="A70" s="18">
        <v>49</v>
      </c>
      <c r="B70" s="18">
        <v>1.0800000000000001E-2</v>
      </c>
    </row>
    <row r="71" spans="1:2" x14ac:dyDescent="0.25">
      <c r="A71" s="18">
        <v>49.5</v>
      </c>
      <c r="B71" s="18">
        <v>1.0500000000000001E-2</v>
      </c>
    </row>
    <row r="72" spans="1:2" x14ac:dyDescent="0.25">
      <c r="A72" s="18">
        <v>50</v>
      </c>
      <c r="B72" s="18">
        <v>1.03E-2</v>
      </c>
    </row>
    <row r="73" spans="1:2" x14ac:dyDescent="0.25">
      <c r="A73" s="18">
        <v>50.5</v>
      </c>
      <c r="B73" s="18">
        <v>1.0200000000000001E-2</v>
      </c>
    </row>
    <row r="74" spans="1:2" x14ac:dyDescent="0.25">
      <c r="A74" s="18">
        <v>51</v>
      </c>
      <c r="B74" s="18">
        <v>1.01E-2</v>
      </c>
    </row>
    <row r="75" spans="1:2" x14ac:dyDescent="0.25">
      <c r="A75" s="18">
        <v>51.5</v>
      </c>
      <c r="B75" s="18">
        <v>9.8099999999999993E-3</v>
      </c>
    </row>
    <row r="76" spans="1:2" x14ac:dyDescent="0.25">
      <c r="A76" s="18">
        <v>52</v>
      </c>
      <c r="B76" s="18">
        <v>9.6900000000000007E-3</v>
      </c>
    </row>
    <row r="77" spans="1:2" x14ac:dyDescent="0.25">
      <c r="A77" s="18">
        <v>52.5</v>
      </c>
      <c r="B77" s="18">
        <v>9.3900000000000008E-3</v>
      </c>
    </row>
    <row r="78" spans="1:2" x14ac:dyDescent="0.25">
      <c r="A78" s="18">
        <v>53</v>
      </c>
      <c r="B78" s="18">
        <v>9.2499999999999995E-3</v>
      </c>
    </row>
    <row r="79" spans="1:2" x14ac:dyDescent="0.25">
      <c r="A79" s="18">
        <v>53.5</v>
      </c>
      <c r="B79" s="18">
        <v>9.0699999999999999E-3</v>
      </c>
    </row>
    <row r="80" spans="1:2" x14ac:dyDescent="0.25">
      <c r="A80" s="18">
        <v>54</v>
      </c>
      <c r="B80" s="18">
        <v>8.8699999999999994E-3</v>
      </c>
    </row>
    <row r="81" spans="1:2" x14ac:dyDescent="0.25">
      <c r="A81" s="18">
        <v>54.5</v>
      </c>
      <c r="B81" s="18">
        <v>8.6999999999999994E-3</v>
      </c>
    </row>
    <row r="82" spans="1:2" x14ac:dyDescent="0.25">
      <c r="A82" s="18">
        <v>55</v>
      </c>
      <c r="B82" s="18">
        <v>8.4899999999999993E-3</v>
      </c>
    </row>
    <row r="83" spans="1:2" x14ac:dyDescent="0.25">
      <c r="A83" s="18">
        <v>55.5</v>
      </c>
      <c r="B83" s="18">
        <v>8.3400000000000002E-3</v>
      </c>
    </row>
    <row r="84" spans="1:2" x14ac:dyDescent="0.25">
      <c r="A84" s="18">
        <v>56</v>
      </c>
      <c r="B84" s="18">
        <v>8.1300000000000001E-3</v>
      </c>
    </row>
    <row r="85" spans="1:2" x14ac:dyDescent="0.25">
      <c r="A85" s="18">
        <v>56.5</v>
      </c>
      <c r="B85" s="18">
        <v>7.9299999999999995E-3</v>
      </c>
    </row>
    <row r="86" spans="1:2" x14ac:dyDescent="0.25">
      <c r="A86" s="18">
        <v>57</v>
      </c>
      <c r="B86" s="18">
        <v>7.7499999999999999E-3</v>
      </c>
    </row>
    <row r="87" spans="1:2" x14ac:dyDescent="0.25">
      <c r="A87" s="18">
        <v>57.5</v>
      </c>
      <c r="B87" s="18">
        <v>8.1300000000000001E-3</v>
      </c>
    </row>
    <row r="88" spans="1:2" x14ac:dyDescent="0.25">
      <c r="A88" s="18">
        <v>58</v>
      </c>
      <c r="B88" s="18">
        <v>1.17E-2</v>
      </c>
    </row>
    <row r="89" spans="1:2" x14ac:dyDescent="0.25">
      <c r="A89" s="18">
        <v>58.5</v>
      </c>
      <c r="B89" s="18">
        <v>7.8100000000000001E-3</v>
      </c>
    </row>
    <row r="90" spans="1:2" x14ac:dyDescent="0.25">
      <c r="A90" s="18">
        <v>59</v>
      </c>
      <c r="B90" s="18">
        <v>1.03E-2</v>
      </c>
    </row>
    <row r="91" spans="1:2" x14ac:dyDescent="0.25">
      <c r="A91" s="18">
        <v>59.5</v>
      </c>
      <c r="B91" s="18">
        <v>1.29E-2</v>
      </c>
    </row>
    <row r="92" spans="1:2" x14ac:dyDescent="0.25">
      <c r="A92" s="18">
        <v>60</v>
      </c>
      <c r="B92" s="18">
        <v>6.8100000000000001E-3</v>
      </c>
    </row>
    <row r="93" spans="1:2" x14ac:dyDescent="0.25">
      <c r="A93" s="18">
        <v>60.5</v>
      </c>
      <c r="B93" s="18">
        <v>6.5100000000000002E-3</v>
      </c>
    </row>
    <row r="94" spans="1:2" x14ac:dyDescent="0.25">
      <c r="A94" s="18">
        <v>61</v>
      </c>
      <c r="B94" s="18">
        <v>6.3400000000000001E-3</v>
      </c>
    </row>
    <row r="95" spans="1:2" x14ac:dyDescent="0.25">
      <c r="A95" s="18">
        <v>61.5</v>
      </c>
      <c r="B95" s="18">
        <v>6.1700000000000001E-3</v>
      </c>
    </row>
    <row r="96" spans="1:2" x14ac:dyDescent="0.25">
      <c r="A96" s="18">
        <v>62</v>
      </c>
      <c r="B96" s="18">
        <v>6.0699999999999999E-3</v>
      </c>
    </row>
    <row r="97" spans="1:2" x14ac:dyDescent="0.25">
      <c r="A97" s="18">
        <v>62.5</v>
      </c>
      <c r="B97" s="18">
        <v>5.9699999999999996E-3</v>
      </c>
    </row>
    <row r="98" spans="1:2" x14ac:dyDescent="0.25">
      <c r="A98" s="18">
        <v>63</v>
      </c>
      <c r="B98" s="18">
        <v>5.77E-3</v>
      </c>
    </row>
    <row r="99" spans="1:2" x14ac:dyDescent="0.25">
      <c r="A99" s="18">
        <v>63.5</v>
      </c>
      <c r="B99" s="18">
        <v>5.6499999999999996E-3</v>
      </c>
    </row>
    <row r="100" spans="1:2" x14ac:dyDescent="0.25">
      <c r="A100" s="18">
        <v>64</v>
      </c>
      <c r="B100" s="18">
        <v>5.45E-3</v>
      </c>
    </row>
    <row r="101" spans="1:2" x14ac:dyDescent="0.25">
      <c r="A101" s="18">
        <v>64.5</v>
      </c>
      <c r="B101" s="18">
        <v>5.3400000000000001E-3</v>
      </c>
    </row>
    <row r="102" spans="1:2" x14ac:dyDescent="0.25">
      <c r="A102" s="18">
        <v>65</v>
      </c>
      <c r="B102" s="18">
        <v>5.2100000000000002E-3</v>
      </c>
    </row>
    <row r="103" spans="1:2" x14ac:dyDescent="0.25">
      <c r="A103" s="18">
        <v>65.5</v>
      </c>
      <c r="B103" s="18">
        <v>5.0499999999999998E-3</v>
      </c>
    </row>
    <row r="104" spans="1:2" x14ac:dyDescent="0.25">
      <c r="A104" s="18">
        <v>66</v>
      </c>
      <c r="B104" s="18">
        <v>4.9100000000000003E-3</v>
      </c>
    </row>
    <row r="105" spans="1:2" x14ac:dyDescent="0.25">
      <c r="A105" s="18">
        <v>66.5</v>
      </c>
      <c r="B105" s="18">
        <v>4.9500000000000004E-3</v>
      </c>
    </row>
    <row r="106" spans="1:2" x14ac:dyDescent="0.25">
      <c r="A106" s="18">
        <v>67</v>
      </c>
      <c r="B106" s="18">
        <v>6.79E-3</v>
      </c>
    </row>
    <row r="107" spans="1:2" x14ac:dyDescent="0.25">
      <c r="A107" s="18">
        <v>67.5</v>
      </c>
      <c r="B107" s="18">
        <v>5.7499999999999999E-3</v>
      </c>
    </row>
    <row r="108" spans="1:2" x14ac:dyDescent="0.25">
      <c r="A108" s="18">
        <v>68</v>
      </c>
      <c r="B108" s="18">
        <v>4.3099999999999996E-3</v>
      </c>
    </row>
    <row r="109" spans="1:2" x14ac:dyDescent="0.25">
      <c r="A109" s="18">
        <v>68.5</v>
      </c>
      <c r="B109" s="18">
        <v>4.2199999999999998E-3</v>
      </c>
    </row>
    <row r="110" spans="1:2" x14ac:dyDescent="0.25">
      <c r="A110" s="18">
        <v>69</v>
      </c>
      <c r="B110" s="18">
        <v>4.62E-3</v>
      </c>
    </row>
    <row r="111" spans="1:2" x14ac:dyDescent="0.25">
      <c r="A111" s="18">
        <v>69.5</v>
      </c>
      <c r="B111" s="18">
        <v>4.0099999999999997E-3</v>
      </c>
    </row>
    <row r="112" spans="1:2" x14ac:dyDescent="0.25">
      <c r="A112" s="18">
        <v>70</v>
      </c>
      <c r="B112" s="18">
        <v>3.5300000000000002E-3</v>
      </c>
    </row>
    <row r="113" spans="1:2" x14ac:dyDescent="0.25">
      <c r="A113" s="18">
        <v>70.5</v>
      </c>
      <c r="B113" s="18">
        <v>3.3500000000000001E-3</v>
      </c>
    </row>
    <row r="114" spans="1:2" x14ac:dyDescent="0.25">
      <c r="A114" s="18">
        <v>71</v>
      </c>
      <c r="B114" s="18">
        <v>3.2000000000000002E-3</v>
      </c>
    </row>
    <row r="115" spans="1:2" x14ac:dyDescent="0.25">
      <c r="A115" s="18">
        <v>71.5</v>
      </c>
      <c r="B115" s="18">
        <v>3.0999999999999999E-3</v>
      </c>
    </row>
    <row r="116" spans="1:2" x14ac:dyDescent="0.25">
      <c r="A116" s="18">
        <v>72</v>
      </c>
      <c r="B116" s="18">
        <v>2.9399999999999999E-3</v>
      </c>
    </row>
    <row r="117" spans="1:2" x14ac:dyDescent="0.25">
      <c r="A117" s="18">
        <v>72.5</v>
      </c>
      <c r="B117" s="18">
        <v>2.8E-3</v>
      </c>
    </row>
    <row r="118" spans="1:2" x14ac:dyDescent="0.25">
      <c r="A118" s="18">
        <v>73</v>
      </c>
      <c r="B118" s="18">
        <v>2.65E-3</v>
      </c>
    </row>
    <row r="119" spans="1:2" x14ac:dyDescent="0.25">
      <c r="A119" s="18">
        <v>73.5</v>
      </c>
      <c r="B119" s="18">
        <v>2.49E-3</v>
      </c>
    </row>
    <row r="120" spans="1:2" x14ac:dyDescent="0.25">
      <c r="A120" s="18">
        <v>74</v>
      </c>
      <c r="B120" s="18">
        <v>2.31E-3</v>
      </c>
    </row>
    <row r="121" spans="1:2" x14ac:dyDescent="0.25">
      <c r="A121" s="18">
        <v>74.5</v>
      </c>
      <c r="B121" s="18">
        <v>2.1700000000000001E-3</v>
      </c>
    </row>
    <row r="122" spans="1:2" x14ac:dyDescent="0.25">
      <c r="A122" s="18">
        <v>75</v>
      </c>
      <c r="B122" s="18">
        <v>1.99E-3</v>
      </c>
    </row>
    <row r="123" spans="1:2" x14ac:dyDescent="0.25">
      <c r="A123" s="18">
        <v>75.5</v>
      </c>
      <c r="B123" s="18">
        <v>1.81E-3</v>
      </c>
    </row>
    <row r="124" spans="1:2" x14ac:dyDescent="0.25">
      <c r="A124" s="18">
        <v>76</v>
      </c>
      <c r="B124" s="18">
        <v>1.67E-3</v>
      </c>
    </row>
    <row r="125" spans="1:2" x14ac:dyDescent="0.25">
      <c r="A125" s="18">
        <v>76.5</v>
      </c>
      <c r="B125" s="18">
        <v>1.5E-3</v>
      </c>
    </row>
    <row r="126" spans="1:2" x14ac:dyDescent="0.25">
      <c r="A126" s="18">
        <v>77</v>
      </c>
      <c r="B126" s="18">
        <v>1.3500000000000001E-3</v>
      </c>
    </row>
    <row r="127" spans="1:2" x14ac:dyDescent="0.25">
      <c r="A127" s="18">
        <v>77.5</v>
      </c>
      <c r="B127" s="18">
        <v>1.17E-3</v>
      </c>
    </row>
    <row r="128" spans="1:2" x14ac:dyDescent="0.25">
      <c r="A128" s="18">
        <v>78</v>
      </c>
      <c r="B128" s="18">
        <v>9.7300000000000002E-4</v>
      </c>
    </row>
    <row r="129" spans="1:2" x14ac:dyDescent="0.25">
      <c r="A129" s="18">
        <v>78.5</v>
      </c>
      <c r="B129" s="18">
        <v>7.6199999999999998E-4</v>
      </c>
    </row>
    <row r="130" spans="1:2" x14ac:dyDescent="0.25">
      <c r="A130" s="18">
        <v>79</v>
      </c>
      <c r="B130" s="18">
        <v>5.6099999999999998E-4</v>
      </c>
    </row>
    <row r="131" spans="1:2" x14ac:dyDescent="0.25">
      <c r="A131" s="18">
        <v>79.5</v>
      </c>
      <c r="B131" s="18">
        <v>3.3700000000000001E-4</v>
      </c>
    </row>
    <row r="132" spans="1:2" x14ac:dyDescent="0.25">
      <c r="A132" s="18">
        <v>80</v>
      </c>
      <c r="B132" s="18">
        <v>8.81E-5</v>
      </c>
    </row>
    <row r="133" spans="1:2" x14ac:dyDescent="0.25">
      <c r="A133" s="18">
        <v>80.5</v>
      </c>
      <c r="B133" s="18">
        <v>2.8899999999999999E-6</v>
      </c>
    </row>
    <row r="134" spans="1:2" x14ac:dyDescent="0.25">
      <c r="A134" s="18">
        <v>81</v>
      </c>
      <c r="B134" s="18">
        <v>5.13E-6</v>
      </c>
    </row>
    <row r="135" spans="1:2" x14ac:dyDescent="0.25">
      <c r="A135" s="18">
        <v>81.5</v>
      </c>
      <c r="B135" s="18">
        <v>3.3699999999999999E-6</v>
      </c>
    </row>
    <row r="136" spans="1:2" x14ac:dyDescent="0.25">
      <c r="A136" s="18">
        <v>82</v>
      </c>
      <c r="B136" s="18">
        <v>4.1200000000000004E-6</v>
      </c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B17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15</v>
      </c>
      <c r="B2" s="18">
        <v>3.1399999999999999E-4</v>
      </c>
    </row>
    <row r="3" spans="1:2" x14ac:dyDescent="0.25">
      <c r="A3" s="18">
        <v>15.5</v>
      </c>
      <c r="B3" s="18">
        <v>2.5599999999999999E-4</v>
      </c>
    </row>
    <row r="4" spans="1:2" x14ac:dyDescent="0.25">
      <c r="A4" s="18">
        <v>16</v>
      </c>
      <c r="B4" s="18">
        <v>2.7099999999999997E-4</v>
      </c>
    </row>
    <row r="5" spans="1:2" x14ac:dyDescent="0.25">
      <c r="A5" s="18">
        <v>16.5</v>
      </c>
      <c r="B5" s="18">
        <v>2.3599999999999999E-4</v>
      </c>
    </row>
    <row r="6" spans="1:2" x14ac:dyDescent="0.25">
      <c r="A6" s="18">
        <v>17</v>
      </c>
      <c r="B6" s="18">
        <v>1.63E-4</v>
      </c>
    </row>
    <row r="7" spans="1:2" x14ac:dyDescent="0.25">
      <c r="A7" s="18">
        <v>17.5</v>
      </c>
      <c r="B7" s="18">
        <v>1.4100000000000001E-4</v>
      </c>
    </row>
    <row r="8" spans="1:2" x14ac:dyDescent="0.25">
      <c r="A8" s="18">
        <v>18</v>
      </c>
      <c r="B8" s="18">
        <v>1.5899999999999999E-4</v>
      </c>
    </row>
    <row r="9" spans="1:2" x14ac:dyDescent="0.25">
      <c r="A9" s="18">
        <v>18.5</v>
      </c>
      <c r="B9" s="18">
        <v>5.0399999999999999E-5</v>
      </c>
    </row>
    <row r="10" spans="1:2" x14ac:dyDescent="0.25">
      <c r="A10" s="18">
        <v>19</v>
      </c>
      <c r="B10" s="18">
        <v>1.8000000000000001E-4</v>
      </c>
    </row>
    <row r="11" spans="1:2" x14ac:dyDescent="0.25">
      <c r="A11" s="18">
        <v>19.5</v>
      </c>
      <c r="B11" s="18">
        <v>1.3300000000000001E-4</v>
      </c>
    </row>
    <row r="12" spans="1:2" x14ac:dyDescent="0.25">
      <c r="A12" s="18">
        <v>20</v>
      </c>
      <c r="B12" s="18">
        <v>2.0100000000000001E-4</v>
      </c>
    </row>
    <row r="13" spans="1:2" x14ac:dyDescent="0.25">
      <c r="A13" s="18">
        <v>20.5</v>
      </c>
      <c r="B13" s="18">
        <v>2.3599999999999999E-4</v>
      </c>
    </row>
    <row r="14" spans="1:2" x14ac:dyDescent="0.25">
      <c r="A14" s="18">
        <v>21</v>
      </c>
      <c r="B14" s="18">
        <v>2.61E-4</v>
      </c>
    </row>
    <row r="15" spans="1:2" x14ac:dyDescent="0.25">
      <c r="A15" s="18">
        <v>21.5</v>
      </c>
      <c r="B15" s="18">
        <v>3.4200000000000002E-4</v>
      </c>
    </row>
    <row r="16" spans="1:2" x14ac:dyDescent="0.25">
      <c r="A16" s="18">
        <v>22</v>
      </c>
      <c r="B16" s="18">
        <v>4.7699999999999999E-4</v>
      </c>
    </row>
    <row r="17" spans="1:2" x14ac:dyDescent="0.25">
      <c r="A17" s="18">
        <v>22.5</v>
      </c>
      <c r="B17" s="18">
        <v>5.5500000000000005E-4</v>
      </c>
    </row>
    <row r="18" spans="1:2" x14ac:dyDescent="0.25">
      <c r="A18" s="18">
        <v>23</v>
      </c>
      <c r="B18" s="18">
        <v>7.2199999999999999E-4</v>
      </c>
    </row>
    <row r="19" spans="1:2" x14ac:dyDescent="0.25">
      <c r="A19" s="18">
        <v>23.5</v>
      </c>
      <c r="B19" s="18">
        <v>9.1100000000000003E-4</v>
      </c>
    </row>
    <row r="20" spans="1:2" x14ac:dyDescent="0.25">
      <c r="A20" s="18">
        <v>24</v>
      </c>
      <c r="B20" s="18">
        <v>1.1299999999999999E-3</v>
      </c>
    </row>
    <row r="21" spans="1:2" x14ac:dyDescent="0.25">
      <c r="A21" s="18">
        <v>24.5</v>
      </c>
      <c r="B21" s="18">
        <v>1.42E-3</v>
      </c>
    </row>
    <row r="22" spans="1:2" x14ac:dyDescent="0.25">
      <c r="A22" s="18">
        <v>25</v>
      </c>
      <c r="B22" s="18">
        <v>1.7700000000000001E-3</v>
      </c>
    </row>
    <row r="23" spans="1:2" x14ac:dyDescent="0.25">
      <c r="A23" s="18">
        <v>25.5</v>
      </c>
      <c r="B23" s="18">
        <v>2.0100000000000001E-3</v>
      </c>
    </row>
    <row r="24" spans="1:2" x14ac:dyDescent="0.25">
      <c r="A24" s="18">
        <v>26</v>
      </c>
      <c r="B24" s="18">
        <v>2.3500000000000001E-3</v>
      </c>
    </row>
    <row r="25" spans="1:2" x14ac:dyDescent="0.25">
      <c r="A25" s="18">
        <v>26.5</v>
      </c>
      <c r="B25" s="18">
        <v>2.97E-3</v>
      </c>
    </row>
    <row r="26" spans="1:2" x14ac:dyDescent="0.25">
      <c r="A26" s="18">
        <v>27</v>
      </c>
      <c r="B26" s="18">
        <v>3.3800000000000002E-3</v>
      </c>
    </row>
    <row r="27" spans="1:2" x14ac:dyDescent="0.25">
      <c r="A27" s="18">
        <v>27.5</v>
      </c>
      <c r="B27" s="18">
        <v>3.8300000000000001E-3</v>
      </c>
    </row>
    <row r="28" spans="1:2" x14ac:dyDescent="0.25">
      <c r="A28" s="18">
        <v>28</v>
      </c>
      <c r="B28" s="18">
        <v>4.28E-3</v>
      </c>
    </row>
    <row r="29" spans="1:2" x14ac:dyDescent="0.25">
      <c r="A29" s="18">
        <v>28.5</v>
      </c>
      <c r="B29" s="18">
        <v>4.6899999999999997E-3</v>
      </c>
    </row>
    <row r="30" spans="1:2" x14ac:dyDescent="0.25">
      <c r="A30" s="18">
        <v>29</v>
      </c>
      <c r="B30" s="18">
        <v>5.0699999999999999E-3</v>
      </c>
    </row>
    <row r="31" spans="1:2" x14ac:dyDescent="0.25">
      <c r="A31" s="18">
        <v>29.5</v>
      </c>
      <c r="B31" s="18">
        <v>5.5100000000000001E-3</v>
      </c>
    </row>
    <row r="32" spans="1:2" x14ac:dyDescent="0.25">
      <c r="A32" s="18">
        <v>30</v>
      </c>
      <c r="B32" s="18">
        <v>6.1900000000000002E-3</v>
      </c>
    </row>
    <row r="33" spans="1:2" x14ac:dyDescent="0.25">
      <c r="A33" s="18">
        <v>30.5</v>
      </c>
      <c r="B33" s="18">
        <v>6.43E-3</v>
      </c>
    </row>
    <row r="34" spans="1:2" x14ac:dyDescent="0.25">
      <c r="A34" s="18">
        <v>31</v>
      </c>
      <c r="B34" s="18">
        <v>6.9300000000000004E-3</v>
      </c>
    </row>
    <row r="35" spans="1:2" x14ac:dyDescent="0.25">
      <c r="A35" s="18">
        <v>31.5</v>
      </c>
      <c r="B35" s="18">
        <v>7.3800000000000003E-3</v>
      </c>
    </row>
    <row r="36" spans="1:2" x14ac:dyDescent="0.25">
      <c r="A36" s="18">
        <v>32</v>
      </c>
      <c r="B36" s="18">
        <v>7.7499999999999999E-3</v>
      </c>
    </row>
    <row r="37" spans="1:2" x14ac:dyDescent="0.25">
      <c r="A37" s="18">
        <v>32.5</v>
      </c>
      <c r="B37" s="18">
        <v>8.1099999999999992E-3</v>
      </c>
    </row>
    <row r="38" spans="1:2" x14ac:dyDescent="0.25">
      <c r="A38" s="18">
        <v>33</v>
      </c>
      <c r="B38" s="18">
        <v>8.5000000000000006E-3</v>
      </c>
    </row>
    <row r="39" spans="1:2" x14ac:dyDescent="0.25">
      <c r="A39" s="18">
        <v>33.5</v>
      </c>
      <c r="B39" s="18">
        <v>8.8000000000000005E-3</v>
      </c>
    </row>
    <row r="40" spans="1:2" x14ac:dyDescent="0.25">
      <c r="A40" s="18">
        <v>34</v>
      </c>
      <c r="B40" s="18">
        <v>9.0799999999999995E-3</v>
      </c>
    </row>
    <row r="41" spans="1:2" x14ac:dyDescent="0.25">
      <c r="A41" s="18">
        <v>34.5</v>
      </c>
      <c r="B41" s="18">
        <v>9.3799999999999994E-3</v>
      </c>
    </row>
    <row r="42" spans="1:2" x14ac:dyDescent="0.25">
      <c r="A42" s="18">
        <v>35</v>
      </c>
      <c r="B42" s="18">
        <v>9.6900000000000007E-3</v>
      </c>
    </row>
    <row r="43" spans="1:2" x14ac:dyDescent="0.25">
      <c r="A43" s="18">
        <v>35.5</v>
      </c>
      <c r="B43" s="18">
        <v>9.7800000000000005E-3</v>
      </c>
    </row>
    <row r="44" spans="1:2" x14ac:dyDescent="0.25">
      <c r="A44" s="18">
        <v>36</v>
      </c>
      <c r="B44" s="18">
        <v>1.0200000000000001E-2</v>
      </c>
    </row>
    <row r="45" spans="1:2" x14ac:dyDescent="0.25">
      <c r="A45" s="18">
        <v>36.5</v>
      </c>
      <c r="B45" s="18">
        <v>1.0200000000000001E-2</v>
      </c>
    </row>
    <row r="46" spans="1:2" x14ac:dyDescent="0.25">
      <c r="A46" s="18">
        <v>37</v>
      </c>
      <c r="B46" s="18">
        <v>1.04E-2</v>
      </c>
    </row>
    <row r="47" spans="1:2" x14ac:dyDescent="0.25">
      <c r="A47" s="18">
        <v>37.5</v>
      </c>
      <c r="B47" s="18">
        <v>1.0500000000000001E-2</v>
      </c>
    </row>
    <row r="48" spans="1:2" x14ac:dyDescent="0.25">
      <c r="A48" s="18">
        <v>38</v>
      </c>
      <c r="B48" s="18">
        <v>1.0699999999999999E-2</v>
      </c>
    </row>
    <row r="49" spans="1:2" x14ac:dyDescent="0.25">
      <c r="A49" s="18">
        <v>38.5</v>
      </c>
      <c r="B49" s="18">
        <v>1.0699999999999999E-2</v>
      </c>
    </row>
    <row r="50" spans="1:2" x14ac:dyDescent="0.25">
      <c r="A50" s="18">
        <v>39</v>
      </c>
      <c r="B50" s="18">
        <v>1.0699999999999999E-2</v>
      </c>
    </row>
    <row r="51" spans="1:2" x14ac:dyDescent="0.25">
      <c r="A51" s="18">
        <v>39.5</v>
      </c>
      <c r="B51" s="18">
        <v>1.0699999999999999E-2</v>
      </c>
    </row>
    <row r="52" spans="1:2" x14ac:dyDescent="0.25">
      <c r="A52" s="18">
        <v>40</v>
      </c>
      <c r="B52" s="18">
        <v>1.0699999999999999E-2</v>
      </c>
    </row>
    <row r="53" spans="1:2" x14ac:dyDescent="0.25">
      <c r="A53" s="18">
        <v>40.5</v>
      </c>
      <c r="B53" s="18">
        <v>1.0800000000000001E-2</v>
      </c>
    </row>
    <row r="54" spans="1:2" x14ac:dyDescent="0.25">
      <c r="A54" s="18">
        <v>41</v>
      </c>
      <c r="B54" s="18">
        <v>1.0800000000000001E-2</v>
      </c>
    </row>
    <row r="55" spans="1:2" x14ac:dyDescent="0.25">
      <c r="A55" s="18">
        <v>41.5</v>
      </c>
      <c r="B55" s="18">
        <v>1.11E-2</v>
      </c>
    </row>
    <row r="56" spans="1:2" x14ac:dyDescent="0.25">
      <c r="A56" s="18">
        <v>42</v>
      </c>
      <c r="B56" s="18">
        <v>1.09E-2</v>
      </c>
    </row>
    <row r="57" spans="1:2" x14ac:dyDescent="0.25">
      <c r="A57" s="18">
        <v>42.5</v>
      </c>
      <c r="B57" s="18">
        <v>1.09E-2</v>
      </c>
    </row>
    <row r="58" spans="1:2" x14ac:dyDescent="0.25">
      <c r="A58" s="18">
        <v>43</v>
      </c>
      <c r="B58" s="18">
        <v>1.09E-2</v>
      </c>
    </row>
    <row r="59" spans="1:2" x14ac:dyDescent="0.25">
      <c r="A59" s="18">
        <v>43.5</v>
      </c>
      <c r="B59" s="18">
        <v>1.0800000000000001E-2</v>
      </c>
    </row>
    <row r="60" spans="1:2" x14ac:dyDescent="0.25">
      <c r="A60" s="18">
        <v>44</v>
      </c>
      <c r="B60" s="18">
        <v>1.0800000000000001E-2</v>
      </c>
    </row>
    <row r="61" spans="1:2" x14ac:dyDescent="0.25">
      <c r="A61" s="18">
        <v>44.5</v>
      </c>
      <c r="B61" s="18">
        <v>1.0699999999999999E-2</v>
      </c>
    </row>
    <row r="62" spans="1:2" x14ac:dyDescent="0.25">
      <c r="A62" s="18">
        <v>45</v>
      </c>
      <c r="B62" s="18">
        <v>1.0699999999999999E-2</v>
      </c>
    </row>
    <row r="63" spans="1:2" x14ac:dyDescent="0.25">
      <c r="A63" s="18">
        <v>45.5</v>
      </c>
      <c r="B63" s="18">
        <v>1.0500000000000001E-2</v>
      </c>
    </row>
    <row r="64" spans="1:2" x14ac:dyDescent="0.25">
      <c r="A64" s="18">
        <v>46</v>
      </c>
      <c r="B64" s="18">
        <v>1.0500000000000001E-2</v>
      </c>
    </row>
    <row r="65" spans="1:2" x14ac:dyDescent="0.25">
      <c r="A65" s="18">
        <v>46.5</v>
      </c>
      <c r="B65" s="18">
        <v>1.04E-2</v>
      </c>
    </row>
    <row r="66" spans="1:2" x14ac:dyDescent="0.25">
      <c r="A66" s="18">
        <v>47</v>
      </c>
      <c r="B66" s="18">
        <v>1.04E-2</v>
      </c>
    </row>
    <row r="67" spans="1:2" x14ac:dyDescent="0.25">
      <c r="A67" s="18">
        <v>47.5</v>
      </c>
      <c r="B67" s="18">
        <v>1.0200000000000001E-2</v>
      </c>
    </row>
    <row r="68" spans="1:2" x14ac:dyDescent="0.25">
      <c r="A68" s="18">
        <v>48</v>
      </c>
      <c r="B68" s="18">
        <v>1.01E-2</v>
      </c>
    </row>
    <row r="69" spans="1:2" x14ac:dyDescent="0.25">
      <c r="A69" s="18">
        <v>48.5</v>
      </c>
      <c r="B69" s="18">
        <v>0.01</v>
      </c>
    </row>
    <row r="70" spans="1:2" x14ac:dyDescent="0.25">
      <c r="A70" s="18">
        <v>49</v>
      </c>
      <c r="B70" s="18">
        <v>9.7599999999999996E-3</v>
      </c>
    </row>
    <row r="71" spans="1:2" x14ac:dyDescent="0.25">
      <c r="A71" s="18">
        <v>49.5</v>
      </c>
      <c r="B71" s="18">
        <v>9.6600000000000002E-3</v>
      </c>
    </row>
    <row r="72" spans="1:2" x14ac:dyDescent="0.25">
      <c r="A72" s="18">
        <v>50</v>
      </c>
      <c r="B72" s="18">
        <v>9.5200000000000007E-3</v>
      </c>
    </row>
    <row r="73" spans="1:2" x14ac:dyDescent="0.25">
      <c r="A73" s="18">
        <v>50.5</v>
      </c>
      <c r="B73" s="18">
        <v>9.5600000000000008E-3</v>
      </c>
    </row>
    <row r="74" spans="1:2" x14ac:dyDescent="0.25">
      <c r="A74" s="18">
        <v>51</v>
      </c>
      <c r="B74" s="18">
        <v>9.4599999999999997E-3</v>
      </c>
    </row>
    <row r="75" spans="1:2" x14ac:dyDescent="0.25">
      <c r="A75" s="18">
        <v>51.5</v>
      </c>
      <c r="B75" s="18">
        <v>9.2999999999999992E-3</v>
      </c>
    </row>
    <row r="76" spans="1:2" x14ac:dyDescent="0.25">
      <c r="A76" s="18">
        <v>52</v>
      </c>
      <c r="B76" s="18">
        <v>9.2499999999999995E-3</v>
      </c>
    </row>
    <row r="77" spans="1:2" x14ac:dyDescent="0.25">
      <c r="A77" s="18">
        <v>52.5</v>
      </c>
      <c r="B77" s="18">
        <v>9.2099999999999994E-3</v>
      </c>
    </row>
    <row r="78" spans="1:2" x14ac:dyDescent="0.25">
      <c r="A78" s="18">
        <v>53</v>
      </c>
      <c r="B78" s="18">
        <v>9.0399999999999994E-3</v>
      </c>
    </row>
    <row r="79" spans="1:2" x14ac:dyDescent="0.25">
      <c r="A79" s="18">
        <v>53.5</v>
      </c>
      <c r="B79" s="18">
        <v>9.0399999999999994E-3</v>
      </c>
    </row>
    <row r="80" spans="1:2" x14ac:dyDescent="0.25">
      <c r="A80" s="18">
        <v>54</v>
      </c>
      <c r="B80" s="18">
        <v>8.9300000000000004E-3</v>
      </c>
    </row>
    <row r="81" spans="1:2" x14ac:dyDescent="0.25">
      <c r="A81" s="18">
        <v>54.5</v>
      </c>
      <c r="B81" s="18">
        <v>8.7799999999999996E-3</v>
      </c>
    </row>
    <row r="82" spans="1:2" x14ac:dyDescent="0.25">
      <c r="A82" s="18">
        <v>55</v>
      </c>
      <c r="B82" s="18">
        <v>8.6800000000000002E-3</v>
      </c>
    </row>
    <row r="83" spans="1:2" x14ac:dyDescent="0.25">
      <c r="A83" s="18">
        <v>55.5</v>
      </c>
      <c r="B83" s="18">
        <v>8.5699999999999995E-3</v>
      </c>
    </row>
    <row r="84" spans="1:2" x14ac:dyDescent="0.25">
      <c r="A84" s="18">
        <v>56</v>
      </c>
      <c r="B84" s="18">
        <v>8.4600000000000005E-3</v>
      </c>
    </row>
    <row r="85" spans="1:2" x14ac:dyDescent="0.25">
      <c r="A85" s="18">
        <v>56.5</v>
      </c>
      <c r="B85" s="18">
        <v>8.3199999999999993E-3</v>
      </c>
    </row>
    <row r="86" spans="1:2" x14ac:dyDescent="0.25">
      <c r="A86" s="18">
        <v>57</v>
      </c>
      <c r="B86" s="18">
        <v>8.3400000000000002E-3</v>
      </c>
    </row>
    <row r="87" spans="1:2" x14ac:dyDescent="0.25">
      <c r="A87" s="18">
        <v>57.5</v>
      </c>
      <c r="B87" s="18">
        <v>1.06E-2</v>
      </c>
    </row>
    <row r="88" spans="1:2" x14ac:dyDescent="0.25">
      <c r="A88" s="18">
        <v>58</v>
      </c>
      <c r="B88" s="18">
        <v>2.3599999999999999E-2</v>
      </c>
    </row>
    <row r="89" spans="1:2" x14ac:dyDescent="0.25">
      <c r="A89" s="18">
        <v>58.5</v>
      </c>
      <c r="B89" s="18">
        <v>9.7599999999999996E-3</v>
      </c>
    </row>
    <row r="90" spans="1:2" x14ac:dyDescent="0.25">
      <c r="A90" s="18">
        <v>59</v>
      </c>
      <c r="B90" s="18">
        <v>2.07E-2</v>
      </c>
    </row>
    <row r="91" spans="1:2" x14ac:dyDescent="0.25">
      <c r="A91" s="18">
        <v>59.5</v>
      </c>
      <c r="B91" s="18">
        <v>2.9100000000000001E-2</v>
      </c>
    </row>
    <row r="92" spans="1:2" x14ac:dyDescent="0.25">
      <c r="A92" s="18">
        <v>60</v>
      </c>
      <c r="B92" s="18">
        <v>8.0800000000000004E-3</v>
      </c>
    </row>
    <row r="93" spans="1:2" x14ac:dyDescent="0.25">
      <c r="A93" s="18">
        <v>60.5</v>
      </c>
      <c r="B93" s="18">
        <v>7.45E-3</v>
      </c>
    </row>
    <row r="94" spans="1:2" x14ac:dyDescent="0.25">
      <c r="A94" s="18">
        <v>61</v>
      </c>
      <c r="B94" s="18">
        <v>7.3499999999999998E-3</v>
      </c>
    </row>
    <row r="95" spans="1:2" x14ac:dyDescent="0.25">
      <c r="A95" s="18">
        <v>61.5</v>
      </c>
      <c r="B95" s="18">
        <v>7.2899999999999996E-3</v>
      </c>
    </row>
    <row r="96" spans="1:2" x14ac:dyDescent="0.25">
      <c r="A96" s="18">
        <v>62</v>
      </c>
      <c r="B96" s="18">
        <v>7.1999999999999998E-3</v>
      </c>
    </row>
    <row r="97" spans="1:2" x14ac:dyDescent="0.25">
      <c r="A97" s="18">
        <v>62.5</v>
      </c>
      <c r="B97" s="18">
        <v>7.0499999999999998E-3</v>
      </c>
    </row>
    <row r="98" spans="1:2" x14ac:dyDescent="0.25">
      <c r="A98" s="18">
        <v>63</v>
      </c>
      <c r="B98" s="18">
        <v>7.0200000000000002E-3</v>
      </c>
    </row>
    <row r="99" spans="1:2" x14ac:dyDescent="0.25">
      <c r="A99" s="18">
        <v>63.5</v>
      </c>
      <c r="B99" s="18">
        <v>6.96E-3</v>
      </c>
    </row>
    <row r="100" spans="1:2" x14ac:dyDescent="0.25">
      <c r="A100" s="18">
        <v>64</v>
      </c>
      <c r="B100" s="18">
        <v>6.9199999999999999E-3</v>
      </c>
    </row>
    <row r="101" spans="1:2" x14ac:dyDescent="0.25">
      <c r="A101" s="18">
        <v>64.5</v>
      </c>
      <c r="B101" s="18">
        <v>6.8399999999999997E-3</v>
      </c>
    </row>
    <row r="102" spans="1:2" x14ac:dyDescent="0.25">
      <c r="A102" s="18">
        <v>65</v>
      </c>
      <c r="B102" s="18">
        <v>6.7000000000000002E-3</v>
      </c>
    </row>
    <row r="103" spans="1:2" x14ac:dyDescent="0.25">
      <c r="A103" s="18">
        <v>65.5</v>
      </c>
      <c r="B103" s="18">
        <v>6.6400000000000001E-3</v>
      </c>
    </row>
    <row r="104" spans="1:2" x14ac:dyDescent="0.25">
      <c r="A104" s="18">
        <v>66</v>
      </c>
      <c r="B104" s="18">
        <v>6.6100000000000004E-3</v>
      </c>
    </row>
    <row r="105" spans="1:2" x14ac:dyDescent="0.25">
      <c r="A105" s="18">
        <v>66.5</v>
      </c>
      <c r="B105" s="18">
        <v>7.3000000000000001E-3</v>
      </c>
    </row>
    <row r="106" spans="1:2" x14ac:dyDescent="0.25">
      <c r="A106" s="18">
        <v>67</v>
      </c>
      <c r="B106" s="18">
        <v>1.47E-2</v>
      </c>
    </row>
    <row r="107" spans="1:2" x14ac:dyDescent="0.25">
      <c r="A107" s="18">
        <v>67.5</v>
      </c>
      <c r="B107" s="18">
        <v>1.11E-2</v>
      </c>
    </row>
    <row r="108" spans="1:2" x14ac:dyDescent="0.25">
      <c r="A108" s="18">
        <v>68</v>
      </c>
      <c r="B108" s="18">
        <v>6.2899999999999996E-3</v>
      </c>
    </row>
    <row r="109" spans="1:2" x14ac:dyDescent="0.25">
      <c r="A109" s="18">
        <v>68.5</v>
      </c>
      <c r="B109" s="18">
        <v>6.3099999999999996E-3</v>
      </c>
    </row>
    <row r="110" spans="1:2" x14ac:dyDescent="0.25">
      <c r="A110" s="18">
        <v>69</v>
      </c>
      <c r="B110" s="18">
        <v>8.6800000000000002E-3</v>
      </c>
    </row>
    <row r="111" spans="1:2" x14ac:dyDescent="0.25">
      <c r="A111" s="18">
        <v>69.5</v>
      </c>
      <c r="B111" s="18">
        <v>6.7099999999999998E-3</v>
      </c>
    </row>
    <row r="112" spans="1:2" x14ac:dyDescent="0.25">
      <c r="A112" s="18">
        <v>70</v>
      </c>
      <c r="B112" s="18">
        <v>5.3600000000000002E-3</v>
      </c>
    </row>
    <row r="113" spans="1:2" x14ac:dyDescent="0.25">
      <c r="A113" s="18">
        <v>70.5</v>
      </c>
      <c r="B113" s="18">
        <v>5.2599999999999999E-3</v>
      </c>
    </row>
    <row r="114" spans="1:2" x14ac:dyDescent="0.25">
      <c r="A114" s="18">
        <v>71</v>
      </c>
      <c r="B114" s="18">
        <v>5.1799999999999997E-3</v>
      </c>
    </row>
    <row r="115" spans="1:2" x14ac:dyDescent="0.25">
      <c r="A115" s="18">
        <v>71.5</v>
      </c>
      <c r="B115" s="18">
        <v>5.1000000000000004E-3</v>
      </c>
    </row>
    <row r="116" spans="1:2" x14ac:dyDescent="0.25">
      <c r="A116" s="18">
        <v>72</v>
      </c>
      <c r="B116" s="18">
        <v>5.1000000000000004E-3</v>
      </c>
    </row>
    <row r="117" spans="1:2" x14ac:dyDescent="0.25">
      <c r="A117" s="18">
        <v>72.5</v>
      </c>
      <c r="B117" s="18">
        <v>5.0200000000000002E-3</v>
      </c>
    </row>
    <row r="118" spans="1:2" x14ac:dyDescent="0.25">
      <c r="A118" s="18">
        <v>73</v>
      </c>
      <c r="B118" s="18">
        <v>4.9399999999999999E-3</v>
      </c>
    </row>
    <row r="119" spans="1:2" x14ac:dyDescent="0.25">
      <c r="A119" s="18">
        <v>73.5</v>
      </c>
      <c r="B119" s="18">
        <v>4.8900000000000002E-3</v>
      </c>
    </row>
    <row r="120" spans="1:2" x14ac:dyDescent="0.25">
      <c r="A120" s="18">
        <v>74</v>
      </c>
      <c r="B120" s="18">
        <v>4.81E-3</v>
      </c>
    </row>
    <row r="121" spans="1:2" x14ac:dyDescent="0.25">
      <c r="A121" s="18">
        <v>74.5</v>
      </c>
      <c r="B121" s="18">
        <v>4.7299999999999998E-3</v>
      </c>
    </row>
    <row r="122" spans="1:2" x14ac:dyDescent="0.25">
      <c r="A122" s="18">
        <v>75</v>
      </c>
      <c r="B122" s="18">
        <v>4.64E-3</v>
      </c>
    </row>
    <row r="123" spans="1:2" x14ac:dyDescent="0.25">
      <c r="A123" s="18">
        <v>75.5</v>
      </c>
      <c r="B123" s="18">
        <v>4.5900000000000003E-3</v>
      </c>
    </row>
    <row r="124" spans="1:2" x14ac:dyDescent="0.25">
      <c r="A124" s="18">
        <v>76</v>
      </c>
      <c r="B124" s="18">
        <v>4.5700000000000003E-3</v>
      </c>
    </row>
    <row r="125" spans="1:2" x14ac:dyDescent="0.25">
      <c r="A125" s="18">
        <v>76.5</v>
      </c>
      <c r="B125" s="18">
        <v>4.4900000000000001E-3</v>
      </c>
    </row>
    <row r="126" spans="1:2" x14ac:dyDescent="0.25">
      <c r="A126" s="18">
        <v>77</v>
      </c>
      <c r="B126" s="18">
        <v>4.3400000000000001E-3</v>
      </c>
    </row>
    <row r="127" spans="1:2" x14ac:dyDescent="0.25">
      <c r="A127" s="18">
        <v>77.5</v>
      </c>
      <c r="B127" s="18">
        <v>4.2199999999999998E-3</v>
      </c>
    </row>
    <row r="128" spans="1:2" x14ac:dyDescent="0.25">
      <c r="A128" s="18">
        <v>78</v>
      </c>
      <c r="B128" s="18">
        <v>4.1799999999999997E-3</v>
      </c>
    </row>
    <row r="129" spans="1:2" x14ac:dyDescent="0.25">
      <c r="A129" s="18">
        <v>78.5</v>
      </c>
      <c r="B129" s="18">
        <v>4.1399999999999996E-3</v>
      </c>
    </row>
    <row r="130" spans="1:2" x14ac:dyDescent="0.25">
      <c r="A130" s="18">
        <v>79</v>
      </c>
      <c r="B130" s="18">
        <v>4.0099999999999997E-3</v>
      </c>
    </row>
    <row r="131" spans="1:2" x14ac:dyDescent="0.25">
      <c r="A131" s="18">
        <v>79.5</v>
      </c>
      <c r="B131" s="18">
        <v>3.9300000000000003E-3</v>
      </c>
    </row>
    <row r="132" spans="1:2" x14ac:dyDescent="0.25">
      <c r="A132" s="18">
        <v>80</v>
      </c>
      <c r="B132" s="18">
        <v>3.8500000000000001E-3</v>
      </c>
    </row>
    <row r="133" spans="1:2" x14ac:dyDescent="0.25">
      <c r="A133" s="18">
        <v>80.5</v>
      </c>
      <c r="B133" s="18">
        <v>3.7799999999999999E-3</v>
      </c>
    </row>
    <row r="134" spans="1:2" x14ac:dyDescent="0.25">
      <c r="A134" s="18">
        <v>81</v>
      </c>
      <c r="B134" s="18">
        <v>3.6900000000000001E-3</v>
      </c>
    </row>
    <row r="135" spans="1:2" x14ac:dyDescent="0.25">
      <c r="A135" s="18">
        <v>81.5</v>
      </c>
      <c r="B135" s="18">
        <v>3.65E-3</v>
      </c>
    </row>
    <row r="136" spans="1:2" x14ac:dyDescent="0.25">
      <c r="A136" s="18">
        <v>82</v>
      </c>
      <c r="B136" s="18">
        <v>3.5699999999999998E-3</v>
      </c>
    </row>
    <row r="137" spans="1:2" x14ac:dyDescent="0.25">
      <c r="A137" s="18">
        <v>82.5</v>
      </c>
      <c r="B137" s="18">
        <v>3.46E-3</v>
      </c>
    </row>
    <row r="138" spans="1:2" x14ac:dyDescent="0.25">
      <c r="A138" s="18">
        <v>83</v>
      </c>
      <c r="B138" s="18">
        <v>3.3800000000000002E-3</v>
      </c>
    </row>
    <row r="139" spans="1:2" x14ac:dyDescent="0.25">
      <c r="A139" s="18">
        <v>83.5</v>
      </c>
      <c r="B139" s="18">
        <v>3.3400000000000001E-3</v>
      </c>
    </row>
    <row r="140" spans="1:2" x14ac:dyDescent="0.25">
      <c r="A140" s="18">
        <v>84</v>
      </c>
      <c r="B140" s="18">
        <v>3.3E-3</v>
      </c>
    </row>
    <row r="141" spans="1:2" x14ac:dyDescent="0.25">
      <c r="A141" s="18">
        <v>84.5</v>
      </c>
      <c r="B141" s="18">
        <v>3.13E-3</v>
      </c>
    </row>
    <row r="142" spans="1:2" x14ac:dyDescent="0.25">
      <c r="A142" s="18">
        <v>85</v>
      </c>
      <c r="B142" s="18">
        <v>3.0799999999999998E-3</v>
      </c>
    </row>
    <row r="143" spans="1:2" x14ac:dyDescent="0.25">
      <c r="A143" s="18">
        <v>85.5</v>
      </c>
      <c r="B143" s="18">
        <v>3.0599999999999998E-3</v>
      </c>
    </row>
    <row r="144" spans="1:2" x14ac:dyDescent="0.25">
      <c r="A144" s="18">
        <v>86</v>
      </c>
      <c r="B144" s="18">
        <v>2.9299999999999999E-3</v>
      </c>
    </row>
    <row r="145" spans="1:2" x14ac:dyDescent="0.25">
      <c r="A145" s="18">
        <v>86.5</v>
      </c>
      <c r="B145" s="18">
        <v>2.8500000000000001E-3</v>
      </c>
    </row>
    <row r="146" spans="1:2" x14ac:dyDescent="0.25">
      <c r="A146" s="18">
        <v>87</v>
      </c>
      <c r="B146" s="18">
        <v>2.8E-3</v>
      </c>
    </row>
    <row r="147" spans="1:2" x14ac:dyDescent="0.25">
      <c r="A147" s="18">
        <v>87.5</v>
      </c>
      <c r="B147" s="18">
        <v>2.7299999999999998E-3</v>
      </c>
    </row>
    <row r="148" spans="1:2" x14ac:dyDescent="0.25">
      <c r="A148" s="18">
        <v>88</v>
      </c>
      <c r="B148" s="18">
        <v>2.65E-3</v>
      </c>
    </row>
    <row r="149" spans="1:2" x14ac:dyDescent="0.25">
      <c r="A149" s="18">
        <v>88.5</v>
      </c>
      <c r="B149" s="18">
        <v>2.5300000000000001E-3</v>
      </c>
    </row>
    <row r="150" spans="1:2" x14ac:dyDescent="0.25">
      <c r="A150" s="18">
        <v>89</v>
      </c>
      <c r="B150" s="18">
        <v>2.4199999999999998E-3</v>
      </c>
    </row>
    <row r="151" spans="1:2" x14ac:dyDescent="0.25">
      <c r="A151" s="18">
        <v>89.5</v>
      </c>
      <c r="B151" s="18">
        <v>2.32E-3</v>
      </c>
    </row>
    <row r="152" spans="1:2" x14ac:dyDescent="0.25">
      <c r="A152" s="18">
        <v>90</v>
      </c>
      <c r="B152" s="18">
        <v>2.2499999999999998E-3</v>
      </c>
    </row>
    <row r="153" spans="1:2" x14ac:dyDescent="0.25">
      <c r="A153" s="18">
        <v>90.5</v>
      </c>
      <c r="B153" s="18">
        <v>2.16E-3</v>
      </c>
    </row>
    <row r="154" spans="1:2" x14ac:dyDescent="0.25">
      <c r="A154" s="18">
        <v>91</v>
      </c>
      <c r="B154" s="18">
        <v>2.0699999999999998E-3</v>
      </c>
    </row>
    <row r="155" spans="1:2" x14ac:dyDescent="0.25">
      <c r="A155" s="18">
        <v>91.5</v>
      </c>
      <c r="B155" s="18">
        <v>1.9499999999999999E-3</v>
      </c>
    </row>
    <row r="156" spans="1:2" x14ac:dyDescent="0.25">
      <c r="A156" s="18">
        <v>92</v>
      </c>
      <c r="B156" s="18">
        <v>1.92E-3</v>
      </c>
    </row>
    <row r="157" spans="1:2" x14ac:dyDescent="0.25">
      <c r="A157" s="18">
        <v>92.5</v>
      </c>
      <c r="B157" s="18">
        <v>1.7700000000000001E-3</v>
      </c>
    </row>
    <row r="158" spans="1:2" x14ac:dyDescent="0.25">
      <c r="A158" s="18">
        <v>93</v>
      </c>
      <c r="B158" s="18">
        <v>1.65E-3</v>
      </c>
    </row>
    <row r="159" spans="1:2" x14ac:dyDescent="0.25">
      <c r="A159" s="18">
        <v>93.5</v>
      </c>
      <c r="B159" s="18">
        <v>1.5900000000000001E-3</v>
      </c>
    </row>
    <row r="160" spans="1:2" x14ac:dyDescent="0.25">
      <c r="A160" s="18">
        <v>94</v>
      </c>
      <c r="B160" s="18">
        <v>1.49E-3</v>
      </c>
    </row>
    <row r="161" spans="1:2" x14ac:dyDescent="0.25">
      <c r="A161" s="18">
        <v>94.5</v>
      </c>
      <c r="B161" s="18">
        <v>1.39E-3</v>
      </c>
    </row>
    <row r="162" spans="1:2" x14ac:dyDescent="0.25">
      <c r="A162" s="18">
        <v>95</v>
      </c>
      <c r="B162" s="18">
        <v>1.2700000000000001E-3</v>
      </c>
    </row>
    <row r="163" spans="1:2" x14ac:dyDescent="0.25">
      <c r="A163" s="18">
        <v>95.5</v>
      </c>
      <c r="B163" s="18">
        <v>1.1800000000000001E-3</v>
      </c>
    </row>
    <row r="164" spans="1:2" x14ac:dyDescent="0.25">
      <c r="A164" s="18">
        <v>96</v>
      </c>
      <c r="B164" s="18">
        <v>1.0499999999999999E-3</v>
      </c>
    </row>
    <row r="165" spans="1:2" x14ac:dyDescent="0.25">
      <c r="A165" s="18">
        <v>96.5</v>
      </c>
      <c r="B165" s="18">
        <v>9.5200000000000005E-4</v>
      </c>
    </row>
    <row r="166" spans="1:2" x14ac:dyDescent="0.25">
      <c r="A166" s="18">
        <v>97</v>
      </c>
      <c r="B166" s="18">
        <v>8.5599999999999999E-4</v>
      </c>
    </row>
    <row r="167" spans="1:2" x14ac:dyDescent="0.25">
      <c r="A167" s="18">
        <v>97.5</v>
      </c>
      <c r="B167" s="18">
        <v>7.3800000000000005E-4</v>
      </c>
    </row>
    <row r="168" spans="1:2" x14ac:dyDescent="0.25">
      <c r="A168" s="18">
        <v>98</v>
      </c>
      <c r="B168" s="18">
        <v>6.3000000000000003E-4</v>
      </c>
    </row>
    <row r="169" spans="1:2" x14ac:dyDescent="0.25">
      <c r="A169" s="18">
        <v>98.5</v>
      </c>
      <c r="B169" s="18">
        <v>4.8099999999999998E-4</v>
      </c>
    </row>
    <row r="170" spans="1:2" x14ac:dyDescent="0.25">
      <c r="A170" s="18">
        <v>99</v>
      </c>
      <c r="B170" s="18">
        <v>3.7599999999999998E-4</v>
      </c>
    </row>
    <row r="171" spans="1:2" x14ac:dyDescent="0.25">
      <c r="A171" s="18">
        <v>99.5</v>
      </c>
      <c r="B171" s="18">
        <v>2.02E-4</v>
      </c>
    </row>
    <row r="172" spans="1:2" x14ac:dyDescent="0.25">
      <c r="A172" s="18">
        <v>100</v>
      </c>
      <c r="B172" s="18">
        <v>5.7299999999999997E-5</v>
      </c>
    </row>
    <row r="173" spans="1:2" x14ac:dyDescent="0.25">
      <c r="A173" s="18">
        <v>101</v>
      </c>
      <c r="B173" s="18">
        <v>5.31E-6</v>
      </c>
    </row>
    <row r="174" spans="1:2" x14ac:dyDescent="0.25">
      <c r="A174" s="18">
        <v>101</v>
      </c>
      <c r="B174" s="18">
        <v>6.3500000000000002E-6</v>
      </c>
    </row>
    <row r="175" spans="1:2" x14ac:dyDescent="0.25">
      <c r="A175" s="18">
        <v>102</v>
      </c>
      <c r="B175" s="18">
        <v>5.4199999999999998E-6</v>
      </c>
    </row>
    <row r="176" spans="1:2" x14ac:dyDescent="0.25">
      <c r="A176" s="18">
        <v>102</v>
      </c>
      <c r="B176" s="18">
        <v>6.2400000000000004E-6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B13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18</v>
      </c>
      <c r="B2" s="18">
        <v>3.9100000000000002E-4</v>
      </c>
    </row>
    <row r="3" spans="1:2" x14ac:dyDescent="0.25">
      <c r="A3" s="18">
        <v>19</v>
      </c>
      <c r="B3" s="18">
        <v>2.14E-4</v>
      </c>
    </row>
    <row r="4" spans="1:2" x14ac:dyDescent="0.25">
      <c r="A4" s="18">
        <v>20</v>
      </c>
      <c r="B4" s="18">
        <v>2.2800000000000001E-4</v>
      </c>
    </row>
    <row r="5" spans="1:2" x14ac:dyDescent="0.25">
      <c r="A5" s="18">
        <v>21</v>
      </c>
      <c r="B5" s="18">
        <v>2.04E-4</v>
      </c>
    </row>
    <row r="6" spans="1:2" x14ac:dyDescent="0.25">
      <c r="A6" s="18">
        <v>22</v>
      </c>
      <c r="B6" s="18">
        <v>1.7200000000000001E-4</v>
      </c>
    </row>
    <row r="7" spans="1:2" x14ac:dyDescent="0.25">
      <c r="A7" s="18">
        <v>23</v>
      </c>
      <c r="B7" s="18">
        <v>1.8799999999999999E-4</v>
      </c>
    </row>
    <row r="8" spans="1:2" x14ac:dyDescent="0.25">
      <c r="A8" s="18">
        <v>24</v>
      </c>
      <c r="B8" s="18">
        <v>2.3000000000000001E-4</v>
      </c>
    </row>
    <row r="9" spans="1:2" x14ac:dyDescent="0.25">
      <c r="A9" s="18">
        <v>25</v>
      </c>
      <c r="B9" s="18">
        <v>2.1100000000000001E-4</v>
      </c>
    </row>
    <row r="10" spans="1:2" x14ac:dyDescent="0.25">
      <c r="A10" s="18">
        <v>26</v>
      </c>
      <c r="B10" s="18">
        <v>1.05E-4</v>
      </c>
    </row>
    <row r="11" spans="1:2" x14ac:dyDescent="0.25">
      <c r="A11" s="18">
        <v>27</v>
      </c>
      <c r="B11" s="18">
        <v>2.22E-4</v>
      </c>
    </row>
    <row r="12" spans="1:2" x14ac:dyDescent="0.25">
      <c r="A12" s="18">
        <v>28</v>
      </c>
      <c r="B12" s="18">
        <v>2.3900000000000001E-4</v>
      </c>
    </row>
    <row r="13" spans="1:2" x14ac:dyDescent="0.25">
      <c r="A13" s="18">
        <v>29</v>
      </c>
      <c r="B13" s="18">
        <v>2.5900000000000001E-4</v>
      </c>
    </row>
    <row r="14" spans="1:2" x14ac:dyDescent="0.25">
      <c r="A14" s="18">
        <v>30</v>
      </c>
      <c r="B14" s="18">
        <v>3.7399999999999998E-4</v>
      </c>
    </row>
    <row r="15" spans="1:2" x14ac:dyDescent="0.25">
      <c r="A15" s="18">
        <v>31</v>
      </c>
      <c r="B15" s="18">
        <v>5.6700000000000001E-4</v>
      </c>
    </row>
    <row r="16" spans="1:2" x14ac:dyDescent="0.25">
      <c r="A16" s="18">
        <v>32</v>
      </c>
      <c r="B16" s="18">
        <v>8.3299999999999997E-4</v>
      </c>
    </row>
    <row r="17" spans="1:2" x14ac:dyDescent="0.25">
      <c r="A17" s="18">
        <v>33</v>
      </c>
      <c r="B17" s="18">
        <v>1.15E-3</v>
      </c>
    </row>
    <row r="18" spans="1:2" x14ac:dyDescent="0.25">
      <c r="A18" s="18">
        <v>34</v>
      </c>
      <c r="B18" s="18">
        <v>1.57E-3</v>
      </c>
    </row>
    <row r="19" spans="1:2" x14ac:dyDescent="0.25">
      <c r="A19" s="18">
        <v>35</v>
      </c>
      <c r="B19" s="18">
        <v>1.9499999999999999E-3</v>
      </c>
    </row>
    <row r="20" spans="1:2" x14ac:dyDescent="0.25">
      <c r="A20" s="18">
        <v>36</v>
      </c>
      <c r="B20" s="18">
        <v>2.4399999999999999E-3</v>
      </c>
    </row>
    <row r="21" spans="1:2" x14ac:dyDescent="0.25">
      <c r="A21" s="18">
        <v>37</v>
      </c>
      <c r="B21" s="18">
        <v>2.97E-3</v>
      </c>
    </row>
    <row r="22" spans="1:2" x14ac:dyDescent="0.25">
      <c r="A22" s="18">
        <v>38</v>
      </c>
      <c r="B22" s="18">
        <v>3.48E-3</v>
      </c>
    </row>
    <row r="23" spans="1:2" x14ac:dyDescent="0.25">
      <c r="A23" s="18">
        <v>39</v>
      </c>
      <c r="B23" s="18">
        <v>4.0899999999999999E-3</v>
      </c>
    </row>
    <row r="24" spans="1:2" x14ac:dyDescent="0.25">
      <c r="A24" s="18">
        <v>40</v>
      </c>
      <c r="B24" s="18">
        <v>4.6699999999999997E-3</v>
      </c>
    </row>
    <row r="25" spans="1:2" x14ac:dyDescent="0.25">
      <c r="A25" s="18">
        <v>41</v>
      </c>
      <c r="B25" s="18">
        <v>5.2399999999999999E-3</v>
      </c>
    </row>
    <row r="26" spans="1:2" x14ac:dyDescent="0.25">
      <c r="A26" s="18">
        <v>42</v>
      </c>
      <c r="B26" s="18">
        <v>5.8199999999999997E-3</v>
      </c>
    </row>
    <row r="27" spans="1:2" x14ac:dyDescent="0.25">
      <c r="A27" s="18">
        <v>43</v>
      </c>
      <c r="B27" s="18">
        <v>6.3899999999999998E-3</v>
      </c>
    </row>
    <row r="28" spans="1:2" x14ac:dyDescent="0.25">
      <c r="A28" s="18">
        <v>44</v>
      </c>
      <c r="B28" s="18">
        <v>6.9699999999999996E-3</v>
      </c>
    </row>
    <row r="29" spans="1:2" x14ac:dyDescent="0.25">
      <c r="A29" s="18">
        <v>45</v>
      </c>
      <c r="B29" s="18">
        <v>7.43E-3</v>
      </c>
    </row>
    <row r="30" spans="1:2" x14ac:dyDescent="0.25">
      <c r="A30" s="18">
        <v>46</v>
      </c>
      <c r="B30" s="18">
        <v>7.9100000000000004E-3</v>
      </c>
    </row>
    <row r="31" spans="1:2" x14ac:dyDescent="0.25">
      <c r="A31" s="18">
        <v>47</v>
      </c>
      <c r="B31" s="18">
        <v>8.3499999999999998E-3</v>
      </c>
    </row>
    <row r="32" spans="1:2" x14ac:dyDescent="0.25">
      <c r="A32" s="18">
        <v>48</v>
      </c>
      <c r="B32" s="18">
        <v>8.7100000000000007E-3</v>
      </c>
    </row>
    <row r="33" spans="1:2" x14ac:dyDescent="0.25">
      <c r="A33" s="18">
        <v>49</v>
      </c>
      <c r="B33" s="18">
        <v>9.0200000000000002E-3</v>
      </c>
    </row>
    <row r="34" spans="1:2" x14ac:dyDescent="0.25">
      <c r="A34" s="18">
        <v>50</v>
      </c>
      <c r="B34" s="18">
        <v>9.4299999999999991E-3</v>
      </c>
    </row>
    <row r="35" spans="1:2" x14ac:dyDescent="0.25">
      <c r="A35" s="18">
        <v>51</v>
      </c>
      <c r="B35" s="18">
        <v>9.7300000000000008E-3</v>
      </c>
    </row>
    <row r="36" spans="1:2" x14ac:dyDescent="0.25">
      <c r="A36" s="18">
        <v>52</v>
      </c>
      <c r="B36" s="18">
        <v>1.01E-2</v>
      </c>
    </row>
    <row r="37" spans="1:2" x14ac:dyDescent="0.25">
      <c r="A37" s="18">
        <v>53</v>
      </c>
      <c r="B37" s="18">
        <v>1.03E-2</v>
      </c>
    </row>
    <row r="38" spans="1:2" x14ac:dyDescent="0.25">
      <c r="A38" s="18">
        <v>54</v>
      </c>
      <c r="B38" s="18">
        <v>1.06E-2</v>
      </c>
    </row>
    <row r="39" spans="1:2" x14ac:dyDescent="0.25">
      <c r="A39" s="18">
        <v>55</v>
      </c>
      <c r="B39" s="18">
        <v>1.09E-2</v>
      </c>
    </row>
    <row r="40" spans="1:2" x14ac:dyDescent="0.25">
      <c r="A40" s="18">
        <v>56</v>
      </c>
      <c r="B40" s="18">
        <v>1.0999999999999999E-2</v>
      </c>
    </row>
    <row r="41" spans="1:2" x14ac:dyDescent="0.25">
      <c r="A41" s="18">
        <v>57</v>
      </c>
      <c r="B41" s="18">
        <v>1.18E-2</v>
      </c>
    </row>
    <row r="42" spans="1:2" x14ac:dyDescent="0.25">
      <c r="A42" s="18">
        <v>58</v>
      </c>
      <c r="B42" s="18">
        <v>4.0099999999999997E-2</v>
      </c>
    </row>
    <row r="43" spans="1:2" x14ac:dyDescent="0.25">
      <c r="A43" s="18">
        <v>59</v>
      </c>
      <c r="B43" s="18">
        <v>4.7699999999999999E-2</v>
      </c>
    </row>
    <row r="44" spans="1:2" x14ac:dyDescent="0.25">
      <c r="A44" s="18">
        <v>60</v>
      </c>
      <c r="B44" s="18">
        <v>3.2399999999999998E-2</v>
      </c>
    </row>
    <row r="45" spans="1:2" x14ac:dyDescent="0.25">
      <c r="A45" s="18">
        <v>61</v>
      </c>
      <c r="B45" s="18">
        <v>1.17E-2</v>
      </c>
    </row>
    <row r="46" spans="1:2" x14ac:dyDescent="0.25">
      <c r="A46" s="18">
        <v>62</v>
      </c>
      <c r="B46" s="18">
        <v>1.17E-2</v>
      </c>
    </row>
    <row r="47" spans="1:2" x14ac:dyDescent="0.25">
      <c r="A47" s="18">
        <v>63</v>
      </c>
      <c r="B47" s="18">
        <v>1.18E-2</v>
      </c>
    </row>
    <row r="48" spans="1:2" x14ac:dyDescent="0.25">
      <c r="A48" s="18">
        <v>64</v>
      </c>
      <c r="B48" s="18">
        <v>1.1900000000000001E-2</v>
      </c>
    </row>
    <row r="49" spans="1:2" x14ac:dyDescent="0.25">
      <c r="A49" s="18">
        <v>65</v>
      </c>
      <c r="B49" s="18">
        <v>1.2E-2</v>
      </c>
    </row>
    <row r="50" spans="1:2" x14ac:dyDescent="0.25">
      <c r="A50" s="18">
        <v>66</v>
      </c>
      <c r="B50" s="18">
        <v>1.23E-2</v>
      </c>
    </row>
    <row r="51" spans="1:2" x14ac:dyDescent="0.25">
      <c r="A51" s="18">
        <v>67</v>
      </c>
      <c r="B51" s="18">
        <v>3.2899999999999999E-2</v>
      </c>
    </row>
    <row r="52" spans="1:2" x14ac:dyDescent="0.25">
      <c r="A52" s="18">
        <v>68</v>
      </c>
      <c r="B52" s="18">
        <v>1.7299999999999999E-2</v>
      </c>
    </row>
    <row r="53" spans="1:2" x14ac:dyDescent="0.25">
      <c r="A53" s="18">
        <v>69</v>
      </c>
      <c r="B53" s="18">
        <v>1.8100000000000002E-2</v>
      </c>
    </row>
    <row r="54" spans="1:2" x14ac:dyDescent="0.25">
      <c r="A54" s="18">
        <v>70</v>
      </c>
      <c r="B54" s="18">
        <v>1.1599999999999999E-2</v>
      </c>
    </row>
    <row r="55" spans="1:2" x14ac:dyDescent="0.25">
      <c r="A55" s="18">
        <v>71</v>
      </c>
      <c r="B55" s="18">
        <v>1.01E-2</v>
      </c>
    </row>
    <row r="56" spans="1:2" x14ac:dyDescent="0.25">
      <c r="A56" s="18">
        <v>72</v>
      </c>
      <c r="B56" s="18">
        <v>1.01E-2</v>
      </c>
    </row>
    <row r="57" spans="1:2" x14ac:dyDescent="0.25">
      <c r="A57" s="18">
        <v>73</v>
      </c>
      <c r="B57" s="18">
        <v>1.03E-2</v>
      </c>
    </row>
    <row r="58" spans="1:2" x14ac:dyDescent="0.25">
      <c r="A58" s="18">
        <v>74</v>
      </c>
      <c r="B58" s="18">
        <v>1.0200000000000001E-2</v>
      </c>
    </row>
    <row r="59" spans="1:2" x14ac:dyDescent="0.25">
      <c r="A59" s="18">
        <v>75</v>
      </c>
      <c r="B59" s="18">
        <v>1.0200000000000001E-2</v>
      </c>
    </row>
    <row r="60" spans="1:2" x14ac:dyDescent="0.25">
      <c r="A60" s="18">
        <v>76</v>
      </c>
      <c r="B60" s="18">
        <v>1.01E-2</v>
      </c>
    </row>
    <row r="61" spans="1:2" x14ac:dyDescent="0.25">
      <c r="A61" s="18">
        <v>77</v>
      </c>
      <c r="B61" s="18">
        <v>1.0200000000000001E-2</v>
      </c>
    </row>
    <row r="62" spans="1:2" x14ac:dyDescent="0.25">
      <c r="A62" s="18">
        <v>78</v>
      </c>
      <c r="B62" s="18">
        <v>1.01E-2</v>
      </c>
    </row>
    <row r="63" spans="1:2" x14ac:dyDescent="0.25">
      <c r="A63" s="18">
        <v>79</v>
      </c>
      <c r="B63" s="18">
        <v>1.01E-2</v>
      </c>
    </row>
    <row r="64" spans="1:2" x14ac:dyDescent="0.25">
      <c r="A64" s="18">
        <v>80</v>
      </c>
      <c r="B64" s="18">
        <v>9.9799999999999993E-3</v>
      </c>
    </row>
    <row r="65" spans="1:2" x14ac:dyDescent="0.25">
      <c r="A65" s="18">
        <v>81</v>
      </c>
      <c r="B65" s="18">
        <v>0.01</v>
      </c>
    </row>
    <row r="66" spans="1:2" x14ac:dyDescent="0.25">
      <c r="A66" s="18">
        <v>82</v>
      </c>
      <c r="B66" s="18">
        <v>0.01</v>
      </c>
    </row>
    <row r="67" spans="1:2" x14ac:dyDescent="0.25">
      <c r="A67" s="18">
        <v>83</v>
      </c>
      <c r="B67" s="18">
        <v>0.01</v>
      </c>
    </row>
    <row r="68" spans="1:2" x14ac:dyDescent="0.25">
      <c r="A68" s="18">
        <v>84</v>
      </c>
      <c r="B68" s="18">
        <v>0.01</v>
      </c>
    </row>
    <row r="69" spans="1:2" x14ac:dyDescent="0.25">
      <c r="A69" s="18">
        <v>85</v>
      </c>
      <c r="B69" s="18">
        <v>1.01E-2</v>
      </c>
    </row>
    <row r="70" spans="1:2" x14ac:dyDescent="0.25">
      <c r="A70" s="18">
        <v>86</v>
      </c>
      <c r="B70" s="18">
        <v>1.01E-2</v>
      </c>
    </row>
    <row r="71" spans="1:2" x14ac:dyDescent="0.25">
      <c r="A71" s="18">
        <v>87</v>
      </c>
      <c r="B71" s="18">
        <v>0.01</v>
      </c>
    </row>
    <row r="72" spans="1:2" x14ac:dyDescent="0.25">
      <c r="A72" s="18">
        <v>88</v>
      </c>
      <c r="B72" s="18">
        <v>9.8300000000000002E-3</v>
      </c>
    </row>
    <row r="73" spans="1:2" x14ac:dyDescent="0.25">
      <c r="A73" s="18">
        <v>89</v>
      </c>
      <c r="B73" s="18">
        <v>9.6500000000000006E-3</v>
      </c>
    </row>
    <row r="74" spans="1:2" x14ac:dyDescent="0.25">
      <c r="A74" s="18">
        <v>90</v>
      </c>
      <c r="B74" s="18">
        <v>9.5700000000000004E-3</v>
      </c>
    </row>
    <row r="75" spans="1:2" x14ac:dyDescent="0.25">
      <c r="A75" s="18">
        <v>91</v>
      </c>
      <c r="B75" s="18">
        <v>9.5200000000000007E-3</v>
      </c>
    </row>
    <row r="76" spans="1:2" x14ac:dyDescent="0.25">
      <c r="A76" s="18">
        <v>92</v>
      </c>
      <c r="B76" s="18">
        <v>9.5200000000000007E-3</v>
      </c>
    </row>
    <row r="77" spans="1:2" x14ac:dyDescent="0.25">
      <c r="A77" s="18">
        <v>93</v>
      </c>
      <c r="B77" s="18">
        <v>9.3900000000000008E-3</v>
      </c>
    </row>
    <row r="78" spans="1:2" x14ac:dyDescent="0.25">
      <c r="A78" s="18">
        <v>94</v>
      </c>
      <c r="B78" s="18">
        <v>9.3100000000000006E-3</v>
      </c>
    </row>
    <row r="79" spans="1:2" x14ac:dyDescent="0.25">
      <c r="A79" s="18">
        <v>95</v>
      </c>
      <c r="B79" s="18">
        <v>9.2700000000000005E-3</v>
      </c>
    </row>
    <row r="80" spans="1:2" x14ac:dyDescent="0.25">
      <c r="A80" s="18">
        <v>96</v>
      </c>
      <c r="B80" s="18">
        <v>9.1599999999999997E-3</v>
      </c>
    </row>
    <row r="81" spans="1:2" x14ac:dyDescent="0.25">
      <c r="A81" s="18">
        <v>97</v>
      </c>
      <c r="B81" s="18">
        <v>9.0799999999999995E-3</v>
      </c>
    </row>
    <row r="82" spans="1:2" x14ac:dyDescent="0.25">
      <c r="A82" s="18">
        <v>98</v>
      </c>
      <c r="B82" s="18">
        <v>8.9499999999999996E-3</v>
      </c>
    </row>
    <row r="83" spans="1:2" x14ac:dyDescent="0.25">
      <c r="A83" s="18">
        <v>99</v>
      </c>
      <c r="B83" s="18">
        <v>8.9099999999999995E-3</v>
      </c>
    </row>
    <row r="84" spans="1:2" x14ac:dyDescent="0.25">
      <c r="A84" s="18">
        <v>100</v>
      </c>
      <c r="B84" s="18">
        <v>8.8500000000000002E-3</v>
      </c>
    </row>
    <row r="85" spans="1:2" x14ac:dyDescent="0.25">
      <c r="A85" s="18">
        <v>101</v>
      </c>
      <c r="B85" s="18">
        <v>8.7299999999999999E-3</v>
      </c>
    </row>
    <row r="86" spans="1:2" x14ac:dyDescent="0.25">
      <c r="A86" s="18">
        <v>102</v>
      </c>
      <c r="B86" s="18">
        <v>8.6499999999999997E-3</v>
      </c>
    </row>
    <row r="87" spans="1:2" x14ac:dyDescent="0.25">
      <c r="A87" s="18">
        <v>103</v>
      </c>
      <c r="B87" s="18">
        <v>8.5800000000000008E-3</v>
      </c>
    </row>
    <row r="88" spans="1:2" x14ac:dyDescent="0.25">
      <c r="A88" s="18">
        <v>104</v>
      </c>
      <c r="B88" s="18">
        <v>8.4799999999999997E-3</v>
      </c>
    </row>
    <row r="89" spans="1:2" x14ac:dyDescent="0.25">
      <c r="A89" s="18">
        <v>105</v>
      </c>
      <c r="B89" s="18">
        <v>8.3999999999999995E-3</v>
      </c>
    </row>
    <row r="90" spans="1:2" x14ac:dyDescent="0.25">
      <c r="A90" s="18">
        <v>106</v>
      </c>
      <c r="B90" s="18">
        <v>8.2699999999999996E-3</v>
      </c>
    </row>
    <row r="91" spans="1:2" x14ac:dyDescent="0.25">
      <c r="A91" s="18">
        <v>107</v>
      </c>
      <c r="B91" s="18">
        <v>8.1499999999999993E-3</v>
      </c>
    </row>
    <row r="92" spans="1:2" x14ac:dyDescent="0.25">
      <c r="A92" s="18">
        <v>108</v>
      </c>
      <c r="B92" s="18">
        <v>8.0099999999999998E-3</v>
      </c>
    </row>
    <row r="93" spans="1:2" x14ac:dyDescent="0.25">
      <c r="A93" s="18">
        <v>109</v>
      </c>
      <c r="B93" s="18">
        <v>7.8700000000000003E-3</v>
      </c>
    </row>
    <row r="94" spans="1:2" x14ac:dyDescent="0.25">
      <c r="A94" s="18">
        <v>110</v>
      </c>
      <c r="B94" s="18">
        <v>7.8200000000000006E-3</v>
      </c>
    </row>
    <row r="95" spans="1:2" x14ac:dyDescent="0.25">
      <c r="A95" s="18">
        <v>111</v>
      </c>
      <c r="B95" s="18">
        <v>7.62E-3</v>
      </c>
    </row>
    <row r="96" spans="1:2" x14ac:dyDescent="0.25">
      <c r="A96" s="18">
        <v>112</v>
      </c>
      <c r="B96" s="18">
        <v>7.6E-3</v>
      </c>
    </row>
    <row r="97" spans="1:2" x14ac:dyDescent="0.25">
      <c r="A97" s="18">
        <v>113</v>
      </c>
      <c r="B97" s="18">
        <v>7.45E-3</v>
      </c>
    </row>
    <row r="98" spans="1:2" x14ac:dyDescent="0.25">
      <c r="A98" s="18">
        <v>114</v>
      </c>
      <c r="B98" s="18">
        <v>7.4200000000000004E-3</v>
      </c>
    </row>
    <row r="99" spans="1:2" x14ac:dyDescent="0.25">
      <c r="A99" s="18">
        <v>115</v>
      </c>
      <c r="B99" s="18">
        <v>7.1500000000000001E-3</v>
      </c>
    </row>
    <row r="100" spans="1:2" x14ac:dyDescent="0.25">
      <c r="A100" s="18">
        <v>116</v>
      </c>
      <c r="B100" s="18">
        <v>6.9699999999999996E-3</v>
      </c>
    </row>
    <row r="101" spans="1:2" x14ac:dyDescent="0.25">
      <c r="A101" s="18">
        <v>117</v>
      </c>
      <c r="B101" s="18">
        <v>6.8300000000000001E-3</v>
      </c>
    </row>
    <row r="102" spans="1:2" x14ac:dyDescent="0.25">
      <c r="A102" s="18">
        <v>118</v>
      </c>
      <c r="B102" s="18">
        <v>6.8500000000000002E-3</v>
      </c>
    </row>
    <row r="103" spans="1:2" x14ac:dyDescent="0.25">
      <c r="A103" s="18">
        <v>119</v>
      </c>
      <c r="B103" s="18">
        <v>6.7000000000000002E-3</v>
      </c>
    </row>
    <row r="104" spans="1:2" x14ac:dyDescent="0.25">
      <c r="A104" s="18">
        <v>120</v>
      </c>
      <c r="B104" s="18">
        <v>6.4200000000000004E-3</v>
      </c>
    </row>
    <row r="105" spans="1:2" x14ac:dyDescent="0.25">
      <c r="A105" s="18">
        <v>121</v>
      </c>
      <c r="B105" s="18">
        <v>6.28E-3</v>
      </c>
    </row>
    <row r="106" spans="1:2" x14ac:dyDescent="0.25">
      <c r="A106" s="18">
        <v>122</v>
      </c>
      <c r="B106" s="18">
        <v>6.1999999999999998E-3</v>
      </c>
    </row>
    <row r="107" spans="1:2" x14ac:dyDescent="0.25">
      <c r="A107" s="18">
        <v>123</v>
      </c>
      <c r="B107" s="18">
        <v>5.96E-3</v>
      </c>
    </row>
    <row r="108" spans="1:2" x14ac:dyDescent="0.25">
      <c r="A108" s="18">
        <v>124</v>
      </c>
      <c r="B108" s="18">
        <v>5.8900000000000003E-3</v>
      </c>
    </row>
    <row r="109" spans="1:2" x14ac:dyDescent="0.25">
      <c r="A109" s="18">
        <v>125</v>
      </c>
      <c r="B109" s="18">
        <v>5.6499999999999996E-3</v>
      </c>
    </row>
    <row r="110" spans="1:2" x14ac:dyDescent="0.25">
      <c r="A110" s="18">
        <v>126</v>
      </c>
      <c r="B110" s="18">
        <v>5.4900000000000001E-3</v>
      </c>
    </row>
    <row r="111" spans="1:2" x14ac:dyDescent="0.25">
      <c r="A111" s="18">
        <v>127</v>
      </c>
      <c r="B111" s="18">
        <v>5.3099999999999996E-3</v>
      </c>
    </row>
    <row r="112" spans="1:2" x14ac:dyDescent="0.25">
      <c r="A112" s="18">
        <v>128</v>
      </c>
      <c r="B112" s="18">
        <v>5.0600000000000003E-3</v>
      </c>
    </row>
    <row r="113" spans="1:2" x14ac:dyDescent="0.25">
      <c r="A113" s="18">
        <v>129</v>
      </c>
      <c r="B113" s="18">
        <v>4.9500000000000004E-3</v>
      </c>
    </row>
    <row r="114" spans="1:2" x14ac:dyDescent="0.25">
      <c r="A114" s="18">
        <v>130</v>
      </c>
      <c r="B114" s="18">
        <v>4.7099999999999998E-3</v>
      </c>
    </row>
    <row r="115" spans="1:2" x14ac:dyDescent="0.25">
      <c r="A115" s="18">
        <v>131</v>
      </c>
      <c r="B115" s="18">
        <v>4.5599999999999998E-3</v>
      </c>
    </row>
    <row r="116" spans="1:2" x14ac:dyDescent="0.25">
      <c r="A116" s="18">
        <v>132</v>
      </c>
      <c r="B116" s="18">
        <v>4.3299999999999996E-3</v>
      </c>
    </row>
    <row r="117" spans="1:2" x14ac:dyDescent="0.25">
      <c r="A117" s="18">
        <v>133</v>
      </c>
      <c r="B117" s="18">
        <v>4.1900000000000001E-3</v>
      </c>
    </row>
    <row r="118" spans="1:2" x14ac:dyDescent="0.25">
      <c r="A118" s="18">
        <v>134</v>
      </c>
      <c r="B118" s="18">
        <v>4.0600000000000002E-3</v>
      </c>
    </row>
    <row r="119" spans="1:2" x14ac:dyDescent="0.25">
      <c r="A119" s="18">
        <v>135</v>
      </c>
      <c r="B119" s="18">
        <v>3.8300000000000001E-3</v>
      </c>
    </row>
    <row r="120" spans="1:2" x14ac:dyDescent="0.25">
      <c r="A120" s="18">
        <v>136</v>
      </c>
      <c r="B120" s="18">
        <v>3.63E-3</v>
      </c>
    </row>
    <row r="121" spans="1:2" x14ac:dyDescent="0.25">
      <c r="A121" s="18">
        <v>137</v>
      </c>
      <c r="B121" s="18">
        <v>3.3700000000000002E-3</v>
      </c>
    </row>
    <row r="122" spans="1:2" x14ac:dyDescent="0.25">
      <c r="A122" s="18">
        <v>138</v>
      </c>
      <c r="B122" s="18">
        <v>3.0999999999999999E-3</v>
      </c>
    </row>
    <row r="123" spans="1:2" x14ac:dyDescent="0.25">
      <c r="A123" s="18">
        <v>139</v>
      </c>
      <c r="B123" s="18">
        <v>3.0400000000000002E-3</v>
      </c>
    </row>
    <row r="124" spans="1:2" x14ac:dyDescent="0.25">
      <c r="A124" s="18">
        <v>140</v>
      </c>
      <c r="B124" s="18">
        <v>2.6800000000000001E-3</v>
      </c>
    </row>
    <row r="125" spans="1:2" x14ac:dyDescent="0.25">
      <c r="A125" s="18">
        <v>141</v>
      </c>
      <c r="B125" s="18">
        <v>2.4299999999999999E-3</v>
      </c>
    </row>
    <row r="126" spans="1:2" x14ac:dyDescent="0.25">
      <c r="A126" s="18">
        <v>142</v>
      </c>
      <c r="B126" s="18">
        <v>2.2100000000000002E-3</v>
      </c>
    </row>
    <row r="127" spans="1:2" x14ac:dyDescent="0.25">
      <c r="A127" s="18">
        <v>143</v>
      </c>
      <c r="B127" s="18">
        <v>1.9599999999999999E-3</v>
      </c>
    </row>
    <row r="128" spans="1:2" x14ac:dyDescent="0.25">
      <c r="A128" s="18">
        <v>144</v>
      </c>
      <c r="B128" s="18">
        <v>1.7799999999999999E-3</v>
      </c>
    </row>
    <row r="129" spans="1:2" x14ac:dyDescent="0.25">
      <c r="A129" s="18">
        <v>145</v>
      </c>
      <c r="B129" s="18">
        <v>1.47E-3</v>
      </c>
    </row>
    <row r="130" spans="1:2" x14ac:dyDescent="0.25">
      <c r="A130" s="18">
        <v>146</v>
      </c>
      <c r="B130" s="18">
        <v>1.2199999999999999E-3</v>
      </c>
    </row>
    <row r="131" spans="1:2" x14ac:dyDescent="0.25">
      <c r="A131" s="18">
        <v>147</v>
      </c>
      <c r="B131" s="18">
        <v>9.7400000000000004E-4</v>
      </c>
    </row>
    <row r="132" spans="1:2" x14ac:dyDescent="0.25">
      <c r="A132" s="18">
        <v>148</v>
      </c>
      <c r="B132" s="18">
        <v>6.8499999999999995E-4</v>
      </c>
    </row>
    <row r="133" spans="1:2" x14ac:dyDescent="0.25">
      <c r="A133" s="18">
        <v>149</v>
      </c>
      <c r="B133" s="18">
        <v>4.3199999999999998E-4</v>
      </c>
    </row>
    <row r="134" spans="1:2" x14ac:dyDescent="0.25">
      <c r="A134" s="18">
        <v>150</v>
      </c>
      <c r="B134" s="18">
        <v>1.3899999999999999E-4</v>
      </c>
    </row>
    <row r="135" spans="1:2" x14ac:dyDescent="0.25">
      <c r="A135" s="18">
        <v>151</v>
      </c>
      <c r="B135" s="18">
        <v>1.95E-5</v>
      </c>
    </row>
    <row r="136" spans="1:2" x14ac:dyDescent="0.25">
      <c r="A136" s="18">
        <v>152</v>
      </c>
      <c r="B136" s="18">
        <v>1.4800000000000001E-5</v>
      </c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B18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20</v>
      </c>
      <c r="B2" s="18">
        <v>3.5E-4</v>
      </c>
    </row>
    <row r="3" spans="1:2" x14ac:dyDescent="0.25">
      <c r="A3" s="18">
        <v>21</v>
      </c>
      <c r="B3" s="18">
        <v>1.84E-4</v>
      </c>
    </row>
    <row r="4" spans="1:2" x14ac:dyDescent="0.25">
      <c r="A4" s="18">
        <v>22</v>
      </c>
      <c r="B4" s="18">
        <v>2.3699999999999999E-4</v>
      </c>
    </row>
    <row r="5" spans="1:2" x14ac:dyDescent="0.25">
      <c r="A5" s="18">
        <v>23</v>
      </c>
      <c r="B5" s="18">
        <v>3.5199999999999999E-4</v>
      </c>
    </row>
    <row r="6" spans="1:2" x14ac:dyDescent="0.25">
      <c r="A6" s="18">
        <v>24</v>
      </c>
      <c r="B6" s="18">
        <v>2.2000000000000001E-4</v>
      </c>
    </row>
    <row r="7" spans="1:2" x14ac:dyDescent="0.25">
      <c r="A7" s="18">
        <v>25</v>
      </c>
      <c r="B7" s="18">
        <v>1.45E-4</v>
      </c>
    </row>
    <row r="8" spans="1:2" x14ac:dyDescent="0.25">
      <c r="A8" s="18">
        <v>26</v>
      </c>
      <c r="B8" s="18">
        <v>2.3900000000000001E-4</v>
      </c>
    </row>
    <row r="9" spans="1:2" x14ac:dyDescent="0.25">
      <c r="A9" s="18">
        <v>27</v>
      </c>
      <c r="B9" s="18">
        <v>2.13E-4</v>
      </c>
    </row>
    <row r="10" spans="1:2" x14ac:dyDescent="0.25">
      <c r="A10" s="18">
        <v>28</v>
      </c>
      <c r="B10" s="18">
        <v>1.15E-4</v>
      </c>
    </row>
    <row r="11" spans="1:2" x14ac:dyDescent="0.25">
      <c r="A11" s="18">
        <v>29</v>
      </c>
      <c r="B11" s="18">
        <v>1.36E-4</v>
      </c>
    </row>
    <row r="12" spans="1:2" x14ac:dyDescent="0.25">
      <c r="A12" s="18">
        <v>30</v>
      </c>
      <c r="B12" s="18">
        <v>7.5199999999999998E-5</v>
      </c>
    </row>
    <row r="13" spans="1:2" x14ac:dyDescent="0.25">
      <c r="A13" s="18">
        <v>31</v>
      </c>
      <c r="B13" s="18">
        <v>1.0900000000000001E-4</v>
      </c>
    </row>
    <row r="14" spans="1:2" x14ac:dyDescent="0.25">
      <c r="A14" s="18">
        <v>32</v>
      </c>
      <c r="B14" s="18">
        <v>1.4999999999999999E-4</v>
      </c>
    </row>
    <row r="15" spans="1:2" x14ac:dyDescent="0.25">
      <c r="A15" s="18">
        <v>33</v>
      </c>
      <c r="B15" s="18">
        <v>1.47E-4</v>
      </c>
    </row>
    <row r="16" spans="1:2" x14ac:dyDescent="0.25">
      <c r="A16" s="18">
        <v>34</v>
      </c>
      <c r="B16" s="18">
        <v>1.22E-4</v>
      </c>
    </row>
    <row r="17" spans="1:2" x14ac:dyDescent="0.25">
      <c r="A17" s="18">
        <v>35</v>
      </c>
      <c r="B17" s="18">
        <v>1.7799999999999999E-4</v>
      </c>
    </row>
    <row r="18" spans="1:2" x14ac:dyDescent="0.25">
      <c r="A18" s="18">
        <v>36</v>
      </c>
      <c r="B18" s="18">
        <v>1.56E-4</v>
      </c>
    </row>
    <row r="19" spans="1:2" x14ac:dyDescent="0.25">
      <c r="A19" s="18">
        <v>37</v>
      </c>
      <c r="B19" s="18">
        <v>2.5799999999999998E-4</v>
      </c>
    </row>
    <row r="20" spans="1:2" x14ac:dyDescent="0.25">
      <c r="A20" s="18">
        <v>38</v>
      </c>
      <c r="B20" s="18">
        <v>3.0899999999999998E-4</v>
      </c>
    </row>
    <row r="21" spans="1:2" x14ac:dyDescent="0.25">
      <c r="A21" s="18">
        <v>39</v>
      </c>
      <c r="B21" s="18">
        <v>4.2400000000000001E-4</v>
      </c>
    </row>
    <row r="22" spans="1:2" x14ac:dyDescent="0.25">
      <c r="A22" s="18">
        <v>40</v>
      </c>
      <c r="B22" s="18">
        <v>5.0299999999999997E-4</v>
      </c>
    </row>
    <row r="23" spans="1:2" x14ac:dyDescent="0.25">
      <c r="A23" s="18">
        <v>41</v>
      </c>
      <c r="B23" s="18">
        <v>6.5099999999999999E-4</v>
      </c>
    </row>
    <row r="24" spans="1:2" x14ac:dyDescent="0.25">
      <c r="A24" s="18">
        <v>42</v>
      </c>
      <c r="B24" s="18">
        <v>8.4099999999999995E-4</v>
      </c>
    </row>
    <row r="25" spans="1:2" x14ac:dyDescent="0.25">
      <c r="A25" s="18">
        <v>43</v>
      </c>
      <c r="B25" s="18">
        <v>1.0200000000000001E-3</v>
      </c>
    </row>
    <row r="26" spans="1:2" x14ac:dyDescent="0.25">
      <c r="A26" s="18">
        <v>44</v>
      </c>
      <c r="B26" s="18">
        <v>1.1900000000000001E-3</v>
      </c>
    </row>
    <row r="27" spans="1:2" x14ac:dyDescent="0.25">
      <c r="A27" s="18">
        <v>45</v>
      </c>
      <c r="B27" s="18">
        <v>1.4300000000000001E-3</v>
      </c>
    </row>
    <row r="28" spans="1:2" x14ac:dyDescent="0.25">
      <c r="A28" s="18">
        <v>46</v>
      </c>
      <c r="B28" s="18">
        <v>1.67E-3</v>
      </c>
    </row>
    <row r="29" spans="1:2" x14ac:dyDescent="0.25">
      <c r="A29" s="18">
        <v>47</v>
      </c>
      <c r="B29" s="18">
        <v>1.92E-3</v>
      </c>
    </row>
    <row r="30" spans="1:2" x14ac:dyDescent="0.25">
      <c r="A30" s="18">
        <v>48</v>
      </c>
      <c r="B30" s="18">
        <v>2.15E-3</v>
      </c>
    </row>
    <row r="31" spans="1:2" x14ac:dyDescent="0.25">
      <c r="A31" s="18">
        <v>49</v>
      </c>
      <c r="B31" s="18">
        <v>2.4399999999999999E-3</v>
      </c>
    </row>
    <row r="32" spans="1:2" x14ac:dyDescent="0.25">
      <c r="A32" s="18">
        <v>50</v>
      </c>
      <c r="B32" s="18">
        <v>2.7599999999999999E-3</v>
      </c>
    </row>
    <row r="33" spans="1:2" x14ac:dyDescent="0.25">
      <c r="A33" s="18">
        <v>51</v>
      </c>
      <c r="B33" s="18">
        <v>3.0100000000000001E-3</v>
      </c>
    </row>
    <row r="34" spans="1:2" x14ac:dyDescent="0.25">
      <c r="A34" s="18">
        <v>52</v>
      </c>
      <c r="B34" s="18">
        <v>3.3300000000000001E-3</v>
      </c>
    </row>
    <row r="35" spans="1:2" x14ac:dyDescent="0.25">
      <c r="A35" s="18">
        <v>53</v>
      </c>
      <c r="B35" s="18">
        <v>3.62E-3</v>
      </c>
    </row>
    <row r="36" spans="1:2" x14ac:dyDescent="0.25">
      <c r="A36" s="18">
        <v>54</v>
      </c>
      <c r="B36" s="18">
        <v>3.9199999999999999E-3</v>
      </c>
    </row>
    <row r="37" spans="1:2" x14ac:dyDescent="0.25">
      <c r="A37" s="18">
        <v>55</v>
      </c>
      <c r="B37" s="18">
        <v>4.1999999999999997E-3</v>
      </c>
    </row>
    <row r="38" spans="1:2" x14ac:dyDescent="0.25">
      <c r="A38" s="18">
        <v>56</v>
      </c>
      <c r="B38" s="18">
        <v>4.4999999999999997E-3</v>
      </c>
    </row>
    <row r="39" spans="1:2" x14ac:dyDescent="0.25">
      <c r="A39" s="18">
        <v>57</v>
      </c>
      <c r="B39" s="18">
        <v>5.0699999999999999E-3</v>
      </c>
    </row>
    <row r="40" spans="1:2" x14ac:dyDescent="0.25">
      <c r="A40" s="18">
        <v>58</v>
      </c>
      <c r="B40" s="18">
        <v>2.1999999999999999E-2</v>
      </c>
    </row>
    <row r="41" spans="1:2" x14ac:dyDescent="0.25">
      <c r="A41" s="18">
        <v>59</v>
      </c>
      <c r="B41" s="18">
        <v>2.7E-2</v>
      </c>
    </row>
    <row r="42" spans="1:2" x14ac:dyDescent="0.25">
      <c r="A42" s="18">
        <v>60</v>
      </c>
      <c r="B42" s="18">
        <v>1.9599999999999999E-2</v>
      </c>
    </row>
    <row r="43" spans="1:2" x14ac:dyDescent="0.25">
      <c r="A43" s="18">
        <v>61</v>
      </c>
      <c r="B43" s="18">
        <v>5.8100000000000001E-3</v>
      </c>
    </row>
    <row r="44" spans="1:2" x14ac:dyDescent="0.25">
      <c r="A44" s="18">
        <v>62</v>
      </c>
      <c r="B44" s="18">
        <v>6.0000000000000001E-3</v>
      </c>
    </row>
    <row r="45" spans="1:2" x14ac:dyDescent="0.25">
      <c r="A45" s="18">
        <v>63</v>
      </c>
      <c r="B45" s="18">
        <v>6.28E-3</v>
      </c>
    </row>
    <row r="46" spans="1:2" x14ac:dyDescent="0.25">
      <c r="A46" s="18">
        <v>64</v>
      </c>
      <c r="B46" s="18">
        <v>6.5399999999999998E-3</v>
      </c>
    </row>
    <row r="47" spans="1:2" x14ac:dyDescent="0.25">
      <c r="A47" s="18">
        <v>65</v>
      </c>
      <c r="B47" s="18">
        <v>6.7299999999999999E-3</v>
      </c>
    </row>
    <row r="48" spans="1:2" x14ac:dyDescent="0.25">
      <c r="A48" s="18">
        <v>66</v>
      </c>
      <c r="B48" s="18">
        <v>7.1599999999999997E-3</v>
      </c>
    </row>
    <row r="49" spans="1:2" x14ac:dyDescent="0.25">
      <c r="A49" s="18">
        <v>67</v>
      </c>
      <c r="B49" s="18">
        <v>2.3E-2</v>
      </c>
    </row>
    <row r="50" spans="1:2" x14ac:dyDescent="0.25">
      <c r="A50" s="18">
        <v>68</v>
      </c>
      <c r="B50" s="18">
        <v>1.18E-2</v>
      </c>
    </row>
    <row r="51" spans="1:2" x14ac:dyDescent="0.25">
      <c r="A51" s="18">
        <v>69</v>
      </c>
      <c r="B51" s="18">
        <v>1.23E-2</v>
      </c>
    </row>
    <row r="52" spans="1:2" x14ac:dyDescent="0.25">
      <c r="A52" s="18">
        <v>70</v>
      </c>
      <c r="B52" s="18">
        <v>7.2700000000000004E-3</v>
      </c>
    </row>
    <row r="53" spans="1:2" x14ac:dyDescent="0.25">
      <c r="A53" s="18">
        <v>71</v>
      </c>
      <c r="B53" s="18">
        <v>6.0800000000000003E-3</v>
      </c>
    </row>
    <row r="54" spans="1:2" x14ac:dyDescent="0.25">
      <c r="A54" s="18">
        <v>72</v>
      </c>
      <c r="B54" s="18">
        <v>6.1599999999999997E-3</v>
      </c>
    </row>
    <row r="55" spans="1:2" x14ac:dyDescent="0.25">
      <c r="A55" s="18">
        <v>73</v>
      </c>
      <c r="B55" s="18">
        <v>6.3699999999999998E-3</v>
      </c>
    </row>
    <row r="56" spans="1:2" x14ac:dyDescent="0.25">
      <c r="A56" s="18">
        <v>74</v>
      </c>
      <c r="B56" s="18">
        <v>6.5100000000000002E-3</v>
      </c>
    </row>
    <row r="57" spans="1:2" x14ac:dyDescent="0.25">
      <c r="A57" s="18">
        <v>75</v>
      </c>
      <c r="B57" s="18">
        <v>6.6400000000000001E-3</v>
      </c>
    </row>
    <row r="58" spans="1:2" x14ac:dyDescent="0.25">
      <c r="A58" s="18">
        <v>76</v>
      </c>
      <c r="B58" s="18">
        <v>6.7499999999999999E-3</v>
      </c>
    </row>
    <row r="59" spans="1:2" x14ac:dyDescent="0.25">
      <c r="A59" s="18">
        <v>77</v>
      </c>
      <c r="B59" s="18">
        <v>6.9100000000000003E-3</v>
      </c>
    </row>
    <row r="60" spans="1:2" x14ac:dyDescent="0.25">
      <c r="A60" s="18">
        <v>78</v>
      </c>
      <c r="B60" s="18">
        <v>7.0400000000000003E-3</v>
      </c>
    </row>
    <row r="61" spans="1:2" x14ac:dyDescent="0.25">
      <c r="A61" s="18">
        <v>79</v>
      </c>
      <c r="B61" s="18">
        <v>7.0899999999999999E-3</v>
      </c>
    </row>
    <row r="62" spans="1:2" x14ac:dyDescent="0.25">
      <c r="A62" s="18">
        <v>80</v>
      </c>
      <c r="B62" s="18">
        <v>7.1999999999999998E-3</v>
      </c>
    </row>
    <row r="63" spans="1:2" x14ac:dyDescent="0.25">
      <c r="A63" s="18">
        <v>81</v>
      </c>
      <c r="B63" s="18">
        <v>7.3099999999999997E-3</v>
      </c>
    </row>
    <row r="64" spans="1:2" x14ac:dyDescent="0.25">
      <c r="A64" s="18">
        <v>82</v>
      </c>
      <c r="B64" s="18">
        <v>7.43E-3</v>
      </c>
    </row>
    <row r="65" spans="1:2" x14ac:dyDescent="0.25">
      <c r="A65" s="18">
        <v>83</v>
      </c>
      <c r="B65" s="18">
        <v>7.5100000000000002E-3</v>
      </c>
    </row>
    <row r="66" spans="1:2" x14ac:dyDescent="0.25">
      <c r="A66" s="18">
        <v>84</v>
      </c>
      <c r="B66" s="18">
        <v>7.6800000000000002E-3</v>
      </c>
    </row>
    <row r="67" spans="1:2" x14ac:dyDescent="0.25">
      <c r="A67" s="18">
        <v>85</v>
      </c>
      <c r="B67" s="18">
        <v>7.7799999999999996E-3</v>
      </c>
    </row>
    <row r="68" spans="1:2" x14ac:dyDescent="0.25">
      <c r="A68" s="18">
        <v>86</v>
      </c>
      <c r="B68" s="18">
        <v>7.8600000000000007E-3</v>
      </c>
    </row>
    <row r="69" spans="1:2" x14ac:dyDescent="0.25">
      <c r="A69" s="18">
        <v>87</v>
      </c>
      <c r="B69" s="18">
        <v>7.9000000000000008E-3</v>
      </c>
    </row>
    <row r="70" spans="1:2" x14ac:dyDescent="0.25">
      <c r="A70" s="18">
        <v>88</v>
      </c>
      <c r="B70" s="18">
        <v>7.9699999999999997E-3</v>
      </c>
    </row>
    <row r="71" spans="1:2" x14ac:dyDescent="0.25">
      <c r="A71" s="18">
        <v>89</v>
      </c>
      <c r="B71" s="18">
        <v>7.9500000000000005E-3</v>
      </c>
    </row>
    <row r="72" spans="1:2" x14ac:dyDescent="0.25">
      <c r="A72" s="18">
        <v>90</v>
      </c>
      <c r="B72" s="18">
        <v>7.92E-3</v>
      </c>
    </row>
    <row r="73" spans="1:2" x14ac:dyDescent="0.25">
      <c r="A73" s="18">
        <v>91</v>
      </c>
      <c r="B73" s="18">
        <v>7.9799999999999992E-3</v>
      </c>
    </row>
    <row r="74" spans="1:2" x14ac:dyDescent="0.25">
      <c r="A74" s="18">
        <v>92</v>
      </c>
      <c r="B74" s="18">
        <v>8.1499999999999993E-3</v>
      </c>
    </row>
    <row r="75" spans="1:2" x14ac:dyDescent="0.25">
      <c r="A75" s="18">
        <v>93</v>
      </c>
      <c r="B75" s="18">
        <v>8.1700000000000002E-3</v>
      </c>
    </row>
    <row r="76" spans="1:2" x14ac:dyDescent="0.25">
      <c r="A76" s="18">
        <v>94</v>
      </c>
      <c r="B76" s="18">
        <v>8.1700000000000002E-3</v>
      </c>
    </row>
    <row r="77" spans="1:2" x14ac:dyDescent="0.25">
      <c r="A77" s="18">
        <v>95</v>
      </c>
      <c r="B77" s="18">
        <v>8.2400000000000008E-3</v>
      </c>
    </row>
    <row r="78" spans="1:2" x14ac:dyDescent="0.25">
      <c r="A78" s="18">
        <v>96</v>
      </c>
      <c r="B78" s="18">
        <v>8.2000000000000007E-3</v>
      </c>
    </row>
    <row r="79" spans="1:2" x14ac:dyDescent="0.25">
      <c r="A79" s="18">
        <v>97</v>
      </c>
      <c r="B79" s="18">
        <v>8.2799999999999992E-3</v>
      </c>
    </row>
    <row r="80" spans="1:2" x14ac:dyDescent="0.25">
      <c r="A80" s="18">
        <v>98</v>
      </c>
      <c r="B80" s="18">
        <v>8.3300000000000006E-3</v>
      </c>
    </row>
    <row r="81" spans="1:2" x14ac:dyDescent="0.25">
      <c r="A81" s="18">
        <v>99</v>
      </c>
      <c r="B81" s="18">
        <v>8.4100000000000008E-3</v>
      </c>
    </row>
    <row r="82" spans="1:2" x14ac:dyDescent="0.25">
      <c r="A82" s="18">
        <v>100</v>
      </c>
      <c r="B82" s="18">
        <v>8.3000000000000001E-3</v>
      </c>
    </row>
    <row r="83" spans="1:2" x14ac:dyDescent="0.25">
      <c r="A83" s="18">
        <v>101</v>
      </c>
      <c r="B83" s="18">
        <v>8.3499999999999998E-3</v>
      </c>
    </row>
    <row r="84" spans="1:2" x14ac:dyDescent="0.25">
      <c r="A84" s="18">
        <v>102</v>
      </c>
      <c r="B84" s="18">
        <v>8.4600000000000005E-3</v>
      </c>
    </row>
    <row r="85" spans="1:2" x14ac:dyDescent="0.25">
      <c r="A85" s="18">
        <v>103</v>
      </c>
      <c r="B85" s="18">
        <v>8.4399999999999996E-3</v>
      </c>
    </row>
    <row r="86" spans="1:2" x14ac:dyDescent="0.25">
      <c r="A86" s="18">
        <v>104</v>
      </c>
      <c r="B86" s="18">
        <v>8.3999999999999995E-3</v>
      </c>
    </row>
    <row r="87" spans="1:2" x14ac:dyDescent="0.25">
      <c r="A87" s="18">
        <v>105</v>
      </c>
      <c r="B87" s="18">
        <v>8.5000000000000006E-3</v>
      </c>
    </row>
    <row r="88" spans="1:2" x14ac:dyDescent="0.25">
      <c r="A88" s="18">
        <v>106</v>
      </c>
      <c r="B88" s="18">
        <v>8.4499999999999992E-3</v>
      </c>
    </row>
    <row r="89" spans="1:2" x14ac:dyDescent="0.25">
      <c r="A89" s="18">
        <v>107</v>
      </c>
      <c r="B89" s="18">
        <v>8.4600000000000005E-3</v>
      </c>
    </row>
    <row r="90" spans="1:2" x14ac:dyDescent="0.25">
      <c r="A90" s="18">
        <v>108</v>
      </c>
      <c r="B90" s="18">
        <v>8.6099999999999996E-3</v>
      </c>
    </row>
    <row r="91" spans="1:2" x14ac:dyDescent="0.25">
      <c r="A91" s="18">
        <v>109</v>
      </c>
      <c r="B91" s="18">
        <v>8.5699999999999995E-3</v>
      </c>
    </row>
    <row r="92" spans="1:2" x14ac:dyDescent="0.25">
      <c r="A92" s="18">
        <v>110</v>
      </c>
      <c r="B92" s="18">
        <v>8.5199999999999998E-3</v>
      </c>
    </row>
    <row r="93" spans="1:2" x14ac:dyDescent="0.25">
      <c r="A93" s="18">
        <v>111</v>
      </c>
      <c r="B93" s="18">
        <v>8.6E-3</v>
      </c>
    </row>
    <row r="94" spans="1:2" x14ac:dyDescent="0.25">
      <c r="A94" s="18">
        <v>112</v>
      </c>
      <c r="B94" s="18">
        <v>8.4700000000000001E-3</v>
      </c>
    </row>
    <row r="95" spans="1:2" x14ac:dyDescent="0.25">
      <c r="A95" s="18">
        <v>113</v>
      </c>
      <c r="B95" s="18">
        <v>8.4899999999999993E-3</v>
      </c>
    </row>
    <row r="96" spans="1:2" x14ac:dyDescent="0.25">
      <c r="A96" s="18">
        <v>114</v>
      </c>
      <c r="B96" s="18">
        <v>8.4600000000000005E-3</v>
      </c>
    </row>
    <row r="97" spans="1:2" x14ac:dyDescent="0.25">
      <c r="A97" s="18">
        <v>115</v>
      </c>
      <c r="B97" s="18">
        <v>8.3999999999999995E-3</v>
      </c>
    </row>
    <row r="98" spans="1:2" x14ac:dyDescent="0.25">
      <c r="A98" s="18">
        <v>116</v>
      </c>
      <c r="B98" s="18">
        <v>8.3800000000000003E-3</v>
      </c>
    </row>
    <row r="99" spans="1:2" x14ac:dyDescent="0.25">
      <c r="A99" s="18">
        <v>117</v>
      </c>
      <c r="B99" s="18">
        <v>8.3800000000000003E-3</v>
      </c>
    </row>
    <row r="100" spans="1:2" x14ac:dyDescent="0.25">
      <c r="A100" s="18">
        <v>118</v>
      </c>
      <c r="B100" s="18">
        <v>8.2799999999999992E-3</v>
      </c>
    </row>
    <row r="101" spans="1:2" x14ac:dyDescent="0.25">
      <c r="A101" s="18">
        <v>119</v>
      </c>
      <c r="B101" s="18">
        <v>8.4499999999999992E-3</v>
      </c>
    </row>
    <row r="102" spans="1:2" x14ac:dyDescent="0.25">
      <c r="A102" s="18">
        <v>120</v>
      </c>
      <c r="B102" s="18">
        <v>8.2900000000000005E-3</v>
      </c>
    </row>
    <row r="103" spans="1:2" x14ac:dyDescent="0.25">
      <c r="A103" s="18">
        <v>121</v>
      </c>
      <c r="B103" s="18">
        <v>8.2699999999999996E-3</v>
      </c>
    </row>
    <row r="104" spans="1:2" x14ac:dyDescent="0.25">
      <c r="A104" s="18">
        <v>122</v>
      </c>
      <c r="B104" s="18">
        <v>8.2799999999999992E-3</v>
      </c>
    </row>
    <row r="105" spans="1:2" x14ac:dyDescent="0.25">
      <c r="A105" s="18">
        <v>123</v>
      </c>
      <c r="B105" s="18">
        <v>8.1499999999999993E-3</v>
      </c>
    </row>
    <row r="106" spans="1:2" x14ac:dyDescent="0.25">
      <c r="A106" s="18">
        <v>124</v>
      </c>
      <c r="B106" s="18">
        <v>8.0499999999999999E-3</v>
      </c>
    </row>
    <row r="107" spans="1:2" x14ac:dyDescent="0.25">
      <c r="A107" s="18">
        <v>125</v>
      </c>
      <c r="B107" s="18">
        <v>8.0800000000000004E-3</v>
      </c>
    </row>
    <row r="108" spans="1:2" x14ac:dyDescent="0.25">
      <c r="A108" s="18">
        <v>126</v>
      </c>
      <c r="B108" s="18">
        <v>8.0599999999999995E-3</v>
      </c>
    </row>
    <row r="109" spans="1:2" x14ac:dyDescent="0.25">
      <c r="A109" s="18">
        <v>127</v>
      </c>
      <c r="B109" s="18">
        <v>7.9699999999999997E-3</v>
      </c>
    </row>
    <row r="110" spans="1:2" x14ac:dyDescent="0.25">
      <c r="A110" s="18">
        <v>128</v>
      </c>
      <c r="B110" s="18">
        <v>7.9100000000000004E-3</v>
      </c>
    </row>
    <row r="111" spans="1:2" x14ac:dyDescent="0.25">
      <c r="A111" s="18">
        <v>129</v>
      </c>
      <c r="B111" s="18">
        <v>7.9500000000000005E-3</v>
      </c>
    </row>
    <row r="112" spans="1:2" x14ac:dyDescent="0.25">
      <c r="A112" s="18">
        <v>130</v>
      </c>
      <c r="B112" s="18">
        <v>7.7799999999999996E-3</v>
      </c>
    </row>
    <row r="113" spans="1:2" x14ac:dyDescent="0.25">
      <c r="A113" s="18">
        <v>131</v>
      </c>
      <c r="B113" s="18">
        <v>7.8600000000000007E-3</v>
      </c>
    </row>
    <row r="114" spans="1:2" x14ac:dyDescent="0.25">
      <c r="A114" s="18">
        <v>132</v>
      </c>
      <c r="B114" s="18">
        <v>7.6899999999999998E-3</v>
      </c>
    </row>
    <row r="115" spans="1:2" x14ac:dyDescent="0.25">
      <c r="A115" s="18">
        <v>133</v>
      </c>
      <c r="B115" s="18">
        <v>7.6699999999999997E-3</v>
      </c>
    </row>
    <row r="116" spans="1:2" x14ac:dyDescent="0.25">
      <c r="A116" s="18">
        <v>134</v>
      </c>
      <c r="B116" s="18">
        <v>7.6800000000000002E-3</v>
      </c>
    </row>
    <row r="117" spans="1:2" x14ac:dyDescent="0.25">
      <c r="A117" s="18">
        <v>135</v>
      </c>
      <c r="B117" s="18">
        <v>7.4700000000000001E-3</v>
      </c>
    </row>
    <row r="118" spans="1:2" x14ac:dyDescent="0.25">
      <c r="A118" s="18">
        <v>136</v>
      </c>
      <c r="B118" s="18">
        <v>7.5599999999999999E-3</v>
      </c>
    </row>
    <row r="119" spans="1:2" x14ac:dyDescent="0.25">
      <c r="A119" s="18">
        <v>137</v>
      </c>
      <c r="B119" s="18">
        <v>7.3200000000000001E-3</v>
      </c>
    </row>
    <row r="120" spans="1:2" x14ac:dyDescent="0.25">
      <c r="A120" s="18">
        <v>138</v>
      </c>
      <c r="B120" s="18">
        <v>7.3299999999999997E-3</v>
      </c>
    </row>
    <row r="121" spans="1:2" x14ac:dyDescent="0.25">
      <c r="A121" s="18">
        <v>139</v>
      </c>
      <c r="B121" s="18">
        <v>7.2100000000000003E-3</v>
      </c>
    </row>
    <row r="122" spans="1:2" x14ac:dyDescent="0.25">
      <c r="A122" s="18">
        <v>140</v>
      </c>
      <c r="B122" s="18">
        <v>7.1900000000000002E-3</v>
      </c>
    </row>
    <row r="123" spans="1:2" x14ac:dyDescent="0.25">
      <c r="A123" s="18">
        <v>141</v>
      </c>
      <c r="B123" s="18">
        <v>7.0499999999999998E-3</v>
      </c>
    </row>
    <row r="124" spans="1:2" x14ac:dyDescent="0.25">
      <c r="A124" s="18">
        <v>142</v>
      </c>
      <c r="B124" s="18">
        <v>6.9300000000000004E-3</v>
      </c>
    </row>
    <row r="125" spans="1:2" x14ac:dyDescent="0.25">
      <c r="A125" s="18">
        <v>143</v>
      </c>
      <c r="B125" s="18">
        <v>6.79E-3</v>
      </c>
    </row>
    <row r="126" spans="1:2" x14ac:dyDescent="0.25">
      <c r="A126" s="18">
        <v>144</v>
      </c>
      <c r="B126" s="18">
        <v>6.7000000000000002E-3</v>
      </c>
    </row>
    <row r="127" spans="1:2" x14ac:dyDescent="0.25">
      <c r="A127" s="18">
        <v>145</v>
      </c>
      <c r="B127" s="18">
        <v>6.7600000000000004E-3</v>
      </c>
    </row>
    <row r="128" spans="1:2" x14ac:dyDescent="0.25">
      <c r="A128" s="18">
        <v>146</v>
      </c>
      <c r="B128" s="18">
        <v>6.6100000000000004E-3</v>
      </c>
    </row>
    <row r="129" spans="1:2" x14ac:dyDescent="0.25">
      <c r="A129" s="18">
        <v>147</v>
      </c>
      <c r="B129" s="18">
        <v>6.6E-3</v>
      </c>
    </row>
    <row r="130" spans="1:2" x14ac:dyDescent="0.25">
      <c r="A130" s="18">
        <v>148</v>
      </c>
      <c r="B130" s="18">
        <v>6.6E-3</v>
      </c>
    </row>
    <row r="131" spans="1:2" x14ac:dyDescent="0.25">
      <c r="A131" s="18">
        <v>149</v>
      </c>
      <c r="B131" s="18">
        <v>6.4599999999999996E-3</v>
      </c>
    </row>
    <row r="132" spans="1:2" x14ac:dyDescent="0.25">
      <c r="A132" s="18">
        <v>150</v>
      </c>
      <c r="B132" s="18">
        <v>6.4000000000000003E-3</v>
      </c>
    </row>
    <row r="133" spans="1:2" x14ac:dyDescent="0.25">
      <c r="A133" s="18">
        <v>151</v>
      </c>
      <c r="B133" s="18">
        <v>6.2599999999999999E-3</v>
      </c>
    </row>
    <row r="134" spans="1:2" x14ac:dyDescent="0.25">
      <c r="A134" s="18">
        <v>152</v>
      </c>
      <c r="B134" s="18">
        <v>6.0099999999999997E-3</v>
      </c>
    </row>
    <row r="135" spans="1:2" x14ac:dyDescent="0.25">
      <c r="A135" s="18">
        <v>153</v>
      </c>
      <c r="B135" s="18">
        <v>6.13E-3</v>
      </c>
    </row>
    <row r="136" spans="1:2" x14ac:dyDescent="0.25">
      <c r="A136" s="18">
        <v>154</v>
      </c>
      <c r="B136" s="18">
        <v>5.96E-3</v>
      </c>
    </row>
    <row r="137" spans="1:2" x14ac:dyDescent="0.25">
      <c r="A137" s="18">
        <v>155</v>
      </c>
      <c r="B137" s="18">
        <v>5.8199999999999997E-3</v>
      </c>
    </row>
    <row r="138" spans="1:2" x14ac:dyDescent="0.25">
      <c r="A138" s="18">
        <v>156</v>
      </c>
      <c r="B138" s="18">
        <v>5.8100000000000001E-3</v>
      </c>
    </row>
    <row r="139" spans="1:2" x14ac:dyDescent="0.25">
      <c r="A139" s="18">
        <v>157</v>
      </c>
      <c r="B139" s="18">
        <v>5.7299999999999999E-3</v>
      </c>
    </row>
    <row r="140" spans="1:2" x14ac:dyDescent="0.25">
      <c r="A140" s="18">
        <v>158</v>
      </c>
      <c r="B140" s="18">
        <v>5.4900000000000001E-3</v>
      </c>
    </row>
    <row r="141" spans="1:2" x14ac:dyDescent="0.25">
      <c r="A141" s="18">
        <v>159</v>
      </c>
      <c r="B141" s="18">
        <v>5.47E-3</v>
      </c>
    </row>
    <row r="142" spans="1:2" x14ac:dyDescent="0.25">
      <c r="A142" s="18">
        <v>160</v>
      </c>
      <c r="B142" s="18">
        <v>5.3899999999999998E-3</v>
      </c>
    </row>
    <row r="143" spans="1:2" x14ac:dyDescent="0.25">
      <c r="A143" s="18">
        <v>161</v>
      </c>
      <c r="B143" s="18">
        <v>5.2700000000000004E-3</v>
      </c>
    </row>
    <row r="144" spans="1:2" x14ac:dyDescent="0.25">
      <c r="A144" s="18">
        <v>162</v>
      </c>
      <c r="B144" s="18">
        <v>5.2900000000000004E-3</v>
      </c>
    </row>
    <row r="145" spans="1:2" x14ac:dyDescent="0.25">
      <c r="A145" s="18">
        <v>163</v>
      </c>
      <c r="B145" s="18">
        <v>5.11E-3</v>
      </c>
    </row>
    <row r="146" spans="1:2" x14ac:dyDescent="0.25">
      <c r="A146" s="18">
        <v>164</v>
      </c>
      <c r="B146" s="18">
        <v>4.8599999999999997E-3</v>
      </c>
    </row>
    <row r="147" spans="1:2" x14ac:dyDescent="0.25">
      <c r="A147" s="18">
        <v>165</v>
      </c>
      <c r="B147" s="18">
        <v>4.8399999999999997E-3</v>
      </c>
    </row>
    <row r="148" spans="1:2" x14ac:dyDescent="0.25">
      <c r="A148" s="18">
        <v>166</v>
      </c>
      <c r="B148" s="18">
        <v>4.7400000000000003E-3</v>
      </c>
    </row>
    <row r="149" spans="1:2" x14ac:dyDescent="0.25">
      <c r="A149" s="18">
        <v>167</v>
      </c>
      <c r="B149" s="18">
        <v>4.64E-3</v>
      </c>
    </row>
    <row r="150" spans="1:2" x14ac:dyDescent="0.25">
      <c r="A150" s="18">
        <v>168</v>
      </c>
      <c r="B150" s="18">
        <v>4.5700000000000003E-3</v>
      </c>
    </row>
    <row r="151" spans="1:2" x14ac:dyDescent="0.25">
      <c r="A151" s="18">
        <v>169</v>
      </c>
      <c r="B151" s="18">
        <v>4.3499999999999997E-3</v>
      </c>
    </row>
    <row r="152" spans="1:2" x14ac:dyDescent="0.25">
      <c r="A152" s="18">
        <v>170</v>
      </c>
      <c r="B152" s="18">
        <v>4.3200000000000001E-3</v>
      </c>
    </row>
    <row r="153" spans="1:2" x14ac:dyDescent="0.25">
      <c r="A153" s="18">
        <v>171</v>
      </c>
      <c r="B153" s="18">
        <v>4.1799999999999997E-3</v>
      </c>
    </row>
    <row r="154" spans="1:2" x14ac:dyDescent="0.25">
      <c r="A154" s="18">
        <v>172</v>
      </c>
      <c r="B154" s="18">
        <v>3.98E-3</v>
      </c>
    </row>
    <row r="155" spans="1:2" x14ac:dyDescent="0.25">
      <c r="A155" s="18">
        <v>173</v>
      </c>
      <c r="B155" s="18">
        <v>3.8999999999999998E-3</v>
      </c>
    </row>
    <row r="156" spans="1:2" x14ac:dyDescent="0.25">
      <c r="A156" s="18">
        <v>174</v>
      </c>
      <c r="B156" s="18">
        <v>3.8300000000000001E-3</v>
      </c>
    </row>
    <row r="157" spans="1:2" x14ac:dyDescent="0.25">
      <c r="A157" s="18">
        <v>175</v>
      </c>
      <c r="B157" s="18">
        <v>3.6800000000000001E-3</v>
      </c>
    </row>
    <row r="158" spans="1:2" x14ac:dyDescent="0.25">
      <c r="A158" s="18">
        <v>176</v>
      </c>
      <c r="B158" s="18">
        <v>3.5300000000000002E-3</v>
      </c>
    </row>
    <row r="159" spans="1:2" x14ac:dyDescent="0.25">
      <c r="A159" s="18">
        <v>177</v>
      </c>
      <c r="B159" s="18">
        <v>3.4299999999999999E-3</v>
      </c>
    </row>
    <row r="160" spans="1:2" x14ac:dyDescent="0.25">
      <c r="A160" s="18">
        <v>178</v>
      </c>
      <c r="B160" s="18">
        <v>3.2699999999999999E-3</v>
      </c>
    </row>
    <row r="161" spans="1:2" x14ac:dyDescent="0.25">
      <c r="A161" s="18">
        <v>179</v>
      </c>
      <c r="B161" s="18">
        <v>3.16E-3</v>
      </c>
    </row>
    <row r="162" spans="1:2" x14ac:dyDescent="0.25">
      <c r="A162" s="18">
        <v>180</v>
      </c>
      <c r="B162" s="18">
        <v>3.0400000000000002E-3</v>
      </c>
    </row>
    <row r="163" spans="1:2" x14ac:dyDescent="0.25">
      <c r="A163" s="18">
        <v>181</v>
      </c>
      <c r="B163" s="18">
        <v>2.8700000000000002E-3</v>
      </c>
    </row>
    <row r="164" spans="1:2" x14ac:dyDescent="0.25">
      <c r="A164" s="18">
        <v>182</v>
      </c>
      <c r="B164" s="18">
        <v>2.7299999999999998E-3</v>
      </c>
    </row>
    <row r="165" spans="1:2" x14ac:dyDescent="0.25">
      <c r="A165" s="18">
        <v>183</v>
      </c>
      <c r="B165" s="18">
        <v>2.6900000000000001E-3</v>
      </c>
    </row>
    <row r="166" spans="1:2" x14ac:dyDescent="0.25">
      <c r="A166" s="18">
        <v>184</v>
      </c>
      <c r="B166" s="18">
        <v>2.48E-3</v>
      </c>
    </row>
    <row r="167" spans="1:2" x14ac:dyDescent="0.25">
      <c r="A167" s="18">
        <v>185</v>
      </c>
      <c r="B167" s="18">
        <v>2.2799999999999999E-3</v>
      </c>
    </row>
    <row r="168" spans="1:2" x14ac:dyDescent="0.25">
      <c r="A168" s="18">
        <v>186</v>
      </c>
      <c r="B168" s="18">
        <v>2.2799999999999999E-3</v>
      </c>
    </row>
    <row r="169" spans="1:2" x14ac:dyDescent="0.25">
      <c r="A169" s="18">
        <v>187</v>
      </c>
      <c r="B169" s="18">
        <v>2.0100000000000001E-3</v>
      </c>
    </row>
    <row r="170" spans="1:2" x14ac:dyDescent="0.25">
      <c r="A170" s="18">
        <v>188</v>
      </c>
      <c r="B170" s="18">
        <v>1.8600000000000001E-3</v>
      </c>
    </row>
    <row r="171" spans="1:2" x14ac:dyDescent="0.25">
      <c r="A171" s="18">
        <v>189</v>
      </c>
      <c r="B171" s="18">
        <v>1.7700000000000001E-3</v>
      </c>
    </row>
    <row r="172" spans="1:2" x14ac:dyDescent="0.25">
      <c r="A172" s="18">
        <v>190</v>
      </c>
      <c r="B172" s="18">
        <v>1.6299999999999999E-3</v>
      </c>
    </row>
    <row r="173" spans="1:2" x14ac:dyDescent="0.25">
      <c r="A173" s="18">
        <v>191</v>
      </c>
      <c r="B173" s="18">
        <v>1.4499999999999999E-3</v>
      </c>
    </row>
    <row r="174" spans="1:2" x14ac:dyDescent="0.25">
      <c r="A174" s="18">
        <v>192</v>
      </c>
      <c r="B174" s="18">
        <v>1.25E-3</v>
      </c>
    </row>
    <row r="175" spans="1:2" x14ac:dyDescent="0.25">
      <c r="A175" s="18">
        <v>193</v>
      </c>
      <c r="B175" s="18">
        <v>1.2800000000000001E-3</v>
      </c>
    </row>
    <row r="176" spans="1:2" x14ac:dyDescent="0.25">
      <c r="A176" s="18">
        <v>194</v>
      </c>
      <c r="B176" s="18">
        <v>9.6900000000000003E-4</v>
      </c>
    </row>
    <row r="177" spans="1:2" x14ac:dyDescent="0.25">
      <c r="A177" s="18">
        <v>195</v>
      </c>
      <c r="B177" s="18">
        <v>8.7399999999999999E-4</v>
      </c>
    </row>
    <row r="178" spans="1:2" x14ac:dyDescent="0.25">
      <c r="A178" s="18">
        <v>196</v>
      </c>
      <c r="B178" s="18">
        <v>7.7300000000000003E-4</v>
      </c>
    </row>
    <row r="179" spans="1:2" x14ac:dyDescent="0.25">
      <c r="A179" s="18">
        <v>197</v>
      </c>
      <c r="B179" s="18">
        <v>5.4500000000000002E-4</v>
      </c>
    </row>
    <row r="180" spans="1:2" x14ac:dyDescent="0.25">
      <c r="A180" s="18">
        <v>198</v>
      </c>
      <c r="B180" s="18">
        <v>3.88E-4</v>
      </c>
    </row>
    <row r="181" spans="1:2" x14ac:dyDescent="0.25">
      <c r="A181" s="18">
        <v>199</v>
      </c>
      <c r="B181" s="18">
        <v>2.32E-4</v>
      </c>
    </row>
    <row r="182" spans="1:2" x14ac:dyDescent="0.25">
      <c r="A182" s="18">
        <v>200</v>
      </c>
      <c r="B182" s="18">
        <v>6.97E-5</v>
      </c>
    </row>
    <row r="183" spans="1:2" x14ac:dyDescent="0.25">
      <c r="A183" s="18">
        <v>201</v>
      </c>
      <c r="B183" s="18">
        <v>2.19E-5</v>
      </c>
    </row>
    <row r="184" spans="1:2" x14ac:dyDescent="0.25">
      <c r="A184" s="18">
        <v>202</v>
      </c>
      <c r="B184" s="18">
        <v>1.2099999999999999E-5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B23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20</v>
      </c>
      <c r="B2" s="18">
        <v>1.9000000000000001E-4</v>
      </c>
    </row>
    <row r="3" spans="1:2" x14ac:dyDescent="0.25">
      <c r="A3" s="18">
        <v>21</v>
      </c>
      <c r="B3" s="18">
        <v>2.6699999999999998E-4</v>
      </c>
    </row>
    <row r="4" spans="1:2" x14ac:dyDescent="0.25">
      <c r="A4" s="18">
        <v>22</v>
      </c>
      <c r="B4" s="18">
        <v>2.61E-4</v>
      </c>
    </row>
    <row r="5" spans="1:2" x14ac:dyDescent="0.25">
      <c r="A5" s="18">
        <v>23</v>
      </c>
      <c r="B5" s="18">
        <v>1.8000000000000001E-4</v>
      </c>
    </row>
    <row r="6" spans="1:2" x14ac:dyDescent="0.25">
      <c r="A6" s="18">
        <v>24</v>
      </c>
      <c r="B6" s="18">
        <v>2.2699999999999999E-4</v>
      </c>
    </row>
    <row r="7" spans="1:2" x14ac:dyDescent="0.25">
      <c r="A7" s="18">
        <v>25</v>
      </c>
      <c r="B7" s="18">
        <v>1.95E-4</v>
      </c>
    </row>
    <row r="8" spans="1:2" x14ac:dyDescent="0.25">
      <c r="A8" s="18">
        <v>26</v>
      </c>
      <c r="B8" s="18">
        <v>1.64E-4</v>
      </c>
    </row>
    <row r="9" spans="1:2" x14ac:dyDescent="0.25">
      <c r="A9" s="18">
        <v>27</v>
      </c>
      <c r="B9" s="18">
        <v>1.5200000000000001E-4</v>
      </c>
    </row>
    <row r="10" spans="1:2" x14ac:dyDescent="0.25">
      <c r="A10" s="18">
        <v>28</v>
      </c>
      <c r="B10" s="18">
        <v>1.4799999999999999E-4</v>
      </c>
    </row>
    <row r="11" spans="1:2" x14ac:dyDescent="0.25">
      <c r="A11" s="18">
        <v>29</v>
      </c>
      <c r="B11" s="18">
        <v>1.76E-4</v>
      </c>
    </row>
    <row r="12" spans="1:2" x14ac:dyDescent="0.25">
      <c r="A12" s="18">
        <v>30</v>
      </c>
      <c r="B12" s="18">
        <v>7.86E-5</v>
      </c>
    </row>
    <row r="13" spans="1:2" x14ac:dyDescent="0.25">
      <c r="A13" s="18">
        <v>31</v>
      </c>
      <c r="B13" s="18">
        <v>1.26E-4</v>
      </c>
    </row>
    <row r="14" spans="1:2" x14ac:dyDescent="0.25">
      <c r="A14" s="18">
        <v>32</v>
      </c>
      <c r="B14" s="18">
        <v>1.17E-4</v>
      </c>
    </row>
    <row r="15" spans="1:2" x14ac:dyDescent="0.25">
      <c r="A15" s="18">
        <v>33</v>
      </c>
      <c r="B15" s="18">
        <v>1.7100000000000001E-4</v>
      </c>
    </row>
    <row r="16" spans="1:2" x14ac:dyDescent="0.25">
      <c r="A16" s="18">
        <v>34</v>
      </c>
      <c r="B16" s="18">
        <v>1.2999999999999999E-4</v>
      </c>
    </row>
    <row r="17" spans="1:2" x14ac:dyDescent="0.25">
      <c r="A17" s="18">
        <v>35</v>
      </c>
      <c r="B17" s="18">
        <v>9.31E-5</v>
      </c>
    </row>
    <row r="18" spans="1:2" x14ac:dyDescent="0.25">
      <c r="A18" s="18">
        <v>36</v>
      </c>
      <c r="B18" s="18">
        <v>6.3899999999999995E-5</v>
      </c>
    </row>
    <row r="19" spans="1:2" x14ac:dyDescent="0.25">
      <c r="A19" s="18">
        <v>37</v>
      </c>
      <c r="B19" s="18">
        <v>1.15E-4</v>
      </c>
    </row>
    <row r="20" spans="1:2" x14ac:dyDescent="0.25">
      <c r="A20" s="18">
        <v>38</v>
      </c>
      <c r="B20" s="18">
        <v>8.2600000000000002E-5</v>
      </c>
    </row>
    <row r="21" spans="1:2" x14ac:dyDescent="0.25">
      <c r="A21" s="18">
        <v>39</v>
      </c>
      <c r="B21" s="18">
        <v>8.8300000000000005E-5</v>
      </c>
    </row>
    <row r="22" spans="1:2" x14ac:dyDescent="0.25">
      <c r="A22" s="18">
        <v>40</v>
      </c>
      <c r="B22" s="18">
        <v>8.1600000000000005E-5</v>
      </c>
    </row>
    <row r="23" spans="1:2" x14ac:dyDescent="0.25">
      <c r="A23" s="18">
        <v>41</v>
      </c>
      <c r="B23" s="18">
        <v>1.2E-4</v>
      </c>
    </row>
    <row r="24" spans="1:2" x14ac:dyDescent="0.25">
      <c r="A24" s="18">
        <v>42</v>
      </c>
      <c r="B24" s="18">
        <v>1.01E-4</v>
      </c>
    </row>
    <row r="25" spans="1:2" x14ac:dyDescent="0.25">
      <c r="A25" s="18">
        <v>43</v>
      </c>
      <c r="B25" s="18">
        <v>1.3100000000000001E-4</v>
      </c>
    </row>
    <row r="26" spans="1:2" x14ac:dyDescent="0.25">
      <c r="A26" s="18">
        <v>44</v>
      </c>
      <c r="B26" s="18">
        <v>2.1800000000000001E-4</v>
      </c>
    </row>
    <row r="27" spans="1:2" x14ac:dyDescent="0.25">
      <c r="A27" s="18">
        <v>45</v>
      </c>
      <c r="B27" s="18">
        <v>2.4699999999999999E-4</v>
      </c>
    </row>
    <row r="28" spans="1:2" x14ac:dyDescent="0.25">
      <c r="A28" s="18">
        <v>46</v>
      </c>
      <c r="B28" s="18">
        <v>2.9399999999999999E-4</v>
      </c>
    </row>
    <row r="29" spans="1:2" x14ac:dyDescent="0.25">
      <c r="A29" s="18">
        <v>47</v>
      </c>
      <c r="B29" s="18">
        <v>3.7399999999999998E-4</v>
      </c>
    </row>
    <row r="30" spans="1:2" x14ac:dyDescent="0.25">
      <c r="A30" s="18">
        <v>48</v>
      </c>
      <c r="B30" s="18">
        <v>4.6200000000000001E-4</v>
      </c>
    </row>
    <row r="31" spans="1:2" x14ac:dyDescent="0.25">
      <c r="A31" s="18">
        <v>49</v>
      </c>
      <c r="B31" s="18">
        <v>5.3700000000000004E-4</v>
      </c>
    </row>
    <row r="32" spans="1:2" x14ac:dyDescent="0.25">
      <c r="A32" s="18">
        <v>50</v>
      </c>
      <c r="B32" s="18">
        <v>6.7599999999999995E-4</v>
      </c>
    </row>
    <row r="33" spans="1:2" x14ac:dyDescent="0.25">
      <c r="A33" s="18">
        <v>51</v>
      </c>
      <c r="B33" s="18">
        <v>7.94E-4</v>
      </c>
    </row>
    <row r="34" spans="1:2" x14ac:dyDescent="0.25">
      <c r="A34" s="18">
        <v>52</v>
      </c>
      <c r="B34" s="18">
        <v>9.0399999999999996E-4</v>
      </c>
    </row>
    <row r="35" spans="1:2" x14ac:dyDescent="0.25">
      <c r="A35" s="18">
        <v>53</v>
      </c>
      <c r="B35" s="18">
        <v>1.06E-3</v>
      </c>
    </row>
    <row r="36" spans="1:2" x14ac:dyDescent="0.25">
      <c r="A36" s="18">
        <v>54</v>
      </c>
      <c r="B36" s="18">
        <v>1.1900000000000001E-3</v>
      </c>
    </row>
    <row r="37" spans="1:2" x14ac:dyDescent="0.25">
      <c r="A37" s="18">
        <v>55</v>
      </c>
      <c r="B37" s="18">
        <v>1.3799999999999999E-3</v>
      </c>
    </row>
    <row r="38" spans="1:2" x14ac:dyDescent="0.25">
      <c r="A38" s="18">
        <v>56</v>
      </c>
      <c r="B38" s="18">
        <v>1.5299999999999999E-3</v>
      </c>
    </row>
    <row r="39" spans="1:2" x14ac:dyDescent="0.25">
      <c r="A39" s="18">
        <v>57</v>
      </c>
      <c r="B39" s="18">
        <v>1.83E-3</v>
      </c>
    </row>
    <row r="40" spans="1:2" x14ac:dyDescent="0.25">
      <c r="A40" s="18">
        <v>58</v>
      </c>
      <c r="B40" s="18">
        <v>9.2499999999999995E-3</v>
      </c>
    </row>
    <row r="41" spans="1:2" x14ac:dyDescent="0.25">
      <c r="A41" s="18">
        <v>59</v>
      </c>
      <c r="B41" s="18">
        <v>1.2E-2</v>
      </c>
    </row>
    <row r="42" spans="1:2" x14ac:dyDescent="0.25">
      <c r="A42" s="18">
        <v>60</v>
      </c>
      <c r="B42" s="18">
        <v>8.6099999999999996E-3</v>
      </c>
    </row>
    <row r="43" spans="1:2" x14ac:dyDescent="0.25">
      <c r="A43" s="18">
        <v>61</v>
      </c>
      <c r="B43" s="18">
        <v>2.4499999999999999E-3</v>
      </c>
    </row>
    <row r="44" spans="1:2" x14ac:dyDescent="0.25">
      <c r="A44" s="18">
        <v>62</v>
      </c>
      <c r="B44" s="18">
        <v>2.6199999999999999E-3</v>
      </c>
    </row>
    <row r="45" spans="1:2" x14ac:dyDescent="0.25">
      <c r="A45" s="18">
        <v>63</v>
      </c>
      <c r="B45" s="18">
        <v>2.8E-3</v>
      </c>
    </row>
    <row r="46" spans="1:2" x14ac:dyDescent="0.25">
      <c r="A46" s="18">
        <v>64</v>
      </c>
      <c r="B46" s="18">
        <v>2.97E-3</v>
      </c>
    </row>
    <row r="47" spans="1:2" x14ac:dyDescent="0.25">
      <c r="A47" s="18">
        <v>65</v>
      </c>
      <c r="B47" s="18">
        <v>3.2200000000000002E-3</v>
      </c>
    </row>
    <row r="48" spans="1:2" x14ac:dyDescent="0.25">
      <c r="A48" s="18">
        <v>66</v>
      </c>
      <c r="B48" s="18">
        <v>3.5699999999999998E-3</v>
      </c>
    </row>
    <row r="49" spans="1:2" x14ac:dyDescent="0.25">
      <c r="A49" s="18">
        <v>67</v>
      </c>
      <c r="B49" s="18">
        <v>1.29E-2</v>
      </c>
    </row>
    <row r="50" spans="1:2" x14ac:dyDescent="0.25">
      <c r="A50" s="18">
        <v>68</v>
      </c>
      <c r="B50" s="18">
        <v>6.4200000000000004E-3</v>
      </c>
    </row>
    <row r="51" spans="1:2" x14ac:dyDescent="0.25">
      <c r="A51" s="18">
        <v>69</v>
      </c>
      <c r="B51" s="18">
        <v>6.9100000000000003E-3</v>
      </c>
    </row>
    <row r="52" spans="1:2" x14ac:dyDescent="0.25">
      <c r="A52" s="18">
        <v>70</v>
      </c>
      <c r="B52" s="18">
        <v>3.7599999999999999E-3</v>
      </c>
    </row>
    <row r="53" spans="1:2" x14ac:dyDescent="0.25">
      <c r="A53" s="18">
        <v>71</v>
      </c>
      <c r="B53" s="18">
        <v>3.0799999999999998E-3</v>
      </c>
    </row>
    <row r="54" spans="1:2" x14ac:dyDescent="0.25">
      <c r="A54" s="18">
        <v>72</v>
      </c>
      <c r="B54" s="18">
        <v>3.2699999999999999E-3</v>
      </c>
    </row>
    <row r="55" spans="1:2" x14ac:dyDescent="0.25">
      <c r="A55" s="18">
        <v>73</v>
      </c>
      <c r="B55" s="18">
        <v>3.3999999999999998E-3</v>
      </c>
    </row>
    <row r="56" spans="1:2" x14ac:dyDescent="0.25">
      <c r="A56" s="18">
        <v>74</v>
      </c>
      <c r="B56" s="18">
        <v>3.5200000000000001E-3</v>
      </c>
    </row>
    <row r="57" spans="1:2" x14ac:dyDescent="0.25">
      <c r="A57" s="18">
        <v>75</v>
      </c>
      <c r="B57" s="18">
        <v>3.7299999999999998E-3</v>
      </c>
    </row>
    <row r="58" spans="1:2" x14ac:dyDescent="0.25">
      <c r="A58" s="18">
        <v>76</v>
      </c>
      <c r="B58" s="18">
        <v>3.81E-3</v>
      </c>
    </row>
    <row r="59" spans="1:2" x14ac:dyDescent="0.25">
      <c r="A59" s="18">
        <v>77</v>
      </c>
      <c r="B59" s="18">
        <v>4.0000000000000001E-3</v>
      </c>
    </row>
    <row r="60" spans="1:2" x14ac:dyDescent="0.25">
      <c r="A60" s="18">
        <v>78</v>
      </c>
      <c r="B60" s="18">
        <v>4.1000000000000003E-3</v>
      </c>
    </row>
    <row r="61" spans="1:2" x14ac:dyDescent="0.25">
      <c r="A61" s="18">
        <v>79</v>
      </c>
      <c r="B61" s="18">
        <v>4.15E-3</v>
      </c>
    </row>
    <row r="62" spans="1:2" x14ac:dyDescent="0.25">
      <c r="A62" s="18">
        <v>80</v>
      </c>
      <c r="B62" s="18">
        <v>4.2500000000000003E-3</v>
      </c>
    </row>
    <row r="63" spans="1:2" x14ac:dyDescent="0.25">
      <c r="A63" s="18">
        <v>81</v>
      </c>
      <c r="B63" s="18">
        <v>4.5199999999999997E-3</v>
      </c>
    </row>
    <row r="64" spans="1:2" x14ac:dyDescent="0.25">
      <c r="A64" s="18">
        <v>82</v>
      </c>
      <c r="B64" s="18">
        <v>4.5900000000000003E-3</v>
      </c>
    </row>
    <row r="65" spans="1:2" x14ac:dyDescent="0.25">
      <c r="A65" s="18">
        <v>83</v>
      </c>
      <c r="B65" s="18">
        <v>4.7800000000000004E-3</v>
      </c>
    </row>
    <row r="66" spans="1:2" x14ac:dyDescent="0.25">
      <c r="A66" s="18">
        <v>84</v>
      </c>
      <c r="B66" s="18">
        <v>4.9199999999999999E-3</v>
      </c>
    </row>
    <row r="67" spans="1:2" x14ac:dyDescent="0.25">
      <c r="A67" s="18">
        <v>85</v>
      </c>
      <c r="B67" s="18">
        <v>5.0400000000000002E-3</v>
      </c>
    </row>
    <row r="68" spans="1:2" x14ac:dyDescent="0.25">
      <c r="A68" s="18">
        <v>86</v>
      </c>
      <c r="B68" s="18">
        <v>5.1599999999999997E-3</v>
      </c>
    </row>
    <row r="69" spans="1:2" x14ac:dyDescent="0.25">
      <c r="A69" s="18">
        <v>87</v>
      </c>
      <c r="B69" s="18">
        <v>5.3299999999999997E-3</v>
      </c>
    </row>
    <row r="70" spans="1:2" x14ac:dyDescent="0.25">
      <c r="A70" s="18">
        <v>88</v>
      </c>
      <c r="B70" s="18">
        <v>5.3400000000000001E-3</v>
      </c>
    </row>
    <row r="71" spans="1:2" x14ac:dyDescent="0.25">
      <c r="A71" s="18">
        <v>89</v>
      </c>
      <c r="B71" s="18">
        <v>5.4099999999999999E-3</v>
      </c>
    </row>
    <row r="72" spans="1:2" x14ac:dyDescent="0.25">
      <c r="A72" s="18">
        <v>90</v>
      </c>
      <c r="B72" s="18">
        <v>5.4999999999999997E-3</v>
      </c>
    </row>
    <row r="73" spans="1:2" x14ac:dyDescent="0.25">
      <c r="A73" s="18">
        <v>91</v>
      </c>
      <c r="B73" s="18">
        <v>5.5799999999999999E-3</v>
      </c>
    </row>
    <row r="74" spans="1:2" x14ac:dyDescent="0.25">
      <c r="A74" s="18">
        <v>92</v>
      </c>
      <c r="B74" s="18">
        <v>5.7200000000000003E-3</v>
      </c>
    </row>
    <row r="75" spans="1:2" x14ac:dyDescent="0.25">
      <c r="A75" s="18">
        <v>93</v>
      </c>
      <c r="B75" s="18">
        <v>5.8599999999999998E-3</v>
      </c>
    </row>
    <row r="76" spans="1:2" x14ac:dyDescent="0.25">
      <c r="A76" s="18">
        <v>94</v>
      </c>
      <c r="B76" s="18">
        <v>5.8799999999999998E-3</v>
      </c>
    </row>
    <row r="77" spans="1:2" x14ac:dyDescent="0.25">
      <c r="A77" s="18">
        <v>95</v>
      </c>
      <c r="B77" s="18">
        <v>6.0699999999999999E-3</v>
      </c>
    </row>
    <row r="78" spans="1:2" x14ac:dyDescent="0.25">
      <c r="A78" s="18">
        <v>96</v>
      </c>
      <c r="B78" s="18">
        <v>6.0200000000000002E-3</v>
      </c>
    </row>
    <row r="79" spans="1:2" x14ac:dyDescent="0.25">
      <c r="A79" s="18">
        <v>97</v>
      </c>
      <c r="B79" s="18">
        <v>6.1399999999999996E-3</v>
      </c>
    </row>
    <row r="80" spans="1:2" x14ac:dyDescent="0.25">
      <c r="A80" s="18">
        <v>98</v>
      </c>
      <c r="B80" s="18">
        <v>6.2300000000000003E-3</v>
      </c>
    </row>
    <row r="81" spans="1:2" x14ac:dyDescent="0.25">
      <c r="A81" s="18">
        <v>99</v>
      </c>
      <c r="B81" s="18">
        <v>6.28E-3</v>
      </c>
    </row>
    <row r="82" spans="1:2" x14ac:dyDescent="0.25">
      <c r="A82" s="18">
        <v>100</v>
      </c>
      <c r="B82" s="18">
        <v>6.3400000000000001E-3</v>
      </c>
    </row>
    <row r="83" spans="1:2" x14ac:dyDescent="0.25">
      <c r="A83" s="18">
        <v>101</v>
      </c>
      <c r="B83" s="18">
        <v>6.3600000000000002E-3</v>
      </c>
    </row>
    <row r="84" spans="1:2" x14ac:dyDescent="0.25">
      <c r="A84" s="18">
        <v>102</v>
      </c>
      <c r="B84" s="18">
        <v>6.5300000000000002E-3</v>
      </c>
    </row>
    <row r="85" spans="1:2" x14ac:dyDescent="0.25">
      <c r="A85" s="18">
        <v>103</v>
      </c>
      <c r="B85" s="18">
        <v>6.6499999999999997E-3</v>
      </c>
    </row>
    <row r="86" spans="1:2" x14ac:dyDescent="0.25">
      <c r="A86" s="18">
        <v>104</v>
      </c>
      <c r="B86" s="18">
        <v>6.7200000000000003E-3</v>
      </c>
    </row>
    <row r="87" spans="1:2" x14ac:dyDescent="0.25">
      <c r="A87" s="18">
        <v>105</v>
      </c>
      <c r="B87" s="18">
        <v>6.7400000000000003E-3</v>
      </c>
    </row>
    <row r="88" spans="1:2" x14ac:dyDescent="0.25">
      <c r="A88" s="18">
        <v>106</v>
      </c>
      <c r="B88" s="18">
        <v>6.79E-3</v>
      </c>
    </row>
    <row r="89" spans="1:2" x14ac:dyDescent="0.25">
      <c r="A89" s="18">
        <v>107</v>
      </c>
      <c r="B89" s="18">
        <v>6.8700000000000002E-3</v>
      </c>
    </row>
    <row r="90" spans="1:2" x14ac:dyDescent="0.25">
      <c r="A90" s="18">
        <v>108</v>
      </c>
      <c r="B90" s="18">
        <v>6.8900000000000003E-3</v>
      </c>
    </row>
    <row r="91" spans="1:2" x14ac:dyDescent="0.25">
      <c r="A91" s="18">
        <v>109</v>
      </c>
      <c r="B91" s="18">
        <v>7.0099999999999997E-3</v>
      </c>
    </row>
    <row r="92" spans="1:2" x14ac:dyDescent="0.25">
      <c r="A92" s="18">
        <v>110</v>
      </c>
      <c r="B92" s="18">
        <v>7.0600000000000003E-3</v>
      </c>
    </row>
    <row r="93" spans="1:2" x14ac:dyDescent="0.25">
      <c r="A93" s="18">
        <v>111</v>
      </c>
      <c r="B93" s="18">
        <v>6.9899999999999997E-3</v>
      </c>
    </row>
    <row r="94" spans="1:2" x14ac:dyDescent="0.25">
      <c r="A94" s="18">
        <v>112</v>
      </c>
      <c r="B94" s="18">
        <v>7.0899999999999999E-3</v>
      </c>
    </row>
    <row r="95" spans="1:2" x14ac:dyDescent="0.25">
      <c r="A95" s="18">
        <v>113</v>
      </c>
      <c r="B95" s="18">
        <v>7.1599999999999997E-3</v>
      </c>
    </row>
    <row r="96" spans="1:2" x14ac:dyDescent="0.25">
      <c r="A96" s="18">
        <v>114</v>
      </c>
      <c r="B96" s="18">
        <v>7.1300000000000001E-3</v>
      </c>
    </row>
    <row r="97" spans="1:2" x14ac:dyDescent="0.25">
      <c r="A97" s="18">
        <v>115</v>
      </c>
      <c r="B97" s="18">
        <v>7.1799999999999998E-3</v>
      </c>
    </row>
    <row r="98" spans="1:2" x14ac:dyDescent="0.25">
      <c r="A98" s="18">
        <v>116</v>
      </c>
      <c r="B98" s="18">
        <v>7.1599999999999997E-3</v>
      </c>
    </row>
    <row r="99" spans="1:2" x14ac:dyDescent="0.25">
      <c r="A99" s="18">
        <v>117</v>
      </c>
      <c r="B99" s="18">
        <v>7.2500000000000004E-3</v>
      </c>
    </row>
    <row r="100" spans="1:2" x14ac:dyDescent="0.25">
      <c r="A100" s="18">
        <v>118</v>
      </c>
      <c r="B100" s="18">
        <v>7.2700000000000004E-3</v>
      </c>
    </row>
    <row r="101" spans="1:2" x14ac:dyDescent="0.25">
      <c r="A101" s="18">
        <v>119</v>
      </c>
      <c r="B101" s="18">
        <v>7.3200000000000001E-3</v>
      </c>
    </row>
    <row r="102" spans="1:2" x14ac:dyDescent="0.25">
      <c r="A102" s="18">
        <v>120</v>
      </c>
      <c r="B102" s="18">
        <v>7.3899999999999999E-3</v>
      </c>
    </row>
    <row r="103" spans="1:2" x14ac:dyDescent="0.25">
      <c r="A103" s="18">
        <v>121</v>
      </c>
      <c r="B103" s="18">
        <v>7.3299999999999997E-3</v>
      </c>
    </row>
    <row r="104" spans="1:2" x14ac:dyDescent="0.25">
      <c r="A104" s="18">
        <v>122</v>
      </c>
      <c r="B104" s="18">
        <v>7.3699999999999998E-3</v>
      </c>
    </row>
    <row r="105" spans="1:2" x14ac:dyDescent="0.25">
      <c r="A105" s="18">
        <v>123</v>
      </c>
      <c r="B105" s="18">
        <v>7.4200000000000004E-3</v>
      </c>
    </row>
    <row r="106" spans="1:2" x14ac:dyDescent="0.25">
      <c r="A106" s="18">
        <v>124</v>
      </c>
      <c r="B106" s="18">
        <v>7.3000000000000001E-3</v>
      </c>
    </row>
    <row r="107" spans="1:2" x14ac:dyDescent="0.25">
      <c r="A107" s="18">
        <v>125</v>
      </c>
      <c r="B107" s="18">
        <v>7.4400000000000004E-3</v>
      </c>
    </row>
    <row r="108" spans="1:2" x14ac:dyDescent="0.25">
      <c r="A108" s="18">
        <v>126</v>
      </c>
      <c r="B108" s="18">
        <v>7.4099999999999999E-3</v>
      </c>
    </row>
    <row r="109" spans="1:2" x14ac:dyDescent="0.25">
      <c r="A109" s="18">
        <v>127</v>
      </c>
      <c r="B109" s="18">
        <v>7.4400000000000004E-3</v>
      </c>
    </row>
    <row r="110" spans="1:2" x14ac:dyDescent="0.25">
      <c r="A110" s="18">
        <v>128</v>
      </c>
      <c r="B110" s="18">
        <v>7.45E-3</v>
      </c>
    </row>
    <row r="111" spans="1:2" x14ac:dyDescent="0.25">
      <c r="A111" s="18">
        <v>129</v>
      </c>
      <c r="B111" s="18">
        <v>7.45E-3</v>
      </c>
    </row>
    <row r="112" spans="1:2" x14ac:dyDescent="0.25">
      <c r="A112" s="18">
        <v>130</v>
      </c>
      <c r="B112" s="18">
        <v>7.45E-3</v>
      </c>
    </row>
    <row r="113" spans="1:2" x14ac:dyDescent="0.25">
      <c r="A113" s="18">
        <v>131</v>
      </c>
      <c r="B113" s="18">
        <v>7.3400000000000002E-3</v>
      </c>
    </row>
    <row r="114" spans="1:2" x14ac:dyDescent="0.25">
      <c r="A114" s="18">
        <v>132</v>
      </c>
      <c r="B114" s="18">
        <v>7.4200000000000004E-3</v>
      </c>
    </row>
    <row r="115" spans="1:2" x14ac:dyDescent="0.25">
      <c r="A115" s="18">
        <v>133</v>
      </c>
      <c r="B115" s="18">
        <v>7.4099999999999999E-3</v>
      </c>
    </row>
    <row r="116" spans="1:2" x14ac:dyDescent="0.25">
      <c r="A116" s="18">
        <v>134</v>
      </c>
      <c r="B116" s="18">
        <v>7.45E-3</v>
      </c>
    </row>
    <row r="117" spans="1:2" x14ac:dyDescent="0.25">
      <c r="A117" s="18">
        <v>135</v>
      </c>
      <c r="B117" s="18">
        <v>7.3800000000000003E-3</v>
      </c>
    </row>
    <row r="118" spans="1:2" x14ac:dyDescent="0.25">
      <c r="A118" s="18">
        <v>136</v>
      </c>
      <c r="B118" s="18">
        <v>7.3899999999999999E-3</v>
      </c>
    </row>
    <row r="119" spans="1:2" x14ac:dyDescent="0.25">
      <c r="A119" s="18">
        <v>137</v>
      </c>
      <c r="B119" s="18">
        <v>7.3400000000000002E-3</v>
      </c>
    </row>
    <row r="120" spans="1:2" x14ac:dyDescent="0.25">
      <c r="A120" s="18">
        <v>138</v>
      </c>
      <c r="B120" s="18">
        <v>7.28E-3</v>
      </c>
    </row>
    <row r="121" spans="1:2" x14ac:dyDescent="0.25">
      <c r="A121" s="18">
        <v>139</v>
      </c>
      <c r="B121" s="18">
        <v>7.28E-3</v>
      </c>
    </row>
    <row r="122" spans="1:2" x14ac:dyDescent="0.25">
      <c r="A122" s="18">
        <v>140</v>
      </c>
      <c r="B122" s="18">
        <v>7.26E-3</v>
      </c>
    </row>
    <row r="123" spans="1:2" x14ac:dyDescent="0.25">
      <c r="A123" s="18">
        <v>141</v>
      </c>
      <c r="B123" s="18">
        <v>7.28E-3</v>
      </c>
    </row>
    <row r="124" spans="1:2" x14ac:dyDescent="0.25">
      <c r="A124" s="18">
        <v>142</v>
      </c>
      <c r="B124" s="18">
        <v>7.2100000000000003E-3</v>
      </c>
    </row>
    <row r="125" spans="1:2" x14ac:dyDescent="0.25">
      <c r="A125" s="18">
        <v>143</v>
      </c>
      <c r="B125" s="18">
        <v>7.1700000000000002E-3</v>
      </c>
    </row>
    <row r="126" spans="1:2" x14ac:dyDescent="0.25">
      <c r="A126" s="18">
        <v>144</v>
      </c>
      <c r="B126" s="18">
        <v>7.2199999999999999E-3</v>
      </c>
    </row>
    <row r="127" spans="1:2" x14ac:dyDescent="0.25">
      <c r="A127" s="18">
        <v>145</v>
      </c>
      <c r="B127" s="18">
        <v>7.1500000000000001E-3</v>
      </c>
    </row>
    <row r="128" spans="1:2" x14ac:dyDescent="0.25">
      <c r="A128" s="18">
        <v>146</v>
      </c>
      <c r="B128" s="18">
        <v>7.1000000000000004E-3</v>
      </c>
    </row>
    <row r="129" spans="1:2" x14ac:dyDescent="0.25">
      <c r="A129" s="18">
        <v>147</v>
      </c>
      <c r="B129" s="18">
        <v>7.11E-3</v>
      </c>
    </row>
    <row r="130" spans="1:2" x14ac:dyDescent="0.25">
      <c r="A130" s="18">
        <v>148</v>
      </c>
      <c r="B130" s="18">
        <v>7.0499999999999998E-3</v>
      </c>
    </row>
    <row r="131" spans="1:2" x14ac:dyDescent="0.25">
      <c r="A131" s="18">
        <v>149</v>
      </c>
      <c r="B131" s="18">
        <v>7.0899999999999999E-3</v>
      </c>
    </row>
    <row r="132" spans="1:2" x14ac:dyDescent="0.25">
      <c r="A132" s="18">
        <v>150</v>
      </c>
      <c r="B132" s="18">
        <v>7.0499999999999998E-3</v>
      </c>
    </row>
    <row r="133" spans="1:2" x14ac:dyDescent="0.25">
      <c r="A133" s="18">
        <v>151</v>
      </c>
      <c r="B133" s="18">
        <v>7.0499999999999998E-3</v>
      </c>
    </row>
    <row r="134" spans="1:2" x14ac:dyDescent="0.25">
      <c r="A134" s="18">
        <v>152</v>
      </c>
      <c r="B134" s="18">
        <v>7.0499999999999998E-3</v>
      </c>
    </row>
    <row r="135" spans="1:2" x14ac:dyDescent="0.25">
      <c r="A135" s="18">
        <v>153</v>
      </c>
      <c r="B135" s="18">
        <v>6.8900000000000003E-3</v>
      </c>
    </row>
    <row r="136" spans="1:2" x14ac:dyDescent="0.25">
      <c r="A136" s="18">
        <v>154</v>
      </c>
      <c r="B136" s="18">
        <v>6.9199999999999999E-3</v>
      </c>
    </row>
    <row r="137" spans="1:2" x14ac:dyDescent="0.25">
      <c r="A137" s="18">
        <v>155</v>
      </c>
      <c r="B137" s="18">
        <v>6.77E-3</v>
      </c>
    </row>
    <row r="138" spans="1:2" x14ac:dyDescent="0.25">
      <c r="A138" s="18">
        <v>156</v>
      </c>
      <c r="B138" s="18">
        <v>6.8399999999999997E-3</v>
      </c>
    </row>
    <row r="139" spans="1:2" x14ac:dyDescent="0.25">
      <c r="A139" s="18">
        <v>157</v>
      </c>
      <c r="B139" s="18">
        <v>6.79E-3</v>
      </c>
    </row>
    <row r="140" spans="1:2" x14ac:dyDescent="0.25">
      <c r="A140" s="18">
        <v>158</v>
      </c>
      <c r="B140" s="18">
        <v>6.77E-3</v>
      </c>
    </row>
    <row r="141" spans="1:2" x14ac:dyDescent="0.25">
      <c r="A141" s="18">
        <v>159</v>
      </c>
      <c r="B141" s="18">
        <v>6.6400000000000001E-3</v>
      </c>
    </row>
    <row r="142" spans="1:2" x14ac:dyDescent="0.25">
      <c r="A142" s="18">
        <v>160</v>
      </c>
      <c r="B142" s="18">
        <v>6.6600000000000001E-3</v>
      </c>
    </row>
    <row r="143" spans="1:2" x14ac:dyDescent="0.25">
      <c r="A143" s="18">
        <v>161</v>
      </c>
      <c r="B143" s="18">
        <v>6.6299999999999996E-3</v>
      </c>
    </row>
    <row r="144" spans="1:2" x14ac:dyDescent="0.25">
      <c r="A144" s="18">
        <v>162</v>
      </c>
      <c r="B144" s="18">
        <v>6.4799999999999996E-3</v>
      </c>
    </row>
    <row r="145" spans="1:2" x14ac:dyDescent="0.25">
      <c r="A145" s="18">
        <v>163</v>
      </c>
      <c r="B145" s="18">
        <v>6.4400000000000004E-3</v>
      </c>
    </row>
    <row r="146" spans="1:2" x14ac:dyDescent="0.25">
      <c r="A146" s="18">
        <v>164</v>
      </c>
      <c r="B146" s="18">
        <v>6.4400000000000004E-3</v>
      </c>
    </row>
    <row r="147" spans="1:2" x14ac:dyDescent="0.25">
      <c r="A147" s="18">
        <v>165</v>
      </c>
      <c r="B147" s="18">
        <v>6.3499999999999997E-3</v>
      </c>
    </row>
    <row r="148" spans="1:2" x14ac:dyDescent="0.25">
      <c r="A148" s="18">
        <v>166</v>
      </c>
      <c r="B148" s="18">
        <v>6.3299999999999997E-3</v>
      </c>
    </row>
    <row r="149" spans="1:2" x14ac:dyDescent="0.25">
      <c r="A149" s="18">
        <v>167</v>
      </c>
      <c r="B149" s="18">
        <v>6.4000000000000003E-3</v>
      </c>
    </row>
    <row r="150" spans="1:2" x14ac:dyDescent="0.25">
      <c r="A150" s="18">
        <v>168</v>
      </c>
      <c r="B150" s="18">
        <v>6.2399999999999999E-3</v>
      </c>
    </row>
    <row r="151" spans="1:2" x14ac:dyDescent="0.25">
      <c r="A151" s="18">
        <v>169</v>
      </c>
      <c r="B151" s="18">
        <v>6.28E-3</v>
      </c>
    </row>
    <row r="152" spans="1:2" x14ac:dyDescent="0.25">
      <c r="A152" s="18">
        <v>170</v>
      </c>
      <c r="B152" s="18">
        <v>6.1199999999999996E-3</v>
      </c>
    </row>
    <row r="153" spans="1:2" x14ac:dyDescent="0.25">
      <c r="A153" s="18">
        <v>171</v>
      </c>
      <c r="B153" s="18">
        <v>6.0499999999999998E-3</v>
      </c>
    </row>
    <row r="154" spans="1:2" x14ac:dyDescent="0.25">
      <c r="A154" s="18">
        <v>172</v>
      </c>
      <c r="B154" s="18">
        <v>6.1000000000000004E-3</v>
      </c>
    </row>
    <row r="155" spans="1:2" x14ac:dyDescent="0.25">
      <c r="A155" s="18">
        <v>173</v>
      </c>
      <c r="B155" s="18">
        <v>6.0200000000000002E-3</v>
      </c>
    </row>
    <row r="156" spans="1:2" x14ac:dyDescent="0.25">
      <c r="A156" s="18">
        <v>174</v>
      </c>
      <c r="B156" s="18">
        <v>5.9300000000000004E-3</v>
      </c>
    </row>
    <row r="157" spans="1:2" x14ac:dyDescent="0.25">
      <c r="A157" s="18">
        <v>175</v>
      </c>
      <c r="B157" s="18">
        <v>5.79E-3</v>
      </c>
    </row>
    <row r="158" spans="1:2" x14ac:dyDescent="0.25">
      <c r="A158" s="18">
        <v>176</v>
      </c>
      <c r="B158" s="18">
        <v>5.8799999999999998E-3</v>
      </c>
    </row>
    <row r="159" spans="1:2" x14ac:dyDescent="0.25">
      <c r="A159" s="18">
        <v>177</v>
      </c>
      <c r="B159" s="18">
        <v>5.79E-3</v>
      </c>
    </row>
    <row r="160" spans="1:2" x14ac:dyDescent="0.25">
      <c r="A160" s="18">
        <v>178</v>
      </c>
      <c r="B160" s="18">
        <v>5.7000000000000002E-3</v>
      </c>
    </row>
    <row r="161" spans="1:2" x14ac:dyDescent="0.25">
      <c r="A161" s="18">
        <v>179</v>
      </c>
      <c r="B161" s="18">
        <v>5.6800000000000002E-3</v>
      </c>
    </row>
    <row r="162" spans="1:2" x14ac:dyDescent="0.25">
      <c r="A162" s="18">
        <v>180</v>
      </c>
      <c r="B162" s="18">
        <v>5.6899999999999997E-3</v>
      </c>
    </row>
    <row r="163" spans="1:2" x14ac:dyDescent="0.25">
      <c r="A163" s="18">
        <v>181</v>
      </c>
      <c r="B163" s="18">
        <v>5.5900000000000004E-3</v>
      </c>
    </row>
    <row r="164" spans="1:2" x14ac:dyDescent="0.25">
      <c r="A164" s="18">
        <v>182</v>
      </c>
      <c r="B164" s="18">
        <v>5.4200000000000003E-3</v>
      </c>
    </row>
    <row r="165" spans="1:2" x14ac:dyDescent="0.25">
      <c r="A165" s="18">
        <v>183</v>
      </c>
      <c r="B165" s="18">
        <v>5.45E-3</v>
      </c>
    </row>
    <row r="166" spans="1:2" x14ac:dyDescent="0.25">
      <c r="A166" s="18">
        <v>184</v>
      </c>
      <c r="B166" s="18">
        <v>5.3200000000000001E-3</v>
      </c>
    </row>
    <row r="167" spans="1:2" x14ac:dyDescent="0.25">
      <c r="A167" s="18">
        <v>185</v>
      </c>
      <c r="B167" s="18">
        <v>5.2399999999999999E-3</v>
      </c>
    </row>
    <row r="168" spans="1:2" x14ac:dyDescent="0.25">
      <c r="A168" s="18">
        <v>186</v>
      </c>
      <c r="B168" s="18">
        <v>5.2399999999999999E-3</v>
      </c>
    </row>
    <row r="169" spans="1:2" x14ac:dyDescent="0.25">
      <c r="A169" s="18">
        <v>187</v>
      </c>
      <c r="B169" s="18">
        <v>5.1399999999999996E-3</v>
      </c>
    </row>
    <row r="170" spans="1:2" x14ac:dyDescent="0.25">
      <c r="A170" s="18">
        <v>188</v>
      </c>
      <c r="B170" s="18">
        <v>5.13E-3</v>
      </c>
    </row>
    <row r="171" spans="1:2" x14ac:dyDescent="0.25">
      <c r="A171" s="18">
        <v>189</v>
      </c>
      <c r="B171" s="18">
        <v>5.13E-3</v>
      </c>
    </row>
    <row r="172" spans="1:2" x14ac:dyDescent="0.25">
      <c r="A172" s="18">
        <v>190</v>
      </c>
      <c r="B172" s="18">
        <v>4.9199999999999999E-3</v>
      </c>
    </row>
    <row r="173" spans="1:2" x14ac:dyDescent="0.25">
      <c r="A173" s="18">
        <v>191</v>
      </c>
      <c r="B173" s="18">
        <v>4.9300000000000004E-3</v>
      </c>
    </row>
    <row r="174" spans="1:2" x14ac:dyDescent="0.25">
      <c r="A174" s="18">
        <v>192</v>
      </c>
      <c r="B174" s="18">
        <v>4.8399999999999997E-3</v>
      </c>
    </row>
    <row r="175" spans="1:2" x14ac:dyDescent="0.25">
      <c r="A175" s="18">
        <v>193</v>
      </c>
      <c r="B175" s="18">
        <v>4.7800000000000004E-3</v>
      </c>
    </row>
    <row r="176" spans="1:2" x14ac:dyDescent="0.25">
      <c r="A176" s="18">
        <v>194</v>
      </c>
      <c r="B176" s="18">
        <v>4.62E-3</v>
      </c>
    </row>
    <row r="177" spans="1:2" x14ac:dyDescent="0.25">
      <c r="A177" s="18">
        <v>195</v>
      </c>
      <c r="B177" s="18">
        <v>4.64E-3</v>
      </c>
    </row>
    <row r="178" spans="1:2" x14ac:dyDescent="0.25">
      <c r="A178" s="18">
        <v>196</v>
      </c>
      <c r="B178" s="18">
        <v>4.7299999999999998E-3</v>
      </c>
    </row>
    <row r="179" spans="1:2" x14ac:dyDescent="0.25">
      <c r="A179" s="18">
        <v>197</v>
      </c>
      <c r="B179" s="18">
        <v>4.4299999999999999E-3</v>
      </c>
    </row>
    <row r="180" spans="1:2" x14ac:dyDescent="0.25">
      <c r="A180" s="18">
        <v>198</v>
      </c>
      <c r="B180" s="18">
        <v>4.45E-3</v>
      </c>
    </row>
    <row r="181" spans="1:2" x14ac:dyDescent="0.25">
      <c r="A181" s="18">
        <v>199</v>
      </c>
      <c r="B181" s="18">
        <v>4.3200000000000001E-3</v>
      </c>
    </row>
    <row r="182" spans="1:2" x14ac:dyDescent="0.25">
      <c r="A182" s="18">
        <v>200</v>
      </c>
      <c r="B182" s="18">
        <v>4.3400000000000001E-3</v>
      </c>
    </row>
    <row r="183" spans="1:2" x14ac:dyDescent="0.25">
      <c r="A183" s="18">
        <v>201</v>
      </c>
      <c r="B183" s="18">
        <v>4.2100000000000002E-3</v>
      </c>
    </row>
    <row r="184" spans="1:2" x14ac:dyDescent="0.25">
      <c r="A184" s="18">
        <v>202</v>
      </c>
      <c r="B184" s="18">
        <v>4.0400000000000002E-3</v>
      </c>
    </row>
    <row r="185" spans="1:2" x14ac:dyDescent="0.25">
      <c r="A185" s="18">
        <v>203</v>
      </c>
      <c r="B185" s="18">
        <v>4.0699999999999998E-3</v>
      </c>
    </row>
    <row r="186" spans="1:2" x14ac:dyDescent="0.25">
      <c r="A186" s="18">
        <v>204</v>
      </c>
      <c r="B186" s="18">
        <v>4.0299999999999997E-3</v>
      </c>
    </row>
    <row r="187" spans="1:2" x14ac:dyDescent="0.25">
      <c r="A187" s="18">
        <v>205</v>
      </c>
      <c r="B187" s="18">
        <v>3.81E-3</v>
      </c>
    </row>
    <row r="188" spans="1:2" x14ac:dyDescent="0.25">
      <c r="A188" s="18">
        <v>206</v>
      </c>
      <c r="B188" s="18">
        <v>3.81E-3</v>
      </c>
    </row>
    <row r="189" spans="1:2" x14ac:dyDescent="0.25">
      <c r="A189" s="18">
        <v>207</v>
      </c>
      <c r="B189" s="18">
        <v>3.8999999999999998E-3</v>
      </c>
    </row>
    <row r="190" spans="1:2" x14ac:dyDescent="0.25">
      <c r="A190" s="18">
        <v>208</v>
      </c>
      <c r="B190" s="18">
        <v>3.7000000000000002E-3</v>
      </c>
    </row>
    <row r="191" spans="1:2" x14ac:dyDescent="0.25">
      <c r="A191" s="18">
        <v>209</v>
      </c>
      <c r="B191" s="18">
        <v>3.63E-3</v>
      </c>
    </row>
    <row r="192" spans="1:2" x14ac:dyDescent="0.25">
      <c r="A192" s="18">
        <v>210</v>
      </c>
      <c r="B192" s="18">
        <v>3.5300000000000002E-3</v>
      </c>
    </row>
    <row r="193" spans="1:2" x14ac:dyDescent="0.25">
      <c r="A193" s="18">
        <v>211</v>
      </c>
      <c r="B193" s="18">
        <v>3.5400000000000002E-3</v>
      </c>
    </row>
    <row r="194" spans="1:2" x14ac:dyDescent="0.25">
      <c r="A194" s="18">
        <v>212</v>
      </c>
      <c r="B194" s="18">
        <v>3.4299999999999999E-3</v>
      </c>
    </row>
    <row r="195" spans="1:2" x14ac:dyDescent="0.25">
      <c r="A195" s="18">
        <v>213</v>
      </c>
      <c r="B195" s="18">
        <v>3.3600000000000001E-3</v>
      </c>
    </row>
    <row r="196" spans="1:2" x14ac:dyDescent="0.25">
      <c r="A196" s="18">
        <v>214</v>
      </c>
      <c r="B196" s="18">
        <v>3.0999999999999999E-3</v>
      </c>
    </row>
    <row r="197" spans="1:2" x14ac:dyDescent="0.25">
      <c r="A197" s="18">
        <v>215</v>
      </c>
      <c r="B197" s="18">
        <v>3.15E-3</v>
      </c>
    </row>
    <row r="198" spans="1:2" x14ac:dyDescent="0.25">
      <c r="A198" s="18">
        <v>216</v>
      </c>
      <c r="B198" s="18">
        <v>3.1199999999999999E-3</v>
      </c>
    </row>
    <row r="199" spans="1:2" x14ac:dyDescent="0.25">
      <c r="A199" s="18">
        <v>217</v>
      </c>
      <c r="B199" s="18">
        <v>3.0200000000000001E-3</v>
      </c>
    </row>
    <row r="200" spans="1:2" x14ac:dyDescent="0.25">
      <c r="A200" s="18">
        <v>218</v>
      </c>
      <c r="B200" s="18">
        <v>3.0100000000000001E-3</v>
      </c>
    </row>
    <row r="201" spans="1:2" x14ac:dyDescent="0.25">
      <c r="A201" s="18">
        <v>219</v>
      </c>
      <c r="B201" s="18">
        <v>2.7000000000000001E-3</v>
      </c>
    </row>
    <row r="202" spans="1:2" x14ac:dyDescent="0.25">
      <c r="A202" s="18">
        <v>220</v>
      </c>
      <c r="B202" s="18">
        <v>2.7000000000000001E-3</v>
      </c>
    </row>
    <row r="203" spans="1:2" x14ac:dyDescent="0.25">
      <c r="A203" s="18">
        <v>221</v>
      </c>
      <c r="B203" s="18">
        <v>2.6800000000000001E-3</v>
      </c>
    </row>
    <row r="204" spans="1:2" x14ac:dyDescent="0.25">
      <c r="A204" s="18">
        <v>222</v>
      </c>
      <c r="B204" s="18">
        <v>2.49E-3</v>
      </c>
    </row>
    <row r="205" spans="1:2" x14ac:dyDescent="0.25">
      <c r="A205" s="18">
        <v>223</v>
      </c>
      <c r="B205" s="18">
        <v>2.4299999999999999E-3</v>
      </c>
    </row>
    <row r="206" spans="1:2" x14ac:dyDescent="0.25">
      <c r="A206" s="18">
        <v>224</v>
      </c>
      <c r="B206" s="18">
        <v>2.4499999999999999E-3</v>
      </c>
    </row>
    <row r="207" spans="1:2" x14ac:dyDescent="0.25">
      <c r="A207" s="18">
        <v>225</v>
      </c>
      <c r="B207" s="18">
        <v>2.4099999999999998E-3</v>
      </c>
    </row>
    <row r="208" spans="1:2" x14ac:dyDescent="0.25">
      <c r="A208" s="18">
        <v>226</v>
      </c>
      <c r="B208" s="18">
        <v>2.2300000000000002E-3</v>
      </c>
    </row>
    <row r="209" spans="1:2" x14ac:dyDescent="0.25">
      <c r="A209" s="18">
        <v>227</v>
      </c>
      <c r="B209" s="18">
        <v>2.1900000000000001E-3</v>
      </c>
    </row>
    <row r="210" spans="1:2" x14ac:dyDescent="0.25">
      <c r="A210" s="18">
        <v>228</v>
      </c>
      <c r="B210" s="18">
        <v>2.0899999999999998E-3</v>
      </c>
    </row>
    <row r="211" spans="1:2" x14ac:dyDescent="0.25">
      <c r="A211" s="18">
        <v>229</v>
      </c>
      <c r="B211" s="18">
        <v>2.0200000000000001E-3</v>
      </c>
    </row>
    <row r="212" spans="1:2" x14ac:dyDescent="0.25">
      <c r="A212" s="18">
        <v>230</v>
      </c>
      <c r="B212" s="18">
        <v>1.9499999999999999E-3</v>
      </c>
    </row>
    <row r="213" spans="1:2" x14ac:dyDescent="0.25">
      <c r="A213" s="18">
        <v>231</v>
      </c>
      <c r="B213" s="18">
        <v>1.8400000000000001E-3</v>
      </c>
    </row>
    <row r="214" spans="1:2" x14ac:dyDescent="0.25">
      <c r="A214" s="18">
        <v>232</v>
      </c>
      <c r="B214" s="18">
        <v>1.74E-3</v>
      </c>
    </row>
    <row r="215" spans="1:2" x14ac:dyDescent="0.25">
      <c r="A215" s="18">
        <v>233</v>
      </c>
      <c r="B215" s="18">
        <v>1.67E-3</v>
      </c>
    </row>
    <row r="216" spans="1:2" x14ac:dyDescent="0.25">
      <c r="A216" s="18">
        <v>234</v>
      </c>
      <c r="B216" s="18">
        <v>1.58E-3</v>
      </c>
    </row>
    <row r="217" spans="1:2" x14ac:dyDescent="0.25">
      <c r="A217" s="18">
        <v>235</v>
      </c>
      <c r="B217" s="18">
        <v>1.4400000000000001E-3</v>
      </c>
    </row>
    <row r="218" spans="1:2" x14ac:dyDescent="0.25">
      <c r="A218" s="18">
        <v>236</v>
      </c>
      <c r="B218" s="18">
        <v>1.4E-3</v>
      </c>
    </row>
    <row r="219" spans="1:2" x14ac:dyDescent="0.25">
      <c r="A219" s="18">
        <v>237</v>
      </c>
      <c r="B219" s="18">
        <v>1.34E-3</v>
      </c>
    </row>
    <row r="220" spans="1:2" x14ac:dyDescent="0.25">
      <c r="A220" s="18">
        <v>238</v>
      </c>
      <c r="B220" s="18">
        <v>1.1000000000000001E-3</v>
      </c>
    </row>
    <row r="221" spans="1:2" x14ac:dyDescent="0.25">
      <c r="A221" s="18">
        <v>239</v>
      </c>
      <c r="B221" s="18">
        <v>1.06E-3</v>
      </c>
    </row>
    <row r="222" spans="1:2" x14ac:dyDescent="0.25">
      <c r="A222" s="18">
        <v>240</v>
      </c>
      <c r="B222" s="18">
        <v>9.8200000000000002E-4</v>
      </c>
    </row>
    <row r="223" spans="1:2" x14ac:dyDescent="0.25">
      <c r="A223" s="18">
        <v>241</v>
      </c>
      <c r="B223" s="18">
        <v>8.8099999999999995E-4</v>
      </c>
    </row>
    <row r="224" spans="1:2" x14ac:dyDescent="0.25">
      <c r="A224" s="18">
        <v>242</v>
      </c>
      <c r="B224" s="18">
        <v>7.4899999999999999E-4</v>
      </c>
    </row>
    <row r="225" spans="1:2" x14ac:dyDescent="0.25">
      <c r="A225" s="18">
        <v>243</v>
      </c>
      <c r="B225" s="18">
        <v>7.3899999999999997E-4</v>
      </c>
    </row>
    <row r="226" spans="1:2" x14ac:dyDescent="0.25">
      <c r="A226" s="18">
        <v>244</v>
      </c>
      <c r="B226" s="18">
        <v>6.02E-4</v>
      </c>
    </row>
    <row r="227" spans="1:2" x14ac:dyDescent="0.25">
      <c r="A227" s="18">
        <v>245</v>
      </c>
      <c r="B227" s="18">
        <v>4.7899999999999999E-4</v>
      </c>
    </row>
    <row r="228" spans="1:2" x14ac:dyDescent="0.25">
      <c r="A228" s="18">
        <v>246</v>
      </c>
      <c r="B228" s="18">
        <v>4.37E-4</v>
      </c>
    </row>
    <row r="229" spans="1:2" x14ac:dyDescent="0.25">
      <c r="A229" s="18">
        <v>247</v>
      </c>
      <c r="B229" s="18">
        <v>2.9E-4</v>
      </c>
    </row>
    <row r="230" spans="1:2" x14ac:dyDescent="0.25">
      <c r="A230" s="18">
        <v>248</v>
      </c>
      <c r="B230" s="18">
        <v>2.22E-4</v>
      </c>
    </row>
    <row r="231" spans="1:2" x14ac:dyDescent="0.25">
      <c r="A231" s="18">
        <v>249</v>
      </c>
      <c r="B231" s="18">
        <v>1.45E-4</v>
      </c>
    </row>
    <row r="232" spans="1:2" x14ac:dyDescent="0.25">
      <c r="A232" s="18">
        <v>250</v>
      </c>
      <c r="B232" s="18">
        <v>5.7299999999999997E-5</v>
      </c>
    </row>
    <row r="233" spans="1:2" x14ac:dyDescent="0.25">
      <c r="A233" s="18">
        <v>251</v>
      </c>
      <c r="B233" s="18">
        <v>1.42E-5</v>
      </c>
    </row>
    <row r="234" spans="1:2" x14ac:dyDescent="0.25">
      <c r="A234" s="18">
        <v>252</v>
      </c>
      <c r="B234" s="18">
        <v>1.7900000000000001E-5</v>
      </c>
    </row>
  </sheetData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B27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30</v>
      </c>
      <c r="B2" s="18">
        <v>1.2300000000000001E-4</v>
      </c>
    </row>
    <row r="3" spans="1:2" x14ac:dyDescent="0.25">
      <c r="A3" s="18">
        <v>31</v>
      </c>
      <c r="B3" s="18">
        <v>1.12E-4</v>
      </c>
    </row>
    <row r="4" spans="1:2" x14ac:dyDescent="0.25">
      <c r="A4" s="18">
        <v>32</v>
      </c>
      <c r="B4" s="18">
        <v>1.06E-4</v>
      </c>
    </row>
    <row r="5" spans="1:2" x14ac:dyDescent="0.25">
      <c r="A5" s="18">
        <v>33</v>
      </c>
      <c r="B5" s="18">
        <v>1.01E-4</v>
      </c>
    </row>
    <row r="6" spans="1:2" x14ac:dyDescent="0.25">
      <c r="A6" s="18">
        <v>34</v>
      </c>
      <c r="B6" s="18">
        <v>7.6199999999999995E-5</v>
      </c>
    </row>
    <row r="7" spans="1:2" x14ac:dyDescent="0.25">
      <c r="A7" s="18">
        <v>35</v>
      </c>
      <c r="B7" s="18">
        <v>9.0299999999999999E-5</v>
      </c>
    </row>
    <row r="8" spans="1:2" x14ac:dyDescent="0.25">
      <c r="A8" s="18">
        <v>36</v>
      </c>
      <c r="B8" s="18">
        <v>7.6100000000000007E-5</v>
      </c>
    </row>
    <row r="9" spans="1:2" x14ac:dyDescent="0.25">
      <c r="A9" s="18">
        <v>37</v>
      </c>
      <c r="B9" s="18">
        <v>9.0199999999999997E-5</v>
      </c>
    </row>
    <row r="10" spans="1:2" x14ac:dyDescent="0.25">
      <c r="A10" s="18">
        <v>38</v>
      </c>
      <c r="B10" s="18">
        <v>7.7799999999999994E-5</v>
      </c>
    </row>
    <row r="11" spans="1:2" x14ac:dyDescent="0.25">
      <c r="A11" s="18">
        <v>39</v>
      </c>
      <c r="B11" s="18">
        <v>8.1600000000000005E-5</v>
      </c>
    </row>
    <row r="12" spans="1:2" x14ac:dyDescent="0.25">
      <c r="A12" s="18">
        <v>40</v>
      </c>
      <c r="B12" s="18">
        <v>6.7799999999999995E-5</v>
      </c>
    </row>
    <row r="13" spans="1:2" x14ac:dyDescent="0.25">
      <c r="A13" s="18">
        <v>41</v>
      </c>
      <c r="B13" s="18">
        <v>5.7599999999999997E-5</v>
      </c>
    </row>
    <row r="14" spans="1:2" x14ac:dyDescent="0.25">
      <c r="A14" s="18">
        <v>42</v>
      </c>
      <c r="B14" s="18">
        <v>6.4599999999999998E-5</v>
      </c>
    </row>
    <row r="15" spans="1:2" x14ac:dyDescent="0.25">
      <c r="A15" s="18">
        <v>43</v>
      </c>
      <c r="B15" s="18">
        <v>6.8300000000000007E-5</v>
      </c>
    </row>
    <row r="16" spans="1:2" x14ac:dyDescent="0.25">
      <c r="A16" s="18">
        <v>44</v>
      </c>
      <c r="B16" s="18">
        <v>6.7899999999999997E-5</v>
      </c>
    </row>
    <row r="17" spans="1:2" x14ac:dyDescent="0.25">
      <c r="A17" s="18">
        <v>45</v>
      </c>
      <c r="B17" s="18">
        <v>6.9400000000000006E-5</v>
      </c>
    </row>
    <row r="18" spans="1:2" x14ac:dyDescent="0.25">
      <c r="A18" s="18">
        <v>46</v>
      </c>
      <c r="B18" s="18">
        <v>7.4099999999999999E-5</v>
      </c>
    </row>
    <row r="19" spans="1:2" x14ac:dyDescent="0.25">
      <c r="A19" s="18">
        <v>47</v>
      </c>
      <c r="B19" s="18">
        <v>1.08E-4</v>
      </c>
    </row>
    <row r="20" spans="1:2" x14ac:dyDescent="0.25">
      <c r="A20" s="18">
        <v>48</v>
      </c>
      <c r="B20" s="18">
        <v>1.06E-4</v>
      </c>
    </row>
    <row r="21" spans="1:2" x14ac:dyDescent="0.25">
      <c r="A21" s="18">
        <v>49</v>
      </c>
      <c r="B21" s="18">
        <v>1.4100000000000001E-4</v>
      </c>
    </row>
    <row r="22" spans="1:2" x14ac:dyDescent="0.25">
      <c r="A22" s="18">
        <v>50</v>
      </c>
      <c r="B22" s="18">
        <v>1.6100000000000001E-4</v>
      </c>
    </row>
    <row r="23" spans="1:2" x14ac:dyDescent="0.25">
      <c r="A23" s="18">
        <v>51</v>
      </c>
      <c r="B23" s="18">
        <v>1.9799999999999999E-4</v>
      </c>
    </row>
    <row r="24" spans="1:2" x14ac:dyDescent="0.25">
      <c r="A24" s="18">
        <v>52</v>
      </c>
      <c r="B24" s="18">
        <v>2.5000000000000001E-4</v>
      </c>
    </row>
    <row r="25" spans="1:2" x14ac:dyDescent="0.25">
      <c r="A25" s="18">
        <v>53</v>
      </c>
      <c r="B25" s="18">
        <v>2.9300000000000002E-4</v>
      </c>
    </row>
    <row r="26" spans="1:2" x14ac:dyDescent="0.25">
      <c r="A26" s="18">
        <v>54</v>
      </c>
      <c r="B26" s="18">
        <v>3.5399999999999999E-4</v>
      </c>
    </row>
    <row r="27" spans="1:2" x14ac:dyDescent="0.25">
      <c r="A27" s="18">
        <v>55</v>
      </c>
      <c r="B27" s="18">
        <v>4.06E-4</v>
      </c>
    </row>
    <row r="28" spans="1:2" x14ac:dyDescent="0.25">
      <c r="A28" s="18">
        <v>56</v>
      </c>
      <c r="B28" s="18">
        <v>4.9100000000000001E-4</v>
      </c>
    </row>
    <row r="29" spans="1:2" x14ac:dyDescent="0.25">
      <c r="A29" s="18">
        <v>57</v>
      </c>
      <c r="B29" s="18">
        <v>6.2100000000000002E-4</v>
      </c>
    </row>
    <row r="30" spans="1:2" x14ac:dyDescent="0.25">
      <c r="A30" s="18">
        <v>58</v>
      </c>
      <c r="B30" s="18">
        <v>3.4199999999999999E-3</v>
      </c>
    </row>
    <row r="31" spans="1:2" x14ac:dyDescent="0.25">
      <c r="A31" s="18">
        <v>59</v>
      </c>
      <c r="B31" s="18">
        <v>4.7200000000000002E-3</v>
      </c>
    </row>
    <row r="32" spans="1:2" x14ac:dyDescent="0.25">
      <c r="A32" s="18">
        <v>60</v>
      </c>
      <c r="B32" s="18">
        <v>3.4299999999999999E-3</v>
      </c>
    </row>
    <row r="33" spans="1:2" x14ac:dyDescent="0.25">
      <c r="A33" s="18">
        <v>61</v>
      </c>
      <c r="B33" s="18">
        <v>9.4200000000000002E-4</v>
      </c>
    </row>
    <row r="34" spans="1:2" x14ac:dyDescent="0.25">
      <c r="A34" s="18">
        <v>62</v>
      </c>
      <c r="B34" s="18">
        <v>1.06E-3</v>
      </c>
    </row>
    <row r="35" spans="1:2" x14ac:dyDescent="0.25">
      <c r="A35" s="18">
        <v>63</v>
      </c>
      <c r="B35" s="18">
        <v>1.16E-3</v>
      </c>
    </row>
    <row r="36" spans="1:2" x14ac:dyDescent="0.25">
      <c r="A36" s="18">
        <v>64</v>
      </c>
      <c r="B36" s="18">
        <v>1.2800000000000001E-3</v>
      </c>
    </row>
    <row r="37" spans="1:2" x14ac:dyDescent="0.25">
      <c r="A37" s="18">
        <v>65</v>
      </c>
      <c r="B37" s="18">
        <v>1.42E-3</v>
      </c>
    </row>
    <row r="38" spans="1:2" x14ac:dyDescent="0.25">
      <c r="A38" s="18">
        <v>66</v>
      </c>
      <c r="B38" s="18">
        <v>1.6199999999999999E-3</v>
      </c>
    </row>
    <row r="39" spans="1:2" x14ac:dyDescent="0.25">
      <c r="A39" s="18">
        <v>67</v>
      </c>
      <c r="B39" s="18">
        <v>6.45E-3</v>
      </c>
    </row>
    <row r="40" spans="1:2" x14ac:dyDescent="0.25">
      <c r="A40" s="18">
        <v>68</v>
      </c>
      <c r="B40" s="18">
        <v>3.1800000000000001E-3</v>
      </c>
    </row>
    <row r="41" spans="1:2" x14ac:dyDescent="0.25">
      <c r="A41" s="18">
        <v>69</v>
      </c>
      <c r="B41" s="18">
        <v>3.5799999999999998E-3</v>
      </c>
    </row>
    <row r="42" spans="1:2" x14ac:dyDescent="0.25">
      <c r="A42" s="18">
        <v>70</v>
      </c>
      <c r="B42" s="18">
        <v>1.83E-3</v>
      </c>
    </row>
    <row r="43" spans="1:2" x14ac:dyDescent="0.25">
      <c r="A43" s="18">
        <v>71</v>
      </c>
      <c r="B43" s="18">
        <v>1.48E-3</v>
      </c>
    </row>
    <row r="44" spans="1:2" x14ac:dyDescent="0.25">
      <c r="A44" s="18">
        <v>72</v>
      </c>
      <c r="B44" s="18">
        <v>1.5900000000000001E-3</v>
      </c>
    </row>
    <row r="45" spans="1:2" x14ac:dyDescent="0.25">
      <c r="A45" s="18">
        <v>73</v>
      </c>
      <c r="B45" s="18">
        <v>1.7099999999999999E-3</v>
      </c>
    </row>
    <row r="46" spans="1:2" x14ac:dyDescent="0.25">
      <c r="A46" s="18">
        <v>74</v>
      </c>
      <c r="B46" s="18">
        <v>1.81E-3</v>
      </c>
    </row>
    <row r="47" spans="1:2" x14ac:dyDescent="0.25">
      <c r="A47" s="18">
        <v>75</v>
      </c>
      <c r="B47" s="18">
        <v>1.9499999999999999E-3</v>
      </c>
    </row>
    <row r="48" spans="1:2" x14ac:dyDescent="0.25">
      <c r="A48" s="18">
        <v>76</v>
      </c>
      <c r="B48" s="18">
        <v>2.0300000000000001E-3</v>
      </c>
    </row>
    <row r="49" spans="1:2" x14ac:dyDescent="0.25">
      <c r="A49" s="18">
        <v>77</v>
      </c>
      <c r="B49" s="18">
        <v>2.1299999999999999E-3</v>
      </c>
    </row>
    <row r="50" spans="1:2" x14ac:dyDescent="0.25">
      <c r="A50" s="18">
        <v>78</v>
      </c>
      <c r="B50" s="18">
        <v>2.2699999999999999E-3</v>
      </c>
    </row>
    <row r="51" spans="1:2" x14ac:dyDescent="0.25">
      <c r="A51" s="18">
        <v>79</v>
      </c>
      <c r="B51" s="18">
        <v>2.3500000000000001E-3</v>
      </c>
    </row>
    <row r="52" spans="1:2" x14ac:dyDescent="0.25">
      <c r="A52" s="18">
        <v>80</v>
      </c>
      <c r="B52" s="18">
        <v>2.4399999999999999E-3</v>
      </c>
    </row>
    <row r="53" spans="1:2" x14ac:dyDescent="0.25">
      <c r="A53" s="18">
        <v>81</v>
      </c>
      <c r="B53" s="18">
        <v>2.5699999999999998E-3</v>
      </c>
    </row>
    <row r="54" spans="1:2" x14ac:dyDescent="0.25">
      <c r="A54" s="18">
        <v>82</v>
      </c>
      <c r="B54" s="18">
        <v>2.6900000000000001E-3</v>
      </c>
    </row>
    <row r="55" spans="1:2" x14ac:dyDescent="0.25">
      <c r="A55" s="18">
        <v>83</v>
      </c>
      <c r="B55" s="18">
        <v>2.8300000000000001E-3</v>
      </c>
    </row>
    <row r="56" spans="1:2" x14ac:dyDescent="0.25">
      <c r="A56" s="18">
        <v>84</v>
      </c>
      <c r="B56" s="18">
        <v>2.97E-3</v>
      </c>
    </row>
    <row r="57" spans="1:2" x14ac:dyDescent="0.25">
      <c r="A57" s="18">
        <v>85</v>
      </c>
      <c r="B57" s="18">
        <v>3.0999999999999999E-3</v>
      </c>
    </row>
    <row r="58" spans="1:2" x14ac:dyDescent="0.25">
      <c r="A58" s="18">
        <v>86</v>
      </c>
      <c r="B58" s="18">
        <v>3.2100000000000002E-3</v>
      </c>
    </row>
    <row r="59" spans="1:2" x14ac:dyDescent="0.25">
      <c r="A59" s="18">
        <v>87</v>
      </c>
      <c r="B59" s="18">
        <v>3.29E-3</v>
      </c>
    </row>
    <row r="60" spans="1:2" x14ac:dyDescent="0.25">
      <c r="A60" s="18">
        <v>88</v>
      </c>
      <c r="B60" s="18">
        <v>3.3800000000000002E-3</v>
      </c>
    </row>
    <row r="61" spans="1:2" x14ac:dyDescent="0.25">
      <c r="A61" s="18">
        <v>89</v>
      </c>
      <c r="B61" s="18">
        <v>3.46E-3</v>
      </c>
    </row>
    <row r="62" spans="1:2" x14ac:dyDescent="0.25">
      <c r="A62" s="18">
        <v>90</v>
      </c>
      <c r="B62" s="18">
        <v>3.5699999999999998E-3</v>
      </c>
    </row>
    <row r="63" spans="1:2" x14ac:dyDescent="0.25">
      <c r="A63" s="18">
        <v>91</v>
      </c>
      <c r="B63" s="18">
        <v>3.65E-3</v>
      </c>
    </row>
    <row r="64" spans="1:2" x14ac:dyDescent="0.25">
      <c r="A64" s="18">
        <v>92</v>
      </c>
      <c r="B64" s="18">
        <v>3.7399999999999998E-3</v>
      </c>
    </row>
    <row r="65" spans="1:2" x14ac:dyDescent="0.25">
      <c r="A65" s="18">
        <v>93</v>
      </c>
      <c r="B65" s="18">
        <v>3.8500000000000001E-3</v>
      </c>
    </row>
    <row r="66" spans="1:2" x14ac:dyDescent="0.25">
      <c r="A66" s="18">
        <v>94</v>
      </c>
      <c r="B66" s="18">
        <v>3.96E-3</v>
      </c>
    </row>
    <row r="67" spans="1:2" x14ac:dyDescent="0.25">
      <c r="A67" s="18">
        <v>95</v>
      </c>
      <c r="B67" s="18">
        <v>4.0299999999999997E-3</v>
      </c>
    </row>
    <row r="68" spans="1:2" x14ac:dyDescent="0.25">
      <c r="A68" s="18">
        <v>96</v>
      </c>
      <c r="B68" s="18">
        <v>4.1599999999999996E-3</v>
      </c>
    </row>
    <row r="69" spans="1:2" x14ac:dyDescent="0.25">
      <c r="A69" s="18">
        <v>97</v>
      </c>
      <c r="B69" s="18">
        <v>4.2599999999999999E-3</v>
      </c>
    </row>
    <row r="70" spans="1:2" x14ac:dyDescent="0.25">
      <c r="A70" s="18">
        <v>98</v>
      </c>
      <c r="B70" s="18">
        <v>4.3499999999999997E-3</v>
      </c>
    </row>
    <row r="71" spans="1:2" x14ac:dyDescent="0.25">
      <c r="A71" s="18">
        <v>99</v>
      </c>
      <c r="B71" s="18">
        <v>4.3800000000000002E-3</v>
      </c>
    </row>
    <row r="72" spans="1:2" x14ac:dyDescent="0.25">
      <c r="A72" s="18">
        <v>100</v>
      </c>
      <c r="B72" s="18">
        <v>4.47E-3</v>
      </c>
    </row>
    <row r="73" spans="1:2" x14ac:dyDescent="0.25">
      <c r="A73" s="18">
        <v>101</v>
      </c>
      <c r="B73" s="18">
        <v>4.5500000000000002E-3</v>
      </c>
    </row>
    <row r="74" spans="1:2" x14ac:dyDescent="0.25">
      <c r="A74" s="18">
        <v>102</v>
      </c>
      <c r="B74" s="18">
        <v>4.6800000000000001E-3</v>
      </c>
    </row>
    <row r="75" spans="1:2" x14ac:dyDescent="0.25">
      <c r="A75" s="18">
        <v>103</v>
      </c>
      <c r="B75" s="18">
        <v>4.7600000000000003E-3</v>
      </c>
    </row>
    <row r="76" spans="1:2" x14ac:dyDescent="0.25">
      <c r="A76" s="18">
        <v>104</v>
      </c>
      <c r="B76" s="18">
        <v>4.7999999999999996E-3</v>
      </c>
    </row>
    <row r="77" spans="1:2" x14ac:dyDescent="0.25">
      <c r="A77" s="18">
        <v>105</v>
      </c>
      <c r="B77" s="18">
        <v>4.9399999999999999E-3</v>
      </c>
    </row>
    <row r="78" spans="1:2" x14ac:dyDescent="0.25">
      <c r="A78" s="18">
        <v>106</v>
      </c>
      <c r="B78" s="18">
        <v>5.0099999999999997E-3</v>
      </c>
    </row>
    <row r="79" spans="1:2" x14ac:dyDescent="0.25">
      <c r="A79" s="18">
        <v>107</v>
      </c>
      <c r="B79" s="18">
        <v>5.0499999999999998E-3</v>
      </c>
    </row>
    <row r="80" spans="1:2" x14ac:dyDescent="0.25">
      <c r="A80" s="18">
        <v>108</v>
      </c>
      <c r="B80" s="18">
        <v>5.2199999999999998E-3</v>
      </c>
    </row>
    <row r="81" spans="1:2" x14ac:dyDescent="0.25">
      <c r="A81" s="18">
        <v>109</v>
      </c>
      <c r="B81" s="18">
        <v>5.2399999999999999E-3</v>
      </c>
    </row>
    <row r="82" spans="1:2" x14ac:dyDescent="0.25">
      <c r="A82" s="18">
        <v>110</v>
      </c>
      <c r="B82" s="18">
        <v>5.3200000000000001E-3</v>
      </c>
    </row>
    <row r="83" spans="1:2" x14ac:dyDescent="0.25">
      <c r="A83" s="18">
        <v>111</v>
      </c>
      <c r="B83" s="18">
        <v>5.3499999999999997E-3</v>
      </c>
    </row>
    <row r="84" spans="1:2" x14ac:dyDescent="0.25">
      <c r="A84" s="18">
        <v>112</v>
      </c>
      <c r="B84" s="18">
        <v>5.4599999999999996E-3</v>
      </c>
    </row>
    <row r="85" spans="1:2" x14ac:dyDescent="0.25">
      <c r="A85" s="18">
        <v>113</v>
      </c>
      <c r="B85" s="18">
        <v>5.4999999999999997E-3</v>
      </c>
    </row>
    <row r="86" spans="1:2" x14ac:dyDescent="0.25">
      <c r="A86" s="18">
        <v>114</v>
      </c>
      <c r="B86" s="18">
        <v>5.5799999999999999E-3</v>
      </c>
    </row>
    <row r="87" spans="1:2" x14ac:dyDescent="0.25">
      <c r="A87" s="18">
        <v>115</v>
      </c>
      <c r="B87" s="18">
        <v>5.6699999999999997E-3</v>
      </c>
    </row>
    <row r="88" spans="1:2" x14ac:dyDescent="0.25">
      <c r="A88" s="18">
        <v>116</v>
      </c>
      <c r="B88" s="18">
        <v>5.6699999999999997E-3</v>
      </c>
    </row>
    <row r="89" spans="1:2" x14ac:dyDescent="0.25">
      <c r="A89" s="18">
        <v>117</v>
      </c>
      <c r="B89" s="18">
        <v>5.7400000000000003E-3</v>
      </c>
    </row>
    <row r="90" spans="1:2" x14ac:dyDescent="0.25">
      <c r="A90" s="18">
        <v>118</v>
      </c>
      <c r="B90" s="18">
        <v>5.79E-3</v>
      </c>
    </row>
    <row r="91" spans="1:2" x14ac:dyDescent="0.25">
      <c r="A91" s="18">
        <v>119</v>
      </c>
      <c r="B91" s="18">
        <v>5.8599999999999998E-3</v>
      </c>
    </row>
    <row r="92" spans="1:2" x14ac:dyDescent="0.25">
      <c r="A92" s="18">
        <v>120</v>
      </c>
      <c r="B92" s="18">
        <v>5.8700000000000002E-3</v>
      </c>
    </row>
    <row r="93" spans="1:2" x14ac:dyDescent="0.25">
      <c r="A93" s="18">
        <v>121</v>
      </c>
      <c r="B93" s="18">
        <v>5.9300000000000004E-3</v>
      </c>
    </row>
    <row r="94" spans="1:2" x14ac:dyDescent="0.25">
      <c r="A94" s="18">
        <v>122</v>
      </c>
      <c r="B94" s="18">
        <v>5.9199999999999999E-3</v>
      </c>
    </row>
    <row r="95" spans="1:2" x14ac:dyDescent="0.25">
      <c r="A95" s="18">
        <v>123</v>
      </c>
      <c r="B95" s="18">
        <v>6.0000000000000001E-3</v>
      </c>
    </row>
    <row r="96" spans="1:2" x14ac:dyDescent="0.25">
      <c r="A96" s="18">
        <v>124</v>
      </c>
      <c r="B96" s="18">
        <v>6.0400000000000002E-3</v>
      </c>
    </row>
    <row r="97" spans="1:2" x14ac:dyDescent="0.25">
      <c r="A97" s="18">
        <v>125</v>
      </c>
      <c r="B97" s="18">
        <v>6.0699999999999999E-3</v>
      </c>
    </row>
    <row r="98" spans="1:2" x14ac:dyDescent="0.25">
      <c r="A98" s="18">
        <v>126</v>
      </c>
      <c r="B98" s="18">
        <v>6.1199999999999996E-3</v>
      </c>
    </row>
    <row r="99" spans="1:2" x14ac:dyDescent="0.25">
      <c r="A99" s="18">
        <v>127</v>
      </c>
      <c r="B99" s="18">
        <v>6.1799999999999997E-3</v>
      </c>
    </row>
    <row r="100" spans="1:2" x14ac:dyDescent="0.25">
      <c r="A100" s="18">
        <v>128</v>
      </c>
      <c r="B100" s="18">
        <v>6.2100000000000002E-3</v>
      </c>
    </row>
    <row r="101" spans="1:2" x14ac:dyDescent="0.25">
      <c r="A101" s="18">
        <v>129</v>
      </c>
      <c r="B101" s="18">
        <v>6.1999999999999998E-3</v>
      </c>
    </row>
    <row r="102" spans="1:2" x14ac:dyDescent="0.25">
      <c r="A102" s="18">
        <v>130</v>
      </c>
      <c r="B102" s="18">
        <v>6.2700000000000004E-3</v>
      </c>
    </row>
    <row r="103" spans="1:2" x14ac:dyDescent="0.25">
      <c r="A103" s="18">
        <v>131</v>
      </c>
      <c r="B103" s="18">
        <v>6.3099999999999996E-3</v>
      </c>
    </row>
    <row r="104" spans="1:2" x14ac:dyDescent="0.25">
      <c r="A104" s="18">
        <v>132</v>
      </c>
      <c r="B104" s="18">
        <v>6.3200000000000001E-3</v>
      </c>
    </row>
    <row r="105" spans="1:2" x14ac:dyDescent="0.25">
      <c r="A105" s="18">
        <v>133</v>
      </c>
      <c r="B105" s="18">
        <v>6.2899999999999996E-3</v>
      </c>
    </row>
    <row r="106" spans="1:2" x14ac:dyDescent="0.25">
      <c r="A106" s="18">
        <v>134</v>
      </c>
      <c r="B106" s="18">
        <v>6.3200000000000001E-3</v>
      </c>
    </row>
    <row r="107" spans="1:2" x14ac:dyDescent="0.25">
      <c r="A107" s="18">
        <v>135</v>
      </c>
      <c r="B107" s="18">
        <v>6.3899999999999998E-3</v>
      </c>
    </row>
    <row r="108" spans="1:2" x14ac:dyDescent="0.25">
      <c r="A108" s="18">
        <v>136</v>
      </c>
      <c r="B108" s="18">
        <v>6.4099999999999999E-3</v>
      </c>
    </row>
    <row r="109" spans="1:2" x14ac:dyDescent="0.25">
      <c r="A109" s="18">
        <v>137</v>
      </c>
      <c r="B109" s="18">
        <v>6.3699999999999998E-3</v>
      </c>
    </row>
    <row r="110" spans="1:2" x14ac:dyDescent="0.25">
      <c r="A110" s="18">
        <v>138</v>
      </c>
      <c r="B110" s="18">
        <v>6.4000000000000003E-3</v>
      </c>
    </row>
    <row r="111" spans="1:2" x14ac:dyDescent="0.25">
      <c r="A111" s="18">
        <v>139</v>
      </c>
      <c r="B111" s="18">
        <v>6.3899999999999998E-3</v>
      </c>
    </row>
    <row r="112" spans="1:2" x14ac:dyDescent="0.25">
      <c r="A112" s="18">
        <v>140</v>
      </c>
      <c r="B112" s="18">
        <v>6.4799999999999996E-3</v>
      </c>
    </row>
    <row r="113" spans="1:2" x14ac:dyDescent="0.25">
      <c r="A113" s="18">
        <v>141</v>
      </c>
      <c r="B113" s="18">
        <v>6.4900000000000001E-3</v>
      </c>
    </row>
    <row r="114" spans="1:2" x14ac:dyDescent="0.25">
      <c r="A114" s="18">
        <v>142</v>
      </c>
      <c r="B114" s="18">
        <v>6.4200000000000004E-3</v>
      </c>
    </row>
    <row r="115" spans="1:2" x14ac:dyDescent="0.25">
      <c r="A115" s="18">
        <v>143</v>
      </c>
      <c r="B115" s="18">
        <v>6.4400000000000004E-3</v>
      </c>
    </row>
    <row r="116" spans="1:2" x14ac:dyDescent="0.25">
      <c r="A116" s="18">
        <v>144</v>
      </c>
      <c r="B116" s="18">
        <v>6.4099999999999999E-3</v>
      </c>
    </row>
    <row r="117" spans="1:2" x14ac:dyDescent="0.25">
      <c r="A117" s="18">
        <v>145</v>
      </c>
      <c r="B117" s="18">
        <v>6.45E-3</v>
      </c>
    </row>
    <row r="118" spans="1:2" x14ac:dyDescent="0.25">
      <c r="A118" s="18">
        <v>146</v>
      </c>
      <c r="B118" s="18">
        <v>6.4200000000000004E-3</v>
      </c>
    </row>
    <row r="119" spans="1:2" x14ac:dyDescent="0.25">
      <c r="A119" s="18">
        <v>147</v>
      </c>
      <c r="B119" s="18">
        <v>6.45E-3</v>
      </c>
    </row>
    <row r="120" spans="1:2" x14ac:dyDescent="0.25">
      <c r="A120" s="18">
        <v>148</v>
      </c>
      <c r="B120" s="18">
        <v>6.43E-3</v>
      </c>
    </row>
    <row r="121" spans="1:2" x14ac:dyDescent="0.25">
      <c r="A121" s="18">
        <v>149</v>
      </c>
      <c r="B121" s="18">
        <v>6.43E-3</v>
      </c>
    </row>
    <row r="122" spans="1:2" x14ac:dyDescent="0.25">
      <c r="A122" s="18">
        <v>150</v>
      </c>
      <c r="B122" s="18">
        <v>6.4400000000000004E-3</v>
      </c>
    </row>
    <row r="123" spans="1:2" x14ac:dyDescent="0.25">
      <c r="A123" s="18">
        <v>151</v>
      </c>
      <c r="B123" s="18">
        <v>6.3899999999999998E-3</v>
      </c>
    </row>
    <row r="124" spans="1:2" x14ac:dyDescent="0.25">
      <c r="A124" s="18">
        <v>152</v>
      </c>
      <c r="B124" s="18">
        <v>6.45E-3</v>
      </c>
    </row>
    <row r="125" spans="1:2" x14ac:dyDescent="0.25">
      <c r="A125" s="18">
        <v>153</v>
      </c>
      <c r="B125" s="18">
        <v>6.3600000000000002E-3</v>
      </c>
    </row>
    <row r="126" spans="1:2" x14ac:dyDescent="0.25">
      <c r="A126" s="18">
        <v>154</v>
      </c>
      <c r="B126" s="18">
        <v>6.3800000000000003E-3</v>
      </c>
    </row>
    <row r="127" spans="1:2" x14ac:dyDescent="0.25">
      <c r="A127" s="18">
        <v>155</v>
      </c>
      <c r="B127" s="18">
        <v>6.3699999999999998E-3</v>
      </c>
    </row>
    <row r="128" spans="1:2" x14ac:dyDescent="0.25">
      <c r="A128" s="18">
        <v>156</v>
      </c>
      <c r="B128" s="18">
        <v>6.3699999999999998E-3</v>
      </c>
    </row>
    <row r="129" spans="1:2" x14ac:dyDescent="0.25">
      <c r="A129" s="18">
        <v>157</v>
      </c>
      <c r="B129" s="18">
        <v>6.2599999999999999E-3</v>
      </c>
    </row>
    <row r="130" spans="1:2" x14ac:dyDescent="0.25">
      <c r="A130" s="18">
        <v>158</v>
      </c>
      <c r="B130" s="18">
        <v>6.3499999999999997E-3</v>
      </c>
    </row>
    <row r="131" spans="1:2" x14ac:dyDescent="0.25">
      <c r="A131" s="18">
        <v>159</v>
      </c>
      <c r="B131" s="18">
        <v>6.3400000000000001E-3</v>
      </c>
    </row>
    <row r="132" spans="1:2" x14ac:dyDescent="0.25">
      <c r="A132" s="18">
        <v>160</v>
      </c>
      <c r="B132" s="18">
        <v>6.3299999999999997E-3</v>
      </c>
    </row>
    <row r="133" spans="1:2" x14ac:dyDescent="0.25">
      <c r="A133" s="18">
        <v>161</v>
      </c>
      <c r="B133" s="18">
        <v>6.3600000000000002E-3</v>
      </c>
    </row>
    <row r="134" spans="1:2" x14ac:dyDescent="0.25">
      <c r="A134" s="18">
        <v>162</v>
      </c>
      <c r="B134" s="18">
        <v>6.3099999999999996E-3</v>
      </c>
    </row>
    <row r="135" spans="1:2" x14ac:dyDescent="0.25">
      <c r="A135" s="18">
        <v>163</v>
      </c>
      <c r="B135" s="18">
        <v>6.2599999999999999E-3</v>
      </c>
    </row>
    <row r="136" spans="1:2" x14ac:dyDescent="0.25">
      <c r="A136" s="18">
        <v>164</v>
      </c>
      <c r="B136" s="18">
        <v>6.3299999999999997E-3</v>
      </c>
    </row>
    <row r="137" spans="1:2" x14ac:dyDescent="0.25">
      <c r="A137" s="18">
        <v>165</v>
      </c>
      <c r="B137" s="18">
        <v>6.2599999999999999E-3</v>
      </c>
    </row>
    <row r="138" spans="1:2" x14ac:dyDescent="0.25">
      <c r="A138" s="18">
        <v>166</v>
      </c>
      <c r="B138" s="18">
        <v>6.2199999999999998E-3</v>
      </c>
    </row>
    <row r="139" spans="1:2" x14ac:dyDescent="0.25">
      <c r="A139" s="18">
        <v>167</v>
      </c>
      <c r="B139" s="18">
        <v>6.1999999999999998E-3</v>
      </c>
    </row>
    <row r="140" spans="1:2" x14ac:dyDescent="0.25">
      <c r="A140" s="18">
        <v>168</v>
      </c>
      <c r="B140" s="18">
        <v>6.2100000000000002E-3</v>
      </c>
    </row>
    <row r="141" spans="1:2" x14ac:dyDescent="0.25">
      <c r="A141" s="18">
        <v>169</v>
      </c>
      <c r="B141" s="18">
        <v>6.1799999999999997E-3</v>
      </c>
    </row>
    <row r="142" spans="1:2" x14ac:dyDescent="0.25">
      <c r="A142" s="18">
        <v>170</v>
      </c>
      <c r="B142" s="18">
        <v>6.13E-3</v>
      </c>
    </row>
    <row r="143" spans="1:2" x14ac:dyDescent="0.25">
      <c r="A143" s="18">
        <v>171</v>
      </c>
      <c r="B143" s="18">
        <v>6.13E-3</v>
      </c>
    </row>
    <row r="144" spans="1:2" x14ac:dyDescent="0.25">
      <c r="A144" s="18">
        <v>172</v>
      </c>
      <c r="B144" s="18">
        <v>6.1500000000000001E-3</v>
      </c>
    </row>
    <row r="145" spans="1:2" x14ac:dyDescent="0.25">
      <c r="A145" s="18">
        <v>173</v>
      </c>
      <c r="B145" s="18">
        <v>6.1000000000000004E-3</v>
      </c>
    </row>
    <row r="146" spans="1:2" x14ac:dyDescent="0.25">
      <c r="A146" s="18">
        <v>174</v>
      </c>
      <c r="B146" s="18">
        <v>6.0299999999999998E-3</v>
      </c>
    </row>
    <row r="147" spans="1:2" x14ac:dyDescent="0.25">
      <c r="A147" s="18">
        <v>175</v>
      </c>
      <c r="B147" s="18">
        <v>6.0099999999999997E-3</v>
      </c>
    </row>
    <row r="148" spans="1:2" x14ac:dyDescent="0.25">
      <c r="A148" s="18">
        <v>176</v>
      </c>
      <c r="B148" s="18">
        <v>6.0200000000000002E-3</v>
      </c>
    </row>
    <row r="149" spans="1:2" x14ac:dyDescent="0.25">
      <c r="A149" s="18">
        <v>177</v>
      </c>
      <c r="B149" s="18">
        <v>5.9800000000000001E-3</v>
      </c>
    </row>
    <row r="150" spans="1:2" x14ac:dyDescent="0.25">
      <c r="A150" s="18">
        <v>178</v>
      </c>
      <c r="B150" s="18">
        <v>5.9500000000000004E-3</v>
      </c>
    </row>
    <row r="151" spans="1:2" x14ac:dyDescent="0.25">
      <c r="A151" s="18">
        <v>179</v>
      </c>
      <c r="B151" s="18">
        <v>5.8500000000000002E-3</v>
      </c>
    </row>
    <row r="152" spans="1:2" x14ac:dyDescent="0.25">
      <c r="A152" s="18">
        <v>180</v>
      </c>
      <c r="B152" s="18">
        <v>5.8799999999999998E-3</v>
      </c>
    </row>
    <row r="153" spans="1:2" x14ac:dyDescent="0.25">
      <c r="A153" s="18">
        <v>181</v>
      </c>
      <c r="B153" s="18">
        <v>5.8500000000000002E-3</v>
      </c>
    </row>
    <row r="154" spans="1:2" x14ac:dyDescent="0.25">
      <c r="A154" s="18">
        <v>182</v>
      </c>
      <c r="B154" s="18">
        <v>5.8500000000000002E-3</v>
      </c>
    </row>
    <row r="155" spans="1:2" x14ac:dyDescent="0.25">
      <c r="A155" s="18">
        <v>183</v>
      </c>
      <c r="B155" s="18">
        <v>5.8100000000000001E-3</v>
      </c>
    </row>
    <row r="156" spans="1:2" x14ac:dyDescent="0.25">
      <c r="A156" s="18">
        <v>184</v>
      </c>
      <c r="B156" s="18">
        <v>5.6899999999999997E-3</v>
      </c>
    </row>
    <row r="157" spans="1:2" x14ac:dyDescent="0.25">
      <c r="A157" s="18">
        <v>185</v>
      </c>
      <c r="B157" s="18">
        <v>5.77E-3</v>
      </c>
    </row>
    <row r="158" spans="1:2" x14ac:dyDescent="0.25">
      <c r="A158" s="18">
        <v>186</v>
      </c>
      <c r="B158" s="18">
        <v>5.7200000000000003E-3</v>
      </c>
    </row>
    <row r="159" spans="1:2" x14ac:dyDescent="0.25">
      <c r="A159" s="18">
        <v>187</v>
      </c>
      <c r="B159" s="18">
        <v>5.7099999999999998E-3</v>
      </c>
    </row>
    <row r="160" spans="1:2" x14ac:dyDescent="0.25">
      <c r="A160" s="18">
        <v>188</v>
      </c>
      <c r="B160" s="18">
        <v>5.7099999999999998E-3</v>
      </c>
    </row>
    <row r="161" spans="1:2" x14ac:dyDescent="0.25">
      <c r="A161" s="18">
        <v>189</v>
      </c>
      <c r="B161" s="18">
        <v>5.64E-3</v>
      </c>
    </row>
    <row r="162" spans="1:2" x14ac:dyDescent="0.25">
      <c r="A162" s="18">
        <v>190</v>
      </c>
      <c r="B162" s="18">
        <v>5.5599999999999998E-3</v>
      </c>
    </row>
    <row r="163" spans="1:2" x14ac:dyDescent="0.25">
      <c r="A163" s="18">
        <v>191</v>
      </c>
      <c r="B163" s="18">
        <v>5.5700000000000003E-3</v>
      </c>
    </row>
    <row r="164" spans="1:2" x14ac:dyDescent="0.25">
      <c r="A164" s="18">
        <v>192</v>
      </c>
      <c r="B164" s="18">
        <v>5.4900000000000001E-3</v>
      </c>
    </row>
    <row r="165" spans="1:2" x14ac:dyDescent="0.25">
      <c r="A165" s="18">
        <v>193</v>
      </c>
      <c r="B165" s="18">
        <v>5.5599999999999998E-3</v>
      </c>
    </row>
    <row r="166" spans="1:2" x14ac:dyDescent="0.25">
      <c r="A166" s="18">
        <v>194</v>
      </c>
      <c r="B166" s="18">
        <v>5.4400000000000004E-3</v>
      </c>
    </row>
    <row r="167" spans="1:2" x14ac:dyDescent="0.25">
      <c r="A167" s="18">
        <v>195</v>
      </c>
      <c r="B167" s="18">
        <v>5.4599999999999996E-3</v>
      </c>
    </row>
    <row r="168" spans="1:2" x14ac:dyDescent="0.25">
      <c r="A168" s="18">
        <v>196</v>
      </c>
      <c r="B168" s="18">
        <v>5.3299999999999997E-3</v>
      </c>
    </row>
    <row r="169" spans="1:2" x14ac:dyDescent="0.25">
      <c r="A169" s="18">
        <v>197</v>
      </c>
      <c r="B169" s="18">
        <v>5.3299999999999997E-3</v>
      </c>
    </row>
    <row r="170" spans="1:2" x14ac:dyDescent="0.25">
      <c r="A170" s="18">
        <v>198</v>
      </c>
      <c r="B170" s="18">
        <v>5.3E-3</v>
      </c>
    </row>
    <row r="171" spans="1:2" x14ac:dyDescent="0.25">
      <c r="A171" s="18">
        <v>199</v>
      </c>
      <c r="B171" s="18">
        <v>5.2300000000000003E-3</v>
      </c>
    </row>
    <row r="172" spans="1:2" x14ac:dyDescent="0.25">
      <c r="A172" s="18">
        <v>200</v>
      </c>
      <c r="B172" s="18">
        <v>5.1399999999999996E-3</v>
      </c>
    </row>
    <row r="173" spans="1:2" x14ac:dyDescent="0.25">
      <c r="A173" s="18">
        <v>201</v>
      </c>
      <c r="B173" s="18">
        <v>5.1900000000000002E-3</v>
      </c>
    </row>
    <row r="174" spans="1:2" x14ac:dyDescent="0.25">
      <c r="A174" s="18">
        <v>202</v>
      </c>
      <c r="B174" s="18">
        <v>5.0699999999999999E-3</v>
      </c>
    </row>
    <row r="175" spans="1:2" x14ac:dyDescent="0.25">
      <c r="A175" s="18">
        <v>203</v>
      </c>
      <c r="B175" s="18">
        <v>5.0800000000000003E-3</v>
      </c>
    </row>
    <row r="176" spans="1:2" x14ac:dyDescent="0.25">
      <c r="A176" s="18">
        <v>204</v>
      </c>
      <c r="B176" s="18">
        <v>5.1200000000000004E-3</v>
      </c>
    </row>
    <row r="177" spans="1:2" x14ac:dyDescent="0.25">
      <c r="A177" s="18">
        <v>205</v>
      </c>
      <c r="B177" s="18">
        <v>5.0400000000000002E-3</v>
      </c>
    </row>
    <row r="178" spans="1:2" x14ac:dyDescent="0.25">
      <c r="A178" s="18">
        <v>206</v>
      </c>
      <c r="B178" s="18">
        <v>5.0000000000000001E-3</v>
      </c>
    </row>
    <row r="179" spans="1:2" x14ac:dyDescent="0.25">
      <c r="A179" s="18">
        <v>207</v>
      </c>
      <c r="B179" s="18">
        <v>4.96E-3</v>
      </c>
    </row>
    <row r="180" spans="1:2" x14ac:dyDescent="0.25">
      <c r="A180" s="18">
        <v>208</v>
      </c>
      <c r="B180" s="18">
        <v>4.9399999999999999E-3</v>
      </c>
    </row>
    <row r="181" spans="1:2" x14ac:dyDescent="0.25">
      <c r="A181" s="18">
        <v>209</v>
      </c>
      <c r="B181" s="18">
        <v>4.7999999999999996E-3</v>
      </c>
    </row>
    <row r="182" spans="1:2" x14ac:dyDescent="0.25">
      <c r="A182" s="18">
        <v>210</v>
      </c>
      <c r="B182" s="18">
        <v>4.7400000000000003E-3</v>
      </c>
    </row>
    <row r="183" spans="1:2" x14ac:dyDescent="0.25">
      <c r="A183" s="18">
        <v>211</v>
      </c>
      <c r="B183" s="18">
        <v>4.8500000000000001E-3</v>
      </c>
    </row>
    <row r="184" spans="1:2" x14ac:dyDescent="0.25">
      <c r="A184" s="18">
        <v>212</v>
      </c>
      <c r="B184" s="18">
        <v>4.79E-3</v>
      </c>
    </row>
    <row r="185" spans="1:2" x14ac:dyDescent="0.25">
      <c r="A185" s="18">
        <v>213</v>
      </c>
      <c r="B185" s="18">
        <v>4.6699999999999997E-3</v>
      </c>
    </row>
    <row r="186" spans="1:2" x14ac:dyDescent="0.25">
      <c r="A186" s="18">
        <v>214</v>
      </c>
      <c r="B186" s="18">
        <v>4.7400000000000003E-3</v>
      </c>
    </row>
    <row r="187" spans="1:2" x14ac:dyDescent="0.25">
      <c r="A187" s="18">
        <v>215</v>
      </c>
      <c r="B187" s="18">
        <v>4.5700000000000003E-3</v>
      </c>
    </row>
    <row r="188" spans="1:2" x14ac:dyDescent="0.25">
      <c r="A188" s="18">
        <v>216</v>
      </c>
      <c r="B188" s="18">
        <v>4.6499999999999996E-3</v>
      </c>
    </row>
    <row r="189" spans="1:2" x14ac:dyDescent="0.25">
      <c r="A189" s="18">
        <v>217</v>
      </c>
      <c r="B189" s="18">
        <v>4.4799999999999996E-3</v>
      </c>
    </row>
    <row r="190" spans="1:2" x14ac:dyDescent="0.25">
      <c r="A190" s="18">
        <v>218</v>
      </c>
      <c r="B190" s="18">
        <v>4.5399999999999998E-3</v>
      </c>
    </row>
    <row r="191" spans="1:2" x14ac:dyDescent="0.25">
      <c r="A191" s="18">
        <v>219</v>
      </c>
      <c r="B191" s="18">
        <v>4.3699999999999998E-3</v>
      </c>
    </row>
    <row r="192" spans="1:2" x14ac:dyDescent="0.25">
      <c r="A192" s="18">
        <v>220</v>
      </c>
      <c r="B192" s="18">
        <v>4.3800000000000002E-3</v>
      </c>
    </row>
    <row r="193" spans="1:2" x14ac:dyDescent="0.25">
      <c r="A193" s="18">
        <v>221</v>
      </c>
      <c r="B193" s="18">
        <v>4.3600000000000002E-3</v>
      </c>
    </row>
    <row r="194" spans="1:2" x14ac:dyDescent="0.25">
      <c r="A194" s="18">
        <v>222</v>
      </c>
      <c r="B194" s="18">
        <v>4.3200000000000001E-3</v>
      </c>
    </row>
    <row r="195" spans="1:2" x14ac:dyDescent="0.25">
      <c r="A195" s="18">
        <v>223</v>
      </c>
      <c r="B195" s="18">
        <v>4.1799999999999997E-3</v>
      </c>
    </row>
    <row r="196" spans="1:2" x14ac:dyDescent="0.25">
      <c r="A196" s="18">
        <v>224</v>
      </c>
      <c r="B196" s="18">
        <v>4.1900000000000001E-3</v>
      </c>
    </row>
    <row r="197" spans="1:2" x14ac:dyDescent="0.25">
      <c r="A197" s="18">
        <v>225</v>
      </c>
      <c r="B197" s="18">
        <v>4.1200000000000004E-3</v>
      </c>
    </row>
    <row r="198" spans="1:2" x14ac:dyDescent="0.25">
      <c r="A198" s="18">
        <v>226</v>
      </c>
      <c r="B198" s="18">
        <v>4.0499999999999998E-3</v>
      </c>
    </row>
    <row r="199" spans="1:2" x14ac:dyDescent="0.25">
      <c r="A199" s="18">
        <v>227</v>
      </c>
      <c r="B199" s="18">
        <v>4.0499999999999998E-3</v>
      </c>
    </row>
    <row r="200" spans="1:2" x14ac:dyDescent="0.25">
      <c r="A200" s="18">
        <v>228</v>
      </c>
      <c r="B200" s="18">
        <v>4.0600000000000002E-3</v>
      </c>
    </row>
    <row r="201" spans="1:2" x14ac:dyDescent="0.25">
      <c r="A201" s="18">
        <v>229</v>
      </c>
      <c r="B201" s="18">
        <v>4.0499999999999998E-3</v>
      </c>
    </row>
    <row r="202" spans="1:2" x14ac:dyDescent="0.25">
      <c r="A202" s="18">
        <v>230</v>
      </c>
      <c r="B202" s="18">
        <v>3.9199999999999999E-3</v>
      </c>
    </row>
    <row r="203" spans="1:2" x14ac:dyDescent="0.25">
      <c r="A203" s="18">
        <v>231</v>
      </c>
      <c r="B203" s="18">
        <v>3.8E-3</v>
      </c>
    </row>
    <row r="204" spans="1:2" x14ac:dyDescent="0.25">
      <c r="A204" s="18">
        <v>232</v>
      </c>
      <c r="B204" s="18">
        <v>3.7799999999999999E-3</v>
      </c>
    </row>
    <row r="205" spans="1:2" x14ac:dyDescent="0.25">
      <c r="A205" s="18">
        <v>233</v>
      </c>
      <c r="B205" s="18">
        <v>3.7299999999999998E-3</v>
      </c>
    </row>
    <row r="206" spans="1:2" x14ac:dyDescent="0.25">
      <c r="A206" s="18">
        <v>234</v>
      </c>
      <c r="B206" s="18">
        <v>3.7699999999999999E-3</v>
      </c>
    </row>
    <row r="207" spans="1:2" x14ac:dyDescent="0.25">
      <c r="A207" s="18">
        <v>235</v>
      </c>
      <c r="B207" s="18">
        <v>3.7000000000000002E-3</v>
      </c>
    </row>
    <row r="208" spans="1:2" x14ac:dyDescent="0.25">
      <c r="A208" s="18">
        <v>236</v>
      </c>
      <c r="B208" s="18">
        <v>3.5699999999999998E-3</v>
      </c>
    </row>
    <row r="209" spans="1:2" x14ac:dyDescent="0.25">
      <c r="A209" s="18">
        <v>237</v>
      </c>
      <c r="B209" s="18">
        <v>3.5200000000000001E-3</v>
      </c>
    </row>
    <row r="210" spans="1:2" x14ac:dyDescent="0.25">
      <c r="A210" s="18">
        <v>238</v>
      </c>
      <c r="B210" s="18">
        <v>3.5000000000000001E-3</v>
      </c>
    </row>
    <row r="211" spans="1:2" x14ac:dyDescent="0.25">
      <c r="A211" s="18">
        <v>239</v>
      </c>
      <c r="B211" s="18">
        <v>3.47E-3</v>
      </c>
    </row>
    <row r="212" spans="1:2" x14ac:dyDescent="0.25">
      <c r="A212" s="18">
        <v>240</v>
      </c>
      <c r="B212" s="18">
        <v>3.3899999999999998E-3</v>
      </c>
    </row>
    <row r="213" spans="1:2" x14ac:dyDescent="0.25">
      <c r="A213" s="18">
        <v>241</v>
      </c>
      <c r="B213" s="18">
        <v>3.3400000000000001E-3</v>
      </c>
    </row>
    <row r="214" spans="1:2" x14ac:dyDescent="0.25">
      <c r="A214" s="18">
        <v>242</v>
      </c>
      <c r="B214" s="18">
        <v>3.2399999999999998E-3</v>
      </c>
    </row>
    <row r="215" spans="1:2" x14ac:dyDescent="0.25">
      <c r="A215" s="18">
        <v>243</v>
      </c>
      <c r="B215" s="18">
        <v>3.2699999999999999E-3</v>
      </c>
    </row>
    <row r="216" spans="1:2" x14ac:dyDescent="0.25">
      <c r="A216" s="18">
        <v>244</v>
      </c>
      <c r="B216" s="18">
        <v>3.2100000000000002E-3</v>
      </c>
    </row>
    <row r="217" spans="1:2" x14ac:dyDescent="0.25">
      <c r="A217" s="18">
        <v>245</v>
      </c>
      <c r="B217" s="18">
        <v>3.1900000000000001E-3</v>
      </c>
    </row>
    <row r="218" spans="1:2" x14ac:dyDescent="0.25">
      <c r="A218" s="18">
        <v>246</v>
      </c>
      <c r="B218" s="18">
        <v>3.0799999999999998E-3</v>
      </c>
    </row>
    <row r="219" spans="1:2" x14ac:dyDescent="0.25">
      <c r="A219" s="18">
        <v>247</v>
      </c>
      <c r="B219" s="18">
        <v>3.0200000000000001E-3</v>
      </c>
    </row>
    <row r="220" spans="1:2" x14ac:dyDescent="0.25">
      <c r="A220" s="18">
        <v>248</v>
      </c>
      <c r="B220" s="18">
        <v>3.0000000000000001E-3</v>
      </c>
    </row>
    <row r="221" spans="1:2" x14ac:dyDescent="0.25">
      <c r="A221" s="18">
        <v>249</v>
      </c>
      <c r="B221" s="18">
        <v>3.0000000000000001E-3</v>
      </c>
    </row>
    <row r="222" spans="1:2" x14ac:dyDescent="0.25">
      <c r="A222" s="18">
        <v>250</v>
      </c>
      <c r="B222" s="18">
        <v>2.9499999999999999E-3</v>
      </c>
    </row>
    <row r="223" spans="1:2" x14ac:dyDescent="0.25">
      <c r="A223" s="18">
        <v>251</v>
      </c>
      <c r="B223" s="18">
        <v>2.8500000000000001E-3</v>
      </c>
    </row>
    <row r="224" spans="1:2" x14ac:dyDescent="0.25">
      <c r="A224" s="18">
        <v>252</v>
      </c>
      <c r="B224" s="18">
        <v>2.7799999999999999E-3</v>
      </c>
    </row>
    <row r="225" spans="1:2" x14ac:dyDescent="0.25">
      <c r="A225" s="18">
        <v>253</v>
      </c>
      <c r="B225" s="18">
        <v>2.7200000000000002E-3</v>
      </c>
    </row>
    <row r="226" spans="1:2" x14ac:dyDescent="0.25">
      <c r="A226" s="18">
        <v>254</v>
      </c>
      <c r="B226" s="18">
        <v>2.63E-3</v>
      </c>
    </row>
    <row r="227" spans="1:2" x14ac:dyDescent="0.25">
      <c r="A227" s="18">
        <v>255</v>
      </c>
      <c r="B227" s="18">
        <v>2.6700000000000001E-3</v>
      </c>
    </row>
    <row r="228" spans="1:2" x14ac:dyDescent="0.25">
      <c r="A228" s="18">
        <v>256</v>
      </c>
      <c r="B228" s="18">
        <v>2.5100000000000001E-3</v>
      </c>
    </row>
    <row r="229" spans="1:2" x14ac:dyDescent="0.25">
      <c r="A229" s="18">
        <v>257</v>
      </c>
      <c r="B229" s="18">
        <v>2.5500000000000002E-3</v>
      </c>
    </row>
    <row r="230" spans="1:2" x14ac:dyDescent="0.25">
      <c r="A230" s="18">
        <v>258</v>
      </c>
      <c r="B230" s="18">
        <v>2.5100000000000001E-3</v>
      </c>
    </row>
    <row r="231" spans="1:2" x14ac:dyDescent="0.25">
      <c r="A231" s="18">
        <v>259</v>
      </c>
      <c r="B231" s="18">
        <v>2.4199999999999998E-3</v>
      </c>
    </row>
    <row r="232" spans="1:2" x14ac:dyDescent="0.25">
      <c r="A232" s="18">
        <v>260</v>
      </c>
      <c r="B232" s="18">
        <v>2.31E-3</v>
      </c>
    </row>
    <row r="233" spans="1:2" x14ac:dyDescent="0.25">
      <c r="A233" s="18">
        <v>261</v>
      </c>
      <c r="B233" s="18">
        <v>2.3E-3</v>
      </c>
    </row>
    <row r="234" spans="1:2" x14ac:dyDescent="0.25">
      <c r="A234" s="18">
        <v>262</v>
      </c>
      <c r="B234" s="18">
        <v>2.2399999999999998E-3</v>
      </c>
    </row>
    <row r="235" spans="1:2" x14ac:dyDescent="0.25">
      <c r="A235" s="18">
        <v>263</v>
      </c>
      <c r="B235" s="18">
        <v>2.1800000000000001E-3</v>
      </c>
    </row>
    <row r="236" spans="1:2" x14ac:dyDescent="0.25">
      <c r="A236" s="18">
        <v>264</v>
      </c>
      <c r="B236" s="18">
        <v>2.1700000000000001E-3</v>
      </c>
    </row>
    <row r="237" spans="1:2" x14ac:dyDescent="0.25">
      <c r="A237" s="18">
        <v>265</v>
      </c>
      <c r="B237" s="18">
        <v>2.0899999999999998E-3</v>
      </c>
    </row>
    <row r="238" spans="1:2" x14ac:dyDescent="0.25">
      <c r="A238" s="18">
        <v>266</v>
      </c>
      <c r="B238" s="18">
        <v>1.9300000000000001E-3</v>
      </c>
    </row>
    <row r="239" spans="1:2" x14ac:dyDescent="0.25">
      <c r="A239" s="18">
        <v>267</v>
      </c>
      <c r="B239" s="18">
        <v>1.91E-3</v>
      </c>
    </row>
    <row r="240" spans="1:2" x14ac:dyDescent="0.25">
      <c r="A240" s="18">
        <v>268</v>
      </c>
      <c r="B240" s="18">
        <v>1.92E-3</v>
      </c>
    </row>
    <row r="241" spans="1:2" x14ac:dyDescent="0.25">
      <c r="A241" s="18">
        <v>269</v>
      </c>
      <c r="B241" s="18">
        <v>1.8699999999999999E-3</v>
      </c>
    </row>
    <row r="242" spans="1:2" x14ac:dyDescent="0.25">
      <c r="A242" s="18">
        <v>270</v>
      </c>
      <c r="B242" s="18">
        <v>1.82E-3</v>
      </c>
    </row>
    <row r="243" spans="1:2" x14ac:dyDescent="0.25">
      <c r="A243" s="18">
        <v>271</v>
      </c>
      <c r="B243" s="18">
        <v>1.6999999999999999E-3</v>
      </c>
    </row>
    <row r="244" spans="1:2" x14ac:dyDescent="0.25">
      <c r="A244" s="18">
        <v>272</v>
      </c>
      <c r="B244" s="18">
        <v>1.6199999999999999E-3</v>
      </c>
    </row>
    <row r="245" spans="1:2" x14ac:dyDescent="0.25">
      <c r="A245" s="18">
        <v>273</v>
      </c>
      <c r="B245" s="18">
        <v>1.66E-3</v>
      </c>
    </row>
    <row r="246" spans="1:2" x14ac:dyDescent="0.25">
      <c r="A246" s="18">
        <v>274</v>
      </c>
      <c r="B246" s="18">
        <v>1.57E-3</v>
      </c>
    </row>
    <row r="247" spans="1:2" x14ac:dyDescent="0.25">
      <c r="A247" s="18">
        <v>275</v>
      </c>
      <c r="B247" s="18">
        <v>1.49E-3</v>
      </c>
    </row>
    <row r="248" spans="1:2" x14ac:dyDescent="0.25">
      <c r="A248" s="18">
        <v>276</v>
      </c>
      <c r="B248" s="18">
        <v>1.4599999999999999E-3</v>
      </c>
    </row>
    <row r="249" spans="1:2" x14ac:dyDescent="0.25">
      <c r="A249" s="18">
        <v>277</v>
      </c>
      <c r="B249" s="18">
        <v>1.39E-3</v>
      </c>
    </row>
    <row r="250" spans="1:2" x14ac:dyDescent="0.25">
      <c r="A250" s="18">
        <v>278</v>
      </c>
      <c r="B250" s="18">
        <v>1.3699999999999999E-3</v>
      </c>
    </row>
    <row r="251" spans="1:2" x14ac:dyDescent="0.25">
      <c r="A251" s="18">
        <v>279</v>
      </c>
      <c r="B251" s="18">
        <v>1.25E-3</v>
      </c>
    </row>
    <row r="252" spans="1:2" x14ac:dyDescent="0.25">
      <c r="A252" s="18">
        <v>280</v>
      </c>
      <c r="B252" s="18">
        <v>1.1900000000000001E-3</v>
      </c>
    </row>
    <row r="253" spans="1:2" x14ac:dyDescent="0.25">
      <c r="A253" s="18">
        <v>281</v>
      </c>
      <c r="B253" s="18">
        <v>1.14E-3</v>
      </c>
    </row>
    <row r="254" spans="1:2" x14ac:dyDescent="0.25">
      <c r="A254" s="18">
        <v>282</v>
      </c>
      <c r="B254" s="18">
        <v>1.15E-3</v>
      </c>
    </row>
    <row r="255" spans="1:2" x14ac:dyDescent="0.25">
      <c r="A255" s="18">
        <v>283</v>
      </c>
      <c r="B255" s="18">
        <v>1.0499999999999999E-3</v>
      </c>
    </row>
    <row r="256" spans="1:2" x14ac:dyDescent="0.25">
      <c r="A256" s="18">
        <v>284</v>
      </c>
      <c r="B256" s="18">
        <v>9.7599999999999998E-4</v>
      </c>
    </row>
    <row r="257" spans="1:2" x14ac:dyDescent="0.25">
      <c r="A257" s="18">
        <v>285</v>
      </c>
      <c r="B257" s="18">
        <v>8.9499999999999996E-4</v>
      </c>
    </row>
    <row r="258" spans="1:2" x14ac:dyDescent="0.25">
      <c r="A258" s="18">
        <v>286</v>
      </c>
      <c r="B258" s="18">
        <v>8.0099999999999995E-4</v>
      </c>
    </row>
    <row r="259" spans="1:2" x14ac:dyDescent="0.25">
      <c r="A259" s="18">
        <v>287</v>
      </c>
      <c r="B259" s="18">
        <v>7.8799999999999996E-4</v>
      </c>
    </row>
    <row r="260" spans="1:2" x14ac:dyDescent="0.25">
      <c r="A260" s="18">
        <v>288</v>
      </c>
      <c r="B260" s="18">
        <v>7.0500000000000001E-4</v>
      </c>
    </row>
    <row r="261" spans="1:2" x14ac:dyDescent="0.25">
      <c r="A261" s="18">
        <v>289</v>
      </c>
      <c r="B261" s="18">
        <v>6.38E-4</v>
      </c>
    </row>
    <row r="262" spans="1:2" x14ac:dyDescent="0.25">
      <c r="A262" s="18">
        <v>290</v>
      </c>
      <c r="B262" s="18">
        <v>5.6999999999999998E-4</v>
      </c>
    </row>
    <row r="263" spans="1:2" x14ac:dyDescent="0.25">
      <c r="A263" s="18">
        <v>291</v>
      </c>
      <c r="B263" s="18">
        <v>5.2700000000000002E-4</v>
      </c>
    </row>
    <row r="264" spans="1:2" x14ac:dyDescent="0.25">
      <c r="A264" s="18">
        <v>292</v>
      </c>
      <c r="B264" s="18">
        <v>4.5300000000000001E-4</v>
      </c>
    </row>
    <row r="265" spans="1:2" x14ac:dyDescent="0.25">
      <c r="A265" s="18">
        <v>293</v>
      </c>
      <c r="B265" s="18">
        <v>4.2000000000000002E-4</v>
      </c>
    </row>
    <row r="266" spans="1:2" x14ac:dyDescent="0.25">
      <c r="A266" s="18">
        <v>294</v>
      </c>
      <c r="B266" s="18">
        <v>2.7700000000000001E-4</v>
      </c>
    </row>
    <row r="267" spans="1:2" x14ac:dyDescent="0.25">
      <c r="A267" s="18">
        <v>295</v>
      </c>
      <c r="B267" s="18">
        <v>3.1E-4</v>
      </c>
    </row>
    <row r="268" spans="1:2" x14ac:dyDescent="0.25">
      <c r="A268" s="18">
        <v>296</v>
      </c>
      <c r="B268" s="18">
        <v>2.2900000000000001E-4</v>
      </c>
    </row>
    <row r="269" spans="1:2" x14ac:dyDescent="0.25">
      <c r="A269" s="18">
        <v>297</v>
      </c>
      <c r="B269" s="18">
        <v>1.5799999999999999E-4</v>
      </c>
    </row>
    <row r="270" spans="1:2" x14ac:dyDescent="0.25">
      <c r="A270" s="18">
        <v>298</v>
      </c>
      <c r="B270" s="18">
        <v>1.3999999999999999E-4</v>
      </c>
    </row>
    <row r="271" spans="1:2" x14ac:dyDescent="0.25">
      <c r="A271" s="18">
        <v>299</v>
      </c>
      <c r="B271" s="18">
        <v>6.4300000000000004E-5</v>
      </c>
    </row>
    <row r="272" spans="1:2" x14ac:dyDescent="0.25">
      <c r="A272" s="18">
        <v>300</v>
      </c>
      <c r="B272" s="18">
        <v>2.7100000000000001E-5</v>
      </c>
    </row>
    <row r="273" spans="1:2" x14ac:dyDescent="0.25">
      <c r="A273" s="18">
        <v>301</v>
      </c>
      <c r="B273" s="18">
        <v>1.0900000000000001E-5</v>
      </c>
    </row>
    <row r="274" spans="1:2" x14ac:dyDescent="0.25">
      <c r="A274" s="18">
        <v>302</v>
      </c>
      <c r="B274" s="18">
        <v>1.4100000000000001E-5</v>
      </c>
    </row>
  </sheetData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B254"/>
  <sheetViews>
    <sheetView workbookViewId="0">
      <selection activeCell="F10" sqref="F10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30</v>
      </c>
      <c r="B2" s="18">
        <v>1.3799999999999999E-4</v>
      </c>
    </row>
    <row r="3" spans="1:2" x14ac:dyDescent="0.25">
      <c r="A3" s="18">
        <v>31</v>
      </c>
      <c r="B3" s="18">
        <v>1.1900000000000001E-4</v>
      </c>
    </row>
    <row r="4" spans="1:2" x14ac:dyDescent="0.25">
      <c r="A4" s="18">
        <v>32</v>
      </c>
      <c r="B4" s="18">
        <v>1.2300000000000001E-4</v>
      </c>
    </row>
    <row r="5" spans="1:2" x14ac:dyDescent="0.25">
      <c r="A5" s="18">
        <v>33</v>
      </c>
      <c r="B5" s="18">
        <v>1.4300000000000001E-4</v>
      </c>
    </row>
    <row r="6" spans="1:2" x14ac:dyDescent="0.25">
      <c r="A6" s="18">
        <v>34</v>
      </c>
      <c r="B6" s="18">
        <v>5.7399999999999999E-5</v>
      </c>
    </row>
    <row r="7" spans="1:2" x14ac:dyDescent="0.25">
      <c r="A7" s="18">
        <v>35</v>
      </c>
      <c r="B7" s="18">
        <v>8.5400000000000002E-5</v>
      </c>
    </row>
    <row r="8" spans="1:2" x14ac:dyDescent="0.25">
      <c r="A8" s="18">
        <v>36</v>
      </c>
      <c r="B8" s="18">
        <v>1.2E-4</v>
      </c>
    </row>
    <row r="9" spans="1:2" x14ac:dyDescent="0.25">
      <c r="A9" s="18">
        <v>37</v>
      </c>
      <c r="B9" s="18">
        <v>9.3399999999999993E-5</v>
      </c>
    </row>
    <row r="10" spans="1:2" x14ac:dyDescent="0.25">
      <c r="A10" s="18">
        <v>38</v>
      </c>
      <c r="B10" s="18">
        <v>9.2499999999999999E-5</v>
      </c>
    </row>
    <row r="11" spans="1:2" x14ac:dyDescent="0.25">
      <c r="A11" s="18">
        <v>39</v>
      </c>
      <c r="B11" s="18">
        <v>6.2600000000000004E-5</v>
      </c>
    </row>
    <row r="12" spans="1:2" x14ac:dyDescent="0.25">
      <c r="A12" s="18">
        <v>40</v>
      </c>
      <c r="B12" s="18">
        <v>6.7000000000000002E-5</v>
      </c>
    </row>
    <row r="13" spans="1:2" x14ac:dyDescent="0.25">
      <c r="A13" s="18">
        <v>41</v>
      </c>
      <c r="B13" s="18">
        <v>8.0099999999999995E-5</v>
      </c>
    </row>
    <row r="14" spans="1:2" x14ac:dyDescent="0.25">
      <c r="A14" s="18">
        <v>42</v>
      </c>
      <c r="B14" s="18">
        <v>4.5899999999999998E-5</v>
      </c>
    </row>
    <row r="15" spans="1:2" x14ac:dyDescent="0.25">
      <c r="A15" s="18">
        <v>43</v>
      </c>
      <c r="B15" s="18">
        <v>7.1699999999999995E-5</v>
      </c>
    </row>
    <row r="16" spans="1:2" x14ac:dyDescent="0.25">
      <c r="A16" s="18">
        <v>44</v>
      </c>
      <c r="B16" s="18">
        <v>6.7000000000000002E-5</v>
      </c>
    </row>
    <row r="17" spans="1:2" x14ac:dyDescent="0.25">
      <c r="A17" s="18">
        <v>45</v>
      </c>
      <c r="B17" s="18">
        <v>6.02E-5</v>
      </c>
    </row>
    <row r="18" spans="1:2" x14ac:dyDescent="0.25">
      <c r="A18" s="18">
        <v>46</v>
      </c>
      <c r="B18" s="18">
        <v>5.38E-5</v>
      </c>
    </row>
    <row r="19" spans="1:2" x14ac:dyDescent="0.25">
      <c r="A19" s="18">
        <v>47</v>
      </c>
      <c r="B19" s="18">
        <v>7.0599999999999995E-5</v>
      </c>
    </row>
    <row r="20" spans="1:2" x14ac:dyDescent="0.25">
      <c r="A20" s="18">
        <v>48</v>
      </c>
      <c r="B20" s="18">
        <v>5.8E-5</v>
      </c>
    </row>
    <row r="21" spans="1:2" x14ac:dyDescent="0.25">
      <c r="A21" s="18">
        <v>49</v>
      </c>
      <c r="B21" s="18">
        <v>6.41E-5</v>
      </c>
    </row>
    <row r="22" spans="1:2" x14ac:dyDescent="0.25">
      <c r="A22" s="18">
        <v>50</v>
      </c>
      <c r="B22" s="18">
        <v>7.4400000000000006E-5</v>
      </c>
    </row>
    <row r="23" spans="1:2" x14ac:dyDescent="0.25">
      <c r="A23" s="18">
        <v>51</v>
      </c>
      <c r="B23" s="18">
        <v>9.2999999999999997E-5</v>
      </c>
    </row>
    <row r="24" spans="1:2" x14ac:dyDescent="0.25">
      <c r="A24" s="18">
        <v>52</v>
      </c>
      <c r="B24" s="18">
        <v>1.05E-4</v>
      </c>
    </row>
    <row r="25" spans="1:2" x14ac:dyDescent="0.25">
      <c r="A25" s="18">
        <v>53</v>
      </c>
      <c r="B25" s="18">
        <v>1.21E-4</v>
      </c>
    </row>
    <row r="26" spans="1:2" x14ac:dyDescent="0.25">
      <c r="A26" s="18">
        <v>54</v>
      </c>
      <c r="B26" s="18">
        <v>1.5200000000000001E-4</v>
      </c>
    </row>
    <row r="27" spans="1:2" x14ac:dyDescent="0.25">
      <c r="A27" s="18">
        <v>55</v>
      </c>
      <c r="B27" s="18">
        <v>1.8100000000000001E-4</v>
      </c>
    </row>
    <row r="28" spans="1:2" x14ac:dyDescent="0.25">
      <c r="A28" s="18">
        <v>56</v>
      </c>
      <c r="B28" s="18">
        <v>2.0900000000000001E-4</v>
      </c>
    </row>
    <row r="29" spans="1:2" x14ac:dyDescent="0.25">
      <c r="A29" s="18">
        <v>57</v>
      </c>
      <c r="B29" s="18">
        <v>2.9E-4</v>
      </c>
    </row>
    <row r="30" spans="1:2" x14ac:dyDescent="0.25">
      <c r="A30" s="18">
        <v>58</v>
      </c>
      <c r="B30" s="18">
        <v>1.4599999999999999E-3</v>
      </c>
    </row>
    <row r="31" spans="1:2" x14ac:dyDescent="0.25">
      <c r="A31" s="18">
        <v>59</v>
      </c>
      <c r="B31" s="18">
        <v>2.32E-3</v>
      </c>
    </row>
    <row r="32" spans="1:2" x14ac:dyDescent="0.25">
      <c r="A32" s="18">
        <v>60</v>
      </c>
      <c r="B32" s="18">
        <v>1.25E-3</v>
      </c>
    </row>
    <row r="33" spans="1:2" x14ac:dyDescent="0.25">
      <c r="A33" s="18">
        <v>61</v>
      </c>
      <c r="B33" s="18">
        <v>4.9200000000000003E-4</v>
      </c>
    </row>
    <row r="34" spans="1:2" x14ac:dyDescent="0.25">
      <c r="A34" s="18">
        <v>62</v>
      </c>
      <c r="B34" s="18">
        <v>5.4699999999999996E-4</v>
      </c>
    </row>
    <row r="35" spans="1:2" x14ac:dyDescent="0.25">
      <c r="A35" s="18">
        <v>63</v>
      </c>
      <c r="B35" s="18">
        <v>6.2799999999999998E-4</v>
      </c>
    </row>
    <row r="36" spans="1:2" x14ac:dyDescent="0.25">
      <c r="A36" s="18">
        <v>64</v>
      </c>
      <c r="B36" s="18">
        <v>7.1000000000000002E-4</v>
      </c>
    </row>
    <row r="37" spans="1:2" x14ac:dyDescent="0.25">
      <c r="A37" s="18">
        <v>65</v>
      </c>
      <c r="B37" s="18">
        <v>8.2700000000000004E-4</v>
      </c>
    </row>
    <row r="38" spans="1:2" x14ac:dyDescent="0.25">
      <c r="A38" s="18">
        <v>66</v>
      </c>
      <c r="B38" s="18">
        <v>9.7199999999999999E-4</v>
      </c>
    </row>
    <row r="39" spans="1:2" x14ac:dyDescent="0.25">
      <c r="A39" s="18">
        <v>67</v>
      </c>
      <c r="B39" s="18">
        <v>4.1799999999999997E-3</v>
      </c>
    </row>
    <row r="40" spans="1:2" x14ac:dyDescent="0.25">
      <c r="A40" s="18">
        <v>68</v>
      </c>
      <c r="B40" s="18">
        <v>1.67E-3</v>
      </c>
    </row>
    <row r="41" spans="1:2" x14ac:dyDescent="0.25">
      <c r="A41" s="18">
        <v>69</v>
      </c>
      <c r="B41" s="18">
        <v>2.4099999999999998E-3</v>
      </c>
    </row>
    <row r="42" spans="1:2" x14ac:dyDescent="0.25">
      <c r="A42" s="18">
        <v>70</v>
      </c>
      <c r="B42" s="18">
        <v>1.14E-3</v>
      </c>
    </row>
    <row r="43" spans="1:2" x14ac:dyDescent="0.25">
      <c r="A43" s="18">
        <v>71</v>
      </c>
      <c r="B43" s="18">
        <v>1.0399999999999999E-3</v>
      </c>
    </row>
    <row r="44" spans="1:2" x14ac:dyDescent="0.25">
      <c r="A44" s="18">
        <v>72</v>
      </c>
      <c r="B44" s="18">
        <v>1.16E-3</v>
      </c>
    </row>
    <row r="45" spans="1:2" x14ac:dyDescent="0.25">
      <c r="A45" s="18">
        <v>73</v>
      </c>
      <c r="B45" s="18">
        <v>1.2899999999999999E-3</v>
      </c>
    </row>
    <row r="46" spans="1:2" x14ac:dyDescent="0.25">
      <c r="A46" s="18">
        <v>74</v>
      </c>
      <c r="B46" s="18">
        <v>1.3799999999999999E-3</v>
      </c>
    </row>
    <row r="47" spans="1:2" x14ac:dyDescent="0.25">
      <c r="A47" s="18">
        <v>75</v>
      </c>
      <c r="B47" s="18">
        <v>1.5E-3</v>
      </c>
    </row>
    <row r="48" spans="1:2" x14ac:dyDescent="0.25">
      <c r="A48" s="18">
        <v>76</v>
      </c>
      <c r="B48" s="18">
        <v>1.57E-3</v>
      </c>
    </row>
    <row r="49" spans="1:2" x14ac:dyDescent="0.25">
      <c r="A49" s="18">
        <v>77</v>
      </c>
      <c r="B49" s="18">
        <v>1.6999999999999999E-3</v>
      </c>
    </row>
    <row r="50" spans="1:2" x14ac:dyDescent="0.25">
      <c r="A50" s="18">
        <v>78</v>
      </c>
      <c r="B50" s="18">
        <v>1.8400000000000001E-3</v>
      </c>
    </row>
    <row r="51" spans="1:2" x14ac:dyDescent="0.25">
      <c r="A51" s="18">
        <v>79</v>
      </c>
      <c r="B51" s="18">
        <v>1.9400000000000001E-3</v>
      </c>
    </row>
    <row r="52" spans="1:2" x14ac:dyDescent="0.25">
      <c r="A52" s="18">
        <v>80</v>
      </c>
      <c r="B52" s="18">
        <v>2.0600000000000002E-3</v>
      </c>
    </row>
    <row r="53" spans="1:2" x14ac:dyDescent="0.25">
      <c r="A53" s="18">
        <v>81</v>
      </c>
      <c r="B53" s="18">
        <v>2.2100000000000002E-3</v>
      </c>
    </row>
    <row r="54" spans="1:2" x14ac:dyDescent="0.25">
      <c r="A54" s="18">
        <v>82</v>
      </c>
      <c r="B54" s="18">
        <v>2.32E-3</v>
      </c>
    </row>
    <row r="55" spans="1:2" x14ac:dyDescent="0.25">
      <c r="A55" s="18">
        <v>83</v>
      </c>
      <c r="B55" s="18">
        <v>2.4599999999999999E-3</v>
      </c>
    </row>
    <row r="56" spans="1:2" x14ac:dyDescent="0.25">
      <c r="A56" s="18">
        <v>84</v>
      </c>
      <c r="B56" s="18">
        <v>2.5999999999999999E-3</v>
      </c>
    </row>
    <row r="57" spans="1:2" x14ac:dyDescent="0.25">
      <c r="A57" s="18">
        <v>85</v>
      </c>
      <c r="B57" s="18">
        <v>2.7299999999999998E-3</v>
      </c>
    </row>
    <row r="58" spans="1:2" x14ac:dyDescent="0.25">
      <c r="A58" s="18">
        <v>86</v>
      </c>
      <c r="B58" s="18">
        <v>2.8800000000000002E-3</v>
      </c>
    </row>
    <row r="59" spans="1:2" x14ac:dyDescent="0.25">
      <c r="A59" s="18">
        <v>87</v>
      </c>
      <c r="B59" s="18">
        <v>3.0200000000000001E-3</v>
      </c>
    </row>
    <row r="60" spans="1:2" x14ac:dyDescent="0.25">
      <c r="A60" s="18">
        <v>88</v>
      </c>
      <c r="B60" s="18">
        <v>3.0799999999999998E-3</v>
      </c>
    </row>
    <row r="61" spans="1:2" x14ac:dyDescent="0.25">
      <c r="A61" s="18">
        <v>89</v>
      </c>
      <c r="B61" s="18">
        <v>3.2000000000000002E-3</v>
      </c>
    </row>
    <row r="62" spans="1:2" x14ac:dyDescent="0.25">
      <c r="A62" s="18">
        <v>90</v>
      </c>
      <c r="B62" s="18">
        <v>3.31E-3</v>
      </c>
    </row>
    <row r="63" spans="1:2" x14ac:dyDescent="0.25">
      <c r="A63" s="18">
        <v>91</v>
      </c>
      <c r="B63" s="18">
        <v>3.4299999999999999E-3</v>
      </c>
    </row>
    <row r="64" spans="1:2" x14ac:dyDescent="0.25">
      <c r="A64" s="18">
        <v>92</v>
      </c>
      <c r="B64" s="18">
        <v>3.5799999999999998E-3</v>
      </c>
    </row>
    <row r="65" spans="1:2" x14ac:dyDescent="0.25">
      <c r="A65" s="18">
        <v>93</v>
      </c>
      <c r="B65" s="18">
        <v>3.7000000000000002E-3</v>
      </c>
    </row>
    <row r="66" spans="1:2" x14ac:dyDescent="0.25">
      <c r="A66" s="18">
        <v>94</v>
      </c>
      <c r="B66" s="18">
        <v>3.8E-3</v>
      </c>
    </row>
    <row r="67" spans="1:2" x14ac:dyDescent="0.25">
      <c r="A67" s="18">
        <v>95</v>
      </c>
      <c r="B67" s="18">
        <v>3.9300000000000003E-3</v>
      </c>
    </row>
    <row r="68" spans="1:2" x14ac:dyDescent="0.25">
      <c r="A68" s="18">
        <v>96</v>
      </c>
      <c r="B68" s="18">
        <v>4.0299999999999997E-3</v>
      </c>
    </row>
    <row r="69" spans="1:2" x14ac:dyDescent="0.25">
      <c r="A69" s="18">
        <v>97</v>
      </c>
      <c r="B69" s="18">
        <v>4.15E-3</v>
      </c>
    </row>
    <row r="70" spans="1:2" x14ac:dyDescent="0.25">
      <c r="A70" s="18">
        <v>98</v>
      </c>
      <c r="B70" s="18">
        <v>4.28E-3</v>
      </c>
    </row>
    <row r="71" spans="1:2" x14ac:dyDescent="0.25">
      <c r="A71" s="18">
        <v>99</v>
      </c>
      <c r="B71" s="18">
        <v>4.3600000000000002E-3</v>
      </c>
    </row>
    <row r="72" spans="1:2" x14ac:dyDescent="0.25">
      <c r="A72" s="18">
        <v>100</v>
      </c>
      <c r="B72" s="18">
        <v>4.5300000000000002E-3</v>
      </c>
    </row>
    <row r="73" spans="1:2" x14ac:dyDescent="0.25">
      <c r="A73" s="18">
        <v>101</v>
      </c>
      <c r="B73" s="18">
        <v>4.5999999999999999E-3</v>
      </c>
    </row>
    <row r="74" spans="1:2" x14ac:dyDescent="0.25">
      <c r="A74" s="18">
        <v>102</v>
      </c>
      <c r="B74" s="18">
        <v>4.7200000000000002E-3</v>
      </c>
    </row>
    <row r="75" spans="1:2" x14ac:dyDescent="0.25">
      <c r="A75" s="18">
        <v>103</v>
      </c>
      <c r="B75" s="18">
        <v>4.8599999999999997E-3</v>
      </c>
    </row>
    <row r="76" spans="1:2" x14ac:dyDescent="0.25">
      <c r="A76" s="18">
        <v>104</v>
      </c>
      <c r="B76" s="18">
        <v>4.9699999999999996E-3</v>
      </c>
    </row>
    <row r="77" spans="1:2" x14ac:dyDescent="0.25">
      <c r="A77" s="18">
        <v>105</v>
      </c>
      <c r="B77" s="18">
        <v>5.11E-3</v>
      </c>
    </row>
    <row r="78" spans="1:2" x14ac:dyDescent="0.25">
      <c r="A78" s="18">
        <v>106</v>
      </c>
      <c r="B78" s="18">
        <v>5.1700000000000001E-3</v>
      </c>
    </row>
    <row r="79" spans="1:2" x14ac:dyDescent="0.25">
      <c r="A79" s="18">
        <v>107</v>
      </c>
      <c r="B79" s="18">
        <v>5.28E-3</v>
      </c>
    </row>
    <row r="80" spans="1:2" x14ac:dyDescent="0.25">
      <c r="A80" s="18">
        <v>108</v>
      </c>
      <c r="B80" s="18">
        <v>5.3699999999999998E-3</v>
      </c>
    </row>
    <row r="81" spans="1:2" x14ac:dyDescent="0.25">
      <c r="A81" s="18">
        <v>109</v>
      </c>
      <c r="B81" s="18">
        <v>5.4999999999999997E-3</v>
      </c>
    </row>
    <row r="82" spans="1:2" x14ac:dyDescent="0.25">
      <c r="A82" s="18">
        <v>110</v>
      </c>
      <c r="B82" s="18">
        <v>5.5599999999999998E-3</v>
      </c>
    </row>
    <row r="83" spans="1:2" x14ac:dyDescent="0.25">
      <c r="A83" s="18">
        <v>111</v>
      </c>
      <c r="B83" s="18">
        <v>5.6800000000000002E-3</v>
      </c>
    </row>
    <row r="84" spans="1:2" x14ac:dyDescent="0.25">
      <c r="A84" s="18">
        <v>112</v>
      </c>
      <c r="B84" s="18">
        <v>5.77E-3</v>
      </c>
    </row>
    <row r="85" spans="1:2" x14ac:dyDescent="0.25">
      <c r="A85" s="18">
        <v>113</v>
      </c>
      <c r="B85" s="18">
        <v>5.77E-3</v>
      </c>
    </row>
    <row r="86" spans="1:2" x14ac:dyDescent="0.25">
      <c r="A86" s="18">
        <v>114</v>
      </c>
      <c r="B86" s="18">
        <v>5.96E-3</v>
      </c>
    </row>
    <row r="87" spans="1:2" x14ac:dyDescent="0.25">
      <c r="A87" s="18">
        <v>115</v>
      </c>
      <c r="B87" s="18">
        <v>6.0299999999999998E-3</v>
      </c>
    </row>
    <row r="88" spans="1:2" x14ac:dyDescent="0.25">
      <c r="A88" s="18">
        <v>116</v>
      </c>
      <c r="B88" s="18">
        <v>6.1000000000000004E-3</v>
      </c>
    </row>
    <row r="89" spans="1:2" x14ac:dyDescent="0.25">
      <c r="A89" s="18">
        <v>117</v>
      </c>
      <c r="B89" s="18">
        <v>6.1700000000000001E-3</v>
      </c>
    </row>
    <row r="90" spans="1:2" x14ac:dyDescent="0.25">
      <c r="A90" s="18">
        <v>118</v>
      </c>
      <c r="B90" s="18">
        <v>6.2300000000000003E-3</v>
      </c>
    </row>
    <row r="91" spans="1:2" x14ac:dyDescent="0.25">
      <c r="A91" s="18">
        <v>119</v>
      </c>
      <c r="B91" s="18">
        <v>6.28E-3</v>
      </c>
    </row>
    <row r="92" spans="1:2" x14ac:dyDescent="0.25">
      <c r="A92" s="18">
        <v>120</v>
      </c>
      <c r="B92" s="18">
        <v>6.3400000000000001E-3</v>
      </c>
    </row>
    <row r="93" spans="1:2" x14ac:dyDescent="0.25">
      <c r="A93" s="18">
        <v>121</v>
      </c>
      <c r="B93" s="18">
        <v>6.43E-3</v>
      </c>
    </row>
    <row r="94" spans="1:2" x14ac:dyDescent="0.25">
      <c r="A94" s="18">
        <v>122</v>
      </c>
      <c r="B94" s="18">
        <v>6.4900000000000001E-3</v>
      </c>
    </row>
    <row r="95" spans="1:2" x14ac:dyDescent="0.25">
      <c r="A95" s="18">
        <v>123</v>
      </c>
      <c r="B95" s="18">
        <v>6.5199999999999998E-3</v>
      </c>
    </row>
    <row r="96" spans="1:2" x14ac:dyDescent="0.25">
      <c r="A96" s="18">
        <v>124</v>
      </c>
      <c r="B96" s="18">
        <v>6.5799999999999999E-3</v>
      </c>
    </row>
    <row r="97" spans="1:2" x14ac:dyDescent="0.25">
      <c r="A97" s="18">
        <v>125</v>
      </c>
      <c r="B97" s="18">
        <v>6.6400000000000001E-3</v>
      </c>
    </row>
    <row r="98" spans="1:2" x14ac:dyDescent="0.25">
      <c r="A98" s="18">
        <v>126</v>
      </c>
      <c r="B98" s="18">
        <v>6.6899999999999998E-3</v>
      </c>
    </row>
    <row r="99" spans="1:2" x14ac:dyDescent="0.25">
      <c r="A99" s="18">
        <v>127</v>
      </c>
      <c r="B99" s="18">
        <v>6.7600000000000004E-3</v>
      </c>
    </row>
    <row r="100" spans="1:2" x14ac:dyDescent="0.25">
      <c r="A100" s="18">
        <v>128</v>
      </c>
      <c r="B100" s="18">
        <v>6.7999999999999996E-3</v>
      </c>
    </row>
    <row r="101" spans="1:2" x14ac:dyDescent="0.25">
      <c r="A101" s="18">
        <v>129</v>
      </c>
      <c r="B101" s="18">
        <v>6.8599999999999998E-3</v>
      </c>
    </row>
    <row r="102" spans="1:2" x14ac:dyDescent="0.25">
      <c r="A102" s="18">
        <v>130</v>
      </c>
      <c r="B102" s="18">
        <v>6.8500000000000002E-3</v>
      </c>
    </row>
    <row r="103" spans="1:2" x14ac:dyDescent="0.25">
      <c r="A103" s="18">
        <v>131</v>
      </c>
      <c r="B103" s="18">
        <v>6.9199999999999999E-3</v>
      </c>
    </row>
    <row r="104" spans="1:2" x14ac:dyDescent="0.25">
      <c r="A104" s="18">
        <v>132</v>
      </c>
      <c r="B104" s="18">
        <v>6.9899999999999997E-3</v>
      </c>
    </row>
    <row r="105" spans="1:2" x14ac:dyDescent="0.25">
      <c r="A105" s="18">
        <v>133</v>
      </c>
      <c r="B105" s="18">
        <v>7.0000000000000001E-3</v>
      </c>
    </row>
    <row r="106" spans="1:2" x14ac:dyDescent="0.25">
      <c r="A106" s="18">
        <v>134</v>
      </c>
      <c r="B106" s="18">
        <v>7.0800000000000004E-3</v>
      </c>
    </row>
    <row r="107" spans="1:2" x14ac:dyDescent="0.25">
      <c r="A107" s="18">
        <v>135</v>
      </c>
      <c r="B107" s="18">
        <v>7.1000000000000004E-3</v>
      </c>
    </row>
    <row r="108" spans="1:2" x14ac:dyDescent="0.25">
      <c r="A108" s="18">
        <v>136</v>
      </c>
      <c r="B108" s="18">
        <v>7.0899999999999999E-3</v>
      </c>
    </row>
    <row r="109" spans="1:2" x14ac:dyDescent="0.25">
      <c r="A109" s="18">
        <v>137</v>
      </c>
      <c r="B109" s="18">
        <v>7.1000000000000004E-3</v>
      </c>
    </row>
    <row r="110" spans="1:2" x14ac:dyDescent="0.25">
      <c r="A110" s="18">
        <v>138</v>
      </c>
      <c r="B110" s="18">
        <v>7.0899999999999999E-3</v>
      </c>
    </row>
    <row r="111" spans="1:2" x14ac:dyDescent="0.25">
      <c r="A111" s="18">
        <v>139</v>
      </c>
      <c r="B111" s="18">
        <v>7.1000000000000004E-3</v>
      </c>
    </row>
    <row r="112" spans="1:2" x14ac:dyDescent="0.25">
      <c r="A112" s="18">
        <v>140</v>
      </c>
      <c r="B112" s="18">
        <v>7.1700000000000002E-3</v>
      </c>
    </row>
    <row r="113" spans="1:2" x14ac:dyDescent="0.25">
      <c r="A113" s="18">
        <v>141</v>
      </c>
      <c r="B113" s="18">
        <v>7.1399999999999996E-3</v>
      </c>
    </row>
    <row r="114" spans="1:2" x14ac:dyDescent="0.25">
      <c r="A114" s="18">
        <v>142</v>
      </c>
      <c r="B114" s="18">
        <v>7.1999999999999998E-3</v>
      </c>
    </row>
    <row r="115" spans="1:2" x14ac:dyDescent="0.25">
      <c r="A115" s="18">
        <v>143</v>
      </c>
      <c r="B115" s="18">
        <v>7.1599999999999997E-3</v>
      </c>
    </row>
    <row r="116" spans="1:2" x14ac:dyDescent="0.25">
      <c r="A116" s="18">
        <v>144</v>
      </c>
      <c r="B116" s="18">
        <v>7.1999999999999998E-3</v>
      </c>
    </row>
    <row r="117" spans="1:2" x14ac:dyDescent="0.25">
      <c r="A117" s="18">
        <v>145</v>
      </c>
      <c r="B117" s="18">
        <v>7.1999999999999998E-3</v>
      </c>
    </row>
    <row r="118" spans="1:2" x14ac:dyDescent="0.25">
      <c r="A118" s="18">
        <v>146</v>
      </c>
      <c r="B118" s="18">
        <v>7.2300000000000003E-3</v>
      </c>
    </row>
    <row r="119" spans="1:2" x14ac:dyDescent="0.25">
      <c r="A119" s="18">
        <v>147</v>
      </c>
      <c r="B119" s="18">
        <v>7.1900000000000002E-3</v>
      </c>
    </row>
    <row r="120" spans="1:2" x14ac:dyDescent="0.25">
      <c r="A120" s="18">
        <v>148</v>
      </c>
      <c r="B120" s="18">
        <v>7.1999999999999998E-3</v>
      </c>
    </row>
    <row r="121" spans="1:2" x14ac:dyDescent="0.25">
      <c r="A121" s="18">
        <v>149</v>
      </c>
      <c r="B121" s="18">
        <v>7.2500000000000004E-3</v>
      </c>
    </row>
    <row r="122" spans="1:2" x14ac:dyDescent="0.25">
      <c r="A122" s="18">
        <v>150</v>
      </c>
      <c r="B122" s="18">
        <v>7.2399999999999999E-3</v>
      </c>
    </row>
    <row r="123" spans="1:2" x14ac:dyDescent="0.25">
      <c r="A123" s="18">
        <v>151</v>
      </c>
      <c r="B123" s="18">
        <v>7.1199999999999996E-3</v>
      </c>
    </row>
    <row r="124" spans="1:2" x14ac:dyDescent="0.25">
      <c r="A124" s="18">
        <v>152</v>
      </c>
      <c r="B124" s="18">
        <v>7.1500000000000001E-3</v>
      </c>
    </row>
    <row r="125" spans="1:2" x14ac:dyDescent="0.25">
      <c r="A125" s="18">
        <v>153</v>
      </c>
      <c r="B125" s="18">
        <v>7.1700000000000002E-3</v>
      </c>
    </row>
    <row r="126" spans="1:2" x14ac:dyDescent="0.25">
      <c r="A126" s="18">
        <v>154</v>
      </c>
      <c r="B126" s="18">
        <v>7.1300000000000001E-3</v>
      </c>
    </row>
    <row r="127" spans="1:2" x14ac:dyDescent="0.25">
      <c r="A127" s="18">
        <v>155</v>
      </c>
      <c r="B127" s="18">
        <v>7.1799999999999998E-3</v>
      </c>
    </row>
    <row r="128" spans="1:2" x14ac:dyDescent="0.25">
      <c r="A128" s="18">
        <v>156</v>
      </c>
      <c r="B128" s="18">
        <v>7.0899999999999999E-3</v>
      </c>
    </row>
    <row r="129" spans="1:2" x14ac:dyDescent="0.25">
      <c r="A129" s="18">
        <v>157</v>
      </c>
      <c r="B129" s="18">
        <v>7.1199999999999996E-3</v>
      </c>
    </row>
    <row r="130" spans="1:2" x14ac:dyDescent="0.25">
      <c r="A130" s="18">
        <v>158</v>
      </c>
      <c r="B130" s="18">
        <v>7.11E-3</v>
      </c>
    </row>
    <row r="131" spans="1:2" x14ac:dyDescent="0.25">
      <c r="A131" s="18">
        <v>159</v>
      </c>
      <c r="B131" s="18">
        <v>7.0800000000000004E-3</v>
      </c>
    </row>
    <row r="132" spans="1:2" x14ac:dyDescent="0.25">
      <c r="A132" s="18">
        <v>160</v>
      </c>
      <c r="B132" s="18">
        <v>7.1199999999999996E-3</v>
      </c>
    </row>
    <row r="133" spans="1:2" x14ac:dyDescent="0.25">
      <c r="A133" s="18">
        <v>161</v>
      </c>
      <c r="B133" s="18">
        <v>7.0899999999999999E-3</v>
      </c>
    </row>
    <row r="134" spans="1:2" x14ac:dyDescent="0.25">
      <c r="A134" s="18">
        <v>162</v>
      </c>
      <c r="B134" s="18">
        <v>7.0800000000000004E-3</v>
      </c>
    </row>
    <row r="135" spans="1:2" x14ac:dyDescent="0.25">
      <c r="A135" s="18">
        <v>163</v>
      </c>
      <c r="B135" s="18">
        <v>7.0299999999999998E-3</v>
      </c>
    </row>
    <row r="136" spans="1:2" x14ac:dyDescent="0.25">
      <c r="A136" s="18">
        <v>164</v>
      </c>
      <c r="B136" s="18">
        <v>7.1000000000000004E-3</v>
      </c>
    </row>
    <row r="137" spans="1:2" x14ac:dyDescent="0.25">
      <c r="A137" s="18">
        <v>165</v>
      </c>
      <c r="B137" s="18">
        <v>7.0400000000000003E-3</v>
      </c>
    </row>
    <row r="138" spans="1:2" x14ac:dyDescent="0.25">
      <c r="A138" s="18">
        <v>166</v>
      </c>
      <c r="B138" s="18">
        <v>7.0200000000000002E-3</v>
      </c>
    </row>
    <row r="139" spans="1:2" x14ac:dyDescent="0.25">
      <c r="A139" s="18">
        <v>167</v>
      </c>
      <c r="B139" s="18">
        <v>6.9100000000000003E-3</v>
      </c>
    </row>
    <row r="140" spans="1:2" x14ac:dyDescent="0.25">
      <c r="A140" s="18">
        <v>168</v>
      </c>
      <c r="B140" s="18">
        <v>6.9300000000000004E-3</v>
      </c>
    </row>
    <row r="141" spans="1:2" x14ac:dyDescent="0.25">
      <c r="A141" s="18">
        <v>169</v>
      </c>
      <c r="B141" s="18">
        <v>6.9199999999999999E-3</v>
      </c>
    </row>
    <row r="142" spans="1:2" x14ac:dyDescent="0.25">
      <c r="A142" s="18">
        <v>170</v>
      </c>
      <c r="B142" s="18">
        <v>6.8799999999999998E-3</v>
      </c>
    </row>
    <row r="143" spans="1:2" x14ac:dyDescent="0.25">
      <c r="A143" s="18">
        <v>171</v>
      </c>
      <c r="B143" s="18">
        <v>6.8399999999999997E-3</v>
      </c>
    </row>
    <row r="144" spans="1:2" x14ac:dyDescent="0.25">
      <c r="A144" s="18">
        <v>172</v>
      </c>
      <c r="B144" s="18">
        <v>6.8599999999999998E-3</v>
      </c>
    </row>
    <row r="145" spans="1:2" x14ac:dyDescent="0.25">
      <c r="A145" s="18">
        <v>173</v>
      </c>
      <c r="B145" s="18">
        <v>6.8199999999999997E-3</v>
      </c>
    </row>
    <row r="146" spans="1:2" x14ac:dyDescent="0.25">
      <c r="A146" s="18">
        <v>174</v>
      </c>
      <c r="B146" s="18">
        <v>6.7999999999999996E-3</v>
      </c>
    </row>
    <row r="147" spans="1:2" x14ac:dyDescent="0.25">
      <c r="A147" s="18">
        <v>175</v>
      </c>
      <c r="B147" s="18">
        <v>6.79E-3</v>
      </c>
    </row>
    <row r="148" spans="1:2" x14ac:dyDescent="0.25">
      <c r="A148" s="18">
        <v>176</v>
      </c>
      <c r="B148" s="18">
        <v>6.7400000000000003E-3</v>
      </c>
    </row>
    <row r="149" spans="1:2" x14ac:dyDescent="0.25">
      <c r="A149" s="18">
        <v>177</v>
      </c>
      <c r="B149" s="18">
        <v>6.6600000000000001E-3</v>
      </c>
    </row>
    <row r="150" spans="1:2" x14ac:dyDescent="0.25">
      <c r="A150" s="18">
        <v>178</v>
      </c>
      <c r="B150" s="18">
        <v>6.7200000000000003E-3</v>
      </c>
    </row>
    <row r="151" spans="1:2" x14ac:dyDescent="0.25">
      <c r="A151" s="18">
        <v>179</v>
      </c>
      <c r="B151" s="18">
        <v>6.6600000000000001E-3</v>
      </c>
    </row>
    <row r="152" spans="1:2" x14ac:dyDescent="0.25">
      <c r="A152" s="18">
        <v>180</v>
      </c>
      <c r="B152" s="18">
        <v>6.5700000000000003E-3</v>
      </c>
    </row>
    <row r="153" spans="1:2" x14ac:dyDescent="0.25">
      <c r="A153" s="18">
        <v>181</v>
      </c>
      <c r="B153" s="18">
        <v>6.5100000000000002E-3</v>
      </c>
    </row>
    <row r="154" spans="1:2" x14ac:dyDescent="0.25">
      <c r="A154" s="18">
        <v>182</v>
      </c>
      <c r="B154" s="18">
        <v>6.5399999999999998E-3</v>
      </c>
    </row>
    <row r="155" spans="1:2" x14ac:dyDescent="0.25">
      <c r="A155" s="18">
        <v>183</v>
      </c>
      <c r="B155" s="18">
        <v>6.4900000000000001E-3</v>
      </c>
    </row>
    <row r="156" spans="1:2" x14ac:dyDescent="0.25">
      <c r="A156" s="18">
        <v>184</v>
      </c>
      <c r="B156" s="18">
        <v>6.4200000000000004E-3</v>
      </c>
    </row>
    <row r="157" spans="1:2" x14ac:dyDescent="0.25">
      <c r="A157" s="18">
        <v>185</v>
      </c>
      <c r="B157" s="18">
        <v>6.3800000000000003E-3</v>
      </c>
    </row>
    <row r="158" spans="1:2" x14ac:dyDescent="0.25">
      <c r="A158" s="18">
        <v>186</v>
      </c>
      <c r="B158" s="18">
        <v>6.3299999999999997E-3</v>
      </c>
    </row>
    <row r="159" spans="1:2" x14ac:dyDescent="0.25">
      <c r="A159" s="18">
        <v>187</v>
      </c>
      <c r="B159" s="18">
        <v>6.3699999999999998E-3</v>
      </c>
    </row>
    <row r="160" spans="1:2" x14ac:dyDescent="0.25">
      <c r="A160" s="18">
        <v>188</v>
      </c>
      <c r="B160" s="18">
        <v>6.1900000000000002E-3</v>
      </c>
    </row>
    <row r="161" spans="1:2" x14ac:dyDescent="0.25">
      <c r="A161" s="18">
        <v>189</v>
      </c>
      <c r="B161" s="18">
        <v>6.2399999999999999E-3</v>
      </c>
    </row>
    <row r="162" spans="1:2" x14ac:dyDescent="0.25">
      <c r="A162" s="18">
        <v>190</v>
      </c>
      <c r="B162" s="18">
        <v>6.1000000000000004E-3</v>
      </c>
    </row>
    <row r="163" spans="1:2" x14ac:dyDescent="0.25">
      <c r="A163" s="18">
        <v>191</v>
      </c>
      <c r="B163" s="18">
        <v>6.1199999999999996E-3</v>
      </c>
    </row>
    <row r="164" spans="1:2" x14ac:dyDescent="0.25">
      <c r="A164" s="18">
        <v>192</v>
      </c>
      <c r="B164" s="18">
        <v>6.0800000000000003E-3</v>
      </c>
    </row>
    <row r="165" spans="1:2" x14ac:dyDescent="0.25">
      <c r="A165" s="18">
        <v>193</v>
      </c>
      <c r="B165" s="18">
        <v>6.0699999999999999E-3</v>
      </c>
    </row>
    <row r="166" spans="1:2" x14ac:dyDescent="0.25">
      <c r="A166" s="18">
        <v>194</v>
      </c>
      <c r="B166" s="18">
        <v>5.9899999999999997E-3</v>
      </c>
    </row>
    <row r="167" spans="1:2" x14ac:dyDescent="0.25">
      <c r="A167" s="18">
        <v>195</v>
      </c>
      <c r="B167" s="18">
        <v>6.0200000000000002E-3</v>
      </c>
    </row>
    <row r="168" spans="1:2" x14ac:dyDescent="0.25">
      <c r="A168" s="18">
        <v>196</v>
      </c>
      <c r="B168" s="18">
        <v>6.0099999999999997E-3</v>
      </c>
    </row>
    <row r="169" spans="1:2" x14ac:dyDescent="0.25">
      <c r="A169" s="18">
        <v>197</v>
      </c>
      <c r="B169" s="18">
        <v>5.77E-3</v>
      </c>
    </row>
    <row r="170" spans="1:2" x14ac:dyDescent="0.25">
      <c r="A170" s="18">
        <v>198</v>
      </c>
      <c r="B170" s="18">
        <v>5.8300000000000001E-3</v>
      </c>
    </row>
    <row r="171" spans="1:2" x14ac:dyDescent="0.25">
      <c r="A171" s="18">
        <v>199</v>
      </c>
      <c r="B171" s="18">
        <v>5.8100000000000001E-3</v>
      </c>
    </row>
    <row r="172" spans="1:2" x14ac:dyDescent="0.25">
      <c r="A172" s="18">
        <v>200</v>
      </c>
      <c r="B172" s="18">
        <v>5.6499999999999996E-3</v>
      </c>
    </row>
    <row r="173" spans="1:2" x14ac:dyDescent="0.25">
      <c r="A173" s="18">
        <v>201</v>
      </c>
      <c r="B173" s="18">
        <v>5.6699999999999997E-3</v>
      </c>
    </row>
    <row r="174" spans="1:2" x14ac:dyDescent="0.25">
      <c r="A174" s="18">
        <v>202</v>
      </c>
      <c r="B174" s="18">
        <v>5.64E-3</v>
      </c>
    </row>
    <row r="175" spans="1:2" x14ac:dyDescent="0.25">
      <c r="A175" s="18">
        <v>203</v>
      </c>
      <c r="B175" s="18">
        <v>5.5900000000000004E-3</v>
      </c>
    </row>
    <row r="176" spans="1:2" x14ac:dyDescent="0.25">
      <c r="A176" s="18">
        <v>204</v>
      </c>
      <c r="B176" s="18">
        <v>5.4799999999999996E-3</v>
      </c>
    </row>
    <row r="177" spans="1:2" x14ac:dyDescent="0.25">
      <c r="A177" s="18">
        <v>205</v>
      </c>
      <c r="B177" s="18">
        <v>5.4400000000000004E-3</v>
      </c>
    </row>
    <row r="178" spans="1:2" x14ac:dyDescent="0.25">
      <c r="A178" s="18">
        <v>206</v>
      </c>
      <c r="B178" s="18">
        <v>5.4099999999999999E-3</v>
      </c>
    </row>
    <row r="179" spans="1:2" x14ac:dyDescent="0.25">
      <c r="A179" s="18">
        <v>207</v>
      </c>
      <c r="B179" s="18">
        <v>5.4099999999999999E-3</v>
      </c>
    </row>
    <row r="180" spans="1:2" x14ac:dyDescent="0.25">
      <c r="A180" s="18">
        <v>208</v>
      </c>
      <c r="B180" s="18">
        <v>5.2300000000000003E-3</v>
      </c>
    </row>
    <row r="181" spans="1:2" x14ac:dyDescent="0.25">
      <c r="A181" s="18">
        <v>209</v>
      </c>
      <c r="B181" s="18">
        <v>5.1599999999999997E-3</v>
      </c>
    </row>
    <row r="182" spans="1:2" x14ac:dyDescent="0.25">
      <c r="A182" s="18">
        <v>210</v>
      </c>
      <c r="B182" s="18">
        <v>5.0600000000000003E-3</v>
      </c>
    </row>
    <row r="183" spans="1:2" x14ac:dyDescent="0.25">
      <c r="A183" s="18">
        <v>211</v>
      </c>
      <c r="B183" s="18">
        <v>5.1700000000000001E-3</v>
      </c>
    </row>
    <row r="184" spans="1:2" x14ac:dyDescent="0.25">
      <c r="A184" s="18">
        <v>212</v>
      </c>
      <c r="B184" s="18">
        <v>5.0400000000000002E-3</v>
      </c>
    </row>
    <row r="185" spans="1:2" x14ac:dyDescent="0.25">
      <c r="A185" s="18">
        <v>213</v>
      </c>
      <c r="B185" s="18">
        <v>4.96E-3</v>
      </c>
    </row>
    <row r="186" spans="1:2" x14ac:dyDescent="0.25">
      <c r="A186" s="18">
        <v>214</v>
      </c>
      <c r="B186" s="18">
        <v>4.8799999999999998E-3</v>
      </c>
    </row>
    <row r="187" spans="1:2" x14ac:dyDescent="0.25">
      <c r="A187" s="18">
        <v>215</v>
      </c>
      <c r="B187" s="18">
        <v>4.9199999999999999E-3</v>
      </c>
    </row>
    <row r="188" spans="1:2" x14ac:dyDescent="0.25">
      <c r="A188" s="18">
        <v>216</v>
      </c>
      <c r="B188" s="18">
        <v>4.7000000000000002E-3</v>
      </c>
    </row>
    <row r="189" spans="1:2" x14ac:dyDescent="0.25">
      <c r="A189" s="18">
        <v>217</v>
      </c>
      <c r="B189" s="18">
        <v>4.6600000000000001E-3</v>
      </c>
    </row>
    <row r="190" spans="1:2" x14ac:dyDescent="0.25">
      <c r="A190" s="18">
        <v>218</v>
      </c>
      <c r="B190" s="18">
        <v>4.6600000000000001E-3</v>
      </c>
    </row>
    <row r="191" spans="1:2" x14ac:dyDescent="0.25">
      <c r="A191" s="18">
        <v>219</v>
      </c>
      <c r="B191" s="18">
        <v>4.64E-3</v>
      </c>
    </row>
    <row r="192" spans="1:2" x14ac:dyDescent="0.25">
      <c r="A192" s="18">
        <v>220</v>
      </c>
      <c r="B192" s="18">
        <v>4.5500000000000002E-3</v>
      </c>
    </row>
    <row r="193" spans="1:2" x14ac:dyDescent="0.25">
      <c r="A193" s="18">
        <v>221</v>
      </c>
      <c r="B193" s="18">
        <v>4.5500000000000002E-3</v>
      </c>
    </row>
    <row r="194" spans="1:2" x14ac:dyDescent="0.25">
      <c r="A194" s="18">
        <v>222</v>
      </c>
      <c r="B194" s="18">
        <v>4.4200000000000003E-3</v>
      </c>
    </row>
    <row r="195" spans="1:2" x14ac:dyDescent="0.25">
      <c r="A195" s="18">
        <v>223</v>
      </c>
      <c r="B195" s="18">
        <v>4.4000000000000003E-3</v>
      </c>
    </row>
    <row r="196" spans="1:2" x14ac:dyDescent="0.25">
      <c r="A196" s="18">
        <v>224</v>
      </c>
      <c r="B196" s="18">
        <v>4.2199999999999998E-3</v>
      </c>
    </row>
    <row r="197" spans="1:2" x14ac:dyDescent="0.25">
      <c r="A197" s="18">
        <v>225</v>
      </c>
      <c r="B197" s="18">
        <v>4.1700000000000001E-3</v>
      </c>
    </row>
    <row r="198" spans="1:2" x14ac:dyDescent="0.25">
      <c r="A198" s="18">
        <v>226</v>
      </c>
      <c r="B198" s="18">
        <v>4.2100000000000002E-3</v>
      </c>
    </row>
    <row r="199" spans="1:2" x14ac:dyDescent="0.25">
      <c r="A199" s="18">
        <v>227</v>
      </c>
      <c r="B199" s="18">
        <v>3.9899999999999996E-3</v>
      </c>
    </row>
    <row r="200" spans="1:2" x14ac:dyDescent="0.25">
      <c r="A200" s="18">
        <v>228</v>
      </c>
      <c r="B200" s="18">
        <v>4.0000000000000001E-3</v>
      </c>
    </row>
    <row r="201" spans="1:2" x14ac:dyDescent="0.25">
      <c r="A201" s="18">
        <v>229</v>
      </c>
      <c r="B201" s="18">
        <v>3.9899999999999996E-3</v>
      </c>
    </row>
    <row r="202" spans="1:2" x14ac:dyDescent="0.25">
      <c r="A202" s="18">
        <v>230</v>
      </c>
      <c r="B202" s="18">
        <v>3.8600000000000001E-3</v>
      </c>
    </row>
    <row r="203" spans="1:2" x14ac:dyDescent="0.25">
      <c r="A203" s="18">
        <v>231</v>
      </c>
      <c r="B203" s="18">
        <v>3.8E-3</v>
      </c>
    </row>
    <row r="204" spans="1:2" x14ac:dyDescent="0.25">
      <c r="A204" s="18">
        <v>232</v>
      </c>
      <c r="B204" s="18">
        <v>3.7599999999999999E-3</v>
      </c>
    </row>
    <row r="205" spans="1:2" x14ac:dyDescent="0.25">
      <c r="A205" s="18">
        <v>233</v>
      </c>
      <c r="B205" s="18">
        <v>3.62E-3</v>
      </c>
    </row>
    <row r="206" spans="1:2" x14ac:dyDescent="0.25">
      <c r="A206" s="18">
        <v>234</v>
      </c>
      <c r="B206" s="18">
        <v>3.6800000000000001E-3</v>
      </c>
    </row>
    <row r="207" spans="1:2" x14ac:dyDescent="0.25">
      <c r="A207" s="18">
        <v>235</v>
      </c>
      <c r="B207" s="18">
        <v>3.5300000000000002E-3</v>
      </c>
    </row>
    <row r="208" spans="1:2" x14ac:dyDescent="0.25">
      <c r="A208" s="18">
        <v>236</v>
      </c>
      <c r="B208" s="18">
        <v>3.47E-3</v>
      </c>
    </row>
    <row r="209" spans="1:2" x14ac:dyDescent="0.25">
      <c r="A209" s="18">
        <v>237</v>
      </c>
      <c r="B209" s="18">
        <v>3.3999999999999998E-3</v>
      </c>
    </row>
    <row r="210" spans="1:2" x14ac:dyDescent="0.25">
      <c r="A210" s="18">
        <v>238</v>
      </c>
      <c r="B210" s="18">
        <v>3.3300000000000001E-3</v>
      </c>
    </row>
    <row r="211" spans="1:2" x14ac:dyDescent="0.25">
      <c r="A211" s="18">
        <v>239</v>
      </c>
      <c r="B211" s="18">
        <v>3.3300000000000001E-3</v>
      </c>
    </row>
    <row r="212" spans="1:2" x14ac:dyDescent="0.25">
      <c r="A212" s="18">
        <v>240</v>
      </c>
      <c r="B212" s="18">
        <v>3.1700000000000001E-3</v>
      </c>
    </row>
    <row r="213" spans="1:2" x14ac:dyDescent="0.25">
      <c r="A213" s="18">
        <v>241</v>
      </c>
      <c r="B213" s="18">
        <v>3.1700000000000001E-3</v>
      </c>
    </row>
    <row r="214" spans="1:2" x14ac:dyDescent="0.25">
      <c r="A214" s="18">
        <v>242</v>
      </c>
      <c r="B214" s="18">
        <v>3.0599999999999998E-3</v>
      </c>
    </row>
    <row r="215" spans="1:2" x14ac:dyDescent="0.25">
      <c r="A215" s="18">
        <v>243</v>
      </c>
      <c r="B215" s="18">
        <v>3.0300000000000001E-3</v>
      </c>
    </row>
    <row r="216" spans="1:2" x14ac:dyDescent="0.25">
      <c r="A216" s="18">
        <v>244</v>
      </c>
      <c r="B216" s="18">
        <v>2.8999999999999998E-3</v>
      </c>
    </row>
    <row r="217" spans="1:2" x14ac:dyDescent="0.25">
      <c r="A217" s="18">
        <v>245</v>
      </c>
      <c r="B217" s="18">
        <v>2.8800000000000002E-3</v>
      </c>
    </row>
    <row r="218" spans="1:2" x14ac:dyDescent="0.25">
      <c r="A218" s="18">
        <v>246</v>
      </c>
      <c r="B218" s="18">
        <v>2.7899999999999999E-3</v>
      </c>
    </row>
    <row r="219" spans="1:2" x14ac:dyDescent="0.25">
      <c r="A219" s="18">
        <v>247</v>
      </c>
      <c r="B219" s="18">
        <v>2.6700000000000001E-3</v>
      </c>
    </row>
    <row r="220" spans="1:2" x14ac:dyDescent="0.25">
      <c r="A220" s="18">
        <v>248</v>
      </c>
      <c r="B220" s="18">
        <v>2.5799999999999998E-3</v>
      </c>
    </row>
    <row r="221" spans="1:2" x14ac:dyDescent="0.25">
      <c r="A221" s="18">
        <v>249</v>
      </c>
      <c r="B221" s="18">
        <v>2.4199999999999998E-3</v>
      </c>
    </row>
    <row r="222" spans="1:2" x14ac:dyDescent="0.25">
      <c r="A222" s="18">
        <v>250</v>
      </c>
      <c r="B222" s="18">
        <v>2.5000000000000001E-3</v>
      </c>
    </row>
    <row r="223" spans="1:2" x14ac:dyDescent="0.25">
      <c r="A223" s="18">
        <v>251</v>
      </c>
      <c r="B223" s="18">
        <v>2.3900000000000002E-3</v>
      </c>
    </row>
    <row r="224" spans="1:2" x14ac:dyDescent="0.25">
      <c r="A224" s="18">
        <v>252</v>
      </c>
      <c r="B224" s="18">
        <v>2.3E-3</v>
      </c>
    </row>
    <row r="225" spans="1:2" x14ac:dyDescent="0.25">
      <c r="A225" s="18">
        <v>253</v>
      </c>
      <c r="B225" s="18">
        <v>2.2300000000000002E-3</v>
      </c>
    </row>
    <row r="226" spans="1:2" x14ac:dyDescent="0.25">
      <c r="A226" s="18">
        <v>254</v>
      </c>
      <c r="B226" s="18">
        <v>2.1700000000000001E-3</v>
      </c>
    </row>
    <row r="227" spans="1:2" x14ac:dyDescent="0.25">
      <c r="A227" s="18">
        <v>255</v>
      </c>
      <c r="B227" s="18">
        <v>2.0400000000000001E-3</v>
      </c>
    </row>
    <row r="228" spans="1:2" x14ac:dyDescent="0.25">
      <c r="A228" s="18">
        <v>256</v>
      </c>
      <c r="B228" s="18">
        <v>1.9499999999999999E-3</v>
      </c>
    </row>
    <row r="229" spans="1:2" x14ac:dyDescent="0.25">
      <c r="A229" s="18">
        <v>257</v>
      </c>
      <c r="B229" s="18">
        <v>1.98E-3</v>
      </c>
    </row>
    <row r="230" spans="1:2" x14ac:dyDescent="0.25">
      <c r="A230" s="18">
        <v>258</v>
      </c>
      <c r="B230" s="18">
        <v>1.8600000000000001E-3</v>
      </c>
    </row>
    <row r="231" spans="1:2" x14ac:dyDescent="0.25">
      <c r="A231" s="18">
        <v>259</v>
      </c>
      <c r="B231" s="18">
        <v>1.74E-3</v>
      </c>
    </row>
    <row r="232" spans="1:2" x14ac:dyDescent="0.25">
      <c r="A232" s="18">
        <v>260</v>
      </c>
      <c r="B232" s="18">
        <v>1.6800000000000001E-3</v>
      </c>
    </row>
    <row r="233" spans="1:2" x14ac:dyDescent="0.25">
      <c r="A233" s="18">
        <v>261</v>
      </c>
      <c r="B233" s="18">
        <v>1.6000000000000001E-3</v>
      </c>
    </row>
    <row r="234" spans="1:2" x14ac:dyDescent="0.25">
      <c r="A234" s="18">
        <v>262</v>
      </c>
      <c r="B234" s="18">
        <v>1.5E-3</v>
      </c>
    </row>
    <row r="235" spans="1:2" x14ac:dyDescent="0.25">
      <c r="A235" s="18">
        <v>263</v>
      </c>
      <c r="B235" s="18">
        <v>1.4499999999999999E-3</v>
      </c>
    </row>
    <row r="236" spans="1:2" x14ac:dyDescent="0.25">
      <c r="A236" s="18">
        <v>264</v>
      </c>
      <c r="B236" s="18">
        <v>1.3600000000000001E-3</v>
      </c>
    </row>
    <row r="237" spans="1:2" x14ac:dyDescent="0.25">
      <c r="A237" s="18">
        <v>265</v>
      </c>
      <c r="B237" s="18">
        <v>1.1999999999999999E-3</v>
      </c>
    </row>
    <row r="238" spans="1:2" x14ac:dyDescent="0.25">
      <c r="A238" s="18">
        <v>266</v>
      </c>
      <c r="B238" s="18">
        <v>1.14E-3</v>
      </c>
    </row>
    <row r="239" spans="1:2" x14ac:dyDescent="0.25">
      <c r="A239" s="18">
        <v>267</v>
      </c>
      <c r="B239" s="18">
        <v>1.07E-3</v>
      </c>
    </row>
    <row r="240" spans="1:2" x14ac:dyDescent="0.25">
      <c r="A240" s="18">
        <v>268</v>
      </c>
      <c r="B240" s="18">
        <v>9.7000000000000005E-4</v>
      </c>
    </row>
    <row r="241" spans="1:2" x14ac:dyDescent="0.25">
      <c r="A241" s="18">
        <v>269</v>
      </c>
      <c r="B241" s="18">
        <v>8.8900000000000003E-4</v>
      </c>
    </row>
    <row r="242" spans="1:2" x14ac:dyDescent="0.25">
      <c r="A242" s="18">
        <v>270</v>
      </c>
      <c r="B242" s="18">
        <v>8.1700000000000002E-4</v>
      </c>
    </row>
    <row r="243" spans="1:2" x14ac:dyDescent="0.25">
      <c r="A243" s="18">
        <v>271</v>
      </c>
      <c r="B243" s="18">
        <v>6.9800000000000005E-4</v>
      </c>
    </row>
    <row r="244" spans="1:2" x14ac:dyDescent="0.25">
      <c r="A244" s="18">
        <v>272</v>
      </c>
      <c r="B244" s="18">
        <v>6.1600000000000001E-4</v>
      </c>
    </row>
    <row r="245" spans="1:2" x14ac:dyDescent="0.25">
      <c r="A245" s="18">
        <v>273</v>
      </c>
      <c r="B245" s="18">
        <v>5.6400000000000005E-4</v>
      </c>
    </row>
    <row r="246" spans="1:2" x14ac:dyDescent="0.25">
      <c r="A246" s="18">
        <v>274</v>
      </c>
      <c r="B246" s="18">
        <v>4.8099999999999998E-4</v>
      </c>
    </row>
    <row r="247" spans="1:2" x14ac:dyDescent="0.25">
      <c r="A247" s="18">
        <v>275</v>
      </c>
      <c r="B247" s="18">
        <v>3.5599999999999998E-4</v>
      </c>
    </row>
    <row r="248" spans="1:2" x14ac:dyDescent="0.25">
      <c r="A248" s="18">
        <v>276</v>
      </c>
      <c r="B248" s="18">
        <v>2.9300000000000002E-4</v>
      </c>
    </row>
    <row r="249" spans="1:2" x14ac:dyDescent="0.25">
      <c r="A249" s="18">
        <v>277</v>
      </c>
      <c r="B249" s="18">
        <v>2.02E-4</v>
      </c>
    </row>
    <row r="250" spans="1:2" x14ac:dyDescent="0.25">
      <c r="A250" s="18">
        <v>278</v>
      </c>
      <c r="B250" s="18">
        <v>1.54E-4</v>
      </c>
    </row>
    <row r="251" spans="1:2" x14ac:dyDescent="0.25">
      <c r="A251" s="18">
        <v>279</v>
      </c>
      <c r="B251" s="18">
        <v>9.8400000000000007E-5</v>
      </c>
    </row>
    <row r="252" spans="1:2" x14ac:dyDescent="0.25">
      <c r="A252" s="18">
        <v>280</v>
      </c>
      <c r="B252" s="18">
        <v>2.0599999999999999E-5</v>
      </c>
    </row>
    <row r="253" spans="1:2" x14ac:dyDescent="0.25">
      <c r="A253" s="18">
        <v>281</v>
      </c>
      <c r="B253" s="18">
        <v>2.5600000000000001E-6</v>
      </c>
    </row>
    <row r="254" spans="1:2" x14ac:dyDescent="0.25">
      <c r="A254" s="18">
        <v>282</v>
      </c>
      <c r="B254" s="18">
        <v>1.0699999999999999E-5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"/>
  <dimension ref="A1:B97"/>
  <sheetViews>
    <sheetView workbookViewId="0">
      <selection sqref="A1:B1"/>
    </sheetView>
  </sheetViews>
  <sheetFormatPr defaultRowHeight="15" x14ac:dyDescent="0.25"/>
  <cols>
    <col min="1" max="1" width="13.5703125" style="4" customWidth="1"/>
    <col min="2" max="2" width="16.28515625" style="4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3</v>
      </c>
      <c r="B2" s="14">
        <v>1.2799999999999999E-4</v>
      </c>
    </row>
    <row r="3" spans="1:2" x14ac:dyDescent="0.25">
      <c r="A3" s="14">
        <v>3.2</v>
      </c>
      <c r="B3" s="14">
        <v>1.9000000000000001E-4</v>
      </c>
    </row>
    <row r="4" spans="1:2" x14ac:dyDescent="0.25">
      <c r="A4" s="14">
        <v>3.4</v>
      </c>
      <c r="B4" s="14">
        <v>4.8299999999999998E-4</v>
      </c>
    </row>
    <row r="5" spans="1:2" x14ac:dyDescent="0.25">
      <c r="A5" s="14">
        <v>3.6</v>
      </c>
      <c r="B5" s="14">
        <v>3.6499999999999998E-4</v>
      </c>
    </row>
    <row r="6" spans="1:2" x14ac:dyDescent="0.25">
      <c r="A6" s="14">
        <v>3.8</v>
      </c>
      <c r="B6" s="14">
        <v>4.0700000000000003E-4</v>
      </c>
    </row>
    <row r="7" spans="1:2" x14ac:dyDescent="0.25">
      <c r="A7" s="14">
        <v>4</v>
      </c>
      <c r="B7" s="14">
        <v>2.5700000000000001E-4</v>
      </c>
    </row>
    <row r="8" spans="1:2" x14ac:dyDescent="0.25">
      <c r="A8" s="14">
        <v>4.2</v>
      </c>
      <c r="B8" s="14">
        <v>5.5800000000000001E-4</v>
      </c>
    </row>
    <row r="9" spans="1:2" x14ac:dyDescent="0.25">
      <c r="A9" s="14">
        <v>4.4000000000000004</v>
      </c>
      <c r="B9" s="14">
        <v>4.4799999999999999E-4</v>
      </c>
    </row>
    <row r="10" spans="1:2" x14ac:dyDescent="0.25">
      <c r="A10" s="14">
        <v>4.5999999999999996</v>
      </c>
      <c r="B10" s="14">
        <v>4.4700000000000002E-4</v>
      </c>
    </row>
    <row r="11" spans="1:2" x14ac:dyDescent="0.25">
      <c r="A11" s="14">
        <v>4.8</v>
      </c>
      <c r="B11" s="14">
        <v>6.4199999999999999E-4</v>
      </c>
    </row>
    <row r="12" spans="1:2" x14ac:dyDescent="0.25">
      <c r="A12" s="14">
        <v>5</v>
      </c>
      <c r="B12" s="14">
        <v>4.2099999999999999E-4</v>
      </c>
    </row>
    <row r="13" spans="1:2" x14ac:dyDescent="0.25">
      <c r="A13" s="14">
        <v>5.2</v>
      </c>
      <c r="B13" s="14">
        <v>5.9199999999999997E-4</v>
      </c>
    </row>
    <row r="14" spans="1:2" x14ac:dyDescent="0.25">
      <c r="A14" s="14">
        <v>5.4</v>
      </c>
      <c r="B14" s="14">
        <v>1.06E-3</v>
      </c>
    </row>
    <row r="15" spans="1:2" x14ac:dyDescent="0.25">
      <c r="A15" s="14">
        <v>5.6</v>
      </c>
      <c r="B15" s="14">
        <v>3.57E-4</v>
      </c>
    </row>
    <row r="16" spans="1:2" x14ac:dyDescent="0.25">
      <c r="A16" s="14">
        <v>5.8</v>
      </c>
      <c r="B16" s="14">
        <v>6.0899999999999995E-4</v>
      </c>
    </row>
    <row r="17" spans="1:2" x14ac:dyDescent="0.25">
      <c r="A17" s="14">
        <v>6</v>
      </c>
      <c r="B17" s="14">
        <v>8.1400000000000005E-4</v>
      </c>
    </row>
    <row r="18" spans="1:2" x14ac:dyDescent="0.25">
      <c r="A18" s="14">
        <v>6.2</v>
      </c>
      <c r="B18" s="14">
        <v>5.4600000000000004E-4</v>
      </c>
    </row>
    <row r="19" spans="1:2" x14ac:dyDescent="0.25">
      <c r="A19" s="14">
        <v>6.4</v>
      </c>
      <c r="B19" s="14">
        <v>1.4E-3</v>
      </c>
    </row>
    <row r="20" spans="1:2" x14ac:dyDescent="0.25">
      <c r="A20" s="14">
        <v>6.6</v>
      </c>
      <c r="B20" s="14">
        <v>1.0300000000000001E-3</v>
      </c>
    </row>
    <row r="21" spans="1:2" x14ac:dyDescent="0.25">
      <c r="A21" s="14">
        <v>6.8</v>
      </c>
      <c r="B21" s="14">
        <v>1.56E-3</v>
      </c>
    </row>
    <row r="22" spans="1:2" x14ac:dyDescent="0.25">
      <c r="A22" s="14">
        <v>7</v>
      </c>
      <c r="B22" s="14">
        <v>2.1199999999999999E-3</v>
      </c>
    </row>
    <row r="23" spans="1:2" x14ac:dyDescent="0.25">
      <c r="A23" s="14">
        <v>7.2</v>
      </c>
      <c r="B23" s="14">
        <v>2.7100000000000002E-3</v>
      </c>
    </row>
    <row r="24" spans="1:2" x14ac:dyDescent="0.25">
      <c r="A24" s="14">
        <v>7.4</v>
      </c>
      <c r="B24" s="14">
        <v>4.6800000000000001E-3</v>
      </c>
    </row>
    <row r="25" spans="1:2" x14ac:dyDescent="0.25">
      <c r="A25" s="14">
        <v>7.6</v>
      </c>
      <c r="B25" s="14">
        <v>4.62E-3</v>
      </c>
    </row>
    <row r="26" spans="1:2" x14ac:dyDescent="0.25">
      <c r="A26" s="14">
        <v>7.8</v>
      </c>
      <c r="B26" s="14">
        <v>5.6800000000000002E-3</v>
      </c>
    </row>
    <row r="27" spans="1:2" x14ac:dyDescent="0.25">
      <c r="A27" s="14">
        <v>8</v>
      </c>
      <c r="B27" s="14">
        <v>6.3800000000000003E-3</v>
      </c>
    </row>
    <row r="28" spans="1:2" x14ac:dyDescent="0.25">
      <c r="A28" s="14">
        <v>8.1999999999999993</v>
      </c>
      <c r="B28" s="14">
        <v>1.1599999999999999E-2</v>
      </c>
    </row>
    <row r="29" spans="1:2" x14ac:dyDescent="0.25">
      <c r="A29" s="14">
        <v>8.4</v>
      </c>
      <c r="B29" s="14">
        <v>8.8700000000000001E-2</v>
      </c>
    </row>
    <row r="30" spans="1:2" x14ac:dyDescent="0.25">
      <c r="A30" s="14">
        <v>8.6</v>
      </c>
      <c r="B30" s="14">
        <v>3.4000000000000002E-2</v>
      </c>
    </row>
    <row r="31" spans="1:2" x14ac:dyDescent="0.25">
      <c r="A31" s="14">
        <v>8.8000000000000007</v>
      </c>
      <c r="B31" s="14">
        <v>0.01</v>
      </c>
    </row>
    <row r="32" spans="1:2" x14ac:dyDescent="0.25">
      <c r="A32" s="14">
        <v>9</v>
      </c>
      <c r="B32" s="14">
        <v>1.4E-2</v>
      </c>
    </row>
    <row r="33" spans="1:2" x14ac:dyDescent="0.25">
      <c r="A33" s="14">
        <v>9.1999999999999993</v>
      </c>
      <c r="B33" s="14">
        <v>1.49E-2</v>
      </c>
    </row>
    <row r="34" spans="1:2" x14ac:dyDescent="0.25">
      <c r="A34" s="14">
        <v>9.4</v>
      </c>
      <c r="B34" s="14">
        <v>1.32E-2</v>
      </c>
    </row>
    <row r="35" spans="1:2" x14ac:dyDescent="0.25">
      <c r="A35" s="14">
        <v>9.6</v>
      </c>
      <c r="B35" s="14">
        <v>6.5299999999999997E-2</v>
      </c>
    </row>
    <row r="36" spans="1:2" x14ac:dyDescent="0.25">
      <c r="A36" s="14">
        <v>9.8000000000000007</v>
      </c>
      <c r="B36" s="14">
        <v>8.0799999999999997E-2</v>
      </c>
    </row>
    <row r="37" spans="1:2" x14ac:dyDescent="0.25">
      <c r="A37" s="14">
        <v>10</v>
      </c>
      <c r="B37" s="14">
        <v>5.8200000000000002E-2</v>
      </c>
    </row>
    <row r="38" spans="1:2" x14ac:dyDescent="0.25">
      <c r="A38" s="14">
        <v>10.199999999999999</v>
      </c>
      <c r="B38" s="14">
        <v>2.5399999999999999E-2</v>
      </c>
    </row>
    <row r="39" spans="1:2" x14ac:dyDescent="0.25">
      <c r="A39" s="14">
        <v>10.4</v>
      </c>
      <c r="B39" s="14">
        <v>1.7000000000000001E-2</v>
      </c>
    </row>
    <row r="40" spans="1:2" x14ac:dyDescent="0.25">
      <c r="A40" s="14">
        <v>10.6</v>
      </c>
      <c r="B40" s="14">
        <v>1.7500000000000002E-2</v>
      </c>
    </row>
    <row r="41" spans="1:2" x14ac:dyDescent="0.25">
      <c r="A41" s="14">
        <v>10.8</v>
      </c>
      <c r="B41" s="14">
        <v>1.8499999999999999E-2</v>
      </c>
    </row>
    <row r="42" spans="1:2" x14ac:dyDescent="0.25">
      <c r="A42" s="14">
        <v>11</v>
      </c>
      <c r="B42" s="14">
        <v>1.78E-2</v>
      </c>
    </row>
    <row r="43" spans="1:2" x14ac:dyDescent="0.25">
      <c r="A43" s="14">
        <v>11.2</v>
      </c>
      <c r="B43" s="14">
        <v>2.6599999999999999E-2</v>
      </c>
    </row>
    <row r="44" spans="1:2" x14ac:dyDescent="0.25">
      <c r="A44" s="14">
        <v>11.4</v>
      </c>
      <c r="B44" s="14">
        <v>3.27E-2</v>
      </c>
    </row>
    <row r="45" spans="1:2" x14ac:dyDescent="0.25">
      <c r="A45" s="14">
        <v>11.6</v>
      </c>
      <c r="B45" s="14">
        <v>2.1899999999999999E-2</v>
      </c>
    </row>
    <row r="46" spans="1:2" x14ac:dyDescent="0.25">
      <c r="A46" s="14">
        <v>11.8</v>
      </c>
      <c r="B46" s="14">
        <v>2.1000000000000001E-2</v>
      </c>
    </row>
    <row r="47" spans="1:2" x14ac:dyDescent="0.25">
      <c r="A47" s="14">
        <v>12</v>
      </c>
      <c r="B47" s="14">
        <v>1.7899999999999999E-2</v>
      </c>
    </row>
    <row r="48" spans="1:2" x14ac:dyDescent="0.25">
      <c r="A48" s="14">
        <v>12.2</v>
      </c>
      <c r="B48" s="14">
        <v>1.7399999999999999E-2</v>
      </c>
    </row>
    <row r="49" spans="1:2" x14ac:dyDescent="0.25">
      <c r="A49" s="14">
        <v>12.4</v>
      </c>
      <c r="B49" s="14">
        <v>1.6400000000000001E-2</v>
      </c>
    </row>
    <row r="50" spans="1:2" x14ac:dyDescent="0.25">
      <c r="A50" s="14">
        <v>12.6</v>
      </c>
      <c r="B50" s="14">
        <v>1.67E-2</v>
      </c>
    </row>
    <row r="51" spans="1:2" x14ac:dyDescent="0.25">
      <c r="A51" s="14">
        <v>12.8</v>
      </c>
      <c r="B51" s="14">
        <v>1.5800000000000002E-2</v>
      </c>
    </row>
    <row r="52" spans="1:2" x14ac:dyDescent="0.25">
      <c r="A52" s="14">
        <v>13</v>
      </c>
      <c r="B52" s="14">
        <v>1.61E-2</v>
      </c>
    </row>
    <row r="53" spans="1:2" x14ac:dyDescent="0.25">
      <c r="A53" s="14">
        <v>13.2</v>
      </c>
      <c r="B53" s="14">
        <v>1.5299999999999999E-2</v>
      </c>
    </row>
    <row r="54" spans="1:2" x14ac:dyDescent="0.25">
      <c r="A54" s="14">
        <v>13.4</v>
      </c>
      <c r="B54" s="14">
        <v>1.4800000000000001E-2</v>
      </c>
    </row>
    <row r="55" spans="1:2" x14ac:dyDescent="0.25">
      <c r="A55" s="14">
        <v>13.6</v>
      </c>
      <c r="B55" s="14">
        <v>1.47E-2</v>
      </c>
    </row>
    <row r="56" spans="1:2" x14ac:dyDescent="0.25">
      <c r="A56" s="14">
        <v>13.8</v>
      </c>
      <c r="B56" s="14">
        <v>1.43E-2</v>
      </c>
    </row>
    <row r="57" spans="1:2" x14ac:dyDescent="0.25">
      <c r="A57" s="14">
        <v>14</v>
      </c>
      <c r="B57" s="14">
        <v>1.38E-2</v>
      </c>
    </row>
    <row r="58" spans="1:2" x14ac:dyDescent="0.25">
      <c r="A58" s="14">
        <v>14.2</v>
      </c>
      <c r="B58" s="14">
        <v>1.32E-2</v>
      </c>
    </row>
    <row r="59" spans="1:2" x14ac:dyDescent="0.25">
      <c r="A59" s="14">
        <v>14.4</v>
      </c>
      <c r="B59" s="14">
        <v>1.29E-2</v>
      </c>
    </row>
    <row r="60" spans="1:2" x14ac:dyDescent="0.25">
      <c r="A60" s="14">
        <v>14.6</v>
      </c>
      <c r="B60" s="14">
        <v>1.24E-2</v>
      </c>
    </row>
    <row r="61" spans="1:2" x14ac:dyDescent="0.25">
      <c r="A61" s="14">
        <v>14.8</v>
      </c>
      <c r="B61" s="14">
        <v>1.1900000000000001E-2</v>
      </c>
    </row>
    <row r="62" spans="1:2" x14ac:dyDescent="0.25">
      <c r="A62" s="14">
        <v>15</v>
      </c>
      <c r="B62" s="14">
        <v>1.1599999999999999E-2</v>
      </c>
    </row>
    <row r="63" spans="1:2" x14ac:dyDescent="0.25">
      <c r="A63" s="14">
        <v>15.2</v>
      </c>
      <c r="B63" s="14">
        <v>1.0800000000000001E-2</v>
      </c>
    </row>
    <row r="64" spans="1:2" x14ac:dyDescent="0.25">
      <c r="A64" s="14">
        <v>15.4</v>
      </c>
      <c r="B64" s="14">
        <v>1.06E-2</v>
      </c>
    </row>
    <row r="65" spans="1:2" x14ac:dyDescent="0.25">
      <c r="A65" s="14">
        <v>15.6</v>
      </c>
      <c r="B65" s="14">
        <v>9.8899999999999995E-3</v>
      </c>
    </row>
    <row r="66" spans="1:2" x14ac:dyDescent="0.25">
      <c r="A66" s="14">
        <v>15.8</v>
      </c>
      <c r="B66" s="14">
        <v>9.4299999999999991E-3</v>
      </c>
    </row>
    <row r="67" spans="1:2" x14ac:dyDescent="0.25">
      <c r="A67" s="14">
        <v>16</v>
      </c>
      <c r="B67" s="14">
        <v>8.9700000000000005E-3</v>
      </c>
    </row>
    <row r="68" spans="1:2" x14ac:dyDescent="0.25">
      <c r="A68" s="14">
        <v>16.2</v>
      </c>
      <c r="B68" s="14">
        <v>8.3599999999999994E-3</v>
      </c>
    </row>
    <row r="69" spans="1:2" x14ac:dyDescent="0.25">
      <c r="A69" s="14">
        <v>16.399999999999999</v>
      </c>
      <c r="B69" s="14">
        <v>8.0499999999999999E-3</v>
      </c>
    </row>
    <row r="70" spans="1:2" x14ac:dyDescent="0.25">
      <c r="A70" s="14">
        <v>16.600000000000001</v>
      </c>
      <c r="B70" s="14">
        <v>7.6699999999999997E-3</v>
      </c>
    </row>
    <row r="71" spans="1:2" x14ac:dyDescent="0.25">
      <c r="A71" s="14">
        <v>16.8</v>
      </c>
      <c r="B71" s="14">
        <v>7.0600000000000003E-3</v>
      </c>
    </row>
    <row r="72" spans="1:2" x14ac:dyDescent="0.25">
      <c r="A72" s="14">
        <v>17</v>
      </c>
      <c r="B72" s="14">
        <v>6.6800000000000002E-3</v>
      </c>
    </row>
    <row r="73" spans="1:2" x14ac:dyDescent="0.25">
      <c r="A73" s="14">
        <v>17.2</v>
      </c>
      <c r="B73" s="14">
        <v>6.2700000000000004E-3</v>
      </c>
    </row>
    <row r="74" spans="1:2" x14ac:dyDescent="0.25">
      <c r="A74" s="14">
        <v>17.399999999999999</v>
      </c>
      <c r="B74" s="14">
        <v>5.8100000000000001E-3</v>
      </c>
    </row>
    <row r="75" spans="1:2" x14ac:dyDescent="0.25">
      <c r="A75" s="14">
        <v>17.600000000000001</v>
      </c>
      <c r="B75" s="14">
        <v>5.28E-3</v>
      </c>
    </row>
    <row r="76" spans="1:2" x14ac:dyDescent="0.25">
      <c r="A76" s="14">
        <v>17.8</v>
      </c>
      <c r="B76" s="14">
        <v>4.9800000000000001E-3</v>
      </c>
    </row>
    <row r="77" spans="1:2" x14ac:dyDescent="0.25">
      <c r="A77" s="14">
        <v>18</v>
      </c>
      <c r="B77" s="14">
        <v>4.5900000000000003E-3</v>
      </c>
    </row>
    <row r="78" spans="1:2" x14ac:dyDescent="0.25">
      <c r="A78" s="14">
        <v>18.2</v>
      </c>
      <c r="B78" s="14">
        <v>4.1099999999999999E-3</v>
      </c>
    </row>
    <row r="79" spans="1:2" x14ac:dyDescent="0.25">
      <c r="A79" s="14">
        <v>18.399999999999999</v>
      </c>
      <c r="B79" s="14">
        <v>3.7699999999999999E-3</v>
      </c>
    </row>
    <row r="80" spans="1:2" x14ac:dyDescent="0.25">
      <c r="A80" s="14">
        <v>18.600000000000001</v>
      </c>
      <c r="B80" s="14">
        <v>3.2299999999999998E-3</v>
      </c>
    </row>
    <row r="81" spans="1:2" x14ac:dyDescent="0.25">
      <c r="A81" s="14">
        <v>18.8</v>
      </c>
      <c r="B81" s="14">
        <v>2.97E-3</v>
      </c>
    </row>
    <row r="82" spans="1:2" x14ac:dyDescent="0.25">
      <c r="A82" s="14">
        <v>19</v>
      </c>
      <c r="B82" s="14">
        <v>2.5400000000000002E-3</v>
      </c>
    </row>
    <row r="83" spans="1:2" x14ac:dyDescent="0.25">
      <c r="A83" s="14">
        <v>19.2</v>
      </c>
      <c r="B83" s="14">
        <v>2.15E-3</v>
      </c>
    </row>
    <row r="84" spans="1:2" x14ac:dyDescent="0.25">
      <c r="A84" s="14">
        <v>19.399999999999999</v>
      </c>
      <c r="B84" s="14">
        <v>1.7700000000000001E-3</v>
      </c>
    </row>
    <row r="85" spans="1:2" x14ac:dyDescent="0.25">
      <c r="A85" s="14">
        <v>19.600000000000001</v>
      </c>
      <c r="B85" s="14">
        <v>1.31E-3</v>
      </c>
    </row>
    <row r="86" spans="1:2" x14ac:dyDescent="0.25">
      <c r="A86" s="14">
        <v>19.8</v>
      </c>
      <c r="B86" s="14">
        <v>8.9899999999999995E-4</v>
      </c>
    </row>
    <row r="87" spans="1:2" x14ac:dyDescent="0.25">
      <c r="A87" s="14">
        <v>20</v>
      </c>
      <c r="B87" s="14">
        <v>3.0800000000000001E-4</v>
      </c>
    </row>
    <row r="88" spans="1:2" x14ac:dyDescent="0.25">
      <c r="A88" s="14">
        <v>20.2</v>
      </c>
      <c r="B88" s="14">
        <v>2.0200000000000001E-6</v>
      </c>
    </row>
    <row r="89" spans="1:2" x14ac:dyDescent="0.25">
      <c r="A89" s="14">
        <v>20.399999999999999</v>
      </c>
      <c r="B89" s="14">
        <v>1.27E-5</v>
      </c>
    </row>
    <row r="90" spans="1:2" x14ac:dyDescent="0.25">
      <c r="A90" s="14">
        <v>20.6</v>
      </c>
      <c r="B90" s="14">
        <v>6.5599999999999999E-6</v>
      </c>
    </row>
    <row r="91" spans="1:2" x14ac:dyDescent="0.25">
      <c r="A91" s="14">
        <v>20.8</v>
      </c>
      <c r="B91" s="14">
        <v>4.16E-6</v>
      </c>
    </row>
    <row r="92" spans="1:2" x14ac:dyDescent="0.25">
      <c r="A92" s="14">
        <v>21</v>
      </c>
      <c r="B92" s="14">
        <v>8.6799999999999999E-6</v>
      </c>
    </row>
    <row r="93" spans="1:2" x14ac:dyDescent="0.25">
      <c r="A93" s="14">
        <v>21.2</v>
      </c>
      <c r="B93" s="14">
        <v>5.9900000000000002E-6</v>
      </c>
    </row>
    <row r="94" spans="1:2" x14ac:dyDescent="0.25">
      <c r="A94" s="14">
        <v>21.4</v>
      </c>
      <c r="B94" s="14">
        <v>4.3100000000000002E-6</v>
      </c>
    </row>
    <row r="95" spans="1:2" x14ac:dyDescent="0.25">
      <c r="A95" s="14">
        <v>21.6</v>
      </c>
      <c r="B95" s="14">
        <v>4.87E-6</v>
      </c>
    </row>
    <row r="96" spans="1:2" x14ac:dyDescent="0.25">
      <c r="A96" s="14">
        <v>21.8</v>
      </c>
      <c r="B96" s="14">
        <v>5.2900000000000002E-6</v>
      </c>
    </row>
    <row r="97" spans="1:2" x14ac:dyDescent="0.25">
      <c r="A97" s="14">
        <v>22</v>
      </c>
      <c r="B97" s="14">
        <v>3.1E-6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3"/>
  <dimension ref="A1:B142"/>
  <sheetViews>
    <sheetView workbookViewId="0">
      <selection sqref="A1:B1"/>
    </sheetView>
  </sheetViews>
  <sheetFormatPr defaultRowHeight="15" x14ac:dyDescent="0.25"/>
  <cols>
    <col min="1" max="1" width="15.5703125" style="1" customWidth="1"/>
    <col min="2" max="2" width="17.710937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4</v>
      </c>
      <c r="B2" s="13">
        <v>3.8699999999999997E-4</v>
      </c>
    </row>
    <row r="3" spans="1:2" x14ac:dyDescent="0.25">
      <c r="A3" s="13">
        <v>4.2</v>
      </c>
      <c r="B3" s="13">
        <v>6.38E-4</v>
      </c>
    </row>
    <row r="4" spans="1:2" x14ac:dyDescent="0.25">
      <c r="A4" s="13">
        <v>4.4000000000000004</v>
      </c>
      <c r="B4" s="13">
        <v>6.6E-4</v>
      </c>
    </row>
    <row r="5" spans="1:2" x14ac:dyDescent="0.25">
      <c r="A5" s="13">
        <v>4.5999999999999996</v>
      </c>
      <c r="B5" s="13">
        <v>4.6000000000000001E-4</v>
      </c>
    </row>
    <row r="6" spans="1:2" x14ac:dyDescent="0.25">
      <c r="A6" s="13">
        <v>4.8</v>
      </c>
      <c r="B6" s="13">
        <v>4.6099999999999998E-4</v>
      </c>
    </row>
    <row r="7" spans="1:2" x14ac:dyDescent="0.25">
      <c r="A7" s="13">
        <v>5</v>
      </c>
      <c r="B7" s="13">
        <v>4.1599999999999997E-4</v>
      </c>
    </row>
    <row r="8" spans="1:2" x14ac:dyDescent="0.25">
      <c r="A8" s="13">
        <v>5.2</v>
      </c>
      <c r="B8" s="13">
        <v>9.4899999999999997E-4</v>
      </c>
    </row>
    <row r="9" spans="1:2" x14ac:dyDescent="0.25">
      <c r="A9" s="13">
        <v>5.4</v>
      </c>
      <c r="B9" s="13">
        <v>7.2900000000000005E-4</v>
      </c>
    </row>
    <row r="10" spans="1:2" x14ac:dyDescent="0.25">
      <c r="A10" s="13">
        <v>5.6</v>
      </c>
      <c r="B10" s="13">
        <v>7.3999999999999999E-4</v>
      </c>
    </row>
    <row r="11" spans="1:2" x14ac:dyDescent="0.25">
      <c r="A11" s="13">
        <v>5.8</v>
      </c>
      <c r="B11" s="13">
        <v>6.8999999999999997E-4</v>
      </c>
    </row>
    <row r="12" spans="1:2" x14ac:dyDescent="0.25">
      <c r="A12" s="13">
        <v>6</v>
      </c>
      <c r="B12" s="13">
        <v>6.5099999999999999E-4</v>
      </c>
    </row>
    <row r="13" spans="1:2" x14ac:dyDescent="0.25">
      <c r="A13" s="13">
        <v>6.2</v>
      </c>
      <c r="B13" s="13">
        <v>4.8700000000000002E-4</v>
      </c>
    </row>
    <row r="14" spans="1:2" x14ac:dyDescent="0.25">
      <c r="A14" s="13">
        <v>6.4</v>
      </c>
      <c r="B14" s="13">
        <v>9.2100000000000005E-4</v>
      </c>
    </row>
    <row r="15" spans="1:2" x14ac:dyDescent="0.25">
      <c r="A15" s="13">
        <v>6.6</v>
      </c>
      <c r="B15" s="13">
        <v>1.8699999999999999E-4</v>
      </c>
    </row>
    <row r="16" spans="1:2" x14ac:dyDescent="0.25">
      <c r="A16" s="13">
        <v>6.8</v>
      </c>
      <c r="B16" s="13">
        <v>5.3700000000000004E-4</v>
      </c>
    </row>
    <row r="17" spans="1:2" x14ac:dyDescent="0.25">
      <c r="A17" s="13">
        <v>7</v>
      </c>
      <c r="B17" s="13">
        <v>7.1099999999999994E-5</v>
      </c>
    </row>
    <row r="18" spans="1:2" x14ac:dyDescent="0.25">
      <c r="A18" s="13">
        <v>7.2</v>
      </c>
      <c r="B18" s="13">
        <v>8.9499999999999996E-4</v>
      </c>
    </row>
    <row r="19" spans="1:2" x14ac:dyDescent="0.25">
      <c r="A19" s="13">
        <v>7.4</v>
      </c>
      <c r="B19" s="13">
        <v>3.3E-4</v>
      </c>
    </row>
    <row r="20" spans="1:2" x14ac:dyDescent="0.25">
      <c r="A20" s="13">
        <v>7.6</v>
      </c>
      <c r="B20" s="13">
        <v>5.3799999999999996E-4</v>
      </c>
    </row>
    <row r="21" spans="1:2" x14ac:dyDescent="0.25">
      <c r="A21" s="13">
        <v>7.8</v>
      </c>
      <c r="B21" s="13">
        <v>6.1200000000000002E-4</v>
      </c>
    </row>
    <row r="22" spans="1:2" x14ac:dyDescent="0.25">
      <c r="A22" s="13">
        <v>8</v>
      </c>
      <c r="B22" s="13">
        <v>2.4000000000000001E-4</v>
      </c>
    </row>
    <row r="23" spans="1:2" x14ac:dyDescent="0.25">
      <c r="A23" s="13">
        <v>8.1999999999999993</v>
      </c>
      <c r="B23" s="13">
        <v>8.0599999999999997E-4</v>
      </c>
    </row>
    <row r="24" spans="1:2" x14ac:dyDescent="0.25">
      <c r="A24" s="13">
        <v>8.4</v>
      </c>
      <c r="B24" s="13">
        <v>6.8100000000000001E-3</v>
      </c>
    </row>
    <row r="25" spans="1:2" x14ac:dyDescent="0.25">
      <c r="A25" s="13">
        <v>8.6</v>
      </c>
      <c r="B25" s="13">
        <v>2.7200000000000002E-3</v>
      </c>
    </row>
    <row r="26" spans="1:2" x14ac:dyDescent="0.25">
      <c r="A26" s="13">
        <v>8.8000000000000007</v>
      </c>
      <c r="B26" s="13">
        <v>1.14E-3</v>
      </c>
    </row>
    <row r="27" spans="1:2" x14ac:dyDescent="0.25">
      <c r="A27" s="13">
        <v>9</v>
      </c>
      <c r="B27" s="13">
        <v>1.3699999999999999E-3</v>
      </c>
    </row>
    <row r="28" spans="1:2" x14ac:dyDescent="0.25">
      <c r="A28" s="13">
        <v>9.1999999999999993</v>
      </c>
      <c r="B28" s="13">
        <v>2.3500000000000001E-3</v>
      </c>
    </row>
    <row r="29" spans="1:2" x14ac:dyDescent="0.25">
      <c r="A29" s="13">
        <v>9.4</v>
      </c>
      <c r="B29" s="13">
        <v>1.64E-3</v>
      </c>
    </row>
    <row r="30" spans="1:2" x14ac:dyDescent="0.25">
      <c r="A30" s="13">
        <v>9.6</v>
      </c>
      <c r="B30" s="13">
        <v>1.8200000000000001E-2</v>
      </c>
    </row>
    <row r="31" spans="1:2" x14ac:dyDescent="0.25">
      <c r="A31" s="13">
        <v>9.8000000000000007</v>
      </c>
      <c r="B31" s="13">
        <v>2.4199999999999999E-2</v>
      </c>
    </row>
    <row r="32" spans="1:2" x14ac:dyDescent="0.25">
      <c r="A32" s="13">
        <v>10</v>
      </c>
      <c r="B32" s="13">
        <v>1.9E-2</v>
      </c>
    </row>
    <row r="33" spans="1:2" x14ac:dyDescent="0.25">
      <c r="A33" s="13">
        <v>10.199999999999999</v>
      </c>
      <c r="B33" s="13">
        <v>7.3299999999999997E-3</v>
      </c>
    </row>
    <row r="34" spans="1:2" x14ac:dyDescent="0.25">
      <c r="A34" s="13">
        <v>10.4</v>
      </c>
      <c r="B34" s="13">
        <v>4.9100000000000003E-3</v>
      </c>
    </row>
    <row r="35" spans="1:2" x14ac:dyDescent="0.25">
      <c r="A35" s="13">
        <v>10.6</v>
      </c>
      <c r="B35" s="13">
        <v>5.6899999999999997E-3</v>
      </c>
    </row>
    <row r="36" spans="1:2" x14ac:dyDescent="0.25">
      <c r="A36" s="13">
        <v>10.8</v>
      </c>
      <c r="B36" s="13">
        <v>6.8599999999999998E-3</v>
      </c>
    </row>
    <row r="37" spans="1:2" x14ac:dyDescent="0.25">
      <c r="A37" s="13">
        <v>11</v>
      </c>
      <c r="B37" s="13">
        <v>6.7099999999999998E-3</v>
      </c>
    </row>
    <row r="38" spans="1:2" x14ac:dyDescent="0.25">
      <c r="A38" s="13">
        <v>11.2</v>
      </c>
      <c r="B38" s="13">
        <v>1.49E-2</v>
      </c>
    </row>
    <row r="39" spans="1:2" x14ac:dyDescent="0.25">
      <c r="A39" s="13">
        <v>11.4</v>
      </c>
      <c r="B39" s="13">
        <v>1.95E-2</v>
      </c>
    </row>
    <row r="40" spans="1:2" x14ac:dyDescent="0.25">
      <c r="A40" s="13">
        <v>11.6</v>
      </c>
      <c r="B40" s="13">
        <v>1.35E-2</v>
      </c>
    </row>
    <row r="41" spans="1:2" x14ac:dyDescent="0.25">
      <c r="A41" s="13">
        <v>11.8</v>
      </c>
      <c r="B41" s="13">
        <v>1.2699999999999999E-2</v>
      </c>
    </row>
    <row r="42" spans="1:2" x14ac:dyDescent="0.25">
      <c r="A42" s="13">
        <v>12</v>
      </c>
      <c r="B42" s="13">
        <v>1.0999999999999999E-2</v>
      </c>
    </row>
    <row r="43" spans="1:2" x14ac:dyDescent="0.25">
      <c r="A43" s="13">
        <v>12.2</v>
      </c>
      <c r="B43" s="13">
        <v>1.17E-2</v>
      </c>
    </row>
    <row r="44" spans="1:2" x14ac:dyDescent="0.25">
      <c r="A44" s="13">
        <v>12.4</v>
      </c>
      <c r="B44" s="13">
        <v>1.0800000000000001E-2</v>
      </c>
    </row>
    <row r="45" spans="1:2" x14ac:dyDescent="0.25">
      <c r="A45" s="13">
        <v>12.6</v>
      </c>
      <c r="B45" s="13">
        <v>1.2E-2</v>
      </c>
    </row>
    <row r="46" spans="1:2" x14ac:dyDescent="0.25">
      <c r="A46" s="13">
        <v>12.8</v>
      </c>
      <c r="B46" s="13">
        <v>1.23E-2</v>
      </c>
    </row>
    <row r="47" spans="1:2" x14ac:dyDescent="0.25">
      <c r="A47" s="13">
        <v>13</v>
      </c>
      <c r="B47" s="13">
        <v>1.32E-2</v>
      </c>
    </row>
    <row r="48" spans="1:2" x14ac:dyDescent="0.25">
      <c r="A48" s="13">
        <v>13.2</v>
      </c>
      <c r="B48" s="13">
        <v>1.35E-2</v>
      </c>
    </row>
    <row r="49" spans="1:2" x14ac:dyDescent="0.25">
      <c r="A49" s="13">
        <v>13.4</v>
      </c>
      <c r="B49" s="13">
        <v>1.4E-2</v>
      </c>
    </row>
    <row r="50" spans="1:2" x14ac:dyDescent="0.25">
      <c r="A50" s="13">
        <v>13.6</v>
      </c>
      <c r="B50" s="13">
        <v>1.43E-2</v>
      </c>
    </row>
    <row r="51" spans="1:2" x14ac:dyDescent="0.25">
      <c r="A51" s="13">
        <v>13.8</v>
      </c>
      <c r="B51" s="13">
        <v>1.5100000000000001E-2</v>
      </c>
    </row>
    <row r="52" spans="1:2" x14ac:dyDescent="0.25">
      <c r="A52" s="13">
        <v>14</v>
      </c>
      <c r="B52" s="13">
        <v>1.49E-2</v>
      </c>
    </row>
    <row r="53" spans="1:2" x14ac:dyDescent="0.25">
      <c r="A53" s="13">
        <v>14.2</v>
      </c>
      <c r="B53" s="13">
        <v>1.55E-2</v>
      </c>
    </row>
    <row r="54" spans="1:2" x14ac:dyDescent="0.25">
      <c r="A54" s="13">
        <v>14.4</v>
      </c>
      <c r="B54" s="13">
        <v>1.5599999999999999E-2</v>
      </c>
    </row>
    <row r="55" spans="1:2" x14ac:dyDescent="0.25">
      <c r="A55" s="13">
        <v>14.6</v>
      </c>
      <c r="B55" s="13">
        <v>1.61E-2</v>
      </c>
    </row>
    <row r="56" spans="1:2" x14ac:dyDescent="0.25">
      <c r="A56" s="13">
        <v>14.8</v>
      </c>
      <c r="B56" s="13">
        <v>1.61E-2</v>
      </c>
    </row>
    <row r="57" spans="1:2" x14ac:dyDescent="0.25">
      <c r="A57" s="13">
        <v>15</v>
      </c>
      <c r="B57" s="13">
        <v>1.6400000000000001E-2</v>
      </c>
    </row>
    <row r="58" spans="1:2" x14ac:dyDescent="0.25">
      <c r="A58" s="13">
        <v>15.2</v>
      </c>
      <c r="B58" s="13">
        <v>1.6E-2</v>
      </c>
    </row>
    <row r="59" spans="1:2" x14ac:dyDescent="0.25">
      <c r="A59" s="13">
        <v>15.4</v>
      </c>
      <c r="B59" s="13">
        <v>1.6400000000000001E-2</v>
      </c>
    </row>
    <row r="60" spans="1:2" x14ac:dyDescent="0.25">
      <c r="A60" s="13">
        <v>15.6</v>
      </c>
      <c r="B60" s="13">
        <v>1.6400000000000001E-2</v>
      </c>
    </row>
    <row r="61" spans="1:2" x14ac:dyDescent="0.25">
      <c r="A61" s="13">
        <v>15.8</v>
      </c>
      <c r="B61" s="13">
        <v>1.6E-2</v>
      </c>
    </row>
    <row r="62" spans="1:2" x14ac:dyDescent="0.25">
      <c r="A62" s="13">
        <v>16</v>
      </c>
      <c r="B62" s="13">
        <v>1.61E-2</v>
      </c>
    </row>
    <row r="63" spans="1:2" x14ac:dyDescent="0.25">
      <c r="A63" s="13">
        <v>16.2</v>
      </c>
      <c r="B63" s="13">
        <v>1.5800000000000002E-2</v>
      </c>
    </row>
    <row r="64" spans="1:2" x14ac:dyDescent="0.25">
      <c r="A64" s="13">
        <v>16.399999999999999</v>
      </c>
      <c r="B64" s="13">
        <v>1.5800000000000002E-2</v>
      </c>
    </row>
    <row r="65" spans="1:2" x14ac:dyDescent="0.25">
      <c r="A65" s="13">
        <v>16.600000000000001</v>
      </c>
      <c r="B65" s="13">
        <v>1.5699999999999999E-2</v>
      </c>
    </row>
    <row r="66" spans="1:2" x14ac:dyDescent="0.25">
      <c r="A66" s="13">
        <v>16.8</v>
      </c>
      <c r="B66" s="13">
        <v>1.55E-2</v>
      </c>
    </row>
    <row r="67" spans="1:2" x14ac:dyDescent="0.25">
      <c r="A67" s="13">
        <v>17</v>
      </c>
      <c r="B67" s="13">
        <v>1.54E-2</v>
      </c>
    </row>
    <row r="68" spans="1:2" x14ac:dyDescent="0.25">
      <c r="A68" s="13">
        <v>17.2</v>
      </c>
      <c r="B68" s="13">
        <v>1.4800000000000001E-2</v>
      </c>
    </row>
    <row r="69" spans="1:2" x14ac:dyDescent="0.25">
      <c r="A69" s="13">
        <v>17.399999999999999</v>
      </c>
      <c r="B69" s="13">
        <v>1.4800000000000001E-2</v>
      </c>
    </row>
    <row r="70" spans="1:2" x14ac:dyDescent="0.25">
      <c r="A70" s="13">
        <v>17.600000000000001</v>
      </c>
      <c r="B70" s="13">
        <v>1.4500000000000001E-2</v>
      </c>
    </row>
    <row r="71" spans="1:2" x14ac:dyDescent="0.25">
      <c r="A71" s="13">
        <v>17.8</v>
      </c>
      <c r="B71" s="13">
        <v>1.4200000000000001E-2</v>
      </c>
    </row>
    <row r="72" spans="1:2" x14ac:dyDescent="0.25">
      <c r="A72" s="13">
        <v>18</v>
      </c>
      <c r="B72" s="13">
        <v>1.4200000000000001E-2</v>
      </c>
    </row>
    <row r="73" spans="1:2" x14ac:dyDescent="0.25">
      <c r="A73" s="13">
        <v>18.2</v>
      </c>
      <c r="B73" s="13">
        <v>1.38E-2</v>
      </c>
    </row>
    <row r="74" spans="1:2" x14ac:dyDescent="0.25">
      <c r="A74" s="13">
        <v>18.399999999999999</v>
      </c>
      <c r="B74" s="13">
        <v>1.3299999999999999E-2</v>
      </c>
    </row>
    <row r="75" spans="1:2" x14ac:dyDescent="0.25">
      <c r="A75" s="13">
        <v>18.600000000000001</v>
      </c>
      <c r="B75" s="13">
        <v>1.32E-2</v>
      </c>
    </row>
    <row r="76" spans="1:2" x14ac:dyDescent="0.25">
      <c r="A76" s="13">
        <v>18.8</v>
      </c>
      <c r="B76" s="13">
        <v>1.29E-2</v>
      </c>
    </row>
    <row r="77" spans="1:2" x14ac:dyDescent="0.25">
      <c r="A77" s="13">
        <v>19</v>
      </c>
      <c r="B77" s="13">
        <v>1.29E-2</v>
      </c>
    </row>
    <row r="78" spans="1:2" x14ac:dyDescent="0.25">
      <c r="A78" s="13">
        <v>19.2</v>
      </c>
      <c r="B78" s="13">
        <v>1.2E-2</v>
      </c>
    </row>
    <row r="79" spans="1:2" x14ac:dyDescent="0.25">
      <c r="A79" s="13">
        <v>19.399999999999999</v>
      </c>
      <c r="B79" s="13">
        <v>1.21E-2</v>
      </c>
    </row>
    <row r="80" spans="1:2" x14ac:dyDescent="0.25">
      <c r="A80" s="13">
        <v>19.600000000000001</v>
      </c>
      <c r="B80" s="13">
        <v>1.15E-2</v>
      </c>
    </row>
    <row r="81" spans="1:2" x14ac:dyDescent="0.25">
      <c r="A81" s="13">
        <v>19.8</v>
      </c>
      <c r="B81" s="13">
        <v>1.14E-2</v>
      </c>
    </row>
    <row r="82" spans="1:2" x14ac:dyDescent="0.25">
      <c r="A82" s="13">
        <v>20</v>
      </c>
      <c r="B82" s="13">
        <v>1.0999999999999999E-2</v>
      </c>
    </row>
    <row r="83" spans="1:2" x14ac:dyDescent="0.25">
      <c r="A83" s="13">
        <v>20.2</v>
      </c>
      <c r="B83" s="13">
        <v>1.0800000000000001E-2</v>
      </c>
    </row>
    <row r="84" spans="1:2" x14ac:dyDescent="0.25">
      <c r="A84" s="13">
        <v>20.399999999999999</v>
      </c>
      <c r="B84" s="13">
        <v>1.0500000000000001E-2</v>
      </c>
    </row>
    <row r="85" spans="1:2" x14ac:dyDescent="0.25">
      <c r="A85" s="13">
        <v>20.6</v>
      </c>
      <c r="B85" s="13">
        <v>1.0200000000000001E-2</v>
      </c>
    </row>
    <row r="86" spans="1:2" x14ac:dyDescent="0.25">
      <c r="A86" s="13">
        <v>20.8</v>
      </c>
      <c r="B86" s="13">
        <v>9.8499999999999994E-3</v>
      </c>
    </row>
    <row r="87" spans="1:2" x14ac:dyDescent="0.25">
      <c r="A87" s="13">
        <v>21</v>
      </c>
      <c r="B87" s="13">
        <v>9.4000000000000004E-3</v>
      </c>
    </row>
    <row r="88" spans="1:2" x14ac:dyDescent="0.25">
      <c r="A88" s="13">
        <v>21.2</v>
      </c>
      <c r="B88" s="13">
        <v>9.3600000000000003E-3</v>
      </c>
    </row>
    <row r="89" spans="1:2" x14ac:dyDescent="0.25">
      <c r="A89" s="13">
        <v>21.4</v>
      </c>
      <c r="B89" s="13">
        <v>8.9800000000000001E-3</v>
      </c>
    </row>
    <row r="90" spans="1:2" x14ac:dyDescent="0.25">
      <c r="A90" s="13">
        <v>21.6</v>
      </c>
      <c r="B90" s="13">
        <v>8.5400000000000007E-3</v>
      </c>
    </row>
    <row r="91" spans="1:2" x14ac:dyDescent="0.25">
      <c r="A91" s="13">
        <v>21.8</v>
      </c>
      <c r="B91" s="13">
        <v>8.5000000000000006E-3</v>
      </c>
    </row>
    <row r="92" spans="1:2" x14ac:dyDescent="0.25">
      <c r="A92" s="13">
        <v>22</v>
      </c>
      <c r="B92" s="13">
        <v>8.1300000000000001E-3</v>
      </c>
    </row>
    <row r="93" spans="1:2" x14ac:dyDescent="0.25">
      <c r="A93" s="13">
        <v>22.2</v>
      </c>
      <c r="B93" s="13">
        <v>7.7999999999999996E-3</v>
      </c>
    </row>
    <row r="94" spans="1:2" x14ac:dyDescent="0.25">
      <c r="A94" s="13">
        <v>22.4</v>
      </c>
      <c r="B94" s="13">
        <v>7.6299999999999996E-3</v>
      </c>
    </row>
    <row r="95" spans="1:2" x14ac:dyDescent="0.25">
      <c r="A95" s="13">
        <v>22.6</v>
      </c>
      <c r="B95" s="13">
        <v>7.1599999999999997E-3</v>
      </c>
    </row>
    <row r="96" spans="1:2" x14ac:dyDescent="0.25">
      <c r="A96" s="13">
        <v>22.8</v>
      </c>
      <c r="B96" s="13">
        <v>7.2500000000000004E-3</v>
      </c>
    </row>
    <row r="97" spans="1:2" x14ac:dyDescent="0.25">
      <c r="A97" s="13">
        <v>23</v>
      </c>
      <c r="B97" s="13">
        <v>6.6800000000000002E-3</v>
      </c>
    </row>
    <row r="98" spans="1:2" x14ac:dyDescent="0.25">
      <c r="A98" s="13">
        <v>23.2</v>
      </c>
      <c r="B98" s="13">
        <v>6.6E-3</v>
      </c>
    </row>
    <row r="99" spans="1:2" x14ac:dyDescent="0.25">
      <c r="A99" s="13">
        <v>23.4</v>
      </c>
      <c r="B99" s="13">
        <v>6.4000000000000003E-3</v>
      </c>
    </row>
    <row r="100" spans="1:2" x14ac:dyDescent="0.25">
      <c r="A100" s="13">
        <v>23.6</v>
      </c>
      <c r="B100" s="13">
        <v>6.0899999999999999E-3</v>
      </c>
    </row>
    <row r="101" spans="1:2" x14ac:dyDescent="0.25">
      <c r="A101" s="13">
        <v>23.8</v>
      </c>
      <c r="B101" s="13">
        <v>5.7600000000000004E-3</v>
      </c>
    </row>
    <row r="102" spans="1:2" x14ac:dyDescent="0.25">
      <c r="A102" s="13">
        <v>24</v>
      </c>
      <c r="B102" s="13">
        <v>5.6699999999999997E-3</v>
      </c>
    </row>
    <row r="103" spans="1:2" x14ac:dyDescent="0.25">
      <c r="A103" s="13">
        <v>24.2</v>
      </c>
      <c r="B103" s="13">
        <v>5.3099999999999996E-3</v>
      </c>
    </row>
    <row r="104" spans="1:2" x14ac:dyDescent="0.25">
      <c r="A104" s="13">
        <v>24.4</v>
      </c>
      <c r="B104" s="13">
        <v>5.1599999999999997E-3</v>
      </c>
    </row>
    <row r="105" spans="1:2" x14ac:dyDescent="0.25">
      <c r="A105" s="13">
        <v>24.6</v>
      </c>
      <c r="B105" s="13">
        <v>4.96E-3</v>
      </c>
    </row>
    <row r="106" spans="1:2" x14ac:dyDescent="0.25">
      <c r="A106" s="13">
        <v>24.8</v>
      </c>
      <c r="B106" s="13">
        <v>4.6800000000000001E-3</v>
      </c>
    </row>
    <row r="107" spans="1:2" x14ac:dyDescent="0.25">
      <c r="A107" s="13">
        <v>25</v>
      </c>
      <c r="B107" s="13">
        <v>4.45E-3</v>
      </c>
    </row>
    <row r="108" spans="1:2" x14ac:dyDescent="0.25">
      <c r="A108" s="13">
        <v>25.2</v>
      </c>
      <c r="B108" s="13">
        <v>4.3600000000000002E-3</v>
      </c>
    </row>
    <row r="109" spans="1:2" x14ac:dyDescent="0.25">
      <c r="A109" s="13">
        <v>25.4</v>
      </c>
      <c r="B109" s="13">
        <v>4.0099999999999997E-3</v>
      </c>
    </row>
    <row r="110" spans="1:2" x14ac:dyDescent="0.25">
      <c r="A110" s="13">
        <v>25.6</v>
      </c>
      <c r="B110" s="13">
        <v>3.9399999999999999E-3</v>
      </c>
    </row>
    <row r="111" spans="1:2" x14ac:dyDescent="0.25">
      <c r="A111" s="13">
        <v>25.8</v>
      </c>
      <c r="B111" s="13">
        <v>3.6900000000000001E-3</v>
      </c>
    </row>
    <row r="112" spans="1:2" x14ac:dyDescent="0.25">
      <c r="A112" s="13">
        <v>26</v>
      </c>
      <c r="B112" s="13">
        <v>3.47E-3</v>
      </c>
    </row>
    <row r="113" spans="1:2" x14ac:dyDescent="0.25">
      <c r="A113" s="13">
        <v>26.2</v>
      </c>
      <c r="B113" s="13">
        <v>3.4099999999999998E-3</v>
      </c>
    </row>
    <row r="114" spans="1:2" x14ac:dyDescent="0.25">
      <c r="A114" s="13">
        <v>26.4</v>
      </c>
      <c r="B114" s="13">
        <v>3.0799999999999998E-3</v>
      </c>
    </row>
    <row r="115" spans="1:2" x14ac:dyDescent="0.25">
      <c r="A115" s="13">
        <v>26.6</v>
      </c>
      <c r="B115" s="13">
        <v>3.0500000000000002E-3</v>
      </c>
    </row>
    <row r="116" spans="1:2" x14ac:dyDescent="0.25">
      <c r="A116" s="13">
        <v>26.8</v>
      </c>
      <c r="B116" s="13">
        <v>2.7299999999999998E-3</v>
      </c>
    </row>
    <row r="117" spans="1:2" x14ac:dyDescent="0.25">
      <c r="A117" s="13">
        <v>27</v>
      </c>
      <c r="B117" s="13">
        <v>2.6900000000000001E-3</v>
      </c>
    </row>
    <row r="118" spans="1:2" x14ac:dyDescent="0.25">
      <c r="A118" s="13">
        <v>27.2</v>
      </c>
      <c r="B118" s="13">
        <v>2.3700000000000001E-3</v>
      </c>
    </row>
    <row r="119" spans="1:2" x14ac:dyDescent="0.25">
      <c r="A119" s="13">
        <v>27.4</v>
      </c>
      <c r="B119" s="13">
        <v>2.32E-3</v>
      </c>
    </row>
    <row r="120" spans="1:2" x14ac:dyDescent="0.25">
      <c r="A120" s="13">
        <v>27.6</v>
      </c>
      <c r="B120" s="13">
        <v>2.0799999999999998E-3</v>
      </c>
    </row>
    <row r="121" spans="1:2" x14ac:dyDescent="0.25">
      <c r="A121" s="13">
        <v>27.8</v>
      </c>
      <c r="B121" s="13">
        <v>1.9599999999999999E-3</v>
      </c>
    </row>
    <row r="122" spans="1:2" x14ac:dyDescent="0.25">
      <c r="A122" s="13">
        <v>28</v>
      </c>
      <c r="B122" s="13">
        <v>1.8E-3</v>
      </c>
    </row>
    <row r="123" spans="1:2" x14ac:dyDescent="0.25">
      <c r="A123" s="13">
        <v>28.2</v>
      </c>
      <c r="B123" s="13">
        <v>1.67E-3</v>
      </c>
    </row>
    <row r="124" spans="1:2" x14ac:dyDescent="0.25">
      <c r="A124" s="13">
        <v>28.4</v>
      </c>
      <c r="B124" s="13">
        <v>1.5399999999999999E-3</v>
      </c>
    </row>
    <row r="125" spans="1:2" x14ac:dyDescent="0.25">
      <c r="A125" s="13">
        <v>28.6</v>
      </c>
      <c r="B125" s="13">
        <v>1.2800000000000001E-3</v>
      </c>
    </row>
    <row r="126" spans="1:2" x14ac:dyDescent="0.25">
      <c r="A126" s="13">
        <v>28.8</v>
      </c>
      <c r="B126" s="13">
        <v>1.23E-3</v>
      </c>
    </row>
    <row r="127" spans="1:2" x14ac:dyDescent="0.25">
      <c r="A127" s="13">
        <v>29</v>
      </c>
      <c r="B127" s="13">
        <v>1.0200000000000001E-3</v>
      </c>
    </row>
    <row r="128" spans="1:2" x14ac:dyDescent="0.25">
      <c r="A128" s="13">
        <v>29.2</v>
      </c>
      <c r="B128" s="13">
        <v>8.5700000000000001E-4</v>
      </c>
    </row>
    <row r="129" spans="1:2" x14ac:dyDescent="0.25">
      <c r="A129" s="13">
        <v>29.4</v>
      </c>
      <c r="B129" s="13">
        <v>7.1400000000000001E-4</v>
      </c>
    </row>
    <row r="130" spans="1:2" x14ac:dyDescent="0.25">
      <c r="A130" s="13">
        <v>29.6</v>
      </c>
      <c r="B130" s="13">
        <v>5.5999999999999995E-4</v>
      </c>
    </row>
    <row r="131" spans="1:2" x14ac:dyDescent="0.25">
      <c r="A131" s="13">
        <v>29.8</v>
      </c>
      <c r="B131" s="13">
        <v>3.5E-4</v>
      </c>
    </row>
    <row r="132" spans="1:2" x14ac:dyDescent="0.25">
      <c r="A132" s="13">
        <v>30</v>
      </c>
      <c r="B132" s="13">
        <v>1.01E-4</v>
      </c>
    </row>
    <row r="133" spans="1:2" x14ac:dyDescent="0.25">
      <c r="A133" s="13">
        <v>30.2</v>
      </c>
      <c r="B133" s="13">
        <v>6.5300000000000002E-6</v>
      </c>
    </row>
    <row r="134" spans="1:2" x14ac:dyDescent="0.25">
      <c r="A134" s="13">
        <v>30.4</v>
      </c>
      <c r="B134" s="13">
        <v>5.9699999999999996E-6</v>
      </c>
    </row>
    <row r="135" spans="1:2" x14ac:dyDescent="0.25">
      <c r="A135" s="13">
        <v>30.6</v>
      </c>
      <c r="B135" s="13">
        <v>3.7000000000000002E-6</v>
      </c>
    </row>
    <row r="136" spans="1:2" x14ac:dyDescent="0.25">
      <c r="A136" s="13">
        <v>30.8</v>
      </c>
      <c r="B136" s="13">
        <v>2.57E-6</v>
      </c>
    </row>
    <row r="137" spans="1:2" x14ac:dyDescent="0.25">
      <c r="A137" s="13">
        <v>31</v>
      </c>
      <c r="B137" s="13">
        <v>3.98E-6</v>
      </c>
    </row>
    <row r="138" spans="1:2" x14ac:dyDescent="0.25">
      <c r="A138" s="13">
        <v>31.2</v>
      </c>
      <c r="B138" s="13">
        <v>2.2400000000000002E-6</v>
      </c>
    </row>
    <row r="139" spans="1:2" x14ac:dyDescent="0.25">
      <c r="A139" s="13">
        <v>31.4</v>
      </c>
      <c r="B139" s="13">
        <v>3.7799999999999998E-6</v>
      </c>
    </row>
    <row r="140" spans="1:2" x14ac:dyDescent="0.25">
      <c r="A140" s="13">
        <v>31.6</v>
      </c>
      <c r="B140" s="13">
        <v>2.48E-6</v>
      </c>
    </row>
    <row r="141" spans="1:2" x14ac:dyDescent="0.25">
      <c r="A141" s="13">
        <v>31.8</v>
      </c>
      <c r="B141" s="13">
        <v>3.19E-6</v>
      </c>
    </row>
    <row r="142" spans="1:2" x14ac:dyDescent="0.25">
      <c r="A142" s="13">
        <v>32</v>
      </c>
      <c r="B142" s="13">
        <v>2.0499999999999999E-6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"/>
  <dimension ref="A1:B192"/>
  <sheetViews>
    <sheetView workbookViewId="0">
      <selection activeCell="N34" sqref="N34"/>
    </sheetView>
  </sheetViews>
  <sheetFormatPr defaultRowHeight="15" x14ac:dyDescent="0.25"/>
  <cols>
    <col min="1" max="1" width="16.42578125" style="4" customWidth="1"/>
    <col min="2" max="2" width="21" style="4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4</v>
      </c>
      <c r="B2" s="14">
        <v>4.6900000000000002E-4</v>
      </c>
    </row>
    <row r="3" spans="1:2" x14ac:dyDescent="0.25">
      <c r="A3" s="14">
        <v>4.2</v>
      </c>
      <c r="B3" s="14">
        <v>5.8900000000000002E-5</v>
      </c>
    </row>
    <row r="4" spans="1:2" x14ac:dyDescent="0.25">
      <c r="A4" s="14">
        <v>4.4000000000000004</v>
      </c>
      <c r="B4" s="14">
        <v>3.4699999999999998E-4</v>
      </c>
    </row>
    <row r="5" spans="1:2" x14ac:dyDescent="0.25">
      <c r="A5" s="14">
        <v>4.5999999999999996</v>
      </c>
      <c r="B5" s="14">
        <v>2.3499999999999999E-4</v>
      </c>
    </row>
    <row r="6" spans="1:2" x14ac:dyDescent="0.25">
      <c r="A6" s="14">
        <v>4.8</v>
      </c>
      <c r="B6" s="14">
        <v>3.0200000000000002E-4</v>
      </c>
    </row>
    <row r="7" spans="1:2" x14ac:dyDescent="0.25">
      <c r="A7" s="14">
        <v>5</v>
      </c>
      <c r="B7" s="14">
        <v>6.4400000000000004E-4</v>
      </c>
    </row>
    <row r="8" spans="1:2" x14ac:dyDescent="0.25">
      <c r="A8" s="14">
        <v>5.2</v>
      </c>
      <c r="B8" s="14">
        <v>2.5599999999999999E-4</v>
      </c>
    </row>
    <row r="9" spans="1:2" x14ac:dyDescent="0.25">
      <c r="A9" s="14">
        <v>5.4</v>
      </c>
      <c r="B9" s="14">
        <v>4.2499999999999998E-4</v>
      </c>
    </row>
    <row r="10" spans="1:2" x14ac:dyDescent="0.25">
      <c r="A10" s="14">
        <v>5.6</v>
      </c>
      <c r="B10" s="14">
        <v>1.4300000000000001E-4</v>
      </c>
    </row>
    <row r="11" spans="1:2" x14ac:dyDescent="0.25">
      <c r="A11" s="14">
        <v>5.8</v>
      </c>
      <c r="B11" s="14">
        <v>4.1399999999999998E-4</v>
      </c>
    </row>
    <row r="12" spans="1:2" x14ac:dyDescent="0.25">
      <c r="A12" s="14">
        <v>6</v>
      </c>
      <c r="B12" s="14">
        <v>3.0600000000000001E-4</v>
      </c>
    </row>
    <row r="13" spans="1:2" x14ac:dyDescent="0.25">
      <c r="A13" s="14">
        <v>6.2</v>
      </c>
      <c r="B13" s="14">
        <v>4.84E-4</v>
      </c>
    </row>
    <row r="14" spans="1:2" x14ac:dyDescent="0.25">
      <c r="A14" s="14">
        <v>6.4</v>
      </c>
      <c r="B14" s="14">
        <v>4.6200000000000001E-4</v>
      </c>
    </row>
    <row r="15" spans="1:2" x14ac:dyDescent="0.25">
      <c r="A15" s="14">
        <v>6.6</v>
      </c>
      <c r="B15" s="14">
        <v>3.2200000000000002E-4</v>
      </c>
    </row>
    <row r="16" spans="1:2" x14ac:dyDescent="0.25">
      <c r="A16" s="14">
        <v>6.8</v>
      </c>
      <c r="B16" s="14">
        <v>2.3900000000000001E-4</v>
      </c>
    </row>
    <row r="17" spans="1:2" x14ac:dyDescent="0.25">
      <c r="A17" s="14">
        <v>7</v>
      </c>
      <c r="B17" s="14">
        <v>4.9200000000000003E-4</v>
      </c>
    </row>
    <row r="18" spans="1:2" x14ac:dyDescent="0.25">
      <c r="A18" s="14">
        <v>7.2</v>
      </c>
      <c r="B18" s="14">
        <v>4.32E-5</v>
      </c>
    </row>
    <row r="19" spans="1:2" x14ac:dyDescent="0.25">
      <c r="A19" s="14">
        <v>7.4</v>
      </c>
      <c r="B19" s="14">
        <v>5.0199999999999995E-4</v>
      </c>
    </row>
    <row r="20" spans="1:2" x14ac:dyDescent="0.25">
      <c r="A20" s="14">
        <v>7.6</v>
      </c>
      <c r="B20" s="14">
        <v>3.2600000000000001E-4</v>
      </c>
    </row>
    <row r="21" spans="1:2" x14ac:dyDescent="0.25">
      <c r="A21" s="14">
        <v>7.8</v>
      </c>
      <c r="B21" s="14">
        <v>7.7799999999999994E-5</v>
      </c>
    </row>
    <row r="22" spans="1:2" x14ac:dyDescent="0.25">
      <c r="A22" s="14">
        <v>8</v>
      </c>
      <c r="B22" s="14">
        <v>3.0299999999999999E-4</v>
      </c>
    </row>
    <row r="23" spans="1:2" x14ac:dyDescent="0.25">
      <c r="A23" s="14">
        <v>8.1999999999999993</v>
      </c>
      <c r="B23" s="14">
        <v>1.8100000000000001E-4</v>
      </c>
    </row>
    <row r="24" spans="1:2" x14ac:dyDescent="0.25">
      <c r="A24" s="14">
        <v>8.4</v>
      </c>
      <c r="B24" s="14">
        <v>2.5000000000000001E-4</v>
      </c>
    </row>
    <row r="25" spans="1:2" x14ac:dyDescent="0.25">
      <c r="A25" s="14">
        <v>8.6</v>
      </c>
      <c r="B25" s="14">
        <v>3.77E-4</v>
      </c>
    </row>
    <row r="26" spans="1:2" x14ac:dyDescent="0.25">
      <c r="A26" s="14">
        <v>8.8000000000000007</v>
      </c>
      <c r="B26" s="14">
        <v>3.5399999999999999E-4</v>
      </c>
    </row>
    <row r="27" spans="1:2" x14ac:dyDescent="0.25">
      <c r="A27" s="14">
        <v>9</v>
      </c>
      <c r="B27" s="14">
        <v>4.6999999999999999E-4</v>
      </c>
    </row>
    <row r="28" spans="1:2" x14ac:dyDescent="0.25">
      <c r="A28" s="14">
        <v>9.1999999999999993</v>
      </c>
      <c r="B28" s="14">
        <v>2.12E-4</v>
      </c>
    </row>
    <row r="29" spans="1:2" x14ac:dyDescent="0.25">
      <c r="A29" s="14">
        <v>9.4</v>
      </c>
      <c r="B29" s="14">
        <v>1.7000000000000001E-4</v>
      </c>
    </row>
    <row r="30" spans="1:2" x14ac:dyDescent="0.25">
      <c r="A30" s="14">
        <v>9.6</v>
      </c>
      <c r="B30" s="14">
        <v>7.9000000000000001E-4</v>
      </c>
    </row>
    <row r="31" spans="1:2" x14ac:dyDescent="0.25">
      <c r="A31" s="14">
        <v>9.8000000000000007</v>
      </c>
      <c r="B31" s="14">
        <v>1.16E-3</v>
      </c>
    </row>
    <row r="32" spans="1:2" x14ac:dyDescent="0.25">
      <c r="A32" s="14">
        <v>10</v>
      </c>
      <c r="B32" s="14">
        <v>1.4E-3</v>
      </c>
    </row>
    <row r="33" spans="1:2" x14ac:dyDescent="0.25">
      <c r="A33" s="14">
        <v>10.199999999999999</v>
      </c>
      <c r="B33" s="14">
        <v>6.3199999999999997E-4</v>
      </c>
    </row>
    <row r="34" spans="1:2" x14ac:dyDescent="0.25">
      <c r="A34" s="14">
        <v>10.4</v>
      </c>
      <c r="B34" s="14">
        <v>6.8499999999999995E-4</v>
      </c>
    </row>
    <row r="35" spans="1:2" x14ac:dyDescent="0.25">
      <c r="A35" s="14">
        <v>10.6</v>
      </c>
      <c r="B35" s="14">
        <v>6.1200000000000002E-4</v>
      </c>
    </row>
    <row r="36" spans="1:2" x14ac:dyDescent="0.25">
      <c r="A36" s="14">
        <v>10.8</v>
      </c>
      <c r="B36" s="14">
        <v>1.0499999999999999E-3</v>
      </c>
    </row>
    <row r="37" spans="1:2" x14ac:dyDescent="0.25">
      <c r="A37" s="14">
        <v>11</v>
      </c>
      <c r="B37" s="14">
        <v>7.6800000000000002E-4</v>
      </c>
    </row>
    <row r="38" spans="1:2" x14ac:dyDescent="0.25">
      <c r="A38" s="14">
        <v>11.2</v>
      </c>
      <c r="B38" s="14">
        <v>2.5000000000000001E-3</v>
      </c>
    </row>
    <row r="39" spans="1:2" x14ac:dyDescent="0.25">
      <c r="A39" s="14">
        <v>11.4</v>
      </c>
      <c r="B39" s="14">
        <v>2.9199999999999999E-3</v>
      </c>
    </row>
    <row r="40" spans="1:2" x14ac:dyDescent="0.25">
      <c r="A40" s="14">
        <v>11.6</v>
      </c>
      <c r="B40" s="14">
        <v>2.32E-3</v>
      </c>
    </row>
    <row r="41" spans="1:2" x14ac:dyDescent="0.25">
      <c r="A41" s="14">
        <v>11.8</v>
      </c>
      <c r="B41" s="14">
        <v>2.5699999999999998E-3</v>
      </c>
    </row>
    <row r="42" spans="1:2" x14ac:dyDescent="0.25">
      <c r="A42" s="14">
        <v>12</v>
      </c>
      <c r="B42" s="14">
        <v>2.14E-3</v>
      </c>
    </row>
    <row r="43" spans="1:2" x14ac:dyDescent="0.25">
      <c r="A43" s="14">
        <v>12.2</v>
      </c>
      <c r="B43" s="14">
        <v>2.63E-3</v>
      </c>
    </row>
    <row r="44" spans="1:2" x14ac:dyDescent="0.25">
      <c r="A44" s="14">
        <v>12.4</v>
      </c>
      <c r="B44" s="14">
        <v>2.4299999999999999E-3</v>
      </c>
    </row>
    <row r="45" spans="1:2" x14ac:dyDescent="0.25">
      <c r="A45" s="14">
        <v>12.6</v>
      </c>
      <c r="B45" s="14">
        <v>2.9299999999999999E-3</v>
      </c>
    </row>
    <row r="46" spans="1:2" x14ac:dyDescent="0.25">
      <c r="A46" s="14">
        <v>12.8</v>
      </c>
      <c r="B46" s="14">
        <v>3.4099999999999998E-3</v>
      </c>
    </row>
    <row r="47" spans="1:2" x14ac:dyDescent="0.25">
      <c r="A47" s="14">
        <v>13</v>
      </c>
      <c r="B47" s="14">
        <v>4.0000000000000001E-3</v>
      </c>
    </row>
    <row r="48" spans="1:2" x14ac:dyDescent="0.25">
      <c r="A48" s="14">
        <v>13.2</v>
      </c>
      <c r="B48" s="14">
        <v>4.28E-3</v>
      </c>
    </row>
    <row r="49" spans="1:2" x14ac:dyDescent="0.25">
      <c r="A49" s="14">
        <v>13.4</v>
      </c>
      <c r="B49" s="14">
        <v>4.9699999999999996E-3</v>
      </c>
    </row>
    <row r="50" spans="1:2" x14ac:dyDescent="0.25">
      <c r="A50" s="14">
        <v>13.6</v>
      </c>
      <c r="B50" s="14">
        <v>5.0200000000000002E-3</v>
      </c>
    </row>
    <row r="51" spans="1:2" x14ac:dyDescent="0.25">
      <c r="A51" s="14">
        <v>13.8</v>
      </c>
      <c r="B51" s="14">
        <v>6.0600000000000003E-3</v>
      </c>
    </row>
    <row r="52" spans="1:2" x14ac:dyDescent="0.25">
      <c r="A52" s="14">
        <v>14</v>
      </c>
      <c r="B52" s="14">
        <v>6.0600000000000003E-3</v>
      </c>
    </row>
    <row r="53" spans="1:2" x14ac:dyDescent="0.25">
      <c r="A53" s="14">
        <v>14.2</v>
      </c>
      <c r="B53" s="14">
        <v>7.2100000000000003E-3</v>
      </c>
    </row>
    <row r="54" spans="1:2" x14ac:dyDescent="0.25">
      <c r="A54" s="14">
        <v>14.4</v>
      </c>
      <c r="B54" s="14">
        <v>7.3400000000000002E-3</v>
      </c>
    </row>
    <row r="55" spans="1:2" x14ac:dyDescent="0.25">
      <c r="A55" s="14">
        <v>14.6</v>
      </c>
      <c r="B55" s="14">
        <v>7.9600000000000001E-3</v>
      </c>
    </row>
    <row r="56" spans="1:2" x14ac:dyDescent="0.25">
      <c r="A56" s="14">
        <v>14.8</v>
      </c>
      <c r="B56" s="14">
        <v>8.5000000000000006E-3</v>
      </c>
    </row>
    <row r="57" spans="1:2" x14ac:dyDescent="0.25">
      <c r="A57" s="14">
        <v>15</v>
      </c>
      <c r="B57" s="14">
        <v>8.9899999999999997E-3</v>
      </c>
    </row>
    <row r="58" spans="1:2" x14ac:dyDescent="0.25">
      <c r="A58" s="14">
        <v>15.2</v>
      </c>
      <c r="B58" s="14">
        <v>9.6500000000000006E-3</v>
      </c>
    </row>
    <row r="59" spans="1:2" x14ac:dyDescent="0.25">
      <c r="A59" s="14">
        <v>15.4</v>
      </c>
      <c r="B59" s="14">
        <v>9.8200000000000006E-3</v>
      </c>
    </row>
    <row r="60" spans="1:2" x14ac:dyDescent="0.25">
      <c r="A60" s="14">
        <v>15.6</v>
      </c>
      <c r="B60" s="14">
        <v>1.03E-2</v>
      </c>
    </row>
    <row r="61" spans="1:2" x14ac:dyDescent="0.25">
      <c r="A61" s="14">
        <v>15.8</v>
      </c>
      <c r="B61" s="14">
        <v>1.09E-2</v>
      </c>
    </row>
    <row r="62" spans="1:2" x14ac:dyDescent="0.25">
      <c r="A62" s="14">
        <v>16</v>
      </c>
      <c r="B62" s="14">
        <v>1.09E-2</v>
      </c>
    </row>
    <row r="63" spans="1:2" x14ac:dyDescent="0.25">
      <c r="A63" s="14">
        <v>16.2</v>
      </c>
      <c r="B63" s="14">
        <v>1.15E-2</v>
      </c>
    </row>
    <row r="64" spans="1:2" x14ac:dyDescent="0.25">
      <c r="A64" s="14">
        <v>16.399999999999999</v>
      </c>
      <c r="B64" s="14">
        <v>1.18E-2</v>
      </c>
    </row>
    <row r="65" spans="1:2" x14ac:dyDescent="0.25">
      <c r="A65" s="14">
        <v>16.600000000000001</v>
      </c>
      <c r="B65" s="14">
        <v>1.23E-2</v>
      </c>
    </row>
    <row r="66" spans="1:2" x14ac:dyDescent="0.25">
      <c r="A66" s="14">
        <v>16.8</v>
      </c>
      <c r="B66" s="14">
        <v>1.2200000000000001E-2</v>
      </c>
    </row>
    <row r="67" spans="1:2" x14ac:dyDescent="0.25">
      <c r="A67" s="14">
        <v>17</v>
      </c>
      <c r="B67" s="14">
        <v>1.26E-2</v>
      </c>
    </row>
    <row r="68" spans="1:2" x14ac:dyDescent="0.25">
      <c r="A68" s="14">
        <v>17.2</v>
      </c>
      <c r="B68" s="14">
        <v>1.2999999999999999E-2</v>
      </c>
    </row>
    <row r="69" spans="1:2" x14ac:dyDescent="0.25">
      <c r="A69" s="14">
        <v>17.399999999999999</v>
      </c>
      <c r="B69" s="14">
        <v>1.3100000000000001E-2</v>
      </c>
    </row>
    <row r="70" spans="1:2" x14ac:dyDescent="0.25">
      <c r="A70" s="14">
        <v>17.600000000000001</v>
      </c>
      <c r="B70" s="14">
        <v>1.3100000000000001E-2</v>
      </c>
    </row>
    <row r="71" spans="1:2" x14ac:dyDescent="0.25">
      <c r="A71" s="14">
        <v>17.8</v>
      </c>
      <c r="B71" s="14">
        <v>1.34E-2</v>
      </c>
    </row>
    <row r="72" spans="1:2" x14ac:dyDescent="0.25">
      <c r="A72" s="14">
        <v>18</v>
      </c>
      <c r="B72" s="14">
        <v>1.35E-2</v>
      </c>
    </row>
    <row r="73" spans="1:2" x14ac:dyDescent="0.25">
      <c r="A73" s="14">
        <v>18.2</v>
      </c>
      <c r="B73" s="14">
        <v>1.3599999999999999E-2</v>
      </c>
    </row>
    <row r="74" spans="1:2" x14ac:dyDescent="0.25">
      <c r="A74" s="14">
        <v>18.399999999999999</v>
      </c>
      <c r="B74" s="14">
        <v>1.38E-2</v>
      </c>
    </row>
    <row r="75" spans="1:2" x14ac:dyDescent="0.25">
      <c r="A75" s="14">
        <v>18.600000000000001</v>
      </c>
      <c r="B75" s="14">
        <v>1.35E-2</v>
      </c>
    </row>
    <row r="76" spans="1:2" x14ac:dyDescent="0.25">
      <c r="A76" s="14">
        <v>18.8</v>
      </c>
      <c r="B76" s="14">
        <v>1.3899999999999999E-2</v>
      </c>
    </row>
    <row r="77" spans="1:2" x14ac:dyDescent="0.25">
      <c r="A77" s="14">
        <v>19</v>
      </c>
      <c r="B77" s="14">
        <v>1.37E-2</v>
      </c>
    </row>
    <row r="78" spans="1:2" x14ac:dyDescent="0.25">
      <c r="A78" s="14">
        <v>19.2</v>
      </c>
      <c r="B78" s="14">
        <v>1.3899999999999999E-2</v>
      </c>
    </row>
    <row r="79" spans="1:2" x14ac:dyDescent="0.25">
      <c r="A79" s="14">
        <v>19.399999999999999</v>
      </c>
      <c r="B79" s="14">
        <v>1.3599999999999999E-2</v>
      </c>
    </row>
    <row r="80" spans="1:2" x14ac:dyDescent="0.25">
      <c r="A80" s="14">
        <v>19.600000000000001</v>
      </c>
      <c r="B80" s="14">
        <v>1.38E-2</v>
      </c>
    </row>
    <row r="81" spans="1:2" x14ac:dyDescent="0.25">
      <c r="A81" s="14">
        <v>19.8</v>
      </c>
      <c r="B81" s="14">
        <v>1.3599999999999999E-2</v>
      </c>
    </row>
    <row r="82" spans="1:2" x14ac:dyDescent="0.25">
      <c r="A82" s="14">
        <v>20</v>
      </c>
      <c r="B82" s="14">
        <v>1.3599999999999999E-2</v>
      </c>
    </row>
    <row r="83" spans="1:2" x14ac:dyDescent="0.25">
      <c r="A83" s="14">
        <v>20.2</v>
      </c>
      <c r="B83" s="14">
        <v>1.34E-2</v>
      </c>
    </row>
    <row r="84" spans="1:2" x14ac:dyDescent="0.25">
      <c r="A84" s="14">
        <v>20.399999999999999</v>
      </c>
      <c r="B84" s="14">
        <v>1.34E-2</v>
      </c>
    </row>
    <row r="85" spans="1:2" x14ac:dyDescent="0.25">
      <c r="A85" s="14">
        <v>20.6</v>
      </c>
      <c r="B85" s="14">
        <v>1.32E-2</v>
      </c>
    </row>
    <row r="86" spans="1:2" x14ac:dyDescent="0.25">
      <c r="A86" s="14">
        <v>20.8</v>
      </c>
      <c r="B86" s="14">
        <v>1.32E-2</v>
      </c>
    </row>
    <row r="87" spans="1:2" x14ac:dyDescent="0.25">
      <c r="A87" s="14">
        <v>21</v>
      </c>
      <c r="B87" s="14">
        <v>1.2999999999999999E-2</v>
      </c>
    </row>
    <row r="88" spans="1:2" x14ac:dyDescent="0.25">
      <c r="A88" s="14">
        <v>21.2</v>
      </c>
      <c r="B88" s="14">
        <v>1.2999999999999999E-2</v>
      </c>
    </row>
    <row r="89" spans="1:2" x14ac:dyDescent="0.25">
      <c r="A89" s="14">
        <v>21.4</v>
      </c>
      <c r="B89" s="14">
        <v>1.2800000000000001E-2</v>
      </c>
    </row>
    <row r="90" spans="1:2" x14ac:dyDescent="0.25">
      <c r="A90" s="14">
        <v>21.6</v>
      </c>
      <c r="B90" s="14">
        <v>1.2500000000000001E-2</v>
      </c>
    </row>
    <row r="91" spans="1:2" x14ac:dyDescent="0.25">
      <c r="A91" s="14">
        <v>21.8</v>
      </c>
      <c r="B91" s="14">
        <v>1.23E-2</v>
      </c>
    </row>
    <row r="92" spans="1:2" x14ac:dyDescent="0.25">
      <c r="A92" s="14">
        <v>22</v>
      </c>
      <c r="B92" s="14">
        <v>1.2200000000000001E-2</v>
      </c>
    </row>
    <row r="93" spans="1:2" x14ac:dyDescent="0.25">
      <c r="A93" s="14">
        <v>22.2</v>
      </c>
      <c r="B93" s="14">
        <v>1.2E-2</v>
      </c>
    </row>
    <row r="94" spans="1:2" x14ac:dyDescent="0.25">
      <c r="A94" s="14">
        <v>22.4</v>
      </c>
      <c r="B94" s="14">
        <v>1.1900000000000001E-2</v>
      </c>
    </row>
    <row r="95" spans="1:2" x14ac:dyDescent="0.25">
      <c r="A95" s="14">
        <v>22.6</v>
      </c>
      <c r="B95" s="14">
        <v>1.18E-2</v>
      </c>
    </row>
    <row r="96" spans="1:2" x14ac:dyDescent="0.25">
      <c r="A96" s="14">
        <v>22.8</v>
      </c>
      <c r="B96" s="14">
        <v>1.14E-2</v>
      </c>
    </row>
    <row r="97" spans="1:2" x14ac:dyDescent="0.25">
      <c r="A97" s="14">
        <v>23</v>
      </c>
      <c r="B97" s="14">
        <v>1.14E-2</v>
      </c>
    </row>
    <row r="98" spans="1:2" x14ac:dyDescent="0.25">
      <c r="A98" s="14">
        <v>23.2</v>
      </c>
      <c r="B98" s="14">
        <v>1.11E-2</v>
      </c>
    </row>
    <row r="99" spans="1:2" x14ac:dyDescent="0.25">
      <c r="A99" s="14">
        <v>23.4</v>
      </c>
      <c r="B99" s="14">
        <v>1.09E-2</v>
      </c>
    </row>
    <row r="100" spans="1:2" x14ac:dyDescent="0.25">
      <c r="A100" s="14">
        <v>23.6</v>
      </c>
      <c r="B100" s="14">
        <v>1.0699999999999999E-2</v>
      </c>
    </row>
    <row r="101" spans="1:2" x14ac:dyDescent="0.25">
      <c r="A101" s="14">
        <v>23.8</v>
      </c>
      <c r="B101" s="14">
        <v>1.0500000000000001E-2</v>
      </c>
    </row>
    <row r="102" spans="1:2" x14ac:dyDescent="0.25">
      <c r="A102" s="14">
        <v>24</v>
      </c>
      <c r="B102" s="14">
        <v>1.04E-2</v>
      </c>
    </row>
    <row r="103" spans="1:2" x14ac:dyDescent="0.25">
      <c r="A103" s="14">
        <v>24.2</v>
      </c>
      <c r="B103" s="14">
        <v>0.01</v>
      </c>
    </row>
    <row r="104" spans="1:2" x14ac:dyDescent="0.25">
      <c r="A104" s="14">
        <v>24.4</v>
      </c>
      <c r="B104" s="14">
        <v>0.01</v>
      </c>
    </row>
    <row r="105" spans="1:2" x14ac:dyDescent="0.25">
      <c r="A105" s="14">
        <v>24.6</v>
      </c>
      <c r="B105" s="14">
        <v>9.6500000000000006E-3</v>
      </c>
    </row>
    <row r="106" spans="1:2" x14ac:dyDescent="0.25">
      <c r="A106" s="14">
        <v>24.8</v>
      </c>
      <c r="B106" s="14">
        <v>9.5300000000000003E-3</v>
      </c>
    </row>
    <row r="107" spans="1:2" x14ac:dyDescent="0.25">
      <c r="A107" s="14">
        <v>25</v>
      </c>
      <c r="B107" s="14">
        <v>9.3500000000000007E-3</v>
      </c>
    </row>
    <row r="108" spans="1:2" x14ac:dyDescent="0.25">
      <c r="A108" s="14">
        <v>25.2</v>
      </c>
      <c r="B108" s="14">
        <v>9.0500000000000008E-3</v>
      </c>
    </row>
    <row r="109" spans="1:2" x14ac:dyDescent="0.25">
      <c r="A109" s="14">
        <v>25.4</v>
      </c>
      <c r="B109" s="14">
        <v>8.8599999999999998E-3</v>
      </c>
    </row>
    <row r="110" spans="1:2" x14ac:dyDescent="0.25">
      <c r="A110" s="14">
        <v>25.6</v>
      </c>
      <c r="B110" s="14">
        <v>8.7899999999999992E-3</v>
      </c>
    </row>
    <row r="111" spans="1:2" x14ac:dyDescent="0.25">
      <c r="A111" s="14">
        <v>25.8</v>
      </c>
      <c r="B111" s="14">
        <v>8.4899999999999993E-3</v>
      </c>
    </row>
    <row r="112" spans="1:2" x14ac:dyDescent="0.25">
      <c r="A112" s="14">
        <v>26</v>
      </c>
      <c r="B112" s="14">
        <v>8.3300000000000006E-3</v>
      </c>
    </row>
    <row r="113" spans="1:2" x14ac:dyDescent="0.25">
      <c r="A113" s="14">
        <v>26.2</v>
      </c>
      <c r="B113" s="14">
        <v>8.0999999999999996E-3</v>
      </c>
    </row>
    <row r="114" spans="1:2" x14ac:dyDescent="0.25">
      <c r="A114" s="14">
        <v>26.4</v>
      </c>
      <c r="B114" s="14">
        <v>8.0400000000000003E-3</v>
      </c>
    </row>
    <row r="115" spans="1:2" x14ac:dyDescent="0.25">
      <c r="A115" s="14">
        <v>26.6</v>
      </c>
      <c r="B115" s="14">
        <v>7.7999999999999996E-3</v>
      </c>
    </row>
    <row r="116" spans="1:2" x14ac:dyDescent="0.25">
      <c r="A116" s="14">
        <v>26.8</v>
      </c>
      <c r="B116" s="14">
        <v>7.5300000000000002E-3</v>
      </c>
    </row>
    <row r="117" spans="1:2" x14ac:dyDescent="0.25">
      <c r="A117" s="14">
        <v>27</v>
      </c>
      <c r="B117" s="14">
        <v>7.5700000000000003E-3</v>
      </c>
    </row>
    <row r="118" spans="1:2" x14ac:dyDescent="0.25">
      <c r="A118" s="14">
        <v>27.2</v>
      </c>
      <c r="B118" s="14">
        <v>7.1799999999999998E-3</v>
      </c>
    </row>
    <row r="119" spans="1:2" x14ac:dyDescent="0.25">
      <c r="A119" s="14">
        <v>27.4</v>
      </c>
      <c r="B119" s="14">
        <v>7.0000000000000001E-3</v>
      </c>
    </row>
    <row r="120" spans="1:2" x14ac:dyDescent="0.25">
      <c r="A120" s="14">
        <v>27.6</v>
      </c>
      <c r="B120" s="14">
        <v>6.8799999999999998E-3</v>
      </c>
    </row>
    <row r="121" spans="1:2" x14ac:dyDescent="0.25">
      <c r="A121" s="14">
        <v>27.8</v>
      </c>
      <c r="B121" s="14">
        <v>6.7000000000000002E-3</v>
      </c>
    </row>
    <row r="122" spans="1:2" x14ac:dyDescent="0.25">
      <c r="A122" s="14">
        <v>28</v>
      </c>
      <c r="B122" s="14">
        <v>6.5399999999999998E-3</v>
      </c>
    </row>
    <row r="123" spans="1:2" x14ac:dyDescent="0.25">
      <c r="A123" s="14">
        <v>28.2</v>
      </c>
      <c r="B123" s="14">
        <v>6.3299999999999997E-3</v>
      </c>
    </row>
    <row r="124" spans="1:2" x14ac:dyDescent="0.25">
      <c r="A124" s="14">
        <v>28.4</v>
      </c>
      <c r="B124" s="14">
        <v>6.2599999999999999E-3</v>
      </c>
    </row>
    <row r="125" spans="1:2" x14ac:dyDescent="0.25">
      <c r="A125" s="14">
        <v>28.6</v>
      </c>
      <c r="B125" s="14">
        <v>5.9800000000000001E-3</v>
      </c>
    </row>
    <row r="126" spans="1:2" x14ac:dyDescent="0.25">
      <c r="A126" s="14">
        <v>28.8</v>
      </c>
      <c r="B126" s="14">
        <v>5.8900000000000003E-3</v>
      </c>
    </row>
    <row r="127" spans="1:2" x14ac:dyDescent="0.25">
      <c r="A127" s="14">
        <v>29</v>
      </c>
      <c r="B127" s="14">
        <v>5.7000000000000002E-3</v>
      </c>
    </row>
    <row r="128" spans="1:2" x14ac:dyDescent="0.25">
      <c r="A128" s="14">
        <v>29.2</v>
      </c>
      <c r="B128" s="14">
        <v>5.4799999999999996E-3</v>
      </c>
    </row>
    <row r="129" spans="1:2" x14ac:dyDescent="0.25">
      <c r="A129" s="14">
        <v>29.4</v>
      </c>
      <c r="B129" s="14">
        <v>5.4799999999999996E-3</v>
      </c>
    </row>
    <row r="130" spans="1:2" x14ac:dyDescent="0.25">
      <c r="A130" s="14">
        <v>29.6</v>
      </c>
      <c r="B130" s="14">
        <v>5.1700000000000001E-3</v>
      </c>
    </row>
    <row r="131" spans="1:2" x14ac:dyDescent="0.25">
      <c r="A131" s="14">
        <v>29.8</v>
      </c>
      <c r="B131" s="14">
        <v>5.13E-3</v>
      </c>
    </row>
    <row r="132" spans="1:2" x14ac:dyDescent="0.25">
      <c r="A132" s="14">
        <v>30</v>
      </c>
      <c r="B132" s="14">
        <v>4.9199999999999999E-3</v>
      </c>
    </row>
    <row r="133" spans="1:2" x14ac:dyDescent="0.25">
      <c r="A133" s="14">
        <v>30.2</v>
      </c>
      <c r="B133" s="14">
        <v>4.8799999999999998E-3</v>
      </c>
    </row>
    <row r="134" spans="1:2" x14ac:dyDescent="0.25">
      <c r="A134" s="14">
        <v>30.4</v>
      </c>
      <c r="B134" s="14">
        <v>4.5900000000000003E-3</v>
      </c>
    </row>
    <row r="135" spans="1:2" x14ac:dyDescent="0.25">
      <c r="A135" s="14">
        <v>30.6</v>
      </c>
      <c r="B135" s="14">
        <v>4.64E-3</v>
      </c>
    </row>
    <row r="136" spans="1:2" x14ac:dyDescent="0.25">
      <c r="A136" s="14">
        <v>30.8</v>
      </c>
      <c r="B136" s="14">
        <v>4.4400000000000004E-3</v>
      </c>
    </row>
    <row r="137" spans="1:2" x14ac:dyDescent="0.25">
      <c r="A137" s="14">
        <v>31</v>
      </c>
      <c r="B137" s="14">
        <v>4.2900000000000004E-3</v>
      </c>
    </row>
    <row r="138" spans="1:2" x14ac:dyDescent="0.25">
      <c r="A138" s="14">
        <v>31.2</v>
      </c>
      <c r="B138" s="14">
        <v>4.1399999999999996E-3</v>
      </c>
    </row>
    <row r="139" spans="1:2" x14ac:dyDescent="0.25">
      <c r="A139" s="14">
        <v>31.4</v>
      </c>
      <c r="B139" s="14">
        <v>4.0800000000000003E-3</v>
      </c>
    </row>
    <row r="140" spans="1:2" x14ac:dyDescent="0.25">
      <c r="A140" s="14">
        <v>31.6</v>
      </c>
      <c r="B140" s="14">
        <v>3.8899999999999998E-3</v>
      </c>
    </row>
    <row r="141" spans="1:2" x14ac:dyDescent="0.25">
      <c r="A141" s="14">
        <v>31.8</v>
      </c>
      <c r="B141" s="14">
        <v>3.8700000000000002E-3</v>
      </c>
    </row>
    <row r="142" spans="1:2" x14ac:dyDescent="0.25">
      <c r="A142" s="14">
        <v>32</v>
      </c>
      <c r="B142" s="14">
        <v>3.5999999999999999E-3</v>
      </c>
    </row>
    <row r="143" spans="1:2" x14ac:dyDescent="0.25">
      <c r="A143" s="14">
        <v>32.200000000000003</v>
      </c>
      <c r="B143" s="14">
        <v>3.6600000000000001E-3</v>
      </c>
    </row>
    <row r="144" spans="1:2" x14ac:dyDescent="0.25">
      <c r="A144" s="14">
        <v>32.4</v>
      </c>
      <c r="B144" s="14">
        <v>3.4299999999999999E-3</v>
      </c>
    </row>
    <row r="145" spans="1:2" x14ac:dyDescent="0.25">
      <c r="A145" s="14">
        <v>32.6</v>
      </c>
      <c r="B145" s="14">
        <v>3.3800000000000002E-3</v>
      </c>
    </row>
    <row r="146" spans="1:2" x14ac:dyDescent="0.25">
      <c r="A146" s="14">
        <v>32.799999999999997</v>
      </c>
      <c r="B146" s="14">
        <v>3.1900000000000001E-3</v>
      </c>
    </row>
    <row r="147" spans="1:2" x14ac:dyDescent="0.25">
      <c r="A147" s="14">
        <v>33</v>
      </c>
      <c r="B147" s="14">
        <v>3.1700000000000001E-3</v>
      </c>
    </row>
    <row r="148" spans="1:2" x14ac:dyDescent="0.25">
      <c r="A148" s="14">
        <v>33.200000000000003</v>
      </c>
      <c r="B148" s="14">
        <v>3.0599999999999998E-3</v>
      </c>
    </row>
    <row r="149" spans="1:2" x14ac:dyDescent="0.25">
      <c r="A149" s="14">
        <v>33.4</v>
      </c>
      <c r="B149" s="14">
        <v>2.9399999999999999E-3</v>
      </c>
    </row>
    <row r="150" spans="1:2" x14ac:dyDescent="0.25">
      <c r="A150" s="14">
        <v>33.6</v>
      </c>
      <c r="B150" s="14">
        <v>2.8300000000000001E-3</v>
      </c>
    </row>
    <row r="151" spans="1:2" x14ac:dyDescent="0.25">
      <c r="A151" s="14">
        <v>33.799999999999997</v>
      </c>
      <c r="B151" s="14">
        <v>2.7599999999999999E-3</v>
      </c>
    </row>
    <row r="152" spans="1:2" x14ac:dyDescent="0.25">
      <c r="A152" s="14">
        <v>34</v>
      </c>
      <c r="B152" s="14">
        <v>2.5699999999999998E-3</v>
      </c>
    </row>
    <row r="153" spans="1:2" x14ac:dyDescent="0.25">
      <c r="A153" s="14">
        <v>34.200000000000003</v>
      </c>
      <c r="B153" s="14">
        <v>2.5999999999999999E-3</v>
      </c>
    </row>
    <row r="154" spans="1:2" x14ac:dyDescent="0.25">
      <c r="A154" s="14">
        <v>34.4</v>
      </c>
      <c r="B154" s="14">
        <v>2.4199999999999998E-3</v>
      </c>
    </row>
    <row r="155" spans="1:2" x14ac:dyDescent="0.25">
      <c r="A155" s="14">
        <v>34.6</v>
      </c>
      <c r="B155" s="14">
        <v>2.3500000000000001E-3</v>
      </c>
    </row>
    <row r="156" spans="1:2" x14ac:dyDescent="0.25">
      <c r="A156" s="14">
        <v>34.799999999999997</v>
      </c>
      <c r="B156" s="14">
        <v>2.2699999999999999E-3</v>
      </c>
    </row>
    <row r="157" spans="1:2" x14ac:dyDescent="0.25">
      <c r="A157" s="14">
        <v>35</v>
      </c>
      <c r="B157" s="14">
        <v>2.14E-3</v>
      </c>
    </row>
    <row r="158" spans="1:2" x14ac:dyDescent="0.25">
      <c r="A158" s="14">
        <v>35.200000000000003</v>
      </c>
      <c r="B158" s="14">
        <v>2.0799999999999998E-3</v>
      </c>
    </row>
    <row r="159" spans="1:2" x14ac:dyDescent="0.25">
      <c r="A159" s="14">
        <v>35.4</v>
      </c>
      <c r="B159" s="14">
        <v>1.98E-3</v>
      </c>
    </row>
    <row r="160" spans="1:2" x14ac:dyDescent="0.25">
      <c r="A160" s="14">
        <v>35.6</v>
      </c>
      <c r="B160" s="14">
        <v>1.8799999999999999E-3</v>
      </c>
    </row>
    <row r="161" spans="1:2" x14ac:dyDescent="0.25">
      <c r="A161" s="14">
        <v>35.799999999999997</v>
      </c>
      <c r="B161" s="14">
        <v>1.8E-3</v>
      </c>
    </row>
    <row r="162" spans="1:2" x14ac:dyDescent="0.25">
      <c r="A162" s="14">
        <v>36</v>
      </c>
      <c r="B162" s="14">
        <v>1.6900000000000001E-3</v>
      </c>
    </row>
    <row r="163" spans="1:2" x14ac:dyDescent="0.25">
      <c r="A163" s="14">
        <v>36.200000000000003</v>
      </c>
      <c r="B163" s="14">
        <v>1.66E-3</v>
      </c>
    </row>
    <row r="164" spans="1:2" x14ac:dyDescent="0.25">
      <c r="A164" s="14">
        <v>36.4</v>
      </c>
      <c r="B164" s="14">
        <v>1.5100000000000001E-3</v>
      </c>
    </row>
    <row r="165" spans="1:2" x14ac:dyDescent="0.25">
      <c r="A165" s="14">
        <v>36.6</v>
      </c>
      <c r="B165" s="14">
        <v>1.49E-3</v>
      </c>
    </row>
    <row r="166" spans="1:2" x14ac:dyDescent="0.25">
      <c r="A166" s="14">
        <v>36.799999999999997</v>
      </c>
      <c r="B166" s="14">
        <v>1.39E-3</v>
      </c>
    </row>
    <row r="167" spans="1:2" x14ac:dyDescent="0.25">
      <c r="A167" s="14">
        <v>37</v>
      </c>
      <c r="B167" s="14">
        <v>1.31E-3</v>
      </c>
    </row>
    <row r="168" spans="1:2" x14ac:dyDescent="0.25">
      <c r="A168" s="14">
        <v>37.200000000000003</v>
      </c>
      <c r="B168" s="14">
        <v>1.1999999999999999E-3</v>
      </c>
    </row>
    <row r="169" spans="1:2" x14ac:dyDescent="0.25">
      <c r="A169" s="14">
        <v>37.4</v>
      </c>
      <c r="B169" s="14">
        <v>1.17E-3</v>
      </c>
    </row>
    <row r="170" spans="1:2" x14ac:dyDescent="0.25">
      <c r="A170" s="14">
        <v>37.6</v>
      </c>
      <c r="B170" s="14">
        <v>1.08E-3</v>
      </c>
    </row>
    <row r="171" spans="1:2" x14ac:dyDescent="0.25">
      <c r="A171" s="14">
        <v>37.799999999999997</v>
      </c>
      <c r="B171" s="14">
        <v>9.859999999999999E-4</v>
      </c>
    </row>
    <row r="172" spans="1:2" x14ac:dyDescent="0.25">
      <c r="A172" s="14">
        <v>38</v>
      </c>
      <c r="B172" s="14">
        <v>9.2800000000000001E-4</v>
      </c>
    </row>
    <row r="173" spans="1:2" x14ac:dyDescent="0.25">
      <c r="A173" s="14">
        <v>38.200000000000003</v>
      </c>
      <c r="B173" s="14">
        <v>8.1099999999999998E-4</v>
      </c>
    </row>
    <row r="174" spans="1:2" x14ac:dyDescent="0.25">
      <c r="A174" s="14">
        <v>38.4</v>
      </c>
      <c r="B174" s="14">
        <v>7.8600000000000002E-4</v>
      </c>
    </row>
    <row r="175" spans="1:2" x14ac:dyDescent="0.25">
      <c r="A175" s="14">
        <v>38.6</v>
      </c>
      <c r="B175" s="14">
        <v>6.9200000000000002E-4</v>
      </c>
    </row>
    <row r="176" spans="1:2" x14ac:dyDescent="0.25">
      <c r="A176" s="14">
        <v>38.799999999999997</v>
      </c>
      <c r="B176" s="14">
        <v>5.7799999999999995E-4</v>
      </c>
    </row>
    <row r="177" spans="1:2" x14ac:dyDescent="0.25">
      <c r="A177" s="14">
        <v>39</v>
      </c>
      <c r="B177" s="14">
        <v>5.5900000000000004E-4</v>
      </c>
    </row>
    <row r="178" spans="1:2" x14ac:dyDescent="0.25">
      <c r="A178" s="14">
        <v>39.200000000000003</v>
      </c>
      <c r="B178" s="14">
        <v>4.28E-4</v>
      </c>
    </row>
    <row r="179" spans="1:2" x14ac:dyDescent="0.25">
      <c r="A179" s="14">
        <v>39.4</v>
      </c>
      <c r="B179" s="14">
        <v>3.59E-4</v>
      </c>
    </row>
    <row r="180" spans="1:2" x14ac:dyDescent="0.25">
      <c r="A180" s="14">
        <v>39.6</v>
      </c>
      <c r="B180" s="14">
        <v>2.8299999999999999E-4</v>
      </c>
    </row>
    <row r="181" spans="1:2" x14ac:dyDescent="0.25">
      <c r="A181" s="14">
        <v>39.799999999999997</v>
      </c>
      <c r="B181" s="14">
        <v>1.7100000000000001E-4</v>
      </c>
    </row>
    <row r="182" spans="1:2" x14ac:dyDescent="0.25">
      <c r="A182" s="14">
        <v>40</v>
      </c>
      <c r="B182" s="14">
        <v>5.2500000000000002E-5</v>
      </c>
    </row>
    <row r="183" spans="1:2" x14ac:dyDescent="0.25">
      <c r="A183" s="14">
        <v>40.200000000000003</v>
      </c>
      <c r="B183" s="14">
        <v>2.4200000000000001E-6</v>
      </c>
    </row>
    <row r="184" spans="1:2" x14ac:dyDescent="0.25">
      <c r="A184" s="14">
        <v>40.4</v>
      </c>
      <c r="B184" s="14">
        <v>7.6700000000000003E-7</v>
      </c>
    </row>
    <row r="185" spans="1:2" x14ac:dyDescent="0.25">
      <c r="A185" s="14">
        <v>40.6</v>
      </c>
      <c r="B185" s="14">
        <v>3.41E-6</v>
      </c>
    </row>
    <row r="186" spans="1:2" x14ac:dyDescent="0.25">
      <c r="A186" s="14">
        <v>40.799999999999997</v>
      </c>
      <c r="B186" s="14">
        <v>4.5600000000000001E-7</v>
      </c>
    </row>
    <row r="187" spans="1:2" x14ac:dyDescent="0.25">
      <c r="A187" s="14">
        <v>41</v>
      </c>
      <c r="B187" s="14">
        <v>1.5200000000000001E-6</v>
      </c>
    </row>
    <row r="188" spans="1:2" x14ac:dyDescent="0.25">
      <c r="A188" s="14">
        <v>41.2</v>
      </c>
      <c r="B188" s="14">
        <v>1.44E-6</v>
      </c>
    </row>
    <row r="189" spans="1:2" x14ac:dyDescent="0.25">
      <c r="A189" s="14">
        <v>41.4</v>
      </c>
      <c r="B189" s="14">
        <v>1.06E-6</v>
      </c>
    </row>
    <row r="190" spans="1:2" x14ac:dyDescent="0.25">
      <c r="A190" s="14">
        <v>41.6</v>
      </c>
      <c r="B190" s="14">
        <v>2.1100000000000001E-6</v>
      </c>
    </row>
    <row r="191" spans="1:2" x14ac:dyDescent="0.25">
      <c r="A191" s="14">
        <v>41.8</v>
      </c>
      <c r="B191" s="14">
        <v>1.3999999999999999E-6</v>
      </c>
    </row>
    <row r="192" spans="1:2" x14ac:dyDescent="0.25">
      <c r="A192" s="14">
        <v>42</v>
      </c>
      <c r="B192" s="14">
        <v>1.1200000000000001E-6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5"/>
  <dimension ref="A1:B118"/>
  <sheetViews>
    <sheetView workbookViewId="0">
      <selection activeCell="K30" sqref="K30"/>
    </sheetView>
  </sheetViews>
  <sheetFormatPr defaultRowHeight="15" x14ac:dyDescent="0.25"/>
  <cols>
    <col min="1" max="1" width="16" style="1" customWidth="1"/>
    <col min="2" max="2" width="20.2851562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4</v>
      </c>
      <c r="B2" s="13">
        <v>4.5399999999999999E-5</v>
      </c>
    </row>
    <row r="3" spans="1:2" x14ac:dyDescent="0.25">
      <c r="A3" s="13">
        <v>4.5</v>
      </c>
      <c r="B3" s="13">
        <v>4.15E-4</v>
      </c>
    </row>
    <row r="4" spans="1:2" x14ac:dyDescent="0.25">
      <c r="A4" s="13">
        <v>5</v>
      </c>
      <c r="B4" s="13">
        <v>1.3500000000000001E-3</v>
      </c>
    </row>
    <row r="5" spans="1:2" x14ac:dyDescent="0.25">
      <c r="A5" s="13">
        <v>5.5</v>
      </c>
      <c r="B5" s="13">
        <v>9.7000000000000005E-4</v>
      </c>
    </row>
    <row r="6" spans="1:2" x14ac:dyDescent="0.25">
      <c r="A6" s="13">
        <v>6</v>
      </c>
      <c r="B6" s="13">
        <v>1.39E-3</v>
      </c>
    </row>
    <row r="7" spans="1:2" x14ac:dyDescent="0.25">
      <c r="A7" s="13">
        <v>6.5</v>
      </c>
      <c r="B7" s="13">
        <v>6.3599999999999996E-4</v>
      </c>
    </row>
    <row r="8" spans="1:2" x14ac:dyDescent="0.25">
      <c r="A8" s="13">
        <v>7</v>
      </c>
      <c r="B8" s="13">
        <v>7.8299999999999995E-4</v>
      </c>
    </row>
    <row r="9" spans="1:2" x14ac:dyDescent="0.25">
      <c r="A9" s="13">
        <v>7.5</v>
      </c>
      <c r="B9" s="13">
        <v>4.3600000000000003E-4</v>
      </c>
    </row>
    <row r="10" spans="1:2" x14ac:dyDescent="0.25">
      <c r="A10" s="13">
        <v>8</v>
      </c>
      <c r="B10" s="13">
        <v>5.2300000000000003E-4</v>
      </c>
    </row>
    <row r="11" spans="1:2" x14ac:dyDescent="0.25">
      <c r="A11" s="13">
        <v>8.5</v>
      </c>
      <c r="B11" s="13">
        <v>3.0499999999999999E-4</v>
      </c>
    </row>
    <row r="12" spans="1:2" x14ac:dyDescent="0.25">
      <c r="A12" s="13">
        <v>9</v>
      </c>
      <c r="B12" s="13">
        <v>6.5300000000000004E-4</v>
      </c>
    </row>
    <row r="13" spans="1:2" x14ac:dyDescent="0.25">
      <c r="A13" s="13">
        <v>9.5</v>
      </c>
      <c r="B13" s="13">
        <v>3.8900000000000002E-4</v>
      </c>
    </row>
    <row r="14" spans="1:2" x14ac:dyDescent="0.25">
      <c r="A14" s="13">
        <v>10</v>
      </c>
      <c r="B14" s="13">
        <v>8.5899999999999995E-4</v>
      </c>
    </row>
    <row r="15" spans="1:2" x14ac:dyDescent="0.25">
      <c r="A15" s="13">
        <v>10.5</v>
      </c>
      <c r="B15" s="13">
        <v>9.3300000000000002E-4</v>
      </c>
    </row>
    <row r="16" spans="1:2" x14ac:dyDescent="0.25">
      <c r="A16" s="13">
        <v>11</v>
      </c>
      <c r="B16" s="13">
        <v>4.1599999999999997E-4</v>
      </c>
    </row>
    <row r="17" spans="1:2" x14ac:dyDescent="0.25">
      <c r="A17" s="13">
        <v>11.5</v>
      </c>
      <c r="B17" s="13">
        <v>4.3800000000000002E-4</v>
      </c>
    </row>
    <row r="18" spans="1:2" x14ac:dyDescent="0.25">
      <c r="A18" s="13">
        <v>12</v>
      </c>
      <c r="B18" s="13">
        <v>8.1999999999999998E-4</v>
      </c>
    </row>
    <row r="19" spans="1:2" x14ac:dyDescent="0.25">
      <c r="A19" s="13">
        <v>12.5</v>
      </c>
      <c r="B19" s="13">
        <v>2.4399999999999999E-4</v>
      </c>
    </row>
    <row r="20" spans="1:2" x14ac:dyDescent="0.25">
      <c r="A20" s="13">
        <v>13</v>
      </c>
      <c r="B20" s="13">
        <v>4.9899999999999999E-4</v>
      </c>
    </row>
    <row r="21" spans="1:2" x14ac:dyDescent="0.25">
      <c r="A21" s="13">
        <v>13.5</v>
      </c>
      <c r="B21" s="13">
        <v>4.66E-4</v>
      </c>
    </row>
    <row r="22" spans="1:2" x14ac:dyDescent="0.25">
      <c r="A22" s="13">
        <v>14</v>
      </c>
      <c r="B22" s="13">
        <v>2.9300000000000002E-4</v>
      </c>
    </row>
    <row r="23" spans="1:2" x14ac:dyDescent="0.25">
      <c r="A23" s="13">
        <v>14.5</v>
      </c>
      <c r="B23" s="13">
        <v>4.2200000000000001E-4</v>
      </c>
    </row>
    <row r="24" spans="1:2" x14ac:dyDescent="0.25">
      <c r="A24" s="13">
        <v>15</v>
      </c>
      <c r="B24" s="13">
        <v>2.92E-4</v>
      </c>
    </row>
    <row r="25" spans="1:2" x14ac:dyDescent="0.25">
      <c r="A25" s="13">
        <v>15.5</v>
      </c>
      <c r="B25" s="13">
        <v>3.9599999999999998E-4</v>
      </c>
    </row>
    <row r="26" spans="1:2" x14ac:dyDescent="0.25">
      <c r="A26" s="13">
        <v>16</v>
      </c>
      <c r="B26" s="13">
        <v>6.1600000000000001E-4</v>
      </c>
    </row>
    <row r="27" spans="1:2" x14ac:dyDescent="0.25">
      <c r="A27" s="13">
        <v>16.5</v>
      </c>
      <c r="B27" s="13">
        <v>1.01E-3</v>
      </c>
    </row>
    <row r="28" spans="1:2" x14ac:dyDescent="0.25">
      <c r="A28" s="13">
        <v>17</v>
      </c>
      <c r="B28" s="13">
        <v>1.4E-3</v>
      </c>
    </row>
    <row r="29" spans="1:2" x14ac:dyDescent="0.25">
      <c r="A29" s="13">
        <v>17.5</v>
      </c>
      <c r="B29" s="13">
        <v>1.9E-3</v>
      </c>
    </row>
    <row r="30" spans="1:2" x14ac:dyDescent="0.25">
      <c r="A30" s="13">
        <v>18</v>
      </c>
      <c r="B30" s="13">
        <v>2.64E-3</v>
      </c>
    </row>
    <row r="31" spans="1:2" x14ac:dyDescent="0.25">
      <c r="A31" s="13">
        <v>18.5</v>
      </c>
      <c r="B31" s="13">
        <v>3.5899999999999999E-3</v>
      </c>
    </row>
    <row r="32" spans="1:2" x14ac:dyDescent="0.25">
      <c r="A32" s="13">
        <v>19</v>
      </c>
      <c r="B32" s="13">
        <v>4.5300000000000002E-3</v>
      </c>
    </row>
    <row r="33" spans="1:2" x14ac:dyDescent="0.25">
      <c r="A33" s="13">
        <v>19.5</v>
      </c>
      <c r="B33" s="13">
        <v>5.6899999999999997E-3</v>
      </c>
    </row>
    <row r="34" spans="1:2" x14ac:dyDescent="0.25">
      <c r="A34" s="13">
        <v>20</v>
      </c>
      <c r="B34" s="13">
        <v>6.7799999999999996E-3</v>
      </c>
    </row>
    <row r="35" spans="1:2" x14ac:dyDescent="0.25">
      <c r="A35" s="13">
        <v>20.5</v>
      </c>
      <c r="B35" s="13">
        <v>8.43E-3</v>
      </c>
    </row>
    <row r="36" spans="1:2" x14ac:dyDescent="0.25">
      <c r="A36" s="13">
        <v>21</v>
      </c>
      <c r="B36" s="13">
        <v>9.8200000000000006E-3</v>
      </c>
    </row>
    <row r="37" spans="1:2" x14ac:dyDescent="0.25">
      <c r="A37" s="13">
        <v>21.5</v>
      </c>
      <c r="B37" s="13">
        <v>1.12E-2</v>
      </c>
    </row>
    <row r="38" spans="1:2" x14ac:dyDescent="0.25">
      <c r="A38" s="13">
        <v>22</v>
      </c>
      <c r="B38" s="13">
        <v>1.2699999999999999E-2</v>
      </c>
    </row>
    <row r="39" spans="1:2" x14ac:dyDescent="0.25">
      <c r="A39" s="13">
        <v>22.5</v>
      </c>
      <c r="B39" s="13">
        <v>1.44E-2</v>
      </c>
    </row>
    <row r="40" spans="1:2" x14ac:dyDescent="0.25">
      <c r="A40" s="13">
        <v>23</v>
      </c>
      <c r="B40" s="13">
        <v>1.52E-2</v>
      </c>
    </row>
    <row r="41" spans="1:2" x14ac:dyDescent="0.25">
      <c r="A41" s="13">
        <v>23.5</v>
      </c>
      <c r="B41" s="13">
        <v>1.6500000000000001E-2</v>
      </c>
    </row>
    <row r="42" spans="1:2" x14ac:dyDescent="0.25">
      <c r="A42" s="13">
        <v>24</v>
      </c>
      <c r="B42" s="13">
        <v>1.77E-2</v>
      </c>
    </row>
    <row r="43" spans="1:2" x14ac:dyDescent="0.25">
      <c r="A43" s="13">
        <v>24.5</v>
      </c>
      <c r="B43" s="13">
        <v>1.8700000000000001E-2</v>
      </c>
    </row>
    <row r="44" spans="1:2" x14ac:dyDescent="0.25">
      <c r="A44" s="13">
        <v>25</v>
      </c>
      <c r="B44" s="13">
        <v>1.9400000000000001E-2</v>
      </c>
    </row>
    <row r="45" spans="1:2" x14ac:dyDescent="0.25">
      <c r="A45" s="13">
        <v>25.5</v>
      </c>
      <c r="B45" s="13">
        <v>2.0199999999999999E-2</v>
      </c>
    </row>
    <row r="46" spans="1:2" x14ac:dyDescent="0.25">
      <c r="A46" s="13">
        <v>26</v>
      </c>
      <c r="B46" s="13">
        <v>2.07E-2</v>
      </c>
    </row>
    <row r="47" spans="1:2" x14ac:dyDescent="0.25">
      <c r="A47" s="13">
        <v>26.5</v>
      </c>
      <c r="B47" s="13">
        <v>2.12E-2</v>
      </c>
    </row>
    <row r="48" spans="1:2" x14ac:dyDescent="0.25">
      <c r="A48" s="13">
        <v>27</v>
      </c>
      <c r="B48" s="13">
        <v>2.1600000000000001E-2</v>
      </c>
    </row>
    <row r="49" spans="1:2" x14ac:dyDescent="0.25">
      <c r="A49" s="13">
        <v>27.5</v>
      </c>
      <c r="B49" s="13">
        <v>2.1999999999999999E-2</v>
      </c>
    </row>
    <row r="50" spans="1:2" x14ac:dyDescent="0.25">
      <c r="A50" s="13">
        <v>28</v>
      </c>
      <c r="B50" s="13">
        <v>2.2100000000000002E-2</v>
      </c>
    </row>
    <row r="51" spans="1:2" x14ac:dyDescent="0.25">
      <c r="A51" s="13">
        <v>28.5</v>
      </c>
      <c r="B51" s="13">
        <v>2.2200000000000001E-2</v>
      </c>
    </row>
    <row r="52" spans="1:2" x14ac:dyDescent="0.25">
      <c r="A52" s="13">
        <v>29</v>
      </c>
      <c r="B52" s="13">
        <v>2.23E-2</v>
      </c>
    </row>
    <row r="53" spans="1:2" x14ac:dyDescent="0.25">
      <c r="A53" s="13">
        <v>29.5</v>
      </c>
      <c r="B53" s="13">
        <v>2.1999999999999999E-2</v>
      </c>
    </row>
    <row r="54" spans="1:2" x14ac:dyDescent="0.25">
      <c r="A54" s="13">
        <v>30</v>
      </c>
      <c r="B54" s="13">
        <v>2.18E-2</v>
      </c>
    </row>
    <row r="55" spans="1:2" x14ac:dyDescent="0.25">
      <c r="A55" s="13">
        <v>30.5</v>
      </c>
      <c r="B55" s="13">
        <v>2.18E-2</v>
      </c>
    </row>
    <row r="56" spans="1:2" x14ac:dyDescent="0.25">
      <c r="A56" s="13">
        <v>31</v>
      </c>
      <c r="B56" s="13">
        <v>2.1399999999999999E-2</v>
      </c>
    </row>
    <row r="57" spans="1:2" x14ac:dyDescent="0.25">
      <c r="A57" s="13">
        <v>31.5</v>
      </c>
      <c r="B57" s="13">
        <v>2.1100000000000001E-2</v>
      </c>
    </row>
    <row r="58" spans="1:2" x14ac:dyDescent="0.25">
      <c r="A58" s="13">
        <v>32</v>
      </c>
      <c r="B58" s="13">
        <v>2.0899999999999998E-2</v>
      </c>
    </row>
    <row r="59" spans="1:2" x14ac:dyDescent="0.25">
      <c r="A59" s="13">
        <v>32.5</v>
      </c>
      <c r="B59" s="13">
        <v>2.06E-2</v>
      </c>
    </row>
    <row r="60" spans="1:2" x14ac:dyDescent="0.25">
      <c r="A60" s="13">
        <v>33</v>
      </c>
      <c r="B60" s="13">
        <v>0.02</v>
      </c>
    </row>
    <row r="61" spans="1:2" x14ac:dyDescent="0.25">
      <c r="A61" s="13">
        <v>33.5</v>
      </c>
      <c r="B61" s="13">
        <v>1.9599999999999999E-2</v>
      </c>
    </row>
    <row r="62" spans="1:2" x14ac:dyDescent="0.25">
      <c r="A62" s="13">
        <v>34</v>
      </c>
      <c r="B62" s="13">
        <v>1.9099999999999999E-2</v>
      </c>
    </row>
    <row r="63" spans="1:2" x14ac:dyDescent="0.25">
      <c r="A63" s="13">
        <v>34.5</v>
      </c>
      <c r="B63" s="13">
        <v>1.8700000000000001E-2</v>
      </c>
    </row>
    <row r="64" spans="1:2" x14ac:dyDescent="0.25">
      <c r="A64" s="13">
        <v>35</v>
      </c>
      <c r="B64" s="13">
        <v>1.84E-2</v>
      </c>
    </row>
    <row r="65" spans="1:2" x14ac:dyDescent="0.25">
      <c r="A65" s="13">
        <v>35.5</v>
      </c>
      <c r="B65" s="13">
        <v>1.7899999999999999E-2</v>
      </c>
    </row>
    <row r="66" spans="1:2" x14ac:dyDescent="0.25">
      <c r="A66" s="13">
        <v>36</v>
      </c>
      <c r="B66" s="13">
        <v>1.7299999999999999E-2</v>
      </c>
    </row>
    <row r="67" spans="1:2" x14ac:dyDescent="0.25">
      <c r="A67" s="13">
        <v>36.5</v>
      </c>
      <c r="B67" s="13">
        <v>1.6799999999999999E-2</v>
      </c>
    </row>
    <row r="68" spans="1:2" x14ac:dyDescent="0.25">
      <c r="A68" s="13">
        <v>37</v>
      </c>
      <c r="B68" s="13">
        <v>1.6400000000000001E-2</v>
      </c>
    </row>
    <row r="69" spans="1:2" x14ac:dyDescent="0.25">
      <c r="A69" s="13">
        <v>37.5</v>
      </c>
      <c r="B69" s="13">
        <v>1.5699999999999999E-2</v>
      </c>
    </row>
    <row r="70" spans="1:2" x14ac:dyDescent="0.25">
      <c r="A70" s="13">
        <v>38</v>
      </c>
      <c r="B70" s="13">
        <v>1.52E-2</v>
      </c>
    </row>
    <row r="71" spans="1:2" x14ac:dyDescent="0.25">
      <c r="A71" s="13">
        <v>38.5</v>
      </c>
      <c r="B71" s="13">
        <v>1.49E-2</v>
      </c>
    </row>
    <row r="72" spans="1:2" x14ac:dyDescent="0.25">
      <c r="A72" s="13">
        <v>39</v>
      </c>
      <c r="B72" s="13">
        <v>1.4200000000000001E-2</v>
      </c>
    </row>
    <row r="73" spans="1:2" x14ac:dyDescent="0.25">
      <c r="A73" s="13">
        <v>39.5</v>
      </c>
      <c r="B73" s="13">
        <v>1.3599999999999999E-2</v>
      </c>
    </row>
    <row r="74" spans="1:2" x14ac:dyDescent="0.25">
      <c r="A74" s="13">
        <v>40</v>
      </c>
      <c r="B74" s="13">
        <v>1.3100000000000001E-2</v>
      </c>
    </row>
    <row r="75" spans="1:2" x14ac:dyDescent="0.25">
      <c r="A75" s="13">
        <v>40.5</v>
      </c>
      <c r="B75" s="13">
        <v>1.2800000000000001E-2</v>
      </c>
    </row>
    <row r="76" spans="1:2" x14ac:dyDescent="0.25">
      <c r="A76" s="13">
        <v>41</v>
      </c>
      <c r="B76" s="13">
        <v>1.24E-2</v>
      </c>
    </row>
    <row r="77" spans="1:2" x14ac:dyDescent="0.25">
      <c r="A77" s="13">
        <v>41.5</v>
      </c>
      <c r="B77" s="13">
        <v>1.2E-2</v>
      </c>
    </row>
    <row r="78" spans="1:2" x14ac:dyDescent="0.25">
      <c r="A78" s="13">
        <v>42</v>
      </c>
      <c r="B78" s="13">
        <v>1.17E-2</v>
      </c>
    </row>
    <row r="79" spans="1:2" x14ac:dyDescent="0.25">
      <c r="A79" s="13">
        <v>42.5</v>
      </c>
      <c r="B79" s="13">
        <v>1.11E-2</v>
      </c>
    </row>
    <row r="80" spans="1:2" x14ac:dyDescent="0.25">
      <c r="A80" s="13">
        <v>43</v>
      </c>
      <c r="B80" s="13">
        <v>1.0699999999999999E-2</v>
      </c>
    </row>
    <row r="81" spans="1:2" x14ac:dyDescent="0.25">
      <c r="A81" s="13">
        <v>43.5</v>
      </c>
      <c r="B81" s="13">
        <v>1.04E-2</v>
      </c>
    </row>
    <row r="82" spans="1:2" x14ac:dyDescent="0.25">
      <c r="A82" s="13">
        <v>44</v>
      </c>
      <c r="B82" s="13">
        <v>0.01</v>
      </c>
    </row>
    <row r="83" spans="1:2" x14ac:dyDescent="0.25">
      <c r="A83" s="13">
        <v>44.5</v>
      </c>
      <c r="B83" s="13">
        <v>9.58E-3</v>
      </c>
    </row>
    <row r="84" spans="1:2" x14ac:dyDescent="0.25">
      <c r="A84" s="13">
        <v>45</v>
      </c>
      <c r="B84" s="13">
        <v>9.2200000000000008E-3</v>
      </c>
    </row>
    <row r="85" spans="1:2" x14ac:dyDescent="0.25">
      <c r="A85" s="13">
        <v>45.5</v>
      </c>
      <c r="B85" s="13">
        <v>8.8800000000000007E-3</v>
      </c>
    </row>
    <row r="86" spans="1:2" x14ac:dyDescent="0.25">
      <c r="A86" s="13">
        <v>46</v>
      </c>
      <c r="B86" s="13">
        <v>8.4799999999999997E-3</v>
      </c>
    </row>
    <row r="87" spans="1:2" x14ac:dyDescent="0.25">
      <c r="A87" s="13">
        <v>46.5</v>
      </c>
      <c r="B87" s="13">
        <v>8.2000000000000007E-3</v>
      </c>
    </row>
    <row r="88" spans="1:2" x14ac:dyDescent="0.25">
      <c r="A88" s="13">
        <v>47</v>
      </c>
      <c r="B88" s="13">
        <v>7.7499999999999999E-3</v>
      </c>
    </row>
    <row r="89" spans="1:2" x14ac:dyDescent="0.25">
      <c r="A89" s="13">
        <v>47.5</v>
      </c>
      <c r="B89" s="13">
        <v>7.45E-3</v>
      </c>
    </row>
    <row r="90" spans="1:2" x14ac:dyDescent="0.25">
      <c r="A90" s="13">
        <v>48</v>
      </c>
      <c r="B90" s="13">
        <v>7.1399999999999996E-3</v>
      </c>
    </row>
    <row r="91" spans="1:2" x14ac:dyDescent="0.25">
      <c r="A91" s="13">
        <v>48.5</v>
      </c>
      <c r="B91" s="13">
        <v>6.79E-3</v>
      </c>
    </row>
    <row r="92" spans="1:2" x14ac:dyDescent="0.25">
      <c r="A92" s="13">
        <v>49</v>
      </c>
      <c r="B92" s="13">
        <v>6.4200000000000004E-3</v>
      </c>
    </row>
    <row r="93" spans="1:2" x14ac:dyDescent="0.25">
      <c r="A93" s="13">
        <v>49.5</v>
      </c>
      <c r="B93" s="13">
        <v>6.1700000000000001E-3</v>
      </c>
    </row>
    <row r="94" spans="1:2" x14ac:dyDescent="0.25">
      <c r="A94" s="13">
        <v>50</v>
      </c>
      <c r="B94" s="13">
        <v>5.8300000000000001E-3</v>
      </c>
    </row>
    <row r="95" spans="1:2" x14ac:dyDescent="0.25">
      <c r="A95" s="13">
        <v>50.5</v>
      </c>
      <c r="B95" s="13">
        <v>5.4599999999999996E-3</v>
      </c>
    </row>
    <row r="96" spans="1:2" x14ac:dyDescent="0.25">
      <c r="A96" s="13">
        <v>51</v>
      </c>
      <c r="B96" s="13">
        <v>5.13E-3</v>
      </c>
    </row>
    <row r="97" spans="1:2" x14ac:dyDescent="0.25">
      <c r="A97" s="13">
        <v>51.5</v>
      </c>
      <c r="B97" s="13">
        <v>4.9500000000000004E-3</v>
      </c>
    </row>
    <row r="98" spans="1:2" x14ac:dyDescent="0.25">
      <c r="A98" s="13">
        <v>52</v>
      </c>
      <c r="B98" s="13">
        <v>4.6600000000000001E-3</v>
      </c>
    </row>
    <row r="99" spans="1:2" x14ac:dyDescent="0.25">
      <c r="A99" s="13">
        <v>52.5</v>
      </c>
      <c r="B99" s="13">
        <v>4.4799999999999996E-3</v>
      </c>
    </row>
    <row r="100" spans="1:2" x14ac:dyDescent="0.25">
      <c r="A100" s="13">
        <v>53</v>
      </c>
      <c r="B100" s="13">
        <v>4.13E-3</v>
      </c>
    </row>
    <row r="101" spans="1:2" x14ac:dyDescent="0.25">
      <c r="A101" s="13">
        <v>53.5</v>
      </c>
      <c r="B101" s="13">
        <v>3.9500000000000004E-3</v>
      </c>
    </row>
    <row r="102" spans="1:2" x14ac:dyDescent="0.25">
      <c r="A102" s="13">
        <v>54</v>
      </c>
      <c r="B102" s="13">
        <v>3.5899999999999999E-3</v>
      </c>
    </row>
    <row r="103" spans="1:2" x14ac:dyDescent="0.25">
      <c r="A103" s="13">
        <v>54.5</v>
      </c>
      <c r="B103" s="13">
        <v>3.3400000000000001E-3</v>
      </c>
    </row>
    <row r="104" spans="1:2" x14ac:dyDescent="0.25">
      <c r="A104" s="13">
        <v>55</v>
      </c>
      <c r="B104" s="13">
        <v>3.0599999999999998E-3</v>
      </c>
    </row>
    <row r="105" spans="1:2" x14ac:dyDescent="0.25">
      <c r="A105" s="13">
        <v>55.5</v>
      </c>
      <c r="B105" s="13">
        <v>2.81E-3</v>
      </c>
    </row>
    <row r="106" spans="1:2" x14ac:dyDescent="0.25">
      <c r="A106" s="13">
        <v>56</v>
      </c>
      <c r="B106" s="13">
        <v>2.5799999999999998E-3</v>
      </c>
    </row>
    <row r="107" spans="1:2" x14ac:dyDescent="0.25">
      <c r="A107" s="13">
        <v>56.5</v>
      </c>
      <c r="B107" s="13">
        <v>2.2599999999999999E-3</v>
      </c>
    </row>
    <row r="108" spans="1:2" x14ac:dyDescent="0.25">
      <c r="A108" s="13">
        <v>57</v>
      </c>
      <c r="B108" s="13">
        <v>2.0100000000000001E-3</v>
      </c>
    </row>
    <row r="109" spans="1:2" x14ac:dyDescent="0.25">
      <c r="A109" s="13">
        <v>57.5</v>
      </c>
      <c r="B109" s="13">
        <v>1.74E-3</v>
      </c>
    </row>
    <row r="110" spans="1:2" x14ac:dyDescent="0.25">
      <c r="A110" s="13">
        <v>58</v>
      </c>
      <c r="B110" s="13">
        <v>1.4400000000000001E-3</v>
      </c>
    </row>
    <row r="111" spans="1:2" x14ac:dyDescent="0.25">
      <c r="A111" s="13">
        <v>58.5</v>
      </c>
      <c r="B111" s="13">
        <v>1.15E-3</v>
      </c>
    </row>
    <row r="112" spans="1:2" x14ac:dyDescent="0.25">
      <c r="A112" s="13">
        <v>59</v>
      </c>
      <c r="B112" s="13">
        <v>8.5099999999999998E-4</v>
      </c>
    </row>
    <row r="113" spans="1:2" x14ac:dyDescent="0.25">
      <c r="A113" s="13">
        <v>59.5</v>
      </c>
      <c r="B113" s="13">
        <v>4.8899999999999996E-4</v>
      </c>
    </row>
    <row r="114" spans="1:2" x14ac:dyDescent="0.25">
      <c r="A114" s="13">
        <v>60</v>
      </c>
      <c r="B114" s="13">
        <v>1.13E-4</v>
      </c>
    </row>
    <row r="115" spans="1:2" x14ac:dyDescent="0.25">
      <c r="A115" s="13">
        <v>60.5</v>
      </c>
      <c r="B115" s="13">
        <v>3.19E-6</v>
      </c>
    </row>
    <row r="116" spans="1:2" x14ac:dyDescent="0.25">
      <c r="A116" s="13">
        <v>61</v>
      </c>
      <c r="B116" s="13">
        <v>8.1800000000000005E-7</v>
      </c>
    </row>
    <row r="117" spans="1:2" x14ac:dyDescent="0.25">
      <c r="A117" s="13">
        <v>61.5</v>
      </c>
      <c r="B117" s="13">
        <v>2.03E-6</v>
      </c>
    </row>
    <row r="118" spans="1:2" x14ac:dyDescent="0.25">
      <c r="A118" s="13">
        <v>62</v>
      </c>
      <c r="B118" s="13">
        <v>1.9599999999999999E-6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6"/>
  <dimension ref="A1:B150"/>
  <sheetViews>
    <sheetView workbookViewId="0">
      <selection activeCell="H25" sqref="H25"/>
    </sheetView>
  </sheetViews>
  <sheetFormatPr defaultRowHeight="15" x14ac:dyDescent="0.25"/>
  <cols>
    <col min="1" max="1" width="18.5703125" style="1" customWidth="1"/>
    <col min="2" max="2" width="28.4257812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8</v>
      </c>
      <c r="B2" s="13">
        <v>8.3100000000000003E-4</v>
      </c>
    </row>
    <row r="3" spans="1:2" x14ac:dyDescent="0.25">
      <c r="A3" s="13">
        <v>8.5</v>
      </c>
      <c r="B3" s="13">
        <v>8.0199999999999998E-4</v>
      </c>
    </row>
    <row r="4" spans="1:2" x14ac:dyDescent="0.25">
      <c r="A4" s="13">
        <v>9</v>
      </c>
      <c r="B4" s="13">
        <v>6.7600000000000003E-5</v>
      </c>
    </row>
    <row r="5" spans="1:2" x14ac:dyDescent="0.25">
      <c r="A5" s="13">
        <v>9.5</v>
      </c>
      <c r="B5" s="13">
        <v>5.7600000000000001E-4</v>
      </c>
    </row>
    <row r="6" spans="1:2" x14ac:dyDescent="0.25">
      <c r="A6" s="13">
        <v>10</v>
      </c>
      <c r="B6" s="13">
        <v>8.52E-4</v>
      </c>
    </row>
    <row r="7" spans="1:2" x14ac:dyDescent="0.25">
      <c r="A7" s="13">
        <v>10.5</v>
      </c>
      <c r="B7" s="13">
        <v>5.9900000000000003E-4</v>
      </c>
    </row>
    <row r="8" spans="1:2" x14ac:dyDescent="0.25">
      <c r="A8" s="13">
        <v>11</v>
      </c>
      <c r="B8" s="13">
        <v>5.5400000000000002E-4</v>
      </c>
    </row>
    <row r="9" spans="1:2" x14ac:dyDescent="0.25">
      <c r="A9" s="13">
        <v>11.5</v>
      </c>
      <c r="B9" s="13">
        <v>4.4099999999999999E-4</v>
      </c>
    </row>
    <row r="10" spans="1:2" x14ac:dyDescent="0.25">
      <c r="A10" s="13">
        <v>12</v>
      </c>
      <c r="B10" s="13">
        <v>9.3700000000000001E-4</v>
      </c>
    </row>
    <row r="11" spans="1:2" x14ac:dyDescent="0.25">
      <c r="A11" s="13">
        <v>12.5</v>
      </c>
      <c r="B11" s="13">
        <v>4.4700000000000002E-4</v>
      </c>
    </row>
    <row r="12" spans="1:2" x14ac:dyDescent="0.25">
      <c r="A12" s="13">
        <v>13</v>
      </c>
      <c r="B12" s="13">
        <v>3.19E-4</v>
      </c>
    </row>
    <row r="13" spans="1:2" x14ac:dyDescent="0.25">
      <c r="A13" s="13">
        <v>13.5</v>
      </c>
      <c r="B13" s="13">
        <v>3.2600000000000001E-4</v>
      </c>
    </row>
    <row r="14" spans="1:2" x14ac:dyDescent="0.25">
      <c r="A14" s="13">
        <v>14</v>
      </c>
      <c r="B14" s="13">
        <v>4.3399999999999998E-4</v>
      </c>
    </row>
    <row r="15" spans="1:2" x14ac:dyDescent="0.25">
      <c r="A15" s="13">
        <v>14.5</v>
      </c>
      <c r="B15" s="13">
        <v>2.5700000000000001E-4</v>
      </c>
    </row>
    <row r="16" spans="1:2" x14ac:dyDescent="0.25">
      <c r="A16" s="13">
        <v>15</v>
      </c>
      <c r="B16" s="13">
        <v>3.9599999999999998E-4</v>
      </c>
    </row>
    <row r="17" spans="1:2" x14ac:dyDescent="0.25">
      <c r="A17" s="13">
        <v>15.5</v>
      </c>
      <c r="B17" s="13">
        <v>3.0299999999999999E-4</v>
      </c>
    </row>
    <row r="18" spans="1:2" x14ac:dyDescent="0.25">
      <c r="A18" s="13">
        <v>16</v>
      </c>
      <c r="B18" s="13">
        <v>1.35E-4</v>
      </c>
    </row>
    <row r="19" spans="1:2" x14ac:dyDescent="0.25">
      <c r="A19" s="13">
        <v>16.5</v>
      </c>
      <c r="B19" s="13">
        <v>2.7999999999999998E-4</v>
      </c>
    </row>
    <row r="20" spans="1:2" x14ac:dyDescent="0.25">
      <c r="A20" s="13">
        <v>17</v>
      </c>
      <c r="B20" s="13">
        <v>2.4899999999999998E-4</v>
      </c>
    </row>
    <row r="21" spans="1:2" x14ac:dyDescent="0.25">
      <c r="A21" s="13">
        <v>17.5</v>
      </c>
      <c r="B21" s="13">
        <v>1.7899999999999999E-4</v>
      </c>
    </row>
    <row r="22" spans="1:2" x14ac:dyDescent="0.25">
      <c r="A22" s="13">
        <v>18</v>
      </c>
      <c r="B22" s="13">
        <v>3.01E-4</v>
      </c>
    </row>
    <row r="23" spans="1:2" x14ac:dyDescent="0.25">
      <c r="A23" s="13">
        <v>18.5</v>
      </c>
      <c r="B23" s="13">
        <v>1.9000000000000001E-4</v>
      </c>
    </row>
    <row r="24" spans="1:2" x14ac:dyDescent="0.25">
      <c r="A24" s="13">
        <v>19</v>
      </c>
      <c r="B24" s="13">
        <v>3.0299999999999999E-4</v>
      </c>
    </row>
    <row r="25" spans="1:2" x14ac:dyDescent="0.25">
      <c r="A25" s="13">
        <v>19.5</v>
      </c>
      <c r="B25" s="13">
        <v>3.7100000000000002E-4</v>
      </c>
    </row>
    <row r="26" spans="1:2" x14ac:dyDescent="0.25">
      <c r="A26" s="13">
        <v>20</v>
      </c>
      <c r="B26" s="13">
        <v>5.4100000000000003E-4</v>
      </c>
    </row>
    <row r="27" spans="1:2" x14ac:dyDescent="0.25">
      <c r="A27" s="13">
        <v>20.5</v>
      </c>
      <c r="B27" s="13">
        <v>8.5300000000000003E-4</v>
      </c>
    </row>
    <row r="28" spans="1:2" x14ac:dyDescent="0.25">
      <c r="A28" s="13">
        <v>21</v>
      </c>
      <c r="B28" s="13">
        <v>9.4899999999999997E-4</v>
      </c>
    </row>
    <row r="29" spans="1:2" x14ac:dyDescent="0.25">
      <c r="A29" s="13">
        <v>21.5</v>
      </c>
      <c r="B29" s="13">
        <v>1.39E-3</v>
      </c>
    </row>
    <row r="30" spans="1:2" x14ac:dyDescent="0.25">
      <c r="A30" s="13">
        <v>22</v>
      </c>
      <c r="B30" s="13">
        <v>1.89E-3</v>
      </c>
    </row>
    <row r="31" spans="1:2" x14ac:dyDescent="0.25">
      <c r="A31" s="13">
        <v>22.5</v>
      </c>
      <c r="B31" s="13">
        <v>2.3E-3</v>
      </c>
    </row>
    <row r="32" spans="1:2" x14ac:dyDescent="0.25">
      <c r="A32" s="13">
        <v>23</v>
      </c>
      <c r="B32" s="13">
        <v>2.8300000000000001E-3</v>
      </c>
    </row>
    <row r="33" spans="1:2" x14ac:dyDescent="0.25">
      <c r="A33" s="13">
        <v>23.5</v>
      </c>
      <c r="B33" s="13">
        <v>3.5899999999999999E-3</v>
      </c>
    </row>
    <row r="34" spans="1:2" x14ac:dyDescent="0.25">
      <c r="A34" s="13">
        <v>24</v>
      </c>
      <c r="B34" s="13">
        <v>4.15E-3</v>
      </c>
    </row>
    <row r="35" spans="1:2" x14ac:dyDescent="0.25">
      <c r="A35" s="13">
        <v>24.5</v>
      </c>
      <c r="B35" s="13">
        <v>4.9500000000000004E-3</v>
      </c>
    </row>
    <row r="36" spans="1:2" x14ac:dyDescent="0.25">
      <c r="A36" s="13">
        <v>25</v>
      </c>
      <c r="B36" s="13">
        <v>5.5599999999999998E-3</v>
      </c>
    </row>
    <row r="37" spans="1:2" x14ac:dyDescent="0.25">
      <c r="A37" s="13">
        <v>25.5</v>
      </c>
      <c r="B37" s="13">
        <v>6.3600000000000002E-3</v>
      </c>
    </row>
    <row r="38" spans="1:2" x14ac:dyDescent="0.25">
      <c r="A38" s="13">
        <v>26</v>
      </c>
      <c r="B38" s="13">
        <v>7.1799999999999998E-3</v>
      </c>
    </row>
    <row r="39" spans="1:2" x14ac:dyDescent="0.25">
      <c r="A39" s="13">
        <v>26.5</v>
      </c>
      <c r="B39" s="13">
        <v>7.7799999999999996E-3</v>
      </c>
    </row>
    <row r="40" spans="1:2" x14ac:dyDescent="0.25">
      <c r="A40" s="13">
        <v>27</v>
      </c>
      <c r="B40" s="13">
        <v>8.6899999999999998E-3</v>
      </c>
    </row>
    <row r="41" spans="1:2" x14ac:dyDescent="0.25">
      <c r="A41" s="13">
        <v>27.5</v>
      </c>
      <c r="B41" s="13">
        <v>9.4299999999999991E-3</v>
      </c>
    </row>
    <row r="42" spans="1:2" x14ac:dyDescent="0.25">
      <c r="A42" s="13">
        <v>28</v>
      </c>
      <c r="B42" s="13">
        <v>1.0200000000000001E-2</v>
      </c>
    </row>
    <row r="43" spans="1:2" x14ac:dyDescent="0.25">
      <c r="A43" s="13">
        <v>28.5</v>
      </c>
      <c r="B43" s="13">
        <v>1.0699999999999999E-2</v>
      </c>
    </row>
    <row r="44" spans="1:2" x14ac:dyDescent="0.25">
      <c r="A44" s="13">
        <v>29</v>
      </c>
      <c r="B44" s="13">
        <v>1.1599999999999999E-2</v>
      </c>
    </row>
    <row r="45" spans="1:2" x14ac:dyDescent="0.25">
      <c r="A45" s="13">
        <v>29.5</v>
      </c>
      <c r="B45" s="13">
        <v>1.21E-2</v>
      </c>
    </row>
    <row r="46" spans="1:2" x14ac:dyDescent="0.25">
      <c r="A46" s="13">
        <v>30</v>
      </c>
      <c r="B46" s="13">
        <v>1.2500000000000001E-2</v>
      </c>
    </row>
    <row r="47" spans="1:2" x14ac:dyDescent="0.25">
      <c r="A47" s="13">
        <v>30.5</v>
      </c>
      <c r="B47" s="13">
        <v>1.3100000000000001E-2</v>
      </c>
    </row>
    <row r="48" spans="1:2" x14ac:dyDescent="0.25">
      <c r="A48" s="13">
        <v>31</v>
      </c>
      <c r="B48" s="13">
        <v>1.3599999999999999E-2</v>
      </c>
    </row>
    <row r="49" spans="1:2" x14ac:dyDescent="0.25">
      <c r="A49" s="13">
        <v>31.5</v>
      </c>
      <c r="B49" s="13">
        <v>1.38E-2</v>
      </c>
    </row>
    <row r="50" spans="1:2" x14ac:dyDescent="0.25">
      <c r="A50" s="13">
        <v>32</v>
      </c>
      <c r="B50" s="13">
        <v>1.43E-2</v>
      </c>
    </row>
    <row r="51" spans="1:2" x14ac:dyDescent="0.25">
      <c r="A51" s="13">
        <v>32.5</v>
      </c>
      <c r="B51" s="13">
        <v>1.4500000000000001E-2</v>
      </c>
    </row>
    <row r="52" spans="1:2" x14ac:dyDescent="0.25">
      <c r="A52" s="13">
        <v>33</v>
      </c>
      <c r="B52" s="13">
        <v>1.4999999999999999E-2</v>
      </c>
    </row>
    <row r="53" spans="1:2" x14ac:dyDescent="0.25">
      <c r="A53" s="13">
        <v>33.5</v>
      </c>
      <c r="B53" s="13">
        <v>1.5100000000000001E-2</v>
      </c>
    </row>
    <row r="54" spans="1:2" x14ac:dyDescent="0.25">
      <c r="A54" s="13">
        <v>34</v>
      </c>
      <c r="B54" s="13">
        <v>1.52E-2</v>
      </c>
    </row>
    <row r="55" spans="1:2" x14ac:dyDescent="0.25">
      <c r="A55" s="13">
        <v>34.5</v>
      </c>
      <c r="B55" s="13">
        <v>1.5299999999999999E-2</v>
      </c>
    </row>
    <row r="56" spans="1:2" x14ac:dyDescent="0.25">
      <c r="A56" s="13">
        <v>35</v>
      </c>
      <c r="B56" s="13">
        <v>1.55E-2</v>
      </c>
    </row>
    <row r="57" spans="1:2" x14ac:dyDescent="0.25">
      <c r="A57" s="13">
        <v>35.5</v>
      </c>
      <c r="B57" s="13">
        <v>1.5599999999999999E-2</v>
      </c>
    </row>
    <row r="58" spans="1:2" x14ac:dyDescent="0.25">
      <c r="A58" s="13">
        <v>36</v>
      </c>
      <c r="B58" s="13">
        <v>1.55E-2</v>
      </c>
    </row>
    <row r="59" spans="1:2" x14ac:dyDescent="0.25">
      <c r="A59" s="13">
        <v>36.5</v>
      </c>
      <c r="B59" s="13">
        <v>1.54E-2</v>
      </c>
    </row>
    <row r="60" spans="1:2" x14ac:dyDescent="0.25">
      <c r="A60" s="13">
        <v>37</v>
      </c>
      <c r="B60" s="13">
        <v>1.54E-2</v>
      </c>
    </row>
    <row r="61" spans="1:2" x14ac:dyDescent="0.25">
      <c r="A61" s="13">
        <v>37.5</v>
      </c>
      <c r="B61" s="13">
        <v>1.5299999999999999E-2</v>
      </c>
    </row>
    <row r="62" spans="1:2" x14ac:dyDescent="0.25">
      <c r="A62" s="13">
        <v>38</v>
      </c>
      <c r="B62" s="13">
        <v>1.5100000000000001E-2</v>
      </c>
    </row>
    <row r="63" spans="1:2" x14ac:dyDescent="0.25">
      <c r="A63" s="13">
        <v>38.5</v>
      </c>
      <c r="B63" s="13">
        <v>1.4999999999999999E-2</v>
      </c>
    </row>
    <row r="64" spans="1:2" x14ac:dyDescent="0.25">
      <c r="A64" s="13">
        <v>39</v>
      </c>
      <c r="B64" s="13">
        <v>1.47E-2</v>
      </c>
    </row>
    <row r="65" spans="1:2" x14ac:dyDescent="0.25">
      <c r="A65" s="13">
        <v>39.5</v>
      </c>
      <c r="B65" s="13">
        <v>1.46E-2</v>
      </c>
    </row>
    <row r="66" spans="1:2" x14ac:dyDescent="0.25">
      <c r="A66" s="13">
        <v>40</v>
      </c>
      <c r="B66" s="13">
        <v>1.43E-2</v>
      </c>
    </row>
    <row r="67" spans="1:2" x14ac:dyDescent="0.25">
      <c r="A67" s="13">
        <v>40.5</v>
      </c>
      <c r="B67" s="13">
        <v>1.43E-2</v>
      </c>
    </row>
    <row r="68" spans="1:2" x14ac:dyDescent="0.25">
      <c r="A68" s="13">
        <v>41</v>
      </c>
      <c r="B68" s="13">
        <v>1.4200000000000001E-2</v>
      </c>
    </row>
    <row r="69" spans="1:2" x14ac:dyDescent="0.25">
      <c r="A69" s="13">
        <v>41.5</v>
      </c>
      <c r="B69" s="13">
        <v>1.4E-2</v>
      </c>
    </row>
    <row r="70" spans="1:2" x14ac:dyDescent="0.25">
      <c r="A70" s="13">
        <v>42</v>
      </c>
      <c r="B70" s="13">
        <v>1.37E-2</v>
      </c>
    </row>
    <row r="71" spans="1:2" x14ac:dyDescent="0.25">
      <c r="A71" s="13">
        <v>42.5</v>
      </c>
      <c r="B71" s="13">
        <v>1.3599999999999999E-2</v>
      </c>
    </row>
    <row r="72" spans="1:2" x14ac:dyDescent="0.25">
      <c r="A72" s="13">
        <v>43</v>
      </c>
      <c r="B72" s="13">
        <v>1.35E-2</v>
      </c>
    </row>
    <row r="73" spans="1:2" x14ac:dyDescent="0.25">
      <c r="A73" s="13">
        <v>43.5</v>
      </c>
      <c r="B73" s="13">
        <v>1.3299999999999999E-2</v>
      </c>
    </row>
    <row r="74" spans="1:2" x14ac:dyDescent="0.25">
      <c r="A74" s="13">
        <v>44</v>
      </c>
      <c r="B74" s="13">
        <v>1.2999999999999999E-2</v>
      </c>
    </row>
    <row r="75" spans="1:2" x14ac:dyDescent="0.25">
      <c r="A75" s="13">
        <v>44.5</v>
      </c>
      <c r="B75" s="13">
        <v>1.2800000000000001E-2</v>
      </c>
    </row>
    <row r="76" spans="1:2" x14ac:dyDescent="0.25">
      <c r="A76" s="13">
        <v>45</v>
      </c>
      <c r="B76" s="13">
        <v>1.2699999999999999E-2</v>
      </c>
    </row>
    <row r="77" spans="1:2" x14ac:dyDescent="0.25">
      <c r="A77" s="13">
        <v>45.5</v>
      </c>
      <c r="B77" s="13">
        <v>1.23E-2</v>
      </c>
    </row>
    <row r="78" spans="1:2" x14ac:dyDescent="0.25">
      <c r="A78" s="13">
        <v>46</v>
      </c>
      <c r="B78" s="13">
        <v>1.2200000000000001E-2</v>
      </c>
    </row>
    <row r="79" spans="1:2" x14ac:dyDescent="0.25">
      <c r="A79" s="13">
        <v>46.5</v>
      </c>
      <c r="B79" s="13">
        <v>1.1900000000000001E-2</v>
      </c>
    </row>
    <row r="80" spans="1:2" x14ac:dyDescent="0.25">
      <c r="A80" s="13">
        <v>47</v>
      </c>
      <c r="B80" s="13">
        <v>1.1599999999999999E-2</v>
      </c>
    </row>
    <row r="81" spans="1:2" x14ac:dyDescent="0.25">
      <c r="A81" s="13">
        <v>47.5</v>
      </c>
      <c r="B81" s="13">
        <v>1.15E-2</v>
      </c>
    </row>
    <row r="82" spans="1:2" x14ac:dyDescent="0.25">
      <c r="A82" s="13">
        <v>48</v>
      </c>
      <c r="B82" s="13">
        <v>1.12E-2</v>
      </c>
    </row>
    <row r="83" spans="1:2" x14ac:dyDescent="0.25">
      <c r="A83" s="13">
        <v>48.5</v>
      </c>
      <c r="B83" s="13">
        <v>1.0800000000000001E-2</v>
      </c>
    </row>
    <row r="84" spans="1:2" x14ac:dyDescent="0.25">
      <c r="A84" s="13">
        <v>49</v>
      </c>
      <c r="B84" s="13">
        <v>1.0699999999999999E-2</v>
      </c>
    </row>
    <row r="85" spans="1:2" x14ac:dyDescent="0.25">
      <c r="A85" s="13">
        <v>49.5</v>
      </c>
      <c r="B85" s="13">
        <v>1.0500000000000001E-2</v>
      </c>
    </row>
    <row r="86" spans="1:2" x14ac:dyDescent="0.25">
      <c r="A86" s="13">
        <v>50</v>
      </c>
      <c r="B86" s="13">
        <v>1.0200000000000001E-2</v>
      </c>
    </row>
    <row r="87" spans="1:2" x14ac:dyDescent="0.25">
      <c r="A87" s="13">
        <v>50.5</v>
      </c>
      <c r="B87" s="13">
        <v>0.01</v>
      </c>
    </row>
    <row r="88" spans="1:2" x14ac:dyDescent="0.25">
      <c r="A88" s="13">
        <v>51</v>
      </c>
      <c r="B88" s="13">
        <v>9.7999999999999997E-3</v>
      </c>
    </row>
    <row r="89" spans="1:2" x14ac:dyDescent="0.25">
      <c r="A89" s="13">
        <v>51.5</v>
      </c>
      <c r="B89" s="13">
        <v>9.6500000000000006E-3</v>
      </c>
    </row>
    <row r="90" spans="1:2" x14ac:dyDescent="0.25">
      <c r="A90" s="13">
        <v>52</v>
      </c>
      <c r="B90" s="13">
        <v>9.4900000000000002E-3</v>
      </c>
    </row>
    <row r="91" spans="1:2" x14ac:dyDescent="0.25">
      <c r="A91" s="13">
        <v>52.5</v>
      </c>
      <c r="B91" s="13">
        <v>9.2300000000000004E-3</v>
      </c>
    </row>
    <row r="92" spans="1:2" x14ac:dyDescent="0.25">
      <c r="A92" s="13">
        <v>53</v>
      </c>
      <c r="B92" s="13">
        <v>9.0600000000000003E-3</v>
      </c>
    </row>
    <row r="93" spans="1:2" x14ac:dyDescent="0.25">
      <c r="A93" s="13">
        <v>53.5</v>
      </c>
      <c r="B93" s="13">
        <v>8.9599999999999992E-3</v>
      </c>
    </row>
    <row r="94" spans="1:2" x14ac:dyDescent="0.25">
      <c r="A94" s="13">
        <v>54</v>
      </c>
      <c r="B94" s="13">
        <v>8.6999999999999994E-3</v>
      </c>
    </row>
    <row r="95" spans="1:2" x14ac:dyDescent="0.25">
      <c r="A95" s="13">
        <v>54.5</v>
      </c>
      <c r="B95" s="13">
        <v>8.5299999999999994E-3</v>
      </c>
    </row>
    <row r="96" spans="1:2" x14ac:dyDescent="0.25">
      <c r="A96" s="13">
        <v>55</v>
      </c>
      <c r="B96" s="13">
        <v>8.3599999999999994E-3</v>
      </c>
    </row>
    <row r="97" spans="1:2" x14ac:dyDescent="0.25">
      <c r="A97" s="13">
        <v>55.5</v>
      </c>
      <c r="B97" s="13">
        <v>8.1600000000000006E-3</v>
      </c>
    </row>
    <row r="98" spans="1:2" x14ac:dyDescent="0.25">
      <c r="A98" s="13">
        <v>56</v>
      </c>
      <c r="B98" s="13">
        <v>7.9699999999999997E-3</v>
      </c>
    </row>
    <row r="99" spans="1:2" x14ac:dyDescent="0.25">
      <c r="A99" s="13">
        <v>56.5</v>
      </c>
      <c r="B99" s="13">
        <v>7.8200000000000006E-3</v>
      </c>
    </row>
    <row r="100" spans="1:2" x14ac:dyDescent="0.25">
      <c r="A100" s="13">
        <v>57</v>
      </c>
      <c r="B100" s="13">
        <v>7.7000000000000002E-3</v>
      </c>
    </row>
    <row r="101" spans="1:2" x14ac:dyDescent="0.25">
      <c r="A101" s="13">
        <v>57.5</v>
      </c>
      <c r="B101" s="13">
        <v>8.0400000000000003E-3</v>
      </c>
    </row>
    <row r="102" spans="1:2" x14ac:dyDescent="0.25">
      <c r="A102" s="13">
        <v>58</v>
      </c>
      <c r="B102" s="13">
        <v>1.1599999999999999E-2</v>
      </c>
    </row>
    <row r="103" spans="1:2" x14ac:dyDescent="0.25">
      <c r="A103" s="13">
        <v>58.5</v>
      </c>
      <c r="B103" s="13">
        <v>7.4099999999999999E-3</v>
      </c>
    </row>
    <row r="104" spans="1:2" x14ac:dyDescent="0.25">
      <c r="A104" s="13">
        <v>59</v>
      </c>
      <c r="B104" s="13">
        <v>1.03E-2</v>
      </c>
    </row>
    <row r="105" spans="1:2" x14ac:dyDescent="0.25">
      <c r="A105" s="13">
        <v>59.5</v>
      </c>
      <c r="B105" s="13">
        <v>1.2500000000000001E-2</v>
      </c>
    </row>
    <row r="106" spans="1:2" x14ac:dyDescent="0.25">
      <c r="A106" s="13">
        <v>60</v>
      </c>
      <c r="B106" s="13">
        <v>6.7299999999999999E-3</v>
      </c>
    </row>
    <row r="107" spans="1:2" x14ac:dyDescent="0.25">
      <c r="A107" s="13">
        <v>60.5</v>
      </c>
      <c r="B107" s="13">
        <v>6.4099999999999999E-3</v>
      </c>
    </row>
    <row r="108" spans="1:2" x14ac:dyDescent="0.25">
      <c r="A108" s="13">
        <v>61</v>
      </c>
      <c r="B108" s="13">
        <v>6.1999999999999998E-3</v>
      </c>
    </row>
    <row r="109" spans="1:2" x14ac:dyDescent="0.25">
      <c r="A109" s="13">
        <v>61.5</v>
      </c>
      <c r="B109" s="13">
        <v>6.1000000000000004E-3</v>
      </c>
    </row>
    <row r="110" spans="1:2" x14ac:dyDescent="0.25">
      <c r="A110" s="13">
        <v>62</v>
      </c>
      <c r="B110" s="13">
        <v>5.9100000000000003E-3</v>
      </c>
    </row>
    <row r="111" spans="1:2" x14ac:dyDescent="0.25">
      <c r="A111" s="13">
        <v>62.5</v>
      </c>
      <c r="B111" s="13">
        <v>5.7999999999999996E-3</v>
      </c>
    </row>
    <row r="112" spans="1:2" x14ac:dyDescent="0.25">
      <c r="A112" s="13">
        <v>63</v>
      </c>
      <c r="B112" s="13">
        <v>5.6699999999999997E-3</v>
      </c>
    </row>
    <row r="113" spans="1:2" x14ac:dyDescent="0.25">
      <c r="A113" s="13">
        <v>63.5</v>
      </c>
      <c r="B113" s="13">
        <v>5.4799999999999996E-3</v>
      </c>
    </row>
    <row r="114" spans="1:2" x14ac:dyDescent="0.25">
      <c r="A114" s="13">
        <v>64</v>
      </c>
      <c r="B114" s="13">
        <v>5.2900000000000004E-3</v>
      </c>
    </row>
    <row r="115" spans="1:2" x14ac:dyDescent="0.25">
      <c r="A115" s="13">
        <v>64.5</v>
      </c>
      <c r="B115" s="13">
        <v>5.1900000000000002E-3</v>
      </c>
    </row>
    <row r="116" spans="1:2" x14ac:dyDescent="0.25">
      <c r="A116" s="13">
        <v>65</v>
      </c>
      <c r="B116" s="13">
        <v>5.0800000000000003E-3</v>
      </c>
    </row>
    <row r="117" spans="1:2" x14ac:dyDescent="0.25">
      <c r="A117" s="13">
        <v>65.5</v>
      </c>
      <c r="B117" s="13">
        <v>4.9500000000000004E-3</v>
      </c>
    </row>
    <row r="118" spans="1:2" x14ac:dyDescent="0.25">
      <c r="A118" s="13">
        <v>66</v>
      </c>
      <c r="B118" s="13">
        <v>4.7699999999999999E-3</v>
      </c>
    </row>
    <row r="119" spans="1:2" x14ac:dyDescent="0.25">
      <c r="A119" s="13">
        <v>66.5</v>
      </c>
      <c r="B119" s="13">
        <v>4.8300000000000001E-3</v>
      </c>
    </row>
    <row r="120" spans="1:2" x14ac:dyDescent="0.25">
      <c r="A120" s="13">
        <v>67</v>
      </c>
      <c r="B120" s="13">
        <v>6.7200000000000003E-3</v>
      </c>
    </row>
    <row r="121" spans="1:2" x14ac:dyDescent="0.25">
      <c r="A121" s="13">
        <v>67.5</v>
      </c>
      <c r="B121" s="13">
        <v>5.4400000000000004E-3</v>
      </c>
    </row>
    <row r="122" spans="1:2" x14ac:dyDescent="0.25">
      <c r="A122" s="13">
        <v>68</v>
      </c>
      <c r="B122" s="13">
        <v>4.2100000000000002E-3</v>
      </c>
    </row>
    <row r="123" spans="1:2" x14ac:dyDescent="0.25">
      <c r="A123" s="13">
        <v>68.5</v>
      </c>
      <c r="B123" s="13">
        <v>4.0200000000000001E-3</v>
      </c>
    </row>
    <row r="124" spans="1:2" x14ac:dyDescent="0.25">
      <c r="A124" s="13">
        <v>69</v>
      </c>
      <c r="B124" s="13">
        <v>4.5599999999999998E-3</v>
      </c>
    </row>
    <row r="125" spans="1:2" x14ac:dyDescent="0.25">
      <c r="A125" s="13">
        <v>69.5</v>
      </c>
      <c r="B125" s="13">
        <v>3.8999999999999998E-3</v>
      </c>
    </row>
    <row r="126" spans="1:2" x14ac:dyDescent="0.25">
      <c r="A126" s="13">
        <v>70</v>
      </c>
      <c r="B126" s="13">
        <v>3.4399999999999999E-3</v>
      </c>
    </row>
    <row r="127" spans="1:2" x14ac:dyDescent="0.25">
      <c r="A127" s="13">
        <v>70.5</v>
      </c>
      <c r="B127" s="13">
        <v>3.2699999999999999E-3</v>
      </c>
    </row>
    <row r="128" spans="1:2" x14ac:dyDescent="0.25">
      <c r="A128" s="13">
        <v>71</v>
      </c>
      <c r="B128" s="13">
        <v>3.16E-3</v>
      </c>
    </row>
    <row r="129" spans="1:2" x14ac:dyDescent="0.25">
      <c r="A129" s="13">
        <v>71.5</v>
      </c>
      <c r="B129" s="13">
        <v>2.9399999999999999E-3</v>
      </c>
    </row>
    <row r="130" spans="1:2" x14ac:dyDescent="0.25">
      <c r="A130" s="13">
        <v>72</v>
      </c>
      <c r="B130" s="13">
        <v>2.8700000000000002E-3</v>
      </c>
    </row>
    <row r="131" spans="1:2" x14ac:dyDescent="0.25">
      <c r="A131" s="13">
        <v>72.5</v>
      </c>
      <c r="B131" s="13">
        <v>2.81E-3</v>
      </c>
    </row>
    <row r="132" spans="1:2" x14ac:dyDescent="0.25">
      <c r="A132" s="13">
        <v>73</v>
      </c>
      <c r="B132" s="13">
        <v>2.6099999999999999E-3</v>
      </c>
    </row>
    <row r="133" spans="1:2" x14ac:dyDescent="0.25">
      <c r="A133" s="13">
        <v>73.5</v>
      </c>
      <c r="B133" s="13">
        <v>2.3900000000000002E-3</v>
      </c>
    </row>
    <row r="134" spans="1:2" x14ac:dyDescent="0.25">
      <c r="A134" s="13">
        <v>74</v>
      </c>
      <c r="B134" s="13">
        <v>2.32E-3</v>
      </c>
    </row>
    <row r="135" spans="1:2" x14ac:dyDescent="0.25">
      <c r="A135" s="13">
        <v>74.5</v>
      </c>
      <c r="B135" s="13">
        <v>2.0999999999999999E-3</v>
      </c>
    </row>
    <row r="136" spans="1:2" x14ac:dyDescent="0.25">
      <c r="A136" s="13">
        <v>75</v>
      </c>
      <c r="B136" s="13">
        <v>1.9599999999999999E-3</v>
      </c>
    </row>
    <row r="137" spans="1:2" x14ac:dyDescent="0.25">
      <c r="A137" s="13">
        <v>75.5</v>
      </c>
      <c r="B137" s="13">
        <v>1.7700000000000001E-3</v>
      </c>
    </row>
    <row r="138" spans="1:2" x14ac:dyDescent="0.25">
      <c r="A138" s="13">
        <v>76</v>
      </c>
      <c r="B138" s="13">
        <v>1.66E-3</v>
      </c>
    </row>
    <row r="139" spans="1:2" x14ac:dyDescent="0.25">
      <c r="A139" s="13">
        <v>76.5</v>
      </c>
      <c r="B139" s="13">
        <v>1.4400000000000001E-3</v>
      </c>
    </row>
    <row r="140" spans="1:2" x14ac:dyDescent="0.25">
      <c r="A140" s="13">
        <v>77</v>
      </c>
      <c r="B140" s="13">
        <v>1.2700000000000001E-3</v>
      </c>
    </row>
    <row r="141" spans="1:2" x14ac:dyDescent="0.25">
      <c r="A141" s="13">
        <v>77.5</v>
      </c>
      <c r="B141" s="13">
        <v>1.1000000000000001E-3</v>
      </c>
    </row>
    <row r="142" spans="1:2" x14ac:dyDescent="0.25">
      <c r="A142" s="13">
        <v>78</v>
      </c>
      <c r="B142" s="13">
        <v>9.3300000000000002E-4</v>
      </c>
    </row>
    <row r="143" spans="1:2" x14ac:dyDescent="0.25">
      <c r="A143" s="13">
        <v>78.5</v>
      </c>
      <c r="B143" s="13">
        <v>7.3899999999999997E-4</v>
      </c>
    </row>
    <row r="144" spans="1:2" x14ac:dyDescent="0.25">
      <c r="A144" s="13">
        <v>79</v>
      </c>
      <c r="B144" s="13">
        <v>5.1999999999999995E-4</v>
      </c>
    </row>
    <row r="145" spans="1:2" x14ac:dyDescent="0.25">
      <c r="A145" s="13">
        <v>79.5</v>
      </c>
      <c r="B145" s="13">
        <v>3.2000000000000003E-4</v>
      </c>
    </row>
    <row r="146" spans="1:2" x14ac:dyDescent="0.25">
      <c r="A146" s="13">
        <v>80</v>
      </c>
      <c r="B146" s="13">
        <v>8.2299999999999995E-5</v>
      </c>
    </row>
    <row r="147" spans="1:2" x14ac:dyDescent="0.25">
      <c r="A147" s="13">
        <v>80.5</v>
      </c>
      <c r="B147" s="13">
        <v>3.0199999999999999E-6</v>
      </c>
    </row>
    <row r="148" spans="1:2" x14ac:dyDescent="0.25">
      <c r="A148" s="13">
        <v>81</v>
      </c>
      <c r="B148" s="13">
        <v>3.2799999999999999E-6</v>
      </c>
    </row>
    <row r="149" spans="1:2" x14ac:dyDescent="0.25">
      <c r="A149" s="13">
        <v>81.5</v>
      </c>
      <c r="B149" s="13">
        <v>3.4999999999999999E-6</v>
      </c>
    </row>
    <row r="150" spans="1:2" x14ac:dyDescent="0.25">
      <c r="A150" s="13">
        <v>82</v>
      </c>
      <c r="B150" s="13">
        <v>1.79E-6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B186"/>
  <sheetViews>
    <sheetView workbookViewId="0">
      <selection activeCell="L33" sqref="L33"/>
    </sheetView>
  </sheetViews>
  <sheetFormatPr defaultRowHeight="15" x14ac:dyDescent="0.25"/>
  <cols>
    <col min="1" max="1" width="21.28515625" style="1" customWidth="1"/>
    <col min="2" max="2" width="18.570312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10</v>
      </c>
      <c r="B2" s="13">
        <v>5.5500000000000005E-4</v>
      </c>
    </row>
    <row r="3" spans="1:2" x14ac:dyDescent="0.25">
      <c r="A3" s="13">
        <v>10.5</v>
      </c>
      <c r="B3" s="13">
        <v>5.0799999999999999E-4</v>
      </c>
    </row>
    <row r="4" spans="1:2" x14ac:dyDescent="0.25">
      <c r="A4" s="13">
        <v>11</v>
      </c>
      <c r="B4" s="13">
        <v>5.5500000000000005E-4</v>
      </c>
    </row>
    <row r="5" spans="1:2" x14ac:dyDescent="0.25">
      <c r="A5" s="13">
        <v>11.5</v>
      </c>
      <c r="B5" s="13">
        <v>4.37E-4</v>
      </c>
    </row>
    <row r="6" spans="1:2" x14ac:dyDescent="0.25">
      <c r="A6" s="13">
        <v>12</v>
      </c>
      <c r="B6" s="13">
        <v>5.3399999999999997E-4</v>
      </c>
    </row>
    <row r="7" spans="1:2" x14ac:dyDescent="0.25">
      <c r="A7" s="13">
        <v>12.5</v>
      </c>
      <c r="B7" s="13">
        <v>4.35E-4</v>
      </c>
    </row>
    <row r="8" spans="1:2" x14ac:dyDescent="0.25">
      <c r="A8" s="13">
        <v>13</v>
      </c>
      <c r="B8" s="13">
        <v>1.7200000000000001E-4</v>
      </c>
    </row>
    <row r="9" spans="1:2" x14ac:dyDescent="0.25">
      <c r="A9" s="13">
        <v>13.5</v>
      </c>
      <c r="B9" s="13">
        <v>3.3799999999999998E-4</v>
      </c>
    </row>
    <row r="10" spans="1:2" x14ac:dyDescent="0.25">
      <c r="A10" s="13">
        <v>14</v>
      </c>
      <c r="B10" s="13">
        <v>3.6000000000000002E-4</v>
      </c>
    </row>
    <row r="11" spans="1:2" x14ac:dyDescent="0.25">
      <c r="A11" s="13">
        <v>14.5</v>
      </c>
      <c r="B11" s="13">
        <v>2.6899999999999998E-4</v>
      </c>
    </row>
    <row r="12" spans="1:2" x14ac:dyDescent="0.25">
      <c r="A12" s="13">
        <v>15</v>
      </c>
      <c r="B12" s="13">
        <v>1.95E-4</v>
      </c>
    </row>
    <row r="13" spans="1:2" x14ac:dyDescent="0.25">
      <c r="A13" s="13">
        <v>15.5</v>
      </c>
      <c r="B13" s="13">
        <v>3.0899999999999998E-4</v>
      </c>
    </row>
    <row r="14" spans="1:2" x14ac:dyDescent="0.25">
      <c r="A14" s="13">
        <v>16</v>
      </c>
      <c r="B14" s="13">
        <v>7.1899999999999999E-5</v>
      </c>
    </row>
    <row r="15" spans="1:2" x14ac:dyDescent="0.25">
      <c r="A15" s="13">
        <v>16.5</v>
      </c>
      <c r="B15" s="13">
        <v>1.83E-4</v>
      </c>
    </row>
    <row r="16" spans="1:2" x14ac:dyDescent="0.25">
      <c r="A16" s="13">
        <v>17</v>
      </c>
      <c r="B16" s="13">
        <v>2.0699999999999999E-4</v>
      </c>
    </row>
    <row r="17" spans="1:2" x14ac:dyDescent="0.25">
      <c r="A17" s="13">
        <v>17.5</v>
      </c>
      <c r="B17" s="13">
        <v>1.9699999999999999E-4</v>
      </c>
    </row>
    <row r="18" spans="1:2" x14ac:dyDescent="0.25">
      <c r="A18" s="13">
        <v>18</v>
      </c>
      <c r="B18" s="13">
        <v>8.8599999999999999E-5</v>
      </c>
    </row>
    <row r="19" spans="1:2" x14ac:dyDescent="0.25">
      <c r="A19" s="13">
        <v>18.5</v>
      </c>
      <c r="B19" s="13">
        <v>1.76E-4</v>
      </c>
    </row>
    <row r="20" spans="1:2" x14ac:dyDescent="0.25">
      <c r="A20" s="13">
        <v>19</v>
      </c>
      <c r="B20" s="13">
        <v>1.16E-4</v>
      </c>
    </row>
    <row r="21" spans="1:2" x14ac:dyDescent="0.25">
      <c r="A21" s="13">
        <v>19.5</v>
      </c>
      <c r="B21" s="13">
        <v>1.76E-4</v>
      </c>
    </row>
    <row r="22" spans="1:2" x14ac:dyDescent="0.25">
      <c r="A22" s="13">
        <v>20</v>
      </c>
      <c r="B22" s="13">
        <v>2.14E-4</v>
      </c>
    </row>
    <row r="23" spans="1:2" x14ac:dyDescent="0.25">
      <c r="A23" s="13">
        <v>20.5</v>
      </c>
      <c r="B23" s="13">
        <v>2.2800000000000001E-4</v>
      </c>
    </row>
    <row r="24" spans="1:2" x14ac:dyDescent="0.25">
      <c r="A24" s="13">
        <v>21</v>
      </c>
      <c r="B24" s="13">
        <v>2.1900000000000001E-4</v>
      </c>
    </row>
    <row r="25" spans="1:2" x14ac:dyDescent="0.25">
      <c r="A25" s="13">
        <v>21.5</v>
      </c>
      <c r="B25" s="13">
        <v>3.0499999999999999E-4</v>
      </c>
    </row>
    <row r="26" spans="1:2" x14ac:dyDescent="0.25">
      <c r="A26" s="13">
        <v>22</v>
      </c>
      <c r="B26" s="13">
        <v>4.6299999999999998E-4</v>
      </c>
    </row>
    <row r="27" spans="1:2" x14ac:dyDescent="0.25">
      <c r="A27" s="13">
        <v>22.5</v>
      </c>
      <c r="B27" s="13">
        <v>6.9899999999999997E-4</v>
      </c>
    </row>
    <row r="28" spans="1:2" x14ac:dyDescent="0.25">
      <c r="A28" s="13">
        <v>23</v>
      </c>
      <c r="B28" s="13">
        <v>7.3499999999999998E-4</v>
      </c>
    </row>
    <row r="29" spans="1:2" x14ac:dyDescent="0.25">
      <c r="A29" s="13">
        <v>23.5</v>
      </c>
      <c r="B29" s="13">
        <v>9.0899999999999998E-4</v>
      </c>
    </row>
    <row r="30" spans="1:2" x14ac:dyDescent="0.25">
      <c r="A30" s="13">
        <v>24</v>
      </c>
      <c r="B30" s="13">
        <v>1.17E-3</v>
      </c>
    </row>
    <row r="31" spans="1:2" x14ac:dyDescent="0.25">
      <c r="A31" s="13">
        <v>24.5</v>
      </c>
      <c r="B31" s="13">
        <v>1.49E-3</v>
      </c>
    </row>
    <row r="32" spans="1:2" x14ac:dyDescent="0.25">
      <c r="A32" s="13">
        <v>25</v>
      </c>
      <c r="B32" s="13">
        <v>1.8500000000000001E-3</v>
      </c>
    </row>
    <row r="33" spans="1:2" x14ac:dyDescent="0.25">
      <c r="A33" s="13">
        <v>25.5</v>
      </c>
      <c r="B33" s="13">
        <v>2.1700000000000001E-3</v>
      </c>
    </row>
    <row r="34" spans="1:2" x14ac:dyDescent="0.25">
      <c r="A34" s="13">
        <v>26</v>
      </c>
      <c r="B34" s="13">
        <v>2.5699999999999998E-3</v>
      </c>
    </row>
    <row r="35" spans="1:2" x14ac:dyDescent="0.25">
      <c r="A35" s="13">
        <v>26.5</v>
      </c>
      <c r="B35" s="13">
        <v>2.96E-3</v>
      </c>
    </row>
    <row r="36" spans="1:2" x14ac:dyDescent="0.25">
      <c r="A36" s="13">
        <v>27</v>
      </c>
      <c r="B36" s="13">
        <v>3.4399999999999999E-3</v>
      </c>
    </row>
    <row r="37" spans="1:2" x14ac:dyDescent="0.25">
      <c r="A37" s="13">
        <v>27.5</v>
      </c>
      <c r="B37" s="13">
        <v>3.8500000000000001E-3</v>
      </c>
    </row>
    <row r="38" spans="1:2" x14ac:dyDescent="0.25">
      <c r="A38" s="13">
        <v>28</v>
      </c>
      <c r="B38" s="13">
        <v>4.3600000000000002E-3</v>
      </c>
    </row>
    <row r="39" spans="1:2" x14ac:dyDescent="0.25">
      <c r="A39" s="13">
        <v>28.5</v>
      </c>
      <c r="B39" s="13">
        <v>4.79E-3</v>
      </c>
    </row>
    <row r="40" spans="1:2" x14ac:dyDescent="0.25">
      <c r="A40" s="13">
        <v>29</v>
      </c>
      <c r="B40" s="13">
        <v>5.1999999999999998E-3</v>
      </c>
    </row>
    <row r="41" spans="1:2" x14ac:dyDescent="0.25">
      <c r="A41" s="13">
        <v>29.5</v>
      </c>
      <c r="B41" s="13">
        <v>5.9199999999999999E-3</v>
      </c>
    </row>
    <row r="42" spans="1:2" x14ac:dyDescent="0.25">
      <c r="A42" s="13">
        <v>30</v>
      </c>
      <c r="B42" s="13">
        <v>6.2300000000000003E-3</v>
      </c>
    </row>
    <row r="43" spans="1:2" x14ac:dyDescent="0.25">
      <c r="A43" s="13">
        <v>30.5</v>
      </c>
      <c r="B43" s="13">
        <v>6.7099999999999998E-3</v>
      </c>
    </row>
    <row r="44" spans="1:2" x14ac:dyDescent="0.25">
      <c r="A44" s="13">
        <v>31</v>
      </c>
      <c r="B44" s="13">
        <v>7.0000000000000001E-3</v>
      </c>
    </row>
    <row r="45" spans="1:2" x14ac:dyDescent="0.25">
      <c r="A45" s="13">
        <v>31.5</v>
      </c>
      <c r="B45" s="13">
        <v>7.5900000000000004E-3</v>
      </c>
    </row>
    <row r="46" spans="1:2" x14ac:dyDescent="0.25">
      <c r="A46" s="13">
        <v>32</v>
      </c>
      <c r="B46" s="13">
        <v>7.92E-3</v>
      </c>
    </row>
    <row r="47" spans="1:2" x14ac:dyDescent="0.25">
      <c r="A47" s="13">
        <v>32.5</v>
      </c>
      <c r="B47" s="13">
        <v>8.1899999999999994E-3</v>
      </c>
    </row>
    <row r="48" spans="1:2" x14ac:dyDescent="0.25">
      <c r="A48" s="13">
        <v>33</v>
      </c>
      <c r="B48" s="13">
        <v>8.5800000000000008E-3</v>
      </c>
    </row>
    <row r="49" spans="1:2" x14ac:dyDescent="0.25">
      <c r="A49" s="13">
        <v>33.5</v>
      </c>
      <c r="B49" s="13">
        <v>8.94E-3</v>
      </c>
    </row>
    <row r="50" spans="1:2" x14ac:dyDescent="0.25">
      <c r="A50" s="13">
        <v>34</v>
      </c>
      <c r="B50" s="13">
        <v>9.3100000000000006E-3</v>
      </c>
    </row>
    <row r="51" spans="1:2" x14ac:dyDescent="0.25">
      <c r="A51" s="13">
        <v>34.5</v>
      </c>
      <c r="B51" s="13">
        <v>9.3699999999999999E-3</v>
      </c>
    </row>
    <row r="52" spans="1:2" x14ac:dyDescent="0.25">
      <c r="A52" s="13">
        <v>35</v>
      </c>
      <c r="B52" s="13">
        <v>9.8200000000000006E-3</v>
      </c>
    </row>
    <row r="53" spans="1:2" x14ac:dyDescent="0.25">
      <c r="A53" s="13">
        <v>35.5</v>
      </c>
      <c r="B53" s="13">
        <v>0.01</v>
      </c>
    </row>
    <row r="54" spans="1:2" x14ac:dyDescent="0.25">
      <c r="A54" s="13">
        <v>36</v>
      </c>
      <c r="B54" s="13">
        <v>1.0200000000000001E-2</v>
      </c>
    </row>
    <row r="55" spans="1:2" x14ac:dyDescent="0.25">
      <c r="A55" s="13">
        <v>36.5</v>
      </c>
      <c r="B55" s="13">
        <v>1.03E-2</v>
      </c>
    </row>
    <row r="56" spans="1:2" x14ac:dyDescent="0.25">
      <c r="A56" s="13">
        <v>37</v>
      </c>
      <c r="B56" s="13">
        <v>1.04E-2</v>
      </c>
    </row>
    <row r="57" spans="1:2" x14ac:dyDescent="0.25">
      <c r="A57" s="13">
        <v>37.5</v>
      </c>
      <c r="B57" s="13">
        <v>1.06E-2</v>
      </c>
    </row>
    <row r="58" spans="1:2" x14ac:dyDescent="0.25">
      <c r="A58" s="13">
        <v>38</v>
      </c>
      <c r="B58" s="13">
        <v>1.0500000000000001E-2</v>
      </c>
    </row>
    <row r="59" spans="1:2" x14ac:dyDescent="0.25">
      <c r="A59" s="13">
        <v>38.5</v>
      </c>
      <c r="B59" s="13">
        <v>1.0699999999999999E-2</v>
      </c>
    </row>
    <row r="60" spans="1:2" x14ac:dyDescent="0.25">
      <c r="A60" s="13">
        <v>39</v>
      </c>
      <c r="B60" s="13">
        <v>1.0800000000000001E-2</v>
      </c>
    </row>
    <row r="61" spans="1:2" x14ac:dyDescent="0.25">
      <c r="A61" s="13">
        <v>39.5</v>
      </c>
      <c r="B61" s="13">
        <v>1.0800000000000001E-2</v>
      </c>
    </row>
    <row r="62" spans="1:2" x14ac:dyDescent="0.25">
      <c r="A62" s="13">
        <v>40</v>
      </c>
      <c r="B62" s="13">
        <v>1.0699999999999999E-2</v>
      </c>
    </row>
    <row r="63" spans="1:2" x14ac:dyDescent="0.25">
      <c r="A63" s="13">
        <v>40.5</v>
      </c>
      <c r="B63" s="13">
        <v>1.09E-2</v>
      </c>
    </row>
    <row r="64" spans="1:2" x14ac:dyDescent="0.25">
      <c r="A64" s="13">
        <v>41</v>
      </c>
      <c r="B64" s="13">
        <v>1.09E-2</v>
      </c>
    </row>
    <row r="65" spans="1:2" x14ac:dyDescent="0.25">
      <c r="A65" s="13">
        <v>41.5</v>
      </c>
      <c r="B65" s="13">
        <v>1.09E-2</v>
      </c>
    </row>
    <row r="66" spans="1:2" x14ac:dyDescent="0.25">
      <c r="A66" s="13">
        <v>42</v>
      </c>
      <c r="B66" s="13">
        <v>1.09E-2</v>
      </c>
    </row>
    <row r="67" spans="1:2" x14ac:dyDescent="0.25">
      <c r="A67" s="13">
        <v>42.5</v>
      </c>
      <c r="B67" s="13">
        <v>1.0800000000000001E-2</v>
      </c>
    </row>
    <row r="68" spans="1:2" x14ac:dyDescent="0.25">
      <c r="A68" s="13">
        <v>43</v>
      </c>
      <c r="B68" s="13">
        <v>1.09E-2</v>
      </c>
    </row>
    <row r="69" spans="1:2" x14ac:dyDescent="0.25">
      <c r="A69" s="13">
        <v>43.5</v>
      </c>
      <c r="B69" s="13">
        <v>1.09E-2</v>
      </c>
    </row>
    <row r="70" spans="1:2" x14ac:dyDescent="0.25">
      <c r="A70" s="13">
        <v>44</v>
      </c>
      <c r="B70" s="13">
        <v>1.0699999999999999E-2</v>
      </c>
    </row>
    <row r="71" spans="1:2" x14ac:dyDescent="0.25">
      <c r="A71" s="13">
        <v>44.5</v>
      </c>
      <c r="B71" s="13">
        <v>1.0699999999999999E-2</v>
      </c>
    </row>
    <row r="72" spans="1:2" x14ac:dyDescent="0.25">
      <c r="A72" s="13">
        <v>45</v>
      </c>
      <c r="B72" s="13">
        <v>1.06E-2</v>
      </c>
    </row>
    <row r="73" spans="1:2" x14ac:dyDescent="0.25">
      <c r="A73" s="13">
        <v>45.5</v>
      </c>
      <c r="B73" s="13">
        <v>1.0500000000000001E-2</v>
      </c>
    </row>
    <row r="74" spans="1:2" x14ac:dyDescent="0.25">
      <c r="A74" s="13">
        <v>46</v>
      </c>
      <c r="B74" s="13">
        <v>1.0500000000000001E-2</v>
      </c>
    </row>
    <row r="75" spans="1:2" x14ac:dyDescent="0.25">
      <c r="A75" s="13">
        <v>46.5</v>
      </c>
      <c r="B75" s="13">
        <v>1.04E-2</v>
      </c>
    </row>
    <row r="76" spans="1:2" x14ac:dyDescent="0.25">
      <c r="A76" s="13">
        <v>47</v>
      </c>
      <c r="B76" s="13">
        <v>1.0200000000000001E-2</v>
      </c>
    </row>
    <row r="77" spans="1:2" x14ac:dyDescent="0.25">
      <c r="A77" s="13">
        <v>47.5</v>
      </c>
      <c r="B77" s="13">
        <v>1.01E-2</v>
      </c>
    </row>
    <row r="78" spans="1:2" x14ac:dyDescent="0.25">
      <c r="A78" s="13">
        <v>48</v>
      </c>
      <c r="B78" s="13">
        <v>1.01E-2</v>
      </c>
    </row>
    <row r="79" spans="1:2" x14ac:dyDescent="0.25">
      <c r="A79" s="13">
        <v>48.5</v>
      </c>
      <c r="B79" s="13">
        <v>9.9600000000000001E-3</v>
      </c>
    </row>
    <row r="80" spans="1:2" x14ac:dyDescent="0.25">
      <c r="A80" s="13">
        <v>49</v>
      </c>
      <c r="B80" s="13">
        <v>9.7099999999999999E-3</v>
      </c>
    </row>
    <row r="81" spans="1:2" x14ac:dyDescent="0.25">
      <c r="A81" s="13">
        <v>49.5</v>
      </c>
      <c r="B81" s="13">
        <v>9.7199999999999995E-3</v>
      </c>
    </row>
    <row r="82" spans="1:2" x14ac:dyDescent="0.25">
      <c r="A82" s="13">
        <v>50</v>
      </c>
      <c r="B82" s="13">
        <v>9.58E-3</v>
      </c>
    </row>
    <row r="83" spans="1:2" x14ac:dyDescent="0.25">
      <c r="A83" s="13">
        <v>50.5</v>
      </c>
      <c r="B83" s="13">
        <v>9.4500000000000001E-3</v>
      </c>
    </row>
    <row r="84" spans="1:2" x14ac:dyDescent="0.25">
      <c r="A84" s="13">
        <v>51</v>
      </c>
      <c r="B84" s="13">
        <v>9.3600000000000003E-3</v>
      </c>
    </row>
    <row r="85" spans="1:2" x14ac:dyDescent="0.25">
      <c r="A85" s="13">
        <v>51.5</v>
      </c>
      <c r="B85" s="13">
        <v>9.2800000000000001E-3</v>
      </c>
    </row>
    <row r="86" spans="1:2" x14ac:dyDescent="0.25">
      <c r="A86" s="13">
        <v>52</v>
      </c>
      <c r="B86" s="13">
        <v>9.1699999999999993E-3</v>
      </c>
    </row>
    <row r="87" spans="1:2" x14ac:dyDescent="0.25">
      <c r="A87" s="13">
        <v>52.5</v>
      </c>
      <c r="B87" s="13">
        <v>9.0500000000000008E-3</v>
      </c>
    </row>
    <row r="88" spans="1:2" x14ac:dyDescent="0.25">
      <c r="A88" s="13">
        <v>53</v>
      </c>
      <c r="B88" s="13">
        <v>8.9800000000000001E-3</v>
      </c>
    </row>
    <row r="89" spans="1:2" x14ac:dyDescent="0.25">
      <c r="A89" s="13">
        <v>53.5</v>
      </c>
      <c r="B89" s="13">
        <v>8.8800000000000007E-3</v>
      </c>
    </row>
    <row r="90" spans="1:2" x14ac:dyDescent="0.25">
      <c r="A90" s="13">
        <v>54</v>
      </c>
      <c r="B90" s="13">
        <v>8.7899999999999992E-3</v>
      </c>
    </row>
    <row r="91" spans="1:2" x14ac:dyDescent="0.25">
      <c r="A91" s="13">
        <v>54.5</v>
      </c>
      <c r="B91" s="13">
        <v>8.6899999999999998E-3</v>
      </c>
    </row>
    <row r="92" spans="1:2" x14ac:dyDescent="0.25">
      <c r="A92" s="13">
        <v>55</v>
      </c>
      <c r="B92" s="13">
        <v>8.6599999999999993E-3</v>
      </c>
    </row>
    <row r="93" spans="1:2" x14ac:dyDescent="0.25">
      <c r="A93" s="13">
        <v>55.5</v>
      </c>
      <c r="B93" s="13">
        <v>8.3999999999999995E-3</v>
      </c>
    </row>
    <row r="94" spans="1:2" x14ac:dyDescent="0.25">
      <c r="A94" s="13">
        <v>56</v>
      </c>
      <c r="B94" s="13">
        <v>8.4399999999999996E-3</v>
      </c>
    </row>
    <row r="95" spans="1:2" x14ac:dyDescent="0.25">
      <c r="A95" s="13">
        <v>56.5</v>
      </c>
      <c r="B95" s="13">
        <v>8.3199999999999993E-3</v>
      </c>
    </row>
    <row r="96" spans="1:2" x14ac:dyDescent="0.25">
      <c r="A96" s="13">
        <v>57</v>
      </c>
      <c r="B96" s="13">
        <v>8.2199999999999999E-3</v>
      </c>
    </row>
    <row r="97" spans="1:2" x14ac:dyDescent="0.25">
      <c r="A97" s="13">
        <v>57.5</v>
      </c>
      <c r="B97" s="13">
        <v>1.0200000000000001E-2</v>
      </c>
    </row>
    <row r="98" spans="1:2" x14ac:dyDescent="0.25">
      <c r="A98" s="13">
        <v>58</v>
      </c>
      <c r="B98" s="13">
        <v>2.3699999999999999E-2</v>
      </c>
    </row>
    <row r="99" spans="1:2" x14ac:dyDescent="0.25">
      <c r="A99" s="13">
        <v>58.5</v>
      </c>
      <c r="B99" s="13">
        <v>9.3399999999999993E-3</v>
      </c>
    </row>
    <row r="100" spans="1:2" x14ac:dyDescent="0.25">
      <c r="A100" s="13">
        <v>59</v>
      </c>
      <c r="B100" s="13">
        <v>2.06E-2</v>
      </c>
    </row>
    <row r="101" spans="1:2" x14ac:dyDescent="0.25">
      <c r="A101" s="13">
        <v>59.5</v>
      </c>
      <c r="B101" s="13">
        <v>2.8799999999999999E-2</v>
      </c>
    </row>
    <row r="102" spans="1:2" x14ac:dyDescent="0.25">
      <c r="A102" s="13">
        <v>60</v>
      </c>
      <c r="B102" s="13">
        <v>7.8200000000000006E-3</v>
      </c>
    </row>
    <row r="103" spans="1:2" x14ac:dyDescent="0.25">
      <c r="A103" s="13">
        <v>60.5</v>
      </c>
      <c r="B103" s="13">
        <v>7.4000000000000003E-3</v>
      </c>
    </row>
    <row r="104" spans="1:2" x14ac:dyDescent="0.25">
      <c r="A104" s="13">
        <v>61</v>
      </c>
      <c r="B104" s="13">
        <v>7.2399999999999999E-3</v>
      </c>
    </row>
    <row r="105" spans="1:2" x14ac:dyDescent="0.25">
      <c r="A105" s="13">
        <v>61.5</v>
      </c>
      <c r="B105" s="13">
        <v>7.2300000000000003E-3</v>
      </c>
    </row>
    <row r="106" spans="1:2" x14ac:dyDescent="0.25">
      <c r="A106" s="13">
        <v>62</v>
      </c>
      <c r="B106" s="13">
        <v>7.0499999999999998E-3</v>
      </c>
    </row>
    <row r="107" spans="1:2" x14ac:dyDescent="0.25">
      <c r="A107" s="13">
        <v>62.5</v>
      </c>
      <c r="B107" s="13">
        <v>6.96E-3</v>
      </c>
    </row>
    <row r="108" spans="1:2" x14ac:dyDescent="0.25">
      <c r="A108" s="13">
        <v>63</v>
      </c>
      <c r="B108" s="13">
        <v>6.9800000000000001E-3</v>
      </c>
    </row>
    <row r="109" spans="1:2" x14ac:dyDescent="0.25">
      <c r="A109" s="13">
        <v>63.5</v>
      </c>
      <c r="B109" s="13">
        <v>6.8799999999999998E-3</v>
      </c>
    </row>
    <row r="110" spans="1:2" x14ac:dyDescent="0.25">
      <c r="A110" s="13">
        <v>64</v>
      </c>
      <c r="B110" s="13">
        <v>6.7000000000000002E-3</v>
      </c>
    </row>
    <row r="111" spans="1:2" x14ac:dyDescent="0.25">
      <c r="A111" s="13">
        <v>64.5</v>
      </c>
      <c r="B111" s="13">
        <v>6.7499999999999999E-3</v>
      </c>
    </row>
    <row r="112" spans="1:2" x14ac:dyDescent="0.25">
      <c r="A112" s="13">
        <v>65</v>
      </c>
      <c r="B112" s="13">
        <v>6.6299999999999996E-3</v>
      </c>
    </row>
    <row r="113" spans="1:2" x14ac:dyDescent="0.25">
      <c r="A113" s="13">
        <v>65.5</v>
      </c>
      <c r="B113" s="13">
        <v>6.6499999999999997E-3</v>
      </c>
    </row>
    <row r="114" spans="1:2" x14ac:dyDescent="0.25">
      <c r="A114" s="13">
        <v>66</v>
      </c>
      <c r="B114" s="13">
        <v>6.43E-3</v>
      </c>
    </row>
    <row r="115" spans="1:2" x14ac:dyDescent="0.25">
      <c r="A115" s="13">
        <v>66.5</v>
      </c>
      <c r="B115" s="13">
        <v>7.1700000000000002E-3</v>
      </c>
    </row>
    <row r="116" spans="1:2" x14ac:dyDescent="0.25">
      <c r="A116" s="13">
        <v>67</v>
      </c>
      <c r="B116" s="13">
        <v>1.47E-2</v>
      </c>
    </row>
    <row r="117" spans="1:2" x14ac:dyDescent="0.25">
      <c r="A117" s="13">
        <v>67.5</v>
      </c>
      <c r="B117" s="13">
        <v>1.0800000000000001E-2</v>
      </c>
    </row>
    <row r="118" spans="1:2" x14ac:dyDescent="0.25">
      <c r="A118" s="13">
        <v>68</v>
      </c>
      <c r="B118" s="13">
        <v>6.28E-3</v>
      </c>
    </row>
    <row r="119" spans="1:2" x14ac:dyDescent="0.25">
      <c r="A119" s="13">
        <v>68.5</v>
      </c>
      <c r="B119" s="13">
        <v>6.2399999999999999E-3</v>
      </c>
    </row>
    <row r="120" spans="1:2" x14ac:dyDescent="0.25">
      <c r="A120" s="13">
        <v>69</v>
      </c>
      <c r="B120" s="13">
        <v>8.6599999999999993E-3</v>
      </c>
    </row>
    <row r="121" spans="1:2" x14ac:dyDescent="0.25">
      <c r="A121" s="13">
        <v>69.5</v>
      </c>
      <c r="B121" s="13">
        <v>6.5900000000000004E-3</v>
      </c>
    </row>
    <row r="122" spans="1:2" x14ac:dyDescent="0.25">
      <c r="A122" s="13">
        <v>70</v>
      </c>
      <c r="B122" s="13">
        <v>5.2900000000000004E-3</v>
      </c>
    </row>
    <row r="123" spans="1:2" x14ac:dyDescent="0.25">
      <c r="A123" s="13">
        <v>70.5</v>
      </c>
      <c r="B123" s="13">
        <v>5.2500000000000003E-3</v>
      </c>
    </row>
    <row r="124" spans="1:2" x14ac:dyDescent="0.25">
      <c r="A124" s="13">
        <v>71</v>
      </c>
      <c r="B124" s="13">
        <v>5.2100000000000002E-3</v>
      </c>
    </row>
    <row r="125" spans="1:2" x14ac:dyDescent="0.25">
      <c r="A125" s="13">
        <v>71.5</v>
      </c>
      <c r="B125" s="13">
        <v>5.1200000000000004E-3</v>
      </c>
    </row>
    <row r="126" spans="1:2" x14ac:dyDescent="0.25">
      <c r="A126" s="13">
        <v>72</v>
      </c>
      <c r="B126" s="13">
        <v>4.9699999999999996E-3</v>
      </c>
    </row>
    <row r="127" spans="1:2" x14ac:dyDescent="0.25">
      <c r="A127" s="13">
        <v>72.5</v>
      </c>
      <c r="B127" s="13">
        <v>4.96E-3</v>
      </c>
    </row>
    <row r="128" spans="1:2" x14ac:dyDescent="0.25">
      <c r="A128" s="13">
        <v>73</v>
      </c>
      <c r="B128" s="13">
        <v>4.8399999999999997E-3</v>
      </c>
    </row>
    <row r="129" spans="1:2" x14ac:dyDescent="0.25">
      <c r="A129" s="13">
        <v>73.5</v>
      </c>
      <c r="B129" s="13">
        <v>4.7999999999999996E-3</v>
      </c>
    </row>
    <row r="130" spans="1:2" x14ac:dyDescent="0.25">
      <c r="A130" s="13">
        <v>74</v>
      </c>
      <c r="B130" s="13">
        <v>4.7499999999999999E-3</v>
      </c>
    </row>
    <row r="131" spans="1:2" x14ac:dyDescent="0.25">
      <c r="A131" s="13">
        <v>74.5</v>
      </c>
      <c r="B131" s="13">
        <v>4.6699999999999997E-3</v>
      </c>
    </row>
    <row r="132" spans="1:2" x14ac:dyDescent="0.25">
      <c r="A132" s="13">
        <v>75</v>
      </c>
      <c r="B132" s="13">
        <v>4.5599999999999998E-3</v>
      </c>
    </row>
    <row r="133" spans="1:2" x14ac:dyDescent="0.25">
      <c r="A133" s="13">
        <v>75.5</v>
      </c>
      <c r="B133" s="13">
        <v>4.5300000000000002E-3</v>
      </c>
    </row>
    <row r="134" spans="1:2" x14ac:dyDescent="0.25">
      <c r="A134" s="13">
        <v>76</v>
      </c>
      <c r="B134" s="13">
        <v>4.4400000000000004E-3</v>
      </c>
    </row>
    <row r="135" spans="1:2" x14ac:dyDescent="0.25">
      <c r="A135" s="13">
        <v>76.5</v>
      </c>
      <c r="B135" s="13">
        <v>4.2700000000000004E-3</v>
      </c>
    </row>
    <row r="136" spans="1:2" x14ac:dyDescent="0.25">
      <c r="A136" s="13">
        <v>77</v>
      </c>
      <c r="B136" s="13">
        <v>4.2500000000000003E-3</v>
      </c>
    </row>
    <row r="137" spans="1:2" x14ac:dyDescent="0.25">
      <c r="A137" s="13">
        <v>77.5</v>
      </c>
      <c r="B137" s="13">
        <v>4.2100000000000002E-3</v>
      </c>
    </row>
    <row r="138" spans="1:2" x14ac:dyDescent="0.25">
      <c r="A138" s="13">
        <v>78</v>
      </c>
      <c r="B138" s="13">
        <v>4.1399999999999996E-3</v>
      </c>
    </row>
    <row r="139" spans="1:2" x14ac:dyDescent="0.25">
      <c r="A139" s="13">
        <v>78.5</v>
      </c>
      <c r="B139" s="13">
        <v>4.0299999999999997E-3</v>
      </c>
    </row>
    <row r="140" spans="1:2" x14ac:dyDescent="0.25">
      <c r="A140" s="13">
        <v>79</v>
      </c>
      <c r="B140" s="13">
        <v>3.9500000000000004E-3</v>
      </c>
    </row>
    <row r="141" spans="1:2" x14ac:dyDescent="0.25">
      <c r="A141" s="13">
        <v>79.5</v>
      </c>
      <c r="B141" s="13">
        <v>3.8400000000000001E-3</v>
      </c>
    </row>
    <row r="142" spans="1:2" x14ac:dyDescent="0.25">
      <c r="A142" s="13">
        <v>80</v>
      </c>
      <c r="B142" s="13">
        <v>3.8E-3</v>
      </c>
    </row>
    <row r="143" spans="1:2" x14ac:dyDescent="0.25">
      <c r="A143" s="13">
        <v>80.5</v>
      </c>
      <c r="B143" s="13">
        <v>3.7299999999999998E-3</v>
      </c>
    </row>
    <row r="144" spans="1:2" x14ac:dyDescent="0.25">
      <c r="A144" s="13">
        <v>81</v>
      </c>
      <c r="B144" s="13">
        <v>3.6700000000000001E-3</v>
      </c>
    </row>
    <row r="145" spans="1:2" x14ac:dyDescent="0.25">
      <c r="A145" s="13">
        <v>81.5</v>
      </c>
      <c r="B145" s="13">
        <v>3.5599999999999998E-3</v>
      </c>
    </row>
    <row r="146" spans="1:2" x14ac:dyDescent="0.25">
      <c r="A146" s="13">
        <v>82</v>
      </c>
      <c r="B146" s="13">
        <v>3.5300000000000002E-3</v>
      </c>
    </row>
    <row r="147" spans="1:2" x14ac:dyDescent="0.25">
      <c r="A147" s="13">
        <v>82.5</v>
      </c>
      <c r="B147" s="13">
        <v>3.46E-3</v>
      </c>
    </row>
    <row r="148" spans="1:2" x14ac:dyDescent="0.25">
      <c r="A148" s="13">
        <v>83</v>
      </c>
      <c r="B148" s="13">
        <v>3.3400000000000001E-3</v>
      </c>
    </row>
    <row r="149" spans="1:2" x14ac:dyDescent="0.25">
      <c r="A149" s="13">
        <v>83.5</v>
      </c>
      <c r="B149" s="13">
        <v>3.29E-3</v>
      </c>
    </row>
    <row r="150" spans="1:2" x14ac:dyDescent="0.25">
      <c r="A150" s="13">
        <v>84</v>
      </c>
      <c r="B150" s="13">
        <v>3.2200000000000002E-3</v>
      </c>
    </row>
    <row r="151" spans="1:2" x14ac:dyDescent="0.25">
      <c r="A151" s="13">
        <v>84.5</v>
      </c>
      <c r="B151" s="13">
        <v>3.14E-3</v>
      </c>
    </row>
    <row r="152" spans="1:2" x14ac:dyDescent="0.25">
      <c r="A152" s="13">
        <v>85</v>
      </c>
      <c r="B152" s="13">
        <v>3.13E-3</v>
      </c>
    </row>
    <row r="153" spans="1:2" x14ac:dyDescent="0.25">
      <c r="A153" s="13">
        <v>85.5</v>
      </c>
      <c r="B153" s="13">
        <v>3.0100000000000001E-3</v>
      </c>
    </row>
    <row r="154" spans="1:2" x14ac:dyDescent="0.25">
      <c r="A154" s="13">
        <v>86</v>
      </c>
      <c r="B154" s="13">
        <v>2.9199999999999999E-3</v>
      </c>
    </row>
    <row r="155" spans="1:2" x14ac:dyDescent="0.25">
      <c r="A155" s="13">
        <v>86.5</v>
      </c>
      <c r="B155" s="13">
        <v>2.8500000000000001E-3</v>
      </c>
    </row>
    <row r="156" spans="1:2" x14ac:dyDescent="0.25">
      <c r="A156" s="13">
        <v>87</v>
      </c>
      <c r="B156" s="13">
        <v>2.7399999999999998E-3</v>
      </c>
    </row>
    <row r="157" spans="1:2" x14ac:dyDescent="0.25">
      <c r="A157" s="13">
        <v>87.5</v>
      </c>
      <c r="B157" s="13">
        <v>2.66E-3</v>
      </c>
    </row>
    <row r="158" spans="1:2" x14ac:dyDescent="0.25">
      <c r="A158" s="13">
        <v>88</v>
      </c>
      <c r="B158" s="13">
        <v>2.5500000000000002E-3</v>
      </c>
    </row>
    <row r="159" spans="1:2" x14ac:dyDescent="0.25">
      <c r="A159" s="13">
        <v>88.5</v>
      </c>
      <c r="B159" s="13">
        <v>2.4099999999999998E-3</v>
      </c>
    </row>
    <row r="160" spans="1:2" x14ac:dyDescent="0.25">
      <c r="A160" s="13">
        <v>89</v>
      </c>
      <c r="B160" s="13">
        <v>2.3500000000000001E-3</v>
      </c>
    </row>
    <row r="161" spans="1:2" x14ac:dyDescent="0.25">
      <c r="A161" s="13">
        <v>89.5</v>
      </c>
      <c r="B161" s="13">
        <v>2.33E-3</v>
      </c>
    </row>
    <row r="162" spans="1:2" x14ac:dyDescent="0.25">
      <c r="A162" s="13">
        <v>90</v>
      </c>
      <c r="B162" s="13">
        <v>2.1900000000000001E-3</v>
      </c>
    </row>
    <row r="163" spans="1:2" x14ac:dyDescent="0.25">
      <c r="A163" s="13">
        <v>90.5</v>
      </c>
      <c r="B163" s="13">
        <v>2.0999999999999999E-3</v>
      </c>
    </row>
    <row r="164" spans="1:2" x14ac:dyDescent="0.25">
      <c r="A164" s="13">
        <v>91</v>
      </c>
      <c r="B164" s="13">
        <v>2.0500000000000002E-3</v>
      </c>
    </row>
    <row r="165" spans="1:2" x14ac:dyDescent="0.25">
      <c r="A165" s="13">
        <v>91.5</v>
      </c>
      <c r="B165" s="13">
        <v>1.92E-3</v>
      </c>
    </row>
    <row r="166" spans="1:2" x14ac:dyDescent="0.25">
      <c r="A166" s="13">
        <v>92</v>
      </c>
      <c r="B166" s="13">
        <v>1.82E-3</v>
      </c>
    </row>
    <row r="167" spans="1:2" x14ac:dyDescent="0.25">
      <c r="A167" s="13">
        <v>92.5</v>
      </c>
      <c r="B167" s="13">
        <v>1.73E-3</v>
      </c>
    </row>
    <row r="168" spans="1:2" x14ac:dyDescent="0.25">
      <c r="A168" s="13">
        <v>93</v>
      </c>
      <c r="B168" s="13">
        <v>1.67E-3</v>
      </c>
    </row>
    <row r="169" spans="1:2" x14ac:dyDescent="0.25">
      <c r="A169" s="13">
        <v>93.5</v>
      </c>
      <c r="B169" s="13">
        <v>1.5499999999999999E-3</v>
      </c>
    </row>
    <row r="170" spans="1:2" x14ac:dyDescent="0.25">
      <c r="A170" s="13">
        <v>94</v>
      </c>
      <c r="B170" s="13">
        <v>1.47E-3</v>
      </c>
    </row>
    <row r="171" spans="1:2" x14ac:dyDescent="0.25">
      <c r="A171" s="13">
        <v>94.5</v>
      </c>
      <c r="B171" s="13">
        <v>1.3500000000000001E-3</v>
      </c>
    </row>
    <row r="172" spans="1:2" x14ac:dyDescent="0.25">
      <c r="A172" s="13">
        <v>95</v>
      </c>
      <c r="B172" s="13">
        <v>1.2700000000000001E-3</v>
      </c>
    </row>
    <row r="173" spans="1:2" x14ac:dyDescent="0.25">
      <c r="A173" s="13">
        <v>95.5</v>
      </c>
      <c r="B173" s="13">
        <v>1.15E-3</v>
      </c>
    </row>
    <row r="174" spans="1:2" x14ac:dyDescent="0.25">
      <c r="A174" s="13">
        <v>96</v>
      </c>
      <c r="B174" s="13">
        <v>1.0499999999999999E-3</v>
      </c>
    </row>
    <row r="175" spans="1:2" x14ac:dyDescent="0.25">
      <c r="A175" s="13">
        <v>96.5</v>
      </c>
      <c r="B175" s="13">
        <v>9.3599999999999998E-4</v>
      </c>
    </row>
    <row r="176" spans="1:2" x14ac:dyDescent="0.25">
      <c r="A176" s="13">
        <v>97</v>
      </c>
      <c r="B176" s="13">
        <v>8.1899999999999996E-4</v>
      </c>
    </row>
    <row r="177" spans="1:2" x14ac:dyDescent="0.25">
      <c r="A177" s="13">
        <v>97.5</v>
      </c>
      <c r="B177" s="13">
        <v>7.3099999999999999E-4</v>
      </c>
    </row>
    <row r="178" spans="1:2" x14ac:dyDescent="0.25">
      <c r="A178" s="13">
        <v>98</v>
      </c>
      <c r="B178" s="13">
        <v>6.0099999999999997E-4</v>
      </c>
    </row>
    <row r="179" spans="1:2" x14ac:dyDescent="0.25">
      <c r="A179" s="13">
        <v>98.5</v>
      </c>
      <c r="B179" s="13">
        <v>4.7199999999999998E-4</v>
      </c>
    </row>
    <row r="180" spans="1:2" x14ac:dyDescent="0.25">
      <c r="A180" s="13">
        <v>99</v>
      </c>
      <c r="B180" s="13">
        <v>3.4000000000000002E-4</v>
      </c>
    </row>
    <row r="181" spans="1:2" x14ac:dyDescent="0.25">
      <c r="A181" s="13">
        <v>99.5</v>
      </c>
      <c r="B181" s="13">
        <v>2.14E-4</v>
      </c>
    </row>
    <row r="182" spans="1:2" x14ac:dyDescent="0.25">
      <c r="A182" s="13">
        <v>100</v>
      </c>
      <c r="B182" s="13">
        <v>4.9299999999999999E-5</v>
      </c>
    </row>
    <row r="183" spans="1:2" x14ac:dyDescent="0.25">
      <c r="A183" s="13">
        <v>101</v>
      </c>
      <c r="B183" s="13">
        <v>5.6999999999999996E-6</v>
      </c>
    </row>
    <row r="184" spans="1:2" x14ac:dyDescent="0.25">
      <c r="A184" s="13">
        <v>101</v>
      </c>
      <c r="B184" s="13">
        <v>6.4400000000000002E-6</v>
      </c>
    </row>
    <row r="185" spans="1:2" x14ac:dyDescent="0.25">
      <c r="A185" s="13">
        <v>102</v>
      </c>
      <c r="B185" s="13">
        <v>1.0000000000000001E-5</v>
      </c>
    </row>
    <row r="186" spans="1:2" x14ac:dyDescent="0.25">
      <c r="A186" s="13">
        <v>102</v>
      </c>
      <c r="B186" s="13">
        <v>6.81E-6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B136"/>
  <sheetViews>
    <sheetView workbookViewId="0">
      <selection activeCell="P24" sqref="P24"/>
    </sheetView>
  </sheetViews>
  <sheetFormatPr defaultRowHeight="15" x14ac:dyDescent="0.25"/>
  <cols>
    <col min="1" max="1" width="14.5703125" style="1" customWidth="1"/>
    <col min="2" max="2" width="15.2851562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18</v>
      </c>
      <c r="B2" s="13">
        <v>5.4500000000000002E-4</v>
      </c>
    </row>
    <row r="3" spans="1:2" x14ac:dyDescent="0.25">
      <c r="A3" s="13">
        <v>19</v>
      </c>
      <c r="B3" s="13">
        <v>4.26E-4</v>
      </c>
    </row>
    <row r="4" spans="1:2" x14ac:dyDescent="0.25">
      <c r="A4" s="13">
        <v>20</v>
      </c>
      <c r="B4" s="13">
        <v>3.6900000000000002E-4</v>
      </c>
    </row>
    <row r="5" spans="1:2" x14ac:dyDescent="0.25">
      <c r="A5" s="13">
        <v>21</v>
      </c>
      <c r="B5" s="13">
        <v>2.1499999999999999E-4</v>
      </c>
    </row>
    <row r="6" spans="1:2" x14ac:dyDescent="0.25">
      <c r="A6" s="13">
        <v>22</v>
      </c>
      <c r="B6" s="13">
        <v>1.22E-4</v>
      </c>
    </row>
    <row r="7" spans="1:2" x14ac:dyDescent="0.25">
      <c r="A7" s="13">
        <v>23</v>
      </c>
      <c r="B7" s="13">
        <v>2.3000000000000001E-4</v>
      </c>
    </row>
    <row r="8" spans="1:2" x14ac:dyDescent="0.25">
      <c r="A8" s="13">
        <v>24</v>
      </c>
      <c r="B8" s="13">
        <v>1.7899999999999999E-4</v>
      </c>
    </row>
    <row r="9" spans="1:2" x14ac:dyDescent="0.25">
      <c r="A9" s="13">
        <v>25</v>
      </c>
      <c r="B9" s="13">
        <v>1.6899999999999999E-4</v>
      </c>
    </row>
    <row r="10" spans="1:2" x14ac:dyDescent="0.25">
      <c r="A10" s="13">
        <v>26</v>
      </c>
      <c r="B10" s="13">
        <v>1.5300000000000001E-4</v>
      </c>
    </row>
    <row r="11" spans="1:2" x14ac:dyDescent="0.25">
      <c r="A11" s="13">
        <v>27</v>
      </c>
      <c r="B11" s="13">
        <v>2.1100000000000001E-4</v>
      </c>
    </row>
    <row r="12" spans="1:2" x14ac:dyDescent="0.25">
      <c r="A12" s="13">
        <v>28</v>
      </c>
      <c r="B12" s="13">
        <v>2.3000000000000001E-4</v>
      </c>
    </row>
    <row r="13" spans="1:2" x14ac:dyDescent="0.25">
      <c r="A13" s="13">
        <v>29</v>
      </c>
      <c r="B13" s="13">
        <v>3.4499999999999998E-4</v>
      </c>
    </row>
    <row r="14" spans="1:2" x14ac:dyDescent="0.25">
      <c r="A14" s="13">
        <v>30</v>
      </c>
      <c r="B14" s="13">
        <v>4.3100000000000001E-4</v>
      </c>
    </row>
    <row r="15" spans="1:2" x14ac:dyDescent="0.25">
      <c r="A15" s="13">
        <v>31</v>
      </c>
      <c r="B15" s="13">
        <v>5.8100000000000003E-4</v>
      </c>
    </row>
    <row r="16" spans="1:2" x14ac:dyDescent="0.25">
      <c r="A16" s="13">
        <v>32</v>
      </c>
      <c r="B16" s="13">
        <v>8.8900000000000003E-4</v>
      </c>
    </row>
    <row r="17" spans="1:2" x14ac:dyDescent="0.25">
      <c r="A17" s="13">
        <v>33</v>
      </c>
      <c r="B17" s="13">
        <v>1.2099999999999999E-3</v>
      </c>
    </row>
    <row r="18" spans="1:2" x14ac:dyDescent="0.25">
      <c r="A18" s="13">
        <v>34</v>
      </c>
      <c r="B18" s="13">
        <v>1.56E-3</v>
      </c>
    </row>
    <row r="19" spans="1:2" x14ac:dyDescent="0.25">
      <c r="A19" s="13">
        <v>35</v>
      </c>
      <c r="B19" s="13">
        <v>2.0999999999999999E-3</v>
      </c>
    </row>
    <row r="20" spans="1:2" x14ac:dyDescent="0.25">
      <c r="A20" s="13">
        <v>36</v>
      </c>
      <c r="B20" s="13">
        <v>2.4499999999999999E-3</v>
      </c>
    </row>
    <row r="21" spans="1:2" x14ac:dyDescent="0.25">
      <c r="A21" s="13">
        <v>37</v>
      </c>
      <c r="B21" s="13">
        <v>3.0500000000000002E-3</v>
      </c>
    </row>
    <row r="22" spans="1:2" x14ac:dyDescent="0.25">
      <c r="A22" s="13">
        <v>38</v>
      </c>
      <c r="B22" s="13">
        <v>3.5899999999999999E-3</v>
      </c>
    </row>
    <row r="23" spans="1:2" x14ac:dyDescent="0.25">
      <c r="A23" s="13">
        <v>39</v>
      </c>
      <c r="B23" s="13">
        <v>4.1799999999999997E-3</v>
      </c>
    </row>
    <row r="24" spans="1:2" x14ac:dyDescent="0.25">
      <c r="A24" s="13">
        <v>40</v>
      </c>
      <c r="B24" s="13">
        <v>4.7499999999999999E-3</v>
      </c>
    </row>
    <row r="25" spans="1:2" x14ac:dyDescent="0.25">
      <c r="A25" s="13">
        <v>41</v>
      </c>
      <c r="B25" s="13">
        <v>5.2900000000000004E-3</v>
      </c>
    </row>
    <row r="26" spans="1:2" x14ac:dyDescent="0.25">
      <c r="A26" s="13">
        <v>42</v>
      </c>
      <c r="B26" s="13">
        <v>5.9300000000000004E-3</v>
      </c>
    </row>
    <row r="27" spans="1:2" x14ac:dyDescent="0.25">
      <c r="A27" s="13">
        <v>43</v>
      </c>
      <c r="B27" s="13">
        <v>6.5399999999999998E-3</v>
      </c>
    </row>
    <row r="28" spans="1:2" x14ac:dyDescent="0.25">
      <c r="A28" s="13">
        <v>44</v>
      </c>
      <c r="B28" s="13">
        <v>6.94E-3</v>
      </c>
    </row>
    <row r="29" spans="1:2" x14ac:dyDescent="0.25">
      <c r="A29" s="13">
        <v>45</v>
      </c>
      <c r="B29" s="13">
        <v>7.4099999999999999E-3</v>
      </c>
    </row>
    <row r="30" spans="1:2" x14ac:dyDescent="0.25">
      <c r="A30" s="13">
        <v>46</v>
      </c>
      <c r="B30" s="13">
        <v>8.0099999999999998E-3</v>
      </c>
    </row>
    <row r="31" spans="1:2" x14ac:dyDescent="0.25">
      <c r="A31" s="13">
        <v>47</v>
      </c>
      <c r="B31" s="13">
        <v>8.3400000000000002E-3</v>
      </c>
    </row>
    <row r="32" spans="1:2" x14ac:dyDescent="0.25">
      <c r="A32" s="13">
        <v>48</v>
      </c>
      <c r="B32" s="13">
        <v>8.7200000000000003E-3</v>
      </c>
    </row>
    <row r="33" spans="1:2" x14ac:dyDescent="0.25">
      <c r="A33" s="13">
        <v>49</v>
      </c>
      <c r="B33" s="13">
        <v>9.0200000000000002E-3</v>
      </c>
    </row>
    <row r="34" spans="1:2" x14ac:dyDescent="0.25">
      <c r="A34" s="13">
        <v>50</v>
      </c>
      <c r="B34" s="13">
        <v>9.4000000000000004E-3</v>
      </c>
    </row>
    <row r="35" spans="1:2" x14ac:dyDescent="0.25">
      <c r="A35" s="13">
        <v>51</v>
      </c>
      <c r="B35" s="13">
        <v>9.8700000000000003E-3</v>
      </c>
    </row>
    <row r="36" spans="1:2" x14ac:dyDescent="0.25">
      <c r="A36" s="13">
        <v>52</v>
      </c>
      <c r="B36" s="13">
        <v>1.01E-2</v>
      </c>
    </row>
    <row r="37" spans="1:2" x14ac:dyDescent="0.25">
      <c r="A37" s="13">
        <v>53</v>
      </c>
      <c r="B37" s="13">
        <v>1.04E-2</v>
      </c>
    </row>
    <row r="38" spans="1:2" x14ac:dyDescent="0.25">
      <c r="A38" s="13">
        <v>54</v>
      </c>
      <c r="B38" s="13">
        <v>1.06E-2</v>
      </c>
    </row>
    <row r="39" spans="1:2" x14ac:dyDescent="0.25">
      <c r="A39" s="13">
        <v>55</v>
      </c>
      <c r="B39" s="13">
        <v>1.0800000000000001E-2</v>
      </c>
    </row>
    <row r="40" spans="1:2" x14ac:dyDescent="0.25">
      <c r="A40" s="13">
        <v>56</v>
      </c>
      <c r="B40" s="13">
        <v>1.12E-2</v>
      </c>
    </row>
    <row r="41" spans="1:2" x14ac:dyDescent="0.25">
      <c r="A41" s="13">
        <v>57</v>
      </c>
      <c r="B41" s="13">
        <v>1.17E-2</v>
      </c>
    </row>
    <row r="42" spans="1:2" x14ac:dyDescent="0.25">
      <c r="A42" s="13">
        <v>58</v>
      </c>
      <c r="B42" s="13">
        <v>4.0800000000000003E-2</v>
      </c>
    </row>
    <row r="43" spans="1:2" x14ac:dyDescent="0.25">
      <c r="A43" s="13">
        <v>59</v>
      </c>
      <c r="B43" s="13">
        <v>5.0999999999999997E-2</v>
      </c>
    </row>
    <row r="44" spans="1:2" x14ac:dyDescent="0.25">
      <c r="A44" s="13">
        <v>60</v>
      </c>
      <c r="B44" s="13">
        <v>2.8899999999999999E-2</v>
      </c>
    </row>
    <row r="45" spans="1:2" x14ac:dyDescent="0.25">
      <c r="A45" s="13">
        <v>61</v>
      </c>
      <c r="B45" s="13">
        <v>1.17E-2</v>
      </c>
    </row>
    <row r="46" spans="1:2" x14ac:dyDescent="0.25">
      <c r="A46" s="13">
        <v>62</v>
      </c>
      <c r="B46" s="13">
        <v>1.17E-2</v>
      </c>
    </row>
    <row r="47" spans="1:2" x14ac:dyDescent="0.25">
      <c r="A47" s="13">
        <v>63</v>
      </c>
      <c r="B47" s="13">
        <v>1.18E-2</v>
      </c>
    </row>
    <row r="48" spans="1:2" x14ac:dyDescent="0.25">
      <c r="A48" s="13">
        <v>64</v>
      </c>
      <c r="B48" s="13">
        <v>1.17E-2</v>
      </c>
    </row>
    <row r="49" spans="1:2" x14ac:dyDescent="0.25">
      <c r="A49" s="13">
        <v>65</v>
      </c>
      <c r="B49" s="13">
        <v>1.1900000000000001E-2</v>
      </c>
    </row>
    <row r="50" spans="1:2" x14ac:dyDescent="0.25">
      <c r="A50" s="13">
        <v>66</v>
      </c>
      <c r="B50" s="13">
        <v>1.2200000000000001E-2</v>
      </c>
    </row>
    <row r="51" spans="1:2" x14ac:dyDescent="0.25">
      <c r="A51" s="13">
        <v>67</v>
      </c>
      <c r="B51" s="13">
        <v>3.44E-2</v>
      </c>
    </row>
    <row r="52" spans="1:2" x14ac:dyDescent="0.25">
      <c r="A52" s="13">
        <v>68</v>
      </c>
      <c r="B52" s="13">
        <v>1.5800000000000002E-2</v>
      </c>
    </row>
    <row r="53" spans="1:2" x14ac:dyDescent="0.25">
      <c r="A53" s="13">
        <v>69</v>
      </c>
      <c r="B53" s="13">
        <v>1.83E-2</v>
      </c>
    </row>
    <row r="54" spans="1:2" x14ac:dyDescent="0.25">
      <c r="A54" s="13">
        <v>70</v>
      </c>
      <c r="B54" s="13">
        <v>1.11E-2</v>
      </c>
    </row>
    <row r="55" spans="1:2" x14ac:dyDescent="0.25">
      <c r="A55" s="13">
        <v>71</v>
      </c>
      <c r="B55" s="13">
        <v>1.01E-2</v>
      </c>
    </row>
    <row r="56" spans="1:2" x14ac:dyDescent="0.25">
      <c r="A56" s="13">
        <v>72</v>
      </c>
      <c r="B56" s="13">
        <v>1.0200000000000001E-2</v>
      </c>
    </row>
    <row r="57" spans="1:2" x14ac:dyDescent="0.25">
      <c r="A57" s="13">
        <v>73</v>
      </c>
      <c r="B57" s="13">
        <v>1.01E-2</v>
      </c>
    </row>
    <row r="58" spans="1:2" x14ac:dyDescent="0.25">
      <c r="A58" s="13">
        <v>74</v>
      </c>
      <c r="B58" s="13">
        <v>1.0200000000000001E-2</v>
      </c>
    </row>
    <row r="59" spans="1:2" x14ac:dyDescent="0.25">
      <c r="A59" s="13">
        <v>75</v>
      </c>
      <c r="B59" s="13">
        <v>1.03E-2</v>
      </c>
    </row>
    <row r="60" spans="1:2" x14ac:dyDescent="0.25">
      <c r="A60" s="13">
        <v>76</v>
      </c>
      <c r="B60" s="13">
        <v>1.03E-2</v>
      </c>
    </row>
    <row r="61" spans="1:2" x14ac:dyDescent="0.25">
      <c r="A61" s="13">
        <v>77</v>
      </c>
      <c r="B61" s="13">
        <v>1.0200000000000001E-2</v>
      </c>
    </row>
    <row r="62" spans="1:2" x14ac:dyDescent="0.25">
      <c r="A62" s="13">
        <v>78</v>
      </c>
      <c r="B62" s="13">
        <v>1.01E-2</v>
      </c>
    </row>
    <row r="63" spans="1:2" x14ac:dyDescent="0.25">
      <c r="A63" s="13">
        <v>79</v>
      </c>
      <c r="B63" s="13">
        <v>0.01</v>
      </c>
    </row>
    <row r="64" spans="1:2" x14ac:dyDescent="0.25">
      <c r="A64" s="13">
        <v>80</v>
      </c>
      <c r="B64" s="13">
        <v>1.01E-2</v>
      </c>
    </row>
    <row r="65" spans="1:2" x14ac:dyDescent="0.25">
      <c r="A65" s="13">
        <v>81</v>
      </c>
      <c r="B65" s="13">
        <v>9.9600000000000001E-3</v>
      </c>
    </row>
    <row r="66" spans="1:2" x14ac:dyDescent="0.25">
      <c r="A66" s="13">
        <v>82</v>
      </c>
      <c r="B66" s="13">
        <v>0.01</v>
      </c>
    </row>
    <row r="67" spans="1:2" x14ac:dyDescent="0.25">
      <c r="A67" s="13">
        <v>83</v>
      </c>
      <c r="B67" s="13">
        <v>0.01</v>
      </c>
    </row>
    <row r="68" spans="1:2" x14ac:dyDescent="0.25">
      <c r="A68" s="13">
        <v>84</v>
      </c>
      <c r="B68" s="13">
        <v>0.01</v>
      </c>
    </row>
    <row r="69" spans="1:2" x14ac:dyDescent="0.25">
      <c r="A69" s="13">
        <v>85</v>
      </c>
      <c r="B69" s="13">
        <v>9.9399999999999992E-3</v>
      </c>
    </row>
    <row r="70" spans="1:2" x14ac:dyDescent="0.25">
      <c r="A70" s="13">
        <v>86</v>
      </c>
      <c r="B70" s="13">
        <v>9.8399999999999998E-3</v>
      </c>
    </row>
    <row r="71" spans="1:2" x14ac:dyDescent="0.25">
      <c r="A71" s="13">
        <v>87</v>
      </c>
      <c r="B71" s="13">
        <v>9.9399999999999992E-3</v>
      </c>
    </row>
    <row r="72" spans="1:2" x14ac:dyDescent="0.25">
      <c r="A72" s="13">
        <v>88</v>
      </c>
      <c r="B72" s="13">
        <v>9.8899999999999995E-3</v>
      </c>
    </row>
    <row r="73" spans="1:2" x14ac:dyDescent="0.25">
      <c r="A73" s="13">
        <v>89</v>
      </c>
      <c r="B73" s="13">
        <v>9.4999999999999998E-3</v>
      </c>
    </row>
    <row r="74" spans="1:2" x14ac:dyDescent="0.25">
      <c r="A74" s="13">
        <v>90</v>
      </c>
      <c r="B74" s="13">
        <v>9.4299999999999991E-3</v>
      </c>
    </row>
    <row r="75" spans="1:2" x14ac:dyDescent="0.25">
      <c r="A75" s="13">
        <v>91</v>
      </c>
      <c r="B75" s="13">
        <v>9.4199999999999996E-3</v>
      </c>
    </row>
    <row r="76" spans="1:2" x14ac:dyDescent="0.25">
      <c r="A76" s="13">
        <v>92</v>
      </c>
      <c r="B76" s="13">
        <v>9.4400000000000005E-3</v>
      </c>
    </row>
    <row r="77" spans="1:2" x14ac:dyDescent="0.25">
      <c r="A77" s="13">
        <v>93</v>
      </c>
      <c r="B77" s="13">
        <v>9.2300000000000004E-3</v>
      </c>
    </row>
    <row r="78" spans="1:2" x14ac:dyDescent="0.25">
      <c r="A78" s="13">
        <v>94</v>
      </c>
      <c r="B78" s="13">
        <v>9.1500000000000001E-3</v>
      </c>
    </row>
    <row r="79" spans="1:2" x14ac:dyDescent="0.25">
      <c r="A79" s="13">
        <v>95</v>
      </c>
      <c r="B79" s="13">
        <v>9.0399999999999994E-3</v>
      </c>
    </row>
    <row r="80" spans="1:2" x14ac:dyDescent="0.25">
      <c r="A80" s="13">
        <v>96</v>
      </c>
      <c r="B80" s="13">
        <v>9.1800000000000007E-3</v>
      </c>
    </row>
    <row r="81" spans="1:2" x14ac:dyDescent="0.25">
      <c r="A81" s="13">
        <v>97</v>
      </c>
      <c r="B81" s="13">
        <v>9.0600000000000003E-3</v>
      </c>
    </row>
    <row r="82" spans="1:2" x14ac:dyDescent="0.25">
      <c r="A82" s="13">
        <v>98</v>
      </c>
      <c r="B82" s="13">
        <v>8.8900000000000003E-3</v>
      </c>
    </row>
    <row r="83" spans="1:2" x14ac:dyDescent="0.25">
      <c r="A83" s="13">
        <v>99</v>
      </c>
      <c r="B83" s="13">
        <v>8.7899999999999992E-3</v>
      </c>
    </row>
    <row r="84" spans="1:2" x14ac:dyDescent="0.25">
      <c r="A84" s="13">
        <v>100</v>
      </c>
      <c r="B84" s="13">
        <v>8.7100000000000007E-3</v>
      </c>
    </row>
    <row r="85" spans="1:2" x14ac:dyDescent="0.25">
      <c r="A85" s="13">
        <v>101</v>
      </c>
      <c r="B85" s="13">
        <v>8.5400000000000007E-3</v>
      </c>
    </row>
    <row r="86" spans="1:2" x14ac:dyDescent="0.25">
      <c r="A86" s="13">
        <v>102</v>
      </c>
      <c r="B86" s="13">
        <v>8.5900000000000004E-3</v>
      </c>
    </row>
    <row r="87" spans="1:2" x14ac:dyDescent="0.25">
      <c r="A87" s="13">
        <v>103</v>
      </c>
      <c r="B87" s="13">
        <v>8.6099999999999996E-3</v>
      </c>
    </row>
    <row r="88" spans="1:2" x14ac:dyDescent="0.25">
      <c r="A88" s="13">
        <v>104</v>
      </c>
      <c r="B88" s="13">
        <v>8.3700000000000007E-3</v>
      </c>
    </row>
    <row r="89" spans="1:2" x14ac:dyDescent="0.25">
      <c r="A89" s="13">
        <v>105</v>
      </c>
      <c r="B89" s="13">
        <v>8.2799999999999992E-3</v>
      </c>
    </row>
    <row r="90" spans="1:2" x14ac:dyDescent="0.25">
      <c r="A90" s="13">
        <v>106</v>
      </c>
      <c r="B90" s="13">
        <v>8.2500000000000004E-3</v>
      </c>
    </row>
    <row r="91" spans="1:2" x14ac:dyDescent="0.25">
      <c r="A91" s="13">
        <v>107</v>
      </c>
      <c r="B91" s="13">
        <v>8.09E-3</v>
      </c>
    </row>
    <row r="92" spans="1:2" x14ac:dyDescent="0.25">
      <c r="A92" s="13">
        <v>108</v>
      </c>
      <c r="B92" s="13">
        <v>8.0599999999999995E-3</v>
      </c>
    </row>
    <row r="93" spans="1:2" x14ac:dyDescent="0.25">
      <c r="A93" s="13">
        <v>109</v>
      </c>
      <c r="B93" s="13">
        <v>7.8499999999999993E-3</v>
      </c>
    </row>
    <row r="94" spans="1:2" x14ac:dyDescent="0.25">
      <c r="A94" s="13">
        <v>110</v>
      </c>
      <c r="B94" s="13">
        <v>7.7999999999999996E-3</v>
      </c>
    </row>
    <row r="95" spans="1:2" x14ac:dyDescent="0.25">
      <c r="A95" s="13">
        <v>111</v>
      </c>
      <c r="B95" s="13">
        <v>7.7200000000000003E-3</v>
      </c>
    </row>
    <row r="96" spans="1:2" x14ac:dyDescent="0.25">
      <c r="A96" s="13">
        <v>112</v>
      </c>
      <c r="B96" s="13">
        <v>7.4599999999999996E-3</v>
      </c>
    </row>
    <row r="97" spans="1:2" x14ac:dyDescent="0.25">
      <c r="A97" s="13">
        <v>113</v>
      </c>
      <c r="B97" s="13">
        <v>7.3000000000000001E-3</v>
      </c>
    </row>
    <row r="98" spans="1:2" x14ac:dyDescent="0.25">
      <c r="A98" s="13">
        <v>114</v>
      </c>
      <c r="B98" s="13">
        <v>7.4900000000000001E-3</v>
      </c>
    </row>
    <row r="99" spans="1:2" x14ac:dyDescent="0.25">
      <c r="A99" s="13">
        <v>115</v>
      </c>
      <c r="B99" s="13">
        <v>7.1199999999999996E-3</v>
      </c>
    </row>
    <row r="100" spans="1:2" x14ac:dyDescent="0.25">
      <c r="A100" s="13">
        <v>116</v>
      </c>
      <c r="B100" s="13">
        <v>6.8900000000000003E-3</v>
      </c>
    </row>
    <row r="101" spans="1:2" x14ac:dyDescent="0.25">
      <c r="A101" s="13">
        <v>117</v>
      </c>
      <c r="B101" s="13">
        <v>6.8599999999999998E-3</v>
      </c>
    </row>
    <row r="102" spans="1:2" x14ac:dyDescent="0.25">
      <c r="A102" s="13">
        <v>118</v>
      </c>
      <c r="B102" s="13">
        <v>6.7799999999999996E-3</v>
      </c>
    </row>
    <row r="103" spans="1:2" x14ac:dyDescent="0.25">
      <c r="A103" s="13">
        <v>119</v>
      </c>
      <c r="B103" s="13">
        <v>6.5799999999999999E-3</v>
      </c>
    </row>
    <row r="104" spans="1:2" x14ac:dyDescent="0.25">
      <c r="A104" s="13">
        <v>120</v>
      </c>
      <c r="B104" s="13">
        <v>6.2899999999999996E-3</v>
      </c>
    </row>
    <row r="105" spans="1:2" x14ac:dyDescent="0.25">
      <c r="A105" s="13">
        <v>121</v>
      </c>
      <c r="B105" s="13">
        <v>6.28E-3</v>
      </c>
    </row>
    <row r="106" spans="1:2" x14ac:dyDescent="0.25">
      <c r="A106" s="13">
        <v>122</v>
      </c>
      <c r="B106" s="13">
        <v>6.0099999999999997E-3</v>
      </c>
    </row>
    <row r="107" spans="1:2" x14ac:dyDescent="0.25">
      <c r="A107" s="13">
        <v>123</v>
      </c>
      <c r="B107" s="13">
        <v>6.0800000000000003E-3</v>
      </c>
    </row>
    <row r="108" spans="1:2" x14ac:dyDescent="0.25">
      <c r="A108" s="13">
        <v>124</v>
      </c>
      <c r="B108" s="13">
        <v>5.8599999999999998E-3</v>
      </c>
    </row>
    <row r="109" spans="1:2" x14ac:dyDescent="0.25">
      <c r="A109" s="13">
        <v>125</v>
      </c>
      <c r="B109" s="13">
        <v>5.6899999999999997E-3</v>
      </c>
    </row>
    <row r="110" spans="1:2" x14ac:dyDescent="0.25">
      <c r="A110" s="13">
        <v>126</v>
      </c>
      <c r="B110" s="13">
        <v>5.5300000000000002E-3</v>
      </c>
    </row>
    <row r="111" spans="1:2" x14ac:dyDescent="0.25">
      <c r="A111" s="13">
        <v>127</v>
      </c>
      <c r="B111" s="13">
        <v>5.4099999999999999E-3</v>
      </c>
    </row>
    <row r="112" spans="1:2" x14ac:dyDescent="0.25">
      <c r="A112" s="13">
        <v>128</v>
      </c>
      <c r="B112" s="13">
        <v>5.1200000000000004E-3</v>
      </c>
    </row>
    <row r="113" spans="1:2" x14ac:dyDescent="0.25">
      <c r="A113" s="13">
        <v>129</v>
      </c>
      <c r="B113" s="13">
        <v>4.9800000000000001E-3</v>
      </c>
    </row>
    <row r="114" spans="1:2" x14ac:dyDescent="0.25">
      <c r="A114" s="13">
        <v>130</v>
      </c>
      <c r="B114" s="13">
        <v>4.7299999999999998E-3</v>
      </c>
    </row>
    <row r="115" spans="1:2" x14ac:dyDescent="0.25">
      <c r="A115" s="13">
        <v>131</v>
      </c>
      <c r="B115" s="13">
        <v>4.5999999999999999E-3</v>
      </c>
    </row>
    <row r="116" spans="1:2" x14ac:dyDescent="0.25">
      <c r="A116" s="13">
        <v>132</v>
      </c>
      <c r="B116" s="13">
        <v>4.45E-3</v>
      </c>
    </row>
    <row r="117" spans="1:2" x14ac:dyDescent="0.25">
      <c r="A117" s="13">
        <v>133</v>
      </c>
      <c r="B117" s="13">
        <v>4.1900000000000001E-3</v>
      </c>
    </row>
    <row r="118" spans="1:2" x14ac:dyDescent="0.25">
      <c r="A118" s="13">
        <v>134</v>
      </c>
      <c r="B118" s="13">
        <v>4.0000000000000001E-3</v>
      </c>
    </row>
    <row r="119" spans="1:2" x14ac:dyDescent="0.25">
      <c r="A119" s="13">
        <v>135</v>
      </c>
      <c r="B119" s="13">
        <v>3.7499999999999999E-3</v>
      </c>
    </row>
    <row r="120" spans="1:2" x14ac:dyDescent="0.25">
      <c r="A120" s="13">
        <v>136</v>
      </c>
      <c r="B120" s="13">
        <v>3.6700000000000001E-3</v>
      </c>
    </row>
    <row r="121" spans="1:2" x14ac:dyDescent="0.25">
      <c r="A121" s="13">
        <v>137</v>
      </c>
      <c r="B121" s="13">
        <v>3.3500000000000001E-3</v>
      </c>
    </row>
    <row r="122" spans="1:2" x14ac:dyDescent="0.25">
      <c r="A122" s="13">
        <v>138</v>
      </c>
      <c r="B122" s="13">
        <v>3.16E-3</v>
      </c>
    </row>
    <row r="123" spans="1:2" x14ac:dyDescent="0.25">
      <c r="A123" s="13">
        <v>139</v>
      </c>
      <c r="B123" s="13">
        <v>2.8999999999999998E-3</v>
      </c>
    </row>
    <row r="124" spans="1:2" x14ac:dyDescent="0.25">
      <c r="A124" s="13">
        <v>140</v>
      </c>
      <c r="B124" s="13">
        <v>2.7799999999999999E-3</v>
      </c>
    </row>
    <row r="125" spans="1:2" x14ac:dyDescent="0.25">
      <c r="A125" s="13">
        <v>141</v>
      </c>
      <c r="B125" s="13">
        <v>2.5200000000000001E-3</v>
      </c>
    </row>
    <row r="126" spans="1:2" x14ac:dyDescent="0.25">
      <c r="A126" s="13">
        <v>142</v>
      </c>
      <c r="B126" s="13">
        <v>2.3E-3</v>
      </c>
    </row>
    <row r="127" spans="1:2" x14ac:dyDescent="0.25">
      <c r="A127" s="13">
        <v>143</v>
      </c>
      <c r="B127" s="13">
        <v>2.0899999999999998E-3</v>
      </c>
    </row>
    <row r="128" spans="1:2" x14ac:dyDescent="0.25">
      <c r="A128" s="13">
        <v>144</v>
      </c>
      <c r="B128" s="13">
        <v>1.8E-3</v>
      </c>
    </row>
    <row r="129" spans="1:2" x14ac:dyDescent="0.25">
      <c r="A129" s="13">
        <v>145</v>
      </c>
      <c r="B129" s="13">
        <v>1.6100000000000001E-3</v>
      </c>
    </row>
    <row r="130" spans="1:2" x14ac:dyDescent="0.25">
      <c r="A130" s="13">
        <v>146</v>
      </c>
      <c r="B130" s="13">
        <v>1.2199999999999999E-3</v>
      </c>
    </row>
    <row r="131" spans="1:2" x14ac:dyDescent="0.25">
      <c r="A131" s="13">
        <v>147</v>
      </c>
      <c r="B131" s="13">
        <v>9.7099999999999997E-4</v>
      </c>
    </row>
    <row r="132" spans="1:2" x14ac:dyDescent="0.25">
      <c r="A132" s="13">
        <v>148</v>
      </c>
      <c r="B132" s="13">
        <v>7.2900000000000005E-4</v>
      </c>
    </row>
    <row r="133" spans="1:2" x14ac:dyDescent="0.25">
      <c r="A133" s="13">
        <v>149</v>
      </c>
      <c r="B133" s="13">
        <v>4.5600000000000003E-4</v>
      </c>
    </row>
    <row r="134" spans="1:2" x14ac:dyDescent="0.25">
      <c r="A134" s="13">
        <v>150</v>
      </c>
      <c r="B134" s="13">
        <v>1.74E-4</v>
      </c>
    </row>
    <row r="135" spans="1:2" x14ac:dyDescent="0.25">
      <c r="A135" s="13">
        <v>151</v>
      </c>
      <c r="B135" s="13">
        <v>8.0000000000000007E-5</v>
      </c>
    </row>
    <row r="136" spans="1:2" x14ac:dyDescent="0.25">
      <c r="A136" s="13">
        <v>152</v>
      </c>
      <c r="B136" s="13">
        <v>1.11E-4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9"/>
  <dimension ref="A1:B184"/>
  <sheetViews>
    <sheetView workbookViewId="0">
      <selection activeCell="H32" sqref="H32"/>
    </sheetView>
  </sheetViews>
  <sheetFormatPr defaultRowHeight="15" x14ac:dyDescent="0.25"/>
  <cols>
    <col min="1" max="1" width="15.85546875" style="1" customWidth="1"/>
    <col min="2" max="2" width="19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20</v>
      </c>
      <c r="B2" s="13">
        <v>2.52E-4</v>
      </c>
    </row>
    <row r="3" spans="1:2" x14ac:dyDescent="0.25">
      <c r="A3" s="13">
        <v>21</v>
      </c>
      <c r="B3" s="13">
        <v>2.7900000000000001E-4</v>
      </c>
    </row>
    <row r="4" spans="1:2" x14ac:dyDescent="0.25">
      <c r="A4" s="13">
        <v>22</v>
      </c>
      <c r="B4" s="13">
        <v>2.13E-4</v>
      </c>
    </row>
    <row r="5" spans="1:2" x14ac:dyDescent="0.25">
      <c r="A5" s="13">
        <v>23</v>
      </c>
      <c r="B5" s="13">
        <v>3.8900000000000002E-4</v>
      </c>
    </row>
    <row r="6" spans="1:2" x14ac:dyDescent="0.25">
      <c r="A6" s="13">
        <v>24</v>
      </c>
      <c r="B6" s="13">
        <v>3.0200000000000002E-4</v>
      </c>
    </row>
    <row r="7" spans="1:2" x14ac:dyDescent="0.25">
      <c r="A7" s="13">
        <v>25</v>
      </c>
      <c r="B7" s="13">
        <v>2.4699999999999999E-4</v>
      </c>
    </row>
    <row r="8" spans="1:2" x14ac:dyDescent="0.25">
      <c r="A8" s="13">
        <v>26</v>
      </c>
      <c r="B8" s="13">
        <v>2.0000000000000001E-4</v>
      </c>
    </row>
    <row r="9" spans="1:2" x14ac:dyDescent="0.25">
      <c r="A9" s="13">
        <v>27</v>
      </c>
      <c r="B9" s="13">
        <v>1.7200000000000001E-4</v>
      </c>
    </row>
    <row r="10" spans="1:2" x14ac:dyDescent="0.25">
      <c r="A10" s="13">
        <v>28</v>
      </c>
      <c r="B10" s="13">
        <v>1.2899999999999999E-4</v>
      </c>
    </row>
    <row r="11" spans="1:2" x14ac:dyDescent="0.25">
      <c r="A11" s="13">
        <v>29</v>
      </c>
      <c r="B11" s="13">
        <v>1.9100000000000001E-4</v>
      </c>
    </row>
    <row r="12" spans="1:2" x14ac:dyDescent="0.25">
      <c r="A12" s="13">
        <v>30</v>
      </c>
      <c r="B12" s="13">
        <v>1.3999999999999999E-4</v>
      </c>
    </row>
    <row r="13" spans="1:2" x14ac:dyDescent="0.25">
      <c r="A13" s="13">
        <v>31</v>
      </c>
      <c r="B13" s="13">
        <v>1.7000000000000001E-4</v>
      </c>
    </row>
    <row r="14" spans="1:2" x14ac:dyDescent="0.25">
      <c r="A14" s="13">
        <v>32</v>
      </c>
      <c r="B14" s="13">
        <v>1.6200000000000001E-4</v>
      </c>
    </row>
    <row r="15" spans="1:2" x14ac:dyDescent="0.25">
      <c r="A15" s="13">
        <v>33</v>
      </c>
      <c r="B15" s="13">
        <v>1.44E-4</v>
      </c>
    </row>
    <row r="16" spans="1:2" x14ac:dyDescent="0.25">
      <c r="A16" s="13">
        <v>34</v>
      </c>
      <c r="B16" s="13">
        <v>1.8000000000000001E-4</v>
      </c>
    </row>
    <row r="17" spans="1:2" x14ac:dyDescent="0.25">
      <c r="A17" s="13">
        <v>35</v>
      </c>
      <c r="B17" s="13">
        <v>1.93E-4</v>
      </c>
    </row>
    <row r="18" spans="1:2" x14ac:dyDescent="0.25">
      <c r="A18" s="13">
        <v>36</v>
      </c>
      <c r="B18" s="13">
        <v>2.1100000000000001E-4</v>
      </c>
    </row>
    <row r="19" spans="1:2" x14ac:dyDescent="0.25">
      <c r="A19" s="13">
        <v>37</v>
      </c>
      <c r="B19" s="13">
        <v>2.43E-4</v>
      </c>
    </row>
    <row r="20" spans="1:2" x14ac:dyDescent="0.25">
      <c r="A20" s="13">
        <v>38</v>
      </c>
      <c r="B20" s="13">
        <v>3.0899999999999998E-4</v>
      </c>
    </row>
    <row r="21" spans="1:2" x14ac:dyDescent="0.25">
      <c r="A21" s="13">
        <v>39</v>
      </c>
      <c r="B21" s="13">
        <v>4.1899999999999999E-4</v>
      </c>
    </row>
    <row r="22" spans="1:2" x14ac:dyDescent="0.25">
      <c r="A22" s="13">
        <v>40</v>
      </c>
      <c r="B22" s="13">
        <v>4.8200000000000001E-4</v>
      </c>
    </row>
    <row r="23" spans="1:2" x14ac:dyDescent="0.25">
      <c r="A23" s="13">
        <v>41</v>
      </c>
      <c r="B23" s="13">
        <v>6.9300000000000004E-4</v>
      </c>
    </row>
    <row r="24" spans="1:2" x14ac:dyDescent="0.25">
      <c r="A24" s="13">
        <v>42</v>
      </c>
      <c r="B24" s="13">
        <v>8.4199999999999998E-4</v>
      </c>
    </row>
    <row r="25" spans="1:2" x14ac:dyDescent="0.25">
      <c r="A25" s="13">
        <v>43</v>
      </c>
      <c r="B25" s="13">
        <v>1.0200000000000001E-3</v>
      </c>
    </row>
    <row r="26" spans="1:2" x14ac:dyDescent="0.25">
      <c r="A26" s="13">
        <v>44</v>
      </c>
      <c r="B26" s="13">
        <v>1.2800000000000001E-3</v>
      </c>
    </row>
    <row r="27" spans="1:2" x14ac:dyDescent="0.25">
      <c r="A27" s="13">
        <v>45</v>
      </c>
      <c r="B27" s="13">
        <v>1.4499999999999999E-3</v>
      </c>
    </row>
    <row r="28" spans="1:2" x14ac:dyDescent="0.25">
      <c r="A28" s="13">
        <v>46</v>
      </c>
      <c r="B28" s="13">
        <v>1.6900000000000001E-3</v>
      </c>
    </row>
    <row r="29" spans="1:2" x14ac:dyDescent="0.25">
      <c r="A29" s="13">
        <v>47</v>
      </c>
      <c r="B29" s="13">
        <v>1.9300000000000001E-3</v>
      </c>
    </row>
    <row r="30" spans="1:2" x14ac:dyDescent="0.25">
      <c r="A30" s="13">
        <v>48</v>
      </c>
      <c r="B30" s="13">
        <v>2.2200000000000002E-3</v>
      </c>
    </row>
    <row r="31" spans="1:2" x14ac:dyDescent="0.25">
      <c r="A31" s="13">
        <v>49</v>
      </c>
      <c r="B31" s="13">
        <v>2.48E-3</v>
      </c>
    </row>
    <row r="32" spans="1:2" x14ac:dyDescent="0.25">
      <c r="A32" s="13">
        <v>50</v>
      </c>
      <c r="B32" s="13">
        <v>2.7899999999999999E-3</v>
      </c>
    </row>
    <row r="33" spans="1:2" x14ac:dyDescent="0.25">
      <c r="A33" s="13">
        <v>51</v>
      </c>
      <c r="B33" s="13">
        <v>3.0400000000000002E-3</v>
      </c>
    </row>
    <row r="34" spans="1:2" x14ac:dyDescent="0.25">
      <c r="A34" s="13">
        <v>52</v>
      </c>
      <c r="B34" s="13">
        <v>3.3800000000000002E-3</v>
      </c>
    </row>
    <row r="35" spans="1:2" x14ac:dyDescent="0.25">
      <c r="A35" s="13">
        <v>53</v>
      </c>
      <c r="B35" s="13">
        <v>3.62E-3</v>
      </c>
    </row>
    <row r="36" spans="1:2" x14ac:dyDescent="0.25">
      <c r="A36" s="13">
        <v>54</v>
      </c>
      <c r="B36" s="13">
        <v>4.0299999999999997E-3</v>
      </c>
    </row>
    <row r="37" spans="1:2" x14ac:dyDescent="0.25">
      <c r="A37" s="13">
        <v>55</v>
      </c>
      <c r="B37" s="13">
        <v>4.2599999999999999E-3</v>
      </c>
    </row>
    <row r="38" spans="1:2" x14ac:dyDescent="0.25">
      <c r="A38" s="13">
        <v>56</v>
      </c>
      <c r="B38" s="13">
        <v>4.5300000000000002E-3</v>
      </c>
    </row>
    <row r="39" spans="1:2" x14ac:dyDescent="0.25">
      <c r="A39" s="13">
        <v>57</v>
      </c>
      <c r="B39" s="13">
        <v>5.0800000000000003E-3</v>
      </c>
    </row>
    <row r="40" spans="1:2" x14ac:dyDescent="0.25">
      <c r="A40" s="13">
        <v>58</v>
      </c>
      <c r="B40" s="13">
        <v>2.29E-2</v>
      </c>
    </row>
    <row r="41" spans="1:2" x14ac:dyDescent="0.25">
      <c r="A41" s="13">
        <v>59</v>
      </c>
      <c r="B41" s="13">
        <v>3.04E-2</v>
      </c>
    </row>
    <row r="42" spans="1:2" x14ac:dyDescent="0.25">
      <c r="A42" s="13">
        <v>60</v>
      </c>
      <c r="B42" s="13">
        <v>1.6400000000000001E-2</v>
      </c>
    </row>
    <row r="43" spans="1:2" x14ac:dyDescent="0.25">
      <c r="A43" s="13">
        <v>61</v>
      </c>
      <c r="B43" s="13">
        <v>5.9199999999999999E-3</v>
      </c>
    </row>
    <row r="44" spans="1:2" x14ac:dyDescent="0.25">
      <c r="A44" s="13">
        <v>62</v>
      </c>
      <c r="B44" s="13">
        <v>6.0400000000000002E-3</v>
      </c>
    </row>
    <row r="45" spans="1:2" x14ac:dyDescent="0.25">
      <c r="A45" s="13">
        <v>63</v>
      </c>
      <c r="B45" s="13">
        <v>6.28E-3</v>
      </c>
    </row>
    <row r="46" spans="1:2" x14ac:dyDescent="0.25">
      <c r="A46" s="13">
        <v>64</v>
      </c>
      <c r="B46" s="13">
        <v>6.5399999999999998E-3</v>
      </c>
    </row>
    <row r="47" spans="1:2" x14ac:dyDescent="0.25">
      <c r="A47" s="13">
        <v>65</v>
      </c>
      <c r="B47" s="13">
        <v>6.7999999999999996E-3</v>
      </c>
    </row>
    <row r="48" spans="1:2" x14ac:dyDescent="0.25">
      <c r="A48" s="13">
        <v>66</v>
      </c>
      <c r="B48" s="13">
        <v>7.1900000000000002E-3</v>
      </c>
    </row>
    <row r="49" spans="1:2" x14ac:dyDescent="0.25">
      <c r="A49" s="13">
        <v>67</v>
      </c>
      <c r="B49" s="13">
        <v>2.47E-2</v>
      </c>
    </row>
    <row r="50" spans="1:2" x14ac:dyDescent="0.25">
      <c r="A50" s="13">
        <v>68</v>
      </c>
      <c r="B50" s="13">
        <v>1.0200000000000001E-2</v>
      </c>
    </row>
    <row r="51" spans="1:2" x14ac:dyDescent="0.25">
      <c r="A51" s="13">
        <v>69</v>
      </c>
      <c r="B51" s="13">
        <v>1.2800000000000001E-2</v>
      </c>
    </row>
    <row r="52" spans="1:2" x14ac:dyDescent="0.25">
      <c r="A52" s="13">
        <v>70</v>
      </c>
      <c r="B52" s="13">
        <v>6.79E-3</v>
      </c>
    </row>
    <row r="53" spans="1:2" x14ac:dyDescent="0.25">
      <c r="A53" s="13">
        <v>71</v>
      </c>
      <c r="B53" s="13">
        <v>6.1000000000000004E-3</v>
      </c>
    </row>
    <row r="54" spans="1:2" x14ac:dyDescent="0.25">
      <c r="A54" s="13">
        <v>72</v>
      </c>
      <c r="B54" s="13">
        <v>6.2599999999999999E-3</v>
      </c>
    </row>
    <row r="55" spans="1:2" x14ac:dyDescent="0.25">
      <c r="A55" s="13">
        <v>73</v>
      </c>
      <c r="B55" s="13">
        <v>6.3699999999999998E-3</v>
      </c>
    </row>
    <row r="56" spans="1:2" x14ac:dyDescent="0.25">
      <c r="A56" s="13">
        <v>74</v>
      </c>
      <c r="B56" s="13">
        <v>6.5799999999999999E-3</v>
      </c>
    </row>
    <row r="57" spans="1:2" x14ac:dyDescent="0.25">
      <c r="A57" s="13">
        <v>75</v>
      </c>
      <c r="B57" s="13">
        <v>6.6600000000000001E-3</v>
      </c>
    </row>
    <row r="58" spans="1:2" x14ac:dyDescent="0.25">
      <c r="A58" s="13">
        <v>76</v>
      </c>
      <c r="B58" s="13">
        <v>6.7499999999999999E-3</v>
      </c>
    </row>
    <row r="59" spans="1:2" x14ac:dyDescent="0.25">
      <c r="A59" s="13">
        <v>77</v>
      </c>
      <c r="B59" s="13">
        <v>6.8799999999999998E-3</v>
      </c>
    </row>
    <row r="60" spans="1:2" x14ac:dyDescent="0.25">
      <c r="A60" s="13">
        <v>78</v>
      </c>
      <c r="B60" s="13">
        <v>6.96E-3</v>
      </c>
    </row>
    <row r="61" spans="1:2" x14ac:dyDescent="0.25">
      <c r="A61" s="13">
        <v>79</v>
      </c>
      <c r="B61" s="13">
        <v>7.0699999999999999E-3</v>
      </c>
    </row>
    <row r="62" spans="1:2" x14ac:dyDescent="0.25">
      <c r="A62" s="13">
        <v>80</v>
      </c>
      <c r="B62" s="13">
        <v>7.1399999999999996E-3</v>
      </c>
    </row>
    <row r="63" spans="1:2" x14ac:dyDescent="0.25">
      <c r="A63" s="13">
        <v>81</v>
      </c>
      <c r="B63" s="13">
        <v>7.3000000000000001E-3</v>
      </c>
    </row>
    <row r="64" spans="1:2" x14ac:dyDescent="0.25">
      <c r="A64" s="13">
        <v>82</v>
      </c>
      <c r="B64" s="13">
        <v>7.4799999999999997E-3</v>
      </c>
    </row>
    <row r="65" spans="1:2" x14ac:dyDescent="0.25">
      <c r="A65" s="13">
        <v>83</v>
      </c>
      <c r="B65" s="13">
        <v>7.6E-3</v>
      </c>
    </row>
    <row r="66" spans="1:2" x14ac:dyDescent="0.25">
      <c r="A66" s="13">
        <v>84</v>
      </c>
      <c r="B66" s="13">
        <v>7.7200000000000003E-3</v>
      </c>
    </row>
    <row r="67" spans="1:2" x14ac:dyDescent="0.25">
      <c r="A67" s="13">
        <v>85</v>
      </c>
      <c r="B67" s="13">
        <v>7.7499999999999999E-3</v>
      </c>
    </row>
    <row r="68" spans="1:2" x14ac:dyDescent="0.25">
      <c r="A68" s="13">
        <v>86</v>
      </c>
      <c r="B68" s="13">
        <v>7.92E-3</v>
      </c>
    </row>
    <row r="69" spans="1:2" x14ac:dyDescent="0.25">
      <c r="A69" s="13">
        <v>87</v>
      </c>
      <c r="B69" s="13">
        <v>7.9299999999999995E-3</v>
      </c>
    </row>
    <row r="70" spans="1:2" x14ac:dyDescent="0.25">
      <c r="A70" s="13">
        <v>88</v>
      </c>
      <c r="B70" s="13">
        <v>8.0099999999999998E-3</v>
      </c>
    </row>
    <row r="71" spans="1:2" x14ac:dyDescent="0.25">
      <c r="A71" s="13">
        <v>89</v>
      </c>
      <c r="B71" s="13">
        <v>7.8499999999999993E-3</v>
      </c>
    </row>
    <row r="72" spans="1:2" x14ac:dyDescent="0.25">
      <c r="A72" s="13">
        <v>90</v>
      </c>
      <c r="B72" s="13">
        <v>7.9900000000000006E-3</v>
      </c>
    </row>
    <row r="73" spans="1:2" x14ac:dyDescent="0.25">
      <c r="A73" s="13">
        <v>91</v>
      </c>
      <c r="B73" s="13">
        <v>7.9699999999999997E-3</v>
      </c>
    </row>
    <row r="74" spans="1:2" x14ac:dyDescent="0.25">
      <c r="A74" s="13">
        <v>92</v>
      </c>
      <c r="B74" s="13">
        <v>8.0599999999999995E-3</v>
      </c>
    </row>
    <row r="75" spans="1:2" x14ac:dyDescent="0.25">
      <c r="A75" s="13">
        <v>93</v>
      </c>
      <c r="B75" s="13">
        <v>8.1700000000000002E-3</v>
      </c>
    </row>
    <row r="76" spans="1:2" x14ac:dyDescent="0.25">
      <c r="A76" s="13">
        <v>94</v>
      </c>
      <c r="B76" s="13">
        <v>8.0499999999999999E-3</v>
      </c>
    </row>
    <row r="77" spans="1:2" x14ac:dyDescent="0.25">
      <c r="A77" s="13">
        <v>95</v>
      </c>
      <c r="B77" s="13">
        <v>8.2199999999999999E-3</v>
      </c>
    </row>
    <row r="78" spans="1:2" x14ac:dyDescent="0.25">
      <c r="A78" s="13">
        <v>96</v>
      </c>
      <c r="B78" s="13">
        <v>8.1799999999999998E-3</v>
      </c>
    </row>
    <row r="79" spans="1:2" x14ac:dyDescent="0.25">
      <c r="A79" s="13">
        <v>97</v>
      </c>
      <c r="B79" s="13">
        <v>8.2699999999999996E-3</v>
      </c>
    </row>
    <row r="80" spans="1:2" x14ac:dyDescent="0.25">
      <c r="A80" s="13">
        <v>98</v>
      </c>
      <c r="B80" s="13">
        <v>8.2500000000000004E-3</v>
      </c>
    </row>
    <row r="81" spans="1:2" x14ac:dyDescent="0.25">
      <c r="A81" s="13">
        <v>99</v>
      </c>
      <c r="B81" s="13">
        <v>8.1899999999999994E-3</v>
      </c>
    </row>
    <row r="82" spans="1:2" x14ac:dyDescent="0.25">
      <c r="A82" s="13">
        <v>100</v>
      </c>
      <c r="B82" s="13">
        <v>8.3099999999999997E-3</v>
      </c>
    </row>
    <row r="83" spans="1:2" x14ac:dyDescent="0.25">
      <c r="A83" s="13">
        <v>101</v>
      </c>
      <c r="B83" s="13">
        <v>8.4200000000000004E-3</v>
      </c>
    </row>
    <row r="84" spans="1:2" x14ac:dyDescent="0.25">
      <c r="A84" s="13">
        <v>102</v>
      </c>
      <c r="B84" s="13">
        <v>8.3999999999999995E-3</v>
      </c>
    </row>
    <row r="85" spans="1:2" x14ac:dyDescent="0.25">
      <c r="A85" s="13">
        <v>103</v>
      </c>
      <c r="B85" s="13">
        <v>8.4200000000000004E-3</v>
      </c>
    </row>
    <row r="86" spans="1:2" x14ac:dyDescent="0.25">
      <c r="A86" s="13">
        <v>104</v>
      </c>
      <c r="B86" s="13">
        <v>8.3999999999999995E-3</v>
      </c>
    </row>
    <row r="87" spans="1:2" x14ac:dyDescent="0.25">
      <c r="A87" s="13">
        <v>105</v>
      </c>
      <c r="B87" s="13">
        <v>8.3999999999999995E-3</v>
      </c>
    </row>
    <row r="88" spans="1:2" x14ac:dyDescent="0.25">
      <c r="A88" s="13">
        <v>106</v>
      </c>
      <c r="B88" s="13">
        <v>8.3199999999999993E-3</v>
      </c>
    </row>
    <row r="89" spans="1:2" x14ac:dyDescent="0.25">
      <c r="A89" s="13">
        <v>107</v>
      </c>
      <c r="B89" s="13">
        <v>8.3999999999999995E-3</v>
      </c>
    </row>
    <row r="90" spans="1:2" x14ac:dyDescent="0.25">
      <c r="A90" s="13">
        <v>108</v>
      </c>
      <c r="B90" s="13">
        <v>8.4399999999999996E-3</v>
      </c>
    </row>
    <row r="91" spans="1:2" x14ac:dyDescent="0.25">
      <c r="A91" s="13">
        <v>109</v>
      </c>
      <c r="B91" s="13">
        <v>8.4499999999999992E-3</v>
      </c>
    </row>
    <row r="92" spans="1:2" x14ac:dyDescent="0.25">
      <c r="A92" s="13">
        <v>110</v>
      </c>
      <c r="B92" s="13">
        <v>8.4600000000000005E-3</v>
      </c>
    </row>
    <row r="93" spans="1:2" x14ac:dyDescent="0.25">
      <c r="A93" s="13">
        <v>111</v>
      </c>
      <c r="B93" s="13">
        <v>8.3999999999999995E-3</v>
      </c>
    </row>
    <row r="94" spans="1:2" x14ac:dyDescent="0.25">
      <c r="A94" s="13">
        <v>112</v>
      </c>
      <c r="B94" s="13">
        <v>8.3999999999999995E-3</v>
      </c>
    </row>
    <row r="95" spans="1:2" x14ac:dyDescent="0.25">
      <c r="A95" s="13">
        <v>113</v>
      </c>
      <c r="B95" s="13">
        <v>8.3899999999999999E-3</v>
      </c>
    </row>
    <row r="96" spans="1:2" x14ac:dyDescent="0.25">
      <c r="A96" s="13">
        <v>114</v>
      </c>
      <c r="B96" s="13">
        <v>8.4600000000000005E-3</v>
      </c>
    </row>
    <row r="97" spans="1:2" x14ac:dyDescent="0.25">
      <c r="A97" s="13">
        <v>115</v>
      </c>
      <c r="B97" s="13">
        <v>8.3800000000000003E-3</v>
      </c>
    </row>
    <row r="98" spans="1:2" x14ac:dyDescent="0.25">
      <c r="A98" s="13">
        <v>116</v>
      </c>
      <c r="B98" s="13">
        <v>8.3800000000000003E-3</v>
      </c>
    </row>
    <row r="99" spans="1:2" x14ac:dyDescent="0.25">
      <c r="A99" s="13">
        <v>117</v>
      </c>
      <c r="B99" s="13">
        <v>8.2500000000000004E-3</v>
      </c>
    </row>
    <row r="100" spans="1:2" x14ac:dyDescent="0.25">
      <c r="A100" s="13">
        <v>118</v>
      </c>
      <c r="B100" s="13">
        <v>8.2500000000000004E-3</v>
      </c>
    </row>
    <row r="101" spans="1:2" x14ac:dyDescent="0.25">
      <c r="A101" s="13">
        <v>119</v>
      </c>
      <c r="B101" s="13">
        <v>8.3300000000000006E-3</v>
      </c>
    </row>
    <row r="102" spans="1:2" x14ac:dyDescent="0.25">
      <c r="A102" s="13">
        <v>120</v>
      </c>
      <c r="B102" s="13">
        <v>8.2100000000000003E-3</v>
      </c>
    </row>
    <row r="103" spans="1:2" x14ac:dyDescent="0.25">
      <c r="A103" s="13">
        <v>121</v>
      </c>
      <c r="B103" s="13">
        <v>8.2000000000000007E-3</v>
      </c>
    </row>
    <row r="104" spans="1:2" x14ac:dyDescent="0.25">
      <c r="A104" s="13">
        <v>122</v>
      </c>
      <c r="B104" s="13">
        <v>8.2299999999999995E-3</v>
      </c>
    </row>
    <row r="105" spans="1:2" x14ac:dyDescent="0.25">
      <c r="A105" s="13">
        <v>123</v>
      </c>
      <c r="B105" s="13">
        <v>8.1200000000000005E-3</v>
      </c>
    </row>
    <row r="106" spans="1:2" x14ac:dyDescent="0.25">
      <c r="A106" s="13">
        <v>124</v>
      </c>
      <c r="B106" s="13">
        <v>8.0199999999999994E-3</v>
      </c>
    </row>
    <row r="107" spans="1:2" x14ac:dyDescent="0.25">
      <c r="A107" s="13">
        <v>125</v>
      </c>
      <c r="B107" s="13">
        <v>8.0499999999999999E-3</v>
      </c>
    </row>
    <row r="108" spans="1:2" x14ac:dyDescent="0.25">
      <c r="A108" s="13">
        <v>126</v>
      </c>
      <c r="B108" s="13">
        <v>7.9100000000000004E-3</v>
      </c>
    </row>
    <row r="109" spans="1:2" x14ac:dyDescent="0.25">
      <c r="A109" s="13">
        <v>127</v>
      </c>
      <c r="B109" s="13">
        <v>7.9399999999999991E-3</v>
      </c>
    </row>
    <row r="110" spans="1:2" x14ac:dyDescent="0.25">
      <c r="A110" s="13">
        <v>128</v>
      </c>
      <c r="B110" s="13">
        <v>8.0000000000000002E-3</v>
      </c>
    </row>
    <row r="111" spans="1:2" x14ac:dyDescent="0.25">
      <c r="A111" s="13">
        <v>129</v>
      </c>
      <c r="B111" s="13">
        <v>7.8300000000000002E-3</v>
      </c>
    </row>
    <row r="112" spans="1:2" x14ac:dyDescent="0.25">
      <c r="A112" s="13">
        <v>130</v>
      </c>
      <c r="B112" s="13">
        <v>7.7099999999999998E-3</v>
      </c>
    </row>
    <row r="113" spans="1:2" x14ac:dyDescent="0.25">
      <c r="A113" s="13">
        <v>131</v>
      </c>
      <c r="B113" s="13">
        <v>7.6400000000000001E-3</v>
      </c>
    </row>
    <row r="114" spans="1:2" x14ac:dyDescent="0.25">
      <c r="A114" s="13">
        <v>132</v>
      </c>
      <c r="B114" s="13">
        <v>7.6600000000000001E-3</v>
      </c>
    </row>
    <row r="115" spans="1:2" x14ac:dyDescent="0.25">
      <c r="A115" s="13">
        <v>133</v>
      </c>
      <c r="B115" s="13">
        <v>7.4999999999999997E-3</v>
      </c>
    </row>
    <row r="116" spans="1:2" x14ac:dyDescent="0.25">
      <c r="A116" s="13">
        <v>134</v>
      </c>
      <c r="B116" s="13">
        <v>7.5900000000000004E-3</v>
      </c>
    </row>
    <row r="117" spans="1:2" x14ac:dyDescent="0.25">
      <c r="A117" s="13">
        <v>135</v>
      </c>
      <c r="B117" s="13">
        <v>7.4799999999999997E-3</v>
      </c>
    </row>
    <row r="118" spans="1:2" x14ac:dyDescent="0.25">
      <c r="A118" s="13">
        <v>136</v>
      </c>
      <c r="B118" s="13">
        <v>7.4400000000000004E-3</v>
      </c>
    </row>
    <row r="119" spans="1:2" x14ac:dyDescent="0.25">
      <c r="A119" s="13">
        <v>137</v>
      </c>
      <c r="B119" s="13">
        <v>7.3699999999999998E-3</v>
      </c>
    </row>
    <row r="120" spans="1:2" x14ac:dyDescent="0.25">
      <c r="A120" s="13">
        <v>138</v>
      </c>
      <c r="B120" s="13">
        <v>7.28E-3</v>
      </c>
    </row>
    <row r="121" spans="1:2" x14ac:dyDescent="0.25">
      <c r="A121" s="13">
        <v>139</v>
      </c>
      <c r="B121" s="13">
        <v>7.0699999999999999E-3</v>
      </c>
    </row>
    <row r="122" spans="1:2" x14ac:dyDescent="0.25">
      <c r="A122" s="13">
        <v>140</v>
      </c>
      <c r="B122" s="13">
        <v>7.1300000000000001E-3</v>
      </c>
    </row>
    <row r="123" spans="1:2" x14ac:dyDescent="0.25">
      <c r="A123" s="13">
        <v>141</v>
      </c>
      <c r="B123" s="13">
        <v>6.9800000000000001E-3</v>
      </c>
    </row>
    <row r="124" spans="1:2" x14ac:dyDescent="0.25">
      <c r="A124" s="13">
        <v>142</v>
      </c>
      <c r="B124" s="13">
        <v>6.94E-3</v>
      </c>
    </row>
    <row r="125" spans="1:2" x14ac:dyDescent="0.25">
      <c r="A125" s="13">
        <v>143</v>
      </c>
      <c r="B125" s="13">
        <v>6.8599999999999998E-3</v>
      </c>
    </row>
    <row r="126" spans="1:2" x14ac:dyDescent="0.25">
      <c r="A126" s="13">
        <v>144</v>
      </c>
      <c r="B126" s="13">
        <v>6.77E-3</v>
      </c>
    </row>
    <row r="127" spans="1:2" x14ac:dyDescent="0.25">
      <c r="A127" s="13">
        <v>145</v>
      </c>
      <c r="B127" s="13">
        <v>6.7400000000000003E-3</v>
      </c>
    </row>
    <row r="128" spans="1:2" x14ac:dyDescent="0.25">
      <c r="A128" s="13">
        <v>146</v>
      </c>
      <c r="B128" s="13">
        <v>6.5700000000000003E-3</v>
      </c>
    </row>
    <row r="129" spans="1:2" x14ac:dyDescent="0.25">
      <c r="A129" s="13">
        <v>147</v>
      </c>
      <c r="B129" s="13">
        <v>6.6499999999999997E-3</v>
      </c>
    </row>
    <row r="130" spans="1:2" x14ac:dyDescent="0.25">
      <c r="A130" s="13">
        <v>148</v>
      </c>
      <c r="B130" s="13">
        <v>6.4700000000000001E-3</v>
      </c>
    </row>
    <row r="131" spans="1:2" x14ac:dyDescent="0.25">
      <c r="A131" s="13">
        <v>149</v>
      </c>
      <c r="B131" s="13">
        <v>6.3600000000000002E-3</v>
      </c>
    </row>
    <row r="132" spans="1:2" x14ac:dyDescent="0.25">
      <c r="A132" s="13">
        <v>150</v>
      </c>
      <c r="B132" s="13">
        <v>6.2300000000000003E-3</v>
      </c>
    </row>
    <row r="133" spans="1:2" x14ac:dyDescent="0.25">
      <c r="A133" s="13">
        <v>151</v>
      </c>
      <c r="B133" s="13">
        <v>6.2300000000000003E-3</v>
      </c>
    </row>
    <row r="134" spans="1:2" x14ac:dyDescent="0.25">
      <c r="A134" s="13">
        <v>152</v>
      </c>
      <c r="B134" s="13">
        <v>6.1000000000000004E-3</v>
      </c>
    </row>
    <row r="135" spans="1:2" x14ac:dyDescent="0.25">
      <c r="A135" s="13">
        <v>153</v>
      </c>
      <c r="B135" s="13">
        <v>5.94E-3</v>
      </c>
    </row>
    <row r="136" spans="1:2" x14ac:dyDescent="0.25">
      <c r="A136" s="13">
        <v>154</v>
      </c>
      <c r="B136" s="13">
        <v>5.8999999999999999E-3</v>
      </c>
    </row>
    <row r="137" spans="1:2" x14ac:dyDescent="0.25">
      <c r="A137" s="13">
        <v>155</v>
      </c>
      <c r="B137" s="13">
        <v>5.8199999999999997E-3</v>
      </c>
    </row>
    <row r="138" spans="1:2" x14ac:dyDescent="0.25">
      <c r="A138" s="13">
        <v>156</v>
      </c>
      <c r="B138" s="13">
        <v>5.7200000000000003E-3</v>
      </c>
    </row>
    <row r="139" spans="1:2" x14ac:dyDescent="0.25">
      <c r="A139" s="13">
        <v>157</v>
      </c>
      <c r="B139" s="13">
        <v>5.62E-3</v>
      </c>
    </row>
    <row r="140" spans="1:2" x14ac:dyDescent="0.25">
      <c r="A140" s="13">
        <v>158</v>
      </c>
      <c r="B140" s="13">
        <v>5.5799999999999999E-3</v>
      </c>
    </row>
    <row r="141" spans="1:2" x14ac:dyDescent="0.25">
      <c r="A141" s="13">
        <v>159</v>
      </c>
      <c r="B141" s="13">
        <v>5.4599999999999996E-3</v>
      </c>
    </row>
    <row r="142" spans="1:2" x14ac:dyDescent="0.25">
      <c r="A142" s="13">
        <v>160</v>
      </c>
      <c r="B142" s="13">
        <v>5.28E-3</v>
      </c>
    </row>
    <row r="143" spans="1:2" x14ac:dyDescent="0.25">
      <c r="A143" s="13">
        <v>161</v>
      </c>
      <c r="B143" s="13">
        <v>5.3600000000000002E-3</v>
      </c>
    </row>
    <row r="144" spans="1:2" x14ac:dyDescent="0.25">
      <c r="A144" s="13">
        <v>162</v>
      </c>
      <c r="B144" s="13">
        <v>5.1900000000000002E-3</v>
      </c>
    </row>
    <row r="145" spans="1:2" x14ac:dyDescent="0.25">
      <c r="A145" s="13">
        <v>163</v>
      </c>
      <c r="B145" s="13">
        <v>5.0299999999999997E-3</v>
      </c>
    </row>
    <row r="146" spans="1:2" x14ac:dyDescent="0.25">
      <c r="A146" s="13">
        <v>164</v>
      </c>
      <c r="B146" s="13">
        <v>4.9899999999999996E-3</v>
      </c>
    </row>
    <row r="147" spans="1:2" x14ac:dyDescent="0.25">
      <c r="A147" s="13">
        <v>165</v>
      </c>
      <c r="B147" s="13">
        <v>4.81E-3</v>
      </c>
    </row>
    <row r="148" spans="1:2" x14ac:dyDescent="0.25">
      <c r="A148" s="13">
        <v>166</v>
      </c>
      <c r="B148" s="13">
        <v>4.7699999999999999E-3</v>
      </c>
    </row>
    <row r="149" spans="1:2" x14ac:dyDescent="0.25">
      <c r="A149" s="13">
        <v>167</v>
      </c>
      <c r="B149" s="13">
        <v>4.5900000000000003E-3</v>
      </c>
    </row>
    <row r="150" spans="1:2" x14ac:dyDescent="0.25">
      <c r="A150" s="13">
        <v>168</v>
      </c>
      <c r="B150" s="13">
        <v>4.5399999999999998E-3</v>
      </c>
    </row>
    <row r="151" spans="1:2" x14ac:dyDescent="0.25">
      <c r="A151" s="13">
        <v>169</v>
      </c>
      <c r="B151" s="13">
        <v>4.3E-3</v>
      </c>
    </row>
    <row r="152" spans="1:2" x14ac:dyDescent="0.25">
      <c r="A152" s="13">
        <v>170</v>
      </c>
      <c r="B152" s="13">
        <v>4.2599999999999999E-3</v>
      </c>
    </row>
    <row r="153" spans="1:2" x14ac:dyDescent="0.25">
      <c r="A153" s="13">
        <v>171</v>
      </c>
      <c r="B153" s="13">
        <v>4.2500000000000003E-3</v>
      </c>
    </row>
    <row r="154" spans="1:2" x14ac:dyDescent="0.25">
      <c r="A154" s="13">
        <v>172</v>
      </c>
      <c r="B154" s="13">
        <v>4.0899999999999999E-3</v>
      </c>
    </row>
    <row r="155" spans="1:2" x14ac:dyDescent="0.25">
      <c r="A155" s="13">
        <v>173</v>
      </c>
      <c r="B155" s="13">
        <v>3.9699999999999996E-3</v>
      </c>
    </row>
    <row r="156" spans="1:2" x14ac:dyDescent="0.25">
      <c r="A156" s="13">
        <v>174</v>
      </c>
      <c r="B156" s="13">
        <v>3.7100000000000002E-3</v>
      </c>
    </row>
    <row r="157" spans="1:2" x14ac:dyDescent="0.25">
      <c r="A157" s="13">
        <v>175</v>
      </c>
      <c r="B157" s="13">
        <v>3.7299999999999998E-3</v>
      </c>
    </row>
    <row r="158" spans="1:2" x14ac:dyDescent="0.25">
      <c r="A158" s="13">
        <v>176</v>
      </c>
      <c r="B158" s="13">
        <v>3.5799999999999998E-3</v>
      </c>
    </row>
    <row r="159" spans="1:2" x14ac:dyDescent="0.25">
      <c r="A159" s="13">
        <v>177</v>
      </c>
      <c r="B159" s="13">
        <v>3.4399999999999999E-3</v>
      </c>
    </row>
    <row r="160" spans="1:2" x14ac:dyDescent="0.25">
      <c r="A160" s="13">
        <v>178</v>
      </c>
      <c r="B160" s="13">
        <v>3.2599999999999999E-3</v>
      </c>
    </row>
    <row r="161" spans="1:2" x14ac:dyDescent="0.25">
      <c r="A161" s="13">
        <v>179</v>
      </c>
      <c r="B161" s="13">
        <v>3.2100000000000002E-3</v>
      </c>
    </row>
    <row r="162" spans="1:2" x14ac:dyDescent="0.25">
      <c r="A162" s="13">
        <v>180</v>
      </c>
      <c r="B162" s="13">
        <v>3.0699999999999998E-3</v>
      </c>
    </row>
    <row r="163" spans="1:2" x14ac:dyDescent="0.25">
      <c r="A163" s="13">
        <v>181</v>
      </c>
      <c r="B163" s="13">
        <v>2.9199999999999999E-3</v>
      </c>
    </row>
    <row r="164" spans="1:2" x14ac:dyDescent="0.25">
      <c r="A164" s="13">
        <v>182</v>
      </c>
      <c r="B164" s="13">
        <v>2.7599999999999999E-3</v>
      </c>
    </row>
    <row r="165" spans="1:2" x14ac:dyDescent="0.25">
      <c r="A165" s="13">
        <v>183</v>
      </c>
      <c r="B165" s="13">
        <v>2.5999999999999999E-3</v>
      </c>
    </row>
    <row r="166" spans="1:2" x14ac:dyDescent="0.25">
      <c r="A166" s="13">
        <v>184</v>
      </c>
      <c r="B166" s="13">
        <v>2.6099999999999999E-3</v>
      </c>
    </row>
    <row r="167" spans="1:2" x14ac:dyDescent="0.25">
      <c r="A167" s="13">
        <v>185</v>
      </c>
      <c r="B167" s="13">
        <v>2.4299999999999999E-3</v>
      </c>
    </row>
    <row r="168" spans="1:2" x14ac:dyDescent="0.25">
      <c r="A168" s="13">
        <v>186</v>
      </c>
      <c r="B168" s="13">
        <v>2.2399999999999998E-3</v>
      </c>
    </row>
    <row r="169" spans="1:2" x14ac:dyDescent="0.25">
      <c r="A169" s="13">
        <v>187</v>
      </c>
      <c r="B169" s="13">
        <v>2.1700000000000001E-3</v>
      </c>
    </row>
    <row r="170" spans="1:2" x14ac:dyDescent="0.25">
      <c r="A170" s="13">
        <v>188</v>
      </c>
      <c r="B170" s="13">
        <v>2E-3</v>
      </c>
    </row>
    <row r="171" spans="1:2" x14ac:dyDescent="0.25">
      <c r="A171" s="13">
        <v>189</v>
      </c>
      <c r="B171" s="13">
        <v>1.82E-3</v>
      </c>
    </row>
    <row r="172" spans="1:2" x14ac:dyDescent="0.25">
      <c r="A172" s="13">
        <v>190</v>
      </c>
      <c r="B172" s="13">
        <v>1.65E-3</v>
      </c>
    </row>
    <row r="173" spans="1:2" x14ac:dyDescent="0.25">
      <c r="A173" s="13">
        <v>191</v>
      </c>
      <c r="B173" s="13">
        <v>1.5200000000000001E-3</v>
      </c>
    </row>
    <row r="174" spans="1:2" x14ac:dyDescent="0.25">
      <c r="A174" s="13">
        <v>192</v>
      </c>
      <c r="B174" s="13">
        <v>1.3600000000000001E-3</v>
      </c>
    </row>
    <row r="175" spans="1:2" x14ac:dyDescent="0.25">
      <c r="A175" s="13">
        <v>193</v>
      </c>
      <c r="B175" s="13">
        <v>1.1900000000000001E-3</v>
      </c>
    </row>
    <row r="176" spans="1:2" x14ac:dyDescent="0.25">
      <c r="A176" s="13">
        <v>194</v>
      </c>
      <c r="B176" s="13">
        <v>1.0499999999999999E-3</v>
      </c>
    </row>
    <row r="177" spans="1:2" x14ac:dyDescent="0.25">
      <c r="A177" s="13">
        <v>195</v>
      </c>
      <c r="B177" s="13">
        <v>9.1200000000000005E-4</v>
      </c>
    </row>
    <row r="178" spans="1:2" x14ac:dyDescent="0.25">
      <c r="A178" s="13">
        <v>196</v>
      </c>
      <c r="B178" s="13">
        <v>7.1299999999999998E-4</v>
      </c>
    </row>
    <row r="179" spans="1:2" x14ac:dyDescent="0.25">
      <c r="A179" s="13">
        <v>197</v>
      </c>
      <c r="B179" s="13">
        <v>6.0999999999999997E-4</v>
      </c>
    </row>
    <row r="180" spans="1:2" x14ac:dyDescent="0.25">
      <c r="A180" s="13">
        <v>198</v>
      </c>
      <c r="B180" s="13">
        <v>4.44E-4</v>
      </c>
    </row>
    <row r="181" spans="1:2" x14ac:dyDescent="0.25">
      <c r="A181" s="13">
        <v>199</v>
      </c>
      <c r="B181" s="13">
        <v>2.8699999999999998E-4</v>
      </c>
    </row>
    <row r="182" spans="1:2" x14ac:dyDescent="0.25">
      <c r="A182" s="13">
        <v>200</v>
      </c>
      <c r="B182" s="13">
        <v>1.3999999999999999E-4</v>
      </c>
    </row>
    <row r="183" spans="1:2" x14ac:dyDescent="0.25">
      <c r="A183" s="13">
        <v>201</v>
      </c>
      <c r="B183" s="13">
        <v>8.6500000000000002E-5</v>
      </c>
    </row>
    <row r="184" spans="1:2" x14ac:dyDescent="0.25">
      <c r="A184" s="13">
        <v>202</v>
      </c>
      <c r="B184" s="13">
        <v>1.12E-4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0"/>
  <dimension ref="A1:B226"/>
  <sheetViews>
    <sheetView workbookViewId="0">
      <selection activeCell="H34" sqref="H34"/>
    </sheetView>
  </sheetViews>
  <sheetFormatPr defaultRowHeight="15" x14ac:dyDescent="0.25"/>
  <cols>
    <col min="1" max="1" width="14.28515625" style="1" customWidth="1"/>
    <col min="2" max="2" width="20.2851562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28</v>
      </c>
      <c r="B2" s="13">
        <v>1.4999999999999999E-4</v>
      </c>
    </row>
    <row r="3" spans="1:2" x14ac:dyDescent="0.25">
      <c r="A3" s="13">
        <v>29</v>
      </c>
      <c r="B3" s="13">
        <v>1.4799999999999999E-4</v>
      </c>
    </row>
    <row r="4" spans="1:2" x14ac:dyDescent="0.25">
      <c r="A4" s="13">
        <v>30</v>
      </c>
      <c r="B4" s="13">
        <v>1.7899999999999999E-4</v>
      </c>
    </row>
    <row r="5" spans="1:2" x14ac:dyDescent="0.25">
      <c r="A5" s="13">
        <v>31</v>
      </c>
      <c r="B5" s="13">
        <v>1.4799999999999999E-4</v>
      </c>
    </row>
    <row r="6" spans="1:2" x14ac:dyDescent="0.25">
      <c r="A6" s="13">
        <v>32</v>
      </c>
      <c r="B6" s="13">
        <v>1.6000000000000001E-4</v>
      </c>
    </row>
    <row r="7" spans="1:2" x14ac:dyDescent="0.25">
      <c r="A7" s="13">
        <v>33</v>
      </c>
      <c r="B7" s="13">
        <v>1.64E-4</v>
      </c>
    </row>
    <row r="8" spans="1:2" x14ac:dyDescent="0.25">
      <c r="A8" s="13">
        <v>34</v>
      </c>
      <c r="B8" s="13">
        <v>9.5600000000000006E-5</v>
      </c>
    </row>
    <row r="9" spans="1:2" x14ac:dyDescent="0.25">
      <c r="A9" s="13">
        <v>35</v>
      </c>
      <c r="B9" s="13">
        <v>1.25E-4</v>
      </c>
    </row>
    <row r="10" spans="1:2" x14ac:dyDescent="0.25">
      <c r="A10" s="13">
        <v>36</v>
      </c>
      <c r="B10" s="13">
        <v>9.1399999999999999E-5</v>
      </c>
    </row>
    <row r="11" spans="1:2" x14ac:dyDescent="0.25">
      <c r="A11" s="13">
        <v>37</v>
      </c>
      <c r="B11" s="13">
        <v>1.1E-4</v>
      </c>
    </row>
    <row r="12" spans="1:2" x14ac:dyDescent="0.25">
      <c r="A12" s="13">
        <v>38</v>
      </c>
      <c r="B12" s="13">
        <v>1.01E-4</v>
      </c>
    </row>
    <row r="13" spans="1:2" x14ac:dyDescent="0.25">
      <c r="A13" s="13">
        <v>39</v>
      </c>
      <c r="B13" s="13">
        <v>1.05E-4</v>
      </c>
    </row>
    <row r="14" spans="1:2" x14ac:dyDescent="0.25">
      <c r="A14" s="13">
        <v>40</v>
      </c>
      <c r="B14" s="13">
        <v>1.18E-4</v>
      </c>
    </row>
    <row r="15" spans="1:2" x14ac:dyDescent="0.25">
      <c r="A15" s="13">
        <v>41</v>
      </c>
      <c r="B15" s="13">
        <v>1.3100000000000001E-4</v>
      </c>
    </row>
    <row r="16" spans="1:2" x14ac:dyDescent="0.25">
      <c r="A16" s="13">
        <v>42</v>
      </c>
      <c r="B16" s="13">
        <v>1.65E-4</v>
      </c>
    </row>
    <row r="17" spans="1:2" x14ac:dyDescent="0.25">
      <c r="A17" s="13">
        <v>43</v>
      </c>
      <c r="B17" s="13">
        <v>1.8200000000000001E-4</v>
      </c>
    </row>
    <row r="18" spans="1:2" x14ac:dyDescent="0.25">
      <c r="A18" s="13">
        <v>44</v>
      </c>
      <c r="B18" s="13">
        <v>2.24E-4</v>
      </c>
    </row>
    <row r="19" spans="1:2" x14ac:dyDescent="0.25">
      <c r="A19" s="13">
        <v>45</v>
      </c>
      <c r="B19" s="13">
        <v>2.4800000000000001E-4</v>
      </c>
    </row>
    <row r="20" spans="1:2" x14ac:dyDescent="0.25">
      <c r="A20" s="13">
        <v>46</v>
      </c>
      <c r="B20" s="13">
        <v>3.1199999999999999E-4</v>
      </c>
    </row>
    <row r="21" spans="1:2" x14ac:dyDescent="0.25">
      <c r="A21" s="13">
        <v>47</v>
      </c>
      <c r="B21" s="13">
        <v>4.0200000000000001E-4</v>
      </c>
    </row>
    <row r="22" spans="1:2" x14ac:dyDescent="0.25">
      <c r="A22" s="13">
        <v>48</v>
      </c>
      <c r="B22" s="13">
        <v>4.8099999999999998E-4</v>
      </c>
    </row>
    <row r="23" spans="1:2" x14ac:dyDescent="0.25">
      <c r="A23" s="13">
        <v>49</v>
      </c>
      <c r="B23" s="13">
        <v>5.53E-4</v>
      </c>
    </row>
    <row r="24" spans="1:2" x14ac:dyDescent="0.25">
      <c r="A24" s="13">
        <v>50</v>
      </c>
      <c r="B24" s="13">
        <v>6.9700000000000003E-4</v>
      </c>
    </row>
    <row r="25" spans="1:2" x14ac:dyDescent="0.25">
      <c r="A25" s="13">
        <v>51</v>
      </c>
      <c r="B25" s="13">
        <v>8.1700000000000002E-4</v>
      </c>
    </row>
    <row r="26" spans="1:2" x14ac:dyDescent="0.25">
      <c r="A26" s="13">
        <v>52</v>
      </c>
      <c r="B26" s="13">
        <v>9.59E-4</v>
      </c>
    </row>
    <row r="27" spans="1:2" x14ac:dyDescent="0.25">
      <c r="A27" s="13">
        <v>53</v>
      </c>
      <c r="B27" s="13">
        <v>1.06E-3</v>
      </c>
    </row>
    <row r="28" spans="1:2" x14ac:dyDescent="0.25">
      <c r="A28" s="13">
        <v>54</v>
      </c>
      <c r="B28" s="13">
        <v>1.24E-3</v>
      </c>
    </row>
    <row r="29" spans="1:2" x14ac:dyDescent="0.25">
      <c r="A29" s="13">
        <v>55</v>
      </c>
      <c r="B29" s="13">
        <v>1.41E-3</v>
      </c>
    </row>
    <row r="30" spans="1:2" x14ac:dyDescent="0.25">
      <c r="A30" s="13">
        <v>56</v>
      </c>
      <c r="B30" s="13">
        <v>1.57E-3</v>
      </c>
    </row>
    <row r="31" spans="1:2" x14ac:dyDescent="0.25">
      <c r="A31" s="13">
        <v>57</v>
      </c>
      <c r="B31" s="13">
        <v>1.83E-3</v>
      </c>
    </row>
    <row r="32" spans="1:2" x14ac:dyDescent="0.25">
      <c r="A32" s="13">
        <v>58</v>
      </c>
      <c r="B32" s="13">
        <v>9.7699999999999992E-3</v>
      </c>
    </row>
    <row r="33" spans="1:2" x14ac:dyDescent="0.25">
      <c r="A33" s="13">
        <v>59</v>
      </c>
      <c r="B33" s="13">
        <v>1.4E-2</v>
      </c>
    </row>
    <row r="34" spans="1:2" x14ac:dyDescent="0.25">
      <c r="A34" s="13">
        <v>60</v>
      </c>
      <c r="B34" s="13">
        <v>6.8900000000000003E-3</v>
      </c>
    </row>
    <row r="35" spans="1:2" x14ac:dyDescent="0.25">
      <c r="A35" s="13">
        <v>61</v>
      </c>
      <c r="B35" s="13">
        <v>2.4599999999999999E-3</v>
      </c>
    </row>
    <row r="36" spans="1:2" x14ac:dyDescent="0.25">
      <c r="A36" s="13">
        <v>62</v>
      </c>
      <c r="B36" s="13">
        <v>2.66E-3</v>
      </c>
    </row>
    <row r="37" spans="1:2" x14ac:dyDescent="0.25">
      <c r="A37" s="13">
        <v>63</v>
      </c>
      <c r="B37" s="13">
        <v>2.8600000000000001E-3</v>
      </c>
    </row>
    <row r="38" spans="1:2" x14ac:dyDescent="0.25">
      <c r="A38" s="13">
        <v>64</v>
      </c>
      <c r="B38" s="13">
        <v>2.98E-3</v>
      </c>
    </row>
    <row r="39" spans="1:2" x14ac:dyDescent="0.25">
      <c r="A39" s="13">
        <v>65</v>
      </c>
      <c r="B39" s="13">
        <v>3.2599999999999999E-3</v>
      </c>
    </row>
    <row r="40" spans="1:2" x14ac:dyDescent="0.25">
      <c r="A40" s="13">
        <v>66</v>
      </c>
      <c r="B40" s="13">
        <v>3.5699999999999998E-3</v>
      </c>
    </row>
    <row r="41" spans="1:2" x14ac:dyDescent="0.25">
      <c r="A41" s="13">
        <v>67</v>
      </c>
      <c r="B41" s="13">
        <v>1.41E-2</v>
      </c>
    </row>
    <row r="42" spans="1:2" x14ac:dyDescent="0.25">
      <c r="A42" s="13">
        <v>68</v>
      </c>
      <c r="B42" s="13">
        <v>5.4799999999999996E-3</v>
      </c>
    </row>
    <row r="43" spans="1:2" x14ac:dyDescent="0.25">
      <c r="A43" s="13">
        <v>69</v>
      </c>
      <c r="B43" s="13">
        <v>7.2700000000000004E-3</v>
      </c>
    </row>
    <row r="44" spans="1:2" x14ac:dyDescent="0.25">
      <c r="A44" s="13">
        <v>70</v>
      </c>
      <c r="B44" s="13">
        <v>3.4399999999999999E-3</v>
      </c>
    </row>
    <row r="45" spans="1:2" x14ac:dyDescent="0.25">
      <c r="A45" s="13">
        <v>71</v>
      </c>
      <c r="B45" s="13">
        <v>3.15E-3</v>
      </c>
    </row>
    <row r="46" spans="1:2" x14ac:dyDescent="0.25">
      <c r="A46" s="13">
        <v>72</v>
      </c>
      <c r="B46" s="13">
        <v>3.31E-3</v>
      </c>
    </row>
    <row r="47" spans="1:2" x14ac:dyDescent="0.25">
      <c r="A47" s="13">
        <v>73</v>
      </c>
      <c r="B47" s="13">
        <v>3.4499999999999999E-3</v>
      </c>
    </row>
    <row r="48" spans="1:2" x14ac:dyDescent="0.25">
      <c r="A48" s="13">
        <v>74</v>
      </c>
      <c r="B48" s="13">
        <v>3.5699999999999998E-3</v>
      </c>
    </row>
    <row r="49" spans="1:2" x14ac:dyDescent="0.25">
      <c r="A49" s="13">
        <v>75</v>
      </c>
      <c r="B49" s="13">
        <v>3.7499999999999999E-3</v>
      </c>
    </row>
    <row r="50" spans="1:2" x14ac:dyDescent="0.25">
      <c r="A50" s="13">
        <v>76</v>
      </c>
      <c r="B50" s="13">
        <v>3.8600000000000001E-3</v>
      </c>
    </row>
    <row r="51" spans="1:2" x14ac:dyDescent="0.25">
      <c r="A51" s="13">
        <v>77</v>
      </c>
      <c r="B51" s="13">
        <v>4.0099999999999997E-3</v>
      </c>
    </row>
    <row r="52" spans="1:2" x14ac:dyDescent="0.25">
      <c r="A52" s="13">
        <v>78</v>
      </c>
      <c r="B52" s="13">
        <v>4.13E-3</v>
      </c>
    </row>
    <row r="53" spans="1:2" x14ac:dyDescent="0.25">
      <c r="A53" s="13">
        <v>79</v>
      </c>
      <c r="B53" s="13">
        <v>4.2599999999999999E-3</v>
      </c>
    </row>
    <row r="54" spans="1:2" x14ac:dyDescent="0.25">
      <c r="A54" s="13">
        <v>80</v>
      </c>
      <c r="B54" s="13">
        <v>4.4000000000000003E-3</v>
      </c>
    </row>
    <row r="55" spans="1:2" x14ac:dyDescent="0.25">
      <c r="A55" s="13">
        <v>81</v>
      </c>
      <c r="B55" s="13">
        <v>4.5100000000000001E-3</v>
      </c>
    </row>
    <row r="56" spans="1:2" x14ac:dyDescent="0.25">
      <c r="A56" s="13">
        <v>82</v>
      </c>
      <c r="B56" s="13">
        <v>4.6699999999999997E-3</v>
      </c>
    </row>
    <row r="57" spans="1:2" x14ac:dyDescent="0.25">
      <c r="A57" s="13">
        <v>83</v>
      </c>
      <c r="B57" s="13">
        <v>4.7999999999999996E-3</v>
      </c>
    </row>
    <row r="58" spans="1:2" x14ac:dyDescent="0.25">
      <c r="A58" s="13">
        <v>84</v>
      </c>
      <c r="B58" s="13">
        <v>4.9300000000000004E-3</v>
      </c>
    </row>
    <row r="59" spans="1:2" x14ac:dyDescent="0.25">
      <c r="A59" s="13">
        <v>85</v>
      </c>
      <c r="B59" s="13">
        <v>5.0499999999999998E-3</v>
      </c>
    </row>
    <row r="60" spans="1:2" x14ac:dyDescent="0.25">
      <c r="A60" s="13">
        <v>86</v>
      </c>
      <c r="B60" s="13">
        <v>5.2399999999999999E-3</v>
      </c>
    </row>
    <row r="61" spans="1:2" x14ac:dyDescent="0.25">
      <c r="A61" s="13">
        <v>87</v>
      </c>
      <c r="B61" s="13">
        <v>5.3E-3</v>
      </c>
    </row>
    <row r="62" spans="1:2" x14ac:dyDescent="0.25">
      <c r="A62" s="13">
        <v>88</v>
      </c>
      <c r="B62" s="13">
        <v>5.3699999999999998E-3</v>
      </c>
    </row>
    <row r="63" spans="1:2" x14ac:dyDescent="0.25">
      <c r="A63" s="13">
        <v>89</v>
      </c>
      <c r="B63" s="13">
        <v>5.4200000000000003E-3</v>
      </c>
    </row>
    <row r="64" spans="1:2" x14ac:dyDescent="0.25">
      <c r="A64" s="13">
        <v>90</v>
      </c>
      <c r="B64" s="13">
        <v>5.4799999999999996E-3</v>
      </c>
    </row>
    <row r="65" spans="1:2" x14ac:dyDescent="0.25">
      <c r="A65" s="13">
        <v>91</v>
      </c>
      <c r="B65" s="13">
        <v>5.6499999999999996E-3</v>
      </c>
    </row>
    <row r="66" spans="1:2" x14ac:dyDescent="0.25">
      <c r="A66" s="13">
        <v>92</v>
      </c>
      <c r="B66" s="13">
        <v>5.7200000000000003E-3</v>
      </c>
    </row>
    <row r="67" spans="1:2" x14ac:dyDescent="0.25">
      <c r="A67" s="13">
        <v>93</v>
      </c>
      <c r="B67" s="13">
        <v>5.8100000000000001E-3</v>
      </c>
    </row>
    <row r="68" spans="1:2" x14ac:dyDescent="0.25">
      <c r="A68" s="13">
        <v>94</v>
      </c>
      <c r="B68" s="13">
        <v>5.8999999999999999E-3</v>
      </c>
    </row>
    <row r="69" spans="1:2" x14ac:dyDescent="0.25">
      <c r="A69" s="13">
        <v>95</v>
      </c>
      <c r="B69" s="13">
        <v>5.9300000000000004E-3</v>
      </c>
    </row>
    <row r="70" spans="1:2" x14ac:dyDescent="0.25">
      <c r="A70" s="13">
        <v>96</v>
      </c>
      <c r="B70" s="13">
        <v>6.0099999999999997E-3</v>
      </c>
    </row>
    <row r="71" spans="1:2" x14ac:dyDescent="0.25">
      <c r="A71" s="13">
        <v>97</v>
      </c>
      <c r="B71" s="13">
        <v>6.1199999999999996E-3</v>
      </c>
    </row>
    <row r="72" spans="1:2" x14ac:dyDescent="0.25">
      <c r="A72" s="13">
        <v>98</v>
      </c>
      <c r="B72" s="13">
        <v>6.2100000000000002E-3</v>
      </c>
    </row>
    <row r="73" spans="1:2" x14ac:dyDescent="0.25">
      <c r="A73" s="13">
        <v>99</v>
      </c>
      <c r="B73" s="13">
        <v>6.3499999999999997E-3</v>
      </c>
    </row>
    <row r="74" spans="1:2" x14ac:dyDescent="0.25">
      <c r="A74" s="13">
        <v>100</v>
      </c>
      <c r="B74" s="13">
        <v>6.3800000000000003E-3</v>
      </c>
    </row>
    <row r="75" spans="1:2" x14ac:dyDescent="0.25">
      <c r="A75" s="13">
        <v>101</v>
      </c>
      <c r="B75" s="13">
        <v>6.4000000000000003E-3</v>
      </c>
    </row>
    <row r="76" spans="1:2" x14ac:dyDescent="0.25">
      <c r="A76" s="13">
        <v>102</v>
      </c>
      <c r="B76" s="13">
        <v>6.43E-3</v>
      </c>
    </row>
    <row r="77" spans="1:2" x14ac:dyDescent="0.25">
      <c r="A77" s="13">
        <v>103</v>
      </c>
      <c r="B77" s="13">
        <v>6.6100000000000004E-3</v>
      </c>
    </row>
    <row r="78" spans="1:2" x14ac:dyDescent="0.25">
      <c r="A78" s="13">
        <v>104</v>
      </c>
      <c r="B78" s="13">
        <v>6.7099999999999998E-3</v>
      </c>
    </row>
    <row r="79" spans="1:2" x14ac:dyDescent="0.25">
      <c r="A79" s="13">
        <v>105</v>
      </c>
      <c r="B79" s="13">
        <v>6.6699999999999997E-3</v>
      </c>
    </row>
    <row r="80" spans="1:2" x14ac:dyDescent="0.25">
      <c r="A80" s="13">
        <v>106</v>
      </c>
      <c r="B80" s="13">
        <v>6.7400000000000003E-3</v>
      </c>
    </row>
    <row r="81" spans="1:2" x14ac:dyDescent="0.25">
      <c r="A81" s="13">
        <v>107</v>
      </c>
      <c r="B81" s="13">
        <v>6.7299999999999999E-3</v>
      </c>
    </row>
    <row r="82" spans="1:2" x14ac:dyDescent="0.25">
      <c r="A82" s="13">
        <v>108</v>
      </c>
      <c r="B82" s="13">
        <v>6.8500000000000002E-3</v>
      </c>
    </row>
    <row r="83" spans="1:2" x14ac:dyDescent="0.25">
      <c r="A83" s="13">
        <v>109</v>
      </c>
      <c r="B83" s="13">
        <v>6.9899999999999997E-3</v>
      </c>
    </row>
    <row r="84" spans="1:2" x14ac:dyDescent="0.25">
      <c r="A84" s="13">
        <v>110</v>
      </c>
      <c r="B84" s="13">
        <v>6.94E-3</v>
      </c>
    </row>
    <row r="85" spans="1:2" x14ac:dyDescent="0.25">
      <c r="A85" s="13">
        <v>111</v>
      </c>
      <c r="B85" s="13">
        <v>7.0000000000000001E-3</v>
      </c>
    </row>
    <row r="86" spans="1:2" x14ac:dyDescent="0.25">
      <c r="A86" s="13">
        <v>112</v>
      </c>
      <c r="B86" s="13">
        <v>7.0800000000000004E-3</v>
      </c>
    </row>
    <row r="87" spans="1:2" x14ac:dyDescent="0.25">
      <c r="A87" s="13">
        <v>113</v>
      </c>
      <c r="B87" s="13">
        <v>7.0699999999999999E-3</v>
      </c>
    </row>
    <row r="88" spans="1:2" x14ac:dyDescent="0.25">
      <c r="A88" s="13">
        <v>114</v>
      </c>
      <c r="B88" s="13">
        <v>7.1199999999999996E-3</v>
      </c>
    </row>
    <row r="89" spans="1:2" x14ac:dyDescent="0.25">
      <c r="A89" s="13">
        <v>115</v>
      </c>
      <c r="B89" s="13">
        <v>7.1900000000000002E-3</v>
      </c>
    </row>
    <row r="90" spans="1:2" x14ac:dyDescent="0.25">
      <c r="A90" s="13">
        <v>116</v>
      </c>
      <c r="B90" s="13">
        <v>7.1300000000000001E-3</v>
      </c>
    </row>
    <row r="91" spans="1:2" x14ac:dyDescent="0.25">
      <c r="A91" s="13">
        <v>117</v>
      </c>
      <c r="B91" s="13">
        <v>7.1700000000000002E-3</v>
      </c>
    </row>
    <row r="92" spans="1:2" x14ac:dyDescent="0.25">
      <c r="A92" s="13">
        <v>118</v>
      </c>
      <c r="B92" s="13">
        <v>7.3600000000000002E-3</v>
      </c>
    </row>
    <row r="93" spans="1:2" x14ac:dyDescent="0.25">
      <c r="A93" s="13">
        <v>119</v>
      </c>
      <c r="B93" s="13">
        <v>7.2300000000000003E-3</v>
      </c>
    </row>
    <row r="94" spans="1:2" x14ac:dyDescent="0.25">
      <c r="A94" s="13">
        <v>120</v>
      </c>
      <c r="B94" s="13">
        <v>7.3499999999999998E-3</v>
      </c>
    </row>
    <row r="95" spans="1:2" x14ac:dyDescent="0.25">
      <c r="A95" s="13">
        <v>121</v>
      </c>
      <c r="B95" s="13">
        <v>7.2399999999999999E-3</v>
      </c>
    </row>
    <row r="96" spans="1:2" x14ac:dyDescent="0.25">
      <c r="A96" s="13">
        <v>122</v>
      </c>
      <c r="B96" s="13">
        <v>7.4000000000000003E-3</v>
      </c>
    </row>
    <row r="97" spans="1:2" x14ac:dyDescent="0.25">
      <c r="A97" s="13">
        <v>123</v>
      </c>
      <c r="B97" s="13">
        <v>7.3299999999999997E-3</v>
      </c>
    </row>
    <row r="98" spans="1:2" x14ac:dyDescent="0.25">
      <c r="A98" s="13">
        <v>124</v>
      </c>
      <c r="B98" s="13">
        <v>7.3000000000000001E-3</v>
      </c>
    </row>
    <row r="99" spans="1:2" x14ac:dyDescent="0.25">
      <c r="A99" s="13">
        <v>125</v>
      </c>
      <c r="B99" s="13">
        <v>7.3899999999999999E-3</v>
      </c>
    </row>
    <row r="100" spans="1:2" x14ac:dyDescent="0.25">
      <c r="A100" s="13">
        <v>126</v>
      </c>
      <c r="B100" s="13">
        <v>7.3099999999999997E-3</v>
      </c>
    </row>
    <row r="101" spans="1:2" x14ac:dyDescent="0.25">
      <c r="A101" s="13">
        <v>127</v>
      </c>
      <c r="B101" s="13">
        <v>7.3400000000000002E-3</v>
      </c>
    </row>
    <row r="102" spans="1:2" x14ac:dyDescent="0.25">
      <c r="A102" s="13">
        <v>128</v>
      </c>
      <c r="B102" s="13">
        <v>7.3000000000000001E-3</v>
      </c>
    </row>
    <row r="103" spans="1:2" x14ac:dyDescent="0.25">
      <c r="A103" s="13">
        <v>129</v>
      </c>
      <c r="B103" s="13">
        <v>7.4599999999999996E-3</v>
      </c>
    </row>
    <row r="104" spans="1:2" x14ac:dyDescent="0.25">
      <c r="A104" s="13">
        <v>130</v>
      </c>
      <c r="B104" s="13">
        <v>7.3499999999999998E-3</v>
      </c>
    </row>
    <row r="105" spans="1:2" x14ac:dyDescent="0.25">
      <c r="A105" s="13">
        <v>131</v>
      </c>
      <c r="B105" s="13">
        <v>7.4099999999999999E-3</v>
      </c>
    </row>
    <row r="106" spans="1:2" x14ac:dyDescent="0.25">
      <c r="A106" s="13">
        <v>132</v>
      </c>
      <c r="B106" s="13">
        <v>7.3200000000000001E-3</v>
      </c>
    </row>
    <row r="107" spans="1:2" x14ac:dyDescent="0.25">
      <c r="A107" s="13">
        <v>133</v>
      </c>
      <c r="B107" s="13">
        <v>7.3800000000000003E-3</v>
      </c>
    </row>
    <row r="108" spans="1:2" x14ac:dyDescent="0.25">
      <c r="A108" s="13">
        <v>134</v>
      </c>
      <c r="B108" s="13">
        <v>7.3400000000000002E-3</v>
      </c>
    </row>
    <row r="109" spans="1:2" x14ac:dyDescent="0.25">
      <c r="A109" s="13">
        <v>135</v>
      </c>
      <c r="B109" s="13">
        <v>7.3200000000000001E-3</v>
      </c>
    </row>
    <row r="110" spans="1:2" x14ac:dyDescent="0.25">
      <c r="A110" s="13">
        <v>136</v>
      </c>
      <c r="B110" s="13">
        <v>7.3499999999999998E-3</v>
      </c>
    </row>
    <row r="111" spans="1:2" x14ac:dyDescent="0.25">
      <c r="A111" s="13">
        <v>137</v>
      </c>
      <c r="B111" s="13">
        <v>7.3499999999999998E-3</v>
      </c>
    </row>
    <row r="112" spans="1:2" x14ac:dyDescent="0.25">
      <c r="A112" s="13">
        <v>138</v>
      </c>
      <c r="B112" s="13">
        <v>7.3499999999999998E-3</v>
      </c>
    </row>
    <row r="113" spans="1:2" x14ac:dyDescent="0.25">
      <c r="A113" s="13">
        <v>139</v>
      </c>
      <c r="B113" s="13">
        <v>7.1999999999999998E-3</v>
      </c>
    </row>
    <row r="114" spans="1:2" x14ac:dyDescent="0.25">
      <c r="A114" s="13">
        <v>140</v>
      </c>
      <c r="B114" s="13">
        <v>7.2300000000000003E-3</v>
      </c>
    </row>
    <row r="115" spans="1:2" x14ac:dyDescent="0.25">
      <c r="A115" s="13">
        <v>141</v>
      </c>
      <c r="B115" s="13">
        <v>7.2500000000000004E-3</v>
      </c>
    </row>
    <row r="116" spans="1:2" x14ac:dyDescent="0.25">
      <c r="A116" s="13">
        <v>142</v>
      </c>
      <c r="B116" s="13">
        <v>7.1399999999999996E-3</v>
      </c>
    </row>
    <row r="117" spans="1:2" x14ac:dyDescent="0.25">
      <c r="A117" s="13">
        <v>143</v>
      </c>
      <c r="B117" s="13">
        <v>7.1199999999999996E-3</v>
      </c>
    </row>
    <row r="118" spans="1:2" x14ac:dyDescent="0.25">
      <c r="A118" s="13">
        <v>144</v>
      </c>
      <c r="B118" s="13">
        <v>7.0800000000000004E-3</v>
      </c>
    </row>
    <row r="119" spans="1:2" x14ac:dyDescent="0.25">
      <c r="A119" s="13">
        <v>145</v>
      </c>
      <c r="B119" s="13">
        <v>7.1000000000000004E-3</v>
      </c>
    </row>
    <row r="120" spans="1:2" x14ac:dyDescent="0.25">
      <c r="A120" s="13">
        <v>146</v>
      </c>
      <c r="B120" s="13">
        <v>7.0499999999999998E-3</v>
      </c>
    </row>
    <row r="121" spans="1:2" x14ac:dyDescent="0.25">
      <c r="A121" s="13">
        <v>147</v>
      </c>
      <c r="B121" s="13">
        <v>7.0299999999999998E-3</v>
      </c>
    </row>
    <row r="122" spans="1:2" x14ac:dyDescent="0.25">
      <c r="A122" s="13">
        <v>148</v>
      </c>
      <c r="B122" s="13">
        <v>7.0200000000000002E-3</v>
      </c>
    </row>
    <row r="123" spans="1:2" x14ac:dyDescent="0.25">
      <c r="A123" s="13">
        <v>149</v>
      </c>
      <c r="B123" s="13">
        <v>6.9300000000000004E-3</v>
      </c>
    </row>
    <row r="124" spans="1:2" x14ac:dyDescent="0.25">
      <c r="A124" s="13">
        <v>150</v>
      </c>
      <c r="B124" s="13">
        <v>6.9199999999999999E-3</v>
      </c>
    </row>
    <row r="125" spans="1:2" x14ac:dyDescent="0.25">
      <c r="A125" s="13">
        <v>151</v>
      </c>
      <c r="B125" s="13">
        <v>6.8999999999999999E-3</v>
      </c>
    </row>
    <row r="126" spans="1:2" x14ac:dyDescent="0.25">
      <c r="A126" s="13">
        <v>152</v>
      </c>
      <c r="B126" s="13">
        <v>6.8599999999999998E-3</v>
      </c>
    </row>
    <row r="127" spans="1:2" x14ac:dyDescent="0.25">
      <c r="A127" s="13">
        <v>153</v>
      </c>
      <c r="B127" s="13">
        <v>6.8799999999999998E-3</v>
      </c>
    </row>
    <row r="128" spans="1:2" x14ac:dyDescent="0.25">
      <c r="A128" s="13">
        <v>154</v>
      </c>
      <c r="B128" s="13">
        <v>6.8700000000000002E-3</v>
      </c>
    </row>
    <row r="129" spans="1:2" x14ac:dyDescent="0.25">
      <c r="A129" s="13">
        <v>155</v>
      </c>
      <c r="B129" s="13">
        <v>6.6699999999999997E-3</v>
      </c>
    </row>
    <row r="130" spans="1:2" x14ac:dyDescent="0.25">
      <c r="A130" s="13">
        <v>156</v>
      </c>
      <c r="B130" s="13">
        <v>6.7499999999999999E-3</v>
      </c>
    </row>
    <row r="131" spans="1:2" x14ac:dyDescent="0.25">
      <c r="A131" s="13">
        <v>157</v>
      </c>
      <c r="B131" s="13">
        <v>6.7299999999999999E-3</v>
      </c>
    </row>
    <row r="132" spans="1:2" x14ac:dyDescent="0.25">
      <c r="A132" s="13">
        <v>158</v>
      </c>
      <c r="B132" s="13">
        <v>6.5799999999999999E-3</v>
      </c>
    </row>
    <row r="133" spans="1:2" x14ac:dyDescent="0.25">
      <c r="A133" s="13">
        <v>159</v>
      </c>
      <c r="B133" s="13">
        <v>6.6699999999999997E-3</v>
      </c>
    </row>
    <row r="134" spans="1:2" x14ac:dyDescent="0.25">
      <c r="A134" s="13">
        <v>160</v>
      </c>
      <c r="B134" s="13">
        <v>6.4599999999999996E-3</v>
      </c>
    </row>
    <row r="135" spans="1:2" x14ac:dyDescent="0.25">
      <c r="A135" s="13">
        <v>161</v>
      </c>
      <c r="B135" s="13">
        <v>6.4700000000000001E-3</v>
      </c>
    </row>
    <row r="136" spans="1:2" x14ac:dyDescent="0.25">
      <c r="A136" s="13">
        <v>162</v>
      </c>
      <c r="B136" s="13">
        <v>6.6100000000000004E-3</v>
      </c>
    </row>
    <row r="137" spans="1:2" x14ac:dyDescent="0.25">
      <c r="A137" s="13">
        <v>163</v>
      </c>
      <c r="B137" s="13">
        <v>6.4999999999999997E-3</v>
      </c>
    </row>
    <row r="138" spans="1:2" x14ac:dyDescent="0.25">
      <c r="A138" s="13">
        <v>164</v>
      </c>
      <c r="B138" s="13">
        <v>6.4099999999999999E-3</v>
      </c>
    </row>
    <row r="139" spans="1:2" x14ac:dyDescent="0.25">
      <c r="A139" s="13">
        <v>165</v>
      </c>
      <c r="B139" s="13">
        <v>6.4400000000000004E-3</v>
      </c>
    </row>
    <row r="140" spans="1:2" x14ac:dyDescent="0.25">
      <c r="A140" s="13">
        <v>166</v>
      </c>
      <c r="B140" s="13">
        <v>6.3E-3</v>
      </c>
    </row>
    <row r="141" spans="1:2" x14ac:dyDescent="0.25">
      <c r="A141" s="13">
        <v>167</v>
      </c>
      <c r="B141" s="13">
        <v>6.2399999999999999E-3</v>
      </c>
    </row>
    <row r="142" spans="1:2" x14ac:dyDescent="0.25">
      <c r="A142" s="13">
        <v>168</v>
      </c>
      <c r="B142" s="13">
        <v>6.2100000000000002E-3</v>
      </c>
    </row>
    <row r="143" spans="1:2" x14ac:dyDescent="0.25">
      <c r="A143" s="13">
        <v>169</v>
      </c>
      <c r="B143" s="13">
        <v>6.1599999999999997E-3</v>
      </c>
    </row>
    <row r="144" spans="1:2" x14ac:dyDescent="0.25">
      <c r="A144" s="13">
        <v>170</v>
      </c>
      <c r="B144" s="13">
        <v>6.1399999999999996E-3</v>
      </c>
    </row>
    <row r="145" spans="1:2" x14ac:dyDescent="0.25">
      <c r="A145" s="13">
        <v>171</v>
      </c>
      <c r="B145" s="13">
        <v>6.1599999999999997E-3</v>
      </c>
    </row>
    <row r="146" spans="1:2" x14ac:dyDescent="0.25">
      <c r="A146" s="13">
        <v>172</v>
      </c>
      <c r="B146" s="13">
        <v>5.8999999999999999E-3</v>
      </c>
    </row>
    <row r="147" spans="1:2" x14ac:dyDescent="0.25">
      <c r="A147" s="13">
        <v>173</v>
      </c>
      <c r="B147" s="13">
        <v>5.9800000000000001E-3</v>
      </c>
    </row>
    <row r="148" spans="1:2" x14ac:dyDescent="0.25">
      <c r="A148" s="13">
        <v>174</v>
      </c>
      <c r="B148" s="13">
        <v>5.8799999999999998E-3</v>
      </c>
    </row>
    <row r="149" spans="1:2" x14ac:dyDescent="0.25">
      <c r="A149" s="13">
        <v>175</v>
      </c>
      <c r="B149" s="13">
        <v>5.7999999999999996E-3</v>
      </c>
    </row>
    <row r="150" spans="1:2" x14ac:dyDescent="0.25">
      <c r="A150" s="13">
        <v>176</v>
      </c>
      <c r="B150" s="13">
        <v>5.79E-3</v>
      </c>
    </row>
    <row r="151" spans="1:2" x14ac:dyDescent="0.25">
      <c r="A151" s="13">
        <v>177</v>
      </c>
      <c r="B151" s="13">
        <v>5.8100000000000001E-3</v>
      </c>
    </row>
    <row r="152" spans="1:2" x14ac:dyDescent="0.25">
      <c r="A152" s="13">
        <v>178</v>
      </c>
      <c r="B152" s="13">
        <v>5.7000000000000002E-3</v>
      </c>
    </row>
    <row r="153" spans="1:2" x14ac:dyDescent="0.25">
      <c r="A153" s="13">
        <v>179</v>
      </c>
      <c r="B153" s="13">
        <v>5.5900000000000004E-3</v>
      </c>
    </row>
    <row r="154" spans="1:2" x14ac:dyDescent="0.25">
      <c r="A154" s="13">
        <v>180</v>
      </c>
      <c r="B154" s="13">
        <v>5.5300000000000002E-3</v>
      </c>
    </row>
    <row r="155" spans="1:2" x14ac:dyDescent="0.25">
      <c r="A155" s="13">
        <v>181</v>
      </c>
      <c r="B155" s="13">
        <v>5.4999999999999997E-3</v>
      </c>
    </row>
    <row r="156" spans="1:2" x14ac:dyDescent="0.25">
      <c r="A156" s="13">
        <v>182</v>
      </c>
      <c r="B156" s="13">
        <v>5.5300000000000002E-3</v>
      </c>
    </row>
    <row r="157" spans="1:2" x14ac:dyDescent="0.25">
      <c r="A157" s="13">
        <v>183</v>
      </c>
      <c r="B157" s="13">
        <v>5.3899999999999998E-3</v>
      </c>
    </row>
    <row r="158" spans="1:2" x14ac:dyDescent="0.25">
      <c r="A158" s="13">
        <v>184</v>
      </c>
      <c r="B158" s="13">
        <v>5.2100000000000002E-3</v>
      </c>
    </row>
    <row r="159" spans="1:2" x14ac:dyDescent="0.25">
      <c r="A159" s="13">
        <v>185</v>
      </c>
      <c r="B159" s="13">
        <v>5.2500000000000003E-3</v>
      </c>
    </row>
    <row r="160" spans="1:2" x14ac:dyDescent="0.25">
      <c r="A160" s="13">
        <v>186</v>
      </c>
      <c r="B160" s="13">
        <v>5.2399999999999999E-3</v>
      </c>
    </row>
    <row r="161" spans="1:2" x14ac:dyDescent="0.25">
      <c r="A161" s="13">
        <v>187</v>
      </c>
      <c r="B161" s="13">
        <v>5.2399999999999999E-3</v>
      </c>
    </row>
    <row r="162" spans="1:2" x14ac:dyDescent="0.25">
      <c r="A162" s="13">
        <v>188</v>
      </c>
      <c r="B162" s="13">
        <v>5.1200000000000004E-3</v>
      </c>
    </row>
    <row r="163" spans="1:2" x14ac:dyDescent="0.25">
      <c r="A163" s="13">
        <v>189</v>
      </c>
      <c r="B163" s="13">
        <v>5.11E-3</v>
      </c>
    </row>
    <row r="164" spans="1:2" x14ac:dyDescent="0.25">
      <c r="A164" s="13">
        <v>190</v>
      </c>
      <c r="B164" s="13">
        <v>5.0800000000000003E-3</v>
      </c>
    </row>
    <row r="165" spans="1:2" x14ac:dyDescent="0.25">
      <c r="A165" s="13">
        <v>191</v>
      </c>
      <c r="B165" s="13">
        <v>4.8999999999999998E-3</v>
      </c>
    </row>
    <row r="166" spans="1:2" x14ac:dyDescent="0.25">
      <c r="A166" s="13">
        <v>192</v>
      </c>
      <c r="B166" s="13">
        <v>4.7499999999999999E-3</v>
      </c>
    </row>
    <row r="167" spans="1:2" x14ac:dyDescent="0.25">
      <c r="A167" s="13">
        <v>193</v>
      </c>
      <c r="B167" s="13">
        <v>4.8199999999999996E-3</v>
      </c>
    </row>
    <row r="168" spans="1:2" x14ac:dyDescent="0.25">
      <c r="A168" s="13">
        <v>194</v>
      </c>
      <c r="B168" s="13">
        <v>4.7200000000000002E-3</v>
      </c>
    </row>
    <row r="169" spans="1:2" x14ac:dyDescent="0.25">
      <c r="A169" s="13">
        <v>195</v>
      </c>
      <c r="B169" s="13">
        <v>4.7099999999999998E-3</v>
      </c>
    </row>
    <row r="170" spans="1:2" x14ac:dyDescent="0.25">
      <c r="A170" s="13">
        <v>196</v>
      </c>
      <c r="B170" s="13">
        <v>4.5999999999999999E-3</v>
      </c>
    </row>
    <row r="171" spans="1:2" x14ac:dyDescent="0.25">
      <c r="A171" s="13">
        <v>197</v>
      </c>
      <c r="B171" s="13">
        <v>4.4799999999999996E-3</v>
      </c>
    </row>
    <row r="172" spans="1:2" x14ac:dyDescent="0.25">
      <c r="A172" s="13">
        <v>198</v>
      </c>
      <c r="B172" s="13">
        <v>4.3099999999999996E-3</v>
      </c>
    </row>
    <row r="173" spans="1:2" x14ac:dyDescent="0.25">
      <c r="A173" s="13">
        <v>199</v>
      </c>
      <c r="B173" s="13">
        <v>4.3600000000000002E-3</v>
      </c>
    </row>
    <row r="174" spans="1:2" x14ac:dyDescent="0.25">
      <c r="A174" s="13">
        <v>200</v>
      </c>
      <c r="B174" s="13">
        <v>4.1900000000000001E-3</v>
      </c>
    </row>
    <row r="175" spans="1:2" x14ac:dyDescent="0.25">
      <c r="A175" s="13">
        <v>201</v>
      </c>
      <c r="B175" s="13">
        <v>4.1700000000000001E-3</v>
      </c>
    </row>
    <row r="176" spans="1:2" x14ac:dyDescent="0.25">
      <c r="A176" s="13">
        <v>202</v>
      </c>
      <c r="B176" s="13">
        <v>4.2700000000000004E-3</v>
      </c>
    </row>
    <row r="177" spans="1:2" x14ac:dyDescent="0.25">
      <c r="A177" s="13">
        <v>203</v>
      </c>
      <c r="B177" s="13">
        <v>4.15E-3</v>
      </c>
    </row>
    <row r="178" spans="1:2" x14ac:dyDescent="0.25">
      <c r="A178" s="13">
        <v>204</v>
      </c>
      <c r="B178" s="13">
        <v>4.1799999999999997E-3</v>
      </c>
    </row>
    <row r="179" spans="1:2" x14ac:dyDescent="0.25">
      <c r="A179" s="13">
        <v>205</v>
      </c>
      <c r="B179" s="13">
        <v>3.9899999999999996E-3</v>
      </c>
    </row>
    <row r="180" spans="1:2" x14ac:dyDescent="0.25">
      <c r="A180" s="13">
        <v>206</v>
      </c>
      <c r="B180" s="13">
        <v>3.8700000000000002E-3</v>
      </c>
    </row>
    <row r="181" spans="1:2" x14ac:dyDescent="0.25">
      <c r="A181" s="13">
        <v>207</v>
      </c>
      <c r="B181" s="13">
        <v>3.8E-3</v>
      </c>
    </row>
    <row r="182" spans="1:2" x14ac:dyDescent="0.25">
      <c r="A182" s="13">
        <v>208</v>
      </c>
      <c r="B182" s="13">
        <v>3.7599999999999999E-3</v>
      </c>
    </row>
    <row r="183" spans="1:2" x14ac:dyDescent="0.25">
      <c r="A183" s="13">
        <v>209</v>
      </c>
      <c r="B183" s="13">
        <v>3.6700000000000001E-3</v>
      </c>
    </row>
    <row r="184" spans="1:2" x14ac:dyDescent="0.25">
      <c r="A184" s="13">
        <v>210</v>
      </c>
      <c r="B184" s="13">
        <v>3.65E-3</v>
      </c>
    </row>
    <row r="185" spans="1:2" x14ac:dyDescent="0.25">
      <c r="A185" s="13">
        <v>211</v>
      </c>
      <c r="B185" s="13">
        <v>3.48E-3</v>
      </c>
    </row>
    <row r="186" spans="1:2" x14ac:dyDescent="0.25">
      <c r="A186" s="13">
        <v>212</v>
      </c>
      <c r="B186" s="13">
        <v>3.5500000000000002E-3</v>
      </c>
    </row>
    <row r="187" spans="1:2" x14ac:dyDescent="0.25">
      <c r="A187" s="13">
        <v>213</v>
      </c>
      <c r="B187" s="13">
        <v>3.32E-3</v>
      </c>
    </row>
    <row r="188" spans="1:2" x14ac:dyDescent="0.25">
      <c r="A188" s="13">
        <v>214</v>
      </c>
      <c r="B188" s="13">
        <v>3.2699999999999999E-3</v>
      </c>
    </row>
    <row r="189" spans="1:2" x14ac:dyDescent="0.25">
      <c r="A189" s="13">
        <v>215</v>
      </c>
      <c r="B189" s="13">
        <v>3.2299999999999998E-3</v>
      </c>
    </row>
    <row r="190" spans="1:2" x14ac:dyDescent="0.25">
      <c r="A190" s="13">
        <v>216</v>
      </c>
      <c r="B190" s="13">
        <v>3.0599999999999998E-3</v>
      </c>
    </row>
    <row r="191" spans="1:2" x14ac:dyDescent="0.25">
      <c r="A191" s="13">
        <v>217</v>
      </c>
      <c r="B191" s="13">
        <v>3.0899999999999999E-3</v>
      </c>
    </row>
    <row r="192" spans="1:2" x14ac:dyDescent="0.25">
      <c r="A192" s="13">
        <v>218</v>
      </c>
      <c r="B192" s="13">
        <v>3.0599999999999998E-3</v>
      </c>
    </row>
    <row r="193" spans="1:2" x14ac:dyDescent="0.25">
      <c r="A193" s="13">
        <v>219</v>
      </c>
      <c r="B193" s="13">
        <v>2.8800000000000002E-3</v>
      </c>
    </row>
    <row r="194" spans="1:2" x14ac:dyDescent="0.25">
      <c r="A194" s="13">
        <v>220</v>
      </c>
      <c r="B194" s="13">
        <v>2.7799999999999999E-3</v>
      </c>
    </row>
    <row r="195" spans="1:2" x14ac:dyDescent="0.25">
      <c r="A195" s="13">
        <v>221</v>
      </c>
      <c r="B195" s="13">
        <v>2.7100000000000002E-3</v>
      </c>
    </row>
    <row r="196" spans="1:2" x14ac:dyDescent="0.25">
      <c r="A196" s="13">
        <v>222</v>
      </c>
      <c r="B196" s="13">
        <v>2.5799999999999998E-3</v>
      </c>
    </row>
    <row r="197" spans="1:2" x14ac:dyDescent="0.25">
      <c r="A197" s="13">
        <v>223</v>
      </c>
      <c r="B197" s="13">
        <v>2.47E-3</v>
      </c>
    </row>
    <row r="198" spans="1:2" x14ac:dyDescent="0.25">
      <c r="A198" s="13">
        <v>224</v>
      </c>
      <c r="B198" s="13">
        <v>2.4399999999999999E-3</v>
      </c>
    </row>
    <row r="199" spans="1:2" x14ac:dyDescent="0.25">
      <c r="A199" s="13">
        <v>225</v>
      </c>
      <c r="B199" s="13">
        <v>2.33E-3</v>
      </c>
    </row>
    <row r="200" spans="1:2" x14ac:dyDescent="0.25">
      <c r="A200" s="13">
        <v>226</v>
      </c>
      <c r="B200" s="13">
        <v>2.2499999999999998E-3</v>
      </c>
    </row>
    <row r="201" spans="1:2" x14ac:dyDescent="0.25">
      <c r="A201" s="13">
        <v>227</v>
      </c>
      <c r="B201" s="13">
        <v>2.2599999999999999E-3</v>
      </c>
    </row>
    <row r="202" spans="1:2" x14ac:dyDescent="0.25">
      <c r="A202" s="13">
        <v>228</v>
      </c>
      <c r="B202" s="13">
        <v>2.1199999999999999E-3</v>
      </c>
    </row>
    <row r="203" spans="1:2" x14ac:dyDescent="0.25">
      <c r="A203" s="13">
        <v>229</v>
      </c>
      <c r="B203" s="13">
        <v>2.1700000000000001E-3</v>
      </c>
    </row>
    <row r="204" spans="1:2" x14ac:dyDescent="0.25">
      <c r="A204" s="13">
        <v>230</v>
      </c>
      <c r="B204" s="13">
        <v>2E-3</v>
      </c>
    </row>
    <row r="205" spans="1:2" x14ac:dyDescent="0.25">
      <c r="A205" s="13">
        <v>231</v>
      </c>
      <c r="B205" s="13">
        <v>1.89E-3</v>
      </c>
    </row>
    <row r="206" spans="1:2" x14ac:dyDescent="0.25">
      <c r="A206" s="13">
        <v>232</v>
      </c>
      <c r="B206" s="13">
        <v>1.7899999999999999E-3</v>
      </c>
    </row>
    <row r="207" spans="1:2" x14ac:dyDescent="0.25">
      <c r="A207" s="13">
        <v>233</v>
      </c>
      <c r="B207" s="13">
        <v>1.81E-3</v>
      </c>
    </row>
    <row r="208" spans="1:2" x14ac:dyDescent="0.25">
      <c r="A208" s="13">
        <v>234</v>
      </c>
      <c r="B208" s="13">
        <v>1.6299999999999999E-3</v>
      </c>
    </row>
    <row r="209" spans="1:2" x14ac:dyDescent="0.25">
      <c r="A209" s="13">
        <v>235</v>
      </c>
      <c r="B209" s="13">
        <v>1.47E-3</v>
      </c>
    </row>
    <row r="210" spans="1:2" x14ac:dyDescent="0.25">
      <c r="A210" s="13">
        <v>236</v>
      </c>
      <c r="B210" s="13">
        <v>1.4E-3</v>
      </c>
    </row>
    <row r="211" spans="1:2" x14ac:dyDescent="0.25">
      <c r="A211" s="13">
        <v>237</v>
      </c>
      <c r="B211" s="13">
        <v>1.3600000000000001E-3</v>
      </c>
    </row>
    <row r="212" spans="1:2" x14ac:dyDescent="0.25">
      <c r="A212" s="13">
        <v>238</v>
      </c>
      <c r="B212" s="13">
        <v>1.17E-3</v>
      </c>
    </row>
    <row r="213" spans="1:2" x14ac:dyDescent="0.25">
      <c r="A213" s="13">
        <v>239</v>
      </c>
      <c r="B213" s="13">
        <v>1.09E-3</v>
      </c>
    </row>
    <row r="214" spans="1:2" x14ac:dyDescent="0.25">
      <c r="A214" s="13">
        <v>240</v>
      </c>
      <c r="B214" s="13">
        <v>1.0300000000000001E-3</v>
      </c>
    </row>
    <row r="215" spans="1:2" x14ac:dyDescent="0.25">
      <c r="A215" s="13">
        <v>241</v>
      </c>
      <c r="B215" s="13">
        <v>9.7999999999999997E-4</v>
      </c>
    </row>
    <row r="216" spans="1:2" x14ac:dyDescent="0.25">
      <c r="A216" s="13">
        <v>242</v>
      </c>
      <c r="B216" s="13">
        <v>8.9700000000000001E-4</v>
      </c>
    </row>
    <row r="217" spans="1:2" x14ac:dyDescent="0.25">
      <c r="A217" s="13">
        <v>243</v>
      </c>
      <c r="B217" s="13">
        <v>7.6000000000000004E-4</v>
      </c>
    </row>
    <row r="218" spans="1:2" x14ac:dyDescent="0.25">
      <c r="A218" s="13">
        <v>244</v>
      </c>
      <c r="B218" s="13">
        <v>7.3399999999999995E-4</v>
      </c>
    </row>
    <row r="219" spans="1:2" x14ac:dyDescent="0.25">
      <c r="A219" s="13">
        <v>245</v>
      </c>
      <c r="B219" s="13">
        <v>6.0099999999999997E-4</v>
      </c>
    </row>
    <row r="220" spans="1:2" x14ac:dyDescent="0.25">
      <c r="A220" s="13">
        <v>246</v>
      </c>
      <c r="B220" s="13">
        <v>5.2099999999999998E-4</v>
      </c>
    </row>
    <row r="221" spans="1:2" x14ac:dyDescent="0.25">
      <c r="A221" s="13">
        <v>247</v>
      </c>
      <c r="B221" s="13">
        <v>3.7599999999999998E-4</v>
      </c>
    </row>
    <row r="222" spans="1:2" x14ac:dyDescent="0.25">
      <c r="A222" s="13">
        <v>248</v>
      </c>
      <c r="B222" s="13">
        <v>2.7500000000000002E-4</v>
      </c>
    </row>
    <row r="223" spans="1:2" x14ac:dyDescent="0.25">
      <c r="A223" s="13">
        <v>249</v>
      </c>
      <c r="B223" s="13">
        <v>2.4899999999999998E-4</v>
      </c>
    </row>
    <row r="224" spans="1:2" x14ac:dyDescent="0.25">
      <c r="A224" s="13">
        <v>250</v>
      </c>
      <c r="B224" s="13">
        <v>1.3100000000000001E-4</v>
      </c>
    </row>
    <row r="225" spans="1:2" x14ac:dyDescent="0.25">
      <c r="A225" s="13">
        <v>251</v>
      </c>
      <c r="B225" s="13">
        <v>1.35E-4</v>
      </c>
    </row>
    <row r="226" spans="1:2" x14ac:dyDescent="0.25">
      <c r="A226" s="13">
        <v>252</v>
      </c>
      <c r="B226" s="13">
        <v>1.16E-4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1"/>
  <dimension ref="A1:B254"/>
  <sheetViews>
    <sheetView workbookViewId="0">
      <selection sqref="A1:B1"/>
    </sheetView>
  </sheetViews>
  <sheetFormatPr defaultRowHeight="15" x14ac:dyDescent="0.25"/>
  <cols>
    <col min="1" max="1" width="13.5703125" style="1" customWidth="1"/>
    <col min="2" max="2" width="18.85546875" style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30</v>
      </c>
      <c r="B2" s="13">
        <v>1.4999999999999999E-4</v>
      </c>
    </row>
    <row r="3" spans="1:2" x14ac:dyDescent="0.25">
      <c r="A3" s="13">
        <v>31</v>
      </c>
      <c r="B3" s="13">
        <v>1.8000000000000001E-4</v>
      </c>
    </row>
    <row r="4" spans="1:2" x14ac:dyDescent="0.25">
      <c r="A4" s="13">
        <v>32</v>
      </c>
      <c r="B4" s="13">
        <v>2.1699999999999999E-4</v>
      </c>
    </row>
    <row r="5" spans="1:2" x14ac:dyDescent="0.25">
      <c r="A5" s="13">
        <v>33</v>
      </c>
      <c r="B5" s="13">
        <v>1.73E-4</v>
      </c>
    </row>
    <row r="6" spans="1:2" x14ac:dyDescent="0.25">
      <c r="A6" s="13">
        <v>34</v>
      </c>
      <c r="B6" s="13">
        <v>1.3100000000000001E-4</v>
      </c>
    </row>
    <row r="7" spans="1:2" x14ac:dyDescent="0.25">
      <c r="A7" s="13">
        <v>35</v>
      </c>
      <c r="B7" s="13">
        <v>1.2799999999999999E-4</v>
      </c>
    </row>
    <row r="8" spans="1:2" x14ac:dyDescent="0.25">
      <c r="A8" s="13">
        <v>36</v>
      </c>
      <c r="B8" s="13">
        <v>1.45E-4</v>
      </c>
    </row>
    <row r="9" spans="1:2" x14ac:dyDescent="0.25">
      <c r="A9" s="13">
        <v>37</v>
      </c>
      <c r="B9" s="13">
        <v>1.03E-4</v>
      </c>
    </row>
    <row r="10" spans="1:2" x14ac:dyDescent="0.25">
      <c r="A10" s="13">
        <v>38</v>
      </c>
      <c r="B10" s="13">
        <v>1.06E-4</v>
      </c>
    </row>
    <row r="11" spans="1:2" x14ac:dyDescent="0.25">
      <c r="A11" s="13">
        <v>39</v>
      </c>
      <c r="B11" s="13">
        <v>8.7499999999999999E-5</v>
      </c>
    </row>
    <row r="12" spans="1:2" x14ac:dyDescent="0.25">
      <c r="A12" s="13">
        <v>40</v>
      </c>
      <c r="B12" s="13">
        <v>8.7800000000000006E-5</v>
      </c>
    </row>
    <row r="13" spans="1:2" x14ac:dyDescent="0.25">
      <c r="A13" s="13">
        <v>41</v>
      </c>
      <c r="B13" s="13">
        <v>9.3800000000000003E-5</v>
      </c>
    </row>
    <row r="14" spans="1:2" x14ac:dyDescent="0.25">
      <c r="A14" s="13">
        <v>42</v>
      </c>
      <c r="B14" s="13">
        <v>1.11E-4</v>
      </c>
    </row>
    <row r="15" spans="1:2" x14ac:dyDescent="0.25">
      <c r="A15" s="13">
        <v>43</v>
      </c>
      <c r="B15" s="13">
        <v>8.7200000000000005E-5</v>
      </c>
    </row>
    <row r="16" spans="1:2" x14ac:dyDescent="0.25">
      <c r="A16" s="13">
        <v>44</v>
      </c>
      <c r="B16" s="13">
        <v>8.5900000000000001E-5</v>
      </c>
    </row>
    <row r="17" spans="1:2" x14ac:dyDescent="0.25">
      <c r="A17" s="13">
        <v>45</v>
      </c>
      <c r="B17" s="13">
        <v>7.6899999999999999E-5</v>
      </c>
    </row>
    <row r="18" spans="1:2" x14ac:dyDescent="0.25">
      <c r="A18" s="13">
        <v>46</v>
      </c>
      <c r="B18" s="13">
        <v>9.5600000000000006E-5</v>
      </c>
    </row>
    <row r="19" spans="1:2" x14ac:dyDescent="0.25">
      <c r="A19" s="13">
        <v>47</v>
      </c>
      <c r="B19" s="13">
        <v>8.8999999999999995E-5</v>
      </c>
    </row>
    <row r="20" spans="1:2" x14ac:dyDescent="0.25">
      <c r="A20" s="13">
        <v>48</v>
      </c>
      <c r="B20" s="13">
        <v>7.8899999999999993E-5</v>
      </c>
    </row>
    <row r="21" spans="1:2" x14ac:dyDescent="0.25">
      <c r="A21" s="13">
        <v>49</v>
      </c>
      <c r="B21" s="13">
        <v>9.1600000000000004E-5</v>
      </c>
    </row>
    <row r="22" spans="1:2" x14ac:dyDescent="0.25">
      <c r="A22" s="13">
        <v>50</v>
      </c>
      <c r="B22" s="13">
        <v>9.7600000000000001E-5</v>
      </c>
    </row>
    <row r="23" spans="1:2" x14ac:dyDescent="0.25">
      <c r="A23" s="13">
        <v>51</v>
      </c>
      <c r="B23" s="13">
        <v>1.03E-4</v>
      </c>
    </row>
    <row r="24" spans="1:2" x14ac:dyDescent="0.25">
      <c r="A24" s="13">
        <v>52</v>
      </c>
      <c r="B24" s="13">
        <v>1.2999999999999999E-4</v>
      </c>
    </row>
    <row r="25" spans="1:2" x14ac:dyDescent="0.25">
      <c r="A25" s="13">
        <v>53</v>
      </c>
      <c r="B25" s="13">
        <v>1.2799999999999999E-4</v>
      </c>
    </row>
    <row r="26" spans="1:2" x14ac:dyDescent="0.25">
      <c r="A26" s="13">
        <v>54</v>
      </c>
      <c r="B26" s="13">
        <v>1.7799999999999999E-4</v>
      </c>
    </row>
    <row r="27" spans="1:2" x14ac:dyDescent="0.25">
      <c r="A27" s="13">
        <v>55</v>
      </c>
      <c r="B27" s="13">
        <v>2.0699999999999999E-4</v>
      </c>
    </row>
    <row r="28" spans="1:2" x14ac:dyDescent="0.25">
      <c r="A28" s="13">
        <v>56</v>
      </c>
      <c r="B28" s="13">
        <v>2.2900000000000001E-4</v>
      </c>
    </row>
    <row r="29" spans="1:2" x14ac:dyDescent="0.25">
      <c r="A29" s="13">
        <v>57</v>
      </c>
      <c r="B29" s="13">
        <v>3.2899999999999997E-4</v>
      </c>
    </row>
    <row r="30" spans="1:2" x14ac:dyDescent="0.25">
      <c r="A30" s="13">
        <v>58</v>
      </c>
      <c r="B30" s="13">
        <v>1.5200000000000001E-3</v>
      </c>
    </row>
    <row r="31" spans="1:2" x14ac:dyDescent="0.25">
      <c r="A31" s="13">
        <v>59</v>
      </c>
      <c r="B31" s="13">
        <v>3.0599999999999998E-3</v>
      </c>
    </row>
    <row r="32" spans="1:2" x14ac:dyDescent="0.25">
      <c r="A32" s="13">
        <v>60</v>
      </c>
      <c r="B32" s="13">
        <v>7.3499999999999998E-4</v>
      </c>
    </row>
    <row r="33" spans="1:2" x14ac:dyDescent="0.25">
      <c r="A33" s="13">
        <v>61</v>
      </c>
      <c r="B33" s="13">
        <v>5.2099999999999998E-4</v>
      </c>
    </row>
    <row r="34" spans="1:2" x14ac:dyDescent="0.25">
      <c r="A34" s="13">
        <v>62</v>
      </c>
      <c r="B34" s="13">
        <v>5.7700000000000004E-4</v>
      </c>
    </row>
    <row r="35" spans="1:2" x14ac:dyDescent="0.25">
      <c r="A35" s="13">
        <v>63</v>
      </c>
      <c r="B35" s="13">
        <v>6.69E-4</v>
      </c>
    </row>
    <row r="36" spans="1:2" x14ac:dyDescent="0.25">
      <c r="A36" s="13">
        <v>64</v>
      </c>
      <c r="B36" s="13">
        <v>7.7200000000000001E-4</v>
      </c>
    </row>
    <row r="37" spans="1:2" x14ac:dyDescent="0.25">
      <c r="A37" s="13">
        <v>65</v>
      </c>
      <c r="B37" s="13">
        <v>8.4500000000000005E-4</v>
      </c>
    </row>
    <row r="38" spans="1:2" x14ac:dyDescent="0.25">
      <c r="A38" s="13">
        <v>66</v>
      </c>
      <c r="B38" s="13">
        <v>1.15E-3</v>
      </c>
    </row>
    <row r="39" spans="1:2" x14ac:dyDescent="0.25">
      <c r="A39" s="13">
        <v>67</v>
      </c>
      <c r="B39" s="13">
        <v>4.64E-3</v>
      </c>
    </row>
    <row r="40" spans="1:2" x14ac:dyDescent="0.25">
      <c r="A40" s="13">
        <v>68</v>
      </c>
      <c r="B40" s="13">
        <v>1.39E-3</v>
      </c>
    </row>
    <row r="41" spans="1:2" x14ac:dyDescent="0.25">
      <c r="A41" s="13">
        <v>69</v>
      </c>
      <c r="B41" s="13">
        <v>2.4499999999999999E-3</v>
      </c>
    </row>
    <row r="42" spans="1:2" x14ac:dyDescent="0.25">
      <c r="A42" s="13">
        <v>70</v>
      </c>
      <c r="B42" s="13">
        <v>1.07E-3</v>
      </c>
    </row>
    <row r="43" spans="1:2" x14ac:dyDescent="0.25">
      <c r="A43" s="13">
        <v>71</v>
      </c>
      <c r="B43" s="13">
        <v>1.1100000000000001E-3</v>
      </c>
    </row>
    <row r="44" spans="1:2" x14ac:dyDescent="0.25">
      <c r="A44" s="13">
        <v>72</v>
      </c>
      <c r="B44" s="13">
        <v>1.23E-3</v>
      </c>
    </row>
    <row r="45" spans="1:2" x14ac:dyDescent="0.25">
      <c r="A45" s="13">
        <v>73</v>
      </c>
      <c r="B45" s="13">
        <v>1.33E-3</v>
      </c>
    </row>
    <row r="46" spans="1:2" x14ac:dyDescent="0.25">
      <c r="A46" s="13">
        <v>74</v>
      </c>
      <c r="B46" s="13">
        <v>1.3799999999999999E-3</v>
      </c>
    </row>
    <row r="47" spans="1:2" x14ac:dyDescent="0.25">
      <c r="A47" s="13">
        <v>75</v>
      </c>
      <c r="B47" s="13">
        <v>1.57E-3</v>
      </c>
    </row>
    <row r="48" spans="1:2" x14ac:dyDescent="0.25">
      <c r="A48" s="13">
        <v>76</v>
      </c>
      <c r="B48" s="13">
        <v>1.67E-3</v>
      </c>
    </row>
    <row r="49" spans="1:2" x14ac:dyDescent="0.25">
      <c r="A49" s="13">
        <v>77</v>
      </c>
      <c r="B49" s="13">
        <v>1.75E-3</v>
      </c>
    </row>
    <row r="50" spans="1:2" x14ac:dyDescent="0.25">
      <c r="A50" s="13">
        <v>78</v>
      </c>
      <c r="B50" s="13">
        <v>1.8600000000000001E-3</v>
      </c>
    </row>
    <row r="51" spans="1:2" x14ac:dyDescent="0.25">
      <c r="A51" s="13">
        <v>79</v>
      </c>
      <c r="B51" s="13">
        <v>2.0300000000000001E-3</v>
      </c>
    </row>
    <row r="52" spans="1:2" x14ac:dyDescent="0.25">
      <c r="A52" s="13">
        <v>80</v>
      </c>
      <c r="B52" s="13">
        <v>2.0999999999999999E-3</v>
      </c>
    </row>
    <row r="53" spans="1:2" x14ac:dyDescent="0.25">
      <c r="A53" s="13">
        <v>81</v>
      </c>
      <c r="B53" s="13">
        <v>2.2200000000000002E-3</v>
      </c>
    </row>
    <row r="54" spans="1:2" x14ac:dyDescent="0.25">
      <c r="A54" s="13">
        <v>82</v>
      </c>
      <c r="B54" s="13">
        <v>2.3999999999999998E-3</v>
      </c>
    </row>
    <row r="55" spans="1:2" x14ac:dyDescent="0.25">
      <c r="A55" s="13">
        <v>83</v>
      </c>
      <c r="B55" s="13">
        <v>2.5400000000000002E-3</v>
      </c>
    </row>
    <row r="56" spans="1:2" x14ac:dyDescent="0.25">
      <c r="A56" s="13">
        <v>84</v>
      </c>
      <c r="B56" s="13">
        <v>2.65E-3</v>
      </c>
    </row>
    <row r="57" spans="1:2" x14ac:dyDescent="0.25">
      <c r="A57" s="13">
        <v>85</v>
      </c>
      <c r="B57" s="13">
        <v>2.81E-3</v>
      </c>
    </row>
    <row r="58" spans="1:2" x14ac:dyDescent="0.25">
      <c r="A58" s="13">
        <v>86</v>
      </c>
      <c r="B58" s="13">
        <v>2.9199999999999999E-3</v>
      </c>
    </row>
    <row r="59" spans="1:2" x14ac:dyDescent="0.25">
      <c r="A59" s="13">
        <v>87</v>
      </c>
      <c r="B59" s="13">
        <v>3.0699999999999998E-3</v>
      </c>
    </row>
    <row r="60" spans="1:2" x14ac:dyDescent="0.25">
      <c r="A60" s="13">
        <v>88</v>
      </c>
      <c r="B60" s="13">
        <v>3.13E-3</v>
      </c>
    </row>
    <row r="61" spans="1:2" x14ac:dyDescent="0.25">
      <c r="A61" s="13">
        <v>89</v>
      </c>
      <c r="B61" s="13">
        <v>3.2499999999999999E-3</v>
      </c>
    </row>
    <row r="62" spans="1:2" x14ac:dyDescent="0.25">
      <c r="A62" s="13">
        <v>90</v>
      </c>
      <c r="B62" s="13">
        <v>3.3700000000000002E-3</v>
      </c>
    </row>
    <row r="63" spans="1:2" x14ac:dyDescent="0.25">
      <c r="A63" s="13">
        <v>91</v>
      </c>
      <c r="B63" s="13">
        <v>3.5200000000000001E-3</v>
      </c>
    </row>
    <row r="64" spans="1:2" x14ac:dyDescent="0.25">
      <c r="A64" s="13">
        <v>92</v>
      </c>
      <c r="B64" s="13">
        <v>3.6700000000000001E-3</v>
      </c>
    </row>
    <row r="65" spans="1:2" x14ac:dyDescent="0.25">
      <c r="A65" s="13">
        <v>93</v>
      </c>
      <c r="B65" s="13">
        <v>3.7299999999999998E-3</v>
      </c>
    </row>
    <row r="66" spans="1:2" x14ac:dyDescent="0.25">
      <c r="A66" s="13">
        <v>94</v>
      </c>
      <c r="B66" s="13">
        <v>3.9199999999999999E-3</v>
      </c>
    </row>
    <row r="67" spans="1:2" x14ac:dyDescent="0.25">
      <c r="A67" s="13">
        <v>95</v>
      </c>
      <c r="B67" s="13">
        <v>4.0000000000000001E-3</v>
      </c>
    </row>
    <row r="68" spans="1:2" x14ac:dyDescent="0.25">
      <c r="A68" s="13">
        <v>96</v>
      </c>
      <c r="B68" s="13">
        <v>4.1200000000000004E-3</v>
      </c>
    </row>
    <row r="69" spans="1:2" x14ac:dyDescent="0.25">
      <c r="A69" s="13">
        <v>97</v>
      </c>
      <c r="B69" s="13">
        <v>4.2100000000000002E-3</v>
      </c>
    </row>
    <row r="70" spans="1:2" x14ac:dyDescent="0.25">
      <c r="A70" s="13">
        <v>98</v>
      </c>
      <c r="B70" s="13">
        <v>4.3099999999999996E-3</v>
      </c>
    </row>
    <row r="71" spans="1:2" x14ac:dyDescent="0.25">
      <c r="A71" s="13">
        <v>99</v>
      </c>
      <c r="B71" s="13">
        <v>4.4299999999999999E-3</v>
      </c>
    </row>
    <row r="72" spans="1:2" x14ac:dyDescent="0.25">
      <c r="A72" s="13">
        <v>100</v>
      </c>
      <c r="B72" s="13">
        <v>4.5300000000000002E-3</v>
      </c>
    </row>
    <row r="73" spans="1:2" x14ac:dyDescent="0.25">
      <c r="A73" s="13">
        <v>101</v>
      </c>
      <c r="B73" s="13">
        <v>4.64E-3</v>
      </c>
    </row>
    <row r="74" spans="1:2" x14ac:dyDescent="0.25">
      <c r="A74" s="13">
        <v>102</v>
      </c>
      <c r="B74" s="13">
        <v>4.7499999999999999E-3</v>
      </c>
    </row>
    <row r="75" spans="1:2" x14ac:dyDescent="0.25">
      <c r="A75" s="13">
        <v>103</v>
      </c>
      <c r="B75" s="13">
        <v>4.8300000000000001E-3</v>
      </c>
    </row>
    <row r="76" spans="1:2" x14ac:dyDescent="0.25">
      <c r="A76" s="13">
        <v>104</v>
      </c>
      <c r="B76" s="13">
        <v>4.96E-3</v>
      </c>
    </row>
    <row r="77" spans="1:2" x14ac:dyDescent="0.25">
      <c r="A77" s="13">
        <v>105</v>
      </c>
      <c r="B77" s="13">
        <v>5.0800000000000003E-3</v>
      </c>
    </row>
    <row r="78" spans="1:2" x14ac:dyDescent="0.25">
      <c r="A78" s="13">
        <v>106</v>
      </c>
      <c r="B78" s="13">
        <v>5.2500000000000003E-3</v>
      </c>
    </row>
    <row r="79" spans="1:2" x14ac:dyDescent="0.25">
      <c r="A79" s="13">
        <v>107</v>
      </c>
      <c r="B79" s="13">
        <v>5.2500000000000003E-3</v>
      </c>
    </row>
    <row r="80" spans="1:2" x14ac:dyDescent="0.25">
      <c r="A80" s="13">
        <v>108</v>
      </c>
      <c r="B80" s="13">
        <v>5.4200000000000003E-3</v>
      </c>
    </row>
    <row r="81" spans="1:2" x14ac:dyDescent="0.25">
      <c r="A81" s="13">
        <v>109</v>
      </c>
      <c r="B81" s="13">
        <v>5.4200000000000003E-3</v>
      </c>
    </row>
    <row r="82" spans="1:2" x14ac:dyDescent="0.25">
      <c r="A82" s="13">
        <v>110</v>
      </c>
      <c r="B82" s="13">
        <v>5.5900000000000004E-3</v>
      </c>
    </row>
    <row r="83" spans="1:2" x14ac:dyDescent="0.25">
      <c r="A83" s="13">
        <v>111</v>
      </c>
      <c r="B83" s="13">
        <v>5.6299999999999996E-3</v>
      </c>
    </row>
    <row r="84" spans="1:2" x14ac:dyDescent="0.25">
      <c r="A84" s="13">
        <v>112</v>
      </c>
      <c r="B84" s="13">
        <v>5.7099999999999998E-3</v>
      </c>
    </row>
    <row r="85" spans="1:2" x14ac:dyDescent="0.25">
      <c r="A85" s="13">
        <v>113</v>
      </c>
      <c r="B85" s="13">
        <v>5.8300000000000001E-3</v>
      </c>
    </row>
    <row r="86" spans="1:2" x14ac:dyDescent="0.25">
      <c r="A86" s="13">
        <v>114</v>
      </c>
      <c r="B86" s="13">
        <v>5.9500000000000004E-3</v>
      </c>
    </row>
    <row r="87" spans="1:2" x14ac:dyDescent="0.25">
      <c r="A87" s="13">
        <v>115</v>
      </c>
      <c r="B87" s="13">
        <v>6.0000000000000001E-3</v>
      </c>
    </row>
    <row r="88" spans="1:2" x14ac:dyDescent="0.25">
      <c r="A88" s="13">
        <v>116</v>
      </c>
      <c r="B88" s="13">
        <v>6.0800000000000003E-3</v>
      </c>
    </row>
    <row r="89" spans="1:2" x14ac:dyDescent="0.25">
      <c r="A89" s="13">
        <v>117</v>
      </c>
      <c r="B89" s="13">
        <v>6.1599999999999997E-3</v>
      </c>
    </row>
    <row r="90" spans="1:2" x14ac:dyDescent="0.25">
      <c r="A90" s="13">
        <v>118</v>
      </c>
      <c r="B90" s="13">
        <v>6.1999999999999998E-3</v>
      </c>
    </row>
    <row r="91" spans="1:2" x14ac:dyDescent="0.25">
      <c r="A91" s="13">
        <v>119</v>
      </c>
      <c r="B91" s="13">
        <v>6.3099999999999996E-3</v>
      </c>
    </row>
    <row r="92" spans="1:2" x14ac:dyDescent="0.25">
      <c r="A92" s="13">
        <v>120</v>
      </c>
      <c r="B92" s="13">
        <v>6.3600000000000002E-3</v>
      </c>
    </row>
    <row r="93" spans="1:2" x14ac:dyDescent="0.25">
      <c r="A93" s="13">
        <v>121</v>
      </c>
      <c r="B93" s="13">
        <v>6.45E-3</v>
      </c>
    </row>
    <row r="94" spans="1:2" x14ac:dyDescent="0.25">
      <c r="A94" s="13">
        <v>122</v>
      </c>
      <c r="B94" s="13">
        <v>6.4999999999999997E-3</v>
      </c>
    </row>
    <row r="95" spans="1:2" x14ac:dyDescent="0.25">
      <c r="A95" s="13">
        <v>123</v>
      </c>
      <c r="B95" s="13">
        <v>6.5500000000000003E-3</v>
      </c>
    </row>
    <row r="96" spans="1:2" x14ac:dyDescent="0.25">
      <c r="A96" s="13">
        <v>124</v>
      </c>
      <c r="B96" s="13">
        <v>6.5700000000000003E-3</v>
      </c>
    </row>
    <row r="97" spans="1:2" x14ac:dyDescent="0.25">
      <c r="A97" s="13">
        <v>125</v>
      </c>
      <c r="B97" s="13">
        <v>6.5900000000000004E-3</v>
      </c>
    </row>
    <row r="98" spans="1:2" x14ac:dyDescent="0.25">
      <c r="A98" s="13">
        <v>126</v>
      </c>
      <c r="B98" s="13">
        <v>6.6100000000000004E-3</v>
      </c>
    </row>
    <row r="99" spans="1:2" x14ac:dyDescent="0.25">
      <c r="A99" s="13">
        <v>127</v>
      </c>
      <c r="B99" s="13">
        <v>6.6899999999999998E-3</v>
      </c>
    </row>
    <row r="100" spans="1:2" x14ac:dyDescent="0.25">
      <c r="A100" s="13">
        <v>128</v>
      </c>
      <c r="B100" s="13">
        <v>6.7999999999999996E-3</v>
      </c>
    </row>
    <row r="101" spans="1:2" x14ac:dyDescent="0.25">
      <c r="A101" s="13">
        <v>129</v>
      </c>
      <c r="B101" s="13">
        <v>6.77E-3</v>
      </c>
    </row>
    <row r="102" spans="1:2" x14ac:dyDescent="0.25">
      <c r="A102" s="13">
        <v>130</v>
      </c>
      <c r="B102" s="13">
        <v>6.9199999999999999E-3</v>
      </c>
    </row>
    <row r="103" spans="1:2" x14ac:dyDescent="0.25">
      <c r="A103" s="13">
        <v>131</v>
      </c>
      <c r="B103" s="13">
        <v>6.8500000000000002E-3</v>
      </c>
    </row>
    <row r="104" spans="1:2" x14ac:dyDescent="0.25">
      <c r="A104" s="13">
        <v>132</v>
      </c>
      <c r="B104" s="13">
        <v>6.9800000000000001E-3</v>
      </c>
    </row>
    <row r="105" spans="1:2" x14ac:dyDescent="0.25">
      <c r="A105" s="13">
        <v>133</v>
      </c>
      <c r="B105" s="13">
        <v>7.0000000000000001E-3</v>
      </c>
    </row>
    <row r="106" spans="1:2" x14ac:dyDescent="0.25">
      <c r="A106" s="13">
        <v>134</v>
      </c>
      <c r="B106" s="13">
        <v>6.94E-3</v>
      </c>
    </row>
    <row r="107" spans="1:2" x14ac:dyDescent="0.25">
      <c r="A107" s="13">
        <v>135</v>
      </c>
      <c r="B107" s="13">
        <v>6.9300000000000004E-3</v>
      </c>
    </row>
    <row r="108" spans="1:2" x14ac:dyDescent="0.25">
      <c r="A108" s="13">
        <v>136</v>
      </c>
      <c r="B108" s="13">
        <v>7.0699999999999999E-3</v>
      </c>
    </row>
    <row r="109" spans="1:2" x14ac:dyDescent="0.25">
      <c r="A109" s="13">
        <v>137</v>
      </c>
      <c r="B109" s="13">
        <v>7.0400000000000003E-3</v>
      </c>
    </row>
    <row r="110" spans="1:2" x14ac:dyDescent="0.25">
      <c r="A110" s="13">
        <v>138</v>
      </c>
      <c r="B110" s="13">
        <v>7.0499999999999998E-3</v>
      </c>
    </row>
    <row r="111" spans="1:2" x14ac:dyDescent="0.25">
      <c r="A111" s="13">
        <v>139</v>
      </c>
      <c r="B111" s="13">
        <v>7.0299999999999998E-3</v>
      </c>
    </row>
    <row r="112" spans="1:2" x14ac:dyDescent="0.25">
      <c r="A112" s="13">
        <v>140</v>
      </c>
      <c r="B112" s="13">
        <v>7.1199999999999996E-3</v>
      </c>
    </row>
    <row r="113" spans="1:2" x14ac:dyDescent="0.25">
      <c r="A113" s="13">
        <v>141</v>
      </c>
      <c r="B113" s="13">
        <v>7.11E-3</v>
      </c>
    </row>
    <row r="114" spans="1:2" x14ac:dyDescent="0.25">
      <c r="A114" s="13">
        <v>142</v>
      </c>
      <c r="B114" s="13">
        <v>7.1399999999999996E-3</v>
      </c>
    </row>
    <row r="115" spans="1:2" x14ac:dyDescent="0.25">
      <c r="A115" s="13">
        <v>143</v>
      </c>
      <c r="B115" s="13">
        <v>7.1300000000000001E-3</v>
      </c>
    </row>
    <row r="116" spans="1:2" x14ac:dyDescent="0.25">
      <c r="A116" s="13">
        <v>144</v>
      </c>
      <c r="B116" s="13">
        <v>7.1000000000000004E-3</v>
      </c>
    </row>
    <row r="117" spans="1:2" x14ac:dyDescent="0.25">
      <c r="A117" s="13">
        <v>145</v>
      </c>
      <c r="B117" s="13">
        <v>7.2100000000000003E-3</v>
      </c>
    </row>
    <row r="118" spans="1:2" x14ac:dyDescent="0.25">
      <c r="A118" s="13">
        <v>146</v>
      </c>
      <c r="B118" s="13">
        <v>7.0699999999999999E-3</v>
      </c>
    </row>
    <row r="119" spans="1:2" x14ac:dyDescent="0.25">
      <c r="A119" s="13">
        <v>147</v>
      </c>
      <c r="B119" s="13">
        <v>7.1199999999999996E-3</v>
      </c>
    </row>
    <row r="120" spans="1:2" x14ac:dyDescent="0.25">
      <c r="A120" s="13">
        <v>148</v>
      </c>
      <c r="B120" s="13">
        <v>7.1700000000000002E-3</v>
      </c>
    </row>
    <row r="121" spans="1:2" x14ac:dyDescent="0.25">
      <c r="A121" s="13">
        <v>149</v>
      </c>
      <c r="B121" s="13">
        <v>7.1999999999999998E-3</v>
      </c>
    </row>
    <row r="122" spans="1:2" x14ac:dyDescent="0.25">
      <c r="A122" s="13">
        <v>150</v>
      </c>
      <c r="B122" s="13">
        <v>7.1999999999999998E-3</v>
      </c>
    </row>
    <row r="123" spans="1:2" x14ac:dyDescent="0.25">
      <c r="A123" s="13">
        <v>151</v>
      </c>
      <c r="B123" s="13">
        <v>7.2300000000000003E-3</v>
      </c>
    </row>
    <row r="124" spans="1:2" x14ac:dyDescent="0.25">
      <c r="A124" s="13">
        <v>152</v>
      </c>
      <c r="B124" s="13">
        <v>7.1900000000000002E-3</v>
      </c>
    </row>
    <row r="125" spans="1:2" x14ac:dyDescent="0.25">
      <c r="A125" s="13">
        <v>153</v>
      </c>
      <c r="B125" s="13">
        <v>7.1900000000000002E-3</v>
      </c>
    </row>
    <row r="126" spans="1:2" x14ac:dyDescent="0.25">
      <c r="A126" s="13">
        <v>154</v>
      </c>
      <c r="B126" s="13">
        <v>7.2300000000000003E-3</v>
      </c>
    </row>
    <row r="127" spans="1:2" x14ac:dyDescent="0.25">
      <c r="A127" s="13">
        <v>155</v>
      </c>
      <c r="B127" s="13">
        <v>7.1599999999999997E-3</v>
      </c>
    </row>
    <row r="128" spans="1:2" x14ac:dyDescent="0.25">
      <c r="A128" s="13">
        <v>156</v>
      </c>
      <c r="B128" s="13">
        <v>7.0800000000000004E-3</v>
      </c>
    </row>
    <row r="129" spans="1:2" x14ac:dyDescent="0.25">
      <c r="A129" s="13">
        <v>157</v>
      </c>
      <c r="B129" s="13">
        <v>7.0299999999999998E-3</v>
      </c>
    </row>
    <row r="130" spans="1:2" x14ac:dyDescent="0.25">
      <c r="A130" s="13">
        <v>158</v>
      </c>
      <c r="B130" s="13">
        <v>7.1300000000000001E-3</v>
      </c>
    </row>
    <row r="131" spans="1:2" x14ac:dyDescent="0.25">
      <c r="A131" s="13">
        <v>159</v>
      </c>
      <c r="B131" s="13">
        <v>7.0800000000000004E-3</v>
      </c>
    </row>
    <row r="132" spans="1:2" x14ac:dyDescent="0.25">
      <c r="A132" s="13">
        <v>160</v>
      </c>
      <c r="B132" s="13">
        <v>7.1000000000000004E-3</v>
      </c>
    </row>
    <row r="133" spans="1:2" x14ac:dyDescent="0.25">
      <c r="A133" s="13">
        <v>161</v>
      </c>
      <c r="B133" s="13">
        <v>7.11E-3</v>
      </c>
    </row>
    <row r="134" spans="1:2" x14ac:dyDescent="0.25">
      <c r="A134" s="13">
        <v>162</v>
      </c>
      <c r="B134" s="13">
        <v>7.0200000000000002E-3</v>
      </c>
    </row>
    <row r="135" spans="1:2" x14ac:dyDescent="0.25">
      <c r="A135" s="13">
        <v>163</v>
      </c>
      <c r="B135" s="13">
        <v>7.0200000000000002E-3</v>
      </c>
    </row>
    <row r="136" spans="1:2" x14ac:dyDescent="0.25">
      <c r="A136" s="13">
        <v>164</v>
      </c>
      <c r="B136" s="13">
        <v>6.94E-3</v>
      </c>
    </row>
    <row r="137" spans="1:2" x14ac:dyDescent="0.25">
      <c r="A137" s="13">
        <v>165</v>
      </c>
      <c r="B137" s="13">
        <v>7.0699999999999999E-3</v>
      </c>
    </row>
    <row r="138" spans="1:2" x14ac:dyDescent="0.25">
      <c r="A138" s="13">
        <v>166</v>
      </c>
      <c r="B138" s="13">
        <v>6.9699999999999996E-3</v>
      </c>
    </row>
    <row r="139" spans="1:2" x14ac:dyDescent="0.25">
      <c r="A139" s="13">
        <v>167</v>
      </c>
      <c r="B139" s="13">
        <v>6.8900000000000003E-3</v>
      </c>
    </row>
    <row r="140" spans="1:2" x14ac:dyDescent="0.25">
      <c r="A140" s="13">
        <v>168</v>
      </c>
      <c r="B140" s="13">
        <v>6.94E-3</v>
      </c>
    </row>
    <row r="141" spans="1:2" x14ac:dyDescent="0.25">
      <c r="A141" s="13">
        <v>169</v>
      </c>
      <c r="B141" s="13">
        <v>6.8500000000000002E-3</v>
      </c>
    </row>
    <row r="142" spans="1:2" x14ac:dyDescent="0.25">
      <c r="A142" s="13">
        <v>170</v>
      </c>
      <c r="B142" s="13">
        <v>6.8399999999999997E-3</v>
      </c>
    </row>
    <row r="143" spans="1:2" x14ac:dyDescent="0.25">
      <c r="A143" s="13">
        <v>171</v>
      </c>
      <c r="B143" s="13">
        <v>6.8100000000000001E-3</v>
      </c>
    </row>
    <row r="144" spans="1:2" x14ac:dyDescent="0.25">
      <c r="A144" s="13">
        <v>172</v>
      </c>
      <c r="B144" s="13">
        <v>6.6800000000000002E-3</v>
      </c>
    </row>
    <row r="145" spans="1:2" x14ac:dyDescent="0.25">
      <c r="A145" s="13">
        <v>173</v>
      </c>
      <c r="B145" s="13">
        <v>6.79E-3</v>
      </c>
    </row>
    <row r="146" spans="1:2" x14ac:dyDescent="0.25">
      <c r="A146" s="13">
        <v>174</v>
      </c>
      <c r="B146" s="13">
        <v>6.6800000000000002E-3</v>
      </c>
    </row>
    <row r="147" spans="1:2" x14ac:dyDescent="0.25">
      <c r="A147" s="13">
        <v>175</v>
      </c>
      <c r="B147" s="13">
        <v>6.6600000000000001E-3</v>
      </c>
    </row>
    <row r="148" spans="1:2" x14ac:dyDescent="0.25">
      <c r="A148" s="13">
        <v>176</v>
      </c>
      <c r="B148" s="13">
        <v>6.6400000000000001E-3</v>
      </c>
    </row>
    <row r="149" spans="1:2" x14ac:dyDescent="0.25">
      <c r="A149" s="13">
        <v>177</v>
      </c>
      <c r="B149" s="13">
        <v>6.7299999999999999E-3</v>
      </c>
    </row>
    <row r="150" spans="1:2" x14ac:dyDescent="0.25">
      <c r="A150" s="13">
        <v>178</v>
      </c>
      <c r="B150" s="13">
        <v>6.6E-3</v>
      </c>
    </row>
    <row r="151" spans="1:2" x14ac:dyDescent="0.25">
      <c r="A151" s="13">
        <v>179</v>
      </c>
      <c r="B151" s="13">
        <v>6.6499999999999997E-3</v>
      </c>
    </row>
    <row r="152" spans="1:2" x14ac:dyDescent="0.25">
      <c r="A152" s="13">
        <v>180</v>
      </c>
      <c r="B152" s="13">
        <v>6.6E-3</v>
      </c>
    </row>
    <row r="153" spans="1:2" x14ac:dyDescent="0.25">
      <c r="A153" s="13">
        <v>181</v>
      </c>
      <c r="B153" s="13">
        <v>6.45E-3</v>
      </c>
    </row>
    <row r="154" spans="1:2" x14ac:dyDescent="0.25">
      <c r="A154" s="13">
        <v>182</v>
      </c>
      <c r="B154" s="13">
        <v>6.5100000000000002E-3</v>
      </c>
    </row>
    <row r="155" spans="1:2" x14ac:dyDescent="0.25">
      <c r="A155" s="13">
        <v>183</v>
      </c>
      <c r="B155" s="13">
        <v>6.3800000000000003E-3</v>
      </c>
    </row>
    <row r="156" spans="1:2" x14ac:dyDescent="0.25">
      <c r="A156" s="13">
        <v>184</v>
      </c>
      <c r="B156" s="13">
        <v>6.3400000000000001E-3</v>
      </c>
    </row>
    <row r="157" spans="1:2" x14ac:dyDescent="0.25">
      <c r="A157" s="13">
        <v>185</v>
      </c>
      <c r="B157" s="13">
        <v>6.3499999999999997E-3</v>
      </c>
    </row>
    <row r="158" spans="1:2" x14ac:dyDescent="0.25">
      <c r="A158" s="13">
        <v>186</v>
      </c>
      <c r="B158" s="13">
        <v>6.2100000000000002E-3</v>
      </c>
    </row>
    <row r="159" spans="1:2" x14ac:dyDescent="0.25">
      <c r="A159" s="13">
        <v>187</v>
      </c>
      <c r="B159" s="13">
        <v>6.2399999999999999E-3</v>
      </c>
    </row>
    <row r="160" spans="1:2" x14ac:dyDescent="0.25">
      <c r="A160" s="13">
        <v>188</v>
      </c>
      <c r="B160" s="13">
        <v>6.2100000000000002E-3</v>
      </c>
    </row>
    <row r="161" spans="1:2" x14ac:dyDescent="0.25">
      <c r="A161" s="13">
        <v>189</v>
      </c>
      <c r="B161" s="13">
        <v>6.2300000000000003E-3</v>
      </c>
    </row>
    <row r="162" spans="1:2" x14ac:dyDescent="0.25">
      <c r="A162" s="13">
        <v>190</v>
      </c>
      <c r="B162" s="13">
        <v>6.1000000000000004E-3</v>
      </c>
    </row>
    <row r="163" spans="1:2" x14ac:dyDescent="0.25">
      <c r="A163" s="13">
        <v>191</v>
      </c>
      <c r="B163" s="13">
        <v>6.0600000000000003E-3</v>
      </c>
    </row>
    <row r="164" spans="1:2" x14ac:dyDescent="0.25">
      <c r="A164" s="13">
        <v>192</v>
      </c>
      <c r="B164" s="13">
        <v>5.9199999999999999E-3</v>
      </c>
    </row>
    <row r="165" spans="1:2" x14ac:dyDescent="0.25">
      <c r="A165" s="13">
        <v>193</v>
      </c>
      <c r="B165" s="13">
        <v>6.0099999999999997E-3</v>
      </c>
    </row>
    <row r="166" spans="1:2" x14ac:dyDescent="0.25">
      <c r="A166" s="13">
        <v>194</v>
      </c>
      <c r="B166" s="13">
        <v>5.9899999999999997E-3</v>
      </c>
    </row>
    <row r="167" spans="1:2" x14ac:dyDescent="0.25">
      <c r="A167" s="13">
        <v>195</v>
      </c>
      <c r="B167" s="13">
        <v>5.9199999999999999E-3</v>
      </c>
    </row>
    <row r="168" spans="1:2" x14ac:dyDescent="0.25">
      <c r="A168" s="13">
        <v>196</v>
      </c>
      <c r="B168" s="13">
        <v>5.8700000000000002E-3</v>
      </c>
    </row>
    <row r="169" spans="1:2" x14ac:dyDescent="0.25">
      <c r="A169" s="13">
        <v>197</v>
      </c>
      <c r="B169" s="13">
        <v>5.7099999999999998E-3</v>
      </c>
    </row>
    <row r="170" spans="1:2" x14ac:dyDescent="0.25">
      <c r="A170" s="13">
        <v>198</v>
      </c>
      <c r="B170" s="13">
        <v>5.6800000000000002E-3</v>
      </c>
    </row>
    <row r="171" spans="1:2" x14ac:dyDescent="0.25">
      <c r="A171" s="13">
        <v>199</v>
      </c>
      <c r="B171" s="13">
        <v>5.8199999999999997E-3</v>
      </c>
    </row>
    <row r="172" spans="1:2" x14ac:dyDescent="0.25">
      <c r="A172" s="13">
        <v>200</v>
      </c>
      <c r="B172" s="13">
        <v>5.5700000000000003E-3</v>
      </c>
    </row>
    <row r="173" spans="1:2" x14ac:dyDescent="0.25">
      <c r="A173" s="13">
        <v>201</v>
      </c>
      <c r="B173" s="13">
        <v>5.5799999999999999E-3</v>
      </c>
    </row>
    <row r="174" spans="1:2" x14ac:dyDescent="0.25">
      <c r="A174" s="13">
        <v>202</v>
      </c>
      <c r="B174" s="13">
        <v>5.5300000000000002E-3</v>
      </c>
    </row>
    <row r="175" spans="1:2" x14ac:dyDescent="0.25">
      <c r="A175" s="13">
        <v>203</v>
      </c>
      <c r="B175" s="13">
        <v>5.4599999999999996E-3</v>
      </c>
    </row>
    <row r="176" spans="1:2" x14ac:dyDescent="0.25">
      <c r="A176" s="13">
        <v>204</v>
      </c>
      <c r="B176" s="13">
        <v>5.4599999999999996E-3</v>
      </c>
    </row>
    <row r="177" spans="1:2" x14ac:dyDescent="0.25">
      <c r="A177" s="13">
        <v>205</v>
      </c>
      <c r="B177" s="13">
        <v>5.3899999999999998E-3</v>
      </c>
    </row>
    <row r="178" spans="1:2" x14ac:dyDescent="0.25">
      <c r="A178" s="13">
        <v>206</v>
      </c>
      <c r="B178" s="13">
        <v>5.2300000000000003E-3</v>
      </c>
    </row>
    <row r="179" spans="1:2" x14ac:dyDescent="0.25">
      <c r="A179" s="13">
        <v>207</v>
      </c>
      <c r="B179" s="13">
        <v>5.2900000000000004E-3</v>
      </c>
    </row>
    <row r="180" spans="1:2" x14ac:dyDescent="0.25">
      <c r="A180" s="13">
        <v>208</v>
      </c>
      <c r="B180" s="13">
        <v>5.3400000000000001E-3</v>
      </c>
    </row>
    <row r="181" spans="1:2" x14ac:dyDescent="0.25">
      <c r="A181" s="13">
        <v>209</v>
      </c>
      <c r="B181" s="13">
        <v>5.28E-3</v>
      </c>
    </row>
    <row r="182" spans="1:2" x14ac:dyDescent="0.25">
      <c r="A182" s="13">
        <v>210</v>
      </c>
      <c r="B182" s="13">
        <v>5.11E-3</v>
      </c>
    </row>
    <row r="183" spans="1:2" x14ac:dyDescent="0.25">
      <c r="A183" s="13">
        <v>211</v>
      </c>
      <c r="B183" s="13">
        <v>5.1700000000000001E-3</v>
      </c>
    </row>
    <row r="184" spans="1:2" x14ac:dyDescent="0.25">
      <c r="A184" s="13">
        <v>212</v>
      </c>
      <c r="B184" s="13">
        <v>5.0499999999999998E-3</v>
      </c>
    </row>
    <row r="185" spans="1:2" x14ac:dyDescent="0.25">
      <c r="A185" s="13">
        <v>213</v>
      </c>
      <c r="B185" s="13">
        <v>4.9899999999999996E-3</v>
      </c>
    </row>
    <row r="186" spans="1:2" x14ac:dyDescent="0.25">
      <c r="A186" s="13">
        <v>214</v>
      </c>
      <c r="B186" s="13">
        <v>4.9199999999999999E-3</v>
      </c>
    </row>
    <row r="187" spans="1:2" x14ac:dyDescent="0.25">
      <c r="A187" s="13">
        <v>215</v>
      </c>
      <c r="B187" s="13">
        <v>4.81E-3</v>
      </c>
    </row>
    <row r="188" spans="1:2" x14ac:dyDescent="0.25">
      <c r="A188" s="13">
        <v>216</v>
      </c>
      <c r="B188" s="13">
        <v>4.7000000000000002E-3</v>
      </c>
    </row>
    <row r="189" spans="1:2" x14ac:dyDescent="0.25">
      <c r="A189" s="13">
        <v>217</v>
      </c>
      <c r="B189" s="13">
        <v>4.7800000000000004E-3</v>
      </c>
    </row>
    <row r="190" spans="1:2" x14ac:dyDescent="0.25">
      <c r="A190" s="13">
        <v>218</v>
      </c>
      <c r="B190" s="13">
        <v>4.6600000000000001E-3</v>
      </c>
    </row>
    <row r="191" spans="1:2" x14ac:dyDescent="0.25">
      <c r="A191" s="13">
        <v>219</v>
      </c>
      <c r="B191" s="13">
        <v>4.6499999999999996E-3</v>
      </c>
    </row>
    <row r="192" spans="1:2" x14ac:dyDescent="0.25">
      <c r="A192" s="13">
        <v>220</v>
      </c>
      <c r="B192" s="13">
        <v>4.5599999999999998E-3</v>
      </c>
    </row>
    <row r="193" spans="1:2" x14ac:dyDescent="0.25">
      <c r="A193" s="13">
        <v>221</v>
      </c>
      <c r="B193" s="13">
        <v>4.5100000000000001E-3</v>
      </c>
    </row>
    <row r="194" spans="1:2" x14ac:dyDescent="0.25">
      <c r="A194" s="13">
        <v>222</v>
      </c>
      <c r="B194" s="13">
        <v>4.3299999999999996E-3</v>
      </c>
    </row>
    <row r="195" spans="1:2" x14ac:dyDescent="0.25">
      <c r="A195" s="13">
        <v>223</v>
      </c>
      <c r="B195" s="13">
        <v>4.3400000000000001E-3</v>
      </c>
    </row>
    <row r="196" spans="1:2" x14ac:dyDescent="0.25">
      <c r="A196" s="13">
        <v>224</v>
      </c>
      <c r="B196" s="13">
        <v>4.1900000000000001E-3</v>
      </c>
    </row>
    <row r="197" spans="1:2" x14ac:dyDescent="0.25">
      <c r="A197" s="13">
        <v>225</v>
      </c>
      <c r="B197" s="13">
        <v>4.2300000000000003E-3</v>
      </c>
    </row>
    <row r="198" spans="1:2" x14ac:dyDescent="0.25">
      <c r="A198" s="13">
        <v>226</v>
      </c>
      <c r="B198" s="13">
        <v>4.1099999999999999E-3</v>
      </c>
    </row>
    <row r="199" spans="1:2" x14ac:dyDescent="0.25">
      <c r="A199" s="13">
        <v>227</v>
      </c>
      <c r="B199" s="13">
        <v>4.1999999999999997E-3</v>
      </c>
    </row>
    <row r="200" spans="1:2" x14ac:dyDescent="0.25">
      <c r="A200" s="13">
        <v>228</v>
      </c>
      <c r="B200" s="13">
        <v>3.9899999999999996E-3</v>
      </c>
    </row>
    <row r="201" spans="1:2" x14ac:dyDescent="0.25">
      <c r="A201" s="13">
        <v>229</v>
      </c>
      <c r="B201" s="13">
        <v>3.8500000000000001E-3</v>
      </c>
    </row>
    <row r="202" spans="1:2" x14ac:dyDescent="0.25">
      <c r="A202" s="13">
        <v>230</v>
      </c>
      <c r="B202" s="13">
        <v>3.8999999999999998E-3</v>
      </c>
    </row>
    <row r="203" spans="1:2" x14ac:dyDescent="0.25">
      <c r="A203" s="13">
        <v>231</v>
      </c>
      <c r="B203" s="13">
        <v>3.7599999999999999E-3</v>
      </c>
    </row>
    <row r="204" spans="1:2" x14ac:dyDescent="0.25">
      <c r="A204" s="13">
        <v>232</v>
      </c>
      <c r="B204" s="13">
        <v>3.8600000000000001E-3</v>
      </c>
    </row>
    <row r="205" spans="1:2" x14ac:dyDescent="0.25">
      <c r="A205" s="13">
        <v>233</v>
      </c>
      <c r="B205" s="13">
        <v>3.62E-3</v>
      </c>
    </row>
    <row r="206" spans="1:2" x14ac:dyDescent="0.25">
      <c r="A206" s="13">
        <v>234</v>
      </c>
      <c r="B206" s="13">
        <v>3.65E-3</v>
      </c>
    </row>
    <row r="207" spans="1:2" x14ac:dyDescent="0.25">
      <c r="A207" s="13">
        <v>235</v>
      </c>
      <c r="B207" s="13">
        <v>3.5899999999999999E-3</v>
      </c>
    </row>
    <row r="208" spans="1:2" x14ac:dyDescent="0.25">
      <c r="A208" s="13">
        <v>236</v>
      </c>
      <c r="B208" s="13">
        <v>3.5400000000000002E-3</v>
      </c>
    </row>
    <row r="209" spans="1:2" x14ac:dyDescent="0.25">
      <c r="A209" s="13">
        <v>237</v>
      </c>
      <c r="B209" s="13">
        <v>3.3700000000000002E-3</v>
      </c>
    </row>
    <row r="210" spans="1:2" x14ac:dyDescent="0.25">
      <c r="A210" s="13">
        <v>238</v>
      </c>
      <c r="B210" s="13">
        <v>3.4499999999999999E-3</v>
      </c>
    </row>
    <row r="211" spans="1:2" x14ac:dyDescent="0.25">
      <c r="A211" s="13">
        <v>239</v>
      </c>
      <c r="B211" s="13">
        <v>3.3999999999999998E-3</v>
      </c>
    </row>
    <row r="212" spans="1:2" x14ac:dyDescent="0.25">
      <c r="A212" s="13">
        <v>240</v>
      </c>
      <c r="B212" s="13">
        <v>3.2200000000000002E-3</v>
      </c>
    </row>
    <row r="213" spans="1:2" x14ac:dyDescent="0.25">
      <c r="A213" s="13">
        <v>241</v>
      </c>
      <c r="B213" s="13">
        <v>3.13E-3</v>
      </c>
    </row>
    <row r="214" spans="1:2" x14ac:dyDescent="0.25">
      <c r="A214" s="13">
        <v>242</v>
      </c>
      <c r="B214" s="13">
        <v>3.13E-3</v>
      </c>
    </row>
    <row r="215" spans="1:2" x14ac:dyDescent="0.25">
      <c r="A215" s="13">
        <v>243</v>
      </c>
      <c r="B215" s="13">
        <v>3.0500000000000002E-3</v>
      </c>
    </row>
    <row r="216" spans="1:2" x14ac:dyDescent="0.25">
      <c r="A216" s="13">
        <v>244</v>
      </c>
      <c r="B216" s="13">
        <v>2.82E-3</v>
      </c>
    </row>
    <row r="217" spans="1:2" x14ac:dyDescent="0.25">
      <c r="A217" s="13">
        <v>245</v>
      </c>
      <c r="B217" s="13">
        <v>2.8500000000000001E-3</v>
      </c>
    </row>
    <row r="218" spans="1:2" x14ac:dyDescent="0.25">
      <c r="A218" s="13">
        <v>246</v>
      </c>
      <c r="B218" s="13">
        <v>2.65E-3</v>
      </c>
    </row>
    <row r="219" spans="1:2" x14ac:dyDescent="0.25">
      <c r="A219" s="13">
        <v>247</v>
      </c>
      <c r="B219" s="13">
        <v>2.66E-3</v>
      </c>
    </row>
    <row r="220" spans="1:2" x14ac:dyDescent="0.25">
      <c r="A220" s="13">
        <v>248</v>
      </c>
      <c r="B220" s="13">
        <v>2.6700000000000001E-3</v>
      </c>
    </row>
    <row r="221" spans="1:2" x14ac:dyDescent="0.25">
      <c r="A221" s="13">
        <v>249</v>
      </c>
      <c r="B221" s="13">
        <v>2.66E-3</v>
      </c>
    </row>
    <row r="222" spans="1:2" x14ac:dyDescent="0.25">
      <c r="A222" s="13">
        <v>250</v>
      </c>
      <c r="B222" s="13">
        <v>2.47E-3</v>
      </c>
    </row>
    <row r="223" spans="1:2" x14ac:dyDescent="0.25">
      <c r="A223" s="13">
        <v>251</v>
      </c>
      <c r="B223" s="13">
        <v>2.3400000000000001E-3</v>
      </c>
    </row>
    <row r="224" spans="1:2" x14ac:dyDescent="0.25">
      <c r="A224" s="13">
        <v>252</v>
      </c>
      <c r="B224" s="13">
        <v>2.2399999999999998E-3</v>
      </c>
    </row>
    <row r="225" spans="1:2" x14ac:dyDescent="0.25">
      <c r="A225" s="13">
        <v>253</v>
      </c>
      <c r="B225" s="13">
        <v>2.16E-3</v>
      </c>
    </row>
    <row r="226" spans="1:2" x14ac:dyDescent="0.25">
      <c r="A226" s="13">
        <v>254</v>
      </c>
      <c r="B226" s="13">
        <v>2.0699999999999998E-3</v>
      </c>
    </row>
    <row r="227" spans="1:2" x14ac:dyDescent="0.25">
      <c r="A227" s="13">
        <v>255</v>
      </c>
      <c r="B227" s="13">
        <v>2.0400000000000001E-3</v>
      </c>
    </row>
    <row r="228" spans="1:2" x14ac:dyDescent="0.25">
      <c r="A228" s="13">
        <v>256</v>
      </c>
      <c r="B228" s="13">
        <v>1.9499999999999999E-3</v>
      </c>
    </row>
    <row r="229" spans="1:2" x14ac:dyDescent="0.25">
      <c r="A229" s="13">
        <v>257</v>
      </c>
      <c r="B229" s="13">
        <v>1.89E-3</v>
      </c>
    </row>
    <row r="230" spans="1:2" x14ac:dyDescent="0.25">
      <c r="A230" s="13">
        <v>258</v>
      </c>
      <c r="B230" s="13">
        <v>1.8500000000000001E-3</v>
      </c>
    </row>
    <row r="231" spans="1:2" x14ac:dyDescent="0.25">
      <c r="A231" s="13">
        <v>259</v>
      </c>
      <c r="B231" s="13">
        <v>1.6900000000000001E-3</v>
      </c>
    </row>
    <row r="232" spans="1:2" x14ac:dyDescent="0.25">
      <c r="A232" s="13">
        <v>260</v>
      </c>
      <c r="B232" s="13">
        <v>1.7600000000000001E-3</v>
      </c>
    </row>
    <row r="233" spans="1:2" x14ac:dyDescent="0.25">
      <c r="A233" s="13">
        <v>261</v>
      </c>
      <c r="B233" s="13">
        <v>1.56E-3</v>
      </c>
    </row>
    <row r="234" spans="1:2" x14ac:dyDescent="0.25">
      <c r="A234" s="13">
        <v>262</v>
      </c>
      <c r="B234" s="13">
        <v>1.5200000000000001E-3</v>
      </c>
    </row>
    <row r="235" spans="1:2" x14ac:dyDescent="0.25">
      <c r="A235" s="13">
        <v>263</v>
      </c>
      <c r="B235" s="13">
        <v>1.39E-3</v>
      </c>
    </row>
    <row r="236" spans="1:2" x14ac:dyDescent="0.25">
      <c r="A236" s="13">
        <v>264</v>
      </c>
      <c r="B236" s="13">
        <v>1.4E-3</v>
      </c>
    </row>
    <row r="237" spans="1:2" x14ac:dyDescent="0.25">
      <c r="A237" s="13">
        <v>265</v>
      </c>
      <c r="B237" s="13">
        <v>1.2800000000000001E-3</v>
      </c>
    </row>
    <row r="238" spans="1:2" x14ac:dyDescent="0.25">
      <c r="A238" s="13">
        <v>266</v>
      </c>
      <c r="B238" s="13">
        <v>1.14E-3</v>
      </c>
    </row>
    <row r="239" spans="1:2" x14ac:dyDescent="0.25">
      <c r="A239" s="13">
        <v>267</v>
      </c>
      <c r="B239" s="13">
        <v>1.08E-3</v>
      </c>
    </row>
    <row r="240" spans="1:2" x14ac:dyDescent="0.25">
      <c r="A240" s="13">
        <v>268</v>
      </c>
      <c r="B240" s="13">
        <v>1.0300000000000001E-3</v>
      </c>
    </row>
    <row r="241" spans="1:2" x14ac:dyDescent="0.25">
      <c r="A241" s="13">
        <v>269</v>
      </c>
      <c r="B241" s="13">
        <v>9.1600000000000004E-4</v>
      </c>
    </row>
    <row r="242" spans="1:2" x14ac:dyDescent="0.25">
      <c r="A242" s="13">
        <v>270</v>
      </c>
      <c r="B242" s="13">
        <v>8.03E-4</v>
      </c>
    </row>
    <row r="243" spans="1:2" x14ac:dyDescent="0.25">
      <c r="A243" s="13">
        <v>271</v>
      </c>
      <c r="B243" s="13">
        <v>7.4700000000000005E-4</v>
      </c>
    </row>
    <row r="244" spans="1:2" x14ac:dyDescent="0.25">
      <c r="A244" s="13">
        <v>272</v>
      </c>
      <c r="B244" s="13">
        <v>6.0499999999999996E-4</v>
      </c>
    </row>
    <row r="245" spans="1:2" x14ac:dyDescent="0.25">
      <c r="A245" s="13">
        <v>273</v>
      </c>
      <c r="B245" s="13">
        <v>5.8600000000000004E-4</v>
      </c>
    </row>
    <row r="246" spans="1:2" x14ac:dyDescent="0.25">
      <c r="A246" s="13">
        <v>274</v>
      </c>
      <c r="B246" s="13">
        <v>4.8099999999999998E-4</v>
      </c>
    </row>
    <row r="247" spans="1:2" x14ac:dyDescent="0.25">
      <c r="A247" s="13">
        <v>275</v>
      </c>
      <c r="B247" s="13">
        <v>3.8000000000000002E-4</v>
      </c>
    </row>
    <row r="248" spans="1:2" x14ac:dyDescent="0.25">
      <c r="A248" s="13">
        <v>276</v>
      </c>
      <c r="B248" s="13">
        <v>4.0200000000000001E-4</v>
      </c>
    </row>
    <row r="249" spans="1:2" x14ac:dyDescent="0.25">
      <c r="A249" s="13">
        <v>277</v>
      </c>
      <c r="B249" s="13">
        <v>2.31E-4</v>
      </c>
    </row>
    <row r="250" spans="1:2" x14ac:dyDescent="0.25">
      <c r="A250" s="13">
        <v>278</v>
      </c>
      <c r="B250" s="13">
        <v>1.4799999999999999E-4</v>
      </c>
    </row>
    <row r="251" spans="1:2" x14ac:dyDescent="0.25">
      <c r="A251" s="13">
        <v>279</v>
      </c>
      <c r="B251" s="13">
        <v>1.13E-4</v>
      </c>
    </row>
    <row r="252" spans="1:2" x14ac:dyDescent="0.25">
      <c r="A252" s="13">
        <v>280</v>
      </c>
      <c r="B252" s="13">
        <v>9.7100000000000002E-5</v>
      </c>
    </row>
    <row r="253" spans="1:2" x14ac:dyDescent="0.25">
      <c r="A253" s="13">
        <v>281</v>
      </c>
      <c r="B253" s="13">
        <v>8.8700000000000001E-5</v>
      </c>
    </row>
    <row r="254" spans="1:2" x14ac:dyDescent="0.25">
      <c r="A254" s="13">
        <v>282</v>
      </c>
      <c r="B254" s="13">
        <v>8.7899999999999995E-5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B274"/>
  <sheetViews>
    <sheetView workbookViewId="0">
      <selection activeCell="H33" sqref="H33"/>
    </sheetView>
  </sheetViews>
  <sheetFormatPr defaultRowHeight="15" x14ac:dyDescent="0.25"/>
  <cols>
    <col min="1" max="1" width="14.28515625" style="4" customWidth="1"/>
    <col min="2" max="2" width="17.140625" style="4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30</v>
      </c>
      <c r="B2" s="14">
        <v>1.4300000000000001E-4</v>
      </c>
    </row>
    <row r="3" spans="1:2" x14ac:dyDescent="0.25">
      <c r="A3" s="14">
        <v>31</v>
      </c>
      <c r="B3" s="14">
        <v>1.36E-4</v>
      </c>
    </row>
    <row r="4" spans="1:2" x14ac:dyDescent="0.25">
      <c r="A4" s="14">
        <v>32</v>
      </c>
      <c r="B4" s="14">
        <v>1.55E-4</v>
      </c>
    </row>
    <row r="5" spans="1:2" x14ac:dyDescent="0.25">
      <c r="A5" s="14">
        <v>33</v>
      </c>
      <c r="B5" s="14">
        <v>1.85E-4</v>
      </c>
    </row>
    <row r="6" spans="1:2" x14ac:dyDescent="0.25">
      <c r="A6" s="14">
        <v>34</v>
      </c>
      <c r="B6" s="14">
        <v>1.07E-4</v>
      </c>
    </row>
    <row r="7" spans="1:2" x14ac:dyDescent="0.25">
      <c r="A7" s="14">
        <v>35</v>
      </c>
      <c r="B7" s="14">
        <v>1.16E-4</v>
      </c>
    </row>
    <row r="8" spans="1:2" x14ac:dyDescent="0.25">
      <c r="A8" s="14">
        <v>36</v>
      </c>
      <c r="B8" s="14">
        <v>1.0900000000000001E-4</v>
      </c>
    </row>
    <row r="9" spans="1:2" x14ac:dyDescent="0.25">
      <c r="A9" s="14">
        <v>37</v>
      </c>
      <c r="B9" s="14">
        <v>8.9599999999999996E-5</v>
      </c>
    </row>
    <row r="10" spans="1:2" x14ac:dyDescent="0.25">
      <c r="A10" s="14">
        <v>38</v>
      </c>
      <c r="B10" s="14">
        <v>1.03E-4</v>
      </c>
    </row>
    <row r="11" spans="1:2" x14ac:dyDescent="0.25">
      <c r="A11" s="14">
        <v>39</v>
      </c>
      <c r="B11" s="14">
        <v>1.01E-4</v>
      </c>
    </row>
    <row r="12" spans="1:2" x14ac:dyDescent="0.25">
      <c r="A12" s="14">
        <v>40</v>
      </c>
      <c r="B12" s="14">
        <v>8.3999999999999995E-5</v>
      </c>
    </row>
    <row r="13" spans="1:2" x14ac:dyDescent="0.25">
      <c r="A13" s="14">
        <v>41</v>
      </c>
      <c r="B13" s="14">
        <v>8.4499999999999994E-5</v>
      </c>
    </row>
    <row r="14" spans="1:2" x14ac:dyDescent="0.25">
      <c r="A14" s="14">
        <v>42</v>
      </c>
      <c r="B14" s="14">
        <v>9.0600000000000007E-5</v>
      </c>
    </row>
    <row r="15" spans="1:2" x14ac:dyDescent="0.25">
      <c r="A15" s="14">
        <v>43</v>
      </c>
      <c r="B15" s="14">
        <v>8.9499999999999994E-5</v>
      </c>
    </row>
    <row r="16" spans="1:2" x14ac:dyDescent="0.25">
      <c r="A16" s="14">
        <v>44</v>
      </c>
      <c r="B16" s="14">
        <v>8.4900000000000004E-5</v>
      </c>
    </row>
    <row r="17" spans="1:2" x14ac:dyDescent="0.25">
      <c r="A17" s="14">
        <v>45</v>
      </c>
      <c r="B17" s="14">
        <v>9.9099999999999996E-5</v>
      </c>
    </row>
    <row r="18" spans="1:2" x14ac:dyDescent="0.25">
      <c r="A18" s="14">
        <v>46</v>
      </c>
      <c r="B18" s="14">
        <v>9.9300000000000001E-5</v>
      </c>
    </row>
    <row r="19" spans="1:2" x14ac:dyDescent="0.25">
      <c r="A19" s="14">
        <v>47</v>
      </c>
      <c r="B19" s="14">
        <v>1.2400000000000001E-4</v>
      </c>
    </row>
    <row r="20" spans="1:2" x14ac:dyDescent="0.25">
      <c r="A20" s="14">
        <v>48</v>
      </c>
      <c r="B20" s="14">
        <v>1.3799999999999999E-4</v>
      </c>
    </row>
    <row r="21" spans="1:2" x14ac:dyDescent="0.25">
      <c r="A21" s="14">
        <v>49</v>
      </c>
      <c r="B21" s="14">
        <v>1.54E-4</v>
      </c>
    </row>
    <row r="22" spans="1:2" x14ac:dyDescent="0.25">
      <c r="A22" s="14">
        <v>50</v>
      </c>
      <c r="B22" s="14">
        <v>1.92E-4</v>
      </c>
    </row>
    <row r="23" spans="1:2" x14ac:dyDescent="0.25">
      <c r="A23" s="14">
        <v>51</v>
      </c>
      <c r="B23" s="14">
        <v>2.2499999999999999E-4</v>
      </c>
    </row>
    <row r="24" spans="1:2" x14ac:dyDescent="0.25">
      <c r="A24" s="14">
        <v>52</v>
      </c>
      <c r="B24" s="14">
        <v>2.5300000000000002E-4</v>
      </c>
    </row>
    <row r="25" spans="1:2" x14ac:dyDescent="0.25">
      <c r="A25" s="14">
        <v>53</v>
      </c>
      <c r="B25" s="14">
        <v>3.0600000000000001E-4</v>
      </c>
    </row>
    <row r="26" spans="1:2" x14ac:dyDescent="0.25">
      <c r="A26" s="14">
        <v>54</v>
      </c>
      <c r="B26" s="14">
        <v>3.5500000000000001E-4</v>
      </c>
    </row>
    <row r="27" spans="1:2" x14ac:dyDescent="0.25">
      <c r="A27" s="14">
        <v>55</v>
      </c>
      <c r="B27" s="14">
        <v>4.4900000000000002E-4</v>
      </c>
    </row>
    <row r="28" spans="1:2" x14ac:dyDescent="0.25">
      <c r="A28" s="14">
        <v>56</v>
      </c>
      <c r="B28" s="14">
        <v>5.0000000000000001E-4</v>
      </c>
    </row>
    <row r="29" spans="1:2" x14ac:dyDescent="0.25">
      <c r="A29" s="14">
        <v>57</v>
      </c>
      <c r="B29" s="14">
        <v>6.2E-4</v>
      </c>
    </row>
    <row r="30" spans="1:2" x14ac:dyDescent="0.25">
      <c r="A30" s="14">
        <v>58</v>
      </c>
      <c r="B30" s="14">
        <v>3.6099999999999999E-3</v>
      </c>
    </row>
    <row r="31" spans="1:2" x14ac:dyDescent="0.25">
      <c r="A31" s="14">
        <v>59</v>
      </c>
      <c r="B31" s="14">
        <v>5.6600000000000001E-3</v>
      </c>
    </row>
    <row r="32" spans="1:2" x14ac:dyDescent="0.25">
      <c r="A32" s="14">
        <v>60</v>
      </c>
      <c r="B32" s="14">
        <v>2.6199999999999999E-3</v>
      </c>
    </row>
    <row r="33" spans="1:2" x14ac:dyDescent="0.25">
      <c r="A33" s="14">
        <v>61</v>
      </c>
      <c r="B33" s="14">
        <v>9.7499999999999996E-4</v>
      </c>
    </row>
    <row r="34" spans="1:2" x14ac:dyDescent="0.25">
      <c r="A34" s="14">
        <v>62</v>
      </c>
      <c r="B34" s="14">
        <v>1.1100000000000001E-3</v>
      </c>
    </row>
    <row r="35" spans="1:2" x14ac:dyDescent="0.25">
      <c r="A35" s="14">
        <v>63</v>
      </c>
      <c r="B35" s="14">
        <v>1.17E-3</v>
      </c>
    </row>
    <row r="36" spans="1:2" x14ac:dyDescent="0.25">
      <c r="A36" s="14">
        <v>64</v>
      </c>
      <c r="B36" s="14">
        <v>1.33E-3</v>
      </c>
    </row>
    <row r="37" spans="1:2" x14ac:dyDescent="0.25">
      <c r="A37" s="14">
        <v>65</v>
      </c>
      <c r="B37" s="14">
        <v>1.42E-3</v>
      </c>
    </row>
    <row r="38" spans="1:2" x14ac:dyDescent="0.25">
      <c r="A38" s="14">
        <v>66</v>
      </c>
      <c r="B38" s="14">
        <v>1.67E-3</v>
      </c>
    </row>
    <row r="39" spans="1:2" x14ac:dyDescent="0.25">
      <c r="A39" s="14">
        <v>67</v>
      </c>
      <c r="B39" s="14">
        <v>7.2399999999999999E-3</v>
      </c>
    </row>
    <row r="40" spans="1:2" x14ac:dyDescent="0.25">
      <c r="A40" s="14">
        <v>68</v>
      </c>
      <c r="B40" s="14">
        <v>2.6199999999999999E-3</v>
      </c>
    </row>
    <row r="41" spans="1:2" x14ac:dyDescent="0.25">
      <c r="A41" s="14">
        <v>69</v>
      </c>
      <c r="B41" s="14">
        <v>3.7699999999999999E-3</v>
      </c>
    </row>
    <row r="42" spans="1:2" x14ac:dyDescent="0.25">
      <c r="A42" s="14">
        <v>70</v>
      </c>
      <c r="B42" s="14">
        <v>1.67E-3</v>
      </c>
    </row>
    <row r="43" spans="1:2" x14ac:dyDescent="0.25">
      <c r="A43" s="14">
        <v>71</v>
      </c>
      <c r="B43" s="14">
        <v>1.5E-3</v>
      </c>
    </row>
    <row r="44" spans="1:2" x14ac:dyDescent="0.25">
      <c r="A44" s="14">
        <v>72</v>
      </c>
      <c r="B44" s="14">
        <v>1.6100000000000001E-3</v>
      </c>
    </row>
    <row r="45" spans="1:2" x14ac:dyDescent="0.25">
      <c r="A45" s="14">
        <v>73</v>
      </c>
      <c r="B45" s="14">
        <v>1.7600000000000001E-3</v>
      </c>
    </row>
    <row r="46" spans="1:2" x14ac:dyDescent="0.25">
      <c r="A46" s="14">
        <v>74</v>
      </c>
      <c r="B46" s="14">
        <v>1.8400000000000001E-3</v>
      </c>
    </row>
    <row r="47" spans="1:2" x14ac:dyDescent="0.25">
      <c r="A47" s="14">
        <v>75</v>
      </c>
      <c r="B47" s="14">
        <v>1.97E-3</v>
      </c>
    </row>
    <row r="48" spans="1:2" x14ac:dyDescent="0.25">
      <c r="A48" s="14">
        <v>76</v>
      </c>
      <c r="B48" s="14">
        <v>2.0600000000000002E-3</v>
      </c>
    </row>
    <row r="49" spans="1:2" x14ac:dyDescent="0.25">
      <c r="A49" s="14">
        <v>77</v>
      </c>
      <c r="B49" s="14">
        <v>2.15E-3</v>
      </c>
    </row>
    <row r="50" spans="1:2" x14ac:dyDescent="0.25">
      <c r="A50" s="14">
        <v>78</v>
      </c>
      <c r="B50" s="14">
        <v>2.2799999999999999E-3</v>
      </c>
    </row>
    <row r="51" spans="1:2" x14ac:dyDescent="0.25">
      <c r="A51" s="14">
        <v>79</v>
      </c>
      <c r="B51" s="14">
        <v>2.3600000000000001E-3</v>
      </c>
    </row>
    <row r="52" spans="1:2" x14ac:dyDescent="0.25">
      <c r="A52" s="14">
        <v>80</v>
      </c>
      <c r="B52" s="14">
        <v>2.49E-3</v>
      </c>
    </row>
    <row r="53" spans="1:2" x14ac:dyDescent="0.25">
      <c r="A53" s="14">
        <v>81</v>
      </c>
      <c r="B53" s="14">
        <v>2.5899999999999999E-3</v>
      </c>
    </row>
    <row r="54" spans="1:2" x14ac:dyDescent="0.25">
      <c r="A54" s="14">
        <v>82</v>
      </c>
      <c r="B54" s="14">
        <v>2.7100000000000002E-3</v>
      </c>
    </row>
    <row r="55" spans="1:2" x14ac:dyDescent="0.25">
      <c r="A55" s="14">
        <v>83</v>
      </c>
      <c r="B55" s="14">
        <v>2.8400000000000001E-3</v>
      </c>
    </row>
    <row r="56" spans="1:2" x14ac:dyDescent="0.25">
      <c r="A56" s="14">
        <v>84</v>
      </c>
      <c r="B56" s="14">
        <v>2.98E-3</v>
      </c>
    </row>
    <row r="57" spans="1:2" x14ac:dyDescent="0.25">
      <c r="A57" s="14">
        <v>85</v>
      </c>
      <c r="B57" s="14">
        <v>3.0899999999999999E-3</v>
      </c>
    </row>
    <row r="58" spans="1:2" x14ac:dyDescent="0.25">
      <c r="A58" s="14">
        <v>86</v>
      </c>
      <c r="B58" s="14">
        <v>3.2000000000000002E-3</v>
      </c>
    </row>
    <row r="59" spans="1:2" x14ac:dyDescent="0.25">
      <c r="A59" s="14">
        <v>87</v>
      </c>
      <c r="B59" s="14">
        <v>3.3E-3</v>
      </c>
    </row>
    <row r="60" spans="1:2" x14ac:dyDescent="0.25">
      <c r="A60" s="14">
        <v>88</v>
      </c>
      <c r="B60" s="14">
        <v>3.3800000000000002E-3</v>
      </c>
    </row>
    <row r="61" spans="1:2" x14ac:dyDescent="0.25">
      <c r="A61" s="14">
        <v>89</v>
      </c>
      <c r="B61" s="14">
        <v>3.46E-3</v>
      </c>
    </row>
    <row r="62" spans="1:2" x14ac:dyDescent="0.25">
      <c r="A62" s="14">
        <v>90</v>
      </c>
      <c r="B62" s="14">
        <v>3.5500000000000002E-3</v>
      </c>
    </row>
    <row r="63" spans="1:2" x14ac:dyDescent="0.25">
      <c r="A63" s="14">
        <v>91</v>
      </c>
      <c r="B63" s="14">
        <v>3.65E-3</v>
      </c>
    </row>
    <row r="64" spans="1:2" x14ac:dyDescent="0.25">
      <c r="A64" s="14">
        <v>92</v>
      </c>
      <c r="B64" s="14">
        <v>3.7599999999999999E-3</v>
      </c>
    </row>
    <row r="65" spans="1:2" x14ac:dyDescent="0.25">
      <c r="A65" s="14">
        <v>93</v>
      </c>
      <c r="B65" s="14">
        <v>3.81E-3</v>
      </c>
    </row>
    <row r="66" spans="1:2" x14ac:dyDescent="0.25">
      <c r="A66" s="14">
        <v>94</v>
      </c>
      <c r="B66" s="14">
        <v>3.9300000000000003E-3</v>
      </c>
    </row>
    <row r="67" spans="1:2" x14ac:dyDescent="0.25">
      <c r="A67" s="14">
        <v>95</v>
      </c>
      <c r="B67" s="14">
        <v>4.0000000000000001E-3</v>
      </c>
    </row>
    <row r="68" spans="1:2" x14ac:dyDescent="0.25">
      <c r="A68" s="14">
        <v>96</v>
      </c>
      <c r="B68" s="14">
        <v>4.1200000000000004E-3</v>
      </c>
    </row>
    <row r="69" spans="1:2" x14ac:dyDescent="0.25">
      <c r="A69" s="14">
        <v>97</v>
      </c>
      <c r="B69" s="14">
        <v>4.2399999999999998E-3</v>
      </c>
    </row>
    <row r="70" spans="1:2" x14ac:dyDescent="0.25">
      <c r="A70" s="14">
        <v>98</v>
      </c>
      <c r="B70" s="14">
        <v>4.3299999999999996E-3</v>
      </c>
    </row>
    <row r="71" spans="1:2" x14ac:dyDescent="0.25">
      <c r="A71" s="14">
        <v>99</v>
      </c>
      <c r="B71" s="14">
        <v>4.3899999999999998E-3</v>
      </c>
    </row>
    <row r="72" spans="1:2" x14ac:dyDescent="0.25">
      <c r="A72" s="14">
        <v>100</v>
      </c>
      <c r="B72" s="14">
        <v>4.4799999999999996E-3</v>
      </c>
    </row>
    <row r="73" spans="1:2" x14ac:dyDescent="0.25">
      <c r="A73" s="14">
        <v>101</v>
      </c>
      <c r="B73" s="14">
        <v>4.5500000000000002E-3</v>
      </c>
    </row>
    <row r="74" spans="1:2" x14ac:dyDescent="0.25">
      <c r="A74" s="14">
        <v>102</v>
      </c>
      <c r="B74" s="14">
        <v>4.64E-3</v>
      </c>
    </row>
    <row r="75" spans="1:2" x14ac:dyDescent="0.25">
      <c r="A75" s="14">
        <v>103</v>
      </c>
      <c r="B75" s="14">
        <v>4.7299999999999998E-3</v>
      </c>
    </row>
    <row r="76" spans="1:2" x14ac:dyDescent="0.25">
      <c r="A76" s="14">
        <v>104</v>
      </c>
      <c r="B76" s="14">
        <v>4.79E-3</v>
      </c>
    </row>
    <row r="77" spans="1:2" x14ac:dyDescent="0.25">
      <c r="A77" s="14">
        <v>105</v>
      </c>
      <c r="B77" s="14">
        <v>4.9300000000000004E-3</v>
      </c>
    </row>
    <row r="78" spans="1:2" x14ac:dyDescent="0.25">
      <c r="A78" s="14">
        <v>106</v>
      </c>
      <c r="B78" s="14">
        <v>4.9899999999999996E-3</v>
      </c>
    </row>
    <row r="79" spans="1:2" x14ac:dyDescent="0.25">
      <c r="A79" s="14">
        <v>107</v>
      </c>
      <c r="B79" s="14">
        <v>5.0200000000000002E-3</v>
      </c>
    </row>
    <row r="80" spans="1:2" x14ac:dyDescent="0.25">
      <c r="A80" s="14">
        <v>108</v>
      </c>
      <c r="B80" s="14">
        <v>5.1399999999999996E-3</v>
      </c>
    </row>
    <row r="81" spans="1:2" x14ac:dyDescent="0.25">
      <c r="A81" s="14">
        <v>109</v>
      </c>
      <c r="B81" s="14">
        <v>5.1799999999999997E-3</v>
      </c>
    </row>
    <row r="82" spans="1:2" x14ac:dyDescent="0.25">
      <c r="A82" s="14">
        <v>110</v>
      </c>
      <c r="B82" s="14">
        <v>5.3299999999999997E-3</v>
      </c>
    </row>
    <row r="83" spans="1:2" x14ac:dyDescent="0.25">
      <c r="A83" s="14">
        <v>111</v>
      </c>
      <c r="B83" s="14">
        <v>5.3899999999999998E-3</v>
      </c>
    </row>
    <row r="84" spans="1:2" x14ac:dyDescent="0.25">
      <c r="A84" s="14">
        <v>112</v>
      </c>
      <c r="B84" s="14">
        <v>5.3499999999999997E-3</v>
      </c>
    </row>
    <row r="85" spans="1:2" x14ac:dyDescent="0.25">
      <c r="A85" s="14">
        <v>113</v>
      </c>
      <c r="B85" s="14">
        <v>5.4299999999999999E-3</v>
      </c>
    </row>
    <row r="86" spans="1:2" x14ac:dyDescent="0.25">
      <c r="A86" s="14">
        <v>114</v>
      </c>
      <c r="B86" s="14">
        <v>5.5100000000000001E-3</v>
      </c>
    </row>
    <row r="87" spans="1:2" x14ac:dyDescent="0.25">
      <c r="A87" s="14">
        <v>115</v>
      </c>
      <c r="B87" s="14">
        <v>5.5700000000000003E-3</v>
      </c>
    </row>
    <row r="88" spans="1:2" x14ac:dyDescent="0.25">
      <c r="A88" s="14">
        <v>116</v>
      </c>
      <c r="B88" s="14">
        <v>5.6499999999999996E-3</v>
      </c>
    </row>
    <row r="89" spans="1:2" x14ac:dyDescent="0.25">
      <c r="A89" s="14">
        <v>117</v>
      </c>
      <c r="B89" s="14">
        <v>5.64E-3</v>
      </c>
    </row>
    <row r="90" spans="1:2" x14ac:dyDescent="0.25">
      <c r="A90" s="14">
        <v>118</v>
      </c>
      <c r="B90" s="14">
        <v>5.7600000000000004E-3</v>
      </c>
    </row>
    <row r="91" spans="1:2" x14ac:dyDescent="0.25">
      <c r="A91" s="14">
        <v>119</v>
      </c>
      <c r="B91" s="14">
        <v>5.7400000000000003E-3</v>
      </c>
    </row>
    <row r="92" spans="1:2" x14ac:dyDescent="0.25">
      <c r="A92" s="14">
        <v>120</v>
      </c>
      <c r="B92" s="14">
        <v>5.7999999999999996E-3</v>
      </c>
    </row>
    <row r="93" spans="1:2" x14ac:dyDescent="0.25">
      <c r="A93" s="14">
        <v>121</v>
      </c>
      <c r="B93" s="14">
        <v>5.8500000000000002E-3</v>
      </c>
    </row>
    <row r="94" spans="1:2" x14ac:dyDescent="0.25">
      <c r="A94" s="14">
        <v>122</v>
      </c>
      <c r="B94" s="14">
        <v>5.8900000000000003E-3</v>
      </c>
    </row>
    <row r="95" spans="1:2" x14ac:dyDescent="0.25">
      <c r="A95" s="14">
        <v>123</v>
      </c>
      <c r="B95" s="14">
        <v>5.9300000000000004E-3</v>
      </c>
    </row>
    <row r="96" spans="1:2" x14ac:dyDescent="0.25">
      <c r="A96" s="14">
        <v>124</v>
      </c>
      <c r="B96" s="14">
        <v>6.0000000000000001E-3</v>
      </c>
    </row>
    <row r="97" spans="1:2" x14ac:dyDescent="0.25">
      <c r="A97" s="14">
        <v>125</v>
      </c>
      <c r="B97" s="14">
        <v>6.0099999999999997E-3</v>
      </c>
    </row>
    <row r="98" spans="1:2" x14ac:dyDescent="0.25">
      <c r="A98" s="14">
        <v>126</v>
      </c>
      <c r="B98" s="14">
        <v>6.0400000000000002E-3</v>
      </c>
    </row>
    <row r="99" spans="1:2" x14ac:dyDescent="0.25">
      <c r="A99" s="14">
        <v>127</v>
      </c>
      <c r="B99" s="14">
        <v>6.1399999999999996E-3</v>
      </c>
    </row>
    <row r="100" spans="1:2" x14ac:dyDescent="0.25">
      <c r="A100" s="14">
        <v>128</v>
      </c>
      <c r="B100" s="14">
        <v>6.1500000000000001E-3</v>
      </c>
    </row>
    <row r="101" spans="1:2" x14ac:dyDescent="0.25">
      <c r="A101" s="14">
        <v>129</v>
      </c>
      <c r="B101" s="14">
        <v>6.0899999999999999E-3</v>
      </c>
    </row>
    <row r="102" spans="1:2" x14ac:dyDescent="0.25">
      <c r="A102" s="14">
        <v>130</v>
      </c>
      <c r="B102" s="14">
        <v>6.1999999999999998E-3</v>
      </c>
    </row>
    <row r="103" spans="1:2" x14ac:dyDescent="0.25">
      <c r="A103" s="14">
        <v>131</v>
      </c>
      <c r="B103" s="14">
        <v>6.1999999999999998E-3</v>
      </c>
    </row>
    <row r="104" spans="1:2" x14ac:dyDescent="0.25">
      <c r="A104" s="14">
        <v>132</v>
      </c>
      <c r="B104" s="14">
        <v>6.3699999999999998E-3</v>
      </c>
    </row>
    <row r="105" spans="1:2" x14ac:dyDescent="0.25">
      <c r="A105" s="14">
        <v>133</v>
      </c>
      <c r="B105" s="14">
        <v>6.28E-3</v>
      </c>
    </row>
    <row r="106" spans="1:2" x14ac:dyDescent="0.25">
      <c r="A106" s="14">
        <v>134</v>
      </c>
      <c r="B106" s="14">
        <v>6.2300000000000003E-3</v>
      </c>
    </row>
    <row r="107" spans="1:2" x14ac:dyDescent="0.25">
      <c r="A107" s="14">
        <v>135</v>
      </c>
      <c r="B107" s="14">
        <v>6.2599999999999999E-3</v>
      </c>
    </row>
    <row r="108" spans="1:2" x14ac:dyDescent="0.25">
      <c r="A108" s="14">
        <v>136</v>
      </c>
      <c r="B108" s="14">
        <v>6.2399999999999999E-3</v>
      </c>
    </row>
    <row r="109" spans="1:2" x14ac:dyDescent="0.25">
      <c r="A109" s="14">
        <v>137</v>
      </c>
      <c r="B109" s="14">
        <v>6.3499999999999997E-3</v>
      </c>
    </row>
    <row r="110" spans="1:2" x14ac:dyDescent="0.25">
      <c r="A110" s="14">
        <v>138</v>
      </c>
      <c r="B110" s="14">
        <v>6.3299999999999997E-3</v>
      </c>
    </row>
    <row r="111" spans="1:2" x14ac:dyDescent="0.25">
      <c r="A111" s="14">
        <v>139</v>
      </c>
      <c r="B111" s="14">
        <v>6.3699999999999998E-3</v>
      </c>
    </row>
    <row r="112" spans="1:2" x14ac:dyDescent="0.25">
      <c r="A112" s="14">
        <v>140</v>
      </c>
      <c r="B112" s="14">
        <v>6.3600000000000002E-3</v>
      </c>
    </row>
    <row r="113" spans="1:2" x14ac:dyDescent="0.25">
      <c r="A113" s="14">
        <v>141</v>
      </c>
      <c r="B113" s="14">
        <v>6.3499999999999997E-3</v>
      </c>
    </row>
    <row r="114" spans="1:2" x14ac:dyDescent="0.25">
      <c r="A114" s="14">
        <v>142</v>
      </c>
      <c r="B114" s="14">
        <v>6.3200000000000001E-3</v>
      </c>
    </row>
    <row r="115" spans="1:2" x14ac:dyDescent="0.25">
      <c r="A115" s="14">
        <v>143</v>
      </c>
      <c r="B115" s="14">
        <v>6.3099999999999996E-3</v>
      </c>
    </row>
    <row r="116" spans="1:2" x14ac:dyDescent="0.25">
      <c r="A116" s="14">
        <v>144</v>
      </c>
      <c r="B116" s="14">
        <v>6.3400000000000001E-3</v>
      </c>
    </row>
    <row r="117" spans="1:2" x14ac:dyDescent="0.25">
      <c r="A117" s="14">
        <v>145</v>
      </c>
      <c r="B117" s="14">
        <v>6.3699999999999998E-3</v>
      </c>
    </row>
    <row r="118" spans="1:2" x14ac:dyDescent="0.25">
      <c r="A118" s="14">
        <v>146</v>
      </c>
      <c r="B118" s="14">
        <v>6.3299999999999997E-3</v>
      </c>
    </row>
    <row r="119" spans="1:2" x14ac:dyDescent="0.25">
      <c r="A119" s="14">
        <v>147</v>
      </c>
      <c r="B119" s="14">
        <v>6.3200000000000001E-3</v>
      </c>
    </row>
    <row r="120" spans="1:2" x14ac:dyDescent="0.25">
      <c r="A120" s="14">
        <v>148</v>
      </c>
      <c r="B120" s="14">
        <v>6.4200000000000004E-3</v>
      </c>
    </row>
    <row r="121" spans="1:2" x14ac:dyDescent="0.25">
      <c r="A121" s="14">
        <v>149</v>
      </c>
      <c r="B121" s="14">
        <v>6.3200000000000001E-3</v>
      </c>
    </row>
    <row r="122" spans="1:2" x14ac:dyDescent="0.25">
      <c r="A122" s="14">
        <v>150</v>
      </c>
      <c r="B122" s="14">
        <v>6.3600000000000002E-3</v>
      </c>
    </row>
    <row r="123" spans="1:2" x14ac:dyDescent="0.25">
      <c r="A123" s="14">
        <v>151</v>
      </c>
      <c r="B123" s="14">
        <v>6.3400000000000001E-3</v>
      </c>
    </row>
    <row r="124" spans="1:2" x14ac:dyDescent="0.25">
      <c r="A124" s="14">
        <v>152</v>
      </c>
      <c r="B124" s="14">
        <v>6.3200000000000001E-3</v>
      </c>
    </row>
    <row r="125" spans="1:2" x14ac:dyDescent="0.25">
      <c r="A125" s="14">
        <v>153</v>
      </c>
      <c r="B125" s="14">
        <v>6.3299999999999997E-3</v>
      </c>
    </row>
    <row r="126" spans="1:2" x14ac:dyDescent="0.25">
      <c r="A126" s="14">
        <v>154</v>
      </c>
      <c r="B126" s="14">
        <v>6.2899999999999996E-3</v>
      </c>
    </row>
    <row r="127" spans="1:2" x14ac:dyDescent="0.25">
      <c r="A127" s="14">
        <v>155</v>
      </c>
      <c r="B127" s="14">
        <v>6.2500000000000003E-3</v>
      </c>
    </row>
    <row r="128" spans="1:2" x14ac:dyDescent="0.25">
      <c r="A128" s="14">
        <v>156</v>
      </c>
      <c r="B128" s="14">
        <v>6.3400000000000001E-3</v>
      </c>
    </row>
    <row r="129" spans="1:2" x14ac:dyDescent="0.25">
      <c r="A129" s="14">
        <v>157</v>
      </c>
      <c r="B129" s="14">
        <v>6.2700000000000004E-3</v>
      </c>
    </row>
    <row r="130" spans="1:2" x14ac:dyDescent="0.25">
      <c r="A130" s="14">
        <v>158</v>
      </c>
      <c r="B130" s="14">
        <v>6.3899999999999998E-3</v>
      </c>
    </row>
    <row r="131" spans="1:2" x14ac:dyDescent="0.25">
      <c r="A131" s="14">
        <v>159</v>
      </c>
      <c r="B131" s="14">
        <v>6.2300000000000003E-3</v>
      </c>
    </row>
    <row r="132" spans="1:2" x14ac:dyDescent="0.25">
      <c r="A132" s="14">
        <v>160</v>
      </c>
      <c r="B132" s="14">
        <v>6.3E-3</v>
      </c>
    </row>
    <row r="133" spans="1:2" x14ac:dyDescent="0.25">
      <c r="A133" s="14">
        <v>161</v>
      </c>
      <c r="B133" s="14">
        <v>6.3099999999999996E-3</v>
      </c>
    </row>
    <row r="134" spans="1:2" x14ac:dyDescent="0.25">
      <c r="A134" s="14">
        <v>162</v>
      </c>
      <c r="B134" s="14">
        <v>6.1399999999999996E-3</v>
      </c>
    </row>
    <row r="135" spans="1:2" x14ac:dyDescent="0.25">
      <c r="A135" s="14">
        <v>163</v>
      </c>
      <c r="B135" s="14">
        <v>6.2199999999999998E-3</v>
      </c>
    </row>
    <row r="136" spans="1:2" x14ac:dyDescent="0.25">
      <c r="A136" s="14">
        <v>164</v>
      </c>
      <c r="B136" s="14">
        <v>6.2300000000000003E-3</v>
      </c>
    </row>
    <row r="137" spans="1:2" x14ac:dyDescent="0.25">
      <c r="A137" s="14">
        <v>165</v>
      </c>
      <c r="B137" s="14">
        <v>6.1199999999999996E-3</v>
      </c>
    </row>
    <row r="138" spans="1:2" x14ac:dyDescent="0.25">
      <c r="A138" s="14">
        <v>166</v>
      </c>
      <c r="B138" s="14">
        <v>6.1399999999999996E-3</v>
      </c>
    </row>
    <row r="139" spans="1:2" x14ac:dyDescent="0.25">
      <c r="A139" s="14">
        <v>167</v>
      </c>
      <c r="B139" s="14">
        <v>6.13E-3</v>
      </c>
    </row>
    <row r="140" spans="1:2" x14ac:dyDescent="0.25">
      <c r="A140" s="14">
        <v>168</v>
      </c>
      <c r="B140" s="14">
        <v>6.0800000000000003E-3</v>
      </c>
    </row>
    <row r="141" spans="1:2" x14ac:dyDescent="0.25">
      <c r="A141" s="14">
        <v>169</v>
      </c>
      <c r="B141" s="14">
        <v>6.1000000000000004E-3</v>
      </c>
    </row>
    <row r="142" spans="1:2" x14ac:dyDescent="0.25">
      <c r="A142" s="14">
        <v>170</v>
      </c>
      <c r="B142" s="14">
        <v>6.0699999999999999E-3</v>
      </c>
    </row>
    <row r="143" spans="1:2" x14ac:dyDescent="0.25">
      <c r="A143" s="14">
        <v>171</v>
      </c>
      <c r="B143" s="14">
        <v>6.1500000000000001E-3</v>
      </c>
    </row>
    <row r="144" spans="1:2" x14ac:dyDescent="0.25">
      <c r="A144" s="14">
        <v>172</v>
      </c>
      <c r="B144" s="14">
        <v>5.9699999999999996E-3</v>
      </c>
    </row>
    <row r="145" spans="1:2" x14ac:dyDescent="0.25">
      <c r="A145" s="14">
        <v>173</v>
      </c>
      <c r="B145" s="14">
        <v>6.0800000000000003E-3</v>
      </c>
    </row>
    <row r="146" spans="1:2" x14ac:dyDescent="0.25">
      <c r="A146" s="14">
        <v>174</v>
      </c>
      <c r="B146" s="14">
        <v>6.0499999999999998E-3</v>
      </c>
    </row>
    <row r="147" spans="1:2" x14ac:dyDescent="0.25">
      <c r="A147" s="14">
        <v>175</v>
      </c>
      <c r="B147" s="14">
        <v>5.9100000000000003E-3</v>
      </c>
    </row>
    <row r="148" spans="1:2" x14ac:dyDescent="0.25">
      <c r="A148" s="14">
        <v>176</v>
      </c>
      <c r="B148" s="14">
        <v>5.9699999999999996E-3</v>
      </c>
    </row>
    <row r="149" spans="1:2" x14ac:dyDescent="0.25">
      <c r="A149" s="14">
        <v>177</v>
      </c>
      <c r="B149" s="14">
        <v>5.8700000000000002E-3</v>
      </c>
    </row>
    <row r="150" spans="1:2" x14ac:dyDescent="0.25">
      <c r="A150" s="14">
        <v>178</v>
      </c>
      <c r="B150" s="14">
        <v>5.9199999999999999E-3</v>
      </c>
    </row>
    <row r="151" spans="1:2" x14ac:dyDescent="0.25">
      <c r="A151" s="14">
        <v>179</v>
      </c>
      <c r="B151" s="14">
        <v>5.8900000000000003E-3</v>
      </c>
    </row>
    <row r="152" spans="1:2" x14ac:dyDescent="0.25">
      <c r="A152" s="14">
        <v>180</v>
      </c>
      <c r="B152" s="14">
        <v>5.7800000000000004E-3</v>
      </c>
    </row>
    <row r="153" spans="1:2" x14ac:dyDescent="0.25">
      <c r="A153" s="14">
        <v>181</v>
      </c>
      <c r="B153" s="14">
        <v>5.7400000000000003E-3</v>
      </c>
    </row>
    <row r="154" spans="1:2" x14ac:dyDescent="0.25">
      <c r="A154" s="14">
        <v>182</v>
      </c>
      <c r="B154" s="14">
        <v>5.7499999999999999E-3</v>
      </c>
    </row>
    <row r="155" spans="1:2" x14ac:dyDescent="0.25">
      <c r="A155" s="14">
        <v>183</v>
      </c>
      <c r="B155" s="14">
        <v>5.7200000000000003E-3</v>
      </c>
    </row>
    <row r="156" spans="1:2" x14ac:dyDescent="0.25">
      <c r="A156" s="14">
        <v>184</v>
      </c>
      <c r="B156" s="14">
        <v>5.6899999999999997E-3</v>
      </c>
    </row>
    <row r="157" spans="1:2" x14ac:dyDescent="0.25">
      <c r="A157" s="14">
        <v>185</v>
      </c>
      <c r="B157" s="14">
        <v>5.6100000000000004E-3</v>
      </c>
    </row>
    <row r="158" spans="1:2" x14ac:dyDescent="0.25">
      <c r="A158" s="14">
        <v>186</v>
      </c>
      <c r="B158" s="14">
        <v>5.6699999999999997E-3</v>
      </c>
    </row>
    <row r="159" spans="1:2" x14ac:dyDescent="0.25">
      <c r="A159" s="14">
        <v>187</v>
      </c>
      <c r="B159" s="14">
        <v>5.6899999999999997E-3</v>
      </c>
    </row>
    <row r="160" spans="1:2" x14ac:dyDescent="0.25">
      <c r="A160" s="14">
        <v>188</v>
      </c>
      <c r="B160" s="14">
        <v>5.6100000000000004E-3</v>
      </c>
    </row>
    <row r="161" spans="1:2" x14ac:dyDescent="0.25">
      <c r="A161" s="14">
        <v>189</v>
      </c>
      <c r="B161" s="14">
        <v>5.5999999999999999E-3</v>
      </c>
    </row>
    <row r="162" spans="1:2" x14ac:dyDescent="0.25">
      <c r="A162" s="14">
        <v>190</v>
      </c>
      <c r="B162" s="14">
        <v>5.47E-3</v>
      </c>
    </row>
    <row r="163" spans="1:2" x14ac:dyDescent="0.25">
      <c r="A163" s="14">
        <v>191</v>
      </c>
      <c r="B163" s="14">
        <v>5.4000000000000003E-3</v>
      </c>
    </row>
    <row r="164" spans="1:2" x14ac:dyDescent="0.25">
      <c r="A164" s="14">
        <v>192</v>
      </c>
      <c r="B164" s="14">
        <v>5.5599999999999998E-3</v>
      </c>
    </row>
    <row r="165" spans="1:2" x14ac:dyDescent="0.25">
      <c r="A165" s="14">
        <v>193</v>
      </c>
      <c r="B165" s="14">
        <v>5.3899999999999998E-3</v>
      </c>
    </row>
    <row r="166" spans="1:2" x14ac:dyDescent="0.25">
      <c r="A166" s="14">
        <v>194</v>
      </c>
      <c r="B166" s="14">
        <v>5.3899999999999998E-3</v>
      </c>
    </row>
    <row r="167" spans="1:2" x14ac:dyDescent="0.25">
      <c r="A167" s="14">
        <v>195</v>
      </c>
      <c r="B167" s="14">
        <v>5.2700000000000004E-3</v>
      </c>
    </row>
    <row r="168" spans="1:2" x14ac:dyDescent="0.25">
      <c r="A168" s="14">
        <v>196</v>
      </c>
      <c r="B168" s="14">
        <v>5.45E-3</v>
      </c>
    </row>
    <row r="169" spans="1:2" x14ac:dyDescent="0.25">
      <c r="A169" s="14">
        <v>197</v>
      </c>
      <c r="B169" s="14">
        <v>5.2599999999999999E-3</v>
      </c>
    </row>
    <row r="170" spans="1:2" x14ac:dyDescent="0.25">
      <c r="A170" s="14">
        <v>198</v>
      </c>
      <c r="B170" s="14">
        <v>5.1599999999999997E-3</v>
      </c>
    </row>
    <row r="171" spans="1:2" x14ac:dyDescent="0.25">
      <c r="A171" s="14">
        <v>199</v>
      </c>
      <c r="B171" s="14">
        <v>5.2599999999999999E-3</v>
      </c>
    </row>
    <row r="172" spans="1:2" x14ac:dyDescent="0.25">
      <c r="A172" s="14">
        <v>200</v>
      </c>
      <c r="B172" s="14">
        <v>5.1999999999999998E-3</v>
      </c>
    </row>
    <row r="173" spans="1:2" x14ac:dyDescent="0.25">
      <c r="A173" s="14">
        <v>201</v>
      </c>
      <c r="B173" s="14">
        <v>5.1399999999999996E-3</v>
      </c>
    </row>
    <row r="174" spans="1:2" x14ac:dyDescent="0.25">
      <c r="A174" s="14">
        <v>202</v>
      </c>
      <c r="B174" s="14">
        <v>5.1799999999999997E-3</v>
      </c>
    </row>
    <row r="175" spans="1:2" x14ac:dyDescent="0.25">
      <c r="A175" s="14">
        <v>203</v>
      </c>
      <c r="B175" s="14">
        <v>5.1700000000000001E-3</v>
      </c>
    </row>
    <row r="176" spans="1:2" x14ac:dyDescent="0.25">
      <c r="A176" s="14">
        <v>204</v>
      </c>
      <c r="B176" s="14">
        <v>4.9899999999999996E-3</v>
      </c>
    </row>
    <row r="177" spans="1:2" x14ac:dyDescent="0.25">
      <c r="A177" s="14">
        <v>205</v>
      </c>
      <c r="B177" s="14">
        <v>5.0200000000000002E-3</v>
      </c>
    </row>
    <row r="178" spans="1:2" x14ac:dyDescent="0.25">
      <c r="A178" s="14">
        <v>206</v>
      </c>
      <c r="B178" s="14">
        <v>4.9100000000000003E-3</v>
      </c>
    </row>
    <row r="179" spans="1:2" x14ac:dyDescent="0.25">
      <c r="A179" s="14">
        <v>207</v>
      </c>
      <c r="B179" s="14">
        <v>4.9199999999999999E-3</v>
      </c>
    </row>
    <row r="180" spans="1:2" x14ac:dyDescent="0.25">
      <c r="A180" s="14">
        <v>208</v>
      </c>
      <c r="B180" s="14">
        <v>4.8999999999999998E-3</v>
      </c>
    </row>
    <row r="181" spans="1:2" x14ac:dyDescent="0.25">
      <c r="A181" s="14">
        <v>209</v>
      </c>
      <c r="B181" s="14">
        <v>4.7699999999999999E-3</v>
      </c>
    </row>
    <row r="182" spans="1:2" x14ac:dyDescent="0.25">
      <c r="A182" s="14">
        <v>210</v>
      </c>
      <c r="B182" s="14">
        <v>4.7200000000000002E-3</v>
      </c>
    </row>
    <row r="183" spans="1:2" x14ac:dyDescent="0.25">
      <c r="A183" s="14">
        <v>211</v>
      </c>
      <c r="B183" s="14">
        <v>4.81E-3</v>
      </c>
    </row>
    <row r="184" spans="1:2" x14ac:dyDescent="0.25">
      <c r="A184" s="14">
        <v>212</v>
      </c>
      <c r="B184" s="14">
        <v>4.7699999999999999E-3</v>
      </c>
    </row>
    <row r="185" spans="1:2" x14ac:dyDescent="0.25">
      <c r="A185" s="14">
        <v>213</v>
      </c>
      <c r="B185" s="14">
        <v>4.7499999999999999E-3</v>
      </c>
    </row>
    <row r="186" spans="1:2" x14ac:dyDescent="0.25">
      <c r="A186" s="14">
        <v>214</v>
      </c>
      <c r="B186" s="14">
        <v>4.6800000000000001E-3</v>
      </c>
    </row>
    <row r="187" spans="1:2" x14ac:dyDescent="0.25">
      <c r="A187" s="14">
        <v>215</v>
      </c>
      <c r="B187" s="14">
        <v>4.5700000000000003E-3</v>
      </c>
    </row>
    <row r="188" spans="1:2" x14ac:dyDescent="0.25">
      <c r="A188" s="14">
        <v>216</v>
      </c>
      <c r="B188" s="14">
        <v>4.5700000000000003E-3</v>
      </c>
    </row>
    <row r="189" spans="1:2" x14ac:dyDescent="0.25">
      <c r="A189" s="14">
        <v>217</v>
      </c>
      <c r="B189" s="14">
        <v>4.4400000000000004E-3</v>
      </c>
    </row>
    <row r="190" spans="1:2" x14ac:dyDescent="0.25">
      <c r="A190" s="14">
        <v>218</v>
      </c>
      <c r="B190" s="14">
        <v>4.4900000000000001E-3</v>
      </c>
    </row>
    <row r="191" spans="1:2" x14ac:dyDescent="0.25">
      <c r="A191" s="14">
        <v>219</v>
      </c>
      <c r="B191" s="14">
        <v>4.4400000000000004E-3</v>
      </c>
    </row>
    <row r="192" spans="1:2" x14ac:dyDescent="0.25">
      <c r="A192" s="14">
        <v>220</v>
      </c>
      <c r="B192" s="14">
        <v>4.45E-3</v>
      </c>
    </row>
    <row r="193" spans="1:2" x14ac:dyDescent="0.25">
      <c r="A193" s="14">
        <v>221</v>
      </c>
      <c r="B193" s="14">
        <v>4.3800000000000002E-3</v>
      </c>
    </row>
    <row r="194" spans="1:2" x14ac:dyDescent="0.25">
      <c r="A194" s="14">
        <v>222</v>
      </c>
      <c r="B194" s="14">
        <v>4.1799999999999997E-3</v>
      </c>
    </row>
    <row r="195" spans="1:2" x14ac:dyDescent="0.25">
      <c r="A195" s="14">
        <v>223</v>
      </c>
      <c r="B195" s="14">
        <v>4.3E-3</v>
      </c>
    </row>
    <row r="196" spans="1:2" x14ac:dyDescent="0.25">
      <c r="A196" s="14">
        <v>224</v>
      </c>
      <c r="B196" s="14">
        <v>4.1599999999999996E-3</v>
      </c>
    </row>
    <row r="197" spans="1:2" x14ac:dyDescent="0.25">
      <c r="A197" s="14">
        <v>225</v>
      </c>
      <c r="B197" s="14">
        <v>4.15E-3</v>
      </c>
    </row>
    <row r="198" spans="1:2" x14ac:dyDescent="0.25">
      <c r="A198" s="14">
        <v>226</v>
      </c>
      <c r="B198" s="14">
        <v>4.1000000000000003E-3</v>
      </c>
    </row>
    <row r="199" spans="1:2" x14ac:dyDescent="0.25">
      <c r="A199" s="14">
        <v>227</v>
      </c>
      <c r="B199" s="14">
        <v>4.0499999999999998E-3</v>
      </c>
    </row>
    <row r="200" spans="1:2" x14ac:dyDescent="0.25">
      <c r="A200" s="14">
        <v>228</v>
      </c>
      <c r="B200" s="14">
        <v>3.96E-3</v>
      </c>
    </row>
    <row r="201" spans="1:2" x14ac:dyDescent="0.25">
      <c r="A201" s="14">
        <v>229</v>
      </c>
      <c r="B201" s="14">
        <v>4.0299999999999997E-3</v>
      </c>
    </row>
    <row r="202" spans="1:2" x14ac:dyDescent="0.25">
      <c r="A202" s="14">
        <v>230</v>
      </c>
      <c r="B202" s="14">
        <v>4.0800000000000003E-3</v>
      </c>
    </row>
    <row r="203" spans="1:2" x14ac:dyDescent="0.25">
      <c r="A203" s="14">
        <v>231</v>
      </c>
      <c r="B203" s="14">
        <v>3.9500000000000004E-3</v>
      </c>
    </row>
    <row r="204" spans="1:2" x14ac:dyDescent="0.25">
      <c r="A204" s="14">
        <v>232</v>
      </c>
      <c r="B204" s="14">
        <v>3.7799999999999999E-3</v>
      </c>
    </row>
    <row r="205" spans="1:2" x14ac:dyDescent="0.25">
      <c r="A205" s="14">
        <v>233</v>
      </c>
      <c r="B205" s="14">
        <v>3.7599999999999999E-3</v>
      </c>
    </row>
    <row r="206" spans="1:2" x14ac:dyDescent="0.25">
      <c r="A206" s="14">
        <v>234</v>
      </c>
      <c r="B206" s="14">
        <v>3.8E-3</v>
      </c>
    </row>
    <row r="207" spans="1:2" x14ac:dyDescent="0.25">
      <c r="A207" s="14">
        <v>235</v>
      </c>
      <c r="B207" s="14">
        <v>3.63E-3</v>
      </c>
    </row>
    <row r="208" spans="1:2" x14ac:dyDescent="0.25">
      <c r="A208" s="14">
        <v>236</v>
      </c>
      <c r="B208" s="14">
        <v>3.5599999999999998E-3</v>
      </c>
    </row>
    <row r="209" spans="1:2" x14ac:dyDescent="0.25">
      <c r="A209" s="14">
        <v>237</v>
      </c>
      <c r="B209" s="14">
        <v>3.5699999999999998E-3</v>
      </c>
    </row>
    <row r="210" spans="1:2" x14ac:dyDescent="0.25">
      <c r="A210" s="14">
        <v>238</v>
      </c>
      <c r="B210" s="14">
        <v>3.5400000000000002E-3</v>
      </c>
    </row>
    <row r="211" spans="1:2" x14ac:dyDescent="0.25">
      <c r="A211" s="14">
        <v>239</v>
      </c>
      <c r="B211" s="14">
        <v>3.5000000000000001E-3</v>
      </c>
    </row>
    <row r="212" spans="1:2" x14ac:dyDescent="0.25">
      <c r="A212" s="14">
        <v>240</v>
      </c>
      <c r="B212" s="14">
        <v>3.3700000000000002E-3</v>
      </c>
    </row>
    <row r="213" spans="1:2" x14ac:dyDescent="0.25">
      <c r="A213" s="14">
        <v>241</v>
      </c>
      <c r="B213" s="14">
        <v>3.4199999999999999E-3</v>
      </c>
    </row>
    <row r="214" spans="1:2" x14ac:dyDescent="0.25">
      <c r="A214" s="14">
        <v>242</v>
      </c>
      <c r="B214" s="14">
        <v>3.3700000000000002E-3</v>
      </c>
    </row>
    <row r="215" spans="1:2" x14ac:dyDescent="0.25">
      <c r="A215" s="14">
        <v>243</v>
      </c>
      <c r="B215" s="14">
        <v>3.3800000000000002E-3</v>
      </c>
    </row>
    <row r="216" spans="1:2" x14ac:dyDescent="0.25">
      <c r="A216" s="14">
        <v>244</v>
      </c>
      <c r="B216" s="14">
        <v>3.29E-3</v>
      </c>
    </row>
    <row r="217" spans="1:2" x14ac:dyDescent="0.25">
      <c r="A217" s="14">
        <v>245</v>
      </c>
      <c r="B217" s="14">
        <v>3.1900000000000001E-3</v>
      </c>
    </row>
    <row r="218" spans="1:2" x14ac:dyDescent="0.25">
      <c r="A218" s="14">
        <v>246</v>
      </c>
      <c r="B218" s="14">
        <v>3.2599999999999999E-3</v>
      </c>
    </row>
    <row r="219" spans="1:2" x14ac:dyDescent="0.25">
      <c r="A219" s="14">
        <v>247</v>
      </c>
      <c r="B219" s="14">
        <v>3.0400000000000002E-3</v>
      </c>
    </row>
    <row r="220" spans="1:2" x14ac:dyDescent="0.25">
      <c r="A220" s="14">
        <v>248</v>
      </c>
      <c r="B220" s="14">
        <v>3.0300000000000001E-3</v>
      </c>
    </row>
    <row r="221" spans="1:2" x14ac:dyDescent="0.25">
      <c r="A221" s="14">
        <v>249</v>
      </c>
      <c r="B221" s="14">
        <v>3.0400000000000002E-3</v>
      </c>
    </row>
    <row r="222" spans="1:2" x14ac:dyDescent="0.25">
      <c r="A222" s="14">
        <v>250</v>
      </c>
      <c r="B222" s="14">
        <v>2.97E-3</v>
      </c>
    </row>
    <row r="223" spans="1:2" x14ac:dyDescent="0.25">
      <c r="A223" s="14">
        <v>251</v>
      </c>
      <c r="B223" s="14">
        <v>2.9299999999999999E-3</v>
      </c>
    </row>
    <row r="224" spans="1:2" x14ac:dyDescent="0.25">
      <c r="A224" s="14">
        <v>252</v>
      </c>
      <c r="B224" s="14">
        <v>2.7000000000000001E-3</v>
      </c>
    </row>
    <row r="225" spans="1:2" x14ac:dyDescent="0.25">
      <c r="A225" s="14">
        <v>253</v>
      </c>
      <c r="B225" s="14">
        <v>2.8500000000000001E-3</v>
      </c>
    </row>
    <row r="226" spans="1:2" x14ac:dyDescent="0.25">
      <c r="A226" s="14">
        <v>254</v>
      </c>
      <c r="B226" s="14">
        <v>2.7399999999999998E-3</v>
      </c>
    </row>
    <row r="227" spans="1:2" x14ac:dyDescent="0.25">
      <c r="A227" s="14">
        <v>255</v>
      </c>
      <c r="B227" s="14">
        <v>2.6800000000000001E-3</v>
      </c>
    </row>
    <row r="228" spans="1:2" x14ac:dyDescent="0.25">
      <c r="A228" s="14">
        <v>256</v>
      </c>
      <c r="B228" s="14">
        <v>2.5300000000000001E-3</v>
      </c>
    </row>
    <row r="229" spans="1:2" x14ac:dyDescent="0.25">
      <c r="A229" s="14">
        <v>257</v>
      </c>
      <c r="B229" s="14">
        <v>2.7699999999999999E-3</v>
      </c>
    </row>
    <row r="230" spans="1:2" x14ac:dyDescent="0.25">
      <c r="A230" s="14">
        <v>258</v>
      </c>
      <c r="B230" s="14">
        <v>2.5300000000000001E-3</v>
      </c>
    </row>
    <row r="231" spans="1:2" x14ac:dyDescent="0.25">
      <c r="A231" s="14">
        <v>259</v>
      </c>
      <c r="B231" s="14">
        <v>2.5600000000000002E-3</v>
      </c>
    </row>
    <row r="232" spans="1:2" x14ac:dyDescent="0.25">
      <c r="A232" s="14">
        <v>260</v>
      </c>
      <c r="B232" s="14">
        <v>2.5100000000000001E-3</v>
      </c>
    </row>
    <row r="233" spans="1:2" x14ac:dyDescent="0.25">
      <c r="A233" s="14">
        <v>261</v>
      </c>
      <c r="B233" s="14">
        <v>2.32E-3</v>
      </c>
    </row>
    <row r="234" spans="1:2" x14ac:dyDescent="0.25">
      <c r="A234" s="14">
        <v>262</v>
      </c>
      <c r="B234" s="14">
        <v>2.3500000000000001E-3</v>
      </c>
    </row>
    <row r="235" spans="1:2" x14ac:dyDescent="0.25">
      <c r="A235" s="14">
        <v>263</v>
      </c>
      <c r="B235" s="14">
        <v>2.1800000000000001E-3</v>
      </c>
    </row>
    <row r="236" spans="1:2" x14ac:dyDescent="0.25">
      <c r="A236" s="14">
        <v>264</v>
      </c>
      <c r="B236" s="14">
        <v>2.2699999999999999E-3</v>
      </c>
    </row>
    <row r="237" spans="1:2" x14ac:dyDescent="0.25">
      <c r="A237" s="14">
        <v>265</v>
      </c>
      <c r="B237" s="14">
        <v>2.1299999999999999E-3</v>
      </c>
    </row>
    <row r="238" spans="1:2" x14ac:dyDescent="0.25">
      <c r="A238" s="14">
        <v>266</v>
      </c>
      <c r="B238" s="14">
        <v>2.0699999999999998E-3</v>
      </c>
    </row>
    <row r="239" spans="1:2" x14ac:dyDescent="0.25">
      <c r="A239" s="14">
        <v>267</v>
      </c>
      <c r="B239" s="14">
        <v>2.0999999999999999E-3</v>
      </c>
    </row>
    <row r="240" spans="1:2" x14ac:dyDescent="0.25">
      <c r="A240" s="14">
        <v>268</v>
      </c>
      <c r="B240" s="14">
        <v>1.9400000000000001E-3</v>
      </c>
    </row>
    <row r="241" spans="1:2" x14ac:dyDescent="0.25">
      <c r="A241" s="14">
        <v>269</v>
      </c>
      <c r="B241" s="14">
        <v>1.98E-3</v>
      </c>
    </row>
    <row r="242" spans="1:2" x14ac:dyDescent="0.25">
      <c r="A242" s="14">
        <v>270</v>
      </c>
      <c r="B242" s="14">
        <v>1.8799999999999999E-3</v>
      </c>
    </row>
    <row r="243" spans="1:2" x14ac:dyDescent="0.25">
      <c r="A243" s="14">
        <v>271</v>
      </c>
      <c r="B243" s="14">
        <v>1.83E-3</v>
      </c>
    </row>
    <row r="244" spans="1:2" x14ac:dyDescent="0.25">
      <c r="A244" s="14">
        <v>272</v>
      </c>
      <c r="B244" s="14">
        <v>1.6999999999999999E-3</v>
      </c>
    </row>
    <row r="245" spans="1:2" x14ac:dyDescent="0.25">
      <c r="A245" s="14">
        <v>273</v>
      </c>
      <c r="B245" s="14">
        <v>1.65E-3</v>
      </c>
    </row>
    <row r="246" spans="1:2" x14ac:dyDescent="0.25">
      <c r="A246" s="14">
        <v>274</v>
      </c>
      <c r="B246" s="14">
        <v>1.6100000000000001E-3</v>
      </c>
    </row>
    <row r="247" spans="1:2" x14ac:dyDescent="0.25">
      <c r="A247" s="14">
        <v>275</v>
      </c>
      <c r="B247" s="14">
        <v>1.65E-3</v>
      </c>
    </row>
    <row r="248" spans="1:2" x14ac:dyDescent="0.25">
      <c r="A248" s="14">
        <v>276</v>
      </c>
      <c r="B248" s="14">
        <v>1.5399999999999999E-3</v>
      </c>
    </row>
    <row r="249" spans="1:2" x14ac:dyDescent="0.25">
      <c r="A249" s="14">
        <v>277</v>
      </c>
      <c r="B249" s="14">
        <v>1.4499999999999999E-3</v>
      </c>
    </row>
    <row r="250" spans="1:2" x14ac:dyDescent="0.25">
      <c r="A250" s="14">
        <v>278</v>
      </c>
      <c r="B250" s="14">
        <v>1.3799999999999999E-3</v>
      </c>
    </row>
    <row r="251" spans="1:2" x14ac:dyDescent="0.25">
      <c r="A251" s="14">
        <v>279</v>
      </c>
      <c r="B251" s="14">
        <v>1.32E-3</v>
      </c>
    </row>
    <row r="252" spans="1:2" x14ac:dyDescent="0.25">
      <c r="A252" s="14">
        <v>280</v>
      </c>
      <c r="B252" s="14">
        <v>1.23E-3</v>
      </c>
    </row>
    <row r="253" spans="1:2" x14ac:dyDescent="0.25">
      <c r="A253" s="14">
        <v>281</v>
      </c>
      <c r="B253" s="14">
        <v>1.23E-3</v>
      </c>
    </row>
    <row r="254" spans="1:2" x14ac:dyDescent="0.25">
      <c r="A254" s="14">
        <v>282</v>
      </c>
      <c r="B254" s="14">
        <v>1.2099999999999999E-3</v>
      </c>
    </row>
    <row r="255" spans="1:2" x14ac:dyDescent="0.25">
      <c r="A255" s="14">
        <v>283</v>
      </c>
      <c r="B255" s="14">
        <v>1.15E-3</v>
      </c>
    </row>
    <row r="256" spans="1:2" x14ac:dyDescent="0.25">
      <c r="A256" s="14">
        <v>284</v>
      </c>
      <c r="B256" s="14">
        <v>1.0499999999999999E-3</v>
      </c>
    </row>
    <row r="257" spans="1:2" x14ac:dyDescent="0.25">
      <c r="A257" s="14">
        <v>285</v>
      </c>
      <c r="B257" s="14">
        <v>9.2100000000000005E-4</v>
      </c>
    </row>
    <row r="258" spans="1:2" x14ac:dyDescent="0.25">
      <c r="A258" s="14">
        <v>286</v>
      </c>
      <c r="B258" s="14">
        <v>8.9700000000000001E-4</v>
      </c>
    </row>
    <row r="259" spans="1:2" x14ac:dyDescent="0.25">
      <c r="A259" s="14">
        <v>287</v>
      </c>
      <c r="B259" s="14">
        <v>8.6300000000000005E-4</v>
      </c>
    </row>
    <row r="260" spans="1:2" x14ac:dyDescent="0.25">
      <c r="A260" s="14">
        <v>288</v>
      </c>
      <c r="B260" s="14">
        <v>8.2100000000000001E-4</v>
      </c>
    </row>
    <row r="261" spans="1:2" x14ac:dyDescent="0.25">
      <c r="A261" s="14">
        <v>289</v>
      </c>
      <c r="B261" s="14">
        <v>7.3800000000000005E-4</v>
      </c>
    </row>
    <row r="262" spans="1:2" x14ac:dyDescent="0.25">
      <c r="A262" s="14">
        <v>290</v>
      </c>
      <c r="B262" s="14">
        <v>6.0300000000000002E-4</v>
      </c>
    </row>
    <row r="263" spans="1:2" x14ac:dyDescent="0.25">
      <c r="A263" s="14">
        <v>291</v>
      </c>
      <c r="B263" s="14">
        <v>6.3699999999999998E-4</v>
      </c>
    </row>
    <row r="264" spans="1:2" x14ac:dyDescent="0.25">
      <c r="A264" s="14">
        <v>292</v>
      </c>
      <c r="B264" s="14">
        <v>5.2300000000000003E-4</v>
      </c>
    </row>
    <row r="265" spans="1:2" x14ac:dyDescent="0.25">
      <c r="A265" s="14">
        <v>293</v>
      </c>
      <c r="B265" s="14">
        <v>5.0799999999999999E-4</v>
      </c>
    </row>
    <row r="266" spans="1:2" x14ac:dyDescent="0.25">
      <c r="A266" s="14">
        <v>294</v>
      </c>
      <c r="B266" s="14">
        <v>4.6900000000000002E-4</v>
      </c>
    </row>
    <row r="267" spans="1:2" x14ac:dyDescent="0.25">
      <c r="A267" s="14">
        <v>295</v>
      </c>
      <c r="B267" s="14">
        <v>2.7900000000000001E-4</v>
      </c>
    </row>
    <row r="268" spans="1:2" x14ac:dyDescent="0.25">
      <c r="A268" s="14">
        <v>296</v>
      </c>
      <c r="B268" s="14">
        <v>3.39E-4</v>
      </c>
    </row>
    <row r="269" spans="1:2" x14ac:dyDescent="0.25">
      <c r="A269" s="14">
        <v>297</v>
      </c>
      <c r="B269" s="14">
        <v>2.34E-4</v>
      </c>
    </row>
    <row r="270" spans="1:2" x14ac:dyDescent="0.25">
      <c r="A270" s="14">
        <v>298</v>
      </c>
      <c r="B270" s="14">
        <v>2.31E-4</v>
      </c>
    </row>
    <row r="271" spans="1:2" x14ac:dyDescent="0.25">
      <c r="A271" s="14">
        <v>299</v>
      </c>
      <c r="B271" s="14">
        <v>1.7699999999999999E-4</v>
      </c>
    </row>
    <row r="272" spans="1:2" x14ac:dyDescent="0.25">
      <c r="A272" s="14">
        <v>300</v>
      </c>
      <c r="B272" s="14">
        <v>1.25E-4</v>
      </c>
    </row>
    <row r="273" spans="1:2" x14ac:dyDescent="0.25">
      <c r="A273" s="14">
        <v>301</v>
      </c>
      <c r="B273" s="14">
        <v>8.8800000000000004E-5</v>
      </c>
    </row>
    <row r="274" spans="1:2" x14ac:dyDescent="0.25">
      <c r="A274" s="14">
        <v>302</v>
      </c>
      <c r="B274" s="14">
        <v>1.44E-4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"/>
  <dimension ref="A1:P1189"/>
  <sheetViews>
    <sheetView topLeftCell="A1017" workbookViewId="0">
      <selection activeCell="I1038" sqref="I1038"/>
    </sheetView>
  </sheetViews>
  <sheetFormatPr defaultRowHeight="15" x14ac:dyDescent="0.25"/>
  <cols>
    <col min="1" max="1" width="14.28515625" style="4" customWidth="1"/>
    <col min="2" max="8" width="9.140625" style="4"/>
    <col min="9" max="9" width="29" style="4" customWidth="1"/>
    <col min="10" max="10" width="20.42578125" style="9" customWidth="1"/>
    <col min="11" max="16" width="10.5703125" style="7" bestFit="1" customWidth="1"/>
    <col min="17" max="16384" width="9.140625" style="4"/>
  </cols>
  <sheetData>
    <row r="1" spans="1:16" x14ac:dyDescent="0.25">
      <c r="A1" s="3" t="s">
        <v>15</v>
      </c>
      <c r="B1" s="3" t="s">
        <v>1</v>
      </c>
      <c r="C1" s="3" t="s">
        <v>2</v>
      </c>
      <c r="D1" s="3" t="s">
        <v>10</v>
      </c>
      <c r="E1" s="3" t="s">
        <v>4</v>
      </c>
      <c r="F1" s="3" t="s">
        <v>11</v>
      </c>
      <c r="G1" s="3" t="s">
        <v>6</v>
      </c>
      <c r="H1" s="3" t="s">
        <v>7</v>
      </c>
      <c r="I1" s="3" t="s">
        <v>12</v>
      </c>
      <c r="J1" s="8" t="s">
        <v>1</v>
      </c>
      <c r="K1" s="6" t="s">
        <v>2</v>
      </c>
      <c r="L1" s="6" t="s">
        <v>10</v>
      </c>
      <c r="M1" s="6" t="s">
        <v>4</v>
      </c>
      <c r="N1" s="6" t="s">
        <v>11</v>
      </c>
      <c r="O1" s="6" t="s">
        <v>6</v>
      </c>
      <c r="P1" s="6" t="s">
        <v>7</v>
      </c>
    </row>
    <row r="2" spans="1:16" x14ac:dyDescent="0.25">
      <c r="A2" s="5">
        <f ca="1">IF(OR(INDIRECT("'" &amp; Master!$F$8 &amp; Master!$F$6 &amp; "'!A" &amp; ROW(A2))="", INDIRECT("'" &amp; Master!$F$8 &amp; Master!$F$6 &amp; "'!A" &amp; ROW(A2))=0), "", INDIRECT("'" &amp; Master!$F$8 &amp; Master!$F$6 &amp; "'!A" &amp; ROW(A2)))</f>
        <v>15.625</v>
      </c>
      <c r="B2" s="4">
        <f ca="1">SplineInterp(INDIRECT("A" &amp; ROW()),INDIRECT("'" &amp;Master!$F$10&amp; "'!$A$2:$A$50"),INDIRECT("'" &amp;Master!$F$10&amp; "'!$B$2:$B$50"))</f>
        <v>0.6947666716294818</v>
      </c>
      <c r="C2" s="4">
        <f ca="1">SplineInterp(A2,INDIRECT("'" &amp;Master!$F$10&amp; "'!$A$2:$A$50"),INDIRECT("'" &amp;Master!$F$10&amp; "'!$C$2:$C$50"))</f>
        <v>0.68192800571157963</v>
      </c>
      <c r="D2" s="4">
        <f ca="1">SplineInterp(A2,INDIRECT("'" &amp;Master!$F$10&amp; "'!$A$2:$A$50"),INDIRECT("'" &amp;Master!$F$10&amp; "'!$D$2:$D$50"))</f>
        <v>0.64095317066086666</v>
      </c>
      <c r="E2" s="4">
        <f ca="1">SplineInterp(A2,INDIRECT("'" &amp;Master!$F$10&amp; "'!$A$2:$A$50"),INDIRECT("'" &amp;Master!$F$10&amp; "'!$E$2:$E$50"))</f>
        <v>0.56288293436911063</v>
      </c>
      <c r="F2" s="4">
        <f ca="1">SplineInterp(A2,INDIRECT("'" &amp;Master!$F$10&amp; "'!$A$2:$A$50"),INDIRECT("'" &amp;Master!$F$10&amp; "'!$F$2:$F$50"))</f>
        <v>0.43976842712988556</v>
      </c>
      <c r="G2" s="4">
        <f ca="1">SplineInterp(A2,INDIRECT("'" &amp;Master!$F$10&amp; "'!$A$2:$A$50"),INDIRECT("'" &amp;Master!$F$10&amp; "'!$G$2:$G$50"))</f>
        <v>0.27182201742611789</v>
      </c>
      <c r="H2" s="4">
        <f ca="1">SplineInterp(A2,INDIRECT("'" &amp;Master!$F$10&amp; "'!$A$2:$A$50"),INDIRECT("'" &amp;Master!$F$10&amp; "'!$H$2:$H$50"))</f>
        <v>9.1812602140647098E-2</v>
      </c>
      <c r="I2" s="4">
        <f ca="1">IF(OR(INDIRECT("'" &amp; Master!$F$8 &amp; Master!$F$6 &amp; "'!B" &amp; ROW(B2))="", INDIRECT("'" &amp; Master!$F$8 &amp; Master!$F$6 &amp; "'!B" &amp; ROW(B2))=0), "", INDIRECT("'" &amp; Master!$F$8 &amp; Master!$F$6 &amp; "'!B" &amp; ROW(B2)))</f>
        <v>4.6248973098195149E-3</v>
      </c>
      <c r="J2" s="9">
        <f ca="1">B2*I2</f>
        <v>3.2132245105714486E-3</v>
      </c>
      <c r="K2" s="7">
        <f ca="1">C2*I2</f>
        <v>3.1538469991060714E-3</v>
      </c>
      <c r="L2" s="7">
        <f ca="1">D2*I2</f>
        <v>2.9643425947097307E-3</v>
      </c>
      <c r="M2" s="7">
        <f ca="1">E2*I2</f>
        <v>2.6032757689070144E-3</v>
      </c>
      <c r="N2" s="7">
        <f ca="1">F2*I2</f>
        <v>2.033883815576567E-3</v>
      </c>
      <c r="O2" s="7">
        <f ca="1">G2*I2</f>
        <v>1.2571489171437659E-3</v>
      </c>
      <c r="P2" s="7">
        <f ca="1">H2*I2</f>
        <v>4.2462385664780819E-4</v>
      </c>
    </row>
    <row r="3" spans="1:16" x14ac:dyDescent="0.25">
      <c r="A3" s="19">
        <f ca="1">IF(OR(INDIRECT("'" &amp; Master!$F$8 &amp; Master!$F$6 &amp; "'!A" &amp; ROW(A3))="", INDIRECT("'" &amp; Master!$F$8 &amp; Master!$F$6 &amp; "'!A" &amp; ROW(A3))=0), "", INDIRECT("'" &amp; Master!$F$8 &amp; Master!$F$6 &amp; "'!A" &amp; ROW(A3)))</f>
        <v>46.875</v>
      </c>
      <c r="B3" s="4">
        <f ca="1">SplineInterp(INDIRECT("A" &amp; ROW()),INDIRECT("'" &amp;Master!$F$10&amp; "'!$A$2:$A$50"),INDIRECT("'" &amp;Master!$F$10&amp; "'!$B$2:$B$50"))</f>
        <v>1.5623863731666472</v>
      </c>
      <c r="C3" s="4">
        <f ca="1">SplineInterp(A3,INDIRECT("'" &amp;Master!$F$10&amp; "'!$A$2:$A$50"),INDIRECT("'" &amp;Master!$F$10&amp; "'!$C$2:$C$50"))</f>
        <v>1.5528035292433549</v>
      </c>
      <c r="D3" s="4">
        <f ca="1">SplineInterp(A3,INDIRECT("'" &amp;Master!$F$10&amp; "'!$A$2:$A$50"),INDIRECT("'" &amp;Master!$F$10&amp; "'!$D$2:$D$50"))</f>
        <v>1.5321938465982752</v>
      </c>
      <c r="E3" s="4">
        <f ca="1">SplineInterp(A3,INDIRECT("'" &amp;Master!$F$10&amp; "'!$A$2:$A$50"),INDIRECT("'" &amp;Master!$F$10&amp; "'!$E$2:$E$50"))</f>
        <v>1.5022460920715335</v>
      </c>
      <c r="F3" s="4">
        <f ca="1">SplineInterp(A3,INDIRECT("'" &amp;Master!$F$10&amp; "'!$A$2:$A$50"),INDIRECT("'" &amp;Master!$F$10&amp; "'!$F$2:$F$50"))</f>
        <v>1.4329272473426677</v>
      </c>
      <c r="G3" s="4">
        <f ca="1">SplineInterp(A3,INDIRECT("'" &amp;Master!$F$10&amp; "'!$A$2:$A$50"),INDIRECT("'" &amp;Master!$F$10&amp; "'!$G$2:$G$50"))</f>
        <v>1.2918242747383735</v>
      </c>
      <c r="H3" s="4">
        <f ca="1">SplineInterp(A3,INDIRECT("'" &amp;Master!$F$10&amp; "'!$A$2:$A$50"),INDIRECT("'" &amp;Master!$F$10&amp; "'!$H$2:$H$50"))</f>
        <v>0.96537130337251442</v>
      </c>
      <c r="I3" s="4">
        <f ca="1">IF(OR(INDIRECT("'" &amp; Master!$F$8 &amp; Master!$F$6 &amp; "'!B" &amp; ROW(B3))="", INDIRECT("'" &amp; Master!$F$8 &amp; Master!$F$6 &amp; "'!B" &amp; ROW(B3))=0), "", INDIRECT("'" &amp; Master!$F$8 &amp; Master!$F$6 &amp; "'!B" &amp; ROW(B3)))</f>
        <v>5.4780847849770727E-4</v>
      </c>
      <c r="J3" s="9">
        <f t="shared" ref="J3:J66" ca="1" si="0">B3*I3</f>
        <v>8.558885019099721E-4</v>
      </c>
      <c r="K3" s="7">
        <f t="shared" ref="K3:K66" ca="1" si="1">C3*I3</f>
        <v>8.506389387606723E-4</v>
      </c>
      <c r="L3" s="7">
        <f t="shared" ref="L3:L66" ca="1" si="2">D3*I3</f>
        <v>8.3934877986855067E-4</v>
      </c>
      <c r="M3" s="7">
        <f t="shared" ref="M3:M66" ca="1" si="3">E3*I3</f>
        <v>8.2294314602683345E-4</v>
      </c>
      <c r="N3" s="7">
        <f t="shared" ref="N3:N66" ca="1" si="4">F3*I3</f>
        <v>7.8496969516469463E-4</v>
      </c>
      <c r="O3" s="7">
        <f t="shared" ref="O3:O66" ca="1" si="5">G3*I3</f>
        <v>7.0767229043083261E-4</v>
      </c>
      <c r="P3" s="7">
        <f t="shared" ref="P3:P66" ca="1" si="6">H3*I3</f>
        <v>5.2883858488584571E-4</v>
      </c>
    </row>
    <row r="4" spans="1:16" x14ac:dyDescent="0.25">
      <c r="A4" s="19">
        <f ca="1">IF(OR(INDIRECT("'" &amp; Master!$F$8 &amp; Master!$F$6 &amp; "'!A" &amp; ROW(A4))="", INDIRECT("'" &amp; Master!$F$8 &amp; Master!$F$6 &amp; "'!A" &amp; ROW(A4))=0), "", INDIRECT("'" &amp; Master!$F$8 &amp; Master!$F$6 &amp; "'!A" &amp; ROW(A4)))</f>
        <v>78.125</v>
      </c>
      <c r="B4" s="4">
        <f ca="1">SplineInterp(INDIRECT("A" &amp; ROW()),INDIRECT("'" &amp;Master!$F$10&amp; "'!$A$2:$A$50"),INDIRECT("'" &amp;Master!$F$10&amp; "'!$B$2:$B$50"))</f>
        <v>1.6554111795208182</v>
      </c>
      <c r="C4" s="4">
        <f ca="1">SplineInterp(A4,INDIRECT("'" &amp;Master!$F$10&amp; "'!$A$2:$A$50"),INDIRECT("'" &amp;Master!$F$10&amp; "'!$C$2:$C$50"))</f>
        <v>1.6558010784055304</v>
      </c>
      <c r="D4" s="4">
        <f ca="1">SplineInterp(A4,INDIRECT("'" &amp;Master!$F$10&amp; "'!$A$2:$A$50"),INDIRECT("'" &amp;Master!$F$10&amp; "'!$D$2:$D$50"))</f>
        <v>1.6349752573980072</v>
      </c>
      <c r="E4" s="4">
        <f ca="1">SplineInterp(A4,INDIRECT("'" &amp;Master!$F$10&amp; "'!$A$2:$A$50"),INDIRECT("'" &amp;Master!$F$10&amp; "'!$E$2:$E$50"))</f>
        <v>1.6133985947138352</v>
      </c>
      <c r="F4" s="4">
        <f ca="1">SplineInterp(A4,INDIRECT("'" &amp;Master!$F$10&amp; "'!$A$2:$A$50"),INDIRECT("'" &amp;Master!$F$10&amp; "'!$F$2:$F$50"))</f>
        <v>1.5633505916010397</v>
      </c>
      <c r="G4" s="4">
        <f ca="1">SplineInterp(A4,INDIRECT("'" &amp;Master!$F$10&amp; "'!$A$2:$A$50"),INDIRECT("'" &amp;Master!$F$10&amp; "'!$G$2:$G$50"))</f>
        <v>1.4495320127481903</v>
      </c>
      <c r="H4" s="4">
        <f ca="1">SplineInterp(A4,INDIRECT("'" &amp;Master!$F$10&amp; "'!$A$2:$A$50"),INDIRECT("'" &amp;Master!$F$10&amp; "'!$H$2:$H$50"))</f>
        <v>1.1667426938864656</v>
      </c>
      <c r="I4" s="4">
        <f ca="1">IF(OR(INDIRECT("'" &amp; Master!$F$8 &amp; Master!$F$6 &amp; "'!B" &amp; ROW(B4))="", INDIRECT("'" &amp; Master!$F$8 &amp; Master!$F$6 &amp; "'!B" &amp; ROW(B4))=0), "", INDIRECT("'" &amp; Master!$F$8 &amp; Master!$F$6 &amp; "'!B" &amp; ROW(B4)))</f>
        <v>3.8089873996245394E-3</v>
      </c>
      <c r="J4" s="9">
        <f t="shared" ca="1" si="0"/>
        <v>6.3054403239923926E-3</v>
      </c>
      <c r="K4" s="7">
        <f t="shared" ca="1" si="1"/>
        <v>6.3069254439313896E-3</v>
      </c>
      <c r="L4" s="7">
        <f t="shared" ca="1" si="2"/>
        <v>6.2276001541268977E-3</v>
      </c>
      <c r="M4" s="7">
        <f t="shared" ca="1" si="3"/>
        <v>6.1454149178369376E-3</v>
      </c>
      <c r="N4" s="7">
        <f t="shared" ca="1" si="4"/>
        <v>5.9547827046039295E-3</v>
      </c>
      <c r="O4" s="7">
        <f t="shared" ca="1" si="5"/>
        <v>5.521249171910254E-3</v>
      </c>
      <c r="P4" s="7">
        <f t="shared" ca="1" si="6"/>
        <v>4.4441082196175381E-3</v>
      </c>
    </row>
    <row r="5" spans="1:16" x14ac:dyDescent="0.25">
      <c r="A5" s="19">
        <f ca="1">IF(OR(INDIRECT("'" &amp; Master!$F$8 &amp; Master!$F$6 &amp; "'!A" &amp; ROW(A5))="", INDIRECT("'" &amp; Master!$F$8 &amp; Master!$F$6 &amp; "'!A" &amp; ROW(A5))=0), "", INDIRECT("'" &amp; Master!$F$8 &amp; Master!$F$6 &amp; "'!A" &amp; ROW(A5)))</f>
        <v>109.375</v>
      </c>
      <c r="B5" s="4">
        <f ca="1">SplineInterp(INDIRECT("A" &amp; ROW()),INDIRECT("'" &amp;Master!$F$10&amp; "'!$A$2:$A$50"),INDIRECT("'" &amp;Master!$F$10&amp; "'!$B$2:$B$50"))</f>
        <v>1.5518947463512134</v>
      </c>
      <c r="C5" s="4">
        <f ca="1">SplineInterp(A5,INDIRECT("'" &amp;Master!$F$10&amp; "'!$A$2:$A$50"),INDIRECT("'" &amp;Master!$F$10&amp; "'!$C$2:$C$50"))</f>
        <v>1.5518914098843488</v>
      </c>
      <c r="D5" s="4">
        <f ca="1">SplineInterp(A5,INDIRECT("'" &amp;Master!$F$10&amp; "'!$A$2:$A$50"),INDIRECT("'" &amp;Master!$F$10&amp; "'!$D$2:$D$50"))</f>
        <v>1.5418508127284056</v>
      </c>
      <c r="E5" s="4">
        <f ca="1">SplineInterp(A5,INDIRECT("'" &amp;Master!$F$10&amp; "'!$A$2:$A$50"),INDIRECT("'" &amp;Master!$F$10&amp; "'!$E$2:$E$50"))</f>
        <v>1.5311772938243065</v>
      </c>
      <c r="F5" s="4">
        <f ca="1">SplineInterp(A5,INDIRECT("'" &amp;Master!$F$10&amp; "'!$A$2:$A$50"),INDIRECT("'" &amp;Master!$F$10&amp; "'!$F$2:$F$50"))</f>
        <v>1.4910614725622282</v>
      </c>
      <c r="G5" s="4">
        <f ca="1">SplineInterp(A5,INDIRECT("'" &amp;Master!$F$10&amp; "'!$A$2:$A$50"),INDIRECT("'" &amp;Master!$F$10&amp; "'!$G$2:$G$50"))</f>
        <v>1.4105058968978534</v>
      </c>
      <c r="H5" s="4">
        <f ca="1">SplineInterp(A5,INDIRECT("'" &amp;Master!$F$10&amp; "'!$A$2:$A$50"),INDIRECT("'" &amp;Master!$F$10&amp; "'!$H$2:$H$50"))</f>
        <v>1.1698592766570095</v>
      </c>
      <c r="I5" s="4">
        <f ca="1">IF(OR(INDIRECT("'" &amp; Master!$F$8 &amp; Master!$F$6 &amp; "'!B" &amp; ROW(B5))="", INDIRECT("'" &amp; Master!$F$8 &amp; Master!$F$6 &amp; "'!B" &amp; ROW(B5))=0), "", INDIRECT("'" &amp; Master!$F$8 &amp; Master!$F$6 &amp; "'!B" &amp; ROW(B5)))</f>
        <v>2.0540292808120555E-2</v>
      </c>
      <c r="J5" s="9">
        <f t="shared" ca="1" si="0"/>
        <v>3.1876372497437903E-2</v>
      </c>
      <c r="K5" s="7">
        <f t="shared" ca="1" si="1"/>
        <v>3.1876303965431556E-2</v>
      </c>
      <c r="L5" s="7">
        <f t="shared" ca="1" si="2"/>
        <v>3.1670067159880105E-2</v>
      </c>
      <c r="M5" s="7">
        <f t="shared" ca="1" si="3"/>
        <v>3.1450829956296895E-2</v>
      </c>
      <c r="N5" s="7">
        <f t="shared" ca="1" si="4"/>
        <v>3.0626839241335579E-2</v>
      </c>
      <c r="O5" s="7">
        <f t="shared" ca="1" si="5"/>
        <v>2.8972204129862612E-2</v>
      </c>
      <c r="P5" s="7">
        <f t="shared" ca="1" si="6"/>
        <v>2.4029252086831088E-2</v>
      </c>
    </row>
    <row r="6" spans="1:16" x14ac:dyDescent="0.25">
      <c r="A6" s="19">
        <f ca="1">IF(OR(INDIRECT("'" &amp; Master!$F$8 &amp; Master!$F$6 &amp; "'!A" &amp; ROW(A6))="", INDIRECT("'" &amp; Master!$F$8 &amp; Master!$F$6 &amp; "'!A" &amp; ROW(A6))=0), "", INDIRECT("'" &amp; Master!$F$8 &amp; Master!$F$6 &amp; "'!A" &amp; ROW(A6)))</f>
        <v>140.65</v>
      </c>
      <c r="B6" s="4">
        <f ca="1">SplineInterp(INDIRECT("A" &amp; ROW()),INDIRECT("'" &amp;Master!$F$10&amp; "'!$A$2:$A$50"),INDIRECT("'" &amp;Master!$F$10&amp; "'!$B$2:$B$50"))</f>
        <v>1.4699616974051843</v>
      </c>
      <c r="C6" s="4">
        <f ca="1">SplineInterp(A6,INDIRECT("'" &amp;Master!$F$10&amp; "'!$A$2:$A$50"),INDIRECT("'" &amp;Master!$F$10&amp; "'!$C$2:$C$50"))</f>
        <v>1.4699790972839175</v>
      </c>
      <c r="D6" s="4">
        <f ca="1">SplineInterp(A6,INDIRECT("'" &amp;Master!$F$10&amp; "'!$A$2:$A$50"),INDIRECT("'" &amp;Master!$F$10&amp; "'!$D$2:$D$50"))</f>
        <v>1.4596684450250148</v>
      </c>
      <c r="E6" s="4">
        <f ca="1">SplineInterp(A6,INDIRECT("'" &amp;Master!$F$10&amp; "'!$A$2:$A$50"),INDIRECT("'" &amp;Master!$F$10&amp; "'!$E$2:$E$50"))</f>
        <v>1.4605571672690147</v>
      </c>
      <c r="F6" s="4">
        <f ca="1">SplineInterp(A6,INDIRECT("'" &amp;Master!$F$10&amp; "'!$A$2:$A$50"),INDIRECT("'" &amp;Master!$F$10&amp; "'!$F$2:$F$50"))</f>
        <v>1.4354974986043265</v>
      </c>
      <c r="G6" s="4">
        <f ca="1">SplineInterp(A6,INDIRECT("'" &amp;Master!$F$10&amp; "'!$A$2:$A$50"),INDIRECT("'" &amp;Master!$F$10&amp; "'!$G$2:$G$50"))</f>
        <v>1.3722269390162711</v>
      </c>
      <c r="H6" s="4">
        <f ca="1">SplineInterp(A6,INDIRECT("'" &amp;Master!$F$10&amp; "'!$A$2:$A$50"),INDIRECT("'" &amp;Master!$F$10&amp; "'!$H$2:$H$50"))</f>
        <v>1.1564110676377748</v>
      </c>
      <c r="I6" s="4">
        <f ca="1">IF(OR(INDIRECT("'" &amp; Master!$F$8 &amp; Master!$F$6 &amp; "'!B" &amp; ROW(B6))="", INDIRECT("'" &amp; Master!$F$8 &amp; Master!$F$6 &amp; "'!B" &amp; ROW(B6))=0), "", INDIRECT("'" &amp; Master!$F$8 &amp; Master!$F$6 &amp; "'!B" &amp; ROW(B6)))</f>
        <v>6.1234048203411065E-3</v>
      </c>
      <c r="J6" s="9">
        <f t="shared" ca="1" si="0"/>
        <v>9.0011705436077016E-3</v>
      </c>
      <c r="K6" s="7">
        <f t="shared" ca="1" si="1"/>
        <v>9.001277090109009E-3</v>
      </c>
      <c r="L6" s="7">
        <f t="shared" ca="1" si="2"/>
        <v>8.9381407923659825E-3</v>
      </c>
      <c r="M6" s="7">
        <f t="shared" ca="1" si="3"/>
        <v>8.9435827984388361E-3</v>
      </c>
      <c r="N6" s="7">
        <f t="shared" ca="1" si="4"/>
        <v>8.7901323025413331E-3</v>
      </c>
      <c r="O6" s="7">
        <f t="shared" ca="1" si="5"/>
        <v>8.4027010529741566E-3</v>
      </c>
      <c r="P6" s="7">
        <f t="shared" ca="1" si="6"/>
        <v>7.0811731058689556E-3</v>
      </c>
    </row>
    <row r="7" spans="1:16" x14ac:dyDescent="0.25">
      <c r="A7" s="19">
        <f ca="1">IF(OR(INDIRECT("'" &amp; Master!$F$8 &amp; Master!$F$6 &amp; "'!A" &amp; ROW(A7))="", INDIRECT("'" &amp; Master!$F$8 &amp; Master!$F$6 &amp; "'!A" &amp; ROW(A7))=0), "", INDIRECT("'" &amp; Master!$F$8 &amp; Master!$F$6 &amp; "'!A" &amp; ROW(A7)))</f>
        <v>171.9</v>
      </c>
      <c r="B7" s="4">
        <f ca="1">SplineInterp(INDIRECT("A" &amp; ROW()),INDIRECT("'" &amp;Master!$F$10&amp; "'!$A$2:$A$50"),INDIRECT("'" &amp;Master!$F$10&amp; "'!$B$2:$B$50"))</f>
        <v>1.4099147443248334</v>
      </c>
      <c r="C7" s="4">
        <f ca="1">SplineInterp(A7,INDIRECT("'" &amp;Master!$F$10&amp; "'!$A$2:$A$50"),INDIRECT("'" &amp;Master!$F$10&amp; "'!$C$2:$C$50"))</f>
        <v>1.409900892141126</v>
      </c>
      <c r="D7" s="4">
        <f ca="1">SplineInterp(A7,INDIRECT("'" &amp;Master!$F$10&amp; "'!$A$2:$A$50"),INDIRECT("'" &amp;Master!$F$10&amp; "'!$D$2:$D$50"))</f>
        <v>1.403517100386577</v>
      </c>
      <c r="E7" s="4">
        <f ca="1">SplineInterp(A7,INDIRECT("'" &amp;Master!$F$10&amp; "'!$A$2:$A$50"),INDIRECT("'" &amp;Master!$F$10&amp; "'!$E$2:$E$50"))</f>
        <v>1.402768166504994</v>
      </c>
      <c r="F7" s="4">
        <f ca="1">SplineInterp(A7,INDIRECT("'" &amp;Master!$F$10&amp; "'!$A$2:$A$50"),INDIRECT("'" &amp;Master!$F$10&amp; "'!$F$2:$F$50"))</f>
        <v>1.3896918204960949</v>
      </c>
      <c r="G7" s="4">
        <f ca="1">SplineInterp(A7,INDIRECT("'" &amp;Master!$F$10&amp; "'!$A$2:$A$50"),INDIRECT("'" &amp;Master!$F$10&amp; "'!$G$2:$G$50"))</f>
        <v>1.3384106433270453</v>
      </c>
      <c r="H7" s="4">
        <f ca="1">SplineInterp(A7,INDIRECT("'" &amp;Master!$F$10&amp; "'!$A$2:$A$50"),INDIRECT("'" &amp;Master!$F$10&amp; "'!$H$2:$H$50"))</f>
        <v>1.1419351219233072</v>
      </c>
      <c r="I7" s="4">
        <f ca="1">IF(OR(INDIRECT("'" &amp; Master!$F$8 &amp; Master!$F$6 &amp; "'!B" &amp; ROW(B7))="", INDIRECT("'" &amp; Master!$F$8 &amp; Master!$F$6 &amp; "'!B" &amp; ROW(B7))=0), "", INDIRECT("'" &amp; Master!$F$8 &amp; Master!$F$6 &amp; "'!B" &amp; ROW(B7)))</f>
        <v>8.5085707151157063E-3</v>
      </c>
      <c r="J7" s="9">
        <f t="shared" ca="1" si="0"/>
        <v>1.1996359304372126E-2</v>
      </c>
      <c r="K7" s="7">
        <f t="shared" ca="1" si="1"/>
        <v>1.1996241442087493E-2</v>
      </c>
      <c r="L7" s="7">
        <f t="shared" ca="1" si="2"/>
        <v>1.194192449851334E-2</v>
      </c>
      <c r="M7" s="7">
        <f t="shared" ca="1" si="3"/>
        <v>1.1935552141620944E-2</v>
      </c>
      <c r="N7" s="7">
        <f t="shared" ca="1" si="4"/>
        <v>1.1824291126908906E-2</v>
      </c>
      <c r="O7" s="7">
        <f t="shared" ca="1" si="5"/>
        <v>1.138796160461167E-2</v>
      </c>
      <c r="P7" s="7">
        <f t="shared" ca="1" si="6"/>
        <v>9.7162357369587355E-3</v>
      </c>
    </row>
    <row r="8" spans="1:16" x14ac:dyDescent="0.25">
      <c r="A8" s="19">
        <f ca="1">IF(OR(INDIRECT("'" &amp; Master!$F$8 &amp; Master!$F$6 &amp; "'!A" &amp; ROW(A8))="", INDIRECT("'" &amp; Master!$F$8 &amp; Master!$F$6 &amp; "'!A" &amp; ROW(A8))=0), "", INDIRECT("'" &amp; Master!$F$8 &amp; Master!$F$6 &amp; "'!A" &amp; ROW(A8)))</f>
        <v>203.15</v>
      </c>
      <c r="B8" s="4">
        <f ca="1">SplineInterp(INDIRECT("A" &amp; ROW()),INDIRECT("'" &amp;Master!$F$10&amp; "'!$A$2:$A$50"),INDIRECT("'" &amp;Master!$F$10&amp; "'!$B$2:$B$50"))</f>
        <v>1.3661994807984403</v>
      </c>
      <c r="C8" s="4">
        <f ca="1">SplineInterp(A8,INDIRECT("'" &amp;Master!$F$10&amp; "'!$A$2:$A$50"),INDIRECT("'" &amp;Master!$F$10&amp; "'!$C$2:$C$50"))</f>
        <v>1.3662011181289881</v>
      </c>
      <c r="D8" s="4">
        <f ca="1">SplineInterp(A8,INDIRECT("'" &amp;Master!$F$10&amp; "'!$A$2:$A$50"),INDIRECT("'" &amp;Master!$F$10&amp; "'!$D$2:$D$50"))</f>
        <v>1.366743170836068</v>
      </c>
      <c r="E8" s="4">
        <f ca="1">SplineInterp(A8,INDIRECT("'" &amp;Master!$F$10&amp; "'!$A$2:$A$50"),INDIRECT("'" &amp;Master!$F$10&amp; "'!$E$2:$E$50"))</f>
        <v>1.3668046862832401</v>
      </c>
      <c r="F8" s="4">
        <f ca="1">SplineInterp(A8,INDIRECT("'" &amp;Master!$F$10&amp; "'!$A$2:$A$50"),INDIRECT("'" &amp;Master!$F$10&amp; "'!$F$2:$F$50"))</f>
        <v>1.3570770873810905</v>
      </c>
      <c r="G8" s="4">
        <f ca="1">SplineInterp(A8,INDIRECT("'" &amp;Master!$F$10&amp; "'!$A$2:$A$50"),INDIRECT("'" &amp;Master!$F$10&amp; "'!$G$2:$G$50"))</f>
        <v>1.3181740600845313</v>
      </c>
      <c r="H8" s="4">
        <f ca="1">SplineInterp(A8,INDIRECT("'" &amp;Master!$F$10&amp; "'!$A$2:$A$50"),INDIRECT("'" &amp;Master!$F$10&amp; "'!$H$2:$H$50"))</f>
        <v>1.1398917868194864</v>
      </c>
      <c r="I8" s="4">
        <f ca="1">IF(OR(INDIRECT("'" &amp; Master!$F$8 &amp; Master!$F$6 &amp; "'!B" &amp; ROW(B8))="", INDIRECT("'" &amp; Master!$F$8 &amp; Master!$F$6 &amp; "'!B" &amp; ROW(B8))=0), "", INDIRECT("'" &amp; Master!$F$8 &amp; Master!$F$6 &amp; "'!B" &amp; ROW(B8)))</f>
        <v>1.2836617492625898E-2</v>
      </c>
      <c r="J8" s="9">
        <f t="shared" ca="1" si="0"/>
        <v>1.753738015363368E-2</v>
      </c>
      <c r="K8" s="7">
        <f t="shared" ca="1" si="1"/>
        <v>1.753740117141963E-2</v>
      </c>
      <c r="L8" s="7">
        <f t="shared" ca="1" si="2"/>
        <v>1.7544359294681258E-2</v>
      </c>
      <c r="M8" s="7">
        <f t="shared" ca="1" si="3"/>
        <v>1.7545148944946493E-2</v>
      </c>
      <c r="N8" s="7">
        <f t="shared" ca="1" si="4"/>
        <v>1.7420279478717909E-2</v>
      </c>
      <c r="O8" s="7">
        <f t="shared" ca="1" si="5"/>
        <v>1.6920896198006796E-2</v>
      </c>
      <c r="P8" s="7">
        <f t="shared" ca="1" si="6"/>
        <v>1.4632354850387611E-2</v>
      </c>
    </row>
    <row r="9" spans="1:16" x14ac:dyDescent="0.25">
      <c r="A9" s="19">
        <f ca="1">IF(OR(INDIRECT("'" &amp; Master!$F$8 &amp; Master!$F$6 &amp; "'!A" &amp; ROW(A9))="", INDIRECT("'" &amp; Master!$F$8 &amp; Master!$F$6 &amp; "'!A" &amp; ROW(A9))=0), "", INDIRECT("'" &amp; Master!$F$8 &amp; Master!$F$6 &amp; "'!A" &amp; ROW(A9)))</f>
        <v>234.4</v>
      </c>
      <c r="B9" s="4">
        <f ca="1">SplineInterp(INDIRECT("A" &amp; ROW()),INDIRECT("'" &amp;Master!$F$10&amp; "'!$A$2:$A$50"),INDIRECT("'" &amp;Master!$F$10&amp; "'!$B$2:$B$50"))</f>
        <v>1.3343829671292118</v>
      </c>
      <c r="C9" s="4">
        <f ca="1">SplineInterp(A9,INDIRECT("'" &amp;Master!$F$10&amp; "'!$A$2:$A$50"),INDIRECT("'" &amp;Master!$F$10&amp; "'!$C$2:$C$50"))</f>
        <v>1.3343922423299779</v>
      </c>
      <c r="D9" s="4">
        <f ca="1">SplineInterp(A9,INDIRECT("'" &amp;Master!$F$10&amp; "'!$A$2:$A$50"),INDIRECT("'" &amp;Master!$F$10&amp; "'!$D$2:$D$50"))</f>
        <v>1.3374242463856842</v>
      </c>
      <c r="E9" s="4">
        <f ca="1">SplineInterp(A9,INDIRECT("'" &amp;Master!$F$10&amp; "'!$A$2:$A$50"),INDIRECT("'" &amp;Master!$F$10&amp; "'!$E$2:$E$50"))</f>
        <v>1.3373865786547412</v>
      </c>
      <c r="F9" s="4">
        <f ca="1">SplineInterp(A9,INDIRECT("'" &amp;Master!$F$10&amp; "'!$A$2:$A$50"),INDIRECT("'" &amp;Master!$F$10&amp; "'!$F$2:$F$50"))</f>
        <v>1.3310259554960751</v>
      </c>
      <c r="G9" s="4">
        <f ca="1">SplineInterp(A9,INDIRECT("'" &amp;Master!$F$10&amp; "'!$A$2:$A$50"),INDIRECT("'" &amp;Master!$F$10&amp; "'!$G$2:$G$50"))</f>
        <v>1.3006603770855496</v>
      </c>
      <c r="H9" s="4">
        <f ca="1">SplineInterp(A9,INDIRECT("'" &amp;Master!$F$10&amp; "'!$A$2:$A$50"),INDIRECT("'" &amp;Master!$F$10&amp; "'!$H$2:$H$50"))</f>
        <v>1.1377095503429278</v>
      </c>
      <c r="I9" s="4">
        <f ca="1">IF(OR(INDIRECT("'" &amp; Master!$F$8 &amp; Master!$F$6 &amp; "'!B" &amp; ROW(B9))="", INDIRECT("'" &amp; Master!$F$8 &amp; Master!$F$6 &amp; "'!B" &amp; ROW(B9))=0), "", INDIRECT("'" &amp; Master!$F$8 &amp; Master!$F$6 &amp; "'!B" &amp; ROW(B9)))</f>
        <v>1.6104404621346637E-2</v>
      </c>
      <c r="J9" s="9">
        <f t="shared" ca="1" si="0"/>
        <v>2.1489443222481915E-2</v>
      </c>
      <c r="K9" s="7">
        <f t="shared" ca="1" si="1"/>
        <v>2.1489592594067998E-2</v>
      </c>
      <c r="L9" s="7">
        <f t="shared" ca="1" si="2"/>
        <v>2.1538421214194657E-2</v>
      </c>
      <c r="M9" s="7">
        <f t="shared" ca="1" si="3"/>
        <v>2.153781459781438E-2</v>
      </c>
      <c r="N9" s="7">
        <f t="shared" ca="1" si="4"/>
        <v>2.1435380548823314E-2</v>
      </c>
      <c r="O9" s="7">
        <f t="shared" ca="1" si="5"/>
        <v>2.0946360987538985E-2</v>
      </c>
      <c r="P9" s="7">
        <f t="shared" ca="1" si="6"/>
        <v>1.8322134940292851E-2</v>
      </c>
    </row>
    <row r="10" spans="1:16" x14ac:dyDescent="0.25">
      <c r="A10" s="19">
        <f ca="1">IF(OR(INDIRECT("'" &amp; Master!$F$8 &amp; Master!$F$6 &amp; "'!A" &amp; ROW(A10))="", INDIRECT("'" &amp; Master!$F$8 &amp; Master!$F$6 &amp; "'!A" &amp; ROW(A10))=0), "", INDIRECT("'" &amp; Master!$F$8 &amp; Master!$F$6 &amp; "'!A" &amp; ROW(A10)))</f>
        <v>265.64999999999998</v>
      </c>
      <c r="B10" s="4">
        <f ca="1">SplineInterp(INDIRECT("A" &amp; ROW()),INDIRECT("'" &amp;Master!$F$10&amp; "'!$A$2:$A$50"),INDIRECT("'" &amp;Master!$F$10&amp; "'!$B$2:$B$50"))</f>
        <v>1.3107625125355205</v>
      </c>
      <c r="C10" s="4">
        <f ca="1">SplineInterp(A10,INDIRECT("'" &amp;Master!$F$10&amp; "'!$A$2:$A$50"),INDIRECT("'" &amp;Master!$F$10&amp; "'!$C$2:$C$50"))</f>
        <v>1.3107689472425454</v>
      </c>
      <c r="D10" s="4">
        <f ca="1">SplineInterp(A10,INDIRECT("'" &amp;Master!$F$10&amp; "'!$A$2:$A$50"),INDIRECT("'" &amp;Master!$F$10&amp; "'!$D$2:$D$50"))</f>
        <v>1.3128220014149381</v>
      </c>
      <c r="E10" s="4">
        <f ca="1">SplineInterp(A10,INDIRECT("'" &amp;Master!$F$10&amp; "'!$A$2:$A$50"),INDIRECT("'" &amp;Master!$F$10&amp; "'!$E$2:$E$50"))</f>
        <v>1.312292007096665</v>
      </c>
      <c r="F10" s="4">
        <f ca="1">SplineInterp(A10,INDIRECT("'" &amp;Master!$F$10&amp; "'!$A$2:$A$50"),INDIRECT("'" &amp;Master!$F$10&amp; "'!$F$2:$F$50"))</f>
        <v>1.3095703680336597</v>
      </c>
      <c r="G10" s="4">
        <f ca="1">SplineInterp(A10,INDIRECT("'" &amp;Master!$F$10&amp; "'!$A$2:$A$50"),INDIRECT("'" &amp;Master!$F$10&amp; "'!$G$2:$G$50"))</f>
        <v>1.284753619428197</v>
      </c>
      <c r="H10" s="4">
        <f ca="1">SplineInterp(A10,INDIRECT("'" &amp;Master!$F$10&amp; "'!$A$2:$A$50"),INDIRECT("'" &amp;Master!$F$10&amp; "'!$H$2:$H$50"))</f>
        <v>1.1342039781539108</v>
      </c>
      <c r="I10" s="4">
        <f ca="1">IF(OR(INDIRECT("'" &amp; Master!$F$8 &amp; Master!$F$6 &amp; "'!B" &amp; ROW(B10))="", INDIRECT("'" &amp; Master!$F$8 &amp; Master!$F$6 &amp; "'!B" &amp; ROW(B10))=0), "", INDIRECT("'" &amp; Master!$F$8 &amp; Master!$F$6 &amp; "'!B" &amp; ROW(B10)))</f>
        <v>2.2468907182878535E-2</v>
      </c>
      <c r="J10" s="9">
        <f t="shared" ca="1" si="0"/>
        <v>2.945140123295727E-2</v>
      </c>
      <c r="K10" s="7">
        <f t="shared" ca="1" si="1"/>
        <v>2.9451545813792165E-2</v>
      </c>
      <c r="L10" s="7">
        <f t="shared" ca="1" si="2"/>
        <v>2.9497675697433078E-2</v>
      </c>
      <c r="M10" s="7">
        <f t="shared" ca="1" si="3"/>
        <v>2.9485767304288348E-2</v>
      </c>
      <c r="N10" s="7">
        <f t="shared" ca="1" si="4"/>
        <v>2.9424615048796381E-2</v>
      </c>
      <c r="O10" s="7">
        <f t="shared" ca="1" si="5"/>
        <v>2.8867009827799411E-2</v>
      </c>
      <c r="P10" s="7">
        <f t="shared" ca="1" si="6"/>
        <v>2.5484323911591816E-2</v>
      </c>
    </row>
    <row r="11" spans="1:16" x14ac:dyDescent="0.25">
      <c r="A11" s="19">
        <f ca="1">IF(OR(INDIRECT("'" &amp; Master!$F$8 &amp; Master!$F$6 &amp; "'!A" &amp; ROW(A11))="", INDIRECT("'" &amp; Master!$F$8 &amp; Master!$F$6 &amp; "'!A" &amp; ROW(A11))=0), "", INDIRECT("'" &amp; Master!$F$8 &amp; Master!$F$6 &amp; "'!A" &amp; ROW(A11)))</f>
        <v>296.89999999999998</v>
      </c>
      <c r="B11" s="4">
        <f ca="1">SplineInterp(INDIRECT("A" &amp; ROW()),INDIRECT("'" &amp;Master!$F$10&amp; "'!$A$2:$A$50"),INDIRECT("'" &amp;Master!$F$10&amp; "'!$B$2:$B$50"))</f>
        <v>1.2917682069376029</v>
      </c>
      <c r="C11" s="4">
        <f ca="1">SplineInterp(A11,INDIRECT("'" &amp;Master!$F$10&amp; "'!$A$2:$A$50"),INDIRECT("'" &amp;Master!$F$10&amp; "'!$C$2:$C$50"))</f>
        <v>1.2917686865640816</v>
      </c>
      <c r="D11" s="4">
        <f ca="1">SplineInterp(A11,INDIRECT("'" &amp;Master!$F$10&amp; "'!$A$2:$A$50"),INDIRECT("'" &amp;Master!$F$10&amp; "'!$D$2:$D$50"))</f>
        <v>1.2919120434176814</v>
      </c>
      <c r="E11" s="4">
        <f ca="1">SplineInterp(A11,INDIRECT("'" &amp;Master!$F$10&amp; "'!$A$2:$A$50"),INDIRECT("'" &amp;Master!$F$10&amp; "'!$E$2:$E$50"))</f>
        <v>1.2917758605985281</v>
      </c>
      <c r="F11" s="4">
        <f ca="1">SplineInterp(A11,INDIRECT("'" &amp;Master!$F$10&amp; "'!$A$2:$A$50"),INDIRECT("'" &amp;Master!$F$10&amp; "'!$F$2:$F$50"))</f>
        <v>1.2916293687896307</v>
      </c>
      <c r="G11" s="4">
        <f ca="1">SplineInterp(A11,INDIRECT("'" &amp;Master!$F$10&amp; "'!$A$2:$A$50"),INDIRECT("'" &amp;Master!$F$10&amp; "'!$G$2:$G$50"))</f>
        <v>1.2711897282516433</v>
      </c>
      <c r="H11" s="4">
        <f ca="1">SplineInterp(A11,INDIRECT("'" &amp;Master!$F$10&amp; "'!$A$2:$A$50"),INDIRECT("'" &amp;Master!$F$10&amp; "'!$H$2:$H$50"))</f>
        <v>1.1303618440555541</v>
      </c>
      <c r="I11" s="4">
        <f ca="1">IF(OR(INDIRECT("'" &amp; Master!$F$8 &amp; Master!$F$6 &amp; "'!B" &amp; ROW(B11))="", INDIRECT("'" &amp; Master!$F$8 &amp; Master!$F$6 &amp; "'!B" &amp; ROW(B11))=0), "", INDIRECT("'" &amp; Master!$F$8 &amp; Master!$F$6 &amp; "'!B" &amp; ROW(B11)))</f>
        <v>2.592468958279211E-2</v>
      </c>
      <c r="J11" s="9">
        <f t="shared" ca="1" si="0"/>
        <v>3.3488689777777317E-2</v>
      </c>
      <c r="K11" s="7">
        <f t="shared" ca="1" si="1"/>
        <v>3.3488702211944894E-2</v>
      </c>
      <c r="L11" s="7">
        <f t="shared" ca="1" si="2"/>
        <v>3.3492418693874031E-2</v>
      </c>
      <c r="M11" s="7">
        <f t="shared" ca="1" si="3"/>
        <v>3.3488888196560977E-2</v>
      </c>
      <c r="N11" s="7">
        <f t="shared" ca="1" si="4"/>
        <v>3.3485090441888889E-2</v>
      </c>
      <c r="O11" s="7">
        <f t="shared" ca="1" si="5"/>
        <v>3.2955199105757713E-2</v>
      </c>
      <c r="P11" s="7">
        <f t="shared" ca="1" si="6"/>
        <v>2.9304279923372704E-2</v>
      </c>
    </row>
    <row r="12" spans="1:16" x14ac:dyDescent="0.25">
      <c r="A12" s="19">
        <f ca="1">IF(OR(INDIRECT("'" &amp; Master!$F$8 &amp; Master!$F$6 &amp; "'!A" &amp; ROW(A12))="", INDIRECT("'" &amp; Master!$F$8 &amp; Master!$F$6 &amp; "'!A" &amp; ROW(A12))=0), "", INDIRECT("'" &amp; Master!$F$8 &amp; Master!$F$6 &amp; "'!A" &amp; ROW(A12)))</f>
        <v>328.15</v>
      </c>
      <c r="B12" s="4">
        <f ca="1">SplineInterp(INDIRECT("A" &amp; ROW()),INDIRECT("'" &amp;Master!$F$10&amp; "'!$A$2:$A$50"),INDIRECT("'" &amp;Master!$F$10&amp; "'!$B$2:$B$50"))</f>
        <v>1.2743389661194555</v>
      </c>
      <c r="C12" s="4">
        <f ca="1">SplineInterp(A12,INDIRECT("'" &amp;Master!$F$10&amp; "'!$A$2:$A$50"),INDIRECT("'" &amp;Master!$F$10&amp; "'!$C$2:$C$50"))</f>
        <v>1.274336602395217</v>
      </c>
      <c r="D12" s="4">
        <f ca="1">SplineInterp(A12,INDIRECT("'" &amp;Master!$F$10&amp; "'!$A$2:$A$50"),INDIRECT("'" &amp;Master!$F$10&amp; "'!$D$2:$D$50"))</f>
        <v>1.2737529908288237</v>
      </c>
      <c r="E12" s="4">
        <f ca="1">SplineInterp(A12,INDIRECT("'" &amp;Master!$F$10&amp; "'!$A$2:$A$50"),INDIRECT("'" &amp;Master!$F$10&amp; "'!$E$2:$E$50"))</f>
        <v>1.2758754920683451</v>
      </c>
      <c r="F12" s="4">
        <f ca="1">SplineInterp(A12,INDIRECT("'" &amp;Master!$F$10&amp; "'!$A$2:$A$50"),INDIRECT("'" &amp;Master!$F$10&amp; "'!$F$2:$F$50"))</f>
        <v>1.2762598045517222</v>
      </c>
      <c r="G12" s="4">
        <f ca="1">SplineInterp(A12,INDIRECT("'" &amp;Master!$F$10&amp; "'!$A$2:$A$50"),INDIRECT("'" &amp;Master!$F$10&amp; "'!$G$2:$G$50"))</f>
        <v>1.260430839738961</v>
      </c>
      <c r="H12" s="4">
        <f ca="1">SplineInterp(A12,INDIRECT("'" &amp;Master!$F$10&amp; "'!$A$2:$A$50"),INDIRECT("'" &amp;Master!$F$10&amp; "'!$H$2:$H$50"))</f>
        <v>1.1269990404779919</v>
      </c>
      <c r="I12" s="4">
        <f ca="1">IF(OR(INDIRECT("'" &amp; Master!$F$8 &amp; Master!$F$6 &amp; "'!B" &amp; ROW(B12))="", INDIRECT("'" &amp; Master!$F$8 &amp; Master!$F$6 &amp; "'!B" &amp; ROW(B12))=0), "", INDIRECT("'" &amp; Master!$F$8 &amp; Master!$F$6 &amp; "'!B" &amp; ROW(B12)))</f>
        <v>2.9962324963615887E-2</v>
      </c>
      <c r="J12" s="9">
        <f t="shared" ca="1" si="0"/>
        <v>3.8182158216669419E-2</v>
      </c>
      <c r="K12" s="7">
        <f t="shared" ca="1" si="1"/>
        <v>3.8182087393995659E-2</v>
      </c>
      <c r="L12" s="7">
        <f t="shared" ca="1" si="2"/>
        <v>3.8164601034590857E-2</v>
      </c>
      <c r="M12" s="7">
        <f t="shared" ca="1" si="3"/>
        <v>3.8228196106465079E-2</v>
      </c>
      <c r="N12" s="7">
        <f t="shared" ca="1" si="4"/>
        <v>3.82397110019796E-2</v>
      </c>
      <c r="O12" s="7">
        <f t="shared" ca="1" si="5"/>
        <v>3.7765438414422009E-2</v>
      </c>
      <c r="P12" s="7">
        <f t="shared" ca="1" si="6"/>
        <v>3.376751148448489E-2</v>
      </c>
    </row>
    <row r="13" spans="1:16" x14ac:dyDescent="0.25">
      <c r="A13" s="19">
        <f ca="1">IF(OR(INDIRECT("'" &amp; Master!$F$8 &amp; Master!$F$6 &amp; "'!A" &amp; ROW(A13))="", INDIRECT("'" &amp; Master!$F$8 &amp; Master!$F$6 &amp; "'!A" &amp; ROW(A13))=0), "", INDIRECT("'" &amp; Master!$F$8 &amp; Master!$F$6 &amp; "'!A" &amp; ROW(A13)))</f>
        <v>359.4</v>
      </c>
      <c r="B13" s="4">
        <f ca="1">SplineInterp(INDIRECT("A" &amp; ROW()),INDIRECT("'" &amp;Master!$F$10&amp; "'!$A$2:$A$50"),INDIRECT("'" &amp;Master!$F$10&amp; "'!$B$2:$B$50"))</f>
        <v>1.2581591224922022</v>
      </c>
      <c r="C13" s="4">
        <f ca="1">SplineInterp(A13,INDIRECT("'" &amp;Master!$F$10&amp; "'!$A$2:$A$50"),INDIRECT("'" &amp;Master!$F$10&amp; "'!$C$2:$C$50"))</f>
        <v>1.2581571161911247</v>
      </c>
      <c r="D13" s="4">
        <f ca="1">SplineInterp(A13,INDIRECT("'" &amp;Master!$F$10&amp; "'!$A$2:$A$50"),INDIRECT("'" &amp;Master!$F$10&amp; "'!$D$2:$D$50"))</f>
        <v>1.257851355231095</v>
      </c>
      <c r="E13" s="4">
        <f ca="1">SplineInterp(A13,INDIRECT("'" &amp;Master!$F$10&amp; "'!$A$2:$A$50"),INDIRECT("'" &amp;Master!$F$10&amp; "'!$E$2:$E$50"))</f>
        <v>1.263454518529832</v>
      </c>
      <c r="F13" s="4">
        <f ca="1">SplineInterp(A13,INDIRECT("'" &amp;Master!$F$10&amp; "'!$A$2:$A$50"),INDIRECT("'" &amp;Master!$F$10&amp; "'!$F$2:$F$50"))</f>
        <v>1.2632620507926384</v>
      </c>
      <c r="G13" s="4">
        <f ca="1">SplineInterp(A13,INDIRECT("'" &amp;Master!$F$10&amp; "'!$A$2:$A$50"),INDIRECT("'" &amp;Master!$F$10&amp; "'!$G$2:$G$50"))</f>
        <v>1.251461750313988</v>
      </c>
      <c r="H13" s="4">
        <f ca="1">SplineInterp(A13,INDIRECT("'" &amp;Master!$F$10&amp; "'!$A$2:$A$50"),INDIRECT("'" &amp;Master!$F$10&amp; "'!$H$2:$H$50"))</f>
        <v>1.124009453726929</v>
      </c>
      <c r="I13" s="4">
        <f ca="1">IF(OR(INDIRECT("'" &amp; Master!$F$8 &amp; Master!$F$6 &amp; "'!B" &amp; ROW(B13))="", INDIRECT("'" &amp; Master!$F$8 &amp; Master!$F$6 &amp; "'!B" &amp; ROW(B13))=0), "", INDIRECT("'" &amp; Master!$F$8 &amp; Master!$F$6 &amp; "'!B" &amp; ROW(B13)))</f>
        <v>3.338883500730494E-2</v>
      </c>
      <c r="J13" s="9">
        <f t="shared" ca="1" si="0"/>
        <v>4.2008467353827704E-2</v>
      </c>
      <c r="K13" s="7">
        <f t="shared" ca="1" si="1"/>
        <v>4.2008400365772053E-2</v>
      </c>
      <c r="L13" s="7">
        <f t="shared" ca="1" si="2"/>
        <v>4.199819136352595E-2</v>
      </c>
      <c r="M13" s="7">
        <f t="shared" ca="1" si="3"/>
        <v>4.2185274458426465E-2</v>
      </c>
      <c r="N13" s="7">
        <f t="shared" ca="1" si="4"/>
        <v>4.2178848184905075E-2</v>
      </c>
      <c r="O13" s="7">
        <f t="shared" ca="1" si="5"/>
        <v>4.1784849899186793E-2</v>
      </c>
      <c r="P13" s="7">
        <f t="shared" ca="1" si="6"/>
        <v>3.752936619713939E-2</v>
      </c>
    </row>
    <row r="14" spans="1:16" x14ac:dyDescent="0.25">
      <c r="A14" s="19">
        <f ca="1">IF(OR(INDIRECT("'" &amp; Master!$F$8 &amp; Master!$F$6 &amp; "'!A" &amp; ROW(A14))="", INDIRECT("'" &amp; Master!$F$8 &amp; Master!$F$6 &amp; "'!A" &amp; ROW(A14))=0), "", INDIRECT("'" &amp; Master!$F$8 &amp; Master!$F$6 &amp; "'!A" &amp; ROW(A14)))</f>
        <v>390.65</v>
      </c>
      <c r="B14" s="4">
        <f ca="1">SplineInterp(INDIRECT("A" &amp; ROW()),INDIRECT("'" &amp;Master!$F$10&amp; "'!$A$2:$A$50"),INDIRECT("'" &amp;Master!$F$10&amp; "'!$B$2:$B$50"))</f>
        <v>1.2438348057995798</v>
      </c>
      <c r="C14" s="4">
        <f ca="1">SplineInterp(A14,INDIRECT("'" &amp;Master!$F$10&amp; "'!$A$2:$A$50"),INDIRECT("'" &amp;Master!$F$10&amp; "'!$C$2:$C$50"))</f>
        <v>1.2438343860973413</v>
      </c>
      <c r="D14" s="4">
        <f ca="1">SplineInterp(A14,INDIRECT("'" &amp;Master!$F$10&amp; "'!$A$2:$A$50"),INDIRECT("'" &amp;Master!$F$10&amp; "'!$D$2:$D$50"))</f>
        <v>1.2438640321980841</v>
      </c>
      <c r="E14" s="4">
        <f ca="1">SplineInterp(A14,INDIRECT("'" &amp;Master!$F$10&amp; "'!$A$2:$A$50"),INDIRECT("'" &amp;Master!$F$10&amp; "'!$E$2:$E$50"))</f>
        <v>1.2529824650511707</v>
      </c>
      <c r="F14" s="4">
        <f ca="1">SplineInterp(A14,INDIRECT("'" &amp;Master!$F$10&amp; "'!$A$2:$A$50"),INDIRECT("'" &amp;Master!$F$10&amp; "'!$F$2:$F$50"))</f>
        <v>1.2526861291596401</v>
      </c>
      <c r="G14" s="4">
        <f ca="1">SplineInterp(A14,INDIRECT("'" &amp;Master!$F$10&amp; "'!$A$2:$A$50"),INDIRECT("'" &amp;Master!$F$10&amp; "'!$G$2:$G$50"))</f>
        <v>1.2427712268231301</v>
      </c>
      <c r="H14" s="4">
        <f ca="1">SplineInterp(A14,INDIRECT("'" &amp;Master!$F$10&amp; "'!$A$2:$A$50"),INDIRECT("'" &amp;Master!$F$10&amp; "'!$H$2:$H$50"))</f>
        <v>1.1209773985924909</v>
      </c>
      <c r="I14" s="4">
        <f ca="1">IF(OR(INDIRECT("'" &amp; Master!$F$8 &amp; Master!$F$6 &amp; "'!B" &amp; ROW(B14))="", INDIRECT("'" &amp; Master!$F$8 &amp; Master!$F$6 &amp; "'!B" &amp; ROW(B14))=0), "", INDIRECT("'" &amp; Master!$F$8 &amp; Master!$F$6 &amp; "'!B" &amp; ROW(B14)))</f>
        <v>3.8295578317280234E-2</v>
      </c>
      <c r="J14" s="9">
        <f t="shared" ca="1" si="0"/>
        <v>4.7633373219256862E-2</v>
      </c>
      <c r="K14" s="7">
        <f t="shared" ca="1" si="1"/>
        <v>4.7633357146516918E-2</v>
      </c>
      <c r="L14" s="7">
        <f t="shared" ca="1" si="2"/>
        <v>4.7634492461089709E-2</v>
      </c>
      <c r="M14" s="7">
        <f t="shared" ca="1" si="3"/>
        <v>4.7983688120545952E-2</v>
      </c>
      <c r="N14" s="7">
        <f t="shared" ca="1" si="4"/>
        <v>4.7972339766203617E-2</v>
      </c>
      <c r="O14" s="7">
        <f t="shared" ca="1" si="5"/>
        <v>4.7592642847267615E-2</v>
      </c>
      <c r="P14" s="7">
        <f t="shared" ca="1" si="6"/>
        <v>4.2928477759699796E-2</v>
      </c>
    </row>
    <row r="15" spans="1:16" x14ac:dyDescent="0.25">
      <c r="A15" s="19">
        <f ca="1">IF(OR(INDIRECT("'" &amp; Master!$F$8 &amp; Master!$F$6 &amp; "'!A" &amp; ROW(A15))="", INDIRECT("'" &amp; Master!$F$8 &amp; Master!$F$6 &amp; "'!A" &amp; ROW(A15))=0), "", INDIRECT("'" &amp; Master!$F$8 &amp; Master!$F$6 &amp; "'!A" &amp; ROW(A15)))</f>
        <v>421.9</v>
      </c>
      <c r="B15" s="4">
        <f ca="1">SplineInterp(INDIRECT("A" &amp; ROW()),INDIRECT("'" &amp;Master!$F$10&amp; "'!$A$2:$A$50"),INDIRECT("'" &amp;Master!$F$10&amp; "'!$B$2:$B$50"))</f>
        <v>1.231898529428479</v>
      </c>
      <c r="C15" s="4">
        <f ca="1">SplineInterp(A15,INDIRECT("'" &amp;Master!$F$10&amp; "'!$A$2:$A$50"),INDIRECT("'" &amp;Master!$F$10&amp; "'!$C$2:$C$50"))</f>
        <v>1.2318990958944729</v>
      </c>
      <c r="D15" s="4">
        <f ca="1">SplineInterp(A15,INDIRECT("'" &amp;Master!$F$10&amp; "'!$A$2:$A$50"),INDIRECT("'" &amp;Master!$F$10&amp; "'!$D$2:$D$50"))</f>
        <v>1.231500131203074</v>
      </c>
      <c r="E15" s="4">
        <f ca="1">SplineInterp(A15,INDIRECT("'" &amp;Master!$F$10&amp; "'!$A$2:$A$50"),INDIRECT("'" &amp;Master!$F$10&amp; "'!$E$2:$E$50"))</f>
        <v>1.2430378868957248</v>
      </c>
      <c r="F15" s="4">
        <f ca="1">SplineInterp(A15,INDIRECT("'" &amp;Master!$F$10&amp; "'!$A$2:$A$50"),INDIRECT("'" &amp;Master!$F$10&amp; "'!$F$2:$F$50"))</f>
        <v>1.2445248178047548</v>
      </c>
      <c r="G15" s="4">
        <f ca="1">SplineInterp(A15,INDIRECT("'" &amp;Master!$F$10&amp; "'!$A$2:$A$50"),INDIRECT("'" &amp;Master!$F$10&amp; "'!$G$2:$G$50"))</f>
        <v>1.2330289339414062</v>
      </c>
      <c r="H15" s="4">
        <f ca="1">SplineInterp(A15,INDIRECT("'" &amp;Master!$F$10&amp; "'!$A$2:$A$50"),INDIRECT("'" &amp;Master!$F$10&amp; "'!$H$2:$H$50"))</f>
        <v>1.1175496474335469</v>
      </c>
      <c r="I15" s="4">
        <f ca="1">IF(OR(INDIRECT("'" &amp; Master!$F$8 &amp; Master!$F$6 &amp; "'!B" &amp; ROW(B15))="", INDIRECT("'" &amp; Master!$F$8 &amp; Master!$F$6 &amp; "'!B" &amp; ROW(B15))=0), "", INDIRECT("'" &amp; Master!$F$8 &amp; Master!$F$6 &amp; "'!B" &amp; ROW(B15)))</f>
        <v>3.7282820195275963E-2</v>
      </c>
      <c r="J15" s="9">
        <f t="shared" ca="1" si="0"/>
        <v>4.5928651371506854E-2</v>
      </c>
      <c r="K15" s="7">
        <f t="shared" ca="1" si="1"/>
        <v>4.5928672490956654E-2</v>
      </c>
      <c r="L15" s="7">
        <f t="shared" ca="1" si="2"/>
        <v>4.5913797962102966E-2</v>
      </c>
      <c r="M15" s="7">
        <f t="shared" ca="1" si="3"/>
        <v>4.6343958033049089E-2</v>
      </c>
      <c r="N15" s="7">
        <f t="shared" ca="1" si="4"/>
        <v>4.6399395010773246E-2</v>
      </c>
      <c r="O15" s="7">
        <f t="shared" ca="1" si="5"/>
        <v>4.597079603971025E-2</v>
      </c>
      <c r="P15" s="7">
        <f t="shared" ca="1" si="6"/>
        <v>4.1665402564558973E-2</v>
      </c>
    </row>
    <row r="16" spans="1:16" x14ac:dyDescent="0.25">
      <c r="A16" s="19">
        <f ca="1">IF(OR(INDIRECT("'" &amp; Master!$F$8 &amp; Master!$F$6 &amp; "'!A" &amp; ROW(A16))="", INDIRECT("'" &amp; Master!$F$8 &amp; Master!$F$6 &amp; "'!A" &amp; ROW(A16))=0), "", INDIRECT("'" &amp; Master!$F$8 &amp; Master!$F$6 &amp; "'!A" &amp; ROW(A16)))</f>
        <v>453.15</v>
      </c>
      <c r="B16" s="4">
        <f ca="1">SplineInterp(INDIRECT("A" &amp; ROW()),INDIRECT("'" &amp;Master!$F$10&amp; "'!$A$2:$A$50"),INDIRECT("'" &amp;Master!$F$10&amp; "'!$B$2:$B$50"))</f>
        <v>1.2221179468215566</v>
      </c>
      <c r="C16" s="4">
        <f ca="1">SplineInterp(A16,INDIRECT("'" &amp;Master!$F$10&amp; "'!$A$2:$A$50"),INDIRECT("'" &amp;Master!$F$10&amp; "'!$C$2:$C$50"))</f>
        <v>1.2221185468331677</v>
      </c>
      <c r="D16" s="4">
        <f ca="1">SplineInterp(A16,INDIRECT("'" &amp;Master!$F$10&amp; "'!$A$2:$A$50"),INDIRECT("'" &amp;Master!$F$10&amp; "'!$D$2:$D$50"))</f>
        <v>1.2210051509994859</v>
      </c>
      <c r="E16" s="4">
        <f ca="1">SplineInterp(A16,INDIRECT("'" &amp;Master!$F$10&amp; "'!$A$2:$A$50"),INDIRECT("'" &amp;Master!$F$10&amp; "'!$E$2:$E$50"))</f>
        <v>1.2333247720249221</v>
      </c>
      <c r="F16" s="4">
        <f ca="1">SplineInterp(A16,INDIRECT("'" &amp;Master!$F$10&amp; "'!$A$2:$A$50"),INDIRECT("'" &amp;Master!$F$10&amp; "'!$F$2:$F$50"))</f>
        <v>1.2381796910810245</v>
      </c>
      <c r="G16" s="4">
        <f ca="1">SplineInterp(A16,INDIRECT("'" &amp;Master!$F$10&amp; "'!$A$2:$A$50"),INDIRECT("'" &amp;Master!$F$10&amp; "'!$G$2:$G$50"))</f>
        <v>1.2227706041178712</v>
      </c>
      <c r="H16" s="4">
        <f ca="1">SplineInterp(A16,INDIRECT("'" &amp;Master!$F$10&amp; "'!$A$2:$A$50"),INDIRECT("'" &amp;Master!$F$10&amp; "'!$H$2:$H$50"))</f>
        <v>1.1140183089355531</v>
      </c>
      <c r="I16" s="4">
        <f ca="1">IF(OR(INDIRECT("'" &amp; Master!$F$8 &amp; Master!$F$6 &amp; "'!B" &amp; ROW(B16))="", INDIRECT("'" &amp; Master!$F$8 &amp; Master!$F$6 &amp; "'!B" &amp; ROW(B16))=0), "", INDIRECT("'" &amp; Master!$F$8 &amp; Master!$F$6 &amp; "'!B" &amp; ROW(B16)))</f>
        <v>3.7209197904930019E-2</v>
      </c>
      <c r="J16" s="9">
        <f t="shared" ca="1" si="0"/>
        <v>4.5474028546450038E-2</v>
      </c>
      <c r="K16" s="7">
        <f t="shared" ca="1" si="1"/>
        <v>4.547405087240082E-2</v>
      </c>
      <c r="L16" s="7">
        <f t="shared" ca="1" si="2"/>
        <v>4.5432622306478834E-2</v>
      </c>
      <c r="M16" s="7">
        <f t="shared" ca="1" si="3"/>
        <v>4.5891025523328022E-2</v>
      </c>
      <c r="N16" s="7">
        <f t="shared" ca="1" si="4"/>
        <v>4.607167316729896E-2</v>
      </c>
      <c r="O16" s="7">
        <f t="shared" ca="1" si="5"/>
        <v>4.5498313400952707E-2</v>
      </c>
      <c r="P16" s="7">
        <f t="shared" ca="1" si="6"/>
        <v>4.1451727726898466E-2</v>
      </c>
    </row>
    <row r="17" spans="1:16" x14ac:dyDescent="0.25">
      <c r="A17" s="19">
        <f ca="1">IF(OR(INDIRECT("'" &amp; Master!$F$8 &amp; Master!$F$6 &amp; "'!A" &amp; ROW(A17))="", INDIRECT("'" &amp; Master!$F$8 &amp; Master!$F$6 &amp; "'!A" &amp; ROW(A17))=0), "", INDIRECT("'" &amp; Master!$F$8 &amp; Master!$F$6 &amp; "'!A" &amp; ROW(A17)))</f>
        <v>484.4</v>
      </c>
      <c r="B17" s="4">
        <f ca="1">SplineInterp(INDIRECT("A" &amp; ROW()),INDIRECT("'" &amp;Master!$F$10&amp; "'!$A$2:$A$50"),INDIRECT("'" &amp;Master!$F$10&amp; "'!$B$2:$B$50"))</f>
        <v>1.2138104580679729</v>
      </c>
      <c r="C17" s="4">
        <f ca="1">SplineInterp(A17,INDIRECT("'" &amp;Master!$F$10&amp; "'!$A$2:$A$50"),INDIRECT("'" &amp;Master!$F$10&amp; "'!$C$2:$C$50"))</f>
        <v>1.2138106565263174</v>
      </c>
      <c r="D17" s="4">
        <f ca="1">SplineInterp(A17,INDIRECT("'" &amp;Master!$F$10&amp; "'!$A$2:$A$50"),INDIRECT("'" &amp;Master!$F$10&amp; "'!$D$2:$D$50"))</f>
        <v>1.2129403488975621</v>
      </c>
      <c r="E17" s="4">
        <f ca="1">SplineInterp(A17,INDIRECT("'" &amp;Master!$F$10&amp; "'!$A$2:$A$50"),INDIRECT("'" &amp;Master!$F$10&amp; "'!$E$2:$E$50"))</f>
        <v>1.2242096216488689</v>
      </c>
      <c r="F17" s="4">
        <f ca="1">SplineInterp(A17,INDIRECT("'" &amp;Master!$F$10&amp; "'!$A$2:$A$50"),INDIRECT("'" &amp;Master!$F$10&amp; "'!$F$2:$F$50"))</f>
        <v>1.2327042968889366</v>
      </c>
      <c r="G17" s="4">
        <f ca="1">SplineInterp(A17,INDIRECT("'" &amp;Master!$F$10&amp; "'!$A$2:$A$50"),INDIRECT("'" &amp;Master!$F$10&amp; "'!$G$2:$G$50"))</f>
        <v>1.2136304758476175</v>
      </c>
      <c r="H17" s="4">
        <f ca="1">SplineInterp(A17,INDIRECT("'" &amp;Master!$F$10&amp; "'!$A$2:$A$50"),INDIRECT("'" &amp;Master!$F$10&amp; "'!$H$2:$H$50"))</f>
        <v>1.1110553846615696</v>
      </c>
      <c r="I17" s="4">
        <f ca="1">IF(OR(INDIRECT("'" &amp; Master!$F$8 &amp; Master!$F$6 &amp; "'!B" &amp; ROW(B17))="", INDIRECT("'" &amp; Master!$F$8 &amp; Master!$F$6 &amp; "'!B" &amp; ROW(B17))=0), "", INDIRECT("'" &amp; Master!$F$8 &amp; Master!$F$6 &amp; "'!B" &amp; ROW(B17)))</f>
        <v>3.6145547761225805E-2</v>
      </c>
      <c r="J17" s="9">
        <f t="shared" ca="1" si="0"/>
        <v>4.3873843885171286E-2</v>
      </c>
      <c r="K17" s="7">
        <f t="shared" ca="1" si="1"/>
        <v>4.3873851058556852E-2</v>
      </c>
      <c r="L17" s="7">
        <f t="shared" ca="1" si="2"/>
        <v>4.3842393312594721E-2</v>
      </c>
      <c r="M17" s="7">
        <f t="shared" ca="1" si="3"/>
        <v>4.4249727349061366E-2</v>
      </c>
      <c r="N17" s="7">
        <f t="shared" ca="1" si="4"/>
        <v>4.4556772038667328E-2</v>
      </c>
      <c r="O17" s="7">
        <f t="shared" ca="1" si="5"/>
        <v>4.3867338329229261E-2</v>
      </c>
      <c r="P17" s="7">
        <f t="shared" ca="1" si="6"/>
        <v>4.0159705471651874E-2</v>
      </c>
    </row>
    <row r="18" spans="1:16" x14ac:dyDescent="0.25">
      <c r="A18" s="19">
        <f ca="1">IF(OR(INDIRECT("'" &amp; Master!$F$8 &amp; Master!$F$6 &amp; "'!A" &amp; ROW(A18))="", INDIRECT("'" &amp; Master!$F$8 &amp; Master!$F$6 &amp; "'!A" &amp; ROW(A18))=0), "", INDIRECT("'" &amp; Master!$F$8 &amp; Master!$F$6 &amp; "'!A" &amp; ROW(A18)))</f>
        <v>515.65</v>
      </c>
      <c r="B18" s="4">
        <f ca="1">SplineInterp(INDIRECT("A" &amp; ROW()),INDIRECT("'" &amp;Master!$F$10&amp; "'!$A$2:$A$50"),INDIRECT("'" &amp;Master!$F$10&amp; "'!$B$2:$B$50"))</f>
        <v>1.2063086995662928</v>
      </c>
      <c r="C18" s="4">
        <f ca="1">SplineInterp(A18,INDIRECT("'" &amp;Master!$F$10&amp; "'!$A$2:$A$50"),INDIRECT("'" &amp;Master!$F$10&amp; "'!$C$2:$C$50"))</f>
        <v>1.2063085760319148</v>
      </c>
      <c r="D18" s="4">
        <f ca="1">SplineInterp(A18,INDIRECT("'" &amp;Master!$F$10&amp; "'!$A$2:$A$50"),INDIRECT("'" &amp;Master!$F$10&amp; "'!$D$2:$D$50"))</f>
        <v>1.2078190472416661</v>
      </c>
      <c r="E18" s="4">
        <f ca="1">SplineInterp(A18,INDIRECT("'" &amp;Master!$F$10&amp; "'!$A$2:$A$50"),INDIRECT("'" &amp;Master!$F$10&amp; "'!$E$2:$E$50"))</f>
        <v>1.2160602375871914</v>
      </c>
      <c r="F18" s="4">
        <f ca="1">SplineInterp(A18,INDIRECT("'" &amp;Master!$F$10&amp; "'!$A$2:$A$50"),INDIRECT("'" &amp;Master!$F$10&amp; "'!$F$2:$F$50"))</f>
        <v>1.227169532795668</v>
      </c>
      <c r="G18" s="4">
        <f ca="1">SplineInterp(A18,INDIRECT("'" &amp;Master!$F$10&amp; "'!$A$2:$A$50"),INDIRECT("'" &amp;Master!$F$10&amp; "'!$G$2:$G$50"))</f>
        <v>1.207192669629968</v>
      </c>
      <c r="H18" s="4">
        <f ca="1">SplineInterp(A18,INDIRECT("'" &amp;Master!$F$10&amp; "'!$A$2:$A$50"),INDIRECT("'" &amp;Master!$F$10&amp; "'!$H$2:$H$50"))</f>
        <v>1.1093139440966866</v>
      </c>
      <c r="I18" s="4">
        <f ca="1">IF(OR(INDIRECT("'" &amp; Master!$F$8 &amp; Master!$F$6 &amp; "'!B" &amp; ROW(B18))="", INDIRECT("'" &amp; Master!$F$8 &amp; Master!$F$6 &amp; "'!B" &amp; ROW(B18))=0), "", INDIRECT("'" &amp; Master!$F$8 &amp; Master!$F$6 &amp; "'!B" &amp; ROW(B18)))</f>
        <v>3.9124911992813032E-2</v>
      </c>
      <c r="J18" s="9">
        <f t="shared" ca="1" si="0"/>
        <v>4.7196721706695942E-2</v>
      </c>
      <c r="K18" s="7">
        <f t="shared" ca="1" si="1"/>
        <v>4.719671687342427E-2</v>
      </c>
      <c r="L18" s="7">
        <f t="shared" ca="1" si="2"/>
        <v>4.7255813926573471E-2</v>
      </c>
      <c r="M18" s="7">
        <f t="shared" ca="1" si="3"/>
        <v>4.7578249773558172E-2</v>
      </c>
      <c r="N18" s="7">
        <f t="shared" ca="1" si="4"/>
        <v>4.8012899970891997E-2</v>
      </c>
      <c r="O18" s="7">
        <f t="shared" ca="1" si="5"/>
        <v>4.7231306957641515E-2</v>
      </c>
      <c r="P18" s="7">
        <f t="shared" ca="1" si="6"/>
        <v>4.340181043518318E-2</v>
      </c>
    </row>
    <row r="19" spans="1:16" x14ac:dyDescent="0.25">
      <c r="A19" s="19">
        <f ca="1">IF(OR(INDIRECT("'" &amp; Master!$F$8 &amp; Master!$F$6 &amp; "'!A" &amp; ROW(A19))="", INDIRECT("'" &amp; Master!$F$8 &amp; Master!$F$6 &amp; "'!A" &amp; ROW(A19))=0), "", INDIRECT("'" &amp; Master!$F$8 &amp; Master!$F$6 &amp; "'!A" &amp; ROW(A19)))</f>
        <v>546.9</v>
      </c>
      <c r="B19" s="4">
        <f ca="1">SplineInterp(INDIRECT("A" &amp; ROW()),INDIRECT("'" &amp;Master!$F$10&amp; "'!$A$2:$A$50"),INDIRECT("'" &amp;Master!$F$10&amp; "'!$B$2:$B$50"))</f>
        <v>1.1994269144064107</v>
      </c>
      <c r="C19" s="4">
        <f ca="1">SplineInterp(A19,INDIRECT("'" &amp;Master!$F$10&amp; "'!$A$2:$A$50"),INDIRECT("'" &amp;Master!$F$10&amp; "'!$C$2:$C$50"))</f>
        <v>1.1994267415582271</v>
      </c>
      <c r="D19" s="4">
        <f ca="1">SplineInterp(A19,INDIRECT("'" &amp;Master!$F$10&amp; "'!$A$2:$A$50"),INDIRECT("'" &amp;Master!$F$10&amp; "'!$D$2:$D$50"))</f>
        <v>1.2049632845634319</v>
      </c>
      <c r="E19" s="4">
        <f ca="1">SplineInterp(A19,INDIRECT("'" &amp;Master!$F$10&amp; "'!$A$2:$A$50"),INDIRECT("'" &amp;Master!$F$10&amp; "'!$E$2:$E$50"))</f>
        <v>1.2090792828469927</v>
      </c>
      <c r="F19" s="4">
        <f ca="1">SplineInterp(A19,INDIRECT("'" &amp;Master!$F$10&amp; "'!$A$2:$A$50"),INDIRECT("'" &amp;Master!$F$10&amp; "'!$F$2:$F$50"))</f>
        <v>1.2211462484844393</v>
      </c>
      <c r="G19" s="4">
        <f ca="1">SplineInterp(A19,INDIRECT("'" &amp;Master!$F$10&amp; "'!$A$2:$A$50"),INDIRECT("'" &amp;Master!$F$10&amp; "'!$G$2:$G$50"))</f>
        <v>1.2035696815763961</v>
      </c>
      <c r="H19" s="4">
        <f ca="1">SplineInterp(A19,INDIRECT("'" &amp;Master!$F$10&amp; "'!$A$2:$A$50"),INDIRECT("'" &amp;Master!$F$10&amp; "'!$H$2:$H$50"))</f>
        <v>1.1089014689926724</v>
      </c>
      <c r="I19" s="4">
        <f ca="1">IF(OR(INDIRECT("'" &amp; Master!$F$8 &amp; Master!$F$6 &amp; "'!B" &amp; ROW(B19))="", INDIRECT("'" &amp; Master!$F$8 &amp; Master!$F$6 &amp; "'!B" &amp; ROW(B19))=0), "", INDIRECT("'" &amp; Master!$F$8 &amp; Master!$F$6 &amp; "'!B" &amp; ROW(B19)))</f>
        <v>3.8612538524666722E-2</v>
      </c>
      <c r="J19" s="9">
        <f t="shared" ca="1" si="0"/>
        <v>4.6312917940039666E-2</v>
      </c>
      <c r="K19" s="7">
        <f t="shared" ca="1" si="1"/>
        <v>4.6312911265932524E-2</v>
      </c>
      <c r="L19" s="7">
        <f t="shared" ca="1" si="2"/>
        <v>4.6526691246014468E-2</v>
      </c>
      <c r="M19" s="7">
        <f t="shared" ca="1" si="3"/>
        <v>4.6685620388305919E-2</v>
      </c>
      <c r="N19" s="7">
        <f t="shared" ca="1" si="4"/>
        <v>4.7151556563857652E-2</v>
      </c>
      <c r="O19" s="7">
        <f t="shared" ca="1" si="5"/>
        <v>4.6472880696989453E-2</v>
      </c>
      <c r="P19" s="7">
        <f t="shared" ca="1" si="6"/>
        <v>4.2817500691539084E-2</v>
      </c>
    </row>
    <row r="20" spans="1:16" x14ac:dyDescent="0.25">
      <c r="A20" s="19">
        <f ca="1">IF(OR(INDIRECT("'" &amp; Master!$F$8 &amp; Master!$F$6 &amp; "'!A" &amp; ROW(A20))="", INDIRECT("'" &amp; Master!$F$8 &amp; Master!$F$6 &amp; "'!A" &amp; ROW(A20))=0), "", INDIRECT("'" &amp; Master!$F$8 &amp; Master!$F$6 &amp; "'!A" &amp; ROW(A20)))</f>
        <v>578.15</v>
      </c>
      <c r="B20" s="4">
        <f ca="1">SplineInterp(INDIRECT("A" &amp; ROW()),INDIRECT("'" &amp;Master!$F$10&amp; "'!$A$2:$A$50"),INDIRECT("'" &amp;Master!$F$10&amp; "'!$B$2:$B$50"))</f>
        <v>1.1934599483252033</v>
      </c>
      <c r="C20" s="4">
        <f ca="1">SplineInterp(A20,INDIRECT("'" &amp;Master!$F$10&amp; "'!$A$2:$A$50"),INDIRECT("'" &amp;Master!$F$10&amp; "'!$C$2:$C$50"))</f>
        <v>1.193459871089791</v>
      </c>
      <c r="D20" s="4">
        <f ca="1">SplineInterp(A20,INDIRECT("'" &amp;Master!$F$10&amp; "'!$A$2:$A$50"),INDIRECT("'" &amp;Master!$F$10&amp; "'!$D$2:$D$50"))</f>
        <v>1.202506299147297</v>
      </c>
      <c r="E20" s="4">
        <f ca="1">SplineInterp(A20,INDIRECT("'" &amp;Master!$F$10&amp; "'!$A$2:$A$50"),INDIRECT("'" &amp;Master!$F$10&amp; "'!$E$2:$E$50"))</f>
        <v>1.2033046259010667</v>
      </c>
      <c r="F20" s="4">
        <f ca="1">SplineInterp(A20,INDIRECT("'" &amp;Master!$F$10&amp; "'!$A$2:$A$50"),INDIRECT("'" &amp;Master!$F$10&amp; "'!$F$2:$F$50"))</f>
        <v>1.2147042034639788</v>
      </c>
      <c r="G20" s="4">
        <f ca="1">SplineInterp(A20,INDIRECT("'" &amp;Master!$F$10&amp; "'!$A$2:$A$50"),INDIRECT("'" &amp;Master!$F$10&amp; "'!$G$2:$G$50"))</f>
        <v>1.2014054514246875</v>
      </c>
      <c r="H20" s="4">
        <f ca="1">SplineInterp(A20,INDIRECT("'" &amp;Master!$F$10&amp; "'!$A$2:$A$50"),INDIRECT("'" &amp;Master!$F$10&amp; "'!$H$2:$H$50"))</f>
        <v>1.1093809907987662</v>
      </c>
      <c r="I20" s="4">
        <f ca="1">IF(OR(INDIRECT("'" &amp; Master!$F$8 &amp; Master!$F$6 &amp; "'!B" &amp; ROW(B20))="", INDIRECT("'" &amp; Master!$F$8 &amp; Master!$F$6 &amp; "'!B" &amp; ROW(B20))=0), "", INDIRECT("'" &amp; Master!$F$8 &amp; Master!$F$6 &amp; "'!B" &amp; ROW(B20)))</f>
        <v>3.9566633718633719E-2</v>
      </c>
      <c r="J20" s="9">
        <f t="shared" ca="1" si="0"/>
        <v>4.7221192633242842E-2</v>
      </c>
      <c r="K20" s="7">
        <f t="shared" ca="1" si="1"/>
        <v>4.7221189577297575E-2</v>
      </c>
      <c r="L20" s="7">
        <f t="shared" ca="1" si="2"/>
        <v>4.7579126282710889E-2</v>
      </c>
      <c r="M20" s="7">
        <f t="shared" ca="1" si="3"/>
        <v>4.761071338496508E-2</v>
      </c>
      <c r="N20" s="7">
        <f t="shared" ca="1" si="4"/>
        <v>4.8061756294943976E-2</v>
      </c>
      <c r="O20" s="7">
        <f t="shared" ca="1" si="5"/>
        <v>4.7535569444090403E-2</v>
      </c>
      <c r="P20" s="7">
        <f t="shared" ca="1" si="6"/>
        <v>4.3894471317349748E-2</v>
      </c>
    </row>
    <row r="21" spans="1:16" x14ac:dyDescent="0.25">
      <c r="A21" s="19">
        <f ca="1">IF(OR(INDIRECT("'" &amp; Master!$F$8 &amp; Master!$F$6 &amp; "'!A" &amp; ROW(A21))="", INDIRECT("'" &amp; Master!$F$8 &amp; Master!$F$6 &amp; "'!A" &amp; ROW(A21))=0), "", INDIRECT("'" &amp; Master!$F$8 &amp; Master!$F$6 &amp; "'!A" &amp; ROW(A21)))</f>
        <v>609.4</v>
      </c>
      <c r="B21" s="4">
        <f ca="1">SplineInterp(INDIRECT("A" &amp; ROW()),INDIRECT("'" &amp;Master!$F$10&amp; "'!$A$2:$A$50"),INDIRECT("'" &amp;Master!$F$10&amp; "'!$B$2:$B$50"))</f>
        <v>1.1887194275921302</v>
      </c>
      <c r="C21" s="4">
        <f ca="1">SplineInterp(A21,INDIRECT("'" &amp;Master!$F$10&amp; "'!$A$2:$A$50"),INDIRECT("'" &amp;Master!$F$10&amp; "'!$C$2:$C$50"))</f>
        <v>1.1887194500596874</v>
      </c>
      <c r="D21" s="4">
        <f ca="1">SplineInterp(A21,INDIRECT("'" &amp;Master!$F$10&amp; "'!$A$2:$A$50"),INDIRECT("'" &amp;Master!$F$10&amp; "'!$D$2:$D$50"))</f>
        <v>1.1985458613711177</v>
      </c>
      <c r="E21" s="4">
        <f ca="1">SplineInterp(A21,INDIRECT("'" &amp;Master!$F$10&amp; "'!$A$2:$A$50"),INDIRECT("'" &amp;Master!$F$10&amp; "'!$E$2:$E$50"))</f>
        <v>1.1987645990729632</v>
      </c>
      <c r="F21" s="4">
        <f ca="1">SplineInterp(A21,INDIRECT("'" &amp;Master!$F$10&amp; "'!$A$2:$A$50"),INDIRECT("'" &amp;Master!$F$10&amp; "'!$F$2:$F$50"))</f>
        <v>1.2079370087359715</v>
      </c>
      <c r="G21" s="4">
        <f ca="1">SplineInterp(A21,INDIRECT("'" &amp;Master!$F$10&amp; "'!$A$2:$A$50"),INDIRECT("'" &amp;Master!$F$10&amp; "'!$G$2:$G$50"))</f>
        <v>1.1992884183179238</v>
      </c>
      <c r="H21" s="4">
        <f ca="1">SplineInterp(A21,INDIRECT("'" &amp;Master!$F$10&amp; "'!$A$2:$A$50"),INDIRECT("'" &amp;Master!$F$10&amp; "'!$H$2:$H$50"))</f>
        <v>1.1102910273349946</v>
      </c>
      <c r="I21" s="4">
        <f ca="1">IF(OR(INDIRECT("'" &amp; Master!$F$8 &amp; Master!$F$6 &amp; "'!B" &amp; ROW(B21))="", INDIRECT("'" &amp; Master!$F$8 &amp; Master!$F$6 &amp; "'!B" &amp; ROW(B21))=0), "", INDIRECT("'" &amp; Master!$F$8 &amp; Master!$F$6 &amp; "'!B" &amp; ROW(B21)))</f>
        <v>3.7970759750083127E-2</v>
      </c>
      <c r="J21" s="9">
        <f t="shared" ca="1" si="0"/>
        <v>4.513657979535711E-2</v>
      </c>
      <c r="K21" s="7">
        <f t="shared" ca="1" si="1"/>
        <v>4.5136580648467331E-2</v>
      </c>
      <c r="L21" s="7">
        <f t="shared" ca="1" si="2"/>
        <v>4.5509696951579151E-2</v>
      </c>
      <c r="M21" s="7">
        <f t="shared" ca="1" si="3"/>
        <v>4.5518002588304206E-2</v>
      </c>
      <c r="N21" s="7">
        <f t="shared" ca="1" si="4"/>
        <v>4.5866285951947638E-2</v>
      </c>
      <c r="O21" s="7">
        <f t="shared" ca="1" si="5"/>
        <v>4.5537892403007076E-2</v>
      </c>
      <c r="P21" s="7">
        <f t="shared" ca="1" si="6"/>
        <v>4.2158593851610061E-2</v>
      </c>
    </row>
    <row r="22" spans="1:16" x14ac:dyDescent="0.25">
      <c r="A22" s="19">
        <f ca="1">IF(OR(INDIRECT("'" &amp; Master!$F$8 &amp; Master!$F$6 &amp; "'!A" &amp; ROW(A22))="", INDIRECT("'" &amp; Master!$F$8 &amp; Master!$F$6 &amp; "'!A" &amp; ROW(A22))=0), "", INDIRECT("'" &amp; Master!$F$8 &amp; Master!$F$6 &amp; "'!A" &amp; ROW(A22)))</f>
        <v>640.65</v>
      </c>
      <c r="B22" s="4">
        <f ca="1">SplineInterp(INDIRECT("A" &amp; ROW()),INDIRECT("'" &amp;Master!$F$10&amp; "'!$A$2:$A$50"),INDIRECT("'" &amp;Master!$F$10&amp; "'!$B$2:$B$50"))</f>
        <v>1.1852066597526438</v>
      </c>
      <c r="C22" s="4">
        <f ca="1">SplineInterp(A22,INDIRECT("'" &amp;Master!$F$10&amp; "'!$A$2:$A$50"),INDIRECT("'" &amp;Master!$F$10&amp; "'!$C$2:$C$50"))</f>
        <v>1.1852067077901671</v>
      </c>
      <c r="D22" s="4">
        <f ca="1">SplineInterp(A22,INDIRECT("'" &amp;Master!$F$10&amp; "'!$A$2:$A$50"),INDIRECT("'" &amp;Master!$F$10&amp; "'!$D$2:$D$50"))</f>
        <v>1.1924116235095423</v>
      </c>
      <c r="E22" s="4">
        <f ca="1">SplineInterp(A22,INDIRECT("'" &amp;Master!$F$10&amp; "'!$A$2:$A$50"),INDIRECT("'" &amp;Master!$F$10&amp; "'!$E$2:$E$50"))</f>
        <v>1.1953031914005705</v>
      </c>
      <c r="F22" s="4">
        <f ca="1">SplineInterp(A22,INDIRECT("'" &amp;Master!$F$10&amp; "'!$A$2:$A$50"),INDIRECT("'" &amp;Master!$F$10&amp; "'!$F$2:$F$50"))</f>
        <v>1.201110557568267</v>
      </c>
      <c r="G22" s="4">
        <f ca="1">SplineInterp(A22,INDIRECT("'" &amp;Master!$F$10&amp; "'!$A$2:$A$50"),INDIRECT("'" &amp;Master!$F$10&amp; "'!$G$2:$G$50"))</f>
        <v>1.1964304599997686</v>
      </c>
      <c r="H22" s="4">
        <f ca="1">SplineInterp(A22,INDIRECT("'" &amp;Master!$F$10&amp; "'!$A$2:$A$50"),INDIRECT("'" &amp;Master!$F$10&amp; "'!$H$2:$H$50"))</f>
        <v>1.1110985513979561</v>
      </c>
      <c r="I22" s="4">
        <f ca="1">IF(OR(INDIRECT("'" &amp; Master!$F$8 &amp; Master!$F$6 &amp; "'!B" &amp; ROW(B22))="", INDIRECT("'" &amp; Master!$F$8 &amp; Master!$F$6 &amp; "'!B" &amp; ROW(B22))=0), "", INDIRECT("'" &amp; Master!$F$8 &amp; Master!$F$6 &amp; "'!B" &amp; ROW(B22)))</f>
        <v>4.1703696986512329E-2</v>
      </c>
      <c r="J22" s="9">
        <f t="shared" ca="1" si="0"/>
        <v>4.9427499404720673E-2</v>
      </c>
      <c r="K22" s="7">
        <f t="shared" ca="1" si="1"/>
        <v>4.9427501408062992E-2</v>
      </c>
      <c r="L22" s="7">
        <f t="shared" ca="1" si="2"/>
        <v>4.9727973030037176E-2</v>
      </c>
      <c r="M22" s="7">
        <f t="shared" ca="1" si="3"/>
        <v>4.9848562101180542E-2</v>
      </c>
      <c r="N22" s="7">
        <f t="shared" ca="1" si="4"/>
        <v>5.0090750740127879E-2</v>
      </c>
      <c r="O22" s="7">
        <f t="shared" ca="1" si="5"/>
        <v>4.989557336926391E-2</v>
      </c>
      <c r="P22" s="7">
        <f t="shared" ca="1" si="6"/>
        <v>4.6336917309653156E-2</v>
      </c>
    </row>
    <row r="23" spans="1:16" x14ac:dyDescent="0.25">
      <c r="A23" s="19">
        <f ca="1">IF(OR(INDIRECT("'" &amp; Master!$F$8 &amp; Master!$F$6 &amp; "'!A" &amp; ROW(A23))="", INDIRECT("'" &amp; Master!$F$8 &amp; Master!$F$6 &amp; "'!A" &amp; ROW(A23))=0), "", INDIRECT("'" &amp; Master!$F$8 &amp; Master!$F$6 &amp; "'!A" &amp; ROW(A23)))</f>
        <v>671.9</v>
      </c>
      <c r="B23" s="4">
        <f ca="1">SplineInterp(INDIRECT("A" &amp; ROW()),INDIRECT("'" &amp;Master!$F$10&amp; "'!$A$2:$A$50"),INDIRECT("'" &amp;Master!$F$10&amp; "'!$B$2:$B$50"))</f>
        <v>1.1823980745133378</v>
      </c>
      <c r="C23" s="4">
        <f ca="1">SplineInterp(A23,INDIRECT("'" &amp;Master!$F$10&amp; "'!$A$2:$A$50"),INDIRECT("'" &amp;Master!$F$10&amp; "'!$C$2:$C$50"))</f>
        <v>1.1823981016695106</v>
      </c>
      <c r="D23" s="4">
        <f ca="1">SplineInterp(A23,INDIRECT("'" &amp;Master!$F$10&amp; "'!$A$2:$A$50"),INDIRECT("'" &amp;Master!$F$10&amp; "'!$D$2:$D$50"))</f>
        <v>1.1855168617299829</v>
      </c>
      <c r="E23" s="4">
        <f ca="1">SplineInterp(A23,INDIRECT("'" &amp;Master!$F$10&amp; "'!$A$2:$A$50"),INDIRECT("'" &amp;Master!$F$10&amp; "'!$E$2:$E$50"))</f>
        <v>1.1924525908672485</v>
      </c>
      <c r="F23" s="4">
        <f ca="1">SplineInterp(A23,INDIRECT("'" &amp;Master!$F$10&amp; "'!$A$2:$A$50"),INDIRECT("'" &amp;Master!$F$10&amp; "'!$F$2:$F$50"))</f>
        <v>1.1947821440902868</v>
      </c>
      <c r="G23" s="4">
        <f ca="1">SplineInterp(A23,INDIRECT("'" &amp;Master!$F$10&amp; "'!$A$2:$A$50"),INDIRECT("'" &amp;Master!$F$10&amp; "'!$G$2:$G$50"))</f>
        <v>1.193097947803917</v>
      </c>
      <c r="H23" s="4">
        <f ca="1">SplineInterp(A23,INDIRECT("'" &amp;Master!$F$10&amp; "'!$A$2:$A$50"),INDIRECT("'" &amp;Master!$F$10&amp; "'!$H$2:$H$50"))</f>
        <v>1.111149523436707</v>
      </c>
      <c r="I23" s="4">
        <f ca="1">IF(OR(INDIRECT("'" &amp; Master!$F$8 &amp; Master!$F$6 &amp; "'!B" &amp; ROW(B23))="", INDIRECT("'" &amp; Master!$F$8 &amp; Master!$F$6 &amp; "'!B" &amp; ROW(B23))=0), "", INDIRECT("'" &amp; Master!$F$8 &amp; Master!$F$6 &amp; "'!B" &amp; ROW(B23)))</f>
        <v>4.034127898318797E-2</v>
      </c>
      <c r="J23" s="9">
        <f t="shared" ca="1" si="0"/>
        <v>4.7699450593126837E-2</v>
      </c>
      <c r="K23" s="7">
        <f t="shared" ca="1" si="1"/>
        <v>4.7699451688641585E-2</v>
      </c>
      <c r="L23" s="7">
        <f t="shared" ca="1" si="2"/>
        <v>4.7825266458322718E-2</v>
      </c>
      <c r="M23" s="7">
        <f t="shared" ca="1" si="3"/>
        <v>4.8105062642400977E-2</v>
      </c>
      <c r="N23" s="7">
        <f t="shared" ca="1" si="4"/>
        <v>4.8199039798877748E-2</v>
      </c>
      <c r="O23" s="7">
        <f t="shared" ca="1" si="5"/>
        <v>4.8131097166626856E-2</v>
      </c>
      <c r="P23" s="7">
        <f t="shared" ca="1" si="6"/>
        <v>4.4825192916996555E-2</v>
      </c>
    </row>
    <row r="24" spans="1:16" x14ac:dyDescent="0.25">
      <c r="A24" s="19">
        <f ca="1">IF(OR(INDIRECT("'" &amp; Master!$F$8 &amp; Master!$F$6 &amp; "'!A" &amp; ROW(A24))="", INDIRECT("'" &amp; Master!$F$8 &amp; Master!$F$6 &amp; "'!A" &amp; ROW(A24))=0), "", INDIRECT("'" &amp; Master!$F$8 &amp; Master!$F$6 &amp; "'!A" &amp; ROW(A24)))</f>
        <v>703.15</v>
      </c>
      <c r="B24" s="4">
        <f ca="1">SplineInterp(INDIRECT("A" &amp; ROW()),INDIRECT("'" &amp;Master!$F$10&amp; "'!$A$2:$A$50"),INDIRECT("'" &amp;Master!$F$10&amp; "'!$B$2:$B$50"))</f>
        <v>1.1797195249595072</v>
      </c>
      <c r="C24" s="4">
        <f ca="1">SplineInterp(A24,INDIRECT("'" &amp;Master!$F$10&amp; "'!$A$2:$A$50"),INDIRECT("'" &amp;Master!$F$10&amp; "'!$C$2:$C$50"))</f>
        <v>1.1797195226863524</v>
      </c>
      <c r="D24" s="4">
        <f ca="1">SplineInterp(A24,INDIRECT("'" &amp;Master!$F$10&amp; "'!$A$2:$A$50"),INDIRECT("'" &amp;Master!$F$10&amp; "'!$D$2:$D$50"))</f>
        <v>1.179475693379773</v>
      </c>
      <c r="E24" s="4">
        <f ca="1">SplineInterp(A24,INDIRECT("'" &amp;Master!$F$10&amp; "'!$A$2:$A$50"),INDIRECT("'" &amp;Master!$F$10&amp; "'!$E$2:$E$50"))</f>
        <v>1.1897149743634821</v>
      </c>
      <c r="F24" s="4">
        <f ca="1">SplineInterp(A24,INDIRECT("'" &amp;Master!$F$10&amp; "'!$A$2:$A$50"),INDIRECT("'" &amp;Master!$F$10&amp; "'!$F$2:$F$50"))</f>
        <v>1.1895370074448324</v>
      </c>
      <c r="G24" s="4">
        <f ca="1">SplineInterp(A24,INDIRECT("'" &amp;Master!$F$10&amp; "'!$A$2:$A$50"),INDIRECT("'" &amp;Master!$F$10&amp; "'!$G$2:$G$50"))</f>
        <v>1.1896590394060087</v>
      </c>
      <c r="H24" s="4">
        <f ca="1">SplineInterp(A24,INDIRECT("'" &amp;Master!$F$10&amp; "'!$A$2:$A$50"),INDIRECT("'" &amp;Master!$F$10&amp; "'!$H$2:$H$50"))</f>
        <v>1.1097785490244407</v>
      </c>
      <c r="I24" s="4">
        <f ca="1">IF(OR(INDIRECT("'" &amp; Master!$F$8 &amp; Master!$F$6 &amp; "'!B" &amp; ROW(B24))="", INDIRECT("'" &amp; Master!$F$8 &amp; Master!$F$6 &amp; "'!B" &amp; ROW(B24))=0), "", INDIRECT("'" &amp; Master!$F$8 &amp; Master!$F$6 &amp; "'!B" &amp; ROW(B24)))</f>
        <v>2.884318764680463E-2</v>
      </c>
      <c r="J24" s="9">
        <f t="shared" ca="1" si="0"/>
        <v>3.4026871629006285E-2</v>
      </c>
      <c r="K24" s="7">
        <f t="shared" ca="1" si="1"/>
        <v>3.4026871563441252E-2</v>
      </c>
      <c r="L24" s="7">
        <f t="shared" ca="1" si="2"/>
        <v>3.4019838748997791E-2</v>
      </c>
      <c r="M24" s="7">
        <f t="shared" ca="1" si="3"/>
        <v>3.4315172251779276E-2</v>
      </c>
      <c r="N24" s="7">
        <f t="shared" ca="1" si="4"/>
        <v>3.4310039118549733E-2</v>
      </c>
      <c r="O24" s="7">
        <f t="shared" ca="1" si="5"/>
        <v>3.4313558909304855E-2</v>
      </c>
      <c r="P24" s="7">
        <f t="shared" ca="1" si="6"/>
        <v>3.2009550935910513E-2</v>
      </c>
    </row>
    <row r="25" spans="1:16" x14ac:dyDescent="0.25">
      <c r="A25" s="19">
        <f ca="1">IF(OR(INDIRECT("'" &amp; Master!$F$8 &amp; Master!$F$6 &amp; "'!A" &amp; ROW(A25))="", INDIRECT("'" &amp; Master!$F$8 &amp; Master!$F$6 &amp; "'!A" &amp; ROW(A25))=0), "", INDIRECT("'" &amp; Master!$F$8 &amp; Master!$F$6 &amp; "'!A" &amp; ROW(A25)))</f>
        <v>734.4</v>
      </c>
      <c r="B25" s="4">
        <f ca="1">SplineInterp(INDIRECT("A" &amp; ROW()),INDIRECT("'" &amp;Master!$F$10&amp; "'!$A$2:$A$50"),INDIRECT("'" &amp;Master!$F$10&amp; "'!$B$2:$B$50"))</f>
        <v>1.1767574686336499</v>
      </c>
      <c r="C25" s="4">
        <f ca="1">SplineInterp(A25,INDIRECT("'" &amp;Master!$F$10&amp; "'!$A$2:$A$50"),INDIRECT("'" &amp;Master!$F$10&amp; "'!$C$2:$C$50"))</f>
        <v>1.1767574556687346</v>
      </c>
      <c r="D25" s="4">
        <f ca="1">SplineInterp(A25,INDIRECT("'" &amp;Master!$F$10&amp; "'!$A$2:$A$50"),INDIRECT("'" &amp;Master!$F$10&amp; "'!$D$2:$D$50"))</f>
        <v>1.1753498441235777</v>
      </c>
      <c r="E25" s="4">
        <f ca="1">SplineInterp(A25,INDIRECT("'" &amp;Master!$F$10&amp; "'!$A$2:$A$50"),INDIRECT("'" &amp;Master!$F$10&amp; "'!$E$2:$E$50"))</f>
        <v>1.1867316758718629</v>
      </c>
      <c r="F25" s="4">
        <f ca="1">SplineInterp(A25,INDIRECT("'" &amp;Master!$F$10&amp; "'!$A$2:$A$50"),INDIRECT("'" &amp;Master!$F$10&amp; "'!$F$2:$F$50"))</f>
        <v>1.1856971899311781</v>
      </c>
      <c r="G25" s="4">
        <f ca="1">SplineInterp(A25,INDIRECT("'" &amp;Master!$F$10&amp; "'!$A$2:$A$50"),INDIRECT("'" &amp;Master!$F$10&amp; "'!$G$2:$G$50"))</f>
        <v>1.1863884784373735</v>
      </c>
      <c r="H25" s="4">
        <f ca="1">SplineInterp(A25,INDIRECT("'" &amp;Master!$F$10&amp; "'!$A$2:$A$50"),INDIRECT("'" &amp;Master!$F$10&amp; "'!$H$2:$H$50"))</f>
        <v>1.1067542259193137</v>
      </c>
      <c r="I25" s="4">
        <f ca="1">IF(OR(INDIRECT("'" &amp; Master!$F$8 &amp; Master!$F$6 &amp; "'!B" &amp; ROW(B25))="", INDIRECT("'" &amp; Master!$F$8 &amp; Master!$F$6 &amp; "'!B" &amp; ROW(B25))=0), "", INDIRECT("'" &amp; Master!$F$8 &amp; Master!$F$6 &amp; "'!B" &amp; ROW(B25)))</f>
        <v>3.398780434049669E-2</v>
      </c>
      <c r="J25" s="9">
        <f t="shared" ca="1" si="0"/>
        <v>3.9995402600138667E-2</v>
      </c>
      <c r="K25" s="7">
        <f t="shared" ca="1" si="1"/>
        <v>3.9995402159489657E-2</v>
      </c>
      <c r="L25" s="7">
        <f t="shared" ca="1" si="2"/>
        <v>3.9947560533705441E-2</v>
      </c>
      <c r="M25" s="7">
        <f t="shared" ca="1" si="3"/>
        <v>4.0334404004202615E-2</v>
      </c>
      <c r="N25" s="7">
        <f t="shared" ca="1" si="4"/>
        <v>4.0299244098457622E-2</v>
      </c>
      <c r="O25" s="7">
        <f t="shared" ca="1" si="5"/>
        <v>4.0322739476949025E-2</v>
      </c>
      <c r="P25" s="7">
        <f t="shared" ca="1" si="6"/>
        <v>3.7616146083563506E-2</v>
      </c>
    </row>
    <row r="26" spans="1:16" x14ac:dyDescent="0.25">
      <c r="A26" s="19">
        <f ca="1">IF(OR(INDIRECT("'" &amp; Master!$F$8 &amp; Master!$F$6 &amp; "'!A" &amp; ROW(A26))="", INDIRECT("'" &amp; Master!$F$8 &amp; Master!$F$6 &amp; "'!A" &amp; ROW(A26))=0), "", INDIRECT("'" &amp; Master!$F$8 &amp; Master!$F$6 &amp; "'!A" &amp; ROW(A26)))</f>
        <v>765.65</v>
      </c>
      <c r="B26" s="4">
        <f ca="1">SplineInterp(INDIRECT("A" &amp; ROW()),INDIRECT("'" &amp;Master!$F$10&amp; "'!$A$2:$A$50"),INDIRECT("'" &amp;Master!$F$10&amp; "'!$B$2:$B$50"))</f>
        <v>1.1735744615788626</v>
      </c>
      <c r="C26" s="4">
        <f ca="1">SplineInterp(A26,INDIRECT("'" &amp;Master!$F$10&amp; "'!$A$2:$A$50"),INDIRECT("'" &amp;Master!$F$10&amp; "'!$C$2:$C$50"))</f>
        <v>1.1735744524697329</v>
      </c>
      <c r="D26" s="4">
        <f ca="1">SplineInterp(A26,INDIRECT("'" &amp;Master!$F$10&amp; "'!$A$2:$A$50"),INDIRECT("'" &amp;Master!$F$10&amp; "'!$D$2:$D$50"))</f>
        <v>1.172563520615435</v>
      </c>
      <c r="E26" s="4">
        <f ca="1">SplineInterp(A26,INDIRECT("'" &amp;Master!$F$10&amp; "'!$A$2:$A$50"),INDIRECT("'" &amp;Master!$F$10&amp; "'!$E$2:$E$50"))</f>
        <v>1.1835565489529201</v>
      </c>
      <c r="F26" s="4">
        <f ca="1">SplineInterp(A26,INDIRECT("'" &amp;Master!$F$10&amp; "'!$A$2:$A$50"),INDIRECT("'" &amp;Master!$F$10&amp; "'!$F$2:$F$50"))</f>
        <v>1.1828045087866819</v>
      </c>
      <c r="G26" s="4">
        <f ca="1">SplineInterp(A26,INDIRECT("'" &amp;Master!$F$10&amp; "'!$A$2:$A$50"),INDIRECT("'" &amp;Master!$F$10&amp; "'!$G$2:$G$50"))</f>
        <v>1.1832840903963999</v>
      </c>
      <c r="H26" s="4">
        <f ca="1">SplineInterp(A26,INDIRECT("'" &amp;Master!$F$10&amp; "'!$A$2:$A$50"),INDIRECT("'" &amp;Master!$F$10&amp; "'!$H$2:$H$50"))</f>
        <v>1.1031316854672191</v>
      </c>
      <c r="I26" s="4">
        <f ca="1">IF(OR(INDIRECT("'" &amp; Master!$F$8 &amp; Master!$F$6 &amp; "'!B" &amp; ROW(B26))="", INDIRECT("'" &amp; Master!$F$8 &amp; Master!$F$6 &amp; "'!B" &amp; ROW(B26))=0), "", INDIRECT("'" &amp; Master!$F$8 &amp; Master!$F$6 &amp; "'!B" &amp; ROW(B26)))</f>
        <v>3.4110200666017297E-2</v>
      </c>
      <c r="J26" s="9">
        <f t="shared" ca="1" si="0"/>
        <v>4.003086038096821E-2</v>
      </c>
      <c r="K26" s="7">
        <f t="shared" ca="1" si="1"/>
        <v>4.0030860070253971E-2</v>
      </c>
      <c r="L26" s="7">
        <f t="shared" ca="1" si="2"/>
        <v>3.9996376981844196E-2</v>
      </c>
      <c r="M26" s="7">
        <f t="shared" ca="1" si="3"/>
        <v>4.0371351384363027E-2</v>
      </c>
      <c r="N26" s="7">
        <f t="shared" ca="1" si="4"/>
        <v>4.0345699143383734E-2</v>
      </c>
      <c r="O26" s="7">
        <f t="shared" ca="1" si="5"/>
        <v>4.036205776832695E-2</v>
      </c>
      <c r="P26" s="7">
        <f t="shared" ca="1" si="6"/>
        <v>3.7628043152328719E-2</v>
      </c>
    </row>
    <row r="27" spans="1:16" x14ac:dyDescent="0.25">
      <c r="A27" s="19">
        <f ca="1">IF(OR(INDIRECT("'" &amp; Master!$F$8 &amp; Master!$F$6 &amp; "'!A" &amp; ROW(A27))="", INDIRECT("'" &amp; Master!$F$8 &amp; Master!$F$6 &amp; "'!A" &amp; ROW(A27))=0), "", INDIRECT("'" &amp; Master!$F$8 &amp; Master!$F$6 &amp; "'!A" &amp; ROW(A27)))</f>
        <v>796.9</v>
      </c>
      <c r="B27" s="4">
        <f ca="1">SplineInterp(INDIRECT("A" &amp; ROW()),INDIRECT("'" &amp;Master!$F$10&amp; "'!$A$2:$A$50"),INDIRECT("'" &amp;Master!$F$10&amp; "'!$B$2:$B$50"))</f>
        <v>1.1703208684495587</v>
      </c>
      <c r="C27" s="4">
        <f ca="1">SplineInterp(A27,INDIRECT("'" &amp;Master!$F$10&amp; "'!$A$2:$A$50"),INDIRECT("'" &amp;Master!$F$10&amp; "'!$C$2:$C$50"))</f>
        <v>1.1703208677485857</v>
      </c>
      <c r="D27" s="4">
        <f ca="1">SplineInterp(A27,INDIRECT("'" &amp;Master!$F$10&amp; "'!$A$2:$A$50"),INDIRECT("'" &amp;Master!$F$10&amp; "'!$D$2:$D$50"))</f>
        <v>1.1702389158081254</v>
      </c>
      <c r="E27" s="4">
        <f ca="1">SplineInterp(A27,INDIRECT("'" &amp;Master!$F$10&amp; "'!$A$2:$A$50"),INDIRECT("'" &amp;Master!$F$10&amp; "'!$E$2:$E$50"))</f>
        <v>1.1803195296821123</v>
      </c>
      <c r="F27" s="4">
        <f ca="1">SplineInterp(A27,INDIRECT("'" &amp;Master!$F$10&amp; "'!$A$2:$A$50"),INDIRECT("'" &amp;Master!$F$10&amp; "'!$F$2:$F$50"))</f>
        <v>1.1802568814483119</v>
      </c>
      <c r="G27" s="4">
        <f ca="1">SplineInterp(A27,INDIRECT("'" &amp;Master!$F$10&amp; "'!$A$2:$A$50"),INDIRECT("'" &amp;Master!$F$10&amp; "'!$G$2:$G$50"))</f>
        <v>1.1802926277437091</v>
      </c>
      <c r="H27" s="4">
        <f ca="1">SplineInterp(A27,INDIRECT("'" &amp;Master!$F$10&amp; "'!$A$2:$A$50"),INDIRECT("'" &amp;Master!$F$10&amp; "'!$H$2:$H$50"))</f>
        <v>1.1002033391726951</v>
      </c>
      <c r="I27" s="4">
        <f ca="1">IF(OR(INDIRECT("'" &amp; Master!$F$8 &amp; Master!$F$6 &amp; "'!B" &amp; ROW(B27))="", INDIRECT("'" &amp; Master!$F$8 &amp; Master!$F$6 &amp; "'!B" &amp; ROW(B27))=0), "", INDIRECT("'" &amp; Master!$F$8 &amp; Master!$F$6 &amp; "'!B" &amp; ROW(B27)))</f>
        <v>2.8377601243286917E-2</v>
      </c>
      <c r="J27" s="9">
        <f t="shared" ca="1" si="0"/>
        <v>3.3210898931558826E-2</v>
      </c>
      <c r="K27" s="7">
        <f t="shared" ca="1" si="1"/>
        <v>3.321089891166689E-2</v>
      </c>
      <c r="L27" s="7">
        <f t="shared" ca="1" si="2"/>
        <v>3.3208573312179392E-2</v>
      </c>
      <c r="M27" s="7">
        <f t="shared" ca="1" si="3"/>
        <v>3.3494636952982937E-2</v>
      </c>
      <c r="N27" s="7">
        <f t="shared" ca="1" si="4"/>
        <v>3.3492859146385556E-2</v>
      </c>
      <c r="O27" s="7">
        <f t="shared" ca="1" si="5"/>
        <v>3.3493873540502261E-2</v>
      </c>
      <c r="P27" s="7">
        <f t="shared" ca="1" si="6"/>
        <v>3.1221131645575492E-2</v>
      </c>
    </row>
    <row r="28" spans="1:16" x14ac:dyDescent="0.25">
      <c r="A28" s="19">
        <f ca="1">IF(OR(INDIRECT("'" &amp; Master!$F$8 &amp; Master!$F$6 &amp; "'!A" &amp; ROW(A28))="", INDIRECT("'" &amp; Master!$F$8 &amp; Master!$F$6 &amp; "'!A" &amp; ROW(A28))=0), "", INDIRECT("'" &amp; Master!$F$8 &amp; Master!$F$6 &amp; "'!A" &amp; ROW(A28)))</f>
        <v>828.15</v>
      </c>
      <c r="B28" s="4">
        <f ca="1">SplineInterp(INDIRECT("A" &amp; ROW()),INDIRECT("'" &amp;Master!$F$10&amp; "'!$A$2:$A$50"),INDIRECT("'" &amp;Master!$F$10&amp; "'!$B$2:$B$50"))</f>
        <v>1.167125423673381</v>
      </c>
      <c r="C28" s="4">
        <f ca="1">SplineInterp(A28,INDIRECT("'" &amp;Master!$F$10&amp; "'!$A$2:$A$50"),INDIRECT("'" &amp;Master!$F$10&amp; "'!$C$2:$C$50"))</f>
        <v>1.167125427407492</v>
      </c>
      <c r="D28" s="4">
        <f ca="1">SplineInterp(A28,INDIRECT("'" &amp;Master!$F$10&amp; "'!$A$2:$A$50"),INDIRECT("'" &amp;Master!$F$10&amp; "'!$D$2:$D$50"))</f>
        <v>1.1676131562879262</v>
      </c>
      <c r="E28" s="4">
        <f ca="1">SplineInterp(A28,INDIRECT("'" &amp;Master!$F$10&amp; "'!$A$2:$A$50"),INDIRECT("'" &amp;Master!$F$10&amp; "'!$E$2:$E$50"))</f>
        <v>1.1771320672880008</v>
      </c>
      <c r="F28" s="4">
        <f ca="1">SplineInterp(A28,INDIRECT("'" &amp;Master!$F$10&amp; "'!$A$2:$A$50"),INDIRECT("'" &amp;Master!$F$10&amp; "'!$F$2:$F$50"))</f>
        <v>1.1775245787805333</v>
      </c>
      <c r="G28" s="4">
        <f ca="1">SplineInterp(A28,INDIRECT("'" &amp;Master!$F$10&amp; "'!$A$2:$A$50"),INDIRECT("'" &amp;Master!$F$10&amp; "'!$G$2:$G$50"))</f>
        <v>1.1773484178463449</v>
      </c>
      <c r="H28" s="4">
        <f ca="1">SplineInterp(A28,INDIRECT("'" &amp;Master!$F$10&amp; "'!$A$2:$A$50"),INDIRECT("'" &amp;Master!$F$10&amp; "'!$H$2:$H$50"))</f>
        <v>1.0990015987728752</v>
      </c>
      <c r="I28" s="4">
        <f ca="1">IF(OR(INDIRECT("'" &amp; Master!$F$8 &amp; Master!$F$6 &amp; "'!B" &amp; ROW(B28))="", INDIRECT("'" &amp; Master!$F$8 &amp; Master!$F$6 &amp; "'!B" &amp; ROW(B28))=0), "", INDIRECT("'" &amp; Master!$F$8 &amp; Master!$F$6 &amp; "'!B" &amp; ROW(B28)))</f>
        <v>2.9608462202376746E-2</v>
      </c>
      <c r="J28" s="9">
        <f t="shared" ca="1" si="0"/>
        <v>3.4556788992266246E-2</v>
      </c>
      <c r="K28" s="7">
        <f t="shared" ca="1" si="1"/>
        <v>3.4556789102827536E-2</v>
      </c>
      <c r="L28" s="7">
        <f t="shared" ca="1" si="2"/>
        <v>3.4571230004948876E-2</v>
      </c>
      <c r="M28" s="7">
        <f t="shared" ca="1" si="3"/>
        <v>3.4853070321502373E-2</v>
      </c>
      <c r="N28" s="7">
        <f t="shared" ca="1" si="4"/>
        <v>3.4864691983193016E-2</v>
      </c>
      <c r="O28" s="7">
        <f t="shared" ca="1" si="5"/>
        <v>3.4859476128831564E-2</v>
      </c>
      <c r="P28" s="7">
        <f t="shared" ca="1" si="6"/>
        <v>3.2539747297618292E-2</v>
      </c>
    </row>
    <row r="29" spans="1:16" x14ac:dyDescent="0.25">
      <c r="A29" s="19">
        <f ca="1">IF(OR(INDIRECT("'" &amp; Master!$F$8 &amp; Master!$F$6 &amp; "'!A" &amp; ROW(A29))="", INDIRECT("'" &amp; Master!$F$8 &amp; Master!$F$6 &amp; "'!A" &amp; ROW(A29))=0), "", INDIRECT("'" &amp; Master!$F$8 &amp; Master!$F$6 &amp; "'!A" &amp; ROW(A29)))</f>
        <v>859.4</v>
      </c>
      <c r="B29" s="4">
        <f ca="1">SplineInterp(INDIRECT("A" &amp; ROW()),INDIRECT("'" &amp;Master!$F$10&amp; "'!$A$2:$A$50"),INDIRECT("'" &amp;Master!$F$10&amp; "'!$B$2:$B$50"))</f>
        <v>1.1640001538050919</v>
      </c>
      <c r="C29" s="4">
        <f ca="1">SplineInterp(A29,INDIRECT("'" &amp;Master!$F$10&amp; "'!$A$2:$A$50"),INDIRECT("'" &amp;Master!$F$10&amp; "'!$C$2:$C$50"))</f>
        <v>1.1640001574058463</v>
      </c>
      <c r="D29" s="4">
        <f ca="1">SplineInterp(A29,INDIRECT("'" &amp;Master!$F$10&amp; "'!$A$2:$A$50"),INDIRECT("'" &amp;Master!$F$10&amp; "'!$D$2:$D$50"))</f>
        <v>1.1645435036045455</v>
      </c>
      <c r="E29" s="4">
        <f ca="1">SplineInterp(A29,INDIRECT("'" &amp;Master!$F$10&amp; "'!$A$2:$A$50"),INDIRECT("'" &amp;Master!$F$10&amp; "'!$E$2:$E$50"))</f>
        <v>1.1740058635207473</v>
      </c>
      <c r="F29" s="4">
        <f ca="1">SplineInterp(A29,INDIRECT("'" &amp;Master!$F$10&amp; "'!$A$2:$A$50"),INDIRECT("'" &amp;Master!$F$10&amp; "'!$F$2:$F$50"))</f>
        <v>1.1744682612035031</v>
      </c>
      <c r="G29" s="4">
        <f ca="1">SplineInterp(A29,INDIRECT("'" &amp;Master!$F$10&amp; "'!$A$2:$A$50"),INDIRECT("'" &amp;Master!$F$10&amp; "'!$G$2:$G$50"))</f>
        <v>1.1743187473390917</v>
      </c>
      <c r="H29" s="4">
        <f ca="1">SplineInterp(A29,INDIRECT("'" &amp;Master!$F$10&amp; "'!$A$2:$A$50"),INDIRECT("'" &amp;Master!$F$10&amp; "'!$H$2:$H$50"))</f>
        <v>1.0991560234077293</v>
      </c>
      <c r="I29" s="4">
        <f ca="1">IF(OR(INDIRECT("'" &amp; Master!$F$8 &amp; Master!$F$6 &amp; "'!B" &amp; ROW(B29))="", INDIRECT("'" &amp; Master!$F$8 &amp; Master!$F$6 &amp; "'!B" &amp; ROW(B29))=0), "", INDIRECT("'" &amp; Master!$F$8 &amp; Master!$F$6 &amp; "'!B" &amp; ROW(B29)))</f>
        <v>2.5219903319348369E-2</v>
      </c>
      <c r="J29" s="9">
        <f t="shared" ca="1" si="0"/>
        <v>2.9355971342671049E-2</v>
      </c>
      <c r="K29" s="7">
        <f t="shared" ca="1" si="1"/>
        <v>2.9355971433481728E-2</v>
      </c>
      <c r="L29" s="7">
        <f t="shared" ca="1" si="2"/>
        <v>2.9369674572081856E-2</v>
      </c>
      <c r="M29" s="7">
        <f t="shared" ca="1" si="3"/>
        <v>2.9608314374341343E-2</v>
      </c>
      <c r="N29" s="7">
        <f t="shared" ca="1" si="4"/>
        <v>2.9619975999195535E-2</v>
      </c>
      <c r="O29" s="7">
        <f t="shared" ca="1" si="5"/>
        <v>2.9616205273990177E-2</v>
      </c>
      <c r="P29" s="7">
        <f t="shared" ca="1" si="6"/>
        <v>2.7720608643222348E-2</v>
      </c>
    </row>
    <row r="30" spans="1:16" x14ac:dyDescent="0.25">
      <c r="A30" s="19">
        <f ca="1">IF(OR(INDIRECT("'" &amp; Master!$F$8 &amp; Master!$F$6 &amp; "'!A" &amp; ROW(A30))="", INDIRECT("'" &amp; Master!$F$8 &amp; Master!$F$6 &amp; "'!A" &amp; ROW(A30))=0), "", INDIRECT("'" &amp; Master!$F$8 &amp; Master!$F$6 &amp; "'!A" &amp; ROW(A30)))</f>
        <v>890.65</v>
      </c>
      <c r="B30" s="4">
        <f ca="1">SplineInterp(INDIRECT("A" &amp; ROW()),INDIRECT("'" &amp;Master!$F$10&amp; "'!$A$2:$A$50"),INDIRECT("'" &amp;Master!$F$10&amp; "'!$B$2:$B$50"))</f>
        <v>1.1609178997236436</v>
      </c>
      <c r="C30" s="4">
        <f ca="1">SplineInterp(A30,INDIRECT("'" &amp;Master!$F$10&amp; "'!$A$2:$A$50"),INDIRECT("'" &amp;Master!$F$10&amp; "'!$C$2:$C$50"))</f>
        <v>1.160917900689824</v>
      </c>
      <c r="D30" s="4">
        <f ca="1">SplineInterp(A30,INDIRECT("'" &amp;Master!$F$10&amp; "'!$A$2:$A$50"),INDIRECT("'" &amp;Master!$F$10&amp; "'!$D$2:$D$50"))</f>
        <v>1.1610954349750362</v>
      </c>
      <c r="E30" s="4">
        <f ca="1">SplineInterp(A30,INDIRECT("'" &amp;Master!$F$10&amp; "'!$A$2:$A$50"),INDIRECT("'" &amp;Master!$F$10&amp; "'!$E$2:$E$50"))</f>
        <v>1.1709191290535625</v>
      </c>
      <c r="F30" s="4">
        <f ca="1">SplineInterp(A30,INDIRECT("'" &amp;Master!$F$10&amp; "'!$A$2:$A$50"),INDIRECT("'" &amp;Master!$F$10&amp; "'!$F$2:$F$50"))</f>
        <v>1.1710796658007754</v>
      </c>
      <c r="G30" s="4">
        <f ca="1">SplineInterp(A30,INDIRECT("'" &amp;Master!$F$10&amp; "'!$A$2:$A$50"),INDIRECT("'" &amp;Master!$F$10&amp; "'!$G$2:$G$50"))</f>
        <v>1.1710483933521421</v>
      </c>
      <c r="H30" s="4">
        <f ca="1">SplineInterp(A30,INDIRECT("'" &amp;Master!$F$10&amp; "'!$A$2:$A$50"),INDIRECT("'" &amp;Master!$F$10&amp; "'!$H$2:$H$50"))</f>
        <v>1.0998251523474778</v>
      </c>
      <c r="I30" s="4">
        <f ca="1">IF(OR(INDIRECT("'" &amp; Master!$F$8 &amp; Master!$F$6 &amp; "'!B" &amp; ROW(B30))="", INDIRECT("'" &amp; Master!$F$8 &amp; Master!$F$6 &amp; "'!B" &amp; ROW(B30))=0), "", INDIRECT("'" &amp; Master!$F$8 &amp; Master!$F$6 &amp; "'!B" &amp; ROW(B30)))</f>
        <v>2.6409813356925653E-2</v>
      </c>
      <c r="J30" s="9">
        <f t="shared" ca="1" si="0"/>
        <v>3.0659625054415558E-2</v>
      </c>
      <c r="K30" s="7">
        <f t="shared" ca="1" si="1"/>
        <v>3.0659625079932203E-2</v>
      </c>
      <c r="L30" s="7">
        <f t="shared" ca="1" si="2"/>
        <v>3.0664313727269112E-2</v>
      </c>
      <c r="M30" s="7">
        <f t="shared" ca="1" si="3"/>
        <v>3.092375565435853E-2</v>
      </c>
      <c r="N30" s="7">
        <f t="shared" ca="1" si="4"/>
        <v>3.0927995399889347E-2</v>
      </c>
      <c r="O30" s="7">
        <f t="shared" ca="1" si="5"/>
        <v>3.0927169500357728E-2</v>
      </c>
      <c r="P30" s="7">
        <f t="shared" ca="1" si="6"/>
        <v>2.9046176998749212E-2</v>
      </c>
    </row>
    <row r="31" spans="1:16" x14ac:dyDescent="0.25">
      <c r="A31" s="19">
        <f ca="1">IF(OR(INDIRECT("'" &amp; Master!$F$8 &amp; Master!$F$6 &amp; "'!A" &amp; ROW(A31))="", INDIRECT("'" &amp; Master!$F$8 &amp; Master!$F$6 &amp; "'!A" &amp; ROW(A31))=0), "", INDIRECT("'" &amp; Master!$F$8 &amp; Master!$F$6 &amp; "'!A" &amp; ROW(A31)))</f>
        <v>921.9</v>
      </c>
      <c r="B31" s="4">
        <f ca="1">SplineInterp(INDIRECT("A" &amp; ROW()),INDIRECT("'" &amp;Master!$F$10&amp; "'!$A$2:$A$50"),INDIRECT("'" &amp;Master!$F$10&amp; "'!$B$2:$B$50"))</f>
        <v>1.1578506459830169</v>
      </c>
      <c r="C31" s="4">
        <f ca="1">SplineInterp(A31,INDIRECT("'" &amp;Master!$F$10&amp; "'!$A$2:$A$50"),INDIRECT("'" &amp;Master!$F$10&amp; "'!$C$2:$C$50"))</f>
        <v>1.1578506438624723</v>
      </c>
      <c r="D31" s="4">
        <f ca="1">SplineInterp(A31,INDIRECT("'" &amp;Master!$F$10&amp; "'!$A$2:$A$50"),INDIRECT("'" &amp;Master!$F$10&amp; "'!$D$2:$D$50"))</f>
        <v>1.1573661108250768</v>
      </c>
      <c r="E31" s="4">
        <f ca="1">SplineInterp(A31,INDIRECT("'" &amp;Master!$F$10&amp; "'!$A$2:$A$50"),INDIRECT("'" &amp;Master!$F$10&amp; "'!$E$2:$E$50"))</f>
        <v>1.1678488529364037</v>
      </c>
      <c r="F31" s="4">
        <f ca="1">SplineInterp(A31,INDIRECT("'" &amp;Master!$F$10&amp; "'!$A$2:$A$50"),INDIRECT("'" &amp;Master!$F$10&amp; "'!$F$2:$F$50"))</f>
        <v>1.167387505690703</v>
      </c>
      <c r="G31" s="4">
        <f ca="1">SplineInterp(A31,INDIRECT("'" &amp;Master!$F$10&amp; "'!$A$2:$A$50"),INDIRECT("'" &amp;Master!$F$10&amp; "'!$G$2:$G$50"))</f>
        <v>1.1674296957765291</v>
      </c>
      <c r="H31" s="4">
        <f ca="1">SplineInterp(A31,INDIRECT("'" &amp;Master!$F$10&amp; "'!$A$2:$A$50"),INDIRECT("'" &amp;Master!$F$10&amp; "'!$H$2:$H$50"))</f>
        <v>1.1002294492693596</v>
      </c>
      <c r="I31" s="4">
        <f ca="1">IF(OR(INDIRECT("'" &amp; Master!$F$8 &amp; Master!$F$6 &amp; "'!B" &amp; ROW(B31))="", INDIRECT("'" &amp; Master!$F$8 &amp; Master!$F$6 &amp; "'!B" &amp; ROW(B31))=0), "", INDIRECT("'" &amp; Master!$F$8 &amp; Master!$F$6 &amp; "'!B" &amp; ROW(B31)))</f>
        <v>1.5678484637799521E-2</v>
      </c>
      <c r="J31" s="9">
        <f t="shared" ca="1" si="0"/>
        <v>1.8153343565910984E-2</v>
      </c>
      <c r="K31" s="7">
        <f t="shared" ca="1" si="1"/>
        <v>1.8153343532664054E-2</v>
      </c>
      <c r="L31" s="7">
        <f t="shared" ca="1" si="2"/>
        <v>1.8145746788880743E-2</v>
      </c>
      <c r="M31" s="7">
        <f t="shared" ca="1" si="3"/>
        <v>1.8310100300035197E-2</v>
      </c>
      <c r="N31" s="7">
        <f t="shared" ca="1" si="4"/>
        <v>1.8302867074330788E-2</v>
      </c>
      <c r="O31" s="7">
        <f t="shared" ca="1" si="5"/>
        <v>1.830352855094328E-2</v>
      </c>
      <c r="P31" s="7">
        <f t="shared" ca="1" si="6"/>
        <v>1.7249930518424283E-2</v>
      </c>
    </row>
    <row r="32" spans="1:16" x14ac:dyDescent="0.25">
      <c r="A32" s="19">
        <f ca="1">IF(OR(INDIRECT("'" &amp; Master!$F$8 &amp; Master!$F$6 &amp; "'!A" &amp; ROW(A32))="", INDIRECT("'" &amp; Master!$F$8 &amp; Master!$F$6 &amp; "'!A" &amp; ROW(A32))=0), "", INDIRECT("'" &amp; Master!$F$8 &amp; Master!$F$6 &amp; "'!A" &amp; ROW(A32)))</f>
        <v>953.15</v>
      </c>
      <c r="B32" s="4">
        <f ca="1">SplineInterp(INDIRECT("A" &amp; ROW()),INDIRECT("'" &amp;Master!$F$10&amp; "'!$A$2:$A$50"),INDIRECT("'" &amp;Master!$F$10&amp; "'!$B$2:$B$50"))</f>
        <v>1.1547618588515252</v>
      </c>
      <c r="C32" s="4">
        <f ca="1">SplineInterp(A32,INDIRECT("'" &amp;Master!$F$10&amp; "'!$A$2:$A$50"),INDIRECT("'" &amp;Master!$F$10&amp; "'!$C$2:$C$50"))</f>
        <v>1.1547618550340357</v>
      </c>
      <c r="D32" s="4">
        <f ca="1">SplineInterp(A32,INDIRECT("'" &amp;Master!$F$10&amp; "'!$A$2:$A$50"),INDIRECT("'" &amp;Master!$F$10&amp; "'!$D$2:$D$50"))</f>
        <v>1.153777283021135</v>
      </c>
      <c r="E32" s="4">
        <f ca="1">SplineInterp(A32,INDIRECT("'" &amp;Master!$F$10&amp; "'!$A$2:$A$50"),INDIRECT("'" &amp;Master!$F$10&amp; "'!$E$2:$E$50"))</f>
        <v>1.1647597020503708</v>
      </c>
      <c r="F32" s="4">
        <f ca="1">SplineInterp(A32,INDIRECT("'" &amp;Master!$F$10&amp; "'!$A$2:$A$50"),INDIRECT("'" &amp;Master!$F$10&amp; "'!$F$2:$F$50"))</f>
        <v>1.1638001593406744</v>
      </c>
      <c r="G32" s="4">
        <f ca="1">SplineInterp(A32,INDIRECT("'" &amp;Master!$F$10&amp; "'!$A$2:$A$50"),INDIRECT("'" &amp;Master!$F$10&amp; "'!$G$2:$G$50"))</f>
        <v>1.1638448134716972</v>
      </c>
      <c r="H32" s="4">
        <f ca="1">SplineInterp(A32,INDIRECT("'" &amp;Master!$F$10&amp; "'!$A$2:$A$50"),INDIRECT("'" &amp;Master!$F$10&amp; "'!$H$2:$H$50"))</f>
        <v>1.100230450671805</v>
      </c>
      <c r="I32" s="4">
        <f ca="1">IF(OR(INDIRECT("'" &amp; Master!$F$8 &amp; Master!$F$6 &amp; "'!B" &amp; ROW(B32))="", INDIRECT("'" &amp; Master!$F$8 &amp; Master!$F$6 &amp; "'!B" &amp; ROW(B32))=0), "", INDIRECT("'" &amp; Master!$F$8 &amp; Master!$F$6 &amp; "'!B" &amp; ROW(B32)))</f>
        <v>2.2401912297807636E-2</v>
      </c>
      <c r="J32" s="9">
        <f t="shared" ca="1" si="0"/>
        <v>2.5868873886845188E-2</v>
      </c>
      <c r="K32" s="7">
        <f t="shared" ca="1" si="1"/>
        <v>2.5868873801326124E-2</v>
      </c>
      <c r="L32" s="7">
        <f t="shared" ca="1" si="2"/>
        <v>2.5846817505442245E-2</v>
      </c>
      <c r="M32" s="7">
        <f t="shared" ca="1" si="3"/>
        <v>2.6092844693352959E-2</v>
      </c>
      <c r="N32" s="7">
        <f t="shared" ca="1" si="4"/>
        <v>2.6071349101724338E-2</v>
      </c>
      <c r="O32" s="7">
        <f t="shared" ca="1" si="5"/>
        <v>2.6072349439651248E-2</v>
      </c>
      <c r="P32" s="7">
        <f t="shared" ca="1" si="6"/>
        <v>2.4647266063327147E-2</v>
      </c>
    </row>
    <row r="33" spans="1:16" x14ac:dyDescent="0.25">
      <c r="A33" s="19">
        <f ca="1">IF(OR(INDIRECT("'" &amp; Master!$F$8 &amp; Master!$F$6 &amp; "'!A" &amp; ROW(A33))="", INDIRECT("'" &amp; Master!$F$8 &amp; Master!$F$6 &amp; "'!A" &amp; ROW(A33))=0), "", INDIRECT("'" &amp; Master!$F$8 &amp; Master!$F$6 &amp; "'!A" &amp; ROW(A33)))</f>
        <v>984.4</v>
      </c>
      <c r="B33" s="4">
        <f ca="1">SplineInterp(INDIRECT("A" &amp; ROW()),INDIRECT("'" &amp;Master!$F$10&amp; "'!$A$2:$A$50"),INDIRECT("'" &amp;Master!$F$10&amp; "'!$B$2:$B$50"))</f>
        <v>1.1516099901020616</v>
      </c>
      <c r="C33" s="4">
        <f ca="1">SplineInterp(A33,INDIRECT("'" &amp;Master!$F$10&amp; "'!$A$2:$A$50"),INDIRECT("'" &amp;Master!$F$10&amp; "'!$C$2:$C$50"))</f>
        <v>1.1516099876974037</v>
      </c>
      <c r="D33" s="4">
        <f ca="1">SplineInterp(A33,INDIRECT("'" &amp;Master!$F$10&amp; "'!$A$2:$A$50"),INDIRECT("'" &amp;Master!$F$10&amp; "'!$D$2:$D$50"))</f>
        <v>1.1509417820524177</v>
      </c>
      <c r="E33" s="4">
        <f ca="1">SplineInterp(A33,INDIRECT("'" &amp;Master!$F$10&amp; "'!$A$2:$A$50"),INDIRECT("'" &amp;Master!$F$10&amp; "'!$E$2:$E$50"))</f>
        <v>1.1616090895330613</v>
      </c>
      <c r="F33" s="4">
        <f ca="1">SplineInterp(A33,INDIRECT("'" &amp;Master!$F$10&amp; "'!$A$2:$A$50"),INDIRECT("'" &amp;Master!$F$10&amp; "'!$F$2:$F$50"))</f>
        <v>1.160949504432409</v>
      </c>
      <c r="G33" s="4">
        <f ca="1">SplineInterp(A33,INDIRECT("'" &amp;Master!$F$10&amp; "'!$A$2:$A$50"),INDIRECT("'" &amp;Master!$F$10&amp; "'!$G$2:$G$50"))</f>
        <v>1.1609642491106171</v>
      </c>
      <c r="H33" s="4">
        <f ca="1">SplineInterp(A33,INDIRECT("'" &amp;Master!$F$10&amp; "'!$A$2:$A$50"),INDIRECT("'" &amp;Master!$F$10&amp; "'!$H$2:$H$50"))</f>
        <v>1.1000670761150104</v>
      </c>
      <c r="I33" s="4">
        <f ca="1">IF(OR(INDIRECT("'" &amp; Master!$F$8 &amp; Master!$F$6 &amp; "'!B" &amp; ROW(B33))="", INDIRECT("'" &amp; Master!$F$8 &amp; Master!$F$6 &amp; "'!B" &amp; ROW(B33))=0), "", INDIRECT("'" &amp; Master!$F$8 &amp; Master!$F$6 &amp; "'!B" &amp; ROW(B33)))</f>
        <v>2.6088775863258005E-2</v>
      </c>
      <c r="J33" s="9">
        <f t="shared" ca="1" si="0"/>
        <v>3.0044094913661452E-2</v>
      </c>
      <c r="K33" s="7">
        <f t="shared" ca="1" si="1"/>
        <v>3.0044094850926874E-2</v>
      </c>
      <c r="L33" s="7">
        <f t="shared" ca="1" si="2"/>
        <v>3.0026662183624271E-2</v>
      </c>
      <c r="M33" s="7">
        <f t="shared" ca="1" si="3"/>
        <v>3.0304959177551237E-2</v>
      </c>
      <c r="N33" s="7">
        <f t="shared" ca="1" si="4"/>
        <v>3.0287751409697573E-2</v>
      </c>
      <c r="O33" s="7">
        <f t="shared" ca="1" si="5"/>
        <v>3.0288136080302522E-2</v>
      </c>
      <c r="P33" s="7">
        <f t="shared" ca="1" si="6"/>
        <v>2.8699403383314091E-2</v>
      </c>
    </row>
    <row r="34" spans="1:16" x14ac:dyDescent="0.25">
      <c r="A34" s="19">
        <f ca="1">IF(OR(INDIRECT("'" &amp; Master!$F$8 &amp; Master!$F$6 &amp; "'!A" &amp; ROW(A34))="", INDIRECT("'" &amp; Master!$F$8 &amp; Master!$F$6 &amp; "'!A" &amp; ROW(A34))=0), "", INDIRECT("'" &amp; Master!$F$8 &amp; Master!$F$6 &amp; "'!A" &amp; ROW(A34)))</f>
        <v>1015.5</v>
      </c>
      <c r="B34" s="4">
        <f ca="1">SplineInterp(INDIRECT("A" &amp; ROW()),INDIRECT("'" &amp;Master!$F$10&amp; "'!$A$2:$A$50"),INDIRECT("'" &amp;Master!$F$10&amp; "'!$B$2:$B$50"))</f>
        <v>1.1483741591563834</v>
      </c>
      <c r="C34" s="4">
        <f ca="1">SplineInterp(A34,INDIRECT("'" &amp;Master!$F$10&amp; "'!$A$2:$A$50"),INDIRECT("'" &amp;Master!$F$10&amp; "'!$C$2:$C$50"))</f>
        <v>1.1483741627317225</v>
      </c>
      <c r="D34" s="4">
        <f ca="1">SplineInterp(A34,INDIRECT("'" &amp;Master!$F$10&amp; "'!$A$2:$A$50"),INDIRECT("'" &amp;Master!$F$10&amp; "'!$D$2:$D$50"))</f>
        <v>1.149451024738624</v>
      </c>
      <c r="E34" s="4">
        <f ca="1">SplineInterp(A34,INDIRECT("'" &amp;Master!$F$10&amp; "'!$A$2:$A$50"),INDIRECT("'" &amp;Master!$F$10&amp; "'!$E$2:$E$50"))</f>
        <v>1.1583750583559771</v>
      </c>
      <c r="F34" s="4">
        <f ca="1">SplineInterp(A34,INDIRECT("'" &amp;Master!$F$10&amp; "'!$A$2:$A$50"),INDIRECT("'" &amp;Master!$F$10&amp; "'!$F$2:$F$50"))</f>
        <v>1.1594459644475863</v>
      </c>
      <c r="G34" s="4">
        <f ca="1">SplineInterp(A34,INDIRECT("'" &amp;Master!$F$10&amp; "'!$A$2:$A$50"),INDIRECT("'" &amp;Master!$F$10&amp; "'!$G$2:$G$50"))</f>
        <v>1.1594368925767577</v>
      </c>
      <c r="H34" s="4">
        <f ca="1">SplineInterp(A34,INDIRECT("'" &amp;Master!$F$10&amp; "'!$A$2:$A$50"),INDIRECT("'" &amp;Master!$F$10&amp; "'!$H$2:$H$50"))</f>
        <v>1.0999752499644315</v>
      </c>
      <c r="I34" s="4">
        <f ca="1">IF(OR(INDIRECT("'" &amp; Master!$F$8 &amp; Master!$F$6 &amp; "'!B" &amp; ROW(B34))="", INDIRECT("'" &amp; Master!$F$8 &amp; Master!$F$6 &amp; "'!B" &amp; ROW(B34))=0), "", INDIRECT("'" &amp; Master!$F$8 &amp; Master!$F$6 &amp; "'!B" &amp; ROW(B34)))</f>
        <v>1.5187270125839581E-2</v>
      </c>
      <c r="J34" s="9">
        <f t="shared" ca="1" si="0"/>
        <v>1.744066856064189E-2</v>
      </c>
      <c r="K34" s="7">
        <f t="shared" ca="1" si="1"/>
        <v>1.7440668614941531E-2</v>
      </c>
      <c r="L34" s="7">
        <f t="shared" ca="1" si="2"/>
        <v>1.7457023209128598E-2</v>
      </c>
      <c r="M34" s="7">
        <f t="shared" ca="1" si="3"/>
        <v>1.7592554918287411E-2</v>
      </c>
      <c r="N34" s="7">
        <f t="shared" ca="1" si="4"/>
        <v>1.7608819058380087E-2</v>
      </c>
      <c r="O34" s="7">
        <f t="shared" ca="1" si="5"/>
        <v>1.7608681281427268E-2</v>
      </c>
      <c r="P34" s="7">
        <f t="shared" ca="1" si="6"/>
        <v>1.6705621252947736E-2</v>
      </c>
    </row>
    <row r="35" spans="1:16" x14ac:dyDescent="0.25">
      <c r="A35" s="19">
        <f ca="1">IF(OR(INDIRECT("'" &amp; Master!$F$8 &amp; Master!$F$6 &amp; "'!A" &amp; ROW(A35))="", INDIRECT("'" &amp; Master!$F$8 &amp; Master!$F$6 &amp; "'!A" &amp; ROW(A35))=0), "", INDIRECT("'" &amp; Master!$F$8 &amp; Master!$F$6 &amp; "'!A" &amp; ROW(A35)))</f>
        <v>1047</v>
      </c>
      <c r="B35" s="4">
        <f ca="1">SplineInterp(INDIRECT("A" &amp; ROW()),INDIRECT("'" &amp;Master!$F$10&amp; "'!$A$2:$A$50"),INDIRECT("'" &amp;Master!$F$10&amp; "'!$B$2:$B$50"))</f>
        <v>1.1450727788497295</v>
      </c>
      <c r="C35" s="4">
        <f ca="1">SplineInterp(A35,INDIRECT("'" &amp;Master!$F$10&amp; "'!$A$2:$A$50"),INDIRECT("'" &amp;Master!$F$10&amp; "'!$C$2:$C$50"))</f>
        <v>1.1450727894819499</v>
      </c>
      <c r="D35" s="4">
        <f ca="1">SplineInterp(A35,INDIRECT("'" &amp;Master!$F$10&amp; "'!$A$2:$A$50"),INDIRECT("'" &amp;Master!$F$10&amp; "'!$D$2:$D$50"))</f>
        <v>1.1492540446190636</v>
      </c>
      <c r="E35" s="4">
        <f ca="1">SplineInterp(A35,INDIRECT("'" &amp;Master!$F$10&amp; "'!$A$2:$A$50"),INDIRECT("'" &amp;Master!$F$10&amp; "'!$E$2:$E$50"))</f>
        <v>1.1550749623119958</v>
      </c>
      <c r="F35" s="4">
        <f ca="1">SplineInterp(A35,INDIRECT("'" &amp;Master!$F$10&amp; "'!$A$2:$A$50"),INDIRECT("'" &amp;Master!$F$10&amp; "'!$F$2:$F$50"))</f>
        <v>1.1592461590850038</v>
      </c>
      <c r="G35" s="4">
        <f ca="1">SplineInterp(A35,INDIRECT("'" &amp;Master!$F$10&amp; "'!$A$2:$A$50"),INDIRECT("'" &amp;Master!$F$10&amp; "'!$G$2:$G$50"))</f>
        <v>1.1592335153409987</v>
      </c>
      <c r="H35" s="4">
        <f ca="1">SplineInterp(A35,INDIRECT("'" &amp;Master!$F$10&amp; "'!$A$2:$A$50"),INDIRECT("'" &amp;Master!$F$10&amp; "'!$H$2:$H$50"))</f>
        <v>1.1000100320258284</v>
      </c>
      <c r="I35" s="4">
        <f ca="1">IF(OR(INDIRECT("'" &amp; Master!$F$8 &amp; Master!$F$6 &amp; "'!B" &amp; ROW(B35))="", INDIRECT("'" &amp; Master!$F$8 &amp; Master!$F$6 &amp; "'!B" &amp; ROW(B35))=0), "", INDIRECT("'" &amp; Master!$F$8 &amp; Master!$F$6 &amp; "'!B" &amp; ROW(B35)))</f>
        <v>1.7728961257415334E-2</v>
      </c>
      <c r="J35" s="9">
        <f t="shared" ca="1" si="0"/>
        <v>2.0300950933147769E-2</v>
      </c>
      <c r="K35" s="7">
        <f t="shared" ca="1" si="1"/>
        <v>2.0300951121645993E-2</v>
      </c>
      <c r="L35" s="7">
        <f t="shared" ca="1" si="2"/>
        <v>2.0375080431979251E-2</v>
      </c>
      <c r="M35" s="7">
        <f t="shared" ca="1" si="3"/>
        <v>2.0478279256239851E-2</v>
      </c>
      <c r="N35" s="7">
        <f t="shared" ca="1" si="4"/>
        <v>2.0552230242225564E-2</v>
      </c>
      <c r="O35" s="7">
        <f t="shared" ca="1" si="5"/>
        <v>2.055200608177795E-2</v>
      </c>
      <c r="P35" s="7">
        <f t="shared" ca="1" si="6"/>
        <v>1.9502035240554112E-2</v>
      </c>
    </row>
    <row r="36" spans="1:16" x14ac:dyDescent="0.25">
      <c r="A36" s="19">
        <f ca="1">IF(OR(INDIRECT("'" &amp; Master!$F$8 &amp; Master!$F$6 &amp; "'!A" &amp; ROW(A36))="", INDIRECT("'" &amp; Master!$F$8 &amp; Master!$F$6 &amp; "'!A" &amp; ROW(A36))=0), "", INDIRECT("'" &amp; Master!$F$8 &amp; Master!$F$6 &amp; "'!A" &amp; ROW(A36)))</f>
        <v>1078.5</v>
      </c>
      <c r="B36" s="4">
        <f ca="1">SplineInterp(INDIRECT("A" &amp; ROW()),INDIRECT("'" &amp;Master!$F$10&amp; "'!$A$2:$A$50"),INDIRECT("'" &amp;Master!$F$10&amp; "'!$B$2:$B$50"))</f>
        <v>1.1419398264212983</v>
      </c>
      <c r="C36" s="4">
        <f ca="1">SplineInterp(A36,INDIRECT("'" &amp;Master!$F$10&amp; "'!$A$2:$A$50"),INDIRECT("'" &amp;Master!$F$10&amp; "'!$C$2:$C$50"))</f>
        <v>1.1419398362215905</v>
      </c>
      <c r="D36" s="4">
        <f ca="1">SplineInterp(A36,INDIRECT("'" &amp;Master!$F$10&amp; "'!$A$2:$A$50"),INDIRECT("'" &amp;Master!$F$10&amp; "'!$D$2:$D$50"))</f>
        <v>1.1496965841636413</v>
      </c>
      <c r="E36" s="4">
        <f ca="1">SplineInterp(A36,INDIRECT("'" &amp;Master!$F$10&amp; "'!$A$2:$A$50"),INDIRECT("'" &amp;Master!$F$10&amp; "'!$E$2:$E$50"))</f>
        <v>1.151941626470776</v>
      </c>
      <c r="F36" s="4">
        <f ca="1">SplineInterp(A36,INDIRECT("'" &amp;Master!$F$10&amp; "'!$A$2:$A$50"),INDIRECT("'" &amp;Master!$F$10&amp; "'!$F$2:$F$50"))</f>
        <v>1.1596924193624889</v>
      </c>
      <c r="G36" s="4">
        <f ca="1">SplineInterp(A36,INDIRECT("'" &amp;Master!$F$10&amp; "'!$A$2:$A$50"),INDIRECT("'" &amp;Master!$F$10&amp; "'!$G$2:$G$50"))</f>
        <v>1.1596869761549338</v>
      </c>
      <c r="H36" s="4">
        <f ca="1">SplineInterp(A36,INDIRECT("'" &amp;Master!$F$10&amp; "'!$A$2:$A$50"),INDIRECT("'" &amp;Master!$F$10&amp; "'!$H$2:$H$50"))</f>
        <v>1.1000454871923713</v>
      </c>
      <c r="I36" s="4">
        <f ca="1">IF(OR(INDIRECT("'" &amp; Master!$F$8 &amp; Master!$F$6 &amp; "'!B" &amp; ROW(B36))="", INDIRECT("'" &amp; Master!$F$8 &amp; Master!$F$6 &amp; "'!B" &amp; ROW(B36))=0), "", INDIRECT("'" &amp; Master!$F$8 &amp; Master!$F$6 &amp; "'!B" &amp; ROW(B36)))</f>
        <v>1.6580150801682628E-2</v>
      </c>
      <c r="J36" s="9">
        <f t="shared" ca="1" si="0"/>
        <v>1.8933534528512409E-2</v>
      </c>
      <c r="K36" s="7">
        <f t="shared" ca="1" si="1"/>
        <v>1.8933534691002733E-2</v>
      </c>
      <c r="L36" s="7">
        <f t="shared" ca="1" si="2"/>
        <v>1.9062142741612578E-2</v>
      </c>
      <c r="M36" s="7">
        <f t="shared" ca="1" si="3"/>
        <v>1.9099365881621026E-2</v>
      </c>
      <c r="N36" s="7">
        <f t="shared" ca="1" si="4"/>
        <v>1.9227875196598236E-2</v>
      </c>
      <c r="O36" s="7">
        <f t="shared" ca="1" si="5"/>
        <v>1.9227784947396128E-2</v>
      </c>
      <c r="P36" s="7">
        <f t="shared" ca="1" si="6"/>
        <v>1.8238920066359951E-2</v>
      </c>
    </row>
    <row r="37" spans="1:16" x14ac:dyDescent="0.25">
      <c r="A37" s="19">
        <f ca="1">IF(OR(INDIRECT("'" &amp; Master!$F$8 &amp; Master!$F$6 &amp; "'!A" &amp; ROW(A37))="", INDIRECT("'" &amp; Master!$F$8 &amp; Master!$F$6 &amp; "'!A" &amp; ROW(A37))=0), "", INDIRECT("'" &amp; Master!$F$8 &amp; Master!$F$6 &amp; "'!A" &amp; ROW(A37)))</f>
        <v>1109.5</v>
      </c>
      <c r="B37" s="4">
        <f ca="1">SplineInterp(INDIRECT("A" &amp; ROW()),INDIRECT("'" &amp;Master!$F$10&amp; "'!$A$2:$A$50"),INDIRECT("'" &amp;Master!$F$10&amp; "'!$B$2:$B$50"))</f>
        <v>1.1392125178814743</v>
      </c>
      <c r="C37" s="4">
        <f ca="1">SplineInterp(A37,INDIRECT("'" &amp;Master!$F$10&amp; "'!$A$2:$A$50"),INDIRECT("'" &amp;Master!$F$10&amp; "'!$C$2:$C$50"))</f>
        <v>1.139212510336761</v>
      </c>
      <c r="D37" s="4">
        <f ca="1">SplineInterp(A37,INDIRECT("'" &amp;Master!$F$10&amp; "'!$A$2:$A$50"),INDIRECT("'" &amp;Master!$F$10&amp; "'!$D$2:$D$50"))</f>
        <v>1.1500680266311598</v>
      </c>
      <c r="E37" s="4">
        <f ca="1">SplineInterp(A37,INDIRECT("'" &amp;Master!$F$10&amp; "'!$A$2:$A$50"),INDIRECT("'" &amp;Master!$F$10&amp; "'!$E$2:$E$50"))</f>
        <v>1.1492112235769076</v>
      </c>
      <c r="F37" s="4">
        <f ca="1">SplineInterp(A37,INDIRECT("'" &amp;Master!$F$10&amp; "'!$A$2:$A$50"),INDIRECT("'" &amp;Master!$F$10&amp; "'!$F$2:$F$50"))</f>
        <v>1.160069897517227</v>
      </c>
      <c r="G37" s="4">
        <f ca="1">SplineInterp(A37,INDIRECT("'" &amp;Master!$F$10&amp; "'!$A$2:$A$50"),INDIRECT("'" &amp;Master!$F$10&amp; "'!$G$2:$G$50"))</f>
        <v>1.1600714155881671</v>
      </c>
      <c r="H37" s="4">
        <f ca="1">SplineInterp(A37,INDIRECT("'" &amp;Master!$F$10&amp; "'!$A$2:$A$50"),INDIRECT("'" &amp;Master!$F$10&amp; "'!$H$2:$H$50"))</f>
        <v>1.0999492556901318</v>
      </c>
      <c r="I37" s="4">
        <f ca="1">IF(OR(INDIRECT("'" &amp; Master!$F$8 &amp; Master!$F$6 &amp; "'!B" &amp; ROW(B37))="", INDIRECT("'" &amp; Master!$F$8 &amp; Master!$F$6 &amp; "'!B" &amp; ROW(B37))=0), "", INDIRECT("'" &amp; Master!$F$8 &amp; Master!$F$6 &amp; "'!B" &amp; ROW(B37)))</f>
        <v>1.227677390662202E-2</v>
      </c>
      <c r="J37" s="9">
        <f t="shared" ca="1" si="0"/>
        <v>1.3985854513624454E-2</v>
      </c>
      <c r="K37" s="7">
        <f t="shared" ca="1" si="1"/>
        <v>1.3985854420999715E-2</v>
      </c>
      <c r="L37" s="7">
        <f t="shared" ca="1" si="2"/>
        <v>1.4119125140185701E-2</v>
      </c>
      <c r="M37" s="7">
        <f t="shared" ca="1" si="3"/>
        <v>1.4108606362806144E-2</v>
      </c>
      <c r="N37" s="7">
        <f t="shared" ca="1" si="4"/>
        <v>1.4241915847697174E-2</v>
      </c>
      <c r="O37" s="7">
        <f t="shared" ca="1" si="5"/>
        <v>1.4241934484710879E-2</v>
      </c>
      <c r="P37" s="7">
        <f t="shared" ca="1" si="6"/>
        <v>1.3503828320864922E-2</v>
      </c>
    </row>
    <row r="38" spans="1:16" x14ac:dyDescent="0.25">
      <c r="A38" s="19">
        <f ca="1">IF(OR(INDIRECT("'" &amp; Master!$F$8 &amp; Master!$F$6 &amp; "'!A" &amp; ROW(A38))="", INDIRECT("'" &amp; Master!$F$8 &amp; Master!$F$6 &amp; "'!A" &amp; ROW(A38))=0), "", INDIRECT("'" &amp; Master!$F$8 &amp; Master!$F$6 &amp; "'!A" &amp; ROW(A38)))</f>
        <v>1140.5</v>
      </c>
      <c r="B38" s="4">
        <f ca="1">SplineInterp(INDIRECT("A" &amp; ROW()),INDIRECT("'" &amp;Master!$F$10&amp; "'!$A$2:$A$50"),INDIRECT("'" &amp;Master!$F$10&amp; "'!$B$2:$B$50"))</f>
        <v>1.1369444434520661</v>
      </c>
      <c r="C38" s="4">
        <f ca="1">SplineInterp(A38,INDIRECT("'" &amp;Master!$F$10&amp; "'!$A$2:$A$50"),INDIRECT("'" &amp;Master!$F$10&amp; "'!$C$2:$C$50"))</f>
        <v>1.1369443986587751</v>
      </c>
      <c r="D38" s="4">
        <f ca="1">SplineInterp(A38,INDIRECT("'" &amp;Master!$F$10&amp; "'!$A$2:$A$50"),INDIRECT("'" &amp;Master!$F$10&amp; "'!$D$2:$D$50"))</f>
        <v>1.1499568950268468</v>
      </c>
      <c r="E38" s="4">
        <f ca="1">SplineInterp(A38,INDIRECT("'" &amp;Master!$F$10&amp; "'!$A$2:$A$50"),INDIRECT("'" &amp;Master!$F$10&amp; "'!$E$2:$E$50"))</f>
        <v>1.1469369958226969</v>
      </c>
      <c r="F38" s="4">
        <f ca="1">SplineInterp(A38,INDIRECT("'" &amp;Master!$F$10&amp; "'!$A$2:$A$50"),INDIRECT("'" &amp;Master!$F$10&amp; "'!$F$2:$F$50"))</f>
        <v>1.1599645462550532</v>
      </c>
      <c r="G38" s="4">
        <f ca="1">SplineInterp(A38,INDIRECT("'" &amp;Master!$F$10&amp; "'!$A$2:$A$50"),INDIRECT("'" &amp;Master!$F$10&amp; "'!$G$2:$G$50"))</f>
        <v>1.1599666423013246</v>
      </c>
      <c r="H38" s="4">
        <f ca="1">SplineInterp(A38,INDIRECT("'" &amp;Master!$F$10&amp; "'!$A$2:$A$50"),INDIRECT("'" &amp;Master!$F$10&amp; "'!$H$2:$H$50"))</f>
        <v>1.099648787473759</v>
      </c>
      <c r="I38" s="4">
        <f ca="1">IF(OR(INDIRECT("'" &amp; Master!$F$8 &amp; Master!$F$6 &amp; "'!B" &amp; ROW(B38))="", INDIRECT("'" &amp; Master!$F$8 &amp; Master!$F$6 &amp; "'!B" &amp; ROW(B38))=0), "", INDIRECT("'" &amp; Master!$F$8 &amp; Master!$F$6 &amp; "'!B" &amp; ROW(B38)))</f>
        <v>9.0649336596062332E-3</v>
      </c>
      <c r="J38" s="9">
        <f t="shared" ca="1" si="0"/>
        <v>1.030632595455091E-2</v>
      </c>
      <c r="K38" s="7">
        <f t="shared" ca="1" si="1"/>
        <v>1.0306325548502698E-2</v>
      </c>
      <c r="L38" s="7">
        <f t="shared" ca="1" si="2"/>
        <v>1.0424282964825136E-2</v>
      </c>
      <c r="M38" s="7">
        <f t="shared" ca="1" si="3"/>
        <v>1.039690777888082E-2</v>
      </c>
      <c r="N38" s="7">
        <f t="shared" ca="1" si="4"/>
        <v>1.0515001659297304E-2</v>
      </c>
      <c r="O38" s="7">
        <f t="shared" ca="1" si="5"/>
        <v>1.05150206598177E-2</v>
      </c>
      <c r="P38" s="7">
        <f t="shared" ca="1" si="6"/>
        <v>9.9682433073160596E-3</v>
      </c>
    </row>
    <row r="39" spans="1:16" x14ac:dyDescent="0.25">
      <c r="A39" s="19">
        <f ca="1">IF(OR(INDIRECT("'" &amp; Master!$F$8 &amp; Master!$F$6 &amp; "'!A" &amp; ROW(A39))="", INDIRECT("'" &amp; Master!$F$8 &amp; Master!$F$6 &amp; "'!A" &amp; ROW(A39))=0), "", INDIRECT("'" &amp; Master!$F$8 &amp; Master!$F$6 &amp; "'!A" &amp; ROW(A39)))</f>
        <v>1172</v>
      </c>
      <c r="B39" s="4">
        <f ca="1">SplineInterp(INDIRECT("A" &amp; ROW()),INDIRECT("'" &amp;Master!$F$10&amp; "'!$A$2:$A$50"),INDIRECT("'" &amp;Master!$F$10&amp; "'!$B$2:$B$50"))</f>
        <v>1.1350764678375507</v>
      </c>
      <c r="C39" s="4">
        <f ca="1">SplineInterp(A39,INDIRECT("'" &amp;Master!$F$10&amp; "'!$A$2:$A$50"),INDIRECT("'" &amp;Master!$F$10&amp; "'!$C$2:$C$50"))</f>
        <v>1.1350763701594957</v>
      </c>
      <c r="D39" s="4">
        <f ca="1">SplineInterp(A39,INDIRECT("'" &amp;Master!$F$10&amp; "'!$A$2:$A$50"),INDIRECT("'" &amp;Master!$F$10&amp; "'!$D$2:$D$50"))</f>
        <v>1.149368515692144</v>
      </c>
      <c r="E39" s="4">
        <f ca="1">SplineInterp(A39,INDIRECT("'" &amp;Master!$F$10&amp; "'!$A$2:$A$50"),INDIRECT("'" &amp;Master!$F$10&amp; "'!$E$2:$E$50"))</f>
        <v>1.1450604851436432</v>
      </c>
      <c r="F39" s="4">
        <f ca="1">SplineInterp(A39,INDIRECT("'" &amp;Master!$F$10&amp; "'!$A$2:$A$50"),INDIRECT("'" &amp;Master!$F$10&amp; "'!$F$2:$F$50"))</f>
        <v>1.1593814345121698</v>
      </c>
      <c r="G39" s="4">
        <f ca="1">SplineInterp(A39,INDIRECT("'" &amp;Master!$F$10&amp; "'!$A$2:$A$50"),INDIRECT("'" &amp;Master!$F$10&amp; "'!$G$2:$G$50"))</f>
        <v>1.1593784691467997</v>
      </c>
      <c r="H39" s="4">
        <f ca="1">SplineInterp(A39,INDIRECT("'" &amp;Master!$F$10&amp; "'!$A$2:$A$50"),INDIRECT("'" &amp;Master!$F$10&amp; "'!$H$2:$H$50"))</f>
        <v>1.0991544759468321</v>
      </c>
      <c r="I39" s="4">
        <f ca="1">IF(OR(INDIRECT("'" &amp; Master!$F$8 &amp; Master!$F$6 &amp; "'!B" &amp; ROW(B39))="", INDIRECT("'" &amp; Master!$F$8 &amp; Master!$F$6 &amp; "'!B" &amp; ROW(B39))=0), "", INDIRECT("'" &amp; Master!$F$8 &amp; Master!$F$6 &amp; "'!B" &amp; ROW(B39)))</f>
        <v>1.0594765720505765E-2</v>
      </c>
      <c r="J39" s="9">
        <f t="shared" ca="1" si="0"/>
        <v>1.2025869251598046E-2</v>
      </c>
      <c r="K39" s="7">
        <f t="shared" ca="1" si="1"/>
        <v>1.2025868216721938E-2</v>
      </c>
      <c r="L39" s="7">
        <f t="shared" ca="1" si="2"/>
        <v>1.217729015028372E-2</v>
      </c>
      <c r="M39" s="7">
        <f t="shared" ca="1" si="3"/>
        <v>1.2131647575905572E-2</v>
      </c>
      <c r="N39" s="7">
        <f t="shared" ca="1" si="4"/>
        <v>1.2283374679360337E-2</v>
      </c>
      <c r="O39" s="7">
        <f t="shared" ca="1" si="5"/>
        <v>1.2283343262008964E-2</v>
      </c>
      <c r="P39" s="7">
        <f t="shared" ca="1" si="6"/>
        <v>1.1645284163301975E-2</v>
      </c>
    </row>
    <row r="40" spans="1:16" x14ac:dyDescent="0.25">
      <c r="A40" s="19">
        <f ca="1">IF(OR(INDIRECT("'" &amp; Master!$F$8 &amp; Master!$F$6 &amp; "'!A" &amp; ROW(A40))="", INDIRECT("'" &amp; Master!$F$8 &amp; Master!$F$6 &amp; "'!A" &amp; ROW(A40))=0), "", INDIRECT("'" &amp; Master!$F$8 &amp; Master!$F$6 &amp; "'!A" &amp; ROW(A40)))</f>
        <v>1203.5</v>
      </c>
      <c r="B40" s="4">
        <f ca="1">SplineInterp(INDIRECT("A" &amp; ROW()),INDIRECT("'" &amp;Master!$F$10&amp; "'!$A$2:$A$50"),INDIRECT("'" &amp;Master!$F$10&amp; "'!$B$2:$B$50"))</f>
        <v>1.1336009418807722</v>
      </c>
      <c r="C40" s="4">
        <f ca="1">SplineInterp(A40,INDIRECT("'" &amp;Master!$F$10&amp; "'!$A$2:$A$50"),INDIRECT("'" &amp;Master!$F$10&amp; "'!$C$2:$C$50"))</f>
        <v>1.1336007824371084</v>
      </c>
      <c r="D40" s="4">
        <f ca="1">SplineInterp(A40,INDIRECT("'" &amp;Master!$F$10&amp; "'!$A$2:$A$50"),INDIRECT("'" &amp;Master!$F$10&amp; "'!$D$2:$D$50"))</f>
        <v>1.1483625974487899</v>
      </c>
      <c r="E40" s="4">
        <f ca="1">SplineInterp(A40,INDIRECT("'" &amp;Master!$F$10&amp; "'!$A$2:$A$50"),INDIRECT("'" &amp;Master!$F$10&amp; "'!$E$2:$E$50"))</f>
        <v>1.1435751019931979</v>
      </c>
      <c r="F40" s="4">
        <f ca="1">SplineInterp(A40,INDIRECT("'" &amp;Master!$F$10&amp; "'!$A$2:$A$50"),INDIRECT("'" &amp;Master!$F$10&amp; "'!$F$2:$F$50"))</f>
        <v>1.1583800455228379</v>
      </c>
      <c r="G40" s="4">
        <f ca="1">SplineInterp(A40,INDIRECT("'" &amp;Master!$F$10&amp; "'!$A$2:$A$50"),INDIRECT("'" &amp;Master!$F$10&amp; "'!$G$2:$G$50"))</f>
        <v>1.1583679209896778</v>
      </c>
      <c r="H40" s="4">
        <f ca="1">SplineInterp(A40,INDIRECT("'" &amp;Master!$F$10&amp; "'!$A$2:$A$50"),INDIRECT("'" &amp;Master!$F$10&amp; "'!$H$2:$H$50"))</f>
        <v>1.0984992794920934</v>
      </c>
      <c r="I40" s="4">
        <f ca="1">IF(OR(INDIRECT("'" &amp; Master!$F$8 &amp; Master!$F$6 &amp; "'!B" &amp; ROW(B40))="", INDIRECT("'" &amp; Master!$F$8 &amp; Master!$F$6 &amp; "'!B" &amp; ROW(B40))=0), "", INDIRECT("'" &amp; Master!$F$8 &amp; Master!$F$6 &amp; "'!B" &amp; ROW(B40)))</f>
        <v>8.9568874776089404E-3</v>
      </c>
      <c r="J40" s="9">
        <f t="shared" ca="1" si="0"/>
        <v>1.0153536080937589E-2</v>
      </c>
      <c r="K40" s="7">
        <f t="shared" ca="1" si="1"/>
        <v>1.0153534652818633E-2</v>
      </c>
      <c r="L40" s="7">
        <f t="shared" ca="1" si="2"/>
        <v>1.0285754568843543E-2</v>
      </c>
      <c r="M40" s="7">
        <f t="shared" ca="1" si="3"/>
        <v>1.0242873510748242E-2</v>
      </c>
      <c r="N40" s="7">
        <f t="shared" ca="1" si="4"/>
        <v>1.0375479724055581E-2</v>
      </c>
      <c r="O40" s="7">
        <f t="shared" ca="1" si="5"/>
        <v>1.0375371125976347E-2</v>
      </c>
      <c r="P40" s="7">
        <f t="shared" ca="1" si="6"/>
        <v>9.8391344406451742E-3</v>
      </c>
    </row>
    <row r="41" spans="1:16" x14ac:dyDescent="0.25">
      <c r="A41" s="19">
        <f ca="1">IF(OR(INDIRECT("'" &amp; Master!$F$8 &amp; Master!$F$6 &amp; "'!A" &amp; ROW(A41))="", INDIRECT("'" &amp; Master!$F$8 &amp; Master!$F$6 &amp; "'!A" &amp; ROW(A41))=0), "", INDIRECT("'" &amp; Master!$F$8 &amp; Master!$F$6 &amp; "'!A" &amp; ROW(A41)))</f>
        <v>1234.5</v>
      </c>
      <c r="B41" s="4">
        <f ca="1">SplineInterp(INDIRECT("A" &amp; ROW()),INDIRECT("'" &amp;Master!$F$10&amp; "'!$A$2:$A$50"),INDIRECT("'" &amp;Master!$F$10&amp; "'!$B$2:$B$50"))</f>
        <v>1.132485397864714</v>
      </c>
      <c r="C41" s="4">
        <f ca="1">SplineInterp(A41,INDIRECT("'" &amp;Master!$F$10&amp; "'!$A$2:$A$50"),INDIRECT("'" &amp;Master!$F$10&amp; "'!$C$2:$C$50"))</f>
        <v>1.1324851750915632</v>
      </c>
      <c r="D41" s="4">
        <f ca="1">SplineInterp(A41,INDIRECT("'" &amp;Master!$F$10&amp; "'!$A$2:$A$50"),INDIRECT("'" &amp;Master!$F$10&amp; "'!$D$2:$D$50"))</f>
        <v>1.1470252543253938</v>
      </c>
      <c r="E41" s="4">
        <f ca="1">SplineInterp(A41,INDIRECT("'" &amp;Master!$F$10&amp; "'!$A$2:$A$50"),INDIRECT("'" &amp;Master!$F$10&amp; "'!$E$2:$E$50"))</f>
        <v>1.1424495218765429</v>
      </c>
      <c r="F41" s="4">
        <f ca="1">SplineInterp(A41,INDIRECT("'" &amp;Master!$F$10&amp; "'!$A$2:$A$50"),INDIRECT("'" &amp;Master!$F$10&amp; "'!$F$2:$F$50"))</f>
        <v>1.1570463144207539</v>
      </c>
      <c r="G41" s="4">
        <f ca="1">SplineInterp(A41,INDIRECT("'" &amp;Master!$F$10&amp; "'!$A$2:$A$50"),INDIRECT("'" &amp;Master!$F$10&amp; "'!$G$2:$G$50"))</f>
        <v>1.1570227337370325</v>
      </c>
      <c r="H41" s="4">
        <f ca="1">SplineInterp(A41,INDIRECT("'" &amp;Master!$F$10&amp; "'!$A$2:$A$50"),INDIRECT("'" &amp;Master!$F$10&amp; "'!$H$2:$H$50"))</f>
        <v>1.097726330872955</v>
      </c>
      <c r="I41" s="4">
        <f ca="1">IF(OR(INDIRECT("'" &amp; Master!$F$8 &amp; Master!$F$6 &amp; "'!B" &amp; ROW(B41))="", INDIRECT("'" &amp; Master!$F$8 &amp; Master!$F$6 &amp; "'!B" &amp; ROW(B41))=0), "", INDIRECT("'" &amp; Master!$F$8 &amp; Master!$F$6 &amp; "'!B" &amp; ROW(B41)))</f>
        <v>1.3246865120188054E-2</v>
      </c>
      <c r="J41" s="9">
        <f t="shared" ca="1" si="0"/>
        <v>1.5001881316096371E-2</v>
      </c>
      <c r="K41" s="7">
        <f t="shared" ca="1" si="1"/>
        <v>1.500187836505049E-2</v>
      </c>
      <c r="L41" s="7">
        <f t="shared" ca="1" si="2"/>
        <v>1.5194488833497891E-2</v>
      </c>
      <c r="M41" s="7">
        <f t="shared" ca="1" si="3"/>
        <v>1.5133874722921896E-2</v>
      </c>
      <c r="N41" s="7">
        <f t="shared" ca="1" si="4"/>
        <v>1.5327236464942424E-2</v>
      </c>
      <c r="O41" s="7">
        <f t="shared" ca="1" si="5"/>
        <v>1.5326924094805724E-2</v>
      </c>
      <c r="P41" s="7">
        <f t="shared" ca="1" si="6"/>
        <v>1.4541432643952959E-2</v>
      </c>
    </row>
    <row r="42" spans="1:16" x14ac:dyDescent="0.25">
      <c r="A42" s="19">
        <f ca="1">IF(OR(INDIRECT("'" &amp; Master!$F$8 &amp; Master!$F$6 &amp; "'!A" &amp; ROW(A42))="", INDIRECT("'" &amp; Master!$F$8 &amp; Master!$F$6 &amp; "'!A" &amp; ROW(A42))=0), "", INDIRECT("'" &amp; Master!$F$8 &amp; Master!$F$6 &amp; "'!A" &amp; ROW(A42)))</f>
        <v>1265.5</v>
      </c>
      <c r="B42" s="4">
        <f ca="1">SplineInterp(INDIRECT("A" &amp; ROW()),INDIRECT("'" &amp;Master!$F$10&amp; "'!$A$2:$A$50"),INDIRECT("'" &amp;Master!$F$10&amp; "'!$B$2:$B$50"))</f>
        <v>1.1316577467033275</v>
      </c>
      <c r="C42" s="4">
        <f ca="1">SplineInterp(A42,INDIRECT("'" &amp;Master!$F$10&amp; "'!$A$2:$A$50"),INDIRECT("'" &amp;Master!$F$10&amp; "'!$C$2:$C$50"))</f>
        <v>1.1316574641216541</v>
      </c>
      <c r="D42" s="4">
        <f ca="1">SplineInterp(A42,INDIRECT("'" &amp;Master!$F$10&amp; "'!$A$2:$A$50"),INDIRECT("'" &amp;Master!$F$10&amp; "'!$D$2:$D$50"))</f>
        <v>1.1454027567455067</v>
      </c>
      <c r="E42" s="4">
        <f ca="1">SplineInterp(A42,INDIRECT("'" &amp;Master!$F$10&amp; "'!$A$2:$A$50"),INDIRECT("'" &amp;Master!$F$10&amp; "'!$E$2:$E$50"))</f>
        <v>1.1416124446882292</v>
      </c>
      <c r="F42" s="4">
        <f ca="1">SplineInterp(A42,INDIRECT("'" &amp;Master!$F$10&amp; "'!$A$2:$A$50"),INDIRECT("'" &amp;Master!$F$10&amp; "'!$F$2:$F$50"))</f>
        <v>1.1554264674494406</v>
      </c>
      <c r="G42" s="4">
        <f ca="1">SplineInterp(A42,INDIRECT("'" &amp;Master!$F$10&amp; "'!$A$2:$A$50"),INDIRECT("'" &amp;Master!$F$10&amp; "'!$G$2:$G$50"))</f>
        <v>1.1553905454386062</v>
      </c>
      <c r="H42" s="4">
        <f ca="1">SplineInterp(A42,INDIRECT("'" &amp;Master!$F$10&amp; "'!$A$2:$A$50"),INDIRECT("'" &amp;Master!$F$10&amp; "'!$H$2:$H$50"))</f>
        <v>1.0968547938641542</v>
      </c>
      <c r="I42" s="4">
        <f ca="1">IF(OR(INDIRECT("'" &amp; Master!$F$8 &amp; Master!$F$6 &amp; "'!B" &amp; ROW(B42))="", INDIRECT("'" &amp; Master!$F$8 &amp; Master!$F$6 &amp; "'!B" &amp; ROW(B42))=0), "", INDIRECT("'" &amp; Master!$F$8 &amp; Master!$F$6 &amp; "'!B" &amp; ROW(B42)))</f>
        <v>5.7307114142265267E-3</v>
      </c>
      <c r="J42" s="9">
        <f t="shared" ca="1" si="0"/>
        <v>6.4852039660306306E-3</v>
      </c>
      <c r="K42" s="7">
        <f t="shared" ca="1" si="1"/>
        <v>6.485202346636609E-3</v>
      </c>
      <c r="L42" s="7">
        <f t="shared" ca="1" si="2"/>
        <v>6.5639726519680051E-3</v>
      </c>
      <c r="M42" s="7">
        <f t="shared" ca="1" si="3"/>
        <v>6.5422514673978841E-3</v>
      </c>
      <c r="N42" s="7">
        <f t="shared" ca="1" si="4"/>
        <v>6.6214156453119431E-3</v>
      </c>
      <c r="O42" s="7">
        <f t="shared" ca="1" si="5"/>
        <v>6.6212097866344332E-3</v>
      </c>
      <c r="P42" s="7">
        <f t="shared" ca="1" si="6"/>
        <v>6.2857582869463927E-3</v>
      </c>
    </row>
    <row r="43" spans="1:16" x14ac:dyDescent="0.25">
      <c r="A43" s="19">
        <f ca="1">IF(OR(INDIRECT("'" &amp; Master!$F$8 &amp; Master!$F$6 &amp; "'!A" &amp; ROW(A43))="", INDIRECT("'" &amp; Master!$F$8 &amp; Master!$F$6 &amp; "'!A" &amp; ROW(A43))=0), "", INDIRECT("'" &amp; Master!$F$8 &amp; Master!$F$6 &amp; "'!A" &amp; ROW(A43)))</f>
        <v>1297</v>
      </c>
      <c r="B43" s="4">
        <f ca="1">SplineInterp(INDIRECT("A" &amp; ROW()),INDIRECT("'" &amp;Master!$F$10&amp; "'!$A$2:$A$50"),INDIRECT("'" &amp;Master!$F$10&amp; "'!$B$2:$B$50"))</f>
        <v>1.1310645479372066</v>
      </c>
      <c r="C43" s="4">
        <f ca="1">SplineInterp(A43,INDIRECT("'" &amp;Master!$F$10&amp; "'!$A$2:$A$50"),INDIRECT("'" &amp;Master!$F$10&amp; "'!$C$2:$C$50"))</f>
        <v>1.1310642143808929</v>
      </c>
      <c r="D43" s="4">
        <f ca="1">SplineInterp(A43,INDIRECT("'" &amp;Master!$F$10&amp; "'!$A$2:$A$50"),INDIRECT("'" &amp;Master!$F$10&amp; "'!$D$2:$D$50"))</f>
        <v>1.1435229038892696</v>
      </c>
      <c r="E43" s="4">
        <f ca="1">SplineInterp(A43,INDIRECT("'" &amp;Master!$F$10&amp; "'!$A$2:$A$50"),INDIRECT("'" &amp;Master!$F$10&amp; "'!$E$2:$E$50"))</f>
        <v>1.1410112584677496</v>
      </c>
      <c r="F43" s="4">
        <f ca="1">SplineInterp(A43,INDIRECT("'" &amp;Master!$F$10&amp; "'!$A$2:$A$50"),INDIRECT("'" &amp;Master!$F$10&amp; "'!$F$2:$F$50"))</f>
        <v>1.1535481973322745</v>
      </c>
      <c r="G43" s="4">
        <f ca="1">SplineInterp(A43,INDIRECT("'" &amp;Master!$F$10&amp; "'!$A$2:$A$50"),INDIRECT("'" &amp;Master!$F$10&amp; "'!$G$2:$G$50"))</f>
        <v>1.153500403285556</v>
      </c>
      <c r="H43" s="4">
        <f ca="1">SplineInterp(A43,INDIRECT("'" &amp;Master!$F$10&amp; "'!$A$2:$A$50"),INDIRECT("'" &amp;Master!$F$10&amp; "'!$H$2:$H$50"))</f>
        <v>1.0958974460518167</v>
      </c>
      <c r="I43" s="4">
        <f ca="1">IF(OR(INDIRECT("'" &amp; Master!$F$8 &amp; Master!$F$6 &amp; "'!B" &amp; ROW(B43))="", INDIRECT("'" &amp; Master!$F$8 &amp; Master!$F$6 &amp; "'!B" &amp; ROW(B43))=0), "", INDIRECT("'" &amp; Master!$F$8 &amp; Master!$F$6 &amp; "'!B" &amp; ROW(B43)))</f>
        <v>5.4748145022727518E-3</v>
      </c>
      <c r="J43" s="9">
        <f t="shared" ca="1" si="0"/>
        <v>6.1923685900531922E-3</v>
      </c>
      <c r="K43" s="7">
        <f t="shared" ca="1" si="1"/>
        <v>6.1923667638942494E-3</v>
      </c>
      <c r="L43" s="7">
        <f t="shared" ca="1" si="2"/>
        <v>6.2605757778940235E-3</v>
      </c>
      <c r="M43" s="7">
        <f t="shared" ca="1" si="3"/>
        <v>6.2468249851157188E-3</v>
      </c>
      <c r="N43" s="7">
        <f t="shared" ca="1" si="4"/>
        <v>6.3154623998253265E-3</v>
      </c>
      <c r="O43" s="7">
        <f t="shared" ca="1" si="5"/>
        <v>6.3152007362852298E-3</v>
      </c>
      <c r="P43" s="7">
        <f t="shared" ca="1" si="6"/>
        <v>5.9998352306481571E-3</v>
      </c>
    </row>
    <row r="44" spans="1:16" x14ac:dyDescent="0.25">
      <c r="A44" s="19">
        <f ca="1">IF(OR(INDIRECT("'" &amp; Master!$F$8 &amp; Master!$F$6 &amp; "'!A" &amp; ROW(A44))="", INDIRECT("'" &amp; Master!$F$8 &amp; Master!$F$6 &amp; "'!A" &amp; ROW(A44))=0), "", INDIRECT("'" &amp; Master!$F$8 &amp; Master!$F$6 &amp; "'!A" &amp; ROW(A44)))</f>
        <v>1328.5</v>
      </c>
      <c r="B44" s="4">
        <f ca="1">SplineInterp(INDIRECT("A" &amp; ROW()),INDIRECT("'" &amp;Master!$F$10&amp; "'!$A$2:$A$50"),INDIRECT("'" &amp;Master!$F$10&amp; "'!$B$2:$B$50"))</f>
        <v>1.1306734087434167</v>
      </c>
      <c r="C44" s="4">
        <f ca="1">SplineInterp(A44,INDIRECT("'" &amp;Master!$F$10&amp; "'!$A$2:$A$50"),INDIRECT("'" &amp;Master!$F$10&amp; "'!$C$2:$C$50"))</f>
        <v>1.1306730403642282</v>
      </c>
      <c r="D44" s="4">
        <f ca="1">SplineInterp(A44,INDIRECT("'" &amp;Master!$F$10&amp; "'!$A$2:$A$50"),INDIRECT("'" &amp;Master!$F$10&amp; "'!$D$2:$D$50"))</f>
        <v>1.1414717356035917</v>
      </c>
      <c r="E44" s="4">
        <f ca="1">SplineInterp(A44,INDIRECT("'" &amp;Master!$F$10&amp; "'!$A$2:$A$50"),INDIRECT("'" &amp;Master!$F$10&amp; "'!$E$2:$E$50"))</f>
        <v>1.1406147137730775</v>
      </c>
      <c r="F44" s="4">
        <f ca="1">SplineInterp(A44,INDIRECT("'" &amp;Master!$F$10&amp; "'!$A$2:$A$50"),INDIRECT("'" &amp;Master!$F$10&amp; "'!$F$2:$F$50"))</f>
        <v>1.1514973647711448</v>
      </c>
      <c r="G44" s="4">
        <f ca="1">SplineInterp(A44,INDIRECT("'" &amp;Master!$F$10&amp; "'!$A$2:$A$50"),INDIRECT("'" &amp;Master!$F$10&amp; "'!$G$2:$G$50"))</f>
        <v>1.1514399685228733</v>
      </c>
      <c r="H44" s="4">
        <f ca="1">SplineInterp(A44,INDIRECT("'" &amp;Master!$F$10&amp; "'!$A$2:$A$50"),INDIRECT("'" &amp;Master!$F$10&amp; "'!$H$2:$H$50"))</f>
        <v>1.0948973945520106</v>
      </c>
      <c r="I44" s="4">
        <f ca="1">IF(OR(INDIRECT("'" &amp; Master!$F$8 &amp; Master!$F$6 &amp; "'!B" &amp; ROW(B44))="", INDIRECT("'" &amp; Master!$F$8 &amp; Master!$F$6 &amp; "'!B" &amp; ROW(B44))=0), "", INDIRECT("'" &amp; Master!$F$8 &amp; Master!$F$6 &amp; "'!B" &amp; ROW(B44)))</f>
        <v>4.6465415268760199E-3</v>
      </c>
      <c r="J44" s="9">
        <f t="shared" ca="1" si="0"/>
        <v>5.2537209470607501E-3</v>
      </c>
      <c r="K44" s="7">
        <f t="shared" ca="1" si="1"/>
        <v>5.2537192353715526E-3</v>
      </c>
      <c r="L44" s="7">
        <f t="shared" ca="1" si="2"/>
        <v>5.3038958212373337E-3</v>
      </c>
      <c r="M44" s="7">
        <f t="shared" ca="1" si="3"/>
        <v>5.2999136337124105E-3</v>
      </c>
      <c r="N44" s="7">
        <f t="shared" ca="1" si="4"/>
        <v>5.3504803234974288E-3</v>
      </c>
      <c r="O44" s="7">
        <f t="shared" ca="1" si="5"/>
        <v>5.3502136294463478E-3</v>
      </c>
      <c r="P44" s="7">
        <f t="shared" ca="1" si="6"/>
        <v>5.0874862114542755E-3</v>
      </c>
    </row>
    <row r="45" spans="1:16" x14ac:dyDescent="0.25">
      <c r="A45" s="19">
        <f ca="1">IF(OR(INDIRECT("'" &amp; Master!$F$8 &amp; Master!$F$6 &amp; "'!A" &amp; ROW(A45))="", INDIRECT("'" &amp; Master!$F$8 &amp; Master!$F$6 &amp; "'!A" &amp; ROW(A45))=0), "", INDIRECT("'" &amp; Master!$F$8 &amp; Master!$F$6 &amp; "'!A" &amp; ROW(A45)))</f>
        <v>1359.5</v>
      </c>
      <c r="B45" s="4">
        <f ca="1">SplineInterp(INDIRECT("A" &amp; ROW()),INDIRECT("'" &amp;Master!$F$10&amp; "'!$A$2:$A$50"),INDIRECT("'" &amp;Master!$F$10&amp; "'!$B$2:$B$50"))</f>
        <v>1.1304391580292696</v>
      </c>
      <c r="C45" s="4">
        <f ca="1">SplineInterp(A45,INDIRECT("'" &amp;Master!$F$10&amp; "'!$A$2:$A$50"),INDIRECT("'" &amp;Master!$F$10&amp; "'!$C$2:$C$50"))</f>
        <v>1.1304387772754145</v>
      </c>
      <c r="D45" s="4">
        <f ca="1">SplineInterp(A45,INDIRECT("'" &amp;Master!$F$10&amp; "'!$A$2:$A$50"),INDIRECT("'" &amp;Master!$F$10&amp; "'!$D$2:$D$50"))</f>
        <v>1.1393461257421316</v>
      </c>
      <c r="E45" s="4">
        <f ca="1">SplineInterp(A45,INDIRECT("'" &amp;Master!$F$10&amp; "'!$A$2:$A$50"),INDIRECT("'" &amp;Master!$F$10&amp; "'!$E$2:$E$50"))</f>
        <v>1.1403786196094072</v>
      </c>
      <c r="F45" s="4">
        <f ca="1">SplineInterp(A45,INDIRECT("'" &amp;Master!$F$10&amp; "'!$A$2:$A$50"),INDIRECT("'" &amp;Master!$F$10&amp; "'!$F$2:$F$50"))</f>
        <v>1.1493707433360263</v>
      </c>
      <c r="G45" s="4">
        <f ca="1">SplineInterp(A45,INDIRECT("'" &amp;Master!$F$10&amp; "'!$A$2:$A$50"),INDIRECT("'" &amp;Master!$F$10&amp; "'!$G$2:$G$50"))</f>
        <v>1.1493076717190607</v>
      </c>
      <c r="H45" s="4">
        <f ca="1">SplineInterp(A45,INDIRECT("'" &amp;Master!$F$10&amp; "'!$A$2:$A$50"),INDIRECT("'" &amp;Master!$F$10&amp; "'!$H$2:$H$50"))</f>
        <v>1.0939004470667342</v>
      </c>
      <c r="I45" s="4">
        <f ca="1">IF(OR(INDIRECT("'" &amp; Master!$F$8 &amp; Master!$F$6 &amp; "'!B" &amp; ROW(B45))="", INDIRECT("'" &amp; Master!$F$8 &amp; Master!$F$6 &amp; "'!B" &amp; ROW(B45))=0), "", INDIRECT("'" &amp; Master!$F$8 &amp; Master!$F$6 &amp; "'!B" &amp; ROW(B45)))</f>
        <v>7.2250491527570968E-3</v>
      </c>
      <c r="J45" s="9">
        <f t="shared" ca="1" si="0"/>
        <v>8.1674784809628205E-3</v>
      </c>
      <c r="K45" s="7">
        <f t="shared" ca="1" si="1"/>
        <v>8.1674757299975021E-3</v>
      </c>
      <c r="L45" s="7">
        <f t="shared" ca="1" si="2"/>
        <v>8.2318317604902682E-3</v>
      </c>
      <c r="M45" s="7">
        <f t="shared" ca="1" si="3"/>
        <v>8.2392915794312557E-3</v>
      </c>
      <c r="N45" s="7">
        <f t="shared" ca="1" si="4"/>
        <v>8.304260115343751E-3</v>
      </c>
      <c r="O45" s="7">
        <f t="shared" ca="1" si="5"/>
        <v>8.3038044198110311E-3</v>
      </c>
      <c r="P45" s="7">
        <f t="shared" ca="1" si="6"/>
        <v>7.9034844982801174E-3</v>
      </c>
    </row>
    <row r="46" spans="1:16" x14ac:dyDescent="0.25">
      <c r="A46" s="19">
        <f ca="1">IF(OR(INDIRECT("'" &amp; Master!$F$8 &amp; Master!$F$6 &amp; "'!A" &amp; ROW(A46))="", INDIRECT("'" &amp; Master!$F$8 &amp; Master!$F$6 &amp; "'!A" &amp; ROW(A46))=0), "", INDIRECT("'" &amp; Master!$F$8 &amp; Master!$F$6 &amp; "'!A" &amp; ROW(A46)))</f>
        <v>1390.5</v>
      </c>
      <c r="B46" s="4">
        <f ca="1">SplineInterp(INDIRECT("A" &amp; ROW()),INDIRECT("'" &amp;Master!$F$10&amp; "'!$A$2:$A$50"),INDIRECT("'" &amp;Master!$F$10&amp; "'!$B$2:$B$50"))</f>
        <v>1.1303084062448006</v>
      </c>
      <c r="C46" s="4">
        <f ca="1">SplineInterp(A46,INDIRECT("'" &amp;Master!$F$10&amp; "'!$A$2:$A$50"),INDIRECT("'" &amp;Master!$F$10&amp; "'!$C$2:$C$50"))</f>
        <v>1.1303080408814745</v>
      </c>
      <c r="D46" s="4">
        <f ca="1">SplineInterp(A46,INDIRECT("'" &amp;Master!$F$10&amp; "'!$A$2:$A$50"),INDIRECT("'" &amp;Master!$F$10&amp; "'!$D$2:$D$50"))</f>
        <v>1.1371738303216572</v>
      </c>
      <c r="E46" s="4">
        <f ca="1">SplineInterp(A46,INDIRECT("'" &amp;Master!$F$10&amp; "'!$A$2:$A$50"),INDIRECT("'" &amp;Master!$F$10&amp; "'!$E$2:$E$50"))</f>
        <v>1.140250415576203</v>
      </c>
      <c r="F46" s="4">
        <f ca="1">SplineInterp(A46,INDIRECT("'" &amp;Master!$F$10&amp; "'!$A$2:$A$50"),INDIRECT("'" &amp;Master!$F$10&amp; "'!$F$2:$F$50"))</f>
        <v>1.1471959822727338</v>
      </c>
      <c r="G46" s="4">
        <f ca="1">SplineInterp(A46,INDIRECT("'" &amp;Master!$F$10&amp; "'!$A$2:$A$50"),INDIRECT("'" &amp;Master!$F$10&amp; "'!$G$2:$G$50"))</f>
        <v>1.1471325171596041</v>
      </c>
      <c r="H46" s="4">
        <f ca="1">SplineInterp(A46,INDIRECT("'" &amp;Master!$F$10&amp; "'!$A$2:$A$50"),INDIRECT("'" &amp;Master!$F$10&amp; "'!$H$2:$H$50"))</f>
        <v>1.0929193704228062</v>
      </c>
      <c r="I46" s="4">
        <f ca="1">IF(OR(INDIRECT("'" &amp; Master!$F$8 &amp; Master!$F$6 &amp; "'!B" &amp; ROW(B46))="", INDIRECT("'" &amp; Master!$F$8 &amp; Master!$F$6 &amp; "'!B" &amp; ROW(B46))=0), "", INDIRECT("'" &amp; Master!$F$8 &amp; Master!$F$6 &amp; "'!B" &amp; ROW(B46)))</f>
        <v>3.4820136500006097E-3</v>
      </c>
      <c r="J46" s="9">
        <f t="shared" ca="1" si="0"/>
        <v>3.9357492992548298E-3</v>
      </c>
      <c r="K46" s="7">
        <f t="shared" ca="1" si="1"/>
        <v>3.9357480270547415E-3</v>
      </c>
      <c r="L46" s="7">
        <f t="shared" ca="1" si="2"/>
        <v>3.9596547996034875E-3</v>
      </c>
      <c r="M46" s="7">
        <f t="shared" ca="1" si="3"/>
        <v>3.970367511455207E-3</v>
      </c>
      <c r="N46" s="7">
        <f t="shared" ca="1" si="4"/>
        <v>3.9945520694995166E-3</v>
      </c>
      <c r="O46" s="7">
        <f t="shared" ca="1" si="5"/>
        <v>3.9943310831093001E-3</v>
      </c>
      <c r="P46" s="7">
        <f t="shared" ca="1" si="6"/>
        <v>3.805560166162284E-3</v>
      </c>
    </row>
    <row r="47" spans="1:16" x14ac:dyDescent="0.25">
      <c r="A47" s="19">
        <f ca="1">IF(OR(INDIRECT("'" &amp; Master!$F$8 &amp; Master!$F$6 &amp; "'!A" &amp; ROW(A47))="", INDIRECT("'" &amp; Master!$F$8 &amp; Master!$F$6 &amp; "'!A" &amp; ROW(A47))=0), "", INDIRECT("'" &amp; Master!$F$8 &amp; Master!$F$6 &amp; "'!A" &amp; ROW(A47)))</f>
        <v>1422</v>
      </c>
      <c r="B47" s="4">
        <f ca="1">SplineInterp(INDIRECT("A" &amp; ROW()),INDIRECT("'" &amp;Master!$F$10&amp; "'!$A$2:$A$50"),INDIRECT("'" &amp;Master!$F$10&amp; "'!$B$2:$B$50"))</f>
        <v>1.1302344681151457</v>
      </c>
      <c r="C47" s="4">
        <f ca="1">SplineInterp(A47,INDIRECT("'" &amp;Master!$F$10&amp; "'!$A$2:$A$50"),INDIRECT("'" &amp;Master!$F$10&amp; "'!$C$2:$C$50"))</f>
        <v>1.1302341530230575</v>
      </c>
      <c r="D47" s="4">
        <f ca="1">SplineInterp(A47,INDIRECT("'" &amp;Master!$F$10&amp; "'!$A$2:$A$50"),INDIRECT("'" &amp;Master!$F$10&amp; "'!$D$2:$D$50"))</f>
        <v>1.1349795812423404</v>
      </c>
      <c r="E47" s="4">
        <f ca="1">SplineInterp(A47,INDIRECT("'" &amp;Master!$F$10&amp; "'!$A$2:$A$50"),INDIRECT("'" &amp;Master!$F$10&amp; "'!$E$2:$E$50"))</f>
        <v>1.1401845299936588</v>
      </c>
      <c r="F47" s="4">
        <f ca="1">SplineInterp(A47,INDIRECT("'" &amp;Master!$F$10&amp; "'!$A$2:$A$50"),INDIRECT("'" &amp;Master!$F$10&amp; "'!$F$2:$F$50"))</f>
        <v>1.1449976125213037</v>
      </c>
      <c r="G47" s="4">
        <f ca="1">SplineInterp(A47,INDIRECT("'" &amp;Master!$F$10&amp; "'!$A$2:$A$50"),INDIRECT("'" &amp;Master!$F$10&amp; "'!$G$2:$G$50"))</f>
        <v>1.1449407329642367</v>
      </c>
      <c r="H47" s="4">
        <f ca="1">SplineInterp(A47,INDIRECT("'" &amp;Master!$F$10&amp; "'!$A$2:$A$50"),INDIRECT("'" &amp;Master!$F$10&amp; "'!$H$2:$H$50"))</f>
        <v>1.0919679595010241</v>
      </c>
      <c r="I47" s="4">
        <f ca="1">IF(OR(INDIRECT("'" &amp; Master!$F$8 &amp; Master!$F$6 &amp; "'!B" &amp; ROW(B47))="", INDIRECT("'" &amp; Master!$F$8 &amp; Master!$F$6 &amp; "'!B" &amp; ROW(B47))=0), "", INDIRECT("'" &amp; Master!$F$8 &amp; Master!$F$6 &amp; "'!B" &amp; ROW(B47)))</f>
        <v>2.5823391500698245E-3</v>
      </c>
      <c r="J47" s="9">
        <f t="shared" ca="1" si="0"/>
        <v>2.9186487157720855E-3</v>
      </c>
      <c r="K47" s="7">
        <f t="shared" ca="1" si="1"/>
        <v>2.9186479020974505E-3</v>
      </c>
      <c r="L47" s="7">
        <f t="shared" ca="1" si="2"/>
        <v>2.9309022071719506E-3</v>
      </c>
      <c r="M47" s="7">
        <f t="shared" ca="1" si="3"/>
        <v>2.9443431501065872E-3</v>
      </c>
      <c r="N47" s="7">
        <f t="shared" ca="1" si="4"/>
        <v>2.9567721615502418E-3</v>
      </c>
      <c r="O47" s="7">
        <f t="shared" ca="1" si="5"/>
        <v>2.956625279243189E-3</v>
      </c>
      <c r="P47" s="7">
        <f t="shared" ca="1" si="6"/>
        <v>2.8198316124413551E-3</v>
      </c>
    </row>
    <row r="48" spans="1:16" x14ac:dyDescent="0.25">
      <c r="A48" s="19">
        <f ca="1">IF(OR(INDIRECT("'" &amp; Master!$F$8 &amp; Master!$F$6 &amp; "'!A" &amp; ROW(A48))="", INDIRECT("'" &amp; Master!$F$8 &amp; Master!$F$6 &amp; "'!A" &amp; ROW(A48))=0), "", INDIRECT("'" &amp; Master!$F$8 &amp; Master!$F$6 &amp; "'!A" &amp; ROW(A48)))</f>
        <v>1453.5</v>
      </c>
      <c r="B48" s="4">
        <f ca="1">SplineInterp(INDIRECT("A" &amp; ROW()),INDIRECT("'" &amp;Master!$F$10&amp; "'!$A$2:$A$50"),INDIRECT("'" &amp;Master!$F$10&amp; "'!$B$2:$B$50"))</f>
        <v>1.1301721994724161</v>
      </c>
      <c r="C48" s="4">
        <f ca="1">SplineInterp(A48,INDIRECT("'" &amp;Master!$F$10&amp; "'!$A$2:$A$50"),INDIRECT("'" &amp;Master!$F$10&amp; "'!$C$2:$C$50"))</f>
        <v>1.1301719758359412</v>
      </c>
      <c r="D48" s="4">
        <f ca="1">SplineInterp(A48,INDIRECT("'" &amp;Master!$F$10&amp; "'!$A$2:$A$50"),INDIRECT("'" &amp;Master!$F$10&amp; "'!$D$2:$D$50"))</f>
        <v>1.132860240212793</v>
      </c>
      <c r="E48" s="4">
        <f ca="1">SplineInterp(A48,INDIRECT("'" &amp;Master!$F$10&amp; "'!$A$2:$A$50"),INDIRECT("'" &amp;Master!$F$10&amp; "'!$E$2:$E$50"))</f>
        <v>1.1401367999341208</v>
      </c>
      <c r="F48" s="4">
        <f ca="1">SplineInterp(A48,INDIRECT("'" &amp;Master!$F$10&amp; "'!$A$2:$A$50"),INDIRECT("'" &amp;Master!$F$10&amp; "'!$F$2:$F$50"))</f>
        <v>1.1428723951283943</v>
      </c>
      <c r="G48" s="4">
        <f ca="1">SplineInterp(A48,INDIRECT("'" &amp;Master!$F$10&amp; "'!$A$2:$A$50"),INDIRECT("'" &amp;Master!$F$10&amp; "'!$G$2:$G$50"))</f>
        <v>1.1428307385522012</v>
      </c>
      <c r="H48" s="4">
        <f ca="1">SplineInterp(A48,INDIRECT("'" &amp;Master!$F$10&amp; "'!$A$2:$A$50"),INDIRECT("'" &amp;Master!$F$10&amp; "'!$H$2:$H$50"))</f>
        <v>1.0910920261321173</v>
      </c>
      <c r="I48" s="4">
        <f ca="1">IF(OR(INDIRECT("'" &amp; Master!$F$8 &amp; Master!$F$6 &amp; "'!B" &amp; ROW(B48))="", INDIRECT("'" &amp; Master!$F$8 &amp; Master!$F$6 &amp; "'!B" &amp; ROW(B48))=0), "", INDIRECT("'" &amp; Master!$F$8 &amp; Master!$F$6 &amp; "'!B" &amp; ROW(B48)))</f>
        <v>2.6447379525088646E-3</v>
      </c>
      <c r="J48" s="9">
        <f t="shared" ca="1" si="0"/>
        <v>2.9890093088151179E-3</v>
      </c>
      <c r="K48" s="7">
        <f t="shared" ca="1" si="1"/>
        <v>2.9890087173552451E-3</v>
      </c>
      <c r="L48" s="7">
        <f t="shared" ca="1" si="2"/>
        <v>2.9961184721790826E-3</v>
      </c>
      <c r="M48" s="7">
        <f t="shared" ca="1" si="3"/>
        <v>3.0153630658377754E-3</v>
      </c>
      <c r="N48" s="7">
        <f t="shared" ca="1" si="4"/>
        <v>3.0225979982707717E-3</v>
      </c>
      <c r="O48" s="7">
        <f t="shared" ca="1" si="5"/>
        <v>3.0224878275427421E-3</v>
      </c>
      <c r="P48" s="7">
        <f t="shared" ca="1" si="6"/>
        <v>2.8856524911914047E-3</v>
      </c>
    </row>
    <row r="49" spans="1:16" x14ac:dyDescent="0.25">
      <c r="A49" s="19">
        <f ca="1">IF(OR(INDIRECT("'" &amp; Master!$F$8 &amp; Master!$F$6 &amp; "'!A" &amp; ROW(A49))="", INDIRECT("'" &amp; Master!$F$8 &amp; Master!$F$6 &amp; "'!A" &amp; ROW(A49))=0), "", INDIRECT("'" &amp; Master!$F$8 &amp; Master!$F$6 &amp; "'!A" &amp; ROW(A49)))</f>
        <v>1484.5</v>
      </c>
      <c r="B49" s="4">
        <f ca="1">SplineInterp(INDIRECT("A" &amp; ROW()),INDIRECT("'" &amp;Master!$F$10&amp; "'!$A$2:$A$50"),INDIRECT("'" &amp;Master!$F$10&amp; "'!$B$2:$B$50"))</f>
        <v>1.1300757181690761</v>
      </c>
      <c r="C49" s="4">
        <f ca="1">SplineInterp(A49,INDIRECT("'" &amp;Master!$F$10&amp; "'!$A$2:$A$50"),INDIRECT("'" &amp;Master!$F$10&amp; "'!$C$2:$C$50"))</f>
        <v>1.1300756308717514</v>
      </c>
      <c r="D49" s="4">
        <f ca="1">SplineInterp(A49,INDIRECT("'" &amp;Master!$F$10&amp; "'!$A$2:$A$50"),INDIRECT("'" &amp;Master!$F$10&amp; "'!$D$2:$D$50"))</f>
        <v>1.130907931748256</v>
      </c>
      <c r="E49" s="4">
        <f ca="1">SplineInterp(A49,INDIRECT("'" &amp;Master!$F$10&amp; "'!$A$2:$A$50"),INDIRECT("'" &amp;Master!$F$10&amp; "'!$E$2:$E$50"))</f>
        <v>1.1400619143126478</v>
      </c>
      <c r="F49" s="4">
        <f ca="1">SplineInterp(A49,INDIRECT("'" &amp;Master!$F$10&amp; "'!$A$2:$A$50"),INDIRECT("'" &amp;Master!$F$10&amp; "'!$F$2:$F$50"))</f>
        <v>1.1409124649774018</v>
      </c>
      <c r="G49" s="4">
        <f ca="1">SplineInterp(A49,INDIRECT("'" &amp;Master!$F$10&amp; "'!$A$2:$A$50"),INDIRECT("'" &amp;Master!$F$10&amp; "'!$G$2:$G$50"))</f>
        <v>1.1408957809477751</v>
      </c>
      <c r="H49" s="4">
        <f ca="1">SplineInterp(A49,INDIRECT("'" &amp;Master!$F$10&amp; "'!$A$2:$A$50"),INDIRECT("'" &amp;Master!$F$10&amp; "'!$H$2:$H$50"))</f>
        <v>1.0903326089380032</v>
      </c>
      <c r="I49" s="4">
        <f ca="1">IF(OR(INDIRECT("'" &amp; Master!$F$8 &amp; Master!$F$6 &amp; "'!B" &amp; ROW(B49))="", INDIRECT("'" &amp; Master!$F$8 &amp; Master!$F$6 &amp; "'!B" &amp; ROW(B49))=0), "", INDIRECT("'" &amp; Master!$F$8 &amp; Master!$F$6 &amp; "'!B" &amp; ROW(B49)))</f>
        <v>1.0927655839036625E-3</v>
      </c>
      <c r="J49" s="9">
        <f t="shared" ca="1" si="0"/>
        <v>1.2349078520203813E-3</v>
      </c>
      <c r="K49" s="7">
        <f t="shared" ca="1" si="1"/>
        <v>1.2349077566248692E-3</v>
      </c>
      <c r="L49" s="7">
        <f t="shared" ca="1" si="2"/>
        <v>1.2358172663781662E-3</v>
      </c>
      <c r="M49" s="7">
        <f t="shared" ca="1" si="3"/>
        <v>1.2458204234801879E-3</v>
      </c>
      <c r="N49" s="7">
        <f t="shared" ca="1" si="4"/>
        <v>1.2467498759739975E-3</v>
      </c>
      <c r="O49" s="7">
        <f t="shared" ca="1" si="5"/>
        <v>1.2467316442406205E-3</v>
      </c>
      <c r="P49" s="7">
        <f t="shared" ca="1" si="6"/>
        <v>1.1914779500553409E-3</v>
      </c>
    </row>
    <row r="50" spans="1:16" x14ac:dyDescent="0.25">
      <c r="A50" s="19">
        <f ca="1">IF(OR(INDIRECT("'" &amp; Master!$F$8 &amp; Master!$F$6 &amp; "'!A" &amp; ROW(A50))="", INDIRECT("'" &amp; Master!$F$8 &amp; Master!$F$6 &amp; "'!A" &amp; ROW(A50))=0), "", INDIRECT("'" &amp; Master!$F$8 &amp; Master!$F$6 &amp; "'!A" &amp; ROW(A50)))</f>
        <v>1515.5</v>
      </c>
      <c r="B50" s="4">
        <f ca="1">SplineInterp(INDIRECT("A" &amp; ROW()),INDIRECT("'" &amp;Master!$F$10&amp; "'!$A$2:$A$50"),INDIRECT("'" &amp;Master!$F$10&amp; "'!$B$2:$B$50"))</f>
        <v>1.1298994830455185</v>
      </c>
      <c r="C50" s="4">
        <f ca="1">SplineInterp(A50,INDIRECT("'" &amp;Master!$F$10&amp; "'!$A$2:$A$50"),INDIRECT("'" &amp;Master!$F$10&amp; "'!$C$2:$C$50"))</f>
        <v>1.1298995836679422</v>
      </c>
      <c r="D50" s="4">
        <f ca="1">SplineInterp(A50,INDIRECT("'" &amp;Master!$F$10&amp; "'!$A$2:$A$50"),INDIRECT("'" &amp;Master!$F$10&amp; "'!$D$2:$D$50"))</f>
        <v>1.1291458659944966</v>
      </c>
      <c r="E50" s="4">
        <f ca="1">SplineInterp(A50,INDIRECT("'" &amp;Master!$F$10&amp; "'!$A$2:$A$50"),INDIRECT("'" &amp;Master!$F$10&amp; "'!$E$2:$E$50"))</f>
        <v>1.1399153798936836</v>
      </c>
      <c r="F50" s="4">
        <f ca="1">SplineInterp(A50,INDIRECT("'" &amp;Master!$F$10&amp; "'!$A$2:$A$50"),INDIRECT("'" &amp;Master!$F$10&amp; "'!$F$2:$F$50"))</f>
        <v>1.1391408457324572</v>
      </c>
      <c r="G50" s="4">
        <f ca="1">SplineInterp(A50,INDIRECT("'" &amp;Master!$F$10&amp; "'!$A$2:$A$50"),INDIRECT("'" &amp;Master!$F$10&amp; "'!$G$2:$G$50"))</f>
        <v>1.1391604865101881</v>
      </c>
      <c r="H50" s="4">
        <f ca="1">SplineInterp(A50,INDIRECT("'" &amp;Master!$F$10&amp; "'!$A$2:$A$50"),INDIRECT("'" &amp;Master!$F$10&amp; "'!$H$2:$H$50"))</f>
        <v>1.0897026732615347</v>
      </c>
      <c r="I50" s="4">
        <f ca="1">IF(OR(INDIRECT("'" &amp; Master!$F$8 &amp; Master!$F$6 &amp; "'!B" &amp; ROW(B50))="", INDIRECT("'" &amp; Master!$F$8 &amp; Master!$F$6 &amp; "'!B" &amp; ROW(B50))=0), "", INDIRECT("'" &amp; Master!$F$8 &amp; Master!$F$6 &amp; "'!B" &amp; ROW(B50)))</f>
        <v>3.261044094494315E-3</v>
      </c>
      <c r="J50" s="9">
        <f t="shared" ca="1" si="0"/>
        <v>3.6846520365577673E-3</v>
      </c>
      <c r="K50" s="7">
        <f t="shared" ca="1" si="1"/>
        <v>3.6846523646919282E-3</v>
      </c>
      <c r="L50" s="7">
        <f t="shared" ca="1" si="2"/>
        <v>3.6821944581240224E-3</v>
      </c>
      <c r="M50" s="7">
        <f t="shared" ca="1" si="3"/>
        <v>3.7173143178255404E-3</v>
      </c>
      <c r="N50" s="7">
        <f t="shared" ca="1" si="4"/>
        <v>3.7147885277730892E-3</v>
      </c>
      <c r="O50" s="7">
        <f t="shared" ca="1" si="5"/>
        <v>3.7148525772153196E-3</v>
      </c>
      <c r="P50" s="7">
        <f t="shared" ca="1" si="6"/>
        <v>3.5535684673941958E-3</v>
      </c>
    </row>
    <row r="51" spans="1:16" x14ac:dyDescent="0.25">
      <c r="A51" s="19">
        <f ca="1">IF(OR(INDIRECT("'" &amp; Master!$F$8 &amp; Master!$F$6 &amp; "'!A" &amp; ROW(A51))="", INDIRECT("'" &amp; Master!$F$8 &amp; Master!$F$6 &amp; "'!A" &amp; ROW(A51))=0), "", INDIRECT("'" &amp; Master!$F$8 &amp; Master!$F$6 &amp; "'!A" &amp; ROW(A51)))</f>
        <v>1547</v>
      </c>
      <c r="B51" s="4">
        <f ca="1">SplineInterp(INDIRECT("A" &amp; ROW()),INDIRECT("'" &amp;Master!$F$10&amp; "'!$A$2:$A$50"),INDIRECT("'" &amp;Master!$F$10&amp; "'!$B$2:$B$50"))</f>
        <v>1.1296199645453522</v>
      </c>
      <c r="C51" s="4">
        <f ca="1">SplineInterp(A51,INDIRECT("'" &amp;Master!$F$10&amp; "'!$A$2:$A$50"),INDIRECT("'" &amp;Master!$F$10&amp; "'!$C$2:$C$50"))</f>
        <v>1.1296203044935693</v>
      </c>
      <c r="D51" s="4">
        <f ca="1">SplineInterp(A51,INDIRECT("'" &amp;Master!$F$10&amp; "'!$A$2:$A$50"),INDIRECT("'" &amp;Master!$F$10&amp; "'!$D$2:$D$50"))</f>
        <v>1.1275728853536719</v>
      </c>
      <c r="E51" s="4">
        <f ca="1">SplineInterp(A51,INDIRECT("'" &amp;Master!$F$10&amp; "'!$A$2:$A$50"),INDIRECT("'" &amp;Master!$F$10&amp; "'!$E$2:$E$50"))</f>
        <v>1.1396736371454657</v>
      </c>
      <c r="F51" s="4">
        <f ca="1">SplineInterp(A51,INDIRECT("'" &amp;Master!$F$10&amp; "'!$A$2:$A$50"),INDIRECT("'" &amp;Master!$F$10&amp; "'!$F$2:$F$50"))</f>
        <v>1.1375564235278268</v>
      </c>
      <c r="G51" s="4">
        <f ca="1">SplineInterp(A51,INDIRECT("'" &amp;Master!$F$10&amp; "'!$A$2:$A$50"),INDIRECT("'" &amp;Master!$F$10&amp; "'!$G$2:$G$50"))</f>
        <v>1.1376237773914766</v>
      </c>
      <c r="H51" s="4">
        <f ca="1">SplineInterp(A51,INDIRECT("'" &amp;Master!$F$10&amp; "'!$A$2:$A$50"),INDIRECT("'" &amp;Master!$F$10&amp; "'!$H$2:$H$50"))</f>
        <v>1.089203362944541</v>
      </c>
      <c r="I51" s="4">
        <f ca="1">IF(OR(INDIRECT("'" &amp; Master!$F$8 &amp; Master!$F$6 &amp; "'!B" &amp; ROW(B51))="", INDIRECT("'" &amp; Master!$F$8 &amp; Master!$F$6 &amp; "'!B" &amp; ROW(B51))=0), "", INDIRECT("'" &amp; Master!$F$8 &amp; Master!$F$6 &amp; "'!B" &amp; ROW(B51)))</f>
        <v>2.9567883124601842E-3</v>
      </c>
      <c r="J51" s="9">
        <f t="shared" ca="1" si="0"/>
        <v>3.3400471086893848E-3</v>
      </c>
      <c r="K51" s="7">
        <f t="shared" ca="1" si="1"/>
        <v>3.3400481138443003E-3</v>
      </c>
      <c r="L51" s="7">
        <f t="shared" ca="1" si="2"/>
        <v>3.3339943288607445E-3</v>
      </c>
      <c r="M51" s="7">
        <f t="shared" ca="1" si="3"/>
        <v>3.3697736903307018E-3</v>
      </c>
      <c r="N51" s="7">
        <f t="shared" ca="1" si="4"/>
        <v>3.3635135378510856E-3</v>
      </c>
      <c r="O51" s="7">
        <f t="shared" ca="1" si="5"/>
        <v>3.3637126889679244E-3</v>
      </c>
      <c r="P51" s="7">
        <f t="shared" ca="1" si="6"/>
        <v>3.2205437734467469E-3</v>
      </c>
    </row>
    <row r="52" spans="1:16" x14ac:dyDescent="0.25">
      <c r="A52" s="19">
        <f ca="1">IF(OR(INDIRECT("'" &amp; Master!$F$8 &amp; Master!$F$6 &amp; "'!A" &amp; ROW(A52))="", INDIRECT("'" &amp; Master!$F$8 &amp; Master!$F$6 &amp; "'!A" &amp; ROW(A52))=0), "", INDIRECT("'" &amp; Master!$F$8 &amp; Master!$F$6 &amp; "'!A" &amp; ROW(A52)))</f>
        <v>1578.5</v>
      </c>
      <c r="B52" s="4">
        <f ca="1">SplineInterp(INDIRECT("A" &amp; ROW()),INDIRECT("'" &amp;Master!$F$10&amp; "'!$A$2:$A$50"),INDIRECT("'" &amp;Master!$F$10&amp; "'!$B$2:$B$50"))</f>
        <v>1.1292474741196901</v>
      </c>
      <c r="C52" s="4">
        <f ca="1">SplineInterp(A52,INDIRECT("'" &amp;Master!$F$10&amp; "'!$A$2:$A$50"),INDIRECT("'" &amp;Master!$F$10&amp; "'!$C$2:$C$50"))</f>
        <v>1.129248087388194</v>
      </c>
      <c r="D52" s="4">
        <f ca="1">SplineInterp(A52,INDIRECT("'" &amp;Master!$F$10&amp; "'!$A$2:$A$50"),INDIRECT("'" &amp;Master!$F$10&amp; "'!$D$2:$D$50"))</f>
        <v>1.126205272429877</v>
      </c>
      <c r="E52" s="4">
        <f ca="1">SplineInterp(A52,INDIRECT("'" &amp;Master!$F$10&amp; "'!$A$2:$A$50"),INDIRECT("'" &amp;Master!$F$10&amp; "'!$E$2:$E$50"))</f>
        <v>1.1393442552334077</v>
      </c>
      <c r="F52" s="4">
        <f ca="1">SplineInterp(A52,INDIRECT("'" &amp;Master!$F$10&amp; "'!$A$2:$A$50"),INDIRECT("'" &amp;Master!$F$10&amp; "'!$F$2:$F$50"))</f>
        <v>1.1361762258350978</v>
      </c>
      <c r="G52" s="4">
        <f ca="1">SplineInterp(A52,INDIRECT("'" &amp;Master!$F$10&amp; "'!$A$2:$A$50"),INDIRECT("'" &amp;Master!$F$10&amp; "'!$G$2:$G$50"))</f>
        <v>1.1362990346401853</v>
      </c>
      <c r="H52" s="4">
        <f ca="1">SplineInterp(A52,INDIRECT("'" &amp;Master!$F$10&amp; "'!$A$2:$A$50"),INDIRECT("'" &amp;Master!$F$10&amp; "'!$H$2:$H$50"))</f>
        <v>1.0888339504425322</v>
      </c>
      <c r="I52" s="4">
        <f ca="1">IF(OR(INDIRECT("'" &amp; Master!$F$8 &amp; Master!$F$6 &amp; "'!B" &amp; ROW(B52))="", INDIRECT("'" &amp; Master!$F$8 &amp; Master!$F$6 &amp; "'!B" &amp; ROW(B52))=0), "", INDIRECT("'" &amp; Master!$F$8 &amp; Master!$F$6 &amp; "'!B" &amp; ROW(B52)))</f>
        <v>3.7192767156432002E-3</v>
      </c>
      <c r="J52" s="9">
        <f t="shared" ca="1" si="0"/>
        <v>4.1999838366922606E-3</v>
      </c>
      <c r="K52" s="7">
        <f t="shared" ca="1" si="1"/>
        <v>4.1999861176075281E-3</v>
      </c>
      <c r="L52" s="7">
        <f t="shared" ca="1" si="2"/>
        <v>4.1886690467830487E-3</v>
      </c>
      <c r="M52" s="7">
        <f t="shared" ca="1" si="3"/>
        <v>4.2375365595914566E-3</v>
      </c>
      <c r="N52" s="7">
        <f t="shared" ca="1" si="4"/>
        <v>4.2257537816158498E-3</v>
      </c>
      <c r="O52" s="7">
        <f t="shared" ca="1" si="5"/>
        <v>4.2262105415450876E-3</v>
      </c>
      <c r="P52" s="7">
        <f t="shared" ca="1" si="6"/>
        <v>4.0496747590827121E-3</v>
      </c>
    </row>
    <row r="53" spans="1:16" x14ac:dyDescent="0.25">
      <c r="A53" s="19">
        <f ca="1">IF(OR(INDIRECT("'" &amp; Master!$F$8 &amp; Master!$F$6 &amp; "'!A" &amp; ROW(A53))="", INDIRECT("'" &amp; Master!$F$8 &amp; Master!$F$6 &amp; "'!A" &amp; ROW(A53))=0), "", INDIRECT("'" &amp; Master!$F$8 &amp; Master!$F$6 &amp; "'!A" &amp; ROW(A53)))</f>
        <v>1609.5</v>
      </c>
      <c r="B53" s="4">
        <f ca="1">SplineInterp(INDIRECT("A" &amp; ROW()),INDIRECT("'" &amp;Master!$F$10&amp; "'!$A$2:$A$50"),INDIRECT("'" &amp;Master!$F$10&amp; "'!$B$2:$B$50"))</f>
        <v>1.1287993439496191</v>
      </c>
      <c r="C53" s="4">
        <f ca="1">SplineInterp(A53,INDIRECT("'" &amp;Master!$F$10&amp; "'!$A$2:$A$50"),INDIRECT("'" &amp;Master!$F$10&amp; "'!$C$2:$C$50"))</f>
        <v>1.128800244542707</v>
      </c>
      <c r="D53" s="4">
        <f ca="1">SplineInterp(A53,INDIRECT("'" &amp;Master!$F$10&amp; "'!$A$2:$A$50"),INDIRECT("'" &amp;Master!$F$10&amp; "'!$D$2:$D$50"))</f>
        <v>1.1250447817223304</v>
      </c>
      <c r="E53" s="4">
        <f ca="1">SplineInterp(A53,INDIRECT("'" &amp;Master!$F$10&amp; "'!$A$2:$A$50"),INDIRECT("'" &amp;Master!$F$10&amp; "'!$E$2:$E$50"))</f>
        <v>1.1389414195032785</v>
      </c>
      <c r="F53" s="4">
        <f ca="1">SplineInterp(A53,INDIRECT("'" &amp;Master!$F$10&amp; "'!$A$2:$A$50"),INDIRECT("'" &amp;Master!$F$10&amp; "'!$F$2:$F$50"))</f>
        <v>1.1350028392382505</v>
      </c>
      <c r="G53" s="4">
        <f ca="1">SplineInterp(A53,INDIRECT("'" &amp;Master!$F$10&amp; "'!$A$2:$A$50"),INDIRECT("'" &amp;Master!$F$10&amp; "'!$G$2:$G$50"))</f>
        <v>1.1351846121606299</v>
      </c>
      <c r="H53" s="4">
        <f ca="1">SplineInterp(A53,INDIRECT("'" &amp;Master!$F$10&amp; "'!$A$2:$A$50"),INDIRECT("'" &amp;Master!$F$10&amp; "'!$H$2:$H$50"))</f>
        <v>1.0885846449040852</v>
      </c>
      <c r="I53" s="4">
        <f ca="1">IF(OR(INDIRECT("'" &amp; Master!$F$8 &amp; Master!$F$6 &amp; "'!B" &amp; ROW(B53))="", INDIRECT("'" &amp; Master!$F$8 &amp; Master!$F$6 &amp; "'!B" &amp; ROW(B53))=0), "", INDIRECT("'" &amp; Master!$F$8 &amp; Master!$F$6 &amp; "'!B" &amp; ROW(B53)))</f>
        <v>2.936503732799218E-3</v>
      </c>
      <c r="J53" s="9">
        <f t="shared" ca="1" si="0"/>
        <v>3.3147234870893648E-3</v>
      </c>
      <c r="K53" s="7">
        <f t="shared" ca="1" si="1"/>
        <v>3.3147261316843293E-3</v>
      </c>
      <c r="L53" s="7">
        <f t="shared" ca="1" si="2"/>
        <v>3.3036982010939044E-3</v>
      </c>
      <c r="M53" s="7">
        <f t="shared" ca="1" si="3"/>
        <v>3.3445057298110174E-3</v>
      </c>
      <c r="N53" s="7">
        <f t="shared" ca="1" si="4"/>
        <v>3.3329400741608332E-3</v>
      </c>
      <c r="O53" s="7">
        <f t="shared" ca="1" si="5"/>
        <v>3.3334738510259225E-3</v>
      </c>
      <c r="P53" s="7">
        <f t="shared" ca="1" si="6"/>
        <v>3.1966328732287576E-3</v>
      </c>
    </row>
    <row r="54" spans="1:16" x14ac:dyDescent="0.25">
      <c r="A54" s="19">
        <f ca="1">IF(OR(INDIRECT("'" &amp; Master!$F$8 &amp; Master!$F$6 &amp; "'!A" &amp; ROW(A54))="", INDIRECT("'" &amp; Master!$F$8 &amp; Master!$F$6 &amp; "'!A" &amp; ROW(A54))=0), "", INDIRECT("'" &amp; Master!$F$8 &amp; Master!$F$6 &amp; "'!A" &amp; ROW(A54)))</f>
        <v>1640.5</v>
      </c>
      <c r="B54" s="4">
        <f ca="1">SplineInterp(INDIRECT("A" &amp; ROW()),INDIRECT("'" &amp;Master!$F$10&amp; "'!$A$2:$A$50"),INDIRECT("'" &amp;Master!$F$10&amp; "'!$B$2:$B$50"))</f>
        <v>1.1282794092565915</v>
      </c>
      <c r="C54" s="4">
        <f ca="1">SplineInterp(A54,INDIRECT("'" &amp;Master!$F$10&amp; "'!$A$2:$A$50"),INDIRECT("'" &amp;Master!$F$10&amp; "'!$C$2:$C$50"))</f>
        <v>1.12828060072068</v>
      </c>
      <c r="D54" s="4">
        <f ca="1">SplineInterp(A54,INDIRECT("'" &amp;Master!$F$10&amp; "'!$A$2:$A$50"),INDIRECT("'" &amp;Master!$F$10&amp; "'!$D$2:$D$50"))</f>
        <v>1.1240533323116977</v>
      </c>
      <c r="E54" s="4">
        <f ca="1">SplineInterp(A54,INDIRECT("'" &amp;Master!$F$10&amp; "'!$A$2:$A$50"),INDIRECT("'" &amp;Master!$F$10&amp; "'!$E$2:$E$50"))</f>
        <v>1.1384673212204321</v>
      </c>
      <c r="F54" s="4">
        <f ca="1">SplineInterp(A54,INDIRECT("'" &amp;Master!$F$10&amp; "'!$A$2:$A$50"),INDIRECT("'" &amp;Master!$F$10&amp; "'!$F$2:$F$50"))</f>
        <v>1.1339985843624361</v>
      </c>
      <c r="G54" s="4">
        <f ca="1">SplineInterp(A54,INDIRECT("'" &amp;Master!$F$10&amp; "'!$A$2:$A$50"),INDIRECT("'" &amp;Master!$F$10&amp; "'!$G$2:$G$50"))</f>
        <v>1.134240548686626</v>
      </c>
      <c r="H54" s="4">
        <f ca="1">SplineInterp(A54,INDIRECT("'" &amp;Master!$F$10&amp; "'!$A$2:$A$50"),INDIRECT("'" &amp;Master!$F$10&amp; "'!$H$2:$H$50"))</f>
        <v>1.0884362575860069</v>
      </c>
      <c r="I54" s="4">
        <f ca="1">IF(OR(INDIRECT("'" &amp; Master!$F$8 &amp; Master!$F$6 &amp; "'!B" &amp; ROW(B54))="", INDIRECT("'" &amp; Master!$F$8 &amp; Master!$F$6 &amp; "'!B" &amp; ROW(B54))=0), "", INDIRECT("'" &amp; Master!$F$8 &amp; Master!$F$6 &amp; "'!B" &amp; ROW(B54)))</f>
        <v>1.7756431315250408E-3</v>
      </c>
      <c r="J54" s="9">
        <f t="shared" ca="1" si="0"/>
        <v>2.0034215834875972E-3</v>
      </c>
      <c r="K54" s="7">
        <f t="shared" ca="1" si="1"/>
        <v>2.0034236991026224E-3</v>
      </c>
      <c r="L54" s="7">
        <f t="shared" ca="1" si="2"/>
        <v>1.9959175789871003E-3</v>
      </c>
      <c r="M54" s="7">
        <f t="shared" ca="1" si="3"/>
        <v>2.0215116793907725E-3</v>
      </c>
      <c r="N54" s="7">
        <f t="shared" ca="1" si="4"/>
        <v>2.013576797482279E-3</v>
      </c>
      <c r="O54" s="7">
        <f t="shared" ca="1" si="5"/>
        <v>2.0140064397726012E-3</v>
      </c>
      <c r="P54" s="7">
        <f t="shared" ca="1" si="6"/>
        <v>1.9326743648854132E-3</v>
      </c>
    </row>
    <row r="55" spans="1:16" x14ac:dyDescent="0.25">
      <c r="A55" s="19">
        <f ca="1">IF(OR(INDIRECT("'" &amp; Master!$F$8 &amp; Master!$F$6 &amp; "'!A" &amp; ROW(A55))="", INDIRECT("'" &amp; Master!$F$8 &amp; Master!$F$6 &amp; "'!A" &amp; ROW(A55))=0), "", INDIRECT("'" &amp; Master!$F$8 &amp; Master!$F$6 &amp; "'!A" &amp; ROW(A55)))</f>
        <v>1672</v>
      </c>
      <c r="B55" s="4">
        <f ca="1">SplineInterp(INDIRECT("A" &amp; ROW()),INDIRECT("'" &amp;Master!$F$10&amp; "'!$A$2:$A$50"),INDIRECT("'" &amp;Master!$F$10&amp; "'!$B$2:$B$50"))</f>
        <v>1.1276868540325551</v>
      </c>
      <c r="C55" s="4">
        <f ca="1">SplineInterp(A55,INDIRECT("'" &amp;Master!$F$10&amp; "'!$A$2:$A$50"),INDIRECT("'" &amp;Master!$F$10&amp; "'!$C$2:$C$50"))</f>
        <v>1.1276883296859046</v>
      </c>
      <c r="D55" s="4">
        <f ca="1">SplineInterp(A55,INDIRECT("'" &amp;Master!$F$10&amp; "'!$A$2:$A$50"),INDIRECT("'" &amp;Master!$F$10&amp; "'!$D$2:$D$50"))</f>
        <v>1.1232037931441312</v>
      </c>
      <c r="E55" s="4">
        <f ca="1">SplineInterp(A55,INDIRECT("'" &amp;Master!$F$10&amp; "'!$A$2:$A$50"),INDIRECT("'" &amp;Master!$F$10&amp; "'!$E$2:$E$50"))</f>
        <v>1.1379195355275307</v>
      </c>
      <c r="F55" s="4">
        <f ca="1">SplineInterp(A55,INDIRECT("'" &amp;Master!$F$10&amp; "'!$A$2:$A$50"),INDIRECT("'" &amp;Master!$F$10&amp; "'!$F$2:$F$50"))</f>
        <v>1.13313673755563</v>
      </c>
      <c r="G55" s="4">
        <f ca="1">SplineInterp(A55,INDIRECT("'" &amp;Master!$F$10&amp; "'!$A$2:$A$50"),INDIRECT("'" &amp;Master!$F$10&amp; "'!$G$2:$G$50"))</f>
        <v>1.1334379181737326</v>
      </c>
      <c r="H55" s="4">
        <f ca="1">SplineInterp(A55,INDIRECT("'" &amp;Master!$F$10&amp; "'!$A$2:$A$50"),INDIRECT("'" &amp;Master!$F$10&amp; "'!$H$2:$H$50"))</f>
        <v>1.0883761368514706</v>
      </c>
      <c r="I55" s="4">
        <f ca="1">IF(OR(INDIRECT("'" &amp; Master!$F$8 &amp; Master!$F$6 &amp; "'!B" &amp; ROW(B55))="", INDIRECT("'" &amp; Master!$F$8 &amp; Master!$F$6 &amp; "'!B" &amp; ROW(B55))=0), "", INDIRECT("'" &amp; Master!$F$8 &amp; Master!$F$6 &amp; "'!B" &amp; ROW(B55)))</f>
        <v>1.2692261839357293E-3</v>
      </c>
      <c r="J55" s="9">
        <f t="shared" ca="1" si="0"/>
        <v>1.4312896824182277E-3</v>
      </c>
      <c r="K55" s="7">
        <f t="shared" ca="1" si="1"/>
        <v>1.4312915553560974E-3</v>
      </c>
      <c r="L55" s="7">
        <f t="shared" ca="1" si="2"/>
        <v>1.4255996641544619E-3</v>
      </c>
      <c r="M55" s="7">
        <f t="shared" ca="1" si="3"/>
        <v>1.4442772697035252E-3</v>
      </c>
      <c r="N55" s="7">
        <f t="shared" ca="1" si="4"/>
        <v>1.4382068172851144E-3</v>
      </c>
      <c r="O55" s="7">
        <f t="shared" ca="1" si="5"/>
        <v>1.438589083611704E-3</v>
      </c>
      <c r="P55" s="7">
        <f t="shared" ca="1" si="6"/>
        <v>1.3813954908627032E-3</v>
      </c>
    </row>
    <row r="56" spans="1:16" x14ac:dyDescent="0.25">
      <c r="A56" s="19">
        <f ca="1">IF(OR(INDIRECT("'" &amp; Master!$F$8 &amp; Master!$F$6 &amp; "'!A" &amp; ROW(A56))="", INDIRECT("'" &amp; Master!$F$8 &amp; Master!$F$6 &amp; "'!A" &amp; ROW(A56))=0), "", INDIRECT("'" &amp; Master!$F$8 &amp; Master!$F$6 &amp; "'!A" &amp; ROW(A56)))</f>
        <v>1703.5</v>
      </c>
      <c r="B56" s="4">
        <f ca="1">SplineInterp(INDIRECT("A" &amp; ROW()),INDIRECT("'" &amp;Master!$F$10&amp; "'!$A$2:$A$50"),INDIRECT("'" &amp;Master!$F$10&amp; "'!$B$2:$B$50"))</f>
        <v>1.1270389917789598</v>
      </c>
      <c r="C56" s="4">
        <f ca="1">SplineInterp(A56,INDIRECT("'" &amp;Master!$F$10&amp; "'!$A$2:$A$50"),INDIRECT("'" &amp;Master!$F$10&amp; "'!$C$2:$C$50"))</f>
        <v>1.127040724950557</v>
      </c>
      <c r="D56" s="4">
        <f ca="1">SplineInterp(A56,INDIRECT("'" &amp;Master!$F$10&amp; "'!$A$2:$A$50"),INDIRECT("'" &amp;Master!$F$10&amp; "'!$D$2:$D$50"))</f>
        <v>1.1224979626942131</v>
      </c>
      <c r="E56" s="4">
        <f ca="1">SplineInterp(A56,INDIRECT("'" &amp;Master!$F$10&amp; "'!$A$2:$A$50"),INDIRECT("'" &amp;Master!$F$10&amp; "'!$E$2:$E$50"))</f>
        <v>1.1373122292316979</v>
      </c>
      <c r="F56" s="4">
        <f ca="1">SplineInterp(A56,INDIRECT("'" &amp;Master!$F$10&amp; "'!$A$2:$A$50"),INDIRECT("'" &amp;Master!$F$10&amp; "'!$F$2:$F$50"))</f>
        <v>1.1324199294006994</v>
      </c>
      <c r="G56" s="4">
        <f ca="1">SplineInterp(A56,INDIRECT("'" &amp;Master!$F$10&amp; "'!$A$2:$A$50"),INDIRECT("'" &amp;Master!$F$10&amp; "'!$G$2:$G$50"))</f>
        <v>1.1327751188444255</v>
      </c>
      <c r="H56" s="4">
        <f ca="1">SplineInterp(A56,INDIRECT("'" &amp;Master!$F$10&amp; "'!$A$2:$A$50"),INDIRECT("'" &amp;Master!$F$10&amp; "'!$H$2:$H$50"))</f>
        <v>1.0883945181024925</v>
      </c>
      <c r="I56" s="4" t="str">
        <f ca="1">IF(OR(INDIRECT("'" &amp; Master!$F$8 &amp; Master!$F$6 &amp; "'!B" &amp; ROW(B56))="", INDIRECT("'" &amp; Master!$F$8 &amp; Master!$F$6 &amp; "'!B" &amp; ROW(B56))=0), "", INDIRECT("'" &amp; Master!$F$8 &amp; Master!$F$6 &amp; "'!B" &amp; ROW(B56)))</f>
        <v/>
      </c>
      <c r="J56" s="9" t="e">
        <f t="shared" ca="1" si="0"/>
        <v>#VALUE!</v>
      </c>
      <c r="K56" s="7" t="e">
        <f t="shared" ca="1" si="1"/>
        <v>#VALUE!</v>
      </c>
      <c r="L56" s="7" t="e">
        <f t="shared" ca="1" si="2"/>
        <v>#VALUE!</v>
      </c>
      <c r="M56" s="7" t="e">
        <f t="shared" ca="1" si="3"/>
        <v>#VALUE!</v>
      </c>
      <c r="N56" s="7" t="e">
        <f t="shared" ca="1" si="4"/>
        <v>#VALUE!</v>
      </c>
      <c r="O56" s="7" t="e">
        <f t="shared" ca="1" si="5"/>
        <v>#VALUE!</v>
      </c>
      <c r="P56" s="7" t="e">
        <f t="shared" ca="1" si="6"/>
        <v>#VALUE!</v>
      </c>
    </row>
    <row r="57" spans="1:16" x14ac:dyDescent="0.25">
      <c r="A57" s="19">
        <f ca="1">IF(OR(INDIRECT("'" &amp; Master!$F$8 &amp; Master!$F$6 &amp; "'!A" &amp; ROW(A57))="", INDIRECT("'" &amp; Master!$F$8 &amp; Master!$F$6 &amp; "'!A" &amp; ROW(A57))=0), "", INDIRECT("'" &amp; Master!$F$8 &amp; Master!$F$6 &amp; "'!A" &amp; ROW(A57)))</f>
        <v>1734.5</v>
      </c>
      <c r="B57" s="4">
        <f ca="1">SplineInterp(INDIRECT("A" &amp; ROW()),INDIRECT("'" &amp;Master!$F$10&amp; "'!$A$2:$A$50"),INDIRECT("'" &amp;Master!$F$10&amp; "'!$B$2:$B$50"))</f>
        <v>1.1263566336199367</v>
      </c>
      <c r="C57" s="4">
        <f ca="1">SplineInterp(A57,INDIRECT("'" &amp;Master!$F$10&amp; "'!$A$2:$A$50"),INDIRECT("'" &amp;Master!$F$10&amp; "'!$C$2:$C$50"))</f>
        <v>1.1263585793361721</v>
      </c>
      <c r="D57" s="4">
        <f ca="1">SplineInterp(A57,INDIRECT("'" &amp;Master!$F$10&amp; "'!$A$2:$A$50"),INDIRECT("'" &amp;Master!$F$10&amp; "'!$D$2:$D$50"))</f>
        <v>1.1219285512812902</v>
      </c>
      <c r="E57" s="4">
        <f ca="1">SplineInterp(A57,INDIRECT("'" &amp;Master!$F$10&amp; "'!$A$2:$A$50"),INDIRECT("'" &amp;Master!$F$10&amp; "'!$E$2:$E$50"))</f>
        <v>1.1366633332295848</v>
      </c>
      <c r="F57" s="4">
        <f ca="1">SplineInterp(A57,INDIRECT("'" &amp;Master!$F$10&amp; "'!$A$2:$A$50"),INDIRECT("'" &amp;Master!$F$10&amp; "'!$F$2:$F$50"))</f>
        <v>1.1318416182200879</v>
      </c>
      <c r="G57" s="4">
        <f ca="1">SplineInterp(A57,INDIRECT("'" &amp;Master!$F$10&amp; "'!$A$2:$A$50"),INDIRECT("'" &amp;Master!$F$10&amp; "'!$G$2:$G$50"))</f>
        <v>1.1322417059816283</v>
      </c>
      <c r="H57" s="4">
        <f ca="1">SplineInterp(A57,INDIRECT("'" &amp;Master!$F$10&amp; "'!$A$2:$A$50"),INDIRECT("'" &amp;Master!$F$10&amp; "'!$H$2:$H$50"))</f>
        <v>1.0884766722668191</v>
      </c>
      <c r="I57" s="4">
        <f ca="1">IF(OR(INDIRECT("'" &amp; Master!$F$8 &amp; Master!$F$6 &amp; "'!B" &amp; ROW(B57))="", INDIRECT("'" &amp; Master!$F$8 &amp; Master!$F$6 &amp; "'!B" &amp; ROW(B57))=0), "", INDIRECT("'" &amp; Master!$F$8 &amp; Master!$F$6 &amp; "'!B" &amp; ROW(B57)))</f>
        <v>6.4935241883487419E-4</v>
      </c>
      <c r="J57" s="9">
        <f t="shared" ca="1" si="0"/>
        <v>7.3140240451181199E-4</v>
      </c>
      <c r="K57" s="7">
        <f t="shared" ca="1" si="1"/>
        <v>7.3140366796735595E-4</v>
      </c>
      <c r="L57" s="7">
        <f t="shared" ca="1" si="2"/>
        <v>7.2852701853441193E-4</v>
      </c>
      <c r="M57" s="7">
        <f t="shared" ca="1" si="3"/>
        <v>7.3809508483354148E-4</v>
      </c>
      <c r="N57" s="7">
        <f t="shared" ca="1" si="4"/>
        <v>7.3496409252919227E-4</v>
      </c>
      <c r="O57" s="7">
        <f t="shared" ca="1" si="5"/>
        <v>7.3522389048489482E-4</v>
      </c>
      <c r="P57" s="7">
        <f t="shared" ca="1" si="6"/>
        <v>7.0680495998179361E-4</v>
      </c>
    </row>
    <row r="58" spans="1:16" x14ac:dyDescent="0.25">
      <c r="A58" s="19">
        <f ca="1">IF(OR(INDIRECT("'" &amp; Master!$F$8 &amp; Master!$F$6 &amp; "'!A" &amp; ROW(A58))="", INDIRECT("'" &amp; Master!$F$8 &amp; Master!$F$6 &amp; "'!A" &amp; ROW(A58))=0), "", INDIRECT("'" &amp; Master!$F$8 &amp; Master!$F$6 &amp; "'!A" &amp; ROW(A58)))</f>
        <v>1765.5</v>
      </c>
      <c r="B58" s="4">
        <f ca="1">SplineInterp(INDIRECT("A" &amp; ROW()),INDIRECT("'" &amp;Master!$F$10&amp; "'!$A$2:$A$50"),INDIRECT("'" &amp;Master!$F$10&amp; "'!$B$2:$B$50"))</f>
        <v>1.1256389496126815</v>
      </c>
      <c r="C58" s="4">
        <f ca="1">SplineInterp(A58,INDIRECT("'" &amp;Master!$F$10&amp; "'!$A$2:$A$50"),INDIRECT("'" &amp;Master!$F$10&amp; "'!$C$2:$C$50"))</f>
        <v>1.1256410526650693</v>
      </c>
      <c r="D58" s="4">
        <f ca="1">SplineInterp(A58,INDIRECT("'" &amp;Master!$F$10&amp; "'!$A$2:$A$50"),INDIRECT("'" &amp;Master!$F$10&amp; "'!$D$2:$D$50"))</f>
        <v>1.1214684640593044</v>
      </c>
      <c r="E58" s="4">
        <f ca="1">SplineInterp(A58,INDIRECT("'" &amp;Master!$F$10&amp; "'!$A$2:$A$50"),INDIRECT("'" &amp;Master!$F$10&amp; "'!$E$2:$E$50"))</f>
        <v>1.135970407667481</v>
      </c>
      <c r="F58" s="4">
        <f ca="1">SplineInterp(A58,INDIRECT("'" &amp;Master!$F$10&amp; "'!$A$2:$A$50"),INDIRECT("'" &amp;Master!$F$10&amp; "'!$F$2:$F$50"))</f>
        <v>1.1313751169046415</v>
      </c>
      <c r="G58" s="4">
        <f ca="1">SplineInterp(A58,INDIRECT("'" &amp;Master!$F$10&amp; "'!$A$2:$A$50"),INDIRECT("'" &amp;Master!$F$10&amp; "'!$G$2:$G$50"))</f>
        <v>1.1318087887717354</v>
      </c>
      <c r="H58" s="4">
        <f ca="1">SplineInterp(A58,INDIRECT("'" &amp;Master!$F$10&amp; "'!$A$2:$A$50"),INDIRECT("'" &amp;Master!$F$10&amp; "'!$H$2:$H$50"))</f>
        <v>1.0886099674864054</v>
      </c>
      <c r="I58" s="4">
        <f ca="1">IF(OR(INDIRECT("'" &amp; Master!$F$8 &amp; Master!$F$6 &amp; "'!B" &amp; ROW(B58))="", INDIRECT("'" &amp; Master!$F$8 &amp; Master!$F$6 &amp; "'!B" &amp; ROW(B58))=0), "", INDIRECT("'" &amp; Master!$F$8 &amp; Master!$F$6 &amp; "'!B" &amp; ROW(B58)))</f>
        <v>1.1411471016932371E-3</v>
      </c>
      <c r="J58" s="9">
        <f t="shared" ca="1" si="0"/>
        <v>1.2845196249035313E-3</v>
      </c>
      <c r="K58" s="7">
        <f t="shared" ca="1" si="1"/>
        <v>1.2845220247956683E-3</v>
      </c>
      <c r="L58" s="7">
        <f t="shared" ca="1" si="2"/>
        <v>1.2797604874016414E-3</v>
      </c>
      <c r="M58" s="7">
        <f t="shared" ca="1" si="3"/>
        <v>1.296309338319031E-3</v>
      </c>
      <c r="N58" s="7">
        <f t="shared" ca="1" si="4"/>
        <v>1.2910654355835791E-3</v>
      </c>
      <c r="O58" s="7">
        <f t="shared" ca="1" si="5"/>
        <v>1.291560318977799E-3</v>
      </c>
      <c r="P58" s="7">
        <f t="shared" ca="1" si="6"/>
        <v>1.2422641092714806E-3</v>
      </c>
    </row>
    <row r="59" spans="1:16" x14ac:dyDescent="0.25">
      <c r="A59" s="19">
        <f ca="1">IF(OR(INDIRECT("'" &amp; Master!$F$8 &amp; Master!$F$6 &amp; "'!A" &amp; ROW(A59))="", INDIRECT("'" &amp; Master!$F$8 &amp; Master!$F$6 &amp; "'!A" &amp; ROW(A59))=0), "", INDIRECT("'" &amp; Master!$F$8 &amp; Master!$F$6 &amp; "'!A" &amp; ROW(A59)))</f>
        <v>1797</v>
      </c>
      <c r="B59" s="4">
        <f ca="1">SplineInterp(INDIRECT("A" &amp; ROW()),INDIRECT("'" &amp;Master!$F$10&amp; "'!$A$2:$A$50"),INDIRECT("'" &amp;Master!$F$10&amp; "'!$B$2:$B$50"))</f>
        <v>1.1248828215375408</v>
      </c>
      <c r="C59" s="4">
        <f ca="1">SplineInterp(A59,INDIRECT("'" &amp;Master!$F$10&amp; "'!$A$2:$A$50"),INDIRECT("'" &amp;Master!$F$10&amp; "'!$C$2:$C$50"))</f>
        <v>1.1248850129065189</v>
      </c>
      <c r="D59" s="4">
        <f ca="1">SplineInterp(A59,INDIRECT("'" &amp;Master!$F$10&amp; "'!$A$2:$A$50"),INDIRECT("'" &amp;Master!$F$10&amp; "'!$D$2:$D$50"))</f>
        <v>1.1210976877960233</v>
      </c>
      <c r="E59" s="4">
        <f ca="1">SplineInterp(A59,INDIRECT("'" &amp;Master!$F$10&amp; "'!$A$2:$A$50"),INDIRECT("'" &amp;Master!$F$10&amp; "'!$E$2:$E$50"))</f>
        <v>1.1352281606208028</v>
      </c>
      <c r="F59" s="4">
        <f ca="1">SplineInterp(A59,INDIRECT("'" &amp;Master!$F$10&amp; "'!$A$2:$A$50"),INDIRECT("'" &amp;Master!$F$10&amp; "'!$F$2:$F$50"))</f>
        <v>1.1310009809717474</v>
      </c>
      <c r="G59" s="4">
        <f ca="1">SplineInterp(A59,INDIRECT("'" &amp;Master!$F$10&amp; "'!$A$2:$A$50"),INDIRECT("'" &amp;Master!$F$10&amp; "'!$G$2:$G$50"))</f>
        <v>1.1314539861351605</v>
      </c>
      <c r="H59" s="4">
        <f ca="1">SplineInterp(A59,INDIRECT("'" &amp;Master!$F$10&amp; "'!$A$2:$A$50"),INDIRECT("'" &amp;Master!$F$10&amp; "'!$H$2:$H$50"))</f>
        <v>1.0887850846302518</v>
      </c>
      <c r="I59" s="4">
        <f ca="1">IF(OR(INDIRECT("'" &amp; Master!$F$8 &amp; Master!$F$6 &amp; "'!B" &amp; ROW(B59))="", INDIRECT("'" &amp; Master!$F$8 &amp; Master!$F$6 &amp; "'!B" &amp; ROW(B59))=0), "", INDIRECT("'" &amp; Master!$F$8 &amp; Master!$F$6 &amp; "'!B" &amp; ROW(B59)))</f>
        <v>1.8611132452062045E-3</v>
      </c>
      <c r="J59" s="9">
        <f t="shared" ca="1" si="0"/>
        <v>2.0935343184684445E-3</v>
      </c>
      <c r="K59" s="7">
        <f t="shared" ca="1" si="1"/>
        <v>2.0935383968542745E-3</v>
      </c>
      <c r="L59" s="7">
        <f t="shared" ca="1" si="2"/>
        <v>2.0864897559272292E-3</v>
      </c>
      <c r="M59" s="7">
        <f t="shared" ca="1" si="3"/>
        <v>2.1127881660624524E-3</v>
      </c>
      <c r="N59" s="7">
        <f t="shared" ca="1" si="4"/>
        <v>2.1049209060277295E-3</v>
      </c>
      <c r="O59" s="7">
        <f t="shared" ca="1" si="5"/>
        <v>2.1057639999375044E-3</v>
      </c>
      <c r="P59" s="7">
        <f t="shared" ca="1" si="6"/>
        <v>2.0263523421883201E-3</v>
      </c>
    </row>
    <row r="60" spans="1:16" x14ac:dyDescent="0.25">
      <c r="A60" s="19">
        <f ca="1">IF(OR(INDIRECT("'" &amp; Master!$F$8 &amp; Master!$F$6 &amp; "'!A" &amp; ROW(A60))="", INDIRECT("'" &amp; Master!$F$8 &amp; Master!$F$6 &amp; "'!A" &amp; ROW(A60))=0), "", INDIRECT("'" &amp; Master!$F$8 &amp; Master!$F$6 &amp; "'!A" &amp; ROW(A60)))</f>
        <v>1828.5</v>
      </c>
      <c r="B60" s="4">
        <f ca="1">SplineInterp(INDIRECT("A" &amp; ROW()),INDIRECT("'" &amp;Master!$F$10&amp; "'!$A$2:$A$50"),INDIRECT("'" &amp;Master!$F$10&amp; "'!$B$2:$B$50"))</f>
        <v>1.1241090513287784</v>
      </c>
      <c r="C60" s="4">
        <f ca="1">SplineInterp(A60,INDIRECT("'" &amp;Master!$F$10&amp; "'!$A$2:$A$50"),INDIRECT("'" &amp;Master!$F$10&amp; "'!$C$2:$C$50"))</f>
        <v>1.1241112436778262</v>
      </c>
      <c r="D60" s="4">
        <f ca="1">SplineInterp(A60,INDIRECT("'" &amp;Master!$F$10&amp; "'!$A$2:$A$50"),INDIRECT("'" &amp;Master!$F$10&amp; "'!$D$2:$D$50"))</f>
        <v>1.120808961251009</v>
      </c>
      <c r="E60" s="4">
        <f ca="1">SplineInterp(A60,INDIRECT("'" &amp;Master!$F$10&amp; "'!$A$2:$A$50"),INDIRECT("'" &amp;Master!$F$10&amp; "'!$E$2:$E$50"))</f>
        <v>1.1344545115321014</v>
      </c>
      <c r="F60" s="4">
        <f ca="1">SplineInterp(A60,INDIRECT("'" &amp;Master!$F$10&amp; "'!$A$2:$A$50"),INDIRECT("'" &amp;Master!$F$10&amp; "'!$F$2:$F$50"))</f>
        <v>1.1307126978307027</v>
      </c>
      <c r="G60" s="4">
        <f ca="1">SplineInterp(A60,INDIRECT("'" &amp;Master!$F$10&amp; "'!$A$2:$A$50"),INDIRECT("'" &amp;Master!$F$10&amp; "'!$G$2:$G$50"))</f>
        <v>1.1311668794983381</v>
      </c>
      <c r="H60" s="4">
        <f ca="1">SplineInterp(A60,INDIRECT("'" &amp;Master!$F$10&amp; "'!$A$2:$A$50"),INDIRECT("'" &amp;Master!$F$10&amp; "'!$H$2:$H$50"))</f>
        <v>1.0889873079302292</v>
      </c>
      <c r="I60" s="4">
        <f ca="1">IF(OR(INDIRECT("'" &amp; Master!$F$8 &amp; Master!$F$6 &amp; "'!B" &amp; ROW(B60))="", INDIRECT("'" &amp; Master!$F$8 &amp; Master!$F$6 &amp; "'!B" &amp; ROW(B60))=0), "", INDIRECT("'" &amp; Master!$F$8 &amp; Master!$F$6 &amp; "'!B" &amp; ROW(B60)))</f>
        <v>5.9441862533057322E-4</v>
      </c>
      <c r="J60" s="9">
        <f t="shared" ca="1" si="0"/>
        <v>6.6819135701250718E-4</v>
      </c>
      <c r="K60" s="7">
        <f t="shared" ca="1" si="1"/>
        <v>6.6819266018561447E-4</v>
      </c>
      <c r="L60" s="7">
        <f t="shared" ca="1" si="2"/>
        <v>6.6622972200501248E-4</v>
      </c>
      <c r="M60" s="7">
        <f t="shared" ca="1" si="3"/>
        <v>6.7434089124497869E-4</v>
      </c>
      <c r="N60" s="7">
        <f t="shared" ca="1" si="4"/>
        <v>6.7211668748835016E-4</v>
      </c>
      <c r="O60" s="7">
        <f t="shared" ca="1" si="5"/>
        <v>6.7238666153087627E-4</v>
      </c>
      <c r="P60" s="7">
        <f t="shared" ca="1" si="6"/>
        <v>6.4731433858232848E-4</v>
      </c>
    </row>
    <row r="61" spans="1:16" x14ac:dyDescent="0.25">
      <c r="A61" s="19">
        <f ca="1">IF(OR(INDIRECT("'" &amp; Master!$F$8 &amp; Master!$F$6 &amp; "'!A" &amp; ROW(A61))="", INDIRECT("'" &amp; Master!$F$8 &amp; Master!$F$6 &amp; "'!A" &amp; ROW(A61))=0), "", INDIRECT("'" &amp; Master!$F$8 &amp; Master!$F$6 &amp; "'!A" &amp; ROW(A61)))</f>
        <v>1859.5</v>
      </c>
      <c r="B61" s="4">
        <f ca="1">SplineInterp(INDIRECT("A" &amp; ROW()),INDIRECT("'" &amp;Master!$F$10&amp; "'!$A$2:$A$50"),INDIRECT("'" &amp;Master!$F$10&amp; "'!$B$2:$B$50"))</f>
        <v>1.1233395566111439</v>
      </c>
      <c r="C61" s="4">
        <f ca="1">SplineInterp(A61,INDIRECT("'" &amp;Master!$F$10&amp; "'!$A$2:$A$50"),INDIRECT("'" &amp;Master!$F$10&amp; "'!$C$2:$C$50"))</f>
        <v>1.1233416498099549</v>
      </c>
      <c r="D61" s="4">
        <f ca="1">SplineInterp(A61,INDIRECT("'" &amp;Master!$F$10&amp; "'!$A$2:$A$50"),INDIRECT("'" &amp;Master!$F$10&amp; "'!$D$2:$D$50"))</f>
        <v>1.1205898343505458</v>
      </c>
      <c r="E61" s="4">
        <f ca="1">SplineInterp(A61,INDIRECT("'" &amp;Master!$F$10&amp; "'!$A$2:$A$50"),INDIRECT("'" &amp;Master!$F$10&amp; "'!$E$2:$E$50"))</f>
        <v>1.1336693657125472</v>
      </c>
      <c r="F61" s="4">
        <f ca="1">SplineInterp(A61,INDIRECT("'" &amp;Master!$F$10&amp; "'!$A$2:$A$50"),INDIRECT("'" &amp;Master!$F$10&amp; "'!$F$2:$F$50"))</f>
        <v>1.1304983255507308</v>
      </c>
      <c r="G61" s="4">
        <f ca="1">SplineInterp(A61,INDIRECT("'" &amp;Master!$F$10&amp; "'!$A$2:$A$50"),INDIRECT("'" &amp;Master!$F$10&amp; "'!$G$2:$G$50"))</f>
        <v>1.1309327691851727</v>
      </c>
      <c r="H61" s="4">
        <f ca="1">SplineInterp(A61,INDIRECT("'" &amp;Master!$F$10&amp; "'!$A$2:$A$50"),INDIRECT("'" &amp;Master!$F$10&amp; "'!$H$2:$H$50"))</f>
        <v>1.0892002074218903</v>
      </c>
      <c r="I61" s="4" t="str">
        <f ca="1">IF(OR(INDIRECT("'" &amp; Master!$F$8 &amp; Master!$F$6 &amp; "'!B" &amp; ROW(B61))="", INDIRECT("'" &amp; Master!$F$8 &amp; Master!$F$6 &amp; "'!B" &amp; ROW(B61))=0), "", INDIRECT("'" &amp; Master!$F$8 &amp; Master!$F$6 &amp; "'!B" &amp; ROW(B61)))</f>
        <v/>
      </c>
      <c r="J61" s="9" t="e">
        <f t="shared" ca="1" si="0"/>
        <v>#VALUE!</v>
      </c>
      <c r="K61" s="7" t="e">
        <f t="shared" ca="1" si="1"/>
        <v>#VALUE!</v>
      </c>
      <c r="L61" s="7" t="e">
        <f t="shared" ca="1" si="2"/>
        <v>#VALUE!</v>
      </c>
      <c r="M61" s="7" t="e">
        <f t="shared" ca="1" si="3"/>
        <v>#VALUE!</v>
      </c>
      <c r="N61" s="7" t="e">
        <f t="shared" ca="1" si="4"/>
        <v>#VALUE!</v>
      </c>
      <c r="O61" s="7" t="e">
        <f t="shared" ca="1" si="5"/>
        <v>#VALUE!</v>
      </c>
      <c r="P61" s="7" t="e">
        <f t="shared" ca="1" si="6"/>
        <v>#VALUE!</v>
      </c>
    </row>
    <row r="62" spans="1:16" x14ac:dyDescent="0.25">
      <c r="A62" s="19">
        <f ca="1">IF(OR(INDIRECT("'" &amp; Master!$F$8 &amp; Master!$F$6 &amp; "'!A" &amp; ROW(A62))="", INDIRECT("'" &amp; Master!$F$8 &amp; Master!$F$6 &amp; "'!A" &amp; ROW(A62))=0), "", INDIRECT("'" &amp; Master!$F$8 &amp; Master!$F$6 &amp; "'!A" &amp; ROW(A62)))</f>
        <v>1890.5</v>
      </c>
      <c r="B62" s="4">
        <f ca="1">SplineInterp(INDIRECT("A" &amp; ROW()),INDIRECT("'" &amp;Master!$F$10&amp; "'!$A$2:$A$50"),INDIRECT("'" &amp;Master!$F$10&amp; "'!$B$2:$B$50"))</f>
        <v>1.1225712147200022</v>
      </c>
      <c r="C62" s="4">
        <f ca="1">SplineInterp(A62,INDIRECT("'" &amp;Master!$F$10&amp; "'!$A$2:$A$50"),INDIRECT("'" &amp;Master!$F$10&amp; "'!$C$2:$C$50"))</f>
        <v>1.1225730948051875</v>
      </c>
      <c r="D62" s="4">
        <f ca="1">SplineInterp(A62,INDIRECT("'" &amp;Master!$F$10&amp; "'!$A$2:$A$50"),INDIRECT("'" &amp;Master!$F$10&amp; "'!$D$2:$D$50"))</f>
        <v>1.1204203145350429</v>
      </c>
      <c r="E62" s="4">
        <f ca="1">SplineInterp(A62,INDIRECT("'" &amp;Master!$F$10&amp; "'!$A$2:$A$50"),INDIRECT("'" &amp;Master!$F$10&amp; "'!$E$2:$E$50"))</f>
        <v>1.132867423325729</v>
      </c>
      <c r="F62" s="4">
        <f ca="1">SplineInterp(A62,INDIRECT("'" &amp;Master!$F$10&amp; "'!$A$2:$A$50"),INDIRECT("'" &amp;Master!$F$10&amp; "'!$F$2:$F$50"))</f>
        <v>1.1303384412800561</v>
      </c>
      <c r="G62" s="4">
        <f ca="1">SplineInterp(A62,INDIRECT("'" &amp;Master!$F$10&amp; "'!$A$2:$A$50"),INDIRECT("'" &amp;Master!$F$10&amp; "'!$G$2:$G$50"))</f>
        <v>1.130729291172264</v>
      </c>
      <c r="H62" s="4">
        <f ca="1">SplineInterp(A62,INDIRECT("'" &amp;Master!$F$10&amp; "'!$A$2:$A$50"),INDIRECT("'" &amp;Master!$F$10&amp; "'!$H$2:$H$50"))</f>
        <v>1.0894144708037026</v>
      </c>
      <c r="I62" s="4">
        <f ca="1">IF(OR(INDIRECT("'" &amp; Master!$F$8 &amp; Master!$F$6 &amp; "'!B" &amp; ROW(B62))="", INDIRECT("'" &amp; Master!$F$8 &amp; Master!$F$6 &amp; "'!B" &amp; ROW(B62))=0), "", INDIRECT("'" &amp; Master!$F$8 &amp; Master!$F$6 &amp; "'!B" &amp; ROW(B62)))</f>
        <v>6.783995607909665E-4</v>
      </c>
      <c r="J62" s="9">
        <f t="shared" ca="1" si="0"/>
        <v>7.6155181902263125E-4</v>
      </c>
      <c r="K62" s="7">
        <f t="shared" ca="1" si="1"/>
        <v>7.6155309447159525E-4</v>
      </c>
      <c r="L62" s="7">
        <f t="shared" ca="1" si="2"/>
        <v>7.6009264928184961E-4</v>
      </c>
      <c r="M62" s="7">
        <f t="shared" ca="1" si="3"/>
        <v>7.6853676241856849E-4</v>
      </c>
      <c r="N62" s="7">
        <f t="shared" ca="1" si="4"/>
        <v>7.6682110210953577E-4</v>
      </c>
      <c r="O62" s="7">
        <f t="shared" ca="1" si="5"/>
        <v>7.6708625450474469E-4</v>
      </c>
      <c r="P62" s="7">
        <f t="shared" ca="1" si="6"/>
        <v>7.3905829851255507E-4</v>
      </c>
    </row>
    <row r="63" spans="1:16" x14ac:dyDescent="0.25">
      <c r="A63" s="19">
        <f ca="1">IF(OR(INDIRECT("'" &amp; Master!$F$8 &amp; Master!$F$6 &amp; "'!A" &amp; ROW(A63))="", INDIRECT("'" &amp; Master!$F$8 &amp; Master!$F$6 &amp; "'!A" &amp; ROW(A63))=0), "", INDIRECT("'" &amp; Master!$F$8 &amp; Master!$F$6 &amp; "'!A" &amp; ROW(A63)))</f>
        <v>1922</v>
      </c>
      <c r="B63" s="4">
        <f ca="1">SplineInterp(INDIRECT("A" &amp; ROW()),INDIRECT("'" &amp;Master!$F$10&amp; "'!$A$2:$A$50"),INDIRECT("'" &amp;Master!$F$10&amp; "'!$B$2:$B$50"))</f>
        <v>1.1218009776665228</v>
      </c>
      <c r="C63" s="4">
        <f ca="1">SplineInterp(A63,INDIRECT("'" &amp;Master!$F$10&amp; "'!$A$2:$A$50"),INDIRECT("'" &amp;Master!$F$10&amp; "'!$C$2:$C$50"))</f>
        <v>1.1218025094594897</v>
      </c>
      <c r="D63" s="4">
        <f ca="1">SplineInterp(A63,INDIRECT("'" &amp;Master!$F$10&amp; "'!$A$2:$A$50"),INDIRECT("'" &amp;Master!$F$10&amp; "'!$D$2:$D$50"))</f>
        <v>1.1202836226070736</v>
      </c>
      <c r="E63" s="4">
        <f ca="1">SplineInterp(A63,INDIRECT("'" &amp;Master!$F$10&amp; "'!$A$2:$A$50"),INDIRECT("'" &amp;Master!$F$10&amp; "'!$E$2:$E$50"))</f>
        <v>1.1320422965161805</v>
      </c>
      <c r="F63" s="4">
        <f ca="1">SplineInterp(A63,INDIRECT("'" &amp;Master!$F$10&amp; "'!$A$2:$A$50"),INDIRECT("'" &amp;Master!$F$10&amp; "'!$F$2:$F$50"))</f>
        <v>1.1302171516971615</v>
      </c>
      <c r="G63" s="4">
        <f ca="1">SplineInterp(A63,INDIRECT("'" &amp;Master!$F$10&amp; "'!$A$2:$A$50"),INDIRECT("'" &amp;Master!$F$10&amp; "'!$G$2:$G$50"))</f>
        <v>1.1305360656825081</v>
      </c>
      <c r="H63" s="4">
        <f ca="1">SplineInterp(A63,INDIRECT("'" &amp;Master!$F$10&amp; "'!$A$2:$A$50"),INDIRECT("'" &amp;Master!$F$10&amp; "'!$H$2:$H$50"))</f>
        <v>1.0896208741218565</v>
      </c>
      <c r="I63" s="4">
        <f ca="1">IF(OR(INDIRECT("'" &amp; Master!$F$8 &amp; Master!$F$6 &amp; "'!B" &amp; ROW(B63))="", INDIRECT("'" &amp; Master!$F$8 &amp; Master!$F$6 &amp; "'!B" &amp; ROW(B63))=0), "", INDIRECT("'" &amp; Master!$F$8 &amp; Master!$F$6 &amp; "'!B" &amp; ROW(B63)))</f>
        <v>8.226557843892256E-4</v>
      </c>
      <c r="J63" s="9">
        <f t="shared" ca="1" si="0"/>
        <v>9.2285606321085344E-4</v>
      </c>
      <c r="K63" s="7">
        <f t="shared" ca="1" si="1"/>
        <v>9.2285732334919813E-4</v>
      </c>
      <c r="L63" s="7">
        <f t="shared" ca="1" si="2"/>
        <v>9.2160780229422526E-4</v>
      </c>
      <c r="M63" s="7">
        <f t="shared" ca="1" si="3"/>
        <v>9.3128114340229877E-4</v>
      </c>
      <c r="N63" s="7">
        <f t="shared" ca="1" si="4"/>
        <v>9.2977967745958478E-4</v>
      </c>
      <c r="O63" s="7">
        <f t="shared" ca="1" si="5"/>
        <v>9.3004203389435278E-4</v>
      </c>
      <c r="P63" s="7">
        <f t="shared" ca="1" si="6"/>
        <v>8.9638291488758944E-4</v>
      </c>
    </row>
    <row r="64" spans="1:16" x14ac:dyDescent="0.25">
      <c r="A64" s="19">
        <f ca="1">IF(OR(INDIRECT("'" &amp; Master!$F$8 &amp; Master!$F$6 &amp; "'!A" &amp; ROW(A64))="", INDIRECT("'" &amp; Master!$F$8 &amp; Master!$F$6 &amp; "'!A" &amp; ROW(A64))=0), "", INDIRECT("'" &amp; Master!$F$8 &amp; Master!$F$6 &amp; "'!A" &amp; ROW(A64)))</f>
        <v>1953.5</v>
      </c>
      <c r="B64" s="4">
        <f ca="1">SplineInterp(INDIRECT("A" &amp; ROW()),INDIRECT("'" &amp;Master!$F$10&amp; "'!$A$2:$A$50"),INDIRECT("'" &amp;Master!$F$10&amp; "'!$B$2:$B$50"))</f>
        <v>1.1210507633753588</v>
      </c>
      <c r="C64" s="4">
        <f ca="1">SplineInterp(A64,INDIRECT("'" &amp;Master!$F$10&amp; "'!$A$2:$A$50"),INDIRECT("'" &amp;Master!$F$10&amp; "'!$C$2:$C$50"))</f>
        <v>1.12105179887408</v>
      </c>
      <c r="D64" s="4">
        <f ca="1">SplineInterp(A64,INDIRECT("'" &amp;Master!$F$10&amp; "'!$A$2:$A$50"),INDIRECT("'" &amp;Master!$F$10&amp; "'!$D$2:$D$50"))</f>
        <v>1.1201673213979901</v>
      </c>
      <c r="E64" s="4">
        <f ca="1">SplineInterp(A64,INDIRECT("'" &amp;Master!$F$10&amp; "'!$A$2:$A$50"),INDIRECT("'" &amp;Master!$F$10&amp; "'!$E$2:$E$50"))</f>
        <v>1.1312138862255172</v>
      </c>
      <c r="F64" s="4">
        <f ca="1">SplineInterp(A64,INDIRECT("'" &amp;Master!$F$10&amp; "'!$A$2:$A$50"),INDIRECT("'" &amp;Master!$F$10&amp; "'!$F$2:$F$50"))</f>
        <v>1.1301225290460908</v>
      </c>
      <c r="G64" s="4">
        <f ca="1">SplineInterp(A64,INDIRECT("'" &amp;Master!$F$10&amp; "'!$A$2:$A$50"),INDIRECT("'" &amp;Master!$F$10&amp; "'!$G$2:$G$50"))</f>
        <v>1.1303384010086706</v>
      </c>
      <c r="H64" s="4">
        <f ca="1">SplineInterp(A64,INDIRECT("'" &amp;Master!$F$10&amp; "'!$A$2:$A$50"),INDIRECT("'" &amp;Master!$F$10&amp; "'!$H$2:$H$50"))</f>
        <v>1.0898029877667146</v>
      </c>
      <c r="I64" s="4" t="str">
        <f ca="1">IF(OR(INDIRECT("'" &amp; Master!$F$8 &amp; Master!$F$6 &amp; "'!B" &amp; ROW(B64))="", INDIRECT("'" &amp; Master!$F$8 &amp; Master!$F$6 &amp; "'!B" &amp; ROW(B64))=0), "", INDIRECT("'" &amp; Master!$F$8 &amp; Master!$F$6 &amp; "'!B" &amp; ROW(B64)))</f>
        <v/>
      </c>
      <c r="J64" s="9" t="e">
        <f t="shared" ca="1" si="0"/>
        <v>#VALUE!</v>
      </c>
      <c r="K64" s="7" t="e">
        <f t="shared" ca="1" si="1"/>
        <v>#VALUE!</v>
      </c>
      <c r="L64" s="7" t="e">
        <f t="shared" ca="1" si="2"/>
        <v>#VALUE!</v>
      </c>
      <c r="M64" s="7" t="e">
        <f t="shared" ca="1" si="3"/>
        <v>#VALUE!</v>
      </c>
      <c r="N64" s="7" t="e">
        <f t="shared" ca="1" si="4"/>
        <v>#VALUE!</v>
      </c>
      <c r="O64" s="7" t="e">
        <f t="shared" ca="1" si="5"/>
        <v>#VALUE!</v>
      </c>
      <c r="P64" s="7" t="e">
        <f t="shared" ca="1" si="6"/>
        <v>#VALUE!</v>
      </c>
    </row>
    <row r="65" spans="1:16" x14ac:dyDescent="0.25">
      <c r="A65" s="19">
        <f ca="1">IF(OR(INDIRECT("'" &amp; Master!$F$8 &amp; Master!$F$6 &amp; "'!A" &amp; ROW(A65))="", INDIRECT("'" &amp; Master!$F$8 &amp; Master!$F$6 &amp; "'!A" &amp; ROW(A65))=0), "", INDIRECT("'" &amp; Master!$F$8 &amp; Master!$F$6 &amp; "'!A" &amp; ROW(A65)))</f>
        <v>1984.5</v>
      </c>
      <c r="B65" s="4">
        <f ca="1">SplineInterp(INDIRECT("A" &amp; ROW()),INDIRECT("'" &amp;Master!$F$10&amp; "'!$A$2:$A$50"),INDIRECT("'" &amp;Master!$F$10&amp; "'!$B$2:$B$50"))</f>
        <v>1.1203412235294543</v>
      </c>
      <c r="C65" s="4">
        <f ca="1">SplineInterp(A65,INDIRECT("'" &amp;Master!$F$10&amp; "'!$A$2:$A$50"),INDIRECT("'" &amp;Master!$F$10&amp; "'!$C$2:$C$50"))</f>
        <v>1.1203416112681333</v>
      </c>
      <c r="D65" s="4">
        <f ca="1">SplineInterp(A65,INDIRECT("'" &amp;Master!$F$10&amp; "'!$A$2:$A$50"),INDIRECT("'" &amp;Master!$F$10&amp; "'!$D$2:$D$50"))</f>
        <v>1.1200576842278225</v>
      </c>
      <c r="E65" s="4">
        <f ca="1">SplineInterp(A65,INDIRECT("'" &amp;Master!$F$10&amp; "'!$A$2:$A$50"),INDIRECT("'" &amp;Master!$F$10&amp; "'!$E$2:$E$50"))</f>
        <v>1.1304023010430648</v>
      </c>
      <c r="F65" s="4">
        <f ca="1">SplineInterp(A65,INDIRECT("'" &amp;Master!$F$10&amp; "'!$A$2:$A$50"),INDIRECT("'" &amp;Master!$F$10&amp; "'!$F$2:$F$50"))</f>
        <v>1.1300409591511622</v>
      </c>
      <c r="G65" s="4">
        <f ca="1">SplineInterp(A65,INDIRECT("'" &amp;Master!$F$10&amp; "'!$A$2:$A$50"),INDIRECT("'" &amp;Master!$F$10&amp; "'!$G$2:$G$50"))</f>
        <v>1.1301218861780105</v>
      </c>
      <c r="H65" s="4">
        <f ca="1">SplineInterp(A65,INDIRECT("'" &amp;Master!$F$10&amp; "'!$A$2:$A$50"),INDIRECT("'" &amp;Master!$F$10&amp; "'!$H$2:$H$50"))</f>
        <v>1.0899459182102715</v>
      </c>
      <c r="I65" s="4" t="str">
        <f ca="1">IF(OR(INDIRECT("'" &amp; Master!$F$8 &amp; Master!$F$6 &amp; "'!B" &amp; ROW(B65))="", INDIRECT("'" &amp; Master!$F$8 &amp; Master!$F$6 &amp; "'!B" &amp; ROW(B65))=0), "", INDIRECT("'" &amp; Master!$F$8 &amp; Master!$F$6 &amp; "'!B" &amp; ROW(B65)))</f>
        <v/>
      </c>
      <c r="J65" s="9" t="e">
        <f t="shared" ca="1" si="0"/>
        <v>#VALUE!</v>
      </c>
      <c r="K65" s="7" t="e">
        <f t="shared" ca="1" si="1"/>
        <v>#VALUE!</v>
      </c>
      <c r="L65" s="7" t="e">
        <f t="shared" ca="1" si="2"/>
        <v>#VALUE!</v>
      </c>
      <c r="M65" s="7" t="e">
        <f t="shared" ca="1" si="3"/>
        <v>#VALUE!</v>
      </c>
      <c r="N65" s="7" t="e">
        <f t="shared" ca="1" si="4"/>
        <v>#VALUE!</v>
      </c>
      <c r="O65" s="7" t="e">
        <f t="shared" ca="1" si="5"/>
        <v>#VALUE!</v>
      </c>
      <c r="P65" s="7" t="e">
        <f t="shared" ca="1" si="6"/>
        <v>#VALUE!</v>
      </c>
    </row>
    <row r="66" spans="1:16" x14ac:dyDescent="0.25">
      <c r="A66" s="19">
        <f ca="1">IF(OR(INDIRECT("'" &amp; Master!$F$8 &amp; Master!$F$6 &amp; "'!A" &amp; ROW(A66))="", INDIRECT("'" &amp; Master!$F$8 &amp; Master!$F$6 &amp; "'!A" &amp; ROW(A66))=0), "", INDIRECT("'" &amp; Master!$F$8 &amp; Master!$F$6 &amp; "'!A" &amp; ROW(A66)))</f>
        <v>2015.5</v>
      </c>
      <c r="B66" s="4">
        <f ca="1">SplineInterp(INDIRECT("A" &amp; ROW()),INDIRECT("'" &amp;Master!$F$10&amp; "'!$A$2:$A$50"),INDIRECT("'" &amp;Master!$F$10&amp; "'!$B$2:$B$50"))</f>
        <v>1.1196690885560994</v>
      </c>
      <c r="C66" s="4">
        <f ca="1">SplineInterp(A66,INDIRECT("'" &amp;Master!$F$10&amp; "'!$A$2:$A$50"),INDIRECT("'" &amp;Master!$F$10&amp; "'!$C$2:$C$50"))</f>
        <v>1.1196686565672571</v>
      </c>
      <c r="D66" s="4">
        <f ca="1">SplineInterp(A66,INDIRECT("'" &amp;Master!$F$10&amp; "'!$A$2:$A$50"),INDIRECT("'" &amp;Master!$F$10&amp; "'!$D$2:$D$50"))</f>
        <v>1.1199382565819749</v>
      </c>
      <c r="E66" s="4">
        <f ca="1">SplineInterp(A66,INDIRECT("'" &amp;Master!$F$10&amp; "'!$A$2:$A$50"),INDIRECT("'" &amp;Master!$F$10&amp; "'!$E$2:$E$50"))</f>
        <v>1.1296010066132771</v>
      </c>
      <c r="F66" s="4">
        <f ca="1">SplineInterp(A66,INDIRECT("'" &amp;Master!$F$10&amp; "'!$A$2:$A$50"),INDIRECT("'" &amp;Master!$F$10&amp; "'!$F$2:$F$50"))</f>
        <v>1.1299568436638348</v>
      </c>
      <c r="G66" s="4">
        <f ca="1">SplineInterp(A66,INDIRECT("'" &amp;Master!$F$10&amp; "'!$A$2:$A$50"),INDIRECT("'" &amp;Master!$F$10&amp; "'!$G$2:$G$50"))</f>
        <v>1.1298665502077028</v>
      </c>
      <c r="H66" s="4">
        <f ca="1">SplineInterp(A66,INDIRECT("'" &amp;Master!$F$10&amp; "'!$A$2:$A$50"),INDIRECT("'" &amp;Master!$F$10&amp; "'!$H$2:$H$50"))</f>
        <v>1.0900407496661619</v>
      </c>
      <c r="I66" s="4" t="str">
        <f ca="1">IF(OR(INDIRECT("'" &amp; Master!$F$8 &amp; Master!$F$6 &amp; "'!B" &amp; ROW(B66))="", INDIRECT("'" &amp; Master!$F$8 &amp; Master!$F$6 &amp; "'!B" &amp; ROW(B66))=0), "", INDIRECT("'" &amp; Master!$F$8 &amp; Master!$F$6 &amp; "'!B" &amp; ROW(B66)))</f>
        <v/>
      </c>
      <c r="J66" s="9" t="e">
        <f t="shared" ca="1" si="0"/>
        <v>#VALUE!</v>
      </c>
      <c r="K66" s="7" t="e">
        <f t="shared" ca="1" si="1"/>
        <v>#VALUE!</v>
      </c>
      <c r="L66" s="7" t="e">
        <f t="shared" ca="1" si="2"/>
        <v>#VALUE!</v>
      </c>
      <c r="M66" s="7" t="e">
        <f t="shared" ca="1" si="3"/>
        <v>#VALUE!</v>
      </c>
      <c r="N66" s="7" t="e">
        <f t="shared" ca="1" si="4"/>
        <v>#VALUE!</v>
      </c>
      <c r="O66" s="7" t="e">
        <f t="shared" ca="1" si="5"/>
        <v>#VALUE!</v>
      </c>
      <c r="P66" s="7" t="e">
        <f t="shared" ca="1" si="6"/>
        <v>#VALUE!</v>
      </c>
    </row>
    <row r="67" spans="1:16" x14ac:dyDescent="0.25">
      <c r="A67" s="19">
        <f ca="1">IF(OR(INDIRECT("'" &amp; Master!$F$8 &amp; Master!$F$6 &amp; "'!A" &amp; ROW(A67))="", INDIRECT("'" &amp; Master!$F$8 &amp; Master!$F$6 &amp; "'!A" &amp; ROW(A67))=0), "", INDIRECT("'" &amp; Master!$F$8 &amp; Master!$F$6 &amp; "'!A" &amp; ROW(A67)))</f>
        <v>2046.5</v>
      </c>
      <c r="B67" s="4">
        <f ca="1">SplineInterp(INDIRECT("A" &amp; ROW()),INDIRECT("'" &amp;Master!$F$10&amp; "'!$A$2:$A$50"),INDIRECT("'" &amp;Master!$F$10&amp; "'!$B$2:$B$50"))</f>
        <v>1.1190379660786089</v>
      </c>
      <c r="C67" s="4">
        <f ca="1">SplineInterp(A67,INDIRECT("'" &amp;Master!$F$10&amp; "'!$A$2:$A$50"),INDIRECT("'" &amp;Master!$F$10&amp; "'!$C$2:$C$50"))</f>
        <v>1.1190365458430283</v>
      </c>
      <c r="D67" s="4">
        <f ca="1">SplineInterp(A67,INDIRECT("'" &amp;Master!$F$10&amp; "'!$A$2:$A$50"),INDIRECT("'" &amp;Master!$F$10&amp; "'!$D$2:$D$50"))</f>
        <v>1.1198018977062365</v>
      </c>
      <c r="E67" s="4">
        <f ca="1">SplineInterp(A67,INDIRECT("'" &amp;Master!$F$10&amp; "'!$A$2:$A$50"),INDIRECT("'" &amp;Master!$F$10&amp; "'!$E$2:$E$50"))</f>
        <v>1.1288132605711965</v>
      </c>
      <c r="F67" s="4">
        <f ca="1">SplineInterp(A67,INDIRECT("'" &amp;Master!$F$10&amp; "'!$A$2:$A$50"),INDIRECT("'" &amp;Master!$F$10&amp; "'!$F$2:$F$50"))</f>
        <v>1.1298628848639787</v>
      </c>
      <c r="G67" s="4">
        <f ca="1">SplineInterp(A67,INDIRECT("'" &amp;Master!$F$10&amp; "'!$A$2:$A$50"),INDIRECT("'" &amp;Master!$F$10&amp; "'!$G$2:$G$50"))</f>
        <v>1.1295649048921288</v>
      </c>
      <c r="H67" s="4">
        <f ca="1">SplineInterp(A67,INDIRECT("'" &amp;Master!$F$10&amp; "'!$A$2:$A$50"),INDIRECT("'" &amp;Master!$F$10&amp; "'!$H$2:$H$50"))</f>
        <v>1.0900826802924228</v>
      </c>
      <c r="I67" s="4" t="str">
        <f ca="1">IF(OR(INDIRECT("'" &amp; Master!$F$8 &amp; Master!$F$6 &amp; "'!B" &amp; ROW(B67))="", INDIRECT("'" &amp; Master!$F$8 &amp; Master!$F$6 &amp; "'!B" &amp; ROW(B67))=0), "", INDIRECT("'" &amp; Master!$F$8 &amp; Master!$F$6 &amp; "'!B" &amp; ROW(B67)))</f>
        <v/>
      </c>
      <c r="J67" s="9" t="e">
        <f t="shared" ref="J67:J130" ca="1" si="7">B67*I67</f>
        <v>#VALUE!</v>
      </c>
      <c r="K67" s="7" t="e">
        <f t="shared" ref="K67:K130" ca="1" si="8">C67*I67</f>
        <v>#VALUE!</v>
      </c>
      <c r="L67" s="7" t="e">
        <f t="shared" ref="L67:L130" ca="1" si="9">D67*I67</f>
        <v>#VALUE!</v>
      </c>
      <c r="M67" s="7" t="e">
        <f t="shared" ref="M67:M130" ca="1" si="10">E67*I67</f>
        <v>#VALUE!</v>
      </c>
      <c r="N67" s="7" t="e">
        <f t="shared" ref="N67:N130" ca="1" si="11">F67*I67</f>
        <v>#VALUE!</v>
      </c>
      <c r="O67" s="7" t="e">
        <f t="shared" ref="O67:O130" ca="1" si="12">G67*I67</f>
        <v>#VALUE!</v>
      </c>
      <c r="P67" s="7" t="e">
        <f t="shared" ref="P67:P130" ca="1" si="13">H67*I67</f>
        <v>#VALUE!</v>
      </c>
    </row>
    <row r="68" spans="1:16" x14ac:dyDescent="0.25">
      <c r="A68" s="19">
        <f ca="1">IF(OR(INDIRECT("'" &amp; Master!$F$8 &amp; Master!$F$6 &amp; "'!A" &amp; ROW(A68))="", INDIRECT("'" &amp; Master!$F$8 &amp; Master!$F$6 &amp; "'!A" &amp; ROW(A68))=0), "", INDIRECT("'" &amp; Master!$F$8 &amp; Master!$F$6 &amp; "'!A" &amp; ROW(A68)))</f>
        <v>2078</v>
      </c>
      <c r="B68" s="4">
        <f ca="1">SplineInterp(INDIRECT("A" &amp; ROW()),INDIRECT("'" &amp;Master!$F$10&amp; "'!$A$2:$A$50"),INDIRECT("'" &amp;Master!$F$10&amp; "'!$B$2:$B$50"))</f>
        <v>1.1184370203170519</v>
      </c>
      <c r="C68" s="4">
        <f ca="1">SplineInterp(A68,INDIRECT("'" &amp;Master!$F$10&amp; "'!$A$2:$A$50"),INDIRECT("'" &amp;Master!$F$10&amp; "'!$C$2:$C$50"))</f>
        <v>1.1184344446161187</v>
      </c>
      <c r="D68" s="4">
        <f ca="1">SplineInterp(A68,INDIRECT("'" &amp;Master!$F$10&amp; "'!$A$2:$A$50"),INDIRECT("'" &amp;Master!$F$10&amp; "'!$D$2:$D$50"))</f>
        <v>1.119646213211692</v>
      </c>
      <c r="E68" s="4">
        <f ca="1">SplineInterp(A68,INDIRECT("'" &amp;Master!$F$10&amp; "'!$A$2:$A$50"),INDIRECT("'" &amp;Master!$F$10&amp; "'!$E$2:$E$50"))</f>
        <v>1.1280265904703344</v>
      </c>
      <c r="F68" s="4">
        <f ca="1">SplineInterp(A68,INDIRECT("'" &amp;Master!$F$10&amp; "'!$A$2:$A$50"),INDIRECT("'" &amp;Master!$F$10&amp; "'!$F$2:$F$50"))</f>
        <v>1.1297566416521683</v>
      </c>
      <c r="G68" s="4">
        <f ca="1">SplineInterp(A68,INDIRECT("'" &amp;Master!$F$10&amp; "'!$A$2:$A$50"),INDIRECT("'" &amp;Master!$F$10&amp; "'!$G$2:$G$50"))</f>
        <v>1.1292129584834927</v>
      </c>
      <c r="H68" s="4">
        <f ca="1">SplineInterp(A68,INDIRECT("'" &amp;Master!$F$10&amp; "'!$A$2:$A$50"),INDIRECT("'" &amp;Master!$F$10&amp; "'!$H$2:$H$50"))</f>
        <v>1.0900736005384946</v>
      </c>
      <c r="I68" s="4" t="str">
        <f ca="1">IF(OR(INDIRECT("'" &amp; Master!$F$8 &amp; Master!$F$6 &amp; "'!B" &amp; ROW(B68))="", INDIRECT("'" &amp; Master!$F$8 &amp; Master!$F$6 &amp; "'!B" &amp; ROW(B68))=0), "", INDIRECT("'" &amp; Master!$F$8 &amp; Master!$F$6 &amp; "'!B" &amp; ROW(B68)))</f>
        <v/>
      </c>
      <c r="J68" s="9" t="e">
        <f t="shared" ca="1" si="7"/>
        <v>#VALUE!</v>
      </c>
      <c r="K68" s="7" t="e">
        <f t="shared" ca="1" si="8"/>
        <v>#VALUE!</v>
      </c>
      <c r="L68" s="7" t="e">
        <f t="shared" ca="1" si="9"/>
        <v>#VALUE!</v>
      </c>
      <c r="M68" s="7" t="e">
        <f t="shared" ca="1" si="10"/>
        <v>#VALUE!</v>
      </c>
      <c r="N68" s="7" t="e">
        <f t="shared" ca="1" si="11"/>
        <v>#VALUE!</v>
      </c>
      <c r="O68" s="7" t="e">
        <f t="shared" ca="1" si="12"/>
        <v>#VALUE!</v>
      </c>
      <c r="P68" s="7" t="e">
        <f t="shared" ca="1" si="13"/>
        <v>#VALUE!</v>
      </c>
    </row>
    <row r="69" spans="1:16" x14ac:dyDescent="0.25">
      <c r="A69" s="19">
        <f ca="1">IF(OR(INDIRECT("'" &amp; Master!$F$8 &amp; Master!$F$6 &amp; "'!A" &amp; ROW(A69))="", INDIRECT("'" &amp; Master!$F$8 &amp; Master!$F$6 &amp; "'!A" &amp; ROW(A69))=0), "", INDIRECT("'" &amp; Master!$F$8 &amp; Master!$F$6 &amp; "'!A" &amp; ROW(A69)))</f>
        <v>2109.5</v>
      </c>
      <c r="B69" s="4">
        <f ca="1">SplineInterp(INDIRECT("A" &amp; ROW()),INDIRECT("'" &amp;Master!$F$10&amp; "'!$A$2:$A$50"),INDIRECT("'" &amp;Master!$F$10&amp; "'!$B$2:$B$50"))</f>
        <v>1.1178748421609008</v>
      </c>
      <c r="C69" s="4">
        <f ca="1">SplineInterp(A69,INDIRECT("'" &amp;Master!$F$10&amp; "'!$A$2:$A$50"),INDIRECT("'" &amp;Master!$F$10&amp; "'!$C$2:$C$50"))</f>
        <v>1.1178709809094063</v>
      </c>
      <c r="D69" s="4">
        <f ca="1">SplineInterp(A69,INDIRECT("'" &amp;Master!$F$10&amp; "'!$A$2:$A$50"),INDIRECT("'" &amp;Master!$F$10&amp; "'!$D$2:$D$50"))</f>
        <v>1.1194738168048679</v>
      </c>
      <c r="E69" s="4">
        <f ca="1">SplineInterp(A69,INDIRECT("'" &amp;Master!$F$10&amp; "'!$A$2:$A$50"),INDIRECT("'" &amp;Master!$F$10&amp; "'!$E$2:$E$50"))</f>
        <v>1.1272535632280534</v>
      </c>
      <c r="F69" s="4">
        <f ca="1">SplineInterp(A69,INDIRECT("'" &amp;Master!$F$10&amp; "'!$A$2:$A$50"),INDIRECT("'" &amp;Master!$F$10&amp; "'!$F$2:$F$50"))</f>
        <v>1.1296391471620975</v>
      </c>
      <c r="G69" s="4">
        <f ca="1">SplineInterp(A69,INDIRECT("'" &amp;Master!$F$10&amp; "'!$A$2:$A$50"),INDIRECT("'" &amp;Master!$F$10&amp; "'!$G$2:$G$50"))</f>
        <v>1.128817664937501</v>
      </c>
      <c r="H69" s="4">
        <f ca="1">SplineInterp(A69,INDIRECT("'" &amp;Master!$F$10&amp; "'!$A$2:$A$50"),INDIRECT("'" &amp;Master!$F$10&amp; "'!$H$2:$H$50"))</f>
        <v>1.0900152812297887</v>
      </c>
      <c r="I69" s="4" t="str">
        <f ca="1">IF(OR(INDIRECT("'" &amp; Master!$F$8 &amp; Master!$F$6 &amp; "'!B" &amp; ROW(B69))="", INDIRECT("'" &amp; Master!$F$8 &amp; Master!$F$6 &amp; "'!B" &amp; ROW(B69))=0), "", INDIRECT("'" &amp; Master!$F$8 &amp; Master!$F$6 &amp; "'!B" &amp; ROW(B69)))</f>
        <v/>
      </c>
      <c r="J69" s="9" t="e">
        <f t="shared" ca="1" si="7"/>
        <v>#VALUE!</v>
      </c>
      <c r="K69" s="7" t="e">
        <f t="shared" ca="1" si="8"/>
        <v>#VALUE!</v>
      </c>
      <c r="L69" s="7" t="e">
        <f t="shared" ca="1" si="9"/>
        <v>#VALUE!</v>
      </c>
      <c r="M69" s="7" t="e">
        <f t="shared" ca="1" si="10"/>
        <v>#VALUE!</v>
      </c>
      <c r="N69" s="7" t="e">
        <f t="shared" ca="1" si="11"/>
        <v>#VALUE!</v>
      </c>
      <c r="O69" s="7" t="e">
        <f t="shared" ca="1" si="12"/>
        <v>#VALUE!</v>
      </c>
      <c r="P69" s="7" t="e">
        <f t="shared" ca="1" si="13"/>
        <v>#VALUE!</v>
      </c>
    </row>
    <row r="70" spans="1:16" x14ac:dyDescent="0.25">
      <c r="A70" s="19">
        <f ca="1">IF(OR(INDIRECT("'" &amp; Master!$F$8 &amp; Master!$F$6 &amp; "'!A" &amp; ROW(A70))="", INDIRECT("'" &amp; Master!$F$8 &amp; Master!$F$6 &amp; "'!A" &amp; ROW(A70))=0), "", INDIRECT("'" &amp; Master!$F$8 &amp; Master!$F$6 &amp; "'!A" &amp; ROW(A70)))</f>
        <v>2140.5</v>
      </c>
      <c r="B70" s="4">
        <f ca="1">SplineInterp(INDIRECT("A" &amp; ROW()),INDIRECT("'" &amp;Master!$F$10&amp; "'!$A$2:$A$50"),INDIRECT("'" &amp;Master!$F$10&amp; "'!$B$2:$B$50"))</f>
        <v>1.1173575708319641</v>
      </c>
      <c r="C70" s="4">
        <f ca="1">SplineInterp(A70,INDIRECT("'" &amp;Master!$F$10&amp; "'!$A$2:$A$50"),INDIRECT("'" &amp;Master!$F$10&amp; "'!$C$2:$C$50"))</f>
        <v>1.1173523393047071</v>
      </c>
      <c r="D70" s="4">
        <f ca="1">SplineInterp(A70,INDIRECT("'" &amp;Master!$F$10&amp; "'!$A$2:$A$50"),INDIRECT("'" &amp;Master!$F$10&amp; "'!$D$2:$D$50"))</f>
        <v>1.1192883790554751</v>
      </c>
      <c r="E70" s="4">
        <f ca="1">SplineInterp(A70,INDIRECT("'" &amp;Master!$F$10&amp; "'!$A$2:$A$50"),INDIRECT("'" &amp;Master!$F$10&amp; "'!$E$2:$E$50"))</f>
        <v>1.1265058829858259</v>
      </c>
      <c r="F70" s="4">
        <f ca="1">SplineInterp(A70,INDIRECT("'" &amp;Master!$F$10&amp; "'!$A$2:$A$50"),INDIRECT("'" &amp;Master!$F$10&amp; "'!$F$2:$F$50"))</f>
        <v>1.129512146059545</v>
      </c>
      <c r="G70" s="4">
        <f ca="1">SplineInterp(A70,INDIRECT("'" &amp;Master!$F$10&amp; "'!$A$2:$A$50"),INDIRECT("'" &amp;Master!$F$10&amp; "'!$G$2:$G$50"))</f>
        <v>1.1283887194876325</v>
      </c>
      <c r="H70" s="4">
        <f ca="1">SplineInterp(A70,INDIRECT("'" &amp;Master!$F$10&amp; "'!$A$2:$A$50"),INDIRECT("'" &amp;Master!$F$10&amp; "'!$H$2:$H$50"))</f>
        <v>1.0899126071066201</v>
      </c>
      <c r="I70" s="4" t="str">
        <f ca="1">IF(OR(INDIRECT("'" &amp; Master!$F$8 &amp; Master!$F$6 &amp; "'!B" &amp; ROW(B70))="", INDIRECT("'" &amp; Master!$F$8 &amp; Master!$F$6 &amp; "'!B" &amp; ROW(B70))=0), "", INDIRECT("'" &amp; Master!$F$8 &amp; Master!$F$6 &amp; "'!B" &amp; ROW(B70)))</f>
        <v/>
      </c>
      <c r="J70" s="9" t="e">
        <f t="shared" ca="1" si="7"/>
        <v>#VALUE!</v>
      </c>
      <c r="K70" s="7" t="e">
        <f t="shared" ca="1" si="8"/>
        <v>#VALUE!</v>
      </c>
      <c r="L70" s="7" t="e">
        <f t="shared" ca="1" si="9"/>
        <v>#VALUE!</v>
      </c>
      <c r="M70" s="7" t="e">
        <f t="shared" ca="1" si="10"/>
        <v>#VALUE!</v>
      </c>
      <c r="N70" s="7" t="e">
        <f t="shared" ca="1" si="11"/>
        <v>#VALUE!</v>
      </c>
      <c r="O70" s="7" t="e">
        <f t="shared" ca="1" si="12"/>
        <v>#VALUE!</v>
      </c>
      <c r="P70" s="7" t="e">
        <f t="shared" ca="1" si="13"/>
        <v>#VALUE!</v>
      </c>
    </row>
    <row r="71" spans="1:16" x14ac:dyDescent="0.25">
      <c r="A71" s="19">
        <f ca="1">IF(OR(INDIRECT("'" &amp; Master!$F$8 &amp; Master!$F$6 &amp; "'!A" &amp; ROW(A71))="", INDIRECT("'" &amp; Master!$F$8 &amp; Master!$F$6 &amp; "'!A" &amp; ROW(A71))=0), "", INDIRECT("'" &amp; Master!$F$8 &amp; Master!$F$6 &amp; "'!A" &amp; ROW(A71)))</f>
        <v>2172</v>
      </c>
      <c r="B71" s="4">
        <f ca="1">SplineInterp(INDIRECT("A" &amp; ROW()),INDIRECT("'" &amp;Master!$F$10&amp; "'!$A$2:$A$50"),INDIRECT("'" &amp;Master!$F$10&amp; "'!$B$2:$B$50"))</f>
        <v>1.1168666239736065</v>
      </c>
      <c r="C71" s="4">
        <f ca="1">SplineInterp(A71,INDIRECT("'" &amp;Master!$F$10&amp; "'!$A$2:$A$50"),INDIRECT("'" &amp;Master!$F$10&amp; "'!$C$2:$C$50"))</f>
        <v>1.116859915469306</v>
      </c>
      <c r="D71" s="4">
        <f ca="1">SplineInterp(A71,INDIRECT("'" &amp;Master!$F$10&amp; "'!$A$2:$A$50"),INDIRECT("'" &amp;Master!$F$10&amp; "'!$D$2:$D$50"))</f>
        <v>1.119084465104675</v>
      </c>
      <c r="E71" s="4">
        <f ca="1">SplineInterp(A71,INDIRECT("'" &amp;Master!$F$10&amp; "'!$A$2:$A$50"),INDIRECT("'" &amp;Master!$F$10&amp; "'!$E$2:$E$50"))</f>
        <v>1.1257591840855437</v>
      </c>
      <c r="F71" s="4">
        <f ca="1">SplineInterp(A71,INDIRECT("'" &amp;Master!$F$10&amp; "'!$A$2:$A$50"),INDIRECT("'" &amp;Master!$F$10&amp; "'!$F$2:$F$50"))</f>
        <v>1.1293711484997904</v>
      </c>
      <c r="G71" s="4">
        <f ca="1">SplineInterp(A71,INDIRECT("'" &amp;Master!$F$10&amp; "'!$A$2:$A$50"),INDIRECT("'" &amp;Master!$F$10&amp; "'!$G$2:$G$50"))</f>
        <v>1.1279147179174727</v>
      </c>
      <c r="H71" s="4">
        <f ca="1">SplineInterp(A71,INDIRECT("'" &amp;Master!$F$10&amp; "'!$A$2:$A$50"),INDIRECT("'" &amp;Master!$F$10&amp; "'!$H$2:$H$50"))</f>
        <v>1.0897651040164518</v>
      </c>
      <c r="I71" s="4" t="str">
        <f ca="1">IF(OR(INDIRECT("'" &amp; Master!$F$8 &amp; Master!$F$6 &amp; "'!B" &amp; ROW(B71))="", INDIRECT("'" &amp; Master!$F$8 &amp; Master!$F$6 &amp; "'!B" &amp; ROW(B71))=0), "", INDIRECT("'" &amp; Master!$F$8 &amp; Master!$F$6 &amp; "'!B" &amp; ROW(B71)))</f>
        <v/>
      </c>
      <c r="J71" s="9" t="e">
        <f t="shared" ca="1" si="7"/>
        <v>#VALUE!</v>
      </c>
      <c r="K71" s="7" t="e">
        <f t="shared" ca="1" si="8"/>
        <v>#VALUE!</v>
      </c>
      <c r="L71" s="7" t="e">
        <f t="shared" ca="1" si="9"/>
        <v>#VALUE!</v>
      </c>
      <c r="M71" s="7" t="e">
        <f t="shared" ca="1" si="10"/>
        <v>#VALUE!</v>
      </c>
      <c r="N71" s="7" t="e">
        <f t="shared" ca="1" si="11"/>
        <v>#VALUE!</v>
      </c>
      <c r="O71" s="7" t="e">
        <f t="shared" ca="1" si="12"/>
        <v>#VALUE!</v>
      </c>
      <c r="P71" s="7" t="e">
        <f t="shared" ca="1" si="13"/>
        <v>#VALUE!</v>
      </c>
    </row>
    <row r="72" spans="1:16" x14ac:dyDescent="0.25">
      <c r="A72" s="19">
        <f ca="1">IF(OR(INDIRECT("'" &amp; Master!$F$8 &amp; Master!$F$6 &amp; "'!A" &amp; ROW(A72))="", INDIRECT("'" &amp; Master!$F$8 &amp; Master!$F$6 &amp; "'!A" &amp; ROW(A72))=0), "", INDIRECT("'" &amp; Master!$F$8 &amp; Master!$F$6 &amp; "'!A" &amp; ROW(A72)))</f>
        <v>2203.5</v>
      </c>
      <c r="B72" s="4">
        <f ca="1">SplineInterp(INDIRECT("A" &amp; ROW()),INDIRECT("'" &amp;Master!$F$10&amp; "'!$A$2:$A$50"),INDIRECT("'" &amp;Master!$F$10&amp; "'!$B$2:$B$50"))</f>
        <v>1.1164087106580189</v>
      </c>
      <c r="C72" s="4">
        <f ca="1">SplineInterp(A72,INDIRECT("'" &amp;Master!$F$10&amp; "'!$A$2:$A$50"),INDIRECT("'" &amp;Master!$F$10&amp; "'!$C$2:$C$50"))</f>
        <v>1.1164004623039903</v>
      </c>
      <c r="D72" s="4">
        <f ca="1">SplineInterp(A72,INDIRECT("'" &amp;Master!$F$10&amp; "'!$A$2:$A$50"),INDIRECT("'" &amp;Master!$F$10&amp; "'!$D$2:$D$50"))</f>
        <v>1.1188654933818274</v>
      </c>
      <c r="E72" s="4">
        <f ca="1">SplineInterp(A72,INDIRECT("'" &amp;Master!$F$10&amp; "'!$A$2:$A$50"),INDIRECT("'" &amp;Master!$F$10&amp; "'!$E$2:$E$50"))</f>
        <v>1.1250253812954156</v>
      </c>
      <c r="F72" s="4">
        <f ca="1">SplineInterp(A72,INDIRECT("'" &amp;Master!$F$10&amp; "'!$A$2:$A$50"),INDIRECT("'" &amp;Master!$F$10&amp; "'!$F$2:$F$50"))</f>
        <v>1.1292177111240547</v>
      </c>
      <c r="G72" s="4">
        <f ca="1">SplineInterp(A72,INDIRECT("'" &amp;Master!$F$10&amp; "'!$A$2:$A$50"),INDIRECT("'" &amp;Master!$F$10&amp; "'!$G$2:$G$50"))</f>
        <v>1.1274047257963062</v>
      </c>
      <c r="H72" s="4">
        <f ca="1">SplineInterp(A72,INDIRECT("'" &amp;Master!$F$10&amp; "'!$A$2:$A$50"),INDIRECT("'" &amp;Master!$F$10&amp; "'!$H$2:$H$50"))</f>
        <v>1.0895769432293465</v>
      </c>
      <c r="I72" s="4" t="str">
        <f ca="1">IF(OR(INDIRECT("'" &amp; Master!$F$8 &amp; Master!$F$6 &amp; "'!B" &amp; ROW(B72))="", INDIRECT("'" &amp; Master!$F$8 &amp; Master!$F$6 &amp; "'!B" &amp; ROW(B72))=0), "", INDIRECT("'" &amp; Master!$F$8 &amp; Master!$F$6 &amp; "'!B" &amp; ROW(B72)))</f>
        <v/>
      </c>
      <c r="J72" s="9" t="e">
        <f t="shared" ca="1" si="7"/>
        <v>#VALUE!</v>
      </c>
      <c r="K72" s="7" t="e">
        <f t="shared" ca="1" si="8"/>
        <v>#VALUE!</v>
      </c>
      <c r="L72" s="7" t="e">
        <f t="shared" ca="1" si="9"/>
        <v>#VALUE!</v>
      </c>
      <c r="M72" s="7" t="e">
        <f t="shared" ca="1" si="10"/>
        <v>#VALUE!</v>
      </c>
      <c r="N72" s="7" t="e">
        <f t="shared" ca="1" si="11"/>
        <v>#VALUE!</v>
      </c>
      <c r="O72" s="7" t="e">
        <f t="shared" ca="1" si="12"/>
        <v>#VALUE!</v>
      </c>
      <c r="P72" s="7" t="e">
        <f t="shared" ca="1" si="13"/>
        <v>#VALUE!</v>
      </c>
    </row>
    <row r="73" spans="1:16" x14ac:dyDescent="0.25">
      <c r="A73" s="19">
        <f ca="1">IF(OR(INDIRECT("'" &amp; Master!$F$8 &amp; Master!$F$6 &amp; "'!A" &amp; ROW(A73))="", INDIRECT("'" &amp; Master!$F$8 &amp; Master!$F$6 &amp; "'!A" &amp; ROW(A73))=0), "", INDIRECT("'" &amp; Master!$F$8 &amp; Master!$F$6 &amp; "'!A" &amp; ROW(A73)))</f>
        <v>2234.5</v>
      </c>
      <c r="B73" s="4">
        <f ca="1">SplineInterp(INDIRECT("A" &amp; ROW()),INDIRECT("'" &amp;Master!$F$10&amp; "'!$A$2:$A$50"),INDIRECT("'" &amp;Master!$F$10&amp; "'!$B$2:$B$50"))</f>
        <v>1.115988450912486</v>
      </c>
      <c r="C73" s="4">
        <f ca="1">SplineInterp(A73,INDIRECT("'" &amp;Master!$F$10&amp; "'!$A$2:$A$50"),INDIRECT("'" &amp;Master!$F$10&amp; "'!$C$2:$C$50"))</f>
        <v>1.1159786476407159</v>
      </c>
      <c r="D73" s="4">
        <f ca="1">SplineInterp(A73,INDIRECT("'" &amp;Master!$F$10&amp; "'!$A$2:$A$50"),INDIRECT("'" &amp;Master!$F$10&amp; "'!$D$2:$D$50"))</f>
        <v>1.1186358345714651</v>
      </c>
      <c r="E73" s="4">
        <f ca="1">SplineInterp(A73,INDIRECT("'" &amp;Master!$F$10&amp; "'!$A$2:$A$50"),INDIRECT("'" &amp;Master!$F$10&amp; "'!$E$2:$E$50"))</f>
        <v>1.124315573832215</v>
      </c>
      <c r="F73" s="4">
        <f ca="1">SplineInterp(A73,INDIRECT("'" &amp;Master!$F$10&amp; "'!$A$2:$A$50"),INDIRECT("'" &amp;Master!$F$10&amp; "'!$F$2:$F$50"))</f>
        <v>1.1290541772689007</v>
      </c>
      <c r="G73" s="4">
        <f ca="1">SplineInterp(A73,INDIRECT("'" &amp;Master!$F$10&amp; "'!$A$2:$A$50"),INDIRECT("'" &amp;Master!$F$10&amp; "'!$G$2:$G$50"))</f>
        <v>1.1268700847398545</v>
      </c>
      <c r="H73" s="4">
        <f ca="1">SplineInterp(A73,INDIRECT("'" &amp;Master!$F$10&amp; "'!$A$2:$A$50"),INDIRECT("'" &amp;Master!$F$10&amp; "'!$H$2:$H$50"))</f>
        <v>1.089354867212629</v>
      </c>
      <c r="I73" s="4" t="str">
        <f ca="1">IF(OR(INDIRECT("'" &amp; Master!$F$8 &amp; Master!$F$6 &amp; "'!B" &amp; ROW(B73))="", INDIRECT("'" &amp; Master!$F$8 &amp; Master!$F$6 &amp; "'!B" &amp; ROW(B73))=0), "", INDIRECT("'" &amp; Master!$F$8 &amp; Master!$F$6 &amp; "'!B" &amp; ROW(B73)))</f>
        <v/>
      </c>
      <c r="J73" s="9" t="e">
        <f t="shared" ca="1" si="7"/>
        <v>#VALUE!</v>
      </c>
      <c r="K73" s="7" t="e">
        <f t="shared" ca="1" si="8"/>
        <v>#VALUE!</v>
      </c>
      <c r="L73" s="7" t="e">
        <f t="shared" ca="1" si="9"/>
        <v>#VALUE!</v>
      </c>
      <c r="M73" s="7" t="e">
        <f t="shared" ca="1" si="10"/>
        <v>#VALUE!</v>
      </c>
      <c r="N73" s="7" t="e">
        <f t="shared" ca="1" si="11"/>
        <v>#VALUE!</v>
      </c>
      <c r="O73" s="7" t="e">
        <f t="shared" ca="1" si="12"/>
        <v>#VALUE!</v>
      </c>
      <c r="P73" s="7" t="e">
        <f t="shared" ca="1" si="13"/>
        <v>#VALUE!</v>
      </c>
    </row>
    <row r="74" spans="1:16" x14ac:dyDescent="0.25">
      <c r="A74" s="19">
        <f ca="1">IF(OR(INDIRECT("'" &amp; Master!$F$8 &amp; Master!$F$6 &amp; "'!A" &amp; ROW(A74))="", INDIRECT("'" &amp; Master!$F$8 &amp; Master!$F$6 &amp; "'!A" &amp; ROW(A74))=0), "", INDIRECT("'" &amp; Master!$F$8 &amp; Master!$F$6 &amp; "'!A" &amp; ROW(A74)))</f>
        <v>2265.5</v>
      </c>
      <c r="B74" s="4">
        <f ca="1">SplineInterp(INDIRECT("A" &amp; ROW()),INDIRECT("'" &amp;Master!$F$10&amp; "'!$A$2:$A$50"),INDIRECT("'" &amp;Master!$F$10&amp; "'!$B$2:$B$50"))</f>
        <v>1.1155964918795558</v>
      </c>
      <c r="C74" s="4">
        <f ca="1">SplineInterp(A74,INDIRECT("'" &amp;Master!$F$10&amp; "'!$A$2:$A$50"),INDIRECT("'" &amp;Master!$F$10&amp; "'!$C$2:$C$50"))</f>
        <v>1.1155851160792103</v>
      </c>
      <c r="D74" s="4">
        <f ca="1">SplineInterp(A74,INDIRECT("'" &amp;Master!$F$10&amp; "'!$A$2:$A$50"),INDIRECT("'" &amp;Master!$F$10&amp; "'!$D$2:$D$50"))</f>
        <v>1.118392657408954</v>
      </c>
      <c r="E74" s="4">
        <f ca="1">SplineInterp(A74,INDIRECT("'" &amp;Master!$F$10&amp; "'!$A$2:$A$50"),INDIRECT("'" &amp;Master!$F$10&amp; "'!$E$2:$E$50"))</f>
        <v>1.123617775456863</v>
      </c>
      <c r="F74" s="4">
        <f ca="1">SplineInterp(A74,INDIRECT("'" &amp;Master!$F$10&amp; "'!$A$2:$A$50"),INDIRECT("'" &amp;Master!$F$10&amp; "'!$F$2:$F$50"))</f>
        <v>1.1288778300154021</v>
      </c>
      <c r="G74" s="4">
        <f ca="1">SplineInterp(A74,INDIRECT("'" &amp;Master!$F$10&amp; "'!$A$2:$A$50"),INDIRECT("'" &amp;Master!$F$10&amp; "'!$G$2:$G$50"))</f>
        <v>1.1263053239204845</v>
      </c>
      <c r="H74" s="4">
        <f ca="1">SplineInterp(A74,INDIRECT("'" &amp;Master!$F$10&amp; "'!$A$2:$A$50"),INDIRECT("'" &amp;Master!$F$10&amp; "'!$H$2:$H$50"))</f>
        <v>1.0890989402922751</v>
      </c>
      <c r="I74" s="4" t="str">
        <f ca="1">IF(OR(INDIRECT("'" &amp; Master!$F$8 &amp; Master!$F$6 &amp; "'!B" &amp; ROW(B74))="", INDIRECT("'" &amp; Master!$F$8 &amp; Master!$F$6 &amp; "'!B" &amp; ROW(B74))=0), "", INDIRECT("'" &amp; Master!$F$8 &amp; Master!$F$6 &amp; "'!B" &amp; ROW(B74)))</f>
        <v/>
      </c>
      <c r="J74" s="9" t="e">
        <f t="shared" ca="1" si="7"/>
        <v>#VALUE!</v>
      </c>
      <c r="K74" s="7" t="e">
        <f t="shared" ca="1" si="8"/>
        <v>#VALUE!</v>
      </c>
      <c r="L74" s="7" t="e">
        <f t="shared" ca="1" si="9"/>
        <v>#VALUE!</v>
      </c>
      <c r="M74" s="7" t="e">
        <f t="shared" ca="1" si="10"/>
        <v>#VALUE!</v>
      </c>
      <c r="N74" s="7" t="e">
        <f t="shared" ca="1" si="11"/>
        <v>#VALUE!</v>
      </c>
      <c r="O74" s="7" t="e">
        <f t="shared" ca="1" si="12"/>
        <v>#VALUE!</v>
      </c>
      <c r="P74" s="7" t="e">
        <f t="shared" ca="1" si="13"/>
        <v>#VALUE!</v>
      </c>
    </row>
    <row r="75" spans="1:16" x14ac:dyDescent="0.25">
      <c r="A75" s="19">
        <f ca="1">IF(OR(INDIRECT("'" &amp; Master!$F$8 &amp; Master!$F$6 &amp; "'!A" &amp; ROW(A75))="", INDIRECT("'" &amp; Master!$F$8 &amp; Master!$F$6 &amp; "'!A" &amp; ROW(A75))=0), "", INDIRECT("'" &amp; Master!$F$8 &amp; Master!$F$6 &amp; "'!A" &amp; ROW(A75)))</f>
        <v>2297</v>
      </c>
      <c r="B75" s="4">
        <f ca="1">SplineInterp(INDIRECT("A" &amp; ROW()),INDIRECT("'" &amp;Master!$F$10&amp; "'!$A$2:$A$50"),INDIRECT("'" &amp;Master!$F$10&amp; "'!$B$2:$B$50"))</f>
        <v>1.1152253139165116</v>
      </c>
      <c r="C75" s="4">
        <f ca="1">SplineInterp(A75,INDIRECT("'" &amp;Master!$F$10&amp; "'!$A$2:$A$50"),INDIRECT("'" &amp;Master!$F$10&amp; "'!$C$2:$C$50"))</f>
        <v>1.1152123442931721</v>
      </c>
      <c r="D75" s="4">
        <f ca="1">SplineInterp(A75,INDIRECT("'" &amp;Master!$F$10&amp; "'!$A$2:$A$50"),INDIRECT("'" &amp;Master!$F$10&amp; "'!$D$2:$D$50"))</f>
        <v>1.1181322549611672</v>
      </c>
      <c r="E75" s="4">
        <f ca="1">SplineInterp(A75,INDIRECT("'" &amp;Master!$F$10&amp; "'!$A$2:$A$50"),INDIRECT("'" &amp;Master!$F$10&amp; "'!$E$2:$E$50"))</f>
        <v>1.1229207778342549</v>
      </c>
      <c r="F75" s="4">
        <f ca="1">SplineInterp(A75,INDIRECT("'" &amp;Master!$F$10&amp; "'!$A$2:$A$50"),INDIRECT("'" &amp;Master!$F$10&amp; "'!$F$2:$F$50"))</f>
        <v>1.128685122440422</v>
      </c>
      <c r="G75" s="4">
        <f ca="1">SplineInterp(A75,INDIRECT("'" &amp;Master!$F$10&amp; "'!$A$2:$A$50"),INDIRECT("'" &amp;Master!$F$10&amp; "'!$G$2:$G$50"))</f>
        <v>1.1257030214645272</v>
      </c>
      <c r="H75" s="4">
        <f ca="1">SplineInterp(A75,INDIRECT("'" &amp;Master!$F$10&amp; "'!$A$2:$A$50"),INDIRECT("'" &amp;Master!$F$10&amp; "'!$H$2:$H$50"))</f>
        <v>1.0888070340588272</v>
      </c>
      <c r="I75" s="4" t="str">
        <f ca="1">IF(OR(INDIRECT("'" &amp; Master!$F$8 &amp; Master!$F$6 &amp; "'!B" &amp; ROW(B75))="", INDIRECT("'" &amp; Master!$F$8 &amp; Master!$F$6 &amp; "'!B" &amp; ROW(B75))=0), "", INDIRECT("'" &amp; Master!$F$8 &amp; Master!$F$6 &amp; "'!B" &amp; ROW(B75)))</f>
        <v/>
      </c>
      <c r="J75" s="9" t="e">
        <f t="shared" ca="1" si="7"/>
        <v>#VALUE!</v>
      </c>
      <c r="K75" s="7" t="e">
        <f t="shared" ca="1" si="8"/>
        <v>#VALUE!</v>
      </c>
      <c r="L75" s="7" t="e">
        <f t="shared" ca="1" si="9"/>
        <v>#VALUE!</v>
      </c>
      <c r="M75" s="7" t="e">
        <f t="shared" ca="1" si="10"/>
        <v>#VALUE!</v>
      </c>
      <c r="N75" s="7" t="e">
        <f t="shared" ca="1" si="11"/>
        <v>#VALUE!</v>
      </c>
      <c r="O75" s="7" t="e">
        <f t="shared" ca="1" si="12"/>
        <v>#VALUE!</v>
      </c>
      <c r="P75" s="7" t="e">
        <f t="shared" ca="1" si="13"/>
        <v>#VALUE!</v>
      </c>
    </row>
    <row r="76" spans="1:16" x14ac:dyDescent="0.25">
      <c r="A76" s="19">
        <f ca="1">IF(OR(INDIRECT("'" &amp; Master!$F$8 &amp; Master!$F$6 &amp; "'!A" &amp; ROW(A76))="", INDIRECT("'" &amp; Master!$F$8 &amp; Master!$F$6 &amp; "'!A" &amp; ROW(A76))=0), "", INDIRECT("'" &amp; Master!$F$8 &amp; Master!$F$6 &amp; "'!A" &amp; ROW(A76)))</f>
        <v>2328.5</v>
      </c>
      <c r="B76" s="4">
        <f ca="1">SplineInterp(INDIRECT("A" &amp; ROW()),INDIRECT("'" &amp;Master!$F$10&amp; "'!$A$2:$A$50"),INDIRECT("'" &amp;Master!$F$10&amp; "'!$B$2:$B$50"))</f>
        <v>1.1148795444129458</v>
      </c>
      <c r="C76" s="4">
        <f ca="1">SplineInterp(A76,INDIRECT("'" &amp;Master!$F$10&amp; "'!$A$2:$A$50"),INDIRECT("'" &amp;Master!$F$10&amp; "'!$C$2:$C$50"))</f>
        <v>1.1148650074722835</v>
      </c>
      <c r="D76" s="4">
        <f ca="1">SplineInterp(A76,INDIRECT("'" &amp;Master!$F$10&amp; "'!$A$2:$A$50"),INDIRECT("'" &amp;Master!$F$10&amp; "'!$D$2:$D$50"))</f>
        <v>1.117858994395897</v>
      </c>
      <c r="E76" s="4">
        <f ca="1">SplineInterp(A76,INDIRECT("'" &amp;Master!$F$10&amp; "'!$A$2:$A$50"),INDIRECT("'" &amp;Master!$F$10&amp; "'!$E$2:$E$50"))</f>
        <v>1.1222356833052762</v>
      </c>
      <c r="F76" s="4">
        <f ca="1">SplineInterp(A76,INDIRECT("'" &amp;Master!$F$10&amp; "'!$A$2:$A$50"),INDIRECT("'" &amp;Master!$F$10&amp; "'!$F$2:$F$50"))</f>
        <v>1.1284783945471726</v>
      </c>
      <c r="G76" s="4">
        <f ca="1">SplineInterp(A76,INDIRECT("'" &amp;Master!$F$10&amp; "'!$A$2:$A$50"),INDIRECT("'" &amp;Master!$F$10&amp; "'!$G$2:$G$50"))</f>
        <v>1.1250745111521765</v>
      </c>
      <c r="H76" s="4">
        <f ca="1">SplineInterp(A76,INDIRECT("'" &amp;Master!$F$10&amp; "'!$A$2:$A$50"),INDIRECT("'" &amp;Master!$F$10&amp; "'!$H$2:$H$50"))</f>
        <v>1.0884858821734436</v>
      </c>
      <c r="I76" s="4" t="str">
        <f ca="1">IF(OR(INDIRECT("'" &amp; Master!$F$8 &amp; Master!$F$6 &amp; "'!B" &amp; ROW(B76))="", INDIRECT("'" &amp; Master!$F$8 &amp; Master!$F$6 &amp; "'!B" &amp; ROW(B76))=0), "", INDIRECT("'" &amp; Master!$F$8 &amp; Master!$F$6 &amp; "'!B" &amp; ROW(B76)))</f>
        <v/>
      </c>
      <c r="J76" s="9" t="e">
        <f t="shared" ca="1" si="7"/>
        <v>#VALUE!</v>
      </c>
      <c r="K76" s="7" t="e">
        <f t="shared" ca="1" si="8"/>
        <v>#VALUE!</v>
      </c>
      <c r="L76" s="7" t="e">
        <f t="shared" ca="1" si="9"/>
        <v>#VALUE!</v>
      </c>
      <c r="M76" s="7" t="e">
        <f t="shared" ca="1" si="10"/>
        <v>#VALUE!</v>
      </c>
      <c r="N76" s="7" t="e">
        <f t="shared" ca="1" si="11"/>
        <v>#VALUE!</v>
      </c>
      <c r="O76" s="7" t="e">
        <f t="shared" ca="1" si="12"/>
        <v>#VALUE!</v>
      </c>
      <c r="P76" s="7" t="e">
        <f t="shared" ca="1" si="13"/>
        <v>#VALUE!</v>
      </c>
    </row>
    <row r="77" spans="1:16" x14ac:dyDescent="0.25">
      <c r="A77" s="19">
        <f ca="1">IF(OR(INDIRECT("'" &amp; Master!$F$8 &amp; Master!$F$6 &amp; "'!A" &amp; ROW(A77))="", INDIRECT("'" &amp; Master!$F$8 &amp; Master!$F$6 &amp; "'!A" &amp; ROW(A77))=0), "", INDIRECT("'" &amp; Master!$F$8 &amp; Master!$F$6 &amp; "'!A" &amp; ROW(A77)))</f>
        <v>2359.5</v>
      </c>
      <c r="B77" s="4">
        <f ca="1">SplineInterp(INDIRECT("A" &amp; ROW()),INDIRECT("'" &amp;Master!$F$10&amp; "'!$A$2:$A$50"),INDIRECT("'" &amp;Master!$F$10&amp; "'!$B$2:$B$50"))</f>
        <v>1.1145622039246561</v>
      </c>
      <c r="C77" s="4">
        <f ca="1">SplineInterp(A77,INDIRECT("'" &amp;Master!$F$10&amp; "'!$A$2:$A$50"),INDIRECT("'" &amp;Master!$F$10&amp; "'!$C$2:$C$50"))</f>
        <v>1.1145461722962116</v>
      </c>
      <c r="D77" s="4">
        <f ca="1">SplineInterp(A77,INDIRECT("'" &amp;Master!$F$10&amp; "'!$A$2:$A$50"),INDIRECT("'" &amp;Master!$F$10&amp; "'!$D$2:$D$50"))</f>
        <v>1.1175780560297104</v>
      </c>
      <c r="E77" s="4">
        <f ca="1">SplineInterp(A77,INDIRECT("'" &amp;Master!$F$10&amp; "'!$A$2:$A$50"),INDIRECT("'" &amp;Master!$F$10&amp; "'!$E$2:$E$50"))</f>
        <v>1.1215728414578519</v>
      </c>
      <c r="F77" s="4">
        <f ca="1">SplineInterp(A77,INDIRECT("'" &amp;Master!$F$10&amp; "'!$A$2:$A$50"),INDIRECT("'" &amp;Master!$F$10&amp; "'!$F$2:$F$50"))</f>
        <v>1.1282608729853478</v>
      </c>
      <c r="G77" s="4">
        <f ca="1">SplineInterp(A77,INDIRECT("'" &amp;Master!$F$10&amp; "'!$A$2:$A$50"),INDIRECT("'" &amp;Master!$F$10&amp; "'!$G$2:$G$50"))</f>
        <v>1.1244327841513708</v>
      </c>
      <c r="H77" s="4">
        <f ca="1">SplineInterp(A77,INDIRECT("'" &amp;Master!$F$10&amp; "'!$A$2:$A$50"),INDIRECT("'" &amp;Master!$F$10&amp; "'!$H$2:$H$50"))</f>
        <v>1.0881440677955527</v>
      </c>
      <c r="I77" s="4" t="str">
        <f ca="1">IF(OR(INDIRECT("'" &amp; Master!$F$8 &amp; Master!$F$6 &amp; "'!B" &amp; ROW(B77))="", INDIRECT("'" &amp; Master!$F$8 &amp; Master!$F$6 &amp; "'!B" &amp; ROW(B77))=0), "", INDIRECT("'" &amp; Master!$F$8 &amp; Master!$F$6 &amp; "'!B" &amp; ROW(B77)))</f>
        <v/>
      </c>
      <c r="J77" s="9" t="e">
        <f t="shared" ca="1" si="7"/>
        <v>#VALUE!</v>
      </c>
      <c r="K77" s="7" t="e">
        <f t="shared" ca="1" si="8"/>
        <v>#VALUE!</v>
      </c>
      <c r="L77" s="7" t="e">
        <f t="shared" ca="1" si="9"/>
        <v>#VALUE!</v>
      </c>
      <c r="M77" s="7" t="e">
        <f t="shared" ca="1" si="10"/>
        <v>#VALUE!</v>
      </c>
      <c r="N77" s="7" t="e">
        <f t="shared" ca="1" si="11"/>
        <v>#VALUE!</v>
      </c>
      <c r="O77" s="7" t="e">
        <f t="shared" ca="1" si="12"/>
        <v>#VALUE!</v>
      </c>
      <c r="P77" s="7" t="e">
        <f t="shared" ca="1" si="13"/>
        <v>#VALUE!</v>
      </c>
    </row>
    <row r="78" spans="1:16" x14ac:dyDescent="0.25">
      <c r="A78" s="19">
        <f ca="1">IF(OR(INDIRECT("'" &amp; Master!$F$8 &amp; Master!$F$6 &amp; "'!A" &amp; ROW(A78))="", INDIRECT("'" &amp; Master!$F$8 &amp; Master!$F$6 &amp; "'!A" &amp; ROW(A78))=0), "", INDIRECT("'" &amp; Master!$F$8 &amp; Master!$F$6 &amp; "'!A" &amp; ROW(A78)))</f>
        <v>2390.5</v>
      </c>
      <c r="B78" s="4">
        <f ca="1">SplineInterp(INDIRECT("A" &amp; ROW()),INDIRECT("'" &amp;Master!$F$10&amp; "'!$A$2:$A$50"),INDIRECT("'" &amp;Master!$F$10&amp; "'!$B$2:$B$50"))</f>
        <v>1.1142657792106541</v>
      </c>
      <c r="C78" s="4">
        <f ca="1">SplineInterp(A78,INDIRECT("'" &amp;Master!$F$10&amp; "'!$A$2:$A$50"),INDIRECT("'" &amp;Master!$F$10&amp; "'!$C$2:$C$50"))</f>
        <v>1.1142483218470607</v>
      </c>
      <c r="D78" s="4">
        <f ca="1">SplineInterp(A78,INDIRECT("'" &amp;Master!$F$10&amp; "'!$A$2:$A$50"),INDIRECT("'" &amp;Master!$F$10&amp; "'!$D$2:$D$50"))</f>
        <v>1.1172857296898444</v>
      </c>
      <c r="E78" s="4">
        <f ca="1">SplineInterp(A78,INDIRECT("'" &amp;Master!$F$10&amp; "'!$A$2:$A$50"),INDIRECT("'" &amp;Master!$F$10&amp; "'!$E$2:$E$50"))</f>
        <v>1.1209210469558923</v>
      </c>
      <c r="F78" s="4">
        <f ca="1">SplineInterp(A78,INDIRECT("'" &amp;Master!$F$10&amp; "'!$A$2:$A$50"),INDIRECT("'" &amp;Master!$F$10&amp; "'!$F$2:$F$50"))</f>
        <v>1.1280290072993548</v>
      </c>
      <c r="G78" s="4">
        <f ca="1">SplineInterp(A78,INDIRECT("'" &amp;Master!$F$10&amp; "'!$A$2:$A$50"),INDIRECT("'" &amp;Master!$F$10&amp; "'!$G$2:$G$50"))</f>
        <v>1.1237704119853023</v>
      </c>
      <c r="H78" s="4">
        <f ca="1">SplineInterp(A78,INDIRECT("'" &amp;Master!$F$10&amp; "'!$A$2:$A$50"),INDIRECT("'" &amp;Master!$F$10&amp; "'!$H$2:$H$50"))</f>
        <v>1.0877794551471782</v>
      </c>
      <c r="I78" s="4" t="str">
        <f ca="1">IF(OR(INDIRECT("'" &amp; Master!$F$8 &amp; Master!$F$6 &amp; "'!B" &amp; ROW(B78))="", INDIRECT("'" &amp; Master!$F$8 &amp; Master!$F$6 &amp; "'!B" &amp; ROW(B78))=0), "", INDIRECT("'" &amp; Master!$F$8 &amp; Master!$F$6 &amp; "'!B" &amp; ROW(B78)))</f>
        <v/>
      </c>
      <c r="J78" s="9" t="e">
        <f t="shared" ca="1" si="7"/>
        <v>#VALUE!</v>
      </c>
      <c r="K78" s="7" t="e">
        <f t="shared" ca="1" si="8"/>
        <v>#VALUE!</v>
      </c>
      <c r="L78" s="7" t="e">
        <f t="shared" ca="1" si="9"/>
        <v>#VALUE!</v>
      </c>
      <c r="M78" s="7" t="e">
        <f t="shared" ca="1" si="10"/>
        <v>#VALUE!</v>
      </c>
      <c r="N78" s="7" t="e">
        <f t="shared" ca="1" si="11"/>
        <v>#VALUE!</v>
      </c>
      <c r="O78" s="7" t="e">
        <f t="shared" ca="1" si="12"/>
        <v>#VALUE!</v>
      </c>
      <c r="P78" s="7" t="e">
        <f t="shared" ca="1" si="13"/>
        <v>#VALUE!</v>
      </c>
    </row>
    <row r="79" spans="1:16" x14ac:dyDescent="0.25">
      <c r="A79" s="19">
        <f ca="1">IF(OR(INDIRECT("'" &amp; Master!$F$8 &amp; Master!$F$6 &amp; "'!A" &amp; ROW(A79))="", INDIRECT("'" &amp; Master!$F$8 &amp; Master!$F$6 &amp; "'!A" &amp; ROW(A79))=0), "", INDIRECT("'" &amp; Master!$F$8 &amp; Master!$F$6 &amp; "'!A" &amp; ROW(A79)))</f>
        <v>2422</v>
      </c>
      <c r="B79" s="4">
        <f ca="1">SplineInterp(INDIRECT("A" &amp; ROW()),INDIRECT("'" &amp;Master!$F$10&amp; "'!$A$2:$A$50"),INDIRECT("'" &amp;Master!$F$10&amp; "'!$B$2:$B$50"))</f>
        <v>1.1139841118758917</v>
      </c>
      <c r="C79" s="4">
        <f ca="1">SplineInterp(A79,INDIRECT("'" &amp;Master!$F$10&amp; "'!$A$2:$A$50"),INDIRECT("'" &amp;Master!$F$10&amp; "'!$C$2:$C$50"))</f>
        <v>1.1139652985193709</v>
      </c>
      <c r="D79" s="4">
        <f ca="1">SplineInterp(A79,INDIRECT("'" &amp;Master!$F$10&amp; "'!$A$2:$A$50"),INDIRECT("'" &amp;Master!$F$10&amp; "'!$D$2:$D$50"))</f>
        <v>1.1169775675330238</v>
      </c>
      <c r="E79" s="4">
        <f ca="1">SplineInterp(A79,INDIRECT("'" &amp;Master!$F$10&amp; "'!$A$2:$A$50"),INDIRECT("'" &amp;Master!$F$10&amp; "'!$E$2:$E$50"))</f>
        <v>1.1202698100691935</v>
      </c>
      <c r="F79" s="4">
        <f ca="1">SplineInterp(A79,INDIRECT("'" &amp;Master!$F$10&amp; "'!$A$2:$A$50"),INDIRECT("'" &amp;Master!$F$10&amp; "'!$F$2:$F$50"))</f>
        <v>1.1277783178746719</v>
      </c>
      <c r="G79" s="4">
        <f ca="1">SplineInterp(A79,INDIRECT("'" &amp;Master!$F$10&amp; "'!$A$2:$A$50"),INDIRECT("'" &amp;Master!$F$10&amp; "'!$G$2:$G$50"))</f>
        <v>1.1230786288602661</v>
      </c>
      <c r="H79" s="4">
        <f ca="1">SplineInterp(A79,INDIRECT("'" &amp;Master!$F$10&amp; "'!$A$2:$A$50"),INDIRECT("'" &amp;Master!$F$10&amp; "'!$H$2:$H$50"))</f>
        <v>1.0873884316633118</v>
      </c>
      <c r="I79" s="4" t="str">
        <f ca="1">IF(OR(INDIRECT("'" &amp; Master!$F$8 &amp; Master!$F$6 &amp; "'!B" &amp; ROW(B79))="", INDIRECT("'" &amp; Master!$F$8 &amp; Master!$F$6 &amp; "'!B" &amp; ROW(B79))=0), "", INDIRECT("'" &amp; Master!$F$8 &amp; Master!$F$6 &amp; "'!B" &amp; ROW(B79)))</f>
        <v/>
      </c>
      <c r="J79" s="9" t="e">
        <f t="shared" ca="1" si="7"/>
        <v>#VALUE!</v>
      </c>
      <c r="K79" s="7" t="e">
        <f t="shared" ca="1" si="8"/>
        <v>#VALUE!</v>
      </c>
      <c r="L79" s="7" t="e">
        <f t="shared" ca="1" si="9"/>
        <v>#VALUE!</v>
      </c>
      <c r="M79" s="7" t="e">
        <f t="shared" ca="1" si="10"/>
        <v>#VALUE!</v>
      </c>
      <c r="N79" s="7" t="e">
        <f t="shared" ca="1" si="11"/>
        <v>#VALUE!</v>
      </c>
      <c r="O79" s="7" t="e">
        <f t="shared" ca="1" si="12"/>
        <v>#VALUE!</v>
      </c>
      <c r="P79" s="7" t="e">
        <f t="shared" ca="1" si="13"/>
        <v>#VALUE!</v>
      </c>
    </row>
    <row r="80" spans="1:16" x14ac:dyDescent="0.25">
      <c r="A80" s="19">
        <f ca="1">IF(OR(INDIRECT("'" &amp; Master!$F$8 &amp; Master!$F$6 &amp; "'!A" &amp; ROW(A80))="", INDIRECT("'" &amp; Master!$F$8 &amp; Master!$F$6 &amp; "'!A" &amp; ROW(A80))=0), "", INDIRECT("'" &amp; Master!$F$8 &amp; Master!$F$6 &amp; "'!A" &amp; ROW(A80)))</f>
        <v>2453.5</v>
      </c>
      <c r="B80" s="4">
        <f ca="1">SplineInterp(INDIRECT("A" &amp; ROW()),INDIRECT("'" &amp;Master!$F$10&amp; "'!$A$2:$A$50"),INDIRECT("'" &amp;Master!$F$10&amp; "'!$B$2:$B$50"))</f>
        <v>1.1137202279173157</v>
      </c>
      <c r="C80" s="4">
        <f ca="1">SplineInterp(A80,INDIRECT("'" &amp;Master!$F$10&amp; "'!$A$2:$A$50"),INDIRECT("'" &amp;Master!$F$10&amp; "'!$C$2:$C$50"))</f>
        <v>1.1137001744518955</v>
      </c>
      <c r="D80" s="4">
        <f ca="1">SplineInterp(A80,INDIRECT("'" &amp;Master!$F$10&amp; "'!$A$2:$A$50"),INDIRECT("'" &amp;Master!$F$10&amp; "'!$D$2:$D$50"))</f>
        <v>1.116658746913284</v>
      </c>
      <c r="E80" s="4">
        <f ca="1">SplineInterp(A80,INDIRECT("'" &amp;Master!$F$10&amp; "'!$A$2:$A$50"),INDIRECT("'" &amp;Master!$F$10&amp; "'!$E$2:$E$50"))</f>
        <v>1.1196294832595992</v>
      </c>
      <c r="F80" s="4">
        <f ca="1">SplineInterp(A80,INDIRECT("'" &amp;Master!$F$10&amp; "'!$A$2:$A$50"),INDIRECT("'" &amp;Master!$F$10&amp; "'!$F$2:$F$50"))</f>
        <v>1.1275120276294317</v>
      </c>
      <c r="G80" s="4">
        <f ca="1">SplineInterp(A80,INDIRECT("'" &amp;Master!$F$10&amp; "'!$A$2:$A$50"),INDIRECT("'" &amp;Master!$F$10&amp; "'!$G$2:$G$50"))</f>
        <v>1.1223704205734497</v>
      </c>
      <c r="H80" s="4">
        <f ca="1">SplineInterp(A80,INDIRECT("'" &amp;Master!$F$10&amp; "'!$A$2:$A$50"),INDIRECT("'" &amp;Master!$F$10&amp; "'!$H$2:$H$50"))</f>
        <v>1.0869795745725108</v>
      </c>
      <c r="I80" s="4" t="str">
        <f ca="1">IF(OR(INDIRECT("'" &amp; Master!$F$8 &amp; Master!$F$6 &amp; "'!B" &amp; ROW(B80))="", INDIRECT("'" &amp; Master!$F$8 &amp; Master!$F$6 &amp; "'!B" &amp; ROW(B80))=0), "", INDIRECT("'" &amp; Master!$F$8 &amp; Master!$F$6 &amp; "'!B" &amp; ROW(B80)))</f>
        <v/>
      </c>
      <c r="J80" s="9" t="e">
        <f t="shared" ca="1" si="7"/>
        <v>#VALUE!</v>
      </c>
      <c r="K80" s="7" t="e">
        <f t="shared" ca="1" si="8"/>
        <v>#VALUE!</v>
      </c>
      <c r="L80" s="7" t="e">
        <f t="shared" ca="1" si="9"/>
        <v>#VALUE!</v>
      </c>
      <c r="M80" s="7" t="e">
        <f t="shared" ca="1" si="10"/>
        <v>#VALUE!</v>
      </c>
      <c r="N80" s="7" t="e">
        <f t="shared" ca="1" si="11"/>
        <v>#VALUE!</v>
      </c>
      <c r="O80" s="7" t="e">
        <f t="shared" ca="1" si="12"/>
        <v>#VALUE!</v>
      </c>
      <c r="P80" s="7" t="e">
        <f t="shared" ca="1" si="13"/>
        <v>#VALUE!</v>
      </c>
    </row>
    <row r="81" spans="1:16" x14ac:dyDescent="0.25">
      <c r="A81" s="19">
        <f ca="1">IF(OR(INDIRECT("'" &amp; Master!$F$8 &amp; Master!$F$6 &amp; "'!A" &amp; ROW(A81))="", INDIRECT("'" &amp; Master!$F$8 &amp; Master!$F$6 &amp; "'!A" &amp; ROW(A81))=0), "", INDIRECT("'" &amp; Master!$F$8 &amp; Master!$F$6 &amp; "'!A" &amp; ROW(A81)))</f>
        <v>2484.5</v>
      </c>
      <c r="B81" s="4">
        <f ca="1">SplineInterp(INDIRECT("A" &amp; ROW()),INDIRECT("'" &amp;Master!$F$10&amp; "'!$A$2:$A$50"),INDIRECT("'" &amp;Master!$F$10&amp; "'!$B$2:$B$50"))</f>
        <v>1.1134760287091909</v>
      </c>
      <c r="C81" s="4">
        <f ca="1">SplineInterp(A81,INDIRECT("'" &amp;Master!$F$10&amp; "'!$A$2:$A$50"),INDIRECT("'" &amp;Master!$F$10&amp; "'!$C$2:$C$50"))</f>
        <v>1.113454889832187</v>
      </c>
      <c r="D81" s="4">
        <f ca="1">SplineInterp(A81,INDIRECT("'" &amp;Master!$F$10&amp; "'!$A$2:$A$50"),INDIRECT("'" &amp;Master!$F$10&amp; "'!$D$2:$D$50"))</f>
        <v>1.1163351192270363</v>
      </c>
      <c r="E81" s="4">
        <f ca="1">SplineInterp(A81,INDIRECT("'" &amp;Master!$F$10&amp; "'!$A$2:$A$50"),INDIRECT("'" &amp;Master!$F$10&amp; "'!$E$2:$E$50"))</f>
        <v>1.119009729034468</v>
      </c>
      <c r="F81" s="4">
        <f ca="1">SplineInterp(A81,INDIRECT("'" &amp;Master!$F$10&amp; "'!$A$2:$A$50"),INDIRECT("'" &amp;Master!$F$10&amp; "'!$F$2:$F$50"))</f>
        <v>1.1272343460793877</v>
      </c>
      <c r="G81" s="4">
        <f ca="1">SplineInterp(A81,INDIRECT("'" &amp;Master!$F$10&amp; "'!$A$2:$A$50"),INDIRECT("'" &amp;Master!$F$10&amp; "'!$G$2:$G$50"))</f>
        <v>1.121659811651093</v>
      </c>
      <c r="H81" s="4">
        <f ca="1">SplineInterp(A81,INDIRECT("'" &amp;Master!$F$10&amp; "'!$A$2:$A$50"),INDIRECT("'" &amp;Master!$F$10&amp; "'!$H$2:$H$50"))</f>
        <v>1.0865625889026114</v>
      </c>
      <c r="I81" s="4" t="str">
        <f ca="1">IF(OR(INDIRECT("'" &amp; Master!$F$8 &amp; Master!$F$6 &amp; "'!B" &amp; ROW(B81))="", INDIRECT("'" &amp; Master!$F$8 &amp; Master!$F$6 &amp; "'!B" &amp; ROW(B81))=0), "", INDIRECT("'" &amp; Master!$F$8 &amp; Master!$F$6 &amp; "'!B" &amp; ROW(B81)))</f>
        <v/>
      </c>
      <c r="J81" s="9" t="e">
        <f t="shared" ca="1" si="7"/>
        <v>#VALUE!</v>
      </c>
      <c r="K81" s="7" t="e">
        <f t="shared" ca="1" si="8"/>
        <v>#VALUE!</v>
      </c>
      <c r="L81" s="7" t="e">
        <f t="shared" ca="1" si="9"/>
        <v>#VALUE!</v>
      </c>
      <c r="M81" s="7" t="e">
        <f t="shared" ca="1" si="10"/>
        <v>#VALUE!</v>
      </c>
      <c r="N81" s="7" t="e">
        <f t="shared" ca="1" si="11"/>
        <v>#VALUE!</v>
      </c>
      <c r="O81" s="7" t="e">
        <f t="shared" ca="1" si="12"/>
        <v>#VALUE!</v>
      </c>
      <c r="P81" s="7" t="e">
        <f t="shared" ca="1" si="13"/>
        <v>#VALUE!</v>
      </c>
    </row>
    <row r="82" spans="1:16" x14ac:dyDescent="0.25">
      <c r="A82" s="19" t="str">
        <f ca="1">IF(OR(INDIRECT("'" &amp; Master!$F$8 &amp; Master!$F$6 &amp; "'!A" &amp; ROW(A82))="", INDIRECT("'" &amp; Master!$F$8 &amp; Master!$F$6 &amp; "'!A" &amp; ROW(A82))=0), "", INDIRECT("'" &amp; Master!$F$8 &amp; Master!$F$6 &amp; "'!A" &amp; ROW(A82)))</f>
        <v/>
      </c>
      <c r="B82" s="4" t="e">
        <f ca="1">SplineInterp(INDIRECT("A" &amp; ROW()),INDIRECT("'" &amp;Master!$F$10&amp; "'!$A$2:$A$50"),INDIRECT("'" &amp;Master!$F$10&amp; "'!$B$2:$B$50"))</f>
        <v>#VALUE!</v>
      </c>
      <c r="C82" s="4" t="e">
        <f ca="1">SplineInterp(A82,INDIRECT("'" &amp;Master!$F$10&amp; "'!$A$2:$A$50"),INDIRECT("'" &amp;Master!$F$10&amp; "'!$C$2:$C$50"))</f>
        <v>#VALUE!</v>
      </c>
      <c r="D82" s="4" t="e">
        <f ca="1">SplineInterp(A82,INDIRECT("'" &amp;Master!$F$10&amp; "'!$A$2:$A$50"),INDIRECT("'" &amp;Master!$F$10&amp; "'!$D$2:$D$50"))</f>
        <v>#VALUE!</v>
      </c>
      <c r="E82" s="4" t="e">
        <f ca="1">SplineInterp(A82,INDIRECT("'" &amp;Master!$F$10&amp; "'!$A$2:$A$50"),INDIRECT("'" &amp;Master!$F$10&amp; "'!$E$2:$E$50"))</f>
        <v>#VALUE!</v>
      </c>
      <c r="F82" s="4" t="e">
        <f ca="1">SplineInterp(A82,INDIRECT("'" &amp;Master!$F$10&amp; "'!$A$2:$A$50"),INDIRECT("'" &amp;Master!$F$10&amp; "'!$F$2:$F$50"))</f>
        <v>#VALUE!</v>
      </c>
      <c r="G82" s="4" t="e">
        <f ca="1">SplineInterp(A82,INDIRECT("'" &amp;Master!$F$10&amp; "'!$A$2:$A$50"),INDIRECT("'" &amp;Master!$F$10&amp; "'!$G$2:$G$50"))</f>
        <v>#VALUE!</v>
      </c>
      <c r="H82" s="4" t="e">
        <f ca="1">SplineInterp(A82,INDIRECT("'" &amp;Master!$F$10&amp; "'!$A$2:$A$50"),INDIRECT("'" &amp;Master!$F$10&amp; "'!$H$2:$H$50"))</f>
        <v>#VALUE!</v>
      </c>
      <c r="I82" s="4" t="e">
        <f ca="1">IF(OR(INDIRECT("'" &amp; Master!$F$8 &amp; Master!$F$6 &amp; "'!B" &amp; ROW(B82))="", INDIRECT("'" &amp; Master!$F$8 &amp; Master!$F$6 &amp; "'!B" &amp; ROW(B82))=0), "", INDIRECT("'" &amp; Master!$F$8 &amp; Master!$F$6 &amp; "'!B" &amp; ROW(B82)))</f>
        <v>#VALUE!</v>
      </c>
      <c r="J82" s="9" t="e">
        <f t="shared" ca="1" si="7"/>
        <v>#VALUE!</v>
      </c>
      <c r="K82" s="7" t="e">
        <f t="shared" ca="1" si="8"/>
        <v>#VALUE!</v>
      </c>
      <c r="L82" s="7" t="e">
        <f t="shared" ca="1" si="9"/>
        <v>#VALUE!</v>
      </c>
      <c r="M82" s="7" t="e">
        <f t="shared" ca="1" si="10"/>
        <v>#VALUE!</v>
      </c>
      <c r="N82" s="7" t="e">
        <f t="shared" ca="1" si="11"/>
        <v>#VALUE!</v>
      </c>
      <c r="O82" s="7" t="e">
        <f t="shared" ca="1" si="12"/>
        <v>#VALUE!</v>
      </c>
      <c r="P82" s="7" t="e">
        <f t="shared" ca="1" si="13"/>
        <v>#VALUE!</v>
      </c>
    </row>
    <row r="83" spans="1:16" x14ac:dyDescent="0.25">
      <c r="A83" s="19" t="str">
        <f ca="1">IF(OR(INDIRECT("'" &amp; Master!$F$8 &amp; Master!$F$6 &amp; "'!A" &amp; ROW(A83))="", INDIRECT("'" &amp; Master!$F$8 &amp; Master!$F$6 &amp; "'!A" &amp; ROW(A83))=0), "", INDIRECT("'" &amp; Master!$F$8 &amp; Master!$F$6 &amp; "'!A" &amp; ROW(A83)))</f>
        <v/>
      </c>
      <c r="B83" s="4" t="e">
        <f ca="1">SplineInterp(INDIRECT("A" &amp; ROW()),INDIRECT("'" &amp;Master!$F$10&amp; "'!$A$2:$A$50"),INDIRECT("'" &amp;Master!$F$10&amp; "'!$B$2:$B$50"))</f>
        <v>#VALUE!</v>
      </c>
      <c r="C83" s="4" t="e">
        <f ca="1">SplineInterp(A83,INDIRECT("'" &amp;Master!$F$10&amp; "'!$A$2:$A$50"),INDIRECT("'" &amp;Master!$F$10&amp; "'!$C$2:$C$50"))</f>
        <v>#VALUE!</v>
      </c>
      <c r="D83" s="4" t="e">
        <f ca="1">SplineInterp(A83,INDIRECT("'" &amp;Master!$F$10&amp; "'!$A$2:$A$50"),INDIRECT("'" &amp;Master!$F$10&amp; "'!$D$2:$D$50"))</f>
        <v>#VALUE!</v>
      </c>
      <c r="E83" s="4" t="e">
        <f ca="1">SplineInterp(A83,INDIRECT("'" &amp;Master!$F$10&amp; "'!$A$2:$A$50"),INDIRECT("'" &amp;Master!$F$10&amp; "'!$E$2:$E$50"))</f>
        <v>#VALUE!</v>
      </c>
      <c r="F83" s="4" t="e">
        <f ca="1">SplineInterp(A83,INDIRECT("'" &amp;Master!$F$10&amp; "'!$A$2:$A$50"),INDIRECT("'" &amp;Master!$F$10&amp; "'!$F$2:$F$50"))</f>
        <v>#VALUE!</v>
      </c>
      <c r="G83" s="4" t="e">
        <f ca="1">SplineInterp(A83,INDIRECT("'" &amp;Master!$F$10&amp; "'!$A$2:$A$50"),INDIRECT("'" &amp;Master!$F$10&amp; "'!$G$2:$G$50"))</f>
        <v>#VALUE!</v>
      </c>
      <c r="H83" s="4" t="e">
        <f ca="1">SplineInterp(A83,INDIRECT("'" &amp;Master!$F$10&amp; "'!$A$2:$A$50"),INDIRECT("'" &amp;Master!$F$10&amp; "'!$H$2:$H$50"))</f>
        <v>#VALUE!</v>
      </c>
      <c r="I83" s="4" t="e">
        <f ca="1">IF(OR(INDIRECT("'" &amp; Master!$F$8 &amp; Master!$F$6 &amp; "'!B" &amp; ROW(B83))="", INDIRECT("'" &amp; Master!$F$8 &amp; Master!$F$6 &amp; "'!B" &amp; ROW(B83))=0), "", INDIRECT("'" &amp; Master!$F$8 &amp; Master!$F$6 &amp; "'!B" &amp; ROW(B83)))</f>
        <v>#VALUE!</v>
      </c>
      <c r="J83" s="9" t="e">
        <f t="shared" ca="1" si="7"/>
        <v>#VALUE!</v>
      </c>
      <c r="K83" s="7" t="e">
        <f t="shared" ca="1" si="8"/>
        <v>#VALUE!</v>
      </c>
      <c r="L83" s="7" t="e">
        <f t="shared" ca="1" si="9"/>
        <v>#VALUE!</v>
      </c>
      <c r="M83" s="7" t="e">
        <f t="shared" ca="1" si="10"/>
        <v>#VALUE!</v>
      </c>
      <c r="N83" s="7" t="e">
        <f t="shared" ca="1" si="11"/>
        <v>#VALUE!</v>
      </c>
      <c r="O83" s="7" t="e">
        <f t="shared" ca="1" si="12"/>
        <v>#VALUE!</v>
      </c>
      <c r="P83" s="7" t="e">
        <f t="shared" ca="1" si="13"/>
        <v>#VALUE!</v>
      </c>
    </row>
    <row r="84" spans="1:16" x14ac:dyDescent="0.25">
      <c r="A84" s="19" t="str">
        <f ca="1">IF(OR(INDIRECT("'" &amp; Master!$F$8 &amp; Master!$F$6 &amp; "'!A" &amp; ROW(A84))="", INDIRECT("'" &amp; Master!$F$8 &amp; Master!$F$6 &amp; "'!A" &amp; ROW(A84))=0), "", INDIRECT("'" &amp; Master!$F$8 &amp; Master!$F$6 &amp; "'!A" &amp; ROW(A84)))</f>
        <v/>
      </c>
      <c r="B84" s="4" t="e">
        <f ca="1">SplineInterp(INDIRECT("A" &amp; ROW()),INDIRECT("'" &amp;Master!$F$10&amp; "'!$A$2:$A$50"),INDIRECT("'" &amp;Master!$F$10&amp; "'!$B$2:$B$50"))</f>
        <v>#VALUE!</v>
      </c>
      <c r="C84" s="4" t="e">
        <f ca="1">SplineInterp(A84,INDIRECT("'" &amp;Master!$F$10&amp; "'!$A$2:$A$50"),INDIRECT("'" &amp;Master!$F$10&amp; "'!$C$2:$C$50"))</f>
        <v>#VALUE!</v>
      </c>
      <c r="D84" s="4" t="e">
        <f ca="1">SplineInterp(A84,INDIRECT("'" &amp;Master!$F$10&amp; "'!$A$2:$A$50"),INDIRECT("'" &amp;Master!$F$10&amp; "'!$D$2:$D$50"))</f>
        <v>#VALUE!</v>
      </c>
      <c r="E84" s="4" t="e">
        <f ca="1">SplineInterp(A84,INDIRECT("'" &amp;Master!$F$10&amp; "'!$A$2:$A$50"),INDIRECT("'" &amp;Master!$F$10&amp; "'!$E$2:$E$50"))</f>
        <v>#VALUE!</v>
      </c>
      <c r="F84" s="4" t="e">
        <f ca="1">SplineInterp(A84,INDIRECT("'" &amp;Master!$F$10&amp; "'!$A$2:$A$50"),INDIRECT("'" &amp;Master!$F$10&amp; "'!$F$2:$F$50"))</f>
        <v>#VALUE!</v>
      </c>
      <c r="G84" s="4" t="e">
        <f ca="1">SplineInterp(A84,INDIRECT("'" &amp;Master!$F$10&amp; "'!$A$2:$A$50"),INDIRECT("'" &amp;Master!$F$10&amp; "'!$G$2:$G$50"))</f>
        <v>#VALUE!</v>
      </c>
      <c r="H84" s="4" t="e">
        <f ca="1">SplineInterp(A84,INDIRECT("'" &amp;Master!$F$10&amp; "'!$A$2:$A$50"),INDIRECT("'" &amp;Master!$F$10&amp; "'!$H$2:$H$50"))</f>
        <v>#VALUE!</v>
      </c>
      <c r="I84" s="4" t="e">
        <f ca="1">IF(OR(INDIRECT("'" &amp; Master!$F$8 &amp; Master!$F$6 &amp; "'!B" &amp; ROW(B84))="", INDIRECT("'" &amp; Master!$F$8 &amp; Master!$F$6 &amp; "'!B" &amp; ROW(B84))=0), "", INDIRECT("'" &amp; Master!$F$8 &amp; Master!$F$6 &amp; "'!B" &amp; ROW(B84)))</f>
        <v>#VALUE!</v>
      </c>
      <c r="J84" s="9" t="e">
        <f t="shared" ca="1" si="7"/>
        <v>#VALUE!</v>
      </c>
      <c r="K84" s="7" t="e">
        <f t="shared" ca="1" si="8"/>
        <v>#VALUE!</v>
      </c>
      <c r="L84" s="7" t="e">
        <f t="shared" ca="1" si="9"/>
        <v>#VALUE!</v>
      </c>
      <c r="M84" s="7" t="e">
        <f t="shared" ca="1" si="10"/>
        <v>#VALUE!</v>
      </c>
      <c r="N84" s="7" t="e">
        <f t="shared" ca="1" si="11"/>
        <v>#VALUE!</v>
      </c>
      <c r="O84" s="7" t="e">
        <f t="shared" ca="1" si="12"/>
        <v>#VALUE!</v>
      </c>
      <c r="P84" s="7" t="e">
        <f t="shared" ca="1" si="13"/>
        <v>#VALUE!</v>
      </c>
    </row>
    <row r="85" spans="1:16" x14ac:dyDescent="0.25">
      <c r="A85" s="19" t="str">
        <f ca="1">IF(OR(INDIRECT("'" &amp; Master!$F$8 &amp; Master!$F$6 &amp; "'!A" &amp; ROW(A85))="", INDIRECT("'" &amp; Master!$F$8 &amp; Master!$F$6 &amp; "'!A" &amp; ROW(A85))=0), "", INDIRECT("'" &amp; Master!$F$8 &amp; Master!$F$6 &amp; "'!A" &amp; ROW(A85)))</f>
        <v/>
      </c>
      <c r="B85" s="4" t="e">
        <f ca="1">SplineInterp(INDIRECT("A" &amp; ROW()),INDIRECT("'" &amp;Master!$F$10&amp; "'!$A$2:$A$50"),INDIRECT("'" &amp;Master!$F$10&amp; "'!$B$2:$B$50"))</f>
        <v>#VALUE!</v>
      </c>
      <c r="C85" s="4" t="e">
        <f ca="1">SplineInterp(A85,INDIRECT("'" &amp;Master!$F$10&amp; "'!$A$2:$A$50"),INDIRECT("'" &amp;Master!$F$10&amp; "'!$C$2:$C$50"))</f>
        <v>#VALUE!</v>
      </c>
      <c r="D85" s="4" t="e">
        <f ca="1">SplineInterp(A85,INDIRECT("'" &amp;Master!$F$10&amp; "'!$A$2:$A$50"),INDIRECT("'" &amp;Master!$F$10&amp; "'!$D$2:$D$50"))</f>
        <v>#VALUE!</v>
      </c>
      <c r="E85" s="4" t="e">
        <f ca="1">SplineInterp(A85,INDIRECT("'" &amp;Master!$F$10&amp; "'!$A$2:$A$50"),INDIRECT("'" &amp;Master!$F$10&amp; "'!$E$2:$E$50"))</f>
        <v>#VALUE!</v>
      </c>
      <c r="F85" s="4" t="e">
        <f ca="1">SplineInterp(A85,INDIRECT("'" &amp;Master!$F$10&amp; "'!$A$2:$A$50"),INDIRECT("'" &amp;Master!$F$10&amp; "'!$F$2:$F$50"))</f>
        <v>#VALUE!</v>
      </c>
      <c r="G85" s="4" t="e">
        <f ca="1">SplineInterp(A85,INDIRECT("'" &amp;Master!$F$10&amp; "'!$A$2:$A$50"),INDIRECT("'" &amp;Master!$F$10&amp; "'!$G$2:$G$50"))</f>
        <v>#VALUE!</v>
      </c>
      <c r="H85" s="4" t="e">
        <f ca="1">SplineInterp(A85,INDIRECT("'" &amp;Master!$F$10&amp; "'!$A$2:$A$50"),INDIRECT("'" &amp;Master!$F$10&amp; "'!$H$2:$H$50"))</f>
        <v>#VALUE!</v>
      </c>
      <c r="I85" s="4" t="e">
        <f ca="1">IF(OR(INDIRECT("'" &amp; Master!$F$8 &amp; Master!$F$6 &amp; "'!B" &amp; ROW(B85))="", INDIRECT("'" &amp; Master!$F$8 &amp; Master!$F$6 &amp; "'!B" &amp; ROW(B85))=0), "", INDIRECT("'" &amp; Master!$F$8 &amp; Master!$F$6 &amp; "'!B" &amp; ROW(B85)))</f>
        <v>#VALUE!</v>
      </c>
      <c r="J85" s="9" t="e">
        <f t="shared" ca="1" si="7"/>
        <v>#VALUE!</v>
      </c>
      <c r="K85" s="7" t="e">
        <f t="shared" ca="1" si="8"/>
        <v>#VALUE!</v>
      </c>
      <c r="L85" s="7" t="e">
        <f t="shared" ca="1" si="9"/>
        <v>#VALUE!</v>
      </c>
      <c r="M85" s="7" t="e">
        <f t="shared" ca="1" si="10"/>
        <v>#VALUE!</v>
      </c>
      <c r="N85" s="7" t="e">
        <f t="shared" ca="1" si="11"/>
        <v>#VALUE!</v>
      </c>
      <c r="O85" s="7" t="e">
        <f t="shared" ca="1" si="12"/>
        <v>#VALUE!</v>
      </c>
      <c r="P85" s="7" t="e">
        <f t="shared" ca="1" si="13"/>
        <v>#VALUE!</v>
      </c>
    </row>
    <row r="86" spans="1:16" x14ac:dyDescent="0.25">
      <c r="A86" s="19" t="str">
        <f ca="1">IF(OR(INDIRECT("'" &amp; Master!$F$8 &amp; Master!$F$6 &amp; "'!A" &amp; ROW(A86))="", INDIRECT("'" &amp; Master!$F$8 &amp; Master!$F$6 &amp; "'!A" &amp; ROW(A86))=0), "", INDIRECT("'" &amp; Master!$F$8 &amp; Master!$F$6 &amp; "'!A" &amp; ROW(A86)))</f>
        <v/>
      </c>
      <c r="B86" s="4" t="e">
        <f ca="1">SplineInterp(INDIRECT("A" &amp; ROW()),INDIRECT("'" &amp;Master!$F$10&amp; "'!$A$2:$A$50"),INDIRECT("'" &amp;Master!$F$10&amp; "'!$B$2:$B$50"))</f>
        <v>#VALUE!</v>
      </c>
      <c r="C86" s="4" t="e">
        <f ca="1">SplineInterp(A86,INDIRECT("'" &amp;Master!$F$10&amp; "'!$A$2:$A$50"),INDIRECT("'" &amp;Master!$F$10&amp; "'!$C$2:$C$50"))</f>
        <v>#VALUE!</v>
      </c>
      <c r="D86" s="4" t="e">
        <f ca="1">SplineInterp(A86,INDIRECT("'" &amp;Master!$F$10&amp; "'!$A$2:$A$50"),INDIRECT("'" &amp;Master!$F$10&amp; "'!$D$2:$D$50"))</f>
        <v>#VALUE!</v>
      </c>
      <c r="E86" s="4" t="e">
        <f ca="1">SplineInterp(A86,INDIRECT("'" &amp;Master!$F$10&amp; "'!$A$2:$A$50"),INDIRECT("'" &amp;Master!$F$10&amp; "'!$E$2:$E$50"))</f>
        <v>#VALUE!</v>
      </c>
      <c r="F86" s="4" t="e">
        <f ca="1">SplineInterp(A86,INDIRECT("'" &amp;Master!$F$10&amp; "'!$A$2:$A$50"),INDIRECT("'" &amp;Master!$F$10&amp; "'!$F$2:$F$50"))</f>
        <v>#VALUE!</v>
      </c>
      <c r="G86" s="4" t="e">
        <f ca="1">SplineInterp(A86,INDIRECT("'" &amp;Master!$F$10&amp; "'!$A$2:$A$50"),INDIRECT("'" &amp;Master!$F$10&amp; "'!$G$2:$G$50"))</f>
        <v>#VALUE!</v>
      </c>
      <c r="H86" s="4" t="e">
        <f ca="1">SplineInterp(A86,INDIRECT("'" &amp;Master!$F$10&amp; "'!$A$2:$A$50"),INDIRECT("'" &amp;Master!$F$10&amp; "'!$H$2:$H$50"))</f>
        <v>#VALUE!</v>
      </c>
      <c r="I86" s="4" t="e">
        <f ca="1">IF(OR(INDIRECT("'" &amp; Master!$F$8 &amp; Master!$F$6 &amp; "'!B" &amp; ROW(B86))="", INDIRECT("'" &amp; Master!$F$8 &amp; Master!$F$6 &amp; "'!B" &amp; ROW(B86))=0), "", INDIRECT("'" &amp; Master!$F$8 &amp; Master!$F$6 &amp; "'!B" &amp; ROW(B86)))</f>
        <v>#VALUE!</v>
      </c>
      <c r="J86" s="9" t="e">
        <f t="shared" ca="1" si="7"/>
        <v>#VALUE!</v>
      </c>
      <c r="K86" s="7" t="e">
        <f t="shared" ca="1" si="8"/>
        <v>#VALUE!</v>
      </c>
      <c r="L86" s="7" t="e">
        <f t="shared" ca="1" si="9"/>
        <v>#VALUE!</v>
      </c>
      <c r="M86" s="7" t="e">
        <f t="shared" ca="1" si="10"/>
        <v>#VALUE!</v>
      </c>
      <c r="N86" s="7" t="e">
        <f t="shared" ca="1" si="11"/>
        <v>#VALUE!</v>
      </c>
      <c r="O86" s="7" t="e">
        <f t="shared" ca="1" si="12"/>
        <v>#VALUE!</v>
      </c>
      <c r="P86" s="7" t="e">
        <f t="shared" ca="1" si="13"/>
        <v>#VALUE!</v>
      </c>
    </row>
    <row r="87" spans="1:16" x14ac:dyDescent="0.25">
      <c r="A87" s="19" t="str">
        <f ca="1">IF(OR(INDIRECT("'" &amp; Master!$F$8 &amp; Master!$F$6 &amp; "'!A" &amp; ROW(A87))="", INDIRECT("'" &amp; Master!$F$8 &amp; Master!$F$6 &amp; "'!A" &amp; ROW(A87))=0), "", INDIRECT("'" &amp; Master!$F$8 &amp; Master!$F$6 &amp; "'!A" &amp; ROW(A87)))</f>
        <v/>
      </c>
      <c r="B87" s="4" t="e">
        <f ca="1">SplineInterp(INDIRECT("A" &amp; ROW()),INDIRECT("'" &amp;Master!$F$10&amp; "'!$A$2:$A$50"),INDIRECT("'" &amp;Master!$F$10&amp; "'!$B$2:$B$50"))</f>
        <v>#VALUE!</v>
      </c>
      <c r="C87" s="4" t="e">
        <f ca="1">SplineInterp(A87,INDIRECT("'" &amp;Master!$F$10&amp; "'!$A$2:$A$50"),INDIRECT("'" &amp;Master!$F$10&amp; "'!$C$2:$C$50"))</f>
        <v>#VALUE!</v>
      </c>
      <c r="D87" s="4" t="e">
        <f ca="1">SplineInterp(A87,INDIRECT("'" &amp;Master!$F$10&amp; "'!$A$2:$A$50"),INDIRECT("'" &amp;Master!$F$10&amp; "'!$D$2:$D$50"))</f>
        <v>#VALUE!</v>
      </c>
      <c r="E87" s="4" t="e">
        <f ca="1">SplineInterp(A87,INDIRECT("'" &amp;Master!$F$10&amp; "'!$A$2:$A$50"),INDIRECT("'" &amp;Master!$F$10&amp; "'!$E$2:$E$50"))</f>
        <v>#VALUE!</v>
      </c>
      <c r="F87" s="4" t="e">
        <f ca="1">SplineInterp(A87,INDIRECT("'" &amp;Master!$F$10&amp; "'!$A$2:$A$50"),INDIRECT("'" &amp;Master!$F$10&amp; "'!$F$2:$F$50"))</f>
        <v>#VALUE!</v>
      </c>
      <c r="G87" s="4" t="e">
        <f ca="1">SplineInterp(A87,INDIRECT("'" &amp;Master!$F$10&amp; "'!$A$2:$A$50"),INDIRECT("'" &amp;Master!$F$10&amp; "'!$G$2:$G$50"))</f>
        <v>#VALUE!</v>
      </c>
      <c r="H87" s="4" t="e">
        <f ca="1">SplineInterp(A87,INDIRECT("'" &amp;Master!$F$10&amp; "'!$A$2:$A$50"),INDIRECT("'" &amp;Master!$F$10&amp; "'!$H$2:$H$50"))</f>
        <v>#VALUE!</v>
      </c>
      <c r="I87" s="4" t="e">
        <f ca="1">IF(OR(INDIRECT("'" &amp; Master!$F$8 &amp; Master!$F$6 &amp; "'!B" &amp; ROW(B87))="", INDIRECT("'" &amp; Master!$F$8 &amp; Master!$F$6 &amp; "'!B" &amp; ROW(B87))=0), "", INDIRECT("'" &amp; Master!$F$8 &amp; Master!$F$6 &amp; "'!B" &amp; ROW(B87)))</f>
        <v>#VALUE!</v>
      </c>
      <c r="J87" s="9" t="e">
        <f t="shared" ca="1" si="7"/>
        <v>#VALUE!</v>
      </c>
      <c r="K87" s="7" t="e">
        <f t="shared" ca="1" si="8"/>
        <v>#VALUE!</v>
      </c>
      <c r="L87" s="7" t="e">
        <f t="shared" ca="1" si="9"/>
        <v>#VALUE!</v>
      </c>
      <c r="M87" s="7" t="e">
        <f t="shared" ca="1" si="10"/>
        <v>#VALUE!</v>
      </c>
      <c r="N87" s="7" t="e">
        <f t="shared" ca="1" si="11"/>
        <v>#VALUE!</v>
      </c>
      <c r="O87" s="7" t="e">
        <f t="shared" ca="1" si="12"/>
        <v>#VALUE!</v>
      </c>
      <c r="P87" s="7" t="e">
        <f t="shared" ca="1" si="13"/>
        <v>#VALUE!</v>
      </c>
    </row>
    <row r="88" spans="1:16" x14ac:dyDescent="0.25">
      <c r="A88" s="19" t="str">
        <f ca="1">IF(OR(INDIRECT("'" &amp; Master!$F$8 &amp; Master!$F$6 &amp; "'!A" &amp; ROW(A88))="", INDIRECT("'" &amp; Master!$F$8 &amp; Master!$F$6 &amp; "'!A" &amp; ROW(A88))=0), "", INDIRECT("'" &amp; Master!$F$8 &amp; Master!$F$6 &amp; "'!A" &amp; ROW(A88)))</f>
        <v/>
      </c>
      <c r="B88" s="4" t="e">
        <f ca="1">SplineInterp(INDIRECT("A" &amp; ROW()),INDIRECT("'" &amp;Master!$F$10&amp; "'!$A$2:$A$50"),INDIRECT("'" &amp;Master!$F$10&amp; "'!$B$2:$B$50"))</f>
        <v>#VALUE!</v>
      </c>
      <c r="C88" s="4" t="e">
        <f ca="1">SplineInterp(A88,INDIRECT("'" &amp;Master!$F$10&amp; "'!$A$2:$A$50"),INDIRECT("'" &amp;Master!$F$10&amp; "'!$C$2:$C$50"))</f>
        <v>#VALUE!</v>
      </c>
      <c r="D88" s="4" t="e">
        <f ca="1">SplineInterp(A88,INDIRECT("'" &amp;Master!$F$10&amp; "'!$A$2:$A$50"),INDIRECT("'" &amp;Master!$F$10&amp; "'!$D$2:$D$50"))</f>
        <v>#VALUE!</v>
      </c>
      <c r="E88" s="4" t="e">
        <f ca="1">SplineInterp(A88,INDIRECT("'" &amp;Master!$F$10&amp; "'!$A$2:$A$50"),INDIRECT("'" &amp;Master!$F$10&amp; "'!$E$2:$E$50"))</f>
        <v>#VALUE!</v>
      </c>
      <c r="F88" s="4" t="e">
        <f ca="1">SplineInterp(A88,INDIRECT("'" &amp;Master!$F$10&amp; "'!$A$2:$A$50"),INDIRECT("'" &amp;Master!$F$10&amp; "'!$F$2:$F$50"))</f>
        <v>#VALUE!</v>
      </c>
      <c r="G88" s="4" t="e">
        <f ca="1">SplineInterp(A88,INDIRECT("'" &amp;Master!$F$10&amp; "'!$A$2:$A$50"),INDIRECT("'" &amp;Master!$F$10&amp; "'!$G$2:$G$50"))</f>
        <v>#VALUE!</v>
      </c>
      <c r="H88" s="4" t="e">
        <f ca="1">SplineInterp(A88,INDIRECT("'" &amp;Master!$F$10&amp; "'!$A$2:$A$50"),INDIRECT("'" &amp;Master!$F$10&amp; "'!$H$2:$H$50"))</f>
        <v>#VALUE!</v>
      </c>
      <c r="I88" s="4" t="e">
        <f ca="1">IF(OR(INDIRECT("'" &amp; Master!$F$8 &amp; Master!$F$6 &amp; "'!B" &amp; ROW(B88))="", INDIRECT("'" &amp; Master!$F$8 &amp; Master!$F$6 &amp; "'!B" &amp; ROW(B88))=0), "", INDIRECT("'" &amp; Master!$F$8 &amp; Master!$F$6 &amp; "'!B" &amp; ROW(B88)))</f>
        <v>#VALUE!</v>
      </c>
      <c r="J88" s="9" t="e">
        <f t="shared" ca="1" si="7"/>
        <v>#VALUE!</v>
      </c>
      <c r="K88" s="7" t="e">
        <f t="shared" ca="1" si="8"/>
        <v>#VALUE!</v>
      </c>
      <c r="L88" s="7" t="e">
        <f t="shared" ca="1" si="9"/>
        <v>#VALUE!</v>
      </c>
      <c r="M88" s="7" t="e">
        <f t="shared" ca="1" si="10"/>
        <v>#VALUE!</v>
      </c>
      <c r="N88" s="7" t="e">
        <f t="shared" ca="1" si="11"/>
        <v>#VALUE!</v>
      </c>
      <c r="O88" s="7" t="e">
        <f t="shared" ca="1" si="12"/>
        <v>#VALUE!</v>
      </c>
      <c r="P88" s="7" t="e">
        <f t="shared" ca="1" si="13"/>
        <v>#VALUE!</v>
      </c>
    </row>
    <row r="89" spans="1:16" x14ac:dyDescent="0.25">
      <c r="A89" s="19" t="str">
        <f ca="1">IF(OR(INDIRECT("'" &amp; Master!$F$8 &amp; Master!$F$6 &amp; "'!A" &amp; ROW(A89))="", INDIRECT("'" &amp; Master!$F$8 &amp; Master!$F$6 &amp; "'!A" &amp; ROW(A89))=0), "", INDIRECT("'" &amp; Master!$F$8 &amp; Master!$F$6 &amp; "'!A" &amp; ROW(A89)))</f>
        <v/>
      </c>
      <c r="B89" s="4" t="e">
        <f ca="1">SplineInterp(INDIRECT("A" &amp; ROW()),INDIRECT("'" &amp;Master!$F$10&amp; "'!$A$2:$A$50"),INDIRECT("'" &amp;Master!$F$10&amp; "'!$B$2:$B$50"))</f>
        <v>#VALUE!</v>
      </c>
      <c r="C89" s="4" t="e">
        <f ca="1">SplineInterp(A89,INDIRECT("'" &amp;Master!$F$10&amp; "'!$A$2:$A$50"),INDIRECT("'" &amp;Master!$F$10&amp; "'!$C$2:$C$50"))</f>
        <v>#VALUE!</v>
      </c>
      <c r="D89" s="4" t="e">
        <f ca="1">SplineInterp(A89,INDIRECT("'" &amp;Master!$F$10&amp; "'!$A$2:$A$50"),INDIRECT("'" &amp;Master!$F$10&amp; "'!$D$2:$D$50"))</f>
        <v>#VALUE!</v>
      </c>
      <c r="E89" s="4" t="e">
        <f ca="1">SplineInterp(A89,INDIRECT("'" &amp;Master!$F$10&amp; "'!$A$2:$A$50"),INDIRECT("'" &amp;Master!$F$10&amp; "'!$E$2:$E$50"))</f>
        <v>#VALUE!</v>
      </c>
      <c r="F89" s="4" t="e">
        <f ca="1">SplineInterp(A89,INDIRECT("'" &amp;Master!$F$10&amp; "'!$A$2:$A$50"),INDIRECT("'" &amp;Master!$F$10&amp; "'!$F$2:$F$50"))</f>
        <v>#VALUE!</v>
      </c>
      <c r="G89" s="4" t="e">
        <f ca="1">SplineInterp(A89,INDIRECT("'" &amp;Master!$F$10&amp; "'!$A$2:$A$50"),INDIRECT("'" &amp;Master!$F$10&amp; "'!$G$2:$G$50"))</f>
        <v>#VALUE!</v>
      </c>
      <c r="H89" s="4" t="e">
        <f ca="1">SplineInterp(A89,INDIRECT("'" &amp;Master!$F$10&amp; "'!$A$2:$A$50"),INDIRECT("'" &amp;Master!$F$10&amp; "'!$H$2:$H$50"))</f>
        <v>#VALUE!</v>
      </c>
      <c r="I89" s="4" t="e">
        <f ca="1">IF(OR(INDIRECT("'" &amp; Master!$F$8 &amp; Master!$F$6 &amp; "'!B" &amp; ROW(B89))="", INDIRECT("'" &amp; Master!$F$8 &amp; Master!$F$6 &amp; "'!B" &amp; ROW(B89))=0), "", INDIRECT("'" &amp; Master!$F$8 &amp; Master!$F$6 &amp; "'!B" &amp; ROW(B89)))</f>
        <v>#VALUE!</v>
      </c>
      <c r="J89" s="9" t="e">
        <f t="shared" ca="1" si="7"/>
        <v>#VALUE!</v>
      </c>
      <c r="K89" s="7" t="e">
        <f t="shared" ca="1" si="8"/>
        <v>#VALUE!</v>
      </c>
      <c r="L89" s="7" t="e">
        <f t="shared" ca="1" si="9"/>
        <v>#VALUE!</v>
      </c>
      <c r="M89" s="7" t="e">
        <f t="shared" ca="1" si="10"/>
        <v>#VALUE!</v>
      </c>
      <c r="N89" s="7" t="e">
        <f t="shared" ca="1" si="11"/>
        <v>#VALUE!</v>
      </c>
      <c r="O89" s="7" t="e">
        <f t="shared" ca="1" si="12"/>
        <v>#VALUE!</v>
      </c>
      <c r="P89" s="7" t="e">
        <f t="shared" ca="1" si="13"/>
        <v>#VALUE!</v>
      </c>
    </row>
    <row r="90" spans="1:16" x14ac:dyDescent="0.25">
      <c r="A90" s="19" t="str">
        <f ca="1">IF(OR(INDIRECT("'" &amp; Master!$F$8 &amp; Master!$F$6 &amp; "'!A" &amp; ROW(A90))="", INDIRECT("'" &amp; Master!$F$8 &amp; Master!$F$6 &amp; "'!A" &amp; ROW(A90))=0), "", INDIRECT("'" &amp; Master!$F$8 &amp; Master!$F$6 &amp; "'!A" &amp; ROW(A90)))</f>
        <v/>
      </c>
      <c r="B90" s="4" t="e">
        <f ca="1">SplineInterp(INDIRECT("A" &amp; ROW()),INDIRECT("'" &amp;Master!$F$10&amp; "'!$A$2:$A$50"),INDIRECT("'" &amp;Master!$F$10&amp; "'!$B$2:$B$50"))</f>
        <v>#VALUE!</v>
      </c>
      <c r="C90" s="4" t="e">
        <f ca="1">SplineInterp(A90,INDIRECT("'" &amp;Master!$F$10&amp; "'!$A$2:$A$50"),INDIRECT("'" &amp;Master!$F$10&amp; "'!$C$2:$C$50"))</f>
        <v>#VALUE!</v>
      </c>
      <c r="D90" s="4" t="e">
        <f ca="1">SplineInterp(A90,INDIRECT("'" &amp;Master!$F$10&amp; "'!$A$2:$A$50"),INDIRECT("'" &amp;Master!$F$10&amp; "'!$D$2:$D$50"))</f>
        <v>#VALUE!</v>
      </c>
      <c r="E90" s="4" t="e">
        <f ca="1">SplineInterp(A90,INDIRECT("'" &amp;Master!$F$10&amp; "'!$A$2:$A$50"),INDIRECT("'" &amp;Master!$F$10&amp; "'!$E$2:$E$50"))</f>
        <v>#VALUE!</v>
      </c>
      <c r="F90" s="4" t="e">
        <f ca="1">SplineInterp(A90,INDIRECT("'" &amp;Master!$F$10&amp; "'!$A$2:$A$50"),INDIRECT("'" &amp;Master!$F$10&amp; "'!$F$2:$F$50"))</f>
        <v>#VALUE!</v>
      </c>
      <c r="G90" s="4" t="e">
        <f ca="1">SplineInterp(A90,INDIRECT("'" &amp;Master!$F$10&amp; "'!$A$2:$A$50"),INDIRECT("'" &amp;Master!$F$10&amp; "'!$G$2:$G$50"))</f>
        <v>#VALUE!</v>
      </c>
      <c r="H90" s="4" t="e">
        <f ca="1">SplineInterp(A90,INDIRECT("'" &amp;Master!$F$10&amp; "'!$A$2:$A$50"),INDIRECT("'" &amp;Master!$F$10&amp; "'!$H$2:$H$50"))</f>
        <v>#VALUE!</v>
      </c>
      <c r="I90" s="4" t="e">
        <f ca="1">IF(OR(INDIRECT("'" &amp; Master!$F$8 &amp; Master!$F$6 &amp; "'!B" &amp; ROW(B90))="", INDIRECT("'" &amp; Master!$F$8 &amp; Master!$F$6 &amp; "'!B" &amp; ROW(B90))=0), "", INDIRECT("'" &amp; Master!$F$8 &amp; Master!$F$6 &amp; "'!B" &amp; ROW(B90)))</f>
        <v>#VALUE!</v>
      </c>
      <c r="J90" s="9" t="e">
        <f t="shared" ca="1" si="7"/>
        <v>#VALUE!</v>
      </c>
      <c r="K90" s="7" t="e">
        <f t="shared" ca="1" si="8"/>
        <v>#VALUE!</v>
      </c>
      <c r="L90" s="7" t="e">
        <f t="shared" ca="1" si="9"/>
        <v>#VALUE!</v>
      </c>
      <c r="M90" s="7" t="e">
        <f t="shared" ca="1" si="10"/>
        <v>#VALUE!</v>
      </c>
      <c r="N90" s="7" t="e">
        <f t="shared" ca="1" si="11"/>
        <v>#VALUE!</v>
      </c>
      <c r="O90" s="7" t="e">
        <f t="shared" ca="1" si="12"/>
        <v>#VALUE!</v>
      </c>
      <c r="P90" s="7" t="e">
        <f t="shared" ca="1" si="13"/>
        <v>#VALUE!</v>
      </c>
    </row>
    <row r="91" spans="1:16" x14ac:dyDescent="0.25">
      <c r="A91" s="19" t="str">
        <f ca="1">IF(OR(INDIRECT("'" &amp; Master!$F$8 &amp; Master!$F$6 &amp; "'!A" &amp; ROW(A91))="", INDIRECT("'" &amp; Master!$F$8 &amp; Master!$F$6 &amp; "'!A" &amp; ROW(A91))=0), "", INDIRECT("'" &amp; Master!$F$8 &amp; Master!$F$6 &amp; "'!A" &amp; ROW(A91)))</f>
        <v/>
      </c>
      <c r="B91" s="4" t="e">
        <f ca="1">SplineInterp(INDIRECT("A" &amp; ROW()),INDIRECT("'" &amp;Master!$F$10&amp; "'!$A$2:$A$50"),INDIRECT("'" &amp;Master!$F$10&amp; "'!$B$2:$B$50"))</f>
        <v>#VALUE!</v>
      </c>
      <c r="C91" s="4" t="e">
        <f ca="1">SplineInterp(A91,INDIRECT("'" &amp;Master!$F$10&amp; "'!$A$2:$A$50"),INDIRECT("'" &amp;Master!$F$10&amp; "'!$C$2:$C$50"))</f>
        <v>#VALUE!</v>
      </c>
      <c r="D91" s="4" t="e">
        <f ca="1">SplineInterp(A91,INDIRECT("'" &amp;Master!$F$10&amp; "'!$A$2:$A$50"),INDIRECT("'" &amp;Master!$F$10&amp; "'!$D$2:$D$50"))</f>
        <v>#VALUE!</v>
      </c>
      <c r="E91" s="4" t="e">
        <f ca="1">SplineInterp(A91,INDIRECT("'" &amp;Master!$F$10&amp; "'!$A$2:$A$50"),INDIRECT("'" &amp;Master!$F$10&amp; "'!$E$2:$E$50"))</f>
        <v>#VALUE!</v>
      </c>
      <c r="F91" s="4" t="e">
        <f ca="1">SplineInterp(A91,INDIRECT("'" &amp;Master!$F$10&amp; "'!$A$2:$A$50"),INDIRECT("'" &amp;Master!$F$10&amp; "'!$F$2:$F$50"))</f>
        <v>#VALUE!</v>
      </c>
      <c r="G91" s="4" t="e">
        <f ca="1">SplineInterp(A91,INDIRECT("'" &amp;Master!$F$10&amp; "'!$A$2:$A$50"),INDIRECT("'" &amp;Master!$F$10&amp; "'!$G$2:$G$50"))</f>
        <v>#VALUE!</v>
      </c>
      <c r="H91" s="4" t="e">
        <f ca="1">SplineInterp(A91,INDIRECT("'" &amp;Master!$F$10&amp; "'!$A$2:$A$50"),INDIRECT("'" &amp;Master!$F$10&amp; "'!$H$2:$H$50"))</f>
        <v>#VALUE!</v>
      </c>
      <c r="I91" s="4" t="e">
        <f ca="1">IF(OR(INDIRECT("'" &amp; Master!$F$8 &amp; Master!$F$6 &amp; "'!B" &amp; ROW(B91))="", INDIRECT("'" &amp; Master!$F$8 &amp; Master!$F$6 &amp; "'!B" &amp; ROW(B91))=0), "", INDIRECT("'" &amp; Master!$F$8 &amp; Master!$F$6 &amp; "'!B" &amp; ROW(B91)))</f>
        <v>#VALUE!</v>
      </c>
      <c r="J91" s="9" t="e">
        <f t="shared" ca="1" si="7"/>
        <v>#VALUE!</v>
      </c>
      <c r="K91" s="7" t="e">
        <f t="shared" ca="1" si="8"/>
        <v>#VALUE!</v>
      </c>
      <c r="L91" s="7" t="e">
        <f t="shared" ca="1" si="9"/>
        <v>#VALUE!</v>
      </c>
      <c r="M91" s="7" t="e">
        <f t="shared" ca="1" si="10"/>
        <v>#VALUE!</v>
      </c>
      <c r="N91" s="7" t="e">
        <f t="shared" ca="1" si="11"/>
        <v>#VALUE!</v>
      </c>
      <c r="O91" s="7" t="e">
        <f t="shared" ca="1" si="12"/>
        <v>#VALUE!</v>
      </c>
      <c r="P91" s="7" t="e">
        <f t="shared" ca="1" si="13"/>
        <v>#VALUE!</v>
      </c>
    </row>
    <row r="92" spans="1:16" x14ac:dyDescent="0.25">
      <c r="A92" s="19" t="str">
        <f ca="1">IF(OR(INDIRECT("'" &amp; Master!$F$8 &amp; Master!$F$6 &amp; "'!A" &amp; ROW(A92))="", INDIRECT("'" &amp; Master!$F$8 &amp; Master!$F$6 &amp; "'!A" &amp; ROW(A92))=0), "", INDIRECT("'" &amp; Master!$F$8 &amp; Master!$F$6 &amp; "'!A" &amp; ROW(A92)))</f>
        <v/>
      </c>
      <c r="B92" s="4" t="e">
        <f ca="1">SplineInterp(INDIRECT("A" &amp; ROW()),INDIRECT("'" &amp;Master!$F$10&amp; "'!$A$2:$A$50"),INDIRECT("'" &amp;Master!$F$10&amp; "'!$B$2:$B$50"))</f>
        <v>#VALUE!</v>
      </c>
      <c r="C92" s="4" t="e">
        <f ca="1">SplineInterp(A92,INDIRECT("'" &amp;Master!$F$10&amp; "'!$A$2:$A$50"),INDIRECT("'" &amp;Master!$F$10&amp; "'!$C$2:$C$50"))</f>
        <v>#VALUE!</v>
      </c>
      <c r="D92" s="4" t="e">
        <f ca="1">SplineInterp(A92,INDIRECT("'" &amp;Master!$F$10&amp; "'!$A$2:$A$50"),INDIRECT("'" &amp;Master!$F$10&amp; "'!$D$2:$D$50"))</f>
        <v>#VALUE!</v>
      </c>
      <c r="E92" s="4" t="e">
        <f ca="1">SplineInterp(A92,INDIRECT("'" &amp;Master!$F$10&amp; "'!$A$2:$A$50"),INDIRECT("'" &amp;Master!$F$10&amp; "'!$E$2:$E$50"))</f>
        <v>#VALUE!</v>
      </c>
      <c r="F92" s="4" t="e">
        <f ca="1">SplineInterp(A92,INDIRECT("'" &amp;Master!$F$10&amp; "'!$A$2:$A$50"),INDIRECT("'" &amp;Master!$F$10&amp; "'!$F$2:$F$50"))</f>
        <v>#VALUE!</v>
      </c>
      <c r="G92" s="4" t="e">
        <f ca="1">SplineInterp(A92,INDIRECT("'" &amp;Master!$F$10&amp; "'!$A$2:$A$50"),INDIRECT("'" &amp;Master!$F$10&amp; "'!$G$2:$G$50"))</f>
        <v>#VALUE!</v>
      </c>
      <c r="H92" s="4" t="e">
        <f ca="1">SplineInterp(A92,INDIRECT("'" &amp;Master!$F$10&amp; "'!$A$2:$A$50"),INDIRECT("'" &amp;Master!$F$10&amp; "'!$H$2:$H$50"))</f>
        <v>#VALUE!</v>
      </c>
      <c r="I92" s="4" t="e">
        <f ca="1">IF(OR(INDIRECT("'" &amp; Master!$F$8 &amp; Master!$F$6 &amp; "'!B" &amp; ROW(B92))="", INDIRECT("'" &amp; Master!$F$8 &amp; Master!$F$6 &amp; "'!B" &amp; ROW(B92))=0), "", INDIRECT("'" &amp; Master!$F$8 &amp; Master!$F$6 &amp; "'!B" &amp; ROW(B92)))</f>
        <v>#VALUE!</v>
      </c>
      <c r="J92" s="9" t="e">
        <f t="shared" ca="1" si="7"/>
        <v>#VALUE!</v>
      </c>
      <c r="K92" s="7" t="e">
        <f t="shared" ca="1" si="8"/>
        <v>#VALUE!</v>
      </c>
      <c r="L92" s="7" t="e">
        <f t="shared" ca="1" si="9"/>
        <v>#VALUE!</v>
      </c>
      <c r="M92" s="7" t="e">
        <f t="shared" ca="1" si="10"/>
        <v>#VALUE!</v>
      </c>
      <c r="N92" s="7" t="e">
        <f t="shared" ca="1" si="11"/>
        <v>#VALUE!</v>
      </c>
      <c r="O92" s="7" t="e">
        <f t="shared" ca="1" si="12"/>
        <v>#VALUE!</v>
      </c>
      <c r="P92" s="7" t="e">
        <f t="shared" ca="1" si="13"/>
        <v>#VALUE!</v>
      </c>
    </row>
    <row r="93" spans="1:16" x14ac:dyDescent="0.25">
      <c r="A93" s="19" t="str">
        <f ca="1">IF(OR(INDIRECT("'" &amp; Master!$F$8 &amp; Master!$F$6 &amp; "'!A" &amp; ROW(A93))="", INDIRECT("'" &amp; Master!$F$8 &amp; Master!$F$6 &amp; "'!A" &amp; ROW(A93))=0), "", INDIRECT("'" &amp; Master!$F$8 &amp; Master!$F$6 &amp; "'!A" &amp; ROW(A93)))</f>
        <v/>
      </c>
      <c r="B93" s="4" t="e">
        <f ca="1">SplineInterp(INDIRECT("A" &amp; ROW()),INDIRECT("'" &amp;Master!$F$10&amp; "'!$A$2:$A$50"),INDIRECT("'" &amp;Master!$F$10&amp; "'!$B$2:$B$50"))</f>
        <v>#VALUE!</v>
      </c>
      <c r="C93" s="4" t="e">
        <f ca="1">SplineInterp(A93,INDIRECT("'" &amp;Master!$F$10&amp; "'!$A$2:$A$50"),INDIRECT("'" &amp;Master!$F$10&amp; "'!$C$2:$C$50"))</f>
        <v>#VALUE!</v>
      </c>
      <c r="D93" s="4" t="e">
        <f ca="1">SplineInterp(A93,INDIRECT("'" &amp;Master!$F$10&amp; "'!$A$2:$A$50"),INDIRECT("'" &amp;Master!$F$10&amp; "'!$D$2:$D$50"))</f>
        <v>#VALUE!</v>
      </c>
      <c r="E93" s="4" t="e">
        <f ca="1">SplineInterp(A93,INDIRECT("'" &amp;Master!$F$10&amp; "'!$A$2:$A$50"),INDIRECT("'" &amp;Master!$F$10&amp; "'!$E$2:$E$50"))</f>
        <v>#VALUE!</v>
      </c>
      <c r="F93" s="4" t="e">
        <f ca="1">SplineInterp(A93,INDIRECT("'" &amp;Master!$F$10&amp; "'!$A$2:$A$50"),INDIRECT("'" &amp;Master!$F$10&amp; "'!$F$2:$F$50"))</f>
        <v>#VALUE!</v>
      </c>
      <c r="G93" s="4" t="e">
        <f ca="1">SplineInterp(A93,INDIRECT("'" &amp;Master!$F$10&amp; "'!$A$2:$A$50"),INDIRECT("'" &amp;Master!$F$10&amp; "'!$G$2:$G$50"))</f>
        <v>#VALUE!</v>
      </c>
      <c r="H93" s="4" t="e">
        <f ca="1">SplineInterp(A93,INDIRECT("'" &amp;Master!$F$10&amp; "'!$A$2:$A$50"),INDIRECT("'" &amp;Master!$F$10&amp; "'!$H$2:$H$50"))</f>
        <v>#VALUE!</v>
      </c>
      <c r="I93" s="4" t="e">
        <f ca="1">IF(OR(INDIRECT("'" &amp; Master!$F$8 &amp; Master!$F$6 &amp; "'!B" &amp; ROW(B93))="", INDIRECT("'" &amp; Master!$F$8 &amp; Master!$F$6 &amp; "'!B" &amp; ROW(B93))=0), "", INDIRECT("'" &amp; Master!$F$8 &amp; Master!$F$6 &amp; "'!B" &amp; ROW(B93)))</f>
        <v>#VALUE!</v>
      </c>
      <c r="J93" s="9" t="e">
        <f t="shared" ca="1" si="7"/>
        <v>#VALUE!</v>
      </c>
      <c r="K93" s="7" t="e">
        <f t="shared" ca="1" si="8"/>
        <v>#VALUE!</v>
      </c>
      <c r="L93" s="7" t="e">
        <f t="shared" ca="1" si="9"/>
        <v>#VALUE!</v>
      </c>
      <c r="M93" s="7" t="e">
        <f t="shared" ca="1" si="10"/>
        <v>#VALUE!</v>
      </c>
      <c r="N93" s="7" t="e">
        <f t="shared" ca="1" si="11"/>
        <v>#VALUE!</v>
      </c>
      <c r="O93" s="7" t="e">
        <f t="shared" ca="1" si="12"/>
        <v>#VALUE!</v>
      </c>
      <c r="P93" s="7" t="e">
        <f t="shared" ca="1" si="13"/>
        <v>#VALUE!</v>
      </c>
    </row>
    <row r="94" spans="1:16" x14ac:dyDescent="0.25">
      <c r="A94" s="19" t="str">
        <f ca="1">IF(OR(INDIRECT("'" &amp; Master!$F$8 &amp; Master!$F$6 &amp; "'!A" &amp; ROW(A94))="", INDIRECT("'" &amp; Master!$F$8 &amp; Master!$F$6 &amp; "'!A" &amp; ROW(A94))=0), "", INDIRECT("'" &amp; Master!$F$8 &amp; Master!$F$6 &amp; "'!A" &amp; ROW(A94)))</f>
        <v/>
      </c>
      <c r="B94" s="4" t="e">
        <f ca="1">SplineInterp(INDIRECT("A" &amp; ROW()),INDIRECT("'" &amp;Master!$F$10&amp; "'!$A$2:$A$50"),INDIRECT("'" &amp;Master!$F$10&amp; "'!$B$2:$B$50"))</f>
        <v>#VALUE!</v>
      </c>
      <c r="C94" s="4" t="e">
        <f ca="1">SplineInterp(A94,INDIRECT("'" &amp;Master!$F$10&amp; "'!$A$2:$A$50"),INDIRECT("'" &amp;Master!$F$10&amp; "'!$C$2:$C$50"))</f>
        <v>#VALUE!</v>
      </c>
      <c r="D94" s="4" t="e">
        <f ca="1">SplineInterp(A94,INDIRECT("'" &amp;Master!$F$10&amp; "'!$A$2:$A$50"),INDIRECT("'" &amp;Master!$F$10&amp; "'!$D$2:$D$50"))</f>
        <v>#VALUE!</v>
      </c>
      <c r="E94" s="4" t="e">
        <f ca="1">SplineInterp(A94,INDIRECT("'" &amp;Master!$F$10&amp; "'!$A$2:$A$50"),INDIRECT("'" &amp;Master!$F$10&amp; "'!$E$2:$E$50"))</f>
        <v>#VALUE!</v>
      </c>
      <c r="F94" s="4" t="e">
        <f ca="1">SplineInterp(A94,INDIRECT("'" &amp;Master!$F$10&amp; "'!$A$2:$A$50"),INDIRECT("'" &amp;Master!$F$10&amp; "'!$F$2:$F$50"))</f>
        <v>#VALUE!</v>
      </c>
      <c r="G94" s="4" t="e">
        <f ca="1">SplineInterp(A94,INDIRECT("'" &amp;Master!$F$10&amp; "'!$A$2:$A$50"),INDIRECT("'" &amp;Master!$F$10&amp; "'!$G$2:$G$50"))</f>
        <v>#VALUE!</v>
      </c>
      <c r="H94" s="4" t="e">
        <f ca="1">SplineInterp(A94,INDIRECT("'" &amp;Master!$F$10&amp; "'!$A$2:$A$50"),INDIRECT("'" &amp;Master!$F$10&amp; "'!$H$2:$H$50"))</f>
        <v>#VALUE!</v>
      </c>
      <c r="I94" s="4" t="e">
        <f ca="1">IF(OR(INDIRECT("'" &amp; Master!$F$8 &amp; Master!$F$6 &amp; "'!B" &amp; ROW(B94))="", INDIRECT("'" &amp; Master!$F$8 &amp; Master!$F$6 &amp; "'!B" &amp; ROW(B94))=0), "", INDIRECT("'" &amp; Master!$F$8 &amp; Master!$F$6 &amp; "'!B" &amp; ROW(B94)))</f>
        <v>#VALUE!</v>
      </c>
      <c r="J94" s="9" t="e">
        <f t="shared" ca="1" si="7"/>
        <v>#VALUE!</v>
      </c>
      <c r="K94" s="7" t="e">
        <f t="shared" ca="1" si="8"/>
        <v>#VALUE!</v>
      </c>
      <c r="L94" s="7" t="e">
        <f t="shared" ca="1" si="9"/>
        <v>#VALUE!</v>
      </c>
      <c r="M94" s="7" t="e">
        <f t="shared" ca="1" si="10"/>
        <v>#VALUE!</v>
      </c>
      <c r="N94" s="7" t="e">
        <f t="shared" ca="1" si="11"/>
        <v>#VALUE!</v>
      </c>
      <c r="O94" s="7" t="e">
        <f t="shared" ca="1" si="12"/>
        <v>#VALUE!</v>
      </c>
      <c r="P94" s="7" t="e">
        <f t="shared" ca="1" si="13"/>
        <v>#VALUE!</v>
      </c>
    </row>
    <row r="95" spans="1:16" x14ac:dyDescent="0.25">
      <c r="A95" s="19" t="str">
        <f ca="1">IF(OR(INDIRECT("'" &amp; Master!$F$8 &amp; Master!$F$6 &amp; "'!A" &amp; ROW(A95))="", INDIRECT("'" &amp; Master!$F$8 &amp; Master!$F$6 &amp; "'!A" &amp; ROW(A95))=0), "", INDIRECT("'" &amp; Master!$F$8 &amp; Master!$F$6 &amp; "'!A" &amp; ROW(A95)))</f>
        <v/>
      </c>
      <c r="B95" s="4" t="e">
        <f ca="1">SplineInterp(INDIRECT("A" &amp; ROW()),INDIRECT("'" &amp;Master!$F$10&amp; "'!$A$2:$A$50"),INDIRECT("'" &amp;Master!$F$10&amp; "'!$B$2:$B$50"))</f>
        <v>#VALUE!</v>
      </c>
      <c r="C95" s="4" t="e">
        <f ca="1">SplineInterp(A95,INDIRECT("'" &amp;Master!$F$10&amp; "'!$A$2:$A$50"),INDIRECT("'" &amp;Master!$F$10&amp; "'!$C$2:$C$50"))</f>
        <v>#VALUE!</v>
      </c>
      <c r="D95" s="4" t="e">
        <f ca="1">SplineInterp(A95,INDIRECT("'" &amp;Master!$F$10&amp; "'!$A$2:$A$50"),INDIRECT("'" &amp;Master!$F$10&amp; "'!$D$2:$D$50"))</f>
        <v>#VALUE!</v>
      </c>
      <c r="E95" s="4" t="e">
        <f ca="1">SplineInterp(A95,INDIRECT("'" &amp;Master!$F$10&amp; "'!$A$2:$A$50"),INDIRECT("'" &amp;Master!$F$10&amp; "'!$E$2:$E$50"))</f>
        <v>#VALUE!</v>
      </c>
      <c r="F95" s="4" t="e">
        <f ca="1">SplineInterp(A95,INDIRECT("'" &amp;Master!$F$10&amp; "'!$A$2:$A$50"),INDIRECT("'" &amp;Master!$F$10&amp; "'!$F$2:$F$50"))</f>
        <v>#VALUE!</v>
      </c>
      <c r="G95" s="4" t="e">
        <f ca="1">SplineInterp(A95,INDIRECT("'" &amp;Master!$F$10&amp; "'!$A$2:$A$50"),INDIRECT("'" &amp;Master!$F$10&amp; "'!$G$2:$G$50"))</f>
        <v>#VALUE!</v>
      </c>
      <c r="H95" s="4" t="e">
        <f ca="1">SplineInterp(A95,INDIRECT("'" &amp;Master!$F$10&amp; "'!$A$2:$A$50"),INDIRECT("'" &amp;Master!$F$10&amp; "'!$H$2:$H$50"))</f>
        <v>#VALUE!</v>
      </c>
      <c r="I95" s="4" t="e">
        <f ca="1">IF(OR(INDIRECT("'" &amp; Master!$F$8 &amp; Master!$F$6 &amp; "'!B" &amp; ROW(B95))="", INDIRECT("'" &amp; Master!$F$8 &amp; Master!$F$6 &amp; "'!B" &amp; ROW(B95))=0), "", INDIRECT("'" &amp; Master!$F$8 &amp; Master!$F$6 &amp; "'!B" &amp; ROW(B95)))</f>
        <v>#VALUE!</v>
      </c>
      <c r="J95" s="9" t="e">
        <f t="shared" ca="1" si="7"/>
        <v>#VALUE!</v>
      </c>
      <c r="K95" s="7" t="e">
        <f t="shared" ca="1" si="8"/>
        <v>#VALUE!</v>
      </c>
      <c r="L95" s="7" t="e">
        <f t="shared" ca="1" si="9"/>
        <v>#VALUE!</v>
      </c>
      <c r="M95" s="7" t="e">
        <f t="shared" ca="1" si="10"/>
        <v>#VALUE!</v>
      </c>
      <c r="N95" s="7" t="e">
        <f t="shared" ca="1" si="11"/>
        <v>#VALUE!</v>
      </c>
      <c r="O95" s="7" t="e">
        <f t="shared" ca="1" si="12"/>
        <v>#VALUE!</v>
      </c>
      <c r="P95" s="7" t="e">
        <f t="shared" ca="1" si="13"/>
        <v>#VALUE!</v>
      </c>
    </row>
    <row r="96" spans="1:16" x14ac:dyDescent="0.25">
      <c r="A96" s="19" t="str">
        <f ca="1">IF(OR(INDIRECT("'" &amp; Master!$F$8 &amp; Master!$F$6 &amp; "'!A" &amp; ROW(A96))="", INDIRECT("'" &amp; Master!$F$8 &amp; Master!$F$6 &amp; "'!A" &amp; ROW(A96))=0), "", INDIRECT("'" &amp; Master!$F$8 &amp; Master!$F$6 &amp; "'!A" &amp; ROW(A96)))</f>
        <v/>
      </c>
      <c r="B96" s="4" t="e">
        <f ca="1">SplineInterp(INDIRECT("A" &amp; ROW()),INDIRECT("'" &amp;Master!$F$10&amp; "'!$A$2:$A$50"),INDIRECT("'" &amp;Master!$F$10&amp; "'!$B$2:$B$50"))</f>
        <v>#VALUE!</v>
      </c>
      <c r="C96" s="4" t="e">
        <f ca="1">SplineInterp(A96,INDIRECT("'" &amp;Master!$F$10&amp; "'!$A$2:$A$50"),INDIRECT("'" &amp;Master!$F$10&amp; "'!$C$2:$C$50"))</f>
        <v>#VALUE!</v>
      </c>
      <c r="D96" s="4" t="e">
        <f ca="1">SplineInterp(A96,INDIRECT("'" &amp;Master!$F$10&amp; "'!$A$2:$A$50"),INDIRECT("'" &amp;Master!$F$10&amp; "'!$D$2:$D$50"))</f>
        <v>#VALUE!</v>
      </c>
      <c r="E96" s="4" t="e">
        <f ca="1">SplineInterp(A96,INDIRECT("'" &amp;Master!$F$10&amp; "'!$A$2:$A$50"),INDIRECT("'" &amp;Master!$F$10&amp; "'!$E$2:$E$50"))</f>
        <v>#VALUE!</v>
      </c>
      <c r="F96" s="4" t="e">
        <f ca="1">SplineInterp(A96,INDIRECT("'" &amp;Master!$F$10&amp; "'!$A$2:$A$50"),INDIRECT("'" &amp;Master!$F$10&amp; "'!$F$2:$F$50"))</f>
        <v>#VALUE!</v>
      </c>
      <c r="G96" s="4" t="e">
        <f ca="1">SplineInterp(A96,INDIRECT("'" &amp;Master!$F$10&amp; "'!$A$2:$A$50"),INDIRECT("'" &amp;Master!$F$10&amp; "'!$G$2:$G$50"))</f>
        <v>#VALUE!</v>
      </c>
      <c r="H96" s="4" t="e">
        <f ca="1">SplineInterp(A96,INDIRECT("'" &amp;Master!$F$10&amp; "'!$A$2:$A$50"),INDIRECT("'" &amp;Master!$F$10&amp; "'!$H$2:$H$50"))</f>
        <v>#VALUE!</v>
      </c>
      <c r="I96" s="4" t="e">
        <f ca="1">IF(OR(INDIRECT("'" &amp; Master!$F$8 &amp; Master!$F$6 &amp; "'!B" &amp; ROW(B96))="", INDIRECT("'" &amp; Master!$F$8 &amp; Master!$F$6 &amp; "'!B" &amp; ROW(B96))=0), "", INDIRECT("'" &amp; Master!$F$8 &amp; Master!$F$6 &amp; "'!B" &amp; ROW(B96)))</f>
        <v>#VALUE!</v>
      </c>
      <c r="J96" s="9" t="e">
        <f t="shared" ca="1" si="7"/>
        <v>#VALUE!</v>
      </c>
      <c r="K96" s="7" t="e">
        <f t="shared" ca="1" si="8"/>
        <v>#VALUE!</v>
      </c>
      <c r="L96" s="7" t="e">
        <f t="shared" ca="1" si="9"/>
        <v>#VALUE!</v>
      </c>
      <c r="M96" s="7" t="e">
        <f t="shared" ca="1" si="10"/>
        <v>#VALUE!</v>
      </c>
      <c r="N96" s="7" t="e">
        <f t="shared" ca="1" si="11"/>
        <v>#VALUE!</v>
      </c>
      <c r="O96" s="7" t="e">
        <f t="shared" ca="1" si="12"/>
        <v>#VALUE!</v>
      </c>
      <c r="P96" s="7" t="e">
        <f t="shared" ca="1" si="13"/>
        <v>#VALUE!</v>
      </c>
    </row>
    <row r="97" spans="1:16" x14ac:dyDescent="0.25">
      <c r="A97" s="19" t="str">
        <f ca="1">IF(OR(INDIRECT("'" &amp; Master!$F$8 &amp; Master!$F$6 &amp; "'!A" &amp; ROW(A97))="", INDIRECT("'" &amp; Master!$F$8 &amp; Master!$F$6 &amp; "'!A" &amp; ROW(A97))=0), "", INDIRECT("'" &amp; Master!$F$8 &amp; Master!$F$6 &amp; "'!A" &amp; ROW(A97)))</f>
        <v/>
      </c>
      <c r="B97" s="4" t="e">
        <f ca="1">SplineInterp(INDIRECT("A" &amp; ROW()),INDIRECT("'" &amp;Master!$F$10&amp; "'!$A$2:$A$50"),INDIRECT("'" &amp;Master!$F$10&amp; "'!$B$2:$B$50"))</f>
        <v>#VALUE!</v>
      </c>
      <c r="C97" s="4" t="e">
        <f ca="1">SplineInterp(A97,INDIRECT("'" &amp;Master!$F$10&amp; "'!$A$2:$A$50"),INDIRECT("'" &amp;Master!$F$10&amp; "'!$C$2:$C$50"))</f>
        <v>#VALUE!</v>
      </c>
      <c r="D97" s="4" t="e">
        <f ca="1">SplineInterp(A97,INDIRECT("'" &amp;Master!$F$10&amp; "'!$A$2:$A$50"),INDIRECT("'" &amp;Master!$F$10&amp; "'!$D$2:$D$50"))</f>
        <v>#VALUE!</v>
      </c>
      <c r="E97" s="4" t="e">
        <f ca="1">SplineInterp(A97,INDIRECT("'" &amp;Master!$F$10&amp; "'!$A$2:$A$50"),INDIRECT("'" &amp;Master!$F$10&amp; "'!$E$2:$E$50"))</f>
        <v>#VALUE!</v>
      </c>
      <c r="F97" s="4" t="e">
        <f ca="1">SplineInterp(A97,INDIRECT("'" &amp;Master!$F$10&amp; "'!$A$2:$A$50"),INDIRECT("'" &amp;Master!$F$10&amp; "'!$F$2:$F$50"))</f>
        <v>#VALUE!</v>
      </c>
      <c r="G97" s="4" t="e">
        <f ca="1">SplineInterp(A97,INDIRECT("'" &amp;Master!$F$10&amp; "'!$A$2:$A$50"),INDIRECT("'" &amp;Master!$F$10&amp; "'!$G$2:$G$50"))</f>
        <v>#VALUE!</v>
      </c>
      <c r="H97" s="4" t="e">
        <f ca="1">SplineInterp(A97,INDIRECT("'" &amp;Master!$F$10&amp; "'!$A$2:$A$50"),INDIRECT("'" &amp;Master!$F$10&amp; "'!$H$2:$H$50"))</f>
        <v>#VALUE!</v>
      </c>
      <c r="I97" s="4" t="e">
        <f ca="1">IF(OR(INDIRECT("'" &amp; Master!$F$8 &amp; Master!$F$6 &amp; "'!B" &amp; ROW(B97))="", INDIRECT("'" &amp; Master!$F$8 &amp; Master!$F$6 &amp; "'!B" &amp; ROW(B97))=0), "", INDIRECT("'" &amp; Master!$F$8 &amp; Master!$F$6 &amp; "'!B" &amp; ROW(B97)))</f>
        <v>#VALUE!</v>
      </c>
      <c r="J97" s="9" t="e">
        <f t="shared" ca="1" si="7"/>
        <v>#VALUE!</v>
      </c>
      <c r="K97" s="7" t="e">
        <f t="shared" ca="1" si="8"/>
        <v>#VALUE!</v>
      </c>
      <c r="L97" s="7" t="e">
        <f t="shared" ca="1" si="9"/>
        <v>#VALUE!</v>
      </c>
      <c r="M97" s="7" t="e">
        <f t="shared" ca="1" si="10"/>
        <v>#VALUE!</v>
      </c>
      <c r="N97" s="7" t="e">
        <f t="shared" ca="1" si="11"/>
        <v>#VALUE!</v>
      </c>
      <c r="O97" s="7" t="e">
        <f t="shared" ca="1" si="12"/>
        <v>#VALUE!</v>
      </c>
      <c r="P97" s="7" t="e">
        <f t="shared" ca="1" si="13"/>
        <v>#VALUE!</v>
      </c>
    </row>
    <row r="98" spans="1:16" x14ac:dyDescent="0.25">
      <c r="A98" s="19" t="str">
        <f ca="1">IF(OR(INDIRECT("'" &amp; Master!$F$8 &amp; Master!$F$6 &amp; "'!A" &amp; ROW(A98))="", INDIRECT("'" &amp; Master!$F$8 &amp; Master!$F$6 &amp; "'!A" &amp; ROW(A98))=0), "", INDIRECT("'" &amp; Master!$F$8 &amp; Master!$F$6 &amp; "'!A" &amp; ROW(A98)))</f>
        <v/>
      </c>
      <c r="B98" s="4" t="e">
        <f ca="1">SplineInterp(INDIRECT("A" &amp; ROW()),INDIRECT("'" &amp;Master!$F$10&amp; "'!$A$2:$A$50"),INDIRECT("'" &amp;Master!$F$10&amp; "'!$B$2:$B$50"))</f>
        <v>#VALUE!</v>
      </c>
      <c r="C98" s="4" t="e">
        <f ca="1">SplineInterp(A98,INDIRECT("'" &amp;Master!$F$10&amp; "'!$A$2:$A$50"),INDIRECT("'" &amp;Master!$F$10&amp; "'!$C$2:$C$50"))</f>
        <v>#VALUE!</v>
      </c>
      <c r="D98" s="4" t="e">
        <f ca="1">SplineInterp(A98,INDIRECT("'" &amp;Master!$F$10&amp; "'!$A$2:$A$50"),INDIRECT("'" &amp;Master!$F$10&amp; "'!$D$2:$D$50"))</f>
        <v>#VALUE!</v>
      </c>
      <c r="E98" s="4" t="e">
        <f ca="1">SplineInterp(A98,INDIRECT("'" &amp;Master!$F$10&amp; "'!$A$2:$A$50"),INDIRECT("'" &amp;Master!$F$10&amp; "'!$E$2:$E$50"))</f>
        <v>#VALUE!</v>
      </c>
      <c r="F98" s="4" t="e">
        <f ca="1">SplineInterp(A98,INDIRECT("'" &amp;Master!$F$10&amp; "'!$A$2:$A$50"),INDIRECT("'" &amp;Master!$F$10&amp; "'!$F$2:$F$50"))</f>
        <v>#VALUE!</v>
      </c>
      <c r="G98" s="4" t="e">
        <f ca="1">SplineInterp(A98,INDIRECT("'" &amp;Master!$F$10&amp; "'!$A$2:$A$50"),INDIRECT("'" &amp;Master!$F$10&amp; "'!$G$2:$G$50"))</f>
        <v>#VALUE!</v>
      </c>
      <c r="H98" s="4" t="e">
        <f ca="1">SplineInterp(A98,INDIRECT("'" &amp;Master!$F$10&amp; "'!$A$2:$A$50"),INDIRECT("'" &amp;Master!$F$10&amp; "'!$H$2:$H$50"))</f>
        <v>#VALUE!</v>
      </c>
      <c r="I98" s="4" t="e">
        <f ca="1">IF(OR(INDIRECT("'" &amp; Master!$F$8 &amp; Master!$F$6 &amp; "'!B" &amp; ROW(B98))="", INDIRECT("'" &amp; Master!$F$8 &amp; Master!$F$6 &amp; "'!B" &amp; ROW(B98))=0), "", INDIRECT("'" &amp; Master!$F$8 &amp; Master!$F$6 &amp; "'!B" &amp; ROW(B98)))</f>
        <v>#VALUE!</v>
      </c>
      <c r="J98" s="9" t="e">
        <f t="shared" ca="1" si="7"/>
        <v>#VALUE!</v>
      </c>
      <c r="K98" s="7" t="e">
        <f t="shared" ca="1" si="8"/>
        <v>#VALUE!</v>
      </c>
      <c r="L98" s="7" t="e">
        <f t="shared" ca="1" si="9"/>
        <v>#VALUE!</v>
      </c>
      <c r="M98" s="7" t="e">
        <f t="shared" ca="1" si="10"/>
        <v>#VALUE!</v>
      </c>
      <c r="N98" s="7" t="e">
        <f t="shared" ca="1" si="11"/>
        <v>#VALUE!</v>
      </c>
      <c r="O98" s="7" t="e">
        <f t="shared" ca="1" si="12"/>
        <v>#VALUE!</v>
      </c>
      <c r="P98" s="7" t="e">
        <f t="shared" ca="1" si="13"/>
        <v>#VALUE!</v>
      </c>
    </row>
    <row r="99" spans="1:16" x14ac:dyDescent="0.25">
      <c r="A99" s="19" t="str">
        <f ca="1">IF(OR(INDIRECT("'" &amp; Master!$F$8 &amp; Master!$F$6 &amp; "'!A" &amp; ROW(A99))="", INDIRECT("'" &amp; Master!$F$8 &amp; Master!$F$6 &amp; "'!A" &amp; ROW(A99))=0), "", INDIRECT("'" &amp; Master!$F$8 &amp; Master!$F$6 &amp; "'!A" &amp; ROW(A99)))</f>
        <v/>
      </c>
      <c r="B99" s="4" t="e">
        <f ca="1">SplineInterp(INDIRECT("A" &amp; ROW()),INDIRECT("'" &amp;Master!$F$10&amp; "'!$A$2:$A$50"),INDIRECT("'" &amp;Master!$F$10&amp; "'!$B$2:$B$50"))</f>
        <v>#VALUE!</v>
      </c>
      <c r="C99" s="4" t="e">
        <f ca="1">SplineInterp(A99,INDIRECT("'" &amp;Master!$F$10&amp; "'!$A$2:$A$50"),INDIRECT("'" &amp;Master!$F$10&amp; "'!$C$2:$C$50"))</f>
        <v>#VALUE!</v>
      </c>
      <c r="D99" s="4" t="e">
        <f ca="1">SplineInterp(A99,INDIRECT("'" &amp;Master!$F$10&amp; "'!$A$2:$A$50"),INDIRECT("'" &amp;Master!$F$10&amp; "'!$D$2:$D$50"))</f>
        <v>#VALUE!</v>
      </c>
      <c r="E99" s="4" t="e">
        <f ca="1">SplineInterp(A99,INDIRECT("'" &amp;Master!$F$10&amp; "'!$A$2:$A$50"),INDIRECT("'" &amp;Master!$F$10&amp; "'!$E$2:$E$50"))</f>
        <v>#VALUE!</v>
      </c>
      <c r="F99" s="4" t="e">
        <f ca="1">SplineInterp(A99,INDIRECT("'" &amp;Master!$F$10&amp; "'!$A$2:$A$50"),INDIRECT("'" &amp;Master!$F$10&amp; "'!$F$2:$F$50"))</f>
        <v>#VALUE!</v>
      </c>
      <c r="G99" s="4" t="e">
        <f ca="1">SplineInterp(A99,INDIRECT("'" &amp;Master!$F$10&amp; "'!$A$2:$A$50"),INDIRECT("'" &amp;Master!$F$10&amp; "'!$G$2:$G$50"))</f>
        <v>#VALUE!</v>
      </c>
      <c r="H99" s="4" t="e">
        <f ca="1">SplineInterp(A99,INDIRECT("'" &amp;Master!$F$10&amp; "'!$A$2:$A$50"),INDIRECT("'" &amp;Master!$F$10&amp; "'!$H$2:$H$50"))</f>
        <v>#VALUE!</v>
      </c>
      <c r="I99" s="4" t="e">
        <f ca="1">IF(OR(INDIRECT("'" &amp; Master!$F$8 &amp; Master!$F$6 &amp; "'!B" &amp; ROW(B99))="", INDIRECT("'" &amp; Master!$F$8 &amp; Master!$F$6 &amp; "'!B" &amp; ROW(B99))=0), "", INDIRECT("'" &amp; Master!$F$8 &amp; Master!$F$6 &amp; "'!B" &amp; ROW(B99)))</f>
        <v>#VALUE!</v>
      </c>
      <c r="J99" s="9" t="e">
        <f t="shared" ca="1" si="7"/>
        <v>#VALUE!</v>
      </c>
      <c r="K99" s="7" t="e">
        <f t="shared" ca="1" si="8"/>
        <v>#VALUE!</v>
      </c>
      <c r="L99" s="7" t="e">
        <f t="shared" ca="1" si="9"/>
        <v>#VALUE!</v>
      </c>
      <c r="M99" s="7" t="e">
        <f t="shared" ca="1" si="10"/>
        <v>#VALUE!</v>
      </c>
      <c r="N99" s="7" t="e">
        <f t="shared" ca="1" si="11"/>
        <v>#VALUE!</v>
      </c>
      <c r="O99" s="7" t="e">
        <f t="shared" ca="1" si="12"/>
        <v>#VALUE!</v>
      </c>
      <c r="P99" s="7" t="e">
        <f t="shared" ca="1" si="13"/>
        <v>#VALUE!</v>
      </c>
    </row>
    <row r="100" spans="1:16" x14ac:dyDescent="0.25">
      <c r="A100" s="19" t="str">
        <f ca="1">IF(OR(INDIRECT("'" &amp; Master!$F$8 &amp; Master!$F$6 &amp; "'!A" &amp; ROW(A100))="", INDIRECT("'" &amp; Master!$F$8 &amp; Master!$F$6 &amp; "'!A" &amp; ROW(A100))=0), "", INDIRECT("'" &amp; Master!$F$8 &amp; Master!$F$6 &amp; "'!A" &amp; ROW(A100)))</f>
        <v/>
      </c>
      <c r="B100" s="4" t="e">
        <f ca="1">SplineInterp(INDIRECT("A" &amp; ROW()),INDIRECT("'" &amp;Master!$F$10&amp; "'!$A$2:$A$50"),INDIRECT("'" &amp;Master!$F$10&amp; "'!$B$2:$B$50"))</f>
        <v>#VALUE!</v>
      </c>
      <c r="C100" s="4" t="e">
        <f ca="1">SplineInterp(A100,INDIRECT("'" &amp;Master!$F$10&amp; "'!$A$2:$A$50"),INDIRECT("'" &amp;Master!$F$10&amp; "'!$C$2:$C$50"))</f>
        <v>#VALUE!</v>
      </c>
      <c r="D100" s="4" t="e">
        <f ca="1">SplineInterp(A100,INDIRECT("'" &amp;Master!$F$10&amp; "'!$A$2:$A$50"),INDIRECT("'" &amp;Master!$F$10&amp; "'!$D$2:$D$50"))</f>
        <v>#VALUE!</v>
      </c>
      <c r="E100" s="4" t="e">
        <f ca="1">SplineInterp(A100,INDIRECT("'" &amp;Master!$F$10&amp; "'!$A$2:$A$50"),INDIRECT("'" &amp;Master!$F$10&amp; "'!$E$2:$E$50"))</f>
        <v>#VALUE!</v>
      </c>
      <c r="F100" s="4" t="e">
        <f ca="1">SplineInterp(A100,INDIRECT("'" &amp;Master!$F$10&amp; "'!$A$2:$A$50"),INDIRECT("'" &amp;Master!$F$10&amp; "'!$F$2:$F$50"))</f>
        <v>#VALUE!</v>
      </c>
      <c r="G100" s="4" t="e">
        <f ca="1">SplineInterp(A100,INDIRECT("'" &amp;Master!$F$10&amp; "'!$A$2:$A$50"),INDIRECT("'" &amp;Master!$F$10&amp; "'!$G$2:$G$50"))</f>
        <v>#VALUE!</v>
      </c>
      <c r="H100" s="4" t="e">
        <f ca="1">SplineInterp(A100,INDIRECT("'" &amp;Master!$F$10&amp; "'!$A$2:$A$50"),INDIRECT("'" &amp;Master!$F$10&amp; "'!$H$2:$H$50"))</f>
        <v>#VALUE!</v>
      </c>
      <c r="I100" s="4" t="e">
        <f ca="1">IF(OR(INDIRECT("'" &amp; Master!$F$8 &amp; Master!$F$6 &amp; "'!B" &amp; ROW(B100))="", INDIRECT("'" &amp; Master!$F$8 &amp; Master!$F$6 &amp; "'!B" &amp; ROW(B100))=0), "", INDIRECT("'" &amp; Master!$F$8 &amp; Master!$F$6 &amp; "'!B" &amp; ROW(B100)))</f>
        <v>#VALUE!</v>
      </c>
      <c r="J100" s="9" t="e">
        <f t="shared" ca="1" si="7"/>
        <v>#VALUE!</v>
      </c>
      <c r="K100" s="7" t="e">
        <f t="shared" ca="1" si="8"/>
        <v>#VALUE!</v>
      </c>
      <c r="L100" s="7" t="e">
        <f t="shared" ca="1" si="9"/>
        <v>#VALUE!</v>
      </c>
      <c r="M100" s="7" t="e">
        <f t="shared" ca="1" si="10"/>
        <v>#VALUE!</v>
      </c>
      <c r="N100" s="7" t="e">
        <f t="shared" ca="1" si="11"/>
        <v>#VALUE!</v>
      </c>
      <c r="O100" s="7" t="e">
        <f t="shared" ca="1" si="12"/>
        <v>#VALUE!</v>
      </c>
      <c r="P100" s="7" t="e">
        <f t="shared" ca="1" si="13"/>
        <v>#VALUE!</v>
      </c>
    </row>
    <row r="101" spans="1:16" x14ac:dyDescent="0.25">
      <c r="A101" s="19" t="str">
        <f ca="1">IF(OR(INDIRECT("'" &amp; Master!$F$8 &amp; Master!$F$6 &amp; "'!A" &amp; ROW(A101))="", INDIRECT("'" &amp; Master!$F$8 &amp; Master!$F$6 &amp; "'!A" &amp; ROW(A101))=0), "", INDIRECT("'" &amp; Master!$F$8 &amp; Master!$F$6 &amp; "'!A" &amp; ROW(A101)))</f>
        <v/>
      </c>
      <c r="B101" s="4" t="e">
        <f ca="1">SplineInterp(INDIRECT("A" &amp; ROW()),INDIRECT("'" &amp;Master!$F$10&amp; "'!$A$2:$A$50"),INDIRECT("'" &amp;Master!$F$10&amp; "'!$B$2:$B$50"))</f>
        <v>#VALUE!</v>
      </c>
      <c r="C101" s="4" t="e">
        <f ca="1">SplineInterp(A101,INDIRECT("'" &amp;Master!$F$10&amp; "'!$A$2:$A$50"),INDIRECT("'" &amp;Master!$F$10&amp; "'!$C$2:$C$50"))</f>
        <v>#VALUE!</v>
      </c>
      <c r="D101" s="4" t="e">
        <f ca="1">SplineInterp(A101,INDIRECT("'" &amp;Master!$F$10&amp; "'!$A$2:$A$50"),INDIRECT("'" &amp;Master!$F$10&amp; "'!$D$2:$D$50"))</f>
        <v>#VALUE!</v>
      </c>
      <c r="E101" s="4" t="e">
        <f ca="1">SplineInterp(A101,INDIRECT("'" &amp;Master!$F$10&amp; "'!$A$2:$A$50"),INDIRECT("'" &amp;Master!$F$10&amp; "'!$E$2:$E$50"))</f>
        <v>#VALUE!</v>
      </c>
      <c r="F101" s="4" t="e">
        <f ca="1">SplineInterp(A101,INDIRECT("'" &amp;Master!$F$10&amp; "'!$A$2:$A$50"),INDIRECT("'" &amp;Master!$F$10&amp; "'!$F$2:$F$50"))</f>
        <v>#VALUE!</v>
      </c>
      <c r="G101" s="4" t="e">
        <f ca="1">SplineInterp(A101,INDIRECT("'" &amp;Master!$F$10&amp; "'!$A$2:$A$50"),INDIRECT("'" &amp;Master!$F$10&amp; "'!$G$2:$G$50"))</f>
        <v>#VALUE!</v>
      </c>
      <c r="H101" s="4" t="e">
        <f ca="1">SplineInterp(A101,INDIRECT("'" &amp;Master!$F$10&amp; "'!$A$2:$A$50"),INDIRECT("'" &amp;Master!$F$10&amp; "'!$H$2:$H$50"))</f>
        <v>#VALUE!</v>
      </c>
      <c r="I101" s="4" t="e">
        <f ca="1">IF(OR(INDIRECT("'" &amp; Master!$F$8 &amp; Master!$F$6 &amp; "'!B" &amp; ROW(B101))="", INDIRECT("'" &amp; Master!$F$8 &amp; Master!$F$6 &amp; "'!B" &amp; ROW(B101))=0), "", INDIRECT("'" &amp; Master!$F$8 &amp; Master!$F$6 &amp; "'!B" &amp; ROW(B101)))</f>
        <v>#VALUE!</v>
      </c>
      <c r="J101" s="9" t="e">
        <f t="shared" ca="1" si="7"/>
        <v>#VALUE!</v>
      </c>
      <c r="K101" s="7" t="e">
        <f t="shared" ca="1" si="8"/>
        <v>#VALUE!</v>
      </c>
      <c r="L101" s="7" t="e">
        <f t="shared" ca="1" si="9"/>
        <v>#VALUE!</v>
      </c>
      <c r="M101" s="7" t="e">
        <f t="shared" ca="1" si="10"/>
        <v>#VALUE!</v>
      </c>
      <c r="N101" s="7" t="e">
        <f t="shared" ca="1" si="11"/>
        <v>#VALUE!</v>
      </c>
      <c r="O101" s="7" t="e">
        <f t="shared" ca="1" si="12"/>
        <v>#VALUE!</v>
      </c>
      <c r="P101" s="7" t="e">
        <f t="shared" ca="1" si="13"/>
        <v>#VALUE!</v>
      </c>
    </row>
    <row r="102" spans="1:16" x14ac:dyDescent="0.25">
      <c r="A102" s="19" t="str">
        <f ca="1">IF(OR(INDIRECT("'" &amp; Master!$F$8 &amp; Master!$F$6 &amp; "'!A" &amp; ROW(A102))="", INDIRECT("'" &amp; Master!$F$8 &amp; Master!$F$6 &amp; "'!A" &amp; ROW(A102))=0), "", INDIRECT("'" &amp; Master!$F$8 &amp; Master!$F$6 &amp; "'!A" &amp; ROW(A102)))</f>
        <v/>
      </c>
      <c r="B102" s="4" t="e">
        <f ca="1">SplineInterp(INDIRECT("A" &amp; ROW()),INDIRECT("'" &amp;Master!$F$10&amp; "'!$A$2:$A$50"),INDIRECT("'" &amp;Master!$F$10&amp; "'!$B$2:$B$50"))</f>
        <v>#VALUE!</v>
      </c>
      <c r="C102" s="4" t="e">
        <f ca="1">SplineInterp(A102,INDIRECT("'" &amp;Master!$F$10&amp; "'!$A$2:$A$50"),INDIRECT("'" &amp;Master!$F$10&amp; "'!$C$2:$C$50"))</f>
        <v>#VALUE!</v>
      </c>
      <c r="D102" s="4" t="e">
        <f ca="1">SplineInterp(A102,INDIRECT("'" &amp;Master!$F$10&amp; "'!$A$2:$A$50"),INDIRECT("'" &amp;Master!$F$10&amp; "'!$D$2:$D$50"))</f>
        <v>#VALUE!</v>
      </c>
      <c r="E102" s="4" t="e">
        <f ca="1">SplineInterp(A102,INDIRECT("'" &amp;Master!$F$10&amp; "'!$A$2:$A$50"),INDIRECT("'" &amp;Master!$F$10&amp; "'!$E$2:$E$50"))</f>
        <v>#VALUE!</v>
      </c>
      <c r="F102" s="4" t="e">
        <f ca="1">SplineInterp(A102,INDIRECT("'" &amp;Master!$F$10&amp; "'!$A$2:$A$50"),INDIRECT("'" &amp;Master!$F$10&amp; "'!$F$2:$F$50"))</f>
        <v>#VALUE!</v>
      </c>
      <c r="G102" s="4" t="e">
        <f ca="1">SplineInterp(A102,INDIRECT("'" &amp;Master!$F$10&amp; "'!$A$2:$A$50"),INDIRECT("'" &amp;Master!$F$10&amp; "'!$G$2:$G$50"))</f>
        <v>#VALUE!</v>
      </c>
      <c r="H102" s="4" t="e">
        <f ca="1">SplineInterp(A102,INDIRECT("'" &amp;Master!$F$10&amp; "'!$A$2:$A$50"),INDIRECT("'" &amp;Master!$F$10&amp; "'!$H$2:$H$50"))</f>
        <v>#VALUE!</v>
      </c>
      <c r="I102" s="4" t="e">
        <f ca="1">IF(OR(INDIRECT("'" &amp; Master!$F$8 &amp; Master!$F$6 &amp; "'!B" &amp; ROW(B102))="", INDIRECT("'" &amp; Master!$F$8 &amp; Master!$F$6 &amp; "'!B" &amp; ROW(B102))=0), "", INDIRECT("'" &amp; Master!$F$8 &amp; Master!$F$6 &amp; "'!B" &amp; ROW(B102)))</f>
        <v>#VALUE!</v>
      </c>
      <c r="J102" s="9" t="e">
        <f t="shared" ca="1" si="7"/>
        <v>#VALUE!</v>
      </c>
      <c r="K102" s="7" t="e">
        <f t="shared" ca="1" si="8"/>
        <v>#VALUE!</v>
      </c>
      <c r="L102" s="7" t="e">
        <f t="shared" ca="1" si="9"/>
        <v>#VALUE!</v>
      </c>
      <c r="M102" s="7" t="e">
        <f t="shared" ca="1" si="10"/>
        <v>#VALUE!</v>
      </c>
      <c r="N102" s="7" t="e">
        <f t="shared" ca="1" si="11"/>
        <v>#VALUE!</v>
      </c>
      <c r="O102" s="7" t="e">
        <f t="shared" ca="1" si="12"/>
        <v>#VALUE!</v>
      </c>
      <c r="P102" s="7" t="e">
        <f t="shared" ca="1" si="13"/>
        <v>#VALUE!</v>
      </c>
    </row>
    <row r="103" spans="1:16" x14ac:dyDescent="0.25">
      <c r="A103" s="19" t="str">
        <f ca="1">IF(OR(INDIRECT("'" &amp; Master!$F$8 &amp; Master!$F$6 &amp; "'!A" &amp; ROW(A103))="", INDIRECT("'" &amp; Master!$F$8 &amp; Master!$F$6 &amp; "'!A" &amp; ROW(A103))=0), "", INDIRECT("'" &amp; Master!$F$8 &amp; Master!$F$6 &amp; "'!A" &amp; ROW(A103)))</f>
        <v/>
      </c>
      <c r="B103" s="4" t="e">
        <f ca="1">SplineInterp(INDIRECT("A" &amp; ROW()),INDIRECT("'" &amp;Master!$F$10&amp; "'!$A$2:$A$50"),INDIRECT("'" &amp;Master!$F$10&amp; "'!$B$2:$B$50"))</f>
        <v>#VALUE!</v>
      </c>
      <c r="C103" s="4" t="e">
        <f ca="1">SplineInterp(A103,INDIRECT("'" &amp;Master!$F$10&amp; "'!$A$2:$A$50"),INDIRECT("'" &amp;Master!$F$10&amp; "'!$C$2:$C$50"))</f>
        <v>#VALUE!</v>
      </c>
      <c r="D103" s="4" t="e">
        <f ca="1">SplineInterp(A103,INDIRECT("'" &amp;Master!$F$10&amp; "'!$A$2:$A$50"),INDIRECT("'" &amp;Master!$F$10&amp; "'!$D$2:$D$50"))</f>
        <v>#VALUE!</v>
      </c>
      <c r="E103" s="4" t="e">
        <f ca="1">SplineInterp(A103,INDIRECT("'" &amp;Master!$F$10&amp; "'!$A$2:$A$50"),INDIRECT("'" &amp;Master!$F$10&amp; "'!$E$2:$E$50"))</f>
        <v>#VALUE!</v>
      </c>
      <c r="F103" s="4" t="e">
        <f ca="1">SplineInterp(A103,INDIRECT("'" &amp;Master!$F$10&amp; "'!$A$2:$A$50"),INDIRECT("'" &amp;Master!$F$10&amp; "'!$F$2:$F$50"))</f>
        <v>#VALUE!</v>
      </c>
      <c r="G103" s="4" t="e">
        <f ca="1">SplineInterp(A103,INDIRECT("'" &amp;Master!$F$10&amp; "'!$A$2:$A$50"),INDIRECT("'" &amp;Master!$F$10&amp; "'!$G$2:$G$50"))</f>
        <v>#VALUE!</v>
      </c>
      <c r="H103" s="4" t="e">
        <f ca="1">SplineInterp(A103,INDIRECT("'" &amp;Master!$F$10&amp; "'!$A$2:$A$50"),INDIRECT("'" &amp;Master!$F$10&amp; "'!$H$2:$H$50"))</f>
        <v>#VALUE!</v>
      </c>
      <c r="I103" s="4" t="e">
        <f ca="1">IF(OR(INDIRECT("'" &amp; Master!$F$8 &amp; Master!$F$6 &amp; "'!B" &amp; ROW(B103))="", INDIRECT("'" &amp; Master!$F$8 &amp; Master!$F$6 &amp; "'!B" &amp; ROW(B103))=0), "", INDIRECT("'" &amp; Master!$F$8 &amp; Master!$F$6 &amp; "'!B" &amp; ROW(B103)))</f>
        <v>#VALUE!</v>
      </c>
      <c r="J103" s="9" t="e">
        <f t="shared" ca="1" si="7"/>
        <v>#VALUE!</v>
      </c>
      <c r="K103" s="7" t="e">
        <f t="shared" ca="1" si="8"/>
        <v>#VALUE!</v>
      </c>
      <c r="L103" s="7" t="e">
        <f t="shared" ca="1" si="9"/>
        <v>#VALUE!</v>
      </c>
      <c r="M103" s="7" t="e">
        <f t="shared" ca="1" si="10"/>
        <v>#VALUE!</v>
      </c>
      <c r="N103" s="7" t="e">
        <f t="shared" ca="1" si="11"/>
        <v>#VALUE!</v>
      </c>
      <c r="O103" s="7" t="e">
        <f t="shared" ca="1" si="12"/>
        <v>#VALUE!</v>
      </c>
      <c r="P103" s="7" t="e">
        <f t="shared" ca="1" si="13"/>
        <v>#VALUE!</v>
      </c>
    </row>
    <row r="104" spans="1:16" x14ac:dyDescent="0.25">
      <c r="A104" s="19" t="str">
        <f ca="1">IF(OR(INDIRECT("'" &amp; Master!$F$8 &amp; Master!$F$6 &amp; "'!A" &amp; ROW(A104))="", INDIRECT("'" &amp; Master!$F$8 &amp; Master!$F$6 &amp; "'!A" &amp; ROW(A104))=0), "", INDIRECT("'" &amp; Master!$F$8 &amp; Master!$F$6 &amp; "'!A" &amp; ROW(A104)))</f>
        <v/>
      </c>
      <c r="B104" s="4" t="e">
        <f ca="1">SplineInterp(INDIRECT("A" &amp; ROW()),INDIRECT("'" &amp;Master!$F$10&amp; "'!$A$2:$A$50"),INDIRECT("'" &amp;Master!$F$10&amp; "'!$B$2:$B$50"))</f>
        <v>#VALUE!</v>
      </c>
      <c r="C104" s="4" t="e">
        <f ca="1">SplineInterp(A104,INDIRECT("'" &amp;Master!$F$10&amp; "'!$A$2:$A$50"),INDIRECT("'" &amp;Master!$F$10&amp; "'!$C$2:$C$50"))</f>
        <v>#VALUE!</v>
      </c>
      <c r="D104" s="4" t="e">
        <f ca="1">SplineInterp(A104,INDIRECT("'" &amp;Master!$F$10&amp; "'!$A$2:$A$50"),INDIRECT("'" &amp;Master!$F$10&amp; "'!$D$2:$D$50"))</f>
        <v>#VALUE!</v>
      </c>
      <c r="E104" s="4" t="e">
        <f ca="1">SplineInterp(A104,INDIRECT("'" &amp;Master!$F$10&amp; "'!$A$2:$A$50"),INDIRECT("'" &amp;Master!$F$10&amp; "'!$E$2:$E$50"))</f>
        <v>#VALUE!</v>
      </c>
      <c r="F104" s="4" t="e">
        <f ca="1">SplineInterp(A104,INDIRECT("'" &amp;Master!$F$10&amp; "'!$A$2:$A$50"),INDIRECT("'" &amp;Master!$F$10&amp; "'!$F$2:$F$50"))</f>
        <v>#VALUE!</v>
      </c>
      <c r="G104" s="4" t="e">
        <f ca="1">SplineInterp(A104,INDIRECT("'" &amp;Master!$F$10&amp; "'!$A$2:$A$50"),INDIRECT("'" &amp;Master!$F$10&amp; "'!$G$2:$G$50"))</f>
        <v>#VALUE!</v>
      </c>
      <c r="H104" s="4" t="e">
        <f ca="1">SplineInterp(A104,INDIRECT("'" &amp;Master!$F$10&amp; "'!$A$2:$A$50"),INDIRECT("'" &amp;Master!$F$10&amp; "'!$H$2:$H$50"))</f>
        <v>#VALUE!</v>
      </c>
      <c r="I104" s="4" t="e">
        <f ca="1">IF(OR(INDIRECT("'" &amp; Master!$F$8 &amp; Master!$F$6 &amp; "'!B" &amp; ROW(B104))="", INDIRECT("'" &amp; Master!$F$8 &amp; Master!$F$6 &amp; "'!B" &amp; ROW(B104))=0), "", INDIRECT("'" &amp; Master!$F$8 &amp; Master!$F$6 &amp; "'!B" &amp; ROW(B104)))</f>
        <v>#VALUE!</v>
      </c>
      <c r="J104" s="9" t="e">
        <f t="shared" ca="1" si="7"/>
        <v>#VALUE!</v>
      </c>
      <c r="K104" s="7" t="e">
        <f t="shared" ca="1" si="8"/>
        <v>#VALUE!</v>
      </c>
      <c r="L104" s="7" t="e">
        <f t="shared" ca="1" si="9"/>
        <v>#VALUE!</v>
      </c>
      <c r="M104" s="7" t="e">
        <f t="shared" ca="1" si="10"/>
        <v>#VALUE!</v>
      </c>
      <c r="N104" s="7" t="e">
        <f t="shared" ca="1" si="11"/>
        <v>#VALUE!</v>
      </c>
      <c r="O104" s="7" t="e">
        <f t="shared" ca="1" si="12"/>
        <v>#VALUE!</v>
      </c>
      <c r="P104" s="7" t="e">
        <f t="shared" ca="1" si="13"/>
        <v>#VALUE!</v>
      </c>
    </row>
    <row r="105" spans="1:16" x14ac:dyDescent="0.25">
      <c r="A105" s="19" t="str">
        <f ca="1">IF(OR(INDIRECT("'" &amp; Master!$F$8 &amp; Master!$F$6 &amp; "'!A" &amp; ROW(A105))="", INDIRECT("'" &amp; Master!$F$8 &amp; Master!$F$6 &amp; "'!A" &amp; ROW(A105))=0), "", INDIRECT("'" &amp; Master!$F$8 &amp; Master!$F$6 &amp; "'!A" &amp; ROW(A105)))</f>
        <v/>
      </c>
      <c r="B105" s="4" t="e">
        <f ca="1">SplineInterp(INDIRECT("A" &amp; ROW()),INDIRECT("'" &amp;Master!$F$10&amp; "'!$A$2:$A$50"),INDIRECT("'" &amp;Master!$F$10&amp; "'!$B$2:$B$50"))</f>
        <v>#VALUE!</v>
      </c>
      <c r="C105" s="4" t="e">
        <f ca="1">SplineInterp(A105,INDIRECT("'" &amp;Master!$F$10&amp; "'!$A$2:$A$50"),INDIRECT("'" &amp;Master!$F$10&amp; "'!$C$2:$C$50"))</f>
        <v>#VALUE!</v>
      </c>
      <c r="D105" s="4" t="e">
        <f ca="1">SplineInterp(A105,INDIRECT("'" &amp;Master!$F$10&amp; "'!$A$2:$A$50"),INDIRECT("'" &amp;Master!$F$10&amp; "'!$D$2:$D$50"))</f>
        <v>#VALUE!</v>
      </c>
      <c r="E105" s="4" t="e">
        <f ca="1">SplineInterp(A105,INDIRECT("'" &amp;Master!$F$10&amp; "'!$A$2:$A$50"),INDIRECT("'" &amp;Master!$F$10&amp; "'!$E$2:$E$50"))</f>
        <v>#VALUE!</v>
      </c>
      <c r="F105" s="4" t="e">
        <f ca="1">SplineInterp(A105,INDIRECT("'" &amp;Master!$F$10&amp; "'!$A$2:$A$50"),INDIRECT("'" &amp;Master!$F$10&amp; "'!$F$2:$F$50"))</f>
        <v>#VALUE!</v>
      </c>
      <c r="G105" s="4" t="e">
        <f ca="1">SplineInterp(A105,INDIRECT("'" &amp;Master!$F$10&amp; "'!$A$2:$A$50"),INDIRECT("'" &amp;Master!$F$10&amp; "'!$G$2:$G$50"))</f>
        <v>#VALUE!</v>
      </c>
      <c r="H105" s="4" t="e">
        <f ca="1">SplineInterp(A105,INDIRECT("'" &amp;Master!$F$10&amp; "'!$A$2:$A$50"),INDIRECT("'" &amp;Master!$F$10&amp; "'!$H$2:$H$50"))</f>
        <v>#VALUE!</v>
      </c>
      <c r="I105" s="4" t="e">
        <f ca="1">IF(OR(INDIRECT("'" &amp; Master!$F$8 &amp; Master!$F$6 &amp; "'!B" &amp; ROW(B105))="", INDIRECT("'" &amp; Master!$F$8 &amp; Master!$F$6 &amp; "'!B" &amp; ROW(B105))=0), "", INDIRECT("'" &amp; Master!$F$8 &amp; Master!$F$6 &amp; "'!B" &amp; ROW(B105)))</f>
        <v>#VALUE!</v>
      </c>
      <c r="J105" s="9" t="e">
        <f t="shared" ca="1" si="7"/>
        <v>#VALUE!</v>
      </c>
      <c r="K105" s="7" t="e">
        <f t="shared" ca="1" si="8"/>
        <v>#VALUE!</v>
      </c>
      <c r="L105" s="7" t="e">
        <f t="shared" ca="1" si="9"/>
        <v>#VALUE!</v>
      </c>
      <c r="M105" s="7" t="e">
        <f t="shared" ca="1" si="10"/>
        <v>#VALUE!</v>
      </c>
      <c r="N105" s="7" t="e">
        <f t="shared" ca="1" si="11"/>
        <v>#VALUE!</v>
      </c>
      <c r="O105" s="7" t="e">
        <f t="shared" ca="1" si="12"/>
        <v>#VALUE!</v>
      </c>
      <c r="P105" s="7" t="e">
        <f t="shared" ca="1" si="13"/>
        <v>#VALUE!</v>
      </c>
    </row>
    <row r="106" spans="1:16" x14ac:dyDescent="0.25">
      <c r="A106" s="19" t="str">
        <f ca="1">IF(OR(INDIRECT("'" &amp; Master!$F$8 &amp; Master!$F$6 &amp; "'!A" &amp; ROW(A106))="", INDIRECT("'" &amp; Master!$F$8 &amp; Master!$F$6 &amp; "'!A" &amp; ROW(A106))=0), "", INDIRECT("'" &amp; Master!$F$8 &amp; Master!$F$6 &amp; "'!A" &amp; ROW(A106)))</f>
        <v/>
      </c>
      <c r="B106" s="4" t="e">
        <f ca="1">SplineInterp(INDIRECT("A" &amp; ROW()),INDIRECT("'" &amp;Master!$F$10&amp; "'!$A$2:$A$50"),INDIRECT("'" &amp;Master!$F$10&amp; "'!$B$2:$B$50"))</f>
        <v>#VALUE!</v>
      </c>
      <c r="C106" s="4" t="e">
        <f ca="1">SplineInterp(A106,INDIRECT("'" &amp;Master!$F$10&amp; "'!$A$2:$A$50"),INDIRECT("'" &amp;Master!$F$10&amp; "'!$C$2:$C$50"))</f>
        <v>#VALUE!</v>
      </c>
      <c r="D106" s="4" t="e">
        <f ca="1">SplineInterp(A106,INDIRECT("'" &amp;Master!$F$10&amp; "'!$A$2:$A$50"),INDIRECT("'" &amp;Master!$F$10&amp; "'!$D$2:$D$50"))</f>
        <v>#VALUE!</v>
      </c>
      <c r="E106" s="4" t="e">
        <f ca="1">SplineInterp(A106,INDIRECT("'" &amp;Master!$F$10&amp; "'!$A$2:$A$50"),INDIRECT("'" &amp;Master!$F$10&amp; "'!$E$2:$E$50"))</f>
        <v>#VALUE!</v>
      </c>
      <c r="F106" s="4" t="e">
        <f ca="1">SplineInterp(A106,INDIRECT("'" &amp;Master!$F$10&amp; "'!$A$2:$A$50"),INDIRECT("'" &amp;Master!$F$10&amp; "'!$F$2:$F$50"))</f>
        <v>#VALUE!</v>
      </c>
      <c r="G106" s="4" t="e">
        <f ca="1">SplineInterp(A106,INDIRECT("'" &amp;Master!$F$10&amp; "'!$A$2:$A$50"),INDIRECT("'" &amp;Master!$F$10&amp; "'!$G$2:$G$50"))</f>
        <v>#VALUE!</v>
      </c>
      <c r="H106" s="4" t="e">
        <f ca="1">SplineInterp(A106,INDIRECT("'" &amp;Master!$F$10&amp; "'!$A$2:$A$50"),INDIRECT("'" &amp;Master!$F$10&amp; "'!$H$2:$H$50"))</f>
        <v>#VALUE!</v>
      </c>
      <c r="I106" s="4" t="e">
        <f ca="1">IF(OR(INDIRECT("'" &amp; Master!$F$8 &amp; Master!$F$6 &amp; "'!B" &amp; ROW(B106))="", INDIRECT("'" &amp; Master!$F$8 &amp; Master!$F$6 &amp; "'!B" &amp; ROW(B106))=0), "", INDIRECT("'" &amp; Master!$F$8 &amp; Master!$F$6 &amp; "'!B" &amp; ROW(B106)))</f>
        <v>#VALUE!</v>
      </c>
      <c r="J106" s="9" t="e">
        <f t="shared" ca="1" si="7"/>
        <v>#VALUE!</v>
      </c>
      <c r="K106" s="7" t="e">
        <f t="shared" ca="1" si="8"/>
        <v>#VALUE!</v>
      </c>
      <c r="L106" s="7" t="e">
        <f t="shared" ca="1" si="9"/>
        <v>#VALUE!</v>
      </c>
      <c r="M106" s="7" t="e">
        <f t="shared" ca="1" si="10"/>
        <v>#VALUE!</v>
      </c>
      <c r="N106" s="7" t="e">
        <f t="shared" ca="1" si="11"/>
        <v>#VALUE!</v>
      </c>
      <c r="O106" s="7" t="e">
        <f t="shared" ca="1" si="12"/>
        <v>#VALUE!</v>
      </c>
      <c r="P106" s="7" t="e">
        <f t="shared" ca="1" si="13"/>
        <v>#VALUE!</v>
      </c>
    </row>
    <row r="107" spans="1:16" x14ac:dyDescent="0.25">
      <c r="A107" s="19" t="str">
        <f ca="1">IF(OR(INDIRECT("'" &amp; Master!$F$8 &amp; Master!$F$6 &amp; "'!A" &amp; ROW(A107))="", INDIRECT("'" &amp; Master!$F$8 &amp; Master!$F$6 &amp; "'!A" &amp; ROW(A107))=0), "", INDIRECT("'" &amp; Master!$F$8 &amp; Master!$F$6 &amp; "'!A" &amp; ROW(A107)))</f>
        <v/>
      </c>
      <c r="B107" s="4" t="e">
        <f ca="1">SplineInterp(INDIRECT("A" &amp; ROW()),INDIRECT("'" &amp;Master!$F$10&amp; "'!$A$2:$A$50"),INDIRECT("'" &amp;Master!$F$10&amp; "'!$B$2:$B$50"))</f>
        <v>#VALUE!</v>
      </c>
      <c r="C107" s="4" t="e">
        <f ca="1">SplineInterp(A107,INDIRECT("'" &amp;Master!$F$10&amp; "'!$A$2:$A$50"),INDIRECT("'" &amp;Master!$F$10&amp; "'!$C$2:$C$50"))</f>
        <v>#VALUE!</v>
      </c>
      <c r="D107" s="4" t="e">
        <f ca="1">SplineInterp(A107,INDIRECT("'" &amp;Master!$F$10&amp; "'!$A$2:$A$50"),INDIRECT("'" &amp;Master!$F$10&amp; "'!$D$2:$D$50"))</f>
        <v>#VALUE!</v>
      </c>
      <c r="E107" s="4" t="e">
        <f ca="1">SplineInterp(A107,INDIRECT("'" &amp;Master!$F$10&amp; "'!$A$2:$A$50"),INDIRECT("'" &amp;Master!$F$10&amp; "'!$E$2:$E$50"))</f>
        <v>#VALUE!</v>
      </c>
      <c r="F107" s="4" t="e">
        <f ca="1">SplineInterp(A107,INDIRECT("'" &amp;Master!$F$10&amp; "'!$A$2:$A$50"),INDIRECT("'" &amp;Master!$F$10&amp; "'!$F$2:$F$50"))</f>
        <v>#VALUE!</v>
      </c>
      <c r="G107" s="4" t="e">
        <f ca="1">SplineInterp(A107,INDIRECT("'" &amp;Master!$F$10&amp; "'!$A$2:$A$50"),INDIRECT("'" &amp;Master!$F$10&amp; "'!$G$2:$G$50"))</f>
        <v>#VALUE!</v>
      </c>
      <c r="H107" s="4" t="e">
        <f ca="1">SplineInterp(A107,INDIRECT("'" &amp;Master!$F$10&amp; "'!$A$2:$A$50"),INDIRECT("'" &amp;Master!$F$10&amp; "'!$H$2:$H$50"))</f>
        <v>#VALUE!</v>
      </c>
      <c r="I107" s="4" t="e">
        <f ca="1">IF(OR(INDIRECT("'" &amp; Master!$F$8 &amp; Master!$F$6 &amp; "'!B" &amp; ROW(B107))="", INDIRECT("'" &amp; Master!$F$8 &amp; Master!$F$6 &amp; "'!B" &amp; ROW(B107))=0), "", INDIRECT("'" &amp; Master!$F$8 &amp; Master!$F$6 &amp; "'!B" &amp; ROW(B107)))</f>
        <v>#VALUE!</v>
      </c>
      <c r="J107" s="9" t="e">
        <f t="shared" ca="1" si="7"/>
        <v>#VALUE!</v>
      </c>
      <c r="K107" s="7" t="e">
        <f t="shared" ca="1" si="8"/>
        <v>#VALUE!</v>
      </c>
      <c r="L107" s="7" t="e">
        <f t="shared" ca="1" si="9"/>
        <v>#VALUE!</v>
      </c>
      <c r="M107" s="7" t="e">
        <f t="shared" ca="1" si="10"/>
        <v>#VALUE!</v>
      </c>
      <c r="N107" s="7" t="e">
        <f t="shared" ca="1" si="11"/>
        <v>#VALUE!</v>
      </c>
      <c r="O107" s="7" t="e">
        <f t="shared" ca="1" si="12"/>
        <v>#VALUE!</v>
      </c>
      <c r="P107" s="7" t="e">
        <f t="shared" ca="1" si="13"/>
        <v>#VALUE!</v>
      </c>
    </row>
    <row r="108" spans="1:16" x14ac:dyDescent="0.25">
      <c r="A108" s="19" t="str">
        <f ca="1">IF(OR(INDIRECT("'" &amp; Master!$F$8 &amp; Master!$F$6 &amp; "'!A" &amp; ROW(A108))="", INDIRECT("'" &amp; Master!$F$8 &amp; Master!$F$6 &amp; "'!A" &amp; ROW(A108))=0), "", INDIRECT("'" &amp; Master!$F$8 &amp; Master!$F$6 &amp; "'!A" &amp; ROW(A108)))</f>
        <v/>
      </c>
      <c r="B108" s="4" t="e">
        <f ca="1">SplineInterp(INDIRECT("A" &amp; ROW()),INDIRECT("'" &amp;Master!$F$10&amp; "'!$A$2:$A$50"),INDIRECT("'" &amp;Master!$F$10&amp; "'!$B$2:$B$50"))</f>
        <v>#VALUE!</v>
      </c>
      <c r="C108" s="4" t="e">
        <f ca="1">SplineInterp(A108,INDIRECT("'" &amp;Master!$F$10&amp; "'!$A$2:$A$50"),INDIRECT("'" &amp;Master!$F$10&amp; "'!$C$2:$C$50"))</f>
        <v>#VALUE!</v>
      </c>
      <c r="D108" s="4" t="e">
        <f ca="1">SplineInterp(A108,INDIRECT("'" &amp;Master!$F$10&amp; "'!$A$2:$A$50"),INDIRECT("'" &amp;Master!$F$10&amp; "'!$D$2:$D$50"))</f>
        <v>#VALUE!</v>
      </c>
      <c r="E108" s="4" t="e">
        <f ca="1">SplineInterp(A108,INDIRECT("'" &amp;Master!$F$10&amp; "'!$A$2:$A$50"),INDIRECT("'" &amp;Master!$F$10&amp; "'!$E$2:$E$50"))</f>
        <v>#VALUE!</v>
      </c>
      <c r="F108" s="4" t="e">
        <f ca="1">SplineInterp(A108,INDIRECT("'" &amp;Master!$F$10&amp; "'!$A$2:$A$50"),INDIRECT("'" &amp;Master!$F$10&amp; "'!$F$2:$F$50"))</f>
        <v>#VALUE!</v>
      </c>
      <c r="G108" s="4" t="e">
        <f ca="1">SplineInterp(A108,INDIRECT("'" &amp;Master!$F$10&amp; "'!$A$2:$A$50"),INDIRECT("'" &amp;Master!$F$10&amp; "'!$G$2:$G$50"))</f>
        <v>#VALUE!</v>
      </c>
      <c r="H108" s="4" t="e">
        <f ca="1">SplineInterp(A108,INDIRECT("'" &amp;Master!$F$10&amp; "'!$A$2:$A$50"),INDIRECT("'" &amp;Master!$F$10&amp; "'!$H$2:$H$50"))</f>
        <v>#VALUE!</v>
      </c>
      <c r="I108" s="4" t="e">
        <f ca="1">IF(OR(INDIRECT("'" &amp; Master!$F$8 &amp; Master!$F$6 &amp; "'!B" &amp; ROW(B108))="", INDIRECT("'" &amp; Master!$F$8 &amp; Master!$F$6 &amp; "'!B" &amp; ROW(B108))=0), "", INDIRECT("'" &amp; Master!$F$8 &amp; Master!$F$6 &amp; "'!B" &amp; ROW(B108)))</f>
        <v>#VALUE!</v>
      </c>
      <c r="J108" s="9" t="e">
        <f t="shared" ca="1" si="7"/>
        <v>#VALUE!</v>
      </c>
      <c r="K108" s="7" t="e">
        <f t="shared" ca="1" si="8"/>
        <v>#VALUE!</v>
      </c>
      <c r="L108" s="7" t="e">
        <f t="shared" ca="1" si="9"/>
        <v>#VALUE!</v>
      </c>
      <c r="M108" s="7" t="e">
        <f t="shared" ca="1" si="10"/>
        <v>#VALUE!</v>
      </c>
      <c r="N108" s="7" t="e">
        <f t="shared" ca="1" si="11"/>
        <v>#VALUE!</v>
      </c>
      <c r="O108" s="7" t="e">
        <f t="shared" ca="1" si="12"/>
        <v>#VALUE!</v>
      </c>
      <c r="P108" s="7" t="e">
        <f t="shared" ca="1" si="13"/>
        <v>#VALUE!</v>
      </c>
    </row>
    <row r="109" spans="1:16" x14ac:dyDescent="0.25">
      <c r="A109" s="19" t="str">
        <f ca="1">IF(OR(INDIRECT("'" &amp; Master!$F$8 &amp; Master!$F$6 &amp; "'!A" &amp; ROW(A109))="", INDIRECT("'" &amp; Master!$F$8 &amp; Master!$F$6 &amp; "'!A" &amp; ROW(A109))=0), "", INDIRECT("'" &amp; Master!$F$8 &amp; Master!$F$6 &amp; "'!A" &amp; ROW(A109)))</f>
        <v/>
      </c>
      <c r="B109" s="4" t="e">
        <f ca="1">SplineInterp(INDIRECT("A" &amp; ROW()),INDIRECT("'" &amp;Master!$F$10&amp; "'!$A$2:$A$50"),INDIRECT("'" &amp;Master!$F$10&amp; "'!$B$2:$B$50"))</f>
        <v>#VALUE!</v>
      </c>
      <c r="C109" s="4" t="e">
        <f ca="1">SplineInterp(A109,INDIRECT("'" &amp;Master!$F$10&amp; "'!$A$2:$A$50"),INDIRECT("'" &amp;Master!$F$10&amp; "'!$C$2:$C$50"))</f>
        <v>#VALUE!</v>
      </c>
      <c r="D109" s="4" t="e">
        <f ca="1">SplineInterp(A109,INDIRECT("'" &amp;Master!$F$10&amp; "'!$A$2:$A$50"),INDIRECT("'" &amp;Master!$F$10&amp; "'!$D$2:$D$50"))</f>
        <v>#VALUE!</v>
      </c>
      <c r="E109" s="4" t="e">
        <f ca="1">SplineInterp(A109,INDIRECT("'" &amp;Master!$F$10&amp; "'!$A$2:$A$50"),INDIRECT("'" &amp;Master!$F$10&amp; "'!$E$2:$E$50"))</f>
        <v>#VALUE!</v>
      </c>
      <c r="F109" s="4" t="e">
        <f ca="1">SplineInterp(A109,INDIRECT("'" &amp;Master!$F$10&amp; "'!$A$2:$A$50"),INDIRECT("'" &amp;Master!$F$10&amp; "'!$F$2:$F$50"))</f>
        <v>#VALUE!</v>
      </c>
      <c r="G109" s="4" t="e">
        <f ca="1">SplineInterp(A109,INDIRECT("'" &amp;Master!$F$10&amp; "'!$A$2:$A$50"),INDIRECT("'" &amp;Master!$F$10&amp; "'!$G$2:$G$50"))</f>
        <v>#VALUE!</v>
      </c>
      <c r="H109" s="4" t="e">
        <f ca="1">SplineInterp(A109,INDIRECT("'" &amp;Master!$F$10&amp; "'!$A$2:$A$50"),INDIRECT("'" &amp;Master!$F$10&amp; "'!$H$2:$H$50"))</f>
        <v>#VALUE!</v>
      </c>
      <c r="I109" s="4" t="e">
        <f ca="1">IF(OR(INDIRECT("'" &amp; Master!$F$8 &amp; Master!$F$6 &amp; "'!B" &amp; ROW(B109))="", INDIRECT("'" &amp; Master!$F$8 &amp; Master!$F$6 &amp; "'!B" &amp; ROW(B109))=0), "", INDIRECT("'" &amp; Master!$F$8 &amp; Master!$F$6 &amp; "'!B" &amp; ROW(B109)))</f>
        <v>#VALUE!</v>
      </c>
      <c r="J109" s="9" t="e">
        <f t="shared" ca="1" si="7"/>
        <v>#VALUE!</v>
      </c>
      <c r="K109" s="7" t="e">
        <f t="shared" ca="1" si="8"/>
        <v>#VALUE!</v>
      </c>
      <c r="L109" s="7" t="e">
        <f t="shared" ca="1" si="9"/>
        <v>#VALUE!</v>
      </c>
      <c r="M109" s="7" t="e">
        <f t="shared" ca="1" si="10"/>
        <v>#VALUE!</v>
      </c>
      <c r="N109" s="7" t="e">
        <f t="shared" ca="1" si="11"/>
        <v>#VALUE!</v>
      </c>
      <c r="O109" s="7" t="e">
        <f t="shared" ca="1" si="12"/>
        <v>#VALUE!</v>
      </c>
      <c r="P109" s="7" t="e">
        <f t="shared" ca="1" si="13"/>
        <v>#VALUE!</v>
      </c>
    </row>
    <row r="110" spans="1:16" x14ac:dyDescent="0.25">
      <c r="A110" s="19" t="str">
        <f ca="1">IF(OR(INDIRECT("'" &amp; Master!$F$8 &amp; Master!$F$6 &amp; "'!A" &amp; ROW(A110))="", INDIRECT("'" &amp; Master!$F$8 &amp; Master!$F$6 &amp; "'!A" &amp; ROW(A110))=0), "", INDIRECT("'" &amp; Master!$F$8 &amp; Master!$F$6 &amp; "'!A" &amp; ROW(A110)))</f>
        <v/>
      </c>
      <c r="B110" s="4" t="e">
        <f ca="1">SplineInterp(INDIRECT("A" &amp; ROW()),INDIRECT("'" &amp;Master!$F$10&amp; "'!$A$2:$A$50"),INDIRECT("'" &amp;Master!$F$10&amp; "'!$B$2:$B$50"))</f>
        <v>#VALUE!</v>
      </c>
      <c r="C110" s="4" t="e">
        <f ca="1">SplineInterp(A110,INDIRECT("'" &amp;Master!$F$10&amp; "'!$A$2:$A$50"),INDIRECT("'" &amp;Master!$F$10&amp; "'!$C$2:$C$50"))</f>
        <v>#VALUE!</v>
      </c>
      <c r="D110" s="4" t="e">
        <f ca="1">SplineInterp(A110,INDIRECT("'" &amp;Master!$F$10&amp; "'!$A$2:$A$50"),INDIRECT("'" &amp;Master!$F$10&amp; "'!$D$2:$D$50"))</f>
        <v>#VALUE!</v>
      </c>
      <c r="E110" s="4" t="e">
        <f ca="1">SplineInterp(A110,INDIRECT("'" &amp;Master!$F$10&amp; "'!$A$2:$A$50"),INDIRECT("'" &amp;Master!$F$10&amp; "'!$E$2:$E$50"))</f>
        <v>#VALUE!</v>
      </c>
      <c r="F110" s="4" t="e">
        <f ca="1">SplineInterp(A110,INDIRECT("'" &amp;Master!$F$10&amp; "'!$A$2:$A$50"),INDIRECT("'" &amp;Master!$F$10&amp; "'!$F$2:$F$50"))</f>
        <v>#VALUE!</v>
      </c>
      <c r="G110" s="4" t="e">
        <f ca="1">SplineInterp(A110,INDIRECT("'" &amp;Master!$F$10&amp; "'!$A$2:$A$50"),INDIRECT("'" &amp;Master!$F$10&amp; "'!$G$2:$G$50"))</f>
        <v>#VALUE!</v>
      </c>
      <c r="H110" s="4" t="e">
        <f ca="1">SplineInterp(A110,INDIRECT("'" &amp;Master!$F$10&amp; "'!$A$2:$A$50"),INDIRECT("'" &amp;Master!$F$10&amp; "'!$H$2:$H$50"))</f>
        <v>#VALUE!</v>
      </c>
      <c r="I110" s="4" t="e">
        <f ca="1">IF(OR(INDIRECT("'" &amp; Master!$F$8 &amp; Master!$F$6 &amp; "'!B" &amp; ROW(B110))="", INDIRECT("'" &amp; Master!$F$8 &amp; Master!$F$6 &amp; "'!B" &amp; ROW(B110))=0), "", INDIRECT("'" &amp; Master!$F$8 &amp; Master!$F$6 &amp; "'!B" &amp; ROW(B110)))</f>
        <v>#VALUE!</v>
      </c>
      <c r="J110" s="9" t="e">
        <f t="shared" ca="1" si="7"/>
        <v>#VALUE!</v>
      </c>
      <c r="K110" s="7" t="e">
        <f t="shared" ca="1" si="8"/>
        <v>#VALUE!</v>
      </c>
      <c r="L110" s="7" t="e">
        <f t="shared" ca="1" si="9"/>
        <v>#VALUE!</v>
      </c>
      <c r="M110" s="7" t="e">
        <f t="shared" ca="1" si="10"/>
        <v>#VALUE!</v>
      </c>
      <c r="N110" s="7" t="e">
        <f t="shared" ca="1" si="11"/>
        <v>#VALUE!</v>
      </c>
      <c r="O110" s="7" t="e">
        <f t="shared" ca="1" si="12"/>
        <v>#VALUE!</v>
      </c>
      <c r="P110" s="7" t="e">
        <f t="shared" ca="1" si="13"/>
        <v>#VALUE!</v>
      </c>
    </row>
    <row r="111" spans="1:16" x14ac:dyDescent="0.25">
      <c r="A111" s="19" t="str">
        <f ca="1">IF(OR(INDIRECT("'" &amp; Master!$F$8 &amp; Master!$F$6 &amp; "'!A" &amp; ROW(A111))="", INDIRECT("'" &amp; Master!$F$8 &amp; Master!$F$6 &amp; "'!A" &amp; ROW(A111))=0), "", INDIRECT("'" &amp; Master!$F$8 &amp; Master!$F$6 &amp; "'!A" &amp; ROW(A111)))</f>
        <v/>
      </c>
      <c r="B111" s="4" t="e">
        <f ca="1">SplineInterp(INDIRECT("A" &amp; ROW()),INDIRECT("'" &amp;Master!$F$10&amp; "'!$A$2:$A$50"),INDIRECT("'" &amp;Master!$F$10&amp; "'!$B$2:$B$50"))</f>
        <v>#VALUE!</v>
      </c>
      <c r="C111" s="4" t="e">
        <f ca="1">SplineInterp(A111,INDIRECT("'" &amp;Master!$F$10&amp; "'!$A$2:$A$50"),INDIRECT("'" &amp;Master!$F$10&amp; "'!$C$2:$C$50"))</f>
        <v>#VALUE!</v>
      </c>
      <c r="D111" s="4" t="e">
        <f ca="1">SplineInterp(A111,INDIRECT("'" &amp;Master!$F$10&amp; "'!$A$2:$A$50"),INDIRECT("'" &amp;Master!$F$10&amp; "'!$D$2:$D$50"))</f>
        <v>#VALUE!</v>
      </c>
      <c r="E111" s="4" t="e">
        <f ca="1">SplineInterp(A111,INDIRECT("'" &amp;Master!$F$10&amp; "'!$A$2:$A$50"),INDIRECT("'" &amp;Master!$F$10&amp; "'!$E$2:$E$50"))</f>
        <v>#VALUE!</v>
      </c>
      <c r="F111" s="4" t="e">
        <f ca="1">SplineInterp(A111,INDIRECT("'" &amp;Master!$F$10&amp; "'!$A$2:$A$50"),INDIRECT("'" &amp;Master!$F$10&amp; "'!$F$2:$F$50"))</f>
        <v>#VALUE!</v>
      </c>
      <c r="G111" s="4" t="e">
        <f ca="1">SplineInterp(A111,INDIRECT("'" &amp;Master!$F$10&amp; "'!$A$2:$A$50"),INDIRECT("'" &amp;Master!$F$10&amp; "'!$G$2:$G$50"))</f>
        <v>#VALUE!</v>
      </c>
      <c r="H111" s="4" t="e">
        <f ca="1">SplineInterp(A111,INDIRECT("'" &amp;Master!$F$10&amp; "'!$A$2:$A$50"),INDIRECT("'" &amp;Master!$F$10&amp; "'!$H$2:$H$50"))</f>
        <v>#VALUE!</v>
      </c>
      <c r="I111" s="4" t="e">
        <f ca="1">IF(OR(INDIRECT("'" &amp; Master!$F$8 &amp; Master!$F$6 &amp; "'!B" &amp; ROW(B111))="", INDIRECT("'" &amp; Master!$F$8 &amp; Master!$F$6 &amp; "'!B" &amp; ROW(B111))=0), "", INDIRECT("'" &amp; Master!$F$8 &amp; Master!$F$6 &amp; "'!B" &amp; ROW(B111)))</f>
        <v>#VALUE!</v>
      </c>
      <c r="J111" s="9" t="e">
        <f t="shared" ca="1" si="7"/>
        <v>#VALUE!</v>
      </c>
      <c r="K111" s="7" t="e">
        <f t="shared" ca="1" si="8"/>
        <v>#VALUE!</v>
      </c>
      <c r="L111" s="7" t="e">
        <f t="shared" ca="1" si="9"/>
        <v>#VALUE!</v>
      </c>
      <c r="M111" s="7" t="e">
        <f t="shared" ca="1" si="10"/>
        <v>#VALUE!</v>
      </c>
      <c r="N111" s="7" t="e">
        <f t="shared" ca="1" si="11"/>
        <v>#VALUE!</v>
      </c>
      <c r="O111" s="7" t="e">
        <f t="shared" ca="1" si="12"/>
        <v>#VALUE!</v>
      </c>
      <c r="P111" s="7" t="e">
        <f t="shared" ca="1" si="13"/>
        <v>#VALUE!</v>
      </c>
    </row>
    <row r="112" spans="1:16" x14ac:dyDescent="0.25">
      <c r="A112" s="19" t="str">
        <f ca="1">IF(OR(INDIRECT("'" &amp; Master!$F$8 &amp; Master!$F$6 &amp; "'!A" &amp; ROW(A112))="", INDIRECT("'" &amp; Master!$F$8 &amp; Master!$F$6 &amp; "'!A" &amp; ROW(A112))=0), "", INDIRECT("'" &amp; Master!$F$8 &amp; Master!$F$6 &amp; "'!A" &amp; ROW(A112)))</f>
        <v/>
      </c>
      <c r="B112" s="4" t="e">
        <f ca="1">SplineInterp(INDIRECT("A" &amp; ROW()),INDIRECT("'" &amp;Master!$F$10&amp; "'!$A$2:$A$50"),INDIRECT("'" &amp;Master!$F$10&amp; "'!$B$2:$B$50"))</f>
        <v>#VALUE!</v>
      </c>
      <c r="C112" s="4" t="e">
        <f ca="1">SplineInterp(A112,INDIRECT("'" &amp;Master!$F$10&amp; "'!$A$2:$A$50"),INDIRECT("'" &amp;Master!$F$10&amp; "'!$C$2:$C$50"))</f>
        <v>#VALUE!</v>
      </c>
      <c r="D112" s="4" t="e">
        <f ca="1">SplineInterp(A112,INDIRECT("'" &amp;Master!$F$10&amp; "'!$A$2:$A$50"),INDIRECT("'" &amp;Master!$F$10&amp; "'!$D$2:$D$50"))</f>
        <v>#VALUE!</v>
      </c>
      <c r="E112" s="4" t="e">
        <f ca="1">SplineInterp(A112,INDIRECT("'" &amp;Master!$F$10&amp; "'!$A$2:$A$50"),INDIRECT("'" &amp;Master!$F$10&amp; "'!$E$2:$E$50"))</f>
        <v>#VALUE!</v>
      </c>
      <c r="F112" s="4" t="e">
        <f ca="1">SplineInterp(A112,INDIRECT("'" &amp;Master!$F$10&amp; "'!$A$2:$A$50"),INDIRECT("'" &amp;Master!$F$10&amp; "'!$F$2:$F$50"))</f>
        <v>#VALUE!</v>
      </c>
      <c r="G112" s="4" t="e">
        <f ca="1">SplineInterp(A112,INDIRECT("'" &amp;Master!$F$10&amp; "'!$A$2:$A$50"),INDIRECT("'" &amp;Master!$F$10&amp; "'!$G$2:$G$50"))</f>
        <v>#VALUE!</v>
      </c>
      <c r="H112" s="4" t="e">
        <f ca="1">SplineInterp(A112,INDIRECT("'" &amp;Master!$F$10&amp; "'!$A$2:$A$50"),INDIRECT("'" &amp;Master!$F$10&amp; "'!$H$2:$H$50"))</f>
        <v>#VALUE!</v>
      </c>
      <c r="I112" s="4" t="e">
        <f ca="1">IF(OR(INDIRECT("'" &amp; Master!$F$8 &amp; Master!$F$6 &amp; "'!B" &amp; ROW(B112))="", INDIRECT("'" &amp; Master!$F$8 &amp; Master!$F$6 &amp; "'!B" &amp; ROW(B112))=0), "", INDIRECT("'" &amp; Master!$F$8 &amp; Master!$F$6 &amp; "'!B" &amp; ROW(B112)))</f>
        <v>#VALUE!</v>
      </c>
      <c r="J112" s="9" t="e">
        <f t="shared" ca="1" si="7"/>
        <v>#VALUE!</v>
      </c>
      <c r="K112" s="7" t="e">
        <f t="shared" ca="1" si="8"/>
        <v>#VALUE!</v>
      </c>
      <c r="L112" s="7" t="e">
        <f t="shared" ca="1" si="9"/>
        <v>#VALUE!</v>
      </c>
      <c r="M112" s="7" t="e">
        <f t="shared" ca="1" si="10"/>
        <v>#VALUE!</v>
      </c>
      <c r="N112" s="7" t="e">
        <f t="shared" ca="1" si="11"/>
        <v>#VALUE!</v>
      </c>
      <c r="O112" s="7" t="e">
        <f t="shared" ca="1" si="12"/>
        <v>#VALUE!</v>
      </c>
      <c r="P112" s="7" t="e">
        <f t="shared" ca="1" si="13"/>
        <v>#VALUE!</v>
      </c>
    </row>
    <row r="113" spans="1:16" x14ac:dyDescent="0.25">
      <c r="A113" s="19" t="str">
        <f ca="1">IF(OR(INDIRECT("'" &amp; Master!$F$8 &amp; Master!$F$6 &amp; "'!A" &amp; ROW(A113))="", INDIRECT("'" &amp; Master!$F$8 &amp; Master!$F$6 &amp; "'!A" &amp; ROW(A113))=0), "", INDIRECT("'" &amp; Master!$F$8 &amp; Master!$F$6 &amp; "'!A" &amp; ROW(A113)))</f>
        <v/>
      </c>
      <c r="B113" s="4" t="e">
        <f ca="1">SplineInterp(INDIRECT("A" &amp; ROW()),INDIRECT("'" &amp;Master!$F$10&amp; "'!$A$2:$A$50"),INDIRECT("'" &amp;Master!$F$10&amp; "'!$B$2:$B$50"))</f>
        <v>#VALUE!</v>
      </c>
      <c r="C113" s="4" t="e">
        <f ca="1">SplineInterp(A113,INDIRECT("'" &amp;Master!$F$10&amp; "'!$A$2:$A$50"),INDIRECT("'" &amp;Master!$F$10&amp; "'!$C$2:$C$50"))</f>
        <v>#VALUE!</v>
      </c>
      <c r="D113" s="4" t="e">
        <f ca="1">SplineInterp(A113,INDIRECT("'" &amp;Master!$F$10&amp; "'!$A$2:$A$50"),INDIRECT("'" &amp;Master!$F$10&amp; "'!$D$2:$D$50"))</f>
        <v>#VALUE!</v>
      </c>
      <c r="E113" s="4" t="e">
        <f ca="1">SplineInterp(A113,INDIRECT("'" &amp;Master!$F$10&amp; "'!$A$2:$A$50"),INDIRECT("'" &amp;Master!$F$10&amp; "'!$E$2:$E$50"))</f>
        <v>#VALUE!</v>
      </c>
      <c r="F113" s="4" t="e">
        <f ca="1">SplineInterp(A113,INDIRECT("'" &amp;Master!$F$10&amp; "'!$A$2:$A$50"),INDIRECT("'" &amp;Master!$F$10&amp; "'!$F$2:$F$50"))</f>
        <v>#VALUE!</v>
      </c>
      <c r="G113" s="4" t="e">
        <f ca="1">SplineInterp(A113,INDIRECT("'" &amp;Master!$F$10&amp; "'!$A$2:$A$50"),INDIRECT("'" &amp;Master!$F$10&amp; "'!$G$2:$G$50"))</f>
        <v>#VALUE!</v>
      </c>
      <c r="H113" s="4" t="e">
        <f ca="1">SplineInterp(A113,INDIRECT("'" &amp;Master!$F$10&amp; "'!$A$2:$A$50"),INDIRECT("'" &amp;Master!$F$10&amp; "'!$H$2:$H$50"))</f>
        <v>#VALUE!</v>
      </c>
      <c r="I113" s="4" t="e">
        <f ca="1">IF(OR(INDIRECT("'" &amp; Master!$F$8 &amp; Master!$F$6 &amp; "'!B" &amp; ROW(B113))="", INDIRECT("'" &amp; Master!$F$8 &amp; Master!$F$6 &amp; "'!B" &amp; ROW(B113))=0), "", INDIRECT("'" &amp; Master!$F$8 &amp; Master!$F$6 &amp; "'!B" &amp; ROW(B113)))</f>
        <v>#VALUE!</v>
      </c>
      <c r="J113" s="9" t="e">
        <f t="shared" ca="1" si="7"/>
        <v>#VALUE!</v>
      </c>
      <c r="K113" s="7" t="e">
        <f t="shared" ca="1" si="8"/>
        <v>#VALUE!</v>
      </c>
      <c r="L113" s="7" t="e">
        <f t="shared" ca="1" si="9"/>
        <v>#VALUE!</v>
      </c>
      <c r="M113" s="7" t="e">
        <f t="shared" ca="1" si="10"/>
        <v>#VALUE!</v>
      </c>
      <c r="N113" s="7" t="e">
        <f t="shared" ca="1" si="11"/>
        <v>#VALUE!</v>
      </c>
      <c r="O113" s="7" t="e">
        <f t="shared" ca="1" si="12"/>
        <v>#VALUE!</v>
      </c>
      <c r="P113" s="7" t="e">
        <f t="shared" ca="1" si="13"/>
        <v>#VALUE!</v>
      </c>
    </row>
    <row r="114" spans="1:16" x14ac:dyDescent="0.25">
      <c r="A114" s="19" t="str">
        <f ca="1">IF(OR(INDIRECT("'" &amp; Master!$F$8 &amp; Master!$F$6 &amp; "'!A" &amp; ROW(A114))="", INDIRECT("'" &amp; Master!$F$8 &amp; Master!$F$6 &amp; "'!A" &amp; ROW(A114))=0), "", INDIRECT("'" &amp; Master!$F$8 &amp; Master!$F$6 &amp; "'!A" &amp; ROW(A114)))</f>
        <v/>
      </c>
      <c r="B114" s="4" t="e">
        <f ca="1">SplineInterp(INDIRECT("A" &amp; ROW()),INDIRECT("'" &amp;Master!$F$10&amp; "'!$A$2:$A$50"),INDIRECT("'" &amp;Master!$F$10&amp; "'!$B$2:$B$50"))</f>
        <v>#VALUE!</v>
      </c>
      <c r="C114" s="4" t="e">
        <f ca="1">SplineInterp(A114,INDIRECT("'" &amp;Master!$F$10&amp; "'!$A$2:$A$50"),INDIRECT("'" &amp;Master!$F$10&amp; "'!$C$2:$C$50"))</f>
        <v>#VALUE!</v>
      </c>
      <c r="D114" s="4" t="e">
        <f ca="1">SplineInterp(A114,INDIRECT("'" &amp;Master!$F$10&amp; "'!$A$2:$A$50"),INDIRECT("'" &amp;Master!$F$10&amp; "'!$D$2:$D$50"))</f>
        <v>#VALUE!</v>
      </c>
      <c r="E114" s="4" t="e">
        <f ca="1">SplineInterp(A114,INDIRECT("'" &amp;Master!$F$10&amp; "'!$A$2:$A$50"),INDIRECT("'" &amp;Master!$F$10&amp; "'!$E$2:$E$50"))</f>
        <v>#VALUE!</v>
      </c>
      <c r="F114" s="4" t="e">
        <f ca="1">SplineInterp(A114,INDIRECT("'" &amp;Master!$F$10&amp; "'!$A$2:$A$50"),INDIRECT("'" &amp;Master!$F$10&amp; "'!$F$2:$F$50"))</f>
        <v>#VALUE!</v>
      </c>
      <c r="G114" s="4" t="e">
        <f ca="1">SplineInterp(A114,INDIRECT("'" &amp;Master!$F$10&amp; "'!$A$2:$A$50"),INDIRECT("'" &amp;Master!$F$10&amp; "'!$G$2:$G$50"))</f>
        <v>#VALUE!</v>
      </c>
      <c r="H114" s="4" t="e">
        <f ca="1">SplineInterp(A114,INDIRECT("'" &amp;Master!$F$10&amp; "'!$A$2:$A$50"),INDIRECT("'" &amp;Master!$F$10&amp; "'!$H$2:$H$50"))</f>
        <v>#VALUE!</v>
      </c>
      <c r="I114" s="4" t="e">
        <f ca="1">IF(OR(INDIRECT("'" &amp; Master!$F$8 &amp; Master!$F$6 &amp; "'!B" &amp; ROW(B114))="", INDIRECT("'" &amp; Master!$F$8 &amp; Master!$F$6 &amp; "'!B" &amp; ROW(B114))=0), "", INDIRECT("'" &amp; Master!$F$8 &amp; Master!$F$6 &amp; "'!B" &amp; ROW(B114)))</f>
        <v>#VALUE!</v>
      </c>
      <c r="J114" s="9" t="e">
        <f t="shared" ca="1" si="7"/>
        <v>#VALUE!</v>
      </c>
      <c r="K114" s="7" t="e">
        <f t="shared" ca="1" si="8"/>
        <v>#VALUE!</v>
      </c>
      <c r="L114" s="7" t="e">
        <f t="shared" ca="1" si="9"/>
        <v>#VALUE!</v>
      </c>
      <c r="M114" s="7" t="e">
        <f t="shared" ca="1" si="10"/>
        <v>#VALUE!</v>
      </c>
      <c r="N114" s="7" t="e">
        <f t="shared" ca="1" si="11"/>
        <v>#VALUE!</v>
      </c>
      <c r="O114" s="7" t="e">
        <f t="shared" ca="1" si="12"/>
        <v>#VALUE!</v>
      </c>
      <c r="P114" s="7" t="e">
        <f t="shared" ca="1" si="13"/>
        <v>#VALUE!</v>
      </c>
    </row>
    <row r="115" spans="1:16" x14ac:dyDescent="0.25">
      <c r="A115" s="19" t="str">
        <f ca="1">IF(OR(INDIRECT("'" &amp; Master!$F$8 &amp; Master!$F$6 &amp; "'!A" &amp; ROW(A115))="", INDIRECT("'" &amp; Master!$F$8 &amp; Master!$F$6 &amp; "'!A" &amp; ROW(A115))=0), "", INDIRECT("'" &amp; Master!$F$8 &amp; Master!$F$6 &amp; "'!A" &amp; ROW(A115)))</f>
        <v/>
      </c>
      <c r="B115" s="4" t="e">
        <f ca="1">SplineInterp(INDIRECT("A" &amp; ROW()),INDIRECT("'" &amp;Master!$F$10&amp; "'!$A$2:$A$50"),INDIRECT("'" &amp;Master!$F$10&amp; "'!$B$2:$B$50"))</f>
        <v>#VALUE!</v>
      </c>
      <c r="C115" s="4" t="e">
        <f ca="1">SplineInterp(A115,INDIRECT("'" &amp;Master!$F$10&amp; "'!$A$2:$A$50"),INDIRECT("'" &amp;Master!$F$10&amp; "'!$C$2:$C$50"))</f>
        <v>#VALUE!</v>
      </c>
      <c r="D115" s="4" t="e">
        <f ca="1">SplineInterp(A115,INDIRECT("'" &amp;Master!$F$10&amp; "'!$A$2:$A$50"),INDIRECT("'" &amp;Master!$F$10&amp; "'!$D$2:$D$50"))</f>
        <v>#VALUE!</v>
      </c>
      <c r="E115" s="4" t="e">
        <f ca="1">SplineInterp(A115,INDIRECT("'" &amp;Master!$F$10&amp; "'!$A$2:$A$50"),INDIRECT("'" &amp;Master!$F$10&amp; "'!$E$2:$E$50"))</f>
        <v>#VALUE!</v>
      </c>
      <c r="F115" s="4" t="e">
        <f ca="1">SplineInterp(A115,INDIRECT("'" &amp;Master!$F$10&amp; "'!$A$2:$A$50"),INDIRECT("'" &amp;Master!$F$10&amp; "'!$F$2:$F$50"))</f>
        <v>#VALUE!</v>
      </c>
      <c r="G115" s="4" t="e">
        <f ca="1">SplineInterp(A115,INDIRECT("'" &amp;Master!$F$10&amp; "'!$A$2:$A$50"),INDIRECT("'" &amp;Master!$F$10&amp; "'!$G$2:$G$50"))</f>
        <v>#VALUE!</v>
      </c>
      <c r="H115" s="4" t="e">
        <f ca="1">SplineInterp(A115,INDIRECT("'" &amp;Master!$F$10&amp; "'!$A$2:$A$50"),INDIRECT("'" &amp;Master!$F$10&amp; "'!$H$2:$H$50"))</f>
        <v>#VALUE!</v>
      </c>
      <c r="I115" s="4" t="e">
        <f ca="1">IF(OR(INDIRECT("'" &amp; Master!$F$8 &amp; Master!$F$6 &amp; "'!B" &amp; ROW(B115))="", INDIRECT("'" &amp; Master!$F$8 &amp; Master!$F$6 &amp; "'!B" &amp; ROW(B115))=0), "", INDIRECT("'" &amp; Master!$F$8 &amp; Master!$F$6 &amp; "'!B" &amp; ROW(B115)))</f>
        <v>#VALUE!</v>
      </c>
      <c r="J115" s="9" t="e">
        <f t="shared" ca="1" si="7"/>
        <v>#VALUE!</v>
      </c>
      <c r="K115" s="7" t="e">
        <f t="shared" ca="1" si="8"/>
        <v>#VALUE!</v>
      </c>
      <c r="L115" s="7" t="e">
        <f t="shared" ca="1" si="9"/>
        <v>#VALUE!</v>
      </c>
      <c r="M115" s="7" t="e">
        <f t="shared" ca="1" si="10"/>
        <v>#VALUE!</v>
      </c>
      <c r="N115" s="7" t="e">
        <f t="shared" ca="1" si="11"/>
        <v>#VALUE!</v>
      </c>
      <c r="O115" s="7" t="e">
        <f t="shared" ca="1" si="12"/>
        <v>#VALUE!</v>
      </c>
      <c r="P115" s="7" t="e">
        <f t="shared" ca="1" si="13"/>
        <v>#VALUE!</v>
      </c>
    </row>
    <row r="116" spans="1:16" x14ac:dyDescent="0.25">
      <c r="A116" s="19" t="str">
        <f ca="1">IF(OR(INDIRECT("'" &amp; Master!$F$8 &amp; Master!$F$6 &amp; "'!A" &amp; ROW(A116))="", INDIRECT("'" &amp; Master!$F$8 &amp; Master!$F$6 &amp; "'!A" &amp; ROW(A116))=0), "", INDIRECT("'" &amp; Master!$F$8 &amp; Master!$F$6 &amp; "'!A" &amp; ROW(A116)))</f>
        <v/>
      </c>
      <c r="B116" s="4" t="e">
        <f ca="1">SplineInterp(INDIRECT("A" &amp; ROW()),INDIRECT("'" &amp;Master!$F$10&amp; "'!$A$2:$A$50"),INDIRECT("'" &amp;Master!$F$10&amp; "'!$B$2:$B$50"))</f>
        <v>#VALUE!</v>
      </c>
      <c r="C116" s="4" t="e">
        <f ca="1">SplineInterp(A116,INDIRECT("'" &amp;Master!$F$10&amp; "'!$A$2:$A$50"),INDIRECT("'" &amp;Master!$F$10&amp; "'!$C$2:$C$50"))</f>
        <v>#VALUE!</v>
      </c>
      <c r="D116" s="4" t="e">
        <f ca="1">SplineInterp(A116,INDIRECT("'" &amp;Master!$F$10&amp; "'!$A$2:$A$50"),INDIRECT("'" &amp;Master!$F$10&amp; "'!$D$2:$D$50"))</f>
        <v>#VALUE!</v>
      </c>
      <c r="E116" s="4" t="e">
        <f ca="1">SplineInterp(A116,INDIRECT("'" &amp;Master!$F$10&amp; "'!$A$2:$A$50"),INDIRECT("'" &amp;Master!$F$10&amp; "'!$E$2:$E$50"))</f>
        <v>#VALUE!</v>
      </c>
      <c r="F116" s="4" t="e">
        <f ca="1">SplineInterp(A116,INDIRECT("'" &amp;Master!$F$10&amp; "'!$A$2:$A$50"),INDIRECT("'" &amp;Master!$F$10&amp; "'!$F$2:$F$50"))</f>
        <v>#VALUE!</v>
      </c>
      <c r="G116" s="4" t="e">
        <f ca="1">SplineInterp(A116,INDIRECT("'" &amp;Master!$F$10&amp; "'!$A$2:$A$50"),INDIRECT("'" &amp;Master!$F$10&amp; "'!$G$2:$G$50"))</f>
        <v>#VALUE!</v>
      </c>
      <c r="H116" s="4" t="e">
        <f ca="1">SplineInterp(A116,INDIRECT("'" &amp;Master!$F$10&amp; "'!$A$2:$A$50"),INDIRECT("'" &amp;Master!$F$10&amp; "'!$H$2:$H$50"))</f>
        <v>#VALUE!</v>
      </c>
      <c r="I116" s="4" t="e">
        <f ca="1">IF(OR(INDIRECT("'" &amp; Master!$F$8 &amp; Master!$F$6 &amp; "'!B" &amp; ROW(B116))="", INDIRECT("'" &amp; Master!$F$8 &amp; Master!$F$6 &amp; "'!B" &amp; ROW(B116))=0), "", INDIRECT("'" &amp; Master!$F$8 &amp; Master!$F$6 &amp; "'!B" &amp; ROW(B116)))</f>
        <v>#VALUE!</v>
      </c>
      <c r="J116" s="9" t="e">
        <f t="shared" ca="1" si="7"/>
        <v>#VALUE!</v>
      </c>
      <c r="K116" s="7" t="e">
        <f t="shared" ca="1" si="8"/>
        <v>#VALUE!</v>
      </c>
      <c r="L116" s="7" t="e">
        <f t="shared" ca="1" si="9"/>
        <v>#VALUE!</v>
      </c>
      <c r="M116" s="7" t="e">
        <f t="shared" ca="1" si="10"/>
        <v>#VALUE!</v>
      </c>
      <c r="N116" s="7" t="e">
        <f t="shared" ca="1" si="11"/>
        <v>#VALUE!</v>
      </c>
      <c r="O116" s="7" t="e">
        <f t="shared" ca="1" si="12"/>
        <v>#VALUE!</v>
      </c>
      <c r="P116" s="7" t="e">
        <f t="shared" ca="1" si="13"/>
        <v>#VALUE!</v>
      </c>
    </row>
    <row r="117" spans="1:16" x14ac:dyDescent="0.25">
      <c r="A117" s="19" t="str">
        <f ca="1">IF(OR(INDIRECT("'" &amp; Master!$F$8 &amp; Master!$F$6 &amp; "'!A" &amp; ROW(A117))="", INDIRECT("'" &amp; Master!$F$8 &amp; Master!$F$6 &amp; "'!A" &amp; ROW(A117))=0), "", INDIRECT("'" &amp; Master!$F$8 &amp; Master!$F$6 &amp; "'!A" &amp; ROW(A117)))</f>
        <v/>
      </c>
      <c r="B117" s="4" t="e">
        <f ca="1">SplineInterp(INDIRECT("A" &amp; ROW()),INDIRECT("'" &amp;Master!$F$10&amp; "'!$A$2:$A$50"),INDIRECT("'" &amp;Master!$F$10&amp; "'!$B$2:$B$50"))</f>
        <v>#VALUE!</v>
      </c>
      <c r="C117" s="4" t="e">
        <f ca="1">SplineInterp(A117,INDIRECT("'" &amp;Master!$F$10&amp; "'!$A$2:$A$50"),INDIRECT("'" &amp;Master!$F$10&amp; "'!$C$2:$C$50"))</f>
        <v>#VALUE!</v>
      </c>
      <c r="D117" s="4" t="e">
        <f ca="1">SplineInterp(A117,INDIRECT("'" &amp;Master!$F$10&amp; "'!$A$2:$A$50"),INDIRECT("'" &amp;Master!$F$10&amp; "'!$D$2:$D$50"))</f>
        <v>#VALUE!</v>
      </c>
      <c r="E117" s="4" t="e">
        <f ca="1">SplineInterp(A117,INDIRECT("'" &amp;Master!$F$10&amp; "'!$A$2:$A$50"),INDIRECT("'" &amp;Master!$F$10&amp; "'!$E$2:$E$50"))</f>
        <v>#VALUE!</v>
      </c>
      <c r="F117" s="4" t="e">
        <f ca="1">SplineInterp(A117,INDIRECT("'" &amp;Master!$F$10&amp; "'!$A$2:$A$50"),INDIRECT("'" &amp;Master!$F$10&amp; "'!$F$2:$F$50"))</f>
        <v>#VALUE!</v>
      </c>
      <c r="G117" s="4" t="e">
        <f ca="1">SplineInterp(A117,INDIRECT("'" &amp;Master!$F$10&amp; "'!$A$2:$A$50"),INDIRECT("'" &amp;Master!$F$10&amp; "'!$G$2:$G$50"))</f>
        <v>#VALUE!</v>
      </c>
      <c r="H117" s="4" t="e">
        <f ca="1">SplineInterp(A117,INDIRECT("'" &amp;Master!$F$10&amp; "'!$A$2:$A$50"),INDIRECT("'" &amp;Master!$F$10&amp; "'!$H$2:$H$50"))</f>
        <v>#VALUE!</v>
      </c>
      <c r="I117" s="4" t="e">
        <f ca="1">IF(OR(INDIRECT("'" &amp; Master!$F$8 &amp; Master!$F$6 &amp; "'!B" &amp; ROW(B117))="", INDIRECT("'" &amp; Master!$F$8 &amp; Master!$F$6 &amp; "'!B" &amp; ROW(B117))=0), "", INDIRECT("'" &amp; Master!$F$8 &amp; Master!$F$6 &amp; "'!B" &amp; ROW(B117)))</f>
        <v>#VALUE!</v>
      </c>
      <c r="J117" s="9" t="e">
        <f t="shared" ca="1" si="7"/>
        <v>#VALUE!</v>
      </c>
      <c r="K117" s="7" t="e">
        <f t="shared" ca="1" si="8"/>
        <v>#VALUE!</v>
      </c>
      <c r="L117" s="7" t="e">
        <f t="shared" ca="1" si="9"/>
        <v>#VALUE!</v>
      </c>
      <c r="M117" s="7" t="e">
        <f t="shared" ca="1" si="10"/>
        <v>#VALUE!</v>
      </c>
      <c r="N117" s="7" t="e">
        <f t="shared" ca="1" si="11"/>
        <v>#VALUE!</v>
      </c>
      <c r="O117" s="7" t="e">
        <f t="shared" ca="1" si="12"/>
        <v>#VALUE!</v>
      </c>
      <c r="P117" s="7" t="e">
        <f t="shared" ca="1" si="13"/>
        <v>#VALUE!</v>
      </c>
    </row>
    <row r="118" spans="1:16" x14ac:dyDescent="0.25">
      <c r="A118" s="19" t="str">
        <f ca="1">IF(OR(INDIRECT("'" &amp; Master!$F$8 &amp; Master!$F$6 &amp; "'!A" &amp; ROW(A118))="", INDIRECT("'" &amp; Master!$F$8 &amp; Master!$F$6 &amp; "'!A" &amp; ROW(A118))=0), "", INDIRECT("'" &amp; Master!$F$8 &amp; Master!$F$6 &amp; "'!A" &amp; ROW(A118)))</f>
        <v/>
      </c>
      <c r="B118" s="4" t="e">
        <f ca="1">SplineInterp(INDIRECT("A" &amp; ROW()),INDIRECT("'" &amp;Master!$F$10&amp; "'!$A$2:$A$50"),INDIRECT("'" &amp;Master!$F$10&amp; "'!$B$2:$B$50"))</f>
        <v>#VALUE!</v>
      </c>
      <c r="C118" s="4" t="e">
        <f ca="1">SplineInterp(A118,INDIRECT("'" &amp;Master!$F$10&amp; "'!$A$2:$A$50"),INDIRECT("'" &amp;Master!$F$10&amp; "'!$C$2:$C$50"))</f>
        <v>#VALUE!</v>
      </c>
      <c r="D118" s="4" t="e">
        <f ca="1">SplineInterp(A118,INDIRECT("'" &amp;Master!$F$10&amp; "'!$A$2:$A$50"),INDIRECT("'" &amp;Master!$F$10&amp; "'!$D$2:$D$50"))</f>
        <v>#VALUE!</v>
      </c>
      <c r="E118" s="4" t="e">
        <f ca="1">SplineInterp(A118,INDIRECT("'" &amp;Master!$F$10&amp; "'!$A$2:$A$50"),INDIRECT("'" &amp;Master!$F$10&amp; "'!$E$2:$E$50"))</f>
        <v>#VALUE!</v>
      </c>
      <c r="F118" s="4" t="e">
        <f ca="1">SplineInterp(A118,INDIRECT("'" &amp;Master!$F$10&amp; "'!$A$2:$A$50"),INDIRECT("'" &amp;Master!$F$10&amp; "'!$F$2:$F$50"))</f>
        <v>#VALUE!</v>
      </c>
      <c r="G118" s="4" t="e">
        <f ca="1">SplineInterp(A118,INDIRECT("'" &amp;Master!$F$10&amp; "'!$A$2:$A$50"),INDIRECT("'" &amp;Master!$F$10&amp; "'!$G$2:$G$50"))</f>
        <v>#VALUE!</v>
      </c>
      <c r="H118" s="4" t="e">
        <f ca="1">SplineInterp(A118,INDIRECT("'" &amp;Master!$F$10&amp; "'!$A$2:$A$50"),INDIRECT("'" &amp;Master!$F$10&amp; "'!$H$2:$H$50"))</f>
        <v>#VALUE!</v>
      </c>
      <c r="I118" s="4" t="e">
        <f ca="1">IF(OR(INDIRECT("'" &amp; Master!$F$8 &amp; Master!$F$6 &amp; "'!B" &amp; ROW(B118))="", INDIRECT("'" &amp; Master!$F$8 &amp; Master!$F$6 &amp; "'!B" &amp; ROW(B118))=0), "", INDIRECT("'" &amp; Master!$F$8 &amp; Master!$F$6 &amp; "'!B" &amp; ROW(B118)))</f>
        <v>#VALUE!</v>
      </c>
      <c r="J118" s="9" t="e">
        <f t="shared" ca="1" si="7"/>
        <v>#VALUE!</v>
      </c>
      <c r="K118" s="7" t="e">
        <f t="shared" ca="1" si="8"/>
        <v>#VALUE!</v>
      </c>
      <c r="L118" s="7" t="e">
        <f t="shared" ca="1" si="9"/>
        <v>#VALUE!</v>
      </c>
      <c r="M118" s="7" t="e">
        <f t="shared" ca="1" si="10"/>
        <v>#VALUE!</v>
      </c>
      <c r="N118" s="7" t="e">
        <f t="shared" ca="1" si="11"/>
        <v>#VALUE!</v>
      </c>
      <c r="O118" s="7" t="e">
        <f t="shared" ca="1" si="12"/>
        <v>#VALUE!</v>
      </c>
      <c r="P118" s="7" t="e">
        <f t="shared" ca="1" si="13"/>
        <v>#VALUE!</v>
      </c>
    </row>
    <row r="119" spans="1:16" x14ac:dyDescent="0.25">
      <c r="A119" s="19" t="str">
        <f ca="1">IF(OR(INDIRECT("'" &amp; Master!$F$8 &amp; Master!$F$6 &amp; "'!A" &amp; ROW(A119))="", INDIRECT("'" &amp; Master!$F$8 &amp; Master!$F$6 &amp; "'!A" &amp; ROW(A119))=0), "", INDIRECT("'" &amp; Master!$F$8 &amp; Master!$F$6 &amp; "'!A" &amp; ROW(A119)))</f>
        <v/>
      </c>
      <c r="B119" s="4" t="e">
        <f ca="1">SplineInterp(INDIRECT("A" &amp; ROW()),INDIRECT("'" &amp;Master!$F$10&amp; "'!$A$2:$A$50"),INDIRECT("'" &amp;Master!$F$10&amp; "'!$B$2:$B$50"))</f>
        <v>#VALUE!</v>
      </c>
      <c r="C119" s="4" t="e">
        <f ca="1">SplineInterp(A119,INDIRECT("'" &amp;Master!$F$10&amp; "'!$A$2:$A$50"),INDIRECT("'" &amp;Master!$F$10&amp; "'!$C$2:$C$50"))</f>
        <v>#VALUE!</v>
      </c>
      <c r="D119" s="4" t="e">
        <f ca="1">SplineInterp(A119,INDIRECT("'" &amp;Master!$F$10&amp; "'!$A$2:$A$50"),INDIRECT("'" &amp;Master!$F$10&amp; "'!$D$2:$D$50"))</f>
        <v>#VALUE!</v>
      </c>
      <c r="E119" s="4" t="e">
        <f ca="1">SplineInterp(A119,INDIRECT("'" &amp;Master!$F$10&amp; "'!$A$2:$A$50"),INDIRECT("'" &amp;Master!$F$10&amp; "'!$E$2:$E$50"))</f>
        <v>#VALUE!</v>
      </c>
      <c r="F119" s="4" t="e">
        <f ca="1">SplineInterp(A119,INDIRECT("'" &amp;Master!$F$10&amp; "'!$A$2:$A$50"),INDIRECT("'" &amp;Master!$F$10&amp; "'!$F$2:$F$50"))</f>
        <v>#VALUE!</v>
      </c>
      <c r="G119" s="4" t="e">
        <f ca="1">SplineInterp(A119,INDIRECT("'" &amp;Master!$F$10&amp; "'!$A$2:$A$50"),INDIRECT("'" &amp;Master!$F$10&amp; "'!$G$2:$G$50"))</f>
        <v>#VALUE!</v>
      </c>
      <c r="H119" s="4" t="e">
        <f ca="1">SplineInterp(A119,INDIRECT("'" &amp;Master!$F$10&amp; "'!$A$2:$A$50"),INDIRECT("'" &amp;Master!$F$10&amp; "'!$H$2:$H$50"))</f>
        <v>#VALUE!</v>
      </c>
      <c r="I119" s="4" t="e">
        <f ca="1">IF(OR(INDIRECT("'" &amp; Master!$F$8 &amp; Master!$F$6 &amp; "'!B" &amp; ROW(B119))="", INDIRECT("'" &amp; Master!$F$8 &amp; Master!$F$6 &amp; "'!B" &amp; ROW(B119))=0), "", INDIRECT("'" &amp; Master!$F$8 &amp; Master!$F$6 &amp; "'!B" &amp; ROW(B119)))</f>
        <v>#VALUE!</v>
      </c>
      <c r="J119" s="9" t="e">
        <f t="shared" ca="1" si="7"/>
        <v>#VALUE!</v>
      </c>
      <c r="K119" s="7" t="e">
        <f t="shared" ca="1" si="8"/>
        <v>#VALUE!</v>
      </c>
      <c r="L119" s="7" t="e">
        <f t="shared" ca="1" si="9"/>
        <v>#VALUE!</v>
      </c>
      <c r="M119" s="7" t="e">
        <f t="shared" ca="1" si="10"/>
        <v>#VALUE!</v>
      </c>
      <c r="N119" s="7" t="e">
        <f t="shared" ca="1" si="11"/>
        <v>#VALUE!</v>
      </c>
      <c r="O119" s="7" t="e">
        <f t="shared" ca="1" si="12"/>
        <v>#VALUE!</v>
      </c>
      <c r="P119" s="7" t="e">
        <f t="shared" ca="1" si="13"/>
        <v>#VALUE!</v>
      </c>
    </row>
    <row r="120" spans="1:16" x14ac:dyDescent="0.25">
      <c r="A120" s="19" t="str">
        <f ca="1">IF(OR(INDIRECT("'" &amp; Master!$F$8 &amp; Master!$F$6 &amp; "'!A" &amp; ROW(A120))="", INDIRECT("'" &amp; Master!$F$8 &amp; Master!$F$6 &amp; "'!A" &amp; ROW(A120))=0), "", INDIRECT("'" &amp; Master!$F$8 &amp; Master!$F$6 &amp; "'!A" &amp; ROW(A120)))</f>
        <v/>
      </c>
      <c r="B120" s="4" t="e">
        <f ca="1">SplineInterp(INDIRECT("A" &amp; ROW()),INDIRECT("'" &amp;Master!$F$10&amp; "'!$A$2:$A$50"),INDIRECT("'" &amp;Master!$F$10&amp; "'!$B$2:$B$50"))</f>
        <v>#VALUE!</v>
      </c>
      <c r="C120" s="4" t="e">
        <f ca="1">SplineInterp(A120,INDIRECT("'" &amp;Master!$F$10&amp; "'!$A$2:$A$50"),INDIRECT("'" &amp;Master!$F$10&amp; "'!$C$2:$C$50"))</f>
        <v>#VALUE!</v>
      </c>
      <c r="D120" s="4" t="e">
        <f ca="1">SplineInterp(A120,INDIRECT("'" &amp;Master!$F$10&amp; "'!$A$2:$A$50"),INDIRECT("'" &amp;Master!$F$10&amp; "'!$D$2:$D$50"))</f>
        <v>#VALUE!</v>
      </c>
      <c r="E120" s="4" t="e">
        <f ca="1">SplineInterp(A120,INDIRECT("'" &amp;Master!$F$10&amp; "'!$A$2:$A$50"),INDIRECT("'" &amp;Master!$F$10&amp; "'!$E$2:$E$50"))</f>
        <v>#VALUE!</v>
      </c>
      <c r="F120" s="4" t="e">
        <f ca="1">SplineInterp(A120,INDIRECT("'" &amp;Master!$F$10&amp; "'!$A$2:$A$50"),INDIRECT("'" &amp;Master!$F$10&amp; "'!$F$2:$F$50"))</f>
        <v>#VALUE!</v>
      </c>
      <c r="G120" s="4" t="e">
        <f ca="1">SplineInterp(A120,INDIRECT("'" &amp;Master!$F$10&amp; "'!$A$2:$A$50"),INDIRECT("'" &amp;Master!$F$10&amp; "'!$G$2:$G$50"))</f>
        <v>#VALUE!</v>
      </c>
      <c r="H120" s="4" t="e">
        <f ca="1">SplineInterp(A120,INDIRECT("'" &amp;Master!$F$10&amp; "'!$A$2:$A$50"),INDIRECT("'" &amp;Master!$F$10&amp; "'!$H$2:$H$50"))</f>
        <v>#VALUE!</v>
      </c>
      <c r="I120" s="4" t="e">
        <f ca="1">IF(OR(INDIRECT("'" &amp; Master!$F$8 &amp; Master!$F$6 &amp; "'!B" &amp; ROW(B120))="", INDIRECT("'" &amp; Master!$F$8 &amp; Master!$F$6 &amp; "'!B" &amp; ROW(B120))=0), "", INDIRECT("'" &amp; Master!$F$8 &amp; Master!$F$6 &amp; "'!B" &amp; ROW(B120)))</f>
        <v>#VALUE!</v>
      </c>
      <c r="J120" s="9" t="e">
        <f t="shared" ca="1" si="7"/>
        <v>#VALUE!</v>
      </c>
      <c r="K120" s="7" t="e">
        <f t="shared" ca="1" si="8"/>
        <v>#VALUE!</v>
      </c>
      <c r="L120" s="7" t="e">
        <f t="shared" ca="1" si="9"/>
        <v>#VALUE!</v>
      </c>
      <c r="M120" s="7" t="e">
        <f t="shared" ca="1" si="10"/>
        <v>#VALUE!</v>
      </c>
      <c r="N120" s="7" t="e">
        <f t="shared" ca="1" si="11"/>
        <v>#VALUE!</v>
      </c>
      <c r="O120" s="7" t="e">
        <f t="shared" ca="1" si="12"/>
        <v>#VALUE!</v>
      </c>
      <c r="P120" s="7" t="e">
        <f t="shared" ca="1" si="13"/>
        <v>#VALUE!</v>
      </c>
    </row>
    <row r="121" spans="1:16" x14ac:dyDescent="0.25">
      <c r="A121" s="19" t="str">
        <f ca="1">IF(OR(INDIRECT("'" &amp; Master!$F$8 &amp; Master!$F$6 &amp; "'!A" &amp; ROW(A121))="", INDIRECT("'" &amp; Master!$F$8 &amp; Master!$F$6 &amp; "'!A" &amp; ROW(A121))=0), "", INDIRECT("'" &amp; Master!$F$8 &amp; Master!$F$6 &amp; "'!A" &amp; ROW(A121)))</f>
        <v/>
      </c>
      <c r="B121" s="4" t="e">
        <f ca="1">SplineInterp(INDIRECT("A" &amp; ROW()),INDIRECT("'" &amp;Master!$F$10&amp; "'!$A$2:$A$50"),INDIRECT("'" &amp;Master!$F$10&amp; "'!$B$2:$B$50"))</f>
        <v>#VALUE!</v>
      </c>
      <c r="C121" s="4" t="e">
        <f ca="1">SplineInterp(A121,INDIRECT("'" &amp;Master!$F$10&amp; "'!$A$2:$A$50"),INDIRECT("'" &amp;Master!$F$10&amp; "'!$C$2:$C$50"))</f>
        <v>#VALUE!</v>
      </c>
      <c r="D121" s="4" t="e">
        <f ca="1">SplineInterp(A121,INDIRECT("'" &amp;Master!$F$10&amp; "'!$A$2:$A$50"),INDIRECT("'" &amp;Master!$F$10&amp; "'!$D$2:$D$50"))</f>
        <v>#VALUE!</v>
      </c>
      <c r="E121" s="4" t="e">
        <f ca="1">SplineInterp(A121,INDIRECT("'" &amp;Master!$F$10&amp; "'!$A$2:$A$50"),INDIRECT("'" &amp;Master!$F$10&amp; "'!$E$2:$E$50"))</f>
        <v>#VALUE!</v>
      </c>
      <c r="F121" s="4" t="e">
        <f ca="1">SplineInterp(A121,INDIRECT("'" &amp;Master!$F$10&amp; "'!$A$2:$A$50"),INDIRECT("'" &amp;Master!$F$10&amp; "'!$F$2:$F$50"))</f>
        <v>#VALUE!</v>
      </c>
      <c r="G121" s="4" t="e">
        <f ca="1">SplineInterp(A121,INDIRECT("'" &amp;Master!$F$10&amp; "'!$A$2:$A$50"),INDIRECT("'" &amp;Master!$F$10&amp; "'!$G$2:$G$50"))</f>
        <v>#VALUE!</v>
      </c>
      <c r="H121" s="4" t="e">
        <f ca="1">SplineInterp(A121,INDIRECT("'" &amp;Master!$F$10&amp; "'!$A$2:$A$50"),INDIRECT("'" &amp;Master!$F$10&amp; "'!$H$2:$H$50"))</f>
        <v>#VALUE!</v>
      </c>
      <c r="I121" s="4" t="e">
        <f ca="1">IF(OR(INDIRECT("'" &amp; Master!$F$8 &amp; Master!$F$6 &amp; "'!B" &amp; ROW(B121))="", INDIRECT("'" &amp; Master!$F$8 &amp; Master!$F$6 &amp; "'!B" &amp; ROW(B121))=0), "", INDIRECT("'" &amp; Master!$F$8 &amp; Master!$F$6 &amp; "'!B" &amp; ROW(B121)))</f>
        <v>#VALUE!</v>
      </c>
      <c r="J121" s="9" t="e">
        <f t="shared" ca="1" si="7"/>
        <v>#VALUE!</v>
      </c>
      <c r="K121" s="7" t="e">
        <f t="shared" ca="1" si="8"/>
        <v>#VALUE!</v>
      </c>
      <c r="L121" s="7" t="e">
        <f t="shared" ca="1" si="9"/>
        <v>#VALUE!</v>
      </c>
      <c r="M121" s="7" t="e">
        <f t="shared" ca="1" si="10"/>
        <v>#VALUE!</v>
      </c>
      <c r="N121" s="7" t="e">
        <f t="shared" ca="1" si="11"/>
        <v>#VALUE!</v>
      </c>
      <c r="O121" s="7" t="e">
        <f t="shared" ca="1" si="12"/>
        <v>#VALUE!</v>
      </c>
      <c r="P121" s="7" t="e">
        <f t="shared" ca="1" si="13"/>
        <v>#VALUE!</v>
      </c>
    </row>
    <row r="122" spans="1:16" x14ac:dyDescent="0.25">
      <c r="A122" s="19" t="str">
        <f ca="1">IF(OR(INDIRECT("'" &amp; Master!$F$8 &amp; Master!$F$6 &amp; "'!A" &amp; ROW(A122))="", INDIRECT("'" &amp; Master!$F$8 &amp; Master!$F$6 &amp; "'!A" &amp; ROW(A122))=0), "", INDIRECT("'" &amp; Master!$F$8 &amp; Master!$F$6 &amp; "'!A" &amp; ROW(A122)))</f>
        <v/>
      </c>
      <c r="B122" s="4" t="e">
        <f ca="1">SplineInterp(INDIRECT("A" &amp; ROW()),INDIRECT("'" &amp;Master!$F$10&amp; "'!$A$2:$A$50"),INDIRECT("'" &amp;Master!$F$10&amp; "'!$B$2:$B$50"))</f>
        <v>#VALUE!</v>
      </c>
      <c r="C122" s="4" t="e">
        <f ca="1">SplineInterp(A122,INDIRECT("'" &amp;Master!$F$10&amp; "'!$A$2:$A$50"),INDIRECT("'" &amp;Master!$F$10&amp; "'!$C$2:$C$50"))</f>
        <v>#VALUE!</v>
      </c>
      <c r="D122" s="4" t="e">
        <f ca="1">SplineInterp(A122,INDIRECT("'" &amp;Master!$F$10&amp; "'!$A$2:$A$50"),INDIRECT("'" &amp;Master!$F$10&amp; "'!$D$2:$D$50"))</f>
        <v>#VALUE!</v>
      </c>
      <c r="E122" s="4" t="e">
        <f ca="1">SplineInterp(A122,INDIRECT("'" &amp;Master!$F$10&amp; "'!$A$2:$A$50"),INDIRECT("'" &amp;Master!$F$10&amp; "'!$E$2:$E$50"))</f>
        <v>#VALUE!</v>
      </c>
      <c r="F122" s="4" t="e">
        <f ca="1">SplineInterp(A122,INDIRECT("'" &amp;Master!$F$10&amp; "'!$A$2:$A$50"),INDIRECT("'" &amp;Master!$F$10&amp; "'!$F$2:$F$50"))</f>
        <v>#VALUE!</v>
      </c>
      <c r="G122" s="4" t="e">
        <f ca="1">SplineInterp(A122,INDIRECT("'" &amp;Master!$F$10&amp; "'!$A$2:$A$50"),INDIRECT("'" &amp;Master!$F$10&amp; "'!$G$2:$G$50"))</f>
        <v>#VALUE!</v>
      </c>
      <c r="H122" s="4" t="e">
        <f ca="1">SplineInterp(A122,INDIRECT("'" &amp;Master!$F$10&amp; "'!$A$2:$A$50"),INDIRECT("'" &amp;Master!$F$10&amp; "'!$H$2:$H$50"))</f>
        <v>#VALUE!</v>
      </c>
      <c r="I122" s="4" t="e">
        <f ca="1">IF(OR(INDIRECT("'" &amp; Master!$F$8 &amp; Master!$F$6 &amp; "'!B" &amp; ROW(B122))="", INDIRECT("'" &amp; Master!$F$8 &amp; Master!$F$6 &amp; "'!B" &amp; ROW(B122))=0), "", INDIRECT("'" &amp; Master!$F$8 &amp; Master!$F$6 &amp; "'!B" &amp; ROW(B122)))</f>
        <v>#VALUE!</v>
      </c>
      <c r="J122" s="9" t="e">
        <f t="shared" ca="1" si="7"/>
        <v>#VALUE!</v>
      </c>
      <c r="K122" s="7" t="e">
        <f t="shared" ca="1" si="8"/>
        <v>#VALUE!</v>
      </c>
      <c r="L122" s="7" t="e">
        <f t="shared" ca="1" si="9"/>
        <v>#VALUE!</v>
      </c>
      <c r="M122" s="7" t="e">
        <f t="shared" ca="1" si="10"/>
        <v>#VALUE!</v>
      </c>
      <c r="N122" s="7" t="e">
        <f t="shared" ca="1" si="11"/>
        <v>#VALUE!</v>
      </c>
      <c r="O122" s="7" t="e">
        <f t="shared" ca="1" si="12"/>
        <v>#VALUE!</v>
      </c>
      <c r="P122" s="7" t="e">
        <f t="shared" ca="1" si="13"/>
        <v>#VALUE!</v>
      </c>
    </row>
    <row r="123" spans="1:16" x14ac:dyDescent="0.25">
      <c r="A123" s="19" t="str">
        <f ca="1">IF(OR(INDIRECT("'" &amp; Master!$F$8 &amp; Master!$F$6 &amp; "'!A" &amp; ROW(A123))="", INDIRECT("'" &amp; Master!$F$8 &amp; Master!$F$6 &amp; "'!A" &amp; ROW(A123))=0), "", INDIRECT("'" &amp; Master!$F$8 &amp; Master!$F$6 &amp; "'!A" &amp; ROW(A123)))</f>
        <v/>
      </c>
      <c r="B123" s="4" t="e">
        <f ca="1">SplineInterp(INDIRECT("A" &amp; ROW()),INDIRECT("'" &amp;Master!$F$10&amp; "'!$A$2:$A$50"),INDIRECT("'" &amp;Master!$F$10&amp; "'!$B$2:$B$50"))</f>
        <v>#VALUE!</v>
      </c>
      <c r="C123" s="4" t="e">
        <f ca="1">SplineInterp(A123,INDIRECT("'" &amp;Master!$F$10&amp; "'!$A$2:$A$50"),INDIRECT("'" &amp;Master!$F$10&amp; "'!$C$2:$C$50"))</f>
        <v>#VALUE!</v>
      </c>
      <c r="D123" s="4" t="e">
        <f ca="1">SplineInterp(A123,INDIRECT("'" &amp;Master!$F$10&amp; "'!$A$2:$A$50"),INDIRECT("'" &amp;Master!$F$10&amp; "'!$D$2:$D$50"))</f>
        <v>#VALUE!</v>
      </c>
      <c r="E123" s="4" t="e">
        <f ca="1">SplineInterp(A123,INDIRECT("'" &amp;Master!$F$10&amp; "'!$A$2:$A$50"),INDIRECT("'" &amp;Master!$F$10&amp; "'!$E$2:$E$50"))</f>
        <v>#VALUE!</v>
      </c>
      <c r="F123" s="4" t="e">
        <f ca="1">SplineInterp(A123,INDIRECT("'" &amp;Master!$F$10&amp; "'!$A$2:$A$50"),INDIRECT("'" &amp;Master!$F$10&amp; "'!$F$2:$F$50"))</f>
        <v>#VALUE!</v>
      </c>
      <c r="G123" s="4" t="e">
        <f ca="1">SplineInterp(A123,INDIRECT("'" &amp;Master!$F$10&amp; "'!$A$2:$A$50"),INDIRECT("'" &amp;Master!$F$10&amp; "'!$G$2:$G$50"))</f>
        <v>#VALUE!</v>
      </c>
      <c r="H123" s="4" t="e">
        <f ca="1">SplineInterp(A123,INDIRECT("'" &amp;Master!$F$10&amp; "'!$A$2:$A$50"),INDIRECT("'" &amp;Master!$F$10&amp; "'!$H$2:$H$50"))</f>
        <v>#VALUE!</v>
      </c>
      <c r="I123" s="4" t="e">
        <f ca="1">IF(OR(INDIRECT("'" &amp; Master!$F$8 &amp; Master!$F$6 &amp; "'!B" &amp; ROW(B123))="", INDIRECT("'" &amp; Master!$F$8 &amp; Master!$F$6 &amp; "'!B" &amp; ROW(B123))=0), "", INDIRECT("'" &amp; Master!$F$8 &amp; Master!$F$6 &amp; "'!B" &amp; ROW(B123)))</f>
        <v>#VALUE!</v>
      </c>
      <c r="J123" s="9" t="e">
        <f t="shared" ca="1" si="7"/>
        <v>#VALUE!</v>
      </c>
      <c r="K123" s="7" t="e">
        <f t="shared" ca="1" si="8"/>
        <v>#VALUE!</v>
      </c>
      <c r="L123" s="7" t="e">
        <f t="shared" ca="1" si="9"/>
        <v>#VALUE!</v>
      </c>
      <c r="M123" s="7" t="e">
        <f t="shared" ca="1" si="10"/>
        <v>#VALUE!</v>
      </c>
      <c r="N123" s="7" t="e">
        <f t="shared" ca="1" si="11"/>
        <v>#VALUE!</v>
      </c>
      <c r="O123" s="7" t="e">
        <f t="shared" ca="1" si="12"/>
        <v>#VALUE!</v>
      </c>
      <c r="P123" s="7" t="e">
        <f t="shared" ca="1" si="13"/>
        <v>#VALUE!</v>
      </c>
    </row>
    <row r="124" spans="1:16" x14ac:dyDescent="0.25">
      <c r="A124" s="19" t="str">
        <f ca="1">IF(OR(INDIRECT("'" &amp; Master!$F$8 &amp; Master!$F$6 &amp; "'!A" &amp; ROW(A124))="", INDIRECT("'" &amp; Master!$F$8 &amp; Master!$F$6 &amp; "'!A" &amp; ROW(A124))=0), "", INDIRECT("'" &amp; Master!$F$8 &amp; Master!$F$6 &amp; "'!A" &amp; ROW(A124)))</f>
        <v/>
      </c>
      <c r="B124" s="4" t="e">
        <f ca="1">SplineInterp(INDIRECT("A" &amp; ROW()),INDIRECT("'" &amp;Master!$F$10&amp; "'!$A$2:$A$50"),INDIRECT("'" &amp;Master!$F$10&amp; "'!$B$2:$B$50"))</f>
        <v>#VALUE!</v>
      </c>
      <c r="C124" s="4" t="e">
        <f ca="1">SplineInterp(A124,INDIRECT("'" &amp;Master!$F$10&amp; "'!$A$2:$A$50"),INDIRECT("'" &amp;Master!$F$10&amp; "'!$C$2:$C$50"))</f>
        <v>#VALUE!</v>
      </c>
      <c r="D124" s="4" t="e">
        <f ca="1">SplineInterp(A124,INDIRECT("'" &amp;Master!$F$10&amp; "'!$A$2:$A$50"),INDIRECT("'" &amp;Master!$F$10&amp; "'!$D$2:$D$50"))</f>
        <v>#VALUE!</v>
      </c>
      <c r="E124" s="4" t="e">
        <f ca="1">SplineInterp(A124,INDIRECT("'" &amp;Master!$F$10&amp; "'!$A$2:$A$50"),INDIRECT("'" &amp;Master!$F$10&amp; "'!$E$2:$E$50"))</f>
        <v>#VALUE!</v>
      </c>
      <c r="F124" s="4" t="e">
        <f ca="1">SplineInterp(A124,INDIRECT("'" &amp;Master!$F$10&amp; "'!$A$2:$A$50"),INDIRECT("'" &amp;Master!$F$10&amp; "'!$F$2:$F$50"))</f>
        <v>#VALUE!</v>
      </c>
      <c r="G124" s="4" t="e">
        <f ca="1">SplineInterp(A124,INDIRECT("'" &amp;Master!$F$10&amp; "'!$A$2:$A$50"),INDIRECT("'" &amp;Master!$F$10&amp; "'!$G$2:$G$50"))</f>
        <v>#VALUE!</v>
      </c>
      <c r="H124" s="4" t="e">
        <f ca="1">SplineInterp(A124,INDIRECT("'" &amp;Master!$F$10&amp; "'!$A$2:$A$50"),INDIRECT("'" &amp;Master!$F$10&amp; "'!$H$2:$H$50"))</f>
        <v>#VALUE!</v>
      </c>
      <c r="I124" s="4" t="e">
        <f ca="1">IF(OR(INDIRECT("'" &amp; Master!$F$8 &amp; Master!$F$6 &amp; "'!B" &amp; ROW(B124))="", INDIRECT("'" &amp; Master!$F$8 &amp; Master!$F$6 &amp; "'!B" &amp; ROW(B124))=0), "", INDIRECT("'" &amp; Master!$F$8 &amp; Master!$F$6 &amp; "'!B" &amp; ROW(B124)))</f>
        <v>#VALUE!</v>
      </c>
      <c r="J124" s="9" t="e">
        <f t="shared" ca="1" si="7"/>
        <v>#VALUE!</v>
      </c>
      <c r="K124" s="7" t="e">
        <f t="shared" ca="1" si="8"/>
        <v>#VALUE!</v>
      </c>
      <c r="L124" s="7" t="e">
        <f t="shared" ca="1" si="9"/>
        <v>#VALUE!</v>
      </c>
      <c r="M124" s="7" t="e">
        <f t="shared" ca="1" si="10"/>
        <v>#VALUE!</v>
      </c>
      <c r="N124" s="7" t="e">
        <f t="shared" ca="1" si="11"/>
        <v>#VALUE!</v>
      </c>
      <c r="O124" s="7" t="e">
        <f t="shared" ca="1" si="12"/>
        <v>#VALUE!</v>
      </c>
      <c r="P124" s="7" t="e">
        <f t="shared" ca="1" si="13"/>
        <v>#VALUE!</v>
      </c>
    </row>
    <row r="125" spans="1:16" x14ac:dyDescent="0.25">
      <c r="A125" s="19" t="str">
        <f ca="1">IF(OR(INDIRECT("'" &amp; Master!$F$8 &amp; Master!$F$6 &amp; "'!A" &amp; ROW(A125))="", INDIRECT("'" &amp; Master!$F$8 &amp; Master!$F$6 &amp; "'!A" &amp; ROW(A125))=0), "", INDIRECT("'" &amp; Master!$F$8 &amp; Master!$F$6 &amp; "'!A" &amp; ROW(A125)))</f>
        <v/>
      </c>
      <c r="B125" s="4" t="e">
        <f ca="1">SplineInterp(INDIRECT("A" &amp; ROW()),INDIRECT("'" &amp;Master!$F$10&amp; "'!$A$2:$A$50"),INDIRECT("'" &amp;Master!$F$10&amp; "'!$B$2:$B$50"))</f>
        <v>#VALUE!</v>
      </c>
      <c r="C125" s="4" t="e">
        <f ca="1">SplineInterp(A125,INDIRECT("'" &amp;Master!$F$10&amp; "'!$A$2:$A$50"),INDIRECT("'" &amp;Master!$F$10&amp; "'!$C$2:$C$50"))</f>
        <v>#VALUE!</v>
      </c>
      <c r="D125" s="4" t="e">
        <f ca="1">SplineInterp(A125,INDIRECT("'" &amp;Master!$F$10&amp; "'!$A$2:$A$50"),INDIRECT("'" &amp;Master!$F$10&amp; "'!$D$2:$D$50"))</f>
        <v>#VALUE!</v>
      </c>
      <c r="E125" s="4" t="e">
        <f ca="1">SplineInterp(A125,INDIRECT("'" &amp;Master!$F$10&amp; "'!$A$2:$A$50"),INDIRECT("'" &amp;Master!$F$10&amp; "'!$E$2:$E$50"))</f>
        <v>#VALUE!</v>
      </c>
      <c r="F125" s="4" t="e">
        <f ca="1">SplineInterp(A125,INDIRECT("'" &amp;Master!$F$10&amp; "'!$A$2:$A$50"),INDIRECT("'" &amp;Master!$F$10&amp; "'!$F$2:$F$50"))</f>
        <v>#VALUE!</v>
      </c>
      <c r="G125" s="4" t="e">
        <f ca="1">SplineInterp(A125,INDIRECT("'" &amp;Master!$F$10&amp; "'!$A$2:$A$50"),INDIRECT("'" &amp;Master!$F$10&amp; "'!$G$2:$G$50"))</f>
        <v>#VALUE!</v>
      </c>
      <c r="H125" s="4" t="e">
        <f ca="1">SplineInterp(A125,INDIRECT("'" &amp;Master!$F$10&amp; "'!$A$2:$A$50"),INDIRECT("'" &amp;Master!$F$10&amp; "'!$H$2:$H$50"))</f>
        <v>#VALUE!</v>
      </c>
      <c r="I125" s="4" t="e">
        <f ca="1">IF(OR(INDIRECT("'" &amp; Master!$F$8 &amp; Master!$F$6 &amp; "'!B" &amp; ROW(B125))="", INDIRECT("'" &amp; Master!$F$8 &amp; Master!$F$6 &amp; "'!B" &amp; ROW(B125))=0), "", INDIRECT("'" &amp; Master!$F$8 &amp; Master!$F$6 &amp; "'!B" &amp; ROW(B125)))</f>
        <v>#VALUE!</v>
      </c>
      <c r="J125" s="9" t="e">
        <f t="shared" ca="1" si="7"/>
        <v>#VALUE!</v>
      </c>
      <c r="K125" s="7" t="e">
        <f t="shared" ca="1" si="8"/>
        <v>#VALUE!</v>
      </c>
      <c r="L125" s="7" t="e">
        <f t="shared" ca="1" si="9"/>
        <v>#VALUE!</v>
      </c>
      <c r="M125" s="7" t="e">
        <f t="shared" ca="1" si="10"/>
        <v>#VALUE!</v>
      </c>
      <c r="N125" s="7" t="e">
        <f t="shared" ca="1" si="11"/>
        <v>#VALUE!</v>
      </c>
      <c r="O125" s="7" t="e">
        <f t="shared" ca="1" si="12"/>
        <v>#VALUE!</v>
      </c>
      <c r="P125" s="7" t="e">
        <f t="shared" ca="1" si="13"/>
        <v>#VALUE!</v>
      </c>
    </row>
    <row r="126" spans="1:16" x14ac:dyDescent="0.25">
      <c r="A126" s="19" t="str">
        <f ca="1">IF(OR(INDIRECT("'" &amp; Master!$F$8 &amp; Master!$F$6 &amp; "'!A" &amp; ROW(A126))="", INDIRECT("'" &amp; Master!$F$8 &amp; Master!$F$6 &amp; "'!A" &amp; ROW(A126))=0), "", INDIRECT("'" &amp; Master!$F$8 &amp; Master!$F$6 &amp; "'!A" &amp; ROW(A126)))</f>
        <v/>
      </c>
      <c r="B126" s="4" t="e">
        <f ca="1">SplineInterp(INDIRECT("A" &amp; ROW()),INDIRECT("'" &amp;Master!$F$10&amp; "'!$A$2:$A$50"),INDIRECT("'" &amp;Master!$F$10&amp; "'!$B$2:$B$50"))</f>
        <v>#VALUE!</v>
      </c>
      <c r="C126" s="4" t="e">
        <f ca="1">SplineInterp(A126,INDIRECT("'" &amp;Master!$F$10&amp; "'!$A$2:$A$50"),INDIRECT("'" &amp;Master!$F$10&amp; "'!$C$2:$C$50"))</f>
        <v>#VALUE!</v>
      </c>
      <c r="D126" s="4" t="e">
        <f ca="1">SplineInterp(A126,INDIRECT("'" &amp;Master!$F$10&amp; "'!$A$2:$A$50"),INDIRECT("'" &amp;Master!$F$10&amp; "'!$D$2:$D$50"))</f>
        <v>#VALUE!</v>
      </c>
      <c r="E126" s="4" t="e">
        <f ca="1">SplineInterp(A126,INDIRECT("'" &amp;Master!$F$10&amp; "'!$A$2:$A$50"),INDIRECT("'" &amp;Master!$F$10&amp; "'!$E$2:$E$50"))</f>
        <v>#VALUE!</v>
      </c>
      <c r="F126" s="4" t="e">
        <f ca="1">SplineInterp(A126,INDIRECT("'" &amp;Master!$F$10&amp; "'!$A$2:$A$50"),INDIRECT("'" &amp;Master!$F$10&amp; "'!$F$2:$F$50"))</f>
        <v>#VALUE!</v>
      </c>
      <c r="G126" s="4" t="e">
        <f ca="1">SplineInterp(A126,INDIRECT("'" &amp;Master!$F$10&amp; "'!$A$2:$A$50"),INDIRECT("'" &amp;Master!$F$10&amp; "'!$G$2:$G$50"))</f>
        <v>#VALUE!</v>
      </c>
      <c r="H126" s="4" t="e">
        <f ca="1">SplineInterp(A126,INDIRECT("'" &amp;Master!$F$10&amp; "'!$A$2:$A$50"),INDIRECT("'" &amp;Master!$F$10&amp; "'!$H$2:$H$50"))</f>
        <v>#VALUE!</v>
      </c>
      <c r="I126" s="4" t="e">
        <f ca="1">IF(OR(INDIRECT("'" &amp; Master!$F$8 &amp; Master!$F$6 &amp; "'!B" &amp; ROW(B126))="", INDIRECT("'" &amp; Master!$F$8 &amp; Master!$F$6 &amp; "'!B" &amp; ROW(B126))=0), "", INDIRECT("'" &amp; Master!$F$8 &amp; Master!$F$6 &amp; "'!B" &amp; ROW(B126)))</f>
        <v>#VALUE!</v>
      </c>
      <c r="J126" s="9" t="e">
        <f t="shared" ca="1" si="7"/>
        <v>#VALUE!</v>
      </c>
      <c r="K126" s="7" t="e">
        <f t="shared" ca="1" si="8"/>
        <v>#VALUE!</v>
      </c>
      <c r="L126" s="7" t="e">
        <f t="shared" ca="1" si="9"/>
        <v>#VALUE!</v>
      </c>
      <c r="M126" s="7" t="e">
        <f t="shared" ca="1" si="10"/>
        <v>#VALUE!</v>
      </c>
      <c r="N126" s="7" t="e">
        <f t="shared" ca="1" si="11"/>
        <v>#VALUE!</v>
      </c>
      <c r="O126" s="7" t="e">
        <f t="shared" ca="1" si="12"/>
        <v>#VALUE!</v>
      </c>
      <c r="P126" s="7" t="e">
        <f t="shared" ca="1" si="13"/>
        <v>#VALUE!</v>
      </c>
    </row>
    <row r="127" spans="1:16" x14ac:dyDescent="0.25">
      <c r="A127" s="19" t="str">
        <f ca="1">IF(OR(INDIRECT("'" &amp; Master!$F$8 &amp; Master!$F$6 &amp; "'!A" &amp; ROW(A127))="", INDIRECT("'" &amp; Master!$F$8 &amp; Master!$F$6 &amp; "'!A" &amp; ROW(A127))=0), "", INDIRECT("'" &amp; Master!$F$8 &amp; Master!$F$6 &amp; "'!A" &amp; ROW(A127)))</f>
        <v/>
      </c>
      <c r="B127" s="4" t="e">
        <f ca="1">SplineInterp(INDIRECT("A" &amp; ROW()),INDIRECT("'" &amp;Master!$F$10&amp; "'!$A$2:$A$50"),INDIRECT("'" &amp;Master!$F$10&amp; "'!$B$2:$B$50"))</f>
        <v>#VALUE!</v>
      </c>
      <c r="C127" s="4" t="e">
        <f ca="1">SplineInterp(A127,INDIRECT("'" &amp;Master!$F$10&amp; "'!$A$2:$A$50"),INDIRECT("'" &amp;Master!$F$10&amp; "'!$C$2:$C$50"))</f>
        <v>#VALUE!</v>
      </c>
      <c r="D127" s="4" t="e">
        <f ca="1">SplineInterp(A127,INDIRECT("'" &amp;Master!$F$10&amp; "'!$A$2:$A$50"),INDIRECT("'" &amp;Master!$F$10&amp; "'!$D$2:$D$50"))</f>
        <v>#VALUE!</v>
      </c>
      <c r="E127" s="4" t="e">
        <f ca="1">SplineInterp(A127,INDIRECT("'" &amp;Master!$F$10&amp; "'!$A$2:$A$50"),INDIRECT("'" &amp;Master!$F$10&amp; "'!$E$2:$E$50"))</f>
        <v>#VALUE!</v>
      </c>
      <c r="F127" s="4" t="e">
        <f ca="1">SplineInterp(A127,INDIRECT("'" &amp;Master!$F$10&amp; "'!$A$2:$A$50"),INDIRECT("'" &amp;Master!$F$10&amp; "'!$F$2:$F$50"))</f>
        <v>#VALUE!</v>
      </c>
      <c r="G127" s="4" t="e">
        <f ca="1">SplineInterp(A127,INDIRECT("'" &amp;Master!$F$10&amp; "'!$A$2:$A$50"),INDIRECT("'" &amp;Master!$F$10&amp; "'!$G$2:$G$50"))</f>
        <v>#VALUE!</v>
      </c>
      <c r="H127" s="4" t="e">
        <f ca="1">SplineInterp(A127,INDIRECT("'" &amp;Master!$F$10&amp; "'!$A$2:$A$50"),INDIRECT("'" &amp;Master!$F$10&amp; "'!$H$2:$H$50"))</f>
        <v>#VALUE!</v>
      </c>
      <c r="I127" s="4" t="e">
        <f ca="1">IF(OR(INDIRECT("'" &amp; Master!$F$8 &amp; Master!$F$6 &amp; "'!B" &amp; ROW(B127))="", INDIRECT("'" &amp; Master!$F$8 &amp; Master!$F$6 &amp; "'!B" &amp; ROW(B127))=0), "", INDIRECT("'" &amp; Master!$F$8 &amp; Master!$F$6 &amp; "'!B" &amp; ROW(B127)))</f>
        <v>#VALUE!</v>
      </c>
      <c r="J127" s="9" t="e">
        <f t="shared" ca="1" si="7"/>
        <v>#VALUE!</v>
      </c>
      <c r="K127" s="7" t="e">
        <f t="shared" ca="1" si="8"/>
        <v>#VALUE!</v>
      </c>
      <c r="L127" s="7" t="e">
        <f t="shared" ca="1" si="9"/>
        <v>#VALUE!</v>
      </c>
      <c r="M127" s="7" t="e">
        <f t="shared" ca="1" si="10"/>
        <v>#VALUE!</v>
      </c>
      <c r="N127" s="7" t="e">
        <f t="shared" ca="1" si="11"/>
        <v>#VALUE!</v>
      </c>
      <c r="O127" s="7" t="e">
        <f t="shared" ca="1" si="12"/>
        <v>#VALUE!</v>
      </c>
      <c r="P127" s="7" t="e">
        <f t="shared" ca="1" si="13"/>
        <v>#VALUE!</v>
      </c>
    </row>
    <row r="128" spans="1:16" x14ac:dyDescent="0.25">
      <c r="A128" s="19" t="str">
        <f ca="1">IF(OR(INDIRECT("'" &amp; Master!$F$8 &amp; Master!$F$6 &amp; "'!A" &amp; ROW(A128))="", INDIRECT("'" &amp; Master!$F$8 &amp; Master!$F$6 &amp; "'!A" &amp; ROW(A128))=0), "", INDIRECT("'" &amp; Master!$F$8 &amp; Master!$F$6 &amp; "'!A" &amp; ROW(A128)))</f>
        <v/>
      </c>
      <c r="B128" s="4" t="e">
        <f ca="1">SplineInterp(INDIRECT("A" &amp; ROW()),INDIRECT("'" &amp;Master!$F$10&amp; "'!$A$2:$A$50"),INDIRECT("'" &amp;Master!$F$10&amp; "'!$B$2:$B$50"))</f>
        <v>#VALUE!</v>
      </c>
      <c r="C128" s="4" t="e">
        <f ca="1">SplineInterp(A128,INDIRECT("'" &amp;Master!$F$10&amp; "'!$A$2:$A$50"),INDIRECT("'" &amp;Master!$F$10&amp; "'!$C$2:$C$50"))</f>
        <v>#VALUE!</v>
      </c>
      <c r="D128" s="4" t="e">
        <f ca="1">SplineInterp(A128,INDIRECT("'" &amp;Master!$F$10&amp; "'!$A$2:$A$50"),INDIRECT("'" &amp;Master!$F$10&amp; "'!$D$2:$D$50"))</f>
        <v>#VALUE!</v>
      </c>
      <c r="E128" s="4" t="e">
        <f ca="1">SplineInterp(A128,INDIRECT("'" &amp;Master!$F$10&amp; "'!$A$2:$A$50"),INDIRECT("'" &amp;Master!$F$10&amp; "'!$E$2:$E$50"))</f>
        <v>#VALUE!</v>
      </c>
      <c r="F128" s="4" t="e">
        <f ca="1">SplineInterp(A128,INDIRECT("'" &amp;Master!$F$10&amp; "'!$A$2:$A$50"),INDIRECT("'" &amp;Master!$F$10&amp; "'!$F$2:$F$50"))</f>
        <v>#VALUE!</v>
      </c>
      <c r="G128" s="4" t="e">
        <f ca="1">SplineInterp(A128,INDIRECT("'" &amp;Master!$F$10&amp; "'!$A$2:$A$50"),INDIRECT("'" &amp;Master!$F$10&amp; "'!$G$2:$G$50"))</f>
        <v>#VALUE!</v>
      </c>
      <c r="H128" s="4" t="e">
        <f ca="1">SplineInterp(A128,INDIRECT("'" &amp;Master!$F$10&amp; "'!$A$2:$A$50"),INDIRECT("'" &amp;Master!$F$10&amp; "'!$H$2:$H$50"))</f>
        <v>#VALUE!</v>
      </c>
      <c r="I128" s="4" t="e">
        <f ca="1">IF(OR(INDIRECT("'" &amp; Master!$F$8 &amp; Master!$F$6 &amp; "'!B" &amp; ROW(B128))="", INDIRECT("'" &amp; Master!$F$8 &amp; Master!$F$6 &amp; "'!B" &amp; ROW(B128))=0), "", INDIRECT("'" &amp; Master!$F$8 &amp; Master!$F$6 &amp; "'!B" &amp; ROW(B128)))</f>
        <v>#VALUE!</v>
      </c>
      <c r="J128" s="9" t="e">
        <f t="shared" ca="1" si="7"/>
        <v>#VALUE!</v>
      </c>
      <c r="K128" s="7" t="e">
        <f t="shared" ca="1" si="8"/>
        <v>#VALUE!</v>
      </c>
      <c r="L128" s="7" t="e">
        <f t="shared" ca="1" si="9"/>
        <v>#VALUE!</v>
      </c>
      <c r="M128" s="7" t="e">
        <f t="shared" ca="1" si="10"/>
        <v>#VALUE!</v>
      </c>
      <c r="N128" s="7" t="e">
        <f t="shared" ca="1" si="11"/>
        <v>#VALUE!</v>
      </c>
      <c r="O128" s="7" t="e">
        <f t="shared" ca="1" si="12"/>
        <v>#VALUE!</v>
      </c>
      <c r="P128" s="7" t="e">
        <f t="shared" ca="1" si="13"/>
        <v>#VALUE!</v>
      </c>
    </row>
    <row r="129" spans="1:16" x14ac:dyDescent="0.25">
      <c r="A129" s="19" t="str">
        <f ca="1">IF(OR(INDIRECT("'" &amp; Master!$F$8 &amp; Master!$F$6 &amp; "'!A" &amp; ROW(A129))="", INDIRECT("'" &amp; Master!$F$8 &amp; Master!$F$6 &amp; "'!A" &amp; ROW(A129))=0), "", INDIRECT("'" &amp; Master!$F$8 &amp; Master!$F$6 &amp; "'!A" &amp; ROW(A129)))</f>
        <v/>
      </c>
      <c r="B129" s="4" t="e">
        <f ca="1">SplineInterp(INDIRECT("A" &amp; ROW()),INDIRECT("'" &amp;Master!$F$10&amp; "'!$A$2:$A$50"),INDIRECT("'" &amp;Master!$F$10&amp; "'!$B$2:$B$50"))</f>
        <v>#VALUE!</v>
      </c>
      <c r="C129" s="4" t="e">
        <f ca="1">SplineInterp(A129,INDIRECT("'" &amp;Master!$F$10&amp; "'!$A$2:$A$50"),INDIRECT("'" &amp;Master!$F$10&amp; "'!$C$2:$C$50"))</f>
        <v>#VALUE!</v>
      </c>
      <c r="D129" s="4" t="e">
        <f ca="1">SplineInterp(A129,INDIRECT("'" &amp;Master!$F$10&amp; "'!$A$2:$A$50"),INDIRECT("'" &amp;Master!$F$10&amp; "'!$D$2:$D$50"))</f>
        <v>#VALUE!</v>
      </c>
      <c r="E129" s="4" t="e">
        <f ca="1">SplineInterp(A129,INDIRECT("'" &amp;Master!$F$10&amp; "'!$A$2:$A$50"),INDIRECT("'" &amp;Master!$F$10&amp; "'!$E$2:$E$50"))</f>
        <v>#VALUE!</v>
      </c>
      <c r="F129" s="4" t="e">
        <f ca="1">SplineInterp(A129,INDIRECT("'" &amp;Master!$F$10&amp; "'!$A$2:$A$50"),INDIRECT("'" &amp;Master!$F$10&amp; "'!$F$2:$F$50"))</f>
        <v>#VALUE!</v>
      </c>
      <c r="G129" s="4" t="e">
        <f ca="1">SplineInterp(A129,INDIRECT("'" &amp;Master!$F$10&amp; "'!$A$2:$A$50"),INDIRECT("'" &amp;Master!$F$10&amp; "'!$G$2:$G$50"))</f>
        <v>#VALUE!</v>
      </c>
      <c r="H129" s="4" t="e">
        <f ca="1">SplineInterp(A129,INDIRECT("'" &amp;Master!$F$10&amp; "'!$A$2:$A$50"),INDIRECT("'" &amp;Master!$F$10&amp; "'!$H$2:$H$50"))</f>
        <v>#VALUE!</v>
      </c>
      <c r="I129" s="4" t="e">
        <f ca="1">IF(OR(INDIRECT("'" &amp; Master!$F$8 &amp; Master!$F$6 &amp; "'!B" &amp; ROW(B129))="", INDIRECT("'" &amp; Master!$F$8 &amp; Master!$F$6 &amp; "'!B" &amp; ROW(B129))=0), "", INDIRECT("'" &amp; Master!$F$8 &amp; Master!$F$6 &amp; "'!B" &amp; ROW(B129)))</f>
        <v>#VALUE!</v>
      </c>
      <c r="J129" s="9" t="e">
        <f t="shared" ca="1" si="7"/>
        <v>#VALUE!</v>
      </c>
      <c r="K129" s="7" t="e">
        <f t="shared" ca="1" si="8"/>
        <v>#VALUE!</v>
      </c>
      <c r="L129" s="7" t="e">
        <f t="shared" ca="1" si="9"/>
        <v>#VALUE!</v>
      </c>
      <c r="M129" s="7" t="e">
        <f t="shared" ca="1" si="10"/>
        <v>#VALUE!</v>
      </c>
      <c r="N129" s="7" t="e">
        <f t="shared" ca="1" si="11"/>
        <v>#VALUE!</v>
      </c>
      <c r="O129" s="7" t="e">
        <f t="shared" ca="1" si="12"/>
        <v>#VALUE!</v>
      </c>
      <c r="P129" s="7" t="e">
        <f t="shared" ca="1" si="13"/>
        <v>#VALUE!</v>
      </c>
    </row>
    <row r="130" spans="1:16" x14ac:dyDescent="0.25">
      <c r="A130" s="19" t="str">
        <f ca="1">IF(OR(INDIRECT("'" &amp; Master!$F$8 &amp; Master!$F$6 &amp; "'!A" &amp; ROW(A130))="", INDIRECT("'" &amp; Master!$F$8 &amp; Master!$F$6 &amp; "'!A" &amp; ROW(A130))=0), "", INDIRECT("'" &amp; Master!$F$8 &amp; Master!$F$6 &amp; "'!A" &amp; ROW(A130)))</f>
        <v/>
      </c>
      <c r="B130" s="4" t="e">
        <f ca="1">SplineInterp(INDIRECT("A" &amp; ROW()),INDIRECT("'" &amp;Master!$F$10&amp; "'!$A$2:$A$50"),INDIRECT("'" &amp;Master!$F$10&amp; "'!$B$2:$B$50"))</f>
        <v>#VALUE!</v>
      </c>
      <c r="C130" s="4" t="e">
        <f ca="1">SplineInterp(A130,INDIRECT("'" &amp;Master!$F$10&amp; "'!$A$2:$A$50"),INDIRECT("'" &amp;Master!$F$10&amp; "'!$C$2:$C$50"))</f>
        <v>#VALUE!</v>
      </c>
      <c r="D130" s="4" t="e">
        <f ca="1">SplineInterp(A130,INDIRECT("'" &amp;Master!$F$10&amp; "'!$A$2:$A$50"),INDIRECT("'" &amp;Master!$F$10&amp; "'!$D$2:$D$50"))</f>
        <v>#VALUE!</v>
      </c>
      <c r="E130" s="4" t="e">
        <f ca="1">SplineInterp(A130,INDIRECT("'" &amp;Master!$F$10&amp; "'!$A$2:$A$50"),INDIRECT("'" &amp;Master!$F$10&amp; "'!$E$2:$E$50"))</f>
        <v>#VALUE!</v>
      </c>
      <c r="F130" s="4" t="e">
        <f ca="1">SplineInterp(A130,INDIRECT("'" &amp;Master!$F$10&amp; "'!$A$2:$A$50"),INDIRECT("'" &amp;Master!$F$10&amp; "'!$F$2:$F$50"))</f>
        <v>#VALUE!</v>
      </c>
      <c r="G130" s="4" t="e">
        <f ca="1">SplineInterp(A130,INDIRECT("'" &amp;Master!$F$10&amp; "'!$A$2:$A$50"),INDIRECT("'" &amp;Master!$F$10&amp; "'!$G$2:$G$50"))</f>
        <v>#VALUE!</v>
      </c>
      <c r="H130" s="4" t="e">
        <f ca="1">SplineInterp(A130,INDIRECT("'" &amp;Master!$F$10&amp; "'!$A$2:$A$50"),INDIRECT("'" &amp;Master!$F$10&amp; "'!$H$2:$H$50"))</f>
        <v>#VALUE!</v>
      </c>
      <c r="I130" s="4" t="e">
        <f ca="1">IF(OR(INDIRECT("'" &amp; Master!$F$8 &amp; Master!$F$6 &amp; "'!B" &amp; ROW(B130))="", INDIRECT("'" &amp; Master!$F$8 &amp; Master!$F$6 &amp; "'!B" &amp; ROW(B130))=0), "", INDIRECT("'" &amp; Master!$F$8 &amp; Master!$F$6 &amp; "'!B" &amp; ROW(B130)))</f>
        <v>#VALUE!</v>
      </c>
      <c r="J130" s="9" t="e">
        <f t="shared" ca="1" si="7"/>
        <v>#VALUE!</v>
      </c>
      <c r="K130" s="7" t="e">
        <f t="shared" ca="1" si="8"/>
        <v>#VALUE!</v>
      </c>
      <c r="L130" s="7" t="e">
        <f t="shared" ca="1" si="9"/>
        <v>#VALUE!</v>
      </c>
      <c r="M130" s="7" t="e">
        <f t="shared" ca="1" si="10"/>
        <v>#VALUE!</v>
      </c>
      <c r="N130" s="7" t="e">
        <f t="shared" ca="1" si="11"/>
        <v>#VALUE!</v>
      </c>
      <c r="O130" s="7" t="e">
        <f t="shared" ca="1" si="12"/>
        <v>#VALUE!</v>
      </c>
      <c r="P130" s="7" t="e">
        <f t="shared" ca="1" si="13"/>
        <v>#VALUE!</v>
      </c>
    </row>
    <row r="131" spans="1:16" x14ac:dyDescent="0.25">
      <c r="A131" s="19" t="str">
        <f ca="1">IF(OR(INDIRECT("'" &amp; Master!$F$8 &amp; Master!$F$6 &amp; "'!A" &amp; ROW(A131))="", INDIRECT("'" &amp; Master!$F$8 &amp; Master!$F$6 &amp; "'!A" &amp; ROW(A131))=0), "", INDIRECT("'" &amp; Master!$F$8 &amp; Master!$F$6 &amp; "'!A" &amp; ROW(A131)))</f>
        <v/>
      </c>
      <c r="B131" s="4" t="e">
        <f ca="1">SplineInterp(INDIRECT("A" &amp; ROW()),INDIRECT("'" &amp;Master!$F$10&amp; "'!$A$2:$A$50"),INDIRECT("'" &amp;Master!$F$10&amp; "'!$B$2:$B$50"))</f>
        <v>#VALUE!</v>
      </c>
      <c r="C131" s="4" t="e">
        <f ca="1">SplineInterp(A131,INDIRECT("'" &amp;Master!$F$10&amp; "'!$A$2:$A$50"),INDIRECT("'" &amp;Master!$F$10&amp; "'!$C$2:$C$50"))</f>
        <v>#VALUE!</v>
      </c>
      <c r="D131" s="4" t="e">
        <f ca="1">SplineInterp(A131,INDIRECT("'" &amp;Master!$F$10&amp; "'!$A$2:$A$50"),INDIRECT("'" &amp;Master!$F$10&amp; "'!$D$2:$D$50"))</f>
        <v>#VALUE!</v>
      </c>
      <c r="E131" s="4" t="e">
        <f ca="1">SplineInterp(A131,INDIRECT("'" &amp;Master!$F$10&amp; "'!$A$2:$A$50"),INDIRECT("'" &amp;Master!$F$10&amp; "'!$E$2:$E$50"))</f>
        <v>#VALUE!</v>
      </c>
      <c r="F131" s="4" t="e">
        <f ca="1">SplineInterp(A131,INDIRECT("'" &amp;Master!$F$10&amp; "'!$A$2:$A$50"),INDIRECT("'" &amp;Master!$F$10&amp; "'!$F$2:$F$50"))</f>
        <v>#VALUE!</v>
      </c>
      <c r="G131" s="4" t="e">
        <f ca="1">SplineInterp(A131,INDIRECT("'" &amp;Master!$F$10&amp; "'!$A$2:$A$50"),INDIRECT("'" &amp;Master!$F$10&amp; "'!$G$2:$G$50"))</f>
        <v>#VALUE!</v>
      </c>
      <c r="H131" s="4" t="e">
        <f ca="1">SplineInterp(A131,INDIRECT("'" &amp;Master!$F$10&amp; "'!$A$2:$A$50"),INDIRECT("'" &amp;Master!$F$10&amp; "'!$H$2:$H$50"))</f>
        <v>#VALUE!</v>
      </c>
      <c r="I131" s="4" t="e">
        <f ca="1">IF(OR(INDIRECT("'" &amp; Master!$F$8 &amp; Master!$F$6 &amp; "'!B" &amp; ROW(B131))="", INDIRECT("'" &amp; Master!$F$8 &amp; Master!$F$6 &amp; "'!B" &amp; ROW(B131))=0), "", INDIRECT("'" &amp; Master!$F$8 &amp; Master!$F$6 &amp; "'!B" &amp; ROW(B131)))</f>
        <v>#VALUE!</v>
      </c>
      <c r="J131" s="9" t="e">
        <f t="shared" ref="J131:J194" ca="1" si="14">B131*I131</f>
        <v>#VALUE!</v>
      </c>
      <c r="K131" s="7" t="e">
        <f t="shared" ref="K131:K194" ca="1" si="15">C131*I131</f>
        <v>#VALUE!</v>
      </c>
      <c r="L131" s="7" t="e">
        <f t="shared" ref="L131:L194" ca="1" si="16">D131*I131</f>
        <v>#VALUE!</v>
      </c>
      <c r="M131" s="7" t="e">
        <f t="shared" ref="M131:M194" ca="1" si="17">E131*I131</f>
        <v>#VALUE!</v>
      </c>
      <c r="N131" s="7" t="e">
        <f t="shared" ref="N131:N194" ca="1" si="18">F131*I131</f>
        <v>#VALUE!</v>
      </c>
      <c r="O131" s="7" t="e">
        <f t="shared" ref="O131:O194" ca="1" si="19">G131*I131</f>
        <v>#VALUE!</v>
      </c>
      <c r="P131" s="7" t="e">
        <f t="shared" ref="P131:P194" ca="1" si="20">H131*I131</f>
        <v>#VALUE!</v>
      </c>
    </row>
    <row r="132" spans="1:16" x14ac:dyDescent="0.25">
      <c r="A132" s="19" t="str">
        <f ca="1">IF(OR(INDIRECT("'" &amp; Master!$F$8 &amp; Master!$F$6 &amp; "'!A" &amp; ROW(A132))="", INDIRECT("'" &amp; Master!$F$8 &amp; Master!$F$6 &amp; "'!A" &amp; ROW(A132))=0), "", INDIRECT("'" &amp; Master!$F$8 &amp; Master!$F$6 &amp; "'!A" &amp; ROW(A132)))</f>
        <v/>
      </c>
      <c r="B132" s="4" t="e">
        <f ca="1">SplineInterp(INDIRECT("A" &amp; ROW()),INDIRECT("'" &amp;Master!$F$10&amp; "'!$A$2:$A$50"),INDIRECT("'" &amp;Master!$F$10&amp; "'!$B$2:$B$50"))</f>
        <v>#VALUE!</v>
      </c>
      <c r="C132" s="4" t="e">
        <f ca="1">SplineInterp(A132,INDIRECT("'" &amp;Master!$F$10&amp; "'!$A$2:$A$50"),INDIRECT("'" &amp;Master!$F$10&amp; "'!$C$2:$C$50"))</f>
        <v>#VALUE!</v>
      </c>
      <c r="D132" s="4" t="e">
        <f ca="1">SplineInterp(A132,INDIRECT("'" &amp;Master!$F$10&amp; "'!$A$2:$A$50"),INDIRECT("'" &amp;Master!$F$10&amp; "'!$D$2:$D$50"))</f>
        <v>#VALUE!</v>
      </c>
      <c r="E132" s="4" t="e">
        <f ca="1">SplineInterp(A132,INDIRECT("'" &amp;Master!$F$10&amp; "'!$A$2:$A$50"),INDIRECT("'" &amp;Master!$F$10&amp; "'!$E$2:$E$50"))</f>
        <v>#VALUE!</v>
      </c>
      <c r="F132" s="4" t="e">
        <f ca="1">SplineInterp(A132,INDIRECT("'" &amp;Master!$F$10&amp; "'!$A$2:$A$50"),INDIRECT("'" &amp;Master!$F$10&amp; "'!$F$2:$F$50"))</f>
        <v>#VALUE!</v>
      </c>
      <c r="G132" s="4" t="e">
        <f ca="1">SplineInterp(A132,INDIRECT("'" &amp;Master!$F$10&amp; "'!$A$2:$A$50"),INDIRECT("'" &amp;Master!$F$10&amp; "'!$G$2:$G$50"))</f>
        <v>#VALUE!</v>
      </c>
      <c r="H132" s="4" t="e">
        <f ca="1">SplineInterp(A132,INDIRECT("'" &amp;Master!$F$10&amp; "'!$A$2:$A$50"),INDIRECT("'" &amp;Master!$F$10&amp; "'!$H$2:$H$50"))</f>
        <v>#VALUE!</v>
      </c>
      <c r="I132" s="4" t="e">
        <f ca="1">IF(OR(INDIRECT("'" &amp; Master!$F$8 &amp; Master!$F$6 &amp; "'!B" &amp; ROW(B132))="", INDIRECT("'" &amp; Master!$F$8 &amp; Master!$F$6 &amp; "'!B" &amp; ROW(B132))=0), "", INDIRECT("'" &amp; Master!$F$8 &amp; Master!$F$6 &amp; "'!B" &amp; ROW(B132)))</f>
        <v>#VALUE!</v>
      </c>
      <c r="J132" s="9" t="e">
        <f t="shared" ca="1" si="14"/>
        <v>#VALUE!</v>
      </c>
      <c r="K132" s="7" t="e">
        <f t="shared" ca="1" si="15"/>
        <v>#VALUE!</v>
      </c>
      <c r="L132" s="7" t="e">
        <f t="shared" ca="1" si="16"/>
        <v>#VALUE!</v>
      </c>
      <c r="M132" s="7" t="e">
        <f t="shared" ca="1" si="17"/>
        <v>#VALUE!</v>
      </c>
      <c r="N132" s="7" t="e">
        <f t="shared" ca="1" si="18"/>
        <v>#VALUE!</v>
      </c>
      <c r="O132" s="7" t="e">
        <f t="shared" ca="1" si="19"/>
        <v>#VALUE!</v>
      </c>
      <c r="P132" s="7" t="e">
        <f t="shared" ca="1" si="20"/>
        <v>#VALUE!</v>
      </c>
    </row>
    <row r="133" spans="1:16" x14ac:dyDescent="0.25">
      <c r="A133" s="19" t="str">
        <f ca="1">IF(OR(INDIRECT("'" &amp; Master!$F$8 &amp; Master!$F$6 &amp; "'!A" &amp; ROW(A133))="", INDIRECT("'" &amp; Master!$F$8 &amp; Master!$F$6 &amp; "'!A" &amp; ROW(A133))=0), "", INDIRECT("'" &amp; Master!$F$8 &amp; Master!$F$6 &amp; "'!A" &amp; ROW(A133)))</f>
        <v/>
      </c>
      <c r="B133" s="4" t="e">
        <f ca="1">SplineInterp(INDIRECT("A" &amp; ROW()),INDIRECT("'" &amp;Master!$F$10&amp; "'!$A$2:$A$50"),INDIRECT("'" &amp;Master!$F$10&amp; "'!$B$2:$B$50"))</f>
        <v>#VALUE!</v>
      </c>
      <c r="C133" s="4" t="e">
        <f ca="1">SplineInterp(A133,INDIRECT("'" &amp;Master!$F$10&amp; "'!$A$2:$A$50"),INDIRECT("'" &amp;Master!$F$10&amp; "'!$C$2:$C$50"))</f>
        <v>#VALUE!</v>
      </c>
      <c r="D133" s="4" t="e">
        <f ca="1">SplineInterp(A133,INDIRECT("'" &amp;Master!$F$10&amp; "'!$A$2:$A$50"),INDIRECT("'" &amp;Master!$F$10&amp; "'!$D$2:$D$50"))</f>
        <v>#VALUE!</v>
      </c>
      <c r="E133" s="4" t="e">
        <f ca="1">SplineInterp(A133,INDIRECT("'" &amp;Master!$F$10&amp; "'!$A$2:$A$50"),INDIRECT("'" &amp;Master!$F$10&amp; "'!$E$2:$E$50"))</f>
        <v>#VALUE!</v>
      </c>
      <c r="F133" s="4" t="e">
        <f ca="1">SplineInterp(A133,INDIRECT("'" &amp;Master!$F$10&amp; "'!$A$2:$A$50"),INDIRECT("'" &amp;Master!$F$10&amp; "'!$F$2:$F$50"))</f>
        <v>#VALUE!</v>
      </c>
      <c r="G133" s="4" t="e">
        <f ca="1">SplineInterp(A133,INDIRECT("'" &amp;Master!$F$10&amp; "'!$A$2:$A$50"),INDIRECT("'" &amp;Master!$F$10&amp; "'!$G$2:$G$50"))</f>
        <v>#VALUE!</v>
      </c>
      <c r="H133" s="4" t="e">
        <f ca="1">SplineInterp(A133,INDIRECT("'" &amp;Master!$F$10&amp; "'!$A$2:$A$50"),INDIRECT("'" &amp;Master!$F$10&amp; "'!$H$2:$H$50"))</f>
        <v>#VALUE!</v>
      </c>
      <c r="I133" s="4" t="e">
        <f ca="1">IF(OR(INDIRECT("'" &amp; Master!$F$8 &amp; Master!$F$6 &amp; "'!B" &amp; ROW(B133))="", INDIRECT("'" &amp; Master!$F$8 &amp; Master!$F$6 &amp; "'!B" &amp; ROW(B133))=0), "", INDIRECT("'" &amp; Master!$F$8 &amp; Master!$F$6 &amp; "'!B" &amp; ROW(B133)))</f>
        <v>#VALUE!</v>
      </c>
      <c r="J133" s="9" t="e">
        <f t="shared" ca="1" si="14"/>
        <v>#VALUE!</v>
      </c>
      <c r="K133" s="7" t="e">
        <f t="shared" ca="1" si="15"/>
        <v>#VALUE!</v>
      </c>
      <c r="L133" s="7" t="e">
        <f t="shared" ca="1" si="16"/>
        <v>#VALUE!</v>
      </c>
      <c r="M133" s="7" t="e">
        <f t="shared" ca="1" si="17"/>
        <v>#VALUE!</v>
      </c>
      <c r="N133" s="7" t="e">
        <f t="shared" ca="1" si="18"/>
        <v>#VALUE!</v>
      </c>
      <c r="O133" s="7" t="e">
        <f t="shared" ca="1" si="19"/>
        <v>#VALUE!</v>
      </c>
      <c r="P133" s="7" t="e">
        <f t="shared" ca="1" si="20"/>
        <v>#VALUE!</v>
      </c>
    </row>
    <row r="134" spans="1:16" x14ac:dyDescent="0.25">
      <c r="A134" s="19" t="str">
        <f ca="1">IF(OR(INDIRECT("'" &amp; Master!$F$8 &amp; Master!$F$6 &amp; "'!A" &amp; ROW(A134))="", INDIRECT("'" &amp; Master!$F$8 &amp; Master!$F$6 &amp; "'!A" &amp; ROW(A134))=0), "", INDIRECT("'" &amp; Master!$F$8 &amp; Master!$F$6 &amp; "'!A" &amp; ROW(A134)))</f>
        <v/>
      </c>
      <c r="B134" s="4" t="e">
        <f ca="1">SplineInterp(INDIRECT("A" &amp; ROW()),INDIRECT("'" &amp;Master!$F$10&amp; "'!$A$2:$A$50"),INDIRECT("'" &amp;Master!$F$10&amp; "'!$B$2:$B$50"))</f>
        <v>#VALUE!</v>
      </c>
      <c r="C134" s="4" t="e">
        <f ca="1">SplineInterp(A134,INDIRECT("'" &amp;Master!$F$10&amp; "'!$A$2:$A$50"),INDIRECT("'" &amp;Master!$F$10&amp; "'!$C$2:$C$50"))</f>
        <v>#VALUE!</v>
      </c>
      <c r="D134" s="4" t="e">
        <f ca="1">SplineInterp(A134,INDIRECT("'" &amp;Master!$F$10&amp; "'!$A$2:$A$50"),INDIRECT("'" &amp;Master!$F$10&amp; "'!$D$2:$D$50"))</f>
        <v>#VALUE!</v>
      </c>
      <c r="E134" s="4" t="e">
        <f ca="1">SplineInterp(A134,INDIRECT("'" &amp;Master!$F$10&amp; "'!$A$2:$A$50"),INDIRECT("'" &amp;Master!$F$10&amp; "'!$E$2:$E$50"))</f>
        <v>#VALUE!</v>
      </c>
      <c r="F134" s="4" t="e">
        <f ca="1">SplineInterp(A134,INDIRECT("'" &amp;Master!$F$10&amp; "'!$A$2:$A$50"),INDIRECT("'" &amp;Master!$F$10&amp; "'!$F$2:$F$50"))</f>
        <v>#VALUE!</v>
      </c>
      <c r="G134" s="4" t="e">
        <f ca="1">SplineInterp(A134,INDIRECT("'" &amp;Master!$F$10&amp; "'!$A$2:$A$50"),INDIRECT("'" &amp;Master!$F$10&amp; "'!$G$2:$G$50"))</f>
        <v>#VALUE!</v>
      </c>
      <c r="H134" s="4" t="e">
        <f ca="1">SplineInterp(A134,INDIRECT("'" &amp;Master!$F$10&amp; "'!$A$2:$A$50"),INDIRECT("'" &amp;Master!$F$10&amp; "'!$H$2:$H$50"))</f>
        <v>#VALUE!</v>
      </c>
      <c r="I134" s="4" t="e">
        <f ca="1">IF(OR(INDIRECT("'" &amp; Master!$F$8 &amp; Master!$F$6 &amp; "'!B" &amp; ROW(B134))="", INDIRECT("'" &amp; Master!$F$8 &amp; Master!$F$6 &amp; "'!B" &amp; ROW(B134))=0), "", INDIRECT("'" &amp; Master!$F$8 &amp; Master!$F$6 &amp; "'!B" &amp; ROW(B134)))</f>
        <v>#VALUE!</v>
      </c>
      <c r="J134" s="9" t="e">
        <f t="shared" ca="1" si="14"/>
        <v>#VALUE!</v>
      </c>
      <c r="K134" s="7" t="e">
        <f t="shared" ca="1" si="15"/>
        <v>#VALUE!</v>
      </c>
      <c r="L134" s="7" t="e">
        <f t="shared" ca="1" si="16"/>
        <v>#VALUE!</v>
      </c>
      <c r="M134" s="7" t="e">
        <f t="shared" ca="1" si="17"/>
        <v>#VALUE!</v>
      </c>
      <c r="N134" s="7" t="e">
        <f t="shared" ca="1" si="18"/>
        <v>#VALUE!</v>
      </c>
      <c r="O134" s="7" t="e">
        <f t="shared" ca="1" si="19"/>
        <v>#VALUE!</v>
      </c>
      <c r="P134" s="7" t="e">
        <f t="shared" ca="1" si="20"/>
        <v>#VALUE!</v>
      </c>
    </row>
    <row r="135" spans="1:16" x14ac:dyDescent="0.25">
      <c r="A135" s="19" t="str">
        <f ca="1">IF(OR(INDIRECT("'" &amp; Master!$F$8 &amp; Master!$F$6 &amp; "'!A" &amp; ROW(A135))="", INDIRECT("'" &amp; Master!$F$8 &amp; Master!$F$6 &amp; "'!A" &amp; ROW(A135))=0), "", INDIRECT("'" &amp; Master!$F$8 &amp; Master!$F$6 &amp; "'!A" &amp; ROW(A135)))</f>
        <v/>
      </c>
      <c r="B135" s="4" t="e">
        <f ca="1">SplineInterp(INDIRECT("A" &amp; ROW()),INDIRECT("'" &amp;Master!$F$10&amp; "'!$A$2:$A$50"),INDIRECT("'" &amp;Master!$F$10&amp; "'!$B$2:$B$50"))</f>
        <v>#VALUE!</v>
      </c>
      <c r="C135" s="4" t="e">
        <f ca="1">SplineInterp(A135,INDIRECT("'" &amp;Master!$F$10&amp; "'!$A$2:$A$50"),INDIRECT("'" &amp;Master!$F$10&amp; "'!$C$2:$C$50"))</f>
        <v>#VALUE!</v>
      </c>
      <c r="D135" s="4" t="e">
        <f ca="1">SplineInterp(A135,INDIRECT("'" &amp;Master!$F$10&amp; "'!$A$2:$A$50"),INDIRECT("'" &amp;Master!$F$10&amp; "'!$D$2:$D$50"))</f>
        <v>#VALUE!</v>
      </c>
      <c r="E135" s="4" t="e">
        <f ca="1">SplineInterp(A135,INDIRECT("'" &amp;Master!$F$10&amp; "'!$A$2:$A$50"),INDIRECT("'" &amp;Master!$F$10&amp; "'!$E$2:$E$50"))</f>
        <v>#VALUE!</v>
      </c>
      <c r="F135" s="4" t="e">
        <f ca="1">SplineInterp(A135,INDIRECT("'" &amp;Master!$F$10&amp; "'!$A$2:$A$50"),INDIRECT("'" &amp;Master!$F$10&amp; "'!$F$2:$F$50"))</f>
        <v>#VALUE!</v>
      </c>
      <c r="G135" s="4" t="e">
        <f ca="1">SplineInterp(A135,INDIRECT("'" &amp;Master!$F$10&amp; "'!$A$2:$A$50"),INDIRECT("'" &amp;Master!$F$10&amp; "'!$G$2:$G$50"))</f>
        <v>#VALUE!</v>
      </c>
      <c r="H135" s="4" t="e">
        <f ca="1">SplineInterp(A135,INDIRECT("'" &amp;Master!$F$10&amp; "'!$A$2:$A$50"),INDIRECT("'" &amp;Master!$F$10&amp; "'!$H$2:$H$50"))</f>
        <v>#VALUE!</v>
      </c>
      <c r="I135" s="4" t="e">
        <f ca="1">IF(OR(INDIRECT("'" &amp; Master!$F$8 &amp; Master!$F$6 &amp; "'!B" &amp; ROW(B135))="", INDIRECT("'" &amp; Master!$F$8 &amp; Master!$F$6 &amp; "'!B" &amp; ROW(B135))=0), "", INDIRECT("'" &amp; Master!$F$8 &amp; Master!$F$6 &amp; "'!B" &amp; ROW(B135)))</f>
        <v>#VALUE!</v>
      </c>
      <c r="J135" s="9" t="e">
        <f t="shared" ca="1" si="14"/>
        <v>#VALUE!</v>
      </c>
      <c r="K135" s="7" t="e">
        <f t="shared" ca="1" si="15"/>
        <v>#VALUE!</v>
      </c>
      <c r="L135" s="7" t="e">
        <f t="shared" ca="1" si="16"/>
        <v>#VALUE!</v>
      </c>
      <c r="M135" s="7" t="e">
        <f t="shared" ca="1" si="17"/>
        <v>#VALUE!</v>
      </c>
      <c r="N135" s="7" t="e">
        <f t="shared" ca="1" si="18"/>
        <v>#VALUE!</v>
      </c>
      <c r="O135" s="7" t="e">
        <f t="shared" ca="1" si="19"/>
        <v>#VALUE!</v>
      </c>
      <c r="P135" s="7" t="e">
        <f t="shared" ca="1" si="20"/>
        <v>#VALUE!</v>
      </c>
    </row>
    <row r="136" spans="1:16" x14ac:dyDescent="0.25">
      <c r="A136" s="19" t="str">
        <f ca="1">IF(OR(INDIRECT("'" &amp; Master!$F$8 &amp; Master!$F$6 &amp; "'!A" &amp; ROW(A136))="", INDIRECT("'" &amp; Master!$F$8 &amp; Master!$F$6 &amp; "'!A" &amp; ROW(A136))=0), "", INDIRECT("'" &amp; Master!$F$8 &amp; Master!$F$6 &amp; "'!A" &amp; ROW(A136)))</f>
        <v/>
      </c>
      <c r="B136" s="4" t="e">
        <f ca="1">SplineInterp(INDIRECT("A" &amp; ROW()),INDIRECT("'" &amp;Master!$F$10&amp; "'!$A$2:$A$50"),INDIRECT("'" &amp;Master!$F$10&amp; "'!$B$2:$B$50"))</f>
        <v>#VALUE!</v>
      </c>
      <c r="C136" s="4" t="e">
        <f ca="1">SplineInterp(A136,INDIRECT("'" &amp;Master!$F$10&amp; "'!$A$2:$A$50"),INDIRECT("'" &amp;Master!$F$10&amp; "'!$C$2:$C$50"))</f>
        <v>#VALUE!</v>
      </c>
      <c r="D136" s="4" t="e">
        <f ca="1">SplineInterp(A136,INDIRECT("'" &amp;Master!$F$10&amp; "'!$A$2:$A$50"),INDIRECT("'" &amp;Master!$F$10&amp; "'!$D$2:$D$50"))</f>
        <v>#VALUE!</v>
      </c>
      <c r="E136" s="4" t="e">
        <f ca="1">SplineInterp(A136,INDIRECT("'" &amp;Master!$F$10&amp; "'!$A$2:$A$50"),INDIRECT("'" &amp;Master!$F$10&amp; "'!$E$2:$E$50"))</f>
        <v>#VALUE!</v>
      </c>
      <c r="F136" s="4" t="e">
        <f ca="1">SplineInterp(A136,INDIRECT("'" &amp;Master!$F$10&amp; "'!$A$2:$A$50"),INDIRECT("'" &amp;Master!$F$10&amp; "'!$F$2:$F$50"))</f>
        <v>#VALUE!</v>
      </c>
      <c r="G136" s="4" t="e">
        <f ca="1">SplineInterp(A136,INDIRECT("'" &amp;Master!$F$10&amp; "'!$A$2:$A$50"),INDIRECT("'" &amp;Master!$F$10&amp; "'!$G$2:$G$50"))</f>
        <v>#VALUE!</v>
      </c>
      <c r="H136" s="4" t="e">
        <f ca="1">SplineInterp(A136,INDIRECT("'" &amp;Master!$F$10&amp; "'!$A$2:$A$50"),INDIRECT("'" &amp;Master!$F$10&amp; "'!$H$2:$H$50"))</f>
        <v>#VALUE!</v>
      </c>
      <c r="I136" s="4" t="e">
        <f ca="1">IF(OR(INDIRECT("'" &amp; Master!$F$8 &amp; Master!$F$6 &amp; "'!B" &amp; ROW(B136))="", INDIRECT("'" &amp; Master!$F$8 &amp; Master!$F$6 &amp; "'!B" &amp; ROW(B136))=0), "", INDIRECT("'" &amp; Master!$F$8 &amp; Master!$F$6 &amp; "'!B" &amp; ROW(B136)))</f>
        <v>#VALUE!</v>
      </c>
      <c r="J136" s="9" t="e">
        <f t="shared" ca="1" si="14"/>
        <v>#VALUE!</v>
      </c>
      <c r="K136" s="7" t="e">
        <f t="shared" ca="1" si="15"/>
        <v>#VALUE!</v>
      </c>
      <c r="L136" s="7" t="e">
        <f t="shared" ca="1" si="16"/>
        <v>#VALUE!</v>
      </c>
      <c r="M136" s="7" t="e">
        <f t="shared" ca="1" si="17"/>
        <v>#VALUE!</v>
      </c>
      <c r="N136" s="7" t="e">
        <f t="shared" ca="1" si="18"/>
        <v>#VALUE!</v>
      </c>
      <c r="O136" s="7" t="e">
        <f t="shared" ca="1" si="19"/>
        <v>#VALUE!</v>
      </c>
      <c r="P136" s="7" t="e">
        <f t="shared" ca="1" si="20"/>
        <v>#VALUE!</v>
      </c>
    </row>
    <row r="137" spans="1:16" x14ac:dyDescent="0.25">
      <c r="A137" s="19" t="str">
        <f ca="1">IF(OR(INDIRECT("'" &amp; Master!$F$8 &amp; Master!$F$6 &amp; "'!A" &amp; ROW(A137))="", INDIRECT("'" &amp; Master!$F$8 &amp; Master!$F$6 &amp; "'!A" &amp; ROW(A137))=0), "", INDIRECT("'" &amp; Master!$F$8 &amp; Master!$F$6 &amp; "'!A" &amp; ROW(A137)))</f>
        <v/>
      </c>
      <c r="B137" s="4" t="e">
        <f ca="1">SplineInterp(INDIRECT("A" &amp; ROW()),INDIRECT("'" &amp;Master!$F$10&amp; "'!$A$2:$A$50"),INDIRECT("'" &amp;Master!$F$10&amp; "'!$B$2:$B$50"))</f>
        <v>#VALUE!</v>
      </c>
      <c r="C137" s="4" t="e">
        <f ca="1">SplineInterp(A137,INDIRECT("'" &amp;Master!$F$10&amp; "'!$A$2:$A$50"),INDIRECT("'" &amp;Master!$F$10&amp; "'!$C$2:$C$50"))</f>
        <v>#VALUE!</v>
      </c>
      <c r="D137" s="4" t="e">
        <f ca="1">SplineInterp(A137,INDIRECT("'" &amp;Master!$F$10&amp; "'!$A$2:$A$50"),INDIRECT("'" &amp;Master!$F$10&amp; "'!$D$2:$D$50"))</f>
        <v>#VALUE!</v>
      </c>
      <c r="E137" s="4" t="e">
        <f ca="1">SplineInterp(A137,INDIRECT("'" &amp;Master!$F$10&amp; "'!$A$2:$A$50"),INDIRECT("'" &amp;Master!$F$10&amp; "'!$E$2:$E$50"))</f>
        <v>#VALUE!</v>
      </c>
      <c r="F137" s="4" t="e">
        <f ca="1">SplineInterp(A137,INDIRECT("'" &amp;Master!$F$10&amp; "'!$A$2:$A$50"),INDIRECT("'" &amp;Master!$F$10&amp; "'!$F$2:$F$50"))</f>
        <v>#VALUE!</v>
      </c>
      <c r="G137" s="4" t="e">
        <f ca="1">SplineInterp(A137,INDIRECT("'" &amp;Master!$F$10&amp; "'!$A$2:$A$50"),INDIRECT("'" &amp;Master!$F$10&amp; "'!$G$2:$G$50"))</f>
        <v>#VALUE!</v>
      </c>
      <c r="H137" s="4" t="e">
        <f ca="1">SplineInterp(A137,INDIRECT("'" &amp;Master!$F$10&amp; "'!$A$2:$A$50"),INDIRECT("'" &amp;Master!$F$10&amp; "'!$H$2:$H$50"))</f>
        <v>#VALUE!</v>
      </c>
      <c r="I137" s="4" t="e">
        <f ca="1">IF(OR(INDIRECT("'" &amp; Master!$F$8 &amp; Master!$F$6 &amp; "'!B" &amp; ROW(B137))="", INDIRECT("'" &amp; Master!$F$8 &amp; Master!$F$6 &amp; "'!B" &amp; ROW(B137))=0), "", INDIRECT("'" &amp; Master!$F$8 &amp; Master!$F$6 &amp; "'!B" &amp; ROW(B137)))</f>
        <v>#VALUE!</v>
      </c>
      <c r="J137" s="9" t="e">
        <f t="shared" ca="1" si="14"/>
        <v>#VALUE!</v>
      </c>
      <c r="K137" s="7" t="e">
        <f t="shared" ca="1" si="15"/>
        <v>#VALUE!</v>
      </c>
      <c r="L137" s="7" t="e">
        <f t="shared" ca="1" si="16"/>
        <v>#VALUE!</v>
      </c>
      <c r="M137" s="7" t="e">
        <f t="shared" ca="1" si="17"/>
        <v>#VALUE!</v>
      </c>
      <c r="N137" s="7" t="e">
        <f t="shared" ca="1" si="18"/>
        <v>#VALUE!</v>
      </c>
      <c r="O137" s="7" t="e">
        <f t="shared" ca="1" si="19"/>
        <v>#VALUE!</v>
      </c>
      <c r="P137" s="7" t="e">
        <f t="shared" ca="1" si="20"/>
        <v>#VALUE!</v>
      </c>
    </row>
    <row r="138" spans="1:16" x14ac:dyDescent="0.25">
      <c r="A138" s="19" t="str">
        <f ca="1">IF(OR(INDIRECT("'" &amp; Master!$F$8 &amp; Master!$F$6 &amp; "'!A" &amp; ROW(A138))="", INDIRECT("'" &amp; Master!$F$8 &amp; Master!$F$6 &amp; "'!A" &amp; ROW(A138))=0), "", INDIRECT("'" &amp; Master!$F$8 &amp; Master!$F$6 &amp; "'!A" &amp; ROW(A138)))</f>
        <v/>
      </c>
      <c r="B138" s="4" t="e">
        <f ca="1">SplineInterp(INDIRECT("A" &amp; ROW()),INDIRECT("'" &amp;Master!$F$10&amp; "'!$A$2:$A$50"),INDIRECT("'" &amp;Master!$F$10&amp; "'!$B$2:$B$50"))</f>
        <v>#VALUE!</v>
      </c>
      <c r="C138" s="4" t="e">
        <f ca="1">SplineInterp(A138,INDIRECT("'" &amp;Master!$F$10&amp; "'!$A$2:$A$50"),INDIRECT("'" &amp;Master!$F$10&amp; "'!$C$2:$C$50"))</f>
        <v>#VALUE!</v>
      </c>
      <c r="D138" s="4" t="e">
        <f ca="1">SplineInterp(A138,INDIRECT("'" &amp;Master!$F$10&amp; "'!$A$2:$A$50"),INDIRECT("'" &amp;Master!$F$10&amp; "'!$D$2:$D$50"))</f>
        <v>#VALUE!</v>
      </c>
      <c r="E138" s="4" t="e">
        <f ca="1">SplineInterp(A138,INDIRECT("'" &amp;Master!$F$10&amp; "'!$A$2:$A$50"),INDIRECT("'" &amp;Master!$F$10&amp; "'!$E$2:$E$50"))</f>
        <v>#VALUE!</v>
      </c>
      <c r="F138" s="4" t="e">
        <f ca="1">SplineInterp(A138,INDIRECT("'" &amp;Master!$F$10&amp; "'!$A$2:$A$50"),INDIRECT("'" &amp;Master!$F$10&amp; "'!$F$2:$F$50"))</f>
        <v>#VALUE!</v>
      </c>
      <c r="G138" s="4" t="e">
        <f ca="1">SplineInterp(A138,INDIRECT("'" &amp;Master!$F$10&amp; "'!$A$2:$A$50"),INDIRECT("'" &amp;Master!$F$10&amp; "'!$G$2:$G$50"))</f>
        <v>#VALUE!</v>
      </c>
      <c r="H138" s="4" t="e">
        <f ca="1">SplineInterp(A138,INDIRECT("'" &amp;Master!$F$10&amp; "'!$A$2:$A$50"),INDIRECT("'" &amp;Master!$F$10&amp; "'!$H$2:$H$50"))</f>
        <v>#VALUE!</v>
      </c>
      <c r="I138" s="4" t="e">
        <f ca="1">IF(OR(INDIRECT("'" &amp; Master!$F$8 &amp; Master!$F$6 &amp; "'!B" &amp; ROW(B138))="", INDIRECT("'" &amp; Master!$F$8 &amp; Master!$F$6 &amp; "'!B" &amp; ROW(B138))=0), "", INDIRECT("'" &amp; Master!$F$8 &amp; Master!$F$6 &amp; "'!B" &amp; ROW(B138)))</f>
        <v>#VALUE!</v>
      </c>
      <c r="J138" s="9" t="e">
        <f t="shared" ca="1" si="14"/>
        <v>#VALUE!</v>
      </c>
      <c r="K138" s="7" t="e">
        <f t="shared" ca="1" si="15"/>
        <v>#VALUE!</v>
      </c>
      <c r="L138" s="7" t="e">
        <f t="shared" ca="1" si="16"/>
        <v>#VALUE!</v>
      </c>
      <c r="M138" s="7" t="e">
        <f t="shared" ca="1" si="17"/>
        <v>#VALUE!</v>
      </c>
      <c r="N138" s="7" t="e">
        <f t="shared" ca="1" si="18"/>
        <v>#VALUE!</v>
      </c>
      <c r="O138" s="7" t="e">
        <f t="shared" ca="1" si="19"/>
        <v>#VALUE!</v>
      </c>
      <c r="P138" s="7" t="e">
        <f t="shared" ca="1" si="20"/>
        <v>#VALUE!</v>
      </c>
    </row>
    <row r="139" spans="1:16" x14ac:dyDescent="0.25">
      <c r="A139" s="19" t="str">
        <f ca="1">IF(OR(INDIRECT("'" &amp; Master!$F$8 &amp; Master!$F$6 &amp; "'!A" &amp; ROW(A139))="", INDIRECT("'" &amp; Master!$F$8 &amp; Master!$F$6 &amp; "'!A" &amp; ROW(A139))=0), "", INDIRECT("'" &amp; Master!$F$8 &amp; Master!$F$6 &amp; "'!A" &amp; ROW(A139)))</f>
        <v/>
      </c>
      <c r="B139" s="4" t="e">
        <f ca="1">SplineInterp(INDIRECT("A" &amp; ROW()),INDIRECT("'" &amp;Master!$F$10&amp; "'!$A$2:$A$50"),INDIRECT("'" &amp;Master!$F$10&amp; "'!$B$2:$B$50"))</f>
        <v>#VALUE!</v>
      </c>
      <c r="C139" s="4" t="e">
        <f ca="1">SplineInterp(A139,INDIRECT("'" &amp;Master!$F$10&amp; "'!$A$2:$A$50"),INDIRECT("'" &amp;Master!$F$10&amp; "'!$C$2:$C$50"))</f>
        <v>#VALUE!</v>
      </c>
      <c r="D139" s="4" t="e">
        <f ca="1">SplineInterp(A139,INDIRECT("'" &amp;Master!$F$10&amp; "'!$A$2:$A$50"),INDIRECT("'" &amp;Master!$F$10&amp; "'!$D$2:$D$50"))</f>
        <v>#VALUE!</v>
      </c>
      <c r="E139" s="4" t="e">
        <f ca="1">SplineInterp(A139,INDIRECT("'" &amp;Master!$F$10&amp; "'!$A$2:$A$50"),INDIRECT("'" &amp;Master!$F$10&amp; "'!$E$2:$E$50"))</f>
        <v>#VALUE!</v>
      </c>
      <c r="F139" s="4" t="e">
        <f ca="1">SplineInterp(A139,INDIRECT("'" &amp;Master!$F$10&amp; "'!$A$2:$A$50"),INDIRECT("'" &amp;Master!$F$10&amp; "'!$F$2:$F$50"))</f>
        <v>#VALUE!</v>
      </c>
      <c r="G139" s="4" t="e">
        <f ca="1">SplineInterp(A139,INDIRECT("'" &amp;Master!$F$10&amp; "'!$A$2:$A$50"),INDIRECT("'" &amp;Master!$F$10&amp; "'!$G$2:$G$50"))</f>
        <v>#VALUE!</v>
      </c>
      <c r="H139" s="4" t="e">
        <f ca="1">SplineInterp(A139,INDIRECT("'" &amp;Master!$F$10&amp; "'!$A$2:$A$50"),INDIRECT("'" &amp;Master!$F$10&amp; "'!$H$2:$H$50"))</f>
        <v>#VALUE!</v>
      </c>
      <c r="I139" s="4" t="e">
        <f ca="1">IF(OR(INDIRECT("'" &amp; Master!$F$8 &amp; Master!$F$6 &amp; "'!B" &amp; ROW(B139))="", INDIRECT("'" &amp; Master!$F$8 &amp; Master!$F$6 &amp; "'!B" &amp; ROW(B139))=0), "", INDIRECT("'" &amp; Master!$F$8 &amp; Master!$F$6 &amp; "'!B" &amp; ROW(B139)))</f>
        <v>#VALUE!</v>
      </c>
      <c r="J139" s="9" t="e">
        <f t="shared" ca="1" si="14"/>
        <v>#VALUE!</v>
      </c>
      <c r="K139" s="7" t="e">
        <f t="shared" ca="1" si="15"/>
        <v>#VALUE!</v>
      </c>
      <c r="L139" s="7" t="e">
        <f t="shared" ca="1" si="16"/>
        <v>#VALUE!</v>
      </c>
      <c r="M139" s="7" t="e">
        <f t="shared" ca="1" si="17"/>
        <v>#VALUE!</v>
      </c>
      <c r="N139" s="7" t="e">
        <f t="shared" ca="1" si="18"/>
        <v>#VALUE!</v>
      </c>
      <c r="O139" s="7" t="e">
        <f t="shared" ca="1" si="19"/>
        <v>#VALUE!</v>
      </c>
      <c r="P139" s="7" t="e">
        <f t="shared" ca="1" si="20"/>
        <v>#VALUE!</v>
      </c>
    </row>
    <row r="140" spans="1:16" x14ac:dyDescent="0.25">
      <c r="A140" s="19" t="str">
        <f ca="1">IF(OR(INDIRECT("'" &amp; Master!$F$8 &amp; Master!$F$6 &amp; "'!A" &amp; ROW(A140))="", INDIRECT("'" &amp; Master!$F$8 &amp; Master!$F$6 &amp; "'!A" &amp; ROW(A140))=0), "", INDIRECT("'" &amp; Master!$F$8 &amp; Master!$F$6 &amp; "'!A" &amp; ROW(A140)))</f>
        <v/>
      </c>
      <c r="B140" s="4" t="e">
        <f ca="1">SplineInterp(INDIRECT("A" &amp; ROW()),INDIRECT("'" &amp;Master!$F$10&amp; "'!$A$2:$A$50"),INDIRECT("'" &amp;Master!$F$10&amp; "'!$B$2:$B$50"))</f>
        <v>#VALUE!</v>
      </c>
      <c r="C140" s="4" t="e">
        <f ca="1">SplineInterp(A140,INDIRECT("'" &amp;Master!$F$10&amp; "'!$A$2:$A$50"),INDIRECT("'" &amp;Master!$F$10&amp; "'!$C$2:$C$50"))</f>
        <v>#VALUE!</v>
      </c>
      <c r="D140" s="4" t="e">
        <f ca="1">SplineInterp(A140,INDIRECT("'" &amp;Master!$F$10&amp; "'!$A$2:$A$50"),INDIRECT("'" &amp;Master!$F$10&amp; "'!$D$2:$D$50"))</f>
        <v>#VALUE!</v>
      </c>
      <c r="E140" s="4" t="e">
        <f ca="1">SplineInterp(A140,INDIRECT("'" &amp;Master!$F$10&amp; "'!$A$2:$A$50"),INDIRECT("'" &amp;Master!$F$10&amp; "'!$E$2:$E$50"))</f>
        <v>#VALUE!</v>
      </c>
      <c r="F140" s="4" t="e">
        <f ca="1">SplineInterp(A140,INDIRECT("'" &amp;Master!$F$10&amp; "'!$A$2:$A$50"),INDIRECT("'" &amp;Master!$F$10&amp; "'!$F$2:$F$50"))</f>
        <v>#VALUE!</v>
      </c>
      <c r="G140" s="4" t="e">
        <f ca="1">SplineInterp(A140,INDIRECT("'" &amp;Master!$F$10&amp; "'!$A$2:$A$50"),INDIRECT("'" &amp;Master!$F$10&amp; "'!$G$2:$G$50"))</f>
        <v>#VALUE!</v>
      </c>
      <c r="H140" s="4" t="e">
        <f ca="1">SplineInterp(A140,INDIRECT("'" &amp;Master!$F$10&amp; "'!$A$2:$A$50"),INDIRECT("'" &amp;Master!$F$10&amp; "'!$H$2:$H$50"))</f>
        <v>#VALUE!</v>
      </c>
      <c r="I140" s="4" t="e">
        <f ca="1">IF(OR(INDIRECT("'" &amp; Master!$F$8 &amp; Master!$F$6 &amp; "'!B" &amp; ROW(B140))="", INDIRECT("'" &amp; Master!$F$8 &amp; Master!$F$6 &amp; "'!B" &amp; ROW(B140))=0), "", INDIRECT("'" &amp; Master!$F$8 &amp; Master!$F$6 &amp; "'!B" &amp; ROW(B140)))</f>
        <v>#VALUE!</v>
      </c>
      <c r="J140" s="9" t="e">
        <f t="shared" ca="1" si="14"/>
        <v>#VALUE!</v>
      </c>
      <c r="K140" s="7" t="e">
        <f t="shared" ca="1" si="15"/>
        <v>#VALUE!</v>
      </c>
      <c r="L140" s="7" t="e">
        <f t="shared" ca="1" si="16"/>
        <v>#VALUE!</v>
      </c>
      <c r="M140" s="7" t="e">
        <f t="shared" ca="1" si="17"/>
        <v>#VALUE!</v>
      </c>
      <c r="N140" s="7" t="e">
        <f t="shared" ca="1" si="18"/>
        <v>#VALUE!</v>
      </c>
      <c r="O140" s="7" t="e">
        <f t="shared" ca="1" si="19"/>
        <v>#VALUE!</v>
      </c>
      <c r="P140" s="7" t="e">
        <f t="shared" ca="1" si="20"/>
        <v>#VALUE!</v>
      </c>
    </row>
    <row r="141" spans="1:16" x14ac:dyDescent="0.25">
      <c r="A141" s="19" t="str">
        <f ca="1">IF(OR(INDIRECT("'" &amp; Master!$F$8 &amp; Master!$F$6 &amp; "'!A" &amp; ROW(A141))="", INDIRECT("'" &amp; Master!$F$8 &amp; Master!$F$6 &amp; "'!A" &amp; ROW(A141))=0), "", INDIRECT("'" &amp; Master!$F$8 &amp; Master!$F$6 &amp; "'!A" &amp; ROW(A141)))</f>
        <v/>
      </c>
      <c r="B141" s="4" t="e">
        <f ca="1">SplineInterp(INDIRECT("A" &amp; ROW()),INDIRECT("'" &amp;Master!$F$10&amp; "'!$A$2:$A$50"),INDIRECT("'" &amp;Master!$F$10&amp; "'!$B$2:$B$50"))</f>
        <v>#VALUE!</v>
      </c>
      <c r="C141" s="4" t="e">
        <f ca="1">SplineInterp(A141,INDIRECT("'" &amp;Master!$F$10&amp; "'!$A$2:$A$50"),INDIRECT("'" &amp;Master!$F$10&amp; "'!$C$2:$C$50"))</f>
        <v>#VALUE!</v>
      </c>
      <c r="D141" s="4" t="e">
        <f ca="1">SplineInterp(A141,INDIRECT("'" &amp;Master!$F$10&amp; "'!$A$2:$A$50"),INDIRECT("'" &amp;Master!$F$10&amp; "'!$D$2:$D$50"))</f>
        <v>#VALUE!</v>
      </c>
      <c r="E141" s="4" t="e">
        <f ca="1">SplineInterp(A141,INDIRECT("'" &amp;Master!$F$10&amp; "'!$A$2:$A$50"),INDIRECT("'" &amp;Master!$F$10&amp; "'!$E$2:$E$50"))</f>
        <v>#VALUE!</v>
      </c>
      <c r="F141" s="4" t="e">
        <f ca="1">SplineInterp(A141,INDIRECT("'" &amp;Master!$F$10&amp; "'!$A$2:$A$50"),INDIRECT("'" &amp;Master!$F$10&amp; "'!$F$2:$F$50"))</f>
        <v>#VALUE!</v>
      </c>
      <c r="G141" s="4" t="e">
        <f ca="1">SplineInterp(A141,INDIRECT("'" &amp;Master!$F$10&amp; "'!$A$2:$A$50"),INDIRECT("'" &amp;Master!$F$10&amp; "'!$G$2:$G$50"))</f>
        <v>#VALUE!</v>
      </c>
      <c r="H141" s="4" t="e">
        <f ca="1">SplineInterp(A141,INDIRECT("'" &amp;Master!$F$10&amp; "'!$A$2:$A$50"),INDIRECT("'" &amp;Master!$F$10&amp; "'!$H$2:$H$50"))</f>
        <v>#VALUE!</v>
      </c>
      <c r="I141" s="4" t="e">
        <f ca="1">IF(OR(INDIRECT("'" &amp; Master!$F$8 &amp; Master!$F$6 &amp; "'!B" &amp; ROW(B141))="", INDIRECT("'" &amp; Master!$F$8 &amp; Master!$F$6 &amp; "'!B" &amp; ROW(B141))=0), "", INDIRECT("'" &amp; Master!$F$8 &amp; Master!$F$6 &amp; "'!B" &amp; ROW(B141)))</f>
        <v>#VALUE!</v>
      </c>
      <c r="J141" s="9" t="e">
        <f t="shared" ca="1" si="14"/>
        <v>#VALUE!</v>
      </c>
      <c r="K141" s="7" t="e">
        <f t="shared" ca="1" si="15"/>
        <v>#VALUE!</v>
      </c>
      <c r="L141" s="7" t="e">
        <f t="shared" ca="1" si="16"/>
        <v>#VALUE!</v>
      </c>
      <c r="M141" s="7" t="e">
        <f t="shared" ca="1" si="17"/>
        <v>#VALUE!</v>
      </c>
      <c r="N141" s="7" t="e">
        <f t="shared" ca="1" si="18"/>
        <v>#VALUE!</v>
      </c>
      <c r="O141" s="7" t="e">
        <f t="shared" ca="1" si="19"/>
        <v>#VALUE!</v>
      </c>
      <c r="P141" s="7" t="e">
        <f t="shared" ca="1" si="20"/>
        <v>#VALUE!</v>
      </c>
    </row>
    <row r="142" spans="1:16" x14ac:dyDescent="0.25">
      <c r="A142" s="19" t="str">
        <f ca="1">IF(OR(INDIRECT("'" &amp; Master!$F$8 &amp; Master!$F$6 &amp; "'!A" &amp; ROW(A142))="", INDIRECT("'" &amp; Master!$F$8 &amp; Master!$F$6 &amp; "'!A" &amp; ROW(A142))=0), "", INDIRECT("'" &amp; Master!$F$8 &amp; Master!$F$6 &amp; "'!A" &amp; ROW(A142)))</f>
        <v/>
      </c>
      <c r="B142" s="4" t="e">
        <f ca="1">SplineInterp(INDIRECT("A" &amp; ROW()),INDIRECT("'" &amp;Master!$F$10&amp; "'!$A$2:$A$50"),INDIRECT("'" &amp;Master!$F$10&amp; "'!$B$2:$B$50"))</f>
        <v>#VALUE!</v>
      </c>
      <c r="C142" s="4" t="e">
        <f ca="1">SplineInterp(A142,INDIRECT("'" &amp;Master!$F$10&amp; "'!$A$2:$A$50"),INDIRECT("'" &amp;Master!$F$10&amp; "'!$C$2:$C$50"))</f>
        <v>#VALUE!</v>
      </c>
      <c r="D142" s="4" t="e">
        <f ca="1">SplineInterp(A142,INDIRECT("'" &amp;Master!$F$10&amp; "'!$A$2:$A$50"),INDIRECT("'" &amp;Master!$F$10&amp; "'!$D$2:$D$50"))</f>
        <v>#VALUE!</v>
      </c>
      <c r="E142" s="4" t="e">
        <f ca="1">SplineInterp(A142,INDIRECT("'" &amp;Master!$F$10&amp; "'!$A$2:$A$50"),INDIRECT("'" &amp;Master!$F$10&amp; "'!$E$2:$E$50"))</f>
        <v>#VALUE!</v>
      </c>
      <c r="F142" s="4" t="e">
        <f ca="1">SplineInterp(A142,INDIRECT("'" &amp;Master!$F$10&amp; "'!$A$2:$A$50"),INDIRECT("'" &amp;Master!$F$10&amp; "'!$F$2:$F$50"))</f>
        <v>#VALUE!</v>
      </c>
      <c r="G142" s="4" t="e">
        <f ca="1">SplineInterp(A142,INDIRECT("'" &amp;Master!$F$10&amp; "'!$A$2:$A$50"),INDIRECT("'" &amp;Master!$F$10&amp; "'!$G$2:$G$50"))</f>
        <v>#VALUE!</v>
      </c>
      <c r="H142" s="4" t="e">
        <f ca="1">SplineInterp(A142,INDIRECT("'" &amp;Master!$F$10&amp; "'!$A$2:$A$50"),INDIRECT("'" &amp;Master!$F$10&amp; "'!$H$2:$H$50"))</f>
        <v>#VALUE!</v>
      </c>
      <c r="I142" s="4" t="e">
        <f ca="1">IF(OR(INDIRECT("'" &amp; Master!$F$8 &amp; Master!$F$6 &amp; "'!B" &amp; ROW(B142))="", INDIRECT("'" &amp; Master!$F$8 &amp; Master!$F$6 &amp; "'!B" &amp; ROW(B142))=0), "", INDIRECT("'" &amp; Master!$F$8 &amp; Master!$F$6 &amp; "'!B" &amp; ROW(B142)))</f>
        <v>#VALUE!</v>
      </c>
      <c r="J142" s="9" t="e">
        <f t="shared" ca="1" si="14"/>
        <v>#VALUE!</v>
      </c>
      <c r="K142" s="7" t="e">
        <f t="shared" ca="1" si="15"/>
        <v>#VALUE!</v>
      </c>
      <c r="L142" s="7" t="e">
        <f t="shared" ca="1" si="16"/>
        <v>#VALUE!</v>
      </c>
      <c r="M142" s="7" t="e">
        <f t="shared" ca="1" si="17"/>
        <v>#VALUE!</v>
      </c>
      <c r="N142" s="7" t="e">
        <f t="shared" ca="1" si="18"/>
        <v>#VALUE!</v>
      </c>
      <c r="O142" s="7" t="e">
        <f t="shared" ca="1" si="19"/>
        <v>#VALUE!</v>
      </c>
      <c r="P142" s="7" t="e">
        <f t="shared" ca="1" si="20"/>
        <v>#VALUE!</v>
      </c>
    </row>
    <row r="143" spans="1:16" x14ac:dyDescent="0.25">
      <c r="A143" s="19" t="str">
        <f ca="1">IF(OR(INDIRECT("'" &amp; Master!$F$8 &amp; Master!$F$6 &amp; "'!A" &amp; ROW(A143))="", INDIRECT("'" &amp; Master!$F$8 &amp; Master!$F$6 &amp; "'!A" &amp; ROW(A143))=0), "", INDIRECT("'" &amp; Master!$F$8 &amp; Master!$F$6 &amp; "'!A" &amp; ROW(A143)))</f>
        <v/>
      </c>
      <c r="B143" s="4" t="e">
        <f ca="1">SplineInterp(INDIRECT("A" &amp; ROW()),INDIRECT("'" &amp;Master!$F$10&amp; "'!$A$2:$A$50"),INDIRECT("'" &amp;Master!$F$10&amp; "'!$B$2:$B$50"))</f>
        <v>#VALUE!</v>
      </c>
      <c r="C143" s="4" t="e">
        <f ca="1">SplineInterp(A143,INDIRECT("'" &amp;Master!$F$10&amp; "'!$A$2:$A$50"),INDIRECT("'" &amp;Master!$F$10&amp; "'!$C$2:$C$50"))</f>
        <v>#VALUE!</v>
      </c>
      <c r="D143" s="4" t="e">
        <f ca="1">SplineInterp(A143,INDIRECT("'" &amp;Master!$F$10&amp; "'!$A$2:$A$50"),INDIRECT("'" &amp;Master!$F$10&amp; "'!$D$2:$D$50"))</f>
        <v>#VALUE!</v>
      </c>
      <c r="E143" s="4" t="e">
        <f ca="1">SplineInterp(A143,INDIRECT("'" &amp;Master!$F$10&amp; "'!$A$2:$A$50"),INDIRECT("'" &amp;Master!$F$10&amp; "'!$E$2:$E$50"))</f>
        <v>#VALUE!</v>
      </c>
      <c r="F143" s="4" t="e">
        <f ca="1">SplineInterp(A143,INDIRECT("'" &amp;Master!$F$10&amp; "'!$A$2:$A$50"),INDIRECT("'" &amp;Master!$F$10&amp; "'!$F$2:$F$50"))</f>
        <v>#VALUE!</v>
      </c>
      <c r="G143" s="4" t="e">
        <f ca="1">SplineInterp(A143,INDIRECT("'" &amp;Master!$F$10&amp; "'!$A$2:$A$50"),INDIRECT("'" &amp;Master!$F$10&amp; "'!$G$2:$G$50"))</f>
        <v>#VALUE!</v>
      </c>
      <c r="H143" s="4" t="e">
        <f ca="1">SplineInterp(A143,INDIRECT("'" &amp;Master!$F$10&amp; "'!$A$2:$A$50"),INDIRECT("'" &amp;Master!$F$10&amp; "'!$H$2:$H$50"))</f>
        <v>#VALUE!</v>
      </c>
      <c r="I143" s="4" t="e">
        <f ca="1">IF(OR(INDIRECT("'" &amp; Master!$F$8 &amp; Master!$F$6 &amp; "'!B" &amp; ROW(B143))="", INDIRECT("'" &amp; Master!$F$8 &amp; Master!$F$6 &amp; "'!B" &amp; ROW(B143))=0), "", INDIRECT("'" &amp; Master!$F$8 &amp; Master!$F$6 &amp; "'!B" &amp; ROW(B143)))</f>
        <v>#VALUE!</v>
      </c>
      <c r="J143" s="9" t="e">
        <f t="shared" ca="1" si="14"/>
        <v>#VALUE!</v>
      </c>
      <c r="K143" s="7" t="e">
        <f t="shared" ca="1" si="15"/>
        <v>#VALUE!</v>
      </c>
      <c r="L143" s="7" t="e">
        <f t="shared" ca="1" si="16"/>
        <v>#VALUE!</v>
      </c>
      <c r="M143" s="7" t="e">
        <f t="shared" ca="1" si="17"/>
        <v>#VALUE!</v>
      </c>
      <c r="N143" s="7" t="e">
        <f t="shared" ca="1" si="18"/>
        <v>#VALUE!</v>
      </c>
      <c r="O143" s="7" t="e">
        <f t="shared" ca="1" si="19"/>
        <v>#VALUE!</v>
      </c>
      <c r="P143" s="7" t="e">
        <f t="shared" ca="1" si="20"/>
        <v>#VALUE!</v>
      </c>
    </row>
    <row r="144" spans="1:16" x14ac:dyDescent="0.25">
      <c r="A144" s="19" t="str">
        <f ca="1">IF(OR(INDIRECT("'" &amp; Master!$F$8 &amp; Master!$F$6 &amp; "'!A" &amp; ROW(A144))="", INDIRECT("'" &amp; Master!$F$8 &amp; Master!$F$6 &amp; "'!A" &amp; ROW(A144))=0), "", INDIRECT("'" &amp; Master!$F$8 &amp; Master!$F$6 &amp; "'!A" &amp; ROW(A144)))</f>
        <v/>
      </c>
      <c r="B144" s="4" t="e">
        <f ca="1">SplineInterp(INDIRECT("A" &amp; ROW()),INDIRECT("'" &amp;Master!$F$10&amp; "'!$A$2:$A$50"),INDIRECT("'" &amp;Master!$F$10&amp; "'!$B$2:$B$50"))</f>
        <v>#VALUE!</v>
      </c>
      <c r="C144" s="4" t="e">
        <f ca="1">SplineInterp(A144,INDIRECT("'" &amp;Master!$F$10&amp; "'!$A$2:$A$50"),INDIRECT("'" &amp;Master!$F$10&amp; "'!$C$2:$C$50"))</f>
        <v>#VALUE!</v>
      </c>
      <c r="D144" s="4" t="e">
        <f ca="1">SplineInterp(A144,INDIRECT("'" &amp;Master!$F$10&amp; "'!$A$2:$A$50"),INDIRECT("'" &amp;Master!$F$10&amp; "'!$D$2:$D$50"))</f>
        <v>#VALUE!</v>
      </c>
      <c r="E144" s="4" t="e">
        <f ca="1">SplineInterp(A144,INDIRECT("'" &amp;Master!$F$10&amp; "'!$A$2:$A$50"),INDIRECT("'" &amp;Master!$F$10&amp; "'!$E$2:$E$50"))</f>
        <v>#VALUE!</v>
      </c>
      <c r="F144" s="4" t="e">
        <f ca="1">SplineInterp(A144,INDIRECT("'" &amp;Master!$F$10&amp; "'!$A$2:$A$50"),INDIRECT("'" &amp;Master!$F$10&amp; "'!$F$2:$F$50"))</f>
        <v>#VALUE!</v>
      </c>
      <c r="G144" s="4" t="e">
        <f ca="1">SplineInterp(A144,INDIRECT("'" &amp;Master!$F$10&amp; "'!$A$2:$A$50"),INDIRECT("'" &amp;Master!$F$10&amp; "'!$G$2:$G$50"))</f>
        <v>#VALUE!</v>
      </c>
      <c r="H144" s="4" t="e">
        <f ca="1">SplineInterp(A144,INDIRECT("'" &amp;Master!$F$10&amp; "'!$A$2:$A$50"),INDIRECT("'" &amp;Master!$F$10&amp; "'!$H$2:$H$50"))</f>
        <v>#VALUE!</v>
      </c>
      <c r="I144" s="4" t="e">
        <f ca="1">IF(OR(INDIRECT("'" &amp; Master!$F$8 &amp; Master!$F$6 &amp; "'!B" &amp; ROW(B144))="", INDIRECT("'" &amp; Master!$F$8 &amp; Master!$F$6 &amp; "'!B" &amp; ROW(B144))=0), "", INDIRECT("'" &amp; Master!$F$8 &amp; Master!$F$6 &amp; "'!B" &amp; ROW(B144)))</f>
        <v>#VALUE!</v>
      </c>
      <c r="J144" s="9" t="e">
        <f t="shared" ca="1" si="14"/>
        <v>#VALUE!</v>
      </c>
      <c r="K144" s="7" t="e">
        <f t="shared" ca="1" si="15"/>
        <v>#VALUE!</v>
      </c>
      <c r="L144" s="7" t="e">
        <f t="shared" ca="1" si="16"/>
        <v>#VALUE!</v>
      </c>
      <c r="M144" s="7" t="e">
        <f t="shared" ca="1" si="17"/>
        <v>#VALUE!</v>
      </c>
      <c r="N144" s="7" t="e">
        <f t="shared" ca="1" si="18"/>
        <v>#VALUE!</v>
      </c>
      <c r="O144" s="7" t="e">
        <f t="shared" ca="1" si="19"/>
        <v>#VALUE!</v>
      </c>
      <c r="P144" s="7" t="e">
        <f t="shared" ca="1" si="20"/>
        <v>#VALUE!</v>
      </c>
    </row>
    <row r="145" spans="1:16" x14ac:dyDescent="0.25">
      <c r="A145" s="19" t="str">
        <f ca="1">IF(OR(INDIRECT("'" &amp; Master!$F$8 &amp; Master!$F$6 &amp; "'!A" &amp; ROW(A145))="", INDIRECT("'" &amp; Master!$F$8 &amp; Master!$F$6 &amp; "'!A" &amp; ROW(A145))=0), "", INDIRECT("'" &amp; Master!$F$8 &amp; Master!$F$6 &amp; "'!A" &amp; ROW(A145)))</f>
        <v/>
      </c>
      <c r="B145" s="4" t="e">
        <f ca="1">SplineInterp(INDIRECT("A" &amp; ROW()),INDIRECT("'" &amp;Master!$F$10&amp; "'!$A$2:$A$50"),INDIRECT("'" &amp;Master!$F$10&amp; "'!$B$2:$B$50"))</f>
        <v>#VALUE!</v>
      </c>
      <c r="C145" s="4" t="e">
        <f ca="1">SplineInterp(A145,INDIRECT("'" &amp;Master!$F$10&amp; "'!$A$2:$A$50"),INDIRECT("'" &amp;Master!$F$10&amp; "'!$C$2:$C$50"))</f>
        <v>#VALUE!</v>
      </c>
      <c r="D145" s="4" t="e">
        <f ca="1">SplineInterp(A145,INDIRECT("'" &amp;Master!$F$10&amp; "'!$A$2:$A$50"),INDIRECT("'" &amp;Master!$F$10&amp; "'!$D$2:$D$50"))</f>
        <v>#VALUE!</v>
      </c>
      <c r="E145" s="4" t="e">
        <f ca="1">SplineInterp(A145,INDIRECT("'" &amp;Master!$F$10&amp; "'!$A$2:$A$50"),INDIRECT("'" &amp;Master!$F$10&amp; "'!$E$2:$E$50"))</f>
        <v>#VALUE!</v>
      </c>
      <c r="F145" s="4" t="e">
        <f ca="1">SplineInterp(A145,INDIRECT("'" &amp;Master!$F$10&amp; "'!$A$2:$A$50"),INDIRECT("'" &amp;Master!$F$10&amp; "'!$F$2:$F$50"))</f>
        <v>#VALUE!</v>
      </c>
      <c r="G145" s="4" t="e">
        <f ca="1">SplineInterp(A145,INDIRECT("'" &amp;Master!$F$10&amp; "'!$A$2:$A$50"),INDIRECT("'" &amp;Master!$F$10&amp; "'!$G$2:$G$50"))</f>
        <v>#VALUE!</v>
      </c>
      <c r="H145" s="4" t="e">
        <f ca="1">SplineInterp(A145,INDIRECT("'" &amp;Master!$F$10&amp; "'!$A$2:$A$50"),INDIRECT("'" &amp;Master!$F$10&amp; "'!$H$2:$H$50"))</f>
        <v>#VALUE!</v>
      </c>
      <c r="I145" s="4" t="e">
        <f ca="1">IF(OR(INDIRECT("'" &amp; Master!$F$8 &amp; Master!$F$6 &amp; "'!B" &amp; ROW(B145))="", INDIRECT("'" &amp; Master!$F$8 &amp; Master!$F$6 &amp; "'!B" &amp; ROW(B145))=0), "", INDIRECT("'" &amp; Master!$F$8 &amp; Master!$F$6 &amp; "'!B" &amp; ROW(B145)))</f>
        <v>#VALUE!</v>
      </c>
      <c r="J145" s="9" t="e">
        <f t="shared" ca="1" si="14"/>
        <v>#VALUE!</v>
      </c>
      <c r="K145" s="7" t="e">
        <f t="shared" ca="1" si="15"/>
        <v>#VALUE!</v>
      </c>
      <c r="L145" s="7" t="e">
        <f t="shared" ca="1" si="16"/>
        <v>#VALUE!</v>
      </c>
      <c r="M145" s="7" t="e">
        <f t="shared" ca="1" si="17"/>
        <v>#VALUE!</v>
      </c>
      <c r="N145" s="7" t="e">
        <f t="shared" ca="1" si="18"/>
        <v>#VALUE!</v>
      </c>
      <c r="O145" s="7" t="e">
        <f t="shared" ca="1" si="19"/>
        <v>#VALUE!</v>
      </c>
      <c r="P145" s="7" t="e">
        <f t="shared" ca="1" si="20"/>
        <v>#VALUE!</v>
      </c>
    </row>
    <row r="146" spans="1:16" x14ac:dyDescent="0.25">
      <c r="A146" s="19" t="str">
        <f ca="1">IF(OR(INDIRECT("'" &amp; Master!$F$8 &amp; Master!$F$6 &amp; "'!A" &amp; ROW(A146))="", INDIRECT("'" &amp; Master!$F$8 &amp; Master!$F$6 &amp; "'!A" &amp; ROW(A146))=0), "", INDIRECT("'" &amp; Master!$F$8 &amp; Master!$F$6 &amp; "'!A" &amp; ROW(A146)))</f>
        <v/>
      </c>
      <c r="B146" s="4" t="e">
        <f ca="1">SplineInterp(INDIRECT("A" &amp; ROW()),INDIRECT("'" &amp;Master!$F$10&amp; "'!$A$2:$A$50"),INDIRECT("'" &amp;Master!$F$10&amp; "'!$B$2:$B$50"))</f>
        <v>#VALUE!</v>
      </c>
      <c r="C146" s="4" t="e">
        <f ca="1">SplineInterp(A146,INDIRECT("'" &amp;Master!$F$10&amp; "'!$A$2:$A$50"),INDIRECT("'" &amp;Master!$F$10&amp; "'!$C$2:$C$50"))</f>
        <v>#VALUE!</v>
      </c>
      <c r="D146" s="4" t="e">
        <f ca="1">SplineInterp(A146,INDIRECT("'" &amp;Master!$F$10&amp; "'!$A$2:$A$50"),INDIRECT("'" &amp;Master!$F$10&amp; "'!$D$2:$D$50"))</f>
        <v>#VALUE!</v>
      </c>
      <c r="E146" s="4" t="e">
        <f ca="1">SplineInterp(A146,INDIRECT("'" &amp;Master!$F$10&amp; "'!$A$2:$A$50"),INDIRECT("'" &amp;Master!$F$10&amp; "'!$E$2:$E$50"))</f>
        <v>#VALUE!</v>
      </c>
      <c r="F146" s="4" t="e">
        <f ca="1">SplineInterp(A146,INDIRECT("'" &amp;Master!$F$10&amp; "'!$A$2:$A$50"),INDIRECT("'" &amp;Master!$F$10&amp; "'!$F$2:$F$50"))</f>
        <v>#VALUE!</v>
      </c>
      <c r="G146" s="4" t="e">
        <f ca="1">SplineInterp(A146,INDIRECT("'" &amp;Master!$F$10&amp; "'!$A$2:$A$50"),INDIRECT("'" &amp;Master!$F$10&amp; "'!$G$2:$G$50"))</f>
        <v>#VALUE!</v>
      </c>
      <c r="H146" s="4" t="e">
        <f ca="1">SplineInterp(A146,INDIRECT("'" &amp;Master!$F$10&amp; "'!$A$2:$A$50"),INDIRECT("'" &amp;Master!$F$10&amp; "'!$H$2:$H$50"))</f>
        <v>#VALUE!</v>
      </c>
      <c r="I146" s="4" t="e">
        <f ca="1">IF(OR(INDIRECT("'" &amp; Master!$F$8 &amp; Master!$F$6 &amp; "'!B" &amp; ROW(B146))="", INDIRECT("'" &amp; Master!$F$8 &amp; Master!$F$6 &amp; "'!B" &amp; ROW(B146))=0), "", INDIRECT("'" &amp; Master!$F$8 &amp; Master!$F$6 &amp; "'!B" &amp; ROW(B146)))</f>
        <v>#VALUE!</v>
      </c>
      <c r="J146" s="9" t="e">
        <f t="shared" ca="1" si="14"/>
        <v>#VALUE!</v>
      </c>
      <c r="K146" s="7" t="e">
        <f t="shared" ca="1" si="15"/>
        <v>#VALUE!</v>
      </c>
      <c r="L146" s="7" t="e">
        <f t="shared" ca="1" si="16"/>
        <v>#VALUE!</v>
      </c>
      <c r="M146" s="7" t="e">
        <f t="shared" ca="1" si="17"/>
        <v>#VALUE!</v>
      </c>
      <c r="N146" s="7" t="e">
        <f t="shared" ca="1" si="18"/>
        <v>#VALUE!</v>
      </c>
      <c r="O146" s="7" t="e">
        <f t="shared" ca="1" si="19"/>
        <v>#VALUE!</v>
      </c>
      <c r="P146" s="7" t="e">
        <f t="shared" ca="1" si="20"/>
        <v>#VALUE!</v>
      </c>
    </row>
    <row r="147" spans="1:16" x14ac:dyDescent="0.25">
      <c r="A147" s="19" t="str">
        <f ca="1">IF(OR(INDIRECT("'" &amp; Master!$F$8 &amp; Master!$F$6 &amp; "'!A" &amp; ROW(A147))="", INDIRECT("'" &amp; Master!$F$8 &amp; Master!$F$6 &amp; "'!A" &amp; ROW(A147))=0), "", INDIRECT("'" &amp; Master!$F$8 &amp; Master!$F$6 &amp; "'!A" &amp; ROW(A147)))</f>
        <v/>
      </c>
      <c r="B147" s="4" t="e">
        <f ca="1">SplineInterp(INDIRECT("A" &amp; ROW()),INDIRECT("'" &amp;Master!$F$10&amp; "'!$A$2:$A$50"),INDIRECT("'" &amp;Master!$F$10&amp; "'!$B$2:$B$50"))</f>
        <v>#VALUE!</v>
      </c>
      <c r="C147" s="4" t="e">
        <f ca="1">SplineInterp(A147,INDIRECT("'" &amp;Master!$F$10&amp; "'!$A$2:$A$50"),INDIRECT("'" &amp;Master!$F$10&amp; "'!$C$2:$C$50"))</f>
        <v>#VALUE!</v>
      </c>
      <c r="D147" s="4" t="e">
        <f ca="1">SplineInterp(A147,INDIRECT("'" &amp;Master!$F$10&amp; "'!$A$2:$A$50"),INDIRECT("'" &amp;Master!$F$10&amp; "'!$D$2:$D$50"))</f>
        <v>#VALUE!</v>
      </c>
      <c r="E147" s="4" t="e">
        <f ca="1">SplineInterp(A147,INDIRECT("'" &amp;Master!$F$10&amp; "'!$A$2:$A$50"),INDIRECT("'" &amp;Master!$F$10&amp; "'!$E$2:$E$50"))</f>
        <v>#VALUE!</v>
      </c>
      <c r="F147" s="4" t="e">
        <f ca="1">SplineInterp(A147,INDIRECT("'" &amp;Master!$F$10&amp; "'!$A$2:$A$50"),INDIRECT("'" &amp;Master!$F$10&amp; "'!$F$2:$F$50"))</f>
        <v>#VALUE!</v>
      </c>
      <c r="G147" s="4" t="e">
        <f ca="1">SplineInterp(A147,INDIRECT("'" &amp;Master!$F$10&amp; "'!$A$2:$A$50"),INDIRECT("'" &amp;Master!$F$10&amp; "'!$G$2:$G$50"))</f>
        <v>#VALUE!</v>
      </c>
      <c r="H147" s="4" t="e">
        <f ca="1">SplineInterp(A147,INDIRECT("'" &amp;Master!$F$10&amp; "'!$A$2:$A$50"),INDIRECT("'" &amp;Master!$F$10&amp; "'!$H$2:$H$50"))</f>
        <v>#VALUE!</v>
      </c>
      <c r="I147" s="4" t="e">
        <f ca="1">IF(OR(INDIRECT("'" &amp; Master!$F$8 &amp; Master!$F$6 &amp; "'!B" &amp; ROW(B147))="", INDIRECT("'" &amp; Master!$F$8 &amp; Master!$F$6 &amp; "'!B" &amp; ROW(B147))=0), "", INDIRECT("'" &amp; Master!$F$8 &amp; Master!$F$6 &amp; "'!B" &amp; ROW(B147)))</f>
        <v>#VALUE!</v>
      </c>
      <c r="J147" s="9" t="e">
        <f t="shared" ca="1" si="14"/>
        <v>#VALUE!</v>
      </c>
      <c r="K147" s="7" t="e">
        <f t="shared" ca="1" si="15"/>
        <v>#VALUE!</v>
      </c>
      <c r="L147" s="7" t="e">
        <f t="shared" ca="1" si="16"/>
        <v>#VALUE!</v>
      </c>
      <c r="M147" s="7" t="e">
        <f t="shared" ca="1" si="17"/>
        <v>#VALUE!</v>
      </c>
      <c r="N147" s="7" t="e">
        <f t="shared" ca="1" si="18"/>
        <v>#VALUE!</v>
      </c>
      <c r="O147" s="7" t="e">
        <f t="shared" ca="1" si="19"/>
        <v>#VALUE!</v>
      </c>
      <c r="P147" s="7" t="e">
        <f t="shared" ca="1" si="20"/>
        <v>#VALUE!</v>
      </c>
    </row>
    <row r="148" spans="1:16" x14ac:dyDescent="0.25">
      <c r="A148" s="19" t="str">
        <f ca="1">IF(OR(INDIRECT("'" &amp; Master!$F$8 &amp; Master!$F$6 &amp; "'!A" &amp; ROW(A148))="", INDIRECT("'" &amp; Master!$F$8 &amp; Master!$F$6 &amp; "'!A" &amp; ROW(A148))=0), "", INDIRECT("'" &amp; Master!$F$8 &amp; Master!$F$6 &amp; "'!A" &amp; ROW(A148)))</f>
        <v/>
      </c>
      <c r="B148" s="4" t="e">
        <f ca="1">SplineInterp(INDIRECT("A" &amp; ROW()),INDIRECT("'" &amp;Master!$F$10&amp; "'!$A$2:$A$50"),INDIRECT("'" &amp;Master!$F$10&amp; "'!$B$2:$B$50"))</f>
        <v>#VALUE!</v>
      </c>
      <c r="C148" s="4" t="e">
        <f ca="1">SplineInterp(A148,INDIRECT("'" &amp;Master!$F$10&amp; "'!$A$2:$A$50"),INDIRECT("'" &amp;Master!$F$10&amp; "'!$C$2:$C$50"))</f>
        <v>#VALUE!</v>
      </c>
      <c r="D148" s="4" t="e">
        <f ca="1">SplineInterp(A148,INDIRECT("'" &amp;Master!$F$10&amp; "'!$A$2:$A$50"),INDIRECT("'" &amp;Master!$F$10&amp; "'!$D$2:$D$50"))</f>
        <v>#VALUE!</v>
      </c>
      <c r="E148" s="4" t="e">
        <f ca="1">SplineInterp(A148,INDIRECT("'" &amp;Master!$F$10&amp; "'!$A$2:$A$50"),INDIRECT("'" &amp;Master!$F$10&amp; "'!$E$2:$E$50"))</f>
        <v>#VALUE!</v>
      </c>
      <c r="F148" s="4" t="e">
        <f ca="1">SplineInterp(A148,INDIRECT("'" &amp;Master!$F$10&amp; "'!$A$2:$A$50"),INDIRECT("'" &amp;Master!$F$10&amp; "'!$F$2:$F$50"))</f>
        <v>#VALUE!</v>
      </c>
      <c r="G148" s="4" t="e">
        <f ca="1">SplineInterp(A148,INDIRECT("'" &amp;Master!$F$10&amp; "'!$A$2:$A$50"),INDIRECT("'" &amp;Master!$F$10&amp; "'!$G$2:$G$50"))</f>
        <v>#VALUE!</v>
      </c>
      <c r="H148" s="4" t="e">
        <f ca="1">SplineInterp(A148,INDIRECT("'" &amp;Master!$F$10&amp; "'!$A$2:$A$50"),INDIRECT("'" &amp;Master!$F$10&amp; "'!$H$2:$H$50"))</f>
        <v>#VALUE!</v>
      </c>
      <c r="I148" s="4" t="e">
        <f ca="1">IF(OR(INDIRECT("'" &amp; Master!$F$8 &amp; Master!$F$6 &amp; "'!B" &amp; ROW(B148))="", INDIRECT("'" &amp; Master!$F$8 &amp; Master!$F$6 &amp; "'!B" &amp; ROW(B148))=0), "", INDIRECT("'" &amp; Master!$F$8 &amp; Master!$F$6 &amp; "'!B" &amp; ROW(B148)))</f>
        <v>#VALUE!</v>
      </c>
      <c r="J148" s="9" t="e">
        <f t="shared" ca="1" si="14"/>
        <v>#VALUE!</v>
      </c>
      <c r="K148" s="7" t="e">
        <f t="shared" ca="1" si="15"/>
        <v>#VALUE!</v>
      </c>
      <c r="L148" s="7" t="e">
        <f t="shared" ca="1" si="16"/>
        <v>#VALUE!</v>
      </c>
      <c r="M148" s="7" t="e">
        <f t="shared" ca="1" si="17"/>
        <v>#VALUE!</v>
      </c>
      <c r="N148" s="7" t="e">
        <f t="shared" ca="1" si="18"/>
        <v>#VALUE!</v>
      </c>
      <c r="O148" s="7" t="e">
        <f t="shared" ca="1" si="19"/>
        <v>#VALUE!</v>
      </c>
      <c r="P148" s="7" t="e">
        <f t="shared" ca="1" si="20"/>
        <v>#VALUE!</v>
      </c>
    </row>
    <row r="149" spans="1:16" x14ac:dyDescent="0.25">
      <c r="A149" s="19" t="str">
        <f ca="1">IF(OR(INDIRECT("'" &amp; Master!$F$8 &amp; Master!$F$6 &amp; "'!A" &amp; ROW(A149))="", INDIRECT("'" &amp; Master!$F$8 &amp; Master!$F$6 &amp; "'!A" &amp; ROW(A149))=0), "", INDIRECT("'" &amp; Master!$F$8 &amp; Master!$F$6 &amp; "'!A" &amp; ROW(A149)))</f>
        <v/>
      </c>
      <c r="B149" s="4" t="e">
        <f ca="1">SplineInterp(INDIRECT("A" &amp; ROW()),INDIRECT("'" &amp;Master!$F$10&amp; "'!$A$2:$A$50"),INDIRECT("'" &amp;Master!$F$10&amp; "'!$B$2:$B$50"))</f>
        <v>#VALUE!</v>
      </c>
      <c r="C149" s="4" t="e">
        <f ca="1">SplineInterp(A149,INDIRECT("'" &amp;Master!$F$10&amp; "'!$A$2:$A$50"),INDIRECT("'" &amp;Master!$F$10&amp; "'!$C$2:$C$50"))</f>
        <v>#VALUE!</v>
      </c>
      <c r="D149" s="4" t="e">
        <f ca="1">SplineInterp(A149,INDIRECT("'" &amp;Master!$F$10&amp; "'!$A$2:$A$50"),INDIRECT("'" &amp;Master!$F$10&amp; "'!$D$2:$D$50"))</f>
        <v>#VALUE!</v>
      </c>
      <c r="E149" s="4" t="e">
        <f ca="1">SplineInterp(A149,INDIRECT("'" &amp;Master!$F$10&amp; "'!$A$2:$A$50"),INDIRECT("'" &amp;Master!$F$10&amp; "'!$E$2:$E$50"))</f>
        <v>#VALUE!</v>
      </c>
      <c r="F149" s="4" t="e">
        <f ca="1">SplineInterp(A149,INDIRECT("'" &amp;Master!$F$10&amp; "'!$A$2:$A$50"),INDIRECT("'" &amp;Master!$F$10&amp; "'!$F$2:$F$50"))</f>
        <v>#VALUE!</v>
      </c>
      <c r="G149" s="4" t="e">
        <f ca="1">SplineInterp(A149,INDIRECT("'" &amp;Master!$F$10&amp; "'!$A$2:$A$50"),INDIRECT("'" &amp;Master!$F$10&amp; "'!$G$2:$G$50"))</f>
        <v>#VALUE!</v>
      </c>
      <c r="H149" s="4" t="e">
        <f ca="1">SplineInterp(A149,INDIRECT("'" &amp;Master!$F$10&amp; "'!$A$2:$A$50"),INDIRECT("'" &amp;Master!$F$10&amp; "'!$H$2:$H$50"))</f>
        <v>#VALUE!</v>
      </c>
      <c r="I149" s="4" t="e">
        <f ca="1">IF(OR(INDIRECT("'" &amp; Master!$F$8 &amp; Master!$F$6 &amp; "'!B" &amp; ROW(B149))="", INDIRECT("'" &amp; Master!$F$8 &amp; Master!$F$6 &amp; "'!B" &amp; ROW(B149))=0), "", INDIRECT("'" &amp; Master!$F$8 &amp; Master!$F$6 &amp; "'!B" &amp; ROW(B149)))</f>
        <v>#VALUE!</v>
      </c>
      <c r="J149" s="9" t="e">
        <f t="shared" ca="1" si="14"/>
        <v>#VALUE!</v>
      </c>
      <c r="K149" s="7" t="e">
        <f t="shared" ca="1" si="15"/>
        <v>#VALUE!</v>
      </c>
      <c r="L149" s="7" t="e">
        <f t="shared" ca="1" si="16"/>
        <v>#VALUE!</v>
      </c>
      <c r="M149" s="7" t="e">
        <f t="shared" ca="1" si="17"/>
        <v>#VALUE!</v>
      </c>
      <c r="N149" s="7" t="e">
        <f t="shared" ca="1" si="18"/>
        <v>#VALUE!</v>
      </c>
      <c r="O149" s="7" t="e">
        <f t="shared" ca="1" si="19"/>
        <v>#VALUE!</v>
      </c>
      <c r="P149" s="7" t="e">
        <f t="shared" ca="1" si="20"/>
        <v>#VALUE!</v>
      </c>
    </row>
    <row r="150" spans="1:16" x14ac:dyDescent="0.25">
      <c r="A150" s="19" t="str">
        <f ca="1">IF(OR(INDIRECT("'" &amp; Master!$F$8 &amp; Master!$F$6 &amp; "'!A" &amp; ROW(A150))="", INDIRECT("'" &amp; Master!$F$8 &amp; Master!$F$6 &amp; "'!A" &amp; ROW(A150))=0), "", INDIRECT("'" &amp; Master!$F$8 &amp; Master!$F$6 &amp; "'!A" &amp; ROW(A150)))</f>
        <v/>
      </c>
      <c r="B150" s="4" t="e">
        <f ca="1">SplineInterp(INDIRECT("A" &amp; ROW()),INDIRECT("'" &amp;Master!$F$10&amp; "'!$A$2:$A$50"),INDIRECT("'" &amp;Master!$F$10&amp; "'!$B$2:$B$50"))</f>
        <v>#VALUE!</v>
      </c>
      <c r="C150" s="4" t="e">
        <f ca="1">SplineInterp(A150,INDIRECT("'" &amp;Master!$F$10&amp; "'!$A$2:$A$50"),INDIRECT("'" &amp;Master!$F$10&amp; "'!$C$2:$C$50"))</f>
        <v>#VALUE!</v>
      </c>
      <c r="D150" s="4" t="e">
        <f ca="1">SplineInterp(A150,INDIRECT("'" &amp;Master!$F$10&amp; "'!$A$2:$A$50"),INDIRECT("'" &amp;Master!$F$10&amp; "'!$D$2:$D$50"))</f>
        <v>#VALUE!</v>
      </c>
      <c r="E150" s="4" t="e">
        <f ca="1">SplineInterp(A150,INDIRECT("'" &amp;Master!$F$10&amp; "'!$A$2:$A$50"),INDIRECT("'" &amp;Master!$F$10&amp; "'!$E$2:$E$50"))</f>
        <v>#VALUE!</v>
      </c>
      <c r="F150" s="4" t="e">
        <f ca="1">SplineInterp(A150,INDIRECT("'" &amp;Master!$F$10&amp; "'!$A$2:$A$50"),INDIRECT("'" &amp;Master!$F$10&amp; "'!$F$2:$F$50"))</f>
        <v>#VALUE!</v>
      </c>
      <c r="G150" s="4" t="e">
        <f ca="1">SplineInterp(A150,INDIRECT("'" &amp;Master!$F$10&amp; "'!$A$2:$A$50"),INDIRECT("'" &amp;Master!$F$10&amp; "'!$G$2:$G$50"))</f>
        <v>#VALUE!</v>
      </c>
      <c r="H150" s="4" t="e">
        <f ca="1">SplineInterp(A150,INDIRECT("'" &amp;Master!$F$10&amp; "'!$A$2:$A$50"),INDIRECT("'" &amp;Master!$F$10&amp; "'!$H$2:$H$50"))</f>
        <v>#VALUE!</v>
      </c>
      <c r="I150" s="4" t="e">
        <f ca="1">IF(OR(INDIRECT("'" &amp; Master!$F$8 &amp; Master!$F$6 &amp; "'!B" &amp; ROW(B150))="", INDIRECT("'" &amp; Master!$F$8 &amp; Master!$F$6 &amp; "'!B" &amp; ROW(B150))=0), "", INDIRECT("'" &amp; Master!$F$8 &amp; Master!$F$6 &amp; "'!B" &amp; ROW(B150)))</f>
        <v>#VALUE!</v>
      </c>
      <c r="J150" s="9" t="e">
        <f t="shared" ca="1" si="14"/>
        <v>#VALUE!</v>
      </c>
      <c r="K150" s="7" t="e">
        <f t="shared" ca="1" si="15"/>
        <v>#VALUE!</v>
      </c>
      <c r="L150" s="7" t="e">
        <f t="shared" ca="1" si="16"/>
        <v>#VALUE!</v>
      </c>
      <c r="M150" s="7" t="e">
        <f t="shared" ca="1" si="17"/>
        <v>#VALUE!</v>
      </c>
      <c r="N150" s="7" t="e">
        <f t="shared" ca="1" si="18"/>
        <v>#VALUE!</v>
      </c>
      <c r="O150" s="7" t="e">
        <f t="shared" ca="1" si="19"/>
        <v>#VALUE!</v>
      </c>
      <c r="P150" s="7" t="e">
        <f t="shared" ca="1" si="20"/>
        <v>#VALUE!</v>
      </c>
    </row>
    <row r="151" spans="1:16" x14ac:dyDescent="0.25">
      <c r="A151" s="19" t="str">
        <f ca="1">IF(OR(INDIRECT("'" &amp; Master!$F$8 &amp; Master!$F$6 &amp; "'!A" &amp; ROW(A151))="", INDIRECT("'" &amp; Master!$F$8 &amp; Master!$F$6 &amp; "'!A" &amp; ROW(A151))=0), "", INDIRECT("'" &amp; Master!$F$8 &amp; Master!$F$6 &amp; "'!A" &amp; ROW(A151)))</f>
        <v/>
      </c>
      <c r="B151" s="4" t="e">
        <f ca="1">SplineInterp(INDIRECT("A" &amp; ROW()),INDIRECT("'" &amp;Master!$F$10&amp; "'!$A$2:$A$50"),INDIRECT("'" &amp;Master!$F$10&amp; "'!$B$2:$B$50"))</f>
        <v>#VALUE!</v>
      </c>
      <c r="C151" s="4" t="e">
        <f ca="1">SplineInterp(A151,INDIRECT("'" &amp;Master!$F$10&amp; "'!$A$2:$A$50"),INDIRECT("'" &amp;Master!$F$10&amp; "'!$C$2:$C$50"))</f>
        <v>#VALUE!</v>
      </c>
      <c r="D151" s="4" t="e">
        <f ca="1">SplineInterp(A151,INDIRECT("'" &amp;Master!$F$10&amp; "'!$A$2:$A$50"),INDIRECT("'" &amp;Master!$F$10&amp; "'!$D$2:$D$50"))</f>
        <v>#VALUE!</v>
      </c>
      <c r="E151" s="4" t="e">
        <f ca="1">SplineInterp(A151,INDIRECT("'" &amp;Master!$F$10&amp; "'!$A$2:$A$50"),INDIRECT("'" &amp;Master!$F$10&amp; "'!$E$2:$E$50"))</f>
        <v>#VALUE!</v>
      </c>
      <c r="F151" s="4" t="e">
        <f ca="1">SplineInterp(A151,INDIRECT("'" &amp;Master!$F$10&amp; "'!$A$2:$A$50"),INDIRECT("'" &amp;Master!$F$10&amp; "'!$F$2:$F$50"))</f>
        <v>#VALUE!</v>
      </c>
      <c r="G151" s="4" t="e">
        <f ca="1">SplineInterp(A151,INDIRECT("'" &amp;Master!$F$10&amp; "'!$A$2:$A$50"),INDIRECT("'" &amp;Master!$F$10&amp; "'!$G$2:$G$50"))</f>
        <v>#VALUE!</v>
      </c>
      <c r="H151" s="4" t="e">
        <f ca="1">SplineInterp(A151,INDIRECT("'" &amp;Master!$F$10&amp; "'!$A$2:$A$50"),INDIRECT("'" &amp;Master!$F$10&amp; "'!$H$2:$H$50"))</f>
        <v>#VALUE!</v>
      </c>
      <c r="I151" s="4" t="e">
        <f ca="1">IF(OR(INDIRECT("'" &amp; Master!$F$8 &amp; Master!$F$6 &amp; "'!B" &amp; ROW(B151))="", INDIRECT("'" &amp; Master!$F$8 &amp; Master!$F$6 &amp; "'!B" &amp; ROW(B151))=0), "", INDIRECT("'" &amp; Master!$F$8 &amp; Master!$F$6 &amp; "'!B" &amp; ROW(B151)))</f>
        <v>#VALUE!</v>
      </c>
      <c r="J151" s="9" t="e">
        <f t="shared" ca="1" si="14"/>
        <v>#VALUE!</v>
      </c>
      <c r="K151" s="7" t="e">
        <f t="shared" ca="1" si="15"/>
        <v>#VALUE!</v>
      </c>
      <c r="L151" s="7" t="e">
        <f t="shared" ca="1" si="16"/>
        <v>#VALUE!</v>
      </c>
      <c r="M151" s="7" t="e">
        <f t="shared" ca="1" si="17"/>
        <v>#VALUE!</v>
      </c>
      <c r="N151" s="7" t="e">
        <f t="shared" ca="1" si="18"/>
        <v>#VALUE!</v>
      </c>
      <c r="O151" s="7" t="e">
        <f t="shared" ca="1" si="19"/>
        <v>#VALUE!</v>
      </c>
      <c r="P151" s="7" t="e">
        <f t="shared" ca="1" si="20"/>
        <v>#VALUE!</v>
      </c>
    </row>
    <row r="152" spans="1:16" x14ac:dyDescent="0.25">
      <c r="A152" s="19" t="str">
        <f ca="1">IF(OR(INDIRECT("'" &amp; Master!$F$8 &amp; Master!$F$6 &amp; "'!A" &amp; ROW(A152))="", INDIRECT("'" &amp; Master!$F$8 &amp; Master!$F$6 &amp; "'!A" &amp; ROW(A152))=0), "", INDIRECT("'" &amp; Master!$F$8 &amp; Master!$F$6 &amp; "'!A" &amp; ROW(A152)))</f>
        <v/>
      </c>
      <c r="B152" s="4" t="e">
        <f ca="1">SplineInterp(INDIRECT("A" &amp; ROW()),INDIRECT("'" &amp;Master!$F$10&amp; "'!$A$2:$A$50"),INDIRECT("'" &amp;Master!$F$10&amp; "'!$B$2:$B$50"))</f>
        <v>#VALUE!</v>
      </c>
      <c r="C152" s="4" t="e">
        <f ca="1">SplineInterp(A152,INDIRECT("'" &amp;Master!$F$10&amp; "'!$A$2:$A$50"),INDIRECT("'" &amp;Master!$F$10&amp; "'!$C$2:$C$50"))</f>
        <v>#VALUE!</v>
      </c>
      <c r="D152" s="4" t="e">
        <f ca="1">SplineInterp(A152,INDIRECT("'" &amp;Master!$F$10&amp; "'!$A$2:$A$50"),INDIRECT("'" &amp;Master!$F$10&amp; "'!$D$2:$D$50"))</f>
        <v>#VALUE!</v>
      </c>
      <c r="E152" s="4" t="e">
        <f ca="1">SplineInterp(A152,INDIRECT("'" &amp;Master!$F$10&amp; "'!$A$2:$A$50"),INDIRECT("'" &amp;Master!$F$10&amp; "'!$E$2:$E$50"))</f>
        <v>#VALUE!</v>
      </c>
      <c r="F152" s="4" t="e">
        <f ca="1">SplineInterp(A152,INDIRECT("'" &amp;Master!$F$10&amp; "'!$A$2:$A$50"),INDIRECT("'" &amp;Master!$F$10&amp; "'!$F$2:$F$50"))</f>
        <v>#VALUE!</v>
      </c>
      <c r="G152" s="4" t="e">
        <f ca="1">SplineInterp(A152,INDIRECT("'" &amp;Master!$F$10&amp; "'!$A$2:$A$50"),INDIRECT("'" &amp;Master!$F$10&amp; "'!$G$2:$G$50"))</f>
        <v>#VALUE!</v>
      </c>
      <c r="H152" s="4" t="e">
        <f ca="1">SplineInterp(A152,INDIRECT("'" &amp;Master!$F$10&amp; "'!$A$2:$A$50"),INDIRECT("'" &amp;Master!$F$10&amp; "'!$H$2:$H$50"))</f>
        <v>#VALUE!</v>
      </c>
      <c r="I152" s="4" t="e">
        <f ca="1">IF(OR(INDIRECT("'" &amp; Master!$F$8 &amp; Master!$F$6 &amp; "'!B" &amp; ROW(B152))="", INDIRECT("'" &amp; Master!$F$8 &amp; Master!$F$6 &amp; "'!B" &amp; ROW(B152))=0), "", INDIRECT("'" &amp; Master!$F$8 &amp; Master!$F$6 &amp; "'!B" &amp; ROW(B152)))</f>
        <v>#VALUE!</v>
      </c>
      <c r="J152" s="9" t="e">
        <f t="shared" ca="1" si="14"/>
        <v>#VALUE!</v>
      </c>
      <c r="K152" s="7" t="e">
        <f t="shared" ca="1" si="15"/>
        <v>#VALUE!</v>
      </c>
      <c r="L152" s="7" t="e">
        <f t="shared" ca="1" si="16"/>
        <v>#VALUE!</v>
      </c>
      <c r="M152" s="7" t="e">
        <f t="shared" ca="1" si="17"/>
        <v>#VALUE!</v>
      </c>
      <c r="N152" s="7" t="e">
        <f t="shared" ca="1" si="18"/>
        <v>#VALUE!</v>
      </c>
      <c r="O152" s="7" t="e">
        <f t="shared" ca="1" si="19"/>
        <v>#VALUE!</v>
      </c>
      <c r="P152" s="7" t="e">
        <f t="shared" ca="1" si="20"/>
        <v>#VALUE!</v>
      </c>
    </row>
    <row r="153" spans="1:16" x14ac:dyDescent="0.25">
      <c r="A153" s="19" t="str">
        <f ca="1">IF(OR(INDIRECT("'" &amp; Master!$F$8 &amp; Master!$F$6 &amp; "'!A" &amp; ROW(A153))="", INDIRECT("'" &amp; Master!$F$8 &amp; Master!$F$6 &amp; "'!A" &amp; ROW(A153))=0), "", INDIRECT("'" &amp; Master!$F$8 &amp; Master!$F$6 &amp; "'!A" &amp; ROW(A153)))</f>
        <v/>
      </c>
      <c r="B153" s="4" t="e">
        <f ca="1">SplineInterp(INDIRECT("A" &amp; ROW()),INDIRECT("'" &amp;Master!$F$10&amp; "'!$A$2:$A$50"),INDIRECT("'" &amp;Master!$F$10&amp; "'!$B$2:$B$50"))</f>
        <v>#VALUE!</v>
      </c>
      <c r="C153" s="4" t="e">
        <f ca="1">SplineInterp(A153,INDIRECT("'" &amp;Master!$F$10&amp; "'!$A$2:$A$50"),INDIRECT("'" &amp;Master!$F$10&amp; "'!$C$2:$C$50"))</f>
        <v>#VALUE!</v>
      </c>
      <c r="D153" s="4" t="e">
        <f ca="1">SplineInterp(A153,INDIRECT("'" &amp;Master!$F$10&amp; "'!$A$2:$A$50"),INDIRECT("'" &amp;Master!$F$10&amp; "'!$D$2:$D$50"))</f>
        <v>#VALUE!</v>
      </c>
      <c r="E153" s="4" t="e">
        <f ca="1">SplineInterp(A153,INDIRECT("'" &amp;Master!$F$10&amp; "'!$A$2:$A$50"),INDIRECT("'" &amp;Master!$F$10&amp; "'!$E$2:$E$50"))</f>
        <v>#VALUE!</v>
      </c>
      <c r="F153" s="4" t="e">
        <f ca="1">SplineInterp(A153,INDIRECT("'" &amp;Master!$F$10&amp; "'!$A$2:$A$50"),INDIRECT("'" &amp;Master!$F$10&amp; "'!$F$2:$F$50"))</f>
        <v>#VALUE!</v>
      </c>
      <c r="G153" s="4" t="e">
        <f ca="1">SplineInterp(A153,INDIRECT("'" &amp;Master!$F$10&amp; "'!$A$2:$A$50"),INDIRECT("'" &amp;Master!$F$10&amp; "'!$G$2:$G$50"))</f>
        <v>#VALUE!</v>
      </c>
      <c r="H153" s="4" t="e">
        <f ca="1">SplineInterp(A153,INDIRECT("'" &amp;Master!$F$10&amp; "'!$A$2:$A$50"),INDIRECT("'" &amp;Master!$F$10&amp; "'!$H$2:$H$50"))</f>
        <v>#VALUE!</v>
      </c>
      <c r="I153" s="4" t="e">
        <f ca="1">IF(OR(INDIRECT("'" &amp; Master!$F$8 &amp; Master!$F$6 &amp; "'!B" &amp; ROW(B153))="", INDIRECT("'" &amp; Master!$F$8 &amp; Master!$F$6 &amp; "'!B" &amp; ROW(B153))=0), "", INDIRECT("'" &amp; Master!$F$8 &amp; Master!$F$6 &amp; "'!B" &amp; ROW(B153)))</f>
        <v>#VALUE!</v>
      </c>
      <c r="J153" s="9" t="e">
        <f t="shared" ca="1" si="14"/>
        <v>#VALUE!</v>
      </c>
      <c r="K153" s="7" t="e">
        <f t="shared" ca="1" si="15"/>
        <v>#VALUE!</v>
      </c>
      <c r="L153" s="7" t="e">
        <f t="shared" ca="1" si="16"/>
        <v>#VALUE!</v>
      </c>
      <c r="M153" s="7" t="e">
        <f t="shared" ca="1" si="17"/>
        <v>#VALUE!</v>
      </c>
      <c r="N153" s="7" t="e">
        <f t="shared" ca="1" si="18"/>
        <v>#VALUE!</v>
      </c>
      <c r="O153" s="7" t="e">
        <f t="shared" ca="1" si="19"/>
        <v>#VALUE!</v>
      </c>
      <c r="P153" s="7" t="e">
        <f t="shared" ca="1" si="20"/>
        <v>#VALUE!</v>
      </c>
    </row>
    <row r="154" spans="1:16" x14ac:dyDescent="0.25">
      <c r="A154" s="19" t="str">
        <f ca="1">IF(OR(INDIRECT("'" &amp; Master!$F$8 &amp; Master!$F$6 &amp; "'!A" &amp; ROW(A154))="", INDIRECT("'" &amp; Master!$F$8 &amp; Master!$F$6 &amp; "'!A" &amp; ROW(A154))=0), "", INDIRECT("'" &amp; Master!$F$8 &amp; Master!$F$6 &amp; "'!A" &amp; ROW(A154)))</f>
        <v/>
      </c>
      <c r="B154" s="4" t="e">
        <f ca="1">SplineInterp(INDIRECT("A" &amp; ROW()),INDIRECT("'" &amp;Master!$F$10&amp; "'!$A$2:$A$50"),INDIRECT("'" &amp;Master!$F$10&amp; "'!$B$2:$B$50"))</f>
        <v>#VALUE!</v>
      </c>
      <c r="C154" s="4" t="e">
        <f ca="1">SplineInterp(A154,INDIRECT("'" &amp;Master!$F$10&amp; "'!$A$2:$A$50"),INDIRECT("'" &amp;Master!$F$10&amp; "'!$C$2:$C$50"))</f>
        <v>#VALUE!</v>
      </c>
      <c r="D154" s="4" t="e">
        <f ca="1">SplineInterp(A154,INDIRECT("'" &amp;Master!$F$10&amp; "'!$A$2:$A$50"),INDIRECT("'" &amp;Master!$F$10&amp; "'!$D$2:$D$50"))</f>
        <v>#VALUE!</v>
      </c>
      <c r="E154" s="4" t="e">
        <f ca="1">SplineInterp(A154,INDIRECT("'" &amp;Master!$F$10&amp; "'!$A$2:$A$50"),INDIRECT("'" &amp;Master!$F$10&amp; "'!$E$2:$E$50"))</f>
        <v>#VALUE!</v>
      </c>
      <c r="F154" s="4" t="e">
        <f ca="1">SplineInterp(A154,INDIRECT("'" &amp;Master!$F$10&amp; "'!$A$2:$A$50"),INDIRECT("'" &amp;Master!$F$10&amp; "'!$F$2:$F$50"))</f>
        <v>#VALUE!</v>
      </c>
      <c r="G154" s="4" t="e">
        <f ca="1">SplineInterp(A154,INDIRECT("'" &amp;Master!$F$10&amp; "'!$A$2:$A$50"),INDIRECT("'" &amp;Master!$F$10&amp; "'!$G$2:$G$50"))</f>
        <v>#VALUE!</v>
      </c>
      <c r="H154" s="4" t="e">
        <f ca="1">SplineInterp(A154,INDIRECT("'" &amp;Master!$F$10&amp; "'!$A$2:$A$50"),INDIRECT("'" &amp;Master!$F$10&amp; "'!$H$2:$H$50"))</f>
        <v>#VALUE!</v>
      </c>
      <c r="I154" s="4" t="e">
        <f ca="1">IF(OR(INDIRECT("'" &amp; Master!$F$8 &amp; Master!$F$6 &amp; "'!B" &amp; ROW(B154))="", INDIRECT("'" &amp; Master!$F$8 &amp; Master!$F$6 &amp; "'!B" &amp; ROW(B154))=0), "", INDIRECT("'" &amp; Master!$F$8 &amp; Master!$F$6 &amp; "'!B" &amp; ROW(B154)))</f>
        <v>#VALUE!</v>
      </c>
      <c r="J154" s="9" t="e">
        <f t="shared" ca="1" si="14"/>
        <v>#VALUE!</v>
      </c>
      <c r="K154" s="7" t="e">
        <f t="shared" ca="1" si="15"/>
        <v>#VALUE!</v>
      </c>
      <c r="L154" s="7" t="e">
        <f t="shared" ca="1" si="16"/>
        <v>#VALUE!</v>
      </c>
      <c r="M154" s="7" t="e">
        <f t="shared" ca="1" si="17"/>
        <v>#VALUE!</v>
      </c>
      <c r="N154" s="7" t="e">
        <f t="shared" ca="1" si="18"/>
        <v>#VALUE!</v>
      </c>
      <c r="O154" s="7" t="e">
        <f t="shared" ca="1" si="19"/>
        <v>#VALUE!</v>
      </c>
      <c r="P154" s="7" t="e">
        <f t="shared" ca="1" si="20"/>
        <v>#VALUE!</v>
      </c>
    </row>
    <row r="155" spans="1:16" x14ac:dyDescent="0.25">
      <c r="A155" s="19" t="str">
        <f ca="1">IF(OR(INDIRECT("'" &amp; Master!$F$8 &amp; Master!$F$6 &amp; "'!A" &amp; ROW(A155))="", INDIRECT("'" &amp; Master!$F$8 &amp; Master!$F$6 &amp; "'!A" &amp; ROW(A155))=0), "", INDIRECT("'" &amp; Master!$F$8 &amp; Master!$F$6 &amp; "'!A" &amp; ROW(A155)))</f>
        <v/>
      </c>
      <c r="B155" s="4" t="e">
        <f ca="1">SplineInterp(INDIRECT("A" &amp; ROW()),INDIRECT("'" &amp;Master!$F$10&amp; "'!$A$2:$A$50"),INDIRECT("'" &amp;Master!$F$10&amp; "'!$B$2:$B$50"))</f>
        <v>#VALUE!</v>
      </c>
      <c r="C155" s="4" t="e">
        <f ca="1">SplineInterp(A155,INDIRECT("'" &amp;Master!$F$10&amp; "'!$A$2:$A$50"),INDIRECT("'" &amp;Master!$F$10&amp; "'!$C$2:$C$50"))</f>
        <v>#VALUE!</v>
      </c>
      <c r="D155" s="4" t="e">
        <f ca="1">SplineInterp(A155,INDIRECT("'" &amp;Master!$F$10&amp; "'!$A$2:$A$50"),INDIRECT("'" &amp;Master!$F$10&amp; "'!$D$2:$D$50"))</f>
        <v>#VALUE!</v>
      </c>
      <c r="E155" s="4" t="e">
        <f ca="1">SplineInterp(A155,INDIRECT("'" &amp;Master!$F$10&amp; "'!$A$2:$A$50"),INDIRECT("'" &amp;Master!$F$10&amp; "'!$E$2:$E$50"))</f>
        <v>#VALUE!</v>
      </c>
      <c r="F155" s="4" t="e">
        <f ca="1">SplineInterp(A155,INDIRECT("'" &amp;Master!$F$10&amp; "'!$A$2:$A$50"),INDIRECT("'" &amp;Master!$F$10&amp; "'!$F$2:$F$50"))</f>
        <v>#VALUE!</v>
      </c>
      <c r="G155" s="4" t="e">
        <f ca="1">SplineInterp(A155,INDIRECT("'" &amp;Master!$F$10&amp; "'!$A$2:$A$50"),INDIRECT("'" &amp;Master!$F$10&amp; "'!$G$2:$G$50"))</f>
        <v>#VALUE!</v>
      </c>
      <c r="H155" s="4" t="e">
        <f ca="1">SplineInterp(A155,INDIRECT("'" &amp;Master!$F$10&amp; "'!$A$2:$A$50"),INDIRECT("'" &amp;Master!$F$10&amp; "'!$H$2:$H$50"))</f>
        <v>#VALUE!</v>
      </c>
      <c r="I155" s="4" t="e">
        <f ca="1">IF(OR(INDIRECT("'" &amp; Master!$F$8 &amp; Master!$F$6 &amp; "'!B" &amp; ROW(B155))="", INDIRECT("'" &amp; Master!$F$8 &amp; Master!$F$6 &amp; "'!B" &amp; ROW(B155))=0), "", INDIRECT("'" &amp; Master!$F$8 &amp; Master!$F$6 &amp; "'!B" &amp; ROW(B155)))</f>
        <v>#VALUE!</v>
      </c>
      <c r="J155" s="9" t="e">
        <f t="shared" ca="1" si="14"/>
        <v>#VALUE!</v>
      </c>
      <c r="K155" s="7" t="e">
        <f t="shared" ca="1" si="15"/>
        <v>#VALUE!</v>
      </c>
      <c r="L155" s="7" t="e">
        <f t="shared" ca="1" si="16"/>
        <v>#VALUE!</v>
      </c>
      <c r="M155" s="7" t="e">
        <f t="shared" ca="1" si="17"/>
        <v>#VALUE!</v>
      </c>
      <c r="N155" s="7" t="e">
        <f t="shared" ca="1" si="18"/>
        <v>#VALUE!</v>
      </c>
      <c r="O155" s="7" t="e">
        <f t="shared" ca="1" si="19"/>
        <v>#VALUE!</v>
      </c>
      <c r="P155" s="7" t="e">
        <f t="shared" ca="1" si="20"/>
        <v>#VALUE!</v>
      </c>
    </row>
    <row r="156" spans="1:16" x14ac:dyDescent="0.25">
      <c r="A156" s="19" t="str">
        <f ca="1">IF(OR(INDIRECT("'" &amp; Master!$F$8 &amp; Master!$F$6 &amp; "'!A" &amp; ROW(A156))="", INDIRECT("'" &amp; Master!$F$8 &amp; Master!$F$6 &amp; "'!A" &amp; ROW(A156))=0), "", INDIRECT("'" &amp; Master!$F$8 &amp; Master!$F$6 &amp; "'!A" &amp; ROW(A156)))</f>
        <v/>
      </c>
      <c r="B156" s="4" t="e">
        <f ca="1">SplineInterp(INDIRECT("A" &amp; ROW()),INDIRECT("'" &amp;Master!$F$10&amp; "'!$A$2:$A$50"),INDIRECT("'" &amp;Master!$F$10&amp; "'!$B$2:$B$50"))</f>
        <v>#VALUE!</v>
      </c>
      <c r="C156" s="4" t="e">
        <f ca="1">SplineInterp(A156,INDIRECT("'" &amp;Master!$F$10&amp; "'!$A$2:$A$50"),INDIRECT("'" &amp;Master!$F$10&amp; "'!$C$2:$C$50"))</f>
        <v>#VALUE!</v>
      </c>
      <c r="D156" s="4" t="e">
        <f ca="1">SplineInterp(A156,INDIRECT("'" &amp;Master!$F$10&amp; "'!$A$2:$A$50"),INDIRECT("'" &amp;Master!$F$10&amp; "'!$D$2:$D$50"))</f>
        <v>#VALUE!</v>
      </c>
      <c r="E156" s="4" t="e">
        <f ca="1">SplineInterp(A156,INDIRECT("'" &amp;Master!$F$10&amp; "'!$A$2:$A$50"),INDIRECT("'" &amp;Master!$F$10&amp; "'!$E$2:$E$50"))</f>
        <v>#VALUE!</v>
      </c>
      <c r="F156" s="4" t="e">
        <f ca="1">SplineInterp(A156,INDIRECT("'" &amp;Master!$F$10&amp; "'!$A$2:$A$50"),INDIRECT("'" &amp;Master!$F$10&amp; "'!$F$2:$F$50"))</f>
        <v>#VALUE!</v>
      </c>
      <c r="G156" s="4" t="e">
        <f ca="1">SplineInterp(A156,INDIRECT("'" &amp;Master!$F$10&amp; "'!$A$2:$A$50"),INDIRECT("'" &amp;Master!$F$10&amp; "'!$G$2:$G$50"))</f>
        <v>#VALUE!</v>
      </c>
      <c r="H156" s="4" t="e">
        <f ca="1">SplineInterp(A156,INDIRECT("'" &amp;Master!$F$10&amp; "'!$A$2:$A$50"),INDIRECT("'" &amp;Master!$F$10&amp; "'!$H$2:$H$50"))</f>
        <v>#VALUE!</v>
      </c>
      <c r="I156" s="4" t="e">
        <f ca="1">IF(OR(INDIRECT("'" &amp; Master!$F$8 &amp; Master!$F$6 &amp; "'!B" &amp; ROW(B156))="", INDIRECT("'" &amp; Master!$F$8 &amp; Master!$F$6 &amp; "'!B" &amp; ROW(B156))=0), "", INDIRECT("'" &amp; Master!$F$8 &amp; Master!$F$6 &amp; "'!B" &amp; ROW(B156)))</f>
        <v>#VALUE!</v>
      </c>
      <c r="J156" s="9" t="e">
        <f t="shared" ca="1" si="14"/>
        <v>#VALUE!</v>
      </c>
      <c r="K156" s="7" t="e">
        <f t="shared" ca="1" si="15"/>
        <v>#VALUE!</v>
      </c>
      <c r="L156" s="7" t="e">
        <f t="shared" ca="1" si="16"/>
        <v>#VALUE!</v>
      </c>
      <c r="M156" s="7" t="e">
        <f t="shared" ca="1" si="17"/>
        <v>#VALUE!</v>
      </c>
      <c r="N156" s="7" t="e">
        <f t="shared" ca="1" si="18"/>
        <v>#VALUE!</v>
      </c>
      <c r="O156" s="7" t="e">
        <f t="shared" ca="1" si="19"/>
        <v>#VALUE!</v>
      </c>
      <c r="P156" s="7" t="e">
        <f t="shared" ca="1" si="20"/>
        <v>#VALUE!</v>
      </c>
    </row>
    <row r="157" spans="1:16" x14ac:dyDescent="0.25">
      <c r="A157" s="19" t="str">
        <f ca="1">IF(OR(INDIRECT("'" &amp; Master!$F$8 &amp; Master!$F$6 &amp; "'!A" &amp; ROW(A157))="", INDIRECT("'" &amp; Master!$F$8 &amp; Master!$F$6 &amp; "'!A" &amp; ROW(A157))=0), "", INDIRECT("'" &amp; Master!$F$8 &amp; Master!$F$6 &amp; "'!A" &amp; ROW(A157)))</f>
        <v/>
      </c>
      <c r="B157" s="4" t="e">
        <f ca="1">SplineInterp(INDIRECT("A" &amp; ROW()),INDIRECT("'" &amp;Master!$F$10&amp; "'!$A$2:$A$50"),INDIRECT("'" &amp;Master!$F$10&amp; "'!$B$2:$B$50"))</f>
        <v>#VALUE!</v>
      </c>
      <c r="C157" s="4" t="e">
        <f ca="1">SplineInterp(A157,INDIRECT("'" &amp;Master!$F$10&amp; "'!$A$2:$A$50"),INDIRECT("'" &amp;Master!$F$10&amp; "'!$C$2:$C$50"))</f>
        <v>#VALUE!</v>
      </c>
      <c r="D157" s="4" t="e">
        <f ca="1">SplineInterp(A157,INDIRECT("'" &amp;Master!$F$10&amp; "'!$A$2:$A$50"),INDIRECT("'" &amp;Master!$F$10&amp; "'!$D$2:$D$50"))</f>
        <v>#VALUE!</v>
      </c>
      <c r="E157" s="4" t="e">
        <f ca="1">SplineInterp(A157,INDIRECT("'" &amp;Master!$F$10&amp; "'!$A$2:$A$50"),INDIRECT("'" &amp;Master!$F$10&amp; "'!$E$2:$E$50"))</f>
        <v>#VALUE!</v>
      </c>
      <c r="F157" s="4" t="e">
        <f ca="1">SplineInterp(A157,INDIRECT("'" &amp;Master!$F$10&amp; "'!$A$2:$A$50"),INDIRECT("'" &amp;Master!$F$10&amp; "'!$F$2:$F$50"))</f>
        <v>#VALUE!</v>
      </c>
      <c r="G157" s="4" t="e">
        <f ca="1">SplineInterp(A157,INDIRECT("'" &amp;Master!$F$10&amp; "'!$A$2:$A$50"),INDIRECT("'" &amp;Master!$F$10&amp; "'!$G$2:$G$50"))</f>
        <v>#VALUE!</v>
      </c>
      <c r="H157" s="4" t="e">
        <f ca="1">SplineInterp(A157,INDIRECT("'" &amp;Master!$F$10&amp; "'!$A$2:$A$50"),INDIRECT("'" &amp;Master!$F$10&amp; "'!$H$2:$H$50"))</f>
        <v>#VALUE!</v>
      </c>
      <c r="I157" s="4" t="e">
        <f ca="1">IF(OR(INDIRECT("'" &amp; Master!$F$8 &amp; Master!$F$6 &amp; "'!B" &amp; ROW(B157))="", INDIRECT("'" &amp; Master!$F$8 &amp; Master!$F$6 &amp; "'!B" &amp; ROW(B157))=0), "", INDIRECT("'" &amp; Master!$F$8 &amp; Master!$F$6 &amp; "'!B" &amp; ROW(B157)))</f>
        <v>#VALUE!</v>
      </c>
      <c r="J157" s="9" t="e">
        <f t="shared" ca="1" si="14"/>
        <v>#VALUE!</v>
      </c>
      <c r="K157" s="7" t="e">
        <f t="shared" ca="1" si="15"/>
        <v>#VALUE!</v>
      </c>
      <c r="L157" s="7" t="e">
        <f t="shared" ca="1" si="16"/>
        <v>#VALUE!</v>
      </c>
      <c r="M157" s="7" t="e">
        <f t="shared" ca="1" si="17"/>
        <v>#VALUE!</v>
      </c>
      <c r="N157" s="7" t="e">
        <f t="shared" ca="1" si="18"/>
        <v>#VALUE!</v>
      </c>
      <c r="O157" s="7" t="e">
        <f t="shared" ca="1" si="19"/>
        <v>#VALUE!</v>
      </c>
      <c r="P157" s="7" t="e">
        <f t="shared" ca="1" si="20"/>
        <v>#VALUE!</v>
      </c>
    </row>
    <row r="158" spans="1:16" x14ac:dyDescent="0.25">
      <c r="A158" s="19" t="str">
        <f ca="1">IF(OR(INDIRECT("'" &amp; Master!$F$8 &amp; Master!$F$6 &amp; "'!A" &amp; ROW(A158))="", INDIRECT("'" &amp; Master!$F$8 &amp; Master!$F$6 &amp; "'!A" &amp; ROW(A158))=0), "", INDIRECT("'" &amp; Master!$F$8 &amp; Master!$F$6 &amp; "'!A" &amp; ROW(A158)))</f>
        <v/>
      </c>
      <c r="B158" s="4" t="e">
        <f ca="1">SplineInterp(INDIRECT("A" &amp; ROW()),INDIRECT("'" &amp;Master!$F$10&amp; "'!$A$2:$A$50"),INDIRECT("'" &amp;Master!$F$10&amp; "'!$B$2:$B$50"))</f>
        <v>#VALUE!</v>
      </c>
      <c r="C158" s="4" t="e">
        <f ca="1">SplineInterp(A158,INDIRECT("'" &amp;Master!$F$10&amp; "'!$A$2:$A$50"),INDIRECT("'" &amp;Master!$F$10&amp; "'!$C$2:$C$50"))</f>
        <v>#VALUE!</v>
      </c>
      <c r="D158" s="4" t="e">
        <f ca="1">SplineInterp(A158,INDIRECT("'" &amp;Master!$F$10&amp; "'!$A$2:$A$50"),INDIRECT("'" &amp;Master!$F$10&amp; "'!$D$2:$D$50"))</f>
        <v>#VALUE!</v>
      </c>
      <c r="E158" s="4" t="e">
        <f ca="1">SplineInterp(A158,INDIRECT("'" &amp;Master!$F$10&amp; "'!$A$2:$A$50"),INDIRECT("'" &amp;Master!$F$10&amp; "'!$E$2:$E$50"))</f>
        <v>#VALUE!</v>
      </c>
      <c r="F158" s="4" t="e">
        <f ca="1">SplineInterp(A158,INDIRECT("'" &amp;Master!$F$10&amp; "'!$A$2:$A$50"),INDIRECT("'" &amp;Master!$F$10&amp; "'!$F$2:$F$50"))</f>
        <v>#VALUE!</v>
      </c>
      <c r="G158" s="4" t="e">
        <f ca="1">SplineInterp(A158,INDIRECT("'" &amp;Master!$F$10&amp; "'!$A$2:$A$50"),INDIRECT("'" &amp;Master!$F$10&amp; "'!$G$2:$G$50"))</f>
        <v>#VALUE!</v>
      </c>
      <c r="H158" s="4" t="e">
        <f ca="1">SplineInterp(A158,INDIRECT("'" &amp;Master!$F$10&amp; "'!$A$2:$A$50"),INDIRECT("'" &amp;Master!$F$10&amp; "'!$H$2:$H$50"))</f>
        <v>#VALUE!</v>
      </c>
      <c r="I158" s="4" t="e">
        <f ca="1">IF(OR(INDIRECT("'" &amp; Master!$F$8 &amp; Master!$F$6 &amp; "'!B" &amp; ROW(B158))="", INDIRECT("'" &amp; Master!$F$8 &amp; Master!$F$6 &amp; "'!B" &amp; ROW(B158))=0), "", INDIRECT("'" &amp; Master!$F$8 &amp; Master!$F$6 &amp; "'!B" &amp; ROW(B158)))</f>
        <v>#VALUE!</v>
      </c>
      <c r="J158" s="9" t="e">
        <f t="shared" ca="1" si="14"/>
        <v>#VALUE!</v>
      </c>
      <c r="K158" s="7" t="e">
        <f t="shared" ca="1" si="15"/>
        <v>#VALUE!</v>
      </c>
      <c r="L158" s="7" t="e">
        <f t="shared" ca="1" si="16"/>
        <v>#VALUE!</v>
      </c>
      <c r="M158" s="7" t="e">
        <f t="shared" ca="1" si="17"/>
        <v>#VALUE!</v>
      </c>
      <c r="N158" s="7" t="e">
        <f t="shared" ca="1" si="18"/>
        <v>#VALUE!</v>
      </c>
      <c r="O158" s="7" t="e">
        <f t="shared" ca="1" si="19"/>
        <v>#VALUE!</v>
      </c>
      <c r="P158" s="7" t="e">
        <f t="shared" ca="1" si="20"/>
        <v>#VALUE!</v>
      </c>
    </row>
    <row r="159" spans="1:16" x14ac:dyDescent="0.25">
      <c r="A159" s="19" t="str">
        <f ca="1">IF(OR(INDIRECT("'" &amp; Master!$F$8 &amp; Master!$F$6 &amp; "'!A" &amp; ROW(A159))="", INDIRECT("'" &amp; Master!$F$8 &amp; Master!$F$6 &amp; "'!A" &amp; ROW(A159))=0), "", INDIRECT("'" &amp; Master!$F$8 &amp; Master!$F$6 &amp; "'!A" &amp; ROW(A159)))</f>
        <v/>
      </c>
      <c r="B159" s="4" t="e">
        <f ca="1">SplineInterp(INDIRECT("A" &amp; ROW()),INDIRECT("'" &amp;Master!$F$10&amp; "'!$A$2:$A$50"),INDIRECT("'" &amp;Master!$F$10&amp; "'!$B$2:$B$50"))</f>
        <v>#VALUE!</v>
      </c>
      <c r="C159" s="4" t="e">
        <f ca="1">SplineInterp(A159,INDIRECT("'" &amp;Master!$F$10&amp; "'!$A$2:$A$50"),INDIRECT("'" &amp;Master!$F$10&amp; "'!$C$2:$C$50"))</f>
        <v>#VALUE!</v>
      </c>
      <c r="D159" s="4" t="e">
        <f ca="1">SplineInterp(A159,INDIRECT("'" &amp;Master!$F$10&amp; "'!$A$2:$A$50"),INDIRECT("'" &amp;Master!$F$10&amp; "'!$D$2:$D$50"))</f>
        <v>#VALUE!</v>
      </c>
      <c r="E159" s="4" t="e">
        <f ca="1">SplineInterp(A159,INDIRECT("'" &amp;Master!$F$10&amp; "'!$A$2:$A$50"),INDIRECT("'" &amp;Master!$F$10&amp; "'!$E$2:$E$50"))</f>
        <v>#VALUE!</v>
      </c>
      <c r="F159" s="4" t="e">
        <f ca="1">SplineInterp(A159,INDIRECT("'" &amp;Master!$F$10&amp; "'!$A$2:$A$50"),INDIRECT("'" &amp;Master!$F$10&amp; "'!$F$2:$F$50"))</f>
        <v>#VALUE!</v>
      </c>
      <c r="G159" s="4" t="e">
        <f ca="1">SplineInterp(A159,INDIRECT("'" &amp;Master!$F$10&amp; "'!$A$2:$A$50"),INDIRECT("'" &amp;Master!$F$10&amp; "'!$G$2:$G$50"))</f>
        <v>#VALUE!</v>
      </c>
      <c r="H159" s="4" t="e">
        <f ca="1">SplineInterp(A159,INDIRECT("'" &amp;Master!$F$10&amp; "'!$A$2:$A$50"),INDIRECT("'" &amp;Master!$F$10&amp; "'!$H$2:$H$50"))</f>
        <v>#VALUE!</v>
      </c>
      <c r="I159" s="4" t="e">
        <f ca="1">IF(OR(INDIRECT("'" &amp; Master!$F$8 &amp; Master!$F$6 &amp; "'!B" &amp; ROW(B159))="", INDIRECT("'" &amp; Master!$F$8 &amp; Master!$F$6 &amp; "'!B" &amp; ROW(B159))=0), "", INDIRECT("'" &amp; Master!$F$8 &amp; Master!$F$6 &amp; "'!B" &amp; ROW(B159)))</f>
        <v>#VALUE!</v>
      </c>
      <c r="J159" s="9" t="e">
        <f t="shared" ca="1" si="14"/>
        <v>#VALUE!</v>
      </c>
      <c r="K159" s="7" t="e">
        <f t="shared" ca="1" si="15"/>
        <v>#VALUE!</v>
      </c>
      <c r="L159" s="7" t="e">
        <f t="shared" ca="1" si="16"/>
        <v>#VALUE!</v>
      </c>
      <c r="M159" s="7" t="e">
        <f t="shared" ca="1" si="17"/>
        <v>#VALUE!</v>
      </c>
      <c r="N159" s="7" t="e">
        <f t="shared" ca="1" si="18"/>
        <v>#VALUE!</v>
      </c>
      <c r="O159" s="7" t="e">
        <f t="shared" ca="1" si="19"/>
        <v>#VALUE!</v>
      </c>
      <c r="P159" s="7" t="e">
        <f t="shared" ca="1" si="20"/>
        <v>#VALUE!</v>
      </c>
    </row>
    <row r="160" spans="1:16" x14ac:dyDescent="0.25">
      <c r="A160" s="19" t="str">
        <f ca="1">IF(OR(INDIRECT("'" &amp; Master!$F$8 &amp; Master!$F$6 &amp; "'!A" &amp; ROW(A160))="", INDIRECT("'" &amp; Master!$F$8 &amp; Master!$F$6 &amp; "'!A" &amp; ROW(A160))=0), "", INDIRECT("'" &amp; Master!$F$8 &amp; Master!$F$6 &amp; "'!A" &amp; ROW(A160)))</f>
        <v/>
      </c>
      <c r="B160" s="4" t="e">
        <f ca="1">SplineInterp(INDIRECT("A" &amp; ROW()),INDIRECT("'" &amp;Master!$F$10&amp; "'!$A$2:$A$50"),INDIRECT("'" &amp;Master!$F$10&amp; "'!$B$2:$B$50"))</f>
        <v>#VALUE!</v>
      </c>
      <c r="C160" s="4" t="e">
        <f ca="1">SplineInterp(A160,INDIRECT("'" &amp;Master!$F$10&amp; "'!$A$2:$A$50"),INDIRECT("'" &amp;Master!$F$10&amp; "'!$C$2:$C$50"))</f>
        <v>#VALUE!</v>
      </c>
      <c r="D160" s="4" t="e">
        <f ca="1">SplineInterp(A160,INDIRECT("'" &amp;Master!$F$10&amp; "'!$A$2:$A$50"),INDIRECT("'" &amp;Master!$F$10&amp; "'!$D$2:$D$50"))</f>
        <v>#VALUE!</v>
      </c>
      <c r="E160" s="4" t="e">
        <f ca="1">SplineInterp(A160,INDIRECT("'" &amp;Master!$F$10&amp; "'!$A$2:$A$50"),INDIRECT("'" &amp;Master!$F$10&amp; "'!$E$2:$E$50"))</f>
        <v>#VALUE!</v>
      </c>
      <c r="F160" s="4" t="e">
        <f ca="1">SplineInterp(A160,INDIRECT("'" &amp;Master!$F$10&amp; "'!$A$2:$A$50"),INDIRECT("'" &amp;Master!$F$10&amp; "'!$F$2:$F$50"))</f>
        <v>#VALUE!</v>
      </c>
      <c r="G160" s="4" t="e">
        <f ca="1">SplineInterp(A160,INDIRECT("'" &amp;Master!$F$10&amp; "'!$A$2:$A$50"),INDIRECT("'" &amp;Master!$F$10&amp; "'!$G$2:$G$50"))</f>
        <v>#VALUE!</v>
      </c>
      <c r="H160" s="4" t="e">
        <f ca="1">SplineInterp(A160,INDIRECT("'" &amp;Master!$F$10&amp; "'!$A$2:$A$50"),INDIRECT("'" &amp;Master!$F$10&amp; "'!$H$2:$H$50"))</f>
        <v>#VALUE!</v>
      </c>
      <c r="I160" s="4" t="e">
        <f ca="1">IF(OR(INDIRECT("'" &amp; Master!$F$8 &amp; Master!$F$6 &amp; "'!B" &amp; ROW(B160))="", INDIRECT("'" &amp; Master!$F$8 &amp; Master!$F$6 &amp; "'!B" &amp; ROW(B160))=0), "", INDIRECT("'" &amp; Master!$F$8 &amp; Master!$F$6 &amp; "'!B" &amp; ROW(B160)))</f>
        <v>#VALUE!</v>
      </c>
      <c r="J160" s="9" t="e">
        <f t="shared" ca="1" si="14"/>
        <v>#VALUE!</v>
      </c>
      <c r="K160" s="7" t="e">
        <f t="shared" ca="1" si="15"/>
        <v>#VALUE!</v>
      </c>
      <c r="L160" s="7" t="e">
        <f t="shared" ca="1" si="16"/>
        <v>#VALUE!</v>
      </c>
      <c r="M160" s="7" t="e">
        <f t="shared" ca="1" si="17"/>
        <v>#VALUE!</v>
      </c>
      <c r="N160" s="7" t="e">
        <f t="shared" ca="1" si="18"/>
        <v>#VALUE!</v>
      </c>
      <c r="O160" s="7" t="e">
        <f t="shared" ca="1" si="19"/>
        <v>#VALUE!</v>
      </c>
      <c r="P160" s="7" t="e">
        <f t="shared" ca="1" si="20"/>
        <v>#VALUE!</v>
      </c>
    </row>
    <row r="161" spans="1:16" x14ac:dyDescent="0.25">
      <c r="A161" s="19" t="str">
        <f ca="1">IF(OR(INDIRECT("'" &amp; Master!$F$8 &amp; Master!$F$6 &amp; "'!A" &amp; ROW(A161))="", INDIRECT("'" &amp; Master!$F$8 &amp; Master!$F$6 &amp; "'!A" &amp; ROW(A161))=0), "", INDIRECT("'" &amp; Master!$F$8 &amp; Master!$F$6 &amp; "'!A" &amp; ROW(A161)))</f>
        <v/>
      </c>
      <c r="B161" s="4" t="e">
        <f ca="1">SplineInterp(INDIRECT("A" &amp; ROW()),INDIRECT("'" &amp;Master!$F$10&amp; "'!$A$2:$A$50"),INDIRECT("'" &amp;Master!$F$10&amp; "'!$B$2:$B$50"))</f>
        <v>#VALUE!</v>
      </c>
      <c r="C161" s="4" t="e">
        <f ca="1">SplineInterp(A161,INDIRECT("'" &amp;Master!$F$10&amp; "'!$A$2:$A$50"),INDIRECT("'" &amp;Master!$F$10&amp; "'!$C$2:$C$50"))</f>
        <v>#VALUE!</v>
      </c>
      <c r="D161" s="4" t="e">
        <f ca="1">SplineInterp(A161,INDIRECT("'" &amp;Master!$F$10&amp; "'!$A$2:$A$50"),INDIRECT("'" &amp;Master!$F$10&amp; "'!$D$2:$D$50"))</f>
        <v>#VALUE!</v>
      </c>
      <c r="E161" s="4" t="e">
        <f ca="1">SplineInterp(A161,INDIRECT("'" &amp;Master!$F$10&amp; "'!$A$2:$A$50"),INDIRECT("'" &amp;Master!$F$10&amp; "'!$E$2:$E$50"))</f>
        <v>#VALUE!</v>
      </c>
      <c r="F161" s="4" t="e">
        <f ca="1">SplineInterp(A161,INDIRECT("'" &amp;Master!$F$10&amp; "'!$A$2:$A$50"),INDIRECT("'" &amp;Master!$F$10&amp; "'!$F$2:$F$50"))</f>
        <v>#VALUE!</v>
      </c>
      <c r="G161" s="4" t="e">
        <f ca="1">SplineInterp(A161,INDIRECT("'" &amp;Master!$F$10&amp; "'!$A$2:$A$50"),INDIRECT("'" &amp;Master!$F$10&amp; "'!$G$2:$G$50"))</f>
        <v>#VALUE!</v>
      </c>
      <c r="H161" s="4" t="e">
        <f ca="1">SplineInterp(A161,INDIRECT("'" &amp;Master!$F$10&amp; "'!$A$2:$A$50"),INDIRECT("'" &amp;Master!$F$10&amp; "'!$H$2:$H$50"))</f>
        <v>#VALUE!</v>
      </c>
      <c r="I161" s="4" t="e">
        <f ca="1">IF(OR(INDIRECT("'" &amp; Master!$F$8 &amp; Master!$F$6 &amp; "'!B" &amp; ROW(B161))="", INDIRECT("'" &amp; Master!$F$8 &amp; Master!$F$6 &amp; "'!B" &amp; ROW(B161))=0), "", INDIRECT("'" &amp; Master!$F$8 &amp; Master!$F$6 &amp; "'!B" &amp; ROW(B161)))</f>
        <v>#VALUE!</v>
      </c>
      <c r="J161" s="9" t="e">
        <f t="shared" ca="1" si="14"/>
        <v>#VALUE!</v>
      </c>
      <c r="K161" s="7" t="e">
        <f t="shared" ca="1" si="15"/>
        <v>#VALUE!</v>
      </c>
      <c r="L161" s="7" t="e">
        <f t="shared" ca="1" si="16"/>
        <v>#VALUE!</v>
      </c>
      <c r="M161" s="7" t="e">
        <f t="shared" ca="1" si="17"/>
        <v>#VALUE!</v>
      </c>
      <c r="N161" s="7" t="e">
        <f t="shared" ca="1" si="18"/>
        <v>#VALUE!</v>
      </c>
      <c r="O161" s="7" t="e">
        <f t="shared" ca="1" si="19"/>
        <v>#VALUE!</v>
      </c>
      <c r="P161" s="7" t="e">
        <f t="shared" ca="1" si="20"/>
        <v>#VALUE!</v>
      </c>
    </row>
    <row r="162" spans="1:16" x14ac:dyDescent="0.25">
      <c r="A162" s="19" t="str">
        <f ca="1">IF(OR(INDIRECT("'" &amp; Master!$F$8 &amp; Master!$F$6 &amp; "'!A" &amp; ROW(A162))="", INDIRECT("'" &amp; Master!$F$8 &amp; Master!$F$6 &amp; "'!A" &amp; ROW(A162))=0), "", INDIRECT("'" &amp; Master!$F$8 &amp; Master!$F$6 &amp; "'!A" &amp; ROW(A162)))</f>
        <v/>
      </c>
      <c r="B162" s="4" t="e">
        <f ca="1">SplineInterp(INDIRECT("A" &amp; ROW()),INDIRECT("'" &amp;Master!$F$10&amp; "'!$A$2:$A$50"),INDIRECT("'" &amp;Master!$F$10&amp; "'!$B$2:$B$50"))</f>
        <v>#VALUE!</v>
      </c>
      <c r="C162" s="4" t="e">
        <f ca="1">SplineInterp(A162,INDIRECT("'" &amp;Master!$F$10&amp; "'!$A$2:$A$50"),INDIRECT("'" &amp;Master!$F$10&amp; "'!$C$2:$C$50"))</f>
        <v>#VALUE!</v>
      </c>
      <c r="D162" s="4" t="e">
        <f ca="1">SplineInterp(A162,INDIRECT("'" &amp;Master!$F$10&amp; "'!$A$2:$A$50"),INDIRECT("'" &amp;Master!$F$10&amp; "'!$D$2:$D$50"))</f>
        <v>#VALUE!</v>
      </c>
      <c r="E162" s="4" t="e">
        <f ca="1">SplineInterp(A162,INDIRECT("'" &amp;Master!$F$10&amp; "'!$A$2:$A$50"),INDIRECT("'" &amp;Master!$F$10&amp; "'!$E$2:$E$50"))</f>
        <v>#VALUE!</v>
      </c>
      <c r="F162" s="4" t="e">
        <f ca="1">SplineInterp(A162,INDIRECT("'" &amp;Master!$F$10&amp; "'!$A$2:$A$50"),INDIRECT("'" &amp;Master!$F$10&amp; "'!$F$2:$F$50"))</f>
        <v>#VALUE!</v>
      </c>
      <c r="G162" s="4" t="e">
        <f ca="1">SplineInterp(A162,INDIRECT("'" &amp;Master!$F$10&amp; "'!$A$2:$A$50"),INDIRECT("'" &amp;Master!$F$10&amp; "'!$G$2:$G$50"))</f>
        <v>#VALUE!</v>
      </c>
      <c r="H162" s="4" t="e">
        <f ca="1">SplineInterp(A162,INDIRECT("'" &amp;Master!$F$10&amp; "'!$A$2:$A$50"),INDIRECT("'" &amp;Master!$F$10&amp; "'!$H$2:$H$50"))</f>
        <v>#VALUE!</v>
      </c>
      <c r="I162" s="4" t="e">
        <f ca="1">IF(OR(INDIRECT("'" &amp; Master!$F$8 &amp; Master!$F$6 &amp; "'!B" &amp; ROW(B162))="", INDIRECT("'" &amp; Master!$F$8 &amp; Master!$F$6 &amp; "'!B" &amp; ROW(B162))=0), "", INDIRECT("'" &amp; Master!$F$8 &amp; Master!$F$6 &amp; "'!B" &amp; ROW(B162)))</f>
        <v>#VALUE!</v>
      </c>
      <c r="J162" s="9" t="e">
        <f t="shared" ca="1" si="14"/>
        <v>#VALUE!</v>
      </c>
      <c r="K162" s="7" t="e">
        <f t="shared" ca="1" si="15"/>
        <v>#VALUE!</v>
      </c>
      <c r="L162" s="7" t="e">
        <f t="shared" ca="1" si="16"/>
        <v>#VALUE!</v>
      </c>
      <c r="M162" s="7" t="e">
        <f t="shared" ca="1" si="17"/>
        <v>#VALUE!</v>
      </c>
      <c r="N162" s="7" t="e">
        <f t="shared" ca="1" si="18"/>
        <v>#VALUE!</v>
      </c>
      <c r="O162" s="7" t="e">
        <f t="shared" ca="1" si="19"/>
        <v>#VALUE!</v>
      </c>
      <c r="P162" s="7" t="e">
        <f t="shared" ca="1" si="20"/>
        <v>#VALUE!</v>
      </c>
    </row>
    <row r="163" spans="1:16" x14ac:dyDescent="0.25">
      <c r="A163" s="19" t="str">
        <f ca="1">IF(OR(INDIRECT("'" &amp; Master!$F$8 &amp; Master!$F$6 &amp; "'!A" &amp; ROW(A163))="", INDIRECT("'" &amp; Master!$F$8 &amp; Master!$F$6 &amp; "'!A" &amp; ROW(A163))=0), "", INDIRECT("'" &amp; Master!$F$8 &amp; Master!$F$6 &amp; "'!A" &amp; ROW(A163)))</f>
        <v/>
      </c>
      <c r="B163" s="4" t="e">
        <f ca="1">SplineInterp(INDIRECT("A" &amp; ROW()),INDIRECT("'" &amp;Master!$F$10&amp; "'!$A$2:$A$50"),INDIRECT("'" &amp;Master!$F$10&amp; "'!$B$2:$B$50"))</f>
        <v>#VALUE!</v>
      </c>
      <c r="C163" s="4" t="e">
        <f ca="1">SplineInterp(A163,INDIRECT("'" &amp;Master!$F$10&amp; "'!$A$2:$A$50"),INDIRECT("'" &amp;Master!$F$10&amp; "'!$C$2:$C$50"))</f>
        <v>#VALUE!</v>
      </c>
      <c r="D163" s="4" t="e">
        <f ca="1">SplineInterp(A163,INDIRECT("'" &amp;Master!$F$10&amp; "'!$A$2:$A$50"),INDIRECT("'" &amp;Master!$F$10&amp; "'!$D$2:$D$50"))</f>
        <v>#VALUE!</v>
      </c>
      <c r="E163" s="4" t="e">
        <f ca="1">SplineInterp(A163,INDIRECT("'" &amp;Master!$F$10&amp; "'!$A$2:$A$50"),INDIRECT("'" &amp;Master!$F$10&amp; "'!$E$2:$E$50"))</f>
        <v>#VALUE!</v>
      </c>
      <c r="F163" s="4" t="e">
        <f ca="1">SplineInterp(A163,INDIRECT("'" &amp;Master!$F$10&amp; "'!$A$2:$A$50"),INDIRECT("'" &amp;Master!$F$10&amp; "'!$F$2:$F$50"))</f>
        <v>#VALUE!</v>
      </c>
      <c r="G163" s="4" t="e">
        <f ca="1">SplineInterp(A163,INDIRECT("'" &amp;Master!$F$10&amp; "'!$A$2:$A$50"),INDIRECT("'" &amp;Master!$F$10&amp; "'!$G$2:$G$50"))</f>
        <v>#VALUE!</v>
      </c>
      <c r="H163" s="4" t="e">
        <f ca="1">SplineInterp(A163,INDIRECT("'" &amp;Master!$F$10&amp; "'!$A$2:$A$50"),INDIRECT("'" &amp;Master!$F$10&amp; "'!$H$2:$H$50"))</f>
        <v>#VALUE!</v>
      </c>
      <c r="I163" s="4" t="e">
        <f ca="1">IF(OR(INDIRECT("'" &amp; Master!$F$8 &amp; Master!$F$6 &amp; "'!B" &amp; ROW(B163))="", INDIRECT("'" &amp; Master!$F$8 &amp; Master!$F$6 &amp; "'!B" &amp; ROW(B163))=0), "", INDIRECT("'" &amp; Master!$F$8 &amp; Master!$F$6 &amp; "'!B" &amp; ROW(B163)))</f>
        <v>#VALUE!</v>
      </c>
      <c r="J163" s="9" t="e">
        <f t="shared" ca="1" si="14"/>
        <v>#VALUE!</v>
      </c>
      <c r="K163" s="7" t="e">
        <f t="shared" ca="1" si="15"/>
        <v>#VALUE!</v>
      </c>
      <c r="L163" s="7" t="e">
        <f t="shared" ca="1" si="16"/>
        <v>#VALUE!</v>
      </c>
      <c r="M163" s="7" t="e">
        <f t="shared" ca="1" si="17"/>
        <v>#VALUE!</v>
      </c>
      <c r="N163" s="7" t="e">
        <f t="shared" ca="1" si="18"/>
        <v>#VALUE!</v>
      </c>
      <c r="O163" s="7" t="e">
        <f t="shared" ca="1" si="19"/>
        <v>#VALUE!</v>
      </c>
      <c r="P163" s="7" t="e">
        <f t="shared" ca="1" si="20"/>
        <v>#VALUE!</v>
      </c>
    </row>
    <row r="164" spans="1:16" x14ac:dyDescent="0.25">
      <c r="A164" s="19" t="str">
        <f ca="1">IF(OR(INDIRECT("'" &amp; Master!$F$8 &amp; Master!$F$6 &amp; "'!A" &amp; ROW(A164))="", INDIRECT("'" &amp; Master!$F$8 &amp; Master!$F$6 &amp; "'!A" &amp; ROW(A164))=0), "", INDIRECT("'" &amp; Master!$F$8 &amp; Master!$F$6 &amp; "'!A" &amp; ROW(A164)))</f>
        <v/>
      </c>
      <c r="B164" s="4" t="e">
        <f ca="1">SplineInterp(INDIRECT("A" &amp; ROW()),INDIRECT("'" &amp;Master!$F$10&amp; "'!$A$2:$A$50"),INDIRECT("'" &amp;Master!$F$10&amp; "'!$B$2:$B$50"))</f>
        <v>#VALUE!</v>
      </c>
      <c r="C164" s="4" t="e">
        <f ca="1">SplineInterp(A164,INDIRECT("'" &amp;Master!$F$10&amp; "'!$A$2:$A$50"),INDIRECT("'" &amp;Master!$F$10&amp; "'!$C$2:$C$50"))</f>
        <v>#VALUE!</v>
      </c>
      <c r="D164" s="4" t="e">
        <f ca="1">SplineInterp(A164,INDIRECT("'" &amp;Master!$F$10&amp; "'!$A$2:$A$50"),INDIRECT("'" &amp;Master!$F$10&amp; "'!$D$2:$D$50"))</f>
        <v>#VALUE!</v>
      </c>
      <c r="E164" s="4" t="e">
        <f ca="1">SplineInterp(A164,INDIRECT("'" &amp;Master!$F$10&amp; "'!$A$2:$A$50"),INDIRECT("'" &amp;Master!$F$10&amp; "'!$E$2:$E$50"))</f>
        <v>#VALUE!</v>
      </c>
      <c r="F164" s="4" t="e">
        <f ca="1">SplineInterp(A164,INDIRECT("'" &amp;Master!$F$10&amp; "'!$A$2:$A$50"),INDIRECT("'" &amp;Master!$F$10&amp; "'!$F$2:$F$50"))</f>
        <v>#VALUE!</v>
      </c>
      <c r="G164" s="4" t="e">
        <f ca="1">SplineInterp(A164,INDIRECT("'" &amp;Master!$F$10&amp; "'!$A$2:$A$50"),INDIRECT("'" &amp;Master!$F$10&amp; "'!$G$2:$G$50"))</f>
        <v>#VALUE!</v>
      </c>
      <c r="H164" s="4" t="e">
        <f ca="1">SplineInterp(A164,INDIRECT("'" &amp;Master!$F$10&amp; "'!$A$2:$A$50"),INDIRECT("'" &amp;Master!$F$10&amp; "'!$H$2:$H$50"))</f>
        <v>#VALUE!</v>
      </c>
      <c r="I164" s="4" t="e">
        <f ca="1">IF(OR(INDIRECT("'" &amp; Master!$F$8 &amp; Master!$F$6 &amp; "'!B" &amp; ROW(B164))="", INDIRECT("'" &amp; Master!$F$8 &amp; Master!$F$6 &amp; "'!B" &amp; ROW(B164))=0), "", INDIRECT("'" &amp; Master!$F$8 &amp; Master!$F$6 &amp; "'!B" &amp; ROW(B164)))</f>
        <v>#VALUE!</v>
      </c>
      <c r="J164" s="9" t="e">
        <f t="shared" ca="1" si="14"/>
        <v>#VALUE!</v>
      </c>
      <c r="K164" s="7" t="e">
        <f t="shared" ca="1" si="15"/>
        <v>#VALUE!</v>
      </c>
      <c r="L164" s="7" t="e">
        <f t="shared" ca="1" si="16"/>
        <v>#VALUE!</v>
      </c>
      <c r="M164" s="7" t="e">
        <f t="shared" ca="1" si="17"/>
        <v>#VALUE!</v>
      </c>
      <c r="N164" s="7" t="e">
        <f t="shared" ca="1" si="18"/>
        <v>#VALUE!</v>
      </c>
      <c r="O164" s="7" t="e">
        <f t="shared" ca="1" si="19"/>
        <v>#VALUE!</v>
      </c>
      <c r="P164" s="7" t="e">
        <f t="shared" ca="1" si="20"/>
        <v>#VALUE!</v>
      </c>
    </row>
    <row r="165" spans="1:16" x14ac:dyDescent="0.25">
      <c r="A165" s="19" t="str">
        <f ca="1">IF(OR(INDIRECT("'" &amp; Master!$F$8 &amp; Master!$F$6 &amp; "'!A" &amp; ROW(A165))="", INDIRECT("'" &amp; Master!$F$8 &amp; Master!$F$6 &amp; "'!A" &amp; ROW(A165))=0), "", INDIRECT("'" &amp; Master!$F$8 &amp; Master!$F$6 &amp; "'!A" &amp; ROW(A165)))</f>
        <v/>
      </c>
      <c r="B165" s="4" t="e">
        <f ca="1">SplineInterp(INDIRECT("A" &amp; ROW()),INDIRECT("'" &amp;Master!$F$10&amp; "'!$A$2:$A$50"),INDIRECT("'" &amp;Master!$F$10&amp; "'!$B$2:$B$50"))</f>
        <v>#VALUE!</v>
      </c>
      <c r="C165" s="4" t="e">
        <f ca="1">SplineInterp(A165,INDIRECT("'" &amp;Master!$F$10&amp; "'!$A$2:$A$50"),INDIRECT("'" &amp;Master!$F$10&amp; "'!$C$2:$C$50"))</f>
        <v>#VALUE!</v>
      </c>
      <c r="D165" s="4" t="e">
        <f ca="1">SplineInterp(A165,INDIRECT("'" &amp;Master!$F$10&amp; "'!$A$2:$A$50"),INDIRECT("'" &amp;Master!$F$10&amp; "'!$D$2:$D$50"))</f>
        <v>#VALUE!</v>
      </c>
      <c r="E165" s="4" t="e">
        <f ca="1">SplineInterp(A165,INDIRECT("'" &amp;Master!$F$10&amp; "'!$A$2:$A$50"),INDIRECT("'" &amp;Master!$F$10&amp; "'!$E$2:$E$50"))</f>
        <v>#VALUE!</v>
      </c>
      <c r="F165" s="4" t="e">
        <f ca="1">SplineInterp(A165,INDIRECT("'" &amp;Master!$F$10&amp; "'!$A$2:$A$50"),INDIRECT("'" &amp;Master!$F$10&amp; "'!$F$2:$F$50"))</f>
        <v>#VALUE!</v>
      </c>
      <c r="G165" s="4" t="e">
        <f ca="1">SplineInterp(A165,INDIRECT("'" &amp;Master!$F$10&amp; "'!$A$2:$A$50"),INDIRECT("'" &amp;Master!$F$10&amp; "'!$G$2:$G$50"))</f>
        <v>#VALUE!</v>
      </c>
      <c r="H165" s="4" t="e">
        <f ca="1">SplineInterp(A165,INDIRECT("'" &amp;Master!$F$10&amp; "'!$A$2:$A$50"),INDIRECT("'" &amp;Master!$F$10&amp; "'!$H$2:$H$50"))</f>
        <v>#VALUE!</v>
      </c>
      <c r="I165" s="4" t="e">
        <f ca="1">IF(OR(INDIRECT("'" &amp; Master!$F$8 &amp; Master!$F$6 &amp; "'!B" &amp; ROW(B165))="", INDIRECT("'" &amp; Master!$F$8 &amp; Master!$F$6 &amp; "'!B" &amp; ROW(B165))=0), "", INDIRECT("'" &amp; Master!$F$8 &amp; Master!$F$6 &amp; "'!B" &amp; ROW(B165)))</f>
        <v>#VALUE!</v>
      </c>
      <c r="J165" s="9" t="e">
        <f t="shared" ca="1" si="14"/>
        <v>#VALUE!</v>
      </c>
      <c r="K165" s="7" t="e">
        <f t="shared" ca="1" si="15"/>
        <v>#VALUE!</v>
      </c>
      <c r="L165" s="7" t="e">
        <f t="shared" ca="1" si="16"/>
        <v>#VALUE!</v>
      </c>
      <c r="M165" s="7" t="e">
        <f t="shared" ca="1" si="17"/>
        <v>#VALUE!</v>
      </c>
      <c r="N165" s="7" t="e">
        <f t="shared" ca="1" si="18"/>
        <v>#VALUE!</v>
      </c>
      <c r="O165" s="7" t="e">
        <f t="shared" ca="1" si="19"/>
        <v>#VALUE!</v>
      </c>
      <c r="P165" s="7" t="e">
        <f t="shared" ca="1" si="20"/>
        <v>#VALUE!</v>
      </c>
    </row>
    <row r="166" spans="1:16" x14ac:dyDescent="0.25">
      <c r="A166" s="19" t="str">
        <f ca="1">IF(OR(INDIRECT("'" &amp; Master!$F$8 &amp; Master!$F$6 &amp; "'!A" &amp; ROW(A166))="", INDIRECT("'" &amp; Master!$F$8 &amp; Master!$F$6 &amp; "'!A" &amp; ROW(A166))=0), "", INDIRECT("'" &amp; Master!$F$8 &amp; Master!$F$6 &amp; "'!A" &amp; ROW(A166)))</f>
        <v/>
      </c>
      <c r="B166" s="4" t="e">
        <f ca="1">SplineInterp(INDIRECT("A" &amp; ROW()),INDIRECT("'" &amp;Master!$F$10&amp; "'!$A$2:$A$50"),INDIRECT("'" &amp;Master!$F$10&amp; "'!$B$2:$B$50"))</f>
        <v>#VALUE!</v>
      </c>
      <c r="C166" s="4" t="e">
        <f ca="1">SplineInterp(A166,INDIRECT("'" &amp;Master!$F$10&amp; "'!$A$2:$A$50"),INDIRECT("'" &amp;Master!$F$10&amp; "'!$C$2:$C$50"))</f>
        <v>#VALUE!</v>
      </c>
      <c r="D166" s="4" t="e">
        <f ca="1">SplineInterp(A166,INDIRECT("'" &amp;Master!$F$10&amp; "'!$A$2:$A$50"),INDIRECT("'" &amp;Master!$F$10&amp; "'!$D$2:$D$50"))</f>
        <v>#VALUE!</v>
      </c>
      <c r="E166" s="4" t="e">
        <f ca="1">SplineInterp(A166,INDIRECT("'" &amp;Master!$F$10&amp; "'!$A$2:$A$50"),INDIRECT("'" &amp;Master!$F$10&amp; "'!$E$2:$E$50"))</f>
        <v>#VALUE!</v>
      </c>
      <c r="F166" s="4" t="e">
        <f ca="1">SplineInterp(A166,INDIRECT("'" &amp;Master!$F$10&amp; "'!$A$2:$A$50"),INDIRECT("'" &amp;Master!$F$10&amp; "'!$F$2:$F$50"))</f>
        <v>#VALUE!</v>
      </c>
      <c r="G166" s="4" t="e">
        <f ca="1">SplineInterp(A166,INDIRECT("'" &amp;Master!$F$10&amp; "'!$A$2:$A$50"),INDIRECT("'" &amp;Master!$F$10&amp; "'!$G$2:$G$50"))</f>
        <v>#VALUE!</v>
      </c>
      <c r="H166" s="4" t="e">
        <f ca="1">SplineInterp(A166,INDIRECT("'" &amp;Master!$F$10&amp; "'!$A$2:$A$50"),INDIRECT("'" &amp;Master!$F$10&amp; "'!$H$2:$H$50"))</f>
        <v>#VALUE!</v>
      </c>
      <c r="I166" s="4" t="e">
        <f ca="1">IF(OR(INDIRECT("'" &amp; Master!$F$8 &amp; Master!$F$6 &amp; "'!B" &amp; ROW(B166))="", INDIRECT("'" &amp; Master!$F$8 &amp; Master!$F$6 &amp; "'!B" &amp; ROW(B166))=0), "", INDIRECT("'" &amp; Master!$F$8 &amp; Master!$F$6 &amp; "'!B" &amp; ROW(B166)))</f>
        <v>#VALUE!</v>
      </c>
      <c r="J166" s="9" t="e">
        <f t="shared" ca="1" si="14"/>
        <v>#VALUE!</v>
      </c>
      <c r="K166" s="7" t="e">
        <f t="shared" ca="1" si="15"/>
        <v>#VALUE!</v>
      </c>
      <c r="L166" s="7" t="e">
        <f t="shared" ca="1" si="16"/>
        <v>#VALUE!</v>
      </c>
      <c r="M166" s="7" t="e">
        <f t="shared" ca="1" si="17"/>
        <v>#VALUE!</v>
      </c>
      <c r="N166" s="7" t="e">
        <f t="shared" ca="1" si="18"/>
        <v>#VALUE!</v>
      </c>
      <c r="O166" s="7" t="e">
        <f t="shared" ca="1" si="19"/>
        <v>#VALUE!</v>
      </c>
      <c r="P166" s="7" t="e">
        <f t="shared" ca="1" si="20"/>
        <v>#VALUE!</v>
      </c>
    </row>
    <row r="167" spans="1:16" x14ac:dyDescent="0.25">
      <c r="A167" s="19" t="str">
        <f ca="1">IF(OR(INDIRECT("'" &amp; Master!$F$8 &amp; Master!$F$6 &amp; "'!A" &amp; ROW(A167))="", INDIRECT("'" &amp; Master!$F$8 &amp; Master!$F$6 &amp; "'!A" &amp; ROW(A167))=0), "", INDIRECT("'" &amp; Master!$F$8 &amp; Master!$F$6 &amp; "'!A" &amp; ROW(A167)))</f>
        <v/>
      </c>
      <c r="B167" s="4" t="e">
        <f ca="1">SplineInterp(INDIRECT("A" &amp; ROW()),INDIRECT("'" &amp;Master!$F$10&amp; "'!$A$2:$A$50"),INDIRECT("'" &amp;Master!$F$10&amp; "'!$B$2:$B$50"))</f>
        <v>#VALUE!</v>
      </c>
      <c r="C167" s="4" t="e">
        <f ca="1">SplineInterp(A167,INDIRECT("'" &amp;Master!$F$10&amp; "'!$A$2:$A$50"),INDIRECT("'" &amp;Master!$F$10&amp; "'!$C$2:$C$50"))</f>
        <v>#VALUE!</v>
      </c>
      <c r="D167" s="4" t="e">
        <f ca="1">SplineInterp(A167,INDIRECT("'" &amp;Master!$F$10&amp; "'!$A$2:$A$50"),INDIRECT("'" &amp;Master!$F$10&amp; "'!$D$2:$D$50"))</f>
        <v>#VALUE!</v>
      </c>
      <c r="E167" s="4" t="e">
        <f ca="1">SplineInterp(A167,INDIRECT("'" &amp;Master!$F$10&amp; "'!$A$2:$A$50"),INDIRECT("'" &amp;Master!$F$10&amp; "'!$E$2:$E$50"))</f>
        <v>#VALUE!</v>
      </c>
      <c r="F167" s="4" t="e">
        <f ca="1">SplineInterp(A167,INDIRECT("'" &amp;Master!$F$10&amp; "'!$A$2:$A$50"),INDIRECT("'" &amp;Master!$F$10&amp; "'!$F$2:$F$50"))</f>
        <v>#VALUE!</v>
      </c>
      <c r="G167" s="4" t="e">
        <f ca="1">SplineInterp(A167,INDIRECT("'" &amp;Master!$F$10&amp; "'!$A$2:$A$50"),INDIRECT("'" &amp;Master!$F$10&amp; "'!$G$2:$G$50"))</f>
        <v>#VALUE!</v>
      </c>
      <c r="H167" s="4" t="e">
        <f ca="1">SplineInterp(A167,INDIRECT("'" &amp;Master!$F$10&amp; "'!$A$2:$A$50"),INDIRECT("'" &amp;Master!$F$10&amp; "'!$H$2:$H$50"))</f>
        <v>#VALUE!</v>
      </c>
      <c r="I167" s="4" t="e">
        <f ca="1">IF(OR(INDIRECT("'" &amp; Master!$F$8 &amp; Master!$F$6 &amp; "'!B" &amp; ROW(B167))="", INDIRECT("'" &amp; Master!$F$8 &amp; Master!$F$6 &amp; "'!B" &amp; ROW(B167))=0), "", INDIRECT("'" &amp; Master!$F$8 &amp; Master!$F$6 &amp; "'!B" &amp; ROW(B167)))</f>
        <v>#VALUE!</v>
      </c>
      <c r="J167" s="9" t="e">
        <f t="shared" ca="1" si="14"/>
        <v>#VALUE!</v>
      </c>
      <c r="K167" s="7" t="e">
        <f t="shared" ca="1" si="15"/>
        <v>#VALUE!</v>
      </c>
      <c r="L167" s="7" t="e">
        <f t="shared" ca="1" si="16"/>
        <v>#VALUE!</v>
      </c>
      <c r="M167" s="7" t="e">
        <f t="shared" ca="1" si="17"/>
        <v>#VALUE!</v>
      </c>
      <c r="N167" s="7" t="e">
        <f t="shared" ca="1" si="18"/>
        <v>#VALUE!</v>
      </c>
      <c r="O167" s="7" t="e">
        <f t="shared" ca="1" si="19"/>
        <v>#VALUE!</v>
      </c>
      <c r="P167" s="7" t="e">
        <f t="shared" ca="1" si="20"/>
        <v>#VALUE!</v>
      </c>
    </row>
    <row r="168" spans="1:16" x14ac:dyDescent="0.25">
      <c r="A168" s="19" t="str">
        <f ca="1">IF(OR(INDIRECT("'" &amp; Master!$F$8 &amp; Master!$F$6 &amp; "'!A" &amp; ROW(A168))="", INDIRECT("'" &amp; Master!$F$8 &amp; Master!$F$6 &amp; "'!A" &amp; ROW(A168))=0), "", INDIRECT("'" &amp; Master!$F$8 &amp; Master!$F$6 &amp; "'!A" &amp; ROW(A168)))</f>
        <v/>
      </c>
      <c r="B168" s="4" t="e">
        <f ca="1">SplineInterp(INDIRECT("A" &amp; ROW()),INDIRECT("'" &amp;Master!$F$10&amp; "'!$A$2:$A$50"),INDIRECT("'" &amp;Master!$F$10&amp; "'!$B$2:$B$50"))</f>
        <v>#VALUE!</v>
      </c>
      <c r="C168" s="4" t="e">
        <f ca="1">SplineInterp(A168,INDIRECT("'" &amp;Master!$F$10&amp; "'!$A$2:$A$50"),INDIRECT("'" &amp;Master!$F$10&amp; "'!$C$2:$C$50"))</f>
        <v>#VALUE!</v>
      </c>
      <c r="D168" s="4" t="e">
        <f ca="1">SplineInterp(A168,INDIRECT("'" &amp;Master!$F$10&amp; "'!$A$2:$A$50"),INDIRECT("'" &amp;Master!$F$10&amp; "'!$D$2:$D$50"))</f>
        <v>#VALUE!</v>
      </c>
      <c r="E168" s="4" t="e">
        <f ca="1">SplineInterp(A168,INDIRECT("'" &amp;Master!$F$10&amp; "'!$A$2:$A$50"),INDIRECT("'" &amp;Master!$F$10&amp; "'!$E$2:$E$50"))</f>
        <v>#VALUE!</v>
      </c>
      <c r="F168" s="4" t="e">
        <f ca="1">SplineInterp(A168,INDIRECT("'" &amp;Master!$F$10&amp; "'!$A$2:$A$50"),INDIRECT("'" &amp;Master!$F$10&amp; "'!$F$2:$F$50"))</f>
        <v>#VALUE!</v>
      </c>
      <c r="G168" s="4" t="e">
        <f ca="1">SplineInterp(A168,INDIRECT("'" &amp;Master!$F$10&amp; "'!$A$2:$A$50"),INDIRECT("'" &amp;Master!$F$10&amp; "'!$G$2:$G$50"))</f>
        <v>#VALUE!</v>
      </c>
      <c r="H168" s="4" t="e">
        <f ca="1">SplineInterp(A168,INDIRECT("'" &amp;Master!$F$10&amp; "'!$A$2:$A$50"),INDIRECT("'" &amp;Master!$F$10&amp; "'!$H$2:$H$50"))</f>
        <v>#VALUE!</v>
      </c>
      <c r="I168" s="4" t="e">
        <f ca="1">IF(OR(INDIRECT("'" &amp; Master!$F$8 &amp; Master!$F$6 &amp; "'!B" &amp; ROW(B168))="", INDIRECT("'" &amp; Master!$F$8 &amp; Master!$F$6 &amp; "'!B" &amp; ROW(B168))=0), "", INDIRECT("'" &amp; Master!$F$8 &amp; Master!$F$6 &amp; "'!B" &amp; ROW(B168)))</f>
        <v>#VALUE!</v>
      </c>
      <c r="J168" s="9" t="e">
        <f t="shared" ca="1" si="14"/>
        <v>#VALUE!</v>
      </c>
      <c r="K168" s="7" t="e">
        <f t="shared" ca="1" si="15"/>
        <v>#VALUE!</v>
      </c>
      <c r="L168" s="7" t="e">
        <f t="shared" ca="1" si="16"/>
        <v>#VALUE!</v>
      </c>
      <c r="M168" s="7" t="e">
        <f t="shared" ca="1" si="17"/>
        <v>#VALUE!</v>
      </c>
      <c r="N168" s="7" t="e">
        <f t="shared" ca="1" si="18"/>
        <v>#VALUE!</v>
      </c>
      <c r="O168" s="7" t="e">
        <f t="shared" ca="1" si="19"/>
        <v>#VALUE!</v>
      </c>
      <c r="P168" s="7" t="e">
        <f t="shared" ca="1" si="20"/>
        <v>#VALUE!</v>
      </c>
    </row>
    <row r="169" spans="1:16" x14ac:dyDescent="0.25">
      <c r="A169" s="19" t="str">
        <f ca="1">IF(OR(INDIRECT("'" &amp; Master!$F$8 &amp; Master!$F$6 &amp; "'!A" &amp; ROW(A169))="", INDIRECT("'" &amp; Master!$F$8 &amp; Master!$F$6 &amp; "'!A" &amp; ROW(A169))=0), "", INDIRECT("'" &amp; Master!$F$8 &amp; Master!$F$6 &amp; "'!A" &amp; ROW(A169)))</f>
        <v/>
      </c>
      <c r="B169" s="4" t="e">
        <f ca="1">SplineInterp(INDIRECT("A" &amp; ROW()),INDIRECT("'" &amp;Master!$F$10&amp; "'!$A$2:$A$50"),INDIRECT("'" &amp;Master!$F$10&amp; "'!$B$2:$B$50"))</f>
        <v>#VALUE!</v>
      </c>
      <c r="C169" s="4" t="e">
        <f ca="1">SplineInterp(A169,INDIRECT("'" &amp;Master!$F$10&amp; "'!$A$2:$A$50"),INDIRECT("'" &amp;Master!$F$10&amp; "'!$C$2:$C$50"))</f>
        <v>#VALUE!</v>
      </c>
      <c r="D169" s="4" t="e">
        <f ca="1">SplineInterp(A169,INDIRECT("'" &amp;Master!$F$10&amp; "'!$A$2:$A$50"),INDIRECT("'" &amp;Master!$F$10&amp; "'!$D$2:$D$50"))</f>
        <v>#VALUE!</v>
      </c>
      <c r="E169" s="4" t="e">
        <f ca="1">SplineInterp(A169,INDIRECT("'" &amp;Master!$F$10&amp; "'!$A$2:$A$50"),INDIRECT("'" &amp;Master!$F$10&amp; "'!$E$2:$E$50"))</f>
        <v>#VALUE!</v>
      </c>
      <c r="F169" s="4" t="e">
        <f ca="1">SplineInterp(A169,INDIRECT("'" &amp;Master!$F$10&amp; "'!$A$2:$A$50"),INDIRECT("'" &amp;Master!$F$10&amp; "'!$F$2:$F$50"))</f>
        <v>#VALUE!</v>
      </c>
      <c r="G169" s="4" t="e">
        <f ca="1">SplineInterp(A169,INDIRECT("'" &amp;Master!$F$10&amp; "'!$A$2:$A$50"),INDIRECT("'" &amp;Master!$F$10&amp; "'!$G$2:$G$50"))</f>
        <v>#VALUE!</v>
      </c>
      <c r="H169" s="4" t="e">
        <f ca="1">SplineInterp(A169,INDIRECT("'" &amp;Master!$F$10&amp; "'!$A$2:$A$50"),INDIRECT("'" &amp;Master!$F$10&amp; "'!$H$2:$H$50"))</f>
        <v>#VALUE!</v>
      </c>
      <c r="I169" s="4" t="e">
        <f ca="1">IF(OR(INDIRECT("'" &amp; Master!$F$8 &amp; Master!$F$6 &amp; "'!B" &amp; ROW(B169))="", INDIRECT("'" &amp; Master!$F$8 &amp; Master!$F$6 &amp; "'!B" &amp; ROW(B169))=0), "", INDIRECT("'" &amp; Master!$F$8 &amp; Master!$F$6 &amp; "'!B" &amp; ROW(B169)))</f>
        <v>#VALUE!</v>
      </c>
      <c r="J169" s="9" t="e">
        <f t="shared" ca="1" si="14"/>
        <v>#VALUE!</v>
      </c>
      <c r="K169" s="7" t="e">
        <f t="shared" ca="1" si="15"/>
        <v>#VALUE!</v>
      </c>
      <c r="L169" s="7" t="e">
        <f t="shared" ca="1" si="16"/>
        <v>#VALUE!</v>
      </c>
      <c r="M169" s="7" t="e">
        <f t="shared" ca="1" si="17"/>
        <v>#VALUE!</v>
      </c>
      <c r="N169" s="7" t="e">
        <f t="shared" ca="1" si="18"/>
        <v>#VALUE!</v>
      </c>
      <c r="O169" s="7" t="e">
        <f t="shared" ca="1" si="19"/>
        <v>#VALUE!</v>
      </c>
      <c r="P169" s="7" t="e">
        <f t="shared" ca="1" si="20"/>
        <v>#VALUE!</v>
      </c>
    </row>
    <row r="170" spans="1:16" x14ac:dyDescent="0.25">
      <c r="A170" s="19" t="str">
        <f ca="1">IF(OR(INDIRECT("'" &amp; Master!$F$8 &amp; Master!$F$6 &amp; "'!A" &amp; ROW(A170))="", INDIRECT("'" &amp; Master!$F$8 &amp; Master!$F$6 &amp; "'!A" &amp; ROW(A170))=0), "", INDIRECT("'" &amp; Master!$F$8 &amp; Master!$F$6 &amp; "'!A" &amp; ROW(A170)))</f>
        <v/>
      </c>
      <c r="B170" s="4" t="e">
        <f ca="1">SplineInterp(INDIRECT("A" &amp; ROW()),INDIRECT("'" &amp;Master!$F$10&amp; "'!$A$2:$A$50"),INDIRECT("'" &amp;Master!$F$10&amp; "'!$B$2:$B$50"))</f>
        <v>#VALUE!</v>
      </c>
      <c r="C170" s="4" t="e">
        <f ca="1">SplineInterp(A170,INDIRECT("'" &amp;Master!$F$10&amp; "'!$A$2:$A$50"),INDIRECT("'" &amp;Master!$F$10&amp; "'!$C$2:$C$50"))</f>
        <v>#VALUE!</v>
      </c>
      <c r="D170" s="4" t="e">
        <f ca="1">SplineInterp(A170,INDIRECT("'" &amp;Master!$F$10&amp; "'!$A$2:$A$50"),INDIRECT("'" &amp;Master!$F$10&amp; "'!$D$2:$D$50"))</f>
        <v>#VALUE!</v>
      </c>
      <c r="E170" s="4" t="e">
        <f ca="1">SplineInterp(A170,INDIRECT("'" &amp;Master!$F$10&amp; "'!$A$2:$A$50"),INDIRECT("'" &amp;Master!$F$10&amp; "'!$E$2:$E$50"))</f>
        <v>#VALUE!</v>
      </c>
      <c r="F170" s="4" t="e">
        <f ca="1">SplineInterp(A170,INDIRECT("'" &amp;Master!$F$10&amp; "'!$A$2:$A$50"),INDIRECT("'" &amp;Master!$F$10&amp; "'!$F$2:$F$50"))</f>
        <v>#VALUE!</v>
      </c>
      <c r="G170" s="4" t="e">
        <f ca="1">SplineInterp(A170,INDIRECT("'" &amp;Master!$F$10&amp; "'!$A$2:$A$50"),INDIRECT("'" &amp;Master!$F$10&amp; "'!$G$2:$G$50"))</f>
        <v>#VALUE!</v>
      </c>
      <c r="H170" s="4" t="e">
        <f ca="1">SplineInterp(A170,INDIRECT("'" &amp;Master!$F$10&amp; "'!$A$2:$A$50"),INDIRECT("'" &amp;Master!$F$10&amp; "'!$H$2:$H$50"))</f>
        <v>#VALUE!</v>
      </c>
      <c r="I170" s="4" t="e">
        <f ca="1">IF(OR(INDIRECT("'" &amp; Master!$F$8 &amp; Master!$F$6 &amp; "'!B" &amp; ROW(B170))="", INDIRECT("'" &amp; Master!$F$8 &amp; Master!$F$6 &amp; "'!B" &amp; ROW(B170))=0), "", INDIRECT("'" &amp; Master!$F$8 &amp; Master!$F$6 &amp; "'!B" &amp; ROW(B170)))</f>
        <v>#VALUE!</v>
      </c>
      <c r="J170" s="9" t="e">
        <f t="shared" ca="1" si="14"/>
        <v>#VALUE!</v>
      </c>
      <c r="K170" s="7" t="e">
        <f t="shared" ca="1" si="15"/>
        <v>#VALUE!</v>
      </c>
      <c r="L170" s="7" t="e">
        <f t="shared" ca="1" si="16"/>
        <v>#VALUE!</v>
      </c>
      <c r="M170" s="7" t="e">
        <f t="shared" ca="1" si="17"/>
        <v>#VALUE!</v>
      </c>
      <c r="N170" s="7" t="e">
        <f t="shared" ca="1" si="18"/>
        <v>#VALUE!</v>
      </c>
      <c r="O170" s="7" t="e">
        <f t="shared" ca="1" si="19"/>
        <v>#VALUE!</v>
      </c>
      <c r="P170" s="7" t="e">
        <f t="shared" ca="1" si="20"/>
        <v>#VALUE!</v>
      </c>
    </row>
    <row r="171" spans="1:16" x14ac:dyDescent="0.25">
      <c r="A171" s="19" t="str">
        <f ca="1">IF(OR(INDIRECT("'" &amp; Master!$F$8 &amp; Master!$F$6 &amp; "'!A" &amp; ROW(A171))="", INDIRECT("'" &amp; Master!$F$8 &amp; Master!$F$6 &amp; "'!A" &amp; ROW(A171))=0), "", INDIRECT("'" &amp; Master!$F$8 &amp; Master!$F$6 &amp; "'!A" &amp; ROW(A171)))</f>
        <v/>
      </c>
      <c r="B171" s="4" t="e">
        <f ca="1">SplineInterp(INDIRECT("A" &amp; ROW()),INDIRECT("'" &amp;Master!$F$10&amp; "'!$A$2:$A$50"),INDIRECT("'" &amp;Master!$F$10&amp; "'!$B$2:$B$50"))</f>
        <v>#VALUE!</v>
      </c>
      <c r="C171" s="4" t="e">
        <f ca="1">SplineInterp(A171,INDIRECT("'" &amp;Master!$F$10&amp; "'!$A$2:$A$50"),INDIRECT("'" &amp;Master!$F$10&amp; "'!$C$2:$C$50"))</f>
        <v>#VALUE!</v>
      </c>
      <c r="D171" s="4" t="e">
        <f ca="1">SplineInterp(A171,INDIRECT("'" &amp;Master!$F$10&amp; "'!$A$2:$A$50"),INDIRECT("'" &amp;Master!$F$10&amp; "'!$D$2:$D$50"))</f>
        <v>#VALUE!</v>
      </c>
      <c r="E171" s="4" t="e">
        <f ca="1">SplineInterp(A171,INDIRECT("'" &amp;Master!$F$10&amp; "'!$A$2:$A$50"),INDIRECT("'" &amp;Master!$F$10&amp; "'!$E$2:$E$50"))</f>
        <v>#VALUE!</v>
      </c>
      <c r="F171" s="4" t="e">
        <f ca="1">SplineInterp(A171,INDIRECT("'" &amp;Master!$F$10&amp; "'!$A$2:$A$50"),INDIRECT("'" &amp;Master!$F$10&amp; "'!$F$2:$F$50"))</f>
        <v>#VALUE!</v>
      </c>
      <c r="G171" s="4" t="e">
        <f ca="1">SplineInterp(A171,INDIRECT("'" &amp;Master!$F$10&amp; "'!$A$2:$A$50"),INDIRECT("'" &amp;Master!$F$10&amp; "'!$G$2:$G$50"))</f>
        <v>#VALUE!</v>
      </c>
      <c r="H171" s="4" t="e">
        <f ca="1">SplineInterp(A171,INDIRECT("'" &amp;Master!$F$10&amp; "'!$A$2:$A$50"),INDIRECT("'" &amp;Master!$F$10&amp; "'!$H$2:$H$50"))</f>
        <v>#VALUE!</v>
      </c>
      <c r="I171" s="4" t="e">
        <f ca="1">IF(OR(INDIRECT("'" &amp; Master!$F$8 &amp; Master!$F$6 &amp; "'!B" &amp; ROW(B171))="", INDIRECT("'" &amp; Master!$F$8 &amp; Master!$F$6 &amp; "'!B" &amp; ROW(B171))=0), "", INDIRECT("'" &amp; Master!$F$8 &amp; Master!$F$6 &amp; "'!B" &amp; ROW(B171)))</f>
        <v>#VALUE!</v>
      </c>
      <c r="J171" s="9" t="e">
        <f t="shared" ca="1" si="14"/>
        <v>#VALUE!</v>
      </c>
      <c r="K171" s="7" t="e">
        <f t="shared" ca="1" si="15"/>
        <v>#VALUE!</v>
      </c>
      <c r="L171" s="7" t="e">
        <f t="shared" ca="1" si="16"/>
        <v>#VALUE!</v>
      </c>
      <c r="M171" s="7" t="e">
        <f t="shared" ca="1" si="17"/>
        <v>#VALUE!</v>
      </c>
      <c r="N171" s="7" t="e">
        <f t="shared" ca="1" si="18"/>
        <v>#VALUE!</v>
      </c>
      <c r="O171" s="7" t="e">
        <f t="shared" ca="1" si="19"/>
        <v>#VALUE!</v>
      </c>
      <c r="P171" s="7" t="e">
        <f t="shared" ca="1" si="20"/>
        <v>#VALUE!</v>
      </c>
    </row>
    <row r="172" spans="1:16" x14ac:dyDescent="0.25">
      <c r="A172" s="19" t="str">
        <f ca="1">IF(OR(INDIRECT("'" &amp; Master!$F$8 &amp; Master!$F$6 &amp; "'!A" &amp; ROW(A172))="", INDIRECT("'" &amp; Master!$F$8 &amp; Master!$F$6 &amp; "'!A" &amp; ROW(A172))=0), "", INDIRECT("'" &amp; Master!$F$8 &amp; Master!$F$6 &amp; "'!A" &amp; ROW(A172)))</f>
        <v/>
      </c>
      <c r="B172" s="4" t="e">
        <f ca="1">SplineInterp(INDIRECT("A" &amp; ROW()),INDIRECT("'" &amp;Master!$F$10&amp; "'!$A$2:$A$50"),INDIRECT("'" &amp;Master!$F$10&amp; "'!$B$2:$B$50"))</f>
        <v>#VALUE!</v>
      </c>
      <c r="C172" s="4" t="e">
        <f ca="1">SplineInterp(A172,INDIRECT("'" &amp;Master!$F$10&amp; "'!$A$2:$A$50"),INDIRECT("'" &amp;Master!$F$10&amp; "'!$C$2:$C$50"))</f>
        <v>#VALUE!</v>
      </c>
      <c r="D172" s="4" t="e">
        <f ca="1">SplineInterp(A172,INDIRECT("'" &amp;Master!$F$10&amp; "'!$A$2:$A$50"),INDIRECT("'" &amp;Master!$F$10&amp; "'!$D$2:$D$50"))</f>
        <v>#VALUE!</v>
      </c>
      <c r="E172" s="4" t="e">
        <f ca="1">SplineInterp(A172,INDIRECT("'" &amp;Master!$F$10&amp; "'!$A$2:$A$50"),INDIRECT("'" &amp;Master!$F$10&amp; "'!$E$2:$E$50"))</f>
        <v>#VALUE!</v>
      </c>
      <c r="F172" s="4" t="e">
        <f ca="1">SplineInterp(A172,INDIRECT("'" &amp;Master!$F$10&amp; "'!$A$2:$A$50"),INDIRECT("'" &amp;Master!$F$10&amp; "'!$F$2:$F$50"))</f>
        <v>#VALUE!</v>
      </c>
      <c r="G172" s="4" t="e">
        <f ca="1">SplineInterp(A172,INDIRECT("'" &amp;Master!$F$10&amp; "'!$A$2:$A$50"),INDIRECT("'" &amp;Master!$F$10&amp; "'!$G$2:$G$50"))</f>
        <v>#VALUE!</v>
      </c>
      <c r="H172" s="4" t="e">
        <f ca="1">SplineInterp(A172,INDIRECT("'" &amp;Master!$F$10&amp; "'!$A$2:$A$50"),INDIRECT("'" &amp;Master!$F$10&amp; "'!$H$2:$H$50"))</f>
        <v>#VALUE!</v>
      </c>
      <c r="I172" s="4" t="e">
        <f ca="1">IF(OR(INDIRECT("'" &amp; Master!$F$8 &amp; Master!$F$6 &amp; "'!B" &amp; ROW(B172))="", INDIRECT("'" &amp; Master!$F$8 &amp; Master!$F$6 &amp; "'!B" &amp; ROW(B172))=0), "", INDIRECT("'" &amp; Master!$F$8 &amp; Master!$F$6 &amp; "'!B" &amp; ROW(B172)))</f>
        <v>#VALUE!</v>
      </c>
      <c r="J172" s="9" t="e">
        <f t="shared" ca="1" si="14"/>
        <v>#VALUE!</v>
      </c>
      <c r="K172" s="7" t="e">
        <f t="shared" ca="1" si="15"/>
        <v>#VALUE!</v>
      </c>
      <c r="L172" s="7" t="e">
        <f t="shared" ca="1" si="16"/>
        <v>#VALUE!</v>
      </c>
      <c r="M172" s="7" t="e">
        <f t="shared" ca="1" si="17"/>
        <v>#VALUE!</v>
      </c>
      <c r="N172" s="7" t="e">
        <f t="shared" ca="1" si="18"/>
        <v>#VALUE!</v>
      </c>
      <c r="O172" s="7" t="e">
        <f t="shared" ca="1" si="19"/>
        <v>#VALUE!</v>
      </c>
      <c r="P172" s="7" t="e">
        <f t="shared" ca="1" si="20"/>
        <v>#VALUE!</v>
      </c>
    </row>
    <row r="173" spans="1:16" x14ac:dyDescent="0.25">
      <c r="A173" s="19" t="str">
        <f ca="1">IF(OR(INDIRECT("'" &amp; Master!$F$8 &amp; Master!$F$6 &amp; "'!A" &amp; ROW(A173))="", INDIRECT("'" &amp; Master!$F$8 &amp; Master!$F$6 &amp; "'!A" &amp; ROW(A173))=0), "", INDIRECT("'" &amp; Master!$F$8 &amp; Master!$F$6 &amp; "'!A" &amp; ROW(A173)))</f>
        <v/>
      </c>
      <c r="B173" s="4" t="e">
        <f ca="1">SplineInterp(INDIRECT("A" &amp; ROW()),INDIRECT("'" &amp;Master!$F$10&amp; "'!$A$2:$A$50"),INDIRECT("'" &amp;Master!$F$10&amp; "'!$B$2:$B$50"))</f>
        <v>#VALUE!</v>
      </c>
      <c r="C173" s="4" t="e">
        <f ca="1">SplineInterp(A173,INDIRECT("'" &amp;Master!$F$10&amp; "'!$A$2:$A$50"),INDIRECT("'" &amp;Master!$F$10&amp; "'!$C$2:$C$50"))</f>
        <v>#VALUE!</v>
      </c>
      <c r="D173" s="4" t="e">
        <f ca="1">SplineInterp(A173,INDIRECT("'" &amp;Master!$F$10&amp; "'!$A$2:$A$50"),INDIRECT("'" &amp;Master!$F$10&amp; "'!$D$2:$D$50"))</f>
        <v>#VALUE!</v>
      </c>
      <c r="E173" s="4" t="e">
        <f ca="1">SplineInterp(A173,INDIRECT("'" &amp;Master!$F$10&amp; "'!$A$2:$A$50"),INDIRECT("'" &amp;Master!$F$10&amp; "'!$E$2:$E$50"))</f>
        <v>#VALUE!</v>
      </c>
      <c r="F173" s="4" t="e">
        <f ca="1">SplineInterp(A173,INDIRECT("'" &amp;Master!$F$10&amp; "'!$A$2:$A$50"),INDIRECT("'" &amp;Master!$F$10&amp; "'!$F$2:$F$50"))</f>
        <v>#VALUE!</v>
      </c>
      <c r="G173" s="4" t="e">
        <f ca="1">SplineInterp(A173,INDIRECT("'" &amp;Master!$F$10&amp; "'!$A$2:$A$50"),INDIRECT("'" &amp;Master!$F$10&amp; "'!$G$2:$G$50"))</f>
        <v>#VALUE!</v>
      </c>
      <c r="H173" s="4" t="e">
        <f ca="1">SplineInterp(A173,INDIRECT("'" &amp;Master!$F$10&amp; "'!$A$2:$A$50"),INDIRECT("'" &amp;Master!$F$10&amp; "'!$H$2:$H$50"))</f>
        <v>#VALUE!</v>
      </c>
      <c r="I173" s="4" t="e">
        <f ca="1">IF(OR(INDIRECT("'" &amp; Master!$F$8 &amp; Master!$F$6 &amp; "'!B" &amp; ROW(B173))="", INDIRECT("'" &amp; Master!$F$8 &amp; Master!$F$6 &amp; "'!B" &amp; ROW(B173))=0), "", INDIRECT("'" &amp; Master!$F$8 &amp; Master!$F$6 &amp; "'!B" &amp; ROW(B173)))</f>
        <v>#VALUE!</v>
      </c>
      <c r="J173" s="9" t="e">
        <f t="shared" ca="1" si="14"/>
        <v>#VALUE!</v>
      </c>
      <c r="K173" s="7" t="e">
        <f t="shared" ca="1" si="15"/>
        <v>#VALUE!</v>
      </c>
      <c r="L173" s="7" t="e">
        <f t="shared" ca="1" si="16"/>
        <v>#VALUE!</v>
      </c>
      <c r="M173" s="7" t="e">
        <f t="shared" ca="1" si="17"/>
        <v>#VALUE!</v>
      </c>
      <c r="N173" s="7" t="e">
        <f t="shared" ca="1" si="18"/>
        <v>#VALUE!</v>
      </c>
      <c r="O173" s="7" t="e">
        <f t="shared" ca="1" si="19"/>
        <v>#VALUE!</v>
      </c>
      <c r="P173" s="7" t="e">
        <f t="shared" ca="1" si="20"/>
        <v>#VALUE!</v>
      </c>
    </row>
    <row r="174" spans="1:16" x14ac:dyDescent="0.25">
      <c r="A174" s="19" t="str">
        <f ca="1">IF(OR(INDIRECT("'" &amp; Master!$F$8 &amp; Master!$F$6 &amp; "'!A" &amp; ROW(A174))="", INDIRECT("'" &amp; Master!$F$8 &amp; Master!$F$6 &amp; "'!A" &amp; ROW(A174))=0), "", INDIRECT("'" &amp; Master!$F$8 &amp; Master!$F$6 &amp; "'!A" &amp; ROW(A174)))</f>
        <v/>
      </c>
      <c r="B174" s="4" t="e">
        <f ca="1">SplineInterp(INDIRECT("A" &amp; ROW()),INDIRECT("'" &amp;Master!$F$10&amp; "'!$A$2:$A$50"),INDIRECT("'" &amp;Master!$F$10&amp; "'!$B$2:$B$50"))</f>
        <v>#VALUE!</v>
      </c>
      <c r="C174" s="4" t="e">
        <f ca="1">SplineInterp(A174,INDIRECT("'" &amp;Master!$F$10&amp; "'!$A$2:$A$50"),INDIRECT("'" &amp;Master!$F$10&amp; "'!$C$2:$C$50"))</f>
        <v>#VALUE!</v>
      </c>
      <c r="D174" s="4" t="e">
        <f ca="1">SplineInterp(A174,INDIRECT("'" &amp;Master!$F$10&amp; "'!$A$2:$A$50"),INDIRECT("'" &amp;Master!$F$10&amp; "'!$D$2:$D$50"))</f>
        <v>#VALUE!</v>
      </c>
      <c r="E174" s="4" t="e">
        <f ca="1">SplineInterp(A174,INDIRECT("'" &amp;Master!$F$10&amp; "'!$A$2:$A$50"),INDIRECT("'" &amp;Master!$F$10&amp; "'!$E$2:$E$50"))</f>
        <v>#VALUE!</v>
      </c>
      <c r="F174" s="4" t="e">
        <f ca="1">SplineInterp(A174,INDIRECT("'" &amp;Master!$F$10&amp; "'!$A$2:$A$50"),INDIRECT("'" &amp;Master!$F$10&amp; "'!$F$2:$F$50"))</f>
        <v>#VALUE!</v>
      </c>
      <c r="G174" s="4" t="e">
        <f ca="1">SplineInterp(A174,INDIRECT("'" &amp;Master!$F$10&amp; "'!$A$2:$A$50"),INDIRECT("'" &amp;Master!$F$10&amp; "'!$G$2:$G$50"))</f>
        <v>#VALUE!</v>
      </c>
      <c r="H174" s="4" t="e">
        <f ca="1">SplineInterp(A174,INDIRECT("'" &amp;Master!$F$10&amp; "'!$A$2:$A$50"),INDIRECT("'" &amp;Master!$F$10&amp; "'!$H$2:$H$50"))</f>
        <v>#VALUE!</v>
      </c>
      <c r="I174" s="4" t="e">
        <f ca="1">IF(OR(INDIRECT("'" &amp; Master!$F$8 &amp; Master!$F$6 &amp; "'!B" &amp; ROW(B174))="", INDIRECT("'" &amp; Master!$F$8 &amp; Master!$F$6 &amp; "'!B" &amp; ROW(B174))=0), "", INDIRECT("'" &amp; Master!$F$8 &amp; Master!$F$6 &amp; "'!B" &amp; ROW(B174)))</f>
        <v>#VALUE!</v>
      </c>
      <c r="J174" s="9" t="e">
        <f t="shared" ca="1" si="14"/>
        <v>#VALUE!</v>
      </c>
      <c r="K174" s="7" t="e">
        <f t="shared" ca="1" si="15"/>
        <v>#VALUE!</v>
      </c>
      <c r="L174" s="7" t="e">
        <f t="shared" ca="1" si="16"/>
        <v>#VALUE!</v>
      </c>
      <c r="M174" s="7" t="e">
        <f t="shared" ca="1" si="17"/>
        <v>#VALUE!</v>
      </c>
      <c r="N174" s="7" t="e">
        <f t="shared" ca="1" si="18"/>
        <v>#VALUE!</v>
      </c>
      <c r="O174" s="7" t="e">
        <f t="shared" ca="1" si="19"/>
        <v>#VALUE!</v>
      </c>
      <c r="P174" s="7" t="e">
        <f t="shared" ca="1" si="20"/>
        <v>#VALUE!</v>
      </c>
    </row>
    <row r="175" spans="1:16" x14ac:dyDescent="0.25">
      <c r="A175" s="19" t="str">
        <f ca="1">IF(OR(INDIRECT("'" &amp; Master!$F$8 &amp; Master!$F$6 &amp; "'!A" &amp; ROW(A175))="", INDIRECT("'" &amp; Master!$F$8 &amp; Master!$F$6 &amp; "'!A" &amp; ROW(A175))=0), "", INDIRECT("'" &amp; Master!$F$8 &amp; Master!$F$6 &amp; "'!A" &amp; ROW(A175)))</f>
        <v/>
      </c>
      <c r="B175" s="4" t="e">
        <f ca="1">SplineInterp(INDIRECT("A" &amp; ROW()),INDIRECT("'" &amp;Master!$F$10&amp; "'!$A$2:$A$50"),INDIRECT("'" &amp;Master!$F$10&amp; "'!$B$2:$B$50"))</f>
        <v>#VALUE!</v>
      </c>
      <c r="C175" s="4" t="e">
        <f ca="1">SplineInterp(A175,INDIRECT("'" &amp;Master!$F$10&amp; "'!$A$2:$A$50"),INDIRECT("'" &amp;Master!$F$10&amp; "'!$C$2:$C$50"))</f>
        <v>#VALUE!</v>
      </c>
      <c r="D175" s="4" t="e">
        <f ca="1">SplineInterp(A175,INDIRECT("'" &amp;Master!$F$10&amp; "'!$A$2:$A$50"),INDIRECT("'" &amp;Master!$F$10&amp; "'!$D$2:$D$50"))</f>
        <v>#VALUE!</v>
      </c>
      <c r="E175" s="4" t="e">
        <f ca="1">SplineInterp(A175,INDIRECT("'" &amp;Master!$F$10&amp; "'!$A$2:$A$50"),INDIRECT("'" &amp;Master!$F$10&amp; "'!$E$2:$E$50"))</f>
        <v>#VALUE!</v>
      </c>
      <c r="F175" s="4" t="e">
        <f ca="1">SplineInterp(A175,INDIRECT("'" &amp;Master!$F$10&amp; "'!$A$2:$A$50"),INDIRECT("'" &amp;Master!$F$10&amp; "'!$F$2:$F$50"))</f>
        <v>#VALUE!</v>
      </c>
      <c r="G175" s="4" t="e">
        <f ca="1">SplineInterp(A175,INDIRECT("'" &amp;Master!$F$10&amp; "'!$A$2:$A$50"),INDIRECT("'" &amp;Master!$F$10&amp; "'!$G$2:$G$50"))</f>
        <v>#VALUE!</v>
      </c>
      <c r="H175" s="4" t="e">
        <f ca="1">SplineInterp(A175,INDIRECT("'" &amp;Master!$F$10&amp; "'!$A$2:$A$50"),INDIRECT("'" &amp;Master!$F$10&amp; "'!$H$2:$H$50"))</f>
        <v>#VALUE!</v>
      </c>
      <c r="I175" s="4" t="e">
        <f ca="1">IF(OR(INDIRECT("'" &amp; Master!$F$8 &amp; Master!$F$6 &amp; "'!B" &amp; ROW(B175))="", INDIRECT("'" &amp; Master!$F$8 &amp; Master!$F$6 &amp; "'!B" &amp; ROW(B175))=0), "", INDIRECT("'" &amp; Master!$F$8 &amp; Master!$F$6 &amp; "'!B" &amp; ROW(B175)))</f>
        <v>#VALUE!</v>
      </c>
      <c r="J175" s="9" t="e">
        <f t="shared" ca="1" si="14"/>
        <v>#VALUE!</v>
      </c>
      <c r="K175" s="7" t="e">
        <f t="shared" ca="1" si="15"/>
        <v>#VALUE!</v>
      </c>
      <c r="L175" s="7" t="e">
        <f t="shared" ca="1" si="16"/>
        <v>#VALUE!</v>
      </c>
      <c r="M175" s="7" t="e">
        <f t="shared" ca="1" si="17"/>
        <v>#VALUE!</v>
      </c>
      <c r="N175" s="7" t="e">
        <f t="shared" ca="1" si="18"/>
        <v>#VALUE!</v>
      </c>
      <c r="O175" s="7" t="e">
        <f t="shared" ca="1" si="19"/>
        <v>#VALUE!</v>
      </c>
      <c r="P175" s="7" t="e">
        <f t="shared" ca="1" si="20"/>
        <v>#VALUE!</v>
      </c>
    </row>
    <row r="176" spans="1:16" x14ac:dyDescent="0.25">
      <c r="A176" s="19" t="str">
        <f ca="1">IF(OR(INDIRECT("'" &amp; Master!$F$8 &amp; Master!$F$6 &amp; "'!A" &amp; ROW(A176))="", INDIRECT("'" &amp; Master!$F$8 &amp; Master!$F$6 &amp; "'!A" &amp; ROW(A176))=0), "", INDIRECT("'" &amp; Master!$F$8 &amp; Master!$F$6 &amp; "'!A" &amp; ROW(A176)))</f>
        <v/>
      </c>
      <c r="B176" s="4" t="e">
        <f ca="1">SplineInterp(INDIRECT("A" &amp; ROW()),INDIRECT("'" &amp;Master!$F$10&amp; "'!$A$2:$A$50"),INDIRECT("'" &amp;Master!$F$10&amp; "'!$B$2:$B$50"))</f>
        <v>#VALUE!</v>
      </c>
      <c r="C176" s="4" t="e">
        <f ca="1">SplineInterp(A176,INDIRECT("'" &amp;Master!$F$10&amp; "'!$A$2:$A$50"),INDIRECT("'" &amp;Master!$F$10&amp; "'!$C$2:$C$50"))</f>
        <v>#VALUE!</v>
      </c>
      <c r="D176" s="4" t="e">
        <f ca="1">SplineInterp(A176,INDIRECT("'" &amp;Master!$F$10&amp; "'!$A$2:$A$50"),INDIRECT("'" &amp;Master!$F$10&amp; "'!$D$2:$D$50"))</f>
        <v>#VALUE!</v>
      </c>
      <c r="E176" s="4" t="e">
        <f ca="1">SplineInterp(A176,INDIRECT("'" &amp;Master!$F$10&amp; "'!$A$2:$A$50"),INDIRECT("'" &amp;Master!$F$10&amp; "'!$E$2:$E$50"))</f>
        <v>#VALUE!</v>
      </c>
      <c r="F176" s="4" t="e">
        <f ca="1">SplineInterp(A176,INDIRECT("'" &amp;Master!$F$10&amp; "'!$A$2:$A$50"),INDIRECT("'" &amp;Master!$F$10&amp; "'!$F$2:$F$50"))</f>
        <v>#VALUE!</v>
      </c>
      <c r="G176" s="4" t="e">
        <f ca="1">SplineInterp(A176,INDIRECT("'" &amp;Master!$F$10&amp; "'!$A$2:$A$50"),INDIRECT("'" &amp;Master!$F$10&amp; "'!$G$2:$G$50"))</f>
        <v>#VALUE!</v>
      </c>
      <c r="H176" s="4" t="e">
        <f ca="1">SplineInterp(A176,INDIRECT("'" &amp;Master!$F$10&amp; "'!$A$2:$A$50"),INDIRECT("'" &amp;Master!$F$10&amp; "'!$H$2:$H$50"))</f>
        <v>#VALUE!</v>
      </c>
      <c r="I176" s="4" t="e">
        <f ca="1">IF(OR(INDIRECT("'" &amp; Master!$F$8 &amp; Master!$F$6 &amp; "'!B" &amp; ROW(B176))="", INDIRECT("'" &amp; Master!$F$8 &amp; Master!$F$6 &amp; "'!B" &amp; ROW(B176))=0), "", INDIRECT("'" &amp; Master!$F$8 &amp; Master!$F$6 &amp; "'!B" &amp; ROW(B176)))</f>
        <v>#VALUE!</v>
      </c>
      <c r="J176" s="9" t="e">
        <f t="shared" ca="1" si="14"/>
        <v>#VALUE!</v>
      </c>
      <c r="K176" s="7" t="e">
        <f t="shared" ca="1" si="15"/>
        <v>#VALUE!</v>
      </c>
      <c r="L176" s="7" t="e">
        <f t="shared" ca="1" si="16"/>
        <v>#VALUE!</v>
      </c>
      <c r="M176" s="7" t="e">
        <f t="shared" ca="1" si="17"/>
        <v>#VALUE!</v>
      </c>
      <c r="N176" s="7" t="e">
        <f t="shared" ca="1" si="18"/>
        <v>#VALUE!</v>
      </c>
      <c r="O176" s="7" t="e">
        <f t="shared" ca="1" si="19"/>
        <v>#VALUE!</v>
      </c>
      <c r="P176" s="7" t="e">
        <f t="shared" ca="1" si="20"/>
        <v>#VALUE!</v>
      </c>
    </row>
    <row r="177" spans="1:16" x14ac:dyDescent="0.25">
      <c r="A177" s="19" t="str">
        <f ca="1">IF(OR(INDIRECT("'" &amp; Master!$F$8 &amp; Master!$F$6 &amp; "'!A" &amp; ROW(A177))="", INDIRECT("'" &amp; Master!$F$8 &amp; Master!$F$6 &amp; "'!A" &amp; ROW(A177))=0), "", INDIRECT("'" &amp; Master!$F$8 &amp; Master!$F$6 &amp; "'!A" &amp; ROW(A177)))</f>
        <v/>
      </c>
      <c r="B177" s="4" t="e">
        <f ca="1">SplineInterp(INDIRECT("A" &amp; ROW()),INDIRECT("'" &amp;Master!$F$10&amp; "'!$A$2:$A$50"),INDIRECT("'" &amp;Master!$F$10&amp; "'!$B$2:$B$50"))</f>
        <v>#VALUE!</v>
      </c>
      <c r="C177" s="4" t="e">
        <f ca="1">SplineInterp(A177,INDIRECT("'" &amp;Master!$F$10&amp; "'!$A$2:$A$50"),INDIRECT("'" &amp;Master!$F$10&amp; "'!$C$2:$C$50"))</f>
        <v>#VALUE!</v>
      </c>
      <c r="D177" s="4" t="e">
        <f ca="1">SplineInterp(A177,INDIRECT("'" &amp;Master!$F$10&amp; "'!$A$2:$A$50"),INDIRECT("'" &amp;Master!$F$10&amp; "'!$D$2:$D$50"))</f>
        <v>#VALUE!</v>
      </c>
      <c r="E177" s="4" t="e">
        <f ca="1">SplineInterp(A177,INDIRECT("'" &amp;Master!$F$10&amp; "'!$A$2:$A$50"),INDIRECT("'" &amp;Master!$F$10&amp; "'!$E$2:$E$50"))</f>
        <v>#VALUE!</v>
      </c>
      <c r="F177" s="4" t="e">
        <f ca="1">SplineInterp(A177,INDIRECT("'" &amp;Master!$F$10&amp; "'!$A$2:$A$50"),INDIRECT("'" &amp;Master!$F$10&amp; "'!$F$2:$F$50"))</f>
        <v>#VALUE!</v>
      </c>
      <c r="G177" s="4" t="e">
        <f ca="1">SplineInterp(A177,INDIRECT("'" &amp;Master!$F$10&amp; "'!$A$2:$A$50"),INDIRECT("'" &amp;Master!$F$10&amp; "'!$G$2:$G$50"))</f>
        <v>#VALUE!</v>
      </c>
      <c r="H177" s="4" t="e">
        <f ca="1">SplineInterp(A177,INDIRECT("'" &amp;Master!$F$10&amp; "'!$A$2:$A$50"),INDIRECT("'" &amp;Master!$F$10&amp; "'!$H$2:$H$50"))</f>
        <v>#VALUE!</v>
      </c>
      <c r="I177" s="4" t="e">
        <f ca="1">IF(OR(INDIRECT("'" &amp; Master!$F$8 &amp; Master!$F$6 &amp; "'!B" &amp; ROW(B177))="", INDIRECT("'" &amp; Master!$F$8 &amp; Master!$F$6 &amp; "'!B" &amp; ROW(B177))=0), "", INDIRECT("'" &amp; Master!$F$8 &amp; Master!$F$6 &amp; "'!B" &amp; ROW(B177)))</f>
        <v>#VALUE!</v>
      </c>
      <c r="J177" s="9" t="e">
        <f t="shared" ca="1" si="14"/>
        <v>#VALUE!</v>
      </c>
      <c r="K177" s="7" t="e">
        <f t="shared" ca="1" si="15"/>
        <v>#VALUE!</v>
      </c>
      <c r="L177" s="7" t="e">
        <f t="shared" ca="1" si="16"/>
        <v>#VALUE!</v>
      </c>
      <c r="M177" s="7" t="e">
        <f t="shared" ca="1" si="17"/>
        <v>#VALUE!</v>
      </c>
      <c r="N177" s="7" t="e">
        <f t="shared" ca="1" si="18"/>
        <v>#VALUE!</v>
      </c>
      <c r="O177" s="7" t="e">
        <f t="shared" ca="1" si="19"/>
        <v>#VALUE!</v>
      </c>
      <c r="P177" s="7" t="e">
        <f t="shared" ca="1" si="20"/>
        <v>#VALUE!</v>
      </c>
    </row>
    <row r="178" spans="1:16" x14ac:dyDescent="0.25">
      <c r="A178" s="19" t="str">
        <f ca="1">IF(OR(INDIRECT("'" &amp; Master!$F$8 &amp; Master!$F$6 &amp; "'!A" &amp; ROW(A178))="", INDIRECT("'" &amp; Master!$F$8 &amp; Master!$F$6 &amp; "'!A" &amp; ROW(A178))=0), "", INDIRECT("'" &amp; Master!$F$8 &amp; Master!$F$6 &amp; "'!A" &amp; ROW(A178)))</f>
        <v/>
      </c>
      <c r="B178" s="4" t="e">
        <f ca="1">SplineInterp(INDIRECT("A" &amp; ROW()),INDIRECT("'" &amp;Master!$F$10&amp; "'!$A$2:$A$50"),INDIRECT("'" &amp;Master!$F$10&amp; "'!$B$2:$B$50"))</f>
        <v>#VALUE!</v>
      </c>
      <c r="C178" s="4" t="e">
        <f ca="1">SplineInterp(A178,INDIRECT("'" &amp;Master!$F$10&amp; "'!$A$2:$A$50"),INDIRECT("'" &amp;Master!$F$10&amp; "'!$C$2:$C$50"))</f>
        <v>#VALUE!</v>
      </c>
      <c r="D178" s="4" t="e">
        <f ca="1">SplineInterp(A178,INDIRECT("'" &amp;Master!$F$10&amp; "'!$A$2:$A$50"),INDIRECT("'" &amp;Master!$F$10&amp; "'!$D$2:$D$50"))</f>
        <v>#VALUE!</v>
      </c>
      <c r="E178" s="4" t="e">
        <f ca="1">SplineInterp(A178,INDIRECT("'" &amp;Master!$F$10&amp; "'!$A$2:$A$50"),INDIRECT("'" &amp;Master!$F$10&amp; "'!$E$2:$E$50"))</f>
        <v>#VALUE!</v>
      </c>
      <c r="F178" s="4" t="e">
        <f ca="1">SplineInterp(A178,INDIRECT("'" &amp;Master!$F$10&amp; "'!$A$2:$A$50"),INDIRECT("'" &amp;Master!$F$10&amp; "'!$F$2:$F$50"))</f>
        <v>#VALUE!</v>
      </c>
      <c r="G178" s="4" t="e">
        <f ca="1">SplineInterp(A178,INDIRECT("'" &amp;Master!$F$10&amp; "'!$A$2:$A$50"),INDIRECT("'" &amp;Master!$F$10&amp; "'!$G$2:$G$50"))</f>
        <v>#VALUE!</v>
      </c>
      <c r="H178" s="4" t="e">
        <f ca="1">SplineInterp(A178,INDIRECT("'" &amp;Master!$F$10&amp; "'!$A$2:$A$50"),INDIRECT("'" &amp;Master!$F$10&amp; "'!$H$2:$H$50"))</f>
        <v>#VALUE!</v>
      </c>
      <c r="I178" s="4" t="e">
        <f ca="1">IF(OR(INDIRECT("'" &amp; Master!$F$8 &amp; Master!$F$6 &amp; "'!B" &amp; ROW(B178))="", INDIRECT("'" &amp; Master!$F$8 &amp; Master!$F$6 &amp; "'!B" &amp; ROW(B178))=0), "", INDIRECT("'" &amp; Master!$F$8 &amp; Master!$F$6 &amp; "'!B" &amp; ROW(B178)))</f>
        <v>#VALUE!</v>
      </c>
      <c r="J178" s="9" t="e">
        <f t="shared" ca="1" si="14"/>
        <v>#VALUE!</v>
      </c>
      <c r="K178" s="7" t="e">
        <f t="shared" ca="1" si="15"/>
        <v>#VALUE!</v>
      </c>
      <c r="L178" s="7" t="e">
        <f t="shared" ca="1" si="16"/>
        <v>#VALUE!</v>
      </c>
      <c r="M178" s="7" t="e">
        <f t="shared" ca="1" si="17"/>
        <v>#VALUE!</v>
      </c>
      <c r="N178" s="7" t="e">
        <f t="shared" ca="1" si="18"/>
        <v>#VALUE!</v>
      </c>
      <c r="O178" s="7" t="e">
        <f t="shared" ca="1" si="19"/>
        <v>#VALUE!</v>
      </c>
      <c r="P178" s="7" t="e">
        <f t="shared" ca="1" si="20"/>
        <v>#VALUE!</v>
      </c>
    </row>
    <row r="179" spans="1:16" x14ac:dyDescent="0.25">
      <c r="A179" s="19" t="str">
        <f ca="1">IF(OR(INDIRECT("'" &amp; Master!$F$8 &amp; Master!$F$6 &amp; "'!A" &amp; ROW(A179))="", INDIRECT("'" &amp; Master!$F$8 &amp; Master!$F$6 &amp; "'!A" &amp; ROW(A179))=0), "", INDIRECT("'" &amp; Master!$F$8 &amp; Master!$F$6 &amp; "'!A" &amp; ROW(A179)))</f>
        <v/>
      </c>
      <c r="B179" s="4" t="e">
        <f ca="1">SplineInterp(INDIRECT("A" &amp; ROW()),INDIRECT("'" &amp;Master!$F$10&amp; "'!$A$2:$A$50"),INDIRECT("'" &amp;Master!$F$10&amp; "'!$B$2:$B$50"))</f>
        <v>#VALUE!</v>
      </c>
      <c r="C179" s="4" t="e">
        <f ca="1">SplineInterp(A179,INDIRECT("'" &amp;Master!$F$10&amp; "'!$A$2:$A$50"),INDIRECT("'" &amp;Master!$F$10&amp; "'!$C$2:$C$50"))</f>
        <v>#VALUE!</v>
      </c>
      <c r="D179" s="4" t="e">
        <f ca="1">SplineInterp(A179,INDIRECT("'" &amp;Master!$F$10&amp; "'!$A$2:$A$50"),INDIRECT("'" &amp;Master!$F$10&amp; "'!$D$2:$D$50"))</f>
        <v>#VALUE!</v>
      </c>
      <c r="E179" s="4" t="e">
        <f ca="1">SplineInterp(A179,INDIRECT("'" &amp;Master!$F$10&amp; "'!$A$2:$A$50"),INDIRECT("'" &amp;Master!$F$10&amp; "'!$E$2:$E$50"))</f>
        <v>#VALUE!</v>
      </c>
      <c r="F179" s="4" t="e">
        <f ca="1">SplineInterp(A179,INDIRECT("'" &amp;Master!$F$10&amp; "'!$A$2:$A$50"),INDIRECT("'" &amp;Master!$F$10&amp; "'!$F$2:$F$50"))</f>
        <v>#VALUE!</v>
      </c>
      <c r="G179" s="4" t="e">
        <f ca="1">SplineInterp(A179,INDIRECT("'" &amp;Master!$F$10&amp; "'!$A$2:$A$50"),INDIRECT("'" &amp;Master!$F$10&amp; "'!$G$2:$G$50"))</f>
        <v>#VALUE!</v>
      </c>
      <c r="H179" s="4" t="e">
        <f ca="1">SplineInterp(A179,INDIRECT("'" &amp;Master!$F$10&amp; "'!$A$2:$A$50"),INDIRECT("'" &amp;Master!$F$10&amp; "'!$H$2:$H$50"))</f>
        <v>#VALUE!</v>
      </c>
      <c r="I179" s="4" t="e">
        <f ca="1">IF(OR(INDIRECT("'" &amp; Master!$F$8 &amp; Master!$F$6 &amp; "'!B" &amp; ROW(B179))="", INDIRECT("'" &amp; Master!$F$8 &amp; Master!$F$6 &amp; "'!B" &amp; ROW(B179))=0), "", INDIRECT("'" &amp; Master!$F$8 &amp; Master!$F$6 &amp; "'!B" &amp; ROW(B179)))</f>
        <v>#VALUE!</v>
      </c>
      <c r="J179" s="9" t="e">
        <f t="shared" ca="1" si="14"/>
        <v>#VALUE!</v>
      </c>
      <c r="K179" s="7" t="e">
        <f t="shared" ca="1" si="15"/>
        <v>#VALUE!</v>
      </c>
      <c r="L179" s="7" t="e">
        <f t="shared" ca="1" si="16"/>
        <v>#VALUE!</v>
      </c>
      <c r="M179" s="7" t="e">
        <f t="shared" ca="1" si="17"/>
        <v>#VALUE!</v>
      </c>
      <c r="N179" s="7" t="e">
        <f t="shared" ca="1" si="18"/>
        <v>#VALUE!</v>
      </c>
      <c r="O179" s="7" t="e">
        <f t="shared" ca="1" si="19"/>
        <v>#VALUE!</v>
      </c>
      <c r="P179" s="7" t="e">
        <f t="shared" ca="1" si="20"/>
        <v>#VALUE!</v>
      </c>
    </row>
    <row r="180" spans="1:16" x14ac:dyDescent="0.25">
      <c r="A180" s="19" t="str">
        <f ca="1">IF(OR(INDIRECT("'" &amp; Master!$F$8 &amp; Master!$F$6 &amp; "'!A" &amp; ROW(A180))="", INDIRECT("'" &amp; Master!$F$8 &amp; Master!$F$6 &amp; "'!A" &amp; ROW(A180))=0), "", INDIRECT("'" &amp; Master!$F$8 &amp; Master!$F$6 &amp; "'!A" &amp; ROW(A180)))</f>
        <v/>
      </c>
      <c r="B180" s="4" t="e">
        <f ca="1">SplineInterp(INDIRECT("A" &amp; ROW()),INDIRECT("'" &amp;Master!$F$10&amp; "'!$A$2:$A$50"),INDIRECT("'" &amp;Master!$F$10&amp; "'!$B$2:$B$50"))</f>
        <v>#VALUE!</v>
      </c>
      <c r="C180" s="4" t="e">
        <f ca="1">SplineInterp(A180,INDIRECT("'" &amp;Master!$F$10&amp; "'!$A$2:$A$50"),INDIRECT("'" &amp;Master!$F$10&amp; "'!$C$2:$C$50"))</f>
        <v>#VALUE!</v>
      </c>
      <c r="D180" s="4" t="e">
        <f ca="1">SplineInterp(A180,INDIRECT("'" &amp;Master!$F$10&amp; "'!$A$2:$A$50"),INDIRECT("'" &amp;Master!$F$10&amp; "'!$D$2:$D$50"))</f>
        <v>#VALUE!</v>
      </c>
      <c r="E180" s="4" t="e">
        <f ca="1">SplineInterp(A180,INDIRECT("'" &amp;Master!$F$10&amp; "'!$A$2:$A$50"),INDIRECT("'" &amp;Master!$F$10&amp; "'!$E$2:$E$50"))</f>
        <v>#VALUE!</v>
      </c>
      <c r="F180" s="4" t="e">
        <f ca="1">SplineInterp(A180,INDIRECT("'" &amp;Master!$F$10&amp; "'!$A$2:$A$50"),INDIRECT("'" &amp;Master!$F$10&amp; "'!$F$2:$F$50"))</f>
        <v>#VALUE!</v>
      </c>
      <c r="G180" s="4" t="e">
        <f ca="1">SplineInterp(A180,INDIRECT("'" &amp;Master!$F$10&amp; "'!$A$2:$A$50"),INDIRECT("'" &amp;Master!$F$10&amp; "'!$G$2:$G$50"))</f>
        <v>#VALUE!</v>
      </c>
      <c r="H180" s="4" t="e">
        <f ca="1">SplineInterp(A180,INDIRECT("'" &amp;Master!$F$10&amp; "'!$A$2:$A$50"),INDIRECT("'" &amp;Master!$F$10&amp; "'!$H$2:$H$50"))</f>
        <v>#VALUE!</v>
      </c>
      <c r="I180" s="4" t="e">
        <f ca="1">IF(OR(INDIRECT("'" &amp; Master!$F$8 &amp; Master!$F$6 &amp; "'!B" &amp; ROW(B180))="", INDIRECT("'" &amp; Master!$F$8 &amp; Master!$F$6 &amp; "'!B" &amp; ROW(B180))=0), "", INDIRECT("'" &amp; Master!$F$8 &amp; Master!$F$6 &amp; "'!B" &amp; ROW(B180)))</f>
        <v>#VALUE!</v>
      </c>
      <c r="J180" s="9" t="e">
        <f t="shared" ca="1" si="14"/>
        <v>#VALUE!</v>
      </c>
      <c r="K180" s="7" t="e">
        <f t="shared" ca="1" si="15"/>
        <v>#VALUE!</v>
      </c>
      <c r="L180" s="7" t="e">
        <f t="shared" ca="1" si="16"/>
        <v>#VALUE!</v>
      </c>
      <c r="M180" s="7" t="e">
        <f t="shared" ca="1" si="17"/>
        <v>#VALUE!</v>
      </c>
      <c r="N180" s="7" t="e">
        <f t="shared" ca="1" si="18"/>
        <v>#VALUE!</v>
      </c>
      <c r="O180" s="7" t="e">
        <f t="shared" ca="1" si="19"/>
        <v>#VALUE!</v>
      </c>
      <c r="P180" s="7" t="e">
        <f t="shared" ca="1" si="20"/>
        <v>#VALUE!</v>
      </c>
    </row>
    <row r="181" spans="1:16" x14ac:dyDescent="0.25">
      <c r="A181" s="19" t="str">
        <f ca="1">IF(OR(INDIRECT("'" &amp; Master!$F$8 &amp; Master!$F$6 &amp; "'!A" &amp; ROW(A181))="", INDIRECT("'" &amp; Master!$F$8 &amp; Master!$F$6 &amp; "'!A" &amp; ROW(A181))=0), "", INDIRECT("'" &amp; Master!$F$8 &amp; Master!$F$6 &amp; "'!A" &amp; ROW(A181)))</f>
        <v/>
      </c>
      <c r="B181" s="4" t="e">
        <f ca="1">SplineInterp(INDIRECT("A" &amp; ROW()),INDIRECT("'" &amp;Master!$F$10&amp; "'!$A$2:$A$50"),INDIRECT("'" &amp;Master!$F$10&amp; "'!$B$2:$B$50"))</f>
        <v>#VALUE!</v>
      </c>
      <c r="C181" s="4" t="e">
        <f ca="1">SplineInterp(A181,INDIRECT("'" &amp;Master!$F$10&amp; "'!$A$2:$A$50"),INDIRECT("'" &amp;Master!$F$10&amp; "'!$C$2:$C$50"))</f>
        <v>#VALUE!</v>
      </c>
      <c r="D181" s="4" t="e">
        <f ca="1">SplineInterp(A181,INDIRECT("'" &amp;Master!$F$10&amp; "'!$A$2:$A$50"),INDIRECT("'" &amp;Master!$F$10&amp; "'!$D$2:$D$50"))</f>
        <v>#VALUE!</v>
      </c>
      <c r="E181" s="4" t="e">
        <f ca="1">SplineInterp(A181,INDIRECT("'" &amp;Master!$F$10&amp; "'!$A$2:$A$50"),INDIRECT("'" &amp;Master!$F$10&amp; "'!$E$2:$E$50"))</f>
        <v>#VALUE!</v>
      </c>
      <c r="F181" s="4" t="e">
        <f ca="1">SplineInterp(A181,INDIRECT("'" &amp;Master!$F$10&amp; "'!$A$2:$A$50"),INDIRECT("'" &amp;Master!$F$10&amp; "'!$F$2:$F$50"))</f>
        <v>#VALUE!</v>
      </c>
      <c r="G181" s="4" t="e">
        <f ca="1">SplineInterp(A181,INDIRECT("'" &amp;Master!$F$10&amp; "'!$A$2:$A$50"),INDIRECT("'" &amp;Master!$F$10&amp; "'!$G$2:$G$50"))</f>
        <v>#VALUE!</v>
      </c>
      <c r="H181" s="4" t="e">
        <f ca="1">SplineInterp(A181,INDIRECT("'" &amp;Master!$F$10&amp; "'!$A$2:$A$50"),INDIRECT("'" &amp;Master!$F$10&amp; "'!$H$2:$H$50"))</f>
        <v>#VALUE!</v>
      </c>
      <c r="I181" s="4" t="e">
        <f ca="1">IF(OR(INDIRECT("'" &amp; Master!$F$8 &amp; Master!$F$6 &amp; "'!B" &amp; ROW(B181))="", INDIRECT("'" &amp; Master!$F$8 &amp; Master!$F$6 &amp; "'!B" &amp; ROW(B181))=0), "", INDIRECT("'" &amp; Master!$F$8 &amp; Master!$F$6 &amp; "'!B" &amp; ROW(B181)))</f>
        <v>#VALUE!</v>
      </c>
      <c r="J181" s="9" t="e">
        <f t="shared" ca="1" si="14"/>
        <v>#VALUE!</v>
      </c>
      <c r="K181" s="7" t="e">
        <f t="shared" ca="1" si="15"/>
        <v>#VALUE!</v>
      </c>
      <c r="L181" s="7" t="e">
        <f t="shared" ca="1" si="16"/>
        <v>#VALUE!</v>
      </c>
      <c r="M181" s="7" t="e">
        <f t="shared" ca="1" si="17"/>
        <v>#VALUE!</v>
      </c>
      <c r="N181" s="7" t="e">
        <f t="shared" ca="1" si="18"/>
        <v>#VALUE!</v>
      </c>
      <c r="O181" s="7" t="e">
        <f t="shared" ca="1" si="19"/>
        <v>#VALUE!</v>
      </c>
      <c r="P181" s="7" t="e">
        <f t="shared" ca="1" si="20"/>
        <v>#VALUE!</v>
      </c>
    </row>
    <row r="182" spans="1:16" x14ac:dyDescent="0.25">
      <c r="A182" s="19" t="str">
        <f ca="1">IF(OR(INDIRECT("'" &amp; Master!$F$8 &amp; Master!$F$6 &amp; "'!A" &amp; ROW(A182))="", INDIRECT("'" &amp; Master!$F$8 &amp; Master!$F$6 &amp; "'!A" &amp; ROW(A182))=0), "", INDIRECT("'" &amp; Master!$F$8 &amp; Master!$F$6 &amp; "'!A" &amp; ROW(A182)))</f>
        <v/>
      </c>
      <c r="B182" s="4" t="e">
        <f ca="1">SplineInterp(INDIRECT("A" &amp; ROW()),INDIRECT("'" &amp;Master!$F$10&amp; "'!$A$2:$A$50"),INDIRECT("'" &amp;Master!$F$10&amp; "'!$B$2:$B$50"))</f>
        <v>#VALUE!</v>
      </c>
      <c r="C182" s="4" t="e">
        <f ca="1">SplineInterp(A182,INDIRECT("'" &amp;Master!$F$10&amp; "'!$A$2:$A$50"),INDIRECT("'" &amp;Master!$F$10&amp; "'!$C$2:$C$50"))</f>
        <v>#VALUE!</v>
      </c>
      <c r="D182" s="4" t="e">
        <f ca="1">SplineInterp(A182,INDIRECT("'" &amp;Master!$F$10&amp; "'!$A$2:$A$50"),INDIRECT("'" &amp;Master!$F$10&amp; "'!$D$2:$D$50"))</f>
        <v>#VALUE!</v>
      </c>
      <c r="E182" s="4" t="e">
        <f ca="1">SplineInterp(A182,INDIRECT("'" &amp;Master!$F$10&amp; "'!$A$2:$A$50"),INDIRECT("'" &amp;Master!$F$10&amp; "'!$E$2:$E$50"))</f>
        <v>#VALUE!</v>
      </c>
      <c r="F182" s="4" t="e">
        <f ca="1">SplineInterp(A182,INDIRECT("'" &amp;Master!$F$10&amp; "'!$A$2:$A$50"),INDIRECT("'" &amp;Master!$F$10&amp; "'!$F$2:$F$50"))</f>
        <v>#VALUE!</v>
      </c>
      <c r="G182" s="4" t="e">
        <f ca="1">SplineInterp(A182,INDIRECT("'" &amp;Master!$F$10&amp; "'!$A$2:$A$50"),INDIRECT("'" &amp;Master!$F$10&amp; "'!$G$2:$G$50"))</f>
        <v>#VALUE!</v>
      </c>
      <c r="H182" s="4" t="e">
        <f ca="1">SplineInterp(A182,INDIRECT("'" &amp;Master!$F$10&amp; "'!$A$2:$A$50"),INDIRECT("'" &amp;Master!$F$10&amp; "'!$H$2:$H$50"))</f>
        <v>#VALUE!</v>
      </c>
      <c r="I182" s="4" t="e">
        <f ca="1">IF(OR(INDIRECT("'" &amp; Master!$F$8 &amp; Master!$F$6 &amp; "'!B" &amp; ROW(B182))="", INDIRECT("'" &amp; Master!$F$8 &amp; Master!$F$6 &amp; "'!B" &amp; ROW(B182))=0), "", INDIRECT("'" &amp; Master!$F$8 &amp; Master!$F$6 &amp; "'!B" &amp; ROW(B182)))</f>
        <v>#VALUE!</v>
      </c>
      <c r="J182" s="9" t="e">
        <f t="shared" ca="1" si="14"/>
        <v>#VALUE!</v>
      </c>
      <c r="K182" s="7" t="e">
        <f t="shared" ca="1" si="15"/>
        <v>#VALUE!</v>
      </c>
      <c r="L182" s="7" t="e">
        <f t="shared" ca="1" si="16"/>
        <v>#VALUE!</v>
      </c>
      <c r="M182" s="7" t="e">
        <f t="shared" ca="1" si="17"/>
        <v>#VALUE!</v>
      </c>
      <c r="N182" s="7" t="e">
        <f t="shared" ca="1" si="18"/>
        <v>#VALUE!</v>
      </c>
      <c r="O182" s="7" t="e">
        <f t="shared" ca="1" si="19"/>
        <v>#VALUE!</v>
      </c>
      <c r="P182" s="7" t="e">
        <f t="shared" ca="1" si="20"/>
        <v>#VALUE!</v>
      </c>
    </row>
    <row r="183" spans="1:16" x14ac:dyDescent="0.25">
      <c r="A183" s="19" t="str">
        <f ca="1">IF(OR(INDIRECT("'" &amp; Master!$F$8 &amp; Master!$F$6 &amp; "'!A" &amp; ROW(A183))="", INDIRECT("'" &amp; Master!$F$8 &amp; Master!$F$6 &amp; "'!A" &amp; ROW(A183))=0), "", INDIRECT("'" &amp; Master!$F$8 &amp; Master!$F$6 &amp; "'!A" &amp; ROW(A183)))</f>
        <v/>
      </c>
      <c r="B183" s="4" t="e">
        <f ca="1">SplineInterp(INDIRECT("A" &amp; ROW()),INDIRECT("'" &amp;Master!$F$10&amp; "'!$A$2:$A$50"),INDIRECT("'" &amp;Master!$F$10&amp; "'!$B$2:$B$50"))</f>
        <v>#VALUE!</v>
      </c>
      <c r="C183" s="4" t="e">
        <f ca="1">SplineInterp(A183,INDIRECT("'" &amp;Master!$F$10&amp; "'!$A$2:$A$50"),INDIRECT("'" &amp;Master!$F$10&amp; "'!$C$2:$C$50"))</f>
        <v>#VALUE!</v>
      </c>
      <c r="D183" s="4" t="e">
        <f ca="1">SplineInterp(A183,INDIRECT("'" &amp;Master!$F$10&amp; "'!$A$2:$A$50"),INDIRECT("'" &amp;Master!$F$10&amp; "'!$D$2:$D$50"))</f>
        <v>#VALUE!</v>
      </c>
      <c r="E183" s="4" t="e">
        <f ca="1">SplineInterp(A183,INDIRECT("'" &amp;Master!$F$10&amp; "'!$A$2:$A$50"),INDIRECT("'" &amp;Master!$F$10&amp; "'!$E$2:$E$50"))</f>
        <v>#VALUE!</v>
      </c>
      <c r="F183" s="4" t="e">
        <f ca="1">SplineInterp(A183,INDIRECT("'" &amp;Master!$F$10&amp; "'!$A$2:$A$50"),INDIRECT("'" &amp;Master!$F$10&amp; "'!$F$2:$F$50"))</f>
        <v>#VALUE!</v>
      </c>
      <c r="G183" s="4" t="e">
        <f ca="1">SplineInterp(A183,INDIRECT("'" &amp;Master!$F$10&amp; "'!$A$2:$A$50"),INDIRECT("'" &amp;Master!$F$10&amp; "'!$G$2:$G$50"))</f>
        <v>#VALUE!</v>
      </c>
      <c r="H183" s="4" t="e">
        <f ca="1">SplineInterp(A183,INDIRECT("'" &amp;Master!$F$10&amp; "'!$A$2:$A$50"),INDIRECT("'" &amp;Master!$F$10&amp; "'!$H$2:$H$50"))</f>
        <v>#VALUE!</v>
      </c>
      <c r="I183" s="4" t="e">
        <f ca="1">IF(OR(INDIRECT("'" &amp; Master!$F$8 &amp; Master!$F$6 &amp; "'!B" &amp; ROW(B183))="", INDIRECT("'" &amp; Master!$F$8 &amp; Master!$F$6 &amp; "'!B" &amp; ROW(B183))=0), "", INDIRECT("'" &amp; Master!$F$8 &amp; Master!$F$6 &amp; "'!B" &amp; ROW(B183)))</f>
        <v>#VALUE!</v>
      </c>
      <c r="J183" s="9" t="e">
        <f t="shared" ca="1" si="14"/>
        <v>#VALUE!</v>
      </c>
      <c r="K183" s="7" t="e">
        <f t="shared" ca="1" si="15"/>
        <v>#VALUE!</v>
      </c>
      <c r="L183" s="7" t="e">
        <f t="shared" ca="1" si="16"/>
        <v>#VALUE!</v>
      </c>
      <c r="M183" s="7" t="e">
        <f t="shared" ca="1" si="17"/>
        <v>#VALUE!</v>
      </c>
      <c r="N183" s="7" t="e">
        <f t="shared" ca="1" si="18"/>
        <v>#VALUE!</v>
      </c>
      <c r="O183" s="7" t="e">
        <f t="shared" ca="1" si="19"/>
        <v>#VALUE!</v>
      </c>
      <c r="P183" s="7" t="e">
        <f t="shared" ca="1" si="20"/>
        <v>#VALUE!</v>
      </c>
    </row>
    <row r="184" spans="1:16" x14ac:dyDescent="0.25">
      <c r="A184" s="19" t="str">
        <f ca="1">IF(OR(INDIRECT("'" &amp; Master!$F$8 &amp; Master!$F$6 &amp; "'!A" &amp; ROW(A184))="", INDIRECT("'" &amp; Master!$F$8 &amp; Master!$F$6 &amp; "'!A" &amp; ROW(A184))=0), "", INDIRECT("'" &amp; Master!$F$8 &amp; Master!$F$6 &amp; "'!A" &amp; ROW(A184)))</f>
        <v/>
      </c>
      <c r="B184" s="4" t="e">
        <f ca="1">SplineInterp(INDIRECT("A" &amp; ROW()),INDIRECT("'" &amp;Master!$F$10&amp; "'!$A$2:$A$50"),INDIRECT("'" &amp;Master!$F$10&amp; "'!$B$2:$B$50"))</f>
        <v>#VALUE!</v>
      </c>
      <c r="C184" s="4" t="e">
        <f ca="1">SplineInterp(A184,INDIRECT("'" &amp;Master!$F$10&amp; "'!$A$2:$A$50"),INDIRECT("'" &amp;Master!$F$10&amp; "'!$C$2:$C$50"))</f>
        <v>#VALUE!</v>
      </c>
      <c r="D184" s="4" t="e">
        <f ca="1">SplineInterp(A184,INDIRECT("'" &amp;Master!$F$10&amp; "'!$A$2:$A$50"),INDIRECT("'" &amp;Master!$F$10&amp; "'!$D$2:$D$50"))</f>
        <v>#VALUE!</v>
      </c>
      <c r="E184" s="4" t="e">
        <f ca="1">SplineInterp(A184,INDIRECT("'" &amp;Master!$F$10&amp; "'!$A$2:$A$50"),INDIRECT("'" &amp;Master!$F$10&amp; "'!$E$2:$E$50"))</f>
        <v>#VALUE!</v>
      </c>
      <c r="F184" s="4" t="e">
        <f ca="1">SplineInterp(A184,INDIRECT("'" &amp;Master!$F$10&amp; "'!$A$2:$A$50"),INDIRECT("'" &amp;Master!$F$10&amp; "'!$F$2:$F$50"))</f>
        <v>#VALUE!</v>
      </c>
      <c r="G184" s="4" t="e">
        <f ca="1">SplineInterp(A184,INDIRECT("'" &amp;Master!$F$10&amp; "'!$A$2:$A$50"),INDIRECT("'" &amp;Master!$F$10&amp; "'!$G$2:$G$50"))</f>
        <v>#VALUE!</v>
      </c>
      <c r="H184" s="4" t="e">
        <f ca="1">SplineInterp(A184,INDIRECT("'" &amp;Master!$F$10&amp; "'!$A$2:$A$50"),INDIRECT("'" &amp;Master!$F$10&amp; "'!$H$2:$H$50"))</f>
        <v>#VALUE!</v>
      </c>
      <c r="I184" s="4" t="e">
        <f ca="1">IF(OR(INDIRECT("'" &amp; Master!$F$8 &amp; Master!$F$6 &amp; "'!B" &amp; ROW(B184))="", INDIRECT("'" &amp; Master!$F$8 &amp; Master!$F$6 &amp; "'!B" &amp; ROW(B184))=0), "", INDIRECT("'" &amp; Master!$F$8 &amp; Master!$F$6 &amp; "'!B" &amp; ROW(B184)))</f>
        <v>#VALUE!</v>
      </c>
      <c r="J184" s="9" t="e">
        <f t="shared" ca="1" si="14"/>
        <v>#VALUE!</v>
      </c>
      <c r="K184" s="7" t="e">
        <f t="shared" ca="1" si="15"/>
        <v>#VALUE!</v>
      </c>
      <c r="L184" s="7" t="e">
        <f t="shared" ca="1" si="16"/>
        <v>#VALUE!</v>
      </c>
      <c r="M184" s="7" t="e">
        <f t="shared" ca="1" si="17"/>
        <v>#VALUE!</v>
      </c>
      <c r="N184" s="7" t="e">
        <f t="shared" ca="1" si="18"/>
        <v>#VALUE!</v>
      </c>
      <c r="O184" s="7" t="e">
        <f t="shared" ca="1" si="19"/>
        <v>#VALUE!</v>
      </c>
      <c r="P184" s="7" t="e">
        <f t="shared" ca="1" si="20"/>
        <v>#VALUE!</v>
      </c>
    </row>
    <row r="185" spans="1:16" x14ac:dyDescent="0.25">
      <c r="A185" s="19" t="str">
        <f ca="1">IF(OR(INDIRECT("'" &amp; Master!$F$8 &amp; Master!$F$6 &amp; "'!A" &amp; ROW(A185))="", INDIRECT("'" &amp; Master!$F$8 &amp; Master!$F$6 &amp; "'!A" &amp; ROW(A185))=0), "", INDIRECT("'" &amp; Master!$F$8 &amp; Master!$F$6 &amp; "'!A" &amp; ROW(A185)))</f>
        <v/>
      </c>
      <c r="B185" s="4" t="e">
        <f ca="1">SplineInterp(INDIRECT("A" &amp; ROW()),INDIRECT("'" &amp;Master!$F$10&amp; "'!$A$2:$A$50"),INDIRECT("'" &amp;Master!$F$10&amp; "'!$B$2:$B$50"))</f>
        <v>#VALUE!</v>
      </c>
      <c r="C185" s="4" t="e">
        <f ca="1">SplineInterp(A185,INDIRECT("'" &amp;Master!$F$10&amp; "'!$A$2:$A$50"),INDIRECT("'" &amp;Master!$F$10&amp; "'!$C$2:$C$50"))</f>
        <v>#VALUE!</v>
      </c>
      <c r="D185" s="4" t="e">
        <f ca="1">SplineInterp(A185,INDIRECT("'" &amp;Master!$F$10&amp; "'!$A$2:$A$50"),INDIRECT("'" &amp;Master!$F$10&amp; "'!$D$2:$D$50"))</f>
        <v>#VALUE!</v>
      </c>
      <c r="E185" s="4" t="e">
        <f ca="1">SplineInterp(A185,INDIRECT("'" &amp;Master!$F$10&amp; "'!$A$2:$A$50"),INDIRECT("'" &amp;Master!$F$10&amp; "'!$E$2:$E$50"))</f>
        <v>#VALUE!</v>
      </c>
      <c r="F185" s="4" t="e">
        <f ca="1">SplineInterp(A185,INDIRECT("'" &amp;Master!$F$10&amp; "'!$A$2:$A$50"),INDIRECT("'" &amp;Master!$F$10&amp; "'!$F$2:$F$50"))</f>
        <v>#VALUE!</v>
      </c>
      <c r="G185" s="4" t="e">
        <f ca="1">SplineInterp(A185,INDIRECT("'" &amp;Master!$F$10&amp; "'!$A$2:$A$50"),INDIRECT("'" &amp;Master!$F$10&amp; "'!$G$2:$G$50"))</f>
        <v>#VALUE!</v>
      </c>
      <c r="H185" s="4" t="e">
        <f ca="1">SplineInterp(A185,INDIRECT("'" &amp;Master!$F$10&amp; "'!$A$2:$A$50"),INDIRECT("'" &amp;Master!$F$10&amp; "'!$H$2:$H$50"))</f>
        <v>#VALUE!</v>
      </c>
      <c r="I185" s="4" t="e">
        <f ca="1">IF(OR(INDIRECT("'" &amp; Master!$F$8 &amp; Master!$F$6 &amp; "'!B" &amp; ROW(B185))="", INDIRECT("'" &amp; Master!$F$8 &amp; Master!$F$6 &amp; "'!B" &amp; ROW(B185))=0), "", INDIRECT("'" &amp; Master!$F$8 &amp; Master!$F$6 &amp; "'!B" &amp; ROW(B185)))</f>
        <v>#VALUE!</v>
      </c>
      <c r="J185" s="9" t="e">
        <f t="shared" ca="1" si="14"/>
        <v>#VALUE!</v>
      </c>
      <c r="K185" s="7" t="e">
        <f t="shared" ca="1" si="15"/>
        <v>#VALUE!</v>
      </c>
      <c r="L185" s="7" t="e">
        <f t="shared" ca="1" si="16"/>
        <v>#VALUE!</v>
      </c>
      <c r="M185" s="7" t="e">
        <f t="shared" ca="1" si="17"/>
        <v>#VALUE!</v>
      </c>
      <c r="N185" s="7" t="e">
        <f t="shared" ca="1" si="18"/>
        <v>#VALUE!</v>
      </c>
      <c r="O185" s="7" t="e">
        <f t="shared" ca="1" si="19"/>
        <v>#VALUE!</v>
      </c>
      <c r="P185" s="7" t="e">
        <f t="shared" ca="1" si="20"/>
        <v>#VALUE!</v>
      </c>
    </row>
    <row r="186" spans="1:16" x14ac:dyDescent="0.25">
      <c r="A186" s="19" t="str">
        <f ca="1">IF(OR(INDIRECT("'" &amp; Master!$F$8 &amp; Master!$F$6 &amp; "'!A" &amp; ROW(A186))="", INDIRECT("'" &amp; Master!$F$8 &amp; Master!$F$6 &amp; "'!A" &amp; ROW(A186))=0), "", INDIRECT("'" &amp; Master!$F$8 &amp; Master!$F$6 &amp; "'!A" &amp; ROW(A186)))</f>
        <v/>
      </c>
      <c r="B186" s="4" t="e">
        <f ca="1">SplineInterp(INDIRECT("A" &amp; ROW()),INDIRECT("'" &amp;Master!$F$10&amp; "'!$A$2:$A$50"),INDIRECT("'" &amp;Master!$F$10&amp; "'!$B$2:$B$50"))</f>
        <v>#VALUE!</v>
      </c>
      <c r="C186" s="4" t="e">
        <f ca="1">SplineInterp(A186,INDIRECT("'" &amp;Master!$F$10&amp; "'!$A$2:$A$50"),INDIRECT("'" &amp;Master!$F$10&amp; "'!$C$2:$C$50"))</f>
        <v>#VALUE!</v>
      </c>
      <c r="D186" s="4" t="e">
        <f ca="1">SplineInterp(A186,INDIRECT("'" &amp;Master!$F$10&amp; "'!$A$2:$A$50"),INDIRECT("'" &amp;Master!$F$10&amp; "'!$D$2:$D$50"))</f>
        <v>#VALUE!</v>
      </c>
      <c r="E186" s="4" t="e">
        <f ca="1">SplineInterp(A186,INDIRECT("'" &amp;Master!$F$10&amp; "'!$A$2:$A$50"),INDIRECT("'" &amp;Master!$F$10&amp; "'!$E$2:$E$50"))</f>
        <v>#VALUE!</v>
      </c>
      <c r="F186" s="4" t="e">
        <f ca="1">SplineInterp(A186,INDIRECT("'" &amp;Master!$F$10&amp; "'!$A$2:$A$50"),INDIRECT("'" &amp;Master!$F$10&amp; "'!$F$2:$F$50"))</f>
        <v>#VALUE!</v>
      </c>
      <c r="G186" s="4" t="e">
        <f ca="1">SplineInterp(A186,INDIRECT("'" &amp;Master!$F$10&amp; "'!$A$2:$A$50"),INDIRECT("'" &amp;Master!$F$10&amp; "'!$G$2:$G$50"))</f>
        <v>#VALUE!</v>
      </c>
      <c r="H186" s="4" t="e">
        <f ca="1">SplineInterp(A186,INDIRECT("'" &amp;Master!$F$10&amp; "'!$A$2:$A$50"),INDIRECT("'" &amp;Master!$F$10&amp; "'!$H$2:$H$50"))</f>
        <v>#VALUE!</v>
      </c>
      <c r="I186" s="4" t="e">
        <f ca="1">IF(OR(INDIRECT("'" &amp; Master!$F$8 &amp; Master!$F$6 &amp; "'!B" &amp; ROW(B186))="", INDIRECT("'" &amp; Master!$F$8 &amp; Master!$F$6 &amp; "'!B" &amp; ROW(B186))=0), "", INDIRECT("'" &amp; Master!$F$8 &amp; Master!$F$6 &amp; "'!B" &amp; ROW(B186)))</f>
        <v>#VALUE!</v>
      </c>
      <c r="J186" s="9" t="e">
        <f t="shared" ca="1" si="14"/>
        <v>#VALUE!</v>
      </c>
      <c r="K186" s="7" t="e">
        <f t="shared" ca="1" si="15"/>
        <v>#VALUE!</v>
      </c>
      <c r="L186" s="7" t="e">
        <f t="shared" ca="1" si="16"/>
        <v>#VALUE!</v>
      </c>
      <c r="M186" s="7" t="e">
        <f t="shared" ca="1" si="17"/>
        <v>#VALUE!</v>
      </c>
      <c r="N186" s="7" t="e">
        <f t="shared" ca="1" si="18"/>
        <v>#VALUE!</v>
      </c>
      <c r="O186" s="7" t="e">
        <f t="shared" ca="1" si="19"/>
        <v>#VALUE!</v>
      </c>
      <c r="P186" s="7" t="e">
        <f t="shared" ca="1" si="20"/>
        <v>#VALUE!</v>
      </c>
    </row>
    <row r="187" spans="1:16" x14ac:dyDescent="0.25">
      <c r="A187" s="19" t="str">
        <f ca="1">IF(OR(INDIRECT("'" &amp; Master!$F$8 &amp; Master!$F$6 &amp; "'!A" &amp; ROW(A187))="", INDIRECT("'" &amp; Master!$F$8 &amp; Master!$F$6 &amp; "'!A" &amp; ROW(A187))=0), "", INDIRECT("'" &amp; Master!$F$8 &amp; Master!$F$6 &amp; "'!A" &amp; ROW(A187)))</f>
        <v/>
      </c>
      <c r="B187" s="4" t="e">
        <f ca="1">SplineInterp(INDIRECT("A" &amp; ROW()),INDIRECT("'" &amp;Master!$F$10&amp; "'!$A$2:$A$50"),INDIRECT("'" &amp;Master!$F$10&amp; "'!$B$2:$B$50"))</f>
        <v>#VALUE!</v>
      </c>
      <c r="C187" s="4" t="e">
        <f ca="1">SplineInterp(A187,INDIRECT("'" &amp;Master!$F$10&amp; "'!$A$2:$A$50"),INDIRECT("'" &amp;Master!$F$10&amp; "'!$C$2:$C$50"))</f>
        <v>#VALUE!</v>
      </c>
      <c r="D187" s="4" t="e">
        <f ca="1">SplineInterp(A187,INDIRECT("'" &amp;Master!$F$10&amp; "'!$A$2:$A$50"),INDIRECT("'" &amp;Master!$F$10&amp; "'!$D$2:$D$50"))</f>
        <v>#VALUE!</v>
      </c>
      <c r="E187" s="4" t="e">
        <f ca="1">SplineInterp(A187,INDIRECT("'" &amp;Master!$F$10&amp; "'!$A$2:$A$50"),INDIRECT("'" &amp;Master!$F$10&amp; "'!$E$2:$E$50"))</f>
        <v>#VALUE!</v>
      </c>
      <c r="F187" s="4" t="e">
        <f ca="1">SplineInterp(A187,INDIRECT("'" &amp;Master!$F$10&amp; "'!$A$2:$A$50"),INDIRECT("'" &amp;Master!$F$10&amp; "'!$F$2:$F$50"))</f>
        <v>#VALUE!</v>
      </c>
      <c r="G187" s="4" t="e">
        <f ca="1">SplineInterp(A187,INDIRECT("'" &amp;Master!$F$10&amp; "'!$A$2:$A$50"),INDIRECT("'" &amp;Master!$F$10&amp; "'!$G$2:$G$50"))</f>
        <v>#VALUE!</v>
      </c>
      <c r="H187" s="4" t="e">
        <f ca="1">SplineInterp(A187,INDIRECT("'" &amp;Master!$F$10&amp; "'!$A$2:$A$50"),INDIRECT("'" &amp;Master!$F$10&amp; "'!$H$2:$H$50"))</f>
        <v>#VALUE!</v>
      </c>
      <c r="I187" s="4" t="e">
        <f ca="1">IF(OR(INDIRECT("'" &amp; Master!$F$8 &amp; Master!$F$6 &amp; "'!B" &amp; ROW(B187))="", INDIRECT("'" &amp; Master!$F$8 &amp; Master!$F$6 &amp; "'!B" &amp; ROW(B187))=0), "", INDIRECT("'" &amp; Master!$F$8 &amp; Master!$F$6 &amp; "'!B" &amp; ROW(B187)))</f>
        <v>#VALUE!</v>
      </c>
      <c r="J187" s="9" t="e">
        <f t="shared" ca="1" si="14"/>
        <v>#VALUE!</v>
      </c>
      <c r="K187" s="7" t="e">
        <f t="shared" ca="1" si="15"/>
        <v>#VALUE!</v>
      </c>
      <c r="L187" s="7" t="e">
        <f t="shared" ca="1" si="16"/>
        <v>#VALUE!</v>
      </c>
      <c r="M187" s="7" t="e">
        <f t="shared" ca="1" si="17"/>
        <v>#VALUE!</v>
      </c>
      <c r="N187" s="7" t="e">
        <f t="shared" ca="1" si="18"/>
        <v>#VALUE!</v>
      </c>
      <c r="O187" s="7" t="e">
        <f t="shared" ca="1" si="19"/>
        <v>#VALUE!</v>
      </c>
      <c r="P187" s="7" t="e">
        <f t="shared" ca="1" si="20"/>
        <v>#VALUE!</v>
      </c>
    </row>
    <row r="188" spans="1:16" x14ac:dyDescent="0.25">
      <c r="A188" s="19" t="str">
        <f ca="1">IF(OR(INDIRECT("'" &amp; Master!$F$8 &amp; Master!$F$6 &amp; "'!A" &amp; ROW(A188))="", INDIRECT("'" &amp; Master!$F$8 &amp; Master!$F$6 &amp; "'!A" &amp; ROW(A188))=0), "", INDIRECT("'" &amp; Master!$F$8 &amp; Master!$F$6 &amp; "'!A" &amp; ROW(A188)))</f>
        <v/>
      </c>
      <c r="B188" s="4" t="e">
        <f ca="1">SplineInterp(INDIRECT("A" &amp; ROW()),INDIRECT("'" &amp;Master!$F$10&amp; "'!$A$2:$A$50"),INDIRECT("'" &amp;Master!$F$10&amp; "'!$B$2:$B$50"))</f>
        <v>#VALUE!</v>
      </c>
      <c r="C188" s="4" t="e">
        <f ca="1">SplineInterp(A188,INDIRECT("'" &amp;Master!$F$10&amp; "'!$A$2:$A$50"),INDIRECT("'" &amp;Master!$F$10&amp; "'!$C$2:$C$50"))</f>
        <v>#VALUE!</v>
      </c>
      <c r="D188" s="4" t="e">
        <f ca="1">SplineInterp(A188,INDIRECT("'" &amp;Master!$F$10&amp; "'!$A$2:$A$50"),INDIRECT("'" &amp;Master!$F$10&amp; "'!$D$2:$D$50"))</f>
        <v>#VALUE!</v>
      </c>
      <c r="E188" s="4" t="e">
        <f ca="1">SplineInterp(A188,INDIRECT("'" &amp;Master!$F$10&amp; "'!$A$2:$A$50"),INDIRECT("'" &amp;Master!$F$10&amp; "'!$E$2:$E$50"))</f>
        <v>#VALUE!</v>
      </c>
      <c r="F188" s="4" t="e">
        <f ca="1">SplineInterp(A188,INDIRECT("'" &amp;Master!$F$10&amp; "'!$A$2:$A$50"),INDIRECT("'" &amp;Master!$F$10&amp; "'!$F$2:$F$50"))</f>
        <v>#VALUE!</v>
      </c>
      <c r="G188" s="4" t="e">
        <f ca="1">SplineInterp(A188,INDIRECT("'" &amp;Master!$F$10&amp; "'!$A$2:$A$50"),INDIRECT("'" &amp;Master!$F$10&amp; "'!$G$2:$G$50"))</f>
        <v>#VALUE!</v>
      </c>
      <c r="H188" s="4" t="e">
        <f ca="1">SplineInterp(A188,INDIRECT("'" &amp;Master!$F$10&amp; "'!$A$2:$A$50"),INDIRECT("'" &amp;Master!$F$10&amp; "'!$H$2:$H$50"))</f>
        <v>#VALUE!</v>
      </c>
      <c r="I188" s="4" t="e">
        <f ca="1">IF(OR(INDIRECT("'" &amp; Master!$F$8 &amp; Master!$F$6 &amp; "'!B" &amp; ROW(B188))="", INDIRECT("'" &amp; Master!$F$8 &amp; Master!$F$6 &amp; "'!B" &amp; ROW(B188))=0), "", INDIRECT("'" &amp; Master!$F$8 &amp; Master!$F$6 &amp; "'!B" &amp; ROW(B188)))</f>
        <v>#VALUE!</v>
      </c>
      <c r="J188" s="9" t="e">
        <f t="shared" ca="1" si="14"/>
        <v>#VALUE!</v>
      </c>
      <c r="K188" s="7" t="e">
        <f t="shared" ca="1" si="15"/>
        <v>#VALUE!</v>
      </c>
      <c r="L188" s="7" t="e">
        <f t="shared" ca="1" si="16"/>
        <v>#VALUE!</v>
      </c>
      <c r="M188" s="7" t="e">
        <f t="shared" ca="1" si="17"/>
        <v>#VALUE!</v>
      </c>
      <c r="N188" s="7" t="e">
        <f t="shared" ca="1" si="18"/>
        <v>#VALUE!</v>
      </c>
      <c r="O188" s="7" t="e">
        <f t="shared" ca="1" si="19"/>
        <v>#VALUE!</v>
      </c>
      <c r="P188" s="7" t="e">
        <f t="shared" ca="1" si="20"/>
        <v>#VALUE!</v>
      </c>
    </row>
    <row r="189" spans="1:16" x14ac:dyDescent="0.25">
      <c r="A189" s="19" t="str">
        <f ca="1">IF(OR(INDIRECT("'" &amp; Master!$F$8 &amp; Master!$F$6 &amp; "'!A" &amp; ROW(A189))="", INDIRECT("'" &amp; Master!$F$8 &amp; Master!$F$6 &amp; "'!A" &amp; ROW(A189))=0), "", INDIRECT("'" &amp; Master!$F$8 &amp; Master!$F$6 &amp; "'!A" &amp; ROW(A189)))</f>
        <v/>
      </c>
      <c r="B189" s="4" t="e">
        <f ca="1">SplineInterp(INDIRECT("A" &amp; ROW()),INDIRECT("'" &amp;Master!$F$10&amp; "'!$A$2:$A$50"),INDIRECT("'" &amp;Master!$F$10&amp; "'!$B$2:$B$50"))</f>
        <v>#VALUE!</v>
      </c>
      <c r="C189" s="4" t="e">
        <f ca="1">SplineInterp(A189,INDIRECT("'" &amp;Master!$F$10&amp; "'!$A$2:$A$50"),INDIRECT("'" &amp;Master!$F$10&amp; "'!$C$2:$C$50"))</f>
        <v>#VALUE!</v>
      </c>
      <c r="D189" s="4" t="e">
        <f ca="1">SplineInterp(A189,INDIRECT("'" &amp;Master!$F$10&amp; "'!$A$2:$A$50"),INDIRECT("'" &amp;Master!$F$10&amp; "'!$D$2:$D$50"))</f>
        <v>#VALUE!</v>
      </c>
      <c r="E189" s="4" t="e">
        <f ca="1">SplineInterp(A189,INDIRECT("'" &amp;Master!$F$10&amp; "'!$A$2:$A$50"),INDIRECT("'" &amp;Master!$F$10&amp; "'!$E$2:$E$50"))</f>
        <v>#VALUE!</v>
      </c>
      <c r="F189" s="4" t="e">
        <f ca="1">SplineInterp(A189,INDIRECT("'" &amp;Master!$F$10&amp; "'!$A$2:$A$50"),INDIRECT("'" &amp;Master!$F$10&amp; "'!$F$2:$F$50"))</f>
        <v>#VALUE!</v>
      </c>
      <c r="G189" s="4" t="e">
        <f ca="1">SplineInterp(A189,INDIRECT("'" &amp;Master!$F$10&amp; "'!$A$2:$A$50"),INDIRECT("'" &amp;Master!$F$10&amp; "'!$G$2:$G$50"))</f>
        <v>#VALUE!</v>
      </c>
      <c r="H189" s="4" t="e">
        <f ca="1">SplineInterp(A189,INDIRECT("'" &amp;Master!$F$10&amp; "'!$A$2:$A$50"),INDIRECT("'" &amp;Master!$F$10&amp; "'!$H$2:$H$50"))</f>
        <v>#VALUE!</v>
      </c>
      <c r="I189" s="4" t="e">
        <f ca="1">IF(OR(INDIRECT("'" &amp; Master!$F$8 &amp; Master!$F$6 &amp; "'!B" &amp; ROW(B189))="", INDIRECT("'" &amp; Master!$F$8 &amp; Master!$F$6 &amp; "'!B" &amp; ROW(B189))=0), "", INDIRECT("'" &amp; Master!$F$8 &amp; Master!$F$6 &amp; "'!B" &amp; ROW(B189)))</f>
        <v>#VALUE!</v>
      </c>
      <c r="J189" s="9" t="e">
        <f t="shared" ca="1" si="14"/>
        <v>#VALUE!</v>
      </c>
      <c r="K189" s="7" t="e">
        <f t="shared" ca="1" si="15"/>
        <v>#VALUE!</v>
      </c>
      <c r="L189" s="7" t="e">
        <f t="shared" ca="1" si="16"/>
        <v>#VALUE!</v>
      </c>
      <c r="M189" s="7" t="e">
        <f t="shared" ca="1" si="17"/>
        <v>#VALUE!</v>
      </c>
      <c r="N189" s="7" t="e">
        <f t="shared" ca="1" si="18"/>
        <v>#VALUE!</v>
      </c>
      <c r="O189" s="7" t="e">
        <f t="shared" ca="1" si="19"/>
        <v>#VALUE!</v>
      </c>
      <c r="P189" s="7" t="e">
        <f t="shared" ca="1" si="20"/>
        <v>#VALUE!</v>
      </c>
    </row>
    <row r="190" spans="1:16" x14ac:dyDescent="0.25">
      <c r="A190" s="19" t="str">
        <f ca="1">IF(OR(INDIRECT("'" &amp; Master!$F$8 &amp; Master!$F$6 &amp; "'!A" &amp; ROW(A190))="", INDIRECT("'" &amp; Master!$F$8 &amp; Master!$F$6 &amp; "'!A" &amp; ROW(A190))=0), "", INDIRECT("'" &amp; Master!$F$8 &amp; Master!$F$6 &amp; "'!A" &amp; ROW(A190)))</f>
        <v/>
      </c>
      <c r="B190" s="4" t="e">
        <f ca="1">SplineInterp(INDIRECT("A" &amp; ROW()),INDIRECT("'" &amp;Master!$F$10&amp; "'!$A$2:$A$50"),INDIRECT("'" &amp;Master!$F$10&amp; "'!$B$2:$B$50"))</f>
        <v>#VALUE!</v>
      </c>
      <c r="C190" s="4" t="e">
        <f ca="1">SplineInterp(A190,INDIRECT("'" &amp;Master!$F$10&amp; "'!$A$2:$A$50"),INDIRECT("'" &amp;Master!$F$10&amp; "'!$C$2:$C$50"))</f>
        <v>#VALUE!</v>
      </c>
      <c r="D190" s="4" t="e">
        <f ca="1">SplineInterp(A190,INDIRECT("'" &amp;Master!$F$10&amp; "'!$A$2:$A$50"),INDIRECT("'" &amp;Master!$F$10&amp; "'!$D$2:$D$50"))</f>
        <v>#VALUE!</v>
      </c>
      <c r="E190" s="4" t="e">
        <f ca="1">SplineInterp(A190,INDIRECT("'" &amp;Master!$F$10&amp; "'!$A$2:$A$50"),INDIRECT("'" &amp;Master!$F$10&amp; "'!$E$2:$E$50"))</f>
        <v>#VALUE!</v>
      </c>
      <c r="F190" s="4" t="e">
        <f ca="1">SplineInterp(A190,INDIRECT("'" &amp;Master!$F$10&amp; "'!$A$2:$A$50"),INDIRECT("'" &amp;Master!$F$10&amp; "'!$F$2:$F$50"))</f>
        <v>#VALUE!</v>
      </c>
      <c r="G190" s="4" t="e">
        <f ca="1">SplineInterp(A190,INDIRECT("'" &amp;Master!$F$10&amp; "'!$A$2:$A$50"),INDIRECT("'" &amp;Master!$F$10&amp; "'!$G$2:$G$50"))</f>
        <v>#VALUE!</v>
      </c>
      <c r="H190" s="4" t="e">
        <f ca="1">SplineInterp(A190,INDIRECT("'" &amp;Master!$F$10&amp; "'!$A$2:$A$50"),INDIRECT("'" &amp;Master!$F$10&amp; "'!$H$2:$H$50"))</f>
        <v>#VALUE!</v>
      </c>
      <c r="I190" s="4" t="e">
        <f ca="1">IF(OR(INDIRECT("'" &amp; Master!$F$8 &amp; Master!$F$6 &amp; "'!B" &amp; ROW(B190))="", INDIRECT("'" &amp; Master!$F$8 &amp; Master!$F$6 &amp; "'!B" &amp; ROW(B190))=0), "", INDIRECT("'" &amp; Master!$F$8 &amp; Master!$F$6 &amp; "'!B" &amp; ROW(B190)))</f>
        <v>#VALUE!</v>
      </c>
      <c r="J190" s="9" t="e">
        <f t="shared" ca="1" si="14"/>
        <v>#VALUE!</v>
      </c>
      <c r="K190" s="7" t="e">
        <f t="shared" ca="1" si="15"/>
        <v>#VALUE!</v>
      </c>
      <c r="L190" s="7" t="e">
        <f t="shared" ca="1" si="16"/>
        <v>#VALUE!</v>
      </c>
      <c r="M190" s="7" t="e">
        <f t="shared" ca="1" si="17"/>
        <v>#VALUE!</v>
      </c>
      <c r="N190" s="7" t="e">
        <f t="shared" ca="1" si="18"/>
        <v>#VALUE!</v>
      </c>
      <c r="O190" s="7" t="e">
        <f t="shared" ca="1" si="19"/>
        <v>#VALUE!</v>
      </c>
      <c r="P190" s="7" t="e">
        <f t="shared" ca="1" si="20"/>
        <v>#VALUE!</v>
      </c>
    </row>
    <row r="191" spans="1:16" x14ac:dyDescent="0.25">
      <c r="A191" s="19" t="str">
        <f ca="1">IF(OR(INDIRECT("'" &amp; Master!$F$8 &amp; Master!$F$6 &amp; "'!A" &amp; ROW(A191))="", INDIRECT("'" &amp; Master!$F$8 &amp; Master!$F$6 &amp; "'!A" &amp; ROW(A191))=0), "", INDIRECT("'" &amp; Master!$F$8 &amp; Master!$F$6 &amp; "'!A" &amp; ROW(A191)))</f>
        <v/>
      </c>
      <c r="B191" s="4" t="e">
        <f ca="1">SplineInterp(INDIRECT("A" &amp; ROW()),INDIRECT("'" &amp;Master!$F$10&amp; "'!$A$2:$A$50"),INDIRECT("'" &amp;Master!$F$10&amp; "'!$B$2:$B$50"))</f>
        <v>#VALUE!</v>
      </c>
      <c r="C191" s="4" t="e">
        <f ca="1">SplineInterp(A191,INDIRECT("'" &amp;Master!$F$10&amp; "'!$A$2:$A$50"),INDIRECT("'" &amp;Master!$F$10&amp; "'!$C$2:$C$50"))</f>
        <v>#VALUE!</v>
      </c>
      <c r="D191" s="4" t="e">
        <f ca="1">SplineInterp(A191,INDIRECT("'" &amp;Master!$F$10&amp; "'!$A$2:$A$50"),INDIRECT("'" &amp;Master!$F$10&amp; "'!$D$2:$D$50"))</f>
        <v>#VALUE!</v>
      </c>
      <c r="E191" s="4" t="e">
        <f ca="1">SplineInterp(A191,INDIRECT("'" &amp;Master!$F$10&amp; "'!$A$2:$A$50"),INDIRECT("'" &amp;Master!$F$10&amp; "'!$E$2:$E$50"))</f>
        <v>#VALUE!</v>
      </c>
      <c r="F191" s="4" t="e">
        <f ca="1">SplineInterp(A191,INDIRECT("'" &amp;Master!$F$10&amp; "'!$A$2:$A$50"),INDIRECT("'" &amp;Master!$F$10&amp; "'!$F$2:$F$50"))</f>
        <v>#VALUE!</v>
      </c>
      <c r="G191" s="4" t="e">
        <f ca="1">SplineInterp(A191,INDIRECT("'" &amp;Master!$F$10&amp; "'!$A$2:$A$50"),INDIRECT("'" &amp;Master!$F$10&amp; "'!$G$2:$G$50"))</f>
        <v>#VALUE!</v>
      </c>
      <c r="H191" s="4" t="e">
        <f ca="1">SplineInterp(A191,INDIRECT("'" &amp;Master!$F$10&amp; "'!$A$2:$A$50"),INDIRECT("'" &amp;Master!$F$10&amp; "'!$H$2:$H$50"))</f>
        <v>#VALUE!</v>
      </c>
      <c r="I191" s="4" t="e">
        <f ca="1">IF(OR(INDIRECT("'" &amp; Master!$F$8 &amp; Master!$F$6 &amp; "'!B" &amp; ROW(B191))="", INDIRECT("'" &amp; Master!$F$8 &amp; Master!$F$6 &amp; "'!B" &amp; ROW(B191))=0), "", INDIRECT("'" &amp; Master!$F$8 &amp; Master!$F$6 &amp; "'!B" &amp; ROW(B191)))</f>
        <v>#VALUE!</v>
      </c>
      <c r="J191" s="9" t="e">
        <f t="shared" ca="1" si="14"/>
        <v>#VALUE!</v>
      </c>
      <c r="K191" s="7" t="e">
        <f t="shared" ca="1" si="15"/>
        <v>#VALUE!</v>
      </c>
      <c r="L191" s="7" t="e">
        <f t="shared" ca="1" si="16"/>
        <v>#VALUE!</v>
      </c>
      <c r="M191" s="7" t="e">
        <f t="shared" ca="1" si="17"/>
        <v>#VALUE!</v>
      </c>
      <c r="N191" s="7" t="e">
        <f t="shared" ca="1" si="18"/>
        <v>#VALUE!</v>
      </c>
      <c r="O191" s="7" t="e">
        <f t="shared" ca="1" si="19"/>
        <v>#VALUE!</v>
      </c>
      <c r="P191" s="7" t="e">
        <f t="shared" ca="1" si="20"/>
        <v>#VALUE!</v>
      </c>
    </row>
    <row r="192" spans="1:16" x14ac:dyDescent="0.25">
      <c r="A192" s="19" t="str">
        <f ca="1">IF(OR(INDIRECT("'" &amp; Master!$F$8 &amp; Master!$F$6 &amp; "'!A" &amp; ROW(A192))="", INDIRECT("'" &amp; Master!$F$8 &amp; Master!$F$6 &amp; "'!A" &amp; ROW(A192))=0), "", INDIRECT("'" &amp; Master!$F$8 &amp; Master!$F$6 &amp; "'!A" &amp; ROW(A192)))</f>
        <v/>
      </c>
      <c r="B192" s="4" t="e">
        <f ca="1">SplineInterp(INDIRECT("A" &amp; ROW()),INDIRECT("'" &amp;Master!$F$10&amp; "'!$A$2:$A$50"),INDIRECT("'" &amp;Master!$F$10&amp; "'!$B$2:$B$50"))</f>
        <v>#VALUE!</v>
      </c>
      <c r="C192" s="4" t="e">
        <f ca="1">SplineInterp(A192,INDIRECT("'" &amp;Master!$F$10&amp; "'!$A$2:$A$50"),INDIRECT("'" &amp;Master!$F$10&amp; "'!$C$2:$C$50"))</f>
        <v>#VALUE!</v>
      </c>
      <c r="D192" s="4" t="e">
        <f ca="1">SplineInterp(A192,INDIRECT("'" &amp;Master!$F$10&amp; "'!$A$2:$A$50"),INDIRECT("'" &amp;Master!$F$10&amp; "'!$D$2:$D$50"))</f>
        <v>#VALUE!</v>
      </c>
      <c r="E192" s="4" t="e">
        <f ca="1">SplineInterp(A192,INDIRECT("'" &amp;Master!$F$10&amp; "'!$A$2:$A$50"),INDIRECT("'" &amp;Master!$F$10&amp; "'!$E$2:$E$50"))</f>
        <v>#VALUE!</v>
      </c>
      <c r="F192" s="4" t="e">
        <f ca="1">SplineInterp(A192,INDIRECT("'" &amp;Master!$F$10&amp; "'!$A$2:$A$50"),INDIRECT("'" &amp;Master!$F$10&amp; "'!$F$2:$F$50"))</f>
        <v>#VALUE!</v>
      </c>
      <c r="G192" s="4" t="e">
        <f ca="1">SplineInterp(A192,INDIRECT("'" &amp;Master!$F$10&amp; "'!$A$2:$A$50"),INDIRECT("'" &amp;Master!$F$10&amp; "'!$G$2:$G$50"))</f>
        <v>#VALUE!</v>
      </c>
      <c r="H192" s="4" t="e">
        <f ca="1">SplineInterp(A192,INDIRECT("'" &amp;Master!$F$10&amp; "'!$A$2:$A$50"),INDIRECT("'" &amp;Master!$F$10&amp; "'!$H$2:$H$50"))</f>
        <v>#VALUE!</v>
      </c>
      <c r="I192" s="4" t="e">
        <f ca="1">IF(OR(INDIRECT("'" &amp; Master!$F$8 &amp; Master!$F$6 &amp; "'!B" &amp; ROW(B192))="", INDIRECT("'" &amp; Master!$F$8 &amp; Master!$F$6 &amp; "'!B" &amp; ROW(B192))=0), "", INDIRECT("'" &amp; Master!$F$8 &amp; Master!$F$6 &amp; "'!B" &amp; ROW(B192)))</f>
        <v>#VALUE!</v>
      </c>
      <c r="J192" s="9" t="e">
        <f t="shared" ca="1" si="14"/>
        <v>#VALUE!</v>
      </c>
      <c r="K192" s="7" t="e">
        <f t="shared" ca="1" si="15"/>
        <v>#VALUE!</v>
      </c>
      <c r="L192" s="7" t="e">
        <f t="shared" ca="1" si="16"/>
        <v>#VALUE!</v>
      </c>
      <c r="M192" s="7" t="e">
        <f t="shared" ca="1" si="17"/>
        <v>#VALUE!</v>
      </c>
      <c r="N192" s="7" t="e">
        <f t="shared" ca="1" si="18"/>
        <v>#VALUE!</v>
      </c>
      <c r="O192" s="7" t="e">
        <f t="shared" ca="1" si="19"/>
        <v>#VALUE!</v>
      </c>
      <c r="P192" s="7" t="e">
        <f t="shared" ca="1" si="20"/>
        <v>#VALUE!</v>
      </c>
    </row>
    <row r="193" spans="1:16" x14ac:dyDescent="0.25">
      <c r="A193" s="19" t="str">
        <f ca="1">IF(OR(INDIRECT("'" &amp; Master!$F$8 &amp; Master!$F$6 &amp; "'!A" &amp; ROW(A193))="", INDIRECT("'" &amp; Master!$F$8 &amp; Master!$F$6 &amp; "'!A" &amp; ROW(A193))=0), "", INDIRECT("'" &amp; Master!$F$8 &amp; Master!$F$6 &amp; "'!A" &amp; ROW(A193)))</f>
        <v/>
      </c>
      <c r="B193" s="4" t="e">
        <f ca="1">SplineInterp(INDIRECT("A" &amp; ROW()),INDIRECT("'" &amp;Master!$F$10&amp; "'!$A$2:$A$50"),INDIRECT("'" &amp;Master!$F$10&amp; "'!$B$2:$B$50"))</f>
        <v>#VALUE!</v>
      </c>
      <c r="C193" s="4" t="e">
        <f ca="1">SplineInterp(A193,INDIRECT("'" &amp;Master!$F$10&amp; "'!$A$2:$A$50"),INDIRECT("'" &amp;Master!$F$10&amp; "'!$C$2:$C$50"))</f>
        <v>#VALUE!</v>
      </c>
      <c r="D193" s="4" t="e">
        <f ca="1">SplineInterp(A193,INDIRECT("'" &amp;Master!$F$10&amp; "'!$A$2:$A$50"),INDIRECT("'" &amp;Master!$F$10&amp; "'!$D$2:$D$50"))</f>
        <v>#VALUE!</v>
      </c>
      <c r="E193" s="4" t="e">
        <f ca="1">SplineInterp(A193,INDIRECT("'" &amp;Master!$F$10&amp; "'!$A$2:$A$50"),INDIRECT("'" &amp;Master!$F$10&amp; "'!$E$2:$E$50"))</f>
        <v>#VALUE!</v>
      </c>
      <c r="F193" s="4" t="e">
        <f ca="1">SplineInterp(A193,INDIRECT("'" &amp;Master!$F$10&amp; "'!$A$2:$A$50"),INDIRECT("'" &amp;Master!$F$10&amp; "'!$F$2:$F$50"))</f>
        <v>#VALUE!</v>
      </c>
      <c r="G193" s="4" t="e">
        <f ca="1">SplineInterp(A193,INDIRECT("'" &amp;Master!$F$10&amp; "'!$A$2:$A$50"),INDIRECT("'" &amp;Master!$F$10&amp; "'!$G$2:$G$50"))</f>
        <v>#VALUE!</v>
      </c>
      <c r="H193" s="4" t="e">
        <f ca="1">SplineInterp(A193,INDIRECT("'" &amp;Master!$F$10&amp; "'!$A$2:$A$50"),INDIRECT("'" &amp;Master!$F$10&amp; "'!$H$2:$H$50"))</f>
        <v>#VALUE!</v>
      </c>
      <c r="I193" s="4" t="e">
        <f ca="1">IF(OR(INDIRECT("'" &amp; Master!$F$8 &amp; Master!$F$6 &amp; "'!B" &amp; ROW(B193))="", INDIRECT("'" &amp; Master!$F$8 &amp; Master!$F$6 &amp; "'!B" &amp; ROW(B193))=0), "", INDIRECT("'" &amp; Master!$F$8 &amp; Master!$F$6 &amp; "'!B" &amp; ROW(B193)))</f>
        <v>#VALUE!</v>
      </c>
      <c r="J193" s="9" t="e">
        <f t="shared" ca="1" si="14"/>
        <v>#VALUE!</v>
      </c>
      <c r="K193" s="7" t="e">
        <f t="shared" ca="1" si="15"/>
        <v>#VALUE!</v>
      </c>
      <c r="L193" s="7" t="e">
        <f t="shared" ca="1" si="16"/>
        <v>#VALUE!</v>
      </c>
      <c r="M193" s="7" t="e">
        <f t="shared" ca="1" si="17"/>
        <v>#VALUE!</v>
      </c>
      <c r="N193" s="7" t="e">
        <f t="shared" ca="1" si="18"/>
        <v>#VALUE!</v>
      </c>
      <c r="O193" s="7" t="e">
        <f t="shared" ca="1" si="19"/>
        <v>#VALUE!</v>
      </c>
      <c r="P193" s="7" t="e">
        <f t="shared" ca="1" si="20"/>
        <v>#VALUE!</v>
      </c>
    </row>
    <row r="194" spans="1:16" x14ac:dyDescent="0.25">
      <c r="A194" s="19" t="str">
        <f ca="1">IF(OR(INDIRECT("'" &amp; Master!$F$8 &amp; Master!$F$6 &amp; "'!A" &amp; ROW(A194))="", INDIRECT("'" &amp; Master!$F$8 &amp; Master!$F$6 &amp; "'!A" &amp; ROW(A194))=0), "", INDIRECT("'" &amp; Master!$F$8 &amp; Master!$F$6 &amp; "'!A" &amp; ROW(A194)))</f>
        <v/>
      </c>
      <c r="B194" s="4" t="e">
        <f ca="1">SplineInterp(INDIRECT("A" &amp; ROW()),INDIRECT("'" &amp;Master!$F$10&amp; "'!$A$2:$A$50"),INDIRECT("'" &amp;Master!$F$10&amp; "'!$B$2:$B$50"))</f>
        <v>#VALUE!</v>
      </c>
      <c r="C194" s="4" t="e">
        <f ca="1">SplineInterp(A194,INDIRECT("'" &amp;Master!$F$10&amp; "'!$A$2:$A$50"),INDIRECT("'" &amp;Master!$F$10&amp; "'!$C$2:$C$50"))</f>
        <v>#VALUE!</v>
      </c>
      <c r="D194" s="4" t="e">
        <f ca="1">SplineInterp(A194,INDIRECT("'" &amp;Master!$F$10&amp; "'!$A$2:$A$50"),INDIRECT("'" &amp;Master!$F$10&amp; "'!$D$2:$D$50"))</f>
        <v>#VALUE!</v>
      </c>
      <c r="E194" s="4" t="e">
        <f ca="1">SplineInterp(A194,INDIRECT("'" &amp;Master!$F$10&amp; "'!$A$2:$A$50"),INDIRECT("'" &amp;Master!$F$10&amp; "'!$E$2:$E$50"))</f>
        <v>#VALUE!</v>
      </c>
      <c r="F194" s="4" t="e">
        <f ca="1">SplineInterp(A194,INDIRECT("'" &amp;Master!$F$10&amp; "'!$A$2:$A$50"),INDIRECT("'" &amp;Master!$F$10&amp; "'!$F$2:$F$50"))</f>
        <v>#VALUE!</v>
      </c>
      <c r="G194" s="4" t="e">
        <f ca="1">SplineInterp(A194,INDIRECT("'" &amp;Master!$F$10&amp; "'!$A$2:$A$50"),INDIRECT("'" &amp;Master!$F$10&amp; "'!$G$2:$G$50"))</f>
        <v>#VALUE!</v>
      </c>
      <c r="H194" s="4" t="e">
        <f ca="1">SplineInterp(A194,INDIRECT("'" &amp;Master!$F$10&amp; "'!$A$2:$A$50"),INDIRECT("'" &amp;Master!$F$10&amp; "'!$H$2:$H$50"))</f>
        <v>#VALUE!</v>
      </c>
      <c r="I194" s="4" t="e">
        <f ca="1">IF(OR(INDIRECT("'" &amp; Master!$F$8 &amp; Master!$F$6 &amp; "'!B" &amp; ROW(B194))="", INDIRECT("'" &amp; Master!$F$8 &amp; Master!$F$6 &amp; "'!B" &amp; ROW(B194))=0), "", INDIRECT("'" &amp; Master!$F$8 &amp; Master!$F$6 &amp; "'!B" &amp; ROW(B194)))</f>
        <v>#VALUE!</v>
      </c>
      <c r="J194" s="9" t="e">
        <f t="shared" ca="1" si="14"/>
        <v>#VALUE!</v>
      </c>
      <c r="K194" s="7" t="e">
        <f t="shared" ca="1" si="15"/>
        <v>#VALUE!</v>
      </c>
      <c r="L194" s="7" t="e">
        <f t="shared" ca="1" si="16"/>
        <v>#VALUE!</v>
      </c>
      <c r="M194" s="7" t="e">
        <f t="shared" ca="1" si="17"/>
        <v>#VALUE!</v>
      </c>
      <c r="N194" s="7" t="e">
        <f t="shared" ca="1" si="18"/>
        <v>#VALUE!</v>
      </c>
      <c r="O194" s="7" t="e">
        <f t="shared" ca="1" si="19"/>
        <v>#VALUE!</v>
      </c>
      <c r="P194" s="7" t="e">
        <f t="shared" ca="1" si="20"/>
        <v>#VALUE!</v>
      </c>
    </row>
    <row r="195" spans="1:16" x14ac:dyDescent="0.25">
      <c r="A195" s="19" t="str">
        <f ca="1">IF(OR(INDIRECT("'" &amp; Master!$F$8 &amp; Master!$F$6 &amp; "'!A" &amp; ROW(A195))="", INDIRECT("'" &amp; Master!$F$8 &amp; Master!$F$6 &amp; "'!A" &amp; ROW(A195))=0), "", INDIRECT("'" &amp; Master!$F$8 &amp; Master!$F$6 &amp; "'!A" &amp; ROW(A195)))</f>
        <v/>
      </c>
      <c r="B195" s="4" t="e">
        <f ca="1">SplineInterp(INDIRECT("A" &amp; ROW()),INDIRECT("'" &amp;Master!$F$10&amp; "'!$A$2:$A$50"),INDIRECT("'" &amp;Master!$F$10&amp; "'!$B$2:$B$50"))</f>
        <v>#VALUE!</v>
      </c>
      <c r="C195" s="4" t="e">
        <f ca="1">SplineInterp(A195,INDIRECT("'" &amp;Master!$F$10&amp; "'!$A$2:$A$50"),INDIRECT("'" &amp;Master!$F$10&amp; "'!$C$2:$C$50"))</f>
        <v>#VALUE!</v>
      </c>
      <c r="D195" s="4" t="e">
        <f ca="1">SplineInterp(A195,INDIRECT("'" &amp;Master!$F$10&amp; "'!$A$2:$A$50"),INDIRECT("'" &amp;Master!$F$10&amp; "'!$D$2:$D$50"))</f>
        <v>#VALUE!</v>
      </c>
      <c r="E195" s="4" t="e">
        <f ca="1">SplineInterp(A195,INDIRECT("'" &amp;Master!$F$10&amp; "'!$A$2:$A$50"),INDIRECT("'" &amp;Master!$F$10&amp; "'!$E$2:$E$50"))</f>
        <v>#VALUE!</v>
      </c>
      <c r="F195" s="4" t="e">
        <f ca="1">SplineInterp(A195,INDIRECT("'" &amp;Master!$F$10&amp; "'!$A$2:$A$50"),INDIRECT("'" &amp;Master!$F$10&amp; "'!$F$2:$F$50"))</f>
        <v>#VALUE!</v>
      </c>
      <c r="G195" s="4" t="e">
        <f ca="1">SplineInterp(A195,INDIRECT("'" &amp;Master!$F$10&amp; "'!$A$2:$A$50"),INDIRECT("'" &amp;Master!$F$10&amp; "'!$G$2:$G$50"))</f>
        <v>#VALUE!</v>
      </c>
      <c r="H195" s="4" t="e">
        <f ca="1">SplineInterp(A195,INDIRECT("'" &amp;Master!$F$10&amp; "'!$A$2:$A$50"),INDIRECT("'" &amp;Master!$F$10&amp; "'!$H$2:$H$50"))</f>
        <v>#VALUE!</v>
      </c>
      <c r="I195" s="4" t="e">
        <f ca="1">IF(OR(INDIRECT("'" &amp; Master!$F$8 &amp; Master!$F$6 &amp; "'!B" &amp; ROW(B195))="", INDIRECT("'" &amp; Master!$F$8 &amp; Master!$F$6 &amp; "'!B" &amp; ROW(B195))=0), "", INDIRECT("'" &amp; Master!$F$8 &amp; Master!$F$6 &amp; "'!B" &amp; ROW(B195)))</f>
        <v>#VALUE!</v>
      </c>
      <c r="J195" s="9" t="e">
        <f t="shared" ref="J195:J258" ca="1" si="21">B195*I195</f>
        <v>#VALUE!</v>
      </c>
      <c r="K195" s="7" t="e">
        <f t="shared" ref="K195:K258" ca="1" si="22">C195*I195</f>
        <v>#VALUE!</v>
      </c>
      <c r="L195" s="7" t="e">
        <f t="shared" ref="L195:L258" ca="1" si="23">D195*I195</f>
        <v>#VALUE!</v>
      </c>
      <c r="M195" s="7" t="e">
        <f t="shared" ref="M195:M258" ca="1" si="24">E195*I195</f>
        <v>#VALUE!</v>
      </c>
      <c r="N195" s="7" t="e">
        <f t="shared" ref="N195:N258" ca="1" si="25">F195*I195</f>
        <v>#VALUE!</v>
      </c>
      <c r="O195" s="7" t="e">
        <f t="shared" ref="O195:O258" ca="1" si="26">G195*I195</f>
        <v>#VALUE!</v>
      </c>
      <c r="P195" s="7" t="e">
        <f t="shared" ref="P195:P258" ca="1" si="27">H195*I195</f>
        <v>#VALUE!</v>
      </c>
    </row>
    <row r="196" spans="1:16" x14ac:dyDescent="0.25">
      <c r="A196" s="19" t="str">
        <f ca="1">IF(OR(INDIRECT("'" &amp; Master!$F$8 &amp; Master!$F$6 &amp; "'!A" &amp; ROW(A196))="", INDIRECT("'" &amp; Master!$F$8 &amp; Master!$F$6 &amp; "'!A" &amp; ROW(A196))=0), "", INDIRECT("'" &amp; Master!$F$8 &amp; Master!$F$6 &amp; "'!A" &amp; ROW(A196)))</f>
        <v/>
      </c>
      <c r="B196" s="4" t="e">
        <f ca="1">SplineInterp(INDIRECT("A" &amp; ROW()),INDIRECT("'" &amp;Master!$F$10&amp; "'!$A$2:$A$50"),INDIRECT("'" &amp;Master!$F$10&amp; "'!$B$2:$B$50"))</f>
        <v>#VALUE!</v>
      </c>
      <c r="C196" s="4" t="e">
        <f ca="1">SplineInterp(A196,INDIRECT("'" &amp;Master!$F$10&amp; "'!$A$2:$A$50"),INDIRECT("'" &amp;Master!$F$10&amp; "'!$C$2:$C$50"))</f>
        <v>#VALUE!</v>
      </c>
      <c r="D196" s="4" t="e">
        <f ca="1">SplineInterp(A196,INDIRECT("'" &amp;Master!$F$10&amp; "'!$A$2:$A$50"),INDIRECT("'" &amp;Master!$F$10&amp; "'!$D$2:$D$50"))</f>
        <v>#VALUE!</v>
      </c>
      <c r="E196" s="4" t="e">
        <f ca="1">SplineInterp(A196,INDIRECT("'" &amp;Master!$F$10&amp; "'!$A$2:$A$50"),INDIRECT("'" &amp;Master!$F$10&amp; "'!$E$2:$E$50"))</f>
        <v>#VALUE!</v>
      </c>
      <c r="F196" s="4" t="e">
        <f ca="1">SplineInterp(A196,INDIRECT("'" &amp;Master!$F$10&amp; "'!$A$2:$A$50"),INDIRECT("'" &amp;Master!$F$10&amp; "'!$F$2:$F$50"))</f>
        <v>#VALUE!</v>
      </c>
      <c r="G196" s="4" t="e">
        <f ca="1">SplineInterp(A196,INDIRECT("'" &amp;Master!$F$10&amp; "'!$A$2:$A$50"),INDIRECT("'" &amp;Master!$F$10&amp; "'!$G$2:$G$50"))</f>
        <v>#VALUE!</v>
      </c>
      <c r="H196" s="4" t="e">
        <f ca="1">SplineInterp(A196,INDIRECT("'" &amp;Master!$F$10&amp; "'!$A$2:$A$50"),INDIRECT("'" &amp;Master!$F$10&amp; "'!$H$2:$H$50"))</f>
        <v>#VALUE!</v>
      </c>
      <c r="I196" s="4" t="e">
        <f ca="1">IF(OR(INDIRECT("'" &amp; Master!$F$8 &amp; Master!$F$6 &amp; "'!B" &amp; ROW(B196))="", INDIRECT("'" &amp; Master!$F$8 &amp; Master!$F$6 &amp; "'!B" &amp; ROW(B196))=0), "", INDIRECT("'" &amp; Master!$F$8 &amp; Master!$F$6 &amp; "'!B" &amp; ROW(B196)))</f>
        <v>#VALUE!</v>
      </c>
      <c r="J196" s="9" t="e">
        <f t="shared" ca="1" si="21"/>
        <v>#VALUE!</v>
      </c>
      <c r="K196" s="7" t="e">
        <f t="shared" ca="1" si="22"/>
        <v>#VALUE!</v>
      </c>
      <c r="L196" s="7" t="e">
        <f t="shared" ca="1" si="23"/>
        <v>#VALUE!</v>
      </c>
      <c r="M196" s="7" t="e">
        <f t="shared" ca="1" si="24"/>
        <v>#VALUE!</v>
      </c>
      <c r="N196" s="7" t="e">
        <f t="shared" ca="1" si="25"/>
        <v>#VALUE!</v>
      </c>
      <c r="O196" s="7" t="e">
        <f t="shared" ca="1" si="26"/>
        <v>#VALUE!</v>
      </c>
      <c r="P196" s="7" t="e">
        <f t="shared" ca="1" si="27"/>
        <v>#VALUE!</v>
      </c>
    </row>
    <row r="197" spans="1:16" x14ac:dyDescent="0.25">
      <c r="A197" s="19" t="str">
        <f ca="1">IF(OR(INDIRECT("'" &amp; Master!$F$8 &amp; Master!$F$6 &amp; "'!A" &amp; ROW(A197))="", INDIRECT("'" &amp; Master!$F$8 &amp; Master!$F$6 &amp; "'!A" &amp; ROW(A197))=0), "", INDIRECT("'" &amp; Master!$F$8 &amp; Master!$F$6 &amp; "'!A" &amp; ROW(A197)))</f>
        <v/>
      </c>
      <c r="B197" s="4" t="e">
        <f ca="1">SplineInterp(INDIRECT("A" &amp; ROW()),INDIRECT("'" &amp;Master!$F$10&amp; "'!$A$2:$A$50"),INDIRECT("'" &amp;Master!$F$10&amp; "'!$B$2:$B$50"))</f>
        <v>#VALUE!</v>
      </c>
      <c r="C197" s="4" t="e">
        <f ca="1">SplineInterp(A197,INDIRECT("'" &amp;Master!$F$10&amp; "'!$A$2:$A$50"),INDIRECT("'" &amp;Master!$F$10&amp; "'!$C$2:$C$50"))</f>
        <v>#VALUE!</v>
      </c>
      <c r="D197" s="4" t="e">
        <f ca="1">SplineInterp(A197,INDIRECT("'" &amp;Master!$F$10&amp; "'!$A$2:$A$50"),INDIRECT("'" &amp;Master!$F$10&amp; "'!$D$2:$D$50"))</f>
        <v>#VALUE!</v>
      </c>
      <c r="E197" s="4" t="e">
        <f ca="1">SplineInterp(A197,INDIRECT("'" &amp;Master!$F$10&amp; "'!$A$2:$A$50"),INDIRECT("'" &amp;Master!$F$10&amp; "'!$E$2:$E$50"))</f>
        <v>#VALUE!</v>
      </c>
      <c r="F197" s="4" t="e">
        <f ca="1">SplineInterp(A197,INDIRECT("'" &amp;Master!$F$10&amp; "'!$A$2:$A$50"),INDIRECT("'" &amp;Master!$F$10&amp; "'!$F$2:$F$50"))</f>
        <v>#VALUE!</v>
      </c>
      <c r="G197" s="4" t="e">
        <f ca="1">SplineInterp(A197,INDIRECT("'" &amp;Master!$F$10&amp; "'!$A$2:$A$50"),INDIRECT("'" &amp;Master!$F$10&amp; "'!$G$2:$G$50"))</f>
        <v>#VALUE!</v>
      </c>
      <c r="H197" s="4" t="e">
        <f ca="1">SplineInterp(A197,INDIRECT("'" &amp;Master!$F$10&amp; "'!$A$2:$A$50"),INDIRECT("'" &amp;Master!$F$10&amp; "'!$H$2:$H$50"))</f>
        <v>#VALUE!</v>
      </c>
      <c r="I197" s="4" t="e">
        <f ca="1">IF(OR(INDIRECT("'" &amp; Master!$F$8 &amp; Master!$F$6 &amp; "'!B" &amp; ROW(B197))="", INDIRECT("'" &amp; Master!$F$8 &amp; Master!$F$6 &amp; "'!B" &amp; ROW(B197))=0), "", INDIRECT("'" &amp; Master!$F$8 &amp; Master!$F$6 &amp; "'!B" &amp; ROW(B197)))</f>
        <v>#VALUE!</v>
      </c>
      <c r="J197" s="9" t="e">
        <f t="shared" ca="1" si="21"/>
        <v>#VALUE!</v>
      </c>
      <c r="K197" s="7" t="e">
        <f t="shared" ca="1" si="22"/>
        <v>#VALUE!</v>
      </c>
      <c r="L197" s="7" t="e">
        <f t="shared" ca="1" si="23"/>
        <v>#VALUE!</v>
      </c>
      <c r="M197" s="7" t="e">
        <f t="shared" ca="1" si="24"/>
        <v>#VALUE!</v>
      </c>
      <c r="N197" s="7" t="e">
        <f t="shared" ca="1" si="25"/>
        <v>#VALUE!</v>
      </c>
      <c r="O197" s="7" t="e">
        <f t="shared" ca="1" si="26"/>
        <v>#VALUE!</v>
      </c>
      <c r="P197" s="7" t="e">
        <f t="shared" ca="1" si="27"/>
        <v>#VALUE!</v>
      </c>
    </row>
    <row r="198" spans="1:16" x14ac:dyDescent="0.25">
      <c r="A198" s="19" t="str">
        <f ca="1">IF(OR(INDIRECT("'" &amp; Master!$F$8 &amp; Master!$F$6 &amp; "'!A" &amp; ROW(A198))="", INDIRECT("'" &amp; Master!$F$8 &amp; Master!$F$6 &amp; "'!A" &amp; ROW(A198))=0), "", INDIRECT("'" &amp; Master!$F$8 &amp; Master!$F$6 &amp; "'!A" &amp; ROW(A198)))</f>
        <v/>
      </c>
      <c r="B198" s="4" t="e">
        <f ca="1">SplineInterp(INDIRECT("A" &amp; ROW()),INDIRECT("'" &amp;Master!$F$10&amp; "'!$A$2:$A$50"),INDIRECT("'" &amp;Master!$F$10&amp; "'!$B$2:$B$50"))</f>
        <v>#VALUE!</v>
      </c>
      <c r="C198" s="4" t="e">
        <f ca="1">SplineInterp(A198,INDIRECT("'" &amp;Master!$F$10&amp; "'!$A$2:$A$50"),INDIRECT("'" &amp;Master!$F$10&amp; "'!$C$2:$C$50"))</f>
        <v>#VALUE!</v>
      </c>
      <c r="D198" s="4" t="e">
        <f ca="1">SplineInterp(A198,INDIRECT("'" &amp;Master!$F$10&amp; "'!$A$2:$A$50"),INDIRECT("'" &amp;Master!$F$10&amp; "'!$D$2:$D$50"))</f>
        <v>#VALUE!</v>
      </c>
      <c r="E198" s="4" t="e">
        <f ca="1">SplineInterp(A198,INDIRECT("'" &amp;Master!$F$10&amp; "'!$A$2:$A$50"),INDIRECT("'" &amp;Master!$F$10&amp; "'!$E$2:$E$50"))</f>
        <v>#VALUE!</v>
      </c>
      <c r="F198" s="4" t="e">
        <f ca="1">SplineInterp(A198,INDIRECT("'" &amp;Master!$F$10&amp; "'!$A$2:$A$50"),INDIRECT("'" &amp;Master!$F$10&amp; "'!$F$2:$F$50"))</f>
        <v>#VALUE!</v>
      </c>
      <c r="G198" s="4" t="e">
        <f ca="1">SplineInterp(A198,INDIRECT("'" &amp;Master!$F$10&amp; "'!$A$2:$A$50"),INDIRECT("'" &amp;Master!$F$10&amp; "'!$G$2:$G$50"))</f>
        <v>#VALUE!</v>
      </c>
      <c r="H198" s="4" t="e">
        <f ca="1">SplineInterp(A198,INDIRECT("'" &amp;Master!$F$10&amp; "'!$A$2:$A$50"),INDIRECT("'" &amp;Master!$F$10&amp; "'!$H$2:$H$50"))</f>
        <v>#VALUE!</v>
      </c>
      <c r="I198" s="4" t="e">
        <f ca="1">IF(OR(INDIRECT("'" &amp; Master!$F$8 &amp; Master!$F$6 &amp; "'!B" &amp; ROW(B198))="", INDIRECT("'" &amp; Master!$F$8 &amp; Master!$F$6 &amp; "'!B" &amp; ROW(B198))=0), "", INDIRECT("'" &amp; Master!$F$8 &amp; Master!$F$6 &amp; "'!B" &amp; ROW(B198)))</f>
        <v>#VALUE!</v>
      </c>
      <c r="J198" s="9" t="e">
        <f t="shared" ca="1" si="21"/>
        <v>#VALUE!</v>
      </c>
      <c r="K198" s="7" t="e">
        <f t="shared" ca="1" si="22"/>
        <v>#VALUE!</v>
      </c>
      <c r="L198" s="7" t="e">
        <f t="shared" ca="1" si="23"/>
        <v>#VALUE!</v>
      </c>
      <c r="M198" s="7" t="e">
        <f t="shared" ca="1" si="24"/>
        <v>#VALUE!</v>
      </c>
      <c r="N198" s="7" t="e">
        <f t="shared" ca="1" si="25"/>
        <v>#VALUE!</v>
      </c>
      <c r="O198" s="7" t="e">
        <f t="shared" ca="1" si="26"/>
        <v>#VALUE!</v>
      </c>
      <c r="P198" s="7" t="e">
        <f t="shared" ca="1" si="27"/>
        <v>#VALUE!</v>
      </c>
    </row>
    <row r="199" spans="1:16" x14ac:dyDescent="0.25">
      <c r="A199" s="19" t="str">
        <f ca="1">IF(OR(INDIRECT("'" &amp; Master!$F$8 &amp; Master!$F$6 &amp; "'!A" &amp; ROW(A199))="", INDIRECT("'" &amp; Master!$F$8 &amp; Master!$F$6 &amp; "'!A" &amp; ROW(A199))=0), "", INDIRECT("'" &amp; Master!$F$8 &amp; Master!$F$6 &amp; "'!A" &amp; ROW(A199)))</f>
        <v/>
      </c>
      <c r="B199" s="4" t="e">
        <f ca="1">SplineInterp(INDIRECT("A" &amp; ROW()),INDIRECT("'" &amp;Master!$F$10&amp; "'!$A$2:$A$50"),INDIRECT("'" &amp;Master!$F$10&amp; "'!$B$2:$B$50"))</f>
        <v>#VALUE!</v>
      </c>
      <c r="C199" s="4" t="e">
        <f ca="1">SplineInterp(A199,INDIRECT("'" &amp;Master!$F$10&amp; "'!$A$2:$A$50"),INDIRECT("'" &amp;Master!$F$10&amp; "'!$C$2:$C$50"))</f>
        <v>#VALUE!</v>
      </c>
      <c r="D199" s="4" t="e">
        <f ca="1">SplineInterp(A199,INDIRECT("'" &amp;Master!$F$10&amp; "'!$A$2:$A$50"),INDIRECT("'" &amp;Master!$F$10&amp; "'!$D$2:$D$50"))</f>
        <v>#VALUE!</v>
      </c>
      <c r="E199" s="4" t="e">
        <f ca="1">SplineInterp(A199,INDIRECT("'" &amp;Master!$F$10&amp; "'!$A$2:$A$50"),INDIRECT("'" &amp;Master!$F$10&amp; "'!$E$2:$E$50"))</f>
        <v>#VALUE!</v>
      </c>
      <c r="F199" s="4" t="e">
        <f ca="1">SplineInterp(A199,INDIRECT("'" &amp;Master!$F$10&amp; "'!$A$2:$A$50"),INDIRECT("'" &amp;Master!$F$10&amp; "'!$F$2:$F$50"))</f>
        <v>#VALUE!</v>
      </c>
      <c r="G199" s="4" t="e">
        <f ca="1">SplineInterp(A199,INDIRECT("'" &amp;Master!$F$10&amp; "'!$A$2:$A$50"),INDIRECT("'" &amp;Master!$F$10&amp; "'!$G$2:$G$50"))</f>
        <v>#VALUE!</v>
      </c>
      <c r="H199" s="4" t="e">
        <f ca="1">SplineInterp(A199,INDIRECT("'" &amp;Master!$F$10&amp; "'!$A$2:$A$50"),INDIRECT("'" &amp;Master!$F$10&amp; "'!$H$2:$H$50"))</f>
        <v>#VALUE!</v>
      </c>
      <c r="I199" s="4" t="e">
        <f ca="1">IF(OR(INDIRECT("'" &amp; Master!$F$8 &amp; Master!$F$6 &amp; "'!B" &amp; ROW(B199))="", INDIRECT("'" &amp; Master!$F$8 &amp; Master!$F$6 &amp; "'!B" &amp; ROW(B199))=0), "", INDIRECT("'" &amp; Master!$F$8 &amp; Master!$F$6 &amp; "'!B" &amp; ROW(B199)))</f>
        <v>#VALUE!</v>
      </c>
      <c r="J199" s="9" t="e">
        <f t="shared" ca="1" si="21"/>
        <v>#VALUE!</v>
      </c>
      <c r="K199" s="7" t="e">
        <f t="shared" ca="1" si="22"/>
        <v>#VALUE!</v>
      </c>
      <c r="L199" s="7" t="e">
        <f t="shared" ca="1" si="23"/>
        <v>#VALUE!</v>
      </c>
      <c r="M199" s="7" t="e">
        <f t="shared" ca="1" si="24"/>
        <v>#VALUE!</v>
      </c>
      <c r="N199" s="7" t="e">
        <f t="shared" ca="1" si="25"/>
        <v>#VALUE!</v>
      </c>
      <c r="O199" s="7" t="e">
        <f t="shared" ca="1" si="26"/>
        <v>#VALUE!</v>
      </c>
      <c r="P199" s="7" t="e">
        <f t="shared" ca="1" si="27"/>
        <v>#VALUE!</v>
      </c>
    </row>
    <row r="200" spans="1:16" x14ac:dyDescent="0.25">
      <c r="A200" s="19" t="str">
        <f ca="1">IF(OR(INDIRECT("'" &amp; Master!$F$8 &amp; Master!$F$6 &amp; "'!A" &amp; ROW(A200))="", INDIRECT("'" &amp; Master!$F$8 &amp; Master!$F$6 &amp; "'!A" &amp; ROW(A200))=0), "", INDIRECT("'" &amp; Master!$F$8 &amp; Master!$F$6 &amp; "'!A" &amp; ROW(A200)))</f>
        <v/>
      </c>
      <c r="B200" s="4" t="e">
        <f ca="1">SplineInterp(INDIRECT("A" &amp; ROW()),INDIRECT("'" &amp;Master!$F$10&amp; "'!$A$2:$A$50"),INDIRECT("'" &amp;Master!$F$10&amp; "'!$B$2:$B$50"))</f>
        <v>#VALUE!</v>
      </c>
      <c r="C200" s="4" t="e">
        <f ca="1">SplineInterp(A200,INDIRECT("'" &amp;Master!$F$10&amp; "'!$A$2:$A$50"),INDIRECT("'" &amp;Master!$F$10&amp; "'!$C$2:$C$50"))</f>
        <v>#VALUE!</v>
      </c>
      <c r="D200" s="4" t="e">
        <f ca="1">SplineInterp(A200,INDIRECT("'" &amp;Master!$F$10&amp; "'!$A$2:$A$50"),INDIRECT("'" &amp;Master!$F$10&amp; "'!$D$2:$D$50"))</f>
        <v>#VALUE!</v>
      </c>
      <c r="E200" s="4" t="e">
        <f ca="1">SplineInterp(A200,INDIRECT("'" &amp;Master!$F$10&amp; "'!$A$2:$A$50"),INDIRECT("'" &amp;Master!$F$10&amp; "'!$E$2:$E$50"))</f>
        <v>#VALUE!</v>
      </c>
      <c r="F200" s="4" t="e">
        <f ca="1">SplineInterp(A200,INDIRECT("'" &amp;Master!$F$10&amp; "'!$A$2:$A$50"),INDIRECT("'" &amp;Master!$F$10&amp; "'!$F$2:$F$50"))</f>
        <v>#VALUE!</v>
      </c>
      <c r="G200" s="4" t="e">
        <f ca="1">SplineInterp(A200,INDIRECT("'" &amp;Master!$F$10&amp; "'!$A$2:$A$50"),INDIRECT("'" &amp;Master!$F$10&amp; "'!$G$2:$G$50"))</f>
        <v>#VALUE!</v>
      </c>
      <c r="H200" s="4" t="e">
        <f ca="1">SplineInterp(A200,INDIRECT("'" &amp;Master!$F$10&amp; "'!$A$2:$A$50"),INDIRECT("'" &amp;Master!$F$10&amp; "'!$H$2:$H$50"))</f>
        <v>#VALUE!</v>
      </c>
      <c r="I200" s="4" t="e">
        <f ca="1">IF(OR(INDIRECT("'" &amp; Master!$F$8 &amp; Master!$F$6 &amp; "'!B" &amp; ROW(B200))="", INDIRECT("'" &amp; Master!$F$8 &amp; Master!$F$6 &amp; "'!B" &amp; ROW(B200))=0), "", INDIRECT("'" &amp; Master!$F$8 &amp; Master!$F$6 &amp; "'!B" &amp; ROW(B200)))</f>
        <v>#VALUE!</v>
      </c>
      <c r="J200" s="9" t="e">
        <f t="shared" ca="1" si="21"/>
        <v>#VALUE!</v>
      </c>
      <c r="K200" s="7" t="e">
        <f t="shared" ca="1" si="22"/>
        <v>#VALUE!</v>
      </c>
      <c r="L200" s="7" t="e">
        <f t="shared" ca="1" si="23"/>
        <v>#VALUE!</v>
      </c>
      <c r="M200" s="7" t="e">
        <f t="shared" ca="1" si="24"/>
        <v>#VALUE!</v>
      </c>
      <c r="N200" s="7" t="e">
        <f t="shared" ca="1" si="25"/>
        <v>#VALUE!</v>
      </c>
      <c r="O200" s="7" t="e">
        <f t="shared" ca="1" si="26"/>
        <v>#VALUE!</v>
      </c>
      <c r="P200" s="7" t="e">
        <f t="shared" ca="1" si="27"/>
        <v>#VALUE!</v>
      </c>
    </row>
    <row r="201" spans="1:16" x14ac:dyDescent="0.25">
      <c r="A201" s="19" t="str">
        <f ca="1">IF(OR(INDIRECT("'" &amp; Master!$F$8 &amp; Master!$F$6 &amp; "'!A" &amp; ROW(A201))="", INDIRECT("'" &amp; Master!$F$8 &amp; Master!$F$6 &amp; "'!A" &amp; ROW(A201))=0), "", INDIRECT("'" &amp; Master!$F$8 &amp; Master!$F$6 &amp; "'!A" &amp; ROW(A201)))</f>
        <v/>
      </c>
      <c r="B201" s="4" t="e">
        <f ca="1">SplineInterp(INDIRECT("A" &amp; ROW()),INDIRECT("'" &amp;Master!$F$10&amp; "'!$A$2:$A$50"),INDIRECT("'" &amp;Master!$F$10&amp; "'!$B$2:$B$50"))</f>
        <v>#VALUE!</v>
      </c>
      <c r="C201" s="4" t="e">
        <f ca="1">SplineInterp(A201,INDIRECT("'" &amp;Master!$F$10&amp; "'!$A$2:$A$50"),INDIRECT("'" &amp;Master!$F$10&amp; "'!$C$2:$C$50"))</f>
        <v>#VALUE!</v>
      </c>
      <c r="D201" s="4" t="e">
        <f ca="1">SplineInterp(A201,INDIRECT("'" &amp;Master!$F$10&amp; "'!$A$2:$A$50"),INDIRECT("'" &amp;Master!$F$10&amp; "'!$D$2:$D$50"))</f>
        <v>#VALUE!</v>
      </c>
      <c r="E201" s="4" t="e">
        <f ca="1">SplineInterp(A201,INDIRECT("'" &amp;Master!$F$10&amp; "'!$A$2:$A$50"),INDIRECT("'" &amp;Master!$F$10&amp; "'!$E$2:$E$50"))</f>
        <v>#VALUE!</v>
      </c>
      <c r="F201" s="4" t="e">
        <f ca="1">SplineInterp(A201,INDIRECT("'" &amp;Master!$F$10&amp; "'!$A$2:$A$50"),INDIRECT("'" &amp;Master!$F$10&amp; "'!$F$2:$F$50"))</f>
        <v>#VALUE!</v>
      </c>
      <c r="G201" s="4" t="e">
        <f ca="1">SplineInterp(A201,INDIRECT("'" &amp;Master!$F$10&amp; "'!$A$2:$A$50"),INDIRECT("'" &amp;Master!$F$10&amp; "'!$G$2:$G$50"))</f>
        <v>#VALUE!</v>
      </c>
      <c r="H201" s="4" t="e">
        <f ca="1">SplineInterp(A201,INDIRECT("'" &amp;Master!$F$10&amp; "'!$A$2:$A$50"),INDIRECT("'" &amp;Master!$F$10&amp; "'!$H$2:$H$50"))</f>
        <v>#VALUE!</v>
      </c>
      <c r="I201" s="4" t="e">
        <f ca="1">IF(OR(INDIRECT("'" &amp; Master!$F$8 &amp; Master!$F$6 &amp; "'!B" &amp; ROW(B201))="", INDIRECT("'" &amp; Master!$F$8 &amp; Master!$F$6 &amp; "'!B" &amp; ROW(B201))=0), "", INDIRECT("'" &amp; Master!$F$8 &amp; Master!$F$6 &amp; "'!B" &amp; ROW(B201)))</f>
        <v>#VALUE!</v>
      </c>
      <c r="J201" s="9" t="e">
        <f t="shared" ca="1" si="21"/>
        <v>#VALUE!</v>
      </c>
      <c r="K201" s="7" t="e">
        <f t="shared" ca="1" si="22"/>
        <v>#VALUE!</v>
      </c>
      <c r="L201" s="7" t="e">
        <f t="shared" ca="1" si="23"/>
        <v>#VALUE!</v>
      </c>
      <c r="M201" s="7" t="e">
        <f t="shared" ca="1" si="24"/>
        <v>#VALUE!</v>
      </c>
      <c r="N201" s="7" t="e">
        <f t="shared" ca="1" si="25"/>
        <v>#VALUE!</v>
      </c>
      <c r="O201" s="7" t="e">
        <f t="shared" ca="1" si="26"/>
        <v>#VALUE!</v>
      </c>
      <c r="P201" s="7" t="e">
        <f t="shared" ca="1" si="27"/>
        <v>#VALUE!</v>
      </c>
    </row>
    <row r="202" spans="1:16" x14ac:dyDescent="0.25">
      <c r="A202" s="19" t="str">
        <f ca="1">IF(OR(INDIRECT("'" &amp; Master!$F$8 &amp; Master!$F$6 &amp; "'!A" &amp; ROW(A202))="", INDIRECT("'" &amp; Master!$F$8 &amp; Master!$F$6 &amp; "'!A" &amp; ROW(A202))=0), "", INDIRECT("'" &amp; Master!$F$8 &amp; Master!$F$6 &amp; "'!A" &amp; ROW(A202)))</f>
        <v/>
      </c>
      <c r="B202" s="4" t="e">
        <f ca="1">SplineInterp(INDIRECT("A" &amp; ROW()),INDIRECT("'" &amp;Master!$F$10&amp; "'!$A$2:$A$50"),INDIRECT("'" &amp;Master!$F$10&amp; "'!$B$2:$B$50"))</f>
        <v>#VALUE!</v>
      </c>
      <c r="C202" s="4" t="e">
        <f ca="1">SplineInterp(A202,INDIRECT("'" &amp;Master!$F$10&amp; "'!$A$2:$A$50"),INDIRECT("'" &amp;Master!$F$10&amp; "'!$C$2:$C$50"))</f>
        <v>#VALUE!</v>
      </c>
      <c r="D202" s="4" t="e">
        <f ca="1">SplineInterp(A202,INDIRECT("'" &amp;Master!$F$10&amp; "'!$A$2:$A$50"),INDIRECT("'" &amp;Master!$F$10&amp; "'!$D$2:$D$50"))</f>
        <v>#VALUE!</v>
      </c>
      <c r="E202" s="4" t="e">
        <f ca="1">SplineInterp(A202,INDIRECT("'" &amp;Master!$F$10&amp; "'!$A$2:$A$50"),INDIRECT("'" &amp;Master!$F$10&amp; "'!$E$2:$E$50"))</f>
        <v>#VALUE!</v>
      </c>
      <c r="F202" s="4" t="e">
        <f ca="1">SplineInterp(A202,INDIRECT("'" &amp;Master!$F$10&amp; "'!$A$2:$A$50"),INDIRECT("'" &amp;Master!$F$10&amp; "'!$F$2:$F$50"))</f>
        <v>#VALUE!</v>
      </c>
      <c r="G202" s="4" t="e">
        <f ca="1">SplineInterp(A202,INDIRECT("'" &amp;Master!$F$10&amp; "'!$A$2:$A$50"),INDIRECT("'" &amp;Master!$F$10&amp; "'!$G$2:$G$50"))</f>
        <v>#VALUE!</v>
      </c>
      <c r="H202" s="4" t="e">
        <f ca="1">SplineInterp(A202,INDIRECT("'" &amp;Master!$F$10&amp; "'!$A$2:$A$50"),INDIRECT("'" &amp;Master!$F$10&amp; "'!$H$2:$H$50"))</f>
        <v>#VALUE!</v>
      </c>
      <c r="I202" s="4" t="e">
        <f ca="1">IF(OR(INDIRECT("'" &amp; Master!$F$8 &amp; Master!$F$6 &amp; "'!B" &amp; ROW(B202))="", INDIRECT("'" &amp; Master!$F$8 &amp; Master!$F$6 &amp; "'!B" &amp; ROW(B202))=0), "", INDIRECT("'" &amp; Master!$F$8 &amp; Master!$F$6 &amp; "'!B" &amp; ROW(B202)))</f>
        <v>#VALUE!</v>
      </c>
      <c r="J202" s="9" t="e">
        <f t="shared" ca="1" si="21"/>
        <v>#VALUE!</v>
      </c>
      <c r="K202" s="7" t="e">
        <f t="shared" ca="1" si="22"/>
        <v>#VALUE!</v>
      </c>
      <c r="L202" s="7" t="e">
        <f t="shared" ca="1" si="23"/>
        <v>#VALUE!</v>
      </c>
      <c r="M202" s="7" t="e">
        <f t="shared" ca="1" si="24"/>
        <v>#VALUE!</v>
      </c>
      <c r="N202" s="7" t="e">
        <f t="shared" ca="1" si="25"/>
        <v>#VALUE!</v>
      </c>
      <c r="O202" s="7" t="e">
        <f t="shared" ca="1" si="26"/>
        <v>#VALUE!</v>
      </c>
      <c r="P202" s="7" t="e">
        <f t="shared" ca="1" si="27"/>
        <v>#VALUE!</v>
      </c>
    </row>
    <row r="203" spans="1:16" x14ac:dyDescent="0.25">
      <c r="A203" s="19" t="str">
        <f ca="1">IF(OR(INDIRECT("'" &amp; Master!$F$8 &amp; Master!$F$6 &amp; "'!A" &amp; ROW(A203))="", INDIRECT("'" &amp; Master!$F$8 &amp; Master!$F$6 &amp; "'!A" &amp; ROW(A203))=0), "", INDIRECT("'" &amp; Master!$F$8 &amp; Master!$F$6 &amp; "'!A" &amp; ROW(A203)))</f>
        <v/>
      </c>
      <c r="B203" s="4" t="e">
        <f ca="1">SplineInterp(INDIRECT("A" &amp; ROW()),INDIRECT("'" &amp;Master!$F$10&amp; "'!$A$2:$A$50"),INDIRECT("'" &amp;Master!$F$10&amp; "'!$B$2:$B$50"))</f>
        <v>#VALUE!</v>
      </c>
      <c r="C203" s="4" t="e">
        <f ca="1">SplineInterp(A203,INDIRECT("'" &amp;Master!$F$10&amp; "'!$A$2:$A$50"),INDIRECT("'" &amp;Master!$F$10&amp; "'!$C$2:$C$50"))</f>
        <v>#VALUE!</v>
      </c>
      <c r="D203" s="4" t="e">
        <f ca="1">SplineInterp(A203,INDIRECT("'" &amp;Master!$F$10&amp; "'!$A$2:$A$50"),INDIRECT("'" &amp;Master!$F$10&amp; "'!$D$2:$D$50"))</f>
        <v>#VALUE!</v>
      </c>
      <c r="E203" s="4" t="e">
        <f ca="1">SplineInterp(A203,INDIRECT("'" &amp;Master!$F$10&amp; "'!$A$2:$A$50"),INDIRECT("'" &amp;Master!$F$10&amp; "'!$E$2:$E$50"))</f>
        <v>#VALUE!</v>
      </c>
      <c r="F203" s="4" t="e">
        <f ca="1">SplineInterp(A203,INDIRECT("'" &amp;Master!$F$10&amp; "'!$A$2:$A$50"),INDIRECT("'" &amp;Master!$F$10&amp; "'!$F$2:$F$50"))</f>
        <v>#VALUE!</v>
      </c>
      <c r="G203" s="4" t="e">
        <f ca="1">SplineInterp(A203,INDIRECT("'" &amp;Master!$F$10&amp; "'!$A$2:$A$50"),INDIRECT("'" &amp;Master!$F$10&amp; "'!$G$2:$G$50"))</f>
        <v>#VALUE!</v>
      </c>
      <c r="H203" s="4" t="e">
        <f ca="1">SplineInterp(A203,INDIRECT("'" &amp;Master!$F$10&amp; "'!$A$2:$A$50"),INDIRECT("'" &amp;Master!$F$10&amp; "'!$H$2:$H$50"))</f>
        <v>#VALUE!</v>
      </c>
      <c r="I203" s="4" t="e">
        <f ca="1">IF(OR(INDIRECT("'" &amp; Master!$F$8 &amp; Master!$F$6 &amp; "'!B" &amp; ROW(B203))="", INDIRECT("'" &amp; Master!$F$8 &amp; Master!$F$6 &amp; "'!B" &amp; ROW(B203))=0), "", INDIRECT("'" &amp; Master!$F$8 &amp; Master!$F$6 &amp; "'!B" &amp; ROW(B203)))</f>
        <v>#VALUE!</v>
      </c>
      <c r="J203" s="9" t="e">
        <f t="shared" ca="1" si="21"/>
        <v>#VALUE!</v>
      </c>
      <c r="K203" s="7" t="e">
        <f t="shared" ca="1" si="22"/>
        <v>#VALUE!</v>
      </c>
      <c r="L203" s="7" t="e">
        <f t="shared" ca="1" si="23"/>
        <v>#VALUE!</v>
      </c>
      <c r="M203" s="7" t="e">
        <f t="shared" ca="1" si="24"/>
        <v>#VALUE!</v>
      </c>
      <c r="N203" s="7" t="e">
        <f t="shared" ca="1" si="25"/>
        <v>#VALUE!</v>
      </c>
      <c r="O203" s="7" t="e">
        <f t="shared" ca="1" si="26"/>
        <v>#VALUE!</v>
      </c>
      <c r="P203" s="7" t="e">
        <f t="shared" ca="1" si="27"/>
        <v>#VALUE!</v>
      </c>
    </row>
    <row r="204" spans="1:16" x14ac:dyDescent="0.25">
      <c r="A204" s="19" t="str">
        <f ca="1">IF(OR(INDIRECT("'" &amp; Master!$F$8 &amp; Master!$F$6 &amp; "'!A" &amp; ROW(A204))="", INDIRECT("'" &amp; Master!$F$8 &amp; Master!$F$6 &amp; "'!A" &amp; ROW(A204))=0), "", INDIRECT("'" &amp; Master!$F$8 &amp; Master!$F$6 &amp; "'!A" &amp; ROW(A204)))</f>
        <v/>
      </c>
      <c r="B204" s="4" t="e">
        <f ca="1">SplineInterp(INDIRECT("A" &amp; ROW()),INDIRECT("'" &amp;Master!$F$10&amp; "'!$A$2:$A$50"),INDIRECT("'" &amp;Master!$F$10&amp; "'!$B$2:$B$50"))</f>
        <v>#VALUE!</v>
      </c>
      <c r="C204" s="4" t="e">
        <f ca="1">SplineInterp(A204,INDIRECT("'" &amp;Master!$F$10&amp; "'!$A$2:$A$50"),INDIRECT("'" &amp;Master!$F$10&amp; "'!$C$2:$C$50"))</f>
        <v>#VALUE!</v>
      </c>
      <c r="D204" s="4" t="e">
        <f ca="1">SplineInterp(A204,INDIRECT("'" &amp;Master!$F$10&amp; "'!$A$2:$A$50"),INDIRECT("'" &amp;Master!$F$10&amp; "'!$D$2:$D$50"))</f>
        <v>#VALUE!</v>
      </c>
      <c r="E204" s="4" t="e">
        <f ca="1">SplineInterp(A204,INDIRECT("'" &amp;Master!$F$10&amp; "'!$A$2:$A$50"),INDIRECT("'" &amp;Master!$F$10&amp; "'!$E$2:$E$50"))</f>
        <v>#VALUE!</v>
      </c>
      <c r="F204" s="4" t="e">
        <f ca="1">SplineInterp(A204,INDIRECT("'" &amp;Master!$F$10&amp; "'!$A$2:$A$50"),INDIRECT("'" &amp;Master!$F$10&amp; "'!$F$2:$F$50"))</f>
        <v>#VALUE!</v>
      </c>
      <c r="G204" s="4" t="e">
        <f ca="1">SplineInterp(A204,INDIRECT("'" &amp;Master!$F$10&amp; "'!$A$2:$A$50"),INDIRECT("'" &amp;Master!$F$10&amp; "'!$G$2:$G$50"))</f>
        <v>#VALUE!</v>
      </c>
      <c r="H204" s="4" t="e">
        <f ca="1">SplineInterp(A204,INDIRECT("'" &amp;Master!$F$10&amp; "'!$A$2:$A$50"),INDIRECT("'" &amp;Master!$F$10&amp; "'!$H$2:$H$50"))</f>
        <v>#VALUE!</v>
      </c>
      <c r="I204" s="4" t="e">
        <f ca="1">IF(OR(INDIRECT("'" &amp; Master!$F$8 &amp; Master!$F$6 &amp; "'!B" &amp; ROW(B204))="", INDIRECT("'" &amp; Master!$F$8 &amp; Master!$F$6 &amp; "'!B" &amp; ROW(B204))=0), "", INDIRECT("'" &amp; Master!$F$8 &amp; Master!$F$6 &amp; "'!B" &amp; ROW(B204)))</f>
        <v>#VALUE!</v>
      </c>
      <c r="J204" s="9" t="e">
        <f t="shared" ca="1" si="21"/>
        <v>#VALUE!</v>
      </c>
      <c r="K204" s="7" t="e">
        <f t="shared" ca="1" si="22"/>
        <v>#VALUE!</v>
      </c>
      <c r="L204" s="7" t="e">
        <f t="shared" ca="1" si="23"/>
        <v>#VALUE!</v>
      </c>
      <c r="M204" s="7" t="e">
        <f t="shared" ca="1" si="24"/>
        <v>#VALUE!</v>
      </c>
      <c r="N204" s="7" t="e">
        <f t="shared" ca="1" si="25"/>
        <v>#VALUE!</v>
      </c>
      <c r="O204" s="7" t="e">
        <f t="shared" ca="1" si="26"/>
        <v>#VALUE!</v>
      </c>
      <c r="P204" s="7" t="e">
        <f t="shared" ca="1" si="27"/>
        <v>#VALUE!</v>
      </c>
    </row>
    <row r="205" spans="1:16" x14ac:dyDescent="0.25">
      <c r="A205" s="19" t="str">
        <f ca="1">IF(OR(INDIRECT("'" &amp; Master!$F$8 &amp; Master!$F$6 &amp; "'!A" &amp; ROW(A205))="", INDIRECT("'" &amp; Master!$F$8 &amp; Master!$F$6 &amp; "'!A" &amp; ROW(A205))=0), "", INDIRECT("'" &amp; Master!$F$8 &amp; Master!$F$6 &amp; "'!A" &amp; ROW(A205)))</f>
        <v/>
      </c>
      <c r="B205" s="4" t="e">
        <f ca="1">SplineInterp(INDIRECT("A" &amp; ROW()),INDIRECT("'" &amp;Master!$F$10&amp; "'!$A$2:$A$50"),INDIRECT("'" &amp;Master!$F$10&amp; "'!$B$2:$B$50"))</f>
        <v>#VALUE!</v>
      </c>
      <c r="C205" s="4" t="e">
        <f ca="1">SplineInterp(A205,INDIRECT("'" &amp;Master!$F$10&amp; "'!$A$2:$A$50"),INDIRECT("'" &amp;Master!$F$10&amp; "'!$C$2:$C$50"))</f>
        <v>#VALUE!</v>
      </c>
      <c r="D205" s="4" t="e">
        <f ca="1">SplineInterp(A205,INDIRECT("'" &amp;Master!$F$10&amp; "'!$A$2:$A$50"),INDIRECT("'" &amp;Master!$F$10&amp; "'!$D$2:$D$50"))</f>
        <v>#VALUE!</v>
      </c>
      <c r="E205" s="4" t="e">
        <f ca="1">SplineInterp(A205,INDIRECT("'" &amp;Master!$F$10&amp; "'!$A$2:$A$50"),INDIRECT("'" &amp;Master!$F$10&amp; "'!$E$2:$E$50"))</f>
        <v>#VALUE!</v>
      </c>
      <c r="F205" s="4" t="e">
        <f ca="1">SplineInterp(A205,INDIRECT("'" &amp;Master!$F$10&amp; "'!$A$2:$A$50"),INDIRECT("'" &amp;Master!$F$10&amp; "'!$F$2:$F$50"))</f>
        <v>#VALUE!</v>
      </c>
      <c r="G205" s="4" t="e">
        <f ca="1">SplineInterp(A205,INDIRECT("'" &amp;Master!$F$10&amp; "'!$A$2:$A$50"),INDIRECT("'" &amp;Master!$F$10&amp; "'!$G$2:$G$50"))</f>
        <v>#VALUE!</v>
      </c>
      <c r="H205" s="4" t="e">
        <f ca="1">SplineInterp(A205,INDIRECT("'" &amp;Master!$F$10&amp; "'!$A$2:$A$50"),INDIRECT("'" &amp;Master!$F$10&amp; "'!$H$2:$H$50"))</f>
        <v>#VALUE!</v>
      </c>
      <c r="I205" s="4" t="e">
        <f ca="1">IF(OR(INDIRECT("'" &amp; Master!$F$8 &amp; Master!$F$6 &amp; "'!B" &amp; ROW(B205))="", INDIRECT("'" &amp; Master!$F$8 &amp; Master!$F$6 &amp; "'!B" &amp; ROW(B205))=0), "", INDIRECT("'" &amp; Master!$F$8 &amp; Master!$F$6 &amp; "'!B" &amp; ROW(B205)))</f>
        <v>#VALUE!</v>
      </c>
      <c r="J205" s="9" t="e">
        <f t="shared" ca="1" si="21"/>
        <v>#VALUE!</v>
      </c>
      <c r="K205" s="7" t="e">
        <f t="shared" ca="1" si="22"/>
        <v>#VALUE!</v>
      </c>
      <c r="L205" s="7" t="e">
        <f t="shared" ca="1" si="23"/>
        <v>#VALUE!</v>
      </c>
      <c r="M205" s="7" t="e">
        <f t="shared" ca="1" si="24"/>
        <v>#VALUE!</v>
      </c>
      <c r="N205" s="7" t="e">
        <f t="shared" ca="1" si="25"/>
        <v>#VALUE!</v>
      </c>
      <c r="O205" s="7" t="e">
        <f t="shared" ca="1" si="26"/>
        <v>#VALUE!</v>
      </c>
      <c r="P205" s="7" t="e">
        <f t="shared" ca="1" si="27"/>
        <v>#VALUE!</v>
      </c>
    </row>
    <row r="206" spans="1:16" x14ac:dyDescent="0.25">
      <c r="A206" s="19" t="str">
        <f ca="1">IF(OR(INDIRECT("'" &amp; Master!$F$8 &amp; Master!$F$6 &amp; "'!A" &amp; ROW(A206))="", INDIRECT("'" &amp; Master!$F$8 &amp; Master!$F$6 &amp; "'!A" &amp; ROW(A206))=0), "", INDIRECT("'" &amp; Master!$F$8 &amp; Master!$F$6 &amp; "'!A" &amp; ROW(A206)))</f>
        <v/>
      </c>
      <c r="B206" s="4" t="e">
        <f ca="1">SplineInterp(INDIRECT("A" &amp; ROW()),INDIRECT("'" &amp;Master!$F$10&amp; "'!$A$2:$A$50"),INDIRECT("'" &amp;Master!$F$10&amp; "'!$B$2:$B$50"))</f>
        <v>#VALUE!</v>
      </c>
      <c r="C206" s="4" t="e">
        <f ca="1">SplineInterp(A206,INDIRECT("'" &amp;Master!$F$10&amp; "'!$A$2:$A$50"),INDIRECT("'" &amp;Master!$F$10&amp; "'!$C$2:$C$50"))</f>
        <v>#VALUE!</v>
      </c>
      <c r="D206" s="4" t="e">
        <f ca="1">SplineInterp(A206,INDIRECT("'" &amp;Master!$F$10&amp; "'!$A$2:$A$50"),INDIRECT("'" &amp;Master!$F$10&amp; "'!$D$2:$D$50"))</f>
        <v>#VALUE!</v>
      </c>
      <c r="E206" s="4" t="e">
        <f ca="1">SplineInterp(A206,INDIRECT("'" &amp;Master!$F$10&amp; "'!$A$2:$A$50"),INDIRECT("'" &amp;Master!$F$10&amp; "'!$E$2:$E$50"))</f>
        <v>#VALUE!</v>
      </c>
      <c r="F206" s="4" t="e">
        <f ca="1">SplineInterp(A206,INDIRECT("'" &amp;Master!$F$10&amp; "'!$A$2:$A$50"),INDIRECT("'" &amp;Master!$F$10&amp; "'!$F$2:$F$50"))</f>
        <v>#VALUE!</v>
      </c>
      <c r="G206" s="4" t="e">
        <f ca="1">SplineInterp(A206,INDIRECT("'" &amp;Master!$F$10&amp; "'!$A$2:$A$50"),INDIRECT("'" &amp;Master!$F$10&amp; "'!$G$2:$G$50"))</f>
        <v>#VALUE!</v>
      </c>
      <c r="H206" s="4" t="e">
        <f ca="1">SplineInterp(A206,INDIRECT("'" &amp;Master!$F$10&amp; "'!$A$2:$A$50"),INDIRECT("'" &amp;Master!$F$10&amp; "'!$H$2:$H$50"))</f>
        <v>#VALUE!</v>
      </c>
      <c r="I206" s="4" t="e">
        <f ca="1">IF(OR(INDIRECT("'" &amp; Master!$F$8 &amp; Master!$F$6 &amp; "'!B" &amp; ROW(B206))="", INDIRECT("'" &amp; Master!$F$8 &amp; Master!$F$6 &amp; "'!B" &amp; ROW(B206))=0), "", INDIRECT("'" &amp; Master!$F$8 &amp; Master!$F$6 &amp; "'!B" &amp; ROW(B206)))</f>
        <v>#VALUE!</v>
      </c>
      <c r="J206" s="9" t="e">
        <f t="shared" ca="1" si="21"/>
        <v>#VALUE!</v>
      </c>
      <c r="K206" s="7" t="e">
        <f t="shared" ca="1" si="22"/>
        <v>#VALUE!</v>
      </c>
      <c r="L206" s="7" t="e">
        <f t="shared" ca="1" si="23"/>
        <v>#VALUE!</v>
      </c>
      <c r="M206" s="7" t="e">
        <f t="shared" ca="1" si="24"/>
        <v>#VALUE!</v>
      </c>
      <c r="N206" s="7" t="e">
        <f t="shared" ca="1" si="25"/>
        <v>#VALUE!</v>
      </c>
      <c r="O206" s="7" t="e">
        <f t="shared" ca="1" si="26"/>
        <v>#VALUE!</v>
      </c>
      <c r="P206" s="7" t="e">
        <f t="shared" ca="1" si="27"/>
        <v>#VALUE!</v>
      </c>
    </row>
    <row r="207" spans="1:16" x14ac:dyDescent="0.25">
      <c r="A207" s="19" t="str">
        <f ca="1">IF(OR(INDIRECT("'" &amp; Master!$F$8 &amp; Master!$F$6 &amp; "'!A" &amp; ROW(A207))="", INDIRECT("'" &amp; Master!$F$8 &amp; Master!$F$6 &amp; "'!A" &amp; ROW(A207))=0), "", INDIRECT("'" &amp; Master!$F$8 &amp; Master!$F$6 &amp; "'!A" &amp; ROW(A207)))</f>
        <v/>
      </c>
      <c r="B207" s="4" t="e">
        <f ca="1">SplineInterp(INDIRECT("A" &amp; ROW()),INDIRECT("'" &amp;Master!$F$10&amp; "'!$A$2:$A$50"),INDIRECT("'" &amp;Master!$F$10&amp; "'!$B$2:$B$50"))</f>
        <v>#VALUE!</v>
      </c>
      <c r="C207" s="4" t="e">
        <f ca="1">SplineInterp(A207,INDIRECT("'" &amp;Master!$F$10&amp; "'!$A$2:$A$50"),INDIRECT("'" &amp;Master!$F$10&amp; "'!$C$2:$C$50"))</f>
        <v>#VALUE!</v>
      </c>
      <c r="D207" s="4" t="e">
        <f ca="1">SplineInterp(A207,INDIRECT("'" &amp;Master!$F$10&amp; "'!$A$2:$A$50"),INDIRECT("'" &amp;Master!$F$10&amp; "'!$D$2:$D$50"))</f>
        <v>#VALUE!</v>
      </c>
      <c r="E207" s="4" t="e">
        <f ca="1">SplineInterp(A207,INDIRECT("'" &amp;Master!$F$10&amp; "'!$A$2:$A$50"),INDIRECT("'" &amp;Master!$F$10&amp; "'!$E$2:$E$50"))</f>
        <v>#VALUE!</v>
      </c>
      <c r="F207" s="4" t="e">
        <f ca="1">SplineInterp(A207,INDIRECT("'" &amp;Master!$F$10&amp; "'!$A$2:$A$50"),INDIRECT("'" &amp;Master!$F$10&amp; "'!$F$2:$F$50"))</f>
        <v>#VALUE!</v>
      </c>
      <c r="G207" s="4" t="e">
        <f ca="1">SplineInterp(A207,INDIRECT("'" &amp;Master!$F$10&amp; "'!$A$2:$A$50"),INDIRECT("'" &amp;Master!$F$10&amp; "'!$G$2:$G$50"))</f>
        <v>#VALUE!</v>
      </c>
      <c r="H207" s="4" t="e">
        <f ca="1">SplineInterp(A207,INDIRECT("'" &amp;Master!$F$10&amp; "'!$A$2:$A$50"),INDIRECT("'" &amp;Master!$F$10&amp; "'!$H$2:$H$50"))</f>
        <v>#VALUE!</v>
      </c>
      <c r="I207" s="4" t="e">
        <f ca="1">IF(OR(INDIRECT("'" &amp; Master!$F$8 &amp; Master!$F$6 &amp; "'!B" &amp; ROW(B207))="", INDIRECT("'" &amp; Master!$F$8 &amp; Master!$F$6 &amp; "'!B" &amp; ROW(B207))=0), "", INDIRECT("'" &amp; Master!$F$8 &amp; Master!$F$6 &amp; "'!B" &amp; ROW(B207)))</f>
        <v>#VALUE!</v>
      </c>
      <c r="J207" s="9" t="e">
        <f t="shared" ca="1" si="21"/>
        <v>#VALUE!</v>
      </c>
      <c r="K207" s="7" t="e">
        <f t="shared" ca="1" si="22"/>
        <v>#VALUE!</v>
      </c>
      <c r="L207" s="7" t="e">
        <f t="shared" ca="1" si="23"/>
        <v>#VALUE!</v>
      </c>
      <c r="M207" s="7" t="e">
        <f t="shared" ca="1" si="24"/>
        <v>#VALUE!</v>
      </c>
      <c r="N207" s="7" t="e">
        <f t="shared" ca="1" si="25"/>
        <v>#VALUE!</v>
      </c>
      <c r="O207" s="7" t="e">
        <f t="shared" ca="1" si="26"/>
        <v>#VALUE!</v>
      </c>
      <c r="P207" s="7" t="e">
        <f t="shared" ca="1" si="27"/>
        <v>#VALUE!</v>
      </c>
    </row>
    <row r="208" spans="1:16" x14ac:dyDescent="0.25">
      <c r="A208" s="19" t="str">
        <f ca="1">IF(OR(INDIRECT("'" &amp; Master!$F$8 &amp; Master!$F$6 &amp; "'!A" &amp; ROW(A208))="", INDIRECT("'" &amp; Master!$F$8 &amp; Master!$F$6 &amp; "'!A" &amp; ROW(A208))=0), "", INDIRECT("'" &amp; Master!$F$8 &amp; Master!$F$6 &amp; "'!A" &amp; ROW(A208)))</f>
        <v/>
      </c>
      <c r="B208" s="4" t="e">
        <f ca="1">SplineInterp(INDIRECT("A" &amp; ROW()),INDIRECT("'" &amp;Master!$F$10&amp; "'!$A$2:$A$50"),INDIRECT("'" &amp;Master!$F$10&amp; "'!$B$2:$B$50"))</f>
        <v>#VALUE!</v>
      </c>
      <c r="C208" s="4" t="e">
        <f ca="1">SplineInterp(A208,INDIRECT("'" &amp;Master!$F$10&amp; "'!$A$2:$A$50"),INDIRECT("'" &amp;Master!$F$10&amp; "'!$C$2:$C$50"))</f>
        <v>#VALUE!</v>
      </c>
      <c r="D208" s="4" t="e">
        <f ca="1">SplineInterp(A208,INDIRECT("'" &amp;Master!$F$10&amp; "'!$A$2:$A$50"),INDIRECT("'" &amp;Master!$F$10&amp; "'!$D$2:$D$50"))</f>
        <v>#VALUE!</v>
      </c>
      <c r="E208" s="4" t="e">
        <f ca="1">SplineInterp(A208,INDIRECT("'" &amp;Master!$F$10&amp; "'!$A$2:$A$50"),INDIRECT("'" &amp;Master!$F$10&amp; "'!$E$2:$E$50"))</f>
        <v>#VALUE!</v>
      </c>
      <c r="F208" s="4" t="e">
        <f ca="1">SplineInterp(A208,INDIRECT("'" &amp;Master!$F$10&amp; "'!$A$2:$A$50"),INDIRECT("'" &amp;Master!$F$10&amp; "'!$F$2:$F$50"))</f>
        <v>#VALUE!</v>
      </c>
      <c r="G208" s="4" t="e">
        <f ca="1">SplineInterp(A208,INDIRECT("'" &amp;Master!$F$10&amp; "'!$A$2:$A$50"),INDIRECT("'" &amp;Master!$F$10&amp; "'!$G$2:$G$50"))</f>
        <v>#VALUE!</v>
      </c>
      <c r="H208" s="4" t="e">
        <f ca="1">SplineInterp(A208,INDIRECT("'" &amp;Master!$F$10&amp; "'!$A$2:$A$50"),INDIRECT("'" &amp;Master!$F$10&amp; "'!$H$2:$H$50"))</f>
        <v>#VALUE!</v>
      </c>
      <c r="I208" s="4" t="e">
        <f ca="1">IF(OR(INDIRECT("'" &amp; Master!$F$8 &amp; Master!$F$6 &amp; "'!B" &amp; ROW(B208))="", INDIRECT("'" &amp; Master!$F$8 &amp; Master!$F$6 &amp; "'!B" &amp; ROW(B208))=0), "", INDIRECT("'" &amp; Master!$F$8 &amp; Master!$F$6 &amp; "'!B" &amp; ROW(B208)))</f>
        <v>#VALUE!</v>
      </c>
      <c r="J208" s="9" t="e">
        <f t="shared" ca="1" si="21"/>
        <v>#VALUE!</v>
      </c>
      <c r="K208" s="7" t="e">
        <f t="shared" ca="1" si="22"/>
        <v>#VALUE!</v>
      </c>
      <c r="L208" s="7" t="e">
        <f t="shared" ca="1" si="23"/>
        <v>#VALUE!</v>
      </c>
      <c r="M208" s="7" t="e">
        <f t="shared" ca="1" si="24"/>
        <v>#VALUE!</v>
      </c>
      <c r="N208" s="7" t="e">
        <f t="shared" ca="1" si="25"/>
        <v>#VALUE!</v>
      </c>
      <c r="O208" s="7" t="e">
        <f t="shared" ca="1" si="26"/>
        <v>#VALUE!</v>
      </c>
      <c r="P208" s="7" t="e">
        <f t="shared" ca="1" si="27"/>
        <v>#VALUE!</v>
      </c>
    </row>
    <row r="209" spans="1:16" x14ac:dyDescent="0.25">
      <c r="A209" s="19" t="str">
        <f ca="1">IF(OR(INDIRECT("'" &amp; Master!$F$8 &amp; Master!$F$6 &amp; "'!A" &amp; ROW(A209))="", INDIRECT("'" &amp; Master!$F$8 &amp; Master!$F$6 &amp; "'!A" &amp; ROW(A209))=0), "", INDIRECT("'" &amp; Master!$F$8 &amp; Master!$F$6 &amp; "'!A" &amp; ROW(A209)))</f>
        <v/>
      </c>
      <c r="B209" s="4" t="e">
        <f ca="1">SplineInterp(INDIRECT("A" &amp; ROW()),INDIRECT("'" &amp;Master!$F$10&amp; "'!$A$2:$A$50"),INDIRECT("'" &amp;Master!$F$10&amp; "'!$B$2:$B$50"))</f>
        <v>#VALUE!</v>
      </c>
      <c r="C209" s="4" t="e">
        <f ca="1">SplineInterp(A209,INDIRECT("'" &amp;Master!$F$10&amp; "'!$A$2:$A$50"),INDIRECT("'" &amp;Master!$F$10&amp; "'!$C$2:$C$50"))</f>
        <v>#VALUE!</v>
      </c>
      <c r="D209" s="4" t="e">
        <f ca="1">SplineInterp(A209,INDIRECT("'" &amp;Master!$F$10&amp; "'!$A$2:$A$50"),INDIRECT("'" &amp;Master!$F$10&amp; "'!$D$2:$D$50"))</f>
        <v>#VALUE!</v>
      </c>
      <c r="E209" s="4" t="e">
        <f ca="1">SplineInterp(A209,INDIRECT("'" &amp;Master!$F$10&amp; "'!$A$2:$A$50"),INDIRECT("'" &amp;Master!$F$10&amp; "'!$E$2:$E$50"))</f>
        <v>#VALUE!</v>
      </c>
      <c r="F209" s="4" t="e">
        <f ca="1">SplineInterp(A209,INDIRECT("'" &amp;Master!$F$10&amp; "'!$A$2:$A$50"),INDIRECT("'" &amp;Master!$F$10&amp; "'!$F$2:$F$50"))</f>
        <v>#VALUE!</v>
      </c>
      <c r="G209" s="4" t="e">
        <f ca="1">SplineInterp(A209,INDIRECT("'" &amp;Master!$F$10&amp; "'!$A$2:$A$50"),INDIRECT("'" &amp;Master!$F$10&amp; "'!$G$2:$G$50"))</f>
        <v>#VALUE!</v>
      </c>
      <c r="H209" s="4" t="e">
        <f ca="1">SplineInterp(A209,INDIRECT("'" &amp;Master!$F$10&amp; "'!$A$2:$A$50"),INDIRECT("'" &amp;Master!$F$10&amp; "'!$H$2:$H$50"))</f>
        <v>#VALUE!</v>
      </c>
      <c r="I209" s="4" t="e">
        <f ca="1">IF(OR(INDIRECT("'" &amp; Master!$F$8 &amp; Master!$F$6 &amp; "'!B" &amp; ROW(B209))="", INDIRECT("'" &amp; Master!$F$8 &amp; Master!$F$6 &amp; "'!B" &amp; ROW(B209))=0), "", INDIRECT("'" &amp; Master!$F$8 &amp; Master!$F$6 &amp; "'!B" &amp; ROW(B209)))</f>
        <v>#VALUE!</v>
      </c>
      <c r="J209" s="9" t="e">
        <f t="shared" ca="1" si="21"/>
        <v>#VALUE!</v>
      </c>
      <c r="K209" s="7" t="e">
        <f t="shared" ca="1" si="22"/>
        <v>#VALUE!</v>
      </c>
      <c r="L209" s="7" t="e">
        <f t="shared" ca="1" si="23"/>
        <v>#VALUE!</v>
      </c>
      <c r="M209" s="7" t="e">
        <f t="shared" ca="1" si="24"/>
        <v>#VALUE!</v>
      </c>
      <c r="N209" s="7" t="e">
        <f t="shared" ca="1" si="25"/>
        <v>#VALUE!</v>
      </c>
      <c r="O209" s="7" t="e">
        <f t="shared" ca="1" si="26"/>
        <v>#VALUE!</v>
      </c>
      <c r="P209" s="7" t="e">
        <f t="shared" ca="1" si="27"/>
        <v>#VALUE!</v>
      </c>
    </row>
    <row r="210" spans="1:16" x14ac:dyDescent="0.25">
      <c r="A210" s="19" t="str">
        <f ca="1">IF(OR(INDIRECT("'" &amp; Master!$F$8 &amp; Master!$F$6 &amp; "'!A" &amp; ROW(A210))="", INDIRECT("'" &amp; Master!$F$8 &amp; Master!$F$6 &amp; "'!A" &amp; ROW(A210))=0), "", INDIRECT("'" &amp; Master!$F$8 &amp; Master!$F$6 &amp; "'!A" &amp; ROW(A210)))</f>
        <v/>
      </c>
      <c r="B210" s="4" t="e">
        <f ca="1">SplineInterp(INDIRECT("A" &amp; ROW()),INDIRECT("'" &amp;Master!$F$10&amp; "'!$A$2:$A$50"),INDIRECT("'" &amp;Master!$F$10&amp; "'!$B$2:$B$50"))</f>
        <v>#VALUE!</v>
      </c>
      <c r="C210" s="4" t="e">
        <f ca="1">SplineInterp(A210,INDIRECT("'" &amp;Master!$F$10&amp; "'!$A$2:$A$50"),INDIRECT("'" &amp;Master!$F$10&amp; "'!$C$2:$C$50"))</f>
        <v>#VALUE!</v>
      </c>
      <c r="D210" s="4" t="e">
        <f ca="1">SplineInterp(A210,INDIRECT("'" &amp;Master!$F$10&amp; "'!$A$2:$A$50"),INDIRECT("'" &amp;Master!$F$10&amp; "'!$D$2:$D$50"))</f>
        <v>#VALUE!</v>
      </c>
      <c r="E210" s="4" t="e">
        <f ca="1">SplineInterp(A210,INDIRECT("'" &amp;Master!$F$10&amp; "'!$A$2:$A$50"),INDIRECT("'" &amp;Master!$F$10&amp; "'!$E$2:$E$50"))</f>
        <v>#VALUE!</v>
      </c>
      <c r="F210" s="4" t="e">
        <f ca="1">SplineInterp(A210,INDIRECT("'" &amp;Master!$F$10&amp; "'!$A$2:$A$50"),INDIRECT("'" &amp;Master!$F$10&amp; "'!$F$2:$F$50"))</f>
        <v>#VALUE!</v>
      </c>
      <c r="G210" s="4" t="e">
        <f ca="1">SplineInterp(A210,INDIRECT("'" &amp;Master!$F$10&amp; "'!$A$2:$A$50"),INDIRECT("'" &amp;Master!$F$10&amp; "'!$G$2:$G$50"))</f>
        <v>#VALUE!</v>
      </c>
      <c r="H210" s="4" t="e">
        <f ca="1">SplineInterp(A210,INDIRECT("'" &amp;Master!$F$10&amp; "'!$A$2:$A$50"),INDIRECT("'" &amp;Master!$F$10&amp; "'!$H$2:$H$50"))</f>
        <v>#VALUE!</v>
      </c>
      <c r="I210" s="4" t="e">
        <f ca="1">IF(OR(INDIRECT("'" &amp; Master!$F$8 &amp; Master!$F$6 &amp; "'!B" &amp; ROW(B210))="", INDIRECT("'" &amp; Master!$F$8 &amp; Master!$F$6 &amp; "'!B" &amp; ROW(B210))=0), "", INDIRECT("'" &amp; Master!$F$8 &amp; Master!$F$6 &amp; "'!B" &amp; ROW(B210)))</f>
        <v>#VALUE!</v>
      </c>
      <c r="J210" s="9" t="e">
        <f t="shared" ca="1" si="21"/>
        <v>#VALUE!</v>
      </c>
      <c r="K210" s="7" t="e">
        <f t="shared" ca="1" si="22"/>
        <v>#VALUE!</v>
      </c>
      <c r="L210" s="7" t="e">
        <f t="shared" ca="1" si="23"/>
        <v>#VALUE!</v>
      </c>
      <c r="M210" s="7" t="e">
        <f t="shared" ca="1" si="24"/>
        <v>#VALUE!</v>
      </c>
      <c r="N210" s="7" t="e">
        <f t="shared" ca="1" si="25"/>
        <v>#VALUE!</v>
      </c>
      <c r="O210" s="7" t="e">
        <f t="shared" ca="1" si="26"/>
        <v>#VALUE!</v>
      </c>
      <c r="P210" s="7" t="e">
        <f t="shared" ca="1" si="27"/>
        <v>#VALUE!</v>
      </c>
    </row>
    <row r="211" spans="1:16" x14ac:dyDescent="0.25">
      <c r="A211" s="19" t="str">
        <f ca="1">IF(OR(INDIRECT("'" &amp; Master!$F$8 &amp; Master!$F$6 &amp; "'!A" &amp; ROW(A211))="", INDIRECT("'" &amp; Master!$F$8 &amp; Master!$F$6 &amp; "'!A" &amp; ROW(A211))=0), "", INDIRECT("'" &amp; Master!$F$8 &amp; Master!$F$6 &amp; "'!A" &amp; ROW(A211)))</f>
        <v/>
      </c>
      <c r="B211" s="4" t="e">
        <f ca="1">SplineInterp(INDIRECT("A" &amp; ROW()),INDIRECT("'" &amp;Master!$F$10&amp; "'!$A$2:$A$50"),INDIRECT("'" &amp;Master!$F$10&amp; "'!$B$2:$B$50"))</f>
        <v>#VALUE!</v>
      </c>
      <c r="C211" s="4" t="e">
        <f ca="1">SplineInterp(A211,INDIRECT("'" &amp;Master!$F$10&amp; "'!$A$2:$A$50"),INDIRECT("'" &amp;Master!$F$10&amp; "'!$C$2:$C$50"))</f>
        <v>#VALUE!</v>
      </c>
      <c r="D211" s="4" t="e">
        <f ca="1">SplineInterp(A211,INDIRECT("'" &amp;Master!$F$10&amp; "'!$A$2:$A$50"),INDIRECT("'" &amp;Master!$F$10&amp; "'!$D$2:$D$50"))</f>
        <v>#VALUE!</v>
      </c>
      <c r="E211" s="4" t="e">
        <f ca="1">SplineInterp(A211,INDIRECT("'" &amp;Master!$F$10&amp; "'!$A$2:$A$50"),INDIRECT("'" &amp;Master!$F$10&amp; "'!$E$2:$E$50"))</f>
        <v>#VALUE!</v>
      </c>
      <c r="F211" s="4" t="e">
        <f ca="1">SplineInterp(A211,INDIRECT("'" &amp;Master!$F$10&amp; "'!$A$2:$A$50"),INDIRECT("'" &amp;Master!$F$10&amp; "'!$F$2:$F$50"))</f>
        <v>#VALUE!</v>
      </c>
      <c r="G211" s="4" t="e">
        <f ca="1">SplineInterp(A211,INDIRECT("'" &amp;Master!$F$10&amp; "'!$A$2:$A$50"),INDIRECT("'" &amp;Master!$F$10&amp; "'!$G$2:$G$50"))</f>
        <v>#VALUE!</v>
      </c>
      <c r="H211" s="4" t="e">
        <f ca="1">SplineInterp(A211,INDIRECT("'" &amp;Master!$F$10&amp; "'!$A$2:$A$50"),INDIRECT("'" &amp;Master!$F$10&amp; "'!$H$2:$H$50"))</f>
        <v>#VALUE!</v>
      </c>
      <c r="I211" s="4" t="e">
        <f ca="1">IF(OR(INDIRECT("'" &amp; Master!$F$8 &amp; Master!$F$6 &amp; "'!B" &amp; ROW(B211))="", INDIRECT("'" &amp; Master!$F$8 &amp; Master!$F$6 &amp; "'!B" &amp; ROW(B211))=0), "", INDIRECT("'" &amp; Master!$F$8 &amp; Master!$F$6 &amp; "'!B" &amp; ROW(B211)))</f>
        <v>#VALUE!</v>
      </c>
      <c r="J211" s="9" t="e">
        <f t="shared" ca="1" si="21"/>
        <v>#VALUE!</v>
      </c>
      <c r="K211" s="7" t="e">
        <f t="shared" ca="1" si="22"/>
        <v>#VALUE!</v>
      </c>
      <c r="L211" s="7" t="e">
        <f t="shared" ca="1" si="23"/>
        <v>#VALUE!</v>
      </c>
      <c r="M211" s="7" t="e">
        <f t="shared" ca="1" si="24"/>
        <v>#VALUE!</v>
      </c>
      <c r="N211" s="7" t="e">
        <f t="shared" ca="1" si="25"/>
        <v>#VALUE!</v>
      </c>
      <c r="O211" s="7" t="e">
        <f t="shared" ca="1" si="26"/>
        <v>#VALUE!</v>
      </c>
      <c r="P211" s="7" t="e">
        <f t="shared" ca="1" si="27"/>
        <v>#VALUE!</v>
      </c>
    </row>
    <row r="212" spans="1:16" x14ac:dyDescent="0.25">
      <c r="A212" s="19" t="str">
        <f ca="1">IF(OR(INDIRECT("'" &amp; Master!$F$8 &amp; Master!$F$6 &amp; "'!A" &amp; ROW(A212))="", INDIRECT("'" &amp; Master!$F$8 &amp; Master!$F$6 &amp; "'!A" &amp; ROW(A212))=0), "", INDIRECT("'" &amp; Master!$F$8 &amp; Master!$F$6 &amp; "'!A" &amp; ROW(A212)))</f>
        <v/>
      </c>
      <c r="B212" s="4" t="e">
        <f ca="1">SplineInterp(INDIRECT("A" &amp; ROW()),INDIRECT("'" &amp;Master!$F$10&amp; "'!$A$2:$A$50"),INDIRECT("'" &amp;Master!$F$10&amp; "'!$B$2:$B$50"))</f>
        <v>#VALUE!</v>
      </c>
      <c r="C212" s="4" t="e">
        <f ca="1">SplineInterp(A212,INDIRECT("'" &amp;Master!$F$10&amp; "'!$A$2:$A$50"),INDIRECT("'" &amp;Master!$F$10&amp; "'!$C$2:$C$50"))</f>
        <v>#VALUE!</v>
      </c>
      <c r="D212" s="4" t="e">
        <f ca="1">SplineInterp(A212,INDIRECT("'" &amp;Master!$F$10&amp; "'!$A$2:$A$50"),INDIRECT("'" &amp;Master!$F$10&amp; "'!$D$2:$D$50"))</f>
        <v>#VALUE!</v>
      </c>
      <c r="E212" s="4" t="e">
        <f ca="1">SplineInterp(A212,INDIRECT("'" &amp;Master!$F$10&amp; "'!$A$2:$A$50"),INDIRECT("'" &amp;Master!$F$10&amp; "'!$E$2:$E$50"))</f>
        <v>#VALUE!</v>
      </c>
      <c r="F212" s="4" t="e">
        <f ca="1">SplineInterp(A212,INDIRECT("'" &amp;Master!$F$10&amp; "'!$A$2:$A$50"),INDIRECT("'" &amp;Master!$F$10&amp; "'!$F$2:$F$50"))</f>
        <v>#VALUE!</v>
      </c>
      <c r="G212" s="4" t="e">
        <f ca="1">SplineInterp(A212,INDIRECT("'" &amp;Master!$F$10&amp; "'!$A$2:$A$50"),INDIRECT("'" &amp;Master!$F$10&amp; "'!$G$2:$G$50"))</f>
        <v>#VALUE!</v>
      </c>
      <c r="H212" s="4" t="e">
        <f ca="1">SplineInterp(A212,INDIRECT("'" &amp;Master!$F$10&amp; "'!$A$2:$A$50"),INDIRECT("'" &amp;Master!$F$10&amp; "'!$H$2:$H$50"))</f>
        <v>#VALUE!</v>
      </c>
      <c r="I212" s="4" t="e">
        <f ca="1">IF(OR(INDIRECT("'" &amp; Master!$F$8 &amp; Master!$F$6 &amp; "'!B" &amp; ROW(B212))="", INDIRECT("'" &amp; Master!$F$8 &amp; Master!$F$6 &amp; "'!B" &amp; ROW(B212))=0), "", INDIRECT("'" &amp; Master!$F$8 &amp; Master!$F$6 &amp; "'!B" &amp; ROW(B212)))</f>
        <v>#VALUE!</v>
      </c>
      <c r="J212" s="9" t="e">
        <f t="shared" ca="1" si="21"/>
        <v>#VALUE!</v>
      </c>
      <c r="K212" s="7" t="e">
        <f t="shared" ca="1" si="22"/>
        <v>#VALUE!</v>
      </c>
      <c r="L212" s="7" t="e">
        <f t="shared" ca="1" si="23"/>
        <v>#VALUE!</v>
      </c>
      <c r="M212" s="7" t="e">
        <f t="shared" ca="1" si="24"/>
        <v>#VALUE!</v>
      </c>
      <c r="N212" s="7" t="e">
        <f t="shared" ca="1" si="25"/>
        <v>#VALUE!</v>
      </c>
      <c r="O212" s="7" t="e">
        <f t="shared" ca="1" si="26"/>
        <v>#VALUE!</v>
      </c>
      <c r="P212" s="7" t="e">
        <f t="shared" ca="1" si="27"/>
        <v>#VALUE!</v>
      </c>
    </row>
    <row r="213" spans="1:16" x14ac:dyDescent="0.25">
      <c r="A213" s="19" t="str">
        <f ca="1">IF(OR(INDIRECT("'" &amp; Master!$F$8 &amp; Master!$F$6 &amp; "'!A" &amp; ROW(A213))="", INDIRECT("'" &amp; Master!$F$8 &amp; Master!$F$6 &amp; "'!A" &amp; ROW(A213))=0), "", INDIRECT("'" &amp; Master!$F$8 &amp; Master!$F$6 &amp; "'!A" &amp; ROW(A213)))</f>
        <v/>
      </c>
      <c r="B213" s="4" t="e">
        <f ca="1">SplineInterp(INDIRECT("A" &amp; ROW()),INDIRECT("'" &amp;Master!$F$10&amp; "'!$A$2:$A$50"),INDIRECT("'" &amp;Master!$F$10&amp; "'!$B$2:$B$50"))</f>
        <v>#VALUE!</v>
      </c>
      <c r="C213" s="4" t="e">
        <f ca="1">SplineInterp(A213,INDIRECT("'" &amp;Master!$F$10&amp; "'!$A$2:$A$50"),INDIRECT("'" &amp;Master!$F$10&amp; "'!$C$2:$C$50"))</f>
        <v>#VALUE!</v>
      </c>
      <c r="D213" s="4" t="e">
        <f ca="1">SplineInterp(A213,INDIRECT("'" &amp;Master!$F$10&amp; "'!$A$2:$A$50"),INDIRECT("'" &amp;Master!$F$10&amp; "'!$D$2:$D$50"))</f>
        <v>#VALUE!</v>
      </c>
      <c r="E213" s="4" t="e">
        <f ca="1">SplineInterp(A213,INDIRECT("'" &amp;Master!$F$10&amp; "'!$A$2:$A$50"),INDIRECT("'" &amp;Master!$F$10&amp; "'!$E$2:$E$50"))</f>
        <v>#VALUE!</v>
      </c>
      <c r="F213" s="4" t="e">
        <f ca="1">SplineInterp(A213,INDIRECT("'" &amp;Master!$F$10&amp; "'!$A$2:$A$50"),INDIRECT("'" &amp;Master!$F$10&amp; "'!$F$2:$F$50"))</f>
        <v>#VALUE!</v>
      </c>
      <c r="G213" s="4" t="e">
        <f ca="1">SplineInterp(A213,INDIRECT("'" &amp;Master!$F$10&amp; "'!$A$2:$A$50"),INDIRECT("'" &amp;Master!$F$10&amp; "'!$G$2:$G$50"))</f>
        <v>#VALUE!</v>
      </c>
      <c r="H213" s="4" t="e">
        <f ca="1">SplineInterp(A213,INDIRECT("'" &amp;Master!$F$10&amp; "'!$A$2:$A$50"),INDIRECT("'" &amp;Master!$F$10&amp; "'!$H$2:$H$50"))</f>
        <v>#VALUE!</v>
      </c>
      <c r="I213" s="4" t="e">
        <f ca="1">IF(OR(INDIRECT("'" &amp; Master!$F$8 &amp; Master!$F$6 &amp; "'!B" &amp; ROW(B213))="", INDIRECT("'" &amp; Master!$F$8 &amp; Master!$F$6 &amp; "'!B" &amp; ROW(B213))=0), "", INDIRECT("'" &amp; Master!$F$8 &amp; Master!$F$6 &amp; "'!B" &amp; ROW(B213)))</f>
        <v>#VALUE!</v>
      </c>
      <c r="J213" s="9" t="e">
        <f t="shared" ca="1" si="21"/>
        <v>#VALUE!</v>
      </c>
      <c r="K213" s="7" t="e">
        <f t="shared" ca="1" si="22"/>
        <v>#VALUE!</v>
      </c>
      <c r="L213" s="7" t="e">
        <f t="shared" ca="1" si="23"/>
        <v>#VALUE!</v>
      </c>
      <c r="M213" s="7" t="e">
        <f t="shared" ca="1" si="24"/>
        <v>#VALUE!</v>
      </c>
      <c r="N213" s="7" t="e">
        <f t="shared" ca="1" si="25"/>
        <v>#VALUE!</v>
      </c>
      <c r="O213" s="7" t="e">
        <f t="shared" ca="1" si="26"/>
        <v>#VALUE!</v>
      </c>
      <c r="P213" s="7" t="e">
        <f t="shared" ca="1" si="27"/>
        <v>#VALUE!</v>
      </c>
    </row>
    <row r="214" spans="1:16" x14ac:dyDescent="0.25">
      <c r="A214" s="19" t="str">
        <f ca="1">IF(OR(INDIRECT("'" &amp; Master!$F$8 &amp; Master!$F$6 &amp; "'!A" &amp; ROW(A214))="", INDIRECT("'" &amp; Master!$F$8 &amp; Master!$F$6 &amp; "'!A" &amp; ROW(A214))=0), "", INDIRECT("'" &amp; Master!$F$8 &amp; Master!$F$6 &amp; "'!A" &amp; ROW(A214)))</f>
        <v/>
      </c>
      <c r="B214" s="4" t="e">
        <f ca="1">SplineInterp(INDIRECT("A" &amp; ROW()),INDIRECT("'" &amp;Master!$F$10&amp; "'!$A$2:$A$50"),INDIRECT("'" &amp;Master!$F$10&amp; "'!$B$2:$B$50"))</f>
        <v>#VALUE!</v>
      </c>
      <c r="C214" s="4" t="e">
        <f ca="1">SplineInterp(A214,INDIRECT("'" &amp;Master!$F$10&amp; "'!$A$2:$A$50"),INDIRECT("'" &amp;Master!$F$10&amp; "'!$C$2:$C$50"))</f>
        <v>#VALUE!</v>
      </c>
      <c r="D214" s="4" t="e">
        <f ca="1">SplineInterp(A214,INDIRECT("'" &amp;Master!$F$10&amp; "'!$A$2:$A$50"),INDIRECT("'" &amp;Master!$F$10&amp; "'!$D$2:$D$50"))</f>
        <v>#VALUE!</v>
      </c>
      <c r="E214" s="4" t="e">
        <f ca="1">SplineInterp(A214,INDIRECT("'" &amp;Master!$F$10&amp; "'!$A$2:$A$50"),INDIRECT("'" &amp;Master!$F$10&amp; "'!$E$2:$E$50"))</f>
        <v>#VALUE!</v>
      </c>
      <c r="F214" s="4" t="e">
        <f ca="1">SplineInterp(A214,INDIRECT("'" &amp;Master!$F$10&amp; "'!$A$2:$A$50"),INDIRECT("'" &amp;Master!$F$10&amp; "'!$F$2:$F$50"))</f>
        <v>#VALUE!</v>
      </c>
      <c r="G214" s="4" t="e">
        <f ca="1">SplineInterp(A214,INDIRECT("'" &amp;Master!$F$10&amp; "'!$A$2:$A$50"),INDIRECT("'" &amp;Master!$F$10&amp; "'!$G$2:$G$50"))</f>
        <v>#VALUE!</v>
      </c>
      <c r="H214" s="4" t="e">
        <f ca="1">SplineInterp(A214,INDIRECT("'" &amp;Master!$F$10&amp; "'!$A$2:$A$50"),INDIRECT("'" &amp;Master!$F$10&amp; "'!$H$2:$H$50"))</f>
        <v>#VALUE!</v>
      </c>
      <c r="I214" s="4" t="e">
        <f ca="1">IF(OR(INDIRECT("'" &amp; Master!$F$8 &amp; Master!$F$6 &amp; "'!B" &amp; ROW(B214))="", INDIRECT("'" &amp; Master!$F$8 &amp; Master!$F$6 &amp; "'!B" &amp; ROW(B214))=0), "", INDIRECT("'" &amp; Master!$F$8 &amp; Master!$F$6 &amp; "'!B" &amp; ROW(B214)))</f>
        <v>#VALUE!</v>
      </c>
      <c r="J214" s="9" t="e">
        <f t="shared" ca="1" si="21"/>
        <v>#VALUE!</v>
      </c>
      <c r="K214" s="7" t="e">
        <f t="shared" ca="1" si="22"/>
        <v>#VALUE!</v>
      </c>
      <c r="L214" s="7" t="e">
        <f t="shared" ca="1" si="23"/>
        <v>#VALUE!</v>
      </c>
      <c r="M214" s="7" t="e">
        <f t="shared" ca="1" si="24"/>
        <v>#VALUE!</v>
      </c>
      <c r="N214" s="7" t="e">
        <f t="shared" ca="1" si="25"/>
        <v>#VALUE!</v>
      </c>
      <c r="O214" s="7" t="e">
        <f t="shared" ca="1" si="26"/>
        <v>#VALUE!</v>
      </c>
      <c r="P214" s="7" t="e">
        <f t="shared" ca="1" si="27"/>
        <v>#VALUE!</v>
      </c>
    </row>
    <row r="215" spans="1:16" x14ac:dyDescent="0.25">
      <c r="A215" s="19" t="str">
        <f ca="1">IF(OR(INDIRECT("'" &amp; Master!$F$8 &amp; Master!$F$6 &amp; "'!A" &amp; ROW(A215))="", INDIRECT("'" &amp; Master!$F$8 &amp; Master!$F$6 &amp; "'!A" &amp; ROW(A215))=0), "", INDIRECT("'" &amp; Master!$F$8 &amp; Master!$F$6 &amp; "'!A" &amp; ROW(A215)))</f>
        <v/>
      </c>
      <c r="B215" s="4" t="e">
        <f ca="1">SplineInterp(INDIRECT("A" &amp; ROW()),INDIRECT("'" &amp;Master!$F$10&amp; "'!$A$2:$A$50"),INDIRECT("'" &amp;Master!$F$10&amp; "'!$B$2:$B$50"))</f>
        <v>#VALUE!</v>
      </c>
      <c r="C215" s="4" t="e">
        <f ca="1">SplineInterp(A215,INDIRECT("'" &amp;Master!$F$10&amp; "'!$A$2:$A$50"),INDIRECT("'" &amp;Master!$F$10&amp; "'!$C$2:$C$50"))</f>
        <v>#VALUE!</v>
      </c>
      <c r="D215" s="4" t="e">
        <f ca="1">SplineInterp(A215,INDIRECT("'" &amp;Master!$F$10&amp; "'!$A$2:$A$50"),INDIRECT("'" &amp;Master!$F$10&amp; "'!$D$2:$D$50"))</f>
        <v>#VALUE!</v>
      </c>
      <c r="E215" s="4" t="e">
        <f ca="1">SplineInterp(A215,INDIRECT("'" &amp;Master!$F$10&amp; "'!$A$2:$A$50"),INDIRECT("'" &amp;Master!$F$10&amp; "'!$E$2:$E$50"))</f>
        <v>#VALUE!</v>
      </c>
      <c r="F215" s="4" t="e">
        <f ca="1">SplineInterp(A215,INDIRECT("'" &amp;Master!$F$10&amp; "'!$A$2:$A$50"),INDIRECT("'" &amp;Master!$F$10&amp; "'!$F$2:$F$50"))</f>
        <v>#VALUE!</v>
      </c>
      <c r="G215" s="4" t="e">
        <f ca="1">SplineInterp(A215,INDIRECT("'" &amp;Master!$F$10&amp; "'!$A$2:$A$50"),INDIRECT("'" &amp;Master!$F$10&amp; "'!$G$2:$G$50"))</f>
        <v>#VALUE!</v>
      </c>
      <c r="H215" s="4" t="e">
        <f ca="1">SplineInterp(A215,INDIRECT("'" &amp;Master!$F$10&amp; "'!$A$2:$A$50"),INDIRECT("'" &amp;Master!$F$10&amp; "'!$H$2:$H$50"))</f>
        <v>#VALUE!</v>
      </c>
      <c r="I215" s="4" t="e">
        <f ca="1">IF(OR(INDIRECT("'" &amp; Master!$F$8 &amp; Master!$F$6 &amp; "'!B" &amp; ROW(B215))="", INDIRECT("'" &amp; Master!$F$8 &amp; Master!$F$6 &amp; "'!B" &amp; ROW(B215))=0), "", INDIRECT("'" &amp; Master!$F$8 &amp; Master!$F$6 &amp; "'!B" &amp; ROW(B215)))</f>
        <v>#VALUE!</v>
      </c>
      <c r="J215" s="9" t="e">
        <f t="shared" ca="1" si="21"/>
        <v>#VALUE!</v>
      </c>
      <c r="K215" s="7" t="e">
        <f t="shared" ca="1" si="22"/>
        <v>#VALUE!</v>
      </c>
      <c r="L215" s="7" t="e">
        <f t="shared" ca="1" si="23"/>
        <v>#VALUE!</v>
      </c>
      <c r="M215" s="7" t="e">
        <f t="shared" ca="1" si="24"/>
        <v>#VALUE!</v>
      </c>
      <c r="N215" s="7" t="e">
        <f t="shared" ca="1" si="25"/>
        <v>#VALUE!</v>
      </c>
      <c r="O215" s="7" t="e">
        <f t="shared" ca="1" si="26"/>
        <v>#VALUE!</v>
      </c>
      <c r="P215" s="7" t="e">
        <f t="shared" ca="1" si="27"/>
        <v>#VALUE!</v>
      </c>
    </row>
    <row r="216" spans="1:16" x14ac:dyDescent="0.25">
      <c r="A216" s="19" t="str">
        <f ca="1">IF(OR(INDIRECT("'" &amp; Master!$F$8 &amp; Master!$F$6 &amp; "'!A" &amp; ROW(A216))="", INDIRECT("'" &amp; Master!$F$8 &amp; Master!$F$6 &amp; "'!A" &amp; ROW(A216))=0), "", INDIRECT("'" &amp; Master!$F$8 &amp; Master!$F$6 &amp; "'!A" &amp; ROW(A216)))</f>
        <v/>
      </c>
      <c r="B216" s="4" t="e">
        <f ca="1">SplineInterp(INDIRECT("A" &amp; ROW()),INDIRECT("'" &amp;Master!$F$10&amp; "'!$A$2:$A$50"),INDIRECT("'" &amp;Master!$F$10&amp; "'!$B$2:$B$50"))</f>
        <v>#VALUE!</v>
      </c>
      <c r="C216" s="4" t="e">
        <f ca="1">SplineInterp(A216,INDIRECT("'" &amp;Master!$F$10&amp; "'!$A$2:$A$50"),INDIRECT("'" &amp;Master!$F$10&amp; "'!$C$2:$C$50"))</f>
        <v>#VALUE!</v>
      </c>
      <c r="D216" s="4" t="e">
        <f ca="1">SplineInterp(A216,INDIRECT("'" &amp;Master!$F$10&amp; "'!$A$2:$A$50"),INDIRECT("'" &amp;Master!$F$10&amp; "'!$D$2:$D$50"))</f>
        <v>#VALUE!</v>
      </c>
      <c r="E216" s="4" t="e">
        <f ca="1">SplineInterp(A216,INDIRECT("'" &amp;Master!$F$10&amp; "'!$A$2:$A$50"),INDIRECT("'" &amp;Master!$F$10&amp; "'!$E$2:$E$50"))</f>
        <v>#VALUE!</v>
      </c>
      <c r="F216" s="4" t="e">
        <f ca="1">SplineInterp(A216,INDIRECT("'" &amp;Master!$F$10&amp; "'!$A$2:$A$50"),INDIRECT("'" &amp;Master!$F$10&amp; "'!$F$2:$F$50"))</f>
        <v>#VALUE!</v>
      </c>
      <c r="G216" s="4" t="e">
        <f ca="1">SplineInterp(A216,INDIRECT("'" &amp;Master!$F$10&amp; "'!$A$2:$A$50"),INDIRECT("'" &amp;Master!$F$10&amp; "'!$G$2:$G$50"))</f>
        <v>#VALUE!</v>
      </c>
      <c r="H216" s="4" t="e">
        <f ca="1">SplineInterp(A216,INDIRECT("'" &amp;Master!$F$10&amp; "'!$A$2:$A$50"),INDIRECT("'" &amp;Master!$F$10&amp; "'!$H$2:$H$50"))</f>
        <v>#VALUE!</v>
      </c>
      <c r="I216" s="4" t="e">
        <f ca="1">IF(OR(INDIRECT("'" &amp; Master!$F$8 &amp; Master!$F$6 &amp; "'!B" &amp; ROW(B216))="", INDIRECT("'" &amp; Master!$F$8 &amp; Master!$F$6 &amp; "'!B" &amp; ROW(B216))=0), "", INDIRECT("'" &amp; Master!$F$8 &amp; Master!$F$6 &amp; "'!B" &amp; ROW(B216)))</f>
        <v>#VALUE!</v>
      </c>
      <c r="J216" s="9" t="e">
        <f t="shared" ca="1" si="21"/>
        <v>#VALUE!</v>
      </c>
      <c r="K216" s="7" t="e">
        <f t="shared" ca="1" si="22"/>
        <v>#VALUE!</v>
      </c>
      <c r="L216" s="7" t="e">
        <f t="shared" ca="1" si="23"/>
        <v>#VALUE!</v>
      </c>
      <c r="M216" s="7" t="e">
        <f t="shared" ca="1" si="24"/>
        <v>#VALUE!</v>
      </c>
      <c r="N216" s="7" t="e">
        <f t="shared" ca="1" si="25"/>
        <v>#VALUE!</v>
      </c>
      <c r="O216" s="7" t="e">
        <f t="shared" ca="1" si="26"/>
        <v>#VALUE!</v>
      </c>
      <c r="P216" s="7" t="e">
        <f t="shared" ca="1" si="27"/>
        <v>#VALUE!</v>
      </c>
    </row>
    <row r="217" spans="1:16" x14ac:dyDescent="0.25">
      <c r="A217" s="19" t="str">
        <f ca="1">IF(OR(INDIRECT("'" &amp; Master!$F$8 &amp; Master!$F$6 &amp; "'!A" &amp; ROW(A217))="", INDIRECT("'" &amp; Master!$F$8 &amp; Master!$F$6 &amp; "'!A" &amp; ROW(A217))=0), "", INDIRECT("'" &amp; Master!$F$8 &amp; Master!$F$6 &amp; "'!A" &amp; ROW(A217)))</f>
        <v/>
      </c>
      <c r="B217" s="4" t="e">
        <f ca="1">SplineInterp(INDIRECT("A" &amp; ROW()),INDIRECT("'" &amp;Master!$F$10&amp; "'!$A$2:$A$50"),INDIRECT("'" &amp;Master!$F$10&amp; "'!$B$2:$B$50"))</f>
        <v>#VALUE!</v>
      </c>
      <c r="C217" s="4" t="e">
        <f ca="1">SplineInterp(A217,INDIRECT("'" &amp;Master!$F$10&amp; "'!$A$2:$A$50"),INDIRECT("'" &amp;Master!$F$10&amp; "'!$C$2:$C$50"))</f>
        <v>#VALUE!</v>
      </c>
      <c r="D217" s="4" t="e">
        <f ca="1">SplineInterp(A217,INDIRECT("'" &amp;Master!$F$10&amp; "'!$A$2:$A$50"),INDIRECT("'" &amp;Master!$F$10&amp; "'!$D$2:$D$50"))</f>
        <v>#VALUE!</v>
      </c>
      <c r="E217" s="4" t="e">
        <f ca="1">SplineInterp(A217,INDIRECT("'" &amp;Master!$F$10&amp; "'!$A$2:$A$50"),INDIRECT("'" &amp;Master!$F$10&amp; "'!$E$2:$E$50"))</f>
        <v>#VALUE!</v>
      </c>
      <c r="F217" s="4" t="e">
        <f ca="1">SplineInterp(A217,INDIRECT("'" &amp;Master!$F$10&amp; "'!$A$2:$A$50"),INDIRECT("'" &amp;Master!$F$10&amp; "'!$F$2:$F$50"))</f>
        <v>#VALUE!</v>
      </c>
      <c r="G217" s="4" t="e">
        <f ca="1">SplineInterp(A217,INDIRECT("'" &amp;Master!$F$10&amp; "'!$A$2:$A$50"),INDIRECT("'" &amp;Master!$F$10&amp; "'!$G$2:$G$50"))</f>
        <v>#VALUE!</v>
      </c>
      <c r="H217" s="4" t="e">
        <f ca="1">SplineInterp(A217,INDIRECT("'" &amp;Master!$F$10&amp; "'!$A$2:$A$50"),INDIRECT("'" &amp;Master!$F$10&amp; "'!$H$2:$H$50"))</f>
        <v>#VALUE!</v>
      </c>
      <c r="I217" s="4" t="e">
        <f ca="1">IF(OR(INDIRECT("'" &amp; Master!$F$8 &amp; Master!$F$6 &amp; "'!B" &amp; ROW(B217))="", INDIRECT("'" &amp; Master!$F$8 &amp; Master!$F$6 &amp; "'!B" &amp; ROW(B217))=0), "", INDIRECT("'" &amp; Master!$F$8 &amp; Master!$F$6 &amp; "'!B" &amp; ROW(B217)))</f>
        <v>#VALUE!</v>
      </c>
      <c r="J217" s="9" t="e">
        <f t="shared" ca="1" si="21"/>
        <v>#VALUE!</v>
      </c>
      <c r="K217" s="7" t="e">
        <f t="shared" ca="1" si="22"/>
        <v>#VALUE!</v>
      </c>
      <c r="L217" s="7" t="e">
        <f t="shared" ca="1" si="23"/>
        <v>#VALUE!</v>
      </c>
      <c r="M217" s="7" t="e">
        <f t="shared" ca="1" si="24"/>
        <v>#VALUE!</v>
      </c>
      <c r="N217" s="7" t="e">
        <f t="shared" ca="1" si="25"/>
        <v>#VALUE!</v>
      </c>
      <c r="O217" s="7" t="e">
        <f t="shared" ca="1" si="26"/>
        <v>#VALUE!</v>
      </c>
      <c r="P217" s="7" t="e">
        <f t="shared" ca="1" si="27"/>
        <v>#VALUE!</v>
      </c>
    </row>
    <row r="218" spans="1:16" x14ac:dyDescent="0.25">
      <c r="A218" s="19" t="str">
        <f ca="1">IF(OR(INDIRECT("'" &amp; Master!$F$8 &amp; Master!$F$6 &amp; "'!A" &amp; ROW(A218))="", INDIRECT("'" &amp; Master!$F$8 &amp; Master!$F$6 &amp; "'!A" &amp; ROW(A218))=0), "", INDIRECT("'" &amp; Master!$F$8 &amp; Master!$F$6 &amp; "'!A" &amp; ROW(A218)))</f>
        <v/>
      </c>
      <c r="B218" s="4" t="e">
        <f ca="1">SplineInterp(INDIRECT("A" &amp; ROW()),INDIRECT("'" &amp;Master!$F$10&amp; "'!$A$2:$A$50"),INDIRECT("'" &amp;Master!$F$10&amp; "'!$B$2:$B$50"))</f>
        <v>#VALUE!</v>
      </c>
      <c r="C218" s="4" t="e">
        <f ca="1">SplineInterp(A218,INDIRECT("'" &amp;Master!$F$10&amp; "'!$A$2:$A$50"),INDIRECT("'" &amp;Master!$F$10&amp; "'!$C$2:$C$50"))</f>
        <v>#VALUE!</v>
      </c>
      <c r="D218" s="4" t="e">
        <f ca="1">SplineInterp(A218,INDIRECT("'" &amp;Master!$F$10&amp; "'!$A$2:$A$50"),INDIRECT("'" &amp;Master!$F$10&amp; "'!$D$2:$D$50"))</f>
        <v>#VALUE!</v>
      </c>
      <c r="E218" s="4" t="e">
        <f ca="1">SplineInterp(A218,INDIRECT("'" &amp;Master!$F$10&amp; "'!$A$2:$A$50"),INDIRECT("'" &amp;Master!$F$10&amp; "'!$E$2:$E$50"))</f>
        <v>#VALUE!</v>
      </c>
      <c r="F218" s="4" t="e">
        <f ca="1">SplineInterp(A218,INDIRECT("'" &amp;Master!$F$10&amp; "'!$A$2:$A$50"),INDIRECT("'" &amp;Master!$F$10&amp; "'!$F$2:$F$50"))</f>
        <v>#VALUE!</v>
      </c>
      <c r="G218" s="4" t="e">
        <f ca="1">SplineInterp(A218,INDIRECT("'" &amp;Master!$F$10&amp; "'!$A$2:$A$50"),INDIRECT("'" &amp;Master!$F$10&amp; "'!$G$2:$G$50"))</f>
        <v>#VALUE!</v>
      </c>
      <c r="H218" s="4" t="e">
        <f ca="1">SplineInterp(A218,INDIRECT("'" &amp;Master!$F$10&amp; "'!$A$2:$A$50"),INDIRECT("'" &amp;Master!$F$10&amp; "'!$H$2:$H$50"))</f>
        <v>#VALUE!</v>
      </c>
      <c r="I218" s="4" t="e">
        <f ca="1">IF(OR(INDIRECT("'" &amp; Master!$F$8 &amp; Master!$F$6 &amp; "'!B" &amp; ROW(B218))="", INDIRECT("'" &amp; Master!$F$8 &amp; Master!$F$6 &amp; "'!B" &amp; ROW(B218))=0), "", INDIRECT("'" &amp; Master!$F$8 &amp; Master!$F$6 &amp; "'!B" &amp; ROW(B218)))</f>
        <v>#VALUE!</v>
      </c>
      <c r="J218" s="9" t="e">
        <f t="shared" ca="1" si="21"/>
        <v>#VALUE!</v>
      </c>
      <c r="K218" s="7" t="e">
        <f t="shared" ca="1" si="22"/>
        <v>#VALUE!</v>
      </c>
      <c r="L218" s="7" t="e">
        <f t="shared" ca="1" si="23"/>
        <v>#VALUE!</v>
      </c>
      <c r="M218" s="7" t="e">
        <f t="shared" ca="1" si="24"/>
        <v>#VALUE!</v>
      </c>
      <c r="N218" s="7" t="e">
        <f t="shared" ca="1" si="25"/>
        <v>#VALUE!</v>
      </c>
      <c r="O218" s="7" t="e">
        <f t="shared" ca="1" si="26"/>
        <v>#VALUE!</v>
      </c>
      <c r="P218" s="7" t="e">
        <f t="shared" ca="1" si="27"/>
        <v>#VALUE!</v>
      </c>
    </row>
    <row r="219" spans="1:16" x14ac:dyDescent="0.25">
      <c r="A219" s="19" t="str">
        <f ca="1">IF(OR(INDIRECT("'" &amp; Master!$F$8 &amp; Master!$F$6 &amp; "'!A" &amp; ROW(A219))="", INDIRECT("'" &amp; Master!$F$8 &amp; Master!$F$6 &amp; "'!A" &amp; ROW(A219))=0), "", INDIRECT("'" &amp; Master!$F$8 &amp; Master!$F$6 &amp; "'!A" &amp; ROW(A219)))</f>
        <v/>
      </c>
      <c r="B219" s="4" t="e">
        <f ca="1">SplineInterp(INDIRECT("A" &amp; ROW()),INDIRECT("'" &amp;Master!$F$10&amp; "'!$A$2:$A$50"),INDIRECT("'" &amp;Master!$F$10&amp; "'!$B$2:$B$50"))</f>
        <v>#VALUE!</v>
      </c>
      <c r="C219" s="4" t="e">
        <f ca="1">SplineInterp(A219,INDIRECT("'" &amp;Master!$F$10&amp; "'!$A$2:$A$50"),INDIRECT("'" &amp;Master!$F$10&amp; "'!$C$2:$C$50"))</f>
        <v>#VALUE!</v>
      </c>
      <c r="D219" s="4" t="e">
        <f ca="1">SplineInterp(A219,INDIRECT("'" &amp;Master!$F$10&amp; "'!$A$2:$A$50"),INDIRECT("'" &amp;Master!$F$10&amp; "'!$D$2:$D$50"))</f>
        <v>#VALUE!</v>
      </c>
      <c r="E219" s="4" t="e">
        <f ca="1">SplineInterp(A219,INDIRECT("'" &amp;Master!$F$10&amp; "'!$A$2:$A$50"),INDIRECT("'" &amp;Master!$F$10&amp; "'!$E$2:$E$50"))</f>
        <v>#VALUE!</v>
      </c>
      <c r="F219" s="4" t="e">
        <f ca="1">SplineInterp(A219,INDIRECT("'" &amp;Master!$F$10&amp; "'!$A$2:$A$50"),INDIRECT("'" &amp;Master!$F$10&amp; "'!$F$2:$F$50"))</f>
        <v>#VALUE!</v>
      </c>
      <c r="G219" s="4" t="e">
        <f ca="1">SplineInterp(A219,INDIRECT("'" &amp;Master!$F$10&amp; "'!$A$2:$A$50"),INDIRECT("'" &amp;Master!$F$10&amp; "'!$G$2:$G$50"))</f>
        <v>#VALUE!</v>
      </c>
      <c r="H219" s="4" t="e">
        <f ca="1">SplineInterp(A219,INDIRECT("'" &amp;Master!$F$10&amp; "'!$A$2:$A$50"),INDIRECT("'" &amp;Master!$F$10&amp; "'!$H$2:$H$50"))</f>
        <v>#VALUE!</v>
      </c>
      <c r="I219" s="4" t="e">
        <f ca="1">IF(OR(INDIRECT("'" &amp; Master!$F$8 &amp; Master!$F$6 &amp; "'!B" &amp; ROW(B219))="", INDIRECT("'" &amp; Master!$F$8 &amp; Master!$F$6 &amp; "'!B" &amp; ROW(B219))=0), "", INDIRECT("'" &amp; Master!$F$8 &amp; Master!$F$6 &amp; "'!B" &amp; ROW(B219)))</f>
        <v>#VALUE!</v>
      </c>
      <c r="J219" s="9" t="e">
        <f t="shared" ca="1" si="21"/>
        <v>#VALUE!</v>
      </c>
      <c r="K219" s="7" t="e">
        <f t="shared" ca="1" si="22"/>
        <v>#VALUE!</v>
      </c>
      <c r="L219" s="7" t="e">
        <f t="shared" ca="1" si="23"/>
        <v>#VALUE!</v>
      </c>
      <c r="M219" s="7" t="e">
        <f t="shared" ca="1" si="24"/>
        <v>#VALUE!</v>
      </c>
      <c r="N219" s="7" t="e">
        <f t="shared" ca="1" si="25"/>
        <v>#VALUE!</v>
      </c>
      <c r="O219" s="7" t="e">
        <f t="shared" ca="1" si="26"/>
        <v>#VALUE!</v>
      </c>
      <c r="P219" s="7" t="e">
        <f t="shared" ca="1" si="27"/>
        <v>#VALUE!</v>
      </c>
    </row>
    <row r="220" spans="1:16" x14ac:dyDescent="0.25">
      <c r="A220" s="19" t="str">
        <f ca="1">IF(OR(INDIRECT("'" &amp; Master!$F$8 &amp; Master!$F$6 &amp; "'!A" &amp; ROW(A220))="", INDIRECT("'" &amp; Master!$F$8 &amp; Master!$F$6 &amp; "'!A" &amp; ROW(A220))=0), "", INDIRECT("'" &amp; Master!$F$8 &amp; Master!$F$6 &amp; "'!A" &amp; ROW(A220)))</f>
        <v/>
      </c>
      <c r="B220" s="4" t="e">
        <f ca="1">SplineInterp(INDIRECT("A" &amp; ROW()),INDIRECT("'" &amp;Master!$F$10&amp; "'!$A$2:$A$50"),INDIRECT("'" &amp;Master!$F$10&amp; "'!$B$2:$B$50"))</f>
        <v>#VALUE!</v>
      </c>
      <c r="C220" s="4" t="e">
        <f ca="1">SplineInterp(A220,INDIRECT("'" &amp;Master!$F$10&amp; "'!$A$2:$A$50"),INDIRECT("'" &amp;Master!$F$10&amp; "'!$C$2:$C$50"))</f>
        <v>#VALUE!</v>
      </c>
      <c r="D220" s="4" t="e">
        <f ca="1">SplineInterp(A220,INDIRECT("'" &amp;Master!$F$10&amp; "'!$A$2:$A$50"),INDIRECT("'" &amp;Master!$F$10&amp; "'!$D$2:$D$50"))</f>
        <v>#VALUE!</v>
      </c>
      <c r="E220" s="4" t="e">
        <f ca="1">SplineInterp(A220,INDIRECT("'" &amp;Master!$F$10&amp; "'!$A$2:$A$50"),INDIRECT("'" &amp;Master!$F$10&amp; "'!$E$2:$E$50"))</f>
        <v>#VALUE!</v>
      </c>
      <c r="F220" s="4" t="e">
        <f ca="1">SplineInterp(A220,INDIRECT("'" &amp;Master!$F$10&amp; "'!$A$2:$A$50"),INDIRECT("'" &amp;Master!$F$10&amp; "'!$F$2:$F$50"))</f>
        <v>#VALUE!</v>
      </c>
      <c r="G220" s="4" t="e">
        <f ca="1">SplineInterp(A220,INDIRECT("'" &amp;Master!$F$10&amp; "'!$A$2:$A$50"),INDIRECT("'" &amp;Master!$F$10&amp; "'!$G$2:$G$50"))</f>
        <v>#VALUE!</v>
      </c>
      <c r="H220" s="4" t="e">
        <f ca="1">SplineInterp(A220,INDIRECT("'" &amp;Master!$F$10&amp; "'!$A$2:$A$50"),INDIRECT("'" &amp;Master!$F$10&amp; "'!$H$2:$H$50"))</f>
        <v>#VALUE!</v>
      </c>
      <c r="I220" s="4" t="e">
        <f ca="1">IF(OR(INDIRECT("'" &amp; Master!$F$8 &amp; Master!$F$6 &amp; "'!B" &amp; ROW(B220))="", INDIRECT("'" &amp; Master!$F$8 &amp; Master!$F$6 &amp; "'!B" &amp; ROW(B220))=0), "", INDIRECT("'" &amp; Master!$F$8 &amp; Master!$F$6 &amp; "'!B" &amp; ROW(B220)))</f>
        <v>#VALUE!</v>
      </c>
      <c r="J220" s="9" t="e">
        <f t="shared" ca="1" si="21"/>
        <v>#VALUE!</v>
      </c>
      <c r="K220" s="7" t="e">
        <f t="shared" ca="1" si="22"/>
        <v>#VALUE!</v>
      </c>
      <c r="L220" s="7" t="e">
        <f t="shared" ca="1" si="23"/>
        <v>#VALUE!</v>
      </c>
      <c r="M220" s="7" t="e">
        <f t="shared" ca="1" si="24"/>
        <v>#VALUE!</v>
      </c>
      <c r="N220" s="7" t="e">
        <f t="shared" ca="1" si="25"/>
        <v>#VALUE!</v>
      </c>
      <c r="O220" s="7" t="e">
        <f t="shared" ca="1" si="26"/>
        <v>#VALUE!</v>
      </c>
      <c r="P220" s="7" t="e">
        <f t="shared" ca="1" si="27"/>
        <v>#VALUE!</v>
      </c>
    </row>
    <row r="221" spans="1:16" x14ac:dyDescent="0.25">
      <c r="A221" s="19" t="str">
        <f ca="1">IF(OR(INDIRECT("'" &amp; Master!$F$8 &amp; Master!$F$6 &amp; "'!A" &amp; ROW(A221))="", INDIRECT("'" &amp; Master!$F$8 &amp; Master!$F$6 &amp; "'!A" &amp; ROW(A221))=0), "", INDIRECT("'" &amp; Master!$F$8 &amp; Master!$F$6 &amp; "'!A" &amp; ROW(A221)))</f>
        <v/>
      </c>
      <c r="B221" s="4" t="e">
        <f ca="1">SplineInterp(INDIRECT("A" &amp; ROW()),INDIRECT("'" &amp;Master!$F$10&amp; "'!$A$2:$A$50"),INDIRECT("'" &amp;Master!$F$10&amp; "'!$B$2:$B$50"))</f>
        <v>#VALUE!</v>
      </c>
      <c r="C221" s="4" t="e">
        <f ca="1">SplineInterp(A221,INDIRECT("'" &amp;Master!$F$10&amp; "'!$A$2:$A$50"),INDIRECT("'" &amp;Master!$F$10&amp; "'!$C$2:$C$50"))</f>
        <v>#VALUE!</v>
      </c>
      <c r="D221" s="4" t="e">
        <f ca="1">SplineInterp(A221,INDIRECT("'" &amp;Master!$F$10&amp; "'!$A$2:$A$50"),INDIRECT("'" &amp;Master!$F$10&amp; "'!$D$2:$D$50"))</f>
        <v>#VALUE!</v>
      </c>
      <c r="E221" s="4" t="e">
        <f ca="1">SplineInterp(A221,INDIRECT("'" &amp;Master!$F$10&amp; "'!$A$2:$A$50"),INDIRECT("'" &amp;Master!$F$10&amp; "'!$E$2:$E$50"))</f>
        <v>#VALUE!</v>
      </c>
      <c r="F221" s="4" t="e">
        <f ca="1">SplineInterp(A221,INDIRECT("'" &amp;Master!$F$10&amp; "'!$A$2:$A$50"),INDIRECT("'" &amp;Master!$F$10&amp; "'!$F$2:$F$50"))</f>
        <v>#VALUE!</v>
      </c>
      <c r="G221" s="4" t="e">
        <f ca="1">SplineInterp(A221,INDIRECT("'" &amp;Master!$F$10&amp; "'!$A$2:$A$50"),INDIRECT("'" &amp;Master!$F$10&amp; "'!$G$2:$G$50"))</f>
        <v>#VALUE!</v>
      </c>
      <c r="H221" s="4" t="e">
        <f ca="1">SplineInterp(A221,INDIRECT("'" &amp;Master!$F$10&amp; "'!$A$2:$A$50"),INDIRECT("'" &amp;Master!$F$10&amp; "'!$H$2:$H$50"))</f>
        <v>#VALUE!</v>
      </c>
      <c r="I221" s="4" t="e">
        <f ca="1">IF(OR(INDIRECT("'" &amp; Master!$F$8 &amp; Master!$F$6 &amp; "'!B" &amp; ROW(B221))="", INDIRECT("'" &amp; Master!$F$8 &amp; Master!$F$6 &amp; "'!B" &amp; ROW(B221))=0), "", INDIRECT("'" &amp; Master!$F$8 &amp; Master!$F$6 &amp; "'!B" &amp; ROW(B221)))</f>
        <v>#VALUE!</v>
      </c>
      <c r="J221" s="9" t="e">
        <f t="shared" ca="1" si="21"/>
        <v>#VALUE!</v>
      </c>
      <c r="K221" s="7" t="e">
        <f t="shared" ca="1" si="22"/>
        <v>#VALUE!</v>
      </c>
      <c r="L221" s="7" t="e">
        <f t="shared" ca="1" si="23"/>
        <v>#VALUE!</v>
      </c>
      <c r="M221" s="7" t="e">
        <f t="shared" ca="1" si="24"/>
        <v>#VALUE!</v>
      </c>
      <c r="N221" s="7" t="e">
        <f t="shared" ca="1" si="25"/>
        <v>#VALUE!</v>
      </c>
      <c r="O221" s="7" t="e">
        <f t="shared" ca="1" si="26"/>
        <v>#VALUE!</v>
      </c>
      <c r="P221" s="7" t="e">
        <f t="shared" ca="1" si="27"/>
        <v>#VALUE!</v>
      </c>
    </row>
    <row r="222" spans="1:16" x14ac:dyDescent="0.25">
      <c r="A222" s="19" t="str">
        <f ca="1">IF(OR(INDIRECT("'" &amp; Master!$F$8 &amp; Master!$F$6 &amp; "'!A" &amp; ROW(A222))="", INDIRECT("'" &amp; Master!$F$8 &amp; Master!$F$6 &amp; "'!A" &amp; ROW(A222))=0), "", INDIRECT("'" &amp; Master!$F$8 &amp; Master!$F$6 &amp; "'!A" &amp; ROW(A222)))</f>
        <v/>
      </c>
      <c r="B222" s="4" t="e">
        <f ca="1">SplineInterp(INDIRECT("A" &amp; ROW()),INDIRECT("'" &amp;Master!$F$10&amp; "'!$A$2:$A$50"),INDIRECT("'" &amp;Master!$F$10&amp; "'!$B$2:$B$50"))</f>
        <v>#VALUE!</v>
      </c>
      <c r="C222" s="4" t="e">
        <f ca="1">SplineInterp(A222,INDIRECT("'" &amp;Master!$F$10&amp; "'!$A$2:$A$50"),INDIRECT("'" &amp;Master!$F$10&amp; "'!$C$2:$C$50"))</f>
        <v>#VALUE!</v>
      </c>
      <c r="D222" s="4" t="e">
        <f ca="1">SplineInterp(A222,INDIRECT("'" &amp;Master!$F$10&amp; "'!$A$2:$A$50"),INDIRECT("'" &amp;Master!$F$10&amp; "'!$D$2:$D$50"))</f>
        <v>#VALUE!</v>
      </c>
      <c r="E222" s="4" t="e">
        <f ca="1">SplineInterp(A222,INDIRECT("'" &amp;Master!$F$10&amp; "'!$A$2:$A$50"),INDIRECT("'" &amp;Master!$F$10&amp; "'!$E$2:$E$50"))</f>
        <v>#VALUE!</v>
      </c>
      <c r="F222" s="4" t="e">
        <f ca="1">SplineInterp(A222,INDIRECT("'" &amp;Master!$F$10&amp; "'!$A$2:$A$50"),INDIRECT("'" &amp;Master!$F$10&amp; "'!$F$2:$F$50"))</f>
        <v>#VALUE!</v>
      </c>
      <c r="G222" s="4" t="e">
        <f ca="1">SplineInterp(A222,INDIRECT("'" &amp;Master!$F$10&amp; "'!$A$2:$A$50"),INDIRECT("'" &amp;Master!$F$10&amp; "'!$G$2:$G$50"))</f>
        <v>#VALUE!</v>
      </c>
      <c r="H222" s="4" t="e">
        <f ca="1">SplineInterp(A222,INDIRECT("'" &amp;Master!$F$10&amp; "'!$A$2:$A$50"),INDIRECT("'" &amp;Master!$F$10&amp; "'!$H$2:$H$50"))</f>
        <v>#VALUE!</v>
      </c>
      <c r="I222" s="4" t="e">
        <f ca="1">IF(OR(INDIRECT("'" &amp; Master!$F$8 &amp; Master!$F$6 &amp; "'!B" &amp; ROW(B222))="", INDIRECT("'" &amp; Master!$F$8 &amp; Master!$F$6 &amp; "'!B" &amp; ROW(B222))=0), "", INDIRECT("'" &amp; Master!$F$8 &amp; Master!$F$6 &amp; "'!B" &amp; ROW(B222)))</f>
        <v>#VALUE!</v>
      </c>
      <c r="J222" s="9" t="e">
        <f t="shared" ca="1" si="21"/>
        <v>#VALUE!</v>
      </c>
      <c r="K222" s="7" t="e">
        <f t="shared" ca="1" si="22"/>
        <v>#VALUE!</v>
      </c>
      <c r="L222" s="7" t="e">
        <f t="shared" ca="1" si="23"/>
        <v>#VALUE!</v>
      </c>
      <c r="M222" s="7" t="e">
        <f t="shared" ca="1" si="24"/>
        <v>#VALUE!</v>
      </c>
      <c r="N222" s="7" t="e">
        <f t="shared" ca="1" si="25"/>
        <v>#VALUE!</v>
      </c>
      <c r="O222" s="7" t="e">
        <f t="shared" ca="1" si="26"/>
        <v>#VALUE!</v>
      </c>
      <c r="P222" s="7" t="e">
        <f t="shared" ca="1" si="27"/>
        <v>#VALUE!</v>
      </c>
    </row>
    <row r="223" spans="1:16" x14ac:dyDescent="0.25">
      <c r="A223" s="19" t="str">
        <f ca="1">IF(OR(INDIRECT("'" &amp; Master!$F$8 &amp; Master!$F$6 &amp; "'!A" &amp; ROW(A223))="", INDIRECT("'" &amp; Master!$F$8 &amp; Master!$F$6 &amp; "'!A" &amp; ROW(A223))=0), "", INDIRECT("'" &amp; Master!$F$8 &amp; Master!$F$6 &amp; "'!A" &amp; ROW(A223)))</f>
        <v/>
      </c>
      <c r="B223" s="4" t="e">
        <f ca="1">SplineInterp(INDIRECT("A" &amp; ROW()),INDIRECT("'" &amp;Master!$F$10&amp; "'!$A$2:$A$50"),INDIRECT("'" &amp;Master!$F$10&amp; "'!$B$2:$B$50"))</f>
        <v>#VALUE!</v>
      </c>
      <c r="C223" s="4" t="e">
        <f ca="1">SplineInterp(A223,INDIRECT("'" &amp;Master!$F$10&amp; "'!$A$2:$A$50"),INDIRECT("'" &amp;Master!$F$10&amp; "'!$C$2:$C$50"))</f>
        <v>#VALUE!</v>
      </c>
      <c r="D223" s="4" t="e">
        <f ca="1">SplineInterp(A223,INDIRECT("'" &amp;Master!$F$10&amp; "'!$A$2:$A$50"),INDIRECT("'" &amp;Master!$F$10&amp; "'!$D$2:$D$50"))</f>
        <v>#VALUE!</v>
      </c>
      <c r="E223" s="4" t="e">
        <f ca="1">SplineInterp(A223,INDIRECT("'" &amp;Master!$F$10&amp; "'!$A$2:$A$50"),INDIRECT("'" &amp;Master!$F$10&amp; "'!$E$2:$E$50"))</f>
        <v>#VALUE!</v>
      </c>
      <c r="F223" s="4" t="e">
        <f ca="1">SplineInterp(A223,INDIRECT("'" &amp;Master!$F$10&amp; "'!$A$2:$A$50"),INDIRECT("'" &amp;Master!$F$10&amp; "'!$F$2:$F$50"))</f>
        <v>#VALUE!</v>
      </c>
      <c r="G223" s="4" t="e">
        <f ca="1">SplineInterp(A223,INDIRECT("'" &amp;Master!$F$10&amp; "'!$A$2:$A$50"),INDIRECT("'" &amp;Master!$F$10&amp; "'!$G$2:$G$50"))</f>
        <v>#VALUE!</v>
      </c>
      <c r="H223" s="4" t="e">
        <f ca="1">SplineInterp(A223,INDIRECT("'" &amp;Master!$F$10&amp; "'!$A$2:$A$50"),INDIRECT("'" &amp;Master!$F$10&amp; "'!$H$2:$H$50"))</f>
        <v>#VALUE!</v>
      </c>
      <c r="I223" s="4" t="e">
        <f ca="1">IF(OR(INDIRECT("'" &amp; Master!$F$8 &amp; Master!$F$6 &amp; "'!B" &amp; ROW(B223))="", INDIRECT("'" &amp; Master!$F$8 &amp; Master!$F$6 &amp; "'!B" &amp; ROW(B223))=0), "", INDIRECT("'" &amp; Master!$F$8 &amp; Master!$F$6 &amp; "'!B" &amp; ROW(B223)))</f>
        <v>#VALUE!</v>
      </c>
      <c r="J223" s="9" t="e">
        <f t="shared" ca="1" si="21"/>
        <v>#VALUE!</v>
      </c>
      <c r="K223" s="7" t="e">
        <f t="shared" ca="1" si="22"/>
        <v>#VALUE!</v>
      </c>
      <c r="L223" s="7" t="e">
        <f t="shared" ca="1" si="23"/>
        <v>#VALUE!</v>
      </c>
      <c r="M223" s="7" t="e">
        <f t="shared" ca="1" si="24"/>
        <v>#VALUE!</v>
      </c>
      <c r="N223" s="7" t="e">
        <f t="shared" ca="1" si="25"/>
        <v>#VALUE!</v>
      </c>
      <c r="O223" s="7" t="e">
        <f t="shared" ca="1" si="26"/>
        <v>#VALUE!</v>
      </c>
      <c r="P223" s="7" t="e">
        <f t="shared" ca="1" si="27"/>
        <v>#VALUE!</v>
      </c>
    </row>
    <row r="224" spans="1:16" x14ac:dyDescent="0.25">
      <c r="A224" s="19" t="str">
        <f ca="1">IF(OR(INDIRECT("'" &amp; Master!$F$8 &amp; Master!$F$6 &amp; "'!A" &amp; ROW(A224))="", INDIRECT("'" &amp; Master!$F$8 &amp; Master!$F$6 &amp; "'!A" &amp; ROW(A224))=0), "", INDIRECT("'" &amp; Master!$F$8 &amp; Master!$F$6 &amp; "'!A" &amp; ROW(A224)))</f>
        <v/>
      </c>
      <c r="B224" s="4" t="e">
        <f ca="1">SplineInterp(INDIRECT("A" &amp; ROW()),INDIRECT("'" &amp;Master!$F$10&amp; "'!$A$2:$A$50"),INDIRECT("'" &amp;Master!$F$10&amp; "'!$B$2:$B$50"))</f>
        <v>#VALUE!</v>
      </c>
      <c r="C224" s="4" t="e">
        <f ca="1">SplineInterp(A224,INDIRECT("'" &amp;Master!$F$10&amp; "'!$A$2:$A$50"),INDIRECT("'" &amp;Master!$F$10&amp; "'!$C$2:$C$50"))</f>
        <v>#VALUE!</v>
      </c>
      <c r="D224" s="4" t="e">
        <f ca="1">SplineInterp(A224,INDIRECT("'" &amp;Master!$F$10&amp; "'!$A$2:$A$50"),INDIRECT("'" &amp;Master!$F$10&amp; "'!$D$2:$D$50"))</f>
        <v>#VALUE!</v>
      </c>
      <c r="E224" s="4" t="e">
        <f ca="1">SplineInterp(A224,INDIRECT("'" &amp;Master!$F$10&amp; "'!$A$2:$A$50"),INDIRECT("'" &amp;Master!$F$10&amp; "'!$E$2:$E$50"))</f>
        <v>#VALUE!</v>
      </c>
      <c r="F224" s="4" t="e">
        <f ca="1">SplineInterp(A224,INDIRECT("'" &amp;Master!$F$10&amp; "'!$A$2:$A$50"),INDIRECT("'" &amp;Master!$F$10&amp; "'!$F$2:$F$50"))</f>
        <v>#VALUE!</v>
      </c>
      <c r="G224" s="4" t="e">
        <f ca="1">SplineInterp(A224,INDIRECT("'" &amp;Master!$F$10&amp; "'!$A$2:$A$50"),INDIRECT("'" &amp;Master!$F$10&amp; "'!$G$2:$G$50"))</f>
        <v>#VALUE!</v>
      </c>
      <c r="H224" s="4" t="e">
        <f ca="1">SplineInterp(A224,INDIRECT("'" &amp;Master!$F$10&amp; "'!$A$2:$A$50"),INDIRECT("'" &amp;Master!$F$10&amp; "'!$H$2:$H$50"))</f>
        <v>#VALUE!</v>
      </c>
      <c r="I224" s="4" t="e">
        <f ca="1">IF(OR(INDIRECT("'" &amp; Master!$F$8 &amp; Master!$F$6 &amp; "'!B" &amp; ROW(B224))="", INDIRECT("'" &amp; Master!$F$8 &amp; Master!$F$6 &amp; "'!B" &amp; ROW(B224))=0), "", INDIRECT("'" &amp; Master!$F$8 &amp; Master!$F$6 &amp; "'!B" &amp; ROW(B224)))</f>
        <v>#VALUE!</v>
      </c>
      <c r="J224" s="9" t="e">
        <f t="shared" ca="1" si="21"/>
        <v>#VALUE!</v>
      </c>
      <c r="K224" s="7" t="e">
        <f t="shared" ca="1" si="22"/>
        <v>#VALUE!</v>
      </c>
      <c r="L224" s="7" t="e">
        <f t="shared" ca="1" si="23"/>
        <v>#VALUE!</v>
      </c>
      <c r="M224" s="7" t="e">
        <f t="shared" ca="1" si="24"/>
        <v>#VALUE!</v>
      </c>
      <c r="N224" s="7" t="e">
        <f t="shared" ca="1" si="25"/>
        <v>#VALUE!</v>
      </c>
      <c r="O224" s="7" t="e">
        <f t="shared" ca="1" si="26"/>
        <v>#VALUE!</v>
      </c>
      <c r="P224" s="7" t="e">
        <f t="shared" ca="1" si="27"/>
        <v>#VALUE!</v>
      </c>
    </row>
    <row r="225" spans="1:16" x14ac:dyDescent="0.25">
      <c r="A225" s="19" t="str">
        <f ca="1">IF(OR(INDIRECT("'" &amp; Master!$F$8 &amp; Master!$F$6 &amp; "'!A" &amp; ROW(A225))="", INDIRECT("'" &amp; Master!$F$8 &amp; Master!$F$6 &amp; "'!A" &amp; ROW(A225))=0), "", INDIRECT("'" &amp; Master!$F$8 &amp; Master!$F$6 &amp; "'!A" &amp; ROW(A225)))</f>
        <v/>
      </c>
      <c r="B225" s="4" t="e">
        <f ca="1">SplineInterp(INDIRECT("A" &amp; ROW()),INDIRECT("'" &amp;Master!$F$10&amp; "'!$A$2:$A$50"),INDIRECT("'" &amp;Master!$F$10&amp; "'!$B$2:$B$50"))</f>
        <v>#VALUE!</v>
      </c>
      <c r="C225" s="4" t="e">
        <f ca="1">SplineInterp(A225,INDIRECT("'" &amp;Master!$F$10&amp; "'!$A$2:$A$50"),INDIRECT("'" &amp;Master!$F$10&amp; "'!$C$2:$C$50"))</f>
        <v>#VALUE!</v>
      </c>
      <c r="D225" s="4" t="e">
        <f ca="1">SplineInterp(A225,INDIRECT("'" &amp;Master!$F$10&amp; "'!$A$2:$A$50"),INDIRECT("'" &amp;Master!$F$10&amp; "'!$D$2:$D$50"))</f>
        <v>#VALUE!</v>
      </c>
      <c r="E225" s="4" t="e">
        <f ca="1">SplineInterp(A225,INDIRECT("'" &amp;Master!$F$10&amp; "'!$A$2:$A$50"),INDIRECT("'" &amp;Master!$F$10&amp; "'!$E$2:$E$50"))</f>
        <v>#VALUE!</v>
      </c>
      <c r="F225" s="4" t="e">
        <f ca="1">SplineInterp(A225,INDIRECT("'" &amp;Master!$F$10&amp; "'!$A$2:$A$50"),INDIRECT("'" &amp;Master!$F$10&amp; "'!$F$2:$F$50"))</f>
        <v>#VALUE!</v>
      </c>
      <c r="G225" s="4" t="e">
        <f ca="1">SplineInterp(A225,INDIRECT("'" &amp;Master!$F$10&amp; "'!$A$2:$A$50"),INDIRECT("'" &amp;Master!$F$10&amp; "'!$G$2:$G$50"))</f>
        <v>#VALUE!</v>
      </c>
      <c r="H225" s="4" t="e">
        <f ca="1">SplineInterp(A225,INDIRECT("'" &amp;Master!$F$10&amp; "'!$A$2:$A$50"),INDIRECT("'" &amp;Master!$F$10&amp; "'!$H$2:$H$50"))</f>
        <v>#VALUE!</v>
      </c>
      <c r="I225" s="4" t="e">
        <f ca="1">IF(OR(INDIRECT("'" &amp; Master!$F$8 &amp; Master!$F$6 &amp; "'!B" &amp; ROW(B225))="", INDIRECT("'" &amp; Master!$F$8 &amp; Master!$F$6 &amp; "'!B" &amp; ROW(B225))=0), "", INDIRECT("'" &amp; Master!$F$8 &amp; Master!$F$6 &amp; "'!B" &amp; ROW(B225)))</f>
        <v>#VALUE!</v>
      </c>
      <c r="J225" s="9" t="e">
        <f t="shared" ca="1" si="21"/>
        <v>#VALUE!</v>
      </c>
      <c r="K225" s="7" t="e">
        <f t="shared" ca="1" si="22"/>
        <v>#VALUE!</v>
      </c>
      <c r="L225" s="7" t="e">
        <f t="shared" ca="1" si="23"/>
        <v>#VALUE!</v>
      </c>
      <c r="M225" s="7" t="e">
        <f t="shared" ca="1" si="24"/>
        <v>#VALUE!</v>
      </c>
      <c r="N225" s="7" t="e">
        <f t="shared" ca="1" si="25"/>
        <v>#VALUE!</v>
      </c>
      <c r="O225" s="7" t="e">
        <f t="shared" ca="1" si="26"/>
        <v>#VALUE!</v>
      </c>
      <c r="P225" s="7" t="e">
        <f t="shared" ca="1" si="27"/>
        <v>#VALUE!</v>
      </c>
    </row>
    <row r="226" spans="1:16" x14ac:dyDescent="0.25">
      <c r="A226" s="19" t="str">
        <f ca="1">IF(OR(INDIRECT("'" &amp; Master!$F$8 &amp; Master!$F$6 &amp; "'!A" &amp; ROW(A226))="", INDIRECT("'" &amp; Master!$F$8 &amp; Master!$F$6 &amp; "'!A" &amp; ROW(A226))=0), "", INDIRECT("'" &amp; Master!$F$8 &amp; Master!$F$6 &amp; "'!A" &amp; ROW(A226)))</f>
        <v/>
      </c>
      <c r="B226" s="4" t="e">
        <f ca="1">SplineInterp(INDIRECT("A" &amp; ROW()),INDIRECT("'" &amp;Master!$F$10&amp; "'!$A$2:$A$50"),INDIRECT("'" &amp;Master!$F$10&amp; "'!$B$2:$B$50"))</f>
        <v>#VALUE!</v>
      </c>
      <c r="C226" s="4" t="e">
        <f ca="1">SplineInterp(A226,INDIRECT("'" &amp;Master!$F$10&amp; "'!$A$2:$A$50"),INDIRECT("'" &amp;Master!$F$10&amp; "'!$C$2:$C$50"))</f>
        <v>#VALUE!</v>
      </c>
      <c r="D226" s="4" t="e">
        <f ca="1">SplineInterp(A226,INDIRECT("'" &amp;Master!$F$10&amp; "'!$A$2:$A$50"),INDIRECT("'" &amp;Master!$F$10&amp; "'!$D$2:$D$50"))</f>
        <v>#VALUE!</v>
      </c>
      <c r="E226" s="4" t="e">
        <f ca="1">SplineInterp(A226,INDIRECT("'" &amp;Master!$F$10&amp; "'!$A$2:$A$50"),INDIRECT("'" &amp;Master!$F$10&amp; "'!$E$2:$E$50"))</f>
        <v>#VALUE!</v>
      </c>
      <c r="F226" s="4" t="e">
        <f ca="1">SplineInterp(A226,INDIRECT("'" &amp;Master!$F$10&amp; "'!$A$2:$A$50"),INDIRECT("'" &amp;Master!$F$10&amp; "'!$F$2:$F$50"))</f>
        <v>#VALUE!</v>
      </c>
      <c r="G226" s="4" t="e">
        <f ca="1">SplineInterp(A226,INDIRECT("'" &amp;Master!$F$10&amp; "'!$A$2:$A$50"),INDIRECT("'" &amp;Master!$F$10&amp; "'!$G$2:$G$50"))</f>
        <v>#VALUE!</v>
      </c>
      <c r="H226" s="4" t="e">
        <f ca="1">SplineInterp(A226,INDIRECT("'" &amp;Master!$F$10&amp; "'!$A$2:$A$50"),INDIRECT("'" &amp;Master!$F$10&amp; "'!$H$2:$H$50"))</f>
        <v>#VALUE!</v>
      </c>
      <c r="I226" s="4" t="e">
        <f ca="1">IF(OR(INDIRECT("'" &amp; Master!$F$8 &amp; Master!$F$6 &amp; "'!B" &amp; ROW(B226))="", INDIRECT("'" &amp; Master!$F$8 &amp; Master!$F$6 &amp; "'!B" &amp; ROW(B226))=0), "", INDIRECT("'" &amp; Master!$F$8 &amp; Master!$F$6 &amp; "'!B" &amp; ROW(B226)))</f>
        <v>#VALUE!</v>
      </c>
      <c r="J226" s="9" t="e">
        <f t="shared" ca="1" si="21"/>
        <v>#VALUE!</v>
      </c>
      <c r="K226" s="7" t="e">
        <f t="shared" ca="1" si="22"/>
        <v>#VALUE!</v>
      </c>
      <c r="L226" s="7" t="e">
        <f t="shared" ca="1" si="23"/>
        <v>#VALUE!</v>
      </c>
      <c r="M226" s="7" t="e">
        <f t="shared" ca="1" si="24"/>
        <v>#VALUE!</v>
      </c>
      <c r="N226" s="7" t="e">
        <f t="shared" ca="1" si="25"/>
        <v>#VALUE!</v>
      </c>
      <c r="O226" s="7" t="e">
        <f t="shared" ca="1" si="26"/>
        <v>#VALUE!</v>
      </c>
      <c r="P226" s="7" t="e">
        <f t="shared" ca="1" si="27"/>
        <v>#VALUE!</v>
      </c>
    </row>
    <row r="227" spans="1:16" x14ac:dyDescent="0.25">
      <c r="A227" s="19" t="str">
        <f ca="1">IF(OR(INDIRECT("'" &amp; Master!$F$8 &amp; Master!$F$6 &amp; "'!A" &amp; ROW(A227))="", INDIRECT("'" &amp; Master!$F$8 &amp; Master!$F$6 &amp; "'!A" &amp; ROW(A227))=0), "", INDIRECT("'" &amp; Master!$F$8 &amp; Master!$F$6 &amp; "'!A" &amp; ROW(A227)))</f>
        <v/>
      </c>
      <c r="B227" s="4" t="e">
        <f ca="1">SplineInterp(INDIRECT("A" &amp; ROW()),INDIRECT("'" &amp;Master!$F$10&amp; "'!$A$2:$A$50"),INDIRECT("'" &amp;Master!$F$10&amp; "'!$B$2:$B$50"))</f>
        <v>#VALUE!</v>
      </c>
      <c r="C227" s="4" t="e">
        <f ca="1">SplineInterp(A227,INDIRECT("'" &amp;Master!$F$10&amp; "'!$A$2:$A$50"),INDIRECT("'" &amp;Master!$F$10&amp; "'!$C$2:$C$50"))</f>
        <v>#VALUE!</v>
      </c>
      <c r="D227" s="4" t="e">
        <f ca="1">SplineInterp(A227,INDIRECT("'" &amp;Master!$F$10&amp; "'!$A$2:$A$50"),INDIRECT("'" &amp;Master!$F$10&amp; "'!$D$2:$D$50"))</f>
        <v>#VALUE!</v>
      </c>
      <c r="E227" s="4" t="e">
        <f ca="1">SplineInterp(A227,INDIRECT("'" &amp;Master!$F$10&amp; "'!$A$2:$A$50"),INDIRECT("'" &amp;Master!$F$10&amp; "'!$E$2:$E$50"))</f>
        <v>#VALUE!</v>
      </c>
      <c r="F227" s="4" t="e">
        <f ca="1">SplineInterp(A227,INDIRECT("'" &amp;Master!$F$10&amp; "'!$A$2:$A$50"),INDIRECT("'" &amp;Master!$F$10&amp; "'!$F$2:$F$50"))</f>
        <v>#VALUE!</v>
      </c>
      <c r="G227" s="4" t="e">
        <f ca="1">SplineInterp(A227,INDIRECT("'" &amp;Master!$F$10&amp; "'!$A$2:$A$50"),INDIRECT("'" &amp;Master!$F$10&amp; "'!$G$2:$G$50"))</f>
        <v>#VALUE!</v>
      </c>
      <c r="H227" s="4" t="e">
        <f ca="1">SplineInterp(A227,INDIRECT("'" &amp;Master!$F$10&amp; "'!$A$2:$A$50"),INDIRECT("'" &amp;Master!$F$10&amp; "'!$H$2:$H$50"))</f>
        <v>#VALUE!</v>
      </c>
      <c r="I227" s="4" t="e">
        <f ca="1">IF(OR(INDIRECT("'" &amp; Master!$F$8 &amp; Master!$F$6 &amp; "'!B" &amp; ROW(B227))="", INDIRECT("'" &amp; Master!$F$8 &amp; Master!$F$6 &amp; "'!B" &amp; ROW(B227))=0), "", INDIRECT("'" &amp; Master!$F$8 &amp; Master!$F$6 &amp; "'!B" &amp; ROW(B227)))</f>
        <v>#VALUE!</v>
      </c>
      <c r="J227" s="9" t="e">
        <f t="shared" ca="1" si="21"/>
        <v>#VALUE!</v>
      </c>
      <c r="K227" s="7" t="e">
        <f t="shared" ca="1" si="22"/>
        <v>#VALUE!</v>
      </c>
      <c r="L227" s="7" t="e">
        <f t="shared" ca="1" si="23"/>
        <v>#VALUE!</v>
      </c>
      <c r="M227" s="7" t="e">
        <f t="shared" ca="1" si="24"/>
        <v>#VALUE!</v>
      </c>
      <c r="N227" s="7" t="e">
        <f t="shared" ca="1" si="25"/>
        <v>#VALUE!</v>
      </c>
      <c r="O227" s="7" t="e">
        <f t="shared" ca="1" si="26"/>
        <v>#VALUE!</v>
      </c>
      <c r="P227" s="7" t="e">
        <f t="shared" ca="1" si="27"/>
        <v>#VALUE!</v>
      </c>
    </row>
    <row r="228" spans="1:16" x14ac:dyDescent="0.25">
      <c r="A228" s="19" t="str">
        <f ca="1">IF(OR(INDIRECT("'" &amp; Master!$F$8 &amp; Master!$F$6 &amp; "'!A" &amp; ROW(A228))="", INDIRECT("'" &amp; Master!$F$8 &amp; Master!$F$6 &amp; "'!A" &amp; ROW(A228))=0), "", INDIRECT("'" &amp; Master!$F$8 &amp; Master!$F$6 &amp; "'!A" &amp; ROW(A228)))</f>
        <v/>
      </c>
      <c r="B228" s="4" t="e">
        <f ca="1">SplineInterp(INDIRECT("A" &amp; ROW()),INDIRECT("'" &amp;Master!$F$10&amp; "'!$A$2:$A$50"),INDIRECT("'" &amp;Master!$F$10&amp; "'!$B$2:$B$50"))</f>
        <v>#VALUE!</v>
      </c>
      <c r="C228" s="4" t="e">
        <f ca="1">SplineInterp(A228,INDIRECT("'" &amp;Master!$F$10&amp; "'!$A$2:$A$50"),INDIRECT("'" &amp;Master!$F$10&amp; "'!$C$2:$C$50"))</f>
        <v>#VALUE!</v>
      </c>
      <c r="D228" s="4" t="e">
        <f ca="1">SplineInterp(A228,INDIRECT("'" &amp;Master!$F$10&amp; "'!$A$2:$A$50"),INDIRECT("'" &amp;Master!$F$10&amp; "'!$D$2:$D$50"))</f>
        <v>#VALUE!</v>
      </c>
      <c r="E228" s="4" t="e">
        <f ca="1">SplineInterp(A228,INDIRECT("'" &amp;Master!$F$10&amp; "'!$A$2:$A$50"),INDIRECT("'" &amp;Master!$F$10&amp; "'!$E$2:$E$50"))</f>
        <v>#VALUE!</v>
      </c>
      <c r="F228" s="4" t="e">
        <f ca="1">SplineInterp(A228,INDIRECT("'" &amp;Master!$F$10&amp; "'!$A$2:$A$50"),INDIRECT("'" &amp;Master!$F$10&amp; "'!$F$2:$F$50"))</f>
        <v>#VALUE!</v>
      </c>
      <c r="G228" s="4" t="e">
        <f ca="1">SplineInterp(A228,INDIRECT("'" &amp;Master!$F$10&amp; "'!$A$2:$A$50"),INDIRECT("'" &amp;Master!$F$10&amp; "'!$G$2:$G$50"))</f>
        <v>#VALUE!</v>
      </c>
      <c r="H228" s="4" t="e">
        <f ca="1">SplineInterp(A228,INDIRECT("'" &amp;Master!$F$10&amp; "'!$A$2:$A$50"),INDIRECT("'" &amp;Master!$F$10&amp; "'!$H$2:$H$50"))</f>
        <v>#VALUE!</v>
      </c>
      <c r="I228" s="4" t="e">
        <f ca="1">IF(OR(INDIRECT("'" &amp; Master!$F$8 &amp; Master!$F$6 &amp; "'!B" &amp; ROW(B228))="", INDIRECT("'" &amp; Master!$F$8 &amp; Master!$F$6 &amp; "'!B" &amp; ROW(B228))=0), "", INDIRECT("'" &amp; Master!$F$8 &amp; Master!$F$6 &amp; "'!B" &amp; ROW(B228)))</f>
        <v>#VALUE!</v>
      </c>
      <c r="J228" s="9" t="e">
        <f t="shared" ca="1" si="21"/>
        <v>#VALUE!</v>
      </c>
      <c r="K228" s="7" t="e">
        <f t="shared" ca="1" si="22"/>
        <v>#VALUE!</v>
      </c>
      <c r="L228" s="7" t="e">
        <f t="shared" ca="1" si="23"/>
        <v>#VALUE!</v>
      </c>
      <c r="M228" s="7" t="e">
        <f t="shared" ca="1" si="24"/>
        <v>#VALUE!</v>
      </c>
      <c r="N228" s="7" t="e">
        <f t="shared" ca="1" si="25"/>
        <v>#VALUE!</v>
      </c>
      <c r="O228" s="7" t="e">
        <f t="shared" ca="1" si="26"/>
        <v>#VALUE!</v>
      </c>
      <c r="P228" s="7" t="e">
        <f t="shared" ca="1" si="27"/>
        <v>#VALUE!</v>
      </c>
    </row>
    <row r="229" spans="1:16" x14ac:dyDescent="0.25">
      <c r="A229" s="19" t="str">
        <f ca="1">IF(OR(INDIRECT("'" &amp; Master!$F$8 &amp; Master!$F$6 &amp; "'!A" &amp; ROW(A229))="", INDIRECT("'" &amp; Master!$F$8 &amp; Master!$F$6 &amp; "'!A" &amp; ROW(A229))=0), "", INDIRECT("'" &amp; Master!$F$8 &amp; Master!$F$6 &amp; "'!A" &amp; ROW(A229)))</f>
        <v/>
      </c>
      <c r="B229" s="4" t="e">
        <f ca="1">SplineInterp(INDIRECT("A" &amp; ROW()),INDIRECT("'" &amp;Master!$F$10&amp; "'!$A$2:$A$50"),INDIRECT("'" &amp;Master!$F$10&amp; "'!$B$2:$B$50"))</f>
        <v>#VALUE!</v>
      </c>
      <c r="C229" s="4" t="e">
        <f ca="1">SplineInterp(A229,INDIRECT("'" &amp;Master!$F$10&amp; "'!$A$2:$A$50"),INDIRECT("'" &amp;Master!$F$10&amp; "'!$C$2:$C$50"))</f>
        <v>#VALUE!</v>
      </c>
      <c r="D229" s="4" t="e">
        <f ca="1">SplineInterp(A229,INDIRECT("'" &amp;Master!$F$10&amp; "'!$A$2:$A$50"),INDIRECT("'" &amp;Master!$F$10&amp; "'!$D$2:$D$50"))</f>
        <v>#VALUE!</v>
      </c>
      <c r="E229" s="4" t="e">
        <f ca="1">SplineInterp(A229,INDIRECT("'" &amp;Master!$F$10&amp; "'!$A$2:$A$50"),INDIRECT("'" &amp;Master!$F$10&amp; "'!$E$2:$E$50"))</f>
        <v>#VALUE!</v>
      </c>
      <c r="F229" s="4" t="e">
        <f ca="1">SplineInterp(A229,INDIRECT("'" &amp;Master!$F$10&amp; "'!$A$2:$A$50"),INDIRECT("'" &amp;Master!$F$10&amp; "'!$F$2:$F$50"))</f>
        <v>#VALUE!</v>
      </c>
      <c r="G229" s="4" t="e">
        <f ca="1">SplineInterp(A229,INDIRECT("'" &amp;Master!$F$10&amp; "'!$A$2:$A$50"),INDIRECT("'" &amp;Master!$F$10&amp; "'!$G$2:$G$50"))</f>
        <v>#VALUE!</v>
      </c>
      <c r="H229" s="4" t="e">
        <f ca="1">SplineInterp(A229,INDIRECT("'" &amp;Master!$F$10&amp; "'!$A$2:$A$50"),INDIRECT("'" &amp;Master!$F$10&amp; "'!$H$2:$H$50"))</f>
        <v>#VALUE!</v>
      </c>
      <c r="I229" s="4" t="e">
        <f ca="1">IF(OR(INDIRECT("'" &amp; Master!$F$8 &amp; Master!$F$6 &amp; "'!B" &amp; ROW(B229))="", INDIRECT("'" &amp; Master!$F$8 &amp; Master!$F$6 &amp; "'!B" &amp; ROW(B229))=0), "", INDIRECT("'" &amp; Master!$F$8 &amp; Master!$F$6 &amp; "'!B" &amp; ROW(B229)))</f>
        <v>#VALUE!</v>
      </c>
      <c r="J229" s="9" t="e">
        <f t="shared" ca="1" si="21"/>
        <v>#VALUE!</v>
      </c>
      <c r="K229" s="7" t="e">
        <f t="shared" ca="1" si="22"/>
        <v>#VALUE!</v>
      </c>
      <c r="L229" s="7" t="e">
        <f t="shared" ca="1" si="23"/>
        <v>#VALUE!</v>
      </c>
      <c r="M229" s="7" t="e">
        <f t="shared" ca="1" si="24"/>
        <v>#VALUE!</v>
      </c>
      <c r="N229" s="7" t="e">
        <f t="shared" ca="1" si="25"/>
        <v>#VALUE!</v>
      </c>
      <c r="O229" s="7" t="e">
        <f t="shared" ca="1" si="26"/>
        <v>#VALUE!</v>
      </c>
      <c r="P229" s="7" t="e">
        <f t="shared" ca="1" si="27"/>
        <v>#VALUE!</v>
      </c>
    </row>
    <row r="230" spans="1:16" x14ac:dyDescent="0.25">
      <c r="A230" s="19" t="str">
        <f ca="1">IF(OR(INDIRECT("'" &amp; Master!$F$8 &amp; Master!$F$6 &amp; "'!A" &amp; ROW(A230))="", INDIRECT("'" &amp; Master!$F$8 &amp; Master!$F$6 &amp; "'!A" &amp; ROW(A230))=0), "", INDIRECT("'" &amp; Master!$F$8 &amp; Master!$F$6 &amp; "'!A" &amp; ROW(A230)))</f>
        <v/>
      </c>
      <c r="B230" s="4" t="e">
        <f ca="1">SplineInterp(INDIRECT("A" &amp; ROW()),INDIRECT("'" &amp;Master!$F$10&amp; "'!$A$2:$A$50"),INDIRECT("'" &amp;Master!$F$10&amp; "'!$B$2:$B$50"))</f>
        <v>#VALUE!</v>
      </c>
      <c r="C230" s="4" t="e">
        <f ca="1">SplineInterp(A230,INDIRECT("'" &amp;Master!$F$10&amp; "'!$A$2:$A$50"),INDIRECT("'" &amp;Master!$F$10&amp; "'!$C$2:$C$50"))</f>
        <v>#VALUE!</v>
      </c>
      <c r="D230" s="4" t="e">
        <f ca="1">SplineInterp(A230,INDIRECT("'" &amp;Master!$F$10&amp; "'!$A$2:$A$50"),INDIRECT("'" &amp;Master!$F$10&amp; "'!$D$2:$D$50"))</f>
        <v>#VALUE!</v>
      </c>
      <c r="E230" s="4" t="e">
        <f ca="1">SplineInterp(A230,INDIRECT("'" &amp;Master!$F$10&amp; "'!$A$2:$A$50"),INDIRECT("'" &amp;Master!$F$10&amp; "'!$E$2:$E$50"))</f>
        <v>#VALUE!</v>
      </c>
      <c r="F230" s="4" t="e">
        <f ca="1">SplineInterp(A230,INDIRECT("'" &amp;Master!$F$10&amp; "'!$A$2:$A$50"),INDIRECT("'" &amp;Master!$F$10&amp; "'!$F$2:$F$50"))</f>
        <v>#VALUE!</v>
      </c>
      <c r="G230" s="4" t="e">
        <f ca="1">SplineInterp(A230,INDIRECT("'" &amp;Master!$F$10&amp; "'!$A$2:$A$50"),INDIRECT("'" &amp;Master!$F$10&amp; "'!$G$2:$G$50"))</f>
        <v>#VALUE!</v>
      </c>
      <c r="H230" s="4" t="e">
        <f ca="1">SplineInterp(A230,INDIRECT("'" &amp;Master!$F$10&amp; "'!$A$2:$A$50"),INDIRECT("'" &amp;Master!$F$10&amp; "'!$H$2:$H$50"))</f>
        <v>#VALUE!</v>
      </c>
      <c r="I230" s="4" t="e">
        <f ca="1">IF(OR(INDIRECT("'" &amp; Master!$F$8 &amp; Master!$F$6 &amp; "'!B" &amp; ROW(B230))="", INDIRECT("'" &amp; Master!$F$8 &amp; Master!$F$6 &amp; "'!B" &amp; ROW(B230))=0), "", INDIRECT("'" &amp; Master!$F$8 &amp; Master!$F$6 &amp; "'!B" &amp; ROW(B230)))</f>
        <v>#VALUE!</v>
      </c>
      <c r="J230" s="9" t="e">
        <f t="shared" ca="1" si="21"/>
        <v>#VALUE!</v>
      </c>
      <c r="K230" s="7" t="e">
        <f t="shared" ca="1" si="22"/>
        <v>#VALUE!</v>
      </c>
      <c r="L230" s="7" t="e">
        <f t="shared" ca="1" si="23"/>
        <v>#VALUE!</v>
      </c>
      <c r="M230" s="7" t="e">
        <f t="shared" ca="1" si="24"/>
        <v>#VALUE!</v>
      </c>
      <c r="N230" s="7" t="e">
        <f t="shared" ca="1" si="25"/>
        <v>#VALUE!</v>
      </c>
      <c r="O230" s="7" t="e">
        <f t="shared" ca="1" si="26"/>
        <v>#VALUE!</v>
      </c>
      <c r="P230" s="7" t="e">
        <f t="shared" ca="1" si="27"/>
        <v>#VALUE!</v>
      </c>
    </row>
    <row r="231" spans="1:16" x14ac:dyDescent="0.25">
      <c r="A231" s="19" t="str">
        <f ca="1">IF(OR(INDIRECT("'" &amp; Master!$F$8 &amp; Master!$F$6 &amp; "'!A" &amp; ROW(A231))="", INDIRECT("'" &amp; Master!$F$8 &amp; Master!$F$6 &amp; "'!A" &amp; ROW(A231))=0), "", INDIRECT("'" &amp; Master!$F$8 &amp; Master!$F$6 &amp; "'!A" &amp; ROW(A231)))</f>
        <v/>
      </c>
      <c r="B231" s="4" t="e">
        <f ca="1">SplineInterp(INDIRECT("A" &amp; ROW()),INDIRECT("'" &amp;Master!$F$10&amp; "'!$A$2:$A$50"),INDIRECT("'" &amp;Master!$F$10&amp; "'!$B$2:$B$50"))</f>
        <v>#VALUE!</v>
      </c>
      <c r="C231" s="4" t="e">
        <f ca="1">SplineInterp(A231,INDIRECT("'" &amp;Master!$F$10&amp; "'!$A$2:$A$50"),INDIRECT("'" &amp;Master!$F$10&amp; "'!$C$2:$C$50"))</f>
        <v>#VALUE!</v>
      </c>
      <c r="D231" s="4" t="e">
        <f ca="1">SplineInterp(A231,INDIRECT("'" &amp;Master!$F$10&amp; "'!$A$2:$A$50"),INDIRECT("'" &amp;Master!$F$10&amp; "'!$D$2:$D$50"))</f>
        <v>#VALUE!</v>
      </c>
      <c r="E231" s="4" t="e">
        <f ca="1">SplineInterp(A231,INDIRECT("'" &amp;Master!$F$10&amp; "'!$A$2:$A$50"),INDIRECT("'" &amp;Master!$F$10&amp; "'!$E$2:$E$50"))</f>
        <v>#VALUE!</v>
      </c>
      <c r="F231" s="4" t="e">
        <f ca="1">SplineInterp(A231,INDIRECT("'" &amp;Master!$F$10&amp; "'!$A$2:$A$50"),INDIRECT("'" &amp;Master!$F$10&amp; "'!$F$2:$F$50"))</f>
        <v>#VALUE!</v>
      </c>
      <c r="G231" s="4" t="e">
        <f ca="1">SplineInterp(A231,INDIRECT("'" &amp;Master!$F$10&amp; "'!$A$2:$A$50"),INDIRECT("'" &amp;Master!$F$10&amp; "'!$G$2:$G$50"))</f>
        <v>#VALUE!</v>
      </c>
      <c r="H231" s="4" t="e">
        <f ca="1">SplineInterp(A231,INDIRECT("'" &amp;Master!$F$10&amp; "'!$A$2:$A$50"),INDIRECT("'" &amp;Master!$F$10&amp; "'!$H$2:$H$50"))</f>
        <v>#VALUE!</v>
      </c>
      <c r="I231" s="4" t="e">
        <f ca="1">IF(OR(INDIRECT("'" &amp; Master!$F$8 &amp; Master!$F$6 &amp; "'!B" &amp; ROW(B231))="", INDIRECT("'" &amp; Master!$F$8 &amp; Master!$F$6 &amp; "'!B" &amp; ROW(B231))=0), "", INDIRECT("'" &amp; Master!$F$8 &amp; Master!$F$6 &amp; "'!B" &amp; ROW(B231)))</f>
        <v>#VALUE!</v>
      </c>
      <c r="J231" s="9" t="e">
        <f t="shared" ca="1" si="21"/>
        <v>#VALUE!</v>
      </c>
      <c r="K231" s="7" t="e">
        <f t="shared" ca="1" si="22"/>
        <v>#VALUE!</v>
      </c>
      <c r="L231" s="7" t="e">
        <f t="shared" ca="1" si="23"/>
        <v>#VALUE!</v>
      </c>
      <c r="M231" s="7" t="e">
        <f t="shared" ca="1" si="24"/>
        <v>#VALUE!</v>
      </c>
      <c r="N231" s="7" t="e">
        <f t="shared" ca="1" si="25"/>
        <v>#VALUE!</v>
      </c>
      <c r="O231" s="7" t="e">
        <f t="shared" ca="1" si="26"/>
        <v>#VALUE!</v>
      </c>
      <c r="P231" s="7" t="e">
        <f t="shared" ca="1" si="27"/>
        <v>#VALUE!</v>
      </c>
    </row>
    <row r="232" spans="1:16" x14ac:dyDescent="0.25">
      <c r="A232" s="19" t="str">
        <f ca="1">IF(OR(INDIRECT("'" &amp; Master!$F$8 &amp; Master!$F$6 &amp; "'!A" &amp; ROW(A232))="", INDIRECT("'" &amp; Master!$F$8 &amp; Master!$F$6 &amp; "'!A" &amp; ROW(A232))=0), "", INDIRECT("'" &amp; Master!$F$8 &amp; Master!$F$6 &amp; "'!A" &amp; ROW(A232)))</f>
        <v/>
      </c>
      <c r="B232" s="4" t="e">
        <f ca="1">SplineInterp(INDIRECT("A" &amp; ROW()),INDIRECT("'" &amp;Master!$F$10&amp; "'!$A$2:$A$50"),INDIRECT("'" &amp;Master!$F$10&amp; "'!$B$2:$B$50"))</f>
        <v>#VALUE!</v>
      </c>
      <c r="C232" s="4" t="e">
        <f ca="1">SplineInterp(A232,INDIRECT("'" &amp;Master!$F$10&amp; "'!$A$2:$A$50"),INDIRECT("'" &amp;Master!$F$10&amp; "'!$C$2:$C$50"))</f>
        <v>#VALUE!</v>
      </c>
      <c r="D232" s="4" t="e">
        <f ca="1">SplineInterp(A232,INDIRECT("'" &amp;Master!$F$10&amp; "'!$A$2:$A$50"),INDIRECT("'" &amp;Master!$F$10&amp; "'!$D$2:$D$50"))</f>
        <v>#VALUE!</v>
      </c>
      <c r="E232" s="4" t="e">
        <f ca="1">SplineInterp(A232,INDIRECT("'" &amp;Master!$F$10&amp; "'!$A$2:$A$50"),INDIRECT("'" &amp;Master!$F$10&amp; "'!$E$2:$E$50"))</f>
        <v>#VALUE!</v>
      </c>
      <c r="F232" s="4" t="e">
        <f ca="1">SplineInterp(A232,INDIRECT("'" &amp;Master!$F$10&amp; "'!$A$2:$A$50"),INDIRECT("'" &amp;Master!$F$10&amp; "'!$F$2:$F$50"))</f>
        <v>#VALUE!</v>
      </c>
      <c r="G232" s="4" t="e">
        <f ca="1">SplineInterp(A232,INDIRECT("'" &amp;Master!$F$10&amp; "'!$A$2:$A$50"),INDIRECT("'" &amp;Master!$F$10&amp; "'!$G$2:$G$50"))</f>
        <v>#VALUE!</v>
      </c>
      <c r="H232" s="4" t="e">
        <f ca="1">SplineInterp(A232,INDIRECT("'" &amp;Master!$F$10&amp; "'!$A$2:$A$50"),INDIRECT("'" &amp;Master!$F$10&amp; "'!$H$2:$H$50"))</f>
        <v>#VALUE!</v>
      </c>
      <c r="I232" s="4" t="e">
        <f ca="1">IF(OR(INDIRECT("'" &amp; Master!$F$8 &amp; Master!$F$6 &amp; "'!B" &amp; ROW(B232))="", INDIRECT("'" &amp; Master!$F$8 &amp; Master!$F$6 &amp; "'!B" &amp; ROW(B232))=0), "", INDIRECT("'" &amp; Master!$F$8 &amp; Master!$F$6 &amp; "'!B" &amp; ROW(B232)))</f>
        <v>#VALUE!</v>
      </c>
      <c r="J232" s="9" t="e">
        <f t="shared" ca="1" si="21"/>
        <v>#VALUE!</v>
      </c>
      <c r="K232" s="7" t="e">
        <f t="shared" ca="1" si="22"/>
        <v>#VALUE!</v>
      </c>
      <c r="L232" s="7" t="e">
        <f t="shared" ca="1" si="23"/>
        <v>#VALUE!</v>
      </c>
      <c r="M232" s="7" t="e">
        <f t="shared" ca="1" si="24"/>
        <v>#VALUE!</v>
      </c>
      <c r="N232" s="7" t="e">
        <f t="shared" ca="1" si="25"/>
        <v>#VALUE!</v>
      </c>
      <c r="O232" s="7" t="e">
        <f t="shared" ca="1" si="26"/>
        <v>#VALUE!</v>
      </c>
      <c r="P232" s="7" t="e">
        <f t="shared" ca="1" si="27"/>
        <v>#VALUE!</v>
      </c>
    </row>
    <row r="233" spans="1:16" x14ac:dyDescent="0.25">
      <c r="A233" s="19" t="str">
        <f ca="1">IF(OR(INDIRECT("'" &amp; Master!$F$8 &amp; Master!$F$6 &amp; "'!A" &amp; ROW(A233))="", INDIRECT("'" &amp; Master!$F$8 &amp; Master!$F$6 &amp; "'!A" &amp; ROW(A233))=0), "", INDIRECT("'" &amp; Master!$F$8 &amp; Master!$F$6 &amp; "'!A" &amp; ROW(A233)))</f>
        <v/>
      </c>
      <c r="B233" s="4" t="e">
        <f ca="1">SplineInterp(INDIRECT("A" &amp; ROW()),INDIRECT("'" &amp;Master!$F$10&amp; "'!$A$2:$A$50"),INDIRECT("'" &amp;Master!$F$10&amp; "'!$B$2:$B$50"))</f>
        <v>#VALUE!</v>
      </c>
      <c r="C233" s="4" t="e">
        <f ca="1">SplineInterp(A233,INDIRECT("'" &amp;Master!$F$10&amp; "'!$A$2:$A$50"),INDIRECT("'" &amp;Master!$F$10&amp; "'!$C$2:$C$50"))</f>
        <v>#VALUE!</v>
      </c>
      <c r="D233" s="4" t="e">
        <f ca="1">SplineInterp(A233,INDIRECT("'" &amp;Master!$F$10&amp; "'!$A$2:$A$50"),INDIRECT("'" &amp;Master!$F$10&amp; "'!$D$2:$D$50"))</f>
        <v>#VALUE!</v>
      </c>
      <c r="E233" s="4" t="e">
        <f ca="1">SplineInterp(A233,INDIRECT("'" &amp;Master!$F$10&amp; "'!$A$2:$A$50"),INDIRECT("'" &amp;Master!$F$10&amp; "'!$E$2:$E$50"))</f>
        <v>#VALUE!</v>
      </c>
      <c r="F233" s="4" t="e">
        <f ca="1">SplineInterp(A233,INDIRECT("'" &amp;Master!$F$10&amp; "'!$A$2:$A$50"),INDIRECT("'" &amp;Master!$F$10&amp; "'!$F$2:$F$50"))</f>
        <v>#VALUE!</v>
      </c>
      <c r="G233" s="4" t="e">
        <f ca="1">SplineInterp(A233,INDIRECT("'" &amp;Master!$F$10&amp; "'!$A$2:$A$50"),INDIRECT("'" &amp;Master!$F$10&amp; "'!$G$2:$G$50"))</f>
        <v>#VALUE!</v>
      </c>
      <c r="H233" s="4" t="e">
        <f ca="1">SplineInterp(A233,INDIRECT("'" &amp;Master!$F$10&amp; "'!$A$2:$A$50"),INDIRECT("'" &amp;Master!$F$10&amp; "'!$H$2:$H$50"))</f>
        <v>#VALUE!</v>
      </c>
      <c r="I233" s="4" t="e">
        <f ca="1">IF(OR(INDIRECT("'" &amp; Master!$F$8 &amp; Master!$F$6 &amp; "'!B" &amp; ROW(B233))="", INDIRECT("'" &amp; Master!$F$8 &amp; Master!$F$6 &amp; "'!B" &amp; ROW(B233))=0), "", INDIRECT("'" &amp; Master!$F$8 &amp; Master!$F$6 &amp; "'!B" &amp; ROW(B233)))</f>
        <v>#VALUE!</v>
      </c>
      <c r="J233" s="9" t="e">
        <f t="shared" ca="1" si="21"/>
        <v>#VALUE!</v>
      </c>
      <c r="K233" s="7" t="e">
        <f t="shared" ca="1" si="22"/>
        <v>#VALUE!</v>
      </c>
      <c r="L233" s="7" t="e">
        <f t="shared" ca="1" si="23"/>
        <v>#VALUE!</v>
      </c>
      <c r="M233" s="7" t="e">
        <f t="shared" ca="1" si="24"/>
        <v>#VALUE!</v>
      </c>
      <c r="N233" s="7" t="e">
        <f t="shared" ca="1" si="25"/>
        <v>#VALUE!</v>
      </c>
      <c r="O233" s="7" t="e">
        <f t="shared" ca="1" si="26"/>
        <v>#VALUE!</v>
      </c>
      <c r="P233" s="7" t="e">
        <f t="shared" ca="1" si="27"/>
        <v>#VALUE!</v>
      </c>
    </row>
    <row r="234" spans="1:16" x14ac:dyDescent="0.25">
      <c r="A234" s="19" t="str">
        <f ca="1">IF(OR(INDIRECT("'" &amp; Master!$F$8 &amp; Master!$F$6 &amp; "'!A" &amp; ROW(A234))="", INDIRECT("'" &amp; Master!$F$8 &amp; Master!$F$6 &amp; "'!A" &amp; ROW(A234))=0), "", INDIRECT("'" &amp; Master!$F$8 &amp; Master!$F$6 &amp; "'!A" &amp; ROW(A234)))</f>
        <v/>
      </c>
      <c r="B234" s="4" t="e">
        <f ca="1">SplineInterp(INDIRECT("A" &amp; ROW()),INDIRECT("'" &amp;Master!$F$10&amp; "'!$A$2:$A$50"),INDIRECT("'" &amp;Master!$F$10&amp; "'!$B$2:$B$50"))</f>
        <v>#VALUE!</v>
      </c>
      <c r="C234" s="4" t="e">
        <f ca="1">SplineInterp(A234,INDIRECT("'" &amp;Master!$F$10&amp; "'!$A$2:$A$50"),INDIRECT("'" &amp;Master!$F$10&amp; "'!$C$2:$C$50"))</f>
        <v>#VALUE!</v>
      </c>
      <c r="D234" s="4" t="e">
        <f ca="1">SplineInterp(A234,INDIRECT("'" &amp;Master!$F$10&amp; "'!$A$2:$A$50"),INDIRECT("'" &amp;Master!$F$10&amp; "'!$D$2:$D$50"))</f>
        <v>#VALUE!</v>
      </c>
      <c r="E234" s="4" t="e">
        <f ca="1">SplineInterp(A234,INDIRECT("'" &amp;Master!$F$10&amp; "'!$A$2:$A$50"),INDIRECT("'" &amp;Master!$F$10&amp; "'!$E$2:$E$50"))</f>
        <v>#VALUE!</v>
      </c>
      <c r="F234" s="4" t="e">
        <f ca="1">SplineInterp(A234,INDIRECT("'" &amp;Master!$F$10&amp; "'!$A$2:$A$50"),INDIRECT("'" &amp;Master!$F$10&amp; "'!$F$2:$F$50"))</f>
        <v>#VALUE!</v>
      </c>
      <c r="G234" s="4" t="e">
        <f ca="1">SplineInterp(A234,INDIRECT("'" &amp;Master!$F$10&amp; "'!$A$2:$A$50"),INDIRECT("'" &amp;Master!$F$10&amp; "'!$G$2:$G$50"))</f>
        <v>#VALUE!</v>
      </c>
      <c r="H234" s="4" t="e">
        <f ca="1">SplineInterp(A234,INDIRECT("'" &amp;Master!$F$10&amp; "'!$A$2:$A$50"),INDIRECT("'" &amp;Master!$F$10&amp; "'!$H$2:$H$50"))</f>
        <v>#VALUE!</v>
      </c>
      <c r="I234" s="4" t="e">
        <f ca="1">IF(OR(INDIRECT("'" &amp; Master!$F$8 &amp; Master!$F$6 &amp; "'!B" &amp; ROW(B234))="", INDIRECT("'" &amp; Master!$F$8 &amp; Master!$F$6 &amp; "'!B" &amp; ROW(B234))=0), "", INDIRECT("'" &amp; Master!$F$8 &amp; Master!$F$6 &amp; "'!B" &amp; ROW(B234)))</f>
        <v>#VALUE!</v>
      </c>
      <c r="J234" s="9" t="e">
        <f t="shared" ca="1" si="21"/>
        <v>#VALUE!</v>
      </c>
      <c r="K234" s="7" t="e">
        <f t="shared" ca="1" si="22"/>
        <v>#VALUE!</v>
      </c>
      <c r="L234" s="7" t="e">
        <f t="shared" ca="1" si="23"/>
        <v>#VALUE!</v>
      </c>
      <c r="M234" s="7" t="e">
        <f t="shared" ca="1" si="24"/>
        <v>#VALUE!</v>
      </c>
      <c r="N234" s="7" t="e">
        <f t="shared" ca="1" si="25"/>
        <v>#VALUE!</v>
      </c>
      <c r="O234" s="7" t="e">
        <f t="shared" ca="1" si="26"/>
        <v>#VALUE!</v>
      </c>
      <c r="P234" s="7" t="e">
        <f t="shared" ca="1" si="27"/>
        <v>#VALUE!</v>
      </c>
    </row>
    <row r="235" spans="1:16" x14ac:dyDescent="0.25">
      <c r="A235" s="19" t="str">
        <f ca="1">IF(OR(INDIRECT("'" &amp; Master!$F$8 &amp; Master!$F$6 &amp; "'!A" &amp; ROW(A235))="", INDIRECT("'" &amp; Master!$F$8 &amp; Master!$F$6 &amp; "'!A" &amp; ROW(A235))=0), "", INDIRECT("'" &amp; Master!$F$8 &amp; Master!$F$6 &amp; "'!A" &amp; ROW(A235)))</f>
        <v/>
      </c>
      <c r="B235" s="4" t="e">
        <f ca="1">SplineInterp(INDIRECT("A" &amp; ROW()),INDIRECT("'" &amp;Master!$F$10&amp; "'!$A$2:$A$50"),INDIRECT("'" &amp;Master!$F$10&amp; "'!$B$2:$B$50"))</f>
        <v>#VALUE!</v>
      </c>
      <c r="C235" s="4" t="e">
        <f ca="1">SplineInterp(A235,INDIRECT("'" &amp;Master!$F$10&amp; "'!$A$2:$A$50"),INDIRECT("'" &amp;Master!$F$10&amp; "'!$C$2:$C$50"))</f>
        <v>#VALUE!</v>
      </c>
      <c r="D235" s="4" t="e">
        <f ca="1">SplineInterp(A235,INDIRECT("'" &amp;Master!$F$10&amp; "'!$A$2:$A$50"),INDIRECT("'" &amp;Master!$F$10&amp; "'!$D$2:$D$50"))</f>
        <v>#VALUE!</v>
      </c>
      <c r="E235" s="4" t="e">
        <f ca="1">SplineInterp(A235,INDIRECT("'" &amp;Master!$F$10&amp; "'!$A$2:$A$50"),INDIRECT("'" &amp;Master!$F$10&amp; "'!$E$2:$E$50"))</f>
        <v>#VALUE!</v>
      </c>
      <c r="F235" s="4" t="e">
        <f ca="1">SplineInterp(A235,INDIRECT("'" &amp;Master!$F$10&amp; "'!$A$2:$A$50"),INDIRECT("'" &amp;Master!$F$10&amp; "'!$F$2:$F$50"))</f>
        <v>#VALUE!</v>
      </c>
      <c r="G235" s="4" t="e">
        <f ca="1">SplineInterp(A235,INDIRECT("'" &amp;Master!$F$10&amp; "'!$A$2:$A$50"),INDIRECT("'" &amp;Master!$F$10&amp; "'!$G$2:$G$50"))</f>
        <v>#VALUE!</v>
      </c>
      <c r="H235" s="4" t="e">
        <f ca="1">SplineInterp(A235,INDIRECT("'" &amp;Master!$F$10&amp; "'!$A$2:$A$50"),INDIRECT("'" &amp;Master!$F$10&amp; "'!$H$2:$H$50"))</f>
        <v>#VALUE!</v>
      </c>
      <c r="I235" s="4" t="e">
        <f ca="1">IF(OR(INDIRECT("'" &amp; Master!$F$8 &amp; Master!$F$6 &amp; "'!B" &amp; ROW(B235))="", INDIRECT("'" &amp; Master!$F$8 &amp; Master!$F$6 &amp; "'!B" &amp; ROW(B235))=0), "", INDIRECT("'" &amp; Master!$F$8 &amp; Master!$F$6 &amp; "'!B" &amp; ROW(B235)))</f>
        <v>#VALUE!</v>
      </c>
      <c r="J235" s="9" t="e">
        <f t="shared" ca="1" si="21"/>
        <v>#VALUE!</v>
      </c>
      <c r="K235" s="7" t="e">
        <f t="shared" ca="1" si="22"/>
        <v>#VALUE!</v>
      </c>
      <c r="L235" s="7" t="e">
        <f t="shared" ca="1" si="23"/>
        <v>#VALUE!</v>
      </c>
      <c r="M235" s="7" t="e">
        <f t="shared" ca="1" si="24"/>
        <v>#VALUE!</v>
      </c>
      <c r="N235" s="7" t="e">
        <f t="shared" ca="1" si="25"/>
        <v>#VALUE!</v>
      </c>
      <c r="O235" s="7" t="e">
        <f t="shared" ca="1" si="26"/>
        <v>#VALUE!</v>
      </c>
      <c r="P235" s="7" t="e">
        <f t="shared" ca="1" si="27"/>
        <v>#VALUE!</v>
      </c>
    </row>
    <row r="236" spans="1:16" x14ac:dyDescent="0.25">
      <c r="A236" s="19" t="str">
        <f ca="1">IF(OR(INDIRECT("'" &amp; Master!$F$8 &amp; Master!$F$6 &amp; "'!A" &amp; ROW(A236))="", INDIRECT("'" &amp; Master!$F$8 &amp; Master!$F$6 &amp; "'!A" &amp; ROW(A236))=0), "", INDIRECT("'" &amp; Master!$F$8 &amp; Master!$F$6 &amp; "'!A" &amp; ROW(A236)))</f>
        <v/>
      </c>
      <c r="B236" s="4" t="e">
        <f ca="1">SplineInterp(INDIRECT("A" &amp; ROW()),INDIRECT("'" &amp;Master!$F$10&amp; "'!$A$2:$A$50"),INDIRECT("'" &amp;Master!$F$10&amp; "'!$B$2:$B$50"))</f>
        <v>#VALUE!</v>
      </c>
      <c r="C236" s="4" t="e">
        <f ca="1">SplineInterp(A236,INDIRECT("'" &amp;Master!$F$10&amp; "'!$A$2:$A$50"),INDIRECT("'" &amp;Master!$F$10&amp; "'!$C$2:$C$50"))</f>
        <v>#VALUE!</v>
      </c>
      <c r="D236" s="4" t="e">
        <f ca="1">SplineInterp(A236,INDIRECT("'" &amp;Master!$F$10&amp; "'!$A$2:$A$50"),INDIRECT("'" &amp;Master!$F$10&amp; "'!$D$2:$D$50"))</f>
        <v>#VALUE!</v>
      </c>
      <c r="E236" s="4" t="e">
        <f ca="1">SplineInterp(A236,INDIRECT("'" &amp;Master!$F$10&amp; "'!$A$2:$A$50"),INDIRECT("'" &amp;Master!$F$10&amp; "'!$E$2:$E$50"))</f>
        <v>#VALUE!</v>
      </c>
      <c r="F236" s="4" t="e">
        <f ca="1">SplineInterp(A236,INDIRECT("'" &amp;Master!$F$10&amp; "'!$A$2:$A$50"),INDIRECT("'" &amp;Master!$F$10&amp; "'!$F$2:$F$50"))</f>
        <v>#VALUE!</v>
      </c>
      <c r="G236" s="4" t="e">
        <f ca="1">SplineInterp(A236,INDIRECT("'" &amp;Master!$F$10&amp; "'!$A$2:$A$50"),INDIRECT("'" &amp;Master!$F$10&amp; "'!$G$2:$G$50"))</f>
        <v>#VALUE!</v>
      </c>
      <c r="H236" s="4" t="e">
        <f ca="1">SplineInterp(A236,INDIRECT("'" &amp;Master!$F$10&amp; "'!$A$2:$A$50"),INDIRECT("'" &amp;Master!$F$10&amp; "'!$H$2:$H$50"))</f>
        <v>#VALUE!</v>
      </c>
      <c r="I236" s="4" t="e">
        <f ca="1">IF(OR(INDIRECT("'" &amp; Master!$F$8 &amp; Master!$F$6 &amp; "'!B" &amp; ROW(B236))="", INDIRECT("'" &amp; Master!$F$8 &amp; Master!$F$6 &amp; "'!B" &amp; ROW(B236))=0), "", INDIRECT("'" &amp; Master!$F$8 &amp; Master!$F$6 &amp; "'!B" &amp; ROW(B236)))</f>
        <v>#VALUE!</v>
      </c>
      <c r="J236" s="9" t="e">
        <f t="shared" ca="1" si="21"/>
        <v>#VALUE!</v>
      </c>
      <c r="K236" s="7" t="e">
        <f t="shared" ca="1" si="22"/>
        <v>#VALUE!</v>
      </c>
      <c r="L236" s="7" t="e">
        <f t="shared" ca="1" si="23"/>
        <v>#VALUE!</v>
      </c>
      <c r="M236" s="7" t="e">
        <f t="shared" ca="1" si="24"/>
        <v>#VALUE!</v>
      </c>
      <c r="N236" s="7" t="e">
        <f t="shared" ca="1" si="25"/>
        <v>#VALUE!</v>
      </c>
      <c r="O236" s="7" t="e">
        <f t="shared" ca="1" si="26"/>
        <v>#VALUE!</v>
      </c>
      <c r="P236" s="7" t="e">
        <f t="shared" ca="1" si="27"/>
        <v>#VALUE!</v>
      </c>
    </row>
    <row r="237" spans="1:16" x14ac:dyDescent="0.25">
      <c r="A237" s="19" t="str">
        <f ca="1">IF(OR(INDIRECT("'" &amp; Master!$F$8 &amp; Master!$F$6 &amp; "'!A" &amp; ROW(A237))="", INDIRECT("'" &amp; Master!$F$8 &amp; Master!$F$6 &amp; "'!A" &amp; ROW(A237))=0), "", INDIRECT("'" &amp; Master!$F$8 &amp; Master!$F$6 &amp; "'!A" &amp; ROW(A237)))</f>
        <v/>
      </c>
      <c r="B237" s="4" t="e">
        <f ca="1">SplineInterp(INDIRECT("A" &amp; ROW()),INDIRECT("'" &amp;Master!$F$10&amp; "'!$A$2:$A$50"),INDIRECT("'" &amp;Master!$F$10&amp; "'!$B$2:$B$50"))</f>
        <v>#VALUE!</v>
      </c>
      <c r="C237" s="4" t="e">
        <f ca="1">SplineInterp(A237,INDIRECT("'" &amp;Master!$F$10&amp; "'!$A$2:$A$50"),INDIRECT("'" &amp;Master!$F$10&amp; "'!$C$2:$C$50"))</f>
        <v>#VALUE!</v>
      </c>
      <c r="D237" s="4" t="e">
        <f ca="1">SplineInterp(A237,INDIRECT("'" &amp;Master!$F$10&amp; "'!$A$2:$A$50"),INDIRECT("'" &amp;Master!$F$10&amp; "'!$D$2:$D$50"))</f>
        <v>#VALUE!</v>
      </c>
      <c r="E237" s="4" t="e">
        <f ca="1">SplineInterp(A237,INDIRECT("'" &amp;Master!$F$10&amp; "'!$A$2:$A$50"),INDIRECT("'" &amp;Master!$F$10&amp; "'!$E$2:$E$50"))</f>
        <v>#VALUE!</v>
      </c>
      <c r="F237" s="4" t="e">
        <f ca="1">SplineInterp(A237,INDIRECT("'" &amp;Master!$F$10&amp; "'!$A$2:$A$50"),INDIRECT("'" &amp;Master!$F$10&amp; "'!$F$2:$F$50"))</f>
        <v>#VALUE!</v>
      </c>
      <c r="G237" s="4" t="e">
        <f ca="1">SplineInterp(A237,INDIRECT("'" &amp;Master!$F$10&amp; "'!$A$2:$A$50"),INDIRECT("'" &amp;Master!$F$10&amp; "'!$G$2:$G$50"))</f>
        <v>#VALUE!</v>
      </c>
      <c r="H237" s="4" t="e">
        <f ca="1">SplineInterp(A237,INDIRECT("'" &amp;Master!$F$10&amp; "'!$A$2:$A$50"),INDIRECT("'" &amp;Master!$F$10&amp; "'!$H$2:$H$50"))</f>
        <v>#VALUE!</v>
      </c>
      <c r="I237" s="4" t="e">
        <f ca="1">IF(OR(INDIRECT("'" &amp; Master!$F$8 &amp; Master!$F$6 &amp; "'!B" &amp; ROW(B237))="", INDIRECT("'" &amp; Master!$F$8 &amp; Master!$F$6 &amp; "'!B" &amp; ROW(B237))=0), "", INDIRECT("'" &amp; Master!$F$8 &amp; Master!$F$6 &amp; "'!B" &amp; ROW(B237)))</f>
        <v>#VALUE!</v>
      </c>
      <c r="J237" s="9" t="e">
        <f t="shared" ca="1" si="21"/>
        <v>#VALUE!</v>
      </c>
      <c r="K237" s="7" t="e">
        <f t="shared" ca="1" si="22"/>
        <v>#VALUE!</v>
      </c>
      <c r="L237" s="7" t="e">
        <f t="shared" ca="1" si="23"/>
        <v>#VALUE!</v>
      </c>
      <c r="M237" s="7" t="e">
        <f t="shared" ca="1" si="24"/>
        <v>#VALUE!</v>
      </c>
      <c r="N237" s="7" t="e">
        <f t="shared" ca="1" si="25"/>
        <v>#VALUE!</v>
      </c>
      <c r="O237" s="7" t="e">
        <f t="shared" ca="1" si="26"/>
        <v>#VALUE!</v>
      </c>
      <c r="P237" s="7" t="e">
        <f t="shared" ca="1" si="27"/>
        <v>#VALUE!</v>
      </c>
    </row>
    <row r="238" spans="1:16" x14ac:dyDescent="0.25">
      <c r="A238" s="19" t="str">
        <f ca="1">IF(OR(INDIRECT("'" &amp; Master!$F$8 &amp; Master!$F$6 &amp; "'!A" &amp; ROW(A238))="", INDIRECT("'" &amp; Master!$F$8 &amp; Master!$F$6 &amp; "'!A" &amp; ROW(A238))=0), "", INDIRECT("'" &amp; Master!$F$8 &amp; Master!$F$6 &amp; "'!A" &amp; ROW(A238)))</f>
        <v/>
      </c>
      <c r="B238" s="4" t="e">
        <f ca="1">SplineInterp(INDIRECT("A" &amp; ROW()),INDIRECT("'" &amp;Master!$F$10&amp; "'!$A$2:$A$50"),INDIRECT("'" &amp;Master!$F$10&amp; "'!$B$2:$B$50"))</f>
        <v>#VALUE!</v>
      </c>
      <c r="C238" s="4" t="e">
        <f ca="1">SplineInterp(A238,INDIRECT("'" &amp;Master!$F$10&amp; "'!$A$2:$A$50"),INDIRECT("'" &amp;Master!$F$10&amp; "'!$C$2:$C$50"))</f>
        <v>#VALUE!</v>
      </c>
      <c r="D238" s="4" t="e">
        <f ca="1">SplineInterp(A238,INDIRECT("'" &amp;Master!$F$10&amp; "'!$A$2:$A$50"),INDIRECT("'" &amp;Master!$F$10&amp; "'!$D$2:$D$50"))</f>
        <v>#VALUE!</v>
      </c>
      <c r="E238" s="4" t="e">
        <f ca="1">SplineInterp(A238,INDIRECT("'" &amp;Master!$F$10&amp; "'!$A$2:$A$50"),INDIRECT("'" &amp;Master!$F$10&amp; "'!$E$2:$E$50"))</f>
        <v>#VALUE!</v>
      </c>
      <c r="F238" s="4" t="e">
        <f ca="1">SplineInterp(A238,INDIRECT("'" &amp;Master!$F$10&amp; "'!$A$2:$A$50"),INDIRECT("'" &amp;Master!$F$10&amp; "'!$F$2:$F$50"))</f>
        <v>#VALUE!</v>
      </c>
      <c r="G238" s="4" t="e">
        <f ca="1">SplineInterp(A238,INDIRECT("'" &amp;Master!$F$10&amp; "'!$A$2:$A$50"),INDIRECT("'" &amp;Master!$F$10&amp; "'!$G$2:$G$50"))</f>
        <v>#VALUE!</v>
      </c>
      <c r="H238" s="4" t="e">
        <f ca="1">SplineInterp(A238,INDIRECT("'" &amp;Master!$F$10&amp; "'!$A$2:$A$50"),INDIRECT("'" &amp;Master!$F$10&amp; "'!$H$2:$H$50"))</f>
        <v>#VALUE!</v>
      </c>
      <c r="I238" s="4" t="e">
        <f ca="1">IF(OR(INDIRECT("'" &amp; Master!$F$8 &amp; Master!$F$6 &amp; "'!B" &amp; ROW(B238))="", INDIRECT("'" &amp; Master!$F$8 &amp; Master!$F$6 &amp; "'!B" &amp; ROW(B238))=0), "", INDIRECT("'" &amp; Master!$F$8 &amp; Master!$F$6 &amp; "'!B" &amp; ROW(B238)))</f>
        <v>#VALUE!</v>
      </c>
      <c r="J238" s="9" t="e">
        <f t="shared" ca="1" si="21"/>
        <v>#VALUE!</v>
      </c>
      <c r="K238" s="7" t="e">
        <f t="shared" ca="1" si="22"/>
        <v>#VALUE!</v>
      </c>
      <c r="L238" s="7" t="e">
        <f t="shared" ca="1" si="23"/>
        <v>#VALUE!</v>
      </c>
      <c r="M238" s="7" t="e">
        <f t="shared" ca="1" si="24"/>
        <v>#VALUE!</v>
      </c>
      <c r="N238" s="7" t="e">
        <f t="shared" ca="1" si="25"/>
        <v>#VALUE!</v>
      </c>
      <c r="O238" s="7" t="e">
        <f t="shared" ca="1" si="26"/>
        <v>#VALUE!</v>
      </c>
      <c r="P238" s="7" t="e">
        <f t="shared" ca="1" si="27"/>
        <v>#VALUE!</v>
      </c>
    </row>
    <row r="239" spans="1:16" x14ac:dyDescent="0.25">
      <c r="A239" s="19" t="str">
        <f ca="1">IF(OR(INDIRECT("'" &amp; Master!$F$8 &amp; Master!$F$6 &amp; "'!A" &amp; ROW(A239))="", INDIRECT("'" &amp; Master!$F$8 &amp; Master!$F$6 &amp; "'!A" &amp; ROW(A239))=0), "", INDIRECT("'" &amp; Master!$F$8 &amp; Master!$F$6 &amp; "'!A" &amp; ROW(A239)))</f>
        <v/>
      </c>
      <c r="B239" s="4" t="e">
        <f ca="1">SplineInterp(INDIRECT("A" &amp; ROW()),INDIRECT("'" &amp;Master!$F$10&amp; "'!$A$2:$A$50"),INDIRECT("'" &amp;Master!$F$10&amp; "'!$B$2:$B$50"))</f>
        <v>#VALUE!</v>
      </c>
      <c r="C239" s="4" t="e">
        <f ca="1">SplineInterp(A239,INDIRECT("'" &amp;Master!$F$10&amp; "'!$A$2:$A$50"),INDIRECT("'" &amp;Master!$F$10&amp; "'!$C$2:$C$50"))</f>
        <v>#VALUE!</v>
      </c>
      <c r="D239" s="4" t="e">
        <f ca="1">SplineInterp(A239,INDIRECT("'" &amp;Master!$F$10&amp; "'!$A$2:$A$50"),INDIRECT("'" &amp;Master!$F$10&amp; "'!$D$2:$D$50"))</f>
        <v>#VALUE!</v>
      </c>
      <c r="E239" s="4" t="e">
        <f ca="1">SplineInterp(A239,INDIRECT("'" &amp;Master!$F$10&amp; "'!$A$2:$A$50"),INDIRECT("'" &amp;Master!$F$10&amp; "'!$E$2:$E$50"))</f>
        <v>#VALUE!</v>
      </c>
      <c r="F239" s="4" t="e">
        <f ca="1">SplineInterp(A239,INDIRECT("'" &amp;Master!$F$10&amp; "'!$A$2:$A$50"),INDIRECT("'" &amp;Master!$F$10&amp; "'!$F$2:$F$50"))</f>
        <v>#VALUE!</v>
      </c>
      <c r="G239" s="4" t="e">
        <f ca="1">SplineInterp(A239,INDIRECT("'" &amp;Master!$F$10&amp; "'!$A$2:$A$50"),INDIRECT("'" &amp;Master!$F$10&amp; "'!$G$2:$G$50"))</f>
        <v>#VALUE!</v>
      </c>
      <c r="H239" s="4" t="e">
        <f ca="1">SplineInterp(A239,INDIRECT("'" &amp;Master!$F$10&amp; "'!$A$2:$A$50"),INDIRECT("'" &amp;Master!$F$10&amp; "'!$H$2:$H$50"))</f>
        <v>#VALUE!</v>
      </c>
      <c r="I239" s="4" t="e">
        <f ca="1">IF(OR(INDIRECT("'" &amp; Master!$F$8 &amp; Master!$F$6 &amp; "'!B" &amp; ROW(B239))="", INDIRECT("'" &amp; Master!$F$8 &amp; Master!$F$6 &amp; "'!B" &amp; ROW(B239))=0), "", INDIRECT("'" &amp; Master!$F$8 &amp; Master!$F$6 &amp; "'!B" &amp; ROW(B239)))</f>
        <v>#VALUE!</v>
      </c>
      <c r="J239" s="9" t="e">
        <f t="shared" ca="1" si="21"/>
        <v>#VALUE!</v>
      </c>
      <c r="K239" s="7" t="e">
        <f t="shared" ca="1" si="22"/>
        <v>#VALUE!</v>
      </c>
      <c r="L239" s="7" t="e">
        <f t="shared" ca="1" si="23"/>
        <v>#VALUE!</v>
      </c>
      <c r="M239" s="7" t="e">
        <f t="shared" ca="1" si="24"/>
        <v>#VALUE!</v>
      </c>
      <c r="N239" s="7" t="e">
        <f t="shared" ca="1" si="25"/>
        <v>#VALUE!</v>
      </c>
      <c r="O239" s="7" t="e">
        <f t="shared" ca="1" si="26"/>
        <v>#VALUE!</v>
      </c>
      <c r="P239" s="7" t="e">
        <f t="shared" ca="1" si="27"/>
        <v>#VALUE!</v>
      </c>
    </row>
    <row r="240" spans="1:16" x14ac:dyDescent="0.25">
      <c r="A240" s="19" t="str">
        <f ca="1">IF(OR(INDIRECT("'" &amp; Master!$F$8 &amp; Master!$F$6 &amp; "'!A" &amp; ROW(A240))="", INDIRECT("'" &amp; Master!$F$8 &amp; Master!$F$6 &amp; "'!A" &amp; ROW(A240))=0), "", INDIRECT("'" &amp; Master!$F$8 &amp; Master!$F$6 &amp; "'!A" &amp; ROW(A240)))</f>
        <v/>
      </c>
      <c r="B240" s="4" t="e">
        <f ca="1">SplineInterp(INDIRECT("A" &amp; ROW()),INDIRECT("'" &amp;Master!$F$10&amp; "'!$A$2:$A$50"),INDIRECT("'" &amp;Master!$F$10&amp; "'!$B$2:$B$50"))</f>
        <v>#VALUE!</v>
      </c>
      <c r="C240" s="4" t="e">
        <f ca="1">SplineInterp(A240,INDIRECT("'" &amp;Master!$F$10&amp; "'!$A$2:$A$50"),INDIRECT("'" &amp;Master!$F$10&amp; "'!$C$2:$C$50"))</f>
        <v>#VALUE!</v>
      </c>
      <c r="D240" s="4" t="e">
        <f ca="1">SplineInterp(A240,INDIRECT("'" &amp;Master!$F$10&amp; "'!$A$2:$A$50"),INDIRECT("'" &amp;Master!$F$10&amp; "'!$D$2:$D$50"))</f>
        <v>#VALUE!</v>
      </c>
      <c r="E240" s="4" t="e">
        <f ca="1">SplineInterp(A240,INDIRECT("'" &amp;Master!$F$10&amp; "'!$A$2:$A$50"),INDIRECT("'" &amp;Master!$F$10&amp; "'!$E$2:$E$50"))</f>
        <v>#VALUE!</v>
      </c>
      <c r="F240" s="4" t="e">
        <f ca="1">SplineInterp(A240,INDIRECT("'" &amp;Master!$F$10&amp; "'!$A$2:$A$50"),INDIRECT("'" &amp;Master!$F$10&amp; "'!$F$2:$F$50"))</f>
        <v>#VALUE!</v>
      </c>
      <c r="G240" s="4" t="e">
        <f ca="1">SplineInterp(A240,INDIRECT("'" &amp;Master!$F$10&amp; "'!$A$2:$A$50"),INDIRECT("'" &amp;Master!$F$10&amp; "'!$G$2:$G$50"))</f>
        <v>#VALUE!</v>
      </c>
      <c r="H240" s="4" t="e">
        <f ca="1">SplineInterp(A240,INDIRECT("'" &amp;Master!$F$10&amp; "'!$A$2:$A$50"),INDIRECT("'" &amp;Master!$F$10&amp; "'!$H$2:$H$50"))</f>
        <v>#VALUE!</v>
      </c>
      <c r="I240" s="4" t="e">
        <f ca="1">IF(OR(INDIRECT("'" &amp; Master!$F$8 &amp; Master!$F$6 &amp; "'!B" &amp; ROW(B240))="", INDIRECT("'" &amp; Master!$F$8 &amp; Master!$F$6 &amp; "'!B" &amp; ROW(B240))=0), "", INDIRECT("'" &amp; Master!$F$8 &amp; Master!$F$6 &amp; "'!B" &amp; ROW(B240)))</f>
        <v>#VALUE!</v>
      </c>
      <c r="J240" s="9" t="e">
        <f t="shared" ca="1" si="21"/>
        <v>#VALUE!</v>
      </c>
      <c r="K240" s="7" t="e">
        <f t="shared" ca="1" si="22"/>
        <v>#VALUE!</v>
      </c>
      <c r="L240" s="7" t="e">
        <f t="shared" ca="1" si="23"/>
        <v>#VALUE!</v>
      </c>
      <c r="M240" s="7" t="e">
        <f t="shared" ca="1" si="24"/>
        <v>#VALUE!</v>
      </c>
      <c r="N240" s="7" t="e">
        <f t="shared" ca="1" si="25"/>
        <v>#VALUE!</v>
      </c>
      <c r="O240" s="7" t="e">
        <f t="shared" ca="1" si="26"/>
        <v>#VALUE!</v>
      </c>
      <c r="P240" s="7" t="e">
        <f t="shared" ca="1" si="27"/>
        <v>#VALUE!</v>
      </c>
    </row>
    <row r="241" spans="1:16" x14ac:dyDescent="0.25">
      <c r="A241" s="19" t="str">
        <f ca="1">IF(OR(INDIRECT("'" &amp; Master!$F$8 &amp; Master!$F$6 &amp; "'!A" &amp; ROW(A241))="", INDIRECT("'" &amp; Master!$F$8 &amp; Master!$F$6 &amp; "'!A" &amp; ROW(A241))=0), "", INDIRECT("'" &amp; Master!$F$8 &amp; Master!$F$6 &amp; "'!A" &amp; ROW(A241)))</f>
        <v/>
      </c>
      <c r="B241" s="4" t="e">
        <f ca="1">SplineInterp(INDIRECT("A" &amp; ROW()),INDIRECT("'" &amp;Master!$F$10&amp; "'!$A$2:$A$50"),INDIRECT("'" &amp;Master!$F$10&amp; "'!$B$2:$B$50"))</f>
        <v>#VALUE!</v>
      </c>
      <c r="C241" s="4" t="e">
        <f ca="1">SplineInterp(A241,INDIRECT("'" &amp;Master!$F$10&amp; "'!$A$2:$A$50"),INDIRECT("'" &amp;Master!$F$10&amp; "'!$C$2:$C$50"))</f>
        <v>#VALUE!</v>
      </c>
      <c r="D241" s="4" t="e">
        <f ca="1">SplineInterp(A241,INDIRECT("'" &amp;Master!$F$10&amp; "'!$A$2:$A$50"),INDIRECT("'" &amp;Master!$F$10&amp; "'!$D$2:$D$50"))</f>
        <v>#VALUE!</v>
      </c>
      <c r="E241" s="4" t="e">
        <f ca="1">SplineInterp(A241,INDIRECT("'" &amp;Master!$F$10&amp; "'!$A$2:$A$50"),INDIRECT("'" &amp;Master!$F$10&amp; "'!$E$2:$E$50"))</f>
        <v>#VALUE!</v>
      </c>
      <c r="F241" s="4" t="e">
        <f ca="1">SplineInterp(A241,INDIRECT("'" &amp;Master!$F$10&amp; "'!$A$2:$A$50"),INDIRECT("'" &amp;Master!$F$10&amp; "'!$F$2:$F$50"))</f>
        <v>#VALUE!</v>
      </c>
      <c r="G241" s="4" t="e">
        <f ca="1">SplineInterp(A241,INDIRECT("'" &amp;Master!$F$10&amp; "'!$A$2:$A$50"),INDIRECT("'" &amp;Master!$F$10&amp; "'!$G$2:$G$50"))</f>
        <v>#VALUE!</v>
      </c>
      <c r="H241" s="4" t="e">
        <f ca="1">SplineInterp(A241,INDIRECT("'" &amp;Master!$F$10&amp; "'!$A$2:$A$50"),INDIRECT("'" &amp;Master!$F$10&amp; "'!$H$2:$H$50"))</f>
        <v>#VALUE!</v>
      </c>
      <c r="I241" s="4" t="e">
        <f ca="1">IF(OR(INDIRECT("'" &amp; Master!$F$8 &amp; Master!$F$6 &amp; "'!B" &amp; ROW(B241))="", INDIRECT("'" &amp; Master!$F$8 &amp; Master!$F$6 &amp; "'!B" &amp; ROW(B241))=0), "", INDIRECT("'" &amp; Master!$F$8 &amp; Master!$F$6 &amp; "'!B" &amp; ROW(B241)))</f>
        <v>#VALUE!</v>
      </c>
      <c r="J241" s="9" t="e">
        <f t="shared" ca="1" si="21"/>
        <v>#VALUE!</v>
      </c>
      <c r="K241" s="7" t="e">
        <f t="shared" ca="1" si="22"/>
        <v>#VALUE!</v>
      </c>
      <c r="L241" s="7" t="e">
        <f t="shared" ca="1" si="23"/>
        <v>#VALUE!</v>
      </c>
      <c r="M241" s="7" t="e">
        <f t="shared" ca="1" si="24"/>
        <v>#VALUE!</v>
      </c>
      <c r="N241" s="7" t="e">
        <f t="shared" ca="1" si="25"/>
        <v>#VALUE!</v>
      </c>
      <c r="O241" s="7" t="e">
        <f t="shared" ca="1" si="26"/>
        <v>#VALUE!</v>
      </c>
      <c r="P241" s="7" t="e">
        <f t="shared" ca="1" si="27"/>
        <v>#VALUE!</v>
      </c>
    </row>
    <row r="242" spans="1:16" x14ac:dyDescent="0.25">
      <c r="A242" s="19" t="str">
        <f ca="1">IF(OR(INDIRECT("'" &amp; Master!$F$8 &amp; Master!$F$6 &amp; "'!A" &amp; ROW(A242))="", INDIRECT("'" &amp; Master!$F$8 &amp; Master!$F$6 &amp; "'!A" &amp; ROW(A242))=0), "", INDIRECT("'" &amp; Master!$F$8 &amp; Master!$F$6 &amp; "'!A" &amp; ROW(A242)))</f>
        <v/>
      </c>
      <c r="B242" s="4" t="e">
        <f ca="1">SplineInterp(INDIRECT("A" &amp; ROW()),INDIRECT("'" &amp;Master!$F$10&amp; "'!$A$2:$A$50"),INDIRECT("'" &amp;Master!$F$10&amp; "'!$B$2:$B$50"))</f>
        <v>#VALUE!</v>
      </c>
      <c r="C242" s="4" t="e">
        <f ca="1">SplineInterp(A242,INDIRECT("'" &amp;Master!$F$10&amp; "'!$A$2:$A$50"),INDIRECT("'" &amp;Master!$F$10&amp; "'!$C$2:$C$50"))</f>
        <v>#VALUE!</v>
      </c>
      <c r="D242" s="4" t="e">
        <f ca="1">SplineInterp(A242,INDIRECT("'" &amp;Master!$F$10&amp; "'!$A$2:$A$50"),INDIRECT("'" &amp;Master!$F$10&amp; "'!$D$2:$D$50"))</f>
        <v>#VALUE!</v>
      </c>
      <c r="E242" s="4" t="e">
        <f ca="1">SplineInterp(A242,INDIRECT("'" &amp;Master!$F$10&amp; "'!$A$2:$A$50"),INDIRECT("'" &amp;Master!$F$10&amp; "'!$E$2:$E$50"))</f>
        <v>#VALUE!</v>
      </c>
      <c r="F242" s="4" t="e">
        <f ca="1">SplineInterp(A242,INDIRECT("'" &amp;Master!$F$10&amp; "'!$A$2:$A$50"),INDIRECT("'" &amp;Master!$F$10&amp; "'!$F$2:$F$50"))</f>
        <v>#VALUE!</v>
      </c>
      <c r="G242" s="4" t="e">
        <f ca="1">SplineInterp(A242,INDIRECT("'" &amp;Master!$F$10&amp; "'!$A$2:$A$50"),INDIRECT("'" &amp;Master!$F$10&amp; "'!$G$2:$G$50"))</f>
        <v>#VALUE!</v>
      </c>
      <c r="H242" s="4" t="e">
        <f ca="1">SplineInterp(A242,INDIRECT("'" &amp;Master!$F$10&amp; "'!$A$2:$A$50"),INDIRECT("'" &amp;Master!$F$10&amp; "'!$H$2:$H$50"))</f>
        <v>#VALUE!</v>
      </c>
      <c r="I242" s="4" t="e">
        <f ca="1">IF(OR(INDIRECT("'" &amp; Master!$F$8 &amp; Master!$F$6 &amp; "'!B" &amp; ROW(B242))="", INDIRECT("'" &amp; Master!$F$8 &amp; Master!$F$6 &amp; "'!B" &amp; ROW(B242))=0), "", INDIRECT("'" &amp; Master!$F$8 &amp; Master!$F$6 &amp; "'!B" &amp; ROW(B242)))</f>
        <v>#VALUE!</v>
      </c>
      <c r="J242" s="9" t="e">
        <f t="shared" ca="1" si="21"/>
        <v>#VALUE!</v>
      </c>
      <c r="K242" s="7" t="e">
        <f t="shared" ca="1" si="22"/>
        <v>#VALUE!</v>
      </c>
      <c r="L242" s="7" t="e">
        <f t="shared" ca="1" si="23"/>
        <v>#VALUE!</v>
      </c>
      <c r="M242" s="7" t="e">
        <f t="shared" ca="1" si="24"/>
        <v>#VALUE!</v>
      </c>
      <c r="N242" s="7" t="e">
        <f t="shared" ca="1" si="25"/>
        <v>#VALUE!</v>
      </c>
      <c r="O242" s="7" t="e">
        <f t="shared" ca="1" si="26"/>
        <v>#VALUE!</v>
      </c>
      <c r="P242" s="7" t="e">
        <f t="shared" ca="1" si="27"/>
        <v>#VALUE!</v>
      </c>
    </row>
    <row r="243" spans="1:16" x14ac:dyDescent="0.25">
      <c r="A243" s="19" t="str">
        <f ca="1">IF(OR(INDIRECT("'" &amp; Master!$F$8 &amp; Master!$F$6 &amp; "'!A" &amp; ROW(A243))="", INDIRECT("'" &amp; Master!$F$8 &amp; Master!$F$6 &amp; "'!A" &amp; ROW(A243))=0), "", INDIRECT("'" &amp; Master!$F$8 &amp; Master!$F$6 &amp; "'!A" &amp; ROW(A243)))</f>
        <v/>
      </c>
      <c r="B243" s="4" t="e">
        <f ca="1">SplineInterp(INDIRECT("A" &amp; ROW()),INDIRECT("'" &amp;Master!$F$10&amp; "'!$A$2:$A$50"),INDIRECT("'" &amp;Master!$F$10&amp; "'!$B$2:$B$50"))</f>
        <v>#VALUE!</v>
      </c>
      <c r="C243" s="4" t="e">
        <f ca="1">SplineInterp(A243,INDIRECT("'" &amp;Master!$F$10&amp; "'!$A$2:$A$50"),INDIRECT("'" &amp;Master!$F$10&amp; "'!$C$2:$C$50"))</f>
        <v>#VALUE!</v>
      </c>
      <c r="D243" s="4" t="e">
        <f ca="1">SplineInterp(A243,INDIRECT("'" &amp;Master!$F$10&amp; "'!$A$2:$A$50"),INDIRECT("'" &amp;Master!$F$10&amp; "'!$D$2:$D$50"))</f>
        <v>#VALUE!</v>
      </c>
      <c r="E243" s="4" t="e">
        <f ca="1">SplineInterp(A243,INDIRECT("'" &amp;Master!$F$10&amp; "'!$A$2:$A$50"),INDIRECT("'" &amp;Master!$F$10&amp; "'!$E$2:$E$50"))</f>
        <v>#VALUE!</v>
      </c>
      <c r="F243" s="4" t="e">
        <f ca="1">SplineInterp(A243,INDIRECT("'" &amp;Master!$F$10&amp; "'!$A$2:$A$50"),INDIRECT("'" &amp;Master!$F$10&amp; "'!$F$2:$F$50"))</f>
        <v>#VALUE!</v>
      </c>
      <c r="G243" s="4" t="e">
        <f ca="1">SplineInterp(A243,INDIRECT("'" &amp;Master!$F$10&amp; "'!$A$2:$A$50"),INDIRECT("'" &amp;Master!$F$10&amp; "'!$G$2:$G$50"))</f>
        <v>#VALUE!</v>
      </c>
      <c r="H243" s="4" t="e">
        <f ca="1">SplineInterp(A243,INDIRECT("'" &amp;Master!$F$10&amp; "'!$A$2:$A$50"),INDIRECT("'" &amp;Master!$F$10&amp; "'!$H$2:$H$50"))</f>
        <v>#VALUE!</v>
      </c>
      <c r="I243" s="4" t="e">
        <f ca="1">IF(OR(INDIRECT("'" &amp; Master!$F$8 &amp; Master!$F$6 &amp; "'!B" &amp; ROW(B243))="", INDIRECT("'" &amp; Master!$F$8 &amp; Master!$F$6 &amp; "'!B" &amp; ROW(B243))=0), "", INDIRECT("'" &amp; Master!$F$8 &amp; Master!$F$6 &amp; "'!B" &amp; ROW(B243)))</f>
        <v>#VALUE!</v>
      </c>
      <c r="J243" s="9" t="e">
        <f t="shared" ca="1" si="21"/>
        <v>#VALUE!</v>
      </c>
      <c r="K243" s="7" t="e">
        <f t="shared" ca="1" si="22"/>
        <v>#VALUE!</v>
      </c>
      <c r="L243" s="7" t="e">
        <f t="shared" ca="1" si="23"/>
        <v>#VALUE!</v>
      </c>
      <c r="M243" s="7" t="e">
        <f t="shared" ca="1" si="24"/>
        <v>#VALUE!</v>
      </c>
      <c r="N243" s="7" t="e">
        <f t="shared" ca="1" si="25"/>
        <v>#VALUE!</v>
      </c>
      <c r="O243" s="7" t="e">
        <f t="shared" ca="1" si="26"/>
        <v>#VALUE!</v>
      </c>
      <c r="P243" s="7" t="e">
        <f t="shared" ca="1" si="27"/>
        <v>#VALUE!</v>
      </c>
    </row>
    <row r="244" spans="1:16" x14ac:dyDescent="0.25">
      <c r="A244" s="19" t="str">
        <f ca="1">IF(OR(INDIRECT("'" &amp; Master!$F$8 &amp; Master!$F$6 &amp; "'!A" &amp; ROW(A244))="", INDIRECT("'" &amp; Master!$F$8 &amp; Master!$F$6 &amp; "'!A" &amp; ROW(A244))=0), "", INDIRECT("'" &amp; Master!$F$8 &amp; Master!$F$6 &amp; "'!A" &amp; ROW(A244)))</f>
        <v/>
      </c>
      <c r="B244" s="4" t="e">
        <f ca="1">SplineInterp(INDIRECT("A" &amp; ROW()),INDIRECT("'" &amp;Master!$F$10&amp; "'!$A$2:$A$50"),INDIRECT("'" &amp;Master!$F$10&amp; "'!$B$2:$B$50"))</f>
        <v>#VALUE!</v>
      </c>
      <c r="C244" s="4" t="e">
        <f ca="1">SplineInterp(A244,INDIRECT("'" &amp;Master!$F$10&amp; "'!$A$2:$A$50"),INDIRECT("'" &amp;Master!$F$10&amp; "'!$C$2:$C$50"))</f>
        <v>#VALUE!</v>
      </c>
      <c r="D244" s="4" t="e">
        <f ca="1">SplineInterp(A244,INDIRECT("'" &amp;Master!$F$10&amp; "'!$A$2:$A$50"),INDIRECT("'" &amp;Master!$F$10&amp; "'!$D$2:$D$50"))</f>
        <v>#VALUE!</v>
      </c>
      <c r="E244" s="4" t="e">
        <f ca="1">SplineInterp(A244,INDIRECT("'" &amp;Master!$F$10&amp; "'!$A$2:$A$50"),INDIRECT("'" &amp;Master!$F$10&amp; "'!$E$2:$E$50"))</f>
        <v>#VALUE!</v>
      </c>
      <c r="F244" s="4" t="e">
        <f ca="1">SplineInterp(A244,INDIRECT("'" &amp;Master!$F$10&amp; "'!$A$2:$A$50"),INDIRECT("'" &amp;Master!$F$10&amp; "'!$F$2:$F$50"))</f>
        <v>#VALUE!</v>
      </c>
      <c r="G244" s="4" t="e">
        <f ca="1">SplineInterp(A244,INDIRECT("'" &amp;Master!$F$10&amp; "'!$A$2:$A$50"),INDIRECT("'" &amp;Master!$F$10&amp; "'!$G$2:$G$50"))</f>
        <v>#VALUE!</v>
      </c>
      <c r="H244" s="4" t="e">
        <f ca="1">SplineInterp(A244,INDIRECT("'" &amp;Master!$F$10&amp; "'!$A$2:$A$50"),INDIRECT("'" &amp;Master!$F$10&amp; "'!$H$2:$H$50"))</f>
        <v>#VALUE!</v>
      </c>
      <c r="I244" s="4" t="e">
        <f ca="1">IF(OR(INDIRECT("'" &amp; Master!$F$8 &amp; Master!$F$6 &amp; "'!B" &amp; ROW(B244))="", INDIRECT("'" &amp; Master!$F$8 &amp; Master!$F$6 &amp; "'!B" &amp; ROW(B244))=0), "", INDIRECT("'" &amp; Master!$F$8 &amp; Master!$F$6 &amp; "'!B" &amp; ROW(B244)))</f>
        <v>#VALUE!</v>
      </c>
      <c r="J244" s="9" t="e">
        <f t="shared" ca="1" si="21"/>
        <v>#VALUE!</v>
      </c>
      <c r="K244" s="7" t="e">
        <f t="shared" ca="1" si="22"/>
        <v>#VALUE!</v>
      </c>
      <c r="L244" s="7" t="e">
        <f t="shared" ca="1" si="23"/>
        <v>#VALUE!</v>
      </c>
      <c r="M244" s="7" t="e">
        <f t="shared" ca="1" si="24"/>
        <v>#VALUE!</v>
      </c>
      <c r="N244" s="7" t="e">
        <f t="shared" ca="1" si="25"/>
        <v>#VALUE!</v>
      </c>
      <c r="O244" s="7" t="e">
        <f t="shared" ca="1" si="26"/>
        <v>#VALUE!</v>
      </c>
      <c r="P244" s="7" t="e">
        <f t="shared" ca="1" si="27"/>
        <v>#VALUE!</v>
      </c>
    </row>
    <row r="245" spans="1:16" x14ac:dyDescent="0.25">
      <c r="A245" s="19" t="str">
        <f ca="1">IF(OR(INDIRECT("'" &amp; Master!$F$8 &amp; Master!$F$6 &amp; "'!A" &amp; ROW(A245))="", INDIRECT("'" &amp; Master!$F$8 &amp; Master!$F$6 &amp; "'!A" &amp; ROW(A245))=0), "", INDIRECT("'" &amp; Master!$F$8 &amp; Master!$F$6 &amp; "'!A" &amp; ROW(A245)))</f>
        <v/>
      </c>
      <c r="B245" s="4" t="e">
        <f ca="1">SplineInterp(INDIRECT("A" &amp; ROW()),INDIRECT("'" &amp;Master!$F$10&amp; "'!$A$2:$A$50"),INDIRECT("'" &amp;Master!$F$10&amp; "'!$B$2:$B$50"))</f>
        <v>#VALUE!</v>
      </c>
      <c r="C245" s="4" t="e">
        <f ca="1">SplineInterp(A245,INDIRECT("'" &amp;Master!$F$10&amp; "'!$A$2:$A$50"),INDIRECT("'" &amp;Master!$F$10&amp; "'!$C$2:$C$50"))</f>
        <v>#VALUE!</v>
      </c>
      <c r="D245" s="4" t="e">
        <f ca="1">SplineInterp(A245,INDIRECT("'" &amp;Master!$F$10&amp; "'!$A$2:$A$50"),INDIRECT("'" &amp;Master!$F$10&amp; "'!$D$2:$D$50"))</f>
        <v>#VALUE!</v>
      </c>
      <c r="E245" s="4" t="e">
        <f ca="1">SplineInterp(A245,INDIRECT("'" &amp;Master!$F$10&amp; "'!$A$2:$A$50"),INDIRECT("'" &amp;Master!$F$10&amp; "'!$E$2:$E$50"))</f>
        <v>#VALUE!</v>
      </c>
      <c r="F245" s="4" t="e">
        <f ca="1">SplineInterp(A245,INDIRECT("'" &amp;Master!$F$10&amp; "'!$A$2:$A$50"),INDIRECT("'" &amp;Master!$F$10&amp; "'!$F$2:$F$50"))</f>
        <v>#VALUE!</v>
      </c>
      <c r="G245" s="4" t="e">
        <f ca="1">SplineInterp(A245,INDIRECT("'" &amp;Master!$F$10&amp; "'!$A$2:$A$50"),INDIRECT("'" &amp;Master!$F$10&amp; "'!$G$2:$G$50"))</f>
        <v>#VALUE!</v>
      </c>
      <c r="H245" s="4" t="e">
        <f ca="1">SplineInterp(A245,INDIRECT("'" &amp;Master!$F$10&amp; "'!$A$2:$A$50"),INDIRECT("'" &amp;Master!$F$10&amp; "'!$H$2:$H$50"))</f>
        <v>#VALUE!</v>
      </c>
      <c r="I245" s="4" t="e">
        <f ca="1">IF(OR(INDIRECT("'" &amp; Master!$F$8 &amp; Master!$F$6 &amp; "'!B" &amp; ROW(B245))="", INDIRECT("'" &amp; Master!$F$8 &amp; Master!$F$6 &amp; "'!B" &amp; ROW(B245))=0), "", INDIRECT("'" &amp; Master!$F$8 &amp; Master!$F$6 &amp; "'!B" &amp; ROW(B245)))</f>
        <v>#VALUE!</v>
      </c>
      <c r="J245" s="9" t="e">
        <f t="shared" ca="1" si="21"/>
        <v>#VALUE!</v>
      </c>
      <c r="K245" s="7" t="e">
        <f t="shared" ca="1" si="22"/>
        <v>#VALUE!</v>
      </c>
      <c r="L245" s="7" t="e">
        <f t="shared" ca="1" si="23"/>
        <v>#VALUE!</v>
      </c>
      <c r="M245" s="7" t="e">
        <f t="shared" ca="1" si="24"/>
        <v>#VALUE!</v>
      </c>
      <c r="N245" s="7" t="e">
        <f t="shared" ca="1" si="25"/>
        <v>#VALUE!</v>
      </c>
      <c r="O245" s="7" t="e">
        <f t="shared" ca="1" si="26"/>
        <v>#VALUE!</v>
      </c>
      <c r="P245" s="7" t="e">
        <f t="shared" ca="1" si="27"/>
        <v>#VALUE!</v>
      </c>
    </row>
    <row r="246" spans="1:16" x14ac:dyDescent="0.25">
      <c r="A246" s="19" t="str">
        <f ca="1">IF(OR(INDIRECT("'" &amp; Master!$F$8 &amp; Master!$F$6 &amp; "'!A" &amp; ROW(A246))="", INDIRECT("'" &amp; Master!$F$8 &amp; Master!$F$6 &amp; "'!A" &amp; ROW(A246))=0), "", INDIRECT("'" &amp; Master!$F$8 &amp; Master!$F$6 &amp; "'!A" &amp; ROW(A246)))</f>
        <v/>
      </c>
      <c r="B246" s="4" t="e">
        <f ca="1">SplineInterp(INDIRECT("A" &amp; ROW()),INDIRECT("'" &amp;Master!$F$10&amp; "'!$A$2:$A$50"),INDIRECT("'" &amp;Master!$F$10&amp; "'!$B$2:$B$50"))</f>
        <v>#VALUE!</v>
      </c>
      <c r="C246" s="4" t="e">
        <f ca="1">SplineInterp(A246,INDIRECT("'" &amp;Master!$F$10&amp; "'!$A$2:$A$50"),INDIRECT("'" &amp;Master!$F$10&amp; "'!$C$2:$C$50"))</f>
        <v>#VALUE!</v>
      </c>
      <c r="D246" s="4" t="e">
        <f ca="1">SplineInterp(A246,INDIRECT("'" &amp;Master!$F$10&amp; "'!$A$2:$A$50"),INDIRECT("'" &amp;Master!$F$10&amp; "'!$D$2:$D$50"))</f>
        <v>#VALUE!</v>
      </c>
      <c r="E246" s="4" t="e">
        <f ca="1">SplineInterp(A246,INDIRECT("'" &amp;Master!$F$10&amp; "'!$A$2:$A$50"),INDIRECT("'" &amp;Master!$F$10&amp; "'!$E$2:$E$50"))</f>
        <v>#VALUE!</v>
      </c>
      <c r="F246" s="4" t="e">
        <f ca="1">SplineInterp(A246,INDIRECT("'" &amp;Master!$F$10&amp; "'!$A$2:$A$50"),INDIRECT("'" &amp;Master!$F$10&amp; "'!$F$2:$F$50"))</f>
        <v>#VALUE!</v>
      </c>
      <c r="G246" s="4" t="e">
        <f ca="1">SplineInterp(A246,INDIRECT("'" &amp;Master!$F$10&amp; "'!$A$2:$A$50"),INDIRECT("'" &amp;Master!$F$10&amp; "'!$G$2:$G$50"))</f>
        <v>#VALUE!</v>
      </c>
      <c r="H246" s="4" t="e">
        <f ca="1">SplineInterp(A246,INDIRECT("'" &amp;Master!$F$10&amp; "'!$A$2:$A$50"),INDIRECT("'" &amp;Master!$F$10&amp; "'!$H$2:$H$50"))</f>
        <v>#VALUE!</v>
      </c>
      <c r="I246" s="4" t="e">
        <f ca="1">IF(OR(INDIRECT("'" &amp; Master!$F$8 &amp; Master!$F$6 &amp; "'!B" &amp; ROW(B246))="", INDIRECT("'" &amp; Master!$F$8 &amp; Master!$F$6 &amp; "'!B" &amp; ROW(B246))=0), "", INDIRECT("'" &amp; Master!$F$8 &amp; Master!$F$6 &amp; "'!B" &amp; ROW(B246)))</f>
        <v>#VALUE!</v>
      </c>
      <c r="J246" s="9" t="e">
        <f t="shared" ca="1" si="21"/>
        <v>#VALUE!</v>
      </c>
      <c r="K246" s="7" t="e">
        <f t="shared" ca="1" si="22"/>
        <v>#VALUE!</v>
      </c>
      <c r="L246" s="7" t="e">
        <f t="shared" ca="1" si="23"/>
        <v>#VALUE!</v>
      </c>
      <c r="M246" s="7" t="e">
        <f t="shared" ca="1" si="24"/>
        <v>#VALUE!</v>
      </c>
      <c r="N246" s="7" t="e">
        <f t="shared" ca="1" si="25"/>
        <v>#VALUE!</v>
      </c>
      <c r="O246" s="7" t="e">
        <f t="shared" ca="1" si="26"/>
        <v>#VALUE!</v>
      </c>
      <c r="P246" s="7" t="e">
        <f t="shared" ca="1" si="27"/>
        <v>#VALUE!</v>
      </c>
    </row>
    <row r="247" spans="1:16" x14ac:dyDescent="0.25">
      <c r="A247" s="19" t="str">
        <f ca="1">IF(OR(INDIRECT("'" &amp; Master!$F$8 &amp; Master!$F$6 &amp; "'!A" &amp; ROW(A247))="", INDIRECT("'" &amp; Master!$F$8 &amp; Master!$F$6 &amp; "'!A" &amp; ROW(A247))=0), "", INDIRECT("'" &amp; Master!$F$8 &amp; Master!$F$6 &amp; "'!A" &amp; ROW(A247)))</f>
        <v/>
      </c>
      <c r="B247" s="4" t="e">
        <f ca="1">SplineInterp(INDIRECT("A" &amp; ROW()),INDIRECT("'" &amp;Master!$F$10&amp; "'!$A$2:$A$50"),INDIRECT("'" &amp;Master!$F$10&amp; "'!$B$2:$B$50"))</f>
        <v>#VALUE!</v>
      </c>
      <c r="C247" s="4" t="e">
        <f ca="1">SplineInterp(A247,INDIRECT("'" &amp;Master!$F$10&amp; "'!$A$2:$A$50"),INDIRECT("'" &amp;Master!$F$10&amp; "'!$C$2:$C$50"))</f>
        <v>#VALUE!</v>
      </c>
      <c r="D247" s="4" t="e">
        <f ca="1">SplineInterp(A247,INDIRECT("'" &amp;Master!$F$10&amp; "'!$A$2:$A$50"),INDIRECT("'" &amp;Master!$F$10&amp; "'!$D$2:$D$50"))</f>
        <v>#VALUE!</v>
      </c>
      <c r="E247" s="4" t="e">
        <f ca="1">SplineInterp(A247,INDIRECT("'" &amp;Master!$F$10&amp; "'!$A$2:$A$50"),INDIRECT("'" &amp;Master!$F$10&amp; "'!$E$2:$E$50"))</f>
        <v>#VALUE!</v>
      </c>
      <c r="F247" s="4" t="e">
        <f ca="1">SplineInterp(A247,INDIRECT("'" &amp;Master!$F$10&amp; "'!$A$2:$A$50"),INDIRECT("'" &amp;Master!$F$10&amp; "'!$F$2:$F$50"))</f>
        <v>#VALUE!</v>
      </c>
      <c r="G247" s="4" t="e">
        <f ca="1">SplineInterp(A247,INDIRECT("'" &amp;Master!$F$10&amp; "'!$A$2:$A$50"),INDIRECT("'" &amp;Master!$F$10&amp; "'!$G$2:$G$50"))</f>
        <v>#VALUE!</v>
      </c>
      <c r="H247" s="4" t="e">
        <f ca="1">SplineInterp(A247,INDIRECT("'" &amp;Master!$F$10&amp; "'!$A$2:$A$50"),INDIRECT("'" &amp;Master!$F$10&amp; "'!$H$2:$H$50"))</f>
        <v>#VALUE!</v>
      </c>
      <c r="I247" s="4" t="e">
        <f ca="1">IF(OR(INDIRECT("'" &amp; Master!$F$8 &amp; Master!$F$6 &amp; "'!B" &amp; ROW(B247))="", INDIRECT("'" &amp; Master!$F$8 &amp; Master!$F$6 &amp; "'!B" &amp; ROW(B247))=0), "", INDIRECT("'" &amp; Master!$F$8 &amp; Master!$F$6 &amp; "'!B" &amp; ROW(B247)))</f>
        <v>#VALUE!</v>
      </c>
      <c r="J247" s="9" t="e">
        <f t="shared" ca="1" si="21"/>
        <v>#VALUE!</v>
      </c>
      <c r="K247" s="7" t="e">
        <f t="shared" ca="1" si="22"/>
        <v>#VALUE!</v>
      </c>
      <c r="L247" s="7" t="e">
        <f t="shared" ca="1" si="23"/>
        <v>#VALUE!</v>
      </c>
      <c r="M247" s="7" t="e">
        <f t="shared" ca="1" si="24"/>
        <v>#VALUE!</v>
      </c>
      <c r="N247" s="7" t="e">
        <f t="shared" ca="1" si="25"/>
        <v>#VALUE!</v>
      </c>
      <c r="O247" s="7" t="e">
        <f t="shared" ca="1" si="26"/>
        <v>#VALUE!</v>
      </c>
      <c r="P247" s="7" t="e">
        <f t="shared" ca="1" si="27"/>
        <v>#VALUE!</v>
      </c>
    </row>
    <row r="248" spans="1:16" x14ac:dyDescent="0.25">
      <c r="A248" s="19" t="str">
        <f ca="1">IF(OR(INDIRECT("'" &amp; Master!$F$8 &amp; Master!$F$6 &amp; "'!A" &amp; ROW(A248))="", INDIRECT("'" &amp; Master!$F$8 &amp; Master!$F$6 &amp; "'!A" &amp; ROW(A248))=0), "", INDIRECT("'" &amp; Master!$F$8 &amp; Master!$F$6 &amp; "'!A" &amp; ROW(A248)))</f>
        <v/>
      </c>
      <c r="B248" s="4" t="e">
        <f ca="1">SplineInterp(INDIRECT("A" &amp; ROW()),INDIRECT("'" &amp;Master!$F$10&amp; "'!$A$2:$A$50"),INDIRECT("'" &amp;Master!$F$10&amp; "'!$B$2:$B$50"))</f>
        <v>#VALUE!</v>
      </c>
      <c r="C248" s="4" t="e">
        <f ca="1">SplineInterp(A248,INDIRECT("'" &amp;Master!$F$10&amp; "'!$A$2:$A$50"),INDIRECT("'" &amp;Master!$F$10&amp; "'!$C$2:$C$50"))</f>
        <v>#VALUE!</v>
      </c>
      <c r="D248" s="4" t="e">
        <f ca="1">SplineInterp(A248,INDIRECT("'" &amp;Master!$F$10&amp; "'!$A$2:$A$50"),INDIRECT("'" &amp;Master!$F$10&amp; "'!$D$2:$D$50"))</f>
        <v>#VALUE!</v>
      </c>
      <c r="E248" s="4" t="e">
        <f ca="1">SplineInterp(A248,INDIRECT("'" &amp;Master!$F$10&amp; "'!$A$2:$A$50"),INDIRECT("'" &amp;Master!$F$10&amp; "'!$E$2:$E$50"))</f>
        <v>#VALUE!</v>
      </c>
      <c r="F248" s="4" t="e">
        <f ca="1">SplineInterp(A248,INDIRECT("'" &amp;Master!$F$10&amp; "'!$A$2:$A$50"),INDIRECT("'" &amp;Master!$F$10&amp; "'!$F$2:$F$50"))</f>
        <v>#VALUE!</v>
      </c>
      <c r="G248" s="4" t="e">
        <f ca="1">SplineInterp(A248,INDIRECT("'" &amp;Master!$F$10&amp; "'!$A$2:$A$50"),INDIRECT("'" &amp;Master!$F$10&amp; "'!$G$2:$G$50"))</f>
        <v>#VALUE!</v>
      </c>
      <c r="H248" s="4" t="e">
        <f ca="1">SplineInterp(A248,INDIRECT("'" &amp;Master!$F$10&amp; "'!$A$2:$A$50"),INDIRECT("'" &amp;Master!$F$10&amp; "'!$H$2:$H$50"))</f>
        <v>#VALUE!</v>
      </c>
      <c r="I248" s="4" t="e">
        <f ca="1">IF(OR(INDIRECT("'" &amp; Master!$F$8 &amp; Master!$F$6 &amp; "'!B" &amp; ROW(B248))="", INDIRECT("'" &amp; Master!$F$8 &amp; Master!$F$6 &amp; "'!B" &amp; ROW(B248))=0), "", INDIRECT("'" &amp; Master!$F$8 &amp; Master!$F$6 &amp; "'!B" &amp; ROW(B248)))</f>
        <v>#VALUE!</v>
      </c>
      <c r="J248" s="9" t="e">
        <f t="shared" ca="1" si="21"/>
        <v>#VALUE!</v>
      </c>
      <c r="K248" s="7" t="e">
        <f t="shared" ca="1" si="22"/>
        <v>#VALUE!</v>
      </c>
      <c r="L248" s="7" t="e">
        <f t="shared" ca="1" si="23"/>
        <v>#VALUE!</v>
      </c>
      <c r="M248" s="7" t="e">
        <f t="shared" ca="1" si="24"/>
        <v>#VALUE!</v>
      </c>
      <c r="N248" s="7" t="e">
        <f t="shared" ca="1" si="25"/>
        <v>#VALUE!</v>
      </c>
      <c r="O248" s="7" t="e">
        <f t="shared" ca="1" si="26"/>
        <v>#VALUE!</v>
      </c>
      <c r="P248" s="7" t="e">
        <f t="shared" ca="1" si="27"/>
        <v>#VALUE!</v>
      </c>
    </row>
    <row r="249" spans="1:16" x14ac:dyDescent="0.25">
      <c r="A249" s="19" t="str">
        <f ca="1">IF(OR(INDIRECT("'" &amp; Master!$F$8 &amp; Master!$F$6 &amp; "'!A" &amp; ROW(A249))="", INDIRECT("'" &amp; Master!$F$8 &amp; Master!$F$6 &amp; "'!A" &amp; ROW(A249))=0), "", INDIRECT("'" &amp; Master!$F$8 &amp; Master!$F$6 &amp; "'!A" &amp; ROW(A249)))</f>
        <v/>
      </c>
      <c r="B249" s="4" t="e">
        <f ca="1">SplineInterp(INDIRECT("A" &amp; ROW()),INDIRECT("'" &amp;Master!$F$10&amp; "'!$A$2:$A$50"),INDIRECT("'" &amp;Master!$F$10&amp; "'!$B$2:$B$50"))</f>
        <v>#VALUE!</v>
      </c>
      <c r="C249" s="4" t="e">
        <f ca="1">SplineInterp(A249,INDIRECT("'" &amp;Master!$F$10&amp; "'!$A$2:$A$50"),INDIRECT("'" &amp;Master!$F$10&amp; "'!$C$2:$C$50"))</f>
        <v>#VALUE!</v>
      </c>
      <c r="D249" s="4" t="e">
        <f ca="1">SplineInterp(A249,INDIRECT("'" &amp;Master!$F$10&amp; "'!$A$2:$A$50"),INDIRECT("'" &amp;Master!$F$10&amp; "'!$D$2:$D$50"))</f>
        <v>#VALUE!</v>
      </c>
      <c r="E249" s="4" t="e">
        <f ca="1">SplineInterp(A249,INDIRECT("'" &amp;Master!$F$10&amp; "'!$A$2:$A$50"),INDIRECT("'" &amp;Master!$F$10&amp; "'!$E$2:$E$50"))</f>
        <v>#VALUE!</v>
      </c>
      <c r="F249" s="4" t="e">
        <f ca="1">SplineInterp(A249,INDIRECT("'" &amp;Master!$F$10&amp; "'!$A$2:$A$50"),INDIRECT("'" &amp;Master!$F$10&amp; "'!$F$2:$F$50"))</f>
        <v>#VALUE!</v>
      </c>
      <c r="G249" s="4" t="e">
        <f ca="1">SplineInterp(A249,INDIRECT("'" &amp;Master!$F$10&amp; "'!$A$2:$A$50"),INDIRECT("'" &amp;Master!$F$10&amp; "'!$G$2:$G$50"))</f>
        <v>#VALUE!</v>
      </c>
      <c r="H249" s="4" t="e">
        <f ca="1">SplineInterp(A249,INDIRECT("'" &amp;Master!$F$10&amp; "'!$A$2:$A$50"),INDIRECT("'" &amp;Master!$F$10&amp; "'!$H$2:$H$50"))</f>
        <v>#VALUE!</v>
      </c>
      <c r="I249" s="4" t="e">
        <f ca="1">IF(OR(INDIRECT("'" &amp; Master!$F$8 &amp; Master!$F$6 &amp; "'!B" &amp; ROW(B249))="", INDIRECT("'" &amp; Master!$F$8 &amp; Master!$F$6 &amp; "'!B" &amp; ROW(B249))=0), "", INDIRECT("'" &amp; Master!$F$8 &amp; Master!$F$6 &amp; "'!B" &amp; ROW(B249)))</f>
        <v>#VALUE!</v>
      </c>
      <c r="J249" s="9" t="e">
        <f t="shared" ca="1" si="21"/>
        <v>#VALUE!</v>
      </c>
      <c r="K249" s="7" t="e">
        <f t="shared" ca="1" si="22"/>
        <v>#VALUE!</v>
      </c>
      <c r="L249" s="7" t="e">
        <f t="shared" ca="1" si="23"/>
        <v>#VALUE!</v>
      </c>
      <c r="M249" s="7" t="e">
        <f t="shared" ca="1" si="24"/>
        <v>#VALUE!</v>
      </c>
      <c r="N249" s="7" t="e">
        <f t="shared" ca="1" si="25"/>
        <v>#VALUE!</v>
      </c>
      <c r="O249" s="7" t="e">
        <f t="shared" ca="1" si="26"/>
        <v>#VALUE!</v>
      </c>
      <c r="P249" s="7" t="e">
        <f t="shared" ca="1" si="27"/>
        <v>#VALUE!</v>
      </c>
    </row>
    <row r="250" spans="1:16" x14ac:dyDescent="0.25">
      <c r="A250" s="19" t="str">
        <f ca="1">IF(OR(INDIRECT("'" &amp; Master!$F$8 &amp; Master!$F$6 &amp; "'!A" &amp; ROW(A250))="", INDIRECT("'" &amp; Master!$F$8 &amp; Master!$F$6 &amp; "'!A" &amp; ROW(A250))=0), "", INDIRECT("'" &amp; Master!$F$8 &amp; Master!$F$6 &amp; "'!A" &amp; ROW(A250)))</f>
        <v/>
      </c>
      <c r="B250" s="4" t="e">
        <f ca="1">SplineInterp(INDIRECT("A" &amp; ROW()),INDIRECT("'" &amp;Master!$F$10&amp; "'!$A$2:$A$50"),INDIRECT("'" &amp;Master!$F$10&amp; "'!$B$2:$B$50"))</f>
        <v>#VALUE!</v>
      </c>
      <c r="C250" s="4" t="e">
        <f ca="1">SplineInterp(A250,INDIRECT("'" &amp;Master!$F$10&amp; "'!$A$2:$A$50"),INDIRECT("'" &amp;Master!$F$10&amp; "'!$C$2:$C$50"))</f>
        <v>#VALUE!</v>
      </c>
      <c r="D250" s="4" t="e">
        <f ca="1">SplineInterp(A250,INDIRECT("'" &amp;Master!$F$10&amp; "'!$A$2:$A$50"),INDIRECT("'" &amp;Master!$F$10&amp; "'!$D$2:$D$50"))</f>
        <v>#VALUE!</v>
      </c>
      <c r="E250" s="4" t="e">
        <f ca="1">SplineInterp(A250,INDIRECT("'" &amp;Master!$F$10&amp; "'!$A$2:$A$50"),INDIRECT("'" &amp;Master!$F$10&amp; "'!$E$2:$E$50"))</f>
        <v>#VALUE!</v>
      </c>
      <c r="F250" s="4" t="e">
        <f ca="1">SplineInterp(A250,INDIRECT("'" &amp;Master!$F$10&amp; "'!$A$2:$A$50"),INDIRECT("'" &amp;Master!$F$10&amp; "'!$F$2:$F$50"))</f>
        <v>#VALUE!</v>
      </c>
      <c r="G250" s="4" t="e">
        <f ca="1">SplineInterp(A250,INDIRECT("'" &amp;Master!$F$10&amp; "'!$A$2:$A$50"),INDIRECT("'" &amp;Master!$F$10&amp; "'!$G$2:$G$50"))</f>
        <v>#VALUE!</v>
      </c>
      <c r="H250" s="4" t="e">
        <f ca="1">SplineInterp(A250,INDIRECT("'" &amp;Master!$F$10&amp; "'!$A$2:$A$50"),INDIRECT("'" &amp;Master!$F$10&amp; "'!$H$2:$H$50"))</f>
        <v>#VALUE!</v>
      </c>
      <c r="I250" s="4" t="e">
        <f ca="1">IF(OR(INDIRECT("'" &amp; Master!$F$8 &amp; Master!$F$6 &amp; "'!B" &amp; ROW(B250))="", INDIRECT("'" &amp; Master!$F$8 &amp; Master!$F$6 &amp; "'!B" &amp; ROW(B250))=0), "", INDIRECT("'" &amp; Master!$F$8 &amp; Master!$F$6 &amp; "'!B" &amp; ROW(B250)))</f>
        <v>#VALUE!</v>
      </c>
      <c r="J250" s="9" t="e">
        <f t="shared" ca="1" si="21"/>
        <v>#VALUE!</v>
      </c>
      <c r="K250" s="7" t="e">
        <f t="shared" ca="1" si="22"/>
        <v>#VALUE!</v>
      </c>
      <c r="L250" s="7" t="e">
        <f t="shared" ca="1" si="23"/>
        <v>#VALUE!</v>
      </c>
      <c r="M250" s="7" t="e">
        <f t="shared" ca="1" si="24"/>
        <v>#VALUE!</v>
      </c>
      <c r="N250" s="7" t="e">
        <f t="shared" ca="1" si="25"/>
        <v>#VALUE!</v>
      </c>
      <c r="O250" s="7" t="e">
        <f t="shared" ca="1" si="26"/>
        <v>#VALUE!</v>
      </c>
      <c r="P250" s="7" t="e">
        <f t="shared" ca="1" si="27"/>
        <v>#VALUE!</v>
      </c>
    </row>
    <row r="251" spans="1:16" x14ac:dyDescent="0.25">
      <c r="A251" s="19" t="str">
        <f ca="1">IF(OR(INDIRECT("'" &amp; Master!$F$8 &amp; Master!$F$6 &amp; "'!A" &amp; ROW(A251))="", INDIRECT("'" &amp; Master!$F$8 &amp; Master!$F$6 &amp; "'!A" &amp; ROW(A251))=0), "", INDIRECT("'" &amp; Master!$F$8 &amp; Master!$F$6 &amp; "'!A" &amp; ROW(A251)))</f>
        <v/>
      </c>
      <c r="B251" s="4" t="e">
        <f ca="1">SplineInterp(INDIRECT("A" &amp; ROW()),INDIRECT("'" &amp;Master!$F$10&amp; "'!$A$2:$A$50"),INDIRECT("'" &amp;Master!$F$10&amp; "'!$B$2:$B$50"))</f>
        <v>#VALUE!</v>
      </c>
      <c r="C251" s="4" t="e">
        <f ca="1">SplineInterp(A251,INDIRECT("'" &amp;Master!$F$10&amp; "'!$A$2:$A$50"),INDIRECT("'" &amp;Master!$F$10&amp; "'!$C$2:$C$50"))</f>
        <v>#VALUE!</v>
      </c>
      <c r="D251" s="4" t="e">
        <f ca="1">SplineInterp(A251,INDIRECT("'" &amp;Master!$F$10&amp; "'!$A$2:$A$50"),INDIRECT("'" &amp;Master!$F$10&amp; "'!$D$2:$D$50"))</f>
        <v>#VALUE!</v>
      </c>
      <c r="E251" s="4" t="e">
        <f ca="1">SplineInterp(A251,INDIRECT("'" &amp;Master!$F$10&amp; "'!$A$2:$A$50"),INDIRECT("'" &amp;Master!$F$10&amp; "'!$E$2:$E$50"))</f>
        <v>#VALUE!</v>
      </c>
      <c r="F251" s="4" t="e">
        <f ca="1">SplineInterp(A251,INDIRECT("'" &amp;Master!$F$10&amp; "'!$A$2:$A$50"),INDIRECT("'" &amp;Master!$F$10&amp; "'!$F$2:$F$50"))</f>
        <v>#VALUE!</v>
      </c>
      <c r="G251" s="4" t="e">
        <f ca="1">SplineInterp(A251,INDIRECT("'" &amp;Master!$F$10&amp; "'!$A$2:$A$50"),INDIRECT("'" &amp;Master!$F$10&amp; "'!$G$2:$G$50"))</f>
        <v>#VALUE!</v>
      </c>
      <c r="H251" s="4" t="e">
        <f ca="1">SplineInterp(A251,INDIRECT("'" &amp;Master!$F$10&amp; "'!$A$2:$A$50"),INDIRECT("'" &amp;Master!$F$10&amp; "'!$H$2:$H$50"))</f>
        <v>#VALUE!</v>
      </c>
      <c r="I251" s="4" t="e">
        <f ca="1">IF(OR(INDIRECT("'" &amp; Master!$F$8 &amp; Master!$F$6 &amp; "'!B" &amp; ROW(B251))="", INDIRECT("'" &amp; Master!$F$8 &amp; Master!$F$6 &amp; "'!B" &amp; ROW(B251))=0), "", INDIRECT("'" &amp; Master!$F$8 &amp; Master!$F$6 &amp; "'!B" &amp; ROW(B251)))</f>
        <v>#VALUE!</v>
      </c>
      <c r="J251" s="9" t="e">
        <f t="shared" ca="1" si="21"/>
        <v>#VALUE!</v>
      </c>
      <c r="K251" s="7" t="e">
        <f t="shared" ca="1" si="22"/>
        <v>#VALUE!</v>
      </c>
      <c r="L251" s="7" t="e">
        <f t="shared" ca="1" si="23"/>
        <v>#VALUE!</v>
      </c>
      <c r="M251" s="7" t="e">
        <f t="shared" ca="1" si="24"/>
        <v>#VALUE!</v>
      </c>
      <c r="N251" s="7" t="e">
        <f t="shared" ca="1" si="25"/>
        <v>#VALUE!</v>
      </c>
      <c r="O251" s="7" t="e">
        <f t="shared" ca="1" si="26"/>
        <v>#VALUE!</v>
      </c>
      <c r="P251" s="7" t="e">
        <f t="shared" ca="1" si="27"/>
        <v>#VALUE!</v>
      </c>
    </row>
    <row r="252" spans="1:16" x14ac:dyDescent="0.25">
      <c r="A252" s="19" t="str">
        <f ca="1">IF(OR(INDIRECT("'" &amp; Master!$F$8 &amp; Master!$F$6 &amp; "'!A" &amp; ROW(A252))="", INDIRECT("'" &amp; Master!$F$8 &amp; Master!$F$6 &amp; "'!A" &amp; ROW(A252))=0), "", INDIRECT("'" &amp; Master!$F$8 &amp; Master!$F$6 &amp; "'!A" &amp; ROW(A252)))</f>
        <v/>
      </c>
      <c r="B252" s="4" t="e">
        <f ca="1">SplineInterp(INDIRECT("A" &amp; ROW()),INDIRECT("'" &amp;Master!$F$10&amp; "'!$A$2:$A$50"),INDIRECT("'" &amp;Master!$F$10&amp; "'!$B$2:$B$50"))</f>
        <v>#VALUE!</v>
      </c>
      <c r="C252" s="4" t="e">
        <f ca="1">SplineInterp(A252,INDIRECT("'" &amp;Master!$F$10&amp; "'!$A$2:$A$50"),INDIRECT("'" &amp;Master!$F$10&amp; "'!$C$2:$C$50"))</f>
        <v>#VALUE!</v>
      </c>
      <c r="D252" s="4" t="e">
        <f ca="1">SplineInterp(A252,INDIRECT("'" &amp;Master!$F$10&amp; "'!$A$2:$A$50"),INDIRECT("'" &amp;Master!$F$10&amp; "'!$D$2:$D$50"))</f>
        <v>#VALUE!</v>
      </c>
      <c r="E252" s="4" t="e">
        <f ca="1">SplineInterp(A252,INDIRECT("'" &amp;Master!$F$10&amp; "'!$A$2:$A$50"),INDIRECT("'" &amp;Master!$F$10&amp; "'!$E$2:$E$50"))</f>
        <v>#VALUE!</v>
      </c>
      <c r="F252" s="4" t="e">
        <f ca="1">SplineInterp(A252,INDIRECT("'" &amp;Master!$F$10&amp; "'!$A$2:$A$50"),INDIRECT("'" &amp;Master!$F$10&amp; "'!$F$2:$F$50"))</f>
        <v>#VALUE!</v>
      </c>
      <c r="G252" s="4" t="e">
        <f ca="1">SplineInterp(A252,INDIRECT("'" &amp;Master!$F$10&amp; "'!$A$2:$A$50"),INDIRECT("'" &amp;Master!$F$10&amp; "'!$G$2:$G$50"))</f>
        <v>#VALUE!</v>
      </c>
      <c r="H252" s="4" t="e">
        <f ca="1">SplineInterp(A252,INDIRECT("'" &amp;Master!$F$10&amp; "'!$A$2:$A$50"),INDIRECT("'" &amp;Master!$F$10&amp; "'!$H$2:$H$50"))</f>
        <v>#VALUE!</v>
      </c>
      <c r="I252" s="4" t="e">
        <f ca="1">IF(OR(INDIRECT("'" &amp; Master!$F$8 &amp; Master!$F$6 &amp; "'!B" &amp; ROW(B252))="", INDIRECT("'" &amp; Master!$F$8 &amp; Master!$F$6 &amp; "'!B" &amp; ROW(B252))=0), "", INDIRECT("'" &amp; Master!$F$8 &amp; Master!$F$6 &amp; "'!B" &amp; ROW(B252)))</f>
        <v>#VALUE!</v>
      </c>
      <c r="J252" s="9" t="e">
        <f t="shared" ca="1" si="21"/>
        <v>#VALUE!</v>
      </c>
      <c r="K252" s="7" t="e">
        <f t="shared" ca="1" si="22"/>
        <v>#VALUE!</v>
      </c>
      <c r="L252" s="7" t="e">
        <f t="shared" ca="1" si="23"/>
        <v>#VALUE!</v>
      </c>
      <c r="M252" s="7" t="e">
        <f t="shared" ca="1" si="24"/>
        <v>#VALUE!</v>
      </c>
      <c r="N252" s="7" t="e">
        <f t="shared" ca="1" si="25"/>
        <v>#VALUE!</v>
      </c>
      <c r="O252" s="7" t="e">
        <f t="shared" ca="1" si="26"/>
        <v>#VALUE!</v>
      </c>
      <c r="P252" s="7" t="e">
        <f t="shared" ca="1" si="27"/>
        <v>#VALUE!</v>
      </c>
    </row>
    <row r="253" spans="1:16" x14ac:dyDescent="0.25">
      <c r="A253" s="19" t="str">
        <f ca="1">IF(OR(INDIRECT("'" &amp; Master!$F$8 &amp; Master!$F$6 &amp; "'!A" &amp; ROW(A253))="", INDIRECT("'" &amp; Master!$F$8 &amp; Master!$F$6 &amp; "'!A" &amp; ROW(A253))=0), "", INDIRECT("'" &amp; Master!$F$8 &amp; Master!$F$6 &amp; "'!A" &amp; ROW(A253)))</f>
        <v/>
      </c>
      <c r="B253" s="4" t="e">
        <f ca="1">SplineInterp(INDIRECT("A" &amp; ROW()),INDIRECT("'" &amp;Master!$F$10&amp; "'!$A$2:$A$50"),INDIRECT("'" &amp;Master!$F$10&amp; "'!$B$2:$B$50"))</f>
        <v>#VALUE!</v>
      </c>
      <c r="C253" s="4" t="e">
        <f ca="1">SplineInterp(A253,INDIRECT("'" &amp;Master!$F$10&amp; "'!$A$2:$A$50"),INDIRECT("'" &amp;Master!$F$10&amp; "'!$C$2:$C$50"))</f>
        <v>#VALUE!</v>
      </c>
      <c r="D253" s="4" t="e">
        <f ca="1">SplineInterp(A253,INDIRECT("'" &amp;Master!$F$10&amp; "'!$A$2:$A$50"),INDIRECT("'" &amp;Master!$F$10&amp; "'!$D$2:$D$50"))</f>
        <v>#VALUE!</v>
      </c>
      <c r="E253" s="4" t="e">
        <f ca="1">SplineInterp(A253,INDIRECT("'" &amp;Master!$F$10&amp; "'!$A$2:$A$50"),INDIRECT("'" &amp;Master!$F$10&amp; "'!$E$2:$E$50"))</f>
        <v>#VALUE!</v>
      </c>
      <c r="F253" s="4" t="e">
        <f ca="1">SplineInterp(A253,INDIRECT("'" &amp;Master!$F$10&amp; "'!$A$2:$A$50"),INDIRECT("'" &amp;Master!$F$10&amp; "'!$F$2:$F$50"))</f>
        <v>#VALUE!</v>
      </c>
      <c r="G253" s="4" t="e">
        <f ca="1">SplineInterp(A253,INDIRECT("'" &amp;Master!$F$10&amp; "'!$A$2:$A$50"),INDIRECT("'" &amp;Master!$F$10&amp; "'!$G$2:$G$50"))</f>
        <v>#VALUE!</v>
      </c>
      <c r="H253" s="4" t="e">
        <f ca="1">SplineInterp(A253,INDIRECT("'" &amp;Master!$F$10&amp; "'!$A$2:$A$50"),INDIRECT("'" &amp;Master!$F$10&amp; "'!$H$2:$H$50"))</f>
        <v>#VALUE!</v>
      </c>
      <c r="I253" s="4" t="e">
        <f ca="1">IF(OR(INDIRECT("'" &amp; Master!$F$8 &amp; Master!$F$6 &amp; "'!B" &amp; ROW(B253))="", INDIRECT("'" &amp; Master!$F$8 &amp; Master!$F$6 &amp; "'!B" &amp; ROW(B253))=0), "", INDIRECT("'" &amp; Master!$F$8 &amp; Master!$F$6 &amp; "'!B" &amp; ROW(B253)))</f>
        <v>#VALUE!</v>
      </c>
      <c r="J253" s="9" t="e">
        <f t="shared" ca="1" si="21"/>
        <v>#VALUE!</v>
      </c>
      <c r="K253" s="7" t="e">
        <f t="shared" ca="1" si="22"/>
        <v>#VALUE!</v>
      </c>
      <c r="L253" s="7" t="e">
        <f t="shared" ca="1" si="23"/>
        <v>#VALUE!</v>
      </c>
      <c r="M253" s="7" t="e">
        <f t="shared" ca="1" si="24"/>
        <v>#VALUE!</v>
      </c>
      <c r="N253" s="7" t="e">
        <f t="shared" ca="1" si="25"/>
        <v>#VALUE!</v>
      </c>
      <c r="O253" s="7" t="e">
        <f t="shared" ca="1" si="26"/>
        <v>#VALUE!</v>
      </c>
      <c r="P253" s="7" t="e">
        <f t="shared" ca="1" si="27"/>
        <v>#VALUE!</v>
      </c>
    </row>
    <row r="254" spans="1:16" x14ac:dyDescent="0.25">
      <c r="A254" s="19" t="str">
        <f ca="1">IF(OR(INDIRECT("'" &amp; Master!$F$8 &amp; Master!$F$6 &amp; "'!A" &amp; ROW(A254))="", INDIRECT("'" &amp; Master!$F$8 &amp; Master!$F$6 &amp; "'!A" &amp; ROW(A254))=0), "", INDIRECT("'" &amp; Master!$F$8 &amp; Master!$F$6 &amp; "'!A" &amp; ROW(A254)))</f>
        <v/>
      </c>
      <c r="B254" s="4" t="e">
        <f ca="1">SplineInterp(INDIRECT("A" &amp; ROW()),INDIRECT("'" &amp;Master!$F$10&amp; "'!$A$2:$A$50"),INDIRECT("'" &amp;Master!$F$10&amp; "'!$B$2:$B$50"))</f>
        <v>#VALUE!</v>
      </c>
      <c r="C254" s="4" t="e">
        <f ca="1">SplineInterp(A254,INDIRECT("'" &amp;Master!$F$10&amp; "'!$A$2:$A$50"),INDIRECT("'" &amp;Master!$F$10&amp; "'!$C$2:$C$50"))</f>
        <v>#VALUE!</v>
      </c>
      <c r="D254" s="4" t="e">
        <f ca="1">SplineInterp(A254,INDIRECT("'" &amp;Master!$F$10&amp; "'!$A$2:$A$50"),INDIRECT("'" &amp;Master!$F$10&amp; "'!$D$2:$D$50"))</f>
        <v>#VALUE!</v>
      </c>
      <c r="E254" s="4" t="e">
        <f ca="1">SplineInterp(A254,INDIRECT("'" &amp;Master!$F$10&amp; "'!$A$2:$A$50"),INDIRECT("'" &amp;Master!$F$10&amp; "'!$E$2:$E$50"))</f>
        <v>#VALUE!</v>
      </c>
      <c r="F254" s="4" t="e">
        <f ca="1">SplineInterp(A254,INDIRECT("'" &amp;Master!$F$10&amp; "'!$A$2:$A$50"),INDIRECT("'" &amp;Master!$F$10&amp; "'!$F$2:$F$50"))</f>
        <v>#VALUE!</v>
      </c>
      <c r="G254" s="4" t="e">
        <f ca="1">SplineInterp(A254,INDIRECT("'" &amp;Master!$F$10&amp; "'!$A$2:$A$50"),INDIRECT("'" &amp;Master!$F$10&amp; "'!$G$2:$G$50"))</f>
        <v>#VALUE!</v>
      </c>
      <c r="H254" s="4" t="e">
        <f ca="1">SplineInterp(A254,INDIRECT("'" &amp;Master!$F$10&amp; "'!$A$2:$A$50"),INDIRECT("'" &amp;Master!$F$10&amp; "'!$H$2:$H$50"))</f>
        <v>#VALUE!</v>
      </c>
      <c r="I254" s="4" t="e">
        <f ca="1">IF(OR(INDIRECT("'" &amp; Master!$F$8 &amp; Master!$F$6 &amp; "'!B" &amp; ROW(B254))="", INDIRECT("'" &amp; Master!$F$8 &amp; Master!$F$6 &amp; "'!B" &amp; ROW(B254))=0), "", INDIRECT("'" &amp; Master!$F$8 &amp; Master!$F$6 &amp; "'!B" &amp; ROW(B254)))</f>
        <v>#VALUE!</v>
      </c>
      <c r="J254" s="9" t="e">
        <f t="shared" ca="1" si="21"/>
        <v>#VALUE!</v>
      </c>
      <c r="K254" s="7" t="e">
        <f t="shared" ca="1" si="22"/>
        <v>#VALUE!</v>
      </c>
      <c r="L254" s="7" t="e">
        <f t="shared" ca="1" si="23"/>
        <v>#VALUE!</v>
      </c>
      <c r="M254" s="7" t="e">
        <f t="shared" ca="1" si="24"/>
        <v>#VALUE!</v>
      </c>
      <c r="N254" s="7" t="e">
        <f t="shared" ca="1" si="25"/>
        <v>#VALUE!</v>
      </c>
      <c r="O254" s="7" t="e">
        <f t="shared" ca="1" si="26"/>
        <v>#VALUE!</v>
      </c>
      <c r="P254" s="7" t="e">
        <f t="shared" ca="1" si="27"/>
        <v>#VALUE!</v>
      </c>
    </row>
    <row r="255" spans="1:16" x14ac:dyDescent="0.25">
      <c r="A255" s="19" t="str">
        <f ca="1">IF(OR(INDIRECT("'" &amp; Master!$F$8 &amp; Master!$F$6 &amp; "'!A" &amp; ROW(A255))="", INDIRECT("'" &amp; Master!$F$8 &amp; Master!$F$6 &amp; "'!A" &amp; ROW(A255))=0), "", INDIRECT("'" &amp; Master!$F$8 &amp; Master!$F$6 &amp; "'!A" &amp; ROW(A255)))</f>
        <v/>
      </c>
      <c r="B255" s="4" t="e">
        <f ca="1">SplineInterp(INDIRECT("A" &amp; ROW()),INDIRECT("'" &amp;Master!$F$10&amp; "'!$A$2:$A$50"),INDIRECT("'" &amp;Master!$F$10&amp; "'!$B$2:$B$50"))</f>
        <v>#VALUE!</v>
      </c>
      <c r="C255" s="4" t="e">
        <f ca="1">SplineInterp(A255,INDIRECT("'" &amp;Master!$F$10&amp; "'!$A$2:$A$50"),INDIRECT("'" &amp;Master!$F$10&amp; "'!$C$2:$C$50"))</f>
        <v>#VALUE!</v>
      </c>
      <c r="D255" s="4" t="e">
        <f ca="1">SplineInterp(A255,INDIRECT("'" &amp;Master!$F$10&amp; "'!$A$2:$A$50"),INDIRECT("'" &amp;Master!$F$10&amp; "'!$D$2:$D$50"))</f>
        <v>#VALUE!</v>
      </c>
      <c r="E255" s="4" t="e">
        <f ca="1">SplineInterp(A255,INDIRECT("'" &amp;Master!$F$10&amp; "'!$A$2:$A$50"),INDIRECT("'" &amp;Master!$F$10&amp; "'!$E$2:$E$50"))</f>
        <v>#VALUE!</v>
      </c>
      <c r="F255" s="4" t="e">
        <f ca="1">SplineInterp(A255,INDIRECT("'" &amp;Master!$F$10&amp; "'!$A$2:$A$50"),INDIRECT("'" &amp;Master!$F$10&amp; "'!$F$2:$F$50"))</f>
        <v>#VALUE!</v>
      </c>
      <c r="G255" s="4" t="e">
        <f ca="1">SplineInterp(A255,INDIRECT("'" &amp;Master!$F$10&amp; "'!$A$2:$A$50"),INDIRECT("'" &amp;Master!$F$10&amp; "'!$G$2:$G$50"))</f>
        <v>#VALUE!</v>
      </c>
      <c r="H255" s="4" t="e">
        <f ca="1">SplineInterp(A255,INDIRECT("'" &amp;Master!$F$10&amp; "'!$A$2:$A$50"),INDIRECT("'" &amp;Master!$F$10&amp; "'!$H$2:$H$50"))</f>
        <v>#VALUE!</v>
      </c>
      <c r="I255" s="4" t="e">
        <f ca="1">IF(OR(INDIRECT("'" &amp; Master!$F$8 &amp; Master!$F$6 &amp; "'!B" &amp; ROW(B255))="", INDIRECT("'" &amp; Master!$F$8 &amp; Master!$F$6 &amp; "'!B" &amp; ROW(B255))=0), "", INDIRECT("'" &amp; Master!$F$8 &amp; Master!$F$6 &amp; "'!B" &amp; ROW(B255)))</f>
        <v>#VALUE!</v>
      </c>
      <c r="J255" s="9" t="e">
        <f t="shared" ca="1" si="21"/>
        <v>#VALUE!</v>
      </c>
      <c r="K255" s="7" t="e">
        <f t="shared" ca="1" si="22"/>
        <v>#VALUE!</v>
      </c>
      <c r="L255" s="7" t="e">
        <f t="shared" ca="1" si="23"/>
        <v>#VALUE!</v>
      </c>
      <c r="M255" s="7" t="e">
        <f t="shared" ca="1" si="24"/>
        <v>#VALUE!</v>
      </c>
      <c r="N255" s="7" t="e">
        <f t="shared" ca="1" si="25"/>
        <v>#VALUE!</v>
      </c>
      <c r="O255" s="7" t="e">
        <f t="shared" ca="1" si="26"/>
        <v>#VALUE!</v>
      </c>
      <c r="P255" s="7" t="e">
        <f t="shared" ca="1" si="27"/>
        <v>#VALUE!</v>
      </c>
    </row>
    <row r="256" spans="1:16" x14ac:dyDescent="0.25">
      <c r="A256" s="19" t="str">
        <f ca="1">IF(OR(INDIRECT("'" &amp; Master!$F$8 &amp; Master!$F$6 &amp; "'!A" &amp; ROW(A256))="", INDIRECT("'" &amp; Master!$F$8 &amp; Master!$F$6 &amp; "'!A" &amp; ROW(A256))=0), "", INDIRECT("'" &amp; Master!$F$8 &amp; Master!$F$6 &amp; "'!A" &amp; ROW(A256)))</f>
        <v/>
      </c>
      <c r="B256" s="4" t="e">
        <f ca="1">SplineInterp(INDIRECT("A" &amp; ROW()),INDIRECT("'" &amp;Master!$F$10&amp; "'!$A$2:$A$50"),INDIRECT("'" &amp;Master!$F$10&amp; "'!$B$2:$B$50"))</f>
        <v>#VALUE!</v>
      </c>
      <c r="C256" s="4" t="e">
        <f ca="1">SplineInterp(A256,INDIRECT("'" &amp;Master!$F$10&amp; "'!$A$2:$A$50"),INDIRECT("'" &amp;Master!$F$10&amp; "'!$C$2:$C$50"))</f>
        <v>#VALUE!</v>
      </c>
      <c r="D256" s="4" t="e">
        <f ca="1">SplineInterp(A256,INDIRECT("'" &amp;Master!$F$10&amp; "'!$A$2:$A$50"),INDIRECT("'" &amp;Master!$F$10&amp; "'!$D$2:$D$50"))</f>
        <v>#VALUE!</v>
      </c>
      <c r="E256" s="4" t="e">
        <f ca="1">SplineInterp(A256,INDIRECT("'" &amp;Master!$F$10&amp; "'!$A$2:$A$50"),INDIRECT("'" &amp;Master!$F$10&amp; "'!$E$2:$E$50"))</f>
        <v>#VALUE!</v>
      </c>
      <c r="F256" s="4" t="e">
        <f ca="1">SplineInterp(A256,INDIRECT("'" &amp;Master!$F$10&amp; "'!$A$2:$A$50"),INDIRECT("'" &amp;Master!$F$10&amp; "'!$F$2:$F$50"))</f>
        <v>#VALUE!</v>
      </c>
      <c r="G256" s="4" t="e">
        <f ca="1">SplineInterp(A256,INDIRECT("'" &amp;Master!$F$10&amp; "'!$A$2:$A$50"),INDIRECT("'" &amp;Master!$F$10&amp; "'!$G$2:$G$50"))</f>
        <v>#VALUE!</v>
      </c>
      <c r="H256" s="4" t="e">
        <f ca="1">SplineInterp(A256,INDIRECT("'" &amp;Master!$F$10&amp; "'!$A$2:$A$50"),INDIRECT("'" &amp;Master!$F$10&amp; "'!$H$2:$H$50"))</f>
        <v>#VALUE!</v>
      </c>
      <c r="I256" s="4" t="e">
        <f ca="1">IF(OR(INDIRECT("'" &amp; Master!$F$8 &amp; Master!$F$6 &amp; "'!B" &amp; ROW(B256))="", INDIRECT("'" &amp; Master!$F$8 &amp; Master!$F$6 &amp; "'!B" &amp; ROW(B256))=0), "", INDIRECT("'" &amp; Master!$F$8 &amp; Master!$F$6 &amp; "'!B" &amp; ROW(B256)))</f>
        <v>#VALUE!</v>
      </c>
      <c r="J256" s="9" t="e">
        <f t="shared" ca="1" si="21"/>
        <v>#VALUE!</v>
      </c>
      <c r="K256" s="7" t="e">
        <f t="shared" ca="1" si="22"/>
        <v>#VALUE!</v>
      </c>
      <c r="L256" s="7" t="e">
        <f t="shared" ca="1" si="23"/>
        <v>#VALUE!</v>
      </c>
      <c r="M256" s="7" t="e">
        <f t="shared" ca="1" si="24"/>
        <v>#VALUE!</v>
      </c>
      <c r="N256" s="7" t="e">
        <f t="shared" ca="1" si="25"/>
        <v>#VALUE!</v>
      </c>
      <c r="O256" s="7" t="e">
        <f t="shared" ca="1" si="26"/>
        <v>#VALUE!</v>
      </c>
      <c r="P256" s="7" t="e">
        <f t="shared" ca="1" si="27"/>
        <v>#VALUE!</v>
      </c>
    </row>
    <row r="257" spans="1:16" x14ac:dyDescent="0.25">
      <c r="A257" s="19" t="str">
        <f ca="1">IF(OR(INDIRECT("'" &amp; Master!$F$8 &amp; Master!$F$6 &amp; "'!A" &amp; ROW(A257))="", INDIRECT("'" &amp; Master!$F$8 &amp; Master!$F$6 &amp; "'!A" &amp; ROW(A257))=0), "", INDIRECT("'" &amp; Master!$F$8 &amp; Master!$F$6 &amp; "'!A" &amp; ROW(A257)))</f>
        <v/>
      </c>
      <c r="B257" s="4" t="e">
        <f ca="1">SplineInterp(INDIRECT("A" &amp; ROW()),INDIRECT("'" &amp;Master!$F$10&amp; "'!$A$2:$A$50"),INDIRECT("'" &amp;Master!$F$10&amp; "'!$B$2:$B$50"))</f>
        <v>#VALUE!</v>
      </c>
      <c r="C257" s="4" t="e">
        <f ca="1">SplineInterp(A257,INDIRECT("'" &amp;Master!$F$10&amp; "'!$A$2:$A$50"),INDIRECT("'" &amp;Master!$F$10&amp; "'!$C$2:$C$50"))</f>
        <v>#VALUE!</v>
      </c>
      <c r="D257" s="4" t="e">
        <f ca="1">SplineInterp(A257,INDIRECT("'" &amp;Master!$F$10&amp; "'!$A$2:$A$50"),INDIRECT("'" &amp;Master!$F$10&amp; "'!$D$2:$D$50"))</f>
        <v>#VALUE!</v>
      </c>
      <c r="E257" s="4" t="e">
        <f ca="1">SplineInterp(A257,INDIRECT("'" &amp;Master!$F$10&amp; "'!$A$2:$A$50"),INDIRECT("'" &amp;Master!$F$10&amp; "'!$E$2:$E$50"))</f>
        <v>#VALUE!</v>
      </c>
      <c r="F257" s="4" t="e">
        <f ca="1">SplineInterp(A257,INDIRECT("'" &amp;Master!$F$10&amp; "'!$A$2:$A$50"),INDIRECT("'" &amp;Master!$F$10&amp; "'!$F$2:$F$50"))</f>
        <v>#VALUE!</v>
      </c>
      <c r="G257" s="4" t="e">
        <f ca="1">SplineInterp(A257,INDIRECT("'" &amp;Master!$F$10&amp; "'!$A$2:$A$50"),INDIRECT("'" &amp;Master!$F$10&amp; "'!$G$2:$G$50"))</f>
        <v>#VALUE!</v>
      </c>
      <c r="H257" s="4" t="e">
        <f ca="1">SplineInterp(A257,INDIRECT("'" &amp;Master!$F$10&amp; "'!$A$2:$A$50"),INDIRECT("'" &amp;Master!$F$10&amp; "'!$H$2:$H$50"))</f>
        <v>#VALUE!</v>
      </c>
      <c r="I257" s="4" t="e">
        <f ca="1">IF(OR(INDIRECT("'" &amp; Master!$F$8 &amp; Master!$F$6 &amp; "'!B" &amp; ROW(B257))="", INDIRECT("'" &amp; Master!$F$8 &amp; Master!$F$6 &amp; "'!B" &amp; ROW(B257))=0), "", INDIRECT("'" &amp; Master!$F$8 &amp; Master!$F$6 &amp; "'!B" &amp; ROW(B257)))</f>
        <v>#VALUE!</v>
      </c>
      <c r="J257" s="9" t="e">
        <f t="shared" ca="1" si="21"/>
        <v>#VALUE!</v>
      </c>
      <c r="K257" s="7" t="e">
        <f t="shared" ca="1" si="22"/>
        <v>#VALUE!</v>
      </c>
      <c r="L257" s="7" t="e">
        <f t="shared" ca="1" si="23"/>
        <v>#VALUE!</v>
      </c>
      <c r="M257" s="7" t="e">
        <f t="shared" ca="1" si="24"/>
        <v>#VALUE!</v>
      </c>
      <c r="N257" s="7" t="e">
        <f t="shared" ca="1" si="25"/>
        <v>#VALUE!</v>
      </c>
      <c r="O257" s="7" t="e">
        <f t="shared" ca="1" si="26"/>
        <v>#VALUE!</v>
      </c>
      <c r="P257" s="7" t="e">
        <f t="shared" ca="1" si="27"/>
        <v>#VALUE!</v>
      </c>
    </row>
    <row r="258" spans="1:16" x14ac:dyDescent="0.25">
      <c r="A258" s="19" t="str">
        <f ca="1">IF(OR(INDIRECT("'" &amp; Master!$F$8 &amp; Master!$F$6 &amp; "'!A" &amp; ROW(A258))="", INDIRECT("'" &amp; Master!$F$8 &amp; Master!$F$6 &amp; "'!A" &amp; ROW(A258))=0), "", INDIRECT("'" &amp; Master!$F$8 &amp; Master!$F$6 &amp; "'!A" &amp; ROW(A258)))</f>
        <v/>
      </c>
      <c r="B258" s="4" t="e">
        <f ca="1">SplineInterp(INDIRECT("A" &amp; ROW()),INDIRECT("'" &amp;Master!$F$10&amp; "'!$A$2:$A$50"),INDIRECT("'" &amp;Master!$F$10&amp; "'!$B$2:$B$50"))</f>
        <v>#VALUE!</v>
      </c>
      <c r="C258" s="4" t="e">
        <f ca="1">SplineInterp(A258,INDIRECT("'" &amp;Master!$F$10&amp; "'!$A$2:$A$50"),INDIRECT("'" &amp;Master!$F$10&amp; "'!$C$2:$C$50"))</f>
        <v>#VALUE!</v>
      </c>
      <c r="D258" s="4" t="e">
        <f ca="1">SplineInterp(A258,INDIRECT("'" &amp;Master!$F$10&amp; "'!$A$2:$A$50"),INDIRECT("'" &amp;Master!$F$10&amp; "'!$D$2:$D$50"))</f>
        <v>#VALUE!</v>
      </c>
      <c r="E258" s="4" t="e">
        <f ca="1">SplineInterp(A258,INDIRECT("'" &amp;Master!$F$10&amp; "'!$A$2:$A$50"),INDIRECT("'" &amp;Master!$F$10&amp; "'!$E$2:$E$50"))</f>
        <v>#VALUE!</v>
      </c>
      <c r="F258" s="4" t="e">
        <f ca="1">SplineInterp(A258,INDIRECT("'" &amp;Master!$F$10&amp; "'!$A$2:$A$50"),INDIRECT("'" &amp;Master!$F$10&amp; "'!$F$2:$F$50"))</f>
        <v>#VALUE!</v>
      </c>
      <c r="G258" s="4" t="e">
        <f ca="1">SplineInterp(A258,INDIRECT("'" &amp;Master!$F$10&amp; "'!$A$2:$A$50"),INDIRECT("'" &amp;Master!$F$10&amp; "'!$G$2:$G$50"))</f>
        <v>#VALUE!</v>
      </c>
      <c r="H258" s="4" t="e">
        <f ca="1">SplineInterp(A258,INDIRECT("'" &amp;Master!$F$10&amp; "'!$A$2:$A$50"),INDIRECT("'" &amp;Master!$F$10&amp; "'!$H$2:$H$50"))</f>
        <v>#VALUE!</v>
      </c>
      <c r="I258" s="4" t="e">
        <f ca="1">IF(OR(INDIRECT("'" &amp; Master!$F$8 &amp; Master!$F$6 &amp; "'!B" &amp; ROW(B258))="", INDIRECT("'" &amp; Master!$F$8 &amp; Master!$F$6 &amp; "'!B" &amp; ROW(B258))=0), "", INDIRECT("'" &amp; Master!$F$8 &amp; Master!$F$6 &amp; "'!B" &amp; ROW(B258)))</f>
        <v>#VALUE!</v>
      </c>
      <c r="J258" s="9" t="e">
        <f t="shared" ca="1" si="21"/>
        <v>#VALUE!</v>
      </c>
      <c r="K258" s="7" t="e">
        <f t="shared" ca="1" si="22"/>
        <v>#VALUE!</v>
      </c>
      <c r="L258" s="7" t="e">
        <f t="shared" ca="1" si="23"/>
        <v>#VALUE!</v>
      </c>
      <c r="M258" s="7" t="e">
        <f t="shared" ca="1" si="24"/>
        <v>#VALUE!</v>
      </c>
      <c r="N258" s="7" t="e">
        <f t="shared" ca="1" si="25"/>
        <v>#VALUE!</v>
      </c>
      <c r="O258" s="7" t="e">
        <f t="shared" ca="1" si="26"/>
        <v>#VALUE!</v>
      </c>
      <c r="P258" s="7" t="e">
        <f t="shared" ca="1" si="27"/>
        <v>#VALUE!</v>
      </c>
    </row>
    <row r="259" spans="1:16" x14ac:dyDescent="0.25">
      <c r="A259" s="19" t="str">
        <f ca="1">IF(OR(INDIRECT("'" &amp; Master!$F$8 &amp; Master!$F$6 &amp; "'!A" &amp; ROW(A259))="", INDIRECT("'" &amp; Master!$F$8 &amp; Master!$F$6 &amp; "'!A" &amp; ROW(A259))=0), "", INDIRECT("'" &amp; Master!$F$8 &amp; Master!$F$6 &amp; "'!A" &amp; ROW(A259)))</f>
        <v/>
      </c>
      <c r="B259" s="4" t="e">
        <f ca="1">SplineInterp(INDIRECT("A" &amp; ROW()),INDIRECT("'" &amp;Master!$F$10&amp; "'!$A$2:$A$50"),INDIRECT("'" &amp;Master!$F$10&amp; "'!$B$2:$B$50"))</f>
        <v>#VALUE!</v>
      </c>
      <c r="C259" s="4" t="e">
        <f ca="1">SplineInterp(A259,INDIRECT("'" &amp;Master!$F$10&amp; "'!$A$2:$A$50"),INDIRECT("'" &amp;Master!$F$10&amp; "'!$C$2:$C$50"))</f>
        <v>#VALUE!</v>
      </c>
      <c r="D259" s="4" t="e">
        <f ca="1">SplineInterp(A259,INDIRECT("'" &amp;Master!$F$10&amp; "'!$A$2:$A$50"),INDIRECT("'" &amp;Master!$F$10&amp; "'!$D$2:$D$50"))</f>
        <v>#VALUE!</v>
      </c>
      <c r="E259" s="4" t="e">
        <f ca="1">SplineInterp(A259,INDIRECT("'" &amp;Master!$F$10&amp; "'!$A$2:$A$50"),INDIRECT("'" &amp;Master!$F$10&amp; "'!$E$2:$E$50"))</f>
        <v>#VALUE!</v>
      </c>
      <c r="F259" s="4" t="e">
        <f ca="1">SplineInterp(A259,INDIRECT("'" &amp;Master!$F$10&amp; "'!$A$2:$A$50"),INDIRECT("'" &amp;Master!$F$10&amp; "'!$F$2:$F$50"))</f>
        <v>#VALUE!</v>
      </c>
      <c r="G259" s="4" t="e">
        <f ca="1">SplineInterp(A259,INDIRECT("'" &amp;Master!$F$10&amp; "'!$A$2:$A$50"),INDIRECT("'" &amp;Master!$F$10&amp; "'!$G$2:$G$50"))</f>
        <v>#VALUE!</v>
      </c>
      <c r="H259" s="4" t="e">
        <f ca="1">SplineInterp(A259,INDIRECT("'" &amp;Master!$F$10&amp; "'!$A$2:$A$50"),INDIRECT("'" &amp;Master!$F$10&amp; "'!$H$2:$H$50"))</f>
        <v>#VALUE!</v>
      </c>
      <c r="I259" s="4" t="e">
        <f ca="1">IF(OR(INDIRECT("'" &amp; Master!$F$8 &amp; Master!$F$6 &amp; "'!B" &amp; ROW(B259))="", INDIRECT("'" &amp; Master!$F$8 &amp; Master!$F$6 &amp; "'!B" &amp; ROW(B259))=0), "", INDIRECT("'" &amp; Master!$F$8 &amp; Master!$F$6 &amp; "'!B" &amp; ROW(B259)))</f>
        <v>#VALUE!</v>
      </c>
      <c r="J259" s="9" t="e">
        <f t="shared" ref="J259:J322" ca="1" si="28">B259*I259</f>
        <v>#VALUE!</v>
      </c>
      <c r="K259" s="7" t="e">
        <f t="shared" ref="K259:K322" ca="1" si="29">C259*I259</f>
        <v>#VALUE!</v>
      </c>
      <c r="L259" s="7" t="e">
        <f t="shared" ref="L259:L322" ca="1" si="30">D259*I259</f>
        <v>#VALUE!</v>
      </c>
      <c r="M259" s="7" t="e">
        <f t="shared" ref="M259:M322" ca="1" si="31">E259*I259</f>
        <v>#VALUE!</v>
      </c>
      <c r="N259" s="7" t="e">
        <f t="shared" ref="N259:N322" ca="1" si="32">F259*I259</f>
        <v>#VALUE!</v>
      </c>
      <c r="O259" s="7" t="e">
        <f t="shared" ref="O259:O322" ca="1" si="33">G259*I259</f>
        <v>#VALUE!</v>
      </c>
      <c r="P259" s="7" t="e">
        <f t="shared" ref="P259:P322" ca="1" si="34">H259*I259</f>
        <v>#VALUE!</v>
      </c>
    </row>
    <row r="260" spans="1:16" x14ac:dyDescent="0.25">
      <c r="A260" s="19" t="str">
        <f ca="1">IF(OR(INDIRECT("'" &amp; Master!$F$8 &amp; Master!$F$6 &amp; "'!A" &amp; ROW(A260))="", INDIRECT("'" &amp; Master!$F$8 &amp; Master!$F$6 &amp; "'!A" &amp; ROW(A260))=0), "", INDIRECT("'" &amp; Master!$F$8 &amp; Master!$F$6 &amp; "'!A" &amp; ROW(A260)))</f>
        <v/>
      </c>
      <c r="B260" s="4" t="e">
        <f ca="1">SplineInterp(INDIRECT("A" &amp; ROW()),INDIRECT("'" &amp;Master!$F$10&amp; "'!$A$2:$A$50"),INDIRECT("'" &amp;Master!$F$10&amp; "'!$B$2:$B$50"))</f>
        <v>#VALUE!</v>
      </c>
      <c r="C260" s="4" t="e">
        <f ca="1">SplineInterp(A260,INDIRECT("'" &amp;Master!$F$10&amp; "'!$A$2:$A$50"),INDIRECT("'" &amp;Master!$F$10&amp; "'!$C$2:$C$50"))</f>
        <v>#VALUE!</v>
      </c>
      <c r="D260" s="4" t="e">
        <f ca="1">SplineInterp(A260,INDIRECT("'" &amp;Master!$F$10&amp; "'!$A$2:$A$50"),INDIRECT("'" &amp;Master!$F$10&amp; "'!$D$2:$D$50"))</f>
        <v>#VALUE!</v>
      </c>
      <c r="E260" s="4" t="e">
        <f ca="1">SplineInterp(A260,INDIRECT("'" &amp;Master!$F$10&amp; "'!$A$2:$A$50"),INDIRECT("'" &amp;Master!$F$10&amp; "'!$E$2:$E$50"))</f>
        <v>#VALUE!</v>
      </c>
      <c r="F260" s="4" t="e">
        <f ca="1">SplineInterp(A260,INDIRECT("'" &amp;Master!$F$10&amp; "'!$A$2:$A$50"),INDIRECT("'" &amp;Master!$F$10&amp; "'!$F$2:$F$50"))</f>
        <v>#VALUE!</v>
      </c>
      <c r="G260" s="4" t="e">
        <f ca="1">SplineInterp(A260,INDIRECT("'" &amp;Master!$F$10&amp; "'!$A$2:$A$50"),INDIRECT("'" &amp;Master!$F$10&amp; "'!$G$2:$G$50"))</f>
        <v>#VALUE!</v>
      </c>
      <c r="H260" s="4" t="e">
        <f ca="1">SplineInterp(A260,INDIRECT("'" &amp;Master!$F$10&amp; "'!$A$2:$A$50"),INDIRECT("'" &amp;Master!$F$10&amp; "'!$H$2:$H$50"))</f>
        <v>#VALUE!</v>
      </c>
      <c r="I260" s="4" t="e">
        <f ca="1">IF(OR(INDIRECT("'" &amp; Master!$F$8 &amp; Master!$F$6 &amp; "'!B" &amp; ROW(B260))="", INDIRECT("'" &amp; Master!$F$8 &amp; Master!$F$6 &amp; "'!B" &amp; ROW(B260))=0), "", INDIRECT("'" &amp; Master!$F$8 &amp; Master!$F$6 &amp; "'!B" &amp; ROW(B260)))</f>
        <v>#VALUE!</v>
      </c>
      <c r="J260" s="9" t="e">
        <f t="shared" ca="1" si="28"/>
        <v>#VALUE!</v>
      </c>
      <c r="K260" s="7" t="e">
        <f t="shared" ca="1" si="29"/>
        <v>#VALUE!</v>
      </c>
      <c r="L260" s="7" t="e">
        <f t="shared" ca="1" si="30"/>
        <v>#VALUE!</v>
      </c>
      <c r="M260" s="7" t="e">
        <f t="shared" ca="1" si="31"/>
        <v>#VALUE!</v>
      </c>
      <c r="N260" s="7" t="e">
        <f t="shared" ca="1" si="32"/>
        <v>#VALUE!</v>
      </c>
      <c r="O260" s="7" t="e">
        <f t="shared" ca="1" si="33"/>
        <v>#VALUE!</v>
      </c>
      <c r="P260" s="7" t="e">
        <f t="shared" ca="1" si="34"/>
        <v>#VALUE!</v>
      </c>
    </row>
    <row r="261" spans="1:16" x14ac:dyDescent="0.25">
      <c r="A261" s="19" t="str">
        <f ca="1">IF(OR(INDIRECT("'" &amp; Master!$F$8 &amp; Master!$F$6 &amp; "'!A" &amp; ROW(A261))="", INDIRECT("'" &amp; Master!$F$8 &amp; Master!$F$6 &amp; "'!A" &amp; ROW(A261))=0), "", INDIRECT("'" &amp; Master!$F$8 &amp; Master!$F$6 &amp; "'!A" &amp; ROW(A261)))</f>
        <v/>
      </c>
      <c r="B261" s="4" t="e">
        <f ca="1">SplineInterp(INDIRECT("A" &amp; ROW()),INDIRECT("'" &amp;Master!$F$10&amp; "'!$A$2:$A$50"),INDIRECT("'" &amp;Master!$F$10&amp; "'!$B$2:$B$50"))</f>
        <v>#VALUE!</v>
      </c>
      <c r="C261" s="4" t="e">
        <f ca="1">SplineInterp(A261,INDIRECT("'" &amp;Master!$F$10&amp; "'!$A$2:$A$50"),INDIRECT("'" &amp;Master!$F$10&amp; "'!$C$2:$C$50"))</f>
        <v>#VALUE!</v>
      </c>
      <c r="D261" s="4" t="e">
        <f ca="1">SplineInterp(A261,INDIRECT("'" &amp;Master!$F$10&amp; "'!$A$2:$A$50"),INDIRECT("'" &amp;Master!$F$10&amp; "'!$D$2:$D$50"))</f>
        <v>#VALUE!</v>
      </c>
      <c r="E261" s="4" t="e">
        <f ca="1">SplineInterp(A261,INDIRECT("'" &amp;Master!$F$10&amp; "'!$A$2:$A$50"),INDIRECT("'" &amp;Master!$F$10&amp; "'!$E$2:$E$50"))</f>
        <v>#VALUE!</v>
      </c>
      <c r="F261" s="4" t="e">
        <f ca="1">SplineInterp(A261,INDIRECT("'" &amp;Master!$F$10&amp; "'!$A$2:$A$50"),INDIRECT("'" &amp;Master!$F$10&amp; "'!$F$2:$F$50"))</f>
        <v>#VALUE!</v>
      </c>
      <c r="G261" s="4" t="e">
        <f ca="1">SplineInterp(A261,INDIRECT("'" &amp;Master!$F$10&amp; "'!$A$2:$A$50"),INDIRECT("'" &amp;Master!$F$10&amp; "'!$G$2:$G$50"))</f>
        <v>#VALUE!</v>
      </c>
      <c r="H261" s="4" t="e">
        <f ca="1">SplineInterp(A261,INDIRECT("'" &amp;Master!$F$10&amp; "'!$A$2:$A$50"),INDIRECT("'" &amp;Master!$F$10&amp; "'!$H$2:$H$50"))</f>
        <v>#VALUE!</v>
      </c>
      <c r="I261" s="4" t="e">
        <f ca="1">IF(OR(INDIRECT("'" &amp; Master!$F$8 &amp; Master!$F$6 &amp; "'!B" &amp; ROW(B261))="", INDIRECT("'" &amp; Master!$F$8 &amp; Master!$F$6 &amp; "'!B" &amp; ROW(B261))=0), "", INDIRECT("'" &amp; Master!$F$8 &amp; Master!$F$6 &amp; "'!B" &amp; ROW(B261)))</f>
        <v>#VALUE!</v>
      </c>
      <c r="J261" s="9" t="e">
        <f t="shared" ca="1" si="28"/>
        <v>#VALUE!</v>
      </c>
      <c r="K261" s="7" t="e">
        <f t="shared" ca="1" si="29"/>
        <v>#VALUE!</v>
      </c>
      <c r="L261" s="7" t="e">
        <f t="shared" ca="1" si="30"/>
        <v>#VALUE!</v>
      </c>
      <c r="M261" s="7" t="e">
        <f t="shared" ca="1" si="31"/>
        <v>#VALUE!</v>
      </c>
      <c r="N261" s="7" t="e">
        <f t="shared" ca="1" si="32"/>
        <v>#VALUE!</v>
      </c>
      <c r="O261" s="7" t="e">
        <f t="shared" ca="1" si="33"/>
        <v>#VALUE!</v>
      </c>
      <c r="P261" s="7" t="e">
        <f t="shared" ca="1" si="34"/>
        <v>#VALUE!</v>
      </c>
    </row>
    <row r="262" spans="1:16" x14ac:dyDescent="0.25">
      <c r="A262" s="19" t="str">
        <f ca="1">IF(OR(INDIRECT("'" &amp; Master!$F$8 &amp; Master!$F$6 &amp; "'!A" &amp; ROW(A262))="", INDIRECT("'" &amp; Master!$F$8 &amp; Master!$F$6 &amp; "'!A" &amp; ROW(A262))=0), "", INDIRECT("'" &amp; Master!$F$8 &amp; Master!$F$6 &amp; "'!A" &amp; ROW(A262)))</f>
        <v/>
      </c>
      <c r="B262" s="4" t="e">
        <f ca="1">SplineInterp(INDIRECT("A" &amp; ROW()),INDIRECT("'" &amp;Master!$F$10&amp; "'!$A$2:$A$50"),INDIRECT("'" &amp;Master!$F$10&amp; "'!$B$2:$B$50"))</f>
        <v>#VALUE!</v>
      </c>
      <c r="C262" s="4" t="e">
        <f ca="1">SplineInterp(A262,INDIRECT("'" &amp;Master!$F$10&amp; "'!$A$2:$A$50"),INDIRECT("'" &amp;Master!$F$10&amp; "'!$C$2:$C$50"))</f>
        <v>#VALUE!</v>
      </c>
      <c r="D262" s="4" t="e">
        <f ca="1">SplineInterp(A262,INDIRECT("'" &amp;Master!$F$10&amp; "'!$A$2:$A$50"),INDIRECT("'" &amp;Master!$F$10&amp; "'!$D$2:$D$50"))</f>
        <v>#VALUE!</v>
      </c>
      <c r="E262" s="4" t="e">
        <f ca="1">SplineInterp(A262,INDIRECT("'" &amp;Master!$F$10&amp; "'!$A$2:$A$50"),INDIRECT("'" &amp;Master!$F$10&amp; "'!$E$2:$E$50"))</f>
        <v>#VALUE!</v>
      </c>
      <c r="F262" s="4" t="e">
        <f ca="1">SplineInterp(A262,INDIRECT("'" &amp;Master!$F$10&amp; "'!$A$2:$A$50"),INDIRECT("'" &amp;Master!$F$10&amp; "'!$F$2:$F$50"))</f>
        <v>#VALUE!</v>
      </c>
      <c r="G262" s="4" t="e">
        <f ca="1">SplineInterp(A262,INDIRECT("'" &amp;Master!$F$10&amp; "'!$A$2:$A$50"),INDIRECT("'" &amp;Master!$F$10&amp; "'!$G$2:$G$50"))</f>
        <v>#VALUE!</v>
      </c>
      <c r="H262" s="4" t="e">
        <f ca="1">SplineInterp(A262,INDIRECT("'" &amp;Master!$F$10&amp; "'!$A$2:$A$50"),INDIRECT("'" &amp;Master!$F$10&amp; "'!$H$2:$H$50"))</f>
        <v>#VALUE!</v>
      </c>
      <c r="I262" s="4" t="e">
        <f ca="1">IF(OR(INDIRECT("'" &amp; Master!$F$8 &amp; Master!$F$6 &amp; "'!B" &amp; ROW(B262))="", INDIRECT("'" &amp; Master!$F$8 &amp; Master!$F$6 &amp; "'!B" &amp; ROW(B262))=0), "", INDIRECT("'" &amp; Master!$F$8 &amp; Master!$F$6 &amp; "'!B" &amp; ROW(B262)))</f>
        <v>#VALUE!</v>
      </c>
      <c r="J262" s="9" t="e">
        <f t="shared" ca="1" si="28"/>
        <v>#VALUE!</v>
      </c>
      <c r="K262" s="7" t="e">
        <f t="shared" ca="1" si="29"/>
        <v>#VALUE!</v>
      </c>
      <c r="L262" s="7" t="e">
        <f t="shared" ca="1" si="30"/>
        <v>#VALUE!</v>
      </c>
      <c r="M262" s="7" t="e">
        <f t="shared" ca="1" si="31"/>
        <v>#VALUE!</v>
      </c>
      <c r="N262" s="7" t="e">
        <f t="shared" ca="1" si="32"/>
        <v>#VALUE!</v>
      </c>
      <c r="O262" s="7" t="e">
        <f t="shared" ca="1" si="33"/>
        <v>#VALUE!</v>
      </c>
      <c r="P262" s="7" t="e">
        <f t="shared" ca="1" si="34"/>
        <v>#VALUE!</v>
      </c>
    </row>
    <row r="263" spans="1:16" x14ac:dyDescent="0.25">
      <c r="A263" s="19" t="str">
        <f ca="1">IF(OR(INDIRECT("'" &amp; Master!$F$8 &amp; Master!$F$6 &amp; "'!A" &amp; ROW(A263))="", INDIRECT("'" &amp; Master!$F$8 &amp; Master!$F$6 &amp; "'!A" &amp; ROW(A263))=0), "", INDIRECT("'" &amp; Master!$F$8 &amp; Master!$F$6 &amp; "'!A" &amp; ROW(A263)))</f>
        <v/>
      </c>
      <c r="B263" s="4" t="e">
        <f ca="1">SplineInterp(INDIRECT("A" &amp; ROW()),INDIRECT("'" &amp;Master!$F$10&amp; "'!$A$2:$A$50"),INDIRECT("'" &amp;Master!$F$10&amp; "'!$B$2:$B$50"))</f>
        <v>#VALUE!</v>
      </c>
      <c r="C263" s="4" t="e">
        <f ca="1">SplineInterp(A263,INDIRECT("'" &amp;Master!$F$10&amp; "'!$A$2:$A$50"),INDIRECT("'" &amp;Master!$F$10&amp; "'!$C$2:$C$50"))</f>
        <v>#VALUE!</v>
      </c>
      <c r="D263" s="4" t="e">
        <f ca="1">SplineInterp(A263,INDIRECT("'" &amp;Master!$F$10&amp; "'!$A$2:$A$50"),INDIRECT("'" &amp;Master!$F$10&amp; "'!$D$2:$D$50"))</f>
        <v>#VALUE!</v>
      </c>
      <c r="E263" s="4" t="e">
        <f ca="1">SplineInterp(A263,INDIRECT("'" &amp;Master!$F$10&amp; "'!$A$2:$A$50"),INDIRECT("'" &amp;Master!$F$10&amp; "'!$E$2:$E$50"))</f>
        <v>#VALUE!</v>
      </c>
      <c r="F263" s="4" t="e">
        <f ca="1">SplineInterp(A263,INDIRECT("'" &amp;Master!$F$10&amp; "'!$A$2:$A$50"),INDIRECT("'" &amp;Master!$F$10&amp; "'!$F$2:$F$50"))</f>
        <v>#VALUE!</v>
      </c>
      <c r="G263" s="4" t="e">
        <f ca="1">SplineInterp(A263,INDIRECT("'" &amp;Master!$F$10&amp; "'!$A$2:$A$50"),INDIRECT("'" &amp;Master!$F$10&amp; "'!$G$2:$G$50"))</f>
        <v>#VALUE!</v>
      </c>
      <c r="H263" s="4" t="e">
        <f ca="1">SplineInterp(A263,INDIRECT("'" &amp;Master!$F$10&amp; "'!$A$2:$A$50"),INDIRECT("'" &amp;Master!$F$10&amp; "'!$H$2:$H$50"))</f>
        <v>#VALUE!</v>
      </c>
      <c r="I263" s="4" t="e">
        <f ca="1">IF(OR(INDIRECT("'" &amp; Master!$F$8 &amp; Master!$F$6 &amp; "'!B" &amp; ROW(B263))="", INDIRECT("'" &amp; Master!$F$8 &amp; Master!$F$6 &amp; "'!B" &amp; ROW(B263))=0), "", INDIRECT("'" &amp; Master!$F$8 &amp; Master!$F$6 &amp; "'!B" &amp; ROW(B263)))</f>
        <v>#VALUE!</v>
      </c>
      <c r="J263" s="9" t="e">
        <f t="shared" ca="1" si="28"/>
        <v>#VALUE!</v>
      </c>
      <c r="K263" s="7" t="e">
        <f t="shared" ca="1" si="29"/>
        <v>#VALUE!</v>
      </c>
      <c r="L263" s="7" t="e">
        <f t="shared" ca="1" si="30"/>
        <v>#VALUE!</v>
      </c>
      <c r="M263" s="7" t="e">
        <f t="shared" ca="1" si="31"/>
        <v>#VALUE!</v>
      </c>
      <c r="N263" s="7" t="e">
        <f t="shared" ca="1" si="32"/>
        <v>#VALUE!</v>
      </c>
      <c r="O263" s="7" t="e">
        <f t="shared" ca="1" si="33"/>
        <v>#VALUE!</v>
      </c>
      <c r="P263" s="7" t="e">
        <f t="shared" ca="1" si="34"/>
        <v>#VALUE!</v>
      </c>
    </row>
    <row r="264" spans="1:16" x14ac:dyDescent="0.25">
      <c r="A264" s="19" t="str">
        <f ca="1">IF(OR(INDIRECT("'" &amp; Master!$F$8 &amp; Master!$F$6 &amp; "'!A" &amp; ROW(A264))="", INDIRECT("'" &amp; Master!$F$8 &amp; Master!$F$6 &amp; "'!A" &amp; ROW(A264))=0), "", INDIRECT("'" &amp; Master!$F$8 &amp; Master!$F$6 &amp; "'!A" &amp; ROW(A264)))</f>
        <v/>
      </c>
      <c r="B264" s="4" t="e">
        <f ca="1">SplineInterp(INDIRECT("A" &amp; ROW()),INDIRECT("'" &amp;Master!$F$10&amp; "'!$A$2:$A$50"),INDIRECT("'" &amp;Master!$F$10&amp; "'!$B$2:$B$50"))</f>
        <v>#VALUE!</v>
      </c>
      <c r="C264" s="4" t="e">
        <f ca="1">SplineInterp(A264,INDIRECT("'" &amp;Master!$F$10&amp; "'!$A$2:$A$50"),INDIRECT("'" &amp;Master!$F$10&amp; "'!$C$2:$C$50"))</f>
        <v>#VALUE!</v>
      </c>
      <c r="D264" s="4" t="e">
        <f ca="1">SplineInterp(A264,INDIRECT("'" &amp;Master!$F$10&amp; "'!$A$2:$A$50"),INDIRECT("'" &amp;Master!$F$10&amp; "'!$D$2:$D$50"))</f>
        <v>#VALUE!</v>
      </c>
      <c r="E264" s="4" t="e">
        <f ca="1">SplineInterp(A264,INDIRECT("'" &amp;Master!$F$10&amp; "'!$A$2:$A$50"),INDIRECT("'" &amp;Master!$F$10&amp; "'!$E$2:$E$50"))</f>
        <v>#VALUE!</v>
      </c>
      <c r="F264" s="4" t="e">
        <f ca="1">SplineInterp(A264,INDIRECT("'" &amp;Master!$F$10&amp; "'!$A$2:$A$50"),INDIRECT("'" &amp;Master!$F$10&amp; "'!$F$2:$F$50"))</f>
        <v>#VALUE!</v>
      </c>
      <c r="G264" s="4" t="e">
        <f ca="1">SplineInterp(A264,INDIRECT("'" &amp;Master!$F$10&amp; "'!$A$2:$A$50"),INDIRECT("'" &amp;Master!$F$10&amp; "'!$G$2:$G$50"))</f>
        <v>#VALUE!</v>
      </c>
      <c r="H264" s="4" t="e">
        <f ca="1">SplineInterp(A264,INDIRECT("'" &amp;Master!$F$10&amp; "'!$A$2:$A$50"),INDIRECT("'" &amp;Master!$F$10&amp; "'!$H$2:$H$50"))</f>
        <v>#VALUE!</v>
      </c>
      <c r="I264" s="4" t="e">
        <f ca="1">IF(OR(INDIRECT("'" &amp; Master!$F$8 &amp; Master!$F$6 &amp; "'!B" &amp; ROW(B264))="", INDIRECT("'" &amp; Master!$F$8 &amp; Master!$F$6 &amp; "'!B" &amp; ROW(B264))=0), "", INDIRECT("'" &amp; Master!$F$8 &amp; Master!$F$6 &amp; "'!B" &amp; ROW(B264)))</f>
        <v>#VALUE!</v>
      </c>
      <c r="J264" s="9" t="e">
        <f t="shared" ca="1" si="28"/>
        <v>#VALUE!</v>
      </c>
      <c r="K264" s="7" t="e">
        <f t="shared" ca="1" si="29"/>
        <v>#VALUE!</v>
      </c>
      <c r="L264" s="7" t="e">
        <f t="shared" ca="1" si="30"/>
        <v>#VALUE!</v>
      </c>
      <c r="M264" s="7" t="e">
        <f t="shared" ca="1" si="31"/>
        <v>#VALUE!</v>
      </c>
      <c r="N264" s="7" t="e">
        <f t="shared" ca="1" si="32"/>
        <v>#VALUE!</v>
      </c>
      <c r="O264" s="7" t="e">
        <f t="shared" ca="1" si="33"/>
        <v>#VALUE!</v>
      </c>
      <c r="P264" s="7" t="e">
        <f t="shared" ca="1" si="34"/>
        <v>#VALUE!</v>
      </c>
    </row>
    <row r="265" spans="1:16" x14ac:dyDescent="0.25">
      <c r="A265" s="19" t="str">
        <f ca="1">IF(OR(INDIRECT("'" &amp; Master!$F$8 &amp; Master!$F$6 &amp; "'!A" &amp; ROW(A265))="", INDIRECT("'" &amp; Master!$F$8 &amp; Master!$F$6 &amp; "'!A" &amp; ROW(A265))=0), "", INDIRECT("'" &amp; Master!$F$8 &amp; Master!$F$6 &amp; "'!A" &amp; ROW(A265)))</f>
        <v/>
      </c>
      <c r="B265" s="4" t="e">
        <f ca="1">SplineInterp(INDIRECT("A" &amp; ROW()),INDIRECT("'" &amp;Master!$F$10&amp; "'!$A$2:$A$50"),INDIRECT("'" &amp;Master!$F$10&amp; "'!$B$2:$B$50"))</f>
        <v>#VALUE!</v>
      </c>
      <c r="C265" s="4" t="e">
        <f ca="1">SplineInterp(A265,INDIRECT("'" &amp;Master!$F$10&amp; "'!$A$2:$A$50"),INDIRECT("'" &amp;Master!$F$10&amp; "'!$C$2:$C$50"))</f>
        <v>#VALUE!</v>
      </c>
      <c r="D265" s="4" t="e">
        <f ca="1">SplineInterp(A265,INDIRECT("'" &amp;Master!$F$10&amp; "'!$A$2:$A$50"),INDIRECT("'" &amp;Master!$F$10&amp; "'!$D$2:$D$50"))</f>
        <v>#VALUE!</v>
      </c>
      <c r="E265" s="4" t="e">
        <f ca="1">SplineInterp(A265,INDIRECT("'" &amp;Master!$F$10&amp; "'!$A$2:$A$50"),INDIRECT("'" &amp;Master!$F$10&amp; "'!$E$2:$E$50"))</f>
        <v>#VALUE!</v>
      </c>
      <c r="F265" s="4" t="e">
        <f ca="1">SplineInterp(A265,INDIRECT("'" &amp;Master!$F$10&amp; "'!$A$2:$A$50"),INDIRECT("'" &amp;Master!$F$10&amp; "'!$F$2:$F$50"))</f>
        <v>#VALUE!</v>
      </c>
      <c r="G265" s="4" t="e">
        <f ca="1">SplineInterp(A265,INDIRECT("'" &amp;Master!$F$10&amp; "'!$A$2:$A$50"),INDIRECT("'" &amp;Master!$F$10&amp; "'!$G$2:$G$50"))</f>
        <v>#VALUE!</v>
      </c>
      <c r="H265" s="4" t="e">
        <f ca="1">SplineInterp(A265,INDIRECT("'" &amp;Master!$F$10&amp; "'!$A$2:$A$50"),INDIRECT("'" &amp;Master!$F$10&amp; "'!$H$2:$H$50"))</f>
        <v>#VALUE!</v>
      </c>
      <c r="I265" s="4" t="e">
        <f ca="1">IF(OR(INDIRECT("'" &amp; Master!$F$8 &amp; Master!$F$6 &amp; "'!B" &amp; ROW(B265))="", INDIRECT("'" &amp; Master!$F$8 &amp; Master!$F$6 &amp; "'!B" &amp; ROW(B265))=0), "", INDIRECT("'" &amp; Master!$F$8 &amp; Master!$F$6 &amp; "'!B" &amp; ROW(B265)))</f>
        <v>#VALUE!</v>
      </c>
      <c r="J265" s="9" t="e">
        <f t="shared" ca="1" si="28"/>
        <v>#VALUE!</v>
      </c>
      <c r="K265" s="7" t="e">
        <f t="shared" ca="1" si="29"/>
        <v>#VALUE!</v>
      </c>
      <c r="L265" s="7" t="e">
        <f t="shared" ca="1" si="30"/>
        <v>#VALUE!</v>
      </c>
      <c r="M265" s="7" t="e">
        <f t="shared" ca="1" si="31"/>
        <v>#VALUE!</v>
      </c>
      <c r="N265" s="7" t="e">
        <f t="shared" ca="1" si="32"/>
        <v>#VALUE!</v>
      </c>
      <c r="O265" s="7" t="e">
        <f t="shared" ca="1" si="33"/>
        <v>#VALUE!</v>
      </c>
      <c r="P265" s="7" t="e">
        <f t="shared" ca="1" si="34"/>
        <v>#VALUE!</v>
      </c>
    </row>
    <row r="266" spans="1:16" x14ac:dyDescent="0.25">
      <c r="A266" s="19" t="str">
        <f ca="1">IF(OR(INDIRECT("'" &amp; Master!$F$8 &amp; Master!$F$6 &amp; "'!A" &amp; ROW(A266))="", INDIRECT("'" &amp; Master!$F$8 &amp; Master!$F$6 &amp; "'!A" &amp; ROW(A266))=0), "", INDIRECT("'" &amp; Master!$F$8 &amp; Master!$F$6 &amp; "'!A" &amp; ROW(A266)))</f>
        <v/>
      </c>
      <c r="B266" s="4" t="e">
        <f ca="1">SplineInterp(INDIRECT("A" &amp; ROW()),INDIRECT("'" &amp;Master!$F$10&amp; "'!$A$2:$A$50"),INDIRECT("'" &amp;Master!$F$10&amp; "'!$B$2:$B$50"))</f>
        <v>#VALUE!</v>
      </c>
      <c r="C266" s="4" t="e">
        <f ca="1">SplineInterp(A266,INDIRECT("'" &amp;Master!$F$10&amp; "'!$A$2:$A$50"),INDIRECT("'" &amp;Master!$F$10&amp; "'!$C$2:$C$50"))</f>
        <v>#VALUE!</v>
      </c>
      <c r="D266" s="4" t="e">
        <f ca="1">SplineInterp(A266,INDIRECT("'" &amp;Master!$F$10&amp; "'!$A$2:$A$50"),INDIRECT("'" &amp;Master!$F$10&amp; "'!$D$2:$D$50"))</f>
        <v>#VALUE!</v>
      </c>
      <c r="E266" s="4" t="e">
        <f ca="1">SplineInterp(A266,INDIRECT("'" &amp;Master!$F$10&amp; "'!$A$2:$A$50"),INDIRECT("'" &amp;Master!$F$10&amp; "'!$E$2:$E$50"))</f>
        <v>#VALUE!</v>
      </c>
      <c r="F266" s="4" t="e">
        <f ca="1">SplineInterp(A266,INDIRECT("'" &amp;Master!$F$10&amp; "'!$A$2:$A$50"),INDIRECT("'" &amp;Master!$F$10&amp; "'!$F$2:$F$50"))</f>
        <v>#VALUE!</v>
      </c>
      <c r="G266" s="4" t="e">
        <f ca="1">SplineInterp(A266,INDIRECT("'" &amp;Master!$F$10&amp; "'!$A$2:$A$50"),INDIRECT("'" &amp;Master!$F$10&amp; "'!$G$2:$G$50"))</f>
        <v>#VALUE!</v>
      </c>
      <c r="H266" s="4" t="e">
        <f ca="1">SplineInterp(A266,INDIRECT("'" &amp;Master!$F$10&amp; "'!$A$2:$A$50"),INDIRECT("'" &amp;Master!$F$10&amp; "'!$H$2:$H$50"))</f>
        <v>#VALUE!</v>
      </c>
      <c r="I266" s="4" t="e">
        <f ca="1">IF(OR(INDIRECT("'" &amp; Master!$F$8 &amp; Master!$F$6 &amp; "'!B" &amp; ROW(B266))="", INDIRECT("'" &amp; Master!$F$8 &amp; Master!$F$6 &amp; "'!B" &amp; ROW(B266))=0), "", INDIRECT("'" &amp; Master!$F$8 &amp; Master!$F$6 &amp; "'!B" &amp; ROW(B266)))</f>
        <v>#VALUE!</v>
      </c>
      <c r="J266" s="9" t="e">
        <f t="shared" ca="1" si="28"/>
        <v>#VALUE!</v>
      </c>
      <c r="K266" s="7" t="e">
        <f t="shared" ca="1" si="29"/>
        <v>#VALUE!</v>
      </c>
      <c r="L266" s="7" t="e">
        <f t="shared" ca="1" si="30"/>
        <v>#VALUE!</v>
      </c>
      <c r="M266" s="7" t="e">
        <f t="shared" ca="1" si="31"/>
        <v>#VALUE!</v>
      </c>
      <c r="N266" s="7" t="e">
        <f t="shared" ca="1" si="32"/>
        <v>#VALUE!</v>
      </c>
      <c r="O266" s="7" t="e">
        <f t="shared" ca="1" si="33"/>
        <v>#VALUE!</v>
      </c>
      <c r="P266" s="7" t="e">
        <f t="shared" ca="1" si="34"/>
        <v>#VALUE!</v>
      </c>
    </row>
    <row r="267" spans="1:16" x14ac:dyDescent="0.25">
      <c r="A267" s="19" t="str">
        <f ca="1">IF(OR(INDIRECT("'" &amp; Master!$F$8 &amp; Master!$F$6 &amp; "'!A" &amp; ROW(A267))="", INDIRECT("'" &amp; Master!$F$8 &amp; Master!$F$6 &amp; "'!A" &amp; ROW(A267))=0), "", INDIRECT("'" &amp; Master!$F$8 &amp; Master!$F$6 &amp; "'!A" &amp; ROW(A267)))</f>
        <v/>
      </c>
      <c r="B267" s="4" t="e">
        <f ca="1">SplineInterp(INDIRECT("A" &amp; ROW()),INDIRECT("'" &amp;Master!$F$10&amp; "'!$A$2:$A$50"),INDIRECT("'" &amp;Master!$F$10&amp; "'!$B$2:$B$50"))</f>
        <v>#VALUE!</v>
      </c>
      <c r="C267" s="4" t="e">
        <f ca="1">SplineInterp(A267,INDIRECT("'" &amp;Master!$F$10&amp; "'!$A$2:$A$50"),INDIRECT("'" &amp;Master!$F$10&amp; "'!$C$2:$C$50"))</f>
        <v>#VALUE!</v>
      </c>
      <c r="D267" s="4" t="e">
        <f ca="1">SplineInterp(A267,INDIRECT("'" &amp;Master!$F$10&amp; "'!$A$2:$A$50"),INDIRECT("'" &amp;Master!$F$10&amp; "'!$D$2:$D$50"))</f>
        <v>#VALUE!</v>
      </c>
      <c r="E267" s="4" t="e">
        <f ca="1">SplineInterp(A267,INDIRECT("'" &amp;Master!$F$10&amp; "'!$A$2:$A$50"),INDIRECT("'" &amp;Master!$F$10&amp; "'!$E$2:$E$50"))</f>
        <v>#VALUE!</v>
      </c>
      <c r="F267" s="4" t="e">
        <f ca="1">SplineInterp(A267,INDIRECT("'" &amp;Master!$F$10&amp; "'!$A$2:$A$50"),INDIRECT("'" &amp;Master!$F$10&amp; "'!$F$2:$F$50"))</f>
        <v>#VALUE!</v>
      </c>
      <c r="G267" s="4" t="e">
        <f ca="1">SplineInterp(A267,INDIRECT("'" &amp;Master!$F$10&amp; "'!$A$2:$A$50"),INDIRECT("'" &amp;Master!$F$10&amp; "'!$G$2:$G$50"))</f>
        <v>#VALUE!</v>
      </c>
      <c r="H267" s="4" t="e">
        <f ca="1">SplineInterp(A267,INDIRECT("'" &amp;Master!$F$10&amp; "'!$A$2:$A$50"),INDIRECT("'" &amp;Master!$F$10&amp; "'!$H$2:$H$50"))</f>
        <v>#VALUE!</v>
      </c>
      <c r="I267" s="4" t="e">
        <f ca="1">IF(OR(INDIRECT("'" &amp; Master!$F$8 &amp; Master!$F$6 &amp; "'!B" &amp; ROW(B267))="", INDIRECT("'" &amp; Master!$F$8 &amp; Master!$F$6 &amp; "'!B" &amp; ROW(B267))=0), "", INDIRECT("'" &amp; Master!$F$8 &amp; Master!$F$6 &amp; "'!B" &amp; ROW(B267)))</f>
        <v>#VALUE!</v>
      </c>
      <c r="J267" s="9" t="e">
        <f t="shared" ca="1" si="28"/>
        <v>#VALUE!</v>
      </c>
      <c r="K267" s="7" t="e">
        <f t="shared" ca="1" si="29"/>
        <v>#VALUE!</v>
      </c>
      <c r="L267" s="7" t="e">
        <f t="shared" ca="1" si="30"/>
        <v>#VALUE!</v>
      </c>
      <c r="M267" s="7" t="e">
        <f t="shared" ca="1" si="31"/>
        <v>#VALUE!</v>
      </c>
      <c r="N267" s="7" t="e">
        <f t="shared" ca="1" si="32"/>
        <v>#VALUE!</v>
      </c>
      <c r="O267" s="7" t="e">
        <f t="shared" ca="1" si="33"/>
        <v>#VALUE!</v>
      </c>
      <c r="P267" s="7" t="e">
        <f t="shared" ca="1" si="34"/>
        <v>#VALUE!</v>
      </c>
    </row>
    <row r="268" spans="1:16" x14ac:dyDescent="0.25">
      <c r="A268" s="19" t="str">
        <f ca="1">IF(OR(INDIRECT("'" &amp; Master!$F$8 &amp; Master!$F$6 &amp; "'!A" &amp; ROW(A268))="", INDIRECT("'" &amp; Master!$F$8 &amp; Master!$F$6 &amp; "'!A" &amp; ROW(A268))=0), "", INDIRECT("'" &amp; Master!$F$8 &amp; Master!$F$6 &amp; "'!A" &amp; ROW(A268)))</f>
        <v/>
      </c>
      <c r="B268" s="4" t="e">
        <f ca="1">SplineInterp(INDIRECT("A" &amp; ROW()),INDIRECT("'" &amp;Master!$F$10&amp; "'!$A$2:$A$50"),INDIRECT("'" &amp;Master!$F$10&amp; "'!$B$2:$B$50"))</f>
        <v>#VALUE!</v>
      </c>
      <c r="C268" s="4" t="e">
        <f ca="1">SplineInterp(A268,INDIRECT("'" &amp;Master!$F$10&amp; "'!$A$2:$A$50"),INDIRECT("'" &amp;Master!$F$10&amp; "'!$C$2:$C$50"))</f>
        <v>#VALUE!</v>
      </c>
      <c r="D268" s="4" t="e">
        <f ca="1">SplineInterp(A268,INDIRECT("'" &amp;Master!$F$10&amp; "'!$A$2:$A$50"),INDIRECT("'" &amp;Master!$F$10&amp; "'!$D$2:$D$50"))</f>
        <v>#VALUE!</v>
      </c>
      <c r="E268" s="4" t="e">
        <f ca="1">SplineInterp(A268,INDIRECT("'" &amp;Master!$F$10&amp; "'!$A$2:$A$50"),INDIRECT("'" &amp;Master!$F$10&amp; "'!$E$2:$E$50"))</f>
        <v>#VALUE!</v>
      </c>
      <c r="F268" s="4" t="e">
        <f ca="1">SplineInterp(A268,INDIRECT("'" &amp;Master!$F$10&amp; "'!$A$2:$A$50"),INDIRECT("'" &amp;Master!$F$10&amp; "'!$F$2:$F$50"))</f>
        <v>#VALUE!</v>
      </c>
      <c r="G268" s="4" t="e">
        <f ca="1">SplineInterp(A268,INDIRECT("'" &amp;Master!$F$10&amp; "'!$A$2:$A$50"),INDIRECT("'" &amp;Master!$F$10&amp; "'!$G$2:$G$50"))</f>
        <v>#VALUE!</v>
      </c>
      <c r="H268" s="4" t="e">
        <f ca="1">SplineInterp(A268,INDIRECT("'" &amp;Master!$F$10&amp; "'!$A$2:$A$50"),INDIRECT("'" &amp;Master!$F$10&amp; "'!$H$2:$H$50"))</f>
        <v>#VALUE!</v>
      </c>
      <c r="I268" s="4" t="e">
        <f ca="1">IF(OR(INDIRECT("'" &amp; Master!$F$8 &amp; Master!$F$6 &amp; "'!B" &amp; ROW(B268))="", INDIRECT("'" &amp; Master!$F$8 &amp; Master!$F$6 &amp; "'!B" &amp; ROW(B268))=0), "", INDIRECT("'" &amp; Master!$F$8 &amp; Master!$F$6 &amp; "'!B" &amp; ROW(B268)))</f>
        <v>#VALUE!</v>
      </c>
      <c r="J268" s="9" t="e">
        <f t="shared" ca="1" si="28"/>
        <v>#VALUE!</v>
      </c>
      <c r="K268" s="7" t="e">
        <f t="shared" ca="1" si="29"/>
        <v>#VALUE!</v>
      </c>
      <c r="L268" s="7" t="e">
        <f t="shared" ca="1" si="30"/>
        <v>#VALUE!</v>
      </c>
      <c r="M268" s="7" t="e">
        <f t="shared" ca="1" si="31"/>
        <v>#VALUE!</v>
      </c>
      <c r="N268" s="7" t="e">
        <f t="shared" ca="1" si="32"/>
        <v>#VALUE!</v>
      </c>
      <c r="O268" s="7" t="e">
        <f t="shared" ca="1" si="33"/>
        <v>#VALUE!</v>
      </c>
      <c r="P268" s="7" t="e">
        <f t="shared" ca="1" si="34"/>
        <v>#VALUE!</v>
      </c>
    </row>
    <row r="269" spans="1:16" x14ac:dyDescent="0.25">
      <c r="A269" s="19" t="str">
        <f ca="1">IF(OR(INDIRECT("'" &amp; Master!$F$8 &amp; Master!$F$6 &amp; "'!A" &amp; ROW(A269))="", INDIRECT("'" &amp; Master!$F$8 &amp; Master!$F$6 &amp; "'!A" &amp; ROW(A269))=0), "", INDIRECT("'" &amp; Master!$F$8 &amp; Master!$F$6 &amp; "'!A" &amp; ROW(A269)))</f>
        <v/>
      </c>
      <c r="B269" s="4" t="e">
        <f ca="1">SplineInterp(INDIRECT("A" &amp; ROW()),INDIRECT("'" &amp;Master!$F$10&amp; "'!$A$2:$A$50"),INDIRECT("'" &amp;Master!$F$10&amp; "'!$B$2:$B$50"))</f>
        <v>#VALUE!</v>
      </c>
      <c r="C269" s="4" t="e">
        <f ca="1">SplineInterp(A269,INDIRECT("'" &amp;Master!$F$10&amp; "'!$A$2:$A$50"),INDIRECT("'" &amp;Master!$F$10&amp; "'!$C$2:$C$50"))</f>
        <v>#VALUE!</v>
      </c>
      <c r="D269" s="4" t="e">
        <f ca="1">SplineInterp(A269,INDIRECT("'" &amp;Master!$F$10&amp; "'!$A$2:$A$50"),INDIRECT("'" &amp;Master!$F$10&amp; "'!$D$2:$D$50"))</f>
        <v>#VALUE!</v>
      </c>
      <c r="E269" s="4" t="e">
        <f ca="1">SplineInterp(A269,INDIRECT("'" &amp;Master!$F$10&amp; "'!$A$2:$A$50"),INDIRECT("'" &amp;Master!$F$10&amp; "'!$E$2:$E$50"))</f>
        <v>#VALUE!</v>
      </c>
      <c r="F269" s="4" t="e">
        <f ca="1">SplineInterp(A269,INDIRECT("'" &amp;Master!$F$10&amp; "'!$A$2:$A$50"),INDIRECT("'" &amp;Master!$F$10&amp; "'!$F$2:$F$50"))</f>
        <v>#VALUE!</v>
      </c>
      <c r="G269" s="4" t="e">
        <f ca="1">SplineInterp(A269,INDIRECT("'" &amp;Master!$F$10&amp; "'!$A$2:$A$50"),INDIRECT("'" &amp;Master!$F$10&amp; "'!$G$2:$G$50"))</f>
        <v>#VALUE!</v>
      </c>
      <c r="H269" s="4" t="e">
        <f ca="1">SplineInterp(A269,INDIRECT("'" &amp;Master!$F$10&amp; "'!$A$2:$A$50"),INDIRECT("'" &amp;Master!$F$10&amp; "'!$H$2:$H$50"))</f>
        <v>#VALUE!</v>
      </c>
      <c r="I269" s="4" t="e">
        <f ca="1">IF(OR(INDIRECT("'" &amp; Master!$F$8 &amp; Master!$F$6 &amp; "'!B" &amp; ROW(B269))="", INDIRECT("'" &amp; Master!$F$8 &amp; Master!$F$6 &amp; "'!B" &amp; ROW(B269))=0), "", INDIRECT("'" &amp; Master!$F$8 &amp; Master!$F$6 &amp; "'!B" &amp; ROW(B269)))</f>
        <v>#VALUE!</v>
      </c>
      <c r="J269" s="9" t="e">
        <f t="shared" ca="1" si="28"/>
        <v>#VALUE!</v>
      </c>
      <c r="K269" s="7" t="e">
        <f t="shared" ca="1" si="29"/>
        <v>#VALUE!</v>
      </c>
      <c r="L269" s="7" t="e">
        <f t="shared" ca="1" si="30"/>
        <v>#VALUE!</v>
      </c>
      <c r="M269" s="7" t="e">
        <f t="shared" ca="1" si="31"/>
        <v>#VALUE!</v>
      </c>
      <c r="N269" s="7" t="e">
        <f t="shared" ca="1" si="32"/>
        <v>#VALUE!</v>
      </c>
      <c r="O269" s="7" t="e">
        <f t="shared" ca="1" si="33"/>
        <v>#VALUE!</v>
      </c>
      <c r="P269" s="7" t="e">
        <f t="shared" ca="1" si="34"/>
        <v>#VALUE!</v>
      </c>
    </row>
    <row r="270" spans="1:16" x14ac:dyDescent="0.25">
      <c r="A270" s="19" t="str">
        <f ca="1">IF(OR(INDIRECT("'" &amp; Master!$F$8 &amp; Master!$F$6 &amp; "'!A" &amp; ROW(A270))="", INDIRECT("'" &amp; Master!$F$8 &amp; Master!$F$6 &amp; "'!A" &amp; ROW(A270))=0), "", INDIRECT("'" &amp; Master!$F$8 &amp; Master!$F$6 &amp; "'!A" &amp; ROW(A270)))</f>
        <v/>
      </c>
      <c r="B270" s="4" t="e">
        <f ca="1">SplineInterp(INDIRECT("A" &amp; ROW()),INDIRECT("'" &amp;Master!$F$10&amp; "'!$A$2:$A$50"),INDIRECT("'" &amp;Master!$F$10&amp; "'!$B$2:$B$50"))</f>
        <v>#VALUE!</v>
      </c>
      <c r="C270" s="4" t="e">
        <f ca="1">SplineInterp(A270,INDIRECT("'" &amp;Master!$F$10&amp; "'!$A$2:$A$50"),INDIRECT("'" &amp;Master!$F$10&amp; "'!$C$2:$C$50"))</f>
        <v>#VALUE!</v>
      </c>
      <c r="D270" s="4" t="e">
        <f ca="1">SplineInterp(A270,INDIRECT("'" &amp;Master!$F$10&amp; "'!$A$2:$A$50"),INDIRECT("'" &amp;Master!$F$10&amp; "'!$D$2:$D$50"))</f>
        <v>#VALUE!</v>
      </c>
      <c r="E270" s="4" t="e">
        <f ca="1">SplineInterp(A270,INDIRECT("'" &amp;Master!$F$10&amp; "'!$A$2:$A$50"),INDIRECT("'" &amp;Master!$F$10&amp; "'!$E$2:$E$50"))</f>
        <v>#VALUE!</v>
      </c>
      <c r="F270" s="4" t="e">
        <f ca="1">SplineInterp(A270,INDIRECT("'" &amp;Master!$F$10&amp; "'!$A$2:$A$50"),INDIRECT("'" &amp;Master!$F$10&amp; "'!$F$2:$F$50"))</f>
        <v>#VALUE!</v>
      </c>
      <c r="G270" s="4" t="e">
        <f ca="1">SplineInterp(A270,INDIRECT("'" &amp;Master!$F$10&amp; "'!$A$2:$A$50"),INDIRECT("'" &amp;Master!$F$10&amp; "'!$G$2:$G$50"))</f>
        <v>#VALUE!</v>
      </c>
      <c r="H270" s="4" t="e">
        <f ca="1">SplineInterp(A270,INDIRECT("'" &amp;Master!$F$10&amp; "'!$A$2:$A$50"),INDIRECT("'" &amp;Master!$F$10&amp; "'!$H$2:$H$50"))</f>
        <v>#VALUE!</v>
      </c>
      <c r="I270" s="4" t="e">
        <f ca="1">IF(OR(INDIRECT("'" &amp; Master!$F$8 &amp; Master!$F$6 &amp; "'!B" &amp; ROW(B270))="", INDIRECT("'" &amp; Master!$F$8 &amp; Master!$F$6 &amp; "'!B" &amp; ROW(B270))=0), "", INDIRECT("'" &amp; Master!$F$8 &amp; Master!$F$6 &amp; "'!B" &amp; ROW(B270)))</f>
        <v>#VALUE!</v>
      </c>
      <c r="J270" s="9" t="e">
        <f t="shared" ca="1" si="28"/>
        <v>#VALUE!</v>
      </c>
      <c r="K270" s="7" t="e">
        <f t="shared" ca="1" si="29"/>
        <v>#VALUE!</v>
      </c>
      <c r="L270" s="7" t="e">
        <f t="shared" ca="1" si="30"/>
        <v>#VALUE!</v>
      </c>
      <c r="M270" s="7" t="e">
        <f t="shared" ca="1" si="31"/>
        <v>#VALUE!</v>
      </c>
      <c r="N270" s="7" t="e">
        <f t="shared" ca="1" si="32"/>
        <v>#VALUE!</v>
      </c>
      <c r="O270" s="7" t="e">
        <f t="shared" ca="1" si="33"/>
        <v>#VALUE!</v>
      </c>
      <c r="P270" s="7" t="e">
        <f t="shared" ca="1" si="34"/>
        <v>#VALUE!</v>
      </c>
    </row>
    <row r="271" spans="1:16" x14ac:dyDescent="0.25">
      <c r="A271" s="19" t="str">
        <f ca="1">IF(OR(INDIRECT("'" &amp; Master!$F$8 &amp; Master!$F$6 &amp; "'!A" &amp; ROW(A271))="", INDIRECT("'" &amp; Master!$F$8 &amp; Master!$F$6 &amp; "'!A" &amp; ROW(A271))=0), "", INDIRECT("'" &amp; Master!$F$8 &amp; Master!$F$6 &amp; "'!A" &amp; ROW(A271)))</f>
        <v/>
      </c>
      <c r="B271" s="4" t="e">
        <f ca="1">SplineInterp(INDIRECT("A" &amp; ROW()),INDIRECT("'" &amp;Master!$F$10&amp; "'!$A$2:$A$50"),INDIRECT("'" &amp;Master!$F$10&amp; "'!$B$2:$B$50"))</f>
        <v>#VALUE!</v>
      </c>
      <c r="C271" s="4" t="e">
        <f ca="1">SplineInterp(A271,INDIRECT("'" &amp;Master!$F$10&amp; "'!$A$2:$A$50"),INDIRECT("'" &amp;Master!$F$10&amp; "'!$C$2:$C$50"))</f>
        <v>#VALUE!</v>
      </c>
      <c r="D271" s="4" t="e">
        <f ca="1">SplineInterp(A271,INDIRECT("'" &amp;Master!$F$10&amp; "'!$A$2:$A$50"),INDIRECT("'" &amp;Master!$F$10&amp; "'!$D$2:$D$50"))</f>
        <v>#VALUE!</v>
      </c>
      <c r="E271" s="4" t="e">
        <f ca="1">SplineInterp(A271,INDIRECT("'" &amp;Master!$F$10&amp; "'!$A$2:$A$50"),INDIRECT("'" &amp;Master!$F$10&amp; "'!$E$2:$E$50"))</f>
        <v>#VALUE!</v>
      </c>
      <c r="F271" s="4" t="e">
        <f ca="1">SplineInterp(A271,INDIRECT("'" &amp;Master!$F$10&amp; "'!$A$2:$A$50"),INDIRECT("'" &amp;Master!$F$10&amp; "'!$F$2:$F$50"))</f>
        <v>#VALUE!</v>
      </c>
      <c r="G271" s="4" t="e">
        <f ca="1">SplineInterp(A271,INDIRECT("'" &amp;Master!$F$10&amp; "'!$A$2:$A$50"),INDIRECT("'" &amp;Master!$F$10&amp; "'!$G$2:$G$50"))</f>
        <v>#VALUE!</v>
      </c>
      <c r="H271" s="4" t="e">
        <f ca="1">SplineInterp(A271,INDIRECT("'" &amp;Master!$F$10&amp; "'!$A$2:$A$50"),INDIRECT("'" &amp;Master!$F$10&amp; "'!$H$2:$H$50"))</f>
        <v>#VALUE!</v>
      </c>
      <c r="I271" s="4" t="e">
        <f ca="1">IF(OR(INDIRECT("'" &amp; Master!$F$8 &amp; Master!$F$6 &amp; "'!B" &amp; ROW(B271))="", INDIRECT("'" &amp; Master!$F$8 &amp; Master!$F$6 &amp; "'!B" &amp; ROW(B271))=0), "", INDIRECT("'" &amp; Master!$F$8 &amp; Master!$F$6 &amp; "'!B" &amp; ROW(B271)))</f>
        <v>#VALUE!</v>
      </c>
      <c r="J271" s="9" t="e">
        <f t="shared" ca="1" si="28"/>
        <v>#VALUE!</v>
      </c>
      <c r="K271" s="7" t="e">
        <f t="shared" ca="1" si="29"/>
        <v>#VALUE!</v>
      </c>
      <c r="L271" s="7" t="e">
        <f t="shared" ca="1" si="30"/>
        <v>#VALUE!</v>
      </c>
      <c r="M271" s="7" t="e">
        <f t="shared" ca="1" si="31"/>
        <v>#VALUE!</v>
      </c>
      <c r="N271" s="7" t="e">
        <f t="shared" ca="1" si="32"/>
        <v>#VALUE!</v>
      </c>
      <c r="O271" s="7" t="e">
        <f t="shared" ca="1" si="33"/>
        <v>#VALUE!</v>
      </c>
      <c r="P271" s="7" t="e">
        <f t="shared" ca="1" si="34"/>
        <v>#VALUE!</v>
      </c>
    </row>
    <row r="272" spans="1:16" x14ac:dyDescent="0.25">
      <c r="A272" s="19" t="str">
        <f ca="1">IF(OR(INDIRECT("'" &amp; Master!$F$8 &amp; Master!$F$6 &amp; "'!A" &amp; ROW(A272))="", INDIRECT("'" &amp; Master!$F$8 &amp; Master!$F$6 &amp; "'!A" &amp; ROW(A272))=0), "", INDIRECT("'" &amp; Master!$F$8 &amp; Master!$F$6 &amp; "'!A" &amp; ROW(A272)))</f>
        <v/>
      </c>
      <c r="B272" s="4" t="e">
        <f ca="1">SplineInterp(INDIRECT("A" &amp; ROW()),INDIRECT("'" &amp;Master!$F$10&amp; "'!$A$2:$A$50"),INDIRECT("'" &amp;Master!$F$10&amp; "'!$B$2:$B$50"))</f>
        <v>#VALUE!</v>
      </c>
      <c r="C272" s="4" t="e">
        <f ca="1">SplineInterp(A272,INDIRECT("'" &amp;Master!$F$10&amp; "'!$A$2:$A$50"),INDIRECT("'" &amp;Master!$F$10&amp; "'!$C$2:$C$50"))</f>
        <v>#VALUE!</v>
      </c>
      <c r="D272" s="4" t="e">
        <f ca="1">SplineInterp(A272,INDIRECT("'" &amp;Master!$F$10&amp; "'!$A$2:$A$50"),INDIRECT("'" &amp;Master!$F$10&amp; "'!$D$2:$D$50"))</f>
        <v>#VALUE!</v>
      </c>
      <c r="E272" s="4" t="e">
        <f ca="1">SplineInterp(A272,INDIRECT("'" &amp;Master!$F$10&amp; "'!$A$2:$A$50"),INDIRECT("'" &amp;Master!$F$10&amp; "'!$E$2:$E$50"))</f>
        <v>#VALUE!</v>
      </c>
      <c r="F272" s="4" t="e">
        <f ca="1">SplineInterp(A272,INDIRECT("'" &amp;Master!$F$10&amp; "'!$A$2:$A$50"),INDIRECT("'" &amp;Master!$F$10&amp; "'!$F$2:$F$50"))</f>
        <v>#VALUE!</v>
      </c>
      <c r="G272" s="4" t="e">
        <f ca="1">SplineInterp(A272,INDIRECT("'" &amp;Master!$F$10&amp; "'!$A$2:$A$50"),INDIRECT("'" &amp;Master!$F$10&amp; "'!$G$2:$G$50"))</f>
        <v>#VALUE!</v>
      </c>
      <c r="H272" s="4" t="e">
        <f ca="1">SplineInterp(A272,INDIRECT("'" &amp;Master!$F$10&amp; "'!$A$2:$A$50"),INDIRECT("'" &amp;Master!$F$10&amp; "'!$H$2:$H$50"))</f>
        <v>#VALUE!</v>
      </c>
      <c r="I272" s="4" t="e">
        <f ca="1">IF(OR(INDIRECT("'" &amp; Master!$F$8 &amp; Master!$F$6 &amp; "'!B" &amp; ROW(B272))="", INDIRECT("'" &amp; Master!$F$8 &amp; Master!$F$6 &amp; "'!B" &amp; ROW(B272))=0), "", INDIRECT("'" &amp; Master!$F$8 &amp; Master!$F$6 &amp; "'!B" &amp; ROW(B272)))</f>
        <v>#VALUE!</v>
      </c>
      <c r="J272" s="9" t="e">
        <f t="shared" ca="1" si="28"/>
        <v>#VALUE!</v>
      </c>
      <c r="K272" s="7" t="e">
        <f t="shared" ca="1" si="29"/>
        <v>#VALUE!</v>
      </c>
      <c r="L272" s="7" t="e">
        <f t="shared" ca="1" si="30"/>
        <v>#VALUE!</v>
      </c>
      <c r="M272" s="7" t="e">
        <f t="shared" ca="1" si="31"/>
        <v>#VALUE!</v>
      </c>
      <c r="N272" s="7" t="e">
        <f t="shared" ca="1" si="32"/>
        <v>#VALUE!</v>
      </c>
      <c r="O272" s="7" t="e">
        <f t="shared" ca="1" si="33"/>
        <v>#VALUE!</v>
      </c>
      <c r="P272" s="7" t="e">
        <f t="shared" ca="1" si="34"/>
        <v>#VALUE!</v>
      </c>
    </row>
    <row r="273" spans="1:16" x14ac:dyDescent="0.25">
      <c r="A273" s="19" t="str">
        <f ca="1">IF(OR(INDIRECT("'" &amp; Master!$F$8 &amp; Master!$F$6 &amp; "'!A" &amp; ROW(A273))="", INDIRECT("'" &amp; Master!$F$8 &amp; Master!$F$6 &amp; "'!A" &amp; ROW(A273))=0), "", INDIRECT("'" &amp; Master!$F$8 &amp; Master!$F$6 &amp; "'!A" &amp; ROW(A273)))</f>
        <v/>
      </c>
      <c r="B273" s="4" t="e">
        <f ca="1">SplineInterp(INDIRECT("A" &amp; ROW()),INDIRECT("'" &amp;Master!$F$10&amp; "'!$A$2:$A$50"),INDIRECT("'" &amp;Master!$F$10&amp; "'!$B$2:$B$50"))</f>
        <v>#VALUE!</v>
      </c>
      <c r="C273" s="4" t="e">
        <f ca="1">SplineInterp(A273,INDIRECT("'" &amp;Master!$F$10&amp; "'!$A$2:$A$50"),INDIRECT("'" &amp;Master!$F$10&amp; "'!$C$2:$C$50"))</f>
        <v>#VALUE!</v>
      </c>
      <c r="D273" s="4" t="e">
        <f ca="1">SplineInterp(A273,INDIRECT("'" &amp;Master!$F$10&amp; "'!$A$2:$A$50"),INDIRECT("'" &amp;Master!$F$10&amp; "'!$D$2:$D$50"))</f>
        <v>#VALUE!</v>
      </c>
      <c r="E273" s="4" t="e">
        <f ca="1">SplineInterp(A273,INDIRECT("'" &amp;Master!$F$10&amp; "'!$A$2:$A$50"),INDIRECT("'" &amp;Master!$F$10&amp; "'!$E$2:$E$50"))</f>
        <v>#VALUE!</v>
      </c>
      <c r="F273" s="4" t="e">
        <f ca="1">SplineInterp(A273,INDIRECT("'" &amp;Master!$F$10&amp; "'!$A$2:$A$50"),INDIRECT("'" &amp;Master!$F$10&amp; "'!$F$2:$F$50"))</f>
        <v>#VALUE!</v>
      </c>
      <c r="G273" s="4" t="e">
        <f ca="1">SplineInterp(A273,INDIRECT("'" &amp;Master!$F$10&amp; "'!$A$2:$A$50"),INDIRECT("'" &amp;Master!$F$10&amp; "'!$G$2:$G$50"))</f>
        <v>#VALUE!</v>
      </c>
      <c r="H273" s="4" t="e">
        <f ca="1">SplineInterp(A273,INDIRECT("'" &amp;Master!$F$10&amp; "'!$A$2:$A$50"),INDIRECT("'" &amp;Master!$F$10&amp; "'!$H$2:$H$50"))</f>
        <v>#VALUE!</v>
      </c>
      <c r="I273" s="4" t="e">
        <f ca="1">IF(OR(INDIRECT("'" &amp; Master!$F$8 &amp; Master!$F$6 &amp; "'!B" &amp; ROW(B273))="", INDIRECT("'" &amp; Master!$F$8 &amp; Master!$F$6 &amp; "'!B" &amp; ROW(B273))=0), "", INDIRECT("'" &amp; Master!$F$8 &amp; Master!$F$6 &amp; "'!B" &amp; ROW(B273)))</f>
        <v>#VALUE!</v>
      </c>
      <c r="J273" s="9" t="e">
        <f t="shared" ca="1" si="28"/>
        <v>#VALUE!</v>
      </c>
      <c r="K273" s="7" t="e">
        <f t="shared" ca="1" si="29"/>
        <v>#VALUE!</v>
      </c>
      <c r="L273" s="7" t="e">
        <f t="shared" ca="1" si="30"/>
        <v>#VALUE!</v>
      </c>
      <c r="M273" s="7" t="e">
        <f t="shared" ca="1" si="31"/>
        <v>#VALUE!</v>
      </c>
      <c r="N273" s="7" t="e">
        <f t="shared" ca="1" si="32"/>
        <v>#VALUE!</v>
      </c>
      <c r="O273" s="7" t="e">
        <f t="shared" ca="1" si="33"/>
        <v>#VALUE!</v>
      </c>
      <c r="P273" s="7" t="e">
        <f t="shared" ca="1" si="34"/>
        <v>#VALUE!</v>
      </c>
    </row>
    <row r="274" spans="1:16" x14ac:dyDescent="0.25">
      <c r="A274" s="19" t="str">
        <f ca="1">IF(OR(INDIRECT("'" &amp; Master!$F$8 &amp; Master!$F$6 &amp; "'!A" &amp; ROW(A274))="", INDIRECT("'" &amp; Master!$F$8 &amp; Master!$F$6 &amp; "'!A" &amp; ROW(A274))=0), "", INDIRECT("'" &amp; Master!$F$8 &amp; Master!$F$6 &amp; "'!A" &amp; ROW(A274)))</f>
        <v/>
      </c>
      <c r="B274" s="4" t="e">
        <f ca="1">SplineInterp(INDIRECT("A" &amp; ROW()),INDIRECT("'" &amp;Master!$F$10&amp; "'!$A$2:$A$50"),INDIRECT("'" &amp;Master!$F$10&amp; "'!$B$2:$B$50"))</f>
        <v>#VALUE!</v>
      </c>
      <c r="C274" s="4" t="e">
        <f ca="1">SplineInterp(A274,INDIRECT("'" &amp;Master!$F$10&amp; "'!$A$2:$A$50"),INDIRECT("'" &amp;Master!$F$10&amp; "'!$C$2:$C$50"))</f>
        <v>#VALUE!</v>
      </c>
      <c r="D274" s="4" t="e">
        <f ca="1">SplineInterp(A274,INDIRECT("'" &amp;Master!$F$10&amp; "'!$A$2:$A$50"),INDIRECT("'" &amp;Master!$F$10&amp; "'!$D$2:$D$50"))</f>
        <v>#VALUE!</v>
      </c>
      <c r="E274" s="4" t="e">
        <f ca="1">SplineInterp(A274,INDIRECT("'" &amp;Master!$F$10&amp; "'!$A$2:$A$50"),INDIRECT("'" &amp;Master!$F$10&amp; "'!$E$2:$E$50"))</f>
        <v>#VALUE!</v>
      </c>
      <c r="F274" s="4" t="e">
        <f ca="1">SplineInterp(A274,INDIRECT("'" &amp;Master!$F$10&amp; "'!$A$2:$A$50"),INDIRECT("'" &amp;Master!$F$10&amp; "'!$F$2:$F$50"))</f>
        <v>#VALUE!</v>
      </c>
      <c r="G274" s="4" t="e">
        <f ca="1">SplineInterp(A274,INDIRECT("'" &amp;Master!$F$10&amp; "'!$A$2:$A$50"),INDIRECT("'" &amp;Master!$F$10&amp; "'!$G$2:$G$50"))</f>
        <v>#VALUE!</v>
      </c>
      <c r="H274" s="4" t="e">
        <f ca="1">SplineInterp(A274,INDIRECT("'" &amp;Master!$F$10&amp; "'!$A$2:$A$50"),INDIRECT("'" &amp;Master!$F$10&amp; "'!$H$2:$H$50"))</f>
        <v>#VALUE!</v>
      </c>
      <c r="I274" s="4" t="e">
        <f ca="1">IF(OR(INDIRECT("'" &amp; Master!$F$8 &amp; Master!$F$6 &amp; "'!B" &amp; ROW(B274))="", INDIRECT("'" &amp; Master!$F$8 &amp; Master!$F$6 &amp; "'!B" &amp; ROW(B274))=0), "", INDIRECT("'" &amp; Master!$F$8 &amp; Master!$F$6 &amp; "'!B" &amp; ROW(B274)))</f>
        <v>#VALUE!</v>
      </c>
      <c r="J274" s="9" t="e">
        <f t="shared" ca="1" si="28"/>
        <v>#VALUE!</v>
      </c>
      <c r="K274" s="7" t="e">
        <f t="shared" ca="1" si="29"/>
        <v>#VALUE!</v>
      </c>
      <c r="L274" s="7" t="e">
        <f t="shared" ca="1" si="30"/>
        <v>#VALUE!</v>
      </c>
      <c r="M274" s="7" t="e">
        <f t="shared" ca="1" si="31"/>
        <v>#VALUE!</v>
      </c>
      <c r="N274" s="7" t="e">
        <f t="shared" ca="1" si="32"/>
        <v>#VALUE!</v>
      </c>
      <c r="O274" s="7" t="e">
        <f t="shared" ca="1" si="33"/>
        <v>#VALUE!</v>
      </c>
      <c r="P274" s="7" t="e">
        <f t="shared" ca="1" si="34"/>
        <v>#VALUE!</v>
      </c>
    </row>
    <row r="275" spans="1:16" x14ac:dyDescent="0.25">
      <c r="A275" s="19" t="str">
        <f ca="1">IF(OR(INDIRECT("'" &amp; Master!$F$8 &amp; Master!$F$6 &amp; "'!A" &amp; ROW(A275))="", INDIRECT("'" &amp; Master!$F$8 &amp; Master!$F$6 &amp; "'!A" &amp; ROW(A275))=0), "", INDIRECT("'" &amp; Master!$F$8 &amp; Master!$F$6 &amp; "'!A" &amp; ROW(A275)))</f>
        <v/>
      </c>
      <c r="B275" s="4" t="e">
        <f ca="1">SplineInterp(INDIRECT("A" &amp; ROW()),INDIRECT("'" &amp;Master!$F$10&amp; "'!$A$2:$A$50"),INDIRECT("'" &amp;Master!$F$10&amp; "'!$B$2:$B$50"))</f>
        <v>#VALUE!</v>
      </c>
      <c r="C275" s="4" t="e">
        <f ca="1">SplineInterp(A275,INDIRECT("'" &amp;Master!$F$10&amp; "'!$A$2:$A$50"),INDIRECT("'" &amp;Master!$F$10&amp; "'!$C$2:$C$50"))</f>
        <v>#VALUE!</v>
      </c>
      <c r="D275" s="4" t="e">
        <f ca="1">SplineInterp(A275,INDIRECT("'" &amp;Master!$F$10&amp; "'!$A$2:$A$50"),INDIRECT("'" &amp;Master!$F$10&amp; "'!$D$2:$D$50"))</f>
        <v>#VALUE!</v>
      </c>
      <c r="E275" s="4" t="e">
        <f ca="1">SplineInterp(A275,INDIRECT("'" &amp;Master!$F$10&amp; "'!$A$2:$A$50"),INDIRECT("'" &amp;Master!$F$10&amp; "'!$E$2:$E$50"))</f>
        <v>#VALUE!</v>
      </c>
      <c r="F275" s="4" t="e">
        <f ca="1">SplineInterp(A275,INDIRECT("'" &amp;Master!$F$10&amp; "'!$A$2:$A$50"),INDIRECT("'" &amp;Master!$F$10&amp; "'!$F$2:$F$50"))</f>
        <v>#VALUE!</v>
      </c>
      <c r="G275" s="4" t="e">
        <f ca="1">SplineInterp(A275,INDIRECT("'" &amp;Master!$F$10&amp; "'!$A$2:$A$50"),INDIRECT("'" &amp;Master!$F$10&amp; "'!$G$2:$G$50"))</f>
        <v>#VALUE!</v>
      </c>
      <c r="H275" s="4" t="e">
        <f ca="1">SplineInterp(A275,INDIRECT("'" &amp;Master!$F$10&amp; "'!$A$2:$A$50"),INDIRECT("'" &amp;Master!$F$10&amp; "'!$H$2:$H$50"))</f>
        <v>#VALUE!</v>
      </c>
      <c r="I275" s="4" t="e">
        <f ca="1">IF(OR(INDIRECT("'" &amp; Master!$F$8 &amp; Master!$F$6 &amp; "'!B" &amp; ROW(B275))="", INDIRECT("'" &amp; Master!$F$8 &amp; Master!$F$6 &amp; "'!B" &amp; ROW(B275))=0), "", INDIRECT("'" &amp; Master!$F$8 &amp; Master!$F$6 &amp; "'!B" &amp; ROW(B275)))</f>
        <v>#VALUE!</v>
      </c>
      <c r="J275" s="9" t="e">
        <f t="shared" ca="1" si="28"/>
        <v>#VALUE!</v>
      </c>
      <c r="K275" s="7" t="e">
        <f t="shared" ca="1" si="29"/>
        <v>#VALUE!</v>
      </c>
      <c r="L275" s="7" t="e">
        <f t="shared" ca="1" si="30"/>
        <v>#VALUE!</v>
      </c>
      <c r="M275" s="7" t="e">
        <f t="shared" ca="1" si="31"/>
        <v>#VALUE!</v>
      </c>
      <c r="N275" s="7" t="e">
        <f t="shared" ca="1" si="32"/>
        <v>#VALUE!</v>
      </c>
      <c r="O275" s="7" t="e">
        <f t="shared" ca="1" si="33"/>
        <v>#VALUE!</v>
      </c>
      <c r="P275" s="7" t="e">
        <f t="shared" ca="1" si="34"/>
        <v>#VALUE!</v>
      </c>
    </row>
    <row r="276" spans="1:16" x14ac:dyDescent="0.25">
      <c r="A276" s="19" t="str">
        <f ca="1">IF(OR(INDIRECT("'" &amp; Master!$F$8 &amp; Master!$F$6 &amp; "'!A" &amp; ROW(A276))="", INDIRECT("'" &amp; Master!$F$8 &amp; Master!$F$6 &amp; "'!A" &amp; ROW(A276))=0), "", INDIRECT("'" &amp; Master!$F$8 &amp; Master!$F$6 &amp; "'!A" &amp; ROW(A276)))</f>
        <v/>
      </c>
      <c r="B276" s="4" t="e">
        <f ca="1">SplineInterp(INDIRECT("A" &amp; ROW()),INDIRECT("'" &amp;Master!$F$10&amp; "'!$A$2:$A$50"),INDIRECT("'" &amp;Master!$F$10&amp; "'!$B$2:$B$50"))</f>
        <v>#VALUE!</v>
      </c>
      <c r="C276" s="4" t="e">
        <f ca="1">SplineInterp(A276,INDIRECT("'" &amp;Master!$F$10&amp; "'!$A$2:$A$50"),INDIRECT("'" &amp;Master!$F$10&amp; "'!$C$2:$C$50"))</f>
        <v>#VALUE!</v>
      </c>
      <c r="D276" s="4" t="e">
        <f ca="1">SplineInterp(A276,INDIRECT("'" &amp;Master!$F$10&amp; "'!$A$2:$A$50"),INDIRECT("'" &amp;Master!$F$10&amp; "'!$D$2:$D$50"))</f>
        <v>#VALUE!</v>
      </c>
      <c r="E276" s="4" t="e">
        <f ca="1">SplineInterp(A276,INDIRECT("'" &amp;Master!$F$10&amp; "'!$A$2:$A$50"),INDIRECT("'" &amp;Master!$F$10&amp; "'!$E$2:$E$50"))</f>
        <v>#VALUE!</v>
      </c>
      <c r="F276" s="4" t="e">
        <f ca="1">SplineInterp(A276,INDIRECT("'" &amp;Master!$F$10&amp; "'!$A$2:$A$50"),INDIRECT("'" &amp;Master!$F$10&amp; "'!$F$2:$F$50"))</f>
        <v>#VALUE!</v>
      </c>
      <c r="G276" s="4" t="e">
        <f ca="1">SplineInterp(A276,INDIRECT("'" &amp;Master!$F$10&amp; "'!$A$2:$A$50"),INDIRECT("'" &amp;Master!$F$10&amp; "'!$G$2:$G$50"))</f>
        <v>#VALUE!</v>
      </c>
      <c r="H276" s="4" t="e">
        <f ca="1">SplineInterp(A276,INDIRECT("'" &amp;Master!$F$10&amp; "'!$A$2:$A$50"),INDIRECT("'" &amp;Master!$F$10&amp; "'!$H$2:$H$50"))</f>
        <v>#VALUE!</v>
      </c>
      <c r="I276" s="4" t="e">
        <f ca="1">IF(OR(INDIRECT("'" &amp; Master!$F$8 &amp; Master!$F$6 &amp; "'!B" &amp; ROW(B276))="", INDIRECT("'" &amp; Master!$F$8 &amp; Master!$F$6 &amp; "'!B" &amp; ROW(B276))=0), "", INDIRECT("'" &amp; Master!$F$8 &amp; Master!$F$6 &amp; "'!B" &amp; ROW(B276)))</f>
        <v>#VALUE!</v>
      </c>
      <c r="J276" s="9" t="e">
        <f t="shared" ca="1" si="28"/>
        <v>#VALUE!</v>
      </c>
      <c r="K276" s="7" t="e">
        <f t="shared" ca="1" si="29"/>
        <v>#VALUE!</v>
      </c>
      <c r="L276" s="7" t="e">
        <f t="shared" ca="1" si="30"/>
        <v>#VALUE!</v>
      </c>
      <c r="M276" s="7" t="e">
        <f t="shared" ca="1" si="31"/>
        <v>#VALUE!</v>
      </c>
      <c r="N276" s="7" t="e">
        <f t="shared" ca="1" si="32"/>
        <v>#VALUE!</v>
      </c>
      <c r="O276" s="7" t="e">
        <f t="shared" ca="1" si="33"/>
        <v>#VALUE!</v>
      </c>
      <c r="P276" s="7" t="e">
        <f t="shared" ca="1" si="34"/>
        <v>#VALUE!</v>
      </c>
    </row>
    <row r="277" spans="1:16" x14ac:dyDescent="0.25">
      <c r="A277" s="19" t="str">
        <f ca="1">IF(OR(INDIRECT("'" &amp; Master!$F$8 &amp; Master!$F$6 &amp; "'!A" &amp; ROW(A277))="", INDIRECT("'" &amp; Master!$F$8 &amp; Master!$F$6 &amp; "'!A" &amp; ROW(A277))=0), "", INDIRECT("'" &amp; Master!$F$8 &amp; Master!$F$6 &amp; "'!A" &amp; ROW(A277)))</f>
        <v/>
      </c>
      <c r="B277" s="4" t="e">
        <f ca="1">SplineInterp(INDIRECT("A" &amp; ROW()),INDIRECT("'" &amp;Master!$F$10&amp; "'!$A$2:$A$50"),INDIRECT("'" &amp;Master!$F$10&amp; "'!$B$2:$B$50"))</f>
        <v>#VALUE!</v>
      </c>
      <c r="C277" s="4" t="e">
        <f ca="1">SplineInterp(A277,INDIRECT("'" &amp;Master!$F$10&amp; "'!$A$2:$A$50"),INDIRECT("'" &amp;Master!$F$10&amp; "'!$C$2:$C$50"))</f>
        <v>#VALUE!</v>
      </c>
      <c r="D277" s="4" t="e">
        <f ca="1">SplineInterp(A277,INDIRECT("'" &amp;Master!$F$10&amp; "'!$A$2:$A$50"),INDIRECT("'" &amp;Master!$F$10&amp; "'!$D$2:$D$50"))</f>
        <v>#VALUE!</v>
      </c>
      <c r="E277" s="4" t="e">
        <f ca="1">SplineInterp(A277,INDIRECT("'" &amp;Master!$F$10&amp; "'!$A$2:$A$50"),INDIRECT("'" &amp;Master!$F$10&amp; "'!$E$2:$E$50"))</f>
        <v>#VALUE!</v>
      </c>
      <c r="F277" s="4" t="e">
        <f ca="1">SplineInterp(A277,INDIRECT("'" &amp;Master!$F$10&amp; "'!$A$2:$A$50"),INDIRECT("'" &amp;Master!$F$10&amp; "'!$F$2:$F$50"))</f>
        <v>#VALUE!</v>
      </c>
      <c r="G277" s="4" t="e">
        <f ca="1">SplineInterp(A277,INDIRECT("'" &amp;Master!$F$10&amp; "'!$A$2:$A$50"),INDIRECT("'" &amp;Master!$F$10&amp; "'!$G$2:$G$50"))</f>
        <v>#VALUE!</v>
      </c>
      <c r="H277" s="4" t="e">
        <f ca="1">SplineInterp(A277,INDIRECT("'" &amp;Master!$F$10&amp; "'!$A$2:$A$50"),INDIRECT("'" &amp;Master!$F$10&amp; "'!$H$2:$H$50"))</f>
        <v>#VALUE!</v>
      </c>
      <c r="I277" s="4" t="e">
        <f ca="1">IF(OR(INDIRECT("'" &amp; Master!$F$8 &amp; Master!$F$6 &amp; "'!B" &amp; ROW(B277))="", INDIRECT("'" &amp; Master!$F$8 &amp; Master!$F$6 &amp; "'!B" &amp; ROW(B277))=0), "", INDIRECT("'" &amp; Master!$F$8 &amp; Master!$F$6 &amp; "'!B" &amp; ROW(B277)))</f>
        <v>#VALUE!</v>
      </c>
      <c r="J277" s="9" t="e">
        <f t="shared" ca="1" si="28"/>
        <v>#VALUE!</v>
      </c>
      <c r="K277" s="7" t="e">
        <f t="shared" ca="1" si="29"/>
        <v>#VALUE!</v>
      </c>
      <c r="L277" s="7" t="e">
        <f t="shared" ca="1" si="30"/>
        <v>#VALUE!</v>
      </c>
      <c r="M277" s="7" t="e">
        <f t="shared" ca="1" si="31"/>
        <v>#VALUE!</v>
      </c>
      <c r="N277" s="7" t="e">
        <f t="shared" ca="1" si="32"/>
        <v>#VALUE!</v>
      </c>
      <c r="O277" s="7" t="e">
        <f t="shared" ca="1" si="33"/>
        <v>#VALUE!</v>
      </c>
      <c r="P277" s="7" t="e">
        <f t="shared" ca="1" si="34"/>
        <v>#VALUE!</v>
      </c>
    </row>
    <row r="278" spans="1:16" x14ac:dyDescent="0.25">
      <c r="A278" s="19" t="str">
        <f ca="1">IF(OR(INDIRECT("'" &amp; Master!$F$8 &amp; Master!$F$6 &amp; "'!A" &amp; ROW(A278))="", INDIRECT("'" &amp; Master!$F$8 &amp; Master!$F$6 &amp; "'!A" &amp; ROW(A278))=0), "", INDIRECT("'" &amp; Master!$F$8 &amp; Master!$F$6 &amp; "'!A" &amp; ROW(A278)))</f>
        <v/>
      </c>
      <c r="B278" s="4" t="e">
        <f ca="1">SplineInterp(INDIRECT("A" &amp; ROW()),INDIRECT("'" &amp;Master!$F$10&amp; "'!$A$2:$A$50"),INDIRECT("'" &amp;Master!$F$10&amp; "'!$B$2:$B$50"))</f>
        <v>#VALUE!</v>
      </c>
      <c r="C278" s="4" t="e">
        <f ca="1">SplineInterp(A278,INDIRECT("'" &amp;Master!$F$10&amp; "'!$A$2:$A$50"),INDIRECT("'" &amp;Master!$F$10&amp; "'!$C$2:$C$50"))</f>
        <v>#VALUE!</v>
      </c>
      <c r="D278" s="4" t="e">
        <f ca="1">SplineInterp(A278,INDIRECT("'" &amp;Master!$F$10&amp; "'!$A$2:$A$50"),INDIRECT("'" &amp;Master!$F$10&amp; "'!$D$2:$D$50"))</f>
        <v>#VALUE!</v>
      </c>
      <c r="E278" s="4" t="e">
        <f ca="1">SplineInterp(A278,INDIRECT("'" &amp;Master!$F$10&amp; "'!$A$2:$A$50"),INDIRECT("'" &amp;Master!$F$10&amp; "'!$E$2:$E$50"))</f>
        <v>#VALUE!</v>
      </c>
      <c r="F278" s="4" t="e">
        <f ca="1">SplineInterp(A278,INDIRECT("'" &amp;Master!$F$10&amp; "'!$A$2:$A$50"),INDIRECT("'" &amp;Master!$F$10&amp; "'!$F$2:$F$50"))</f>
        <v>#VALUE!</v>
      </c>
      <c r="G278" s="4" t="e">
        <f ca="1">SplineInterp(A278,INDIRECT("'" &amp;Master!$F$10&amp; "'!$A$2:$A$50"),INDIRECT("'" &amp;Master!$F$10&amp; "'!$G$2:$G$50"))</f>
        <v>#VALUE!</v>
      </c>
      <c r="H278" s="4" t="e">
        <f ca="1">SplineInterp(A278,INDIRECT("'" &amp;Master!$F$10&amp; "'!$A$2:$A$50"),INDIRECT("'" &amp;Master!$F$10&amp; "'!$H$2:$H$50"))</f>
        <v>#VALUE!</v>
      </c>
      <c r="I278" s="4" t="e">
        <f ca="1">IF(OR(INDIRECT("'" &amp; Master!$F$8 &amp; Master!$F$6 &amp; "'!B" &amp; ROW(B278))="", INDIRECT("'" &amp; Master!$F$8 &amp; Master!$F$6 &amp; "'!B" &amp; ROW(B278))=0), "", INDIRECT("'" &amp; Master!$F$8 &amp; Master!$F$6 &amp; "'!B" &amp; ROW(B278)))</f>
        <v>#VALUE!</v>
      </c>
      <c r="J278" s="9" t="e">
        <f t="shared" ca="1" si="28"/>
        <v>#VALUE!</v>
      </c>
      <c r="K278" s="7" t="e">
        <f t="shared" ca="1" si="29"/>
        <v>#VALUE!</v>
      </c>
      <c r="L278" s="7" t="e">
        <f t="shared" ca="1" si="30"/>
        <v>#VALUE!</v>
      </c>
      <c r="M278" s="7" t="e">
        <f t="shared" ca="1" si="31"/>
        <v>#VALUE!</v>
      </c>
      <c r="N278" s="7" t="e">
        <f t="shared" ca="1" si="32"/>
        <v>#VALUE!</v>
      </c>
      <c r="O278" s="7" t="e">
        <f t="shared" ca="1" si="33"/>
        <v>#VALUE!</v>
      </c>
      <c r="P278" s="7" t="e">
        <f t="shared" ca="1" si="34"/>
        <v>#VALUE!</v>
      </c>
    </row>
    <row r="279" spans="1:16" x14ac:dyDescent="0.25">
      <c r="A279" s="19" t="str">
        <f ca="1">IF(OR(INDIRECT("'" &amp; Master!$F$8 &amp; Master!$F$6 &amp; "'!A" &amp; ROW(A279))="", INDIRECT("'" &amp; Master!$F$8 &amp; Master!$F$6 &amp; "'!A" &amp; ROW(A279))=0), "", INDIRECT("'" &amp; Master!$F$8 &amp; Master!$F$6 &amp; "'!A" &amp; ROW(A279)))</f>
        <v/>
      </c>
      <c r="B279" s="4" t="e">
        <f ca="1">SplineInterp(INDIRECT("A" &amp; ROW()),INDIRECT("'" &amp;Master!$F$10&amp; "'!$A$2:$A$50"),INDIRECT("'" &amp;Master!$F$10&amp; "'!$B$2:$B$50"))</f>
        <v>#VALUE!</v>
      </c>
      <c r="C279" s="4" t="e">
        <f ca="1">SplineInterp(A279,INDIRECT("'" &amp;Master!$F$10&amp; "'!$A$2:$A$50"),INDIRECT("'" &amp;Master!$F$10&amp; "'!$C$2:$C$50"))</f>
        <v>#VALUE!</v>
      </c>
      <c r="D279" s="4" t="e">
        <f ca="1">SplineInterp(A279,INDIRECT("'" &amp;Master!$F$10&amp; "'!$A$2:$A$50"),INDIRECT("'" &amp;Master!$F$10&amp; "'!$D$2:$D$50"))</f>
        <v>#VALUE!</v>
      </c>
      <c r="E279" s="4" t="e">
        <f ca="1">SplineInterp(A279,INDIRECT("'" &amp;Master!$F$10&amp; "'!$A$2:$A$50"),INDIRECT("'" &amp;Master!$F$10&amp; "'!$E$2:$E$50"))</f>
        <v>#VALUE!</v>
      </c>
      <c r="F279" s="4" t="e">
        <f ca="1">SplineInterp(A279,INDIRECT("'" &amp;Master!$F$10&amp; "'!$A$2:$A$50"),INDIRECT("'" &amp;Master!$F$10&amp; "'!$F$2:$F$50"))</f>
        <v>#VALUE!</v>
      </c>
      <c r="G279" s="4" t="e">
        <f ca="1">SplineInterp(A279,INDIRECT("'" &amp;Master!$F$10&amp; "'!$A$2:$A$50"),INDIRECT("'" &amp;Master!$F$10&amp; "'!$G$2:$G$50"))</f>
        <v>#VALUE!</v>
      </c>
      <c r="H279" s="4" t="e">
        <f ca="1">SplineInterp(A279,INDIRECT("'" &amp;Master!$F$10&amp; "'!$A$2:$A$50"),INDIRECT("'" &amp;Master!$F$10&amp; "'!$H$2:$H$50"))</f>
        <v>#VALUE!</v>
      </c>
      <c r="I279" s="4" t="e">
        <f ca="1">IF(OR(INDIRECT("'" &amp; Master!$F$8 &amp; Master!$F$6 &amp; "'!B" &amp; ROW(B279))="", INDIRECT("'" &amp; Master!$F$8 &amp; Master!$F$6 &amp; "'!B" &amp; ROW(B279))=0), "", INDIRECT("'" &amp; Master!$F$8 &amp; Master!$F$6 &amp; "'!B" &amp; ROW(B279)))</f>
        <v>#VALUE!</v>
      </c>
      <c r="J279" s="9" t="e">
        <f t="shared" ca="1" si="28"/>
        <v>#VALUE!</v>
      </c>
      <c r="K279" s="7" t="e">
        <f t="shared" ca="1" si="29"/>
        <v>#VALUE!</v>
      </c>
      <c r="L279" s="7" t="e">
        <f t="shared" ca="1" si="30"/>
        <v>#VALUE!</v>
      </c>
      <c r="M279" s="7" t="e">
        <f t="shared" ca="1" si="31"/>
        <v>#VALUE!</v>
      </c>
      <c r="N279" s="7" t="e">
        <f t="shared" ca="1" si="32"/>
        <v>#VALUE!</v>
      </c>
      <c r="O279" s="7" t="e">
        <f t="shared" ca="1" si="33"/>
        <v>#VALUE!</v>
      </c>
      <c r="P279" s="7" t="e">
        <f t="shared" ca="1" si="34"/>
        <v>#VALUE!</v>
      </c>
    </row>
    <row r="280" spans="1:16" x14ac:dyDescent="0.25">
      <c r="A280" s="19" t="str">
        <f ca="1">IF(OR(INDIRECT("'" &amp; Master!$F$8 &amp; Master!$F$6 &amp; "'!A" &amp; ROW(A280))="", INDIRECT("'" &amp; Master!$F$8 &amp; Master!$F$6 &amp; "'!A" &amp; ROW(A280))=0), "", INDIRECT("'" &amp; Master!$F$8 &amp; Master!$F$6 &amp; "'!A" &amp; ROW(A280)))</f>
        <v/>
      </c>
      <c r="B280" s="4" t="e">
        <f ca="1">SplineInterp(INDIRECT("A" &amp; ROW()),INDIRECT("'" &amp;Master!$F$10&amp; "'!$A$2:$A$50"),INDIRECT("'" &amp;Master!$F$10&amp; "'!$B$2:$B$50"))</f>
        <v>#VALUE!</v>
      </c>
      <c r="C280" s="4" t="e">
        <f ca="1">SplineInterp(A280,INDIRECT("'" &amp;Master!$F$10&amp; "'!$A$2:$A$50"),INDIRECT("'" &amp;Master!$F$10&amp; "'!$C$2:$C$50"))</f>
        <v>#VALUE!</v>
      </c>
      <c r="D280" s="4" t="e">
        <f ca="1">SplineInterp(A280,INDIRECT("'" &amp;Master!$F$10&amp; "'!$A$2:$A$50"),INDIRECT("'" &amp;Master!$F$10&amp; "'!$D$2:$D$50"))</f>
        <v>#VALUE!</v>
      </c>
      <c r="E280" s="4" t="e">
        <f ca="1">SplineInterp(A280,INDIRECT("'" &amp;Master!$F$10&amp; "'!$A$2:$A$50"),INDIRECT("'" &amp;Master!$F$10&amp; "'!$E$2:$E$50"))</f>
        <v>#VALUE!</v>
      </c>
      <c r="F280" s="4" t="e">
        <f ca="1">SplineInterp(A280,INDIRECT("'" &amp;Master!$F$10&amp; "'!$A$2:$A$50"),INDIRECT("'" &amp;Master!$F$10&amp; "'!$F$2:$F$50"))</f>
        <v>#VALUE!</v>
      </c>
      <c r="G280" s="4" t="e">
        <f ca="1">SplineInterp(A280,INDIRECT("'" &amp;Master!$F$10&amp; "'!$A$2:$A$50"),INDIRECT("'" &amp;Master!$F$10&amp; "'!$G$2:$G$50"))</f>
        <v>#VALUE!</v>
      </c>
      <c r="H280" s="4" t="e">
        <f ca="1">SplineInterp(A280,INDIRECT("'" &amp;Master!$F$10&amp; "'!$A$2:$A$50"),INDIRECT("'" &amp;Master!$F$10&amp; "'!$H$2:$H$50"))</f>
        <v>#VALUE!</v>
      </c>
      <c r="I280" s="4" t="e">
        <f ca="1">IF(OR(INDIRECT("'" &amp; Master!$F$8 &amp; Master!$F$6 &amp; "'!B" &amp; ROW(B280))="", INDIRECT("'" &amp; Master!$F$8 &amp; Master!$F$6 &amp; "'!B" &amp; ROW(B280))=0), "", INDIRECT("'" &amp; Master!$F$8 &amp; Master!$F$6 &amp; "'!B" &amp; ROW(B280)))</f>
        <v>#VALUE!</v>
      </c>
      <c r="J280" s="9" t="e">
        <f t="shared" ca="1" si="28"/>
        <v>#VALUE!</v>
      </c>
      <c r="K280" s="7" t="e">
        <f t="shared" ca="1" si="29"/>
        <v>#VALUE!</v>
      </c>
      <c r="L280" s="7" t="e">
        <f t="shared" ca="1" si="30"/>
        <v>#VALUE!</v>
      </c>
      <c r="M280" s="7" t="e">
        <f t="shared" ca="1" si="31"/>
        <v>#VALUE!</v>
      </c>
      <c r="N280" s="7" t="e">
        <f t="shared" ca="1" si="32"/>
        <v>#VALUE!</v>
      </c>
      <c r="O280" s="7" t="e">
        <f t="shared" ca="1" si="33"/>
        <v>#VALUE!</v>
      </c>
      <c r="P280" s="7" t="e">
        <f t="shared" ca="1" si="34"/>
        <v>#VALUE!</v>
      </c>
    </row>
    <row r="281" spans="1:16" x14ac:dyDescent="0.25">
      <c r="A281" s="19" t="str">
        <f ca="1">IF(OR(INDIRECT("'" &amp; Master!$F$8 &amp; Master!$F$6 &amp; "'!A" &amp; ROW(A281))="", INDIRECT("'" &amp; Master!$F$8 &amp; Master!$F$6 &amp; "'!A" &amp; ROW(A281))=0), "", INDIRECT("'" &amp; Master!$F$8 &amp; Master!$F$6 &amp; "'!A" &amp; ROW(A281)))</f>
        <v/>
      </c>
      <c r="B281" s="4" t="e">
        <f ca="1">SplineInterp(INDIRECT("A" &amp; ROW()),INDIRECT("'" &amp;Master!$F$10&amp; "'!$A$2:$A$50"),INDIRECT("'" &amp;Master!$F$10&amp; "'!$B$2:$B$50"))</f>
        <v>#VALUE!</v>
      </c>
      <c r="C281" s="4" t="e">
        <f ca="1">SplineInterp(A281,INDIRECT("'" &amp;Master!$F$10&amp; "'!$A$2:$A$50"),INDIRECT("'" &amp;Master!$F$10&amp; "'!$C$2:$C$50"))</f>
        <v>#VALUE!</v>
      </c>
      <c r="D281" s="4" t="e">
        <f ca="1">SplineInterp(A281,INDIRECT("'" &amp;Master!$F$10&amp; "'!$A$2:$A$50"),INDIRECT("'" &amp;Master!$F$10&amp; "'!$D$2:$D$50"))</f>
        <v>#VALUE!</v>
      </c>
      <c r="E281" s="4" t="e">
        <f ca="1">SplineInterp(A281,INDIRECT("'" &amp;Master!$F$10&amp; "'!$A$2:$A$50"),INDIRECT("'" &amp;Master!$F$10&amp; "'!$E$2:$E$50"))</f>
        <v>#VALUE!</v>
      </c>
      <c r="F281" s="4" t="e">
        <f ca="1">SplineInterp(A281,INDIRECT("'" &amp;Master!$F$10&amp; "'!$A$2:$A$50"),INDIRECT("'" &amp;Master!$F$10&amp; "'!$F$2:$F$50"))</f>
        <v>#VALUE!</v>
      </c>
      <c r="G281" s="4" t="e">
        <f ca="1">SplineInterp(A281,INDIRECT("'" &amp;Master!$F$10&amp; "'!$A$2:$A$50"),INDIRECT("'" &amp;Master!$F$10&amp; "'!$G$2:$G$50"))</f>
        <v>#VALUE!</v>
      </c>
      <c r="H281" s="4" t="e">
        <f ca="1">SplineInterp(A281,INDIRECT("'" &amp;Master!$F$10&amp; "'!$A$2:$A$50"),INDIRECT("'" &amp;Master!$F$10&amp; "'!$H$2:$H$50"))</f>
        <v>#VALUE!</v>
      </c>
      <c r="I281" s="4" t="e">
        <f ca="1">IF(OR(INDIRECT("'" &amp; Master!$F$8 &amp; Master!$F$6 &amp; "'!B" &amp; ROW(B281))="", INDIRECT("'" &amp; Master!$F$8 &amp; Master!$F$6 &amp; "'!B" &amp; ROW(B281))=0), "", INDIRECT("'" &amp; Master!$F$8 &amp; Master!$F$6 &amp; "'!B" &amp; ROW(B281)))</f>
        <v>#VALUE!</v>
      </c>
      <c r="J281" s="9" t="e">
        <f t="shared" ca="1" si="28"/>
        <v>#VALUE!</v>
      </c>
      <c r="K281" s="7" t="e">
        <f t="shared" ca="1" si="29"/>
        <v>#VALUE!</v>
      </c>
      <c r="L281" s="7" t="e">
        <f t="shared" ca="1" si="30"/>
        <v>#VALUE!</v>
      </c>
      <c r="M281" s="7" t="e">
        <f t="shared" ca="1" si="31"/>
        <v>#VALUE!</v>
      </c>
      <c r="N281" s="7" t="e">
        <f t="shared" ca="1" si="32"/>
        <v>#VALUE!</v>
      </c>
      <c r="O281" s="7" t="e">
        <f t="shared" ca="1" si="33"/>
        <v>#VALUE!</v>
      </c>
      <c r="P281" s="7" t="e">
        <f t="shared" ca="1" si="34"/>
        <v>#VALUE!</v>
      </c>
    </row>
    <row r="282" spans="1:16" x14ac:dyDescent="0.25">
      <c r="A282" s="19" t="str">
        <f ca="1">IF(OR(INDIRECT("'" &amp; Master!$F$8 &amp; Master!$F$6 &amp; "'!A" &amp; ROW(A282))="", INDIRECT("'" &amp; Master!$F$8 &amp; Master!$F$6 &amp; "'!A" &amp; ROW(A282))=0), "", INDIRECT("'" &amp; Master!$F$8 &amp; Master!$F$6 &amp; "'!A" &amp; ROW(A282)))</f>
        <v/>
      </c>
      <c r="B282" s="4" t="e">
        <f ca="1">SplineInterp(INDIRECT("A" &amp; ROW()),INDIRECT("'" &amp;Master!$F$10&amp; "'!$A$2:$A$50"),INDIRECT("'" &amp;Master!$F$10&amp; "'!$B$2:$B$50"))</f>
        <v>#VALUE!</v>
      </c>
      <c r="C282" s="4" t="e">
        <f ca="1">SplineInterp(A282,INDIRECT("'" &amp;Master!$F$10&amp; "'!$A$2:$A$50"),INDIRECT("'" &amp;Master!$F$10&amp; "'!$C$2:$C$50"))</f>
        <v>#VALUE!</v>
      </c>
      <c r="D282" s="4" t="e">
        <f ca="1">SplineInterp(A282,INDIRECT("'" &amp;Master!$F$10&amp; "'!$A$2:$A$50"),INDIRECT("'" &amp;Master!$F$10&amp; "'!$D$2:$D$50"))</f>
        <v>#VALUE!</v>
      </c>
      <c r="E282" s="4" t="e">
        <f ca="1">SplineInterp(A282,INDIRECT("'" &amp;Master!$F$10&amp; "'!$A$2:$A$50"),INDIRECT("'" &amp;Master!$F$10&amp; "'!$E$2:$E$50"))</f>
        <v>#VALUE!</v>
      </c>
      <c r="F282" s="4" t="e">
        <f ca="1">SplineInterp(A282,INDIRECT("'" &amp;Master!$F$10&amp; "'!$A$2:$A$50"),INDIRECT("'" &amp;Master!$F$10&amp; "'!$F$2:$F$50"))</f>
        <v>#VALUE!</v>
      </c>
      <c r="G282" s="4" t="e">
        <f ca="1">SplineInterp(A282,INDIRECT("'" &amp;Master!$F$10&amp; "'!$A$2:$A$50"),INDIRECT("'" &amp;Master!$F$10&amp; "'!$G$2:$G$50"))</f>
        <v>#VALUE!</v>
      </c>
      <c r="H282" s="4" t="e">
        <f ca="1">SplineInterp(A282,INDIRECT("'" &amp;Master!$F$10&amp; "'!$A$2:$A$50"),INDIRECT("'" &amp;Master!$F$10&amp; "'!$H$2:$H$50"))</f>
        <v>#VALUE!</v>
      </c>
      <c r="I282" s="4" t="e">
        <f ca="1">IF(OR(INDIRECT("'" &amp; Master!$F$8 &amp; Master!$F$6 &amp; "'!B" &amp; ROW(B282))="", INDIRECT("'" &amp; Master!$F$8 &amp; Master!$F$6 &amp; "'!B" &amp; ROW(B282))=0), "", INDIRECT("'" &amp; Master!$F$8 &amp; Master!$F$6 &amp; "'!B" &amp; ROW(B282)))</f>
        <v>#VALUE!</v>
      </c>
      <c r="J282" s="9" t="e">
        <f t="shared" ca="1" si="28"/>
        <v>#VALUE!</v>
      </c>
      <c r="K282" s="7" t="e">
        <f t="shared" ca="1" si="29"/>
        <v>#VALUE!</v>
      </c>
      <c r="L282" s="7" t="e">
        <f t="shared" ca="1" si="30"/>
        <v>#VALUE!</v>
      </c>
      <c r="M282" s="7" t="e">
        <f t="shared" ca="1" si="31"/>
        <v>#VALUE!</v>
      </c>
      <c r="N282" s="7" t="e">
        <f t="shared" ca="1" si="32"/>
        <v>#VALUE!</v>
      </c>
      <c r="O282" s="7" t="e">
        <f t="shared" ca="1" si="33"/>
        <v>#VALUE!</v>
      </c>
      <c r="P282" s="7" t="e">
        <f t="shared" ca="1" si="34"/>
        <v>#VALUE!</v>
      </c>
    </row>
    <row r="283" spans="1:16" x14ac:dyDescent="0.25">
      <c r="A283" s="19" t="str">
        <f ca="1">IF(OR(INDIRECT("'" &amp; Master!$F$8 &amp; Master!$F$6 &amp; "'!A" &amp; ROW(A283))="", INDIRECT("'" &amp; Master!$F$8 &amp; Master!$F$6 &amp; "'!A" &amp; ROW(A283))=0), "", INDIRECT("'" &amp; Master!$F$8 &amp; Master!$F$6 &amp; "'!A" &amp; ROW(A283)))</f>
        <v/>
      </c>
      <c r="B283" s="4" t="e">
        <f ca="1">SplineInterp(INDIRECT("A" &amp; ROW()),INDIRECT("'" &amp;Master!$F$10&amp; "'!$A$2:$A$50"),INDIRECT("'" &amp;Master!$F$10&amp; "'!$B$2:$B$50"))</f>
        <v>#VALUE!</v>
      </c>
      <c r="C283" s="4" t="e">
        <f ca="1">SplineInterp(A283,INDIRECT("'" &amp;Master!$F$10&amp; "'!$A$2:$A$50"),INDIRECT("'" &amp;Master!$F$10&amp; "'!$C$2:$C$50"))</f>
        <v>#VALUE!</v>
      </c>
      <c r="D283" s="4" t="e">
        <f ca="1">SplineInterp(A283,INDIRECT("'" &amp;Master!$F$10&amp; "'!$A$2:$A$50"),INDIRECT("'" &amp;Master!$F$10&amp; "'!$D$2:$D$50"))</f>
        <v>#VALUE!</v>
      </c>
      <c r="E283" s="4" t="e">
        <f ca="1">SplineInterp(A283,INDIRECT("'" &amp;Master!$F$10&amp; "'!$A$2:$A$50"),INDIRECT("'" &amp;Master!$F$10&amp; "'!$E$2:$E$50"))</f>
        <v>#VALUE!</v>
      </c>
      <c r="F283" s="4" t="e">
        <f ca="1">SplineInterp(A283,INDIRECT("'" &amp;Master!$F$10&amp; "'!$A$2:$A$50"),INDIRECT("'" &amp;Master!$F$10&amp; "'!$F$2:$F$50"))</f>
        <v>#VALUE!</v>
      </c>
      <c r="G283" s="4" t="e">
        <f ca="1">SplineInterp(A283,INDIRECT("'" &amp;Master!$F$10&amp; "'!$A$2:$A$50"),INDIRECT("'" &amp;Master!$F$10&amp; "'!$G$2:$G$50"))</f>
        <v>#VALUE!</v>
      </c>
      <c r="H283" s="4" t="e">
        <f ca="1">SplineInterp(A283,INDIRECT("'" &amp;Master!$F$10&amp; "'!$A$2:$A$50"),INDIRECT("'" &amp;Master!$F$10&amp; "'!$H$2:$H$50"))</f>
        <v>#VALUE!</v>
      </c>
      <c r="I283" s="4" t="e">
        <f ca="1">IF(OR(INDIRECT("'" &amp; Master!$F$8 &amp; Master!$F$6 &amp; "'!B" &amp; ROW(B283))="", INDIRECT("'" &amp; Master!$F$8 &amp; Master!$F$6 &amp; "'!B" &amp; ROW(B283))=0), "", INDIRECT("'" &amp; Master!$F$8 &amp; Master!$F$6 &amp; "'!B" &amp; ROW(B283)))</f>
        <v>#VALUE!</v>
      </c>
      <c r="J283" s="9" t="e">
        <f t="shared" ca="1" si="28"/>
        <v>#VALUE!</v>
      </c>
      <c r="K283" s="7" t="e">
        <f t="shared" ca="1" si="29"/>
        <v>#VALUE!</v>
      </c>
      <c r="L283" s="7" t="e">
        <f t="shared" ca="1" si="30"/>
        <v>#VALUE!</v>
      </c>
      <c r="M283" s="7" t="e">
        <f t="shared" ca="1" si="31"/>
        <v>#VALUE!</v>
      </c>
      <c r="N283" s="7" t="e">
        <f t="shared" ca="1" si="32"/>
        <v>#VALUE!</v>
      </c>
      <c r="O283" s="7" t="e">
        <f t="shared" ca="1" si="33"/>
        <v>#VALUE!</v>
      </c>
      <c r="P283" s="7" t="e">
        <f t="shared" ca="1" si="34"/>
        <v>#VALUE!</v>
      </c>
    </row>
    <row r="284" spans="1:16" x14ac:dyDescent="0.25">
      <c r="A284" s="19" t="str">
        <f ca="1">IF(OR(INDIRECT("'" &amp; Master!$F$8 &amp; Master!$F$6 &amp; "'!A" &amp; ROW(A284))="", INDIRECT("'" &amp; Master!$F$8 &amp; Master!$F$6 &amp; "'!A" &amp; ROW(A284))=0), "", INDIRECT("'" &amp; Master!$F$8 &amp; Master!$F$6 &amp; "'!A" &amp; ROW(A284)))</f>
        <v/>
      </c>
      <c r="B284" s="4" t="e">
        <f ca="1">SplineInterp(INDIRECT("A" &amp; ROW()),INDIRECT("'" &amp;Master!$F$10&amp; "'!$A$2:$A$50"),INDIRECT("'" &amp;Master!$F$10&amp; "'!$B$2:$B$50"))</f>
        <v>#VALUE!</v>
      </c>
      <c r="C284" s="4" t="e">
        <f ca="1">SplineInterp(A284,INDIRECT("'" &amp;Master!$F$10&amp; "'!$A$2:$A$50"),INDIRECT("'" &amp;Master!$F$10&amp; "'!$C$2:$C$50"))</f>
        <v>#VALUE!</v>
      </c>
      <c r="D284" s="4" t="e">
        <f ca="1">SplineInterp(A284,INDIRECT("'" &amp;Master!$F$10&amp; "'!$A$2:$A$50"),INDIRECT("'" &amp;Master!$F$10&amp; "'!$D$2:$D$50"))</f>
        <v>#VALUE!</v>
      </c>
      <c r="E284" s="4" t="e">
        <f ca="1">SplineInterp(A284,INDIRECT("'" &amp;Master!$F$10&amp; "'!$A$2:$A$50"),INDIRECT("'" &amp;Master!$F$10&amp; "'!$E$2:$E$50"))</f>
        <v>#VALUE!</v>
      </c>
      <c r="F284" s="4" t="e">
        <f ca="1">SplineInterp(A284,INDIRECT("'" &amp;Master!$F$10&amp; "'!$A$2:$A$50"),INDIRECT("'" &amp;Master!$F$10&amp; "'!$F$2:$F$50"))</f>
        <v>#VALUE!</v>
      </c>
      <c r="G284" s="4" t="e">
        <f ca="1">SplineInterp(A284,INDIRECT("'" &amp;Master!$F$10&amp; "'!$A$2:$A$50"),INDIRECT("'" &amp;Master!$F$10&amp; "'!$G$2:$G$50"))</f>
        <v>#VALUE!</v>
      </c>
      <c r="H284" s="4" t="e">
        <f ca="1">SplineInterp(A284,INDIRECT("'" &amp;Master!$F$10&amp; "'!$A$2:$A$50"),INDIRECT("'" &amp;Master!$F$10&amp; "'!$H$2:$H$50"))</f>
        <v>#VALUE!</v>
      </c>
      <c r="I284" s="4" t="e">
        <f ca="1">IF(OR(INDIRECT("'" &amp; Master!$F$8 &amp; Master!$F$6 &amp; "'!B" &amp; ROW(B284))="", INDIRECT("'" &amp; Master!$F$8 &amp; Master!$F$6 &amp; "'!B" &amp; ROW(B284))=0), "", INDIRECT("'" &amp; Master!$F$8 &amp; Master!$F$6 &amp; "'!B" &amp; ROW(B284)))</f>
        <v>#VALUE!</v>
      </c>
      <c r="J284" s="9" t="e">
        <f t="shared" ca="1" si="28"/>
        <v>#VALUE!</v>
      </c>
      <c r="K284" s="7" t="e">
        <f t="shared" ca="1" si="29"/>
        <v>#VALUE!</v>
      </c>
      <c r="L284" s="7" t="e">
        <f t="shared" ca="1" si="30"/>
        <v>#VALUE!</v>
      </c>
      <c r="M284" s="7" t="e">
        <f t="shared" ca="1" si="31"/>
        <v>#VALUE!</v>
      </c>
      <c r="N284" s="7" t="e">
        <f t="shared" ca="1" si="32"/>
        <v>#VALUE!</v>
      </c>
      <c r="O284" s="7" t="e">
        <f t="shared" ca="1" si="33"/>
        <v>#VALUE!</v>
      </c>
      <c r="P284" s="7" t="e">
        <f t="shared" ca="1" si="34"/>
        <v>#VALUE!</v>
      </c>
    </row>
    <row r="285" spans="1:16" x14ac:dyDescent="0.25">
      <c r="A285" s="19" t="str">
        <f ca="1">IF(OR(INDIRECT("'" &amp; Master!$F$8 &amp; Master!$F$6 &amp; "'!A" &amp; ROW(A285))="", INDIRECT("'" &amp; Master!$F$8 &amp; Master!$F$6 &amp; "'!A" &amp; ROW(A285))=0), "", INDIRECT("'" &amp; Master!$F$8 &amp; Master!$F$6 &amp; "'!A" &amp; ROW(A285)))</f>
        <v/>
      </c>
      <c r="B285" s="4" t="e">
        <f ca="1">SplineInterp(INDIRECT("A" &amp; ROW()),INDIRECT("'" &amp;Master!$F$10&amp; "'!$A$2:$A$50"),INDIRECT("'" &amp;Master!$F$10&amp; "'!$B$2:$B$50"))</f>
        <v>#VALUE!</v>
      </c>
      <c r="C285" s="4" t="e">
        <f ca="1">SplineInterp(A285,INDIRECT("'" &amp;Master!$F$10&amp; "'!$A$2:$A$50"),INDIRECT("'" &amp;Master!$F$10&amp; "'!$C$2:$C$50"))</f>
        <v>#VALUE!</v>
      </c>
      <c r="D285" s="4" t="e">
        <f ca="1">SplineInterp(A285,INDIRECT("'" &amp;Master!$F$10&amp; "'!$A$2:$A$50"),INDIRECT("'" &amp;Master!$F$10&amp; "'!$D$2:$D$50"))</f>
        <v>#VALUE!</v>
      </c>
      <c r="E285" s="4" t="e">
        <f ca="1">SplineInterp(A285,INDIRECT("'" &amp;Master!$F$10&amp; "'!$A$2:$A$50"),INDIRECT("'" &amp;Master!$F$10&amp; "'!$E$2:$E$50"))</f>
        <v>#VALUE!</v>
      </c>
      <c r="F285" s="4" t="e">
        <f ca="1">SplineInterp(A285,INDIRECT("'" &amp;Master!$F$10&amp; "'!$A$2:$A$50"),INDIRECT("'" &amp;Master!$F$10&amp; "'!$F$2:$F$50"))</f>
        <v>#VALUE!</v>
      </c>
      <c r="G285" s="4" t="e">
        <f ca="1">SplineInterp(A285,INDIRECT("'" &amp;Master!$F$10&amp; "'!$A$2:$A$50"),INDIRECT("'" &amp;Master!$F$10&amp; "'!$G$2:$G$50"))</f>
        <v>#VALUE!</v>
      </c>
      <c r="H285" s="4" t="e">
        <f ca="1">SplineInterp(A285,INDIRECT("'" &amp;Master!$F$10&amp; "'!$A$2:$A$50"),INDIRECT("'" &amp;Master!$F$10&amp; "'!$H$2:$H$50"))</f>
        <v>#VALUE!</v>
      </c>
      <c r="I285" s="4" t="e">
        <f ca="1">IF(OR(INDIRECT("'" &amp; Master!$F$8 &amp; Master!$F$6 &amp; "'!B" &amp; ROW(B285))="", INDIRECT("'" &amp; Master!$F$8 &amp; Master!$F$6 &amp; "'!B" &amp; ROW(B285))=0), "", INDIRECT("'" &amp; Master!$F$8 &amp; Master!$F$6 &amp; "'!B" &amp; ROW(B285)))</f>
        <v>#VALUE!</v>
      </c>
      <c r="J285" s="9" t="e">
        <f t="shared" ca="1" si="28"/>
        <v>#VALUE!</v>
      </c>
      <c r="K285" s="7" t="e">
        <f t="shared" ca="1" si="29"/>
        <v>#VALUE!</v>
      </c>
      <c r="L285" s="7" t="e">
        <f t="shared" ca="1" si="30"/>
        <v>#VALUE!</v>
      </c>
      <c r="M285" s="7" t="e">
        <f t="shared" ca="1" si="31"/>
        <v>#VALUE!</v>
      </c>
      <c r="N285" s="7" t="e">
        <f t="shared" ca="1" si="32"/>
        <v>#VALUE!</v>
      </c>
      <c r="O285" s="7" t="e">
        <f t="shared" ca="1" si="33"/>
        <v>#VALUE!</v>
      </c>
      <c r="P285" s="7" t="e">
        <f t="shared" ca="1" si="34"/>
        <v>#VALUE!</v>
      </c>
    </row>
    <row r="286" spans="1:16" x14ac:dyDescent="0.25">
      <c r="A286" s="19" t="str">
        <f ca="1">IF(OR(INDIRECT("'" &amp; Master!$F$8 &amp; Master!$F$6 &amp; "'!A" &amp; ROW(A286))="", INDIRECT("'" &amp; Master!$F$8 &amp; Master!$F$6 &amp; "'!A" &amp; ROW(A286))=0), "", INDIRECT("'" &amp; Master!$F$8 &amp; Master!$F$6 &amp; "'!A" &amp; ROW(A286)))</f>
        <v/>
      </c>
      <c r="B286" s="4" t="e">
        <f ca="1">SplineInterp(INDIRECT("A" &amp; ROW()),INDIRECT("'" &amp;Master!$F$10&amp; "'!$A$2:$A$50"),INDIRECT("'" &amp;Master!$F$10&amp; "'!$B$2:$B$50"))</f>
        <v>#VALUE!</v>
      </c>
      <c r="C286" s="4" t="e">
        <f ca="1">SplineInterp(A286,INDIRECT("'" &amp;Master!$F$10&amp; "'!$A$2:$A$50"),INDIRECT("'" &amp;Master!$F$10&amp; "'!$C$2:$C$50"))</f>
        <v>#VALUE!</v>
      </c>
      <c r="D286" s="4" t="e">
        <f ca="1">SplineInterp(A286,INDIRECT("'" &amp;Master!$F$10&amp; "'!$A$2:$A$50"),INDIRECT("'" &amp;Master!$F$10&amp; "'!$D$2:$D$50"))</f>
        <v>#VALUE!</v>
      </c>
      <c r="E286" s="4" t="e">
        <f ca="1">SplineInterp(A286,INDIRECT("'" &amp;Master!$F$10&amp; "'!$A$2:$A$50"),INDIRECT("'" &amp;Master!$F$10&amp; "'!$E$2:$E$50"))</f>
        <v>#VALUE!</v>
      </c>
      <c r="F286" s="4" t="e">
        <f ca="1">SplineInterp(A286,INDIRECT("'" &amp;Master!$F$10&amp; "'!$A$2:$A$50"),INDIRECT("'" &amp;Master!$F$10&amp; "'!$F$2:$F$50"))</f>
        <v>#VALUE!</v>
      </c>
      <c r="G286" s="4" t="e">
        <f ca="1">SplineInterp(A286,INDIRECT("'" &amp;Master!$F$10&amp; "'!$A$2:$A$50"),INDIRECT("'" &amp;Master!$F$10&amp; "'!$G$2:$G$50"))</f>
        <v>#VALUE!</v>
      </c>
      <c r="H286" s="4" t="e">
        <f ca="1">SplineInterp(A286,INDIRECT("'" &amp;Master!$F$10&amp; "'!$A$2:$A$50"),INDIRECT("'" &amp;Master!$F$10&amp; "'!$H$2:$H$50"))</f>
        <v>#VALUE!</v>
      </c>
      <c r="I286" s="4" t="e">
        <f ca="1">IF(OR(INDIRECT("'" &amp; Master!$F$8 &amp; Master!$F$6 &amp; "'!B" &amp; ROW(B286))="", INDIRECT("'" &amp; Master!$F$8 &amp; Master!$F$6 &amp; "'!B" &amp; ROW(B286))=0), "", INDIRECT("'" &amp; Master!$F$8 &amp; Master!$F$6 &amp; "'!B" &amp; ROW(B286)))</f>
        <v>#VALUE!</v>
      </c>
      <c r="J286" s="9" t="e">
        <f t="shared" ca="1" si="28"/>
        <v>#VALUE!</v>
      </c>
      <c r="K286" s="7" t="e">
        <f t="shared" ca="1" si="29"/>
        <v>#VALUE!</v>
      </c>
      <c r="L286" s="7" t="e">
        <f t="shared" ca="1" si="30"/>
        <v>#VALUE!</v>
      </c>
      <c r="M286" s="7" t="e">
        <f t="shared" ca="1" si="31"/>
        <v>#VALUE!</v>
      </c>
      <c r="N286" s="7" t="e">
        <f t="shared" ca="1" si="32"/>
        <v>#VALUE!</v>
      </c>
      <c r="O286" s="7" t="e">
        <f t="shared" ca="1" si="33"/>
        <v>#VALUE!</v>
      </c>
      <c r="P286" s="7" t="e">
        <f t="shared" ca="1" si="34"/>
        <v>#VALUE!</v>
      </c>
    </row>
    <row r="287" spans="1:16" x14ac:dyDescent="0.25">
      <c r="A287" s="19" t="str">
        <f ca="1">IF(OR(INDIRECT("'" &amp; Master!$F$8 &amp; Master!$F$6 &amp; "'!A" &amp; ROW(A287))="", INDIRECT("'" &amp; Master!$F$8 &amp; Master!$F$6 &amp; "'!A" &amp; ROW(A287))=0), "", INDIRECT("'" &amp; Master!$F$8 &amp; Master!$F$6 &amp; "'!A" &amp; ROW(A287)))</f>
        <v/>
      </c>
      <c r="B287" s="4" t="e">
        <f ca="1">SplineInterp(INDIRECT("A" &amp; ROW()),INDIRECT("'" &amp;Master!$F$10&amp; "'!$A$2:$A$50"),INDIRECT("'" &amp;Master!$F$10&amp; "'!$B$2:$B$50"))</f>
        <v>#VALUE!</v>
      </c>
      <c r="C287" s="4" t="e">
        <f ca="1">SplineInterp(A287,INDIRECT("'" &amp;Master!$F$10&amp; "'!$A$2:$A$50"),INDIRECT("'" &amp;Master!$F$10&amp; "'!$C$2:$C$50"))</f>
        <v>#VALUE!</v>
      </c>
      <c r="D287" s="4" t="e">
        <f ca="1">SplineInterp(A287,INDIRECT("'" &amp;Master!$F$10&amp; "'!$A$2:$A$50"),INDIRECT("'" &amp;Master!$F$10&amp; "'!$D$2:$D$50"))</f>
        <v>#VALUE!</v>
      </c>
      <c r="E287" s="4" t="e">
        <f ca="1">SplineInterp(A287,INDIRECT("'" &amp;Master!$F$10&amp; "'!$A$2:$A$50"),INDIRECT("'" &amp;Master!$F$10&amp; "'!$E$2:$E$50"))</f>
        <v>#VALUE!</v>
      </c>
      <c r="F287" s="4" t="e">
        <f ca="1">SplineInterp(A287,INDIRECT("'" &amp;Master!$F$10&amp; "'!$A$2:$A$50"),INDIRECT("'" &amp;Master!$F$10&amp; "'!$F$2:$F$50"))</f>
        <v>#VALUE!</v>
      </c>
      <c r="G287" s="4" t="e">
        <f ca="1">SplineInterp(A287,INDIRECT("'" &amp;Master!$F$10&amp; "'!$A$2:$A$50"),INDIRECT("'" &amp;Master!$F$10&amp; "'!$G$2:$G$50"))</f>
        <v>#VALUE!</v>
      </c>
      <c r="H287" s="4" t="e">
        <f ca="1">SplineInterp(A287,INDIRECT("'" &amp;Master!$F$10&amp; "'!$A$2:$A$50"),INDIRECT("'" &amp;Master!$F$10&amp; "'!$H$2:$H$50"))</f>
        <v>#VALUE!</v>
      </c>
      <c r="I287" s="4" t="e">
        <f ca="1">IF(OR(INDIRECT("'" &amp; Master!$F$8 &amp; Master!$F$6 &amp; "'!B" &amp; ROW(B287))="", INDIRECT("'" &amp; Master!$F$8 &amp; Master!$F$6 &amp; "'!B" &amp; ROW(B287))=0), "", INDIRECT("'" &amp; Master!$F$8 &amp; Master!$F$6 &amp; "'!B" &amp; ROW(B287)))</f>
        <v>#VALUE!</v>
      </c>
      <c r="J287" s="9" t="e">
        <f t="shared" ca="1" si="28"/>
        <v>#VALUE!</v>
      </c>
      <c r="K287" s="7" t="e">
        <f t="shared" ca="1" si="29"/>
        <v>#VALUE!</v>
      </c>
      <c r="L287" s="7" t="e">
        <f t="shared" ca="1" si="30"/>
        <v>#VALUE!</v>
      </c>
      <c r="M287" s="7" t="e">
        <f t="shared" ca="1" si="31"/>
        <v>#VALUE!</v>
      </c>
      <c r="N287" s="7" t="e">
        <f t="shared" ca="1" si="32"/>
        <v>#VALUE!</v>
      </c>
      <c r="O287" s="7" t="e">
        <f t="shared" ca="1" si="33"/>
        <v>#VALUE!</v>
      </c>
      <c r="P287" s="7" t="e">
        <f t="shared" ca="1" si="34"/>
        <v>#VALUE!</v>
      </c>
    </row>
    <row r="288" spans="1:16" x14ac:dyDescent="0.25">
      <c r="A288" s="19" t="str">
        <f ca="1">IF(OR(INDIRECT("'" &amp; Master!$F$8 &amp; Master!$F$6 &amp; "'!A" &amp; ROW(A288))="", INDIRECT("'" &amp; Master!$F$8 &amp; Master!$F$6 &amp; "'!A" &amp; ROW(A288))=0), "", INDIRECT("'" &amp; Master!$F$8 &amp; Master!$F$6 &amp; "'!A" &amp; ROW(A288)))</f>
        <v/>
      </c>
      <c r="B288" s="4" t="e">
        <f ca="1">SplineInterp(INDIRECT("A" &amp; ROW()),INDIRECT("'" &amp;Master!$F$10&amp; "'!$A$2:$A$50"),INDIRECT("'" &amp;Master!$F$10&amp; "'!$B$2:$B$50"))</f>
        <v>#VALUE!</v>
      </c>
      <c r="C288" s="4" t="e">
        <f ca="1">SplineInterp(A288,INDIRECT("'" &amp;Master!$F$10&amp; "'!$A$2:$A$50"),INDIRECT("'" &amp;Master!$F$10&amp; "'!$C$2:$C$50"))</f>
        <v>#VALUE!</v>
      </c>
      <c r="D288" s="4" t="e">
        <f ca="1">SplineInterp(A288,INDIRECT("'" &amp;Master!$F$10&amp; "'!$A$2:$A$50"),INDIRECT("'" &amp;Master!$F$10&amp; "'!$D$2:$D$50"))</f>
        <v>#VALUE!</v>
      </c>
      <c r="E288" s="4" t="e">
        <f ca="1">SplineInterp(A288,INDIRECT("'" &amp;Master!$F$10&amp; "'!$A$2:$A$50"),INDIRECT("'" &amp;Master!$F$10&amp; "'!$E$2:$E$50"))</f>
        <v>#VALUE!</v>
      </c>
      <c r="F288" s="4" t="e">
        <f ca="1">SplineInterp(A288,INDIRECT("'" &amp;Master!$F$10&amp; "'!$A$2:$A$50"),INDIRECT("'" &amp;Master!$F$10&amp; "'!$F$2:$F$50"))</f>
        <v>#VALUE!</v>
      </c>
      <c r="G288" s="4" t="e">
        <f ca="1">SplineInterp(A288,INDIRECT("'" &amp;Master!$F$10&amp; "'!$A$2:$A$50"),INDIRECT("'" &amp;Master!$F$10&amp; "'!$G$2:$G$50"))</f>
        <v>#VALUE!</v>
      </c>
      <c r="H288" s="4" t="e">
        <f ca="1">SplineInterp(A288,INDIRECT("'" &amp;Master!$F$10&amp; "'!$A$2:$A$50"),INDIRECT("'" &amp;Master!$F$10&amp; "'!$H$2:$H$50"))</f>
        <v>#VALUE!</v>
      </c>
      <c r="I288" s="4" t="e">
        <f ca="1">IF(OR(INDIRECT("'" &amp; Master!$F$8 &amp; Master!$F$6 &amp; "'!B" &amp; ROW(B288))="", INDIRECT("'" &amp; Master!$F$8 &amp; Master!$F$6 &amp; "'!B" &amp; ROW(B288))=0), "", INDIRECT("'" &amp; Master!$F$8 &amp; Master!$F$6 &amp; "'!B" &amp; ROW(B288)))</f>
        <v>#VALUE!</v>
      </c>
      <c r="J288" s="9" t="e">
        <f t="shared" ca="1" si="28"/>
        <v>#VALUE!</v>
      </c>
      <c r="K288" s="7" t="e">
        <f t="shared" ca="1" si="29"/>
        <v>#VALUE!</v>
      </c>
      <c r="L288" s="7" t="e">
        <f t="shared" ca="1" si="30"/>
        <v>#VALUE!</v>
      </c>
      <c r="M288" s="7" t="e">
        <f t="shared" ca="1" si="31"/>
        <v>#VALUE!</v>
      </c>
      <c r="N288" s="7" t="e">
        <f t="shared" ca="1" si="32"/>
        <v>#VALUE!</v>
      </c>
      <c r="O288" s="7" t="e">
        <f t="shared" ca="1" si="33"/>
        <v>#VALUE!</v>
      </c>
      <c r="P288" s="7" t="e">
        <f t="shared" ca="1" si="34"/>
        <v>#VALUE!</v>
      </c>
    </row>
    <row r="289" spans="1:16" x14ac:dyDescent="0.25">
      <c r="A289" s="19" t="str">
        <f ca="1">IF(OR(INDIRECT("'" &amp; Master!$F$8 &amp; Master!$F$6 &amp; "'!A" &amp; ROW(A289))="", INDIRECT("'" &amp; Master!$F$8 &amp; Master!$F$6 &amp; "'!A" &amp; ROW(A289))=0), "", INDIRECT("'" &amp; Master!$F$8 &amp; Master!$F$6 &amp; "'!A" &amp; ROW(A289)))</f>
        <v/>
      </c>
      <c r="B289" s="4" t="e">
        <f ca="1">SplineInterp(INDIRECT("A" &amp; ROW()),INDIRECT("'" &amp;Master!$F$10&amp; "'!$A$2:$A$50"),INDIRECT("'" &amp;Master!$F$10&amp; "'!$B$2:$B$50"))</f>
        <v>#VALUE!</v>
      </c>
      <c r="C289" s="4" t="e">
        <f ca="1">SplineInterp(A289,INDIRECT("'" &amp;Master!$F$10&amp; "'!$A$2:$A$50"),INDIRECT("'" &amp;Master!$F$10&amp; "'!$C$2:$C$50"))</f>
        <v>#VALUE!</v>
      </c>
      <c r="D289" s="4" t="e">
        <f ca="1">SplineInterp(A289,INDIRECT("'" &amp;Master!$F$10&amp; "'!$A$2:$A$50"),INDIRECT("'" &amp;Master!$F$10&amp; "'!$D$2:$D$50"))</f>
        <v>#VALUE!</v>
      </c>
      <c r="E289" s="4" t="e">
        <f ca="1">SplineInterp(A289,INDIRECT("'" &amp;Master!$F$10&amp; "'!$A$2:$A$50"),INDIRECT("'" &amp;Master!$F$10&amp; "'!$E$2:$E$50"))</f>
        <v>#VALUE!</v>
      </c>
      <c r="F289" s="4" t="e">
        <f ca="1">SplineInterp(A289,INDIRECT("'" &amp;Master!$F$10&amp; "'!$A$2:$A$50"),INDIRECT("'" &amp;Master!$F$10&amp; "'!$F$2:$F$50"))</f>
        <v>#VALUE!</v>
      </c>
      <c r="G289" s="4" t="e">
        <f ca="1">SplineInterp(A289,INDIRECT("'" &amp;Master!$F$10&amp; "'!$A$2:$A$50"),INDIRECT("'" &amp;Master!$F$10&amp; "'!$G$2:$G$50"))</f>
        <v>#VALUE!</v>
      </c>
      <c r="H289" s="4" t="e">
        <f ca="1">SplineInterp(A289,INDIRECT("'" &amp;Master!$F$10&amp; "'!$A$2:$A$50"),INDIRECT("'" &amp;Master!$F$10&amp; "'!$H$2:$H$50"))</f>
        <v>#VALUE!</v>
      </c>
      <c r="I289" s="4" t="e">
        <f ca="1">IF(OR(INDIRECT("'" &amp; Master!$F$8 &amp; Master!$F$6 &amp; "'!B" &amp; ROW(B289))="", INDIRECT("'" &amp; Master!$F$8 &amp; Master!$F$6 &amp; "'!B" &amp; ROW(B289))=0), "", INDIRECT("'" &amp; Master!$F$8 &amp; Master!$F$6 &amp; "'!B" &amp; ROW(B289)))</f>
        <v>#VALUE!</v>
      </c>
      <c r="J289" s="9" t="e">
        <f t="shared" ca="1" si="28"/>
        <v>#VALUE!</v>
      </c>
      <c r="K289" s="7" t="e">
        <f t="shared" ca="1" si="29"/>
        <v>#VALUE!</v>
      </c>
      <c r="L289" s="7" t="e">
        <f t="shared" ca="1" si="30"/>
        <v>#VALUE!</v>
      </c>
      <c r="M289" s="7" t="e">
        <f t="shared" ca="1" si="31"/>
        <v>#VALUE!</v>
      </c>
      <c r="N289" s="7" t="e">
        <f t="shared" ca="1" si="32"/>
        <v>#VALUE!</v>
      </c>
      <c r="O289" s="7" t="e">
        <f t="shared" ca="1" si="33"/>
        <v>#VALUE!</v>
      </c>
      <c r="P289" s="7" t="e">
        <f t="shared" ca="1" si="34"/>
        <v>#VALUE!</v>
      </c>
    </row>
    <row r="290" spans="1:16" x14ac:dyDescent="0.25">
      <c r="A290" s="19" t="str">
        <f ca="1">IF(OR(INDIRECT("'" &amp; Master!$F$8 &amp; Master!$F$6 &amp; "'!A" &amp; ROW(A290))="", INDIRECT("'" &amp; Master!$F$8 &amp; Master!$F$6 &amp; "'!A" &amp; ROW(A290))=0), "", INDIRECT("'" &amp; Master!$F$8 &amp; Master!$F$6 &amp; "'!A" &amp; ROW(A290)))</f>
        <v/>
      </c>
      <c r="B290" s="4" t="e">
        <f ca="1">SplineInterp(INDIRECT("A" &amp; ROW()),INDIRECT("'" &amp;Master!$F$10&amp; "'!$A$2:$A$50"),INDIRECT("'" &amp;Master!$F$10&amp; "'!$B$2:$B$50"))</f>
        <v>#VALUE!</v>
      </c>
      <c r="C290" s="4" t="e">
        <f ca="1">SplineInterp(A290,INDIRECT("'" &amp;Master!$F$10&amp; "'!$A$2:$A$50"),INDIRECT("'" &amp;Master!$F$10&amp; "'!$C$2:$C$50"))</f>
        <v>#VALUE!</v>
      </c>
      <c r="D290" s="4" t="e">
        <f ca="1">SplineInterp(A290,INDIRECT("'" &amp;Master!$F$10&amp; "'!$A$2:$A$50"),INDIRECT("'" &amp;Master!$F$10&amp; "'!$D$2:$D$50"))</f>
        <v>#VALUE!</v>
      </c>
      <c r="E290" s="4" t="e">
        <f ca="1">SplineInterp(A290,INDIRECT("'" &amp;Master!$F$10&amp; "'!$A$2:$A$50"),INDIRECT("'" &amp;Master!$F$10&amp; "'!$E$2:$E$50"))</f>
        <v>#VALUE!</v>
      </c>
      <c r="F290" s="4" t="e">
        <f ca="1">SplineInterp(A290,INDIRECT("'" &amp;Master!$F$10&amp; "'!$A$2:$A$50"),INDIRECT("'" &amp;Master!$F$10&amp; "'!$F$2:$F$50"))</f>
        <v>#VALUE!</v>
      </c>
      <c r="G290" s="4" t="e">
        <f ca="1">SplineInterp(A290,INDIRECT("'" &amp;Master!$F$10&amp; "'!$A$2:$A$50"),INDIRECT("'" &amp;Master!$F$10&amp; "'!$G$2:$G$50"))</f>
        <v>#VALUE!</v>
      </c>
      <c r="H290" s="4" t="e">
        <f ca="1">SplineInterp(A290,INDIRECT("'" &amp;Master!$F$10&amp; "'!$A$2:$A$50"),INDIRECT("'" &amp;Master!$F$10&amp; "'!$H$2:$H$50"))</f>
        <v>#VALUE!</v>
      </c>
      <c r="I290" s="4" t="e">
        <f ca="1">IF(OR(INDIRECT("'" &amp; Master!$F$8 &amp; Master!$F$6 &amp; "'!B" &amp; ROW(B290))="", INDIRECT("'" &amp; Master!$F$8 &amp; Master!$F$6 &amp; "'!B" &amp; ROW(B290))=0), "", INDIRECT("'" &amp; Master!$F$8 &amp; Master!$F$6 &amp; "'!B" &amp; ROW(B290)))</f>
        <v>#VALUE!</v>
      </c>
      <c r="J290" s="9" t="e">
        <f t="shared" ca="1" si="28"/>
        <v>#VALUE!</v>
      </c>
      <c r="K290" s="7" t="e">
        <f t="shared" ca="1" si="29"/>
        <v>#VALUE!</v>
      </c>
      <c r="L290" s="7" t="e">
        <f t="shared" ca="1" si="30"/>
        <v>#VALUE!</v>
      </c>
      <c r="M290" s="7" t="e">
        <f t="shared" ca="1" si="31"/>
        <v>#VALUE!</v>
      </c>
      <c r="N290" s="7" t="e">
        <f t="shared" ca="1" si="32"/>
        <v>#VALUE!</v>
      </c>
      <c r="O290" s="7" t="e">
        <f t="shared" ca="1" si="33"/>
        <v>#VALUE!</v>
      </c>
      <c r="P290" s="7" t="e">
        <f t="shared" ca="1" si="34"/>
        <v>#VALUE!</v>
      </c>
    </row>
    <row r="291" spans="1:16" x14ac:dyDescent="0.25">
      <c r="A291" s="19" t="str">
        <f ca="1">IF(OR(INDIRECT("'" &amp; Master!$F$8 &amp; Master!$F$6 &amp; "'!A" &amp; ROW(A291))="", INDIRECT("'" &amp; Master!$F$8 &amp; Master!$F$6 &amp; "'!A" &amp; ROW(A291))=0), "", INDIRECT("'" &amp; Master!$F$8 &amp; Master!$F$6 &amp; "'!A" &amp; ROW(A291)))</f>
        <v/>
      </c>
      <c r="B291" s="4" t="e">
        <f ca="1">SplineInterp(INDIRECT("A" &amp; ROW()),INDIRECT("'" &amp;Master!$F$10&amp; "'!$A$2:$A$50"),INDIRECT("'" &amp;Master!$F$10&amp; "'!$B$2:$B$50"))</f>
        <v>#VALUE!</v>
      </c>
      <c r="C291" s="4" t="e">
        <f ca="1">SplineInterp(A291,INDIRECT("'" &amp;Master!$F$10&amp; "'!$A$2:$A$50"),INDIRECT("'" &amp;Master!$F$10&amp; "'!$C$2:$C$50"))</f>
        <v>#VALUE!</v>
      </c>
      <c r="D291" s="4" t="e">
        <f ca="1">SplineInterp(A291,INDIRECT("'" &amp;Master!$F$10&amp; "'!$A$2:$A$50"),INDIRECT("'" &amp;Master!$F$10&amp; "'!$D$2:$D$50"))</f>
        <v>#VALUE!</v>
      </c>
      <c r="E291" s="4" t="e">
        <f ca="1">SplineInterp(A291,INDIRECT("'" &amp;Master!$F$10&amp; "'!$A$2:$A$50"),INDIRECT("'" &amp;Master!$F$10&amp; "'!$E$2:$E$50"))</f>
        <v>#VALUE!</v>
      </c>
      <c r="F291" s="4" t="e">
        <f ca="1">SplineInterp(A291,INDIRECT("'" &amp;Master!$F$10&amp; "'!$A$2:$A$50"),INDIRECT("'" &amp;Master!$F$10&amp; "'!$F$2:$F$50"))</f>
        <v>#VALUE!</v>
      </c>
      <c r="G291" s="4" t="e">
        <f ca="1">SplineInterp(A291,INDIRECT("'" &amp;Master!$F$10&amp; "'!$A$2:$A$50"),INDIRECT("'" &amp;Master!$F$10&amp; "'!$G$2:$G$50"))</f>
        <v>#VALUE!</v>
      </c>
      <c r="H291" s="4" t="e">
        <f ca="1">SplineInterp(A291,INDIRECT("'" &amp;Master!$F$10&amp; "'!$A$2:$A$50"),INDIRECT("'" &amp;Master!$F$10&amp; "'!$H$2:$H$50"))</f>
        <v>#VALUE!</v>
      </c>
      <c r="I291" s="4" t="e">
        <f ca="1">IF(OR(INDIRECT("'" &amp; Master!$F$8 &amp; Master!$F$6 &amp; "'!B" &amp; ROW(B291))="", INDIRECT("'" &amp; Master!$F$8 &amp; Master!$F$6 &amp; "'!B" &amp; ROW(B291))=0), "", INDIRECT("'" &amp; Master!$F$8 &amp; Master!$F$6 &amp; "'!B" &amp; ROW(B291)))</f>
        <v>#VALUE!</v>
      </c>
      <c r="J291" s="9" t="e">
        <f t="shared" ca="1" si="28"/>
        <v>#VALUE!</v>
      </c>
      <c r="K291" s="7" t="e">
        <f t="shared" ca="1" si="29"/>
        <v>#VALUE!</v>
      </c>
      <c r="L291" s="7" t="e">
        <f t="shared" ca="1" si="30"/>
        <v>#VALUE!</v>
      </c>
      <c r="M291" s="7" t="e">
        <f t="shared" ca="1" si="31"/>
        <v>#VALUE!</v>
      </c>
      <c r="N291" s="7" t="e">
        <f t="shared" ca="1" si="32"/>
        <v>#VALUE!</v>
      </c>
      <c r="O291" s="7" t="e">
        <f t="shared" ca="1" si="33"/>
        <v>#VALUE!</v>
      </c>
      <c r="P291" s="7" t="e">
        <f t="shared" ca="1" si="34"/>
        <v>#VALUE!</v>
      </c>
    </row>
    <row r="292" spans="1:16" x14ac:dyDescent="0.25">
      <c r="A292" s="19" t="str">
        <f ca="1">IF(OR(INDIRECT("'" &amp; Master!$F$8 &amp; Master!$F$6 &amp; "'!A" &amp; ROW(A292))="", INDIRECT("'" &amp; Master!$F$8 &amp; Master!$F$6 &amp; "'!A" &amp; ROW(A292))=0), "", INDIRECT("'" &amp; Master!$F$8 &amp; Master!$F$6 &amp; "'!A" &amp; ROW(A292)))</f>
        <v/>
      </c>
      <c r="B292" s="4" t="e">
        <f ca="1">SplineInterp(INDIRECT("A" &amp; ROW()),INDIRECT("'" &amp;Master!$F$10&amp; "'!$A$2:$A$50"),INDIRECT("'" &amp;Master!$F$10&amp; "'!$B$2:$B$50"))</f>
        <v>#VALUE!</v>
      </c>
      <c r="C292" s="4" t="e">
        <f ca="1">SplineInterp(A292,INDIRECT("'" &amp;Master!$F$10&amp; "'!$A$2:$A$50"),INDIRECT("'" &amp;Master!$F$10&amp; "'!$C$2:$C$50"))</f>
        <v>#VALUE!</v>
      </c>
      <c r="D292" s="4" t="e">
        <f ca="1">SplineInterp(A292,INDIRECT("'" &amp;Master!$F$10&amp; "'!$A$2:$A$50"),INDIRECT("'" &amp;Master!$F$10&amp; "'!$D$2:$D$50"))</f>
        <v>#VALUE!</v>
      </c>
      <c r="E292" s="4" t="e">
        <f ca="1">SplineInterp(A292,INDIRECT("'" &amp;Master!$F$10&amp; "'!$A$2:$A$50"),INDIRECT("'" &amp;Master!$F$10&amp; "'!$E$2:$E$50"))</f>
        <v>#VALUE!</v>
      </c>
      <c r="F292" s="4" t="e">
        <f ca="1">SplineInterp(A292,INDIRECT("'" &amp;Master!$F$10&amp; "'!$A$2:$A$50"),INDIRECT("'" &amp;Master!$F$10&amp; "'!$F$2:$F$50"))</f>
        <v>#VALUE!</v>
      </c>
      <c r="G292" s="4" t="e">
        <f ca="1">SplineInterp(A292,INDIRECT("'" &amp;Master!$F$10&amp; "'!$A$2:$A$50"),INDIRECT("'" &amp;Master!$F$10&amp; "'!$G$2:$G$50"))</f>
        <v>#VALUE!</v>
      </c>
      <c r="H292" s="4" t="e">
        <f ca="1">SplineInterp(A292,INDIRECT("'" &amp;Master!$F$10&amp; "'!$A$2:$A$50"),INDIRECT("'" &amp;Master!$F$10&amp; "'!$H$2:$H$50"))</f>
        <v>#VALUE!</v>
      </c>
      <c r="I292" s="4" t="e">
        <f ca="1">IF(OR(INDIRECT("'" &amp; Master!$F$8 &amp; Master!$F$6 &amp; "'!B" &amp; ROW(B292))="", INDIRECT("'" &amp; Master!$F$8 &amp; Master!$F$6 &amp; "'!B" &amp; ROW(B292))=0), "", INDIRECT("'" &amp; Master!$F$8 &amp; Master!$F$6 &amp; "'!B" &amp; ROW(B292)))</f>
        <v>#VALUE!</v>
      </c>
      <c r="J292" s="9" t="e">
        <f t="shared" ca="1" si="28"/>
        <v>#VALUE!</v>
      </c>
      <c r="K292" s="7" t="e">
        <f t="shared" ca="1" si="29"/>
        <v>#VALUE!</v>
      </c>
      <c r="L292" s="7" t="e">
        <f t="shared" ca="1" si="30"/>
        <v>#VALUE!</v>
      </c>
      <c r="M292" s="7" t="e">
        <f t="shared" ca="1" si="31"/>
        <v>#VALUE!</v>
      </c>
      <c r="N292" s="7" t="e">
        <f t="shared" ca="1" si="32"/>
        <v>#VALUE!</v>
      </c>
      <c r="O292" s="7" t="e">
        <f t="shared" ca="1" si="33"/>
        <v>#VALUE!</v>
      </c>
      <c r="P292" s="7" t="e">
        <f t="shared" ca="1" si="34"/>
        <v>#VALUE!</v>
      </c>
    </row>
    <row r="293" spans="1:16" x14ac:dyDescent="0.25">
      <c r="A293" s="19" t="str">
        <f ca="1">IF(OR(INDIRECT("'" &amp; Master!$F$8 &amp; Master!$F$6 &amp; "'!A" &amp; ROW(A293))="", INDIRECT("'" &amp; Master!$F$8 &amp; Master!$F$6 &amp; "'!A" &amp; ROW(A293))=0), "", INDIRECT("'" &amp; Master!$F$8 &amp; Master!$F$6 &amp; "'!A" &amp; ROW(A293)))</f>
        <v/>
      </c>
      <c r="B293" s="4" t="e">
        <f ca="1">SplineInterp(INDIRECT("A" &amp; ROW()),INDIRECT("'" &amp;Master!$F$10&amp; "'!$A$2:$A$50"),INDIRECT("'" &amp;Master!$F$10&amp; "'!$B$2:$B$50"))</f>
        <v>#VALUE!</v>
      </c>
      <c r="C293" s="4" t="e">
        <f ca="1">SplineInterp(A293,INDIRECT("'" &amp;Master!$F$10&amp; "'!$A$2:$A$50"),INDIRECT("'" &amp;Master!$F$10&amp; "'!$C$2:$C$50"))</f>
        <v>#VALUE!</v>
      </c>
      <c r="D293" s="4" t="e">
        <f ca="1">SplineInterp(A293,INDIRECT("'" &amp;Master!$F$10&amp; "'!$A$2:$A$50"),INDIRECT("'" &amp;Master!$F$10&amp; "'!$D$2:$D$50"))</f>
        <v>#VALUE!</v>
      </c>
      <c r="E293" s="4" t="e">
        <f ca="1">SplineInterp(A293,INDIRECT("'" &amp;Master!$F$10&amp; "'!$A$2:$A$50"),INDIRECT("'" &amp;Master!$F$10&amp; "'!$E$2:$E$50"))</f>
        <v>#VALUE!</v>
      </c>
      <c r="F293" s="4" t="e">
        <f ca="1">SplineInterp(A293,INDIRECT("'" &amp;Master!$F$10&amp; "'!$A$2:$A$50"),INDIRECT("'" &amp;Master!$F$10&amp; "'!$F$2:$F$50"))</f>
        <v>#VALUE!</v>
      </c>
      <c r="G293" s="4" t="e">
        <f ca="1">SplineInterp(A293,INDIRECT("'" &amp;Master!$F$10&amp; "'!$A$2:$A$50"),INDIRECT("'" &amp;Master!$F$10&amp; "'!$G$2:$G$50"))</f>
        <v>#VALUE!</v>
      </c>
      <c r="H293" s="4" t="e">
        <f ca="1">SplineInterp(A293,INDIRECT("'" &amp;Master!$F$10&amp; "'!$A$2:$A$50"),INDIRECT("'" &amp;Master!$F$10&amp; "'!$H$2:$H$50"))</f>
        <v>#VALUE!</v>
      </c>
      <c r="I293" s="4" t="e">
        <f ca="1">IF(OR(INDIRECT("'" &amp; Master!$F$8 &amp; Master!$F$6 &amp; "'!B" &amp; ROW(B293))="", INDIRECT("'" &amp; Master!$F$8 &amp; Master!$F$6 &amp; "'!B" &amp; ROW(B293))=0), "", INDIRECT("'" &amp; Master!$F$8 &amp; Master!$F$6 &amp; "'!B" &amp; ROW(B293)))</f>
        <v>#VALUE!</v>
      </c>
      <c r="J293" s="9" t="e">
        <f t="shared" ca="1" si="28"/>
        <v>#VALUE!</v>
      </c>
      <c r="K293" s="7" t="e">
        <f t="shared" ca="1" si="29"/>
        <v>#VALUE!</v>
      </c>
      <c r="L293" s="7" t="e">
        <f t="shared" ca="1" si="30"/>
        <v>#VALUE!</v>
      </c>
      <c r="M293" s="7" t="e">
        <f t="shared" ca="1" si="31"/>
        <v>#VALUE!</v>
      </c>
      <c r="N293" s="7" t="e">
        <f t="shared" ca="1" si="32"/>
        <v>#VALUE!</v>
      </c>
      <c r="O293" s="7" t="e">
        <f t="shared" ca="1" si="33"/>
        <v>#VALUE!</v>
      </c>
      <c r="P293" s="7" t="e">
        <f t="shared" ca="1" si="34"/>
        <v>#VALUE!</v>
      </c>
    </row>
    <row r="294" spans="1:16" x14ac:dyDescent="0.25">
      <c r="A294" s="19" t="str">
        <f ca="1">IF(OR(INDIRECT("'" &amp; Master!$F$8 &amp; Master!$F$6 &amp; "'!A" &amp; ROW(A294))="", INDIRECT("'" &amp; Master!$F$8 &amp; Master!$F$6 &amp; "'!A" &amp; ROW(A294))=0), "", INDIRECT("'" &amp; Master!$F$8 &amp; Master!$F$6 &amp; "'!A" &amp; ROW(A294)))</f>
        <v/>
      </c>
      <c r="B294" s="4" t="e">
        <f ca="1">SplineInterp(INDIRECT("A" &amp; ROW()),INDIRECT("'" &amp;Master!$F$10&amp; "'!$A$2:$A$50"),INDIRECT("'" &amp;Master!$F$10&amp; "'!$B$2:$B$50"))</f>
        <v>#VALUE!</v>
      </c>
      <c r="C294" s="4" t="e">
        <f ca="1">SplineInterp(A294,INDIRECT("'" &amp;Master!$F$10&amp; "'!$A$2:$A$50"),INDIRECT("'" &amp;Master!$F$10&amp; "'!$C$2:$C$50"))</f>
        <v>#VALUE!</v>
      </c>
      <c r="D294" s="4" t="e">
        <f ca="1">SplineInterp(A294,INDIRECT("'" &amp;Master!$F$10&amp; "'!$A$2:$A$50"),INDIRECT("'" &amp;Master!$F$10&amp; "'!$D$2:$D$50"))</f>
        <v>#VALUE!</v>
      </c>
      <c r="E294" s="4" t="e">
        <f ca="1">SplineInterp(A294,INDIRECT("'" &amp;Master!$F$10&amp; "'!$A$2:$A$50"),INDIRECT("'" &amp;Master!$F$10&amp; "'!$E$2:$E$50"))</f>
        <v>#VALUE!</v>
      </c>
      <c r="F294" s="4" t="e">
        <f ca="1">SplineInterp(A294,INDIRECT("'" &amp;Master!$F$10&amp; "'!$A$2:$A$50"),INDIRECT("'" &amp;Master!$F$10&amp; "'!$F$2:$F$50"))</f>
        <v>#VALUE!</v>
      </c>
      <c r="G294" s="4" t="e">
        <f ca="1">SplineInterp(A294,INDIRECT("'" &amp;Master!$F$10&amp; "'!$A$2:$A$50"),INDIRECT("'" &amp;Master!$F$10&amp; "'!$G$2:$G$50"))</f>
        <v>#VALUE!</v>
      </c>
      <c r="H294" s="4" t="e">
        <f ca="1">SplineInterp(A294,INDIRECT("'" &amp;Master!$F$10&amp; "'!$A$2:$A$50"),INDIRECT("'" &amp;Master!$F$10&amp; "'!$H$2:$H$50"))</f>
        <v>#VALUE!</v>
      </c>
      <c r="I294" s="4" t="e">
        <f ca="1">IF(OR(INDIRECT("'" &amp; Master!$F$8 &amp; Master!$F$6 &amp; "'!B" &amp; ROW(B294))="", INDIRECT("'" &amp; Master!$F$8 &amp; Master!$F$6 &amp; "'!B" &amp; ROW(B294))=0), "", INDIRECT("'" &amp; Master!$F$8 &amp; Master!$F$6 &amp; "'!B" &amp; ROW(B294)))</f>
        <v>#VALUE!</v>
      </c>
      <c r="J294" s="9" t="e">
        <f t="shared" ca="1" si="28"/>
        <v>#VALUE!</v>
      </c>
      <c r="K294" s="7" t="e">
        <f t="shared" ca="1" si="29"/>
        <v>#VALUE!</v>
      </c>
      <c r="L294" s="7" t="e">
        <f t="shared" ca="1" si="30"/>
        <v>#VALUE!</v>
      </c>
      <c r="M294" s="7" t="e">
        <f t="shared" ca="1" si="31"/>
        <v>#VALUE!</v>
      </c>
      <c r="N294" s="7" t="e">
        <f t="shared" ca="1" si="32"/>
        <v>#VALUE!</v>
      </c>
      <c r="O294" s="7" t="e">
        <f t="shared" ca="1" si="33"/>
        <v>#VALUE!</v>
      </c>
      <c r="P294" s="7" t="e">
        <f t="shared" ca="1" si="34"/>
        <v>#VALUE!</v>
      </c>
    </row>
    <row r="295" spans="1:16" x14ac:dyDescent="0.25">
      <c r="A295" s="19" t="str">
        <f ca="1">IF(OR(INDIRECT("'" &amp; Master!$F$8 &amp; Master!$F$6 &amp; "'!A" &amp; ROW(A295))="", INDIRECT("'" &amp; Master!$F$8 &amp; Master!$F$6 &amp; "'!A" &amp; ROW(A295))=0), "", INDIRECT("'" &amp; Master!$F$8 &amp; Master!$F$6 &amp; "'!A" &amp; ROW(A295)))</f>
        <v/>
      </c>
      <c r="B295" s="4" t="e">
        <f ca="1">SplineInterp(INDIRECT("A" &amp; ROW()),INDIRECT("'" &amp;Master!$F$10&amp; "'!$A$2:$A$50"),INDIRECT("'" &amp;Master!$F$10&amp; "'!$B$2:$B$50"))</f>
        <v>#VALUE!</v>
      </c>
      <c r="C295" s="4" t="e">
        <f ca="1">SplineInterp(A295,INDIRECT("'" &amp;Master!$F$10&amp; "'!$A$2:$A$50"),INDIRECT("'" &amp;Master!$F$10&amp; "'!$C$2:$C$50"))</f>
        <v>#VALUE!</v>
      </c>
      <c r="D295" s="4" t="e">
        <f ca="1">SplineInterp(A295,INDIRECT("'" &amp;Master!$F$10&amp; "'!$A$2:$A$50"),INDIRECT("'" &amp;Master!$F$10&amp; "'!$D$2:$D$50"))</f>
        <v>#VALUE!</v>
      </c>
      <c r="E295" s="4" t="e">
        <f ca="1">SplineInterp(A295,INDIRECT("'" &amp;Master!$F$10&amp; "'!$A$2:$A$50"),INDIRECT("'" &amp;Master!$F$10&amp; "'!$E$2:$E$50"))</f>
        <v>#VALUE!</v>
      </c>
      <c r="F295" s="4" t="e">
        <f ca="1">SplineInterp(A295,INDIRECT("'" &amp;Master!$F$10&amp; "'!$A$2:$A$50"),INDIRECT("'" &amp;Master!$F$10&amp; "'!$F$2:$F$50"))</f>
        <v>#VALUE!</v>
      </c>
      <c r="G295" s="4" t="e">
        <f ca="1">SplineInterp(A295,INDIRECT("'" &amp;Master!$F$10&amp; "'!$A$2:$A$50"),INDIRECT("'" &amp;Master!$F$10&amp; "'!$G$2:$G$50"))</f>
        <v>#VALUE!</v>
      </c>
      <c r="H295" s="4" t="e">
        <f ca="1">SplineInterp(A295,INDIRECT("'" &amp;Master!$F$10&amp; "'!$A$2:$A$50"),INDIRECT("'" &amp;Master!$F$10&amp; "'!$H$2:$H$50"))</f>
        <v>#VALUE!</v>
      </c>
      <c r="I295" s="4" t="e">
        <f ca="1">IF(OR(INDIRECT("'" &amp; Master!$F$8 &amp; Master!$F$6 &amp; "'!B" &amp; ROW(B295))="", INDIRECT("'" &amp; Master!$F$8 &amp; Master!$F$6 &amp; "'!B" &amp; ROW(B295))=0), "", INDIRECT("'" &amp; Master!$F$8 &amp; Master!$F$6 &amp; "'!B" &amp; ROW(B295)))</f>
        <v>#VALUE!</v>
      </c>
      <c r="J295" s="9" t="e">
        <f t="shared" ca="1" si="28"/>
        <v>#VALUE!</v>
      </c>
      <c r="K295" s="7" t="e">
        <f t="shared" ca="1" si="29"/>
        <v>#VALUE!</v>
      </c>
      <c r="L295" s="7" t="e">
        <f t="shared" ca="1" si="30"/>
        <v>#VALUE!</v>
      </c>
      <c r="M295" s="7" t="e">
        <f t="shared" ca="1" si="31"/>
        <v>#VALUE!</v>
      </c>
      <c r="N295" s="7" t="e">
        <f t="shared" ca="1" si="32"/>
        <v>#VALUE!</v>
      </c>
      <c r="O295" s="7" t="e">
        <f t="shared" ca="1" si="33"/>
        <v>#VALUE!</v>
      </c>
      <c r="P295" s="7" t="e">
        <f t="shared" ca="1" si="34"/>
        <v>#VALUE!</v>
      </c>
    </row>
    <row r="296" spans="1:16" x14ac:dyDescent="0.25">
      <c r="A296" s="19" t="str">
        <f ca="1">IF(OR(INDIRECT("'" &amp; Master!$F$8 &amp; Master!$F$6 &amp; "'!A" &amp; ROW(A296))="", INDIRECT("'" &amp; Master!$F$8 &amp; Master!$F$6 &amp; "'!A" &amp; ROW(A296))=0), "", INDIRECT("'" &amp; Master!$F$8 &amp; Master!$F$6 &amp; "'!A" &amp; ROW(A296)))</f>
        <v/>
      </c>
      <c r="B296" s="4" t="e">
        <f ca="1">SplineInterp(INDIRECT("A" &amp; ROW()),INDIRECT("'" &amp;Master!$F$10&amp; "'!$A$2:$A$50"),INDIRECT("'" &amp;Master!$F$10&amp; "'!$B$2:$B$50"))</f>
        <v>#VALUE!</v>
      </c>
      <c r="C296" s="4" t="e">
        <f ca="1">SplineInterp(A296,INDIRECT("'" &amp;Master!$F$10&amp; "'!$A$2:$A$50"),INDIRECT("'" &amp;Master!$F$10&amp; "'!$C$2:$C$50"))</f>
        <v>#VALUE!</v>
      </c>
      <c r="D296" s="4" t="e">
        <f ca="1">SplineInterp(A296,INDIRECT("'" &amp;Master!$F$10&amp; "'!$A$2:$A$50"),INDIRECT("'" &amp;Master!$F$10&amp; "'!$D$2:$D$50"))</f>
        <v>#VALUE!</v>
      </c>
      <c r="E296" s="4" t="e">
        <f ca="1">SplineInterp(A296,INDIRECT("'" &amp;Master!$F$10&amp; "'!$A$2:$A$50"),INDIRECT("'" &amp;Master!$F$10&amp; "'!$E$2:$E$50"))</f>
        <v>#VALUE!</v>
      </c>
      <c r="F296" s="4" t="e">
        <f ca="1">SplineInterp(A296,INDIRECT("'" &amp;Master!$F$10&amp; "'!$A$2:$A$50"),INDIRECT("'" &amp;Master!$F$10&amp; "'!$F$2:$F$50"))</f>
        <v>#VALUE!</v>
      </c>
      <c r="G296" s="4" t="e">
        <f ca="1">SplineInterp(A296,INDIRECT("'" &amp;Master!$F$10&amp; "'!$A$2:$A$50"),INDIRECT("'" &amp;Master!$F$10&amp; "'!$G$2:$G$50"))</f>
        <v>#VALUE!</v>
      </c>
      <c r="H296" s="4" t="e">
        <f ca="1">SplineInterp(A296,INDIRECT("'" &amp;Master!$F$10&amp; "'!$A$2:$A$50"),INDIRECT("'" &amp;Master!$F$10&amp; "'!$H$2:$H$50"))</f>
        <v>#VALUE!</v>
      </c>
      <c r="I296" s="4" t="e">
        <f ca="1">IF(OR(INDIRECT("'" &amp; Master!$F$8 &amp; Master!$F$6 &amp; "'!B" &amp; ROW(B296))="", INDIRECT("'" &amp; Master!$F$8 &amp; Master!$F$6 &amp; "'!B" &amp; ROW(B296))=0), "", INDIRECT("'" &amp; Master!$F$8 &amp; Master!$F$6 &amp; "'!B" &amp; ROW(B296)))</f>
        <v>#VALUE!</v>
      </c>
      <c r="J296" s="9" t="e">
        <f t="shared" ca="1" si="28"/>
        <v>#VALUE!</v>
      </c>
      <c r="K296" s="7" t="e">
        <f t="shared" ca="1" si="29"/>
        <v>#VALUE!</v>
      </c>
      <c r="L296" s="7" t="e">
        <f t="shared" ca="1" si="30"/>
        <v>#VALUE!</v>
      </c>
      <c r="M296" s="7" t="e">
        <f t="shared" ca="1" si="31"/>
        <v>#VALUE!</v>
      </c>
      <c r="N296" s="7" t="e">
        <f t="shared" ca="1" si="32"/>
        <v>#VALUE!</v>
      </c>
      <c r="O296" s="7" t="e">
        <f t="shared" ca="1" si="33"/>
        <v>#VALUE!</v>
      </c>
      <c r="P296" s="7" t="e">
        <f t="shared" ca="1" si="34"/>
        <v>#VALUE!</v>
      </c>
    </row>
    <row r="297" spans="1:16" x14ac:dyDescent="0.25">
      <c r="A297" s="19" t="str">
        <f ca="1">IF(OR(INDIRECT("'" &amp; Master!$F$8 &amp; Master!$F$6 &amp; "'!A" &amp; ROW(A297))="", INDIRECT("'" &amp; Master!$F$8 &amp; Master!$F$6 &amp; "'!A" &amp; ROW(A297))=0), "", INDIRECT("'" &amp; Master!$F$8 &amp; Master!$F$6 &amp; "'!A" &amp; ROW(A297)))</f>
        <v/>
      </c>
      <c r="B297" s="4" t="e">
        <f ca="1">SplineInterp(INDIRECT("A" &amp; ROW()),INDIRECT("'" &amp;Master!$F$10&amp; "'!$A$2:$A$50"),INDIRECT("'" &amp;Master!$F$10&amp; "'!$B$2:$B$50"))</f>
        <v>#VALUE!</v>
      </c>
      <c r="C297" s="4" t="e">
        <f ca="1">SplineInterp(A297,INDIRECT("'" &amp;Master!$F$10&amp; "'!$A$2:$A$50"),INDIRECT("'" &amp;Master!$F$10&amp; "'!$C$2:$C$50"))</f>
        <v>#VALUE!</v>
      </c>
      <c r="D297" s="4" t="e">
        <f ca="1">SplineInterp(A297,INDIRECT("'" &amp;Master!$F$10&amp; "'!$A$2:$A$50"),INDIRECT("'" &amp;Master!$F$10&amp; "'!$D$2:$D$50"))</f>
        <v>#VALUE!</v>
      </c>
      <c r="E297" s="4" t="e">
        <f ca="1">SplineInterp(A297,INDIRECT("'" &amp;Master!$F$10&amp; "'!$A$2:$A$50"),INDIRECT("'" &amp;Master!$F$10&amp; "'!$E$2:$E$50"))</f>
        <v>#VALUE!</v>
      </c>
      <c r="F297" s="4" t="e">
        <f ca="1">SplineInterp(A297,INDIRECT("'" &amp;Master!$F$10&amp; "'!$A$2:$A$50"),INDIRECT("'" &amp;Master!$F$10&amp; "'!$F$2:$F$50"))</f>
        <v>#VALUE!</v>
      </c>
      <c r="G297" s="4" t="e">
        <f ca="1">SplineInterp(A297,INDIRECT("'" &amp;Master!$F$10&amp; "'!$A$2:$A$50"),INDIRECT("'" &amp;Master!$F$10&amp; "'!$G$2:$G$50"))</f>
        <v>#VALUE!</v>
      </c>
      <c r="H297" s="4" t="e">
        <f ca="1">SplineInterp(A297,INDIRECT("'" &amp;Master!$F$10&amp; "'!$A$2:$A$50"),INDIRECT("'" &amp;Master!$F$10&amp; "'!$H$2:$H$50"))</f>
        <v>#VALUE!</v>
      </c>
      <c r="I297" s="4" t="e">
        <f ca="1">IF(OR(INDIRECT("'" &amp; Master!$F$8 &amp; Master!$F$6 &amp; "'!B" &amp; ROW(B297))="", INDIRECT("'" &amp; Master!$F$8 &amp; Master!$F$6 &amp; "'!B" &amp; ROW(B297))=0), "", INDIRECT("'" &amp; Master!$F$8 &amp; Master!$F$6 &amp; "'!B" &amp; ROW(B297)))</f>
        <v>#VALUE!</v>
      </c>
      <c r="J297" s="9" t="e">
        <f t="shared" ca="1" si="28"/>
        <v>#VALUE!</v>
      </c>
      <c r="K297" s="7" t="e">
        <f t="shared" ca="1" si="29"/>
        <v>#VALUE!</v>
      </c>
      <c r="L297" s="7" t="e">
        <f t="shared" ca="1" si="30"/>
        <v>#VALUE!</v>
      </c>
      <c r="M297" s="7" t="e">
        <f t="shared" ca="1" si="31"/>
        <v>#VALUE!</v>
      </c>
      <c r="N297" s="7" t="e">
        <f t="shared" ca="1" si="32"/>
        <v>#VALUE!</v>
      </c>
      <c r="O297" s="7" t="e">
        <f t="shared" ca="1" si="33"/>
        <v>#VALUE!</v>
      </c>
      <c r="P297" s="7" t="e">
        <f t="shared" ca="1" si="34"/>
        <v>#VALUE!</v>
      </c>
    </row>
    <row r="298" spans="1:16" x14ac:dyDescent="0.25">
      <c r="A298" s="19" t="str">
        <f ca="1">IF(OR(INDIRECT("'" &amp; Master!$F$8 &amp; Master!$F$6 &amp; "'!A" &amp; ROW(A298))="", INDIRECT("'" &amp; Master!$F$8 &amp; Master!$F$6 &amp; "'!A" &amp; ROW(A298))=0), "", INDIRECT("'" &amp; Master!$F$8 &amp; Master!$F$6 &amp; "'!A" &amp; ROW(A298)))</f>
        <v/>
      </c>
      <c r="B298" s="4" t="e">
        <f ca="1">SplineInterp(INDIRECT("A" &amp; ROW()),INDIRECT("'" &amp;Master!$F$10&amp; "'!$A$2:$A$50"),INDIRECT("'" &amp;Master!$F$10&amp; "'!$B$2:$B$50"))</f>
        <v>#VALUE!</v>
      </c>
      <c r="C298" s="4" t="e">
        <f ca="1">SplineInterp(A298,INDIRECT("'" &amp;Master!$F$10&amp; "'!$A$2:$A$50"),INDIRECT("'" &amp;Master!$F$10&amp; "'!$C$2:$C$50"))</f>
        <v>#VALUE!</v>
      </c>
      <c r="D298" s="4" t="e">
        <f ca="1">SplineInterp(A298,INDIRECT("'" &amp;Master!$F$10&amp; "'!$A$2:$A$50"),INDIRECT("'" &amp;Master!$F$10&amp; "'!$D$2:$D$50"))</f>
        <v>#VALUE!</v>
      </c>
      <c r="E298" s="4" t="e">
        <f ca="1">SplineInterp(A298,INDIRECT("'" &amp;Master!$F$10&amp; "'!$A$2:$A$50"),INDIRECT("'" &amp;Master!$F$10&amp; "'!$E$2:$E$50"))</f>
        <v>#VALUE!</v>
      </c>
      <c r="F298" s="4" t="e">
        <f ca="1">SplineInterp(A298,INDIRECT("'" &amp;Master!$F$10&amp; "'!$A$2:$A$50"),INDIRECT("'" &amp;Master!$F$10&amp; "'!$F$2:$F$50"))</f>
        <v>#VALUE!</v>
      </c>
      <c r="G298" s="4" t="e">
        <f ca="1">SplineInterp(A298,INDIRECT("'" &amp;Master!$F$10&amp; "'!$A$2:$A$50"),INDIRECT("'" &amp;Master!$F$10&amp; "'!$G$2:$G$50"))</f>
        <v>#VALUE!</v>
      </c>
      <c r="H298" s="4" t="e">
        <f ca="1">SplineInterp(A298,INDIRECT("'" &amp;Master!$F$10&amp; "'!$A$2:$A$50"),INDIRECT("'" &amp;Master!$F$10&amp; "'!$H$2:$H$50"))</f>
        <v>#VALUE!</v>
      </c>
      <c r="I298" s="4" t="e">
        <f ca="1">IF(OR(INDIRECT("'" &amp; Master!$F$8 &amp; Master!$F$6 &amp; "'!B" &amp; ROW(B298))="", INDIRECT("'" &amp; Master!$F$8 &amp; Master!$F$6 &amp; "'!B" &amp; ROW(B298))=0), "", INDIRECT("'" &amp; Master!$F$8 &amp; Master!$F$6 &amp; "'!B" &amp; ROW(B298)))</f>
        <v>#VALUE!</v>
      </c>
      <c r="J298" s="9" t="e">
        <f t="shared" ca="1" si="28"/>
        <v>#VALUE!</v>
      </c>
      <c r="K298" s="7" t="e">
        <f t="shared" ca="1" si="29"/>
        <v>#VALUE!</v>
      </c>
      <c r="L298" s="7" t="e">
        <f t="shared" ca="1" si="30"/>
        <v>#VALUE!</v>
      </c>
      <c r="M298" s="7" t="e">
        <f t="shared" ca="1" si="31"/>
        <v>#VALUE!</v>
      </c>
      <c r="N298" s="7" t="e">
        <f t="shared" ca="1" si="32"/>
        <v>#VALUE!</v>
      </c>
      <c r="O298" s="7" t="e">
        <f t="shared" ca="1" si="33"/>
        <v>#VALUE!</v>
      </c>
      <c r="P298" s="7" t="e">
        <f t="shared" ca="1" si="34"/>
        <v>#VALUE!</v>
      </c>
    </row>
    <row r="299" spans="1:16" x14ac:dyDescent="0.25">
      <c r="A299" s="19" t="str">
        <f ca="1">IF(OR(INDIRECT("'" &amp; Master!$F$8 &amp; Master!$F$6 &amp; "'!A" &amp; ROW(A299))="", INDIRECT("'" &amp; Master!$F$8 &amp; Master!$F$6 &amp; "'!A" &amp; ROW(A299))=0), "", INDIRECT("'" &amp; Master!$F$8 &amp; Master!$F$6 &amp; "'!A" &amp; ROW(A299)))</f>
        <v/>
      </c>
      <c r="B299" s="4" t="e">
        <f ca="1">SplineInterp(INDIRECT("A" &amp; ROW()),INDIRECT("'" &amp;Master!$F$10&amp; "'!$A$2:$A$50"),INDIRECT("'" &amp;Master!$F$10&amp; "'!$B$2:$B$50"))</f>
        <v>#VALUE!</v>
      </c>
      <c r="C299" s="4" t="e">
        <f ca="1">SplineInterp(A299,INDIRECT("'" &amp;Master!$F$10&amp; "'!$A$2:$A$50"),INDIRECT("'" &amp;Master!$F$10&amp; "'!$C$2:$C$50"))</f>
        <v>#VALUE!</v>
      </c>
      <c r="D299" s="4" t="e">
        <f ca="1">SplineInterp(A299,INDIRECT("'" &amp;Master!$F$10&amp; "'!$A$2:$A$50"),INDIRECT("'" &amp;Master!$F$10&amp; "'!$D$2:$D$50"))</f>
        <v>#VALUE!</v>
      </c>
      <c r="E299" s="4" t="e">
        <f ca="1">SplineInterp(A299,INDIRECT("'" &amp;Master!$F$10&amp; "'!$A$2:$A$50"),INDIRECT("'" &amp;Master!$F$10&amp; "'!$E$2:$E$50"))</f>
        <v>#VALUE!</v>
      </c>
      <c r="F299" s="4" t="e">
        <f ca="1">SplineInterp(A299,INDIRECT("'" &amp;Master!$F$10&amp; "'!$A$2:$A$50"),INDIRECT("'" &amp;Master!$F$10&amp; "'!$F$2:$F$50"))</f>
        <v>#VALUE!</v>
      </c>
      <c r="G299" s="4" t="e">
        <f ca="1">SplineInterp(A299,INDIRECT("'" &amp;Master!$F$10&amp; "'!$A$2:$A$50"),INDIRECT("'" &amp;Master!$F$10&amp; "'!$G$2:$G$50"))</f>
        <v>#VALUE!</v>
      </c>
      <c r="H299" s="4" t="e">
        <f ca="1">SplineInterp(A299,INDIRECT("'" &amp;Master!$F$10&amp; "'!$A$2:$A$50"),INDIRECT("'" &amp;Master!$F$10&amp; "'!$H$2:$H$50"))</f>
        <v>#VALUE!</v>
      </c>
      <c r="I299" s="4" t="e">
        <f ca="1">IF(OR(INDIRECT("'" &amp; Master!$F$8 &amp; Master!$F$6 &amp; "'!B" &amp; ROW(B299))="", INDIRECT("'" &amp; Master!$F$8 &amp; Master!$F$6 &amp; "'!B" &amp; ROW(B299))=0), "", INDIRECT("'" &amp; Master!$F$8 &amp; Master!$F$6 &amp; "'!B" &amp; ROW(B299)))</f>
        <v>#VALUE!</v>
      </c>
      <c r="J299" s="9" t="e">
        <f t="shared" ca="1" si="28"/>
        <v>#VALUE!</v>
      </c>
      <c r="K299" s="7" t="e">
        <f t="shared" ca="1" si="29"/>
        <v>#VALUE!</v>
      </c>
      <c r="L299" s="7" t="e">
        <f t="shared" ca="1" si="30"/>
        <v>#VALUE!</v>
      </c>
      <c r="M299" s="7" t="e">
        <f t="shared" ca="1" si="31"/>
        <v>#VALUE!</v>
      </c>
      <c r="N299" s="7" t="e">
        <f t="shared" ca="1" si="32"/>
        <v>#VALUE!</v>
      </c>
      <c r="O299" s="7" t="e">
        <f t="shared" ca="1" si="33"/>
        <v>#VALUE!</v>
      </c>
      <c r="P299" s="7" t="e">
        <f t="shared" ca="1" si="34"/>
        <v>#VALUE!</v>
      </c>
    </row>
    <row r="300" spans="1:16" x14ac:dyDescent="0.25">
      <c r="A300" s="19" t="str">
        <f ca="1">IF(OR(INDIRECT("'" &amp; Master!$F$8 &amp; Master!$F$6 &amp; "'!A" &amp; ROW(A300))="", INDIRECT("'" &amp; Master!$F$8 &amp; Master!$F$6 &amp; "'!A" &amp; ROW(A300))=0), "", INDIRECT("'" &amp; Master!$F$8 &amp; Master!$F$6 &amp; "'!A" &amp; ROW(A300)))</f>
        <v/>
      </c>
      <c r="B300" s="4" t="e">
        <f ca="1">SplineInterp(INDIRECT("A" &amp; ROW()),INDIRECT("'" &amp;Master!$F$10&amp; "'!$A$2:$A$50"),INDIRECT("'" &amp;Master!$F$10&amp; "'!$B$2:$B$50"))</f>
        <v>#VALUE!</v>
      </c>
      <c r="C300" s="4" t="e">
        <f ca="1">SplineInterp(A300,INDIRECT("'" &amp;Master!$F$10&amp; "'!$A$2:$A$50"),INDIRECT("'" &amp;Master!$F$10&amp; "'!$C$2:$C$50"))</f>
        <v>#VALUE!</v>
      </c>
      <c r="D300" s="4" t="e">
        <f ca="1">SplineInterp(A300,INDIRECT("'" &amp;Master!$F$10&amp; "'!$A$2:$A$50"),INDIRECT("'" &amp;Master!$F$10&amp; "'!$D$2:$D$50"))</f>
        <v>#VALUE!</v>
      </c>
      <c r="E300" s="4" t="e">
        <f ca="1">SplineInterp(A300,INDIRECT("'" &amp;Master!$F$10&amp; "'!$A$2:$A$50"),INDIRECT("'" &amp;Master!$F$10&amp; "'!$E$2:$E$50"))</f>
        <v>#VALUE!</v>
      </c>
      <c r="F300" s="4" t="e">
        <f ca="1">SplineInterp(A300,INDIRECT("'" &amp;Master!$F$10&amp; "'!$A$2:$A$50"),INDIRECT("'" &amp;Master!$F$10&amp; "'!$F$2:$F$50"))</f>
        <v>#VALUE!</v>
      </c>
      <c r="G300" s="4" t="e">
        <f ca="1">SplineInterp(A300,INDIRECT("'" &amp;Master!$F$10&amp; "'!$A$2:$A$50"),INDIRECT("'" &amp;Master!$F$10&amp; "'!$G$2:$G$50"))</f>
        <v>#VALUE!</v>
      </c>
      <c r="H300" s="4" t="e">
        <f ca="1">SplineInterp(A300,INDIRECT("'" &amp;Master!$F$10&amp; "'!$A$2:$A$50"),INDIRECT("'" &amp;Master!$F$10&amp; "'!$H$2:$H$50"))</f>
        <v>#VALUE!</v>
      </c>
      <c r="I300" s="4" t="e">
        <f ca="1">IF(OR(INDIRECT("'" &amp; Master!$F$8 &amp; Master!$F$6 &amp; "'!B" &amp; ROW(B300))="", INDIRECT("'" &amp; Master!$F$8 &amp; Master!$F$6 &amp; "'!B" &amp; ROW(B300))=0), "", INDIRECT("'" &amp; Master!$F$8 &amp; Master!$F$6 &amp; "'!B" &amp; ROW(B300)))</f>
        <v>#VALUE!</v>
      </c>
      <c r="J300" s="9" t="e">
        <f t="shared" ca="1" si="28"/>
        <v>#VALUE!</v>
      </c>
      <c r="K300" s="7" t="e">
        <f t="shared" ca="1" si="29"/>
        <v>#VALUE!</v>
      </c>
      <c r="L300" s="7" t="e">
        <f t="shared" ca="1" si="30"/>
        <v>#VALUE!</v>
      </c>
      <c r="M300" s="7" t="e">
        <f t="shared" ca="1" si="31"/>
        <v>#VALUE!</v>
      </c>
      <c r="N300" s="7" t="e">
        <f t="shared" ca="1" si="32"/>
        <v>#VALUE!</v>
      </c>
      <c r="O300" s="7" t="e">
        <f t="shared" ca="1" si="33"/>
        <v>#VALUE!</v>
      </c>
      <c r="P300" s="7" t="e">
        <f t="shared" ca="1" si="34"/>
        <v>#VALUE!</v>
      </c>
    </row>
    <row r="301" spans="1:16" x14ac:dyDescent="0.25">
      <c r="A301" s="19" t="str">
        <f ca="1">IF(OR(INDIRECT("'" &amp; Master!$F$8 &amp; Master!$F$6 &amp; "'!A" &amp; ROW(A301))="", INDIRECT("'" &amp; Master!$F$8 &amp; Master!$F$6 &amp; "'!A" &amp; ROW(A301))=0), "", INDIRECT("'" &amp; Master!$F$8 &amp; Master!$F$6 &amp; "'!A" &amp; ROW(A301)))</f>
        <v/>
      </c>
      <c r="B301" s="4" t="e">
        <f ca="1">SplineInterp(INDIRECT("A" &amp; ROW()),INDIRECT("'" &amp;Master!$F$10&amp; "'!$A$2:$A$50"),INDIRECT("'" &amp;Master!$F$10&amp; "'!$B$2:$B$50"))</f>
        <v>#VALUE!</v>
      </c>
      <c r="C301" s="4" t="e">
        <f ca="1">SplineInterp(A301,INDIRECT("'" &amp;Master!$F$10&amp; "'!$A$2:$A$50"),INDIRECT("'" &amp;Master!$F$10&amp; "'!$C$2:$C$50"))</f>
        <v>#VALUE!</v>
      </c>
      <c r="D301" s="4" t="e">
        <f ca="1">SplineInterp(A301,INDIRECT("'" &amp;Master!$F$10&amp; "'!$A$2:$A$50"),INDIRECT("'" &amp;Master!$F$10&amp; "'!$D$2:$D$50"))</f>
        <v>#VALUE!</v>
      </c>
      <c r="E301" s="4" t="e">
        <f ca="1">SplineInterp(A301,INDIRECT("'" &amp;Master!$F$10&amp; "'!$A$2:$A$50"),INDIRECT("'" &amp;Master!$F$10&amp; "'!$E$2:$E$50"))</f>
        <v>#VALUE!</v>
      </c>
      <c r="F301" s="4" t="e">
        <f ca="1">SplineInterp(A301,INDIRECT("'" &amp;Master!$F$10&amp; "'!$A$2:$A$50"),INDIRECT("'" &amp;Master!$F$10&amp; "'!$F$2:$F$50"))</f>
        <v>#VALUE!</v>
      </c>
      <c r="G301" s="4" t="e">
        <f ca="1">SplineInterp(A301,INDIRECT("'" &amp;Master!$F$10&amp; "'!$A$2:$A$50"),INDIRECT("'" &amp;Master!$F$10&amp; "'!$G$2:$G$50"))</f>
        <v>#VALUE!</v>
      </c>
      <c r="H301" s="4" t="e">
        <f ca="1">SplineInterp(A301,INDIRECT("'" &amp;Master!$F$10&amp; "'!$A$2:$A$50"),INDIRECT("'" &amp;Master!$F$10&amp; "'!$H$2:$H$50"))</f>
        <v>#VALUE!</v>
      </c>
      <c r="I301" s="4" t="e">
        <f ca="1">IF(OR(INDIRECT("'" &amp; Master!$F$8 &amp; Master!$F$6 &amp; "'!B" &amp; ROW(B301))="", INDIRECT("'" &amp; Master!$F$8 &amp; Master!$F$6 &amp; "'!B" &amp; ROW(B301))=0), "", INDIRECT("'" &amp; Master!$F$8 &amp; Master!$F$6 &amp; "'!B" &amp; ROW(B301)))</f>
        <v>#VALUE!</v>
      </c>
      <c r="J301" s="9" t="e">
        <f t="shared" ca="1" si="28"/>
        <v>#VALUE!</v>
      </c>
      <c r="K301" s="7" t="e">
        <f t="shared" ca="1" si="29"/>
        <v>#VALUE!</v>
      </c>
      <c r="L301" s="7" t="e">
        <f t="shared" ca="1" si="30"/>
        <v>#VALUE!</v>
      </c>
      <c r="M301" s="7" t="e">
        <f t="shared" ca="1" si="31"/>
        <v>#VALUE!</v>
      </c>
      <c r="N301" s="7" t="e">
        <f t="shared" ca="1" si="32"/>
        <v>#VALUE!</v>
      </c>
      <c r="O301" s="7" t="e">
        <f t="shared" ca="1" si="33"/>
        <v>#VALUE!</v>
      </c>
      <c r="P301" s="7" t="e">
        <f t="shared" ca="1" si="34"/>
        <v>#VALUE!</v>
      </c>
    </row>
    <row r="302" spans="1:16" x14ac:dyDescent="0.25">
      <c r="A302" s="19" t="str">
        <f ca="1">IF(OR(INDIRECT("'" &amp; Master!$F$8 &amp; Master!$F$6 &amp; "'!A" &amp; ROW(A302))="", INDIRECT("'" &amp; Master!$F$8 &amp; Master!$F$6 &amp; "'!A" &amp; ROW(A302))=0), "", INDIRECT("'" &amp; Master!$F$8 &amp; Master!$F$6 &amp; "'!A" &amp; ROW(A302)))</f>
        <v/>
      </c>
      <c r="B302" s="4" t="e">
        <f ca="1">SplineInterp(INDIRECT("A" &amp; ROW()),INDIRECT("'" &amp;Master!$F$10&amp; "'!$A$2:$A$50"),INDIRECT("'" &amp;Master!$F$10&amp; "'!$B$2:$B$50"))</f>
        <v>#VALUE!</v>
      </c>
      <c r="C302" s="4" t="e">
        <f ca="1">SplineInterp(A302,INDIRECT("'" &amp;Master!$F$10&amp; "'!$A$2:$A$50"),INDIRECT("'" &amp;Master!$F$10&amp; "'!$C$2:$C$50"))</f>
        <v>#VALUE!</v>
      </c>
      <c r="D302" s="4" t="e">
        <f ca="1">SplineInterp(A302,INDIRECT("'" &amp;Master!$F$10&amp; "'!$A$2:$A$50"),INDIRECT("'" &amp;Master!$F$10&amp; "'!$D$2:$D$50"))</f>
        <v>#VALUE!</v>
      </c>
      <c r="E302" s="4" t="e">
        <f ca="1">SplineInterp(A302,INDIRECT("'" &amp;Master!$F$10&amp; "'!$A$2:$A$50"),INDIRECT("'" &amp;Master!$F$10&amp; "'!$E$2:$E$50"))</f>
        <v>#VALUE!</v>
      </c>
      <c r="F302" s="4" t="e">
        <f ca="1">SplineInterp(A302,INDIRECT("'" &amp;Master!$F$10&amp; "'!$A$2:$A$50"),INDIRECT("'" &amp;Master!$F$10&amp; "'!$F$2:$F$50"))</f>
        <v>#VALUE!</v>
      </c>
      <c r="G302" s="4" t="e">
        <f ca="1">SplineInterp(A302,INDIRECT("'" &amp;Master!$F$10&amp; "'!$A$2:$A$50"),INDIRECT("'" &amp;Master!$F$10&amp; "'!$G$2:$G$50"))</f>
        <v>#VALUE!</v>
      </c>
      <c r="H302" s="4" t="e">
        <f ca="1">SplineInterp(A302,INDIRECT("'" &amp;Master!$F$10&amp; "'!$A$2:$A$50"),INDIRECT("'" &amp;Master!$F$10&amp; "'!$H$2:$H$50"))</f>
        <v>#VALUE!</v>
      </c>
      <c r="I302" s="4" t="e">
        <f ca="1">IF(OR(INDIRECT("'" &amp; Master!$F$8 &amp; Master!$F$6 &amp; "'!B" &amp; ROW(B302))="", INDIRECT("'" &amp; Master!$F$8 &amp; Master!$F$6 &amp; "'!B" &amp; ROW(B302))=0), "", INDIRECT("'" &amp; Master!$F$8 &amp; Master!$F$6 &amp; "'!B" &amp; ROW(B302)))</f>
        <v>#VALUE!</v>
      </c>
      <c r="J302" s="9" t="e">
        <f t="shared" ca="1" si="28"/>
        <v>#VALUE!</v>
      </c>
      <c r="K302" s="7" t="e">
        <f t="shared" ca="1" si="29"/>
        <v>#VALUE!</v>
      </c>
      <c r="L302" s="7" t="e">
        <f t="shared" ca="1" si="30"/>
        <v>#VALUE!</v>
      </c>
      <c r="M302" s="7" t="e">
        <f t="shared" ca="1" si="31"/>
        <v>#VALUE!</v>
      </c>
      <c r="N302" s="7" t="e">
        <f t="shared" ca="1" si="32"/>
        <v>#VALUE!</v>
      </c>
      <c r="O302" s="7" t="e">
        <f t="shared" ca="1" si="33"/>
        <v>#VALUE!</v>
      </c>
      <c r="P302" s="7" t="e">
        <f t="shared" ca="1" si="34"/>
        <v>#VALUE!</v>
      </c>
    </row>
    <row r="303" spans="1:16" x14ac:dyDescent="0.25">
      <c r="A303" s="19" t="str">
        <f ca="1">IF(OR(INDIRECT("'" &amp; Master!$F$8 &amp; Master!$F$6 &amp; "'!A" &amp; ROW(A303))="", INDIRECT("'" &amp; Master!$F$8 &amp; Master!$F$6 &amp; "'!A" &amp; ROW(A303))=0), "", INDIRECT("'" &amp; Master!$F$8 &amp; Master!$F$6 &amp; "'!A" &amp; ROW(A303)))</f>
        <v/>
      </c>
      <c r="B303" s="4" t="e">
        <f ca="1">SplineInterp(INDIRECT("A" &amp; ROW()),INDIRECT("'" &amp;Master!$F$10&amp; "'!$A$2:$A$50"),INDIRECT("'" &amp;Master!$F$10&amp; "'!$B$2:$B$50"))</f>
        <v>#VALUE!</v>
      </c>
      <c r="C303" s="4" t="e">
        <f ca="1">SplineInterp(A303,INDIRECT("'" &amp;Master!$F$10&amp; "'!$A$2:$A$50"),INDIRECT("'" &amp;Master!$F$10&amp; "'!$C$2:$C$50"))</f>
        <v>#VALUE!</v>
      </c>
      <c r="D303" s="4" t="e">
        <f ca="1">SplineInterp(A303,INDIRECT("'" &amp;Master!$F$10&amp; "'!$A$2:$A$50"),INDIRECT("'" &amp;Master!$F$10&amp; "'!$D$2:$D$50"))</f>
        <v>#VALUE!</v>
      </c>
      <c r="E303" s="4" t="e">
        <f ca="1">SplineInterp(A303,INDIRECT("'" &amp;Master!$F$10&amp; "'!$A$2:$A$50"),INDIRECT("'" &amp;Master!$F$10&amp; "'!$E$2:$E$50"))</f>
        <v>#VALUE!</v>
      </c>
      <c r="F303" s="4" t="e">
        <f ca="1">SplineInterp(A303,INDIRECT("'" &amp;Master!$F$10&amp; "'!$A$2:$A$50"),INDIRECT("'" &amp;Master!$F$10&amp; "'!$F$2:$F$50"))</f>
        <v>#VALUE!</v>
      </c>
      <c r="G303" s="4" t="e">
        <f ca="1">SplineInterp(A303,INDIRECT("'" &amp;Master!$F$10&amp; "'!$A$2:$A$50"),INDIRECT("'" &amp;Master!$F$10&amp; "'!$G$2:$G$50"))</f>
        <v>#VALUE!</v>
      </c>
      <c r="H303" s="4" t="e">
        <f ca="1">SplineInterp(A303,INDIRECT("'" &amp;Master!$F$10&amp; "'!$A$2:$A$50"),INDIRECT("'" &amp;Master!$F$10&amp; "'!$H$2:$H$50"))</f>
        <v>#VALUE!</v>
      </c>
      <c r="I303" s="4" t="e">
        <f ca="1">IF(OR(INDIRECT("'" &amp; Master!$F$8 &amp; Master!$F$6 &amp; "'!B" &amp; ROW(B303))="", INDIRECT("'" &amp; Master!$F$8 &amp; Master!$F$6 &amp; "'!B" &amp; ROW(B303))=0), "", INDIRECT("'" &amp; Master!$F$8 &amp; Master!$F$6 &amp; "'!B" &amp; ROW(B303)))</f>
        <v>#VALUE!</v>
      </c>
      <c r="J303" s="9" t="e">
        <f t="shared" ca="1" si="28"/>
        <v>#VALUE!</v>
      </c>
      <c r="K303" s="7" t="e">
        <f t="shared" ca="1" si="29"/>
        <v>#VALUE!</v>
      </c>
      <c r="L303" s="7" t="e">
        <f t="shared" ca="1" si="30"/>
        <v>#VALUE!</v>
      </c>
      <c r="M303" s="7" t="e">
        <f t="shared" ca="1" si="31"/>
        <v>#VALUE!</v>
      </c>
      <c r="N303" s="7" t="e">
        <f t="shared" ca="1" si="32"/>
        <v>#VALUE!</v>
      </c>
      <c r="O303" s="7" t="e">
        <f t="shared" ca="1" si="33"/>
        <v>#VALUE!</v>
      </c>
      <c r="P303" s="7" t="e">
        <f t="shared" ca="1" si="34"/>
        <v>#VALUE!</v>
      </c>
    </row>
    <row r="304" spans="1:16" x14ac:dyDescent="0.25">
      <c r="A304" s="19" t="str">
        <f ca="1">IF(OR(INDIRECT("'" &amp; Master!$F$8 &amp; Master!$F$6 &amp; "'!A" &amp; ROW(A304))="", INDIRECT("'" &amp; Master!$F$8 &amp; Master!$F$6 &amp; "'!A" &amp; ROW(A304))=0), "", INDIRECT("'" &amp; Master!$F$8 &amp; Master!$F$6 &amp; "'!A" &amp; ROW(A304)))</f>
        <v/>
      </c>
      <c r="B304" s="4" t="e">
        <f ca="1">SplineInterp(INDIRECT("A" &amp; ROW()),INDIRECT("'" &amp;Master!$F$10&amp; "'!$A$2:$A$50"),INDIRECT("'" &amp;Master!$F$10&amp; "'!$B$2:$B$50"))</f>
        <v>#VALUE!</v>
      </c>
      <c r="C304" s="4" t="e">
        <f ca="1">SplineInterp(A304,INDIRECT("'" &amp;Master!$F$10&amp; "'!$A$2:$A$50"),INDIRECT("'" &amp;Master!$F$10&amp; "'!$C$2:$C$50"))</f>
        <v>#VALUE!</v>
      </c>
      <c r="D304" s="4" t="e">
        <f ca="1">SplineInterp(A304,INDIRECT("'" &amp;Master!$F$10&amp; "'!$A$2:$A$50"),INDIRECT("'" &amp;Master!$F$10&amp; "'!$D$2:$D$50"))</f>
        <v>#VALUE!</v>
      </c>
      <c r="E304" s="4" t="e">
        <f ca="1">SplineInterp(A304,INDIRECT("'" &amp;Master!$F$10&amp; "'!$A$2:$A$50"),INDIRECT("'" &amp;Master!$F$10&amp; "'!$E$2:$E$50"))</f>
        <v>#VALUE!</v>
      </c>
      <c r="F304" s="4" t="e">
        <f ca="1">SplineInterp(A304,INDIRECT("'" &amp;Master!$F$10&amp; "'!$A$2:$A$50"),INDIRECT("'" &amp;Master!$F$10&amp; "'!$F$2:$F$50"))</f>
        <v>#VALUE!</v>
      </c>
      <c r="G304" s="4" t="e">
        <f ca="1">SplineInterp(A304,INDIRECT("'" &amp;Master!$F$10&amp; "'!$A$2:$A$50"),INDIRECT("'" &amp;Master!$F$10&amp; "'!$G$2:$G$50"))</f>
        <v>#VALUE!</v>
      </c>
      <c r="H304" s="4" t="e">
        <f ca="1">SplineInterp(A304,INDIRECT("'" &amp;Master!$F$10&amp; "'!$A$2:$A$50"),INDIRECT("'" &amp;Master!$F$10&amp; "'!$H$2:$H$50"))</f>
        <v>#VALUE!</v>
      </c>
      <c r="I304" s="4" t="e">
        <f ca="1">IF(OR(INDIRECT("'" &amp; Master!$F$8 &amp; Master!$F$6 &amp; "'!B" &amp; ROW(B304))="", INDIRECT("'" &amp; Master!$F$8 &amp; Master!$F$6 &amp; "'!B" &amp; ROW(B304))=0), "", INDIRECT("'" &amp; Master!$F$8 &amp; Master!$F$6 &amp; "'!B" &amp; ROW(B304)))</f>
        <v>#VALUE!</v>
      </c>
      <c r="J304" s="9" t="e">
        <f t="shared" ca="1" si="28"/>
        <v>#VALUE!</v>
      </c>
      <c r="K304" s="7" t="e">
        <f t="shared" ca="1" si="29"/>
        <v>#VALUE!</v>
      </c>
      <c r="L304" s="7" t="e">
        <f t="shared" ca="1" si="30"/>
        <v>#VALUE!</v>
      </c>
      <c r="M304" s="7" t="e">
        <f t="shared" ca="1" si="31"/>
        <v>#VALUE!</v>
      </c>
      <c r="N304" s="7" t="e">
        <f t="shared" ca="1" si="32"/>
        <v>#VALUE!</v>
      </c>
      <c r="O304" s="7" t="e">
        <f t="shared" ca="1" si="33"/>
        <v>#VALUE!</v>
      </c>
      <c r="P304" s="7" t="e">
        <f t="shared" ca="1" si="34"/>
        <v>#VALUE!</v>
      </c>
    </row>
    <row r="305" spans="1:16" x14ac:dyDescent="0.25">
      <c r="A305" s="19" t="str">
        <f ca="1">IF(OR(INDIRECT("'" &amp; Master!$F$8 &amp; Master!$F$6 &amp; "'!A" &amp; ROW(A305))="", INDIRECT("'" &amp; Master!$F$8 &amp; Master!$F$6 &amp; "'!A" &amp; ROW(A305))=0), "", INDIRECT("'" &amp; Master!$F$8 &amp; Master!$F$6 &amp; "'!A" &amp; ROW(A305)))</f>
        <v/>
      </c>
      <c r="B305" s="4" t="e">
        <f ca="1">SplineInterp(INDIRECT("A" &amp; ROW()),INDIRECT("'" &amp;Master!$F$10&amp; "'!$A$2:$A$50"),INDIRECT("'" &amp;Master!$F$10&amp; "'!$B$2:$B$50"))</f>
        <v>#VALUE!</v>
      </c>
      <c r="C305" s="4" t="e">
        <f ca="1">SplineInterp(A305,INDIRECT("'" &amp;Master!$F$10&amp; "'!$A$2:$A$50"),INDIRECT("'" &amp;Master!$F$10&amp; "'!$C$2:$C$50"))</f>
        <v>#VALUE!</v>
      </c>
      <c r="D305" s="4" t="e">
        <f ca="1">SplineInterp(A305,INDIRECT("'" &amp;Master!$F$10&amp; "'!$A$2:$A$50"),INDIRECT("'" &amp;Master!$F$10&amp; "'!$D$2:$D$50"))</f>
        <v>#VALUE!</v>
      </c>
      <c r="E305" s="4" t="e">
        <f ca="1">SplineInterp(A305,INDIRECT("'" &amp;Master!$F$10&amp; "'!$A$2:$A$50"),INDIRECT("'" &amp;Master!$F$10&amp; "'!$E$2:$E$50"))</f>
        <v>#VALUE!</v>
      </c>
      <c r="F305" s="4" t="e">
        <f ca="1">SplineInterp(A305,INDIRECT("'" &amp;Master!$F$10&amp; "'!$A$2:$A$50"),INDIRECT("'" &amp;Master!$F$10&amp; "'!$F$2:$F$50"))</f>
        <v>#VALUE!</v>
      </c>
      <c r="G305" s="4" t="e">
        <f ca="1">SplineInterp(A305,INDIRECT("'" &amp;Master!$F$10&amp; "'!$A$2:$A$50"),INDIRECT("'" &amp;Master!$F$10&amp; "'!$G$2:$G$50"))</f>
        <v>#VALUE!</v>
      </c>
      <c r="H305" s="4" t="e">
        <f ca="1">SplineInterp(A305,INDIRECT("'" &amp;Master!$F$10&amp; "'!$A$2:$A$50"),INDIRECT("'" &amp;Master!$F$10&amp; "'!$H$2:$H$50"))</f>
        <v>#VALUE!</v>
      </c>
      <c r="I305" s="4" t="e">
        <f ca="1">IF(OR(INDIRECT("'" &amp; Master!$F$8 &amp; Master!$F$6 &amp; "'!B" &amp; ROW(B305))="", INDIRECT("'" &amp; Master!$F$8 &amp; Master!$F$6 &amp; "'!B" &amp; ROW(B305))=0), "", INDIRECT("'" &amp; Master!$F$8 &amp; Master!$F$6 &amp; "'!B" &amp; ROW(B305)))</f>
        <v>#VALUE!</v>
      </c>
      <c r="J305" s="9" t="e">
        <f t="shared" ca="1" si="28"/>
        <v>#VALUE!</v>
      </c>
      <c r="K305" s="7" t="e">
        <f t="shared" ca="1" si="29"/>
        <v>#VALUE!</v>
      </c>
      <c r="L305" s="7" t="e">
        <f t="shared" ca="1" si="30"/>
        <v>#VALUE!</v>
      </c>
      <c r="M305" s="7" t="e">
        <f t="shared" ca="1" si="31"/>
        <v>#VALUE!</v>
      </c>
      <c r="N305" s="7" t="e">
        <f t="shared" ca="1" si="32"/>
        <v>#VALUE!</v>
      </c>
      <c r="O305" s="7" t="e">
        <f t="shared" ca="1" si="33"/>
        <v>#VALUE!</v>
      </c>
      <c r="P305" s="7" t="e">
        <f t="shared" ca="1" si="34"/>
        <v>#VALUE!</v>
      </c>
    </row>
    <row r="306" spans="1:16" x14ac:dyDescent="0.25">
      <c r="A306" s="19" t="str">
        <f ca="1">IF(OR(INDIRECT("'" &amp; Master!$F$8 &amp; Master!$F$6 &amp; "'!A" &amp; ROW(A306))="", INDIRECT("'" &amp; Master!$F$8 &amp; Master!$F$6 &amp; "'!A" &amp; ROW(A306))=0), "", INDIRECT("'" &amp; Master!$F$8 &amp; Master!$F$6 &amp; "'!A" &amp; ROW(A306)))</f>
        <v/>
      </c>
      <c r="B306" s="4" t="e">
        <f ca="1">SplineInterp(INDIRECT("A" &amp; ROW()),INDIRECT("'" &amp;Master!$F$10&amp; "'!$A$2:$A$50"),INDIRECT("'" &amp;Master!$F$10&amp; "'!$B$2:$B$50"))</f>
        <v>#VALUE!</v>
      </c>
      <c r="C306" s="4" t="e">
        <f ca="1">SplineInterp(A306,INDIRECT("'" &amp;Master!$F$10&amp; "'!$A$2:$A$50"),INDIRECT("'" &amp;Master!$F$10&amp; "'!$C$2:$C$50"))</f>
        <v>#VALUE!</v>
      </c>
      <c r="D306" s="4" t="e">
        <f ca="1">SplineInterp(A306,INDIRECT("'" &amp;Master!$F$10&amp; "'!$A$2:$A$50"),INDIRECT("'" &amp;Master!$F$10&amp; "'!$D$2:$D$50"))</f>
        <v>#VALUE!</v>
      </c>
      <c r="E306" s="4" t="e">
        <f ca="1">SplineInterp(A306,INDIRECT("'" &amp;Master!$F$10&amp; "'!$A$2:$A$50"),INDIRECT("'" &amp;Master!$F$10&amp; "'!$E$2:$E$50"))</f>
        <v>#VALUE!</v>
      </c>
      <c r="F306" s="4" t="e">
        <f ca="1">SplineInterp(A306,INDIRECT("'" &amp;Master!$F$10&amp; "'!$A$2:$A$50"),INDIRECT("'" &amp;Master!$F$10&amp; "'!$F$2:$F$50"))</f>
        <v>#VALUE!</v>
      </c>
      <c r="G306" s="4" t="e">
        <f ca="1">SplineInterp(A306,INDIRECT("'" &amp;Master!$F$10&amp; "'!$A$2:$A$50"),INDIRECT("'" &amp;Master!$F$10&amp; "'!$G$2:$G$50"))</f>
        <v>#VALUE!</v>
      </c>
      <c r="H306" s="4" t="e">
        <f ca="1">SplineInterp(A306,INDIRECT("'" &amp;Master!$F$10&amp; "'!$A$2:$A$50"),INDIRECT("'" &amp;Master!$F$10&amp; "'!$H$2:$H$50"))</f>
        <v>#VALUE!</v>
      </c>
      <c r="I306" s="4" t="e">
        <f ca="1">IF(OR(INDIRECT("'" &amp; Master!$F$8 &amp; Master!$F$6 &amp; "'!B" &amp; ROW(B306))="", INDIRECT("'" &amp; Master!$F$8 &amp; Master!$F$6 &amp; "'!B" &amp; ROW(B306))=0), "", INDIRECT("'" &amp; Master!$F$8 &amp; Master!$F$6 &amp; "'!B" &amp; ROW(B306)))</f>
        <v>#VALUE!</v>
      </c>
      <c r="J306" s="9" t="e">
        <f t="shared" ca="1" si="28"/>
        <v>#VALUE!</v>
      </c>
      <c r="K306" s="7" t="e">
        <f t="shared" ca="1" si="29"/>
        <v>#VALUE!</v>
      </c>
      <c r="L306" s="7" t="e">
        <f t="shared" ca="1" si="30"/>
        <v>#VALUE!</v>
      </c>
      <c r="M306" s="7" t="e">
        <f t="shared" ca="1" si="31"/>
        <v>#VALUE!</v>
      </c>
      <c r="N306" s="7" t="e">
        <f t="shared" ca="1" si="32"/>
        <v>#VALUE!</v>
      </c>
      <c r="O306" s="7" t="e">
        <f t="shared" ca="1" si="33"/>
        <v>#VALUE!</v>
      </c>
      <c r="P306" s="7" t="e">
        <f t="shared" ca="1" si="34"/>
        <v>#VALUE!</v>
      </c>
    </row>
    <row r="307" spans="1:16" x14ac:dyDescent="0.25">
      <c r="A307" s="19" t="str">
        <f ca="1">IF(OR(INDIRECT("'" &amp; Master!$F$8 &amp; Master!$F$6 &amp; "'!A" &amp; ROW(A307))="", INDIRECT("'" &amp; Master!$F$8 &amp; Master!$F$6 &amp; "'!A" &amp; ROW(A307))=0), "", INDIRECT("'" &amp; Master!$F$8 &amp; Master!$F$6 &amp; "'!A" &amp; ROW(A307)))</f>
        <v/>
      </c>
      <c r="B307" s="4" t="e">
        <f ca="1">SplineInterp(INDIRECT("A" &amp; ROW()),INDIRECT("'" &amp;Master!$F$10&amp; "'!$A$2:$A$50"),INDIRECT("'" &amp;Master!$F$10&amp; "'!$B$2:$B$50"))</f>
        <v>#VALUE!</v>
      </c>
      <c r="C307" s="4" t="e">
        <f ca="1">SplineInterp(A307,INDIRECT("'" &amp;Master!$F$10&amp; "'!$A$2:$A$50"),INDIRECT("'" &amp;Master!$F$10&amp; "'!$C$2:$C$50"))</f>
        <v>#VALUE!</v>
      </c>
      <c r="D307" s="4" t="e">
        <f ca="1">SplineInterp(A307,INDIRECT("'" &amp;Master!$F$10&amp; "'!$A$2:$A$50"),INDIRECT("'" &amp;Master!$F$10&amp; "'!$D$2:$D$50"))</f>
        <v>#VALUE!</v>
      </c>
      <c r="E307" s="4" t="e">
        <f ca="1">SplineInterp(A307,INDIRECT("'" &amp;Master!$F$10&amp; "'!$A$2:$A$50"),INDIRECT("'" &amp;Master!$F$10&amp; "'!$E$2:$E$50"))</f>
        <v>#VALUE!</v>
      </c>
      <c r="F307" s="4" t="e">
        <f ca="1">SplineInterp(A307,INDIRECT("'" &amp;Master!$F$10&amp; "'!$A$2:$A$50"),INDIRECT("'" &amp;Master!$F$10&amp; "'!$F$2:$F$50"))</f>
        <v>#VALUE!</v>
      </c>
      <c r="G307" s="4" t="e">
        <f ca="1">SplineInterp(A307,INDIRECT("'" &amp;Master!$F$10&amp; "'!$A$2:$A$50"),INDIRECT("'" &amp;Master!$F$10&amp; "'!$G$2:$G$50"))</f>
        <v>#VALUE!</v>
      </c>
      <c r="H307" s="4" t="e">
        <f ca="1">SplineInterp(A307,INDIRECT("'" &amp;Master!$F$10&amp; "'!$A$2:$A$50"),INDIRECT("'" &amp;Master!$F$10&amp; "'!$H$2:$H$50"))</f>
        <v>#VALUE!</v>
      </c>
      <c r="I307" s="4" t="e">
        <f ca="1">IF(OR(INDIRECT("'" &amp; Master!$F$8 &amp; Master!$F$6 &amp; "'!B" &amp; ROW(B307))="", INDIRECT("'" &amp; Master!$F$8 &amp; Master!$F$6 &amp; "'!B" &amp; ROW(B307))=0), "", INDIRECT("'" &amp; Master!$F$8 &amp; Master!$F$6 &amp; "'!B" &amp; ROW(B307)))</f>
        <v>#VALUE!</v>
      </c>
      <c r="J307" s="9" t="e">
        <f t="shared" ca="1" si="28"/>
        <v>#VALUE!</v>
      </c>
      <c r="K307" s="7" t="e">
        <f t="shared" ca="1" si="29"/>
        <v>#VALUE!</v>
      </c>
      <c r="L307" s="7" t="e">
        <f t="shared" ca="1" si="30"/>
        <v>#VALUE!</v>
      </c>
      <c r="M307" s="7" t="e">
        <f t="shared" ca="1" si="31"/>
        <v>#VALUE!</v>
      </c>
      <c r="N307" s="7" t="e">
        <f t="shared" ca="1" si="32"/>
        <v>#VALUE!</v>
      </c>
      <c r="O307" s="7" t="e">
        <f t="shared" ca="1" si="33"/>
        <v>#VALUE!</v>
      </c>
      <c r="P307" s="7" t="e">
        <f t="shared" ca="1" si="34"/>
        <v>#VALUE!</v>
      </c>
    </row>
    <row r="308" spans="1:16" x14ac:dyDescent="0.25">
      <c r="A308" s="19" t="str">
        <f ca="1">IF(OR(INDIRECT("'" &amp; Master!$F$8 &amp; Master!$F$6 &amp; "'!A" &amp; ROW(A308))="", INDIRECT("'" &amp; Master!$F$8 &amp; Master!$F$6 &amp; "'!A" &amp; ROW(A308))=0), "", INDIRECT("'" &amp; Master!$F$8 &amp; Master!$F$6 &amp; "'!A" &amp; ROW(A308)))</f>
        <v/>
      </c>
      <c r="B308" s="4" t="e">
        <f ca="1">SplineInterp(INDIRECT("A" &amp; ROW()),INDIRECT("'" &amp;Master!$F$10&amp; "'!$A$2:$A$50"),INDIRECT("'" &amp;Master!$F$10&amp; "'!$B$2:$B$50"))</f>
        <v>#VALUE!</v>
      </c>
      <c r="C308" s="4" t="e">
        <f ca="1">SplineInterp(A308,INDIRECT("'" &amp;Master!$F$10&amp; "'!$A$2:$A$50"),INDIRECT("'" &amp;Master!$F$10&amp; "'!$C$2:$C$50"))</f>
        <v>#VALUE!</v>
      </c>
      <c r="D308" s="4" t="e">
        <f ca="1">SplineInterp(A308,INDIRECT("'" &amp;Master!$F$10&amp; "'!$A$2:$A$50"),INDIRECT("'" &amp;Master!$F$10&amp; "'!$D$2:$D$50"))</f>
        <v>#VALUE!</v>
      </c>
      <c r="E308" s="4" t="e">
        <f ca="1">SplineInterp(A308,INDIRECT("'" &amp;Master!$F$10&amp; "'!$A$2:$A$50"),INDIRECT("'" &amp;Master!$F$10&amp; "'!$E$2:$E$50"))</f>
        <v>#VALUE!</v>
      </c>
      <c r="F308" s="4" t="e">
        <f ca="1">SplineInterp(A308,INDIRECT("'" &amp;Master!$F$10&amp; "'!$A$2:$A$50"),INDIRECT("'" &amp;Master!$F$10&amp; "'!$F$2:$F$50"))</f>
        <v>#VALUE!</v>
      </c>
      <c r="G308" s="4" t="e">
        <f ca="1">SplineInterp(A308,INDIRECT("'" &amp;Master!$F$10&amp; "'!$A$2:$A$50"),INDIRECT("'" &amp;Master!$F$10&amp; "'!$G$2:$G$50"))</f>
        <v>#VALUE!</v>
      </c>
      <c r="H308" s="4" t="e">
        <f ca="1">SplineInterp(A308,INDIRECT("'" &amp;Master!$F$10&amp; "'!$A$2:$A$50"),INDIRECT("'" &amp;Master!$F$10&amp; "'!$H$2:$H$50"))</f>
        <v>#VALUE!</v>
      </c>
      <c r="I308" s="4" t="e">
        <f ca="1">IF(OR(INDIRECT("'" &amp; Master!$F$8 &amp; Master!$F$6 &amp; "'!B" &amp; ROW(B308))="", INDIRECT("'" &amp; Master!$F$8 &amp; Master!$F$6 &amp; "'!B" &amp; ROW(B308))=0), "", INDIRECT("'" &amp; Master!$F$8 &amp; Master!$F$6 &amp; "'!B" &amp; ROW(B308)))</f>
        <v>#VALUE!</v>
      </c>
      <c r="J308" s="9" t="e">
        <f t="shared" ca="1" si="28"/>
        <v>#VALUE!</v>
      </c>
      <c r="K308" s="7" t="e">
        <f t="shared" ca="1" si="29"/>
        <v>#VALUE!</v>
      </c>
      <c r="L308" s="7" t="e">
        <f t="shared" ca="1" si="30"/>
        <v>#VALUE!</v>
      </c>
      <c r="M308" s="7" t="e">
        <f t="shared" ca="1" si="31"/>
        <v>#VALUE!</v>
      </c>
      <c r="N308" s="7" t="e">
        <f t="shared" ca="1" si="32"/>
        <v>#VALUE!</v>
      </c>
      <c r="O308" s="7" t="e">
        <f t="shared" ca="1" si="33"/>
        <v>#VALUE!</v>
      </c>
      <c r="P308" s="7" t="e">
        <f t="shared" ca="1" si="34"/>
        <v>#VALUE!</v>
      </c>
    </row>
    <row r="309" spans="1:16" x14ac:dyDescent="0.25">
      <c r="A309" s="19" t="str">
        <f ca="1">IF(OR(INDIRECT("'" &amp; Master!$F$8 &amp; Master!$F$6 &amp; "'!A" &amp; ROW(A309))="", INDIRECT("'" &amp; Master!$F$8 &amp; Master!$F$6 &amp; "'!A" &amp; ROW(A309))=0), "", INDIRECT("'" &amp; Master!$F$8 &amp; Master!$F$6 &amp; "'!A" &amp; ROW(A309)))</f>
        <v/>
      </c>
      <c r="B309" s="4" t="e">
        <f ca="1">SplineInterp(INDIRECT("A" &amp; ROW()),INDIRECT("'" &amp;Master!$F$10&amp; "'!$A$2:$A$50"),INDIRECT("'" &amp;Master!$F$10&amp; "'!$B$2:$B$50"))</f>
        <v>#VALUE!</v>
      </c>
      <c r="C309" s="4" t="e">
        <f ca="1">SplineInterp(A309,INDIRECT("'" &amp;Master!$F$10&amp; "'!$A$2:$A$50"),INDIRECT("'" &amp;Master!$F$10&amp; "'!$C$2:$C$50"))</f>
        <v>#VALUE!</v>
      </c>
      <c r="D309" s="4" t="e">
        <f ca="1">SplineInterp(A309,INDIRECT("'" &amp;Master!$F$10&amp; "'!$A$2:$A$50"),INDIRECT("'" &amp;Master!$F$10&amp; "'!$D$2:$D$50"))</f>
        <v>#VALUE!</v>
      </c>
      <c r="E309" s="4" t="e">
        <f ca="1">SplineInterp(A309,INDIRECT("'" &amp;Master!$F$10&amp; "'!$A$2:$A$50"),INDIRECT("'" &amp;Master!$F$10&amp; "'!$E$2:$E$50"))</f>
        <v>#VALUE!</v>
      </c>
      <c r="F309" s="4" t="e">
        <f ca="1">SplineInterp(A309,INDIRECT("'" &amp;Master!$F$10&amp; "'!$A$2:$A$50"),INDIRECT("'" &amp;Master!$F$10&amp; "'!$F$2:$F$50"))</f>
        <v>#VALUE!</v>
      </c>
      <c r="G309" s="4" t="e">
        <f ca="1">SplineInterp(A309,INDIRECT("'" &amp;Master!$F$10&amp; "'!$A$2:$A$50"),INDIRECT("'" &amp;Master!$F$10&amp; "'!$G$2:$G$50"))</f>
        <v>#VALUE!</v>
      </c>
      <c r="H309" s="4" t="e">
        <f ca="1">SplineInterp(A309,INDIRECT("'" &amp;Master!$F$10&amp; "'!$A$2:$A$50"),INDIRECT("'" &amp;Master!$F$10&amp; "'!$H$2:$H$50"))</f>
        <v>#VALUE!</v>
      </c>
      <c r="I309" s="4" t="e">
        <f ca="1">IF(OR(INDIRECT("'" &amp; Master!$F$8 &amp; Master!$F$6 &amp; "'!B" &amp; ROW(B309))="", INDIRECT("'" &amp; Master!$F$8 &amp; Master!$F$6 &amp; "'!B" &amp; ROW(B309))=0), "", INDIRECT("'" &amp; Master!$F$8 &amp; Master!$F$6 &amp; "'!B" &amp; ROW(B309)))</f>
        <v>#VALUE!</v>
      </c>
      <c r="J309" s="9" t="e">
        <f t="shared" ca="1" si="28"/>
        <v>#VALUE!</v>
      </c>
      <c r="K309" s="7" t="e">
        <f t="shared" ca="1" si="29"/>
        <v>#VALUE!</v>
      </c>
      <c r="L309" s="7" t="e">
        <f t="shared" ca="1" si="30"/>
        <v>#VALUE!</v>
      </c>
      <c r="M309" s="7" t="e">
        <f t="shared" ca="1" si="31"/>
        <v>#VALUE!</v>
      </c>
      <c r="N309" s="7" t="e">
        <f t="shared" ca="1" si="32"/>
        <v>#VALUE!</v>
      </c>
      <c r="O309" s="7" t="e">
        <f t="shared" ca="1" si="33"/>
        <v>#VALUE!</v>
      </c>
      <c r="P309" s="7" t="e">
        <f t="shared" ca="1" si="34"/>
        <v>#VALUE!</v>
      </c>
    </row>
    <row r="310" spans="1:16" x14ac:dyDescent="0.25">
      <c r="A310" s="19" t="str">
        <f ca="1">IF(OR(INDIRECT("'" &amp; Master!$F$8 &amp; Master!$F$6 &amp; "'!A" &amp; ROW(A310))="", INDIRECT("'" &amp; Master!$F$8 &amp; Master!$F$6 &amp; "'!A" &amp; ROW(A310))=0), "", INDIRECT("'" &amp; Master!$F$8 &amp; Master!$F$6 &amp; "'!A" &amp; ROW(A310)))</f>
        <v/>
      </c>
      <c r="B310" s="4" t="e">
        <f ca="1">SplineInterp(INDIRECT("A" &amp; ROW()),INDIRECT("'" &amp;Master!$F$10&amp; "'!$A$2:$A$50"),INDIRECT("'" &amp;Master!$F$10&amp; "'!$B$2:$B$50"))</f>
        <v>#VALUE!</v>
      </c>
      <c r="C310" s="4" t="e">
        <f ca="1">SplineInterp(A310,INDIRECT("'" &amp;Master!$F$10&amp; "'!$A$2:$A$50"),INDIRECT("'" &amp;Master!$F$10&amp; "'!$C$2:$C$50"))</f>
        <v>#VALUE!</v>
      </c>
      <c r="D310" s="4" t="e">
        <f ca="1">SplineInterp(A310,INDIRECT("'" &amp;Master!$F$10&amp; "'!$A$2:$A$50"),INDIRECT("'" &amp;Master!$F$10&amp; "'!$D$2:$D$50"))</f>
        <v>#VALUE!</v>
      </c>
      <c r="E310" s="4" t="e">
        <f ca="1">SplineInterp(A310,INDIRECT("'" &amp;Master!$F$10&amp; "'!$A$2:$A$50"),INDIRECT("'" &amp;Master!$F$10&amp; "'!$E$2:$E$50"))</f>
        <v>#VALUE!</v>
      </c>
      <c r="F310" s="4" t="e">
        <f ca="1">SplineInterp(A310,INDIRECT("'" &amp;Master!$F$10&amp; "'!$A$2:$A$50"),INDIRECT("'" &amp;Master!$F$10&amp; "'!$F$2:$F$50"))</f>
        <v>#VALUE!</v>
      </c>
      <c r="G310" s="4" t="e">
        <f ca="1">SplineInterp(A310,INDIRECT("'" &amp;Master!$F$10&amp; "'!$A$2:$A$50"),INDIRECT("'" &amp;Master!$F$10&amp; "'!$G$2:$G$50"))</f>
        <v>#VALUE!</v>
      </c>
      <c r="H310" s="4" t="e">
        <f ca="1">SplineInterp(A310,INDIRECT("'" &amp;Master!$F$10&amp; "'!$A$2:$A$50"),INDIRECT("'" &amp;Master!$F$10&amp; "'!$H$2:$H$50"))</f>
        <v>#VALUE!</v>
      </c>
      <c r="I310" s="4" t="e">
        <f ca="1">IF(OR(INDIRECT("'" &amp; Master!$F$8 &amp; Master!$F$6 &amp; "'!B" &amp; ROW(B310))="", INDIRECT("'" &amp; Master!$F$8 &amp; Master!$F$6 &amp; "'!B" &amp; ROW(B310))=0), "", INDIRECT("'" &amp; Master!$F$8 &amp; Master!$F$6 &amp; "'!B" &amp; ROW(B310)))</f>
        <v>#VALUE!</v>
      </c>
      <c r="J310" s="9" t="e">
        <f t="shared" ca="1" si="28"/>
        <v>#VALUE!</v>
      </c>
      <c r="K310" s="7" t="e">
        <f t="shared" ca="1" si="29"/>
        <v>#VALUE!</v>
      </c>
      <c r="L310" s="7" t="e">
        <f t="shared" ca="1" si="30"/>
        <v>#VALUE!</v>
      </c>
      <c r="M310" s="7" t="e">
        <f t="shared" ca="1" si="31"/>
        <v>#VALUE!</v>
      </c>
      <c r="N310" s="7" t="e">
        <f t="shared" ca="1" si="32"/>
        <v>#VALUE!</v>
      </c>
      <c r="O310" s="7" t="e">
        <f t="shared" ca="1" si="33"/>
        <v>#VALUE!</v>
      </c>
      <c r="P310" s="7" t="e">
        <f t="shared" ca="1" si="34"/>
        <v>#VALUE!</v>
      </c>
    </row>
    <row r="311" spans="1:16" x14ac:dyDescent="0.25">
      <c r="A311" s="19" t="str">
        <f ca="1">IF(OR(INDIRECT("'" &amp; Master!$F$8 &amp; Master!$F$6 &amp; "'!A" &amp; ROW(A311))="", INDIRECT("'" &amp; Master!$F$8 &amp; Master!$F$6 &amp; "'!A" &amp; ROW(A311))=0), "", INDIRECT("'" &amp; Master!$F$8 &amp; Master!$F$6 &amp; "'!A" &amp; ROW(A311)))</f>
        <v/>
      </c>
      <c r="B311" s="4" t="e">
        <f ca="1">SplineInterp(INDIRECT("A" &amp; ROW()),INDIRECT("'" &amp;Master!$F$10&amp; "'!$A$2:$A$50"),INDIRECT("'" &amp;Master!$F$10&amp; "'!$B$2:$B$50"))</f>
        <v>#VALUE!</v>
      </c>
      <c r="C311" s="4" t="e">
        <f ca="1">SplineInterp(A311,INDIRECT("'" &amp;Master!$F$10&amp; "'!$A$2:$A$50"),INDIRECT("'" &amp;Master!$F$10&amp; "'!$C$2:$C$50"))</f>
        <v>#VALUE!</v>
      </c>
      <c r="D311" s="4" t="e">
        <f ca="1">SplineInterp(A311,INDIRECT("'" &amp;Master!$F$10&amp; "'!$A$2:$A$50"),INDIRECT("'" &amp;Master!$F$10&amp; "'!$D$2:$D$50"))</f>
        <v>#VALUE!</v>
      </c>
      <c r="E311" s="4" t="e">
        <f ca="1">SplineInterp(A311,INDIRECT("'" &amp;Master!$F$10&amp; "'!$A$2:$A$50"),INDIRECT("'" &amp;Master!$F$10&amp; "'!$E$2:$E$50"))</f>
        <v>#VALUE!</v>
      </c>
      <c r="F311" s="4" t="e">
        <f ca="1">SplineInterp(A311,INDIRECT("'" &amp;Master!$F$10&amp; "'!$A$2:$A$50"),INDIRECT("'" &amp;Master!$F$10&amp; "'!$F$2:$F$50"))</f>
        <v>#VALUE!</v>
      </c>
      <c r="G311" s="4" t="e">
        <f ca="1">SplineInterp(A311,INDIRECT("'" &amp;Master!$F$10&amp; "'!$A$2:$A$50"),INDIRECT("'" &amp;Master!$F$10&amp; "'!$G$2:$G$50"))</f>
        <v>#VALUE!</v>
      </c>
      <c r="H311" s="4" t="e">
        <f ca="1">SplineInterp(A311,INDIRECT("'" &amp;Master!$F$10&amp; "'!$A$2:$A$50"),INDIRECT("'" &amp;Master!$F$10&amp; "'!$H$2:$H$50"))</f>
        <v>#VALUE!</v>
      </c>
      <c r="I311" s="4" t="e">
        <f ca="1">IF(OR(INDIRECT("'" &amp; Master!$F$8 &amp; Master!$F$6 &amp; "'!B" &amp; ROW(B311))="", INDIRECT("'" &amp; Master!$F$8 &amp; Master!$F$6 &amp; "'!B" &amp; ROW(B311))=0), "", INDIRECT("'" &amp; Master!$F$8 &amp; Master!$F$6 &amp; "'!B" &amp; ROW(B311)))</f>
        <v>#VALUE!</v>
      </c>
      <c r="J311" s="9" t="e">
        <f t="shared" ca="1" si="28"/>
        <v>#VALUE!</v>
      </c>
      <c r="K311" s="7" t="e">
        <f t="shared" ca="1" si="29"/>
        <v>#VALUE!</v>
      </c>
      <c r="L311" s="7" t="e">
        <f t="shared" ca="1" si="30"/>
        <v>#VALUE!</v>
      </c>
      <c r="M311" s="7" t="e">
        <f t="shared" ca="1" si="31"/>
        <v>#VALUE!</v>
      </c>
      <c r="N311" s="7" t="e">
        <f t="shared" ca="1" si="32"/>
        <v>#VALUE!</v>
      </c>
      <c r="O311" s="7" t="e">
        <f t="shared" ca="1" si="33"/>
        <v>#VALUE!</v>
      </c>
      <c r="P311" s="7" t="e">
        <f t="shared" ca="1" si="34"/>
        <v>#VALUE!</v>
      </c>
    </row>
    <row r="312" spans="1:16" x14ac:dyDescent="0.25">
      <c r="A312" s="19" t="str">
        <f ca="1">IF(OR(INDIRECT("'" &amp; Master!$F$8 &amp; Master!$F$6 &amp; "'!A" &amp; ROW(A312))="", INDIRECT("'" &amp; Master!$F$8 &amp; Master!$F$6 &amp; "'!A" &amp; ROW(A312))=0), "", INDIRECT("'" &amp; Master!$F$8 &amp; Master!$F$6 &amp; "'!A" &amp; ROW(A312)))</f>
        <v/>
      </c>
      <c r="B312" s="4" t="e">
        <f ca="1">SplineInterp(INDIRECT("A" &amp; ROW()),INDIRECT("'" &amp;Master!$F$10&amp; "'!$A$2:$A$50"),INDIRECT("'" &amp;Master!$F$10&amp; "'!$B$2:$B$50"))</f>
        <v>#VALUE!</v>
      </c>
      <c r="C312" s="4" t="e">
        <f ca="1">SplineInterp(A312,INDIRECT("'" &amp;Master!$F$10&amp; "'!$A$2:$A$50"),INDIRECT("'" &amp;Master!$F$10&amp; "'!$C$2:$C$50"))</f>
        <v>#VALUE!</v>
      </c>
      <c r="D312" s="4" t="e">
        <f ca="1">SplineInterp(A312,INDIRECT("'" &amp;Master!$F$10&amp; "'!$A$2:$A$50"),INDIRECT("'" &amp;Master!$F$10&amp; "'!$D$2:$D$50"))</f>
        <v>#VALUE!</v>
      </c>
      <c r="E312" s="4" t="e">
        <f ca="1">SplineInterp(A312,INDIRECT("'" &amp;Master!$F$10&amp; "'!$A$2:$A$50"),INDIRECT("'" &amp;Master!$F$10&amp; "'!$E$2:$E$50"))</f>
        <v>#VALUE!</v>
      </c>
      <c r="F312" s="4" t="e">
        <f ca="1">SplineInterp(A312,INDIRECT("'" &amp;Master!$F$10&amp; "'!$A$2:$A$50"),INDIRECT("'" &amp;Master!$F$10&amp; "'!$F$2:$F$50"))</f>
        <v>#VALUE!</v>
      </c>
      <c r="G312" s="4" t="e">
        <f ca="1">SplineInterp(A312,INDIRECT("'" &amp;Master!$F$10&amp; "'!$A$2:$A$50"),INDIRECT("'" &amp;Master!$F$10&amp; "'!$G$2:$G$50"))</f>
        <v>#VALUE!</v>
      </c>
      <c r="H312" s="4" t="e">
        <f ca="1">SplineInterp(A312,INDIRECT("'" &amp;Master!$F$10&amp; "'!$A$2:$A$50"),INDIRECT("'" &amp;Master!$F$10&amp; "'!$H$2:$H$50"))</f>
        <v>#VALUE!</v>
      </c>
      <c r="I312" s="4" t="e">
        <f ca="1">IF(OR(INDIRECT("'" &amp; Master!$F$8 &amp; Master!$F$6 &amp; "'!B" &amp; ROW(B312))="", INDIRECT("'" &amp; Master!$F$8 &amp; Master!$F$6 &amp; "'!B" &amp; ROW(B312))=0), "", INDIRECT("'" &amp; Master!$F$8 &amp; Master!$F$6 &amp; "'!B" &amp; ROW(B312)))</f>
        <v>#VALUE!</v>
      </c>
      <c r="J312" s="9" t="e">
        <f t="shared" ca="1" si="28"/>
        <v>#VALUE!</v>
      </c>
      <c r="K312" s="7" t="e">
        <f t="shared" ca="1" si="29"/>
        <v>#VALUE!</v>
      </c>
      <c r="L312" s="7" t="e">
        <f t="shared" ca="1" si="30"/>
        <v>#VALUE!</v>
      </c>
      <c r="M312" s="7" t="e">
        <f t="shared" ca="1" si="31"/>
        <v>#VALUE!</v>
      </c>
      <c r="N312" s="7" t="e">
        <f t="shared" ca="1" si="32"/>
        <v>#VALUE!</v>
      </c>
      <c r="O312" s="7" t="e">
        <f t="shared" ca="1" si="33"/>
        <v>#VALUE!</v>
      </c>
      <c r="P312" s="7" t="e">
        <f t="shared" ca="1" si="34"/>
        <v>#VALUE!</v>
      </c>
    </row>
    <row r="313" spans="1:16" x14ac:dyDescent="0.25">
      <c r="A313" s="19" t="str">
        <f ca="1">IF(OR(INDIRECT("'" &amp; Master!$F$8 &amp; Master!$F$6 &amp; "'!A" &amp; ROW(A313))="", INDIRECT("'" &amp; Master!$F$8 &amp; Master!$F$6 &amp; "'!A" &amp; ROW(A313))=0), "", INDIRECT("'" &amp; Master!$F$8 &amp; Master!$F$6 &amp; "'!A" &amp; ROW(A313)))</f>
        <v/>
      </c>
      <c r="B313" s="4" t="e">
        <f ca="1">SplineInterp(INDIRECT("A" &amp; ROW()),INDIRECT("'" &amp;Master!$F$10&amp; "'!$A$2:$A$50"),INDIRECT("'" &amp;Master!$F$10&amp; "'!$B$2:$B$50"))</f>
        <v>#VALUE!</v>
      </c>
      <c r="C313" s="4" t="e">
        <f ca="1">SplineInterp(A313,INDIRECT("'" &amp;Master!$F$10&amp; "'!$A$2:$A$50"),INDIRECT("'" &amp;Master!$F$10&amp; "'!$C$2:$C$50"))</f>
        <v>#VALUE!</v>
      </c>
      <c r="D313" s="4" t="e">
        <f ca="1">SplineInterp(A313,INDIRECT("'" &amp;Master!$F$10&amp; "'!$A$2:$A$50"),INDIRECT("'" &amp;Master!$F$10&amp; "'!$D$2:$D$50"))</f>
        <v>#VALUE!</v>
      </c>
      <c r="E313" s="4" t="e">
        <f ca="1">SplineInterp(A313,INDIRECT("'" &amp;Master!$F$10&amp; "'!$A$2:$A$50"),INDIRECT("'" &amp;Master!$F$10&amp; "'!$E$2:$E$50"))</f>
        <v>#VALUE!</v>
      </c>
      <c r="F313" s="4" t="e">
        <f ca="1">SplineInterp(A313,INDIRECT("'" &amp;Master!$F$10&amp; "'!$A$2:$A$50"),INDIRECT("'" &amp;Master!$F$10&amp; "'!$F$2:$F$50"))</f>
        <v>#VALUE!</v>
      </c>
      <c r="G313" s="4" t="e">
        <f ca="1">SplineInterp(A313,INDIRECT("'" &amp;Master!$F$10&amp; "'!$A$2:$A$50"),INDIRECT("'" &amp;Master!$F$10&amp; "'!$G$2:$G$50"))</f>
        <v>#VALUE!</v>
      </c>
      <c r="H313" s="4" t="e">
        <f ca="1">SplineInterp(A313,INDIRECT("'" &amp;Master!$F$10&amp; "'!$A$2:$A$50"),INDIRECT("'" &amp;Master!$F$10&amp; "'!$H$2:$H$50"))</f>
        <v>#VALUE!</v>
      </c>
      <c r="I313" s="4" t="e">
        <f ca="1">IF(OR(INDIRECT("'" &amp; Master!$F$8 &amp; Master!$F$6 &amp; "'!B" &amp; ROW(B313))="", INDIRECT("'" &amp; Master!$F$8 &amp; Master!$F$6 &amp; "'!B" &amp; ROW(B313))=0), "", INDIRECT("'" &amp; Master!$F$8 &amp; Master!$F$6 &amp; "'!B" &amp; ROW(B313)))</f>
        <v>#VALUE!</v>
      </c>
      <c r="J313" s="9" t="e">
        <f t="shared" ca="1" si="28"/>
        <v>#VALUE!</v>
      </c>
      <c r="K313" s="7" t="e">
        <f t="shared" ca="1" si="29"/>
        <v>#VALUE!</v>
      </c>
      <c r="L313" s="7" t="e">
        <f t="shared" ca="1" si="30"/>
        <v>#VALUE!</v>
      </c>
      <c r="M313" s="7" t="e">
        <f t="shared" ca="1" si="31"/>
        <v>#VALUE!</v>
      </c>
      <c r="N313" s="7" t="e">
        <f t="shared" ca="1" si="32"/>
        <v>#VALUE!</v>
      </c>
      <c r="O313" s="7" t="e">
        <f t="shared" ca="1" si="33"/>
        <v>#VALUE!</v>
      </c>
      <c r="P313" s="7" t="e">
        <f t="shared" ca="1" si="34"/>
        <v>#VALUE!</v>
      </c>
    </row>
    <row r="314" spans="1:16" x14ac:dyDescent="0.25">
      <c r="A314" s="19" t="str">
        <f ca="1">IF(OR(INDIRECT("'" &amp; Master!$F$8 &amp; Master!$F$6 &amp; "'!A" &amp; ROW(A314))="", INDIRECT("'" &amp; Master!$F$8 &amp; Master!$F$6 &amp; "'!A" &amp; ROW(A314))=0), "", INDIRECT("'" &amp; Master!$F$8 &amp; Master!$F$6 &amp; "'!A" &amp; ROW(A314)))</f>
        <v/>
      </c>
      <c r="B314" s="4" t="e">
        <f ca="1">SplineInterp(INDIRECT("A" &amp; ROW()),INDIRECT("'" &amp;Master!$F$10&amp; "'!$A$2:$A$50"),INDIRECT("'" &amp;Master!$F$10&amp; "'!$B$2:$B$50"))</f>
        <v>#VALUE!</v>
      </c>
      <c r="C314" s="4" t="e">
        <f ca="1">SplineInterp(A314,INDIRECT("'" &amp;Master!$F$10&amp; "'!$A$2:$A$50"),INDIRECT("'" &amp;Master!$F$10&amp; "'!$C$2:$C$50"))</f>
        <v>#VALUE!</v>
      </c>
      <c r="D314" s="4" t="e">
        <f ca="1">SplineInterp(A314,INDIRECT("'" &amp;Master!$F$10&amp; "'!$A$2:$A$50"),INDIRECT("'" &amp;Master!$F$10&amp; "'!$D$2:$D$50"))</f>
        <v>#VALUE!</v>
      </c>
      <c r="E314" s="4" t="e">
        <f ca="1">SplineInterp(A314,INDIRECT("'" &amp;Master!$F$10&amp; "'!$A$2:$A$50"),INDIRECT("'" &amp;Master!$F$10&amp; "'!$E$2:$E$50"))</f>
        <v>#VALUE!</v>
      </c>
      <c r="F314" s="4" t="e">
        <f ca="1">SplineInterp(A314,INDIRECT("'" &amp;Master!$F$10&amp; "'!$A$2:$A$50"),INDIRECT("'" &amp;Master!$F$10&amp; "'!$F$2:$F$50"))</f>
        <v>#VALUE!</v>
      </c>
      <c r="G314" s="4" t="e">
        <f ca="1">SplineInterp(A314,INDIRECT("'" &amp;Master!$F$10&amp; "'!$A$2:$A$50"),INDIRECT("'" &amp;Master!$F$10&amp; "'!$G$2:$G$50"))</f>
        <v>#VALUE!</v>
      </c>
      <c r="H314" s="4" t="e">
        <f ca="1">SplineInterp(A314,INDIRECT("'" &amp;Master!$F$10&amp; "'!$A$2:$A$50"),INDIRECT("'" &amp;Master!$F$10&amp; "'!$H$2:$H$50"))</f>
        <v>#VALUE!</v>
      </c>
      <c r="I314" s="4" t="e">
        <f ca="1">IF(OR(INDIRECT("'" &amp; Master!$F$8 &amp; Master!$F$6 &amp; "'!B" &amp; ROW(B314))="", INDIRECT("'" &amp; Master!$F$8 &amp; Master!$F$6 &amp; "'!B" &amp; ROW(B314))=0), "", INDIRECT("'" &amp; Master!$F$8 &amp; Master!$F$6 &amp; "'!B" &amp; ROW(B314)))</f>
        <v>#VALUE!</v>
      </c>
      <c r="J314" s="9" t="e">
        <f t="shared" ca="1" si="28"/>
        <v>#VALUE!</v>
      </c>
      <c r="K314" s="7" t="e">
        <f t="shared" ca="1" si="29"/>
        <v>#VALUE!</v>
      </c>
      <c r="L314" s="7" t="e">
        <f t="shared" ca="1" si="30"/>
        <v>#VALUE!</v>
      </c>
      <c r="M314" s="7" t="e">
        <f t="shared" ca="1" si="31"/>
        <v>#VALUE!</v>
      </c>
      <c r="N314" s="7" t="e">
        <f t="shared" ca="1" si="32"/>
        <v>#VALUE!</v>
      </c>
      <c r="O314" s="7" t="e">
        <f t="shared" ca="1" si="33"/>
        <v>#VALUE!</v>
      </c>
      <c r="P314" s="7" t="e">
        <f t="shared" ca="1" si="34"/>
        <v>#VALUE!</v>
      </c>
    </row>
    <row r="315" spans="1:16" x14ac:dyDescent="0.25">
      <c r="A315" s="19" t="str">
        <f ca="1">IF(OR(INDIRECT("'" &amp; Master!$F$8 &amp; Master!$F$6 &amp; "'!A" &amp; ROW(A315))="", INDIRECT("'" &amp; Master!$F$8 &amp; Master!$F$6 &amp; "'!A" &amp; ROW(A315))=0), "", INDIRECT("'" &amp; Master!$F$8 &amp; Master!$F$6 &amp; "'!A" &amp; ROW(A315)))</f>
        <v/>
      </c>
      <c r="B315" s="4" t="e">
        <f ca="1">SplineInterp(INDIRECT("A" &amp; ROW()),INDIRECT("'" &amp;Master!$F$10&amp; "'!$A$2:$A$50"),INDIRECT("'" &amp;Master!$F$10&amp; "'!$B$2:$B$50"))</f>
        <v>#VALUE!</v>
      </c>
      <c r="C315" s="4" t="e">
        <f ca="1">SplineInterp(A315,INDIRECT("'" &amp;Master!$F$10&amp; "'!$A$2:$A$50"),INDIRECT("'" &amp;Master!$F$10&amp; "'!$C$2:$C$50"))</f>
        <v>#VALUE!</v>
      </c>
      <c r="D315" s="4" t="e">
        <f ca="1">SplineInterp(A315,INDIRECT("'" &amp;Master!$F$10&amp; "'!$A$2:$A$50"),INDIRECT("'" &amp;Master!$F$10&amp; "'!$D$2:$D$50"))</f>
        <v>#VALUE!</v>
      </c>
      <c r="E315" s="4" t="e">
        <f ca="1">SplineInterp(A315,INDIRECT("'" &amp;Master!$F$10&amp; "'!$A$2:$A$50"),INDIRECT("'" &amp;Master!$F$10&amp; "'!$E$2:$E$50"))</f>
        <v>#VALUE!</v>
      </c>
      <c r="F315" s="4" t="e">
        <f ca="1">SplineInterp(A315,INDIRECT("'" &amp;Master!$F$10&amp; "'!$A$2:$A$50"),INDIRECT("'" &amp;Master!$F$10&amp; "'!$F$2:$F$50"))</f>
        <v>#VALUE!</v>
      </c>
      <c r="G315" s="4" t="e">
        <f ca="1">SplineInterp(A315,INDIRECT("'" &amp;Master!$F$10&amp; "'!$A$2:$A$50"),INDIRECT("'" &amp;Master!$F$10&amp; "'!$G$2:$G$50"))</f>
        <v>#VALUE!</v>
      </c>
      <c r="H315" s="4" t="e">
        <f ca="1">SplineInterp(A315,INDIRECT("'" &amp;Master!$F$10&amp; "'!$A$2:$A$50"),INDIRECT("'" &amp;Master!$F$10&amp; "'!$H$2:$H$50"))</f>
        <v>#VALUE!</v>
      </c>
      <c r="I315" s="4" t="e">
        <f ca="1">IF(OR(INDIRECT("'" &amp; Master!$F$8 &amp; Master!$F$6 &amp; "'!B" &amp; ROW(B315))="", INDIRECT("'" &amp; Master!$F$8 &amp; Master!$F$6 &amp; "'!B" &amp; ROW(B315))=0), "", INDIRECT("'" &amp; Master!$F$8 &amp; Master!$F$6 &amp; "'!B" &amp; ROW(B315)))</f>
        <v>#VALUE!</v>
      </c>
      <c r="J315" s="9" t="e">
        <f t="shared" ca="1" si="28"/>
        <v>#VALUE!</v>
      </c>
      <c r="K315" s="7" t="e">
        <f t="shared" ca="1" si="29"/>
        <v>#VALUE!</v>
      </c>
      <c r="L315" s="7" t="e">
        <f t="shared" ca="1" si="30"/>
        <v>#VALUE!</v>
      </c>
      <c r="M315" s="7" t="e">
        <f t="shared" ca="1" si="31"/>
        <v>#VALUE!</v>
      </c>
      <c r="N315" s="7" t="e">
        <f t="shared" ca="1" si="32"/>
        <v>#VALUE!</v>
      </c>
      <c r="O315" s="7" t="e">
        <f t="shared" ca="1" si="33"/>
        <v>#VALUE!</v>
      </c>
      <c r="P315" s="7" t="e">
        <f t="shared" ca="1" si="34"/>
        <v>#VALUE!</v>
      </c>
    </row>
    <row r="316" spans="1:16" x14ac:dyDescent="0.25">
      <c r="A316" s="19" t="str">
        <f ca="1">IF(OR(INDIRECT("'" &amp; Master!$F$8 &amp; Master!$F$6 &amp; "'!A" &amp; ROW(A316))="", INDIRECT("'" &amp; Master!$F$8 &amp; Master!$F$6 &amp; "'!A" &amp; ROW(A316))=0), "", INDIRECT("'" &amp; Master!$F$8 &amp; Master!$F$6 &amp; "'!A" &amp; ROW(A316)))</f>
        <v/>
      </c>
      <c r="B316" s="4" t="e">
        <f ca="1">SplineInterp(INDIRECT("A" &amp; ROW()),INDIRECT("'" &amp;Master!$F$10&amp; "'!$A$2:$A$50"),INDIRECT("'" &amp;Master!$F$10&amp; "'!$B$2:$B$50"))</f>
        <v>#VALUE!</v>
      </c>
      <c r="C316" s="4" t="e">
        <f ca="1">SplineInterp(A316,INDIRECT("'" &amp;Master!$F$10&amp; "'!$A$2:$A$50"),INDIRECT("'" &amp;Master!$F$10&amp; "'!$C$2:$C$50"))</f>
        <v>#VALUE!</v>
      </c>
      <c r="D316" s="4" t="e">
        <f ca="1">SplineInterp(A316,INDIRECT("'" &amp;Master!$F$10&amp; "'!$A$2:$A$50"),INDIRECT("'" &amp;Master!$F$10&amp; "'!$D$2:$D$50"))</f>
        <v>#VALUE!</v>
      </c>
      <c r="E316" s="4" t="e">
        <f ca="1">SplineInterp(A316,INDIRECT("'" &amp;Master!$F$10&amp; "'!$A$2:$A$50"),INDIRECT("'" &amp;Master!$F$10&amp; "'!$E$2:$E$50"))</f>
        <v>#VALUE!</v>
      </c>
      <c r="F316" s="4" t="e">
        <f ca="1">SplineInterp(A316,INDIRECT("'" &amp;Master!$F$10&amp; "'!$A$2:$A$50"),INDIRECT("'" &amp;Master!$F$10&amp; "'!$F$2:$F$50"))</f>
        <v>#VALUE!</v>
      </c>
      <c r="G316" s="4" t="e">
        <f ca="1">SplineInterp(A316,INDIRECT("'" &amp;Master!$F$10&amp; "'!$A$2:$A$50"),INDIRECT("'" &amp;Master!$F$10&amp; "'!$G$2:$G$50"))</f>
        <v>#VALUE!</v>
      </c>
      <c r="H316" s="4" t="e">
        <f ca="1">SplineInterp(A316,INDIRECT("'" &amp;Master!$F$10&amp; "'!$A$2:$A$50"),INDIRECT("'" &amp;Master!$F$10&amp; "'!$H$2:$H$50"))</f>
        <v>#VALUE!</v>
      </c>
      <c r="I316" s="4" t="e">
        <f ca="1">IF(OR(INDIRECT("'" &amp; Master!$F$8 &amp; Master!$F$6 &amp; "'!B" &amp; ROW(B316))="", INDIRECT("'" &amp; Master!$F$8 &amp; Master!$F$6 &amp; "'!B" &amp; ROW(B316))=0), "", INDIRECT("'" &amp; Master!$F$8 &amp; Master!$F$6 &amp; "'!B" &amp; ROW(B316)))</f>
        <v>#VALUE!</v>
      </c>
      <c r="J316" s="9" t="e">
        <f t="shared" ca="1" si="28"/>
        <v>#VALUE!</v>
      </c>
      <c r="K316" s="7" t="e">
        <f t="shared" ca="1" si="29"/>
        <v>#VALUE!</v>
      </c>
      <c r="L316" s="7" t="e">
        <f t="shared" ca="1" si="30"/>
        <v>#VALUE!</v>
      </c>
      <c r="M316" s="7" t="e">
        <f t="shared" ca="1" si="31"/>
        <v>#VALUE!</v>
      </c>
      <c r="N316" s="7" t="e">
        <f t="shared" ca="1" si="32"/>
        <v>#VALUE!</v>
      </c>
      <c r="O316" s="7" t="e">
        <f t="shared" ca="1" si="33"/>
        <v>#VALUE!</v>
      </c>
      <c r="P316" s="7" t="e">
        <f t="shared" ca="1" si="34"/>
        <v>#VALUE!</v>
      </c>
    </row>
    <row r="317" spans="1:16" x14ac:dyDescent="0.25">
      <c r="A317" s="19" t="str">
        <f ca="1">IF(OR(INDIRECT("'" &amp; Master!$F$8 &amp; Master!$F$6 &amp; "'!A" &amp; ROW(A317))="", INDIRECT("'" &amp; Master!$F$8 &amp; Master!$F$6 &amp; "'!A" &amp; ROW(A317))=0), "", INDIRECT("'" &amp; Master!$F$8 &amp; Master!$F$6 &amp; "'!A" &amp; ROW(A317)))</f>
        <v/>
      </c>
      <c r="B317" s="4" t="e">
        <f ca="1">SplineInterp(INDIRECT("A" &amp; ROW()),INDIRECT("'" &amp;Master!$F$10&amp; "'!$A$2:$A$50"),INDIRECT("'" &amp;Master!$F$10&amp; "'!$B$2:$B$50"))</f>
        <v>#VALUE!</v>
      </c>
      <c r="C317" s="4" t="e">
        <f ca="1">SplineInterp(A317,INDIRECT("'" &amp;Master!$F$10&amp; "'!$A$2:$A$50"),INDIRECT("'" &amp;Master!$F$10&amp; "'!$C$2:$C$50"))</f>
        <v>#VALUE!</v>
      </c>
      <c r="D317" s="4" t="e">
        <f ca="1">SplineInterp(A317,INDIRECT("'" &amp;Master!$F$10&amp; "'!$A$2:$A$50"),INDIRECT("'" &amp;Master!$F$10&amp; "'!$D$2:$D$50"))</f>
        <v>#VALUE!</v>
      </c>
      <c r="E317" s="4" t="e">
        <f ca="1">SplineInterp(A317,INDIRECT("'" &amp;Master!$F$10&amp; "'!$A$2:$A$50"),INDIRECT("'" &amp;Master!$F$10&amp; "'!$E$2:$E$50"))</f>
        <v>#VALUE!</v>
      </c>
      <c r="F317" s="4" t="e">
        <f ca="1">SplineInterp(A317,INDIRECT("'" &amp;Master!$F$10&amp; "'!$A$2:$A$50"),INDIRECT("'" &amp;Master!$F$10&amp; "'!$F$2:$F$50"))</f>
        <v>#VALUE!</v>
      </c>
      <c r="G317" s="4" t="e">
        <f ca="1">SplineInterp(A317,INDIRECT("'" &amp;Master!$F$10&amp; "'!$A$2:$A$50"),INDIRECT("'" &amp;Master!$F$10&amp; "'!$G$2:$G$50"))</f>
        <v>#VALUE!</v>
      </c>
      <c r="H317" s="4" t="e">
        <f ca="1">SplineInterp(A317,INDIRECT("'" &amp;Master!$F$10&amp; "'!$A$2:$A$50"),INDIRECT("'" &amp;Master!$F$10&amp; "'!$H$2:$H$50"))</f>
        <v>#VALUE!</v>
      </c>
      <c r="I317" s="4" t="e">
        <f ca="1">IF(OR(INDIRECT("'" &amp; Master!$F$8 &amp; Master!$F$6 &amp; "'!B" &amp; ROW(B317))="", INDIRECT("'" &amp; Master!$F$8 &amp; Master!$F$6 &amp; "'!B" &amp; ROW(B317))=0), "", INDIRECT("'" &amp; Master!$F$8 &amp; Master!$F$6 &amp; "'!B" &amp; ROW(B317)))</f>
        <v>#VALUE!</v>
      </c>
      <c r="J317" s="9" t="e">
        <f t="shared" ca="1" si="28"/>
        <v>#VALUE!</v>
      </c>
      <c r="K317" s="7" t="e">
        <f t="shared" ca="1" si="29"/>
        <v>#VALUE!</v>
      </c>
      <c r="L317" s="7" t="e">
        <f t="shared" ca="1" si="30"/>
        <v>#VALUE!</v>
      </c>
      <c r="M317" s="7" t="e">
        <f t="shared" ca="1" si="31"/>
        <v>#VALUE!</v>
      </c>
      <c r="N317" s="7" t="e">
        <f t="shared" ca="1" si="32"/>
        <v>#VALUE!</v>
      </c>
      <c r="O317" s="7" t="e">
        <f t="shared" ca="1" si="33"/>
        <v>#VALUE!</v>
      </c>
      <c r="P317" s="7" t="e">
        <f t="shared" ca="1" si="34"/>
        <v>#VALUE!</v>
      </c>
    </row>
    <row r="318" spans="1:16" x14ac:dyDescent="0.25">
      <c r="A318" s="19" t="str">
        <f ca="1">IF(OR(INDIRECT("'" &amp; Master!$F$8 &amp; Master!$F$6 &amp; "'!A" &amp; ROW(A318))="", INDIRECT("'" &amp; Master!$F$8 &amp; Master!$F$6 &amp; "'!A" &amp; ROW(A318))=0), "", INDIRECT("'" &amp; Master!$F$8 &amp; Master!$F$6 &amp; "'!A" &amp; ROW(A318)))</f>
        <v/>
      </c>
      <c r="B318" s="4" t="e">
        <f ca="1">SplineInterp(INDIRECT("A" &amp; ROW()),INDIRECT("'" &amp;Master!$F$10&amp; "'!$A$2:$A$50"),INDIRECT("'" &amp;Master!$F$10&amp; "'!$B$2:$B$50"))</f>
        <v>#VALUE!</v>
      </c>
      <c r="C318" s="4" t="e">
        <f ca="1">SplineInterp(A318,INDIRECT("'" &amp;Master!$F$10&amp; "'!$A$2:$A$50"),INDIRECT("'" &amp;Master!$F$10&amp; "'!$C$2:$C$50"))</f>
        <v>#VALUE!</v>
      </c>
      <c r="D318" s="4" t="e">
        <f ca="1">SplineInterp(A318,INDIRECT("'" &amp;Master!$F$10&amp; "'!$A$2:$A$50"),INDIRECT("'" &amp;Master!$F$10&amp; "'!$D$2:$D$50"))</f>
        <v>#VALUE!</v>
      </c>
      <c r="E318" s="4" t="e">
        <f ca="1">SplineInterp(A318,INDIRECT("'" &amp;Master!$F$10&amp; "'!$A$2:$A$50"),INDIRECT("'" &amp;Master!$F$10&amp; "'!$E$2:$E$50"))</f>
        <v>#VALUE!</v>
      </c>
      <c r="F318" s="4" t="e">
        <f ca="1">SplineInterp(A318,INDIRECT("'" &amp;Master!$F$10&amp; "'!$A$2:$A$50"),INDIRECT("'" &amp;Master!$F$10&amp; "'!$F$2:$F$50"))</f>
        <v>#VALUE!</v>
      </c>
      <c r="G318" s="4" t="e">
        <f ca="1">SplineInterp(A318,INDIRECT("'" &amp;Master!$F$10&amp; "'!$A$2:$A$50"),INDIRECT("'" &amp;Master!$F$10&amp; "'!$G$2:$G$50"))</f>
        <v>#VALUE!</v>
      </c>
      <c r="H318" s="4" t="e">
        <f ca="1">SplineInterp(A318,INDIRECT("'" &amp;Master!$F$10&amp; "'!$A$2:$A$50"),INDIRECT("'" &amp;Master!$F$10&amp; "'!$H$2:$H$50"))</f>
        <v>#VALUE!</v>
      </c>
      <c r="I318" s="4" t="e">
        <f ca="1">IF(OR(INDIRECT("'" &amp; Master!$F$8 &amp; Master!$F$6 &amp; "'!B" &amp; ROW(B318))="", INDIRECT("'" &amp; Master!$F$8 &amp; Master!$F$6 &amp; "'!B" &amp; ROW(B318))=0), "", INDIRECT("'" &amp; Master!$F$8 &amp; Master!$F$6 &amp; "'!B" &amp; ROW(B318)))</f>
        <v>#VALUE!</v>
      </c>
      <c r="J318" s="9" t="e">
        <f t="shared" ca="1" si="28"/>
        <v>#VALUE!</v>
      </c>
      <c r="K318" s="7" t="e">
        <f t="shared" ca="1" si="29"/>
        <v>#VALUE!</v>
      </c>
      <c r="L318" s="7" t="e">
        <f t="shared" ca="1" si="30"/>
        <v>#VALUE!</v>
      </c>
      <c r="M318" s="7" t="e">
        <f t="shared" ca="1" si="31"/>
        <v>#VALUE!</v>
      </c>
      <c r="N318" s="7" t="e">
        <f t="shared" ca="1" si="32"/>
        <v>#VALUE!</v>
      </c>
      <c r="O318" s="7" t="e">
        <f t="shared" ca="1" si="33"/>
        <v>#VALUE!</v>
      </c>
      <c r="P318" s="7" t="e">
        <f t="shared" ca="1" si="34"/>
        <v>#VALUE!</v>
      </c>
    </row>
    <row r="319" spans="1:16" x14ac:dyDescent="0.25">
      <c r="A319" s="19" t="str">
        <f ca="1">IF(OR(INDIRECT("'" &amp; Master!$F$8 &amp; Master!$F$6 &amp; "'!A" &amp; ROW(A319))="", INDIRECT("'" &amp; Master!$F$8 &amp; Master!$F$6 &amp; "'!A" &amp; ROW(A319))=0), "", INDIRECT("'" &amp; Master!$F$8 &amp; Master!$F$6 &amp; "'!A" &amp; ROW(A319)))</f>
        <v/>
      </c>
      <c r="B319" s="4" t="e">
        <f ca="1">SplineInterp(INDIRECT("A" &amp; ROW()),INDIRECT("'" &amp;Master!$F$10&amp; "'!$A$2:$A$50"),INDIRECT("'" &amp;Master!$F$10&amp; "'!$B$2:$B$50"))</f>
        <v>#VALUE!</v>
      </c>
      <c r="C319" s="4" t="e">
        <f ca="1">SplineInterp(A319,INDIRECT("'" &amp;Master!$F$10&amp; "'!$A$2:$A$50"),INDIRECT("'" &amp;Master!$F$10&amp; "'!$C$2:$C$50"))</f>
        <v>#VALUE!</v>
      </c>
      <c r="D319" s="4" t="e">
        <f ca="1">SplineInterp(A319,INDIRECT("'" &amp;Master!$F$10&amp; "'!$A$2:$A$50"),INDIRECT("'" &amp;Master!$F$10&amp; "'!$D$2:$D$50"))</f>
        <v>#VALUE!</v>
      </c>
      <c r="E319" s="4" t="e">
        <f ca="1">SplineInterp(A319,INDIRECT("'" &amp;Master!$F$10&amp; "'!$A$2:$A$50"),INDIRECT("'" &amp;Master!$F$10&amp; "'!$E$2:$E$50"))</f>
        <v>#VALUE!</v>
      </c>
      <c r="F319" s="4" t="e">
        <f ca="1">SplineInterp(A319,INDIRECT("'" &amp;Master!$F$10&amp; "'!$A$2:$A$50"),INDIRECT("'" &amp;Master!$F$10&amp; "'!$F$2:$F$50"))</f>
        <v>#VALUE!</v>
      </c>
      <c r="G319" s="4" t="e">
        <f ca="1">SplineInterp(A319,INDIRECT("'" &amp;Master!$F$10&amp; "'!$A$2:$A$50"),INDIRECT("'" &amp;Master!$F$10&amp; "'!$G$2:$G$50"))</f>
        <v>#VALUE!</v>
      </c>
      <c r="H319" s="4" t="e">
        <f ca="1">SplineInterp(A319,INDIRECT("'" &amp;Master!$F$10&amp; "'!$A$2:$A$50"),INDIRECT("'" &amp;Master!$F$10&amp; "'!$H$2:$H$50"))</f>
        <v>#VALUE!</v>
      </c>
      <c r="I319" s="4" t="e">
        <f ca="1">IF(OR(INDIRECT("'" &amp; Master!$F$8 &amp; Master!$F$6 &amp; "'!B" &amp; ROW(B319))="", INDIRECT("'" &amp; Master!$F$8 &amp; Master!$F$6 &amp; "'!B" &amp; ROW(B319))=0), "", INDIRECT("'" &amp; Master!$F$8 &amp; Master!$F$6 &amp; "'!B" &amp; ROW(B319)))</f>
        <v>#VALUE!</v>
      </c>
      <c r="J319" s="9" t="e">
        <f t="shared" ca="1" si="28"/>
        <v>#VALUE!</v>
      </c>
      <c r="K319" s="7" t="e">
        <f t="shared" ca="1" si="29"/>
        <v>#VALUE!</v>
      </c>
      <c r="L319" s="7" t="e">
        <f t="shared" ca="1" si="30"/>
        <v>#VALUE!</v>
      </c>
      <c r="M319" s="7" t="e">
        <f t="shared" ca="1" si="31"/>
        <v>#VALUE!</v>
      </c>
      <c r="N319" s="7" t="e">
        <f t="shared" ca="1" si="32"/>
        <v>#VALUE!</v>
      </c>
      <c r="O319" s="7" t="e">
        <f t="shared" ca="1" si="33"/>
        <v>#VALUE!</v>
      </c>
      <c r="P319" s="7" t="e">
        <f t="shared" ca="1" si="34"/>
        <v>#VALUE!</v>
      </c>
    </row>
    <row r="320" spans="1:16" x14ac:dyDescent="0.25">
      <c r="A320" s="19" t="str">
        <f ca="1">IF(OR(INDIRECT("'" &amp; Master!$F$8 &amp; Master!$F$6 &amp; "'!A" &amp; ROW(A320))="", INDIRECT("'" &amp; Master!$F$8 &amp; Master!$F$6 &amp; "'!A" &amp; ROW(A320))=0), "", INDIRECT("'" &amp; Master!$F$8 &amp; Master!$F$6 &amp; "'!A" &amp; ROW(A320)))</f>
        <v/>
      </c>
      <c r="B320" s="4" t="e">
        <f ca="1">SplineInterp(INDIRECT("A" &amp; ROW()),INDIRECT("'" &amp;Master!$F$10&amp; "'!$A$2:$A$50"),INDIRECT("'" &amp;Master!$F$10&amp; "'!$B$2:$B$50"))</f>
        <v>#VALUE!</v>
      </c>
      <c r="C320" s="4" t="e">
        <f ca="1">SplineInterp(A320,INDIRECT("'" &amp;Master!$F$10&amp; "'!$A$2:$A$50"),INDIRECT("'" &amp;Master!$F$10&amp; "'!$C$2:$C$50"))</f>
        <v>#VALUE!</v>
      </c>
      <c r="D320" s="4" t="e">
        <f ca="1">SplineInterp(A320,INDIRECT("'" &amp;Master!$F$10&amp; "'!$A$2:$A$50"),INDIRECT("'" &amp;Master!$F$10&amp; "'!$D$2:$D$50"))</f>
        <v>#VALUE!</v>
      </c>
      <c r="E320" s="4" t="e">
        <f ca="1">SplineInterp(A320,INDIRECT("'" &amp;Master!$F$10&amp; "'!$A$2:$A$50"),INDIRECT("'" &amp;Master!$F$10&amp; "'!$E$2:$E$50"))</f>
        <v>#VALUE!</v>
      </c>
      <c r="F320" s="4" t="e">
        <f ca="1">SplineInterp(A320,INDIRECT("'" &amp;Master!$F$10&amp; "'!$A$2:$A$50"),INDIRECT("'" &amp;Master!$F$10&amp; "'!$F$2:$F$50"))</f>
        <v>#VALUE!</v>
      </c>
      <c r="G320" s="4" t="e">
        <f ca="1">SplineInterp(A320,INDIRECT("'" &amp;Master!$F$10&amp; "'!$A$2:$A$50"),INDIRECT("'" &amp;Master!$F$10&amp; "'!$G$2:$G$50"))</f>
        <v>#VALUE!</v>
      </c>
      <c r="H320" s="4" t="e">
        <f ca="1">SplineInterp(A320,INDIRECT("'" &amp;Master!$F$10&amp; "'!$A$2:$A$50"),INDIRECT("'" &amp;Master!$F$10&amp; "'!$H$2:$H$50"))</f>
        <v>#VALUE!</v>
      </c>
      <c r="I320" s="4" t="e">
        <f ca="1">IF(OR(INDIRECT("'" &amp; Master!$F$8 &amp; Master!$F$6 &amp; "'!B" &amp; ROW(B320))="", INDIRECT("'" &amp; Master!$F$8 &amp; Master!$F$6 &amp; "'!B" &amp; ROW(B320))=0), "", INDIRECT("'" &amp; Master!$F$8 &amp; Master!$F$6 &amp; "'!B" &amp; ROW(B320)))</f>
        <v>#VALUE!</v>
      </c>
      <c r="J320" s="9" t="e">
        <f t="shared" ca="1" si="28"/>
        <v>#VALUE!</v>
      </c>
      <c r="K320" s="7" t="e">
        <f t="shared" ca="1" si="29"/>
        <v>#VALUE!</v>
      </c>
      <c r="L320" s="7" t="e">
        <f t="shared" ca="1" si="30"/>
        <v>#VALUE!</v>
      </c>
      <c r="M320" s="7" t="e">
        <f t="shared" ca="1" si="31"/>
        <v>#VALUE!</v>
      </c>
      <c r="N320" s="7" t="e">
        <f t="shared" ca="1" si="32"/>
        <v>#VALUE!</v>
      </c>
      <c r="O320" s="7" t="e">
        <f t="shared" ca="1" si="33"/>
        <v>#VALUE!</v>
      </c>
      <c r="P320" s="7" t="e">
        <f t="shared" ca="1" si="34"/>
        <v>#VALUE!</v>
      </c>
    </row>
    <row r="321" spans="1:16" x14ac:dyDescent="0.25">
      <c r="A321" s="19" t="str">
        <f ca="1">IF(OR(INDIRECT("'" &amp; Master!$F$8 &amp; Master!$F$6 &amp; "'!A" &amp; ROW(A321))="", INDIRECT("'" &amp; Master!$F$8 &amp; Master!$F$6 &amp; "'!A" &amp; ROW(A321))=0), "", INDIRECT("'" &amp; Master!$F$8 &amp; Master!$F$6 &amp; "'!A" &amp; ROW(A321)))</f>
        <v/>
      </c>
      <c r="B321" s="4" t="e">
        <f ca="1">SplineInterp(INDIRECT("A" &amp; ROW()),INDIRECT("'" &amp;Master!$F$10&amp; "'!$A$2:$A$50"),INDIRECT("'" &amp;Master!$F$10&amp; "'!$B$2:$B$50"))</f>
        <v>#VALUE!</v>
      </c>
      <c r="C321" s="4" t="e">
        <f ca="1">SplineInterp(A321,INDIRECT("'" &amp;Master!$F$10&amp; "'!$A$2:$A$50"),INDIRECT("'" &amp;Master!$F$10&amp; "'!$C$2:$C$50"))</f>
        <v>#VALUE!</v>
      </c>
      <c r="D321" s="4" t="e">
        <f ca="1">SplineInterp(A321,INDIRECT("'" &amp;Master!$F$10&amp; "'!$A$2:$A$50"),INDIRECT("'" &amp;Master!$F$10&amp; "'!$D$2:$D$50"))</f>
        <v>#VALUE!</v>
      </c>
      <c r="E321" s="4" t="e">
        <f ca="1">SplineInterp(A321,INDIRECT("'" &amp;Master!$F$10&amp; "'!$A$2:$A$50"),INDIRECT("'" &amp;Master!$F$10&amp; "'!$E$2:$E$50"))</f>
        <v>#VALUE!</v>
      </c>
      <c r="F321" s="4" t="e">
        <f ca="1">SplineInterp(A321,INDIRECT("'" &amp;Master!$F$10&amp; "'!$A$2:$A$50"),INDIRECT("'" &amp;Master!$F$10&amp; "'!$F$2:$F$50"))</f>
        <v>#VALUE!</v>
      </c>
      <c r="G321" s="4" t="e">
        <f ca="1">SplineInterp(A321,INDIRECT("'" &amp;Master!$F$10&amp; "'!$A$2:$A$50"),INDIRECT("'" &amp;Master!$F$10&amp; "'!$G$2:$G$50"))</f>
        <v>#VALUE!</v>
      </c>
      <c r="H321" s="4" t="e">
        <f ca="1">SplineInterp(A321,INDIRECT("'" &amp;Master!$F$10&amp; "'!$A$2:$A$50"),INDIRECT("'" &amp;Master!$F$10&amp; "'!$H$2:$H$50"))</f>
        <v>#VALUE!</v>
      </c>
      <c r="I321" s="4" t="e">
        <f ca="1">IF(OR(INDIRECT("'" &amp; Master!$F$8 &amp; Master!$F$6 &amp; "'!B" &amp; ROW(B321))="", INDIRECT("'" &amp; Master!$F$8 &amp; Master!$F$6 &amp; "'!B" &amp; ROW(B321))=0), "", INDIRECT("'" &amp; Master!$F$8 &amp; Master!$F$6 &amp; "'!B" &amp; ROW(B321)))</f>
        <v>#VALUE!</v>
      </c>
      <c r="J321" s="9" t="e">
        <f t="shared" ca="1" si="28"/>
        <v>#VALUE!</v>
      </c>
      <c r="K321" s="7" t="e">
        <f t="shared" ca="1" si="29"/>
        <v>#VALUE!</v>
      </c>
      <c r="L321" s="7" t="e">
        <f t="shared" ca="1" si="30"/>
        <v>#VALUE!</v>
      </c>
      <c r="M321" s="7" t="e">
        <f t="shared" ca="1" si="31"/>
        <v>#VALUE!</v>
      </c>
      <c r="N321" s="7" t="e">
        <f t="shared" ca="1" si="32"/>
        <v>#VALUE!</v>
      </c>
      <c r="O321" s="7" t="e">
        <f t="shared" ca="1" si="33"/>
        <v>#VALUE!</v>
      </c>
      <c r="P321" s="7" t="e">
        <f t="shared" ca="1" si="34"/>
        <v>#VALUE!</v>
      </c>
    </row>
    <row r="322" spans="1:16" x14ac:dyDescent="0.25">
      <c r="A322" s="19" t="str">
        <f ca="1">IF(OR(INDIRECT("'" &amp; Master!$F$8 &amp; Master!$F$6 &amp; "'!A" &amp; ROW(A322))="", INDIRECT("'" &amp; Master!$F$8 &amp; Master!$F$6 &amp; "'!A" &amp; ROW(A322))=0), "", INDIRECT("'" &amp; Master!$F$8 &amp; Master!$F$6 &amp; "'!A" &amp; ROW(A322)))</f>
        <v/>
      </c>
      <c r="B322" s="4" t="e">
        <f ca="1">SplineInterp(INDIRECT("A" &amp; ROW()),INDIRECT("'" &amp;Master!$F$10&amp; "'!$A$2:$A$50"),INDIRECT("'" &amp;Master!$F$10&amp; "'!$B$2:$B$50"))</f>
        <v>#VALUE!</v>
      </c>
      <c r="C322" s="4" t="e">
        <f ca="1">SplineInterp(A322,INDIRECT("'" &amp;Master!$F$10&amp; "'!$A$2:$A$50"),INDIRECT("'" &amp;Master!$F$10&amp; "'!$C$2:$C$50"))</f>
        <v>#VALUE!</v>
      </c>
      <c r="D322" s="4" t="e">
        <f ca="1">SplineInterp(A322,INDIRECT("'" &amp;Master!$F$10&amp; "'!$A$2:$A$50"),INDIRECT("'" &amp;Master!$F$10&amp; "'!$D$2:$D$50"))</f>
        <v>#VALUE!</v>
      </c>
      <c r="E322" s="4" t="e">
        <f ca="1">SplineInterp(A322,INDIRECT("'" &amp;Master!$F$10&amp; "'!$A$2:$A$50"),INDIRECT("'" &amp;Master!$F$10&amp; "'!$E$2:$E$50"))</f>
        <v>#VALUE!</v>
      </c>
      <c r="F322" s="4" t="e">
        <f ca="1">SplineInterp(A322,INDIRECT("'" &amp;Master!$F$10&amp; "'!$A$2:$A$50"),INDIRECT("'" &amp;Master!$F$10&amp; "'!$F$2:$F$50"))</f>
        <v>#VALUE!</v>
      </c>
      <c r="G322" s="4" t="e">
        <f ca="1">SplineInterp(A322,INDIRECT("'" &amp;Master!$F$10&amp; "'!$A$2:$A$50"),INDIRECT("'" &amp;Master!$F$10&amp; "'!$G$2:$G$50"))</f>
        <v>#VALUE!</v>
      </c>
      <c r="H322" s="4" t="e">
        <f ca="1">SplineInterp(A322,INDIRECT("'" &amp;Master!$F$10&amp; "'!$A$2:$A$50"),INDIRECT("'" &amp;Master!$F$10&amp; "'!$H$2:$H$50"))</f>
        <v>#VALUE!</v>
      </c>
      <c r="I322" s="4" t="e">
        <f ca="1">IF(OR(INDIRECT("'" &amp; Master!$F$8 &amp; Master!$F$6 &amp; "'!B" &amp; ROW(B322))="", INDIRECT("'" &amp; Master!$F$8 &amp; Master!$F$6 &amp; "'!B" &amp; ROW(B322))=0), "", INDIRECT("'" &amp; Master!$F$8 &amp; Master!$F$6 &amp; "'!B" &amp; ROW(B322)))</f>
        <v>#VALUE!</v>
      </c>
      <c r="J322" s="9" t="e">
        <f t="shared" ca="1" si="28"/>
        <v>#VALUE!</v>
      </c>
      <c r="K322" s="7" t="e">
        <f t="shared" ca="1" si="29"/>
        <v>#VALUE!</v>
      </c>
      <c r="L322" s="7" t="e">
        <f t="shared" ca="1" si="30"/>
        <v>#VALUE!</v>
      </c>
      <c r="M322" s="7" t="e">
        <f t="shared" ca="1" si="31"/>
        <v>#VALUE!</v>
      </c>
      <c r="N322" s="7" t="e">
        <f t="shared" ca="1" si="32"/>
        <v>#VALUE!</v>
      </c>
      <c r="O322" s="7" t="e">
        <f t="shared" ca="1" si="33"/>
        <v>#VALUE!</v>
      </c>
      <c r="P322" s="7" t="e">
        <f t="shared" ca="1" si="34"/>
        <v>#VALUE!</v>
      </c>
    </row>
    <row r="323" spans="1:16" x14ac:dyDescent="0.25">
      <c r="A323" s="19" t="str">
        <f ca="1">IF(OR(INDIRECT("'" &amp; Master!$F$8 &amp; Master!$F$6 &amp; "'!A" &amp; ROW(A323))="", INDIRECT("'" &amp; Master!$F$8 &amp; Master!$F$6 &amp; "'!A" &amp; ROW(A323))=0), "", INDIRECT("'" &amp; Master!$F$8 &amp; Master!$F$6 &amp; "'!A" &amp; ROW(A323)))</f>
        <v/>
      </c>
      <c r="B323" s="4" t="e">
        <f ca="1">SplineInterp(INDIRECT("A" &amp; ROW()),INDIRECT("'" &amp;Master!$F$10&amp; "'!$A$2:$A$50"),INDIRECT("'" &amp;Master!$F$10&amp; "'!$B$2:$B$50"))</f>
        <v>#VALUE!</v>
      </c>
      <c r="C323" s="4" t="e">
        <f ca="1">SplineInterp(A323,INDIRECT("'" &amp;Master!$F$10&amp; "'!$A$2:$A$50"),INDIRECT("'" &amp;Master!$F$10&amp; "'!$C$2:$C$50"))</f>
        <v>#VALUE!</v>
      </c>
      <c r="D323" s="4" t="e">
        <f ca="1">SplineInterp(A323,INDIRECT("'" &amp;Master!$F$10&amp; "'!$A$2:$A$50"),INDIRECT("'" &amp;Master!$F$10&amp; "'!$D$2:$D$50"))</f>
        <v>#VALUE!</v>
      </c>
      <c r="E323" s="4" t="e">
        <f ca="1">SplineInterp(A323,INDIRECT("'" &amp;Master!$F$10&amp; "'!$A$2:$A$50"),INDIRECT("'" &amp;Master!$F$10&amp; "'!$E$2:$E$50"))</f>
        <v>#VALUE!</v>
      </c>
      <c r="F323" s="4" t="e">
        <f ca="1">SplineInterp(A323,INDIRECT("'" &amp;Master!$F$10&amp; "'!$A$2:$A$50"),INDIRECT("'" &amp;Master!$F$10&amp; "'!$F$2:$F$50"))</f>
        <v>#VALUE!</v>
      </c>
      <c r="G323" s="4" t="e">
        <f ca="1">SplineInterp(A323,INDIRECT("'" &amp;Master!$F$10&amp; "'!$A$2:$A$50"),INDIRECT("'" &amp;Master!$F$10&amp; "'!$G$2:$G$50"))</f>
        <v>#VALUE!</v>
      </c>
      <c r="H323" s="4" t="e">
        <f ca="1">SplineInterp(A323,INDIRECT("'" &amp;Master!$F$10&amp; "'!$A$2:$A$50"),INDIRECT("'" &amp;Master!$F$10&amp; "'!$H$2:$H$50"))</f>
        <v>#VALUE!</v>
      </c>
      <c r="I323" s="4" t="e">
        <f ca="1">IF(OR(INDIRECT("'" &amp; Master!$F$8 &amp; Master!$F$6 &amp; "'!B" &amp; ROW(B323))="", INDIRECT("'" &amp; Master!$F$8 &amp; Master!$F$6 &amp; "'!B" &amp; ROW(B323))=0), "", INDIRECT("'" &amp; Master!$F$8 &amp; Master!$F$6 &amp; "'!B" &amp; ROW(B323)))</f>
        <v>#VALUE!</v>
      </c>
      <c r="J323" s="9" t="e">
        <f t="shared" ref="J323:J386" ca="1" si="35">B323*I323</f>
        <v>#VALUE!</v>
      </c>
      <c r="K323" s="7" t="e">
        <f t="shared" ref="K323:K386" ca="1" si="36">C323*I323</f>
        <v>#VALUE!</v>
      </c>
      <c r="L323" s="7" t="e">
        <f t="shared" ref="L323:L386" ca="1" si="37">D323*I323</f>
        <v>#VALUE!</v>
      </c>
      <c r="M323" s="7" t="e">
        <f t="shared" ref="M323:M386" ca="1" si="38">E323*I323</f>
        <v>#VALUE!</v>
      </c>
      <c r="N323" s="7" t="e">
        <f t="shared" ref="N323:N386" ca="1" si="39">F323*I323</f>
        <v>#VALUE!</v>
      </c>
      <c r="O323" s="7" t="e">
        <f t="shared" ref="O323:O386" ca="1" si="40">G323*I323</f>
        <v>#VALUE!</v>
      </c>
      <c r="P323" s="7" t="e">
        <f t="shared" ref="P323:P386" ca="1" si="41">H323*I323</f>
        <v>#VALUE!</v>
      </c>
    </row>
    <row r="324" spans="1:16" x14ac:dyDescent="0.25">
      <c r="A324" s="19" t="str">
        <f ca="1">IF(OR(INDIRECT("'" &amp; Master!$F$8 &amp; Master!$F$6 &amp; "'!A" &amp; ROW(A324))="", INDIRECT("'" &amp; Master!$F$8 &amp; Master!$F$6 &amp; "'!A" &amp; ROW(A324))=0), "", INDIRECT("'" &amp; Master!$F$8 &amp; Master!$F$6 &amp; "'!A" &amp; ROW(A324)))</f>
        <v/>
      </c>
      <c r="B324" s="4" t="e">
        <f ca="1">SplineInterp(INDIRECT("A" &amp; ROW()),INDIRECT("'" &amp;Master!$F$10&amp; "'!$A$2:$A$50"),INDIRECT("'" &amp;Master!$F$10&amp; "'!$B$2:$B$50"))</f>
        <v>#VALUE!</v>
      </c>
      <c r="C324" s="4" t="e">
        <f ca="1">SplineInterp(A324,INDIRECT("'" &amp;Master!$F$10&amp; "'!$A$2:$A$50"),INDIRECT("'" &amp;Master!$F$10&amp; "'!$C$2:$C$50"))</f>
        <v>#VALUE!</v>
      </c>
      <c r="D324" s="4" t="e">
        <f ca="1">SplineInterp(A324,INDIRECT("'" &amp;Master!$F$10&amp; "'!$A$2:$A$50"),INDIRECT("'" &amp;Master!$F$10&amp; "'!$D$2:$D$50"))</f>
        <v>#VALUE!</v>
      </c>
      <c r="E324" s="4" t="e">
        <f ca="1">SplineInterp(A324,INDIRECT("'" &amp;Master!$F$10&amp; "'!$A$2:$A$50"),INDIRECT("'" &amp;Master!$F$10&amp; "'!$E$2:$E$50"))</f>
        <v>#VALUE!</v>
      </c>
      <c r="F324" s="4" t="e">
        <f ca="1">SplineInterp(A324,INDIRECT("'" &amp;Master!$F$10&amp; "'!$A$2:$A$50"),INDIRECT("'" &amp;Master!$F$10&amp; "'!$F$2:$F$50"))</f>
        <v>#VALUE!</v>
      </c>
      <c r="G324" s="4" t="e">
        <f ca="1">SplineInterp(A324,INDIRECT("'" &amp;Master!$F$10&amp; "'!$A$2:$A$50"),INDIRECT("'" &amp;Master!$F$10&amp; "'!$G$2:$G$50"))</f>
        <v>#VALUE!</v>
      </c>
      <c r="H324" s="4" t="e">
        <f ca="1">SplineInterp(A324,INDIRECT("'" &amp;Master!$F$10&amp; "'!$A$2:$A$50"),INDIRECT("'" &amp;Master!$F$10&amp; "'!$H$2:$H$50"))</f>
        <v>#VALUE!</v>
      </c>
      <c r="I324" s="4" t="e">
        <f ca="1">IF(OR(INDIRECT("'" &amp; Master!$F$8 &amp; Master!$F$6 &amp; "'!B" &amp; ROW(B324))="", INDIRECT("'" &amp; Master!$F$8 &amp; Master!$F$6 &amp; "'!B" &amp; ROW(B324))=0), "", INDIRECT("'" &amp; Master!$F$8 &amp; Master!$F$6 &amp; "'!B" &amp; ROW(B324)))</f>
        <v>#VALUE!</v>
      </c>
      <c r="J324" s="9" t="e">
        <f t="shared" ca="1" si="35"/>
        <v>#VALUE!</v>
      </c>
      <c r="K324" s="7" t="e">
        <f t="shared" ca="1" si="36"/>
        <v>#VALUE!</v>
      </c>
      <c r="L324" s="7" t="e">
        <f t="shared" ca="1" si="37"/>
        <v>#VALUE!</v>
      </c>
      <c r="M324" s="7" t="e">
        <f t="shared" ca="1" si="38"/>
        <v>#VALUE!</v>
      </c>
      <c r="N324" s="7" t="e">
        <f t="shared" ca="1" si="39"/>
        <v>#VALUE!</v>
      </c>
      <c r="O324" s="7" t="e">
        <f t="shared" ca="1" si="40"/>
        <v>#VALUE!</v>
      </c>
      <c r="P324" s="7" t="e">
        <f t="shared" ca="1" si="41"/>
        <v>#VALUE!</v>
      </c>
    </row>
    <row r="325" spans="1:16" x14ac:dyDescent="0.25">
      <c r="A325" s="19" t="str">
        <f ca="1">IF(OR(INDIRECT("'" &amp; Master!$F$8 &amp; Master!$F$6 &amp; "'!A" &amp; ROW(A325))="", INDIRECT("'" &amp; Master!$F$8 &amp; Master!$F$6 &amp; "'!A" &amp; ROW(A325))=0), "", INDIRECT("'" &amp; Master!$F$8 &amp; Master!$F$6 &amp; "'!A" &amp; ROW(A325)))</f>
        <v/>
      </c>
      <c r="B325" s="4" t="e">
        <f ca="1">SplineInterp(INDIRECT("A" &amp; ROW()),INDIRECT("'" &amp;Master!$F$10&amp; "'!$A$2:$A$50"),INDIRECT("'" &amp;Master!$F$10&amp; "'!$B$2:$B$50"))</f>
        <v>#VALUE!</v>
      </c>
      <c r="C325" s="4" t="e">
        <f ca="1">SplineInterp(A325,INDIRECT("'" &amp;Master!$F$10&amp; "'!$A$2:$A$50"),INDIRECT("'" &amp;Master!$F$10&amp; "'!$C$2:$C$50"))</f>
        <v>#VALUE!</v>
      </c>
      <c r="D325" s="4" t="e">
        <f ca="1">SplineInterp(A325,INDIRECT("'" &amp;Master!$F$10&amp; "'!$A$2:$A$50"),INDIRECT("'" &amp;Master!$F$10&amp; "'!$D$2:$D$50"))</f>
        <v>#VALUE!</v>
      </c>
      <c r="E325" s="4" t="e">
        <f ca="1">SplineInterp(A325,INDIRECT("'" &amp;Master!$F$10&amp; "'!$A$2:$A$50"),INDIRECT("'" &amp;Master!$F$10&amp; "'!$E$2:$E$50"))</f>
        <v>#VALUE!</v>
      </c>
      <c r="F325" s="4" t="e">
        <f ca="1">SplineInterp(A325,INDIRECT("'" &amp;Master!$F$10&amp; "'!$A$2:$A$50"),INDIRECT("'" &amp;Master!$F$10&amp; "'!$F$2:$F$50"))</f>
        <v>#VALUE!</v>
      </c>
      <c r="G325" s="4" t="e">
        <f ca="1">SplineInterp(A325,INDIRECT("'" &amp;Master!$F$10&amp; "'!$A$2:$A$50"),INDIRECT("'" &amp;Master!$F$10&amp; "'!$G$2:$G$50"))</f>
        <v>#VALUE!</v>
      </c>
      <c r="H325" s="4" t="e">
        <f ca="1">SplineInterp(A325,INDIRECT("'" &amp;Master!$F$10&amp; "'!$A$2:$A$50"),INDIRECT("'" &amp;Master!$F$10&amp; "'!$H$2:$H$50"))</f>
        <v>#VALUE!</v>
      </c>
      <c r="I325" s="4" t="e">
        <f ca="1">IF(OR(INDIRECT("'" &amp; Master!$F$8 &amp; Master!$F$6 &amp; "'!B" &amp; ROW(B325))="", INDIRECT("'" &amp; Master!$F$8 &amp; Master!$F$6 &amp; "'!B" &amp; ROW(B325))=0), "", INDIRECT("'" &amp; Master!$F$8 &amp; Master!$F$6 &amp; "'!B" &amp; ROW(B325)))</f>
        <v>#VALUE!</v>
      </c>
      <c r="J325" s="9" t="e">
        <f t="shared" ca="1" si="35"/>
        <v>#VALUE!</v>
      </c>
      <c r="K325" s="7" t="e">
        <f t="shared" ca="1" si="36"/>
        <v>#VALUE!</v>
      </c>
      <c r="L325" s="7" t="e">
        <f t="shared" ca="1" si="37"/>
        <v>#VALUE!</v>
      </c>
      <c r="M325" s="7" t="e">
        <f t="shared" ca="1" si="38"/>
        <v>#VALUE!</v>
      </c>
      <c r="N325" s="7" t="e">
        <f t="shared" ca="1" si="39"/>
        <v>#VALUE!</v>
      </c>
      <c r="O325" s="7" t="e">
        <f t="shared" ca="1" si="40"/>
        <v>#VALUE!</v>
      </c>
      <c r="P325" s="7" t="e">
        <f t="shared" ca="1" si="41"/>
        <v>#VALUE!</v>
      </c>
    </row>
    <row r="326" spans="1:16" x14ac:dyDescent="0.25">
      <c r="A326" s="19" t="str">
        <f ca="1">IF(OR(INDIRECT("'" &amp; Master!$F$8 &amp; Master!$F$6 &amp; "'!A" &amp; ROW(A326))="", INDIRECT("'" &amp; Master!$F$8 &amp; Master!$F$6 &amp; "'!A" &amp; ROW(A326))=0), "", INDIRECT("'" &amp; Master!$F$8 &amp; Master!$F$6 &amp; "'!A" &amp; ROW(A326)))</f>
        <v/>
      </c>
      <c r="B326" s="4" t="e">
        <f ca="1">SplineInterp(INDIRECT("A" &amp; ROW()),INDIRECT("'" &amp;Master!$F$10&amp; "'!$A$2:$A$50"),INDIRECT("'" &amp;Master!$F$10&amp; "'!$B$2:$B$50"))</f>
        <v>#VALUE!</v>
      </c>
      <c r="C326" s="4" t="e">
        <f ca="1">SplineInterp(A326,INDIRECT("'" &amp;Master!$F$10&amp; "'!$A$2:$A$50"),INDIRECT("'" &amp;Master!$F$10&amp; "'!$C$2:$C$50"))</f>
        <v>#VALUE!</v>
      </c>
      <c r="D326" s="4" t="e">
        <f ca="1">SplineInterp(A326,INDIRECT("'" &amp;Master!$F$10&amp; "'!$A$2:$A$50"),INDIRECT("'" &amp;Master!$F$10&amp; "'!$D$2:$D$50"))</f>
        <v>#VALUE!</v>
      </c>
      <c r="E326" s="4" t="e">
        <f ca="1">SplineInterp(A326,INDIRECT("'" &amp;Master!$F$10&amp; "'!$A$2:$A$50"),INDIRECT("'" &amp;Master!$F$10&amp; "'!$E$2:$E$50"))</f>
        <v>#VALUE!</v>
      </c>
      <c r="F326" s="4" t="e">
        <f ca="1">SplineInterp(A326,INDIRECT("'" &amp;Master!$F$10&amp; "'!$A$2:$A$50"),INDIRECT("'" &amp;Master!$F$10&amp; "'!$F$2:$F$50"))</f>
        <v>#VALUE!</v>
      </c>
      <c r="G326" s="4" t="e">
        <f ca="1">SplineInterp(A326,INDIRECT("'" &amp;Master!$F$10&amp; "'!$A$2:$A$50"),INDIRECT("'" &amp;Master!$F$10&amp; "'!$G$2:$G$50"))</f>
        <v>#VALUE!</v>
      </c>
      <c r="H326" s="4" t="e">
        <f ca="1">SplineInterp(A326,INDIRECT("'" &amp;Master!$F$10&amp; "'!$A$2:$A$50"),INDIRECT("'" &amp;Master!$F$10&amp; "'!$H$2:$H$50"))</f>
        <v>#VALUE!</v>
      </c>
      <c r="I326" s="4" t="e">
        <f ca="1">IF(OR(INDIRECT("'" &amp; Master!$F$8 &amp; Master!$F$6 &amp; "'!B" &amp; ROW(B326))="", INDIRECT("'" &amp; Master!$F$8 &amp; Master!$F$6 &amp; "'!B" &amp; ROW(B326))=0), "", INDIRECT("'" &amp; Master!$F$8 &amp; Master!$F$6 &amp; "'!B" &amp; ROW(B326)))</f>
        <v>#VALUE!</v>
      </c>
      <c r="J326" s="9" t="e">
        <f t="shared" ca="1" si="35"/>
        <v>#VALUE!</v>
      </c>
      <c r="K326" s="7" t="e">
        <f t="shared" ca="1" si="36"/>
        <v>#VALUE!</v>
      </c>
      <c r="L326" s="7" t="e">
        <f t="shared" ca="1" si="37"/>
        <v>#VALUE!</v>
      </c>
      <c r="M326" s="7" t="e">
        <f t="shared" ca="1" si="38"/>
        <v>#VALUE!</v>
      </c>
      <c r="N326" s="7" t="e">
        <f t="shared" ca="1" si="39"/>
        <v>#VALUE!</v>
      </c>
      <c r="O326" s="7" t="e">
        <f t="shared" ca="1" si="40"/>
        <v>#VALUE!</v>
      </c>
      <c r="P326" s="7" t="e">
        <f t="shared" ca="1" si="41"/>
        <v>#VALUE!</v>
      </c>
    </row>
    <row r="327" spans="1:16" x14ac:dyDescent="0.25">
      <c r="A327" s="19" t="str">
        <f ca="1">IF(OR(INDIRECT("'" &amp; Master!$F$8 &amp; Master!$F$6 &amp; "'!A" &amp; ROW(A327))="", INDIRECT("'" &amp; Master!$F$8 &amp; Master!$F$6 &amp; "'!A" &amp; ROW(A327))=0), "", INDIRECT("'" &amp; Master!$F$8 &amp; Master!$F$6 &amp; "'!A" &amp; ROW(A327)))</f>
        <v/>
      </c>
      <c r="B327" s="4" t="e">
        <f ca="1">SplineInterp(INDIRECT("A" &amp; ROW()),INDIRECT("'" &amp;Master!$F$10&amp; "'!$A$2:$A$50"),INDIRECT("'" &amp;Master!$F$10&amp; "'!$B$2:$B$50"))</f>
        <v>#VALUE!</v>
      </c>
      <c r="C327" s="4" t="e">
        <f ca="1">SplineInterp(A327,INDIRECT("'" &amp;Master!$F$10&amp; "'!$A$2:$A$50"),INDIRECT("'" &amp;Master!$F$10&amp; "'!$C$2:$C$50"))</f>
        <v>#VALUE!</v>
      </c>
      <c r="D327" s="4" t="e">
        <f ca="1">SplineInterp(A327,INDIRECT("'" &amp;Master!$F$10&amp; "'!$A$2:$A$50"),INDIRECT("'" &amp;Master!$F$10&amp; "'!$D$2:$D$50"))</f>
        <v>#VALUE!</v>
      </c>
      <c r="E327" s="4" t="e">
        <f ca="1">SplineInterp(A327,INDIRECT("'" &amp;Master!$F$10&amp; "'!$A$2:$A$50"),INDIRECT("'" &amp;Master!$F$10&amp; "'!$E$2:$E$50"))</f>
        <v>#VALUE!</v>
      </c>
      <c r="F327" s="4" t="e">
        <f ca="1">SplineInterp(A327,INDIRECT("'" &amp;Master!$F$10&amp; "'!$A$2:$A$50"),INDIRECT("'" &amp;Master!$F$10&amp; "'!$F$2:$F$50"))</f>
        <v>#VALUE!</v>
      </c>
      <c r="G327" s="4" t="e">
        <f ca="1">SplineInterp(A327,INDIRECT("'" &amp;Master!$F$10&amp; "'!$A$2:$A$50"),INDIRECT("'" &amp;Master!$F$10&amp; "'!$G$2:$G$50"))</f>
        <v>#VALUE!</v>
      </c>
      <c r="H327" s="4" t="e">
        <f ca="1">SplineInterp(A327,INDIRECT("'" &amp;Master!$F$10&amp; "'!$A$2:$A$50"),INDIRECT("'" &amp;Master!$F$10&amp; "'!$H$2:$H$50"))</f>
        <v>#VALUE!</v>
      </c>
      <c r="I327" s="4" t="e">
        <f ca="1">IF(OR(INDIRECT("'" &amp; Master!$F$8 &amp; Master!$F$6 &amp; "'!B" &amp; ROW(B327))="", INDIRECT("'" &amp; Master!$F$8 &amp; Master!$F$6 &amp; "'!B" &amp; ROW(B327))=0), "", INDIRECT("'" &amp; Master!$F$8 &amp; Master!$F$6 &amp; "'!B" &amp; ROW(B327)))</f>
        <v>#VALUE!</v>
      </c>
      <c r="J327" s="9" t="e">
        <f t="shared" ca="1" si="35"/>
        <v>#VALUE!</v>
      </c>
      <c r="K327" s="7" t="e">
        <f t="shared" ca="1" si="36"/>
        <v>#VALUE!</v>
      </c>
      <c r="L327" s="7" t="e">
        <f t="shared" ca="1" si="37"/>
        <v>#VALUE!</v>
      </c>
      <c r="M327" s="7" t="e">
        <f t="shared" ca="1" si="38"/>
        <v>#VALUE!</v>
      </c>
      <c r="N327" s="7" t="e">
        <f t="shared" ca="1" si="39"/>
        <v>#VALUE!</v>
      </c>
      <c r="O327" s="7" t="e">
        <f t="shared" ca="1" si="40"/>
        <v>#VALUE!</v>
      </c>
      <c r="P327" s="7" t="e">
        <f t="shared" ca="1" si="41"/>
        <v>#VALUE!</v>
      </c>
    </row>
    <row r="328" spans="1:16" x14ac:dyDescent="0.25">
      <c r="A328" s="19" t="str">
        <f ca="1">IF(OR(INDIRECT("'" &amp; Master!$F$8 &amp; Master!$F$6 &amp; "'!A" &amp; ROW(A328))="", INDIRECT("'" &amp; Master!$F$8 &amp; Master!$F$6 &amp; "'!A" &amp; ROW(A328))=0), "", INDIRECT("'" &amp; Master!$F$8 &amp; Master!$F$6 &amp; "'!A" &amp; ROW(A328)))</f>
        <v/>
      </c>
      <c r="B328" s="4" t="e">
        <f ca="1">SplineInterp(INDIRECT("A" &amp; ROW()),INDIRECT("'" &amp;Master!$F$10&amp; "'!$A$2:$A$50"),INDIRECT("'" &amp;Master!$F$10&amp; "'!$B$2:$B$50"))</f>
        <v>#VALUE!</v>
      </c>
      <c r="C328" s="4" t="e">
        <f ca="1">SplineInterp(A328,INDIRECT("'" &amp;Master!$F$10&amp; "'!$A$2:$A$50"),INDIRECT("'" &amp;Master!$F$10&amp; "'!$C$2:$C$50"))</f>
        <v>#VALUE!</v>
      </c>
      <c r="D328" s="4" t="e">
        <f ca="1">SplineInterp(A328,INDIRECT("'" &amp;Master!$F$10&amp; "'!$A$2:$A$50"),INDIRECT("'" &amp;Master!$F$10&amp; "'!$D$2:$D$50"))</f>
        <v>#VALUE!</v>
      </c>
      <c r="E328" s="4" t="e">
        <f ca="1">SplineInterp(A328,INDIRECT("'" &amp;Master!$F$10&amp; "'!$A$2:$A$50"),INDIRECT("'" &amp;Master!$F$10&amp; "'!$E$2:$E$50"))</f>
        <v>#VALUE!</v>
      </c>
      <c r="F328" s="4" t="e">
        <f ca="1">SplineInterp(A328,INDIRECT("'" &amp;Master!$F$10&amp; "'!$A$2:$A$50"),INDIRECT("'" &amp;Master!$F$10&amp; "'!$F$2:$F$50"))</f>
        <v>#VALUE!</v>
      </c>
      <c r="G328" s="4" t="e">
        <f ca="1">SplineInterp(A328,INDIRECT("'" &amp;Master!$F$10&amp; "'!$A$2:$A$50"),INDIRECT("'" &amp;Master!$F$10&amp; "'!$G$2:$G$50"))</f>
        <v>#VALUE!</v>
      </c>
      <c r="H328" s="4" t="e">
        <f ca="1">SplineInterp(A328,INDIRECT("'" &amp;Master!$F$10&amp; "'!$A$2:$A$50"),INDIRECT("'" &amp;Master!$F$10&amp; "'!$H$2:$H$50"))</f>
        <v>#VALUE!</v>
      </c>
      <c r="I328" s="4" t="e">
        <f ca="1">IF(OR(INDIRECT("'" &amp; Master!$F$8 &amp; Master!$F$6 &amp; "'!B" &amp; ROW(B328))="", INDIRECT("'" &amp; Master!$F$8 &amp; Master!$F$6 &amp; "'!B" &amp; ROW(B328))=0), "", INDIRECT("'" &amp; Master!$F$8 &amp; Master!$F$6 &amp; "'!B" &amp; ROW(B328)))</f>
        <v>#VALUE!</v>
      </c>
      <c r="J328" s="9" t="e">
        <f t="shared" ca="1" si="35"/>
        <v>#VALUE!</v>
      </c>
      <c r="K328" s="7" t="e">
        <f t="shared" ca="1" si="36"/>
        <v>#VALUE!</v>
      </c>
      <c r="L328" s="7" t="e">
        <f t="shared" ca="1" si="37"/>
        <v>#VALUE!</v>
      </c>
      <c r="M328" s="7" t="e">
        <f t="shared" ca="1" si="38"/>
        <v>#VALUE!</v>
      </c>
      <c r="N328" s="7" t="e">
        <f t="shared" ca="1" si="39"/>
        <v>#VALUE!</v>
      </c>
      <c r="O328" s="7" t="e">
        <f t="shared" ca="1" si="40"/>
        <v>#VALUE!</v>
      </c>
      <c r="P328" s="7" t="e">
        <f t="shared" ca="1" si="41"/>
        <v>#VALUE!</v>
      </c>
    </row>
    <row r="329" spans="1:16" x14ac:dyDescent="0.25">
      <c r="A329" s="19" t="str">
        <f ca="1">IF(OR(INDIRECT("'" &amp; Master!$F$8 &amp; Master!$F$6 &amp; "'!A" &amp; ROW(A329))="", INDIRECT("'" &amp; Master!$F$8 &amp; Master!$F$6 &amp; "'!A" &amp; ROW(A329))=0), "", INDIRECT("'" &amp; Master!$F$8 &amp; Master!$F$6 &amp; "'!A" &amp; ROW(A329)))</f>
        <v/>
      </c>
      <c r="B329" s="4" t="e">
        <f ca="1">SplineInterp(INDIRECT("A" &amp; ROW()),INDIRECT("'" &amp;Master!$F$10&amp; "'!$A$2:$A$50"),INDIRECT("'" &amp;Master!$F$10&amp; "'!$B$2:$B$50"))</f>
        <v>#VALUE!</v>
      </c>
      <c r="C329" s="4" t="e">
        <f ca="1">SplineInterp(A329,INDIRECT("'" &amp;Master!$F$10&amp; "'!$A$2:$A$50"),INDIRECT("'" &amp;Master!$F$10&amp; "'!$C$2:$C$50"))</f>
        <v>#VALUE!</v>
      </c>
      <c r="D329" s="4" t="e">
        <f ca="1">SplineInterp(A329,INDIRECT("'" &amp;Master!$F$10&amp; "'!$A$2:$A$50"),INDIRECT("'" &amp;Master!$F$10&amp; "'!$D$2:$D$50"))</f>
        <v>#VALUE!</v>
      </c>
      <c r="E329" s="4" t="e">
        <f ca="1">SplineInterp(A329,INDIRECT("'" &amp;Master!$F$10&amp; "'!$A$2:$A$50"),INDIRECT("'" &amp;Master!$F$10&amp; "'!$E$2:$E$50"))</f>
        <v>#VALUE!</v>
      </c>
      <c r="F329" s="4" t="e">
        <f ca="1">SplineInterp(A329,INDIRECT("'" &amp;Master!$F$10&amp; "'!$A$2:$A$50"),INDIRECT("'" &amp;Master!$F$10&amp; "'!$F$2:$F$50"))</f>
        <v>#VALUE!</v>
      </c>
      <c r="G329" s="4" t="e">
        <f ca="1">SplineInterp(A329,INDIRECT("'" &amp;Master!$F$10&amp; "'!$A$2:$A$50"),INDIRECT("'" &amp;Master!$F$10&amp; "'!$G$2:$G$50"))</f>
        <v>#VALUE!</v>
      </c>
      <c r="H329" s="4" t="e">
        <f ca="1">SplineInterp(A329,INDIRECT("'" &amp;Master!$F$10&amp; "'!$A$2:$A$50"),INDIRECT("'" &amp;Master!$F$10&amp; "'!$H$2:$H$50"))</f>
        <v>#VALUE!</v>
      </c>
      <c r="I329" s="4" t="e">
        <f ca="1">IF(OR(INDIRECT("'" &amp; Master!$F$8 &amp; Master!$F$6 &amp; "'!B" &amp; ROW(B329))="", INDIRECT("'" &amp; Master!$F$8 &amp; Master!$F$6 &amp; "'!B" &amp; ROW(B329))=0), "", INDIRECT("'" &amp; Master!$F$8 &amp; Master!$F$6 &amp; "'!B" &amp; ROW(B329)))</f>
        <v>#VALUE!</v>
      </c>
      <c r="J329" s="9" t="e">
        <f t="shared" ca="1" si="35"/>
        <v>#VALUE!</v>
      </c>
      <c r="K329" s="7" t="e">
        <f t="shared" ca="1" si="36"/>
        <v>#VALUE!</v>
      </c>
      <c r="L329" s="7" t="e">
        <f t="shared" ca="1" si="37"/>
        <v>#VALUE!</v>
      </c>
      <c r="M329" s="7" t="e">
        <f t="shared" ca="1" si="38"/>
        <v>#VALUE!</v>
      </c>
      <c r="N329" s="7" t="e">
        <f t="shared" ca="1" si="39"/>
        <v>#VALUE!</v>
      </c>
      <c r="O329" s="7" t="e">
        <f t="shared" ca="1" si="40"/>
        <v>#VALUE!</v>
      </c>
      <c r="P329" s="7" t="e">
        <f t="shared" ca="1" si="41"/>
        <v>#VALUE!</v>
      </c>
    </row>
    <row r="330" spans="1:16" x14ac:dyDescent="0.25">
      <c r="A330" s="19" t="str">
        <f ca="1">IF(OR(INDIRECT("'" &amp; Master!$F$8 &amp; Master!$F$6 &amp; "'!A" &amp; ROW(A330))="", INDIRECT("'" &amp; Master!$F$8 &amp; Master!$F$6 &amp; "'!A" &amp; ROW(A330))=0), "", INDIRECT("'" &amp; Master!$F$8 &amp; Master!$F$6 &amp; "'!A" &amp; ROW(A330)))</f>
        <v/>
      </c>
      <c r="B330" s="4" t="e">
        <f ca="1">SplineInterp(INDIRECT("A" &amp; ROW()),INDIRECT("'" &amp;Master!$F$10&amp; "'!$A$2:$A$50"),INDIRECT("'" &amp;Master!$F$10&amp; "'!$B$2:$B$50"))</f>
        <v>#VALUE!</v>
      </c>
      <c r="C330" s="4" t="e">
        <f ca="1">SplineInterp(A330,INDIRECT("'" &amp;Master!$F$10&amp; "'!$A$2:$A$50"),INDIRECT("'" &amp;Master!$F$10&amp; "'!$C$2:$C$50"))</f>
        <v>#VALUE!</v>
      </c>
      <c r="D330" s="4" t="e">
        <f ca="1">SplineInterp(A330,INDIRECT("'" &amp;Master!$F$10&amp; "'!$A$2:$A$50"),INDIRECT("'" &amp;Master!$F$10&amp; "'!$D$2:$D$50"))</f>
        <v>#VALUE!</v>
      </c>
      <c r="E330" s="4" t="e">
        <f ca="1">SplineInterp(A330,INDIRECT("'" &amp;Master!$F$10&amp; "'!$A$2:$A$50"),INDIRECT("'" &amp;Master!$F$10&amp; "'!$E$2:$E$50"))</f>
        <v>#VALUE!</v>
      </c>
      <c r="F330" s="4" t="e">
        <f ca="1">SplineInterp(A330,INDIRECT("'" &amp;Master!$F$10&amp; "'!$A$2:$A$50"),INDIRECT("'" &amp;Master!$F$10&amp; "'!$F$2:$F$50"))</f>
        <v>#VALUE!</v>
      </c>
      <c r="G330" s="4" t="e">
        <f ca="1">SplineInterp(A330,INDIRECT("'" &amp;Master!$F$10&amp; "'!$A$2:$A$50"),INDIRECT("'" &amp;Master!$F$10&amp; "'!$G$2:$G$50"))</f>
        <v>#VALUE!</v>
      </c>
      <c r="H330" s="4" t="e">
        <f ca="1">SplineInterp(A330,INDIRECT("'" &amp;Master!$F$10&amp; "'!$A$2:$A$50"),INDIRECT("'" &amp;Master!$F$10&amp; "'!$H$2:$H$50"))</f>
        <v>#VALUE!</v>
      </c>
      <c r="I330" s="4" t="e">
        <f ca="1">IF(OR(INDIRECT("'" &amp; Master!$F$8 &amp; Master!$F$6 &amp; "'!B" &amp; ROW(B330))="", INDIRECT("'" &amp; Master!$F$8 &amp; Master!$F$6 &amp; "'!B" &amp; ROW(B330))=0), "", INDIRECT("'" &amp; Master!$F$8 &amp; Master!$F$6 &amp; "'!B" &amp; ROW(B330)))</f>
        <v>#VALUE!</v>
      </c>
      <c r="J330" s="9" t="e">
        <f t="shared" ca="1" si="35"/>
        <v>#VALUE!</v>
      </c>
      <c r="K330" s="7" t="e">
        <f t="shared" ca="1" si="36"/>
        <v>#VALUE!</v>
      </c>
      <c r="L330" s="7" t="e">
        <f t="shared" ca="1" si="37"/>
        <v>#VALUE!</v>
      </c>
      <c r="M330" s="7" t="e">
        <f t="shared" ca="1" si="38"/>
        <v>#VALUE!</v>
      </c>
      <c r="N330" s="7" t="e">
        <f t="shared" ca="1" si="39"/>
        <v>#VALUE!</v>
      </c>
      <c r="O330" s="7" t="e">
        <f t="shared" ca="1" si="40"/>
        <v>#VALUE!</v>
      </c>
      <c r="P330" s="7" t="e">
        <f t="shared" ca="1" si="41"/>
        <v>#VALUE!</v>
      </c>
    </row>
    <row r="331" spans="1:16" x14ac:dyDescent="0.25">
      <c r="A331" s="19" t="str">
        <f ca="1">IF(OR(INDIRECT("'" &amp; Master!$F$8 &amp; Master!$F$6 &amp; "'!A" &amp; ROW(A331))="", INDIRECT("'" &amp; Master!$F$8 &amp; Master!$F$6 &amp; "'!A" &amp; ROW(A331))=0), "", INDIRECT("'" &amp; Master!$F$8 &amp; Master!$F$6 &amp; "'!A" &amp; ROW(A331)))</f>
        <v/>
      </c>
      <c r="B331" s="4" t="e">
        <f ca="1">SplineInterp(INDIRECT("A" &amp; ROW()),INDIRECT("'" &amp;Master!$F$10&amp; "'!$A$2:$A$50"),INDIRECT("'" &amp;Master!$F$10&amp; "'!$B$2:$B$50"))</f>
        <v>#VALUE!</v>
      </c>
      <c r="C331" s="4" t="e">
        <f ca="1">SplineInterp(A331,INDIRECT("'" &amp;Master!$F$10&amp; "'!$A$2:$A$50"),INDIRECT("'" &amp;Master!$F$10&amp; "'!$C$2:$C$50"))</f>
        <v>#VALUE!</v>
      </c>
      <c r="D331" s="4" t="e">
        <f ca="1">SplineInterp(A331,INDIRECT("'" &amp;Master!$F$10&amp; "'!$A$2:$A$50"),INDIRECT("'" &amp;Master!$F$10&amp; "'!$D$2:$D$50"))</f>
        <v>#VALUE!</v>
      </c>
      <c r="E331" s="4" t="e">
        <f ca="1">SplineInterp(A331,INDIRECT("'" &amp;Master!$F$10&amp; "'!$A$2:$A$50"),INDIRECT("'" &amp;Master!$F$10&amp; "'!$E$2:$E$50"))</f>
        <v>#VALUE!</v>
      </c>
      <c r="F331" s="4" t="e">
        <f ca="1">SplineInterp(A331,INDIRECT("'" &amp;Master!$F$10&amp; "'!$A$2:$A$50"),INDIRECT("'" &amp;Master!$F$10&amp; "'!$F$2:$F$50"))</f>
        <v>#VALUE!</v>
      </c>
      <c r="G331" s="4" t="e">
        <f ca="1">SplineInterp(A331,INDIRECT("'" &amp;Master!$F$10&amp; "'!$A$2:$A$50"),INDIRECT("'" &amp;Master!$F$10&amp; "'!$G$2:$G$50"))</f>
        <v>#VALUE!</v>
      </c>
      <c r="H331" s="4" t="e">
        <f ca="1">SplineInterp(A331,INDIRECT("'" &amp;Master!$F$10&amp; "'!$A$2:$A$50"),INDIRECT("'" &amp;Master!$F$10&amp; "'!$H$2:$H$50"))</f>
        <v>#VALUE!</v>
      </c>
      <c r="I331" s="4" t="e">
        <f ca="1">IF(OR(INDIRECT("'" &amp; Master!$F$8 &amp; Master!$F$6 &amp; "'!B" &amp; ROW(B331))="", INDIRECT("'" &amp; Master!$F$8 &amp; Master!$F$6 &amp; "'!B" &amp; ROW(B331))=0), "", INDIRECT("'" &amp; Master!$F$8 &amp; Master!$F$6 &amp; "'!B" &amp; ROW(B331)))</f>
        <v>#VALUE!</v>
      </c>
      <c r="J331" s="9" t="e">
        <f t="shared" ca="1" si="35"/>
        <v>#VALUE!</v>
      </c>
      <c r="K331" s="7" t="e">
        <f t="shared" ca="1" si="36"/>
        <v>#VALUE!</v>
      </c>
      <c r="L331" s="7" t="e">
        <f t="shared" ca="1" si="37"/>
        <v>#VALUE!</v>
      </c>
      <c r="M331" s="7" t="e">
        <f t="shared" ca="1" si="38"/>
        <v>#VALUE!</v>
      </c>
      <c r="N331" s="7" t="e">
        <f t="shared" ca="1" si="39"/>
        <v>#VALUE!</v>
      </c>
      <c r="O331" s="7" t="e">
        <f t="shared" ca="1" si="40"/>
        <v>#VALUE!</v>
      </c>
      <c r="P331" s="7" t="e">
        <f t="shared" ca="1" si="41"/>
        <v>#VALUE!</v>
      </c>
    </row>
    <row r="332" spans="1:16" x14ac:dyDescent="0.25">
      <c r="A332" s="19" t="str">
        <f ca="1">IF(OR(INDIRECT("'" &amp; Master!$F$8 &amp; Master!$F$6 &amp; "'!A" &amp; ROW(A332))="", INDIRECT("'" &amp; Master!$F$8 &amp; Master!$F$6 &amp; "'!A" &amp; ROW(A332))=0), "", INDIRECT("'" &amp; Master!$F$8 &amp; Master!$F$6 &amp; "'!A" &amp; ROW(A332)))</f>
        <v/>
      </c>
      <c r="B332" s="4" t="e">
        <f ca="1">SplineInterp(INDIRECT("A" &amp; ROW()),INDIRECT("'" &amp;Master!$F$10&amp; "'!$A$2:$A$50"),INDIRECT("'" &amp;Master!$F$10&amp; "'!$B$2:$B$50"))</f>
        <v>#VALUE!</v>
      </c>
      <c r="C332" s="4" t="e">
        <f ca="1">SplineInterp(A332,INDIRECT("'" &amp;Master!$F$10&amp; "'!$A$2:$A$50"),INDIRECT("'" &amp;Master!$F$10&amp; "'!$C$2:$C$50"))</f>
        <v>#VALUE!</v>
      </c>
      <c r="D332" s="4" t="e">
        <f ca="1">SplineInterp(A332,INDIRECT("'" &amp;Master!$F$10&amp; "'!$A$2:$A$50"),INDIRECT("'" &amp;Master!$F$10&amp; "'!$D$2:$D$50"))</f>
        <v>#VALUE!</v>
      </c>
      <c r="E332" s="4" t="e">
        <f ca="1">SplineInterp(A332,INDIRECT("'" &amp;Master!$F$10&amp; "'!$A$2:$A$50"),INDIRECT("'" &amp;Master!$F$10&amp; "'!$E$2:$E$50"))</f>
        <v>#VALUE!</v>
      </c>
      <c r="F332" s="4" t="e">
        <f ca="1">SplineInterp(A332,INDIRECT("'" &amp;Master!$F$10&amp; "'!$A$2:$A$50"),INDIRECT("'" &amp;Master!$F$10&amp; "'!$F$2:$F$50"))</f>
        <v>#VALUE!</v>
      </c>
      <c r="G332" s="4" t="e">
        <f ca="1">SplineInterp(A332,INDIRECT("'" &amp;Master!$F$10&amp; "'!$A$2:$A$50"),INDIRECT("'" &amp;Master!$F$10&amp; "'!$G$2:$G$50"))</f>
        <v>#VALUE!</v>
      </c>
      <c r="H332" s="4" t="e">
        <f ca="1">SplineInterp(A332,INDIRECT("'" &amp;Master!$F$10&amp; "'!$A$2:$A$50"),INDIRECT("'" &amp;Master!$F$10&amp; "'!$H$2:$H$50"))</f>
        <v>#VALUE!</v>
      </c>
      <c r="I332" s="4" t="e">
        <f ca="1">IF(OR(INDIRECT("'" &amp; Master!$F$8 &amp; Master!$F$6 &amp; "'!B" &amp; ROW(B332))="", INDIRECT("'" &amp; Master!$F$8 &amp; Master!$F$6 &amp; "'!B" &amp; ROW(B332))=0), "", INDIRECT("'" &amp; Master!$F$8 &amp; Master!$F$6 &amp; "'!B" &amp; ROW(B332)))</f>
        <v>#VALUE!</v>
      </c>
      <c r="J332" s="9" t="e">
        <f t="shared" ca="1" si="35"/>
        <v>#VALUE!</v>
      </c>
      <c r="K332" s="7" t="e">
        <f t="shared" ca="1" si="36"/>
        <v>#VALUE!</v>
      </c>
      <c r="L332" s="7" t="e">
        <f t="shared" ca="1" si="37"/>
        <v>#VALUE!</v>
      </c>
      <c r="M332" s="7" t="e">
        <f t="shared" ca="1" si="38"/>
        <v>#VALUE!</v>
      </c>
      <c r="N332" s="7" t="e">
        <f t="shared" ca="1" si="39"/>
        <v>#VALUE!</v>
      </c>
      <c r="O332" s="7" t="e">
        <f t="shared" ca="1" si="40"/>
        <v>#VALUE!</v>
      </c>
      <c r="P332" s="7" t="e">
        <f t="shared" ca="1" si="41"/>
        <v>#VALUE!</v>
      </c>
    </row>
    <row r="333" spans="1:16" x14ac:dyDescent="0.25">
      <c r="A333" s="19" t="str">
        <f ca="1">IF(OR(INDIRECT("'" &amp; Master!$F$8 &amp; Master!$F$6 &amp; "'!A" &amp; ROW(A333))="", INDIRECT("'" &amp; Master!$F$8 &amp; Master!$F$6 &amp; "'!A" &amp; ROW(A333))=0), "", INDIRECT("'" &amp; Master!$F$8 &amp; Master!$F$6 &amp; "'!A" &amp; ROW(A333)))</f>
        <v/>
      </c>
      <c r="B333" s="4" t="e">
        <f ca="1">SplineInterp(INDIRECT("A" &amp; ROW()),INDIRECT("'" &amp;Master!$F$10&amp; "'!$A$2:$A$50"),INDIRECT("'" &amp;Master!$F$10&amp; "'!$B$2:$B$50"))</f>
        <v>#VALUE!</v>
      </c>
      <c r="C333" s="4" t="e">
        <f ca="1">SplineInterp(A333,INDIRECT("'" &amp;Master!$F$10&amp; "'!$A$2:$A$50"),INDIRECT("'" &amp;Master!$F$10&amp; "'!$C$2:$C$50"))</f>
        <v>#VALUE!</v>
      </c>
      <c r="D333" s="4" t="e">
        <f ca="1">SplineInterp(A333,INDIRECT("'" &amp;Master!$F$10&amp; "'!$A$2:$A$50"),INDIRECT("'" &amp;Master!$F$10&amp; "'!$D$2:$D$50"))</f>
        <v>#VALUE!</v>
      </c>
      <c r="E333" s="4" t="e">
        <f ca="1">SplineInterp(A333,INDIRECT("'" &amp;Master!$F$10&amp; "'!$A$2:$A$50"),INDIRECT("'" &amp;Master!$F$10&amp; "'!$E$2:$E$50"))</f>
        <v>#VALUE!</v>
      </c>
      <c r="F333" s="4" t="e">
        <f ca="1">SplineInterp(A333,INDIRECT("'" &amp;Master!$F$10&amp; "'!$A$2:$A$50"),INDIRECT("'" &amp;Master!$F$10&amp; "'!$F$2:$F$50"))</f>
        <v>#VALUE!</v>
      </c>
      <c r="G333" s="4" t="e">
        <f ca="1">SplineInterp(A333,INDIRECT("'" &amp;Master!$F$10&amp; "'!$A$2:$A$50"),INDIRECT("'" &amp;Master!$F$10&amp; "'!$G$2:$G$50"))</f>
        <v>#VALUE!</v>
      </c>
      <c r="H333" s="4" t="e">
        <f ca="1">SplineInterp(A333,INDIRECT("'" &amp;Master!$F$10&amp; "'!$A$2:$A$50"),INDIRECT("'" &amp;Master!$F$10&amp; "'!$H$2:$H$50"))</f>
        <v>#VALUE!</v>
      </c>
      <c r="I333" s="4" t="e">
        <f ca="1">IF(OR(INDIRECT("'" &amp; Master!$F$8 &amp; Master!$F$6 &amp; "'!B" &amp; ROW(B333))="", INDIRECT("'" &amp; Master!$F$8 &amp; Master!$F$6 &amp; "'!B" &amp; ROW(B333))=0), "", INDIRECT("'" &amp; Master!$F$8 &amp; Master!$F$6 &amp; "'!B" &amp; ROW(B333)))</f>
        <v>#VALUE!</v>
      </c>
      <c r="J333" s="9" t="e">
        <f t="shared" ca="1" si="35"/>
        <v>#VALUE!</v>
      </c>
      <c r="K333" s="7" t="e">
        <f t="shared" ca="1" si="36"/>
        <v>#VALUE!</v>
      </c>
      <c r="L333" s="7" t="e">
        <f t="shared" ca="1" si="37"/>
        <v>#VALUE!</v>
      </c>
      <c r="M333" s="7" t="e">
        <f t="shared" ca="1" si="38"/>
        <v>#VALUE!</v>
      </c>
      <c r="N333" s="7" t="e">
        <f t="shared" ca="1" si="39"/>
        <v>#VALUE!</v>
      </c>
      <c r="O333" s="7" t="e">
        <f t="shared" ca="1" si="40"/>
        <v>#VALUE!</v>
      </c>
      <c r="P333" s="7" t="e">
        <f t="shared" ca="1" si="41"/>
        <v>#VALUE!</v>
      </c>
    </row>
    <row r="334" spans="1:16" x14ac:dyDescent="0.25">
      <c r="A334" s="19" t="str">
        <f ca="1">IF(OR(INDIRECT("'" &amp; Master!$F$8 &amp; Master!$F$6 &amp; "'!A" &amp; ROW(A334))="", INDIRECT("'" &amp; Master!$F$8 &amp; Master!$F$6 &amp; "'!A" &amp; ROW(A334))=0), "", INDIRECT("'" &amp; Master!$F$8 &amp; Master!$F$6 &amp; "'!A" &amp; ROW(A334)))</f>
        <v/>
      </c>
      <c r="B334" s="4" t="e">
        <f ca="1">SplineInterp(INDIRECT("A" &amp; ROW()),INDIRECT("'" &amp;Master!$F$10&amp; "'!$A$2:$A$50"),INDIRECT("'" &amp;Master!$F$10&amp; "'!$B$2:$B$50"))</f>
        <v>#VALUE!</v>
      </c>
      <c r="C334" s="4" t="e">
        <f ca="1">SplineInterp(A334,INDIRECT("'" &amp;Master!$F$10&amp; "'!$A$2:$A$50"),INDIRECT("'" &amp;Master!$F$10&amp; "'!$C$2:$C$50"))</f>
        <v>#VALUE!</v>
      </c>
      <c r="D334" s="4" t="e">
        <f ca="1">SplineInterp(A334,INDIRECT("'" &amp;Master!$F$10&amp; "'!$A$2:$A$50"),INDIRECT("'" &amp;Master!$F$10&amp; "'!$D$2:$D$50"))</f>
        <v>#VALUE!</v>
      </c>
      <c r="E334" s="4" t="e">
        <f ca="1">SplineInterp(A334,INDIRECT("'" &amp;Master!$F$10&amp; "'!$A$2:$A$50"),INDIRECT("'" &amp;Master!$F$10&amp; "'!$E$2:$E$50"))</f>
        <v>#VALUE!</v>
      </c>
      <c r="F334" s="4" t="e">
        <f ca="1">SplineInterp(A334,INDIRECT("'" &amp;Master!$F$10&amp; "'!$A$2:$A$50"),INDIRECT("'" &amp;Master!$F$10&amp; "'!$F$2:$F$50"))</f>
        <v>#VALUE!</v>
      </c>
      <c r="G334" s="4" t="e">
        <f ca="1">SplineInterp(A334,INDIRECT("'" &amp;Master!$F$10&amp; "'!$A$2:$A$50"),INDIRECT("'" &amp;Master!$F$10&amp; "'!$G$2:$G$50"))</f>
        <v>#VALUE!</v>
      </c>
      <c r="H334" s="4" t="e">
        <f ca="1">SplineInterp(A334,INDIRECT("'" &amp;Master!$F$10&amp; "'!$A$2:$A$50"),INDIRECT("'" &amp;Master!$F$10&amp; "'!$H$2:$H$50"))</f>
        <v>#VALUE!</v>
      </c>
      <c r="I334" s="4" t="e">
        <f ca="1">IF(OR(INDIRECT("'" &amp; Master!$F$8 &amp; Master!$F$6 &amp; "'!B" &amp; ROW(B334))="", INDIRECT("'" &amp; Master!$F$8 &amp; Master!$F$6 &amp; "'!B" &amp; ROW(B334))=0), "", INDIRECT("'" &amp; Master!$F$8 &amp; Master!$F$6 &amp; "'!B" &amp; ROW(B334)))</f>
        <v>#VALUE!</v>
      </c>
      <c r="J334" s="9" t="e">
        <f t="shared" ca="1" si="35"/>
        <v>#VALUE!</v>
      </c>
      <c r="K334" s="7" t="e">
        <f t="shared" ca="1" si="36"/>
        <v>#VALUE!</v>
      </c>
      <c r="L334" s="7" t="e">
        <f t="shared" ca="1" si="37"/>
        <v>#VALUE!</v>
      </c>
      <c r="M334" s="7" t="e">
        <f t="shared" ca="1" si="38"/>
        <v>#VALUE!</v>
      </c>
      <c r="N334" s="7" t="e">
        <f t="shared" ca="1" si="39"/>
        <v>#VALUE!</v>
      </c>
      <c r="O334" s="7" t="e">
        <f t="shared" ca="1" si="40"/>
        <v>#VALUE!</v>
      </c>
      <c r="P334" s="7" t="e">
        <f t="shared" ca="1" si="41"/>
        <v>#VALUE!</v>
      </c>
    </row>
    <row r="335" spans="1:16" x14ac:dyDescent="0.25">
      <c r="A335" s="19" t="str">
        <f ca="1">IF(OR(INDIRECT("'" &amp; Master!$F$8 &amp; Master!$F$6 &amp; "'!A" &amp; ROW(A335))="", INDIRECT("'" &amp; Master!$F$8 &amp; Master!$F$6 &amp; "'!A" &amp; ROW(A335))=0), "", INDIRECT("'" &amp; Master!$F$8 &amp; Master!$F$6 &amp; "'!A" &amp; ROW(A335)))</f>
        <v/>
      </c>
      <c r="B335" s="4" t="e">
        <f ca="1">SplineInterp(INDIRECT("A" &amp; ROW()),INDIRECT("'" &amp;Master!$F$10&amp; "'!$A$2:$A$50"),INDIRECT("'" &amp;Master!$F$10&amp; "'!$B$2:$B$50"))</f>
        <v>#VALUE!</v>
      </c>
      <c r="C335" s="4" t="e">
        <f ca="1">SplineInterp(A335,INDIRECT("'" &amp;Master!$F$10&amp; "'!$A$2:$A$50"),INDIRECT("'" &amp;Master!$F$10&amp; "'!$C$2:$C$50"))</f>
        <v>#VALUE!</v>
      </c>
      <c r="D335" s="4" t="e">
        <f ca="1">SplineInterp(A335,INDIRECT("'" &amp;Master!$F$10&amp; "'!$A$2:$A$50"),INDIRECT("'" &amp;Master!$F$10&amp; "'!$D$2:$D$50"))</f>
        <v>#VALUE!</v>
      </c>
      <c r="E335" s="4" t="e">
        <f ca="1">SplineInterp(A335,INDIRECT("'" &amp;Master!$F$10&amp; "'!$A$2:$A$50"),INDIRECT("'" &amp;Master!$F$10&amp; "'!$E$2:$E$50"))</f>
        <v>#VALUE!</v>
      </c>
      <c r="F335" s="4" t="e">
        <f ca="1">SplineInterp(A335,INDIRECT("'" &amp;Master!$F$10&amp; "'!$A$2:$A$50"),INDIRECT("'" &amp;Master!$F$10&amp; "'!$F$2:$F$50"))</f>
        <v>#VALUE!</v>
      </c>
      <c r="G335" s="4" t="e">
        <f ca="1">SplineInterp(A335,INDIRECT("'" &amp;Master!$F$10&amp; "'!$A$2:$A$50"),INDIRECT("'" &amp;Master!$F$10&amp; "'!$G$2:$G$50"))</f>
        <v>#VALUE!</v>
      </c>
      <c r="H335" s="4" t="e">
        <f ca="1">SplineInterp(A335,INDIRECT("'" &amp;Master!$F$10&amp; "'!$A$2:$A$50"),INDIRECT("'" &amp;Master!$F$10&amp; "'!$H$2:$H$50"))</f>
        <v>#VALUE!</v>
      </c>
      <c r="I335" s="4" t="e">
        <f ca="1">IF(OR(INDIRECT("'" &amp; Master!$F$8 &amp; Master!$F$6 &amp; "'!B" &amp; ROW(B335))="", INDIRECT("'" &amp; Master!$F$8 &amp; Master!$F$6 &amp; "'!B" &amp; ROW(B335))=0), "", INDIRECT("'" &amp; Master!$F$8 &amp; Master!$F$6 &amp; "'!B" &amp; ROW(B335)))</f>
        <v>#VALUE!</v>
      </c>
      <c r="J335" s="9" t="e">
        <f t="shared" ca="1" si="35"/>
        <v>#VALUE!</v>
      </c>
      <c r="K335" s="7" t="e">
        <f t="shared" ca="1" si="36"/>
        <v>#VALUE!</v>
      </c>
      <c r="L335" s="7" t="e">
        <f t="shared" ca="1" si="37"/>
        <v>#VALUE!</v>
      </c>
      <c r="M335" s="7" t="e">
        <f t="shared" ca="1" si="38"/>
        <v>#VALUE!</v>
      </c>
      <c r="N335" s="7" t="e">
        <f t="shared" ca="1" si="39"/>
        <v>#VALUE!</v>
      </c>
      <c r="O335" s="7" t="e">
        <f t="shared" ca="1" si="40"/>
        <v>#VALUE!</v>
      </c>
      <c r="P335" s="7" t="e">
        <f t="shared" ca="1" si="41"/>
        <v>#VALUE!</v>
      </c>
    </row>
    <row r="336" spans="1:16" x14ac:dyDescent="0.25">
      <c r="A336" s="19" t="str">
        <f ca="1">IF(OR(INDIRECT("'" &amp; Master!$F$8 &amp; Master!$F$6 &amp; "'!A" &amp; ROW(A336))="", INDIRECT("'" &amp; Master!$F$8 &amp; Master!$F$6 &amp; "'!A" &amp; ROW(A336))=0), "", INDIRECT("'" &amp; Master!$F$8 &amp; Master!$F$6 &amp; "'!A" &amp; ROW(A336)))</f>
        <v/>
      </c>
      <c r="B336" s="4" t="e">
        <f ca="1">SplineInterp(INDIRECT("A" &amp; ROW()),INDIRECT("'" &amp;Master!$F$10&amp; "'!$A$2:$A$50"),INDIRECT("'" &amp;Master!$F$10&amp; "'!$B$2:$B$50"))</f>
        <v>#VALUE!</v>
      </c>
      <c r="C336" s="4" t="e">
        <f ca="1">SplineInterp(A336,INDIRECT("'" &amp;Master!$F$10&amp; "'!$A$2:$A$50"),INDIRECT("'" &amp;Master!$F$10&amp; "'!$C$2:$C$50"))</f>
        <v>#VALUE!</v>
      </c>
      <c r="D336" s="4" t="e">
        <f ca="1">SplineInterp(A336,INDIRECT("'" &amp;Master!$F$10&amp; "'!$A$2:$A$50"),INDIRECT("'" &amp;Master!$F$10&amp; "'!$D$2:$D$50"))</f>
        <v>#VALUE!</v>
      </c>
      <c r="E336" s="4" t="e">
        <f ca="1">SplineInterp(A336,INDIRECT("'" &amp;Master!$F$10&amp; "'!$A$2:$A$50"),INDIRECT("'" &amp;Master!$F$10&amp; "'!$E$2:$E$50"))</f>
        <v>#VALUE!</v>
      </c>
      <c r="F336" s="4" t="e">
        <f ca="1">SplineInterp(A336,INDIRECT("'" &amp;Master!$F$10&amp; "'!$A$2:$A$50"),INDIRECT("'" &amp;Master!$F$10&amp; "'!$F$2:$F$50"))</f>
        <v>#VALUE!</v>
      </c>
      <c r="G336" s="4" t="e">
        <f ca="1">SplineInterp(A336,INDIRECT("'" &amp;Master!$F$10&amp; "'!$A$2:$A$50"),INDIRECT("'" &amp;Master!$F$10&amp; "'!$G$2:$G$50"))</f>
        <v>#VALUE!</v>
      </c>
      <c r="H336" s="4" t="e">
        <f ca="1">SplineInterp(A336,INDIRECT("'" &amp;Master!$F$10&amp; "'!$A$2:$A$50"),INDIRECT("'" &amp;Master!$F$10&amp; "'!$H$2:$H$50"))</f>
        <v>#VALUE!</v>
      </c>
      <c r="I336" s="4" t="e">
        <f ca="1">IF(OR(INDIRECT("'" &amp; Master!$F$8 &amp; Master!$F$6 &amp; "'!B" &amp; ROW(B336))="", INDIRECT("'" &amp; Master!$F$8 &amp; Master!$F$6 &amp; "'!B" &amp; ROW(B336))=0), "", INDIRECT("'" &amp; Master!$F$8 &amp; Master!$F$6 &amp; "'!B" &amp; ROW(B336)))</f>
        <v>#VALUE!</v>
      </c>
      <c r="J336" s="9" t="e">
        <f t="shared" ca="1" si="35"/>
        <v>#VALUE!</v>
      </c>
      <c r="K336" s="7" t="e">
        <f t="shared" ca="1" si="36"/>
        <v>#VALUE!</v>
      </c>
      <c r="L336" s="7" t="e">
        <f t="shared" ca="1" si="37"/>
        <v>#VALUE!</v>
      </c>
      <c r="M336" s="7" t="e">
        <f t="shared" ca="1" si="38"/>
        <v>#VALUE!</v>
      </c>
      <c r="N336" s="7" t="e">
        <f t="shared" ca="1" si="39"/>
        <v>#VALUE!</v>
      </c>
      <c r="O336" s="7" t="e">
        <f t="shared" ca="1" si="40"/>
        <v>#VALUE!</v>
      </c>
      <c r="P336" s="7" t="e">
        <f t="shared" ca="1" si="41"/>
        <v>#VALUE!</v>
      </c>
    </row>
    <row r="337" spans="1:16" x14ac:dyDescent="0.25">
      <c r="A337" s="19" t="str">
        <f ca="1">IF(OR(INDIRECT("'" &amp; Master!$F$8 &amp; Master!$F$6 &amp; "'!A" &amp; ROW(A337))="", INDIRECT("'" &amp; Master!$F$8 &amp; Master!$F$6 &amp; "'!A" &amp; ROW(A337))=0), "", INDIRECT("'" &amp; Master!$F$8 &amp; Master!$F$6 &amp; "'!A" &amp; ROW(A337)))</f>
        <v/>
      </c>
      <c r="B337" s="4" t="e">
        <f ca="1">SplineInterp(INDIRECT("A" &amp; ROW()),INDIRECT("'" &amp;Master!$F$10&amp; "'!$A$2:$A$50"),INDIRECT("'" &amp;Master!$F$10&amp; "'!$B$2:$B$50"))</f>
        <v>#VALUE!</v>
      </c>
      <c r="C337" s="4" t="e">
        <f ca="1">SplineInterp(A337,INDIRECT("'" &amp;Master!$F$10&amp; "'!$A$2:$A$50"),INDIRECT("'" &amp;Master!$F$10&amp; "'!$C$2:$C$50"))</f>
        <v>#VALUE!</v>
      </c>
      <c r="D337" s="4" t="e">
        <f ca="1">SplineInterp(A337,INDIRECT("'" &amp;Master!$F$10&amp; "'!$A$2:$A$50"),INDIRECT("'" &amp;Master!$F$10&amp; "'!$D$2:$D$50"))</f>
        <v>#VALUE!</v>
      </c>
      <c r="E337" s="4" t="e">
        <f ca="1">SplineInterp(A337,INDIRECT("'" &amp;Master!$F$10&amp; "'!$A$2:$A$50"),INDIRECT("'" &amp;Master!$F$10&amp; "'!$E$2:$E$50"))</f>
        <v>#VALUE!</v>
      </c>
      <c r="F337" s="4" t="e">
        <f ca="1">SplineInterp(A337,INDIRECT("'" &amp;Master!$F$10&amp; "'!$A$2:$A$50"),INDIRECT("'" &amp;Master!$F$10&amp; "'!$F$2:$F$50"))</f>
        <v>#VALUE!</v>
      </c>
      <c r="G337" s="4" t="e">
        <f ca="1">SplineInterp(A337,INDIRECT("'" &amp;Master!$F$10&amp; "'!$A$2:$A$50"),INDIRECT("'" &amp;Master!$F$10&amp; "'!$G$2:$G$50"))</f>
        <v>#VALUE!</v>
      </c>
      <c r="H337" s="4" t="e">
        <f ca="1">SplineInterp(A337,INDIRECT("'" &amp;Master!$F$10&amp; "'!$A$2:$A$50"),INDIRECT("'" &amp;Master!$F$10&amp; "'!$H$2:$H$50"))</f>
        <v>#VALUE!</v>
      </c>
      <c r="I337" s="4" t="e">
        <f ca="1">IF(OR(INDIRECT("'" &amp; Master!$F$8 &amp; Master!$F$6 &amp; "'!B" &amp; ROW(B337))="", INDIRECT("'" &amp; Master!$F$8 &amp; Master!$F$6 &amp; "'!B" &amp; ROW(B337))=0), "", INDIRECT("'" &amp; Master!$F$8 &amp; Master!$F$6 &amp; "'!B" &amp; ROW(B337)))</f>
        <v>#VALUE!</v>
      </c>
      <c r="J337" s="9" t="e">
        <f t="shared" ca="1" si="35"/>
        <v>#VALUE!</v>
      </c>
      <c r="K337" s="7" t="e">
        <f t="shared" ca="1" si="36"/>
        <v>#VALUE!</v>
      </c>
      <c r="L337" s="7" t="e">
        <f t="shared" ca="1" si="37"/>
        <v>#VALUE!</v>
      </c>
      <c r="M337" s="7" t="e">
        <f t="shared" ca="1" si="38"/>
        <v>#VALUE!</v>
      </c>
      <c r="N337" s="7" t="e">
        <f t="shared" ca="1" si="39"/>
        <v>#VALUE!</v>
      </c>
      <c r="O337" s="7" t="e">
        <f t="shared" ca="1" si="40"/>
        <v>#VALUE!</v>
      </c>
      <c r="P337" s="7" t="e">
        <f t="shared" ca="1" si="41"/>
        <v>#VALUE!</v>
      </c>
    </row>
    <row r="338" spans="1:16" x14ac:dyDescent="0.25">
      <c r="A338" s="19" t="str">
        <f ca="1">IF(OR(INDIRECT("'" &amp; Master!$F$8 &amp; Master!$F$6 &amp; "'!A" &amp; ROW(A338))="", INDIRECT("'" &amp; Master!$F$8 &amp; Master!$F$6 &amp; "'!A" &amp; ROW(A338))=0), "", INDIRECT("'" &amp; Master!$F$8 &amp; Master!$F$6 &amp; "'!A" &amp; ROW(A338)))</f>
        <v/>
      </c>
      <c r="B338" s="4" t="e">
        <f ca="1">SplineInterp(INDIRECT("A" &amp; ROW()),INDIRECT("'" &amp;Master!$F$10&amp; "'!$A$2:$A$50"),INDIRECT("'" &amp;Master!$F$10&amp; "'!$B$2:$B$50"))</f>
        <v>#VALUE!</v>
      </c>
      <c r="C338" s="4" t="e">
        <f ca="1">SplineInterp(A338,INDIRECT("'" &amp;Master!$F$10&amp; "'!$A$2:$A$50"),INDIRECT("'" &amp;Master!$F$10&amp; "'!$C$2:$C$50"))</f>
        <v>#VALUE!</v>
      </c>
      <c r="D338" s="4" t="e">
        <f ca="1">SplineInterp(A338,INDIRECT("'" &amp;Master!$F$10&amp; "'!$A$2:$A$50"),INDIRECT("'" &amp;Master!$F$10&amp; "'!$D$2:$D$50"))</f>
        <v>#VALUE!</v>
      </c>
      <c r="E338" s="4" t="e">
        <f ca="1">SplineInterp(A338,INDIRECT("'" &amp;Master!$F$10&amp; "'!$A$2:$A$50"),INDIRECT("'" &amp;Master!$F$10&amp; "'!$E$2:$E$50"))</f>
        <v>#VALUE!</v>
      </c>
      <c r="F338" s="4" t="e">
        <f ca="1">SplineInterp(A338,INDIRECT("'" &amp;Master!$F$10&amp; "'!$A$2:$A$50"),INDIRECT("'" &amp;Master!$F$10&amp; "'!$F$2:$F$50"))</f>
        <v>#VALUE!</v>
      </c>
      <c r="G338" s="4" t="e">
        <f ca="1">SplineInterp(A338,INDIRECT("'" &amp;Master!$F$10&amp; "'!$A$2:$A$50"),INDIRECT("'" &amp;Master!$F$10&amp; "'!$G$2:$G$50"))</f>
        <v>#VALUE!</v>
      </c>
      <c r="H338" s="4" t="e">
        <f ca="1">SplineInterp(A338,INDIRECT("'" &amp;Master!$F$10&amp; "'!$A$2:$A$50"),INDIRECT("'" &amp;Master!$F$10&amp; "'!$H$2:$H$50"))</f>
        <v>#VALUE!</v>
      </c>
      <c r="I338" s="4" t="e">
        <f ca="1">IF(OR(INDIRECT("'" &amp; Master!$F$8 &amp; Master!$F$6 &amp; "'!B" &amp; ROW(B338))="", INDIRECT("'" &amp; Master!$F$8 &amp; Master!$F$6 &amp; "'!B" &amp; ROW(B338))=0), "", INDIRECT("'" &amp; Master!$F$8 &amp; Master!$F$6 &amp; "'!B" &amp; ROW(B338)))</f>
        <v>#VALUE!</v>
      </c>
      <c r="J338" s="9" t="e">
        <f t="shared" ca="1" si="35"/>
        <v>#VALUE!</v>
      </c>
      <c r="K338" s="7" t="e">
        <f t="shared" ca="1" si="36"/>
        <v>#VALUE!</v>
      </c>
      <c r="L338" s="7" t="e">
        <f t="shared" ca="1" si="37"/>
        <v>#VALUE!</v>
      </c>
      <c r="M338" s="7" t="e">
        <f t="shared" ca="1" si="38"/>
        <v>#VALUE!</v>
      </c>
      <c r="N338" s="7" t="e">
        <f t="shared" ca="1" si="39"/>
        <v>#VALUE!</v>
      </c>
      <c r="O338" s="7" t="e">
        <f t="shared" ca="1" si="40"/>
        <v>#VALUE!</v>
      </c>
      <c r="P338" s="7" t="e">
        <f t="shared" ca="1" si="41"/>
        <v>#VALUE!</v>
      </c>
    </row>
    <row r="339" spans="1:16" x14ac:dyDescent="0.25">
      <c r="A339" s="19" t="str">
        <f ca="1">IF(OR(INDIRECT("'" &amp; Master!$F$8 &amp; Master!$F$6 &amp; "'!A" &amp; ROW(A339))="", INDIRECT("'" &amp; Master!$F$8 &amp; Master!$F$6 &amp; "'!A" &amp; ROW(A339))=0), "", INDIRECT("'" &amp; Master!$F$8 &amp; Master!$F$6 &amp; "'!A" &amp; ROW(A339)))</f>
        <v/>
      </c>
      <c r="B339" s="4" t="e">
        <f ca="1">SplineInterp(INDIRECT("A" &amp; ROW()),INDIRECT("'" &amp;Master!$F$10&amp; "'!$A$2:$A$50"),INDIRECT("'" &amp;Master!$F$10&amp; "'!$B$2:$B$50"))</f>
        <v>#VALUE!</v>
      </c>
      <c r="C339" s="4" t="e">
        <f ca="1">SplineInterp(A339,INDIRECT("'" &amp;Master!$F$10&amp; "'!$A$2:$A$50"),INDIRECT("'" &amp;Master!$F$10&amp; "'!$C$2:$C$50"))</f>
        <v>#VALUE!</v>
      </c>
      <c r="D339" s="4" t="e">
        <f ca="1">SplineInterp(A339,INDIRECT("'" &amp;Master!$F$10&amp; "'!$A$2:$A$50"),INDIRECT("'" &amp;Master!$F$10&amp; "'!$D$2:$D$50"))</f>
        <v>#VALUE!</v>
      </c>
      <c r="E339" s="4" t="e">
        <f ca="1">SplineInterp(A339,INDIRECT("'" &amp;Master!$F$10&amp; "'!$A$2:$A$50"),INDIRECT("'" &amp;Master!$F$10&amp; "'!$E$2:$E$50"))</f>
        <v>#VALUE!</v>
      </c>
      <c r="F339" s="4" t="e">
        <f ca="1">SplineInterp(A339,INDIRECT("'" &amp;Master!$F$10&amp; "'!$A$2:$A$50"),INDIRECT("'" &amp;Master!$F$10&amp; "'!$F$2:$F$50"))</f>
        <v>#VALUE!</v>
      </c>
      <c r="G339" s="4" t="e">
        <f ca="1">SplineInterp(A339,INDIRECT("'" &amp;Master!$F$10&amp; "'!$A$2:$A$50"),INDIRECT("'" &amp;Master!$F$10&amp; "'!$G$2:$G$50"))</f>
        <v>#VALUE!</v>
      </c>
      <c r="H339" s="4" t="e">
        <f ca="1">SplineInterp(A339,INDIRECT("'" &amp;Master!$F$10&amp; "'!$A$2:$A$50"),INDIRECT("'" &amp;Master!$F$10&amp; "'!$H$2:$H$50"))</f>
        <v>#VALUE!</v>
      </c>
      <c r="I339" s="4" t="e">
        <f ca="1">IF(OR(INDIRECT("'" &amp; Master!$F$8 &amp; Master!$F$6 &amp; "'!B" &amp; ROW(B339))="", INDIRECT("'" &amp; Master!$F$8 &amp; Master!$F$6 &amp; "'!B" &amp; ROW(B339))=0), "", INDIRECT("'" &amp; Master!$F$8 &amp; Master!$F$6 &amp; "'!B" &amp; ROW(B339)))</f>
        <v>#VALUE!</v>
      </c>
      <c r="J339" s="9" t="e">
        <f t="shared" ca="1" si="35"/>
        <v>#VALUE!</v>
      </c>
      <c r="K339" s="7" t="e">
        <f t="shared" ca="1" si="36"/>
        <v>#VALUE!</v>
      </c>
      <c r="L339" s="7" t="e">
        <f t="shared" ca="1" si="37"/>
        <v>#VALUE!</v>
      </c>
      <c r="M339" s="7" t="e">
        <f t="shared" ca="1" si="38"/>
        <v>#VALUE!</v>
      </c>
      <c r="N339" s="7" t="e">
        <f t="shared" ca="1" si="39"/>
        <v>#VALUE!</v>
      </c>
      <c r="O339" s="7" t="e">
        <f t="shared" ca="1" si="40"/>
        <v>#VALUE!</v>
      </c>
      <c r="P339" s="7" t="e">
        <f t="shared" ca="1" si="41"/>
        <v>#VALUE!</v>
      </c>
    </row>
    <row r="340" spans="1:16" x14ac:dyDescent="0.25">
      <c r="A340" s="19" t="str">
        <f ca="1">IF(OR(INDIRECT("'" &amp; Master!$F$8 &amp; Master!$F$6 &amp; "'!A" &amp; ROW(A340))="", INDIRECT("'" &amp; Master!$F$8 &amp; Master!$F$6 &amp; "'!A" &amp; ROW(A340))=0), "", INDIRECT("'" &amp; Master!$F$8 &amp; Master!$F$6 &amp; "'!A" &amp; ROW(A340)))</f>
        <v/>
      </c>
      <c r="B340" s="4" t="e">
        <f ca="1">SplineInterp(INDIRECT("A" &amp; ROW()),INDIRECT("'" &amp;Master!$F$10&amp; "'!$A$2:$A$50"),INDIRECT("'" &amp;Master!$F$10&amp; "'!$B$2:$B$50"))</f>
        <v>#VALUE!</v>
      </c>
      <c r="C340" s="4" t="e">
        <f ca="1">SplineInterp(A340,INDIRECT("'" &amp;Master!$F$10&amp; "'!$A$2:$A$50"),INDIRECT("'" &amp;Master!$F$10&amp; "'!$C$2:$C$50"))</f>
        <v>#VALUE!</v>
      </c>
      <c r="D340" s="4" t="e">
        <f ca="1">SplineInterp(A340,INDIRECT("'" &amp;Master!$F$10&amp; "'!$A$2:$A$50"),INDIRECT("'" &amp;Master!$F$10&amp; "'!$D$2:$D$50"))</f>
        <v>#VALUE!</v>
      </c>
      <c r="E340" s="4" t="e">
        <f ca="1">SplineInterp(A340,INDIRECT("'" &amp;Master!$F$10&amp; "'!$A$2:$A$50"),INDIRECT("'" &amp;Master!$F$10&amp; "'!$E$2:$E$50"))</f>
        <v>#VALUE!</v>
      </c>
      <c r="F340" s="4" t="e">
        <f ca="1">SplineInterp(A340,INDIRECT("'" &amp;Master!$F$10&amp; "'!$A$2:$A$50"),INDIRECT("'" &amp;Master!$F$10&amp; "'!$F$2:$F$50"))</f>
        <v>#VALUE!</v>
      </c>
      <c r="G340" s="4" t="e">
        <f ca="1">SplineInterp(A340,INDIRECT("'" &amp;Master!$F$10&amp; "'!$A$2:$A$50"),INDIRECT("'" &amp;Master!$F$10&amp; "'!$G$2:$G$50"))</f>
        <v>#VALUE!</v>
      </c>
      <c r="H340" s="4" t="e">
        <f ca="1">SplineInterp(A340,INDIRECT("'" &amp;Master!$F$10&amp; "'!$A$2:$A$50"),INDIRECT("'" &amp;Master!$F$10&amp; "'!$H$2:$H$50"))</f>
        <v>#VALUE!</v>
      </c>
      <c r="I340" s="4" t="e">
        <f ca="1">IF(OR(INDIRECT("'" &amp; Master!$F$8 &amp; Master!$F$6 &amp; "'!B" &amp; ROW(B340))="", INDIRECT("'" &amp; Master!$F$8 &amp; Master!$F$6 &amp; "'!B" &amp; ROW(B340))=0), "", INDIRECT("'" &amp; Master!$F$8 &amp; Master!$F$6 &amp; "'!B" &amp; ROW(B340)))</f>
        <v>#VALUE!</v>
      </c>
      <c r="J340" s="9" t="e">
        <f t="shared" ca="1" si="35"/>
        <v>#VALUE!</v>
      </c>
      <c r="K340" s="7" t="e">
        <f t="shared" ca="1" si="36"/>
        <v>#VALUE!</v>
      </c>
      <c r="L340" s="7" t="e">
        <f t="shared" ca="1" si="37"/>
        <v>#VALUE!</v>
      </c>
      <c r="M340" s="7" t="e">
        <f t="shared" ca="1" si="38"/>
        <v>#VALUE!</v>
      </c>
      <c r="N340" s="7" t="e">
        <f t="shared" ca="1" si="39"/>
        <v>#VALUE!</v>
      </c>
      <c r="O340" s="7" t="e">
        <f t="shared" ca="1" si="40"/>
        <v>#VALUE!</v>
      </c>
      <c r="P340" s="7" t="e">
        <f t="shared" ca="1" si="41"/>
        <v>#VALUE!</v>
      </c>
    </row>
    <row r="341" spans="1:16" x14ac:dyDescent="0.25">
      <c r="A341" s="19" t="str">
        <f ca="1">IF(OR(INDIRECT("'" &amp; Master!$F$8 &amp; Master!$F$6 &amp; "'!A" &amp; ROW(A341))="", INDIRECT("'" &amp; Master!$F$8 &amp; Master!$F$6 &amp; "'!A" &amp; ROW(A341))=0), "", INDIRECT("'" &amp; Master!$F$8 &amp; Master!$F$6 &amp; "'!A" &amp; ROW(A341)))</f>
        <v/>
      </c>
      <c r="B341" s="4" t="e">
        <f ca="1">SplineInterp(INDIRECT("A" &amp; ROW()),INDIRECT("'" &amp;Master!$F$10&amp; "'!$A$2:$A$50"),INDIRECT("'" &amp;Master!$F$10&amp; "'!$B$2:$B$50"))</f>
        <v>#VALUE!</v>
      </c>
      <c r="C341" s="4" t="e">
        <f ca="1">SplineInterp(A341,INDIRECT("'" &amp;Master!$F$10&amp; "'!$A$2:$A$50"),INDIRECT("'" &amp;Master!$F$10&amp; "'!$C$2:$C$50"))</f>
        <v>#VALUE!</v>
      </c>
      <c r="D341" s="4" t="e">
        <f ca="1">SplineInterp(A341,INDIRECT("'" &amp;Master!$F$10&amp; "'!$A$2:$A$50"),INDIRECT("'" &amp;Master!$F$10&amp; "'!$D$2:$D$50"))</f>
        <v>#VALUE!</v>
      </c>
      <c r="E341" s="4" t="e">
        <f ca="1">SplineInterp(A341,INDIRECT("'" &amp;Master!$F$10&amp; "'!$A$2:$A$50"),INDIRECT("'" &amp;Master!$F$10&amp; "'!$E$2:$E$50"))</f>
        <v>#VALUE!</v>
      </c>
      <c r="F341" s="4" t="e">
        <f ca="1">SplineInterp(A341,INDIRECT("'" &amp;Master!$F$10&amp; "'!$A$2:$A$50"),INDIRECT("'" &amp;Master!$F$10&amp; "'!$F$2:$F$50"))</f>
        <v>#VALUE!</v>
      </c>
      <c r="G341" s="4" t="e">
        <f ca="1">SplineInterp(A341,INDIRECT("'" &amp;Master!$F$10&amp; "'!$A$2:$A$50"),INDIRECT("'" &amp;Master!$F$10&amp; "'!$G$2:$G$50"))</f>
        <v>#VALUE!</v>
      </c>
      <c r="H341" s="4" t="e">
        <f ca="1">SplineInterp(A341,INDIRECT("'" &amp;Master!$F$10&amp; "'!$A$2:$A$50"),INDIRECT("'" &amp;Master!$F$10&amp; "'!$H$2:$H$50"))</f>
        <v>#VALUE!</v>
      </c>
      <c r="I341" s="4" t="e">
        <f ca="1">IF(OR(INDIRECT("'" &amp; Master!$F$8 &amp; Master!$F$6 &amp; "'!B" &amp; ROW(B341))="", INDIRECT("'" &amp; Master!$F$8 &amp; Master!$F$6 &amp; "'!B" &amp; ROW(B341))=0), "", INDIRECT("'" &amp; Master!$F$8 &amp; Master!$F$6 &amp; "'!B" &amp; ROW(B341)))</f>
        <v>#VALUE!</v>
      </c>
      <c r="J341" s="9" t="e">
        <f t="shared" ca="1" si="35"/>
        <v>#VALUE!</v>
      </c>
      <c r="K341" s="7" t="e">
        <f t="shared" ca="1" si="36"/>
        <v>#VALUE!</v>
      </c>
      <c r="L341" s="7" t="e">
        <f t="shared" ca="1" si="37"/>
        <v>#VALUE!</v>
      </c>
      <c r="M341" s="7" t="e">
        <f t="shared" ca="1" si="38"/>
        <v>#VALUE!</v>
      </c>
      <c r="N341" s="7" t="e">
        <f t="shared" ca="1" si="39"/>
        <v>#VALUE!</v>
      </c>
      <c r="O341" s="7" t="e">
        <f t="shared" ca="1" si="40"/>
        <v>#VALUE!</v>
      </c>
      <c r="P341" s="7" t="e">
        <f t="shared" ca="1" si="41"/>
        <v>#VALUE!</v>
      </c>
    </row>
    <row r="342" spans="1:16" x14ac:dyDescent="0.25">
      <c r="A342" s="19" t="str">
        <f ca="1">IF(OR(INDIRECT("'" &amp; Master!$F$8 &amp; Master!$F$6 &amp; "'!A" &amp; ROW(A342))="", INDIRECT("'" &amp; Master!$F$8 &amp; Master!$F$6 &amp; "'!A" &amp; ROW(A342))=0), "", INDIRECT("'" &amp; Master!$F$8 &amp; Master!$F$6 &amp; "'!A" &amp; ROW(A342)))</f>
        <v/>
      </c>
      <c r="B342" s="4" t="e">
        <f ca="1">SplineInterp(INDIRECT("A" &amp; ROW()),INDIRECT("'" &amp;Master!$F$10&amp; "'!$A$2:$A$50"),INDIRECT("'" &amp;Master!$F$10&amp; "'!$B$2:$B$50"))</f>
        <v>#VALUE!</v>
      </c>
      <c r="C342" s="4" t="e">
        <f ca="1">SplineInterp(A342,INDIRECT("'" &amp;Master!$F$10&amp; "'!$A$2:$A$50"),INDIRECT("'" &amp;Master!$F$10&amp; "'!$C$2:$C$50"))</f>
        <v>#VALUE!</v>
      </c>
      <c r="D342" s="4" t="e">
        <f ca="1">SplineInterp(A342,INDIRECT("'" &amp;Master!$F$10&amp; "'!$A$2:$A$50"),INDIRECT("'" &amp;Master!$F$10&amp; "'!$D$2:$D$50"))</f>
        <v>#VALUE!</v>
      </c>
      <c r="E342" s="4" t="e">
        <f ca="1">SplineInterp(A342,INDIRECT("'" &amp;Master!$F$10&amp; "'!$A$2:$A$50"),INDIRECT("'" &amp;Master!$F$10&amp; "'!$E$2:$E$50"))</f>
        <v>#VALUE!</v>
      </c>
      <c r="F342" s="4" t="e">
        <f ca="1">SplineInterp(A342,INDIRECT("'" &amp;Master!$F$10&amp; "'!$A$2:$A$50"),INDIRECT("'" &amp;Master!$F$10&amp; "'!$F$2:$F$50"))</f>
        <v>#VALUE!</v>
      </c>
      <c r="G342" s="4" t="e">
        <f ca="1">SplineInterp(A342,INDIRECT("'" &amp;Master!$F$10&amp; "'!$A$2:$A$50"),INDIRECT("'" &amp;Master!$F$10&amp; "'!$G$2:$G$50"))</f>
        <v>#VALUE!</v>
      </c>
      <c r="H342" s="4" t="e">
        <f ca="1">SplineInterp(A342,INDIRECT("'" &amp;Master!$F$10&amp; "'!$A$2:$A$50"),INDIRECT("'" &amp;Master!$F$10&amp; "'!$H$2:$H$50"))</f>
        <v>#VALUE!</v>
      </c>
      <c r="I342" s="4" t="e">
        <f ca="1">IF(OR(INDIRECT("'" &amp; Master!$F$8 &amp; Master!$F$6 &amp; "'!B" &amp; ROW(B342))="", INDIRECT("'" &amp; Master!$F$8 &amp; Master!$F$6 &amp; "'!B" &amp; ROW(B342))=0), "", INDIRECT("'" &amp; Master!$F$8 &amp; Master!$F$6 &amp; "'!B" &amp; ROW(B342)))</f>
        <v>#VALUE!</v>
      </c>
      <c r="J342" s="9" t="e">
        <f t="shared" ca="1" si="35"/>
        <v>#VALUE!</v>
      </c>
      <c r="K342" s="7" t="e">
        <f t="shared" ca="1" si="36"/>
        <v>#VALUE!</v>
      </c>
      <c r="L342" s="7" t="e">
        <f t="shared" ca="1" si="37"/>
        <v>#VALUE!</v>
      </c>
      <c r="M342" s="7" t="e">
        <f t="shared" ca="1" si="38"/>
        <v>#VALUE!</v>
      </c>
      <c r="N342" s="7" t="e">
        <f t="shared" ca="1" si="39"/>
        <v>#VALUE!</v>
      </c>
      <c r="O342" s="7" t="e">
        <f t="shared" ca="1" si="40"/>
        <v>#VALUE!</v>
      </c>
      <c r="P342" s="7" t="e">
        <f t="shared" ca="1" si="41"/>
        <v>#VALUE!</v>
      </c>
    </row>
    <row r="343" spans="1:16" x14ac:dyDescent="0.25">
      <c r="A343" s="19" t="str">
        <f ca="1">IF(OR(INDIRECT("'" &amp; Master!$F$8 &amp; Master!$F$6 &amp; "'!A" &amp; ROW(A343))="", INDIRECT("'" &amp; Master!$F$8 &amp; Master!$F$6 &amp; "'!A" &amp; ROW(A343))=0), "", INDIRECT("'" &amp; Master!$F$8 &amp; Master!$F$6 &amp; "'!A" &amp; ROW(A343)))</f>
        <v/>
      </c>
      <c r="B343" s="4" t="e">
        <f ca="1">SplineInterp(INDIRECT("A" &amp; ROW()),INDIRECT("'" &amp;Master!$F$10&amp; "'!$A$2:$A$50"),INDIRECT("'" &amp;Master!$F$10&amp; "'!$B$2:$B$50"))</f>
        <v>#VALUE!</v>
      </c>
      <c r="C343" s="4" t="e">
        <f ca="1">SplineInterp(A343,INDIRECT("'" &amp;Master!$F$10&amp; "'!$A$2:$A$50"),INDIRECT("'" &amp;Master!$F$10&amp; "'!$C$2:$C$50"))</f>
        <v>#VALUE!</v>
      </c>
      <c r="D343" s="4" t="e">
        <f ca="1">SplineInterp(A343,INDIRECT("'" &amp;Master!$F$10&amp; "'!$A$2:$A$50"),INDIRECT("'" &amp;Master!$F$10&amp; "'!$D$2:$D$50"))</f>
        <v>#VALUE!</v>
      </c>
      <c r="E343" s="4" t="e">
        <f ca="1">SplineInterp(A343,INDIRECT("'" &amp;Master!$F$10&amp; "'!$A$2:$A$50"),INDIRECT("'" &amp;Master!$F$10&amp; "'!$E$2:$E$50"))</f>
        <v>#VALUE!</v>
      </c>
      <c r="F343" s="4" t="e">
        <f ca="1">SplineInterp(A343,INDIRECT("'" &amp;Master!$F$10&amp; "'!$A$2:$A$50"),INDIRECT("'" &amp;Master!$F$10&amp; "'!$F$2:$F$50"))</f>
        <v>#VALUE!</v>
      </c>
      <c r="G343" s="4" t="e">
        <f ca="1">SplineInterp(A343,INDIRECT("'" &amp;Master!$F$10&amp; "'!$A$2:$A$50"),INDIRECT("'" &amp;Master!$F$10&amp; "'!$G$2:$G$50"))</f>
        <v>#VALUE!</v>
      </c>
      <c r="H343" s="4" t="e">
        <f ca="1">SplineInterp(A343,INDIRECT("'" &amp;Master!$F$10&amp; "'!$A$2:$A$50"),INDIRECT("'" &amp;Master!$F$10&amp; "'!$H$2:$H$50"))</f>
        <v>#VALUE!</v>
      </c>
      <c r="I343" s="4" t="e">
        <f ca="1">IF(OR(INDIRECT("'" &amp; Master!$F$8 &amp; Master!$F$6 &amp; "'!B" &amp; ROW(B343))="", INDIRECT("'" &amp; Master!$F$8 &amp; Master!$F$6 &amp; "'!B" &amp; ROW(B343))=0), "", INDIRECT("'" &amp; Master!$F$8 &amp; Master!$F$6 &amp; "'!B" &amp; ROW(B343)))</f>
        <v>#VALUE!</v>
      </c>
      <c r="J343" s="9" t="e">
        <f t="shared" ca="1" si="35"/>
        <v>#VALUE!</v>
      </c>
      <c r="K343" s="7" t="e">
        <f t="shared" ca="1" si="36"/>
        <v>#VALUE!</v>
      </c>
      <c r="L343" s="7" t="e">
        <f t="shared" ca="1" si="37"/>
        <v>#VALUE!</v>
      </c>
      <c r="M343" s="7" t="e">
        <f t="shared" ca="1" si="38"/>
        <v>#VALUE!</v>
      </c>
      <c r="N343" s="7" t="e">
        <f t="shared" ca="1" si="39"/>
        <v>#VALUE!</v>
      </c>
      <c r="O343" s="7" t="e">
        <f t="shared" ca="1" si="40"/>
        <v>#VALUE!</v>
      </c>
      <c r="P343" s="7" t="e">
        <f t="shared" ca="1" si="41"/>
        <v>#VALUE!</v>
      </c>
    </row>
    <row r="344" spans="1:16" x14ac:dyDescent="0.25">
      <c r="A344" s="19" t="str">
        <f ca="1">IF(OR(INDIRECT("'" &amp; Master!$F$8 &amp; Master!$F$6 &amp; "'!A" &amp; ROW(A344))="", INDIRECT("'" &amp; Master!$F$8 &amp; Master!$F$6 &amp; "'!A" &amp; ROW(A344))=0), "", INDIRECT("'" &amp; Master!$F$8 &amp; Master!$F$6 &amp; "'!A" &amp; ROW(A344)))</f>
        <v/>
      </c>
      <c r="B344" s="4" t="e">
        <f ca="1">SplineInterp(INDIRECT("A" &amp; ROW()),INDIRECT("'" &amp;Master!$F$10&amp; "'!$A$2:$A$50"),INDIRECT("'" &amp;Master!$F$10&amp; "'!$B$2:$B$50"))</f>
        <v>#VALUE!</v>
      </c>
      <c r="C344" s="4" t="e">
        <f ca="1">SplineInterp(A344,INDIRECT("'" &amp;Master!$F$10&amp; "'!$A$2:$A$50"),INDIRECT("'" &amp;Master!$F$10&amp; "'!$C$2:$C$50"))</f>
        <v>#VALUE!</v>
      </c>
      <c r="D344" s="4" t="e">
        <f ca="1">SplineInterp(A344,INDIRECT("'" &amp;Master!$F$10&amp; "'!$A$2:$A$50"),INDIRECT("'" &amp;Master!$F$10&amp; "'!$D$2:$D$50"))</f>
        <v>#VALUE!</v>
      </c>
      <c r="E344" s="4" t="e">
        <f ca="1">SplineInterp(A344,INDIRECT("'" &amp;Master!$F$10&amp; "'!$A$2:$A$50"),INDIRECT("'" &amp;Master!$F$10&amp; "'!$E$2:$E$50"))</f>
        <v>#VALUE!</v>
      </c>
      <c r="F344" s="4" t="e">
        <f ca="1">SplineInterp(A344,INDIRECT("'" &amp;Master!$F$10&amp; "'!$A$2:$A$50"),INDIRECT("'" &amp;Master!$F$10&amp; "'!$F$2:$F$50"))</f>
        <v>#VALUE!</v>
      </c>
      <c r="G344" s="4" t="e">
        <f ca="1">SplineInterp(A344,INDIRECT("'" &amp;Master!$F$10&amp; "'!$A$2:$A$50"),INDIRECT("'" &amp;Master!$F$10&amp; "'!$G$2:$G$50"))</f>
        <v>#VALUE!</v>
      </c>
      <c r="H344" s="4" t="e">
        <f ca="1">SplineInterp(A344,INDIRECT("'" &amp;Master!$F$10&amp; "'!$A$2:$A$50"),INDIRECT("'" &amp;Master!$F$10&amp; "'!$H$2:$H$50"))</f>
        <v>#VALUE!</v>
      </c>
      <c r="I344" s="4" t="e">
        <f ca="1">IF(OR(INDIRECT("'" &amp; Master!$F$8 &amp; Master!$F$6 &amp; "'!B" &amp; ROW(B344))="", INDIRECT("'" &amp; Master!$F$8 &amp; Master!$F$6 &amp; "'!B" &amp; ROW(B344))=0), "", INDIRECT("'" &amp; Master!$F$8 &amp; Master!$F$6 &amp; "'!B" &amp; ROW(B344)))</f>
        <v>#VALUE!</v>
      </c>
      <c r="J344" s="9" t="e">
        <f t="shared" ca="1" si="35"/>
        <v>#VALUE!</v>
      </c>
      <c r="K344" s="7" t="e">
        <f t="shared" ca="1" si="36"/>
        <v>#VALUE!</v>
      </c>
      <c r="L344" s="7" t="e">
        <f t="shared" ca="1" si="37"/>
        <v>#VALUE!</v>
      </c>
      <c r="M344" s="7" t="e">
        <f t="shared" ca="1" si="38"/>
        <v>#VALUE!</v>
      </c>
      <c r="N344" s="7" t="e">
        <f t="shared" ca="1" si="39"/>
        <v>#VALUE!</v>
      </c>
      <c r="O344" s="7" t="e">
        <f t="shared" ca="1" si="40"/>
        <v>#VALUE!</v>
      </c>
      <c r="P344" s="7" t="e">
        <f t="shared" ca="1" si="41"/>
        <v>#VALUE!</v>
      </c>
    </row>
    <row r="345" spans="1:16" x14ac:dyDescent="0.25">
      <c r="A345" s="19" t="str">
        <f ca="1">IF(OR(INDIRECT("'" &amp; Master!$F$8 &amp; Master!$F$6 &amp; "'!A" &amp; ROW(A345))="", INDIRECT("'" &amp; Master!$F$8 &amp; Master!$F$6 &amp; "'!A" &amp; ROW(A345))=0), "", INDIRECT("'" &amp; Master!$F$8 &amp; Master!$F$6 &amp; "'!A" &amp; ROW(A345)))</f>
        <v/>
      </c>
      <c r="B345" s="4" t="e">
        <f ca="1">SplineInterp(INDIRECT("A" &amp; ROW()),INDIRECT("'" &amp;Master!$F$10&amp; "'!$A$2:$A$50"),INDIRECT("'" &amp;Master!$F$10&amp; "'!$B$2:$B$50"))</f>
        <v>#VALUE!</v>
      </c>
      <c r="C345" s="4" t="e">
        <f ca="1">SplineInterp(A345,INDIRECT("'" &amp;Master!$F$10&amp; "'!$A$2:$A$50"),INDIRECT("'" &amp;Master!$F$10&amp; "'!$C$2:$C$50"))</f>
        <v>#VALUE!</v>
      </c>
      <c r="D345" s="4" t="e">
        <f ca="1">SplineInterp(A345,INDIRECT("'" &amp;Master!$F$10&amp; "'!$A$2:$A$50"),INDIRECT("'" &amp;Master!$F$10&amp; "'!$D$2:$D$50"))</f>
        <v>#VALUE!</v>
      </c>
      <c r="E345" s="4" t="e">
        <f ca="1">SplineInterp(A345,INDIRECT("'" &amp;Master!$F$10&amp; "'!$A$2:$A$50"),INDIRECT("'" &amp;Master!$F$10&amp; "'!$E$2:$E$50"))</f>
        <v>#VALUE!</v>
      </c>
      <c r="F345" s="4" t="e">
        <f ca="1">SplineInterp(A345,INDIRECT("'" &amp;Master!$F$10&amp; "'!$A$2:$A$50"),INDIRECT("'" &amp;Master!$F$10&amp; "'!$F$2:$F$50"))</f>
        <v>#VALUE!</v>
      </c>
      <c r="G345" s="4" t="e">
        <f ca="1">SplineInterp(A345,INDIRECT("'" &amp;Master!$F$10&amp; "'!$A$2:$A$50"),INDIRECT("'" &amp;Master!$F$10&amp; "'!$G$2:$G$50"))</f>
        <v>#VALUE!</v>
      </c>
      <c r="H345" s="4" t="e">
        <f ca="1">SplineInterp(A345,INDIRECT("'" &amp;Master!$F$10&amp; "'!$A$2:$A$50"),INDIRECT("'" &amp;Master!$F$10&amp; "'!$H$2:$H$50"))</f>
        <v>#VALUE!</v>
      </c>
      <c r="I345" s="4" t="e">
        <f ca="1">IF(OR(INDIRECT("'" &amp; Master!$F$8 &amp; Master!$F$6 &amp; "'!B" &amp; ROW(B345))="", INDIRECT("'" &amp; Master!$F$8 &amp; Master!$F$6 &amp; "'!B" &amp; ROW(B345))=0), "", INDIRECT("'" &amp; Master!$F$8 &amp; Master!$F$6 &amp; "'!B" &amp; ROW(B345)))</f>
        <v>#VALUE!</v>
      </c>
      <c r="J345" s="9" t="e">
        <f t="shared" ca="1" si="35"/>
        <v>#VALUE!</v>
      </c>
      <c r="K345" s="7" t="e">
        <f t="shared" ca="1" si="36"/>
        <v>#VALUE!</v>
      </c>
      <c r="L345" s="7" t="e">
        <f t="shared" ca="1" si="37"/>
        <v>#VALUE!</v>
      </c>
      <c r="M345" s="7" t="e">
        <f t="shared" ca="1" si="38"/>
        <v>#VALUE!</v>
      </c>
      <c r="N345" s="7" t="e">
        <f t="shared" ca="1" si="39"/>
        <v>#VALUE!</v>
      </c>
      <c r="O345" s="7" t="e">
        <f t="shared" ca="1" si="40"/>
        <v>#VALUE!</v>
      </c>
      <c r="P345" s="7" t="e">
        <f t="shared" ca="1" si="41"/>
        <v>#VALUE!</v>
      </c>
    </row>
    <row r="346" spans="1:16" x14ac:dyDescent="0.25">
      <c r="A346" s="19" t="str">
        <f ca="1">IF(OR(INDIRECT("'" &amp; Master!$F$8 &amp; Master!$F$6 &amp; "'!A" &amp; ROW(A346))="", INDIRECT("'" &amp; Master!$F$8 &amp; Master!$F$6 &amp; "'!A" &amp; ROW(A346))=0), "", INDIRECT("'" &amp; Master!$F$8 &amp; Master!$F$6 &amp; "'!A" &amp; ROW(A346)))</f>
        <v/>
      </c>
      <c r="B346" s="4" t="e">
        <f ca="1">SplineInterp(INDIRECT("A" &amp; ROW()),INDIRECT("'" &amp;Master!$F$10&amp; "'!$A$2:$A$50"),INDIRECT("'" &amp;Master!$F$10&amp; "'!$B$2:$B$50"))</f>
        <v>#VALUE!</v>
      </c>
      <c r="C346" s="4" t="e">
        <f ca="1">SplineInterp(A346,INDIRECT("'" &amp;Master!$F$10&amp; "'!$A$2:$A$50"),INDIRECT("'" &amp;Master!$F$10&amp; "'!$C$2:$C$50"))</f>
        <v>#VALUE!</v>
      </c>
      <c r="D346" s="4" t="e">
        <f ca="1">SplineInterp(A346,INDIRECT("'" &amp;Master!$F$10&amp; "'!$A$2:$A$50"),INDIRECT("'" &amp;Master!$F$10&amp; "'!$D$2:$D$50"))</f>
        <v>#VALUE!</v>
      </c>
      <c r="E346" s="4" t="e">
        <f ca="1">SplineInterp(A346,INDIRECT("'" &amp;Master!$F$10&amp; "'!$A$2:$A$50"),INDIRECT("'" &amp;Master!$F$10&amp; "'!$E$2:$E$50"))</f>
        <v>#VALUE!</v>
      </c>
      <c r="F346" s="4" t="e">
        <f ca="1">SplineInterp(A346,INDIRECT("'" &amp;Master!$F$10&amp; "'!$A$2:$A$50"),INDIRECT("'" &amp;Master!$F$10&amp; "'!$F$2:$F$50"))</f>
        <v>#VALUE!</v>
      </c>
      <c r="G346" s="4" t="e">
        <f ca="1">SplineInterp(A346,INDIRECT("'" &amp;Master!$F$10&amp; "'!$A$2:$A$50"),INDIRECT("'" &amp;Master!$F$10&amp; "'!$G$2:$G$50"))</f>
        <v>#VALUE!</v>
      </c>
      <c r="H346" s="4" t="e">
        <f ca="1">SplineInterp(A346,INDIRECT("'" &amp;Master!$F$10&amp; "'!$A$2:$A$50"),INDIRECT("'" &amp;Master!$F$10&amp; "'!$H$2:$H$50"))</f>
        <v>#VALUE!</v>
      </c>
      <c r="I346" s="4" t="e">
        <f ca="1">IF(OR(INDIRECT("'" &amp; Master!$F$8 &amp; Master!$F$6 &amp; "'!B" &amp; ROW(B346))="", INDIRECT("'" &amp; Master!$F$8 &amp; Master!$F$6 &amp; "'!B" &amp; ROW(B346))=0), "", INDIRECT("'" &amp; Master!$F$8 &amp; Master!$F$6 &amp; "'!B" &amp; ROW(B346)))</f>
        <v>#VALUE!</v>
      </c>
      <c r="J346" s="9" t="e">
        <f t="shared" ca="1" si="35"/>
        <v>#VALUE!</v>
      </c>
      <c r="K346" s="7" t="e">
        <f t="shared" ca="1" si="36"/>
        <v>#VALUE!</v>
      </c>
      <c r="L346" s="7" t="e">
        <f t="shared" ca="1" si="37"/>
        <v>#VALUE!</v>
      </c>
      <c r="M346" s="7" t="e">
        <f t="shared" ca="1" si="38"/>
        <v>#VALUE!</v>
      </c>
      <c r="N346" s="7" t="e">
        <f t="shared" ca="1" si="39"/>
        <v>#VALUE!</v>
      </c>
      <c r="O346" s="7" t="e">
        <f t="shared" ca="1" si="40"/>
        <v>#VALUE!</v>
      </c>
      <c r="P346" s="7" t="e">
        <f t="shared" ca="1" si="41"/>
        <v>#VALUE!</v>
      </c>
    </row>
    <row r="347" spans="1:16" x14ac:dyDescent="0.25">
      <c r="A347" s="19" t="str">
        <f ca="1">IF(OR(INDIRECT("'" &amp; Master!$F$8 &amp; Master!$F$6 &amp; "'!A" &amp; ROW(A347))="", INDIRECT("'" &amp; Master!$F$8 &amp; Master!$F$6 &amp; "'!A" &amp; ROW(A347))=0), "", INDIRECT("'" &amp; Master!$F$8 &amp; Master!$F$6 &amp; "'!A" &amp; ROW(A347)))</f>
        <v/>
      </c>
      <c r="B347" s="4" t="e">
        <f ca="1">SplineInterp(INDIRECT("A" &amp; ROW()),INDIRECT("'" &amp;Master!$F$10&amp; "'!$A$2:$A$50"),INDIRECT("'" &amp;Master!$F$10&amp; "'!$B$2:$B$50"))</f>
        <v>#VALUE!</v>
      </c>
      <c r="C347" s="4" t="e">
        <f ca="1">SplineInterp(A347,INDIRECT("'" &amp;Master!$F$10&amp; "'!$A$2:$A$50"),INDIRECT("'" &amp;Master!$F$10&amp; "'!$C$2:$C$50"))</f>
        <v>#VALUE!</v>
      </c>
      <c r="D347" s="4" t="e">
        <f ca="1">SplineInterp(A347,INDIRECT("'" &amp;Master!$F$10&amp; "'!$A$2:$A$50"),INDIRECT("'" &amp;Master!$F$10&amp; "'!$D$2:$D$50"))</f>
        <v>#VALUE!</v>
      </c>
      <c r="E347" s="4" t="e">
        <f ca="1">SplineInterp(A347,INDIRECT("'" &amp;Master!$F$10&amp; "'!$A$2:$A$50"),INDIRECT("'" &amp;Master!$F$10&amp; "'!$E$2:$E$50"))</f>
        <v>#VALUE!</v>
      </c>
      <c r="F347" s="4" t="e">
        <f ca="1">SplineInterp(A347,INDIRECT("'" &amp;Master!$F$10&amp; "'!$A$2:$A$50"),INDIRECT("'" &amp;Master!$F$10&amp; "'!$F$2:$F$50"))</f>
        <v>#VALUE!</v>
      </c>
      <c r="G347" s="4" t="e">
        <f ca="1">SplineInterp(A347,INDIRECT("'" &amp;Master!$F$10&amp; "'!$A$2:$A$50"),INDIRECT("'" &amp;Master!$F$10&amp; "'!$G$2:$G$50"))</f>
        <v>#VALUE!</v>
      </c>
      <c r="H347" s="4" t="e">
        <f ca="1">SplineInterp(A347,INDIRECT("'" &amp;Master!$F$10&amp; "'!$A$2:$A$50"),INDIRECT("'" &amp;Master!$F$10&amp; "'!$H$2:$H$50"))</f>
        <v>#VALUE!</v>
      </c>
      <c r="I347" s="4" t="e">
        <f ca="1">IF(OR(INDIRECT("'" &amp; Master!$F$8 &amp; Master!$F$6 &amp; "'!B" &amp; ROW(B347))="", INDIRECT("'" &amp; Master!$F$8 &amp; Master!$F$6 &amp; "'!B" &amp; ROW(B347))=0), "", INDIRECT("'" &amp; Master!$F$8 &amp; Master!$F$6 &amp; "'!B" &amp; ROW(B347)))</f>
        <v>#VALUE!</v>
      </c>
      <c r="J347" s="9" t="e">
        <f t="shared" ca="1" si="35"/>
        <v>#VALUE!</v>
      </c>
      <c r="K347" s="7" t="e">
        <f t="shared" ca="1" si="36"/>
        <v>#VALUE!</v>
      </c>
      <c r="L347" s="7" t="e">
        <f t="shared" ca="1" si="37"/>
        <v>#VALUE!</v>
      </c>
      <c r="M347" s="7" t="e">
        <f t="shared" ca="1" si="38"/>
        <v>#VALUE!</v>
      </c>
      <c r="N347" s="7" t="e">
        <f t="shared" ca="1" si="39"/>
        <v>#VALUE!</v>
      </c>
      <c r="O347" s="7" t="e">
        <f t="shared" ca="1" si="40"/>
        <v>#VALUE!</v>
      </c>
      <c r="P347" s="7" t="e">
        <f t="shared" ca="1" si="41"/>
        <v>#VALUE!</v>
      </c>
    </row>
    <row r="348" spans="1:16" x14ac:dyDescent="0.25">
      <c r="A348" s="19" t="str">
        <f ca="1">IF(OR(INDIRECT("'" &amp; Master!$F$8 &amp; Master!$F$6 &amp; "'!A" &amp; ROW(A348))="", INDIRECT("'" &amp; Master!$F$8 &amp; Master!$F$6 &amp; "'!A" &amp; ROW(A348))=0), "", INDIRECT("'" &amp; Master!$F$8 &amp; Master!$F$6 &amp; "'!A" &amp; ROW(A348)))</f>
        <v/>
      </c>
      <c r="B348" s="4" t="e">
        <f ca="1">SplineInterp(INDIRECT("A" &amp; ROW()),INDIRECT("'" &amp;Master!$F$10&amp; "'!$A$2:$A$50"),INDIRECT("'" &amp;Master!$F$10&amp; "'!$B$2:$B$50"))</f>
        <v>#VALUE!</v>
      </c>
      <c r="C348" s="4" t="e">
        <f ca="1">SplineInterp(A348,INDIRECT("'" &amp;Master!$F$10&amp; "'!$A$2:$A$50"),INDIRECT("'" &amp;Master!$F$10&amp; "'!$C$2:$C$50"))</f>
        <v>#VALUE!</v>
      </c>
      <c r="D348" s="4" t="e">
        <f ca="1">SplineInterp(A348,INDIRECT("'" &amp;Master!$F$10&amp; "'!$A$2:$A$50"),INDIRECT("'" &amp;Master!$F$10&amp; "'!$D$2:$D$50"))</f>
        <v>#VALUE!</v>
      </c>
      <c r="E348" s="4" t="e">
        <f ca="1">SplineInterp(A348,INDIRECT("'" &amp;Master!$F$10&amp; "'!$A$2:$A$50"),INDIRECT("'" &amp;Master!$F$10&amp; "'!$E$2:$E$50"))</f>
        <v>#VALUE!</v>
      </c>
      <c r="F348" s="4" t="e">
        <f ca="1">SplineInterp(A348,INDIRECT("'" &amp;Master!$F$10&amp; "'!$A$2:$A$50"),INDIRECT("'" &amp;Master!$F$10&amp; "'!$F$2:$F$50"))</f>
        <v>#VALUE!</v>
      </c>
      <c r="G348" s="4" t="e">
        <f ca="1">SplineInterp(A348,INDIRECT("'" &amp;Master!$F$10&amp; "'!$A$2:$A$50"),INDIRECT("'" &amp;Master!$F$10&amp; "'!$G$2:$G$50"))</f>
        <v>#VALUE!</v>
      </c>
      <c r="H348" s="4" t="e">
        <f ca="1">SplineInterp(A348,INDIRECT("'" &amp;Master!$F$10&amp; "'!$A$2:$A$50"),INDIRECT("'" &amp;Master!$F$10&amp; "'!$H$2:$H$50"))</f>
        <v>#VALUE!</v>
      </c>
      <c r="I348" s="4" t="e">
        <f ca="1">IF(OR(INDIRECT("'" &amp; Master!$F$8 &amp; Master!$F$6 &amp; "'!B" &amp; ROW(B348))="", INDIRECT("'" &amp; Master!$F$8 &amp; Master!$F$6 &amp; "'!B" &amp; ROW(B348))=0), "", INDIRECT("'" &amp; Master!$F$8 &amp; Master!$F$6 &amp; "'!B" &amp; ROW(B348)))</f>
        <v>#VALUE!</v>
      </c>
      <c r="J348" s="9" t="e">
        <f t="shared" ca="1" si="35"/>
        <v>#VALUE!</v>
      </c>
      <c r="K348" s="7" t="e">
        <f t="shared" ca="1" si="36"/>
        <v>#VALUE!</v>
      </c>
      <c r="L348" s="7" t="e">
        <f t="shared" ca="1" si="37"/>
        <v>#VALUE!</v>
      </c>
      <c r="M348" s="7" t="e">
        <f t="shared" ca="1" si="38"/>
        <v>#VALUE!</v>
      </c>
      <c r="N348" s="7" t="e">
        <f t="shared" ca="1" si="39"/>
        <v>#VALUE!</v>
      </c>
      <c r="O348" s="7" t="e">
        <f t="shared" ca="1" si="40"/>
        <v>#VALUE!</v>
      </c>
      <c r="P348" s="7" t="e">
        <f t="shared" ca="1" si="41"/>
        <v>#VALUE!</v>
      </c>
    </row>
    <row r="349" spans="1:16" x14ac:dyDescent="0.25">
      <c r="A349" s="19" t="str">
        <f ca="1">IF(OR(INDIRECT("'" &amp; Master!$F$8 &amp; Master!$F$6 &amp; "'!A" &amp; ROW(A349))="", INDIRECT("'" &amp; Master!$F$8 &amp; Master!$F$6 &amp; "'!A" &amp; ROW(A349))=0), "", INDIRECT("'" &amp; Master!$F$8 &amp; Master!$F$6 &amp; "'!A" &amp; ROW(A349)))</f>
        <v/>
      </c>
      <c r="B349" s="4" t="e">
        <f ca="1">SplineInterp(INDIRECT("A" &amp; ROW()),INDIRECT("'" &amp;Master!$F$10&amp; "'!$A$2:$A$50"),INDIRECT("'" &amp;Master!$F$10&amp; "'!$B$2:$B$50"))</f>
        <v>#VALUE!</v>
      </c>
      <c r="C349" s="4" t="e">
        <f ca="1">SplineInterp(A349,INDIRECT("'" &amp;Master!$F$10&amp; "'!$A$2:$A$50"),INDIRECT("'" &amp;Master!$F$10&amp; "'!$C$2:$C$50"))</f>
        <v>#VALUE!</v>
      </c>
      <c r="D349" s="4" t="e">
        <f ca="1">SplineInterp(A349,INDIRECT("'" &amp;Master!$F$10&amp; "'!$A$2:$A$50"),INDIRECT("'" &amp;Master!$F$10&amp; "'!$D$2:$D$50"))</f>
        <v>#VALUE!</v>
      </c>
      <c r="E349" s="4" t="e">
        <f ca="1">SplineInterp(A349,INDIRECT("'" &amp;Master!$F$10&amp; "'!$A$2:$A$50"),INDIRECT("'" &amp;Master!$F$10&amp; "'!$E$2:$E$50"))</f>
        <v>#VALUE!</v>
      </c>
      <c r="F349" s="4" t="e">
        <f ca="1">SplineInterp(A349,INDIRECT("'" &amp;Master!$F$10&amp; "'!$A$2:$A$50"),INDIRECT("'" &amp;Master!$F$10&amp; "'!$F$2:$F$50"))</f>
        <v>#VALUE!</v>
      </c>
      <c r="G349" s="4" t="e">
        <f ca="1">SplineInterp(A349,INDIRECT("'" &amp;Master!$F$10&amp; "'!$A$2:$A$50"),INDIRECT("'" &amp;Master!$F$10&amp; "'!$G$2:$G$50"))</f>
        <v>#VALUE!</v>
      </c>
      <c r="H349" s="4" t="e">
        <f ca="1">SplineInterp(A349,INDIRECT("'" &amp;Master!$F$10&amp; "'!$A$2:$A$50"),INDIRECT("'" &amp;Master!$F$10&amp; "'!$H$2:$H$50"))</f>
        <v>#VALUE!</v>
      </c>
      <c r="I349" s="4" t="e">
        <f ca="1">IF(OR(INDIRECT("'" &amp; Master!$F$8 &amp; Master!$F$6 &amp; "'!B" &amp; ROW(B349))="", INDIRECT("'" &amp; Master!$F$8 &amp; Master!$F$6 &amp; "'!B" &amp; ROW(B349))=0), "", INDIRECT("'" &amp; Master!$F$8 &amp; Master!$F$6 &amp; "'!B" &amp; ROW(B349)))</f>
        <v>#VALUE!</v>
      </c>
      <c r="J349" s="9" t="e">
        <f t="shared" ca="1" si="35"/>
        <v>#VALUE!</v>
      </c>
      <c r="K349" s="7" t="e">
        <f t="shared" ca="1" si="36"/>
        <v>#VALUE!</v>
      </c>
      <c r="L349" s="7" t="e">
        <f t="shared" ca="1" si="37"/>
        <v>#VALUE!</v>
      </c>
      <c r="M349" s="7" t="e">
        <f t="shared" ca="1" si="38"/>
        <v>#VALUE!</v>
      </c>
      <c r="N349" s="7" t="e">
        <f t="shared" ca="1" si="39"/>
        <v>#VALUE!</v>
      </c>
      <c r="O349" s="7" t="e">
        <f t="shared" ca="1" si="40"/>
        <v>#VALUE!</v>
      </c>
      <c r="P349" s="7" t="e">
        <f t="shared" ca="1" si="41"/>
        <v>#VALUE!</v>
      </c>
    </row>
    <row r="350" spans="1:16" x14ac:dyDescent="0.25">
      <c r="A350" s="19" t="str">
        <f ca="1">IF(OR(INDIRECT("'" &amp; Master!$F$8 &amp; Master!$F$6 &amp; "'!A" &amp; ROW(A350))="", INDIRECT("'" &amp; Master!$F$8 &amp; Master!$F$6 &amp; "'!A" &amp; ROW(A350))=0), "", INDIRECT("'" &amp; Master!$F$8 &amp; Master!$F$6 &amp; "'!A" &amp; ROW(A350)))</f>
        <v/>
      </c>
      <c r="B350" s="4" t="e">
        <f ca="1">SplineInterp(INDIRECT("A" &amp; ROW()),INDIRECT("'" &amp;Master!$F$10&amp; "'!$A$2:$A$50"),INDIRECT("'" &amp;Master!$F$10&amp; "'!$B$2:$B$50"))</f>
        <v>#VALUE!</v>
      </c>
      <c r="C350" s="4" t="e">
        <f ca="1">SplineInterp(A350,INDIRECT("'" &amp;Master!$F$10&amp; "'!$A$2:$A$50"),INDIRECT("'" &amp;Master!$F$10&amp; "'!$C$2:$C$50"))</f>
        <v>#VALUE!</v>
      </c>
      <c r="D350" s="4" t="e">
        <f ca="1">SplineInterp(A350,INDIRECT("'" &amp;Master!$F$10&amp; "'!$A$2:$A$50"),INDIRECT("'" &amp;Master!$F$10&amp; "'!$D$2:$D$50"))</f>
        <v>#VALUE!</v>
      </c>
      <c r="E350" s="4" t="e">
        <f ca="1">SplineInterp(A350,INDIRECT("'" &amp;Master!$F$10&amp; "'!$A$2:$A$50"),INDIRECT("'" &amp;Master!$F$10&amp; "'!$E$2:$E$50"))</f>
        <v>#VALUE!</v>
      </c>
      <c r="F350" s="4" t="e">
        <f ca="1">SplineInterp(A350,INDIRECT("'" &amp;Master!$F$10&amp; "'!$A$2:$A$50"),INDIRECT("'" &amp;Master!$F$10&amp; "'!$F$2:$F$50"))</f>
        <v>#VALUE!</v>
      </c>
      <c r="G350" s="4" t="e">
        <f ca="1">SplineInterp(A350,INDIRECT("'" &amp;Master!$F$10&amp; "'!$A$2:$A$50"),INDIRECT("'" &amp;Master!$F$10&amp; "'!$G$2:$G$50"))</f>
        <v>#VALUE!</v>
      </c>
      <c r="H350" s="4" t="e">
        <f ca="1">SplineInterp(A350,INDIRECT("'" &amp;Master!$F$10&amp; "'!$A$2:$A$50"),INDIRECT("'" &amp;Master!$F$10&amp; "'!$H$2:$H$50"))</f>
        <v>#VALUE!</v>
      </c>
      <c r="I350" s="4" t="e">
        <f ca="1">IF(OR(INDIRECT("'" &amp; Master!$F$8 &amp; Master!$F$6 &amp; "'!B" &amp; ROW(B350))="", INDIRECT("'" &amp; Master!$F$8 &amp; Master!$F$6 &amp; "'!B" &amp; ROW(B350))=0), "", INDIRECT("'" &amp; Master!$F$8 &amp; Master!$F$6 &amp; "'!B" &amp; ROW(B350)))</f>
        <v>#VALUE!</v>
      </c>
      <c r="J350" s="9" t="e">
        <f t="shared" ca="1" si="35"/>
        <v>#VALUE!</v>
      </c>
      <c r="K350" s="7" t="e">
        <f t="shared" ca="1" si="36"/>
        <v>#VALUE!</v>
      </c>
      <c r="L350" s="7" t="e">
        <f t="shared" ca="1" si="37"/>
        <v>#VALUE!</v>
      </c>
      <c r="M350" s="7" t="e">
        <f t="shared" ca="1" si="38"/>
        <v>#VALUE!</v>
      </c>
      <c r="N350" s="7" t="e">
        <f t="shared" ca="1" si="39"/>
        <v>#VALUE!</v>
      </c>
      <c r="O350" s="7" t="e">
        <f t="shared" ca="1" si="40"/>
        <v>#VALUE!</v>
      </c>
      <c r="P350" s="7" t="e">
        <f t="shared" ca="1" si="41"/>
        <v>#VALUE!</v>
      </c>
    </row>
    <row r="351" spans="1:16" x14ac:dyDescent="0.25">
      <c r="A351" s="19" t="str">
        <f ca="1">IF(OR(INDIRECT("'" &amp; Master!$F$8 &amp; Master!$F$6 &amp; "'!A" &amp; ROW(A351))="", INDIRECT("'" &amp; Master!$F$8 &amp; Master!$F$6 &amp; "'!A" &amp; ROW(A351))=0), "", INDIRECT("'" &amp; Master!$F$8 &amp; Master!$F$6 &amp; "'!A" &amp; ROW(A351)))</f>
        <v/>
      </c>
      <c r="B351" s="4" t="e">
        <f ca="1">SplineInterp(INDIRECT("A" &amp; ROW()),INDIRECT("'" &amp;Master!$F$10&amp; "'!$A$2:$A$50"),INDIRECT("'" &amp;Master!$F$10&amp; "'!$B$2:$B$50"))</f>
        <v>#VALUE!</v>
      </c>
      <c r="C351" s="4" t="e">
        <f ca="1">SplineInterp(A351,INDIRECT("'" &amp;Master!$F$10&amp; "'!$A$2:$A$50"),INDIRECT("'" &amp;Master!$F$10&amp; "'!$C$2:$C$50"))</f>
        <v>#VALUE!</v>
      </c>
      <c r="D351" s="4" t="e">
        <f ca="1">SplineInterp(A351,INDIRECT("'" &amp;Master!$F$10&amp; "'!$A$2:$A$50"),INDIRECT("'" &amp;Master!$F$10&amp; "'!$D$2:$D$50"))</f>
        <v>#VALUE!</v>
      </c>
      <c r="E351" s="4" t="e">
        <f ca="1">SplineInterp(A351,INDIRECT("'" &amp;Master!$F$10&amp; "'!$A$2:$A$50"),INDIRECT("'" &amp;Master!$F$10&amp; "'!$E$2:$E$50"))</f>
        <v>#VALUE!</v>
      </c>
      <c r="F351" s="4" t="e">
        <f ca="1">SplineInterp(A351,INDIRECT("'" &amp;Master!$F$10&amp; "'!$A$2:$A$50"),INDIRECT("'" &amp;Master!$F$10&amp; "'!$F$2:$F$50"))</f>
        <v>#VALUE!</v>
      </c>
      <c r="G351" s="4" t="e">
        <f ca="1">SplineInterp(A351,INDIRECT("'" &amp;Master!$F$10&amp; "'!$A$2:$A$50"),INDIRECT("'" &amp;Master!$F$10&amp; "'!$G$2:$G$50"))</f>
        <v>#VALUE!</v>
      </c>
      <c r="H351" s="4" t="e">
        <f ca="1">SplineInterp(A351,INDIRECT("'" &amp;Master!$F$10&amp; "'!$A$2:$A$50"),INDIRECT("'" &amp;Master!$F$10&amp; "'!$H$2:$H$50"))</f>
        <v>#VALUE!</v>
      </c>
      <c r="I351" s="4" t="e">
        <f ca="1">IF(OR(INDIRECT("'" &amp; Master!$F$8 &amp; Master!$F$6 &amp; "'!B" &amp; ROW(B351))="", INDIRECT("'" &amp; Master!$F$8 &amp; Master!$F$6 &amp; "'!B" &amp; ROW(B351))=0), "", INDIRECT("'" &amp; Master!$F$8 &amp; Master!$F$6 &amp; "'!B" &amp; ROW(B351)))</f>
        <v>#VALUE!</v>
      </c>
      <c r="J351" s="9" t="e">
        <f t="shared" ca="1" si="35"/>
        <v>#VALUE!</v>
      </c>
      <c r="K351" s="7" t="e">
        <f t="shared" ca="1" si="36"/>
        <v>#VALUE!</v>
      </c>
      <c r="L351" s="7" t="e">
        <f t="shared" ca="1" si="37"/>
        <v>#VALUE!</v>
      </c>
      <c r="M351" s="7" t="e">
        <f t="shared" ca="1" si="38"/>
        <v>#VALUE!</v>
      </c>
      <c r="N351" s="7" t="e">
        <f t="shared" ca="1" si="39"/>
        <v>#VALUE!</v>
      </c>
      <c r="O351" s="7" t="e">
        <f t="shared" ca="1" si="40"/>
        <v>#VALUE!</v>
      </c>
      <c r="P351" s="7" t="e">
        <f t="shared" ca="1" si="41"/>
        <v>#VALUE!</v>
      </c>
    </row>
    <row r="352" spans="1:16" x14ac:dyDescent="0.25">
      <c r="A352" s="19" t="str">
        <f ca="1">IF(OR(INDIRECT("'" &amp; Master!$F$8 &amp; Master!$F$6 &amp; "'!A" &amp; ROW(A352))="", INDIRECT("'" &amp; Master!$F$8 &amp; Master!$F$6 &amp; "'!A" &amp; ROW(A352))=0), "", INDIRECT("'" &amp; Master!$F$8 &amp; Master!$F$6 &amp; "'!A" &amp; ROW(A352)))</f>
        <v/>
      </c>
      <c r="B352" s="4" t="e">
        <f ca="1">SplineInterp(INDIRECT("A" &amp; ROW()),INDIRECT("'" &amp;Master!$F$10&amp; "'!$A$2:$A$50"),INDIRECT("'" &amp;Master!$F$10&amp; "'!$B$2:$B$50"))</f>
        <v>#VALUE!</v>
      </c>
      <c r="C352" s="4" t="e">
        <f ca="1">SplineInterp(A352,INDIRECT("'" &amp;Master!$F$10&amp; "'!$A$2:$A$50"),INDIRECT("'" &amp;Master!$F$10&amp; "'!$C$2:$C$50"))</f>
        <v>#VALUE!</v>
      </c>
      <c r="D352" s="4" t="e">
        <f ca="1">SplineInterp(A352,INDIRECT("'" &amp;Master!$F$10&amp; "'!$A$2:$A$50"),INDIRECT("'" &amp;Master!$F$10&amp; "'!$D$2:$D$50"))</f>
        <v>#VALUE!</v>
      </c>
      <c r="E352" s="4" t="e">
        <f ca="1">SplineInterp(A352,INDIRECT("'" &amp;Master!$F$10&amp; "'!$A$2:$A$50"),INDIRECT("'" &amp;Master!$F$10&amp; "'!$E$2:$E$50"))</f>
        <v>#VALUE!</v>
      </c>
      <c r="F352" s="4" t="e">
        <f ca="1">SplineInterp(A352,INDIRECT("'" &amp;Master!$F$10&amp; "'!$A$2:$A$50"),INDIRECT("'" &amp;Master!$F$10&amp; "'!$F$2:$F$50"))</f>
        <v>#VALUE!</v>
      </c>
      <c r="G352" s="4" t="e">
        <f ca="1">SplineInterp(A352,INDIRECT("'" &amp;Master!$F$10&amp; "'!$A$2:$A$50"),INDIRECT("'" &amp;Master!$F$10&amp; "'!$G$2:$G$50"))</f>
        <v>#VALUE!</v>
      </c>
      <c r="H352" s="4" t="e">
        <f ca="1">SplineInterp(A352,INDIRECT("'" &amp;Master!$F$10&amp; "'!$A$2:$A$50"),INDIRECT("'" &amp;Master!$F$10&amp; "'!$H$2:$H$50"))</f>
        <v>#VALUE!</v>
      </c>
      <c r="I352" s="4" t="e">
        <f ca="1">IF(OR(INDIRECT("'" &amp; Master!$F$8 &amp; Master!$F$6 &amp; "'!B" &amp; ROW(B352))="", INDIRECT("'" &amp; Master!$F$8 &amp; Master!$F$6 &amp; "'!B" &amp; ROW(B352))=0), "", INDIRECT("'" &amp; Master!$F$8 &amp; Master!$F$6 &amp; "'!B" &amp; ROW(B352)))</f>
        <v>#VALUE!</v>
      </c>
      <c r="J352" s="9" t="e">
        <f t="shared" ca="1" si="35"/>
        <v>#VALUE!</v>
      </c>
      <c r="K352" s="7" t="e">
        <f t="shared" ca="1" si="36"/>
        <v>#VALUE!</v>
      </c>
      <c r="L352" s="7" t="e">
        <f t="shared" ca="1" si="37"/>
        <v>#VALUE!</v>
      </c>
      <c r="M352" s="7" t="e">
        <f t="shared" ca="1" si="38"/>
        <v>#VALUE!</v>
      </c>
      <c r="N352" s="7" t="e">
        <f t="shared" ca="1" si="39"/>
        <v>#VALUE!</v>
      </c>
      <c r="O352" s="7" t="e">
        <f t="shared" ca="1" si="40"/>
        <v>#VALUE!</v>
      </c>
      <c r="P352" s="7" t="e">
        <f t="shared" ca="1" si="41"/>
        <v>#VALUE!</v>
      </c>
    </row>
    <row r="353" spans="1:16" x14ac:dyDescent="0.25">
      <c r="A353" s="19" t="str">
        <f ca="1">IF(OR(INDIRECT("'" &amp; Master!$F$8 &amp; Master!$F$6 &amp; "'!A" &amp; ROW(A353))="", INDIRECT("'" &amp; Master!$F$8 &amp; Master!$F$6 &amp; "'!A" &amp; ROW(A353))=0), "", INDIRECT("'" &amp; Master!$F$8 &amp; Master!$F$6 &amp; "'!A" &amp; ROW(A353)))</f>
        <v/>
      </c>
      <c r="B353" s="4" t="e">
        <f ca="1">SplineInterp(INDIRECT("A" &amp; ROW()),INDIRECT("'" &amp;Master!$F$10&amp; "'!$A$2:$A$50"),INDIRECT("'" &amp;Master!$F$10&amp; "'!$B$2:$B$50"))</f>
        <v>#VALUE!</v>
      </c>
      <c r="C353" s="4" t="e">
        <f ca="1">SplineInterp(A353,INDIRECT("'" &amp;Master!$F$10&amp; "'!$A$2:$A$50"),INDIRECT("'" &amp;Master!$F$10&amp; "'!$C$2:$C$50"))</f>
        <v>#VALUE!</v>
      </c>
      <c r="D353" s="4" t="e">
        <f ca="1">SplineInterp(A353,INDIRECT("'" &amp;Master!$F$10&amp; "'!$A$2:$A$50"),INDIRECT("'" &amp;Master!$F$10&amp; "'!$D$2:$D$50"))</f>
        <v>#VALUE!</v>
      </c>
      <c r="E353" s="4" t="e">
        <f ca="1">SplineInterp(A353,INDIRECT("'" &amp;Master!$F$10&amp; "'!$A$2:$A$50"),INDIRECT("'" &amp;Master!$F$10&amp; "'!$E$2:$E$50"))</f>
        <v>#VALUE!</v>
      </c>
      <c r="F353" s="4" t="e">
        <f ca="1">SplineInterp(A353,INDIRECT("'" &amp;Master!$F$10&amp; "'!$A$2:$A$50"),INDIRECT("'" &amp;Master!$F$10&amp; "'!$F$2:$F$50"))</f>
        <v>#VALUE!</v>
      </c>
      <c r="G353" s="4" t="e">
        <f ca="1">SplineInterp(A353,INDIRECT("'" &amp;Master!$F$10&amp; "'!$A$2:$A$50"),INDIRECT("'" &amp;Master!$F$10&amp; "'!$G$2:$G$50"))</f>
        <v>#VALUE!</v>
      </c>
      <c r="H353" s="4" t="e">
        <f ca="1">SplineInterp(A353,INDIRECT("'" &amp;Master!$F$10&amp; "'!$A$2:$A$50"),INDIRECT("'" &amp;Master!$F$10&amp; "'!$H$2:$H$50"))</f>
        <v>#VALUE!</v>
      </c>
      <c r="I353" s="4" t="e">
        <f ca="1">IF(OR(INDIRECT("'" &amp; Master!$F$8 &amp; Master!$F$6 &amp; "'!B" &amp; ROW(B353))="", INDIRECT("'" &amp; Master!$F$8 &amp; Master!$F$6 &amp; "'!B" &amp; ROW(B353))=0), "", INDIRECT("'" &amp; Master!$F$8 &amp; Master!$F$6 &amp; "'!B" &amp; ROW(B353)))</f>
        <v>#VALUE!</v>
      </c>
      <c r="J353" s="9" t="e">
        <f t="shared" ca="1" si="35"/>
        <v>#VALUE!</v>
      </c>
      <c r="K353" s="7" t="e">
        <f t="shared" ca="1" si="36"/>
        <v>#VALUE!</v>
      </c>
      <c r="L353" s="7" t="e">
        <f t="shared" ca="1" si="37"/>
        <v>#VALUE!</v>
      </c>
      <c r="M353" s="7" t="e">
        <f t="shared" ca="1" si="38"/>
        <v>#VALUE!</v>
      </c>
      <c r="N353" s="7" t="e">
        <f t="shared" ca="1" si="39"/>
        <v>#VALUE!</v>
      </c>
      <c r="O353" s="7" t="e">
        <f t="shared" ca="1" si="40"/>
        <v>#VALUE!</v>
      </c>
      <c r="P353" s="7" t="e">
        <f t="shared" ca="1" si="41"/>
        <v>#VALUE!</v>
      </c>
    </row>
    <row r="354" spans="1:16" x14ac:dyDescent="0.25">
      <c r="A354" s="19" t="str">
        <f ca="1">IF(OR(INDIRECT("'" &amp; Master!$F$8 &amp; Master!$F$6 &amp; "'!A" &amp; ROW(A354))="", INDIRECT("'" &amp; Master!$F$8 &amp; Master!$F$6 &amp; "'!A" &amp; ROW(A354))=0), "", INDIRECT("'" &amp; Master!$F$8 &amp; Master!$F$6 &amp; "'!A" &amp; ROW(A354)))</f>
        <v/>
      </c>
      <c r="B354" s="4" t="e">
        <f ca="1">SplineInterp(INDIRECT("A" &amp; ROW()),INDIRECT("'" &amp;Master!$F$10&amp; "'!$A$2:$A$50"),INDIRECT("'" &amp;Master!$F$10&amp; "'!$B$2:$B$50"))</f>
        <v>#VALUE!</v>
      </c>
      <c r="C354" s="4" t="e">
        <f ca="1">SplineInterp(A354,INDIRECT("'" &amp;Master!$F$10&amp; "'!$A$2:$A$50"),INDIRECT("'" &amp;Master!$F$10&amp; "'!$C$2:$C$50"))</f>
        <v>#VALUE!</v>
      </c>
      <c r="D354" s="4" t="e">
        <f ca="1">SplineInterp(A354,INDIRECT("'" &amp;Master!$F$10&amp; "'!$A$2:$A$50"),INDIRECT("'" &amp;Master!$F$10&amp; "'!$D$2:$D$50"))</f>
        <v>#VALUE!</v>
      </c>
      <c r="E354" s="4" t="e">
        <f ca="1">SplineInterp(A354,INDIRECT("'" &amp;Master!$F$10&amp; "'!$A$2:$A$50"),INDIRECT("'" &amp;Master!$F$10&amp; "'!$E$2:$E$50"))</f>
        <v>#VALUE!</v>
      </c>
      <c r="F354" s="4" t="e">
        <f ca="1">SplineInterp(A354,INDIRECT("'" &amp;Master!$F$10&amp; "'!$A$2:$A$50"),INDIRECT("'" &amp;Master!$F$10&amp; "'!$F$2:$F$50"))</f>
        <v>#VALUE!</v>
      </c>
      <c r="G354" s="4" t="e">
        <f ca="1">SplineInterp(A354,INDIRECT("'" &amp;Master!$F$10&amp; "'!$A$2:$A$50"),INDIRECT("'" &amp;Master!$F$10&amp; "'!$G$2:$G$50"))</f>
        <v>#VALUE!</v>
      </c>
      <c r="H354" s="4" t="e">
        <f ca="1">SplineInterp(A354,INDIRECT("'" &amp;Master!$F$10&amp; "'!$A$2:$A$50"),INDIRECT("'" &amp;Master!$F$10&amp; "'!$H$2:$H$50"))</f>
        <v>#VALUE!</v>
      </c>
      <c r="I354" s="4" t="e">
        <f ca="1">IF(OR(INDIRECT("'" &amp; Master!$F$8 &amp; Master!$F$6 &amp; "'!B" &amp; ROW(B354))="", INDIRECT("'" &amp; Master!$F$8 &amp; Master!$F$6 &amp; "'!B" &amp; ROW(B354))=0), "", INDIRECT("'" &amp; Master!$F$8 &amp; Master!$F$6 &amp; "'!B" &amp; ROW(B354)))</f>
        <v>#VALUE!</v>
      </c>
      <c r="J354" s="9" t="e">
        <f t="shared" ca="1" si="35"/>
        <v>#VALUE!</v>
      </c>
      <c r="K354" s="7" t="e">
        <f t="shared" ca="1" si="36"/>
        <v>#VALUE!</v>
      </c>
      <c r="L354" s="7" t="e">
        <f t="shared" ca="1" si="37"/>
        <v>#VALUE!</v>
      </c>
      <c r="M354" s="7" t="e">
        <f t="shared" ca="1" si="38"/>
        <v>#VALUE!</v>
      </c>
      <c r="N354" s="7" t="e">
        <f t="shared" ca="1" si="39"/>
        <v>#VALUE!</v>
      </c>
      <c r="O354" s="7" t="e">
        <f t="shared" ca="1" si="40"/>
        <v>#VALUE!</v>
      </c>
      <c r="P354" s="7" t="e">
        <f t="shared" ca="1" si="41"/>
        <v>#VALUE!</v>
      </c>
    </row>
    <row r="355" spans="1:16" x14ac:dyDescent="0.25">
      <c r="A355" s="19" t="str">
        <f ca="1">IF(OR(INDIRECT("'" &amp; Master!$F$8 &amp; Master!$F$6 &amp; "'!A" &amp; ROW(A355))="", INDIRECT("'" &amp; Master!$F$8 &amp; Master!$F$6 &amp; "'!A" &amp; ROW(A355))=0), "", INDIRECT("'" &amp; Master!$F$8 &amp; Master!$F$6 &amp; "'!A" &amp; ROW(A355)))</f>
        <v/>
      </c>
      <c r="B355" s="4" t="e">
        <f ca="1">SplineInterp(INDIRECT("A" &amp; ROW()),INDIRECT("'" &amp;Master!$F$10&amp; "'!$A$2:$A$50"),INDIRECT("'" &amp;Master!$F$10&amp; "'!$B$2:$B$50"))</f>
        <v>#VALUE!</v>
      </c>
      <c r="C355" s="4" t="e">
        <f ca="1">SplineInterp(A355,INDIRECT("'" &amp;Master!$F$10&amp; "'!$A$2:$A$50"),INDIRECT("'" &amp;Master!$F$10&amp; "'!$C$2:$C$50"))</f>
        <v>#VALUE!</v>
      </c>
      <c r="D355" s="4" t="e">
        <f ca="1">SplineInterp(A355,INDIRECT("'" &amp;Master!$F$10&amp; "'!$A$2:$A$50"),INDIRECT("'" &amp;Master!$F$10&amp; "'!$D$2:$D$50"))</f>
        <v>#VALUE!</v>
      </c>
      <c r="E355" s="4" t="e">
        <f ca="1">SplineInterp(A355,INDIRECT("'" &amp;Master!$F$10&amp; "'!$A$2:$A$50"),INDIRECT("'" &amp;Master!$F$10&amp; "'!$E$2:$E$50"))</f>
        <v>#VALUE!</v>
      </c>
      <c r="F355" s="4" t="e">
        <f ca="1">SplineInterp(A355,INDIRECT("'" &amp;Master!$F$10&amp; "'!$A$2:$A$50"),INDIRECT("'" &amp;Master!$F$10&amp; "'!$F$2:$F$50"))</f>
        <v>#VALUE!</v>
      </c>
      <c r="G355" s="4" t="e">
        <f ca="1">SplineInterp(A355,INDIRECT("'" &amp;Master!$F$10&amp; "'!$A$2:$A$50"),INDIRECT("'" &amp;Master!$F$10&amp; "'!$G$2:$G$50"))</f>
        <v>#VALUE!</v>
      </c>
      <c r="H355" s="4" t="e">
        <f ca="1">SplineInterp(A355,INDIRECT("'" &amp;Master!$F$10&amp; "'!$A$2:$A$50"),INDIRECT("'" &amp;Master!$F$10&amp; "'!$H$2:$H$50"))</f>
        <v>#VALUE!</v>
      </c>
      <c r="I355" s="4" t="e">
        <f ca="1">IF(OR(INDIRECT("'" &amp; Master!$F$8 &amp; Master!$F$6 &amp; "'!B" &amp; ROW(B355))="", INDIRECT("'" &amp; Master!$F$8 &amp; Master!$F$6 &amp; "'!B" &amp; ROW(B355))=0), "", INDIRECT("'" &amp; Master!$F$8 &amp; Master!$F$6 &amp; "'!B" &amp; ROW(B355)))</f>
        <v>#VALUE!</v>
      </c>
      <c r="J355" s="9" t="e">
        <f t="shared" ca="1" si="35"/>
        <v>#VALUE!</v>
      </c>
      <c r="K355" s="7" t="e">
        <f t="shared" ca="1" si="36"/>
        <v>#VALUE!</v>
      </c>
      <c r="L355" s="7" t="e">
        <f t="shared" ca="1" si="37"/>
        <v>#VALUE!</v>
      </c>
      <c r="M355" s="7" t="e">
        <f t="shared" ca="1" si="38"/>
        <v>#VALUE!</v>
      </c>
      <c r="N355" s="7" t="e">
        <f t="shared" ca="1" si="39"/>
        <v>#VALUE!</v>
      </c>
      <c r="O355" s="7" t="e">
        <f t="shared" ca="1" si="40"/>
        <v>#VALUE!</v>
      </c>
      <c r="P355" s="7" t="e">
        <f t="shared" ca="1" si="41"/>
        <v>#VALUE!</v>
      </c>
    </row>
    <row r="356" spans="1:16" x14ac:dyDescent="0.25">
      <c r="A356" s="19" t="str">
        <f ca="1">IF(OR(INDIRECT("'" &amp; Master!$F$8 &amp; Master!$F$6 &amp; "'!A" &amp; ROW(A356))="", INDIRECT("'" &amp; Master!$F$8 &amp; Master!$F$6 &amp; "'!A" &amp; ROW(A356))=0), "", INDIRECT("'" &amp; Master!$F$8 &amp; Master!$F$6 &amp; "'!A" &amp; ROW(A356)))</f>
        <v/>
      </c>
      <c r="B356" s="4" t="e">
        <f ca="1">SplineInterp(INDIRECT("A" &amp; ROW()),INDIRECT("'" &amp;Master!$F$10&amp; "'!$A$2:$A$50"),INDIRECT("'" &amp;Master!$F$10&amp; "'!$B$2:$B$50"))</f>
        <v>#VALUE!</v>
      </c>
      <c r="C356" s="4" t="e">
        <f ca="1">SplineInterp(A356,INDIRECT("'" &amp;Master!$F$10&amp; "'!$A$2:$A$50"),INDIRECT("'" &amp;Master!$F$10&amp; "'!$C$2:$C$50"))</f>
        <v>#VALUE!</v>
      </c>
      <c r="D356" s="4" t="e">
        <f ca="1">SplineInterp(A356,INDIRECT("'" &amp;Master!$F$10&amp; "'!$A$2:$A$50"),INDIRECT("'" &amp;Master!$F$10&amp; "'!$D$2:$D$50"))</f>
        <v>#VALUE!</v>
      </c>
      <c r="E356" s="4" t="e">
        <f ca="1">SplineInterp(A356,INDIRECT("'" &amp;Master!$F$10&amp; "'!$A$2:$A$50"),INDIRECT("'" &amp;Master!$F$10&amp; "'!$E$2:$E$50"))</f>
        <v>#VALUE!</v>
      </c>
      <c r="F356" s="4" t="e">
        <f ca="1">SplineInterp(A356,INDIRECT("'" &amp;Master!$F$10&amp; "'!$A$2:$A$50"),INDIRECT("'" &amp;Master!$F$10&amp; "'!$F$2:$F$50"))</f>
        <v>#VALUE!</v>
      </c>
      <c r="G356" s="4" t="e">
        <f ca="1">SplineInterp(A356,INDIRECT("'" &amp;Master!$F$10&amp; "'!$A$2:$A$50"),INDIRECT("'" &amp;Master!$F$10&amp; "'!$G$2:$G$50"))</f>
        <v>#VALUE!</v>
      </c>
      <c r="H356" s="4" t="e">
        <f ca="1">SplineInterp(A356,INDIRECT("'" &amp;Master!$F$10&amp; "'!$A$2:$A$50"),INDIRECT("'" &amp;Master!$F$10&amp; "'!$H$2:$H$50"))</f>
        <v>#VALUE!</v>
      </c>
      <c r="I356" s="4" t="e">
        <f ca="1">IF(OR(INDIRECT("'" &amp; Master!$F$8 &amp; Master!$F$6 &amp; "'!B" &amp; ROW(B356))="", INDIRECT("'" &amp; Master!$F$8 &amp; Master!$F$6 &amp; "'!B" &amp; ROW(B356))=0), "", INDIRECT("'" &amp; Master!$F$8 &amp; Master!$F$6 &amp; "'!B" &amp; ROW(B356)))</f>
        <v>#VALUE!</v>
      </c>
      <c r="J356" s="9" t="e">
        <f t="shared" ca="1" si="35"/>
        <v>#VALUE!</v>
      </c>
      <c r="K356" s="7" t="e">
        <f t="shared" ca="1" si="36"/>
        <v>#VALUE!</v>
      </c>
      <c r="L356" s="7" t="e">
        <f t="shared" ca="1" si="37"/>
        <v>#VALUE!</v>
      </c>
      <c r="M356" s="7" t="e">
        <f t="shared" ca="1" si="38"/>
        <v>#VALUE!</v>
      </c>
      <c r="N356" s="7" t="e">
        <f t="shared" ca="1" si="39"/>
        <v>#VALUE!</v>
      </c>
      <c r="O356" s="7" t="e">
        <f t="shared" ca="1" si="40"/>
        <v>#VALUE!</v>
      </c>
      <c r="P356" s="7" t="e">
        <f t="shared" ca="1" si="41"/>
        <v>#VALUE!</v>
      </c>
    </row>
    <row r="357" spans="1:16" x14ac:dyDescent="0.25">
      <c r="A357" s="19" t="str">
        <f ca="1">IF(OR(INDIRECT("'" &amp; Master!$F$8 &amp; Master!$F$6 &amp; "'!A" &amp; ROW(A357))="", INDIRECT("'" &amp; Master!$F$8 &amp; Master!$F$6 &amp; "'!A" &amp; ROW(A357))=0), "", INDIRECT("'" &amp; Master!$F$8 &amp; Master!$F$6 &amp; "'!A" &amp; ROW(A357)))</f>
        <v/>
      </c>
      <c r="B357" s="4" t="e">
        <f ca="1">SplineInterp(INDIRECT("A" &amp; ROW()),INDIRECT("'" &amp;Master!$F$10&amp; "'!$A$2:$A$50"),INDIRECT("'" &amp;Master!$F$10&amp; "'!$B$2:$B$50"))</f>
        <v>#VALUE!</v>
      </c>
      <c r="C357" s="4" t="e">
        <f ca="1">SplineInterp(A357,INDIRECT("'" &amp;Master!$F$10&amp; "'!$A$2:$A$50"),INDIRECT("'" &amp;Master!$F$10&amp; "'!$C$2:$C$50"))</f>
        <v>#VALUE!</v>
      </c>
      <c r="D357" s="4" t="e">
        <f ca="1">SplineInterp(A357,INDIRECT("'" &amp;Master!$F$10&amp; "'!$A$2:$A$50"),INDIRECT("'" &amp;Master!$F$10&amp; "'!$D$2:$D$50"))</f>
        <v>#VALUE!</v>
      </c>
      <c r="E357" s="4" t="e">
        <f ca="1">SplineInterp(A357,INDIRECT("'" &amp;Master!$F$10&amp; "'!$A$2:$A$50"),INDIRECT("'" &amp;Master!$F$10&amp; "'!$E$2:$E$50"))</f>
        <v>#VALUE!</v>
      </c>
      <c r="F357" s="4" t="e">
        <f ca="1">SplineInterp(A357,INDIRECT("'" &amp;Master!$F$10&amp; "'!$A$2:$A$50"),INDIRECT("'" &amp;Master!$F$10&amp; "'!$F$2:$F$50"))</f>
        <v>#VALUE!</v>
      </c>
      <c r="G357" s="4" t="e">
        <f ca="1">SplineInterp(A357,INDIRECT("'" &amp;Master!$F$10&amp; "'!$A$2:$A$50"),INDIRECT("'" &amp;Master!$F$10&amp; "'!$G$2:$G$50"))</f>
        <v>#VALUE!</v>
      </c>
      <c r="H357" s="4" t="e">
        <f ca="1">SplineInterp(A357,INDIRECT("'" &amp;Master!$F$10&amp; "'!$A$2:$A$50"),INDIRECT("'" &amp;Master!$F$10&amp; "'!$H$2:$H$50"))</f>
        <v>#VALUE!</v>
      </c>
      <c r="I357" s="4" t="e">
        <f ca="1">IF(OR(INDIRECT("'" &amp; Master!$F$8 &amp; Master!$F$6 &amp; "'!B" &amp; ROW(B357))="", INDIRECT("'" &amp; Master!$F$8 &amp; Master!$F$6 &amp; "'!B" &amp; ROW(B357))=0), "", INDIRECT("'" &amp; Master!$F$8 &amp; Master!$F$6 &amp; "'!B" &amp; ROW(B357)))</f>
        <v>#VALUE!</v>
      </c>
      <c r="J357" s="9" t="e">
        <f t="shared" ca="1" si="35"/>
        <v>#VALUE!</v>
      </c>
      <c r="K357" s="7" t="e">
        <f t="shared" ca="1" si="36"/>
        <v>#VALUE!</v>
      </c>
      <c r="L357" s="7" t="e">
        <f t="shared" ca="1" si="37"/>
        <v>#VALUE!</v>
      </c>
      <c r="M357" s="7" t="e">
        <f t="shared" ca="1" si="38"/>
        <v>#VALUE!</v>
      </c>
      <c r="N357" s="7" t="e">
        <f t="shared" ca="1" si="39"/>
        <v>#VALUE!</v>
      </c>
      <c r="O357" s="7" t="e">
        <f t="shared" ca="1" si="40"/>
        <v>#VALUE!</v>
      </c>
      <c r="P357" s="7" t="e">
        <f t="shared" ca="1" si="41"/>
        <v>#VALUE!</v>
      </c>
    </row>
    <row r="358" spans="1:16" x14ac:dyDescent="0.25">
      <c r="A358" s="19" t="str">
        <f ca="1">IF(OR(INDIRECT("'" &amp; Master!$F$8 &amp; Master!$F$6 &amp; "'!A" &amp; ROW(A358))="", INDIRECT("'" &amp; Master!$F$8 &amp; Master!$F$6 &amp; "'!A" &amp; ROW(A358))=0), "", INDIRECT("'" &amp; Master!$F$8 &amp; Master!$F$6 &amp; "'!A" &amp; ROW(A358)))</f>
        <v/>
      </c>
      <c r="B358" s="4" t="e">
        <f ca="1">SplineInterp(INDIRECT("A" &amp; ROW()),INDIRECT("'" &amp;Master!$F$10&amp; "'!$A$2:$A$50"),INDIRECT("'" &amp;Master!$F$10&amp; "'!$B$2:$B$50"))</f>
        <v>#VALUE!</v>
      </c>
      <c r="C358" s="4" t="e">
        <f ca="1">SplineInterp(A358,INDIRECT("'" &amp;Master!$F$10&amp; "'!$A$2:$A$50"),INDIRECT("'" &amp;Master!$F$10&amp; "'!$C$2:$C$50"))</f>
        <v>#VALUE!</v>
      </c>
      <c r="D358" s="4" t="e">
        <f ca="1">SplineInterp(A358,INDIRECT("'" &amp;Master!$F$10&amp; "'!$A$2:$A$50"),INDIRECT("'" &amp;Master!$F$10&amp; "'!$D$2:$D$50"))</f>
        <v>#VALUE!</v>
      </c>
      <c r="E358" s="4" t="e">
        <f ca="1">SplineInterp(A358,INDIRECT("'" &amp;Master!$F$10&amp; "'!$A$2:$A$50"),INDIRECT("'" &amp;Master!$F$10&amp; "'!$E$2:$E$50"))</f>
        <v>#VALUE!</v>
      </c>
      <c r="F358" s="4" t="e">
        <f ca="1">SplineInterp(A358,INDIRECT("'" &amp;Master!$F$10&amp; "'!$A$2:$A$50"),INDIRECT("'" &amp;Master!$F$10&amp; "'!$F$2:$F$50"))</f>
        <v>#VALUE!</v>
      </c>
      <c r="G358" s="4" t="e">
        <f ca="1">SplineInterp(A358,INDIRECT("'" &amp;Master!$F$10&amp; "'!$A$2:$A$50"),INDIRECT("'" &amp;Master!$F$10&amp; "'!$G$2:$G$50"))</f>
        <v>#VALUE!</v>
      </c>
      <c r="H358" s="4" t="e">
        <f ca="1">SplineInterp(A358,INDIRECT("'" &amp;Master!$F$10&amp; "'!$A$2:$A$50"),INDIRECT("'" &amp;Master!$F$10&amp; "'!$H$2:$H$50"))</f>
        <v>#VALUE!</v>
      </c>
      <c r="I358" s="4" t="e">
        <f ca="1">IF(OR(INDIRECT("'" &amp; Master!$F$8 &amp; Master!$F$6 &amp; "'!B" &amp; ROW(B358))="", INDIRECT("'" &amp; Master!$F$8 &amp; Master!$F$6 &amp; "'!B" &amp; ROW(B358))=0), "", INDIRECT("'" &amp; Master!$F$8 &amp; Master!$F$6 &amp; "'!B" &amp; ROW(B358)))</f>
        <v>#VALUE!</v>
      </c>
      <c r="J358" s="9" t="e">
        <f t="shared" ca="1" si="35"/>
        <v>#VALUE!</v>
      </c>
      <c r="K358" s="7" t="e">
        <f t="shared" ca="1" si="36"/>
        <v>#VALUE!</v>
      </c>
      <c r="L358" s="7" t="e">
        <f t="shared" ca="1" si="37"/>
        <v>#VALUE!</v>
      </c>
      <c r="M358" s="7" t="e">
        <f t="shared" ca="1" si="38"/>
        <v>#VALUE!</v>
      </c>
      <c r="N358" s="7" t="e">
        <f t="shared" ca="1" si="39"/>
        <v>#VALUE!</v>
      </c>
      <c r="O358" s="7" t="e">
        <f t="shared" ca="1" si="40"/>
        <v>#VALUE!</v>
      </c>
      <c r="P358" s="7" t="e">
        <f t="shared" ca="1" si="41"/>
        <v>#VALUE!</v>
      </c>
    </row>
    <row r="359" spans="1:16" x14ac:dyDescent="0.25">
      <c r="A359" s="19" t="str">
        <f ca="1">IF(OR(INDIRECT("'" &amp; Master!$F$8 &amp; Master!$F$6 &amp; "'!A" &amp; ROW(A359))="", INDIRECT("'" &amp; Master!$F$8 &amp; Master!$F$6 &amp; "'!A" &amp; ROW(A359))=0), "", INDIRECT("'" &amp; Master!$F$8 &amp; Master!$F$6 &amp; "'!A" &amp; ROW(A359)))</f>
        <v/>
      </c>
      <c r="B359" s="4" t="e">
        <f ca="1">SplineInterp(INDIRECT("A" &amp; ROW()),INDIRECT("'" &amp;Master!$F$10&amp; "'!$A$2:$A$50"),INDIRECT("'" &amp;Master!$F$10&amp; "'!$B$2:$B$50"))</f>
        <v>#VALUE!</v>
      </c>
      <c r="C359" s="4" t="e">
        <f ca="1">SplineInterp(A359,INDIRECT("'" &amp;Master!$F$10&amp; "'!$A$2:$A$50"),INDIRECT("'" &amp;Master!$F$10&amp; "'!$C$2:$C$50"))</f>
        <v>#VALUE!</v>
      </c>
      <c r="D359" s="4" t="e">
        <f ca="1">SplineInterp(A359,INDIRECT("'" &amp;Master!$F$10&amp; "'!$A$2:$A$50"),INDIRECT("'" &amp;Master!$F$10&amp; "'!$D$2:$D$50"))</f>
        <v>#VALUE!</v>
      </c>
      <c r="E359" s="4" t="e">
        <f ca="1">SplineInterp(A359,INDIRECT("'" &amp;Master!$F$10&amp; "'!$A$2:$A$50"),INDIRECT("'" &amp;Master!$F$10&amp; "'!$E$2:$E$50"))</f>
        <v>#VALUE!</v>
      </c>
      <c r="F359" s="4" t="e">
        <f ca="1">SplineInterp(A359,INDIRECT("'" &amp;Master!$F$10&amp; "'!$A$2:$A$50"),INDIRECT("'" &amp;Master!$F$10&amp; "'!$F$2:$F$50"))</f>
        <v>#VALUE!</v>
      </c>
      <c r="G359" s="4" t="e">
        <f ca="1">SplineInterp(A359,INDIRECT("'" &amp;Master!$F$10&amp; "'!$A$2:$A$50"),INDIRECT("'" &amp;Master!$F$10&amp; "'!$G$2:$G$50"))</f>
        <v>#VALUE!</v>
      </c>
      <c r="H359" s="4" t="e">
        <f ca="1">SplineInterp(A359,INDIRECT("'" &amp;Master!$F$10&amp; "'!$A$2:$A$50"),INDIRECT("'" &amp;Master!$F$10&amp; "'!$H$2:$H$50"))</f>
        <v>#VALUE!</v>
      </c>
      <c r="I359" s="4" t="e">
        <f ca="1">IF(OR(INDIRECT("'" &amp; Master!$F$8 &amp; Master!$F$6 &amp; "'!B" &amp; ROW(B359))="", INDIRECT("'" &amp; Master!$F$8 &amp; Master!$F$6 &amp; "'!B" &amp; ROW(B359))=0), "", INDIRECT("'" &amp; Master!$F$8 &amp; Master!$F$6 &amp; "'!B" &amp; ROW(B359)))</f>
        <v>#VALUE!</v>
      </c>
      <c r="J359" s="9" t="e">
        <f t="shared" ca="1" si="35"/>
        <v>#VALUE!</v>
      </c>
      <c r="K359" s="7" t="e">
        <f t="shared" ca="1" si="36"/>
        <v>#VALUE!</v>
      </c>
      <c r="L359" s="7" t="e">
        <f t="shared" ca="1" si="37"/>
        <v>#VALUE!</v>
      </c>
      <c r="M359" s="7" t="e">
        <f t="shared" ca="1" si="38"/>
        <v>#VALUE!</v>
      </c>
      <c r="N359" s="7" t="e">
        <f t="shared" ca="1" si="39"/>
        <v>#VALUE!</v>
      </c>
      <c r="O359" s="7" t="e">
        <f t="shared" ca="1" si="40"/>
        <v>#VALUE!</v>
      </c>
      <c r="P359" s="7" t="e">
        <f t="shared" ca="1" si="41"/>
        <v>#VALUE!</v>
      </c>
    </row>
    <row r="360" spans="1:16" x14ac:dyDescent="0.25">
      <c r="A360" s="19" t="str">
        <f ca="1">IF(OR(INDIRECT("'" &amp; Master!$F$8 &amp; Master!$F$6 &amp; "'!A" &amp; ROW(A360))="", INDIRECT("'" &amp; Master!$F$8 &amp; Master!$F$6 &amp; "'!A" &amp; ROW(A360))=0), "", INDIRECT("'" &amp; Master!$F$8 &amp; Master!$F$6 &amp; "'!A" &amp; ROW(A360)))</f>
        <v/>
      </c>
      <c r="B360" s="4" t="e">
        <f ca="1">SplineInterp(INDIRECT("A" &amp; ROW()),INDIRECT("'" &amp;Master!$F$10&amp; "'!$A$2:$A$50"),INDIRECT("'" &amp;Master!$F$10&amp; "'!$B$2:$B$50"))</f>
        <v>#VALUE!</v>
      </c>
      <c r="C360" s="4" t="e">
        <f ca="1">SplineInterp(A360,INDIRECT("'" &amp;Master!$F$10&amp; "'!$A$2:$A$50"),INDIRECT("'" &amp;Master!$F$10&amp; "'!$C$2:$C$50"))</f>
        <v>#VALUE!</v>
      </c>
      <c r="D360" s="4" t="e">
        <f ca="1">SplineInterp(A360,INDIRECT("'" &amp;Master!$F$10&amp; "'!$A$2:$A$50"),INDIRECT("'" &amp;Master!$F$10&amp; "'!$D$2:$D$50"))</f>
        <v>#VALUE!</v>
      </c>
      <c r="E360" s="4" t="e">
        <f ca="1">SplineInterp(A360,INDIRECT("'" &amp;Master!$F$10&amp; "'!$A$2:$A$50"),INDIRECT("'" &amp;Master!$F$10&amp; "'!$E$2:$E$50"))</f>
        <v>#VALUE!</v>
      </c>
      <c r="F360" s="4" t="e">
        <f ca="1">SplineInterp(A360,INDIRECT("'" &amp;Master!$F$10&amp; "'!$A$2:$A$50"),INDIRECT("'" &amp;Master!$F$10&amp; "'!$F$2:$F$50"))</f>
        <v>#VALUE!</v>
      </c>
      <c r="G360" s="4" t="e">
        <f ca="1">SplineInterp(A360,INDIRECT("'" &amp;Master!$F$10&amp; "'!$A$2:$A$50"),INDIRECT("'" &amp;Master!$F$10&amp; "'!$G$2:$G$50"))</f>
        <v>#VALUE!</v>
      </c>
      <c r="H360" s="4" t="e">
        <f ca="1">SplineInterp(A360,INDIRECT("'" &amp;Master!$F$10&amp; "'!$A$2:$A$50"),INDIRECT("'" &amp;Master!$F$10&amp; "'!$H$2:$H$50"))</f>
        <v>#VALUE!</v>
      </c>
      <c r="I360" s="4" t="e">
        <f ca="1">IF(OR(INDIRECT("'" &amp; Master!$F$8 &amp; Master!$F$6 &amp; "'!B" &amp; ROW(B360))="", INDIRECT("'" &amp; Master!$F$8 &amp; Master!$F$6 &amp; "'!B" &amp; ROW(B360))=0), "", INDIRECT("'" &amp; Master!$F$8 &amp; Master!$F$6 &amp; "'!B" &amp; ROW(B360)))</f>
        <v>#VALUE!</v>
      </c>
      <c r="J360" s="9" t="e">
        <f t="shared" ca="1" si="35"/>
        <v>#VALUE!</v>
      </c>
      <c r="K360" s="7" t="e">
        <f t="shared" ca="1" si="36"/>
        <v>#VALUE!</v>
      </c>
      <c r="L360" s="7" t="e">
        <f t="shared" ca="1" si="37"/>
        <v>#VALUE!</v>
      </c>
      <c r="M360" s="7" t="e">
        <f t="shared" ca="1" si="38"/>
        <v>#VALUE!</v>
      </c>
      <c r="N360" s="7" t="e">
        <f t="shared" ca="1" si="39"/>
        <v>#VALUE!</v>
      </c>
      <c r="O360" s="7" t="e">
        <f t="shared" ca="1" si="40"/>
        <v>#VALUE!</v>
      </c>
      <c r="P360" s="7" t="e">
        <f t="shared" ca="1" si="41"/>
        <v>#VALUE!</v>
      </c>
    </row>
    <row r="361" spans="1:16" x14ac:dyDescent="0.25">
      <c r="A361" s="19" t="str">
        <f ca="1">IF(OR(INDIRECT("'" &amp; Master!$F$8 &amp; Master!$F$6 &amp; "'!A" &amp; ROW(A361))="", INDIRECT("'" &amp; Master!$F$8 &amp; Master!$F$6 &amp; "'!A" &amp; ROW(A361))=0), "", INDIRECT("'" &amp; Master!$F$8 &amp; Master!$F$6 &amp; "'!A" &amp; ROW(A361)))</f>
        <v/>
      </c>
      <c r="B361" s="4" t="e">
        <f ca="1">SplineInterp(INDIRECT("A" &amp; ROW()),INDIRECT("'" &amp;Master!$F$10&amp; "'!$A$2:$A$50"),INDIRECT("'" &amp;Master!$F$10&amp; "'!$B$2:$B$50"))</f>
        <v>#VALUE!</v>
      </c>
      <c r="C361" s="4" t="e">
        <f ca="1">SplineInterp(A361,INDIRECT("'" &amp;Master!$F$10&amp; "'!$A$2:$A$50"),INDIRECT("'" &amp;Master!$F$10&amp; "'!$C$2:$C$50"))</f>
        <v>#VALUE!</v>
      </c>
      <c r="D361" s="4" t="e">
        <f ca="1">SplineInterp(A361,INDIRECT("'" &amp;Master!$F$10&amp; "'!$A$2:$A$50"),INDIRECT("'" &amp;Master!$F$10&amp; "'!$D$2:$D$50"))</f>
        <v>#VALUE!</v>
      </c>
      <c r="E361" s="4" t="e">
        <f ca="1">SplineInterp(A361,INDIRECT("'" &amp;Master!$F$10&amp; "'!$A$2:$A$50"),INDIRECT("'" &amp;Master!$F$10&amp; "'!$E$2:$E$50"))</f>
        <v>#VALUE!</v>
      </c>
      <c r="F361" s="4" t="e">
        <f ca="1">SplineInterp(A361,INDIRECT("'" &amp;Master!$F$10&amp; "'!$A$2:$A$50"),INDIRECT("'" &amp;Master!$F$10&amp; "'!$F$2:$F$50"))</f>
        <v>#VALUE!</v>
      </c>
      <c r="G361" s="4" t="e">
        <f ca="1">SplineInterp(A361,INDIRECT("'" &amp;Master!$F$10&amp; "'!$A$2:$A$50"),INDIRECT("'" &amp;Master!$F$10&amp; "'!$G$2:$G$50"))</f>
        <v>#VALUE!</v>
      </c>
      <c r="H361" s="4" t="e">
        <f ca="1">SplineInterp(A361,INDIRECT("'" &amp;Master!$F$10&amp; "'!$A$2:$A$50"),INDIRECT("'" &amp;Master!$F$10&amp; "'!$H$2:$H$50"))</f>
        <v>#VALUE!</v>
      </c>
      <c r="I361" s="4" t="e">
        <f ca="1">IF(OR(INDIRECT("'" &amp; Master!$F$8 &amp; Master!$F$6 &amp; "'!B" &amp; ROW(B361))="", INDIRECT("'" &amp; Master!$F$8 &amp; Master!$F$6 &amp; "'!B" &amp; ROW(B361))=0), "", INDIRECT("'" &amp; Master!$F$8 &amp; Master!$F$6 &amp; "'!B" &amp; ROW(B361)))</f>
        <v>#VALUE!</v>
      </c>
      <c r="J361" s="9" t="e">
        <f t="shared" ca="1" si="35"/>
        <v>#VALUE!</v>
      </c>
      <c r="K361" s="7" t="e">
        <f t="shared" ca="1" si="36"/>
        <v>#VALUE!</v>
      </c>
      <c r="L361" s="7" t="e">
        <f t="shared" ca="1" si="37"/>
        <v>#VALUE!</v>
      </c>
      <c r="M361" s="7" t="e">
        <f t="shared" ca="1" si="38"/>
        <v>#VALUE!</v>
      </c>
      <c r="N361" s="7" t="e">
        <f t="shared" ca="1" si="39"/>
        <v>#VALUE!</v>
      </c>
      <c r="O361" s="7" t="e">
        <f t="shared" ca="1" si="40"/>
        <v>#VALUE!</v>
      </c>
      <c r="P361" s="7" t="e">
        <f t="shared" ca="1" si="41"/>
        <v>#VALUE!</v>
      </c>
    </row>
    <row r="362" spans="1:16" x14ac:dyDescent="0.25">
      <c r="A362" s="19" t="str">
        <f ca="1">IF(OR(INDIRECT("'" &amp; Master!$F$8 &amp; Master!$F$6 &amp; "'!A" &amp; ROW(A362))="", INDIRECT("'" &amp; Master!$F$8 &amp; Master!$F$6 &amp; "'!A" &amp; ROW(A362))=0), "", INDIRECT("'" &amp; Master!$F$8 &amp; Master!$F$6 &amp; "'!A" &amp; ROW(A362)))</f>
        <v/>
      </c>
      <c r="B362" s="4" t="e">
        <f ca="1">SplineInterp(INDIRECT("A" &amp; ROW()),INDIRECT("'" &amp;Master!$F$10&amp; "'!$A$2:$A$50"),INDIRECT("'" &amp;Master!$F$10&amp; "'!$B$2:$B$50"))</f>
        <v>#VALUE!</v>
      </c>
      <c r="C362" s="4" t="e">
        <f ca="1">SplineInterp(A362,INDIRECT("'" &amp;Master!$F$10&amp; "'!$A$2:$A$50"),INDIRECT("'" &amp;Master!$F$10&amp; "'!$C$2:$C$50"))</f>
        <v>#VALUE!</v>
      </c>
      <c r="D362" s="4" t="e">
        <f ca="1">SplineInterp(A362,INDIRECT("'" &amp;Master!$F$10&amp; "'!$A$2:$A$50"),INDIRECT("'" &amp;Master!$F$10&amp; "'!$D$2:$D$50"))</f>
        <v>#VALUE!</v>
      </c>
      <c r="E362" s="4" t="e">
        <f ca="1">SplineInterp(A362,INDIRECT("'" &amp;Master!$F$10&amp; "'!$A$2:$A$50"),INDIRECT("'" &amp;Master!$F$10&amp; "'!$E$2:$E$50"))</f>
        <v>#VALUE!</v>
      </c>
      <c r="F362" s="4" t="e">
        <f ca="1">SplineInterp(A362,INDIRECT("'" &amp;Master!$F$10&amp; "'!$A$2:$A$50"),INDIRECT("'" &amp;Master!$F$10&amp; "'!$F$2:$F$50"))</f>
        <v>#VALUE!</v>
      </c>
      <c r="G362" s="4" t="e">
        <f ca="1">SplineInterp(A362,INDIRECT("'" &amp;Master!$F$10&amp; "'!$A$2:$A$50"),INDIRECT("'" &amp;Master!$F$10&amp; "'!$G$2:$G$50"))</f>
        <v>#VALUE!</v>
      </c>
      <c r="H362" s="4" t="e">
        <f ca="1">SplineInterp(A362,INDIRECT("'" &amp;Master!$F$10&amp; "'!$A$2:$A$50"),INDIRECT("'" &amp;Master!$F$10&amp; "'!$H$2:$H$50"))</f>
        <v>#VALUE!</v>
      </c>
      <c r="I362" s="4" t="e">
        <f ca="1">IF(OR(INDIRECT("'" &amp; Master!$F$8 &amp; Master!$F$6 &amp; "'!B" &amp; ROW(B362))="", INDIRECT("'" &amp; Master!$F$8 &amp; Master!$F$6 &amp; "'!B" &amp; ROW(B362))=0), "", INDIRECT("'" &amp; Master!$F$8 &amp; Master!$F$6 &amp; "'!B" &amp; ROW(B362)))</f>
        <v>#VALUE!</v>
      </c>
      <c r="J362" s="9" t="e">
        <f t="shared" ca="1" si="35"/>
        <v>#VALUE!</v>
      </c>
      <c r="K362" s="7" t="e">
        <f t="shared" ca="1" si="36"/>
        <v>#VALUE!</v>
      </c>
      <c r="L362" s="7" t="e">
        <f t="shared" ca="1" si="37"/>
        <v>#VALUE!</v>
      </c>
      <c r="M362" s="7" t="e">
        <f t="shared" ca="1" si="38"/>
        <v>#VALUE!</v>
      </c>
      <c r="N362" s="7" t="e">
        <f t="shared" ca="1" si="39"/>
        <v>#VALUE!</v>
      </c>
      <c r="O362" s="7" t="e">
        <f t="shared" ca="1" si="40"/>
        <v>#VALUE!</v>
      </c>
      <c r="P362" s="7" t="e">
        <f t="shared" ca="1" si="41"/>
        <v>#VALUE!</v>
      </c>
    </row>
    <row r="363" spans="1:16" x14ac:dyDescent="0.25">
      <c r="A363" s="19" t="str">
        <f ca="1">IF(OR(INDIRECT("'" &amp; Master!$F$8 &amp; Master!$F$6 &amp; "'!A" &amp; ROW(A363))="", INDIRECT("'" &amp; Master!$F$8 &amp; Master!$F$6 &amp; "'!A" &amp; ROW(A363))=0), "", INDIRECT("'" &amp; Master!$F$8 &amp; Master!$F$6 &amp; "'!A" &amp; ROW(A363)))</f>
        <v/>
      </c>
      <c r="B363" s="4" t="e">
        <f ca="1">SplineInterp(INDIRECT("A" &amp; ROW()),INDIRECT("'" &amp;Master!$F$10&amp; "'!$A$2:$A$50"),INDIRECT("'" &amp;Master!$F$10&amp; "'!$B$2:$B$50"))</f>
        <v>#VALUE!</v>
      </c>
      <c r="C363" s="4" t="e">
        <f ca="1">SplineInterp(A363,INDIRECT("'" &amp;Master!$F$10&amp; "'!$A$2:$A$50"),INDIRECT("'" &amp;Master!$F$10&amp; "'!$C$2:$C$50"))</f>
        <v>#VALUE!</v>
      </c>
      <c r="D363" s="4" t="e">
        <f ca="1">SplineInterp(A363,INDIRECT("'" &amp;Master!$F$10&amp; "'!$A$2:$A$50"),INDIRECT("'" &amp;Master!$F$10&amp; "'!$D$2:$D$50"))</f>
        <v>#VALUE!</v>
      </c>
      <c r="E363" s="4" t="e">
        <f ca="1">SplineInterp(A363,INDIRECT("'" &amp;Master!$F$10&amp; "'!$A$2:$A$50"),INDIRECT("'" &amp;Master!$F$10&amp; "'!$E$2:$E$50"))</f>
        <v>#VALUE!</v>
      </c>
      <c r="F363" s="4" t="e">
        <f ca="1">SplineInterp(A363,INDIRECT("'" &amp;Master!$F$10&amp; "'!$A$2:$A$50"),INDIRECT("'" &amp;Master!$F$10&amp; "'!$F$2:$F$50"))</f>
        <v>#VALUE!</v>
      </c>
      <c r="G363" s="4" t="e">
        <f ca="1">SplineInterp(A363,INDIRECT("'" &amp;Master!$F$10&amp; "'!$A$2:$A$50"),INDIRECT("'" &amp;Master!$F$10&amp; "'!$G$2:$G$50"))</f>
        <v>#VALUE!</v>
      </c>
      <c r="H363" s="4" t="e">
        <f ca="1">SplineInterp(A363,INDIRECT("'" &amp;Master!$F$10&amp; "'!$A$2:$A$50"),INDIRECT("'" &amp;Master!$F$10&amp; "'!$H$2:$H$50"))</f>
        <v>#VALUE!</v>
      </c>
      <c r="I363" s="4" t="e">
        <f ca="1">IF(OR(INDIRECT("'" &amp; Master!$F$8 &amp; Master!$F$6 &amp; "'!B" &amp; ROW(B363))="", INDIRECT("'" &amp; Master!$F$8 &amp; Master!$F$6 &amp; "'!B" &amp; ROW(B363))=0), "", INDIRECT("'" &amp; Master!$F$8 &amp; Master!$F$6 &amp; "'!B" &amp; ROW(B363)))</f>
        <v>#VALUE!</v>
      </c>
      <c r="J363" s="9" t="e">
        <f t="shared" ca="1" si="35"/>
        <v>#VALUE!</v>
      </c>
      <c r="K363" s="7" t="e">
        <f t="shared" ca="1" si="36"/>
        <v>#VALUE!</v>
      </c>
      <c r="L363" s="7" t="e">
        <f t="shared" ca="1" si="37"/>
        <v>#VALUE!</v>
      </c>
      <c r="M363" s="7" t="e">
        <f t="shared" ca="1" si="38"/>
        <v>#VALUE!</v>
      </c>
      <c r="N363" s="7" t="e">
        <f t="shared" ca="1" si="39"/>
        <v>#VALUE!</v>
      </c>
      <c r="O363" s="7" t="e">
        <f t="shared" ca="1" si="40"/>
        <v>#VALUE!</v>
      </c>
      <c r="P363" s="7" t="e">
        <f t="shared" ca="1" si="41"/>
        <v>#VALUE!</v>
      </c>
    </row>
    <row r="364" spans="1:16" x14ac:dyDescent="0.25">
      <c r="A364" s="19" t="str">
        <f ca="1">IF(OR(INDIRECT("'" &amp; Master!$F$8 &amp; Master!$F$6 &amp; "'!A" &amp; ROW(A364))="", INDIRECT("'" &amp; Master!$F$8 &amp; Master!$F$6 &amp; "'!A" &amp; ROW(A364))=0), "", INDIRECT("'" &amp; Master!$F$8 &amp; Master!$F$6 &amp; "'!A" &amp; ROW(A364)))</f>
        <v/>
      </c>
      <c r="B364" s="4" t="e">
        <f ca="1">SplineInterp(INDIRECT("A" &amp; ROW()),INDIRECT("'" &amp;Master!$F$10&amp; "'!$A$2:$A$50"),INDIRECT("'" &amp;Master!$F$10&amp; "'!$B$2:$B$50"))</f>
        <v>#VALUE!</v>
      </c>
      <c r="C364" s="4" t="e">
        <f ca="1">SplineInterp(A364,INDIRECT("'" &amp;Master!$F$10&amp; "'!$A$2:$A$50"),INDIRECT("'" &amp;Master!$F$10&amp; "'!$C$2:$C$50"))</f>
        <v>#VALUE!</v>
      </c>
      <c r="D364" s="4" t="e">
        <f ca="1">SplineInterp(A364,INDIRECT("'" &amp;Master!$F$10&amp; "'!$A$2:$A$50"),INDIRECT("'" &amp;Master!$F$10&amp; "'!$D$2:$D$50"))</f>
        <v>#VALUE!</v>
      </c>
      <c r="E364" s="4" t="e">
        <f ca="1">SplineInterp(A364,INDIRECT("'" &amp;Master!$F$10&amp; "'!$A$2:$A$50"),INDIRECT("'" &amp;Master!$F$10&amp; "'!$E$2:$E$50"))</f>
        <v>#VALUE!</v>
      </c>
      <c r="F364" s="4" t="e">
        <f ca="1">SplineInterp(A364,INDIRECT("'" &amp;Master!$F$10&amp; "'!$A$2:$A$50"),INDIRECT("'" &amp;Master!$F$10&amp; "'!$F$2:$F$50"))</f>
        <v>#VALUE!</v>
      </c>
      <c r="G364" s="4" t="e">
        <f ca="1">SplineInterp(A364,INDIRECT("'" &amp;Master!$F$10&amp; "'!$A$2:$A$50"),INDIRECT("'" &amp;Master!$F$10&amp; "'!$G$2:$G$50"))</f>
        <v>#VALUE!</v>
      </c>
      <c r="H364" s="4" t="e">
        <f ca="1">SplineInterp(A364,INDIRECT("'" &amp;Master!$F$10&amp; "'!$A$2:$A$50"),INDIRECT("'" &amp;Master!$F$10&amp; "'!$H$2:$H$50"))</f>
        <v>#VALUE!</v>
      </c>
      <c r="I364" s="4" t="e">
        <f ca="1">IF(OR(INDIRECT("'" &amp; Master!$F$8 &amp; Master!$F$6 &amp; "'!B" &amp; ROW(B364))="", INDIRECT("'" &amp; Master!$F$8 &amp; Master!$F$6 &amp; "'!B" &amp; ROW(B364))=0), "", INDIRECT("'" &amp; Master!$F$8 &amp; Master!$F$6 &amp; "'!B" &amp; ROW(B364)))</f>
        <v>#VALUE!</v>
      </c>
      <c r="J364" s="9" t="e">
        <f t="shared" ca="1" si="35"/>
        <v>#VALUE!</v>
      </c>
      <c r="K364" s="7" t="e">
        <f t="shared" ca="1" si="36"/>
        <v>#VALUE!</v>
      </c>
      <c r="L364" s="7" t="e">
        <f t="shared" ca="1" si="37"/>
        <v>#VALUE!</v>
      </c>
      <c r="M364" s="7" t="e">
        <f t="shared" ca="1" si="38"/>
        <v>#VALUE!</v>
      </c>
      <c r="N364" s="7" t="e">
        <f t="shared" ca="1" si="39"/>
        <v>#VALUE!</v>
      </c>
      <c r="O364" s="7" t="e">
        <f t="shared" ca="1" si="40"/>
        <v>#VALUE!</v>
      </c>
      <c r="P364" s="7" t="e">
        <f t="shared" ca="1" si="41"/>
        <v>#VALUE!</v>
      </c>
    </row>
    <row r="365" spans="1:16" x14ac:dyDescent="0.25">
      <c r="A365" s="19" t="str">
        <f ca="1">IF(OR(INDIRECT("'" &amp; Master!$F$8 &amp; Master!$F$6 &amp; "'!A" &amp; ROW(A365))="", INDIRECT("'" &amp; Master!$F$8 &amp; Master!$F$6 &amp; "'!A" &amp; ROW(A365))=0), "", INDIRECT("'" &amp; Master!$F$8 &amp; Master!$F$6 &amp; "'!A" &amp; ROW(A365)))</f>
        <v/>
      </c>
      <c r="B365" s="4" t="e">
        <f ca="1">SplineInterp(INDIRECT("A" &amp; ROW()),INDIRECT("'" &amp;Master!$F$10&amp; "'!$A$2:$A$50"),INDIRECT("'" &amp;Master!$F$10&amp; "'!$B$2:$B$50"))</f>
        <v>#VALUE!</v>
      </c>
      <c r="C365" s="4" t="e">
        <f ca="1">SplineInterp(A365,INDIRECT("'" &amp;Master!$F$10&amp; "'!$A$2:$A$50"),INDIRECT("'" &amp;Master!$F$10&amp; "'!$C$2:$C$50"))</f>
        <v>#VALUE!</v>
      </c>
      <c r="D365" s="4" t="e">
        <f ca="1">SplineInterp(A365,INDIRECT("'" &amp;Master!$F$10&amp; "'!$A$2:$A$50"),INDIRECT("'" &amp;Master!$F$10&amp; "'!$D$2:$D$50"))</f>
        <v>#VALUE!</v>
      </c>
      <c r="E365" s="4" t="e">
        <f ca="1">SplineInterp(A365,INDIRECT("'" &amp;Master!$F$10&amp; "'!$A$2:$A$50"),INDIRECT("'" &amp;Master!$F$10&amp; "'!$E$2:$E$50"))</f>
        <v>#VALUE!</v>
      </c>
      <c r="F365" s="4" t="e">
        <f ca="1">SplineInterp(A365,INDIRECT("'" &amp;Master!$F$10&amp; "'!$A$2:$A$50"),INDIRECT("'" &amp;Master!$F$10&amp; "'!$F$2:$F$50"))</f>
        <v>#VALUE!</v>
      </c>
      <c r="G365" s="4" t="e">
        <f ca="1">SplineInterp(A365,INDIRECT("'" &amp;Master!$F$10&amp; "'!$A$2:$A$50"),INDIRECT("'" &amp;Master!$F$10&amp; "'!$G$2:$G$50"))</f>
        <v>#VALUE!</v>
      </c>
      <c r="H365" s="4" t="e">
        <f ca="1">SplineInterp(A365,INDIRECT("'" &amp;Master!$F$10&amp; "'!$A$2:$A$50"),INDIRECT("'" &amp;Master!$F$10&amp; "'!$H$2:$H$50"))</f>
        <v>#VALUE!</v>
      </c>
      <c r="I365" s="4" t="e">
        <f ca="1">IF(OR(INDIRECT("'" &amp; Master!$F$8 &amp; Master!$F$6 &amp; "'!B" &amp; ROW(B365))="", INDIRECT("'" &amp; Master!$F$8 &amp; Master!$F$6 &amp; "'!B" &amp; ROW(B365))=0), "", INDIRECT("'" &amp; Master!$F$8 &amp; Master!$F$6 &amp; "'!B" &amp; ROW(B365)))</f>
        <v>#VALUE!</v>
      </c>
      <c r="J365" s="9" t="e">
        <f t="shared" ca="1" si="35"/>
        <v>#VALUE!</v>
      </c>
      <c r="K365" s="7" t="e">
        <f t="shared" ca="1" si="36"/>
        <v>#VALUE!</v>
      </c>
      <c r="L365" s="7" t="e">
        <f t="shared" ca="1" si="37"/>
        <v>#VALUE!</v>
      </c>
      <c r="M365" s="7" t="e">
        <f t="shared" ca="1" si="38"/>
        <v>#VALUE!</v>
      </c>
      <c r="N365" s="7" t="e">
        <f t="shared" ca="1" si="39"/>
        <v>#VALUE!</v>
      </c>
      <c r="O365" s="7" t="e">
        <f t="shared" ca="1" si="40"/>
        <v>#VALUE!</v>
      </c>
      <c r="P365" s="7" t="e">
        <f t="shared" ca="1" si="41"/>
        <v>#VALUE!</v>
      </c>
    </row>
    <row r="366" spans="1:16" x14ac:dyDescent="0.25">
      <c r="A366" s="19" t="str">
        <f ca="1">IF(OR(INDIRECT("'" &amp; Master!$F$8 &amp; Master!$F$6 &amp; "'!A" &amp; ROW(A366))="", INDIRECT("'" &amp; Master!$F$8 &amp; Master!$F$6 &amp; "'!A" &amp; ROW(A366))=0), "", INDIRECT("'" &amp; Master!$F$8 &amp; Master!$F$6 &amp; "'!A" &amp; ROW(A366)))</f>
        <v/>
      </c>
      <c r="B366" s="4" t="e">
        <f ca="1">SplineInterp(INDIRECT("A" &amp; ROW()),INDIRECT("'" &amp;Master!$F$10&amp; "'!$A$2:$A$50"),INDIRECT("'" &amp;Master!$F$10&amp; "'!$B$2:$B$50"))</f>
        <v>#VALUE!</v>
      </c>
      <c r="C366" s="4" t="e">
        <f ca="1">SplineInterp(A366,INDIRECT("'" &amp;Master!$F$10&amp; "'!$A$2:$A$50"),INDIRECT("'" &amp;Master!$F$10&amp; "'!$C$2:$C$50"))</f>
        <v>#VALUE!</v>
      </c>
      <c r="D366" s="4" t="e">
        <f ca="1">SplineInterp(A366,INDIRECT("'" &amp;Master!$F$10&amp; "'!$A$2:$A$50"),INDIRECT("'" &amp;Master!$F$10&amp; "'!$D$2:$D$50"))</f>
        <v>#VALUE!</v>
      </c>
      <c r="E366" s="4" t="e">
        <f ca="1">SplineInterp(A366,INDIRECT("'" &amp;Master!$F$10&amp; "'!$A$2:$A$50"),INDIRECT("'" &amp;Master!$F$10&amp; "'!$E$2:$E$50"))</f>
        <v>#VALUE!</v>
      </c>
      <c r="F366" s="4" t="e">
        <f ca="1">SplineInterp(A366,INDIRECT("'" &amp;Master!$F$10&amp; "'!$A$2:$A$50"),INDIRECT("'" &amp;Master!$F$10&amp; "'!$F$2:$F$50"))</f>
        <v>#VALUE!</v>
      </c>
      <c r="G366" s="4" t="e">
        <f ca="1">SplineInterp(A366,INDIRECT("'" &amp;Master!$F$10&amp; "'!$A$2:$A$50"),INDIRECT("'" &amp;Master!$F$10&amp; "'!$G$2:$G$50"))</f>
        <v>#VALUE!</v>
      </c>
      <c r="H366" s="4" t="e">
        <f ca="1">SplineInterp(A366,INDIRECT("'" &amp;Master!$F$10&amp; "'!$A$2:$A$50"),INDIRECT("'" &amp;Master!$F$10&amp; "'!$H$2:$H$50"))</f>
        <v>#VALUE!</v>
      </c>
      <c r="I366" s="4" t="e">
        <f ca="1">IF(OR(INDIRECT("'" &amp; Master!$F$8 &amp; Master!$F$6 &amp; "'!B" &amp; ROW(B366))="", INDIRECT("'" &amp; Master!$F$8 &amp; Master!$F$6 &amp; "'!B" &amp; ROW(B366))=0), "", INDIRECT("'" &amp; Master!$F$8 &amp; Master!$F$6 &amp; "'!B" &amp; ROW(B366)))</f>
        <v>#VALUE!</v>
      </c>
      <c r="J366" s="9" t="e">
        <f t="shared" ca="1" si="35"/>
        <v>#VALUE!</v>
      </c>
      <c r="K366" s="7" t="e">
        <f t="shared" ca="1" si="36"/>
        <v>#VALUE!</v>
      </c>
      <c r="L366" s="7" t="e">
        <f t="shared" ca="1" si="37"/>
        <v>#VALUE!</v>
      </c>
      <c r="M366" s="7" t="e">
        <f t="shared" ca="1" si="38"/>
        <v>#VALUE!</v>
      </c>
      <c r="N366" s="7" t="e">
        <f t="shared" ca="1" si="39"/>
        <v>#VALUE!</v>
      </c>
      <c r="O366" s="7" t="e">
        <f t="shared" ca="1" si="40"/>
        <v>#VALUE!</v>
      </c>
      <c r="P366" s="7" t="e">
        <f t="shared" ca="1" si="41"/>
        <v>#VALUE!</v>
      </c>
    </row>
    <row r="367" spans="1:16" x14ac:dyDescent="0.25">
      <c r="A367" s="19" t="str">
        <f ca="1">IF(OR(INDIRECT("'" &amp; Master!$F$8 &amp; Master!$F$6 &amp; "'!A" &amp; ROW(A367))="", INDIRECT("'" &amp; Master!$F$8 &amp; Master!$F$6 &amp; "'!A" &amp; ROW(A367))=0), "", INDIRECT("'" &amp; Master!$F$8 &amp; Master!$F$6 &amp; "'!A" &amp; ROW(A367)))</f>
        <v/>
      </c>
      <c r="B367" s="4" t="e">
        <f ca="1">SplineInterp(INDIRECT("A" &amp; ROW()),INDIRECT("'" &amp;Master!$F$10&amp; "'!$A$2:$A$50"),INDIRECT("'" &amp;Master!$F$10&amp; "'!$B$2:$B$50"))</f>
        <v>#VALUE!</v>
      </c>
      <c r="C367" s="4" t="e">
        <f ca="1">SplineInterp(A367,INDIRECT("'" &amp;Master!$F$10&amp; "'!$A$2:$A$50"),INDIRECT("'" &amp;Master!$F$10&amp; "'!$C$2:$C$50"))</f>
        <v>#VALUE!</v>
      </c>
      <c r="D367" s="4" t="e">
        <f ca="1">SplineInterp(A367,INDIRECT("'" &amp;Master!$F$10&amp; "'!$A$2:$A$50"),INDIRECT("'" &amp;Master!$F$10&amp; "'!$D$2:$D$50"))</f>
        <v>#VALUE!</v>
      </c>
      <c r="E367" s="4" t="e">
        <f ca="1">SplineInterp(A367,INDIRECT("'" &amp;Master!$F$10&amp; "'!$A$2:$A$50"),INDIRECT("'" &amp;Master!$F$10&amp; "'!$E$2:$E$50"))</f>
        <v>#VALUE!</v>
      </c>
      <c r="F367" s="4" t="e">
        <f ca="1">SplineInterp(A367,INDIRECT("'" &amp;Master!$F$10&amp; "'!$A$2:$A$50"),INDIRECT("'" &amp;Master!$F$10&amp; "'!$F$2:$F$50"))</f>
        <v>#VALUE!</v>
      </c>
      <c r="G367" s="4" t="e">
        <f ca="1">SplineInterp(A367,INDIRECT("'" &amp;Master!$F$10&amp; "'!$A$2:$A$50"),INDIRECT("'" &amp;Master!$F$10&amp; "'!$G$2:$G$50"))</f>
        <v>#VALUE!</v>
      </c>
      <c r="H367" s="4" t="e">
        <f ca="1">SplineInterp(A367,INDIRECT("'" &amp;Master!$F$10&amp; "'!$A$2:$A$50"),INDIRECT("'" &amp;Master!$F$10&amp; "'!$H$2:$H$50"))</f>
        <v>#VALUE!</v>
      </c>
      <c r="I367" s="4" t="e">
        <f ca="1">IF(OR(INDIRECT("'" &amp; Master!$F$8 &amp; Master!$F$6 &amp; "'!B" &amp; ROW(B367))="", INDIRECT("'" &amp; Master!$F$8 &amp; Master!$F$6 &amp; "'!B" &amp; ROW(B367))=0), "", INDIRECT("'" &amp; Master!$F$8 &amp; Master!$F$6 &amp; "'!B" &amp; ROW(B367)))</f>
        <v>#VALUE!</v>
      </c>
      <c r="J367" s="9" t="e">
        <f t="shared" ca="1" si="35"/>
        <v>#VALUE!</v>
      </c>
      <c r="K367" s="7" t="e">
        <f t="shared" ca="1" si="36"/>
        <v>#VALUE!</v>
      </c>
      <c r="L367" s="7" t="e">
        <f t="shared" ca="1" si="37"/>
        <v>#VALUE!</v>
      </c>
      <c r="M367" s="7" t="e">
        <f t="shared" ca="1" si="38"/>
        <v>#VALUE!</v>
      </c>
      <c r="N367" s="7" t="e">
        <f t="shared" ca="1" si="39"/>
        <v>#VALUE!</v>
      </c>
      <c r="O367" s="7" t="e">
        <f t="shared" ca="1" si="40"/>
        <v>#VALUE!</v>
      </c>
      <c r="P367" s="7" t="e">
        <f t="shared" ca="1" si="41"/>
        <v>#VALUE!</v>
      </c>
    </row>
    <row r="368" spans="1:16" x14ac:dyDescent="0.25">
      <c r="A368" s="19" t="str">
        <f ca="1">IF(OR(INDIRECT("'" &amp; Master!$F$8 &amp; Master!$F$6 &amp; "'!A" &amp; ROW(A368))="", INDIRECT("'" &amp; Master!$F$8 &amp; Master!$F$6 &amp; "'!A" &amp; ROW(A368))=0), "", INDIRECT("'" &amp; Master!$F$8 &amp; Master!$F$6 &amp; "'!A" &amp; ROW(A368)))</f>
        <v/>
      </c>
      <c r="B368" s="4" t="e">
        <f ca="1">SplineInterp(INDIRECT("A" &amp; ROW()),INDIRECT("'" &amp;Master!$F$10&amp; "'!$A$2:$A$50"),INDIRECT("'" &amp;Master!$F$10&amp; "'!$B$2:$B$50"))</f>
        <v>#VALUE!</v>
      </c>
      <c r="C368" s="4" t="e">
        <f ca="1">SplineInterp(A368,INDIRECT("'" &amp;Master!$F$10&amp; "'!$A$2:$A$50"),INDIRECT("'" &amp;Master!$F$10&amp; "'!$C$2:$C$50"))</f>
        <v>#VALUE!</v>
      </c>
      <c r="D368" s="4" t="e">
        <f ca="1">SplineInterp(A368,INDIRECT("'" &amp;Master!$F$10&amp; "'!$A$2:$A$50"),INDIRECT("'" &amp;Master!$F$10&amp; "'!$D$2:$D$50"))</f>
        <v>#VALUE!</v>
      </c>
      <c r="E368" s="4" t="e">
        <f ca="1">SplineInterp(A368,INDIRECT("'" &amp;Master!$F$10&amp; "'!$A$2:$A$50"),INDIRECT("'" &amp;Master!$F$10&amp; "'!$E$2:$E$50"))</f>
        <v>#VALUE!</v>
      </c>
      <c r="F368" s="4" t="e">
        <f ca="1">SplineInterp(A368,INDIRECT("'" &amp;Master!$F$10&amp; "'!$A$2:$A$50"),INDIRECT("'" &amp;Master!$F$10&amp; "'!$F$2:$F$50"))</f>
        <v>#VALUE!</v>
      </c>
      <c r="G368" s="4" t="e">
        <f ca="1">SplineInterp(A368,INDIRECT("'" &amp;Master!$F$10&amp; "'!$A$2:$A$50"),INDIRECT("'" &amp;Master!$F$10&amp; "'!$G$2:$G$50"))</f>
        <v>#VALUE!</v>
      </c>
      <c r="H368" s="4" t="e">
        <f ca="1">SplineInterp(A368,INDIRECT("'" &amp;Master!$F$10&amp; "'!$A$2:$A$50"),INDIRECT("'" &amp;Master!$F$10&amp; "'!$H$2:$H$50"))</f>
        <v>#VALUE!</v>
      </c>
      <c r="I368" s="4" t="e">
        <f ca="1">IF(OR(INDIRECT("'" &amp; Master!$F$8 &amp; Master!$F$6 &amp; "'!B" &amp; ROW(B368))="", INDIRECT("'" &amp; Master!$F$8 &amp; Master!$F$6 &amp; "'!B" &amp; ROW(B368))=0), "", INDIRECT("'" &amp; Master!$F$8 &amp; Master!$F$6 &amp; "'!B" &amp; ROW(B368)))</f>
        <v>#VALUE!</v>
      </c>
      <c r="J368" s="9" t="e">
        <f t="shared" ca="1" si="35"/>
        <v>#VALUE!</v>
      </c>
      <c r="K368" s="7" t="e">
        <f t="shared" ca="1" si="36"/>
        <v>#VALUE!</v>
      </c>
      <c r="L368" s="7" t="e">
        <f t="shared" ca="1" si="37"/>
        <v>#VALUE!</v>
      </c>
      <c r="M368" s="7" t="e">
        <f t="shared" ca="1" si="38"/>
        <v>#VALUE!</v>
      </c>
      <c r="N368" s="7" t="e">
        <f t="shared" ca="1" si="39"/>
        <v>#VALUE!</v>
      </c>
      <c r="O368" s="7" t="e">
        <f t="shared" ca="1" si="40"/>
        <v>#VALUE!</v>
      </c>
      <c r="P368" s="7" t="e">
        <f t="shared" ca="1" si="41"/>
        <v>#VALUE!</v>
      </c>
    </row>
    <row r="369" spans="1:16" x14ac:dyDescent="0.25">
      <c r="A369" s="19" t="str">
        <f ca="1">IF(OR(INDIRECT("'" &amp; Master!$F$8 &amp; Master!$F$6 &amp; "'!A" &amp; ROW(A369))="", INDIRECT("'" &amp; Master!$F$8 &amp; Master!$F$6 &amp; "'!A" &amp; ROW(A369))=0), "", INDIRECT("'" &amp; Master!$F$8 &amp; Master!$F$6 &amp; "'!A" &amp; ROW(A369)))</f>
        <v/>
      </c>
      <c r="B369" s="4" t="e">
        <f ca="1">SplineInterp(INDIRECT("A" &amp; ROW()),INDIRECT("'" &amp;Master!$F$10&amp; "'!$A$2:$A$50"),INDIRECT("'" &amp;Master!$F$10&amp; "'!$B$2:$B$50"))</f>
        <v>#VALUE!</v>
      </c>
      <c r="C369" s="4" t="e">
        <f ca="1">SplineInterp(A369,INDIRECT("'" &amp;Master!$F$10&amp; "'!$A$2:$A$50"),INDIRECT("'" &amp;Master!$F$10&amp; "'!$C$2:$C$50"))</f>
        <v>#VALUE!</v>
      </c>
      <c r="D369" s="4" t="e">
        <f ca="1">SplineInterp(A369,INDIRECT("'" &amp;Master!$F$10&amp; "'!$A$2:$A$50"),INDIRECT("'" &amp;Master!$F$10&amp; "'!$D$2:$D$50"))</f>
        <v>#VALUE!</v>
      </c>
      <c r="E369" s="4" t="e">
        <f ca="1">SplineInterp(A369,INDIRECT("'" &amp;Master!$F$10&amp; "'!$A$2:$A$50"),INDIRECT("'" &amp;Master!$F$10&amp; "'!$E$2:$E$50"))</f>
        <v>#VALUE!</v>
      </c>
      <c r="F369" s="4" t="e">
        <f ca="1">SplineInterp(A369,INDIRECT("'" &amp;Master!$F$10&amp; "'!$A$2:$A$50"),INDIRECT("'" &amp;Master!$F$10&amp; "'!$F$2:$F$50"))</f>
        <v>#VALUE!</v>
      </c>
      <c r="G369" s="4" t="e">
        <f ca="1">SplineInterp(A369,INDIRECT("'" &amp;Master!$F$10&amp; "'!$A$2:$A$50"),INDIRECT("'" &amp;Master!$F$10&amp; "'!$G$2:$G$50"))</f>
        <v>#VALUE!</v>
      </c>
      <c r="H369" s="4" t="e">
        <f ca="1">SplineInterp(A369,INDIRECT("'" &amp;Master!$F$10&amp; "'!$A$2:$A$50"),INDIRECT("'" &amp;Master!$F$10&amp; "'!$H$2:$H$50"))</f>
        <v>#VALUE!</v>
      </c>
      <c r="I369" s="4" t="e">
        <f ca="1">IF(OR(INDIRECT("'" &amp; Master!$F$8 &amp; Master!$F$6 &amp; "'!B" &amp; ROW(B369))="", INDIRECT("'" &amp; Master!$F$8 &amp; Master!$F$6 &amp; "'!B" &amp; ROW(B369))=0), "", INDIRECT("'" &amp; Master!$F$8 &amp; Master!$F$6 &amp; "'!B" &amp; ROW(B369)))</f>
        <v>#VALUE!</v>
      </c>
      <c r="J369" s="9" t="e">
        <f t="shared" ca="1" si="35"/>
        <v>#VALUE!</v>
      </c>
      <c r="K369" s="7" t="e">
        <f t="shared" ca="1" si="36"/>
        <v>#VALUE!</v>
      </c>
      <c r="L369" s="7" t="e">
        <f t="shared" ca="1" si="37"/>
        <v>#VALUE!</v>
      </c>
      <c r="M369" s="7" t="e">
        <f t="shared" ca="1" si="38"/>
        <v>#VALUE!</v>
      </c>
      <c r="N369" s="7" t="e">
        <f t="shared" ca="1" si="39"/>
        <v>#VALUE!</v>
      </c>
      <c r="O369" s="7" t="e">
        <f t="shared" ca="1" si="40"/>
        <v>#VALUE!</v>
      </c>
      <c r="P369" s="7" t="e">
        <f t="shared" ca="1" si="41"/>
        <v>#VALUE!</v>
      </c>
    </row>
    <row r="370" spans="1:16" x14ac:dyDescent="0.25">
      <c r="A370" s="19" t="str">
        <f ca="1">IF(OR(INDIRECT("'" &amp; Master!$F$8 &amp; Master!$F$6 &amp; "'!A" &amp; ROW(A370))="", INDIRECT("'" &amp; Master!$F$8 &amp; Master!$F$6 &amp; "'!A" &amp; ROW(A370))=0), "", INDIRECT("'" &amp; Master!$F$8 &amp; Master!$F$6 &amp; "'!A" &amp; ROW(A370)))</f>
        <v/>
      </c>
      <c r="B370" s="4" t="e">
        <f ca="1">SplineInterp(INDIRECT("A" &amp; ROW()),INDIRECT("'" &amp;Master!$F$10&amp; "'!$A$2:$A$50"),INDIRECT("'" &amp;Master!$F$10&amp; "'!$B$2:$B$50"))</f>
        <v>#VALUE!</v>
      </c>
      <c r="C370" s="4" t="e">
        <f ca="1">SplineInterp(A370,INDIRECT("'" &amp;Master!$F$10&amp; "'!$A$2:$A$50"),INDIRECT("'" &amp;Master!$F$10&amp; "'!$C$2:$C$50"))</f>
        <v>#VALUE!</v>
      </c>
      <c r="D370" s="4" t="e">
        <f ca="1">SplineInterp(A370,INDIRECT("'" &amp;Master!$F$10&amp; "'!$A$2:$A$50"),INDIRECT("'" &amp;Master!$F$10&amp; "'!$D$2:$D$50"))</f>
        <v>#VALUE!</v>
      </c>
      <c r="E370" s="4" t="e">
        <f ca="1">SplineInterp(A370,INDIRECT("'" &amp;Master!$F$10&amp; "'!$A$2:$A$50"),INDIRECT("'" &amp;Master!$F$10&amp; "'!$E$2:$E$50"))</f>
        <v>#VALUE!</v>
      </c>
      <c r="F370" s="4" t="e">
        <f ca="1">SplineInterp(A370,INDIRECT("'" &amp;Master!$F$10&amp; "'!$A$2:$A$50"),INDIRECT("'" &amp;Master!$F$10&amp; "'!$F$2:$F$50"))</f>
        <v>#VALUE!</v>
      </c>
      <c r="G370" s="4" t="e">
        <f ca="1">SplineInterp(A370,INDIRECT("'" &amp;Master!$F$10&amp; "'!$A$2:$A$50"),INDIRECT("'" &amp;Master!$F$10&amp; "'!$G$2:$G$50"))</f>
        <v>#VALUE!</v>
      </c>
      <c r="H370" s="4" t="e">
        <f ca="1">SplineInterp(A370,INDIRECT("'" &amp;Master!$F$10&amp; "'!$A$2:$A$50"),INDIRECT("'" &amp;Master!$F$10&amp; "'!$H$2:$H$50"))</f>
        <v>#VALUE!</v>
      </c>
      <c r="I370" s="4" t="e">
        <f ca="1">IF(OR(INDIRECT("'" &amp; Master!$F$8 &amp; Master!$F$6 &amp; "'!B" &amp; ROW(B370))="", INDIRECT("'" &amp; Master!$F$8 &amp; Master!$F$6 &amp; "'!B" &amp; ROW(B370))=0), "", INDIRECT("'" &amp; Master!$F$8 &amp; Master!$F$6 &amp; "'!B" &amp; ROW(B370)))</f>
        <v>#VALUE!</v>
      </c>
      <c r="J370" s="9" t="e">
        <f t="shared" ca="1" si="35"/>
        <v>#VALUE!</v>
      </c>
      <c r="K370" s="7" t="e">
        <f t="shared" ca="1" si="36"/>
        <v>#VALUE!</v>
      </c>
      <c r="L370" s="7" t="e">
        <f t="shared" ca="1" si="37"/>
        <v>#VALUE!</v>
      </c>
      <c r="M370" s="7" t="e">
        <f t="shared" ca="1" si="38"/>
        <v>#VALUE!</v>
      </c>
      <c r="N370" s="7" t="e">
        <f t="shared" ca="1" si="39"/>
        <v>#VALUE!</v>
      </c>
      <c r="O370" s="7" t="e">
        <f t="shared" ca="1" si="40"/>
        <v>#VALUE!</v>
      </c>
      <c r="P370" s="7" t="e">
        <f t="shared" ca="1" si="41"/>
        <v>#VALUE!</v>
      </c>
    </row>
    <row r="371" spans="1:16" x14ac:dyDescent="0.25">
      <c r="A371" s="19" t="str">
        <f ca="1">IF(OR(INDIRECT("'" &amp; Master!$F$8 &amp; Master!$F$6 &amp; "'!A" &amp; ROW(A371))="", INDIRECT("'" &amp; Master!$F$8 &amp; Master!$F$6 &amp; "'!A" &amp; ROW(A371))=0), "", INDIRECT("'" &amp; Master!$F$8 &amp; Master!$F$6 &amp; "'!A" &amp; ROW(A371)))</f>
        <v/>
      </c>
      <c r="B371" s="4" t="e">
        <f ca="1">SplineInterp(INDIRECT("A" &amp; ROW()),INDIRECT("'" &amp;Master!$F$10&amp; "'!$A$2:$A$50"),INDIRECT("'" &amp;Master!$F$10&amp; "'!$B$2:$B$50"))</f>
        <v>#VALUE!</v>
      </c>
      <c r="C371" s="4" t="e">
        <f ca="1">SplineInterp(A371,INDIRECT("'" &amp;Master!$F$10&amp; "'!$A$2:$A$50"),INDIRECT("'" &amp;Master!$F$10&amp; "'!$C$2:$C$50"))</f>
        <v>#VALUE!</v>
      </c>
      <c r="D371" s="4" t="e">
        <f ca="1">SplineInterp(A371,INDIRECT("'" &amp;Master!$F$10&amp; "'!$A$2:$A$50"),INDIRECT("'" &amp;Master!$F$10&amp; "'!$D$2:$D$50"))</f>
        <v>#VALUE!</v>
      </c>
      <c r="E371" s="4" t="e">
        <f ca="1">SplineInterp(A371,INDIRECT("'" &amp;Master!$F$10&amp; "'!$A$2:$A$50"),INDIRECT("'" &amp;Master!$F$10&amp; "'!$E$2:$E$50"))</f>
        <v>#VALUE!</v>
      </c>
      <c r="F371" s="4" t="e">
        <f ca="1">SplineInterp(A371,INDIRECT("'" &amp;Master!$F$10&amp; "'!$A$2:$A$50"),INDIRECT("'" &amp;Master!$F$10&amp; "'!$F$2:$F$50"))</f>
        <v>#VALUE!</v>
      </c>
      <c r="G371" s="4" t="e">
        <f ca="1">SplineInterp(A371,INDIRECT("'" &amp;Master!$F$10&amp; "'!$A$2:$A$50"),INDIRECT("'" &amp;Master!$F$10&amp; "'!$G$2:$G$50"))</f>
        <v>#VALUE!</v>
      </c>
      <c r="H371" s="4" t="e">
        <f ca="1">SplineInterp(A371,INDIRECT("'" &amp;Master!$F$10&amp; "'!$A$2:$A$50"),INDIRECT("'" &amp;Master!$F$10&amp; "'!$H$2:$H$50"))</f>
        <v>#VALUE!</v>
      </c>
      <c r="I371" s="4" t="e">
        <f ca="1">IF(OR(INDIRECT("'" &amp; Master!$F$8 &amp; Master!$F$6 &amp; "'!B" &amp; ROW(B371))="", INDIRECT("'" &amp; Master!$F$8 &amp; Master!$F$6 &amp; "'!B" &amp; ROW(B371))=0), "", INDIRECT("'" &amp; Master!$F$8 &amp; Master!$F$6 &amp; "'!B" &amp; ROW(B371)))</f>
        <v>#VALUE!</v>
      </c>
      <c r="J371" s="9" t="e">
        <f t="shared" ca="1" si="35"/>
        <v>#VALUE!</v>
      </c>
      <c r="K371" s="7" t="e">
        <f t="shared" ca="1" si="36"/>
        <v>#VALUE!</v>
      </c>
      <c r="L371" s="7" t="e">
        <f t="shared" ca="1" si="37"/>
        <v>#VALUE!</v>
      </c>
      <c r="M371" s="7" t="e">
        <f t="shared" ca="1" si="38"/>
        <v>#VALUE!</v>
      </c>
      <c r="N371" s="7" t="e">
        <f t="shared" ca="1" si="39"/>
        <v>#VALUE!</v>
      </c>
      <c r="O371" s="7" t="e">
        <f t="shared" ca="1" si="40"/>
        <v>#VALUE!</v>
      </c>
      <c r="P371" s="7" t="e">
        <f t="shared" ca="1" si="41"/>
        <v>#VALUE!</v>
      </c>
    </row>
    <row r="372" spans="1:16" x14ac:dyDescent="0.25">
      <c r="A372" s="19" t="str">
        <f ca="1">IF(OR(INDIRECT("'" &amp; Master!$F$8 &amp; Master!$F$6 &amp; "'!A" &amp; ROW(A372))="", INDIRECT("'" &amp; Master!$F$8 &amp; Master!$F$6 &amp; "'!A" &amp; ROW(A372))=0), "", INDIRECT("'" &amp; Master!$F$8 &amp; Master!$F$6 &amp; "'!A" &amp; ROW(A372)))</f>
        <v/>
      </c>
      <c r="B372" s="4" t="e">
        <f ca="1">SplineInterp(INDIRECT("A" &amp; ROW()),INDIRECT("'" &amp;Master!$F$10&amp; "'!$A$2:$A$50"),INDIRECT("'" &amp;Master!$F$10&amp; "'!$B$2:$B$50"))</f>
        <v>#VALUE!</v>
      </c>
      <c r="C372" s="4" t="e">
        <f ca="1">SplineInterp(A372,INDIRECT("'" &amp;Master!$F$10&amp; "'!$A$2:$A$50"),INDIRECT("'" &amp;Master!$F$10&amp; "'!$C$2:$C$50"))</f>
        <v>#VALUE!</v>
      </c>
      <c r="D372" s="4" t="e">
        <f ca="1">SplineInterp(A372,INDIRECT("'" &amp;Master!$F$10&amp; "'!$A$2:$A$50"),INDIRECT("'" &amp;Master!$F$10&amp; "'!$D$2:$D$50"))</f>
        <v>#VALUE!</v>
      </c>
      <c r="E372" s="4" t="e">
        <f ca="1">SplineInterp(A372,INDIRECT("'" &amp;Master!$F$10&amp; "'!$A$2:$A$50"),INDIRECT("'" &amp;Master!$F$10&amp; "'!$E$2:$E$50"))</f>
        <v>#VALUE!</v>
      </c>
      <c r="F372" s="4" t="e">
        <f ca="1">SplineInterp(A372,INDIRECT("'" &amp;Master!$F$10&amp; "'!$A$2:$A$50"),INDIRECT("'" &amp;Master!$F$10&amp; "'!$F$2:$F$50"))</f>
        <v>#VALUE!</v>
      </c>
      <c r="G372" s="4" t="e">
        <f ca="1">SplineInterp(A372,INDIRECT("'" &amp;Master!$F$10&amp; "'!$A$2:$A$50"),INDIRECT("'" &amp;Master!$F$10&amp; "'!$G$2:$G$50"))</f>
        <v>#VALUE!</v>
      </c>
      <c r="H372" s="4" t="e">
        <f ca="1">SplineInterp(A372,INDIRECT("'" &amp;Master!$F$10&amp; "'!$A$2:$A$50"),INDIRECT("'" &amp;Master!$F$10&amp; "'!$H$2:$H$50"))</f>
        <v>#VALUE!</v>
      </c>
      <c r="I372" s="4" t="e">
        <f ca="1">IF(OR(INDIRECT("'" &amp; Master!$F$8 &amp; Master!$F$6 &amp; "'!B" &amp; ROW(B372))="", INDIRECT("'" &amp; Master!$F$8 &amp; Master!$F$6 &amp; "'!B" &amp; ROW(B372))=0), "", INDIRECT("'" &amp; Master!$F$8 &amp; Master!$F$6 &amp; "'!B" &amp; ROW(B372)))</f>
        <v>#VALUE!</v>
      </c>
      <c r="J372" s="9" t="e">
        <f t="shared" ca="1" si="35"/>
        <v>#VALUE!</v>
      </c>
      <c r="K372" s="7" t="e">
        <f t="shared" ca="1" si="36"/>
        <v>#VALUE!</v>
      </c>
      <c r="L372" s="7" t="e">
        <f t="shared" ca="1" si="37"/>
        <v>#VALUE!</v>
      </c>
      <c r="M372" s="7" t="e">
        <f t="shared" ca="1" si="38"/>
        <v>#VALUE!</v>
      </c>
      <c r="N372" s="7" t="e">
        <f t="shared" ca="1" si="39"/>
        <v>#VALUE!</v>
      </c>
      <c r="O372" s="7" t="e">
        <f t="shared" ca="1" si="40"/>
        <v>#VALUE!</v>
      </c>
      <c r="P372" s="7" t="e">
        <f t="shared" ca="1" si="41"/>
        <v>#VALUE!</v>
      </c>
    </row>
    <row r="373" spans="1:16" x14ac:dyDescent="0.25">
      <c r="A373" s="19" t="str">
        <f ca="1">IF(OR(INDIRECT("'" &amp; Master!$F$8 &amp; Master!$F$6 &amp; "'!A" &amp; ROW(A373))="", INDIRECT("'" &amp; Master!$F$8 &amp; Master!$F$6 &amp; "'!A" &amp; ROW(A373))=0), "", INDIRECT("'" &amp; Master!$F$8 &amp; Master!$F$6 &amp; "'!A" &amp; ROW(A373)))</f>
        <v/>
      </c>
      <c r="B373" s="4" t="e">
        <f ca="1">SplineInterp(INDIRECT("A" &amp; ROW()),INDIRECT("'" &amp;Master!$F$10&amp; "'!$A$2:$A$50"),INDIRECT("'" &amp;Master!$F$10&amp; "'!$B$2:$B$50"))</f>
        <v>#VALUE!</v>
      </c>
      <c r="C373" s="4" t="e">
        <f ca="1">SplineInterp(A373,INDIRECT("'" &amp;Master!$F$10&amp; "'!$A$2:$A$50"),INDIRECT("'" &amp;Master!$F$10&amp; "'!$C$2:$C$50"))</f>
        <v>#VALUE!</v>
      </c>
      <c r="D373" s="4" t="e">
        <f ca="1">SplineInterp(A373,INDIRECT("'" &amp;Master!$F$10&amp; "'!$A$2:$A$50"),INDIRECT("'" &amp;Master!$F$10&amp; "'!$D$2:$D$50"))</f>
        <v>#VALUE!</v>
      </c>
      <c r="E373" s="4" t="e">
        <f ca="1">SplineInterp(A373,INDIRECT("'" &amp;Master!$F$10&amp; "'!$A$2:$A$50"),INDIRECT("'" &amp;Master!$F$10&amp; "'!$E$2:$E$50"))</f>
        <v>#VALUE!</v>
      </c>
      <c r="F373" s="4" t="e">
        <f ca="1">SplineInterp(A373,INDIRECT("'" &amp;Master!$F$10&amp; "'!$A$2:$A$50"),INDIRECT("'" &amp;Master!$F$10&amp; "'!$F$2:$F$50"))</f>
        <v>#VALUE!</v>
      </c>
      <c r="G373" s="4" t="e">
        <f ca="1">SplineInterp(A373,INDIRECT("'" &amp;Master!$F$10&amp; "'!$A$2:$A$50"),INDIRECT("'" &amp;Master!$F$10&amp; "'!$G$2:$G$50"))</f>
        <v>#VALUE!</v>
      </c>
      <c r="H373" s="4" t="e">
        <f ca="1">SplineInterp(A373,INDIRECT("'" &amp;Master!$F$10&amp; "'!$A$2:$A$50"),INDIRECT("'" &amp;Master!$F$10&amp; "'!$H$2:$H$50"))</f>
        <v>#VALUE!</v>
      </c>
      <c r="I373" s="4" t="e">
        <f ca="1">IF(OR(INDIRECT("'" &amp; Master!$F$8 &amp; Master!$F$6 &amp; "'!B" &amp; ROW(B373))="", INDIRECT("'" &amp; Master!$F$8 &amp; Master!$F$6 &amp; "'!B" &amp; ROW(B373))=0), "", INDIRECT("'" &amp; Master!$F$8 &amp; Master!$F$6 &amp; "'!B" &amp; ROW(B373)))</f>
        <v>#VALUE!</v>
      </c>
      <c r="J373" s="9" t="e">
        <f t="shared" ca="1" si="35"/>
        <v>#VALUE!</v>
      </c>
      <c r="K373" s="7" t="e">
        <f t="shared" ca="1" si="36"/>
        <v>#VALUE!</v>
      </c>
      <c r="L373" s="7" t="e">
        <f t="shared" ca="1" si="37"/>
        <v>#VALUE!</v>
      </c>
      <c r="M373" s="7" t="e">
        <f t="shared" ca="1" si="38"/>
        <v>#VALUE!</v>
      </c>
      <c r="N373" s="7" t="e">
        <f t="shared" ca="1" si="39"/>
        <v>#VALUE!</v>
      </c>
      <c r="O373" s="7" t="e">
        <f t="shared" ca="1" si="40"/>
        <v>#VALUE!</v>
      </c>
      <c r="P373" s="7" t="e">
        <f t="shared" ca="1" si="41"/>
        <v>#VALUE!</v>
      </c>
    </row>
    <row r="374" spans="1:16" x14ac:dyDescent="0.25">
      <c r="A374" s="19" t="str">
        <f ca="1">IF(OR(INDIRECT("'" &amp; Master!$F$8 &amp; Master!$F$6 &amp; "'!A" &amp; ROW(A374))="", INDIRECT("'" &amp; Master!$F$8 &amp; Master!$F$6 &amp; "'!A" &amp; ROW(A374))=0), "", INDIRECT("'" &amp; Master!$F$8 &amp; Master!$F$6 &amp; "'!A" &amp; ROW(A374)))</f>
        <v/>
      </c>
      <c r="B374" s="4" t="e">
        <f ca="1">SplineInterp(INDIRECT("A" &amp; ROW()),INDIRECT("'" &amp;Master!$F$10&amp; "'!$A$2:$A$50"),INDIRECT("'" &amp;Master!$F$10&amp; "'!$B$2:$B$50"))</f>
        <v>#VALUE!</v>
      </c>
      <c r="C374" s="4" t="e">
        <f ca="1">SplineInterp(A374,INDIRECT("'" &amp;Master!$F$10&amp; "'!$A$2:$A$50"),INDIRECT("'" &amp;Master!$F$10&amp; "'!$C$2:$C$50"))</f>
        <v>#VALUE!</v>
      </c>
      <c r="D374" s="4" t="e">
        <f ca="1">SplineInterp(A374,INDIRECT("'" &amp;Master!$F$10&amp; "'!$A$2:$A$50"),INDIRECT("'" &amp;Master!$F$10&amp; "'!$D$2:$D$50"))</f>
        <v>#VALUE!</v>
      </c>
      <c r="E374" s="4" t="e">
        <f ca="1">SplineInterp(A374,INDIRECT("'" &amp;Master!$F$10&amp; "'!$A$2:$A$50"),INDIRECT("'" &amp;Master!$F$10&amp; "'!$E$2:$E$50"))</f>
        <v>#VALUE!</v>
      </c>
      <c r="F374" s="4" t="e">
        <f ca="1">SplineInterp(A374,INDIRECT("'" &amp;Master!$F$10&amp; "'!$A$2:$A$50"),INDIRECT("'" &amp;Master!$F$10&amp; "'!$F$2:$F$50"))</f>
        <v>#VALUE!</v>
      </c>
      <c r="G374" s="4" t="e">
        <f ca="1">SplineInterp(A374,INDIRECT("'" &amp;Master!$F$10&amp; "'!$A$2:$A$50"),INDIRECT("'" &amp;Master!$F$10&amp; "'!$G$2:$G$50"))</f>
        <v>#VALUE!</v>
      </c>
      <c r="H374" s="4" t="e">
        <f ca="1">SplineInterp(A374,INDIRECT("'" &amp;Master!$F$10&amp; "'!$A$2:$A$50"),INDIRECT("'" &amp;Master!$F$10&amp; "'!$H$2:$H$50"))</f>
        <v>#VALUE!</v>
      </c>
      <c r="I374" s="4" t="e">
        <f ca="1">IF(OR(INDIRECT("'" &amp; Master!$F$8 &amp; Master!$F$6 &amp; "'!B" &amp; ROW(B374))="", INDIRECT("'" &amp; Master!$F$8 &amp; Master!$F$6 &amp; "'!B" &amp; ROW(B374))=0), "", INDIRECT("'" &amp; Master!$F$8 &amp; Master!$F$6 &amp; "'!B" &amp; ROW(B374)))</f>
        <v>#VALUE!</v>
      </c>
      <c r="J374" s="9" t="e">
        <f t="shared" ca="1" si="35"/>
        <v>#VALUE!</v>
      </c>
      <c r="K374" s="7" t="e">
        <f t="shared" ca="1" si="36"/>
        <v>#VALUE!</v>
      </c>
      <c r="L374" s="7" t="e">
        <f t="shared" ca="1" si="37"/>
        <v>#VALUE!</v>
      </c>
      <c r="M374" s="7" t="e">
        <f t="shared" ca="1" si="38"/>
        <v>#VALUE!</v>
      </c>
      <c r="N374" s="7" t="e">
        <f t="shared" ca="1" si="39"/>
        <v>#VALUE!</v>
      </c>
      <c r="O374" s="7" t="e">
        <f t="shared" ca="1" si="40"/>
        <v>#VALUE!</v>
      </c>
      <c r="P374" s="7" t="e">
        <f t="shared" ca="1" si="41"/>
        <v>#VALUE!</v>
      </c>
    </row>
    <row r="375" spans="1:16" x14ac:dyDescent="0.25">
      <c r="A375" s="19" t="str">
        <f ca="1">IF(OR(INDIRECT("'" &amp; Master!$F$8 &amp; Master!$F$6 &amp; "'!A" &amp; ROW(A375))="", INDIRECT("'" &amp; Master!$F$8 &amp; Master!$F$6 &amp; "'!A" &amp; ROW(A375))=0), "", INDIRECT("'" &amp; Master!$F$8 &amp; Master!$F$6 &amp; "'!A" &amp; ROW(A375)))</f>
        <v/>
      </c>
      <c r="B375" s="4" t="e">
        <f ca="1">SplineInterp(INDIRECT("A" &amp; ROW()),INDIRECT("'" &amp;Master!$F$10&amp; "'!$A$2:$A$50"),INDIRECT("'" &amp;Master!$F$10&amp; "'!$B$2:$B$50"))</f>
        <v>#VALUE!</v>
      </c>
      <c r="C375" s="4" t="e">
        <f ca="1">SplineInterp(A375,INDIRECT("'" &amp;Master!$F$10&amp; "'!$A$2:$A$50"),INDIRECT("'" &amp;Master!$F$10&amp; "'!$C$2:$C$50"))</f>
        <v>#VALUE!</v>
      </c>
      <c r="D375" s="4" t="e">
        <f ca="1">SplineInterp(A375,INDIRECT("'" &amp;Master!$F$10&amp; "'!$A$2:$A$50"),INDIRECT("'" &amp;Master!$F$10&amp; "'!$D$2:$D$50"))</f>
        <v>#VALUE!</v>
      </c>
      <c r="E375" s="4" t="e">
        <f ca="1">SplineInterp(A375,INDIRECT("'" &amp;Master!$F$10&amp; "'!$A$2:$A$50"),INDIRECT("'" &amp;Master!$F$10&amp; "'!$E$2:$E$50"))</f>
        <v>#VALUE!</v>
      </c>
      <c r="F375" s="4" t="e">
        <f ca="1">SplineInterp(A375,INDIRECT("'" &amp;Master!$F$10&amp; "'!$A$2:$A$50"),INDIRECT("'" &amp;Master!$F$10&amp; "'!$F$2:$F$50"))</f>
        <v>#VALUE!</v>
      </c>
      <c r="G375" s="4" t="e">
        <f ca="1">SplineInterp(A375,INDIRECT("'" &amp;Master!$F$10&amp; "'!$A$2:$A$50"),INDIRECT("'" &amp;Master!$F$10&amp; "'!$G$2:$G$50"))</f>
        <v>#VALUE!</v>
      </c>
      <c r="H375" s="4" t="e">
        <f ca="1">SplineInterp(A375,INDIRECT("'" &amp;Master!$F$10&amp; "'!$A$2:$A$50"),INDIRECT("'" &amp;Master!$F$10&amp; "'!$H$2:$H$50"))</f>
        <v>#VALUE!</v>
      </c>
      <c r="I375" s="4" t="e">
        <f ca="1">IF(OR(INDIRECT("'" &amp; Master!$F$8 &amp; Master!$F$6 &amp; "'!B" &amp; ROW(B375))="", INDIRECT("'" &amp; Master!$F$8 &amp; Master!$F$6 &amp; "'!B" &amp; ROW(B375))=0), "", INDIRECT("'" &amp; Master!$F$8 &amp; Master!$F$6 &amp; "'!B" &amp; ROW(B375)))</f>
        <v>#VALUE!</v>
      </c>
      <c r="J375" s="9" t="e">
        <f t="shared" ca="1" si="35"/>
        <v>#VALUE!</v>
      </c>
      <c r="K375" s="7" t="e">
        <f t="shared" ca="1" si="36"/>
        <v>#VALUE!</v>
      </c>
      <c r="L375" s="7" t="e">
        <f t="shared" ca="1" si="37"/>
        <v>#VALUE!</v>
      </c>
      <c r="M375" s="7" t="e">
        <f t="shared" ca="1" si="38"/>
        <v>#VALUE!</v>
      </c>
      <c r="N375" s="7" t="e">
        <f t="shared" ca="1" si="39"/>
        <v>#VALUE!</v>
      </c>
      <c r="O375" s="7" t="e">
        <f t="shared" ca="1" si="40"/>
        <v>#VALUE!</v>
      </c>
      <c r="P375" s="7" t="e">
        <f t="shared" ca="1" si="41"/>
        <v>#VALUE!</v>
      </c>
    </row>
    <row r="376" spans="1:16" x14ac:dyDescent="0.25">
      <c r="A376" s="19" t="str">
        <f ca="1">IF(OR(INDIRECT("'" &amp; Master!$F$8 &amp; Master!$F$6 &amp; "'!A" &amp; ROW(A376))="", INDIRECT("'" &amp; Master!$F$8 &amp; Master!$F$6 &amp; "'!A" &amp; ROW(A376))=0), "", INDIRECT("'" &amp; Master!$F$8 &amp; Master!$F$6 &amp; "'!A" &amp; ROW(A376)))</f>
        <v/>
      </c>
      <c r="B376" s="4" t="e">
        <f ca="1">SplineInterp(INDIRECT("A" &amp; ROW()),INDIRECT("'" &amp;Master!$F$10&amp; "'!$A$2:$A$50"),INDIRECT("'" &amp;Master!$F$10&amp; "'!$B$2:$B$50"))</f>
        <v>#VALUE!</v>
      </c>
      <c r="C376" s="4" t="e">
        <f ca="1">SplineInterp(A376,INDIRECT("'" &amp;Master!$F$10&amp; "'!$A$2:$A$50"),INDIRECT("'" &amp;Master!$F$10&amp; "'!$C$2:$C$50"))</f>
        <v>#VALUE!</v>
      </c>
      <c r="D376" s="4" t="e">
        <f ca="1">SplineInterp(A376,INDIRECT("'" &amp;Master!$F$10&amp; "'!$A$2:$A$50"),INDIRECT("'" &amp;Master!$F$10&amp; "'!$D$2:$D$50"))</f>
        <v>#VALUE!</v>
      </c>
      <c r="E376" s="4" t="e">
        <f ca="1">SplineInterp(A376,INDIRECT("'" &amp;Master!$F$10&amp; "'!$A$2:$A$50"),INDIRECT("'" &amp;Master!$F$10&amp; "'!$E$2:$E$50"))</f>
        <v>#VALUE!</v>
      </c>
      <c r="F376" s="4" t="e">
        <f ca="1">SplineInterp(A376,INDIRECT("'" &amp;Master!$F$10&amp; "'!$A$2:$A$50"),INDIRECT("'" &amp;Master!$F$10&amp; "'!$F$2:$F$50"))</f>
        <v>#VALUE!</v>
      </c>
      <c r="G376" s="4" t="e">
        <f ca="1">SplineInterp(A376,INDIRECT("'" &amp;Master!$F$10&amp; "'!$A$2:$A$50"),INDIRECT("'" &amp;Master!$F$10&amp; "'!$G$2:$G$50"))</f>
        <v>#VALUE!</v>
      </c>
      <c r="H376" s="4" t="e">
        <f ca="1">SplineInterp(A376,INDIRECT("'" &amp;Master!$F$10&amp; "'!$A$2:$A$50"),INDIRECT("'" &amp;Master!$F$10&amp; "'!$H$2:$H$50"))</f>
        <v>#VALUE!</v>
      </c>
      <c r="I376" s="4" t="e">
        <f ca="1">IF(OR(INDIRECT("'" &amp; Master!$F$8 &amp; Master!$F$6 &amp; "'!B" &amp; ROW(B376))="", INDIRECT("'" &amp; Master!$F$8 &amp; Master!$F$6 &amp; "'!B" &amp; ROW(B376))=0), "", INDIRECT("'" &amp; Master!$F$8 &amp; Master!$F$6 &amp; "'!B" &amp; ROW(B376)))</f>
        <v>#VALUE!</v>
      </c>
      <c r="J376" s="9" t="e">
        <f t="shared" ca="1" si="35"/>
        <v>#VALUE!</v>
      </c>
      <c r="K376" s="7" t="e">
        <f t="shared" ca="1" si="36"/>
        <v>#VALUE!</v>
      </c>
      <c r="L376" s="7" t="e">
        <f t="shared" ca="1" si="37"/>
        <v>#VALUE!</v>
      </c>
      <c r="M376" s="7" t="e">
        <f t="shared" ca="1" si="38"/>
        <v>#VALUE!</v>
      </c>
      <c r="N376" s="7" t="e">
        <f t="shared" ca="1" si="39"/>
        <v>#VALUE!</v>
      </c>
      <c r="O376" s="7" t="e">
        <f t="shared" ca="1" si="40"/>
        <v>#VALUE!</v>
      </c>
      <c r="P376" s="7" t="e">
        <f t="shared" ca="1" si="41"/>
        <v>#VALUE!</v>
      </c>
    </row>
    <row r="377" spans="1:16" x14ac:dyDescent="0.25">
      <c r="A377" s="19" t="str">
        <f ca="1">IF(OR(INDIRECT("'" &amp; Master!$F$8 &amp; Master!$F$6 &amp; "'!A" &amp; ROW(A377))="", INDIRECT("'" &amp; Master!$F$8 &amp; Master!$F$6 &amp; "'!A" &amp; ROW(A377))=0), "", INDIRECT("'" &amp; Master!$F$8 &amp; Master!$F$6 &amp; "'!A" &amp; ROW(A377)))</f>
        <v/>
      </c>
      <c r="B377" s="4" t="e">
        <f ca="1">SplineInterp(INDIRECT("A" &amp; ROW()),INDIRECT("'" &amp;Master!$F$10&amp; "'!$A$2:$A$50"),INDIRECT("'" &amp;Master!$F$10&amp; "'!$B$2:$B$50"))</f>
        <v>#VALUE!</v>
      </c>
      <c r="C377" s="4" t="e">
        <f ca="1">SplineInterp(A377,INDIRECT("'" &amp;Master!$F$10&amp; "'!$A$2:$A$50"),INDIRECT("'" &amp;Master!$F$10&amp; "'!$C$2:$C$50"))</f>
        <v>#VALUE!</v>
      </c>
      <c r="D377" s="4" t="e">
        <f ca="1">SplineInterp(A377,INDIRECT("'" &amp;Master!$F$10&amp; "'!$A$2:$A$50"),INDIRECT("'" &amp;Master!$F$10&amp; "'!$D$2:$D$50"))</f>
        <v>#VALUE!</v>
      </c>
      <c r="E377" s="4" t="e">
        <f ca="1">SplineInterp(A377,INDIRECT("'" &amp;Master!$F$10&amp; "'!$A$2:$A$50"),INDIRECT("'" &amp;Master!$F$10&amp; "'!$E$2:$E$50"))</f>
        <v>#VALUE!</v>
      </c>
      <c r="F377" s="4" t="e">
        <f ca="1">SplineInterp(A377,INDIRECT("'" &amp;Master!$F$10&amp; "'!$A$2:$A$50"),INDIRECT("'" &amp;Master!$F$10&amp; "'!$F$2:$F$50"))</f>
        <v>#VALUE!</v>
      </c>
      <c r="G377" s="4" t="e">
        <f ca="1">SplineInterp(A377,INDIRECT("'" &amp;Master!$F$10&amp; "'!$A$2:$A$50"),INDIRECT("'" &amp;Master!$F$10&amp; "'!$G$2:$G$50"))</f>
        <v>#VALUE!</v>
      </c>
      <c r="H377" s="4" t="e">
        <f ca="1">SplineInterp(A377,INDIRECT("'" &amp;Master!$F$10&amp; "'!$A$2:$A$50"),INDIRECT("'" &amp;Master!$F$10&amp; "'!$H$2:$H$50"))</f>
        <v>#VALUE!</v>
      </c>
      <c r="I377" s="4" t="e">
        <f ca="1">IF(OR(INDIRECT("'" &amp; Master!$F$8 &amp; Master!$F$6 &amp; "'!B" &amp; ROW(B377))="", INDIRECT("'" &amp; Master!$F$8 &amp; Master!$F$6 &amp; "'!B" &amp; ROW(B377))=0), "", INDIRECT("'" &amp; Master!$F$8 &amp; Master!$F$6 &amp; "'!B" &amp; ROW(B377)))</f>
        <v>#VALUE!</v>
      </c>
      <c r="J377" s="9" t="e">
        <f t="shared" ca="1" si="35"/>
        <v>#VALUE!</v>
      </c>
      <c r="K377" s="7" t="e">
        <f t="shared" ca="1" si="36"/>
        <v>#VALUE!</v>
      </c>
      <c r="L377" s="7" t="e">
        <f t="shared" ca="1" si="37"/>
        <v>#VALUE!</v>
      </c>
      <c r="M377" s="7" t="e">
        <f t="shared" ca="1" si="38"/>
        <v>#VALUE!</v>
      </c>
      <c r="N377" s="7" t="e">
        <f t="shared" ca="1" si="39"/>
        <v>#VALUE!</v>
      </c>
      <c r="O377" s="7" t="e">
        <f t="shared" ca="1" si="40"/>
        <v>#VALUE!</v>
      </c>
      <c r="P377" s="7" t="e">
        <f t="shared" ca="1" si="41"/>
        <v>#VALUE!</v>
      </c>
    </row>
    <row r="378" spans="1:16" x14ac:dyDescent="0.25">
      <c r="A378" s="19" t="str">
        <f ca="1">IF(OR(INDIRECT("'" &amp; Master!$F$8 &amp; Master!$F$6 &amp; "'!A" &amp; ROW(A378))="", INDIRECT("'" &amp; Master!$F$8 &amp; Master!$F$6 &amp; "'!A" &amp; ROW(A378))=0), "", INDIRECT("'" &amp; Master!$F$8 &amp; Master!$F$6 &amp; "'!A" &amp; ROW(A378)))</f>
        <v/>
      </c>
      <c r="B378" s="4" t="e">
        <f ca="1">SplineInterp(INDIRECT("A" &amp; ROW()),INDIRECT("'" &amp;Master!$F$10&amp; "'!$A$2:$A$50"),INDIRECT("'" &amp;Master!$F$10&amp; "'!$B$2:$B$50"))</f>
        <v>#VALUE!</v>
      </c>
      <c r="C378" s="4" t="e">
        <f ca="1">SplineInterp(A378,INDIRECT("'" &amp;Master!$F$10&amp; "'!$A$2:$A$50"),INDIRECT("'" &amp;Master!$F$10&amp; "'!$C$2:$C$50"))</f>
        <v>#VALUE!</v>
      </c>
      <c r="D378" s="4" t="e">
        <f ca="1">SplineInterp(A378,INDIRECT("'" &amp;Master!$F$10&amp; "'!$A$2:$A$50"),INDIRECT("'" &amp;Master!$F$10&amp; "'!$D$2:$D$50"))</f>
        <v>#VALUE!</v>
      </c>
      <c r="E378" s="4" t="e">
        <f ca="1">SplineInterp(A378,INDIRECT("'" &amp;Master!$F$10&amp; "'!$A$2:$A$50"),INDIRECT("'" &amp;Master!$F$10&amp; "'!$E$2:$E$50"))</f>
        <v>#VALUE!</v>
      </c>
      <c r="F378" s="4" t="e">
        <f ca="1">SplineInterp(A378,INDIRECT("'" &amp;Master!$F$10&amp; "'!$A$2:$A$50"),INDIRECT("'" &amp;Master!$F$10&amp; "'!$F$2:$F$50"))</f>
        <v>#VALUE!</v>
      </c>
      <c r="G378" s="4" t="e">
        <f ca="1">SplineInterp(A378,INDIRECT("'" &amp;Master!$F$10&amp; "'!$A$2:$A$50"),INDIRECT("'" &amp;Master!$F$10&amp; "'!$G$2:$G$50"))</f>
        <v>#VALUE!</v>
      </c>
      <c r="H378" s="4" t="e">
        <f ca="1">SplineInterp(A378,INDIRECT("'" &amp;Master!$F$10&amp; "'!$A$2:$A$50"),INDIRECT("'" &amp;Master!$F$10&amp; "'!$H$2:$H$50"))</f>
        <v>#VALUE!</v>
      </c>
      <c r="I378" s="4" t="e">
        <f ca="1">IF(OR(INDIRECT("'" &amp; Master!$F$8 &amp; Master!$F$6 &amp; "'!B" &amp; ROW(B378))="", INDIRECT("'" &amp; Master!$F$8 &amp; Master!$F$6 &amp; "'!B" &amp; ROW(B378))=0), "", INDIRECT("'" &amp; Master!$F$8 &amp; Master!$F$6 &amp; "'!B" &amp; ROW(B378)))</f>
        <v>#VALUE!</v>
      </c>
      <c r="J378" s="9" t="e">
        <f t="shared" ca="1" si="35"/>
        <v>#VALUE!</v>
      </c>
      <c r="K378" s="7" t="e">
        <f t="shared" ca="1" si="36"/>
        <v>#VALUE!</v>
      </c>
      <c r="L378" s="7" t="e">
        <f t="shared" ca="1" si="37"/>
        <v>#VALUE!</v>
      </c>
      <c r="M378" s="7" t="e">
        <f t="shared" ca="1" si="38"/>
        <v>#VALUE!</v>
      </c>
      <c r="N378" s="7" t="e">
        <f t="shared" ca="1" si="39"/>
        <v>#VALUE!</v>
      </c>
      <c r="O378" s="7" t="e">
        <f t="shared" ca="1" si="40"/>
        <v>#VALUE!</v>
      </c>
      <c r="P378" s="7" t="e">
        <f t="shared" ca="1" si="41"/>
        <v>#VALUE!</v>
      </c>
    </row>
    <row r="379" spans="1:16" x14ac:dyDescent="0.25">
      <c r="A379" s="19" t="str">
        <f ca="1">IF(OR(INDIRECT("'" &amp; Master!$F$8 &amp; Master!$F$6 &amp; "'!A" &amp; ROW(A379))="", INDIRECT("'" &amp; Master!$F$8 &amp; Master!$F$6 &amp; "'!A" &amp; ROW(A379))=0), "", INDIRECT("'" &amp; Master!$F$8 &amp; Master!$F$6 &amp; "'!A" &amp; ROW(A379)))</f>
        <v/>
      </c>
      <c r="B379" s="4" t="e">
        <f ca="1">SplineInterp(INDIRECT("A" &amp; ROW()),INDIRECT("'" &amp;Master!$F$10&amp; "'!$A$2:$A$50"),INDIRECT("'" &amp;Master!$F$10&amp; "'!$B$2:$B$50"))</f>
        <v>#VALUE!</v>
      </c>
      <c r="C379" s="4" t="e">
        <f ca="1">SplineInterp(A379,INDIRECT("'" &amp;Master!$F$10&amp; "'!$A$2:$A$50"),INDIRECT("'" &amp;Master!$F$10&amp; "'!$C$2:$C$50"))</f>
        <v>#VALUE!</v>
      </c>
      <c r="D379" s="4" t="e">
        <f ca="1">SplineInterp(A379,INDIRECT("'" &amp;Master!$F$10&amp; "'!$A$2:$A$50"),INDIRECT("'" &amp;Master!$F$10&amp; "'!$D$2:$D$50"))</f>
        <v>#VALUE!</v>
      </c>
      <c r="E379" s="4" t="e">
        <f ca="1">SplineInterp(A379,INDIRECT("'" &amp;Master!$F$10&amp; "'!$A$2:$A$50"),INDIRECT("'" &amp;Master!$F$10&amp; "'!$E$2:$E$50"))</f>
        <v>#VALUE!</v>
      </c>
      <c r="F379" s="4" t="e">
        <f ca="1">SplineInterp(A379,INDIRECT("'" &amp;Master!$F$10&amp; "'!$A$2:$A$50"),INDIRECT("'" &amp;Master!$F$10&amp; "'!$F$2:$F$50"))</f>
        <v>#VALUE!</v>
      </c>
      <c r="G379" s="4" t="e">
        <f ca="1">SplineInterp(A379,INDIRECT("'" &amp;Master!$F$10&amp; "'!$A$2:$A$50"),INDIRECT("'" &amp;Master!$F$10&amp; "'!$G$2:$G$50"))</f>
        <v>#VALUE!</v>
      </c>
      <c r="H379" s="4" t="e">
        <f ca="1">SplineInterp(A379,INDIRECT("'" &amp;Master!$F$10&amp; "'!$A$2:$A$50"),INDIRECT("'" &amp;Master!$F$10&amp; "'!$H$2:$H$50"))</f>
        <v>#VALUE!</v>
      </c>
      <c r="I379" s="4" t="e">
        <f ca="1">IF(OR(INDIRECT("'" &amp; Master!$F$8 &amp; Master!$F$6 &amp; "'!B" &amp; ROW(B379))="", INDIRECT("'" &amp; Master!$F$8 &amp; Master!$F$6 &amp; "'!B" &amp; ROW(B379))=0), "", INDIRECT("'" &amp; Master!$F$8 &amp; Master!$F$6 &amp; "'!B" &amp; ROW(B379)))</f>
        <v>#VALUE!</v>
      </c>
      <c r="J379" s="9" t="e">
        <f t="shared" ca="1" si="35"/>
        <v>#VALUE!</v>
      </c>
      <c r="K379" s="7" t="e">
        <f t="shared" ca="1" si="36"/>
        <v>#VALUE!</v>
      </c>
      <c r="L379" s="7" t="e">
        <f t="shared" ca="1" si="37"/>
        <v>#VALUE!</v>
      </c>
      <c r="M379" s="7" t="e">
        <f t="shared" ca="1" si="38"/>
        <v>#VALUE!</v>
      </c>
      <c r="N379" s="7" t="e">
        <f t="shared" ca="1" si="39"/>
        <v>#VALUE!</v>
      </c>
      <c r="O379" s="7" t="e">
        <f t="shared" ca="1" si="40"/>
        <v>#VALUE!</v>
      </c>
      <c r="P379" s="7" t="e">
        <f t="shared" ca="1" si="41"/>
        <v>#VALUE!</v>
      </c>
    </row>
    <row r="380" spans="1:16" x14ac:dyDescent="0.25">
      <c r="A380" s="19" t="str">
        <f ca="1">IF(OR(INDIRECT("'" &amp; Master!$F$8 &amp; Master!$F$6 &amp; "'!A" &amp; ROW(A380))="", INDIRECT("'" &amp; Master!$F$8 &amp; Master!$F$6 &amp; "'!A" &amp; ROW(A380))=0), "", INDIRECT("'" &amp; Master!$F$8 &amp; Master!$F$6 &amp; "'!A" &amp; ROW(A380)))</f>
        <v/>
      </c>
      <c r="B380" s="4" t="e">
        <f ca="1">SplineInterp(INDIRECT("A" &amp; ROW()),INDIRECT("'" &amp;Master!$F$10&amp; "'!$A$2:$A$50"),INDIRECT("'" &amp;Master!$F$10&amp; "'!$B$2:$B$50"))</f>
        <v>#VALUE!</v>
      </c>
      <c r="C380" s="4" t="e">
        <f ca="1">SplineInterp(A380,INDIRECT("'" &amp;Master!$F$10&amp; "'!$A$2:$A$50"),INDIRECT("'" &amp;Master!$F$10&amp; "'!$C$2:$C$50"))</f>
        <v>#VALUE!</v>
      </c>
      <c r="D380" s="4" t="e">
        <f ca="1">SplineInterp(A380,INDIRECT("'" &amp;Master!$F$10&amp; "'!$A$2:$A$50"),INDIRECT("'" &amp;Master!$F$10&amp; "'!$D$2:$D$50"))</f>
        <v>#VALUE!</v>
      </c>
      <c r="E380" s="4" t="e">
        <f ca="1">SplineInterp(A380,INDIRECT("'" &amp;Master!$F$10&amp; "'!$A$2:$A$50"),INDIRECT("'" &amp;Master!$F$10&amp; "'!$E$2:$E$50"))</f>
        <v>#VALUE!</v>
      </c>
      <c r="F380" s="4" t="e">
        <f ca="1">SplineInterp(A380,INDIRECT("'" &amp;Master!$F$10&amp; "'!$A$2:$A$50"),INDIRECT("'" &amp;Master!$F$10&amp; "'!$F$2:$F$50"))</f>
        <v>#VALUE!</v>
      </c>
      <c r="G380" s="4" t="e">
        <f ca="1">SplineInterp(A380,INDIRECT("'" &amp;Master!$F$10&amp; "'!$A$2:$A$50"),INDIRECT("'" &amp;Master!$F$10&amp; "'!$G$2:$G$50"))</f>
        <v>#VALUE!</v>
      </c>
      <c r="H380" s="4" t="e">
        <f ca="1">SplineInterp(A380,INDIRECT("'" &amp;Master!$F$10&amp; "'!$A$2:$A$50"),INDIRECT("'" &amp;Master!$F$10&amp; "'!$H$2:$H$50"))</f>
        <v>#VALUE!</v>
      </c>
      <c r="I380" s="4" t="e">
        <f ca="1">IF(OR(INDIRECT("'" &amp; Master!$F$8 &amp; Master!$F$6 &amp; "'!B" &amp; ROW(B380))="", INDIRECT("'" &amp; Master!$F$8 &amp; Master!$F$6 &amp; "'!B" &amp; ROW(B380))=0), "", INDIRECT("'" &amp; Master!$F$8 &amp; Master!$F$6 &amp; "'!B" &amp; ROW(B380)))</f>
        <v>#VALUE!</v>
      </c>
      <c r="J380" s="9" t="e">
        <f t="shared" ca="1" si="35"/>
        <v>#VALUE!</v>
      </c>
      <c r="K380" s="7" t="e">
        <f t="shared" ca="1" si="36"/>
        <v>#VALUE!</v>
      </c>
      <c r="L380" s="7" t="e">
        <f t="shared" ca="1" si="37"/>
        <v>#VALUE!</v>
      </c>
      <c r="M380" s="7" t="e">
        <f t="shared" ca="1" si="38"/>
        <v>#VALUE!</v>
      </c>
      <c r="N380" s="7" t="e">
        <f t="shared" ca="1" si="39"/>
        <v>#VALUE!</v>
      </c>
      <c r="O380" s="7" t="e">
        <f t="shared" ca="1" si="40"/>
        <v>#VALUE!</v>
      </c>
      <c r="P380" s="7" t="e">
        <f t="shared" ca="1" si="41"/>
        <v>#VALUE!</v>
      </c>
    </row>
    <row r="381" spans="1:16" x14ac:dyDescent="0.25">
      <c r="A381" s="19" t="str">
        <f ca="1">IF(OR(INDIRECT("'" &amp; Master!$F$8 &amp; Master!$F$6 &amp; "'!A" &amp; ROW(A381))="", INDIRECT("'" &amp; Master!$F$8 &amp; Master!$F$6 &amp; "'!A" &amp; ROW(A381))=0), "", INDIRECT("'" &amp; Master!$F$8 &amp; Master!$F$6 &amp; "'!A" &amp; ROW(A381)))</f>
        <v/>
      </c>
      <c r="B381" s="4" t="e">
        <f ca="1">SplineInterp(INDIRECT("A" &amp; ROW()),INDIRECT("'" &amp;Master!$F$10&amp; "'!$A$2:$A$50"),INDIRECT("'" &amp;Master!$F$10&amp; "'!$B$2:$B$50"))</f>
        <v>#VALUE!</v>
      </c>
      <c r="C381" s="4" t="e">
        <f ca="1">SplineInterp(A381,INDIRECT("'" &amp;Master!$F$10&amp; "'!$A$2:$A$50"),INDIRECT("'" &amp;Master!$F$10&amp; "'!$C$2:$C$50"))</f>
        <v>#VALUE!</v>
      </c>
      <c r="D381" s="4" t="e">
        <f ca="1">SplineInterp(A381,INDIRECT("'" &amp;Master!$F$10&amp; "'!$A$2:$A$50"),INDIRECT("'" &amp;Master!$F$10&amp; "'!$D$2:$D$50"))</f>
        <v>#VALUE!</v>
      </c>
      <c r="E381" s="4" t="e">
        <f ca="1">SplineInterp(A381,INDIRECT("'" &amp;Master!$F$10&amp; "'!$A$2:$A$50"),INDIRECT("'" &amp;Master!$F$10&amp; "'!$E$2:$E$50"))</f>
        <v>#VALUE!</v>
      </c>
      <c r="F381" s="4" t="e">
        <f ca="1">SplineInterp(A381,INDIRECT("'" &amp;Master!$F$10&amp; "'!$A$2:$A$50"),INDIRECT("'" &amp;Master!$F$10&amp; "'!$F$2:$F$50"))</f>
        <v>#VALUE!</v>
      </c>
      <c r="G381" s="4" t="e">
        <f ca="1">SplineInterp(A381,INDIRECT("'" &amp;Master!$F$10&amp; "'!$A$2:$A$50"),INDIRECT("'" &amp;Master!$F$10&amp; "'!$G$2:$G$50"))</f>
        <v>#VALUE!</v>
      </c>
      <c r="H381" s="4" t="e">
        <f ca="1">SplineInterp(A381,INDIRECT("'" &amp;Master!$F$10&amp; "'!$A$2:$A$50"),INDIRECT("'" &amp;Master!$F$10&amp; "'!$H$2:$H$50"))</f>
        <v>#VALUE!</v>
      </c>
      <c r="I381" s="4" t="e">
        <f ca="1">IF(OR(INDIRECT("'" &amp; Master!$F$8 &amp; Master!$F$6 &amp; "'!B" &amp; ROW(B381))="", INDIRECT("'" &amp; Master!$F$8 &amp; Master!$F$6 &amp; "'!B" &amp; ROW(B381))=0), "", INDIRECT("'" &amp; Master!$F$8 &amp; Master!$F$6 &amp; "'!B" &amp; ROW(B381)))</f>
        <v>#VALUE!</v>
      </c>
      <c r="J381" s="9" t="e">
        <f t="shared" ca="1" si="35"/>
        <v>#VALUE!</v>
      </c>
      <c r="K381" s="7" t="e">
        <f t="shared" ca="1" si="36"/>
        <v>#VALUE!</v>
      </c>
      <c r="L381" s="7" t="e">
        <f t="shared" ca="1" si="37"/>
        <v>#VALUE!</v>
      </c>
      <c r="M381" s="7" t="e">
        <f t="shared" ca="1" si="38"/>
        <v>#VALUE!</v>
      </c>
      <c r="N381" s="7" t="e">
        <f t="shared" ca="1" si="39"/>
        <v>#VALUE!</v>
      </c>
      <c r="O381" s="7" t="e">
        <f t="shared" ca="1" si="40"/>
        <v>#VALUE!</v>
      </c>
      <c r="P381" s="7" t="e">
        <f t="shared" ca="1" si="41"/>
        <v>#VALUE!</v>
      </c>
    </row>
    <row r="382" spans="1:16" x14ac:dyDescent="0.25">
      <c r="A382" s="19" t="str">
        <f ca="1">IF(OR(INDIRECT("'" &amp; Master!$F$8 &amp; Master!$F$6 &amp; "'!A" &amp; ROW(A382))="", INDIRECT("'" &amp; Master!$F$8 &amp; Master!$F$6 &amp; "'!A" &amp; ROW(A382))=0), "", INDIRECT("'" &amp; Master!$F$8 &amp; Master!$F$6 &amp; "'!A" &amp; ROW(A382)))</f>
        <v/>
      </c>
      <c r="B382" s="4" t="e">
        <f ca="1">SplineInterp(INDIRECT("A" &amp; ROW()),INDIRECT("'" &amp;Master!$F$10&amp; "'!$A$2:$A$50"),INDIRECT("'" &amp;Master!$F$10&amp; "'!$B$2:$B$50"))</f>
        <v>#VALUE!</v>
      </c>
      <c r="C382" s="4" t="e">
        <f ca="1">SplineInterp(A382,INDIRECT("'" &amp;Master!$F$10&amp; "'!$A$2:$A$50"),INDIRECT("'" &amp;Master!$F$10&amp; "'!$C$2:$C$50"))</f>
        <v>#VALUE!</v>
      </c>
      <c r="D382" s="4" t="e">
        <f ca="1">SplineInterp(A382,INDIRECT("'" &amp;Master!$F$10&amp; "'!$A$2:$A$50"),INDIRECT("'" &amp;Master!$F$10&amp; "'!$D$2:$D$50"))</f>
        <v>#VALUE!</v>
      </c>
      <c r="E382" s="4" t="e">
        <f ca="1">SplineInterp(A382,INDIRECT("'" &amp;Master!$F$10&amp; "'!$A$2:$A$50"),INDIRECT("'" &amp;Master!$F$10&amp; "'!$E$2:$E$50"))</f>
        <v>#VALUE!</v>
      </c>
      <c r="F382" s="4" t="e">
        <f ca="1">SplineInterp(A382,INDIRECT("'" &amp;Master!$F$10&amp; "'!$A$2:$A$50"),INDIRECT("'" &amp;Master!$F$10&amp; "'!$F$2:$F$50"))</f>
        <v>#VALUE!</v>
      </c>
      <c r="G382" s="4" t="e">
        <f ca="1">SplineInterp(A382,INDIRECT("'" &amp;Master!$F$10&amp; "'!$A$2:$A$50"),INDIRECT("'" &amp;Master!$F$10&amp; "'!$G$2:$G$50"))</f>
        <v>#VALUE!</v>
      </c>
      <c r="H382" s="4" t="e">
        <f ca="1">SplineInterp(A382,INDIRECT("'" &amp;Master!$F$10&amp; "'!$A$2:$A$50"),INDIRECT("'" &amp;Master!$F$10&amp; "'!$H$2:$H$50"))</f>
        <v>#VALUE!</v>
      </c>
      <c r="I382" s="4" t="e">
        <f ca="1">IF(OR(INDIRECT("'" &amp; Master!$F$8 &amp; Master!$F$6 &amp; "'!B" &amp; ROW(B382))="", INDIRECT("'" &amp; Master!$F$8 &amp; Master!$F$6 &amp; "'!B" &amp; ROW(B382))=0), "", INDIRECT("'" &amp; Master!$F$8 &amp; Master!$F$6 &amp; "'!B" &amp; ROW(B382)))</f>
        <v>#VALUE!</v>
      </c>
      <c r="J382" s="9" t="e">
        <f t="shared" ca="1" si="35"/>
        <v>#VALUE!</v>
      </c>
      <c r="K382" s="7" t="e">
        <f t="shared" ca="1" si="36"/>
        <v>#VALUE!</v>
      </c>
      <c r="L382" s="7" t="e">
        <f t="shared" ca="1" si="37"/>
        <v>#VALUE!</v>
      </c>
      <c r="M382" s="7" t="e">
        <f t="shared" ca="1" si="38"/>
        <v>#VALUE!</v>
      </c>
      <c r="N382" s="7" t="e">
        <f t="shared" ca="1" si="39"/>
        <v>#VALUE!</v>
      </c>
      <c r="O382" s="7" t="e">
        <f t="shared" ca="1" si="40"/>
        <v>#VALUE!</v>
      </c>
      <c r="P382" s="7" t="e">
        <f t="shared" ca="1" si="41"/>
        <v>#VALUE!</v>
      </c>
    </row>
    <row r="383" spans="1:16" x14ac:dyDescent="0.25">
      <c r="A383" s="19" t="str">
        <f ca="1">IF(OR(INDIRECT("'" &amp; Master!$F$8 &amp; Master!$F$6 &amp; "'!A" &amp; ROW(A383))="", INDIRECT("'" &amp; Master!$F$8 &amp; Master!$F$6 &amp; "'!A" &amp; ROW(A383))=0), "", INDIRECT("'" &amp; Master!$F$8 &amp; Master!$F$6 &amp; "'!A" &amp; ROW(A383)))</f>
        <v/>
      </c>
      <c r="B383" s="4" t="e">
        <f ca="1">SplineInterp(INDIRECT("A" &amp; ROW()),INDIRECT("'" &amp;Master!$F$10&amp; "'!$A$2:$A$50"),INDIRECT("'" &amp;Master!$F$10&amp; "'!$B$2:$B$50"))</f>
        <v>#VALUE!</v>
      </c>
      <c r="C383" s="4" t="e">
        <f ca="1">SplineInterp(A383,INDIRECT("'" &amp;Master!$F$10&amp; "'!$A$2:$A$50"),INDIRECT("'" &amp;Master!$F$10&amp; "'!$C$2:$C$50"))</f>
        <v>#VALUE!</v>
      </c>
      <c r="D383" s="4" t="e">
        <f ca="1">SplineInterp(A383,INDIRECT("'" &amp;Master!$F$10&amp; "'!$A$2:$A$50"),INDIRECT("'" &amp;Master!$F$10&amp; "'!$D$2:$D$50"))</f>
        <v>#VALUE!</v>
      </c>
      <c r="E383" s="4" t="e">
        <f ca="1">SplineInterp(A383,INDIRECT("'" &amp;Master!$F$10&amp; "'!$A$2:$A$50"),INDIRECT("'" &amp;Master!$F$10&amp; "'!$E$2:$E$50"))</f>
        <v>#VALUE!</v>
      </c>
      <c r="F383" s="4" t="e">
        <f ca="1">SplineInterp(A383,INDIRECT("'" &amp;Master!$F$10&amp; "'!$A$2:$A$50"),INDIRECT("'" &amp;Master!$F$10&amp; "'!$F$2:$F$50"))</f>
        <v>#VALUE!</v>
      </c>
      <c r="G383" s="4" t="e">
        <f ca="1">SplineInterp(A383,INDIRECT("'" &amp;Master!$F$10&amp; "'!$A$2:$A$50"),INDIRECT("'" &amp;Master!$F$10&amp; "'!$G$2:$G$50"))</f>
        <v>#VALUE!</v>
      </c>
      <c r="H383" s="4" t="e">
        <f ca="1">SplineInterp(A383,INDIRECT("'" &amp;Master!$F$10&amp; "'!$A$2:$A$50"),INDIRECT("'" &amp;Master!$F$10&amp; "'!$H$2:$H$50"))</f>
        <v>#VALUE!</v>
      </c>
      <c r="I383" s="4" t="e">
        <f ca="1">IF(OR(INDIRECT("'" &amp; Master!$F$8 &amp; Master!$F$6 &amp; "'!B" &amp; ROW(B383))="", INDIRECT("'" &amp; Master!$F$8 &amp; Master!$F$6 &amp; "'!B" &amp; ROW(B383))=0), "", INDIRECT("'" &amp; Master!$F$8 &amp; Master!$F$6 &amp; "'!B" &amp; ROW(B383)))</f>
        <v>#VALUE!</v>
      </c>
      <c r="J383" s="9" t="e">
        <f t="shared" ca="1" si="35"/>
        <v>#VALUE!</v>
      </c>
      <c r="K383" s="7" t="e">
        <f t="shared" ca="1" si="36"/>
        <v>#VALUE!</v>
      </c>
      <c r="L383" s="7" t="e">
        <f t="shared" ca="1" si="37"/>
        <v>#VALUE!</v>
      </c>
      <c r="M383" s="7" t="e">
        <f t="shared" ca="1" si="38"/>
        <v>#VALUE!</v>
      </c>
      <c r="N383" s="7" t="e">
        <f t="shared" ca="1" si="39"/>
        <v>#VALUE!</v>
      </c>
      <c r="O383" s="7" t="e">
        <f t="shared" ca="1" si="40"/>
        <v>#VALUE!</v>
      </c>
      <c r="P383" s="7" t="e">
        <f t="shared" ca="1" si="41"/>
        <v>#VALUE!</v>
      </c>
    </row>
    <row r="384" spans="1:16" x14ac:dyDescent="0.25">
      <c r="A384" s="19" t="str">
        <f ca="1">IF(OR(INDIRECT("'" &amp; Master!$F$8 &amp; Master!$F$6 &amp; "'!A" &amp; ROW(A384))="", INDIRECT("'" &amp; Master!$F$8 &amp; Master!$F$6 &amp; "'!A" &amp; ROW(A384))=0), "", INDIRECT("'" &amp; Master!$F$8 &amp; Master!$F$6 &amp; "'!A" &amp; ROW(A384)))</f>
        <v/>
      </c>
      <c r="B384" s="4" t="e">
        <f ca="1">SplineInterp(INDIRECT("A" &amp; ROW()),INDIRECT("'" &amp;Master!$F$10&amp; "'!$A$2:$A$50"),INDIRECT("'" &amp;Master!$F$10&amp; "'!$B$2:$B$50"))</f>
        <v>#VALUE!</v>
      </c>
      <c r="C384" s="4" t="e">
        <f ca="1">SplineInterp(A384,INDIRECT("'" &amp;Master!$F$10&amp; "'!$A$2:$A$50"),INDIRECT("'" &amp;Master!$F$10&amp; "'!$C$2:$C$50"))</f>
        <v>#VALUE!</v>
      </c>
      <c r="D384" s="4" t="e">
        <f ca="1">SplineInterp(A384,INDIRECT("'" &amp;Master!$F$10&amp; "'!$A$2:$A$50"),INDIRECT("'" &amp;Master!$F$10&amp; "'!$D$2:$D$50"))</f>
        <v>#VALUE!</v>
      </c>
      <c r="E384" s="4" t="e">
        <f ca="1">SplineInterp(A384,INDIRECT("'" &amp;Master!$F$10&amp; "'!$A$2:$A$50"),INDIRECT("'" &amp;Master!$F$10&amp; "'!$E$2:$E$50"))</f>
        <v>#VALUE!</v>
      </c>
      <c r="F384" s="4" t="e">
        <f ca="1">SplineInterp(A384,INDIRECT("'" &amp;Master!$F$10&amp; "'!$A$2:$A$50"),INDIRECT("'" &amp;Master!$F$10&amp; "'!$F$2:$F$50"))</f>
        <v>#VALUE!</v>
      </c>
      <c r="G384" s="4" t="e">
        <f ca="1">SplineInterp(A384,INDIRECT("'" &amp;Master!$F$10&amp; "'!$A$2:$A$50"),INDIRECT("'" &amp;Master!$F$10&amp; "'!$G$2:$G$50"))</f>
        <v>#VALUE!</v>
      </c>
      <c r="H384" s="4" t="e">
        <f ca="1">SplineInterp(A384,INDIRECT("'" &amp;Master!$F$10&amp; "'!$A$2:$A$50"),INDIRECT("'" &amp;Master!$F$10&amp; "'!$H$2:$H$50"))</f>
        <v>#VALUE!</v>
      </c>
      <c r="I384" s="4" t="e">
        <f ca="1">IF(OR(INDIRECT("'" &amp; Master!$F$8 &amp; Master!$F$6 &amp; "'!B" &amp; ROW(B384))="", INDIRECT("'" &amp; Master!$F$8 &amp; Master!$F$6 &amp; "'!B" &amp; ROW(B384))=0), "", INDIRECT("'" &amp; Master!$F$8 &amp; Master!$F$6 &amp; "'!B" &amp; ROW(B384)))</f>
        <v>#VALUE!</v>
      </c>
      <c r="J384" s="9" t="e">
        <f t="shared" ca="1" si="35"/>
        <v>#VALUE!</v>
      </c>
      <c r="K384" s="7" t="e">
        <f t="shared" ca="1" si="36"/>
        <v>#VALUE!</v>
      </c>
      <c r="L384" s="7" t="e">
        <f t="shared" ca="1" si="37"/>
        <v>#VALUE!</v>
      </c>
      <c r="M384" s="7" t="e">
        <f t="shared" ca="1" si="38"/>
        <v>#VALUE!</v>
      </c>
      <c r="N384" s="7" t="e">
        <f t="shared" ca="1" si="39"/>
        <v>#VALUE!</v>
      </c>
      <c r="O384" s="7" t="e">
        <f t="shared" ca="1" si="40"/>
        <v>#VALUE!</v>
      </c>
      <c r="P384" s="7" t="e">
        <f t="shared" ca="1" si="41"/>
        <v>#VALUE!</v>
      </c>
    </row>
    <row r="385" spans="1:16" x14ac:dyDescent="0.25">
      <c r="A385" s="19" t="str">
        <f ca="1">IF(OR(INDIRECT("'" &amp; Master!$F$8 &amp; Master!$F$6 &amp; "'!A" &amp; ROW(A385))="", INDIRECT("'" &amp; Master!$F$8 &amp; Master!$F$6 &amp; "'!A" &amp; ROW(A385))=0), "", INDIRECT("'" &amp; Master!$F$8 &amp; Master!$F$6 &amp; "'!A" &amp; ROW(A385)))</f>
        <v/>
      </c>
      <c r="B385" s="4" t="e">
        <f ca="1">SplineInterp(INDIRECT("A" &amp; ROW()),INDIRECT("'" &amp;Master!$F$10&amp; "'!$A$2:$A$50"),INDIRECT("'" &amp;Master!$F$10&amp; "'!$B$2:$B$50"))</f>
        <v>#VALUE!</v>
      </c>
      <c r="C385" s="4" t="e">
        <f ca="1">SplineInterp(A385,INDIRECT("'" &amp;Master!$F$10&amp; "'!$A$2:$A$50"),INDIRECT("'" &amp;Master!$F$10&amp; "'!$C$2:$C$50"))</f>
        <v>#VALUE!</v>
      </c>
      <c r="D385" s="4" t="e">
        <f ca="1">SplineInterp(A385,INDIRECT("'" &amp;Master!$F$10&amp; "'!$A$2:$A$50"),INDIRECT("'" &amp;Master!$F$10&amp; "'!$D$2:$D$50"))</f>
        <v>#VALUE!</v>
      </c>
      <c r="E385" s="4" t="e">
        <f ca="1">SplineInterp(A385,INDIRECT("'" &amp;Master!$F$10&amp; "'!$A$2:$A$50"),INDIRECT("'" &amp;Master!$F$10&amp; "'!$E$2:$E$50"))</f>
        <v>#VALUE!</v>
      </c>
      <c r="F385" s="4" t="e">
        <f ca="1">SplineInterp(A385,INDIRECT("'" &amp;Master!$F$10&amp; "'!$A$2:$A$50"),INDIRECT("'" &amp;Master!$F$10&amp; "'!$F$2:$F$50"))</f>
        <v>#VALUE!</v>
      </c>
      <c r="G385" s="4" t="e">
        <f ca="1">SplineInterp(A385,INDIRECT("'" &amp;Master!$F$10&amp; "'!$A$2:$A$50"),INDIRECT("'" &amp;Master!$F$10&amp; "'!$G$2:$G$50"))</f>
        <v>#VALUE!</v>
      </c>
      <c r="H385" s="4" t="e">
        <f ca="1">SplineInterp(A385,INDIRECT("'" &amp;Master!$F$10&amp; "'!$A$2:$A$50"),INDIRECT("'" &amp;Master!$F$10&amp; "'!$H$2:$H$50"))</f>
        <v>#VALUE!</v>
      </c>
      <c r="I385" s="4" t="e">
        <f ca="1">IF(OR(INDIRECT("'" &amp; Master!$F$8 &amp; Master!$F$6 &amp; "'!B" &amp; ROW(B385))="", INDIRECT("'" &amp; Master!$F$8 &amp; Master!$F$6 &amp; "'!B" &amp; ROW(B385))=0), "", INDIRECT("'" &amp; Master!$F$8 &amp; Master!$F$6 &amp; "'!B" &amp; ROW(B385)))</f>
        <v>#VALUE!</v>
      </c>
      <c r="J385" s="9" t="e">
        <f t="shared" ca="1" si="35"/>
        <v>#VALUE!</v>
      </c>
      <c r="K385" s="7" t="e">
        <f t="shared" ca="1" si="36"/>
        <v>#VALUE!</v>
      </c>
      <c r="L385" s="7" t="e">
        <f t="shared" ca="1" si="37"/>
        <v>#VALUE!</v>
      </c>
      <c r="M385" s="7" t="e">
        <f t="shared" ca="1" si="38"/>
        <v>#VALUE!</v>
      </c>
      <c r="N385" s="7" t="e">
        <f t="shared" ca="1" si="39"/>
        <v>#VALUE!</v>
      </c>
      <c r="O385" s="7" t="e">
        <f t="shared" ca="1" si="40"/>
        <v>#VALUE!</v>
      </c>
      <c r="P385" s="7" t="e">
        <f t="shared" ca="1" si="41"/>
        <v>#VALUE!</v>
      </c>
    </row>
    <row r="386" spans="1:16" x14ac:dyDescent="0.25">
      <c r="A386" s="19" t="str">
        <f ca="1">IF(OR(INDIRECT("'" &amp; Master!$F$8 &amp; Master!$F$6 &amp; "'!A" &amp; ROW(A386))="", INDIRECT("'" &amp; Master!$F$8 &amp; Master!$F$6 &amp; "'!A" &amp; ROW(A386))=0), "", INDIRECT("'" &amp; Master!$F$8 &amp; Master!$F$6 &amp; "'!A" &amp; ROW(A386)))</f>
        <v/>
      </c>
      <c r="B386" s="4" t="e">
        <f ca="1">SplineInterp(INDIRECT("A" &amp; ROW()),INDIRECT("'" &amp;Master!$F$10&amp; "'!$A$2:$A$50"),INDIRECT("'" &amp;Master!$F$10&amp; "'!$B$2:$B$50"))</f>
        <v>#VALUE!</v>
      </c>
      <c r="C386" s="4" t="e">
        <f ca="1">SplineInterp(A386,INDIRECT("'" &amp;Master!$F$10&amp; "'!$A$2:$A$50"),INDIRECT("'" &amp;Master!$F$10&amp; "'!$C$2:$C$50"))</f>
        <v>#VALUE!</v>
      </c>
      <c r="D386" s="4" t="e">
        <f ca="1">SplineInterp(A386,INDIRECT("'" &amp;Master!$F$10&amp; "'!$A$2:$A$50"),INDIRECT("'" &amp;Master!$F$10&amp; "'!$D$2:$D$50"))</f>
        <v>#VALUE!</v>
      </c>
      <c r="E386" s="4" t="e">
        <f ca="1">SplineInterp(A386,INDIRECT("'" &amp;Master!$F$10&amp; "'!$A$2:$A$50"),INDIRECT("'" &amp;Master!$F$10&amp; "'!$E$2:$E$50"))</f>
        <v>#VALUE!</v>
      </c>
      <c r="F386" s="4" t="e">
        <f ca="1">SplineInterp(A386,INDIRECT("'" &amp;Master!$F$10&amp; "'!$A$2:$A$50"),INDIRECT("'" &amp;Master!$F$10&amp; "'!$F$2:$F$50"))</f>
        <v>#VALUE!</v>
      </c>
      <c r="G386" s="4" t="e">
        <f ca="1">SplineInterp(A386,INDIRECT("'" &amp;Master!$F$10&amp; "'!$A$2:$A$50"),INDIRECT("'" &amp;Master!$F$10&amp; "'!$G$2:$G$50"))</f>
        <v>#VALUE!</v>
      </c>
      <c r="H386" s="4" t="e">
        <f ca="1">SplineInterp(A386,INDIRECT("'" &amp;Master!$F$10&amp; "'!$A$2:$A$50"),INDIRECT("'" &amp;Master!$F$10&amp; "'!$H$2:$H$50"))</f>
        <v>#VALUE!</v>
      </c>
      <c r="I386" s="4" t="e">
        <f ca="1">IF(OR(INDIRECT("'" &amp; Master!$F$8 &amp; Master!$F$6 &amp; "'!B" &amp; ROW(B386))="", INDIRECT("'" &amp; Master!$F$8 &amp; Master!$F$6 &amp; "'!B" &amp; ROW(B386))=0), "", INDIRECT("'" &amp; Master!$F$8 &amp; Master!$F$6 &amp; "'!B" &amp; ROW(B386)))</f>
        <v>#VALUE!</v>
      </c>
      <c r="J386" s="9" t="e">
        <f t="shared" ca="1" si="35"/>
        <v>#VALUE!</v>
      </c>
      <c r="K386" s="7" t="e">
        <f t="shared" ca="1" si="36"/>
        <v>#VALUE!</v>
      </c>
      <c r="L386" s="7" t="e">
        <f t="shared" ca="1" si="37"/>
        <v>#VALUE!</v>
      </c>
      <c r="M386" s="7" t="e">
        <f t="shared" ca="1" si="38"/>
        <v>#VALUE!</v>
      </c>
      <c r="N386" s="7" t="e">
        <f t="shared" ca="1" si="39"/>
        <v>#VALUE!</v>
      </c>
      <c r="O386" s="7" t="e">
        <f t="shared" ca="1" si="40"/>
        <v>#VALUE!</v>
      </c>
      <c r="P386" s="7" t="e">
        <f t="shared" ca="1" si="41"/>
        <v>#VALUE!</v>
      </c>
    </row>
    <row r="387" spans="1:16" x14ac:dyDescent="0.25">
      <c r="A387" s="19" t="str">
        <f ca="1">IF(OR(INDIRECT("'" &amp; Master!$F$8 &amp; Master!$F$6 &amp; "'!A" &amp; ROW(A387))="", INDIRECT("'" &amp; Master!$F$8 &amp; Master!$F$6 &amp; "'!A" &amp; ROW(A387))=0), "", INDIRECT("'" &amp; Master!$F$8 &amp; Master!$F$6 &amp; "'!A" &amp; ROW(A387)))</f>
        <v/>
      </c>
      <c r="B387" s="4" t="e">
        <f ca="1">SplineInterp(INDIRECT("A" &amp; ROW()),INDIRECT("'" &amp;Master!$F$10&amp; "'!$A$2:$A$50"),INDIRECT("'" &amp;Master!$F$10&amp; "'!$B$2:$B$50"))</f>
        <v>#VALUE!</v>
      </c>
      <c r="C387" s="4" t="e">
        <f ca="1">SplineInterp(A387,INDIRECT("'" &amp;Master!$F$10&amp; "'!$A$2:$A$50"),INDIRECT("'" &amp;Master!$F$10&amp; "'!$C$2:$C$50"))</f>
        <v>#VALUE!</v>
      </c>
      <c r="D387" s="4" t="e">
        <f ca="1">SplineInterp(A387,INDIRECT("'" &amp;Master!$F$10&amp; "'!$A$2:$A$50"),INDIRECT("'" &amp;Master!$F$10&amp; "'!$D$2:$D$50"))</f>
        <v>#VALUE!</v>
      </c>
      <c r="E387" s="4" t="e">
        <f ca="1">SplineInterp(A387,INDIRECT("'" &amp;Master!$F$10&amp; "'!$A$2:$A$50"),INDIRECT("'" &amp;Master!$F$10&amp; "'!$E$2:$E$50"))</f>
        <v>#VALUE!</v>
      </c>
      <c r="F387" s="4" t="e">
        <f ca="1">SplineInterp(A387,INDIRECT("'" &amp;Master!$F$10&amp; "'!$A$2:$A$50"),INDIRECT("'" &amp;Master!$F$10&amp; "'!$F$2:$F$50"))</f>
        <v>#VALUE!</v>
      </c>
      <c r="G387" s="4" t="e">
        <f ca="1">SplineInterp(A387,INDIRECT("'" &amp;Master!$F$10&amp; "'!$A$2:$A$50"),INDIRECT("'" &amp;Master!$F$10&amp; "'!$G$2:$G$50"))</f>
        <v>#VALUE!</v>
      </c>
      <c r="H387" s="4" t="e">
        <f ca="1">SplineInterp(A387,INDIRECT("'" &amp;Master!$F$10&amp; "'!$A$2:$A$50"),INDIRECT("'" &amp;Master!$F$10&amp; "'!$H$2:$H$50"))</f>
        <v>#VALUE!</v>
      </c>
      <c r="I387" s="4" t="e">
        <f ca="1">IF(OR(INDIRECT("'" &amp; Master!$F$8 &amp; Master!$F$6 &amp; "'!B" &amp; ROW(B387))="", INDIRECT("'" &amp; Master!$F$8 &amp; Master!$F$6 &amp; "'!B" &amp; ROW(B387))=0), "", INDIRECT("'" &amp; Master!$F$8 &amp; Master!$F$6 &amp; "'!B" &amp; ROW(B387)))</f>
        <v>#VALUE!</v>
      </c>
      <c r="J387" s="9" t="e">
        <f t="shared" ref="J387:J450" ca="1" si="42">B387*I387</f>
        <v>#VALUE!</v>
      </c>
      <c r="K387" s="7" t="e">
        <f t="shared" ref="K387:K450" ca="1" si="43">C387*I387</f>
        <v>#VALUE!</v>
      </c>
      <c r="L387" s="7" t="e">
        <f t="shared" ref="L387:L450" ca="1" si="44">D387*I387</f>
        <v>#VALUE!</v>
      </c>
      <c r="M387" s="7" t="e">
        <f t="shared" ref="M387:M450" ca="1" si="45">E387*I387</f>
        <v>#VALUE!</v>
      </c>
      <c r="N387" s="7" t="e">
        <f t="shared" ref="N387:N450" ca="1" si="46">F387*I387</f>
        <v>#VALUE!</v>
      </c>
      <c r="O387" s="7" t="e">
        <f t="shared" ref="O387:O450" ca="1" si="47">G387*I387</f>
        <v>#VALUE!</v>
      </c>
      <c r="P387" s="7" t="e">
        <f t="shared" ref="P387:P450" ca="1" si="48">H387*I387</f>
        <v>#VALUE!</v>
      </c>
    </row>
    <row r="388" spans="1:16" x14ac:dyDescent="0.25">
      <c r="A388" s="19" t="str">
        <f ca="1">IF(OR(INDIRECT("'" &amp; Master!$F$8 &amp; Master!$F$6 &amp; "'!A" &amp; ROW(A388))="", INDIRECT("'" &amp; Master!$F$8 &amp; Master!$F$6 &amp; "'!A" &amp; ROW(A388))=0), "", INDIRECT("'" &amp; Master!$F$8 &amp; Master!$F$6 &amp; "'!A" &amp; ROW(A388)))</f>
        <v/>
      </c>
      <c r="B388" s="4" t="e">
        <f ca="1">SplineInterp(INDIRECT("A" &amp; ROW()),INDIRECT("'" &amp;Master!$F$10&amp; "'!$A$2:$A$50"),INDIRECT("'" &amp;Master!$F$10&amp; "'!$B$2:$B$50"))</f>
        <v>#VALUE!</v>
      </c>
      <c r="C388" s="4" t="e">
        <f ca="1">SplineInterp(A388,INDIRECT("'" &amp;Master!$F$10&amp; "'!$A$2:$A$50"),INDIRECT("'" &amp;Master!$F$10&amp; "'!$C$2:$C$50"))</f>
        <v>#VALUE!</v>
      </c>
      <c r="D388" s="4" t="e">
        <f ca="1">SplineInterp(A388,INDIRECT("'" &amp;Master!$F$10&amp; "'!$A$2:$A$50"),INDIRECT("'" &amp;Master!$F$10&amp; "'!$D$2:$D$50"))</f>
        <v>#VALUE!</v>
      </c>
      <c r="E388" s="4" t="e">
        <f ca="1">SplineInterp(A388,INDIRECT("'" &amp;Master!$F$10&amp; "'!$A$2:$A$50"),INDIRECT("'" &amp;Master!$F$10&amp; "'!$E$2:$E$50"))</f>
        <v>#VALUE!</v>
      </c>
      <c r="F388" s="4" t="e">
        <f ca="1">SplineInterp(A388,INDIRECT("'" &amp;Master!$F$10&amp; "'!$A$2:$A$50"),INDIRECT("'" &amp;Master!$F$10&amp; "'!$F$2:$F$50"))</f>
        <v>#VALUE!</v>
      </c>
      <c r="G388" s="4" t="e">
        <f ca="1">SplineInterp(A388,INDIRECT("'" &amp;Master!$F$10&amp; "'!$A$2:$A$50"),INDIRECT("'" &amp;Master!$F$10&amp; "'!$G$2:$G$50"))</f>
        <v>#VALUE!</v>
      </c>
      <c r="H388" s="4" t="e">
        <f ca="1">SplineInterp(A388,INDIRECT("'" &amp;Master!$F$10&amp; "'!$A$2:$A$50"),INDIRECT("'" &amp;Master!$F$10&amp; "'!$H$2:$H$50"))</f>
        <v>#VALUE!</v>
      </c>
      <c r="I388" s="4" t="e">
        <f ca="1">IF(OR(INDIRECT("'" &amp; Master!$F$8 &amp; Master!$F$6 &amp; "'!B" &amp; ROW(B388))="", INDIRECT("'" &amp; Master!$F$8 &amp; Master!$F$6 &amp; "'!B" &amp; ROW(B388))=0), "", INDIRECT("'" &amp; Master!$F$8 &amp; Master!$F$6 &amp; "'!B" &amp; ROW(B388)))</f>
        <v>#VALUE!</v>
      </c>
      <c r="J388" s="9" t="e">
        <f t="shared" ca="1" si="42"/>
        <v>#VALUE!</v>
      </c>
      <c r="K388" s="7" t="e">
        <f t="shared" ca="1" si="43"/>
        <v>#VALUE!</v>
      </c>
      <c r="L388" s="7" t="e">
        <f t="shared" ca="1" si="44"/>
        <v>#VALUE!</v>
      </c>
      <c r="M388" s="7" t="e">
        <f t="shared" ca="1" si="45"/>
        <v>#VALUE!</v>
      </c>
      <c r="N388" s="7" t="e">
        <f t="shared" ca="1" si="46"/>
        <v>#VALUE!</v>
      </c>
      <c r="O388" s="7" t="e">
        <f t="shared" ca="1" si="47"/>
        <v>#VALUE!</v>
      </c>
      <c r="P388" s="7" t="e">
        <f t="shared" ca="1" si="48"/>
        <v>#VALUE!</v>
      </c>
    </row>
    <row r="389" spans="1:16" x14ac:dyDescent="0.25">
      <c r="A389" s="19" t="str">
        <f ca="1">IF(OR(INDIRECT("'" &amp; Master!$F$8 &amp; Master!$F$6 &amp; "'!A" &amp; ROW(A389))="", INDIRECT("'" &amp; Master!$F$8 &amp; Master!$F$6 &amp; "'!A" &amp; ROW(A389))=0), "", INDIRECT("'" &amp; Master!$F$8 &amp; Master!$F$6 &amp; "'!A" &amp; ROW(A389)))</f>
        <v/>
      </c>
      <c r="B389" s="4" t="e">
        <f ca="1">SplineInterp(INDIRECT("A" &amp; ROW()),INDIRECT("'" &amp;Master!$F$10&amp; "'!$A$2:$A$50"),INDIRECT("'" &amp;Master!$F$10&amp; "'!$B$2:$B$50"))</f>
        <v>#VALUE!</v>
      </c>
      <c r="C389" s="4" t="e">
        <f ca="1">SplineInterp(A389,INDIRECT("'" &amp;Master!$F$10&amp; "'!$A$2:$A$50"),INDIRECT("'" &amp;Master!$F$10&amp; "'!$C$2:$C$50"))</f>
        <v>#VALUE!</v>
      </c>
      <c r="D389" s="4" t="e">
        <f ca="1">SplineInterp(A389,INDIRECT("'" &amp;Master!$F$10&amp; "'!$A$2:$A$50"),INDIRECT("'" &amp;Master!$F$10&amp; "'!$D$2:$D$50"))</f>
        <v>#VALUE!</v>
      </c>
      <c r="E389" s="4" t="e">
        <f ca="1">SplineInterp(A389,INDIRECT("'" &amp;Master!$F$10&amp; "'!$A$2:$A$50"),INDIRECT("'" &amp;Master!$F$10&amp; "'!$E$2:$E$50"))</f>
        <v>#VALUE!</v>
      </c>
      <c r="F389" s="4" t="e">
        <f ca="1">SplineInterp(A389,INDIRECT("'" &amp;Master!$F$10&amp; "'!$A$2:$A$50"),INDIRECT("'" &amp;Master!$F$10&amp; "'!$F$2:$F$50"))</f>
        <v>#VALUE!</v>
      </c>
      <c r="G389" s="4" t="e">
        <f ca="1">SplineInterp(A389,INDIRECT("'" &amp;Master!$F$10&amp; "'!$A$2:$A$50"),INDIRECT("'" &amp;Master!$F$10&amp; "'!$G$2:$G$50"))</f>
        <v>#VALUE!</v>
      </c>
      <c r="H389" s="4" t="e">
        <f ca="1">SplineInterp(A389,INDIRECT("'" &amp;Master!$F$10&amp; "'!$A$2:$A$50"),INDIRECT("'" &amp;Master!$F$10&amp; "'!$H$2:$H$50"))</f>
        <v>#VALUE!</v>
      </c>
      <c r="I389" s="4" t="e">
        <f ca="1">IF(OR(INDIRECT("'" &amp; Master!$F$8 &amp; Master!$F$6 &amp; "'!B" &amp; ROW(B389))="", INDIRECT("'" &amp; Master!$F$8 &amp; Master!$F$6 &amp; "'!B" &amp; ROW(B389))=0), "", INDIRECT("'" &amp; Master!$F$8 &amp; Master!$F$6 &amp; "'!B" &amp; ROW(B389)))</f>
        <v>#VALUE!</v>
      </c>
      <c r="J389" s="9" t="e">
        <f t="shared" ca="1" si="42"/>
        <v>#VALUE!</v>
      </c>
      <c r="K389" s="7" t="e">
        <f t="shared" ca="1" si="43"/>
        <v>#VALUE!</v>
      </c>
      <c r="L389" s="7" t="e">
        <f t="shared" ca="1" si="44"/>
        <v>#VALUE!</v>
      </c>
      <c r="M389" s="7" t="e">
        <f t="shared" ca="1" si="45"/>
        <v>#VALUE!</v>
      </c>
      <c r="N389" s="7" t="e">
        <f t="shared" ca="1" si="46"/>
        <v>#VALUE!</v>
      </c>
      <c r="O389" s="7" t="e">
        <f t="shared" ca="1" si="47"/>
        <v>#VALUE!</v>
      </c>
      <c r="P389" s="7" t="e">
        <f t="shared" ca="1" si="48"/>
        <v>#VALUE!</v>
      </c>
    </row>
    <row r="390" spans="1:16" x14ac:dyDescent="0.25">
      <c r="A390" s="19" t="str">
        <f ca="1">IF(OR(INDIRECT("'" &amp; Master!$F$8 &amp; Master!$F$6 &amp; "'!A" &amp; ROW(A390))="", INDIRECT("'" &amp; Master!$F$8 &amp; Master!$F$6 &amp; "'!A" &amp; ROW(A390))=0), "", INDIRECT("'" &amp; Master!$F$8 &amp; Master!$F$6 &amp; "'!A" &amp; ROW(A390)))</f>
        <v/>
      </c>
      <c r="B390" s="4" t="e">
        <f ca="1">SplineInterp(INDIRECT("A" &amp; ROW()),INDIRECT("'" &amp;Master!$F$10&amp; "'!$A$2:$A$50"),INDIRECT("'" &amp;Master!$F$10&amp; "'!$B$2:$B$50"))</f>
        <v>#VALUE!</v>
      </c>
      <c r="C390" s="4" t="e">
        <f ca="1">SplineInterp(A390,INDIRECT("'" &amp;Master!$F$10&amp; "'!$A$2:$A$50"),INDIRECT("'" &amp;Master!$F$10&amp; "'!$C$2:$C$50"))</f>
        <v>#VALUE!</v>
      </c>
      <c r="D390" s="4" t="e">
        <f ca="1">SplineInterp(A390,INDIRECT("'" &amp;Master!$F$10&amp; "'!$A$2:$A$50"),INDIRECT("'" &amp;Master!$F$10&amp; "'!$D$2:$D$50"))</f>
        <v>#VALUE!</v>
      </c>
      <c r="E390" s="4" t="e">
        <f ca="1">SplineInterp(A390,INDIRECT("'" &amp;Master!$F$10&amp; "'!$A$2:$A$50"),INDIRECT("'" &amp;Master!$F$10&amp; "'!$E$2:$E$50"))</f>
        <v>#VALUE!</v>
      </c>
      <c r="F390" s="4" t="e">
        <f ca="1">SplineInterp(A390,INDIRECT("'" &amp;Master!$F$10&amp; "'!$A$2:$A$50"),INDIRECT("'" &amp;Master!$F$10&amp; "'!$F$2:$F$50"))</f>
        <v>#VALUE!</v>
      </c>
      <c r="G390" s="4" t="e">
        <f ca="1">SplineInterp(A390,INDIRECT("'" &amp;Master!$F$10&amp; "'!$A$2:$A$50"),INDIRECT("'" &amp;Master!$F$10&amp; "'!$G$2:$G$50"))</f>
        <v>#VALUE!</v>
      </c>
      <c r="H390" s="4" t="e">
        <f ca="1">SplineInterp(A390,INDIRECT("'" &amp;Master!$F$10&amp; "'!$A$2:$A$50"),INDIRECT("'" &amp;Master!$F$10&amp; "'!$H$2:$H$50"))</f>
        <v>#VALUE!</v>
      </c>
      <c r="I390" s="4" t="e">
        <f ca="1">IF(OR(INDIRECT("'" &amp; Master!$F$8 &amp; Master!$F$6 &amp; "'!B" &amp; ROW(B390))="", INDIRECT("'" &amp; Master!$F$8 &amp; Master!$F$6 &amp; "'!B" &amp; ROW(B390))=0), "", INDIRECT("'" &amp; Master!$F$8 &amp; Master!$F$6 &amp; "'!B" &amp; ROW(B390)))</f>
        <v>#VALUE!</v>
      </c>
      <c r="J390" s="9" t="e">
        <f t="shared" ca="1" si="42"/>
        <v>#VALUE!</v>
      </c>
      <c r="K390" s="7" t="e">
        <f t="shared" ca="1" si="43"/>
        <v>#VALUE!</v>
      </c>
      <c r="L390" s="7" t="e">
        <f t="shared" ca="1" si="44"/>
        <v>#VALUE!</v>
      </c>
      <c r="M390" s="7" t="e">
        <f t="shared" ca="1" si="45"/>
        <v>#VALUE!</v>
      </c>
      <c r="N390" s="7" t="e">
        <f t="shared" ca="1" si="46"/>
        <v>#VALUE!</v>
      </c>
      <c r="O390" s="7" t="e">
        <f t="shared" ca="1" si="47"/>
        <v>#VALUE!</v>
      </c>
      <c r="P390" s="7" t="e">
        <f t="shared" ca="1" si="48"/>
        <v>#VALUE!</v>
      </c>
    </row>
    <row r="391" spans="1:16" x14ac:dyDescent="0.25">
      <c r="A391" s="19" t="str">
        <f ca="1">IF(OR(INDIRECT("'" &amp; Master!$F$8 &amp; Master!$F$6 &amp; "'!A" &amp; ROW(A391))="", INDIRECT("'" &amp; Master!$F$8 &amp; Master!$F$6 &amp; "'!A" &amp; ROW(A391))=0), "", INDIRECT("'" &amp; Master!$F$8 &amp; Master!$F$6 &amp; "'!A" &amp; ROW(A391)))</f>
        <v/>
      </c>
      <c r="B391" s="4" t="e">
        <f ca="1">SplineInterp(INDIRECT("A" &amp; ROW()),INDIRECT("'" &amp;Master!$F$10&amp; "'!$A$2:$A$50"),INDIRECT("'" &amp;Master!$F$10&amp; "'!$B$2:$B$50"))</f>
        <v>#VALUE!</v>
      </c>
      <c r="C391" s="4" t="e">
        <f ca="1">SplineInterp(A391,INDIRECT("'" &amp;Master!$F$10&amp; "'!$A$2:$A$50"),INDIRECT("'" &amp;Master!$F$10&amp; "'!$C$2:$C$50"))</f>
        <v>#VALUE!</v>
      </c>
      <c r="D391" s="4" t="e">
        <f ca="1">SplineInterp(A391,INDIRECT("'" &amp;Master!$F$10&amp; "'!$A$2:$A$50"),INDIRECT("'" &amp;Master!$F$10&amp; "'!$D$2:$D$50"))</f>
        <v>#VALUE!</v>
      </c>
      <c r="E391" s="4" t="e">
        <f ca="1">SplineInterp(A391,INDIRECT("'" &amp;Master!$F$10&amp; "'!$A$2:$A$50"),INDIRECT("'" &amp;Master!$F$10&amp; "'!$E$2:$E$50"))</f>
        <v>#VALUE!</v>
      </c>
      <c r="F391" s="4" t="e">
        <f ca="1">SplineInterp(A391,INDIRECT("'" &amp;Master!$F$10&amp; "'!$A$2:$A$50"),INDIRECT("'" &amp;Master!$F$10&amp; "'!$F$2:$F$50"))</f>
        <v>#VALUE!</v>
      </c>
      <c r="G391" s="4" t="e">
        <f ca="1">SplineInterp(A391,INDIRECT("'" &amp;Master!$F$10&amp; "'!$A$2:$A$50"),INDIRECT("'" &amp;Master!$F$10&amp; "'!$G$2:$G$50"))</f>
        <v>#VALUE!</v>
      </c>
      <c r="H391" s="4" t="e">
        <f ca="1">SplineInterp(A391,INDIRECT("'" &amp;Master!$F$10&amp; "'!$A$2:$A$50"),INDIRECT("'" &amp;Master!$F$10&amp; "'!$H$2:$H$50"))</f>
        <v>#VALUE!</v>
      </c>
      <c r="I391" s="4" t="e">
        <f ca="1">IF(OR(INDIRECT("'" &amp; Master!$F$8 &amp; Master!$F$6 &amp; "'!B" &amp; ROW(B391))="", INDIRECT("'" &amp; Master!$F$8 &amp; Master!$F$6 &amp; "'!B" &amp; ROW(B391))=0), "", INDIRECT("'" &amp; Master!$F$8 &amp; Master!$F$6 &amp; "'!B" &amp; ROW(B391)))</f>
        <v>#VALUE!</v>
      </c>
      <c r="J391" s="9" t="e">
        <f t="shared" ca="1" si="42"/>
        <v>#VALUE!</v>
      </c>
      <c r="K391" s="7" t="e">
        <f t="shared" ca="1" si="43"/>
        <v>#VALUE!</v>
      </c>
      <c r="L391" s="7" t="e">
        <f t="shared" ca="1" si="44"/>
        <v>#VALUE!</v>
      </c>
      <c r="M391" s="7" t="e">
        <f t="shared" ca="1" si="45"/>
        <v>#VALUE!</v>
      </c>
      <c r="N391" s="7" t="e">
        <f t="shared" ca="1" si="46"/>
        <v>#VALUE!</v>
      </c>
      <c r="O391" s="7" t="e">
        <f t="shared" ca="1" si="47"/>
        <v>#VALUE!</v>
      </c>
      <c r="P391" s="7" t="e">
        <f t="shared" ca="1" si="48"/>
        <v>#VALUE!</v>
      </c>
    </row>
    <row r="392" spans="1:16" x14ac:dyDescent="0.25">
      <c r="A392" s="19" t="str">
        <f ca="1">IF(OR(INDIRECT("'" &amp; Master!$F$8 &amp; Master!$F$6 &amp; "'!A" &amp; ROW(A392))="", INDIRECT("'" &amp; Master!$F$8 &amp; Master!$F$6 &amp; "'!A" &amp; ROW(A392))=0), "", INDIRECT("'" &amp; Master!$F$8 &amp; Master!$F$6 &amp; "'!A" &amp; ROW(A392)))</f>
        <v/>
      </c>
      <c r="B392" s="4" t="e">
        <f ca="1">SplineInterp(INDIRECT("A" &amp; ROW()),INDIRECT("'" &amp;Master!$F$10&amp; "'!$A$2:$A$50"),INDIRECT("'" &amp;Master!$F$10&amp; "'!$B$2:$B$50"))</f>
        <v>#VALUE!</v>
      </c>
      <c r="C392" s="4" t="e">
        <f ca="1">SplineInterp(A392,INDIRECT("'" &amp;Master!$F$10&amp; "'!$A$2:$A$50"),INDIRECT("'" &amp;Master!$F$10&amp; "'!$C$2:$C$50"))</f>
        <v>#VALUE!</v>
      </c>
      <c r="D392" s="4" t="e">
        <f ca="1">SplineInterp(A392,INDIRECT("'" &amp;Master!$F$10&amp; "'!$A$2:$A$50"),INDIRECT("'" &amp;Master!$F$10&amp; "'!$D$2:$D$50"))</f>
        <v>#VALUE!</v>
      </c>
      <c r="E392" s="4" t="e">
        <f ca="1">SplineInterp(A392,INDIRECT("'" &amp;Master!$F$10&amp; "'!$A$2:$A$50"),INDIRECT("'" &amp;Master!$F$10&amp; "'!$E$2:$E$50"))</f>
        <v>#VALUE!</v>
      </c>
      <c r="F392" s="4" t="e">
        <f ca="1">SplineInterp(A392,INDIRECT("'" &amp;Master!$F$10&amp; "'!$A$2:$A$50"),INDIRECT("'" &amp;Master!$F$10&amp; "'!$F$2:$F$50"))</f>
        <v>#VALUE!</v>
      </c>
      <c r="G392" s="4" t="e">
        <f ca="1">SplineInterp(A392,INDIRECT("'" &amp;Master!$F$10&amp; "'!$A$2:$A$50"),INDIRECT("'" &amp;Master!$F$10&amp; "'!$G$2:$G$50"))</f>
        <v>#VALUE!</v>
      </c>
      <c r="H392" s="4" t="e">
        <f ca="1">SplineInterp(A392,INDIRECT("'" &amp;Master!$F$10&amp; "'!$A$2:$A$50"),INDIRECT("'" &amp;Master!$F$10&amp; "'!$H$2:$H$50"))</f>
        <v>#VALUE!</v>
      </c>
      <c r="I392" s="4" t="e">
        <f ca="1">IF(OR(INDIRECT("'" &amp; Master!$F$8 &amp; Master!$F$6 &amp; "'!B" &amp; ROW(B392))="", INDIRECT("'" &amp; Master!$F$8 &amp; Master!$F$6 &amp; "'!B" &amp; ROW(B392))=0), "", INDIRECT("'" &amp; Master!$F$8 &amp; Master!$F$6 &amp; "'!B" &amp; ROW(B392)))</f>
        <v>#VALUE!</v>
      </c>
      <c r="J392" s="9" t="e">
        <f t="shared" ca="1" si="42"/>
        <v>#VALUE!</v>
      </c>
      <c r="K392" s="7" t="e">
        <f t="shared" ca="1" si="43"/>
        <v>#VALUE!</v>
      </c>
      <c r="L392" s="7" t="e">
        <f t="shared" ca="1" si="44"/>
        <v>#VALUE!</v>
      </c>
      <c r="M392" s="7" t="e">
        <f t="shared" ca="1" si="45"/>
        <v>#VALUE!</v>
      </c>
      <c r="N392" s="7" t="e">
        <f t="shared" ca="1" si="46"/>
        <v>#VALUE!</v>
      </c>
      <c r="O392" s="7" t="e">
        <f t="shared" ca="1" si="47"/>
        <v>#VALUE!</v>
      </c>
      <c r="P392" s="7" t="e">
        <f t="shared" ca="1" si="48"/>
        <v>#VALUE!</v>
      </c>
    </row>
    <row r="393" spans="1:16" x14ac:dyDescent="0.25">
      <c r="A393" s="19" t="str">
        <f ca="1">IF(OR(INDIRECT("'" &amp; Master!$F$8 &amp; Master!$F$6 &amp; "'!A" &amp; ROW(A393))="", INDIRECT("'" &amp; Master!$F$8 &amp; Master!$F$6 &amp; "'!A" &amp; ROW(A393))=0), "", INDIRECT("'" &amp; Master!$F$8 &amp; Master!$F$6 &amp; "'!A" &amp; ROW(A393)))</f>
        <v/>
      </c>
      <c r="B393" s="4" t="e">
        <f ca="1">SplineInterp(INDIRECT("A" &amp; ROW()),INDIRECT("'" &amp;Master!$F$10&amp; "'!$A$2:$A$50"),INDIRECT("'" &amp;Master!$F$10&amp; "'!$B$2:$B$50"))</f>
        <v>#VALUE!</v>
      </c>
      <c r="C393" s="4" t="e">
        <f ca="1">SplineInterp(A393,INDIRECT("'" &amp;Master!$F$10&amp; "'!$A$2:$A$50"),INDIRECT("'" &amp;Master!$F$10&amp; "'!$C$2:$C$50"))</f>
        <v>#VALUE!</v>
      </c>
      <c r="D393" s="4" t="e">
        <f ca="1">SplineInterp(A393,INDIRECT("'" &amp;Master!$F$10&amp; "'!$A$2:$A$50"),INDIRECT("'" &amp;Master!$F$10&amp; "'!$D$2:$D$50"))</f>
        <v>#VALUE!</v>
      </c>
      <c r="E393" s="4" t="e">
        <f ca="1">SplineInterp(A393,INDIRECT("'" &amp;Master!$F$10&amp; "'!$A$2:$A$50"),INDIRECT("'" &amp;Master!$F$10&amp; "'!$E$2:$E$50"))</f>
        <v>#VALUE!</v>
      </c>
      <c r="F393" s="4" t="e">
        <f ca="1">SplineInterp(A393,INDIRECT("'" &amp;Master!$F$10&amp; "'!$A$2:$A$50"),INDIRECT("'" &amp;Master!$F$10&amp; "'!$F$2:$F$50"))</f>
        <v>#VALUE!</v>
      </c>
      <c r="G393" s="4" t="e">
        <f ca="1">SplineInterp(A393,INDIRECT("'" &amp;Master!$F$10&amp; "'!$A$2:$A$50"),INDIRECT("'" &amp;Master!$F$10&amp; "'!$G$2:$G$50"))</f>
        <v>#VALUE!</v>
      </c>
      <c r="H393" s="4" t="e">
        <f ca="1">SplineInterp(A393,INDIRECT("'" &amp;Master!$F$10&amp; "'!$A$2:$A$50"),INDIRECT("'" &amp;Master!$F$10&amp; "'!$H$2:$H$50"))</f>
        <v>#VALUE!</v>
      </c>
      <c r="I393" s="4" t="e">
        <f ca="1">IF(OR(INDIRECT("'" &amp; Master!$F$8 &amp; Master!$F$6 &amp; "'!B" &amp; ROW(B393))="", INDIRECT("'" &amp; Master!$F$8 &amp; Master!$F$6 &amp; "'!B" &amp; ROW(B393))=0), "", INDIRECT("'" &amp; Master!$F$8 &amp; Master!$F$6 &amp; "'!B" &amp; ROW(B393)))</f>
        <v>#VALUE!</v>
      </c>
      <c r="J393" s="9" t="e">
        <f t="shared" ca="1" si="42"/>
        <v>#VALUE!</v>
      </c>
      <c r="K393" s="7" t="e">
        <f t="shared" ca="1" si="43"/>
        <v>#VALUE!</v>
      </c>
      <c r="L393" s="7" t="e">
        <f t="shared" ca="1" si="44"/>
        <v>#VALUE!</v>
      </c>
      <c r="M393" s="7" t="e">
        <f t="shared" ca="1" si="45"/>
        <v>#VALUE!</v>
      </c>
      <c r="N393" s="7" t="e">
        <f t="shared" ca="1" si="46"/>
        <v>#VALUE!</v>
      </c>
      <c r="O393" s="7" t="e">
        <f t="shared" ca="1" si="47"/>
        <v>#VALUE!</v>
      </c>
      <c r="P393" s="7" t="e">
        <f t="shared" ca="1" si="48"/>
        <v>#VALUE!</v>
      </c>
    </row>
    <row r="394" spans="1:16" x14ac:dyDescent="0.25">
      <c r="A394" s="19" t="str">
        <f ca="1">IF(OR(INDIRECT("'" &amp; Master!$F$8 &amp; Master!$F$6 &amp; "'!A" &amp; ROW(A394))="", INDIRECT("'" &amp; Master!$F$8 &amp; Master!$F$6 &amp; "'!A" &amp; ROW(A394))=0), "", INDIRECT("'" &amp; Master!$F$8 &amp; Master!$F$6 &amp; "'!A" &amp; ROW(A394)))</f>
        <v/>
      </c>
      <c r="B394" s="4" t="e">
        <f ca="1">SplineInterp(INDIRECT("A" &amp; ROW()),INDIRECT("'" &amp;Master!$F$10&amp; "'!$A$2:$A$50"),INDIRECT("'" &amp;Master!$F$10&amp; "'!$B$2:$B$50"))</f>
        <v>#VALUE!</v>
      </c>
      <c r="C394" s="4" t="e">
        <f ca="1">SplineInterp(A394,INDIRECT("'" &amp;Master!$F$10&amp; "'!$A$2:$A$50"),INDIRECT("'" &amp;Master!$F$10&amp; "'!$C$2:$C$50"))</f>
        <v>#VALUE!</v>
      </c>
      <c r="D394" s="4" t="e">
        <f ca="1">SplineInterp(A394,INDIRECT("'" &amp;Master!$F$10&amp; "'!$A$2:$A$50"),INDIRECT("'" &amp;Master!$F$10&amp; "'!$D$2:$D$50"))</f>
        <v>#VALUE!</v>
      </c>
      <c r="E394" s="4" t="e">
        <f ca="1">SplineInterp(A394,INDIRECT("'" &amp;Master!$F$10&amp; "'!$A$2:$A$50"),INDIRECT("'" &amp;Master!$F$10&amp; "'!$E$2:$E$50"))</f>
        <v>#VALUE!</v>
      </c>
      <c r="F394" s="4" t="e">
        <f ca="1">SplineInterp(A394,INDIRECT("'" &amp;Master!$F$10&amp; "'!$A$2:$A$50"),INDIRECT("'" &amp;Master!$F$10&amp; "'!$F$2:$F$50"))</f>
        <v>#VALUE!</v>
      </c>
      <c r="G394" s="4" t="e">
        <f ca="1">SplineInterp(A394,INDIRECT("'" &amp;Master!$F$10&amp; "'!$A$2:$A$50"),INDIRECT("'" &amp;Master!$F$10&amp; "'!$G$2:$G$50"))</f>
        <v>#VALUE!</v>
      </c>
      <c r="H394" s="4" t="e">
        <f ca="1">SplineInterp(A394,INDIRECT("'" &amp;Master!$F$10&amp; "'!$A$2:$A$50"),INDIRECT("'" &amp;Master!$F$10&amp; "'!$H$2:$H$50"))</f>
        <v>#VALUE!</v>
      </c>
      <c r="I394" s="4" t="e">
        <f ca="1">IF(OR(INDIRECT("'" &amp; Master!$F$8 &amp; Master!$F$6 &amp; "'!B" &amp; ROW(B394))="", INDIRECT("'" &amp; Master!$F$8 &amp; Master!$F$6 &amp; "'!B" &amp; ROW(B394))=0), "", INDIRECT("'" &amp; Master!$F$8 &amp; Master!$F$6 &amp; "'!B" &amp; ROW(B394)))</f>
        <v>#VALUE!</v>
      </c>
      <c r="J394" s="9" t="e">
        <f t="shared" ca="1" si="42"/>
        <v>#VALUE!</v>
      </c>
      <c r="K394" s="7" t="e">
        <f t="shared" ca="1" si="43"/>
        <v>#VALUE!</v>
      </c>
      <c r="L394" s="7" t="e">
        <f t="shared" ca="1" si="44"/>
        <v>#VALUE!</v>
      </c>
      <c r="M394" s="7" t="e">
        <f t="shared" ca="1" si="45"/>
        <v>#VALUE!</v>
      </c>
      <c r="N394" s="7" t="e">
        <f t="shared" ca="1" si="46"/>
        <v>#VALUE!</v>
      </c>
      <c r="O394" s="7" t="e">
        <f t="shared" ca="1" si="47"/>
        <v>#VALUE!</v>
      </c>
      <c r="P394" s="7" t="e">
        <f t="shared" ca="1" si="48"/>
        <v>#VALUE!</v>
      </c>
    </row>
    <row r="395" spans="1:16" x14ac:dyDescent="0.25">
      <c r="A395" s="19" t="str">
        <f ca="1">IF(OR(INDIRECT("'" &amp; Master!$F$8 &amp; Master!$F$6 &amp; "'!A" &amp; ROW(A395))="", INDIRECT("'" &amp; Master!$F$8 &amp; Master!$F$6 &amp; "'!A" &amp; ROW(A395))=0), "", INDIRECT("'" &amp; Master!$F$8 &amp; Master!$F$6 &amp; "'!A" &amp; ROW(A395)))</f>
        <v/>
      </c>
      <c r="B395" s="4" t="e">
        <f ca="1">SplineInterp(INDIRECT("A" &amp; ROW()),INDIRECT("'" &amp;Master!$F$10&amp; "'!$A$2:$A$50"),INDIRECT("'" &amp;Master!$F$10&amp; "'!$B$2:$B$50"))</f>
        <v>#VALUE!</v>
      </c>
      <c r="C395" s="4" t="e">
        <f ca="1">SplineInterp(A395,INDIRECT("'" &amp;Master!$F$10&amp; "'!$A$2:$A$50"),INDIRECT("'" &amp;Master!$F$10&amp; "'!$C$2:$C$50"))</f>
        <v>#VALUE!</v>
      </c>
      <c r="D395" s="4" t="e">
        <f ca="1">SplineInterp(A395,INDIRECT("'" &amp;Master!$F$10&amp; "'!$A$2:$A$50"),INDIRECT("'" &amp;Master!$F$10&amp; "'!$D$2:$D$50"))</f>
        <v>#VALUE!</v>
      </c>
      <c r="E395" s="4" t="e">
        <f ca="1">SplineInterp(A395,INDIRECT("'" &amp;Master!$F$10&amp; "'!$A$2:$A$50"),INDIRECT("'" &amp;Master!$F$10&amp; "'!$E$2:$E$50"))</f>
        <v>#VALUE!</v>
      </c>
      <c r="F395" s="4" t="e">
        <f ca="1">SplineInterp(A395,INDIRECT("'" &amp;Master!$F$10&amp; "'!$A$2:$A$50"),INDIRECT("'" &amp;Master!$F$10&amp; "'!$F$2:$F$50"))</f>
        <v>#VALUE!</v>
      </c>
      <c r="G395" s="4" t="e">
        <f ca="1">SplineInterp(A395,INDIRECT("'" &amp;Master!$F$10&amp; "'!$A$2:$A$50"),INDIRECT("'" &amp;Master!$F$10&amp; "'!$G$2:$G$50"))</f>
        <v>#VALUE!</v>
      </c>
      <c r="H395" s="4" t="e">
        <f ca="1">SplineInterp(A395,INDIRECT("'" &amp;Master!$F$10&amp; "'!$A$2:$A$50"),INDIRECT("'" &amp;Master!$F$10&amp; "'!$H$2:$H$50"))</f>
        <v>#VALUE!</v>
      </c>
      <c r="I395" s="4" t="e">
        <f ca="1">IF(OR(INDIRECT("'" &amp; Master!$F$8 &amp; Master!$F$6 &amp; "'!B" &amp; ROW(B395))="", INDIRECT("'" &amp; Master!$F$8 &amp; Master!$F$6 &amp; "'!B" &amp; ROW(B395))=0), "", INDIRECT("'" &amp; Master!$F$8 &amp; Master!$F$6 &amp; "'!B" &amp; ROW(B395)))</f>
        <v>#VALUE!</v>
      </c>
      <c r="J395" s="9" t="e">
        <f t="shared" ca="1" si="42"/>
        <v>#VALUE!</v>
      </c>
      <c r="K395" s="7" t="e">
        <f t="shared" ca="1" si="43"/>
        <v>#VALUE!</v>
      </c>
      <c r="L395" s="7" t="e">
        <f t="shared" ca="1" si="44"/>
        <v>#VALUE!</v>
      </c>
      <c r="M395" s="7" t="e">
        <f t="shared" ca="1" si="45"/>
        <v>#VALUE!</v>
      </c>
      <c r="N395" s="7" t="e">
        <f t="shared" ca="1" si="46"/>
        <v>#VALUE!</v>
      </c>
      <c r="O395" s="7" t="e">
        <f t="shared" ca="1" si="47"/>
        <v>#VALUE!</v>
      </c>
      <c r="P395" s="7" t="e">
        <f t="shared" ca="1" si="48"/>
        <v>#VALUE!</v>
      </c>
    </row>
    <row r="396" spans="1:16" x14ac:dyDescent="0.25">
      <c r="A396" s="19" t="str">
        <f ca="1">IF(OR(INDIRECT("'" &amp; Master!$F$8 &amp; Master!$F$6 &amp; "'!A" &amp; ROW(A396))="", INDIRECT("'" &amp; Master!$F$8 &amp; Master!$F$6 &amp; "'!A" &amp; ROW(A396))=0), "", INDIRECT("'" &amp; Master!$F$8 &amp; Master!$F$6 &amp; "'!A" &amp; ROW(A396)))</f>
        <v/>
      </c>
      <c r="B396" s="4" t="e">
        <f ca="1">SplineInterp(INDIRECT("A" &amp; ROW()),INDIRECT("'" &amp;Master!$F$10&amp; "'!$A$2:$A$50"),INDIRECT("'" &amp;Master!$F$10&amp; "'!$B$2:$B$50"))</f>
        <v>#VALUE!</v>
      </c>
      <c r="C396" s="4" t="e">
        <f ca="1">SplineInterp(A396,INDIRECT("'" &amp;Master!$F$10&amp; "'!$A$2:$A$50"),INDIRECT("'" &amp;Master!$F$10&amp; "'!$C$2:$C$50"))</f>
        <v>#VALUE!</v>
      </c>
      <c r="D396" s="4" t="e">
        <f ca="1">SplineInterp(A396,INDIRECT("'" &amp;Master!$F$10&amp; "'!$A$2:$A$50"),INDIRECT("'" &amp;Master!$F$10&amp; "'!$D$2:$D$50"))</f>
        <v>#VALUE!</v>
      </c>
      <c r="E396" s="4" t="e">
        <f ca="1">SplineInterp(A396,INDIRECT("'" &amp;Master!$F$10&amp; "'!$A$2:$A$50"),INDIRECT("'" &amp;Master!$F$10&amp; "'!$E$2:$E$50"))</f>
        <v>#VALUE!</v>
      </c>
      <c r="F396" s="4" t="e">
        <f ca="1">SplineInterp(A396,INDIRECT("'" &amp;Master!$F$10&amp; "'!$A$2:$A$50"),INDIRECT("'" &amp;Master!$F$10&amp; "'!$F$2:$F$50"))</f>
        <v>#VALUE!</v>
      </c>
      <c r="G396" s="4" t="e">
        <f ca="1">SplineInterp(A396,INDIRECT("'" &amp;Master!$F$10&amp; "'!$A$2:$A$50"),INDIRECT("'" &amp;Master!$F$10&amp; "'!$G$2:$G$50"))</f>
        <v>#VALUE!</v>
      </c>
      <c r="H396" s="4" t="e">
        <f ca="1">SplineInterp(A396,INDIRECT("'" &amp;Master!$F$10&amp; "'!$A$2:$A$50"),INDIRECT("'" &amp;Master!$F$10&amp; "'!$H$2:$H$50"))</f>
        <v>#VALUE!</v>
      </c>
      <c r="I396" s="4" t="e">
        <f ca="1">IF(OR(INDIRECT("'" &amp; Master!$F$8 &amp; Master!$F$6 &amp; "'!B" &amp; ROW(B396))="", INDIRECT("'" &amp; Master!$F$8 &amp; Master!$F$6 &amp; "'!B" &amp; ROW(B396))=0), "", INDIRECT("'" &amp; Master!$F$8 &amp; Master!$F$6 &amp; "'!B" &amp; ROW(B396)))</f>
        <v>#VALUE!</v>
      </c>
      <c r="J396" s="9" t="e">
        <f t="shared" ca="1" si="42"/>
        <v>#VALUE!</v>
      </c>
      <c r="K396" s="7" t="e">
        <f t="shared" ca="1" si="43"/>
        <v>#VALUE!</v>
      </c>
      <c r="L396" s="7" t="e">
        <f t="shared" ca="1" si="44"/>
        <v>#VALUE!</v>
      </c>
      <c r="M396" s="7" t="e">
        <f t="shared" ca="1" si="45"/>
        <v>#VALUE!</v>
      </c>
      <c r="N396" s="7" t="e">
        <f t="shared" ca="1" si="46"/>
        <v>#VALUE!</v>
      </c>
      <c r="O396" s="7" t="e">
        <f t="shared" ca="1" si="47"/>
        <v>#VALUE!</v>
      </c>
      <c r="P396" s="7" t="e">
        <f t="shared" ca="1" si="48"/>
        <v>#VALUE!</v>
      </c>
    </row>
    <row r="397" spans="1:16" x14ac:dyDescent="0.25">
      <c r="A397" s="19" t="str">
        <f ca="1">IF(OR(INDIRECT("'" &amp; Master!$F$8 &amp; Master!$F$6 &amp; "'!A" &amp; ROW(A397))="", INDIRECT("'" &amp; Master!$F$8 &amp; Master!$F$6 &amp; "'!A" &amp; ROW(A397))=0), "", INDIRECT("'" &amp; Master!$F$8 &amp; Master!$F$6 &amp; "'!A" &amp; ROW(A397)))</f>
        <v/>
      </c>
      <c r="B397" s="4" t="e">
        <f ca="1">SplineInterp(INDIRECT("A" &amp; ROW()),INDIRECT("'" &amp;Master!$F$10&amp; "'!$A$2:$A$50"),INDIRECT("'" &amp;Master!$F$10&amp; "'!$B$2:$B$50"))</f>
        <v>#VALUE!</v>
      </c>
      <c r="C397" s="4" t="e">
        <f ca="1">SplineInterp(A397,INDIRECT("'" &amp;Master!$F$10&amp; "'!$A$2:$A$50"),INDIRECT("'" &amp;Master!$F$10&amp; "'!$C$2:$C$50"))</f>
        <v>#VALUE!</v>
      </c>
      <c r="D397" s="4" t="e">
        <f ca="1">SplineInterp(A397,INDIRECT("'" &amp;Master!$F$10&amp; "'!$A$2:$A$50"),INDIRECT("'" &amp;Master!$F$10&amp; "'!$D$2:$D$50"))</f>
        <v>#VALUE!</v>
      </c>
      <c r="E397" s="4" t="e">
        <f ca="1">SplineInterp(A397,INDIRECT("'" &amp;Master!$F$10&amp; "'!$A$2:$A$50"),INDIRECT("'" &amp;Master!$F$10&amp; "'!$E$2:$E$50"))</f>
        <v>#VALUE!</v>
      </c>
      <c r="F397" s="4" t="e">
        <f ca="1">SplineInterp(A397,INDIRECT("'" &amp;Master!$F$10&amp; "'!$A$2:$A$50"),INDIRECT("'" &amp;Master!$F$10&amp; "'!$F$2:$F$50"))</f>
        <v>#VALUE!</v>
      </c>
      <c r="G397" s="4" t="e">
        <f ca="1">SplineInterp(A397,INDIRECT("'" &amp;Master!$F$10&amp; "'!$A$2:$A$50"),INDIRECT("'" &amp;Master!$F$10&amp; "'!$G$2:$G$50"))</f>
        <v>#VALUE!</v>
      </c>
      <c r="H397" s="4" t="e">
        <f ca="1">SplineInterp(A397,INDIRECT("'" &amp;Master!$F$10&amp; "'!$A$2:$A$50"),INDIRECT("'" &amp;Master!$F$10&amp; "'!$H$2:$H$50"))</f>
        <v>#VALUE!</v>
      </c>
      <c r="I397" s="4" t="e">
        <f ca="1">IF(OR(INDIRECT("'" &amp; Master!$F$8 &amp; Master!$F$6 &amp; "'!B" &amp; ROW(B397))="", INDIRECT("'" &amp; Master!$F$8 &amp; Master!$F$6 &amp; "'!B" &amp; ROW(B397))=0), "", INDIRECT("'" &amp; Master!$F$8 &amp; Master!$F$6 &amp; "'!B" &amp; ROW(B397)))</f>
        <v>#VALUE!</v>
      </c>
      <c r="J397" s="9" t="e">
        <f t="shared" ca="1" si="42"/>
        <v>#VALUE!</v>
      </c>
      <c r="K397" s="7" t="e">
        <f t="shared" ca="1" si="43"/>
        <v>#VALUE!</v>
      </c>
      <c r="L397" s="7" t="e">
        <f t="shared" ca="1" si="44"/>
        <v>#VALUE!</v>
      </c>
      <c r="M397" s="7" t="e">
        <f t="shared" ca="1" si="45"/>
        <v>#VALUE!</v>
      </c>
      <c r="N397" s="7" t="e">
        <f t="shared" ca="1" si="46"/>
        <v>#VALUE!</v>
      </c>
      <c r="O397" s="7" t="e">
        <f t="shared" ca="1" si="47"/>
        <v>#VALUE!</v>
      </c>
      <c r="P397" s="7" t="e">
        <f t="shared" ca="1" si="48"/>
        <v>#VALUE!</v>
      </c>
    </row>
    <row r="398" spans="1:16" x14ac:dyDescent="0.25">
      <c r="A398" s="19" t="str">
        <f ca="1">IF(OR(INDIRECT("'" &amp; Master!$F$8 &amp; Master!$F$6 &amp; "'!A" &amp; ROW(A398))="", INDIRECT("'" &amp; Master!$F$8 &amp; Master!$F$6 &amp; "'!A" &amp; ROW(A398))=0), "", INDIRECT("'" &amp; Master!$F$8 &amp; Master!$F$6 &amp; "'!A" &amp; ROW(A398)))</f>
        <v/>
      </c>
      <c r="B398" s="4" t="e">
        <f ca="1">SplineInterp(INDIRECT("A" &amp; ROW()),INDIRECT("'" &amp;Master!$F$10&amp; "'!$A$2:$A$50"),INDIRECT("'" &amp;Master!$F$10&amp; "'!$B$2:$B$50"))</f>
        <v>#VALUE!</v>
      </c>
      <c r="C398" s="4" t="e">
        <f ca="1">SplineInterp(A398,INDIRECT("'" &amp;Master!$F$10&amp; "'!$A$2:$A$50"),INDIRECT("'" &amp;Master!$F$10&amp; "'!$C$2:$C$50"))</f>
        <v>#VALUE!</v>
      </c>
      <c r="D398" s="4" t="e">
        <f ca="1">SplineInterp(A398,INDIRECT("'" &amp;Master!$F$10&amp; "'!$A$2:$A$50"),INDIRECT("'" &amp;Master!$F$10&amp; "'!$D$2:$D$50"))</f>
        <v>#VALUE!</v>
      </c>
      <c r="E398" s="4" t="e">
        <f ca="1">SplineInterp(A398,INDIRECT("'" &amp;Master!$F$10&amp; "'!$A$2:$A$50"),INDIRECT("'" &amp;Master!$F$10&amp; "'!$E$2:$E$50"))</f>
        <v>#VALUE!</v>
      </c>
      <c r="F398" s="4" t="e">
        <f ca="1">SplineInterp(A398,INDIRECT("'" &amp;Master!$F$10&amp; "'!$A$2:$A$50"),INDIRECT("'" &amp;Master!$F$10&amp; "'!$F$2:$F$50"))</f>
        <v>#VALUE!</v>
      </c>
      <c r="G398" s="4" t="e">
        <f ca="1">SplineInterp(A398,INDIRECT("'" &amp;Master!$F$10&amp; "'!$A$2:$A$50"),INDIRECT("'" &amp;Master!$F$10&amp; "'!$G$2:$G$50"))</f>
        <v>#VALUE!</v>
      </c>
      <c r="H398" s="4" t="e">
        <f ca="1">SplineInterp(A398,INDIRECT("'" &amp;Master!$F$10&amp; "'!$A$2:$A$50"),INDIRECT("'" &amp;Master!$F$10&amp; "'!$H$2:$H$50"))</f>
        <v>#VALUE!</v>
      </c>
      <c r="I398" s="4" t="e">
        <f ca="1">IF(OR(INDIRECT("'" &amp; Master!$F$8 &amp; Master!$F$6 &amp; "'!B" &amp; ROW(B398))="", INDIRECT("'" &amp; Master!$F$8 &amp; Master!$F$6 &amp; "'!B" &amp; ROW(B398))=0), "", INDIRECT("'" &amp; Master!$F$8 &amp; Master!$F$6 &amp; "'!B" &amp; ROW(B398)))</f>
        <v>#VALUE!</v>
      </c>
      <c r="J398" s="9" t="e">
        <f t="shared" ca="1" si="42"/>
        <v>#VALUE!</v>
      </c>
      <c r="K398" s="7" t="e">
        <f t="shared" ca="1" si="43"/>
        <v>#VALUE!</v>
      </c>
      <c r="L398" s="7" t="e">
        <f t="shared" ca="1" si="44"/>
        <v>#VALUE!</v>
      </c>
      <c r="M398" s="7" t="e">
        <f t="shared" ca="1" si="45"/>
        <v>#VALUE!</v>
      </c>
      <c r="N398" s="7" t="e">
        <f t="shared" ca="1" si="46"/>
        <v>#VALUE!</v>
      </c>
      <c r="O398" s="7" t="e">
        <f t="shared" ca="1" si="47"/>
        <v>#VALUE!</v>
      </c>
      <c r="P398" s="7" t="e">
        <f t="shared" ca="1" si="48"/>
        <v>#VALUE!</v>
      </c>
    </row>
    <row r="399" spans="1:16" x14ac:dyDescent="0.25">
      <c r="A399" s="19" t="str">
        <f ca="1">IF(OR(INDIRECT("'" &amp; Master!$F$8 &amp; Master!$F$6 &amp; "'!A" &amp; ROW(A399))="", INDIRECT("'" &amp; Master!$F$8 &amp; Master!$F$6 &amp; "'!A" &amp; ROW(A399))=0), "", INDIRECT("'" &amp; Master!$F$8 &amp; Master!$F$6 &amp; "'!A" &amp; ROW(A399)))</f>
        <v/>
      </c>
      <c r="B399" s="4" t="e">
        <f ca="1">SplineInterp(INDIRECT("A" &amp; ROW()),INDIRECT("'" &amp;Master!$F$10&amp; "'!$A$2:$A$50"),INDIRECT("'" &amp;Master!$F$10&amp; "'!$B$2:$B$50"))</f>
        <v>#VALUE!</v>
      </c>
      <c r="C399" s="4" t="e">
        <f ca="1">SplineInterp(A399,INDIRECT("'" &amp;Master!$F$10&amp; "'!$A$2:$A$50"),INDIRECT("'" &amp;Master!$F$10&amp; "'!$C$2:$C$50"))</f>
        <v>#VALUE!</v>
      </c>
      <c r="D399" s="4" t="e">
        <f ca="1">SplineInterp(A399,INDIRECT("'" &amp;Master!$F$10&amp; "'!$A$2:$A$50"),INDIRECT("'" &amp;Master!$F$10&amp; "'!$D$2:$D$50"))</f>
        <v>#VALUE!</v>
      </c>
      <c r="E399" s="4" t="e">
        <f ca="1">SplineInterp(A399,INDIRECT("'" &amp;Master!$F$10&amp; "'!$A$2:$A$50"),INDIRECT("'" &amp;Master!$F$10&amp; "'!$E$2:$E$50"))</f>
        <v>#VALUE!</v>
      </c>
      <c r="F399" s="4" t="e">
        <f ca="1">SplineInterp(A399,INDIRECT("'" &amp;Master!$F$10&amp; "'!$A$2:$A$50"),INDIRECT("'" &amp;Master!$F$10&amp; "'!$F$2:$F$50"))</f>
        <v>#VALUE!</v>
      </c>
      <c r="G399" s="4" t="e">
        <f ca="1">SplineInterp(A399,INDIRECT("'" &amp;Master!$F$10&amp; "'!$A$2:$A$50"),INDIRECT("'" &amp;Master!$F$10&amp; "'!$G$2:$G$50"))</f>
        <v>#VALUE!</v>
      </c>
      <c r="H399" s="4" t="e">
        <f ca="1">SplineInterp(A399,INDIRECT("'" &amp;Master!$F$10&amp; "'!$A$2:$A$50"),INDIRECT("'" &amp;Master!$F$10&amp; "'!$H$2:$H$50"))</f>
        <v>#VALUE!</v>
      </c>
      <c r="I399" s="4" t="e">
        <f ca="1">IF(OR(INDIRECT("'" &amp; Master!$F$8 &amp; Master!$F$6 &amp; "'!B" &amp; ROW(B399))="", INDIRECT("'" &amp; Master!$F$8 &amp; Master!$F$6 &amp; "'!B" &amp; ROW(B399))=0), "", INDIRECT("'" &amp; Master!$F$8 &amp; Master!$F$6 &amp; "'!B" &amp; ROW(B399)))</f>
        <v>#VALUE!</v>
      </c>
      <c r="J399" s="9" t="e">
        <f t="shared" ca="1" si="42"/>
        <v>#VALUE!</v>
      </c>
      <c r="K399" s="7" t="e">
        <f t="shared" ca="1" si="43"/>
        <v>#VALUE!</v>
      </c>
      <c r="L399" s="7" t="e">
        <f t="shared" ca="1" si="44"/>
        <v>#VALUE!</v>
      </c>
      <c r="M399" s="7" t="e">
        <f t="shared" ca="1" si="45"/>
        <v>#VALUE!</v>
      </c>
      <c r="N399" s="7" t="e">
        <f t="shared" ca="1" si="46"/>
        <v>#VALUE!</v>
      </c>
      <c r="O399" s="7" t="e">
        <f t="shared" ca="1" si="47"/>
        <v>#VALUE!</v>
      </c>
      <c r="P399" s="7" t="e">
        <f t="shared" ca="1" si="48"/>
        <v>#VALUE!</v>
      </c>
    </row>
    <row r="400" spans="1:16" x14ac:dyDescent="0.25">
      <c r="A400" s="19" t="str">
        <f ca="1">IF(OR(INDIRECT("'" &amp; Master!$F$8 &amp; Master!$F$6 &amp; "'!A" &amp; ROW(A400))="", INDIRECT("'" &amp; Master!$F$8 &amp; Master!$F$6 &amp; "'!A" &amp; ROW(A400))=0), "", INDIRECT("'" &amp; Master!$F$8 &amp; Master!$F$6 &amp; "'!A" &amp; ROW(A400)))</f>
        <v/>
      </c>
      <c r="B400" s="4" t="e">
        <f ca="1">SplineInterp(INDIRECT("A" &amp; ROW()),INDIRECT("'" &amp;Master!$F$10&amp; "'!$A$2:$A$50"),INDIRECT("'" &amp;Master!$F$10&amp; "'!$B$2:$B$50"))</f>
        <v>#VALUE!</v>
      </c>
      <c r="C400" s="4" t="e">
        <f ca="1">SplineInterp(A400,INDIRECT("'" &amp;Master!$F$10&amp; "'!$A$2:$A$50"),INDIRECT("'" &amp;Master!$F$10&amp; "'!$C$2:$C$50"))</f>
        <v>#VALUE!</v>
      </c>
      <c r="D400" s="4" t="e">
        <f ca="1">SplineInterp(A400,INDIRECT("'" &amp;Master!$F$10&amp; "'!$A$2:$A$50"),INDIRECT("'" &amp;Master!$F$10&amp; "'!$D$2:$D$50"))</f>
        <v>#VALUE!</v>
      </c>
      <c r="E400" s="4" t="e">
        <f ca="1">SplineInterp(A400,INDIRECT("'" &amp;Master!$F$10&amp; "'!$A$2:$A$50"),INDIRECT("'" &amp;Master!$F$10&amp; "'!$E$2:$E$50"))</f>
        <v>#VALUE!</v>
      </c>
      <c r="F400" s="4" t="e">
        <f ca="1">SplineInterp(A400,INDIRECT("'" &amp;Master!$F$10&amp; "'!$A$2:$A$50"),INDIRECT("'" &amp;Master!$F$10&amp; "'!$F$2:$F$50"))</f>
        <v>#VALUE!</v>
      </c>
      <c r="G400" s="4" t="e">
        <f ca="1">SplineInterp(A400,INDIRECT("'" &amp;Master!$F$10&amp; "'!$A$2:$A$50"),INDIRECT("'" &amp;Master!$F$10&amp; "'!$G$2:$G$50"))</f>
        <v>#VALUE!</v>
      </c>
      <c r="H400" s="4" t="e">
        <f ca="1">SplineInterp(A400,INDIRECT("'" &amp;Master!$F$10&amp; "'!$A$2:$A$50"),INDIRECT("'" &amp;Master!$F$10&amp; "'!$H$2:$H$50"))</f>
        <v>#VALUE!</v>
      </c>
      <c r="I400" s="4" t="e">
        <f ca="1">IF(OR(INDIRECT("'" &amp; Master!$F$8 &amp; Master!$F$6 &amp; "'!B" &amp; ROW(B400))="", INDIRECT("'" &amp; Master!$F$8 &amp; Master!$F$6 &amp; "'!B" &amp; ROW(B400))=0), "", INDIRECT("'" &amp; Master!$F$8 &amp; Master!$F$6 &amp; "'!B" &amp; ROW(B400)))</f>
        <v>#VALUE!</v>
      </c>
      <c r="J400" s="9" t="e">
        <f t="shared" ca="1" si="42"/>
        <v>#VALUE!</v>
      </c>
      <c r="K400" s="7" t="e">
        <f t="shared" ca="1" si="43"/>
        <v>#VALUE!</v>
      </c>
      <c r="L400" s="7" t="e">
        <f t="shared" ca="1" si="44"/>
        <v>#VALUE!</v>
      </c>
      <c r="M400" s="7" t="e">
        <f t="shared" ca="1" si="45"/>
        <v>#VALUE!</v>
      </c>
      <c r="N400" s="7" t="e">
        <f t="shared" ca="1" si="46"/>
        <v>#VALUE!</v>
      </c>
      <c r="O400" s="7" t="e">
        <f t="shared" ca="1" si="47"/>
        <v>#VALUE!</v>
      </c>
      <c r="P400" s="7" t="e">
        <f t="shared" ca="1" si="48"/>
        <v>#VALUE!</v>
      </c>
    </row>
    <row r="401" spans="1:16" x14ac:dyDescent="0.25">
      <c r="A401" s="19" t="str">
        <f ca="1">IF(OR(INDIRECT("'" &amp; Master!$F$8 &amp; Master!$F$6 &amp; "'!A" &amp; ROW(A401))="", INDIRECT("'" &amp; Master!$F$8 &amp; Master!$F$6 &amp; "'!A" &amp; ROW(A401))=0), "", INDIRECT("'" &amp; Master!$F$8 &amp; Master!$F$6 &amp; "'!A" &amp; ROW(A401)))</f>
        <v/>
      </c>
      <c r="B401" s="4" t="e">
        <f ca="1">SplineInterp(INDIRECT("A" &amp; ROW()),INDIRECT("'" &amp;Master!$F$10&amp; "'!$A$2:$A$50"),INDIRECT("'" &amp;Master!$F$10&amp; "'!$B$2:$B$50"))</f>
        <v>#VALUE!</v>
      </c>
      <c r="C401" s="4" t="e">
        <f ca="1">SplineInterp(A401,INDIRECT("'" &amp;Master!$F$10&amp; "'!$A$2:$A$50"),INDIRECT("'" &amp;Master!$F$10&amp; "'!$C$2:$C$50"))</f>
        <v>#VALUE!</v>
      </c>
      <c r="D401" s="4" t="e">
        <f ca="1">SplineInterp(A401,INDIRECT("'" &amp;Master!$F$10&amp; "'!$A$2:$A$50"),INDIRECT("'" &amp;Master!$F$10&amp; "'!$D$2:$D$50"))</f>
        <v>#VALUE!</v>
      </c>
      <c r="E401" s="4" t="e">
        <f ca="1">SplineInterp(A401,INDIRECT("'" &amp;Master!$F$10&amp; "'!$A$2:$A$50"),INDIRECT("'" &amp;Master!$F$10&amp; "'!$E$2:$E$50"))</f>
        <v>#VALUE!</v>
      </c>
      <c r="F401" s="4" t="e">
        <f ca="1">SplineInterp(A401,INDIRECT("'" &amp;Master!$F$10&amp; "'!$A$2:$A$50"),INDIRECT("'" &amp;Master!$F$10&amp; "'!$F$2:$F$50"))</f>
        <v>#VALUE!</v>
      </c>
      <c r="G401" s="4" t="e">
        <f ca="1">SplineInterp(A401,INDIRECT("'" &amp;Master!$F$10&amp; "'!$A$2:$A$50"),INDIRECT("'" &amp;Master!$F$10&amp; "'!$G$2:$G$50"))</f>
        <v>#VALUE!</v>
      </c>
      <c r="H401" s="4" t="e">
        <f ca="1">SplineInterp(A401,INDIRECT("'" &amp;Master!$F$10&amp; "'!$A$2:$A$50"),INDIRECT("'" &amp;Master!$F$10&amp; "'!$H$2:$H$50"))</f>
        <v>#VALUE!</v>
      </c>
      <c r="I401" s="4" t="e">
        <f ca="1">IF(OR(INDIRECT("'" &amp; Master!$F$8 &amp; Master!$F$6 &amp; "'!B" &amp; ROW(B401))="", INDIRECT("'" &amp; Master!$F$8 &amp; Master!$F$6 &amp; "'!B" &amp; ROW(B401))=0), "", INDIRECT("'" &amp; Master!$F$8 &amp; Master!$F$6 &amp; "'!B" &amp; ROW(B401)))</f>
        <v>#VALUE!</v>
      </c>
      <c r="J401" s="9" t="e">
        <f t="shared" ca="1" si="42"/>
        <v>#VALUE!</v>
      </c>
      <c r="K401" s="7" t="e">
        <f t="shared" ca="1" si="43"/>
        <v>#VALUE!</v>
      </c>
      <c r="L401" s="7" t="e">
        <f t="shared" ca="1" si="44"/>
        <v>#VALUE!</v>
      </c>
      <c r="M401" s="7" t="e">
        <f t="shared" ca="1" si="45"/>
        <v>#VALUE!</v>
      </c>
      <c r="N401" s="7" t="e">
        <f t="shared" ca="1" si="46"/>
        <v>#VALUE!</v>
      </c>
      <c r="O401" s="7" t="e">
        <f t="shared" ca="1" si="47"/>
        <v>#VALUE!</v>
      </c>
      <c r="P401" s="7" t="e">
        <f t="shared" ca="1" si="48"/>
        <v>#VALUE!</v>
      </c>
    </row>
    <row r="402" spans="1:16" x14ac:dyDescent="0.25">
      <c r="A402" s="19" t="str">
        <f ca="1">IF(OR(INDIRECT("'" &amp; Master!$F$8 &amp; Master!$F$6 &amp; "'!A" &amp; ROW(A402))="", INDIRECT("'" &amp; Master!$F$8 &amp; Master!$F$6 &amp; "'!A" &amp; ROW(A402))=0), "", INDIRECT("'" &amp; Master!$F$8 &amp; Master!$F$6 &amp; "'!A" &amp; ROW(A402)))</f>
        <v/>
      </c>
      <c r="B402" s="4" t="e">
        <f ca="1">SplineInterp(INDIRECT("A" &amp; ROW()),INDIRECT("'" &amp;Master!$F$10&amp; "'!$A$2:$A$50"),INDIRECT("'" &amp;Master!$F$10&amp; "'!$B$2:$B$50"))</f>
        <v>#VALUE!</v>
      </c>
      <c r="C402" s="4" t="e">
        <f ca="1">SplineInterp(A402,INDIRECT("'" &amp;Master!$F$10&amp; "'!$A$2:$A$50"),INDIRECT("'" &amp;Master!$F$10&amp; "'!$C$2:$C$50"))</f>
        <v>#VALUE!</v>
      </c>
      <c r="D402" s="4" t="e">
        <f ca="1">SplineInterp(A402,INDIRECT("'" &amp;Master!$F$10&amp; "'!$A$2:$A$50"),INDIRECT("'" &amp;Master!$F$10&amp; "'!$D$2:$D$50"))</f>
        <v>#VALUE!</v>
      </c>
      <c r="E402" s="4" t="e">
        <f ca="1">SplineInterp(A402,INDIRECT("'" &amp;Master!$F$10&amp; "'!$A$2:$A$50"),INDIRECT("'" &amp;Master!$F$10&amp; "'!$E$2:$E$50"))</f>
        <v>#VALUE!</v>
      </c>
      <c r="F402" s="4" t="e">
        <f ca="1">SplineInterp(A402,INDIRECT("'" &amp;Master!$F$10&amp; "'!$A$2:$A$50"),INDIRECT("'" &amp;Master!$F$10&amp; "'!$F$2:$F$50"))</f>
        <v>#VALUE!</v>
      </c>
      <c r="G402" s="4" t="e">
        <f ca="1">SplineInterp(A402,INDIRECT("'" &amp;Master!$F$10&amp; "'!$A$2:$A$50"),INDIRECT("'" &amp;Master!$F$10&amp; "'!$G$2:$G$50"))</f>
        <v>#VALUE!</v>
      </c>
      <c r="H402" s="4" t="e">
        <f ca="1">SplineInterp(A402,INDIRECT("'" &amp;Master!$F$10&amp; "'!$A$2:$A$50"),INDIRECT("'" &amp;Master!$F$10&amp; "'!$H$2:$H$50"))</f>
        <v>#VALUE!</v>
      </c>
      <c r="I402" s="4" t="e">
        <f ca="1">IF(OR(INDIRECT("'" &amp; Master!$F$8 &amp; Master!$F$6 &amp; "'!B" &amp; ROW(B402))="", INDIRECT("'" &amp; Master!$F$8 &amp; Master!$F$6 &amp; "'!B" &amp; ROW(B402))=0), "", INDIRECT("'" &amp; Master!$F$8 &amp; Master!$F$6 &amp; "'!B" &amp; ROW(B402)))</f>
        <v>#VALUE!</v>
      </c>
      <c r="J402" s="9" t="e">
        <f t="shared" ca="1" si="42"/>
        <v>#VALUE!</v>
      </c>
      <c r="K402" s="7" t="e">
        <f t="shared" ca="1" si="43"/>
        <v>#VALUE!</v>
      </c>
      <c r="L402" s="7" t="e">
        <f t="shared" ca="1" si="44"/>
        <v>#VALUE!</v>
      </c>
      <c r="M402" s="7" t="e">
        <f t="shared" ca="1" si="45"/>
        <v>#VALUE!</v>
      </c>
      <c r="N402" s="7" t="e">
        <f t="shared" ca="1" si="46"/>
        <v>#VALUE!</v>
      </c>
      <c r="O402" s="7" t="e">
        <f t="shared" ca="1" si="47"/>
        <v>#VALUE!</v>
      </c>
      <c r="P402" s="7" t="e">
        <f t="shared" ca="1" si="48"/>
        <v>#VALUE!</v>
      </c>
    </row>
    <row r="403" spans="1:16" x14ac:dyDescent="0.25">
      <c r="A403" s="19" t="str">
        <f ca="1">IF(OR(INDIRECT("'" &amp; Master!$F$8 &amp; Master!$F$6 &amp; "'!A" &amp; ROW(A403))="", INDIRECT("'" &amp; Master!$F$8 &amp; Master!$F$6 &amp; "'!A" &amp; ROW(A403))=0), "", INDIRECT("'" &amp; Master!$F$8 &amp; Master!$F$6 &amp; "'!A" &amp; ROW(A403)))</f>
        <v/>
      </c>
      <c r="B403" s="4" t="e">
        <f ca="1">SplineInterp(INDIRECT("A" &amp; ROW()),INDIRECT("'" &amp;Master!$F$10&amp; "'!$A$2:$A$50"),INDIRECT("'" &amp;Master!$F$10&amp; "'!$B$2:$B$50"))</f>
        <v>#VALUE!</v>
      </c>
      <c r="C403" s="4" t="e">
        <f ca="1">SplineInterp(A403,INDIRECT("'" &amp;Master!$F$10&amp; "'!$A$2:$A$50"),INDIRECT("'" &amp;Master!$F$10&amp; "'!$C$2:$C$50"))</f>
        <v>#VALUE!</v>
      </c>
      <c r="D403" s="4" t="e">
        <f ca="1">SplineInterp(A403,INDIRECT("'" &amp;Master!$F$10&amp; "'!$A$2:$A$50"),INDIRECT("'" &amp;Master!$F$10&amp; "'!$D$2:$D$50"))</f>
        <v>#VALUE!</v>
      </c>
      <c r="E403" s="4" t="e">
        <f ca="1">SplineInterp(A403,INDIRECT("'" &amp;Master!$F$10&amp; "'!$A$2:$A$50"),INDIRECT("'" &amp;Master!$F$10&amp; "'!$E$2:$E$50"))</f>
        <v>#VALUE!</v>
      </c>
      <c r="F403" s="4" t="e">
        <f ca="1">SplineInterp(A403,INDIRECT("'" &amp;Master!$F$10&amp; "'!$A$2:$A$50"),INDIRECT("'" &amp;Master!$F$10&amp; "'!$F$2:$F$50"))</f>
        <v>#VALUE!</v>
      </c>
      <c r="G403" s="4" t="e">
        <f ca="1">SplineInterp(A403,INDIRECT("'" &amp;Master!$F$10&amp; "'!$A$2:$A$50"),INDIRECT("'" &amp;Master!$F$10&amp; "'!$G$2:$G$50"))</f>
        <v>#VALUE!</v>
      </c>
      <c r="H403" s="4" t="e">
        <f ca="1">SplineInterp(A403,INDIRECT("'" &amp;Master!$F$10&amp; "'!$A$2:$A$50"),INDIRECT("'" &amp;Master!$F$10&amp; "'!$H$2:$H$50"))</f>
        <v>#VALUE!</v>
      </c>
      <c r="I403" s="4" t="e">
        <f ca="1">IF(OR(INDIRECT("'" &amp; Master!$F$8 &amp; Master!$F$6 &amp; "'!B" &amp; ROW(B403))="", INDIRECT("'" &amp; Master!$F$8 &amp; Master!$F$6 &amp; "'!B" &amp; ROW(B403))=0), "", INDIRECT("'" &amp; Master!$F$8 &amp; Master!$F$6 &amp; "'!B" &amp; ROW(B403)))</f>
        <v>#VALUE!</v>
      </c>
      <c r="J403" s="9" t="e">
        <f t="shared" ca="1" si="42"/>
        <v>#VALUE!</v>
      </c>
      <c r="K403" s="7" t="e">
        <f t="shared" ca="1" si="43"/>
        <v>#VALUE!</v>
      </c>
      <c r="L403" s="7" t="e">
        <f t="shared" ca="1" si="44"/>
        <v>#VALUE!</v>
      </c>
      <c r="M403" s="7" t="e">
        <f t="shared" ca="1" si="45"/>
        <v>#VALUE!</v>
      </c>
      <c r="N403" s="7" t="e">
        <f t="shared" ca="1" si="46"/>
        <v>#VALUE!</v>
      </c>
      <c r="O403" s="7" t="e">
        <f t="shared" ca="1" si="47"/>
        <v>#VALUE!</v>
      </c>
      <c r="P403" s="7" t="e">
        <f t="shared" ca="1" si="48"/>
        <v>#VALUE!</v>
      </c>
    </row>
    <row r="404" spans="1:16" x14ac:dyDescent="0.25">
      <c r="A404" s="19" t="str">
        <f ca="1">IF(OR(INDIRECT("'" &amp; Master!$F$8 &amp; Master!$F$6 &amp; "'!A" &amp; ROW(A404))="", INDIRECT("'" &amp; Master!$F$8 &amp; Master!$F$6 &amp; "'!A" &amp; ROW(A404))=0), "", INDIRECT("'" &amp; Master!$F$8 &amp; Master!$F$6 &amp; "'!A" &amp; ROW(A404)))</f>
        <v/>
      </c>
      <c r="B404" s="4" t="e">
        <f ca="1">SplineInterp(INDIRECT("A" &amp; ROW()),INDIRECT("'" &amp;Master!$F$10&amp; "'!$A$2:$A$50"),INDIRECT("'" &amp;Master!$F$10&amp; "'!$B$2:$B$50"))</f>
        <v>#VALUE!</v>
      </c>
      <c r="C404" s="4" t="e">
        <f ca="1">SplineInterp(A404,INDIRECT("'" &amp;Master!$F$10&amp; "'!$A$2:$A$50"),INDIRECT("'" &amp;Master!$F$10&amp; "'!$C$2:$C$50"))</f>
        <v>#VALUE!</v>
      </c>
      <c r="D404" s="4" t="e">
        <f ca="1">SplineInterp(A404,INDIRECT("'" &amp;Master!$F$10&amp; "'!$A$2:$A$50"),INDIRECT("'" &amp;Master!$F$10&amp; "'!$D$2:$D$50"))</f>
        <v>#VALUE!</v>
      </c>
      <c r="E404" s="4" t="e">
        <f ca="1">SplineInterp(A404,INDIRECT("'" &amp;Master!$F$10&amp; "'!$A$2:$A$50"),INDIRECT("'" &amp;Master!$F$10&amp; "'!$E$2:$E$50"))</f>
        <v>#VALUE!</v>
      </c>
      <c r="F404" s="4" t="e">
        <f ca="1">SplineInterp(A404,INDIRECT("'" &amp;Master!$F$10&amp; "'!$A$2:$A$50"),INDIRECT("'" &amp;Master!$F$10&amp; "'!$F$2:$F$50"))</f>
        <v>#VALUE!</v>
      </c>
      <c r="G404" s="4" t="e">
        <f ca="1">SplineInterp(A404,INDIRECT("'" &amp;Master!$F$10&amp; "'!$A$2:$A$50"),INDIRECT("'" &amp;Master!$F$10&amp; "'!$G$2:$G$50"))</f>
        <v>#VALUE!</v>
      </c>
      <c r="H404" s="4" t="e">
        <f ca="1">SplineInterp(A404,INDIRECT("'" &amp;Master!$F$10&amp; "'!$A$2:$A$50"),INDIRECT("'" &amp;Master!$F$10&amp; "'!$H$2:$H$50"))</f>
        <v>#VALUE!</v>
      </c>
      <c r="I404" s="4" t="e">
        <f ca="1">IF(OR(INDIRECT("'" &amp; Master!$F$8 &amp; Master!$F$6 &amp; "'!B" &amp; ROW(B404))="", INDIRECT("'" &amp; Master!$F$8 &amp; Master!$F$6 &amp; "'!B" &amp; ROW(B404))=0), "", INDIRECT("'" &amp; Master!$F$8 &amp; Master!$F$6 &amp; "'!B" &amp; ROW(B404)))</f>
        <v>#VALUE!</v>
      </c>
      <c r="J404" s="9" t="e">
        <f t="shared" ca="1" si="42"/>
        <v>#VALUE!</v>
      </c>
      <c r="K404" s="7" t="e">
        <f t="shared" ca="1" si="43"/>
        <v>#VALUE!</v>
      </c>
      <c r="L404" s="7" t="e">
        <f t="shared" ca="1" si="44"/>
        <v>#VALUE!</v>
      </c>
      <c r="M404" s="7" t="e">
        <f t="shared" ca="1" si="45"/>
        <v>#VALUE!</v>
      </c>
      <c r="N404" s="7" t="e">
        <f t="shared" ca="1" si="46"/>
        <v>#VALUE!</v>
      </c>
      <c r="O404" s="7" t="e">
        <f t="shared" ca="1" si="47"/>
        <v>#VALUE!</v>
      </c>
      <c r="P404" s="7" t="e">
        <f t="shared" ca="1" si="48"/>
        <v>#VALUE!</v>
      </c>
    </row>
    <row r="405" spans="1:16" x14ac:dyDescent="0.25">
      <c r="A405" s="19" t="str">
        <f ca="1">IF(OR(INDIRECT("'" &amp; Master!$F$8 &amp; Master!$F$6 &amp; "'!A" &amp; ROW(A405))="", INDIRECT("'" &amp; Master!$F$8 &amp; Master!$F$6 &amp; "'!A" &amp; ROW(A405))=0), "", INDIRECT("'" &amp; Master!$F$8 &amp; Master!$F$6 &amp; "'!A" &amp; ROW(A405)))</f>
        <v/>
      </c>
      <c r="B405" s="4" t="e">
        <f ca="1">SplineInterp(INDIRECT("A" &amp; ROW()),INDIRECT("'" &amp;Master!$F$10&amp; "'!$A$2:$A$50"),INDIRECT("'" &amp;Master!$F$10&amp; "'!$B$2:$B$50"))</f>
        <v>#VALUE!</v>
      </c>
      <c r="C405" s="4" t="e">
        <f ca="1">SplineInterp(A405,INDIRECT("'" &amp;Master!$F$10&amp; "'!$A$2:$A$50"),INDIRECT("'" &amp;Master!$F$10&amp; "'!$C$2:$C$50"))</f>
        <v>#VALUE!</v>
      </c>
      <c r="D405" s="4" t="e">
        <f ca="1">SplineInterp(A405,INDIRECT("'" &amp;Master!$F$10&amp; "'!$A$2:$A$50"),INDIRECT("'" &amp;Master!$F$10&amp; "'!$D$2:$D$50"))</f>
        <v>#VALUE!</v>
      </c>
      <c r="E405" s="4" t="e">
        <f ca="1">SplineInterp(A405,INDIRECT("'" &amp;Master!$F$10&amp; "'!$A$2:$A$50"),INDIRECT("'" &amp;Master!$F$10&amp; "'!$E$2:$E$50"))</f>
        <v>#VALUE!</v>
      </c>
      <c r="F405" s="4" t="e">
        <f ca="1">SplineInterp(A405,INDIRECT("'" &amp;Master!$F$10&amp; "'!$A$2:$A$50"),INDIRECT("'" &amp;Master!$F$10&amp; "'!$F$2:$F$50"))</f>
        <v>#VALUE!</v>
      </c>
      <c r="G405" s="4" t="e">
        <f ca="1">SplineInterp(A405,INDIRECT("'" &amp;Master!$F$10&amp; "'!$A$2:$A$50"),INDIRECT("'" &amp;Master!$F$10&amp; "'!$G$2:$G$50"))</f>
        <v>#VALUE!</v>
      </c>
      <c r="H405" s="4" t="e">
        <f ca="1">SplineInterp(A405,INDIRECT("'" &amp;Master!$F$10&amp; "'!$A$2:$A$50"),INDIRECT("'" &amp;Master!$F$10&amp; "'!$H$2:$H$50"))</f>
        <v>#VALUE!</v>
      </c>
      <c r="I405" s="4" t="e">
        <f ca="1">IF(OR(INDIRECT("'" &amp; Master!$F$8 &amp; Master!$F$6 &amp; "'!B" &amp; ROW(B405))="", INDIRECT("'" &amp; Master!$F$8 &amp; Master!$F$6 &amp; "'!B" &amp; ROW(B405))=0), "", INDIRECT("'" &amp; Master!$F$8 &amp; Master!$F$6 &amp; "'!B" &amp; ROW(B405)))</f>
        <v>#VALUE!</v>
      </c>
      <c r="J405" s="9" t="e">
        <f t="shared" ca="1" si="42"/>
        <v>#VALUE!</v>
      </c>
      <c r="K405" s="7" t="e">
        <f t="shared" ca="1" si="43"/>
        <v>#VALUE!</v>
      </c>
      <c r="L405" s="7" t="e">
        <f t="shared" ca="1" si="44"/>
        <v>#VALUE!</v>
      </c>
      <c r="M405" s="7" t="e">
        <f t="shared" ca="1" si="45"/>
        <v>#VALUE!</v>
      </c>
      <c r="N405" s="7" t="e">
        <f t="shared" ca="1" si="46"/>
        <v>#VALUE!</v>
      </c>
      <c r="O405" s="7" t="e">
        <f t="shared" ca="1" si="47"/>
        <v>#VALUE!</v>
      </c>
      <c r="P405" s="7" t="e">
        <f t="shared" ca="1" si="48"/>
        <v>#VALUE!</v>
      </c>
    </row>
    <row r="406" spans="1:16" x14ac:dyDescent="0.25">
      <c r="A406" s="19" t="str">
        <f ca="1">IF(OR(INDIRECT("'" &amp; Master!$F$8 &amp; Master!$F$6 &amp; "'!A" &amp; ROW(A406))="", INDIRECT("'" &amp; Master!$F$8 &amp; Master!$F$6 &amp; "'!A" &amp; ROW(A406))=0), "", INDIRECT("'" &amp; Master!$F$8 &amp; Master!$F$6 &amp; "'!A" &amp; ROW(A406)))</f>
        <v/>
      </c>
      <c r="B406" s="4" t="e">
        <f ca="1">SplineInterp(INDIRECT("A" &amp; ROW()),INDIRECT("'" &amp;Master!$F$10&amp; "'!$A$2:$A$50"),INDIRECT("'" &amp;Master!$F$10&amp; "'!$B$2:$B$50"))</f>
        <v>#VALUE!</v>
      </c>
      <c r="C406" s="4" t="e">
        <f ca="1">SplineInterp(A406,INDIRECT("'" &amp;Master!$F$10&amp; "'!$A$2:$A$50"),INDIRECT("'" &amp;Master!$F$10&amp; "'!$C$2:$C$50"))</f>
        <v>#VALUE!</v>
      </c>
      <c r="D406" s="4" t="e">
        <f ca="1">SplineInterp(A406,INDIRECT("'" &amp;Master!$F$10&amp; "'!$A$2:$A$50"),INDIRECT("'" &amp;Master!$F$10&amp; "'!$D$2:$D$50"))</f>
        <v>#VALUE!</v>
      </c>
      <c r="E406" s="4" t="e">
        <f ca="1">SplineInterp(A406,INDIRECT("'" &amp;Master!$F$10&amp; "'!$A$2:$A$50"),INDIRECT("'" &amp;Master!$F$10&amp; "'!$E$2:$E$50"))</f>
        <v>#VALUE!</v>
      </c>
      <c r="F406" s="4" t="e">
        <f ca="1">SplineInterp(A406,INDIRECT("'" &amp;Master!$F$10&amp; "'!$A$2:$A$50"),INDIRECT("'" &amp;Master!$F$10&amp; "'!$F$2:$F$50"))</f>
        <v>#VALUE!</v>
      </c>
      <c r="G406" s="4" t="e">
        <f ca="1">SplineInterp(A406,INDIRECT("'" &amp;Master!$F$10&amp; "'!$A$2:$A$50"),INDIRECT("'" &amp;Master!$F$10&amp; "'!$G$2:$G$50"))</f>
        <v>#VALUE!</v>
      </c>
      <c r="H406" s="4" t="e">
        <f ca="1">SplineInterp(A406,INDIRECT("'" &amp;Master!$F$10&amp; "'!$A$2:$A$50"),INDIRECT("'" &amp;Master!$F$10&amp; "'!$H$2:$H$50"))</f>
        <v>#VALUE!</v>
      </c>
      <c r="I406" s="4" t="e">
        <f ca="1">IF(OR(INDIRECT("'" &amp; Master!$F$8 &amp; Master!$F$6 &amp; "'!B" &amp; ROW(B406))="", INDIRECT("'" &amp; Master!$F$8 &amp; Master!$F$6 &amp; "'!B" &amp; ROW(B406))=0), "", INDIRECT("'" &amp; Master!$F$8 &amp; Master!$F$6 &amp; "'!B" &amp; ROW(B406)))</f>
        <v>#VALUE!</v>
      </c>
      <c r="J406" s="9" t="e">
        <f t="shared" ca="1" si="42"/>
        <v>#VALUE!</v>
      </c>
      <c r="K406" s="7" t="e">
        <f t="shared" ca="1" si="43"/>
        <v>#VALUE!</v>
      </c>
      <c r="L406" s="7" t="e">
        <f t="shared" ca="1" si="44"/>
        <v>#VALUE!</v>
      </c>
      <c r="M406" s="7" t="e">
        <f t="shared" ca="1" si="45"/>
        <v>#VALUE!</v>
      </c>
      <c r="N406" s="7" t="e">
        <f t="shared" ca="1" si="46"/>
        <v>#VALUE!</v>
      </c>
      <c r="O406" s="7" t="e">
        <f t="shared" ca="1" si="47"/>
        <v>#VALUE!</v>
      </c>
      <c r="P406" s="7" t="e">
        <f t="shared" ca="1" si="48"/>
        <v>#VALUE!</v>
      </c>
    </row>
    <row r="407" spans="1:16" x14ac:dyDescent="0.25">
      <c r="A407" s="19" t="str">
        <f ca="1">IF(OR(INDIRECT("'" &amp; Master!$F$8 &amp; Master!$F$6 &amp; "'!A" &amp; ROW(A407))="", INDIRECT("'" &amp; Master!$F$8 &amp; Master!$F$6 &amp; "'!A" &amp; ROW(A407))=0), "", INDIRECT("'" &amp; Master!$F$8 &amp; Master!$F$6 &amp; "'!A" &amp; ROW(A407)))</f>
        <v/>
      </c>
      <c r="B407" s="4" t="e">
        <f ca="1">SplineInterp(INDIRECT("A" &amp; ROW()),INDIRECT("'" &amp;Master!$F$10&amp; "'!$A$2:$A$50"),INDIRECT("'" &amp;Master!$F$10&amp; "'!$B$2:$B$50"))</f>
        <v>#VALUE!</v>
      </c>
      <c r="C407" s="4" t="e">
        <f ca="1">SplineInterp(A407,INDIRECT("'" &amp;Master!$F$10&amp; "'!$A$2:$A$50"),INDIRECT("'" &amp;Master!$F$10&amp; "'!$C$2:$C$50"))</f>
        <v>#VALUE!</v>
      </c>
      <c r="D407" s="4" t="e">
        <f ca="1">SplineInterp(A407,INDIRECT("'" &amp;Master!$F$10&amp; "'!$A$2:$A$50"),INDIRECT("'" &amp;Master!$F$10&amp; "'!$D$2:$D$50"))</f>
        <v>#VALUE!</v>
      </c>
      <c r="E407" s="4" t="e">
        <f ca="1">SplineInterp(A407,INDIRECT("'" &amp;Master!$F$10&amp; "'!$A$2:$A$50"),INDIRECT("'" &amp;Master!$F$10&amp; "'!$E$2:$E$50"))</f>
        <v>#VALUE!</v>
      </c>
      <c r="F407" s="4" t="e">
        <f ca="1">SplineInterp(A407,INDIRECT("'" &amp;Master!$F$10&amp; "'!$A$2:$A$50"),INDIRECT("'" &amp;Master!$F$10&amp; "'!$F$2:$F$50"))</f>
        <v>#VALUE!</v>
      </c>
      <c r="G407" s="4" t="e">
        <f ca="1">SplineInterp(A407,INDIRECT("'" &amp;Master!$F$10&amp; "'!$A$2:$A$50"),INDIRECT("'" &amp;Master!$F$10&amp; "'!$G$2:$G$50"))</f>
        <v>#VALUE!</v>
      </c>
      <c r="H407" s="4" t="e">
        <f ca="1">SplineInterp(A407,INDIRECT("'" &amp;Master!$F$10&amp; "'!$A$2:$A$50"),INDIRECT("'" &amp;Master!$F$10&amp; "'!$H$2:$H$50"))</f>
        <v>#VALUE!</v>
      </c>
      <c r="I407" s="4" t="e">
        <f ca="1">IF(OR(INDIRECT("'" &amp; Master!$F$8 &amp; Master!$F$6 &amp; "'!B" &amp; ROW(B407))="", INDIRECT("'" &amp; Master!$F$8 &amp; Master!$F$6 &amp; "'!B" &amp; ROW(B407))=0), "", INDIRECT("'" &amp; Master!$F$8 &amp; Master!$F$6 &amp; "'!B" &amp; ROW(B407)))</f>
        <v>#VALUE!</v>
      </c>
      <c r="J407" s="9" t="e">
        <f t="shared" ca="1" si="42"/>
        <v>#VALUE!</v>
      </c>
      <c r="K407" s="7" t="e">
        <f t="shared" ca="1" si="43"/>
        <v>#VALUE!</v>
      </c>
      <c r="L407" s="7" t="e">
        <f t="shared" ca="1" si="44"/>
        <v>#VALUE!</v>
      </c>
      <c r="M407" s="7" t="e">
        <f t="shared" ca="1" si="45"/>
        <v>#VALUE!</v>
      </c>
      <c r="N407" s="7" t="e">
        <f t="shared" ca="1" si="46"/>
        <v>#VALUE!</v>
      </c>
      <c r="O407" s="7" t="e">
        <f t="shared" ca="1" si="47"/>
        <v>#VALUE!</v>
      </c>
      <c r="P407" s="7" t="e">
        <f t="shared" ca="1" si="48"/>
        <v>#VALUE!</v>
      </c>
    </row>
    <row r="408" spans="1:16" x14ac:dyDescent="0.25">
      <c r="A408" s="19" t="str">
        <f ca="1">IF(OR(INDIRECT("'" &amp; Master!$F$8 &amp; Master!$F$6 &amp; "'!A" &amp; ROW(A408))="", INDIRECT("'" &amp; Master!$F$8 &amp; Master!$F$6 &amp; "'!A" &amp; ROW(A408))=0), "", INDIRECT("'" &amp; Master!$F$8 &amp; Master!$F$6 &amp; "'!A" &amp; ROW(A408)))</f>
        <v/>
      </c>
      <c r="B408" s="4" t="e">
        <f ca="1">SplineInterp(INDIRECT("A" &amp; ROW()),INDIRECT("'" &amp;Master!$F$10&amp; "'!$A$2:$A$50"),INDIRECT("'" &amp;Master!$F$10&amp; "'!$B$2:$B$50"))</f>
        <v>#VALUE!</v>
      </c>
      <c r="C408" s="4" t="e">
        <f ca="1">SplineInterp(A408,INDIRECT("'" &amp;Master!$F$10&amp; "'!$A$2:$A$50"),INDIRECT("'" &amp;Master!$F$10&amp; "'!$C$2:$C$50"))</f>
        <v>#VALUE!</v>
      </c>
      <c r="D408" s="4" t="e">
        <f ca="1">SplineInterp(A408,INDIRECT("'" &amp;Master!$F$10&amp; "'!$A$2:$A$50"),INDIRECT("'" &amp;Master!$F$10&amp; "'!$D$2:$D$50"))</f>
        <v>#VALUE!</v>
      </c>
      <c r="E408" s="4" t="e">
        <f ca="1">SplineInterp(A408,INDIRECT("'" &amp;Master!$F$10&amp; "'!$A$2:$A$50"),INDIRECT("'" &amp;Master!$F$10&amp; "'!$E$2:$E$50"))</f>
        <v>#VALUE!</v>
      </c>
      <c r="F408" s="4" t="e">
        <f ca="1">SplineInterp(A408,INDIRECT("'" &amp;Master!$F$10&amp; "'!$A$2:$A$50"),INDIRECT("'" &amp;Master!$F$10&amp; "'!$F$2:$F$50"))</f>
        <v>#VALUE!</v>
      </c>
      <c r="G408" s="4" t="e">
        <f ca="1">SplineInterp(A408,INDIRECT("'" &amp;Master!$F$10&amp; "'!$A$2:$A$50"),INDIRECT("'" &amp;Master!$F$10&amp; "'!$G$2:$G$50"))</f>
        <v>#VALUE!</v>
      </c>
      <c r="H408" s="4" t="e">
        <f ca="1">SplineInterp(A408,INDIRECT("'" &amp;Master!$F$10&amp; "'!$A$2:$A$50"),INDIRECT("'" &amp;Master!$F$10&amp; "'!$H$2:$H$50"))</f>
        <v>#VALUE!</v>
      </c>
      <c r="I408" s="4" t="e">
        <f ca="1">IF(OR(INDIRECT("'" &amp; Master!$F$8 &amp; Master!$F$6 &amp; "'!B" &amp; ROW(B408))="", INDIRECT("'" &amp; Master!$F$8 &amp; Master!$F$6 &amp; "'!B" &amp; ROW(B408))=0), "", INDIRECT("'" &amp; Master!$F$8 &amp; Master!$F$6 &amp; "'!B" &amp; ROW(B408)))</f>
        <v>#VALUE!</v>
      </c>
      <c r="J408" s="9" t="e">
        <f t="shared" ca="1" si="42"/>
        <v>#VALUE!</v>
      </c>
      <c r="K408" s="7" t="e">
        <f t="shared" ca="1" si="43"/>
        <v>#VALUE!</v>
      </c>
      <c r="L408" s="7" t="e">
        <f t="shared" ca="1" si="44"/>
        <v>#VALUE!</v>
      </c>
      <c r="M408" s="7" t="e">
        <f t="shared" ca="1" si="45"/>
        <v>#VALUE!</v>
      </c>
      <c r="N408" s="7" t="e">
        <f t="shared" ca="1" si="46"/>
        <v>#VALUE!</v>
      </c>
      <c r="O408" s="7" t="e">
        <f t="shared" ca="1" si="47"/>
        <v>#VALUE!</v>
      </c>
      <c r="P408" s="7" t="e">
        <f t="shared" ca="1" si="48"/>
        <v>#VALUE!</v>
      </c>
    </row>
    <row r="409" spans="1:16" x14ac:dyDescent="0.25">
      <c r="A409" s="19" t="str">
        <f ca="1">IF(OR(INDIRECT("'" &amp; Master!$F$8 &amp; Master!$F$6 &amp; "'!A" &amp; ROW(A409))="", INDIRECT("'" &amp; Master!$F$8 &amp; Master!$F$6 &amp; "'!A" &amp; ROW(A409))=0), "", INDIRECT("'" &amp; Master!$F$8 &amp; Master!$F$6 &amp; "'!A" &amp; ROW(A409)))</f>
        <v/>
      </c>
      <c r="B409" s="4" t="e">
        <f ca="1">SplineInterp(INDIRECT("A" &amp; ROW()),INDIRECT("'" &amp;Master!$F$10&amp; "'!$A$2:$A$50"),INDIRECT("'" &amp;Master!$F$10&amp; "'!$B$2:$B$50"))</f>
        <v>#VALUE!</v>
      </c>
      <c r="C409" s="4" t="e">
        <f ca="1">SplineInterp(A409,INDIRECT("'" &amp;Master!$F$10&amp; "'!$A$2:$A$50"),INDIRECT("'" &amp;Master!$F$10&amp; "'!$C$2:$C$50"))</f>
        <v>#VALUE!</v>
      </c>
      <c r="D409" s="4" t="e">
        <f ca="1">SplineInterp(A409,INDIRECT("'" &amp;Master!$F$10&amp; "'!$A$2:$A$50"),INDIRECT("'" &amp;Master!$F$10&amp; "'!$D$2:$D$50"))</f>
        <v>#VALUE!</v>
      </c>
      <c r="E409" s="4" t="e">
        <f ca="1">SplineInterp(A409,INDIRECT("'" &amp;Master!$F$10&amp; "'!$A$2:$A$50"),INDIRECT("'" &amp;Master!$F$10&amp; "'!$E$2:$E$50"))</f>
        <v>#VALUE!</v>
      </c>
      <c r="F409" s="4" t="e">
        <f ca="1">SplineInterp(A409,INDIRECT("'" &amp;Master!$F$10&amp; "'!$A$2:$A$50"),INDIRECT("'" &amp;Master!$F$10&amp; "'!$F$2:$F$50"))</f>
        <v>#VALUE!</v>
      </c>
      <c r="G409" s="4" t="e">
        <f ca="1">SplineInterp(A409,INDIRECT("'" &amp;Master!$F$10&amp; "'!$A$2:$A$50"),INDIRECT("'" &amp;Master!$F$10&amp; "'!$G$2:$G$50"))</f>
        <v>#VALUE!</v>
      </c>
      <c r="H409" s="4" t="e">
        <f ca="1">SplineInterp(A409,INDIRECT("'" &amp;Master!$F$10&amp; "'!$A$2:$A$50"),INDIRECT("'" &amp;Master!$F$10&amp; "'!$H$2:$H$50"))</f>
        <v>#VALUE!</v>
      </c>
      <c r="I409" s="4" t="e">
        <f ca="1">IF(OR(INDIRECT("'" &amp; Master!$F$8 &amp; Master!$F$6 &amp; "'!B" &amp; ROW(B409))="", INDIRECT("'" &amp; Master!$F$8 &amp; Master!$F$6 &amp; "'!B" &amp; ROW(B409))=0), "", INDIRECT("'" &amp; Master!$F$8 &amp; Master!$F$6 &amp; "'!B" &amp; ROW(B409)))</f>
        <v>#VALUE!</v>
      </c>
      <c r="J409" s="9" t="e">
        <f t="shared" ca="1" si="42"/>
        <v>#VALUE!</v>
      </c>
      <c r="K409" s="7" t="e">
        <f t="shared" ca="1" si="43"/>
        <v>#VALUE!</v>
      </c>
      <c r="L409" s="7" t="e">
        <f t="shared" ca="1" si="44"/>
        <v>#VALUE!</v>
      </c>
      <c r="M409" s="7" t="e">
        <f t="shared" ca="1" si="45"/>
        <v>#VALUE!</v>
      </c>
      <c r="N409" s="7" t="e">
        <f t="shared" ca="1" si="46"/>
        <v>#VALUE!</v>
      </c>
      <c r="O409" s="7" t="e">
        <f t="shared" ca="1" si="47"/>
        <v>#VALUE!</v>
      </c>
      <c r="P409" s="7" t="e">
        <f t="shared" ca="1" si="48"/>
        <v>#VALUE!</v>
      </c>
    </row>
    <row r="410" spans="1:16" x14ac:dyDescent="0.25">
      <c r="A410" s="19" t="str">
        <f ca="1">IF(OR(INDIRECT("'" &amp; Master!$F$8 &amp; Master!$F$6 &amp; "'!A" &amp; ROW(A410))="", INDIRECT("'" &amp; Master!$F$8 &amp; Master!$F$6 &amp; "'!A" &amp; ROW(A410))=0), "", INDIRECT("'" &amp; Master!$F$8 &amp; Master!$F$6 &amp; "'!A" &amp; ROW(A410)))</f>
        <v/>
      </c>
      <c r="B410" s="4" t="e">
        <f ca="1">SplineInterp(INDIRECT("A" &amp; ROW()),INDIRECT("'" &amp;Master!$F$10&amp; "'!$A$2:$A$50"),INDIRECT("'" &amp;Master!$F$10&amp; "'!$B$2:$B$50"))</f>
        <v>#VALUE!</v>
      </c>
      <c r="C410" s="4" t="e">
        <f ca="1">SplineInterp(A410,INDIRECT("'" &amp;Master!$F$10&amp; "'!$A$2:$A$50"),INDIRECT("'" &amp;Master!$F$10&amp; "'!$C$2:$C$50"))</f>
        <v>#VALUE!</v>
      </c>
      <c r="D410" s="4" t="e">
        <f ca="1">SplineInterp(A410,INDIRECT("'" &amp;Master!$F$10&amp; "'!$A$2:$A$50"),INDIRECT("'" &amp;Master!$F$10&amp; "'!$D$2:$D$50"))</f>
        <v>#VALUE!</v>
      </c>
      <c r="E410" s="4" t="e">
        <f ca="1">SplineInterp(A410,INDIRECT("'" &amp;Master!$F$10&amp; "'!$A$2:$A$50"),INDIRECT("'" &amp;Master!$F$10&amp; "'!$E$2:$E$50"))</f>
        <v>#VALUE!</v>
      </c>
      <c r="F410" s="4" t="e">
        <f ca="1">SplineInterp(A410,INDIRECT("'" &amp;Master!$F$10&amp; "'!$A$2:$A$50"),INDIRECT("'" &amp;Master!$F$10&amp; "'!$F$2:$F$50"))</f>
        <v>#VALUE!</v>
      </c>
      <c r="G410" s="4" t="e">
        <f ca="1">SplineInterp(A410,INDIRECT("'" &amp;Master!$F$10&amp; "'!$A$2:$A$50"),INDIRECT("'" &amp;Master!$F$10&amp; "'!$G$2:$G$50"))</f>
        <v>#VALUE!</v>
      </c>
      <c r="H410" s="4" t="e">
        <f ca="1">SplineInterp(A410,INDIRECT("'" &amp;Master!$F$10&amp; "'!$A$2:$A$50"),INDIRECT("'" &amp;Master!$F$10&amp; "'!$H$2:$H$50"))</f>
        <v>#VALUE!</v>
      </c>
      <c r="I410" s="4" t="e">
        <f ca="1">IF(OR(INDIRECT("'" &amp; Master!$F$8 &amp; Master!$F$6 &amp; "'!B" &amp; ROW(B410))="", INDIRECT("'" &amp; Master!$F$8 &amp; Master!$F$6 &amp; "'!B" &amp; ROW(B410))=0), "", INDIRECT("'" &amp; Master!$F$8 &amp; Master!$F$6 &amp; "'!B" &amp; ROW(B410)))</f>
        <v>#VALUE!</v>
      </c>
      <c r="J410" s="9" t="e">
        <f t="shared" ca="1" si="42"/>
        <v>#VALUE!</v>
      </c>
      <c r="K410" s="7" t="e">
        <f t="shared" ca="1" si="43"/>
        <v>#VALUE!</v>
      </c>
      <c r="L410" s="7" t="e">
        <f t="shared" ca="1" si="44"/>
        <v>#VALUE!</v>
      </c>
      <c r="M410" s="7" t="e">
        <f t="shared" ca="1" si="45"/>
        <v>#VALUE!</v>
      </c>
      <c r="N410" s="7" t="e">
        <f t="shared" ca="1" si="46"/>
        <v>#VALUE!</v>
      </c>
      <c r="O410" s="7" t="e">
        <f t="shared" ca="1" si="47"/>
        <v>#VALUE!</v>
      </c>
      <c r="P410" s="7" t="e">
        <f t="shared" ca="1" si="48"/>
        <v>#VALUE!</v>
      </c>
    </row>
    <row r="411" spans="1:16" x14ac:dyDescent="0.25">
      <c r="A411" s="19" t="str">
        <f ca="1">IF(OR(INDIRECT("'" &amp; Master!$F$8 &amp; Master!$F$6 &amp; "'!A" &amp; ROW(A411))="", INDIRECT("'" &amp; Master!$F$8 &amp; Master!$F$6 &amp; "'!A" &amp; ROW(A411))=0), "", INDIRECT("'" &amp; Master!$F$8 &amp; Master!$F$6 &amp; "'!A" &amp; ROW(A411)))</f>
        <v/>
      </c>
      <c r="B411" s="4" t="e">
        <f ca="1">SplineInterp(INDIRECT("A" &amp; ROW()),INDIRECT("'" &amp;Master!$F$10&amp; "'!$A$2:$A$50"),INDIRECT("'" &amp;Master!$F$10&amp; "'!$B$2:$B$50"))</f>
        <v>#VALUE!</v>
      </c>
      <c r="C411" s="4" t="e">
        <f ca="1">SplineInterp(A411,INDIRECT("'" &amp;Master!$F$10&amp; "'!$A$2:$A$50"),INDIRECT("'" &amp;Master!$F$10&amp; "'!$C$2:$C$50"))</f>
        <v>#VALUE!</v>
      </c>
      <c r="D411" s="4" t="e">
        <f ca="1">SplineInterp(A411,INDIRECT("'" &amp;Master!$F$10&amp; "'!$A$2:$A$50"),INDIRECT("'" &amp;Master!$F$10&amp; "'!$D$2:$D$50"))</f>
        <v>#VALUE!</v>
      </c>
      <c r="E411" s="4" t="e">
        <f ca="1">SplineInterp(A411,INDIRECT("'" &amp;Master!$F$10&amp; "'!$A$2:$A$50"),INDIRECT("'" &amp;Master!$F$10&amp; "'!$E$2:$E$50"))</f>
        <v>#VALUE!</v>
      </c>
      <c r="F411" s="4" t="e">
        <f ca="1">SplineInterp(A411,INDIRECT("'" &amp;Master!$F$10&amp; "'!$A$2:$A$50"),INDIRECT("'" &amp;Master!$F$10&amp; "'!$F$2:$F$50"))</f>
        <v>#VALUE!</v>
      </c>
      <c r="G411" s="4" t="e">
        <f ca="1">SplineInterp(A411,INDIRECT("'" &amp;Master!$F$10&amp; "'!$A$2:$A$50"),INDIRECT("'" &amp;Master!$F$10&amp; "'!$G$2:$G$50"))</f>
        <v>#VALUE!</v>
      </c>
      <c r="H411" s="4" t="e">
        <f ca="1">SplineInterp(A411,INDIRECT("'" &amp;Master!$F$10&amp; "'!$A$2:$A$50"),INDIRECT("'" &amp;Master!$F$10&amp; "'!$H$2:$H$50"))</f>
        <v>#VALUE!</v>
      </c>
      <c r="I411" s="4" t="e">
        <f ca="1">IF(OR(INDIRECT("'" &amp; Master!$F$8 &amp; Master!$F$6 &amp; "'!B" &amp; ROW(B411))="", INDIRECT("'" &amp; Master!$F$8 &amp; Master!$F$6 &amp; "'!B" &amp; ROW(B411))=0), "", INDIRECT("'" &amp; Master!$F$8 &amp; Master!$F$6 &amp; "'!B" &amp; ROW(B411)))</f>
        <v>#VALUE!</v>
      </c>
      <c r="J411" s="9" t="e">
        <f t="shared" ca="1" si="42"/>
        <v>#VALUE!</v>
      </c>
      <c r="K411" s="7" t="e">
        <f t="shared" ca="1" si="43"/>
        <v>#VALUE!</v>
      </c>
      <c r="L411" s="7" t="e">
        <f t="shared" ca="1" si="44"/>
        <v>#VALUE!</v>
      </c>
      <c r="M411" s="7" t="e">
        <f t="shared" ca="1" si="45"/>
        <v>#VALUE!</v>
      </c>
      <c r="N411" s="7" t="e">
        <f t="shared" ca="1" si="46"/>
        <v>#VALUE!</v>
      </c>
      <c r="O411" s="7" t="e">
        <f t="shared" ca="1" si="47"/>
        <v>#VALUE!</v>
      </c>
      <c r="P411" s="7" t="e">
        <f t="shared" ca="1" si="48"/>
        <v>#VALUE!</v>
      </c>
    </row>
    <row r="412" spans="1:16" x14ac:dyDescent="0.25">
      <c r="A412" s="19" t="str">
        <f ca="1">IF(OR(INDIRECT("'" &amp; Master!$F$8 &amp; Master!$F$6 &amp; "'!A" &amp; ROW(A412))="", INDIRECT("'" &amp; Master!$F$8 &amp; Master!$F$6 &amp; "'!A" &amp; ROW(A412))=0), "", INDIRECT("'" &amp; Master!$F$8 &amp; Master!$F$6 &amp; "'!A" &amp; ROW(A412)))</f>
        <v/>
      </c>
      <c r="B412" s="4" t="e">
        <f ca="1">SplineInterp(INDIRECT("A" &amp; ROW()),INDIRECT("'" &amp;Master!$F$10&amp; "'!$A$2:$A$50"),INDIRECT("'" &amp;Master!$F$10&amp; "'!$B$2:$B$50"))</f>
        <v>#VALUE!</v>
      </c>
      <c r="C412" s="4" t="e">
        <f ca="1">SplineInterp(A412,INDIRECT("'" &amp;Master!$F$10&amp; "'!$A$2:$A$50"),INDIRECT("'" &amp;Master!$F$10&amp; "'!$C$2:$C$50"))</f>
        <v>#VALUE!</v>
      </c>
      <c r="D412" s="4" t="e">
        <f ca="1">SplineInterp(A412,INDIRECT("'" &amp;Master!$F$10&amp; "'!$A$2:$A$50"),INDIRECT("'" &amp;Master!$F$10&amp; "'!$D$2:$D$50"))</f>
        <v>#VALUE!</v>
      </c>
      <c r="E412" s="4" t="e">
        <f ca="1">SplineInterp(A412,INDIRECT("'" &amp;Master!$F$10&amp; "'!$A$2:$A$50"),INDIRECT("'" &amp;Master!$F$10&amp; "'!$E$2:$E$50"))</f>
        <v>#VALUE!</v>
      </c>
      <c r="F412" s="4" t="e">
        <f ca="1">SplineInterp(A412,INDIRECT("'" &amp;Master!$F$10&amp; "'!$A$2:$A$50"),INDIRECT("'" &amp;Master!$F$10&amp; "'!$F$2:$F$50"))</f>
        <v>#VALUE!</v>
      </c>
      <c r="G412" s="4" t="e">
        <f ca="1">SplineInterp(A412,INDIRECT("'" &amp;Master!$F$10&amp; "'!$A$2:$A$50"),INDIRECT("'" &amp;Master!$F$10&amp; "'!$G$2:$G$50"))</f>
        <v>#VALUE!</v>
      </c>
      <c r="H412" s="4" t="e">
        <f ca="1">SplineInterp(A412,INDIRECT("'" &amp;Master!$F$10&amp; "'!$A$2:$A$50"),INDIRECT("'" &amp;Master!$F$10&amp; "'!$H$2:$H$50"))</f>
        <v>#VALUE!</v>
      </c>
      <c r="I412" s="4" t="e">
        <f ca="1">IF(OR(INDIRECT("'" &amp; Master!$F$8 &amp; Master!$F$6 &amp; "'!B" &amp; ROW(B412))="", INDIRECT("'" &amp; Master!$F$8 &amp; Master!$F$6 &amp; "'!B" &amp; ROW(B412))=0), "", INDIRECT("'" &amp; Master!$F$8 &amp; Master!$F$6 &amp; "'!B" &amp; ROW(B412)))</f>
        <v>#VALUE!</v>
      </c>
      <c r="J412" s="9" t="e">
        <f t="shared" ca="1" si="42"/>
        <v>#VALUE!</v>
      </c>
      <c r="K412" s="7" t="e">
        <f t="shared" ca="1" si="43"/>
        <v>#VALUE!</v>
      </c>
      <c r="L412" s="7" t="e">
        <f t="shared" ca="1" si="44"/>
        <v>#VALUE!</v>
      </c>
      <c r="M412" s="7" t="e">
        <f t="shared" ca="1" si="45"/>
        <v>#VALUE!</v>
      </c>
      <c r="N412" s="7" t="e">
        <f t="shared" ca="1" si="46"/>
        <v>#VALUE!</v>
      </c>
      <c r="O412" s="7" t="e">
        <f t="shared" ca="1" si="47"/>
        <v>#VALUE!</v>
      </c>
      <c r="P412" s="7" t="e">
        <f t="shared" ca="1" si="48"/>
        <v>#VALUE!</v>
      </c>
    </row>
    <row r="413" spans="1:16" x14ac:dyDescent="0.25">
      <c r="A413" s="19" t="str">
        <f ca="1">IF(OR(INDIRECT("'" &amp; Master!$F$8 &amp; Master!$F$6 &amp; "'!A" &amp; ROW(A413))="", INDIRECT("'" &amp; Master!$F$8 &amp; Master!$F$6 &amp; "'!A" &amp; ROW(A413))=0), "", INDIRECT("'" &amp; Master!$F$8 &amp; Master!$F$6 &amp; "'!A" &amp; ROW(A413)))</f>
        <v/>
      </c>
      <c r="B413" s="4" t="e">
        <f ca="1">SplineInterp(INDIRECT("A" &amp; ROW()),INDIRECT("'" &amp;Master!$F$10&amp; "'!$A$2:$A$50"),INDIRECT("'" &amp;Master!$F$10&amp; "'!$B$2:$B$50"))</f>
        <v>#VALUE!</v>
      </c>
      <c r="C413" s="4" t="e">
        <f ca="1">SplineInterp(A413,INDIRECT("'" &amp;Master!$F$10&amp; "'!$A$2:$A$50"),INDIRECT("'" &amp;Master!$F$10&amp; "'!$C$2:$C$50"))</f>
        <v>#VALUE!</v>
      </c>
      <c r="D413" s="4" t="e">
        <f ca="1">SplineInterp(A413,INDIRECT("'" &amp;Master!$F$10&amp; "'!$A$2:$A$50"),INDIRECT("'" &amp;Master!$F$10&amp; "'!$D$2:$D$50"))</f>
        <v>#VALUE!</v>
      </c>
      <c r="E413" s="4" t="e">
        <f ca="1">SplineInterp(A413,INDIRECT("'" &amp;Master!$F$10&amp; "'!$A$2:$A$50"),INDIRECT("'" &amp;Master!$F$10&amp; "'!$E$2:$E$50"))</f>
        <v>#VALUE!</v>
      </c>
      <c r="F413" s="4" t="e">
        <f ca="1">SplineInterp(A413,INDIRECT("'" &amp;Master!$F$10&amp; "'!$A$2:$A$50"),INDIRECT("'" &amp;Master!$F$10&amp; "'!$F$2:$F$50"))</f>
        <v>#VALUE!</v>
      </c>
      <c r="G413" s="4" t="e">
        <f ca="1">SplineInterp(A413,INDIRECT("'" &amp;Master!$F$10&amp; "'!$A$2:$A$50"),INDIRECT("'" &amp;Master!$F$10&amp; "'!$G$2:$G$50"))</f>
        <v>#VALUE!</v>
      </c>
      <c r="H413" s="4" t="e">
        <f ca="1">SplineInterp(A413,INDIRECT("'" &amp;Master!$F$10&amp; "'!$A$2:$A$50"),INDIRECT("'" &amp;Master!$F$10&amp; "'!$H$2:$H$50"))</f>
        <v>#VALUE!</v>
      </c>
      <c r="I413" s="4" t="e">
        <f ca="1">IF(OR(INDIRECT("'" &amp; Master!$F$8 &amp; Master!$F$6 &amp; "'!B" &amp; ROW(B413))="", INDIRECT("'" &amp; Master!$F$8 &amp; Master!$F$6 &amp; "'!B" &amp; ROW(B413))=0), "", INDIRECT("'" &amp; Master!$F$8 &amp; Master!$F$6 &amp; "'!B" &amp; ROW(B413)))</f>
        <v>#VALUE!</v>
      </c>
      <c r="J413" s="9" t="e">
        <f t="shared" ca="1" si="42"/>
        <v>#VALUE!</v>
      </c>
      <c r="K413" s="7" t="e">
        <f t="shared" ca="1" si="43"/>
        <v>#VALUE!</v>
      </c>
      <c r="L413" s="7" t="e">
        <f t="shared" ca="1" si="44"/>
        <v>#VALUE!</v>
      </c>
      <c r="M413" s="7" t="e">
        <f t="shared" ca="1" si="45"/>
        <v>#VALUE!</v>
      </c>
      <c r="N413" s="7" t="e">
        <f t="shared" ca="1" si="46"/>
        <v>#VALUE!</v>
      </c>
      <c r="O413" s="7" t="e">
        <f t="shared" ca="1" si="47"/>
        <v>#VALUE!</v>
      </c>
      <c r="P413" s="7" t="e">
        <f t="shared" ca="1" si="48"/>
        <v>#VALUE!</v>
      </c>
    </row>
    <row r="414" spans="1:16" x14ac:dyDescent="0.25">
      <c r="A414" s="19" t="str">
        <f ca="1">IF(OR(INDIRECT("'" &amp; Master!$F$8 &amp; Master!$F$6 &amp; "'!A" &amp; ROW(A414))="", INDIRECT("'" &amp; Master!$F$8 &amp; Master!$F$6 &amp; "'!A" &amp; ROW(A414))=0), "", INDIRECT("'" &amp; Master!$F$8 &amp; Master!$F$6 &amp; "'!A" &amp; ROW(A414)))</f>
        <v/>
      </c>
      <c r="B414" s="4" t="e">
        <f ca="1">SplineInterp(INDIRECT("A" &amp; ROW()),INDIRECT("'" &amp;Master!$F$10&amp; "'!$A$2:$A$50"),INDIRECT("'" &amp;Master!$F$10&amp; "'!$B$2:$B$50"))</f>
        <v>#VALUE!</v>
      </c>
      <c r="C414" s="4" t="e">
        <f ca="1">SplineInterp(A414,INDIRECT("'" &amp;Master!$F$10&amp; "'!$A$2:$A$50"),INDIRECT("'" &amp;Master!$F$10&amp; "'!$C$2:$C$50"))</f>
        <v>#VALUE!</v>
      </c>
      <c r="D414" s="4" t="e">
        <f ca="1">SplineInterp(A414,INDIRECT("'" &amp;Master!$F$10&amp; "'!$A$2:$A$50"),INDIRECT("'" &amp;Master!$F$10&amp; "'!$D$2:$D$50"))</f>
        <v>#VALUE!</v>
      </c>
      <c r="E414" s="4" t="e">
        <f ca="1">SplineInterp(A414,INDIRECT("'" &amp;Master!$F$10&amp; "'!$A$2:$A$50"),INDIRECT("'" &amp;Master!$F$10&amp; "'!$E$2:$E$50"))</f>
        <v>#VALUE!</v>
      </c>
      <c r="F414" s="4" t="e">
        <f ca="1">SplineInterp(A414,INDIRECT("'" &amp;Master!$F$10&amp; "'!$A$2:$A$50"),INDIRECT("'" &amp;Master!$F$10&amp; "'!$F$2:$F$50"))</f>
        <v>#VALUE!</v>
      </c>
      <c r="G414" s="4" t="e">
        <f ca="1">SplineInterp(A414,INDIRECT("'" &amp;Master!$F$10&amp; "'!$A$2:$A$50"),INDIRECT("'" &amp;Master!$F$10&amp; "'!$G$2:$G$50"))</f>
        <v>#VALUE!</v>
      </c>
      <c r="H414" s="4" t="e">
        <f ca="1">SplineInterp(A414,INDIRECT("'" &amp;Master!$F$10&amp; "'!$A$2:$A$50"),INDIRECT("'" &amp;Master!$F$10&amp; "'!$H$2:$H$50"))</f>
        <v>#VALUE!</v>
      </c>
      <c r="I414" s="4" t="e">
        <f ca="1">IF(OR(INDIRECT("'" &amp; Master!$F$8 &amp; Master!$F$6 &amp; "'!B" &amp; ROW(B414))="", INDIRECT("'" &amp; Master!$F$8 &amp; Master!$F$6 &amp; "'!B" &amp; ROW(B414))=0), "", INDIRECT("'" &amp; Master!$F$8 &amp; Master!$F$6 &amp; "'!B" &amp; ROW(B414)))</f>
        <v>#VALUE!</v>
      </c>
      <c r="J414" s="9" t="e">
        <f t="shared" ca="1" si="42"/>
        <v>#VALUE!</v>
      </c>
      <c r="K414" s="7" t="e">
        <f t="shared" ca="1" si="43"/>
        <v>#VALUE!</v>
      </c>
      <c r="L414" s="7" t="e">
        <f t="shared" ca="1" si="44"/>
        <v>#VALUE!</v>
      </c>
      <c r="M414" s="7" t="e">
        <f t="shared" ca="1" si="45"/>
        <v>#VALUE!</v>
      </c>
      <c r="N414" s="7" t="e">
        <f t="shared" ca="1" si="46"/>
        <v>#VALUE!</v>
      </c>
      <c r="O414" s="7" t="e">
        <f t="shared" ca="1" si="47"/>
        <v>#VALUE!</v>
      </c>
      <c r="P414" s="7" t="e">
        <f t="shared" ca="1" si="48"/>
        <v>#VALUE!</v>
      </c>
    </row>
    <row r="415" spans="1:16" x14ac:dyDescent="0.25">
      <c r="A415" s="19" t="str">
        <f ca="1">IF(OR(INDIRECT("'" &amp; Master!$F$8 &amp; Master!$F$6 &amp; "'!A" &amp; ROW(A415))="", INDIRECT("'" &amp; Master!$F$8 &amp; Master!$F$6 &amp; "'!A" &amp; ROW(A415))=0), "", INDIRECT("'" &amp; Master!$F$8 &amp; Master!$F$6 &amp; "'!A" &amp; ROW(A415)))</f>
        <v/>
      </c>
      <c r="B415" s="4" t="e">
        <f ca="1">SplineInterp(INDIRECT("A" &amp; ROW()),INDIRECT("'" &amp;Master!$F$10&amp; "'!$A$2:$A$50"),INDIRECT("'" &amp;Master!$F$10&amp; "'!$B$2:$B$50"))</f>
        <v>#VALUE!</v>
      </c>
      <c r="C415" s="4" t="e">
        <f ca="1">SplineInterp(A415,INDIRECT("'" &amp;Master!$F$10&amp; "'!$A$2:$A$50"),INDIRECT("'" &amp;Master!$F$10&amp; "'!$C$2:$C$50"))</f>
        <v>#VALUE!</v>
      </c>
      <c r="D415" s="4" t="e">
        <f ca="1">SplineInterp(A415,INDIRECT("'" &amp;Master!$F$10&amp; "'!$A$2:$A$50"),INDIRECT("'" &amp;Master!$F$10&amp; "'!$D$2:$D$50"))</f>
        <v>#VALUE!</v>
      </c>
      <c r="E415" s="4" t="e">
        <f ca="1">SplineInterp(A415,INDIRECT("'" &amp;Master!$F$10&amp; "'!$A$2:$A$50"),INDIRECT("'" &amp;Master!$F$10&amp; "'!$E$2:$E$50"))</f>
        <v>#VALUE!</v>
      </c>
      <c r="F415" s="4" t="e">
        <f ca="1">SplineInterp(A415,INDIRECT("'" &amp;Master!$F$10&amp; "'!$A$2:$A$50"),INDIRECT("'" &amp;Master!$F$10&amp; "'!$F$2:$F$50"))</f>
        <v>#VALUE!</v>
      </c>
      <c r="G415" s="4" t="e">
        <f ca="1">SplineInterp(A415,INDIRECT("'" &amp;Master!$F$10&amp; "'!$A$2:$A$50"),INDIRECT("'" &amp;Master!$F$10&amp; "'!$G$2:$G$50"))</f>
        <v>#VALUE!</v>
      </c>
      <c r="H415" s="4" t="e">
        <f ca="1">SplineInterp(A415,INDIRECT("'" &amp;Master!$F$10&amp; "'!$A$2:$A$50"),INDIRECT("'" &amp;Master!$F$10&amp; "'!$H$2:$H$50"))</f>
        <v>#VALUE!</v>
      </c>
      <c r="I415" s="4" t="e">
        <f ca="1">IF(OR(INDIRECT("'" &amp; Master!$F$8 &amp; Master!$F$6 &amp; "'!B" &amp; ROW(B415))="", INDIRECT("'" &amp; Master!$F$8 &amp; Master!$F$6 &amp; "'!B" &amp; ROW(B415))=0), "", INDIRECT("'" &amp; Master!$F$8 &amp; Master!$F$6 &amp; "'!B" &amp; ROW(B415)))</f>
        <v>#VALUE!</v>
      </c>
      <c r="J415" s="9" t="e">
        <f t="shared" ca="1" si="42"/>
        <v>#VALUE!</v>
      </c>
      <c r="K415" s="7" t="e">
        <f t="shared" ca="1" si="43"/>
        <v>#VALUE!</v>
      </c>
      <c r="L415" s="7" t="e">
        <f t="shared" ca="1" si="44"/>
        <v>#VALUE!</v>
      </c>
      <c r="M415" s="7" t="e">
        <f t="shared" ca="1" si="45"/>
        <v>#VALUE!</v>
      </c>
      <c r="N415" s="7" t="e">
        <f t="shared" ca="1" si="46"/>
        <v>#VALUE!</v>
      </c>
      <c r="O415" s="7" t="e">
        <f t="shared" ca="1" si="47"/>
        <v>#VALUE!</v>
      </c>
      <c r="P415" s="7" t="e">
        <f t="shared" ca="1" si="48"/>
        <v>#VALUE!</v>
      </c>
    </row>
    <row r="416" spans="1:16" x14ac:dyDescent="0.25">
      <c r="A416" s="19" t="str">
        <f ca="1">IF(OR(INDIRECT("'" &amp; Master!$F$8 &amp; Master!$F$6 &amp; "'!A" &amp; ROW(A416))="", INDIRECT("'" &amp; Master!$F$8 &amp; Master!$F$6 &amp; "'!A" &amp; ROW(A416))=0), "", INDIRECT("'" &amp; Master!$F$8 &amp; Master!$F$6 &amp; "'!A" &amp; ROW(A416)))</f>
        <v/>
      </c>
      <c r="B416" s="4" t="e">
        <f ca="1">SplineInterp(INDIRECT("A" &amp; ROW()),INDIRECT("'" &amp;Master!$F$10&amp; "'!$A$2:$A$50"),INDIRECT("'" &amp;Master!$F$10&amp; "'!$B$2:$B$50"))</f>
        <v>#VALUE!</v>
      </c>
      <c r="C416" s="4" t="e">
        <f ca="1">SplineInterp(A416,INDIRECT("'" &amp;Master!$F$10&amp; "'!$A$2:$A$50"),INDIRECT("'" &amp;Master!$F$10&amp; "'!$C$2:$C$50"))</f>
        <v>#VALUE!</v>
      </c>
      <c r="D416" s="4" t="e">
        <f ca="1">SplineInterp(A416,INDIRECT("'" &amp;Master!$F$10&amp; "'!$A$2:$A$50"),INDIRECT("'" &amp;Master!$F$10&amp; "'!$D$2:$D$50"))</f>
        <v>#VALUE!</v>
      </c>
      <c r="E416" s="4" t="e">
        <f ca="1">SplineInterp(A416,INDIRECT("'" &amp;Master!$F$10&amp; "'!$A$2:$A$50"),INDIRECT("'" &amp;Master!$F$10&amp; "'!$E$2:$E$50"))</f>
        <v>#VALUE!</v>
      </c>
      <c r="F416" s="4" t="e">
        <f ca="1">SplineInterp(A416,INDIRECT("'" &amp;Master!$F$10&amp; "'!$A$2:$A$50"),INDIRECT("'" &amp;Master!$F$10&amp; "'!$F$2:$F$50"))</f>
        <v>#VALUE!</v>
      </c>
      <c r="G416" s="4" t="e">
        <f ca="1">SplineInterp(A416,INDIRECT("'" &amp;Master!$F$10&amp; "'!$A$2:$A$50"),INDIRECT("'" &amp;Master!$F$10&amp; "'!$G$2:$G$50"))</f>
        <v>#VALUE!</v>
      </c>
      <c r="H416" s="4" t="e">
        <f ca="1">SplineInterp(A416,INDIRECT("'" &amp;Master!$F$10&amp; "'!$A$2:$A$50"),INDIRECT("'" &amp;Master!$F$10&amp; "'!$H$2:$H$50"))</f>
        <v>#VALUE!</v>
      </c>
      <c r="I416" s="4" t="e">
        <f ca="1">IF(OR(INDIRECT("'" &amp; Master!$F$8 &amp; Master!$F$6 &amp; "'!B" &amp; ROW(B416))="", INDIRECT("'" &amp; Master!$F$8 &amp; Master!$F$6 &amp; "'!B" &amp; ROW(B416))=0), "", INDIRECT("'" &amp; Master!$F$8 &amp; Master!$F$6 &amp; "'!B" &amp; ROW(B416)))</f>
        <v>#VALUE!</v>
      </c>
      <c r="J416" s="9" t="e">
        <f t="shared" ca="1" si="42"/>
        <v>#VALUE!</v>
      </c>
      <c r="K416" s="7" t="e">
        <f t="shared" ca="1" si="43"/>
        <v>#VALUE!</v>
      </c>
      <c r="L416" s="7" t="e">
        <f t="shared" ca="1" si="44"/>
        <v>#VALUE!</v>
      </c>
      <c r="M416" s="7" t="e">
        <f t="shared" ca="1" si="45"/>
        <v>#VALUE!</v>
      </c>
      <c r="N416" s="7" t="e">
        <f t="shared" ca="1" si="46"/>
        <v>#VALUE!</v>
      </c>
      <c r="O416" s="7" t="e">
        <f t="shared" ca="1" si="47"/>
        <v>#VALUE!</v>
      </c>
      <c r="P416" s="7" t="e">
        <f t="shared" ca="1" si="48"/>
        <v>#VALUE!</v>
      </c>
    </row>
    <row r="417" spans="1:16" x14ac:dyDescent="0.25">
      <c r="A417" s="19" t="str">
        <f ca="1">IF(OR(INDIRECT("'" &amp; Master!$F$8 &amp; Master!$F$6 &amp; "'!A" &amp; ROW(A417))="", INDIRECT("'" &amp; Master!$F$8 &amp; Master!$F$6 &amp; "'!A" &amp; ROW(A417))=0), "", INDIRECT("'" &amp; Master!$F$8 &amp; Master!$F$6 &amp; "'!A" &amp; ROW(A417)))</f>
        <v/>
      </c>
      <c r="B417" s="4" t="e">
        <f ca="1">SplineInterp(INDIRECT("A" &amp; ROW()),INDIRECT("'" &amp;Master!$F$10&amp; "'!$A$2:$A$50"),INDIRECT("'" &amp;Master!$F$10&amp; "'!$B$2:$B$50"))</f>
        <v>#VALUE!</v>
      </c>
      <c r="C417" s="4" t="e">
        <f ca="1">SplineInterp(A417,INDIRECT("'" &amp;Master!$F$10&amp; "'!$A$2:$A$50"),INDIRECT("'" &amp;Master!$F$10&amp; "'!$C$2:$C$50"))</f>
        <v>#VALUE!</v>
      </c>
      <c r="D417" s="4" t="e">
        <f ca="1">SplineInterp(A417,INDIRECT("'" &amp;Master!$F$10&amp; "'!$A$2:$A$50"),INDIRECT("'" &amp;Master!$F$10&amp; "'!$D$2:$D$50"))</f>
        <v>#VALUE!</v>
      </c>
      <c r="E417" s="4" t="e">
        <f ca="1">SplineInterp(A417,INDIRECT("'" &amp;Master!$F$10&amp; "'!$A$2:$A$50"),INDIRECT("'" &amp;Master!$F$10&amp; "'!$E$2:$E$50"))</f>
        <v>#VALUE!</v>
      </c>
      <c r="F417" s="4" t="e">
        <f ca="1">SplineInterp(A417,INDIRECT("'" &amp;Master!$F$10&amp; "'!$A$2:$A$50"),INDIRECT("'" &amp;Master!$F$10&amp; "'!$F$2:$F$50"))</f>
        <v>#VALUE!</v>
      </c>
      <c r="G417" s="4" t="e">
        <f ca="1">SplineInterp(A417,INDIRECT("'" &amp;Master!$F$10&amp; "'!$A$2:$A$50"),INDIRECT("'" &amp;Master!$F$10&amp; "'!$G$2:$G$50"))</f>
        <v>#VALUE!</v>
      </c>
      <c r="H417" s="4" t="e">
        <f ca="1">SplineInterp(A417,INDIRECT("'" &amp;Master!$F$10&amp; "'!$A$2:$A$50"),INDIRECT("'" &amp;Master!$F$10&amp; "'!$H$2:$H$50"))</f>
        <v>#VALUE!</v>
      </c>
      <c r="I417" s="4" t="e">
        <f ca="1">IF(OR(INDIRECT("'" &amp; Master!$F$8 &amp; Master!$F$6 &amp; "'!B" &amp; ROW(B417))="", INDIRECT("'" &amp; Master!$F$8 &amp; Master!$F$6 &amp; "'!B" &amp; ROW(B417))=0), "", INDIRECT("'" &amp; Master!$F$8 &amp; Master!$F$6 &amp; "'!B" &amp; ROW(B417)))</f>
        <v>#VALUE!</v>
      </c>
      <c r="J417" s="9" t="e">
        <f t="shared" ca="1" si="42"/>
        <v>#VALUE!</v>
      </c>
      <c r="K417" s="7" t="e">
        <f t="shared" ca="1" si="43"/>
        <v>#VALUE!</v>
      </c>
      <c r="L417" s="7" t="e">
        <f t="shared" ca="1" si="44"/>
        <v>#VALUE!</v>
      </c>
      <c r="M417" s="7" t="e">
        <f t="shared" ca="1" si="45"/>
        <v>#VALUE!</v>
      </c>
      <c r="N417" s="7" t="e">
        <f t="shared" ca="1" si="46"/>
        <v>#VALUE!</v>
      </c>
      <c r="O417" s="7" t="e">
        <f t="shared" ca="1" si="47"/>
        <v>#VALUE!</v>
      </c>
      <c r="P417" s="7" t="e">
        <f t="shared" ca="1" si="48"/>
        <v>#VALUE!</v>
      </c>
    </row>
    <row r="418" spans="1:16" x14ac:dyDescent="0.25">
      <c r="A418" s="19" t="str">
        <f ca="1">IF(OR(INDIRECT("'" &amp; Master!$F$8 &amp; Master!$F$6 &amp; "'!A" &amp; ROW(A418))="", INDIRECT("'" &amp; Master!$F$8 &amp; Master!$F$6 &amp; "'!A" &amp; ROW(A418))=0), "", INDIRECT("'" &amp; Master!$F$8 &amp; Master!$F$6 &amp; "'!A" &amp; ROW(A418)))</f>
        <v/>
      </c>
      <c r="B418" s="4" t="e">
        <f ca="1">SplineInterp(INDIRECT("A" &amp; ROW()),INDIRECT("'" &amp;Master!$F$10&amp; "'!$A$2:$A$50"),INDIRECT("'" &amp;Master!$F$10&amp; "'!$B$2:$B$50"))</f>
        <v>#VALUE!</v>
      </c>
      <c r="C418" s="4" t="e">
        <f ca="1">SplineInterp(A418,INDIRECT("'" &amp;Master!$F$10&amp; "'!$A$2:$A$50"),INDIRECT("'" &amp;Master!$F$10&amp; "'!$C$2:$C$50"))</f>
        <v>#VALUE!</v>
      </c>
      <c r="D418" s="4" t="e">
        <f ca="1">SplineInterp(A418,INDIRECT("'" &amp;Master!$F$10&amp; "'!$A$2:$A$50"),INDIRECT("'" &amp;Master!$F$10&amp; "'!$D$2:$D$50"))</f>
        <v>#VALUE!</v>
      </c>
      <c r="E418" s="4" t="e">
        <f ca="1">SplineInterp(A418,INDIRECT("'" &amp;Master!$F$10&amp; "'!$A$2:$A$50"),INDIRECT("'" &amp;Master!$F$10&amp; "'!$E$2:$E$50"))</f>
        <v>#VALUE!</v>
      </c>
      <c r="F418" s="4" t="e">
        <f ca="1">SplineInterp(A418,INDIRECT("'" &amp;Master!$F$10&amp; "'!$A$2:$A$50"),INDIRECT("'" &amp;Master!$F$10&amp; "'!$F$2:$F$50"))</f>
        <v>#VALUE!</v>
      </c>
      <c r="G418" s="4" t="e">
        <f ca="1">SplineInterp(A418,INDIRECT("'" &amp;Master!$F$10&amp; "'!$A$2:$A$50"),INDIRECT("'" &amp;Master!$F$10&amp; "'!$G$2:$G$50"))</f>
        <v>#VALUE!</v>
      </c>
      <c r="H418" s="4" t="e">
        <f ca="1">SplineInterp(A418,INDIRECT("'" &amp;Master!$F$10&amp; "'!$A$2:$A$50"),INDIRECT("'" &amp;Master!$F$10&amp; "'!$H$2:$H$50"))</f>
        <v>#VALUE!</v>
      </c>
      <c r="I418" s="4" t="e">
        <f ca="1">IF(OR(INDIRECT("'" &amp; Master!$F$8 &amp; Master!$F$6 &amp; "'!B" &amp; ROW(B418))="", INDIRECT("'" &amp; Master!$F$8 &amp; Master!$F$6 &amp; "'!B" &amp; ROW(B418))=0), "", INDIRECT("'" &amp; Master!$F$8 &amp; Master!$F$6 &amp; "'!B" &amp; ROW(B418)))</f>
        <v>#VALUE!</v>
      </c>
      <c r="J418" s="9" t="e">
        <f t="shared" ca="1" si="42"/>
        <v>#VALUE!</v>
      </c>
      <c r="K418" s="7" t="e">
        <f t="shared" ca="1" si="43"/>
        <v>#VALUE!</v>
      </c>
      <c r="L418" s="7" t="e">
        <f t="shared" ca="1" si="44"/>
        <v>#VALUE!</v>
      </c>
      <c r="M418" s="7" t="e">
        <f t="shared" ca="1" si="45"/>
        <v>#VALUE!</v>
      </c>
      <c r="N418" s="7" t="e">
        <f t="shared" ca="1" si="46"/>
        <v>#VALUE!</v>
      </c>
      <c r="O418" s="7" t="e">
        <f t="shared" ca="1" si="47"/>
        <v>#VALUE!</v>
      </c>
      <c r="P418" s="7" t="e">
        <f t="shared" ca="1" si="48"/>
        <v>#VALUE!</v>
      </c>
    </row>
    <row r="419" spans="1:16" x14ac:dyDescent="0.25">
      <c r="A419" s="19" t="str">
        <f ca="1">IF(OR(INDIRECT("'" &amp; Master!$F$8 &amp; Master!$F$6 &amp; "'!A" &amp; ROW(A419))="", INDIRECT("'" &amp; Master!$F$8 &amp; Master!$F$6 &amp; "'!A" &amp; ROW(A419))=0), "", INDIRECT("'" &amp; Master!$F$8 &amp; Master!$F$6 &amp; "'!A" &amp; ROW(A419)))</f>
        <v/>
      </c>
      <c r="B419" s="4" t="e">
        <f ca="1">SplineInterp(INDIRECT("A" &amp; ROW()),INDIRECT("'" &amp;Master!$F$10&amp; "'!$A$2:$A$50"),INDIRECT("'" &amp;Master!$F$10&amp; "'!$B$2:$B$50"))</f>
        <v>#VALUE!</v>
      </c>
      <c r="C419" s="4" t="e">
        <f ca="1">SplineInterp(A419,INDIRECT("'" &amp;Master!$F$10&amp; "'!$A$2:$A$50"),INDIRECT("'" &amp;Master!$F$10&amp; "'!$C$2:$C$50"))</f>
        <v>#VALUE!</v>
      </c>
      <c r="D419" s="4" t="e">
        <f ca="1">SplineInterp(A419,INDIRECT("'" &amp;Master!$F$10&amp; "'!$A$2:$A$50"),INDIRECT("'" &amp;Master!$F$10&amp; "'!$D$2:$D$50"))</f>
        <v>#VALUE!</v>
      </c>
      <c r="E419" s="4" t="e">
        <f ca="1">SplineInterp(A419,INDIRECT("'" &amp;Master!$F$10&amp; "'!$A$2:$A$50"),INDIRECT("'" &amp;Master!$F$10&amp; "'!$E$2:$E$50"))</f>
        <v>#VALUE!</v>
      </c>
      <c r="F419" s="4" t="e">
        <f ca="1">SplineInterp(A419,INDIRECT("'" &amp;Master!$F$10&amp; "'!$A$2:$A$50"),INDIRECT("'" &amp;Master!$F$10&amp; "'!$F$2:$F$50"))</f>
        <v>#VALUE!</v>
      </c>
      <c r="G419" s="4" t="e">
        <f ca="1">SplineInterp(A419,INDIRECT("'" &amp;Master!$F$10&amp; "'!$A$2:$A$50"),INDIRECT("'" &amp;Master!$F$10&amp; "'!$G$2:$G$50"))</f>
        <v>#VALUE!</v>
      </c>
      <c r="H419" s="4" t="e">
        <f ca="1">SplineInterp(A419,INDIRECT("'" &amp;Master!$F$10&amp; "'!$A$2:$A$50"),INDIRECT("'" &amp;Master!$F$10&amp; "'!$H$2:$H$50"))</f>
        <v>#VALUE!</v>
      </c>
      <c r="I419" s="4" t="e">
        <f ca="1">IF(OR(INDIRECT("'" &amp; Master!$F$8 &amp; Master!$F$6 &amp; "'!B" &amp; ROW(B419))="", INDIRECT("'" &amp; Master!$F$8 &amp; Master!$F$6 &amp; "'!B" &amp; ROW(B419))=0), "", INDIRECT("'" &amp; Master!$F$8 &amp; Master!$F$6 &amp; "'!B" &amp; ROW(B419)))</f>
        <v>#VALUE!</v>
      </c>
      <c r="J419" s="9" t="e">
        <f t="shared" ca="1" si="42"/>
        <v>#VALUE!</v>
      </c>
      <c r="K419" s="7" t="e">
        <f t="shared" ca="1" si="43"/>
        <v>#VALUE!</v>
      </c>
      <c r="L419" s="7" t="e">
        <f t="shared" ca="1" si="44"/>
        <v>#VALUE!</v>
      </c>
      <c r="M419" s="7" t="e">
        <f t="shared" ca="1" si="45"/>
        <v>#VALUE!</v>
      </c>
      <c r="N419" s="7" t="e">
        <f t="shared" ca="1" si="46"/>
        <v>#VALUE!</v>
      </c>
      <c r="O419" s="7" t="e">
        <f t="shared" ca="1" si="47"/>
        <v>#VALUE!</v>
      </c>
      <c r="P419" s="7" t="e">
        <f t="shared" ca="1" si="48"/>
        <v>#VALUE!</v>
      </c>
    </row>
    <row r="420" spans="1:16" x14ac:dyDescent="0.25">
      <c r="A420" s="19" t="str">
        <f ca="1">IF(OR(INDIRECT("'" &amp; Master!$F$8 &amp; Master!$F$6 &amp; "'!A" &amp; ROW(A420))="", INDIRECT("'" &amp; Master!$F$8 &amp; Master!$F$6 &amp; "'!A" &amp; ROW(A420))=0), "", INDIRECT("'" &amp; Master!$F$8 &amp; Master!$F$6 &amp; "'!A" &amp; ROW(A420)))</f>
        <v/>
      </c>
      <c r="B420" s="4" t="e">
        <f ca="1">SplineInterp(INDIRECT("A" &amp; ROW()),INDIRECT("'" &amp;Master!$F$10&amp; "'!$A$2:$A$50"),INDIRECT("'" &amp;Master!$F$10&amp; "'!$B$2:$B$50"))</f>
        <v>#VALUE!</v>
      </c>
      <c r="C420" s="4" t="e">
        <f ca="1">SplineInterp(A420,INDIRECT("'" &amp;Master!$F$10&amp; "'!$A$2:$A$50"),INDIRECT("'" &amp;Master!$F$10&amp; "'!$C$2:$C$50"))</f>
        <v>#VALUE!</v>
      </c>
      <c r="D420" s="4" t="e">
        <f ca="1">SplineInterp(A420,INDIRECT("'" &amp;Master!$F$10&amp; "'!$A$2:$A$50"),INDIRECT("'" &amp;Master!$F$10&amp; "'!$D$2:$D$50"))</f>
        <v>#VALUE!</v>
      </c>
      <c r="E420" s="4" t="e">
        <f ca="1">SplineInterp(A420,INDIRECT("'" &amp;Master!$F$10&amp; "'!$A$2:$A$50"),INDIRECT("'" &amp;Master!$F$10&amp; "'!$E$2:$E$50"))</f>
        <v>#VALUE!</v>
      </c>
      <c r="F420" s="4" t="e">
        <f ca="1">SplineInterp(A420,INDIRECT("'" &amp;Master!$F$10&amp; "'!$A$2:$A$50"),INDIRECT("'" &amp;Master!$F$10&amp; "'!$F$2:$F$50"))</f>
        <v>#VALUE!</v>
      </c>
      <c r="G420" s="4" t="e">
        <f ca="1">SplineInterp(A420,INDIRECT("'" &amp;Master!$F$10&amp; "'!$A$2:$A$50"),INDIRECT("'" &amp;Master!$F$10&amp; "'!$G$2:$G$50"))</f>
        <v>#VALUE!</v>
      </c>
      <c r="H420" s="4" t="e">
        <f ca="1">SplineInterp(A420,INDIRECT("'" &amp;Master!$F$10&amp; "'!$A$2:$A$50"),INDIRECT("'" &amp;Master!$F$10&amp; "'!$H$2:$H$50"))</f>
        <v>#VALUE!</v>
      </c>
      <c r="I420" s="4" t="e">
        <f ca="1">IF(OR(INDIRECT("'" &amp; Master!$F$8 &amp; Master!$F$6 &amp; "'!B" &amp; ROW(B420))="", INDIRECT("'" &amp; Master!$F$8 &amp; Master!$F$6 &amp; "'!B" &amp; ROW(B420))=0), "", INDIRECT("'" &amp; Master!$F$8 &amp; Master!$F$6 &amp; "'!B" &amp; ROW(B420)))</f>
        <v>#VALUE!</v>
      </c>
      <c r="J420" s="9" t="e">
        <f t="shared" ca="1" si="42"/>
        <v>#VALUE!</v>
      </c>
      <c r="K420" s="7" t="e">
        <f t="shared" ca="1" si="43"/>
        <v>#VALUE!</v>
      </c>
      <c r="L420" s="7" t="e">
        <f t="shared" ca="1" si="44"/>
        <v>#VALUE!</v>
      </c>
      <c r="M420" s="7" t="e">
        <f t="shared" ca="1" si="45"/>
        <v>#VALUE!</v>
      </c>
      <c r="N420" s="7" t="e">
        <f t="shared" ca="1" si="46"/>
        <v>#VALUE!</v>
      </c>
      <c r="O420" s="7" t="e">
        <f t="shared" ca="1" si="47"/>
        <v>#VALUE!</v>
      </c>
      <c r="P420" s="7" t="e">
        <f t="shared" ca="1" si="48"/>
        <v>#VALUE!</v>
      </c>
    </row>
    <row r="421" spans="1:16" x14ac:dyDescent="0.25">
      <c r="A421" s="19" t="str">
        <f ca="1">IF(OR(INDIRECT("'" &amp; Master!$F$8 &amp; Master!$F$6 &amp; "'!A" &amp; ROW(A421))="", INDIRECT("'" &amp; Master!$F$8 &amp; Master!$F$6 &amp; "'!A" &amp; ROW(A421))=0), "", INDIRECT("'" &amp; Master!$F$8 &amp; Master!$F$6 &amp; "'!A" &amp; ROW(A421)))</f>
        <v/>
      </c>
      <c r="B421" s="4" t="e">
        <f ca="1">SplineInterp(INDIRECT("A" &amp; ROW()),INDIRECT("'" &amp;Master!$F$10&amp; "'!$A$2:$A$50"),INDIRECT("'" &amp;Master!$F$10&amp; "'!$B$2:$B$50"))</f>
        <v>#VALUE!</v>
      </c>
      <c r="C421" s="4" t="e">
        <f ca="1">SplineInterp(A421,INDIRECT("'" &amp;Master!$F$10&amp; "'!$A$2:$A$50"),INDIRECT("'" &amp;Master!$F$10&amp; "'!$C$2:$C$50"))</f>
        <v>#VALUE!</v>
      </c>
      <c r="D421" s="4" t="e">
        <f ca="1">SplineInterp(A421,INDIRECT("'" &amp;Master!$F$10&amp; "'!$A$2:$A$50"),INDIRECT("'" &amp;Master!$F$10&amp; "'!$D$2:$D$50"))</f>
        <v>#VALUE!</v>
      </c>
      <c r="E421" s="4" t="e">
        <f ca="1">SplineInterp(A421,INDIRECT("'" &amp;Master!$F$10&amp; "'!$A$2:$A$50"),INDIRECT("'" &amp;Master!$F$10&amp; "'!$E$2:$E$50"))</f>
        <v>#VALUE!</v>
      </c>
      <c r="F421" s="4" t="e">
        <f ca="1">SplineInterp(A421,INDIRECT("'" &amp;Master!$F$10&amp; "'!$A$2:$A$50"),INDIRECT("'" &amp;Master!$F$10&amp; "'!$F$2:$F$50"))</f>
        <v>#VALUE!</v>
      </c>
      <c r="G421" s="4" t="e">
        <f ca="1">SplineInterp(A421,INDIRECT("'" &amp;Master!$F$10&amp; "'!$A$2:$A$50"),INDIRECT("'" &amp;Master!$F$10&amp; "'!$G$2:$G$50"))</f>
        <v>#VALUE!</v>
      </c>
      <c r="H421" s="4" t="e">
        <f ca="1">SplineInterp(A421,INDIRECT("'" &amp;Master!$F$10&amp; "'!$A$2:$A$50"),INDIRECT("'" &amp;Master!$F$10&amp; "'!$H$2:$H$50"))</f>
        <v>#VALUE!</v>
      </c>
      <c r="I421" s="4" t="e">
        <f ca="1">IF(OR(INDIRECT("'" &amp; Master!$F$8 &amp; Master!$F$6 &amp; "'!B" &amp; ROW(B421))="", INDIRECT("'" &amp; Master!$F$8 &amp; Master!$F$6 &amp; "'!B" &amp; ROW(B421))=0), "", INDIRECT("'" &amp; Master!$F$8 &amp; Master!$F$6 &amp; "'!B" &amp; ROW(B421)))</f>
        <v>#VALUE!</v>
      </c>
      <c r="J421" s="9" t="e">
        <f t="shared" ca="1" si="42"/>
        <v>#VALUE!</v>
      </c>
      <c r="K421" s="7" t="e">
        <f t="shared" ca="1" si="43"/>
        <v>#VALUE!</v>
      </c>
      <c r="L421" s="7" t="e">
        <f t="shared" ca="1" si="44"/>
        <v>#VALUE!</v>
      </c>
      <c r="M421" s="7" t="e">
        <f t="shared" ca="1" si="45"/>
        <v>#VALUE!</v>
      </c>
      <c r="N421" s="7" t="e">
        <f t="shared" ca="1" si="46"/>
        <v>#VALUE!</v>
      </c>
      <c r="O421" s="7" t="e">
        <f t="shared" ca="1" si="47"/>
        <v>#VALUE!</v>
      </c>
      <c r="P421" s="7" t="e">
        <f t="shared" ca="1" si="48"/>
        <v>#VALUE!</v>
      </c>
    </row>
    <row r="422" spans="1:16" x14ac:dyDescent="0.25">
      <c r="A422" s="19" t="str">
        <f ca="1">IF(OR(INDIRECT("'" &amp; Master!$F$8 &amp; Master!$F$6 &amp; "'!A" &amp; ROW(A422))="", INDIRECT("'" &amp; Master!$F$8 &amp; Master!$F$6 &amp; "'!A" &amp; ROW(A422))=0), "", INDIRECT("'" &amp; Master!$F$8 &amp; Master!$F$6 &amp; "'!A" &amp; ROW(A422)))</f>
        <v/>
      </c>
      <c r="B422" s="4" t="e">
        <f ca="1">SplineInterp(INDIRECT("A" &amp; ROW()),INDIRECT("'" &amp;Master!$F$10&amp; "'!$A$2:$A$50"),INDIRECT("'" &amp;Master!$F$10&amp; "'!$B$2:$B$50"))</f>
        <v>#VALUE!</v>
      </c>
      <c r="C422" s="4" t="e">
        <f ca="1">SplineInterp(A422,INDIRECT("'" &amp;Master!$F$10&amp; "'!$A$2:$A$50"),INDIRECT("'" &amp;Master!$F$10&amp; "'!$C$2:$C$50"))</f>
        <v>#VALUE!</v>
      </c>
      <c r="D422" s="4" t="e">
        <f ca="1">SplineInterp(A422,INDIRECT("'" &amp;Master!$F$10&amp; "'!$A$2:$A$50"),INDIRECT("'" &amp;Master!$F$10&amp; "'!$D$2:$D$50"))</f>
        <v>#VALUE!</v>
      </c>
      <c r="E422" s="4" t="e">
        <f ca="1">SplineInterp(A422,INDIRECT("'" &amp;Master!$F$10&amp; "'!$A$2:$A$50"),INDIRECT("'" &amp;Master!$F$10&amp; "'!$E$2:$E$50"))</f>
        <v>#VALUE!</v>
      </c>
      <c r="F422" s="4" t="e">
        <f ca="1">SplineInterp(A422,INDIRECT("'" &amp;Master!$F$10&amp; "'!$A$2:$A$50"),INDIRECT("'" &amp;Master!$F$10&amp; "'!$F$2:$F$50"))</f>
        <v>#VALUE!</v>
      </c>
      <c r="G422" s="4" t="e">
        <f ca="1">SplineInterp(A422,INDIRECT("'" &amp;Master!$F$10&amp; "'!$A$2:$A$50"),INDIRECT("'" &amp;Master!$F$10&amp; "'!$G$2:$G$50"))</f>
        <v>#VALUE!</v>
      </c>
      <c r="H422" s="4" t="e">
        <f ca="1">SplineInterp(A422,INDIRECT("'" &amp;Master!$F$10&amp; "'!$A$2:$A$50"),INDIRECT("'" &amp;Master!$F$10&amp; "'!$H$2:$H$50"))</f>
        <v>#VALUE!</v>
      </c>
      <c r="I422" s="4" t="e">
        <f ca="1">IF(OR(INDIRECT("'" &amp; Master!$F$8 &amp; Master!$F$6 &amp; "'!B" &amp; ROW(B422))="", INDIRECT("'" &amp; Master!$F$8 &amp; Master!$F$6 &amp; "'!B" &amp; ROW(B422))=0), "", INDIRECT("'" &amp; Master!$F$8 &amp; Master!$F$6 &amp; "'!B" &amp; ROW(B422)))</f>
        <v>#VALUE!</v>
      </c>
      <c r="J422" s="9" t="e">
        <f t="shared" ca="1" si="42"/>
        <v>#VALUE!</v>
      </c>
      <c r="K422" s="7" t="e">
        <f t="shared" ca="1" si="43"/>
        <v>#VALUE!</v>
      </c>
      <c r="L422" s="7" t="e">
        <f t="shared" ca="1" si="44"/>
        <v>#VALUE!</v>
      </c>
      <c r="M422" s="7" t="e">
        <f t="shared" ca="1" si="45"/>
        <v>#VALUE!</v>
      </c>
      <c r="N422" s="7" t="e">
        <f t="shared" ca="1" si="46"/>
        <v>#VALUE!</v>
      </c>
      <c r="O422" s="7" t="e">
        <f t="shared" ca="1" si="47"/>
        <v>#VALUE!</v>
      </c>
      <c r="P422" s="7" t="e">
        <f t="shared" ca="1" si="48"/>
        <v>#VALUE!</v>
      </c>
    </row>
    <row r="423" spans="1:16" x14ac:dyDescent="0.25">
      <c r="A423" s="19" t="str">
        <f ca="1">IF(OR(INDIRECT("'" &amp; Master!$F$8 &amp; Master!$F$6 &amp; "'!A" &amp; ROW(A423))="", INDIRECT("'" &amp; Master!$F$8 &amp; Master!$F$6 &amp; "'!A" &amp; ROW(A423))=0), "", INDIRECT("'" &amp; Master!$F$8 &amp; Master!$F$6 &amp; "'!A" &amp; ROW(A423)))</f>
        <v/>
      </c>
      <c r="B423" s="4" t="e">
        <f ca="1">SplineInterp(INDIRECT("A" &amp; ROW()),INDIRECT("'" &amp;Master!$F$10&amp; "'!$A$2:$A$50"),INDIRECT("'" &amp;Master!$F$10&amp; "'!$B$2:$B$50"))</f>
        <v>#VALUE!</v>
      </c>
      <c r="C423" s="4" t="e">
        <f ca="1">SplineInterp(A423,INDIRECT("'" &amp;Master!$F$10&amp; "'!$A$2:$A$50"),INDIRECT("'" &amp;Master!$F$10&amp; "'!$C$2:$C$50"))</f>
        <v>#VALUE!</v>
      </c>
      <c r="D423" s="4" t="e">
        <f ca="1">SplineInterp(A423,INDIRECT("'" &amp;Master!$F$10&amp; "'!$A$2:$A$50"),INDIRECT("'" &amp;Master!$F$10&amp; "'!$D$2:$D$50"))</f>
        <v>#VALUE!</v>
      </c>
      <c r="E423" s="4" t="e">
        <f ca="1">SplineInterp(A423,INDIRECT("'" &amp;Master!$F$10&amp; "'!$A$2:$A$50"),INDIRECT("'" &amp;Master!$F$10&amp; "'!$E$2:$E$50"))</f>
        <v>#VALUE!</v>
      </c>
      <c r="F423" s="4" t="e">
        <f ca="1">SplineInterp(A423,INDIRECT("'" &amp;Master!$F$10&amp; "'!$A$2:$A$50"),INDIRECT("'" &amp;Master!$F$10&amp; "'!$F$2:$F$50"))</f>
        <v>#VALUE!</v>
      </c>
      <c r="G423" s="4" t="e">
        <f ca="1">SplineInterp(A423,INDIRECT("'" &amp;Master!$F$10&amp; "'!$A$2:$A$50"),INDIRECT("'" &amp;Master!$F$10&amp; "'!$G$2:$G$50"))</f>
        <v>#VALUE!</v>
      </c>
      <c r="H423" s="4" t="e">
        <f ca="1">SplineInterp(A423,INDIRECT("'" &amp;Master!$F$10&amp; "'!$A$2:$A$50"),INDIRECT("'" &amp;Master!$F$10&amp; "'!$H$2:$H$50"))</f>
        <v>#VALUE!</v>
      </c>
      <c r="I423" s="4" t="e">
        <f ca="1">IF(OR(INDIRECT("'" &amp; Master!$F$8 &amp; Master!$F$6 &amp; "'!B" &amp; ROW(B423))="", INDIRECT("'" &amp; Master!$F$8 &amp; Master!$F$6 &amp; "'!B" &amp; ROW(B423))=0), "", INDIRECT("'" &amp; Master!$F$8 &amp; Master!$F$6 &amp; "'!B" &amp; ROW(B423)))</f>
        <v>#VALUE!</v>
      </c>
      <c r="J423" s="9" t="e">
        <f t="shared" ca="1" si="42"/>
        <v>#VALUE!</v>
      </c>
      <c r="K423" s="7" t="e">
        <f t="shared" ca="1" si="43"/>
        <v>#VALUE!</v>
      </c>
      <c r="L423" s="7" t="e">
        <f t="shared" ca="1" si="44"/>
        <v>#VALUE!</v>
      </c>
      <c r="M423" s="7" t="e">
        <f t="shared" ca="1" si="45"/>
        <v>#VALUE!</v>
      </c>
      <c r="N423" s="7" t="e">
        <f t="shared" ca="1" si="46"/>
        <v>#VALUE!</v>
      </c>
      <c r="O423" s="7" t="e">
        <f t="shared" ca="1" si="47"/>
        <v>#VALUE!</v>
      </c>
      <c r="P423" s="7" t="e">
        <f t="shared" ca="1" si="48"/>
        <v>#VALUE!</v>
      </c>
    </row>
    <row r="424" spans="1:16" x14ac:dyDescent="0.25">
      <c r="A424" s="19" t="str">
        <f ca="1">IF(OR(INDIRECT("'" &amp; Master!$F$8 &amp; Master!$F$6 &amp; "'!A" &amp; ROW(A424))="", INDIRECT("'" &amp; Master!$F$8 &amp; Master!$F$6 &amp; "'!A" &amp; ROW(A424))=0), "", INDIRECT("'" &amp; Master!$F$8 &amp; Master!$F$6 &amp; "'!A" &amp; ROW(A424)))</f>
        <v/>
      </c>
      <c r="B424" s="4" t="e">
        <f ca="1">SplineInterp(INDIRECT("A" &amp; ROW()),INDIRECT("'" &amp;Master!$F$10&amp; "'!$A$2:$A$50"),INDIRECT("'" &amp;Master!$F$10&amp; "'!$B$2:$B$50"))</f>
        <v>#VALUE!</v>
      </c>
      <c r="C424" s="4" t="e">
        <f ca="1">SplineInterp(A424,INDIRECT("'" &amp;Master!$F$10&amp; "'!$A$2:$A$50"),INDIRECT("'" &amp;Master!$F$10&amp; "'!$C$2:$C$50"))</f>
        <v>#VALUE!</v>
      </c>
      <c r="D424" s="4" t="e">
        <f ca="1">SplineInterp(A424,INDIRECT("'" &amp;Master!$F$10&amp; "'!$A$2:$A$50"),INDIRECT("'" &amp;Master!$F$10&amp; "'!$D$2:$D$50"))</f>
        <v>#VALUE!</v>
      </c>
      <c r="E424" s="4" t="e">
        <f ca="1">SplineInterp(A424,INDIRECT("'" &amp;Master!$F$10&amp; "'!$A$2:$A$50"),INDIRECT("'" &amp;Master!$F$10&amp; "'!$E$2:$E$50"))</f>
        <v>#VALUE!</v>
      </c>
      <c r="F424" s="4" t="e">
        <f ca="1">SplineInterp(A424,INDIRECT("'" &amp;Master!$F$10&amp; "'!$A$2:$A$50"),INDIRECT("'" &amp;Master!$F$10&amp; "'!$F$2:$F$50"))</f>
        <v>#VALUE!</v>
      </c>
      <c r="G424" s="4" t="e">
        <f ca="1">SplineInterp(A424,INDIRECT("'" &amp;Master!$F$10&amp; "'!$A$2:$A$50"),INDIRECT("'" &amp;Master!$F$10&amp; "'!$G$2:$G$50"))</f>
        <v>#VALUE!</v>
      </c>
      <c r="H424" s="4" t="e">
        <f ca="1">SplineInterp(A424,INDIRECT("'" &amp;Master!$F$10&amp; "'!$A$2:$A$50"),INDIRECT("'" &amp;Master!$F$10&amp; "'!$H$2:$H$50"))</f>
        <v>#VALUE!</v>
      </c>
      <c r="I424" s="4" t="e">
        <f ca="1">IF(OR(INDIRECT("'" &amp; Master!$F$8 &amp; Master!$F$6 &amp; "'!B" &amp; ROW(B424))="", INDIRECT("'" &amp; Master!$F$8 &amp; Master!$F$6 &amp; "'!B" &amp; ROW(B424))=0), "", INDIRECT("'" &amp; Master!$F$8 &amp; Master!$F$6 &amp; "'!B" &amp; ROW(B424)))</f>
        <v>#VALUE!</v>
      </c>
      <c r="J424" s="9" t="e">
        <f t="shared" ca="1" si="42"/>
        <v>#VALUE!</v>
      </c>
      <c r="K424" s="7" t="e">
        <f t="shared" ca="1" si="43"/>
        <v>#VALUE!</v>
      </c>
      <c r="L424" s="7" t="e">
        <f t="shared" ca="1" si="44"/>
        <v>#VALUE!</v>
      </c>
      <c r="M424" s="7" t="e">
        <f t="shared" ca="1" si="45"/>
        <v>#VALUE!</v>
      </c>
      <c r="N424" s="7" t="e">
        <f t="shared" ca="1" si="46"/>
        <v>#VALUE!</v>
      </c>
      <c r="O424" s="7" t="e">
        <f t="shared" ca="1" si="47"/>
        <v>#VALUE!</v>
      </c>
      <c r="P424" s="7" t="e">
        <f t="shared" ca="1" si="48"/>
        <v>#VALUE!</v>
      </c>
    </row>
    <row r="425" spans="1:16" x14ac:dyDescent="0.25">
      <c r="A425" s="19" t="str">
        <f ca="1">IF(OR(INDIRECT("'" &amp; Master!$F$8 &amp; Master!$F$6 &amp; "'!A" &amp; ROW(A425))="", INDIRECT("'" &amp; Master!$F$8 &amp; Master!$F$6 &amp; "'!A" &amp; ROW(A425))=0), "", INDIRECT("'" &amp; Master!$F$8 &amp; Master!$F$6 &amp; "'!A" &amp; ROW(A425)))</f>
        <v/>
      </c>
      <c r="B425" s="4" t="e">
        <f ca="1">SplineInterp(INDIRECT("A" &amp; ROW()),INDIRECT("'" &amp;Master!$F$10&amp; "'!$A$2:$A$50"),INDIRECT("'" &amp;Master!$F$10&amp; "'!$B$2:$B$50"))</f>
        <v>#VALUE!</v>
      </c>
      <c r="C425" s="4" t="e">
        <f ca="1">SplineInterp(A425,INDIRECT("'" &amp;Master!$F$10&amp; "'!$A$2:$A$50"),INDIRECT("'" &amp;Master!$F$10&amp; "'!$C$2:$C$50"))</f>
        <v>#VALUE!</v>
      </c>
      <c r="D425" s="4" t="e">
        <f ca="1">SplineInterp(A425,INDIRECT("'" &amp;Master!$F$10&amp; "'!$A$2:$A$50"),INDIRECT("'" &amp;Master!$F$10&amp; "'!$D$2:$D$50"))</f>
        <v>#VALUE!</v>
      </c>
      <c r="E425" s="4" t="e">
        <f ca="1">SplineInterp(A425,INDIRECT("'" &amp;Master!$F$10&amp; "'!$A$2:$A$50"),INDIRECT("'" &amp;Master!$F$10&amp; "'!$E$2:$E$50"))</f>
        <v>#VALUE!</v>
      </c>
      <c r="F425" s="4" t="e">
        <f ca="1">SplineInterp(A425,INDIRECT("'" &amp;Master!$F$10&amp; "'!$A$2:$A$50"),INDIRECT("'" &amp;Master!$F$10&amp; "'!$F$2:$F$50"))</f>
        <v>#VALUE!</v>
      </c>
      <c r="G425" s="4" t="e">
        <f ca="1">SplineInterp(A425,INDIRECT("'" &amp;Master!$F$10&amp; "'!$A$2:$A$50"),INDIRECT("'" &amp;Master!$F$10&amp; "'!$G$2:$G$50"))</f>
        <v>#VALUE!</v>
      </c>
      <c r="H425" s="4" t="e">
        <f ca="1">SplineInterp(A425,INDIRECT("'" &amp;Master!$F$10&amp; "'!$A$2:$A$50"),INDIRECT("'" &amp;Master!$F$10&amp; "'!$H$2:$H$50"))</f>
        <v>#VALUE!</v>
      </c>
      <c r="I425" s="4" t="e">
        <f ca="1">IF(OR(INDIRECT("'" &amp; Master!$F$8 &amp; Master!$F$6 &amp; "'!B" &amp; ROW(B425))="", INDIRECT("'" &amp; Master!$F$8 &amp; Master!$F$6 &amp; "'!B" &amp; ROW(B425))=0), "", INDIRECT("'" &amp; Master!$F$8 &amp; Master!$F$6 &amp; "'!B" &amp; ROW(B425)))</f>
        <v>#VALUE!</v>
      </c>
      <c r="J425" s="9" t="e">
        <f t="shared" ca="1" si="42"/>
        <v>#VALUE!</v>
      </c>
      <c r="K425" s="7" t="e">
        <f t="shared" ca="1" si="43"/>
        <v>#VALUE!</v>
      </c>
      <c r="L425" s="7" t="e">
        <f t="shared" ca="1" si="44"/>
        <v>#VALUE!</v>
      </c>
      <c r="M425" s="7" t="e">
        <f t="shared" ca="1" si="45"/>
        <v>#VALUE!</v>
      </c>
      <c r="N425" s="7" t="e">
        <f t="shared" ca="1" si="46"/>
        <v>#VALUE!</v>
      </c>
      <c r="O425" s="7" t="e">
        <f t="shared" ca="1" si="47"/>
        <v>#VALUE!</v>
      </c>
      <c r="P425" s="7" t="e">
        <f t="shared" ca="1" si="48"/>
        <v>#VALUE!</v>
      </c>
    </row>
    <row r="426" spans="1:16" x14ac:dyDescent="0.25">
      <c r="A426" s="19" t="str">
        <f ca="1">IF(OR(INDIRECT("'" &amp; Master!$F$8 &amp; Master!$F$6 &amp; "'!A" &amp; ROW(A426))="", INDIRECT("'" &amp; Master!$F$8 &amp; Master!$F$6 &amp; "'!A" &amp; ROW(A426))=0), "", INDIRECT("'" &amp; Master!$F$8 &amp; Master!$F$6 &amp; "'!A" &amp; ROW(A426)))</f>
        <v/>
      </c>
      <c r="B426" s="4" t="e">
        <f ca="1">SplineInterp(INDIRECT("A" &amp; ROW()),INDIRECT("'" &amp;Master!$F$10&amp; "'!$A$2:$A$50"),INDIRECT("'" &amp;Master!$F$10&amp; "'!$B$2:$B$50"))</f>
        <v>#VALUE!</v>
      </c>
      <c r="C426" s="4" t="e">
        <f ca="1">SplineInterp(A426,INDIRECT("'" &amp;Master!$F$10&amp; "'!$A$2:$A$50"),INDIRECT("'" &amp;Master!$F$10&amp; "'!$C$2:$C$50"))</f>
        <v>#VALUE!</v>
      </c>
      <c r="D426" s="4" t="e">
        <f ca="1">SplineInterp(A426,INDIRECT("'" &amp;Master!$F$10&amp; "'!$A$2:$A$50"),INDIRECT("'" &amp;Master!$F$10&amp; "'!$D$2:$D$50"))</f>
        <v>#VALUE!</v>
      </c>
      <c r="E426" s="4" t="e">
        <f ca="1">SplineInterp(A426,INDIRECT("'" &amp;Master!$F$10&amp; "'!$A$2:$A$50"),INDIRECT("'" &amp;Master!$F$10&amp; "'!$E$2:$E$50"))</f>
        <v>#VALUE!</v>
      </c>
      <c r="F426" s="4" t="e">
        <f ca="1">SplineInterp(A426,INDIRECT("'" &amp;Master!$F$10&amp; "'!$A$2:$A$50"),INDIRECT("'" &amp;Master!$F$10&amp; "'!$F$2:$F$50"))</f>
        <v>#VALUE!</v>
      </c>
      <c r="G426" s="4" t="e">
        <f ca="1">SplineInterp(A426,INDIRECT("'" &amp;Master!$F$10&amp; "'!$A$2:$A$50"),INDIRECT("'" &amp;Master!$F$10&amp; "'!$G$2:$G$50"))</f>
        <v>#VALUE!</v>
      </c>
      <c r="H426" s="4" t="e">
        <f ca="1">SplineInterp(A426,INDIRECT("'" &amp;Master!$F$10&amp; "'!$A$2:$A$50"),INDIRECT("'" &amp;Master!$F$10&amp; "'!$H$2:$H$50"))</f>
        <v>#VALUE!</v>
      </c>
      <c r="I426" s="4" t="e">
        <f ca="1">IF(OR(INDIRECT("'" &amp; Master!$F$8 &amp; Master!$F$6 &amp; "'!B" &amp; ROW(B426))="", INDIRECT("'" &amp; Master!$F$8 &amp; Master!$F$6 &amp; "'!B" &amp; ROW(B426))=0), "", INDIRECT("'" &amp; Master!$F$8 &amp; Master!$F$6 &amp; "'!B" &amp; ROW(B426)))</f>
        <v>#VALUE!</v>
      </c>
      <c r="J426" s="9" t="e">
        <f t="shared" ca="1" si="42"/>
        <v>#VALUE!</v>
      </c>
      <c r="K426" s="7" t="e">
        <f t="shared" ca="1" si="43"/>
        <v>#VALUE!</v>
      </c>
      <c r="L426" s="7" t="e">
        <f t="shared" ca="1" si="44"/>
        <v>#VALUE!</v>
      </c>
      <c r="M426" s="7" t="e">
        <f t="shared" ca="1" si="45"/>
        <v>#VALUE!</v>
      </c>
      <c r="N426" s="7" t="e">
        <f t="shared" ca="1" si="46"/>
        <v>#VALUE!</v>
      </c>
      <c r="O426" s="7" t="e">
        <f t="shared" ca="1" si="47"/>
        <v>#VALUE!</v>
      </c>
      <c r="P426" s="7" t="e">
        <f t="shared" ca="1" si="48"/>
        <v>#VALUE!</v>
      </c>
    </row>
    <row r="427" spans="1:16" x14ac:dyDescent="0.25">
      <c r="A427" s="19" t="str">
        <f ca="1">IF(OR(INDIRECT("'" &amp; Master!$F$8 &amp; Master!$F$6 &amp; "'!A" &amp; ROW(A427))="", INDIRECT("'" &amp; Master!$F$8 &amp; Master!$F$6 &amp; "'!A" &amp; ROW(A427))=0), "", INDIRECT("'" &amp; Master!$F$8 &amp; Master!$F$6 &amp; "'!A" &amp; ROW(A427)))</f>
        <v/>
      </c>
      <c r="B427" s="4" t="e">
        <f ca="1">SplineInterp(INDIRECT("A" &amp; ROW()),INDIRECT("'" &amp;Master!$F$10&amp; "'!$A$2:$A$50"),INDIRECT("'" &amp;Master!$F$10&amp; "'!$B$2:$B$50"))</f>
        <v>#VALUE!</v>
      </c>
      <c r="C427" s="4" t="e">
        <f ca="1">SplineInterp(A427,INDIRECT("'" &amp;Master!$F$10&amp; "'!$A$2:$A$50"),INDIRECT("'" &amp;Master!$F$10&amp; "'!$C$2:$C$50"))</f>
        <v>#VALUE!</v>
      </c>
      <c r="D427" s="4" t="e">
        <f ca="1">SplineInterp(A427,INDIRECT("'" &amp;Master!$F$10&amp; "'!$A$2:$A$50"),INDIRECT("'" &amp;Master!$F$10&amp; "'!$D$2:$D$50"))</f>
        <v>#VALUE!</v>
      </c>
      <c r="E427" s="4" t="e">
        <f ca="1">SplineInterp(A427,INDIRECT("'" &amp;Master!$F$10&amp; "'!$A$2:$A$50"),INDIRECT("'" &amp;Master!$F$10&amp; "'!$E$2:$E$50"))</f>
        <v>#VALUE!</v>
      </c>
      <c r="F427" s="4" t="e">
        <f ca="1">SplineInterp(A427,INDIRECT("'" &amp;Master!$F$10&amp; "'!$A$2:$A$50"),INDIRECT("'" &amp;Master!$F$10&amp; "'!$F$2:$F$50"))</f>
        <v>#VALUE!</v>
      </c>
      <c r="G427" s="4" t="e">
        <f ca="1">SplineInterp(A427,INDIRECT("'" &amp;Master!$F$10&amp; "'!$A$2:$A$50"),INDIRECT("'" &amp;Master!$F$10&amp; "'!$G$2:$G$50"))</f>
        <v>#VALUE!</v>
      </c>
      <c r="H427" s="4" t="e">
        <f ca="1">SplineInterp(A427,INDIRECT("'" &amp;Master!$F$10&amp; "'!$A$2:$A$50"),INDIRECT("'" &amp;Master!$F$10&amp; "'!$H$2:$H$50"))</f>
        <v>#VALUE!</v>
      </c>
      <c r="I427" s="4" t="e">
        <f ca="1">IF(OR(INDIRECT("'" &amp; Master!$F$8 &amp; Master!$F$6 &amp; "'!B" &amp; ROW(B427))="", INDIRECT("'" &amp; Master!$F$8 &amp; Master!$F$6 &amp; "'!B" &amp; ROW(B427))=0), "", INDIRECT("'" &amp; Master!$F$8 &amp; Master!$F$6 &amp; "'!B" &amp; ROW(B427)))</f>
        <v>#VALUE!</v>
      </c>
      <c r="J427" s="9" t="e">
        <f t="shared" ca="1" si="42"/>
        <v>#VALUE!</v>
      </c>
      <c r="K427" s="7" t="e">
        <f t="shared" ca="1" si="43"/>
        <v>#VALUE!</v>
      </c>
      <c r="L427" s="7" t="e">
        <f t="shared" ca="1" si="44"/>
        <v>#VALUE!</v>
      </c>
      <c r="M427" s="7" t="e">
        <f t="shared" ca="1" si="45"/>
        <v>#VALUE!</v>
      </c>
      <c r="N427" s="7" t="e">
        <f t="shared" ca="1" si="46"/>
        <v>#VALUE!</v>
      </c>
      <c r="O427" s="7" t="e">
        <f t="shared" ca="1" si="47"/>
        <v>#VALUE!</v>
      </c>
      <c r="P427" s="7" t="e">
        <f t="shared" ca="1" si="48"/>
        <v>#VALUE!</v>
      </c>
    </row>
    <row r="428" spans="1:16" x14ac:dyDescent="0.25">
      <c r="A428" s="19" t="str">
        <f ca="1">IF(OR(INDIRECT("'" &amp; Master!$F$8 &amp; Master!$F$6 &amp; "'!A" &amp; ROW(A428))="", INDIRECT("'" &amp; Master!$F$8 &amp; Master!$F$6 &amp; "'!A" &amp; ROW(A428))=0), "", INDIRECT("'" &amp; Master!$F$8 &amp; Master!$F$6 &amp; "'!A" &amp; ROW(A428)))</f>
        <v/>
      </c>
      <c r="B428" s="4" t="e">
        <f ca="1">SplineInterp(INDIRECT("A" &amp; ROW()),INDIRECT("'" &amp;Master!$F$10&amp; "'!$A$2:$A$50"),INDIRECT("'" &amp;Master!$F$10&amp; "'!$B$2:$B$50"))</f>
        <v>#VALUE!</v>
      </c>
      <c r="C428" s="4" t="e">
        <f ca="1">SplineInterp(A428,INDIRECT("'" &amp;Master!$F$10&amp; "'!$A$2:$A$50"),INDIRECT("'" &amp;Master!$F$10&amp; "'!$C$2:$C$50"))</f>
        <v>#VALUE!</v>
      </c>
      <c r="D428" s="4" t="e">
        <f ca="1">SplineInterp(A428,INDIRECT("'" &amp;Master!$F$10&amp; "'!$A$2:$A$50"),INDIRECT("'" &amp;Master!$F$10&amp; "'!$D$2:$D$50"))</f>
        <v>#VALUE!</v>
      </c>
      <c r="E428" s="4" t="e">
        <f ca="1">SplineInterp(A428,INDIRECT("'" &amp;Master!$F$10&amp; "'!$A$2:$A$50"),INDIRECT("'" &amp;Master!$F$10&amp; "'!$E$2:$E$50"))</f>
        <v>#VALUE!</v>
      </c>
      <c r="F428" s="4" t="e">
        <f ca="1">SplineInterp(A428,INDIRECT("'" &amp;Master!$F$10&amp; "'!$A$2:$A$50"),INDIRECT("'" &amp;Master!$F$10&amp; "'!$F$2:$F$50"))</f>
        <v>#VALUE!</v>
      </c>
      <c r="G428" s="4" t="e">
        <f ca="1">SplineInterp(A428,INDIRECT("'" &amp;Master!$F$10&amp; "'!$A$2:$A$50"),INDIRECT("'" &amp;Master!$F$10&amp; "'!$G$2:$G$50"))</f>
        <v>#VALUE!</v>
      </c>
      <c r="H428" s="4" t="e">
        <f ca="1">SplineInterp(A428,INDIRECT("'" &amp;Master!$F$10&amp; "'!$A$2:$A$50"),INDIRECT("'" &amp;Master!$F$10&amp; "'!$H$2:$H$50"))</f>
        <v>#VALUE!</v>
      </c>
      <c r="I428" s="4" t="e">
        <f ca="1">IF(OR(INDIRECT("'" &amp; Master!$F$8 &amp; Master!$F$6 &amp; "'!B" &amp; ROW(B428))="", INDIRECT("'" &amp; Master!$F$8 &amp; Master!$F$6 &amp; "'!B" &amp; ROW(B428))=0), "", INDIRECT("'" &amp; Master!$F$8 &amp; Master!$F$6 &amp; "'!B" &amp; ROW(B428)))</f>
        <v>#VALUE!</v>
      </c>
      <c r="J428" s="9" t="e">
        <f t="shared" ca="1" si="42"/>
        <v>#VALUE!</v>
      </c>
      <c r="K428" s="7" t="e">
        <f t="shared" ca="1" si="43"/>
        <v>#VALUE!</v>
      </c>
      <c r="L428" s="7" t="e">
        <f t="shared" ca="1" si="44"/>
        <v>#VALUE!</v>
      </c>
      <c r="M428" s="7" t="e">
        <f t="shared" ca="1" si="45"/>
        <v>#VALUE!</v>
      </c>
      <c r="N428" s="7" t="e">
        <f t="shared" ca="1" si="46"/>
        <v>#VALUE!</v>
      </c>
      <c r="O428" s="7" t="e">
        <f t="shared" ca="1" si="47"/>
        <v>#VALUE!</v>
      </c>
      <c r="P428" s="7" t="e">
        <f t="shared" ca="1" si="48"/>
        <v>#VALUE!</v>
      </c>
    </row>
    <row r="429" spans="1:16" x14ac:dyDescent="0.25">
      <c r="A429" s="19" t="str">
        <f ca="1">IF(OR(INDIRECT("'" &amp; Master!$F$8 &amp; Master!$F$6 &amp; "'!A" &amp; ROW(A429))="", INDIRECT("'" &amp; Master!$F$8 &amp; Master!$F$6 &amp; "'!A" &amp; ROW(A429))=0), "", INDIRECT("'" &amp; Master!$F$8 &amp; Master!$F$6 &amp; "'!A" &amp; ROW(A429)))</f>
        <v/>
      </c>
      <c r="B429" s="4" t="e">
        <f ca="1">SplineInterp(INDIRECT("A" &amp; ROW()),INDIRECT("'" &amp;Master!$F$10&amp; "'!$A$2:$A$50"),INDIRECT("'" &amp;Master!$F$10&amp; "'!$B$2:$B$50"))</f>
        <v>#VALUE!</v>
      </c>
      <c r="C429" s="4" t="e">
        <f ca="1">SplineInterp(A429,INDIRECT("'" &amp;Master!$F$10&amp; "'!$A$2:$A$50"),INDIRECT("'" &amp;Master!$F$10&amp; "'!$C$2:$C$50"))</f>
        <v>#VALUE!</v>
      </c>
      <c r="D429" s="4" t="e">
        <f ca="1">SplineInterp(A429,INDIRECT("'" &amp;Master!$F$10&amp; "'!$A$2:$A$50"),INDIRECT("'" &amp;Master!$F$10&amp; "'!$D$2:$D$50"))</f>
        <v>#VALUE!</v>
      </c>
      <c r="E429" s="4" t="e">
        <f ca="1">SplineInterp(A429,INDIRECT("'" &amp;Master!$F$10&amp; "'!$A$2:$A$50"),INDIRECT("'" &amp;Master!$F$10&amp; "'!$E$2:$E$50"))</f>
        <v>#VALUE!</v>
      </c>
      <c r="F429" s="4" t="e">
        <f ca="1">SplineInterp(A429,INDIRECT("'" &amp;Master!$F$10&amp; "'!$A$2:$A$50"),INDIRECT("'" &amp;Master!$F$10&amp; "'!$F$2:$F$50"))</f>
        <v>#VALUE!</v>
      </c>
      <c r="G429" s="4" t="e">
        <f ca="1">SplineInterp(A429,INDIRECT("'" &amp;Master!$F$10&amp; "'!$A$2:$A$50"),INDIRECT("'" &amp;Master!$F$10&amp; "'!$G$2:$G$50"))</f>
        <v>#VALUE!</v>
      </c>
      <c r="H429" s="4" t="e">
        <f ca="1">SplineInterp(A429,INDIRECT("'" &amp;Master!$F$10&amp; "'!$A$2:$A$50"),INDIRECT("'" &amp;Master!$F$10&amp; "'!$H$2:$H$50"))</f>
        <v>#VALUE!</v>
      </c>
      <c r="I429" s="4" t="e">
        <f ca="1">IF(OR(INDIRECT("'" &amp; Master!$F$8 &amp; Master!$F$6 &amp; "'!B" &amp; ROW(B429))="", INDIRECT("'" &amp; Master!$F$8 &amp; Master!$F$6 &amp; "'!B" &amp; ROW(B429))=0), "", INDIRECT("'" &amp; Master!$F$8 &amp; Master!$F$6 &amp; "'!B" &amp; ROW(B429)))</f>
        <v>#VALUE!</v>
      </c>
      <c r="J429" s="9" t="e">
        <f t="shared" ca="1" si="42"/>
        <v>#VALUE!</v>
      </c>
      <c r="K429" s="7" t="e">
        <f t="shared" ca="1" si="43"/>
        <v>#VALUE!</v>
      </c>
      <c r="L429" s="7" t="e">
        <f t="shared" ca="1" si="44"/>
        <v>#VALUE!</v>
      </c>
      <c r="M429" s="7" t="e">
        <f t="shared" ca="1" si="45"/>
        <v>#VALUE!</v>
      </c>
      <c r="N429" s="7" t="e">
        <f t="shared" ca="1" si="46"/>
        <v>#VALUE!</v>
      </c>
      <c r="O429" s="7" t="e">
        <f t="shared" ca="1" si="47"/>
        <v>#VALUE!</v>
      </c>
      <c r="P429" s="7" t="e">
        <f t="shared" ca="1" si="48"/>
        <v>#VALUE!</v>
      </c>
    </row>
    <row r="430" spans="1:16" x14ac:dyDescent="0.25">
      <c r="A430" s="19" t="str">
        <f ca="1">IF(OR(INDIRECT("'" &amp; Master!$F$8 &amp; Master!$F$6 &amp; "'!A" &amp; ROW(A430))="", INDIRECT("'" &amp; Master!$F$8 &amp; Master!$F$6 &amp; "'!A" &amp; ROW(A430))=0), "", INDIRECT("'" &amp; Master!$F$8 &amp; Master!$F$6 &amp; "'!A" &amp; ROW(A430)))</f>
        <v/>
      </c>
      <c r="B430" s="4" t="e">
        <f ca="1">SplineInterp(INDIRECT("A" &amp; ROW()),INDIRECT("'" &amp;Master!$F$10&amp; "'!$A$2:$A$50"),INDIRECT("'" &amp;Master!$F$10&amp; "'!$B$2:$B$50"))</f>
        <v>#VALUE!</v>
      </c>
      <c r="C430" s="4" t="e">
        <f ca="1">SplineInterp(A430,INDIRECT("'" &amp;Master!$F$10&amp; "'!$A$2:$A$50"),INDIRECT("'" &amp;Master!$F$10&amp; "'!$C$2:$C$50"))</f>
        <v>#VALUE!</v>
      </c>
      <c r="D430" s="4" t="e">
        <f ca="1">SplineInterp(A430,INDIRECT("'" &amp;Master!$F$10&amp; "'!$A$2:$A$50"),INDIRECT("'" &amp;Master!$F$10&amp; "'!$D$2:$D$50"))</f>
        <v>#VALUE!</v>
      </c>
      <c r="E430" s="4" t="e">
        <f ca="1">SplineInterp(A430,INDIRECT("'" &amp;Master!$F$10&amp; "'!$A$2:$A$50"),INDIRECT("'" &amp;Master!$F$10&amp; "'!$E$2:$E$50"))</f>
        <v>#VALUE!</v>
      </c>
      <c r="F430" s="4" t="e">
        <f ca="1">SplineInterp(A430,INDIRECT("'" &amp;Master!$F$10&amp; "'!$A$2:$A$50"),INDIRECT("'" &amp;Master!$F$10&amp; "'!$F$2:$F$50"))</f>
        <v>#VALUE!</v>
      </c>
      <c r="G430" s="4" t="e">
        <f ca="1">SplineInterp(A430,INDIRECT("'" &amp;Master!$F$10&amp; "'!$A$2:$A$50"),INDIRECT("'" &amp;Master!$F$10&amp; "'!$G$2:$G$50"))</f>
        <v>#VALUE!</v>
      </c>
      <c r="H430" s="4" t="e">
        <f ca="1">SplineInterp(A430,INDIRECT("'" &amp;Master!$F$10&amp; "'!$A$2:$A$50"),INDIRECT("'" &amp;Master!$F$10&amp; "'!$H$2:$H$50"))</f>
        <v>#VALUE!</v>
      </c>
      <c r="I430" s="4" t="e">
        <f ca="1">IF(OR(INDIRECT("'" &amp; Master!$F$8 &amp; Master!$F$6 &amp; "'!B" &amp; ROW(B430))="", INDIRECT("'" &amp; Master!$F$8 &amp; Master!$F$6 &amp; "'!B" &amp; ROW(B430))=0), "", INDIRECT("'" &amp; Master!$F$8 &amp; Master!$F$6 &amp; "'!B" &amp; ROW(B430)))</f>
        <v>#VALUE!</v>
      </c>
      <c r="J430" s="9" t="e">
        <f t="shared" ca="1" si="42"/>
        <v>#VALUE!</v>
      </c>
      <c r="K430" s="7" t="e">
        <f t="shared" ca="1" si="43"/>
        <v>#VALUE!</v>
      </c>
      <c r="L430" s="7" t="e">
        <f t="shared" ca="1" si="44"/>
        <v>#VALUE!</v>
      </c>
      <c r="M430" s="7" t="e">
        <f t="shared" ca="1" si="45"/>
        <v>#VALUE!</v>
      </c>
      <c r="N430" s="7" t="e">
        <f t="shared" ca="1" si="46"/>
        <v>#VALUE!</v>
      </c>
      <c r="O430" s="7" t="e">
        <f t="shared" ca="1" si="47"/>
        <v>#VALUE!</v>
      </c>
      <c r="P430" s="7" t="e">
        <f t="shared" ca="1" si="48"/>
        <v>#VALUE!</v>
      </c>
    </row>
    <row r="431" spans="1:16" x14ac:dyDescent="0.25">
      <c r="A431" s="19" t="str">
        <f ca="1">IF(OR(INDIRECT("'" &amp; Master!$F$8 &amp; Master!$F$6 &amp; "'!A" &amp; ROW(A431))="", INDIRECT("'" &amp; Master!$F$8 &amp; Master!$F$6 &amp; "'!A" &amp; ROW(A431))=0), "", INDIRECT("'" &amp; Master!$F$8 &amp; Master!$F$6 &amp; "'!A" &amp; ROW(A431)))</f>
        <v/>
      </c>
      <c r="B431" s="4" t="e">
        <f ca="1">SplineInterp(INDIRECT("A" &amp; ROW()),INDIRECT("'" &amp;Master!$F$10&amp; "'!$A$2:$A$50"),INDIRECT("'" &amp;Master!$F$10&amp; "'!$B$2:$B$50"))</f>
        <v>#VALUE!</v>
      </c>
      <c r="C431" s="4" t="e">
        <f ca="1">SplineInterp(A431,INDIRECT("'" &amp;Master!$F$10&amp; "'!$A$2:$A$50"),INDIRECT("'" &amp;Master!$F$10&amp; "'!$C$2:$C$50"))</f>
        <v>#VALUE!</v>
      </c>
      <c r="D431" s="4" t="e">
        <f ca="1">SplineInterp(A431,INDIRECT("'" &amp;Master!$F$10&amp; "'!$A$2:$A$50"),INDIRECT("'" &amp;Master!$F$10&amp; "'!$D$2:$D$50"))</f>
        <v>#VALUE!</v>
      </c>
      <c r="E431" s="4" t="e">
        <f ca="1">SplineInterp(A431,INDIRECT("'" &amp;Master!$F$10&amp; "'!$A$2:$A$50"),INDIRECT("'" &amp;Master!$F$10&amp; "'!$E$2:$E$50"))</f>
        <v>#VALUE!</v>
      </c>
      <c r="F431" s="4" t="e">
        <f ca="1">SplineInterp(A431,INDIRECT("'" &amp;Master!$F$10&amp; "'!$A$2:$A$50"),INDIRECT("'" &amp;Master!$F$10&amp; "'!$F$2:$F$50"))</f>
        <v>#VALUE!</v>
      </c>
      <c r="G431" s="4" t="e">
        <f ca="1">SplineInterp(A431,INDIRECT("'" &amp;Master!$F$10&amp; "'!$A$2:$A$50"),INDIRECT("'" &amp;Master!$F$10&amp; "'!$G$2:$G$50"))</f>
        <v>#VALUE!</v>
      </c>
      <c r="H431" s="4" t="e">
        <f ca="1">SplineInterp(A431,INDIRECT("'" &amp;Master!$F$10&amp; "'!$A$2:$A$50"),INDIRECT("'" &amp;Master!$F$10&amp; "'!$H$2:$H$50"))</f>
        <v>#VALUE!</v>
      </c>
      <c r="I431" s="4" t="e">
        <f ca="1">IF(OR(INDIRECT("'" &amp; Master!$F$8 &amp; Master!$F$6 &amp; "'!B" &amp; ROW(B431))="", INDIRECT("'" &amp; Master!$F$8 &amp; Master!$F$6 &amp; "'!B" &amp; ROW(B431))=0), "", INDIRECT("'" &amp; Master!$F$8 &amp; Master!$F$6 &amp; "'!B" &amp; ROW(B431)))</f>
        <v>#VALUE!</v>
      </c>
      <c r="J431" s="9" t="e">
        <f t="shared" ca="1" si="42"/>
        <v>#VALUE!</v>
      </c>
      <c r="K431" s="7" t="e">
        <f t="shared" ca="1" si="43"/>
        <v>#VALUE!</v>
      </c>
      <c r="L431" s="7" t="e">
        <f t="shared" ca="1" si="44"/>
        <v>#VALUE!</v>
      </c>
      <c r="M431" s="7" t="e">
        <f t="shared" ca="1" si="45"/>
        <v>#VALUE!</v>
      </c>
      <c r="N431" s="7" t="e">
        <f t="shared" ca="1" si="46"/>
        <v>#VALUE!</v>
      </c>
      <c r="O431" s="7" t="e">
        <f t="shared" ca="1" si="47"/>
        <v>#VALUE!</v>
      </c>
      <c r="P431" s="7" t="e">
        <f t="shared" ca="1" si="48"/>
        <v>#VALUE!</v>
      </c>
    </row>
    <row r="432" spans="1:16" x14ac:dyDescent="0.25">
      <c r="A432" s="19" t="str">
        <f ca="1">IF(OR(INDIRECT("'" &amp; Master!$F$8 &amp; Master!$F$6 &amp; "'!A" &amp; ROW(A432))="", INDIRECT("'" &amp; Master!$F$8 &amp; Master!$F$6 &amp; "'!A" &amp; ROW(A432))=0), "", INDIRECT("'" &amp; Master!$F$8 &amp; Master!$F$6 &amp; "'!A" &amp; ROW(A432)))</f>
        <v/>
      </c>
      <c r="B432" s="4" t="e">
        <f ca="1">SplineInterp(INDIRECT("A" &amp; ROW()),INDIRECT("'" &amp;Master!$F$10&amp; "'!$A$2:$A$50"),INDIRECT("'" &amp;Master!$F$10&amp; "'!$B$2:$B$50"))</f>
        <v>#VALUE!</v>
      </c>
      <c r="C432" s="4" t="e">
        <f ca="1">SplineInterp(A432,INDIRECT("'" &amp;Master!$F$10&amp; "'!$A$2:$A$50"),INDIRECT("'" &amp;Master!$F$10&amp; "'!$C$2:$C$50"))</f>
        <v>#VALUE!</v>
      </c>
      <c r="D432" s="4" t="e">
        <f ca="1">SplineInterp(A432,INDIRECT("'" &amp;Master!$F$10&amp; "'!$A$2:$A$50"),INDIRECT("'" &amp;Master!$F$10&amp; "'!$D$2:$D$50"))</f>
        <v>#VALUE!</v>
      </c>
      <c r="E432" s="4" t="e">
        <f ca="1">SplineInterp(A432,INDIRECT("'" &amp;Master!$F$10&amp; "'!$A$2:$A$50"),INDIRECT("'" &amp;Master!$F$10&amp; "'!$E$2:$E$50"))</f>
        <v>#VALUE!</v>
      </c>
      <c r="F432" s="4" t="e">
        <f ca="1">SplineInterp(A432,INDIRECT("'" &amp;Master!$F$10&amp; "'!$A$2:$A$50"),INDIRECT("'" &amp;Master!$F$10&amp; "'!$F$2:$F$50"))</f>
        <v>#VALUE!</v>
      </c>
      <c r="G432" s="4" t="e">
        <f ca="1">SplineInterp(A432,INDIRECT("'" &amp;Master!$F$10&amp; "'!$A$2:$A$50"),INDIRECT("'" &amp;Master!$F$10&amp; "'!$G$2:$G$50"))</f>
        <v>#VALUE!</v>
      </c>
      <c r="H432" s="4" t="e">
        <f ca="1">SplineInterp(A432,INDIRECT("'" &amp;Master!$F$10&amp; "'!$A$2:$A$50"),INDIRECT("'" &amp;Master!$F$10&amp; "'!$H$2:$H$50"))</f>
        <v>#VALUE!</v>
      </c>
      <c r="I432" s="4" t="e">
        <f ca="1">IF(OR(INDIRECT("'" &amp; Master!$F$8 &amp; Master!$F$6 &amp; "'!B" &amp; ROW(B432))="", INDIRECT("'" &amp; Master!$F$8 &amp; Master!$F$6 &amp; "'!B" &amp; ROW(B432))=0), "", INDIRECT("'" &amp; Master!$F$8 &amp; Master!$F$6 &amp; "'!B" &amp; ROW(B432)))</f>
        <v>#VALUE!</v>
      </c>
      <c r="J432" s="9" t="e">
        <f t="shared" ca="1" si="42"/>
        <v>#VALUE!</v>
      </c>
      <c r="K432" s="7" t="e">
        <f t="shared" ca="1" si="43"/>
        <v>#VALUE!</v>
      </c>
      <c r="L432" s="7" t="e">
        <f t="shared" ca="1" si="44"/>
        <v>#VALUE!</v>
      </c>
      <c r="M432" s="7" t="e">
        <f t="shared" ca="1" si="45"/>
        <v>#VALUE!</v>
      </c>
      <c r="N432" s="7" t="e">
        <f t="shared" ca="1" si="46"/>
        <v>#VALUE!</v>
      </c>
      <c r="O432" s="7" t="e">
        <f t="shared" ca="1" si="47"/>
        <v>#VALUE!</v>
      </c>
      <c r="P432" s="7" t="e">
        <f t="shared" ca="1" si="48"/>
        <v>#VALUE!</v>
      </c>
    </row>
    <row r="433" spans="1:16" x14ac:dyDescent="0.25">
      <c r="A433" s="19" t="str">
        <f ca="1">IF(OR(INDIRECT("'" &amp; Master!$F$8 &amp; Master!$F$6 &amp; "'!A" &amp; ROW(A433))="", INDIRECT("'" &amp; Master!$F$8 &amp; Master!$F$6 &amp; "'!A" &amp; ROW(A433))=0), "", INDIRECT("'" &amp; Master!$F$8 &amp; Master!$F$6 &amp; "'!A" &amp; ROW(A433)))</f>
        <v/>
      </c>
      <c r="B433" s="4" t="e">
        <f ca="1">SplineInterp(INDIRECT("A" &amp; ROW()),INDIRECT("'" &amp;Master!$F$10&amp; "'!$A$2:$A$50"),INDIRECT("'" &amp;Master!$F$10&amp; "'!$B$2:$B$50"))</f>
        <v>#VALUE!</v>
      </c>
      <c r="C433" s="4" t="e">
        <f ca="1">SplineInterp(A433,INDIRECT("'" &amp;Master!$F$10&amp; "'!$A$2:$A$50"),INDIRECT("'" &amp;Master!$F$10&amp; "'!$C$2:$C$50"))</f>
        <v>#VALUE!</v>
      </c>
      <c r="D433" s="4" t="e">
        <f ca="1">SplineInterp(A433,INDIRECT("'" &amp;Master!$F$10&amp; "'!$A$2:$A$50"),INDIRECT("'" &amp;Master!$F$10&amp; "'!$D$2:$D$50"))</f>
        <v>#VALUE!</v>
      </c>
      <c r="E433" s="4" t="e">
        <f ca="1">SplineInterp(A433,INDIRECT("'" &amp;Master!$F$10&amp; "'!$A$2:$A$50"),INDIRECT("'" &amp;Master!$F$10&amp; "'!$E$2:$E$50"))</f>
        <v>#VALUE!</v>
      </c>
      <c r="F433" s="4" t="e">
        <f ca="1">SplineInterp(A433,INDIRECT("'" &amp;Master!$F$10&amp; "'!$A$2:$A$50"),INDIRECT("'" &amp;Master!$F$10&amp; "'!$F$2:$F$50"))</f>
        <v>#VALUE!</v>
      </c>
      <c r="G433" s="4" t="e">
        <f ca="1">SplineInterp(A433,INDIRECT("'" &amp;Master!$F$10&amp; "'!$A$2:$A$50"),INDIRECT("'" &amp;Master!$F$10&amp; "'!$G$2:$G$50"))</f>
        <v>#VALUE!</v>
      </c>
      <c r="H433" s="4" t="e">
        <f ca="1">SplineInterp(A433,INDIRECT("'" &amp;Master!$F$10&amp; "'!$A$2:$A$50"),INDIRECT("'" &amp;Master!$F$10&amp; "'!$H$2:$H$50"))</f>
        <v>#VALUE!</v>
      </c>
      <c r="I433" s="4" t="e">
        <f ca="1">IF(OR(INDIRECT("'" &amp; Master!$F$8 &amp; Master!$F$6 &amp; "'!B" &amp; ROW(B433))="", INDIRECT("'" &amp; Master!$F$8 &amp; Master!$F$6 &amp; "'!B" &amp; ROW(B433))=0), "", INDIRECT("'" &amp; Master!$F$8 &amp; Master!$F$6 &amp; "'!B" &amp; ROW(B433)))</f>
        <v>#VALUE!</v>
      </c>
      <c r="J433" s="9" t="e">
        <f t="shared" ca="1" si="42"/>
        <v>#VALUE!</v>
      </c>
      <c r="K433" s="7" t="e">
        <f t="shared" ca="1" si="43"/>
        <v>#VALUE!</v>
      </c>
      <c r="L433" s="7" t="e">
        <f t="shared" ca="1" si="44"/>
        <v>#VALUE!</v>
      </c>
      <c r="M433" s="7" t="e">
        <f t="shared" ca="1" si="45"/>
        <v>#VALUE!</v>
      </c>
      <c r="N433" s="7" t="e">
        <f t="shared" ca="1" si="46"/>
        <v>#VALUE!</v>
      </c>
      <c r="O433" s="7" t="e">
        <f t="shared" ca="1" si="47"/>
        <v>#VALUE!</v>
      </c>
      <c r="P433" s="7" t="e">
        <f t="shared" ca="1" si="48"/>
        <v>#VALUE!</v>
      </c>
    </row>
    <row r="434" spans="1:16" x14ac:dyDescent="0.25">
      <c r="A434" s="19" t="str">
        <f ca="1">IF(OR(INDIRECT("'" &amp; Master!$F$8 &amp; Master!$F$6 &amp; "'!A" &amp; ROW(A434))="", INDIRECT("'" &amp; Master!$F$8 &amp; Master!$F$6 &amp; "'!A" &amp; ROW(A434))=0), "", INDIRECT("'" &amp; Master!$F$8 &amp; Master!$F$6 &amp; "'!A" &amp; ROW(A434)))</f>
        <v/>
      </c>
      <c r="B434" s="4" t="e">
        <f ca="1">SplineInterp(INDIRECT("A" &amp; ROW()),INDIRECT("'" &amp;Master!$F$10&amp; "'!$A$2:$A$50"),INDIRECT("'" &amp;Master!$F$10&amp; "'!$B$2:$B$50"))</f>
        <v>#VALUE!</v>
      </c>
      <c r="C434" s="4" t="e">
        <f ca="1">SplineInterp(A434,INDIRECT("'" &amp;Master!$F$10&amp; "'!$A$2:$A$50"),INDIRECT("'" &amp;Master!$F$10&amp; "'!$C$2:$C$50"))</f>
        <v>#VALUE!</v>
      </c>
      <c r="D434" s="4" t="e">
        <f ca="1">SplineInterp(A434,INDIRECT("'" &amp;Master!$F$10&amp; "'!$A$2:$A$50"),INDIRECT("'" &amp;Master!$F$10&amp; "'!$D$2:$D$50"))</f>
        <v>#VALUE!</v>
      </c>
      <c r="E434" s="4" t="e">
        <f ca="1">SplineInterp(A434,INDIRECT("'" &amp;Master!$F$10&amp; "'!$A$2:$A$50"),INDIRECT("'" &amp;Master!$F$10&amp; "'!$E$2:$E$50"))</f>
        <v>#VALUE!</v>
      </c>
      <c r="F434" s="4" t="e">
        <f ca="1">SplineInterp(A434,INDIRECT("'" &amp;Master!$F$10&amp; "'!$A$2:$A$50"),INDIRECT("'" &amp;Master!$F$10&amp; "'!$F$2:$F$50"))</f>
        <v>#VALUE!</v>
      </c>
      <c r="G434" s="4" t="e">
        <f ca="1">SplineInterp(A434,INDIRECT("'" &amp;Master!$F$10&amp; "'!$A$2:$A$50"),INDIRECT("'" &amp;Master!$F$10&amp; "'!$G$2:$G$50"))</f>
        <v>#VALUE!</v>
      </c>
      <c r="H434" s="4" t="e">
        <f ca="1">SplineInterp(A434,INDIRECT("'" &amp;Master!$F$10&amp; "'!$A$2:$A$50"),INDIRECT("'" &amp;Master!$F$10&amp; "'!$H$2:$H$50"))</f>
        <v>#VALUE!</v>
      </c>
      <c r="I434" s="4" t="e">
        <f ca="1">IF(OR(INDIRECT("'" &amp; Master!$F$8 &amp; Master!$F$6 &amp; "'!B" &amp; ROW(B434))="", INDIRECT("'" &amp; Master!$F$8 &amp; Master!$F$6 &amp; "'!B" &amp; ROW(B434))=0), "", INDIRECT("'" &amp; Master!$F$8 &amp; Master!$F$6 &amp; "'!B" &amp; ROW(B434)))</f>
        <v>#VALUE!</v>
      </c>
      <c r="J434" s="9" t="e">
        <f t="shared" ca="1" si="42"/>
        <v>#VALUE!</v>
      </c>
      <c r="K434" s="7" t="e">
        <f t="shared" ca="1" si="43"/>
        <v>#VALUE!</v>
      </c>
      <c r="L434" s="7" t="e">
        <f t="shared" ca="1" si="44"/>
        <v>#VALUE!</v>
      </c>
      <c r="M434" s="7" t="e">
        <f t="shared" ca="1" si="45"/>
        <v>#VALUE!</v>
      </c>
      <c r="N434" s="7" t="e">
        <f t="shared" ca="1" si="46"/>
        <v>#VALUE!</v>
      </c>
      <c r="O434" s="7" t="e">
        <f t="shared" ca="1" si="47"/>
        <v>#VALUE!</v>
      </c>
      <c r="P434" s="7" t="e">
        <f t="shared" ca="1" si="48"/>
        <v>#VALUE!</v>
      </c>
    </row>
    <row r="435" spans="1:16" x14ac:dyDescent="0.25">
      <c r="A435" s="19" t="str">
        <f ca="1">IF(OR(INDIRECT("'" &amp; Master!$F$8 &amp; Master!$F$6 &amp; "'!A" &amp; ROW(A435))="", INDIRECT("'" &amp; Master!$F$8 &amp; Master!$F$6 &amp; "'!A" &amp; ROW(A435))=0), "", INDIRECT("'" &amp; Master!$F$8 &amp; Master!$F$6 &amp; "'!A" &amp; ROW(A435)))</f>
        <v/>
      </c>
      <c r="B435" s="4" t="e">
        <f ca="1">SplineInterp(INDIRECT("A" &amp; ROW()),INDIRECT("'" &amp;Master!$F$10&amp; "'!$A$2:$A$50"),INDIRECT("'" &amp;Master!$F$10&amp; "'!$B$2:$B$50"))</f>
        <v>#VALUE!</v>
      </c>
      <c r="C435" s="4" t="e">
        <f ca="1">SplineInterp(A435,INDIRECT("'" &amp;Master!$F$10&amp; "'!$A$2:$A$50"),INDIRECT("'" &amp;Master!$F$10&amp; "'!$C$2:$C$50"))</f>
        <v>#VALUE!</v>
      </c>
      <c r="D435" s="4" t="e">
        <f ca="1">SplineInterp(A435,INDIRECT("'" &amp;Master!$F$10&amp; "'!$A$2:$A$50"),INDIRECT("'" &amp;Master!$F$10&amp; "'!$D$2:$D$50"))</f>
        <v>#VALUE!</v>
      </c>
      <c r="E435" s="4" t="e">
        <f ca="1">SplineInterp(A435,INDIRECT("'" &amp;Master!$F$10&amp; "'!$A$2:$A$50"),INDIRECT("'" &amp;Master!$F$10&amp; "'!$E$2:$E$50"))</f>
        <v>#VALUE!</v>
      </c>
      <c r="F435" s="4" t="e">
        <f ca="1">SplineInterp(A435,INDIRECT("'" &amp;Master!$F$10&amp; "'!$A$2:$A$50"),INDIRECT("'" &amp;Master!$F$10&amp; "'!$F$2:$F$50"))</f>
        <v>#VALUE!</v>
      </c>
      <c r="G435" s="4" t="e">
        <f ca="1">SplineInterp(A435,INDIRECT("'" &amp;Master!$F$10&amp; "'!$A$2:$A$50"),INDIRECT("'" &amp;Master!$F$10&amp; "'!$G$2:$G$50"))</f>
        <v>#VALUE!</v>
      </c>
      <c r="H435" s="4" t="e">
        <f ca="1">SplineInterp(A435,INDIRECT("'" &amp;Master!$F$10&amp; "'!$A$2:$A$50"),INDIRECT("'" &amp;Master!$F$10&amp; "'!$H$2:$H$50"))</f>
        <v>#VALUE!</v>
      </c>
      <c r="I435" s="4" t="e">
        <f ca="1">IF(OR(INDIRECT("'" &amp; Master!$F$8 &amp; Master!$F$6 &amp; "'!B" &amp; ROW(B435))="", INDIRECT("'" &amp; Master!$F$8 &amp; Master!$F$6 &amp; "'!B" &amp; ROW(B435))=0), "", INDIRECT("'" &amp; Master!$F$8 &amp; Master!$F$6 &amp; "'!B" &amp; ROW(B435)))</f>
        <v>#VALUE!</v>
      </c>
      <c r="J435" s="9" t="e">
        <f t="shared" ca="1" si="42"/>
        <v>#VALUE!</v>
      </c>
      <c r="K435" s="7" t="e">
        <f t="shared" ca="1" si="43"/>
        <v>#VALUE!</v>
      </c>
      <c r="L435" s="7" t="e">
        <f t="shared" ca="1" si="44"/>
        <v>#VALUE!</v>
      </c>
      <c r="M435" s="7" t="e">
        <f t="shared" ca="1" si="45"/>
        <v>#VALUE!</v>
      </c>
      <c r="N435" s="7" t="e">
        <f t="shared" ca="1" si="46"/>
        <v>#VALUE!</v>
      </c>
      <c r="O435" s="7" t="e">
        <f t="shared" ca="1" si="47"/>
        <v>#VALUE!</v>
      </c>
      <c r="P435" s="7" t="e">
        <f t="shared" ca="1" si="48"/>
        <v>#VALUE!</v>
      </c>
    </row>
    <row r="436" spans="1:16" x14ac:dyDescent="0.25">
      <c r="A436" s="19" t="str">
        <f ca="1">IF(OR(INDIRECT("'" &amp; Master!$F$8 &amp; Master!$F$6 &amp; "'!A" &amp; ROW(A436))="", INDIRECT("'" &amp; Master!$F$8 &amp; Master!$F$6 &amp; "'!A" &amp; ROW(A436))=0), "", INDIRECT("'" &amp; Master!$F$8 &amp; Master!$F$6 &amp; "'!A" &amp; ROW(A436)))</f>
        <v/>
      </c>
      <c r="B436" s="4" t="e">
        <f ca="1">SplineInterp(INDIRECT("A" &amp; ROW()),INDIRECT("'" &amp;Master!$F$10&amp; "'!$A$2:$A$50"),INDIRECT("'" &amp;Master!$F$10&amp; "'!$B$2:$B$50"))</f>
        <v>#VALUE!</v>
      </c>
      <c r="C436" s="4" t="e">
        <f ca="1">SplineInterp(A436,INDIRECT("'" &amp;Master!$F$10&amp; "'!$A$2:$A$50"),INDIRECT("'" &amp;Master!$F$10&amp; "'!$C$2:$C$50"))</f>
        <v>#VALUE!</v>
      </c>
      <c r="D436" s="4" t="e">
        <f ca="1">SplineInterp(A436,INDIRECT("'" &amp;Master!$F$10&amp; "'!$A$2:$A$50"),INDIRECT("'" &amp;Master!$F$10&amp; "'!$D$2:$D$50"))</f>
        <v>#VALUE!</v>
      </c>
      <c r="E436" s="4" t="e">
        <f ca="1">SplineInterp(A436,INDIRECT("'" &amp;Master!$F$10&amp; "'!$A$2:$A$50"),INDIRECT("'" &amp;Master!$F$10&amp; "'!$E$2:$E$50"))</f>
        <v>#VALUE!</v>
      </c>
      <c r="F436" s="4" t="e">
        <f ca="1">SplineInterp(A436,INDIRECT("'" &amp;Master!$F$10&amp; "'!$A$2:$A$50"),INDIRECT("'" &amp;Master!$F$10&amp; "'!$F$2:$F$50"))</f>
        <v>#VALUE!</v>
      </c>
      <c r="G436" s="4" t="e">
        <f ca="1">SplineInterp(A436,INDIRECT("'" &amp;Master!$F$10&amp; "'!$A$2:$A$50"),INDIRECT("'" &amp;Master!$F$10&amp; "'!$G$2:$G$50"))</f>
        <v>#VALUE!</v>
      </c>
      <c r="H436" s="4" t="e">
        <f ca="1">SplineInterp(A436,INDIRECT("'" &amp;Master!$F$10&amp; "'!$A$2:$A$50"),INDIRECT("'" &amp;Master!$F$10&amp; "'!$H$2:$H$50"))</f>
        <v>#VALUE!</v>
      </c>
      <c r="I436" s="4" t="e">
        <f ca="1">IF(OR(INDIRECT("'" &amp; Master!$F$8 &amp; Master!$F$6 &amp; "'!B" &amp; ROW(B436))="", INDIRECT("'" &amp; Master!$F$8 &amp; Master!$F$6 &amp; "'!B" &amp; ROW(B436))=0), "", INDIRECT("'" &amp; Master!$F$8 &amp; Master!$F$6 &amp; "'!B" &amp; ROW(B436)))</f>
        <v>#VALUE!</v>
      </c>
      <c r="J436" s="9" t="e">
        <f t="shared" ca="1" si="42"/>
        <v>#VALUE!</v>
      </c>
      <c r="K436" s="7" t="e">
        <f t="shared" ca="1" si="43"/>
        <v>#VALUE!</v>
      </c>
      <c r="L436" s="7" t="e">
        <f t="shared" ca="1" si="44"/>
        <v>#VALUE!</v>
      </c>
      <c r="M436" s="7" t="e">
        <f t="shared" ca="1" si="45"/>
        <v>#VALUE!</v>
      </c>
      <c r="N436" s="7" t="e">
        <f t="shared" ca="1" si="46"/>
        <v>#VALUE!</v>
      </c>
      <c r="O436" s="7" t="e">
        <f t="shared" ca="1" si="47"/>
        <v>#VALUE!</v>
      </c>
      <c r="P436" s="7" t="e">
        <f t="shared" ca="1" si="48"/>
        <v>#VALUE!</v>
      </c>
    </row>
    <row r="437" spans="1:16" x14ac:dyDescent="0.25">
      <c r="A437" s="19" t="str">
        <f ca="1">IF(OR(INDIRECT("'" &amp; Master!$F$8 &amp; Master!$F$6 &amp; "'!A" &amp; ROW(A437))="", INDIRECT("'" &amp; Master!$F$8 &amp; Master!$F$6 &amp; "'!A" &amp; ROW(A437))=0), "", INDIRECT("'" &amp; Master!$F$8 &amp; Master!$F$6 &amp; "'!A" &amp; ROW(A437)))</f>
        <v/>
      </c>
      <c r="B437" s="4" t="e">
        <f ca="1">SplineInterp(INDIRECT("A" &amp; ROW()),INDIRECT("'" &amp;Master!$F$10&amp; "'!$A$2:$A$50"),INDIRECT("'" &amp;Master!$F$10&amp; "'!$B$2:$B$50"))</f>
        <v>#VALUE!</v>
      </c>
      <c r="C437" s="4" t="e">
        <f ca="1">SplineInterp(A437,INDIRECT("'" &amp;Master!$F$10&amp; "'!$A$2:$A$50"),INDIRECT("'" &amp;Master!$F$10&amp; "'!$C$2:$C$50"))</f>
        <v>#VALUE!</v>
      </c>
      <c r="D437" s="4" t="e">
        <f ca="1">SplineInterp(A437,INDIRECT("'" &amp;Master!$F$10&amp; "'!$A$2:$A$50"),INDIRECT("'" &amp;Master!$F$10&amp; "'!$D$2:$D$50"))</f>
        <v>#VALUE!</v>
      </c>
      <c r="E437" s="4" t="e">
        <f ca="1">SplineInterp(A437,INDIRECT("'" &amp;Master!$F$10&amp; "'!$A$2:$A$50"),INDIRECT("'" &amp;Master!$F$10&amp; "'!$E$2:$E$50"))</f>
        <v>#VALUE!</v>
      </c>
      <c r="F437" s="4" t="e">
        <f ca="1">SplineInterp(A437,INDIRECT("'" &amp;Master!$F$10&amp; "'!$A$2:$A$50"),INDIRECT("'" &amp;Master!$F$10&amp; "'!$F$2:$F$50"))</f>
        <v>#VALUE!</v>
      </c>
      <c r="G437" s="4" t="e">
        <f ca="1">SplineInterp(A437,INDIRECT("'" &amp;Master!$F$10&amp; "'!$A$2:$A$50"),INDIRECT("'" &amp;Master!$F$10&amp; "'!$G$2:$G$50"))</f>
        <v>#VALUE!</v>
      </c>
      <c r="H437" s="4" t="e">
        <f ca="1">SplineInterp(A437,INDIRECT("'" &amp;Master!$F$10&amp; "'!$A$2:$A$50"),INDIRECT("'" &amp;Master!$F$10&amp; "'!$H$2:$H$50"))</f>
        <v>#VALUE!</v>
      </c>
      <c r="I437" s="4" t="e">
        <f ca="1">IF(OR(INDIRECT("'" &amp; Master!$F$8 &amp; Master!$F$6 &amp; "'!B" &amp; ROW(B437))="", INDIRECT("'" &amp; Master!$F$8 &amp; Master!$F$6 &amp; "'!B" &amp; ROW(B437))=0), "", INDIRECT("'" &amp; Master!$F$8 &amp; Master!$F$6 &amp; "'!B" &amp; ROW(B437)))</f>
        <v>#VALUE!</v>
      </c>
      <c r="J437" s="9" t="e">
        <f t="shared" ca="1" si="42"/>
        <v>#VALUE!</v>
      </c>
      <c r="K437" s="7" t="e">
        <f t="shared" ca="1" si="43"/>
        <v>#VALUE!</v>
      </c>
      <c r="L437" s="7" t="e">
        <f t="shared" ca="1" si="44"/>
        <v>#VALUE!</v>
      </c>
      <c r="M437" s="7" t="e">
        <f t="shared" ca="1" si="45"/>
        <v>#VALUE!</v>
      </c>
      <c r="N437" s="7" t="e">
        <f t="shared" ca="1" si="46"/>
        <v>#VALUE!</v>
      </c>
      <c r="O437" s="7" t="e">
        <f t="shared" ca="1" si="47"/>
        <v>#VALUE!</v>
      </c>
      <c r="P437" s="7" t="e">
        <f t="shared" ca="1" si="48"/>
        <v>#VALUE!</v>
      </c>
    </row>
    <row r="438" spans="1:16" x14ac:dyDescent="0.25">
      <c r="A438" s="19" t="str">
        <f ca="1">IF(OR(INDIRECT("'" &amp; Master!$F$8 &amp; Master!$F$6 &amp; "'!A" &amp; ROW(A438))="", INDIRECT("'" &amp; Master!$F$8 &amp; Master!$F$6 &amp; "'!A" &amp; ROW(A438))=0), "", INDIRECT("'" &amp; Master!$F$8 &amp; Master!$F$6 &amp; "'!A" &amp; ROW(A438)))</f>
        <v/>
      </c>
      <c r="B438" s="4" t="e">
        <f ca="1">SplineInterp(INDIRECT("A" &amp; ROW()),INDIRECT("'" &amp;Master!$F$10&amp; "'!$A$2:$A$50"),INDIRECT("'" &amp;Master!$F$10&amp; "'!$B$2:$B$50"))</f>
        <v>#VALUE!</v>
      </c>
      <c r="C438" s="4" t="e">
        <f ca="1">SplineInterp(A438,INDIRECT("'" &amp;Master!$F$10&amp; "'!$A$2:$A$50"),INDIRECT("'" &amp;Master!$F$10&amp; "'!$C$2:$C$50"))</f>
        <v>#VALUE!</v>
      </c>
      <c r="D438" s="4" t="e">
        <f ca="1">SplineInterp(A438,INDIRECT("'" &amp;Master!$F$10&amp; "'!$A$2:$A$50"),INDIRECT("'" &amp;Master!$F$10&amp; "'!$D$2:$D$50"))</f>
        <v>#VALUE!</v>
      </c>
      <c r="E438" s="4" t="e">
        <f ca="1">SplineInterp(A438,INDIRECT("'" &amp;Master!$F$10&amp; "'!$A$2:$A$50"),INDIRECT("'" &amp;Master!$F$10&amp; "'!$E$2:$E$50"))</f>
        <v>#VALUE!</v>
      </c>
      <c r="F438" s="4" t="e">
        <f ca="1">SplineInterp(A438,INDIRECT("'" &amp;Master!$F$10&amp; "'!$A$2:$A$50"),INDIRECT("'" &amp;Master!$F$10&amp; "'!$F$2:$F$50"))</f>
        <v>#VALUE!</v>
      </c>
      <c r="G438" s="4" t="e">
        <f ca="1">SplineInterp(A438,INDIRECT("'" &amp;Master!$F$10&amp; "'!$A$2:$A$50"),INDIRECT("'" &amp;Master!$F$10&amp; "'!$G$2:$G$50"))</f>
        <v>#VALUE!</v>
      </c>
      <c r="H438" s="4" t="e">
        <f ca="1">SplineInterp(A438,INDIRECT("'" &amp;Master!$F$10&amp; "'!$A$2:$A$50"),INDIRECT("'" &amp;Master!$F$10&amp; "'!$H$2:$H$50"))</f>
        <v>#VALUE!</v>
      </c>
      <c r="I438" s="4" t="e">
        <f ca="1">IF(OR(INDIRECT("'" &amp; Master!$F$8 &amp; Master!$F$6 &amp; "'!B" &amp; ROW(B438))="", INDIRECT("'" &amp; Master!$F$8 &amp; Master!$F$6 &amp; "'!B" &amp; ROW(B438))=0), "", INDIRECT("'" &amp; Master!$F$8 &amp; Master!$F$6 &amp; "'!B" &amp; ROW(B438)))</f>
        <v>#VALUE!</v>
      </c>
      <c r="J438" s="9" t="e">
        <f t="shared" ca="1" si="42"/>
        <v>#VALUE!</v>
      </c>
      <c r="K438" s="7" t="e">
        <f t="shared" ca="1" si="43"/>
        <v>#VALUE!</v>
      </c>
      <c r="L438" s="7" t="e">
        <f t="shared" ca="1" si="44"/>
        <v>#VALUE!</v>
      </c>
      <c r="M438" s="7" t="e">
        <f t="shared" ca="1" si="45"/>
        <v>#VALUE!</v>
      </c>
      <c r="N438" s="7" t="e">
        <f t="shared" ca="1" si="46"/>
        <v>#VALUE!</v>
      </c>
      <c r="O438" s="7" t="e">
        <f t="shared" ca="1" si="47"/>
        <v>#VALUE!</v>
      </c>
      <c r="P438" s="7" t="e">
        <f t="shared" ca="1" si="48"/>
        <v>#VALUE!</v>
      </c>
    </row>
    <row r="439" spans="1:16" x14ac:dyDescent="0.25">
      <c r="A439" s="19" t="str">
        <f ca="1">IF(OR(INDIRECT("'" &amp; Master!$F$8 &amp; Master!$F$6 &amp; "'!A" &amp; ROW(A439))="", INDIRECT("'" &amp; Master!$F$8 &amp; Master!$F$6 &amp; "'!A" &amp; ROW(A439))=0), "", INDIRECT("'" &amp; Master!$F$8 &amp; Master!$F$6 &amp; "'!A" &amp; ROW(A439)))</f>
        <v/>
      </c>
      <c r="B439" s="4" t="e">
        <f ca="1">SplineInterp(INDIRECT("A" &amp; ROW()),INDIRECT("'" &amp;Master!$F$10&amp; "'!$A$2:$A$50"),INDIRECT("'" &amp;Master!$F$10&amp; "'!$B$2:$B$50"))</f>
        <v>#VALUE!</v>
      </c>
      <c r="C439" s="4" t="e">
        <f ca="1">SplineInterp(A439,INDIRECT("'" &amp;Master!$F$10&amp; "'!$A$2:$A$50"),INDIRECT("'" &amp;Master!$F$10&amp; "'!$C$2:$C$50"))</f>
        <v>#VALUE!</v>
      </c>
      <c r="D439" s="4" t="e">
        <f ca="1">SplineInterp(A439,INDIRECT("'" &amp;Master!$F$10&amp; "'!$A$2:$A$50"),INDIRECT("'" &amp;Master!$F$10&amp; "'!$D$2:$D$50"))</f>
        <v>#VALUE!</v>
      </c>
      <c r="E439" s="4" t="e">
        <f ca="1">SplineInterp(A439,INDIRECT("'" &amp;Master!$F$10&amp; "'!$A$2:$A$50"),INDIRECT("'" &amp;Master!$F$10&amp; "'!$E$2:$E$50"))</f>
        <v>#VALUE!</v>
      </c>
      <c r="F439" s="4" t="e">
        <f ca="1">SplineInterp(A439,INDIRECT("'" &amp;Master!$F$10&amp; "'!$A$2:$A$50"),INDIRECT("'" &amp;Master!$F$10&amp; "'!$F$2:$F$50"))</f>
        <v>#VALUE!</v>
      </c>
      <c r="G439" s="4" t="e">
        <f ca="1">SplineInterp(A439,INDIRECT("'" &amp;Master!$F$10&amp; "'!$A$2:$A$50"),INDIRECT("'" &amp;Master!$F$10&amp; "'!$G$2:$G$50"))</f>
        <v>#VALUE!</v>
      </c>
      <c r="H439" s="4" t="e">
        <f ca="1">SplineInterp(A439,INDIRECT("'" &amp;Master!$F$10&amp; "'!$A$2:$A$50"),INDIRECT("'" &amp;Master!$F$10&amp; "'!$H$2:$H$50"))</f>
        <v>#VALUE!</v>
      </c>
      <c r="I439" s="4" t="e">
        <f ca="1">IF(OR(INDIRECT("'" &amp; Master!$F$8 &amp; Master!$F$6 &amp; "'!B" &amp; ROW(B439))="", INDIRECT("'" &amp; Master!$F$8 &amp; Master!$F$6 &amp; "'!B" &amp; ROW(B439))=0), "", INDIRECT("'" &amp; Master!$F$8 &amp; Master!$F$6 &amp; "'!B" &amp; ROW(B439)))</f>
        <v>#VALUE!</v>
      </c>
      <c r="J439" s="9" t="e">
        <f t="shared" ca="1" si="42"/>
        <v>#VALUE!</v>
      </c>
      <c r="K439" s="7" t="e">
        <f t="shared" ca="1" si="43"/>
        <v>#VALUE!</v>
      </c>
      <c r="L439" s="7" t="e">
        <f t="shared" ca="1" si="44"/>
        <v>#VALUE!</v>
      </c>
      <c r="M439" s="7" t="e">
        <f t="shared" ca="1" si="45"/>
        <v>#VALUE!</v>
      </c>
      <c r="N439" s="7" t="e">
        <f t="shared" ca="1" si="46"/>
        <v>#VALUE!</v>
      </c>
      <c r="O439" s="7" t="e">
        <f t="shared" ca="1" si="47"/>
        <v>#VALUE!</v>
      </c>
      <c r="P439" s="7" t="e">
        <f t="shared" ca="1" si="48"/>
        <v>#VALUE!</v>
      </c>
    </row>
    <row r="440" spans="1:16" x14ac:dyDescent="0.25">
      <c r="A440" s="19" t="str">
        <f ca="1">IF(OR(INDIRECT("'" &amp; Master!$F$8 &amp; Master!$F$6 &amp; "'!A" &amp; ROW(A440))="", INDIRECT("'" &amp; Master!$F$8 &amp; Master!$F$6 &amp; "'!A" &amp; ROW(A440))=0), "", INDIRECT("'" &amp; Master!$F$8 &amp; Master!$F$6 &amp; "'!A" &amp; ROW(A440)))</f>
        <v/>
      </c>
      <c r="B440" s="4" t="e">
        <f ca="1">SplineInterp(INDIRECT("A" &amp; ROW()),INDIRECT("'" &amp;Master!$F$10&amp; "'!$A$2:$A$50"),INDIRECT("'" &amp;Master!$F$10&amp; "'!$B$2:$B$50"))</f>
        <v>#VALUE!</v>
      </c>
      <c r="C440" s="4" t="e">
        <f ca="1">SplineInterp(A440,INDIRECT("'" &amp;Master!$F$10&amp; "'!$A$2:$A$50"),INDIRECT("'" &amp;Master!$F$10&amp; "'!$C$2:$C$50"))</f>
        <v>#VALUE!</v>
      </c>
      <c r="D440" s="4" t="e">
        <f ca="1">SplineInterp(A440,INDIRECT("'" &amp;Master!$F$10&amp; "'!$A$2:$A$50"),INDIRECT("'" &amp;Master!$F$10&amp; "'!$D$2:$D$50"))</f>
        <v>#VALUE!</v>
      </c>
      <c r="E440" s="4" t="e">
        <f ca="1">SplineInterp(A440,INDIRECT("'" &amp;Master!$F$10&amp; "'!$A$2:$A$50"),INDIRECT("'" &amp;Master!$F$10&amp; "'!$E$2:$E$50"))</f>
        <v>#VALUE!</v>
      </c>
      <c r="F440" s="4" t="e">
        <f ca="1">SplineInterp(A440,INDIRECT("'" &amp;Master!$F$10&amp; "'!$A$2:$A$50"),INDIRECT("'" &amp;Master!$F$10&amp; "'!$F$2:$F$50"))</f>
        <v>#VALUE!</v>
      </c>
      <c r="G440" s="4" t="e">
        <f ca="1">SplineInterp(A440,INDIRECT("'" &amp;Master!$F$10&amp; "'!$A$2:$A$50"),INDIRECT("'" &amp;Master!$F$10&amp; "'!$G$2:$G$50"))</f>
        <v>#VALUE!</v>
      </c>
      <c r="H440" s="4" t="e">
        <f ca="1">SplineInterp(A440,INDIRECT("'" &amp;Master!$F$10&amp; "'!$A$2:$A$50"),INDIRECT("'" &amp;Master!$F$10&amp; "'!$H$2:$H$50"))</f>
        <v>#VALUE!</v>
      </c>
      <c r="I440" s="4" t="e">
        <f ca="1">IF(OR(INDIRECT("'" &amp; Master!$F$8 &amp; Master!$F$6 &amp; "'!B" &amp; ROW(B440))="", INDIRECT("'" &amp; Master!$F$8 &amp; Master!$F$6 &amp; "'!B" &amp; ROW(B440))=0), "", INDIRECT("'" &amp; Master!$F$8 &amp; Master!$F$6 &amp; "'!B" &amp; ROW(B440)))</f>
        <v>#VALUE!</v>
      </c>
      <c r="J440" s="9" t="e">
        <f t="shared" ca="1" si="42"/>
        <v>#VALUE!</v>
      </c>
      <c r="K440" s="7" t="e">
        <f t="shared" ca="1" si="43"/>
        <v>#VALUE!</v>
      </c>
      <c r="L440" s="7" t="e">
        <f t="shared" ca="1" si="44"/>
        <v>#VALUE!</v>
      </c>
      <c r="M440" s="7" t="e">
        <f t="shared" ca="1" si="45"/>
        <v>#VALUE!</v>
      </c>
      <c r="N440" s="7" t="e">
        <f t="shared" ca="1" si="46"/>
        <v>#VALUE!</v>
      </c>
      <c r="O440" s="7" t="e">
        <f t="shared" ca="1" si="47"/>
        <v>#VALUE!</v>
      </c>
      <c r="P440" s="7" t="e">
        <f t="shared" ca="1" si="48"/>
        <v>#VALUE!</v>
      </c>
    </row>
    <row r="441" spans="1:16" x14ac:dyDescent="0.25">
      <c r="A441" s="19" t="str">
        <f ca="1">IF(OR(INDIRECT("'" &amp; Master!$F$8 &amp; Master!$F$6 &amp; "'!A" &amp; ROW(A441))="", INDIRECT("'" &amp; Master!$F$8 &amp; Master!$F$6 &amp; "'!A" &amp; ROW(A441))=0), "", INDIRECT("'" &amp; Master!$F$8 &amp; Master!$F$6 &amp; "'!A" &amp; ROW(A441)))</f>
        <v/>
      </c>
      <c r="B441" s="4" t="e">
        <f ca="1">SplineInterp(INDIRECT("A" &amp; ROW()),INDIRECT("'" &amp;Master!$F$10&amp; "'!$A$2:$A$50"),INDIRECT("'" &amp;Master!$F$10&amp; "'!$B$2:$B$50"))</f>
        <v>#VALUE!</v>
      </c>
      <c r="C441" s="4" t="e">
        <f ca="1">SplineInterp(A441,INDIRECT("'" &amp;Master!$F$10&amp; "'!$A$2:$A$50"),INDIRECT("'" &amp;Master!$F$10&amp; "'!$C$2:$C$50"))</f>
        <v>#VALUE!</v>
      </c>
      <c r="D441" s="4" t="e">
        <f ca="1">SplineInterp(A441,INDIRECT("'" &amp;Master!$F$10&amp; "'!$A$2:$A$50"),INDIRECT("'" &amp;Master!$F$10&amp; "'!$D$2:$D$50"))</f>
        <v>#VALUE!</v>
      </c>
      <c r="E441" s="4" t="e">
        <f ca="1">SplineInterp(A441,INDIRECT("'" &amp;Master!$F$10&amp; "'!$A$2:$A$50"),INDIRECT("'" &amp;Master!$F$10&amp; "'!$E$2:$E$50"))</f>
        <v>#VALUE!</v>
      </c>
      <c r="F441" s="4" t="e">
        <f ca="1">SplineInterp(A441,INDIRECT("'" &amp;Master!$F$10&amp; "'!$A$2:$A$50"),INDIRECT("'" &amp;Master!$F$10&amp; "'!$F$2:$F$50"))</f>
        <v>#VALUE!</v>
      </c>
      <c r="G441" s="4" t="e">
        <f ca="1">SplineInterp(A441,INDIRECT("'" &amp;Master!$F$10&amp; "'!$A$2:$A$50"),INDIRECT("'" &amp;Master!$F$10&amp; "'!$G$2:$G$50"))</f>
        <v>#VALUE!</v>
      </c>
      <c r="H441" s="4" t="e">
        <f ca="1">SplineInterp(A441,INDIRECT("'" &amp;Master!$F$10&amp; "'!$A$2:$A$50"),INDIRECT("'" &amp;Master!$F$10&amp; "'!$H$2:$H$50"))</f>
        <v>#VALUE!</v>
      </c>
      <c r="I441" s="4" t="e">
        <f ca="1">IF(OR(INDIRECT("'" &amp; Master!$F$8 &amp; Master!$F$6 &amp; "'!B" &amp; ROW(B441))="", INDIRECT("'" &amp; Master!$F$8 &amp; Master!$F$6 &amp; "'!B" &amp; ROW(B441))=0), "", INDIRECT("'" &amp; Master!$F$8 &amp; Master!$F$6 &amp; "'!B" &amp; ROW(B441)))</f>
        <v>#VALUE!</v>
      </c>
      <c r="J441" s="9" t="e">
        <f t="shared" ca="1" si="42"/>
        <v>#VALUE!</v>
      </c>
      <c r="K441" s="7" t="e">
        <f t="shared" ca="1" si="43"/>
        <v>#VALUE!</v>
      </c>
      <c r="L441" s="7" t="e">
        <f t="shared" ca="1" si="44"/>
        <v>#VALUE!</v>
      </c>
      <c r="M441" s="7" t="e">
        <f t="shared" ca="1" si="45"/>
        <v>#VALUE!</v>
      </c>
      <c r="N441" s="7" t="e">
        <f t="shared" ca="1" si="46"/>
        <v>#VALUE!</v>
      </c>
      <c r="O441" s="7" t="e">
        <f t="shared" ca="1" si="47"/>
        <v>#VALUE!</v>
      </c>
      <c r="P441" s="7" t="e">
        <f t="shared" ca="1" si="48"/>
        <v>#VALUE!</v>
      </c>
    </row>
    <row r="442" spans="1:16" x14ac:dyDescent="0.25">
      <c r="A442" s="19" t="str">
        <f ca="1">IF(OR(INDIRECT("'" &amp; Master!$F$8 &amp; Master!$F$6 &amp; "'!A" &amp; ROW(A442))="", INDIRECT("'" &amp; Master!$F$8 &amp; Master!$F$6 &amp; "'!A" &amp; ROW(A442))=0), "", INDIRECT("'" &amp; Master!$F$8 &amp; Master!$F$6 &amp; "'!A" &amp; ROW(A442)))</f>
        <v/>
      </c>
      <c r="B442" s="4" t="e">
        <f ca="1">SplineInterp(INDIRECT("A" &amp; ROW()),INDIRECT("'" &amp;Master!$F$10&amp; "'!$A$2:$A$50"),INDIRECT("'" &amp;Master!$F$10&amp; "'!$B$2:$B$50"))</f>
        <v>#VALUE!</v>
      </c>
      <c r="C442" s="4" t="e">
        <f ca="1">SplineInterp(A442,INDIRECT("'" &amp;Master!$F$10&amp; "'!$A$2:$A$50"),INDIRECT("'" &amp;Master!$F$10&amp; "'!$C$2:$C$50"))</f>
        <v>#VALUE!</v>
      </c>
      <c r="D442" s="4" t="e">
        <f ca="1">SplineInterp(A442,INDIRECT("'" &amp;Master!$F$10&amp; "'!$A$2:$A$50"),INDIRECT("'" &amp;Master!$F$10&amp; "'!$D$2:$D$50"))</f>
        <v>#VALUE!</v>
      </c>
      <c r="E442" s="4" t="e">
        <f ca="1">SplineInterp(A442,INDIRECT("'" &amp;Master!$F$10&amp; "'!$A$2:$A$50"),INDIRECT("'" &amp;Master!$F$10&amp; "'!$E$2:$E$50"))</f>
        <v>#VALUE!</v>
      </c>
      <c r="F442" s="4" t="e">
        <f ca="1">SplineInterp(A442,INDIRECT("'" &amp;Master!$F$10&amp; "'!$A$2:$A$50"),INDIRECT("'" &amp;Master!$F$10&amp; "'!$F$2:$F$50"))</f>
        <v>#VALUE!</v>
      </c>
      <c r="G442" s="4" t="e">
        <f ca="1">SplineInterp(A442,INDIRECT("'" &amp;Master!$F$10&amp; "'!$A$2:$A$50"),INDIRECT("'" &amp;Master!$F$10&amp; "'!$G$2:$G$50"))</f>
        <v>#VALUE!</v>
      </c>
      <c r="H442" s="4" t="e">
        <f ca="1">SplineInterp(A442,INDIRECT("'" &amp;Master!$F$10&amp; "'!$A$2:$A$50"),INDIRECT("'" &amp;Master!$F$10&amp; "'!$H$2:$H$50"))</f>
        <v>#VALUE!</v>
      </c>
      <c r="I442" s="4" t="e">
        <f ca="1">IF(OR(INDIRECT("'" &amp; Master!$F$8 &amp; Master!$F$6 &amp; "'!B" &amp; ROW(B442))="", INDIRECT("'" &amp; Master!$F$8 &amp; Master!$F$6 &amp; "'!B" &amp; ROW(B442))=0), "", INDIRECT("'" &amp; Master!$F$8 &amp; Master!$F$6 &amp; "'!B" &amp; ROW(B442)))</f>
        <v>#VALUE!</v>
      </c>
      <c r="J442" s="9" t="e">
        <f t="shared" ca="1" si="42"/>
        <v>#VALUE!</v>
      </c>
      <c r="K442" s="7" t="e">
        <f t="shared" ca="1" si="43"/>
        <v>#VALUE!</v>
      </c>
      <c r="L442" s="7" t="e">
        <f t="shared" ca="1" si="44"/>
        <v>#VALUE!</v>
      </c>
      <c r="M442" s="7" t="e">
        <f t="shared" ca="1" si="45"/>
        <v>#VALUE!</v>
      </c>
      <c r="N442" s="7" t="e">
        <f t="shared" ca="1" si="46"/>
        <v>#VALUE!</v>
      </c>
      <c r="O442" s="7" t="e">
        <f t="shared" ca="1" si="47"/>
        <v>#VALUE!</v>
      </c>
      <c r="P442" s="7" t="e">
        <f t="shared" ca="1" si="48"/>
        <v>#VALUE!</v>
      </c>
    </row>
    <row r="443" spans="1:16" x14ac:dyDescent="0.25">
      <c r="A443" s="19" t="str">
        <f ca="1">IF(OR(INDIRECT("'" &amp; Master!$F$8 &amp; Master!$F$6 &amp; "'!A" &amp; ROW(A443))="", INDIRECT("'" &amp; Master!$F$8 &amp; Master!$F$6 &amp; "'!A" &amp; ROW(A443))=0), "", INDIRECT("'" &amp; Master!$F$8 &amp; Master!$F$6 &amp; "'!A" &amp; ROW(A443)))</f>
        <v/>
      </c>
      <c r="B443" s="4" t="e">
        <f ca="1">SplineInterp(INDIRECT("A" &amp; ROW()),INDIRECT("'" &amp;Master!$F$10&amp; "'!$A$2:$A$50"),INDIRECT("'" &amp;Master!$F$10&amp; "'!$B$2:$B$50"))</f>
        <v>#VALUE!</v>
      </c>
      <c r="C443" s="4" t="e">
        <f ca="1">SplineInterp(A443,INDIRECT("'" &amp;Master!$F$10&amp; "'!$A$2:$A$50"),INDIRECT("'" &amp;Master!$F$10&amp; "'!$C$2:$C$50"))</f>
        <v>#VALUE!</v>
      </c>
      <c r="D443" s="4" t="e">
        <f ca="1">SplineInterp(A443,INDIRECT("'" &amp;Master!$F$10&amp; "'!$A$2:$A$50"),INDIRECT("'" &amp;Master!$F$10&amp; "'!$D$2:$D$50"))</f>
        <v>#VALUE!</v>
      </c>
      <c r="E443" s="4" t="e">
        <f ca="1">SplineInterp(A443,INDIRECT("'" &amp;Master!$F$10&amp; "'!$A$2:$A$50"),INDIRECT("'" &amp;Master!$F$10&amp; "'!$E$2:$E$50"))</f>
        <v>#VALUE!</v>
      </c>
      <c r="F443" s="4" t="e">
        <f ca="1">SplineInterp(A443,INDIRECT("'" &amp;Master!$F$10&amp; "'!$A$2:$A$50"),INDIRECT("'" &amp;Master!$F$10&amp; "'!$F$2:$F$50"))</f>
        <v>#VALUE!</v>
      </c>
      <c r="G443" s="4" t="e">
        <f ca="1">SplineInterp(A443,INDIRECT("'" &amp;Master!$F$10&amp; "'!$A$2:$A$50"),INDIRECT("'" &amp;Master!$F$10&amp; "'!$G$2:$G$50"))</f>
        <v>#VALUE!</v>
      </c>
      <c r="H443" s="4" t="e">
        <f ca="1">SplineInterp(A443,INDIRECT("'" &amp;Master!$F$10&amp; "'!$A$2:$A$50"),INDIRECT("'" &amp;Master!$F$10&amp; "'!$H$2:$H$50"))</f>
        <v>#VALUE!</v>
      </c>
      <c r="I443" s="4" t="e">
        <f ca="1">IF(OR(INDIRECT("'" &amp; Master!$F$8 &amp; Master!$F$6 &amp; "'!B" &amp; ROW(B443))="", INDIRECT("'" &amp; Master!$F$8 &amp; Master!$F$6 &amp; "'!B" &amp; ROW(B443))=0), "", INDIRECT("'" &amp; Master!$F$8 &amp; Master!$F$6 &amp; "'!B" &amp; ROW(B443)))</f>
        <v>#VALUE!</v>
      </c>
      <c r="J443" s="9" t="e">
        <f t="shared" ca="1" si="42"/>
        <v>#VALUE!</v>
      </c>
      <c r="K443" s="7" t="e">
        <f t="shared" ca="1" si="43"/>
        <v>#VALUE!</v>
      </c>
      <c r="L443" s="7" t="e">
        <f t="shared" ca="1" si="44"/>
        <v>#VALUE!</v>
      </c>
      <c r="M443" s="7" t="e">
        <f t="shared" ca="1" si="45"/>
        <v>#VALUE!</v>
      </c>
      <c r="N443" s="7" t="e">
        <f t="shared" ca="1" si="46"/>
        <v>#VALUE!</v>
      </c>
      <c r="O443" s="7" t="e">
        <f t="shared" ca="1" si="47"/>
        <v>#VALUE!</v>
      </c>
      <c r="P443" s="7" t="e">
        <f t="shared" ca="1" si="48"/>
        <v>#VALUE!</v>
      </c>
    </row>
    <row r="444" spans="1:16" x14ac:dyDescent="0.25">
      <c r="A444" s="19" t="str">
        <f ca="1">IF(OR(INDIRECT("'" &amp; Master!$F$8 &amp; Master!$F$6 &amp; "'!A" &amp; ROW(A444))="", INDIRECT("'" &amp; Master!$F$8 &amp; Master!$F$6 &amp; "'!A" &amp; ROW(A444))=0), "", INDIRECT("'" &amp; Master!$F$8 &amp; Master!$F$6 &amp; "'!A" &amp; ROW(A444)))</f>
        <v/>
      </c>
      <c r="B444" s="4" t="e">
        <f ca="1">SplineInterp(INDIRECT("A" &amp; ROW()),INDIRECT("'" &amp;Master!$F$10&amp; "'!$A$2:$A$50"),INDIRECT("'" &amp;Master!$F$10&amp; "'!$B$2:$B$50"))</f>
        <v>#VALUE!</v>
      </c>
      <c r="C444" s="4" t="e">
        <f ca="1">SplineInterp(A444,INDIRECT("'" &amp;Master!$F$10&amp; "'!$A$2:$A$50"),INDIRECT("'" &amp;Master!$F$10&amp; "'!$C$2:$C$50"))</f>
        <v>#VALUE!</v>
      </c>
      <c r="D444" s="4" t="e">
        <f ca="1">SplineInterp(A444,INDIRECT("'" &amp;Master!$F$10&amp; "'!$A$2:$A$50"),INDIRECT("'" &amp;Master!$F$10&amp; "'!$D$2:$D$50"))</f>
        <v>#VALUE!</v>
      </c>
      <c r="E444" s="4" t="e">
        <f ca="1">SplineInterp(A444,INDIRECT("'" &amp;Master!$F$10&amp; "'!$A$2:$A$50"),INDIRECT("'" &amp;Master!$F$10&amp; "'!$E$2:$E$50"))</f>
        <v>#VALUE!</v>
      </c>
      <c r="F444" s="4" t="e">
        <f ca="1">SplineInterp(A444,INDIRECT("'" &amp;Master!$F$10&amp; "'!$A$2:$A$50"),INDIRECT("'" &amp;Master!$F$10&amp; "'!$F$2:$F$50"))</f>
        <v>#VALUE!</v>
      </c>
      <c r="G444" s="4" t="e">
        <f ca="1">SplineInterp(A444,INDIRECT("'" &amp;Master!$F$10&amp; "'!$A$2:$A$50"),INDIRECT("'" &amp;Master!$F$10&amp; "'!$G$2:$G$50"))</f>
        <v>#VALUE!</v>
      </c>
      <c r="H444" s="4" t="e">
        <f ca="1">SplineInterp(A444,INDIRECT("'" &amp;Master!$F$10&amp; "'!$A$2:$A$50"),INDIRECT("'" &amp;Master!$F$10&amp; "'!$H$2:$H$50"))</f>
        <v>#VALUE!</v>
      </c>
      <c r="I444" s="4" t="e">
        <f ca="1">IF(OR(INDIRECT("'" &amp; Master!$F$8 &amp; Master!$F$6 &amp; "'!B" &amp; ROW(B444))="", INDIRECT("'" &amp; Master!$F$8 &amp; Master!$F$6 &amp; "'!B" &amp; ROW(B444))=0), "", INDIRECT("'" &amp; Master!$F$8 &amp; Master!$F$6 &amp; "'!B" &amp; ROW(B444)))</f>
        <v>#VALUE!</v>
      </c>
      <c r="J444" s="9" t="e">
        <f t="shared" ca="1" si="42"/>
        <v>#VALUE!</v>
      </c>
      <c r="K444" s="7" t="e">
        <f t="shared" ca="1" si="43"/>
        <v>#VALUE!</v>
      </c>
      <c r="L444" s="7" t="e">
        <f t="shared" ca="1" si="44"/>
        <v>#VALUE!</v>
      </c>
      <c r="M444" s="7" t="e">
        <f t="shared" ca="1" si="45"/>
        <v>#VALUE!</v>
      </c>
      <c r="N444" s="7" t="e">
        <f t="shared" ca="1" si="46"/>
        <v>#VALUE!</v>
      </c>
      <c r="O444" s="7" t="e">
        <f t="shared" ca="1" si="47"/>
        <v>#VALUE!</v>
      </c>
      <c r="P444" s="7" t="e">
        <f t="shared" ca="1" si="48"/>
        <v>#VALUE!</v>
      </c>
    </row>
    <row r="445" spans="1:16" x14ac:dyDescent="0.25">
      <c r="A445" s="19" t="str">
        <f ca="1">IF(OR(INDIRECT("'" &amp; Master!$F$8 &amp; Master!$F$6 &amp; "'!A" &amp; ROW(A445))="", INDIRECT("'" &amp; Master!$F$8 &amp; Master!$F$6 &amp; "'!A" &amp; ROW(A445))=0), "", INDIRECT("'" &amp; Master!$F$8 &amp; Master!$F$6 &amp; "'!A" &amp; ROW(A445)))</f>
        <v/>
      </c>
      <c r="B445" s="4" t="e">
        <f ca="1">SplineInterp(INDIRECT("A" &amp; ROW()),INDIRECT("'" &amp;Master!$F$10&amp; "'!$A$2:$A$50"),INDIRECT("'" &amp;Master!$F$10&amp; "'!$B$2:$B$50"))</f>
        <v>#VALUE!</v>
      </c>
      <c r="C445" s="4" t="e">
        <f ca="1">SplineInterp(A445,INDIRECT("'" &amp;Master!$F$10&amp; "'!$A$2:$A$50"),INDIRECT("'" &amp;Master!$F$10&amp; "'!$C$2:$C$50"))</f>
        <v>#VALUE!</v>
      </c>
      <c r="D445" s="4" t="e">
        <f ca="1">SplineInterp(A445,INDIRECT("'" &amp;Master!$F$10&amp; "'!$A$2:$A$50"),INDIRECT("'" &amp;Master!$F$10&amp; "'!$D$2:$D$50"))</f>
        <v>#VALUE!</v>
      </c>
      <c r="E445" s="4" t="e">
        <f ca="1">SplineInterp(A445,INDIRECT("'" &amp;Master!$F$10&amp; "'!$A$2:$A$50"),INDIRECT("'" &amp;Master!$F$10&amp; "'!$E$2:$E$50"))</f>
        <v>#VALUE!</v>
      </c>
      <c r="F445" s="4" t="e">
        <f ca="1">SplineInterp(A445,INDIRECT("'" &amp;Master!$F$10&amp; "'!$A$2:$A$50"),INDIRECT("'" &amp;Master!$F$10&amp; "'!$F$2:$F$50"))</f>
        <v>#VALUE!</v>
      </c>
      <c r="G445" s="4" t="e">
        <f ca="1">SplineInterp(A445,INDIRECT("'" &amp;Master!$F$10&amp; "'!$A$2:$A$50"),INDIRECT("'" &amp;Master!$F$10&amp; "'!$G$2:$G$50"))</f>
        <v>#VALUE!</v>
      </c>
      <c r="H445" s="4" t="e">
        <f ca="1">SplineInterp(A445,INDIRECT("'" &amp;Master!$F$10&amp; "'!$A$2:$A$50"),INDIRECT("'" &amp;Master!$F$10&amp; "'!$H$2:$H$50"))</f>
        <v>#VALUE!</v>
      </c>
      <c r="I445" s="4" t="e">
        <f ca="1">IF(OR(INDIRECT("'" &amp; Master!$F$8 &amp; Master!$F$6 &amp; "'!B" &amp; ROW(B445))="", INDIRECT("'" &amp; Master!$F$8 &amp; Master!$F$6 &amp; "'!B" &amp; ROW(B445))=0), "", INDIRECT("'" &amp; Master!$F$8 &amp; Master!$F$6 &amp; "'!B" &amp; ROW(B445)))</f>
        <v>#VALUE!</v>
      </c>
      <c r="J445" s="9" t="e">
        <f t="shared" ca="1" si="42"/>
        <v>#VALUE!</v>
      </c>
      <c r="K445" s="7" t="e">
        <f t="shared" ca="1" si="43"/>
        <v>#VALUE!</v>
      </c>
      <c r="L445" s="7" t="e">
        <f t="shared" ca="1" si="44"/>
        <v>#VALUE!</v>
      </c>
      <c r="M445" s="7" t="e">
        <f t="shared" ca="1" si="45"/>
        <v>#VALUE!</v>
      </c>
      <c r="N445" s="7" t="e">
        <f t="shared" ca="1" si="46"/>
        <v>#VALUE!</v>
      </c>
      <c r="O445" s="7" t="e">
        <f t="shared" ca="1" si="47"/>
        <v>#VALUE!</v>
      </c>
      <c r="P445" s="7" t="e">
        <f t="shared" ca="1" si="48"/>
        <v>#VALUE!</v>
      </c>
    </row>
    <row r="446" spans="1:16" x14ac:dyDescent="0.25">
      <c r="A446" s="19" t="str">
        <f ca="1">IF(OR(INDIRECT("'" &amp; Master!$F$8 &amp; Master!$F$6 &amp; "'!A" &amp; ROW(A446))="", INDIRECT("'" &amp; Master!$F$8 &amp; Master!$F$6 &amp; "'!A" &amp; ROW(A446))=0), "", INDIRECT("'" &amp; Master!$F$8 &amp; Master!$F$6 &amp; "'!A" &amp; ROW(A446)))</f>
        <v/>
      </c>
      <c r="B446" s="4" t="e">
        <f ca="1">SplineInterp(INDIRECT("A" &amp; ROW()),INDIRECT("'" &amp;Master!$F$10&amp; "'!$A$2:$A$50"),INDIRECT("'" &amp;Master!$F$10&amp; "'!$B$2:$B$50"))</f>
        <v>#VALUE!</v>
      </c>
      <c r="C446" s="4" t="e">
        <f ca="1">SplineInterp(A446,INDIRECT("'" &amp;Master!$F$10&amp; "'!$A$2:$A$50"),INDIRECT("'" &amp;Master!$F$10&amp; "'!$C$2:$C$50"))</f>
        <v>#VALUE!</v>
      </c>
      <c r="D446" s="4" t="e">
        <f ca="1">SplineInterp(A446,INDIRECT("'" &amp;Master!$F$10&amp; "'!$A$2:$A$50"),INDIRECT("'" &amp;Master!$F$10&amp; "'!$D$2:$D$50"))</f>
        <v>#VALUE!</v>
      </c>
      <c r="E446" s="4" t="e">
        <f ca="1">SplineInterp(A446,INDIRECT("'" &amp;Master!$F$10&amp; "'!$A$2:$A$50"),INDIRECT("'" &amp;Master!$F$10&amp; "'!$E$2:$E$50"))</f>
        <v>#VALUE!</v>
      </c>
      <c r="F446" s="4" t="e">
        <f ca="1">SplineInterp(A446,INDIRECT("'" &amp;Master!$F$10&amp; "'!$A$2:$A$50"),INDIRECT("'" &amp;Master!$F$10&amp; "'!$F$2:$F$50"))</f>
        <v>#VALUE!</v>
      </c>
      <c r="G446" s="4" t="e">
        <f ca="1">SplineInterp(A446,INDIRECT("'" &amp;Master!$F$10&amp; "'!$A$2:$A$50"),INDIRECT("'" &amp;Master!$F$10&amp; "'!$G$2:$G$50"))</f>
        <v>#VALUE!</v>
      </c>
      <c r="H446" s="4" t="e">
        <f ca="1">SplineInterp(A446,INDIRECT("'" &amp;Master!$F$10&amp; "'!$A$2:$A$50"),INDIRECT("'" &amp;Master!$F$10&amp; "'!$H$2:$H$50"))</f>
        <v>#VALUE!</v>
      </c>
      <c r="I446" s="4" t="e">
        <f ca="1">IF(OR(INDIRECT("'" &amp; Master!$F$8 &amp; Master!$F$6 &amp; "'!B" &amp; ROW(B446))="", INDIRECT("'" &amp; Master!$F$8 &amp; Master!$F$6 &amp; "'!B" &amp; ROW(B446))=0), "", INDIRECT("'" &amp; Master!$F$8 &amp; Master!$F$6 &amp; "'!B" &amp; ROW(B446)))</f>
        <v>#VALUE!</v>
      </c>
      <c r="J446" s="9" t="e">
        <f t="shared" ca="1" si="42"/>
        <v>#VALUE!</v>
      </c>
      <c r="K446" s="7" t="e">
        <f t="shared" ca="1" si="43"/>
        <v>#VALUE!</v>
      </c>
      <c r="L446" s="7" t="e">
        <f t="shared" ca="1" si="44"/>
        <v>#VALUE!</v>
      </c>
      <c r="M446" s="7" t="e">
        <f t="shared" ca="1" si="45"/>
        <v>#VALUE!</v>
      </c>
      <c r="N446" s="7" t="e">
        <f t="shared" ca="1" si="46"/>
        <v>#VALUE!</v>
      </c>
      <c r="O446" s="7" t="e">
        <f t="shared" ca="1" si="47"/>
        <v>#VALUE!</v>
      </c>
      <c r="P446" s="7" t="e">
        <f t="shared" ca="1" si="48"/>
        <v>#VALUE!</v>
      </c>
    </row>
    <row r="447" spans="1:16" x14ac:dyDescent="0.25">
      <c r="A447" s="19" t="str">
        <f ca="1">IF(OR(INDIRECT("'" &amp; Master!$F$8 &amp; Master!$F$6 &amp; "'!A" &amp; ROW(A447))="", INDIRECT("'" &amp; Master!$F$8 &amp; Master!$F$6 &amp; "'!A" &amp; ROW(A447))=0), "", INDIRECT("'" &amp; Master!$F$8 &amp; Master!$F$6 &amp; "'!A" &amp; ROW(A447)))</f>
        <v/>
      </c>
      <c r="B447" s="4" t="e">
        <f ca="1">SplineInterp(INDIRECT("A" &amp; ROW()),INDIRECT("'" &amp;Master!$F$10&amp; "'!$A$2:$A$50"),INDIRECT("'" &amp;Master!$F$10&amp; "'!$B$2:$B$50"))</f>
        <v>#VALUE!</v>
      </c>
      <c r="C447" s="4" t="e">
        <f ca="1">SplineInterp(A447,INDIRECT("'" &amp;Master!$F$10&amp; "'!$A$2:$A$50"),INDIRECT("'" &amp;Master!$F$10&amp; "'!$C$2:$C$50"))</f>
        <v>#VALUE!</v>
      </c>
      <c r="D447" s="4" t="e">
        <f ca="1">SplineInterp(A447,INDIRECT("'" &amp;Master!$F$10&amp; "'!$A$2:$A$50"),INDIRECT("'" &amp;Master!$F$10&amp; "'!$D$2:$D$50"))</f>
        <v>#VALUE!</v>
      </c>
      <c r="E447" s="4" t="e">
        <f ca="1">SplineInterp(A447,INDIRECT("'" &amp;Master!$F$10&amp; "'!$A$2:$A$50"),INDIRECT("'" &amp;Master!$F$10&amp; "'!$E$2:$E$50"))</f>
        <v>#VALUE!</v>
      </c>
      <c r="F447" s="4" t="e">
        <f ca="1">SplineInterp(A447,INDIRECT("'" &amp;Master!$F$10&amp; "'!$A$2:$A$50"),INDIRECT("'" &amp;Master!$F$10&amp; "'!$F$2:$F$50"))</f>
        <v>#VALUE!</v>
      </c>
      <c r="G447" s="4" t="e">
        <f ca="1">SplineInterp(A447,INDIRECT("'" &amp;Master!$F$10&amp; "'!$A$2:$A$50"),INDIRECT("'" &amp;Master!$F$10&amp; "'!$G$2:$G$50"))</f>
        <v>#VALUE!</v>
      </c>
      <c r="H447" s="4" t="e">
        <f ca="1">SplineInterp(A447,INDIRECT("'" &amp;Master!$F$10&amp; "'!$A$2:$A$50"),INDIRECT("'" &amp;Master!$F$10&amp; "'!$H$2:$H$50"))</f>
        <v>#VALUE!</v>
      </c>
      <c r="I447" s="4" t="e">
        <f ca="1">IF(OR(INDIRECT("'" &amp; Master!$F$8 &amp; Master!$F$6 &amp; "'!B" &amp; ROW(B447))="", INDIRECT("'" &amp; Master!$F$8 &amp; Master!$F$6 &amp; "'!B" &amp; ROW(B447))=0), "", INDIRECT("'" &amp; Master!$F$8 &amp; Master!$F$6 &amp; "'!B" &amp; ROW(B447)))</f>
        <v>#VALUE!</v>
      </c>
      <c r="J447" s="9" t="e">
        <f t="shared" ca="1" si="42"/>
        <v>#VALUE!</v>
      </c>
      <c r="K447" s="7" t="e">
        <f t="shared" ca="1" si="43"/>
        <v>#VALUE!</v>
      </c>
      <c r="L447" s="7" t="e">
        <f t="shared" ca="1" si="44"/>
        <v>#VALUE!</v>
      </c>
      <c r="M447" s="7" t="e">
        <f t="shared" ca="1" si="45"/>
        <v>#VALUE!</v>
      </c>
      <c r="N447" s="7" t="e">
        <f t="shared" ca="1" si="46"/>
        <v>#VALUE!</v>
      </c>
      <c r="O447" s="7" t="e">
        <f t="shared" ca="1" si="47"/>
        <v>#VALUE!</v>
      </c>
      <c r="P447" s="7" t="e">
        <f t="shared" ca="1" si="48"/>
        <v>#VALUE!</v>
      </c>
    </row>
    <row r="448" spans="1:16" x14ac:dyDescent="0.25">
      <c r="A448" s="19" t="str">
        <f ca="1">IF(OR(INDIRECT("'" &amp; Master!$F$8 &amp; Master!$F$6 &amp; "'!A" &amp; ROW(A448))="", INDIRECT("'" &amp; Master!$F$8 &amp; Master!$F$6 &amp; "'!A" &amp; ROW(A448))=0), "", INDIRECT("'" &amp; Master!$F$8 &amp; Master!$F$6 &amp; "'!A" &amp; ROW(A448)))</f>
        <v/>
      </c>
      <c r="B448" s="4" t="e">
        <f ca="1">SplineInterp(INDIRECT("A" &amp; ROW()),INDIRECT("'" &amp;Master!$F$10&amp; "'!$A$2:$A$50"),INDIRECT("'" &amp;Master!$F$10&amp; "'!$B$2:$B$50"))</f>
        <v>#VALUE!</v>
      </c>
      <c r="C448" s="4" t="e">
        <f ca="1">SplineInterp(A448,INDIRECT("'" &amp;Master!$F$10&amp; "'!$A$2:$A$50"),INDIRECT("'" &amp;Master!$F$10&amp; "'!$C$2:$C$50"))</f>
        <v>#VALUE!</v>
      </c>
      <c r="D448" s="4" t="e">
        <f ca="1">SplineInterp(A448,INDIRECT("'" &amp;Master!$F$10&amp; "'!$A$2:$A$50"),INDIRECT("'" &amp;Master!$F$10&amp; "'!$D$2:$D$50"))</f>
        <v>#VALUE!</v>
      </c>
      <c r="E448" s="4" t="e">
        <f ca="1">SplineInterp(A448,INDIRECT("'" &amp;Master!$F$10&amp; "'!$A$2:$A$50"),INDIRECT("'" &amp;Master!$F$10&amp; "'!$E$2:$E$50"))</f>
        <v>#VALUE!</v>
      </c>
      <c r="F448" s="4" t="e">
        <f ca="1">SplineInterp(A448,INDIRECT("'" &amp;Master!$F$10&amp; "'!$A$2:$A$50"),INDIRECT("'" &amp;Master!$F$10&amp; "'!$F$2:$F$50"))</f>
        <v>#VALUE!</v>
      </c>
      <c r="G448" s="4" t="e">
        <f ca="1">SplineInterp(A448,INDIRECT("'" &amp;Master!$F$10&amp; "'!$A$2:$A$50"),INDIRECT("'" &amp;Master!$F$10&amp; "'!$G$2:$G$50"))</f>
        <v>#VALUE!</v>
      </c>
      <c r="H448" s="4" t="e">
        <f ca="1">SplineInterp(A448,INDIRECT("'" &amp;Master!$F$10&amp; "'!$A$2:$A$50"),INDIRECT("'" &amp;Master!$F$10&amp; "'!$H$2:$H$50"))</f>
        <v>#VALUE!</v>
      </c>
      <c r="I448" s="4" t="e">
        <f ca="1">IF(OR(INDIRECT("'" &amp; Master!$F$8 &amp; Master!$F$6 &amp; "'!B" &amp; ROW(B448))="", INDIRECT("'" &amp; Master!$F$8 &amp; Master!$F$6 &amp; "'!B" &amp; ROW(B448))=0), "", INDIRECT("'" &amp; Master!$F$8 &amp; Master!$F$6 &amp; "'!B" &amp; ROW(B448)))</f>
        <v>#VALUE!</v>
      </c>
      <c r="J448" s="9" t="e">
        <f t="shared" ca="1" si="42"/>
        <v>#VALUE!</v>
      </c>
      <c r="K448" s="7" t="e">
        <f t="shared" ca="1" si="43"/>
        <v>#VALUE!</v>
      </c>
      <c r="L448" s="7" t="e">
        <f t="shared" ca="1" si="44"/>
        <v>#VALUE!</v>
      </c>
      <c r="M448" s="7" t="e">
        <f t="shared" ca="1" si="45"/>
        <v>#VALUE!</v>
      </c>
      <c r="N448" s="7" t="e">
        <f t="shared" ca="1" si="46"/>
        <v>#VALUE!</v>
      </c>
      <c r="O448" s="7" t="e">
        <f t="shared" ca="1" si="47"/>
        <v>#VALUE!</v>
      </c>
      <c r="P448" s="7" t="e">
        <f t="shared" ca="1" si="48"/>
        <v>#VALUE!</v>
      </c>
    </row>
    <row r="449" spans="1:16" x14ac:dyDescent="0.25">
      <c r="A449" s="19" t="str">
        <f ca="1">IF(OR(INDIRECT("'" &amp; Master!$F$8 &amp; Master!$F$6 &amp; "'!A" &amp; ROW(A449))="", INDIRECT("'" &amp; Master!$F$8 &amp; Master!$F$6 &amp; "'!A" &amp; ROW(A449))=0), "", INDIRECT("'" &amp; Master!$F$8 &amp; Master!$F$6 &amp; "'!A" &amp; ROW(A449)))</f>
        <v/>
      </c>
      <c r="B449" s="4" t="e">
        <f ca="1">SplineInterp(INDIRECT("A" &amp; ROW()),INDIRECT("'" &amp;Master!$F$10&amp; "'!$A$2:$A$50"),INDIRECT("'" &amp;Master!$F$10&amp; "'!$B$2:$B$50"))</f>
        <v>#VALUE!</v>
      </c>
      <c r="C449" s="4" t="e">
        <f ca="1">SplineInterp(A449,INDIRECT("'" &amp;Master!$F$10&amp; "'!$A$2:$A$50"),INDIRECT("'" &amp;Master!$F$10&amp; "'!$C$2:$C$50"))</f>
        <v>#VALUE!</v>
      </c>
      <c r="D449" s="4" t="e">
        <f ca="1">SplineInterp(A449,INDIRECT("'" &amp;Master!$F$10&amp; "'!$A$2:$A$50"),INDIRECT("'" &amp;Master!$F$10&amp; "'!$D$2:$D$50"))</f>
        <v>#VALUE!</v>
      </c>
      <c r="E449" s="4" t="e">
        <f ca="1">SplineInterp(A449,INDIRECT("'" &amp;Master!$F$10&amp; "'!$A$2:$A$50"),INDIRECT("'" &amp;Master!$F$10&amp; "'!$E$2:$E$50"))</f>
        <v>#VALUE!</v>
      </c>
      <c r="F449" s="4" t="e">
        <f ca="1">SplineInterp(A449,INDIRECT("'" &amp;Master!$F$10&amp; "'!$A$2:$A$50"),INDIRECT("'" &amp;Master!$F$10&amp; "'!$F$2:$F$50"))</f>
        <v>#VALUE!</v>
      </c>
      <c r="G449" s="4" t="e">
        <f ca="1">SplineInterp(A449,INDIRECT("'" &amp;Master!$F$10&amp; "'!$A$2:$A$50"),INDIRECT("'" &amp;Master!$F$10&amp; "'!$G$2:$G$50"))</f>
        <v>#VALUE!</v>
      </c>
      <c r="H449" s="4" t="e">
        <f ca="1">SplineInterp(A449,INDIRECT("'" &amp;Master!$F$10&amp; "'!$A$2:$A$50"),INDIRECT("'" &amp;Master!$F$10&amp; "'!$H$2:$H$50"))</f>
        <v>#VALUE!</v>
      </c>
      <c r="I449" s="4" t="e">
        <f ca="1">IF(OR(INDIRECT("'" &amp; Master!$F$8 &amp; Master!$F$6 &amp; "'!B" &amp; ROW(B449))="", INDIRECT("'" &amp; Master!$F$8 &amp; Master!$F$6 &amp; "'!B" &amp; ROW(B449))=0), "", INDIRECT("'" &amp; Master!$F$8 &amp; Master!$F$6 &amp; "'!B" &amp; ROW(B449)))</f>
        <v>#VALUE!</v>
      </c>
      <c r="J449" s="9" t="e">
        <f t="shared" ca="1" si="42"/>
        <v>#VALUE!</v>
      </c>
      <c r="K449" s="7" t="e">
        <f t="shared" ca="1" si="43"/>
        <v>#VALUE!</v>
      </c>
      <c r="L449" s="7" t="e">
        <f t="shared" ca="1" si="44"/>
        <v>#VALUE!</v>
      </c>
      <c r="M449" s="7" t="e">
        <f t="shared" ca="1" si="45"/>
        <v>#VALUE!</v>
      </c>
      <c r="N449" s="7" t="e">
        <f t="shared" ca="1" si="46"/>
        <v>#VALUE!</v>
      </c>
      <c r="O449" s="7" t="e">
        <f t="shared" ca="1" si="47"/>
        <v>#VALUE!</v>
      </c>
      <c r="P449" s="7" t="e">
        <f t="shared" ca="1" si="48"/>
        <v>#VALUE!</v>
      </c>
    </row>
    <row r="450" spans="1:16" x14ac:dyDescent="0.25">
      <c r="A450" s="19" t="str">
        <f ca="1">IF(OR(INDIRECT("'" &amp; Master!$F$8 &amp; Master!$F$6 &amp; "'!A" &amp; ROW(A450))="", INDIRECT("'" &amp; Master!$F$8 &amp; Master!$F$6 &amp; "'!A" &amp; ROW(A450))=0), "", INDIRECT("'" &amp; Master!$F$8 &amp; Master!$F$6 &amp; "'!A" &amp; ROW(A450)))</f>
        <v/>
      </c>
      <c r="B450" s="4" t="e">
        <f ca="1">SplineInterp(INDIRECT("A" &amp; ROW()),INDIRECT("'" &amp;Master!$F$10&amp; "'!$A$2:$A$50"),INDIRECT("'" &amp;Master!$F$10&amp; "'!$B$2:$B$50"))</f>
        <v>#VALUE!</v>
      </c>
      <c r="C450" s="4" t="e">
        <f ca="1">SplineInterp(A450,INDIRECT("'" &amp;Master!$F$10&amp; "'!$A$2:$A$50"),INDIRECT("'" &amp;Master!$F$10&amp; "'!$C$2:$C$50"))</f>
        <v>#VALUE!</v>
      </c>
      <c r="D450" s="4" t="e">
        <f ca="1">SplineInterp(A450,INDIRECT("'" &amp;Master!$F$10&amp; "'!$A$2:$A$50"),INDIRECT("'" &amp;Master!$F$10&amp; "'!$D$2:$D$50"))</f>
        <v>#VALUE!</v>
      </c>
      <c r="E450" s="4" t="e">
        <f ca="1">SplineInterp(A450,INDIRECT("'" &amp;Master!$F$10&amp; "'!$A$2:$A$50"),INDIRECT("'" &amp;Master!$F$10&amp; "'!$E$2:$E$50"))</f>
        <v>#VALUE!</v>
      </c>
      <c r="F450" s="4" t="e">
        <f ca="1">SplineInterp(A450,INDIRECT("'" &amp;Master!$F$10&amp; "'!$A$2:$A$50"),INDIRECT("'" &amp;Master!$F$10&amp; "'!$F$2:$F$50"))</f>
        <v>#VALUE!</v>
      </c>
      <c r="G450" s="4" t="e">
        <f ca="1">SplineInterp(A450,INDIRECT("'" &amp;Master!$F$10&amp; "'!$A$2:$A$50"),INDIRECT("'" &amp;Master!$F$10&amp; "'!$G$2:$G$50"))</f>
        <v>#VALUE!</v>
      </c>
      <c r="H450" s="4" t="e">
        <f ca="1">SplineInterp(A450,INDIRECT("'" &amp;Master!$F$10&amp; "'!$A$2:$A$50"),INDIRECT("'" &amp;Master!$F$10&amp; "'!$H$2:$H$50"))</f>
        <v>#VALUE!</v>
      </c>
      <c r="I450" s="4" t="e">
        <f ca="1">IF(OR(INDIRECT("'" &amp; Master!$F$8 &amp; Master!$F$6 &amp; "'!B" &amp; ROW(B450))="", INDIRECT("'" &amp; Master!$F$8 &amp; Master!$F$6 &amp; "'!B" &amp; ROW(B450))=0), "", INDIRECT("'" &amp; Master!$F$8 &amp; Master!$F$6 &amp; "'!B" &amp; ROW(B450)))</f>
        <v>#VALUE!</v>
      </c>
      <c r="J450" s="9" t="e">
        <f t="shared" ca="1" si="42"/>
        <v>#VALUE!</v>
      </c>
      <c r="K450" s="7" t="e">
        <f t="shared" ca="1" si="43"/>
        <v>#VALUE!</v>
      </c>
      <c r="L450" s="7" t="e">
        <f t="shared" ca="1" si="44"/>
        <v>#VALUE!</v>
      </c>
      <c r="M450" s="7" t="e">
        <f t="shared" ca="1" si="45"/>
        <v>#VALUE!</v>
      </c>
      <c r="N450" s="7" t="e">
        <f t="shared" ca="1" si="46"/>
        <v>#VALUE!</v>
      </c>
      <c r="O450" s="7" t="e">
        <f t="shared" ca="1" si="47"/>
        <v>#VALUE!</v>
      </c>
      <c r="P450" s="7" t="e">
        <f t="shared" ca="1" si="48"/>
        <v>#VALUE!</v>
      </c>
    </row>
    <row r="451" spans="1:16" x14ac:dyDescent="0.25">
      <c r="A451" s="19" t="str">
        <f ca="1">IF(OR(INDIRECT("'" &amp; Master!$F$8 &amp; Master!$F$6 &amp; "'!A" &amp; ROW(A451))="", INDIRECT("'" &amp; Master!$F$8 &amp; Master!$F$6 &amp; "'!A" &amp; ROW(A451))=0), "", INDIRECT("'" &amp; Master!$F$8 &amp; Master!$F$6 &amp; "'!A" &amp; ROW(A451)))</f>
        <v/>
      </c>
      <c r="B451" s="4" t="e">
        <f ca="1">SplineInterp(INDIRECT("A" &amp; ROW()),INDIRECT("'" &amp;Master!$F$10&amp; "'!$A$2:$A$50"),INDIRECT("'" &amp;Master!$F$10&amp; "'!$B$2:$B$50"))</f>
        <v>#VALUE!</v>
      </c>
      <c r="C451" s="4" t="e">
        <f ca="1">SplineInterp(A451,INDIRECT("'" &amp;Master!$F$10&amp; "'!$A$2:$A$50"),INDIRECT("'" &amp;Master!$F$10&amp; "'!$C$2:$C$50"))</f>
        <v>#VALUE!</v>
      </c>
      <c r="D451" s="4" t="e">
        <f ca="1">SplineInterp(A451,INDIRECT("'" &amp;Master!$F$10&amp; "'!$A$2:$A$50"),INDIRECT("'" &amp;Master!$F$10&amp; "'!$D$2:$D$50"))</f>
        <v>#VALUE!</v>
      </c>
      <c r="E451" s="4" t="e">
        <f ca="1">SplineInterp(A451,INDIRECT("'" &amp;Master!$F$10&amp; "'!$A$2:$A$50"),INDIRECT("'" &amp;Master!$F$10&amp; "'!$E$2:$E$50"))</f>
        <v>#VALUE!</v>
      </c>
      <c r="F451" s="4" t="e">
        <f ca="1">SplineInterp(A451,INDIRECT("'" &amp;Master!$F$10&amp; "'!$A$2:$A$50"),INDIRECT("'" &amp;Master!$F$10&amp; "'!$F$2:$F$50"))</f>
        <v>#VALUE!</v>
      </c>
      <c r="G451" s="4" t="e">
        <f ca="1">SplineInterp(A451,INDIRECT("'" &amp;Master!$F$10&amp; "'!$A$2:$A$50"),INDIRECT("'" &amp;Master!$F$10&amp; "'!$G$2:$G$50"))</f>
        <v>#VALUE!</v>
      </c>
      <c r="H451" s="4" t="e">
        <f ca="1">SplineInterp(A451,INDIRECT("'" &amp;Master!$F$10&amp; "'!$A$2:$A$50"),INDIRECT("'" &amp;Master!$F$10&amp; "'!$H$2:$H$50"))</f>
        <v>#VALUE!</v>
      </c>
      <c r="I451" s="4" t="e">
        <f ca="1">IF(OR(INDIRECT("'" &amp; Master!$F$8 &amp; Master!$F$6 &amp; "'!B" &amp; ROW(B451))="", INDIRECT("'" &amp; Master!$F$8 &amp; Master!$F$6 &amp; "'!B" &amp; ROW(B451))=0), "", INDIRECT("'" &amp; Master!$F$8 &amp; Master!$F$6 &amp; "'!B" &amp; ROW(B451)))</f>
        <v>#VALUE!</v>
      </c>
      <c r="J451" s="9" t="e">
        <f t="shared" ref="J451:J514" ca="1" si="49">B451*I451</f>
        <v>#VALUE!</v>
      </c>
      <c r="K451" s="7" t="e">
        <f t="shared" ref="K451:K514" ca="1" si="50">C451*I451</f>
        <v>#VALUE!</v>
      </c>
      <c r="L451" s="7" t="e">
        <f t="shared" ref="L451:L514" ca="1" si="51">D451*I451</f>
        <v>#VALUE!</v>
      </c>
      <c r="M451" s="7" t="e">
        <f t="shared" ref="M451:M514" ca="1" si="52">E451*I451</f>
        <v>#VALUE!</v>
      </c>
      <c r="N451" s="7" t="e">
        <f t="shared" ref="N451:N514" ca="1" si="53">F451*I451</f>
        <v>#VALUE!</v>
      </c>
      <c r="O451" s="7" t="e">
        <f t="shared" ref="O451:O514" ca="1" si="54">G451*I451</f>
        <v>#VALUE!</v>
      </c>
      <c r="P451" s="7" t="e">
        <f t="shared" ref="P451:P514" ca="1" si="55">H451*I451</f>
        <v>#VALUE!</v>
      </c>
    </row>
    <row r="452" spans="1:16" x14ac:dyDescent="0.25">
      <c r="A452" s="19" t="str">
        <f ca="1">IF(OR(INDIRECT("'" &amp; Master!$F$8 &amp; Master!$F$6 &amp; "'!A" &amp; ROW(A452))="", INDIRECT("'" &amp; Master!$F$8 &amp; Master!$F$6 &amp; "'!A" &amp; ROW(A452))=0), "", INDIRECT("'" &amp; Master!$F$8 &amp; Master!$F$6 &amp; "'!A" &amp; ROW(A452)))</f>
        <v/>
      </c>
      <c r="B452" s="4" t="e">
        <f ca="1">SplineInterp(INDIRECT("A" &amp; ROW()),INDIRECT("'" &amp;Master!$F$10&amp; "'!$A$2:$A$50"),INDIRECT("'" &amp;Master!$F$10&amp; "'!$B$2:$B$50"))</f>
        <v>#VALUE!</v>
      </c>
      <c r="C452" s="4" t="e">
        <f ca="1">SplineInterp(A452,INDIRECT("'" &amp;Master!$F$10&amp; "'!$A$2:$A$50"),INDIRECT("'" &amp;Master!$F$10&amp; "'!$C$2:$C$50"))</f>
        <v>#VALUE!</v>
      </c>
      <c r="D452" s="4" t="e">
        <f ca="1">SplineInterp(A452,INDIRECT("'" &amp;Master!$F$10&amp; "'!$A$2:$A$50"),INDIRECT("'" &amp;Master!$F$10&amp; "'!$D$2:$D$50"))</f>
        <v>#VALUE!</v>
      </c>
      <c r="E452" s="4" t="e">
        <f ca="1">SplineInterp(A452,INDIRECT("'" &amp;Master!$F$10&amp; "'!$A$2:$A$50"),INDIRECT("'" &amp;Master!$F$10&amp; "'!$E$2:$E$50"))</f>
        <v>#VALUE!</v>
      </c>
      <c r="F452" s="4" t="e">
        <f ca="1">SplineInterp(A452,INDIRECT("'" &amp;Master!$F$10&amp; "'!$A$2:$A$50"),INDIRECT("'" &amp;Master!$F$10&amp; "'!$F$2:$F$50"))</f>
        <v>#VALUE!</v>
      </c>
      <c r="G452" s="4" t="e">
        <f ca="1">SplineInterp(A452,INDIRECT("'" &amp;Master!$F$10&amp; "'!$A$2:$A$50"),INDIRECT("'" &amp;Master!$F$10&amp; "'!$G$2:$G$50"))</f>
        <v>#VALUE!</v>
      </c>
      <c r="H452" s="4" t="e">
        <f ca="1">SplineInterp(A452,INDIRECT("'" &amp;Master!$F$10&amp; "'!$A$2:$A$50"),INDIRECT("'" &amp;Master!$F$10&amp; "'!$H$2:$H$50"))</f>
        <v>#VALUE!</v>
      </c>
      <c r="I452" s="4" t="e">
        <f ca="1">IF(OR(INDIRECT("'" &amp; Master!$F$8 &amp; Master!$F$6 &amp; "'!B" &amp; ROW(B452))="", INDIRECT("'" &amp; Master!$F$8 &amp; Master!$F$6 &amp; "'!B" &amp; ROW(B452))=0), "", INDIRECT("'" &amp; Master!$F$8 &amp; Master!$F$6 &amp; "'!B" &amp; ROW(B452)))</f>
        <v>#VALUE!</v>
      </c>
      <c r="J452" s="9" t="e">
        <f t="shared" ca="1" si="49"/>
        <v>#VALUE!</v>
      </c>
      <c r="K452" s="7" t="e">
        <f t="shared" ca="1" si="50"/>
        <v>#VALUE!</v>
      </c>
      <c r="L452" s="7" t="e">
        <f t="shared" ca="1" si="51"/>
        <v>#VALUE!</v>
      </c>
      <c r="M452" s="7" t="e">
        <f t="shared" ca="1" si="52"/>
        <v>#VALUE!</v>
      </c>
      <c r="N452" s="7" t="e">
        <f t="shared" ca="1" si="53"/>
        <v>#VALUE!</v>
      </c>
      <c r="O452" s="7" t="e">
        <f t="shared" ca="1" si="54"/>
        <v>#VALUE!</v>
      </c>
      <c r="P452" s="7" t="e">
        <f t="shared" ca="1" si="55"/>
        <v>#VALUE!</v>
      </c>
    </row>
    <row r="453" spans="1:16" x14ac:dyDescent="0.25">
      <c r="A453" s="19" t="str">
        <f ca="1">IF(OR(INDIRECT("'" &amp; Master!$F$8 &amp; Master!$F$6 &amp; "'!A" &amp; ROW(A453))="", INDIRECT("'" &amp; Master!$F$8 &amp; Master!$F$6 &amp; "'!A" &amp; ROW(A453))=0), "", INDIRECT("'" &amp; Master!$F$8 &amp; Master!$F$6 &amp; "'!A" &amp; ROW(A453)))</f>
        <v/>
      </c>
      <c r="B453" s="4" t="e">
        <f ca="1">SplineInterp(INDIRECT("A" &amp; ROW()),INDIRECT("'" &amp;Master!$F$10&amp; "'!$A$2:$A$50"),INDIRECT("'" &amp;Master!$F$10&amp; "'!$B$2:$B$50"))</f>
        <v>#VALUE!</v>
      </c>
      <c r="C453" s="4" t="e">
        <f ca="1">SplineInterp(A453,INDIRECT("'" &amp;Master!$F$10&amp; "'!$A$2:$A$50"),INDIRECT("'" &amp;Master!$F$10&amp; "'!$C$2:$C$50"))</f>
        <v>#VALUE!</v>
      </c>
      <c r="D453" s="4" t="e">
        <f ca="1">SplineInterp(A453,INDIRECT("'" &amp;Master!$F$10&amp; "'!$A$2:$A$50"),INDIRECT("'" &amp;Master!$F$10&amp; "'!$D$2:$D$50"))</f>
        <v>#VALUE!</v>
      </c>
      <c r="E453" s="4" t="e">
        <f ca="1">SplineInterp(A453,INDIRECT("'" &amp;Master!$F$10&amp; "'!$A$2:$A$50"),INDIRECT("'" &amp;Master!$F$10&amp; "'!$E$2:$E$50"))</f>
        <v>#VALUE!</v>
      </c>
      <c r="F453" s="4" t="e">
        <f ca="1">SplineInterp(A453,INDIRECT("'" &amp;Master!$F$10&amp; "'!$A$2:$A$50"),INDIRECT("'" &amp;Master!$F$10&amp; "'!$F$2:$F$50"))</f>
        <v>#VALUE!</v>
      </c>
      <c r="G453" s="4" t="e">
        <f ca="1">SplineInterp(A453,INDIRECT("'" &amp;Master!$F$10&amp; "'!$A$2:$A$50"),INDIRECT("'" &amp;Master!$F$10&amp; "'!$G$2:$G$50"))</f>
        <v>#VALUE!</v>
      </c>
      <c r="H453" s="4" t="e">
        <f ca="1">SplineInterp(A453,INDIRECT("'" &amp;Master!$F$10&amp; "'!$A$2:$A$50"),INDIRECT("'" &amp;Master!$F$10&amp; "'!$H$2:$H$50"))</f>
        <v>#VALUE!</v>
      </c>
      <c r="I453" s="4" t="e">
        <f ca="1">IF(OR(INDIRECT("'" &amp; Master!$F$8 &amp; Master!$F$6 &amp; "'!B" &amp; ROW(B453))="", INDIRECT("'" &amp; Master!$F$8 &amp; Master!$F$6 &amp; "'!B" &amp; ROW(B453))=0), "", INDIRECT("'" &amp; Master!$F$8 &amp; Master!$F$6 &amp; "'!B" &amp; ROW(B453)))</f>
        <v>#VALUE!</v>
      </c>
      <c r="J453" s="9" t="e">
        <f t="shared" ca="1" si="49"/>
        <v>#VALUE!</v>
      </c>
      <c r="K453" s="7" t="e">
        <f t="shared" ca="1" si="50"/>
        <v>#VALUE!</v>
      </c>
      <c r="L453" s="7" t="e">
        <f t="shared" ca="1" si="51"/>
        <v>#VALUE!</v>
      </c>
      <c r="M453" s="7" t="e">
        <f t="shared" ca="1" si="52"/>
        <v>#VALUE!</v>
      </c>
      <c r="N453" s="7" t="e">
        <f t="shared" ca="1" si="53"/>
        <v>#VALUE!</v>
      </c>
      <c r="O453" s="7" t="e">
        <f t="shared" ca="1" si="54"/>
        <v>#VALUE!</v>
      </c>
      <c r="P453" s="7" t="e">
        <f t="shared" ca="1" si="55"/>
        <v>#VALUE!</v>
      </c>
    </row>
    <row r="454" spans="1:16" x14ac:dyDescent="0.25">
      <c r="A454" s="19" t="str">
        <f ca="1">IF(OR(INDIRECT("'" &amp; Master!$F$8 &amp; Master!$F$6 &amp; "'!A" &amp; ROW(A454))="", INDIRECT("'" &amp; Master!$F$8 &amp; Master!$F$6 &amp; "'!A" &amp; ROW(A454))=0), "", INDIRECT("'" &amp; Master!$F$8 &amp; Master!$F$6 &amp; "'!A" &amp; ROW(A454)))</f>
        <v/>
      </c>
      <c r="B454" s="4" t="e">
        <f ca="1">SplineInterp(INDIRECT("A" &amp; ROW()),INDIRECT("'" &amp;Master!$F$10&amp; "'!$A$2:$A$50"),INDIRECT("'" &amp;Master!$F$10&amp; "'!$B$2:$B$50"))</f>
        <v>#VALUE!</v>
      </c>
      <c r="C454" s="4" t="e">
        <f ca="1">SplineInterp(A454,INDIRECT("'" &amp;Master!$F$10&amp; "'!$A$2:$A$50"),INDIRECT("'" &amp;Master!$F$10&amp; "'!$C$2:$C$50"))</f>
        <v>#VALUE!</v>
      </c>
      <c r="D454" s="4" t="e">
        <f ca="1">SplineInterp(A454,INDIRECT("'" &amp;Master!$F$10&amp; "'!$A$2:$A$50"),INDIRECT("'" &amp;Master!$F$10&amp; "'!$D$2:$D$50"))</f>
        <v>#VALUE!</v>
      </c>
      <c r="E454" s="4" t="e">
        <f ca="1">SplineInterp(A454,INDIRECT("'" &amp;Master!$F$10&amp; "'!$A$2:$A$50"),INDIRECT("'" &amp;Master!$F$10&amp; "'!$E$2:$E$50"))</f>
        <v>#VALUE!</v>
      </c>
      <c r="F454" s="4" t="e">
        <f ca="1">SplineInterp(A454,INDIRECT("'" &amp;Master!$F$10&amp; "'!$A$2:$A$50"),INDIRECT("'" &amp;Master!$F$10&amp; "'!$F$2:$F$50"))</f>
        <v>#VALUE!</v>
      </c>
      <c r="G454" s="4" t="e">
        <f ca="1">SplineInterp(A454,INDIRECT("'" &amp;Master!$F$10&amp; "'!$A$2:$A$50"),INDIRECT("'" &amp;Master!$F$10&amp; "'!$G$2:$G$50"))</f>
        <v>#VALUE!</v>
      </c>
      <c r="H454" s="4" t="e">
        <f ca="1">SplineInterp(A454,INDIRECT("'" &amp;Master!$F$10&amp; "'!$A$2:$A$50"),INDIRECT("'" &amp;Master!$F$10&amp; "'!$H$2:$H$50"))</f>
        <v>#VALUE!</v>
      </c>
      <c r="I454" s="4" t="e">
        <f ca="1">IF(OR(INDIRECT("'" &amp; Master!$F$8 &amp; Master!$F$6 &amp; "'!B" &amp; ROW(B454))="", INDIRECT("'" &amp; Master!$F$8 &amp; Master!$F$6 &amp; "'!B" &amp; ROW(B454))=0), "", INDIRECT("'" &amp; Master!$F$8 &amp; Master!$F$6 &amp; "'!B" &amp; ROW(B454)))</f>
        <v>#VALUE!</v>
      </c>
      <c r="J454" s="9" t="e">
        <f t="shared" ca="1" si="49"/>
        <v>#VALUE!</v>
      </c>
      <c r="K454" s="7" t="e">
        <f t="shared" ca="1" si="50"/>
        <v>#VALUE!</v>
      </c>
      <c r="L454" s="7" t="e">
        <f t="shared" ca="1" si="51"/>
        <v>#VALUE!</v>
      </c>
      <c r="M454" s="7" t="e">
        <f t="shared" ca="1" si="52"/>
        <v>#VALUE!</v>
      </c>
      <c r="N454" s="7" t="e">
        <f t="shared" ca="1" si="53"/>
        <v>#VALUE!</v>
      </c>
      <c r="O454" s="7" t="e">
        <f t="shared" ca="1" si="54"/>
        <v>#VALUE!</v>
      </c>
      <c r="P454" s="7" t="e">
        <f t="shared" ca="1" si="55"/>
        <v>#VALUE!</v>
      </c>
    </row>
    <row r="455" spans="1:16" x14ac:dyDescent="0.25">
      <c r="A455" s="19" t="str">
        <f ca="1">IF(OR(INDIRECT("'" &amp; Master!$F$8 &amp; Master!$F$6 &amp; "'!A" &amp; ROW(A455))="", INDIRECT("'" &amp; Master!$F$8 &amp; Master!$F$6 &amp; "'!A" &amp; ROW(A455))=0), "", INDIRECT("'" &amp; Master!$F$8 &amp; Master!$F$6 &amp; "'!A" &amp; ROW(A455)))</f>
        <v/>
      </c>
      <c r="B455" s="4" t="e">
        <f ca="1">SplineInterp(INDIRECT("A" &amp; ROW()),INDIRECT("'" &amp;Master!$F$10&amp; "'!$A$2:$A$50"),INDIRECT("'" &amp;Master!$F$10&amp; "'!$B$2:$B$50"))</f>
        <v>#VALUE!</v>
      </c>
      <c r="C455" s="4" t="e">
        <f ca="1">SplineInterp(A455,INDIRECT("'" &amp;Master!$F$10&amp; "'!$A$2:$A$50"),INDIRECT("'" &amp;Master!$F$10&amp; "'!$C$2:$C$50"))</f>
        <v>#VALUE!</v>
      </c>
      <c r="D455" s="4" t="e">
        <f ca="1">SplineInterp(A455,INDIRECT("'" &amp;Master!$F$10&amp; "'!$A$2:$A$50"),INDIRECT("'" &amp;Master!$F$10&amp; "'!$D$2:$D$50"))</f>
        <v>#VALUE!</v>
      </c>
      <c r="E455" s="4" t="e">
        <f ca="1">SplineInterp(A455,INDIRECT("'" &amp;Master!$F$10&amp; "'!$A$2:$A$50"),INDIRECT("'" &amp;Master!$F$10&amp; "'!$E$2:$E$50"))</f>
        <v>#VALUE!</v>
      </c>
      <c r="F455" s="4" t="e">
        <f ca="1">SplineInterp(A455,INDIRECT("'" &amp;Master!$F$10&amp; "'!$A$2:$A$50"),INDIRECT("'" &amp;Master!$F$10&amp; "'!$F$2:$F$50"))</f>
        <v>#VALUE!</v>
      </c>
      <c r="G455" s="4" t="e">
        <f ca="1">SplineInterp(A455,INDIRECT("'" &amp;Master!$F$10&amp; "'!$A$2:$A$50"),INDIRECT("'" &amp;Master!$F$10&amp; "'!$G$2:$G$50"))</f>
        <v>#VALUE!</v>
      </c>
      <c r="H455" s="4" t="e">
        <f ca="1">SplineInterp(A455,INDIRECT("'" &amp;Master!$F$10&amp; "'!$A$2:$A$50"),INDIRECT("'" &amp;Master!$F$10&amp; "'!$H$2:$H$50"))</f>
        <v>#VALUE!</v>
      </c>
      <c r="I455" s="4" t="e">
        <f ca="1">IF(OR(INDIRECT("'" &amp; Master!$F$8 &amp; Master!$F$6 &amp; "'!B" &amp; ROW(B455))="", INDIRECT("'" &amp; Master!$F$8 &amp; Master!$F$6 &amp; "'!B" &amp; ROW(B455))=0), "", INDIRECT("'" &amp; Master!$F$8 &amp; Master!$F$6 &amp; "'!B" &amp; ROW(B455)))</f>
        <v>#VALUE!</v>
      </c>
      <c r="J455" s="9" t="e">
        <f t="shared" ca="1" si="49"/>
        <v>#VALUE!</v>
      </c>
      <c r="K455" s="7" t="e">
        <f t="shared" ca="1" si="50"/>
        <v>#VALUE!</v>
      </c>
      <c r="L455" s="7" t="e">
        <f t="shared" ca="1" si="51"/>
        <v>#VALUE!</v>
      </c>
      <c r="M455" s="7" t="e">
        <f t="shared" ca="1" si="52"/>
        <v>#VALUE!</v>
      </c>
      <c r="N455" s="7" t="e">
        <f t="shared" ca="1" si="53"/>
        <v>#VALUE!</v>
      </c>
      <c r="O455" s="7" t="e">
        <f t="shared" ca="1" si="54"/>
        <v>#VALUE!</v>
      </c>
      <c r="P455" s="7" t="e">
        <f t="shared" ca="1" si="55"/>
        <v>#VALUE!</v>
      </c>
    </row>
    <row r="456" spans="1:16" x14ac:dyDescent="0.25">
      <c r="A456" s="19" t="str">
        <f ca="1">IF(OR(INDIRECT("'" &amp; Master!$F$8 &amp; Master!$F$6 &amp; "'!A" &amp; ROW(A456))="", INDIRECT("'" &amp; Master!$F$8 &amp; Master!$F$6 &amp; "'!A" &amp; ROW(A456))=0), "", INDIRECT("'" &amp; Master!$F$8 &amp; Master!$F$6 &amp; "'!A" &amp; ROW(A456)))</f>
        <v/>
      </c>
      <c r="B456" s="4" t="e">
        <f ca="1">SplineInterp(INDIRECT("A" &amp; ROW()),INDIRECT("'" &amp;Master!$F$10&amp; "'!$A$2:$A$50"),INDIRECT("'" &amp;Master!$F$10&amp; "'!$B$2:$B$50"))</f>
        <v>#VALUE!</v>
      </c>
      <c r="C456" s="4" t="e">
        <f ca="1">SplineInterp(A456,INDIRECT("'" &amp;Master!$F$10&amp; "'!$A$2:$A$50"),INDIRECT("'" &amp;Master!$F$10&amp; "'!$C$2:$C$50"))</f>
        <v>#VALUE!</v>
      </c>
      <c r="D456" s="4" t="e">
        <f ca="1">SplineInterp(A456,INDIRECT("'" &amp;Master!$F$10&amp; "'!$A$2:$A$50"),INDIRECT("'" &amp;Master!$F$10&amp; "'!$D$2:$D$50"))</f>
        <v>#VALUE!</v>
      </c>
      <c r="E456" s="4" t="e">
        <f ca="1">SplineInterp(A456,INDIRECT("'" &amp;Master!$F$10&amp; "'!$A$2:$A$50"),INDIRECT("'" &amp;Master!$F$10&amp; "'!$E$2:$E$50"))</f>
        <v>#VALUE!</v>
      </c>
      <c r="F456" s="4" t="e">
        <f ca="1">SplineInterp(A456,INDIRECT("'" &amp;Master!$F$10&amp; "'!$A$2:$A$50"),INDIRECT("'" &amp;Master!$F$10&amp; "'!$F$2:$F$50"))</f>
        <v>#VALUE!</v>
      </c>
      <c r="G456" s="4" t="e">
        <f ca="1">SplineInterp(A456,INDIRECT("'" &amp;Master!$F$10&amp; "'!$A$2:$A$50"),INDIRECT("'" &amp;Master!$F$10&amp; "'!$G$2:$G$50"))</f>
        <v>#VALUE!</v>
      </c>
      <c r="H456" s="4" t="e">
        <f ca="1">SplineInterp(A456,INDIRECT("'" &amp;Master!$F$10&amp; "'!$A$2:$A$50"),INDIRECT("'" &amp;Master!$F$10&amp; "'!$H$2:$H$50"))</f>
        <v>#VALUE!</v>
      </c>
      <c r="I456" s="4" t="e">
        <f ca="1">IF(OR(INDIRECT("'" &amp; Master!$F$8 &amp; Master!$F$6 &amp; "'!B" &amp; ROW(B456))="", INDIRECT("'" &amp; Master!$F$8 &amp; Master!$F$6 &amp; "'!B" &amp; ROW(B456))=0), "", INDIRECT("'" &amp; Master!$F$8 &amp; Master!$F$6 &amp; "'!B" &amp; ROW(B456)))</f>
        <v>#VALUE!</v>
      </c>
      <c r="J456" s="9" t="e">
        <f t="shared" ca="1" si="49"/>
        <v>#VALUE!</v>
      </c>
      <c r="K456" s="7" t="e">
        <f t="shared" ca="1" si="50"/>
        <v>#VALUE!</v>
      </c>
      <c r="L456" s="7" t="e">
        <f t="shared" ca="1" si="51"/>
        <v>#VALUE!</v>
      </c>
      <c r="M456" s="7" t="e">
        <f t="shared" ca="1" si="52"/>
        <v>#VALUE!</v>
      </c>
      <c r="N456" s="7" t="e">
        <f t="shared" ca="1" si="53"/>
        <v>#VALUE!</v>
      </c>
      <c r="O456" s="7" t="e">
        <f t="shared" ca="1" si="54"/>
        <v>#VALUE!</v>
      </c>
      <c r="P456" s="7" t="e">
        <f t="shared" ca="1" si="55"/>
        <v>#VALUE!</v>
      </c>
    </row>
    <row r="457" spans="1:16" x14ac:dyDescent="0.25">
      <c r="A457" s="19" t="str">
        <f ca="1">IF(OR(INDIRECT("'" &amp; Master!$F$8 &amp; Master!$F$6 &amp; "'!A" &amp; ROW(A457))="", INDIRECT("'" &amp; Master!$F$8 &amp; Master!$F$6 &amp; "'!A" &amp; ROW(A457))=0), "", INDIRECT("'" &amp; Master!$F$8 &amp; Master!$F$6 &amp; "'!A" &amp; ROW(A457)))</f>
        <v/>
      </c>
      <c r="B457" s="4" t="e">
        <f ca="1">SplineInterp(INDIRECT("A" &amp; ROW()),INDIRECT("'" &amp;Master!$F$10&amp; "'!$A$2:$A$50"),INDIRECT("'" &amp;Master!$F$10&amp; "'!$B$2:$B$50"))</f>
        <v>#VALUE!</v>
      </c>
      <c r="C457" s="4" t="e">
        <f ca="1">SplineInterp(A457,INDIRECT("'" &amp;Master!$F$10&amp; "'!$A$2:$A$50"),INDIRECT("'" &amp;Master!$F$10&amp; "'!$C$2:$C$50"))</f>
        <v>#VALUE!</v>
      </c>
      <c r="D457" s="4" t="e">
        <f ca="1">SplineInterp(A457,INDIRECT("'" &amp;Master!$F$10&amp; "'!$A$2:$A$50"),INDIRECT("'" &amp;Master!$F$10&amp; "'!$D$2:$D$50"))</f>
        <v>#VALUE!</v>
      </c>
      <c r="E457" s="4" t="e">
        <f ca="1">SplineInterp(A457,INDIRECT("'" &amp;Master!$F$10&amp; "'!$A$2:$A$50"),INDIRECT("'" &amp;Master!$F$10&amp; "'!$E$2:$E$50"))</f>
        <v>#VALUE!</v>
      </c>
      <c r="F457" s="4" t="e">
        <f ca="1">SplineInterp(A457,INDIRECT("'" &amp;Master!$F$10&amp; "'!$A$2:$A$50"),INDIRECT("'" &amp;Master!$F$10&amp; "'!$F$2:$F$50"))</f>
        <v>#VALUE!</v>
      </c>
      <c r="G457" s="4" t="e">
        <f ca="1">SplineInterp(A457,INDIRECT("'" &amp;Master!$F$10&amp; "'!$A$2:$A$50"),INDIRECT("'" &amp;Master!$F$10&amp; "'!$G$2:$G$50"))</f>
        <v>#VALUE!</v>
      </c>
      <c r="H457" s="4" t="e">
        <f ca="1">SplineInterp(A457,INDIRECT("'" &amp;Master!$F$10&amp; "'!$A$2:$A$50"),INDIRECT("'" &amp;Master!$F$10&amp; "'!$H$2:$H$50"))</f>
        <v>#VALUE!</v>
      </c>
      <c r="I457" s="4" t="e">
        <f ca="1">IF(OR(INDIRECT("'" &amp; Master!$F$8 &amp; Master!$F$6 &amp; "'!B" &amp; ROW(B457))="", INDIRECT("'" &amp; Master!$F$8 &amp; Master!$F$6 &amp; "'!B" &amp; ROW(B457))=0), "", INDIRECT("'" &amp; Master!$F$8 &amp; Master!$F$6 &amp; "'!B" &amp; ROW(B457)))</f>
        <v>#VALUE!</v>
      </c>
      <c r="J457" s="9" t="e">
        <f t="shared" ca="1" si="49"/>
        <v>#VALUE!</v>
      </c>
      <c r="K457" s="7" t="e">
        <f t="shared" ca="1" si="50"/>
        <v>#VALUE!</v>
      </c>
      <c r="L457" s="7" t="e">
        <f t="shared" ca="1" si="51"/>
        <v>#VALUE!</v>
      </c>
      <c r="M457" s="7" t="e">
        <f t="shared" ca="1" si="52"/>
        <v>#VALUE!</v>
      </c>
      <c r="N457" s="7" t="e">
        <f t="shared" ca="1" si="53"/>
        <v>#VALUE!</v>
      </c>
      <c r="O457" s="7" t="e">
        <f t="shared" ca="1" si="54"/>
        <v>#VALUE!</v>
      </c>
      <c r="P457" s="7" t="e">
        <f t="shared" ca="1" si="55"/>
        <v>#VALUE!</v>
      </c>
    </row>
    <row r="458" spans="1:16" x14ac:dyDescent="0.25">
      <c r="A458" s="19" t="str">
        <f ca="1">IF(OR(INDIRECT("'" &amp; Master!$F$8 &amp; Master!$F$6 &amp; "'!A" &amp; ROW(A458))="", INDIRECT("'" &amp; Master!$F$8 &amp; Master!$F$6 &amp; "'!A" &amp; ROW(A458))=0), "", INDIRECT("'" &amp; Master!$F$8 &amp; Master!$F$6 &amp; "'!A" &amp; ROW(A458)))</f>
        <v/>
      </c>
      <c r="B458" s="4" t="e">
        <f ca="1">SplineInterp(INDIRECT("A" &amp; ROW()),INDIRECT("'" &amp;Master!$F$10&amp; "'!$A$2:$A$50"),INDIRECT("'" &amp;Master!$F$10&amp; "'!$B$2:$B$50"))</f>
        <v>#VALUE!</v>
      </c>
      <c r="C458" s="4" t="e">
        <f ca="1">SplineInterp(A458,INDIRECT("'" &amp;Master!$F$10&amp; "'!$A$2:$A$50"),INDIRECT("'" &amp;Master!$F$10&amp; "'!$C$2:$C$50"))</f>
        <v>#VALUE!</v>
      </c>
      <c r="D458" s="4" t="e">
        <f ca="1">SplineInterp(A458,INDIRECT("'" &amp;Master!$F$10&amp; "'!$A$2:$A$50"),INDIRECT("'" &amp;Master!$F$10&amp; "'!$D$2:$D$50"))</f>
        <v>#VALUE!</v>
      </c>
      <c r="E458" s="4" t="e">
        <f ca="1">SplineInterp(A458,INDIRECT("'" &amp;Master!$F$10&amp; "'!$A$2:$A$50"),INDIRECT("'" &amp;Master!$F$10&amp; "'!$E$2:$E$50"))</f>
        <v>#VALUE!</v>
      </c>
      <c r="F458" s="4" t="e">
        <f ca="1">SplineInterp(A458,INDIRECT("'" &amp;Master!$F$10&amp; "'!$A$2:$A$50"),INDIRECT("'" &amp;Master!$F$10&amp; "'!$F$2:$F$50"))</f>
        <v>#VALUE!</v>
      </c>
      <c r="G458" s="4" t="e">
        <f ca="1">SplineInterp(A458,INDIRECT("'" &amp;Master!$F$10&amp; "'!$A$2:$A$50"),INDIRECT("'" &amp;Master!$F$10&amp; "'!$G$2:$G$50"))</f>
        <v>#VALUE!</v>
      </c>
      <c r="H458" s="4" t="e">
        <f ca="1">SplineInterp(A458,INDIRECT("'" &amp;Master!$F$10&amp; "'!$A$2:$A$50"),INDIRECT("'" &amp;Master!$F$10&amp; "'!$H$2:$H$50"))</f>
        <v>#VALUE!</v>
      </c>
      <c r="I458" s="4" t="e">
        <f ca="1">IF(OR(INDIRECT("'" &amp; Master!$F$8 &amp; Master!$F$6 &amp; "'!B" &amp; ROW(B458))="", INDIRECT("'" &amp; Master!$F$8 &amp; Master!$F$6 &amp; "'!B" &amp; ROW(B458))=0), "", INDIRECT("'" &amp; Master!$F$8 &amp; Master!$F$6 &amp; "'!B" &amp; ROW(B458)))</f>
        <v>#VALUE!</v>
      </c>
      <c r="J458" s="9" t="e">
        <f t="shared" ca="1" si="49"/>
        <v>#VALUE!</v>
      </c>
      <c r="K458" s="7" t="e">
        <f t="shared" ca="1" si="50"/>
        <v>#VALUE!</v>
      </c>
      <c r="L458" s="7" t="e">
        <f t="shared" ca="1" si="51"/>
        <v>#VALUE!</v>
      </c>
      <c r="M458" s="7" t="e">
        <f t="shared" ca="1" si="52"/>
        <v>#VALUE!</v>
      </c>
      <c r="N458" s="7" t="e">
        <f t="shared" ca="1" si="53"/>
        <v>#VALUE!</v>
      </c>
      <c r="O458" s="7" t="e">
        <f t="shared" ca="1" si="54"/>
        <v>#VALUE!</v>
      </c>
      <c r="P458" s="7" t="e">
        <f t="shared" ca="1" si="55"/>
        <v>#VALUE!</v>
      </c>
    </row>
    <row r="459" spans="1:16" x14ac:dyDescent="0.25">
      <c r="A459" s="19" t="str">
        <f ca="1">IF(OR(INDIRECT("'" &amp; Master!$F$8 &amp; Master!$F$6 &amp; "'!A" &amp; ROW(A459))="", INDIRECT("'" &amp; Master!$F$8 &amp; Master!$F$6 &amp; "'!A" &amp; ROW(A459))=0), "", INDIRECT("'" &amp; Master!$F$8 &amp; Master!$F$6 &amp; "'!A" &amp; ROW(A459)))</f>
        <v/>
      </c>
      <c r="B459" s="4" t="e">
        <f ca="1">SplineInterp(INDIRECT("A" &amp; ROW()),INDIRECT("'" &amp;Master!$F$10&amp; "'!$A$2:$A$50"),INDIRECT("'" &amp;Master!$F$10&amp; "'!$B$2:$B$50"))</f>
        <v>#VALUE!</v>
      </c>
      <c r="C459" s="4" t="e">
        <f ca="1">SplineInterp(A459,INDIRECT("'" &amp;Master!$F$10&amp; "'!$A$2:$A$50"),INDIRECT("'" &amp;Master!$F$10&amp; "'!$C$2:$C$50"))</f>
        <v>#VALUE!</v>
      </c>
      <c r="D459" s="4" t="e">
        <f ca="1">SplineInterp(A459,INDIRECT("'" &amp;Master!$F$10&amp; "'!$A$2:$A$50"),INDIRECT("'" &amp;Master!$F$10&amp; "'!$D$2:$D$50"))</f>
        <v>#VALUE!</v>
      </c>
      <c r="E459" s="4" t="e">
        <f ca="1">SplineInterp(A459,INDIRECT("'" &amp;Master!$F$10&amp; "'!$A$2:$A$50"),INDIRECT("'" &amp;Master!$F$10&amp; "'!$E$2:$E$50"))</f>
        <v>#VALUE!</v>
      </c>
      <c r="F459" s="4" t="e">
        <f ca="1">SplineInterp(A459,INDIRECT("'" &amp;Master!$F$10&amp; "'!$A$2:$A$50"),INDIRECT("'" &amp;Master!$F$10&amp; "'!$F$2:$F$50"))</f>
        <v>#VALUE!</v>
      </c>
      <c r="G459" s="4" t="e">
        <f ca="1">SplineInterp(A459,INDIRECT("'" &amp;Master!$F$10&amp; "'!$A$2:$A$50"),INDIRECT("'" &amp;Master!$F$10&amp; "'!$G$2:$G$50"))</f>
        <v>#VALUE!</v>
      </c>
      <c r="H459" s="4" t="e">
        <f ca="1">SplineInterp(A459,INDIRECT("'" &amp;Master!$F$10&amp; "'!$A$2:$A$50"),INDIRECT("'" &amp;Master!$F$10&amp; "'!$H$2:$H$50"))</f>
        <v>#VALUE!</v>
      </c>
      <c r="I459" s="4" t="e">
        <f ca="1">IF(OR(INDIRECT("'" &amp; Master!$F$8 &amp; Master!$F$6 &amp; "'!B" &amp; ROW(B459))="", INDIRECT("'" &amp; Master!$F$8 &amp; Master!$F$6 &amp; "'!B" &amp; ROW(B459))=0), "", INDIRECT("'" &amp; Master!$F$8 &amp; Master!$F$6 &amp; "'!B" &amp; ROW(B459)))</f>
        <v>#VALUE!</v>
      </c>
      <c r="J459" s="9" t="e">
        <f t="shared" ca="1" si="49"/>
        <v>#VALUE!</v>
      </c>
      <c r="K459" s="7" t="e">
        <f t="shared" ca="1" si="50"/>
        <v>#VALUE!</v>
      </c>
      <c r="L459" s="7" t="e">
        <f t="shared" ca="1" si="51"/>
        <v>#VALUE!</v>
      </c>
      <c r="M459" s="7" t="e">
        <f t="shared" ca="1" si="52"/>
        <v>#VALUE!</v>
      </c>
      <c r="N459" s="7" t="e">
        <f t="shared" ca="1" si="53"/>
        <v>#VALUE!</v>
      </c>
      <c r="O459" s="7" t="e">
        <f t="shared" ca="1" si="54"/>
        <v>#VALUE!</v>
      </c>
      <c r="P459" s="7" t="e">
        <f t="shared" ca="1" si="55"/>
        <v>#VALUE!</v>
      </c>
    </row>
    <row r="460" spans="1:16" x14ac:dyDescent="0.25">
      <c r="A460" s="19" t="str">
        <f ca="1">IF(OR(INDIRECT("'" &amp; Master!$F$8 &amp; Master!$F$6 &amp; "'!A" &amp; ROW(A460))="", INDIRECT("'" &amp; Master!$F$8 &amp; Master!$F$6 &amp; "'!A" &amp; ROW(A460))=0), "", INDIRECT("'" &amp; Master!$F$8 &amp; Master!$F$6 &amp; "'!A" &amp; ROW(A460)))</f>
        <v/>
      </c>
      <c r="B460" s="4" t="e">
        <f ca="1">SplineInterp(INDIRECT("A" &amp; ROW()),INDIRECT("'" &amp;Master!$F$10&amp; "'!$A$2:$A$50"),INDIRECT("'" &amp;Master!$F$10&amp; "'!$B$2:$B$50"))</f>
        <v>#VALUE!</v>
      </c>
      <c r="C460" s="4" t="e">
        <f ca="1">SplineInterp(A460,INDIRECT("'" &amp;Master!$F$10&amp; "'!$A$2:$A$50"),INDIRECT("'" &amp;Master!$F$10&amp; "'!$C$2:$C$50"))</f>
        <v>#VALUE!</v>
      </c>
      <c r="D460" s="4" t="e">
        <f ca="1">SplineInterp(A460,INDIRECT("'" &amp;Master!$F$10&amp; "'!$A$2:$A$50"),INDIRECT("'" &amp;Master!$F$10&amp; "'!$D$2:$D$50"))</f>
        <v>#VALUE!</v>
      </c>
      <c r="E460" s="4" t="e">
        <f ca="1">SplineInterp(A460,INDIRECT("'" &amp;Master!$F$10&amp; "'!$A$2:$A$50"),INDIRECT("'" &amp;Master!$F$10&amp; "'!$E$2:$E$50"))</f>
        <v>#VALUE!</v>
      </c>
      <c r="F460" s="4" t="e">
        <f ca="1">SplineInterp(A460,INDIRECT("'" &amp;Master!$F$10&amp; "'!$A$2:$A$50"),INDIRECT("'" &amp;Master!$F$10&amp; "'!$F$2:$F$50"))</f>
        <v>#VALUE!</v>
      </c>
      <c r="G460" s="4" t="e">
        <f ca="1">SplineInterp(A460,INDIRECT("'" &amp;Master!$F$10&amp; "'!$A$2:$A$50"),INDIRECT("'" &amp;Master!$F$10&amp; "'!$G$2:$G$50"))</f>
        <v>#VALUE!</v>
      </c>
      <c r="H460" s="4" t="e">
        <f ca="1">SplineInterp(A460,INDIRECT("'" &amp;Master!$F$10&amp; "'!$A$2:$A$50"),INDIRECT("'" &amp;Master!$F$10&amp; "'!$H$2:$H$50"))</f>
        <v>#VALUE!</v>
      </c>
      <c r="I460" s="4" t="e">
        <f ca="1">IF(OR(INDIRECT("'" &amp; Master!$F$8 &amp; Master!$F$6 &amp; "'!B" &amp; ROW(B460))="", INDIRECT("'" &amp; Master!$F$8 &amp; Master!$F$6 &amp; "'!B" &amp; ROW(B460))=0), "", INDIRECT("'" &amp; Master!$F$8 &amp; Master!$F$6 &amp; "'!B" &amp; ROW(B460)))</f>
        <v>#VALUE!</v>
      </c>
      <c r="J460" s="9" t="e">
        <f t="shared" ca="1" si="49"/>
        <v>#VALUE!</v>
      </c>
      <c r="K460" s="7" t="e">
        <f t="shared" ca="1" si="50"/>
        <v>#VALUE!</v>
      </c>
      <c r="L460" s="7" t="e">
        <f t="shared" ca="1" si="51"/>
        <v>#VALUE!</v>
      </c>
      <c r="M460" s="7" t="e">
        <f t="shared" ca="1" si="52"/>
        <v>#VALUE!</v>
      </c>
      <c r="N460" s="7" t="e">
        <f t="shared" ca="1" si="53"/>
        <v>#VALUE!</v>
      </c>
      <c r="O460" s="7" t="e">
        <f t="shared" ca="1" si="54"/>
        <v>#VALUE!</v>
      </c>
      <c r="P460" s="7" t="e">
        <f t="shared" ca="1" si="55"/>
        <v>#VALUE!</v>
      </c>
    </row>
    <row r="461" spans="1:16" x14ac:dyDescent="0.25">
      <c r="A461" s="19" t="str">
        <f ca="1">IF(OR(INDIRECT("'" &amp; Master!$F$8 &amp; Master!$F$6 &amp; "'!A" &amp; ROW(A461))="", INDIRECT("'" &amp; Master!$F$8 &amp; Master!$F$6 &amp; "'!A" &amp; ROW(A461))=0), "", INDIRECT("'" &amp; Master!$F$8 &amp; Master!$F$6 &amp; "'!A" &amp; ROW(A461)))</f>
        <v/>
      </c>
      <c r="B461" s="4" t="e">
        <f ca="1">SplineInterp(INDIRECT("A" &amp; ROW()),INDIRECT("'" &amp;Master!$F$10&amp; "'!$A$2:$A$50"),INDIRECT("'" &amp;Master!$F$10&amp; "'!$B$2:$B$50"))</f>
        <v>#VALUE!</v>
      </c>
      <c r="C461" s="4" t="e">
        <f ca="1">SplineInterp(A461,INDIRECT("'" &amp;Master!$F$10&amp; "'!$A$2:$A$50"),INDIRECT("'" &amp;Master!$F$10&amp; "'!$C$2:$C$50"))</f>
        <v>#VALUE!</v>
      </c>
      <c r="D461" s="4" t="e">
        <f ca="1">SplineInterp(A461,INDIRECT("'" &amp;Master!$F$10&amp; "'!$A$2:$A$50"),INDIRECT("'" &amp;Master!$F$10&amp; "'!$D$2:$D$50"))</f>
        <v>#VALUE!</v>
      </c>
      <c r="E461" s="4" t="e">
        <f ca="1">SplineInterp(A461,INDIRECT("'" &amp;Master!$F$10&amp; "'!$A$2:$A$50"),INDIRECT("'" &amp;Master!$F$10&amp; "'!$E$2:$E$50"))</f>
        <v>#VALUE!</v>
      </c>
      <c r="F461" s="4" t="e">
        <f ca="1">SplineInterp(A461,INDIRECT("'" &amp;Master!$F$10&amp; "'!$A$2:$A$50"),INDIRECT("'" &amp;Master!$F$10&amp; "'!$F$2:$F$50"))</f>
        <v>#VALUE!</v>
      </c>
      <c r="G461" s="4" t="e">
        <f ca="1">SplineInterp(A461,INDIRECT("'" &amp;Master!$F$10&amp; "'!$A$2:$A$50"),INDIRECT("'" &amp;Master!$F$10&amp; "'!$G$2:$G$50"))</f>
        <v>#VALUE!</v>
      </c>
      <c r="H461" s="4" t="e">
        <f ca="1">SplineInterp(A461,INDIRECT("'" &amp;Master!$F$10&amp; "'!$A$2:$A$50"),INDIRECT("'" &amp;Master!$F$10&amp; "'!$H$2:$H$50"))</f>
        <v>#VALUE!</v>
      </c>
      <c r="I461" s="4" t="e">
        <f ca="1">IF(OR(INDIRECT("'" &amp; Master!$F$8 &amp; Master!$F$6 &amp; "'!B" &amp; ROW(B461))="", INDIRECT("'" &amp; Master!$F$8 &amp; Master!$F$6 &amp; "'!B" &amp; ROW(B461))=0), "", INDIRECT("'" &amp; Master!$F$8 &amp; Master!$F$6 &amp; "'!B" &amp; ROW(B461)))</f>
        <v>#VALUE!</v>
      </c>
      <c r="J461" s="9" t="e">
        <f t="shared" ca="1" si="49"/>
        <v>#VALUE!</v>
      </c>
      <c r="K461" s="7" t="e">
        <f t="shared" ca="1" si="50"/>
        <v>#VALUE!</v>
      </c>
      <c r="L461" s="7" t="e">
        <f t="shared" ca="1" si="51"/>
        <v>#VALUE!</v>
      </c>
      <c r="M461" s="7" t="e">
        <f t="shared" ca="1" si="52"/>
        <v>#VALUE!</v>
      </c>
      <c r="N461" s="7" t="e">
        <f t="shared" ca="1" si="53"/>
        <v>#VALUE!</v>
      </c>
      <c r="O461" s="7" t="e">
        <f t="shared" ca="1" si="54"/>
        <v>#VALUE!</v>
      </c>
      <c r="P461" s="7" t="e">
        <f t="shared" ca="1" si="55"/>
        <v>#VALUE!</v>
      </c>
    </row>
    <row r="462" spans="1:16" x14ac:dyDescent="0.25">
      <c r="A462" s="19" t="str">
        <f ca="1">IF(OR(INDIRECT("'" &amp; Master!$F$8 &amp; Master!$F$6 &amp; "'!A" &amp; ROW(A462))="", INDIRECT("'" &amp; Master!$F$8 &amp; Master!$F$6 &amp; "'!A" &amp; ROW(A462))=0), "", INDIRECT("'" &amp; Master!$F$8 &amp; Master!$F$6 &amp; "'!A" &amp; ROW(A462)))</f>
        <v/>
      </c>
      <c r="B462" s="4" t="e">
        <f ca="1">SplineInterp(INDIRECT("A" &amp; ROW()),INDIRECT("'" &amp;Master!$F$10&amp; "'!$A$2:$A$50"),INDIRECT("'" &amp;Master!$F$10&amp; "'!$B$2:$B$50"))</f>
        <v>#VALUE!</v>
      </c>
      <c r="C462" s="4" t="e">
        <f ca="1">SplineInterp(A462,INDIRECT("'" &amp;Master!$F$10&amp; "'!$A$2:$A$50"),INDIRECT("'" &amp;Master!$F$10&amp; "'!$C$2:$C$50"))</f>
        <v>#VALUE!</v>
      </c>
      <c r="D462" s="4" t="e">
        <f ca="1">SplineInterp(A462,INDIRECT("'" &amp;Master!$F$10&amp; "'!$A$2:$A$50"),INDIRECT("'" &amp;Master!$F$10&amp; "'!$D$2:$D$50"))</f>
        <v>#VALUE!</v>
      </c>
      <c r="E462" s="4" t="e">
        <f ca="1">SplineInterp(A462,INDIRECT("'" &amp;Master!$F$10&amp; "'!$A$2:$A$50"),INDIRECT("'" &amp;Master!$F$10&amp; "'!$E$2:$E$50"))</f>
        <v>#VALUE!</v>
      </c>
      <c r="F462" s="4" t="e">
        <f ca="1">SplineInterp(A462,INDIRECT("'" &amp;Master!$F$10&amp; "'!$A$2:$A$50"),INDIRECT("'" &amp;Master!$F$10&amp; "'!$F$2:$F$50"))</f>
        <v>#VALUE!</v>
      </c>
      <c r="G462" s="4" t="e">
        <f ca="1">SplineInterp(A462,INDIRECT("'" &amp;Master!$F$10&amp; "'!$A$2:$A$50"),INDIRECT("'" &amp;Master!$F$10&amp; "'!$G$2:$G$50"))</f>
        <v>#VALUE!</v>
      </c>
      <c r="H462" s="4" t="e">
        <f ca="1">SplineInterp(A462,INDIRECT("'" &amp;Master!$F$10&amp; "'!$A$2:$A$50"),INDIRECT("'" &amp;Master!$F$10&amp; "'!$H$2:$H$50"))</f>
        <v>#VALUE!</v>
      </c>
      <c r="I462" s="4" t="e">
        <f ca="1">IF(OR(INDIRECT("'" &amp; Master!$F$8 &amp; Master!$F$6 &amp; "'!B" &amp; ROW(B462))="", INDIRECT("'" &amp; Master!$F$8 &amp; Master!$F$6 &amp; "'!B" &amp; ROW(B462))=0), "", INDIRECT("'" &amp; Master!$F$8 &amp; Master!$F$6 &amp; "'!B" &amp; ROW(B462)))</f>
        <v>#VALUE!</v>
      </c>
      <c r="J462" s="9" t="e">
        <f t="shared" ca="1" si="49"/>
        <v>#VALUE!</v>
      </c>
      <c r="K462" s="7" t="e">
        <f t="shared" ca="1" si="50"/>
        <v>#VALUE!</v>
      </c>
      <c r="L462" s="7" t="e">
        <f t="shared" ca="1" si="51"/>
        <v>#VALUE!</v>
      </c>
      <c r="M462" s="7" t="e">
        <f t="shared" ca="1" si="52"/>
        <v>#VALUE!</v>
      </c>
      <c r="N462" s="7" t="e">
        <f t="shared" ca="1" si="53"/>
        <v>#VALUE!</v>
      </c>
      <c r="O462" s="7" t="e">
        <f t="shared" ca="1" si="54"/>
        <v>#VALUE!</v>
      </c>
      <c r="P462" s="7" t="e">
        <f t="shared" ca="1" si="55"/>
        <v>#VALUE!</v>
      </c>
    </row>
    <row r="463" spans="1:16" x14ac:dyDescent="0.25">
      <c r="A463" s="19" t="str">
        <f ca="1">IF(OR(INDIRECT("'" &amp; Master!$F$8 &amp; Master!$F$6 &amp; "'!A" &amp; ROW(A463))="", INDIRECT("'" &amp; Master!$F$8 &amp; Master!$F$6 &amp; "'!A" &amp; ROW(A463))=0), "", INDIRECT("'" &amp; Master!$F$8 &amp; Master!$F$6 &amp; "'!A" &amp; ROW(A463)))</f>
        <v/>
      </c>
      <c r="B463" s="4" t="e">
        <f ca="1">SplineInterp(INDIRECT("A" &amp; ROW()),INDIRECT("'" &amp;Master!$F$10&amp; "'!$A$2:$A$50"),INDIRECT("'" &amp;Master!$F$10&amp; "'!$B$2:$B$50"))</f>
        <v>#VALUE!</v>
      </c>
      <c r="C463" s="4" t="e">
        <f ca="1">SplineInterp(A463,INDIRECT("'" &amp;Master!$F$10&amp; "'!$A$2:$A$50"),INDIRECT("'" &amp;Master!$F$10&amp; "'!$C$2:$C$50"))</f>
        <v>#VALUE!</v>
      </c>
      <c r="D463" s="4" t="e">
        <f ca="1">SplineInterp(A463,INDIRECT("'" &amp;Master!$F$10&amp; "'!$A$2:$A$50"),INDIRECT("'" &amp;Master!$F$10&amp; "'!$D$2:$D$50"))</f>
        <v>#VALUE!</v>
      </c>
      <c r="E463" s="4" t="e">
        <f ca="1">SplineInterp(A463,INDIRECT("'" &amp;Master!$F$10&amp; "'!$A$2:$A$50"),INDIRECT("'" &amp;Master!$F$10&amp; "'!$E$2:$E$50"))</f>
        <v>#VALUE!</v>
      </c>
      <c r="F463" s="4" t="e">
        <f ca="1">SplineInterp(A463,INDIRECT("'" &amp;Master!$F$10&amp; "'!$A$2:$A$50"),INDIRECT("'" &amp;Master!$F$10&amp; "'!$F$2:$F$50"))</f>
        <v>#VALUE!</v>
      </c>
      <c r="G463" s="4" t="e">
        <f ca="1">SplineInterp(A463,INDIRECT("'" &amp;Master!$F$10&amp; "'!$A$2:$A$50"),INDIRECT("'" &amp;Master!$F$10&amp; "'!$G$2:$G$50"))</f>
        <v>#VALUE!</v>
      </c>
      <c r="H463" s="4" t="e">
        <f ca="1">SplineInterp(A463,INDIRECT("'" &amp;Master!$F$10&amp; "'!$A$2:$A$50"),INDIRECT("'" &amp;Master!$F$10&amp; "'!$H$2:$H$50"))</f>
        <v>#VALUE!</v>
      </c>
      <c r="I463" s="4" t="e">
        <f ca="1">IF(OR(INDIRECT("'" &amp; Master!$F$8 &amp; Master!$F$6 &amp; "'!B" &amp; ROW(B463))="", INDIRECT("'" &amp; Master!$F$8 &amp; Master!$F$6 &amp; "'!B" &amp; ROW(B463))=0), "", INDIRECT("'" &amp; Master!$F$8 &amp; Master!$F$6 &amp; "'!B" &amp; ROW(B463)))</f>
        <v>#VALUE!</v>
      </c>
      <c r="J463" s="9" t="e">
        <f t="shared" ca="1" si="49"/>
        <v>#VALUE!</v>
      </c>
      <c r="K463" s="7" t="e">
        <f t="shared" ca="1" si="50"/>
        <v>#VALUE!</v>
      </c>
      <c r="L463" s="7" t="e">
        <f t="shared" ca="1" si="51"/>
        <v>#VALUE!</v>
      </c>
      <c r="M463" s="7" t="e">
        <f t="shared" ca="1" si="52"/>
        <v>#VALUE!</v>
      </c>
      <c r="N463" s="7" t="e">
        <f t="shared" ca="1" si="53"/>
        <v>#VALUE!</v>
      </c>
      <c r="O463" s="7" t="e">
        <f t="shared" ca="1" si="54"/>
        <v>#VALUE!</v>
      </c>
      <c r="P463" s="7" t="e">
        <f t="shared" ca="1" si="55"/>
        <v>#VALUE!</v>
      </c>
    </row>
    <row r="464" spans="1:16" x14ac:dyDescent="0.25">
      <c r="A464" s="19" t="str">
        <f ca="1">IF(OR(INDIRECT("'" &amp; Master!$F$8 &amp; Master!$F$6 &amp; "'!A" &amp; ROW(A464))="", INDIRECT("'" &amp; Master!$F$8 &amp; Master!$F$6 &amp; "'!A" &amp; ROW(A464))=0), "", INDIRECT("'" &amp; Master!$F$8 &amp; Master!$F$6 &amp; "'!A" &amp; ROW(A464)))</f>
        <v/>
      </c>
      <c r="B464" s="4" t="e">
        <f ca="1">SplineInterp(INDIRECT("A" &amp; ROW()),INDIRECT("'" &amp;Master!$F$10&amp; "'!$A$2:$A$50"),INDIRECT("'" &amp;Master!$F$10&amp; "'!$B$2:$B$50"))</f>
        <v>#VALUE!</v>
      </c>
      <c r="C464" s="4" t="e">
        <f ca="1">SplineInterp(A464,INDIRECT("'" &amp;Master!$F$10&amp; "'!$A$2:$A$50"),INDIRECT("'" &amp;Master!$F$10&amp; "'!$C$2:$C$50"))</f>
        <v>#VALUE!</v>
      </c>
      <c r="D464" s="4" t="e">
        <f ca="1">SplineInterp(A464,INDIRECT("'" &amp;Master!$F$10&amp; "'!$A$2:$A$50"),INDIRECT("'" &amp;Master!$F$10&amp; "'!$D$2:$D$50"))</f>
        <v>#VALUE!</v>
      </c>
      <c r="E464" s="4" t="e">
        <f ca="1">SplineInterp(A464,INDIRECT("'" &amp;Master!$F$10&amp; "'!$A$2:$A$50"),INDIRECT("'" &amp;Master!$F$10&amp; "'!$E$2:$E$50"))</f>
        <v>#VALUE!</v>
      </c>
      <c r="F464" s="4" t="e">
        <f ca="1">SplineInterp(A464,INDIRECT("'" &amp;Master!$F$10&amp; "'!$A$2:$A$50"),INDIRECT("'" &amp;Master!$F$10&amp; "'!$F$2:$F$50"))</f>
        <v>#VALUE!</v>
      </c>
      <c r="G464" s="4" t="e">
        <f ca="1">SplineInterp(A464,INDIRECT("'" &amp;Master!$F$10&amp; "'!$A$2:$A$50"),INDIRECT("'" &amp;Master!$F$10&amp; "'!$G$2:$G$50"))</f>
        <v>#VALUE!</v>
      </c>
      <c r="H464" s="4" t="e">
        <f ca="1">SplineInterp(A464,INDIRECT("'" &amp;Master!$F$10&amp; "'!$A$2:$A$50"),INDIRECT("'" &amp;Master!$F$10&amp; "'!$H$2:$H$50"))</f>
        <v>#VALUE!</v>
      </c>
      <c r="I464" s="4" t="e">
        <f ca="1">IF(OR(INDIRECT("'" &amp; Master!$F$8 &amp; Master!$F$6 &amp; "'!B" &amp; ROW(B464))="", INDIRECT("'" &amp; Master!$F$8 &amp; Master!$F$6 &amp; "'!B" &amp; ROW(B464))=0), "", INDIRECT("'" &amp; Master!$F$8 &amp; Master!$F$6 &amp; "'!B" &amp; ROW(B464)))</f>
        <v>#VALUE!</v>
      </c>
      <c r="J464" s="9" t="e">
        <f t="shared" ca="1" si="49"/>
        <v>#VALUE!</v>
      </c>
      <c r="K464" s="7" t="e">
        <f t="shared" ca="1" si="50"/>
        <v>#VALUE!</v>
      </c>
      <c r="L464" s="7" t="e">
        <f t="shared" ca="1" si="51"/>
        <v>#VALUE!</v>
      </c>
      <c r="M464" s="7" t="e">
        <f t="shared" ca="1" si="52"/>
        <v>#VALUE!</v>
      </c>
      <c r="N464" s="7" t="e">
        <f t="shared" ca="1" si="53"/>
        <v>#VALUE!</v>
      </c>
      <c r="O464" s="7" t="e">
        <f t="shared" ca="1" si="54"/>
        <v>#VALUE!</v>
      </c>
      <c r="P464" s="7" t="e">
        <f t="shared" ca="1" si="55"/>
        <v>#VALUE!</v>
      </c>
    </row>
    <row r="465" spans="1:16" x14ac:dyDescent="0.25">
      <c r="A465" s="19" t="str">
        <f ca="1">IF(OR(INDIRECT("'" &amp; Master!$F$8 &amp; Master!$F$6 &amp; "'!A" &amp; ROW(A465))="", INDIRECT("'" &amp; Master!$F$8 &amp; Master!$F$6 &amp; "'!A" &amp; ROW(A465))=0), "", INDIRECT("'" &amp; Master!$F$8 &amp; Master!$F$6 &amp; "'!A" &amp; ROW(A465)))</f>
        <v/>
      </c>
      <c r="B465" s="4" t="e">
        <f ca="1">SplineInterp(INDIRECT("A" &amp; ROW()),INDIRECT("'" &amp;Master!$F$10&amp; "'!$A$2:$A$50"),INDIRECT("'" &amp;Master!$F$10&amp; "'!$B$2:$B$50"))</f>
        <v>#VALUE!</v>
      </c>
      <c r="C465" s="4" t="e">
        <f ca="1">SplineInterp(A465,INDIRECT("'" &amp;Master!$F$10&amp; "'!$A$2:$A$50"),INDIRECT("'" &amp;Master!$F$10&amp; "'!$C$2:$C$50"))</f>
        <v>#VALUE!</v>
      </c>
      <c r="D465" s="4" t="e">
        <f ca="1">SplineInterp(A465,INDIRECT("'" &amp;Master!$F$10&amp; "'!$A$2:$A$50"),INDIRECT("'" &amp;Master!$F$10&amp; "'!$D$2:$D$50"))</f>
        <v>#VALUE!</v>
      </c>
      <c r="E465" s="4" t="e">
        <f ca="1">SplineInterp(A465,INDIRECT("'" &amp;Master!$F$10&amp; "'!$A$2:$A$50"),INDIRECT("'" &amp;Master!$F$10&amp; "'!$E$2:$E$50"))</f>
        <v>#VALUE!</v>
      </c>
      <c r="F465" s="4" t="e">
        <f ca="1">SplineInterp(A465,INDIRECT("'" &amp;Master!$F$10&amp; "'!$A$2:$A$50"),INDIRECT("'" &amp;Master!$F$10&amp; "'!$F$2:$F$50"))</f>
        <v>#VALUE!</v>
      </c>
      <c r="G465" s="4" t="e">
        <f ca="1">SplineInterp(A465,INDIRECT("'" &amp;Master!$F$10&amp; "'!$A$2:$A$50"),INDIRECT("'" &amp;Master!$F$10&amp; "'!$G$2:$G$50"))</f>
        <v>#VALUE!</v>
      </c>
      <c r="H465" s="4" t="e">
        <f ca="1">SplineInterp(A465,INDIRECT("'" &amp;Master!$F$10&amp; "'!$A$2:$A$50"),INDIRECT("'" &amp;Master!$F$10&amp; "'!$H$2:$H$50"))</f>
        <v>#VALUE!</v>
      </c>
      <c r="I465" s="4" t="e">
        <f ca="1">IF(OR(INDIRECT("'" &amp; Master!$F$8 &amp; Master!$F$6 &amp; "'!B" &amp; ROW(B465))="", INDIRECT("'" &amp; Master!$F$8 &amp; Master!$F$6 &amp; "'!B" &amp; ROW(B465))=0), "", INDIRECT("'" &amp; Master!$F$8 &amp; Master!$F$6 &amp; "'!B" &amp; ROW(B465)))</f>
        <v>#VALUE!</v>
      </c>
      <c r="J465" s="9" t="e">
        <f t="shared" ca="1" si="49"/>
        <v>#VALUE!</v>
      </c>
      <c r="K465" s="7" t="e">
        <f t="shared" ca="1" si="50"/>
        <v>#VALUE!</v>
      </c>
      <c r="L465" s="7" t="e">
        <f t="shared" ca="1" si="51"/>
        <v>#VALUE!</v>
      </c>
      <c r="M465" s="7" t="e">
        <f t="shared" ca="1" si="52"/>
        <v>#VALUE!</v>
      </c>
      <c r="N465" s="7" t="e">
        <f t="shared" ca="1" si="53"/>
        <v>#VALUE!</v>
      </c>
      <c r="O465" s="7" t="e">
        <f t="shared" ca="1" si="54"/>
        <v>#VALUE!</v>
      </c>
      <c r="P465" s="7" t="e">
        <f t="shared" ca="1" si="55"/>
        <v>#VALUE!</v>
      </c>
    </row>
    <row r="466" spans="1:16" x14ac:dyDescent="0.25">
      <c r="A466" s="19" t="str">
        <f ca="1">IF(OR(INDIRECT("'" &amp; Master!$F$8 &amp; Master!$F$6 &amp; "'!A" &amp; ROW(A466))="", INDIRECT("'" &amp; Master!$F$8 &amp; Master!$F$6 &amp; "'!A" &amp; ROW(A466))=0), "", INDIRECT("'" &amp; Master!$F$8 &amp; Master!$F$6 &amp; "'!A" &amp; ROW(A466)))</f>
        <v/>
      </c>
      <c r="B466" s="4" t="e">
        <f ca="1">SplineInterp(INDIRECT("A" &amp; ROW()),INDIRECT("'" &amp;Master!$F$10&amp; "'!$A$2:$A$50"),INDIRECT("'" &amp;Master!$F$10&amp; "'!$B$2:$B$50"))</f>
        <v>#VALUE!</v>
      </c>
      <c r="C466" s="4" t="e">
        <f ca="1">SplineInterp(A466,INDIRECT("'" &amp;Master!$F$10&amp; "'!$A$2:$A$50"),INDIRECT("'" &amp;Master!$F$10&amp; "'!$C$2:$C$50"))</f>
        <v>#VALUE!</v>
      </c>
      <c r="D466" s="4" t="e">
        <f ca="1">SplineInterp(A466,INDIRECT("'" &amp;Master!$F$10&amp; "'!$A$2:$A$50"),INDIRECT("'" &amp;Master!$F$10&amp; "'!$D$2:$D$50"))</f>
        <v>#VALUE!</v>
      </c>
      <c r="E466" s="4" t="e">
        <f ca="1">SplineInterp(A466,INDIRECT("'" &amp;Master!$F$10&amp; "'!$A$2:$A$50"),INDIRECT("'" &amp;Master!$F$10&amp; "'!$E$2:$E$50"))</f>
        <v>#VALUE!</v>
      </c>
      <c r="F466" s="4" t="e">
        <f ca="1">SplineInterp(A466,INDIRECT("'" &amp;Master!$F$10&amp; "'!$A$2:$A$50"),INDIRECT("'" &amp;Master!$F$10&amp; "'!$F$2:$F$50"))</f>
        <v>#VALUE!</v>
      </c>
      <c r="G466" s="4" t="e">
        <f ca="1">SplineInterp(A466,INDIRECT("'" &amp;Master!$F$10&amp; "'!$A$2:$A$50"),INDIRECT("'" &amp;Master!$F$10&amp; "'!$G$2:$G$50"))</f>
        <v>#VALUE!</v>
      </c>
      <c r="H466" s="4" t="e">
        <f ca="1">SplineInterp(A466,INDIRECT("'" &amp;Master!$F$10&amp; "'!$A$2:$A$50"),INDIRECT("'" &amp;Master!$F$10&amp; "'!$H$2:$H$50"))</f>
        <v>#VALUE!</v>
      </c>
      <c r="I466" s="4" t="e">
        <f ca="1">IF(OR(INDIRECT("'" &amp; Master!$F$8 &amp; Master!$F$6 &amp; "'!B" &amp; ROW(B466))="", INDIRECT("'" &amp; Master!$F$8 &amp; Master!$F$6 &amp; "'!B" &amp; ROW(B466))=0), "", INDIRECT("'" &amp; Master!$F$8 &amp; Master!$F$6 &amp; "'!B" &amp; ROW(B466)))</f>
        <v>#VALUE!</v>
      </c>
      <c r="J466" s="9" t="e">
        <f t="shared" ca="1" si="49"/>
        <v>#VALUE!</v>
      </c>
      <c r="K466" s="7" t="e">
        <f t="shared" ca="1" si="50"/>
        <v>#VALUE!</v>
      </c>
      <c r="L466" s="7" t="e">
        <f t="shared" ca="1" si="51"/>
        <v>#VALUE!</v>
      </c>
      <c r="M466" s="7" t="e">
        <f t="shared" ca="1" si="52"/>
        <v>#VALUE!</v>
      </c>
      <c r="N466" s="7" t="e">
        <f t="shared" ca="1" si="53"/>
        <v>#VALUE!</v>
      </c>
      <c r="O466" s="7" t="e">
        <f t="shared" ca="1" si="54"/>
        <v>#VALUE!</v>
      </c>
      <c r="P466" s="7" t="e">
        <f t="shared" ca="1" si="55"/>
        <v>#VALUE!</v>
      </c>
    </row>
    <row r="467" spans="1:16" x14ac:dyDescent="0.25">
      <c r="A467" s="19" t="str">
        <f ca="1">IF(OR(INDIRECT("'" &amp; Master!$F$8 &amp; Master!$F$6 &amp; "'!A" &amp; ROW(A467))="", INDIRECT("'" &amp; Master!$F$8 &amp; Master!$F$6 &amp; "'!A" &amp; ROW(A467))=0), "", INDIRECT("'" &amp; Master!$F$8 &amp; Master!$F$6 &amp; "'!A" &amp; ROW(A467)))</f>
        <v/>
      </c>
      <c r="B467" s="4" t="e">
        <f ca="1">SplineInterp(INDIRECT("A" &amp; ROW()),INDIRECT("'" &amp;Master!$F$10&amp; "'!$A$2:$A$50"),INDIRECT("'" &amp;Master!$F$10&amp; "'!$B$2:$B$50"))</f>
        <v>#VALUE!</v>
      </c>
      <c r="C467" s="4" t="e">
        <f ca="1">SplineInterp(A467,INDIRECT("'" &amp;Master!$F$10&amp; "'!$A$2:$A$50"),INDIRECT("'" &amp;Master!$F$10&amp; "'!$C$2:$C$50"))</f>
        <v>#VALUE!</v>
      </c>
      <c r="D467" s="4" t="e">
        <f ca="1">SplineInterp(A467,INDIRECT("'" &amp;Master!$F$10&amp; "'!$A$2:$A$50"),INDIRECT("'" &amp;Master!$F$10&amp; "'!$D$2:$D$50"))</f>
        <v>#VALUE!</v>
      </c>
      <c r="E467" s="4" t="e">
        <f ca="1">SplineInterp(A467,INDIRECT("'" &amp;Master!$F$10&amp; "'!$A$2:$A$50"),INDIRECT("'" &amp;Master!$F$10&amp; "'!$E$2:$E$50"))</f>
        <v>#VALUE!</v>
      </c>
      <c r="F467" s="4" t="e">
        <f ca="1">SplineInterp(A467,INDIRECT("'" &amp;Master!$F$10&amp; "'!$A$2:$A$50"),INDIRECT("'" &amp;Master!$F$10&amp; "'!$F$2:$F$50"))</f>
        <v>#VALUE!</v>
      </c>
      <c r="G467" s="4" t="e">
        <f ca="1">SplineInterp(A467,INDIRECT("'" &amp;Master!$F$10&amp; "'!$A$2:$A$50"),INDIRECT("'" &amp;Master!$F$10&amp; "'!$G$2:$G$50"))</f>
        <v>#VALUE!</v>
      </c>
      <c r="H467" s="4" t="e">
        <f ca="1">SplineInterp(A467,INDIRECT("'" &amp;Master!$F$10&amp; "'!$A$2:$A$50"),INDIRECT("'" &amp;Master!$F$10&amp; "'!$H$2:$H$50"))</f>
        <v>#VALUE!</v>
      </c>
      <c r="I467" s="4" t="e">
        <f ca="1">IF(OR(INDIRECT("'" &amp; Master!$F$8 &amp; Master!$F$6 &amp; "'!B" &amp; ROW(B467))="", INDIRECT("'" &amp; Master!$F$8 &amp; Master!$F$6 &amp; "'!B" &amp; ROW(B467))=0), "", INDIRECT("'" &amp; Master!$F$8 &amp; Master!$F$6 &amp; "'!B" &amp; ROW(B467)))</f>
        <v>#VALUE!</v>
      </c>
      <c r="J467" s="9" t="e">
        <f t="shared" ca="1" si="49"/>
        <v>#VALUE!</v>
      </c>
      <c r="K467" s="7" t="e">
        <f t="shared" ca="1" si="50"/>
        <v>#VALUE!</v>
      </c>
      <c r="L467" s="7" t="e">
        <f t="shared" ca="1" si="51"/>
        <v>#VALUE!</v>
      </c>
      <c r="M467" s="7" t="e">
        <f t="shared" ca="1" si="52"/>
        <v>#VALUE!</v>
      </c>
      <c r="N467" s="7" t="e">
        <f t="shared" ca="1" si="53"/>
        <v>#VALUE!</v>
      </c>
      <c r="O467" s="7" t="e">
        <f t="shared" ca="1" si="54"/>
        <v>#VALUE!</v>
      </c>
      <c r="P467" s="7" t="e">
        <f t="shared" ca="1" si="55"/>
        <v>#VALUE!</v>
      </c>
    </row>
    <row r="468" spans="1:16" x14ac:dyDescent="0.25">
      <c r="A468" s="19" t="str">
        <f ca="1">IF(OR(INDIRECT("'" &amp; Master!$F$8 &amp; Master!$F$6 &amp; "'!A" &amp; ROW(A468))="", INDIRECT("'" &amp; Master!$F$8 &amp; Master!$F$6 &amp; "'!A" &amp; ROW(A468))=0), "", INDIRECT("'" &amp; Master!$F$8 &amp; Master!$F$6 &amp; "'!A" &amp; ROW(A468)))</f>
        <v/>
      </c>
      <c r="B468" s="4" t="e">
        <f ca="1">SplineInterp(INDIRECT("A" &amp; ROW()),INDIRECT("'" &amp;Master!$F$10&amp; "'!$A$2:$A$50"),INDIRECT("'" &amp;Master!$F$10&amp; "'!$B$2:$B$50"))</f>
        <v>#VALUE!</v>
      </c>
      <c r="C468" s="4" t="e">
        <f ca="1">SplineInterp(A468,INDIRECT("'" &amp;Master!$F$10&amp; "'!$A$2:$A$50"),INDIRECT("'" &amp;Master!$F$10&amp; "'!$C$2:$C$50"))</f>
        <v>#VALUE!</v>
      </c>
      <c r="D468" s="4" t="e">
        <f ca="1">SplineInterp(A468,INDIRECT("'" &amp;Master!$F$10&amp; "'!$A$2:$A$50"),INDIRECT("'" &amp;Master!$F$10&amp; "'!$D$2:$D$50"))</f>
        <v>#VALUE!</v>
      </c>
      <c r="E468" s="4" t="e">
        <f ca="1">SplineInterp(A468,INDIRECT("'" &amp;Master!$F$10&amp; "'!$A$2:$A$50"),INDIRECT("'" &amp;Master!$F$10&amp; "'!$E$2:$E$50"))</f>
        <v>#VALUE!</v>
      </c>
      <c r="F468" s="4" t="e">
        <f ca="1">SplineInterp(A468,INDIRECT("'" &amp;Master!$F$10&amp; "'!$A$2:$A$50"),INDIRECT("'" &amp;Master!$F$10&amp; "'!$F$2:$F$50"))</f>
        <v>#VALUE!</v>
      </c>
      <c r="G468" s="4" t="e">
        <f ca="1">SplineInterp(A468,INDIRECT("'" &amp;Master!$F$10&amp; "'!$A$2:$A$50"),INDIRECT("'" &amp;Master!$F$10&amp; "'!$G$2:$G$50"))</f>
        <v>#VALUE!</v>
      </c>
      <c r="H468" s="4" t="e">
        <f ca="1">SplineInterp(A468,INDIRECT("'" &amp;Master!$F$10&amp; "'!$A$2:$A$50"),INDIRECT("'" &amp;Master!$F$10&amp; "'!$H$2:$H$50"))</f>
        <v>#VALUE!</v>
      </c>
      <c r="I468" s="4" t="e">
        <f ca="1">IF(OR(INDIRECT("'" &amp; Master!$F$8 &amp; Master!$F$6 &amp; "'!B" &amp; ROW(B468))="", INDIRECT("'" &amp; Master!$F$8 &amp; Master!$F$6 &amp; "'!B" &amp; ROW(B468))=0), "", INDIRECT("'" &amp; Master!$F$8 &amp; Master!$F$6 &amp; "'!B" &amp; ROW(B468)))</f>
        <v>#VALUE!</v>
      </c>
      <c r="J468" s="9" t="e">
        <f t="shared" ca="1" si="49"/>
        <v>#VALUE!</v>
      </c>
      <c r="K468" s="7" t="e">
        <f t="shared" ca="1" si="50"/>
        <v>#VALUE!</v>
      </c>
      <c r="L468" s="7" t="e">
        <f t="shared" ca="1" si="51"/>
        <v>#VALUE!</v>
      </c>
      <c r="M468" s="7" t="e">
        <f t="shared" ca="1" si="52"/>
        <v>#VALUE!</v>
      </c>
      <c r="N468" s="7" t="e">
        <f t="shared" ca="1" si="53"/>
        <v>#VALUE!</v>
      </c>
      <c r="O468" s="7" t="e">
        <f t="shared" ca="1" si="54"/>
        <v>#VALUE!</v>
      </c>
      <c r="P468" s="7" t="e">
        <f t="shared" ca="1" si="55"/>
        <v>#VALUE!</v>
      </c>
    </row>
    <row r="469" spans="1:16" x14ac:dyDescent="0.25">
      <c r="A469" s="19" t="str">
        <f ca="1">IF(OR(INDIRECT("'" &amp; Master!$F$8 &amp; Master!$F$6 &amp; "'!A" &amp; ROW(A469))="", INDIRECT("'" &amp; Master!$F$8 &amp; Master!$F$6 &amp; "'!A" &amp; ROW(A469))=0), "", INDIRECT("'" &amp; Master!$F$8 &amp; Master!$F$6 &amp; "'!A" &amp; ROW(A469)))</f>
        <v/>
      </c>
      <c r="B469" s="4" t="e">
        <f ca="1">SplineInterp(INDIRECT("A" &amp; ROW()),INDIRECT("'" &amp;Master!$F$10&amp; "'!$A$2:$A$50"),INDIRECT("'" &amp;Master!$F$10&amp; "'!$B$2:$B$50"))</f>
        <v>#VALUE!</v>
      </c>
      <c r="C469" s="4" t="e">
        <f ca="1">SplineInterp(A469,INDIRECT("'" &amp;Master!$F$10&amp; "'!$A$2:$A$50"),INDIRECT("'" &amp;Master!$F$10&amp; "'!$C$2:$C$50"))</f>
        <v>#VALUE!</v>
      </c>
      <c r="D469" s="4" t="e">
        <f ca="1">SplineInterp(A469,INDIRECT("'" &amp;Master!$F$10&amp; "'!$A$2:$A$50"),INDIRECT("'" &amp;Master!$F$10&amp; "'!$D$2:$D$50"))</f>
        <v>#VALUE!</v>
      </c>
      <c r="E469" s="4" t="e">
        <f ca="1">SplineInterp(A469,INDIRECT("'" &amp;Master!$F$10&amp; "'!$A$2:$A$50"),INDIRECT("'" &amp;Master!$F$10&amp; "'!$E$2:$E$50"))</f>
        <v>#VALUE!</v>
      </c>
      <c r="F469" s="4" t="e">
        <f ca="1">SplineInterp(A469,INDIRECT("'" &amp;Master!$F$10&amp; "'!$A$2:$A$50"),INDIRECT("'" &amp;Master!$F$10&amp; "'!$F$2:$F$50"))</f>
        <v>#VALUE!</v>
      </c>
      <c r="G469" s="4" t="e">
        <f ca="1">SplineInterp(A469,INDIRECT("'" &amp;Master!$F$10&amp; "'!$A$2:$A$50"),INDIRECT("'" &amp;Master!$F$10&amp; "'!$G$2:$G$50"))</f>
        <v>#VALUE!</v>
      </c>
      <c r="H469" s="4" t="e">
        <f ca="1">SplineInterp(A469,INDIRECT("'" &amp;Master!$F$10&amp; "'!$A$2:$A$50"),INDIRECT("'" &amp;Master!$F$10&amp; "'!$H$2:$H$50"))</f>
        <v>#VALUE!</v>
      </c>
      <c r="I469" s="4" t="e">
        <f ca="1">IF(OR(INDIRECT("'" &amp; Master!$F$8 &amp; Master!$F$6 &amp; "'!B" &amp; ROW(B469))="", INDIRECT("'" &amp; Master!$F$8 &amp; Master!$F$6 &amp; "'!B" &amp; ROW(B469))=0), "", INDIRECT("'" &amp; Master!$F$8 &amp; Master!$F$6 &amp; "'!B" &amp; ROW(B469)))</f>
        <v>#VALUE!</v>
      </c>
      <c r="J469" s="9" t="e">
        <f t="shared" ca="1" si="49"/>
        <v>#VALUE!</v>
      </c>
      <c r="K469" s="7" t="e">
        <f t="shared" ca="1" si="50"/>
        <v>#VALUE!</v>
      </c>
      <c r="L469" s="7" t="e">
        <f t="shared" ca="1" si="51"/>
        <v>#VALUE!</v>
      </c>
      <c r="M469" s="7" t="e">
        <f t="shared" ca="1" si="52"/>
        <v>#VALUE!</v>
      </c>
      <c r="N469" s="7" t="e">
        <f t="shared" ca="1" si="53"/>
        <v>#VALUE!</v>
      </c>
      <c r="O469" s="7" t="e">
        <f t="shared" ca="1" si="54"/>
        <v>#VALUE!</v>
      </c>
      <c r="P469" s="7" t="e">
        <f t="shared" ca="1" si="55"/>
        <v>#VALUE!</v>
      </c>
    </row>
    <row r="470" spans="1:16" x14ac:dyDescent="0.25">
      <c r="A470" s="19" t="str">
        <f ca="1">IF(OR(INDIRECT("'" &amp; Master!$F$8 &amp; Master!$F$6 &amp; "'!A" &amp; ROW(A470))="", INDIRECT("'" &amp; Master!$F$8 &amp; Master!$F$6 &amp; "'!A" &amp; ROW(A470))=0), "", INDIRECT("'" &amp; Master!$F$8 &amp; Master!$F$6 &amp; "'!A" &amp; ROW(A470)))</f>
        <v/>
      </c>
      <c r="B470" s="4" t="e">
        <f ca="1">SplineInterp(INDIRECT("A" &amp; ROW()),INDIRECT("'" &amp;Master!$F$10&amp; "'!$A$2:$A$50"),INDIRECT("'" &amp;Master!$F$10&amp; "'!$B$2:$B$50"))</f>
        <v>#VALUE!</v>
      </c>
      <c r="C470" s="4" t="e">
        <f ca="1">SplineInterp(A470,INDIRECT("'" &amp;Master!$F$10&amp; "'!$A$2:$A$50"),INDIRECT("'" &amp;Master!$F$10&amp; "'!$C$2:$C$50"))</f>
        <v>#VALUE!</v>
      </c>
      <c r="D470" s="4" t="e">
        <f ca="1">SplineInterp(A470,INDIRECT("'" &amp;Master!$F$10&amp; "'!$A$2:$A$50"),INDIRECT("'" &amp;Master!$F$10&amp; "'!$D$2:$D$50"))</f>
        <v>#VALUE!</v>
      </c>
      <c r="E470" s="4" t="e">
        <f ca="1">SplineInterp(A470,INDIRECT("'" &amp;Master!$F$10&amp; "'!$A$2:$A$50"),INDIRECT("'" &amp;Master!$F$10&amp; "'!$E$2:$E$50"))</f>
        <v>#VALUE!</v>
      </c>
      <c r="F470" s="4" t="e">
        <f ca="1">SplineInterp(A470,INDIRECT("'" &amp;Master!$F$10&amp; "'!$A$2:$A$50"),INDIRECT("'" &amp;Master!$F$10&amp; "'!$F$2:$F$50"))</f>
        <v>#VALUE!</v>
      </c>
      <c r="G470" s="4" t="e">
        <f ca="1">SplineInterp(A470,INDIRECT("'" &amp;Master!$F$10&amp; "'!$A$2:$A$50"),INDIRECT("'" &amp;Master!$F$10&amp; "'!$G$2:$G$50"))</f>
        <v>#VALUE!</v>
      </c>
      <c r="H470" s="4" t="e">
        <f ca="1">SplineInterp(A470,INDIRECT("'" &amp;Master!$F$10&amp; "'!$A$2:$A$50"),INDIRECT("'" &amp;Master!$F$10&amp; "'!$H$2:$H$50"))</f>
        <v>#VALUE!</v>
      </c>
      <c r="I470" s="4" t="e">
        <f ca="1">IF(OR(INDIRECT("'" &amp; Master!$F$8 &amp; Master!$F$6 &amp; "'!B" &amp; ROW(B470))="", INDIRECT("'" &amp; Master!$F$8 &amp; Master!$F$6 &amp; "'!B" &amp; ROW(B470))=0), "", INDIRECT("'" &amp; Master!$F$8 &amp; Master!$F$6 &amp; "'!B" &amp; ROW(B470)))</f>
        <v>#VALUE!</v>
      </c>
      <c r="J470" s="9" t="e">
        <f t="shared" ca="1" si="49"/>
        <v>#VALUE!</v>
      </c>
      <c r="K470" s="7" t="e">
        <f t="shared" ca="1" si="50"/>
        <v>#VALUE!</v>
      </c>
      <c r="L470" s="7" t="e">
        <f t="shared" ca="1" si="51"/>
        <v>#VALUE!</v>
      </c>
      <c r="M470" s="7" t="e">
        <f t="shared" ca="1" si="52"/>
        <v>#VALUE!</v>
      </c>
      <c r="N470" s="7" t="e">
        <f t="shared" ca="1" si="53"/>
        <v>#VALUE!</v>
      </c>
      <c r="O470" s="7" t="e">
        <f t="shared" ca="1" si="54"/>
        <v>#VALUE!</v>
      </c>
      <c r="P470" s="7" t="e">
        <f t="shared" ca="1" si="55"/>
        <v>#VALUE!</v>
      </c>
    </row>
    <row r="471" spans="1:16" x14ac:dyDescent="0.25">
      <c r="A471" s="19" t="str">
        <f ca="1">IF(OR(INDIRECT("'" &amp; Master!$F$8 &amp; Master!$F$6 &amp; "'!A" &amp; ROW(A471))="", INDIRECT("'" &amp; Master!$F$8 &amp; Master!$F$6 &amp; "'!A" &amp; ROW(A471))=0), "", INDIRECT("'" &amp; Master!$F$8 &amp; Master!$F$6 &amp; "'!A" &amp; ROW(A471)))</f>
        <v/>
      </c>
      <c r="B471" s="4" t="e">
        <f ca="1">SplineInterp(INDIRECT("A" &amp; ROW()),INDIRECT("'" &amp;Master!$F$10&amp; "'!$A$2:$A$50"),INDIRECT("'" &amp;Master!$F$10&amp; "'!$B$2:$B$50"))</f>
        <v>#VALUE!</v>
      </c>
      <c r="C471" s="4" t="e">
        <f ca="1">SplineInterp(A471,INDIRECT("'" &amp;Master!$F$10&amp; "'!$A$2:$A$50"),INDIRECT("'" &amp;Master!$F$10&amp; "'!$C$2:$C$50"))</f>
        <v>#VALUE!</v>
      </c>
      <c r="D471" s="4" t="e">
        <f ca="1">SplineInterp(A471,INDIRECT("'" &amp;Master!$F$10&amp; "'!$A$2:$A$50"),INDIRECT("'" &amp;Master!$F$10&amp; "'!$D$2:$D$50"))</f>
        <v>#VALUE!</v>
      </c>
      <c r="E471" s="4" t="e">
        <f ca="1">SplineInterp(A471,INDIRECT("'" &amp;Master!$F$10&amp; "'!$A$2:$A$50"),INDIRECT("'" &amp;Master!$F$10&amp; "'!$E$2:$E$50"))</f>
        <v>#VALUE!</v>
      </c>
      <c r="F471" s="4" t="e">
        <f ca="1">SplineInterp(A471,INDIRECT("'" &amp;Master!$F$10&amp; "'!$A$2:$A$50"),INDIRECT("'" &amp;Master!$F$10&amp; "'!$F$2:$F$50"))</f>
        <v>#VALUE!</v>
      </c>
      <c r="G471" s="4" t="e">
        <f ca="1">SplineInterp(A471,INDIRECT("'" &amp;Master!$F$10&amp; "'!$A$2:$A$50"),INDIRECT("'" &amp;Master!$F$10&amp; "'!$G$2:$G$50"))</f>
        <v>#VALUE!</v>
      </c>
      <c r="H471" s="4" t="e">
        <f ca="1">SplineInterp(A471,INDIRECT("'" &amp;Master!$F$10&amp; "'!$A$2:$A$50"),INDIRECT("'" &amp;Master!$F$10&amp; "'!$H$2:$H$50"))</f>
        <v>#VALUE!</v>
      </c>
      <c r="I471" s="4" t="e">
        <f ca="1">IF(OR(INDIRECT("'" &amp; Master!$F$8 &amp; Master!$F$6 &amp; "'!B" &amp; ROW(B471))="", INDIRECT("'" &amp; Master!$F$8 &amp; Master!$F$6 &amp; "'!B" &amp; ROW(B471))=0), "", INDIRECT("'" &amp; Master!$F$8 &amp; Master!$F$6 &amp; "'!B" &amp; ROW(B471)))</f>
        <v>#VALUE!</v>
      </c>
      <c r="J471" s="9" t="e">
        <f t="shared" ca="1" si="49"/>
        <v>#VALUE!</v>
      </c>
      <c r="K471" s="7" t="e">
        <f t="shared" ca="1" si="50"/>
        <v>#VALUE!</v>
      </c>
      <c r="L471" s="7" t="e">
        <f t="shared" ca="1" si="51"/>
        <v>#VALUE!</v>
      </c>
      <c r="M471" s="7" t="e">
        <f t="shared" ca="1" si="52"/>
        <v>#VALUE!</v>
      </c>
      <c r="N471" s="7" t="e">
        <f t="shared" ca="1" si="53"/>
        <v>#VALUE!</v>
      </c>
      <c r="O471" s="7" t="e">
        <f t="shared" ca="1" si="54"/>
        <v>#VALUE!</v>
      </c>
      <c r="P471" s="7" t="e">
        <f t="shared" ca="1" si="55"/>
        <v>#VALUE!</v>
      </c>
    </row>
    <row r="472" spans="1:16" x14ac:dyDescent="0.25">
      <c r="A472" s="19" t="str">
        <f ca="1">IF(OR(INDIRECT("'" &amp; Master!$F$8 &amp; Master!$F$6 &amp; "'!A" &amp; ROW(A472))="", INDIRECT("'" &amp; Master!$F$8 &amp; Master!$F$6 &amp; "'!A" &amp; ROW(A472))=0), "", INDIRECT("'" &amp; Master!$F$8 &amp; Master!$F$6 &amp; "'!A" &amp; ROW(A472)))</f>
        <v/>
      </c>
      <c r="B472" s="4" t="e">
        <f ca="1">SplineInterp(INDIRECT("A" &amp; ROW()),INDIRECT("'" &amp;Master!$F$10&amp; "'!$A$2:$A$50"),INDIRECT("'" &amp;Master!$F$10&amp; "'!$B$2:$B$50"))</f>
        <v>#VALUE!</v>
      </c>
      <c r="C472" s="4" t="e">
        <f ca="1">SplineInterp(A472,INDIRECT("'" &amp;Master!$F$10&amp; "'!$A$2:$A$50"),INDIRECT("'" &amp;Master!$F$10&amp; "'!$C$2:$C$50"))</f>
        <v>#VALUE!</v>
      </c>
      <c r="D472" s="4" t="e">
        <f ca="1">SplineInterp(A472,INDIRECT("'" &amp;Master!$F$10&amp; "'!$A$2:$A$50"),INDIRECT("'" &amp;Master!$F$10&amp; "'!$D$2:$D$50"))</f>
        <v>#VALUE!</v>
      </c>
      <c r="E472" s="4" t="e">
        <f ca="1">SplineInterp(A472,INDIRECT("'" &amp;Master!$F$10&amp; "'!$A$2:$A$50"),INDIRECT("'" &amp;Master!$F$10&amp; "'!$E$2:$E$50"))</f>
        <v>#VALUE!</v>
      </c>
      <c r="F472" s="4" t="e">
        <f ca="1">SplineInterp(A472,INDIRECT("'" &amp;Master!$F$10&amp; "'!$A$2:$A$50"),INDIRECT("'" &amp;Master!$F$10&amp; "'!$F$2:$F$50"))</f>
        <v>#VALUE!</v>
      </c>
      <c r="G472" s="4" t="e">
        <f ca="1">SplineInterp(A472,INDIRECT("'" &amp;Master!$F$10&amp; "'!$A$2:$A$50"),INDIRECT("'" &amp;Master!$F$10&amp; "'!$G$2:$G$50"))</f>
        <v>#VALUE!</v>
      </c>
      <c r="H472" s="4" t="e">
        <f ca="1">SplineInterp(A472,INDIRECT("'" &amp;Master!$F$10&amp; "'!$A$2:$A$50"),INDIRECT("'" &amp;Master!$F$10&amp; "'!$H$2:$H$50"))</f>
        <v>#VALUE!</v>
      </c>
      <c r="I472" s="4" t="e">
        <f ca="1">IF(OR(INDIRECT("'" &amp; Master!$F$8 &amp; Master!$F$6 &amp; "'!B" &amp; ROW(B472))="", INDIRECT("'" &amp; Master!$F$8 &amp; Master!$F$6 &amp; "'!B" &amp; ROW(B472))=0), "", INDIRECT("'" &amp; Master!$F$8 &amp; Master!$F$6 &amp; "'!B" &amp; ROW(B472)))</f>
        <v>#VALUE!</v>
      </c>
      <c r="J472" s="9" t="e">
        <f t="shared" ca="1" si="49"/>
        <v>#VALUE!</v>
      </c>
      <c r="K472" s="7" t="e">
        <f t="shared" ca="1" si="50"/>
        <v>#VALUE!</v>
      </c>
      <c r="L472" s="7" t="e">
        <f t="shared" ca="1" si="51"/>
        <v>#VALUE!</v>
      </c>
      <c r="M472" s="7" t="e">
        <f t="shared" ca="1" si="52"/>
        <v>#VALUE!</v>
      </c>
      <c r="N472" s="7" t="e">
        <f t="shared" ca="1" si="53"/>
        <v>#VALUE!</v>
      </c>
      <c r="O472" s="7" t="e">
        <f t="shared" ca="1" si="54"/>
        <v>#VALUE!</v>
      </c>
      <c r="P472" s="7" t="e">
        <f t="shared" ca="1" si="55"/>
        <v>#VALUE!</v>
      </c>
    </row>
    <row r="473" spans="1:16" x14ac:dyDescent="0.25">
      <c r="A473" s="19" t="str">
        <f ca="1">IF(OR(INDIRECT("'" &amp; Master!$F$8 &amp; Master!$F$6 &amp; "'!A" &amp; ROW(A473))="", INDIRECT("'" &amp; Master!$F$8 &amp; Master!$F$6 &amp; "'!A" &amp; ROW(A473))=0), "", INDIRECT("'" &amp; Master!$F$8 &amp; Master!$F$6 &amp; "'!A" &amp; ROW(A473)))</f>
        <v/>
      </c>
      <c r="B473" s="4" t="e">
        <f ca="1">SplineInterp(INDIRECT("A" &amp; ROW()),INDIRECT("'" &amp;Master!$F$10&amp; "'!$A$2:$A$50"),INDIRECT("'" &amp;Master!$F$10&amp; "'!$B$2:$B$50"))</f>
        <v>#VALUE!</v>
      </c>
      <c r="C473" s="4" t="e">
        <f ca="1">SplineInterp(A473,INDIRECT("'" &amp;Master!$F$10&amp; "'!$A$2:$A$50"),INDIRECT("'" &amp;Master!$F$10&amp; "'!$C$2:$C$50"))</f>
        <v>#VALUE!</v>
      </c>
      <c r="D473" s="4" t="e">
        <f ca="1">SplineInterp(A473,INDIRECT("'" &amp;Master!$F$10&amp; "'!$A$2:$A$50"),INDIRECT("'" &amp;Master!$F$10&amp; "'!$D$2:$D$50"))</f>
        <v>#VALUE!</v>
      </c>
      <c r="E473" s="4" t="e">
        <f ca="1">SplineInterp(A473,INDIRECT("'" &amp;Master!$F$10&amp; "'!$A$2:$A$50"),INDIRECT("'" &amp;Master!$F$10&amp; "'!$E$2:$E$50"))</f>
        <v>#VALUE!</v>
      </c>
      <c r="F473" s="4" t="e">
        <f ca="1">SplineInterp(A473,INDIRECT("'" &amp;Master!$F$10&amp; "'!$A$2:$A$50"),INDIRECT("'" &amp;Master!$F$10&amp; "'!$F$2:$F$50"))</f>
        <v>#VALUE!</v>
      </c>
      <c r="G473" s="4" t="e">
        <f ca="1">SplineInterp(A473,INDIRECT("'" &amp;Master!$F$10&amp; "'!$A$2:$A$50"),INDIRECT("'" &amp;Master!$F$10&amp; "'!$G$2:$G$50"))</f>
        <v>#VALUE!</v>
      </c>
      <c r="H473" s="4" t="e">
        <f ca="1">SplineInterp(A473,INDIRECT("'" &amp;Master!$F$10&amp; "'!$A$2:$A$50"),INDIRECT("'" &amp;Master!$F$10&amp; "'!$H$2:$H$50"))</f>
        <v>#VALUE!</v>
      </c>
      <c r="I473" s="4" t="e">
        <f ca="1">IF(OR(INDIRECT("'" &amp; Master!$F$8 &amp; Master!$F$6 &amp; "'!B" &amp; ROW(B473))="", INDIRECT("'" &amp; Master!$F$8 &amp; Master!$F$6 &amp; "'!B" &amp; ROW(B473))=0), "", INDIRECT("'" &amp; Master!$F$8 &amp; Master!$F$6 &amp; "'!B" &amp; ROW(B473)))</f>
        <v>#VALUE!</v>
      </c>
      <c r="J473" s="9" t="e">
        <f t="shared" ca="1" si="49"/>
        <v>#VALUE!</v>
      </c>
      <c r="K473" s="7" t="e">
        <f t="shared" ca="1" si="50"/>
        <v>#VALUE!</v>
      </c>
      <c r="L473" s="7" t="e">
        <f t="shared" ca="1" si="51"/>
        <v>#VALUE!</v>
      </c>
      <c r="M473" s="7" t="e">
        <f t="shared" ca="1" si="52"/>
        <v>#VALUE!</v>
      </c>
      <c r="N473" s="7" t="e">
        <f t="shared" ca="1" si="53"/>
        <v>#VALUE!</v>
      </c>
      <c r="O473" s="7" t="e">
        <f t="shared" ca="1" si="54"/>
        <v>#VALUE!</v>
      </c>
      <c r="P473" s="7" t="e">
        <f t="shared" ca="1" si="55"/>
        <v>#VALUE!</v>
      </c>
    </row>
    <row r="474" spans="1:16" x14ac:dyDescent="0.25">
      <c r="A474" s="19" t="str">
        <f ca="1">IF(OR(INDIRECT("'" &amp; Master!$F$8 &amp; Master!$F$6 &amp; "'!A" &amp; ROW(A474))="", INDIRECT("'" &amp; Master!$F$8 &amp; Master!$F$6 &amp; "'!A" &amp; ROW(A474))=0), "", INDIRECT("'" &amp; Master!$F$8 &amp; Master!$F$6 &amp; "'!A" &amp; ROW(A474)))</f>
        <v/>
      </c>
      <c r="B474" s="4" t="e">
        <f ca="1">SplineInterp(INDIRECT("A" &amp; ROW()),INDIRECT("'" &amp;Master!$F$10&amp; "'!$A$2:$A$50"),INDIRECT("'" &amp;Master!$F$10&amp; "'!$B$2:$B$50"))</f>
        <v>#VALUE!</v>
      </c>
      <c r="C474" s="4" t="e">
        <f ca="1">SplineInterp(A474,INDIRECT("'" &amp;Master!$F$10&amp; "'!$A$2:$A$50"),INDIRECT("'" &amp;Master!$F$10&amp; "'!$C$2:$C$50"))</f>
        <v>#VALUE!</v>
      </c>
      <c r="D474" s="4" t="e">
        <f ca="1">SplineInterp(A474,INDIRECT("'" &amp;Master!$F$10&amp; "'!$A$2:$A$50"),INDIRECT("'" &amp;Master!$F$10&amp; "'!$D$2:$D$50"))</f>
        <v>#VALUE!</v>
      </c>
      <c r="E474" s="4" t="e">
        <f ca="1">SplineInterp(A474,INDIRECT("'" &amp;Master!$F$10&amp; "'!$A$2:$A$50"),INDIRECT("'" &amp;Master!$F$10&amp; "'!$E$2:$E$50"))</f>
        <v>#VALUE!</v>
      </c>
      <c r="F474" s="4" t="e">
        <f ca="1">SplineInterp(A474,INDIRECT("'" &amp;Master!$F$10&amp; "'!$A$2:$A$50"),INDIRECT("'" &amp;Master!$F$10&amp; "'!$F$2:$F$50"))</f>
        <v>#VALUE!</v>
      </c>
      <c r="G474" s="4" t="e">
        <f ca="1">SplineInterp(A474,INDIRECT("'" &amp;Master!$F$10&amp; "'!$A$2:$A$50"),INDIRECT("'" &amp;Master!$F$10&amp; "'!$G$2:$G$50"))</f>
        <v>#VALUE!</v>
      </c>
      <c r="H474" s="4" t="e">
        <f ca="1">SplineInterp(A474,INDIRECT("'" &amp;Master!$F$10&amp; "'!$A$2:$A$50"),INDIRECT("'" &amp;Master!$F$10&amp; "'!$H$2:$H$50"))</f>
        <v>#VALUE!</v>
      </c>
      <c r="I474" s="4" t="e">
        <f ca="1">IF(OR(INDIRECT("'" &amp; Master!$F$8 &amp; Master!$F$6 &amp; "'!B" &amp; ROW(B474))="", INDIRECT("'" &amp; Master!$F$8 &amp; Master!$F$6 &amp; "'!B" &amp; ROW(B474))=0), "", INDIRECT("'" &amp; Master!$F$8 &amp; Master!$F$6 &amp; "'!B" &amp; ROW(B474)))</f>
        <v>#VALUE!</v>
      </c>
      <c r="J474" s="9" t="e">
        <f t="shared" ca="1" si="49"/>
        <v>#VALUE!</v>
      </c>
      <c r="K474" s="7" t="e">
        <f t="shared" ca="1" si="50"/>
        <v>#VALUE!</v>
      </c>
      <c r="L474" s="7" t="e">
        <f t="shared" ca="1" si="51"/>
        <v>#VALUE!</v>
      </c>
      <c r="M474" s="7" t="e">
        <f t="shared" ca="1" si="52"/>
        <v>#VALUE!</v>
      </c>
      <c r="N474" s="7" t="e">
        <f t="shared" ca="1" si="53"/>
        <v>#VALUE!</v>
      </c>
      <c r="O474" s="7" t="e">
        <f t="shared" ca="1" si="54"/>
        <v>#VALUE!</v>
      </c>
      <c r="P474" s="7" t="e">
        <f t="shared" ca="1" si="55"/>
        <v>#VALUE!</v>
      </c>
    </row>
    <row r="475" spans="1:16" x14ac:dyDescent="0.25">
      <c r="A475" s="19" t="str">
        <f ca="1">IF(OR(INDIRECT("'" &amp; Master!$F$8 &amp; Master!$F$6 &amp; "'!A" &amp; ROW(A475))="", INDIRECT("'" &amp; Master!$F$8 &amp; Master!$F$6 &amp; "'!A" &amp; ROW(A475))=0), "", INDIRECT("'" &amp; Master!$F$8 &amp; Master!$F$6 &amp; "'!A" &amp; ROW(A475)))</f>
        <v/>
      </c>
      <c r="B475" s="4" t="e">
        <f ca="1">SplineInterp(INDIRECT("A" &amp; ROW()),INDIRECT("'" &amp;Master!$F$10&amp; "'!$A$2:$A$50"),INDIRECT("'" &amp;Master!$F$10&amp; "'!$B$2:$B$50"))</f>
        <v>#VALUE!</v>
      </c>
      <c r="C475" s="4" t="e">
        <f ca="1">SplineInterp(A475,INDIRECT("'" &amp;Master!$F$10&amp; "'!$A$2:$A$50"),INDIRECT("'" &amp;Master!$F$10&amp; "'!$C$2:$C$50"))</f>
        <v>#VALUE!</v>
      </c>
      <c r="D475" s="4" t="e">
        <f ca="1">SplineInterp(A475,INDIRECT("'" &amp;Master!$F$10&amp; "'!$A$2:$A$50"),INDIRECT("'" &amp;Master!$F$10&amp; "'!$D$2:$D$50"))</f>
        <v>#VALUE!</v>
      </c>
      <c r="E475" s="4" t="e">
        <f ca="1">SplineInterp(A475,INDIRECT("'" &amp;Master!$F$10&amp; "'!$A$2:$A$50"),INDIRECT("'" &amp;Master!$F$10&amp; "'!$E$2:$E$50"))</f>
        <v>#VALUE!</v>
      </c>
      <c r="F475" s="4" t="e">
        <f ca="1">SplineInterp(A475,INDIRECT("'" &amp;Master!$F$10&amp; "'!$A$2:$A$50"),INDIRECT("'" &amp;Master!$F$10&amp; "'!$F$2:$F$50"))</f>
        <v>#VALUE!</v>
      </c>
      <c r="G475" s="4" t="e">
        <f ca="1">SplineInterp(A475,INDIRECT("'" &amp;Master!$F$10&amp; "'!$A$2:$A$50"),INDIRECT("'" &amp;Master!$F$10&amp; "'!$G$2:$G$50"))</f>
        <v>#VALUE!</v>
      </c>
      <c r="H475" s="4" t="e">
        <f ca="1">SplineInterp(A475,INDIRECT("'" &amp;Master!$F$10&amp; "'!$A$2:$A$50"),INDIRECT("'" &amp;Master!$F$10&amp; "'!$H$2:$H$50"))</f>
        <v>#VALUE!</v>
      </c>
      <c r="I475" s="4" t="e">
        <f ca="1">IF(OR(INDIRECT("'" &amp; Master!$F$8 &amp; Master!$F$6 &amp; "'!B" &amp; ROW(B475))="", INDIRECT("'" &amp; Master!$F$8 &amp; Master!$F$6 &amp; "'!B" &amp; ROW(B475))=0), "", INDIRECT("'" &amp; Master!$F$8 &amp; Master!$F$6 &amp; "'!B" &amp; ROW(B475)))</f>
        <v>#VALUE!</v>
      </c>
      <c r="J475" s="9" t="e">
        <f t="shared" ca="1" si="49"/>
        <v>#VALUE!</v>
      </c>
      <c r="K475" s="7" t="e">
        <f t="shared" ca="1" si="50"/>
        <v>#VALUE!</v>
      </c>
      <c r="L475" s="7" t="e">
        <f t="shared" ca="1" si="51"/>
        <v>#VALUE!</v>
      </c>
      <c r="M475" s="7" t="e">
        <f t="shared" ca="1" si="52"/>
        <v>#VALUE!</v>
      </c>
      <c r="N475" s="7" t="e">
        <f t="shared" ca="1" si="53"/>
        <v>#VALUE!</v>
      </c>
      <c r="O475" s="7" t="e">
        <f t="shared" ca="1" si="54"/>
        <v>#VALUE!</v>
      </c>
      <c r="P475" s="7" t="e">
        <f t="shared" ca="1" si="55"/>
        <v>#VALUE!</v>
      </c>
    </row>
    <row r="476" spans="1:16" x14ac:dyDescent="0.25">
      <c r="A476" s="19" t="str">
        <f ca="1">IF(OR(INDIRECT("'" &amp; Master!$F$8 &amp; Master!$F$6 &amp; "'!A" &amp; ROW(A476))="", INDIRECT("'" &amp; Master!$F$8 &amp; Master!$F$6 &amp; "'!A" &amp; ROW(A476))=0), "", INDIRECT("'" &amp; Master!$F$8 &amp; Master!$F$6 &amp; "'!A" &amp; ROW(A476)))</f>
        <v/>
      </c>
      <c r="B476" s="4" t="e">
        <f ca="1">SplineInterp(INDIRECT("A" &amp; ROW()),INDIRECT("'" &amp;Master!$F$10&amp; "'!$A$2:$A$50"),INDIRECT("'" &amp;Master!$F$10&amp; "'!$B$2:$B$50"))</f>
        <v>#VALUE!</v>
      </c>
      <c r="C476" s="4" t="e">
        <f ca="1">SplineInterp(A476,INDIRECT("'" &amp;Master!$F$10&amp; "'!$A$2:$A$50"),INDIRECT("'" &amp;Master!$F$10&amp; "'!$C$2:$C$50"))</f>
        <v>#VALUE!</v>
      </c>
      <c r="D476" s="4" t="e">
        <f ca="1">SplineInterp(A476,INDIRECT("'" &amp;Master!$F$10&amp; "'!$A$2:$A$50"),INDIRECT("'" &amp;Master!$F$10&amp; "'!$D$2:$D$50"))</f>
        <v>#VALUE!</v>
      </c>
      <c r="E476" s="4" t="e">
        <f ca="1">SplineInterp(A476,INDIRECT("'" &amp;Master!$F$10&amp; "'!$A$2:$A$50"),INDIRECT("'" &amp;Master!$F$10&amp; "'!$E$2:$E$50"))</f>
        <v>#VALUE!</v>
      </c>
      <c r="F476" s="4" t="e">
        <f ca="1">SplineInterp(A476,INDIRECT("'" &amp;Master!$F$10&amp; "'!$A$2:$A$50"),INDIRECT("'" &amp;Master!$F$10&amp; "'!$F$2:$F$50"))</f>
        <v>#VALUE!</v>
      </c>
      <c r="G476" s="4" t="e">
        <f ca="1">SplineInterp(A476,INDIRECT("'" &amp;Master!$F$10&amp; "'!$A$2:$A$50"),INDIRECT("'" &amp;Master!$F$10&amp; "'!$G$2:$G$50"))</f>
        <v>#VALUE!</v>
      </c>
      <c r="H476" s="4" t="e">
        <f ca="1">SplineInterp(A476,INDIRECT("'" &amp;Master!$F$10&amp; "'!$A$2:$A$50"),INDIRECT("'" &amp;Master!$F$10&amp; "'!$H$2:$H$50"))</f>
        <v>#VALUE!</v>
      </c>
      <c r="I476" s="4" t="e">
        <f ca="1">IF(OR(INDIRECT("'" &amp; Master!$F$8 &amp; Master!$F$6 &amp; "'!B" &amp; ROW(B476))="", INDIRECT("'" &amp; Master!$F$8 &amp; Master!$F$6 &amp; "'!B" &amp; ROW(B476))=0), "", INDIRECT("'" &amp; Master!$F$8 &amp; Master!$F$6 &amp; "'!B" &amp; ROW(B476)))</f>
        <v>#VALUE!</v>
      </c>
      <c r="J476" s="9" t="e">
        <f t="shared" ca="1" si="49"/>
        <v>#VALUE!</v>
      </c>
      <c r="K476" s="7" t="e">
        <f t="shared" ca="1" si="50"/>
        <v>#VALUE!</v>
      </c>
      <c r="L476" s="7" t="e">
        <f t="shared" ca="1" si="51"/>
        <v>#VALUE!</v>
      </c>
      <c r="M476" s="7" t="e">
        <f t="shared" ca="1" si="52"/>
        <v>#VALUE!</v>
      </c>
      <c r="N476" s="7" t="e">
        <f t="shared" ca="1" si="53"/>
        <v>#VALUE!</v>
      </c>
      <c r="O476" s="7" t="e">
        <f t="shared" ca="1" si="54"/>
        <v>#VALUE!</v>
      </c>
      <c r="P476" s="7" t="e">
        <f t="shared" ca="1" si="55"/>
        <v>#VALUE!</v>
      </c>
    </row>
    <row r="477" spans="1:16" x14ac:dyDescent="0.25">
      <c r="A477" s="19" t="str">
        <f ca="1">IF(OR(INDIRECT("'" &amp; Master!$F$8 &amp; Master!$F$6 &amp; "'!A" &amp; ROW(A477))="", INDIRECT("'" &amp; Master!$F$8 &amp; Master!$F$6 &amp; "'!A" &amp; ROW(A477))=0), "", INDIRECT("'" &amp; Master!$F$8 &amp; Master!$F$6 &amp; "'!A" &amp; ROW(A477)))</f>
        <v/>
      </c>
      <c r="B477" s="4" t="e">
        <f ca="1">SplineInterp(INDIRECT("A" &amp; ROW()),INDIRECT("'" &amp;Master!$F$10&amp; "'!$A$2:$A$50"),INDIRECT("'" &amp;Master!$F$10&amp; "'!$B$2:$B$50"))</f>
        <v>#VALUE!</v>
      </c>
      <c r="C477" s="4" t="e">
        <f ca="1">SplineInterp(A477,INDIRECT("'" &amp;Master!$F$10&amp; "'!$A$2:$A$50"),INDIRECT("'" &amp;Master!$F$10&amp; "'!$C$2:$C$50"))</f>
        <v>#VALUE!</v>
      </c>
      <c r="D477" s="4" t="e">
        <f ca="1">SplineInterp(A477,INDIRECT("'" &amp;Master!$F$10&amp; "'!$A$2:$A$50"),INDIRECT("'" &amp;Master!$F$10&amp; "'!$D$2:$D$50"))</f>
        <v>#VALUE!</v>
      </c>
      <c r="E477" s="4" t="e">
        <f ca="1">SplineInterp(A477,INDIRECT("'" &amp;Master!$F$10&amp; "'!$A$2:$A$50"),INDIRECT("'" &amp;Master!$F$10&amp; "'!$E$2:$E$50"))</f>
        <v>#VALUE!</v>
      </c>
      <c r="F477" s="4" t="e">
        <f ca="1">SplineInterp(A477,INDIRECT("'" &amp;Master!$F$10&amp; "'!$A$2:$A$50"),INDIRECT("'" &amp;Master!$F$10&amp; "'!$F$2:$F$50"))</f>
        <v>#VALUE!</v>
      </c>
      <c r="G477" s="4" t="e">
        <f ca="1">SplineInterp(A477,INDIRECT("'" &amp;Master!$F$10&amp; "'!$A$2:$A$50"),INDIRECT("'" &amp;Master!$F$10&amp; "'!$G$2:$G$50"))</f>
        <v>#VALUE!</v>
      </c>
      <c r="H477" s="4" t="e">
        <f ca="1">SplineInterp(A477,INDIRECT("'" &amp;Master!$F$10&amp; "'!$A$2:$A$50"),INDIRECT("'" &amp;Master!$F$10&amp; "'!$H$2:$H$50"))</f>
        <v>#VALUE!</v>
      </c>
      <c r="I477" s="4" t="e">
        <f ca="1">IF(OR(INDIRECT("'" &amp; Master!$F$8 &amp; Master!$F$6 &amp; "'!B" &amp; ROW(B477))="", INDIRECT("'" &amp; Master!$F$8 &amp; Master!$F$6 &amp; "'!B" &amp; ROW(B477))=0), "", INDIRECT("'" &amp; Master!$F$8 &amp; Master!$F$6 &amp; "'!B" &amp; ROW(B477)))</f>
        <v>#VALUE!</v>
      </c>
      <c r="J477" s="9" t="e">
        <f t="shared" ca="1" si="49"/>
        <v>#VALUE!</v>
      </c>
      <c r="K477" s="7" t="e">
        <f t="shared" ca="1" si="50"/>
        <v>#VALUE!</v>
      </c>
      <c r="L477" s="7" t="e">
        <f t="shared" ca="1" si="51"/>
        <v>#VALUE!</v>
      </c>
      <c r="M477" s="7" t="e">
        <f t="shared" ca="1" si="52"/>
        <v>#VALUE!</v>
      </c>
      <c r="N477" s="7" t="e">
        <f t="shared" ca="1" si="53"/>
        <v>#VALUE!</v>
      </c>
      <c r="O477" s="7" t="e">
        <f t="shared" ca="1" si="54"/>
        <v>#VALUE!</v>
      </c>
      <c r="P477" s="7" t="e">
        <f t="shared" ca="1" si="55"/>
        <v>#VALUE!</v>
      </c>
    </row>
    <row r="478" spans="1:16" x14ac:dyDescent="0.25">
      <c r="A478" s="19" t="str">
        <f ca="1">IF(OR(INDIRECT("'" &amp; Master!$F$8 &amp; Master!$F$6 &amp; "'!A" &amp; ROW(A478))="", INDIRECT("'" &amp; Master!$F$8 &amp; Master!$F$6 &amp; "'!A" &amp; ROW(A478))=0), "", INDIRECT("'" &amp; Master!$F$8 &amp; Master!$F$6 &amp; "'!A" &amp; ROW(A478)))</f>
        <v/>
      </c>
      <c r="B478" s="4" t="e">
        <f ca="1">SplineInterp(INDIRECT("A" &amp; ROW()),INDIRECT("'" &amp;Master!$F$10&amp; "'!$A$2:$A$50"),INDIRECT("'" &amp;Master!$F$10&amp; "'!$B$2:$B$50"))</f>
        <v>#VALUE!</v>
      </c>
      <c r="C478" s="4" t="e">
        <f ca="1">SplineInterp(A478,INDIRECT("'" &amp;Master!$F$10&amp; "'!$A$2:$A$50"),INDIRECT("'" &amp;Master!$F$10&amp; "'!$C$2:$C$50"))</f>
        <v>#VALUE!</v>
      </c>
      <c r="D478" s="4" t="e">
        <f ca="1">SplineInterp(A478,INDIRECT("'" &amp;Master!$F$10&amp; "'!$A$2:$A$50"),INDIRECT("'" &amp;Master!$F$10&amp; "'!$D$2:$D$50"))</f>
        <v>#VALUE!</v>
      </c>
      <c r="E478" s="4" t="e">
        <f ca="1">SplineInterp(A478,INDIRECT("'" &amp;Master!$F$10&amp; "'!$A$2:$A$50"),INDIRECT("'" &amp;Master!$F$10&amp; "'!$E$2:$E$50"))</f>
        <v>#VALUE!</v>
      </c>
      <c r="F478" s="4" t="e">
        <f ca="1">SplineInterp(A478,INDIRECT("'" &amp;Master!$F$10&amp; "'!$A$2:$A$50"),INDIRECT("'" &amp;Master!$F$10&amp; "'!$F$2:$F$50"))</f>
        <v>#VALUE!</v>
      </c>
      <c r="G478" s="4" t="e">
        <f ca="1">SplineInterp(A478,INDIRECT("'" &amp;Master!$F$10&amp; "'!$A$2:$A$50"),INDIRECT("'" &amp;Master!$F$10&amp; "'!$G$2:$G$50"))</f>
        <v>#VALUE!</v>
      </c>
      <c r="H478" s="4" t="e">
        <f ca="1">SplineInterp(A478,INDIRECT("'" &amp;Master!$F$10&amp; "'!$A$2:$A$50"),INDIRECT("'" &amp;Master!$F$10&amp; "'!$H$2:$H$50"))</f>
        <v>#VALUE!</v>
      </c>
      <c r="I478" s="4" t="e">
        <f ca="1">IF(OR(INDIRECT("'" &amp; Master!$F$8 &amp; Master!$F$6 &amp; "'!B" &amp; ROW(B478))="", INDIRECT("'" &amp; Master!$F$8 &amp; Master!$F$6 &amp; "'!B" &amp; ROW(B478))=0), "", INDIRECT("'" &amp; Master!$F$8 &amp; Master!$F$6 &amp; "'!B" &amp; ROW(B478)))</f>
        <v>#VALUE!</v>
      </c>
      <c r="J478" s="9" t="e">
        <f t="shared" ca="1" si="49"/>
        <v>#VALUE!</v>
      </c>
      <c r="K478" s="7" t="e">
        <f t="shared" ca="1" si="50"/>
        <v>#VALUE!</v>
      </c>
      <c r="L478" s="7" t="e">
        <f t="shared" ca="1" si="51"/>
        <v>#VALUE!</v>
      </c>
      <c r="M478" s="7" t="e">
        <f t="shared" ca="1" si="52"/>
        <v>#VALUE!</v>
      </c>
      <c r="N478" s="7" t="e">
        <f t="shared" ca="1" si="53"/>
        <v>#VALUE!</v>
      </c>
      <c r="O478" s="7" t="e">
        <f t="shared" ca="1" si="54"/>
        <v>#VALUE!</v>
      </c>
      <c r="P478" s="7" t="e">
        <f t="shared" ca="1" si="55"/>
        <v>#VALUE!</v>
      </c>
    </row>
    <row r="479" spans="1:16" x14ac:dyDescent="0.25">
      <c r="A479" s="19" t="str">
        <f ca="1">IF(OR(INDIRECT("'" &amp; Master!$F$8 &amp; Master!$F$6 &amp; "'!A" &amp; ROW(A479))="", INDIRECT("'" &amp; Master!$F$8 &amp; Master!$F$6 &amp; "'!A" &amp; ROW(A479))=0), "", INDIRECT("'" &amp; Master!$F$8 &amp; Master!$F$6 &amp; "'!A" &amp; ROW(A479)))</f>
        <v/>
      </c>
      <c r="B479" s="4" t="e">
        <f ca="1">SplineInterp(INDIRECT("A" &amp; ROW()),INDIRECT("'" &amp;Master!$F$10&amp; "'!$A$2:$A$50"),INDIRECT("'" &amp;Master!$F$10&amp; "'!$B$2:$B$50"))</f>
        <v>#VALUE!</v>
      </c>
      <c r="C479" s="4" t="e">
        <f ca="1">SplineInterp(A479,INDIRECT("'" &amp;Master!$F$10&amp; "'!$A$2:$A$50"),INDIRECT("'" &amp;Master!$F$10&amp; "'!$C$2:$C$50"))</f>
        <v>#VALUE!</v>
      </c>
      <c r="D479" s="4" t="e">
        <f ca="1">SplineInterp(A479,INDIRECT("'" &amp;Master!$F$10&amp; "'!$A$2:$A$50"),INDIRECT("'" &amp;Master!$F$10&amp; "'!$D$2:$D$50"))</f>
        <v>#VALUE!</v>
      </c>
      <c r="E479" s="4" t="e">
        <f ca="1">SplineInterp(A479,INDIRECT("'" &amp;Master!$F$10&amp; "'!$A$2:$A$50"),INDIRECT("'" &amp;Master!$F$10&amp; "'!$E$2:$E$50"))</f>
        <v>#VALUE!</v>
      </c>
      <c r="F479" s="4" t="e">
        <f ca="1">SplineInterp(A479,INDIRECT("'" &amp;Master!$F$10&amp; "'!$A$2:$A$50"),INDIRECT("'" &amp;Master!$F$10&amp; "'!$F$2:$F$50"))</f>
        <v>#VALUE!</v>
      </c>
      <c r="G479" s="4" t="e">
        <f ca="1">SplineInterp(A479,INDIRECT("'" &amp;Master!$F$10&amp; "'!$A$2:$A$50"),INDIRECT("'" &amp;Master!$F$10&amp; "'!$G$2:$G$50"))</f>
        <v>#VALUE!</v>
      </c>
      <c r="H479" s="4" t="e">
        <f ca="1">SplineInterp(A479,INDIRECT("'" &amp;Master!$F$10&amp; "'!$A$2:$A$50"),INDIRECT("'" &amp;Master!$F$10&amp; "'!$H$2:$H$50"))</f>
        <v>#VALUE!</v>
      </c>
      <c r="I479" s="4" t="e">
        <f ca="1">IF(OR(INDIRECT("'" &amp; Master!$F$8 &amp; Master!$F$6 &amp; "'!B" &amp; ROW(B479))="", INDIRECT("'" &amp; Master!$F$8 &amp; Master!$F$6 &amp; "'!B" &amp; ROW(B479))=0), "", INDIRECT("'" &amp; Master!$F$8 &amp; Master!$F$6 &amp; "'!B" &amp; ROW(B479)))</f>
        <v>#VALUE!</v>
      </c>
      <c r="J479" s="9" t="e">
        <f t="shared" ca="1" si="49"/>
        <v>#VALUE!</v>
      </c>
      <c r="K479" s="7" t="e">
        <f t="shared" ca="1" si="50"/>
        <v>#VALUE!</v>
      </c>
      <c r="L479" s="7" t="e">
        <f t="shared" ca="1" si="51"/>
        <v>#VALUE!</v>
      </c>
      <c r="M479" s="7" t="e">
        <f t="shared" ca="1" si="52"/>
        <v>#VALUE!</v>
      </c>
      <c r="N479" s="7" t="e">
        <f t="shared" ca="1" si="53"/>
        <v>#VALUE!</v>
      </c>
      <c r="O479" s="7" t="e">
        <f t="shared" ca="1" si="54"/>
        <v>#VALUE!</v>
      </c>
      <c r="P479" s="7" t="e">
        <f t="shared" ca="1" si="55"/>
        <v>#VALUE!</v>
      </c>
    </row>
    <row r="480" spans="1:16" x14ac:dyDescent="0.25">
      <c r="A480" s="19" t="str">
        <f ca="1">IF(OR(INDIRECT("'" &amp; Master!$F$8 &amp; Master!$F$6 &amp; "'!A" &amp; ROW(A480))="", INDIRECT("'" &amp; Master!$F$8 &amp; Master!$F$6 &amp; "'!A" &amp; ROW(A480))=0), "", INDIRECT("'" &amp; Master!$F$8 &amp; Master!$F$6 &amp; "'!A" &amp; ROW(A480)))</f>
        <v/>
      </c>
      <c r="B480" s="4" t="e">
        <f ca="1">SplineInterp(INDIRECT("A" &amp; ROW()),INDIRECT("'" &amp;Master!$F$10&amp; "'!$A$2:$A$50"),INDIRECT("'" &amp;Master!$F$10&amp; "'!$B$2:$B$50"))</f>
        <v>#VALUE!</v>
      </c>
      <c r="C480" s="4" t="e">
        <f ca="1">SplineInterp(A480,INDIRECT("'" &amp;Master!$F$10&amp; "'!$A$2:$A$50"),INDIRECT("'" &amp;Master!$F$10&amp; "'!$C$2:$C$50"))</f>
        <v>#VALUE!</v>
      </c>
      <c r="D480" s="4" t="e">
        <f ca="1">SplineInterp(A480,INDIRECT("'" &amp;Master!$F$10&amp; "'!$A$2:$A$50"),INDIRECT("'" &amp;Master!$F$10&amp; "'!$D$2:$D$50"))</f>
        <v>#VALUE!</v>
      </c>
      <c r="E480" s="4" t="e">
        <f ca="1">SplineInterp(A480,INDIRECT("'" &amp;Master!$F$10&amp; "'!$A$2:$A$50"),INDIRECT("'" &amp;Master!$F$10&amp; "'!$E$2:$E$50"))</f>
        <v>#VALUE!</v>
      </c>
      <c r="F480" s="4" t="e">
        <f ca="1">SplineInterp(A480,INDIRECT("'" &amp;Master!$F$10&amp; "'!$A$2:$A$50"),INDIRECT("'" &amp;Master!$F$10&amp; "'!$F$2:$F$50"))</f>
        <v>#VALUE!</v>
      </c>
      <c r="G480" s="4" t="e">
        <f ca="1">SplineInterp(A480,INDIRECT("'" &amp;Master!$F$10&amp; "'!$A$2:$A$50"),INDIRECT("'" &amp;Master!$F$10&amp; "'!$G$2:$G$50"))</f>
        <v>#VALUE!</v>
      </c>
      <c r="H480" s="4" t="e">
        <f ca="1">SplineInterp(A480,INDIRECT("'" &amp;Master!$F$10&amp; "'!$A$2:$A$50"),INDIRECT("'" &amp;Master!$F$10&amp; "'!$H$2:$H$50"))</f>
        <v>#VALUE!</v>
      </c>
      <c r="I480" s="4" t="e">
        <f ca="1">IF(OR(INDIRECT("'" &amp; Master!$F$8 &amp; Master!$F$6 &amp; "'!B" &amp; ROW(B480))="", INDIRECT("'" &amp; Master!$F$8 &amp; Master!$F$6 &amp; "'!B" &amp; ROW(B480))=0), "", INDIRECT("'" &amp; Master!$F$8 &amp; Master!$F$6 &amp; "'!B" &amp; ROW(B480)))</f>
        <v>#VALUE!</v>
      </c>
      <c r="J480" s="9" t="e">
        <f t="shared" ca="1" si="49"/>
        <v>#VALUE!</v>
      </c>
      <c r="K480" s="7" t="e">
        <f t="shared" ca="1" si="50"/>
        <v>#VALUE!</v>
      </c>
      <c r="L480" s="7" t="e">
        <f t="shared" ca="1" si="51"/>
        <v>#VALUE!</v>
      </c>
      <c r="M480" s="7" t="e">
        <f t="shared" ca="1" si="52"/>
        <v>#VALUE!</v>
      </c>
      <c r="N480" s="7" t="e">
        <f t="shared" ca="1" si="53"/>
        <v>#VALUE!</v>
      </c>
      <c r="O480" s="7" t="e">
        <f t="shared" ca="1" si="54"/>
        <v>#VALUE!</v>
      </c>
      <c r="P480" s="7" t="e">
        <f t="shared" ca="1" si="55"/>
        <v>#VALUE!</v>
      </c>
    </row>
    <row r="481" spans="1:16" x14ac:dyDescent="0.25">
      <c r="A481" s="19" t="str">
        <f ca="1">IF(OR(INDIRECT("'" &amp; Master!$F$8 &amp; Master!$F$6 &amp; "'!A" &amp; ROW(A481))="", INDIRECT("'" &amp; Master!$F$8 &amp; Master!$F$6 &amp; "'!A" &amp; ROW(A481))=0), "", INDIRECT("'" &amp; Master!$F$8 &amp; Master!$F$6 &amp; "'!A" &amp; ROW(A481)))</f>
        <v/>
      </c>
      <c r="B481" s="4" t="e">
        <f ca="1">SplineInterp(INDIRECT("A" &amp; ROW()),INDIRECT("'" &amp;Master!$F$10&amp; "'!$A$2:$A$50"),INDIRECT("'" &amp;Master!$F$10&amp; "'!$B$2:$B$50"))</f>
        <v>#VALUE!</v>
      </c>
      <c r="C481" s="4" t="e">
        <f ca="1">SplineInterp(A481,INDIRECT("'" &amp;Master!$F$10&amp; "'!$A$2:$A$50"),INDIRECT("'" &amp;Master!$F$10&amp; "'!$C$2:$C$50"))</f>
        <v>#VALUE!</v>
      </c>
      <c r="D481" s="4" t="e">
        <f ca="1">SplineInterp(A481,INDIRECT("'" &amp;Master!$F$10&amp; "'!$A$2:$A$50"),INDIRECT("'" &amp;Master!$F$10&amp; "'!$D$2:$D$50"))</f>
        <v>#VALUE!</v>
      </c>
      <c r="E481" s="4" t="e">
        <f ca="1">SplineInterp(A481,INDIRECT("'" &amp;Master!$F$10&amp; "'!$A$2:$A$50"),INDIRECT("'" &amp;Master!$F$10&amp; "'!$E$2:$E$50"))</f>
        <v>#VALUE!</v>
      </c>
      <c r="F481" s="4" t="e">
        <f ca="1">SplineInterp(A481,INDIRECT("'" &amp;Master!$F$10&amp; "'!$A$2:$A$50"),INDIRECT("'" &amp;Master!$F$10&amp; "'!$F$2:$F$50"))</f>
        <v>#VALUE!</v>
      </c>
      <c r="G481" s="4" t="e">
        <f ca="1">SplineInterp(A481,INDIRECT("'" &amp;Master!$F$10&amp; "'!$A$2:$A$50"),INDIRECT("'" &amp;Master!$F$10&amp; "'!$G$2:$G$50"))</f>
        <v>#VALUE!</v>
      </c>
      <c r="H481" s="4" t="e">
        <f ca="1">SplineInterp(A481,INDIRECT("'" &amp;Master!$F$10&amp; "'!$A$2:$A$50"),INDIRECT("'" &amp;Master!$F$10&amp; "'!$H$2:$H$50"))</f>
        <v>#VALUE!</v>
      </c>
      <c r="I481" s="4" t="e">
        <f ca="1">IF(OR(INDIRECT("'" &amp; Master!$F$8 &amp; Master!$F$6 &amp; "'!B" &amp; ROW(B481))="", INDIRECT("'" &amp; Master!$F$8 &amp; Master!$F$6 &amp; "'!B" &amp; ROW(B481))=0), "", INDIRECT("'" &amp; Master!$F$8 &amp; Master!$F$6 &amp; "'!B" &amp; ROW(B481)))</f>
        <v>#VALUE!</v>
      </c>
      <c r="J481" s="9" t="e">
        <f t="shared" ca="1" si="49"/>
        <v>#VALUE!</v>
      </c>
      <c r="K481" s="7" t="e">
        <f t="shared" ca="1" si="50"/>
        <v>#VALUE!</v>
      </c>
      <c r="L481" s="7" t="e">
        <f t="shared" ca="1" si="51"/>
        <v>#VALUE!</v>
      </c>
      <c r="M481" s="7" t="e">
        <f t="shared" ca="1" si="52"/>
        <v>#VALUE!</v>
      </c>
      <c r="N481" s="7" t="e">
        <f t="shared" ca="1" si="53"/>
        <v>#VALUE!</v>
      </c>
      <c r="O481" s="7" t="e">
        <f t="shared" ca="1" si="54"/>
        <v>#VALUE!</v>
      </c>
      <c r="P481" s="7" t="e">
        <f t="shared" ca="1" si="55"/>
        <v>#VALUE!</v>
      </c>
    </row>
    <row r="482" spans="1:16" x14ac:dyDescent="0.25">
      <c r="A482" s="19" t="str">
        <f ca="1">IF(OR(INDIRECT("'" &amp; Master!$F$8 &amp; Master!$F$6 &amp; "'!A" &amp; ROW(A482))="", INDIRECT("'" &amp; Master!$F$8 &amp; Master!$F$6 &amp; "'!A" &amp; ROW(A482))=0), "", INDIRECT("'" &amp; Master!$F$8 &amp; Master!$F$6 &amp; "'!A" &amp; ROW(A482)))</f>
        <v/>
      </c>
      <c r="B482" s="4" t="e">
        <f ca="1">SplineInterp(INDIRECT("A" &amp; ROW()),INDIRECT("'" &amp;Master!$F$10&amp; "'!$A$2:$A$50"),INDIRECT("'" &amp;Master!$F$10&amp; "'!$B$2:$B$50"))</f>
        <v>#VALUE!</v>
      </c>
      <c r="C482" s="4" t="e">
        <f ca="1">SplineInterp(A482,INDIRECT("'" &amp;Master!$F$10&amp; "'!$A$2:$A$50"),INDIRECT("'" &amp;Master!$F$10&amp; "'!$C$2:$C$50"))</f>
        <v>#VALUE!</v>
      </c>
      <c r="D482" s="4" t="e">
        <f ca="1">SplineInterp(A482,INDIRECT("'" &amp;Master!$F$10&amp; "'!$A$2:$A$50"),INDIRECT("'" &amp;Master!$F$10&amp; "'!$D$2:$D$50"))</f>
        <v>#VALUE!</v>
      </c>
      <c r="E482" s="4" t="e">
        <f ca="1">SplineInterp(A482,INDIRECT("'" &amp;Master!$F$10&amp; "'!$A$2:$A$50"),INDIRECT("'" &amp;Master!$F$10&amp; "'!$E$2:$E$50"))</f>
        <v>#VALUE!</v>
      </c>
      <c r="F482" s="4" t="e">
        <f ca="1">SplineInterp(A482,INDIRECT("'" &amp;Master!$F$10&amp; "'!$A$2:$A$50"),INDIRECT("'" &amp;Master!$F$10&amp; "'!$F$2:$F$50"))</f>
        <v>#VALUE!</v>
      </c>
      <c r="G482" s="4" t="e">
        <f ca="1">SplineInterp(A482,INDIRECT("'" &amp;Master!$F$10&amp; "'!$A$2:$A$50"),INDIRECT("'" &amp;Master!$F$10&amp; "'!$G$2:$G$50"))</f>
        <v>#VALUE!</v>
      </c>
      <c r="H482" s="4" t="e">
        <f ca="1">SplineInterp(A482,INDIRECT("'" &amp;Master!$F$10&amp; "'!$A$2:$A$50"),INDIRECT("'" &amp;Master!$F$10&amp; "'!$H$2:$H$50"))</f>
        <v>#VALUE!</v>
      </c>
      <c r="I482" s="4" t="e">
        <f ca="1">IF(OR(INDIRECT("'" &amp; Master!$F$8 &amp; Master!$F$6 &amp; "'!B" &amp; ROW(B482))="", INDIRECT("'" &amp; Master!$F$8 &amp; Master!$F$6 &amp; "'!B" &amp; ROW(B482))=0), "", INDIRECT("'" &amp; Master!$F$8 &amp; Master!$F$6 &amp; "'!B" &amp; ROW(B482)))</f>
        <v>#VALUE!</v>
      </c>
      <c r="J482" s="9" t="e">
        <f t="shared" ca="1" si="49"/>
        <v>#VALUE!</v>
      </c>
      <c r="K482" s="7" t="e">
        <f t="shared" ca="1" si="50"/>
        <v>#VALUE!</v>
      </c>
      <c r="L482" s="7" t="e">
        <f t="shared" ca="1" si="51"/>
        <v>#VALUE!</v>
      </c>
      <c r="M482" s="7" t="e">
        <f t="shared" ca="1" si="52"/>
        <v>#VALUE!</v>
      </c>
      <c r="N482" s="7" t="e">
        <f t="shared" ca="1" si="53"/>
        <v>#VALUE!</v>
      </c>
      <c r="O482" s="7" t="e">
        <f t="shared" ca="1" si="54"/>
        <v>#VALUE!</v>
      </c>
      <c r="P482" s="7" t="e">
        <f t="shared" ca="1" si="55"/>
        <v>#VALUE!</v>
      </c>
    </row>
    <row r="483" spans="1:16" x14ac:dyDescent="0.25">
      <c r="A483" s="19" t="str">
        <f ca="1">IF(OR(INDIRECT("'" &amp; Master!$F$8 &amp; Master!$F$6 &amp; "'!A" &amp; ROW(A483))="", INDIRECT("'" &amp; Master!$F$8 &amp; Master!$F$6 &amp; "'!A" &amp; ROW(A483))=0), "", INDIRECT("'" &amp; Master!$F$8 &amp; Master!$F$6 &amp; "'!A" &amp; ROW(A483)))</f>
        <v/>
      </c>
      <c r="B483" s="4" t="e">
        <f ca="1">SplineInterp(INDIRECT("A" &amp; ROW()),INDIRECT("'" &amp;Master!$F$10&amp; "'!$A$2:$A$50"),INDIRECT("'" &amp;Master!$F$10&amp; "'!$B$2:$B$50"))</f>
        <v>#VALUE!</v>
      </c>
      <c r="C483" s="4" t="e">
        <f ca="1">SplineInterp(A483,INDIRECT("'" &amp;Master!$F$10&amp; "'!$A$2:$A$50"),INDIRECT("'" &amp;Master!$F$10&amp; "'!$C$2:$C$50"))</f>
        <v>#VALUE!</v>
      </c>
      <c r="D483" s="4" t="e">
        <f ca="1">SplineInterp(A483,INDIRECT("'" &amp;Master!$F$10&amp; "'!$A$2:$A$50"),INDIRECT("'" &amp;Master!$F$10&amp; "'!$D$2:$D$50"))</f>
        <v>#VALUE!</v>
      </c>
      <c r="E483" s="4" t="e">
        <f ca="1">SplineInterp(A483,INDIRECT("'" &amp;Master!$F$10&amp; "'!$A$2:$A$50"),INDIRECT("'" &amp;Master!$F$10&amp; "'!$E$2:$E$50"))</f>
        <v>#VALUE!</v>
      </c>
      <c r="F483" s="4" t="e">
        <f ca="1">SplineInterp(A483,INDIRECT("'" &amp;Master!$F$10&amp; "'!$A$2:$A$50"),INDIRECT("'" &amp;Master!$F$10&amp; "'!$F$2:$F$50"))</f>
        <v>#VALUE!</v>
      </c>
      <c r="G483" s="4" t="e">
        <f ca="1">SplineInterp(A483,INDIRECT("'" &amp;Master!$F$10&amp; "'!$A$2:$A$50"),INDIRECT("'" &amp;Master!$F$10&amp; "'!$G$2:$G$50"))</f>
        <v>#VALUE!</v>
      </c>
      <c r="H483" s="4" t="e">
        <f ca="1">SplineInterp(A483,INDIRECT("'" &amp;Master!$F$10&amp; "'!$A$2:$A$50"),INDIRECT("'" &amp;Master!$F$10&amp; "'!$H$2:$H$50"))</f>
        <v>#VALUE!</v>
      </c>
      <c r="I483" s="4" t="e">
        <f ca="1">IF(OR(INDIRECT("'" &amp; Master!$F$8 &amp; Master!$F$6 &amp; "'!B" &amp; ROW(B483))="", INDIRECT("'" &amp; Master!$F$8 &amp; Master!$F$6 &amp; "'!B" &amp; ROW(B483))=0), "", INDIRECT("'" &amp; Master!$F$8 &amp; Master!$F$6 &amp; "'!B" &amp; ROW(B483)))</f>
        <v>#VALUE!</v>
      </c>
      <c r="J483" s="9" t="e">
        <f t="shared" ca="1" si="49"/>
        <v>#VALUE!</v>
      </c>
      <c r="K483" s="7" t="e">
        <f t="shared" ca="1" si="50"/>
        <v>#VALUE!</v>
      </c>
      <c r="L483" s="7" t="e">
        <f t="shared" ca="1" si="51"/>
        <v>#VALUE!</v>
      </c>
      <c r="M483" s="7" t="e">
        <f t="shared" ca="1" si="52"/>
        <v>#VALUE!</v>
      </c>
      <c r="N483" s="7" t="e">
        <f t="shared" ca="1" si="53"/>
        <v>#VALUE!</v>
      </c>
      <c r="O483" s="7" t="e">
        <f t="shared" ca="1" si="54"/>
        <v>#VALUE!</v>
      </c>
      <c r="P483" s="7" t="e">
        <f t="shared" ca="1" si="55"/>
        <v>#VALUE!</v>
      </c>
    </row>
    <row r="484" spans="1:16" x14ac:dyDescent="0.25">
      <c r="A484" s="19" t="str">
        <f ca="1">IF(OR(INDIRECT("'" &amp; Master!$F$8 &amp; Master!$F$6 &amp; "'!A" &amp; ROW(A484))="", INDIRECT("'" &amp; Master!$F$8 &amp; Master!$F$6 &amp; "'!A" &amp; ROW(A484))=0), "", INDIRECT("'" &amp; Master!$F$8 &amp; Master!$F$6 &amp; "'!A" &amp; ROW(A484)))</f>
        <v/>
      </c>
      <c r="B484" s="4" t="e">
        <f ca="1">SplineInterp(INDIRECT("A" &amp; ROW()),INDIRECT("'" &amp;Master!$F$10&amp; "'!$A$2:$A$50"),INDIRECT("'" &amp;Master!$F$10&amp; "'!$B$2:$B$50"))</f>
        <v>#VALUE!</v>
      </c>
      <c r="C484" s="4" t="e">
        <f ca="1">SplineInterp(A484,INDIRECT("'" &amp;Master!$F$10&amp; "'!$A$2:$A$50"),INDIRECT("'" &amp;Master!$F$10&amp; "'!$C$2:$C$50"))</f>
        <v>#VALUE!</v>
      </c>
      <c r="D484" s="4" t="e">
        <f ca="1">SplineInterp(A484,INDIRECT("'" &amp;Master!$F$10&amp; "'!$A$2:$A$50"),INDIRECT("'" &amp;Master!$F$10&amp; "'!$D$2:$D$50"))</f>
        <v>#VALUE!</v>
      </c>
      <c r="E484" s="4" t="e">
        <f ca="1">SplineInterp(A484,INDIRECT("'" &amp;Master!$F$10&amp; "'!$A$2:$A$50"),INDIRECT("'" &amp;Master!$F$10&amp; "'!$E$2:$E$50"))</f>
        <v>#VALUE!</v>
      </c>
      <c r="F484" s="4" t="e">
        <f ca="1">SplineInterp(A484,INDIRECT("'" &amp;Master!$F$10&amp; "'!$A$2:$A$50"),INDIRECT("'" &amp;Master!$F$10&amp; "'!$F$2:$F$50"))</f>
        <v>#VALUE!</v>
      </c>
      <c r="G484" s="4" t="e">
        <f ca="1">SplineInterp(A484,INDIRECT("'" &amp;Master!$F$10&amp; "'!$A$2:$A$50"),INDIRECT("'" &amp;Master!$F$10&amp; "'!$G$2:$G$50"))</f>
        <v>#VALUE!</v>
      </c>
      <c r="H484" s="4" t="e">
        <f ca="1">SplineInterp(A484,INDIRECT("'" &amp;Master!$F$10&amp; "'!$A$2:$A$50"),INDIRECT("'" &amp;Master!$F$10&amp; "'!$H$2:$H$50"))</f>
        <v>#VALUE!</v>
      </c>
      <c r="I484" s="4" t="e">
        <f ca="1">IF(OR(INDIRECT("'" &amp; Master!$F$8 &amp; Master!$F$6 &amp; "'!B" &amp; ROW(B484))="", INDIRECT("'" &amp; Master!$F$8 &amp; Master!$F$6 &amp; "'!B" &amp; ROW(B484))=0), "", INDIRECT("'" &amp; Master!$F$8 &amp; Master!$F$6 &amp; "'!B" &amp; ROW(B484)))</f>
        <v>#VALUE!</v>
      </c>
      <c r="J484" s="9" t="e">
        <f t="shared" ca="1" si="49"/>
        <v>#VALUE!</v>
      </c>
      <c r="K484" s="7" t="e">
        <f t="shared" ca="1" si="50"/>
        <v>#VALUE!</v>
      </c>
      <c r="L484" s="7" t="e">
        <f t="shared" ca="1" si="51"/>
        <v>#VALUE!</v>
      </c>
      <c r="M484" s="7" t="e">
        <f t="shared" ca="1" si="52"/>
        <v>#VALUE!</v>
      </c>
      <c r="N484" s="7" t="e">
        <f t="shared" ca="1" si="53"/>
        <v>#VALUE!</v>
      </c>
      <c r="O484" s="7" t="e">
        <f t="shared" ca="1" si="54"/>
        <v>#VALUE!</v>
      </c>
      <c r="P484" s="7" t="e">
        <f t="shared" ca="1" si="55"/>
        <v>#VALUE!</v>
      </c>
    </row>
    <row r="485" spans="1:16" x14ac:dyDescent="0.25">
      <c r="A485" s="19" t="str">
        <f ca="1">IF(OR(INDIRECT("'" &amp; Master!$F$8 &amp; Master!$F$6 &amp; "'!A" &amp; ROW(A485))="", INDIRECT("'" &amp; Master!$F$8 &amp; Master!$F$6 &amp; "'!A" &amp; ROW(A485))=0), "", INDIRECT("'" &amp; Master!$F$8 &amp; Master!$F$6 &amp; "'!A" &amp; ROW(A485)))</f>
        <v/>
      </c>
      <c r="B485" s="4" t="e">
        <f ca="1">SplineInterp(INDIRECT("A" &amp; ROW()),INDIRECT("'" &amp;Master!$F$10&amp; "'!$A$2:$A$50"),INDIRECT("'" &amp;Master!$F$10&amp; "'!$B$2:$B$50"))</f>
        <v>#VALUE!</v>
      </c>
      <c r="C485" s="4" t="e">
        <f ca="1">SplineInterp(A485,INDIRECT("'" &amp;Master!$F$10&amp; "'!$A$2:$A$50"),INDIRECT("'" &amp;Master!$F$10&amp; "'!$C$2:$C$50"))</f>
        <v>#VALUE!</v>
      </c>
      <c r="D485" s="4" t="e">
        <f ca="1">SplineInterp(A485,INDIRECT("'" &amp;Master!$F$10&amp; "'!$A$2:$A$50"),INDIRECT("'" &amp;Master!$F$10&amp; "'!$D$2:$D$50"))</f>
        <v>#VALUE!</v>
      </c>
      <c r="E485" s="4" t="e">
        <f ca="1">SplineInterp(A485,INDIRECT("'" &amp;Master!$F$10&amp; "'!$A$2:$A$50"),INDIRECT("'" &amp;Master!$F$10&amp; "'!$E$2:$E$50"))</f>
        <v>#VALUE!</v>
      </c>
      <c r="F485" s="4" t="e">
        <f ca="1">SplineInterp(A485,INDIRECT("'" &amp;Master!$F$10&amp; "'!$A$2:$A$50"),INDIRECT("'" &amp;Master!$F$10&amp; "'!$F$2:$F$50"))</f>
        <v>#VALUE!</v>
      </c>
      <c r="G485" s="4" t="e">
        <f ca="1">SplineInterp(A485,INDIRECT("'" &amp;Master!$F$10&amp; "'!$A$2:$A$50"),INDIRECT("'" &amp;Master!$F$10&amp; "'!$G$2:$G$50"))</f>
        <v>#VALUE!</v>
      </c>
      <c r="H485" s="4" t="e">
        <f ca="1">SplineInterp(A485,INDIRECT("'" &amp;Master!$F$10&amp; "'!$A$2:$A$50"),INDIRECT("'" &amp;Master!$F$10&amp; "'!$H$2:$H$50"))</f>
        <v>#VALUE!</v>
      </c>
      <c r="I485" s="4" t="e">
        <f ca="1">IF(OR(INDIRECT("'" &amp; Master!$F$8 &amp; Master!$F$6 &amp; "'!B" &amp; ROW(B485))="", INDIRECT("'" &amp; Master!$F$8 &amp; Master!$F$6 &amp; "'!B" &amp; ROW(B485))=0), "", INDIRECT("'" &amp; Master!$F$8 &amp; Master!$F$6 &amp; "'!B" &amp; ROW(B485)))</f>
        <v>#VALUE!</v>
      </c>
      <c r="J485" s="9" t="e">
        <f t="shared" ca="1" si="49"/>
        <v>#VALUE!</v>
      </c>
      <c r="K485" s="7" t="e">
        <f t="shared" ca="1" si="50"/>
        <v>#VALUE!</v>
      </c>
      <c r="L485" s="7" t="e">
        <f t="shared" ca="1" si="51"/>
        <v>#VALUE!</v>
      </c>
      <c r="M485" s="7" t="e">
        <f t="shared" ca="1" si="52"/>
        <v>#VALUE!</v>
      </c>
      <c r="N485" s="7" t="e">
        <f t="shared" ca="1" si="53"/>
        <v>#VALUE!</v>
      </c>
      <c r="O485" s="7" t="e">
        <f t="shared" ca="1" si="54"/>
        <v>#VALUE!</v>
      </c>
      <c r="P485" s="7" t="e">
        <f t="shared" ca="1" si="55"/>
        <v>#VALUE!</v>
      </c>
    </row>
    <row r="486" spans="1:16" x14ac:dyDescent="0.25">
      <c r="A486" s="19" t="str">
        <f ca="1">IF(OR(INDIRECT("'" &amp; Master!$F$8 &amp; Master!$F$6 &amp; "'!A" &amp; ROW(A486))="", INDIRECT("'" &amp; Master!$F$8 &amp; Master!$F$6 &amp; "'!A" &amp; ROW(A486))=0), "", INDIRECT("'" &amp; Master!$F$8 &amp; Master!$F$6 &amp; "'!A" &amp; ROW(A486)))</f>
        <v/>
      </c>
      <c r="B486" s="4" t="e">
        <f ca="1">SplineInterp(INDIRECT("A" &amp; ROW()),INDIRECT("'" &amp;Master!$F$10&amp; "'!$A$2:$A$50"),INDIRECT("'" &amp;Master!$F$10&amp; "'!$B$2:$B$50"))</f>
        <v>#VALUE!</v>
      </c>
      <c r="C486" s="4" t="e">
        <f ca="1">SplineInterp(A486,INDIRECT("'" &amp;Master!$F$10&amp; "'!$A$2:$A$50"),INDIRECT("'" &amp;Master!$F$10&amp; "'!$C$2:$C$50"))</f>
        <v>#VALUE!</v>
      </c>
      <c r="D486" s="4" t="e">
        <f ca="1">SplineInterp(A486,INDIRECT("'" &amp;Master!$F$10&amp; "'!$A$2:$A$50"),INDIRECT("'" &amp;Master!$F$10&amp; "'!$D$2:$D$50"))</f>
        <v>#VALUE!</v>
      </c>
      <c r="E486" s="4" t="e">
        <f ca="1">SplineInterp(A486,INDIRECT("'" &amp;Master!$F$10&amp; "'!$A$2:$A$50"),INDIRECT("'" &amp;Master!$F$10&amp; "'!$E$2:$E$50"))</f>
        <v>#VALUE!</v>
      </c>
      <c r="F486" s="4" t="e">
        <f ca="1">SplineInterp(A486,INDIRECT("'" &amp;Master!$F$10&amp; "'!$A$2:$A$50"),INDIRECT("'" &amp;Master!$F$10&amp; "'!$F$2:$F$50"))</f>
        <v>#VALUE!</v>
      </c>
      <c r="G486" s="4" t="e">
        <f ca="1">SplineInterp(A486,INDIRECT("'" &amp;Master!$F$10&amp; "'!$A$2:$A$50"),INDIRECT("'" &amp;Master!$F$10&amp; "'!$G$2:$G$50"))</f>
        <v>#VALUE!</v>
      </c>
      <c r="H486" s="4" t="e">
        <f ca="1">SplineInterp(A486,INDIRECT("'" &amp;Master!$F$10&amp; "'!$A$2:$A$50"),INDIRECT("'" &amp;Master!$F$10&amp; "'!$H$2:$H$50"))</f>
        <v>#VALUE!</v>
      </c>
      <c r="I486" s="4" t="e">
        <f ca="1">IF(OR(INDIRECT("'" &amp; Master!$F$8 &amp; Master!$F$6 &amp; "'!B" &amp; ROW(B486))="", INDIRECT("'" &amp; Master!$F$8 &amp; Master!$F$6 &amp; "'!B" &amp; ROW(B486))=0), "", INDIRECT("'" &amp; Master!$F$8 &amp; Master!$F$6 &amp; "'!B" &amp; ROW(B486)))</f>
        <v>#VALUE!</v>
      </c>
      <c r="J486" s="9" t="e">
        <f t="shared" ca="1" si="49"/>
        <v>#VALUE!</v>
      </c>
      <c r="K486" s="7" t="e">
        <f t="shared" ca="1" si="50"/>
        <v>#VALUE!</v>
      </c>
      <c r="L486" s="7" t="e">
        <f t="shared" ca="1" si="51"/>
        <v>#VALUE!</v>
      </c>
      <c r="M486" s="7" t="e">
        <f t="shared" ca="1" si="52"/>
        <v>#VALUE!</v>
      </c>
      <c r="N486" s="7" t="e">
        <f t="shared" ca="1" si="53"/>
        <v>#VALUE!</v>
      </c>
      <c r="O486" s="7" t="e">
        <f t="shared" ca="1" si="54"/>
        <v>#VALUE!</v>
      </c>
      <c r="P486" s="7" t="e">
        <f t="shared" ca="1" si="55"/>
        <v>#VALUE!</v>
      </c>
    </row>
    <row r="487" spans="1:16" x14ac:dyDescent="0.25">
      <c r="A487" s="19" t="str">
        <f ca="1">IF(OR(INDIRECT("'" &amp; Master!$F$8 &amp; Master!$F$6 &amp; "'!A" &amp; ROW(A487))="", INDIRECT("'" &amp; Master!$F$8 &amp; Master!$F$6 &amp; "'!A" &amp; ROW(A487))=0), "", INDIRECT("'" &amp; Master!$F$8 &amp; Master!$F$6 &amp; "'!A" &amp; ROW(A487)))</f>
        <v/>
      </c>
      <c r="B487" s="4" t="e">
        <f ca="1">SplineInterp(INDIRECT("A" &amp; ROW()),INDIRECT("'" &amp;Master!$F$10&amp; "'!$A$2:$A$50"),INDIRECT("'" &amp;Master!$F$10&amp; "'!$B$2:$B$50"))</f>
        <v>#VALUE!</v>
      </c>
      <c r="C487" s="4" t="e">
        <f ca="1">SplineInterp(A487,INDIRECT("'" &amp;Master!$F$10&amp; "'!$A$2:$A$50"),INDIRECT("'" &amp;Master!$F$10&amp; "'!$C$2:$C$50"))</f>
        <v>#VALUE!</v>
      </c>
      <c r="D487" s="4" t="e">
        <f ca="1">SplineInterp(A487,INDIRECT("'" &amp;Master!$F$10&amp; "'!$A$2:$A$50"),INDIRECT("'" &amp;Master!$F$10&amp; "'!$D$2:$D$50"))</f>
        <v>#VALUE!</v>
      </c>
      <c r="E487" s="4" t="e">
        <f ca="1">SplineInterp(A487,INDIRECT("'" &amp;Master!$F$10&amp; "'!$A$2:$A$50"),INDIRECT("'" &amp;Master!$F$10&amp; "'!$E$2:$E$50"))</f>
        <v>#VALUE!</v>
      </c>
      <c r="F487" s="4" t="e">
        <f ca="1">SplineInterp(A487,INDIRECT("'" &amp;Master!$F$10&amp; "'!$A$2:$A$50"),INDIRECT("'" &amp;Master!$F$10&amp; "'!$F$2:$F$50"))</f>
        <v>#VALUE!</v>
      </c>
      <c r="G487" s="4" t="e">
        <f ca="1">SplineInterp(A487,INDIRECT("'" &amp;Master!$F$10&amp; "'!$A$2:$A$50"),INDIRECT("'" &amp;Master!$F$10&amp; "'!$G$2:$G$50"))</f>
        <v>#VALUE!</v>
      </c>
      <c r="H487" s="4" t="e">
        <f ca="1">SplineInterp(A487,INDIRECT("'" &amp;Master!$F$10&amp; "'!$A$2:$A$50"),INDIRECT("'" &amp;Master!$F$10&amp; "'!$H$2:$H$50"))</f>
        <v>#VALUE!</v>
      </c>
      <c r="I487" s="4" t="e">
        <f ca="1">IF(OR(INDIRECT("'" &amp; Master!$F$8 &amp; Master!$F$6 &amp; "'!B" &amp; ROW(B487))="", INDIRECT("'" &amp; Master!$F$8 &amp; Master!$F$6 &amp; "'!B" &amp; ROW(B487))=0), "", INDIRECT("'" &amp; Master!$F$8 &amp; Master!$F$6 &amp; "'!B" &amp; ROW(B487)))</f>
        <v>#VALUE!</v>
      </c>
      <c r="J487" s="9" t="e">
        <f t="shared" ca="1" si="49"/>
        <v>#VALUE!</v>
      </c>
      <c r="K487" s="7" t="e">
        <f t="shared" ca="1" si="50"/>
        <v>#VALUE!</v>
      </c>
      <c r="L487" s="7" t="e">
        <f t="shared" ca="1" si="51"/>
        <v>#VALUE!</v>
      </c>
      <c r="M487" s="7" t="e">
        <f t="shared" ca="1" si="52"/>
        <v>#VALUE!</v>
      </c>
      <c r="N487" s="7" t="e">
        <f t="shared" ca="1" si="53"/>
        <v>#VALUE!</v>
      </c>
      <c r="O487" s="7" t="e">
        <f t="shared" ca="1" si="54"/>
        <v>#VALUE!</v>
      </c>
      <c r="P487" s="7" t="e">
        <f t="shared" ca="1" si="55"/>
        <v>#VALUE!</v>
      </c>
    </row>
    <row r="488" spans="1:16" x14ac:dyDescent="0.25">
      <c r="A488" s="19" t="str">
        <f ca="1">IF(OR(INDIRECT("'" &amp; Master!$F$8 &amp; Master!$F$6 &amp; "'!A" &amp; ROW(A488))="", INDIRECT("'" &amp; Master!$F$8 &amp; Master!$F$6 &amp; "'!A" &amp; ROW(A488))=0), "", INDIRECT("'" &amp; Master!$F$8 &amp; Master!$F$6 &amp; "'!A" &amp; ROW(A488)))</f>
        <v/>
      </c>
      <c r="B488" s="4" t="e">
        <f ca="1">SplineInterp(INDIRECT("A" &amp; ROW()),INDIRECT("'" &amp;Master!$F$10&amp; "'!$A$2:$A$50"),INDIRECT("'" &amp;Master!$F$10&amp; "'!$B$2:$B$50"))</f>
        <v>#VALUE!</v>
      </c>
      <c r="C488" s="4" t="e">
        <f ca="1">SplineInterp(A488,INDIRECT("'" &amp;Master!$F$10&amp; "'!$A$2:$A$50"),INDIRECT("'" &amp;Master!$F$10&amp; "'!$C$2:$C$50"))</f>
        <v>#VALUE!</v>
      </c>
      <c r="D488" s="4" t="e">
        <f ca="1">SplineInterp(A488,INDIRECT("'" &amp;Master!$F$10&amp; "'!$A$2:$A$50"),INDIRECT("'" &amp;Master!$F$10&amp; "'!$D$2:$D$50"))</f>
        <v>#VALUE!</v>
      </c>
      <c r="E488" s="4" t="e">
        <f ca="1">SplineInterp(A488,INDIRECT("'" &amp;Master!$F$10&amp; "'!$A$2:$A$50"),INDIRECT("'" &amp;Master!$F$10&amp; "'!$E$2:$E$50"))</f>
        <v>#VALUE!</v>
      </c>
      <c r="F488" s="4" t="e">
        <f ca="1">SplineInterp(A488,INDIRECT("'" &amp;Master!$F$10&amp; "'!$A$2:$A$50"),INDIRECT("'" &amp;Master!$F$10&amp; "'!$F$2:$F$50"))</f>
        <v>#VALUE!</v>
      </c>
      <c r="G488" s="4" t="e">
        <f ca="1">SplineInterp(A488,INDIRECT("'" &amp;Master!$F$10&amp; "'!$A$2:$A$50"),INDIRECT("'" &amp;Master!$F$10&amp; "'!$G$2:$G$50"))</f>
        <v>#VALUE!</v>
      </c>
      <c r="H488" s="4" t="e">
        <f ca="1">SplineInterp(A488,INDIRECT("'" &amp;Master!$F$10&amp; "'!$A$2:$A$50"),INDIRECT("'" &amp;Master!$F$10&amp; "'!$H$2:$H$50"))</f>
        <v>#VALUE!</v>
      </c>
      <c r="I488" s="4" t="e">
        <f ca="1">IF(OR(INDIRECT("'" &amp; Master!$F$8 &amp; Master!$F$6 &amp; "'!B" &amp; ROW(B488))="", INDIRECT("'" &amp; Master!$F$8 &amp; Master!$F$6 &amp; "'!B" &amp; ROW(B488))=0), "", INDIRECT("'" &amp; Master!$F$8 &amp; Master!$F$6 &amp; "'!B" &amp; ROW(B488)))</f>
        <v>#VALUE!</v>
      </c>
      <c r="J488" s="9" t="e">
        <f t="shared" ca="1" si="49"/>
        <v>#VALUE!</v>
      </c>
      <c r="K488" s="7" t="e">
        <f t="shared" ca="1" si="50"/>
        <v>#VALUE!</v>
      </c>
      <c r="L488" s="7" t="e">
        <f t="shared" ca="1" si="51"/>
        <v>#VALUE!</v>
      </c>
      <c r="M488" s="7" t="e">
        <f t="shared" ca="1" si="52"/>
        <v>#VALUE!</v>
      </c>
      <c r="N488" s="7" t="e">
        <f t="shared" ca="1" si="53"/>
        <v>#VALUE!</v>
      </c>
      <c r="O488" s="7" t="e">
        <f t="shared" ca="1" si="54"/>
        <v>#VALUE!</v>
      </c>
      <c r="P488" s="7" t="e">
        <f t="shared" ca="1" si="55"/>
        <v>#VALUE!</v>
      </c>
    </row>
    <row r="489" spans="1:16" x14ac:dyDescent="0.25">
      <c r="A489" s="19" t="str">
        <f ca="1">IF(OR(INDIRECT("'" &amp; Master!$F$8 &amp; Master!$F$6 &amp; "'!A" &amp; ROW(A489))="", INDIRECT("'" &amp; Master!$F$8 &amp; Master!$F$6 &amp; "'!A" &amp; ROW(A489))=0), "", INDIRECT("'" &amp; Master!$F$8 &amp; Master!$F$6 &amp; "'!A" &amp; ROW(A489)))</f>
        <v/>
      </c>
      <c r="B489" s="4" t="e">
        <f ca="1">SplineInterp(INDIRECT("A" &amp; ROW()),INDIRECT("'" &amp;Master!$F$10&amp; "'!$A$2:$A$50"),INDIRECT("'" &amp;Master!$F$10&amp; "'!$B$2:$B$50"))</f>
        <v>#VALUE!</v>
      </c>
      <c r="C489" s="4" t="e">
        <f ca="1">SplineInterp(A489,INDIRECT("'" &amp;Master!$F$10&amp; "'!$A$2:$A$50"),INDIRECT("'" &amp;Master!$F$10&amp; "'!$C$2:$C$50"))</f>
        <v>#VALUE!</v>
      </c>
      <c r="D489" s="4" t="e">
        <f ca="1">SplineInterp(A489,INDIRECT("'" &amp;Master!$F$10&amp; "'!$A$2:$A$50"),INDIRECT("'" &amp;Master!$F$10&amp; "'!$D$2:$D$50"))</f>
        <v>#VALUE!</v>
      </c>
      <c r="E489" s="4" t="e">
        <f ca="1">SplineInterp(A489,INDIRECT("'" &amp;Master!$F$10&amp; "'!$A$2:$A$50"),INDIRECT("'" &amp;Master!$F$10&amp; "'!$E$2:$E$50"))</f>
        <v>#VALUE!</v>
      </c>
      <c r="F489" s="4" t="e">
        <f ca="1">SplineInterp(A489,INDIRECT("'" &amp;Master!$F$10&amp; "'!$A$2:$A$50"),INDIRECT("'" &amp;Master!$F$10&amp; "'!$F$2:$F$50"))</f>
        <v>#VALUE!</v>
      </c>
      <c r="G489" s="4" t="e">
        <f ca="1">SplineInterp(A489,INDIRECT("'" &amp;Master!$F$10&amp; "'!$A$2:$A$50"),INDIRECT("'" &amp;Master!$F$10&amp; "'!$G$2:$G$50"))</f>
        <v>#VALUE!</v>
      </c>
      <c r="H489" s="4" t="e">
        <f ca="1">SplineInterp(A489,INDIRECT("'" &amp;Master!$F$10&amp; "'!$A$2:$A$50"),INDIRECT("'" &amp;Master!$F$10&amp; "'!$H$2:$H$50"))</f>
        <v>#VALUE!</v>
      </c>
      <c r="I489" s="4" t="e">
        <f ca="1">IF(OR(INDIRECT("'" &amp; Master!$F$8 &amp; Master!$F$6 &amp; "'!B" &amp; ROW(B489))="", INDIRECT("'" &amp; Master!$F$8 &amp; Master!$F$6 &amp; "'!B" &amp; ROW(B489))=0), "", INDIRECT("'" &amp; Master!$F$8 &amp; Master!$F$6 &amp; "'!B" &amp; ROW(B489)))</f>
        <v>#VALUE!</v>
      </c>
      <c r="J489" s="9" t="e">
        <f t="shared" ca="1" si="49"/>
        <v>#VALUE!</v>
      </c>
      <c r="K489" s="7" t="e">
        <f t="shared" ca="1" si="50"/>
        <v>#VALUE!</v>
      </c>
      <c r="L489" s="7" t="e">
        <f t="shared" ca="1" si="51"/>
        <v>#VALUE!</v>
      </c>
      <c r="M489" s="7" t="e">
        <f t="shared" ca="1" si="52"/>
        <v>#VALUE!</v>
      </c>
      <c r="N489" s="7" t="e">
        <f t="shared" ca="1" si="53"/>
        <v>#VALUE!</v>
      </c>
      <c r="O489" s="7" t="e">
        <f t="shared" ca="1" si="54"/>
        <v>#VALUE!</v>
      </c>
      <c r="P489" s="7" t="e">
        <f t="shared" ca="1" si="55"/>
        <v>#VALUE!</v>
      </c>
    </row>
    <row r="490" spans="1:16" x14ac:dyDescent="0.25">
      <c r="A490" s="19" t="str">
        <f ca="1">IF(OR(INDIRECT("'" &amp; Master!$F$8 &amp; Master!$F$6 &amp; "'!A" &amp; ROW(A490))="", INDIRECT("'" &amp; Master!$F$8 &amp; Master!$F$6 &amp; "'!A" &amp; ROW(A490))=0), "", INDIRECT("'" &amp; Master!$F$8 &amp; Master!$F$6 &amp; "'!A" &amp; ROW(A490)))</f>
        <v/>
      </c>
      <c r="B490" s="4" t="e">
        <f ca="1">SplineInterp(INDIRECT("A" &amp; ROW()),INDIRECT("'" &amp;Master!$F$10&amp; "'!$A$2:$A$50"),INDIRECT("'" &amp;Master!$F$10&amp; "'!$B$2:$B$50"))</f>
        <v>#VALUE!</v>
      </c>
      <c r="C490" s="4" t="e">
        <f ca="1">SplineInterp(A490,INDIRECT("'" &amp;Master!$F$10&amp; "'!$A$2:$A$50"),INDIRECT("'" &amp;Master!$F$10&amp; "'!$C$2:$C$50"))</f>
        <v>#VALUE!</v>
      </c>
      <c r="D490" s="4" t="e">
        <f ca="1">SplineInterp(A490,INDIRECT("'" &amp;Master!$F$10&amp; "'!$A$2:$A$50"),INDIRECT("'" &amp;Master!$F$10&amp; "'!$D$2:$D$50"))</f>
        <v>#VALUE!</v>
      </c>
      <c r="E490" s="4" t="e">
        <f ca="1">SplineInterp(A490,INDIRECT("'" &amp;Master!$F$10&amp; "'!$A$2:$A$50"),INDIRECT("'" &amp;Master!$F$10&amp; "'!$E$2:$E$50"))</f>
        <v>#VALUE!</v>
      </c>
      <c r="F490" s="4" t="e">
        <f ca="1">SplineInterp(A490,INDIRECT("'" &amp;Master!$F$10&amp; "'!$A$2:$A$50"),INDIRECT("'" &amp;Master!$F$10&amp; "'!$F$2:$F$50"))</f>
        <v>#VALUE!</v>
      </c>
      <c r="G490" s="4" t="e">
        <f ca="1">SplineInterp(A490,INDIRECT("'" &amp;Master!$F$10&amp; "'!$A$2:$A$50"),INDIRECT("'" &amp;Master!$F$10&amp; "'!$G$2:$G$50"))</f>
        <v>#VALUE!</v>
      </c>
      <c r="H490" s="4" t="e">
        <f ca="1">SplineInterp(A490,INDIRECT("'" &amp;Master!$F$10&amp; "'!$A$2:$A$50"),INDIRECT("'" &amp;Master!$F$10&amp; "'!$H$2:$H$50"))</f>
        <v>#VALUE!</v>
      </c>
      <c r="I490" s="4" t="e">
        <f ca="1">IF(OR(INDIRECT("'" &amp; Master!$F$8 &amp; Master!$F$6 &amp; "'!B" &amp; ROW(B490))="", INDIRECT("'" &amp; Master!$F$8 &amp; Master!$F$6 &amp; "'!B" &amp; ROW(B490))=0), "", INDIRECT("'" &amp; Master!$F$8 &amp; Master!$F$6 &amp; "'!B" &amp; ROW(B490)))</f>
        <v>#VALUE!</v>
      </c>
      <c r="J490" s="9" t="e">
        <f t="shared" ca="1" si="49"/>
        <v>#VALUE!</v>
      </c>
      <c r="K490" s="7" t="e">
        <f t="shared" ca="1" si="50"/>
        <v>#VALUE!</v>
      </c>
      <c r="L490" s="7" t="e">
        <f t="shared" ca="1" si="51"/>
        <v>#VALUE!</v>
      </c>
      <c r="M490" s="7" t="e">
        <f t="shared" ca="1" si="52"/>
        <v>#VALUE!</v>
      </c>
      <c r="N490" s="7" t="e">
        <f t="shared" ca="1" si="53"/>
        <v>#VALUE!</v>
      </c>
      <c r="O490" s="7" t="e">
        <f t="shared" ca="1" si="54"/>
        <v>#VALUE!</v>
      </c>
      <c r="P490" s="7" t="e">
        <f t="shared" ca="1" si="55"/>
        <v>#VALUE!</v>
      </c>
    </row>
    <row r="491" spans="1:16" x14ac:dyDescent="0.25">
      <c r="A491" s="19" t="str">
        <f ca="1">IF(OR(INDIRECT("'" &amp; Master!$F$8 &amp; Master!$F$6 &amp; "'!A" &amp; ROW(A491))="", INDIRECT("'" &amp; Master!$F$8 &amp; Master!$F$6 &amp; "'!A" &amp; ROW(A491))=0), "", INDIRECT("'" &amp; Master!$F$8 &amp; Master!$F$6 &amp; "'!A" &amp; ROW(A491)))</f>
        <v/>
      </c>
      <c r="B491" s="4" t="e">
        <f ca="1">SplineInterp(INDIRECT("A" &amp; ROW()),INDIRECT("'" &amp;Master!$F$10&amp; "'!$A$2:$A$50"),INDIRECT("'" &amp;Master!$F$10&amp; "'!$B$2:$B$50"))</f>
        <v>#VALUE!</v>
      </c>
      <c r="C491" s="4" t="e">
        <f ca="1">SplineInterp(A491,INDIRECT("'" &amp;Master!$F$10&amp; "'!$A$2:$A$50"),INDIRECT("'" &amp;Master!$F$10&amp; "'!$C$2:$C$50"))</f>
        <v>#VALUE!</v>
      </c>
      <c r="D491" s="4" t="e">
        <f ca="1">SplineInterp(A491,INDIRECT("'" &amp;Master!$F$10&amp; "'!$A$2:$A$50"),INDIRECT("'" &amp;Master!$F$10&amp; "'!$D$2:$D$50"))</f>
        <v>#VALUE!</v>
      </c>
      <c r="E491" s="4" t="e">
        <f ca="1">SplineInterp(A491,INDIRECT("'" &amp;Master!$F$10&amp; "'!$A$2:$A$50"),INDIRECT("'" &amp;Master!$F$10&amp; "'!$E$2:$E$50"))</f>
        <v>#VALUE!</v>
      </c>
      <c r="F491" s="4" t="e">
        <f ca="1">SplineInterp(A491,INDIRECT("'" &amp;Master!$F$10&amp; "'!$A$2:$A$50"),INDIRECT("'" &amp;Master!$F$10&amp; "'!$F$2:$F$50"))</f>
        <v>#VALUE!</v>
      </c>
      <c r="G491" s="4" t="e">
        <f ca="1">SplineInterp(A491,INDIRECT("'" &amp;Master!$F$10&amp; "'!$A$2:$A$50"),INDIRECT("'" &amp;Master!$F$10&amp; "'!$G$2:$G$50"))</f>
        <v>#VALUE!</v>
      </c>
      <c r="H491" s="4" t="e">
        <f ca="1">SplineInterp(A491,INDIRECT("'" &amp;Master!$F$10&amp; "'!$A$2:$A$50"),INDIRECT("'" &amp;Master!$F$10&amp; "'!$H$2:$H$50"))</f>
        <v>#VALUE!</v>
      </c>
      <c r="I491" s="4" t="e">
        <f ca="1">IF(OR(INDIRECT("'" &amp; Master!$F$8 &amp; Master!$F$6 &amp; "'!B" &amp; ROW(B491))="", INDIRECT("'" &amp; Master!$F$8 &amp; Master!$F$6 &amp; "'!B" &amp; ROW(B491))=0), "", INDIRECT("'" &amp; Master!$F$8 &amp; Master!$F$6 &amp; "'!B" &amp; ROW(B491)))</f>
        <v>#VALUE!</v>
      </c>
      <c r="J491" s="9" t="e">
        <f t="shared" ca="1" si="49"/>
        <v>#VALUE!</v>
      </c>
      <c r="K491" s="7" t="e">
        <f t="shared" ca="1" si="50"/>
        <v>#VALUE!</v>
      </c>
      <c r="L491" s="7" t="e">
        <f t="shared" ca="1" si="51"/>
        <v>#VALUE!</v>
      </c>
      <c r="M491" s="7" t="e">
        <f t="shared" ca="1" si="52"/>
        <v>#VALUE!</v>
      </c>
      <c r="N491" s="7" t="e">
        <f t="shared" ca="1" si="53"/>
        <v>#VALUE!</v>
      </c>
      <c r="O491" s="7" t="e">
        <f t="shared" ca="1" si="54"/>
        <v>#VALUE!</v>
      </c>
      <c r="P491" s="7" t="e">
        <f t="shared" ca="1" si="55"/>
        <v>#VALUE!</v>
      </c>
    </row>
    <row r="492" spans="1:16" x14ac:dyDescent="0.25">
      <c r="A492" s="19" t="str">
        <f ca="1">IF(OR(INDIRECT("'" &amp; Master!$F$8 &amp; Master!$F$6 &amp; "'!A" &amp; ROW(A492))="", INDIRECT("'" &amp; Master!$F$8 &amp; Master!$F$6 &amp; "'!A" &amp; ROW(A492))=0), "", INDIRECT("'" &amp; Master!$F$8 &amp; Master!$F$6 &amp; "'!A" &amp; ROW(A492)))</f>
        <v/>
      </c>
      <c r="B492" s="4" t="e">
        <f ca="1">SplineInterp(INDIRECT("A" &amp; ROW()),INDIRECT("'" &amp;Master!$F$10&amp; "'!$A$2:$A$50"),INDIRECT("'" &amp;Master!$F$10&amp; "'!$B$2:$B$50"))</f>
        <v>#VALUE!</v>
      </c>
      <c r="C492" s="4" t="e">
        <f ca="1">SplineInterp(A492,INDIRECT("'" &amp;Master!$F$10&amp; "'!$A$2:$A$50"),INDIRECT("'" &amp;Master!$F$10&amp; "'!$C$2:$C$50"))</f>
        <v>#VALUE!</v>
      </c>
      <c r="D492" s="4" t="e">
        <f ca="1">SplineInterp(A492,INDIRECT("'" &amp;Master!$F$10&amp; "'!$A$2:$A$50"),INDIRECT("'" &amp;Master!$F$10&amp; "'!$D$2:$D$50"))</f>
        <v>#VALUE!</v>
      </c>
      <c r="E492" s="4" t="e">
        <f ca="1">SplineInterp(A492,INDIRECT("'" &amp;Master!$F$10&amp; "'!$A$2:$A$50"),INDIRECT("'" &amp;Master!$F$10&amp; "'!$E$2:$E$50"))</f>
        <v>#VALUE!</v>
      </c>
      <c r="F492" s="4" t="e">
        <f ca="1">SplineInterp(A492,INDIRECT("'" &amp;Master!$F$10&amp; "'!$A$2:$A$50"),INDIRECT("'" &amp;Master!$F$10&amp; "'!$F$2:$F$50"))</f>
        <v>#VALUE!</v>
      </c>
      <c r="G492" s="4" t="e">
        <f ca="1">SplineInterp(A492,INDIRECT("'" &amp;Master!$F$10&amp; "'!$A$2:$A$50"),INDIRECT("'" &amp;Master!$F$10&amp; "'!$G$2:$G$50"))</f>
        <v>#VALUE!</v>
      </c>
      <c r="H492" s="4" t="e">
        <f ca="1">SplineInterp(A492,INDIRECT("'" &amp;Master!$F$10&amp; "'!$A$2:$A$50"),INDIRECT("'" &amp;Master!$F$10&amp; "'!$H$2:$H$50"))</f>
        <v>#VALUE!</v>
      </c>
      <c r="I492" s="4" t="e">
        <f ca="1">IF(OR(INDIRECT("'" &amp; Master!$F$8 &amp; Master!$F$6 &amp; "'!B" &amp; ROW(B492))="", INDIRECT("'" &amp; Master!$F$8 &amp; Master!$F$6 &amp; "'!B" &amp; ROW(B492))=0), "", INDIRECT("'" &amp; Master!$F$8 &amp; Master!$F$6 &amp; "'!B" &amp; ROW(B492)))</f>
        <v>#VALUE!</v>
      </c>
      <c r="J492" s="9" t="e">
        <f t="shared" ca="1" si="49"/>
        <v>#VALUE!</v>
      </c>
      <c r="K492" s="7" t="e">
        <f t="shared" ca="1" si="50"/>
        <v>#VALUE!</v>
      </c>
      <c r="L492" s="7" t="e">
        <f t="shared" ca="1" si="51"/>
        <v>#VALUE!</v>
      </c>
      <c r="M492" s="7" t="e">
        <f t="shared" ca="1" si="52"/>
        <v>#VALUE!</v>
      </c>
      <c r="N492" s="7" t="e">
        <f t="shared" ca="1" si="53"/>
        <v>#VALUE!</v>
      </c>
      <c r="O492" s="7" t="e">
        <f t="shared" ca="1" si="54"/>
        <v>#VALUE!</v>
      </c>
      <c r="P492" s="7" t="e">
        <f t="shared" ca="1" si="55"/>
        <v>#VALUE!</v>
      </c>
    </row>
    <row r="493" spans="1:16" x14ac:dyDescent="0.25">
      <c r="A493" s="19" t="str">
        <f ca="1">IF(OR(INDIRECT("'" &amp; Master!$F$8 &amp; Master!$F$6 &amp; "'!A" &amp; ROW(A493))="", INDIRECT("'" &amp; Master!$F$8 &amp; Master!$F$6 &amp; "'!A" &amp; ROW(A493))=0), "", INDIRECT("'" &amp; Master!$F$8 &amp; Master!$F$6 &amp; "'!A" &amp; ROW(A493)))</f>
        <v/>
      </c>
      <c r="B493" s="4" t="e">
        <f ca="1">SplineInterp(INDIRECT("A" &amp; ROW()),INDIRECT("'" &amp;Master!$F$10&amp; "'!$A$2:$A$50"),INDIRECT("'" &amp;Master!$F$10&amp; "'!$B$2:$B$50"))</f>
        <v>#VALUE!</v>
      </c>
      <c r="C493" s="4" t="e">
        <f ca="1">SplineInterp(A493,INDIRECT("'" &amp;Master!$F$10&amp; "'!$A$2:$A$50"),INDIRECT("'" &amp;Master!$F$10&amp; "'!$C$2:$C$50"))</f>
        <v>#VALUE!</v>
      </c>
      <c r="D493" s="4" t="e">
        <f ca="1">SplineInterp(A493,INDIRECT("'" &amp;Master!$F$10&amp; "'!$A$2:$A$50"),INDIRECT("'" &amp;Master!$F$10&amp; "'!$D$2:$D$50"))</f>
        <v>#VALUE!</v>
      </c>
      <c r="E493" s="4" t="e">
        <f ca="1">SplineInterp(A493,INDIRECT("'" &amp;Master!$F$10&amp; "'!$A$2:$A$50"),INDIRECT("'" &amp;Master!$F$10&amp; "'!$E$2:$E$50"))</f>
        <v>#VALUE!</v>
      </c>
      <c r="F493" s="4" t="e">
        <f ca="1">SplineInterp(A493,INDIRECT("'" &amp;Master!$F$10&amp; "'!$A$2:$A$50"),INDIRECT("'" &amp;Master!$F$10&amp; "'!$F$2:$F$50"))</f>
        <v>#VALUE!</v>
      </c>
      <c r="G493" s="4" t="e">
        <f ca="1">SplineInterp(A493,INDIRECT("'" &amp;Master!$F$10&amp; "'!$A$2:$A$50"),INDIRECT("'" &amp;Master!$F$10&amp; "'!$G$2:$G$50"))</f>
        <v>#VALUE!</v>
      </c>
      <c r="H493" s="4" t="e">
        <f ca="1">SplineInterp(A493,INDIRECT("'" &amp;Master!$F$10&amp; "'!$A$2:$A$50"),INDIRECT("'" &amp;Master!$F$10&amp; "'!$H$2:$H$50"))</f>
        <v>#VALUE!</v>
      </c>
      <c r="I493" s="4" t="e">
        <f ca="1">IF(OR(INDIRECT("'" &amp; Master!$F$8 &amp; Master!$F$6 &amp; "'!B" &amp; ROW(B493))="", INDIRECT("'" &amp; Master!$F$8 &amp; Master!$F$6 &amp; "'!B" &amp; ROW(B493))=0), "", INDIRECT("'" &amp; Master!$F$8 &amp; Master!$F$6 &amp; "'!B" &amp; ROW(B493)))</f>
        <v>#VALUE!</v>
      </c>
      <c r="J493" s="9" t="e">
        <f t="shared" ca="1" si="49"/>
        <v>#VALUE!</v>
      </c>
      <c r="K493" s="7" t="e">
        <f t="shared" ca="1" si="50"/>
        <v>#VALUE!</v>
      </c>
      <c r="L493" s="7" t="e">
        <f t="shared" ca="1" si="51"/>
        <v>#VALUE!</v>
      </c>
      <c r="M493" s="7" t="e">
        <f t="shared" ca="1" si="52"/>
        <v>#VALUE!</v>
      </c>
      <c r="N493" s="7" t="e">
        <f t="shared" ca="1" si="53"/>
        <v>#VALUE!</v>
      </c>
      <c r="O493" s="7" t="e">
        <f t="shared" ca="1" si="54"/>
        <v>#VALUE!</v>
      </c>
      <c r="P493" s="7" t="e">
        <f t="shared" ca="1" si="55"/>
        <v>#VALUE!</v>
      </c>
    </row>
    <row r="494" spans="1:16" x14ac:dyDescent="0.25">
      <c r="A494" s="19" t="str">
        <f ca="1">IF(OR(INDIRECT("'" &amp; Master!$F$8 &amp; Master!$F$6 &amp; "'!A" &amp; ROW(A494))="", INDIRECT("'" &amp; Master!$F$8 &amp; Master!$F$6 &amp; "'!A" &amp; ROW(A494))=0), "", INDIRECT("'" &amp; Master!$F$8 &amp; Master!$F$6 &amp; "'!A" &amp; ROW(A494)))</f>
        <v/>
      </c>
      <c r="B494" s="4" t="e">
        <f ca="1">SplineInterp(INDIRECT("A" &amp; ROW()),INDIRECT("'" &amp;Master!$F$10&amp; "'!$A$2:$A$50"),INDIRECT("'" &amp;Master!$F$10&amp; "'!$B$2:$B$50"))</f>
        <v>#VALUE!</v>
      </c>
      <c r="C494" s="4" t="e">
        <f ca="1">SplineInterp(A494,INDIRECT("'" &amp;Master!$F$10&amp; "'!$A$2:$A$50"),INDIRECT("'" &amp;Master!$F$10&amp; "'!$C$2:$C$50"))</f>
        <v>#VALUE!</v>
      </c>
      <c r="D494" s="4" t="e">
        <f ca="1">SplineInterp(A494,INDIRECT("'" &amp;Master!$F$10&amp; "'!$A$2:$A$50"),INDIRECT("'" &amp;Master!$F$10&amp; "'!$D$2:$D$50"))</f>
        <v>#VALUE!</v>
      </c>
      <c r="E494" s="4" t="e">
        <f ca="1">SplineInterp(A494,INDIRECT("'" &amp;Master!$F$10&amp; "'!$A$2:$A$50"),INDIRECT("'" &amp;Master!$F$10&amp; "'!$E$2:$E$50"))</f>
        <v>#VALUE!</v>
      </c>
      <c r="F494" s="4" t="e">
        <f ca="1">SplineInterp(A494,INDIRECT("'" &amp;Master!$F$10&amp; "'!$A$2:$A$50"),INDIRECT("'" &amp;Master!$F$10&amp; "'!$F$2:$F$50"))</f>
        <v>#VALUE!</v>
      </c>
      <c r="G494" s="4" t="e">
        <f ca="1">SplineInterp(A494,INDIRECT("'" &amp;Master!$F$10&amp; "'!$A$2:$A$50"),INDIRECT("'" &amp;Master!$F$10&amp; "'!$G$2:$G$50"))</f>
        <v>#VALUE!</v>
      </c>
      <c r="H494" s="4" t="e">
        <f ca="1">SplineInterp(A494,INDIRECT("'" &amp;Master!$F$10&amp; "'!$A$2:$A$50"),INDIRECT("'" &amp;Master!$F$10&amp; "'!$H$2:$H$50"))</f>
        <v>#VALUE!</v>
      </c>
      <c r="I494" s="4" t="e">
        <f ca="1">IF(OR(INDIRECT("'" &amp; Master!$F$8 &amp; Master!$F$6 &amp; "'!B" &amp; ROW(B494))="", INDIRECT("'" &amp; Master!$F$8 &amp; Master!$F$6 &amp; "'!B" &amp; ROW(B494))=0), "", INDIRECT("'" &amp; Master!$F$8 &amp; Master!$F$6 &amp; "'!B" &amp; ROW(B494)))</f>
        <v>#VALUE!</v>
      </c>
      <c r="J494" s="9" t="e">
        <f t="shared" ca="1" si="49"/>
        <v>#VALUE!</v>
      </c>
      <c r="K494" s="7" t="e">
        <f t="shared" ca="1" si="50"/>
        <v>#VALUE!</v>
      </c>
      <c r="L494" s="7" t="e">
        <f t="shared" ca="1" si="51"/>
        <v>#VALUE!</v>
      </c>
      <c r="M494" s="7" t="e">
        <f t="shared" ca="1" si="52"/>
        <v>#VALUE!</v>
      </c>
      <c r="N494" s="7" t="e">
        <f t="shared" ca="1" si="53"/>
        <v>#VALUE!</v>
      </c>
      <c r="O494" s="7" t="e">
        <f t="shared" ca="1" si="54"/>
        <v>#VALUE!</v>
      </c>
      <c r="P494" s="7" t="e">
        <f t="shared" ca="1" si="55"/>
        <v>#VALUE!</v>
      </c>
    </row>
    <row r="495" spans="1:16" x14ac:dyDescent="0.25">
      <c r="A495" s="19" t="str">
        <f ca="1">IF(OR(INDIRECT("'" &amp; Master!$F$8 &amp; Master!$F$6 &amp; "'!A" &amp; ROW(A495))="", INDIRECT("'" &amp; Master!$F$8 &amp; Master!$F$6 &amp; "'!A" &amp; ROW(A495))=0), "", INDIRECT("'" &amp; Master!$F$8 &amp; Master!$F$6 &amp; "'!A" &amp; ROW(A495)))</f>
        <v/>
      </c>
      <c r="B495" s="4" t="e">
        <f ca="1">SplineInterp(INDIRECT("A" &amp; ROW()),INDIRECT("'" &amp;Master!$F$10&amp; "'!$A$2:$A$50"),INDIRECT("'" &amp;Master!$F$10&amp; "'!$B$2:$B$50"))</f>
        <v>#VALUE!</v>
      </c>
      <c r="C495" s="4" t="e">
        <f ca="1">SplineInterp(A495,INDIRECT("'" &amp;Master!$F$10&amp; "'!$A$2:$A$50"),INDIRECT("'" &amp;Master!$F$10&amp; "'!$C$2:$C$50"))</f>
        <v>#VALUE!</v>
      </c>
      <c r="D495" s="4" t="e">
        <f ca="1">SplineInterp(A495,INDIRECT("'" &amp;Master!$F$10&amp; "'!$A$2:$A$50"),INDIRECT("'" &amp;Master!$F$10&amp; "'!$D$2:$D$50"))</f>
        <v>#VALUE!</v>
      </c>
      <c r="E495" s="4" t="e">
        <f ca="1">SplineInterp(A495,INDIRECT("'" &amp;Master!$F$10&amp; "'!$A$2:$A$50"),INDIRECT("'" &amp;Master!$F$10&amp; "'!$E$2:$E$50"))</f>
        <v>#VALUE!</v>
      </c>
      <c r="F495" s="4" t="e">
        <f ca="1">SplineInterp(A495,INDIRECT("'" &amp;Master!$F$10&amp; "'!$A$2:$A$50"),INDIRECT("'" &amp;Master!$F$10&amp; "'!$F$2:$F$50"))</f>
        <v>#VALUE!</v>
      </c>
      <c r="G495" s="4" t="e">
        <f ca="1">SplineInterp(A495,INDIRECT("'" &amp;Master!$F$10&amp; "'!$A$2:$A$50"),INDIRECT("'" &amp;Master!$F$10&amp; "'!$G$2:$G$50"))</f>
        <v>#VALUE!</v>
      </c>
      <c r="H495" s="4" t="e">
        <f ca="1">SplineInterp(A495,INDIRECT("'" &amp;Master!$F$10&amp; "'!$A$2:$A$50"),INDIRECT("'" &amp;Master!$F$10&amp; "'!$H$2:$H$50"))</f>
        <v>#VALUE!</v>
      </c>
      <c r="I495" s="4" t="e">
        <f ca="1">IF(OR(INDIRECT("'" &amp; Master!$F$8 &amp; Master!$F$6 &amp; "'!B" &amp; ROW(B495))="", INDIRECT("'" &amp; Master!$F$8 &amp; Master!$F$6 &amp; "'!B" &amp; ROW(B495))=0), "", INDIRECT("'" &amp; Master!$F$8 &amp; Master!$F$6 &amp; "'!B" &amp; ROW(B495)))</f>
        <v>#VALUE!</v>
      </c>
      <c r="J495" s="9" t="e">
        <f t="shared" ca="1" si="49"/>
        <v>#VALUE!</v>
      </c>
      <c r="K495" s="7" t="e">
        <f t="shared" ca="1" si="50"/>
        <v>#VALUE!</v>
      </c>
      <c r="L495" s="7" t="e">
        <f t="shared" ca="1" si="51"/>
        <v>#VALUE!</v>
      </c>
      <c r="M495" s="7" t="e">
        <f t="shared" ca="1" si="52"/>
        <v>#VALUE!</v>
      </c>
      <c r="N495" s="7" t="e">
        <f t="shared" ca="1" si="53"/>
        <v>#VALUE!</v>
      </c>
      <c r="O495" s="7" t="e">
        <f t="shared" ca="1" si="54"/>
        <v>#VALUE!</v>
      </c>
      <c r="P495" s="7" t="e">
        <f t="shared" ca="1" si="55"/>
        <v>#VALUE!</v>
      </c>
    </row>
    <row r="496" spans="1:16" x14ac:dyDescent="0.25">
      <c r="A496" s="19" t="str">
        <f ca="1">IF(OR(INDIRECT("'" &amp; Master!$F$8 &amp; Master!$F$6 &amp; "'!A" &amp; ROW(A496))="", INDIRECT("'" &amp; Master!$F$8 &amp; Master!$F$6 &amp; "'!A" &amp; ROW(A496))=0), "", INDIRECT("'" &amp; Master!$F$8 &amp; Master!$F$6 &amp; "'!A" &amp; ROW(A496)))</f>
        <v/>
      </c>
      <c r="B496" s="4" t="e">
        <f ca="1">SplineInterp(INDIRECT("A" &amp; ROW()),INDIRECT("'" &amp;Master!$F$10&amp; "'!$A$2:$A$50"),INDIRECT("'" &amp;Master!$F$10&amp; "'!$B$2:$B$50"))</f>
        <v>#VALUE!</v>
      </c>
      <c r="C496" s="4" t="e">
        <f ca="1">SplineInterp(A496,INDIRECT("'" &amp;Master!$F$10&amp; "'!$A$2:$A$50"),INDIRECT("'" &amp;Master!$F$10&amp; "'!$C$2:$C$50"))</f>
        <v>#VALUE!</v>
      </c>
      <c r="D496" s="4" t="e">
        <f ca="1">SplineInterp(A496,INDIRECT("'" &amp;Master!$F$10&amp; "'!$A$2:$A$50"),INDIRECT("'" &amp;Master!$F$10&amp; "'!$D$2:$D$50"))</f>
        <v>#VALUE!</v>
      </c>
      <c r="E496" s="4" t="e">
        <f ca="1">SplineInterp(A496,INDIRECT("'" &amp;Master!$F$10&amp; "'!$A$2:$A$50"),INDIRECT("'" &amp;Master!$F$10&amp; "'!$E$2:$E$50"))</f>
        <v>#VALUE!</v>
      </c>
      <c r="F496" s="4" t="e">
        <f ca="1">SplineInterp(A496,INDIRECT("'" &amp;Master!$F$10&amp; "'!$A$2:$A$50"),INDIRECT("'" &amp;Master!$F$10&amp; "'!$F$2:$F$50"))</f>
        <v>#VALUE!</v>
      </c>
      <c r="G496" s="4" t="e">
        <f ca="1">SplineInterp(A496,INDIRECT("'" &amp;Master!$F$10&amp; "'!$A$2:$A$50"),INDIRECT("'" &amp;Master!$F$10&amp; "'!$G$2:$G$50"))</f>
        <v>#VALUE!</v>
      </c>
      <c r="H496" s="4" t="e">
        <f ca="1">SplineInterp(A496,INDIRECT("'" &amp;Master!$F$10&amp; "'!$A$2:$A$50"),INDIRECT("'" &amp;Master!$F$10&amp; "'!$H$2:$H$50"))</f>
        <v>#VALUE!</v>
      </c>
      <c r="I496" s="4" t="e">
        <f ca="1">IF(OR(INDIRECT("'" &amp; Master!$F$8 &amp; Master!$F$6 &amp; "'!B" &amp; ROW(B496))="", INDIRECT("'" &amp; Master!$F$8 &amp; Master!$F$6 &amp; "'!B" &amp; ROW(B496))=0), "", INDIRECT("'" &amp; Master!$F$8 &amp; Master!$F$6 &amp; "'!B" &amp; ROW(B496)))</f>
        <v>#VALUE!</v>
      </c>
      <c r="J496" s="9" t="e">
        <f t="shared" ca="1" si="49"/>
        <v>#VALUE!</v>
      </c>
      <c r="K496" s="7" t="e">
        <f t="shared" ca="1" si="50"/>
        <v>#VALUE!</v>
      </c>
      <c r="L496" s="7" t="e">
        <f t="shared" ca="1" si="51"/>
        <v>#VALUE!</v>
      </c>
      <c r="M496" s="7" t="e">
        <f t="shared" ca="1" si="52"/>
        <v>#VALUE!</v>
      </c>
      <c r="N496" s="7" t="e">
        <f t="shared" ca="1" si="53"/>
        <v>#VALUE!</v>
      </c>
      <c r="O496" s="7" t="e">
        <f t="shared" ca="1" si="54"/>
        <v>#VALUE!</v>
      </c>
      <c r="P496" s="7" t="e">
        <f t="shared" ca="1" si="55"/>
        <v>#VALUE!</v>
      </c>
    </row>
    <row r="497" spans="1:16" x14ac:dyDescent="0.25">
      <c r="A497" s="19" t="str">
        <f ca="1">IF(OR(INDIRECT("'" &amp; Master!$F$8 &amp; Master!$F$6 &amp; "'!A" &amp; ROW(A497))="", INDIRECT("'" &amp; Master!$F$8 &amp; Master!$F$6 &amp; "'!A" &amp; ROW(A497))=0), "", INDIRECT("'" &amp; Master!$F$8 &amp; Master!$F$6 &amp; "'!A" &amp; ROW(A497)))</f>
        <v/>
      </c>
      <c r="B497" s="4" t="e">
        <f ca="1">SplineInterp(INDIRECT("A" &amp; ROW()),INDIRECT("'" &amp;Master!$F$10&amp; "'!$A$2:$A$50"),INDIRECT("'" &amp;Master!$F$10&amp; "'!$B$2:$B$50"))</f>
        <v>#VALUE!</v>
      </c>
      <c r="C497" s="4" t="e">
        <f ca="1">SplineInterp(A497,INDIRECT("'" &amp;Master!$F$10&amp; "'!$A$2:$A$50"),INDIRECT("'" &amp;Master!$F$10&amp; "'!$C$2:$C$50"))</f>
        <v>#VALUE!</v>
      </c>
      <c r="D497" s="4" t="e">
        <f ca="1">SplineInterp(A497,INDIRECT("'" &amp;Master!$F$10&amp; "'!$A$2:$A$50"),INDIRECT("'" &amp;Master!$F$10&amp; "'!$D$2:$D$50"))</f>
        <v>#VALUE!</v>
      </c>
      <c r="E497" s="4" t="e">
        <f ca="1">SplineInterp(A497,INDIRECT("'" &amp;Master!$F$10&amp; "'!$A$2:$A$50"),INDIRECT("'" &amp;Master!$F$10&amp; "'!$E$2:$E$50"))</f>
        <v>#VALUE!</v>
      </c>
      <c r="F497" s="4" t="e">
        <f ca="1">SplineInterp(A497,INDIRECT("'" &amp;Master!$F$10&amp; "'!$A$2:$A$50"),INDIRECT("'" &amp;Master!$F$10&amp; "'!$F$2:$F$50"))</f>
        <v>#VALUE!</v>
      </c>
      <c r="G497" s="4" t="e">
        <f ca="1">SplineInterp(A497,INDIRECT("'" &amp;Master!$F$10&amp; "'!$A$2:$A$50"),INDIRECT("'" &amp;Master!$F$10&amp; "'!$G$2:$G$50"))</f>
        <v>#VALUE!</v>
      </c>
      <c r="H497" s="4" t="e">
        <f ca="1">SplineInterp(A497,INDIRECT("'" &amp;Master!$F$10&amp; "'!$A$2:$A$50"),INDIRECT("'" &amp;Master!$F$10&amp; "'!$H$2:$H$50"))</f>
        <v>#VALUE!</v>
      </c>
      <c r="I497" s="4" t="e">
        <f ca="1">IF(OR(INDIRECT("'" &amp; Master!$F$8 &amp; Master!$F$6 &amp; "'!B" &amp; ROW(B497))="", INDIRECT("'" &amp; Master!$F$8 &amp; Master!$F$6 &amp; "'!B" &amp; ROW(B497))=0), "", INDIRECT("'" &amp; Master!$F$8 &amp; Master!$F$6 &amp; "'!B" &amp; ROW(B497)))</f>
        <v>#VALUE!</v>
      </c>
      <c r="J497" s="9" t="e">
        <f t="shared" ca="1" si="49"/>
        <v>#VALUE!</v>
      </c>
      <c r="K497" s="7" t="e">
        <f t="shared" ca="1" si="50"/>
        <v>#VALUE!</v>
      </c>
      <c r="L497" s="7" t="e">
        <f t="shared" ca="1" si="51"/>
        <v>#VALUE!</v>
      </c>
      <c r="M497" s="7" t="e">
        <f t="shared" ca="1" si="52"/>
        <v>#VALUE!</v>
      </c>
      <c r="N497" s="7" t="e">
        <f t="shared" ca="1" si="53"/>
        <v>#VALUE!</v>
      </c>
      <c r="O497" s="7" t="e">
        <f t="shared" ca="1" si="54"/>
        <v>#VALUE!</v>
      </c>
      <c r="P497" s="7" t="e">
        <f t="shared" ca="1" si="55"/>
        <v>#VALUE!</v>
      </c>
    </row>
    <row r="498" spans="1:16" x14ac:dyDescent="0.25">
      <c r="A498" s="19" t="str">
        <f ca="1">IF(OR(INDIRECT("'" &amp; Master!$F$8 &amp; Master!$F$6 &amp; "'!A" &amp; ROW(A498))="", INDIRECT("'" &amp; Master!$F$8 &amp; Master!$F$6 &amp; "'!A" &amp; ROW(A498))=0), "", INDIRECT("'" &amp; Master!$F$8 &amp; Master!$F$6 &amp; "'!A" &amp; ROW(A498)))</f>
        <v/>
      </c>
      <c r="B498" s="4" t="e">
        <f ca="1">SplineInterp(INDIRECT("A" &amp; ROW()),INDIRECT("'" &amp;Master!$F$10&amp; "'!$A$2:$A$50"),INDIRECT("'" &amp;Master!$F$10&amp; "'!$B$2:$B$50"))</f>
        <v>#VALUE!</v>
      </c>
      <c r="C498" s="4" t="e">
        <f ca="1">SplineInterp(A498,INDIRECT("'" &amp;Master!$F$10&amp; "'!$A$2:$A$50"),INDIRECT("'" &amp;Master!$F$10&amp; "'!$C$2:$C$50"))</f>
        <v>#VALUE!</v>
      </c>
      <c r="D498" s="4" t="e">
        <f ca="1">SplineInterp(A498,INDIRECT("'" &amp;Master!$F$10&amp; "'!$A$2:$A$50"),INDIRECT("'" &amp;Master!$F$10&amp; "'!$D$2:$D$50"))</f>
        <v>#VALUE!</v>
      </c>
      <c r="E498" s="4" t="e">
        <f ca="1">SplineInterp(A498,INDIRECT("'" &amp;Master!$F$10&amp; "'!$A$2:$A$50"),INDIRECT("'" &amp;Master!$F$10&amp; "'!$E$2:$E$50"))</f>
        <v>#VALUE!</v>
      </c>
      <c r="F498" s="4" t="e">
        <f ca="1">SplineInterp(A498,INDIRECT("'" &amp;Master!$F$10&amp; "'!$A$2:$A$50"),INDIRECT("'" &amp;Master!$F$10&amp; "'!$F$2:$F$50"))</f>
        <v>#VALUE!</v>
      </c>
      <c r="G498" s="4" t="e">
        <f ca="1">SplineInterp(A498,INDIRECT("'" &amp;Master!$F$10&amp; "'!$A$2:$A$50"),INDIRECT("'" &amp;Master!$F$10&amp; "'!$G$2:$G$50"))</f>
        <v>#VALUE!</v>
      </c>
      <c r="H498" s="4" t="e">
        <f ca="1">SplineInterp(A498,INDIRECT("'" &amp;Master!$F$10&amp; "'!$A$2:$A$50"),INDIRECT("'" &amp;Master!$F$10&amp; "'!$H$2:$H$50"))</f>
        <v>#VALUE!</v>
      </c>
      <c r="I498" s="4" t="e">
        <f ca="1">IF(OR(INDIRECT("'" &amp; Master!$F$8 &amp; Master!$F$6 &amp; "'!B" &amp; ROW(B498))="", INDIRECT("'" &amp; Master!$F$8 &amp; Master!$F$6 &amp; "'!B" &amp; ROW(B498))=0), "", INDIRECT("'" &amp; Master!$F$8 &amp; Master!$F$6 &amp; "'!B" &amp; ROW(B498)))</f>
        <v>#VALUE!</v>
      </c>
      <c r="J498" s="9" t="e">
        <f t="shared" ca="1" si="49"/>
        <v>#VALUE!</v>
      </c>
      <c r="K498" s="7" t="e">
        <f t="shared" ca="1" si="50"/>
        <v>#VALUE!</v>
      </c>
      <c r="L498" s="7" t="e">
        <f t="shared" ca="1" si="51"/>
        <v>#VALUE!</v>
      </c>
      <c r="M498" s="7" t="e">
        <f t="shared" ca="1" si="52"/>
        <v>#VALUE!</v>
      </c>
      <c r="N498" s="7" t="e">
        <f t="shared" ca="1" si="53"/>
        <v>#VALUE!</v>
      </c>
      <c r="O498" s="7" t="e">
        <f t="shared" ca="1" si="54"/>
        <v>#VALUE!</v>
      </c>
      <c r="P498" s="7" t="e">
        <f t="shared" ca="1" si="55"/>
        <v>#VALUE!</v>
      </c>
    </row>
    <row r="499" spans="1:16" x14ac:dyDescent="0.25">
      <c r="A499" s="19" t="str">
        <f ca="1">IF(OR(INDIRECT("'" &amp; Master!$F$8 &amp; Master!$F$6 &amp; "'!A" &amp; ROW(A499))="", INDIRECT("'" &amp; Master!$F$8 &amp; Master!$F$6 &amp; "'!A" &amp; ROW(A499))=0), "", INDIRECT("'" &amp; Master!$F$8 &amp; Master!$F$6 &amp; "'!A" &amp; ROW(A499)))</f>
        <v/>
      </c>
      <c r="B499" s="4" t="e">
        <f ca="1">SplineInterp(INDIRECT("A" &amp; ROW()),INDIRECT("'" &amp;Master!$F$10&amp; "'!$A$2:$A$50"),INDIRECT("'" &amp;Master!$F$10&amp; "'!$B$2:$B$50"))</f>
        <v>#VALUE!</v>
      </c>
      <c r="C499" s="4" t="e">
        <f ca="1">SplineInterp(A499,INDIRECT("'" &amp;Master!$F$10&amp; "'!$A$2:$A$50"),INDIRECT("'" &amp;Master!$F$10&amp; "'!$C$2:$C$50"))</f>
        <v>#VALUE!</v>
      </c>
      <c r="D499" s="4" t="e">
        <f ca="1">SplineInterp(A499,INDIRECT("'" &amp;Master!$F$10&amp; "'!$A$2:$A$50"),INDIRECT("'" &amp;Master!$F$10&amp; "'!$D$2:$D$50"))</f>
        <v>#VALUE!</v>
      </c>
      <c r="E499" s="4" t="e">
        <f ca="1">SplineInterp(A499,INDIRECT("'" &amp;Master!$F$10&amp; "'!$A$2:$A$50"),INDIRECT("'" &amp;Master!$F$10&amp; "'!$E$2:$E$50"))</f>
        <v>#VALUE!</v>
      </c>
      <c r="F499" s="4" t="e">
        <f ca="1">SplineInterp(A499,INDIRECT("'" &amp;Master!$F$10&amp; "'!$A$2:$A$50"),INDIRECT("'" &amp;Master!$F$10&amp; "'!$F$2:$F$50"))</f>
        <v>#VALUE!</v>
      </c>
      <c r="G499" s="4" t="e">
        <f ca="1">SplineInterp(A499,INDIRECT("'" &amp;Master!$F$10&amp; "'!$A$2:$A$50"),INDIRECT("'" &amp;Master!$F$10&amp; "'!$G$2:$G$50"))</f>
        <v>#VALUE!</v>
      </c>
      <c r="H499" s="4" t="e">
        <f ca="1">SplineInterp(A499,INDIRECT("'" &amp;Master!$F$10&amp; "'!$A$2:$A$50"),INDIRECT("'" &amp;Master!$F$10&amp; "'!$H$2:$H$50"))</f>
        <v>#VALUE!</v>
      </c>
      <c r="I499" s="4" t="e">
        <f ca="1">IF(OR(INDIRECT("'" &amp; Master!$F$8 &amp; Master!$F$6 &amp; "'!B" &amp; ROW(B499))="", INDIRECT("'" &amp; Master!$F$8 &amp; Master!$F$6 &amp; "'!B" &amp; ROW(B499))=0), "", INDIRECT("'" &amp; Master!$F$8 &amp; Master!$F$6 &amp; "'!B" &amp; ROW(B499)))</f>
        <v>#VALUE!</v>
      </c>
      <c r="J499" s="9" t="e">
        <f t="shared" ca="1" si="49"/>
        <v>#VALUE!</v>
      </c>
      <c r="K499" s="7" t="e">
        <f t="shared" ca="1" si="50"/>
        <v>#VALUE!</v>
      </c>
      <c r="L499" s="7" t="e">
        <f t="shared" ca="1" si="51"/>
        <v>#VALUE!</v>
      </c>
      <c r="M499" s="7" t="e">
        <f t="shared" ca="1" si="52"/>
        <v>#VALUE!</v>
      </c>
      <c r="N499" s="7" t="e">
        <f t="shared" ca="1" si="53"/>
        <v>#VALUE!</v>
      </c>
      <c r="O499" s="7" t="e">
        <f t="shared" ca="1" si="54"/>
        <v>#VALUE!</v>
      </c>
      <c r="P499" s="7" t="e">
        <f t="shared" ca="1" si="55"/>
        <v>#VALUE!</v>
      </c>
    </row>
    <row r="500" spans="1:16" x14ac:dyDescent="0.25">
      <c r="A500" s="19" t="str">
        <f ca="1">IF(OR(INDIRECT("'" &amp; Master!$F$8 &amp; Master!$F$6 &amp; "'!A" &amp; ROW(A500))="", INDIRECT("'" &amp; Master!$F$8 &amp; Master!$F$6 &amp; "'!A" &amp; ROW(A500))=0), "", INDIRECT("'" &amp; Master!$F$8 &amp; Master!$F$6 &amp; "'!A" &amp; ROW(A500)))</f>
        <v/>
      </c>
      <c r="B500" s="4" t="e">
        <f ca="1">SplineInterp(INDIRECT("A" &amp; ROW()),INDIRECT("'" &amp;Master!$F$10&amp; "'!$A$2:$A$50"),INDIRECT("'" &amp;Master!$F$10&amp; "'!$B$2:$B$50"))</f>
        <v>#VALUE!</v>
      </c>
      <c r="C500" s="4" t="e">
        <f ca="1">SplineInterp(A500,INDIRECT("'" &amp;Master!$F$10&amp; "'!$A$2:$A$50"),INDIRECT("'" &amp;Master!$F$10&amp; "'!$C$2:$C$50"))</f>
        <v>#VALUE!</v>
      </c>
      <c r="D500" s="4" t="e">
        <f ca="1">SplineInterp(A500,INDIRECT("'" &amp;Master!$F$10&amp; "'!$A$2:$A$50"),INDIRECT("'" &amp;Master!$F$10&amp; "'!$D$2:$D$50"))</f>
        <v>#VALUE!</v>
      </c>
      <c r="E500" s="4" t="e">
        <f ca="1">SplineInterp(A500,INDIRECT("'" &amp;Master!$F$10&amp; "'!$A$2:$A$50"),INDIRECT("'" &amp;Master!$F$10&amp; "'!$E$2:$E$50"))</f>
        <v>#VALUE!</v>
      </c>
      <c r="F500" s="4" t="e">
        <f ca="1">SplineInterp(A500,INDIRECT("'" &amp;Master!$F$10&amp; "'!$A$2:$A$50"),INDIRECT("'" &amp;Master!$F$10&amp; "'!$F$2:$F$50"))</f>
        <v>#VALUE!</v>
      </c>
      <c r="G500" s="4" t="e">
        <f ca="1">SplineInterp(A500,INDIRECT("'" &amp;Master!$F$10&amp; "'!$A$2:$A$50"),INDIRECT("'" &amp;Master!$F$10&amp; "'!$G$2:$G$50"))</f>
        <v>#VALUE!</v>
      </c>
      <c r="H500" s="4" t="e">
        <f ca="1">SplineInterp(A500,INDIRECT("'" &amp;Master!$F$10&amp; "'!$A$2:$A$50"),INDIRECT("'" &amp;Master!$F$10&amp; "'!$H$2:$H$50"))</f>
        <v>#VALUE!</v>
      </c>
      <c r="I500" s="4" t="e">
        <f ca="1">IF(OR(INDIRECT("'" &amp; Master!$F$8 &amp; Master!$F$6 &amp; "'!B" &amp; ROW(B500))="", INDIRECT("'" &amp; Master!$F$8 &amp; Master!$F$6 &amp; "'!B" &amp; ROW(B500))=0), "", INDIRECT("'" &amp; Master!$F$8 &amp; Master!$F$6 &amp; "'!B" &amp; ROW(B500)))</f>
        <v>#VALUE!</v>
      </c>
      <c r="J500" s="9" t="e">
        <f t="shared" ca="1" si="49"/>
        <v>#VALUE!</v>
      </c>
      <c r="K500" s="7" t="e">
        <f t="shared" ca="1" si="50"/>
        <v>#VALUE!</v>
      </c>
      <c r="L500" s="7" t="e">
        <f t="shared" ca="1" si="51"/>
        <v>#VALUE!</v>
      </c>
      <c r="M500" s="7" t="e">
        <f t="shared" ca="1" si="52"/>
        <v>#VALUE!</v>
      </c>
      <c r="N500" s="7" t="e">
        <f t="shared" ca="1" si="53"/>
        <v>#VALUE!</v>
      </c>
      <c r="O500" s="7" t="e">
        <f t="shared" ca="1" si="54"/>
        <v>#VALUE!</v>
      </c>
      <c r="P500" s="7" t="e">
        <f t="shared" ca="1" si="55"/>
        <v>#VALUE!</v>
      </c>
    </row>
    <row r="501" spans="1:16" x14ac:dyDescent="0.25">
      <c r="A501" s="19" t="str">
        <f ca="1">IF(OR(INDIRECT("'" &amp; Master!$F$8 &amp; Master!$F$6 &amp; "'!A" &amp; ROW(A501))="", INDIRECT("'" &amp; Master!$F$8 &amp; Master!$F$6 &amp; "'!A" &amp; ROW(A501))=0), "", INDIRECT("'" &amp; Master!$F$8 &amp; Master!$F$6 &amp; "'!A" &amp; ROW(A501)))</f>
        <v/>
      </c>
      <c r="B501" s="4" t="e">
        <f ca="1">SplineInterp(INDIRECT("A" &amp; ROW()),INDIRECT("'" &amp;Master!$F$10&amp; "'!$A$2:$A$50"),INDIRECT("'" &amp;Master!$F$10&amp; "'!$B$2:$B$50"))</f>
        <v>#VALUE!</v>
      </c>
      <c r="C501" s="4" t="e">
        <f ca="1">SplineInterp(A501,INDIRECT("'" &amp;Master!$F$10&amp; "'!$A$2:$A$50"),INDIRECT("'" &amp;Master!$F$10&amp; "'!$C$2:$C$50"))</f>
        <v>#VALUE!</v>
      </c>
      <c r="D501" s="4" t="e">
        <f ca="1">SplineInterp(A501,INDIRECT("'" &amp;Master!$F$10&amp; "'!$A$2:$A$50"),INDIRECT("'" &amp;Master!$F$10&amp; "'!$D$2:$D$50"))</f>
        <v>#VALUE!</v>
      </c>
      <c r="E501" s="4" t="e">
        <f ca="1">SplineInterp(A501,INDIRECT("'" &amp;Master!$F$10&amp; "'!$A$2:$A$50"),INDIRECT("'" &amp;Master!$F$10&amp; "'!$E$2:$E$50"))</f>
        <v>#VALUE!</v>
      </c>
      <c r="F501" s="4" t="e">
        <f ca="1">SplineInterp(A501,INDIRECT("'" &amp;Master!$F$10&amp; "'!$A$2:$A$50"),INDIRECT("'" &amp;Master!$F$10&amp; "'!$F$2:$F$50"))</f>
        <v>#VALUE!</v>
      </c>
      <c r="G501" s="4" t="e">
        <f ca="1">SplineInterp(A501,INDIRECT("'" &amp;Master!$F$10&amp; "'!$A$2:$A$50"),INDIRECT("'" &amp;Master!$F$10&amp; "'!$G$2:$G$50"))</f>
        <v>#VALUE!</v>
      </c>
      <c r="H501" s="4" t="e">
        <f ca="1">SplineInterp(A501,INDIRECT("'" &amp;Master!$F$10&amp; "'!$A$2:$A$50"),INDIRECT("'" &amp;Master!$F$10&amp; "'!$H$2:$H$50"))</f>
        <v>#VALUE!</v>
      </c>
      <c r="I501" s="4" t="e">
        <f ca="1">IF(OR(INDIRECT("'" &amp; Master!$F$8 &amp; Master!$F$6 &amp; "'!B" &amp; ROW(B501))="", INDIRECT("'" &amp; Master!$F$8 &amp; Master!$F$6 &amp; "'!B" &amp; ROW(B501))=0), "", INDIRECT("'" &amp; Master!$F$8 &amp; Master!$F$6 &amp; "'!B" &amp; ROW(B501)))</f>
        <v>#VALUE!</v>
      </c>
      <c r="J501" s="9" t="e">
        <f t="shared" ca="1" si="49"/>
        <v>#VALUE!</v>
      </c>
      <c r="K501" s="7" t="e">
        <f t="shared" ca="1" si="50"/>
        <v>#VALUE!</v>
      </c>
      <c r="L501" s="7" t="e">
        <f t="shared" ca="1" si="51"/>
        <v>#VALUE!</v>
      </c>
      <c r="M501" s="7" t="e">
        <f t="shared" ca="1" si="52"/>
        <v>#VALUE!</v>
      </c>
      <c r="N501" s="7" t="e">
        <f t="shared" ca="1" si="53"/>
        <v>#VALUE!</v>
      </c>
      <c r="O501" s="7" t="e">
        <f t="shared" ca="1" si="54"/>
        <v>#VALUE!</v>
      </c>
      <c r="P501" s="7" t="e">
        <f t="shared" ca="1" si="55"/>
        <v>#VALUE!</v>
      </c>
    </row>
    <row r="502" spans="1:16" x14ac:dyDescent="0.25">
      <c r="A502" s="19" t="str">
        <f ca="1">IF(OR(INDIRECT("'" &amp; Master!$F$8 &amp; Master!$F$6 &amp; "'!A" &amp; ROW(A502))="", INDIRECT("'" &amp; Master!$F$8 &amp; Master!$F$6 &amp; "'!A" &amp; ROW(A502))=0), "", INDIRECT("'" &amp; Master!$F$8 &amp; Master!$F$6 &amp; "'!A" &amp; ROW(A502)))</f>
        <v/>
      </c>
      <c r="B502" s="4" t="e">
        <f ca="1">SplineInterp(INDIRECT("A" &amp; ROW()),INDIRECT("'" &amp;Master!$F$10&amp; "'!$A$2:$A$50"),INDIRECT("'" &amp;Master!$F$10&amp; "'!$B$2:$B$50"))</f>
        <v>#VALUE!</v>
      </c>
      <c r="C502" s="4" t="e">
        <f ca="1">SplineInterp(A502,INDIRECT("'" &amp;Master!$F$10&amp; "'!$A$2:$A$50"),INDIRECT("'" &amp;Master!$F$10&amp; "'!$C$2:$C$50"))</f>
        <v>#VALUE!</v>
      </c>
      <c r="D502" s="4" t="e">
        <f ca="1">SplineInterp(A502,INDIRECT("'" &amp;Master!$F$10&amp; "'!$A$2:$A$50"),INDIRECT("'" &amp;Master!$F$10&amp; "'!$D$2:$D$50"))</f>
        <v>#VALUE!</v>
      </c>
      <c r="E502" s="4" t="e">
        <f ca="1">SplineInterp(A502,INDIRECT("'" &amp;Master!$F$10&amp; "'!$A$2:$A$50"),INDIRECT("'" &amp;Master!$F$10&amp; "'!$E$2:$E$50"))</f>
        <v>#VALUE!</v>
      </c>
      <c r="F502" s="4" t="e">
        <f ca="1">SplineInterp(A502,INDIRECT("'" &amp;Master!$F$10&amp; "'!$A$2:$A$50"),INDIRECT("'" &amp;Master!$F$10&amp; "'!$F$2:$F$50"))</f>
        <v>#VALUE!</v>
      </c>
      <c r="G502" s="4" t="e">
        <f ca="1">SplineInterp(A502,INDIRECT("'" &amp;Master!$F$10&amp; "'!$A$2:$A$50"),INDIRECT("'" &amp;Master!$F$10&amp; "'!$G$2:$G$50"))</f>
        <v>#VALUE!</v>
      </c>
      <c r="H502" s="4" t="e">
        <f ca="1">SplineInterp(A502,INDIRECT("'" &amp;Master!$F$10&amp; "'!$A$2:$A$50"),INDIRECT("'" &amp;Master!$F$10&amp; "'!$H$2:$H$50"))</f>
        <v>#VALUE!</v>
      </c>
      <c r="I502" s="4" t="e">
        <f ca="1">IF(OR(INDIRECT("'" &amp; Master!$F$8 &amp; Master!$F$6 &amp; "'!B" &amp; ROW(B502))="", INDIRECT("'" &amp; Master!$F$8 &amp; Master!$F$6 &amp; "'!B" &amp; ROW(B502))=0), "", INDIRECT("'" &amp; Master!$F$8 &amp; Master!$F$6 &amp; "'!B" &amp; ROW(B502)))</f>
        <v>#VALUE!</v>
      </c>
      <c r="J502" s="9" t="e">
        <f t="shared" ca="1" si="49"/>
        <v>#VALUE!</v>
      </c>
      <c r="K502" s="7" t="e">
        <f t="shared" ca="1" si="50"/>
        <v>#VALUE!</v>
      </c>
      <c r="L502" s="7" t="e">
        <f t="shared" ca="1" si="51"/>
        <v>#VALUE!</v>
      </c>
      <c r="M502" s="7" t="e">
        <f t="shared" ca="1" si="52"/>
        <v>#VALUE!</v>
      </c>
      <c r="N502" s="7" t="e">
        <f t="shared" ca="1" si="53"/>
        <v>#VALUE!</v>
      </c>
      <c r="O502" s="7" t="e">
        <f t="shared" ca="1" si="54"/>
        <v>#VALUE!</v>
      </c>
      <c r="P502" s="7" t="e">
        <f t="shared" ca="1" si="55"/>
        <v>#VALUE!</v>
      </c>
    </row>
    <row r="503" spans="1:16" x14ac:dyDescent="0.25">
      <c r="A503" s="19" t="str">
        <f ca="1">IF(OR(INDIRECT("'" &amp; Master!$F$8 &amp; Master!$F$6 &amp; "'!A" &amp; ROW(A503))="", INDIRECT("'" &amp; Master!$F$8 &amp; Master!$F$6 &amp; "'!A" &amp; ROW(A503))=0), "", INDIRECT("'" &amp; Master!$F$8 &amp; Master!$F$6 &amp; "'!A" &amp; ROW(A503)))</f>
        <v/>
      </c>
      <c r="B503" s="4" t="e">
        <f ca="1">SplineInterp(INDIRECT("A" &amp; ROW()),INDIRECT("'" &amp;Master!$F$10&amp; "'!$A$2:$A$50"),INDIRECT("'" &amp;Master!$F$10&amp; "'!$B$2:$B$50"))</f>
        <v>#VALUE!</v>
      </c>
      <c r="C503" s="4" t="e">
        <f ca="1">SplineInterp(A503,INDIRECT("'" &amp;Master!$F$10&amp; "'!$A$2:$A$50"),INDIRECT("'" &amp;Master!$F$10&amp; "'!$C$2:$C$50"))</f>
        <v>#VALUE!</v>
      </c>
      <c r="D503" s="4" t="e">
        <f ca="1">SplineInterp(A503,INDIRECT("'" &amp;Master!$F$10&amp; "'!$A$2:$A$50"),INDIRECT("'" &amp;Master!$F$10&amp; "'!$D$2:$D$50"))</f>
        <v>#VALUE!</v>
      </c>
      <c r="E503" s="4" t="e">
        <f ca="1">SplineInterp(A503,INDIRECT("'" &amp;Master!$F$10&amp; "'!$A$2:$A$50"),INDIRECT("'" &amp;Master!$F$10&amp; "'!$E$2:$E$50"))</f>
        <v>#VALUE!</v>
      </c>
      <c r="F503" s="4" t="e">
        <f ca="1">SplineInterp(A503,INDIRECT("'" &amp;Master!$F$10&amp; "'!$A$2:$A$50"),INDIRECT("'" &amp;Master!$F$10&amp; "'!$F$2:$F$50"))</f>
        <v>#VALUE!</v>
      </c>
      <c r="G503" s="4" t="e">
        <f ca="1">SplineInterp(A503,INDIRECT("'" &amp;Master!$F$10&amp; "'!$A$2:$A$50"),INDIRECT("'" &amp;Master!$F$10&amp; "'!$G$2:$G$50"))</f>
        <v>#VALUE!</v>
      </c>
      <c r="H503" s="4" t="e">
        <f ca="1">SplineInterp(A503,INDIRECT("'" &amp;Master!$F$10&amp; "'!$A$2:$A$50"),INDIRECT("'" &amp;Master!$F$10&amp; "'!$H$2:$H$50"))</f>
        <v>#VALUE!</v>
      </c>
      <c r="I503" s="4" t="e">
        <f ca="1">IF(OR(INDIRECT("'" &amp; Master!$F$8 &amp; Master!$F$6 &amp; "'!B" &amp; ROW(B503))="", INDIRECT("'" &amp; Master!$F$8 &amp; Master!$F$6 &amp; "'!B" &amp; ROW(B503))=0), "", INDIRECT("'" &amp; Master!$F$8 &amp; Master!$F$6 &amp; "'!B" &amp; ROW(B503)))</f>
        <v>#VALUE!</v>
      </c>
      <c r="J503" s="9" t="e">
        <f t="shared" ca="1" si="49"/>
        <v>#VALUE!</v>
      </c>
      <c r="K503" s="7" t="e">
        <f t="shared" ca="1" si="50"/>
        <v>#VALUE!</v>
      </c>
      <c r="L503" s="7" t="e">
        <f t="shared" ca="1" si="51"/>
        <v>#VALUE!</v>
      </c>
      <c r="M503" s="7" t="e">
        <f t="shared" ca="1" si="52"/>
        <v>#VALUE!</v>
      </c>
      <c r="N503" s="7" t="e">
        <f t="shared" ca="1" si="53"/>
        <v>#VALUE!</v>
      </c>
      <c r="O503" s="7" t="e">
        <f t="shared" ca="1" si="54"/>
        <v>#VALUE!</v>
      </c>
      <c r="P503" s="7" t="e">
        <f t="shared" ca="1" si="55"/>
        <v>#VALUE!</v>
      </c>
    </row>
    <row r="504" spans="1:16" x14ac:dyDescent="0.25">
      <c r="A504" s="19" t="str">
        <f ca="1">IF(OR(INDIRECT("'" &amp; Master!$F$8 &amp; Master!$F$6 &amp; "'!A" &amp; ROW(A504))="", INDIRECT("'" &amp; Master!$F$8 &amp; Master!$F$6 &amp; "'!A" &amp; ROW(A504))=0), "", INDIRECT("'" &amp; Master!$F$8 &amp; Master!$F$6 &amp; "'!A" &amp; ROW(A504)))</f>
        <v/>
      </c>
      <c r="B504" s="4" t="e">
        <f ca="1">SplineInterp(INDIRECT("A" &amp; ROW()),INDIRECT("'" &amp;Master!$F$10&amp; "'!$A$2:$A$50"),INDIRECT("'" &amp;Master!$F$10&amp; "'!$B$2:$B$50"))</f>
        <v>#VALUE!</v>
      </c>
      <c r="C504" s="4" t="e">
        <f ca="1">SplineInterp(A504,INDIRECT("'" &amp;Master!$F$10&amp; "'!$A$2:$A$50"),INDIRECT("'" &amp;Master!$F$10&amp; "'!$C$2:$C$50"))</f>
        <v>#VALUE!</v>
      </c>
      <c r="D504" s="4" t="e">
        <f ca="1">SplineInterp(A504,INDIRECT("'" &amp;Master!$F$10&amp; "'!$A$2:$A$50"),INDIRECT("'" &amp;Master!$F$10&amp; "'!$D$2:$D$50"))</f>
        <v>#VALUE!</v>
      </c>
      <c r="E504" s="4" t="e">
        <f ca="1">SplineInterp(A504,INDIRECT("'" &amp;Master!$F$10&amp; "'!$A$2:$A$50"),INDIRECT("'" &amp;Master!$F$10&amp; "'!$E$2:$E$50"))</f>
        <v>#VALUE!</v>
      </c>
      <c r="F504" s="4" t="e">
        <f ca="1">SplineInterp(A504,INDIRECT("'" &amp;Master!$F$10&amp; "'!$A$2:$A$50"),INDIRECT("'" &amp;Master!$F$10&amp; "'!$F$2:$F$50"))</f>
        <v>#VALUE!</v>
      </c>
      <c r="G504" s="4" t="e">
        <f ca="1">SplineInterp(A504,INDIRECT("'" &amp;Master!$F$10&amp; "'!$A$2:$A$50"),INDIRECT("'" &amp;Master!$F$10&amp; "'!$G$2:$G$50"))</f>
        <v>#VALUE!</v>
      </c>
      <c r="H504" s="4" t="e">
        <f ca="1">SplineInterp(A504,INDIRECT("'" &amp;Master!$F$10&amp; "'!$A$2:$A$50"),INDIRECT("'" &amp;Master!$F$10&amp; "'!$H$2:$H$50"))</f>
        <v>#VALUE!</v>
      </c>
      <c r="I504" s="4" t="e">
        <f ca="1">IF(OR(INDIRECT("'" &amp; Master!$F$8 &amp; Master!$F$6 &amp; "'!B" &amp; ROW(B504))="", INDIRECT("'" &amp; Master!$F$8 &amp; Master!$F$6 &amp; "'!B" &amp; ROW(B504))=0), "", INDIRECT("'" &amp; Master!$F$8 &amp; Master!$F$6 &amp; "'!B" &amp; ROW(B504)))</f>
        <v>#VALUE!</v>
      </c>
      <c r="J504" s="9" t="e">
        <f t="shared" ca="1" si="49"/>
        <v>#VALUE!</v>
      </c>
      <c r="K504" s="7" t="e">
        <f t="shared" ca="1" si="50"/>
        <v>#VALUE!</v>
      </c>
      <c r="L504" s="7" t="e">
        <f t="shared" ca="1" si="51"/>
        <v>#VALUE!</v>
      </c>
      <c r="M504" s="7" t="e">
        <f t="shared" ca="1" si="52"/>
        <v>#VALUE!</v>
      </c>
      <c r="N504" s="7" t="e">
        <f t="shared" ca="1" si="53"/>
        <v>#VALUE!</v>
      </c>
      <c r="O504" s="7" t="e">
        <f t="shared" ca="1" si="54"/>
        <v>#VALUE!</v>
      </c>
      <c r="P504" s="7" t="e">
        <f t="shared" ca="1" si="55"/>
        <v>#VALUE!</v>
      </c>
    </row>
    <row r="505" spans="1:16" x14ac:dyDescent="0.25">
      <c r="A505" s="19" t="str">
        <f ca="1">IF(OR(INDIRECT("'" &amp; Master!$F$8 &amp; Master!$F$6 &amp; "'!A" &amp; ROW(A505))="", INDIRECT("'" &amp; Master!$F$8 &amp; Master!$F$6 &amp; "'!A" &amp; ROW(A505))=0), "", INDIRECT("'" &amp; Master!$F$8 &amp; Master!$F$6 &amp; "'!A" &amp; ROW(A505)))</f>
        <v/>
      </c>
      <c r="B505" s="4" t="e">
        <f ca="1">SplineInterp(INDIRECT("A" &amp; ROW()),INDIRECT("'" &amp;Master!$F$10&amp; "'!$A$2:$A$50"),INDIRECT("'" &amp;Master!$F$10&amp; "'!$B$2:$B$50"))</f>
        <v>#VALUE!</v>
      </c>
      <c r="C505" s="4" t="e">
        <f ca="1">SplineInterp(A505,INDIRECT("'" &amp;Master!$F$10&amp; "'!$A$2:$A$50"),INDIRECT("'" &amp;Master!$F$10&amp; "'!$C$2:$C$50"))</f>
        <v>#VALUE!</v>
      </c>
      <c r="D505" s="4" t="e">
        <f ca="1">SplineInterp(A505,INDIRECT("'" &amp;Master!$F$10&amp; "'!$A$2:$A$50"),INDIRECT("'" &amp;Master!$F$10&amp; "'!$D$2:$D$50"))</f>
        <v>#VALUE!</v>
      </c>
      <c r="E505" s="4" t="e">
        <f ca="1">SplineInterp(A505,INDIRECT("'" &amp;Master!$F$10&amp; "'!$A$2:$A$50"),INDIRECT("'" &amp;Master!$F$10&amp; "'!$E$2:$E$50"))</f>
        <v>#VALUE!</v>
      </c>
      <c r="F505" s="4" t="e">
        <f ca="1">SplineInterp(A505,INDIRECT("'" &amp;Master!$F$10&amp; "'!$A$2:$A$50"),INDIRECT("'" &amp;Master!$F$10&amp; "'!$F$2:$F$50"))</f>
        <v>#VALUE!</v>
      </c>
      <c r="G505" s="4" t="e">
        <f ca="1">SplineInterp(A505,INDIRECT("'" &amp;Master!$F$10&amp; "'!$A$2:$A$50"),INDIRECT("'" &amp;Master!$F$10&amp; "'!$G$2:$G$50"))</f>
        <v>#VALUE!</v>
      </c>
      <c r="H505" s="4" t="e">
        <f ca="1">SplineInterp(A505,INDIRECT("'" &amp;Master!$F$10&amp; "'!$A$2:$A$50"),INDIRECT("'" &amp;Master!$F$10&amp; "'!$H$2:$H$50"))</f>
        <v>#VALUE!</v>
      </c>
      <c r="I505" s="4" t="e">
        <f ca="1">IF(OR(INDIRECT("'" &amp; Master!$F$8 &amp; Master!$F$6 &amp; "'!B" &amp; ROW(B505))="", INDIRECT("'" &amp; Master!$F$8 &amp; Master!$F$6 &amp; "'!B" &amp; ROW(B505))=0), "", INDIRECT("'" &amp; Master!$F$8 &amp; Master!$F$6 &amp; "'!B" &amp; ROW(B505)))</f>
        <v>#VALUE!</v>
      </c>
      <c r="J505" s="9" t="e">
        <f t="shared" ca="1" si="49"/>
        <v>#VALUE!</v>
      </c>
      <c r="K505" s="7" t="e">
        <f t="shared" ca="1" si="50"/>
        <v>#VALUE!</v>
      </c>
      <c r="L505" s="7" t="e">
        <f t="shared" ca="1" si="51"/>
        <v>#VALUE!</v>
      </c>
      <c r="M505" s="7" t="e">
        <f t="shared" ca="1" si="52"/>
        <v>#VALUE!</v>
      </c>
      <c r="N505" s="7" t="e">
        <f t="shared" ca="1" si="53"/>
        <v>#VALUE!</v>
      </c>
      <c r="O505" s="7" t="e">
        <f t="shared" ca="1" si="54"/>
        <v>#VALUE!</v>
      </c>
      <c r="P505" s="7" t="e">
        <f t="shared" ca="1" si="55"/>
        <v>#VALUE!</v>
      </c>
    </row>
    <row r="506" spans="1:16" x14ac:dyDescent="0.25">
      <c r="A506" s="19" t="str">
        <f ca="1">IF(OR(INDIRECT("'" &amp; Master!$F$8 &amp; Master!$F$6 &amp; "'!A" &amp; ROW(A506))="", INDIRECT("'" &amp; Master!$F$8 &amp; Master!$F$6 &amp; "'!A" &amp; ROW(A506))=0), "", INDIRECT("'" &amp; Master!$F$8 &amp; Master!$F$6 &amp; "'!A" &amp; ROW(A506)))</f>
        <v/>
      </c>
      <c r="B506" s="4" t="e">
        <f ca="1">SplineInterp(INDIRECT("A" &amp; ROW()),INDIRECT("'" &amp;Master!$F$10&amp; "'!$A$2:$A$50"),INDIRECT("'" &amp;Master!$F$10&amp; "'!$B$2:$B$50"))</f>
        <v>#VALUE!</v>
      </c>
      <c r="C506" s="4" t="e">
        <f ca="1">SplineInterp(A506,INDIRECT("'" &amp;Master!$F$10&amp; "'!$A$2:$A$50"),INDIRECT("'" &amp;Master!$F$10&amp; "'!$C$2:$C$50"))</f>
        <v>#VALUE!</v>
      </c>
      <c r="D506" s="4" t="e">
        <f ca="1">SplineInterp(A506,INDIRECT("'" &amp;Master!$F$10&amp; "'!$A$2:$A$50"),INDIRECT("'" &amp;Master!$F$10&amp; "'!$D$2:$D$50"))</f>
        <v>#VALUE!</v>
      </c>
      <c r="E506" s="4" t="e">
        <f ca="1">SplineInterp(A506,INDIRECT("'" &amp;Master!$F$10&amp; "'!$A$2:$A$50"),INDIRECT("'" &amp;Master!$F$10&amp; "'!$E$2:$E$50"))</f>
        <v>#VALUE!</v>
      </c>
      <c r="F506" s="4" t="e">
        <f ca="1">SplineInterp(A506,INDIRECT("'" &amp;Master!$F$10&amp; "'!$A$2:$A$50"),INDIRECT("'" &amp;Master!$F$10&amp; "'!$F$2:$F$50"))</f>
        <v>#VALUE!</v>
      </c>
      <c r="G506" s="4" t="e">
        <f ca="1">SplineInterp(A506,INDIRECT("'" &amp;Master!$F$10&amp; "'!$A$2:$A$50"),INDIRECT("'" &amp;Master!$F$10&amp; "'!$G$2:$G$50"))</f>
        <v>#VALUE!</v>
      </c>
      <c r="H506" s="4" t="e">
        <f ca="1">SplineInterp(A506,INDIRECT("'" &amp;Master!$F$10&amp; "'!$A$2:$A$50"),INDIRECT("'" &amp;Master!$F$10&amp; "'!$H$2:$H$50"))</f>
        <v>#VALUE!</v>
      </c>
      <c r="I506" s="4" t="e">
        <f ca="1">IF(OR(INDIRECT("'" &amp; Master!$F$8 &amp; Master!$F$6 &amp; "'!B" &amp; ROW(B506))="", INDIRECT("'" &amp; Master!$F$8 &amp; Master!$F$6 &amp; "'!B" &amp; ROW(B506))=0), "", INDIRECT("'" &amp; Master!$F$8 &amp; Master!$F$6 &amp; "'!B" &amp; ROW(B506)))</f>
        <v>#VALUE!</v>
      </c>
      <c r="J506" s="9" t="e">
        <f t="shared" ca="1" si="49"/>
        <v>#VALUE!</v>
      </c>
      <c r="K506" s="7" t="e">
        <f t="shared" ca="1" si="50"/>
        <v>#VALUE!</v>
      </c>
      <c r="L506" s="7" t="e">
        <f t="shared" ca="1" si="51"/>
        <v>#VALUE!</v>
      </c>
      <c r="M506" s="7" t="e">
        <f t="shared" ca="1" si="52"/>
        <v>#VALUE!</v>
      </c>
      <c r="N506" s="7" t="e">
        <f t="shared" ca="1" si="53"/>
        <v>#VALUE!</v>
      </c>
      <c r="O506" s="7" t="e">
        <f t="shared" ca="1" si="54"/>
        <v>#VALUE!</v>
      </c>
      <c r="P506" s="7" t="e">
        <f t="shared" ca="1" si="55"/>
        <v>#VALUE!</v>
      </c>
    </row>
    <row r="507" spans="1:16" x14ac:dyDescent="0.25">
      <c r="A507" s="19" t="str">
        <f ca="1">IF(OR(INDIRECT("'" &amp; Master!$F$8 &amp; Master!$F$6 &amp; "'!A" &amp; ROW(A507))="", INDIRECT("'" &amp; Master!$F$8 &amp; Master!$F$6 &amp; "'!A" &amp; ROW(A507))=0), "", INDIRECT("'" &amp; Master!$F$8 &amp; Master!$F$6 &amp; "'!A" &amp; ROW(A507)))</f>
        <v/>
      </c>
      <c r="B507" s="4" t="e">
        <f ca="1">SplineInterp(INDIRECT("A" &amp; ROW()),INDIRECT("'" &amp;Master!$F$10&amp; "'!$A$2:$A$50"),INDIRECT("'" &amp;Master!$F$10&amp; "'!$B$2:$B$50"))</f>
        <v>#VALUE!</v>
      </c>
      <c r="C507" s="4" t="e">
        <f ca="1">SplineInterp(A507,INDIRECT("'" &amp;Master!$F$10&amp; "'!$A$2:$A$50"),INDIRECT("'" &amp;Master!$F$10&amp; "'!$C$2:$C$50"))</f>
        <v>#VALUE!</v>
      </c>
      <c r="D507" s="4" t="e">
        <f ca="1">SplineInterp(A507,INDIRECT("'" &amp;Master!$F$10&amp; "'!$A$2:$A$50"),INDIRECT("'" &amp;Master!$F$10&amp; "'!$D$2:$D$50"))</f>
        <v>#VALUE!</v>
      </c>
      <c r="E507" s="4" t="e">
        <f ca="1">SplineInterp(A507,INDIRECT("'" &amp;Master!$F$10&amp; "'!$A$2:$A$50"),INDIRECT("'" &amp;Master!$F$10&amp; "'!$E$2:$E$50"))</f>
        <v>#VALUE!</v>
      </c>
      <c r="F507" s="4" t="e">
        <f ca="1">SplineInterp(A507,INDIRECT("'" &amp;Master!$F$10&amp; "'!$A$2:$A$50"),INDIRECT("'" &amp;Master!$F$10&amp; "'!$F$2:$F$50"))</f>
        <v>#VALUE!</v>
      </c>
      <c r="G507" s="4" t="e">
        <f ca="1">SplineInterp(A507,INDIRECT("'" &amp;Master!$F$10&amp; "'!$A$2:$A$50"),INDIRECT("'" &amp;Master!$F$10&amp; "'!$G$2:$G$50"))</f>
        <v>#VALUE!</v>
      </c>
      <c r="H507" s="4" t="e">
        <f ca="1">SplineInterp(A507,INDIRECT("'" &amp;Master!$F$10&amp; "'!$A$2:$A$50"),INDIRECT("'" &amp;Master!$F$10&amp; "'!$H$2:$H$50"))</f>
        <v>#VALUE!</v>
      </c>
      <c r="I507" s="4" t="e">
        <f ca="1">IF(OR(INDIRECT("'" &amp; Master!$F$8 &amp; Master!$F$6 &amp; "'!B" &amp; ROW(B507))="", INDIRECT("'" &amp; Master!$F$8 &amp; Master!$F$6 &amp; "'!B" &amp; ROW(B507))=0), "", INDIRECT("'" &amp; Master!$F$8 &amp; Master!$F$6 &amp; "'!B" &amp; ROW(B507)))</f>
        <v>#VALUE!</v>
      </c>
      <c r="J507" s="9" t="e">
        <f t="shared" ca="1" si="49"/>
        <v>#VALUE!</v>
      </c>
      <c r="K507" s="7" t="e">
        <f t="shared" ca="1" si="50"/>
        <v>#VALUE!</v>
      </c>
      <c r="L507" s="7" t="e">
        <f t="shared" ca="1" si="51"/>
        <v>#VALUE!</v>
      </c>
      <c r="M507" s="7" t="e">
        <f t="shared" ca="1" si="52"/>
        <v>#VALUE!</v>
      </c>
      <c r="N507" s="7" t="e">
        <f t="shared" ca="1" si="53"/>
        <v>#VALUE!</v>
      </c>
      <c r="O507" s="7" t="e">
        <f t="shared" ca="1" si="54"/>
        <v>#VALUE!</v>
      </c>
      <c r="P507" s="7" t="e">
        <f t="shared" ca="1" si="55"/>
        <v>#VALUE!</v>
      </c>
    </row>
    <row r="508" spans="1:16" x14ac:dyDescent="0.25">
      <c r="A508" s="19" t="str">
        <f ca="1">IF(OR(INDIRECT("'" &amp; Master!$F$8 &amp; Master!$F$6 &amp; "'!A" &amp; ROW(A508))="", INDIRECT("'" &amp; Master!$F$8 &amp; Master!$F$6 &amp; "'!A" &amp; ROW(A508))=0), "", INDIRECT("'" &amp; Master!$F$8 &amp; Master!$F$6 &amp; "'!A" &amp; ROW(A508)))</f>
        <v/>
      </c>
      <c r="B508" s="4" t="e">
        <f ca="1">SplineInterp(INDIRECT("A" &amp; ROW()),INDIRECT("'" &amp;Master!$F$10&amp; "'!$A$2:$A$50"),INDIRECT("'" &amp;Master!$F$10&amp; "'!$B$2:$B$50"))</f>
        <v>#VALUE!</v>
      </c>
      <c r="C508" s="4" t="e">
        <f ca="1">SplineInterp(A508,INDIRECT("'" &amp;Master!$F$10&amp; "'!$A$2:$A$50"),INDIRECT("'" &amp;Master!$F$10&amp; "'!$C$2:$C$50"))</f>
        <v>#VALUE!</v>
      </c>
      <c r="D508" s="4" t="e">
        <f ca="1">SplineInterp(A508,INDIRECT("'" &amp;Master!$F$10&amp; "'!$A$2:$A$50"),INDIRECT("'" &amp;Master!$F$10&amp; "'!$D$2:$D$50"))</f>
        <v>#VALUE!</v>
      </c>
      <c r="E508" s="4" t="e">
        <f ca="1">SplineInterp(A508,INDIRECT("'" &amp;Master!$F$10&amp; "'!$A$2:$A$50"),INDIRECT("'" &amp;Master!$F$10&amp; "'!$E$2:$E$50"))</f>
        <v>#VALUE!</v>
      </c>
      <c r="F508" s="4" t="e">
        <f ca="1">SplineInterp(A508,INDIRECT("'" &amp;Master!$F$10&amp; "'!$A$2:$A$50"),INDIRECT("'" &amp;Master!$F$10&amp; "'!$F$2:$F$50"))</f>
        <v>#VALUE!</v>
      </c>
      <c r="G508" s="4" t="e">
        <f ca="1">SplineInterp(A508,INDIRECT("'" &amp;Master!$F$10&amp; "'!$A$2:$A$50"),INDIRECT("'" &amp;Master!$F$10&amp; "'!$G$2:$G$50"))</f>
        <v>#VALUE!</v>
      </c>
      <c r="H508" s="4" t="e">
        <f ca="1">SplineInterp(A508,INDIRECT("'" &amp;Master!$F$10&amp; "'!$A$2:$A$50"),INDIRECT("'" &amp;Master!$F$10&amp; "'!$H$2:$H$50"))</f>
        <v>#VALUE!</v>
      </c>
      <c r="I508" s="4" t="e">
        <f ca="1">IF(OR(INDIRECT("'" &amp; Master!$F$8 &amp; Master!$F$6 &amp; "'!B" &amp; ROW(B508))="", INDIRECT("'" &amp; Master!$F$8 &amp; Master!$F$6 &amp; "'!B" &amp; ROW(B508))=0), "", INDIRECT("'" &amp; Master!$F$8 &amp; Master!$F$6 &amp; "'!B" &amp; ROW(B508)))</f>
        <v>#VALUE!</v>
      </c>
      <c r="J508" s="9" t="e">
        <f t="shared" ca="1" si="49"/>
        <v>#VALUE!</v>
      </c>
      <c r="K508" s="7" t="e">
        <f t="shared" ca="1" si="50"/>
        <v>#VALUE!</v>
      </c>
      <c r="L508" s="7" t="e">
        <f t="shared" ca="1" si="51"/>
        <v>#VALUE!</v>
      </c>
      <c r="M508" s="7" t="e">
        <f t="shared" ca="1" si="52"/>
        <v>#VALUE!</v>
      </c>
      <c r="N508" s="7" t="e">
        <f t="shared" ca="1" si="53"/>
        <v>#VALUE!</v>
      </c>
      <c r="O508" s="7" t="e">
        <f t="shared" ca="1" si="54"/>
        <v>#VALUE!</v>
      </c>
      <c r="P508" s="7" t="e">
        <f t="shared" ca="1" si="55"/>
        <v>#VALUE!</v>
      </c>
    </row>
    <row r="509" spans="1:16" x14ac:dyDescent="0.25">
      <c r="A509" s="19" t="str">
        <f ca="1">IF(OR(INDIRECT("'" &amp; Master!$F$8 &amp; Master!$F$6 &amp; "'!A" &amp; ROW(A509))="", INDIRECT("'" &amp; Master!$F$8 &amp; Master!$F$6 &amp; "'!A" &amp; ROW(A509))=0), "", INDIRECT("'" &amp; Master!$F$8 &amp; Master!$F$6 &amp; "'!A" &amp; ROW(A509)))</f>
        <v/>
      </c>
      <c r="B509" s="4" t="e">
        <f ca="1">SplineInterp(INDIRECT("A" &amp; ROW()),INDIRECT("'" &amp;Master!$F$10&amp; "'!$A$2:$A$50"),INDIRECT("'" &amp;Master!$F$10&amp; "'!$B$2:$B$50"))</f>
        <v>#VALUE!</v>
      </c>
      <c r="C509" s="4" t="e">
        <f ca="1">SplineInterp(A509,INDIRECT("'" &amp;Master!$F$10&amp; "'!$A$2:$A$50"),INDIRECT("'" &amp;Master!$F$10&amp; "'!$C$2:$C$50"))</f>
        <v>#VALUE!</v>
      </c>
      <c r="D509" s="4" t="e">
        <f ca="1">SplineInterp(A509,INDIRECT("'" &amp;Master!$F$10&amp; "'!$A$2:$A$50"),INDIRECT("'" &amp;Master!$F$10&amp; "'!$D$2:$D$50"))</f>
        <v>#VALUE!</v>
      </c>
      <c r="E509" s="4" t="e">
        <f ca="1">SplineInterp(A509,INDIRECT("'" &amp;Master!$F$10&amp; "'!$A$2:$A$50"),INDIRECT("'" &amp;Master!$F$10&amp; "'!$E$2:$E$50"))</f>
        <v>#VALUE!</v>
      </c>
      <c r="F509" s="4" t="e">
        <f ca="1">SplineInterp(A509,INDIRECT("'" &amp;Master!$F$10&amp; "'!$A$2:$A$50"),INDIRECT("'" &amp;Master!$F$10&amp; "'!$F$2:$F$50"))</f>
        <v>#VALUE!</v>
      </c>
      <c r="G509" s="4" t="e">
        <f ca="1">SplineInterp(A509,INDIRECT("'" &amp;Master!$F$10&amp; "'!$A$2:$A$50"),INDIRECT("'" &amp;Master!$F$10&amp; "'!$G$2:$G$50"))</f>
        <v>#VALUE!</v>
      </c>
      <c r="H509" s="4" t="e">
        <f ca="1">SplineInterp(A509,INDIRECT("'" &amp;Master!$F$10&amp; "'!$A$2:$A$50"),INDIRECT("'" &amp;Master!$F$10&amp; "'!$H$2:$H$50"))</f>
        <v>#VALUE!</v>
      </c>
      <c r="I509" s="4" t="e">
        <f ca="1">IF(OR(INDIRECT("'" &amp; Master!$F$8 &amp; Master!$F$6 &amp; "'!B" &amp; ROW(B509))="", INDIRECT("'" &amp; Master!$F$8 &amp; Master!$F$6 &amp; "'!B" &amp; ROW(B509))=0), "", INDIRECT("'" &amp; Master!$F$8 &amp; Master!$F$6 &amp; "'!B" &amp; ROW(B509)))</f>
        <v>#VALUE!</v>
      </c>
      <c r="J509" s="9" t="e">
        <f t="shared" ca="1" si="49"/>
        <v>#VALUE!</v>
      </c>
      <c r="K509" s="7" t="e">
        <f t="shared" ca="1" si="50"/>
        <v>#VALUE!</v>
      </c>
      <c r="L509" s="7" t="e">
        <f t="shared" ca="1" si="51"/>
        <v>#VALUE!</v>
      </c>
      <c r="M509" s="7" t="e">
        <f t="shared" ca="1" si="52"/>
        <v>#VALUE!</v>
      </c>
      <c r="N509" s="7" t="e">
        <f t="shared" ca="1" si="53"/>
        <v>#VALUE!</v>
      </c>
      <c r="O509" s="7" t="e">
        <f t="shared" ca="1" si="54"/>
        <v>#VALUE!</v>
      </c>
      <c r="P509" s="7" t="e">
        <f t="shared" ca="1" si="55"/>
        <v>#VALUE!</v>
      </c>
    </row>
    <row r="510" spans="1:16" x14ac:dyDescent="0.25">
      <c r="A510" s="19" t="str">
        <f ca="1">IF(OR(INDIRECT("'" &amp; Master!$F$8 &amp; Master!$F$6 &amp; "'!A" &amp; ROW(A510))="", INDIRECT("'" &amp; Master!$F$8 &amp; Master!$F$6 &amp; "'!A" &amp; ROW(A510))=0), "", INDIRECT("'" &amp; Master!$F$8 &amp; Master!$F$6 &amp; "'!A" &amp; ROW(A510)))</f>
        <v/>
      </c>
      <c r="B510" s="4" t="e">
        <f ca="1">SplineInterp(INDIRECT("A" &amp; ROW()),INDIRECT("'" &amp;Master!$F$10&amp; "'!$A$2:$A$50"),INDIRECT("'" &amp;Master!$F$10&amp; "'!$B$2:$B$50"))</f>
        <v>#VALUE!</v>
      </c>
      <c r="C510" s="4" t="e">
        <f ca="1">SplineInterp(A510,INDIRECT("'" &amp;Master!$F$10&amp; "'!$A$2:$A$50"),INDIRECT("'" &amp;Master!$F$10&amp; "'!$C$2:$C$50"))</f>
        <v>#VALUE!</v>
      </c>
      <c r="D510" s="4" t="e">
        <f ca="1">SplineInterp(A510,INDIRECT("'" &amp;Master!$F$10&amp; "'!$A$2:$A$50"),INDIRECT("'" &amp;Master!$F$10&amp; "'!$D$2:$D$50"))</f>
        <v>#VALUE!</v>
      </c>
      <c r="E510" s="4" t="e">
        <f ca="1">SplineInterp(A510,INDIRECT("'" &amp;Master!$F$10&amp; "'!$A$2:$A$50"),INDIRECT("'" &amp;Master!$F$10&amp; "'!$E$2:$E$50"))</f>
        <v>#VALUE!</v>
      </c>
      <c r="F510" s="4" t="e">
        <f ca="1">SplineInterp(A510,INDIRECT("'" &amp;Master!$F$10&amp; "'!$A$2:$A$50"),INDIRECT("'" &amp;Master!$F$10&amp; "'!$F$2:$F$50"))</f>
        <v>#VALUE!</v>
      </c>
      <c r="G510" s="4" t="e">
        <f ca="1">SplineInterp(A510,INDIRECT("'" &amp;Master!$F$10&amp; "'!$A$2:$A$50"),INDIRECT("'" &amp;Master!$F$10&amp; "'!$G$2:$G$50"))</f>
        <v>#VALUE!</v>
      </c>
      <c r="H510" s="4" t="e">
        <f ca="1">SplineInterp(A510,INDIRECT("'" &amp;Master!$F$10&amp; "'!$A$2:$A$50"),INDIRECT("'" &amp;Master!$F$10&amp; "'!$H$2:$H$50"))</f>
        <v>#VALUE!</v>
      </c>
      <c r="I510" s="4" t="e">
        <f ca="1">IF(OR(INDIRECT("'" &amp; Master!$F$8 &amp; Master!$F$6 &amp; "'!B" &amp; ROW(B510))="", INDIRECT("'" &amp; Master!$F$8 &amp; Master!$F$6 &amp; "'!B" &amp; ROW(B510))=0), "", INDIRECT("'" &amp; Master!$F$8 &amp; Master!$F$6 &amp; "'!B" &amp; ROW(B510)))</f>
        <v>#VALUE!</v>
      </c>
      <c r="J510" s="9" t="e">
        <f t="shared" ca="1" si="49"/>
        <v>#VALUE!</v>
      </c>
      <c r="K510" s="7" t="e">
        <f t="shared" ca="1" si="50"/>
        <v>#VALUE!</v>
      </c>
      <c r="L510" s="7" t="e">
        <f t="shared" ca="1" si="51"/>
        <v>#VALUE!</v>
      </c>
      <c r="M510" s="7" t="e">
        <f t="shared" ca="1" si="52"/>
        <v>#VALUE!</v>
      </c>
      <c r="N510" s="7" t="e">
        <f t="shared" ca="1" si="53"/>
        <v>#VALUE!</v>
      </c>
      <c r="O510" s="7" t="e">
        <f t="shared" ca="1" si="54"/>
        <v>#VALUE!</v>
      </c>
      <c r="P510" s="7" t="e">
        <f t="shared" ca="1" si="55"/>
        <v>#VALUE!</v>
      </c>
    </row>
    <row r="511" spans="1:16" x14ac:dyDescent="0.25">
      <c r="A511" s="19" t="str">
        <f ca="1">IF(OR(INDIRECT("'" &amp; Master!$F$8 &amp; Master!$F$6 &amp; "'!A" &amp; ROW(A511))="", INDIRECT("'" &amp; Master!$F$8 &amp; Master!$F$6 &amp; "'!A" &amp; ROW(A511))=0), "", INDIRECT("'" &amp; Master!$F$8 &amp; Master!$F$6 &amp; "'!A" &amp; ROW(A511)))</f>
        <v/>
      </c>
      <c r="B511" s="4" t="e">
        <f ca="1">SplineInterp(INDIRECT("A" &amp; ROW()),INDIRECT("'" &amp;Master!$F$10&amp; "'!$A$2:$A$50"),INDIRECT("'" &amp;Master!$F$10&amp; "'!$B$2:$B$50"))</f>
        <v>#VALUE!</v>
      </c>
      <c r="C511" s="4" t="e">
        <f ca="1">SplineInterp(A511,INDIRECT("'" &amp;Master!$F$10&amp; "'!$A$2:$A$50"),INDIRECT("'" &amp;Master!$F$10&amp; "'!$C$2:$C$50"))</f>
        <v>#VALUE!</v>
      </c>
      <c r="D511" s="4" t="e">
        <f ca="1">SplineInterp(A511,INDIRECT("'" &amp;Master!$F$10&amp; "'!$A$2:$A$50"),INDIRECT("'" &amp;Master!$F$10&amp; "'!$D$2:$D$50"))</f>
        <v>#VALUE!</v>
      </c>
      <c r="E511" s="4" t="e">
        <f ca="1">SplineInterp(A511,INDIRECT("'" &amp;Master!$F$10&amp; "'!$A$2:$A$50"),INDIRECT("'" &amp;Master!$F$10&amp; "'!$E$2:$E$50"))</f>
        <v>#VALUE!</v>
      </c>
      <c r="F511" s="4" t="e">
        <f ca="1">SplineInterp(A511,INDIRECT("'" &amp;Master!$F$10&amp; "'!$A$2:$A$50"),INDIRECT("'" &amp;Master!$F$10&amp; "'!$F$2:$F$50"))</f>
        <v>#VALUE!</v>
      </c>
      <c r="G511" s="4" t="e">
        <f ca="1">SplineInterp(A511,INDIRECT("'" &amp;Master!$F$10&amp; "'!$A$2:$A$50"),INDIRECT("'" &amp;Master!$F$10&amp; "'!$G$2:$G$50"))</f>
        <v>#VALUE!</v>
      </c>
      <c r="H511" s="4" t="e">
        <f ca="1">SplineInterp(A511,INDIRECT("'" &amp;Master!$F$10&amp; "'!$A$2:$A$50"),INDIRECT("'" &amp;Master!$F$10&amp; "'!$H$2:$H$50"))</f>
        <v>#VALUE!</v>
      </c>
      <c r="I511" s="4" t="e">
        <f ca="1">IF(OR(INDIRECT("'" &amp; Master!$F$8 &amp; Master!$F$6 &amp; "'!B" &amp; ROW(B511))="", INDIRECT("'" &amp; Master!$F$8 &amp; Master!$F$6 &amp; "'!B" &amp; ROW(B511))=0), "", INDIRECT("'" &amp; Master!$F$8 &amp; Master!$F$6 &amp; "'!B" &amp; ROW(B511)))</f>
        <v>#VALUE!</v>
      </c>
      <c r="J511" s="9" t="e">
        <f t="shared" ca="1" si="49"/>
        <v>#VALUE!</v>
      </c>
      <c r="K511" s="7" t="e">
        <f t="shared" ca="1" si="50"/>
        <v>#VALUE!</v>
      </c>
      <c r="L511" s="7" t="e">
        <f t="shared" ca="1" si="51"/>
        <v>#VALUE!</v>
      </c>
      <c r="M511" s="7" t="e">
        <f t="shared" ca="1" si="52"/>
        <v>#VALUE!</v>
      </c>
      <c r="N511" s="7" t="e">
        <f t="shared" ca="1" si="53"/>
        <v>#VALUE!</v>
      </c>
      <c r="O511" s="7" t="e">
        <f t="shared" ca="1" si="54"/>
        <v>#VALUE!</v>
      </c>
      <c r="P511" s="7" t="e">
        <f t="shared" ca="1" si="55"/>
        <v>#VALUE!</v>
      </c>
    </row>
    <row r="512" spans="1:16" x14ac:dyDescent="0.25">
      <c r="A512" s="19" t="str">
        <f ca="1">IF(OR(INDIRECT("'" &amp; Master!$F$8 &amp; Master!$F$6 &amp; "'!A" &amp; ROW(A512))="", INDIRECT("'" &amp; Master!$F$8 &amp; Master!$F$6 &amp; "'!A" &amp; ROW(A512))=0), "", INDIRECT("'" &amp; Master!$F$8 &amp; Master!$F$6 &amp; "'!A" &amp; ROW(A512)))</f>
        <v/>
      </c>
      <c r="B512" s="4" t="e">
        <f ca="1">SplineInterp(INDIRECT("A" &amp; ROW()),INDIRECT("'" &amp;Master!$F$10&amp; "'!$A$2:$A$50"),INDIRECT("'" &amp;Master!$F$10&amp; "'!$B$2:$B$50"))</f>
        <v>#VALUE!</v>
      </c>
      <c r="C512" s="4" t="e">
        <f ca="1">SplineInterp(A512,INDIRECT("'" &amp;Master!$F$10&amp; "'!$A$2:$A$50"),INDIRECT("'" &amp;Master!$F$10&amp; "'!$C$2:$C$50"))</f>
        <v>#VALUE!</v>
      </c>
      <c r="D512" s="4" t="e">
        <f ca="1">SplineInterp(A512,INDIRECT("'" &amp;Master!$F$10&amp; "'!$A$2:$A$50"),INDIRECT("'" &amp;Master!$F$10&amp; "'!$D$2:$D$50"))</f>
        <v>#VALUE!</v>
      </c>
      <c r="E512" s="4" t="e">
        <f ca="1">SplineInterp(A512,INDIRECT("'" &amp;Master!$F$10&amp; "'!$A$2:$A$50"),INDIRECT("'" &amp;Master!$F$10&amp; "'!$E$2:$E$50"))</f>
        <v>#VALUE!</v>
      </c>
      <c r="F512" s="4" t="e">
        <f ca="1">SplineInterp(A512,INDIRECT("'" &amp;Master!$F$10&amp; "'!$A$2:$A$50"),INDIRECT("'" &amp;Master!$F$10&amp; "'!$F$2:$F$50"))</f>
        <v>#VALUE!</v>
      </c>
      <c r="G512" s="4" t="e">
        <f ca="1">SplineInterp(A512,INDIRECT("'" &amp;Master!$F$10&amp; "'!$A$2:$A$50"),INDIRECT("'" &amp;Master!$F$10&amp; "'!$G$2:$G$50"))</f>
        <v>#VALUE!</v>
      </c>
      <c r="H512" s="4" t="e">
        <f ca="1">SplineInterp(A512,INDIRECT("'" &amp;Master!$F$10&amp; "'!$A$2:$A$50"),INDIRECT("'" &amp;Master!$F$10&amp; "'!$H$2:$H$50"))</f>
        <v>#VALUE!</v>
      </c>
      <c r="I512" s="4" t="e">
        <f ca="1">IF(OR(INDIRECT("'" &amp; Master!$F$8 &amp; Master!$F$6 &amp; "'!B" &amp; ROW(B512))="", INDIRECT("'" &amp; Master!$F$8 &amp; Master!$F$6 &amp; "'!B" &amp; ROW(B512))=0), "", INDIRECT("'" &amp; Master!$F$8 &amp; Master!$F$6 &amp; "'!B" &amp; ROW(B512)))</f>
        <v>#VALUE!</v>
      </c>
      <c r="J512" s="9" t="e">
        <f t="shared" ca="1" si="49"/>
        <v>#VALUE!</v>
      </c>
      <c r="K512" s="7" t="e">
        <f t="shared" ca="1" si="50"/>
        <v>#VALUE!</v>
      </c>
      <c r="L512" s="7" t="e">
        <f t="shared" ca="1" si="51"/>
        <v>#VALUE!</v>
      </c>
      <c r="M512" s="7" t="e">
        <f t="shared" ca="1" si="52"/>
        <v>#VALUE!</v>
      </c>
      <c r="N512" s="7" t="e">
        <f t="shared" ca="1" si="53"/>
        <v>#VALUE!</v>
      </c>
      <c r="O512" s="7" t="e">
        <f t="shared" ca="1" si="54"/>
        <v>#VALUE!</v>
      </c>
      <c r="P512" s="7" t="e">
        <f t="shared" ca="1" si="55"/>
        <v>#VALUE!</v>
      </c>
    </row>
    <row r="513" spans="1:16" x14ac:dyDescent="0.25">
      <c r="A513" s="19" t="str">
        <f ca="1">IF(OR(INDIRECT("'" &amp; Master!$F$8 &amp; Master!$F$6 &amp; "'!A" &amp; ROW(A513))="", INDIRECT("'" &amp; Master!$F$8 &amp; Master!$F$6 &amp; "'!A" &amp; ROW(A513))=0), "", INDIRECT("'" &amp; Master!$F$8 &amp; Master!$F$6 &amp; "'!A" &amp; ROW(A513)))</f>
        <v/>
      </c>
      <c r="B513" s="4" t="e">
        <f ca="1">SplineInterp(INDIRECT("A" &amp; ROW()),INDIRECT("'" &amp;Master!$F$10&amp; "'!$A$2:$A$50"),INDIRECT("'" &amp;Master!$F$10&amp; "'!$B$2:$B$50"))</f>
        <v>#VALUE!</v>
      </c>
      <c r="C513" s="4" t="e">
        <f ca="1">SplineInterp(A513,INDIRECT("'" &amp;Master!$F$10&amp; "'!$A$2:$A$50"),INDIRECT("'" &amp;Master!$F$10&amp; "'!$C$2:$C$50"))</f>
        <v>#VALUE!</v>
      </c>
      <c r="D513" s="4" t="e">
        <f ca="1">SplineInterp(A513,INDIRECT("'" &amp;Master!$F$10&amp; "'!$A$2:$A$50"),INDIRECT("'" &amp;Master!$F$10&amp; "'!$D$2:$D$50"))</f>
        <v>#VALUE!</v>
      </c>
      <c r="E513" s="4" t="e">
        <f ca="1">SplineInterp(A513,INDIRECT("'" &amp;Master!$F$10&amp; "'!$A$2:$A$50"),INDIRECT("'" &amp;Master!$F$10&amp; "'!$E$2:$E$50"))</f>
        <v>#VALUE!</v>
      </c>
      <c r="F513" s="4" t="e">
        <f ca="1">SplineInterp(A513,INDIRECT("'" &amp;Master!$F$10&amp; "'!$A$2:$A$50"),INDIRECT("'" &amp;Master!$F$10&amp; "'!$F$2:$F$50"))</f>
        <v>#VALUE!</v>
      </c>
      <c r="G513" s="4" t="e">
        <f ca="1">SplineInterp(A513,INDIRECT("'" &amp;Master!$F$10&amp; "'!$A$2:$A$50"),INDIRECT("'" &amp;Master!$F$10&amp; "'!$G$2:$G$50"))</f>
        <v>#VALUE!</v>
      </c>
      <c r="H513" s="4" t="e">
        <f ca="1">SplineInterp(A513,INDIRECT("'" &amp;Master!$F$10&amp; "'!$A$2:$A$50"),INDIRECT("'" &amp;Master!$F$10&amp; "'!$H$2:$H$50"))</f>
        <v>#VALUE!</v>
      </c>
      <c r="I513" s="4" t="e">
        <f ca="1">IF(OR(INDIRECT("'" &amp; Master!$F$8 &amp; Master!$F$6 &amp; "'!B" &amp; ROW(B513))="", INDIRECT("'" &amp; Master!$F$8 &amp; Master!$F$6 &amp; "'!B" &amp; ROW(B513))=0), "", INDIRECT("'" &amp; Master!$F$8 &amp; Master!$F$6 &amp; "'!B" &amp; ROW(B513)))</f>
        <v>#VALUE!</v>
      </c>
      <c r="J513" s="9" t="e">
        <f t="shared" ca="1" si="49"/>
        <v>#VALUE!</v>
      </c>
      <c r="K513" s="7" t="e">
        <f t="shared" ca="1" si="50"/>
        <v>#VALUE!</v>
      </c>
      <c r="L513" s="7" t="e">
        <f t="shared" ca="1" si="51"/>
        <v>#VALUE!</v>
      </c>
      <c r="M513" s="7" t="e">
        <f t="shared" ca="1" si="52"/>
        <v>#VALUE!</v>
      </c>
      <c r="N513" s="7" t="e">
        <f t="shared" ca="1" si="53"/>
        <v>#VALUE!</v>
      </c>
      <c r="O513" s="7" t="e">
        <f t="shared" ca="1" si="54"/>
        <v>#VALUE!</v>
      </c>
      <c r="P513" s="7" t="e">
        <f t="shared" ca="1" si="55"/>
        <v>#VALUE!</v>
      </c>
    </row>
    <row r="514" spans="1:16" x14ac:dyDescent="0.25">
      <c r="A514" s="19" t="str">
        <f ca="1">IF(OR(INDIRECT("'" &amp; Master!$F$8 &amp; Master!$F$6 &amp; "'!A" &amp; ROW(A514))="", INDIRECT("'" &amp; Master!$F$8 &amp; Master!$F$6 &amp; "'!A" &amp; ROW(A514))=0), "", INDIRECT("'" &amp; Master!$F$8 &amp; Master!$F$6 &amp; "'!A" &amp; ROW(A514)))</f>
        <v/>
      </c>
      <c r="B514" s="4" t="e">
        <f ca="1">SplineInterp(INDIRECT("A" &amp; ROW()),INDIRECT("'" &amp;Master!$F$10&amp; "'!$A$2:$A$50"),INDIRECT("'" &amp;Master!$F$10&amp; "'!$B$2:$B$50"))</f>
        <v>#VALUE!</v>
      </c>
      <c r="C514" s="4" t="e">
        <f ca="1">SplineInterp(A514,INDIRECT("'" &amp;Master!$F$10&amp; "'!$A$2:$A$50"),INDIRECT("'" &amp;Master!$F$10&amp; "'!$C$2:$C$50"))</f>
        <v>#VALUE!</v>
      </c>
      <c r="D514" s="4" t="e">
        <f ca="1">SplineInterp(A514,INDIRECT("'" &amp;Master!$F$10&amp; "'!$A$2:$A$50"),INDIRECT("'" &amp;Master!$F$10&amp; "'!$D$2:$D$50"))</f>
        <v>#VALUE!</v>
      </c>
      <c r="E514" s="4" t="e">
        <f ca="1">SplineInterp(A514,INDIRECT("'" &amp;Master!$F$10&amp; "'!$A$2:$A$50"),INDIRECT("'" &amp;Master!$F$10&amp; "'!$E$2:$E$50"))</f>
        <v>#VALUE!</v>
      </c>
      <c r="F514" s="4" t="e">
        <f ca="1">SplineInterp(A514,INDIRECT("'" &amp;Master!$F$10&amp; "'!$A$2:$A$50"),INDIRECT("'" &amp;Master!$F$10&amp; "'!$F$2:$F$50"))</f>
        <v>#VALUE!</v>
      </c>
      <c r="G514" s="4" t="e">
        <f ca="1">SplineInterp(A514,INDIRECT("'" &amp;Master!$F$10&amp; "'!$A$2:$A$50"),INDIRECT("'" &amp;Master!$F$10&amp; "'!$G$2:$G$50"))</f>
        <v>#VALUE!</v>
      </c>
      <c r="H514" s="4" t="e">
        <f ca="1">SplineInterp(A514,INDIRECT("'" &amp;Master!$F$10&amp; "'!$A$2:$A$50"),INDIRECT("'" &amp;Master!$F$10&amp; "'!$H$2:$H$50"))</f>
        <v>#VALUE!</v>
      </c>
      <c r="I514" s="4" t="e">
        <f ca="1">IF(OR(INDIRECT("'" &amp; Master!$F$8 &amp; Master!$F$6 &amp; "'!B" &amp; ROW(B514))="", INDIRECT("'" &amp; Master!$F$8 &amp; Master!$F$6 &amp; "'!B" &amp; ROW(B514))=0), "", INDIRECT("'" &amp; Master!$F$8 &amp; Master!$F$6 &amp; "'!B" &amp; ROW(B514)))</f>
        <v>#VALUE!</v>
      </c>
      <c r="J514" s="9" t="e">
        <f t="shared" ca="1" si="49"/>
        <v>#VALUE!</v>
      </c>
      <c r="K514" s="7" t="e">
        <f t="shared" ca="1" si="50"/>
        <v>#VALUE!</v>
      </c>
      <c r="L514" s="7" t="e">
        <f t="shared" ca="1" si="51"/>
        <v>#VALUE!</v>
      </c>
      <c r="M514" s="7" t="e">
        <f t="shared" ca="1" si="52"/>
        <v>#VALUE!</v>
      </c>
      <c r="N514" s="7" t="e">
        <f t="shared" ca="1" si="53"/>
        <v>#VALUE!</v>
      </c>
      <c r="O514" s="7" t="e">
        <f t="shared" ca="1" si="54"/>
        <v>#VALUE!</v>
      </c>
      <c r="P514" s="7" t="e">
        <f t="shared" ca="1" si="55"/>
        <v>#VALUE!</v>
      </c>
    </row>
    <row r="515" spans="1:16" x14ac:dyDescent="0.25">
      <c r="A515" s="19" t="str">
        <f ca="1">IF(OR(INDIRECT("'" &amp; Master!$F$8 &amp; Master!$F$6 &amp; "'!A" &amp; ROW(A515))="", INDIRECT("'" &amp; Master!$F$8 &amp; Master!$F$6 &amp; "'!A" &amp; ROW(A515))=0), "", INDIRECT("'" &amp; Master!$F$8 &amp; Master!$F$6 &amp; "'!A" &amp; ROW(A515)))</f>
        <v/>
      </c>
      <c r="B515" s="4" t="e">
        <f ca="1">SplineInterp(INDIRECT("A" &amp; ROW()),INDIRECT("'" &amp;Master!$F$10&amp; "'!$A$2:$A$50"),INDIRECT("'" &amp;Master!$F$10&amp; "'!$B$2:$B$50"))</f>
        <v>#VALUE!</v>
      </c>
      <c r="C515" s="4" t="e">
        <f ca="1">SplineInterp(A515,INDIRECT("'" &amp;Master!$F$10&amp; "'!$A$2:$A$50"),INDIRECT("'" &amp;Master!$F$10&amp; "'!$C$2:$C$50"))</f>
        <v>#VALUE!</v>
      </c>
      <c r="D515" s="4" t="e">
        <f ca="1">SplineInterp(A515,INDIRECT("'" &amp;Master!$F$10&amp; "'!$A$2:$A$50"),INDIRECT("'" &amp;Master!$F$10&amp; "'!$D$2:$D$50"))</f>
        <v>#VALUE!</v>
      </c>
      <c r="E515" s="4" t="e">
        <f ca="1">SplineInterp(A515,INDIRECT("'" &amp;Master!$F$10&amp; "'!$A$2:$A$50"),INDIRECT("'" &amp;Master!$F$10&amp; "'!$E$2:$E$50"))</f>
        <v>#VALUE!</v>
      </c>
      <c r="F515" s="4" t="e">
        <f ca="1">SplineInterp(A515,INDIRECT("'" &amp;Master!$F$10&amp; "'!$A$2:$A$50"),INDIRECT("'" &amp;Master!$F$10&amp; "'!$F$2:$F$50"))</f>
        <v>#VALUE!</v>
      </c>
      <c r="G515" s="4" t="e">
        <f ca="1">SplineInterp(A515,INDIRECT("'" &amp;Master!$F$10&amp; "'!$A$2:$A$50"),INDIRECT("'" &amp;Master!$F$10&amp; "'!$G$2:$G$50"))</f>
        <v>#VALUE!</v>
      </c>
      <c r="H515" s="4" t="e">
        <f ca="1">SplineInterp(A515,INDIRECT("'" &amp;Master!$F$10&amp; "'!$A$2:$A$50"),INDIRECT("'" &amp;Master!$F$10&amp; "'!$H$2:$H$50"))</f>
        <v>#VALUE!</v>
      </c>
      <c r="I515" s="4" t="e">
        <f ca="1">IF(OR(INDIRECT("'" &amp; Master!$F$8 &amp; Master!$F$6 &amp; "'!B" &amp; ROW(B515))="", INDIRECT("'" &amp; Master!$F$8 &amp; Master!$F$6 &amp; "'!B" &amp; ROW(B515))=0), "", INDIRECT("'" &amp; Master!$F$8 &amp; Master!$F$6 &amp; "'!B" &amp; ROW(B515)))</f>
        <v>#VALUE!</v>
      </c>
      <c r="J515" s="9" t="e">
        <f t="shared" ref="J515:J578" ca="1" si="56">B515*I515</f>
        <v>#VALUE!</v>
      </c>
      <c r="K515" s="7" t="e">
        <f t="shared" ref="K515:K578" ca="1" si="57">C515*I515</f>
        <v>#VALUE!</v>
      </c>
      <c r="L515" s="7" t="e">
        <f t="shared" ref="L515:L578" ca="1" si="58">D515*I515</f>
        <v>#VALUE!</v>
      </c>
      <c r="M515" s="7" t="e">
        <f t="shared" ref="M515:M578" ca="1" si="59">E515*I515</f>
        <v>#VALUE!</v>
      </c>
      <c r="N515" s="7" t="e">
        <f t="shared" ref="N515:N578" ca="1" si="60">F515*I515</f>
        <v>#VALUE!</v>
      </c>
      <c r="O515" s="7" t="e">
        <f t="shared" ref="O515:O578" ca="1" si="61">G515*I515</f>
        <v>#VALUE!</v>
      </c>
      <c r="P515" s="7" t="e">
        <f t="shared" ref="P515:P578" ca="1" si="62">H515*I515</f>
        <v>#VALUE!</v>
      </c>
    </row>
    <row r="516" spans="1:16" x14ac:dyDescent="0.25">
      <c r="A516" s="19" t="str">
        <f ca="1">IF(OR(INDIRECT("'" &amp; Master!$F$8 &amp; Master!$F$6 &amp; "'!A" &amp; ROW(A516))="", INDIRECT("'" &amp; Master!$F$8 &amp; Master!$F$6 &amp; "'!A" &amp; ROW(A516))=0), "", INDIRECT("'" &amp; Master!$F$8 &amp; Master!$F$6 &amp; "'!A" &amp; ROW(A516)))</f>
        <v/>
      </c>
      <c r="B516" s="4" t="e">
        <f ca="1">SplineInterp(INDIRECT("A" &amp; ROW()),INDIRECT("'" &amp;Master!$F$10&amp; "'!$A$2:$A$50"),INDIRECT("'" &amp;Master!$F$10&amp; "'!$B$2:$B$50"))</f>
        <v>#VALUE!</v>
      </c>
      <c r="C516" s="4" t="e">
        <f ca="1">SplineInterp(A516,INDIRECT("'" &amp;Master!$F$10&amp; "'!$A$2:$A$50"),INDIRECT("'" &amp;Master!$F$10&amp; "'!$C$2:$C$50"))</f>
        <v>#VALUE!</v>
      </c>
      <c r="D516" s="4" t="e">
        <f ca="1">SplineInterp(A516,INDIRECT("'" &amp;Master!$F$10&amp; "'!$A$2:$A$50"),INDIRECT("'" &amp;Master!$F$10&amp; "'!$D$2:$D$50"))</f>
        <v>#VALUE!</v>
      </c>
      <c r="E516" s="4" t="e">
        <f ca="1">SplineInterp(A516,INDIRECT("'" &amp;Master!$F$10&amp; "'!$A$2:$A$50"),INDIRECT("'" &amp;Master!$F$10&amp; "'!$E$2:$E$50"))</f>
        <v>#VALUE!</v>
      </c>
      <c r="F516" s="4" t="e">
        <f ca="1">SplineInterp(A516,INDIRECT("'" &amp;Master!$F$10&amp; "'!$A$2:$A$50"),INDIRECT("'" &amp;Master!$F$10&amp; "'!$F$2:$F$50"))</f>
        <v>#VALUE!</v>
      </c>
      <c r="G516" s="4" t="e">
        <f ca="1">SplineInterp(A516,INDIRECT("'" &amp;Master!$F$10&amp; "'!$A$2:$A$50"),INDIRECT("'" &amp;Master!$F$10&amp; "'!$G$2:$G$50"))</f>
        <v>#VALUE!</v>
      </c>
      <c r="H516" s="4" t="e">
        <f ca="1">SplineInterp(A516,INDIRECT("'" &amp;Master!$F$10&amp; "'!$A$2:$A$50"),INDIRECT("'" &amp;Master!$F$10&amp; "'!$H$2:$H$50"))</f>
        <v>#VALUE!</v>
      </c>
      <c r="I516" s="4" t="e">
        <f ca="1">IF(OR(INDIRECT("'" &amp; Master!$F$8 &amp; Master!$F$6 &amp; "'!B" &amp; ROW(B516))="", INDIRECT("'" &amp; Master!$F$8 &amp; Master!$F$6 &amp; "'!B" &amp; ROW(B516))=0), "", INDIRECT("'" &amp; Master!$F$8 &amp; Master!$F$6 &amp; "'!B" &amp; ROW(B516)))</f>
        <v>#VALUE!</v>
      </c>
      <c r="J516" s="9" t="e">
        <f t="shared" ca="1" si="56"/>
        <v>#VALUE!</v>
      </c>
      <c r="K516" s="7" t="e">
        <f t="shared" ca="1" si="57"/>
        <v>#VALUE!</v>
      </c>
      <c r="L516" s="7" t="e">
        <f t="shared" ca="1" si="58"/>
        <v>#VALUE!</v>
      </c>
      <c r="M516" s="7" t="e">
        <f t="shared" ca="1" si="59"/>
        <v>#VALUE!</v>
      </c>
      <c r="N516" s="7" t="e">
        <f t="shared" ca="1" si="60"/>
        <v>#VALUE!</v>
      </c>
      <c r="O516" s="7" t="e">
        <f t="shared" ca="1" si="61"/>
        <v>#VALUE!</v>
      </c>
      <c r="P516" s="7" t="e">
        <f t="shared" ca="1" si="62"/>
        <v>#VALUE!</v>
      </c>
    </row>
    <row r="517" spans="1:16" x14ac:dyDescent="0.25">
      <c r="A517" s="19" t="str">
        <f ca="1">IF(OR(INDIRECT("'" &amp; Master!$F$8 &amp; Master!$F$6 &amp; "'!A" &amp; ROW(A517))="", INDIRECT("'" &amp; Master!$F$8 &amp; Master!$F$6 &amp; "'!A" &amp; ROW(A517))=0), "", INDIRECT("'" &amp; Master!$F$8 &amp; Master!$F$6 &amp; "'!A" &amp; ROW(A517)))</f>
        <v/>
      </c>
      <c r="B517" s="4" t="e">
        <f ca="1">SplineInterp(INDIRECT("A" &amp; ROW()),INDIRECT("'" &amp;Master!$F$10&amp; "'!$A$2:$A$50"),INDIRECT("'" &amp;Master!$F$10&amp; "'!$B$2:$B$50"))</f>
        <v>#VALUE!</v>
      </c>
      <c r="C517" s="4" t="e">
        <f ca="1">SplineInterp(A517,INDIRECT("'" &amp;Master!$F$10&amp; "'!$A$2:$A$50"),INDIRECT("'" &amp;Master!$F$10&amp; "'!$C$2:$C$50"))</f>
        <v>#VALUE!</v>
      </c>
      <c r="D517" s="4" t="e">
        <f ca="1">SplineInterp(A517,INDIRECT("'" &amp;Master!$F$10&amp; "'!$A$2:$A$50"),INDIRECT("'" &amp;Master!$F$10&amp; "'!$D$2:$D$50"))</f>
        <v>#VALUE!</v>
      </c>
      <c r="E517" s="4" t="e">
        <f ca="1">SplineInterp(A517,INDIRECT("'" &amp;Master!$F$10&amp; "'!$A$2:$A$50"),INDIRECT("'" &amp;Master!$F$10&amp; "'!$E$2:$E$50"))</f>
        <v>#VALUE!</v>
      </c>
      <c r="F517" s="4" t="e">
        <f ca="1">SplineInterp(A517,INDIRECT("'" &amp;Master!$F$10&amp; "'!$A$2:$A$50"),INDIRECT("'" &amp;Master!$F$10&amp; "'!$F$2:$F$50"))</f>
        <v>#VALUE!</v>
      </c>
      <c r="G517" s="4" t="e">
        <f ca="1">SplineInterp(A517,INDIRECT("'" &amp;Master!$F$10&amp; "'!$A$2:$A$50"),INDIRECT("'" &amp;Master!$F$10&amp; "'!$G$2:$G$50"))</f>
        <v>#VALUE!</v>
      </c>
      <c r="H517" s="4" t="e">
        <f ca="1">SplineInterp(A517,INDIRECT("'" &amp;Master!$F$10&amp; "'!$A$2:$A$50"),INDIRECT("'" &amp;Master!$F$10&amp; "'!$H$2:$H$50"))</f>
        <v>#VALUE!</v>
      </c>
      <c r="I517" s="4" t="e">
        <f ca="1">IF(OR(INDIRECT("'" &amp; Master!$F$8 &amp; Master!$F$6 &amp; "'!B" &amp; ROW(B517))="", INDIRECT("'" &amp; Master!$F$8 &amp; Master!$F$6 &amp; "'!B" &amp; ROW(B517))=0), "", INDIRECT("'" &amp; Master!$F$8 &amp; Master!$F$6 &amp; "'!B" &amp; ROW(B517)))</f>
        <v>#VALUE!</v>
      </c>
      <c r="J517" s="9" t="e">
        <f t="shared" ca="1" si="56"/>
        <v>#VALUE!</v>
      </c>
      <c r="K517" s="7" t="e">
        <f t="shared" ca="1" si="57"/>
        <v>#VALUE!</v>
      </c>
      <c r="L517" s="7" t="e">
        <f t="shared" ca="1" si="58"/>
        <v>#VALUE!</v>
      </c>
      <c r="M517" s="7" t="e">
        <f t="shared" ca="1" si="59"/>
        <v>#VALUE!</v>
      </c>
      <c r="N517" s="7" t="e">
        <f t="shared" ca="1" si="60"/>
        <v>#VALUE!</v>
      </c>
      <c r="O517" s="7" t="e">
        <f t="shared" ca="1" si="61"/>
        <v>#VALUE!</v>
      </c>
      <c r="P517" s="7" t="e">
        <f t="shared" ca="1" si="62"/>
        <v>#VALUE!</v>
      </c>
    </row>
    <row r="518" spans="1:16" x14ac:dyDescent="0.25">
      <c r="A518" s="19" t="str">
        <f ca="1">IF(OR(INDIRECT("'" &amp; Master!$F$8 &amp; Master!$F$6 &amp; "'!A" &amp; ROW(A518))="", INDIRECT("'" &amp; Master!$F$8 &amp; Master!$F$6 &amp; "'!A" &amp; ROW(A518))=0), "", INDIRECT("'" &amp; Master!$F$8 &amp; Master!$F$6 &amp; "'!A" &amp; ROW(A518)))</f>
        <v/>
      </c>
      <c r="B518" s="4" t="e">
        <f ca="1">SplineInterp(INDIRECT("A" &amp; ROW()),INDIRECT("'" &amp;Master!$F$10&amp; "'!$A$2:$A$50"),INDIRECT("'" &amp;Master!$F$10&amp; "'!$B$2:$B$50"))</f>
        <v>#VALUE!</v>
      </c>
      <c r="C518" s="4" t="e">
        <f ca="1">SplineInterp(A518,INDIRECT("'" &amp;Master!$F$10&amp; "'!$A$2:$A$50"),INDIRECT("'" &amp;Master!$F$10&amp; "'!$C$2:$C$50"))</f>
        <v>#VALUE!</v>
      </c>
      <c r="D518" s="4" t="e">
        <f ca="1">SplineInterp(A518,INDIRECT("'" &amp;Master!$F$10&amp; "'!$A$2:$A$50"),INDIRECT("'" &amp;Master!$F$10&amp; "'!$D$2:$D$50"))</f>
        <v>#VALUE!</v>
      </c>
      <c r="E518" s="4" t="e">
        <f ca="1">SplineInterp(A518,INDIRECT("'" &amp;Master!$F$10&amp; "'!$A$2:$A$50"),INDIRECT("'" &amp;Master!$F$10&amp; "'!$E$2:$E$50"))</f>
        <v>#VALUE!</v>
      </c>
      <c r="F518" s="4" t="e">
        <f ca="1">SplineInterp(A518,INDIRECT("'" &amp;Master!$F$10&amp; "'!$A$2:$A$50"),INDIRECT("'" &amp;Master!$F$10&amp; "'!$F$2:$F$50"))</f>
        <v>#VALUE!</v>
      </c>
      <c r="G518" s="4" t="e">
        <f ca="1">SplineInterp(A518,INDIRECT("'" &amp;Master!$F$10&amp; "'!$A$2:$A$50"),INDIRECT("'" &amp;Master!$F$10&amp; "'!$G$2:$G$50"))</f>
        <v>#VALUE!</v>
      </c>
      <c r="H518" s="4" t="e">
        <f ca="1">SplineInterp(A518,INDIRECT("'" &amp;Master!$F$10&amp; "'!$A$2:$A$50"),INDIRECT("'" &amp;Master!$F$10&amp; "'!$H$2:$H$50"))</f>
        <v>#VALUE!</v>
      </c>
      <c r="I518" s="4" t="e">
        <f ca="1">IF(OR(INDIRECT("'" &amp; Master!$F$8 &amp; Master!$F$6 &amp; "'!B" &amp; ROW(B518))="", INDIRECT("'" &amp; Master!$F$8 &amp; Master!$F$6 &amp; "'!B" &amp; ROW(B518))=0), "", INDIRECT("'" &amp; Master!$F$8 &amp; Master!$F$6 &amp; "'!B" &amp; ROW(B518)))</f>
        <v>#VALUE!</v>
      </c>
      <c r="J518" s="9" t="e">
        <f t="shared" ca="1" si="56"/>
        <v>#VALUE!</v>
      </c>
      <c r="K518" s="7" t="e">
        <f t="shared" ca="1" si="57"/>
        <v>#VALUE!</v>
      </c>
      <c r="L518" s="7" t="e">
        <f t="shared" ca="1" si="58"/>
        <v>#VALUE!</v>
      </c>
      <c r="M518" s="7" t="e">
        <f t="shared" ca="1" si="59"/>
        <v>#VALUE!</v>
      </c>
      <c r="N518" s="7" t="e">
        <f t="shared" ca="1" si="60"/>
        <v>#VALUE!</v>
      </c>
      <c r="O518" s="7" t="e">
        <f t="shared" ca="1" si="61"/>
        <v>#VALUE!</v>
      </c>
      <c r="P518" s="7" t="e">
        <f t="shared" ca="1" si="62"/>
        <v>#VALUE!</v>
      </c>
    </row>
    <row r="519" spans="1:16" x14ac:dyDescent="0.25">
      <c r="A519" s="19" t="str">
        <f ca="1">IF(OR(INDIRECT("'" &amp; Master!$F$8 &amp; Master!$F$6 &amp; "'!A" &amp; ROW(A519))="", INDIRECT("'" &amp; Master!$F$8 &amp; Master!$F$6 &amp; "'!A" &amp; ROW(A519))=0), "", INDIRECT("'" &amp; Master!$F$8 &amp; Master!$F$6 &amp; "'!A" &amp; ROW(A519)))</f>
        <v/>
      </c>
      <c r="B519" s="4" t="e">
        <f ca="1">SplineInterp(INDIRECT("A" &amp; ROW()),INDIRECT("'" &amp;Master!$F$10&amp; "'!$A$2:$A$50"),INDIRECT("'" &amp;Master!$F$10&amp; "'!$B$2:$B$50"))</f>
        <v>#VALUE!</v>
      </c>
      <c r="C519" s="4" t="e">
        <f ca="1">SplineInterp(A519,INDIRECT("'" &amp;Master!$F$10&amp; "'!$A$2:$A$50"),INDIRECT("'" &amp;Master!$F$10&amp; "'!$C$2:$C$50"))</f>
        <v>#VALUE!</v>
      </c>
      <c r="D519" s="4" t="e">
        <f ca="1">SplineInterp(A519,INDIRECT("'" &amp;Master!$F$10&amp; "'!$A$2:$A$50"),INDIRECT("'" &amp;Master!$F$10&amp; "'!$D$2:$D$50"))</f>
        <v>#VALUE!</v>
      </c>
      <c r="E519" s="4" t="e">
        <f ca="1">SplineInterp(A519,INDIRECT("'" &amp;Master!$F$10&amp; "'!$A$2:$A$50"),INDIRECT("'" &amp;Master!$F$10&amp; "'!$E$2:$E$50"))</f>
        <v>#VALUE!</v>
      </c>
      <c r="F519" s="4" t="e">
        <f ca="1">SplineInterp(A519,INDIRECT("'" &amp;Master!$F$10&amp; "'!$A$2:$A$50"),INDIRECT("'" &amp;Master!$F$10&amp; "'!$F$2:$F$50"))</f>
        <v>#VALUE!</v>
      </c>
      <c r="G519" s="4" t="e">
        <f ca="1">SplineInterp(A519,INDIRECT("'" &amp;Master!$F$10&amp; "'!$A$2:$A$50"),INDIRECT("'" &amp;Master!$F$10&amp; "'!$G$2:$G$50"))</f>
        <v>#VALUE!</v>
      </c>
      <c r="H519" s="4" t="e">
        <f ca="1">SplineInterp(A519,INDIRECT("'" &amp;Master!$F$10&amp; "'!$A$2:$A$50"),INDIRECT("'" &amp;Master!$F$10&amp; "'!$H$2:$H$50"))</f>
        <v>#VALUE!</v>
      </c>
      <c r="I519" s="4" t="e">
        <f ca="1">IF(OR(INDIRECT("'" &amp; Master!$F$8 &amp; Master!$F$6 &amp; "'!B" &amp; ROW(B519))="", INDIRECT("'" &amp; Master!$F$8 &amp; Master!$F$6 &amp; "'!B" &amp; ROW(B519))=0), "", INDIRECT("'" &amp; Master!$F$8 &amp; Master!$F$6 &amp; "'!B" &amp; ROW(B519)))</f>
        <v>#VALUE!</v>
      </c>
      <c r="J519" s="9" t="e">
        <f t="shared" ca="1" si="56"/>
        <v>#VALUE!</v>
      </c>
      <c r="K519" s="7" t="e">
        <f t="shared" ca="1" si="57"/>
        <v>#VALUE!</v>
      </c>
      <c r="L519" s="7" t="e">
        <f t="shared" ca="1" si="58"/>
        <v>#VALUE!</v>
      </c>
      <c r="M519" s="7" t="e">
        <f t="shared" ca="1" si="59"/>
        <v>#VALUE!</v>
      </c>
      <c r="N519" s="7" t="e">
        <f t="shared" ca="1" si="60"/>
        <v>#VALUE!</v>
      </c>
      <c r="O519" s="7" t="e">
        <f t="shared" ca="1" si="61"/>
        <v>#VALUE!</v>
      </c>
      <c r="P519" s="7" t="e">
        <f t="shared" ca="1" si="62"/>
        <v>#VALUE!</v>
      </c>
    </row>
    <row r="520" spans="1:16" x14ac:dyDescent="0.25">
      <c r="A520" s="19" t="str">
        <f ca="1">IF(OR(INDIRECT("'" &amp; Master!$F$8 &amp; Master!$F$6 &amp; "'!A" &amp; ROW(A520))="", INDIRECT("'" &amp; Master!$F$8 &amp; Master!$F$6 &amp; "'!A" &amp; ROW(A520))=0), "", INDIRECT("'" &amp; Master!$F$8 &amp; Master!$F$6 &amp; "'!A" &amp; ROW(A520)))</f>
        <v/>
      </c>
      <c r="B520" s="4" t="e">
        <f ca="1">SplineInterp(INDIRECT("A" &amp; ROW()),INDIRECT("'" &amp;Master!$F$10&amp; "'!$A$2:$A$50"),INDIRECT("'" &amp;Master!$F$10&amp; "'!$B$2:$B$50"))</f>
        <v>#VALUE!</v>
      </c>
      <c r="C520" s="4" t="e">
        <f ca="1">SplineInterp(A520,INDIRECT("'" &amp;Master!$F$10&amp; "'!$A$2:$A$50"),INDIRECT("'" &amp;Master!$F$10&amp; "'!$C$2:$C$50"))</f>
        <v>#VALUE!</v>
      </c>
      <c r="D520" s="4" t="e">
        <f ca="1">SplineInterp(A520,INDIRECT("'" &amp;Master!$F$10&amp; "'!$A$2:$A$50"),INDIRECT("'" &amp;Master!$F$10&amp; "'!$D$2:$D$50"))</f>
        <v>#VALUE!</v>
      </c>
      <c r="E520" s="4" t="e">
        <f ca="1">SplineInterp(A520,INDIRECT("'" &amp;Master!$F$10&amp; "'!$A$2:$A$50"),INDIRECT("'" &amp;Master!$F$10&amp; "'!$E$2:$E$50"))</f>
        <v>#VALUE!</v>
      </c>
      <c r="F520" s="4" t="e">
        <f ca="1">SplineInterp(A520,INDIRECT("'" &amp;Master!$F$10&amp; "'!$A$2:$A$50"),INDIRECT("'" &amp;Master!$F$10&amp; "'!$F$2:$F$50"))</f>
        <v>#VALUE!</v>
      </c>
      <c r="G520" s="4" t="e">
        <f ca="1">SplineInterp(A520,INDIRECT("'" &amp;Master!$F$10&amp; "'!$A$2:$A$50"),INDIRECT("'" &amp;Master!$F$10&amp; "'!$G$2:$G$50"))</f>
        <v>#VALUE!</v>
      </c>
      <c r="H520" s="4" t="e">
        <f ca="1">SplineInterp(A520,INDIRECT("'" &amp;Master!$F$10&amp; "'!$A$2:$A$50"),INDIRECT("'" &amp;Master!$F$10&amp; "'!$H$2:$H$50"))</f>
        <v>#VALUE!</v>
      </c>
      <c r="I520" s="4" t="e">
        <f ca="1">IF(OR(INDIRECT("'" &amp; Master!$F$8 &amp; Master!$F$6 &amp; "'!B" &amp; ROW(B520))="", INDIRECT("'" &amp; Master!$F$8 &amp; Master!$F$6 &amp; "'!B" &amp; ROW(B520))=0), "", INDIRECT("'" &amp; Master!$F$8 &amp; Master!$F$6 &amp; "'!B" &amp; ROW(B520)))</f>
        <v>#VALUE!</v>
      </c>
      <c r="J520" s="9" t="e">
        <f t="shared" ca="1" si="56"/>
        <v>#VALUE!</v>
      </c>
      <c r="K520" s="7" t="e">
        <f t="shared" ca="1" si="57"/>
        <v>#VALUE!</v>
      </c>
      <c r="L520" s="7" t="e">
        <f t="shared" ca="1" si="58"/>
        <v>#VALUE!</v>
      </c>
      <c r="M520" s="7" t="e">
        <f t="shared" ca="1" si="59"/>
        <v>#VALUE!</v>
      </c>
      <c r="N520" s="7" t="e">
        <f t="shared" ca="1" si="60"/>
        <v>#VALUE!</v>
      </c>
      <c r="O520" s="7" t="e">
        <f t="shared" ca="1" si="61"/>
        <v>#VALUE!</v>
      </c>
      <c r="P520" s="7" t="e">
        <f t="shared" ca="1" si="62"/>
        <v>#VALUE!</v>
      </c>
    </row>
    <row r="521" spans="1:16" x14ac:dyDescent="0.25">
      <c r="A521" s="19" t="str">
        <f ca="1">IF(OR(INDIRECT("'" &amp; Master!$F$8 &amp; Master!$F$6 &amp; "'!A" &amp; ROW(A521))="", INDIRECT("'" &amp; Master!$F$8 &amp; Master!$F$6 &amp; "'!A" &amp; ROW(A521))=0), "", INDIRECT("'" &amp; Master!$F$8 &amp; Master!$F$6 &amp; "'!A" &amp; ROW(A521)))</f>
        <v/>
      </c>
      <c r="B521" s="4" t="e">
        <f ca="1">SplineInterp(INDIRECT("A" &amp; ROW()),INDIRECT("'" &amp;Master!$F$10&amp; "'!$A$2:$A$50"),INDIRECT("'" &amp;Master!$F$10&amp; "'!$B$2:$B$50"))</f>
        <v>#VALUE!</v>
      </c>
      <c r="C521" s="4" t="e">
        <f ca="1">SplineInterp(A521,INDIRECT("'" &amp;Master!$F$10&amp; "'!$A$2:$A$50"),INDIRECT("'" &amp;Master!$F$10&amp; "'!$C$2:$C$50"))</f>
        <v>#VALUE!</v>
      </c>
      <c r="D521" s="4" t="e">
        <f ca="1">SplineInterp(A521,INDIRECT("'" &amp;Master!$F$10&amp; "'!$A$2:$A$50"),INDIRECT("'" &amp;Master!$F$10&amp; "'!$D$2:$D$50"))</f>
        <v>#VALUE!</v>
      </c>
      <c r="E521" s="4" t="e">
        <f ca="1">SplineInterp(A521,INDIRECT("'" &amp;Master!$F$10&amp; "'!$A$2:$A$50"),INDIRECT("'" &amp;Master!$F$10&amp; "'!$E$2:$E$50"))</f>
        <v>#VALUE!</v>
      </c>
      <c r="F521" s="4" t="e">
        <f ca="1">SplineInterp(A521,INDIRECT("'" &amp;Master!$F$10&amp; "'!$A$2:$A$50"),INDIRECT("'" &amp;Master!$F$10&amp; "'!$F$2:$F$50"))</f>
        <v>#VALUE!</v>
      </c>
      <c r="G521" s="4" t="e">
        <f ca="1">SplineInterp(A521,INDIRECT("'" &amp;Master!$F$10&amp; "'!$A$2:$A$50"),INDIRECT("'" &amp;Master!$F$10&amp; "'!$G$2:$G$50"))</f>
        <v>#VALUE!</v>
      </c>
      <c r="H521" s="4" t="e">
        <f ca="1">SplineInterp(A521,INDIRECT("'" &amp;Master!$F$10&amp; "'!$A$2:$A$50"),INDIRECT("'" &amp;Master!$F$10&amp; "'!$H$2:$H$50"))</f>
        <v>#VALUE!</v>
      </c>
      <c r="I521" s="4" t="e">
        <f ca="1">IF(OR(INDIRECT("'" &amp; Master!$F$8 &amp; Master!$F$6 &amp; "'!B" &amp; ROW(B521))="", INDIRECT("'" &amp; Master!$F$8 &amp; Master!$F$6 &amp; "'!B" &amp; ROW(B521))=0), "", INDIRECT("'" &amp; Master!$F$8 &amp; Master!$F$6 &amp; "'!B" &amp; ROW(B521)))</f>
        <v>#VALUE!</v>
      </c>
      <c r="J521" s="9" t="e">
        <f t="shared" ca="1" si="56"/>
        <v>#VALUE!</v>
      </c>
      <c r="K521" s="7" t="e">
        <f t="shared" ca="1" si="57"/>
        <v>#VALUE!</v>
      </c>
      <c r="L521" s="7" t="e">
        <f t="shared" ca="1" si="58"/>
        <v>#VALUE!</v>
      </c>
      <c r="M521" s="7" t="e">
        <f t="shared" ca="1" si="59"/>
        <v>#VALUE!</v>
      </c>
      <c r="N521" s="7" t="e">
        <f t="shared" ca="1" si="60"/>
        <v>#VALUE!</v>
      </c>
      <c r="O521" s="7" t="e">
        <f t="shared" ca="1" si="61"/>
        <v>#VALUE!</v>
      </c>
      <c r="P521" s="7" t="e">
        <f t="shared" ca="1" si="62"/>
        <v>#VALUE!</v>
      </c>
    </row>
    <row r="522" spans="1:16" x14ac:dyDescent="0.25">
      <c r="A522" s="19" t="str">
        <f ca="1">IF(OR(INDIRECT("'" &amp; Master!$F$8 &amp; Master!$F$6 &amp; "'!A" &amp; ROW(A522))="", INDIRECT("'" &amp; Master!$F$8 &amp; Master!$F$6 &amp; "'!A" &amp; ROW(A522))=0), "", INDIRECT("'" &amp; Master!$F$8 &amp; Master!$F$6 &amp; "'!A" &amp; ROW(A522)))</f>
        <v/>
      </c>
      <c r="B522" s="4" t="e">
        <f ca="1">SplineInterp(INDIRECT("A" &amp; ROW()),INDIRECT("'" &amp;Master!$F$10&amp; "'!$A$2:$A$50"),INDIRECT("'" &amp;Master!$F$10&amp; "'!$B$2:$B$50"))</f>
        <v>#VALUE!</v>
      </c>
      <c r="C522" s="4" t="e">
        <f ca="1">SplineInterp(A522,INDIRECT("'" &amp;Master!$F$10&amp; "'!$A$2:$A$50"),INDIRECT("'" &amp;Master!$F$10&amp; "'!$C$2:$C$50"))</f>
        <v>#VALUE!</v>
      </c>
      <c r="D522" s="4" t="e">
        <f ca="1">SplineInterp(A522,INDIRECT("'" &amp;Master!$F$10&amp; "'!$A$2:$A$50"),INDIRECT("'" &amp;Master!$F$10&amp; "'!$D$2:$D$50"))</f>
        <v>#VALUE!</v>
      </c>
      <c r="E522" s="4" t="e">
        <f ca="1">SplineInterp(A522,INDIRECT("'" &amp;Master!$F$10&amp; "'!$A$2:$A$50"),INDIRECT("'" &amp;Master!$F$10&amp; "'!$E$2:$E$50"))</f>
        <v>#VALUE!</v>
      </c>
      <c r="F522" s="4" t="e">
        <f ca="1">SplineInterp(A522,INDIRECT("'" &amp;Master!$F$10&amp; "'!$A$2:$A$50"),INDIRECT("'" &amp;Master!$F$10&amp; "'!$F$2:$F$50"))</f>
        <v>#VALUE!</v>
      </c>
      <c r="G522" s="4" t="e">
        <f ca="1">SplineInterp(A522,INDIRECT("'" &amp;Master!$F$10&amp; "'!$A$2:$A$50"),INDIRECT("'" &amp;Master!$F$10&amp; "'!$G$2:$G$50"))</f>
        <v>#VALUE!</v>
      </c>
      <c r="H522" s="4" t="e">
        <f ca="1">SplineInterp(A522,INDIRECT("'" &amp;Master!$F$10&amp; "'!$A$2:$A$50"),INDIRECT("'" &amp;Master!$F$10&amp; "'!$H$2:$H$50"))</f>
        <v>#VALUE!</v>
      </c>
      <c r="I522" s="4" t="e">
        <f ca="1">IF(OR(INDIRECT("'" &amp; Master!$F$8 &amp; Master!$F$6 &amp; "'!B" &amp; ROW(B522))="", INDIRECT("'" &amp; Master!$F$8 &amp; Master!$F$6 &amp; "'!B" &amp; ROW(B522))=0), "", INDIRECT("'" &amp; Master!$F$8 &amp; Master!$F$6 &amp; "'!B" &amp; ROW(B522)))</f>
        <v>#VALUE!</v>
      </c>
      <c r="J522" s="9" t="e">
        <f t="shared" ca="1" si="56"/>
        <v>#VALUE!</v>
      </c>
      <c r="K522" s="7" t="e">
        <f t="shared" ca="1" si="57"/>
        <v>#VALUE!</v>
      </c>
      <c r="L522" s="7" t="e">
        <f t="shared" ca="1" si="58"/>
        <v>#VALUE!</v>
      </c>
      <c r="M522" s="7" t="e">
        <f t="shared" ca="1" si="59"/>
        <v>#VALUE!</v>
      </c>
      <c r="N522" s="7" t="e">
        <f t="shared" ca="1" si="60"/>
        <v>#VALUE!</v>
      </c>
      <c r="O522" s="7" t="e">
        <f t="shared" ca="1" si="61"/>
        <v>#VALUE!</v>
      </c>
      <c r="P522" s="7" t="e">
        <f t="shared" ca="1" si="62"/>
        <v>#VALUE!</v>
      </c>
    </row>
    <row r="523" spans="1:16" x14ac:dyDescent="0.25">
      <c r="A523" s="19" t="str">
        <f ca="1">IF(OR(INDIRECT("'" &amp; Master!$F$8 &amp; Master!$F$6 &amp; "'!A" &amp; ROW(A523))="", INDIRECT("'" &amp; Master!$F$8 &amp; Master!$F$6 &amp; "'!A" &amp; ROW(A523))=0), "", INDIRECT("'" &amp; Master!$F$8 &amp; Master!$F$6 &amp; "'!A" &amp; ROW(A523)))</f>
        <v/>
      </c>
      <c r="B523" s="4" t="e">
        <f ca="1">SplineInterp(INDIRECT("A" &amp; ROW()),INDIRECT("'" &amp;Master!$F$10&amp; "'!$A$2:$A$50"),INDIRECT("'" &amp;Master!$F$10&amp; "'!$B$2:$B$50"))</f>
        <v>#VALUE!</v>
      </c>
      <c r="C523" s="4" t="e">
        <f ca="1">SplineInterp(A523,INDIRECT("'" &amp;Master!$F$10&amp; "'!$A$2:$A$50"),INDIRECT("'" &amp;Master!$F$10&amp; "'!$C$2:$C$50"))</f>
        <v>#VALUE!</v>
      </c>
      <c r="D523" s="4" t="e">
        <f ca="1">SplineInterp(A523,INDIRECT("'" &amp;Master!$F$10&amp; "'!$A$2:$A$50"),INDIRECT("'" &amp;Master!$F$10&amp; "'!$D$2:$D$50"))</f>
        <v>#VALUE!</v>
      </c>
      <c r="E523" s="4" t="e">
        <f ca="1">SplineInterp(A523,INDIRECT("'" &amp;Master!$F$10&amp; "'!$A$2:$A$50"),INDIRECT("'" &amp;Master!$F$10&amp; "'!$E$2:$E$50"))</f>
        <v>#VALUE!</v>
      </c>
      <c r="F523" s="4" t="e">
        <f ca="1">SplineInterp(A523,INDIRECT("'" &amp;Master!$F$10&amp; "'!$A$2:$A$50"),INDIRECT("'" &amp;Master!$F$10&amp; "'!$F$2:$F$50"))</f>
        <v>#VALUE!</v>
      </c>
      <c r="G523" s="4" t="e">
        <f ca="1">SplineInterp(A523,INDIRECT("'" &amp;Master!$F$10&amp; "'!$A$2:$A$50"),INDIRECT("'" &amp;Master!$F$10&amp; "'!$G$2:$G$50"))</f>
        <v>#VALUE!</v>
      </c>
      <c r="H523" s="4" t="e">
        <f ca="1">SplineInterp(A523,INDIRECT("'" &amp;Master!$F$10&amp; "'!$A$2:$A$50"),INDIRECT("'" &amp;Master!$F$10&amp; "'!$H$2:$H$50"))</f>
        <v>#VALUE!</v>
      </c>
      <c r="I523" s="4" t="e">
        <f ca="1">IF(OR(INDIRECT("'" &amp; Master!$F$8 &amp; Master!$F$6 &amp; "'!B" &amp; ROW(B523))="", INDIRECT("'" &amp; Master!$F$8 &amp; Master!$F$6 &amp; "'!B" &amp; ROW(B523))=0), "", INDIRECT("'" &amp; Master!$F$8 &amp; Master!$F$6 &amp; "'!B" &amp; ROW(B523)))</f>
        <v>#VALUE!</v>
      </c>
      <c r="J523" s="9" t="e">
        <f t="shared" ca="1" si="56"/>
        <v>#VALUE!</v>
      </c>
      <c r="K523" s="7" t="e">
        <f t="shared" ca="1" si="57"/>
        <v>#VALUE!</v>
      </c>
      <c r="L523" s="7" t="e">
        <f t="shared" ca="1" si="58"/>
        <v>#VALUE!</v>
      </c>
      <c r="M523" s="7" t="e">
        <f t="shared" ca="1" si="59"/>
        <v>#VALUE!</v>
      </c>
      <c r="N523" s="7" t="e">
        <f t="shared" ca="1" si="60"/>
        <v>#VALUE!</v>
      </c>
      <c r="O523" s="7" t="e">
        <f t="shared" ca="1" si="61"/>
        <v>#VALUE!</v>
      </c>
      <c r="P523" s="7" t="e">
        <f t="shared" ca="1" si="62"/>
        <v>#VALUE!</v>
      </c>
    </row>
    <row r="524" spans="1:16" x14ac:dyDescent="0.25">
      <c r="A524" s="19" t="str">
        <f ca="1">IF(OR(INDIRECT("'" &amp; Master!$F$8 &amp; Master!$F$6 &amp; "'!A" &amp; ROW(A524))="", INDIRECT("'" &amp; Master!$F$8 &amp; Master!$F$6 &amp; "'!A" &amp; ROW(A524))=0), "", INDIRECT("'" &amp; Master!$F$8 &amp; Master!$F$6 &amp; "'!A" &amp; ROW(A524)))</f>
        <v/>
      </c>
      <c r="B524" s="4" t="e">
        <f ca="1">SplineInterp(INDIRECT("A" &amp; ROW()),INDIRECT("'" &amp;Master!$F$10&amp; "'!$A$2:$A$50"),INDIRECT("'" &amp;Master!$F$10&amp; "'!$B$2:$B$50"))</f>
        <v>#VALUE!</v>
      </c>
      <c r="C524" s="4" t="e">
        <f ca="1">SplineInterp(A524,INDIRECT("'" &amp;Master!$F$10&amp; "'!$A$2:$A$50"),INDIRECT("'" &amp;Master!$F$10&amp; "'!$C$2:$C$50"))</f>
        <v>#VALUE!</v>
      </c>
      <c r="D524" s="4" t="e">
        <f ca="1">SplineInterp(A524,INDIRECT("'" &amp;Master!$F$10&amp; "'!$A$2:$A$50"),INDIRECT("'" &amp;Master!$F$10&amp; "'!$D$2:$D$50"))</f>
        <v>#VALUE!</v>
      </c>
      <c r="E524" s="4" t="e">
        <f ca="1">SplineInterp(A524,INDIRECT("'" &amp;Master!$F$10&amp; "'!$A$2:$A$50"),INDIRECT("'" &amp;Master!$F$10&amp; "'!$E$2:$E$50"))</f>
        <v>#VALUE!</v>
      </c>
      <c r="F524" s="4" t="e">
        <f ca="1">SplineInterp(A524,INDIRECT("'" &amp;Master!$F$10&amp; "'!$A$2:$A$50"),INDIRECT("'" &amp;Master!$F$10&amp; "'!$F$2:$F$50"))</f>
        <v>#VALUE!</v>
      </c>
      <c r="G524" s="4" t="e">
        <f ca="1">SplineInterp(A524,INDIRECT("'" &amp;Master!$F$10&amp; "'!$A$2:$A$50"),INDIRECT("'" &amp;Master!$F$10&amp; "'!$G$2:$G$50"))</f>
        <v>#VALUE!</v>
      </c>
      <c r="H524" s="4" t="e">
        <f ca="1">SplineInterp(A524,INDIRECT("'" &amp;Master!$F$10&amp; "'!$A$2:$A$50"),INDIRECT("'" &amp;Master!$F$10&amp; "'!$H$2:$H$50"))</f>
        <v>#VALUE!</v>
      </c>
      <c r="I524" s="4" t="e">
        <f ca="1">IF(OR(INDIRECT("'" &amp; Master!$F$8 &amp; Master!$F$6 &amp; "'!B" &amp; ROW(B524))="", INDIRECT("'" &amp; Master!$F$8 &amp; Master!$F$6 &amp; "'!B" &amp; ROW(B524))=0), "", INDIRECT("'" &amp; Master!$F$8 &amp; Master!$F$6 &amp; "'!B" &amp; ROW(B524)))</f>
        <v>#VALUE!</v>
      </c>
      <c r="J524" s="9" t="e">
        <f t="shared" ca="1" si="56"/>
        <v>#VALUE!</v>
      </c>
      <c r="K524" s="7" t="e">
        <f t="shared" ca="1" si="57"/>
        <v>#VALUE!</v>
      </c>
      <c r="L524" s="7" t="e">
        <f t="shared" ca="1" si="58"/>
        <v>#VALUE!</v>
      </c>
      <c r="M524" s="7" t="e">
        <f t="shared" ca="1" si="59"/>
        <v>#VALUE!</v>
      </c>
      <c r="N524" s="7" t="e">
        <f t="shared" ca="1" si="60"/>
        <v>#VALUE!</v>
      </c>
      <c r="O524" s="7" t="e">
        <f t="shared" ca="1" si="61"/>
        <v>#VALUE!</v>
      </c>
      <c r="P524" s="7" t="e">
        <f t="shared" ca="1" si="62"/>
        <v>#VALUE!</v>
      </c>
    </row>
    <row r="525" spans="1:16" x14ac:dyDescent="0.25">
      <c r="A525" s="19" t="str">
        <f ca="1">IF(OR(INDIRECT("'" &amp; Master!$F$8 &amp; Master!$F$6 &amp; "'!A" &amp; ROW(A525))="", INDIRECT("'" &amp; Master!$F$8 &amp; Master!$F$6 &amp; "'!A" &amp; ROW(A525))=0), "", INDIRECT("'" &amp; Master!$F$8 &amp; Master!$F$6 &amp; "'!A" &amp; ROW(A525)))</f>
        <v/>
      </c>
      <c r="B525" s="4" t="e">
        <f ca="1">SplineInterp(INDIRECT("A" &amp; ROW()),INDIRECT("'" &amp;Master!$F$10&amp; "'!$A$2:$A$50"),INDIRECT("'" &amp;Master!$F$10&amp; "'!$B$2:$B$50"))</f>
        <v>#VALUE!</v>
      </c>
      <c r="C525" s="4" t="e">
        <f ca="1">SplineInterp(A525,INDIRECT("'" &amp;Master!$F$10&amp; "'!$A$2:$A$50"),INDIRECT("'" &amp;Master!$F$10&amp; "'!$C$2:$C$50"))</f>
        <v>#VALUE!</v>
      </c>
      <c r="D525" s="4" t="e">
        <f ca="1">SplineInterp(A525,INDIRECT("'" &amp;Master!$F$10&amp; "'!$A$2:$A$50"),INDIRECT("'" &amp;Master!$F$10&amp; "'!$D$2:$D$50"))</f>
        <v>#VALUE!</v>
      </c>
      <c r="E525" s="4" t="e">
        <f ca="1">SplineInterp(A525,INDIRECT("'" &amp;Master!$F$10&amp; "'!$A$2:$A$50"),INDIRECT("'" &amp;Master!$F$10&amp; "'!$E$2:$E$50"))</f>
        <v>#VALUE!</v>
      </c>
      <c r="F525" s="4" t="e">
        <f ca="1">SplineInterp(A525,INDIRECT("'" &amp;Master!$F$10&amp; "'!$A$2:$A$50"),INDIRECT("'" &amp;Master!$F$10&amp; "'!$F$2:$F$50"))</f>
        <v>#VALUE!</v>
      </c>
      <c r="G525" s="4" t="e">
        <f ca="1">SplineInterp(A525,INDIRECT("'" &amp;Master!$F$10&amp; "'!$A$2:$A$50"),INDIRECT("'" &amp;Master!$F$10&amp; "'!$G$2:$G$50"))</f>
        <v>#VALUE!</v>
      </c>
      <c r="H525" s="4" t="e">
        <f ca="1">SplineInterp(A525,INDIRECT("'" &amp;Master!$F$10&amp; "'!$A$2:$A$50"),INDIRECT("'" &amp;Master!$F$10&amp; "'!$H$2:$H$50"))</f>
        <v>#VALUE!</v>
      </c>
      <c r="I525" s="4" t="e">
        <f ca="1">IF(OR(INDIRECT("'" &amp; Master!$F$8 &amp; Master!$F$6 &amp; "'!B" &amp; ROW(B525))="", INDIRECT("'" &amp; Master!$F$8 &amp; Master!$F$6 &amp; "'!B" &amp; ROW(B525))=0), "", INDIRECT("'" &amp; Master!$F$8 &amp; Master!$F$6 &amp; "'!B" &amp; ROW(B525)))</f>
        <v>#VALUE!</v>
      </c>
      <c r="J525" s="9" t="e">
        <f t="shared" ca="1" si="56"/>
        <v>#VALUE!</v>
      </c>
      <c r="K525" s="7" t="e">
        <f t="shared" ca="1" si="57"/>
        <v>#VALUE!</v>
      </c>
      <c r="L525" s="7" t="e">
        <f t="shared" ca="1" si="58"/>
        <v>#VALUE!</v>
      </c>
      <c r="M525" s="7" t="e">
        <f t="shared" ca="1" si="59"/>
        <v>#VALUE!</v>
      </c>
      <c r="N525" s="7" t="e">
        <f t="shared" ca="1" si="60"/>
        <v>#VALUE!</v>
      </c>
      <c r="O525" s="7" t="e">
        <f t="shared" ca="1" si="61"/>
        <v>#VALUE!</v>
      </c>
      <c r="P525" s="7" t="e">
        <f t="shared" ca="1" si="62"/>
        <v>#VALUE!</v>
      </c>
    </row>
    <row r="526" spans="1:16" x14ac:dyDescent="0.25">
      <c r="A526" s="19" t="str">
        <f ca="1">IF(OR(INDIRECT("'" &amp; Master!$F$8 &amp; Master!$F$6 &amp; "'!A" &amp; ROW(A526))="", INDIRECT("'" &amp; Master!$F$8 &amp; Master!$F$6 &amp; "'!A" &amp; ROW(A526))=0), "", INDIRECT("'" &amp; Master!$F$8 &amp; Master!$F$6 &amp; "'!A" &amp; ROW(A526)))</f>
        <v/>
      </c>
      <c r="B526" s="4" t="e">
        <f ca="1">SplineInterp(INDIRECT("A" &amp; ROW()),INDIRECT("'" &amp;Master!$F$10&amp; "'!$A$2:$A$50"),INDIRECT("'" &amp;Master!$F$10&amp; "'!$B$2:$B$50"))</f>
        <v>#VALUE!</v>
      </c>
      <c r="C526" s="4" t="e">
        <f ca="1">SplineInterp(A526,INDIRECT("'" &amp;Master!$F$10&amp; "'!$A$2:$A$50"),INDIRECT("'" &amp;Master!$F$10&amp; "'!$C$2:$C$50"))</f>
        <v>#VALUE!</v>
      </c>
      <c r="D526" s="4" t="e">
        <f ca="1">SplineInterp(A526,INDIRECT("'" &amp;Master!$F$10&amp; "'!$A$2:$A$50"),INDIRECT("'" &amp;Master!$F$10&amp; "'!$D$2:$D$50"))</f>
        <v>#VALUE!</v>
      </c>
      <c r="E526" s="4" t="e">
        <f ca="1">SplineInterp(A526,INDIRECT("'" &amp;Master!$F$10&amp; "'!$A$2:$A$50"),INDIRECT("'" &amp;Master!$F$10&amp; "'!$E$2:$E$50"))</f>
        <v>#VALUE!</v>
      </c>
      <c r="F526" s="4" t="e">
        <f ca="1">SplineInterp(A526,INDIRECT("'" &amp;Master!$F$10&amp; "'!$A$2:$A$50"),INDIRECT("'" &amp;Master!$F$10&amp; "'!$F$2:$F$50"))</f>
        <v>#VALUE!</v>
      </c>
      <c r="G526" s="4" t="e">
        <f ca="1">SplineInterp(A526,INDIRECT("'" &amp;Master!$F$10&amp; "'!$A$2:$A$50"),INDIRECT("'" &amp;Master!$F$10&amp; "'!$G$2:$G$50"))</f>
        <v>#VALUE!</v>
      </c>
      <c r="H526" s="4" t="e">
        <f ca="1">SplineInterp(A526,INDIRECT("'" &amp;Master!$F$10&amp; "'!$A$2:$A$50"),INDIRECT("'" &amp;Master!$F$10&amp; "'!$H$2:$H$50"))</f>
        <v>#VALUE!</v>
      </c>
      <c r="I526" s="4" t="e">
        <f ca="1">IF(OR(INDIRECT("'" &amp; Master!$F$8 &amp; Master!$F$6 &amp; "'!B" &amp; ROW(B526))="", INDIRECT("'" &amp; Master!$F$8 &amp; Master!$F$6 &amp; "'!B" &amp; ROW(B526))=0), "", INDIRECT("'" &amp; Master!$F$8 &amp; Master!$F$6 &amp; "'!B" &amp; ROW(B526)))</f>
        <v>#VALUE!</v>
      </c>
      <c r="J526" s="9" t="e">
        <f t="shared" ca="1" si="56"/>
        <v>#VALUE!</v>
      </c>
      <c r="K526" s="7" t="e">
        <f t="shared" ca="1" si="57"/>
        <v>#VALUE!</v>
      </c>
      <c r="L526" s="7" t="e">
        <f t="shared" ca="1" si="58"/>
        <v>#VALUE!</v>
      </c>
      <c r="M526" s="7" t="e">
        <f t="shared" ca="1" si="59"/>
        <v>#VALUE!</v>
      </c>
      <c r="N526" s="7" t="e">
        <f t="shared" ca="1" si="60"/>
        <v>#VALUE!</v>
      </c>
      <c r="O526" s="7" t="e">
        <f t="shared" ca="1" si="61"/>
        <v>#VALUE!</v>
      </c>
      <c r="P526" s="7" t="e">
        <f t="shared" ca="1" si="62"/>
        <v>#VALUE!</v>
      </c>
    </row>
    <row r="527" spans="1:16" x14ac:dyDescent="0.25">
      <c r="A527" s="19" t="str">
        <f ca="1">IF(OR(INDIRECT("'" &amp; Master!$F$8 &amp; Master!$F$6 &amp; "'!A" &amp; ROW(A527))="", INDIRECT("'" &amp; Master!$F$8 &amp; Master!$F$6 &amp; "'!A" &amp; ROW(A527))=0), "", INDIRECT("'" &amp; Master!$F$8 &amp; Master!$F$6 &amp; "'!A" &amp; ROW(A527)))</f>
        <v/>
      </c>
      <c r="B527" s="4" t="e">
        <f ca="1">SplineInterp(INDIRECT("A" &amp; ROW()),INDIRECT("'" &amp;Master!$F$10&amp; "'!$A$2:$A$50"),INDIRECT("'" &amp;Master!$F$10&amp; "'!$B$2:$B$50"))</f>
        <v>#VALUE!</v>
      </c>
      <c r="C527" s="4" t="e">
        <f ca="1">SplineInterp(A527,INDIRECT("'" &amp;Master!$F$10&amp; "'!$A$2:$A$50"),INDIRECT("'" &amp;Master!$F$10&amp; "'!$C$2:$C$50"))</f>
        <v>#VALUE!</v>
      </c>
      <c r="D527" s="4" t="e">
        <f ca="1">SplineInterp(A527,INDIRECT("'" &amp;Master!$F$10&amp; "'!$A$2:$A$50"),INDIRECT("'" &amp;Master!$F$10&amp; "'!$D$2:$D$50"))</f>
        <v>#VALUE!</v>
      </c>
      <c r="E527" s="4" t="e">
        <f ca="1">SplineInterp(A527,INDIRECT("'" &amp;Master!$F$10&amp; "'!$A$2:$A$50"),INDIRECT("'" &amp;Master!$F$10&amp; "'!$E$2:$E$50"))</f>
        <v>#VALUE!</v>
      </c>
      <c r="F527" s="4" t="e">
        <f ca="1">SplineInterp(A527,INDIRECT("'" &amp;Master!$F$10&amp; "'!$A$2:$A$50"),INDIRECT("'" &amp;Master!$F$10&amp; "'!$F$2:$F$50"))</f>
        <v>#VALUE!</v>
      </c>
      <c r="G527" s="4" t="e">
        <f ca="1">SplineInterp(A527,INDIRECT("'" &amp;Master!$F$10&amp; "'!$A$2:$A$50"),INDIRECT("'" &amp;Master!$F$10&amp; "'!$G$2:$G$50"))</f>
        <v>#VALUE!</v>
      </c>
      <c r="H527" s="4" t="e">
        <f ca="1">SplineInterp(A527,INDIRECT("'" &amp;Master!$F$10&amp; "'!$A$2:$A$50"),INDIRECT("'" &amp;Master!$F$10&amp; "'!$H$2:$H$50"))</f>
        <v>#VALUE!</v>
      </c>
      <c r="I527" s="4" t="e">
        <f ca="1">IF(OR(INDIRECT("'" &amp; Master!$F$8 &amp; Master!$F$6 &amp; "'!B" &amp; ROW(B527))="", INDIRECT("'" &amp; Master!$F$8 &amp; Master!$F$6 &amp; "'!B" &amp; ROW(B527))=0), "", INDIRECT("'" &amp; Master!$F$8 &amp; Master!$F$6 &amp; "'!B" &amp; ROW(B527)))</f>
        <v>#VALUE!</v>
      </c>
      <c r="J527" s="9" t="e">
        <f t="shared" ca="1" si="56"/>
        <v>#VALUE!</v>
      </c>
      <c r="K527" s="7" t="e">
        <f t="shared" ca="1" si="57"/>
        <v>#VALUE!</v>
      </c>
      <c r="L527" s="7" t="e">
        <f t="shared" ca="1" si="58"/>
        <v>#VALUE!</v>
      </c>
      <c r="M527" s="7" t="e">
        <f t="shared" ca="1" si="59"/>
        <v>#VALUE!</v>
      </c>
      <c r="N527" s="7" t="e">
        <f t="shared" ca="1" si="60"/>
        <v>#VALUE!</v>
      </c>
      <c r="O527" s="7" t="e">
        <f t="shared" ca="1" si="61"/>
        <v>#VALUE!</v>
      </c>
      <c r="P527" s="7" t="e">
        <f t="shared" ca="1" si="62"/>
        <v>#VALUE!</v>
      </c>
    </row>
    <row r="528" spans="1:16" x14ac:dyDescent="0.25">
      <c r="A528" s="19" t="str">
        <f ca="1">IF(OR(INDIRECT("'" &amp; Master!$F$8 &amp; Master!$F$6 &amp; "'!A" &amp; ROW(A528))="", INDIRECT("'" &amp; Master!$F$8 &amp; Master!$F$6 &amp; "'!A" &amp; ROW(A528))=0), "", INDIRECT("'" &amp; Master!$F$8 &amp; Master!$F$6 &amp; "'!A" &amp; ROW(A528)))</f>
        <v/>
      </c>
      <c r="B528" s="4" t="e">
        <f ca="1">SplineInterp(INDIRECT("A" &amp; ROW()),INDIRECT("'" &amp;Master!$F$10&amp; "'!$A$2:$A$50"),INDIRECT("'" &amp;Master!$F$10&amp; "'!$B$2:$B$50"))</f>
        <v>#VALUE!</v>
      </c>
      <c r="C528" s="4" t="e">
        <f ca="1">SplineInterp(A528,INDIRECT("'" &amp;Master!$F$10&amp; "'!$A$2:$A$50"),INDIRECT("'" &amp;Master!$F$10&amp; "'!$C$2:$C$50"))</f>
        <v>#VALUE!</v>
      </c>
      <c r="D528" s="4" t="e">
        <f ca="1">SplineInterp(A528,INDIRECT("'" &amp;Master!$F$10&amp; "'!$A$2:$A$50"),INDIRECT("'" &amp;Master!$F$10&amp; "'!$D$2:$D$50"))</f>
        <v>#VALUE!</v>
      </c>
      <c r="E528" s="4" t="e">
        <f ca="1">SplineInterp(A528,INDIRECT("'" &amp;Master!$F$10&amp; "'!$A$2:$A$50"),INDIRECT("'" &amp;Master!$F$10&amp; "'!$E$2:$E$50"))</f>
        <v>#VALUE!</v>
      </c>
      <c r="F528" s="4" t="e">
        <f ca="1">SplineInterp(A528,INDIRECT("'" &amp;Master!$F$10&amp; "'!$A$2:$A$50"),INDIRECT("'" &amp;Master!$F$10&amp; "'!$F$2:$F$50"))</f>
        <v>#VALUE!</v>
      </c>
      <c r="G528" s="4" t="e">
        <f ca="1">SplineInterp(A528,INDIRECT("'" &amp;Master!$F$10&amp; "'!$A$2:$A$50"),INDIRECT("'" &amp;Master!$F$10&amp; "'!$G$2:$G$50"))</f>
        <v>#VALUE!</v>
      </c>
      <c r="H528" s="4" t="e">
        <f ca="1">SplineInterp(A528,INDIRECT("'" &amp;Master!$F$10&amp; "'!$A$2:$A$50"),INDIRECT("'" &amp;Master!$F$10&amp; "'!$H$2:$H$50"))</f>
        <v>#VALUE!</v>
      </c>
      <c r="I528" s="4" t="e">
        <f ca="1">IF(OR(INDIRECT("'" &amp; Master!$F$8 &amp; Master!$F$6 &amp; "'!B" &amp; ROW(B528))="", INDIRECT("'" &amp; Master!$F$8 &amp; Master!$F$6 &amp; "'!B" &amp; ROW(B528))=0), "", INDIRECT("'" &amp; Master!$F$8 &amp; Master!$F$6 &amp; "'!B" &amp; ROW(B528)))</f>
        <v>#VALUE!</v>
      </c>
      <c r="J528" s="9" t="e">
        <f t="shared" ca="1" si="56"/>
        <v>#VALUE!</v>
      </c>
      <c r="K528" s="7" t="e">
        <f t="shared" ca="1" si="57"/>
        <v>#VALUE!</v>
      </c>
      <c r="L528" s="7" t="e">
        <f t="shared" ca="1" si="58"/>
        <v>#VALUE!</v>
      </c>
      <c r="M528" s="7" t="e">
        <f t="shared" ca="1" si="59"/>
        <v>#VALUE!</v>
      </c>
      <c r="N528" s="7" t="e">
        <f t="shared" ca="1" si="60"/>
        <v>#VALUE!</v>
      </c>
      <c r="O528" s="7" t="e">
        <f t="shared" ca="1" si="61"/>
        <v>#VALUE!</v>
      </c>
      <c r="P528" s="7" t="e">
        <f t="shared" ca="1" si="62"/>
        <v>#VALUE!</v>
      </c>
    </row>
    <row r="529" spans="1:16" x14ac:dyDescent="0.25">
      <c r="A529" s="19" t="str">
        <f ca="1">IF(OR(INDIRECT("'" &amp; Master!$F$8 &amp; Master!$F$6 &amp; "'!A" &amp; ROW(A529))="", INDIRECT("'" &amp; Master!$F$8 &amp; Master!$F$6 &amp; "'!A" &amp; ROW(A529))=0), "", INDIRECT("'" &amp; Master!$F$8 &amp; Master!$F$6 &amp; "'!A" &amp; ROW(A529)))</f>
        <v/>
      </c>
      <c r="B529" s="4" t="e">
        <f ca="1">SplineInterp(INDIRECT("A" &amp; ROW()),INDIRECT("'" &amp;Master!$F$10&amp; "'!$A$2:$A$50"),INDIRECT("'" &amp;Master!$F$10&amp; "'!$B$2:$B$50"))</f>
        <v>#VALUE!</v>
      </c>
      <c r="C529" s="4" t="e">
        <f ca="1">SplineInterp(A529,INDIRECT("'" &amp;Master!$F$10&amp; "'!$A$2:$A$50"),INDIRECT("'" &amp;Master!$F$10&amp; "'!$C$2:$C$50"))</f>
        <v>#VALUE!</v>
      </c>
      <c r="D529" s="4" t="e">
        <f ca="1">SplineInterp(A529,INDIRECT("'" &amp;Master!$F$10&amp; "'!$A$2:$A$50"),INDIRECT("'" &amp;Master!$F$10&amp; "'!$D$2:$D$50"))</f>
        <v>#VALUE!</v>
      </c>
      <c r="E529" s="4" t="e">
        <f ca="1">SplineInterp(A529,INDIRECT("'" &amp;Master!$F$10&amp; "'!$A$2:$A$50"),INDIRECT("'" &amp;Master!$F$10&amp; "'!$E$2:$E$50"))</f>
        <v>#VALUE!</v>
      </c>
      <c r="F529" s="4" t="e">
        <f ca="1">SplineInterp(A529,INDIRECT("'" &amp;Master!$F$10&amp; "'!$A$2:$A$50"),INDIRECT("'" &amp;Master!$F$10&amp; "'!$F$2:$F$50"))</f>
        <v>#VALUE!</v>
      </c>
      <c r="G529" s="4" t="e">
        <f ca="1">SplineInterp(A529,INDIRECT("'" &amp;Master!$F$10&amp; "'!$A$2:$A$50"),INDIRECT("'" &amp;Master!$F$10&amp; "'!$G$2:$G$50"))</f>
        <v>#VALUE!</v>
      </c>
      <c r="H529" s="4" t="e">
        <f ca="1">SplineInterp(A529,INDIRECT("'" &amp;Master!$F$10&amp; "'!$A$2:$A$50"),INDIRECT("'" &amp;Master!$F$10&amp; "'!$H$2:$H$50"))</f>
        <v>#VALUE!</v>
      </c>
      <c r="I529" s="4" t="e">
        <f ca="1">IF(OR(INDIRECT("'" &amp; Master!$F$8 &amp; Master!$F$6 &amp; "'!B" &amp; ROW(B529))="", INDIRECT("'" &amp; Master!$F$8 &amp; Master!$F$6 &amp; "'!B" &amp; ROW(B529))=0), "", INDIRECT("'" &amp; Master!$F$8 &amp; Master!$F$6 &amp; "'!B" &amp; ROW(B529)))</f>
        <v>#VALUE!</v>
      </c>
      <c r="J529" s="9" t="e">
        <f t="shared" ca="1" si="56"/>
        <v>#VALUE!</v>
      </c>
      <c r="K529" s="7" t="e">
        <f t="shared" ca="1" si="57"/>
        <v>#VALUE!</v>
      </c>
      <c r="L529" s="7" t="e">
        <f t="shared" ca="1" si="58"/>
        <v>#VALUE!</v>
      </c>
      <c r="M529" s="7" t="e">
        <f t="shared" ca="1" si="59"/>
        <v>#VALUE!</v>
      </c>
      <c r="N529" s="7" t="e">
        <f t="shared" ca="1" si="60"/>
        <v>#VALUE!</v>
      </c>
      <c r="O529" s="7" t="e">
        <f t="shared" ca="1" si="61"/>
        <v>#VALUE!</v>
      </c>
      <c r="P529" s="7" t="e">
        <f t="shared" ca="1" si="62"/>
        <v>#VALUE!</v>
      </c>
    </row>
    <row r="530" spans="1:16" x14ac:dyDescent="0.25">
      <c r="A530" s="19" t="str">
        <f ca="1">IF(OR(INDIRECT("'" &amp; Master!$F$8 &amp; Master!$F$6 &amp; "'!A" &amp; ROW(A530))="", INDIRECT("'" &amp; Master!$F$8 &amp; Master!$F$6 &amp; "'!A" &amp; ROW(A530))=0), "", INDIRECT("'" &amp; Master!$F$8 &amp; Master!$F$6 &amp; "'!A" &amp; ROW(A530)))</f>
        <v/>
      </c>
      <c r="B530" s="4" t="e">
        <f ca="1">SplineInterp(INDIRECT("A" &amp; ROW()),INDIRECT("'" &amp;Master!$F$10&amp; "'!$A$2:$A$50"),INDIRECT("'" &amp;Master!$F$10&amp; "'!$B$2:$B$50"))</f>
        <v>#VALUE!</v>
      </c>
      <c r="C530" s="4" t="e">
        <f ca="1">SplineInterp(A530,INDIRECT("'" &amp;Master!$F$10&amp; "'!$A$2:$A$50"),INDIRECT("'" &amp;Master!$F$10&amp; "'!$C$2:$C$50"))</f>
        <v>#VALUE!</v>
      </c>
      <c r="D530" s="4" t="e">
        <f ca="1">SplineInterp(A530,INDIRECT("'" &amp;Master!$F$10&amp; "'!$A$2:$A$50"),INDIRECT("'" &amp;Master!$F$10&amp; "'!$D$2:$D$50"))</f>
        <v>#VALUE!</v>
      </c>
      <c r="E530" s="4" t="e">
        <f ca="1">SplineInterp(A530,INDIRECT("'" &amp;Master!$F$10&amp; "'!$A$2:$A$50"),INDIRECT("'" &amp;Master!$F$10&amp; "'!$E$2:$E$50"))</f>
        <v>#VALUE!</v>
      </c>
      <c r="F530" s="4" t="e">
        <f ca="1">SplineInterp(A530,INDIRECT("'" &amp;Master!$F$10&amp; "'!$A$2:$A$50"),INDIRECT("'" &amp;Master!$F$10&amp; "'!$F$2:$F$50"))</f>
        <v>#VALUE!</v>
      </c>
      <c r="G530" s="4" t="e">
        <f ca="1">SplineInterp(A530,INDIRECT("'" &amp;Master!$F$10&amp; "'!$A$2:$A$50"),INDIRECT("'" &amp;Master!$F$10&amp; "'!$G$2:$G$50"))</f>
        <v>#VALUE!</v>
      </c>
      <c r="H530" s="4" t="e">
        <f ca="1">SplineInterp(A530,INDIRECT("'" &amp;Master!$F$10&amp; "'!$A$2:$A$50"),INDIRECT("'" &amp;Master!$F$10&amp; "'!$H$2:$H$50"))</f>
        <v>#VALUE!</v>
      </c>
      <c r="I530" s="4" t="e">
        <f ca="1">IF(OR(INDIRECT("'" &amp; Master!$F$8 &amp; Master!$F$6 &amp; "'!B" &amp; ROW(B530))="", INDIRECT("'" &amp; Master!$F$8 &amp; Master!$F$6 &amp; "'!B" &amp; ROW(B530))=0), "", INDIRECT("'" &amp; Master!$F$8 &amp; Master!$F$6 &amp; "'!B" &amp; ROW(B530)))</f>
        <v>#VALUE!</v>
      </c>
      <c r="J530" s="9" t="e">
        <f t="shared" ca="1" si="56"/>
        <v>#VALUE!</v>
      </c>
      <c r="K530" s="7" t="e">
        <f t="shared" ca="1" si="57"/>
        <v>#VALUE!</v>
      </c>
      <c r="L530" s="7" t="e">
        <f t="shared" ca="1" si="58"/>
        <v>#VALUE!</v>
      </c>
      <c r="M530" s="7" t="e">
        <f t="shared" ca="1" si="59"/>
        <v>#VALUE!</v>
      </c>
      <c r="N530" s="7" t="e">
        <f t="shared" ca="1" si="60"/>
        <v>#VALUE!</v>
      </c>
      <c r="O530" s="7" t="e">
        <f t="shared" ca="1" si="61"/>
        <v>#VALUE!</v>
      </c>
      <c r="P530" s="7" t="e">
        <f t="shared" ca="1" si="62"/>
        <v>#VALUE!</v>
      </c>
    </row>
    <row r="531" spans="1:16" x14ac:dyDescent="0.25">
      <c r="A531" s="19" t="str">
        <f ca="1">IF(OR(INDIRECT("'" &amp; Master!$F$8 &amp; Master!$F$6 &amp; "'!A" &amp; ROW(A531))="", INDIRECT("'" &amp; Master!$F$8 &amp; Master!$F$6 &amp; "'!A" &amp; ROW(A531))=0), "", INDIRECT("'" &amp; Master!$F$8 &amp; Master!$F$6 &amp; "'!A" &amp; ROW(A531)))</f>
        <v/>
      </c>
      <c r="B531" s="4" t="e">
        <f ca="1">SplineInterp(INDIRECT("A" &amp; ROW()),INDIRECT("'" &amp;Master!$F$10&amp; "'!$A$2:$A$50"),INDIRECT("'" &amp;Master!$F$10&amp; "'!$B$2:$B$50"))</f>
        <v>#VALUE!</v>
      </c>
      <c r="C531" s="4" t="e">
        <f ca="1">SplineInterp(A531,INDIRECT("'" &amp;Master!$F$10&amp; "'!$A$2:$A$50"),INDIRECT("'" &amp;Master!$F$10&amp; "'!$C$2:$C$50"))</f>
        <v>#VALUE!</v>
      </c>
      <c r="D531" s="4" t="e">
        <f ca="1">SplineInterp(A531,INDIRECT("'" &amp;Master!$F$10&amp; "'!$A$2:$A$50"),INDIRECT("'" &amp;Master!$F$10&amp; "'!$D$2:$D$50"))</f>
        <v>#VALUE!</v>
      </c>
      <c r="E531" s="4" t="e">
        <f ca="1">SplineInterp(A531,INDIRECT("'" &amp;Master!$F$10&amp; "'!$A$2:$A$50"),INDIRECT("'" &amp;Master!$F$10&amp; "'!$E$2:$E$50"))</f>
        <v>#VALUE!</v>
      </c>
      <c r="F531" s="4" t="e">
        <f ca="1">SplineInterp(A531,INDIRECT("'" &amp;Master!$F$10&amp; "'!$A$2:$A$50"),INDIRECT("'" &amp;Master!$F$10&amp; "'!$F$2:$F$50"))</f>
        <v>#VALUE!</v>
      </c>
      <c r="G531" s="4" t="e">
        <f ca="1">SplineInterp(A531,INDIRECT("'" &amp;Master!$F$10&amp; "'!$A$2:$A$50"),INDIRECT("'" &amp;Master!$F$10&amp; "'!$G$2:$G$50"))</f>
        <v>#VALUE!</v>
      </c>
      <c r="H531" s="4" t="e">
        <f ca="1">SplineInterp(A531,INDIRECT("'" &amp;Master!$F$10&amp; "'!$A$2:$A$50"),INDIRECT("'" &amp;Master!$F$10&amp; "'!$H$2:$H$50"))</f>
        <v>#VALUE!</v>
      </c>
      <c r="I531" s="4" t="e">
        <f ca="1">IF(OR(INDIRECT("'" &amp; Master!$F$8 &amp; Master!$F$6 &amp; "'!B" &amp; ROW(B531))="", INDIRECT("'" &amp; Master!$F$8 &amp; Master!$F$6 &amp; "'!B" &amp; ROW(B531))=0), "", INDIRECT("'" &amp; Master!$F$8 &amp; Master!$F$6 &amp; "'!B" &amp; ROW(B531)))</f>
        <v>#VALUE!</v>
      </c>
      <c r="J531" s="9" t="e">
        <f t="shared" ca="1" si="56"/>
        <v>#VALUE!</v>
      </c>
      <c r="K531" s="7" t="e">
        <f t="shared" ca="1" si="57"/>
        <v>#VALUE!</v>
      </c>
      <c r="L531" s="7" t="e">
        <f t="shared" ca="1" si="58"/>
        <v>#VALUE!</v>
      </c>
      <c r="M531" s="7" t="e">
        <f t="shared" ca="1" si="59"/>
        <v>#VALUE!</v>
      </c>
      <c r="N531" s="7" t="e">
        <f t="shared" ca="1" si="60"/>
        <v>#VALUE!</v>
      </c>
      <c r="O531" s="7" t="e">
        <f t="shared" ca="1" si="61"/>
        <v>#VALUE!</v>
      </c>
      <c r="P531" s="7" t="e">
        <f t="shared" ca="1" si="62"/>
        <v>#VALUE!</v>
      </c>
    </row>
    <row r="532" spans="1:16" x14ac:dyDescent="0.25">
      <c r="A532" s="19" t="str">
        <f ca="1">IF(OR(INDIRECT("'" &amp; Master!$F$8 &amp; Master!$F$6 &amp; "'!A" &amp; ROW(A532))="", INDIRECT("'" &amp; Master!$F$8 &amp; Master!$F$6 &amp; "'!A" &amp; ROW(A532))=0), "", INDIRECT("'" &amp; Master!$F$8 &amp; Master!$F$6 &amp; "'!A" &amp; ROW(A532)))</f>
        <v/>
      </c>
      <c r="B532" s="4" t="e">
        <f ca="1">SplineInterp(INDIRECT("A" &amp; ROW()),INDIRECT("'" &amp;Master!$F$10&amp; "'!$A$2:$A$50"),INDIRECT("'" &amp;Master!$F$10&amp; "'!$B$2:$B$50"))</f>
        <v>#VALUE!</v>
      </c>
      <c r="C532" s="4" t="e">
        <f ca="1">SplineInterp(A532,INDIRECT("'" &amp;Master!$F$10&amp; "'!$A$2:$A$50"),INDIRECT("'" &amp;Master!$F$10&amp; "'!$C$2:$C$50"))</f>
        <v>#VALUE!</v>
      </c>
      <c r="D532" s="4" t="e">
        <f ca="1">SplineInterp(A532,INDIRECT("'" &amp;Master!$F$10&amp; "'!$A$2:$A$50"),INDIRECT("'" &amp;Master!$F$10&amp; "'!$D$2:$D$50"))</f>
        <v>#VALUE!</v>
      </c>
      <c r="E532" s="4" t="e">
        <f ca="1">SplineInterp(A532,INDIRECT("'" &amp;Master!$F$10&amp; "'!$A$2:$A$50"),INDIRECT("'" &amp;Master!$F$10&amp; "'!$E$2:$E$50"))</f>
        <v>#VALUE!</v>
      </c>
      <c r="F532" s="4" t="e">
        <f ca="1">SplineInterp(A532,INDIRECT("'" &amp;Master!$F$10&amp; "'!$A$2:$A$50"),INDIRECT("'" &amp;Master!$F$10&amp; "'!$F$2:$F$50"))</f>
        <v>#VALUE!</v>
      </c>
      <c r="G532" s="4" t="e">
        <f ca="1">SplineInterp(A532,INDIRECT("'" &amp;Master!$F$10&amp; "'!$A$2:$A$50"),INDIRECT("'" &amp;Master!$F$10&amp; "'!$G$2:$G$50"))</f>
        <v>#VALUE!</v>
      </c>
      <c r="H532" s="4" t="e">
        <f ca="1">SplineInterp(A532,INDIRECT("'" &amp;Master!$F$10&amp; "'!$A$2:$A$50"),INDIRECT("'" &amp;Master!$F$10&amp; "'!$H$2:$H$50"))</f>
        <v>#VALUE!</v>
      </c>
      <c r="I532" s="4" t="e">
        <f ca="1">IF(OR(INDIRECT("'" &amp; Master!$F$8 &amp; Master!$F$6 &amp; "'!B" &amp; ROW(B532))="", INDIRECT("'" &amp; Master!$F$8 &amp; Master!$F$6 &amp; "'!B" &amp; ROW(B532))=0), "", INDIRECT("'" &amp; Master!$F$8 &amp; Master!$F$6 &amp; "'!B" &amp; ROW(B532)))</f>
        <v>#VALUE!</v>
      </c>
      <c r="J532" s="9" t="e">
        <f t="shared" ca="1" si="56"/>
        <v>#VALUE!</v>
      </c>
      <c r="K532" s="7" t="e">
        <f t="shared" ca="1" si="57"/>
        <v>#VALUE!</v>
      </c>
      <c r="L532" s="7" t="e">
        <f t="shared" ca="1" si="58"/>
        <v>#VALUE!</v>
      </c>
      <c r="M532" s="7" t="e">
        <f t="shared" ca="1" si="59"/>
        <v>#VALUE!</v>
      </c>
      <c r="N532" s="7" t="e">
        <f t="shared" ca="1" si="60"/>
        <v>#VALUE!</v>
      </c>
      <c r="O532" s="7" t="e">
        <f t="shared" ca="1" si="61"/>
        <v>#VALUE!</v>
      </c>
      <c r="P532" s="7" t="e">
        <f t="shared" ca="1" si="62"/>
        <v>#VALUE!</v>
      </c>
    </row>
    <row r="533" spans="1:16" x14ac:dyDescent="0.25">
      <c r="A533" s="19" t="str">
        <f ca="1">IF(OR(INDIRECT("'" &amp; Master!$F$8 &amp; Master!$F$6 &amp; "'!A" &amp; ROW(A533))="", INDIRECT("'" &amp; Master!$F$8 &amp; Master!$F$6 &amp; "'!A" &amp; ROW(A533))=0), "", INDIRECT("'" &amp; Master!$F$8 &amp; Master!$F$6 &amp; "'!A" &amp; ROW(A533)))</f>
        <v/>
      </c>
      <c r="B533" s="4" t="e">
        <f ca="1">SplineInterp(INDIRECT("A" &amp; ROW()),INDIRECT("'" &amp;Master!$F$10&amp; "'!$A$2:$A$50"),INDIRECT("'" &amp;Master!$F$10&amp; "'!$B$2:$B$50"))</f>
        <v>#VALUE!</v>
      </c>
      <c r="C533" s="4" t="e">
        <f ca="1">SplineInterp(A533,INDIRECT("'" &amp;Master!$F$10&amp; "'!$A$2:$A$50"),INDIRECT("'" &amp;Master!$F$10&amp; "'!$C$2:$C$50"))</f>
        <v>#VALUE!</v>
      </c>
      <c r="D533" s="4" t="e">
        <f ca="1">SplineInterp(A533,INDIRECT("'" &amp;Master!$F$10&amp; "'!$A$2:$A$50"),INDIRECT("'" &amp;Master!$F$10&amp; "'!$D$2:$D$50"))</f>
        <v>#VALUE!</v>
      </c>
      <c r="E533" s="4" t="e">
        <f ca="1">SplineInterp(A533,INDIRECT("'" &amp;Master!$F$10&amp; "'!$A$2:$A$50"),INDIRECT("'" &amp;Master!$F$10&amp; "'!$E$2:$E$50"))</f>
        <v>#VALUE!</v>
      </c>
      <c r="F533" s="4" t="e">
        <f ca="1">SplineInterp(A533,INDIRECT("'" &amp;Master!$F$10&amp; "'!$A$2:$A$50"),INDIRECT("'" &amp;Master!$F$10&amp; "'!$F$2:$F$50"))</f>
        <v>#VALUE!</v>
      </c>
      <c r="G533" s="4" t="e">
        <f ca="1">SplineInterp(A533,INDIRECT("'" &amp;Master!$F$10&amp; "'!$A$2:$A$50"),INDIRECT("'" &amp;Master!$F$10&amp; "'!$G$2:$G$50"))</f>
        <v>#VALUE!</v>
      </c>
      <c r="H533" s="4" t="e">
        <f ca="1">SplineInterp(A533,INDIRECT("'" &amp;Master!$F$10&amp; "'!$A$2:$A$50"),INDIRECT("'" &amp;Master!$F$10&amp; "'!$H$2:$H$50"))</f>
        <v>#VALUE!</v>
      </c>
      <c r="I533" s="4" t="e">
        <f ca="1">IF(OR(INDIRECT("'" &amp; Master!$F$8 &amp; Master!$F$6 &amp; "'!B" &amp; ROW(B533))="", INDIRECT("'" &amp; Master!$F$8 &amp; Master!$F$6 &amp; "'!B" &amp; ROW(B533))=0), "", INDIRECT("'" &amp; Master!$F$8 &amp; Master!$F$6 &amp; "'!B" &amp; ROW(B533)))</f>
        <v>#VALUE!</v>
      </c>
      <c r="J533" s="9" t="e">
        <f t="shared" ca="1" si="56"/>
        <v>#VALUE!</v>
      </c>
      <c r="K533" s="7" t="e">
        <f t="shared" ca="1" si="57"/>
        <v>#VALUE!</v>
      </c>
      <c r="L533" s="7" t="e">
        <f t="shared" ca="1" si="58"/>
        <v>#VALUE!</v>
      </c>
      <c r="M533" s="7" t="e">
        <f t="shared" ca="1" si="59"/>
        <v>#VALUE!</v>
      </c>
      <c r="N533" s="7" t="e">
        <f t="shared" ca="1" si="60"/>
        <v>#VALUE!</v>
      </c>
      <c r="O533" s="7" t="e">
        <f t="shared" ca="1" si="61"/>
        <v>#VALUE!</v>
      </c>
      <c r="P533" s="7" t="e">
        <f t="shared" ca="1" si="62"/>
        <v>#VALUE!</v>
      </c>
    </row>
    <row r="534" spans="1:16" x14ac:dyDescent="0.25">
      <c r="A534" s="19" t="str">
        <f ca="1">IF(OR(INDIRECT("'" &amp; Master!$F$8 &amp; Master!$F$6 &amp; "'!A" &amp; ROW(A534))="", INDIRECT("'" &amp; Master!$F$8 &amp; Master!$F$6 &amp; "'!A" &amp; ROW(A534))=0), "", INDIRECT("'" &amp; Master!$F$8 &amp; Master!$F$6 &amp; "'!A" &amp; ROW(A534)))</f>
        <v/>
      </c>
      <c r="B534" s="4" t="e">
        <f ca="1">SplineInterp(INDIRECT("A" &amp; ROW()),INDIRECT("'" &amp;Master!$F$10&amp; "'!$A$2:$A$50"),INDIRECT("'" &amp;Master!$F$10&amp; "'!$B$2:$B$50"))</f>
        <v>#VALUE!</v>
      </c>
      <c r="C534" s="4" t="e">
        <f ca="1">SplineInterp(A534,INDIRECT("'" &amp;Master!$F$10&amp; "'!$A$2:$A$50"),INDIRECT("'" &amp;Master!$F$10&amp; "'!$C$2:$C$50"))</f>
        <v>#VALUE!</v>
      </c>
      <c r="D534" s="4" t="e">
        <f ca="1">SplineInterp(A534,INDIRECT("'" &amp;Master!$F$10&amp; "'!$A$2:$A$50"),INDIRECT("'" &amp;Master!$F$10&amp; "'!$D$2:$D$50"))</f>
        <v>#VALUE!</v>
      </c>
      <c r="E534" s="4" t="e">
        <f ca="1">SplineInterp(A534,INDIRECT("'" &amp;Master!$F$10&amp; "'!$A$2:$A$50"),INDIRECT("'" &amp;Master!$F$10&amp; "'!$E$2:$E$50"))</f>
        <v>#VALUE!</v>
      </c>
      <c r="F534" s="4" t="e">
        <f ca="1">SplineInterp(A534,INDIRECT("'" &amp;Master!$F$10&amp; "'!$A$2:$A$50"),INDIRECT("'" &amp;Master!$F$10&amp; "'!$F$2:$F$50"))</f>
        <v>#VALUE!</v>
      </c>
      <c r="G534" s="4" t="e">
        <f ca="1">SplineInterp(A534,INDIRECT("'" &amp;Master!$F$10&amp; "'!$A$2:$A$50"),INDIRECT("'" &amp;Master!$F$10&amp; "'!$G$2:$G$50"))</f>
        <v>#VALUE!</v>
      </c>
      <c r="H534" s="4" t="e">
        <f ca="1">SplineInterp(A534,INDIRECT("'" &amp;Master!$F$10&amp; "'!$A$2:$A$50"),INDIRECT("'" &amp;Master!$F$10&amp; "'!$H$2:$H$50"))</f>
        <v>#VALUE!</v>
      </c>
      <c r="I534" s="4" t="e">
        <f ca="1">IF(OR(INDIRECT("'" &amp; Master!$F$8 &amp; Master!$F$6 &amp; "'!B" &amp; ROW(B534))="", INDIRECT("'" &amp; Master!$F$8 &amp; Master!$F$6 &amp; "'!B" &amp; ROW(B534))=0), "", INDIRECT("'" &amp; Master!$F$8 &amp; Master!$F$6 &amp; "'!B" &amp; ROW(B534)))</f>
        <v>#VALUE!</v>
      </c>
      <c r="J534" s="9" t="e">
        <f t="shared" ca="1" si="56"/>
        <v>#VALUE!</v>
      </c>
      <c r="K534" s="7" t="e">
        <f t="shared" ca="1" si="57"/>
        <v>#VALUE!</v>
      </c>
      <c r="L534" s="7" t="e">
        <f t="shared" ca="1" si="58"/>
        <v>#VALUE!</v>
      </c>
      <c r="M534" s="7" t="e">
        <f t="shared" ca="1" si="59"/>
        <v>#VALUE!</v>
      </c>
      <c r="N534" s="7" t="e">
        <f t="shared" ca="1" si="60"/>
        <v>#VALUE!</v>
      </c>
      <c r="O534" s="7" t="e">
        <f t="shared" ca="1" si="61"/>
        <v>#VALUE!</v>
      </c>
      <c r="P534" s="7" t="e">
        <f t="shared" ca="1" si="62"/>
        <v>#VALUE!</v>
      </c>
    </row>
    <row r="535" spans="1:16" x14ac:dyDescent="0.25">
      <c r="A535" s="19" t="str">
        <f ca="1">IF(OR(INDIRECT("'" &amp; Master!$F$8 &amp; Master!$F$6 &amp; "'!A" &amp; ROW(A535))="", INDIRECT("'" &amp; Master!$F$8 &amp; Master!$F$6 &amp; "'!A" &amp; ROW(A535))=0), "", INDIRECT("'" &amp; Master!$F$8 &amp; Master!$F$6 &amp; "'!A" &amp; ROW(A535)))</f>
        <v/>
      </c>
      <c r="B535" s="4" t="e">
        <f ca="1">SplineInterp(INDIRECT("A" &amp; ROW()),INDIRECT("'" &amp;Master!$F$10&amp; "'!$A$2:$A$50"),INDIRECT("'" &amp;Master!$F$10&amp; "'!$B$2:$B$50"))</f>
        <v>#VALUE!</v>
      </c>
      <c r="C535" s="4" t="e">
        <f ca="1">SplineInterp(A535,INDIRECT("'" &amp;Master!$F$10&amp; "'!$A$2:$A$50"),INDIRECT("'" &amp;Master!$F$10&amp; "'!$C$2:$C$50"))</f>
        <v>#VALUE!</v>
      </c>
      <c r="D535" s="4" t="e">
        <f ca="1">SplineInterp(A535,INDIRECT("'" &amp;Master!$F$10&amp; "'!$A$2:$A$50"),INDIRECT("'" &amp;Master!$F$10&amp; "'!$D$2:$D$50"))</f>
        <v>#VALUE!</v>
      </c>
      <c r="E535" s="4" t="e">
        <f ca="1">SplineInterp(A535,INDIRECT("'" &amp;Master!$F$10&amp; "'!$A$2:$A$50"),INDIRECT("'" &amp;Master!$F$10&amp; "'!$E$2:$E$50"))</f>
        <v>#VALUE!</v>
      </c>
      <c r="F535" s="4" t="e">
        <f ca="1">SplineInterp(A535,INDIRECT("'" &amp;Master!$F$10&amp; "'!$A$2:$A$50"),INDIRECT("'" &amp;Master!$F$10&amp; "'!$F$2:$F$50"))</f>
        <v>#VALUE!</v>
      </c>
      <c r="G535" s="4" t="e">
        <f ca="1">SplineInterp(A535,INDIRECT("'" &amp;Master!$F$10&amp; "'!$A$2:$A$50"),INDIRECT("'" &amp;Master!$F$10&amp; "'!$G$2:$G$50"))</f>
        <v>#VALUE!</v>
      </c>
      <c r="H535" s="4" t="e">
        <f ca="1">SplineInterp(A535,INDIRECT("'" &amp;Master!$F$10&amp; "'!$A$2:$A$50"),INDIRECT("'" &amp;Master!$F$10&amp; "'!$H$2:$H$50"))</f>
        <v>#VALUE!</v>
      </c>
      <c r="I535" s="4" t="e">
        <f ca="1">IF(OR(INDIRECT("'" &amp; Master!$F$8 &amp; Master!$F$6 &amp; "'!B" &amp; ROW(B535))="", INDIRECT("'" &amp; Master!$F$8 &amp; Master!$F$6 &amp; "'!B" &amp; ROW(B535))=0), "", INDIRECT("'" &amp; Master!$F$8 &amp; Master!$F$6 &amp; "'!B" &amp; ROW(B535)))</f>
        <v>#VALUE!</v>
      </c>
      <c r="J535" s="9" t="e">
        <f t="shared" ca="1" si="56"/>
        <v>#VALUE!</v>
      </c>
      <c r="K535" s="7" t="e">
        <f t="shared" ca="1" si="57"/>
        <v>#VALUE!</v>
      </c>
      <c r="L535" s="7" t="e">
        <f t="shared" ca="1" si="58"/>
        <v>#VALUE!</v>
      </c>
      <c r="M535" s="7" t="e">
        <f t="shared" ca="1" si="59"/>
        <v>#VALUE!</v>
      </c>
      <c r="N535" s="7" t="e">
        <f t="shared" ca="1" si="60"/>
        <v>#VALUE!</v>
      </c>
      <c r="O535" s="7" t="e">
        <f t="shared" ca="1" si="61"/>
        <v>#VALUE!</v>
      </c>
      <c r="P535" s="7" t="e">
        <f t="shared" ca="1" si="62"/>
        <v>#VALUE!</v>
      </c>
    </row>
    <row r="536" spans="1:16" x14ac:dyDescent="0.25">
      <c r="A536" s="19" t="str">
        <f ca="1">IF(OR(INDIRECT("'" &amp; Master!$F$8 &amp; Master!$F$6 &amp; "'!A" &amp; ROW(A536))="", INDIRECT("'" &amp; Master!$F$8 &amp; Master!$F$6 &amp; "'!A" &amp; ROW(A536))=0), "", INDIRECT("'" &amp; Master!$F$8 &amp; Master!$F$6 &amp; "'!A" &amp; ROW(A536)))</f>
        <v/>
      </c>
      <c r="B536" s="4" t="e">
        <f ca="1">SplineInterp(INDIRECT("A" &amp; ROW()),INDIRECT("'" &amp;Master!$F$10&amp; "'!$A$2:$A$50"),INDIRECT("'" &amp;Master!$F$10&amp; "'!$B$2:$B$50"))</f>
        <v>#VALUE!</v>
      </c>
      <c r="C536" s="4" t="e">
        <f ca="1">SplineInterp(A536,INDIRECT("'" &amp;Master!$F$10&amp; "'!$A$2:$A$50"),INDIRECT("'" &amp;Master!$F$10&amp; "'!$C$2:$C$50"))</f>
        <v>#VALUE!</v>
      </c>
      <c r="D536" s="4" t="e">
        <f ca="1">SplineInterp(A536,INDIRECT("'" &amp;Master!$F$10&amp; "'!$A$2:$A$50"),INDIRECT("'" &amp;Master!$F$10&amp; "'!$D$2:$D$50"))</f>
        <v>#VALUE!</v>
      </c>
      <c r="E536" s="4" t="e">
        <f ca="1">SplineInterp(A536,INDIRECT("'" &amp;Master!$F$10&amp; "'!$A$2:$A$50"),INDIRECT("'" &amp;Master!$F$10&amp; "'!$E$2:$E$50"))</f>
        <v>#VALUE!</v>
      </c>
      <c r="F536" s="4" t="e">
        <f ca="1">SplineInterp(A536,INDIRECT("'" &amp;Master!$F$10&amp; "'!$A$2:$A$50"),INDIRECT("'" &amp;Master!$F$10&amp; "'!$F$2:$F$50"))</f>
        <v>#VALUE!</v>
      </c>
      <c r="G536" s="4" t="e">
        <f ca="1">SplineInterp(A536,INDIRECT("'" &amp;Master!$F$10&amp; "'!$A$2:$A$50"),INDIRECT("'" &amp;Master!$F$10&amp; "'!$G$2:$G$50"))</f>
        <v>#VALUE!</v>
      </c>
      <c r="H536" s="4" t="e">
        <f ca="1">SplineInterp(A536,INDIRECT("'" &amp;Master!$F$10&amp; "'!$A$2:$A$50"),INDIRECT("'" &amp;Master!$F$10&amp; "'!$H$2:$H$50"))</f>
        <v>#VALUE!</v>
      </c>
      <c r="I536" s="4" t="e">
        <f ca="1">IF(OR(INDIRECT("'" &amp; Master!$F$8 &amp; Master!$F$6 &amp; "'!B" &amp; ROW(B536))="", INDIRECT("'" &amp; Master!$F$8 &amp; Master!$F$6 &amp; "'!B" &amp; ROW(B536))=0), "", INDIRECT("'" &amp; Master!$F$8 &amp; Master!$F$6 &amp; "'!B" &amp; ROW(B536)))</f>
        <v>#VALUE!</v>
      </c>
      <c r="J536" s="9" t="e">
        <f t="shared" ca="1" si="56"/>
        <v>#VALUE!</v>
      </c>
      <c r="K536" s="7" t="e">
        <f t="shared" ca="1" si="57"/>
        <v>#VALUE!</v>
      </c>
      <c r="L536" s="7" t="e">
        <f t="shared" ca="1" si="58"/>
        <v>#VALUE!</v>
      </c>
      <c r="M536" s="7" t="e">
        <f t="shared" ca="1" si="59"/>
        <v>#VALUE!</v>
      </c>
      <c r="N536" s="7" t="e">
        <f t="shared" ca="1" si="60"/>
        <v>#VALUE!</v>
      </c>
      <c r="O536" s="7" t="e">
        <f t="shared" ca="1" si="61"/>
        <v>#VALUE!</v>
      </c>
      <c r="P536" s="7" t="e">
        <f t="shared" ca="1" si="62"/>
        <v>#VALUE!</v>
      </c>
    </row>
    <row r="537" spans="1:16" x14ac:dyDescent="0.25">
      <c r="A537" s="19" t="str">
        <f ca="1">IF(OR(INDIRECT("'" &amp; Master!$F$8 &amp; Master!$F$6 &amp; "'!A" &amp; ROW(A537))="", INDIRECT("'" &amp; Master!$F$8 &amp; Master!$F$6 &amp; "'!A" &amp; ROW(A537))=0), "", INDIRECT("'" &amp; Master!$F$8 &amp; Master!$F$6 &amp; "'!A" &amp; ROW(A537)))</f>
        <v/>
      </c>
      <c r="B537" s="4" t="e">
        <f ca="1">SplineInterp(INDIRECT("A" &amp; ROW()),INDIRECT("'" &amp;Master!$F$10&amp; "'!$A$2:$A$50"),INDIRECT("'" &amp;Master!$F$10&amp; "'!$B$2:$B$50"))</f>
        <v>#VALUE!</v>
      </c>
      <c r="C537" s="4" t="e">
        <f ca="1">SplineInterp(A537,INDIRECT("'" &amp;Master!$F$10&amp; "'!$A$2:$A$50"),INDIRECT("'" &amp;Master!$F$10&amp; "'!$C$2:$C$50"))</f>
        <v>#VALUE!</v>
      </c>
      <c r="D537" s="4" t="e">
        <f ca="1">SplineInterp(A537,INDIRECT("'" &amp;Master!$F$10&amp; "'!$A$2:$A$50"),INDIRECT("'" &amp;Master!$F$10&amp; "'!$D$2:$D$50"))</f>
        <v>#VALUE!</v>
      </c>
      <c r="E537" s="4" t="e">
        <f ca="1">SplineInterp(A537,INDIRECT("'" &amp;Master!$F$10&amp; "'!$A$2:$A$50"),INDIRECT("'" &amp;Master!$F$10&amp; "'!$E$2:$E$50"))</f>
        <v>#VALUE!</v>
      </c>
      <c r="F537" s="4" t="e">
        <f ca="1">SplineInterp(A537,INDIRECT("'" &amp;Master!$F$10&amp; "'!$A$2:$A$50"),INDIRECT("'" &amp;Master!$F$10&amp; "'!$F$2:$F$50"))</f>
        <v>#VALUE!</v>
      </c>
      <c r="G537" s="4" t="e">
        <f ca="1">SplineInterp(A537,INDIRECT("'" &amp;Master!$F$10&amp; "'!$A$2:$A$50"),INDIRECT("'" &amp;Master!$F$10&amp; "'!$G$2:$G$50"))</f>
        <v>#VALUE!</v>
      </c>
      <c r="H537" s="4" t="e">
        <f ca="1">SplineInterp(A537,INDIRECT("'" &amp;Master!$F$10&amp; "'!$A$2:$A$50"),INDIRECT("'" &amp;Master!$F$10&amp; "'!$H$2:$H$50"))</f>
        <v>#VALUE!</v>
      </c>
      <c r="I537" s="4" t="e">
        <f ca="1">IF(OR(INDIRECT("'" &amp; Master!$F$8 &amp; Master!$F$6 &amp; "'!B" &amp; ROW(B537))="", INDIRECT("'" &amp; Master!$F$8 &amp; Master!$F$6 &amp; "'!B" &amp; ROW(B537))=0), "", INDIRECT("'" &amp; Master!$F$8 &amp; Master!$F$6 &amp; "'!B" &amp; ROW(B537)))</f>
        <v>#VALUE!</v>
      </c>
      <c r="J537" s="9" t="e">
        <f t="shared" ca="1" si="56"/>
        <v>#VALUE!</v>
      </c>
      <c r="K537" s="7" t="e">
        <f t="shared" ca="1" si="57"/>
        <v>#VALUE!</v>
      </c>
      <c r="L537" s="7" t="e">
        <f t="shared" ca="1" si="58"/>
        <v>#VALUE!</v>
      </c>
      <c r="M537" s="7" t="e">
        <f t="shared" ca="1" si="59"/>
        <v>#VALUE!</v>
      </c>
      <c r="N537" s="7" t="e">
        <f t="shared" ca="1" si="60"/>
        <v>#VALUE!</v>
      </c>
      <c r="O537" s="7" t="e">
        <f t="shared" ca="1" si="61"/>
        <v>#VALUE!</v>
      </c>
      <c r="P537" s="7" t="e">
        <f t="shared" ca="1" si="62"/>
        <v>#VALUE!</v>
      </c>
    </row>
    <row r="538" spans="1:16" x14ac:dyDescent="0.25">
      <c r="A538" s="19" t="str">
        <f ca="1">IF(OR(INDIRECT("'" &amp; Master!$F$8 &amp; Master!$F$6 &amp; "'!A" &amp; ROW(A538))="", INDIRECT("'" &amp; Master!$F$8 &amp; Master!$F$6 &amp; "'!A" &amp; ROW(A538))=0), "", INDIRECT("'" &amp; Master!$F$8 &amp; Master!$F$6 &amp; "'!A" &amp; ROW(A538)))</f>
        <v/>
      </c>
      <c r="B538" s="4" t="e">
        <f ca="1">SplineInterp(INDIRECT("A" &amp; ROW()),INDIRECT("'" &amp;Master!$F$10&amp; "'!$A$2:$A$50"),INDIRECT("'" &amp;Master!$F$10&amp; "'!$B$2:$B$50"))</f>
        <v>#VALUE!</v>
      </c>
      <c r="C538" s="4" t="e">
        <f ca="1">SplineInterp(A538,INDIRECT("'" &amp;Master!$F$10&amp; "'!$A$2:$A$50"),INDIRECT("'" &amp;Master!$F$10&amp; "'!$C$2:$C$50"))</f>
        <v>#VALUE!</v>
      </c>
      <c r="D538" s="4" t="e">
        <f ca="1">SplineInterp(A538,INDIRECT("'" &amp;Master!$F$10&amp; "'!$A$2:$A$50"),INDIRECT("'" &amp;Master!$F$10&amp; "'!$D$2:$D$50"))</f>
        <v>#VALUE!</v>
      </c>
      <c r="E538" s="4" t="e">
        <f ca="1">SplineInterp(A538,INDIRECT("'" &amp;Master!$F$10&amp; "'!$A$2:$A$50"),INDIRECT("'" &amp;Master!$F$10&amp; "'!$E$2:$E$50"))</f>
        <v>#VALUE!</v>
      </c>
      <c r="F538" s="4" t="e">
        <f ca="1">SplineInterp(A538,INDIRECT("'" &amp;Master!$F$10&amp; "'!$A$2:$A$50"),INDIRECT("'" &amp;Master!$F$10&amp; "'!$F$2:$F$50"))</f>
        <v>#VALUE!</v>
      </c>
      <c r="G538" s="4" t="e">
        <f ca="1">SplineInterp(A538,INDIRECT("'" &amp;Master!$F$10&amp; "'!$A$2:$A$50"),INDIRECT("'" &amp;Master!$F$10&amp; "'!$G$2:$G$50"))</f>
        <v>#VALUE!</v>
      </c>
      <c r="H538" s="4" t="e">
        <f ca="1">SplineInterp(A538,INDIRECT("'" &amp;Master!$F$10&amp; "'!$A$2:$A$50"),INDIRECT("'" &amp;Master!$F$10&amp; "'!$H$2:$H$50"))</f>
        <v>#VALUE!</v>
      </c>
      <c r="I538" s="4" t="e">
        <f ca="1">IF(OR(INDIRECT("'" &amp; Master!$F$8 &amp; Master!$F$6 &amp; "'!B" &amp; ROW(B538))="", INDIRECT("'" &amp; Master!$F$8 &amp; Master!$F$6 &amp; "'!B" &amp; ROW(B538))=0), "", INDIRECT("'" &amp; Master!$F$8 &amp; Master!$F$6 &amp; "'!B" &amp; ROW(B538)))</f>
        <v>#VALUE!</v>
      </c>
      <c r="J538" s="9" t="e">
        <f t="shared" ca="1" si="56"/>
        <v>#VALUE!</v>
      </c>
      <c r="K538" s="7" t="e">
        <f t="shared" ca="1" si="57"/>
        <v>#VALUE!</v>
      </c>
      <c r="L538" s="7" t="e">
        <f t="shared" ca="1" si="58"/>
        <v>#VALUE!</v>
      </c>
      <c r="M538" s="7" t="e">
        <f t="shared" ca="1" si="59"/>
        <v>#VALUE!</v>
      </c>
      <c r="N538" s="7" t="e">
        <f t="shared" ca="1" si="60"/>
        <v>#VALUE!</v>
      </c>
      <c r="O538" s="7" t="e">
        <f t="shared" ca="1" si="61"/>
        <v>#VALUE!</v>
      </c>
      <c r="P538" s="7" t="e">
        <f t="shared" ca="1" si="62"/>
        <v>#VALUE!</v>
      </c>
    </row>
    <row r="539" spans="1:16" x14ac:dyDescent="0.25">
      <c r="A539" s="19" t="str">
        <f ca="1">IF(OR(INDIRECT("'" &amp; Master!$F$8 &amp; Master!$F$6 &amp; "'!A" &amp; ROW(A539))="", INDIRECT("'" &amp; Master!$F$8 &amp; Master!$F$6 &amp; "'!A" &amp; ROW(A539))=0), "", INDIRECT("'" &amp; Master!$F$8 &amp; Master!$F$6 &amp; "'!A" &amp; ROW(A539)))</f>
        <v/>
      </c>
      <c r="B539" s="4" t="e">
        <f ca="1">SplineInterp(INDIRECT("A" &amp; ROW()),INDIRECT("'" &amp;Master!$F$10&amp; "'!$A$2:$A$50"),INDIRECT("'" &amp;Master!$F$10&amp; "'!$B$2:$B$50"))</f>
        <v>#VALUE!</v>
      </c>
      <c r="C539" s="4" t="e">
        <f ca="1">SplineInterp(A539,INDIRECT("'" &amp;Master!$F$10&amp; "'!$A$2:$A$50"),INDIRECT("'" &amp;Master!$F$10&amp; "'!$C$2:$C$50"))</f>
        <v>#VALUE!</v>
      </c>
      <c r="D539" s="4" t="e">
        <f ca="1">SplineInterp(A539,INDIRECT("'" &amp;Master!$F$10&amp; "'!$A$2:$A$50"),INDIRECT("'" &amp;Master!$F$10&amp; "'!$D$2:$D$50"))</f>
        <v>#VALUE!</v>
      </c>
      <c r="E539" s="4" t="e">
        <f ca="1">SplineInterp(A539,INDIRECT("'" &amp;Master!$F$10&amp; "'!$A$2:$A$50"),INDIRECT("'" &amp;Master!$F$10&amp; "'!$E$2:$E$50"))</f>
        <v>#VALUE!</v>
      </c>
      <c r="F539" s="4" t="e">
        <f ca="1">SplineInterp(A539,INDIRECT("'" &amp;Master!$F$10&amp; "'!$A$2:$A$50"),INDIRECT("'" &amp;Master!$F$10&amp; "'!$F$2:$F$50"))</f>
        <v>#VALUE!</v>
      </c>
      <c r="G539" s="4" t="e">
        <f ca="1">SplineInterp(A539,INDIRECT("'" &amp;Master!$F$10&amp; "'!$A$2:$A$50"),INDIRECT("'" &amp;Master!$F$10&amp; "'!$G$2:$G$50"))</f>
        <v>#VALUE!</v>
      </c>
      <c r="H539" s="4" t="e">
        <f ca="1">SplineInterp(A539,INDIRECT("'" &amp;Master!$F$10&amp; "'!$A$2:$A$50"),INDIRECT("'" &amp;Master!$F$10&amp; "'!$H$2:$H$50"))</f>
        <v>#VALUE!</v>
      </c>
      <c r="I539" s="4" t="e">
        <f ca="1">IF(OR(INDIRECT("'" &amp; Master!$F$8 &amp; Master!$F$6 &amp; "'!B" &amp; ROW(B539))="", INDIRECT("'" &amp; Master!$F$8 &amp; Master!$F$6 &amp; "'!B" &amp; ROW(B539))=0), "", INDIRECT("'" &amp; Master!$F$8 &amp; Master!$F$6 &amp; "'!B" &amp; ROW(B539)))</f>
        <v>#VALUE!</v>
      </c>
      <c r="J539" s="9" t="e">
        <f t="shared" ca="1" si="56"/>
        <v>#VALUE!</v>
      </c>
      <c r="K539" s="7" t="e">
        <f t="shared" ca="1" si="57"/>
        <v>#VALUE!</v>
      </c>
      <c r="L539" s="7" t="e">
        <f t="shared" ca="1" si="58"/>
        <v>#VALUE!</v>
      </c>
      <c r="M539" s="7" t="e">
        <f t="shared" ca="1" si="59"/>
        <v>#VALUE!</v>
      </c>
      <c r="N539" s="7" t="e">
        <f t="shared" ca="1" si="60"/>
        <v>#VALUE!</v>
      </c>
      <c r="O539" s="7" t="e">
        <f t="shared" ca="1" si="61"/>
        <v>#VALUE!</v>
      </c>
      <c r="P539" s="7" t="e">
        <f t="shared" ca="1" si="62"/>
        <v>#VALUE!</v>
      </c>
    </row>
    <row r="540" spans="1:16" x14ac:dyDescent="0.25">
      <c r="A540" s="19" t="str">
        <f ca="1">IF(OR(INDIRECT("'" &amp; Master!$F$8 &amp; Master!$F$6 &amp; "'!A" &amp; ROW(A540))="", INDIRECT("'" &amp; Master!$F$8 &amp; Master!$F$6 &amp; "'!A" &amp; ROW(A540))=0), "", INDIRECT("'" &amp; Master!$F$8 &amp; Master!$F$6 &amp; "'!A" &amp; ROW(A540)))</f>
        <v/>
      </c>
      <c r="B540" s="4" t="e">
        <f ca="1">SplineInterp(INDIRECT("A" &amp; ROW()),INDIRECT("'" &amp;Master!$F$10&amp; "'!$A$2:$A$50"),INDIRECT("'" &amp;Master!$F$10&amp; "'!$B$2:$B$50"))</f>
        <v>#VALUE!</v>
      </c>
      <c r="C540" s="4" t="e">
        <f ca="1">SplineInterp(A540,INDIRECT("'" &amp;Master!$F$10&amp; "'!$A$2:$A$50"),INDIRECT("'" &amp;Master!$F$10&amp; "'!$C$2:$C$50"))</f>
        <v>#VALUE!</v>
      </c>
      <c r="D540" s="4" t="e">
        <f ca="1">SplineInterp(A540,INDIRECT("'" &amp;Master!$F$10&amp; "'!$A$2:$A$50"),INDIRECT("'" &amp;Master!$F$10&amp; "'!$D$2:$D$50"))</f>
        <v>#VALUE!</v>
      </c>
      <c r="E540" s="4" t="e">
        <f ca="1">SplineInterp(A540,INDIRECT("'" &amp;Master!$F$10&amp; "'!$A$2:$A$50"),INDIRECT("'" &amp;Master!$F$10&amp; "'!$E$2:$E$50"))</f>
        <v>#VALUE!</v>
      </c>
      <c r="F540" s="4" t="e">
        <f ca="1">SplineInterp(A540,INDIRECT("'" &amp;Master!$F$10&amp; "'!$A$2:$A$50"),INDIRECT("'" &amp;Master!$F$10&amp; "'!$F$2:$F$50"))</f>
        <v>#VALUE!</v>
      </c>
      <c r="G540" s="4" t="e">
        <f ca="1">SplineInterp(A540,INDIRECT("'" &amp;Master!$F$10&amp; "'!$A$2:$A$50"),INDIRECT("'" &amp;Master!$F$10&amp; "'!$G$2:$G$50"))</f>
        <v>#VALUE!</v>
      </c>
      <c r="H540" s="4" t="e">
        <f ca="1">SplineInterp(A540,INDIRECT("'" &amp;Master!$F$10&amp; "'!$A$2:$A$50"),INDIRECT("'" &amp;Master!$F$10&amp; "'!$H$2:$H$50"))</f>
        <v>#VALUE!</v>
      </c>
      <c r="I540" s="4" t="e">
        <f ca="1">IF(OR(INDIRECT("'" &amp; Master!$F$8 &amp; Master!$F$6 &amp; "'!B" &amp; ROW(B540))="", INDIRECT("'" &amp; Master!$F$8 &amp; Master!$F$6 &amp; "'!B" &amp; ROW(B540))=0), "", INDIRECT("'" &amp; Master!$F$8 &amp; Master!$F$6 &amp; "'!B" &amp; ROW(B540)))</f>
        <v>#VALUE!</v>
      </c>
      <c r="J540" s="9" t="e">
        <f t="shared" ca="1" si="56"/>
        <v>#VALUE!</v>
      </c>
      <c r="K540" s="7" t="e">
        <f t="shared" ca="1" si="57"/>
        <v>#VALUE!</v>
      </c>
      <c r="L540" s="7" t="e">
        <f t="shared" ca="1" si="58"/>
        <v>#VALUE!</v>
      </c>
      <c r="M540" s="7" t="e">
        <f t="shared" ca="1" si="59"/>
        <v>#VALUE!</v>
      </c>
      <c r="N540" s="7" t="e">
        <f t="shared" ca="1" si="60"/>
        <v>#VALUE!</v>
      </c>
      <c r="O540" s="7" t="e">
        <f t="shared" ca="1" si="61"/>
        <v>#VALUE!</v>
      </c>
      <c r="P540" s="7" t="e">
        <f t="shared" ca="1" si="62"/>
        <v>#VALUE!</v>
      </c>
    </row>
    <row r="541" spans="1:16" x14ac:dyDescent="0.25">
      <c r="A541" s="19" t="str">
        <f ca="1">IF(OR(INDIRECT("'" &amp; Master!$F$8 &amp; Master!$F$6 &amp; "'!A" &amp; ROW(A541))="", INDIRECT("'" &amp; Master!$F$8 &amp; Master!$F$6 &amp; "'!A" &amp; ROW(A541))=0), "", INDIRECT("'" &amp; Master!$F$8 &amp; Master!$F$6 &amp; "'!A" &amp; ROW(A541)))</f>
        <v/>
      </c>
      <c r="B541" s="4" t="e">
        <f ca="1">SplineInterp(INDIRECT("A" &amp; ROW()),INDIRECT("'" &amp;Master!$F$10&amp; "'!$A$2:$A$50"),INDIRECT("'" &amp;Master!$F$10&amp; "'!$B$2:$B$50"))</f>
        <v>#VALUE!</v>
      </c>
      <c r="C541" s="4" t="e">
        <f ca="1">SplineInterp(A541,INDIRECT("'" &amp;Master!$F$10&amp; "'!$A$2:$A$50"),INDIRECT("'" &amp;Master!$F$10&amp; "'!$C$2:$C$50"))</f>
        <v>#VALUE!</v>
      </c>
      <c r="D541" s="4" t="e">
        <f ca="1">SplineInterp(A541,INDIRECT("'" &amp;Master!$F$10&amp; "'!$A$2:$A$50"),INDIRECT("'" &amp;Master!$F$10&amp; "'!$D$2:$D$50"))</f>
        <v>#VALUE!</v>
      </c>
      <c r="E541" s="4" t="e">
        <f ca="1">SplineInterp(A541,INDIRECT("'" &amp;Master!$F$10&amp; "'!$A$2:$A$50"),INDIRECT("'" &amp;Master!$F$10&amp; "'!$E$2:$E$50"))</f>
        <v>#VALUE!</v>
      </c>
      <c r="F541" s="4" t="e">
        <f ca="1">SplineInterp(A541,INDIRECT("'" &amp;Master!$F$10&amp; "'!$A$2:$A$50"),INDIRECT("'" &amp;Master!$F$10&amp; "'!$F$2:$F$50"))</f>
        <v>#VALUE!</v>
      </c>
      <c r="G541" s="4" t="e">
        <f ca="1">SplineInterp(A541,INDIRECT("'" &amp;Master!$F$10&amp; "'!$A$2:$A$50"),INDIRECT("'" &amp;Master!$F$10&amp; "'!$G$2:$G$50"))</f>
        <v>#VALUE!</v>
      </c>
      <c r="H541" s="4" t="e">
        <f ca="1">SplineInterp(A541,INDIRECT("'" &amp;Master!$F$10&amp; "'!$A$2:$A$50"),INDIRECT("'" &amp;Master!$F$10&amp; "'!$H$2:$H$50"))</f>
        <v>#VALUE!</v>
      </c>
      <c r="I541" s="4" t="e">
        <f ca="1">IF(OR(INDIRECT("'" &amp; Master!$F$8 &amp; Master!$F$6 &amp; "'!B" &amp; ROW(B541))="", INDIRECT("'" &amp; Master!$F$8 &amp; Master!$F$6 &amp; "'!B" &amp; ROW(B541))=0), "", INDIRECT("'" &amp; Master!$F$8 &amp; Master!$F$6 &amp; "'!B" &amp; ROW(B541)))</f>
        <v>#VALUE!</v>
      </c>
      <c r="J541" s="9" t="e">
        <f t="shared" ca="1" si="56"/>
        <v>#VALUE!</v>
      </c>
      <c r="K541" s="7" t="e">
        <f t="shared" ca="1" si="57"/>
        <v>#VALUE!</v>
      </c>
      <c r="L541" s="7" t="e">
        <f t="shared" ca="1" si="58"/>
        <v>#VALUE!</v>
      </c>
      <c r="M541" s="7" t="e">
        <f t="shared" ca="1" si="59"/>
        <v>#VALUE!</v>
      </c>
      <c r="N541" s="7" t="e">
        <f t="shared" ca="1" si="60"/>
        <v>#VALUE!</v>
      </c>
      <c r="O541" s="7" t="e">
        <f t="shared" ca="1" si="61"/>
        <v>#VALUE!</v>
      </c>
      <c r="P541" s="7" t="e">
        <f t="shared" ca="1" si="62"/>
        <v>#VALUE!</v>
      </c>
    </row>
    <row r="542" spans="1:16" x14ac:dyDescent="0.25">
      <c r="A542" s="19" t="str">
        <f ca="1">IF(OR(INDIRECT("'" &amp; Master!$F$8 &amp; Master!$F$6 &amp; "'!A" &amp; ROW(A542))="", INDIRECT("'" &amp; Master!$F$8 &amp; Master!$F$6 &amp; "'!A" &amp; ROW(A542))=0), "", INDIRECT("'" &amp; Master!$F$8 &amp; Master!$F$6 &amp; "'!A" &amp; ROW(A542)))</f>
        <v/>
      </c>
      <c r="B542" s="4" t="e">
        <f ca="1">SplineInterp(INDIRECT("A" &amp; ROW()),INDIRECT("'" &amp;Master!$F$10&amp; "'!$A$2:$A$50"),INDIRECT("'" &amp;Master!$F$10&amp; "'!$B$2:$B$50"))</f>
        <v>#VALUE!</v>
      </c>
      <c r="C542" s="4" t="e">
        <f ca="1">SplineInterp(A542,INDIRECT("'" &amp;Master!$F$10&amp; "'!$A$2:$A$50"),INDIRECT("'" &amp;Master!$F$10&amp; "'!$C$2:$C$50"))</f>
        <v>#VALUE!</v>
      </c>
      <c r="D542" s="4" t="e">
        <f ca="1">SplineInterp(A542,INDIRECT("'" &amp;Master!$F$10&amp; "'!$A$2:$A$50"),INDIRECT("'" &amp;Master!$F$10&amp; "'!$D$2:$D$50"))</f>
        <v>#VALUE!</v>
      </c>
      <c r="E542" s="4" t="e">
        <f ca="1">SplineInterp(A542,INDIRECT("'" &amp;Master!$F$10&amp; "'!$A$2:$A$50"),INDIRECT("'" &amp;Master!$F$10&amp; "'!$E$2:$E$50"))</f>
        <v>#VALUE!</v>
      </c>
      <c r="F542" s="4" t="e">
        <f ca="1">SplineInterp(A542,INDIRECT("'" &amp;Master!$F$10&amp; "'!$A$2:$A$50"),INDIRECT("'" &amp;Master!$F$10&amp; "'!$F$2:$F$50"))</f>
        <v>#VALUE!</v>
      </c>
      <c r="G542" s="4" t="e">
        <f ca="1">SplineInterp(A542,INDIRECT("'" &amp;Master!$F$10&amp; "'!$A$2:$A$50"),INDIRECT("'" &amp;Master!$F$10&amp; "'!$G$2:$G$50"))</f>
        <v>#VALUE!</v>
      </c>
      <c r="H542" s="4" t="e">
        <f ca="1">SplineInterp(A542,INDIRECT("'" &amp;Master!$F$10&amp; "'!$A$2:$A$50"),INDIRECT("'" &amp;Master!$F$10&amp; "'!$H$2:$H$50"))</f>
        <v>#VALUE!</v>
      </c>
      <c r="I542" s="4" t="e">
        <f ca="1">IF(OR(INDIRECT("'" &amp; Master!$F$8 &amp; Master!$F$6 &amp; "'!B" &amp; ROW(B542))="", INDIRECT("'" &amp; Master!$F$8 &amp; Master!$F$6 &amp; "'!B" &amp; ROW(B542))=0), "", INDIRECT("'" &amp; Master!$F$8 &amp; Master!$F$6 &amp; "'!B" &amp; ROW(B542)))</f>
        <v>#VALUE!</v>
      </c>
      <c r="J542" s="9" t="e">
        <f t="shared" ca="1" si="56"/>
        <v>#VALUE!</v>
      </c>
      <c r="K542" s="7" t="e">
        <f t="shared" ca="1" si="57"/>
        <v>#VALUE!</v>
      </c>
      <c r="L542" s="7" t="e">
        <f t="shared" ca="1" si="58"/>
        <v>#VALUE!</v>
      </c>
      <c r="M542" s="7" t="e">
        <f t="shared" ca="1" si="59"/>
        <v>#VALUE!</v>
      </c>
      <c r="N542" s="7" t="e">
        <f t="shared" ca="1" si="60"/>
        <v>#VALUE!</v>
      </c>
      <c r="O542" s="7" t="e">
        <f t="shared" ca="1" si="61"/>
        <v>#VALUE!</v>
      </c>
      <c r="P542" s="7" t="e">
        <f t="shared" ca="1" si="62"/>
        <v>#VALUE!</v>
      </c>
    </row>
    <row r="543" spans="1:16" x14ac:dyDescent="0.25">
      <c r="A543" s="19" t="str">
        <f ca="1">IF(OR(INDIRECT("'" &amp; Master!$F$8 &amp; Master!$F$6 &amp; "'!A" &amp; ROW(A543))="", INDIRECT("'" &amp; Master!$F$8 &amp; Master!$F$6 &amp; "'!A" &amp; ROW(A543))=0), "", INDIRECT("'" &amp; Master!$F$8 &amp; Master!$F$6 &amp; "'!A" &amp; ROW(A543)))</f>
        <v/>
      </c>
      <c r="B543" s="4" t="e">
        <f ca="1">SplineInterp(INDIRECT("A" &amp; ROW()),INDIRECT("'" &amp;Master!$F$10&amp; "'!$A$2:$A$50"),INDIRECT("'" &amp;Master!$F$10&amp; "'!$B$2:$B$50"))</f>
        <v>#VALUE!</v>
      </c>
      <c r="C543" s="4" t="e">
        <f ca="1">SplineInterp(A543,INDIRECT("'" &amp;Master!$F$10&amp; "'!$A$2:$A$50"),INDIRECT("'" &amp;Master!$F$10&amp; "'!$C$2:$C$50"))</f>
        <v>#VALUE!</v>
      </c>
      <c r="D543" s="4" t="e">
        <f ca="1">SplineInterp(A543,INDIRECT("'" &amp;Master!$F$10&amp; "'!$A$2:$A$50"),INDIRECT("'" &amp;Master!$F$10&amp; "'!$D$2:$D$50"))</f>
        <v>#VALUE!</v>
      </c>
      <c r="E543" s="4" t="e">
        <f ca="1">SplineInterp(A543,INDIRECT("'" &amp;Master!$F$10&amp; "'!$A$2:$A$50"),INDIRECT("'" &amp;Master!$F$10&amp; "'!$E$2:$E$50"))</f>
        <v>#VALUE!</v>
      </c>
      <c r="F543" s="4" t="e">
        <f ca="1">SplineInterp(A543,INDIRECT("'" &amp;Master!$F$10&amp; "'!$A$2:$A$50"),INDIRECT("'" &amp;Master!$F$10&amp; "'!$F$2:$F$50"))</f>
        <v>#VALUE!</v>
      </c>
      <c r="G543" s="4" t="e">
        <f ca="1">SplineInterp(A543,INDIRECT("'" &amp;Master!$F$10&amp; "'!$A$2:$A$50"),INDIRECT("'" &amp;Master!$F$10&amp; "'!$G$2:$G$50"))</f>
        <v>#VALUE!</v>
      </c>
      <c r="H543" s="4" t="e">
        <f ca="1">SplineInterp(A543,INDIRECT("'" &amp;Master!$F$10&amp; "'!$A$2:$A$50"),INDIRECT("'" &amp;Master!$F$10&amp; "'!$H$2:$H$50"))</f>
        <v>#VALUE!</v>
      </c>
      <c r="I543" s="4" t="e">
        <f ca="1">IF(OR(INDIRECT("'" &amp; Master!$F$8 &amp; Master!$F$6 &amp; "'!B" &amp; ROW(B543))="", INDIRECT("'" &amp; Master!$F$8 &amp; Master!$F$6 &amp; "'!B" &amp; ROW(B543))=0), "", INDIRECT("'" &amp; Master!$F$8 &amp; Master!$F$6 &amp; "'!B" &amp; ROW(B543)))</f>
        <v>#VALUE!</v>
      </c>
      <c r="J543" s="9" t="e">
        <f t="shared" ca="1" si="56"/>
        <v>#VALUE!</v>
      </c>
      <c r="K543" s="7" t="e">
        <f t="shared" ca="1" si="57"/>
        <v>#VALUE!</v>
      </c>
      <c r="L543" s="7" t="e">
        <f t="shared" ca="1" si="58"/>
        <v>#VALUE!</v>
      </c>
      <c r="M543" s="7" t="e">
        <f t="shared" ca="1" si="59"/>
        <v>#VALUE!</v>
      </c>
      <c r="N543" s="7" t="e">
        <f t="shared" ca="1" si="60"/>
        <v>#VALUE!</v>
      </c>
      <c r="O543" s="7" t="e">
        <f t="shared" ca="1" si="61"/>
        <v>#VALUE!</v>
      </c>
      <c r="P543" s="7" t="e">
        <f t="shared" ca="1" si="62"/>
        <v>#VALUE!</v>
      </c>
    </row>
    <row r="544" spans="1:16" x14ac:dyDescent="0.25">
      <c r="A544" s="19" t="str">
        <f ca="1">IF(OR(INDIRECT("'" &amp; Master!$F$8 &amp; Master!$F$6 &amp; "'!A" &amp; ROW(A544))="", INDIRECT("'" &amp; Master!$F$8 &amp; Master!$F$6 &amp; "'!A" &amp; ROW(A544))=0), "", INDIRECT("'" &amp; Master!$F$8 &amp; Master!$F$6 &amp; "'!A" &amp; ROW(A544)))</f>
        <v/>
      </c>
      <c r="B544" s="4" t="e">
        <f ca="1">SplineInterp(INDIRECT("A" &amp; ROW()),INDIRECT("'" &amp;Master!$F$10&amp; "'!$A$2:$A$50"),INDIRECT("'" &amp;Master!$F$10&amp; "'!$B$2:$B$50"))</f>
        <v>#VALUE!</v>
      </c>
      <c r="C544" s="4" t="e">
        <f ca="1">SplineInterp(A544,INDIRECT("'" &amp;Master!$F$10&amp; "'!$A$2:$A$50"),INDIRECT("'" &amp;Master!$F$10&amp; "'!$C$2:$C$50"))</f>
        <v>#VALUE!</v>
      </c>
      <c r="D544" s="4" t="e">
        <f ca="1">SplineInterp(A544,INDIRECT("'" &amp;Master!$F$10&amp; "'!$A$2:$A$50"),INDIRECT("'" &amp;Master!$F$10&amp; "'!$D$2:$D$50"))</f>
        <v>#VALUE!</v>
      </c>
      <c r="E544" s="4" t="e">
        <f ca="1">SplineInterp(A544,INDIRECT("'" &amp;Master!$F$10&amp; "'!$A$2:$A$50"),INDIRECT("'" &amp;Master!$F$10&amp; "'!$E$2:$E$50"))</f>
        <v>#VALUE!</v>
      </c>
      <c r="F544" s="4" t="e">
        <f ca="1">SplineInterp(A544,INDIRECT("'" &amp;Master!$F$10&amp; "'!$A$2:$A$50"),INDIRECT("'" &amp;Master!$F$10&amp; "'!$F$2:$F$50"))</f>
        <v>#VALUE!</v>
      </c>
      <c r="G544" s="4" t="e">
        <f ca="1">SplineInterp(A544,INDIRECT("'" &amp;Master!$F$10&amp; "'!$A$2:$A$50"),INDIRECT("'" &amp;Master!$F$10&amp; "'!$G$2:$G$50"))</f>
        <v>#VALUE!</v>
      </c>
      <c r="H544" s="4" t="e">
        <f ca="1">SplineInterp(A544,INDIRECT("'" &amp;Master!$F$10&amp; "'!$A$2:$A$50"),INDIRECT("'" &amp;Master!$F$10&amp; "'!$H$2:$H$50"))</f>
        <v>#VALUE!</v>
      </c>
      <c r="I544" s="4" t="e">
        <f ca="1">IF(OR(INDIRECT("'" &amp; Master!$F$8 &amp; Master!$F$6 &amp; "'!B" &amp; ROW(B544))="", INDIRECT("'" &amp; Master!$F$8 &amp; Master!$F$6 &amp; "'!B" &amp; ROW(B544))=0), "", INDIRECT("'" &amp; Master!$F$8 &amp; Master!$F$6 &amp; "'!B" &amp; ROW(B544)))</f>
        <v>#VALUE!</v>
      </c>
      <c r="J544" s="9" t="e">
        <f t="shared" ca="1" si="56"/>
        <v>#VALUE!</v>
      </c>
      <c r="K544" s="7" t="e">
        <f t="shared" ca="1" si="57"/>
        <v>#VALUE!</v>
      </c>
      <c r="L544" s="7" t="e">
        <f t="shared" ca="1" si="58"/>
        <v>#VALUE!</v>
      </c>
      <c r="M544" s="7" t="e">
        <f t="shared" ca="1" si="59"/>
        <v>#VALUE!</v>
      </c>
      <c r="N544" s="7" t="e">
        <f t="shared" ca="1" si="60"/>
        <v>#VALUE!</v>
      </c>
      <c r="O544" s="7" t="e">
        <f t="shared" ca="1" si="61"/>
        <v>#VALUE!</v>
      </c>
      <c r="P544" s="7" t="e">
        <f t="shared" ca="1" si="62"/>
        <v>#VALUE!</v>
      </c>
    </row>
    <row r="545" spans="1:16" x14ac:dyDescent="0.25">
      <c r="A545" s="19" t="str">
        <f ca="1">IF(OR(INDIRECT("'" &amp; Master!$F$8 &amp; Master!$F$6 &amp; "'!A" &amp; ROW(A545))="", INDIRECT("'" &amp; Master!$F$8 &amp; Master!$F$6 &amp; "'!A" &amp; ROW(A545))=0), "", INDIRECT("'" &amp; Master!$F$8 &amp; Master!$F$6 &amp; "'!A" &amp; ROW(A545)))</f>
        <v/>
      </c>
      <c r="B545" s="4" t="e">
        <f ca="1">SplineInterp(INDIRECT("A" &amp; ROW()),INDIRECT("'" &amp;Master!$F$10&amp; "'!$A$2:$A$50"),INDIRECT("'" &amp;Master!$F$10&amp; "'!$B$2:$B$50"))</f>
        <v>#VALUE!</v>
      </c>
      <c r="C545" s="4" t="e">
        <f ca="1">SplineInterp(A545,INDIRECT("'" &amp;Master!$F$10&amp; "'!$A$2:$A$50"),INDIRECT("'" &amp;Master!$F$10&amp; "'!$C$2:$C$50"))</f>
        <v>#VALUE!</v>
      </c>
      <c r="D545" s="4" t="e">
        <f ca="1">SplineInterp(A545,INDIRECT("'" &amp;Master!$F$10&amp; "'!$A$2:$A$50"),INDIRECT("'" &amp;Master!$F$10&amp; "'!$D$2:$D$50"))</f>
        <v>#VALUE!</v>
      </c>
      <c r="E545" s="4" t="e">
        <f ca="1">SplineInterp(A545,INDIRECT("'" &amp;Master!$F$10&amp; "'!$A$2:$A$50"),INDIRECT("'" &amp;Master!$F$10&amp; "'!$E$2:$E$50"))</f>
        <v>#VALUE!</v>
      </c>
      <c r="F545" s="4" t="e">
        <f ca="1">SplineInterp(A545,INDIRECT("'" &amp;Master!$F$10&amp; "'!$A$2:$A$50"),INDIRECT("'" &amp;Master!$F$10&amp; "'!$F$2:$F$50"))</f>
        <v>#VALUE!</v>
      </c>
      <c r="G545" s="4" t="e">
        <f ca="1">SplineInterp(A545,INDIRECT("'" &amp;Master!$F$10&amp; "'!$A$2:$A$50"),INDIRECT("'" &amp;Master!$F$10&amp; "'!$G$2:$G$50"))</f>
        <v>#VALUE!</v>
      </c>
      <c r="H545" s="4" t="e">
        <f ca="1">SplineInterp(A545,INDIRECT("'" &amp;Master!$F$10&amp; "'!$A$2:$A$50"),INDIRECT("'" &amp;Master!$F$10&amp; "'!$H$2:$H$50"))</f>
        <v>#VALUE!</v>
      </c>
      <c r="I545" s="4" t="e">
        <f ca="1">IF(OR(INDIRECT("'" &amp; Master!$F$8 &amp; Master!$F$6 &amp; "'!B" &amp; ROW(B545))="", INDIRECT("'" &amp; Master!$F$8 &amp; Master!$F$6 &amp; "'!B" &amp; ROW(B545))=0), "", INDIRECT("'" &amp; Master!$F$8 &amp; Master!$F$6 &amp; "'!B" &amp; ROW(B545)))</f>
        <v>#VALUE!</v>
      </c>
      <c r="J545" s="9" t="e">
        <f t="shared" ca="1" si="56"/>
        <v>#VALUE!</v>
      </c>
      <c r="K545" s="7" t="e">
        <f t="shared" ca="1" si="57"/>
        <v>#VALUE!</v>
      </c>
      <c r="L545" s="7" t="e">
        <f t="shared" ca="1" si="58"/>
        <v>#VALUE!</v>
      </c>
      <c r="M545" s="7" t="e">
        <f t="shared" ca="1" si="59"/>
        <v>#VALUE!</v>
      </c>
      <c r="N545" s="7" t="e">
        <f t="shared" ca="1" si="60"/>
        <v>#VALUE!</v>
      </c>
      <c r="O545" s="7" t="e">
        <f t="shared" ca="1" si="61"/>
        <v>#VALUE!</v>
      </c>
      <c r="P545" s="7" t="e">
        <f t="shared" ca="1" si="62"/>
        <v>#VALUE!</v>
      </c>
    </row>
    <row r="546" spans="1:16" x14ac:dyDescent="0.25">
      <c r="A546" s="19" t="str">
        <f ca="1">IF(OR(INDIRECT("'" &amp; Master!$F$8 &amp; Master!$F$6 &amp; "'!A" &amp; ROW(A546))="", INDIRECT("'" &amp; Master!$F$8 &amp; Master!$F$6 &amp; "'!A" &amp; ROW(A546))=0), "", INDIRECT("'" &amp; Master!$F$8 &amp; Master!$F$6 &amp; "'!A" &amp; ROW(A546)))</f>
        <v/>
      </c>
      <c r="B546" s="4" t="e">
        <f ca="1">SplineInterp(INDIRECT("A" &amp; ROW()),INDIRECT("'" &amp;Master!$F$10&amp; "'!$A$2:$A$50"),INDIRECT("'" &amp;Master!$F$10&amp; "'!$B$2:$B$50"))</f>
        <v>#VALUE!</v>
      </c>
      <c r="C546" s="4" t="e">
        <f ca="1">SplineInterp(A546,INDIRECT("'" &amp;Master!$F$10&amp; "'!$A$2:$A$50"),INDIRECT("'" &amp;Master!$F$10&amp; "'!$C$2:$C$50"))</f>
        <v>#VALUE!</v>
      </c>
      <c r="D546" s="4" t="e">
        <f ca="1">SplineInterp(A546,INDIRECT("'" &amp;Master!$F$10&amp; "'!$A$2:$A$50"),INDIRECT("'" &amp;Master!$F$10&amp; "'!$D$2:$D$50"))</f>
        <v>#VALUE!</v>
      </c>
      <c r="E546" s="4" t="e">
        <f ca="1">SplineInterp(A546,INDIRECT("'" &amp;Master!$F$10&amp; "'!$A$2:$A$50"),INDIRECT("'" &amp;Master!$F$10&amp; "'!$E$2:$E$50"))</f>
        <v>#VALUE!</v>
      </c>
      <c r="F546" s="4" t="e">
        <f ca="1">SplineInterp(A546,INDIRECT("'" &amp;Master!$F$10&amp; "'!$A$2:$A$50"),INDIRECT("'" &amp;Master!$F$10&amp; "'!$F$2:$F$50"))</f>
        <v>#VALUE!</v>
      </c>
      <c r="G546" s="4" t="e">
        <f ca="1">SplineInterp(A546,INDIRECT("'" &amp;Master!$F$10&amp; "'!$A$2:$A$50"),INDIRECT("'" &amp;Master!$F$10&amp; "'!$G$2:$G$50"))</f>
        <v>#VALUE!</v>
      </c>
      <c r="H546" s="4" t="e">
        <f ca="1">SplineInterp(A546,INDIRECT("'" &amp;Master!$F$10&amp; "'!$A$2:$A$50"),INDIRECT("'" &amp;Master!$F$10&amp; "'!$H$2:$H$50"))</f>
        <v>#VALUE!</v>
      </c>
      <c r="I546" s="4" t="e">
        <f ca="1">IF(OR(INDIRECT("'" &amp; Master!$F$8 &amp; Master!$F$6 &amp; "'!B" &amp; ROW(B546))="", INDIRECT("'" &amp; Master!$F$8 &amp; Master!$F$6 &amp; "'!B" &amp; ROW(B546))=0), "", INDIRECT("'" &amp; Master!$F$8 &amp; Master!$F$6 &amp; "'!B" &amp; ROW(B546)))</f>
        <v>#VALUE!</v>
      </c>
      <c r="J546" s="9" t="e">
        <f t="shared" ca="1" si="56"/>
        <v>#VALUE!</v>
      </c>
      <c r="K546" s="7" t="e">
        <f t="shared" ca="1" si="57"/>
        <v>#VALUE!</v>
      </c>
      <c r="L546" s="7" t="e">
        <f t="shared" ca="1" si="58"/>
        <v>#VALUE!</v>
      </c>
      <c r="M546" s="7" t="e">
        <f t="shared" ca="1" si="59"/>
        <v>#VALUE!</v>
      </c>
      <c r="N546" s="7" t="e">
        <f t="shared" ca="1" si="60"/>
        <v>#VALUE!</v>
      </c>
      <c r="O546" s="7" t="e">
        <f t="shared" ca="1" si="61"/>
        <v>#VALUE!</v>
      </c>
      <c r="P546" s="7" t="e">
        <f t="shared" ca="1" si="62"/>
        <v>#VALUE!</v>
      </c>
    </row>
    <row r="547" spans="1:16" x14ac:dyDescent="0.25">
      <c r="A547" s="19" t="str">
        <f ca="1">IF(OR(INDIRECT("'" &amp; Master!$F$8 &amp; Master!$F$6 &amp; "'!A" &amp; ROW(A547))="", INDIRECT("'" &amp; Master!$F$8 &amp; Master!$F$6 &amp; "'!A" &amp; ROW(A547))=0), "", INDIRECT("'" &amp; Master!$F$8 &amp; Master!$F$6 &amp; "'!A" &amp; ROW(A547)))</f>
        <v/>
      </c>
      <c r="B547" s="4" t="e">
        <f ca="1">SplineInterp(INDIRECT("A" &amp; ROW()),INDIRECT("'" &amp;Master!$F$10&amp; "'!$A$2:$A$50"),INDIRECT("'" &amp;Master!$F$10&amp; "'!$B$2:$B$50"))</f>
        <v>#VALUE!</v>
      </c>
      <c r="C547" s="4" t="e">
        <f ca="1">SplineInterp(A547,INDIRECT("'" &amp;Master!$F$10&amp; "'!$A$2:$A$50"),INDIRECT("'" &amp;Master!$F$10&amp; "'!$C$2:$C$50"))</f>
        <v>#VALUE!</v>
      </c>
      <c r="D547" s="4" t="e">
        <f ca="1">SplineInterp(A547,INDIRECT("'" &amp;Master!$F$10&amp; "'!$A$2:$A$50"),INDIRECT("'" &amp;Master!$F$10&amp; "'!$D$2:$D$50"))</f>
        <v>#VALUE!</v>
      </c>
      <c r="E547" s="4" t="e">
        <f ca="1">SplineInterp(A547,INDIRECT("'" &amp;Master!$F$10&amp; "'!$A$2:$A$50"),INDIRECT("'" &amp;Master!$F$10&amp; "'!$E$2:$E$50"))</f>
        <v>#VALUE!</v>
      </c>
      <c r="F547" s="4" t="e">
        <f ca="1">SplineInterp(A547,INDIRECT("'" &amp;Master!$F$10&amp; "'!$A$2:$A$50"),INDIRECT("'" &amp;Master!$F$10&amp; "'!$F$2:$F$50"))</f>
        <v>#VALUE!</v>
      </c>
      <c r="G547" s="4" t="e">
        <f ca="1">SplineInterp(A547,INDIRECT("'" &amp;Master!$F$10&amp; "'!$A$2:$A$50"),INDIRECT("'" &amp;Master!$F$10&amp; "'!$G$2:$G$50"))</f>
        <v>#VALUE!</v>
      </c>
      <c r="H547" s="4" t="e">
        <f ca="1">SplineInterp(A547,INDIRECT("'" &amp;Master!$F$10&amp; "'!$A$2:$A$50"),INDIRECT("'" &amp;Master!$F$10&amp; "'!$H$2:$H$50"))</f>
        <v>#VALUE!</v>
      </c>
      <c r="I547" s="4" t="e">
        <f ca="1">IF(OR(INDIRECT("'" &amp; Master!$F$8 &amp; Master!$F$6 &amp; "'!B" &amp; ROW(B547))="", INDIRECT("'" &amp; Master!$F$8 &amp; Master!$F$6 &amp; "'!B" &amp; ROW(B547))=0), "", INDIRECT("'" &amp; Master!$F$8 &amp; Master!$F$6 &amp; "'!B" &amp; ROW(B547)))</f>
        <v>#VALUE!</v>
      </c>
      <c r="J547" s="9" t="e">
        <f t="shared" ca="1" si="56"/>
        <v>#VALUE!</v>
      </c>
      <c r="K547" s="7" t="e">
        <f t="shared" ca="1" si="57"/>
        <v>#VALUE!</v>
      </c>
      <c r="L547" s="7" t="e">
        <f t="shared" ca="1" si="58"/>
        <v>#VALUE!</v>
      </c>
      <c r="M547" s="7" t="e">
        <f t="shared" ca="1" si="59"/>
        <v>#VALUE!</v>
      </c>
      <c r="N547" s="7" t="e">
        <f t="shared" ca="1" si="60"/>
        <v>#VALUE!</v>
      </c>
      <c r="O547" s="7" t="e">
        <f t="shared" ca="1" si="61"/>
        <v>#VALUE!</v>
      </c>
      <c r="P547" s="7" t="e">
        <f t="shared" ca="1" si="62"/>
        <v>#VALUE!</v>
      </c>
    </row>
    <row r="548" spans="1:16" x14ac:dyDescent="0.25">
      <c r="A548" s="19" t="str">
        <f ca="1">IF(OR(INDIRECT("'" &amp; Master!$F$8 &amp; Master!$F$6 &amp; "'!A" &amp; ROW(A548))="", INDIRECT("'" &amp; Master!$F$8 &amp; Master!$F$6 &amp; "'!A" &amp; ROW(A548))=0), "", INDIRECT("'" &amp; Master!$F$8 &amp; Master!$F$6 &amp; "'!A" &amp; ROW(A548)))</f>
        <v/>
      </c>
      <c r="B548" s="4" t="e">
        <f ca="1">SplineInterp(INDIRECT("A" &amp; ROW()),INDIRECT("'" &amp;Master!$F$10&amp; "'!$A$2:$A$50"),INDIRECT("'" &amp;Master!$F$10&amp; "'!$B$2:$B$50"))</f>
        <v>#VALUE!</v>
      </c>
      <c r="C548" s="4" t="e">
        <f ca="1">SplineInterp(A548,INDIRECT("'" &amp;Master!$F$10&amp; "'!$A$2:$A$50"),INDIRECT("'" &amp;Master!$F$10&amp; "'!$C$2:$C$50"))</f>
        <v>#VALUE!</v>
      </c>
      <c r="D548" s="4" t="e">
        <f ca="1">SplineInterp(A548,INDIRECT("'" &amp;Master!$F$10&amp; "'!$A$2:$A$50"),INDIRECT("'" &amp;Master!$F$10&amp; "'!$D$2:$D$50"))</f>
        <v>#VALUE!</v>
      </c>
      <c r="E548" s="4" t="e">
        <f ca="1">SplineInterp(A548,INDIRECT("'" &amp;Master!$F$10&amp; "'!$A$2:$A$50"),INDIRECT("'" &amp;Master!$F$10&amp; "'!$E$2:$E$50"))</f>
        <v>#VALUE!</v>
      </c>
      <c r="F548" s="4" t="e">
        <f ca="1">SplineInterp(A548,INDIRECT("'" &amp;Master!$F$10&amp; "'!$A$2:$A$50"),INDIRECT("'" &amp;Master!$F$10&amp; "'!$F$2:$F$50"))</f>
        <v>#VALUE!</v>
      </c>
      <c r="G548" s="4" t="e">
        <f ca="1">SplineInterp(A548,INDIRECT("'" &amp;Master!$F$10&amp; "'!$A$2:$A$50"),INDIRECT("'" &amp;Master!$F$10&amp; "'!$G$2:$G$50"))</f>
        <v>#VALUE!</v>
      </c>
      <c r="H548" s="4" t="e">
        <f ca="1">SplineInterp(A548,INDIRECT("'" &amp;Master!$F$10&amp; "'!$A$2:$A$50"),INDIRECT("'" &amp;Master!$F$10&amp; "'!$H$2:$H$50"))</f>
        <v>#VALUE!</v>
      </c>
      <c r="I548" s="4" t="e">
        <f ca="1">IF(OR(INDIRECT("'" &amp; Master!$F$8 &amp; Master!$F$6 &amp; "'!B" &amp; ROW(B548))="", INDIRECT("'" &amp; Master!$F$8 &amp; Master!$F$6 &amp; "'!B" &amp; ROW(B548))=0), "", INDIRECT("'" &amp; Master!$F$8 &amp; Master!$F$6 &amp; "'!B" &amp; ROW(B548)))</f>
        <v>#VALUE!</v>
      </c>
      <c r="J548" s="9" t="e">
        <f t="shared" ca="1" si="56"/>
        <v>#VALUE!</v>
      </c>
      <c r="K548" s="7" t="e">
        <f t="shared" ca="1" si="57"/>
        <v>#VALUE!</v>
      </c>
      <c r="L548" s="7" t="e">
        <f t="shared" ca="1" si="58"/>
        <v>#VALUE!</v>
      </c>
      <c r="M548" s="7" t="e">
        <f t="shared" ca="1" si="59"/>
        <v>#VALUE!</v>
      </c>
      <c r="N548" s="7" t="e">
        <f t="shared" ca="1" si="60"/>
        <v>#VALUE!</v>
      </c>
      <c r="O548" s="7" t="e">
        <f t="shared" ca="1" si="61"/>
        <v>#VALUE!</v>
      </c>
      <c r="P548" s="7" t="e">
        <f t="shared" ca="1" si="62"/>
        <v>#VALUE!</v>
      </c>
    </row>
    <row r="549" spans="1:16" x14ac:dyDescent="0.25">
      <c r="A549" s="19" t="str">
        <f ca="1">IF(OR(INDIRECT("'" &amp; Master!$F$8 &amp; Master!$F$6 &amp; "'!A" &amp; ROW(A549))="", INDIRECT("'" &amp; Master!$F$8 &amp; Master!$F$6 &amp; "'!A" &amp; ROW(A549))=0), "", INDIRECT("'" &amp; Master!$F$8 &amp; Master!$F$6 &amp; "'!A" &amp; ROW(A549)))</f>
        <v/>
      </c>
      <c r="B549" s="4" t="e">
        <f ca="1">SplineInterp(INDIRECT("A" &amp; ROW()),INDIRECT("'" &amp;Master!$F$10&amp; "'!$A$2:$A$50"),INDIRECT("'" &amp;Master!$F$10&amp; "'!$B$2:$B$50"))</f>
        <v>#VALUE!</v>
      </c>
      <c r="C549" s="4" t="e">
        <f ca="1">SplineInterp(A549,INDIRECT("'" &amp;Master!$F$10&amp; "'!$A$2:$A$50"),INDIRECT("'" &amp;Master!$F$10&amp; "'!$C$2:$C$50"))</f>
        <v>#VALUE!</v>
      </c>
      <c r="D549" s="4" t="e">
        <f ca="1">SplineInterp(A549,INDIRECT("'" &amp;Master!$F$10&amp; "'!$A$2:$A$50"),INDIRECT("'" &amp;Master!$F$10&amp; "'!$D$2:$D$50"))</f>
        <v>#VALUE!</v>
      </c>
      <c r="E549" s="4" t="e">
        <f ca="1">SplineInterp(A549,INDIRECT("'" &amp;Master!$F$10&amp; "'!$A$2:$A$50"),INDIRECT("'" &amp;Master!$F$10&amp; "'!$E$2:$E$50"))</f>
        <v>#VALUE!</v>
      </c>
      <c r="F549" s="4" t="e">
        <f ca="1">SplineInterp(A549,INDIRECT("'" &amp;Master!$F$10&amp; "'!$A$2:$A$50"),INDIRECT("'" &amp;Master!$F$10&amp; "'!$F$2:$F$50"))</f>
        <v>#VALUE!</v>
      </c>
      <c r="G549" s="4" t="e">
        <f ca="1">SplineInterp(A549,INDIRECT("'" &amp;Master!$F$10&amp; "'!$A$2:$A$50"),INDIRECT("'" &amp;Master!$F$10&amp; "'!$G$2:$G$50"))</f>
        <v>#VALUE!</v>
      </c>
      <c r="H549" s="4" t="e">
        <f ca="1">SplineInterp(A549,INDIRECT("'" &amp;Master!$F$10&amp; "'!$A$2:$A$50"),INDIRECT("'" &amp;Master!$F$10&amp; "'!$H$2:$H$50"))</f>
        <v>#VALUE!</v>
      </c>
      <c r="I549" s="4" t="e">
        <f ca="1">IF(OR(INDIRECT("'" &amp; Master!$F$8 &amp; Master!$F$6 &amp; "'!B" &amp; ROW(B549))="", INDIRECT("'" &amp; Master!$F$8 &amp; Master!$F$6 &amp; "'!B" &amp; ROW(B549))=0), "", INDIRECT("'" &amp; Master!$F$8 &amp; Master!$F$6 &amp; "'!B" &amp; ROW(B549)))</f>
        <v>#VALUE!</v>
      </c>
      <c r="J549" s="9" t="e">
        <f t="shared" ca="1" si="56"/>
        <v>#VALUE!</v>
      </c>
      <c r="K549" s="7" t="e">
        <f t="shared" ca="1" si="57"/>
        <v>#VALUE!</v>
      </c>
      <c r="L549" s="7" t="e">
        <f t="shared" ca="1" si="58"/>
        <v>#VALUE!</v>
      </c>
      <c r="M549" s="7" t="e">
        <f t="shared" ca="1" si="59"/>
        <v>#VALUE!</v>
      </c>
      <c r="N549" s="7" t="e">
        <f t="shared" ca="1" si="60"/>
        <v>#VALUE!</v>
      </c>
      <c r="O549" s="7" t="e">
        <f t="shared" ca="1" si="61"/>
        <v>#VALUE!</v>
      </c>
      <c r="P549" s="7" t="e">
        <f t="shared" ca="1" si="62"/>
        <v>#VALUE!</v>
      </c>
    </row>
    <row r="550" spans="1:16" x14ac:dyDescent="0.25">
      <c r="A550" s="19" t="str">
        <f ca="1">IF(OR(INDIRECT("'" &amp; Master!$F$8 &amp; Master!$F$6 &amp; "'!A" &amp; ROW(A550))="", INDIRECT("'" &amp; Master!$F$8 &amp; Master!$F$6 &amp; "'!A" &amp; ROW(A550))=0), "", INDIRECT("'" &amp; Master!$F$8 &amp; Master!$F$6 &amp; "'!A" &amp; ROW(A550)))</f>
        <v/>
      </c>
      <c r="B550" s="4" t="e">
        <f ca="1">SplineInterp(INDIRECT("A" &amp; ROW()),INDIRECT("'" &amp;Master!$F$10&amp; "'!$A$2:$A$50"),INDIRECT("'" &amp;Master!$F$10&amp; "'!$B$2:$B$50"))</f>
        <v>#VALUE!</v>
      </c>
      <c r="C550" s="4" t="e">
        <f ca="1">SplineInterp(A550,INDIRECT("'" &amp;Master!$F$10&amp; "'!$A$2:$A$50"),INDIRECT("'" &amp;Master!$F$10&amp; "'!$C$2:$C$50"))</f>
        <v>#VALUE!</v>
      </c>
      <c r="D550" s="4" t="e">
        <f ca="1">SplineInterp(A550,INDIRECT("'" &amp;Master!$F$10&amp; "'!$A$2:$A$50"),INDIRECT("'" &amp;Master!$F$10&amp; "'!$D$2:$D$50"))</f>
        <v>#VALUE!</v>
      </c>
      <c r="E550" s="4" t="e">
        <f ca="1">SplineInterp(A550,INDIRECT("'" &amp;Master!$F$10&amp; "'!$A$2:$A$50"),INDIRECT("'" &amp;Master!$F$10&amp; "'!$E$2:$E$50"))</f>
        <v>#VALUE!</v>
      </c>
      <c r="F550" s="4" t="e">
        <f ca="1">SplineInterp(A550,INDIRECT("'" &amp;Master!$F$10&amp; "'!$A$2:$A$50"),INDIRECT("'" &amp;Master!$F$10&amp; "'!$F$2:$F$50"))</f>
        <v>#VALUE!</v>
      </c>
      <c r="G550" s="4" t="e">
        <f ca="1">SplineInterp(A550,INDIRECT("'" &amp;Master!$F$10&amp; "'!$A$2:$A$50"),INDIRECT("'" &amp;Master!$F$10&amp; "'!$G$2:$G$50"))</f>
        <v>#VALUE!</v>
      </c>
      <c r="H550" s="4" t="e">
        <f ca="1">SplineInterp(A550,INDIRECT("'" &amp;Master!$F$10&amp; "'!$A$2:$A$50"),INDIRECT("'" &amp;Master!$F$10&amp; "'!$H$2:$H$50"))</f>
        <v>#VALUE!</v>
      </c>
      <c r="I550" s="4" t="e">
        <f ca="1">IF(OR(INDIRECT("'" &amp; Master!$F$8 &amp; Master!$F$6 &amp; "'!B" &amp; ROW(B550))="", INDIRECT("'" &amp; Master!$F$8 &amp; Master!$F$6 &amp; "'!B" &amp; ROW(B550))=0), "", INDIRECT("'" &amp; Master!$F$8 &amp; Master!$F$6 &amp; "'!B" &amp; ROW(B550)))</f>
        <v>#VALUE!</v>
      </c>
      <c r="J550" s="9" t="e">
        <f t="shared" ca="1" si="56"/>
        <v>#VALUE!</v>
      </c>
      <c r="K550" s="7" t="e">
        <f t="shared" ca="1" si="57"/>
        <v>#VALUE!</v>
      </c>
      <c r="L550" s="7" t="e">
        <f t="shared" ca="1" si="58"/>
        <v>#VALUE!</v>
      </c>
      <c r="M550" s="7" t="e">
        <f t="shared" ca="1" si="59"/>
        <v>#VALUE!</v>
      </c>
      <c r="N550" s="7" t="e">
        <f t="shared" ca="1" si="60"/>
        <v>#VALUE!</v>
      </c>
      <c r="O550" s="7" t="e">
        <f t="shared" ca="1" si="61"/>
        <v>#VALUE!</v>
      </c>
      <c r="P550" s="7" t="e">
        <f t="shared" ca="1" si="62"/>
        <v>#VALUE!</v>
      </c>
    </row>
    <row r="551" spans="1:16" x14ac:dyDescent="0.25">
      <c r="A551" s="19" t="str">
        <f ca="1">IF(OR(INDIRECT("'" &amp; Master!$F$8 &amp; Master!$F$6 &amp; "'!A" &amp; ROW(A551))="", INDIRECT("'" &amp; Master!$F$8 &amp; Master!$F$6 &amp; "'!A" &amp; ROW(A551))=0), "", INDIRECT("'" &amp; Master!$F$8 &amp; Master!$F$6 &amp; "'!A" &amp; ROW(A551)))</f>
        <v/>
      </c>
      <c r="B551" s="4" t="e">
        <f ca="1">SplineInterp(INDIRECT("A" &amp; ROW()),INDIRECT("'" &amp;Master!$F$10&amp; "'!$A$2:$A$50"),INDIRECT("'" &amp;Master!$F$10&amp; "'!$B$2:$B$50"))</f>
        <v>#VALUE!</v>
      </c>
      <c r="C551" s="4" t="e">
        <f ca="1">SplineInterp(A551,INDIRECT("'" &amp;Master!$F$10&amp; "'!$A$2:$A$50"),INDIRECT("'" &amp;Master!$F$10&amp; "'!$C$2:$C$50"))</f>
        <v>#VALUE!</v>
      </c>
      <c r="D551" s="4" t="e">
        <f ca="1">SplineInterp(A551,INDIRECT("'" &amp;Master!$F$10&amp; "'!$A$2:$A$50"),INDIRECT("'" &amp;Master!$F$10&amp; "'!$D$2:$D$50"))</f>
        <v>#VALUE!</v>
      </c>
      <c r="E551" s="4" t="e">
        <f ca="1">SplineInterp(A551,INDIRECT("'" &amp;Master!$F$10&amp; "'!$A$2:$A$50"),INDIRECT("'" &amp;Master!$F$10&amp; "'!$E$2:$E$50"))</f>
        <v>#VALUE!</v>
      </c>
      <c r="F551" s="4" t="e">
        <f ca="1">SplineInterp(A551,INDIRECT("'" &amp;Master!$F$10&amp; "'!$A$2:$A$50"),INDIRECT("'" &amp;Master!$F$10&amp; "'!$F$2:$F$50"))</f>
        <v>#VALUE!</v>
      </c>
      <c r="G551" s="4" t="e">
        <f ca="1">SplineInterp(A551,INDIRECT("'" &amp;Master!$F$10&amp; "'!$A$2:$A$50"),INDIRECT("'" &amp;Master!$F$10&amp; "'!$G$2:$G$50"))</f>
        <v>#VALUE!</v>
      </c>
      <c r="H551" s="4" t="e">
        <f ca="1">SplineInterp(A551,INDIRECT("'" &amp;Master!$F$10&amp; "'!$A$2:$A$50"),INDIRECT("'" &amp;Master!$F$10&amp; "'!$H$2:$H$50"))</f>
        <v>#VALUE!</v>
      </c>
      <c r="I551" s="4" t="e">
        <f ca="1">IF(OR(INDIRECT("'" &amp; Master!$F$8 &amp; Master!$F$6 &amp; "'!B" &amp; ROW(B551))="", INDIRECT("'" &amp; Master!$F$8 &amp; Master!$F$6 &amp; "'!B" &amp; ROW(B551))=0), "", INDIRECT("'" &amp; Master!$F$8 &amp; Master!$F$6 &amp; "'!B" &amp; ROW(B551)))</f>
        <v>#VALUE!</v>
      </c>
      <c r="J551" s="9" t="e">
        <f t="shared" ca="1" si="56"/>
        <v>#VALUE!</v>
      </c>
      <c r="K551" s="7" t="e">
        <f t="shared" ca="1" si="57"/>
        <v>#VALUE!</v>
      </c>
      <c r="L551" s="7" t="e">
        <f t="shared" ca="1" si="58"/>
        <v>#VALUE!</v>
      </c>
      <c r="M551" s="7" t="e">
        <f t="shared" ca="1" si="59"/>
        <v>#VALUE!</v>
      </c>
      <c r="N551" s="7" t="e">
        <f t="shared" ca="1" si="60"/>
        <v>#VALUE!</v>
      </c>
      <c r="O551" s="7" t="e">
        <f t="shared" ca="1" si="61"/>
        <v>#VALUE!</v>
      </c>
      <c r="P551" s="7" t="e">
        <f t="shared" ca="1" si="62"/>
        <v>#VALUE!</v>
      </c>
    </row>
    <row r="552" spans="1:16" x14ac:dyDescent="0.25">
      <c r="A552" s="19" t="str">
        <f ca="1">IF(OR(INDIRECT("'" &amp; Master!$F$8 &amp; Master!$F$6 &amp; "'!A" &amp; ROW(A552))="", INDIRECT("'" &amp; Master!$F$8 &amp; Master!$F$6 &amp; "'!A" &amp; ROW(A552))=0), "", INDIRECT("'" &amp; Master!$F$8 &amp; Master!$F$6 &amp; "'!A" &amp; ROW(A552)))</f>
        <v/>
      </c>
      <c r="B552" s="4" t="e">
        <f ca="1">SplineInterp(INDIRECT("A" &amp; ROW()),INDIRECT("'" &amp;Master!$F$10&amp; "'!$A$2:$A$50"),INDIRECT("'" &amp;Master!$F$10&amp; "'!$B$2:$B$50"))</f>
        <v>#VALUE!</v>
      </c>
      <c r="C552" s="4" t="e">
        <f ca="1">SplineInterp(A552,INDIRECT("'" &amp;Master!$F$10&amp; "'!$A$2:$A$50"),INDIRECT("'" &amp;Master!$F$10&amp; "'!$C$2:$C$50"))</f>
        <v>#VALUE!</v>
      </c>
      <c r="D552" s="4" t="e">
        <f ca="1">SplineInterp(A552,INDIRECT("'" &amp;Master!$F$10&amp; "'!$A$2:$A$50"),INDIRECT("'" &amp;Master!$F$10&amp; "'!$D$2:$D$50"))</f>
        <v>#VALUE!</v>
      </c>
      <c r="E552" s="4" t="e">
        <f ca="1">SplineInterp(A552,INDIRECT("'" &amp;Master!$F$10&amp; "'!$A$2:$A$50"),INDIRECT("'" &amp;Master!$F$10&amp; "'!$E$2:$E$50"))</f>
        <v>#VALUE!</v>
      </c>
      <c r="F552" s="4" t="e">
        <f ca="1">SplineInterp(A552,INDIRECT("'" &amp;Master!$F$10&amp; "'!$A$2:$A$50"),INDIRECT("'" &amp;Master!$F$10&amp; "'!$F$2:$F$50"))</f>
        <v>#VALUE!</v>
      </c>
      <c r="G552" s="4" t="e">
        <f ca="1">SplineInterp(A552,INDIRECT("'" &amp;Master!$F$10&amp; "'!$A$2:$A$50"),INDIRECT("'" &amp;Master!$F$10&amp; "'!$G$2:$G$50"))</f>
        <v>#VALUE!</v>
      </c>
      <c r="H552" s="4" t="e">
        <f ca="1">SplineInterp(A552,INDIRECT("'" &amp;Master!$F$10&amp; "'!$A$2:$A$50"),INDIRECT("'" &amp;Master!$F$10&amp; "'!$H$2:$H$50"))</f>
        <v>#VALUE!</v>
      </c>
      <c r="I552" s="4" t="e">
        <f ca="1">IF(OR(INDIRECT("'" &amp; Master!$F$8 &amp; Master!$F$6 &amp; "'!B" &amp; ROW(B552))="", INDIRECT("'" &amp; Master!$F$8 &amp; Master!$F$6 &amp; "'!B" &amp; ROW(B552))=0), "", INDIRECT("'" &amp; Master!$F$8 &amp; Master!$F$6 &amp; "'!B" &amp; ROW(B552)))</f>
        <v>#VALUE!</v>
      </c>
      <c r="J552" s="9" t="e">
        <f t="shared" ca="1" si="56"/>
        <v>#VALUE!</v>
      </c>
      <c r="K552" s="7" t="e">
        <f t="shared" ca="1" si="57"/>
        <v>#VALUE!</v>
      </c>
      <c r="L552" s="7" t="e">
        <f t="shared" ca="1" si="58"/>
        <v>#VALUE!</v>
      </c>
      <c r="M552" s="7" t="e">
        <f t="shared" ca="1" si="59"/>
        <v>#VALUE!</v>
      </c>
      <c r="N552" s="7" t="e">
        <f t="shared" ca="1" si="60"/>
        <v>#VALUE!</v>
      </c>
      <c r="O552" s="7" t="e">
        <f t="shared" ca="1" si="61"/>
        <v>#VALUE!</v>
      </c>
      <c r="P552" s="7" t="e">
        <f t="shared" ca="1" si="62"/>
        <v>#VALUE!</v>
      </c>
    </row>
    <row r="553" spans="1:16" x14ac:dyDescent="0.25">
      <c r="A553" s="19" t="str">
        <f ca="1">IF(OR(INDIRECT("'" &amp; Master!$F$8 &amp; Master!$F$6 &amp; "'!A" &amp; ROW(A553))="", INDIRECT("'" &amp; Master!$F$8 &amp; Master!$F$6 &amp; "'!A" &amp; ROW(A553))=0), "", INDIRECT("'" &amp; Master!$F$8 &amp; Master!$F$6 &amp; "'!A" &amp; ROW(A553)))</f>
        <v/>
      </c>
      <c r="B553" s="4" t="e">
        <f ca="1">SplineInterp(INDIRECT("A" &amp; ROW()),INDIRECT("'" &amp;Master!$F$10&amp; "'!$A$2:$A$50"),INDIRECT("'" &amp;Master!$F$10&amp; "'!$B$2:$B$50"))</f>
        <v>#VALUE!</v>
      </c>
      <c r="C553" s="4" t="e">
        <f ca="1">SplineInterp(A553,INDIRECT("'" &amp;Master!$F$10&amp; "'!$A$2:$A$50"),INDIRECT("'" &amp;Master!$F$10&amp; "'!$C$2:$C$50"))</f>
        <v>#VALUE!</v>
      </c>
      <c r="D553" s="4" t="e">
        <f ca="1">SplineInterp(A553,INDIRECT("'" &amp;Master!$F$10&amp; "'!$A$2:$A$50"),INDIRECT("'" &amp;Master!$F$10&amp; "'!$D$2:$D$50"))</f>
        <v>#VALUE!</v>
      </c>
      <c r="E553" s="4" t="e">
        <f ca="1">SplineInterp(A553,INDIRECT("'" &amp;Master!$F$10&amp; "'!$A$2:$A$50"),INDIRECT("'" &amp;Master!$F$10&amp; "'!$E$2:$E$50"))</f>
        <v>#VALUE!</v>
      </c>
      <c r="F553" s="4" t="e">
        <f ca="1">SplineInterp(A553,INDIRECT("'" &amp;Master!$F$10&amp; "'!$A$2:$A$50"),INDIRECT("'" &amp;Master!$F$10&amp; "'!$F$2:$F$50"))</f>
        <v>#VALUE!</v>
      </c>
      <c r="G553" s="4" t="e">
        <f ca="1">SplineInterp(A553,INDIRECT("'" &amp;Master!$F$10&amp; "'!$A$2:$A$50"),INDIRECT("'" &amp;Master!$F$10&amp; "'!$G$2:$G$50"))</f>
        <v>#VALUE!</v>
      </c>
      <c r="H553" s="4" t="e">
        <f ca="1">SplineInterp(A553,INDIRECT("'" &amp;Master!$F$10&amp; "'!$A$2:$A$50"),INDIRECT("'" &amp;Master!$F$10&amp; "'!$H$2:$H$50"))</f>
        <v>#VALUE!</v>
      </c>
      <c r="I553" s="4" t="e">
        <f ca="1">IF(OR(INDIRECT("'" &amp; Master!$F$8 &amp; Master!$F$6 &amp; "'!B" &amp; ROW(B553))="", INDIRECT("'" &amp; Master!$F$8 &amp; Master!$F$6 &amp; "'!B" &amp; ROW(B553))=0), "", INDIRECT("'" &amp; Master!$F$8 &amp; Master!$F$6 &amp; "'!B" &amp; ROW(B553)))</f>
        <v>#VALUE!</v>
      </c>
      <c r="J553" s="9" t="e">
        <f t="shared" ca="1" si="56"/>
        <v>#VALUE!</v>
      </c>
      <c r="K553" s="7" t="e">
        <f t="shared" ca="1" si="57"/>
        <v>#VALUE!</v>
      </c>
      <c r="L553" s="7" t="e">
        <f t="shared" ca="1" si="58"/>
        <v>#VALUE!</v>
      </c>
      <c r="M553" s="7" t="e">
        <f t="shared" ca="1" si="59"/>
        <v>#VALUE!</v>
      </c>
      <c r="N553" s="7" t="e">
        <f t="shared" ca="1" si="60"/>
        <v>#VALUE!</v>
      </c>
      <c r="O553" s="7" t="e">
        <f t="shared" ca="1" si="61"/>
        <v>#VALUE!</v>
      </c>
      <c r="P553" s="7" t="e">
        <f t="shared" ca="1" si="62"/>
        <v>#VALUE!</v>
      </c>
    </row>
    <row r="554" spans="1:16" x14ac:dyDescent="0.25">
      <c r="A554" s="19" t="str">
        <f ca="1">IF(OR(INDIRECT("'" &amp; Master!$F$8 &amp; Master!$F$6 &amp; "'!A" &amp; ROW(A554))="", INDIRECT("'" &amp; Master!$F$8 &amp; Master!$F$6 &amp; "'!A" &amp; ROW(A554))=0), "", INDIRECT("'" &amp; Master!$F$8 &amp; Master!$F$6 &amp; "'!A" &amp; ROW(A554)))</f>
        <v/>
      </c>
      <c r="B554" s="4" t="e">
        <f ca="1">SplineInterp(INDIRECT("A" &amp; ROW()),INDIRECT("'" &amp;Master!$F$10&amp; "'!$A$2:$A$50"),INDIRECT("'" &amp;Master!$F$10&amp; "'!$B$2:$B$50"))</f>
        <v>#VALUE!</v>
      </c>
      <c r="C554" s="4" t="e">
        <f ca="1">SplineInterp(A554,INDIRECT("'" &amp;Master!$F$10&amp; "'!$A$2:$A$50"),INDIRECT("'" &amp;Master!$F$10&amp; "'!$C$2:$C$50"))</f>
        <v>#VALUE!</v>
      </c>
      <c r="D554" s="4" t="e">
        <f ca="1">SplineInterp(A554,INDIRECT("'" &amp;Master!$F$10&amp; "'!$A$2:$A$50"),INDIRECT("'" &amp;Master!$F$10&amp; "'!$D$2:$D$50"))</f>
        <v>#VALUE!</v>
      </c>
      <c r="E554" s="4" t="e">
        <f ca="1">SplineInterp(A554,INDIRECT("'" &amp;Master!$F$10&amp; "'!$A$2:$A$50"),INDIRECT("'" &amp;Master!$F$10&amp; "'!$E$2:$E$50"))</f>
        <v>#VALUE!</v>
      </c>
      <c r="F554" s="4" t="e">
        <f ca="1">SplineInterp(A554,INDIRECT("'" &amp;Master!$F$10&amp; "'!$A$2:$A$50"),INDIRECT("'" &amp;Master!$F$10&amp; "'!$F$2:$F$50"))</f>
        <v>#VALUE!</v>
      </c>
      <c r="G554" s="4" t="e">
        <f ca="1">SplineInterp(A554,INDIRECT("'" &amp;Master!$F$10&amp; "'!$A$2:$A$50"),INDIRECT("'" &amp;Master!$F$10&amp; "'!$G$2:$G$50"))</f>
        <v>#VALUE!</v>
      </c>
      <c r="H554" s="4" t="e">
        <f ca="1">SplineInterp(A554,INDIRECT("'" &amp;Master!$F$10&amp; "'!$A$2:$A$50"),INDIRECT("'" &amp;Master!$F$10&amp; "'!$H$2:$H$50"))</f>
        <v>#VALUE!</v>
      </c>
      <c r="I554" s="4" t="e">
        <f ca="1">IF(OR(INDIRECT("'" &amp; Master!$F$8 &amp; Master!$F$6 &amp; "'!B" &amp; ROW(B554))="", INDIRECT("'" &amp; Master!$F$8 &amp; Master!$F$6 &amp; "'!B" &amp; ROW(B554))=0), "", INDIRECT("'" &amp; Master!$F$8 &amp; Master!$F$6 &amp; "'!B" &amp; ROW(B554)))</f>
        <v>#VALUE!</v>
      </c>
      <c r="J554" s="9" t="e">
        <f t="shared" ca="1" si="56"/>
        <v>#VALUE!</v>
      </c>
      <c r="K554" s="7" t="e">
        <f t="shared" ca="1" si="57"/>
        <v>#VALUE!</v>
      </c>
      <c r="L554" s="7" t="e">
        <f t="shared" ca="1" si="58"/>
        <v>#VALUE!</v>
      </c>
      <c r="M554" s="7" t="e">
        <f t="shared" ca="1" si="59"/>
        <v>#VALUE!</v>
      </c>
      <c r="N554" s="7" t="e">
        <f t="shared" ca="1" si="60"/>
        <v>#VALUE!</v>
      </c>
      <c r="O554" s="7" t="e">
        <f t="shared" ca="1" si="61"/>
        <v>#VALUE!</v>
      </c>
      <c r="P554" s="7" t="e">
        <f t="shared" ca="1" si="62"/>
        <v>#VALUE!</v>
      </c>
    </row>
    <row r="555" spans="1:16" x14ac:dyDescent="0.25">
      <c r="A555" s="19" t="str">
        <f ca="1">IF(OR(INDIRECT("'" &amp; Master!$F$8 &amp; Master!$F$6 &amp; "'!A" &amp; ROW(A555))="", INDIRECT("'" &amp; Master!$F$8 &amp; Master!$F$6 &amp; "'!A" &amp; ROW(A555))=0), "", INDIRECT("'" &amp; Master!$F$8 &amp; Master!$F$6 &amp; "'!A" &amp; ROW(A555)))</f>
        <v/>
      </c>
      <c r="B555" s="4" t="e">
        <f ca="1">SplineInterp(INDIRECT("A" &amp; ROW()),INDIRECT("'" &amp;Master!$F$10&amp; "'!$A$2:$A$50"),INDIRECT("'" &amp;Master!$F$10&amp; "'!$B$2:$B$50"))</f>
        <v>#VALUE!</v>
      </c>
      <c r="C555" s="4" t="e">
        <f ca="1">SplineInterp(A555,INDIRECT("'" &amp;Master!$F$10&amp; "'!$A$2:$A$50"),INDIRECT("'" &amp;Master!$F$10&amp; "'!$C$2:$C$50"))</f>
        <v>#VALUE!</v>
      </c>
      <c r="D555" s="4" t="e">
        <f ca="1">SplineInterp(A555,INDIRECT("'" &amp;Master!$F$10&amp; "'!$A$2:$A$50"),INDIRECT("'" &amp;Master!$F$10&amp; "'!$D$2:$D$50"))</f>
        <v>#VALUE!</v>
      </c>
      <c r="E555" s="4" t="e">
        <f ca="1">SplineInterp(A555,INDIRECT("'" &amp;Master!$F$10&amp; "'!$A$2:$A$50"),INDIRECT("'" &amp;Master!$F$10&amp; "'!$E$2:$E$50"))</f>
        <v>#VALUE!</v>
      </c>
      <c r="F555" s="4" t="e">
        <f ca="1">SplineInterp(A555,INDIRECT("'" &amp;Master!$F$10&amp; "'!$A$2:$A$50"),INDIRECT("'" &amp;Master!$F$10&amp; "'!$F$2:$F$50"))</f>
        <v>#VALUE!</v>
      </c>
      <c r="G555" s="4" t="e">
        <f ca="1">SplineInterp(A555,INDIRECT("'" &amp;Master!$F$10&amp; "'!$A$2:$A$50"),INDIRECT("'" &amp;Master!$F$10&amp; "'!$G$2:$G$50"))</f>
        <v>#VALUE!</v>
      </c>
      <c r="H555" s="4" t="e">
        <f ca="1">SplineInterp(A555,INDIRECT("'" &amp;Master!$F$10&amp; "'!$A$2:$A$50"),INDIRECT("'" &amp;Master!$F$10&amp; "'!$H$2:$H$50"))</f>
        <v>#VALUE!</v>
      </c>
      <c r="I555" s="4" t="e">
        <f ca="1">IF(OR(INDIRECT("'" &amp; Master!$F$8 &amp; Master!$F$6 &amp; "'!B" &amp; ROW(B555))="", INDIRECT("'" &amp; Master!$F$8 &amp; Master!$F$6 &amp; "'!B" &amp; ROW(B555))=0), "", INDIRECT("'" &amp; Master!$F$8 &amp; Master!$F$6 &amp; "'!B" &amp; ROW(B555)))</f>
        <v>#VALUE!</v>
      </c>
      <c r="J555" s="9" t="e">
        <f t="shared" ca="1" si="56"/>
        <v>#VALUE!</v>
      </c>
      <c r="K555" s="7" t="e">
        <f t="shared" ca="1" si="57"/>
        <v>#VALUE!</v>
      </c>
      <c r="L555" s="7" t="e">
        <f t="shared" ca="1" si="58"/>
        <v>#VALUE!</v>
      </c>
      <c r="M555" s="7" t="e">
        <f t="shared" ca="1" si="59"/>
        <v>#VALUE!</v>
      </c>
      <c r="N555" s="7" t="e">
        <f t="shared" ca="1" si="60"/>
        <v>#VALUE!</v>
      </c>
      <c r="O555" s="7" t="e">
        <f t="shared" ca="1" si="61"/>
        <v>#VALUE!</v>
      </c>
      <c r="P555" s="7" t="e">
        <f t="shared" ca="1" si="62"/>
        <v>#VALUE!</v>
      </c>
    </row>
    <row r="556" spans="1:16" x14ac:dyDescent="0.25">
      <c r="A556" s="19" t="str">
        <f ca="1">IF(OR(INDIRECT("'" &amp; Master!$F$8 &amp; Master!$F$6 &amp; "'!A" &amp; ROW(A556))="", INDIRECT("'" &amp; Master!$F$8 &amp; Master!$F$6 &amp; "'!A" &amp; ROW(A556))=0), "", INDIRECT("'" &amp; Master!$F$8 &amp; Master!$F$6 &amp; "'!A" &amp; ROW(A556)))</f>
        <v/>
      </c>
      <c r="B556" s="4" t="e">
        <f ca="1">SplineInterp(INDIRECT("A" &amp; ROW()),INDIRECT("'" &amp;Master!$F$10&amp; "'!$A$2:$A$50"),INDIRECT("'" &amp;Master!$F$10&amp; "'!$B$2:$B$50"))</f>
        <v>#VALUE!</v>
      </c>
      <c r="C556" s="4" t="e">
        <f ca="1">SplineInterp(A556,INDIRECT("'" &amp;Master!$F$10&amp; "'!$A$2:$A$50"),INDIRECT("'" &amp;Master!$F$10&amp; "'!$C$2:$C$50"))</f>
        <v>#VALUE!</v>
      </c>
      <c r="D556" s="4" t="e">
        <f ca="1">SplineInterp(A556,INDIRECT("'" &amp;Master!$F$10&amp; "'!$A$2:$A$50"),INDIRECT("'" &amp;Master!$F$10&amp; "'!$D$2:$D$50"))</f>
        <v>#VALUE!</v>
      </c>
      <c r="E556" s="4" t="e">
        <f ca="1">SplineInterp(A556,INDIRECT("'" &amp;Master!$F$10&amp; "'!$A$2:$A$50"),INDIRECT("'" &amp;Master!$F$10&amp; "'!$E$2:$E$50"))</f>
        <v>#VALUE!</v>
      </c>
      <c r="F556" s="4" t="e">
        <f ca="1">SplineInterp(A556,INDIRECT("'" &amp;Master!$F$10&amp; "'!$A$2:$A$50"),INDIRECT("'" &amp;Master!$F$10&amp; "'!$F$2:$F$50"))</f>
        <v>#VALUE!</v>
      </c>
      <c r="G556" s="4" t="e">
        <f ca="1">SplineInterp(A556,INDIRECT("'" &amp;Master!$F$10&amp; "'!$A$2:$A$50"),INDIRECT("'" &amp;Master!$F$10&amp; "'!$G$2:$G$50"))</f>
        <v>#VALUE!</v>
      </c>
      <c r="H556" s="4" t="e">
        <f ca="1">SplineInterp(A556,INDIRECT("'" &amp;Master!$F$10&amp; "'!$A$2:$A$50"),INDIRECT("'" &amp;Master!$F$10&amp; "'!$H$2:$H$50"))</f>
        <v>#VALUE!</v>
      </c>
      <c r="I556" s="4" t="e">
        <f ca="1">IF(OR(INDIRECT("'" &amp; Master!$F$8 &amp; Master!$F$6 &amp; "'!B" &amp; ROW(B556))="", INDIRECT("'" &amp; Master!$F$8 &amp; Master!$F$6 &amp; "'!B" &amp; ROW(B556))=0), "", INDIRECT("'" &amp; Master!$F$8 &amp; Master!$F$6 &amp; "'!B" &amp; ROW(B556)))</f>
        <v>#VALUE!</v>
      </c>
      <c r="J556" s="9" t="e">
        <f t="shared" ca="1" si="56"/>
        <v>#VALUE!</v>
      </c>
      <c r="K556" s="7" t="e">
        <f t="shared" ca="1" si="57"/>
        <v>#VALUE!</v>
      </c>
      <c r="L556" s="7" t="e">
        <f t="shared" ca="1" si="58"/>
        <v>#VALUE!</v>
      </c>
      <c r="M556" s="7" t="e">
        <f t="shared" ca="1" si="59"/>
        <v>#VALUE!</v>
      </c>
      <c r="N556" s="7" t="e">
        <f t="shared" ca="1" si="60"/>
        <v>#VALUE!</v>
      </c>
      <c r="O556" s="7" t="e">
        <f t="shared" ca="1" si="61"/>
        <v>#VALUE!</v>
      </c>
      <c r="P556" s="7" t="e">
        <f t="shared" ca="1" si="62"/>
        <v>#VALUE!</v>
      </c>
    </row>
    <row r="557" spans="1:16" x14ac:dyDescent="0.25">
      <c r="A557" s="19" t="str">
        <f ca="1">IF(OR(INDIRECT("'" &amp; Master!$F$8 &amp; Master!$F$6 &amp; "'!A" &amp; ROW(A557))="", INDIRECT("'" &amp; Master!$F$8 &amp; Master!$F$6 &amp; "'!A" &amp; ROW(A557))=0), "", INDIRECT("'" &amp; Master!$F$8 &amp; Master!$F$6 &amp; "'!A" &amp; ROW(A557)))</f>
        <v/>
      </c>
      <c r="B557" s="4" t="e">
        <f ca="1">SplineInterp(INDIRECT("A" &amp; ROW()),INDIRECT("'" &amp;Master!$F$10&amp; "'!$A$2:$A$50"),INDIRECT("'" &amp;Master!$F$10&amp; "'!$B$2:$B$50"))</f>
        <v>#VALUE!</v>
      </c>
      <c r="C557" s="4" t="e">
        <f ca="1">SplineInterp(A557,INDIRECT("'" &amp;Master!$F$10&amp; "'!$A$2:$A$50"),INDIRECT("'" &amp;Master!$F$10&amp; "'!$C$2:$C$50"))</f>
        <v>#VALUE!</v>
      </c>
      <c r="D557" s="4" t="e">
        <f ca="1">SplineInterp(A557,INDIRECT("'" &amp;Master!$F$10&amp; "'!$A$2:$A$50"),INDIRECT("'" &amp;Master!$F$10&amp; "'!$D$2:$D$50"))</f>
        <v>#VALUE!</v>
      </c>
      <c r="E557" s="4" t="e">
        <f ca="1">SplineInterp(A557,INDIRECT("'" &amp;Master!$F$10&amp; "'!$A$2:$A$50"),INDIRECT("'" &amp;Master!$F$10&amp; "'!$E$2:$E$50"))</f>
        <v>#VALUE!</v>
      </c>
      <c r="F557" s="4" t="e">
        <f ca="1">SplineInterp(A557,INDIRECT("'" &amp;Master!$F$10&amp; "'!$A$2:$A$50"),INDIRECT("'" &amp;Master!$F$10&amp; "'!$F$2:$F$50"))</f>
        <v>#VALUE!</v>
      </c>
      <c r="G557" s="4" t="e">
        <f ca="1">SplineInterp(A557,INDIRECT("'" &amp;Master!$F$10&amp; "'!$A$2:$A$50"),INDIRECT("'" &amp;Master!$F$10&amp; "'!$G$2:$G$50"))</f>
        <v>#VALUE!</v>
      </c>
      <c r="H557" s="4" t="e">
        <f ca="1">SplineInterp(A557,INDIRECT("'" &amp;Master!$F$10&amp; "'!$A$2:$A$50"),INDIRECT("'" &amp;Master!$F$10&amp; "'!$H$2:$H$50"))</f>
        <v>#VALUE!</v>
      </c>
      <c r="I557" s="4" t="e">
        <f ca="1">IF(OR(INDIRECT("'" &amp; Master!$F$8 &amp; Master!$F$6 &amp; "'!B" &amp; ROW(B557))="", INDIRECT("'" &amp; Master!$F$8 &amp; Master!$F$6 &amp; "'!B" &amp; ROW(B557))=0), "", INDIRECT("'" &amp; Master!$F$8 &amp; Master!$F$6 &amp; "'!B" &amp; ROW(B557)))</f>
        <v>#VALUE!</v>
      </c>
      <c r="J557" s="9" t="e">
        <f t="shared" ca="1" si="56"/>
        <v>#VALUE!</v>
      </c>
      <c r="K557" s="7" t="e">
        <f t="shared" ca="1" si="57"/>
        <v>#VALUE!</v>
      </c>
      <c r="L557" s="7" t="e">
        <f t="shared" ca="1" si="58"/>
        <v>#VALUE!</v>
      </c>
      <c r="M557" s="7" t="e">
        <f t="shared" ca="1" si="59"/>
        <v>#VALUE!</v>
      </c>
      <c r="N557" s="7" t="e">
        <f t="shared" ca="1" si="60"/>
        <v>#VALUE!</v>
      </c>
      <c r="O557" s="7" t="e">
        <f t="shared" ca="1" si="61"/>
        <v>#VALUE!</v>
      </c>
      <c r="P557" s="7" t="e">
        <f t="shared" ca="1" si="62"/>
        <v>#VALUE!</v>
      </c>
    </row>
    <row r="558" spans="1:16" x14ac:dyDescent="0.25">
      <c r="A558" s="19" t="str">
        <f ca="1">IF(OR(INDIRECT("'" &amp; Master!$F$8 &amp; Master!$F$6 &amp; "'!A" &amp; ROW(A558))="", INDIRECT("'" &amp; Master!$F$8 &amp; Master!$F$6 &amp; "'!A" &amp; ROW(A558))=0), "", INDIRECT("'" &amp; Master!$F$8 &amp; Master!$F$6 &amp; "'!A" &amp; ROW(A558)))</f>
        <v/>
      </c>
      <c r="B558" s="4" t="e">
        <f ca="1">SplineInterp(INDIRECT("A" &amp; ROW()),INDIRECT("'" &amp;Master!$F$10&amp; "'!$A$2:$A$50"),INDIRECT("'" &amp;Master!$F$10&amp; "'!$B$2:$B$50"))</f>
        <v>#VALUE!</v>
      </c>
      <c r="C558" s="4" t="e">
        <f ca="1">SplineInterp(A558,INDIRECT("'" &amp;Master!$F$10&amp; "'!$A$2:$A$50"),INDIRECT("'" &amp;Master!$F$10&amp; "'!$C$2:$C$50"))</f>
        <v>#VALUE!</v>
      </c>
      <c r="D558" s="4" t="e">
        <f ca="1">SplineInterp(A558,INDIRECT("'" &amp;Master!$F$10&amp; "'!$A$2:$A$50"),INDIRECT("'" &amp;Master!$F$10&amp; "'!$D$2:$D$50"))</f>
        <v>#VALUE!</v>
      </c>
      <c r="E558" s="4" t="e">
        <f ca="1">SplineInterp(A558,INDIRECT("'" &amp;Master!$F$10&amp; "'!$A$2:$A$50"),INDIRECT("'" &amp;Master!$F$10&amp; "'!$E$2:$E$50"))</f>
        <v>#VALUE!</v>
      </c>
      <c r="F558" s="4" t="e">
        <f ca="1">SplineInterp(A558,INDIRECT("'" &amp;Master!$F$10&amp; "'!$A$2:$A$50"),INDIRECT("'" &amp;Master!$F$10&amp; "'!$F$2:$F$50"))</f>
        <v>#VALUE!</v>
      </c>
      <c r="G558" s="4" t="e">
        <f ca="1">SplineInterp(A558,INDIRECT("'" &amp;Master!$F$10&amp; "'!$A$2:$A$50"),INDIRECT("'" &amp;Master!$F$10&amp; "'!$G$2:$G$50"))</f>
        <v>#VALUE!</v>
      </c>
      <c r="H558" s="4" t="e">
        <f ca="1">SplineInterp(A558,INDIRECT("'" &amp;Master!$F$10&amp; "'!$A$2:$A$50"),INDIRECT("'" &amp;Master!$F$10&amp; "'!$H$2:$H$50"))</f>
        <v>#VALUE!</v>
      </c>
      <c r="I558" s="4" t="e">
        <f ca="1">IF(OR(INDIRECT("'" &amp; Master!$F$8 &amp; Master!$F$6 &amp; "'!B" &amp; ROW(B558))="", INDIRECT("'" &amp; Master!$F$8 &amp; Master!$F$6 &amp; "'!B" &amp; ROW(B558))=0), "", INDIRECT("'" &amp; Master!$F$8 &amp; Master!$F$6 &amp; "'!B" &amp; ROW(B558)))</f>
        <v>#VALUE!</v>
      </c>
      <c r="J558" s="9" t="e">
        <f t="shared" ca="1" si="56"/>
        <v>#VALUE!</v>
      </c>
      <c r="K558" s="7" t="e">
        <f t="shared" ca="1" si="57"/>
        <v>#VALUE!</v>
      </c>
      <c r="L558" s="7" t="e">
        <f t="shared" ca="1" si="58"/>
        <v>#VALUE!</v>
      </c>
      <c r="M558" s="7" t="e">
        <f t="shared" ca="1" si="59"/>
        <v>#VALUE!</v>
      </c>
      <c r="N558" s="7" t="e">
        <f t="shared" ca="1" si="60"/>
        <v>#VALUE!</v>
      </c>
      <c r="O558" s="7" t="e">
        <f t="shared" ca="1" si="61"/>
        <v>#VALUE!</v>
      </c>
      <c r="P558" s="7" t="e">
        <f t="shared" ca="1" si="62"/>
        <v>#VALUE!</v>
      </c>
    </row>
    <row r="559" spans="1:16" x14ac:dyDescent="0.25">
      <c r="A559" s="19" t="str">
        <f ca="1">IF(OR(INDIRECT("'" &amp; Master!$F$8 &amp; Master!$F$6 &amp; "'!A" &amp; ROW(A559))="", INDIRECT("'" &amp; Master!$F$8 &amp; Master!$F$6 &amp; "'!A" &amp; ROW(A559))=0), "", INDIRECT("'" &amp; Master!$F$8 &amp; Master!$F$6 &amp; "'!A" &amp; ROW(A559)))</f>
        <v/>
      </c>
      <c r="B559" s="4" t="e">
        <f ca="1">SplineInterp(INDIRECT("A" &amp; ROW()),INDIRECT("'" &amp;Master!$F$10&amp; "'!$A$2:$A$50"),INDIRECT("'" &amp;Master!$F$10&amp; "'!$B$2:$B$50"))</f>
        <v>#VALUE!</v>
      </c>
      <c r="C559" s="4" t="e">
        <f ca="1">SplineInterp(A559,INDIRECT("'" &amp;Master!$F$10&amp; "'!$A$2:$A$50"),INDIRECT("'" &amp;Master!$F$10&amp; "'!$C$2:$C$50"))</f>
        <v>#VALUE!</v>
      </c>
      <c r="D559" s="4" t="e">
        <f ca="1">SplineInterp(A559,INDIRECT("'" &amp;Master!$F$10&amp; "'!$A$2:$A$50"),INDIRECT("'" &amp;Master!$F$10&amp; "'!$D$2:$D$50"))</f>
        <v>#VALUE!</v>
      </c>
      <c r="E559" s="4" t="e">
        <f ca="1">SplineInterp(A559,INDIRECT("'" &amp;Master!$F$10&amp; "'!$A$2:$A$50"),INDIRECT("'" &amp;Master!$F$10&amp; "'!$E$2:$E$50"))</f>
        <v>#VALUE!</v>
      </c>
      <c r="F559" s="4" t="e">
        <f ca="1">SplineInterp(A559,INDIRECT("'" &amp;Master!$F$10&amp; "'!$A$2:$A$50"),INDIRECT("'" &amp;Master!$F$10&amp; "'!$F$2:$F$50"))</f>
        <v>#VALUE!</v>
      </c>
      <c r="G559" s="4" t="e">
        <f ca="1">SplineInterp(A559,INDIRECT("'" &amp;Master!$F$10&amp; "'!$A$2:$A$50"),INDIRECT("'" &amp;Master!$F$10&amp; "'!$G$2:$G$50"))</f>
        <v>#VALUE!</v>
      </c>
      <c r="H559" s="4" t="e">
        <f ca="1">SplineInterp(A559,INDIRECT("'" &amp;Master!$F$10&amp; "'!$A$2:$A$50"),INDIRECT("'" &amp;Master!$F$10&amp; "'!$H$2:$H$50"))</f>
        <v>#VALUE!</v>
      </c>
      <c r="I559" s="4" t="e">
        <f ca="1">IF(OR(INDIRECT("'" &amp; Master!$F$8 &amp; Master!$F$6 &amp; "'!B" &amp; ROW(B559))="", INDIRECT("'" &amp; Master!$F$8 &amp; Master!$F$6 &amp; "'!B" &amp; ROW(B559))=0), "", INDIRECT("'" &amp; Master!$F$8 &amp; Master!$F$6 &amp; "'!B" &amp; ROW(B559)))</f>
        <v>#VALUE!</v>
      </c>
      <c r="J559" s="9" t="e">
        <f t="shared" ca="1" si="56"/>
        <v>#VALUE!</v>
      </c>
      <c r="K559" s="7" t="e">
        <f t="shared" ca="1" si="57"/>
        <v>#VALUE!</v>
      </c>
      <c r="L559" s="7" t="e">
        <f t="shared" ca="1" si="58"/>
        <v>#VALUE!</v>
      </c>
      <c r="M559" s="7" t="e">
        <f t="shared" ca="1" si="59"/>
        <v>#VALUE!</v>
      </c>
      <c r="N559" s="7" t="e">
        <f t="shared" ca="1" si="60"/>
        <v>#VALUE!</v>
      </c>
      <c r="O559" s="7" t="e">
        <f t="shared" ca="1" si="61"/>
        <v>#VALUE!</v>
      </c>
      <c r="P559" s="7" t="e">
        <f t="shared" ca="1" si="62"/>
        <v>#VALUE!</v>
      </c>
    </row>
    <row r="560" spans="1:16" x14ac:dyDescent="0.25">
      <c r="A560" s="19" t="str">
        <f ca="1">IF(OR(INDIRECT("'" &amp; Master!$F$8 &amp; Master!$F$6 &amp; "'!A" &amp; ROW(A560))="", INDIRECT("'" &amp; Master!$F$8 &amp; Master!$F$6 &amp; "'!A" &amp; ROW(A560))=0), "", INDIRECT("'" &amp; Master!$F$8 &amp; Master!$F$6 &amp; "'!A" &amp; ROW(A560)))</f>
        <v/>
      </c>
      <c r="B560" s="4" t="e">
        <f ca="1">SplineInterp(INDIRECT("A" &amp; ROW()),INDIRECT("'" &amp;Master!$F$10&amp; "'!$A$2:$A$50"),INDIRECT("'" &amp;Master!$F$10&amp; "'!$B$2:$B$50"))</f>
        <v>#VALUE!</v>
      </c>
      <c r="C560" s="4" t="e">
        <f ca="1">SplineInterp(A560,INDIRECT("'" &amp;Master!$F$10&amp; "'!$A$2:$A$50"),INDIRECT("'" &amp;Master!$F$10&amp; "'!$C$2:$C$50"))</f>
        <v>#VALUE!</v>
      </c>
      <c r="D560" s="4" t="e">
        <f ca="1">SplineInterp(A560,INDIRECT("'" &amp;Master!$F$10&amp; "'!$A$2:$A$50"),INDIRECT("'" &amp;Master!$F$10&amp; "'!$D$2:$D$50"))</f>
        <v>#VALUE!</v>
      </c>
      <c r="E560" s="4" t="e">
        <f ca="1">SplineInterp(A560,INDIRECT("'" &amp;Master!$F$10&amp; "'!$A$2:$A$50"),INDIRECT("'" &amp;Master!$F$10&amp; "'!$E$2:$E$50"))</f>
        <v>#VALUE!</v>
      </c>
      <c r="F560" s="4" t="e">
        <f ca="1">SplineInterp(A560,INDIRECT("'" &amp;Master!$F$10&amp; "'!$A$2:$A$50"),INDIRECT("'" &amp;Master!$F$10&amp; "'!$F$2:$F$50"))</f>
        <v>#VALUE!</v>
      </c>
      <c r="G560" s="4" t="e">
        <f ca="1">SplineInterp(A560,INDIRECT("'" &amp;Master!$F$10&amp; "'!$A$2:$A$50"),INDIRECT("'" &amp;Master!$F$10&amp; "'!$G$2:$G$50"))</f>
        <v>#VALUE!</v>
      </c>
      <c r="H560" s="4" t="e">
        <f ca="1">SplineInterp(A560,INDIRECT("'" &amp;Master!$F$10&amp; "'!$A$2:$A$50"),INDIRECT("'" &amp;Master!$F$10&amp; "'!$H$2:$H$50"))</f>
        <v>#VALUE!</v>
      </c>
      <c r="I560" s="4" t="e">
        <f ca="1">IF(OR(INDIRECT("'" &amp; Master!$F$8 &amp; Master!$F$6 &amp; "'!B" &amp; ROW(B560))="", INDIRECT("'" &amp; Master!$F$8 &amp; Master!$F$6 &amp; "'!B" &amp; ROW(B560))=0), "", INDIRECT("'" &amp; Master!$F$8 &amp; Master!$F$6 &amp; "'!B" &amp; ROW(B560)))</f>
        <v>#VALUE!</v>
      </c>
      <c r="J560" s="9" t="e">
        <f t="shared" ca="1" si="56"/>
        <v>#VALUE!</v>
      </c>
      <c r="K560" s="7" t="e">
        <f t="shared" ca="1" si="57"/>
        <v>#VALUE!</v>
      </c>
      <c r="L560" s="7" t="e">
        <f t="shared" ca="1" si="58"/>
        <v>#VALUE!</v>
      </c>
      <c r="M560" s="7" t="e">
        <f t="shared" ca="1" si="59"/>
        <v>#VALUE!</v>
      </c>
      <c r="N560" s="7" t="e">
        <f t="shared" ca="1" si="60"/>
        <v>#VALUE!</v>
      </c>
      <c r="O560" s="7" t="e">
        <f t="shared" ca="1" si="61"/>
        <v>#VALUE!</v>
      </c>
      <c r="P560" s="7" t="e">
        <f t="shared" ca="1" si="62"/>
        <v>#VALUE!</v>
      </c>
    </row>
    <row r="561" spans="1:16" x14ac:dyDescent="0.25">
      <c r="A561" s="19" t="str">
        <f ca="1">IF(OR(INDIRECT("'" &amp; Master!$F$8 &amp; Master!$F$6 &amp; "'!A" &amp; ROW(A561))="", INDIRECT("'" &amp; Master!$F$8 &amp; Master!$F$6 &amp; "'!A" &amp; ROW(A561))=0), "", INDIRECT("'" &amp; Master!$F$8 &amp; Master!$F$6 &amp; "'!A" &amp; ROW(A561)))</f>
        <v/>
      </c>
      <c r="B561" s="4" t="e">
        <f ca="1">SplineInterp(INDIRECT("A" &amp; ROW()),INDIRECT("'" &amp;Master!$F$10&amp; "'!$A$2:$A$50"),INDIRECT("'" &amp;Master!$F$10&amp; "'!$B$2:$B$50"))</f>
        <v>#VALUE!</v>
      </c>
      <c r="C561" s="4" t="e">
        <f ca="1">SplineInterp(A561,INDIRECT("'" &amp;Master!$F$10&amp; "'!$A$2:$A$50"),INDIRECT("'" &amp;Master!$F$10&amp; "'!$C$2:$C$50"))</f>
        <v>#VALUE!</v>
      </c>
      <c r="D561" s="4" t="e">
        <f ca="1">SplineInterp(A561,INDIRECT("'" &amp;Master!$F$10&amp; "'!$A$2:$A$50"),INDIRECT("'" &amp;Master!$F$10&amp; "'!$D$2:$D$50"))</f>
        <v>#VALUE!</v>
      </c>
      <c r="E561" s="4" t="e">
        <f ca="1">SplineInterp(A561,INDIRECT("'" &amp;Master!$F$10&amp; "'!$A$2:$A$50"),INDIRECT("'" &amp;Master!$F$10&amp; "'!$E$2:$E$50"))</f>
        <v>#VALUE!</v>
      </c>
      <c r="F561" s="4" t="e">
        <f ca="1">SplineInterp(A561,INDIRECT("'" &amp;Master!$F$10&amp; "'!$A$2:$A$50"),INDIRECT("'" &amp;Master!$F$10&amp; "'!$F$2:$F$50"))</f>
        <v>#VALUE!</v>
      </c>
      <c r="G561" s="4" t="e">
        <f ca="1">SplineInterp(A561,INDIRECT("'" &amp;Master!$F$10&amp; "'!$A$2:$A$50"),INDIRECT("'" &amp;Master!$F$10&amp; "'!$G$2:$G$50"))</f>
        <v>#VALUE!</v>
      </c>
      <c r="H561" s="4" t="e">
        <f ca="1">SplineInterp(A561,INDIRECT("'" &amp;Master!$F$10&amp; "'!$A$2:$A$50"),INDIRECT("'" &amp;Master!$F$10&amp; "'!$H$2:$H$50"))</f>
        <v>#VALUE!</v>
      </c>
      <c r="I561" s="4" t="e">
        <f ca="1">IF(OR(INDIRECT("'" &amp; Master!$F$8 &amp; Master!$F$6 &amp; "'!B" &amp; ROW(B561))="", INDIRECT("'" &amp; Master!$F$8 &amp; Master!$F$6 &amp; "'!B" &amp; ROW(B561))=0), "", INDIRECT("'" &amp; Master!$F$8 &amp; Master!$F$6 &amp; "'!B" &amp; ROW(B561)))</f>
        <v>#VALUE!</v>
      </c>
      <c r="J561" s="9" t="e">
        <f t="shared" ca="1" si="56"/>
        <v>#VALUE!</v>
      </c>
      <c r="K561" s="7" t="e">
        <f t="shared" ca="1" si="57"/>
        <v>#VALUE!</v>
      </c>
      <c r="L561" s="7" t="e">
        <f t="shared" ca="1" si="58"/>
        <v>#VALUE!</v>
      </c>
      <c r="M561" s="7" t="e">
        <f t="shared" ca="1" si="59"/>
        <v>#VALUE!</v>
      </c>
      <c r="N561" s="7" t="e">
        <f t="shared" ca="1" si="60"/>
        <v>#VALUE!</v>
      </c>
      <c r="O561" s="7" t="e">
        <f t="shared" ca="1" si="61"/>
        <v>#VALUE!</v>
      </c>
      <c r="P561" s="7" t="e">
        <f t="shared" ca="1" si="62"/>
        <v>#VALUE!</v>
      </c>
    </row>
    <row r="562" spans="1:16" x14ac:dyDescent="0.25">
      <c r="A562" s="19" t="str">
        <f ca="1">IF(OR(INDIRECT("'" &amp; Master!$F$8 &amp; Master!$F$6 &amp; "'!A" &amp; ROW(A562))="", INDIRECT("'" &amp; Master!$F$8 &amp; Master!$F$6 &amp; "'!A" &amp; ROW(A562))=0), "", INDIRECT("'" &amp; Master!$F$8 &amp; Master!$F$6 &amp; "'!A" &amp; ROW(A562)))</f>
        <v/>
      </c>
      <c r="B562" s="4" t="e">
        <f ca="1">SplineInterp(INDIRECT("A" &amp; ROW()),INDIRECT("'" &amp;Master!$F$10&amp; "'!$A$2:$A$50"),INDIRECT("'" &amp;Master!$F$10&amp; "'!$B$2:$B$50"))</f>
        <v>#VALUE!</v>
      </c>
      <c r="C562" s="4" t="e">
        <f ca="1">SplineInterp(A562,INDIRECT("'" &amp;Master!$F$10&amp; "'!$A$2:$A$50"),INDIRECT("'" &amp;Master!$F$10&amp; "'!$C$2:$C$50"))</f>
        <v>#VALUE!</v>
      </c>
      <c r="D562" s="4" t="e">
        <f ca="1">SplineInterp(A562,INDIRECT("'" &amp;Master!$F$10&amp; "'!$A$2:$A$50"),INDIRECT("'" &amp;Master!$F$10&amp; "'!$D$2:$D$50"))</f>
        <v>#VALUE!</v>
      </c>
      <c r="E562" s="4" t="e">
        <f ca="1">SplineInterp(A562,INDIRECT("'" &amp;Master!$F$10&amp; "'!$A$2:$A$50"),INDIRECT("'" &amp;Master!$F$10&amp; "'!$E$2:$E$50"))</f>
        <v>#VALUE!</v>
      </c>
      <c r="F562" s="4" t="e">
        <f ca="1">SplineInterp(A562,INDIRECT("'" &amp;Master!$F$10&amp; "'!$A$2:$A$50"),INDIRECT("'" &amp;Master!$F$10&amp; "'!$F$2:$F$50"))</f>
        <v>#VALUE!</v>
      </c>
      <c r="G562" s="4" t="e">
        <f ca="1">SplineInterp(A562,INDIRECT("'" &amp;Master!$F$10&amp; "'!$A$2:$A$50"),INDIRECT("'" &amp;Master!$F$10&amp; "'!$G$2:$G$50"))</f>
        <v>#VALUE!</v>
      </c>
      <c r="H562" s="4" t="e">
        <f ca="1">SplineInterp(A562,INDIRECT("'" &amp;Master!$F$10&amp; "'!$A$2:$A$50"),INDIRECT("'" &amp;Master!$F$10&amp; "'!$H$2:$H$50"))</f>
        <v>#VALUE!</v>
      </c>
      <c r="I562" s="4" t="e">
        <f ca="1">IF(OR(INDIRECT("'" &amp; Master!$F$8 &amp; Master!$F$6 &amp; "'!B" &amp; ROW(B562))="", INDIRECT("'" &amp; Master!$F$8 &amp; Master!$F$6 &amp; "'!B" &amp; ROW(B562))=0), "", INDIRECT("'" &amp; Master!$F$8 &amp; Master!$F$6 &amp; "'!B" &amp; ROW(B562)))</f>
        <v>#VALUE!</v>
      </c>
      <c r="J562" s="9" t="e">
        <f t="shared" ca="1" si="56"/>
        <v>#VALUE!</v>
      </c>
      <c r="K562" s="7" t="e">
        <f t="shared" ca="1" si="57"/>
        <v>#VALUE!</v>
      </c>
      <c r="L562" s="7" t="e">
        <f t="shared" ca="1" si="58"/>
        <v>#VALUE!</v>
      </c>
      <c r="M562" s="7" t="e">
        <f t="shared" ca="1" si="59"/>
        <v>#VALUE!</v>
      </c>
      <c r="N562" s="7" t="e">
        <f t="shared" ca="1" si="60"/>
        <v>#VALUE!</v>
      </c>
      <c r="O562" s="7" t="e">
        <f t="shared" ca="1" si="61"/>
        <v>#VALUE!</v>
      </c>
      <c r="P562" s="7" t="e">
        <f t="shared" ca="1" si="62"/>
        <v>#VALUE!</v>
      </c>
    </row>
    <row r="563" spans="1:16" x14ac:dyDescent="0.25">
      <c r="A563" s="19" t="str">
        <f ca="1">IF(OR(INDIRECT("'" &amp; Master!$F$8 &amp; Master!$F$6 &amp; "'!A" &amp; ROW(A563))="", INDIRECT("'" &amp; Master!$F$8 &amp; Master!$F$6 &amp; "'!A" &amp; ROW(A563))=0), "", INDIRECT("'" &amp; Master!$F$8 &amp; Master!$F$6 &amp; "'!A" &amp; ROW(A563)))</f>
        <v/>
      </c>
      <c r="B563" s="4" t="e">
        <f ca="1">SplineInterp(INDIRECT("A" &amp; ROW()),INDIRECT("'" &amp;Master!$F$10&amp; "'!$A$2:$A$50"),INDIRECT("'" &amp;Master!$F$10&amp; "'!$B$2:$B$50"))</f>
        <v>#VALUE!</v>
      </c>
      <c r="C563" s="4" t="e">
        <f ca="1">SplineInterp(A563,INDIRECT("'" &amp;Master!$F$10&amp; "'!$A$2:$A$50"),INDIRECT("'" &amp;Master!$F$10&amp; "'!$C$2:$C$50"))</f>
        <v>#VALUE!</v>
      </c>
      <c r="D563" s="4" t="e">
        <f ca="1">SplineInterp(A563,INDIRECT("'" &amp;Master!$F$10&amp; "'!$A$2:$A$50"),INDIRECT("'" &amp;Master!$F$10&amp; "'!$D$2:$D$50"))</f>
        <v>#VALUE!</v>
      </c>
      <c r="E563" s="4" t="e">
        <f ca="1">SplineInterp(A563,INDIRECT("'" &amp;Master!$F$10&amp; "'!$A$2:$A$50"),INDIRECT("'" &amp;Master!$F$10&amp; "'!$E$2:$E$50"))</f>
        <v>#VALUE!</v>
      </c>
      <c r="F563" s="4" t="e">
        <f ca="1">SplineInterp(A563,INDIRECT("'" &amp;Master!$F$10&amp; "'!$A$2:$A$50"),INDIRECT("'" &amp;Master!$F$10&amp; "'!$F$2:$F$50"))</f>
        <v>#VALUE!</v>
      </c>
      <c r="G563" s="4" t="e">
        <f ca="1">SplineInterp(A563,INDIRECT("'" &amp;Master!$F$10&amp; "'!$A$2:$A$50"),INDIRECT("'" &amp;Master!$F$10&amp; "'!$G$2:$G$50"))</f>
        <v>#VALUE!</v>
      </c>
      <c r="H563" s="4" t="e">
        <f ca="1">SplineInterp(A563,INDIRECT("'" &amp;Master!$F$10&amp; "'!$A$2:$A$50"),INDIRECT("'" &amp;Master!$F$10&amp; "'!$H$2:$H$50"))</f>
        <v>#VALUE!</v>
      </c>
      <c r="I563" s="4" t="e">
        <f ca="1">IF(OR(INDIRECT("'" &amp; Master!$F$8 &amp; Master!$F$6 &amp; "'!B" &amp; ROW(B563))="", INDIRECT("'" &amp; Master!$F$8 &amp; Master!$F$6 &amp; "'!B" &amp; ROW(B563))=0), "", INDIRECT("'" &amp; Master!$F$8 &amp; Master!$F$6 &amp; "'!B" &amp; ROW(B563)))</f>
        <v>#VALUE!</v>
      </c>
      <c r="J563" s="9" t="e">
        <f t="shared" ca="1" si="56"/>
        <v>#VALUE!</v>
      </c>
      <c r="K563" s="7" t="e">
        <f t="shared" ca="1" si="57"/>
        <v>#VALUE!</v>
      </c>
      <c r="L563" s="7" t="e">
        <f t="shared" ca="1" si="58"/>
        <v>#VALUE!</v>
      </c>
      <c r="M563" s="7" t="e">
        <f t="shared" ca="1" si="59"/>
        <v>#VALUE!</v>
      </c>
      <c r="N563" s="7" t="e">
        <f t="shared" ca="1" si="60"/>
        <v>#VALUE!</v>
      </c>
      <c r="O563" s="7" t="e">
        <f t="shared" ca="1" si="61"/>
        <v>#VALUE!</v>
      </c>
      <c r="P563" s="7" t="e">
        <f t="shared" ca="1" si="62"/>
        <v>#VALUE!</v>
      </c>
    </row>
    <row r="564" spans="1:16" x14ac:dyDescent="0.25">
      <c r="A564" s="19" t="str">
        <f ca="1">IF(OR(INDIRECT("'" &amp; Master!$F$8 &amp; Master!$F$6 &amp; "'!A" &amp; ROW(A564))="", INDIRECT("'" &amp; Master!$F$8 &amp; Master!$F$6 &amp; "'!A" &amp; ROW(A564))=0), "", INDIRECT("'" &amp; Master!$F$8 &amp; Master!$F$6 &amp; "'!A" &amp; ROW(A564)))</f>
        <v/>
      </c>
      <c r="B564" s="4" t="e">
        <f ca="1">SplineInterp(INDIRECT("A" &amp; ROW()),INDIRECT("'" &amp;Master!$F$10&amp; "'!$A$2:$A$50"),INDIRECT("'" &amp;Master!$F$10&amp; "'!$B$2:$B$50"))</f>
        <v>#VALUE!</v>
      </c>
      <c r="C564" s="4" t="e">
        <f ca="1">SplineInterp(A564,INDIRECT("'" &amp;Master!$F$10&amp; "'!$A$2:$A$50"),INDIRECT("'" &amp;Master!$F$10&amp; "'!$C$2:$C$50"))</f>
        <v>#VALUE!</v>
      </c>
      <c r="D564" s="4" t="e">
        <f ca="1">SplineInterp(A564,INDIRECT("'" &amp;Master!$F$10&amp; "'!$A$2:$A$50"),INDIRECT("'" &amp;Master!$F$10&amp; "'!$D$2:$D$50"))</f>
        <v>#VALUE!</v>
      </c>
      <c r="E564" s="4" t="e">
        <f ca="1">SplineInterp(A564,INDIRECT("'" &amp;Master!$F$10&amp; "'!$A$2:$A$50"),INDIRECT("'" &amp;Master!$F$10&amp; "'!$E$2:$E$50"))</f>
        <v>#VALUE!</v>
      </c>
      <c r="F564" s="4" t="e">
        <f ca="1">SplineInterp(A564,INDIRECT("'" &amp;Master!$F$10&amp; "'!$A$2:$A$50"),INDIRECT("'" &amp;Master!$F$10&amp; "'!$F$2:$F$50"))</f>
        <v>#VALUE!</v>
      </c>
      <c r="G564" s="4" t="e">
        <f ca="1">SplineInterp(A564,INDIRECT("'" &amp;Master!$F$10&amp; "'!$A$2:$A$50"),INDIRECT("'" &amp;Master!$F$10&amp; "'!$G$2:$G$50"))</f>
        <v>#VALUE!</v>
      </c>
      <c r="H564" s="4" t="e">
        <f ca="1">SplineInterp(A564,INDIRECT("'" &amp;Master!$F$10&amp; "'!$A$2:$A$50"),INDIRECT("'" &amp;Master!$F$10&amp; "'!$H$2:$H$50"))</f>
        <v>#VALUE!</v>
      </c>
      <c r="I564" s="4" t="e">
        <f ca="1">IF(OR(INDIRECT("'" &amp; Master!$F$8 &amp; Master!$F$6 &amp; "'!B" &amp; ROW(B564))="", INDIRECT("'" &amp; Master!$F$8 &amp; Master!$F$6 &amp; "'!B" &amp; ROW(B564))=0), "", INDIRECT("'" &amp; Master!$F$8 &amp; Master!$F$6 &amp; "'!B" &amp; ROW(B564)))</f>
        <v>#VALUE!</v>
      </c>
      <c r="J564" s="9" t="e">
        <f t="shared" ca="1" si="56"/>
        <v>#VALUE!</v>
      </c>
      <c r="K564" s="7" t="e">
        <f t="shared" ca="1" si="57"/>
        <v>#VALUE!</v>
      </c>
      <c r="L564" s="7" t="e">
        <f t="shared" ca="1" si="58"/>
        <v>#VALUE!</v>
      </c>
      <c r="M564" s="7" t="e">
        <f t="shared" ca="1" si="59"/>
        <v>#VALUE!</v>
      </c>
      <c r="N564" s="7" t="e">
        <f t="shared" ca="1" si="60"/>
        <v>#VALUE!</v>
      </c>
      <c r="O564" s="7" t="e">
        <f t="shared" ca="1" si="61"/>
        <v>#VALUE!</v>
      </c>
      <c r="P564" s="7" t="e">
        <f t="shared" ca="1" si="62"/>
        <v>#VALUE!</v>
      </c>
    </row>
    <row r="565" spans="1:16" x14ac:dyDescent="0.25">
      <c r="A565" s="19" t="str">
        <f ca="1">IF(OR(INDIRECT("'" &amp; Master!$F$8 &amp; Master!$F$6 &amp; "'!A" &amp; ROW(A565))="", INDIRECT("'" &amp; Master!$F$8 &amp; Master!$F$6 &amp; "'!A" &amp; ROW(A565))=0), "", INDIRECT("'" &amp; Master!$F$8 &amp; Master!$F$6 &amp; "'!A" &amp; ROW(A565)))</f>
        <v/>
      </c>
      <c r="B565" s="4" t="e">
        <f ca="1">SplineInterp(INDIRECT("A" &amp; ROW()),INDIRECT("'" &amp;Master!$F$10&amp; "'!$A$2:$A$50"),INDIRECT("'" &amp;Master!$F$10&amp; "'!$B$2:$B$50"))</f>
        <v>#VALUE!</v>
      </c>
      <c r="C565" s="4" t="e">
        <f ca="1">SplineInterp(A565,INDIRECT("'" &amp;Master!$F$10&amp; "'!$A$2:$A$50"),INDIRECT("'" &amp;Master!$F$10&amp; "'!$C$2:$C$50"))</f>
        <v>#VALUE!</v>
      </c>
      <c r="D565" s="4" t="e">
        <f ca="1">SplineInterp(A565,INDIRECT("'" &amp;Master!$F$10&amp; "'!$A$2:$A$50"),INDIRECT("'" &amp;Master!$F$10&amp; "'!$D$2:$D$50"))</f>
        <v>#VALUE!</v>
      </c>
      <c r="E565" s="4" t="e">
        <f ca="1">SplineInterp(A565,INDIRECT("'" &amp;Master!$F$10&amp; "'!$A$2:$A$50"),INDIRECT("'" &amp;Master!$F$10&amp; "'!$E$2:$E$50"))</f>
        <v>#VALUE!</v>
      </c>
      <c r="F565" s="4" t="e">
        <f ca="1">SplineInterp(A565,INDIRECT("'" &amp;Master!$F$10&amp; "'!$A$2:$A$50"),INDIRECT("'" &amp;Master!$F$10&amp; "'!$F$2:$F$50"))</f>
        <v>#VALUE!</v>
      </c>
      <c r="G565" s="4" t="e">
        <f ca="1">SplineInterp(A565,INDIRECT("'" &amp;Master!$F$10&amp; "'!$A$2:$A$50"),INDIRECT("'" &amp;Master!$F$10&amp; "'!$G$2:$G$50"))</f>
        <v>#VALUE!</v>
      </c>
      <c r="H565" s="4" t="e">
        <f ca="1">SplineInterp(A565,INDIRECT("'" &amp;Master!$F$10&amp; "'!$A$2:$A$50"),INDIRECT("'" &amp;Master!$F$10&amp; "'!$H$2:$H$50"))</f>
        <v>#VALUE!</v>
      </c>
      <c r="I565" s="4" t="e">
        <f ca="1">IF(OR(INDIRECT("'" &amp; Master!$F$8 &amp; Master!$F$6 &amp; "'!B" &amp; ROW(B565))="", INDIRECT("'" &amp; Master!$F$8 &amp; Master!$F$6 &amp; "'!B" &amp; ROW(B565))=0), "", INDIRECT("'" &amp; Master!$F$8 &amp; Master!$F$6 &amp; "'!B" &amp; ROW(B565)))</f>
        <v>#VALUE!</v>
      </c>
      <c r="J565" s="9" t="e">
        <f t="shared" ca="1" si="56"/>
        <v>#VALUE!</v>
      </c>
      <c r="K565" s="7" t="e">
        <f t="shared" ca="1" si="57"/>
        <v>#VALUE!</v>
      </c>
      <c r="L565" s="7" t="e">
        <f t="shared" ca="1" si="58"/>
        <v>#VALUE!</v>
      </c>
      <c r="M565" s="7" t="e">
        <f t="shared" ca="1" si="59"/>
        <v>#VALUE!</v>
      </c>
      <c r="N565" s="7" t="e">
        <f t="shared" ca="1" si="60"/>
        <v>#VALUE!</v>
      </c>
      <c r="O565" s="7" t="e">
        <f t="shared" ca="1" si="61"/>
        <v>#VALUE!</v>
      </c>
      <c r="P565" s="7" t="e">
        <f t="shared" ca="1" si="62"/>
        <v>#VALUE!</v>
      </c>
    </row>
    <row r="566" spans="1:16" x14ac:dyDescent="0.25">
      <c r="A566" s="19" t="str">
        <f ca="1">IF(OR(INDIRECT("'" &amp; Master!$F$8 &amp; Master!$F$6 &amp; "'!A" &amp; ROW(A566))="", INDIRECT("'" &amp; Master!$F$8 &amp; Master!$F$6 &amp; "'!A" &amp; ROW(A566))=0), "", INDIRECT("'" &amp; Master!$F$8 &amp; Master!$F$6 &amp; "'!A" &amp; ROW(A566)))</f>
        <v/>
      </c>
      <c r="B566" s="4" t="e">
        <f ca="1">SplineInterp(INDIRECT("A" &amp; ROW()),INDIRECT("'" &amp;Master!$F$10&amp; "'!$A$2:$A$50"),INDIRECT("'" &amp;Master!$F$10&amp; "'!$B$2:$B$50"))</f>
        <v>#VALUE!</v>
      </c>
      <c r="C566" s="4" t="e">
        <f ca="1">SplineInterp(A566,INDIRECT("'" &amp;Master!$F$10&amp; "'!$A$2:$A$50"),INDIRECT("'" &amp;Master!$F$10&amp; "'!$C$2:$C$50"))</f>
        <v>#VALUE!</v>
      </c>
      <c r="D566" s="4" t="e">
        <f ca="1">SplineInterp(A566,INDIRECT("'" &amp;Master!$F$10&amp; "'!$A$2:$A$50"),INDIRECT("'" &amp;Master!$F$10&amp; "'!$D$2:$D$50"))</f>
        <v>#VALUE!</v>
      </c>
      <c r="E566" s="4" t="e">
        <f ca="1">SplineInterp(A566,INDIRECT("'" &amp;Master!$F$10&amp; "'!$A$2:$A$50"),INDIRECT("'" &amp;Master!$F$10&amp; "'!$E$2:$E$50"))</f>
        <v>#VALUE!</v>
      </c>
      <c r="F566" s="4" t="e">
        <f ca="1">SplineInterp(A566,INDIRECT("'" &amp;Master!$F$10&amp; "'!$A$2:$A$50"),INDIRECT("'" &amp;Master!$F$10&amp; "'!$F$2:$F$50"))</f>
        <v>#VALUE!</v>
      </c>
      <c r="G566" s="4" t="e">
        <f ca="1">SplineInterp(A566,INDIRECT("'" &amp;Master!$F$10&amp; "'!$A$2:$A$50"),INDIRECT("'" &amp;Master!$F$10&amp; "'!$G$2:$G$50"))</f>
        <v>#VALUE!</v>
      </c>
      <c r="H566" s="4" t="e">
        <f ca="1">SplineInterp(A566,INDIRECT("'" &amp;Master!$F$10&amp; "'!$A$2:$A$50"),INDIRECT("'" &amp;Master!$F$10&amp; "'!$H$2:$H$50"))</f>
        <v>#VALUE!</v>
      </c>
      <c r="I566" s="4" t="e">
        <f ca="1">IF(OR(INDIRECT("'" &amp; Master!$F$8 &amp; Master!$F$6 &amp; "'!B" &amp; ROW(B566))="", INDIRECT("'" &amp; Master!$F$8 &amp; Master!$F$6 &amp; "'!B" &amp; ROW(B566))=0), "", INDIRECT("'" &amp; Master!$F$8 &amp; Master!$F$6 &amp; "'!B" &amp; ROW(B566)))</f>
        <v>#VALUE!</v>
      </c>
      <c r="J566" s="9" t="e">
        <f t="shared" ca="1" si="56"/>
        <v>#VALUE!</v>
      </c>
      <c r="K566" s="7" t="e">
        <f t="shared" ca="1" si="57"/>
        <v>#VALUE!</v>
      </c>
      <c r="L566" s="7" t="e">
        <f t="shared" ca="1" si="58"/>
        <v>#VALUE!</v>
      </c>
      <c r="M566" s="7" t="e">
        <f t="shared" ca="1" si="59"/>
        <v>#VALUE!</v>
      </c>
      <c r="N566" s="7" t="e">
        <f t="shared" ca="1" si="60"/>
        <v>#VALUE!</v>
      </c>
      <c r="O566" s="7" t="e">
        <f t="shared" ca="1" si="61"/>
        <v>#VALUE!</v>
      </c>
      <c r="P566" s="7" t="e">
        <f t="shared" ca="1" si="62"/>
        <v>#VALUE!</v>
      </c>
    </row>
    <row r="567" spans="1:16" x14ac:dyDescent="0.25">
      <c r="A567" s="19" t="str">
        <f ca="1">IF(OR(INDIRECT("'" &amp; Master!$F$8 &amp; Master!$F$6 &amp; "'!A" &amp; ROW(A567))="", INDIRECT("'" &amp; Master!$F$8 &amp; Master!$F$6 &amp; "'!A" &amp; ROW(A567))=0), "", INDIRECT("'" &amp; Master!$F$8 &amp; Master!$F$6 &amp; "'!A" &amp; ROW(A567)))</f>
        <v/>
      </c>
      <c r="B567" s="4" t="e">
        <f ca="1">SplineInterp(INDIRECT("A" &amp; ROW()),INDIRECT("'" &amp;Master!$F$10&amp; "'!$A$2:$A$50"),INDIRECT("'" &amp;Master!$F$10&amp; "'!$B$2:$B$50"))</f>
        <v>#VALUE!</v>
      </c>
      <c r="C567" s="4" t="e">
        <f ca="1">SplineInterp(A567,INDIRECT("'" &amp;Master!$F$10&amp; "'!$A$2:$A$50"),INDIRECT("'" &amp;Master!$F$10&amp; "'!$C$2:$C$50"))</f>
        <v>#VALUE!</v>
      </c>
      <c r="D567" s="4" t="e">
        <f ca="1">SplineInterp(A567,INDIRECT("'" &amp;Master!$F$10&amp; "'!$A$2:$A$50"),INDIRECT("'" &amp;Master!$F$10&amp; "'!$D$2:$D$50"))</f>
        <v>#VALUE!</v>
      </c>
      <c r="E567" s="4" t="e">
        <f ca="1">SplineInterp(A567,INDIRECT("'" &amp;Master!$F$10&amp; "'!$A$2:$A$50"),INDIRECT("'" &amp;Master!$F$10&amp; "'!$E$2:$E$50"))</f>
        <v>#VALUE!</v>
      </c>
      <c r="F567" s="4" t="e">
        <f ca="1">SplineInterp(A567,INDIRECT("'" &amp;Master!$F$10&amp; "'!$A$2:$A$50"),INDIRECT("'" &amp;Master!$F$10&amp; "'!$F$2:$F$50"))</f>
        <v>#VALUE!</v>
      </c>
      <c r="G567" s="4" t="e">
        <f ca="1">SplineInterp(A567,INDIRECT("'" &amp;Master!$F$10&amp; "'!$A$2:$A$50"),INDIRECT("'" &amp;Master!$F$10&amp; "'!$G$2:$G$50"))</f>
        <v>#VALUE!</v>
      </c>
      <c r="H567" s="4" t="e">
        <f ca="1">SplineInterp(A567,INDIRECT("'" &amp;Master!$F$10&amp; "'!$A$2:$A$50"),INDIRECT("'" &amp;Master!$F$10&amp; "'!$H$2:$H$50"))</f>
        <v>#VALUE!</v>
      </c>
      <c r="I567" s="4" t="e">
        <f ca="1">IF(OR(INDIRECT("'" &amp; Master!$F$8 &amp; Master!$F$6 &amp; "'!B" &amp; ROW(B567))="", INDIRECT("'" &amp; Master!$F$8 &amp; Master!$F$6 &amp; "'!B" &amp; ROW(B567))=0), "", INDIRECT("'" &amp; Master!$F$8 &amp; Master!$F$6 &amp; "'!B" &amp; ROW(B567)))</f>
        <v>#VALUE!</v>
      </c>
      <c r="J567" s="9" t="e">
        <f t="shared" ca="1" si="56"/>
        <v>#VALUE!</v>
      </c>
      <c r="K567" s="7" t="e">
        <f t="shared" ca="1" si="57"/>
        <v>#VALUE!</v>
      </c>
      <c r="L567" s="7" t="e">
        <f t="shared" ca="1" si="58"/>
        <v>#VALUE!</v>
      </c>
      <c r="M567" s="7" t="e">
        <f t="shared" ca="1" si="59"/>
        <v>#VALUE!</v>
      </c>
      <c r="N567" s="7" t="e">
        <f t="shared" ca="1" si="60"/>
        <v>#VALUE!</v>
      </c>
      <c r="O567" s="7" t="e">
        <f t="shared" ca="1" si="61"/>
        <v>#VALUE!</v>
      </c>
      <c r="P567" s="7" t="e">
        <f t="shared" ca="1" si="62"/>
        <v>#VALUE!</v>
      </c>
    </row>
    <row r="568" spans="1:16" x14ac:dyDescent="0.25">
      <c r="A568" s="19" t="str">
        <f ca="1">IF(OR(INDIRECT("'" &amp; Master!$F$8 &amp; Master!$F$6 &amp; "'!A" &amp; ROW(A568))="", INDIRECT("'" &amp; Master!$F$8 &amp; Master!$F$6 &amp; "'!A" &amp; ROW(A568))=0), "", INDIRECT("'" &amp; Master!$F$8 &amp; Master!$F$6 &amp; "'!A" &amp; ROW(A568)))</f>
        <v/>
      </c>
      <c r="B568" s="4" t="e">
        <f ca="1">SplineInterp(INDIRECT("A" &amp; ROW()),INDIRECT("'" &amp;Master!$F$10&amp; "'!$A$2:$A$50"),INDIRECT("'" &amp;Master!$F$10&amp; "'!$B$2:$B$50"))</f>
        <v>#VALUE!</v>
      </c>
      <c r="C568" s="4" t="e">
        <f ca="1">SplineInterp(A568,INDIRECT("'" &amp;Master!$F$10&amp; "'!$A$2:$A$50"),INDIRECT("'" &amp;Master!$F$10&amp; "'!$C$2:$C$50"))</f>
        <v>#VALUE!</v>
      </c>
      <c r="D568" s="4" t="e">
        <f ca="1">SplineInterp(A568,INDIRECT("'" &amp;Master!$F$10&amp; "'!$A$2:$A$50"),INDIRECT("'" &amp;Master!$F$10&amp; "'!$D$2:$D$50"))</f>
        <v>#VALUE!</v>
      </c>
      <c r="E568" s="4" t="e">
        <f ca="1">SplineInterp(A568,INDIRECT("'" &amp;Master!$F$10&amp; "'!$A$2:$A$50"),INDIRECT("'" &amp;Master!$F$10&amp; "'!$E$2:$E$50"))</f>
        <v>#VALUE!</v>
      </c>
      <c r="F568" s="4" t="e">
        <f ca="1">SplineInterp(A568,INDIRECT("'" &amp;Master!$F$10&amp; "'!$A$2:$A$50"),INDIRECT("'" &amp;Master!$F$10&amp; "'!$F$2:$F$50"))</f>
        <v>#VALUE!</v>
      </c>
      <c r="G568" s="4" t="e">
        <f ca="1">SplineInterp(A568,INDIRECT("'" &amp;Master!$F$10&amp; "'!$A$2:$A$50"),INDIRECT("'" &amp;Master!$F$10&amp; "'!$G$2:$G$50"))</f>
        <v>#VALUE!</v>
      </c>
      <c r="H568" s="4" t="e">
        <f ca="1">SplineInterp(A568,INDIRECT("'" &amp;Master!$F$10&amp; "'!$A$2:$A$50"),INDIRECT("'" &amp;Master!$F$10&amp; "'!$H$2:$H$50"))</f>
        <v>#VALUE!</v>
      </c>
      <c r="I568" s="4" t="e">
        <f ca="1">IF(OR(INDIRECT("'" &amp; Master!$F$8 &amp; Master!$F$6 &amp; "'!B" &amp; ROW(B568))="", INDIRECT("'" &amp; Master!$F$8 &amp; Master!$F$6 &amp; "'!B" &amp; ROW(B568))=0), "", INDIRECT("'" &amp; Master!$F$8 &amp; Master!$F$6 &amp; "'!B" &amp; ROW(B568)))</f>
        <v>#VALUE!</v>
      </c>
      <c r="J568" s="9" t="e">
        <f t="shared" ca="1" si="56"/>
        <v>#VALUE!</v>
      </c>
      <c r="K568" s="7" t="e">
        <f t="shared" ca="1" si="57"/>
        <v>#VALUE!</v>
      </c>
      <c r="L568" s="7" t="e">
        <f t="shared" ca="1" si="58"/>
        <v>#VALUE!</v>
      </c>
      <c r="M568" s="7" t="e">
        <f t="shared" ca="1" si="59"/>
        <v>#VALUE!</v>
      </c>
      <c r="N568" s="7" t="e">
        <f t="shared" ca="1" si="60"/>
        <v>#VALUE!</v>
      </c>
      <c r="O568" s="7" t="e">
        <f t="shared" ca="1" si="61"/>
        <v>#VALUE!</v>
      </c>
      <c r="P568" s="7" t="e">
        <f t="shared" ca="1" si="62"/>
        <v>#VALUE!</v>
      </c>
    </row>
    <row r="569" spans="1:16" x14ac:dyDescent="0.25">
      <c r="A569" s="19" t="str">
        <f ca="1">IF(OR(INDIRECT("'" &amp; Master!$F$8 &amp; Master!$F$6 &amp; "'!A" &amp; ROW(A569))="", INDIRECT("'" &amp; Master!$F$8 &amp; Master!$F$6 &amp; "'!A" &amp; ROW(A569))=0), "", INDIRECT("'" &amp; Master!$F$8 &amp; Master!$F$6 &amp; "'!A" &amp; ROW(A569)))</f>
        <v/>
      </c>
      <c r="B569" s="4" t="e">
        <f ca="1">SplineInterp(INDIRECT("A" &amp; ROW()),INDIRECT("'" &amp;Master!$F$10&amp; "'!$A$2:$A$50"),INDIRECT("'" &amp;Master!$F$10&amp; "'!$B$2:$B$50"))</f>
        <v>#VALUE!</v>
      </c>
      <c r="C569" s="4" t="e">
        <f ca="1">SplineInterp(A569,INDIRECT("'" &amp;Master!$F$10&amp; "'!$A$2:$A$50"),INDIRECT("'" &amp;Master!$F$10&amp; "'!$C$2:$C$50"))</f>
        <v>#VALUE!</v>
      </c>
      <c r="D569" s="4" t="e">
        <f ca="1">SplineInterp(A569,INDIRECT("'" &amp;Master!$F$10&amp; "'!$A$2:$A$50"),INDIRECT("'" &amp;Master!$F$10&amp; "'!$D$2:$D$50"))</f>
        <v>#VALUE!</v>
      </c>
      <c r="E569" s="4" t="e">
        <f ca="1">SplineInterp(A569,INDIRECT("'" &amp;Master!$F$10&amp; "'!$A$2:$A$50"),INDIRECT("'" &amp;Master!$F$10&amp; "'!$E$2:$E$50"))</f>
        <v>#VALUE!</v>
      </c>
      <c r="F569" s="4" t="e">
        <f ca="1">SplineInterp(A569,INDIRECT("'" &amp;Master!$F$10&amp; "'!$A$2:$A$50"),INDIRECT("'" &amp;Master!$F$10&amp; "'!$F$2:$F$50"))</f>
        <v>#VALUE!</v>
      </c>
      <c r="G569" s="4" t="e">
        <f ca="1">SplineInterp(A569,INDIRECT("'" &amp;Master!$F$10&amp; "'!$A$2:$A$50"),INDIRECT("'" &amp;Master!$F$10&amp; "'!$G$2:$G$50"))</f>
        <v>#VALUE!</v>
      </c>
      <c r="H569" s="4" t="e">
        <f ca="1">SplineInterp(A569,INDIRECT("'" &amp;Master!$F$10&amp; "'!$A$2:$A$50"),INDIRECT("'" &amp;Master!$F$10&amp; "'!$H$2:$H$50"))</f>
        <v>#VALUE!</v>
      </c>
      <c r="I569" s="4" t="e">
        <f ca="1">IF(OR(INDIRECT("'" &amp; Master!$F$8 &amp; Master!$F$6 &amp; "'!B" &amp; ROW(B569))="", INDIRECT("'" &amp; Master!$F$8 &amp; Master!$F$6 &amp; "'!B" &amp; ROW(B569))=0), "", INDIRECT("'" &amp; Master!$F$8 &amp; Master!$F$6 &amp; "'!B" &amp; ROW(B569)))</f>
        <v>#VALUE!</v>
      </c>
      <c r="J569" s="9" t="e">
        <f t="shared" ca="1" si="56"/>
        <v>#VALUE!</v>
      </c>
      <c r="K569" s="7" t="e">
        <f t="shared" ca="1" si="57"/>
        <v>#VALUE!</v>
      </c>
      <c r="L569" s="7" t="e">
        <f t="shared" ca="1" si="58"/>
        <v>#VALUE!</v>
      </c>
      <c r="M569" s="7" t="e">
        <f t="shared" ca="1" si="59"/>
        <v>#VALUE!</v>
      </c>
      <c r="N569" s="7" t="e">
        <f t="shared" ca="1" si="60"/>
        <v>#VALUE!</v>
      </c>
      <c r="O569" s="7" t="e">
        <f t="shared" ca="1" si="61"/>
        <v>#VALUE!</v>
      </c>
      <c r="P569" s="7" t="e">
        <f t="shared" ca="1" si="62"/>
        <v>#VALUE!</v>
      </c>
    </row>
    <row r="570" spans="1:16" x14ac:dyDescent="0.25">
      <c r="A570" s="19" t="str">
        <f ca="1">IF(OR(INDIRECT("'" &amp; Master!$F$8 &amp; Master!$F$6 &amp; "'!A" &amp; ROW(A570))="", INDIRECT("'" &amp; Master!$F$8 &amp; Master!$F$6 &amp; "'!A" &amp; ROW(A570))=0), "", INDIRECT("'" &amp; Master!$F$8 &amp; Master!$F$6 &amp; "'!A" &amp; ROW(A570)))</f>
        <v/>
      </c>
      <c r="B570" s="4" t="e">
        <f ca="1">SplineInterp(INDIRECT("A" &amp; ROW()),INDIRECT("'" &amp;Master!$F$10&amp; "'!$A$2:$A$50"),INDIRECT("'" &amp;Master!$F$10&amp; "'!$B$2:$B$50"))</f>
        <v>#VALUE!</v>
      </c>
      <c r="C570" s="4" t="e">
        <f ca="1">SplineInterp(A570,INDIRECT("'" &amp;Master!$F$10&amp; "'!$A$2:$A$50"),INDIRECT("'" &amp;Master!$F$10&amp; "'!$C$2:$C$50"))</f>
        <v>#VALUE!</v>
      </c>
      <c r="D570" s="4" t="e">
        <f ca="1">SplineInterp(A570,INDIRECT("'" &amp;Master!$F$10&amp; "'!$A$2:$A$50"),INDIRECT("'" &amp;Master!$F$10&amp; "'!$D$2:$D$50"))</f>
        <v>#VALUE!</v>
      </c>
      <c r="E570" s="4" t="e">
        <f ca="1">SplineInterp(A570,INDIRECT("'" &amp;Master!$F$10&amp; "'!$A$2:$A$50"),INDIRECT("'" &amp;Master!$F$10&amp; "'!$E$2:$E$50"))</f>
        <v>#VALUE!</v>
      </c>
      <c r="F570" s="4" t="e">
        <f ca="1">SplineInterp(A570,INDIRECT("'" &amp;Master!$F$10&amp; "'!$A$2:$A$50"),INDIRECT("'" &amp;Master!$F$10&amp; "'!$F$2:$F$50"))</f>
        <v>#VALUE!</v>
      </c>
      <c r="G570" s="4" t="e">
        <f ca="1">SplineInterp(A570,INDIRECT("'" &amp;Master!$F$10&amp; "'!$A$2:$A$50"),INDIRECT("'" &amp;Master!$F$10&amp; "'!$G$2:$G$50"))</f>
        <v>#VALUE!</v>
      </c>
      <c r="H570" s="4" t="e">
        <f ca="1">SplineInterp(A570,INDIRECT("'" &amp;Master!$F$10&amp; "'!$A$2:$A$50"),INDIRECT("'" &amp;Master!$F$10&amp; "'!$H$2:$H$50"))</f>
        <v>#VALUE!</v>
      </c>
      <c r="I570" s="4" t="e">
        <f ca="1">IF(OR(INDIRECT("'" &amp; Master!$F$8 &amp; Master!$F$6 &amp; "'!B" &amp; ROW(B570))="", INDIRECT("'" &amp; Master!$F$8 &amp; Master!$F$6 &amp; "'!B" &amp; ROW(B570))=0), "", INDIRECT("'" &amp; Master!$F$8 &amp; Master!$F$6 &amp; "'!B" &amp; ROW(B570)))</f>
        <v>#VALUE!</v>
      </c>
      <c r="J570" s="9" t="e">
        <f t="shared" ca="1" si="56"/>
        <v>#VALUE!</v>
      </c>
      <c r="K570" s="7" t="e">
        <f t="shared" ca="1" si="57"/>
        <v>#VALUE!</v>
      </c>
      <c r="L570" s="7" t="e">
        <f t="shared" ca="1" si="58"/>
        <v>#VALUE!</v>
      </c>
      <c r="M570" s="7" t="e">
        <f t="shared" ca="1" si="59"/>
        <v>#VALUE!</v>
      </c>
      <c r="N570" s="7" t="e">
        <f t="shared" ca="1" si="60"/>
        <v>#VALUE!</v>
      </c>
      <c r="O570" s="7" t="e">
        <f t="shared" ca="1" si="61"/>
        <v>#VALUE!</v>
      </c>
      <c r="P570" s="7" t="e">
        <f t="shared" ca="1" si="62"/>
        <v>#VALUE!</v>
      </c>
    </row>
    <row r="571" spans="1:16" x14ac:dyDescent="0.25">
      <c r="A571" s="19" t="str">
        <f ca="1">IF(OR(INDIRECT("'" &amp; Master!$F$8 &amp; Master!$F$6 &amp; "'!A" &amp; ROW(A571))="", INDIRECT("'" &amp; Master!$F$8 &amp; Master!$F$6 &amp; "'!A" &amp; ROW(A571))=0), "", INDIRECT("'" &amp; Master!$F$8 &amp; Master!$F$6 &amp; "'!A" &amp; ROW(A571)))</f>
        <v/>
      </c>
      <c r="B571" s="4" t="e">
        <f ca="1">SplineInterp(INDIRECT("A" &amp; ROW()),INDIRECT("'" &amp;Master!$F$10&amp; "'!$A$2:$A$50"),INDIRECT("'" &amp;Master!$F$10&amp; "'!$B$2:$B$50"))</f>
        <v>#VALUE!</v>
      </c>
      <c r="C571" s="4" t="e">
        <f ca="1">SplineInterp(A571,INDIRECT("'" &amp;Master!$F$10&amp; "'!$A$2:$A$50"),INDIRECT("'" &amp;Master!$F$10&amp; "'!$C$2:$C$50"))</f>
        <v>#VALUE!</v>
      </c>
      <c r="D571" s="4" t="e">
        <f ca="1">SplineInterp(A571,INDIRECT("'" &amp;Master!$F$10&amp; "'!$A$2:$A$50"),INDIRECT("'" &amp;Master!$F$10&amp; "'!$D$2:$D$50"))</f>
        <v>#VALUE!</v>
      </c>
      <c r="E571" s="4" t="e">
        <f ca="1">SplineInterp(A571,INDIRECT("'" &amp;Master!$F$10&amp; "'!$A$2:$A$50"),INDIRECT("'" &amp;Master!$F$10&amp; "'!$E$2:$E$50"))</f>
        <v>#VALUE!</v>
      </c>
      <c r="F571" s="4" t="e">
        <f ca="1">SplineInterp(A571,INDIRECT("'" &amp;Master!$F$10&amp; "'!$A$2:$A$50"),INDIRECT("'" &amp;Master!$F$10&amp; "'!$F$2:$F$50"))</f>
        <v>#VALUE!</v>
      </c>
      <c r="G571" s="4" t="e">
        <f ca="1">SplineInterp(A571,INDIRECT("'" &amp;Master!$F$10&amp; "'!$A$2:$A$50"),INDIRECT("'" &amp;Master!$F$10&amp; "'!$G$2:$G$50"))</f>
        <v>#VALUE!</v>
      </c>
      <c r="H571" s="4" t="e">
        <f ca="1">SplineInterp(A571,INDIRECT("'" &amp;Master!$F$10&amp; "'!$A$2:$A$50"),INDIRECT("'" &amp;Master!$F$10&amp; "'!$H$2:$H$50"))</f>
        <v>#VALUE!</v>
      </c>
      <c r="I571" s="4" t="e">
        <f ca="1">IF(OR(INDIRECT("'" &amp; Master!$F$8 &amp; Master!$F$6 &amp; "'!B" &amp; ROW(B571))="", INDIRECT("'" &amp; Master!$F$8 &amp; Master!$F$6 &amp; "'!B" &amp; ROW(B571))=0), "", INDIRECT("'" &amp; Master!$F$8 &amp; Master!$F$6 &amp; "'!B" &amp; ROW(B571)))</f>
        <v>#VALUE!</v>
      </c>
      <c r="J571" s="9" t="e">
        <f t="shared" ca="1" si="56"/>
        <v>#VALUE!</v>
      </c>
      <c r="K571" s="7" t="e">
        <f t="shared" ca="1" si="57"/>
        <v>#VALUE!</v>
      </c>
      <c r="L571" s="7" t="e">
        <f t="shared" ca="1" si="58"/>
        <v>#VALUE!</v>
      </c>
      <c r="M571" s="7" t="e">
        <f t="shared" ca="1" si="59"/>
        <v>#VALUE!</v>
      </c>
      <c r="N571" s="7" t="e">
        <f t="shared" ca="1" si="60"/>
        <v>#VALUE!</v>
      </c>
      <c r="O571" s="7" t="e">
        <f t="shared" ca="1" si="61"/>
        <v>#VALUE!</v>
      </c>
      <c r="P571" s="7" t="e">
        <f t="shared" ca="1" si="62"/>
        <v>#VALUE!</v>
      </c>
    </row>
    <row r="572" spans="1:16" x14ac:dyDescent="0.25">
      <c r="A572" s="19" t="str">
        <f ca="1">IF(OR(INDIRECT("'" &amp; Master!$F$8 &amp; Master!$F$6 &amp; "'!A" &amp; ROW(A572))="", INDIRECT("'" &amp; Master!$F$8 &amp; Master!$F$6 &amp; "'!A" &amp; ROW(A572))=0), "", INDIRECT("'" &amp; Master!$F$8 &amp; Master!$F$6 &amp; "'!A" &amp; ROW(A572)))</f>
        <v/>
      </c>
      <c r="B572" s="4" t="e">
        <f ca="1">SplineInterp(INDIRECT("A" &amp; ROW()),INDIRECT("'" &amp;Master!$F$10&amp; "'!$A$2:$A$50"),INDIRECT("'" &amp;Master!$F$10&amp; "'!$B$2:$B$50"))</f>
        <v>#VALUE!</v>
      </c>
      <c r="C572" s="4" t="e">
        <f ca="1">SplineInterp(A572,INDIRECT("'" &amp;Master!$F$10&amp; "'!$A$2:$A$50"),INDIRECT("'" &amp;Master!$F$10&amp; "'!$C$2:$C$50"))</f>
        <v>#VALUE!</v>
      </c>
      <c r="D572" s="4" t="e">
        <f ca="1">SplineInterp(A572,INDIRECT("'" &amp;Master!$F$10&amp; "'!$A$2:$A$50"),INDIRECT("'" &amp;Master!$F$10&amp; "'!$D$2:$D$50"))</f>
        <v>#VALUE!</v>
      </c>
      <c r="E572" s="4" t="e">
        <f ca="1">SplineInterp(A572,INDIRECT("'" &amp;Master!$F$10&amp; "'!$A$2:$A$50"),INDIRECT("'" &amp;Master!$F$10&amp; "'!$E$2:$E$50"))</f>
        <v>#VALUE!</v>
      </c>
      <c r="F572" s="4" t="e">
        <f ca="1">SplineInterp(A572,INDIRECT("'" &amp;Master!$F$10&amp; "'!$A$2:$A$50"),INDIRECT("'" &amp;Master!$F$10&amp; "'!$F$2:$F$50"))</f>
        <v>#VALUE!</v>
      </c>
      <c r="G572" s="4" t="e">
        <f ca="1">SplineInterp(A572,INDIRECT("'" &amp;Master!$F$10&amp; "'!$A$2:$A$50"),INDIRECT("'" &amp;Master!$F$10&amp; "'!$G$2:$G$50"))</f>
        <v>#VALUE!</v>
      </c>
      <c r="H572" s="4" t="e">
        <f ca="1">SplineInterp(A572,INDIRECT("'" &amp;Master!$F$10&amp; "'!$A$2:$A$50"),INDIRECT("'" &amp;Master!$F$10&amp; "'!$H$2:$H$50"))</f>
        <v>#VALUE!</v>
      </c>
      <c r="I572" s="4" t="e">
        <f ca="1">IF(OR(INDIRECT("'" &amp; Master!$F$8 &amp; Master!$F$6 &amp; "'!B" &amp; ROW(B572))="", INDIRECT("'" &amp; Master!$F$8 &amp; Master!$F$6 &amp; "'!B" &amp; ROW(B572))=0), "", INDIRECT("'" &amp; Master!$F$8 &amp; Master!$F$6 &amp; "'!B" &amp; ROW(B572)))</f>
        <v>#VALUE!</v>
      </c>
      <c r="J572" s="9" t="e">
        <f t="shared" ca="1" si="56"/>
        <v>#VALUE!</v>
      </c>
      <c r="K572" s="7" t="e">
        <f t="shared" ca="1" si="57"/>
        <v>#VALUE!</v>
      </c>
      <c r="L572" s="7" t="e">
        <f t="shared" ca="1" si="58"/>
        <v>#VALUE!</v>
      </c>
      <c r="M572" s="7" t="e">
        <f t="shared" ca="1" si="59"/>
        <v>#VALUE!</v>
      </c>
      <c r="N572" s="7" t="e">
        <f t="shared" ca="1" si="60"/>
        <v>#VALUE!</v>
      </c>
      <c r="O572" s="7" t="e">
        <f t="shared" ca="1" si="61"/>
        <v>#VALUE!</v>
      </c>
      <c r="P572" s="7" t="e">
        <f t="shared" ca="1" si="62"/>
        <v>#VALUE!</v>
      </c>
    </row>
    <row r="573" spans="1:16" x14ac:dyDescent="0.25">
      <c r="A573" s="19" t="str">
        <f ca="1">IF(OR(INDIRECT("'" &amp; Master!$F$8 &amp; Master!$F$6 &amp; "'!A" &amp; ROW(A573))="", INDIRECT("'" &amp; Master!$F$8 &amp; Master!$F$6 &amp; "'!A" &amp; ROW(A573))=0), "", INDIRECT("'" &amp; Master!$F$8 &amp; Master!$F$6 &amp; "'!A" &amp; ROW(A573)))</f>
        <v/>
      </c>
      <c r="B573" s="4" t="e">
        <f ca="1">SplineInterp(INDIRECT("A" &amp; ROW()),INDIRECT("'" &amp;Master!$F$10&amp; "'!$A$2:$A$50"),INDIRECT("'" &amp;Master!$F$10&amp; "'!$B$2:$B$50"))</f>
        <v>#VALUE!</v>
      </c>
      <c r="C573" s="4" t="e">
        <f ca="1">SplineInterp(A573,INDIRECT("'" &amp;Master!$F$10&amp; "'!$A$2:$A$50"),INDIRECT("'" &amp;Master!$F$10&amp; "'!$C$2:$C$50"))</f>
        <v>#VALUE!</v>
      </c>
      <c r="D573" s="4" t="e">
        <f ca="1">SplineInterp(A573,INDIRECT("'" &amp;Master!$F$10&amp; "'!$A$2:$A$50"),INDIRECT("'" &amp;Master!$F$10&amp; "'!$D$2:$D$50"))</f>
        <v>#VALUE!</v>
      </c>
      <c r="E573" s="4" t="e">
        <f ca="1">SplineInterp(A573,INDIRECT("'" &amp;Master!$F$10&amp; "'!$A$2:$A$50"),INDIRECT("'" &amp;Master!$F$10&amp; "'!$E$2:$E$50"))</f>
        <v>#VALUE!</v>
      </c>
      <c r="F573" s="4" t="e">
        <f ca="1">SplineInterp(A573,INDIRECT("'" &amp;Master!$F$10&amp; "'!$A$2:$A$50"),INDIRECT("'" &amp;Master!$F$10&amp; "'!$F$2:$F$50"))</f>
        <v>#VALUE!</v>
      </c>
      <c r="G573" s="4" t="e">
        <f ca="1">SplineInterp(A573,INDIRECT("'" &amp;Master!$F$10&amp; "'!$A$2:$A$50"),INDIRECT("'" &amp;Master!$F$10&amp; "'!$G$2:$G$50"))</f>
        <v>#VALUE!</v>
      </c>
      <c r="H573" s="4" t="e">
        <f ca="1">SplineInterp(A573,INDIRECT("'" &amp;Master!$F$10&amp; "'!$A$2:$A$50"),INDIRECT("'" &amp;Master!$F$10&amp; "'!$H$2:$H$50"))</f>
        <v>#VALUE!</v>
      </c>
      <c r="I573" s="4" t="e">
        <f ca="1">IF(OR(INDIRECT("'" &amp; Master!$F$8 &amp; Master!$F$6 &amp; "'!B" &amp; ROW(B573))="", INDIRECT("'" &amp; Master!$F$8 &amp; Master!$F$6 &amp; "'!B" &amp; ROW(B573))=0), "", INDIRECT("'" &amp; Master!$F$8 &amp; Master!$F$6 &amp; "'!B" &amp; ROW(B573)))</f>
        <v>#VALUE!</v>
      </c>
      <c r="J573" s="9" t="e">
        <f t="shared" ca="1" si="56"/>
        <v>#VALUE!</v>
      </c>
      <c r="K573" s="7" t="e">
        <f t="shared" ca="1" si="57"/>
        <v>#VALUE!</v>
      </c>
      <c r="L573" s="7" t="e">
        <f t="shared" ca="1" si="58"/>
        <v>#VALUE!</v>
      </c>
      <c r="M573" s="7" t="e">
        <f t="shared" ca="1" si="59"/>
        <v>#VALUE!</v>
      </c>
      <c r="N573" s="7" t="e">
        <f t="shared" ca="1" si="60"/>
        <v>#VALUE!</v>
      </c>
      <c r="O573" s="7" t="e">
        <f t="shared" ca="1" si="61"/>
        <v>#VALUE!</v>
      </c>
      <c r="P573" s="7" t="e">
        <f t="shared" ca="1" si="62"/>
        <v>#VALUE!</v>
      </c>
    </row>
    <row r="574" spans="1:16" x14ac:dyDescent="0.25">
      <c r="A574" s="19" t="str">
        <f ca="1">IF(OR(INDIRECT("'" &amp; Master!$F$8 &amp; Master!$F$6 &amp; "'!A" &amp; ROW(A574))="", INDIRECT("'" &amp; Master!$F$8 &amp; Master!$F$6 &amp; "'!A" &amp; ROW(A574))=0), "", INDIRECT("'" &amp; Master!$F$8 &amp; Master!$F$6 &amp; "'!A" &amp; ROW(A574)))</f>
        <v/>
      </c>
      <c r="B574" s="4" t="e">
        <f ca="1">SplineInterp(INDIRECT("A" &amp; ROW()),INDIRECT("'" &amp;Master!$F$10&amp; "'!$A$2:$A$50"),INDIRECT("'" &amp;Master!$F$10&amp; "'!$B$2:$B$50"))</f>
        <v>#VALUE!</v>
      </c>
      <c r="C574" s="4" t="e">
        <f ca="1">SplineInterp(A574,INDIRECT("'" &amp;Master!$F$10&amp; "'!$A$2:$A$50"),INDIRECT("'" &amp;Master!$F$10&amp; "'!$C$2:$C$50"))</f>
        <v>#VALUE!</v>
      </c>
      <c r="D574" s="4" t="e">
        <f ca="1">SplineInterp(A574,INDIRECT("'" &amp;Master!$F$10&amp; "'!$A$2:$A$50"),INDIRECT("'" &amp;Master!$F$10&amp; "'!$D$2:$D$50"))</f>
        <v>#VALUE!</v>
      </c>
      <c r="E574" s="4" t="e">
        <f ca="1">SplineInterp(A574,INDIRECT("'" &amp;Master!$F$10&amp; "'!$A$2:$A$50"),INDIRECT("'" &amp;Master!$F$10&amp; "'!$E$2:$E$50"))</f>
        <v>#VALUE!</v>
      </c>
      <c r="F574" s="4" t="e">
        <f ca="1">SplineInterp(A574,INDIRECT("'" &amp;Master!$F$10&amp; "'!$A$2:$A$50"),INDIRECT("'" &amp;Master!$F$10&amp; "'!$F$2:$F$50"))</f>
        <v>#VALUE!</v>
      </c>
      <c r="G574" s="4" t="e">
        <f ca="1">SplineInterp(A574,INDIRECT("'" &amp;Master!$F$10&amp; "'!$A$2:$A$50"),INDIRECT("'" &amp;Master!$F$10&amp; "'!$G$2:$G$50"))</f>
        <v>#VALUE!</v>
      </c>
      <c r="H574" s="4" t="e">
        <f ca="1">SplineInterp(A574,INDIRECT("'" &amp;Master!$F$10&amp; "'!$A$2:$A$50"),INDIRECT("'" &amp;Master!$F$10&amp; "'!$H$2:$H$50"))</f>
        <v>#VALUE!</v>
      </c>
      <c r="I574" s="4" t="e">
        <f ca="1">IF(OR(INDIRECT("'" &amp; Master!$F$8 &amp; Master!$F$6 &amp; "'!B" &amp; ROW(B574))="", INDIRECT("'" &amp; Master!$F$8 &amp; Master!$F$6 &amp; "'!B" &amp; ROW(B574))=0), "", INDIRECT("'" &amp; Master!$F$8 &amp; Master!$F$6 &amp; "'!B" &amp; ROW(B574)))</f>
        <v>#VALUE!</v>
      </c>
      <c r="J574" s="9" t="e">
        <f t="shared" ca="1" si="56"/>
        <v>#VALUE!</v>
      </c>
      <c r="K574" s="7" t="e">
        <f t="shared" ca="1" si="57"/>
        <v>#VALUE!</v>
      </c>
      <c r="L574" s="7" t="e">
        <f t="shared" ca="1" si="58"/>
        <v>#VALUE!</v>
      </c>
      <c r="M574" s="7" t="e">
        <f t="shared" ca="1" si="59"/>
        <v>#VALUE!</v>
      </c>
      <c r="N574" s="7" t="e">
        <f t="shared" ca="1" si="60"/>
        <v>#VALUE!</v>
      </c>
      <c r="O574" s="7" t="e">
        <f t="shared" ca="1" si="61"/>
        <v>#VALUE!</v>
      </c>
      <c r="P574" s="7" t="e">
        <f t="shared" ca="1" si="62"/>
        <v>#VALUE!</v>
      </c>
    </row>
    <row r="575" spans="1:16" x14ac:dyDescent="0.25">
      <c r="A575" s="19" t="str">
        <f ca="1">IF(OR(INDIRECT("'" &amp; Master!$F$8 &amp; Master!$F$6 &amp; "'!A" &amp; ROW(A575))="", INDIRECT("'" &amp; Master!$F$8 &amp; Master!$F$6 &amp; "'!A" &amp; ROW(A575))=0), "", INDIRECT("'" &amp; Master!$F$8 &amp; Master!$F$6 &amp; "'!A" &amp; ROW(A575)))</f>
        <v/>
      </c>
      <c r="B575" s="4" t="e">
        <f ca="1">SplineInterp(INDIRECT("A" &amp; ROW()),INDIRECT("'" &amp;Master!$F$10&amp; "'!$A$2:$A$50"),INDIRECT("'" &amp;Master!$F$10&amp; "'!$B$2:$B$50"))</f>
        <v>#VALUE!</v>
      </c>
      <c r="C575" s="4" t="e">
        <f ca="1">SplineInterp(A575,INDIRECT("'" &amp;Master!$F$10&amp; "'!$A$2:$A$50"),INDIRECT("'" &amp;Master!$F$10&amp; "'!$C$2:$C$50"))</f>
        <v>#VALUE!</v>
      </c>
      <c r="D575" s="4" t="e">
        <f ca="1">SplineInterp(A575,INDIRECT("'" &amp;Master!$F$10&amp; "'!$A$2:$A$50"),INDIRECT("'" &amp;Master!$F$10&amp; "'!$D$2:$D$50"))</f>
        <v>#VALUE!</v>
      </c>
      <c r="E575" s="4" t="e">
        <f ca="1">SplineInterp(A575,INDIRECT("'" &amp;Master!$F$10&amp; "'!$A$2:$A$50"),INDIRECT("'" &amp;Master!$F$10&amp; "'!$E$2:$E$50"))</f>
        <v>#VALUE!</v>
      </c>
      <c r="F575" s="4" t="e">
        <f ca="1">SplineInterp(A575,INDIRECT("'" &amp;Master!$F$10&amp; "'!$A$2:$A$50"),INDIRECT("'" &amp;Master!$F$10&amp; "'!$F$2:$F$50"))</f>
        <v>#VALUE!</v>
      </c>
      <c r="G575" s="4" t="e">
        <f ca="1">SplineInterp(A575,INDIRECT("'" &amp;Master!$F$10&amp; "'!$A$2:$A$50"),INDIRECT("'" &amp;Master!$F$10&amp; "'!$G$2:$G$50"))</f>
        <v>#VALUE!</v>
      </c>
      <c r="H575" s="4" t="e">
        <f ca="1">SplineInterp(A575,INDIRECT("'" &amp;Master!$F$10&amp; "'!$A$2:$A$50"),INDIRECT("'" &amp;Master!$F$10&amp; "'!$H$2:$H$50"))</f>
        <v>#VALUE!</v>
      </c>
      <c r="I575" s="4" t="e">
        <f ca="1">IF(OR(INDIRECT("'" &amp; Master!$F$8 &amp; Master!$F$6 &amp; "'!B" &amp; ROW(B575))="", INDIRECT("'" &amp; Master!$F$8 &amp; Master!$F$6 &amp; "'!B" &amp; ROW(B575))=0), "", INDIRECT("'" &amp; Master!$F$8 &amp; Master!$F$6 &amp; "'!B" &amp; ROW(B575)))</f>
        <v>#VALUE!</v>
      </c>
      <c r="J575" s="9" t="e">
        <f t="shared" ca="1" si="56"/>
        <v>#VALUE!</v>
      </c>
      <c r="K575" s="7" t="e">
        <f t="shared" ca="1" si="57"/>
        <v>#VALUE!</v>
      </c>
      <c r="L575" s="7" t="e">
        <f t="shared" ca="1" si="58"/>
        <v>#VALUE!</v>
      </c>
      <c r="M575" s="7" t="e">
        <f t="shared" ca="1" si="59"/>
        <v>#VALUE!</v>
      </c>
      <c r="N575" s="7" t="e">
        <f t="shared" ca="1" si="60"/>
        <v>#VALUE!</v>
      </c>
      <c r="O575" s="7" t="e">
        <f t="shared" ca="1" si="61"/>
        <v>#VALUE!</v>
      </c>
      <c r="P575" s="7" t="e">
        <f t="shared" ca="1" si="62"/>
        <v>#VALUE!</v>
      </c>
    </row>
    <row r="576" spans="1:16" x14ac:dyDescent="0.25">
      <c r="A576" s="19" t="str">
        <f ca="1">IF(OR(INDIRECT("'" &amp; Master!$F$8 &amp; Master!$F$6 &amp; "'!A" &amp; ROW(A576))="", INDIRECT("'" &amp; Master!$F$8 &amp; Master!$F$6 &amp; "'!A" &amp; ROW(A576))=0), "", INDIRECT("'" &amp; Master!$F$8 &amp; Master!$F$6 &amp; "'!A" &amp; ROW(A576)))</f>
        <v/>
      </c>
      <c r="B576" s="4" t="e">
        <f ca="1">SplineInterp(INDIRECT("A" &amp; ROW()),INDIRECT("'" &amp;Master!$F$10&amp; "'!$A$2:$A$50"),INDIRECT("'" &amp;Master!$F$10&amp; "'!$B$2:$B$50"))</f>
        <v>#VALUE!</v>
      </c>
      <c r="C576" s="4" t="e">
        <f ca="1">SplineInterp(A576,INDIRECT("'" &amp;Master!$F$10&amp; "'!$A$2:$A$50"),INDIRECT("'" &amp;Master!$F$10&amp; "'!$C$2:$C$50"))</f>
        <v>#VALUE!</v>
      </c>
      <c r="D576" s="4" t="e">
        <f ca="1">SplineInterp(A576,INDIRECT("'" &amp;Master!$F$10&amp; "'!$A$2:$A$50"),INDIRECT("'" &amp;Master!$F$10&amp; "'!$D$2:$D$50"))</f>
        <v>#VALUE!</v>
      </c>
      <c r="E576" s="4" t="e">
        <f ca="1">SplineInterp(A576,INDIRECT("'" &amp;Master!$F$10&amp; "'!$A$2:$A$50"),INDIRECT("'" &amp;Master!$F$10&amp; "'!$E$2:$E$50"))</f>
        <v>#VALUE!</v>
      </c>
      <c r="F576" s="4" t="e">
        <f ca="1">SplineInterp(A576,INDIRECT("'" &amp;Master!$F$10&amp; "'!$A$2:$A$50"),INDIRECT("'" &amp;Master!$F$10&amp; "'!$F$2:$F$50"))</f>
        <v>#VALUE!</v>
      </c>
      <c r="G576" s="4" t="e">
        <f ca="1">SplineInterp(A576,INDIRECT("'" &amp;Master!$F$10&amp; "'!$A$2:$A$50"),INDIRECT("'" &amp;Master!$F$10&amp; "'!$G$2:$G$50"))</f>
        <v>#VALUE!</v>
      </c>
      <c r="H576" s="4" t="e">
        <f ca="1">SplineInterp(A576,INDIRECT("'" &amp;Master!$F$10&amp; "'!$A$2:$A$50"),INDIRECT("'" &amp;Master!$F$10&amp; "'!$H$2:$H$50"))</f>
        <v>#VALUE!</v>
      </c>
      <c r="I576" s="4" t="e">
        <f ca="1">IF(OR(INDIRECT("'" &amp; Master!$F$8 &amp; Master!$F$6 &amp; "'!B" &amp; ROW(B576))="", INDIRECT("'" &amp; Master!$F$8 &amp; Master!$F$6 &amp; "'!B" &amp; ROW(B576))=0), "", INDIRECT("'" &amp; Master!$F$8 &amp; Master!$F$6 &amp; "'!B" &amp; ROW(B576)))</f>
        <v>#VALUE!</v>
      </c>
      <c r="J576" s="9" t="e">
        <f t="shared" ca="1" si="56"/>
        <v>#VALUE!</v>
      </c>
      <c r="K576" s="7" t="e">
        <f t="shared" ca="1" si="57"/>
        <v>#VALUE!</v>
      </c>
      <c r="L576" s="7" t="e">
        <f t="shared" ca="1" si="58"/>
        <v>#VALUE!</v>
      </c>
      <c r="M576" s="7" t="e">
        <f t="shared" ca="1" si="59"/>
        <v>#VALUE!</v>
      </c>
      <c r="N576" s="7" t="e">
        <f t="shared" ca="1" si="60"/>
        <v>#VALUE!</v>
      </c>
      <c r="O576" s="7" t="e">
        <f t="shared" ca="1" si="61"/>
        <v>#VALUE!</v>
      </c>
      <c r="P576" s="7" t="e">
        <f t="shared" ca="1" si="62"/>
        <v>#VALUE!</v>
      </c>
    </row>
    <row r="577" spans="1:16" x14ac:dyDescent="0.25">
      <c r="A577" s="19" t="str">
        <f ca="1">IF(OR(INDIRECT("'" &amp; Master!$F$8 &amp; Master!$F$6 &amp; "'!A" &amp; ROW(A577))="", INDIRECT("'" &amp; Master!$F$8 &amp; Master!$F$6 &amp; "'!A" &amp; ROW(A577))=0), "", INDIRECT("'" &amp; Master!$F$8 &amp; Master!$F$6 &amp; "'!A" &amp; ROW(A577)))</f>
        <v/>
      </c>
      <c r="B577" s="4" t="e">
        <f ca="1">SplineInterp(INDIRECT("A" &amp; ROW()),INDIRECT("'" &amp;Master!$F$10&amp; "'!$A$2:$A$50"),INDIRECT("'" &amp;Master!$F$10&amp; "'!$B$2:$B$50"))</f>
        <v>#VALUE!</v>
      </c>
      <c r="C577" s="4" t="e">
        <f ca="1">SplineInterp(A577,INDIRECT("'" &amp;Master!$F$10&amp; "'!$A$2:$A$50"),INDIRECT("'" &amp;Master!$F$10&amp; "'!$C$2:$C$50"))</f>
        <v>#VALUE!</v>
      </c>
      <c r="D577" s="4" t="e">
        <f ca="1">SplineInterp(A577,INDIRECT("'" &amp;Master!$F$10&amp; "'!$A$2:$A$50"),INDIRECT("'" &amp;Master!$F$10&amp; "'!$D$2:$D$50"))</f>
        <v>#VALUE!</v>
      </c>
      <c r="E577" s="4" t="e">
        <f ca="1">SplineInterp(A577,INDIRECT("'" &amp;Master!$F$10&amp; "'!$A$2:$A$50"),INDIRECT("'" &amp;Master!$F$10&amp; "'!$E$2:$E$50"))</f>
        <v>#VALUE!</v>
      </c>
      <c r="F577" s="4" t="e">
        <f ca="1">SplineInterp(A577,INDIRECT("'" &amp;Master!$F$10&amp; "'!$A$2:$A$50"),INDIRECT("'" &amp;Master!$F$10&amp; "'!$F$2:$F$50"))</f>
        <v>#VALUE!</v>
      </c>
      <c r="G577" s="4" t="e">
        <f ca="1">SplineInterp(A577,INDIRECT("'" &amp;Master!$F$10&amp; "'!$A$2:$A$50"),INDIRECT("'" &amp;Master!$F$10&amp; "'!$G$2:$G$50"))</f>
        <v>#VALUE!</v>
      </c>
      <c r="H577" s="4" t="e">
        <f ca="1">SplineInterp(A577,INDIRECT("'" &amp;Master!$F$10&amp; "'!$A$2:$A$50"),INDIRECT("'" &amp;Master!$F$10&amp; "'!$H$2:$H$50"))</f>
        <v>#VALUE!</v>
      </c>
      <c r="I577" s="4" t="e">
        <f ca="1">IF(OR(INDIRECT("'" &amp; Master!$F$8 &amp; Master!$F$6 &amp; "'!B" &amp; ROW(B577))="", INDIRECT("'" &amp; Master!$F$8 &amp; Master!$F$6 &amp; "'!B" &amp; ROW(B577))=0), "", INDIRECT("'" &amp; Master!$F$8 &amp; Master!$F$6 &amp; "'!B" &amp; ROW(B577)))</f>
        <v>#VALUE!</v>
      </c>
      <c r="J577" s="9" t="e">
        <f t="shared" ca="1" si="56"/>
        <v>#VALUE!</v>
      </c>
      <c r="K577" s="7" t="e">
        <f t="shared" ca="1" si="57"/>
        <v>#VALUE!</v>
      </c>
      <c r="L577" s="7" t="e">
        <f t="shared" ca="1" si="58"/>
        <v>#VALUE!</v>
      </c>
      <c r="M577" s="7" t="e">
        <f t="shared" ca="1" si="59"/>
        <v>#VALUE!</v>
      </c>
      <c r="N577" s="7" t="e">
        <f t="shared" ca="1" si="60"/>
        <v>#VALUE!</v>
      </c>
      <c r="O577" s="7" t="e">
        <f t="shared" ca="1" si="61"/>
        <v>#VALUE!</v>
      </c>
      <c r="P577" s="7" t="e">
        <f t="shared" ca="1" si="62"/>
        <v>#VALUE!</v>
      </c>
    </row>
    <row r="578" spans="1:16" x14ac:dyDescent="0.25">
      <c r="A578" s="19" t="str">
        <f ca="1">IF(OR(INDIRECT("'" &amp; Master!$F$8 &amp; Master!$F$6 &amp; "'!A" &amp; ROW(A578))="", INDIRECT("'" &amp; Master!$F$8 &amp; Master!$F$6 &amp; "'!A" &amp; ROW(A578))=0), "", INDIRECT("'" &amp; Master!$F$8 &amp; Master!$F$6 &amp; "'!A" &amp; ROW(A578)))</f>
        <v/>
      </c>
      <c r="B578" s="4" t="e">
        <f ca="1">SplineInterp(INDIRECT("A" &amp; ROW()),INDIRECT("'" &amp;Master!$F$10&amp; "'!$A$2:$A$50"),INDIRECT("'" &amp;Master!$F$10&amp; "'!$B$2:$B$50"))</f>
        <v>#VALUE!</v>
      </c>
      <c r="C578" s="4" t="e">
        <f ca="1">SplineInterp(A578,INDIRECT("'" &amp;Master!$F$10&amp; "'!$A$2:$A$50"),INDIRECT("'" &amp;Master!$F$10&amp; "'!$C$2:$C$50"))</f>
        <v>#VALUE!</v>
      </c>
      <c r="D578" s="4" t="e">
        <f ca="1">SplineInterp(A578,INDIRECT("'" &amp;Master!$F$10&amp; "'!$A$2:$A$50"),INDIRECT("'" &amp;Master!$F$10&amp; "'!$D$2:$D$50"))</f>
        <v>#VALUE!</v>
      </c>
      <c r="E578" s="4" t="e">
        <f ca="1">SplineInterp(A578,INDIRECT("'" &amp;Master!$F$10&amp; "'!$A$2:$A$50"),INDIRECT("'" &amp;Master!$F$10&amp; "'!$E$2:$E$50"))</f>
        <v>#VALUE!</v>
      </c>
      <c r="F578" s="4" t="e">
        <f ca="1">SplineInterp(A578,INDIRECT("'" &amp;Master!$F$10&amp; "'!$A$2:$A$50"),INDIRECT("'" &amp;Master!$F$10&amp; "'!$F$2:$F$50"))</f>
        <v>#VALUE!</v>
      </c>
      <c r="G578" s="4" t="e">
        <f ca="1">SplineInterp(A578,INDIRECT("'" &amp;Master!$F$10&amp; "'!$A$2:$A$50"),INDIRECT("'" &amp;Master!$F$10&amp; "'!$G$2:$G$50"))</f>
        <v>#VALUE!</v>
      </c>
      <c r="H578" s="4" t="e">
        <f ca="1">SplineInterp(A578,INDIRECT("'" &amp;Master!$F$10&amp; "'!$A$2:$A$50"),INDIRECT("'" &amp;Master!$F$10&amp; "'!$H$2:$H$50"))</f>
        <v>#VALUE!</v>
      </c>
      <c r="I578" s="4" t="e">
        <f ca="1">IF(OR(INDIRECT("'" &amp; Master!$F$8 &amp; Master!$F$6 &amp; "'!B" &amp; ROW(B578))="", INDIRECT("'" &amp; Master!$F$8 &amp; Master!$F$6 &amp; "'!B" &amp; ROW(B578))=0), "", INDIRECT("'" &amp; Master!$F$8 &amp; Master!$F$6 &amp; "'!B" &amp; ROW(B578)))</f>
        <v>#VALUE!</v>
      </c>
      <c r="J578" s="9" t="e">
        <f t="shared" ca="1" si="56"/>
        <v>#VALUE!</v>
      </c>
      <c r="K578" s="7" t="e">
        <f t="shared" ca="1" si="57"/>
        <v>#VALUE!</v>
      </c>
      <c r="L578" s="7" t="e">
        <f t="shared" ca="1" si="58"/>
        <v>#VALUE!</v>
      </c>
      <c r="M578" s="7" t="e">
        <f t="shared" ca="1" si="59"/>
        <v>#VALUE!</v>
      </c>
      <c r="N578" s="7" t="e">
        <f t="shared" ca="1" si="60"/>
        <v>#VALUE!</v>
      </c>
      <c r="O578" s="7" t="e">
        <f t="shared" ca="1" si="61"/>
        <v>#VALUE!</v>
      </c>
      <c r="P578" s="7" t="e">
        <f t="shared" ca="1" si="62"/>
        <v>#VALUE!</v>
      </c>
    </row>
    <row r="579" spans="1:16" x14ac:dyDescent="0.25">
      <c r="A579" s="19" t="str">
        <f ca="1">IF(OR(INDIRECT("'" &amp; Master!$F$8 &amp; Master!$F$6 &amp; "'!A" &amp; ROW(A579))="", INDIRECT("'" &amp; Master!$F$8 &amp; Master!$F$6 &amp; "'!A" &amp; ROW(A579))=0), "", INDIRECT("'" &amp; Master!$F$8 &amp; Master!$F$6 &amp; "'!A" &amp; ROW(A579)))</f>
        <v/>
      </c>
      <c r="B579" s="4" t="e">
        <f ca="1">SplineInterp(INDIRECT("A" &amp; ROW()),INDIRECT("'" &amp;Master!$F$10&amp; "'!$A$2:$A$50"),INDIRECT("'" &amp;Master!$F$10&amp; "'!$B$2:$B$50"))</f>
        <v>#VALUE!</v>
      </c>
      <c r="C579" s="4" t="e">
        <f ca="1">SplineInterp(A579,INDIRECT("'" &amp;Master!$F$10&amp; "'!$A$2:$A$50"),INDIRECT("'" &amp;Master!$F$10&amp; "'!$C$2:$C$50"))</f>
        <v>#VALUE!</v>
      </c>
      <c r="D579" s="4" t="e">
        <f ca="1">SplineInterp(A579,INDIRECT("'" &amp;Master!$F$10&amp; "'!$A$2:$A$50"),INDIRECT("'" &amp;Master!$F$10&amp; "'!$D$2:$D$50"))</f>
        <v>#VALUE!</v>
      </c>
      <c r="E579" s="4" t="e">
        <f ca="1">SplineInterp(A579,INDIRECT("'" &amp;Master!$F$10&amp; "'!$A$2:$A$50"),INDIRECT("'" &amp;Master!$F$10&amp; "'!$E$2:$E$50"))</f>
        <v>#VALUE!</v>
      </c>
      <c r="F579" s="4" t="e">
        <f ca="1">SplineInterp(A579,INDIRECT("'" &amp;Master!$F$10&amp; "'!$A$2:$A$50"),INDIRECT("'" &amp;Master!$F$10&amp; "'!$F$2:$F$50"))</f>
        <v>#VALUE!</v>
      </c>
      <c r="G579" s="4" t="e">
        <f ca="1">SplineInterp(A579,INDIRECT("'" &amp;Master!$F$10&amp; "'!$A$2:$A$50"),INDIRECT("'" &amp;Master!$F$10&amp; "'!$G$2:$G$50"))</f>
        <v>#VALUE!</v>
      </c>
      <c r="H579" s="4" t="e">
        <f ca="1">SplineInterp(A579,INDIRECT("'" &amp;Master!$F$10&amp; "'!$A$2:$A$50"),INDIRECT("'" &amp;Master!$F$10&amp; "'!$H$2:$H$50"))</f>
        <v>#VALUE!</v>
      </c>
      <c r="I579" s="4" t="e">
        <f ca="1">IF(OR(INDIRECT("'" &amp; Master!$F$8 &amp; Master!$F$6 &amp; "'!B" &amp; ROW(B579))="", INDIRECT("'" &amp; Master!$F$8 &amp; Master!$F$6 &amp; "'!B" &amp; ROW(B579))=0), "", INDIRECT("'" &amp; Master!$F$8 &amp; Master!$F$6 &amp; "'!B" &amp; ROW(B579)))</f>
        <v>#VALUE!</v>
      </c>
      <c r="J579" s="9" t="e">
        <f t="shared" ref="J579:J642" ca="1" si="63">B579*I579</f>
        <v>#VALUE!</v>
      </c>
      <c r="K579" s="7" t="e">
        <f t="shared" ref="K579:K642" ca="1" si="64">C579*I579</f>
        <v>#VALUE!</v>
      </c>
      <c r="L579" s="7" t="e">
        <f t="shared" ref="L579:L642" ca="1" si="65">D579*I579</f>
        <v>#VALUE!</v>
      </c>
      <c r="M579" s="7" t="e">
        <f t="shared" ref="M579:M642" ca="1" si="66">E579*I579</f>
        <v>#VALUE!</v>
      </c>
      <c r="N579" s="7" t="e">
        <f t="shared" ref="N579:N642" ca="1" si="67">F579*I579</f>
        <v>#VALUE!</v>
      </c>
      <c r="O579" s="7" t="e">
        <f t="shared" ref="O579:O642" ca="1" si="68">G579*I579</f>
        <v>#VALUE!</v>
      </c>
      <c r="P579" s="7" t="e">
        <f t="shared" ref="P579:P642" ca="1" si="69">H579*I579</f>
        <v>#VALUE!</v>
      </c>
    </row>
    <row r="580" spans="1:16" x14ac:dyDescent="0.25">
      <c r="A580" s="19" t="str">
        <f ca="1">IF(OR(INDIRECT("'" &amp; Master!$F$8 &amp; Master!$F$6 &amp; "'!A" &amp; ROW(A580))="", INDIRECT("'" &amp; Master!$F$8 &amp; Master!$F$6 &amp; "'!A" &amp; ROW(A580))=0), "", INDIRECT("'" &amp; Master!$F$8 &amp; Master!$F$6 &amp; "'!A" &amp; ROW(A580)))</f>
        <v/>
      </c>
      <c r="B580" s="4" t="e">
        <f ca="1">SplineInterp(INDIRECT("A" &amp; ROW()),INDIRECT("'" &amp;Master!$F$10&amp; "'!$A$2:$A$50"),INDIRECT("'" &amp;Master!$F$10&amp; "'!$B$2:$B$50"))</f>
        <v>#VALUE!</v>
      </c>
      <c r="C580" s="4" t="e">
        <f ca="1">SplineInterp(A580,INDIRECT("'" &amp;Master!$F$10&amp; "'!$A$2:$A$50"),INDIRECT("'" &amp;Master!$F$10&amp; "'!$C$2:$C$50"))</f>
        <v>#VALUE!</v>
      </c>
      <c r="D580" s="4" t="e">
        <f ca="1">SplineInterp(A580,INDIRECT("'" &amp;Master!$F$10&amp; "'!$A$2:$A$50"),INDIRECT("'" &amp;Master!$F$10&amp; "'!$D$2:$D$50"))</f>
        <v>#VALUE!</v>
      </c>
      <c r="E580" s="4" t="e">
        <f ca="1">SplineInterp(A580,INDIRECT("'" &amp;Master!$F$10&amp; "'!$A$2:$A$50"),INDIRECT("'" &amp;Master!$F$10&amp; "'!$E$2:$E$50"))</f>
        <v>#VALUE!</v>
      </c>
      <c r="F580" s="4" t="e">
        <f ca="1">SplineInterp(A580,INDIRECT("'" &amp;Master!$F$10&amp; "'!$A$2:$A$50"),INDIRECT("'" &amp;Master!$F$10&amp; "'!$F$2:$F$50"))</f>
        <v>#VALUE!</v>
      </c>
      <c r="G580" s="4" t="e">
        <f ca="1">SplineInterp(A580,INDIRECT("'" &amp;Master!$F$10&amp; "'!$A$2:$A$50"),INDIRECT("'" &amp;Master!$F$10&amp; "'!$G$2:$G$50"))</f>
        <v>#VALUE!</v>
      </c>
      <c r="H580" s="4" t="e">
        <f ca="1">SplineInterp(A580,INDIRECT("'" &amp;Master!$F$10&amp; "'!$A$2:$A$50"),INDIRECT("'" &amp;Master!$F$10&amp; "'!$H$2:$H$50"))</f>
        <v>#VALUE!</v>
      </c>
      <c r="I580" s="4" t="e">
        <f ca="1">IF(OR(INDIRECT("'" &amp; Master!$F$8 &amp; Master!$F$6 &amp; "'!B" &amp; ROW(B580))="", INDIRECT("'" &amp; Master!$F$8 &amp; Master!$F$6 &amp; "'!B" &amp; ROW(B580))=0), "", INDIRECT("'" &amp; Master!$F$8 &amp; Master!$F$6 &amp; "'!B" &amp; ROW(B580)))</f>
        <v>#VALUE!</v>
      </c>
      <c r="J580" s="9" t="e">
        <f t="shared" ca="1" si="63"/>
        <v>#VALUE!</v>
      </c>
      <c r="K580" s="7" t="e">
        <f t="shared" ca="1" si="64"/>
        <v>#VALUE!</v>
      </c>
      <c r="L580" s="7" t="e">
        <f t="shared" ca="1" si="65"/>
        <v>#VALUE!</v>
      </c>
      <c r="M580" s="7" t="e">
        <f t="shared" ca="1" si="66"/>
        <v>#VALUE!</v>
      </c>
      <c r="N580" s="7" t="e">
        <f t="shared" ca="1" si="67"/>
        <v>#VALUE!</v>
      </c>
      <c r="O580" s="7" t="e">
        <f t="shared" ca="1" si="68"/>
        <v>#VALUE!</v>
      </c>
      <c r="P580" s="7" t="e">
        <f t="shared" ca="1" si="69"/>
        <v>#VALUE!</v>
      </c>
    </row>
    <row r="581" spans="1:16" x14ac:dyDescent="0.25">
      <c r="A581" s="19" t="str">
        <f ca="1">IF(OR(INDIRECT("'" &amp; Master!$F$8 &amp; Master!$F$6 &amp; "'!A" &amp; ROW(A581))="", INDIRECT("'" &amp; Master!$F$8 &amp; Master!$F$6 &amp; "'!A" &amp; ROW(A581))=0), "", INDIRECT("'" &amp; Master!$F$8 &amp; Master!$F$6 &amp; "'!A" &amp; ROW(A581)))</f>
        <v/>
      </c>
      <c r="B581" s="4" t="e">
        <f ca="1">SplineInterp(INDIRECT("A" &amp; ROW()),INDIRECT("'" &amp;Master!$F$10&amp; "'!$A$2:$A$50"),INDIRECT("'" &amp;Master!$F$10&amp; "'!$B$2:$B$50"))</f>
        <v>#VALUE!</v>
      </c>
      <c r="C581" s="4" t="e">
        <f ca="1">SplineInterp(A581,INDIRECT("'" &amp;Master!$F$10&amp; "'!$A$2:$A$50"),INDIRECT("'" &amp;Master!$F$10&amp; "'!$C$2:$C$50"))</f>
        <v>#VALUE!</v>
      </c>
      <c r="D581" s="4" t="e">
        <f ca="1">SplineInterp(A581,INDIRECT("'" &amp;Master!$F$10&amp; "'!$A$2:$A$50"),INDIRECT("'" &amp;Master!$F$10&amp; "'!$D$2:$D$50"))</f>
        <v>#VALUE!</v>
      </c>
      <c r="E581" s="4" t="e">
        <f ca="1">SplineInterp(A581,INDIRECT("'" &amp;Master!$F$10&amp; "'!$A$2:$A$50"),INDIRECT("'" &amp;Master!$F$10&amp; "'!$E$2:$E$50"))</f>
        <v>#VALUE!</v>
      </c>
      <c r="F581" s="4" t="e">
        <f ca="1">SplineInterp(A581,INDIRECT("'" &amp;Master!$F$10&amp; "'!$A$2:$A$50"),INDIRECT("'" &amp;Master!$F$10&amp; "'!$F$2:$F$50"))</f>
        <v>#VALUE!</v>
      </c>
      <c r="G581" s="4" t="e">
        <f ca="1">SplineInterp(A581,INDIRECT("'" &amp;Master!$F$10&amp; "'!$A$2:$A$50"),INDIRECT("'" &amp;Master!$F$10&amp; "'!$G$2:$G$50"))</f>
        <v>#VALUE!</v>
      </c>
      <c r="H581" s="4" t="e">
        <f ca="1">SplineInterp(A581,INDIRECT("'" &amp;Master!$F$10&amp; "'!$A$2:$A$50"),INDIRECT("'" &amp;Master!$F$10&amp; "'!$H$2:$H$50"))</f>
        <v>#VALUE!</v>
      </c>
      <c r="I581" s="4" t="e">
        <f ca="1">IF(OR(INDIRECT("'" &amp; Master!$F$8 &amp; Master!$F$6 &amp; "'!B" &amp; ROW(B581))="", INDIRECT("'" &amp; Master!$F$8 &amp; Master!$F$6 &amp; "'!B" &amp; ROW(B581))=0), "", INDIRECT("'" &amp; Master!$F$8 &amp; Master!$F$6 &amp; "'!B" &amp; ROW(B581)))</f>
        <v>#VALUE!</v>
      </c>
      <c r="J581" s="9" t="e">
        <f t="shared" ca="1" si="63"/>
        <v>#VALUE!</v>
      </c>
      <c r="K581" s="7" t="e">
        <f t="shared" ca="1" si="64"/>
        <v>#VALUE!</v>
      </c>
      <c r="L581" s="7" t="e">
        <f t="shared" ca="1" si="65"/>
        <v>#VALUE!</v>
      </c>
      <c r="M581" s="7" t="e">
        <f t="shared" ca="1" si="66"/>
        <v>#VALUE!</v>
      </c>
      <c r="N581" s="7" t="e">
        <f t="shared" ca="1" si="67"/>
        <v>#VALUE!</v>
      </c>
      <c r="O581" s="7" t="e">
        <f t="shared" ca="1" si="68"/>
        <v>#VALUE!</v>
      </c>
      <c r="P581" s="7" t="e">
        <f t="shared" ca="1" si="69"/>
        <v>#VALUE!</v>
      </c>
    </row>
    <row r="582" spans="1:16" x14ac:dyDescent="0.25">
      <c r="A582" s="19" t="str">
        <f ca="1">IF(OR(INDIRECT("'" &amp; Master!$F$8 &amp; Master!$F$6 &amp; "'!A" &amp; ROW(A582))="", INDIRECT("'" &amp; Master!$F$8 &amp; Master!$F$6 &amp; "'!A" &amp; ROW(A582))=0), "", INDIRECT("'" &amp; Master!$F$8 &amp; Master!$F$6 &amp; "'!A" &amp; ROW(A582)))</f>
        <v/>
      </c>
      <c r="B582" s="4" t="e">
        <f ca="1">SplineInterp(INDIRECT("A" &amp; ROW()),INDIRECT("'" &amp;Master!$F$10&amp; "'!$A$2:$A$50"),INDIRECT("'" &amp;Master!$F$10&amp; "'!$B$2:$B$50"))</f>
        <v>#VALUE!</v>
      </c>
      <c r="C582" s="4" t="e">
        <f ca="1">SplineInterp(A582,INDIRECT("'" &amp;Master!$F$10&amp; "'!$A$2:$A$50"),INDIRECT("'" &amp;Master!$F$10&amp; "'!$C$2:$C$50"))</f>
        <v>#VALUE!</v>
      </c>
      <c r="D582" s="4" t="e">
        <f ca="1">SplineInterp(A582,INDIRECT("'" &amp;Master!$F$10&amp; "'!$A$2:$A$50"),INDIRECT("'" &amp;Master!$F$10&amp; "'!$D$2:$D$50"))</f>
        <v>#VALUE!</v>
      </c>
      <c r="E582" s="4" t="e">
        <f ca="1">SplineInterp(A582,INDIRECT("'" &amp;Master!$F$10&amp; "'!$A$2:$A$50"),INDIRECT("'" &amp;Master!$F$10&amp; "'!$E$2:$E$50"))</f>
        <v>#VALUE!</v>
      </c>
      <c r="F582" s="4" t="e">
        <f ca="1">SplineInterp(A582,INDIRECT("'" &amp;Master!$F$10&amp; "'!$A$2:$A$50"),INDIRECT("'" &amp;Master!$F$10&amp; "'!$F$2:$F$50"))</f>
        <v>#VALUE!</v>
      </c>
      <c r="G582" s="4" t="e">
        <f ca="1">SplineInterp(A582,INDIRECT("'" &amp;Master!$F$10&amp; "'!$A$2:$A$50"),INDIRECT("'" &amp;Master!$F$10&amp; "'!$G$2:$G$50"))</f>
        <v>#VALUE!</v>
      </c>
      <c r="H582" s="4" t="e">
        <f ca="1">SplineInterp(A582,INDIRECT("'" &amp;Master!$F$10&amp; "'!$A$2:$A$50"),INDIRECT("'" &amp;Master!$F$10&amp; "'!$H$2:$H$50"))</f>
        <v>#VALUE!</v>
      </c>
      <c r="I582" s="4" t="e">
        <f ca="1">IF(OR(INDIRECT("'" &amp; Master!$F$8 &amp; Master!$F$6 &amp; "'!B" &amp; ROW(B582))="", INDIRECT("'" &amp; Master!$F$8 &amp; Master!$F$6 &amp; "'!B" &amp; ROW(B582))=0), "", INDIRECT("'" &amp; Master!$F$8 &amp; Master!$F$6 &amp; "'!B" &amp; ROW(B582)))</f>
        <v>#VALUE!</v>
      </c>
      <c r="J582" s="9" t="e">
        <f t="shared" ca="1" si="63"/>
        <v>#VALUE!</v>
      </c>
      <c r="K582" s="7" t="e">
        <f t="shared" ca="1" si="64"/>
        <v>#VALUE!</v>
      </c>
      <c r="L582" s="7" t="e">
        <f t="shared" ca="1" si="65"/>
        <v>#VALUE!</v>
      </c>
      <c r="M582" s="7" t="e">
        <f t="shared" ca="1" si="66"/>
        <v>#VALUE!</v>
      </c>
      <c r="N582" s="7" t="e">
        <f t="shared" ca="1" si="67"/>
        <v>#VALUE!</v>
      </c>
      <c r="O582" s="7" t="e">
        <f t="shared" ca="1" si="68"/>
        <v>#VALUE!</v>
      </c>
      <c r="P582" s="7" t="e">
        <f t="shared" ca="1" si="69"/>
        <v>#VALUE!</v>
      </c>
    </row>
    <row r="583" spans="1:16" x14ac:dyDescent="0.25">
      <c r="A583" s="19" t="str">
        <f ca="1">IF(OR(INDIRECT("'" &amp; Master!$F$8 &amp; Master!$F$6 &amp; "'!A" &amp; ROW(A583))="", INDIRECT("'" &amp; Master!$F$8 &amp; Master!$F$6 &amp; "'!A" &amp; ROW(A583))=0), "", INDIRECT("'" &amp; Master!$F$8 &amp; Master!$F$6 &amp; "'!A" &amp; ROW(A583)))</f>
        <v/>
      </c>
      <c r="B583" s="4" t="e">
        <f ca="1">SplineInterp(INDIRECT("A" &amp; ROW()),INDIRECT("'" &amp;Master!$F$10&amp; "'!$A$2:$A$50"),INDIRECT("'" &amp;Master!$F$10&amp; "'!$B$2:$B$50"))</f>
        <v>#VALUE!</v>
      </c>
      <c r="C583" s="4" t="e">
        <f ca="1">SplineInterp(A583,INDIRECT("'" &amp;Master!$F$10&amp; "'!$A$2:$A$50"),INDIRECT("'" &amp;Master!$F$10&amp; "'!$C$2:$C$50"))</f>
        <v>#VALUE!</v>
      </c>
      <c r="D583" s="4" t="e">
        <f ca="1">SplineInterp(A583,INDIRECT("'" &amp;Master!$F$10&amp; "'!$A$2:$A$50"),INDIRECT("'" &amp;Master!$F$10&amp; "'!$D$2:$D$50"))</f>
        <v>#VALUE!</v>
      </c>
      <c r="E583" s="4" t="e">
        <f ca="1">SplineInterp(A583,INDIRECT("'" &amp;Master!$F$10&amp; "'!$A$2:$A$50"),INDIRECT("'" &amp;Master!$F$10&amp; "'!$E$2:$E$50"))</f>
        <v>#VALUE!</v>
      </c>
      <c r="F583" s="4" t="e">
        <f ca="1">SplineInterp(A583,INDIRECT("'" &amp;Master!$F$10&amp; "'!$A$2:$A$50"),INDIRECT("'" &amp;Master!$F$10&amp; "'!$F$2:$F$50"))</f>
        <v>#VALUE!</v>
      </c>
      <c r="G583" s="4" t="e">
        <f ca="1">SplineInterp(A583,INDIRECT("'" &amp;Master!$F$10&amp; "'!$A$2:$A$50"),INDIRECT("'" &amp;Master!$F$10&amp; "'!$G$2:$G$50"))</f>
        <v>#VALUE!</v>
      </c>
      <c r="H583" s="4" t="e">
        <f ca="1">SplineInterp(A583,INDIRECT("'" &amp;Master!$F$10&amp; "'!$A$2:$A$50"),INDIRECT("'" &amp;Master!$F$10&amp; "'!$H$2:$H$50"))</f>
        <v>#VALUE!</v>
      </c>
      <c r="I583" s="4" t="e">
        <f ca="1">IF(OR(INDIRECT("'" &amp; Master!$F$8 &amp; Master!$F$6 &amp; "'!B" &amp; ROW(B583))="", INDIRECT("'" &amp; Master!$F$8 &amp; Master!$F$6 &amp; "'!B" &amp; ROW(B583))=0), "", INDIRECT("'" &amp; Master!$F$8 &amp; Master!$F$6 &amp; "'!B" &amp; ROW(B583)))</f>
        <v>#VALUE!</v>
      </c>
      <c r="J583" s="9" t="e">
        <f t="shared" ca="1" si="63"/>
        <v>#VALUE!</v>
      </c>
      <c r="K583" s="7" t="e">
        <f t="shared" ca="1" si="64"/>
        <v>#VALUE!</v>
      </c>
      <c r="L583" s="7" t="e">
        <f t="shared" ca="1" si="65"/>
        <v>#VALUE!</v>
      </c>
      <c r="M583" s="7" t="e">
        <f t="shared" ca="1" si="66"/>
        <v>#VALUE!</v>
      </c>
      <c r="N583" s="7" t="e">
        <f t="shared" ca="1" si="67"/>
        <v>#VALUE!</v>
      </c>
      <c r="O583" s="7" t="e">
        <f t="shared" ca="1" si="68"/>
        <v>#VALUE!</v>
      </c>
      <c r="P583" s="7" t="e">
        <f t="shared" ca="1" si="69"/>
        <v>#VALUE!</v>
      </c>
    </row>
    <row r="584" spans="1:16" x14ac:dyDescent="0.25">
      <c r="A584" s="19" t="str">
        <f ca="1">IF(OR(INDIRECT("'" &amp; Master!$F$8 &amp; Master!$F$6 &amp; "'!A" &amp; ROW(A584))="", INDIRECT("'" &amp; Master!$F$8 &amp; Master!$F$6 &amp; "'!A" &amp; ROW(A584))=0), "", INDIRECT("'" &amp; Master!$F$8 &amp; Master!$F$6 &amp; "'!A" &amp; ROW(A584)))</f>
        <v/>
      </c>
      <c r="B584" s="4" t="e">
        <f ca="1">SplineInterp(INDIRECT("A" &amp; ROW()),INDIRECT("'" &amp;Master!$F$10&amp; "'!$A$2:$A$50"),INDIRECT("'" &amp;Master!$F$10&amp; "'!$B$2:$B$50"))</f>
        <v>#VALUE!</v>
      </c>
      <c r="C584" s="4" t="e">
        <f ca="1">SplineInterp(A584,INDIRECT("'" &amp;Master!$F$10&amp; "'!$A$2:$A$50"),INDIRECT("'" &amp;Master!$F$10&amp; "'!$C$2:$C$50"))</f>
        <v>#VALUE!</v>
      </c>
      <c r="D584" s="4" t="e">
        <f ca="1">SplineInterp(A584,INDIRECT("'" &amp;Master!$F$10&amp; "'!$A$2:$A$50"),INDIRECT("'" &amp;Master!$F$10&amp; "'!$D$2:$D$50"))</f>
        <v>#VALUE!</v>
      </c>
      <c r="E584" s="4" t="e">
        <f ca="1">SplineInterp(A584,INDIRECT("'" &amp;Master!$F$10&amp; "'!$A$2:$A$50"),INDIRECT("'" &amp;Master!$F$10&amp; "'!$E$2:$E$50"))</f>
        <v>#VALUE!</v>
      </c>
      <c r="F584" s="4" t="e">
        <f ca="1">SplineInterp(A584,INDIRECT("'" &amp;Master!$F$10&amp; "'!$A$2:$A$50"),INDIRECT("'" &amp;Master!$F$10&amp; "'!$F$2:$F$50"))</f>
        <v>#VALUE!</v>
      </c>
      <c r="G584" s="4" t="e">
        <f ca="1">SplineInterp(A584,INDIRECT("'" &amp;Master!$F$10&amp; "'!$A$2:$A$50"),INDIRECT("'" &amp;Master!$F$10&amp; "'!$G$2:$G$50"))</f>
        <v>#VALUE!</v>
      </c>
      <c r="H584" s="4" t="e">
        <f ca="1">SplineInterp(A584,INDIRECT("'" &amp;Master!$F$10&amp; "'!$A$2:$A$50"),INDIRECT("'" &amp;Master!$F$10&amp; "'!$H$2:$H$50"))</f>
        <v>#VALUE!</v>
      </c>
      <c r="I584" s="4" t="e">
        <f ca="1">IF(OR(INDIRECT("'" &amp; Master!$F$8 &amp; Master!$F$6 &amp; "'!B" &amp; ROW(B584))="", INDIRECT("'" &amp; Master!$F$8 &amp; Master!$F$6 &amp; "'!B" &amp; ROW(B584))=0), "", INDIRECT("'" &amp; Master!$F$8 &amp; Master!$F$6 &amp; "'!B" &amp; ROW(B584)))</f>
        <v>#VALUE!</v>
      </c>
      <c r="J584" s="9" t="e">
        <f t="shared" ca="1" si="63"/>
        <v>#VALUE!</v>
      </c>
      <c r="K584" s="7" t="e">
        <f t="shared" ca="1" si="64"/>
        <v>#VALUE!</v>
      </c>
      <c r="L584" s="7" t="e">
        <f t="shared" ca="1" si="65"/>
        <v>#VALUE!</v>
      </c>
      <c r="M584" s="7" t="e">
        <f t="shared" ca="1" si="66"/>
        <v>#VALUE!</v>
      </c>
      <c r="N584" s="7" t="e">
        <f t="shared" ca="1" si="67"/>
        <v>#VALUE!</v>
      </c>
      <c r="O584" s="7" t="e">
        <f t="shared" ca="1" si="68"/>
        <v>#VALUE!</v>
      </c>
      <c r="P584" s="7" t="e">
        <f t="shared" ca="1" si="69"/>
        <v>#VALUE!</v>
      </c>
    </row>
    <row r="585" spans="1:16" x14ac:dyDescent="0.25">
      <c r="A585" s="19" t="str">
        <f ca="1">IF(OR(INDIRECT("'" &amp; Master!$F$8 &amp; Master!$F$6 &amp; "'!A" &amp; ROW(A585))="", INDIRECT("'" &amp; Master!$F$8 &amp; Master!$F$6 &amp; "'!A" &amp; ROW(A585))=0), "", INDIRECT("'" &amp; Master!$F$8 &amp; Master!$F$6 &amp; "'!A" &amp; ROW(A585)))</f>
        <v/>
      </c>
      <c r="B585" s="4" t="e">
        <f ca="1">SplineInterp(INDIRECT("A" &amp; ROW()),INDIRECT("'" &amp;Master!$F$10&amp; "'!$A$2:$A$50"),INDIRECT("'" &amp;Master!$F$10&amp; "'!$B$2:$B$50"))</f>
        <v>#VALUE!</v>
      </c>
      <c r="C585" s="4" t="e">
        <f ca="1">SplineInterp(A585,INDIRECT("'" &amp;Master!$F$10&amp; "'!$A$2:$A$50"),INDIRECT("'" &amp;Master!$F$10&amp; "'!$C$2:$C$50"))</f>
        <v>#VALUE!</v>
      </c>
      <c r="D585" s="4" t="e">
        <f ca="1">SplineInterp(A585,INDIRECT("'" &amp;Master!$F$10&amp; "'!$A$2:$A$50"),INDIRECT("'" &amp;Master!$F$10&amp; "'!$D$2:$D$50"))</f>
        <v>#VALUE!</v>
      </c>
      <c r="E585" s="4" t="e">
        <f ca="1">SplineInterp(A585,INDIRECT("'" &amp;Master!$F$10&amp; "'!$A$2:$A$50"),INDIRECT("'" &amp;Master!$F$10&amp; "'!$E$2:$E$50"))</f>
        <v>#VALUE!</v>
      </c>
      <c r="F585" s="4" t="e">
        <f ca="1">SplineInterp(A585,INDIRECT("'" &amp;Master!$F$10&amp; "'!$A$2:$A$50"),INDIRECT("'" &amp;Master!$F$10&amp; "'!$F$2:$F$50"))</f>
        <v>#VALUE!</v>
      </c>
      <c r="G585" s="4" t="e">
        <f ca="1">SplineInterp(A585,INDIRECT("'" &amp;Master!$F$10&amp; "'!$A$2:$A$50"),INDIRECT("'" &amp;Master!$F$10&amp; "'!$G$2:$G$50"))</f>
        <v>#VALUE!</v>
      </c>
      <c r="H585" s="4" t="e">
        <f ca="1">SplineInterp(A585,INDIRECT("'" &amp;Master!$F$10&amp; "'!$A$2:$A$50"),INDIRECT("'" &amp;Master!$F$10&amp; "'!$H$2:$H$50"))</f>
        <v>#VALUE!</v>
      </c>
      <c r="I585" s="4" t="e">
        <f ca="1">IF(OR(INDIRECT("'" &amp; Master!$F$8 &amp; Master!$F$6 &amp; "'!B" &amp; ROW(B585))="", INDIRECT("'" &amp; Master!$F$8 &amp; Master!$F$6 &amp; "'!B" &amp; ROW(B585))=0), "", INDIRECT("'" &amp; Master!$F$8 &amp; Master!$F$6 &amp; "'!B" &amp; ROW(B585)))</f>
        <v>#VALUE!</v>
      </c>
      <c r="J585" s="9" t="e">
        <f t="shared" ca="1" si="63"/>
        <v>#VALUE!</v>
      </c>
      <c r="K585" s="7" t="e">
        <f t="shared" ca="1" si="64"/>
        <v>#VALUE!</v>
      </c>
      <c r="L585" s="7" t="e">
        <f t="shared" ca="1" si="65"/>
        <v>#VALUE!</v>
      </c>
      <c r="M585" s="7" t="e">
        <f t="shared" ca="1" si="66"/>
        <v>#VALUE!</v>
      </c>
      <c r="N585" s="7" t="e">
        <f t="shared" ca="1" si="67"/>
        <v>#VALUE!</v>
      </c>
      <c r="O585" s="7" t="e">
        <f t="shared" ca="1" si="68"/>
        <v>#VALUE!</v>
      </c>
      <c r="P585" s="7" t="e">
        <f t="shared" ca="1" si="69"/>
        <v>#VALUE!</v>
      </c>
    </row>
    <row r="586" spans="1:16" x14ac:dyDescent="0.25">
      <c r="A586" s="19" t="str">
        <f ca="1">IF(OR(INDIRECT("'" &amp; Master!$F$8 &amp; Master!$F$6 &amp; "'!A" &amp; ROW(A586))="", INDIRECT("'" &amp; Master!$F$8 &amp; Master!$F$6 &amp; "'!A" &amp; ROW(A586))=0), "", INDIRECT("'" &amp; Master!$F$8 &amp; Master!$F$6 &amp; "'!A" &amp; ROW(A586)))</f>
        <v/>
      </c>
      <c r="B586" s="4" t="e">
        <f ca="1">SplineInterp(INDIRECT("A" &amp; ROW()),INDIRECT("'" &amp;Master!$F$10&amp; "'!$A$2:$A$50"),INDIRECT("'" &amp;Master!$F$10&amp; "'!$B$2:$B$50"))</f>
        <v>#VALUE!</v>
      </c>
      <c r="C586" s="4" t="e">
        <f ca="1">SplineInterp(A586,INDIRECT("'" &amp;Master!$F$10&amp; "'!$A$2:$A$50"),INDIRECT("'" &amp;Master!$F$10&amp; "'!$C$2:$C$50"))</f>
        <v>#VALUE!</v>
      </c>
      <c r="D586" s="4" t="e">
        <f ca="1">SplineInterp(A586,INDIRECT("'" &amp;Master!$F$10&amp; "'!$A$2:$A$50"),INDIRECT("'" &amp;Master!$F$10&amp; "'!$D$2:$D$50"))</f>
        <v>#VALUE!</v>
      </c>
      <c r="E586" s="4" t="e">
        <f ca="1">SplineInterp(A586,INDIRECT("'" &amp;Master!$F$10&amp; "'!$A$2:$A$50"),INDIRECT("'" &amp;Master!$F$10&amp; "'!$E$2:$E$50"))</f>
        <v>#VALUE!</v>
      </c>
      <c r="F586" s="4" t="e">
        <f ca="1">SplineInterp(A586,INDIRECT("'" &amp;Master!$F$10&amp; "'!$A$2:$A$50"),INDIRECT("'" &amp;Master!$F$10&amp; "'!$F$2:$F$50"))</f>
        <v>#VALUE!</v>
      </c>
      <c r="G586" s="4" t="e">
        <f ca="1">SplineInterp(A586,INDIRECT("'" &amp;Master!$F$10&amp; "'!$A$2:$A$50"),INDIRECT("'" &amp;Master!$F$10&amp; "'!$G$2:$G$50"))</f>
        <v>#VALUE!</v>
      </c>
      <c r="H586" s="4" t="e">
        <f ca="1">SplineInterp(A586,INDIRECT("'" &amp;Master!$F$10&amp; "'!$A$2:$A$50"),INDIRECT("'" &amp;Master!$F$10&amp; "'!$H$2:$H$50"))</f>
        <v>#VALUE!</v>
      </c>
      <c r="I586" s="4" t="e">
        <f ca="1">IF(OR(INDIRECT("'" &amp; Master!$F$8 &amp; Master!$F$6 &amp; "'!B" &amp; ROW(B586))="", INDIRECT("'" &amp; Master!$F$8 &amp; Master!$F$6 &amp; "'!B" &amp; ROW(B586))=0), "", INDIRECT("'" &amp; Master!$F$8 &amp; Master!$F$6 &amp; "'!B" &amp; ROW(B586)))</f>
        <v>#VALUE!</v>
      </c>
      <c r="J586" s="9" t="e">
        <f t="shared" ca="1" si="63"/>
        <v>#VALUE!</v>
      </c>
      <c r="K586" s="7" t="e">
        <f t="shared" ca="1" si="64"/>
        <v>#VALUE!</v>
      </c>
      <c r="L586" s="7" t="e">
        <f t="shared" ca="1" si="65"/>
        <v>#VALUE!</v>
      </c>
      <c r="M586" s="7" t="e">
        <f t="shared" ca="1" si="66"/>
        <v>#VALUE!</v>
      </c>
      <c r="N586" s="7" t="e">
        <f t="shared" ca="1" si="67"/>
        <v>#VALUE!</v>
      </c>
      <c r="O586" s="7" t="e">
        <f t="shared" ca="1" si="68"/>
        <v>#VALUE!</v>
      </c>
      <c r="P586" s="7" t="e">
        <f t="shared" ca="1" si="69"/>
        <v>#VALUE!</v>
      </c>
    </row>
    <row r="587" spans="1:16" x14ac:dyDescent="0.25">
      <c r="A587" s="19" t="str">
        <f ca="1">IF(OR(INDIRECT("'" &amp; Master!$F$8 &amp; Master!$F$6 &amp; "'!A" &amp; ROW(A587))="", INDIRECT("'" &amp; Master!$F$8 &amp; Master!$F$6 &amp; "'!A" &amp; ROW(A587))=0), "", INDIRECT("'" &amp; Master!$F$8 &amp; Master!$F$6 &amp; "'!A" &amp; ROW(A587)))</f>
        <v/>
      </c>
      <c r="B587" s="4" t="e">
        <f ca="1">SplineInterp(INDIRECT("A" &amp; ROW()),INDIRECT("'" &amp;Master!$F$10&amp; "'!$A$2:$A$50"),INDIRECT("'" &amp;Master!$F$10&amp; "'!$B$2:$B$50"))</f>
        <v>#VALUE!</v>
      </c>
      <c r="C587" s="4" t="e">
        <f ca="1">SplineInterp(A587,INDIRECT("'" &amp;Master!$F$10&amp; "'!$A$2:$A$50"),INDIRECT("'" &amp;Master!$F$10&amp; "'!$C$2:$C$50"))</f>
        <v>#VALUE!</v>
      </c>
      <c r="D587" s="4" t="e">
        <f ca="1">SplineInterp(A587,INDIRECT("'" &amp;Master!$F$10&amp; "'!$A$2:$A$50"),INDIRECT("'" &amp;Master!$F$10&amp; "'!$D$2:$D$50"))</f>
        <v>#VALUE!</v>
      </c>
      <c r="E587" s="4" t="e">
        <f ca="1">SplineInterp(A587,INDIRECT("'" &amp;Master!$F$10&amp; "'!$A$2:$A$50"),INDIRECT("'" &amp;Master!$F$10&amp; "'!$E$2:$E$50"))</f>
        <v>#VALUE!</v>
      </c>
      <c r="F587" s="4" t="e">
        <f ca="1">SplineInterp(A587,INDIRECT("'" &amp;Master!$F$10&amp; "'!$A$2:$A$50"),INDIRECT("'" &amp;Master!$F$10&amp; "'!$F$2:$F$50"))</f>
        <v>#VALUE!</v>
      </c>
      <c r="G587" s="4" t="e">
        <f ca="1">SplineInterp(A587,INDIRECT("'" &amp;Master!$F$10&amp; "'!$A$2:$A$50"),INDIRECT("'" &amp;Master!$F$10&amp; "'!$G$2:$G$50"))</f>
        <v>#VALUE!</v>
      </c>
      <c r="H587" s="4" t="e">
        <f ca="1">SplineInterp(A587,INDIRECT("'" &amp;Master!$F$10&amp; "'!$A$2:$A$50"),INDIRECT("'" &amp;Master!$F$10&amp; "'!$H$2:$H$50"))</f>
        <v>#VALUE!</v>
      </c>
      <c r="I587" s="4" t="e">
        <f ca="1">IF(OR(INDIRECT("'" &amp; Master!$F$8 &amp; Master!$F$6 &amp; "'!B" &amp; ROW(B587))="", INDIRECT("'" &amp; Master!$F$8 &amp; Master!$F$6 &amp; "'!B" &amp; ROW(B587))=0), "", INDIRECT("'" &amp; Master!$F$8 &amp; Master!$F$6 &amp; "'!B" &amp; ROW(B587)))</f>
        <v>#VALUE!</v>
      </c>
      <c r="J587" s="9" t="e">
        <f t="shared" ca="1" si="63"/>
        <v>#VALUE!</v>
      </c>
      <c r="K587" s="7" t="e">
        <f t="shared" ca="1" si="64"/>
        <v>#VALUE!</v>
      </c>
      <c r="L587" s="7" t="e">
        <f t="shared" ca="1" si="65"/>
        <v>#VALUE!</v>
      </c>
      <c r="M587" s="7" t="e">
        <f t="shared" ca="1" si="66"/>
        <v>#VALUE!</v>
      </c>
      <c r="N587" s="7" t="e">
        <f t="shared" ca="1" si="67"/>
        <v>#VALUE!</v>
      </c>
      <c r="O587" s="7" t="e">
        <f t="shared" ca="1" si="68"/>
        <v>#VALUE!</v>
      </c>
      <c r="P587" s="7" t="e">
        <f t="shared" ca="1" si="69"/>
        <v>#VALUE!</v>
      </c>
    </row>
    <row r="588" spans="1:16" x14ac:dyDescent="0.25">
      <c r="A588" s="19" t="str">
        <f ca="1">IF(OR(INDIRECT("'" &amp; Master!$F$8 &amp; Master!$F$6 &amp; "'!A" &amp; ROW(A588))="", INDIRECT("'" &amp; Master!$F$8 &amp; Master!$F$6 &amp; "'!A" &amp; ROW(A588))=0), "", INDIRECT("'" &amp; Master!$F$8 &amp; Master!$F$6 &amp; "'!A" &amp; ROW(A588)))</f>
        <v/>
      </c>
      <c r="B588" s="4" t="e">
        <f ca="1">SplineInterp(INDIRECT("A" &amp; ROW()),INDIRECT("'" &amp;Master!$F$10&amp; "'!$A$2:$A$50"),INDIRECT("'" &amp;Master!$F$10&amp; "'!$B$2:$B$50"))</f>
        <v>#VALUE!</v>
      </c>
      <c r="C588" s="4" t="e">
        <f ca="1">SplineInterp(A588,INDIRECT("'" &amp;Master!$F$10&amp; "'!$A$2:$A$50"),INDIRECT("'" &amp;Master!$F$10&amp; "'!$C$2:$C$50"))</f>
        <v>#VALUE!</v>
      </c>
      <c r="D588" s="4" t="e">
        <f ca="1">SplineInterp(A588,INDIRECT("'" &amp;Master!$F$10&amp; "'!$A$2:$A$50"),INDIRECT("'" &amp;Master!$F$10&amp; "'!$D$2:$D$50"))</f>
        <v>#VALUE!</v>
      </c>
      <c r="E588" s="4" t="e">
        <f ca="1">SplineInterp(A588,INDIRECT("'" &amp;Master!$F$10&amp; "'!$A$2:$A$50"),INDIRECT("'" &amp;Master!$F$10&amp; "'!$E$2:$E$50"))</f>
        <v>#VALUE!</v>
      </c>
      <c r="F588" s="4" t="e">
        <f ca="1">SplineInterp(A588,INDIRECT("'" &amp;Master!$F$10&amp; "'!$A$2:$A$50"),INDIRECT("'" &amp;Master!$F$10&amp; "'!$F$2:$F$50"))</f>
        <v>#VALUE!</v>
      </c>
      <c r="G588" s="4" t="e">
        <f ca="1">SplineInterp(A588,INDIRECT("'" &amp;Master!$F$10&amp; "'!$A$2:$A$50"),INDIRECT("'" &amp;Master!$F$10&amp; "'!$G$2:$G$50"))</f>
        <v>#VALUE!</v>
      </c>
      <c r="H588" s="4" t="e">
        <f ca="1">SplineInterp(A588,INDIRECT("'" &amp;Master!$F$10&amp; "'!$A$2:$A$50"),INDIRECT("'" &amp;Master!$F$10&amp; "'!$H$2:$H$50"))</f>
        <v>#VALUE!</v>
      </c>
      <c r="I588" s="4" t="e">
        <f ca="1">IF(OR(INDIRECT("'" &amp; Master!$F$8 &amp; Master!$F$6 &amp; "'!B" &amp; ROW(B588))="", INDIRECT("'" &amp; Master!$F$8 &amp; Master!$F$6 &amp; "'!B" &amp; ROW(B588))=0), "", INDIRECT("'" &amp; Master!$F$8 &amp; Master!$F$6 &amp; "'!B" &amp; ROW(B588)))</f>
        <v>#VALUE!</v>
      </c>
      <c r="J588" s="9" t="e">
        <f t="shared" ca="1" si="63"/>
        <v>#VALUE!</v>
      </c>
      <c r="K588" s="7" t="e">
        <f t="shared" ca="1" si="64"/>
        <v>#VALUE!</v>
      </c>
      <c r="L588" s="7" t="e">
        <f t="shared" ca="1" si="65"/>
        <v>#VALUE!</v>
      </c>
      <c r="M588" s="7" t="e">
        <f t="shared" ca="1" si="66"/>
        <v>#VALUE!</v>
      </c>
      <c r="N588" s="7" t="e">
        <f t="shared" ca="1" si="67"/>
        <v>#VALUE!</v>
      </c>
      <c r="O588" s="7" t="e">
        <f t="shared" ca="1" si="68"/>
        <v>#VALUE!</v>
      </c>
      <c r="P588" s="7" t="e">
        <f t="shared" ca="1" si="69"/>
        <v>#VALUE!</v>
      </c>
    </row>
    <row r="589" spans="1:16" x14ac:dyDescent="0.25">
      <c r="A589" s="19" t="str">
        <f ca="1">IF(OR(INDIRECT("'" &amp; Master!$F$8 &amp; Master!$F$6 &amp; "'!A" &amp; ROW(A589))="", INDIRECT("'" &amp; Master!$F$8 &amp; Master!$F$6 &amp; "'!A" &amp; ROW(A589))=0), "", INDIRECT("'" &amp; Master!$F$8 &amp; Master!$F$6 &amp; "'!A" &amp; ROW(A589)))</f>
        <v/>
      </c>
      <c r="B589" s="4" t="e">
        <f ca="1">SplineInterp(INDIRECT("A" &amp; ROW()),INDIRECT("'" &amp;Master!$F$10&amp; "'!$A$2:$A$50"),INDIRECT("'" &amp;Master!$F$10&amp; "'!$B$2:$B$50"))</f>
        <v>#VALUE!</v>
      </c>
      <c r="C589" s="4" t="e">
        <f ca="1">SplineInterp(A589,INDIRECT("'" &amp;Master!$F$10&amp; "'!$A$2:$A$50"),INDIRECT("'" &amp;Master!$F$10&amp; "'!$C$2:$C$50"))</f>
        <v>#VALUE!</v>
      </c>
      <c r="D589" s="4" t="e">
        <f ca="1">SplineInterp(A589,INDIRECT("'" &amp;Master!$F$10&amp; "'!$A$2:$A$50"),INDIRECT("'" &amp;Master!$F$10&amp; "'!$D$2:$D$50"))</f>
        <v>#VALUE!</v>
      </c>
      <c r="E589" s="4" t="e">
        <f ca="1">SplineInterp(A589,INDIRECT("'" &amp;Master!$F$10&amp; "'!$A$2:$A$50"),INDIRECT("'" &amp;Master!$F$10&amp; "'!$E$2:$E$50"))</f>
        <v>#VALUE!</v>
      </c>
      <c r="F589" s="4" t="e">
        <f ca="1">SplineInterp(A589,INDIRECT("'" &amp;Master!$F$10&amp; "'!$A$2:$A$50"),INDIRECT("'" &amp;Master!$F$10&amp; "'!$F$2:$F$50"))</f>
        <v>#VALUE!</v>
      </c>
      <c r="G589" s="4" t="e">
        <f ca="1">SplineInterp(A589,INDIRECT("'" &amp;Master!$F$10&amp; "'!$A$2:$A$50"),INDIRECT("'" &amp;Master!$F$10&amp; "'!$G$2:$G$50"))</f>
        <v>#VALUE!</v>
      </c>
      <c r="H589" s="4" t="e">
        <f ca="1">SplineInterp(A589,INDIRECT("'" &amp;Master!$F$10&amp; "'!$A$2:$A$50"),INDIRECT("'" &amp;Master!$F$10&amp; "'!$H$2:$H$50"))</f>
        <v>#VALUE!</v>
      </c>
      <c r="I589" s="4" t="e">
        <f ca="1">IF(OR(INDIRECT("'" &amp; Master!$F$8 &amp; Master!$F$6 &amp; "'!B" &amp; ROW(B589))="", INDIRECT("'" &amp; Master!$F$8 &amp; Master!$F$6 &amp; "'!B" &amp; ROW(B589))=0), "", INDIRECT("'" &amp; Master!$F$8 &amp; Master!$F$6 &amp; "'!B" &amp; ROW(B589)))</f>
        <v>#VALUE!</v>
      </c>
      <c r="J589" s="9" t="e">
        <f t="shared" ca="1" si="63"/>
        <v>#VALUE!</v>
      </c>
      <c r="K589" s="7" t="e">
        <f t="shared" ca="1" si="64"/>
        <v>#VALUE!</v>
      </c>
      <c r="L589" s="7" t="e">
        <f t="shared" ca="1" si="65"/>
        <v>#VALUE!</v>
      </c>
      <c r="M589" s="7" t="e">
        <f t="shared" ca="1" si="66"/>
        <v>#VALUE!</v>
      </c>
      <c r="N589" s="7" t="e">
        <f t="shared" ca="1" si="67"/>
        <v>#VALUE!</v>
      </c>
      <c r="O589" s="7" t="e">
        <f t="shared" ca="1" si="68"/>
        <v>#VALUE!</v>
      </c>
      <c r="P589" s="7" t="e">
        <f t="shared" ca="1" si="69"/>
        <v>#VALUE!</v>
      </c>
    </row>
    <row r="590" spans="1:16" x14ac:dyDescent="0.25">
      <c r="A590" s="19" t="str">
        <f ca="1">IF(OR(INDIRECT("'" &amp; Master!$F$8 &amp; Master!$F$6 &amp; "'!A" &amp; ROW(A590))="", INDIRECT("'" &amp; Master!$F$8 &amp; Master!$F$6 &amp; "'!A" &amp; ROW(A590))=0), "", INDIRECT("'" &amp; Master!$F$8 &amp; Master!$F$6 &amp; "'!A" &amp; ROW(A590)))</f>
        <v/>
      </c>
      <c r="B590" s="4" t="e">
        <f ca="1">SplineInterp(INDIRECT("A" &amp; ROW()),INDIRECT("'" &amp;Master!$F$10&amp; "'!$A$2:$A$50"),INDIRECT("'" &amp;Master!$F$10&amp; "'!$B$2:$B$50"))</f>
        <v>#VALUE!</v>
      </c>
      <c r="C590" s="4" t="e">
        <f ca="1">SplineInterp(A590,INDIRECT("'" &amp;Master!$F$10&amp; "'!$A$2:$A$50"),INDIRECT("'" &amp;Master!$F$10&amp; "'!$C$2:$C$50"))</f>
        <v>#VALUE!</v>
      </c>
      <c r="D590" s="4" t="e">
        <f ca="1">SplineInterp(A590,INDIRECT("'" &amp;Master!$F$10&amp; "'!$A$2:$A$50"),INDIRECT("'" &amp;Master!$F$10&amp; "'!$D$2:$D$50"))</f>
        <v>#VALUE!</v>
      </c>
      <c r="E590" s="4" t="e">
        <f ca="1">SplineInterp(A590,INDIRECT("'" &amp;Master!$F$10&amp; "'!$A$2:$A$50"),INDIRECT("'" &amp;Master!$F$10&amp; "'!$E$2:$E$50"))</f>
        <v>#VALUE!</v>
      </c>
      <c r="F590" s="4" t="e">
        <f ca="1">SplineInterp(A590,INDIRECT("'" &amp;Master!$F$10&amp; "'!$A$2:$A$50"),INDIRECT("'" &amp;Master!$F$10&amp; "'!$F$2:$F$50"))</f>
        <v>#VALUE!</v>
      </c>
      <c r="G590" s="4" t="e">
        <f ca="1">SplineInterp(A590,INDIRECT("'" &amp;Master!$F$10&amp; "'!$A$2:$A$50"),INDIRECT("'" &amp;Master!$F$10&amp; "'!$G$2:$G$50"))</f>
        <v>#VALUE!</v>
      </c>
      <c r="H590" s="4" t="e">
        <f ca="1">SplineInterp(A590,INDIRECT("'" &amp;Master!$F$10&amp; "'!$A$2:$A$50"),INDIRECT("'" &amp;Master!$F$10&amp; "'!$H$2:$H$50"))</f>
        <v>#VALUE!</v>
      </c>
      <c r="I590" s="4" t="e">
        <f ca="1">IF(OR(INDIRECT("'" &amp; Master!$F$8 &amp; Master!$F$6 &amp; "'!B" &amp; ROW(B590))="", INDIRECT("'" &amp; Master!$F$8 &amp; Master!$F$6 &amp; "'!B" &amp; ROW(B590))=0), "", INDIRECT("'" &amp; Master!$F$8 &amp; Master!$F$6 &amp; "'!B" &amp; ROW(B590)))</f>
        <v>#VALUE!</v>
      </c>
      <c r="J590" s="9" t="e">
        <f t="shared" ca="1" si="63"/>
        <v>#VALUE!</v>
      </c>
      <c r="K590" s="7" t="e">
        <f t="shared" ca="1" si="64"/>
        <v>#VALUE!</v>
      </c>
      <c r="L590" s="7" t="e">
        <f t="shared" ca="1" si="65"/>
        <v>#VALUE!</v>
      </c>
      <c r="M590" s="7" t="e">
        <f t="shared" ca="1" si="66"/>
        <v>#VALUE!</v>
      </c>
      <c r="N590" s="7" t="e">
        <f t="shared" ca="1" si="67"/>
        <v>#VALUE!</v>
      </c>
      <c r="O590" s="7" t="e">
        <f t="shared" ca="1" si="68"/>
        <v>#VALUE!</v>
      </c>
      <c r="P590" s="7" t="e">
        <f t="shared" ca="1" si="69"/>
        <v>#VALUE!</v>
      </c>
    </row>
    <row r="591" spans="1:16" x14ac:dyDescent="0.25">
      <c r="A591" s="19" t="str">
        <f ca="1">IF(OR(INDIRECT("'" &amp; Master!$F$8 &amp; Master!$F$6 &amp; "'!A" &amp; ROW(A591))="", INDIRECT("'" &amp; Master!$F$8 &amp; Master!$F$6 &amp; "'!A" &amp; ROW(A591))=0), "", INDIRECT("'" &amp; Master!$F$8 &amp; Master!$F$6 &amp; "'!A" &amp; ROW(A591)))</f>
        <v/>
      </c>
      <c r="B591" s="4" t="e">
        <f ca="1">SplineInterp(INDIRECT("A" &amp; ROW()),INDIRECT("'" &amp;Master!$F$10&amp; "'!$A$2:$A$50"),INDIRECT("'" &amp;Master!$F$10&amp; "'!$B$2:$B$50"))</f>
        <v>#VALUE!</v>
      </c>
      <c r="C591" s="4" t="e">
        <f ca="1">SplineInterp(A591,INDIRECT("'" &amp;Master!$F$10&amp; "'!$A$2:$A$50"),INDIRECT("'" &amp;Master!$F$10&amp; "'!$C$2:$C$50"))</f>
        <v>#VALUE!</v>
      </c>
      <c r="D591" s="4" t="e">
        <f ca="1">SplineInterp(A591,INDIRECT("'" &amp;Master!$F$10&amp; "'!$A$2:$A$50"),INDIRECT("'" &amp;Master!$F$10&amp; "'!$D$2:$D$50"))</f>
        <v>#VALUE!</v>
      </c>
      <c r="E591" s="4" t="e">
        <f ca="1">SplineInterp(A591,INDIRECT("'" &amp;Master!$F$10&amp; "'!$A$2:$A$50"),INDIRECT("'" &amp;Master!$F$10&amp; "'!$E$2:$E$50"))</f>
        <v>#VALUE!</v>
      </c>
      <c r="F591" s="4" t="e">
        <f ca="1">SplineInterp(A591,INDIRECT("'" &amp;Master!$F$10&amp; "'!$A$2:$A$50"),INDIRECT("'" &amp;Master!$F$10&amp; "'!$F$2:$F$50"))</f>
        <v>#VALUE!</v>
      </c>
      <c r="G591" s="4" t="e">
        <f ca="1">SplineInterp(A591,INDIRECT("'" &amp;Master!$F$10&amp; "'!$A$2:$A$50"),INDIRECT("'" &amp;Master!$F$10&amp; "'!$G$2:$G$50"))</f>
        <v>#VALUE!</v>
      </c>
      <c r="H591" s="4" t="e">
        <f ca="1">SplineInterp(A591,INDIRECT("'" &amp;Master!$F$10&amp; "'!$A$2:$A$50"),INDIRECT("'" &amp;Master!$F$10&amp; "'!$H$2:$H$50"))</f>
        <v>#VALUE!</v>
      </c>
      <c r="I591" s="4" t="e">
        <f ca="1">IF(OR(INDIRECT("'" &amp; Master!$F$8 &amp; Master!$F$6 &amp; "'!B" &amp; ROW(B591))="", INDIRECT("'" &amp; Master!$F$8 &amp; Master!$F$6 &amp; "'!B" &amp; ROW(B591))=0), "", INDIRECT("'" &amp; Master!$F$8 &amp; Master!$F$6 &amp; "'!B" &amp; ROW(B591)))</f>
        <v>#VALUE!</v>
      </c>
      <c r="J591" s="9" t="e">
        <f t="shared" ca="1" si="63"/>
        <v>#VALUE!</v>
      </c>
      <c r="K591" s="7" t="e">
        <f t="shared" ca="1" si="64"/>
        <v>#VALUE!</v>
      </c>
      <c r="L591" s="7" t="e">
        <f t="shared" ca="1" si="65"/>
        <v>#VALUE!</v>
      </c>
      <c r="M591" s="7" t="e">
        <f t="shared" ca="1" si="66"/>
        <v>#VALUE!</v>
      </c>
      <c r="N591" s="7" t="e">
        <f t="shared" ca="1" si="67"/>
        <v>#VALUE!</v>
      </c>
      <c r="O591" s="7" t="e">
        <f t="shared" ca="1" si="68"/>
        <v>#VALUE!</v>
      </c>
      <c r="P591" s="7" t="e">
        <f t="shared" ca="1" si="69"/>
        <v>#VALUE!</v>
      </c>
    </row>
    <row r="592" spans="1:16" x14ac:dyDescent="0.25">
      <c r="A592" s="19" t="str">
        <f ca="1">IF(OR(INDIRECT("'" &amp; Master!$F$8 &amp; Master!$F$6 &amp; "'!A" &amp; ROW(A592))="", INDIRECT("'" &amp; Master!$F$8 &amp; Master!$F$6 &amp; "'!A" &amp; ROW(A592))=0), "", INDIRECT("'" &amp; Master!$F$8 &amp; Master!$F$6 &amp; "'!A" &amp; ROW(A592)))</f>
        <v/>
      </c>
      <c r="B592" s="4" t="e">
        <f ca="1">SplineInterp(INDIRECT("A" &amp; ROW()),INDIRECT("'" &amp;Master!$F$10&amp; "'!$A$2:$A$50"),INDIRECT("'" &amp;Master!$F$10&amp; "'!$B$2:$B$50"))</f>
        <v>#VALUE!</v>
      </c>
      <c r="C592" s="4" t="e">
        <f ca="1">SplineInterp(A592,INDIRECT("'" &amp;Master!$F$10&amp; "'!$A$2:$A$50"),INDIRECT("'" &amp;Master!$F$10&amp; "'!$C$2:$C$50"))</f>
        <v>#VALUE!</v>
      </c>
      <c r="D592" s="4" t="e">
        <f ca="1">SplineInterp(A592,INDIRECT("'" &amp;Master!$F$10&amp; "'!$A$2:$A$50"),INDIRECT("'" &amp;Master!$F$10&amp; "'!$D$2:$D$50"))</f>
        <v>#VALUE!</v>
      </c>
      <c r="E592" s="4" t="e">
        <f ca="1">SplineInterp(A592,INDIRECT("'" &amp;Master!$F$10&amp; "'!$A$2:$A$50"),INDIRECT("'" &amp;Master!$F$10&amp; "'!$E$2:$E$50"))</f>
        <v>#VALUE!</v>
      </c>
      <c r="F592" s="4" t="e">
        <f ca="1">SplineInterp(A592,INDIRECT("'" &amp;Master!$F$10&amp; "'!$A$2:$A$50"),INDIRECT("'" &amp;Master!$F$10&amp; "'!$F$2:$F$50"))</f>
        <v>#VALUE!</v>
      </c>
      <c r="G592" s="4" t="e">
        <f ca="1">SplineInterp(A592,INDIRECT("'" &amp;Master!$F$10&amp; "'!$A$2:$A$50"),INDIRECT("'" &amp;Master!$F$10&amp; "'!$G$2:$G$50"))</f>
        <v>#VALUE!</v>
      </c>
      <c r="H592" s="4" t="e">
        <f ca="1">SplineInterp(A592,INDIRECT("'" &amp;Master!$F$10&amp; "'!$A$2:$A$50"),INDIRECT("'" &amp;Master!$F$10&amp; "'!$H$2:$H$50"))</f>
        <v>#VALUE!</v>
      </c>
      <c r="I592" s="4" t="e">
        <f ca="1">IF(OR(INDIRECT("'" &amp; Master!$F$8 &amp; Master!$F$6 &amp; "'!B" &amp; ROW(B592))="", INDIRECT("'" &amp; Master!$F$8 &amp; Master!$F$6 &amp; "'!B" &amp; ROW(B592))=0), "", INDIRECT("'" &amp; Master!$F$8 &amp; Master!$F$6 &amp; "'!B" &amp; ROW(B592)))</f>
        <v>#VALUE!</v>
      </c>
      <c r="J592" s="9" t="e">
        <f t="shared" ca="1" si="63"/>
        <v>#VALUE!</v>
      </c>
      <c r="K592" s="7" t="e">
        <f t="shared" ca="1" si="64"/>
        <v>#VALUE!</v>
      </c>
      <c r="L592" s="7" t="e">
        <f t="shared" ca="1" si="65"/>
        <v>#VALUE!</v>
      </c>
      <c r="M592" s="7" t="e">
        <f t="shared" ca="1" si="66"/>
        <v>#VALUE!</v>
      </c>
      <c r="N592" s="7" t="e">
        <f t="shared" ca="1" si="67"/>
        <v>#VALUE!</v>
      </c>
      <c r="O592" s="7" t="e">
        <f t="shared" ca="1" si="68"/>
        <v>#VALUE!</v>
      </c>
      <c r="P592" s="7" t="e">
        <f t="shared" ca="1" si="69"/>
        <v>#VALUE!</v>
      </c>
    </row>
    <row r="593" spans="1:16" x14ac:dyDescent="0.25">
      <c r="A593" s="19" t="str">
        <f ca="1">IF(OR(INDIRECT("'" &amp; Master!$F$8 &amp; Master!$F$6 &amp; "'!A" &amp; ROW(A593))="", INDIRECT("'" &amp; Master!$F$8 &amp; Master!$F$6 &amp; "'!A" &amp; ROW(A593))=0), "", INDIRECT("'" &amp; Master!$F$8 &amp; Master!$F$6 &amp; "'!A" &amp; ROW(A593)))</f>
        <v/>
      </c>
      <c r="B593" s="4" t="e">
        <f ca="1">SplineInterp(INDIRECT("A" &amp; ROW()),INDIRECT("'" &amp;Master!$F$10&amp; "'!$A$2:$A$50"),INDIRECT("'" &amp;Master!$F$10&amp; "'!$B$2:$B$50"))</f>
        <v>#VALUE!</v>
      </c>
      <c r="C593" s="4" t="e">
        <f ca="1">SplineInterp(A593,INDIRECT("'" &amp;Master!$F$10&amp; "'!$A$2:$A$50"),INDIRECT("'" &amp;Master!$F$10&amp; "'!$C$2:$C$50"))</f>
        <v>#VALUE!</v>
      </c>
      <c r="D593" s="4" t="e">
        <f ca="1">SplineInterp(A593,INDIRECT("'" &amp;Master!$F$10&amp; "'!$A$2:$A$50"),INDIRECT("'" &amp;Master!$F$10&amp; "'!$D$2:$D$50"))</f>
        <v>#VALUE!</v>
      </c>
      <c r="E593" s="4" t="e">
        <f ca="1">SplineInterp(A593,INDIRECT("'" &amp;Master!$F$10&amp; "'!$A$2:$A$50"),INDIRECT("'" &amp;Master!$F$10&amp; "'!$E$2:$E$50"))</f>
        <v>#VALUE!</v>
      </c>
      <c r="F593" s="4" t="e">
        <f ca="1">SplineInterp(A593,INDIRECT("'" &amp;Master!$F$10&amp; "'!$A$2:$A$50"),INDIRECT("'" &amp;Master!$F$10&amp; "'!$F$2:$F$50"))</f>
        <v>#VALUE!</v>
      </c>
      <c r="G593" s="4" t="e">
        <f ca="1">SplineInterp(A593,INDIRECT("'" &amp;Master!$F$10&amp; "'!$A$2:$A$50"),INDIRECT("'" &amp;Master!$F$10&amp; "'!$G$2:$G$50"))</f>
        <v>#VALUE!</v>
      </c>
      <c r="H593" s="4" t="e">
        <f ca="1">SplineInterp(A593,INDIRECT("'" &amp;Master!$F$10&amp; "'!$A$2:$A$50"),INDIRECT("'" &amp;Master!$F$10&amp; "'!$H$2:$H$50"))</f>
        <v>#VALUE!</v>
      </c>
      <c r="I593" s="4" t="e">
        <f ca="1">IF(OR(INDIRECT("'" &amp; Master!$F$8 &amp; Master!$F$6 &amp; "'!B" &amp; ROW(B593))="", INDIRECT("'" &amp; Master!$F$8 &amp; Master!$F$6 &amp; "'!B" &amp; ROW(B593))=0), "", INDIRECT("'" &amp; Master!$F$8 &amp; Master!$F$6 &amp; "'!B" &amp; ROW(B593)))</f>
        <v>#VALUE!</v>
      </c>
      <c r="J593" s="9" t="e">
        <f t="shared" ca="1" si="63"/>
        <v>#VALUE!</v>
      </c>
      <c r="K593" s="7" t="e">
        <f t="shared" ca="1" si="64"/>
        <v>#VALUE!</v>
      </c>
      <c r="L593" s="7" t="e">
        <f t="shared" ca="1" si="65"/>
        <v>#VALUE!</v>
      </c>
      <c r="M593" s="7" t="e">
        <f t="shared" ca="1" si="66"/>
        <v>#VALUE!</v>
      </c>
      <c r="N593" s="7" t="e">
        <f t="shared" ca="1" si="67"/>
        <v>#VALUE!</v>
      </c>
      <c r="O593" s="7" t="e">
        <f t="shared" ca="1" si="68"/>
        <v>#VALUE!</v>
      </c>
      <c r="P593" s="7" t="e">
        <f t="shared" ca="1" si="69"/>
        <v>#VALUE!</v>
      </c>
    </row>
    <row r="594" spans="1:16" x14ac:dyDescent="0.25">
      <c r="A594" s="19" t="str">
        <f ca="1">IF(OR(INDIRECT("'" &amp; Master!$F$8 &amp; Master!$F$6 &amp; "'!A" &amp; ROW(A594))="", INDIRECT("'" &amp; Master!$F$8 &amp; Master!$F$6 &amp; "'!A" &amp; ROW(A594))=0), "", INDIRECT("'" &amp; Master!$F$8 &amp; Master!$F$6 &amp; "'!A" &amp; ROW(A594)))</f>
        <v/>
      </c>
      <c r="B594" s="4" t="e">
        <f ca="1">SplineInterp(INDIRECT("A" &amp; ROW()),INDIRECT("'" &amp;Master!$F$10&amp; "'!$A$2:$A$50"),INDIRECT("'" &amp;Master!$F$10&amp; "'!$B$2:$B$50"))</f>
        <v>#VALUE!</v>
      </c>
      <c r="C594" s="4" t="e">
        <f ca="1">SplineInterp(A594,INDIRECT("'" &amp;Master!$F$10&amp; "'!$A$2:$A$50"),INDIRECT("'" &amp;Master!$F$10&amp; "'!$C$2:$C$50"))</f>
        <v>#VALUE!</v>
      </c>
      <c r="D594" s="4" t="e">
        <f ca="1">SplineInterp(A594,INDIRECT("'" &amp;Master!$F$10&amp; "'!$A$2:$A$50"),INDIRECT("'" &amp;Master!$F$10&amp; "'!$D$2:$D$50"))</f>
        <v>#VALUE!</v>
      </c>
      <c r="E594" s="4" t="e">
        <f ca="1">SplineInterp(A594,INDIRECT("'" &amp;Master!$F$10&amp; "'!$A$2:$A$50"),INDIRECT("'" &amp;Master!$F$10&amp; "'!$E$2:$E$50"))</f>
        <v>#VALUE!</v>
      </c>
      <c r="F594" s="4" t="e">
        <f ca="1">SplineInterp(A594,INDIRECT("'" &amp;Master!$F$10&amp; "'!$A$2:$A$50"),INDIRECT("'" &amp;Master!$F$10&amp; "'!$F$2:$F$50"))</f>
        <v>#VALUE!</v>
      </c>
      <c r="G594" s="4" t="e">
        <f ca="1">SplineInterp(A594,INDIRECT("'" &amp;Master!$F$10&amp; "'!$A$2:$A$50"),INDIRECT("'" &amp;Master!$F$10&amp; "'!$G$2:$G$50"))</f>
        <v>#VALUE!</v>
      </c>
      <c r="H594" s="4" t="e">
        <f ca="1">SplineInterp(A594,INDIRECT("'" &amp;Master!$F$10&amp; "'!$A$2:$A$50"),INDIRECT("'" &amp;Master!$F$10&amp; "'!$H$2:$H$50"))</f>
        <v>#VALUE!</v>
      </c>
      <c r="I594" s="4" t="e">
        <f ca="1">IF(OR(INDIRECT("'" &amp; Master!$F$8 &amp; Master!$F$6 &amp; "'!B" &amp; ROW(B594))="", INDIRECT("'" &amp; Master!$F$8 &amp; Master!$F$6 &amp; "'!B" &amp; ROW(B594))=0), "", INDIRECT("'" &amp; Master!$F$8 &amp; Master!$F$6 &amp; "'!B" &amp; ROW(B594)))</f>
        <v>#VALUE!</v>
      </c>
      <c r="J594" s="9" t="e">
        <f t="shared" ca="1" si="63"/>
        <v>#VALUE!</v>
      </c>
      <c r="K594" s="7" t="e">
        <f t="shared" ca="1" si="64"/>
        <v>#VALUE!</v>
      </c>
      <c r="L594" s="7" t="e">
        <f t="shared" ca="1" si="65"/>
        <v>#VALUE!</v>
      </c>
      <c r="M594" s="7" t="e">
        <f t="shared" ca="1" si="66"/>
        <v>#VALUE!</v>
      </c>
      <c r="N594" s="7" t="e">
        <f t="shared" ca="1" si="67"/>
        <v>#VALUE!</v>
      </c>
      <c r="O594" s="7" t="e">
        <f t="shared" ca="1" si="68"/>
        <v>#VALUE!</v>
      </c>
      <c r="P594" s="7" t="e">
        <f t="shared" ca="1" si="69"/>
        <v>#VALUE!</v>
      </c>
    </row>
    <row r="595" spans="1:16" x14ac:dyDescent="0.25">
      <c r="A595" s="19" t="str">
        <f ca="1">IF(OR(INDIRECT("'" &amp; Master!$F$8 &amp; Master!$F$6 &amp; "'!A" &amp; ROW(A595))="", INDIRECT("'" &amp; Master!$F$8 &amp; Master!$F$6 &amp; "'!A" &amp; ROW(A595))=0), "", INDIRECT("'" &amp; Master!$F$8 &amp; Master!$F$6 &amp; "'!A" &amp; ROW(A595)))</f>
        <v/>
      </c>
      <c r="B595" s="4" t="e">
        <f ca="1">SplineInterp(INDIRECT("A" &amp; ROW()),INDIRECT("'" &amp;Master!$F$10&amp; "'!$A$2:$A$50"),INDIRECT("'" &amp;Master!$F$10&amp; "'!$B$2:$B$50"))</f>
        <v>#VALUE!</v>
      </c>
      <c r="C595" s="4" t="e">
        <f ca="1">SplineInterp(A595,INDIRECT("'" &amp;Master!$F$10&amp; "'!$A$2:$A$50"),INDIRECT("'" &amp;Master!$F$10&amp; "'!$C$2:$C$50"))</f>
        <v>#VALUE!</v>
      </c>
      <c r="D595" s="4" t="e">
        <f ca="1">SplineInterp(A595,INDIRECT("'" &amp;Master!$F$10&amp; "'!$A$2:$A$50"),INDIRECT("'" &amp;Master!$F$10&amp; "'!$D$2:$D$50"))</f>
        <v>#VALUE!</v>
      </c>
      <c r="E595" s="4" t="e">
        <f ca="1">SplineInterp(A595,INDIRECT("'" &amp;Master!$F$10&amp; "'!$A$2:$A$50"),INDIRECT("'" &amp;Master!$F$10&amp; "'!$E$2:$E$50"))</f>
        <v>#VALUE!</v>
      </c>
      <c r="F595" s="4" t="e">
        <f ca="1">SplineInterp(A595,INDIRECT("'" &amp;Master!$F$10&amp; "'!$A$2:$A$50"),INDIRECT("'" &amp;Master!$F$10&amp; "'!$F$2:$F$50"))</f>
        <v>#VALUE!</v>
      </c>
      <c r="G595" s="4" t="e">
        <f ca="1">SplineInterp(A595,INDIRECT("'" &amp;Master!$F$10&amp; "'!$A$2:$A$50"),INDIRECT("'" &amp;Master!$F$10&amp; "'!$G$2:$G$50"))</f>
        <v>#VALUE!</v>
      </c>
      <c r="H595" s="4" t="e">
        <f ca="1">SplineInterp(A595,INDIRECT("'" &amp;Master!$F$10&amp; "'!$A$2:$A$50"),INDIRECT("'" &amp;Master!$F$10&amp; "'!$H$2:$H$50"))</f>
        <v>#VALUE!</v>
      </c>
      <c r="I595" s="4" t="e">
        <f ca="1">IF(OR(INDIRECT("'" &amp; Master!$F$8 &amp; Master!$F$6 &amp; "'!B" &amp; ROW(B595))="", INDIRECT("'" &amp; Master!$F$8 &amp; Master!$F$6 &amp; "'!B" &amp; ROW(B595))=0), "", INDIRECT("'" &amp; Master!$F$8 &amp; Master!$F$6 &amp; "'!B" &amp; ROW(B595)))</f>
        <v>#VALUE!</v>
      </c>
      <c r="J595" s="9" t="e">
        <f t="shared" ca="1" si="63"/>
        <v>#VALUE!</v>
      </c>
      <c r="K595" s="7" t="e">
        <f t="shared" ca="1" si="64"/>
        <v>#VALUE!</v>
      </c>
      <c r="L595" s="7" t="e">
        <f t="shared" ca="1" si="65"/>
        <v>#VALUE!</v>
      </c>
      <c r="M595" s="7" t="e">
        <f t="shared" ca="1" si="66"/>
        <v>#VALUE!</v>
      </c>
      <c r="N595" s="7" t="e">
        <f t="shared" ca="1" si="67"/>
        <v>#VALUE!</v>
      </c>
      <c r="O595" s="7" t="e">
        <f t="shared" ca="1" si="68"/>
        <v>#VALUE!</v>
      </c>
      <c r="P595" s="7" t="e">
        <f t="shared" ca="1" si="69"/>
        <v>#VALUE!</v>
      </c>
    </row>
    <row r="596" spans="1:16" x14ac:dyDescent="0.25">
      <c r="A596" s="19" t="str">
        <f ca="1">IF(OR(INDIRECT("'" &amp; Master!$F$8 &amp; Master!$F$6 &amp; "'!A" &amp; ROW(A596))="", INDIRECT("'" &amp; Master!$F$8 &amp; Master!$F$6 &amp; "'!A" &amp; ROW(A596))=0), "", INDIRECT("'" &amp; Master!$F$8 &amp; Master!$F$6 &amp; "'!A" &amp; ROW(A596)))</f>
        <v/>
      </c>
      <c r="B596" s="4" t="e">
        <f ca="1">SplineInterp(INDIRECT("A" &amp; ROW()),INDIRECT("'" &amp;Master!$F$10&amp; "'!$A$2:$A$50"),INDIRECT("'" &amp;Master!$F$10&amp; "'!$B$2:$B$50"))</f>
        <v>#VALUE!</v>
      </c>
      <c r="C596" s="4" t="e">
        <f ca="1">SplineInterp(A596,INDIRECT("'" &amp;Master!$F$10&amp; "'!$A$2:$A$50"),INDIRECT("'" &amp;Master!$F$10&amp; "'!$C$2:$C$50"))</f>
        <v>#VALUE!</v>
      </c>
      <c r="D596" s="4" t="e">
        <f ca="1">SplineInterp(A596,INDIRECT("'" &amp;Master!$F$10&amp; "'!$A$2:$A$50"),INDIRECT("'" &amp;Master!$F$10&amp; "'!$D$2:$D$50"))</f>
        <v>#VALUE!</v>
      </c>
      <c r="E596" s="4" t="e">
        <f ca="1">SplineInterp(A596,INDIRECT("'" &amp;Master!$F$10&amp; "'!$A$2:$A$50"),INDIRECT("'" &amp;Master!$F$10&amp; "'!$E$2:$E$50"))</f>
        <v>#VALUE!</v>
      </c>
      <c r="F596" s="4" t="e">
        <f ca="1">SplineInterp(A596,INDIRECT("'" &amp;Master!$F$10&amp; "'!$A$2:$A$50"),INDIRECT("'" &amp;Master!$F$10&amp; "'!$F$2:$F$50"))</f>
        <v>#VALUE!</v>
      </c>
      <c r="G596" s="4" t="e">
        <f ca="1">SplineInterp(A596,INDIRECT("'" &amp;Master!$F$10&amp; "'!$A$2:$A$50"),INDIRECT("'" &amp;Master!$F$10&amp; "'!$G$2:$G$50"))</f>
        <v>#VALUE!</v>
      </c>
      <c r="H596" s="4" t="e">
        <f ca="1">SplineInterp(A596,INDIRECT("'" &amp;Master!$F$10&amp; "'!$A$2:$A$50"),INDIRECT("'" &amp;Master!$F$10&amp; "'!$H$2:$H$50"))</f>
        <v>#VALUE!</v>
      </c>
      <c r="I596" s="4" t="e">
        <f ca="1">IF(OR(INDIRECT("'" &amp; Master!$F$8 &amp; Master!$F$6 &amp; "'!B" &amp; ROW(B596))="", INDIRECT("'" &amp; Master!$F$8 &amp; Master!$F$6 &amp; "'!B" &amp; ROW(B596))=0), "", INDIRECT("'" &amp; Master!$F$8 &amp; Master!$F$6 &amp; "'!B" &amp; ROW(B596)))</f>
        <v>#VALUE!</v>
      </c>
      <c r="J596" s="9" t="e">
        <f t="shared" ca="1" si="63"/>
        <v>#VALUE!</v>
      </c>
      <c r="K596" s="7" t="e">
        <f t="shared" ca="1" si="64"/>
        <v>#VALUE!</v>
      </c>
      <c r="L596" s="7" t="e">
        <f t="shared" ca="1" si="65"/>
        <v>#VALUE!</v>
      </c>
      <c r="M596" s="7" t="e">
        <f t="shared" ca="1" si="66"/>
        <v>#VALUE!</v>
      </c>
      <c r="N596" s="7" t="e">
        <f t="shared" ca="1" si="67"/>
        <v>#VALUE!</v>
      </c>
      <c r="O596" s="7" t="e">
        <f t="shared" ca="1" si="68"/>
        <v>#VALUE!</v>
      </c>
      <c r="P596" s="7" t="e">
        <f t="shared" ca="1" si="69"/>
        <v>#VALUE!</v>
      </c>
    </row>
    <row r="597" spans="1:16" x14ac:dyDescent="0.25">
      <c r="A597" s="19" t="str">
        <f ca="1">IF(OR(INDIRECT("'" &amp; Master!$F$8 &amp; Master!$F$6 &amp; "'!A" &amp; ROW(A597))="", INDIRECT("'" &amp; Master!$F$8 &amp; Master!$F$6 &amp; "'!A" &amp; ROW(A597))=0), "", INDIRECT("'" &amp; Master!$F$8 &amp; Master!$F$6 &amp; "'!A" &amp; ROW(A597)))</f>
        <v/>
      </c>
      <c r="B597" s="4" t="e">
        <f ca="1">SplineInterp(INDIRECT("A" &amp; ROW()),INDIRECT("'" &amp;Master!$F$10&amp; "'!$A$2:$A$50"),INDIRECT("'" &amp;Master!$F$10&amp; "'!$B$2:$B$50"))</f>
        <v>#VALUE!</v>
      </c>
      <c r="C597" s="4" t="e">
        <f ca="1">SplineInterp(A597,INDIRECT("'" &amp;Master!$F$10&amp; "'!$A$2:$A$50"),INDIRECT("'" &amp;Master!$F$10&amp; "'!$C$2:$C$50"))</f>
        <v>#VALUE!</v>
      </c>
      <c r="D597" s="4" t="e">
        <f ca="1">SplineInterp(A597,INDIRECT("'" &amp;Master!$F$10&amp; "'!$A$2:$A$50"),INDIRECT("'" &amp;Master!$F$10&amp; "'!$D$2:$D$50"))</f>
        <v>#VALUE!</v>
      </c>
      <c r="E597" s="4" t="e">
        <f ca="1">SplineInterp(A597,INDIRECT("'" &amp;Master!$F$10&amp; "'!$A$2:$A$50"),INDIRECT("'" &amp;Master!$F$10&amp; "'!$E$2:$E$50"))</f>
        <v>#VALUE!</v>
      </c>
      <c r="F597" s="4" t="e">
        <f ca="1">SplineInterp(A597,INDIRECT("'" &amp;Master!$F$10&amp; "'!$A$2:$A$50"),INDIRECT("'" &amp;Master!$F$10&amp; "'!$F$2:$F$50"))</f>
        <v>#VALUE!</v>
      </c>
      <c r="G597" s="4" t="e">
        <f ca="1">SplineInterp(A597,INDIRECT("'" &amp;Master!$F$10&amp; "'!$A$2:$A$50"),INDIRECT("'" &amp;Master!$F$10&amp; "'!$G$2:$G$50"))</f>
        <v>#VALUE!</v>
      </c>
      <c r="H597" s="4" t="e">
        <f ca="1">SplineInterp(A597,INDIRECT("'" &amp;Master!$F$10&amp; "'!$A$2:$A$50"),INDIRECT("'" &amp;Master!$F$10&amp; "'!$H$2:$H$50"))</f>
        <v>#VALUE!</v>
      </c>
      <c r="I597" s="4" t="e">
        <f ca="1">IF(OR(INDIRECT("'" &amp; Master!$F$8 &amp; Master!$F$6 &amp; "'!B" &amp; ROW(B597))="", INDIRECT("'" &amp; Master!$F$8 &amp; Master!$F$6 &amp; "'!B" &amp; ROW(B597))=0), "", INDIRECT("'" &amp; Master!$F$8 &amp; Master!$F$6 &amp; "'!B" &amp; ROW(B597)))</f>
        <v>#VALUE!</v>
      </c>
      <c r="J597" s="9" t="e">
        <f t="shared" ca="1" si="63"/>
        <v>#VALUE!</v>
      </c>
      <c r="K597" s="7" t="e">
        <f t="shared" ca="1" si="64"/>
        <v>#VALUE!</v>
      </c>
      <c r="L597" s="7" t="e">
        <f t="shared" ca="1" si="65"/>
        <v>#VALUE!</v>
      </c>
      <c r="M597" s="7" t="e">
        <f t="shared" ca="1" si="66"/>
        <v>#VALUE!</v>
      </c>
      <c r="N597" s="7" t="e">
        <f t="shared" ca="1" si="67"/>
        <v>#VALUE!</v>
      </c>
      <c r="O597" s="7" t="e">
        <f t="shared" ca="1" si="68"/>
        <v>#VALUE!</v>
      </c>
      <c r="P597" s="7" t="e">
        <f t="shared" ca="1" si="69"/>
        <v>#VALUE!</v>
      </c>
    </row>
    <row r="598" spans="1:16" x14ac:dyDescent="0.25">
      <c r="A598" s="19" t="str">
        <f ca="1">IF(OR(INDIRECT("'" &amp; Master!$F$8 &amp; Master!$F$6 &amp; "'!A" &amp; ROW(A598))="", INDIRECT("'" &amp; Master!$F$8 &amp; Master!$F$6 &amp; "'!A" &amp; ROW(A598))=0), "", INDIRECT("'" &amp; Master!$F$8 &amp; Master!$F$6 &amp; "'!A" &amp; ROW(A598)))</f>
        <v/>
      </c>
      <c r="B598" s="4" t="e">
        <f ca="1">SplineInterp(INDIRECT("A" &amp; ROW()),INDIRECT("'" &amp;Master!$F$10&amp; "'!$A$2:$A$50"),INDIRECT("'" &amp;Master!$F$10&amp; "'!$B$2:$B$50"))</f>
        <v>#VALUE!</v>
      </c>
      <c r="C598" s="4" t="e">
        <f ca="1">SplineInterp(A598,INDIRECT("'" &amp;Master!$F$10&amp; "'!$A$2:$A$50"),INDIRECT("'" &amp;Master!$F$10&amp; "'!$C$2:$C$50"))</f>
        <v>#VALUE!</v>
      </c>
      <c r="D598" s="4" t="e">
        <f ca="1">SplineInterp(A598,INDIRECT("'" &amp;Master!$F$10&amp; "'!$A$2:$A$50"),INDIRECT("'" &amp;Master!$F$10&amp; "'!$D$2:$D$50"))</f>
        <v>#VALUE!</v>
      </c>
      <c r="E598" s="4" t="e">
        <f ca="1">SplineInterp(A598,INDIRECT("'" &amp;Master!$F$10&amp; "'!$A$2:$A$50"),INDIRECT("'" &amp;Master!$F$10&amp; "'!$E$2:$E$50"))</f>
        <v>#VALUE!</v>
      </c>
      <c r="F598" s="4" t="e">
        <f ca="1">SplineInterp(A598,INDIRECT("'" &amp;Master!$F$10&amp; "'!$A$2:$A$50"),INDIRECT("'" &amp;Master!$F$10&amp; "'!$F$2:$F$50"))</f>
        <v>#VALUE!</v>
      </c>
      <c r="G598" s="4" t="e">
        <f ca="1">SplineInterp(A598,INDIRECT("'" &amp;Master!$F$10&amp; "'!$A$2:$A$50"),INDIRECT("'" &amp;Master!$F$10&amp; "'!$G$2:$G$50"))</f>
        <v>#VALUE!</v>
      </c>
      <c r="H598" s="4" t="e">
        <f ca="1">SplineInterp(A598,INDIRECT("'" &amp;Master!$F$10&amp; "'!$A$2:$A$50"),INDIRECT("'" &amp;Master!$F$10&amp; "'!$H$2:$H$50"))</f>
        <v>#VALUE!</v>
      </c>
      <c r="I598" s="4" t="e">
        <f ca="1">IF(OR(INDIRECT("'" &amp; Master!$F$8 &amp; Master!$F$6 &amp; "'!B" &amp; ROW(B598))="", INDIRECT("'" &amp; Master!$F$8 &amp; Master!$F$6 &amp; "'!B" &amp; ROW(B598))=0), "", INDIRECT("'" &amp; Master!$F$8 &amp; Master!$F$6 &amp; "'!B" &amp; ROW(B598)))</f>
        <v>#VALUE!</v>
      </c>
      <c r="J598" s="9" t="e">
        <f t="shared" ca="1" si="63"/>
        <v>#VALUE!</v>
      </c>
      <c r="K598" s="7" t="e">
        <f t="shared" ca="1" si="64"/>
        <v>#VALUE!</v>
      </c>
      <c r="L598" s="7" t="e">
        <f t="shared" ca="1" si="65"/>
        <v>#VALUE!</v>
      </c>
      <c r="M598" s="7" t="e">
        <f t="shared" ca="1" si="66"/>
        <v>#VALUE!</v>
      </c>
      <c r="N598" s="7" t="e">
        <f t="shared" ca="1" si="67"/>
        <v>#VALUE!</v>
      </c>
      <c r="O598" s="7" t="e">
        <f t="shared" ca="1" si="68"/>
        <v>#VALUE!</v>
      </c>
      <c r="P598" s="7" t="e">
        <f t="shared" ca="1" si="69"/>
        <v>#VALUE!</v>
      </c>
    </row>
    <row r="599" spans="1:16" x14ac:dyDescent="0.25">
      <c r="A599" s="19" t="str">
        <f ca="1">IF(OR(INDIRECT("'" &amp; Master!$F$8 &amp; Master!$F$6 &amp; "'!A" &amp; ROW(A599))="", INDIRECT("'" &amp; Master!$F$8 &amp; Master!$F$6 &amp; "'!A" &amp; ROW(A599))=0), "", INDIRECT("'" &amp; Master!$F$8 &amp; Master!$F$6 &amp; "'!A" &amp; ROW(A599)))</f>
        <v/>
      </c>
      <c r="B599" s="4" t="e">
        <f ca="1">SplineInterp(INDIRECT("A" &amp; ROW()),INDIRECT("'" &amp;Master!$F$10&amp; "'!$A$2:$A$50"),INDIRECT("'" &amp;Master!$F$10&amp; "'!$B$2:$B$50"))</f>
        <v>#VALUE!</v>
      </c>
      <c r="C599" s="4" t="e">
        <f ca="1">SplineInterp(A599,INDIRECT("'" &amp;Master!$F$10&amp; "'!$A$2:$A$50"),INDIRECT("'" &amp;Master!$F$10&amp; "'!$C$2:$C$50"))</f>
        <v>#VALUE!</v>
      </c>
      <c r="D599" s="4" t="e">
        <f ca="1">SplineInterp(A599,INDIRECT("'" &amp;Master!$F$10&amp; "'!$A$2:$A$50"),INDIRECT("'" &amp;Master!$F$10&amp; "'!$D$2:$D$50"))</f>
        <v>#VALUE!</v>
      </c>
      <c r="E599" s="4" t="e">
        <f ca="1">SplineInterp(A599,INDIRECT("'" &amp;Master!$F$10&amp; "'!$A$2:$A$50"),INDIRECT("'" &amp;Master!$F$10&amp; "'!$E$2:$E$50"))</f>
        <v>#VALUE!</v>
      </c>
      <c r="F599" s="4" t="e">
        <f ca="1">SplineInterp(A599,INDIRECT("'" &amp;Master!$F$10&amp; "'!$A$2:$A$50"),INDIRECT("'" &amp;Master!$F$10&amp; "'!$F$2:$F$50"))</f>
        <v>#VALUE!</v>
      </c>
      <c r="G599" s="4" t="e">
        <f ca="1">SplineInterp(A599,INDIRECT("'" &amp;Master!$F$10&amp; "'!$A$2:$A$50"),INDIRECT("'" &amp;Master!$F$10&amp; "'!$G$2:$G$50"))</f>
        <v>#VALUE!</v>
      </c>
      <c r="H599" s="4" t="e">
        <f ca="1">SplineInterp(A599,INDIRECT("'" &amp;Master!$F$10&amp; "'!$A$2:$A$50"),INDIRECT("'" &amp;Master!$F$10&amp; "'!$H$2:$H$50"))</f>
        <v>#VALUE!</v>
      </c>
      <c r="I599" s="4" t="e">
        <f ca="1">IF(OR(INDIRECT("'" &amp; Master!$F$8 &amp; Master!$F$6 &amp; "'!B" &amp; ROW(B599))="", INDIRECT("'" &amp; Master!$F$8 &amp; Master!$F$6 &amp; "'!B" &amp; ROW(B599))=0), "", INDIRECT("'" &amp; Master!$F$8 &amp; Master!$F$6 &amp; "'!B" &amp; ROW(B599)))</f>
        <v>#VALUE!</v>
      </c>
      <c r="J599" s="9" t="e">
        <f t="shared" ca="1" si="63"/>
        <v>#VALUE!</v>
      </c>
      <c r="K599" s="7" t="e">
        <f t="shared" ca="1" si="64"/>
        <v>#VALUE!</v>
      </c>
      <c r="L599" s="7" t="e">
        <f t="shared" ca="1" si="65"/>
        <v>#VALUE!</v>
      </c>
      <c r="M599" s="7" t="e">
        <f t="shared" ca="1" si="66"/>
        <v>#VALUE!</v>
      </c>
      <c r="N599" s="7" t="e">
        <f t="shared" ca="1" si="67"/>
        <v>#VALUE!</v>
      </c>
      <c r="O599" s="7" t="e">
        <f t="shared" ca="1" si="68"/>
        <v>#VALUE!</v>
      </c>
      <c r="P599" s="7" t="e">
        <f t="shared" ca="1" si="69"/>
        <v>#VALUE!</v>
      </c>
    </row>
    <row r="600" spans="1:16" x14ac:dyDescent="0.25">
      <c r="A600" s="19" t="str">
        <f ca="1">IF(OR(INDIRECT("'" &amp; Master!$F$8 &amp; Master!$F$6 &amp; "'!A" &amp; ROW(A600))="", INDIRECT("'" &amp; Master!$F$8 &amp; Master!$F$6 &amp; "'!A" &amp; ROW(A600))=0), "", INDIRECT("'" &amp; Master!$F$8 &amp; Master!$F$6 &amp; "'!A" &amp; ROW(A600)))</f>
        <v/>
      </c>
      <c r="B600" s="4" t="e">
        <f ca="1">SplineInterp(INDIRECT("A" &amp; ROW()),INDIRECT("'" &amp;Master!$F$10&amp; "'!$A$2:$A$50"),INDIRECT("'" &amp;Master!$F$10&amp; "'!$B$2:$B$50"))</f>
        <v>#VALUE!</v>
      </c>
      <c r="C600" s="4" t="e">
        <f ca="1">SplineInterp(A600,INDIRECT("'" &amp;Master!$F$10&amp; "'!$A$2:$A$50"),INDIRECT("'" &amp;Master!$F$10&amp; "'!$C$2:$C$50"))</f>
        <v>#VALUE!</v>
      </c>
      <c r="D600" s="4" t="e">
        <f ca="1">SplineInterp(A600,INDIRECT("'" &amp;Master!$F$10&amp; "'!$A$2:$A$50"),INDIRECT("'" &amp;Master!$F$10&amp; "'!$D$2:$D$50"))</f>
        <v>#VALUE!</v>
      </c>
      <c r="E600" s="4" t="e">
        <f ca="1">SplineInterp(A600,INDIRECT("'" &amp;Master!$F$10&amp; "'!$A$2:$A$50"),INDIRECT("'" &amp;Master!$F$10&amp; "'!$E$2:$E$50"))</f>
        <v>#VALUE!</v>
      </c>
      <c r="F600" s="4" t="e">
        <f ca="1">SplineInterp(A600,INDIRECT("'" &amp;Master!$F$10&amp; "'!$A$2:$A$50"),INDIRECT("'" &amp;Master!$F$10&amp; "'!$F$2:$F$50"))</f>
        <v>#VALUE!</v>
      </c>
      <c r="G600" s="4" t="e">
        <f ca="1">SplineInterp(A600,INDIRECT("'" &amp;Master!$F$10&amp; "'!$A$2:$A$50"),INDIRECT("'" &amp;Master!$F$10&amp; "'!$G$2:$G$50"))</f>
        <v>#VALUE!</v>
      </c>
      <c r="H600" s="4" t="e">
        <f ca="1">SplineInterp(A600,INDIRECT("'" &amp;Master!$F$10&amp; "'!$A$2:$A$50"),INDIRECT("'" &amp;Master!$F$10&amp; "'!$H$2:$H$50"))</f>
        <v>#VALUE!</v>
      </c>
      <c r="I600" s="4" t="e">
        <f ca="1">IF(OR(INDIRECT("'" &amp; Master!$F$8 &amp; Master!$F$6 &amp; "'!B" &amp; ROW(B600))="", INDIRECT("'" &amp; Master!$F$8 &amp; Master!$F$6 &amp; "'!B" &amp; ROW(B600))=0), "", INDIRECT("'" &amp; Master!$F$8 &amp; Master!$F$6 &amp; "'!B" &amp; ROW(B600)))</f>
        <v>#VALUE!</v>
      </c>
      <c r="J600" s="9" t="e">
        <f t="shared" ca="1" si="63"/>
        <v>#VALUE!</v>
      </c>
      <c r="K600" s="7" t="e">
        <f t="shared" ca="1" si="64"/>
        <v>#VALUE!</v>
      </c>
      <c r="L600" s="7" t="e">
        <f t="shared" ca="1" si="65"/>
        <v>#VALUE!</v>
      </c>
      <c r="M600" s="7" t="e">
        <f t="shared" ca="1" si="66"/>
        <v>#VALUE!</v>
      </c>
      <c r="N600" s="7" t="e">
        <f t="shared" ca="1" si="67"/>
        <v>#VALUE!</v>
      </c>
      <c r="O600" s="7" t="e">
        <f t="shared" ca="1" si="68"/>
        <v>#VALUE!</v>
      </c>
      <c r="P600" s="7" t="e">
        <f t="shared" ca="1" si="69"/>
        <v>#VALUE!</v>
      </c>
    </row>
    <row r="601" spans="1:16" x14ac:dyDescent="0.25">
      <c r="A601" s="19" t="str">
        <f ca="1">IF(OR(INDIRECT("'" &amp; Master!$F$8 &amp; Master!$F$6 &amp; "'!A" &amp; ROW(A601))="", INDIRECT("'" &amp; Master!$F$8 &amp; Master!$F$6 &amp; "'!A" &amp; ROW(A601))=0), "", INDIRECT("'" &amp; Master!$F$8 &amp; Master!$F$6 &amp; "'!A" &amp; ROW(A601)))</f>
        <v/>
      </c>
      <c r="B601" s="4" t="e">
        <f ca="1">SplineInterp(INDIRECT("A" &amp; ROW()),INDIRECT("'" &amp;Master!$F$10&amp; "'!$A$2:$A$50"),INDIRECT("'" &amp;Master!$F$10&amp; "'!$B$2:$B$50"))</f>
        <v>#VALUE!</v>
      </c>
      <c r="C601" s="4" t="e">
        <f ca="1">SplineInterp(A601,INDIRECT("'" &amp;Master!$F$10&amp; "'!$A$2:$A$50"),INDIRECT("'" &amp;Master!$F$10&amp; "'!$C$2:$C$50"))</f>
        <v>#VALUE!</v>
      </c>
      <c r="D601" s="4" t="e">
        <f ca="1">SplineInterp(A601,INDIRECT("'" &amp;Master!$F$10&amp; "'!$A$2:$A$50"),INDIRECT("'" &amp;Master!$F$10&amp; "'!$D$2:$D$50"))</f>
        <v>#VALUE!</v>
      </c>
      <c r="E601" s="4" t="e">
        <f ca="1">SplineInterp(A601,INDIRECT("'" &amp;Master!$F$10&amp; "'!$A$2:$A$50"),INDIRECT("'" &amp;Master!$F$10&amp; "'!$E$2:$E$50"))</f>
        <v>#VALUE!</v>
      </c>
      <c r="F601" s="4" t="e">
        <f ca="1">SplineInterp(A601,INDIRECT("'" &amp;Master!$F$10&amp; "'!$A$2:$A$50"),INDIRECT("'" &amp;Master!$F$10&amp; "'!$F$2:$F$50"))</f>
        <v>#VALUE!</v>
      </c>
      <c r="G601" s="4" t="e">
        <f ca="1">SplineInterp(A601,INDIRECT("'" &amp;Master!$F$10&amp; "'!$A$2:$A$50"),INDIRECT("'" &amp;Master!$F$10&amp; "'!$G$2:$G$50"))</f>
        <v>#VALUE!</v>
      </c>
      <c r="H601" s="4" t="e">
        <f ca="1">SplineInterp(A601,INDIRECT("'" &amp;Master!$F$10&amp; "'!$A$2:$A$50"),INDIRECT("'" &amp;Master!$F$10&amp; "'!$H$2:$H$50"))</f>
        <v>#VALUE!</v>
      </c>
      <c r="I601" s="4" t="e">
        <f ca="1">IF(OR(INDIRECT("'" &amp; Master!$F$8 &amp; Master!$F$6 &amp; "'!B" &amp; ROW(B601))="", INDIRECT("'" &amp; Master!$F$8 &amp; Master!$F$6 &amp; "'!B" &amp; ROW(B601))=0), "", INDIRECT("'" &amp; Master!$F$8 &amp; Master!$F$6 &amp; "'!B" &amp; ROW(B601)))</f>
        <v>#VALUE!</v>
      </c>
      <c r="J601" s="9" t="e">
        <f t="shared" ca="1" si="63"/>
        <v>#VALUE!</v>
      </c>
      <c r="K601" s="7" t="e">
        <f t="shared" ca="1" si="64"/>
        <v>#VALUE!</v>
      </c>
      <c r="L601" s="7" t="e">
        <f t="shared" ca="1" si="65"/>
        <v>#VALUE!</v>
      </c>
      <c r="M601" s="7" t="e">
        <f t="shared" ca="1" si="66"/>
        <v>#VALUE!</v>
      </c>
      <c r="N601" s="7" t="e">
        <f t="shared" ca="1" si="67"/>
        <v>#VALUE!</v>
      </c>
      <c r="O601" s="7" t="e">
        <f t="shared" ca="1" si="68"/>
        <v>#VALUE!</v>
      </c>
      <c r="P601" s="7" t="e">
        <f t="shared" ca="1" si="69"/>
        <v>#VALUE!</v>
      </c>
    </row>
    <row r="602" spans="1:16" x14ac:dyDescent="0.25">
      <c r="A602" s="19" t="str">
        <f ca="1">IF(OR(INDIRECT("'" &amp; Master!$F$8 &amp; Master!$F$6 &amp; "'!A" &amp; ROW(A602))="", INDIRECT("'" &amp; Master!$F$8 &amp; Master!$F$6 &amp; "'!A" &amp; ROW(A602))=0), "", INDIRECT("'" &amp; Master!$F$8 &amp; Master!$F$6 &amp; "'!A" &amp; ROW(A602)))</f>
        <v/>
      </c>
      <c r="B602" s="4" t="e">
        <f ca="1">SplineInterp(INDIRECT("A" &amp; ROW()),INDIRECT("'" &amp;Master!$F$10&amp; "'!$A$2:$A$50"),INDIRECT("'" &amp;Master!$F$10&amp; "'!$B$2:$B$50"))</f>
        <v>#VALUE!</v>
      </c>
      <c r="C602" s="4" t="e">
        <f ca="1">SplineInterp(A602,INDIRECT("'" &amp;Master!$F$10&amp; "'!$A$2:$A$50"),INDIRECT("'" &amp;Master!$F$10&amp; "'!$C$2:$C$50"))</f>
        <v>#VALUE!</v>
      </c>
      <c r="D602" s="4" t="e">
        <f ca="1">SplineInterp(A602,INDIRECT("'" &amp;Master!$F$10&amp; "'!$A$2:$A$50"),INDIRECT("'" &amp;Master!$F$10&amp; "'!$D$2:$D$50"))</f>
        <v>#VALUE!</v>
      </c>
      <c r="E602" s="4" t="e">
        <f ca="1">SplineInterp(A602,INDIRECT("'" &amp;Master!$F$10&amp; "'!$A$2:$A$50"),INDIRECT("'" &amp;Master!$F$10&amp; "'!$E$2:$E$50"))</f>
        <v>#VALUE!</v>
      </c>
      <c r="F602" s="4" t="e">
        <f ca="1">SplineInterp(A602,INDIRECT("'" &amp;Master!$F$10&amp; "'!$A$2:$A$50"),INDIRECT("'" &amp;Master!$F$10&amp; "'!$F$2:$F$50"))</f>
        <v>#VALUE!</v>
      </c>
      <c r="G602" s="4" t="e">
        <f ca="1">SplineInterp(A602,INDIRECT("'" &amp;Master!$F$10&amp; "'!$A$2:$A$50"),INDIRECT("'" &amp;Master!$F$10&amp; "'!$G$2:$G$50"))</f>
        <v>#VALUE!</v>
      </c>
      <c r="H602" s="4" t="e">
        <f ca="1">SplineInterp(A602,INDIRECT("'" &amp;Master!$F$10&amp; "'!$A$2:$A$50"),INDIRECT("'" &amp;Master!$F$10&amp; "'!$H$2:$H$50"))</f>
        <v>#VALUE!</v>
      </c>
      <c r="I602" s="4" t="e">
        <f ca="1">IF(OR(INDIRECT("'" &amp; Master!$F$8 &amp; Master!$F$6 &amp; "'!B" &amp; ROW(B602))="", INDIRECT("'" &amp; Master!$F$8 &amp; Master!$F$6 &amp; "'!B" &amp; ROW(B602))=0), "", INDIRECT("'" &amp; Master!$F$8 &amp; Master!$F$6 &amp; "'!B" &amp; ROW(B602)))</f>
        <v>#VALUE!</v>
      </c>
      <c r="J602" s="9" t="e">
        <f t="shared" ca="1" si="63"/>
        <v>#VALUE!</v>
      </c>
      <c r="K602" s="7" t="e">
        <f t="shared" ca="1" si="64"/>
        <v>#VALUE!</v>
      </c>
      <c r="L602" s="7" t="e">
        <f t="shared" ca="1" si="65"/>
        <v>#VALUE!</v>
      </c>
      <c r="M602" s="7" t="e">
        <f t="shared" ca="1" si="66"/>
        <v>#VALUE!</v>
      </c>
      <c r="N602" s="7" t="e">
        <f t="shared" ca="1" si="67"/>
        <v>#VALUE!</v>
      </c>
      <c r="O602" s="7" t="e">
        <f t="shared" ca="1" si="68"/>
        <v>#VALUE!</v>
      </c>
      <c r="P602" s="7" t="e">
        <f t="shared" ca="1" si="69"/>
        <v>#VALUE!</v>
      </c>
    </row>
    <row r="603" spans="1:16" x14ac:dyDescent="0.25">
      <c r="A603" s="19" t="str">
        <f ca="1">IF(OR(INDIRECT("'" &amp; Master!$F$8 &amp; Master!$F$6 &amp; "'!A" &amp; ROW(A603))="", INDIRECT("'" &amp; Master!$F$8 &amp; Master!$F$6 &amp; "'!A" &amp; ROW(A603))=0), "", INDIRECT("'" &amp; Master!$F$8 &amp; Master!$F$6 &amp; "'!A" &amp; ROW(A603)))</f>
        <v/>
      </c>
      <c r="B603" s="4" t="e">
        <f ca="1">SplineInterp(INDIRECT("A" &amp; ROW()),INDIRECT("'" &amp;Master!$F$10&amp; "'!$A$2:$A$50"),INDIRECT("'" &amp;Master!$F$10&amp; "'!$B$2:$B$50"))</f>
        <v>#VALUE!</v>
      </c>
      <c r="C603" s="4" t="e">
        <f ca="1">SplineInterp(A603,INDIRECT("'" &amp;Master!$F$10&amp; "'!$A$2:$A$50"),INDIRECT("'" &amp;Master!$F$10&amp; "'!$C$2:$C$50"))</f>
        <v>#VALUE!</v>
      </c>
      <c r="D603" s="4" t="e">
        <f ca="1">SplineInterp(A603,INDIRECT("'" &amp;Master!$F$10&amp; "'!$A$2:$A$50"),INDIRECT("'" &amp;Master!$F$10&amp; "'!$D$2:$D$50"))</f>
        <v>#VALUE!</v>
      </c>
      <c r="E603" s="4" t="e">
        <f ca="1">SplineInterp(A603,INDIRECT("'" &amp;Master!$F$10&amp; "'!$A$2:$A$50"),INDIRECT("'" &amp;Master!$F$10&amp; "'!$E$2:$E$50"))</f>
        <v>#VALUE!</v>
      </c>
      <c r="F603" s="4" t="e">
        <f ca="1">SplineInterp(A603,INDIRECT("'" &amp;Master!$F$10&amp; "'!$A$2:$A$50"),INDIRECT("'" &amp;Master!$F$10&amp; "'!$F$2:$F$50"))</f>
        <v>#VALUE!</v>
      </c>
      <c r="G603" s="4" t="e">
        <f ca="1">SplineInterp(A603,INDIRECT("'" &amp;Master!$F$10&amp; "'!$A$2:$A$50"),INDIRECT("'" &amp;Master!$F$10&amp; "'!$G$2:$G$50"))</f>
        <v>#VALUE!</v>
      </c>
      <c r="H603" s="4" t="e">
        <f ca="1">SplineInterp(A603,INDIRECT("'" &amp;Master!$F$10&amp; "'!$A$2:$A$50"),INDIRECT("'" &amp;Master!$F$10&amp; "'!$H$2:$H$50"))</f>
        <v>#VALUE!</v>
      </c>
      <c r="I603" s="4" t="e">
        <f ca="1">IF(OR(INDIRECT("'" &amp; Master!$F$8 &amp; Master!$F$6 &amp; "'!B" &amp; ROW(B603))="", INDIRECT("'" &amp; Master!$F$8 &amp; Master!$F$6 &amp; "'!B" &amp; ROW(B603))=0), "", INDIRECT("'" &amp; Master!$F$8 &amp; Master!$F$6 &amp; "'!B" &amp; ROW(B603)))</f>
        <v>#VALUE!</v>
      </c>
      <c r="J603" s="9" t="e">
        <f t="shared" ca="1" si="63"/>
        <v>#VALUE!</v>
      </c>
      <c r="K603" s="7" t="e">
        <f t="shared" ca="1" si="64"/>
        <v>#VALUE!</v>
      </c>
      <c r="L603" s="7" t="e">
        <f t="shared" ca="1" si="65"/>
        <v>#VALUE!</v>
      </c>
      <c r="M603" s="7" t="e">
        <f t="shared" ca="1" si="66"/>
        <v>#VALUE!</v>
      </c>
      <c r="N603" s="7" t="e">
        <f t="shared" ca="1" si="67"/>
        <v>#VALUE!</v>
      </c>
      <c r="O603" s="7" t="e">
        <f t="shared" ca="1" si="68"/>
        <v>#VALUE!</v>
      </c>
      <c r="P603" s="7" t="e">
        <f t="shared" ca="1" si="69"/>
        <v>#VALUE!</v>
      </c>
    </row>
    <row r="604" spans="1:16" x14ac:dyDescent="0.25">
      <c r="A604" s="19" t="str">
        <f ca="1">IF(OR(INDIRECT("'" &amp; Master!$F$8 &amp; Master!$F$6 &amp; "'!A" &amp; ROW(A604))="", INDIRECT("'" &amp; Master!$F$8 &amp; Master!$F$6 &amp; "'!A" &amp; ROW(A604))=0), "", INDIRECT("'" &amp; Master!$F$8 &amp; Master!$F$6 &amp; "'!A" &amp; ROW(A604)))</f>
        <v/>
      </c>
      <c r="B604" s="4" t="e">
        <f ca="1">SplineInterp(INDIRECT("A" &amp; ROW()),INDIRECT("'" &amp;Master!$F$10&amp; "'!$A$2:$A$50"),INDIRECT("'" &amp;Master!$F$10&amp; "'!$B$2:$B$50"))</f>
        <v>#VALUE!</v>
      </c>
      <c r="C604" s="4" t="e">
        <f ca="1">SplineInterp(A604,INDIRECT("'" &amp;Master!$F$10&amp; "'!$A$2:$A$50"),INDIRECT("'" &amp;Master!$F$10&amp; "'!$C$2:$C$50"))</f>
        <v>#VALUE!</v>
      </c>
      <c r="D604" s="4" t="e">
        <f ca="1">SplineInterp(A604,INDIRECT("'" &amp;Master!$F$10&amp; "'!$A$2:$A$50"),INDIRECT("'" &amp;Master!$F$10&amp; "'!$D$2:$D$50"))</f>
        <v>#VALUE!</v>
      </c>
      <c r="E604" s="4" t="e">
        <f ca="1">SplineInterp(A604,INDIRECT("'" &amp;Master!$F$10&amp; "'!$A$2:$A$50"),INDIRECT("'" &amp;Master!$F$10&amp; "'!$E$2:$E$50"))</f>
        <v>#VALUE!</v>
      </c>
      <c r="F604" s="4" t="e">
        <f ca="1">SplineInterp(A604,INDIRECT("'" &amp;Master!$F$10&amp; "'!$A$2:$A$50"),INDIRECT("'" &amp;Master!$F$10&amp; "'!$F$2:$F$50"))</f>
        <v>#VALUE!</v>
      </c>
      <c r="G604" s="4" t="e">
        <f ca="1">SplineInterp(A604,INDIRECT("'" &amp;Master!$F$10&amp; "'!$A$2:$A$50"),INDIRECT("'" &amp;Master!$F$10&amp; "'!$G$2:$G$50"))</f>
        <v>#VALUE!</v>
      </c>
      <c r="H604" s="4" t="e">
        <f ca="1">SplineInterp(A604,INDIRECT("'" &amp;Master!$F$10&amp; "'!$A$2:$A$50"),INDIRECT("'" &amp;Master!$F$10&amp; "'!$H$2:$H$50"))</f>
        <v>#VALUE!</v>
      </c>
      <c r="I604" s="4" t="e">
        <f ca="1">IF(OR(INDIRECT("'" &amp; Master!$F$8 &amp; Master!$F$6 &amp; "'!B" &amp; ROW(B604))="", INDIRECT("'" &amp; Master!$F$8 &amp; Master!$F$6 &amp; "'!B" &amp; ROW(B604))=0), "", INDIRECT("'" &amp; Master!$F$8 &amp; Master!$F$6 &amp; "'!B" &amp; ROW(B604)))</f>
        <v>#VALUE!</v>
      </c>
      <c r="J604" s="9" t="e">
        <f t="shared" ca="1" si="63"/>
        <v>#VALUE!</v>
      </c>
      <c r="K604" s="7" t="e">
        <f t="shared" ca="1" si="64"/>
        <v>#VALUE!</v>
      </c>
      <c r="L604" s="7" t="e">
        <f t="shared" ca="1" si="65"/>
        <v>#VALUE!</v>
      </c>
      <c r="M604" s="7" t="e">
        <f t="shared" ca="1" si="66"/>
        <v>#VALUE!</v>
      </c>
      <c r="N604" s="7" t="e">
        <f t="shared" ca="1" si="67"/>
        <v>#VALUE!</v>
      </c>
      <c r="O604" s="7" t="e">
        <f t="shared" ca="1" si="68"/>
        <v>#VALUE!</v>
      </c>
      <c r="P604" s="7" t="e">
        <f t="shared" ca="1" si="69"/>
        <v>#VALUE!</v>
      </c>
    </row>
    <row r="605" spans="1:16" x14ac:dyDescent="0.25">
      <c r="A605" s="19" t="str">
        <f ca="1">IF(OR(INDIRECT("'" &amp; Master!$F$8 &amp; Master!$F$6 &amp; "'!A" &amp; ROW(A605))="", INDIRECT("'" &amp; Master!$F$8 &amp; Master!$F$6 &amp; "'!A" &amp; ROW(A605))=0), "", INDIRECT("'" &amp; Master!$F$8 &amp; Master!$F$6 &amp; "'!A" &amp; ROW(A605)))</f>
        <v/>
      </c>
      <c r="B605" s="4" t="e">
        <f ca="1">SplineInterp(INDIRECT("A" &amp; ROW()),INDIRECT("'" &amp;Master!$F$10&amp; "'!$A$2:$A$50"),INDIRECT("'" &amp;Master!$F$10&amp; "'!$B$2:$B$50"))</f>
        <v>#VALUE!</v>
      </c>
      <c r="C605" s="4" t="e">
        <f ca="1">SplineInterp(A605,INDIRECT("'" &amp;Master!$F$10&amp; "'!$A$2:$A$50"),INDIRECT("'" &amp;Master!$F$10&amp; "'!$C$2:$C$50"))</f>
        <v>#VALUE!</v>
      </c>
      <c r="D605" s="4" t="e">
        <f ca="1">SplineInterp(A605,INDIRECT("'" &amp;Master!$F$10&amp; "'!$A$2:$A$50"),INDIRECT("'" &amp;Master!$F$10&amp; "'!$D$2:$D$50"))</f>
        <v>#VALUE!</v>
      </c>
      <c r="E605" s="4" t="e">
        <f ca="1">SplineInterp(A605,INDIRECT("'" &amp;Master!$F$10&amp; "'!$A$2:$A$50"),INDIRECT("'" &amp;Master!$F$10&amp; "'!$E$2:$E$50"))</f>
        <v>#VALUE!</v>
      </c>
      <c r="F605" s="4" t="e">
        <f ca="1">SplineInterp(A605,INDIRECT("'" &amp;Master!$F$10&amp; "'!$A$2:$A$50"),INDIRECT("'" &amp;Master!$F$10&amp; "'!$F$2:$F$50"))</f>
        <v>#VALUE!</v>
      </c>
      <c r="G605" s="4" t="e">
        <f ca="1">SplineInterp(A605,INDIRECT("'" &amp;Master!$F$10&amp; "'!$A$2:$A$50"),INDIRECT("'" &amp;Master!$F$10&amp; "'!$G$2:$G$50"))</f>
        <v>#VALUE!</v>
      </c>
      <c r="H605" s="4" t="e">
        <f ca="1">SplineInterp(A605,INDIRECT("'" &amp;Master!$F$10&amp; "'!$A$2:$A$50"),INDIRECT("'" &amp;Master!$F$10&amp; "'!$H$2:$H$50"))</f>
        <v>#VALUE!</v>
      </c>
      <c r="I605" s="4" t="e">
        <f ca="1">IF(OR(INDIRECT("'" &amp; Master!$F$8 &amp; Master!$F$6 &amp; "'!B" &amp; ROW(B605))="", INDIRECT("'" &amp; Master!$F$8 &amp; Master!$F$6 &amp; "'!B" &amp; ROW(B605))=0), "", INDIRECT("'" &amp; Master!$F$8 &amp; Master!$F$6 &amp; "'!B" &amp; ROW(B605)))</f>
        <v>#VALUE!</v>
      </c>
      <c r="J605" s="9" t="e">
        <f t="shared" ca="1" si="63"/>
        <v>#VALUE!</v>
      </c>
      <c r="K605" s="7" t="e">
        <f t="shared" ca="1" si="64"/>
        <v>#VALUE!</v>
      </c>
      <c r="L605" s="7" t="e">
        <f t="shared" ca="1" si="65"/>
        <v>#VALUE!</v>
      </c>
      <c r="M605" s="7" t="e">
        <f t="shared" ca="1" si="66"/>
        <v>#VALUE!</v>
      </c>
      <c r="N605" s="7" t="e">
        <f t="shared" ca="1" si="67"/>
        <v>#VALUE!</v>
      </c>
      <c r="O605" s="7" t="e">
        <f t="shared" ca="1" si="68"/>
        <v>#VALUE!</v>
      </c>
      <c r="P605" s="7" t="e">
        <f t="shared" ca="1" si="69"/>
        <v>#VALUE!</v>
      </c>
    </row>
    <row r="606" spans="1:16" x14ac:dyDescent="0.25">
      <c r="A606" s="19" t="str">
        <f ca="1">IF(OR(INDIRECT("'" &amp; Master!$F$8 &amp; Master!$F$6 &amp; "'!A" &amp; ROW(A606))="", INDIRECT("'" &amp; Master!$F$8 &amp; Master!$F$6 &amp; "'!A" &amp; ROW(A606))=0), "", INDIRECT("'" &amp; Master!$F$8 &amp; Master!$F$6 &amp; "'!A" &amp; ROW(A606)))</f>
        <v/>
      </c>
      <c r="B606" s="4" t="e">
        <f ca="1">SplineInterp(INDIRECT("A" &amp; ROW()),INDIRECT("'" &amp;Master!$F$10&amp; "'!$A$2:$A$50"),INDIRECT("'" &amp;Master!$F$10&amp; "'!$B$2:$B$50"))</f>
        <v>#VALUE!</v>
      </c>
      <c r="C606" s="4" t="e">
        <f ca="1">SplineInterp(A606,INDIRECT("'" &amp;Master!$F$10&amp; "'!$A$2:$A$50"),INDIRECT("'" &amp;Master!$F$10&amp; "'!$C$2:$C$50"))</f>
        <v>#VALUE!</v>
      </c>
      <c r="D606" s="4" t="e">
        <f ca="1">SplineInterp(A606,INDIRECT("'" &amp;Master!$F$10&amp; "'!$A$2:$A$50"),INDIRECT("'" &amp;Master!$F$10&amp; "'!$D$2:$D$50"))</f>
        <v>#VALUE!</v>
      </c>
      <c r="E606" s="4" t="e">
        <f ca="1">SplineInterp(A606,INDIRECT("'" &amp;Master!$F$10&amp; "'!$A$2:$A$50"),INDIRECT("'" &amp;Master!$F$10&amp; "'!$E$2:$E$50"))</f>
        <v>#VALUE!</v>
      </c>
      <c r="F606" s="4" t="e">
        <f ca="1">SplineInterp(A606,INDIRECT("'" &amp;Master!$F$10&amp; "'!$A$2:$A$50"),INDIRECT("'" &amp;Master!$F$10&amp; "'!$F$2:$F$50"))</f>
        <v>#VALUE!</v>
      </c>
      <c r="G606" s="4" t="e">
        <f ca="1">SplineInterp(A606,INDIRECT("'" &amp;Master!$F$10&amp; "'!$A$2:$A$50"),INDIRECT("'" &amp;Master!$F$10&amp; "'!$G$2:$G$50"))</f>
        <v>#VALUE!</v>
      </c>
      <c r="H606" s="4" t="e">
        <f ca="1">SplineInterp(A606,INDIRECT("'" &amp;Master!$F$10&amp; "'!$A$2:$A$50"),INDIRECT("'" &amp;Master!$F$10&amp; "'!$H$2:$H$50"))</f>
        <v>#VALUE!</v>
      </c>
      <c r="I606" s="4" t="e">
        <f ca="1">IF(OR(INDIRECT("'" &amp; Master!$F$8 &amp; Master!$F$6 &amp; "'!B" &amp; ROW(B606))="", INDIRECT("'" &amp; Master!$F$8 &amp; Master!$F$6 &amp; "'!B" &amp; ROW(B606))=0), "", INDIRECT("'" &amp; Master!$F$8 &amp; Master!$F$6 &amp; "'!B" &amp; ROW(B606)))</f>
        <v>#VALUE!</v>
      </c>
      <c r="J606" s="9" t="e">
        <f t="shared" ca="1" si="63"/>
        <v>#VALUE!</v>
      </c>
      <c r="K606" s="7" t="e">
        <f t="shared" ca="1" si="64"/>
        <v>#VALUE!</v>
      </c>
      <c r="L606" s="7" t="e">
        <f t="shared" ca="1" si="65"/>
        <v>#VALUE!</v>
      </c>
      <c r="M606" s="7" t="e">
        <f t="shared" ca="1" si="66"/>
        <v>#VALUE!</v>
      </c>
      <c r="N606" s="7" t="e">
        <f t="shared" ca="1" si="67"/>
        <v>#VALUE!</v>
      </c>
      <c r="O606" s="7" t="e">
        <f t="shared" ca="1" si="68"/>
        <v>#VALUE!</v>
      </c>
      <c r="P606" s="7" t="e">
        <f t="shared" ca="1" si="69"/>
        <v>#VALUE!</v>
      </c>
    </row>
    <row r="607" spans="1:16" x14ac:dyDescent="0.25">
      <c r="A607" s="19" t="str">
        <f ca="1">IF(OR(INDIRECT("'" &amp; Master!$F$8 &amp; Master!$F$6 &amp; "'!A" &amp; ROW(A607))="", INDIRECT("'" &amp; Master!$F$8 &amp; Master!$F$6 &amp; "'!A" &amp; ROW(A607))=0), "", INDIRECT("'" &amp; Master!$F$8 &amp; Master!$F$6 &amp; "'!A" &amp; ROW(A607)))</f>
        <v/>
      </c>
      <c r="B607" s="4" t="e">
        <f ca="1">SplineInterp(INDIRECT("A" &amp; ROW()),INDIRECT("'" &amp;Master!$F$10&amp; "'!$A$2:$A$50"),INDIRECT("'" &amp;Master!$F$10&amp; "'!$B$2:$B$50"))</f>
        <v>#VALUE!</v>
      </c>
      <c r="C607" s="4" t="e">
        <f ca="1">SplineInterp(A607,INDIRECT("'" &amp;Master!$F$10&amp; "'!$A$2:$A$50"),INDIRECT("'" &amp;Master!$F$10&amp; "'!$C$2:$C$50"))</f>
        <v>#VALUE!</v>
      </c>
      <c r="D607" s="4" t="e">
        <f ca="1">SplineInterp(A607,INDIRECT("'" &amp;Master!$F$10&amp; "'!$A$2:$A$50"),INDIRECT("'" &amp;Master!$F$10&amp; "'!$D$2:$D$50"))</f>
        <v>#VALUE!</v>
      </c>
      <c r="E607" s="4" t="e">
        <f ca="1">SplineInterp(A607,INDIRECT("'" &amp;Master!$F$10&amp; "'!$A$2:$A$50"),INDIRECT("'" &amp;Master!$F$10&amp; "'!$E$2:$E$50"))</f>
        <v>#VALUE!</v>
      </c>
      <c r="F607" s="4" t="e">
        <f ca="1">SplineInterp(A607,INDIRECT("'" &amp;Master!$F$10&amp; "'!$A$2:$A$50"),INDIRECT("'" &amp;Master!$F$10&amp; "'!$F$2:$F$50"))</f>
        <v>#VALUE!</v>
      </c>
      <c r="G607" s="4" t="e">
        <f ca="1">SplineInterp(A607,INDIRECT("'" &amp;Master!$F$10&amp; "'!$A$2:$A$50"),INDIRECT("'" &amp;Master!$F$10&amp; "'!$G$2:$G$50"))</f>
        <v>#VALUE!</v>
      </c>
      <c r="H607" s="4" t="e">
        <f ca="1">SplineInterp(A607,INDIRECT("'" &amp;Master!$F$10&amp; "'!$A$2:$A$50"),INDIRECT("'" &amp;Master!$F$10&amp; "'!$H$2:$H$50"))</f>
        <v>#VALUE!</v>
      </c>
      <c r="I607" s="4" t="e">
        <f ca="1">IF(OR(INDIRECT("'" &amp; Master!$F$8 &amp; Master!$F$6 &amp; "'!B" &amp; ROW(B607))="", INDIRECT("'" &amp; Master!$F$8 &amp; Master!$F$6 &amp; "'!B" &amp; ROW(B607))=0), "", INDIRECT("'" &amp; Master!$F$8 &amp; Master!$F$6 &amp; "'!B" &amp; ROW(B607)))</f>
        <v>#VALUE!</v>
      </c>
      <c r="J607" s="9" t="e">
        <f t="shared" ca="1" si="63"/>
        <v>#VALUE!</v>
      </c>
      <c r="K607" s="7" t="e">
        <f t="shared" ca="1" si="64"/>
        <v>#VALUE!</v>
      </c>
      <c r="L607" s="7" t="e">
        <f t="shared" ca="1" si="65"/>
        <v>#VALUE!</v>
      </c>
      <c r="M607" s="7" t="e">
        <f t="shared" ca="1" si="66"/>
        <v>#VALUE!</v>
      </c>
      <c r="N607" s="7" t="e">
        <f t="shared" ca="1" si="67"/>
        <v>#VALUE!</v>
      </c>
      <c r="O607" s="7" t="e">
        <f t="shared" ca="1" si="68"/>
        <v>#VALUE!</v>
      </c>
      <c r="P607" s="7" t="e">
        <f t="shared" ca="1" si="69"/>
        <v>#VALUE!</v>
      </c>
    </row>
    <row r="608" spans="1:16" x14ac:dyDescent="0.25">
      <c r="A608" s="19" t="str">
        <f ca="1">IF(OR(INDIRECT("'" &amp; Master!$F$8 &amp; Master!$F$6 &amp; "'!A" &amp; ROW(A608))="", INDIRECT("'" &amp; Master!$F$8 &amp; Master!$F$6 &amp; "'!A" &amp; ROW(A608))=0), "", INDIRECT("'" &amp; Master!$F$8 &amp; Master!$F$6 &amp; "'!A" &amp; ROW(A608)))</f>
        <v/>
      </c>
      <c r="B608" s="4" t="e">
        <f ca="1">SplineInterp(INDIRECT("A" &amp; ROW()),INDIRECT("'" &amp;Master!$F$10&amp; "'!$A$2:$A$50"),INDIRECT("'" &amp;Master!$F$10&amp; "'!$B$2:$B$50"))</f>
        <v>#VALUE!</v>
      </c>
      <c r="C608" s="4" t="e">
        <f ca="1">SplineInterp(A608,INDIRECT("'" &amp;Master!$F$10&amp; "'!$A$2:$A$50"),INDIRECT("'" &amp;Master!$F$10&amp; "'!$C$2:$C$50"))</f>
        <v>#VALUE!</v>
      </c>
      <c r="D608" s="4" t="e">
        <f ca="1">SplineInterp(A608,INDIRECT("'" &amp;Master!$F$10&amp; "'!$A$2:$A$50"),INDIRECT("'" &amp;Master!$F$10&amp; "'!$D$2:$D$50"))</f>
        <v>#VALUE!</v>
      </c>
      <c r="E608" s="4" t="e">
        <f ca="1">SplineInterp(A608,INDIRECT("'" &amp;Master!$F$10&amp; "'!$A$2:$A$50"),INDIRECT("'" &amp;Master!$F$10&amp; "'!$E$2:$E$50"))</f>
        <v>#VALUE!</v>
      </c>
      <c r="F608" s="4" t="e">
        <f ca="1">SplineInterp(A608,INDIRECT("'" &amp;Master!$F$10&amp; "'!$A$2:$A$50"),INDIRECT("'" &amp;Master!$F$10&amp; "'!$F$2:$F$50"))</f>
        <v>#VALUE!</v>
      </c>
      <c r="G608" s="4" t="e">
        <f ca="1">SplineInterp(A608,INDIRECT("'" &amp;Master!$F$10&amp; "'!$A$2:$A$50"),INDIRECT("'" &amp;Master!$F$10&amp; "'!$G$2:$G$50"))</f>
        <v>#VALUE!</v>
      </c>
      <c r="H608" s="4" t="e">
        <f ca="1">SplineInterp(A608,INDIRECT("'" &amp;Master!$F$10&amp; "'!$A$2:$A$50"),INDIRECT("'" &amp;Master!$F$10&amp; "'!$H$2:$H$50"))</f>
        <v>#VALUE!</v>
      </c>
      <c r="I608" s="4" t="e">
        <f ca="1">IF(OR(INDIRECT("'" &amp; Master!$F$8 &amp; Master!$F$6 &amp; "'!B" &amp; ROW(B608))="", INDIRECT("'" &amp; Master!$F$8 &amp; Master!$F$6 &amp; "'!B" &amp; ROW(B608))=0), "", INDIRECT("'" &amp; Master!$F$8 &amp; Master!$F$6 &amp; "'!B" &amp; ROW(B608)))</f>
        <v>#VALUE!</v>
      </c>
      <c r="J608" s="9" t="e">
        <f t="shared" ca="1" si="63"/>
        <v>#VALUE!</v>
      </c>
      <c r="K608" s="7" t="e">
        <f t="shared" ca="1" si="64"/>
        <v>#VALUE!</v>
      </c>
      <c r="L608" s="7" t="e">
        <f t="shared" ca="1" si="65"/>
        <v>#VALUE!</v>
      </c>
      <c r="M608" s="7" t="e">
        <f t="shared" ca="1" si="66"/>
        <v>#VALUE!</v>
      </c>
      <c r="N608" s="7" t="e">
        <f t="shared" ca="1" si="67"/>
        <v>#VALUE!</v>
      </c>
      <c r="O608" s="7" t="e">
        <f t="shared" ca="1" si="68"/>
        <v>#VALUE!</v>
      </c>
      <c r="P608" s="7" t="e">
        <f t="shared" ca="1" si="69"/>
        <v>#VALUE!</v>
      </c>
    </row>
    <row r="609" spans="1:16" x14ac:dyDescent="0.25">
      <c r="A609" s="19" t="str">
        <f ca="1">IF(OR(INDIRECT("'" &amp; Master!$F$8 &amp; Master!$F$6 &amp; "'!A" &amp; ROW(A609))="", INDIRECT("'" &amp; Master!$F$8 &amp; Master!$F$6 &amp; "'!A" &amp; ROW(A609))=0), "", INDIRECT("'" &amp; Master!$F$8 &amp; Master!$F$6 &amp; "'!A" &amp; ROW(A609)))</f>
        <v/>
      </c>
      <c r="B609" s="4" t="e">
        <f ca="1">SplineInterp(INDIRECT("A" &amp; ROW()),INDIRECT("'" &amp;Master!$F$10&amp; "'!$A$2:$A$50"),INDIRECT("'" &amp;Master!$F$10&amp; "'!$B$2:$B$50"))</f>
        <v>#VALUE!</v>
      </c>
      <c r="C609" s="4" t="e">
        <f ca="1">SplineInterp(A609,INDIRECT("'" &amp;Master!$F$10&amp; "'!$A$2:$A$50"),INDIRECT("'" &amp;Master!$F$10&amp; "'!$C$2:$C$50"))</f>
        <v>#VALUE!</v>
      </c>
      <c r="D609" s="4" t="e">
        <f ca="1">SplineInterp(A609,INDIRECT("'" &amp;Master!$F$10&amp; "'!$A$2:$A$50"),INDIRECT("'" &amp;Master!$F$10&amp; "'!$D$2:$D$50"))</f>
        <v>#VALUE!</v>
      </c>
      <c r="E609" s="4" t="e">
        <f ca="1">SplineInterp(A609,INDIRECT("'" &amp;Master!$F$10&amp; "'!$A$2:$A$50"),INDIRECT("'" &amp;Master!$F$10&amp; "'!$E$2:$E$50"))</f>
        <v>#VALUE!</v>
      </c>
      <c r="F609" s="4" t="e">
        <f ca="1">SplineInterp(A609,INDIRECT("'" &amp;Master!$F$10&amp; "'!$A$2:$A$50"),INDIRECT("'" &amp;Master!$F$10&amp; "'!$F$2:$F$50"))</f>
        <v>#VALUE!</v>
      </c>
      <c r="G609" s="4" t="e">
        <f ca="1">SplineInterp(A609,INDIRECT("'" &amp;Master!$F$10&amp; "'!$A$2:$A$50"),INDIRECT("'" &amp;Master!$F$10&amp; "'!$G$2:$G$50"))</f>
        <v>#VALUE!</v>
      </c>
      <c r="H609" s="4" t="e">
        <f ca="1">SplineInterp(A609,INDIRECT("'" &amp;Master!$F$10&amp; "'!$A$2:$A$50"),INDIRECT("'" &amp;Master!$F$10&amp; "'!$H$2:$H$50"))</f>
        <v>#VALUE!</v>
      </c>
      <c r="I609" s="4" t="e">
        <f ca="1">IF(OR(INDIRECT("'" &amp; Master!$F$8 &amp; Master!$F$6 &amp; "'!B" &amp; ROW(B609))="", INDIRECT("'" &amp; Master!$F$8 &amp; Master!$F$6 &amp; "'!B" &amp; ROW(B609))=0), "", INDIRECT("'" &amp; Master!$F$8 &amp; Master!$F$6 &amp; "'!B" &amp; ROW(B609)))</f>
        <v>#VALUE!</v>
      </c>
      <c r="J609" s="9" t="e">
        <f t="shared" ca="1" si="63"/>
        <v>#VALUE!</v>
      </c>
      <c r="K609" s="7" t="e">
        <f t="shared" ca="1" si="64"/>
        <v>#VALUE!</v>
      </c>
      <c r="L609" s="7" t="e">
        <f t="shared" ca="1" si="65"/>
        <v>#VALUE!</v>
      </c>
      <c r="M609" s="7" t="e">
        <f t="shared" ca="1" si="66"/>
        <v>#VALUE!</v>
      </c>
      <c r="N609" s="7" t="e">
        <f t="shared" ca="1" si="67"/>
        <v>#VALUE!</v>
      </c>
      <c r="O609" s="7" t="e">
        <f t="shared" ca="1" si="68"/>
        <v>#VALUE!</v>
      </c>
      <c r="P609" s="7" t="e">
        <f t="shared" ca="1" si="69"/>
        <v>#VALUE!</v>
      </c>
    </row>
    <row r="610" spans="1:16" x14ac:dyDescent="0.25">
      <c r="A610" s="19" t="str">
        <f ca="1">IF(OR(INDIRECT("'" &amp; Master!$F$8 &amp; Master!$F$6 &amp; "'!A" &amp; ROW(A610))="", INDIRECT("'" &amp; Master!$F$8 &amp; Master!$F$6 &amp; "'!A" &amp; ROW(A610))=0), "", INDIRECT("'" &amp; Master!$F$8 &amp; Master!$F$6 &amp; "'!A" &amp; ROW(A610)))</f>
        <v/>
      </c>
      <c r="B610" s="4" t="e">
        <f ca="1">SplineInterp(INDIRECT("A" &amp; ROW()),INDIRECT("'" &amp;Master!$F$10&amp; "'!$A$2:$A$50"),INDIRECT("'" &amp;Master!$F$10&amp; "'!$B$2:$B$50"))</f>
        <v>#VALUE!</v>
      </c>
      <c r="C610" s="4" t="e">
        <f ca="1">SplineInterp(A610,INDIRECT("'" &amp;Master!$F$10&amp; "'!$A$2:$A$50"),INDIRECT("'" &amp;Master!$F$10&amp; "'!$C$2:$C$50"))</f>
        <v>#VALUE!</v>
      </c>
      <c r="D610" s="4" t="e">
        <f ca="1">SplineInterp(A610,INDIRECT("'" &amp;Master!$F$10&amp; "'!$A$2:$A$50"),INDIRECT("'" &amp;Master!$F$10&amp; "'!$D$2:$D$50"))</f>
        <v>#VALUE!</v>
      </c>
      <c r="E610" s="4" t="e">
        <f ca="1">SplineInterp(A610,INDIRECT("'" &amp;Master!$F$10&amp; "'!$A$2:$A$50"),INDIRECT("'" &amp;Master!$F$10&amp; "'!$E$2:$E$50"))</f>
        <v>#VALUE!</v>
      </c>
      <c r="F610" s="4" t="e">
        <f ca="1">SplineInterp(A610,INDIRECT("'" &amp;Master!$F$10&amp; "'!$A$2:$A$50"),INDIRECT("'" &amp;Master!$F$10&amp; "'!$F$2:$F$50"))</f>
        <v>#VALUE!</v>
      </c>
      <c r="G610" s="4" t="e">
        <f ca="1">SplineInterp(A610,INDIRECT("'" &amp;Master!$F$10&amp; "'!$A$2:$A$50"),INDIRECT("'" &amp;Master!$F$10&amp; "'!$G$2:$G$50"))</f>
        <v>#VALUE!</v>
      </c>
      <c r="H610" s="4" t="e">
        <f ca="1">SplineInterp(A610,INDIRECT("'" &amp;Master!$F$10&amp; "'!$A$2:$A$50"),INDIRECT("'" &amp;Master!$F$10&amp; "'!$H$2:$H$50"))</f>
        <v>#VALUE!</v>
      </c>
      <c r="I610" s="4" t="e">
        <f ca="1">IF(OR(INDIRECT("'" &amp; Master!$F$8 &amp; Master!$F$6 &amp; "'!B" &amp; ROW(B610))="", INDIRECT("'" &amp; Master!$F$8 &amp; Master!$F$6 &amp; "'!B" &amp; ROW(B610))=0), "", INDIRECT("'" &amp; Master!$F$8 &amp; Master!$F$6 &amp; "'!B" &amp; ROW(B610)))</f>
        <v>#VALUE!</v>
      </c>
      <c r="J610" s="9" t="e">
        <f t="shared" ca="1" si="63"/>
        <v>#VALUE!</v>
      </c>
      <c r="K610" s="7" t="e">
        <f t="shared" ca="1" si="64"/>
        <v>#VALUE!</v>
      </c>
      <c r="L610" s="7" t="e">
        <f t="shared" ca="1" si="65"/>
        <v>#VALUE!</v>
      </c>
      <c r="M610" s="7" t="e">
        <f t="shared" ca="1" si="66"/>
        <v>#VALUE!</v>
      </c>
      <c r="N610" s="7" t="e">
        <f t="shared" ca="1" si="67"/>
        <v>#VALUE!</v>
      </c>
      <c r="O610" s="7" t="e">
        <f t="shared" ca="1" si="68"/>
        <v>#VALUE!</v>
      </c>
      <c r="P610" s="7" t="e">
        <f t="shared" ca="1" si="69"/>
        <v>#VALUE!</v>
      </c>
    </row>
    <row r="611" spans="1:16" x14ac:dyDescent="0.25">
      <c r="A611" s="19" t="str">
        <f ca="1">IF(OR(INDIRECT("'" &amp; Master!$F$8 &amp; Master!$F$6 &amp; "'!A" &amp; ROW(A611))="", INDIRECT("'" &amp; Master!$F$8 &amp; Master!$F$6 &amp; "'!A" &amp; ROW(A611))=0), "", INDIRECT("'" &amp; Master!$F$8 &amp; Master!$F$6 &amp; "'!A" &amp; ROW(A611)))</f>
        <v/>
      </c>
      <c r="B611" s="4" t="e">
        <f ca="1">SplineInterp(INDIRECT("A" &amp; ROW()),INDIRECT("'" &amp;Master!$F$10&amp; "'!$A$2:$A$50"),INDIRECT("'" &amp;Master!$F$10&amp; "'!$B$2:$B$50"))</f>
        <v>#VALUE!</v>
      </c>
      <c r="C611" s="4" t="e">
        <f ca="1">SplineInterp(A611,INDIRECT("'" &amp;Master!$F$10&amp; "'!$A$2:$A$50"),INDIRECT("'" &amp;Master!$F$10&amp; "'!$C$2:$C$50"))</f>
        <v>#VALUE!</v>
      </c>
      <c r="D611" s="4" t="e">
        <f ca="1">SplineInterp(A611,INDIRECT("'" &amp;Master!$F$10&amp; "'!$A$2:$A$50"),INDIRECT("'" &amp;Master!$F$10&amp; "'!$D$2:$D$50"))</f>
        <v>#VALUE!</v>
      </c>
      <c r="E611" s="4" t="e">
        <f ca="1">SplineInterp(A611,INDIRECT("'" &amp;Master!$F$10&amp; "'!$A$2:$A$50"),INDIRECT("'" &amp;Master!$F$10&amp; "'!$E$2:$E$50"))</f>
        <v>#VALUE!</v>
      </c>
      <c r="F611" s="4" t="e">
        <f ca="1">SplineInterp(A611,INDIRECT("'" &amp;Master!$F$10&amp; "'!$A$2:$A$50"),INDIRECT("'" &amp;Master!$F$10&amp; "'!$F$2:$F$50"))</f>
        <v>#VALUE!</v>
      </c>
      <c r="G611" s="4" t="e">
        <f ca="1">SplineInterp(A611,INDIRECT("'" &amp;Master!$F$10&amp; "'!$A$2:$A$50"),INDIRECT("'" &amp;Master!$F$10&amp; "'!$G$2:$G$50"))</f>
        <v>#VALUE!</v>
      </c>
      <c r="H611" s="4" t="e">
        <f ca="1">SplineInterp(A611,INDIRECT("'" &amp;Master!$F$10&amp; "'!$A$2:$A$50"),INDIRECT("'" &amp;Master!$F$10&amp; "'!$H$2:$H$50"))</f>
        <v>#VALUE!</v>
      </c>
      <c r="I611" s="4" t="e">
        <f ca="1">IF(OR(INDIRECT("'" &amp; Master!$F$8 &amp; Master!$F$6 &amp; "'!B" &amp; ROW(B611))="", INDIRECT("'" &amp; Master!$F$8 &amp; Master!$F$6 &amp; "'!B" &amp; ROW(B611))=0), "", INDIRECT("'" &amp; Master!$F$8 &amp; Master!$F$6 &amp; "'!B" &amp; ROW(B611)))</f>
        <v>#VALUE!</v>
      </c>
      <c r="J611" s="9" t="e">
        <f t="shared" ca="1" si="63"/>
        <v>#VALUE!</v>
      </c>
      <c r="K611" s="7" t="e">
        <f t="shared" ca="1" si="64"/>
        <v>#VALUE!</v>
      </c>
      <c r="L611" s="7" t="e">
        <f t="shared" ca="1" si="65"/>
        <v>#VALUE!</v>
      </c>
      <c r="M611" s="7" t="e">
        <f t="shared" ca="1" si="66"/>
        <v>#VALUE!</v>
      </c>
      <c r="N611" s="7" t="e">
        <f t="shared" ca="1" si="67"/>
        <v>#VALUE!</v>
      </c>
      <c r="O611" s="7" t="e">
        <f t="shared" ca="1" si="68"/>
        <v>#VALUE!</v>
      </c>
      <c r="P611" s="7" t="e">
        <f t="shared" ca="1" si="69"/>
        <v>#VALUE!</v>
      </c>
    </row>
    <row r="612" spans="1:16" x14ac:dyDescent="0.25">
      <c r="A612" s="19" t="str">
        <f ca="1">IF(OR(INDIRECT("'" &amp; Master!$F$8 &amp; Master!$F$6 &amp; "'!A" &amp; ROW(A612))="", INDIRECT("'" &amp; Master!$F$8 &amp; Master!$F$6 &amp; "'!A" &amp; ROW(A612))=0), "", INDIRECT("'" &amp; Master!$F$8 &amp; Master!$F$6 &amp; "'!A" &amp; ROW(A612)))</f>
        <v/>
      </c>
      <c r="B612" s="4" t="e">
        <f ca="1">SplineInterp(INDIRECT("A" &amp; ROW()),INDIRECT("'" &amp;Master!$F$10&amp; "'!$A$2:$A$50"),INDIRECT("'" &amp;Master!$F$10&amp; "'!$B$2:$B$50"))</f>
        <v>#VALUE!</v>
      </c>
      <c r="C612" s="4" t="e">
        <f ca="1">SplineInterp(A612,INDIRECT("'" &amp;Master!$F$10&amp; "'!$A$2:$A$50"),INDIRECT("'" &amp;Master!$F$10&amp; "'!$C$2:$C$50"))</f>
        <v>#VALUE!</v>
      </c>
      <c r="D612" s="4" t="e">
        <f ca="1">SplineInterp(A612,INDIRECT("'" &amp;Master!$F$10&amp; "'!$A$2:$A$50"),INDIRECT("'" &amp;Master!$F$10&amp; "'!$D$2:$D$50"))</f>
        <v>#VALUE!</v>
      </c>
      <c r="E612" s="4" t="e">
        <f ca="1">SplineInterp(A612,INDIRECT("'" &amp;Master!$F$10&amp; "'!$A$2:$A$50"),INDIRECT("'" &amp;Master!$F$10&amp; "'!$E$2:$E$50"))</f>
        <v>#VALUE!</v>
      </c>
      <c r="F612" s="4" t="e">
        <f ca="1">SplineInterp(A612,INDIRECT("'" &amp;Master!$F$10&amp; "'!$A$2:$A$50"),INDIRECT("'" &amp;Master!$F$10&amp; "'!$F$2:$F$50"))</f>
        <v>#VALUE!</v>
      </c>
      <c r="G612" s="4" t="e">
        <f ca="1">SplineInterp(A612,INDIRECT("'" &amp;Master!$F$10&amp; "'!$A$2:$A$50"),INDIRECT("'" &amp;Master!$F$10&amp; "'!$G$2:$G$50"))</f>
        <v>#VALUE!</v>
      </c>
      <c r="H612" s="4" t="e">
        <f ca="1">SplineInterp(A612,INDIRECT("'" &amp;Master!$F$10&amp; "'!$A$2:$A$50"),INDIRECT("'" &amp;Master!$F$10&amp; "'!$H$2:$H$50"))</f>
        <v>#VALUE!</v>
      </c>
      <c r="I612" s="4" t="e">
        <f ca="1">IF(OR(INDIRECT("'" &amp; Master!$F$8 &amp; Master!$F$6 &amp; "'!B" &amp; ROW(B612))="", INDIRECT("'" &amp; Master!$F$8 &amp; Master!$F$6 &amp; "'!B" &amp; ROW(B612))=0), "", INDIRECT("'" &amp; Master!$F$8 &amp; Master!$F$6 &amp; "'!B" &amp; ROW(B612)))</f>
        <v>#VALUE!</v>
      </c>
      <c r="J612" s="9" t="e">
        <f t="shared" ca="1" si="63"/>
        <v>#VALUE!</v>
      </c>
      <c r="K612" s="7" t="e">
        <f t="shared" ca="1" si="64"/>
        <v>#VALUE!</v>
      </c>
      <c r="L612" s="7" t="e">
        <f t="shared" ca="1" si="65"/>
        <v>#VALUE!</v>
      </c>
      <c r="M612" s="7" t="e">
        <f t="shared" ca="1" si="66"/>
        <v>#VALUE!</v>
      </c>
      <c r="N612" s="7" t="e">
        <f t="shared" ca="1" si="67"/>
        <v>#VALUE!</v>
      </c>
      <c r="O612" s="7" t="e">
        <f t="shared" ca="1" si="68"/>
        <v>#VALUE!</v>
      </c>
      <c r="P612" s="7" t="e">
        <f t="shared" ca="1" si="69"/>
        <v>#VALUE!</v>
      </c>
    </row>
    <row r="613" spans="1:16" x14ac:dyDescent="0.25">
      <c r="A613" s="19" t="str">
        <f ca="1">IF(OR(INDIRECT("'" &amp; Master!$F$8 &amp; Master!$F$6 &amp; "'!A" &amp; ROW(A613))="", INDIRECT("'" &amp; Master!$F$8 &amp; Master!$F$6 &amp; "'!A" &amp; ROW(A613))=0), "", INDIRECT("'" &amp; Master!$F$8 &amp; Master!$F$6 &amp; "'!A" &amp; ROW(A613)))</f>
        <v/>
      </c>
      <c r="B613" s="4" t="e">
        <f ca="1">SplineInterp(INDIRECT("A" &amp; ROW()),INDIRECT("'" &amp;Master!$F$10&amp; "'!$A$2:$A$50"),INDIRECT("'" &amp;Master!$F$10&amp; "'!$B$2:$B$50"))</f>
        <v>#VALUE!</v>
      </c>
      <c r="C613" s="4" t="e">
        <f ca="1">SplineInterp(A613,INDIRECT("'" &amp;Master!$F$10&amp; "'!$A$2:$A$50"),INDIRECT("'" &amp;Master!$F$10&amp; "'!$C$2:$C$50"))</f>
        <v>#VALUE!</v>
      </c>
      <c r="D613" s="4" t="e">
        <f ca="1">SplineInterp(A613,INDIRECT("'" &amp;Master!$F$10&amp; "'!$A$2:$A$50"),INDIRECT("'" &amp;Master!$F$10&amp; "'!$D$2:$D$50"))</f>
        <v>#VALUE!</v>
      </c>
      <c r="E613" s="4" t="e">
        <f ca="1">SplineInterp(A613,INDIRECT("'" &amp;Master!$F$10&amp; "'!$A$2:$A$50"),INDIRECT("'" &amp;Master!$F$10&amp; "'!$E$2:$E$50"))</f>
        <v>#VALUE!</v>
      </c>
      <c r="F613" s="4" t="e">
        <f ca="1">SplineInterp(A613,INDIRECT("'" &amp;Master!$F$10&amp; "'!$A$2:$A$50"),INDIRECT("'" &amp;Master!$F$10&amp; "'!$F$2:$F$50"))</f>
        <v>#VALUE!</v>
      </c>
      <c r="G613" s="4" t="e">
        <f ca="1">SplineInterp(A613,INDIRECT("'" &amp;Master!$F$10&amp; "'!$A$2:$A$50"),INDIRECT("'" &amp;Master!$F$10&amp; "'!$G$2:$G$50"))</f>
        <v>#VALUE!</v>
      </c>
      <c r="H613" s="4" t="e">
        <f ca="1">SplineInterp(A613,INDIRECT("'" &amp;Master!$F$10&amp; "'!$A$2:$A$50"),INDIRECT("'" &amp;Master!$F$10&amp; "'!$H$2:$H$50"))</f>
        <v>#VALUE!</v>
      </c>
      <c r="I613" s="4" t="e">
        <f ca="1">IF(OR(INDIRECT("'" &amp; Master!$F$8 &amp; Master!$F$6 &amp; "'!B" &amp; ROW(B613))="", INDIRECT("'" &amp; Master!$F$8 &amp; Master!$F$6 &amp; "'!B" &amp; ROW(B613))=0), "", INDIRECT("'" &amp; Master!$F$8 &amp; Master!$F$6 &amp; "'!B" &amp; ROW(B613)))</f>
        <v>#VALUE!</v>
      </c>
      <c r="J613" s="9" t="e">
        <f t="shared" ca="1" si="63"/>
        <v>#VALUE!</v>
      </c>
      <c r="K613" s="7" t="e">
        <f t="shared" ca="1" si="64"/>
        <v>#VALUE!</v>
      </c>
      <c r="L613" s="7" t="e">
        <f t="shared" ca="1" si="65"/>
        <v>#VALUE!</v>
      </c>
      <c r="M613" s="7" t="e">
        <f t="shared" ca="1" si="66"/>
        <v>#VALUE!</v>
      </c>
      <c r="N613" s="7" t="e">
        <f t="shared" ca="1" si="67"/>
        <v>#VALUE!</v>
      </c>
      <c r="O613" s="7" t="e">
        <f t="shared" ca="1" si="68"/>
        <v>#VALUE!</v>
      </c>
      <c r="P613" s="7" t="e">
        <f t="shared" ca="1" si="69"/>
        <v>#VALUE!</v>
      </c>
    </row>
    <row r="614" spans="1:16" x14ac:dyDescent="0.25">
      <c r="A614" s="19" t="str">
        <f ca="1">IF(OR(INDIRECT("'" &amp; Master!$F$8 &amp; Master!$F$6 &amp; "'!A" &amp; ROW(A614))="", INDIRECT("'" &amp; Master!$F$8 &amp; Master!$F$6 &amp; "'!A" &amp; ROW(A614))=0), "", INDIRECT("'" &amp; Master!$F$8 &amp; Master!$F$6 &amp; "'!A" &amp; ROW(A614)))</f>
        <v/>
      </c>
      <c r="B614" s="4" t="e">
        <f ca="1">SplineInterp(INDIRECT("A" &amp; ROW()),INDIRECT("'" &amp;Master!$F$10&amp; "'!$A$2:$A$50"),INDIRECT("'" &amp;Master!$F$10&amp; "'!$B$2:$B$50"))</f>
        <v>#VALUE!</v>
      </c>
      <c r="C614" s="4" t="e">
        <f ca="1">SplineInterp(A614,INDIRECT("'" &amp;Master!$F$10&amp; "'!$A$2:$A$50"),INDIRECT("'" &amp;Master!$F$10&amp; "'!$C$2:$C$50"))</f>
        <v>#VALUE!</v>
      </c>
      <c r="D614" s="4" t="e">
        <f ca="1">SplineInterp(A614,INDIRECT("'" &amp;Master!$F$10&amp; "'!$A$2:$A$50"),INDIRECT("'" &amp;Master!$F$10&amp; "'!$D$2:$D$50"))</f>
        <v>#VALUE!</v>
      </c>
      <c r="E614" s="4" t="e">
        <f ca="1">SplineInterp(A614,INDIRECT("'" &amp;Master!$F$10&amp; "'!$A$2:$A$50"),INDIRECT("'" &amp;Master!$F$10&amp; "'!$E$2:$E$50"))</f>
        <v>#VALUE!</v>
      </c>
      <c r="F614" s="4" t="e">
        <f ca="1">SplineInterp(A614,INDIRECT("'" &amp;Master!$F$10&amp; "'!$A$2:$A$50"),INDIRECT("'" &amp;Master!$F$10&amp; "'!$F$2:$F$50"))</f>
        <v>#VALUE!</v>
      </c>
      <c r="G614" s="4" t="e">
        <f ca="1">SplineInterp(A614,INDIRECT("'" &amp;Master!$F$10&amp; "'!$A$2:$A$50"),INDIRECT("'" &amp;Master!$F$10&amp; "'!$G$2:$G$50"))</f>
        <v>#VALUE!</v>
      </c>
      <c r="H614" s="4" t="e">
        <f ca="1">SplineInterp(A614,INDIRECT("'" &amp;Master!$F$10&amp; "'!$A$2:$A$50"),INDIRECT("'" &amp;Master!$F$10&amp; "'!$H$2:$H$50"))</f>
        <v>#VALUE!</v>
      </c>
      <c r="I614" s="4" t="e">
        <f ca="1">IF(OR(INDIRECT("'" &amp; Master!$F$8 &amp; Master!$F$6 &amp; "'!B" &amp; ROW(B614))="", INDIRECT("'" &amp; Master!$F$8 &amp; Master!$F$6 &amp; "'!B" &amp; ROW(B614))=0), "", INDIRECT("'" &amp; Master!$F$8 &amp; Master!$F$6 &amp; "'!B" &amp; ROW(B614)))</f>
        <v>#VALUE!</v>
      </c>
      <c r="J614" s="9" t="e">
        <f t="shared" ca="1" si="63"/>
        <v>#VALUE!</v>
      </c>
      <c r="K614" s="7" t="e">
        <f t="shared" ca="1" si="64"/>
        <v>#VALUE!</v>
      </c>
      <c r="L614" s="7" t="e">
        <f t="shared" ca="1" si="65"/>
        <v>#VALUE!</v>
      </c>
      <c r="M614" s="7" t="e">
        <f t="shared" ca="1" si="66"/>
        <v>#VALUE!</v>
      </c>
      <c r="N614" s="7" t="e">
        <f t="shared" ca="1" si="67"/>
        <v>#VALUE!</v>
      </c>
      <c r="O614" s="7" t="e">
        <f t="shared" ca="1" si="68"/>
        <v>#VALUE!</v>
      </c>
      <c r="P614" s="7" t="e">
        <f t="shared" ca="1" si="69"/>
        <v>#VALUE!</v>
      </c>
    </row>
    <row r="615" spans="1:16" x14ac:dyDescent="0.25">
      <c r="A615" s="19" t="str">
        <f ca="1">IF(OR(INDIRECT("'" &amp; Master!$F$8 &amp; Master!$F$6 &amp; "'!A" &amp; ROW(A615))="", INDIRECT("'" &amp; Master!$F$8 &amp; Master!$F$6 &amp; "'!A" &amp; ROW(A615))=0), "", INDIRECT("'" &amp; Master!$F$8 &amp; Master!$F$6 &amp; "'!A" &amp; ROW(A615)))</f>
        <v/>
      </c>
      <c r="B615" s="4" t="e">
        <f ca="1">SplineInterp(INDIRECT("A" &amp; ROW()),INDIRECT("'" &amp;Master!$F$10&amp; "'!$A$2:$A$50"),INDIRECT("'" &amp;Master!$F$10&amp; "'!$B$2:$B$50"))</f>
        <v>#VALUE!</v>
      </c>
      <c r="C615" s="4" t="e">
        <f ca="1">SplineInterp(A615,INDIRECT("'" &amp;Master!$F$10&amp; "'!$A$2:$A$50"),INDIRECT("'" &amp;Master!$F$10&amp; "'!$C$2:$C$50"))</f>
        <v>#VALUE!</v>
      </c>
      <c r="D615" s="4" t="e">
        <f ca="1">SplineInterp(A615,INDIRECT("'" &amp;Master!$F$10&amp; "'!$A$2:$A$50"),INDIRECT("'" &amp;Master!$F$10&amp; "'!$D$2:$D$50"))</f>
        <v>#VALUE!</v>
      </c>
      <c r="E615" s="4" t="e">
        <f ca="1">SplineInterp(A615,INDIRECT("'" &amp;Master!$F$10&amp; "'!$A$2:$A$50"),INDIRECT("'" &amp;Master!$F$10&amp; "'!$E$2:$E$50"))</f>
        <v>#VALUE!</v>
      </c>
      <c r="F615" s="4" t="e">
        <f ca="1">SplineInterp(A615,INDIRECT("'" &amp;Master!$F$10&amp; "'!$A$2:$A$50"),INDIRECT("'" &amp;Master!$F$10&amp; "'!$F$2:$F$50"))</f>
        <v>#VALUE!</v>
      </c>
      <c r="G615" s="4" t="e">
        <f ca="1">SplineInterp(A615,INDIRECT("'" &amp;Master!$F$10&amp; "'!$A$2:$A$50"),INDIRECT("'" &amp;Master!$F$10&amp; "'!$G$2:$G$50"))</f>
        <v>#VALUE!</v>
      </c>
      <c r="H615" s="4" t="e">
        <f ca="1">SplineInterp(A615,INDIRECT("'" &amp;Master!$F$10&amp; "'!$A$2:$A$50"),INDIRECT("'" &amp;Master!$F$10&amp; "'!$H$2:$H$50"))</f>
        <v>#VALUE!</v>
      </c>
      <c r="I615" s="4" t="e">
        <f ca="1">IF(OR(INDIRECT("'" &amp; Master!$F$8 &amp; Master!$F$6 &amp; "'!B" &amp; ROW(B615))="", INDIRECT("'" &amp; Master!$F$8 &amp; Master!$F$6 &amp; "'!B" &amp; ROW(B615))=0), "", INDIRECT("'" &amp; Master!$F$8 &amp; Master!$F$6 &amp; "'!B" &amp; ROW(B615)))</f>
        <v>#VALUE!</v>
      </c>
      <c r="J615" s="9" t="e">
        <f t="shared" ca="1" si="63"/>
        <v>#VALUE!</v>
      </c>
      <c r="K615" s="7" t="e">
        <f t="shared" ca="1" si="64"/>
        <v>#VALUE!</v>
      </c>
      <c r="L615" s="7" t="e">
        <f t="shared" ca="1" si="65"/>
        <v>#VALUE!</v>
      </c>
      <c r="M615" s="7" t="e">
        <f t="shared" ca="1" si="66"/>
        <v>#VALUE!</v>
      </c>
      <c r="N615" s="7" t="e">
        <f t="shared" ca="1" si="67"/>
        <v>#VALUE!</v>
      </c>
      <c r="O615" s="7" t="e">
        <f t="shared" ca="1" si="68"/>
        <v>#VALUE!</v>
      </c>
      <c r="P615" s="7" t="e">
        <f t="shared" ca="1" si="69"/>
        <v>#VALUE!</v>
      </c>
    </row>
    <row r="616" spans="1:16" x14ac:dyDescent="0.25">
      <c r="A616" s="19" t="str">
        <f ca="1">IF(OR(INDIRECT("'" &amp; Master!$F$8 &amp; Master!$F$6 &amp; "'!A" &amp; ROW(A616))="", INDIRECT("'" &amp; Master!$F$8 &amp; Master!$F$6 &amp; "'!A" &amp; ROW(A616))=0), "", INDIRECT("'" &amp; Master!$F$8 &amp; Master!$F$6 &amp; "'!A" &amp; ROW(A616)))</f>
        <v/>
      </c>
      <c r="B616" s="4" t="e">
        <f ca="1">SplineInterp(INDIRECT("A" &amp; ROW()),INDIRECT("'" &amp;Master!$F$10&amp; "'!$A$2:$A$50"),INDIRECT("'" &amp;Master!$F$10&amp; "'!$B$2:$B$50"))</f>
        <v>#VALUE!</v>
      </c>
      <c r="C616" s="4" t="e">
        <f ca="1">SplineInterp(A616,INDIRECT("'" &amp;Master!$F$10&amp; "'!$A$2:$A$50"),INDIRECT("'" &amp;Master!$F$10&amp; "'!$C$2:$C$50"))</f>
        <v>#VALUE!</v>
      </c>
      <c r="D616" s="4" t="e">
        <f ca="1">SplineInterp(A616,INDIRECT("'" &amp;Master!$F$10&amp; "'!$A$2:$A$50"),INDIRECT("'" &amp;Master!$F$10&amp; "'!$D$2:$D$50"))</f>
        <v>#VALUE!</v>
      </c>
      <c r="E616" s="4" t="e">
        <f ca="1">SplineInterp(A616,INDIRECT("'" &amp;Master!$F$10&amp; "'!$A$2:$A$50"),INDIRECT("'" &amp;Master!$F$10&amp; "'!$E$2:$E$50"))</f>
        <v>#VALUE!</v>
      </c>
      <c r="F616" s="4" t="e">
        <f ca="1">SplineInterp(A616,INDIRECT("'" &amp;Master!$F$10&amp; "'!$A$2:$A$50"),INDIRECT("'" &amp;Master!$F$10&amp; "'!$F$2:$F$50"))</f>
        <v>#VALUE!</v>
      </c>
      <c r="G616" s="4" t="e">
        <f ca="1">SplineInterp(A616,INDIRECT("'" &amp;Master!$F$10&amp; "'!$A$2:$A$50"),INDIRECT("'" &amp;Master!$F$10&amp; "'!$G$2:$G$50"))</f>
        <v>#VALUE!</v>
      </c>
      <c r="H616" s="4" t="e">
        <f ca="1">SplineInterp(A616,INDIRECT("'" &amp;Master!$F$10&amp; "'!$A$2:$A$50"),INDIRECT("'" &amp;Master!$F$10&amp; "'!$H$2:$H$50"))</f>
        <v>#VALUE!</v>
      </c>
      <c r="I616" s="4" t="e">
        <f ca="1">IF(OR(INDIRECT("'" &amp; Master!$F$8 &amp; Master!$F$6 &amp; "'!B" &amp; ROW(B616))="", INDIRECT("'" &amp; Master!$F$8 &amp; Master!$F$6 &amp; "'!B" &amp; ROW(B616))=0), "", INDIRECT("'" &amp; Master!$F$8 &amp; Master!$F$6 &amp; "'!B" &amp; ROW(B616)))</f>
        <v>#VALUE!</v>
      </c>
      <c r="J616" s="9" t="e">
        <f t="shared" ca="1" si="63"/>
        <v>#VALUE!</v>
      </c>
      <c r="K616" s="7" t="e">
        <f t="shared" ca="1" si="64"/>
        <v>#VALUE!</v>
      </c>
      <c r="L616" s="7" t="e">
        <f t="shared" ca="1" si="65"/>
        <v>#VALUE!</v>
      </c>
      <c r="M616" s="7" t="e">
        <f t="shared" ca="1" si="66"/>
        <v>#VALUE!</v>
      </c>
      <c r="N616" s="7" t="e">
        <f t="shared" ca="1" si="67"/>
        <v>#VALUE!</v>
      </c>
      <c r="O616" s="7" t="e">
        <f t="shared" ca="1" si="68"/>
        <v>#VALUE!</v>
      </c>
      <c r="P616" s="7" t="e">
        <f t="shared" ca="1" si="69"/>
        <v>#VALUE!</v>
      </c>
    </row>
    <row r="617" spans="1:16" x14ac:dyDescent="0.25">
      <c r="A617" s="19" t="str">
        <f ca="1">IF(OR(INDIRECT("'" &amp; Master!$F$8 &amp; Master!$F$6 &amp; "'!A" &amp; ROW(A617))="", INDIRECT("'" &amp; Master!$F$8 &amp; Master!$F$6 &amp; "'!A" &amp; ROW(A617))=0), "", INDIRECT("'" &amp; Master!$F$8 &amp; Master!$F$6 &amp; "'!A" &amp; ROW(A617)))</f>
        <v/>
      </c>
      <c r="B617" s="4" t="e">
        <f ca="1">SplineInterp(INDIRECT("A" &amp; ROW()),INDIRECT("'" &amp;Master!$F$10&amp; "'!$A$2:$A$50"),INDIRECT("'" &amp;Master!$F$10&amp; "'!$B$2:$B$50"))</f>
        <v>#VALUE!</v>
      </c>
      <c r="C617" s="4" t="e">
        <f ca="1">SplineInterp(A617,INDIRECT("'" &amp;Master!$F$10&amp; "'!$A$2:$A$50"),INDIRECT("'" &amp;Master!$F$10&amp; "'!$C$2:$C$50"))</f>
        <v>#VALUE!</v>
      </c>
      <c r="D617" s="4" t="e">
        <f ca="1">SplineInterp(A617,INDIRECT("'" &amp;Master!$F$10&amp; "'!$A$2:$A$50"),INDIRECT("'" &amp;Master!$F$10&amp; "'!$D$2:$D$50"))</f>
        <v>#VALUE!</v>
      </c>
      <c r="E617" s="4" t="e">
        <f ca="1">SplineInterp(A617,INDIRECT("'" &amp;Master!$F$10&amp; "'!$A$2:$A$50"),INDIRECT("'" &amp;Master!$F$10&amp; "'!$E$2:$E$50"))</f>
        <v>#VALUE!</v>
      </c>
      <c r="F617" s="4" t="e">
        <f ca="1">SplineInterp(A617,INDIRECT("'" &amp;Master!$F$10&amp; "'!$A$2:$A$50"),INDIRECT("'" &amp;Master!$F$10&amp; "'!$F$2:$F$50"))</f>
        <v>#VALUE!</v>
      </c>
      <c r="G617" s="4" t="e">
        <f ca="1">SplineInterp(A617,INDIRECT("'" &amp;Master!$F$10&amp; "'!$A$2:$A$50"),INDIRECT("'" &amp;Master!$F$10&amp; "'!$G$2:$G$50"))</f>
        <v>#VALUE!</v>
      </c>
      <c r="H617" s="4" t="e">
        <f ca="1">SplineInterp(A617,INDIRECT("'" &amp;Master!$F$10&amp; "'!$A$2:$A$50"),INDIRECT("'" &amp;Master!$F$10&amp; "'!$H$2:$H$50"))</f>
        <v>#VALUE!</v>
      </c>
      <c r="I617" s="4" t="e">
        <f ca="1">IF(OR(INDIRECT("'" &amp; Master!$F$8 &amp; Master!$F$6 &amp; "'!B" &amp; ROW(B617))="", INDIRECT("'" &amp; Master!$F$8 &amp; Master!$F$6 &amp; "'!B" &amp; ROW(B617))=0), "", INDIRECT("'" &amp; Master!$F$8 &amp; Master!$F$6 &amp; "'!B" &amp; ROW(B617)))</f>
        <v>#VALUE!</v>
      </c>
      <c r="J617" s="9" t="e">
        <f t="shared" ca="1" si="63"/>
        <v>#VALUE!</v>
      </c>
      <c r="K617" s="7" t="e">
        <f t="shared" ca="1" si="64"/>
        <v>#VALUE!</v>
      </c>
      <c r="L617" s="7" t="e">
        <f t="shared" ca="1" si="65"/>
        <v>#VALUE!</v>
      </c>
      <c r="M617" s="7" t="e">
        <f t="shared" ca="1" si="66"/>
        <v>#VALUE!</v>
      </c>
      <c r="N617" s="7" t="e">
        <f t="shared" ca="1" si="67"/>
        <v>#VALUE!</v>
      </c>
      <c r="O617" s="7" t="e">
        <f t="shared" ca="1" si="68"/>
        <v>#VALUE!</v>
      </c>
      <c r="P617" s="7" t="e">
        <f t="shared" ca="1" si="69"/>
        <v>#VALUE!</v>
      </c>
    </row>
    <row r="618" spans="1:16" x14ac:dyDescent="0.25">
      <c r="A618" s="19" t="str">
        <f ca="1">IF(OR(INDIRECT("'" &amp; Master!$F$8 &amp; Master!$F$6 &amp; "'!A" &amp; ROW(A618))="", INDIRECT("'" &amp; Master!$F$8 &amp; Master!$F$6 &amp; "'!A" &amp; ROW(A618))=0), "", INDIRECT("'" &amp; Master!$F$8 &amp; Master!$F$6 &amp; "'!A" &amp; ROW(A618)))</f>
        <v/>
      </c>
      <c r="B618" s="4" t="e">
        <f ca="1">SplineInterp(INDIRECT("A" &amp; ROW()),INDIRECT("'" &amp;Master!$F$10&amp; "'!$A$2:$A$50"),INDIRECT("'" &amp;Master!$F$10&amp; "'!$B$2:$B$50"))</f>
        <v>#VALUE!</v>
      </c>
      <c r="C618" s="4" t="e">
        <f ca="1">SplineInterp(A618,INDIRECT("'" &amp;Master!$F$10&amp; "'!$A$2:$A$50"),INDIRECT("'" &amp;Master!$F$10&amp; "'!$C$2:$C$50"))</f>
        <v>#VALUE!</v>
      </c>
      <c r="D618" s="4" t="e">
        <f ca="1">SplineInterp(A618,INDIRECT("'" &amp;Master!$F$10&amp; "'!$A$2:$A$50"),INDIRECT("'" &amp;Master!$F$10&amp; "'!$D$2:$D$50"))</f>
        <v>#VALUE!</v>
      </c>
      <c r="E618" s="4" t="e">
        <f ca="1">SplineInterp(A618,INDIRECT("'" &amp;Master!$F$10&amp; "'!$A$2:$A$50"),INDIRECT("'" &amp;Master!$F$10&amp; "'!$E$2:$E$50"))</f>
        <v>#VALUE!</v>
      </c>
      <c r="F618" s="4" t="e">
        <f ca="1">SplineInterp(A618,INDIRECT("'" &amp;Master!$F$10&amp; "'!$A$2:$A$50"),INDIRECT("'" &amp;Master!$F$10&amp; "'!$F$2:$F$50"))</f>
        <v>#VALUE!</v>
      </c>
      <c r="G618" s="4" t="e">
        <f ca="1">SplineInterp(A618,INDIRECT("'" &amp;Master!$F$10&amp; "'!$A$2:$A$50"),INDIRECT("'" &amp;Master!$F$10&amp; "'!$G$2:$G$50"))</f>
        <v>#VALUE!</v>
      </c>
      <c r="H618" s="4" t="e">
        <f ca="1">SplineInterp(A618,INDIRECT("'" &amp;Master!$F$10&amp; "'!$A$2:$A$50"),INDIRECT("'" &amp;Master!$F$10&amp; "'!$H$2:$H$50"))</f>
        <v>#VALUE!</v>
      </c>
      <c r="I618" s="4" t="e">
        <f ca="1">IF(OR(INDIRECT("'" &amp; Master!$F$8 &amp; Master!$F$6 &amp; "'!B" &amp; ROW(B618))="", INDIRECT("'" &amp; Master!$F$8 &amp; Master!$F$6 &amp; "'!B" &amp; ROW(B618))=0), "", INDIRECT("'" &amp; Master!$F$8 &amp; Master!$F$6 &amp; "'!B" &amp; ROW(B618)))</f>
        <v>#VALUE!</v>
      </c>
      <c r="J618" s="9" t="e">
        <f t="shared" ca="1" si="63"/>
        <v>#VALUE!</v>
      </c>
      <c r="K618" s="7" t="e">
        <f t="shared" ca="1" si="64"/>
        <v>#VALUE!</v>
      </c>
      <c r="L618" s="7" t="e">
        <f t="shared" ca="1" si="65"/>
        <v>#VALUE!</v>
      </c>
      <c r="M618" s="7" t="e">
        <f t="shared" ca="1" si="66"/>
        <v>#VALUE!</v>
      </c>
      <c r="N618" s="7" t="e">
        <f t="shared" ca="1" si="67"/>
        <v>#VALUE!</v>
      </c>
      <c r="O618" s="7" t="e">
        <f t="shared" ca="1" si="68"/>
        <v>#VALUE!</v>
      </c>
      <c r="P618" s="7" t="e">
        <f t="shared" ca="1" si="69"/>
        <v>#VALUE!</v>
      </c>
    </row>
    <row r="619" spans="1:16" x14ac:dyDescent="0.25">
      <c r="A619" s="19" t="str">
        <f ca="1">IF(OR(INDIRECT("'" &amp; Master!$F$8 &amp; Master!$F$6 &amp; "'!A" &amp; ROW(A619))="", INDIRECT("'" &amp; Master!$F$8 &amp; Master!$F$6 &amp; "'!A" &amp; ROW(A619))=0), "", INDIRECT("'" &amp; Master!$F$8 &amp; Master!$F$6 &amp; "'!A" &amp; ROW(A619)))</f>
        <v/>
      </c>
      <c r="B619" s="4" t="e">
        <f ca="1">SplineInterp(INDIRECT("A" &amp; ROW()),INDIRECT("'" &amp;Master!$F$10&amp; "'!$A$2:$A$50"),INDIRECT("'" &amp;Master!$F$10&amp; "'!$B$2:$B$50"))</f>
        <v>#VALUE!</v>
      </c>
      <c r="C619" s="4" t="e">
        <f ca="1">SplineInterp(A619,INDIRECT("'" &amp;Master!$F$10&amp; "'!$A$2:$A$50"),INDIRECT("'" &amp;Master!$F$10&amp; "'!$C$2:$C$50"))</f>
        <v>#VALUE!</v>
      </c>
      <c r="D619" s="4" t="e">
        <f ca="1">SplineInterp(A619,INDIRECT("'" &amp;Master!$F$10&amp; "'!$A$2:$A$50"),INDIRECT("'" &amp;Master!$F$10&amp; "'!$D$2:$D$50"))</f>
        <v>#VALUE!</v>
      </c>
      <c r="E619" s="4" t="e">
        <f ca="1">SplineInterp(A619,INDIRECT("'" &amp;Master!$F$10&amp; "'!$A$2:$A$50"),INDIRECT("'" &amp;Master!$F$10&amp; "'!$E$2:$E$50"))</f>
        <v>#VALUE!</v>
      </c>
      <c r="F619" s="4" t="e">
        <f ca="1">SplineInterp(A619,INDIRECT("'" &amp;Master!$F$10&amp; "'!$A$2:$A$50"),INDIRECT("'" &amp;Master!$F$10&amp; "'!$F$2:$F$50"))</f>
        <v>#VALUE!</v>
      </c>
      <c r="G619" s="4" t="e">
        <f ca="1">SplineInterp(A619,INDIRECT("'" &amp;Master!$F$10&amp; "'!$A$2:$A$50"),INDIRECT("'" &amp;Master!$F$10&amp; "'!$G$2:$G$50"))</f>
        <v>#VALUE!</v>
      </c>
      <c r="H619" s="4" t="e">
        <f ca="1">SplineInterp(A619,INDIRECT("'" &amp;Master!$F$10&amp; "'!$A$2:$A$50"),INDIRECT("'" &amp;Master!$F$10&amp; "'!$H$2:$H$50"))</f>
        <v>#VALUE!</v>
      </c>
      <c r="I619" s="4" t="e">
        <f ca="1">IF(OR(INDIRECT("'" &amp; Master!$F$8 &amp; Master!$F$6 &amp; "'!B" &amp; ROW(B619))="", INDIRECT("'" &amp; Master!$F$8 &amp; Master!$F$6 &amp; "'!B" &amp; ROW(B619))=0), "", INDIRECT("'" &amp; Master!$F$8 &amp; Master!$F$6 &amp; "'!B" &amp; ROW(B619)))</f>
        <v>#VALUE!</v>
      </c>
      <c r="J619" s="9" t="e">
        <f t="shared" ca="1" si="63"/>
        <v>#VALUE!</v>
      </c>
      <c r="K619" s="7" t="e">
        <f t="shared" ca="1" si="64"/>
        <v>#VALUE!</v>
      </c>
      <c r="L619" s="7" t="e">
        <f t="shared" ca="1" si="65"/>
        <v>#VALUE!</v>
      </c>
      <c r="M619" s="7" t="e">
        <f t="shared" ca="1" si="66"/>
        <v>#VALUE!</v>
      </c>
      <c r="N619" s="7" t="e">
        <f t="shared" ca="1" si="67"/>
        <v>#VALUE!</v>
      </c>
      <c r="O619" s="7" t="e">
        <f t="shared" ca="1" si="68"/>
        <v>#VALUE!</v>
      </c>
      <c r="P619" s="7" t="e">
        <f t="shared" ca="1" si="69"/>
        <v>#VALUE!</v>
      </c>
    </row>
    <row r="620" spans="1:16" x14ac:dyDescent="0.25">
      <c r="A620" s="19" t="str">
        <f ca="1">IF(OR(INDIRECT("'" &amp; Master!$F$8 &amp; Master!$F$6 &amp; "'!A" &amp; ROW(A620))="", INDIRECT("'" &amp; Master!$F$8 &amp; Master!$F$6 &amp; "'!A" &amp; ROW(A620))=0), "", INDIRECT("'" &amp; Master!$F$8 &amp; Master!$F$6 &amp; "'!A" &amp; ROW(A620)))</f>
        <v/>
      </c>
      <c r="B620" s="4" t="e">
        <f ca="1">SplineInterp(INDIRECT("A" &amp; ROW()),INDIRECT("'" &amp;Master!$F$10&amp; "'!$A$2:$A$50"),INDIRECT("'" &amp;Master!$F$10&amp; "'!$B$2:$B$50"))</f>
        <v>#VALUE!</v>
      </c>
      <c r="C620" s="4" t="e">
        <f ca="1">SplineInterp(A620,INDIRECT("'" &amp;Master!$F$10&amp; "'!$A$2:$A$50"),INDIRECT("'" &amp;Master!$F$10&amp; "'!$C$2:$C$50"))</f>
        <v>#VALUE!</v>
      </c>
      <c r="D620" s="4" t="e">
        <f ca="1">SplineInterp(A620,INDIRECT("'" &amp;Master!$F$10&amp; "'!$A$2:$A$50"),INDIRECT("'" &amp;Master!$F$10&amp; "'!$D$2:$D$50"))</f>
        <v>#VALUE!</v>
      </c>
      <c r="E620" s="4" t="e">
        <f ca="1">SplineInterp(A620,INDIRECT("'" &amp;Master!$F$10&amp; "'!$A$2:$A$50"),INDIRECT("'" &amp;Master!$F$10&amp; "'!$E$2:$E$50"))</f>
        <v>#VALUE!</v>
      </c>
      <c r="F620" s="4" t="e">
        <f ca="1">SplineInterp(A620,INDIRECT("'" &amp;Master!$F$10&amp; "'!$A$2:$A$50"),INDIRECT("'" &amp;Master!$F$10&amp; "'!$F$2:$F$50"))</f>
        <v>#VALUE!</v>
      </c>
      <c r="G620" s="4" t="e">
        <f ca="1">SplineInterp(A620,INDIRECT("'" &amp;Master!$F$10&amp; "'!$A$2:$A$50"),INDIRECT("'" &amp;Master!$F$10&amp; "'!$G$2:$G$50"))</f>
        <v>#VALUE!</v>
      </c>
      <c r="H620" s="4" t="e">
        <f ca="1">SplineInterp(A620,INDIRECT("'" &amp;Master!$F$10&amp; "'!$A$2:$A$50"),INDIRECT("'" &amp;Master!$F$10&amp; "'!$H$2:$H$50"))</f>
        <v>#VALUE!</v>
      </c>
      <c r="I620" s="4" t="e">
        <f ca="1">IF(OR(INDIRECT("'" &amp; Master!$F$8 &amp; Master!$F$6 &amp; "'!B" &amp; ROW(B620))="", INDIRECT("'" &amp; Master!$F$8 &amp; Master!$F$6 &amp; "'!B" &amp; ROW(B620))=0), "", INDIRECT("'" &amp; Master!$F$8 &amp; Master!$F$6 &amp; "'!B" &amp; ROW(B620)))</f>
        <v>#VALUE!</v>
      </c>
      <c r="J620" s="9" t="e">
        <f t="shared" ca="1" si="63"/>
        <v>#VALUE!</v>
      </c>
      <c r="K620" s="7" t="e">
        <f t="shared" ca="1" si="64"/>
        <v>#VALUE!</v>
      </c>
      <c r="L620" s="7" t="e">
        <f t="shared" ca="1" si="65"/>
        <v>#VALUE!</v>
      </c>
      <c r="M620" s="7" t="e">
        <f t="shared" ca="1" si="66"/>
        <v>#VALUE!</v>
      </c>
      <c r="N620" s="7" t="e">
        <f t="shared" ca="1" si="67"/>
        <v>#VALUE!</v>
      </c>
      <c r="O620" s="7" t="e">
        <f t="shared" ca="1" si="68"/>
        <v>#VALUE!</v>
      </c>
      <c r="P620" s="7" t="e">
        <f t="shared" ca="1" si="69"/>
        <v>#VALUE!</v>
      </c>
    </row>
    <row r="621" spans="1:16" x14ac:dyDescent="0.25">
      <c r="A621" s="19" t="str">
        <f ca="1">IF(OR(INDIRECT("'" &amp; Master!$F$8 &amp; Master!$F$6 &amp; "'!A" &amp; ROW(A621))="", INDIRECT("'" &amp; Master!$F$8 &amp; Master!$F$6 &amp; "'!A" &amp; ROW(A621))=0), "", INDIRECT("'" &amp; Master!$F$8 &amp; Master!$F$6 &amp; "'!A" &amp; ROW(A621)))</f>
        <v/>
      </c>
      <c r="B621" s="4" t="e">
        <f ca="1">SplineInterp(INDIRECT("A" &amp; ROW()),INDIRECT("'" &amp;Master!$F$10&amp; "'!$A$2:$A$50"),INDIRECT("'" &amp;Master!$F$10&amp; "'!$B$2:$B$50"))</f>
        <v>#VALUE!</v>
      </c>
      <c r="C621" s="4" t="e">
        <f ca="1">SplineInterp(A621,INDIRECT("'" &amp;Master!$F$10&amp; "'!$A$2:$A$50"),INDIRECT("'" &amp;Master!$F$10&amp; "'!$C$2:$C$50"))</f>
        <v>#VALUE!</v>
      </c>
      <c r="D621" s="4" t="e">
        <f ca="1">SplineInterp(A621,INDIRECT("'" &amp;Master!$F$10&amp; "'!$A$2:$A$50"),INDIRECT("'" &amp;Master!$F$10&amp; "'!$D$2:$D$50"))</f>
        <v>#VALUE!</v>
      </c>
      <c r="E621" s="4" t="e">
        <f ca="1">SplineInterp(A621,INDIRECT("'" &amp;Master!$F$10&amp; "'!$A$2:$A$50"),INDIRECT("'" &amp;Master!$F$10&amp; "'!$E$2:$E$50"))</f>
        <v>#VALUE!</v>
      </c>
      <c r="F621" s="4" t="e">
        <f ca="1">SplineInterp(A621,INDIRECT("'" &amp;Master!$F$10&amp; "'!$A$2:$A$50"),INDIRECT("'" &amp;Master!$F$10&amp; "'!$F$2:$F$50"))</f>
        <v>#VALUE!</v>
      </c>
      <c r="G621" s="4" t="e">
        <f ca="1">SplineInterp(A621,INDIRECT("'" &amp;Master!$F$10&amp; "'!$A$2:$A$50"),INDIRECT("'" &amp;Master!$F$10&amp; "'!$G$2:$G$50"))</f>
        <v>#VALUE!</v>
      </c>
      <c r="H621" s="4" t="e">
        <f ca="1">SplineInterp(A621,INDIRECT("'" &amp;Master!$F$10&amp; "'!$A$2:$A$50"),INDIRECT("'" &amp;Master!$F$10&amp; "'!$H$2:$H$50"))</f>
        <v>#VALUE!</v>
      </c>
      <c r="I621" s="4" t="e">
        <f ca="1">IF(OR(INDIRECT("'" &amp; Master!$F$8 &amp; Master!$F$6 &amp; "'!B" &amp; ROW(B621))="", INDIRECT("'" &amp; Master!$F$8 &amp; Master!$F$6 &amp; "'!B" &amp; ROW(B621))=0), "", INDIRECT("'" &amp; Master!$F$8 &amp; Master!$F$6 &amp; "'!B" &amp; ROW(B621)))</f>
        <v>#VALUE!</v>
      </c>
      <c r="J621" s="9" t="e">
        <f t="shared" ca="1" si="63"/>
        <v>#VALUE!</v>
      </c>
      <c r="K621" s="7" t="e">
        <f t="shared" ca="1" si="64"/>
        <v>#VALUE!</v>
      </c>
      <c r="L621" s="7" t="e">
        <f t="shared" ca="1" si="65"/>
        <v>#VALUE!</v>
      </c>
      <c r="M621" s="7" t="e">
        <f t="shared" ca="1" si="66"/>
        <v>#VALUE!</v>
      </c>
      <c r="N621" s="7" t="e">
        <f t="shared" ca="1" si="67"/>
        <v>#VALUE!</v>
      </c>
      <c r="O621" s="7" t="e">
        <f t="shared" ca="1" si="68"/>
        <v>#VALUE!</v>
      </c>
      <c r="P621" s="7" t="e">
        <f t="shared" ca="1" si="69"/>
        <v>#VALUE!</v>
      </c>
    </row>
    <row r="622" spans="1:16" x14ac:dyDescent="0.25">
      <c r="A622" s="19" t="str">
        <f ca="1">IF(OR(INDIRECT("'" &amp; Master!$F$8 &amp; Master!$F$6 &amp; "'!A" &amp; ROW(A622))="", INDIRECT("'" &amp; Master!$F$8 &amp; Master!$F$6 &amp; "'!A" &amp; ROW(A622))=0), "", INDIRECT("'" &amp; Master!$F$8 &amp; Master!$F$6 &amp; "'!A" &amp; ROW(A622)))</f>
        <v/>
      </c>
      <c r="B622" s="4" t="e">
        <f ca="1">SplineInterp(INDIRECT("A" &amp; ROW()),INDIRECT("'" &amp;Master!$F$10&amp; "'!$A$2:$A$50"),INDIRECT("'" &amp;Master!$F$10&amp; "'!$B$2:$B$50"))</f>
        <v>#VALUE!</v>
      </c>
      <c r="C622" s="4" t="e">
        <f ca="1">SplineInterp(A622,INDIRECT("'" &amp;Master!$F$10&amp; "'!$A$2:$A$50"),INDIRECT("'" &amp;Master!$F$10&amp; "'!$C$2:$C$50"))</f>
        <v>#VALUE!</v>
      </c>
      <c r="D622" s="4" t="e">
        <f ca="1">SplineInterp(A622,INDIRECT("'" &amp;Master!$F$10&amp; "'!$A$2:$A$50"),INDIRECT("'" &amp;Master!$F$10&amp; "'!$D$2:$D$50"))</f>
        <v>#VALUE!</v>
      </c>
      <c r="E622" s="4" t="e">
        <f ca="1">SplineInterp(A622,INDIRECT("'" &amp;Master!$F$10&amp; "'!$A$2:$A$50"),INDIRECT("'" &amp;Master!$F$10&amp; "'!$E$2:$E$50"))</f>
        <v>#VALUE!</v>
      </c>
      <c r="F622" s="4" t="e">
        <f ca="1">SplineInterp(A622,INDIRECT("'" &amp;Master!$F$10&amp; "'!$A$2:$A$50"),INDIRECT("'" &amp;Master!$F$10&amp; "'!$F$2:$F$50"))</f>
        <v>#VALUE!</v>
      </c>
      <c r="G622" s="4" t="e">
        <f ca="1">SplineInterp(A622,INDIRECT("'" &amp;Master!$F$10&amp; "'!$A$2:$A$50"),INDIRECT("'" &amp;Master!$F$10&amp; "'!$G$2:$G$50"))</f>
        <v>#VALUE!</v>
      </c>
      <c r="H622" s="4" t="e">
        <f ca="1">SplineInterp(A622,INDIRECT("'" &amp;Master!$F$10&amp; "'!$A$2:$A$50"),INDIRECT("'" &amp;Master!$F$10&amp; "'!$H$2:$H$50"))</f>
        <v>#VALUE!</v>
      </c>
      <c r="I622" s="4" t="e">
        <f ca="1">IF(OR(INDIRECT("'" &amp; Master!$F$8 &amp; Master!$F$6 &amp; "'!B" &amp; ROW(B622))="", INDIRECT("'" &amp; Master!$F$8 &amp; Master!$F$6 &amp; "'!B" &amp; ROW(B622))=0), "", INDIRECT("'" &amp; Master!$F$8 &amp; Master!$F$6 &amp; "'!B" &amp; ROW(B622)))</f>
        <v>#VALUE!</v>
      </c>
      <c r="J622" s="9" t="e">
        <f t="shared" ca="1" si="63"/>
        <v>#VALUE!</v>
      </c>
      <c r="K622" s="7" t="e">
        <f t="shared" ca="1" si="64"/>
        <v>#VALUE!</v>
      </c>
      <c r="L622" s="7" t="e">
        <f t="shared" ca="1" si="65"/>
        <v>#VALUE!</v>
      </c>
      <c r="M622" s="7" t="e">
        <f t="shared" ca="1" si="66"/>
        <v>#VALUE!</v>
      </c>
      <c r="N622" s="7" t="e">
        <f t="shared" ca="1" si="67"/>
        <v>#VALUE!</v>
      </c>
      <c r="O622" s="7" t="e">
        <f t="shared" ca="1" si="68"/>
        <v>#VALUE!</v>
      </c>
      <c r="P622" s="7" t="e">
        <f t="shared" ca="1" si="69"/>
        <v>#VALUE!</v>
      </c>
    </row>
    <row r="623" spans="1:16" x14ac:dyDescent="0.25">
      <c r="A623" s="19" t="str">
        <f ca="1">IF(OR(INDIRECT("'" &amp; Master!$F$8 &amp; Master!$F$6 &amp; "'!A" &amp; ROW(A623))="", INDIRECT("'" &amp; Master!$F$8 &amp; Master!$F$6 &amp; "'!A" &amp; ROW(A623))=0), "", INDIRECT("'" &amp; Master!$F$8 &amp; Master!$F$6 &amp; "'!A" &amp; ROW(A623)))</f>
        <v/>
      </c>
      <c r="B623" s="4" t="e">
        <f ca="1">SplineInterp(INDIRECT("A" &amp; ROW()),INDIRECT("'" &amp;Master!$F$10&amp; "'!$A$2:$A$50"),INDIRECT("'" &amp;Master!$F$10&amp; "'!$B$2:$B$50"))</f>
        <v>#VALUE!</v>
      </c>
      <c r="C623" s="4" t="e">
        <f ca="1">SplineInterp(A623,INDIRECT("'" &amp;Master!$F$10&amp; "'!$A$2:$A$50"),INDIRECT("'" &amp;Master!$F$10&amp; "'!$C$2:$C$50"))</f>
        <v>#VALUE!</v>
      </c>
      <c r="D623" s="4" t="e">
        <f ca="1">SplineInterp(A623,INDIRECT("'" &amp;Master!$F$10&amp; "'!$A$2:$A$50"),INDIRECT("'" &amp;Master!$F$10&amp; "'!$D$2:$D$50"))</f>
        <v>#VALUE!</v>
      </c>
      <c r="E623" s="4" t="e">
        <f ca="1">SplineInterp(A623,INDIRECT("'" &amp;Master!$F$10&amp; "'!$A$2:$A$50"),INDIRECT("'" &amp;Master!$F$10&amp; "'!$E$2:$E$50"))</f>
        <v>#VALUE!</v>
      </c>
      <c r="F623" s="4" t="e">
        <f ca="1">SplineInterp(A623,INDIRECT("'" &amp;Master!$F$10&amp; "'!$A$2:$A$50"),INDIRECT("'" &amp;Master!$F$10&amp; "'!$F$2:$F$50"))</f>
        <v>#VALUE!</v>
      </c>
      <c r="G623" s="4" t="e">
        <f ca="1">SplineInterp(A623,INDIRECT("'" &amp;Master!$F$10&amp; "'!$A$2:$A$50"),INDIRECT("'" &amp;Master!$F$10&amp; "'!$G$2:$G$50"))</f>
        <v>#VALUE!</v>
      </c>
      <c r="H623" s="4" t="e">
        <f ca="1">SplineInterp(A623,INDIRECT("'" &amp;Master!$F$10&amp; "'!$A$2:$A$50"),INDIRECT("'" &amp;Master!$F$10&amp; "'!$H$2:$H$50"))</f>
        <v>#VALUE!</v>
      </c>
      <c r="I623" s="4" t="e">
        <f ca="1">IF(OR(INDIRECT("'" &amp; Master!$F$8 &amp; Master!$F$6 &amp; "'!B" &amp; ROW(B623))="", INDIRECT("'" &amp; Master!$F$8 &amp; Master!$F$6 &amp; "'!B" &amp; ROW(B623))=0), "", INDIRECT("'" &amp; Master!$F$8 &amp; Master!$F$6 &amp; "'!B" &amp; ROW(B623)))</f>
        <v>#VALUE!</v>
      </c>
      <c r="J623" s="9" t="e">
        <f t="shared" ca="1" si="63"/>
        <v>#VALUE!</v>
      </c>
      <c r="K623" s="7" t="e">
        <f t="shared" ca="1" si="64"/>
        <v>#VALUE!</v>
      </c>
      <c r="L623" s="7" t="e">
        <f t="shared" ca="1" si="65"/>
        <v>#VALUE!</v>
      </c>
      <c r="M623" s="7" t="e">
        <f t="shared" ca="1" si="66"/>
        <v>#VALUE!</v>
      </c>
      <c r="N623" s="7" t="e">
        <f t="shared" ca="1" si="67"/>
        <v>#VALUE!</v>
      </c>
      <c r="O623" s="7" t="e">
        <f t="shared" ca="1" si="68"/>
        <v>#VALUE!</v>
      </c>
      <c r="P623" s="7" t="e">
        <f t="shared" ca="1" si="69"/>
        <v>#VALUE!</v>
      </c>
    </row>
    <row r="624" spans="1:16" x14ac:dyDescent="0.25">
      <c r="A624" s="19" t="str">
        <f ca="1">IF(OR(INDIRECT("'" &amp; Master!$F$8 &amp; Master!$F$6 &amp; "'!A" &amp; ROW(A624))="", INDIRECT("'" &amp; Master!$F$8 &amp; Master!$F$6 &amp; "'!A" &amp; ROW(A624))=0), "", INDIRECT("'" &amp; Master!$F$8 &amp; Master!$F$6 &amp; "'!A" &amp; ROW(A624)))</f>
        <v/>
      </c>
      <c r="B624" s="4" t="e">
        <f ca="1">SplineInterp(INDIRECT("A" &amp; ROW()),INDIRECT("'" &amp;Master!$F$10&amp; "'!$A$2:$A$50"),INDIRECT("'" &amp;Master!$F$10&amp; "'!$B$2:$B$50"))</f>
        <v>#VALUE!</v>
      </c>
      <c r="C624" s="4" t="e">
        <f ca="1">SplineInterp(A624,INDIRECT("'" &amp;Master!$F$10&amp; "'!$A$2:$A$50"),INDIRECT("'" &amp;Master!$F$10&amp; "'!$C$2:$C$50"))</f>
        <v>#VALUE!</v>
      </c>
      <c r="D624" s="4" t="e">
        <f ca="1">SplineInterp(A624,INDIRECT("'" &amp;Master!$F$10&amp; "'!$A$2:$A$50"),INDIRECT("'" &amp;Master!$F$10&amp; "'!$D$2:$D$50"))</f>
        <v>#VALUE!</v>
      </c>
      <c r="E624" s="4" t="e">
        <f ca="1">SplineInterp(A624,INDIRECT("'" &amp;Master!$F$10&amp; "'!$A$2:$A$50"),INDIRECT("'" &amp;Master!$F$10&amp; "'!$E$2:$E$50"))</f>
        <v>#VALUE!</v>
      </c>
      <c r="F624" s="4" t="e">
        <f ca="1">SplineInterp(A624,INDIRECT("'" &amp;Master!$F$10&amp; "'!$A$2:$A$50"),INDIRECT("'" &amp;Master!$F$10&amp; "'!$F$2:$F$50"))</f>
        <v>#VALUE!</v>
      </c>
      <c r="G624" s="4" t="e">
        <f ca="1">SplineInterp(A624,INDIRECT("'" &amp;Master!$F$10&amp; "'!$A$2:$A$50"),INDIRECT("'" &amp;Master!$F$10&amp; "'!$G$2:$G$50"))</f>
        <v>#VALUE!</v>
      </c>
      <c r="H624" s="4" t="e">
        <f ca="1">SplineInterp(A624,INDIRECT("'" &amp;Master!$F$10&amp; "'!$A$2:$A$50"),INDIRECT("'" &amp;Master!$F$10&amp; "'!$H$2:$H$50"))</f>
        <v>#VALUE!</v>
      </c>
      <c r="I624" s="4" t="e">
        <f ca="1">IF(OR(INDIRECT("'" &amp; Master!$F$8 &amp; Master!$F$6 &amp; "'!B" &amp; ROW(B624))="", INDIRECT("'" &amp; Master!$F$8 &amp; Master!$F$6 &amp; "'!B" &amp; ROW(B624))=0), "", INDIRECT("'" &amp; Master!$F$8 &amp; Master!$F$6 &amp; "'!B" &amp; ROW(B624)))</f>
        <v>#VALUE!</v>
      </c>
      <c r="J624" s="9" t="e">
        <f t="shared" ca="1" si="63"/>
        <v>#VALUE!</v>
      </c>
      <c r="K624" s="7" t="e">
        <f t="shared" ca="1" si="64"/>
        <v>#VALUE!</v>
      </c>
      <c r="L624" s="7" t="e">
        <f t="shared" ca="1" si="65"/>
        <v>#VALUE!</v>
      </c>
      <c r="M624" s="7" t="e">
        <f t="shared" ca="1" si="66"/>
        <v>#VALUE!</v>
      </c>
      <c r="N624" s="7" t="e">
        <f t="shared" ca="1" si="67"/>
        <v>#VALUE!</v>
      </c>
      <c r="O624" s="7" t="e">
        <f t="shared" ca="1" si="68"/>
        <v>#VALUE!</v>
      </c>
      <c r="P624" s="7" t="e">
        <f t="shared" ca="1" si="69"/>
        <v>#VALUE!</v>
      </c>
    </row>
    <row r="625" spans="1:16" x14ac:dyDescent="0.25">
      <c r="A625" s="19" t="str">
        <f ca="1">IF(OR(INDIRECT("'" &amp; Master!$F$8 &amp; Master!$F$6 &amp; "'!A" &amp; ROW(A625))="", INDIRECT("'" &amp; Master!$F$8 &amp; Master!$F$6 &amp; "'!A" &amp; ROW(A625))=0), "", INDIRECT("'" &amp; Master!$F$8 &amp; Master!$F$6 &amp; "'!A" &amp; ROW(A625)))</f>
        <v/>
      </c>
      <c r="B625" s="4" t="e">
        <f ca="1">SplineInterp(INDIRECT("A" &amp; ROW()),INDIRECT("'" &amp;Master!$F$10&amp; "'!$A$2:$A$50"),INDIRECT("'" &amp;Master!$F$10&amp; "'!$B$2:$B$50"))</f>
        <v>#VALUE!</v>
      </c>
      <c r="C625" s="4" t="e">
        <f ca="1">SplineInterp(A625,INDIRECT("'" &amp;Master!$F$10&amp; "'!$A$2:$A$50"),INDIRECT("'" &amp;Master!$F$10&amp; "'!$C$2:$C$50"))</f>
        <v>#VALUE!</v>
      </c>
      <c r="D625" s="4" t="e">
        <f ca="1">SplineInterp(A625,INDIRECT("'" &amp;Master!$F$10&amp; "'!$A$2:$A$50"),INDIRECT("'" &amp;Master!$F$10&amp; "'!$D$2:$D$50"))</f>
        <v>#VALUE!</v>
      </c>
      <c r="E625" s="4" t="e">
        <f ca="1">SplineInterp(A625,INDIRECT("'" &amp;Master!$F$10&amp; "'!$A$2:$A$50"),INDIRECT("'" &amp;Master!$F$10&amp; "'!$E$2:$E$50"))</f>
        <v>#VALUE!</v>
      </c>
      <c r="F625" s="4" t="e">
        <f ca="1">SplineInterp(A625,INDIRECT("'" &amp;Master!$F$10&amp; "'!$A$2:$A$50"),INDIRECT("'" &amp;Master!$F$10&amp; "'!$F$2:$F$50"))</f>
        <v>#VALUE!</v>
      </c>
      <c r="G625" s="4" t="e">
        <f ca="1">SplineInterp(A625,INDIRECT("'" &amp;Master!$F$10&amp; "'!$A$2:$A$50"),INDIRECT("'" &amp;Master!$F$10&amp; "'!$G$2:$G$50"))</f>
        <v>#VALUE!</v>
      </c>
      <c r="H625" s="4" t="e">
        <f ca="1">SplineInterp(A625,INDIRECT("'" &amp;Master!$F$10&amp; "'!$A$2:$A$50"),INDIRECT("'" &amp;Master!$F$10&amp; "'!$H$2:$H$50"))</f>
        <v>#VALUE!</v>
      </c>
      <c r="I625" s="4" t="e">
        <f ca="1">IF(OR(INDIRECT("'" &amp; Master!$F$8 &amp; Master!$F$6 &amp; "'!B" &amp; ROW(B625))="", INDIRECT("'" &amp; Master!$F$8 &amp; Master!$F$6 &amp; "'!B" &amp; ROW(B625))=0), "", INDIRECT("'" &amp; Master!$F$8 &amp; Master!$F$6 &amp; "'!B" &amp; ROW(B625)))</f>
        <v>#VALUE!</v>
      </c>
      <c r="J625" s="9" t="e">
        <f t="shared" ca="1" si="63"/>
        <v>#VALUE!</v>
      </c>
      <c r="K625" s="7" t="e">
        <f t="shared" ca="1" si="64"/>
        <v>#VALUE!</v>
      </c>
      <c r="L625" s="7" t="e">
        <f t="shared" ca="1" si="65"/>
        <v>#VALUE!</v>
      </c>
      <c r="M625" s="7" t="e">
        <f t="shared" ca="1" si="66"/>
        <v>#VALUE!</v>
      </c>
      <c r="N625" s="7" t="e">
        <f t="shared" ca="1" si="67"/>
        <v>#VALUE!</v>
      </c>
      <c r="O625" s="7" t="e">
        <f t="shared" ca="1" si="68"/>
        <v>#VALUE!</v>
      </c>
      <c r="P625" s="7" t="e">
        <f t="shared" ca="1" si="69"/>
        <v>#VALUE!</v>
      </c>
    </row>
    <row r="626" spans="1:16" x14ac:dyDescent="0.25">
      <c r="A626" s="19" t="str">
        <f ca="1">IF(OR(INDIRECT("'" &amp; Master!$F$8 &amp; Master!$F$6 &amp; "'!A" &amp; ROW(A626))="", INDIRECT("'" &amp; Master!$F$8 &amp; Master!$F$6 &amp; "'!A" &amp; ROW(A626))=0), "", INDIRECT("'" &amp; Master!$F$8 &amp; Master!$F$6 &amp; "'!A" &amp; ROW(A626)))</f>
        <v/>
      </c>
      <c r="B626" s="4" t="e">
        <f ca="1">SplineInterp(INDIRECT("A" &amp; ROW()),INDIRECT("'" &amp;Master!$F$10&amp; "'!$A$2:$A$50"),INDIRECT("'" &amp;Master!$F$10&amp; "'!$B$2:$B$50"))</f>
        <v>#VALUE!</v>
      </c>
      <c r="C626" s="4" t="e">
        <f ca="1">SplineInterp(A626,INDIRECT("'" &amp;Master!$F$10&amp; "'!$A$2:$A$50"),INDIRECT("'" &amp;Master!$F$10&amp; "'!$C$2:$C$50"))</f>
        <v>#VALUE!</v>
      </c>
      <c r="D626" s="4" t="e">
        <f ca="1">SplineInterp(A626,INDIRECT("'" &amp;Master!$F$10&amp; "'!$A$2:$A$50"),INDIRECT("'" &amp;Master!$F$10&amp; "'!$D$2:$D$50"))</f>
        <v>#VALUE!</v>
      </c>
      <c r="E626" s="4" t="e">
        <f ca="1">SplineInterp(A626,INDIRECT("'" &amp;Master!$F$10&amp; "'!$A$2:$A$50"),INDIRECT("'" &amp;Master!$F$10&amp; "'!$E$2:$E$50"))</f>
        <v>#VALUE!</v>
      </c>
      <c r="F626" s="4" t="e">
        <f ca="1">SplineInterp(A626,INDIRECT("'" &amp;Master!$F$10&amp; "'!$A$2:$A$50"),INDIRECT("'" &amp;Master!$F$10&amp; "'!$F$2:$F$50"))</f>
        <v>#VALUE!</v>
      </c>
      <c r="G626" s="4" t="e">
        <f ca="1">SplineInterp(A626,INDIRECT("'" &amp;Master!$F$10&amp; "'!$A$2:$A$50"),INDIRECT("'" &amp;Master!$F$10&amp; "'!$G$2:$G$50"))</f>
        <v>#VALUE!</v>
      </c>
      <c r="H626" s="4" t="e">
        <f ca="1">SplineInterp(A626,INDIRECT("'" &amp;Master!$F$10&amp; "'!$A$2:$A$50"),INDIRECT("'" &amp;Master!$F$10&amp; "'!$H$2:$H$50"))</f>
        <v>#VALUE!</v>
      </c>
      <c r="I626" s="4" t="e">
        <f ca="1">IF(OR(INDIRECT("'" &amp; Master!$F$8 &amp; Master!$F$6 &amp; "'!B" &amp; ROW(B626))="", INDIRECT("'" &amp; Master!$F$8 &amp; Master!$F$6 &amp; "'!B" &amp; ROW(B626))=0), "", INDIRECT("'" &amp; Master!$F$8 &amp; Master!$F$6 &amp; "'!B" &amp; ROW(B626)))</f>
        <v>#VALUE!</v>
      </c>
      <c r="J626" s="9" t="e">
        <f t="shared" ca="1" si="63"/>
        <v>#VALUE!</v>
      </c>
      <c r="K626" s="7" t="e">
        <f t="shared" ca="1" si="64"/>
        <v>#VALUE!</v>
      </c>
      <c r="L626" s="7" t="e">
        <f t="shared" ca="1" si="65"/>
        <v>#VALUE!</v>
      </c>
      <c r="M626" s="7" t="e">
        <f t="shared" ca="1" si="66"/>
        <v>#VALUE!</v>
      </c>
      <c r="N626" s="7" t="e">
        <f t="shared" ca="1" si="67"/>
        <v>#VALUE!</v>
      </c>
      <c r="O626" s="7" t="e">
        <f t="shared" ca="1" si="68"/>
        <v>#VALUE!</v>
      </c>
      <c r="P626" s="7" t="e">
        <f t="shared" ca="1" si="69"/>
        <v>#VALUE!</v>
      </c>
    </row>
    <row r="627" spans="1:16" x14ac:dyDescent="0.25">
      <c r="A627" s="19" t="str">
        <f ca="1">IF(OR(INDIRECT("'" &amp; Master!$F$8 &amp; Master!$F$6 &amp; "'!A" &amp; ROW(A627))="", INDIRECT("'" &amp; Master!$F$8 &amp; Master!$F$6 &amp; "'!A" &amp; ROW(A627))=0), "", INDIRECT("'" &amp; Master!$F$8 &amp; Master!$F$6 &amp; "'!A" &amp; ROW(A627)))</f>
        <v/>
      </c>
      <c r="B627" s="4" t="e">
        <f ca="1">SplineInterp(INDIRECT("A" &amp; ROW()),INDIRECT("'" &amp;Master!$F$10&amp; "'!$A$2:$A$50"),INDIRECT("'" &amp;Master!$F$10&amp; "'!$B$2:$B$50"))</f>
        <v>#VALUE!</v>
      </c>
      <c r="C627" s="4" t="e">
        <f ca="1">SplineInterp(A627,INDIRECT("'" &amp;Master!$F$10&amp; "'!$A$2:$A$50"),INDIRECT("'" &amp;Master!$F$10&amp; "'!$C$2:$C$50"))</f>
        <v>#VALUE!</v>
      </c>
      <c r="D627" s="4" t="e">
        <f ca="1">SplineInterp(A627,INDIRECT("'" &amp;Master!$F$10&amp; "'!$A$2:$A$50"),INDIRECT("'" &amp;Master!$F$10&amp; "'!$D$2:$D$50"))</f>
        <v>#VALUE!</v>
      </c>
      <c r="E627" s="4" t="e">
        <f ca="1">SplineInterp(A627,INDIRECT("'" &amp;Master!$F$10&amp; "'!$A$2:$A$50"),INDIRECT("'" &amp;Master!$F$10&amp; "'!$E$2:$E$50"))</f>
        <v>#VALUE!</v>
      </c>
      <c r="F627" s="4" t="e">
        <f ca="1">SplineInterp(A627,INDIRECT("'" &amp;Master!$F$10&amp; "'!$A$2:$A$50"),INDIRECT("'" &amp;Master!$F$10&amp; "'!$F$2:$F$50"))</f>
        <v>#VALUE!</v>
      </c>
      <c r="G627" s="4" t="e">
        <f ca="1">SplineInterp(A627,INDIRECT("'" &amp;Master!$F$10&amp; "'!$A$2:$A$50"),INDIRECT("'" &amp;Master!$F$10&amp; "'!$G$2:$G$50"))</f>
        <v>#VALUE!</v>
      </c>
      <c r="H627" s="4" t="e">
        <f ca="1">SplineInterp(A627,INDIRECT("'" &amp;Master!$F$10&amp; "'!$A$2:$A$50"),INDIRECT("'" &amp;Master!$F$10&amp; "'!$H$2:$H$50"))</f>
        <v>#VALUE!</v>
      </c>
      <c r="I627" s="4" t="e">
        <f ca="1">IF(OR(INDIRECT("'" &amp; Master!$F$8 &amp; Master!$F$6 &amp; "'!B" &amp; ROW(B627))="", INDIRECT("'" &amp; Master!$F$8 &amp; Master!$F$6 &amp; "'!B" &amp; ROW(B627))=0), "", INDIRECT("'" &amp; Master!$F$8 &amp; Master!$F$6 &amp; "'!B" &amp; ROW(B627)))</f>
        <v>#VALUE!</v>
      </c>
      <c r="J627" s="9" t="e">
        <f t="shared" ca="1" si="63"/>
        <v>#VALUE!</v>
      </c>
      <c r="K627" s="7" t="e">
        <f t="shared" ca="1" si="64"/>
        <v>#VALUE!</v>
      </c>
      <c r="L627" s="7" t="e">
        <f t="shared" ca="1" si="65"/>
        <v>#VALUE!</v>
      </c>
      <c r="M627" s="7" t="e">
        <f t="shared" ca="1" si="66"/>
        <v>#VALUE!</v>
      </c>
      <c r="N627" s="7" t="e">
        <f t="shared" ca="1" si="67"/>
        <v>#VALUE!</v>
      </c>
      <c r="O627" s="7" t="e">
        <f t="shared" ca="1" si="68"/>
        <v>#VALUE!</v>
      </c>
      <c r="P627" s="7" t="e">
        <f t="shared" ca="1" si="69"/>
        <v>#VALUE!</v>
      </c>
    </row>
    <row r="628" spans="1:16" x14ac:dyDescent="0.25">
      <c r="A628" s="19" t="str">
        <f ca="1">IF(OR(INDIRECT("'" &amp; Master!$F$8 &amp; Master!$F$6 &amp; "'!A" &amp; ROW(A628))="", INDIRECT("'" &amp; Master!$F$8 &amp; Master!$F$6 &amp; "'!A" &amp; ROW(A628))=0), "", INDIRECT("'" &amp; Master!$F$8 &amp; Master!$F$6 &amp; "'!A" &amp; ROW(A628)))</f>
        <v/>
      </c>
      <c r="B628" s="4" t="e">
        <f ca="1">SplineInterp(INDIRECT("A" &amp; ROW()),INDIRECT("'" &amp;Master!$F$10&amp; "'!$A$2:$A$50"),INDIRECT("'" &amp;Master!$F$10&amp; "'!$B$2:$B$50"))</f>
        <v>#VALUE!</v>
      </c>
      <c r="C628" s="4" t="e">
        <f ca="1">SplineInterp(A628,INDIRECT("'" &amp;Master!$F$10&amp; "'!$A$2:$A$50"),INDIRECT("'" &amp;Master!$F$10&amp; "'!$C$2:$C$50"))</f>
        <v>#VALUE!</v>
      </c>
      <c r="D628" s="4" t="e">
        <f ca="1">SplineInterp(A628,INDIRECT("'" &amp;Master!$F$10&amp; "'!$A$2:$A$50"),INDIRECT("'" &amp;Master!$F$10&amp; "'!$D$2:$D$50"))</f>
        <v>#VALUE!</v>
      </c>
      <c r="E628" s="4" t="e">
        <f ca="1">SplineInterp(A628,INDIRECT("'" &amp;Master!$F$10&amp; "'!$A$2:$A$50"),INDIRECT("'" &amp;Master!$F$10&amp; "'!$E$2:$E$50"))</f>
        <v>#VALUE!</v>
      </c>
      <c r="F628" s="4" t="e">
        <f ca="1">SplineInterp(A628,INDIRECT("'" &amp;Master!$F$10&amp; "'!$A$2:$A$50"),INDIRECT("'" &amp;Master!$F$10&amp; "'!$F$2:$F$50"))</f>
        <v>#VALUE!</v>
      </c>
      <c r="G628" s="4" t="e">
        <f ca="1">SplineInterp(A628,INDIRECT("'" &amp;Master!$F$10&amp; "'!$A$2:$A$50"),INDIRECT("'" &amp;Master!$F$10&amp; "'!$G$2:$G$50"))</f>
        <v>#VALUE!</v>
      </c>
      <c r="H628" s="4" t="e">
        <f ca="1">SplineInterp(A628,INDIRECT("'" &amp;Master!$F$10&amp; "'!$A$2:$A$50"),INDIRECT("'" &amp;Master!$F$10&amp; "'!$H$2:$H$50"))</f>
        <v>#VALUE!</v>
      </c>
      <c r="I628" s="4" t="e">
        <f ca="1">IF(OR(INDIRECT("'" &amp; Master!$F$8 &amp; Master!$F$6 &amp; "'!B" &amp; ROW(B628))="", INDIRECT("'" &amp; Master!$F$8 &amp; Master!$F$6 &amp; "'!B" &amp; ROW(B628))=0), "", INDIRECT("'" &amp; Master!$F$8 &amp; Master!$F$6 &amp; "'!B" &amp; ROW(B628)))</f>
        <v>#VALUE!</v>
      </c>
      <c r="J628" s="9" t="e">
        <f t="shared" ca="1" si="63"/>
        <v>#VALUE!</v>
      </c>
      <c r="K628" s="7" t="e">
        <f t="shared" ca="1" si="64"/>
        <v>#VALUE!</v>
      </c>
      <c r="L628" s="7" t="e">
        <f t="shared" ca="1" si="65"/>
        <v>#VALUE!</v>
      </c>
      <c r="M628" s="7" t="e">
        <f t="shared" ca="1" si="66"/>
        <v>#VALUE!</v>
      </c>
      <c r="N628" s="7" t="e">
        <f t="shared" ca="1" si="67"/>
        <v>#VALUE!</v>
      </c>
      <c r="O628" s="7" t="e">
        <f t="shared" ca="1" si="68"/>
        <v>#VALUE!</v>
      </c>
      <c r="P628" s="7" t="e">
        <f t="shared" ca="1" si="69"/>
        <v>#VALUE!</v>
      </c>
    </row>
    <row r="629" spans="1:16" x14ac:dyDescent="0.25">
      <c r="A629" s="19" t="str">
        <f ca="1">IF(OR(INDIRECT("'" &amp; Master!$F$8 &amp; Master!$F$6 &amp; "'!A" &amp; ROW(A629))="", INDIRECT("'" &amp; Master!$F$8 &amp; Master!$F$6 &amp; "'!A" &amp; ROW(A629))=0), "", INDIRECT("'" &amp; Master!$F$8 &amp; Master!$F$6 &amp; "'!A" &amp; ROW(A629)))</f>
        <v/>
      </c>
      <c r="B629" s="4" t="e">
        <f ca="1">SplineInterp(INDIRECT("A" &amp; ROW()),INDIRECT("'" &amp;Master!$F$10&amp; "'!$A$2:$A$50"),INDIRECT("'" &amp;Master!$F$10&amp; "'!$B$2:$B$50"))</f>
        <v>#VALUE!</v>
      </c>
      <c r="C629" s="4" t="e">
        <f ca="1">SplineInterp(A629,INDIRECT("'" &amp;Master!$F$10&amp; "'!$A$2:$A$50"),INDIRECT("'" &amp;Master!$F$10&amp; "'!$C$2:$C$50"))</f>
        <v>#VALUE!</v>
      </c>
      <c r="D629" s="4" t="e">
        <f ca="1">SplineInterp(A629,INDIRECT("'" &amp;Master!$F$10&amp; "'!$A$2:$A$50"),INDIRECT("'" &amp;Master!$F$10&amp; "'!$D$2:$D$50"))</f>
        <v>#VALUE!</v>
      </c>
      <c r="E629" s="4" t="e">
        <f ca="1">SplineInterp(A629,INDIRECT("'" &amp;Master!$F$10&amp; "'!$A$2:$A$50"),INDIRECT("'" &amp;Master!$F$10&amp; "'!$E$2:$E$50"))</f>
        <v>#VALUE!</v>
      </c>
      <c r="F629" s="4" t="e">
        <f ca="1">SplineInterp(A629,INDIRECT("'" &amp;Master!$F$10&amp; "'!$A$2:$A$50"),INDIRECT("'" &amp;Master!$F$10&amp; "'!$F$2:$F$50"))</f>
        <v>#VALUE!</v>
      </c>
      <c r="G629" s="4" t="e">
        <f ca="1">SplineInterp(A629,INDIRECT("'" &amp;Master!$F$10&amp; "'!$A$2:$A$50"),INDIRECT("'" &amp;Master!$F$10&amp; "'!$G$2:$G$50"))</f>
        <v>#VALUE!</v>
      </c>
      <c r="H629" s="4" t="e">
        <f ca="1">SplineInterp(A629,INDIRECT("'" &amp;Master!$F$10&amp; "'!$A$2:$A$50"),INDIRECT("'" &amp;Master!$F$10&amp; "'!$H$2:$H$50"))</f>
        <v>#VALUE!</v>
      </c>
      <c r="I629" s="4" t="e">
        <f ca="1">IF(OR(INDIRECT("'" &amp; Master!$F$8 &amp; Master!$F$6 &amp; "'!B" &amp; ROW(B629))="", INDIRECT("'" &amp; Master!$F$8 &amp; Master!$F$6 &amp; "'!B" &amp; ROW(B629))=0), "", INDIRECT("'" &amp; Master!$F$8 &amp; Master!$F$6 &amp; "'!B" &amp; ROW(B629)))</f>
        <v>#VALUE!</v>
      </c>
      <c r="J629" s="9" t="e">
        <f t="shared" ca="1" si="63"/>
        <v>#VALUE!</v>
      </c>
      <c r="K629" s="7" t="e">
        <f t="shared" ca="1" si="64"/>
        <v>#VALUE!</v>
      </c>
      <c r="L629" s="7" t="e">
        <f t="shared" ca="1" si="65"/>
        <v>#VALUE!</v>
      </c>
      <c r="M629" s="7" t="e">
        <f t="shared" ca="1" si="66"/>
        <v>#VALUE!</v>
      </c>
      <c r="N629" s="7" t="e">
        <f t="shared" ca="1" si="67"/>
        <v>#VALUE!</v>
      </c>
      <c r="O629" s="7" t="e">
        <f t="shared" ca="1" si="68"/>
        <v>#VALUE!</v>
      </c>
      <c r="P629" s="7" t="e">
        <f t="shared" ca="1" si="69"/>
        <v>#VALUE!</v>
      </c>
    </row>
    <row r="630" spans="1:16" x14ac:dyDescent="0.25">
      <c r="A630" s="19" t="str">
        <f ca="1">IF(OR(INDIRECT("'" &amp; Master!$F$8 &amp; Master!$F$6 &amp; "'!A" &amp; ROW(A630))="", INDIRECT("'" &amp; Master!$F$8 &amp; Master!$F$6 &amp; "'!A" &amp; ROW(A630))=0), "", INDIRECT("'" &amp; Master!$F$8 &amp; Master!$F$6 &amp; "'!A" &amp; ROW(A630)))</f>
        <v/>
      </c>
      <c r="B630" s="4" t="e">
        <f ca="1">SplineInterp(INDIRECT("A" &amp; ROW()),INDIRECT("'" &amp;Master!$F$10&amp; "'!$A$2:$A$50"),INDIRECT("'" &amp;Master!$F$10&amp; "'!$B$2:$B$50"))</f>
        <v>#VALUE!</v>
      </c>
      <c r="C630" s="4" t="e">
        <f ca="1">SplineInterp(A630,INDIRECT("'" &amp;Master!$F$10&amp; "'!$A$2:$A$50"),INDIRECT("'" &amp;Master!$F$10&amp; "'!$C$2:$C$50"))</f>
        <v>#VALUE!</v>
      </c>
      <c r="D630" s="4" t="e">
        <f ca="1">SplineInterp(A630,INDIRECT("'" &amp;Master!$F$10&amp; "'!$A$2:$A$50"),INDIRECT("'" &amp;Master!$F$10&amp; "'!$D$2:$D$50"))</f>
        <v>#VALUE!</v>
      </c>
      <c r="E630" s="4" t="e">
        <f ca="1">SplineInterp(A630,INDIRECT("'" &amp;Master!$F$10&amp; "'!$A$2:$A$50"),INDIRECT("'" &amp;Master!$F$10&amp; "'!$E$2:$E$50"))</f>
        <v>#VALUE!</v>
      </c>
      <c r="F630" s="4" t="e">
        <f ca="1">SplineInterp(A630,INDIRECT("'" &amp;Master!$F$10&amp; "'!$A$2:$A$50"),INDIRECT("'" &amp;Master!$F$10&amp; "'!$F$2:$F$50"))</f>
        <v>#VALUE!</v>
      </c>
      <c r="G630" s="4" t="e">
        <f ca="1">SplineInterp(A630,INDIRECT("'" &amp;Master!$F$10&amp; "'!$A$2:$A$50"),INDIRECT("'" &amp;Master!$F$10&amp; "'!$G$2:$G$50"))</f>
        <v>#VALUE!</v>
      </c>
      <c r="H630" s="4" t="e">
        <f ca="1">SplineInterp(A630,INDIRECT("'" &amp;Master!$F$10&amp; "'!$A$2:$A$50"),INDIRECT("'" &amp;Master!$F$10&amp; "'!$H$2:$H$50"))</f>
        <v>#VALUE!</v>
      </c>
      <c r="I630" s="4" t="e">
        <f ca="1">IF(OR(INDIRECT("'" &amp; Master!$F$8 &amp; Master!$F$6 &amp; "'!B" &amp; ROW(B630))="", INDIRECT("'" &amp; Master!$F$8 &amp; Master!$F$6 &amp; "'!B" &amp; ROW(B630))=0), "", INDIRECT("'" &amp; Master!$F$8 &amp; Master!$F$6 &amp; "'!B" &amp; ROW(B630)))</f>
        <v>#VALUE!</v>
      </c>
      <c r="J630" s="9" t="e">
        <f t="shared" ca="1" si="63"/>
        <v>#VALUE!</v>
      </c>
      <c r="K630" s="7" t="e">
        <f t="shared" ca="1" si="64"/>
        <v>#VALUE!</v>
      </c>
      <c r="L630" s="7" t="e">
        <f t="shared" ca="1" si="65"/>
        <v>#VALUE!</v>
      </c>
      <c r="M630" s="7" t="e">
        <f t="shared" ca="1" si="66"/>
        <v>#VALUE!</v>
      </c>
      <c r="N630" s="7" t="e">
        <f t="shared" ca="1" si="67"/>
        <v>#VALUE!</v>
      </c>
      <c r="O630" s="7" t="e">
        <f t="shared" ca="1" si="68"/>
        <v>#VALUE!</v>
      </c>
      <c r="P630" s="7" t="e">
        <f t="shared" ca="1" si="69"/>
        <v>#VALUE!</v>
      </c>
    </row>
    <row r="631" spans="1:16" x14ac:dyDescent="0.25">
      <c r="A631" s="19" t="str">
        <f ca="1">IF(OR(INDIRECT("'" &amp; Master!$F$8 &amp; Master!$F$6 &amp; "'!A" &amp; ROW(A631))="", INDIRECT("'" &amp; Master!$F$8 &amp; Master!$F$6 &amp; "'!A" &amp; ROW(A631))=0), "", INDIRECT("'" &amp; Master!$F$8 &amp; Master!$F$6 &amp; "'!A" &amp; ROW(A631)))</f>
        <v/>
      </c>
      <c r="B631" s="4" t="e">
        <f ca="1">SplineInterp(INDIRECT("A" &amp; ROW()),INDIRECT("'" &amp;Master!$F$10&amp; "'!$A$2:$A$50"),INDIRECT("'" &amp;Master!$F$10&amp; "'!$B$2:$B$50"))</f>
        <v>#VALUE!</v>
      </c>
      <c r="C631" s="4" t="e">
        <f ca="1">SplineInterp(A631,INDIRECT("'" &amp;Master!$F$10&amp; "'!$A$2:$A$50"),INDIRECT("'" &amp;Master!$F$10&amp; "'!$C$2:$C$50"))</f>
        <v>#VALUE!</v>
      </c>
      <c r="D631" s="4" t="e">
        <f ca="1">SplineInterp(A631,INDIRECT("'" &amp;Master!$F$10&amp; "'!$A$2:$A$50"),INDIRECT("'" &amp;Master!$F$10&amp; "'!$D$2:$D$50"))</f>
        <v>#VALUE!</v>
      </c>
      <c r="E631" s="4" t="e">
        <f ca="1">SplineInterp(A631,INDIRECT("'" &amp;Master!$F$10&amp; "'!$A$2:$A$50"),INDIRECT("'" &amp;Master!$F$10&amp; "'!$E$2:$E$50"))</f>
        <v>#VALUE!</v>
      </c>
      <c r="F631" s="4" t="e">
        <f ca="1">SplineInterp(A631,INDIRECT("'" &amp;Master!$F$10&amp; "'!$A$2:$A$50"),INDIRECT("'" &amp;Master!$F$10&amp; "'!$F$2:$F$50"))</f>
        <v>#VALUE!</v>
      </c>
      <c r="G631" s="4" t="e">
        <f ca="1">SplineInterp(A631,INDIRECT("'" &amp;Master!$F$10&amp; "'!$A$2:$A$50"),INDIRECT("'" &amp;Master!$F$10&amp; "'!$G$2:$G$50"))</f>
        <v>#VALUE!</v>
      </c>
      <c r="H631" s="4" t="e">
        <f ca="1">SplineInterp(A631,INDIRECT("'" &amp;Master!$F$10&amp; "'!$A$2:$A$50"),INDIRECT("'" &amp;Master!$F$10&amp; "'!$H$2:$H$50"))</f>
        <v>#VALUE!</v>
      </c>
      <c r="I631" s="4" t="e">
        <f ca="1">IF(OR(INDIRECT("'" &amp; Master!$F$8 &amp; Master!$F$6 &amp; "'!B" &amp; ROW(B631))="", INDIRECT("'" &amp; Master!$F$8 &amp; Master!$F$6 &amp; "'!B" &amp; ROW(B631))=0), "", INDIRECT("'" &amp; Master!$F$8 &amp; Master!$F$6 &amp; "'!B" &amp; ROW(B631)))</f>
        <v>#VALUE!</v>
      </c>
      <c r="J631" s="9" t="e">
        <f t="shared" ca="1" si="63"/>
        <v>#VALUE!</v>
      </c>
      <c r="K631" s="7" t="e">
        <f t="shared" ca="1" si="64"/>
        <v>#VALUE!</v>
      </c>
      <c r="L631" s="7" t="e">
        <f t="shared" ca="1" si="65"/>
        <v>#VALUE!</v>
      </c>
      <c r="M631" s="7" t="e">
        <f t="shared" ca="1" si="66"/>
        <v>#VALUE!</v>
      </c>
      <c r="N631" s="7" t="e">
        <f t="shared" ca="1" si="67"/>
        <v>#VALUE!</v>
      </c>
      <c r="O631" s="7" t="e">
        <f t="shared" ca="1" si="68"/>
        <v>#VALUE!</v>
      </c>
      <c r="P631" s="7" t="e">
        <f t="shared" ca="1" si="69"/>
        <v>#VALUE!</v>
      </c>
    </row>
    <row r="632" spans="1:16" x14ac:dyDescent="0.25">
      <c r="A632" s="19" t="str">
        <f ca="1">IF(OR(INDIRECT("'" &amp; Master!$F$8 &amp; Master!$F$6 &amp; "'!A" &amp; ROW(A632))="", INDIRECT("'" &amp; Master!$F$8 &amp; Master!$F$6 &amp; "'!A" &amp; ROW(A632))=0), "", INDIRECT("'" &amp; Master!$F$8 &amp; Master!$F$6 &amp; "'!A" &amp; ROW(A632)))</f>
        <v/>
      </c>
      <c r="B632" s="4" t="e">
        <f ca="1">SplineInterp(INDIRECT("A" &amp; ROW()),INDIRECT("'" &amp;Master!$F$10&amp; "'!$A$2:$A$50"),INDIRECT("'" &amp;Master!$F$10&amp; "'!$B$2:$B$50"))</f>
        <v>#VALUE!</v>
      </c>
      <c r="C632" s="4" t="e">
        <f ca="1">SplineInterp(A632,INDIRECT("'" &amp;Master!$F$10&amp; "'!$A$2:$A$50"),INDIRECT("'" &amp;Master!$F$10&amp; "'!$C$2:$C$50"))</f>
        <v>#VALUE!</v>
      </c>
      <c r="D632" s="4" t="e">
        <f ca="1">SplineInterp(A632,INDIRECT("'" &amp;Master!$F$10&amp; "'!$A$2:$A$50"),INDIRECT("'" &amp;Master!$F$10&amp; "'!$D$2:$D$50"))</f>
        <v>#VALUE!</v>
      </c>
      <c r="E632" s="4" t="e">
        <f ca="1">SplineInterp(A632,INDIRECT("'" &amp;Master!$F$10&amp; "'!$A$2:$A$50"),INDIRECT("'" &amp;Master!$F$10&amp; "'!$E$2:$E$50"))</f>
        <v>#VALUE!</v>
      </c>
      <c r="F632" s="4" t="e">
        <f ca="1">SplineInterp(A632,INDIRECT("'" &amp;Master!$F$10&amp; "'!$A$2:$A$50"),INDIRECT("'" &amp;Master!$F$10&amp; "'!$F$2:$F$50"))</f>
        <v>#VALUE!</v>
      </c>
      <c r="G632" s="4" t="e">
        <f ca="1">SplineInterp(A632,INDIRECT("'" &amp;Master!$F$10&amp; "'!$A$2:$A$50"),INDIRECT("'" &amp;Master!$F$10&amp; "'!$G$2:$G$50"))</f>
        <v>#VALUE!</v>
      </c>
      <c r="H632" s="4" t="e">
        <f ca="1">SplineInterp(A632,INDIRECT("'" &amp;Master!$F$10&amp; "'!$A$2:$A$50"),INDIRECT("'" &amp;Master!$F$10&amp; "'!$H$2:$H$50"))</f>
        <v>#VALUE!</v>
      </c>
      <c r="I632" s="4" t="e">
        <f ca="1">IF(OR(INDIRECT("'" &amp; Master!$F$8 &amp; Master!$F$6 &amp; "'!B" &amp; ROW(B632))="", INDIRECT("'" &amp; Master!$F$8 &amp; Master!$F$6 &amp; "'!B" &amp; ROW(B632))=0), "", INDIRECT("'" &amp; Master!$F$8 &amp; Master!$F$6 &amp; "'!B" &amp; ROW(B632)))</f>
        <v>#VALUE!</v>
      </c>
      <c r="J632" s="9" t="e">
        <f t="shared" ca="1" si="63"/>
        <v>#VALUE!</v>
      </c>
      <c r="K632" s="7" t="e">
        <f t="shared" ca="1" si="64"/>
        <v>#VALUE!</v>
      </c>
      <c r="L632" s="7" t="e">
        <f t="shared" ca="1" si="65"/>
        <v>#VALUE!</v>
      </c>
      <c r="M632" s="7" t="e">
        <f t="shared" ca="1" si="66"/>
        <v>#VALUE!</v>
      </c>
      <c r="N632" s="7" t="e">
        <f t="shared" ca="1" si="67"/>
        <v>#VALUE!</v>
      </c>
      <c r="O632" s="7" t="e">
        <f t="shared" ca="1" si="68"/>
        <v>#VALUE!</v>
      </c>
      <c r="P632" s="7" t="e">
        <f t="shared" ca="1" si="69"/>
        <v>#VALUE!</v>
      </c>
    </row>
    <row r="633" spans="1:16" x14ac:dyDescent="0.25">
      <c r="A633" s="19" t="str">
        <f ca="1">IF(OR(INDIRECT("'" &amp; Master!$F$8 &amp; Master!$F$6 &amp; "'!A" &amp; ROW(A633))="", INDIRECT("'" &amp; Master!$F$8 &amp; Master!$F$6 &amp; "'!A" &amp; ROW(A633))=0), "", INDIRECT("'" &amp; Master!$F$8 &amp; Master!$F$6 &amp; "'!A" &amp; ROW(A633)))</f>
        <v/>
      </c>
      <c r="B633" s="4" t="e">
        <f ca="1">SplineInterp(INDIRECT("A" &amp; ROW()),INDIRECT("'" &amp;Master!$F$10&amp; "'!$A$2:$A$50"),INDIRECT("'" &amp;Master!$F$10&amp; "'!$B$2:$B$50"))</f>
        <v>#VALUE!</v>
      </c>
      <c r="C633" s="4" t="e">
        <f ca="1">SplineInterp(A633,INDIRECT("'" &amp;Master!$F$10&amp; "'!$A$2:$A$50"),INDIRECT("'" &amp;Master!$F$10&amp; "'!$C$2:$C$50"))</f>
        <v>#VALUE!</v>
      </c>
      <c r="D633" s="4" t="e">
        <f ca="1">SplineInterp(A633,INDIRECT("'" &amp;Master!$F$10&amp; "'!$A$2:$A$50"),INDIRECT("'" &amp;Master!$F$10&amp; "'!$D$2:$D$50"))</f>
        <v>#VALUE!</v>
      </c>
      <c r="E633" s="4" t="e">
        <f ca="1">SplineInterp(A633,INDIRECT("'" &amp;Master!$F$10&amp; "'!$A$2:$A$50"),INDIRECT("'" &amp;Master!$F$10&amp; "'!$E$2:$E$50"))</f>
        <v>#VALUE!</v>
      </c>
      <c r="F633" s="4" t="e">
        <f ca="1">SplineInterp(A633,INDIRECT("'" &amp;Master!$F$10&amp; "'!$A$2:$A$50"),INDIRECT("'" &amp;Master!$F$10&amp; "'!$F$2:$F$50"))</f>
        <v>#VALUE!</v>
      </c>
      <c r="G633" s="4" t="e">
        <f ca="1">SplineInterp(A633,INDIRECT("'" &amp;Master!$F$10&amp; "'!$A$2:$A$50"),INDIRECT("'" &amp;Master!$F$10&amp; "'!$G$2:$G$50"))</f>
        <v>#VALUE!</v>
      </c>
      <c r="H633" s="4" t="e">
        <f ca="1">SplineInterp(A633,INDIRECT("'" &amp;Master!$F$10&amp; "'!$A$2:$A$50"),INDIRECT("'" &amp;Master!$F$10&amp; "'!$H$2:$H$50"))</f>
        <v>#VALUE!</v>
      </c>
      <c r="I633" s="4" t="e">
        <f ca="1">IF(OR(INDIRECT("'" &amp; Master!$F$8 &amp; Master!$F$6 &amp; "'!B" &amp; ROW(B633))="", INDIRECT("'" &amp; Master!$F$8 &amp; Master!$F$6 &amp; "'!B" &amp; ROW(B633))=0), "", INDIRECT("'" &amp; Master!$F$8 &amp; Master!$F$6 &amp; "'!B" &amp; ROW(B633)))</f>
        <v>#VALUE!</v>
      </c>
      <c r="J633" s="9" t="e">
        <f t="shared" ca="1" si="63"/>
        <v>#VALUE!</v>
      </c>
      <c r="K633" s="7" t="e">
        <f t="shared" ca="1" si="64"/>
        <v>#VALUE!</v>
      </c>
      <c r="L633" s="7" t="e">
        <f t="shared" ca="1" si="65"/>
        <v>#VALUE!</v>
      </c>
      <c r="M633" s="7" t="e">
        <f t="shared" ca="1" si="66"/>
        <v>#VALUE!</v>
      </c>
      <c r="N633" s="7" t="e">
        <f t="shared" ca="1" si="67"/>
        <v>#VALUE!</v>
      </c>
      <c r="O633" s="7" t="e">
        <f t="shared" ca="1" si="68"/>
        <v>#VALUE!</v>
      </c>
      <c r="P633" s="7" t="e">
        <f t="shared" ca="1" si="69"/>
        <v>#VALUE!</v>
      </c>
    </row>
    <row r="634" spans="1:16" x14ac:dyDescent="0.25">
      <c r="A634" s="19" t="str">
        <f ca="1">IF(OR(INDIRECT("'" &amp; Master!$F$8 &amp; Master!$F$6 &amp; "'!A" &amp; ROW(A634))="", INDIRECT("'" &amp; Master!$F$8 &amp; Master!$F$6 &amp; "'!A" &amp; ROW(A634))=0), "", INDIRECT("'" &amp; Master!$F$8 &amp; Master!$F$6 &amp; "'!A" &amp; ROW(A634)))</f>
        <v/>
      </c>
      <c r="B634" s="4" t="e">
        <f ca="1">SplineInterp(INDIRECT("A" &amp; ROW()),INDIRECT("'" &amp;Master!$F$10&amp; "'!$A$2:$A$50"),INDIRECT("'" &amp;Master!$F$10&amp; "'!$B$2:$B$50"))</f>
        <v>#VALUE!</v>
      </c>
      <c r="C634" s="4" t="e">
        <f ca="1">SplineInterp(A634,INDIRECT("'" &amp;Master!$F$10&amp; "'!$A$2:$A$50"),INDIRECT("'" &amp;Master!$F$10&amp; "'!$C$2:$C$50"))</f>
        <v>#VALUE!</v>
      </c>
      <c r="D634" s="4" t="e">
        <f ca="1">SplineInterp(A634,INDIRECT("'" &amp;Master!$F$10&amp; "'!$A$2:$A$50"),INDIRECT("'" &amp;Master!$F$10&amp; "'!$D$2:$D$50"))</f>
        <v>#VALUE!</v>
      </c>
      <c r="E634" s="4" t="e">
        <f ca="1">SplineInterp(A634,INDIRECT("'" &amp;Master!$F$10&amp; "'!$A$2:$A$50"),INDIRECT("'" &amp;Master!$F$10&amp; "'!$E$2:$E$50"))</f>
        <v>#VALUE!</v>
      </c>
      <c r="F634" s="4" t="e">
        <f ca="1">SplineInterp(A634,INDIRECT("'" &amp;Master!$F$10&amp; "'!$A$2:$A$50"),INDIRECT("'" &amp;Master!$F$10&amp; "'!$F$2:$F$50"))</f>
        <v>#VALUE!</v>
      </c>
      <c r="G634" s="4" t="e">
        <f ca="1">SplineInterp(A634,INDIRECT("'" &amp;Master!$F$10&amp; "'!$A$2:$A$50"),INDIRECT("'" &amp;Master!$F$10&amp; "'!$G$2:$G$50"))</f>
        <v>#VALUE!</v>
      </c>
      <c r="H634" s="4" t="e">
        <f ca="1">SplineInterp(A634,INDIRECT("'" &amp;Master!$F$10&amp; "'!$A$2:$A$50"),INDIRECT("'" &amp;Master!$F$10&amp; "'!$H$2:$H$50"))</f>
        <v>#VALUE!</v>
      </c>
      <c r="I634" s="4" t="e">
        <f ca="1">IF(OR(INDIRECT("'" &amp; Master!$F$8 &amp; Master!$F$6 &amp; "'!B" &amp; ROW(B634))="", INDIRECT("'" &amp; Master!$F$8 &amp; Master!$F$6 &amp; "'!B" &amp; ROW(B634))=0), "", INDIRECT("'" &amp; Master!$F$8 &amp; Master!$F$6 &amp; "'!B" &amp; ROW(B634)))</f>
        <v>#VALUE!</v>
      </c>
      <c r="J634" s="9" t="e">
        <f t="shared" ca="1" si="63"/>
        <v>#VALUE!</v>
      </c>
      <c r="K634" s="7" t="e">
        <f t="shared" ca="1" si="64"/>
        <v>#VALUE!</v>
      </c>
      <c r="L634" s="7" t="e">
        <f t="shared" ca="1" si="65"/>
        <v>#VALUE!</v>
      </c>
      <c r="M634" s="7" t="e">
        <f t="shared" ca="1" si="66"/>
        <v>#VALUE!</v>
      </c>
      <c r="N634" s="7" t="e">
        <f t="shared" ca="1" si="67"/>
        <v>#VALUE!</v>
      </c>
      <c r="O634" s="7" t="e">
        <f t="shared" ca="1" si="68"/>
        <v>#VALUE!</v>
      </c>
      <c r="P634" s="7" t="e">
        <f t="shared" ca="1" si="69"/>
        <v>#VALUE!</v>
      </c>
    </row>
    <row r="635" spans="1:16" x14ac:dyDescent="0.25">
      <c r="A635" s="19" t="str">
        <f ca="1">IF(OR(INDIRECT("'" &amp; Master!$F$8 &amp; Master!$F$6 &amp; "'!A" &amp; ROW(A635))="", INDIRECT("'" &amp; Master!$F$8 &amp; Master!$F$6 &amp; "'!A" &amp; ROW(A635))=0), "", INDIRECT("'" &amp; Master!$F$8 &amp; Master!$F$6 &amp; "'!A" &amp; ROW(A635)))</f>
        <v/>
      </c>
      <c r="B635" s="4" t="e">
        <f ca="1">SplineInterp(INDIRECT("A" &amp; ROW()),INDIRECT("'" &amp;Master!$F$10&amp; "'!$A$2:$A$50"),INDIRECT("'" &amp;Master!$F$10&amp; "'!$B$2:$B$50"))</f>
        <v>#VALUE!</v>
      </c>
      <c r="C635" s="4" t="e">
        <f ca="1">SplineInterp(A635,INDIRECT("'" &amp;Master!$F$10&amp; "'!$A$2:$A$50"),INDIRECT("'" &amp;Master!$F$10&amp; "'!$C$2:$C$50"))</f>
        <v>#VALUE!</v>
      </c>
      <c r="D635" s="4" t="e">
        <f ca="1">SplineInterp(A635,INDIRECT("'" &amp;Master!$F$10&amp; "'!$A$2:$A$50"),INDIRECT("'" &amp;Master!$F$10&amp; "'!$D$2:$D$50"))</f>
        <v>#VALUE!</v>
      </c>
      <c r="E635" s="4" t="e">
        <f ca="1">SplineInterp(A635,INDIRECT("'" &amp;Master!$F$10&amp; "'!$A$2:$A$50"),INDIRECT("'" &amp;Master!$F$10&amp; "'!$E$2:$E$50"))</f>
        <v>#VALUE!</v>
      </c>
      <c r="F635" s="4" t="e">
        <f ca="1">SplineInterp(A635,INDIRECT("'" &amp;Master!$F$10&amp; "'!$A$2:$A$50"),INDIRECT("'" &amp;Master!$F$10&amp; "'!$F$2:$F$50"))</f>
        <v>#VALUE!</v>
      </c>
      <c r="G635" s="4" t="e">
        <f ca="1">SplineInterp(A635,INDIRECT("'" &amp;Master!$F$10&amp; "'!$A$2:$A$50"),INDIRECT("'" &amp;Master!$F$10&amp; "'!$G$2:$G$50"))</f>
        <v>#VALUE!</v>
      </c>
      <c r="H635" s="4" t="e">
        <f ca="1">SplineInterp(A635,INDIRECT("'" &amp;Master!$F$10&amp; "'!$A$2:$A$50"),INDIRECT("'" &amp;Master!$F$10&amp; "'!$H$2:$H$50"))</f>
        <v>#VALUE!</v>
      </c>
      <c r="I635" s="4" t="e">
        <f ca="1">IF(OR(INDIRECT("'" &amp; Master!$F$8 &amp; Master!$F$6 &amp; "'!B" &amp; ROW(B635))="", INDIRECT("'" &amp; Master!$F$8 &amp; Master!$F$6 &amp; "'!B" &amp; ROW(B635))=0), "", INDIRECT("'" &amp; Master!$F$8 &amp; Master!$F$6 &amp; "'!B" &amp; ROW(B635)))</f>
        <v>#VALUE!</v>
      </c>
      <c r="J635" s="9" t="e">
        <f t="shared" ca="1" si="63"/>
        <v>#VALUE!</v>
      </c>
      <c r="K635" s="7" t="e">
        <f t="shared" ca="1" si="64"/>
        <v>#VALUE!</v>
      </c>
      <c r="L635" s="7" t="e">
        <f t="shared" ca="1" si="65"/>
        <v>#VALUE!</v>
      </c>
      <c r="M635" s="7" t="e">
        <f t="shared" ca="1" si="66"/>
        <v>#VALUE!</v>
      </c>
      <c r="N635" s="7" t="e">
        <f t="shared" ca="1" si="67"/>
        <v>#VALUE!</v>
      </c>
      <c r="O635" s="7" t="e">
        <f t="shared" ca="1" si="68"/>
        <v>#VALUE!</v>
      </c>
      <c r="P635" s="7" t="e">
        <f t="shared" ca="1" si="69"/>
        <v>#VALUE!</v>
      </c>
    </row>
    <row r="636" spans="1:16" x14ac:dyDescent="0.25">
      <c r="A636" s="19" t="str">
        <f ca="1">IF(OR(INDIRECT("'" &amp; Master!$F$8 &amp; Master!$F$6 &amp; "'!A" &amp; ROW(A636))="", INDIRECT("'" &amp; Master!$F$8 &amp; Master!$F$6 &amp; "'!A" &amp; ROW(A636))=0), "", INDIRECT("'" &amp; Master!$F$8 &amp; Master!$F$6 &amp; "'!A" &amp; ROW(A636)))</f>
        <v/>
      </c>
      <c r="B636" s="4" t="e">
        <f ca="1">SplineInterp(INDIRECT("A" &amp; ROW()),INDIRECT("'" &amp;Master!$F$10&amp; "'!$A$2:$A$50"),INDIRECT("'" &amp;Master!$F$10&amp; "'!$B$2:$B$50"))</f>
        <v>#VALUE!</v>
      </c>
      <c r="C636" s="4" t="e">
        <f ca="1">SplineInterp(A636,INDIRECT("'" &amp;Master!$F$10&amp; "'!$A$2:$A$50"),INDIRECT("'" &amp;Master!$F$10&amp; "'!$C$2:$C$50"))</f>
        <v>#VALUE!</v>
      </c>
      <c r="D636" s="4" t="e">
        <f ca="1">SplineInterp(A636,INDIRECT("'" &amp;Master!$F$10&amp; "'!$A$2:$A$50"),INDIRECT("'" &amp;Master!$F$10&amp; "'!$D$2:$D$50"))</f>
        <v>#VALUE!</v>
      </c>
      <c r="E636" s="4" t="e">
        <f ca="1">SplineInterp(A636,INDIRECT("'" &amp;Master!$F$10&amp; "'!$A$2:$A$50"),INDIRECT("'" &amp;Master!$F$10&amp; "'!$E$2:$E$50"))</f>
        <v>#VALUE!</v>
      </c>
      <c r="F636" s="4" t="e">
        <f ca="1">SplineInterp(A636,INDIRECT("'" &amp;Master!$F$10&amp; "'!$A$2:$A$50"),INDIRECT("'" &amp;Master!$F$10&amp; "'!$F$2:$F$50"))</f>
        <v>#VALUE!</v>
      </c>
      <c r="G636" s="4" t="e">
        <f ca="1">SplineInterp(A636,INDIRECT("'" &amp;Master!$F$10&amp; "'!$A$2:$A$50"),INDIRECT("'" &amp;Master!$F$10&amp; "'!$G$2:$G$50"))</f>
        <v>#VALUE!</v>
      </c>
      <c r="H636" s="4" t="e">
        <f ca="1">SplineInterp(A636,INDIRECT("'" &amp;Master!$F$10&amp; "'!$A$2:$A$50"),INDIRECT("'" &amp;Master!$F$10&amp; "'!$H$2:$H$50"))</f>
        <v>#VALUE!</v>
      </c>
      <c r="I636" s="4" t="e">
        <f ca="1">IF(OR(INDIRECT("'" &amp; Master!$F$8 &amp; Master!$F$6 &amp; "'!B" &amp; ROW(B636))="", INDIRECT("'" &amp; Master!$F$8 &amp; Master!$F$6 &amp; "'!B" &amp; ROW(B636))=0), "", INDIRECT("'" &amp; Master!$F$8 &amp; Master!$F$6 &amp; "'!B" &amp; ROW(B636)))</f>
        <v>#VALUE!</v>
      </c>
      <c r="J636" s="9" t="e">
        <f t="shared" ca="1" si="63"/>
        <v>#VALUE!</v>
      </c>
      <c r="K636" s="7" t="e">
        <f t="shared" ca="1" si="64"/>
        <v>#VALUE!</v>
      </c>
      <c r="L636" s="7" t="e">
        <f t="shared" ca="1" si="65"/>
        <v>#VALUE!</v>
      </c>
      <c r="M636" s="7" t="e">
        <f t="shared" ca="1" si="66"/>
        <v>#VALUE!</v>
      </c>
      <c r="N636" s="7" t="e">
        <f t="shared" ca="1" si="67"/>
        <v>#VALUE!</v>
      </c>
      <c r="O636" s="7" t="e">
        <f t="shared" ca="1" si="68"/>
        <v>#VALUE!</v>
      </c>
      <c r="P636" s="7" t="e">
        <f t="shared" ca="1" si="69"/>
        <v>#VALUE!</v>
      </c>
    </row>
    <row r="637" spans="1:16" x14ac:dyDescent="0.25">
      <c r="A637" s="19" t="str">
        <f ca="1">IF(OR(INDIRECT("'" &amp; Master!$F$8 &amp; Master!$F$6 &amp; "'!A" &amp; ROW(A637))="", INDIRECT("'" &amp; Master!$F$8 &amp; Master!$F$6 &amp; "'!A" &amp; ROW(A637))=0), "", INDIRECT("'" &amp; Master!$F$8 &amp; Master!$F$6 &amp; "'!A" &amp; ROW(A637)))</f>
        <v/>
      </c>
      <c r="B637" s="4" t="e">
        <f ca="1">SplineInterp(INDIRECT("A" &amp; ROW()),INDIRECT("'" &amp;Master!$F$10&amp; "'!$A$2:$A$50"),INDIRECT("'" &amp;Master!$F$10&amp; "'!$B$2:$B$50"))</f>
        <v>#VALUE!</v>
      </c>
      <c r="C637" s="4" t="e">
        <f ca="1">SplineInterp(A637,INDIRECT("'" &amp;Master!$F$10&amp; "'!$A$2:$A$50"),INDIRECT("'" &amp;Master!$F$10&amp; "'!$C$2:$C$50"))</f>
        <v>#VALUE!</v>
      </c>
      <c r="D637" s="4" t="e">
        <f ca="1">SplineInterp(A637,INDIRECT("'" &amp;Master!$F$10&amp; "'!$A$2:$A$50"),INDIRECT("'" &amp;Master!$F$10&amp; "'!$D$2:$D$50"))</f>
        <v>#VALUE!</v>
      </c>
      <c r="E637" s="4" t="e">
        <f ca="1">SplineInterp(A637,INDIRECT("'" &amp;Master!$F$10&amp; "'!$A$2:$A$50"),INDIRECT("'" &amp;Master!$F$10&amp; "'!$E$2:$E$50"))</f>
        <v>#VALUE!</v>
      </c>
      <c r="F637" s="4" t="e">
        <f ca="1">SplineInterp(A637,INDIRECT("'" &amp;Master!$F$10&amp; "'!$A$2:$A$50"),INDIRECT("'" &amp;Master!$F$10&amp; "'!$F$2:$F$50"))</f>
        <v>#VALUE!</v>
      </c>
      <c r="G637" s="4" t="e">
        <f ca="1">SplineInterp(A637,INDIRECT("'" &amp;Master!$F$10&amp; "'!$A$2:$A$50"),INDIRECT("'" &amp;Master!$F$10&amp; "'!$G$2:$G$50"))</f>
        <v>#VALUE!</v>
      </c>
      <c r="H637" s="4" t="e">
        <f ca="1">SplineInterp(A637,INDIRECT("'" &amp;Master!$F$10&amp; "'!$A$2:$A$50"),INDIRECT("'" &amp;Master!$F$10&amp; "'!$H$2:$H$50"))</f>
        <v>#VALUE!</v>
      </c>
      <c r="I637" s="4" t="e">
        <f ca="1">IF(OR(INDIRECT("'" &amp; Master!$F$8 &amp; Master!$F$6 &amp; "'!B" &amp; ROW(B637))="", INDIRECT("'" &amp; Master!$F$8 &amp; Master!$F$6 &amp; "'!B" &amp; ROW(B637))=0), "", INDIRECT("'" &amp; Master!$F$8 &amp; Master!$F$6 &amp; "'!B" &amp; ROW(B637)))</f>
        <v>#VALUE!</v>
      </c>
      <c r="J637" s="9" t="e">
        <f t="shared" ca="1" si="63"/>
        <v>#VALUE!</v>
      </c>
      <c r="K637" s="7" t="e">
        <f t="shared" ca="1" si="64"/>
        <v>#VALUE!</v>
      </c>
      <c r="L637" s="7" t="e">
        <f t="shared" ca="1" si="65"/>
        <v>#VALUE!</v>
      </c>
      <c r="M637" s="7" t="e">
        <f t="shared" ca="1" si="66"/>
        <v>#VALUE!</v>
      </c>
      <c r="N637" s="7" t="e">
        <f t="shared" ca="1" si="67"/>
        <v>#VALUE!</v>
      </c>
      <c r="O637" s="7" t="e">
        <f t="shared" ca="1" si="68"/>
        <v>#VALUE!</v>
      </c>
      <c r="P637" s="7" t="e">
        <f t="shared" ca="1" si="69"/>
        <v>#VALUE!</v>
      </c>
    </row>
    <row r="638" spans="1:16" x14ac:dyDescent="0.25">
      <c r="A638" s="19" t="str">
        <f ca="1">IF(OR(INDIRECT("'" &amp; Master!$F$8 &amp; Master!$F$6 &amp; "'!A" &amp; ROW(A638))="", INDIRECT("'" &amp; Master!$F$8 &amp; Master!$F$6 &amp; "'!A" &amp; ROW(A638))=0), "", INDIRECT("'" &amp; Master!$F$8 &amp; Master!$F$6 &amp; "'!A" &amp; ROW(A638)))</f>
        <v/>
      </c>
      <c r="B638" s="4" t="e">
        <f ca="1">SplineInterp(INDIRECT("A" &amp; ROW()),INDIRECT("'" &amp;Master!$F$10&amp; "'!$A$2:$A$50"),INDIRECT("'" &amp;Master!$F$10&amp; "'!$B$2:$B$50"))</f>
        <v>#VALUE!</v>
      </c>
      <c r="C638" s="4" t="e">
        <f ca="1">SplineInterp(A638,INDIRECT("'" &amp;Master!$F$10&amp; "'!$A$2:$A$50"),INDIRECT("'" &amp;Master!$F$10&amp; "'!$C$2:$C$50"))</f>
        <v>#VALUE!</v>
      </c>
      <c r="D638" s="4" t="e">
        <f ca="1">SplineInterp(A638,INDIRECT("'" &amp;Master!$F$10&amp; "'!$A$2:$A$50"),INDIRECT("'" &amp;Master!$F$10&amp; "'!$D$2:$D$50"))</f>
        <v>#VALUE!</v>
      </c>
      <c r="E638" s="4" t="e">
        <f ca="1">SplineInterp(A638,INDIRECT("'" &amp;Master!$F$10&amp; "'!$A$2:$A$50"),INDIRECT("'" &amp;Master!$F$10&amp; "'!$E$2:$E$50"))</f>
        <v>#VALUE!</v>
      </c>
      <c r="F638" s="4" t="e">
        <f ca="1">SplineInterp(A638,INDIRECT("'" &amp;Master!$F$10&amp; "'!$A$2:$A$50"),INDIRECT("'" &amp;Master!$F$10&amp; "'!$F$2:$F$50"))</f>
        <v>#VALUE!</v>
      </c>
      <c r="G638" s="4" t="e">
        <f ca="1">SplineInterp(A638,INDIRECT("'" &amp;Master!$F$10&amp; "'!$A$2:$A$50"),INDIRECT("'" &amp;Master!$F$10&amp; "'!$G$2:$G$50"))</f>
        <v>#VALUE!</v>
      </c>
      <c r="H638" s="4" t="e">
        <f ca="1">SplineInterp(A638,INDIRECT("'" &amp;Master!$F$10&amp; "'!$A$2:$A$50"),INDIRECT("'" &amp;Master!$F$10&amp; "'!$H$2:$H$50"))</f>
        <v>#VALUE!</v>
      </c>
      <c r="I638" s="4" t="e">
        <f ca="1">IF(OR(INDIRECT("'" &amp; Master!$F$8 &amp; Master!$F$6 &amp; "'!B" &amp; ROW(B638))="", INDIRECT("'" &amp; Master!$F$8 &amp; Master!$F$6 &amp; "'!B" &amp; ROW(B638))=0), "", INDIRECT("'" &amp; Master!$F$8 &amp; Master!$F$6 &amp; "'!B" &amp; ROW(B638)))</f>
        <v>#VALUE!</v>
      </c>
      <c r="J638" s="9" t="e">
        <f t="shared" ca="1" si="63"/>
        <v>#VALUE!</v>
      </c>
      <c r="K638" s="7" t="e">
        <f t="shared" ca="1" si="64"/>
        <v>#VALUE!</v>
      </c>
      <c r="L638" s="7" t="e">
        <f t="shared" ca="1" si="65"/>
        <v>#VALUE!</v>
      </c>
      <c r="M638" s="7" t="e">
        <f t="shared" ca="1" si="66"/>
        <v>#VALUE!</v>
      </c>
      <c r="N638" s="7" t="e">
        <f t="shared" ca="1" si="67"/>
        <v>#VALUE!</v>
      </c>
      <c r="O638" s="7" t="e">
        <f t="shared" ca="1" si="68"/>
        <v>#VALUE!</v>
      </c>
      <c r="P638" s="7" t="e">
        <f t="shared" ca="1" si="69"/>
        <v>#VALUE!</v>
      </c>
    </row>
    <row r="639" spans="1:16" x14ac:dyDescent="0.25">
      <c r="A639" s="19" t="str">
        <f ca="1">IF(OR(INDIRECT("'" &amp; Master!$F$8 &amp; Master!$F$6 &amp; "'!A" &amp; ROW(A639))="", INDIRECT("'" &amp; Master!$F$8 &amp; Master!$F$6 &amp; "'!A" &amp; ROW(A639))=0), "", INDIRECT("'" &amp; Master!$F$8 &amp; Master!$F$6 &amp; "'!A" &amp; ROW(A639)))</f>
        <v/>
      </c>
      <c r="B639" s="4" t="e">
        <f ca="1">SplineInterp(INDIRECT("A" &amp; ROW()),INDIRECT("'" &amp;Master!$F$10&amp; "'!$A$2:$A$50"),INDIRECT("'" &amp;Master!$F$10&amp; "'!$B$2:$B$50"))</f>
        <v>#VALUE!</v>
      </c>
      <c r="C639" s="4" t="e">
        <f ca="1">SplineInterp(A639,INDIRECT("'" &amp;Master!$F$10&amp; "'!$A$2:$A$50"),INDIRECT("'" &amp;Master!$F$10&amp; "'!$C$2:$C$50"))</f>
        <v>#VALUE!</v>
      </c>
      <c r="D639" s="4" t="e">
        <f ca="1">SplineInterp(A639,INDIRECT("'" &amp;Master!$F$10&amp; "'!$A$2:$A$50"),INDIRECT("'" &amp;Master!$F$10&amp; "'!$D$2:$D$50"))</f>
        <v>#VALUE!</v>
      </c>
      <c r="E639" s="4" t="e">
        <f ca="1">SplineInterp(A639,INDIRECT("'" &amp;Master!$F$10&amp; "'!$A$2:$A$50"),INDIRECT("'" &amp;Master!$F$10&amp; "'!$E$2:$E$50"))</f>
        <v>#VALUE!</v>
      </c>
      <c r="F639" s="4" t="e">
        <f ca="1">SplineInterp(A639,INDIRECT("'" &amp;Master!$F$10&amp; "'!$A$2:$A$50"),INDIRECT("'" &amp;Master!$F$10&amp; "'!$F$2:$F$50"))</f>
        <v>#VALUE!</v>
      </c>
      <c r="G639" s="4" t="e">
        <f ca="1">SplineInterp(A639,INDIRECT("'" &amp;Master!$F$10&amp; "'!$A$2:$A$50"),INDIRECT("'" &amp;Master!$F$10&amp; "'!$G$2:$G$50"))</f>
        <v>#VALUE!</v>
      </c>
      <c r="H639" s="4" t="e">
        <f ca="1">SplineInterp(A639,INDIRECT("'" &amp;Master!$F$10&amp; "'!$A$2:$A$50"),INDIRECT("'" &amp;Master!$F$10&amp; "'!$H$2:$H$50"))</f>
        <v>#VALUE!</v>
      </c>
      <c r="I639" s="4" t="e">
        <f ca="1">IF(OR(INDIRECT("'" &amp; Master!$F$8 &amp; Master!$F$6 &amp; "'!B" &amp; ROW(B639))="", INDIRECT("'" &amp; Master!$F$8 &amp; Master!$F$6 &amp; "'!B" &amp; ROW(B639))=0), "", INDIRECT("'" &amp; Master!$F$8 &amp; Master!$F$6 &amp; "'!B" &amp; ROW(B639)))</f>
        <v>#VALUE!</v>
      </c>
      <c r="J639" s="9" t="e">
        <f t="shared" ca="1" si="63"/>
        <v>#VALUE!</v>
      </c>
      <c r="K639" s="7" t="e">
        <f t="shared" ca="1" si="64"/>
        <v>#VALUE!</v>
      </c>
      <c r="L639" s="7" t="e">
        <f t="shared" ca="1" si="65"/>
        <v>#VALUE!</v>
      </c>
      <c r="M639" s="7" t="e">
        <f t="shared" ca="1" si="66"/>
        <v>#VALUE!</v>
      </c>
      <c r="N639" s="7" t="e">
        <f t="shared" ca="1" si="67"/>
        <v>#VALUE!</v>
      </c>
      <c r="O639" s="7" t="e">
        <f t="shared" ca="1" si="68"/>
        <v>#VALUE!</v>
      </c>
      <c r="P639" s="7" t="e">
        <f t="shared" ca="1" si="69"/>
        <v>#VALUE!</v>
      </c>
    </row>
    <row r="640" spans="1:16" x14ac:dyDescent="0.25">
      <c r="A640" s="19" t="str">
        <f ca="1">IF(OR(INDIRECT("'" &amp; Master!$F$8 &amp; Master!$F$6 &amp; "'!A" &amp; ROW(A640))="", INDIRECT("'" &amp; Master!$F$8 &amp; Master!$F$6 &amp; "'!A" &amp; ROW(A640))=0), "", INDIRECT("'" &amp; Master!$F$8 &amp; Master!$F$6 &amp; "'!A" &amp; ROW(A640)))</f>
        <v/>
      </c>
      <c r="B640" s="4" t="e">
        <f ca="1">SplineInterp(INDIRECT("A" &amp; ROW()),INDIRECT("'" &amp;Master!$F$10&amp; "'!$A$2:$A$50"),INDIRECT("'" &amp;Master!$F$10&amp; "'!$B$2:$B$50"))</f>
        <v>#VALUE!</v>
      </c>
      <c r="C640" s="4" t="e">
        <f ca="1">SplineInterp(A640,INDIRECT("'" &amp;Master!$F$10&amp; "'!$A$2:$A$50"),INDIRECT("'" &amp;Master!$F$10&amp; "'!$C$2:$C$50"))</f>
        <v>#VALUE!</v>
      </c>
      <c r="D640" s="4" t="e">
        <f ca="1">SplineInterp(A640,INDIRECT("'" &amp;Master!$F$10&amp; "'!$A$2:$A$50"),INDIRECT("'" &amp;Master!$F$10&amp; "'!$D$2:$D$50"))</f>
        <v>#VALUE!</v>
      </c>
      <c r="E640" s="4" t="e">
        <f ca="1">SplineInterp(A640,INDIRECT("'" &amp;Master!$F$10&amp; "'!$A$2:$A$50"),INDIRECT("'" &amp;Master!$F$10&amp; "'!$E$2:$E$50"))</f>
        <v>#VALUE!</v>
      </c>
      <c r="F640" s="4" t="e">
        <f ca="1">SplineInterp(A640,INDIRECT("'" &amp;Master!$F$10&amp; "'!$A$2:$A$50"),INDIRECT("'" &amp;Master!$F$10&amp; "'!$F$2:$F$50"))</f>
        <v>#VALUE!</v>
      </c>
      <c r="G640" s="4" t="e">
        <f ca="1">SplineInterp(A640,INDIRECT("'" &amp;Master!$F$10&amp; "'!$A$2:$A$50"),INDIRECT("'" &amp;Master!$F$10&amp; "'!$G$2:$G$50"))</f>
        <v>#VALUE!</v>
      </c>
      <c r="H640" s="4" t="e">
        <f ca="1">SplineInterp(A640,INDIRECT("'" &amp;Master!$F$10&amp; "'!$A$2:$A$50"),INDIRECT("'" &amp;Master!$F$10&amp; "'!$H$2:$H$50"))</f>
        <v>#VALUE!</v>
      </c>
      <c r="I640" s="4" t="e">
        <f ca="1">IF(OR(INDIRECT("'" &amp; Master!$F$8 &amp; Master!$F$6 &amp; "'!B" &amp; ROW(B640))="", INDIRECT("'" &amp; Master!$F$8 &amp; Master!$F$6 &amp; "'!B" &amp; ROW(B640))=0), "", INDIRECT("'" &amp; Master!$F$8 &amp; Master!$F$6 &amp; "'!B" &amp; ROW(B640)))</f>
        <v>#VALUE!</v>
      </c>
      <c r="J640" s="9" t="e">
        <f t="shared" ca="1" si="63"/>
        <v>#VALUE!</v>
      </c>
      <c r="K640" s="7" t="e">
        <f t="shared" ca="1" si="64"/>
        <v>#VALUE!</v>
      </c>
      <c r="L640" s="7" t="e">
        <f t="shared" ca="1" si="65"/>
        <v>#VALUE!</v>
      </c>
      <c r="M640" s="7" t="e">
        <f t="shared" ca="1" si="66"/>
        <v>#VALUE!</v>
      </c>
      <c r="N640" s="7" t="e">
        <f t="shared" ca="1" si="67"/>
        <v>#VALUE!</v>
      </c>
      <c r="O640" s="7" t="e">
        <f t="shared" ca="1" si="68"/>
        <v>#VALUE!</v>
      </c>
      <c r="P640" s="7" t="e">
        <f t="shared" ca="1" si="69"/>
        <v>#VALUE!</v>
      </c>
    </row>
    <row r="641" spans="1:16" x14ac:dyDescent="0.25">
      <c r="A641" s="19" t="str">
        <f ca="1">IF(OR(INDIRECT("'" &amp; Master!$F$8 &amp; Master!$F$6 &amp; "'!A" &amp; ROW(A641))="", INDIRECT("'" &amp; Master!$F$8 &amp; Master!$F$6 &amp; "'!A" &amp; ROW(A641))=0), "", INDIRECT("'" &amp; Master!$F$8 &amp; Master!$F$6 &amp; "'!A" &amp; ROW(A641)))</f>
        <v/>
      </c>
      <c r="B641" s="4" t="e">
        <f ca="1">SplineInterp(INDIRECT("A" &amp; ROW()),INDIRECT("'" &amp;Master!$F$10&amp; "'!$A$2:$A$50"),INDIRECT("'" &amp;Master!$F$10&amp; "'!$B$2:$B$50"))</f>
        <v>#VALUE!</v>
      </c>
      <c r="C641" s="4" t="e">
        <f ca="1">SplineInterp(A641,INDIRECT("'" &amp;Master!$F$10&amp; "'!$A$2:$A$50"),INDIRECT("'" &amp;Master!$F$10&amp; "'!$C$2:$C$50"))</f>
        <v>#VALUE!</v>
      </c>
      <c r="D641" s="4" t="e">
        <f ca="1">SplineInterp(A641,INDIRECT("'" &amp;Master!$F$10&amp; "'!$A$2:$A$50"),INDIRECT("'" &amp;Master!$F$10&amp; "'!$D$2:$D$50"))</f>
        <v>#VALUE!</v>
      </c>
      <c r="E641" s="4" t="e">
        <f ca="1">SplineInterp(A641,INDIRECT("'" &amp;Master!$F$10&amp; "'!$A$2:$A$50"),INDIRECT("'" &amp;Master!$F$10&amp; "'!$E$2:$E$50"))</f>
        <v>#VALUE!</v>
      </c>
      <c r="F641" s="4" t="e">
        <f ca="1">SplineInterp(A641,INDIRECT("'" &amp;Master!$F$10&amp; "'!$A$2:$A$50"),INDIRECT("'" &amp;Master!$F$10&amp; "'!$F$2:$F$50"))</f>
        <v>#VALUE!</v>
      </c>
      <c r="G641" s="4" t="e">
        <f ca="1">SplineInterp(A641,INDIRECT("'" &amp;Master!$F$10&amp; "'!$A$2:$A$50"),INDIRECT("'" &amp;Master!$F$10&amp; "'!$G$2:$G$50"))</f>
        <v>#VALUE!</v>
      </c>
      <c r="H641" s="4" t="e">
        <f ca="1">SplineInterp(A641,INDIRECT("'" &amp;Master!$F$10&amp; "'!$A$2:$A$50"),INDIRECT("'" &amp;Master!$F$10&amp; "'!$H$2:$H$50"))</f>
        <v>#VALUE!</v>
      </c>
      <c r="I641" s="4" t="e">
        <f ca="1">IF(OR(INDIRECT("'" &amp; Master!$F$8 &amp; Master!$F$6 &amp; "'!B" &amp; ROW(B641))="", INDIRECT("'" &amp; Master!$F$8 &amp; Master!$F$6 &amp; "'!B" &amp; ROW(B641))=0), "", INDIRECT("'" &amp; Master!$F$8 &amp; Master!$F$6 &amp; "'!B" &amp; ROW(B641)))</f>
        <v>#VALUE!</v>
      </c>
      <c r="J641" s="9" t="e">
        <f t="shared" ca="1" si="63"/>
        <v>#VALUE!</v>
      </c>
      <c r="K641" s="7" t="e">
        <f t="shared" ca="1" si="64"/>
        <v>#VALUE!</v>
      </c>
      <c r="L641" s="7" t="e">
        <f t="shared" ca="1" si="65"/>
        <v>#VALUE!</v>
      </c>
      <c r="M641" s="7" t="e">
        <f t="shared" ca="1" si="66"/>
        <v>#VALUE!</v>
      </c>
      <c r="N641" s="7" t="e">
        <f t="shared" ca="1" si="67"/>
        <v>#VALUE!</v>
      </c>
      <c r="O641" s="7" t="e">
        <f t="shared" ca="1" si="68"/>
        <v>#VALUE!</v>
      </c>
      <c r="P641" s="7" t="e">
        <f t="shared" ca="1" si="69"/>
        <v>#VALUE!</v>
      </c>
    </row>
    <row r="642" spans="1:16" x14ac:dyDescent="0.25">
      <c r="A642" s="19" t="str">
        <f ca="1">IF(OR(INDIRECT("'" &amp; Master!$F$8 &amp; Master!$F$6 &amp; "'!A" &amp; ROW(A642))="", INDIRECT("'" &amp; Master!$F$8 &amp; Master!$F$6 &amp; "'!A" &amp; ROW(A642))=0), "", INDIRECT("'" &amp; Master!$F$8 &amp; Master!$F$6 &amp; "'!A" &amp; ROW(A642)))</f>
        <v/>
      </c>
      <c r="B642" s="4" t="e">
        <f ca="1">SplineInterp(INDIRECT("A" &amp; ROW()),INDIRECT("'" &amp;Master!$F$10&amp; "'!$A$2:$A$50"),INDIRECT("'" &amp;Master!$F$10&amp; "'!$B$2:$B$50"))</f>
        <v>#VALUE!</v>
      </c>
      <c r="C642" s="4" t="e">
        <f ca="1">SplineInterp(A642,INDIRECT("'" &amp;Master!$F$10&amp; "'!$A$2:$A$50"),INDIRECT("'" &amp;Master!$F$10&amp; "'!$C$2:$C$50"))</f>
        <v>#VALUE!</v>
      </c>
      <c r="D642" s="4" t="e">
        <f ca="1">SplineInterp(A642,INDIRECT("'" &amp;Master!$F$10&amp; "'!$A$2:$A$50"),INDIRECT("'" &amp;Master!$F$10&amp; "'!$D$2:$D$50"))</f>
        <v>#VALUE!</v>
      </c>
      <c r="E642" s="4" t="e">
        <f ca="1">SplineInterp(A642,INDIRECT("'" &amp;Master!$F$10&amp; "'!$A$2:$A$50"),INDIRECT("'" &amp;Master!$F$10&amp; "'!$E$2:$E$50"))</f>
        <v>#VALUE!</v>
      </c>
      <c r="F642" s="4" t="e">
        <f ca="1">SplineInterp(A642,INDIRECT("'" &amp;Master!$F$10&amp; "'!$A$2:$A$50"),INDIRECT("'" &amp;Master!$F$10&amp; "'!$F$2:$F$50"))</f>
        <v>#VALUE!</v>
      </c>
      <c r="G642" s="4" t="e">
        <f ca="1">SplineInterp(A642,INDIRECT("'" &amp;Master!$F$10&amp; "'!$A$2:$A$50"),INDIRECT("'" &amp;Master!$F$10&amp; "'!$G$2:$G$50"))</f>
        <v>#VALUE!</v>
      </c>
      <c r="H642" s="4" t="e">
        <f ca="1">SplineInterp(A642,INDIRECT("'" &amp;Master!$F$10&amp; "'!$A$2:$A$50"),INDIRECT("'" &amp;Master!$F$10&amp; "'!$H$2:$H$50"))</f>
        <v>#VALUE!</v>
      </c>
      <c r="I642" s="4" t="e">
        <f ca="1">IF(OR(INDIRECT("'" &amp; Master!$F$8 &amp; Master!$F$6 &amp; "'!B" &amp; ROW(B642))="", INDIRECT("'" &amp; Master!$F$8 &amp; Master!$F$6 &amp; "'!B" &amp; ROW(B642))=0), "", INDIRECT("'" &amp; Master!$F$8 &amp; Master!$F$6 &amp; "'!B" &amp; ROW(B642)))</f>
        <v>#VALUE!</v>
      </c>
      <c r="J642" s="9" t="e">
        <f t="shared" ca="1" si="63"/>
        <v>#VALUE!</v>
      </c>
      <c r="K642" s="7" t="e">
        <f t="shared" ca="1" si="64"/>
        <v>#VALUE!</v>
      </c>
      <c r="L642" s="7" t="e">
        <f t="shared" ca="1" si="65"/>
        <v>#VALUE!</v>
      </c>
      <c r="M642" s="7" t="e">
        <f t="shared" ca="1" si="66"/>
        <v>#VALUE!</v>
      </c>
      <c r="N642" s="7" t="e">
        <f t="shared" ca="1" si="67"/>
        <v>#VALUE!</v>
      </c>
      <c r="O642" s="7" t="e">
        <f t="shared" ca="1" si="68"/>
        <v>#VALUE!</v>
      </c>
      <c r="P642" s="7" t="e">
        <f t="shared" ca="1" si="69"/>
        <v>#VALUE!</v>
      </c>
    </row>
    <row r="643" spans="1:16" x14ac:dyDescent="0.25">
      <c r="A643" s="19" t="str">
        <f ca="1">IF(OR(INDIRECT("'" &amp; Master!$F$8 &amp; Master!$F$6 &amp; "'!A" &amp; ROW(A643))="", INDIRECT("'" &amp; Master!$F$8 &amp; Master!$F$6 &amp; "'!A" &amp; ROW(A643))=0), "", INDIRECT("'" &amp; Master!$F$8 &amp; Master!$F$6 &amp; "'!A" &amp; ROW(A643)))</f>
        <v/>
      </c>
      <c r="B643" s="4" t="e">
        <f ca="1">SplineInterp(INDIRECT("A" &amp; ROW()),INDIRECT("'" &amp;Master!$F$10&amp; "'!$A$2:$A$50"),INDIRECT("'" &amp;Master!$F$10&amp; "'!$B$2:$B$50"))</f>
        <v>#VALUE!</v>
      </c>
      <c r="C643" s="4" t="e">
        <f ca="1">SplineInterp(A643,INDIRECT("'" &amp;Master!$F$10&amp; "'!$A$2:$A$50"),INDIRECT("'" &amp;Master!$F$10&amp; "'!$C$2:$C$50"))</f>
        <v>#VALUE!</v>
      </c>
      <c r="D643" s="4" t="e">
        <f ca="1">SplineInterp(A643,INDIRECT("'" &amp;Master!$F$10&amp; "'!$A$2:$A$50"),INDIRECT("'" &amp;Master!$F$10&amp; "'!$D$2:$D$50"))</f>
        <v>#VALUE!</v>
      </c>
      <c r="E643" s="4" t="e">
        <f ca="1">SplineInterp(A643,INDIRECT("'" &amp;Master!$F$10&amp; "'!$A$2:$A$50"),INDIRECT("'" &amp;Master!$F$10&amp; "'!$E$2:$E$50"))</f>
        <v>#VALUE!</v>
      </c>
      <c r="F643" s="4" t="e">
        <f ca="1">SplineInterp(A643,INDIRECT("'" &amp;Master!$F$10&amp; "'!$A$2:$A$50"),INDIRECT("'" &amp;Master!$F$10&amp; "'!$F$2:$F$50"))</f>
        <v>#VALUE!</v>
      </c>
      <c r="G643" s="4" t="e">
        <f ca="1">SplineInterp(A643,INDIRECT("'" &amp;Master!$F$10&amp; "'!$A$2:$A$50"),INDIRECT("'" &amp;Master!$F$10&amp; "'!$G$2:$G$50"))</f>
        <v>#VALUE!</v>
      </c>
      <c r="H643" s="4" t="e">
        <f ca="1">SplineInterp(A643,INDIRECT("'" &amp;Master!$F$10&amp; "'!$A$2:$A$50"),INDIRECT("'" &amp;Master!$F$10&amp; "'!$H$2:$H$50"))</f>
        <v>#VALUE!</v>
      </c>
      <c r="I643" s="4" t="e">
        <f ca="1">IF(OR(INDIRECT("'" &amp; Master!$F$8 &amp; Master!$F$6 &amp; "'!B" &amp; ROW(B643))="", INDIRECT("'" &amp; Master!$F$8 &amp; Master!$F$6 &amp; "'!B" &amp; ROW(B643))=0), "", INDIRECT("'" &amp; Master!$F$8 &amp; Master!$F$6 &amp; "'!B" &amp; ROW(B643)))</f>
        <v>#VALUE!</v>
      </c>
      <c r="J643" s="9" t="e">
        <f t="shared" ref="J643:J706" ca="1" si="70">B643*I643</f>
        <v>#VALUE!</v>
      </c>
      <c r="K643" s="7" t="e">
        <f t="shared" ref="K643:K706" ca="1" si="71">C643*I643</f>
        <v>#VALUE!</v>
      </c>
      <c r="L643" s="7" t="e">
        <f t="shared" ref="L643:L706" ca="1" si="72">D643*I643</f>
        <v>#VALUE!</v>
      </c>
      <c r="M643" s="7" t="e">
        <f t="shared" ref="M643:M706" ca="1" si="73">E643*I643</f>
        <v>#VALUE!</v>
      </c>
      <c r="N643" s="7" t="e">
        <f t="shared" ref="N643:N706" ca="1" si="74">F643*I643</f>
        <v>#VALUE!</v>
      </c>
      <c r="O643" s="7" t="e">
        <f t="shared" ref="O643:O706" ca="1" si="75">G643*I643</f>
        <v>#VALUE!</v>
      </c>
      <c r="P643" s="7" t="e">
        <f t="shared" ref="P643:P706" ca="1" si="76">H643*I643</f>
        <v>#VALUE!</v>
      </c>
    </row>
    <row r="644" spans="1:16" x14ac:dyDescent="0.25">
      <c r="A644" s="19" t="str">
        <f ca="1">IF(OR(INDIRECT("'" &amp; Master!$F$8 &amp; Master!$F$6 &amp; "'!A" &amp; ROW(A644))="", INDIRECT("'" &amp; Master!$F$8 &amp; Master!$F$6 &amp; "'!A" &amp; ROW(A644))=0), "", INDIRECT("'" &amp; Master!$F$8 &amp; Master!$F$6 &amp; "'!A" &amp; ROW(A644)))</f>
        <v/>
      </c>
      <c r="B644" s="4" t="e">
        <f ca="1">SplineInterp(INDIRECT("A" &amp; ROW()),INDIRECT("'" &amp;Master!$F$10&amp; "'!$A$2:$A$50"),INDIRECT("'" &amp;Master!$F$10&amp; "'!$B$2:$B$50"))</f>
        <v>#VALUE!</v>
      </c>
      <c r="C644" s="4" t="e">
        <f ca="1">SplineInterp(A644,INDIRECT("'" &amp;Master!$F$10&amp; "'!$A$2:$A$50"),INDIRECT("'" &amp;Master!$F$10&amp; "'!$C$2:$C$50"))</f>
        <v>#VALUE!</v>
      </c>
      <c r="D644" s="4" t="e">
        <f ca="1">SplineInterp(A644,INDIRECT("'" &amp;Master!$F$10&amp; "'!$A$2:$A$50"),INDIRECT("'" &amp;Master!$F$10&amp; "'!$D$2:$D$50"))</f>
        <v>#VALUE!</v>
      </c>
      <c r="E644" s="4" t="e">
        <f ca="1">SplineInterp(A644,INDIRECT("'" &amp;Master!$F$10&amp; "'!$A$2:$A$50"),INDIRECT("'" &amp;Master!$F$10&amp; "'!$E$2:$E$50"))</f>
        <v>#VALUE!</v>
      </c>
      <c r="F644" s="4" t="e">
        <f ca="1">SplineInterp(A644,INDIRECT("'" &amp;Master!$F$10&amp; "'!$A$2:$A$50"),INDIRECT("'" &amp;Master!$F$10&amp; "'!$F$2:$F$50"))</f>
        <v>#VALUE!</v>
      </c>
      <c r="G644" s="4" t="e">
        <f ca="1">SplineInterp(A644,INDIRECT("'" &amp;Master!$F$10&amp; "'!$A$2:$A$50"),INDIRECT("'" &amp;Master!$F$10&amp; "'!$G$2:$G$50"))</f>
        <v>#VALUE!</v>
      </c>
      <c r="H644" s="4" t="e">
        <f ca="1">SplineInterp(A644,INDIRECT("'" &amp;Master!$F$10&amp; "'!$A$2:$A$50"),INDIRECT("'" &amp;Master!$F$10&amp; "'!$H$2:$H$50"))</f>
        <v>#VALUE!</v>
      </c>
      <c r="I644" s="4" t="e">
        <f ca="1">IF(OR(INDIRECT("'" &amp; Master!$F$8 &amp; Master!$F$6 &amp; "'!B" &amp; ROW(B644))="", INDIRECT("'" &amp; Master!$F$8 &amp; Master!$F$6 &amp; "'!B" &amp; ROW(B644))=0), "", INDIRECT("'" &amp; Master!$F$8 &amp; Master!$F$6 &amp; "'!B" &amp; ROW(B644)))</f>
        <v>#VALUE!</v>
      </c>
      <c r="J644" s="9" t="e">
        <f t="shared" ca="1" si="70"/>
        <v>#VALUE!</v>
      </c>
      <c r="K644" s="7" t="e">
        <f t="shared" ca="1" si="71"/>
        <v>#VALUE!</v>
      </c>
      <c r="L644" s="7" t="e">
        <f t="shared" ca="1" si="72"/>
        <v>#VALUE!</v>
      </c>
      <c r="M644" s="7" t="e">
        <f t="shared" ca="1" si="73"/>
        <v>#VALUE!</v>
      </c>
      <c r="N644" s="7" t="e">
        <f t="shared" ca="1" si="74"/>
        <v>#VALUE!</v>
      </c>
      <c r="O644" s="7" t="e">
        <f t="shared" ca="1" si="75"/>
        <v>#VALUE!</v>
      </c>
      <c r="P644" s="7" t="e">
        <f t="shared" ca="1" si="76"/>
        <v>#VALUE!</v>
      </c>
    </row>
    <row r="645" spans="1:16" x14ac:dyDescent="0.25">
      <c r="A645" s="19" t="str">
        <f ca="1">IF(OR(INDIRECT("'" &amp; Master!$F$8 &amp; Master!$F$6 &amp; "'!A" &amp; ROW(A645))="", INDIRECT("'" &amp; Master!$F$8 &amp; Master!$F$6 &amp; "'!A" &amp; ROW(A645))=0), "", INDIRECT("'" &amp; Master!$F$8 &amp; Master!$F$6 &amp; "'!A" &amp; ROW(A645)))</f>
        <v/>
      </c>
      <c r="B645" s="4" t="e">
        <f ca="1">SplineInterp(INDIRECT("A" &amp; ROW()),INDIRECT("'" &amp;Master!$F$10&amp; "'!$A$2:$A$50"),INDIRECT("'" &amp;Master!$F$10&amp; "'!$B$2:$B$50"))</f>
        <v>#VALUE!</v>
      </c>
      <c r="C645" s="4" t="e">
        <f ca="1">SplineInterp(A645,INDIRECT("'" &amp;Master!$F$10&amp; "'!$A$2:$A$50"),INDIRECT("'" &amp;Master!$F$10&amp; "'!$C$2:$C$50"))</f>
        <v>#VALUE!</v>
      </c>
      <c r="D645" s="4" t="e">
        <f ca="1">SplineInterp(A645,INDIRECT("'" &amp;Master!$F$10&amp; "'!$A$2:$A$50"),INDIRECT("'" &amp;Master!$F$10&amp; "'!$D$2:$D$50"))</f>
        <v>#VALUE!</v>
      </c>
      <c r="E645" s="4" t="e">
        <f ca="1">SplineInterp(A645,INDIRECT("'" &amp;Master!$F$10&amp; "'!$A$2:$A$50"),INDIRECT("'" &amp;Master!$F$10&amp; "'!$E$2:$E$50"))</f>
        <v>#VALUE!</v>
      </c>
      <c r="F645" s="4" t="e">
        <f ca="1">SplineInterp(A645,INDIRECT("'" &amp;Master!$F$10&amp; "'!$A$2:$A$50"),INDIRECT("'" &amp;Master!$F$10&amp; "'!$F$2:$F$50"))</f>
        <v>#VALUE!</v>
      </c>
      <c r="G645" s="4" t="e">
        <f ca="1">SplineInterp(A645,INDIRECT("'" &amp;Master!$F$10&amp; "'!$A$2:$A$50"),INDIRECT("'" &amp;Master!$F$10&amp; "'!$G$2:$G$50"))</f>
        <v>#VALUE!</v>
      </c>
      <c r="H645" s="4" t="e">
        <f ca="1">SplineInterp(A645,INDIRECT("'" &amp;Master!$F$10&amp; "'!$A$2:$A$50"),INDIRECT("'" &amp;Master!$F$10&amp; "'!$H$2:$H$50"))</f>
        <v>#VALUE!</v>
      </c>
      <c r="I645" s="4" t="e">
        <f ca="1">IF(OR(INDIRECT("'" &amp; Master!$F$8 &amp; Master!$F$6 &amp; "'!B" &amp; ROW(B645))="", INDIRECT("'" &amp; Master!$F$8 &amp; Master!$F$6 &amp; "'!B" &amp; ROW(B645))=0), "", INDIRECT("'" &amp; Master!$F$8 &amp; Master!$F$6 &amp; "'!B" &amp; ROW(B645)))</f>
        <v>#VALUE!</v>
      </c>
      <c r="J645" s="9" t="e">
        <f t="shared" ca="1" si="70"/>
        <v>#VALUE!</v>
      </c>
      <c r="K645" s="7" t="e">
        <f t="shared" ca="1" si="71"/>
        <v>#VALUE!</v>
      </c>
      <c r="L645" s="7" t="e">
        <f t="shared" ca="1" si="72"/>
        <v>#VALUE!</v>
      </c>
      <c r="M645" s="7" t="e">
        <f t="shared" ca="1" si="73"/>
        <v>#VALUE!</v>
      </c>
      <c r="N645" s="7" t="e">
        <f t="shared" ca="1" si="74"/>
        <v>#VALUE!</v>
      </c>
      <c r="O645" s="7" t="e">
        <f t="shared" ca="1" si="75"/>
        <v>#VALUE!</v>
      </c>
      <c r="P645" s="7" t="e">
        <f t="shared" ca="1" si="76"/>
        <v>#VALUE!</v>
      </c>
    </row>
    <row r="646" spans="1:16" x14ac:dyDescent="0.25">
      <c r="A646" s="19" t="str">
        <f ca="1">IF(OR(INDIRECT("'" &amp; Master!$F$8 &amp; Master!$F$6 &amp; "'!A" &amp; ROW(A646))="", INDIRECT("'" &amp; Master!$F$8 &amp; Master!$F$6 &amp; "'!A" &amp; ROW(A646))=0), "", INDIRECT("'" &amp; Master!$F$8 &amp; Master!$F$6 &amp; "'!A" &amp; ROW(A646)))</f>
        <v/>
      </c>
      <c r="B646" s="4" t="e">
        <f ca="1">SplineInterp(INDIRECT("A" &amp; ROW()),INDIRECT("'" &amp;Master!$F$10&amp; "'!$A$2:$A$50"),INDIRECT("'" &amp;Master!$F$10&amp; "'!$B$2:$B$50"))</f>
        <v>#VALUE!</v>
      </c>
      <c r="C646" s="4" t="e">
        <f ca="1">SplineInterp(A646,INDIRECT("'" &amp;Master!$F$10&amp; "'!$A$2:$A$50"),INDIRECT("'" &amp;Master!$F$10&amp; "'!$C$2:$C$50"))</f>
        <v>#VALUE!</v>
      </c>
      <c r="D646" s="4" t="e">
        <f ca="1">SplineInterp(A646,INDIRECT("'" &amp;Master!$F$10&amp; "'!$A$2:$A$50"),INDIRECT("'" &amp;Master!$F$10&amp; "'!$D$2:$D$50"))</f>
        <v>#VALUE!</v>
      </c>
      <c r="E646" s="4" t="e">
        <f ca="1">SplineInterp(A646,INDIRECT("'" &amp;Master!$F$10&amp; "'!$A$2:$A$50"),INDIRECT("'" &amp;Master!$F$10&amp; "'!$E$2:$E$50"))</f>
        <v>#VALUE!</v>
      </c>
      <c r="F646" s="4" t="e">
        <f ca="1">SplineInterp(A646,INDIRECT("'" &amp;Master!$F$10&amp; "'!$A$2:$A$50"),INDIRECT("'" &amp;Master!$F$10&amp; "'!$F$2:$F$50"))</f>
        <v>#VALUE!</v>
      </c>
      <c r="G646" s="4" t="e">
        <f ca="1">SplineInterp(A646,INDIRECT("'" &amp;Master!$F$10&amp; "'!$A$2:$A$50"),INDIRECT("'" &amp;Master!$F$10&amp; "'!$G$2:$G$50"))</f>
        <v>#VALUE!</v>
      </c>
      <c r="H646" s="4" t="e">
        <f ca="1">SplineInterp(A646,INDIRECT("'" &amp;Master!$F$10&amp; "'!$A$2:$A$50"),INDIRECT("'" &amp;Master!$F$10&amp; "'!$H$2:$H$50"))</f>
        <v>#VALUE!</v>
      </c>
      <c r="I646" s="4" t="e">
        <f ca="1">IF(OR(INDIRECT("'" &amp; Master!$F$8 &amp; Master!$F$6 &amp; "'!B" &amp; ROW(B646))="", INDIRECT("'" &amp; Master!$F$8 &amp; Master!$F$6 &amp; "'!B" &amp; ROW(B646))=0), "", INDIRECT("'" &amp; Master!$F$8 &amp; Master!$F$6 &amp; "'!B" &amp; ROW(B646)))</f>
        <v>#VALUE!</v>
      </c>
      <c r="J646" s="9" t="e">
        <f t="shared" ca="1" si="70"/>
        <v>#VALUE!</v>
      </c>
      <c r="K646" s="7" t="e">
        <f t="shared" ca="1" si="71"/>
        <v>#VALUE!</v>
      </c>
      <c r="L646" s="7" t="e">
        <f t="shared" ca="1" si="72"/>
        <v>#VALUE!</v>
      </c>
      <c r="M646" s="7" t="e">
        <f t="shared" ca="1" si="73"/>
        <v>#VALUE!</v>
      </c>
      <c r="N646" s="7" t="e">
        <f t="shared" ca="1" si="74"/>
        <v>#VALUE!</v>
      </c>
      <c r="O646" s="7" t="e">
        <f t="shared" ca="1" si="75"/>
        <v>#VALUE!</v>
      </c>
      <c r="P646" s="7" t="e">
        <f t="shared" ca="1" si="76"/>
        <v>#VALUE!</v>
      </c>
    </row>
    <row r="647" spans="1:16" x14ac:dyDescent="0.25">
      <c r="A647" s="19" t="str">
        <f ca="1">IF(OR(INDIRECT("'" &amp; Master!$F$8 &amp; Master!$F$6 &amp; "'!A" &amp; ROW(A647))="", INDIRECT("'" &amp; Master!$F$8 &amp; Master!$F$6 &amp; "'!A" &amp; ROW(A647))=0), "", INDIRECT("'" &amp; Master!$F$8 &amp; Master!$F$6 &amp; "'!A" &amp; ROW(A647)))</f>
        <v/>
      </c>
      <c r="B647" s="4" t="e">
        <f ca="1">SplineInterp(INDIRECT("A" &amp; ROW()),INDIRECT("'" &amp;Master!$F$10&amp; "'!$A$2:$A$50"),INDIRECT("'" &amp;Master!$F$10&amp; "'!$B$2:$B$50"))</f>
        <v>#VALUE!</v>
      </c>
      <c r="C647" s="4" t="e">
        <f ca="1">SplineInterp(A647,INDIRECT("'" &amp;Master!$F$10&amp; "'!$A$2:$A$50"),INDIRECT("'" &amp;Master!$F$10&amp; "'!$C$2:$C$50"))</f>
        <v>#VALUE!</v>
      </c>
      <c r="D647" s="4" t="e">
        <f ca="1">SplineInterp(A647,INDIRECT("'" &amp;Master!$F$10&amp; "'!$A$2:$A$50"),INDIRECT("'" &amp;Master!$F$10&amp; "'!$D$2:$D$50"))</f>
        <v>#VALUE!</v>
      </c>
      <c r="E647" s="4" t="e">
        <f ca="1">SplineInterp(A647,INDIRECT("'" &amp;Master!$F$10&amp; "'!$A$2:$A$50"),INDIRECT("'" &amp;Master!$F$10&amp; "'!$E$2:$E$50"))</f>
        <v>#VALUE!</v>
      </c>
      <c r="F647" s="4" t="e">
        <f ca="1">SplineInterp(A647,INDIRECT("'" &amp;Master!$F$10&amp; "'!$A$2:$A$50"),INDIRECT("'" &amp;Master!$F$10&amp; "'!$F$2:$F$50"))</f>
        <v>#VALUE!</v>
      </c>
      <c r="G647" s="4" t="e">
        <f ca="1">SplineInterp(A647,INDIRECT("'" &amp;Master!$F$10&amp; "'!$A$2:$A$50"),INDIRECT("'" &amp;Master!$F$10&amp; "'!$G$2:$G$50"))</f>
        <v>#VALUE!</v>
      </c>
      <c r="H647" s="4" t="e">
        <f ca="1">SplineInterp(A647,INDIRECT("'" &amp;Master!$F$10&amp; "'!$A$2:$A$50"),INDIRECT("'" &amp;Master!$F$10&amp; "'!$H$2:$H$50"))</f>
        <v>#VALUE!</v>
      </c>
      <c r="I647" s="4" t="e">
        <f ca="1">IF(OR(INDIRECT("'" &amp; Master!$F$8 &amp; Master!$F$6 &amp; "'!B" &amp; ROW(B647))="", INDIRECT("'" &amp; Master!$F$8 &amp; Master!$F$6 &amp; "'!B" &amp; ROW(B647))=0), "", INDIRECT("'" &amp; Master!$F$8 &amp; Master!$F$6 &amp; "'!B" &amp; ROW(B647)))</f>
        <v>#VALUE!</v>
      </c>
      <c r="J647" s="9" t="e">
        <f t="shared" ca="1" si="70"/>
        <v>#VALUE!</v>
      </c>
      <c r="K647" s="7" t="e">
        <f t="shared" ca="1" si="71"/>
        <v>#VALUE!</v>
      </c>
      <c r="L647" s="7" t="e">
        <f t="shared" ca="1" si="72"/>
        <v>#VALUE!</v>
      </c>
      <c r="M647" s="7" t="e">
        <f t="shared" ca="1" si="73"/>
        <v>#VALUE!</v>
      </c>
      <c r="N647" s="7" t="e">
        <f t="shared" ca="1" si="74"/>
        <v>#VALUE!</v>
      </c>
      <c r="O647" s="7" t="e">
        <f t="shared" ca="1" si="75"/>
        <v>#VALUE!</v>
      </c>
      <c r="P647" s="7" t="e">
        <f t="shared" ca="1" si="76"/>
        <v>#VALUE!</v>
      </c>
    </row>
    <row r="648" spans="1:16" x14ac:dyDescent="0.25">
      <c r="A648" s="19" t="str">
        <f ca="1">IF(OR(INDIRECT("'" &amp; Master!$F$8 &amp; Master!$F$6 &amp; "'!A" &amp; ROW(A648))="", INDIRECT("'" &amp; Master!$F$8 &amp; Master!$F$6 &amp; "'!A" &amp; ROW(A648))=0), "", INDIRECT("'" &amp; Master!$F$8 &amp; Master!$F$6 &amp; "'!A" &amp; ROW(A648)))</f>
        <v/>
      </c>
      <c r="B648" s="4" t="e">
        <f ca="1">SplineInterp(INDIRECT("A" &amp; ROW()),INDIRECT("'" &amp;Master!$F$10&amp; "'!$A$2:$A$50"),INDIRECT("'" &amp;Master!$F$10&amp; "'!$B$2:$B$50"))</f>
        <v>#VALUE!</v>
      </c>
      <c r="C648" s="4" t="e">
        <f ca="1">SplineInterp(A648,INDIRECT("'" &amp;Master!$F$10&amp; "'!$A$2:$A$50"),INDIRECT("'" &amp;Master!$F$10&amp; "'!$C$2:$C$50"))</f>
        <v>#VALUE!</v>
      </c>
      <c r="D648" s="4" t="e">
        <f ca="1">SplineInterp(A648,INDIRECT("'" &amp;Master!$F$10&amp; "'!$A$2:$A$50"),INDIRECT("'" &amp;Master!$F$10&amp; "'!$D$2:$D$50"))</f>
        <v>#VALUE!</v>
      </c>
      <c r="E648" s="4" t="e">
        <f ca="1">SplineInterp(A648,INDIRECT("'" &amp;Master!$F$10&amp; "'!$A$2:$A$50"),INDIRECT("'" &amp;Master!$F$10&amp; "'!$E$2:$E$50"))</f>
        <v>#VALUE!</v>
      </c>
      <c r="F648" s="4" t="e">
        <f ca="1">SplineInterp(A648,INDIRECT("'" &amp;Master!$F$10&amp; "'!$A$2:$A$50"),INDIRECT("'" &amp;Master!$F$10&amp; "'!$F$2:$F$50"))</f>
        <v>#VALUE!</v>
      </c>
      <c r="G648" s="4" t="e">
        <f ca="1">SplineInterp(A648,INDIRECT("'" &amp;Master!$F$10&amp; "'!$A$2:$A$50"),INDIRECT("'" &amp;Master!$F$10&amp; "'!$G$2:$G$50"))</f>
        <v>#VALUE!</v>
      </c>
      <c r="H648" s="4" t="e">
        <f ca="1">SplineInterp(A648,INDIRECT("'" &amp;Master!$F$10&amp; "'!$A$2:$A$50"),INDIRECT("'" &amp;Master!$F$10&amp; "'!$H$2:$H$50"))</f>
        <v>#VALUE!</v>
      </c>
      <c r="I648" s="4" t="e">
        <f ca="1">IF(OR(INDIRECT("'" &amp; Master!$F$8 &amp; Master!$F$6 &amp; "'!B" &amp; ROW(B648))="", INDIRECT("'" &amp; Master!$F$8 &amp; Master!$F$6 &amp; "'!B" &amp; ROW(B648))=0), "", INDIRECT("'" &amp; Master!$F$8 &amp; Master!$F$6 &amp; "'!B" &amp; ROW(B648)))</f>
        <v>#VALUE!</v>
      </c>
      <c r="J648" s="9" t="e">
        <f t="shared" ca="1" si="70"/>
        <v>#VALUE!</v>
      </c>
      <c r="K648" s="7" t="e">
        <f t="shared" ca="1" si="71"/>
        <v>#VALUE!</v>
      </c>
      <c r="L648" s="7" t="e">
        <f t="shared" ca="1" si="72"/>
        <v>#VALUE!</v>
      </c>
      <c r="M648" s="7" t="e">
        <f t="shared" ca="1" si="73"/>
        <v>#VALUE!</v>
      </c>
      <c r="N648" s="7" t="e">
        <f t="shared" ca="1" si="74"/>
        <v>#VALUE!</v>
      </c>
      <c r="O648" s="7" t="e">
        <f t="shared" ca="1" si="75"/>
        <v>#VALUE!</v>
      </c>
      <c r="P648" s="7" t="e">
        <f t="shared" ca="1" si="76"/>
        <v>#VALUE!</v>
      </c>
    </row>
    <row r="649" spans="1:16" x14ac:dyDescent="0.25">
      <c r="A649" s="19" t="str">
        <f ca="1">IF(OR(INDIRECT("'" &amp; Master!$F$8 &amp; Master!$F$6 &amp; "'!A" &amp; ROW(A649))="", INDIRECT("'" &amp; Master!$F$8 &amp; Master!$F$6 &amp; "'!A" &amp; ROW(A649))=0), "", INDIRECT("'" &amp; Master!$F$8 &amp; Master!$F$6 &amp; "'!A" &amp; ROW(A649)))</f>
        <v/>
      </c>
      <c r="B649" s="4" t="e">
        <f ca="1">SplineInterp(INDIRECT("A" &amp; ROW()),INDIRECT("'" &amp;Master!$F$10&amp; "'!$A$2:$A$50"),INDIRECT("'" &amp;Master!$F$10&amp; "'!$B$2:$B$50"))</f>
        <v>#VALUE!</v>
      </c>
      <c r="C649" s="4" t="e">
        <f ca="1">SplineInterp(A649,INDIRECT("'" &amp;Master!$F$10&amp; "'!$A$2:$A$50"),INDIRECT("'" &amp;Master!$F$10&amp; "'!$C$2:$C$50"))</f>
        <v>#VALUE!</v>
      </c>
      <c r="D649" s="4" t="e">
        <f ca="1">SplineInterp(A649,INDIRECT("'" &amp;Master!$F$10&amp; "'!$A$2:$A$50"),INDIRECT("'" &amp;Master!$F$10&amp; "'!$D$2:$D$50"))</f>
        <v>#VALUE!</v>
      </c>
      <c r="E649" s="4" t="e">
        <f ca="1">SplineInterp(A649,INDIRECT("'" &amp;Master!$F$10&amp; "'!$A$2:$A$50"),INDIRECT("'" &amp;Master!$F$10&amp; "'!$E$2:$E$50"))</f>
        <v>#VALUE!</v>
      </c>
      <c r="F649" s="4" t="e">
        <f ca="1">SplineInterp(A649,INDIRECT("'" &amp;Master!$F$10&amp; "'!$A$2:$A$50"),INDIRECT("'" &amp;Master!$F$10&amp; "'!$F$2:$F$50"))</f>
        <v>#VALUE!</v>
      </c>
      <c r="G649" s="4" t="e">
        <f ca="1">SplineInterp(A649,INDIRECT("'" &amp;Master!$F$10&amp; "'!$A$2:$A$50"),INDIRECT("'" &amp;Master!$F$10&amp; "'!$G$2:$G$50"))</f>
        <v>#VALUE!</v>
      </c>
      <c r="H649" s="4" t="e">
        <f ca="1">SplineInterp(A649,INDIRECT("'" &amp;Master!$F$10&amp; "'!$A$2:$A$50"),INDIRECT("'" &amp;Master!$F$10&amp; "'!$H$2:$H$50"))</f>
        <v>#VALUE!</v>
      </c>
      <c r="I649" s="4" t="e">
        <f ca="1">IF(OR(INDIRECT("'" &amp; Master!$F$8 &amp; Master!$F$6 &amp; "'!B" &amp; ROW(B649))="", INDIRECT("'" &amp; Master!$F$8 &amp; Master!$F$6 &amp; "'!B" &amp; ROW(B649))=0), "", INDIRECT("'" &amp; Master!$F$8 &amp; Master!$F$6 &amp; "'!B" &amp; ROW(B649)))</f>
        <v>#VALUE!</v>
      </c>
      <c r="J649" s="9" t="e">
        <f t="shared" ca="1" si="70"/>
        <v>#VALUE!</v>
      </c>
      <c r="K649" s="7" t="e">
        <f t="shared" ca="1" si="71"/>
        <v>#VALUE!</v>
      </c>
      <c r="L649" s="7" t="e">
        <f t="shared" ca="1" si="72"/>
        <v>#VALUE!</v>
      </c>
      <c r="M649" s="7" t="e">
        <f t="shared" ca="1" si="73"/>
        <v>#VALUE!</v>
      </c>
      <c r="N649" s="7" t="e">
        <f t="shared" ca="1" si="74"/>
        <v>#VALUE!</v>
      </c>
      <c r="O649" s="7" t="e">
        <f t="shared" ca="1" si="75"/>
        <v>#VALUE!</v>
      </c>
      <c r="P649" s="7" t="e">
        <f t="shared" ca="1" si="76"/>
        <v>#VALUE!</v>
      </c>
    </row>
    <row r="650" spans="1:16" x14ac:dyDescent="0.25">
      <c r="A650" s="19" t="str">
        <f ca="1">IF(OR(INDIRECT("'" &amp; Master!$F$8 &amp; Master!$F$6 &amp; "'!A" &amp; ROW(A650))="", INDIRECT("'" &amp; Master!$F$8 &amp; Master!$F$6 &amp; "'!A" &amp; ROW(A650))=0), "", INDIRECT("'" &amp; Master!$F$8 &amp; Master!$F$6 &amp; "'!A" &amp; ROW(A650)))</f>
        <v/>
      </c>
      <c r="B650" s="4" t="e">
        <f ca="1">SplineInterp(INDIRECT("A" &amp; ROW()),INDIRECT("'" &amp;Master!$F$10&amp; "'!$A$2:$A$50"),INDIRECT("'" &amp;Master!$F$10&amp; "'!$B$2:$B$50"))</f>
        <v>#VALUE!</v>
      </c>
      <c r="C650" s="4" t="e">
        <f ca="1">SplineInterp(A650,INDIRECT("'" &amp;Master!$F$10&amp; "'!$A$2:$A$50"),INDIRECT("'" &amp;Master!$F$10&amp; "'!$C$2:$C$50"))</f>
        <v>#VALUE!</v>
      </c>
      <c r="D650" s="4" t="e">
        <f ca="1">SplineInterp(A650,INDIRECT("'" &amp;Master!$F$10&amp; "'!$A$2:$A$50"),INDIRECT("'" &amp;Master!$F$10&amp; "'!$D$2:$D$50"))</f>
        <v>#VALUE!</v>
      </c>
      <c r="E650" s="4" t="e">
        <f ca="1">SplineInterp(A650,INDIRECT("'" &amp;Master!$F$10&amp; "'!$A$2:$A$50"),INDIRECT("'" &amp;Master!$F$10&amp; "'!$E$2:$E$50"))</f>
        <v>#VALUE!</v>
      </c>
      <c r="F650" s="4" t="e">
        <f ca="1">SplineInterp(A650,INDIRECT("'" &amp;Master!$F$10&amp; "'!$A$2:$A$50"),INDIRECT("'" &amp;Master!$F$10&amp; "'!$F$2:$F$50"))</f>
        <v>#VALUE!</v>
      </c>
      <c r="G650" s="4" t="e">
        <f ca="1">SplineInterp(A650,INDIRECT("'" &amp;Master!$F$10&amp; "'!$A$2:$A$50"),INDIRECT("'" &amp;Master!$F$10&amp; "'!$G$2:$G$50"))</f>
        <v>#VALUE!</v>
      </c>
      <c r="H650" s="4" t="e">
        <f ca="1">SplineInterp(A650,INDIRECT("'" &amp;Master!$F$10&amp; "'!$A$2:$A$50"),INDIRECT("'" &amp;Master!$F$10&amp; "'!$H$2:$H$50"))</f>
        <v>#VALUE!</v>
      </c>
      <c r="I650" s="4" t="e">
        <f ca="1">IF(OR(INDIRECT("'" &amp; Master!$F$8 &amp; Master!$F$6 &amp; "'!B" &amp; ROW(B650))="", INDIRECT("'" &amp; Master!$F$8 &amp; Master!$F$6 &amp; "'!B" &amp; ROW(B650))=0), "", INDIRECT("'" &amp; Master!$F$8 &amp; Master!$F$6 &amp; "'!B" &amp; ROW(B650)))</f>
        <v>#VALUE!</v>
      </c>
      <c r="J650" s="9" t="e">
        <f t="shared" ca="1" si="70"/>
        <v>#VALUE!</v>
      </c>
      <c r="K650" s="7" t="e">
        <f t="shared" ca="1" si="71"/>
        <v>#VALUE!</v>
      </c>
      <c r="L650" s="7" t="e">
        <f t="shared" ca="1" si="72"/>
        <v>#VALUE!</v>
      </c>
      <c r="M650" s="7" t="e">
        <f t="shared" ca="1" si="73"/>
        <v>#VALUE!</v>
      </c>
      <c r="N650" s="7" t="e">
        <f t="shared" ca="1" si="74"/>
        <v>#VALUE!</v>
      </c>
      <c r="O650" s="7" t="e">
        <f t="shared" ca="1" si="75"/>
        <v>#VALUE!</v>
      </c>
      <c r="P650" s="7" t="e">
        <f t="shared" ca="1" si="76"/>
        <v>#VALUE!</v>
      </c>
    </row>
    <row r="651" spans="1:16" x14ac:dyDescent="0.25">
      <c r="A651" s="19" t="str">
        <f ca="1">IF(OR(INDIRECT("'" &amp; Master!$F$8 &amp; Master!$F$6 &amp; "'!A" &amp; ROW(A651))="", INDIRECT("'" &amp; Master!$F$8 &amp; Master!$F$6 &amp; "'!A" &amp; ROW(A651))=0), "", INDIRECT("'" &amp; Master!$F$8 &amp; Master!$F$6 &amp; "'!A" &amp; ROW(A651)))</f>
        <v/>
      </c>
      <c r="B651" s="4" t="e">
        <f ca="1">SplineInterp(INDIRECT("A" &amp; ROW()),INDIRECT("'" &amp;Master!$F$10&amp; "'!$A$2:$A$50"),INDIRECT("'" &amp;Master!$F$10&amp; "'!$B$2:$B$50"))</f>
        <v>#VALUE!</v>
      </c>
      <c r="C651" s="4" t="e">
        <f ca="1">SplineInterp(A651,INDIRECT("'" &amp;Master!$F$10&amp; "'!$A$2:$A$50"),INDIRECT("'" &amp;Master!$F$10&amp; "'!$C$2:$C$50"))</f>
        <v>#VALUE!</v>
      </c>
      <c r="D651" s="4" t="e">
        <f ca="1">SplineInterp(A651,INDIRECT("'" &amp;Master!$F$10&amp; "'!$A$2:$A$50"),INDIRECT("'" &amp;Master!$F$10&amp; "'!$D$2:$D$50"))</f>
        <v>#VALUE!</v>
      </c>
      <c r="E651" s="4" t="e">
        <f ca="1">SplineInterp(A651,INDIRECT("'" &amp;Master!$F$10&amp; "'!$A$2:$A$50"),INDIRECT("'" &amp;Master!$F$10&amp; "'!$E$2:$E$50"))</f>
        <v>#VALUE!</v>
      </c>
      <c r="F651" s="4" t="e">
        <f ca="1">SplineInterp(A651,INDIRECT("'" &amp;Master!$F$10&amp; "'!$A$2:$A$50"),INDIRECT("'" &amp;Master!$F$10&amp; "'!$F$2:$F$50"))</f>
        <v>#VALUE!</v>
      </c>
      <c r="G651" s="4" t="e">
        <f ca="1">SplineInterp(A651,INDIRECT("'" &amp;Master!$F$10&amp; "'!$A$2:$A$50"),INDIRECT("'" &amp;Master!$F$10&amp; "'!$G$2:$G$50"))</f>
        <v>#VALUE!</v>
      </c>
      <c r="H651" s="4" t="e">
        <f ca="1">SplineInterp(A651,INDIRECT("'" &amp;Master!$F$10&amp; "'!$A$2:$A$50"),INDIRECT("'" &amp;Master!$F$10&amp; "'!$H$2:$H$50"))</f>
        <v>#VALUE!</v>
      </c>
      <c r="I651" s="4" t="e">
        <f ca="1">IF(OR(INDIRECT("'" &amp; Master!$F$8 &amp; Master!$F$6 &amp; "'!B" &amp; ROW(B651))="", INDIRECT("'" &amp; Master!$F$8 &amp; Master!$F$6 &amp; "'!B" &amp; ROW(B651))=0), "", INDIRECT("'" &amp; Master!$F$8 &amp; Master!$F$6 &amp; "'!B" &amp; ROW(B651)))</f>
        <v>#VALUE!</v>
      </c>
      <c r="J651" s="9" t="e">
        <f t="shared" ca="1" si="70"/>
        <v>#VALUE!</v>
      </c>
      <c r="K651" s="7" t="e">
        <f t="shared" ca="1" si="71"/>
        <v>#VALUE!</v>
      </c>
      <c r="L651" s="7" t="e">
        <f t="shared" ca="1" si="72"/>
        <v>#VALUE!</v>
      </c>
      <c r="M651" s="7" t="e">
        <f t="shared" ca="1" si="73"/>
        <v>#VALUE!</v>
      </c>
      <c r="N651" s="7" t="e">
        <f t="shared" ca="1" si="74"/>
        <v>#VALUE!</v>
      </c>
      <c r="O651" s="7" t="e">
        <f t="shared" ca="1" si="75"/>
        <v>#VALUE!</v>
      </c>
      <c r="P651" s="7" t="e">
        <f t="shared" ca="1" si="76"/>
        <v>#VALUE!</v>
      </c>
    </row>
    <row r="652" spans="1:16" x14ac:dyDescent="0.25">
      <c r="A652" s="19" t="str">
        <f ca="1">IF(OR(INDIRECT("'" &amp; Master!$F$8 &amp; Master!$F$6 &amp; "'!A" &amp; ROW(A652))="", INDIRECT("'" &amp; Master!$F$8 &amp; Master!$F$6 &amp; "'!A" &amp; ROW(A652))=0), "", INDIRECT("'" &amp; Master!$F$8 &amp; Master!$F$6 &amp; "'!A" &amp; ROW(A652)))</f>
        <v/>
      </c>
      <c r="B652" s="4" t="e">
        <f ca="1">SplineInterp(INDIRECT("A" &amp; ROW()),INDIRECT("'" &amp;Master!$F$10&amp; "'!$A$2:$A$50"),INDIRECT("'" &amp;Master!$F$10&amp; "'!$B$2:$B$50"))</f>
        <v>#VALUE!</v>
      </c>
      <c r="C652" s="4" t="e">
        <f ca="1">SplineInterp(A652,INDIRECT("'" &amp;Master!$F$10&amp; "'!$A$2:$A$50"),INDIRECT("'" &amp;Master!$F$10&amp; "'!$C$2:$C$50"))</f>
        <v>#VALUE!</v>
      </c>
      <c r="D652" s="4" t="e">
        <f ca="1">SplineInterp(A652,INDIRECT("'" &amp;Master!$F$10&amp; "'!$A$2:$A$50"),INDIRECT("'" &amp;Master!$F$10&amp; "'!$D$2:$D$50"))</f>
        <v>#VALUE!</v>
      </c>
      <c r="E652" s="4" t="e">
        <f ca="1">SplineInterp(A652,INDIRECT("'" &amp;Master!$F$10&amp; "'!$A$2:$A$50"),INDIRECT("'" &amp;Master!$F$10&amp; "'!$E$2:$E$50"))</f>
        <v>#VALUE!</v>
      </c>
      <c r="F652" s="4" t="e">
        <f ca="1">SplineInterp(A652,INDIRECT("'" &amp;Master!$F$10&amp; "'!$A$2:$A$50"),INDIRECT("'" &amp;Master!$F$10&amp; "'!$F$2:$F$50"))</f>
        <v>#VALUE!</v>
      </c>
      <c r="G652" s="4" t="e">
        <f ca="1">SplineInterp(A652,INDIRECT("'" &amp;Master!$F$10&amp; "'!$A$2:$A$50"),INDIRECT("'" &amp;Master!$F$10&amp; "'!$G$2:$G$50"))</f>
        <v>#VALUE!</v>
      </c>
      <c r="H652" s="4" t="e">
        <f ca="1">SplineInterp(A652,INDIRECT("'" &amp;Master!$F$10&amp; "'!$A$2:$A$50"),INDIRECT("'" &amp;Master!$F$10&amp; "'!$H$2:$H$50"))</f>
        <v>#VALUE!</v>
      </c>
      <c r="I652" s="4" t="e">
        <f ca="1">IF(OR(INDIRECT("'" &amp; Master!$F$8 &amp; Master!$F$6 &amp; "'!B" &amp; ROW(B652))="", INDIRECT("'" &amp; Master!$F$8 &amp; Master!$F$6 &amp; "'!B" &amp; ROW(B652))=0), "", INDIRECT("'" &amp; Master!$F$8 &amp; Master!$F$6 &amp; "'!B" &amp; ROW(B652)))</f>
        <v>#VALUE!</v>
      </c>
      <c r="J652" s="9" t="e">
        <f t="shared" ca="1" si="70"/>
        <v>#VALUE!</v>
      </c>
      <c r="K652" s="7" t="e">
        <f t="shared" ca="1" si="71"/>
        <v>#VALUE!</v>
      </c>
      <c r="L652" s="7" t="e">
        <f t="shared" ca="1" si="72"/>
        <v>#VALUE!</v>
      </c>
      <c r="M652" s="7" t="e">
        <f t="shared" ca="1" si="73"/>
        <v>#VALUE!</v>
      </c>
      <c r="N652" s="7" t="e">
        <f t="shared" ca="1" si="74"/>
        <v>#VALUE!</v>
      </c>
      <c r="O652" s="7" t="e">
        <f t="shared" ca="1" si="75"/>
        <v>#VALUE!</v>
      </c>
      <c r="P652" s="7" t="e">
        <f t="shared" ca="1" si="76"/>
        <v>#VALUE!</v>
      </c>
    </row>
    <row r="653" spans="1:16" x14ac:dyDescent="0.25">
      <c r="A653" s="19" t="str">
        <f ca="1">IF(OR(INDIRECT("'" &amp; Master!$F$8 &amp; Master!$F$6 &amp; "'!A" &amp; ROW(A653))="", INDIRECT("'" &amp; Master!$F$8 &amp; Master!$F$6 &amp; "'!A" &amp; ROW(A653))=0), "", INDIRECT("'" &amp; Master!$F$8 &amp; Master!$F$6 &amp; "'!A" &amp; ROW(A653)))</f>
        <v/>
      </c>
      <c r="B653" s="4" t="e">
        <f ca="1">SplineInterp(INDIRECT("A" &amp; ROW()),INDIRECT("'" &amp;Master!$F$10&amp; "'!$A$2:$A$50"),INDIRECT("'" &amp;Master!$F$10&amp; "'!$B$2:$B$50"))</f>
        <v>#VALUE!</v>
      </c>
      <c r="C653" s="4" t="e">
        <f ca="1">SplineInterp(A653,INDIRECT("'" &amp;Master!$F$10&amp; "'!$A$2:$A$50"),INDIRECT("'" &amp;Master!$F$10&amp; "'!$C$2:$C$50"))</f>
        <v>#VALUE!</v>
      </c>
      <c r="D653" s="4" t="e">
        <f ca="1">SplineInterp(A653,INDIRECT("'" &amp;Master!$F$10&amp; "'!$A$2:$A$50"),INDIRECT("'" &amp;Master!$F$10&amp; "'!$D$2:$D$50"))</f>
        <v>#VALUE!</v>
      </c>
      <c r="E653" s="4" t="e">
        <f ca="1">SplineInterp(A653,INDIRECT("'" &amp;Master!$F$10&amp; "'!$A$2:$A$50"),INDIRECT("'" &amp;Master!$F$10&amp; "'!$E$2:$E$50"))</f>
        <v>#VALUE!</v>
      </c>
      <c r="F653" s="4" t="e">
        <f ca="1">SplineInterp(A653,INDIRECT("'" &amp;Master!$F$10&amp; "'!$A$2:$A$50"),INDIRECT("'" &amp;Master!$F$10&amp; "'!$F$2:$F$50"))</f>
        <v>#VALUE!</v>
      </c>
      <c r="G653" s="4" t="e">
        <f ca="1">SplineInterp(A653,INDIRECT("'" &amp;Master!$F$10&amp; "'!$A$2:$A$50"),INDIRECT("'" &amp;Master!$F$10&amp; "'!$G$2:$G$50"))</f>
        <v>#VALUE!</v>
      </c>
      <c r="H653" s="4" t="e">
        <f ca="1">SplineInterp(A653,INDIRECT("'" &amp;Master!$F$10&amp; "'!$A$2:$A$50"),INDIRECT("'" &amp;Master!$F$10&amp; "'!$H$2:$H$50"))</f>
        <v>#VALUE!</v>
      </c>
      <c r="I653" s="4" t="e">
        <f ca="1">IF(OR(INDIRECT("'" &amp; Master!$F$8 &amp; Master!$F$6 &amp; "'!B" &amp; ROW(B653))="", INDIRECT("'" &amp; Master!$F$8 &amp; Master!$F$6 &amp; "'!B" &amp; ROW(B653))=0), "", INDIRECT("'" &amp; Master!$F$8 &amp; Master!$F$6 &amp; "'!B" &amp; ROW(B653)))</f>
        <v>#VALUE!</v>
      </c>
      <c r="J653" s="9" t="e">
        <f t="shared" ca="1" si="70"/>
        <v>#VALUE!</v>
      </c>
      <c r="K653" s="7" t="e">
        <f t="shared" ca="1" si="71"/>
        <v>#VALUE!</v>
      </c>
      <c r="L653" s="7" t="e">
        <f t="shared" ca="1" si="72"/>
        <v>#VALUE!</v>
      </c>
      <c r="M653" s="7" t="e">
        <f t="shared" ca="1" si="73"/>
        <v>#VALUE!</v>
      </c>
      <c r="N653" s="7" t="e">
        <f t="shared" ca="1" si="74"/>
        <v>#VALUE!</v>
      </c>
      <c r="O653" s="7" t="e">
        <f t="shared" ca="1" si="75"/>
        <v>#VALUE!</v>
      </c>
      <c r="P653" s="7" t="e">
        <f t="shared" ca="1" si="76"/>
        <v>#VALUE!</v>
      </c>
    </row>
    <row r="654" spans="1:16" x14ac:dyDescent="0.25">
      <c r="A654" s="19" t="str">
        <f ca="1">IF(OR(INDIRECT("'" &amp; Master!$F$8 &amp; Master!$F$6 &amp; "'!A" &amp; ROW(A654))="", INDIRECT("'" &amp; Master!$F$8 &amp; Master!$F$6 &amp; "'!A" &amp; ROW(A654))=0), "", INDIRECT("'" &amp; Master!$F$8 &amp; Master!$F$6 &amp; "'!A" &amp; ROW(A654)))</f>
        <v/>
      </c>
      <c r="B654" s="4" t="e">
        <f ca="1">SplineInterp(INDIRECT("A" &amp; ROW()),INDIRECT("'" &amp;Master!$F$10&amp; "'!$A$2:$A$50"),INDIRECT("'" &amp;Master!$F$10&amp; "'!$B$2:$B$50"))</f>
        <v>#VALUE!</v>
      </c>
      <c r="C654" s="4" t="e">
        <f ca="1">SplineInterp(A654,INDIRECT("'" &amp;Master!$F$10&amp; "'!$A$2:$A$50"),INDIRECT("'" &amp;Master!$F$10&amp; "'!$C$2:$C$50"))</f>
        <v>#VALUE!</v>
      </c>
      <c r="D654" s="4" t="e">
        <f ca="1">SplineInterp(A654,INDIRECT("'" &amp;Master!$F$10&amp; "'!$A$2:$A$50"),INDIRECT("'" &amp;Master!$F$10&amp; "'!$D$2:$D$50"))</f>
        <v>#VALUE!</v>
      </c>
      <c r="E654" s="4" t="e">
        <f ca="1">SplineInterp(A654,INDIRECT("'" &amp;Master!$F$10&amp; "'!$A$2:$A$50"),INDIRECT("'" &amp;Master!$F$10&amp; "'!$E$2:$E$50"))</f>
        <v>#VALUE!</v>
      </c>
      <c r="F654" s="4" t="e">
        <f ca="1">SplineInterp(A654,INDIRECT("'" &amp;Master!$F$10&amp; "'!$A$2:$A$50"),INDIRECT("'" &amp;Master!$F$10&amp; "'!$F$2:$F$50"))</f>
        <v>#VALUE!</v>
      </c>
      <c r="G654" s="4" t="e">
        <f ca="1">SplineInterp(A654,INDIRECT("'" &amp;Master!$F$10&amp; "'!$A$2:$A$50"),INDIRECT("'" &amp;Master!$F$10&amp; "'!$G$2:$G$50"))</f>
        <v>#VALUE!</v>
      </c>
      <c r="H654" s="4" t="e">
        <f ca="1">SplineInterp(A654,INDIRECT("'" &amp;Master!$F$10&amp; "'!$A$2:$A$50"),INDIRECT("'" &amp;Master!$F$10&amp; "'!$H$2:$H$50"))</f>
        <v>#VALUE!</v>
      </c>
      <c r="I654" s="4" t="e">
        <f ca="1">IF(OR(INDIRECT("'" &amp; Master!$F$8 &amp; Master!$F$6 &amp; "'!B" &amp; ROW(B654))="", INDIRECT("'" &amp; Master!$F$8 &amp; Master!$F$6 &amp; "'!B" &amp; ROW(B654))=0), "", INDIRECT("'" &amp; Master!$F$8 &amp; Master!$F$6 &amp; "'!B" &amp; ROW(B654)))</f>
        <v>#VALUE!</v>
      </c>
      <c r="J654" s="9" t="e">
        <f t="shared" ca="1" si="70"/>
        <v>#VALUE!</v>
      </c>
      <c r="K654" s="7" t="e">
        <f t="shared" ca="1" si="71"/>
        <v>#VALUE!</v>
      </c>
      <c r="L654" s="7" t="e">
        <f t="shared" ca="1" si="72"/>
        <v>#VALUE!</v>
      </c>
      <c r="M654" s="7" t="e">
        <f t="shared" ca="1" si="73"/>
        <v>#VALUE!</v>
      </c>
      <c r="N654" s="7" t="e">
        <f t="shared" ca="1" si="74"/>
        <v>#VALUE!</v>
      </c>
      <c r="O654" s="7" t="e">
        <f t="shared" ca="1" si="75"/>
        <v>#VALUE!</v>
      </c>
      <c r="P654" s="7" t="e">
        <f t="shared" ca="1" si="76"/>
        <v>#VALUE!</v>
      </c>
    </row>
    <row r="655" spans="1:16" x14ac:dyDescent="0.25">
      <c r="A655" s="19" t="str">
        <f ca="1">IF(OR(INDIRECT("'" &amp; Master!$F$8 &amp; Master!$F$6 &amp; "'!A" &amp; ROW(A655))="", INDIRECT("'" &amp; Master!$F$8 &amp; Master!$F$6 &amp; "'!A" &amp; ROW(A655))=0), "", INDIRECT("'" &amp; Master!$F$8 &amp; Master!$F$6 &amp; "'!A" &amp; ROW(A655)))</f>
        <v/>
      </c>
      <c r="B655" s="4" t="e">
        <f ca="1">SplineInterp(INDIRECT("A" &amp; ROW()),INDIRECT("'" &amp;Master!$F$10&amp; "'!$A$2:$A$50"),INDIRECT("'" &amp;Master!$F$10&amp; "'!$B$2:$B$50"))</f>
        <v>#VALUE!</v>
      </c>
      <c r="C655" s="4" t="e">
        <f ca="1">SplineInterp(A655,INDIRECT("'" &amp;Master!$F$10&amp; "'!$A$2:$A$50"),INDIRECT("'" &amp;Master!$F$10&amp; "'!$C$2:$C$50"))</f>
        <v>#VALUE!</v>
      </c>
      <c r="D655" s="4" t="e">
        <f ca="1">SplineInterp(A655,INDIRECT("'" &amp;Master!$F$10&amp; "'!$A$2:$A$50"),INDIRECT("'" &amp;Master!$F$10&amp; "'!$D$2:$D$50"))</f>
        <v>#VALUE!</v>
      </c>
      <c r="E655" s="4" t="e">
        <f ca="1">SplineInterp(A655,INDIRECT("'" &amp;Master!$F$10&amp; "'!$A$2:$A$50"),INDIRECT("'" &amp;Master!$F$10&amp; "'!$E$2:$E$50"))</f>
        <v>#VALUE!</v>
      </c>
      <c r="F655" s="4" t="e">
        <f ca="1">SplineInterp(A655,INDIRECT("'" &amp;Master!$F$10&amp; "'!$A$2:$A$50"),INDIRECT("'" &amp;Master!$F$10&amp; "'!$F$2:$F$50"))</f>
        <v>#VALUE!</v>
      </c>
      <c r="G655" s="4" t="e">
        <f ca="1">SplineInterp(A655,INDIRECT("'" &amp;Master!$F$10&amp; "'!$A$2:$A$50"),INDIRECT("'" &amp;Master!$F$10&amp; "'!$G$2:$G$50"))</f>
        <v>#VALUE!</v>
      </c>
      <c r="H655" s="4" t="e">
        <f ca="1">SplineInterp(A655,INDIRECT("'" &amp;Master!$F$10&amp; "'!$A$2:$A$50"),INDIRECT("'" &amp;Master!$F$10&amp; "'!$H$2:$H$50"))</f>
        <v>#VALUE!</v>
      </c>
      <c r="I655" s="4" t="e">
        <f ca="1">IF(OR(INDIRECT("'" &amp; Master!$F$8 &amp; Master!$F$6 &amp; "'!B" &amp; ROW(B655))="", INDIRECT("'" &amp; Master!$F$8 &amp; Master!$F$6 &amp; "'!B" &amp; ROW(B655))=0), "", INDIRECT("'" &amp; Master!$F$8 &amp; Master!$F$6 &amp; "'!B" &amp; ROW(B655)))</f>
        <v>#VALUE!</v>
      </c>
      <c r="J655" s="9" t="e">
        <f t="shared" ca="1" si="70"/>
        <v>#VALUE!</v>
      </c>
      <c r="K655" s="7" t="e">
        <f t="shared" ca="1" si="71"/>
        <v>#VALUE!</v>
      </c>
      <c r="L655" s="7" t="e">
        <f t="shared" ca="1" si="72"/>
        <v>#VALUE!</v>
      </c>
      <c r="M655" s="7" t="e">
        <f t="shared" ca="1" si="73"/>
        <v>#VALUE!</v>
      </c>
      <c r="N655" s="7" t="e">
        <f t="shared" ca="1" si="74"/>
        <v>#VALUE!</v>
      </c>
      <c r="O655" s="7" t="e">
        <f t="shared" ca="1" si="75"/>
        <v>#VALUE!</v>
      </c>
      <c r="P655" s="7" t="e">
        <f t="shared" ca="1" si="76"/>
        <v>#VALUE!</v>
      </c>
    </row>
    <row r="656" spans="1:16" x14ac:dyDescent="0.25">
      <c r="A656" s="19" t="str">
        <f ca="1">IF(OR(INDIRECT("'" &amp; Master!$F$8 &amp; Master!$F$6 &amp; "'!A" &amp; ROW(A656))="", INDIRECT("'" &amp; Master!$F$8 &amp; Master!$F$6 &amp; "'!A" &amp; ROW(A656))=0), "", INDIRECT("'" &amp; Master!$F$8 &amp; Master!$F$6 &amp; "'!A" &amp; ROW(A656)))</f>
        <v/>
      </c>
      <c r="B656" s="4" t="e">
        <f ca="1">SplineInterp(INDIRECT("A" &amp; ROW()),INDIRECT("'" &amp;Master!$F$10&amp; "'!$A$2:$A$50"),INDIRECT("'" &amp;Master!$F$10&amp; "'!$B$2:$B$50"))</f>
        <v>#VALUE!</v>
      </c>
      <c r="C656" s="4" t="e">
        <f ca="1">SplineInterp(A656,INDIRECT("'" &amp;Master!$F$10&amp; "'!$A$2:$A$50"),INDIRECT("'" &amp;Master!$F$10&amp; "'!$C$2:$C$50"))</f>
        <v>#VALUE!</v>
      </c>
      <c r="D656" s="4" t="e">
        <f ca="1">SplineInterp(A656,INDIRECT("'" &amp;Master!$F$10&amp; "'!$A$2:$A$50"),INDIRECT("'" &amp;Master!$F$10&amp; "'!$D$2:$D$50"))</f>
        <v>#VALUE!</v>
      </c>
      <c r="E656" s="4" t="e">
        <f ca="1">SplineInterp(A656,INDIRECT("'" &amp;Master!$F$10&amp; "'!$A$2:$A$50"),INDIRECT("'" &amp;Master!$F$10&amp; "'!$E$2:$E$50"))</f>
        <v>#VALUE!</v>
      </c>
      <c r="F656" s="4" t="e">
        <f ca="1">SplineInterp(A656,INDIRECT("'" &amp;Master!$F$10&amp; "'!$A$2:$A$50"),INDIRECT("'" &amp;Master!$F$10&amp; "'!$F$2:$F$50"))</f>
        <v>#VALUE!</v>
      </c>
      <c r="G656" s="4" t="e">
        <f ca="1">SplineInterp(A656,INDIRECT("'" &amp;Master!$F$10&amp; "'!$A$2:$A$50"),INDIRECT("'" &amp;Master!$F$10&amp; "'!$G$2:$G$50"))</f>
        <v>#VALUE!</v>
      </c>
      <c r="H656" s="4" t="e">
        <f ca="1">SplineInterp(A656,INDIRECT("'" &amp;Master!$F$10&amp; "'!$A$2:$A$50"),INDIRECT("'" &amp;Master!$F$10&amp; "'!$H$2:$H$50"))</f>
        <v>#VALUE!</v>
      </c>
      <c r="I656" s="4" t="e">
        <f ca="1">IF(OR(INDIRECT("'" &amp; Master!$F$8 &amp; Master!$F$6 &amp; "'!B" &amp; ROW(B656))="", INDIRECT("'" &amp; Master!$F$8 &amp; Master!$F$6 &amp; "'!B" &amp; ROW(B656))=0), "", INDIRECT("'" &amp; Master!$F$8 &amp; Master!$F$6 &amp; "'!B" &amp; ROW(B656)))</f>
        <v>#VALUE!</v>
      </c>
      <c r="J656" s="9" t="e">
        <f t="shared" ca="1" si="70"/>
        <v>#VALUE!</v>
      </c>
      <c r="K656" s="7" t="e">
        <f t="shared" ca="1" si="71"/>
        <v>#VALUE!</v>
      </c>
      <c r="L656" s="7" t="e">
        <f t="shared" ca="1" si="72"/>
        <v>#VALUE!</v>
      </c>
      <c r="M656" s="7" t="e">
        <f t="shared" ca="1" si="73"/>
        <v>#VALUE!</v>
      </c>
      <c r="N656" s="7" t="e">
        <f t="shared" ca="1" si="74"/>
        <v>#VALUE!</v>
      </c>
      <c r="O656" s="7" t="e">
        <f t="shared" ca="1" si="75"/>
        <v>#VALUE!</v>
      </c>
      <c r="P656" s="7" t="e">
        <f t="shared" ca="1" si="76"/>
        <v>#VALUE!</v>
      </c>
    </row>
    <row r="657" spans="1:16" x14ac:dyDescent="0.25">
      <c r="A657" s="19" t="str">
        <f ca="1">IF(OR(INDIRECT("'" &amp; Master!$F$8 &amp; Master!$F$6 &amp; "'!A" &amp; ROW(A657))="", INDIRECT("'" &amp; Master!$F$8 &amp; Master!$F$6 &amp; "'!A" &amp; ROW(A657))=0), "", INDIRECT("'" &amp; Master!$F$8 &amp; Master!$F$6 &amp; "'!A" &amp; ROW(A657)))</f>
        <v/>
      </c>
      <c r="B657" s="4" t="e">
        <f ca="1">SplineInterp(INDIRECT("A" &amp; ROW()),INDIRECT("'" &amp;Master!$F$10&amp; "'!$A$2:$A$50"),INDIRECT("'" &amp;Master!$F$10&amp; "'!$B$2:$B$50"))</f>
        <v>#VALUE!</v>
      </c>
      <c r="C657" s="4" t="e">
        <f ca="1">SplineInterp(A657,INDIRECT("'" &amp;Master!$F$10&amp; "'!$A$2:$A$50"),INDIRECT("'" &amp;Master!$F$10&amp; "'!$C$2:$C$50"))</f>
        <v>#VALUE!</v>
      </c>
      <c r="D657" s="4" t="e">
        <f ca="1">SplineInterp(A657,INDIRECT("'" &amp;Master!$F$10&amp; "'!$A$2:$A$50"),INDIRECT("'" &amp;Master!$F$10&amp; "'!$D$2:$D$50"))</f>
        <v>#VALUE!</v>
      </c>
      <c r="E657" s="4" t="e">
        <f ca="1">SplineInterp(A657,INDIRECT("'" &amp;Master!$F$10&amp; "'!$A$2:$A$50"),INDIRECT("'" &amp;Master!$F$10&amp; "'!$E$2:$E$50"))</f>
        <v>#VALUE!</v>
      </c>
      <c r="F657" s="4" t="e">
        <f ca="1">SplineInterp(A657,INDIRECT("'" &amp;Master!$F$10&amp; "'!$A$2:$A$50"),INDIRECT("'" &amp;Master!$F$10&amp; "'!$F$2:$F$50"))</f>
        <v>#VALUE!</v>
      </c>
      <c r="G657" s="4" t="e">
        <f ca="1">SplineInterp(A657,INDIRECT("'" &amp;Master!$F$10&amp; "'!$A$2:$A$50"),INDIRECT("'" &amp;Master!$F$10&amp; "'!$G$2:$G$50"))</f>
        <v>#VALUE!</v>
      </c>
      <c r="H657" s="4" t="e">
        <f ca="1">SplineInterp(A657,INDIRECT("'" &amp;Master!$F$10&amp; "'!$A$2:$A$50"),INDIRECT("'" &amp;Master!$F$10&amp; "'!$H$2:$H$50"))</f>
        <v>#VALUE!</v>
      </c>
      <c r="I657" s="4" t="e">
        <f ca="1">IF(OR(INDIRECT("'" &amp; Master!$F$8 &amp; Master!$F$6 &amp; "'!B" &amp; ROW(B657))="", INDIRECT("'" &amp; Master!$F$8 &amp; Master!$F$6 &amp; "'!B" &amp; ROW(B657))=0), "", INDIRECT("'" &amp; Master!$F$8 &amp; Master!$F$6 &amp; "'!B" &amp; ROW(B657)))</f>
        <v>#VALUE!</v>
      </c>
      <c r="J657" s="9" t="e">
        <f t="shared" ca="1" si="70"/>
        <v>#VALUE!</v>
      </c>
      <c r="K657" s="7" t="e">
        <f t="shared" ca="1" si="71"/>
        <v>#VALUE!</v>
      </c>
      <c r="L657" s="7" t="e">
        <f t="shared" ca="1" si="72"/>
        <v>#VALUE!</v>
      </c>
      <c r="M657" s="7" t="e">
        <f t="shared" ca="1" si="73"/>
        <v>#VALUE!</v>
      </c>
      <c r="N657" s="7" t="e">
        <f t="shared" ca="1" si="74"/>
        <v>#VALUE!</v>
      </c>
      <c r="O657" s="7" t="e">
        <f t="shared" ca="1" si="75"/>
        <v>#VALUE!</v>
      </c>
      <c r="P657" s="7" t="e">
        <f t="shared" ca="1" si="76"/>
        <v>#VALUE!</v>
      </c>
    </row>
    <row r="658" spans="1:16" x14ac:dyDescent="0.25">
      <c r="A658" s="19" t="str">
        <f ca="1">IF(OR(INDIRECT("'" &amp; Master!$F$8 &amp; Master!$F$6 &amp; "'!A" &amp; ROW(A658))="", INDIRECT("'" &amp; Master!$F$8 &amp; Master!$F$6 &amp; "'!A" &amp; ROW(A658))=0), "", INDIRECT("'" &amp; Master!$F$8 &amp; Master!$F$6 &amp; "'!A" &amp; ROW(A658)))</f>
        <v/>
      </c>
      <c r="B658" s="4" t="e">
        <f ca="1">SplineInterp(INDIRECT("A" &amp; ROW()),INDIRECT("'" &amp;Master!$F$10&amp; "'!$A$2:$A$50"),INDIRECT("'" &amp;Master!$F$10&amp; "'!$B$2:$B$50"))</f>
        <v>#VALUE!</v>
      </c>
      <c r="C658" s="4" t="e">
        <f ca="1">SplineInterp(A658,INDIRECT("'" &amp;Master!$F$10&amp; "'!$A$2:$A$50"),INDIRECT("'" &amp;Master!$F$10&amp; "'!$C$2:$C$50"))</f>
        <v>#VALUE!</v>
      </c>
      <c r="D658" s="4" t="e">
        <f ca="1">SplineInterp(A658,INDIRECT("'" &amp;Master!$F$10&amp; "'!$A$2:$A$50"),INDIRECT("'" &amp;Master!$F$10&amp; "'!$D$2:$D$50"))</f>
        <v>#VALUE!</v>
      </c>
      <c r="E658" s="4" t="e">
        <f ca="1">SplineInterp(A658,INDIRECT("'" &amp;Master!$F$10&amp; "'!$A$2:$A$50"),INDIRECT("'" &amp;Master!$F$10&amp; "'!$E$2:$E$50"))</f>
        <v>#VALUE!</v>
      </c>
      <c r="F658" s="4" t="e">
        <f ca="1">SplineInterp(A658,INDIRECT("'" &amp;Master!$F$10&amp; "'!$A$2:$A$50"),INDIRECT("'" &amp;Master!$F$10&amp; "'!$F$2:$F$50"))</f>
        <v>#VALUE!</v>
      </c>
      <c r="G658" s="4" t="e">
        <f ca="1">SplineInterp(A658,INDIRECT("'" &amp;Master!$F$10&amp; "'!$A$2:$A$50"),INDIRECT("'" &amp;Master!$F$10&amp; "'!$G$2:$G$50"))</f>
        <v>#VALUE!</v>
      </c>
      <c r="H658" s="4" t="e">
        <f ca="1">SplineInterp(A658,INDIRECT("'" &amp;Master!$F$10&amp; "'!$A$2:$A$50"),INDIRECT("'" &amp;Master!$F$10&amp; "'!$H$2:$H$50"))</f>
        <v>#VALUE!</v>
      </c>
      <c r="I658" s="4" t="e">
        <f ca="1">IF(OR(INDIRECT("'" &amp; Master!$F$8 &amp; Master!$F$6 &amp; "'!B" &amp; ROW(B658))="", INDIRECT("'" &amp; Master!$F$8 &amp; Master!$F$6 &amp; "'!B" &amp; ROW(B658))=0), "", INDIRECT("'" &amp; Master!$F$8 &amp; Master!$F$6 &amp; "'!B" &amp; ROW(B658)))</f>
        <v>#VALUE!</v>
      </c>
      <c r="J658" s="9" t="e">
        <f t="shared" ca="1" si="70"/>
        <v>#VALUE!</v>
      </c>
      <c r="K658" s="7" t="e">
        <f t="shared" ca="1" si="71"/>
        <v>#VALUE!</v>
      </c>
      <c r="L658" s="7" t="e">
        <f t="shared" ca="1" si="72"/>
        <v>#VALUE!</v>
      </c>
      <c r="M658" s="7" t="e">
        <f t="shared" ca="1" si="73"/>
        <v>#VALUE!</v>
      </c>
      <c r="N658" s="7" t="e">
        <f t="shared" ca="1" si="74"/>
        <v>#VALUE!</v>
      </c>
      <c r="O658" s="7" t="e">
        <f t="shared" ca="1" si="75"/>
        <v>#VALUE!</v>
      </c>
      <c r="P658" s="7" t="e">
        <f t="shared" ca="1" si="76"/>
        <v>#VALUE!</v>
      </c>
    </row>
    <row r="659" spans="1:16" x14ac:dyDescent="0.25">
      <c r="A659" s="19" t="str">
        <f ca="1">IF(OR(INDIRECT("'" &amp; Master!$F$8 &amp; Master!$F$6 &amp; "'!A" &amp; ROW(A659))="", INDIRECT("'" &amp; Master!$F$8 &amp; Master!$F$6 &amp; "'!A" &amp; ROW(A659))=0), "", INDIRECT("'" &amp; Master!$F$8 &amp; Master!$F$6 &amp; "'!A" &amp; ROW(A659)))</f>
        <v/>
      </c>
      <c r="B659" s="4" t="e">
        <f ca="1">SplineInterp(INDIRECT("A" &amp; ROW()),INDIRECT("'" &amp;Master!$F$10&amp; "'!$A$2:$A$50"),INDIRECT("'" &amp;Master!$F$10&amp; "'!$B$2:$B$50"))</f>
        <v>#VALUE!</v>
      </c>
      <c r="C659" s="4" t="e">
        <f ca="1">SplineInterp(A659,INDIRECT("'" &amp;Master!$F$10&amp; "'!$A$2:$A$50"),INDIRECT("'" &amp;Master!$F$10&amp; "'!$C$2:$C$50"))</f>
        <v>#VALUE!</v>
      </c>
      <c r="D659" s="4" t="e">
        <f ca="1">SplineInterp(A659,INDIRECT("'" &amp;Master!$F$10&amp; "'!$A$2:$A$50"),INDIRECT("'" &amp;Master!$F$10&amp; "'!$D$2:$D$50"))</f>
        <v>#VALUE!</v>
      </c>
      <c r="E659" s="4" t="e">
        <f ca="1">SplineInterp(A659,INDIRECT("'" &amp;Master!$F$10&amp; "'!$A$2:$A$50"),INDIRECT("'" &amp;Master!$F$10&amp; "'!$E$2:$E$50"))</f>
        <v>#VALUE!</v>
      </c>
      <c r="F659" s="4" t="e">
        <f ca="1">SplineInterp(A659,INDIRECT("'" &amp;Master!$F$10&amp; "'!$A$2:$A$50"),INDIRECT("'" &amp;Master!$F$10&amp; "'!$F$2:$F$50"))</f>
        <v>#VALUE!</v>
      </c>
      <c r="G659" s="4" t="e">
        <f ca="1">SplineInterp(A659,INDIRECT("'" &amp;Master!$F$10&amp; "'!$A$2:$A$50"),INDIRECT("'" &amp;Master!$F$10&amp; "'!$G$2:$G$50"))</f>
        <v>#VALUE!</v>
      </c>
      <c r="H659" s="4" t="e">
        <f ca="1">SplineInterp(A659,INDIRECT("'" &amp;Master!$F$10&amp; "'!$A$2:$A$50"),INDIRECT("'" &amp;Master!$F$10&amp; "'!$H$2:$H$50"))</f>
        <v>#VALUE!</v>
      </c>
      <c r="I659" s="4" t="e">
        <f ca="1">IF(OR(INDIRECT("'" &amp; Master!$F$8 &amp; Master!$F$6 &amp; "'!B" &amp; ROW(B659))="", INDIRECT("'" &amp; Master!$F$8 &amp; Master!$F$6 &amp; "'!B" &amp; ROW(B659))=0), "", INDIRECT("'" &amp; Master!$F$8 &amp; Master!$F$6 &amp; "'!B" &amp; ROW(B659)))</f>
        <v>#VALUE!</v>
      </c>
      <c r="J659" s="9" t="e">
        <f t="shared" ca="1" si="70"/>
        <v>#VALUE!</v>
      </c>
      <c r="K659" s="7" t="e">
        <f t="shared" ca="1" si="71"/>
        <v>#VALUE!</v>
      </c>
      <c r="L659" s="7" t="e">
        <f t="shared" ca="1" si="72"/>
        <v>#VALUE!</v>
      </c>
      <c r="M659" s="7" t="e">
        <f t="shared" ca="1" si="73"/>
        <v>#VALUE!</v>
      </c>
      <c r="N659" s="7" t="e">
        <f t="shared" ca="1" si="74"/>
        <v>#VALUE!</v>
      </c>
      <c r="O659" s="7" t="e">
        <f t="shared" ca="1" si="75"/>
        <v>#VALUE!</v>
      </c>
      <c r="P659" s="7" t="e">
        <f t="shared" ca="1" si="76"/>
        <v>#VALUE!</v>
      </c>
    </row>
    <row r="660" spans="1:16" x14ac:dyDescent="0.25">
      <c r="A660" s="19" t="str">
        <f ca="1">IF(OR(INDIRECT("'" &amp; Master!$F$8 &amp; Master!$F$6 &amp; "'!A" &amp; ROW(A660))="", INDIRECT("'" &amp; Master!$F$8 &amp; Master!$F$6 &amp; "'!A" &amp; ROW(A660))=0), "", INDIRECT("'" &amp; Master!$F$8 &amp; Master!$F$6 &amp; "'!A" &amp; ROW(A660)))</f>
        <v/>
      </c>
      <c r="B660" s="4" t="e">
        <f ca="1">SplineInterp(INDIRECT("A" &amp; ROW()),INDIRECT("'" &amp;Master!$F$10&amp; "'!$A$2:$A$50"),INDIRECT("'" &amp;Master!$F$10&amp; "'!$B$2:$B$50"))</f>
        <v>#VALUE!</v>
      </c>
      <c r="C660" s="4" t="e">
        <f ca="1">SplineInterp(A660,INDIRECT("'" &amp;Master!$F$10&amp; "'!$A$2:$A$50"),INDIRECT("'" &amp;Master!$F$10&amp; "'!$C$2:$C$50"))</f>
        <v>#VALUE!</v>
      </c>
      <c r="D660" s="4" t="e">
        <f ca="1">SplineInterp(A660,INDIRECT("'" &amp;Master!$F$10&amp; "'!$A$2:$A$50"),INDIRECT("'" &amp;Master!$F$10&amp; "'!$D$2:$D$50"))</f>
        <v>#VALUE!</v>
      </c>
      <c r="E660" s="4" t="e">
        <f ca="1">SplineInterp(A660,INDIRECT("'" &amp;Master!$F$10&amp; "'!$A$2:$A$50"),INDIRECT("'" &amp;Master!$F$10&amp; "'!$E$2:$E$50"))</f>
        <v>#VALUE!</v>
      </c>
      <c r="F660" s="4" t="e">
        <f ca="1">SplineInterp(A660,INDIRECT("'" &amp;Master!$F$10&amp; "'!$A$2:$A$50"),INDIRECT("'" &amp;Master!$F$10&amp; "'!$F$2:$F$50"))</f>
        <v>#VALUE!</v>
      </c>
      <c r="G660" s="4" t="e">
        <f ca="1">SplineInterp(A660,INDIRECT("'" &amp;Master!$F$10&amp; "'!$A$2:$A$50"),INDIRECT("'" &amp;Master!$F$10&amp; "'!$G$2:$G$50"))</f>
        <v>#VALUE!</v>
      </c>
      <c r="H660" s="4" t="e">
        <f ca="1">SplineInterp(A660,INDIRECT("'" &amp;Master!$F$10&amp; "'!$A$2:$A$50"),INDIRECT("'" &amp;Master!$F$10&amp; "'!$H$2:$H$50"))</f>
        <v>#VALUE!</v>
      </c>
      <c r="I660" s="4" t="e">
        <f ca="1">IF(OR(INDIRECT("'" &amp; Master!$F$8 &amp; Master!$F$6 &amp; "'!B" &amp; ROW(B660))="", INDIRECT("'" &amp; Master!$F$8 &amp; Master!$F$6 &amp; "'!B" &amp; ROW(B660))=0), "", INDIRECT("'" &amp; Master!$F$8 &amp; Master!$F$6 &amp; "'!B" &amp; ROW(B660)))</f>
        <v>#VALUE!</v>
      </c>
      <c r="J660" s="9" t="e">
        <f t="shared" ca="1" si="70"/>
        <v>#VALUE!</v>
      </c>
      <c r="K660" s="7" t="e">
        <f t="shared" ca="1" si="71"/>
        <v>#VALUE!</v>
      </c>
      <c r="L660" s="7" t="e">
        <f t="shared" ca="1" si="72"/>
        <v>#VALUE!</v>
      </c>
      <c r="M660" s="7" t="e">
        <f t="shared" ca="1" si="73"/>
        <v>#VALUE!</v>
      </c>
      <c r="N660" s="7" t="e">
        <f t="shared" ca="1" si="74"/>
        <v>#VALUE!</v>
      </c>
      <c r="O660" s="7" t="e">
        <f t="shared" ca="1" si="75"/>
        <v>#VALUE!</v>
      </c>
      <c r="P660" s="7" t="e">
        <f t="shared" ca="1" si="76"/>
        <v>#VALUE!</v>
      </c>
    </row>
    <row r="661" spans="1:16" x14ac:dyDescent="0.25">
      <c r="A661" s="19" t="str">
        <f ca="1">IF(OR(INDIRECT("'" &amp; Master!$F$8 &amp; Master!$F$6 &amp; "'!A" &amp; ROW(A661))="", INDIRECT("'" &amp; Master!$F$8 &amp; Master!$F$6 &amp; "'!A" &amp; ROW(A661))=0), "", INDIRECT("'" &amp; Master!$F$8 &amp; Master!$F$6 &amp; "'!A" &amp; ROW(A661)))</f>
        <v/>
      </c>
      <c r="B661" s="4" t="e">
        <f ca="1">SplineInterp(INDIRECT("A" &amp; ROW()),INDIRECT("'" &amp;Master!$F$10&amp; "'!$A$2:$A$50"),INDIRECT("'" &amp;Master!$F$10&amp; "'!$B$2:$B$50"))</f>
        <v>#VALUE!</v>
      </c>
      <c r="C661" s="4" t="e">
        <f ca="1">SplineInterp(A661,INDIRECT("'" &amp;Master!$F$10&amp; "'!$A$2:$A$50"),INDIRECT("'" &amp;Master!$F$10&amp; "'!$C$2:$C$50"))</f>
        <v>#VALUE!</v>
      </c>
      <c r="D661" s="4" t="e">
        <f ca="1">SplineInterp(A661,INDIRECT("'" &amp;Master!$F$10&amp; "'!$A$2:$A$50"),INDIRECT("'" &amp;Master!$F$10&amp; "'!$D$2:$D$50"))</f>
        <v>#VALUE!</v>
      </c>
      <c r="E661" s="4" t="e">
        <f ca="1">SplineInterp(A661,INDIRECT("'" &amp;Master!$F$10&amp; "'!$A$2:$A$50"),INDIRECT("'" &amp;Master!$F$10&amp; "'!$E$2:$E$50"))</f>
        <v>#VALUE!</v>
      </c>
      <c r="F661" s="4" t="e">
        <f ca="1">SplineInterp(A661,INDIRECT("'" &amp;Master!$F$10&amp; "'!$A$2:$A$50"),INDIRECT("'" &amp;Master!$F$10&amp; "'!$F$2:$F$50"))</f>
        <v>#VALUE!</v>
      </c>
      <c r="G661" s="4" t="e">
        <f ca="1">SplineInterp(A661,INDIRECT("'" &amp;Master!$F$10&amp; "'!$A$2:$A$50"),INDIRECT("'" &amp;Master!$F$10&amp; "'!$G$2:$G$50"))</f>
        <v>#VALUE!</v>
      </c>
      <c r="H661" s="4" t="e">
        <f ca="1">SplineInterp(A661,INDIRECT("'" &amp;Master!$F$10&amp; "'!$A$2:$A$50"),INDIRECT("'" &amp;Master!$F$10&amp; "'!$H$2:$H$50"))</f>
        <v>#VALUE!</v>
      </c>
      <c r="I661" s="4" t="e">
        <f ca="1">IF(OR(INDIRECT("'" &amp; Master!$F$8 &amp; Master!$F$6 &amp; "'!B" &amp; ROW(B661))="", INDIRECT("'" &amp; Master!$F$8 &amp; Master!$F$6 &amp; "'!B" &amp; ROW(B661))=0), "", INDIRECT("'" &amp; Master!$F$8 &amp; Master!$F$6 &amp; "'!B" &amp; ROW(B661)))</f>
        <v>#VALUE!</v>
      </c>
      <c r="J661" s="9" t="e">
        <f t="shared" ca="1" si="70"/>
        <v>#VALUE!</v>
      </c>
      <c r="K661" s="7" t="e">
        <f t="shared" ca="1" si="71"/>
        <v>#VALUE!</v>
      </c>
      <c r="L661" s="7" t="e">
        <f t="shared" ca="1" si="72"/>
        <v>#VALUE!</v>
      </c>
      <c r="M661" s="7" t="e">
        <f t="shared" ca="1" si="73"/>
        <v>#VALUE!</v>
      </c>
      <c r="N661" s="7" t="e">
        <f t="shared" ca="1" si="74"/>
        <v>#VALUE!</v>
      </c>
      <c r="O661" s="7" t="e">
        <f t="shared" ca="1" si="75"/>
        <v>#VALUE!</v>
      </c>
      <c r="P661" s="7" t="e">
        <f t="shared" ca="1" si="76"/>
        <v>#VALUE!</v>
      </c>
    </row>
    <row r="662" spans="1:16" x14ac:dyDescent="0.25">
      <c r="A662" s="19" t="str">
        <f ca="1">IF(OR(INDIRECT("'" &amp; Master!$F$8 &amp; Master!$F$6 &amp; "'!A" &amp; ROW(A662))="", INDIRECT("'" &amp; Master!$F$8 &amp; Master!$F$6 &amp; "'!A" &amp; ROW(A662))=0), "", INDIRECT("'" &amp; Master!$F$8 &amp; Master!$F$6 &amp; "'!A" &amp; ROW(A662)))</f>
        <v/>
      </c>
      <c r="B662" s="4" t="e">
        <f ca="1">SplineInterp(INDIRECT("A" &amp; ROW()),INDIRECT("'" &amp;Master!$F$10&amp; "'!$A$2:$A$50"),INDIRECT("'" &amp;Master!$F$10&amp; "'!$B$2:$B$50"))</f>
        <v>#VALUE!</v>
      </c>
      <c r="C662" s="4" t="e">
        <f ca="1">SplineInterp(A662,INDIRECT("'" &amp;Master!$F$10&amp; "'!$A$2:$A$50"),INDIRECT("'" &amp;Master!$F$10&amp; "'!$C$2:$C$50"))</f>
        <v>#VALUE!</v>
      </c>
      <c r="D662" s="4" t="e">
        <f ca="1">SplineInterp(A662,INDIRECT("'" &amp;Master!$F$10&amp; "'!$A$2:$A$50"),INDIRECT("'" &amp;Master!$F$10&amp; "'!$D$2:$D$50"))</f>
        <v>#VALUE!</v>
      </c>
      <c r="E662" s="4" t="e">
        <f ca="1">SplineInterp(A662,INDIRECT("'" &amp;Master!$F$10&amp; "'!$A$2:$A$50"),INDIRECT("'" &amp;Master!$F$10&amp; "'!$E$2:$E$50"))</f>
        <v>#VALUE!</v>
      </c>
      <c r="F662" s="4" t="e">
        <f ca="1">SplineInterp(A662,INDIRECT("'" &amp;Master!$F$10&amp; "'!$A$2:$A$50"),INDIRECT("'" &amp;Master!$F$10&amp; "'!$F$2:$F$50"))</f>
        <v>#VALUE!</v>
      </c>
      <c r="G662" s="4" t="e">
        <f ca="1">SplineInterp(A662,INDIRECT("'" &amp;Master!$F$10&amp; "'!$A$2:$A$50"),INDIRECT("'" &amp;Master!$F$10&amp; "'!$G$2:$G$50"))</f>
        <v>#VALUE!</v>
      </c>
      <c r="H662" s="4" t="e">
        <f ca="1">SplineInterp(A662,INDIRECT("'" &amp;Master!$F$10&amp; "'!$A$2:$A$50"),INDIRECT("'" &amp;Master!$F$10&amp; "'!$H$2:$H$50"))</f>
        <v>#VALUE!</v>
      </c>
      <c r="I662" s="4" t="e">
        <f ca="1">IF(OR(INDIRECT("'" &amp; Master!$F$8 &amp; Master!$F$6 &amp; "'!B" &amp; ROW(B662))="", INDIRECT("'" &amp; Master!$F$8 &amp; Master!$F$6 &amp; "'!B" &amp; ROW(B662))=0), "", INDIRECT("'" &amp; Master!$F$8 &amp; Master!$F$6 &amp; "'!B" &amp; ROW(B662)))</f>
        <v>#VALUE!</v>
      </c>
      <c r="J662" s="9" t="e">
        <f t="shared" ca="1" si="70"/>
        <v>#VALUE!</v>
      </c>
      <c r="K662" s="7" t="e">
        <f t="shared" ca="1" si="71"/>
        <v>#VALUE!</v>
      </c>
      <c r="L662" s="7" t="e">
        <f t="shared" ca="1" si="72"/>
        <v>#VALUE!</v>
      </c>
      <c r="M662" s="7" t="e">
        <f t="shared" ca="1" si="73"/>
        <v>#VALUE!</v>
      </c>
      <c r="N662" s="7" t="e">
        <f t="shared" ca="1" si="74"/>
        <v>#VALUE!</v>
      </c>
      <c r="O662" s="7" t="e">
        <f t="shared" ca="1" si="75"/>
        <v>#VALUE!</v>
      </c>
      <c r="P662" s="7" t="e">
        <f t="shared" ca="1" si="76"/>
        <v>#VALUE!</v>
      </c>
    </row>
    <row r="663" spans="1:16" x14ac:dyDescent="0.25">
      <c r="A663" s="19" t="str">
        <f ca="1">IF(OR(INDIRECT("'" &amp; Master!$F$8 &amp; Master!$F$6 &amp; "'!A" &amp; ROW(A663))="", INDIRECT("'" &amp; Master!$F$8 &amp; Master!$F$6 &amp; "'!A" &amp; ROW(A663))=0), "", INDIRECT("'" &amp; Master!$F$8 &amp; Master!$F$6 &amp; "'!A" &amp; ROW(A663)))</f>
        <v/>
      </c>
      <c r="B663" s="4" t="e">
        <f ca="1">SplineInterp(INDIRECT("A" &amp; ROW()),INDIRECT("'" &amp;Master!$F$10&amp; "'!$A$2:$A$50"),INDIRECT("'" &amp;Master!$F$10&amp; "'!$B$2:$B$50"))</f>
        <v>#VALUE!</v>
      </c>
      <c r="C663" s="4" t="e">
        <f ca="1">SplineInterp(A663,INDIRECT("'" &amp;Master!$F$10&amp; "'!$A$2:$A$50"),INDIRECT("'" &amp;Master!$F$10&amp; "'!$C$2:$C$50"))</f>
        <v>#VALUE!</v>
      </c>
      <c r="D663" s="4" t="e">
        <f ca="1">SplineInterp(A663,INDIRECT("'" &amp;Master!$F$10&amp; "'!$A$2:$A$50"),INDIRECT("'" &amp;Master!$F$10&amp; "'!$D$2:$D$50"))</f>
        <v>#VALUE!</v>
      </c>
      <c r="E663" s="4" t="e">
        <f ca="1">SplineInterp(A663,INDIRECT("'" &amp;Master!$F$10&amp; "'!$A$2:$A$50"),INDIRECT("'" &amp;Master!$F$10&amp; "'!$E$2:$E$50"))</f>
        <v>#VALUE!</v>
      </c>
      <c r="F663" s="4" t="e">
        <f ca="1">SplineInterp(A663,INDIRECT("'" &amp;Master!$F$10&amp; "'!$A$2:$A$50"),INDIRECT("'" &amp;Master!$F$10&amp; "'!$F$2:$F$50"))</f>
        <v>#VALUE!</v>
      </c>
      <c r="G663" s="4" t="e">
        <f ca="1">SplineInterp(A663,INDIRECT("'" &amp;Master!$F$10&amp; "'!$A$2:$A$50"),INDIRECT("'" &amp;Master!$F$10&amp; "'!$G$2:$G$50"))</f>
        <v>#VALUE!</v>
      </c>
      <c r="H663" s="4" t="e">
        <f ca="1">SplineInterp(A663,INDIRECT("'" &amp;Master!$F$10&amp; "'!$A$2:$A$50"),INDIRECT("'" &amp;Master!$F$10&amp; "'!$H$2:$H$50"))</f>
        <v>#VALUE!</v>
      </c>
      <c r="I663" s="4" t="e">
        <f ca="1">IF(OR(INDIRECT("'" &amp; Master!$F$8 &amp; Master!$F$6 &amp; "'!B" &amp; ROW(B663))="", INDIRECT("'" &amp; Master!$F$8 &amp; Master!$F$6 &amp; "'!B" &amp; ROW(B663))=0), "", INDIRECT("'" &amp; Master!$F$8 &amp; Master!$F$6 &amp; "'!B" &amp; ROW(B663)))</f>
        <v>#VALUE!</v>
      </c>
      <c r="J663" s="9" t="e">
        <f t="shared" ca="1" si="70"/>
        <v>#VALUE!</v>
      </c>
      <c r="K663" s="7" t="e">
        <f t="shared" ca="1" si="71"/>
        <v>#VALUE!</v>
      </c>
      <c r="L663" s="7" t="e">
        <f t="shared" ca="1" si="72"/>
        <v>#VALUE!</v>
      </c>
      <c r="M663" s="7" t="e">
        <f t="shared" ca="1" si="73"/>
        <v>#VALUE!</v>
      </c>
      <c r="N663" s="7" t="e">
        <f t="shared" ca="1" si="74"/>
        <v>#VALUE!</v>
      </c>
      <c r="O663" s="7" t="e">
        <f t="shared" ca="1" si="75"/>
        <v>#VALUE!</v>
      </c>
      <c r="P663" s="7" t="e">
        <f t="shared" ca="1" si="76"/>
        <v>#VALUE!</v>
      </c>
    </row>
    <row r="664" spans="1:16" x14ac:dyDescent="0.25">
      <c r="A664" s="19" t="str">
        <f ca="1">IF(OR(INDIRECT("'" &amp; Master!$F$8 &amp; Master!$F$6 &amp; "'!A" &amp; ROW(A664))="", INDIRECT("'" &amp; Master!$F$8 &amp; Master!$F$6 &amp; "'!A" &amp; ROW(A664))=0), "", INDIRECT("'" &amp; Master!$F$8 &amp; Master!$F$6 &amp; "'!A" &amp; ROW(A664)))</f>
        <v/>
      </c>
      <c r="B664" s="4" t="e">
        <f ca="1">SplineInterp(INDIRECT("A" &amp; ROW()),INDIRECT("'" &amp;Master!$F$10&amp; "'!$A$2:$A$50"),INDIRECT("'" &amp;Master!$F$10&amp; "'!$B$2:$B$50"))</f>
        <v>#VALUE!</v>
      </c>
      <c r="C664" s="4" t="e">
        <f ca="1">SplineInterp(A664,INDIRECT("'" &amp;Master!$F$10&amp; "'!$A$2:$A$50"),INDIRECT("'" &amp;Master!$F$10&amp; "'!$C$2:$C$50"))</f>
        <v>#VALUE!</v>
      </c>
      <c r="D664" s="4" t="e">
        <f ca="1">SplineInterp(A664,INDIRECT("'" &amp;Master!$F$10&amp; "'!$A$2:$A$50"),INDIRECT("'" &amp;Master!$F$10&amp; "'!$D$2:$D$50"))</f>
        <v>#VALUE!</v>
      </c>
      <c r="E664" s="4" t="e">
        <f ca="1">SplineInterp(A664,INDIRECT("'" &amp;Master!$F$10&amp; "'!$A$2:$A$50"),INDIRECT("'" &amp;Master!$F$10&amp; "'!$E$2:$E$50"))</f>
        <v>#VALUE!</v>
      </c>
      <c r="F664" s="4" t="e">
        <f ca="1">SplineInterp(A664,INDIRECT("'" &amp;Master!$F$10&amp; "'!$A$2:$A$50"),INDIRECT("'" &amp;Master!$F$10&amp; "'!$F$2:$F$50"))</f>
        <v>#VALUE!</v>
      </c>
      <c r="G664" s="4" t="e">
        <f ca="1">SplineInterp(A664,INDIRECT("'" &amp;Master!$F$10&amp; "'!$A$2:$A$50"),INDIRECT("'" &amp;Master!$F$10&amp; "'!$G$2:$G$50"))</f>
        <v>#VALUE!</v>
      </c>
      <c r="H664" s="4" t="e">
        <f ca="1">SplineInterp(A664,INDIRECT("'" &amp;Master!$F$10&amp; "'!$A$2:$A$50"),INDIRECT("'" &amp;Master!$F$10&amp; "'!$H$2:$H$50"))</f>
        <v>#VALUE!</v>
      </c>
      <c r="I664" s="4" t="e">
        <f ca="1">IF(OR(INDIRECT("'" &amp; Master!$F$8 &amp; Master!$F$6 &amp; "'!B" &amp; ROW(B664))="", INDIRECT("'" &amp; Master!$F$8 &amp; Master!$F$6 &amp; "'!B" &amp; ROW(B664))=0), "", INDIRECT("'" &amp; Master!$F$8 &amp; Master!$F$6 &amp; "'!B" &amp; ROW(B664)))</f>
        <v>#VALUE!</v>
      </c>
      <c r="J664" s="9" t="e">
        <f t="shared" ca="1" si="70"/>
        <v>#VALUE!</v>
      </c>
      <c r="K664" s="7" t="e">
        <f t="shared" ca="1" si="71"/>
        <v>#VALUE!</v>
      </c>
      <c r="L664" s="7" t="e">
        <f t="shared" ca="1" si="72"/>
        <v>#VALUE!</v>
      </c>
      <c r="M664" s="7" t="e">
        <f t="shared" ca="1" si="73"/>
        <v>#VALUE!</v>
      </c>
      <c r="N664" s="7" t="e">
        <f t="shared" ca="1" si="74"/>
        <v>#VALUE!</v>
      </c>
      <c r="O664" s="7" t="e">
        <f t="shared" ca="1" si="75"/>
        <v>#VALUE!</v>
      </c>
      <c r="P664" s="7" t="e">
        <f t="shared" ca="1" si="76"/>
        <v>#VALUE!</v>
      </c>
    </row>
    <row r="665" spans="1:16" x14ac:dyDescent="0.25">
      <c r="A665" s="19" t="str">
        <f ca="1">IF(OR(INDIRECT("'" &amp; Master!$F$8 &amp; Master!$F$6 &amp; "'!A" &amp; ROW(A665))="", INDIRECT("'" &amp; Master!$F$8 &amp; Master!$F$6 &amp; "'!A" &amp; ROW(A665))=0), "", INDIRECT("'" &amp; Master!$F$8 &amp; Master!$F$6 &amp; "'!A" &amp; ROW(A665)))</f>
        <v/>
      </c>
      <c r="B665" s="4" t="e">
        <f ca="1">SplineInterp(INDIRECT("A" &amp; ROW()),INDIRECT("'" &amp;Master!$F$10&amp; "'!$A$2:$A$50"),INDIRECT("'" &amp;Master!$F$10&amp; "'!$B$2:$B$50"))</f>
        <v>#VALUE!</v>
      </c>
      <c r="C665" s="4" t="e">
        <f ca="1">SplineInterp(A665,INDIRECT("'" &amp;Master!$F$10&amp; "'!$A$2:$A$50"),INDIRECT("'" &amp;Master!$F$10&amp; "'!$C$2:$C$50"))</f>
        <v>#VALUE!</v>
      </c>
      <c r="D665" s="4" t="e">
        <f ca="1">SplineInterp(A665,INDIRECT("'" &amp;Master!$F$10&amp; "'!$A$2:$A$50"),INDIRECT("'" &amp;Master!$F$10&amp; "'!$D$2:$D$50"))</f>
        <v>#VALUE!</v>
      </c>
      <c r="E665" s="4" t="e">
        <f ca="1">SplineInterp(A665,INDIRECT("'" &amp;Master!$F$10&amp; "'!$A$2:$A$50"),INDIRECT("'" &amp;Master!$F$10&amp; "'!$E$2:$E$50"))</f>
        <v>#VALUE!</v>
      </c>
      <c r="F665" s="4" t="e">
        <f ca="1">SplineInterp(A665,INDIRECT("'" &amp;Master!$F$10&amp; "'!$A$2:$A$50"),INDIRECT("'" &amp;Master!$F$10&amp; "'!$F$2:$F$50"))</f>
        <v>#VALUE!</v>
      </c>
      <c r="G665" s="4" t="e">
        <f ca="1">SplineInterp(A665,INDIRECT("'" &amp;Master!$F$10&amp; "'!$A$2:$A$50"),INDIRECT("'" &amp;Master!$F$10&amp; "'!$G$2:$G$50"))</f>
        <v>#VALUE!</v>
      </c>
      <c r="H665" s="4" t="e">
        <f ca="1">SplineInterp(A665,INDIRECT("'" &amp;Master!$F$10&amp; "'!$A$2:$A$50"),INDIRECT("'" &amp;Master!$F$10&amp; "'!$H$2:$H$50"))</f>
        <v>#VALUE!</v>
      </c>
      <c r="I665" s="4" t="e">
        <f ca="1">IF(OR(INDIRECT("'" &amp; Master!$F$8 &amp; Master!$F$6 &amp; "'!B" &amp; ROW(B665))="", INDIRECT("'" &amp; Master!$F$8 &amp; Master!$F$6 &amp; "'!B" &amp; ROW(B665))=0), "", INDIRECT("'" &amp; Master!$F$8 &amp; Master!$F$6 &amp; "'!B" &amp; ROW(B665)))</f>
        <v>#VALUE!</v>
      </c>
      <c r="J665" s="9" t="e">
        <f t="shared" ca="1" si="70"/>
        <v>#VALUE!</v>
      </c>
      <c r="K665" s="7" t="e">
        <f t="shared" ca="1" si="71"/>
        <v>#VALUE!</v>
      </c>
      <c r="L665" s="7" t="e">
        <f t="shared" ca="1" si="72"/>
        <v>#VALUE!</v>
      </c>
      <c r="M665" s="7" t="e">
        <f t="shared" ca="1" si="73"/>
        <v>#VALUE!</v>
      </c>
      <c r="N665" s="7" t="e">
        <f t="shared" ca="1" si="74"/>
        <v>#VALUE!</v>
      </c>
      <c r="O665" s="7" t="e">
        <f t="shared" ca="1" si="75"/>
        <v>#VALUE!</v>
      </c>
      <c r="P665" s="7" t="e">
        <f t="shared" ca="1" si="76"/>
        <v>#VALUE!</v>
      </c>
    </row>
    <row r="666" spans="1:16" x14ac:dyDescent="0.25">
      <c r="A666" s="19" t="str">
        <f ca="1">IF(OR(INDIRECT("'" &amp; Master!$F$8 &amp; Master!$F$6 &amp; "'!A" &amp; ROW(A666))="", INDIRECT("'" &amp; Master!$F$8 &amp; Master!$F$6 &amp; "'!A" &amp; ROW(A666))=0), "", INDIRECT("'" &amp; Master!$F$8 &amp; Master!$F$6 &amp; "'!A" &amp; ROW(A666)))</f>
        <v/>
      </c>
      <c r="B666" s="4" t="e">
        <f ca="1">SplineInterp(INDIRECT("A" &amp; ROW()),INDIRECT("'" &amp;Master!$F$10&amp; "'!$A$2:$A$50"),INDIRECT("'" &amp;Master!$F$10&amp; "'!$B$2:$B$50"))</f>
        <v>#VALUE!</v>
      </c>
      <c r="C666" s="4" t="e">
        <f ca="1">SplineInterp(A666,INDIRECT("'" &amp;Master!$F$10&amp; "'!$A$2:$A$50"),INDIRECT("'" &amp;Master!$F$10&amp; "'!$C$2:$C$50"))</f>
        <v>#VALUE!</v>
      </c>
      <c r="D666" s="4" t="e">
        <f ca="1">SplineInterp(A666,INDIRECT("'" &amp;Master!$F$10&amp; "'!$A$2:$A$50"),INDIRECT("'" &amp;Master!$F$10&amp; "'!$D$2:$D$50"))</f>
        <v>#VALUE!</v>
      </c>
      <c r="E666" s="4" t="e">
        <f ca="1">SplineInterp(A666,INDIRECT("'" &amp;Master!$F$10&amp; "'!$A$2:$A$50"),INDIRECT("'" &amp;Master!$F$10&amp; "'!$E$2:$E$50"))</f>
        <v>#VALUE!</v>
      </c>
      <c r="F666" s="4" t="e">
        <f ca="1">SplineInterp(A666,INDIRECT("'" &amp;Master!$F$10&amp; "'!$A$2:$A$50"),INDIRECT("'" &amp;Master!$F$10&amp; "'!$F$2:$F$50"))</f>
        <v>#VALUE!</v>
      </c>
      <c r="G666" s="4" t="e">
        <f ca="1">SplineInterp(A666,INDIRECT("'" &amp;Master!$F$10&amp; "'!$A$2:$A$50"),INDIRECT("'" &amp;Master!$F$10&amp; "'!$G$2:$G$50"))</f>
        <v>#VALUE!</v>
      </c>
      <c r="H666" s="4" t="e">
        <f ca="1">SplineInterp(A666,INDIRECT("'" &amp;Master!$F$10&amp; "'!$A$2:$A$50"),INDIRECT("'" &amp;Master!$F$10&amp; "'!$H$2:$H$50"))</f>
        <v>#VALUE!</v>
      </c>
      <c r="I666" s="4" t="e">
        <f ca="1">IF(OR(INDIRECT("'" &amp; Master!$F$8 &amp; Master!$F$6 &amp; "'!B" &amp; ROW(B666))="", INDIRECT("'" &amp; Master!$F$8 &amp; Master!$F$6 &amp; "'!B" &amp; ROW(B666))=0), "", INDIRECT("'" &amp; Master!$F$8 &amp; Master!$F$6 &amp; "'!B" &amp; ROW(B666)))</f>
        <v>#VALUE!</v>
      </c>
      <c r="J666" s="9" t="e">
        <f t="shared" ca="1" si="70"/>
        <v>#VALUE!</v>
      </c>
      <c r="K666" s="7" t="e">
        <f t="shared" ca="1" si="71"/>
        <v>#VALUE!</v>
      </c>
      <c r="L666" s="7" t="e">
        <f t="shared" ca="1" si="72"/>
        <v>#VALUE!</v>
      </c>
      <c r="M666" s="7" t="e">
        <f t="shared" ca="1" si="73"/>
        <v>#VALUE!</v>
      </c>
      <c r="N666" s="7" t="e">
        <f t="shared" ca="1" si="74"/>
        <v>#VALUE!</v>
      </c>
      <c r="O666" s="7" t="e">
        <f t="shared" ca="1" si="75"/>
        <v>#VALUE!</v>
      </c>
      <c r="P666" s="7" t="e">
        <f t="shared" ca="1" si="76"/>
        <v>#VALUE!</v>
      </c>
    </row>
    <row r="667" spans="1:16" x14ac:dyDescent="0.25">
      <c r="A667" s="19" t="str">
        <f ca="1">IF(OR(INDIRECT("'" &amp; Master!$F$8 &amp; Master!$F$6 &amp; "'!A" &amp; ROW(A667))="", INDIRECT("'" &amp; Master!$F$8 &amp; Master!$F$6 &amp; "'!A" &amp; ROW(A667))=0), "", INDIRECT("'" &amp; Master!$F$8 &amp; Master!$F$6 &amp; "'!A" &amp; ROW(A667)))</f>
        <v/>
      </c>
      <c r="B667" s="4" t="e">
        <f ca="1">SplineInterp(INDIRECT("A" &amp; ROW()),INDIRECT("'" &amp;Master!$F$10&amp; "'!$A$2:$A$50"),INDIRECT("'" &amp;Master!$F$10&amp; "'!$B$2:$B$50"))</f>
        <v>#VALUE!</v>
      </c>
      <c r="C667" s="4" t="e">
        <f ca="1">SplineInterp(A667,INDIRECT("'" &amp;Master!$F$10&amp; "'!$A$2:$A$50"),INDIRECT("'" &amp;Master!$F$10&amp; "'!$C$2:$C$50"))</f>
        <v>#VALUE!</v>
      </c>
      <c r="D667" s="4" t="e">
        <f ca="1">SplineInterp(A667,INDIRECT("'" &amp;Master!$F$10&amp; "'!$A$2:$A$50"),INDIRECT("'" &amp;Master!$F$10&amp; "'!$D$2:$D$50"))</f>
        <v>#VALUE!</v>
      </c>
      <c r="E667" s="4" t="e">
        <f ca="1">SplineInterp(A667,INDIRECT("'" &amp;Master!$F$10&amp; "'!$A$2:$A$50"),INDIRECT("'" &amp;Master!$F$10&amp; "'!$E$2:$E$50"))</f>
        <v>#VALUE!</v>
      </c>
      <c r="F667" s="4" t="e">
        <f ca="1">SplineInterp(A667,INDIRECT("'" &amp;Master!$F$10&amp; "'!$A$2:$A$50"),INDIRECT("'" &amp;Master!$F$10&amp; "'!$F$2:$F$50"))</f>
        <v>#VALUE!</v>
      </c>
      <c r="G667" s="4" t="e">
        <f ca="1">SplineInterp(A667,INDIRECT("'" &amp;Master!$F$10&amp; "'!$A$2:$A$50"),INDIRECT("'" &amp;Master!$F$10&amp; "'!$G$2:$G$50"))</f>
        <v>#VALUE!</v>
      </c>
      <c r="H667" s="4" t="e">
        <f ca="1">SplineInterp(A667,INDIRECT("'" &amp;Master!$F$10&amp; "'!$A$2:$A$50"),INDIRECT("'" &amp;Master!$F$10&amp; "'!$H$2:$H$50"))</f>
        <v>#VALUE!</v>
      </c>
      <c r="I667" s="4" t="e">
        <f ca="1">IF(OR(INDIRECT("'" &amp; Master!$F$8 &amp; Master!$F$6 &amp; "'!B" &amp; ROW(B667))="", INDIRECT("'" &amp; Master!$F$8 &amp; Master!$F$6 &amp; "'!B" &amp; ROW(B667))=0), "", INDIRECT("'" &amp; Master!$F$8 &amp; Master!$F$6 &amp; "'!B" &amp; ROW(B667)))</f>
        <v>#VALUE!</v>
      </c>
      <c r="J667" s="9" t="e">
        <f t="shared" ca="1" si="70"/>
        <v>#VALUE!</v>
      </c>
      <c r="K667" s="7" t="e">
        <f t="shared" ca="1" si="71"/>
        <v>#VALUE!</v>
      </c>
      <c r="L667" s="7" t="e">
        <f t="shared" ca="1" si="72"/>
        <v>#VALUE!</v>
      </c>
      <c r="M667" s="7" t="e">
        <f t="shared" ca="1" si="73"/>
        <v>#VALUE!</v>
      </c>
      <c r="N667" s="7" t="e">
        <f t="shared" ca="1" si="74"/>
        <v>#VALUE!</v>
      </c>
      <c r="O667" s="7" t="e">
        <f t="shared" ca="1" si="75"/>
        <v>#VALUE!</v>
      </c>
      <c r="P667" s="7" t="e">
        <f t="shared" ca="1" si="76"/>
        <v>#VALUE!</v>
      </c>
    </row>
    <row r="668" spans="1:16" x14ac:dyDescent="0.25">
      <c r="A668" s="19" t="str">
        <f ca="1">IF(OR(INDIRECT("'" &amp; Master!$F$8 &amp; Master!$F$6 &amp; "'!A" &amp; ROW(A668))="", INDIRECT("'" &amp; Master!$F$8 &amp; Master!$F$6 &amp; "'!A" &amp; ROW(A668))=0), "", INDIRECT("'" &amp; Master!$F$8 &amp; Master!$F$6 &amp; "'!A" &amp; ROW(A668)))</f>
        <v/>
      </c>
      <c r="B668" s="4" t="e">
        <f ca="1">SplineInterp(INDIRECT("A" &amp; ROW()),INDIRECT("'" &amp;Master!$F$10&amp; "'!$A$2:$A$50"),INDIRECT("'" &amp;Master!$F$10&amp; "'!$B$2:$B$50"))</f>
        <v>#VALUE!</v>
      </c>
      <c r="C668" s="4" t="e">
        <f ca="1">SplineInterp(A668,INDIRECT("'" &amp;Master!$F$10&amp; "'!$A$2:$A$50"),INDIRECT("'" &amp;Master!$F$10&amp; "'!$C$2:$C$50"))</f>
        <v>#VALUE!</v>
      </c>
      <c r="D668" s="4" t="e">
        <f ca="1">SplineInterp(A668,INDIRECT("'" &amp;Master!$F$10&amp; "'!$A$2:$A$50"),INDIRECT("'" &amp;Master!$F$10&amp; "'!$D$2:$D$50"))</f>
        <v>#VALUE!</v>
      </c>
      <c r="E668" s="4" t="e">
        <f ca="1">SplineInterp(A668,INDIRECT("'" &amp;Master!$F$10&amp; "'!$A$2:$A$50"),INDIRECT("'" &amp;Master!$F$10&amp; "'!$E$2:$E$50"))</f>
        <v>#VALUE!</v>
      </c>
      <c r="F668" s="4" t="e">
        <f ca="1">SplineInterp(A668,INDIRECT("'" &amp;Master!$F$10&amp; "'!$A$2:$A$50"),INDIRECT("'" &amp;Master!$F$10&amp; "'!$F$2:$F$50"))</f>
        <v>#VALUE!</v>
      </c>
      <c r="G668" s="4" t="e">
        <f ca="1">SplineInterp(A668,INDIRECT("'" &amp;Master!$F$10&amp; "'!$A$2:$A$50"),INDIRECT("'" &amp;Master!$F$10&amp; "'!$G$2:$G$50"))</f>
        <v>#VALUE!</v>
      </c>
      <c r="H668" s="4" t="e">
        <f ca="1">SplineInterp(A668,INDIRECT("'" &amp;Master!$F$10&amp; "'!$A$2:$A$50"),INDIRECT("'" &amp;Master!$F$10&amp; "'!$H$2:$H$50"))</f>
        <v>#VALUE!</v>
      </c>
      <c r="I668" s="4" t="e">
        <f ca="1">IF(OR(INDIRECT("'" &amp; Master!$F$8 &amp; Master!$F$6 &amp; "'!B" &amp; ROW(B668))="", INDIRECT("'" &amp; Master!$F$8 &amp; Master!$F$6 &amp; "'!B" &amp; ROW(B668))=0), "", INDIRECT("'" &amp; Master!$F$8 &amp; Master!$F$6 &amp; "'!B" &amp; ROW(B668)))</f>
        <v>#VALUE!</v>
      </c>
      <c r="J668" s="9" t="e">
        <f t="shared" ca="1" si="70"/>
        <v>#VALUE!</v>
      </c>
      <c r="K668" s="7" t="e">
        <f t="shared" ca="1" si="71"/>
        <v>#VALUE!</v>
      </c>
      <c r="L668" s="7" t="e">
        <f t="shared" ca="1" si="72"/>
        <v>#VALUE!</v>
      </c>
      <c r="M668" s="7" t="e">
        <f t="shared" ca="1" si="73"/>
        <v>#VALUE!</v>
      </c>
      <c r="N668" s="7" t="e">
        <f t="shared" ca="1" si="74"/>
        <v>#VALUE!</v>
      </c>
      <c r="O668" s="7" t="e">
        <f t="shared" ca="1" si="75"/>
        <v>#VALUE!</v>
      </c>
      <c r="P668" s="7" t="e">
        <f t="shared" ca="1" si="76"/>
        <v>#VALUE!</v>
      </c>
    </row>
    <row r="669" spans="1:16" x14ac:dyDescent="0.25">
      <c r="A669" s="19" t="str">
        <f ca="1">IF(OR(INDIRECT("'" &amp; Master!$F$8 &amp; Master!$F$6 &amp; "'!A" &amp; ROW(A669))="", INDIRECT("'" &amp; Master!$F$8 &amp; Master!$F$6 &amp; "'!A" &amp; ROW(A669))=0), "", INDIRECT("'" &amp; Master!$F$8 &amp; Master!$F$6 &amp; "'!A" &amp; ROW(A669)))</f>
        <v/>
      </c>
      <c r="B669" s="4" t="e">
        <f ca="1">SplineInterp(INDIRECT("A" &amp; ROW()),INDIRECT("'" &amp;Master!$F$10&amp; "'!$A$2:$A$50"),INDIRECT("'" &amp;Master!$F$10&amp; "'!$B$2:$B$50"))</f>
        <v>#VALUE!</v>
      </c>
      <c r="C669" s="4" t="e">
        <f ca="1">SplineInterp(A669,INDIRECT("'" &amp;Master!$F$10&amp; "'!$A$2:$A$50"),INDIRECT("'" &amp;Master!$F$10&amp; "'!$C$2:$C$50"))</f>
        <v>#VALUE!</v>
      </c>
      <c r="D669" s="4" t="e">
        <f ca="1">SplineInterp(A669,INDIRECT("'" &amp;Master!$F$10&amp; "'!$A$2:$A$50"),INDIRECT("'" &amp;Master!$F$10&amp; "'!$D$2:$D$50"))</f>
        <v>#VALUE!</v>
      </c>
      <c r="E669" s="4" t="e">
        <f ca="1">SplineInterp(A669,INDIRECT("'" &amp;Master!$F$10&amp; "'!$A$2:$A$50"),INDIRECT("'" &amp;Master!$F$10&amp; "'!$E$2:$E$50"))</f>
        <v>#VALUE!</v>
      </c>
      <c r="F669" s="4" t="e">
        <f ca="1">SplineInterp(A669,INDIRECT("'" &amp;Master!$F$10&amp; "'!$A$2:$A$50"),INDIRECT("'" &amp;Master!$F$10&amp; "'!$F$2:$F$50"))</f>
        <v>#VALUE!</v>
      </c>
      <c r="G669" s="4" t="e">
        <f ca="1">SplineInterp(A669,INDIRECT("'" &amp;Master!$F$10&amp; "'!$A$2:$A$50"),INDIRECT("'" &amp;Master!$F$10&amp; "'!$G$2:$G$50"))</f>
        <v>#VALUE!</v>
      </c>
      <c r="H669" s="4" t="e">
        <f ca="1">SplineInterp(A669,INDIRECT("'" &amp;Master!$F$10&amp; "'!$A$2:$A$50"),INDIRECT("'" &amp;Master!$F$10&amp; "'!$H$2:$H$50"))</f>
        <v>#VALUE!</v>
      </c>
      <c r="I669" s="4" t="e">
        <f ca="1">IF(OR(INDIRECT("'" &amp; Master!$F$8 &amp; Master!$F$6 &amp; "'!B" &amp; ROW(B669))="", INDIRECT("'" &amp; Master!$F$8 &amp; Master!$F$6 &amp; "'!B" &amp; ROW(B669))=0), "", INDIRECT("'" &amp; Master!$F$8 &amp; Master!$F$6 &amp; "'!B" &amp; ROW(B669)))</f>
        <v>#VALUE!</v>
      </c>
      <c r="J669" s="9" t="e">
        <f t="shared" ca="1" si="70"/>
        <v>#VALUE!</v>
      </c>
      <c r="K669" s="7" t="e">
        <f t="shared" ca="1" si="71"/>
        <v>#VALUE!</v>
      </c>
      <c r="L669" s="7" t="e">
        <f t="shared" ca="1" si="72"/>
        <v>#VALUE!</v>
      </c>
      <c r="M669" s="7" t="e">
        <f t="shared" ca="1" si="73"/>
        <v>#VALUE!</v>
      </c>
      <c r="N669" s="7" t="e">
        <f t="shared" ca="1" si="74"/>
        <v>#VALUE!</v>
      </c>
      <c r="O669" s="7" t="e">
        <f t="shared" ca="1" si="75"/>
        <v>#VALUE!</v>
      </c>
      <c r="P669" s="7" t="e">
        <f t="shared" ca="1" si="76"/>
        <v>#VALUE!</v>
      </c>
    </row>
    <row r="670" spans="1:16" x14ac:dyDescent="0.25">
      <c r="A670" s="19" t="str">
        <f ca="1">IF(OR(INDIRECT("'" &amp; Master!$F$8 &amp; Master!$F$6 &amp; "'!A" &amp; ROW(A670))="", INDIRECT("'" &amp; Master!$F$8 &amp; Master!$F$6 &amp; "'!A" &amp; ROW(A670))=0), "", INDIRECT("'" &amp; Master!$F$8 &amp; Master!$F$6 &amp; "'!A" &amp; ROW(A670)))</f>
        <v/>
      </c>
      <c r="B670" s="4" t="e">
        <f ca="1">SplineInterp(INDIRECT("A" &amp; ROW()),INDIRECT("'" &amp;Master!$F$10&amp; "'!$A$2:$A$50"),INDIRECT("'" &amp;Master!$F$10&amp; "'!$B$2:$B$50"))</f>
        <v>#VALUE!</v>
      </c>
      <c r="C670" s="4" t="e">
        <f ca="1">SplineInterp(A670,INDIRECT("'" &amp;Master!$F$10&amp; "'!$A$2:$A$50"),INDIRECT("'" &amp;Master!$F$10&amp; "'!$C$2:$C$50"))</f>
        <v>#VALUE!</v>
      </c>
      <c r="D670" s="4" t="e">
        <f ca="1">SplineInterp(A670,INDIRECT("'" &amp;Master!$F$10&amp; "'!$A$2:$A$50"),INDIRECT("'" &amp;Master!$F$10&amp; "'!$D$2:$D$50"))</f>
        <v>#VALUE!</v>
      </c>
      <c r="E670" s="4" t="e">
        <f ca="1">SplineInterp(A670,INDIRECT("'" &amp;Master!$F$10&amp; "'!$A$2:$A$50"),INDIRECT("'" &amp;Master!$F$10&amp; "'!$E$2:$E$50"))</f>
        <v>#VALUE!</v>
      </c>
      <c r="F670" s="4" t="e">
        <f ca="1">SplineInterp(A670,INDIRECT("'" &amp;Master!$F$10&amp; "'!$A$2:$A$50"),INDIRECT("'" &amp;Master!$F$10&amp; "'!$F$2:$F$50"))</f>
        <v>#VALUE!</v>
      </c>
      <c r="G670" s="4" t="e">
        <f ca="1">SplineInterp(A670,INDIRECT("'" &amp;Master!$F$10&amp; "'!$A$2:$A$50"),INDIRECT("'" &amp;Master!$F$10&amp; "'!$G$2:$G$50"))</f>
        <v>#VALUE!</v>
      </c>
      <c r="H670" s="4" t="e">
        <f ca="1">SplineInterp(A670,INDIRECT("'" &amp;Master!$F$10&amp; "'!$A$2:$A$50"),INDIRECT("'" &amp;Master!$F$10&amp; "'!$H$2:$H$50"))</f>
        <v>#VALUE!</v>
      </c>
      <c r="I670" s="4" t="e">
        <f ca="1">IF(OR(INDIRECT("'" &amp; Master!$F$8 &amp; Master!$F$6 &amp; "'!B" &amp; ROW(B670))="", INDIRECT("'" &amp; Master!$F$8 &amp; Master!$F$6 &amp; "'!B" &amp; ROW(B670))=0), "", INDIRECT("'" &amp; Master!$F$8 &amp; Master!$F$6 &amp; "'!B" &amp; ROW(B670)))</f>
        <v>#VALUE!</v>
      </c>
      <c r="J670" s="9" t="e">
        <f t="shared" ca="1" si="70"/>
        <v>#VALUE!</v>
      </c>
      <c r="K670" s="7" t="e">
        <f t="shared" ca="1" si="71"/>
        <v>#VALUE!</v>
      </c>
      <c r="L670" s="7" t="e">
        <f t="shared" ca="1" si="72"/>
        <v>#VALUE!</v>
      </c>
      <c r="M670" s="7" t="e">
        <f t="shared" ca="1" si="73"/>
        <v>#VALUE!</v>
      </c>
      <c r="N670" s="7" t="e">
        <f t="shared" ca="1" si="74"/>
        <v>#VALUE!</v>
      </c>
      <c r="O670" s="7" t="e">
        <f t="shared" ca="1" si="75"/>
        <v>#VALUE!</v>
      </c>
      <c r="P670" s="7" t="e">
        <f t="shared" ca="1" si="76"/>
        <v>#VALUE!</v>
      </c>
    </row>
    <row r="671" spans="1:16" x14ac:dyDescent="0.25">
      <c r="A671" s="19" t="str">
        <f ca="1">IF(OR(INDIRECT("'" &amp; Master!$F$8 &amp; Master!$F$6 &amp; "'!A" &amp; ROW(A671))="", INDIRECT("'" &amp; Master!$F$8 &amp; Master!$F$6 &amp; "'!A" &amp; ROW(A671))=0), "", INDIRECT("'" &amp; Master!$F$8 &amp; Master!$F$6 &amp; "'!A" &amp; ROW(A671)))</f>
        <v/>
      </c>
      <c r="B671" s="4" t="e">
        <f ca="1">SplineInterp(INDIRECT("A" &amp; ROW()),INDIRECT("'" &amp;Master!$F$10&amp; "'!$A$2:$A$50"),INDIRECT("'" &amp;Master!$F$10&amp; "'!$B$2:$B$50"))</f>
        <v>#VALUE!</v>
      </c>
      <c r="C671" s="4" t="e">
        <f ca="1">SplineInterp(A671,INDIRECT("'" &amp;Master!$F$10&amp; "'!$A$2:$A$50"),INDIRECT("'" &amp;Master!$F$10&amp; "'!$C$2:$C$50"))</f>
        <v>#VALUE!</v>
      </c>
      <c r="D671" s="4" t="e">
        <f ca="1">SplineInterp(A671,INDIRECT("'" &amp;Master!$F$10&amp; "'!$A$2:$A$50"),INDIRECT("'" &amp;Master!$F$10&amp; "'!$D$2:$D$50"))</f>
        <v>#VALUE!</v>
      </c>
      <c r="E671" s="4" t="e">
        <f ca="1">SplineInterp(A671,INDIRECT("'" &amp;Master!$F$10&amp; "'!$A$2:$A$50"),INDIRECT("'" &amp;Master!$F$10&amp; "'!$E$2:$E$50"))</f>
        <v>#VALUE!</v>
      </c>
      <c r="F671" s="4" t="e">
        <f ca="1">SplineInterp(A671,INDIRECT("'" &amp;Master!$F$10&amp; "'!$A$2:$A$50"),INDIRECT("'" &amp;Master!$F$10&amp; "'!$F$2:$F$50"))</f>
        <v>#VALUE!</v>
      </c>
      <c r="G671" s="4" t="e">
        <f ca="1">SplineInterp(A671,INDIRECT("'" &amp;Master!$F$10&amp; "'!$A$2:$A$50"),INDIRECT("'" &amp;Master!$F$10&amp; "'!$G$2:$G$50"))</f>
        <v>#VALUE!</v>
      </c>
      <c r="H671" s="4" t="e">
        <f ca="1">SplineInterp(A671,INDIRECT("'" &amp;Master!$F$10&amp; "'!$A$2:$A$50"),INDIRECT("'" &amp;Master!$F$10&amp; "'!$H$2:$H$50"))</f>
        <v>#VALUE!</v>
      </c>
      <c r="I671" s="4" t="e">
        <f ca="1">IF(OR(INDIRECT("'" &amp; Master!$F$8 &amp; Master!$F$6 &amp; "'!B" &amp; ROW(B671))="", INDIRECT("'" &amp; Master!$F$8 &amp; Master!$F$6 &amp; "'!B" &amp; ROW(B671))=0), "", INDIRECT("'" &amp; Master!$F$8 &amp; Master!$F$6 &amp; "'!B" &amp; ROW(B671)))</f>
        <v>#VALUE!</v>
      </c>
      <c r="J671" s="9" t="e">
        <f t="shared" ca="1" si="70"/>
        <v>#VALUE!</v>
      </c>
      <c r="K671" s="7" t="e">
        <f t="shared" ca="1" si="71"/>
        <v>#VALUE!</v>
      </c>
      <c r="L671" s="7" t="e">
        <f t="shared" ca="1" si="72"/>
        <v>#VALUE!</v>
      </c>
      <c r="M671" s="7" t="e">
        <f t="shared" ca="1" si="73"/>
        <v>#VALUE!</v>
      </c>
      <c r="N671" s="7" t="e">
        <f t="shared" ca="1" si="74"/>
        <v>#VALUE!</v>
      </c>
      <c r="O671" s="7" t="e">
        <f t="shared" ca="1" si="75"/>
        <v>#VALUE!</v>
      </c>
      <c r="P671" s="7" t="e">
        <f t="shared" ca="1" si="76"/>
        <v>#VALUE!</v>
      </c>
    </row>
    <row r="672" spans="1:16" x14ac:dyDescent="0.25">
      <c r="A672" s="19" t="str">
        <f ca="1">IF(OR(INDIRECT("'" &amp; Master!$F$8 &amp; Master!$F$6 &amp; "'!A" &amp; ROW(A672))="", INDIRECT("'" &amp; Master!$F$8 &amp; Master!$F$6 &amp; "'!A" &amp; ROW(A672))=0), "", INDIRECT("'" &amp; Master!$F$8 &amp; Master!$F$6 &amp; "'!A" &amp; ROW(A672)))</f>
        <v/>
      </c>
      <c r="B672" s="4" t="e">
        <f ca="1">SplineInterp(INDIRECT("A" &amp; ROW()),INDIRECT("'" &amp;Master!$F$10&amp; "'!$A$2:$A$50"),INDIRECT("'" &amp;Master!$F$10&amp; "'!$B$2:$B$50"))</f>
        <v>#VALUE!</v>
      </c>
      <c r="C672" s="4" t="e">
        <f ca="1">SplineInterp(A672,INDIRECT("'" &amp;Master!$F$10&amp; "'!$A$2:$A$50"),INDIRECT("'" &amp;Master!$F$10&amp; "'!$C$2:$C$50"))</f>
        <v>#VALUE!</v>
      </c>
      <c r="D672" s="4" t="e">
        <f ca="1">SplineInterp(A672,INDIRECT("'" &amp;Master!$F$10&amp; "'!$A$2:$A$50"),INDIRECT("'" &amp;Master!$F$10&amp; "'!$D$2:$D$50"))</f>
        <v>#VALUE!</v>
      </c>
      <c r="E672" s="4" t="e">
        <f ca="1">SplineInterp(A672,INDIRECT("'" &amp;Master!$F$10&amp; "'!$A$2:$A$50"),INDIRECT("'" &amp;Master!$F$10&amp; "'!$E$2:$E$50"))</f>
        <v>#VALUE!</v>
      </c>
      <c r="F672" s="4" t="e">
        <f ca="1">SplineInterp(A672,INDIRECT("'" &amp;Master!$F$10&amp; "'!$A$2:$A$50"),INDIRECT("'" &amp;Master!$F$10&amp; "'!$F$2:$F$50"))</f>
        <v>#VALUE!</v>
      </c>
      <c r="G672" s="4" t="e">
        <f ca="1">SplineInterp(A672,INDIRECT("'" &amp;Master!$F$10&amp; "'!$A$2:$A$50"),INDIRECT("'" &amp;Master!$F$10&amp; "'!$G$2:$G$50"))</f>
        <v>#VALUE!</v>
      </c>
      <c r="H672" s="4" t="e">
        <f ca="1">SplineInterp(A672,INDIRECT("'" &amp;Master!$F$10&amp; "'!$A$2:$A$50"),INDIRECT("'" &amp;Master!$F$10&amp; "'!$H$2:$H$50"))</f>
        <v>#VALUE!</v>
      </c>
      <c r="I672" s="4" t="e">
        <f ca="1">IF(OR(INDIRECT("'" &amp; Master!$F$8 &amp; Master!$F$6 &amp; "'!B" &amp; ROW(B672))="", INDIRECT("'" &amp; Master!$F$8 &amp; Master!$F$6 &amp; "'!B" &amp; ROW(B672))=0), "", INDIRECT("'" &amp; Master!$F$8 &amp; Master!$F$6 &amp; "'!B" &amp; ROW(B672)))</f>
        <v>#VALUE!</v>
      </c>
      <c r="J672" s="9" t="e">
        <f t="shared" ca="1" si="70"/>
        <v>#VALUE!</v>
      </c>
      <c r="K672" s="7" t="e">
        <f t="shared" ca="1" si="71"/>
        <v>#VALUE!</v>
      </c>
      <c r="L672" s="7" t="e">
        <f t="shared" ca="1" si="72"/>
        <v>#VALUE!</v>
      </c>
      <c r="M672" s="7" t="e">
        <f t="shared" ca="1" si="73"/>
        <v>#VALUE!</v>
      </c>
      <c r="N672" s="7" t="e">
        <f t="shared" ca="1" si="74"/>
        <v>#VALUE!</v>
      </c>
      <c r="O672" s="7" t="e">
        <f t="shared" ca="1" si="75"/>
        <v>#VALUE!</v>
      </c>
      <c r="P672" s="7" t="e">
        <f t="shared" ca="1" si="76"/>
        <v>#VALUE!</v>
      </c>
    </row>
    <row r="673" spans="1:16" x14ac:dyDescent="0.25">
      <c r="A673" s="19" t="str">
        <f ca="1">IF(OR(INDIRECT("'" &amp; Master!$F$8 &amp; Master!$F$6 &amp; "'!A" &amp; ROW(A673))="", INDIRECT("'" &amp; Master!$F$8 &amp; Master!$F$6 &amp; "'!A" &amp; ROW(A673))=0), "", INDIRECT("'" &amp; Master!$F$8 &amp; Master!$F$6 &amp; "'!A" &amp; ROW(A673)))</f>
        <v/>
      </c>
      <c r="B673" s="4" t="e">
        <f ca="1">SplineInterp(INDIRECT("A" &amp; ROW()),INDIRECT("'" &amp;Master!$F$10&amp; "'!$A$2:$A$50"),INDIRECT("'" &amp;Master!$F$10&amp; "'!$B$2:$B$50"))</f>
        <v>#VALUE!</v>
      </c>
      <c r="C673" s="4" t="e">
        <f ca="1">SplineInterp(A673,INDIRECT("'" &amp;Master!$F$10&amp; "'!$A$2:$A$50"),INDIRECT("'" &amp;Master!$F$10&amp; "'!$C$2:$C$50"))</f>
        <v>#VALUE!</v>
      </c>
      <c r="D673" s="4" t="e">
        <f ca="1">SplineInterp(A673,INDIRECT("'" &amp;Master!$F$10&amp; "'!$A$2:$A$50"),INDIRECT("'" &amp;Master!$F$10&amp; "'!$D$2:$D$50"))</f>
        <v>#VALUE!</v>
      </c>
      <c r="E673" s="4" t="e">
        <f ca="1">SplineInterp(A673,INDIRECT("'" &amp;Master!$F$10&amp; "'!$A$2:$A$50"),INDIRECT("'" &amp;Master!$F$10&amp; "'!$E$2:$E$50"))</f>
        <v>#VALUE!</v>
      </c>
      <c r="F673" s="4" t="e">
        <f ca="1">SplineInterp(A673,INDIRECT("'" &amp;Master!$F$10&amp; "'!$A$2:$A$50"),INDIRECT("'" &amp;Master!$F$10&amp; "'!$F$2:$F$50"))</f>
        <v>#VALUE!</v>
      </c>
      <c r="G673" s="4" t="e">
        <f ca="1">SplineInterp(A673,INDIRECT("'" &amp;Master!$F$10&amp; "'!$A$2:$A$50"),INDIRECT("'" &amp;Master!$F$10&amp; "'!$G$2:$G$50"))</f>
        <v>#VALUE!</v>
      </c>
      <c r="H673" s="4" t="e">
        <f ca="1">SplineInterp(A673,INDIRECT("'" &amp;Master!$F$10&amp; "'!$A$2:$A$50"),INDIRECT("'" &amp;Master!$F$10&amp; "'!$H$2:$H$50"))</f>
        <v>#VALUE!</v>
      </c>
      <c r="I673" s="4" t="e">
        <f ca="1">IF(OR(INDIRECT("'" &amp; Master!$F$8 &amp; Master!$F$6 &amp; "'!B" &amp; ROW(B673))="", INDIRECT("'" &amp; Master!$F$8 &amp; Master!$F$6 &amp; "'!B" &amp; ROW(B673))=0), "", INDIRECT("'" &amp; Master!$F$8 &amp; Master!$F$6 &amp; "'!B" &amp; ROW(B673)))</f>
        <v>#VALUE!</v>
      </c>
      <c r="J673" s="9" t="e">
        <f t="shared" ca="1" si="70"/>
        <v>#VALUE!</v>
      </c>
      <c r="K673" s="7" t="e">
        <f t="shared" ca="1" si="71"/>
        <v>#VALUE!</v>
      </c>
      <c r="L673" s="7" t="e">
        <f t="shared" ca="1" si="72"/>
        <v>#VALUE!</v>
      </c>
      <c r="M673" s="7" t="e">
        <f t="shared" ca="1" si="73"/>
        <v>#VALUE!</v>
      </c>
      <c r="N673" s="7" t="e">
        <f t="shared" ca="1" si="74"/>
        <v>#VALUE!</v>
      </c>
      <c r="O673" s="7" t="e">
        <f t="shared" ca="1" si="75"/>
        <v>#VALUE!</v>
      </c>
      <c r="P673" s="7" t="e">
        <f t="shared" ca="1" si="76"/>
        <v>#VALUE!</v>
      </c>
    </row>
    <row r="674" spans="1:16" x14ac:dyDescent="0.25">
      <c r="A674" s="19" t="str">
        <f ca="1">IF(OR(INDIRECT("'" &amp; Master!$F$8 &amp; Master!$F$6 &amp; "'!A" &amp; ROW(A674))="", INDIRECT("'" &amp; Master!$F$8 &amp; Master!$F$6 &amp; "'!A" &amp; ROW(A674))=0), "", INDIRECT("'" &amp; Master!$F$8 &amp; Master!$F$6 &amp; "'!A" &amp; ROW(A674)))</f>
        <v/>
      </c>
      <c r="B674" s="4" t="e">
        <f ca="1">SplineInterp(INDIRECT("A" &amp; ROW()),INDIRECT("'" &amp;Master!$F$10&amp; "'!$A$2:$A$50"),INDIRECT("'" &amp;Master!$F$10&amp; "'!$B$2:$B$50"))</f>
        <v>#VALUE!</v>
      </c>
      <c r="C674" s="4" t="e">
        <f ca="1">SplineInterp(A674,INDIRECT("'" &amp;Master!$F$10&amp; "'!$A$2:$A$50"),INDIRECT("'" &amp;Master!$F$10&amp; "'!$C$2:$C$50"))</f>
        <v>#VALUE!</v>
      </c>
      <c r="D674" s="4" t="e">
        <f ca="1">SplineInterp(A674,INDIRECT("'" &amp;Master!$F$10&amp; "'!$A$2:$A$50"),INDIRECT("'" &amp;Master!$F$10&amp; "'!$D$2:$D$50"))</f>
        <v>#VALUE!</v>
      </c>
      <c r="E674" s="4" t="e">
        <f ca="1">SplineInterp(A674,INDIRECT("'" &amp;Master!$F$10&amp; "'!$A$2:$A$50"),INDIRECT("'" &amp;Master!$F$10&amp; "'!$E$2:$E$50"))</f>
        <v>#VALUE!</v>
      </c>
      <c r="F674" s="4" t="e">
        <f ca="1">SplineInterp(A674,INDIRECT("'" &amp;Master!$F$10&amp; "'!$A$2:$A$50"),INDIRECT("'" &amp;Master!$F$10&amp; "'!$F$2:$F$50"))</f>
        <v>#VALUE!</v>
      </c>
      <c r="G674" s="4" t="e">
        <f ca="1">SplineInterp(A674,INDIRECT("'" &amp;Master!$F$10&amp; "'!$A$2:$A$50"),INDIRECT("'" &amp;Master!$F$10&amp; "'!$G$2:$G$50"))</f>
        <v>#VALUE!</v>
      </c>
      <c r="H674" s="4" t="e">
        <f ca="1">SplineInterp(A674,INDIRECT("'" &amp;Master!$F$10&amp; "'!$A$2:$A$50"),INDIRECT("'" &amp;Master!$F$10&amp; "'!$H$2:$H$50"))</f>
        <v>#VALUE!</v>
      </c>
      <c r="I674" s="4" t="e">
        <f ca="1">IF(OR(INDIRECT("'" &amp; Master!$F$8 &amp; Master!$F$6 &amp; "'!B" &amp; ROW(B674))="", INDIRECT("'" &amp; Master!$F$8 &amp; Master!$F$6 &amp; "'!B" &amp; ROW(B674))=0), "", INDIRECT("'" &amp; Master!$F$8 &amp; Master!$F$6 &amp; "'!B" &amp; ROW(B674)))</f>
        <v>#VALUE!</v>
      </c>
      <c r="J674" s="9" t="e">
        <f t="shared" ca="1" si="70"/>
        <v>#VALUE!</v>
      </c>
      <c r="K674" s="7" t="e">
        <f t="shared" ca="1" si="71"/>
        <v>#VALUE!</v>
      </c>
      <c r="L674" s="7" t="e">
        <f t="shared" ca="1" si="72"/>
        <v>#VALUE!</v>
      </c>
      <c r="M674" s="7" t="e">
        <f t="shared" ca="1" si="73"/>
        <v>#VALUE!</v>
      </c>
      <c r="N674" s="7" t="e">
        <f t="shared" ca="1" si="74"/>
        <v>#VALUE!</v>
      </c>
      <c r="O674" s="7" t="e">
        <f t="shared" ca="1" si="75"/>
        <v>#VALUE!</v>
      </c>
      <c r="P674" s="7" t="e">
        <f t="shared" ca="1" si="76"/>
        <v>#VALUE!</v>
      </c>
    </row>
    <row r="675" spans="1:16" x14ac:dyDescent="0.25">
      <c r="A675" s="19" t="str">
        <f ca="1">IF(OR(INDIRECT("'" &amp; Master!$F$8 &amp; Master!$F$6 &amp; "'!A" &amp; ROW(A675))="", INDIRECT("'" &amp; Master!$F$8 &amp; Master!$F$6 &amp; "'!A" &amp; ROW(A675))=0), "", INDIRECT("'" &amp; Master!$F$8 &amp; Master!$F$6 &amp; "'!A" &amp; ROW(A675)))</f>
        <v/>
      </c>
      <c r="B675" s="4" t="e">
        <f ca="1">SplineInterp(INDIRECT("A" &amp; ROW()),INDIRECT("'" &amp;Master!$F$10&amp; "'!$A$2:$A$50"),INDIRECT("'" &amp;Master!$F$10&amp; "'!$B$2:$B$50"))</f>
        <v>#VALUE!</v>
      </c>
      <c r="C675" s="4" t="e">
        <f ca="1">SplineInterp(A675,INDIRECT("'" &amp;Master!$F$10&amp; "'!$A$2:$A$50"),INDIRECT("'" &amp;Master!$F$10&amp; "'!$C$2:$C$50"))</f>
        <v>#VALUE!</v>
      </c>
      <c r="D675" s="4" t="e">
        <f ca="1">SplineInterp(A675,INDIRECT("'" &amp;Master!$F$10&amp; "'!$A$2:$A$50"),INDIRECT("'" &amp;Master!$F$10&amp; "'!$D$2:$D$50"))</f>
        <v>#VALUE!</v>
      </c>
      <c r="E675" s="4" t="e">
        <f ca="1">SplineInterp(A675,INDIRECT("'" &amp;Master!$F$10&amp; "'!$A$2:$A$50"),INDIRECT("'" &amp;Master!$F$10&amp; "'!$E$2:$E$50"))</f>
        <v>#VALUE!</v>
      </c>
      <c r="F675" s="4" t="e">
        <f ca="1">SplineInterp(A675,INDIRECT("'" &amp;Master!$F$10&amp; "'!$A$2:$A$50"),INDIRECT("'" &amp;Master!$F$10&amp; "'!$F$2:$F$50"))</f>
        <v>#VALUE!</v>
      </c>
      <c r="G675" s="4" t="e">
        <f ca="1">SplineInterp(A675,INDIRECT("'" &amp;Master!$F$10&amp; "'!$A$2:$A$50"),INDIRECT("'" &amp;Master!$F$10&amp; "'!$G$2:$G$50"))</f>
        <v>#VALUE!</v>
      </c>
      <c r="H675" s="4" t="e">
        <f ca="1">SplineInterp(A675,INDIRECT("'" &amp;Master!$F$10&amp; "'!$A$2:$A$50"),INDIRECT("'" &amp;Master!$F$10&amp; "'!$H$2:$H$50"))</f>
        <v>#VALUE!</v>
      </c>
      <c r="I675" s="4" t="e">
        <f ca="1">IF(OR(INDIRECT("'" &amp; Master!$F$8 &amp; Master!$F$6 &amp; "'!B" &amp; ROW(B675))="", INDIRECT("'" &amp; Master!$F$8 &amp; Master!$F$6 &amp; "'!B" &amp; ROW(B675))=0), "", INDIRECT("'" &amp; Master!$F$8 &amp; Master!$F$6 &amp; "'!B" &amp; ROW(B675)))</f>
        <v>#VALUE!</v>
      </c>
      <c r="J675" s="9" t="e">
        <f t="shared" ca="1" si="70"/>
        <v>#VALUE!</v>
      </c>
      <c r="K675" s="7" t="e">
        <f t="shared" ca="1" si="71"/>
        <v>#VALUE!</v>
      </c>
      <c r="L675" s="7" t="e">
        <f t="shared" ca="1" si="72"/>
        <v>#VALUE!</v>
      </c>
      <c r="M675" s="7" t="e">
        <f t="shared" ca="1" si="73"/>
        <v>#VALUE!</v>
      </c>
      <c r="N675" s="7" t="e">
        <f t="shared" ca="1" si="74"/>
        <v>#VALUE!</v>
      </c>
      <c r="O675" s="7" t="e">
        <f t="shared" ca="1" si="75"/>
        <v>#VALUE!</v>
      </c>
      <c r="P675" s="7" t="e">
        <f t="shared" ca="1" si="76"/>
        <v>#VALUE!</v>
      </c>
    </row>
    <row r="676" spans="1:16" x14ac:dyDescent="0.25">
      <c r="A676" s="19" t="str">
        <f ca="1">IF(OR(INDIRECT("'" &amp; Master!$F$8 &amp; Master!$F$6 &amp; "'!A" &amp; ROW(A676))="", INDIRECT("'" &amp; Master!$F$8 &amp; Master!$F$6 &amp; "'!A" &amp; ROW(A676))=0), "", INDIRECT("'" &amp; Master!$F$8 &amp; Master!$F$6 &amp; "'!A" &amp; ROW(A676)))</f>
        <v/>
      </c>
      <c r="B676" s="4" t="e">
        <f ca="1">SplineInterp(INDIRECT("A" &amp; ROW()),INDIRECT("'" &amp;Master!$F$10&amp; "'!$A$2:$A$50"),INDIRECT("'" &amp;Master!$F$10&amp; "'!$B$2:$B$50"))</f>
        <v>#VALUE!</v>
      </c>
      <c r="C676" s="4" t="e">
        <f ca="1">SplineInterp(A676,INDIRECT("'" &amp;Master!$F$10&amp; "'!$A$2:$A$50"),INDIRECT("'" &amp;Master!$F$10&amp; "'!$C$2:$C$50"))</f>
        <v>#VALUE!</v>
      </c>
      <c r="D676" s="4" t="e">
        <f ca="1">SplineInterp(A676,INDIRECT("'" &amp;Master!$F$10&amp; "'!$A$2:$A$50"),INDIRECT("'" &amp;Master!$F$10&amp; "'!$D$2:$D$50"))</f>
        <v>#VALUE!</v>
      </c>
      <c r="E676" s="4" t="e">
        <f ca="1">SplineInterp(A676,INDIRECT("'" &amp;Master!$F$10&amp; "'!$A$2:$A$50"),INDIRECT("'" &amp;Master!$F$10&amp; "'!$E$2:$E$50"))</f>
        <v>#VALUE!</v>
      </c>
      <c r="F676" s="4" t="e">
        <f ca="1">SplineInterp(A676,INDIRECT("'" &amp;Master!$F$10&amp; "'!$A$2:$A$50"),INDIRECT("'" &amp;Master!$F$10&amp; "'!$F$2:$F$50"))</f>
        <v>#VALUE!</v>
      </c>
      <c r="G676" s="4" t="e">
        <f ca="1">SplineInterp(A676,INDIRECT("'" &amp;Master!$F$10&amp; "'!$A$2:$A$50"),INDIRECT("'" &amp;Master!$F$10&amp; "'!$G$2:$G$50"))</f>
        <v>#VALUE!</v>
      </c>
      <c r="H676" s="4" t="e">
        <f ca="1">SplineInterp(A676,INDIRECT("'" &amp;Master!$F$10&amp; "'!$A$2:$A$50"),INDIRECT("'" &amp;Master!$F$10&amp; "'!$H$2:$H$50"))</f>
        <v>#VALUE!</v>
      </c>
      <c r="I676" s="4" t="e">
        <f ca="1">IF(OR(INDIRECT("'" &amp; Master!$F$8 &amp; Master!$F$6 &amp; "'!B" &amp; ROW(B676))="", INDIRECT("'" &amp; Master!$F$8 &amp; Master!$F$6 &amp; "'!B" &amp; ROW(B676))=0), "", INDIRECT("'" &amp; Master!$F$8 &amp; Master!$F$6 &amp; "'!B" &amp; ROW(B676)))</f>
        <v>#VALUE!</v>
      </c>
      <c r="J676" s="9" t="e">
        <f t="shared" ca="1" si="70"/>
        <v>#VALUE!</v>
      </c>
      <c r="K676" s="7" t="e">
        <f t="shared" ca="1" si="71"/>
        <v>#VALUE!</v>
      </c>
      <c r="L676" s="7" t="e">
        <f t="shared" ca="1" si="72"/>
        <v>#VALUE!</v>
      </c>
      <c r="M676" s="7" t="e">
        <f t="shared" ca="1" si="73"/>
        <v>#VALUE!</v>
      </c>
      <c r="N676" s="7" t="e">
        <f t="shared" ca="1" si="74"/>
        <v>#VALUE!</v>
      </c>
      <c r="O676" s="7" t="e">
        <f t="shared" ca="1" si="75"/>
        <v>#VALUE!</v>
      </c>
      <c r="P676" s="7" t="e">
        <f t="shared" ca="1" si="76"/>
        <v>#VALUE!</v>
      </c>
    </row>
    <row r="677" spans="1:16" x14ac:dyDescent="0.25">
      <c r="A677" s="19" t="str">
        <f ca="1">IF(OR(INDIRECT("'" &amp; Master!$F$8 &amp; Master!$F$6 &amp; "'!A" &amp; ROW(A677))="", INDIRECT("'" &amp; Master!$F$8 &amp; Master!$F$6 &amp; "'!A" &amp; ROW(A677))=0), "", INDIRECT("'" &amp; Master!$F$8 &amp; Master!$F$6 &amp; "'!A" &amp; ROW(A677)))</f>
        <v/>
      </c>
      <c r="B677" s="4" t="e">
        <f ca="1">SplineInterp(INDIRECT("A" &amp; ROW()),INDIRECT("'" &amp;Master!$F$10&amp; "'!$A$2:$A$50"),INDIRECT("'" &amp;Master!$F$10&amp; "'!$B$2:$B$50"))</f>
        <v>#VALUE!</v>
      </c>
      <c r="C677" s="4" t="e">
        <f ca="1">SplineInterp(A677,INDIRECT("'" &amp;Master!$F$10&amp; "'!$A$2:$A$50"),INDIRECT("'" &amp;Master!$F$10&amp; "'!$C$2:$C$50"))</f>
        <v>#VALUE!</v>
      </c>
      <c r="D677" s="4" t="e">
        <f ca="1">SplineInterp(A677,INDIRECT("'" &amp;Master!$F$10&amp; "'!$A$2:$A$50"),INDIRECT("'" &amp;Master!$F$10&amp; "'!$D$2:$D$50"))</f>
        <v>#VALUE!</v>
      </c>
      <c r="E677" s="4" t="e">
        <f ca="1">SplineInterp(A677,INDIRECT("'" &amp;Master!$F$10&amp; "'!$A$2:$A$50"),INDIRECT("'" &amp;Master!$F$10&amp; "'!$E$2:$E$50"))</f>
        <v>#VALUE!</v>
      </c>
      <c r="F677" s="4" t="e">
        <f ca="1">SplineInterp(A677,INDIRECT("'" &amp;Master!$F$10&amp; "'!$A$2:$A$50"),INDIRECT("'" &amp;Master!$F$10&amp; "'!$F$2:$F$50"))</f>
        <v>#VALUE!</v>
      </c>
      <c r="G677" s="4" t="e">
        <f ca="1">SplineInterp(A677,INDIRECT("'" &amp;Master!$F$10&amp; "'!$A$2:$A$50"),INDIRECT("'" &amp;Master!$F$10&amp; "'!$G$2:$G$50"))</f>
        <v>#VALUE!</v>
      </c>
      <c r="H677" s="4" t="e">
        <f ca="1">SplineInterp(A677,INDIRECT("'" &amp;Master!$F$10&amp; "'!$A$2:$A$50"),INDIRECT("'" &amp;Master!$F$10&amp; "'!$H$2:$H$50"))</f>
        <v>#VALUE!</v>
      </c>
      <c r="I677" s="4" t="e">
        <f ca="1">IF(OR(INDIRECT("'" &amp; Master!$F$8 &amp; Master!$F$6 &amp; "'!B" &amp; ROW(B677))="", INDIRECT("'" &amp; Master!$F$8 &amp; Master!$F$6 &amp; "'!B" &amp; ROW(B677))=0), "", INDIRECT("'" &amp; Master!$F$8 &amp; Master!$F$6 &amp; "'!B" &amp; ROW(B677)))</f>
        <v>#VALUE!</v>
      </c>
      <c r="J677" s="9" t="e">
        <f t="shared" ca="1" si="70"/>
        <v>#VALUE!</v>
      </c>
      <c r="K677" s="7" t="e">
        <f t="shared" ca="1" si="71"/>
        <v>#VALUE!</v>
      </c>
      <c r="L677" s="7" t="e">
        <f t="shared" ca="1" si="72"/>
        <v>#VALUE!</v>
      </c>
      <c r="M677" s="7" t="e">
        <f t="shared" ca="1" si="73"/>
        <v>#VALUE!</v>
      </c>
      <c r="N677" s="7" t="e">
        <f t="shared" ca="1" si="74"/>
        <v>#VALUE!</v>
      </c>
      <c r="O677" s="7" t="e">
        <f t="shared" ca="1" si="75"/>
        <v>#VALUE!</v>
      </c>
      <c r="P677" s="7" t="e">
        <f t="shared" ca="1" si="76"/>
        <v>#VALUE!</v>
      </c>
    </row>
    <row r="678" spans="1:16" x14ac:dyDescent="0.25">
      <c r="A678" s="19" t="str">
        <f ca="1">IF(OR(INDIRECT("'" &amp; Master!$F$8 &amp; Master!$F$6 &amp; "'!A" &amp; ROW(A678))="", INDIRECT("'" &amp; Master!$F$8 &amp; Master!$F$6 &amp; "'!A" &amp; ROW(A678))=0), "", INDIRECT("'" &amp; Master!$F$8 &amp; Master!$F$6 &amp; "'!A" &amp; ROW(A678)))</f>
        <v/>
      </c>
      <c r="B678" s="4" t="e">
        <f ca="1">SplineInterp(INDIRECT("A" &amp; ROW()),INDIRECT("'" &amp;Master!$F$10&amp; "'!$A$2:$A$50"),INDIRECT("'" &amp;Master!$F$10&amp; "'!$B$2:$B$50"))</f>
        <v>#VALUE!</v>
      </c>
      <c r="C678" s="4" t="e">
        <f ca="1">SplineInterp(A678,INDIRECT("'" &amp;Master!$F$10&amp; "'!$A$2:$A$50"),INDIRECT("'" &amp;Master!$F$10&amp; "'!$C$2:$C$50"))</f>
        <v>#VALUE!</v>
      </c>
      <c r="D678" s="4" t="e">
        <f ca="1">SplineInterp(A678,INDIRECT("'" &amp;Master!$F$10&amp; "'!$A$2:$A$50"),INDIRECT("'" &amp;Master!$F$10&amp; "'!$D$2:$D$50"))</f>
        <v>#VALUE!</v>
      </c>
      <c r="E678" s="4" t="e">
        <f ca="1">SplineInterp(A678,INDIRECT("'" &amp;Master!$F$10&amp; "'!$A$2:$A$50"),INDIRECT("'" &amp;Master!$F$10&amp; "'!$E$2:$E$50"))</f>
        <v>#VALUE!</v>
      </c>
      <c r="F678" s="4" t="e">
        <f ca="1">SplineInterp(A678,INDIRECT("'" &amp;Master!$F$10&amp; "'!$A$2:$A$50"),INDIRECT("'" &amp;Master!$F$10&amp; "'!$F$2:$F$50"))</f>
        <v>#VALUE!</v>
      </c>
      <c r="G678" s="4" t="e">
        <f ca="1">SplineInterp(A678,INDIRECT("'" &amp;Master!$F$10&amp; "'!$A$2:$A$50"),INDIRECT("'" &amp;Master!$F$10&amp; "'!$G$2:$G$50"))</f>
        <v>#VALUE!</v>
      </c>
      <c r="H678" s="4" t="e">
        <f ca="1">SplineInterp(A678,INDIRECT("'" &amp;Master!$F$10&amp; "'!$A$2:$A$50"),INDIRECT("'" &amp;Master!$F$10&amp; "'!$H$2:$H$50"))</f>
        <v>#VALUE!</v>
      </c>
      <c r="I678" s="4" t="e">
        <f ca="1">IF(OR(INDIRECT("'" &amp; Master!$F$8 &amp; Master!$F$6 &amp; "'!B" &amp; ROW(B678))="", INDIRECT("'" &amp; Master!$F$8 &amp; Master!$F$6 &amp; "'!B" &amp; ROW(B678))=0), "", INDIRECT("'" &amp; Master!$F$8 &amp; Master!$F$6 &amp; "'!B" &amp; ROW(B678)))</f>
        <v>#VALUE!</v>
      </c>
      <c r="J678" s="9" t="e">
        <f t="shared" ca="1" si="70"/>
        <v>#VALUE!</v>
      </c>
      <c r="K678" s="7" t="e">
        <f t="shared" ca="1" si="71"/>
        <v>#VALUE!</v>
      </c>
      <c r="L678" s="7" t="e">
        <f t="shared" ca="1" si="72"/>
        <v>#VALUE!</v>
      </c>
      <c r="M678" s="7" t="e">
        <f t="shared" ca="1" si="73"/>
        <v>#VALUE!</v>
      </c>
      <c r="N678" s="7" t="e">
        <f t="shared" ca="1" si="74"/>
        <v>#VALUE!</v>
      </c>
      <c r="O678" s="7" t="e">
        <f t="shared" ca="1" si="75"/>
        <v>#VALUE!</v>
      </c>
      <c r="P678" s="7" t="e">
        <f t="shared" ca="1" si="76"/>
        <v>#VALUE!</v>
      </c>
    </row>
    <row r="679" spans="1:16" x14ac:dyDescent="0.25">
      <c r="A679" s="19" t="str">
        <f ca="1">IF(OR(INDIRECT("'" &amp; Master!$F$8 &amp; Master!$F$6 &amp; "'!A" &amp; ROW(A679))="", INDIRECT("'" &amp; Master!$F$8 &amp; Master!$F$6 &amp; "'!A" &amp; ROW(A679))=0), "", INDIRECT("'" &amp; Master!$F$8 &amp; Master!$F$6 &amp; "'!A" &amp; ROW(A679)))</f>
        <v/>
      </c>
      <c r="B679" s="4" t="e">
        <f ca="1">SplineInterp(INDIRECT("A" &amp; ROW()),INDIRECT("'" &amp;Master!$F$10&amp; "'!$A$2:$A$50"),INDIRECT("'" &amp;Master!$F$10&amp; "'!$B$2:$B$50"))</f>
        <v>#VALUE!</v>
      </c>
      <c r="C679" s="4" t="e">
        <f ca="1">SplineInterp(A679,INDIRECT("'" &amp;Master!$F$10&amp; "'!$A$2:$A$50"),INDIRECT("'" &amp;Master!$F$10&amp; "'!$C$2:$C$50"))</f>
        <v>#VALUE!</v>
      </c>
      <c r="D679" s="4" t="e">
        <f ca="1">SplineInterp(A679,INDIRECT("'" &amp;Master!$F$10&amp; "'!$A$2:$A$50"),INDIRECT("'" &amp;Master!$F$10&amp; "'!$D$2:$D$50"))</f>
        <v>#VALUE!</v>
      </c>
      <c r="E679" s="4" t="e">
        <f ca="1">SplineInterp(A679,INDIRECT("'" &amp;Master!$F$10&amp; "'!$A$2:$A$50"),INDIRECT("'" &amp;Master!$F$10&amp; "'!$E$2:$E$50"))</f>
        <v>#VALUE!</v>
      </c>
      <c r="F679" s="4" t="e">
        <f ca="1">SplineInterp(A679,INDIRECT("'" &amp;Master!$F$10&amp; "'!$A$2:$A$50"),INDIRECT("'" &amp;Master!$F$10&amp; "'!$F$2:$F$50"))</f>
        <v>#VALUE!</v>
      </c>
      <c r="G679" s="4" t="e">
        <f ca="1">SplineInterp(A679,INDIRECT("'" &amp;Master!$F$10&amp; "'!$A$2:$A$50"),INDIRECT("'" &amp;Master!$F$10&amp; "'!$G$2:$G$50"))</f>
        <v>#VALUE!</v>
      </c>
      <c r="H679" s="4" t="e">
        <f ca="1">SplineInterp(A679,INDIRECT("'" &amp;Master!$F$10&amp; "'!$A$2:$A$50"),INDIRECT("'" &amp;Master!$F$10&amp; "'!$H$2:$H$50"))</f>
        <v>#VALUE!</v>
      </c>
      <c r="I679" s="4" t="e">
        <f ca="1">IF(OR(INDIRECT("'" &amp; Master!$F$8 &amp; Master!$F$6 &amp; "'!B" &amp; ROW(B679))="", INDIRECT("'" &amp; Master!$F$8 &amp; Master!$F$6 &amp; "'!B" &amp; ROW(B679))=0), "", INDIRECT("'" &amp; Master!$F$8 &amp; Master!$F$6 &amp; "'!B" &amp; ROW(B679)))</f>
        <v>#VALUE!</v>
      </c>
      <c r="J679" s="9" t="e">
        <f t="shared" ca="1" si="70"/>
        <v>#VALUE!</v>
      </c>
      <c r="K679" s="7" t="e">
        <f t="shared" ca="1" si="71"/>
        <v>#VALUE!</v>
      </c>
      <c r="L679" s="7" t="e">
        <f t="shared" ca="1" si="72"/>
        <v>#VALUE!</v>
      </c>
      <c r="M679" s="7" t="e">
        <f t="shared" ca="1" si="73"/>
        <v>#VALUE!</v>
      </c>
      <c r="N679" s="7" t="e">
        <f t="shared" ca="1" si="74"/>
        <v>#VALUE!</v>
      </c>
      <c r="O679" s="7" t="e">
        <f t="shared" ca="1" si="75"/>
        <v>#VALUE!</v>
      </c>
      <c r="P679" s="7" t="e">
        <f t="shared" ca="1" si="76"/>
        <v>#VALUE!</v>
      </c>
    </row>
    <row r="680" spans="1:16" x14ac:dyDescent="0.25">
      <c r="A680" s="19" t="str">
        <f ca="1">IF(OR(INDIRECT("'" &amp; Master!$F$8 &amp; Master!$F$6 &amp; "'!A" &amp; ROW(A680))="", INDIRECT("'" &amp; Master!$F$8 &amp; Master!$F$6 &amp; "'!A" &amp; ROW(A680))=0), "", INDIRECT("'" &amp; Master!$F$8 &amp; Master!$F$6 &amp; "'!A" &amp; ROW(A680)))</f>
        <v/>
      </c>
      <c r="B680" s="4" t="e">
        <f ca="1">SplineInterp(INDIRECT("A" &amp; ROW()),INDIRECT("'" &amp;Master!$F$10&amp; "'!$A$2:$A$50"),INDIRECT("'" &amp;Master!$F$10&amp; "'!$B$2:$B$50"))</f>
        <v>#VALUE!</v>
      </c>
      <c r="C680" s="4" t="e">
        <f ca="1">SplineInterp(A680,INDIRECT("'" &amp;Master!$F$10&amp; "'!$A$2:$A$50"),INDIRECT("'" &amp;Master!$F$10&amp; "'!$C$2:$C$50"))</f>
        <v>#VALUE!</v>
      </c>
      <c r="D680" s="4" t="e">
        <f ca="1">SplineInterp(A680,INDIRECT("'" &amp;Master!$F$10&amp; "'!$A$2:$A$50"),INDIRECT("'" &amp;Master!$F$10&amp; "'!$D$2:$D$50"))</f>
        <v>#VALUE!</v>
      </c>
      <c r="E680" s="4" t="e">
        <f ca="1">SplineInterp(A680,INDIRECT("'" &amp;Master!$F$10&amp; "'!$A$2:$A$50"),INDIRECT("'" &amp;Master!$F$10&amp; "'!$E$2:$E$50"))</f>
        <v>#VALUE!</v>
      </c>
      <c r="F680" s="4" t="e">
        <f ca="1">SplineInterp(A680,INDIRECT("'" &amp;Master!$F$10&amp; "'!$A$2:$A$50"),INDIRECT("'" &amp;Master!$F$10&amp; "'!$F$2:$F$50"))</f>
        <v>#VALUE!</v>
      </c>
      <c r="G680" s="4" t="e">
        <f ca="1">SplineInterp(A680,INDIRECT("'" &amp;Master!$F$10&amp; "'!$A$2:$A$50"),INDIRECT("'" &amp;Master!$F$10&amp; "'!$G$2:$G$50"))</f>
        <v>#VALUE!</v>
      </c>
      <c r="H680" s="4" t="e">
        <f ca="1">SplineInterp(A680,INDIRECT("'" &amp;Master!$F$10&amp; "'!$A$2:$A$50"),INDIRECT("'" &amp;Master!$F$10&amp; "'!$H$2:$H$50"))</f>
        <v>#VALUE!</v>
      </c>
      <c r="I680" s="4" t="e">
        <f ca="1">IF(OR(INDIRECT("'" &amp; Master!$F$8 &amp; Master!$F$6 &amp; "'!B" &amp; ROW(B680))="", INDIRECT("'" &amp; Master!$F$8 &amp; Master!$F$6 &amp; "'!B" &amp; ROW(B680))=0), "", INDIRECT("'" &amp; Master!$F$8 &amp; Master!$F$6 &amp; "'!B" &amp; ROW(B680)))</f>
        <v>#VALUE!</v>
      </c>
      <c r="J680" s="9" t="e">
        <f t="shared" ca="1" si="70"/>
        <v>#VALUE!</v>
      </c>
      <c r="K680" s="7" t="e">
        <f t="shared" ca="1" si="71"/>
        <v>#VALUE!</v>
      </c>
      <c r="L680" s="7" t="e">
        <f t="shared" ca="1" si="72"/>
        <v>#VALUE!</v>
      </c>
      <c r="M680" s="7" t="e">
        <f t="shared" ca="1" si="73"/>
        <v>#VALUE!</v>
      </c>
      <c r="N680" s="7" t="e">
        <f t="shared" ca="1" si="74"/>
        <v>#VALUE!</v>
      </c>
      <c r="O680" s="7" t="e">
        <f t="shared" ca="1" si="75"/>
        <v>#VALUE!</v>
      </c>
      <c r="P680" s="7" t="e">
        <f t="shared" ca="1" si="76"/>
        <v>#VALUE!</v>
      </c>
    </row>
    <row r="681" spans="1:16" x14ac:dyDescent="0.25">
      <c r="A681" s="19" t="str">
        <f ca="1">IF(OR(INDIRECT("'" &amp; Master!$F$8 &amp; Master!$F$6 &amp; "'!A" &amp; ROW(A681))="", INDIRECT("'" &amp; Master!$F$8 &amp; Master!$F$6 &amp; "'!A" &amp; ROW(A681))=0), "", INDIRECT("'" &amp; Master!$F$8 &amp; Master!$F$6 &amp; "'!A" &amp; ROW(A681)))</f>
        <v/>
      </c>
      <c r="B681" s="4" t="e">
        <f ca="1">SplineInterp(INDIRECT("A" &amp; ROW()),INDIRECT("'" &amp;Master!$F$10&amp; "'!$A$2:$A$50"),INDIRECT("'" &amp;Master!$F$10&amp; "'!$B$2:$B$50"))</f>
        <v>#VALUE!</v>
      </c>
      <c r="C681" s="4" t="e">
        <f ca="1">SplineInterp(A681,INDIRECT("'" &amp;Master!$F$10&amp; "'!$A$2:$A$50"),INDIRECT("'" &amp;Master!$F$10&amp; "'!$C$2:$C$50"))</f>
        <v>#VALUE!</v>
      </c>
      <c r="D681" s="4" t="e">
        <f ca="1">SplineInterp(A681,INDIRECT("'" &amp;Master!$F$10&amp; "'!$A$2:$A$50"),INDIRECT("'" &amp;Master!$F$10&amp; "'!$D$2:$D$50"))</f>
        <v>#VALUE!</v>
      </c>
      <c r="E681" s="4" t="e">
        <f ca="1">SplineInterp(A681,INDIRECT("'" &amp;Master!$F$10&amp; "'!$A$2:$A$50"),INDIRECT("'" &amp;Master!$F$10&amp; "'!$E$2:$E$50"))</f>
        <v>#VALUE!</v>
      </c>
      <c r="F681" s="4" t="e">
        <f ca="1">SplineInterp(A681,INDIRECT("'" &amp;Master!$F$10&amp; "'!$A$2:$A$50"),INDIRECT("'" &amp;Master!$F$10&amp; "'!$F$2:$F$50"))</f>
        <v>#VALUE!</v>
      </c>
      <c r="G681" s="4" t="e">
        <f ca="1">SplineInterp(A681,INDIRECT("'" &amp;Master!$F$10&amp; "'!$A$2:$A$50"),INDIRECT("'" &amp;Master!$F$10&amp; "'!$G$2:$G$50"))</f>
        <v>#VALUE!</v>
      </c>
      <c r="H681" s="4" t="e">
        <f ca="1">SplineInterp(A681,INDIRECT("'" &amp;Master!$F$10&amp; "'!$A$2:$A$50"),INDIRECT("'" &amp;Master!$F$10&amp; "'!$H$2:$H$50"))</f>
        <v>#VALUE!</v>
      </c>
      <c r="I681" s="4" t="e">
        <f ca="1">IF(OR(INDIRECT("'" &amp; Master!$F$8 &amp; Master!$F$6 &amp; "'!B" &amp; ROW(B681))="", INDIRECT("'" &amp; Master!$F$8 &amp; Master!$F$6 &amp; "'!B" &amp; ROW(B681))=0), "", INDIRECT("'" &amp; Master!$F$8 &amp; Master!$F$6 &amp; "'!B" &amp; ROW(B681)))</f>
        <v>#VALUE!</v>
      </c>
      <c r="J681" s="9" t="e">
        <f t="shared" ca="1" si="70"/>
        <v>#VALUE!</v>
      </c>
      <c r="K681" s="7" t="e">
        <f t="shared" ca="1" si="71"/>
        <v>#VALUE!</v>
      </c>
      <c r="L681" s="7" t="e">
        <f t="shared" ca="1" si="72"/>
        <v>#VALUE!</v>
      </c>
      <c r="M681" s="7" t="e">
        <f t="shared" ca="1" si="73"/>
        <v>#VALUE!</v>
      </c>
      <c r="N681" s="7" t="e">
        <f t="shared" ca="1" si="74"/>
        <v>#VALUE!</v>
      </c>
      <c r="O681" s="7" t="e">
        <f t="shared" ca="1" si="75"/>
        <v>#VALUE!</v>
      </c>
      <c r="P681" s="7" t="e">
        <f t="shared" ca="1" si="76"/>
        <v>#VALUE!</v>
      </c>
    </row>
    <row r="682" spans="1:16" x14ac:dyDescent="0.25">
      <c r="A682" s="19" t="str">
        <f ca="1">IF(OR(INDIRECT("'" &amp; Master!$F$8 &amp; Master!$F$6 &amp; "'!A" &amp; ROW(A682))="", INDIRECT("'" &amp; Master!$F$8 &amp; Master!$F$6 &amp; "'!A" &amp; ROW(A682))=0), "", INDIRECT("'" &amp; Master!$F$8 &amp; Master!$F$6 &amp; "'!A" &amp; ROW(A682)))</f>
        <v/>
      </c>
      <c r="B682" s="4" t="e">
        <f ca="1">SplineInterp(INDIRECT("A" &amp; ROW()),INDIRECT("'" &amp;Master!$F$10&amp; "'!$A$2:$A$50"),INDIRECT("'" &amp;Master!$F$10&amp; "'!$B$2:$B$50"))</f>
        <v>#VALUE!</v>
      </c>
      <c r="C682" s="4" t="e">
        <f ca="1">SplineInterp(A682,INDIRECT("'" &amp;Master!$F$10&amp; "'!$A$2:$A$50"),INDIRECT("'" &amp;Master!$F$10&amp; "'!$C$2:$C$50"))</f>
        <v>#VALUE!</v>
      </c>
      <c r="D682" s="4" t="e">
        <f ca="1">SplineInterp(A682,INDIRECT("'" &amp;Master!$F$10&amp; "'!$A$2:$A$50"),INDIRECT("'" &amp;Master!$F$10&amp; "'!$D$2:$D$50"))</f>
        <v>#VALUE!</v>
      </c>
      <c r="E682" s="4" t="e">
        <f ca="1">SplineInterp(A682,INDIRECT("'" &amp;Master!$F$10&amp; "'!$A$2:$A$50"),INDIRECT("'" &amp;Master!$F$10&amp; "'!$E$2:$E$50"))</f>
        <v>#VALUE!</v>
      </c>
      <c r="F682" s="4" t="e">
        <f ca="1">SplineInterp(A682,INDIRECT("'" &amp;Master!$F$10&amp; "'!$A$2:$A$50"),INDIRECT("'" &amp;Master!$F$10&amp; "'!$F$2:$F$50"))</f>
        <v>#VALUE!</v>
      </c>
      <c r="G682" s="4" t="e">
        <f ca="1">SplineInterp(A682,INDIRECT("'" &amp;Master!$F$10&amp; "'!$A$2:$A$50"),INDIRECT("'" &amp;Master!$F$10&amp; "'!$G$2:$G$50"))</f>
        <v>#VALUE!</v>
      </c>
      <c r="H682" s="4" t="e">
        <f ca="1">SplineInterp(A682,INDIRECT("'" &amp;Master!$F$10&amp; "'!$A$2:$A$50"),INDIRECT("'" &amp;Master!$F$10&amp; "'!$H$2:$H$50"))</f>
        <v>#VALUE!</v>
      </c>
      <c r="I682" s="4" t="e">
        <f ca="1">IF(OR(INDIRECT("'" &amp; Master!$F$8 &amp; Master!$F$6 &amp; "'!B" &amp; ROW(B682))="", INDIRECT("'" &amp; Master!$F$8 &amp; Master!$F$6 &amp; "'!B" &amp; ROW(B682))=0), "", INDIRECT("'" &amp; Master!$F$8 &amp; Master!$F$6 &amp; "'!B" &amp; ROW(B682)))</f>
        <v>#VALUE!</v>
      </c>
      <c r="J682" s="9" t="e">
        <f t="shared" ca="1" si="70"/>
        <v>#VALUE!</v>
      </c>
      <c r="K682" s="7" t="e">
        <f t="shared" ca="1" si="71"/>
        <v>#VALUE!</v>
      </c>
      <c r="L682" s="7" t="e">
        <f t="shared" ca="1" si="72"/>
        <v>#VALUE!</v>
      </c>
      <c r="M682" s="7" t="e">
        <f t="shared" ca="1" si="73"/>
        <v>#VALUE!</v>
      </c>
      <c r="N682" s="7" t="e">
        <f t="shared" ca="1" si="74"/>
        <v>#VALUE!</v>
      </c>
      <c r="O682" s="7" t="e">
        <f t="shared" ca="1" si="75"/>
        <v>#VALUE!</v>
      </c>
      <c r="P682" s="7" t="e">
        <f t="shared" ca="1" si="76"/>
        <v>#VALUE!</v>
      </c>
    </row>
    <row r="683" spans="1:16" x14ac:dyDescent="0.25">
      <c r="A683" s="19" t="str">
        <f ca="1">IF(OR(INDIRECT("'" &amp; Master!$F$8 &amp; Master!$F$6 &amp; "'!A" &amp; ROW(A683))="", INDIRECT("'" &amp; Master!$F$8 &amp; Master!$F$6 &amp; "'!A" &amp; ROW(A683))=0), "", INDIRECT("'" &amp; Master!$F$8 &amp; Master!$F$6 &amp; "'!A" &amp; ROW(A683)))</f>
        <v/>
      </c>
      <c r="B683" s="4" t="e">
        <f ca="1">SplineInterp(INDIRECT("A" &amp; ROW()),INDIRECT("'" &amp;Master!$F$10&amp; "'!$A$2:$A$50"),INDIRECT("'" &amp;Master!$F$10&amp; "'!$B$2:$B$50"))</f>
        <v>#VALUE!</v>
      </c>
      <c r="C683" s="4" t="e">
        <f ca="1">SplineInterp(A683,INDIRECT("'" &amp;Master!$F$10&amp; "'!$A$2:$A$50"),INDIRECT("'" &amp;Master!$F$10&amp; "'!$C$2:$C$50"))</f>
        <v>#VALUE!</v>
      </c>
      <c r="D683" s="4" t="e">
        <f ca="1">SplineInterp(A683,INDIRECT("'" &amp;Master!$F$10&amp; "'!$A$2:$A$50"),INDIRECT("'" &amp;Master!$F$10&amp; "'!$D$2:$D$50"))</f>
        <v>#VALUE!</v>
      </c>
      <c r="E683" s="4" t="e">
        <f ca="1">SplineInterp(A683,INDIRECT("'" &amp;Master!$F$10&amp; "'!$A$2:$A$50"),INDIRECT("'" &amp;Master!$F$10&amp; "'!$E$2:$E$50"))</f>
        <v>#VALUE!</v>
      </c>
      <c r="F683" s="4" t="e">
        <f ca="1">SplineInterp(A683,INDIRECT("'" &amp;Master!$F$10&amp; "'!$A$2:$A$50"),INDIRECT("'" &amp;Master!$F$10&amp; "'!$F$2:$F$50"))</f>
        <v>#VALUE!</v>
      </c>
      <c r="G683" s="4" t="e">
        <f ca="1">SplineInterp(A683,INDIRECT("'" &amp;Master!$F$10&amp; "'!$A$2:$A$50"),INDIRECT("'" &amp;Master!$F$10&amp; "'!$G$2:$G$50"))</f>
        <v>#VALUE!</v>
      </c>
      <c r="H683" s="4" t="e">
        <f ca="1">SplineInterp(A683,INDIRECT("'" &amp;Master!$F$10&amp; "'!$A$2:$A$50"),INDIRECT("'" &amp;Master!$F$10&amp; "'!$H$2:$H$50"))</f>
        <v>#VALUE!</v>
      </c>
      <c r="I683" s="4" t="e">
        <f ca="1">IF(OR(INDIRECT("'" &amp; Master!$F$8 &amp; Master!$F$6 &amp; "'!B" &amp; ROW(B683))="", INDIRECT("'" &amp; Master!$F$8 &amp; Master!$F$6 &amp; "'!B" &amp; ROW(B683))=0), "", INDIRECT("'" &amp; Master!$F$8 &amp; Master!$F$6 &amp; "'!B" &amp; ROW(B683)))</f>
        <v>#VALUE!</v>
      </c>
      <c r="J683" s="9" t="e">
        <f t="shared" ca="1" si="70"/>
        <v>#VALUE!</v>
      </c>
      <c r="K683" s="7" t="e">
        <f t="shared" ca="1" si="71"/>
        <v>#VALUE!</v>
      </c>
      <c r="L683" s="7" t="e">
        <f t="shared" ca="1" si="72"/>
        <v>#VALUE!</v>
      </c>
      <c r="M683" s="7" t="e">
        <f t="shared" ca="1" si="73"/>
        <v>#VALUE!</v>
      </c>
      <c r="N683" s="7" t="e">
        <f t="shared" ca="1" si="74"/>
        <v>#VALUE!</v>
      </c>
      <c r="O683" s="7" t="e">
        <f t="shared" ca="1" si="75"/>
        <v>#VALUE!</v>
      </c>
      <c r="P683" s="7" t="e">
        <f t="shared" ca="1" si="76"/>
        <v>#VALUE!</v>
      </c>
    </row>
    <row r="684" spans="1:16" x14ac:dyDescent="0.25">
      <c r="A684" s="19" t="str">
        <f ca="1">IF(OR(INDIRECT("'" &amp; Master!$F$8 &amp; Master!$F$6 &amp; "'!A" &amp; ROW(A684))="", INDIRECT("'" &amp; Master!$F$8 &amp; Master!$F$6 &amp; "'!A" &amp; ROW(A684))=0), "", INDIRECT("'" &amp; Master!$F$8 &amp; Master!$F$6 &amp; "'!A" &amp; ROW(A684)))</f>
        <v/>
      </c>
      <c r="B684" s="4" t="e">
        <f ca="1">SplineInterp(INDIRECT("A" &amp; ROW()),INDIRECT("'" &amp;Master!$F$10&amp; "'!$A$2:$A$50"),INDIRECT("'" &amp;Master!$F$10&amp; "'!$B$2:$B$50"))</f>
        <v>#VALUE!</v>
      </c>
      <c r="C684" s="4" t="e">
        <f ca="1">SplineInterp(A684,INDIRECT("'" &amp;Master!$F$10&amp; "'!$A$2:$A$50"),INDIRECT("'" &amp;Master!$F$10&amp; "'!$C$2:$C$50"))</f>
        <v>#VALUE!</v>
      </c>
      <c r="D684" s="4" t="e">
        <f ca="1">SplineInterp(A684,INDIRECT("'" &amp;Master!$F$10&amp; "'!$A$2:$A$50"),INDIRECT("'" &amp;Master!$F$10&amp; "'!$D$2:$D$50"))</f>
        <v>#VALUE!</v>
      </c>
      <c r="E684" s="4" t="e">
        <f ca="1">SplineInterp(A684,INDIRECT("'" &amp;Master!$F$10&amp; "'!$A$2:$A$50"),INDIRECT("'" &amp;Master!$F$10&amp; "'!$E$2:$E$50"))</f>
        <v>#VALUE!</v>
      </c>
      <c r="F684" s="4" t="e">
        <f ca="1">SplineInterp(A684,INDIRECT("'" &amp;Master!$F$10&amp; "'!$A$2:$A$50"),INDIRECT("'" &amp;Master!$F$10&amp; "'!$F$2:$F$50"))</f>
        <v>#VALUE!</v>
      </c>
      <c r="G684" s="4" t="e">
        <f ca="1">SplineInterp(A684,INDIRECT("'" &amp;Master!$F$10&amp; "'!$A$2:$A$50"),INDIRECT("'" &amp;Master!$F$10&amp; "'!$G$2:$G$50"))</f>
        <v>#VALUE!</v>
      </c>
      <c r="H684" s="4" t="e">
        <f ca="1">SplineInterp(A684,INDIRECT("'" &amp;Master!$F$10&amp; "'!$A$2:$A$50"),INDIRECT("'" &amp;Master!$F$10&amp; "'!$H$2:$H$50"))</f>
        <v>#VALUE!</v>
      </c>
      <c r="I684" s="4" t="e">
        <f ca="1">IF(OR(INDIRECT("'" &amp; Master!$F$8 &amp; Master!$F$6 &amp; "'!B" &amp; ROW(B684))="", INDIRECT("'" &amp; Master!$F$8 &amp; Master!$F$6 &amp; "'!B" &amp; ROW(B684))=0), "", INDIRECT("'" &amp; Master!$F$8 &amp; Master!$F$6 &amp; "'!B" &amp; ROW(B684)))</f>
        <v>#VALUE!</v>
      </c>
      <c r="J684" s="9" t="e">
        <f t="shared" ca="1" si="70"/>
        <v>#VALUE!</v>
      </c>
      <c r="K684" s="7" t="e">
        <f t="shared" ca="1" si="71"/>
        <v>#VALUE!</v>
      </c>
      <c r="L684" s="7" t="e">
        <f t="shared" ca="1" si="72"/>
        <v>#VALUE!</v>
      </c>
      <c r="M684" s="7" t="e">
        <f t="shared" ca="1" si="73"/>
        <v>#VALUE!</v>
      </c>
      <c r="N684" s="7" t="e">
        <f t="shared" ca="1" si="74"/>
        <v>#VALUE!</v>
      </c>
      <c r="O684" s="7" t="e">
        <f t="shared" ca="1" si="75"/>
        <v>#VALUE!</v>
      </c>
      <c r="P684" s="7" t="e">
        <f t="shared" ca="1" si="76"/>
        <v>#VALUE!</v>
      </c>
    </row>
    <row r="685" spans="1:16" x14ac:dyDescent="0.25">
      <c r="A685" s="19" t="str">
        <f ca="1">IF(OR(INDIRECT("'" &amp; Master!$F$8 &amp; Master!$F$6 &amp; "'!A" &amp; ROW(A685))="", INDIRECT("'" &amp; Master!$F$8 &amp; Master!$F$6 &amp; "'!A" &amp; ROW(A685))=0), "", INDIRECT("'" &amp; Master!$F$8 &amp; Master!$F$6 &amp; "'!A" &amp; ROW(A685)))</f>
        <v/>
      </c>
      <c r="B685" s="4" t="e">
        <f ca="1">SplineInterp(INDIRECT("A" &amp; ROW()),INDIRECT("'" &amp;Master!$F$10&amp; "'!$A$2:$A$50"),INDIRECT("'" &amp;Master!$F$10&amp; "'!$B$2:$B$50"))</f>
        <v>#VALUE!</v>
      </c>
      <c r="C685" s="4" t="e">
        <f ca="1">SplineInterp(A685,INDIRECT("'" &amp;Master!$F$10&amp; "'!$A$2:$A$50"),INDIRECT("'" &amp;Master!$F$10&amp; "'!$C$2:$C$50"))</f>
        <v>#VALUE!</v>
      </c>
      <c r="D685" s="4" t="e">
        <f ca="1">SplineInterp(A685,INDIRECT("'" &amp;Master!$F$10&amp; "'!$A$2:$A$50"),INDIRECT("'" &amp;Master!$F$10&amp; "'!$D$2:$D$50"))</f>
        <v>#VALUE!</v>
      </c>
      <c r="E685" s="4" t="e">
        <f ca="1">SplineInterp(A685,INDIRECT("'" &amp;Master!$F$10&amp; "'!$A$2:$A$50"),INDIRECT("'" &amp;Master!$F$10&amp; "'!$E$2:$E$50"))</f>
        <v>#VALUE!</v>
      </c>
      <c r="F685" s="4" t="e">
        <f ca="1">SplineInterp(A685,INDIRECT("'" &amp;Master!$F$10&amp; "'!$A$2:$A$50"),INDIRECT("'" &amp;Master!$F$10&amp; "'!$F$2:$F$50"))</f>
        <v>#VALUE!</v>
      </c>
      <c r="G685" s="4" t="e">
        <f ca="1">SplineInterp(A685,INDIRECT("'" &amp;Master!$F$10&amp; "'!$A$2:$A$50"),INDIRECT("'" &amp;Master!$F$10&amp; "'!$G$2:$G$50"))</f>
        <v>#VALUE!</v>
      </c>
      <c r="H685" s="4" t="e">
        <f ca="1">SplineInterp(A685,INDIRECT("'" &amp;Master!$F$10&amp; "'!$A$2:$A$50"),INDIRECT("'" &amp;Master!$F$10&amp; "'!$H$2:$H$50"))</f>
        <v>#VALUE!</v>
      </c>
      <c r="I685" s="4" t="e">
        <f ca="1">IF(OR(INDIRECT("'" &amp; Master!$F$8 &amp; Master!$F$6 &amp; "'!B" &amp; ROW(B685))="", INDIRECT("'" &amp; Master!$F$8 &amp; Master!$F$6 &amp; "'!B" &amp; ROW(B685))=0), "", INDIRECT("'" &amp; Master!$F$8 &amp; Master!$F$6 &amp; "'!B" &amp; ROW(B685)))</f>
        <v>#VALUE!</v>
      </c>
      <c r="J685" s="9" t="e">
        <f t="shared" ca="1" si="70"/>
        <v>#VALUE!</v>
      </c>
      <c r="K685" s="7" t="e">
        <f t="shared" ca="1" si="71"/>
        <v>#VALUE!</v>
      </c>
      <c r="L685" s="7" t="e">
        <f t="shared" ca="1" si="72"/>
        <v>#VALUE!</v>
      </c>
      <c r="M685" s="7" t="e">
        <f t="shared" ca="1" si="73"/>
        <v>#VALUE!</v>
      </c>
      <c r="N685" s="7" t="e">
        <f t="shared" ca="1" si="74"/>
        <v>#VALUE!</v>
      </c>
      <c r="O685" s="7" t="e">
        <f t="shared" ca="1" si="75"/>
        <v>#VALUE!</v>
      </c>
      <c r="P685" s="7" t="e">
        <f t="shared" ca="1" si="76"/>
        <v>#VALUE!</v>
      </c>
    </row>
    <row r="686" spans="1:16" x14ac:dyDescent="0.25">
      <c r="A686" s="19" t="str">
        <f ca="1">IF(OR(INDIRECT("'" &amp; Master!$F$8 &amp; Master!$F$6 &amp; "'!A" &amp; ROW(A686))="", INDIRECT("'" &amp; Master!$F$8 &amp; Master!$F$6 &amp; "'!A" &amp; ROW(A686))=0), "", INDIRECT("'" &amp; Master!$F$8 &amp; Master!$F$6 &amp; "'!A" &amp; ROW(A686)))</f>
        <v/>
      </c>
      <c r="B686" s="4" t="e">
        <f ca="1">SplineInterp(INDIRECT("A" &amp; ROW()),INDIRECT("'" &amp;Master!$F$10&amp; "'!$A$2:$A$50"),INDIRECT("'" &amp;Master!$F$10&amp; "'!$B$2:$B$50"))</f>
        <v>#VALUE!</v>
      </c>
      <c r="C686" s="4" t="e">
        <f ca="1">SplineInterp(A686,INDIRECT("'" &amp;Master!$F$10&amp; "'!$A$2:$A$50"),INDIRECT("'" &amp;Master!$F$10&amp; "'!$C$2:$C$50"))</f>
        <v>#VALUE!</v>
      </c>
      <c r="D686" s="4" t="e">
        <f ca="1">SplineInterp(A686,INDIRECT("'" &amp;Master!$F$10&amp; "'!$A$2:$A$50"),INDIRECT("'" &amp;Master!$F$10&amp; "'!$D$2:$D$50"))</f>
        <v>#VALUE!</v>
      </c>
      <c r="E686" s="4" t="e">
        <f ca="1">SplineInterp(A686,INDIRECT("'" &amp;Master!$F$10&amp; "'!$A$2:$A$50"),INDIRECT("'" &amp;Master!$F$10&amp; "'!$E$2:$E$50"))</f>
        <v>#VALUE!</v>
      </c>
      <c r="F686" s="4" t="e">
        <f ca="1">SplineInterp(A686,INDIRECT("'" &amp;Master!$F$10&amp; "'!$A$2:$A$50"),INDIRECT("'" &amp;Master!$F$10&amp; "'!$F$2:$F$50"))</f>
        <v>#VALUE!</v>
      </c>
      <c r="G686" s="4" t="e">
        <f ca="1">SplineInterp(A686,INDIRECT("'" &amp;Master!$F$10&amp; "'!$A$2:$A$50"),INDIRECT("'" &amp;Master!$F$10&amp; "'!$G$2:$G$50"))</f>
        <v>#VALUE!</v>
      </c>
      <c r="H686" s="4" t="e">
        <f ca="1">SplineInterp(A686,INDIRECT("'" &amp;Master!$F$10&amp; "'!$A$2:$A$50"),INDIRECT("'" &amp;Master!$F$10&amp; "'!$H$2:$H$50"))</f>
        <v>#VALUE!</v>
      </c>
      <c r="I686" s="4" t="e">
        <f ca="1">IF(OR(INDIRECT("'" &amp; Master!$F$8 &amp; Master!$F$6 &amp; "'!B" &amp; ROW(B686))="", INDIRECT("'" &amp; Master!$F$8 &amp; Master!$F$6 &amp; "'!B" &amp; ROW(B686))=0), "", INDIRECT("'" &amp; Master!$F$8 &amp; Master!$F$6 &amp; "'!B" &amp; ROW(B686)))</f>
        <v>#VALUE!</v>
      </c>
      <c r="J686" s="9" t="e">
        <f t="shared" ca="1" si="70"/>
        <v>#VALUE!</v>
      </c>
      <c r="K686" s="7" t="e">
        <f t="shared" ca="1" si="71"/>
        <v>#VALUE!</v>
      </c>
      <c r="L686" s="7" t="e">
        <f t="shared" ca="1" si="72"/>
        <v>#VALUE!</v>
      </c>
      <c r="M686" s="7" t="e">
        <f t="shared" ca="1" si="73"/>
        <v>#VALUE!</v>
      </c>
      <c r="N686" s="7" t="e">
        <f t="shared" ca="1" si="74"/>
        <v>#VALUE!</v>
      </c>
      <c r="O686" s="7" t="e">
        <f t="shared" ca="1" si="75"/>
        <v>#VALUE!</v>
      </c>
      <c r="P686" s="7" t="e">
        <f t="shared" ca="1" si="76"/>
        <v>#VALUE!</v>
      </c>
    </row>
    <row r="687" spans="1:16" x14ac:dyDescent="0.25">
      <c r="A687" s="19" t="str">
        <f ca="1">IF(OR(INDIRECT("'" &amp; Master!$F$8 &amp; Master!$F$6 &amp; "'!A" &amp; ROW(A687))="", INDIRECT("'" &amp; Master!$F$8 &amp; Master!$F$6 &amp; "'!A" &amp; ROW(A687))=0), "", INDIRECT("'" &amp; Master!$F$8 &amp; Master!$F$6 &amp; "'!A" &amp; ROW(A687)))</f>
        <v/>
      </c>
      <c r="B687" s="4" t="e">
        <f ca="1">SplineInterp(INDIRECT("A" &amp; ROW()),INDIRECT("'" &amp;Master!$F$10&amp; "'!$A$2:$A$50"),INDIRECT("'" &amp;Master!$F$10&amp; "'!$B$2:$B$50"))</f>
        <v>#VALUE!</v>
      </c>
      <c r="C687" s="4" t="e">
        <f ca="1">SplineInterp(A687,INDIRECT("'" &amp;Master!$F$10&amp; "'!$A$2:$A$50"),INDIRECT("'" &amp;Master!$F$10&amp; "'!$C$2:$C$50"))</f>
        <v>#VALUE!</v>
      </c>
      <c r="D687" s="4" t="e">
        <f ca="1">SplineInterp(A687,INDIRECT("'" &amp;Master!$F$10&amp; "'!$A$2:$A$50"),INDIRECT("'" &amp;Master!$F$10&amp; "'!$D$2:$D$50"))</f>
        <v>#VALUE!</v>
      </c>
      <c r="E687" s="4" t="e">
        <f ca="1">SplineInterp(A687,INDIRECT("'" &amp;Master!$F$10&amp; "'!$A$2:$A$50"),INDIRECT("'" &amp;Master!$F$10&amp; "'!$E$2:$E$50"))</f>
        <v>#VALUE!</v>
      </c>
      <c r="F687" s="4" t="e">
        <f ca="1">SplineInterp(A687,INDIRECT("'" &amp;Master!$F$10&amp; "'!$A$2:$A$50"),INDIRECT("'" &amp;Master!$F$10&amp; "'!$F$2:$F$50"))</f>
        <v>#VALUE!</v>
      </c>
      <c r="G687" s="4" t="e">
        <f ca="1">SplineInterp(A687,INDIRECT("'" &amp;Master!$F$10&amp; "'!$A$2:$A$50"),INDIRECT("'" &amp;Master!$F$10&amp; "'!$G$2:$G$50"))</f>
        <v>#VALUE!</v>
      </c>
      <c r="H687" s="4" t="e">
        <f ca="1">SplineInterp(A687,INDIRECT("'" &amp;Master!$F$10&amp; "'!$A$2:$A$50"),INDIRECT("'" &amp;Master!$F$10&amp; "'!$H$2:$H$50"))</f>
        <v>#VALUE!</v>
      </c>
      <c r="I687" s="4" t="e">
        <f ca="1">IF(OR(INDIRECT("'" &amp; Master!$F$8 &amp; Master!$F$6 &amp; "'!B" &amp; ROW(B687))="", INDIRECT("'" &amp; Master!$F$8 &amp; Master!$F$6 &amp; "'!B" &amp; ROW(B687))=0), "", INDIRECT("'" &amp; Master!$F$8 &amp; Master!$F$6 &amp; "'!B" &amp; ROW(B687)))</f>
        <v>#VALUE!</v>
      </c>
      <c r="J687" s="9" t="e">
        <f t="shared" ca="1" si="70"/>
        <v>#VALUE!</v>
      </c>
      <c r="K687" s="7" t="e">
        <f t="shared" ca="1" si="71"/>
        <v>#VALUE!</v>
      </c>
      <c r="L687" s="7" t="e">
        <f t="shared" ca="1" si="72"/>
        <v>#VALUE!</v>
      </c>
      <c r="M687" s="7" t="e">
        <f t="shared" ca="1" si="73"/>
        <v>#VALUE!</v>
      </c>
      <c r="N687" s="7" t="e">
        <f t="shared" ca="1" si="74"/>
        <v>#VALUE!</v>
      </c>
      <c r="O687" s="7" t="e">
        <f t="shared" ca="1" si="75"/>
        <v>#VALUE!</v>
      </c>
      <c r="P687" s="7" t="e">
        <f t="shared" ca="1" si="76"/>
        <v>#VALUE!</v>
      </c>
    </row>
    <row r="688" spans="1:16" x14ac:dyDescent="0.25">
      <c r="A688" s="19" t="str">
        <f ca="1">IF(OR(INDIRECT("'" &amp; Master!$F$8 &amp; Master!$F$6 &amp; "'!A" &amp; ROW(A688))="", INDIRECT("'" &amp; Master!$F$8 &amp; Master!$F$6 &amp; "'!A" &amp; ROW(A688))=0), "", INDIRECT("'" &amp; Master!$F$8 &amp; Master!$F$6 &amp; "'!A" &amp; ROW(A688)))</f>
        <v/>
      </c>
      <c r="B688" s="4" t="e">
        <f ca="1">SplineInterp(INDIRECT("A" &amp; ROW()),INDIRECT("'" &amp;Master!$F$10&amp; "'!$A$2:$A$50"),INDIRECT("'" &amp;Master!$F$10&amp; "'!$B$2:$B$50"))</f>
        <v>#VALUE!</v>
      </c>
      <c r="C688" s="4" t="e">
        <f ca="1">SplineInterp(A688,INDIRECT("'" &amp;Master!$F$10&amp; "'!$A$2:$A$50"),INDIRECT("'" &amp;Master!$F$10&amp; "'!$C$2:$C$50"))</f>
        <v>#VALUE!</v>
      </c>
      <c r="D688" s="4" t="e">
        <f ca="1">SplineInterp(A688,INDIRECT("'" &amp;Master!$F$10&amp; "'!$A$2:$A$50"),INDIRECT("'" &amp;Master!$F$10&amp; "'!$D$2:$D$50"))</f>
        <v>#VALUE!</v>
      </c>
      <c r="E688" s="4" t="e">
        <f ca="1">SplineInterp(A688,INDIRECT("'" &amp;Master!$F$10&amp; "'!$A$2:$A$50"),INDIRECT("'" &amp;Master!$F$10&amp; "'!$E$2:$E$50"))</f>
        <v>#VALUE!</v>
      </c>
      <c r="F688" s="4" t="e">
        <f ca="1">SplineInterp(A688,INDIRECT("'" &amp;Master!$F$10&amp; "'!$A$2:$A$50"),INDIRECT("'" &amp;Master!$F$10&amp; "'!$F$2:$F$50"))</f>
        <v>#VALUE!</v>
      </c>
      <c r="G688" s="4" t="e">
        <f ca="1">SplineInterp(A688,INDIRECT("'" &amp;Master!$F$10&amp; "'!$A$2:$A$50"),INDIRECT("'" &amp;Master!$F$10&amp; "'!$G$2:$G$50"))</f>
        <v>#VALUE!</v>
      </c>
      <c r="H688" s="4" t="e">
        <f ca="1">SplineInterp(A688,INDIRECT("'" &amp;Master!$F$10&amp; "'!$A$2:$A$50"),INDIRECT("'" &amp;Master!$F$10&amp; "'!$H$2:$H$50"))</f>
        <v>#VALUE!</v>
      </c>
      <c r="I688" s="4" t="e">
        <f ca="1">IF(OR(INDIRECT("'" &amp; Master!$F$8 &amp; Master!$F$6 &amp; "'!B" &amp; ROW(B688))="", INDIRECT("'" &amp; Master!$F$8 &amp; Master!$F$6 &amp; "'!B" &amp; ROW(B688))=0), "", INDIRECT("'" &amp; Master!$F$8 &amp; Master!$F$6 &amp; "'!B" &amp; ROW(B688)))</f>
        <v>#VALUE!</v>
      </c>
      <c r="J688" s="9" t="e">
        <f t="shared" ca="1" si="70"/>
        <v>#VALUE!</v>
      </c>
      <c r="K688" s="7" t="e">
        <f t="shared" ca="1" si="71"/>
        <v>#VALUE!</v>
      </c>
      <c r="L688" s="7" t="e">
        <f t="shared" ca="1" si="72"/>
        <v>#VALUE!</v>
      </c>
      <c r="M688" s="7" t="e">
        <f t="shared" ca="1" si="73"/>
        <v>#VALUE!</v>
      </c>
      <c r="N688" s="7" t="e">
        <f t="shared" ca="1" si="74"/>
        <v>#VALUE!</v>
      </c>
      <c r="O688" s="7" t="e">
        <f t="shared" ca="1" si="75"/>
        <v>#VALUE!</v>
      </c>
      <c r="P688" s="7" t="e">
        <f t="shared" ca="1" si="76"/>
        <v>#VALUE!</v>
      </c>
    </row>
    <row r="689" spans="1:16" x14ac:dyDescent="0.25">
      <c r="A689" s="19" t="str">
        <f ca="1">IF(OR(INDIRECT("'" &amp; Master!$F$8 &amp; Master!$F$6 &amp; "'!A" &amp; ROW(A689))="", INDIRECT("'" &amp; Master!$F$8 &amp; Master!$F$6 &amp; "'!A" &amp; ROW(A689))=0), "", INDIRECT("'" &amp; Master!$F$8 &amp; Master!$F$6 &amp; "'!A" &amp; ROW(A689)))</f>
        <v/>
      </c>
      <c r="B689" s="4" t="e">
        <f ca="1">SplineInterp(INDIRECT("A" &amp; ROW()),INDIRECT("'" &amp;Master!$F$10&amp; "'!$A$2:$A$50"),INDIRECT("'" &amp;Master!$F$10&amp; "'!$B$2:$B$50"))</f>
        <v>#VALUE!</v>
      </c>
      <c r="C689" s="4" t="e">
        <f ca="1">SplineInterp(A689,INDIRECT("'" &amp;Master!$F$10&amp; "'!$A$2:$A$50"),INDIRECT("'" &amp;Master!$F$10&amp; "'!$C$2:$C$50"))</f>
        <v>#VALUE!</v>
      </c>
      <c r="D689" s="4" t="e">
        <f ca="1">SplineInterp(A689,INDIRECT("'" &amp;Master!$F$10&amp; "'!$A$2:$A$50"),INDIRECT("'" &amp;Master!$F$10&amp; "'!$D$2:$D$50"))</f>
        <v>#VALUE!</v>
      </c>
      <c r="E689" s="4" t="e">
        <f ca="1">SplineInterp(A689,INDIRECT("'" &amp;Master!$F$10&amp; "'!$A$2:$A$50"),INDIRECT("'" &amp;Master!$F$10&amp; "'!$E$2:$E$50"))</f>
        <v>#VALUE!</v>
      </c>
      <c r="F689" s="4" t="e">
        <f ca="1">SplineInterp(A689,INDIRECT("'" &amp;Master!$F$10&amp; "'!$A$2:$A$50"),INDIRECT("'" &amp;Master!$F$10&amp; "'!$F$2:$F$50"))</f>
        <v>#VALUE!</v>
      </c>
      <c r="G689" s="4" t="e">
        <f ca="1">SplineInterp(A689,INDIRECT("'" &amp;Master!$F$10&amp; "'!$A$2:$A$50"),INDIRECT("'" &amp;Master!$F$10&amp; "'!$G$2:$G$50"))</f>
        <v>#VALUE!</v>
      </c>
      <c r="H689" s="4" t="e">
        <f ca="1">SplineInterp(A689,INDIRECT("'" &amp;Master!$F$10&amp; "'!$A$2:$A$50"),INDIRECT("'" &amp;Master!$F$10&amp; "'!$H$2:$H$50"))</f>
        <v>#VALUE!</v>
      </c>
      <c r="I689" s="4" t="e">
        <f ca="1">IF(OR(INDIRECT("'" &amp; Master!$F$8 &amp; Master!$F$6 &amp; "'!B" &amp; ROW(B689))="", INDIRECT("'" &amp; Master!$F$8 &amp; Master!$F$6 &amp; "'!B" &amp; ROW(B689))=0), "", INDIRECT("'" &amp; Master!$F$8 &amp; Master!$F$6 &amp; "'!B" &amp; ROW(B689)))</f>
        <v>#VALUE!</v>
      </c>
      <c r="J689" s="9" t="e">
        <f t="shared" ca="1" si="70"/>
        <v>#VALUE!</v>
      </c>
      <c r="K689" s="7" t="e">
        <f t="shared" ca="1" si="71"/>
        <v>#VALUE!</v>
      </c>
      <c r="L689" s="7" t="e">
        <f t="shared" ca="1" si="72"/>
        <v>#VALUE!</v>
      </c>
      <c r="M689" s="7" t="e">
        <f t="shared" ca="1" si="73"/>
        <v>#VALUE!</v>
      </c>
      <c r="N689" s="7" t="e">
        <f t="shared" ca="1" si="74"/>
        <v>#VALUE!</v>
      </c>
      <c r="O689" s="7" t="e">
        <f t="shared" ca="1" si="75"/>
        <v>#VALUE!</v>
      </c>
      <c r="P689" s="7" t="e">
        <f t="shared" ca="1" si="76"/>
        <v>#VALUE!</v>
      </c>
    </row>
    <row r="690" spans="1:16" x14ac:dyDescent="0.25">
      <c r="A690" s="19" t="str">
        <f ca="1">IF(OR(INDIRECT("'" &amp; Master!$F$8 &amp; Master!$F$6 &amp; "'!A" &amp; ROW(A690))="", INDIRECT("'" &amp; Master!$F$8 &amp; Master!$F$6 &amp; "'!A" &amp; ROW(A690))=0), "", INDIRECT("'" &amp; Master!$F$8 &amp; Master!$F$6 &amp; "'!A" &amp; ROW(A690)))</f>
        <v/>
      </c>
      <c r="B690" s="4" t="e">
        <f ca="1">SplineInterp(INDIRECT("A" &amp; ROW()),INDIRECT("'" &amp;Master!$F$10&amp; "'!$A$2:$A$50"),INDIRECT("'" &amp;Master!$F$10&amp; "'!$B$2:$B$50"))</f>
        <v>#VALUE!</v>
      </c>
      <c r="C690" s="4" t="e">
        <f ca="1">SplineInterp(A690,INDIRECT("'" &amp;Master!$F$10&amp; "'!$A$2:$A$50"),INDIRECT("'" &amp;Master!$F$10&amp; "'!$C$2:$C$50"))</f>
        <v>#VALUE!</v>
      </c>
      <c r="D690" s="4" t="e">
        <f ca="1">SplineInterp(A690,INDIRECT("'" &amp;Master!$F$10&amp; "'!$A$2:$A$50"),INDIRECT("'" &amp;Master!$F$10&amp; "'!$D$2:$D$50"))</f>
        <v>#VALUE!</v>
      </c>
      <c r="E690" s="4" t="e">
        <f ca="1">SplineInterp(A690,INDIRECT("'" &amp;Master!$F$10&amp; "'!$A$2:$A$50"),INDIRECT("'" &amp;Master!$F$10&amp; "'!$E$2:$E$50"))</f>
        <v>#VALUE!</v>
      </c>
      <c r="F690" s="4" t="e">
        <f ca="1">SplineInterp(A690,INDIRECT("'" &amp;Master!$F$10&amp; "'!$A$2:$A$50"),INDIRECT("'" &amp;Master!$F$10&amp; "'!$F$2:$F$50"))</f>
        <v>#VALUE!</v>
      </c>
      <c r="G690" s="4" t="e">
        <f ca="1">SplineInterp(A690,INDIRECT("'" &amp;Master!$F$10&amp; "'!$A$2:$A$50"),INDIRECT("'" &amp;Master!$F$10&amp; "'!$G$2:$G$50"))</f>
        <v>#VALUE!</v>
      </c>
      <c r="H690" s="4" t="e">
        <f ca="1">SplineInterp(A690,INDIRECT("'" &amp;Master!$F$10&amp; "'!$A$2:$A$50"),INDIRECT("'" &amp;Master!$F$10&amp; "'!$H$2:$H$50"))</f>
        <v>#VALUE!</v>
      </c>
      <c r="I690" s="4" t="e">
        <f ca="1">IF(OR(INDIRECT("'" &amp; Master!$F$8 &amp; Master!$F$6 &amp; "'!B" &amp; ROW(B690))="", INDIRECT("'" &amp; Master!$F$8 &amp; Master!$F$6 &amp; "'!B" &amp; ROW(B690))=0), "", INDIRECT("'" &amp; Master!$F$8 &amp; Master!$F$6 &amp; "'!B" &amp; ROW(B690)))</f>
        <v>#VALUE!</v>
      </c>
      <c r="J690" s="9" t="e">
        <f t="shared" ca="1" si="70"/>
        <v>#VALUE!</v>
      </c>
      <c r="K690" s="7" t="e">
        <f t="shared" ca="1" si="71"/>
        <v>#VALUE!</v>
      </c>
      <c r="L690" s="7" t="e">
        <f t="shared" ca="1" si="72"/>
        <v>#VALUE!</v>
      </c>
      <c r="M690" s="7" t="e">
        <f t="shared" ca="1" si="73"/>
        <v>#VALUE!</v>
      </c>
      <c r="N690" s="7" t="e">
        <f t="shared" ca="1" si="74"/>
        <v>#VALUE!</v>
      </c>
      <c r="O690" s="7" t="e">
        <f t="shared" ca="1" si="75"/>
        <v>#VALUE!</v>
      </c>
      <c r="P690" s="7" t="e">
        <f t="shared" ca="1" si="76"/>
        <v>#VALUE!</v>
      </c>
    </row>
    <row r="691" spans="1:16" x14ac:dyDescent="0.25">
      <c r="A691" s="19" t="str">
        <f ca="1">IF(OR(INDIRECT("'" &amp; Master!$F$8 &amp; Master!$F$6 &amp; "'!A" &amp; ROW(A691))="", INDIRECT("'" &amp; Master!$F$8 &amp; Master!$F$6 &amp; "'!A" &amp; ROW(A691))=0), "", INDIRECT("'" &amp; Master!$F$8 &amp; Master!$F$6 &amp; "'!A" &amp; ROW(A691)))</f>
        <v/>
      </c>
      <c r="B691" s="4" t="e">
        <f ca="1">SplineInterp(INDIRECT("A" &amp; ROW()),INDIRECT("'" &amp;Master!$F$10&amp; "'!$A$2:$A$50"),INDIRECT("'" &amp;Master!$F$10&amp; "'!$B$2:$B$50"))</f>
        <v>#VALUE!</v>
      </c>
      <c r="C691" s="4" t="e">
        <f ca="1">SplineInterp(A691,INDIRECT("'" &amp;Master!$F$10&amp; "'!$A$2:$A$50"),INDIRECT("'" &amp;Master!$F$10&amp; "'!$C$2:$C$50"))</f>
        <v>#VALUE!</v>
      </c>
      <c r="D691" s="4" t="e">
        <f ca="1">SplineInterp(A691,INDIRECT("'" &amp;Master!$F$10&amp; "'!$A$2:$A$50"),INDIRECT("'" &amp;Master!$F$10&amp; "'!$D$2:$D$50"))</f>
        <v>#VALUE!</v>
      </c>
      <c r="E691" s="4" t="e">
        <f ca="1">SplineInterp(A691,INDIRECT("'" &amp;Master!$F$10&amp; "'!$A$2:$A$50"),INDIRECT("'" &amp;Master!$F$10&amp; "'!$E$2:$E$50"))</f>
        <v>#VALUE!</v>
      </c>
      <c r="F691" s="4" t="e">
        <f ca="1">SplineInterp(A691,INDIRECT("'" &amp;Master!$F$10&amp; "'!$A$2:$A$50"),INDIRECT("'" &amp;Master!$F$10&amp; "'!$F$2:$F$50"))</f>
        <v>#VALUE!</v>
      </c>
      <c r="G691" s="4" t="e">
        <f ca="1">SplineInterp(A691,INDIRECT("'" &amp;Master!$F$10&amp; "'!$A$2:$A$50"),INDIRECT("'" &amp;Master!$F$10&amp; "'!$G$2:$G$50"))</f>
        <v>#VALUE!</v>
      </c>
      <c r="H691" s="4" t="e">
        <f ca="1">SplineInterp(A691,INDIRECT("'" &amp;Master!$F$10&amp; "'!$A$2:$A$50"),INDIRECT("'" &amp;Master!$F$10&amp; "'!$H$2:$H$50"))</f>
        <v>#VALUE!</v>
      </c>
      <c r="I691" s="4" t="e">
        <f ca="1">IF(OR(INDIRECT("'" &amp; Master!$F$8 &amp; Master!$F$6 &amp; "'!B" &amp; ROW(B691))="", INDIRECT("'" &amp; Master!$F$8 &amp; Master!$F$6 &amp; "'!B" &amp; ROW(B691))=0), "", INDIRECT("'" &amp; Master!$F$8 &amp; Master!$F$6 &amp; "'!B" &amp; ROW(B691)))</f>
        <v>#VALUE!</v>
      </c>
      <c r="J691" s="9" t="e">
        <f t="shared" ca="1" si="70"/>
        <v>#VALUE!</v>
      </c>
      <c r="K691" s="7" t="e">
        <f t="shared" ca="1" si="71"/>
        <v>#VALUE!</v>
      </c>
      <c r="L691" s="7" t="e">
        <f t="shared" ca="1" si="72"/>
        <v>#VALUE!</v>
      </c>
      <c r="M691" s="7" t="e">
        <f t="shared" ca="1" si="73"/>
        <v>#VALUE!</v>
      </c>
      <c r="N691" s="7" t="e">
        <f t="shared" ca="1" si="74"/>
        <v>#VALUE!</v>
      </c>
      <c r="O691" s="7" t="e">
        <f t="shared" ca="1" si="75"/>
        <v>#VALUE!</v>
      </c>
      <c r="P691" s="7" t="e">
        <f t="shared" ca="1" si="76"/>
        <v>#VALUE!</v>
      </c>
    </row>
    <row r="692" spans="1:16" x14ac:dyDescent="0.25">
      <c r="A692" s="19" t="str">
        <f ca="1">IF(OR(INDIRECT("'" &amp; Master!$F$8 &amp; Master!$F$6 &amp; "'!A" &amp; ROW(A692))="", INDIRECT("'" &amp; Master!$F$8 &amp; Master!$F$6 &amp; "'!A" &amp; ROW(A692))=0), "", INDIRECT("'" &amp; Master!$F$8 &amp; Master!$F$6 &amp; "'!A" &amp; ROW(A692)))</f>
        <v/>
      </c>
      <c r="B692" s="4" t="e">
        <f ca="1">SplineInterp(INDIRECT("A" &amp; ROW()),INDIRECT("'" &amp;Master!$F$10&amp; "'!$A$2:$A$50"),INDIRECT("'" &amp;Master!$F$10&amp; "'!$B$2:$B$50"))</f>
        <v>#VALUE!</v>
      </c>
      <c r="C692" s="4" t="e">
        <f ca="1">SplineInterp(A692,INDIRECT("'" &amp;Master!$F$10&amp; "'!$A$2:$A$50"),INDIRECT("'" &amp;Master!$F$10&amp; "'!$C$2:$C$50"))</f>
        <v>#VALUE!</v>
      </c>
      <c r="D692" s="4" t="e">
        <f ca="1">SplineInterp(A692,INDIRECT("'" &amp;Master!$F$10&amp; "'!$A$2:$A$50"),INDIRECT("'" &amp;Master!$F$10&amp; "'!$D$2:$D$50"))</f>
        <v>#VALUE!</v>
      </c>
      <c r="E692" s="4" t="e">
        <f ca="1">SplineInterp(A692,INDIRECT("'" &amp;Master!$F$10&amp; "'!$A$2:$A$50"),INDIRECT("'" &amp;Master!$F$10&amp; "'!$E$2:$E$50"))</f>
        <v>#VALUE!</v>
      </c>
      <c r="F692" s="4" t="e">
        <f ca="1">SplineInterp(A692,INDIRECT("'" &amp;Master!$F$10&amp; "'!$A$2:$A$50"),INDIRECT("'" &amp;Master!$F$10&amp; "'!$F$2:$F$50"))</f>
        <v>#VALUE!</v>
      </c>
      <c r="G692" s="4" t="e">
        <f ca="1">SplineInterp(A692,INDIRECT("'" &amp;Master!$F$10&amp; "'!$A$2:$A$50"),INDIRECT("'" &amp;Master!$F$10&amp; "'!$G$2:$G$50"))</f>
        <v>#VALUE!</v>
      </c>
      <c r="H692" s="4" t="e">
        <f ca="1">SplineInterp(A692,INDIRECT("'" &amp;Master!$F$10&amp; "'!$A$2:$A$50"),INDIRECT("'" &amp;Master!$F$10&amp; "'!$H$2:$H$50"))</f>
        <v>#VALUE!</v>
      </c>
      <c r="I692" s="4" t="e">
        <f ca="1">IF(OR(INDIRECT("'" &amp; Master!$F$8 &amp; Master!$F$6 &amp; "'!B" &amp; ROW(B692))="", INDIRECT("'" &amp; Master!$F$8 &amp; Master!$F$6 &amp; "'!B" &amp; ROW(B692))=0), "", INDIRECT("'" &amp; Master!$F$8 &amp; Master!$F$6 &amp; "'!B" &amp; ROW(B692)))</f>
        <v>#VALUE!</v>
      </c>
      <c r="J692" s="9" t="e">
        <f t="shared" ca="1" si="70"/>
        <v>#VALUE!</v>
      </c>
      <c r="K692" s="7" t="e">
        <f t="shared" ca="1" si="71"/>
        <v>#VALUE!</v>
      </c>
      <c r="L692" s="7" t="e">
        <f t="shared" ca="1" si="72"/>
        <v>#VALUE!</v>
      </c>
      <c r="M692" s="7" t="e">
        <f t="shared" ca="1" si="73"/>
        <v>#VALUE!</v>
      </c>
      <c r="N692" s="7" t="e">
        <f t="shared" ca="1" si="74"/>
        <v>#VALUE!</v>
      </c>
      <c r="O692" s="7" t="e">
        <f t="shared" ca="1" si="75"/>
        <v>#VALUE!</v>
      </c>
      <c r="P692" s="7" t="e">
        <f t="shared" ca="1" si="76"/>
        <v>#VALUE!</v>
      </c>
    </row>
    <row r="693" spans="1:16" x14ac:dyDescent="0.25">
      <c r="A693" s="19" t="str">
        <f ca="1">IF(OR(INDIRECT("'" &amp; Master!$F$8 &amp; Master!$F$6 &amp; "'!A" &amp; ROW(A693))="", INDIRECT("'" &amp; Master!$F$8 &amp; Master!$F$6 &amp; "'!A" &amp; ROW(A693))=0), "", INDIRECT("'" &amp; Master!$F$8 &amp; Master!$F$6 &amp; "'!A" &amp; ROW(A693)))</f>
        <v/>
      </c>
      <c r="B693" s="4" t="e">
        <f ca="1">SplineInterp(INDIRECT("A" &amp; ROW()),INDIRECT("'" &amp;Master!$F$10&amp; "'!$A$2:$A$50"),INDIRECT("'" &amp;Master!$F$10&amp; "'!$B$2:$B$50"))</f>
        <v>#VALUE!</v>
      </c>
      <c r="C693" s="4" t="e">
        <f ca="1">SplineInterp(A693,INDIRECT("'" &amp;Master!$F$10&amp; "'!$A$2:$A$50"),INDIRECT("'" &amp;Master!$F$10&amp; "'!$C$2:$C$50"))</f>
        <v>#VALUE!</v>
      </c>
      <c r="D693" s="4" t="e">
        <f ca="1">SplineInterp(A693,INDIRECT("'" &amp;Master!$F$10&amp; "'!$A$2:$A$50"),INDIRECT("'" &amp;Master!$F$10&amp; "'!$D$2:$D$50"))</f>
        <v>#VALUE!</v>
      </c>
      <c r="E693" s="4" t="e">
        <f ca="1">SplineInterp(A693,INDIRECT("'" &amp;Master!$F$10&amp; "'!$A$2:$A$50"),INDIRECT("'" &amp;Master!$F$10&amp; "'!$E$2:$E$50"))</f>
        <v>#VALUE!</v>
      </c>
      <c r="F693" s="4" t="e">
        <f ca="1">SplineInterp(A693,INDIRECT("'" &amp;Master!$F$10&amp; "'!$A$2:$A$50"),INDIRECT("'" &amp;Master!$F$10&amp; "'!$F$2:$F$50"))</f>
        <v>#VALUE!</v>
      </c>
      <c r="G693" s="4" t="e">
        <f ca="1">SplineInterp(A693,INDIRECT("'" &amp;Master!$F$10&amp; "'!$A$2:$A$50"),INDIRECT("'" &amp;Master!$F$10&amp; "'!$G$2:$G$50"))</f>
        <v>#VALUE!</v>
      </c>
      <c r="H693" s="4" t="e">
        <f ca="1">SplineInterp(A693,INDIRECT("'" &amp;Master!$F$10&amp; "'!$A$2:$A$50"),INDIRECT("'" &amp;Master!$F$10&amp; "'!$H$2:$H$50"))</f>
        <v>#VALUE!</v>
      </c>
      <c r="I693" s="4" t="e">
        <f ca="1">IF(OR(INDIRECT("'" &amp; Master!$F$8 &amp; Master!$F$6 &amp; "'!B" &amp; ROW(B693))="", INDIRECT("'" &amp; Master!$F$8 &amp; Master!$F$6 &amp; "'!B" &amp; ROW(B693))=0), "", INDIRECT("'" &amp; Master!$F$8 &amp; Master!$F$6 &amp; "'!B" &amp; ROW(B693)))</f>
        <v>#VALUE!</v>
      </c>
      <c r="J693" s="9" t="e">
        <f t="shared" ca="1" si="70"/>
        <v>#VALUE!</v>
      </c>
      <c r="K693" s="7" t="e">
        <f t="shared" ca="1" si="71"/>
        <v>#VALUE!</v>
      </c>
      <c r="L693" s="7" t="e">
        <f t="shared" ca="1" si="72"/>
        <v>#VALUE!</v>
      </c>
      <c r="M693" s="7" t="e">
        <f t="shared" ca="1" si="73"/>
        <v>#VALUE!</v>
      </c>
      <c r="N693" s="7" t="e">
        <f t="shared" ca="1" si="74"/>
        <v>#VALUE!</v>
      </c>
      <c r="O693" s="7" t="e">
        <f t="shared" ca="1" si="75"/>
        <v>#VALUE!</v>
      </c>
      <c r="P693" s="7" t="e">
        <f t="shared" ca="1" si="76"/>
        <v>#VALUE!</v>
      </c>
    </row>
    <row r="694" spans="1:16" x14ac:dyDescent="0.25">
      <c r="A694" s="19" t="str">
        <f ca="1">IF(OR(INDIRECT("'" &amp; Master!$F$8 &amp; Master!$F$6 &amp; "'!A" &amp; ROW(A694))="", INDIRECT("'" &amp; Master!$F$8 &amp; Master!$F$6 &amp; "'!A" &amp; ROW(A694))=0), "", INDIRECT("'" &amp; Master!$F$8 &amp; Master!$F$6 &amp; "'!A" &amp; ROW(A694)))</f>
        <v/>
      </c>
      <c r="B694" s="4" t="e">
        <f ca="1">SplineInterp(INDIRECT("A" &amp; ROW()),INDIRECT("'" &amp;Master!$F$10&amp; "'!$A$2:$A$50"),INDIRECT("'" &amp;Master!$F$10&amp; "'!$B$2:$B$50"))</f>
        <v>#VALUE!</v>
      </c>
      <c r="C694" s="4" t="e">
        <f ca="1">SplineInterp(A694,INDIRECT("'" &amp;Master!$F$10&amp; "'!$A$2:$A$50"),INDIRECT("'" &amp;Master!$F$10&amp; "'!$C$2:$C$50"))</f>
        <v>#VALUE!</v>
      </c>
      <c r="D694" s="4" t="e">
        <f ca="1">SplineInterp(A694,INDIRECT("'" &amp;Master!$F$10&amp; "'!$A$2:$A$50"),INDIRECT("'" &amp;Master!$F$10&amp; "'!$D$2:$D$50"))</f>
        <v>#VALUE!</v>
      </c>
      <c r="E694" s="4" t="e">
        <f ca="1">SplineInterp(A694,INDIRECT("'" &amp;Master!$F$10&amp; "'!$A$2:$A$50"),INDIRECT("'" &amp;Master!$F$10&amp; "'!$E$2:$E$50"))</f>
        <v>#VALUE!</v>
      </c>
      <c r="F694" s="4" t="e">
        <f ca="1">SplineInterp(A694,INDIRECT("'" &amp;Master!$F$10&amp; "'!$A$2:$A$50"),INDIRECT("'" &amp;Master!$F$10&amp; "'!$F$2:$F$50"))</f>
        <v>#VALUE!</v>
      </c>
      <c r="G694" s="4" t="e">
        <f ca="1">SplineInterp(A694,INDIRECT("'" &amp;Master!$F$10&amp; "'!$A$2:$A$50"),INDIRECT("'" &amp;Master!$F$10&amp; "'!$G$2:$G$50"))</f>
        <v>#VALUE!</v>
      </c>
      <c r="H694" s="4" t="e">
        <f ca="1">SplineInterp(A694,INDIRECT("'" &amp;Master!$F$10&amp; "'!$A$2:$A$50"),INDIRECT("'" &amp;Master!$F$10&amp; "'!$H$2:$H$50"))</f>
        <v>#VALUE!</v>
      </c>
      <c r="I694" s="4" t="e">
        <f ca="1">IF(OR(INDIRECT("'" &amp; Master!$F$8 &amp; Master!$F$6 &amp; "'!B" &amp; ROW(B694))="", INDIRECT("'" &amp; Master!$F$8 &amp; Master!$F$6 &amp; "'!B" &amp; ROW(B694))=0), "", INDIRECT("'" &amp; Master!$F$8 &amp; Master!$F$6 &amp; "'!B" &amp; ROW(B694)))</f>
        <v>#VALUE!</v>
      </c>
      <c r="J694" s="9" t="e">
        <f t="shared" ca="1" si="70"/>
        <v>#VALUE!</v>
      </c>
      <c r="K694" s="7" t="e">
        <f t="shared" ca="1" si="71"/>
        <v>#VALUE!</v>
      </c>
      <c r="L694" s="7" t="e">
        <f t="shared" ca="1" si="72"/>
        <v>#VALUE!</v>
      </c>
      <c r="M694" s="7" t="e">
        <f t="shared" ca="1" si="73"/>
        <v>#VALUE!</v>
      </c>
      <c r="N694" s="7" t="e">
        <f t="shared" ca="1" si="74"/>
        <v>#VALUE!</v>
      </c>
      <c r="O694" s="7" t="e">
        <f t="shared" ca="1" si="75"/>
        <v>#VALUE!</v>
      </c>
      <c r="P694" s="7" t="e">
        <f t="shared" ca="1" si="76"/>
        <v>#VALUE!</v>
      </c>
    </row>
    <row r="695" spans="1:16" x14ac:dyDescent="0.25">
      <c r="A695" s="19" t="str">
        <f ca="1">IF(OR(INDIRECT("'" &amp; Master!$F$8 &amp; Master!$F$6 &amp; "'!A" &amp; ROW(A695))="", INDIRECT("'" &amp; Master!$F$8 &amp; Master!$F$6 &amp; "'!A" &amp; ROW(A695))=0), "", INDIRECT("'" &amp; Master!$F$8 &amp; Master!$F$6 &amp; "'!A" &amp; ROW(A695)))</f>
        <v/>
      </c>
      <c r="B695" s="4" t="e">
        <f ca="1">SplineInterp(INDIRECT("A" &amp; ROW()),INDIRECT("'" &amp;Master!$F$10&amp; "'!$A$2:$A$50"),INDIRECT("'" &amp;Master!$F$10&amp; "'!$B$2:$B$50"))</f>
        <v>#VALUE!</v>
      </c>
      <c r="C695" s="4" t="e">
        <f ca="1">SplineInterp(A695,INDIRECT("'" &amp;Master!$F$10&amp; "'!$A$2:$A$50"),INDIRECT("'" &amp;Master!$F$10&amp; "'!$C$2:$C$50"))</f>
        <v>#VALUE!</v>
      </c>
      <c r="D695" s="4" t="e">
        <f ca="1">SplineInterp(A695,INDIRECT("'" &amp;Master!$F$10&amp; "'!$A$2:$A$50"),INDIRECT("'" &amp;Master!$F$10&amp; "'!$D$2:$D$50"))</f>
        <v>#VALUE!</v>
      </c>
      <c r="E695" s="4" t="e">
        <f ca="1">SplineInterp(A695,INDIRECT("'" &amp;Master!$F$10&amp; "'!$A$2:$A$50"),INDIRECT("'" &amp;Master!$F$10&amp; "'!$E$2:$E$50"))</f>
        <v>#VALUE!</v>
      </c>
      <c r="F695" s="4" t="e">
        <f ca="1">SplineInterp(A695,INDIRECT("'" &amp;Master!$F$10&amp; "'!$A$2:$A$50"),INDIRECT("'" &amp;Master!$F$10&amp; "'!$F$2:$F$50"))</f>
        <v>#VALUE!</v>
      </c>
      <c r="G695" s="4" t="e">
        <f ca="1">SplineInterp(A695,INDIRECT("'" &amp;Master!$F$10&amp; "'!$A$2:$A$50"),INDIRECT("'" &amp;Master!$F$10&amp; "'!$G$2:$G$50"))</f>
        <v>#VALUE!</v>
      </c>
      <c r="H695" s="4" t="e">
        <f ca="1">SplineInterp(A695,INDIRECT("'" &amp;Master!$F$10&amp; "'!$A$2:$A$50"),INDIRECT("'" &amp;Master!$F$10&amp; "'!$H$2:$H$50"))</f>
        <v>#VALUE!</v>
      </c>
      <c r="I695" s="4" t="e">
        <f ca="1">IF(OR(INDIRECT("'" &amp; Master!$F$8 &amp; Master!$F$6 &amp; "'!B" &amp; ROW(B695))="", INDIRECT("'" &amp; Master!$F$8 &amp; Master!$F$6 &amp; "'!B" &amp; ROW(B695))=0), "", INDIRECT("'" &amp; Master!$F$8 &amp; Master!$F$6 &amp; "'!B" &amp; ROW(B695)))</f>
        <v>#VALUE!</v>
      </c>
      <c r="J695" s="9" t="e">
        <f t="shared" ca="1" si="70"/>
        <v>#VALUE!</v>
      </c>
      <c r="K695" s="7" t="e">
        <f t="shared" ca="1" si="71"/>
        <v>#VALUE!</v>
      </c>
      <c r="L695" s="7" t="e">
        <f t="shared" ca="1" si="72"/>
        <v>#VALUE!</v>
      </c>
      <c r="M695" s="7" t="e">
        <f t="shared" ca="1" si="73"/>
        <v>#VALUE!</v>
      </c>
      <c r="N695" s="7" t="e">
        <f t="shared" ca="1" si="74"/>
        <v>#VALUE!</v>
      </c>
      <c r="O695" s="7" t="e">
        <f t="shared" ca="1" si="75"/>
        <v>#VALUE!</v>
      </c>
      <c r="P695" s="7" t="e">
        <f t="shared" ca="1" si="76"/>
        <v>#VALUE!</v>
      </c>
    </row>
    <row r="696" spans="1:16" x14ac:dyDescent="0.25">
      <c r="A696" s="19" t="str">
        <f ca="1">IF(OR(INDIRECT("'" &amp; Master!$F$8 &amp; Master!$F$6 &amp; "'!A" &amp; ROW(A696))="", INDIRECT("'" &amp; Master!$F$8 &amp; Master!$F$6 &amp; "'!A" &amp; ROW(A696))=0), "", INDIRECT("'" &amp; Master!$F$8 &amp; Master!$F$6 &amp; "'!A" &amp; ROW(A696)))</f>
        <v/>
      </c>
      <c r="B696" s="4" t="e">
        <f ca="1">SplineInterp(INDIRECT("A" &amp; ROW()),INDIRECT("'" &amp;Master!$F$10&amp; "'!$A$2:$A$50"),INDIRECT("'" &amp;Master!$F$10&amp; "'!$B$2:$B$50"))</f>
        <v>#VALUE!</v>
      </c>
      <c r="C696" s="4" t="e">
        <f ca="1">SplineInterp(A696,INDIRECT("'" &amp;Master!$F$10&amp; "'!$A$2:$A$50"),INDIRECT("'" &amp;Master!$F$10&amp; "'!$C$2:$C$50"))</f>
        <v>#VALUE!</v>
      </c>
      <c r="D696" s="4" t="e">
        <f ca="1">SplineInterp(A696,INDIRECT("'" &amp;Master!$F$10&amp; "'!$A$2:$A$50"),INDIRECT("'" &amp;Master!$F$10&amp; "'!$D$2:$D$50"))</f>
        <v>#VALUE!</v>
      </c>
      <c r="E696" s="4" t="e">
        <f ca="1">SplineInterp(A696,INDIRECT("'" &amp;Master!$F$10&amp; "'!$A$2:$A$50"),INDIRECT("'" &amp;Master!$F$10&amp; "'!$E$2:$E$50"))</f>
        <v>#VALUE!</v>
      </c>
      <c r="F696" s="4" t="e">
        <f ca="1">SplineInterp(A696,INDIRECT("'" &amp;Master!$F$10&amp; "'!$A$2:$A$50"),INDIRECT("'" &amp;Master!$F$10&amp; "'!$F$2:$F$50"))</f>
        <v>#VALUE!</v>
      </c>
      <c r="G696" s="4" t="e">
        <f ca="1">SplineInterp(A696,INDIRECT("'" &amp;Master!$F$10&amp; "'!$A$2:$A$50"),INDIRECT("'" &amp;Master!$F$10&amp; "'!$G$2:$G$50"))</f>
        <v>#VALUE!</v>
      </c>
      <c r="H696" s="4" t="e">
        <f ca="1">SplineInterp(A696,INDIRECT("'" &amp;Master!$F$10&amp; "'!$A$2:$A$50"),INDIRECT("'" &amp;Master!$F$10&amp; "'!$H$2:$H$50"))</f>
        <v>#VALUE!</v>
      </c>
      <c r="I696" s="4" t="e">
        <f ca="1">IF(OR(INDIRECT("'" &amp; Master!$F$8 &amp; Master!$F$6 &amp; "'!B" &amp; ROW(B696))="", INDIRECT("'" &amp; Master!$F$8 &amp; Master!$F$6 &amp; "'!B" &amp; ROW(B696))=0), "", INDIRECT("'" &amp; Master!$F$8 &amp; Master!$F$6 &amp; "'!B" &amp; ROW(B696)))</f>
        <v>#VALUE!</v>
      </c>
      <c r="J696" s="9" t="e">
        <f t="shared" ca="1" si="70"/>
        <v>#VALUE!</v>
      </c>
      <c r="K696" s="7" t="e">
        <f t="shared" ca="1" si="71"/>
        <v>#VALUE!</v>
      </c>
      <c r="L696" s="7" t="e">
        <f t="shared" ca="1" si="72"/>
        <v>#VALUE!</v>
      </c>
      <c r="M696" s="7" t="e">
        <f t="shared" ca="1" si="73"/>
        <v>#VALUE!</v>
      </c>
      <c r="N696" s="7" t="e">
        <f t="shared" ca="1" si="74"/>
        <v>#VALUE!</v>
      </c>
      <c r="O696" s="7" t="e">
        <f t="shared" ca="1" si="75"/>
        <v>#VALUE!</v>
      </c>
      <c r="P696" s="7" t="e">
        <f t="shared" ca="1" si="76"/>
        <v>#VALUE!</v>
      </c>
    </row>
    <row r="697" spans="1:16" x14ac:dyDescent="0.25">
      <c r="A697" s="19" t="str">
        <f ca="1">IF(OR(INDIRECT("'" &amp; Master!$F$8 &amp; Master!$F$6 &amp; "'!A" &amp; ROW(A697))="", INDIRECT("'" &amp; Master!$F$8 &amp; Master!$F$6 &amp; "'!A" &amp; ROW(A697))=0), "", INDIRECT("'" &amp; Master!$F$8 &amp; Master!$F$6 &amp; "'!A" &amp; ROW(A697)))</f>
        <v/>
      </c>
      <c r="B697" s="4" t="e">
        <f ca="1">SplineInterp(INDIRECT("A" &amp; ROW()),INDIRECT("'" &amp;Master!$F$10&amp; "'!$A$2:$A$50"),INDIRECT("'" &amp;Master!$F$10&amp; "'!$B$2:$B$50"))</f>
        <v>#VALUE!</v>
      </c>
      <c r="C697" s="4" t="e">
        <f ca="1">SplineInterp(A697,INDIRECT("'" &amp;Master!$F$10&amp; "'!$A$2:$A$50"),INDIRECT("'" &amp;Master!$F$10&amp; "'!$C$2:$C$50"))</f>
        <v>#VALUE!</v>
      </c>
      <c r="D697" s="4" t="e">
        <f ca="1">SplineInterp(A697,INDIRECT("'" &amp;Master!$F$10&amp; "'!$A$2:$A$50"),INDIRECT("'" &amp;Master!$F$10&amp; "'!$D$2:$D$50"))</f>
        <v>#VALUE!</v>
      </c>
      <c r="E697" s="4" t="e">
        <f ca="1">SplineInterp(A697,INDIRECT("'" &amp;Master!$F$10&amp; "'!$A$2:$A$50"),INDIRECT("'" &amp;Master!$F$10&amp; "'!$E$2:$E$50"))</f>
        <v>#VALUE!</v>
      </c>
      <c r="F697" s="4" t="e">
        <f ca="1">SplineInterp(A697,INDIRECT("'" &amp;Master!$F$10&amp; "'!$A$2:$A$50"),INDIRECT("'" &amp;Master!$F$10&amp; "'!$F$2:$F$50"))</f>
        <v>#VALUE!</v>
      </c>
      <c r="G697" s="4" t="e">
        <f ca="1">SplineInterp(A697,INDIRECT("'" &amp;Master!$F$10&amp; "'!$A$2:$A$50"),INDIRECT("'" &amp;Master!$F$10&amp; "'!$G$2:$G$50"))</f>
        <v>#VALUE!</v>
      </c>
      <c r="H697" s="4" t="e">
        <f ca="1">SplineInterp(A697,INDIRECT("'" &amp;Master!$F$10&amp; "'!$A$2:$A$50"),INDIRECT("'" &amp;Master!$F$10&amp; "'!$H$2:$H$50"))</f>
        <v>#VALUE!</v>
      </c>
      <c r="I697" s="4" t="e">
        <f ca="1">IF(OR(INDIRECT("'" &amp; Master!$F$8 &amp; Master!$F$6 &amp; "'!B" &amp; ROW(B697))="", INDIRECT("'" &amp; Master!$F$8 &amp; Master!$F$6 &amp; "'!B" &amp; ROW(B697))=0), "", INDIRECT("'" &amp; Master!$F$8 &amp; Master!$F$6 &amp; "'!B" &amp; ROW(B697)))</f>
        <v>#VALUE!</v>
      </c>
      <c r="J697" s="9" t="e">
        <f t="shared" ca="1" si="70"/>
        <v>#VALUE!</v>
      </c>
      <c r="K697" s="7" t="e">
        <f t="shared" ca="1" si="71"/>
        <v>#VALUE!</v>
      </c>
      <c r="L697" s="7" t="e">
        <f t="shared" ca="1" si="72"/>
        <v>#VALUE!</v>
      </c>
      <c r="M697" s="7" t="e">
        <f t="shared" ca="1" si="73"/>
        <v>#VALUE!</v>
      </c>
      <c r="N697" s="7" t="e">
        <f t="shared" ca="1" si="74"/>
        <v>#VALUE!</v>
      </c>
      <c r="O697" s="7" t="e">
        <f t="shared" ca="1" si="75"/>
        <v>#VALUE!</v>
      </c>
      <c r="P697" s="7" t="e">
        <f t="shared" ca="1" si="76"/>
        <v>#VALUE!</v>
      </c>
    </row>
    <row r="698" spans="1:16" x14ac:dyDescent="0.25">
      <c r="A698" s="19" t="str">
        <f ca="1">IF(OR(INDIRECT("'" &amp; Master!$F$8 &amp; Master!$F$6 &amp; "'!A" &amp; ROW(A698))="", INDIRECT("'" &amp; Master!$F$8 &amp; Master!$F$6 &amp; "'!A" &amp; ROW(A698))=0), "", INDIRECT("'" &amp; Master!$F$8 &amp; Master!$F$6 &amp; "'!A" &amp; ROW(A698)))</f>
        <v/>
      </c>
      <c r="B698" s="4" t="e">
        <f ca="1">SplineInterp(INDIRECT("A" &amp; ROW()),INDIRECT("'" &amp;Master!$F$10&amp; "'!$A$2:$A$50"),INDIRECT("'" &amp;Master!$F$10&amp; "'!$B$2:$B$50"))</f>
        <v>#VALUE!</v>
      </c>
      <c r="C698" s="4" t="e">
        <f ca="1">SplineInterp(A698,INDIRECT("'" &amp;Master!$F$10&amp; "'!$A$2:$A$50"),INDIRECT("'" &amp;Master!$F$10&amp; "'!$C$2:$C$50"))</f>
        <v>#VALUE!</v>
      </c>
      <c r="D698" s="4" t="e">
        <f ca="1">SplineInterp(A698,INDIRECT("'" &amp;Master!$F$10&amp; "'!$A$2:$A$50"),INDIRECT("'" &amp;Master!$F$10&amp; "'!$D$2:$D$50"))</f>
        <v>#VALUE!</v>
      </c>
      <c r="E698" s="4" t="e">
        <f ca="1">SplineInterp(A698,INDIRECT("'" &amp;Master!$F$10&amp; "'!$A$2:$A$50"),INDIRECT("'" &amp;Master!$F$10&amp; "'!$E$2:$E$50"))</f>
        <v>#VALUE!</v>
      </c>
      <c r="F698" s="4" t="e">
        <f ca="1">SplineInterp(A698,INDIRECT("'" &amp;Master!$F$10&amp; "'!$A$2:$A$50"),INDIRECT("'" &amp;Master!$F$10&amp; "'!$F$2:$F$50"))</f>
        <v>#VALUE!</v>
      </c>
      <c r="G698" s="4" t="e">
        <f ca="1">SplineInterp(A698,INDIRECT("'" &amp;Master!$F$10&amp; "'!$A$2:$A$50"),INDIRECT("'" &amp;Master!$F$10&amp; "'!$G$2:$G$50"))</f>
        <v>#VALUE!</v>
      </c>
      <c r="H698" s="4" t="e">
        <f ca="1">SplineInterp(A698,INDIRECT("'" &amp;Master!$F$10&amp; "'!$A$2:$A$50"),INDIRECT("'" &amp;Master!$F$10&amp; "'!$H$2:$H$50"))</f>
        <v>#VALUE!</v>
      </c>
      <c r="I698" s="4" t="e">
        <f ca="1">IF(OR(INDIRECT("'" &amp; Master!$F$8 &amp; Master!$F$6 &amp; "'!B" &amp; ROW(B698))="", INDIRECT("'" &amp; Master!$F$8 &amp; Master!$F$6 &amp; "'!B" &amp; ROW(B698))=0), "", INDIRECT("'" &amp; Master!$F$8 &amp; Master!$F$6 &amp; "'!B" &amp; ROW(B698)))</f>
        <v>#VALUE!</v>
      </c>
      <c r="J698" s="9" t="e">
        <f t="shared" ca="1" si="70"/>
        <v>#VALUE!</v>
      </c>
      <c r="K698" s="7" t="e">
        <f t="shared" ca="1" si="71"/>
        <v>#VALUE!</v>
      </c>
      <c r="L698" s="7" t="e">
        <f t="shared" ca="1" si="72"/>
        <v>#VALUE!</v>
      </c>
      <c r="M698" s="7" t="e">
        <f t="shared" ca="1" si="73"/>
        <v>#VALUE!</v>
      </c>
      <c r="N698" s="7" t="e">
        <f t="shared" ca="1" si="74"/>
        <v>#VALUE!</v>
      </c>
      <c r="O698" s="7" t="e">
        <f t="shared" ca="1" si="75"/>
        <v>#VALUE!</v>
      </c>
      <c r="P698" s="7" t="e">
        <f t="shared" ca="1" si="76"/>
        <v>#VALUE!</v>
      </c>
    </row>
    <row r="699" spans="1:16" x14ac:dyDescent="0.25">
      <c r="A699" s="19" t="str">
        <f ca="1">IF(OR(INDIRECT("'" &amp; Master!$F$8 &amp; Master!$F$6 &amp; "'!A" &amp; ROW(A699))="", INDIRECT("'" &amp; Master!$F$8 &amp; Master!$F$6 &amp; "'!A" &amp; ROW(A699))=0), "", INDIRECT("'" &amp; Master!$F$8 &amp; Master!$F$6 &amp; "'!A" &amp; ROW(A699)))</f>
        <v/>
      </c>
      <c r="B699" s="4" t="e">
        <f ca="1">SplineInterp(INDIRECT("A" &amp; ROW()),INDIRECT("'" &amp;Master!$F$10&amp; "'!$A$2:$A$50"),INDIRECT("'" &amp;Master!$F$10&amp; "'!$B$2:$B$50"))</f>
        <v>#VALUE!</v>
      </c>
      <c r="C699" s="4" t="e">
        <f ca="1">SplineInterp(A699,INDIRECT("'" &amp;Master!$F$10&amp; "'!$A$2:$A$50"),INDIRECT("'" &amp;Master!$F$10&amp; "'!$C$2:$C$50"))</f>
        <v>#VALUE!</v>
      </c>
      <c r="D699" s="4" t="e">
        <f ca="1">SplineInterp(A699,INDIRECT("'" &amp;Master!$F$10&amp; "'!$A$2:$A$50"),INDIRECT("'" &amp;Master!$F$10&amp; "'!$D$2:$D$50"))</f>
        <v>#VALUE!</v>
      </c>
      <c r="E699" s="4" t="e">
        <f ca="1">SplineInterp(A699,INDIRECT("'" &amp;Master!$F$10&amp; "'!$A$2:$A$50"),INDIRECT("'" &amp;Master!$F$10&amp; "'!$E$2:$E$50"))</f>
        <v>#VALUE!</v>
      </c>
      <c r="F699" s="4" t="e">
        <f ca="1">SplineInterp(A699,INDIRECT("'" &amp;Master!$F$10&amp; "'!$A$2:$A$50"),INDIRECT("'" &amp;Master!$F$10&amp; "'!$F$2:$F$50"))</f>
        <v>#VALUE!</v>
      </c>
      <c r="G699" s="4" t="e">
        <f ca="1">SplineInterp(A699,INDIRECT("'" &amp;Master!$F$10&amp; "'!$A$2:$A$50"),INDIRECT("'" &amp;Master!$F$10&amp; "'!$G$2:$G$50"))</f>
        <v>#VALUE!</v>
      </c>
      <c r="H699" s="4" t="e">
        <f ca="1">SplineInterp(A699,INDIRECT("'" &amp;Master!$F$10&amp; "'!$A$2:$A$50"),INDIRECT("'" &amp;Master!$F$10&amp; "'!$H$2:$H$50"))</f>
        <v>#VALUE!</v>
      </c>
      <c r="I699" s="4" t="e">
        <f ca="1">IF(OR(INDIRECT("'" &amp; Master!$F$8 &amp; Master!$F$6 &amp; "'!B" &amp; ROW(B699))="", INDIRECT("'" &amp; Master!$F$8 &amp; Master!$F$6 &amp; "'!B" &amp; ROW(B699))=0), "", INDIRECT("'" &amp; Master!$F$8 &amp; Master!$F$6 &amp; "'!B" &amp; ROW(B699)))</f>
        <v>#VALUE!</v>
      </c>
      <c r="J699" s="9" t="e">
        <f t="shared" ca="1" si="70"/>
        <v>#VALUE!</v>
      </c>
      <c r="K699" s="7" t="e">
        <f t="shared" ca="1" si="71"/>
        <v>#VALUE!</v>
      </c>
      <c r="L699" s="7" t="e">
        <f t="shared" ca="1" si="72"/>
        <v>#VALUE!</v>
      </c>
      <c r="M699" s="7" t="e">
        <f t="shared" ca="1" si="73"/>
        <v>#VALUE!</v>
      </c>
      <c r="N699" s="7" t="e">
        <f t="shared" ca="1" si="74"/>
        <v>#VALUE!</v>
      </c>
      <c r="O699" s="7" t="e">
        <f t="shared" ca="1" si="75"/>
        <v>#VALUE!</v>
      </c>
      <c r="P699" s="7" t="e">
        <f t="shared" ca="1" si="76"/>
        <v>#VALUE!</v>
      </c>
    </row>
    <row r="700" spans="1:16" x14ac:dyDescent="0.25">
      <c r="A700" s="19" t="str">
        <f ca="1">IF(OR(INDIRECT("'" &amp; Master!$F$8 &amp; Master!$F$6 &amp; "'!A" &amp; ROW(A700))="", INDIRECT("'" &amp; Master!$F$8 &amp; Master!$F$6 &amp; "'!A" &amp; ROW(A700))=0), "", INDIRECT("'" &amp; Master!$F$8 &amp; Master!$F$6 &amp; "'!A" &amp; ROW(A700)))</f>
        <v/>
      </c>
      <c r="B700" s="4" t="e">
        <f ca="1">SplineInterp(INDIRECT("A" &amp; ROW()),INDIRECT("'" &amp;Master!$F$10&amp; "'!$A$2:$A$50"),INDIRECT("'" &amp;Master!$F$10&amp; "'!$B$2:$B$50"))</f>
        <v>#VALUE!</v>
      </c>
      <c r="C700" s="4" t="e">
        <f ca="1">SplineInterp(A700,INDIRECT("'" &amp;Master!$F$10&amp; "'!$A$2:$A$50"),INDIRECT("'" &amp;Master!$F$10&amp; "'!$C$2:$C$50"))</f>
        <v>#VALUE!</v>
      </c>
      <c r="D700" s="4" t="e">
        <f ca="1">SplineInterp(A700,INDIRECT("'" &amp;Master!$F$10&amp; "'!$A$2:$A$50"),INDIRECT("'" &amp;Master!$F$10&amp; "'!$D$2:$D$50"))</f>
        <v>#VALUE!</v>
      </c>
      <c r="E700" s="4" t="e">
        <f ca="1">SplineInterp(A700,INDIRECT("'" &amp;Master!$F$10&amp; "'!$A$2:$A$50"),INDIRECT("'" &amp;Master!$F$10&amp; "'!$E$2:$E$50"))</f>
        <v>#VALUE!</v>
      </c>
      <c r="F700" s="4" t="e">
        <f ca="1">SplineInterp(A700,INDIRECT("'" &amp;Master!$F$10&amp; "'!$A$2:$A$50"),INDIRECT("'" &amp;Master!$F$10&amp; "'!$F$2:$F$50"))</f>
        <v>#VALUE!</v>
      </c>
      <c r="G700" s="4" t="e">
        <f ca="1">SplineInterp(A700,INDIRECT("'" &amp;Master!$F$10&amp; "'!$A$2:$A$50"),INDIRECT("'" &amp;Master!$F$10&amp; "'!$G$2:$G$50"))</f>
        <v>#VALUE!</v>
      </c>
      <c r="H700" s="4" t="e">
        <f ca="1">SplineInterp(A700,INDIRECT("'" &amp;Master!$F$10&amp; "'!$A$2:$A$50"),INDIRECT("'" &amp;Master!$F$10&amp; "'!$H$2:$H$50"))</f>
        <v>#VALUE!</v>
      </c>
      <c r="I700" s="4" t="e">
        <f ca="1">IF(OR(INDIRECT("'" &amp; Master!$F$8 &amp; Master!$F$6 &amp; "'!B" &amp; ROW(B700))="", INDIRECT("'" &amp; Master!$F$8 &amp; Master!$F$6 &amp; "'!B" &amp; ROW(B700))=0), "", INDIRECT("'" &amp; Master!$F$8 &amp; Master!$F$6 &amp; "'!B" &amp; ROW(B700)))</f>
        <v>#VALUE!</v>
      </c>
      <c r="J700" s="9" t="e">
        <f t="shared" ca="1" si="70"/>
        <v>#VALUE!</v>
      </c>
      <c r="K700" s="7" t="e">
        <f t="shared" ca="1" si="71"/>
        <v>#VALUE!</v>
      </c>
      <c r="L700" s="7" t="e">
        <f t="shared" ca="1" si="72"/>
        <v>#VALUE!</v>
      </c>
      <c r="M700" s="7" t="e">
        <f t="shared" ca="1" si="73"/>
        <v>#VALUE!</v>
      </c>
      <c r="N700" s="7" t="e">
        <f t="shared" ca="1" si="74"/>
        <v>#VALUE!</v>
      </c>
      <c r="O700" s="7" t="e">
        <f t="shared" ca="1" si="75"/>
        <v>#VALUE!</v>
      </c>
      <c r="P700" s="7" t="e">
        <f t="shared" ca="1" si="76"/>
        <v>#VALUE!</v>
      </c>
    </row>
    <row r="701" spans="1:16" x14ac:dyDescent="0.25">
      <c r="A701" s="19" t="str">
        <f ca="1">IF(OR(INDIRECT("'" &amp; Master!$F$8 &amp; Master!$F$6 &amp; "'!A" &amp; ROW(A701))="", INDIRECT("'" &amp; Master!$F$8 &amp; Master!$F$6 &amp; "'!A" &amp; ROW(A701))=0), "", INDIRECT("'" &amp; Master!$F$8 &amp; Master!$F$6 &amp; "'!A" &amp; ROW(A701)))</f>
        <v/>
      </c>
      <c r="B701" s="4" t="e">
        <f ca="1">SplineInterp(INDIRECT("A" &amp; ROW()),INDIRECT("'" &amp;Master!$F$10&amp; "'!$A$2:$A$50"),INDIRECT("'" &amp;Master!$F$10&amp; "'!$B$2:$B$50"))</f>
        <v>#VALUE!</v>
      </c>
      <c r="C701" s="4" t="e">
        <f ca="1">SplineInterp(A701,INDIRECT("'" &amp;Master!$F$10&amp; "'!$A$2:$A$50"),INDIRECT("'" &amp;Master!$F$10&amp; "'!$C$2:$C$50"))</f>
        <v>#VALUE!</v>
      </c>
      <c r="D701" s="4" t="e">
        <f ca="1">SplineInterp(A701,INDIRECT("'" &amp;Master!$F$10&amp; "'!$A$2:$A$50"),INDIRECT("'" &amp;Master!$F$10&amp; "'!$D$2:$D$50"))</f>
        <v>#VALUE!</v>
      </c>
      <c r="E701" s="4" t="e">
        <f ca="1">SplineInterp(A701,INDIRECT("'" &amp;Master!$F$10&amp; "'!$A$2:$A$50"),INDIRECT("'" &amp;Master!$F$10&amp; "'!$E$2:$E$50"))</f>
        <v>#VALUE!</v>
      </c>
      <c r="F701" s="4" t="e">
        <f ca="1">SplineInterp(A701,INDIRECT("'" &amp;Master!$F$10&amp; "'!$A$2:$A$50"),INDIRECT("'" &amp;Master!$F$10&amp; "'!$F$2:$F$50"))</f>
        <v>#VALUE!</v>
      </c>
      <c r="G701" s="4" t="e">
        <f ca="1">SplineInterp(A701,INDIRECT("'" &amp;Master!$F$10&amp; "'!$A$2:$A$50"),INDIRECT("'" &amp;Master!$F$10&amp; "'!$G$2:$G$50"))</f>
        <v>#VALUE!</v>
      </c>
      <c r="H701" s="4" t="e">
        <f ca="1">SplineInterp(A701,INDIRECT("'" &amp;Master!$F$10&amp; "'!$A$2:$A$50"),INDIRECT("'" &amp;Master!$F$10&amp; "'!$H$2:$H$50"))</f>
        <v>#VALUE!</v>
      </c>
      <c r="I701" s="4" t="e">
        <f ca="1">IF(OR(INDIRECT("'" &amp; Master!$F$8 &amp; Master!$F$6 &amp; "'!B" &amp; ROW(B701))="", INDIRECT("'" &amp; Master!$F$8 &amp; Master!$F$6 &amp; "'!B" &amp; ROW(B701))=0), "", INDIRECT("'" &amp; Master!$F$8 &amp; Master!$F$6 &amp; "'!B" &amp; ROW(B701)))</f>
        <v>#VALUE!</v>
      </c>
      <c r="J701" s="9" t="e">
        <f t="shared" ca="1" si="70"/>
        <v>#VALUE!</v>
      </c>
      <c r="K701" s="7" t="e">
        <f t="shared" ca="1" si="71"/>
        <v>#VALUE!</v>
      </c>
      <c r="L701" s="7" t="e">
        <f t="shared" ca="1" si="72"/>
        <v>#VALUE!</v>
      </c>
      <c r="M701" s="7" t="e">
        <f t="shared" ca="1" si="73"/>
        <v>#VALUE!</v>
      </c>
      <c r="N701" s="7" t="e">
        <f t="shared" ca="1" si="74"/>
        <v>#VALUE!</v>
      </c>
      <c r="O701" s="7" t="e">
        <f t="shared" ca="1" si="75"/>
        <v>#VALUE!</v>
      </c>
      <c r="P701" s="7" t="e">
        <f t="shared" ca="1" si="76"/>
        <v>#VALUE!</v>
      </c>
    </row>
    <row r="702" spans="1:16" x14ac:dyDescent="0.25">
      <c r="A702" s="19" t="str">
        <f ca="1">IF(OR(INDIRECT("'" &amp; Master!$F$8 &amp; Master!$F$6 &amp; "'!A" &amp; ROW(A702))="", INDIRECT("'" &amp; Master!$F$8 &amp; Master!$F$6 &amp; "'!A" &amp; ROW(A702))=0), "", INDIRECT("'" &amp; Master!$F$8 &amp; Master!$F$6 &amp; "'!A" &amp; ROW(A702)))</f>
        <v/>
      </c>
      <c r="B702" s="4" t="e">
        <f ca="1">SplineInterp(INDIRECT("A" &amp; ROW()),INDIRECT("'" &amp;Master!$F$10&amp; "'!$A$2:$A$50"),INDIRECT("'" &amp;Master!$F$10&amp; "'!$B$2:$B$50"))</f>
        <v>#VALUE!</v>
      </c>
      <c r="C702" s="4" t="e">
        <f ca="1">SplineInterp(A702,INDIRECT("'" &amp;Master!$F$10&amp; "'!$A$2:$A$50"),INDIRECT("'" &amp;Master!$F$10&amp; "'!$C$2:$C$50"))</f>
        <v>#VALUE!</v>
      </c>
      <c r="D702" s="4" t="e">
        <f ca="1">SplineInterp(A702,INDIRECT("'" &amp;Master!$F$10&amp; "'!$A$2:$A$50"),INDIRECT("'" &amp;Master!$F$10&amp; "'!$D$2:$D$50"))</f>
        <v>#VALUE!</v>
      </c>
      <c r="E702" s="4" t="e">
        <f ca="1">SplineInterp(A702,INDIRECT("'" &amp;Master!$F$10&amp; "'!$A$2:$A$50"),INDIRECT("'" &amp;Master!$F$10&amp; "'!$E$2:$E$50"))</f>
        <v>#VALUE!</v>
      </c>
      <c r="F702" s="4" t="e">
        <f ca="1">SplineInterp(A702,INDIRECT("'" &amp;Master!$F$10&amp; "'!$A$2:$A$50"),INDIRECT("'" &amp;Master!$F$10&amp; "'!$F$2:$F$50"))</f>
        <v>#VALUE!</v>
      </c>
      <c r="G702" s="4" t="e">
        <f ca="1">SplineInterp(A702,INDIRECT("'" &amp;Master!$F$10&amp; "'!$A$2:$A$50"),INDIRECT("'" &amp;Master!$F$10&amp; "'!$G$2:$G$50"))</f>
        <v>#VALUE!</v>
      </c>
      <c r="H702" s="4" t="e">
        <f ca="1">SplineInterp(A702,INDIRECT("'" &amp;Master!$F$10&amp; "'!$A$2:$A$50"),INDIRECT("'" &amp;Master!$F$10&amp; "'!$H$2:$H$50"))</f>
        <v>#VALUE!</v>
      </c>
      <c r="I702" s="4" t="e">
        <f ca="1">IF(OR(INDIRECT("'" &amp; Master!$F$8 &amp; Master!$F$6 &amp; "'!B" &amp; ROW(B702))="", INDIRECT("'" &amp; Master!$F$8 &amp; Master!$F$6 &amp; "'!B" &amp; ROW(B702))=0), "", INDIRECT("'" &amp; Master!$F$8 &amp; Master!$F$6 &amp; "'!B" &amp; ROW(B702)))</f>
        <v>#VALUE!</v>
      </c>
      <c r="J702" s="9" t="e">
        <f t="shared" ca="1" si="70"/>
        <v>#VALUE!</v>
      </c>
      <c r="K702" s="7" t="e">
        <f t="shared" ca="1" si="71"/>
        <v>#VALUE!</v>
      </c>
      <c r="L702" s="7" t="e">
        <f t="shared" ca="1" si="72"/>
        <v>#VALUE!</v>
      </c>
      <c r="M702" s="7" t="e">
        <f t="shared" ca="1" si="73"/>
        <v>#VALUE!</v>
      </c>
      <c r="N702" s="7" t="e">
        <f t="shared" ca="1" si="74"/>
        <v>#VALUE!</v>
      </c>
      <c r="O702" s="7" t="e">
        <f t="shared" ca="1" si="75"/>
        <v>#VALUE!</v>
      </c>
      <c r="P702" s="7" t="e">
        <f t="shared" ca="1" si="76"/>
        <v>#VALUE!</v>
      </c>
    </row>
    <row r="703" spans="1:16" x14ac:dyDescent="0.25">
      <c r="A703" s="19" t="str">
        <f ca="1">IF(OR(INDIRECT("'" &amp; Master!$F$8 &amp; Master!$F$6 &amp; "'!A" &amp; ROW(A703))="", INDIRECT("'" &amp; Master!$F$8 &amp; Master!$F$6 &amp; "'!A" &amp; ROW(A703))=0), "", INDIRECT("'" &amp; Master!$F$8 &amp; Master!$F$6 &amp; "'!A" &amp; ROW(A703)))</f>
        <v/>
      </c>
      <c r="B703" s="4" t="e">
        <f ca="1">SplineInterp(INDIRECT("A" &amp; ROW()),INDIRECT("'" &amp;Master!$F$10&amp; "'!$A$2:$A$50"),INDIRECT("'" &amp;Master!$F$10&amp; "'!$B$2:$B$50"))</f>
        <v>#VALUE!</v>
      </c>
      <c r="C703" s="4" t="e">
        <f ca="1">SplineInterp(A703,INDIRECT("'" &amp;Master!$F$10&amp; "'!$A$2:$A$50"),INDIRECT("'" &amp;Master!$F$10&amp; "'!$C$2:$C$50"))</f>
        <v>#VALUE!</v>
      </c>
      <c r="D703" s="4" t="e">
        <f ca="1">SplineInterp(A703,INDIRECT("'" &amp;Master!$F$10&amp; "'!$A$2:$A$50"),INDIRECT("'" &amp;Master!$F$10&amp; "'!$D$2:$D$50"))</f>
        <v>#VALUE!</v>
      </c>
      <c r="E703" s="4" t="e">
        <f ca="1">SplineInterp(A703,INDIRECT("'" &amp;Master!$F$10&amp; "'!$A$2:$A$50"),INDIRECT("'" &amp;Master!$F$10&amp; "'!$E$2:$E$50"))</f>
        <v>#VALUE!</v>
      </c>
      <c r="F703" s="4" t="e">
        <f ca="1">SplineInterp(A703,INDIRECT("'" &amp;Master!$F$10&amp; "'!$A$2:$A$50"),INDIRECT("'" &amp;Master!$F$10&amp; "'!$F$2:$F$50"))</f>
        <v>#VALUE!</v>
      </c>
      <c r="G703" s="4" t="e">
        <f ca="1">SplineInterp(A703,INDIRECT("'" &amp;Master!$F$10&amp; "'!$A$2:$A$50"),INDIRECT("'" &amp;Master!$F$10&amp; "'!$G$2:$G$50"))</f>
        <v>#VALUE!</v>
      </c>
      <c r="H703" s="4" t="e">
        <f ca="1">SplineInterp(A703,INDIRECT("'" &amp;Master!$F$10&amp; "'!$A$2:$A$50"),INDIRECT("'" &amp;Master!$F$10&amp; "'!$H$2:$H$50"))</f>
        <v>#VALUE!</v>
      </c>
      <c r="I703" s="4" t="e">
        <f ca="1">IF(OR(INDIRECT("'" &amp; Master!$F$8 &amp; Master!$F$6 &amp; "'!B" &amp; ROW(B703))="", INDIRECT("'" &amp; Master!$F$8 &amp; Master!$F$6 &amp; "'!B" &amp; ROW(B703))=0), "", INDIRECT("'" &amp; Master!$F$8 &amp; Master!$F$6 &amp; "'!B" &amp; ROW(B703)))</f>
        <v>#VALUE!</v>
      </c>
      <c r="J703" s="9" t="e">
        <f t="shared" ca="1" si="70"/>
        <v>#VALUE!</v>
      </c>
      <c r="K703" s="7" t="e">
        <f t="shared" ca="1" si="71"/>
        <v>#VALUE!</v>
      </c>
      <c r="L703" s="7" t="e">
        <f t="shared" ca="1" si="72"/>
        <v>#VALUE!</v>
      </c>
      <c r="M703" s="7" t="e">
        <f t="shared" ca="1" si="73"/>
        <v>#VALUE!</v>
      </c>
      <c r="N703" s="7" t="e">
        <f t="shared" ca="1" si="74"/>
        <v>#VALUE!</v>
      </c>
      <c r="O703" s="7" t="e">
        <f t="shared" ca="1" si="75"/>
        <v>#VALUE!</v>
      </c>
      <c r="P703" s="7" t="e">
        <f t="shared" ca="1" si="76"/>
        <v>#VALUE!</v>
      </c>
    </row>
    <row r="704" spans="1:16" x14ac:dyDescent="0.25">
      <c r="A704" s="19" t="str">
        <f ca="1">IF(OR(INDIRECT("'" &amp; Master!$F$8 &amp; Master!$F$6 &amp; "'!A" &amp; ROW(A704))="", INDIRECT("'" &amp; Master!$F$8 &amp; Master!$F$6 &amp; "'!A" &amp; ROW(A704))=0), "", INDIRECT("'" &amp; Master!$F$8 &amp; Master!$F$6 &amp; "'!A" &amp; ROW(A704)))</f>
        <v/>
      </c>
      <c r="B704" s="4" t="e">
        <f ca="1">SplineInterp(INDIRECT("A" &amp; ROW()),INDIRECT("'" &amp;Master!$F$10&amp; "'!$A$2:$A$50"),INDIRECT("'" &amp;Master!$F$10&amp; "'!$B$2:$B$50"))</f>
        <v>#VALUE!</v>
      </c>
      <c r="C704" s="4" t="e">
        <f ca="1">SplineInterp(A704,INDIRECT("'" &amp;Master!$F$10&amp; "'!$A$2:$A$50"),INDIRECT("'" &amp;Master!$F$10&amp; "'!$C$2:$C$50"))</f>
        <v>#VALUE!</v>
      </c>
      <c r="D704" s="4" t="e">
        <f ca="1">SplineInterp(A704,INDIRECT("'" &amp;Master!$F$10&amp; "'!$A$2:$A$50"),INDIRECT("'" &amp;Master!$F$10&amp; "'!$D$2:$D$50"))</f>
        <v>#VALUE!</v>
      </c>
      <c r="E704" s="4" t="e">
        <f ca="1">SplineInterp(A704,INDIRECT("'" &amp;Master!$F$10&amp; "'!$A$2:$A$50"),INDIRECT("'" &amp;Master!$F$10&amp; "'!$E$2:$E$50"))</f>
        <v>#VALUE!</v>
      </c>
      <c r="F704" s="4" t="e">
        <f ca="1">SplineInterp(A704,INDIRECT("'" &amp;Master!$F$10&amp; "'!$A$2:$A$50"),INDIRECT("'" &amp;Master!$F$10&amp; "'!$F$2:$F$50"))</f>
        <v>#VALUE!</v>
      </c>
      <c r="G704" s="4" t="e">
        <f ca="1">SplineInterp(A704,INDIRECT("'" &amp;Master!$F$10&amp; "'!$A$2:$A$50"),INDIRECT("'" &amp;Master!$F$10&amp; "'!$G$2:$G$50"))</f>
        <v>#VALUE!</v>
      </c>
      <c r="H704" s="4" t="e">
        <f ca="1">SplineInterp(A704,INDIRECT("'" &amp;Master!$F$10&amp; "'!$A$2:$A$50"),INDIRECT("'" &amp;Master!$F$10&amp; "'!$H$2:$H$50"))</f>
        <v>#VALUE!</v>
      </c>
      <c r="I704" s="4" t="e">
        <f ca="1">IF(OR(INDIRECT("'" &amp; Master!$F$8 &amp; Master!$F$6 &amp; "'!B" &amp; ROW(B704))="", INDIRECT("'" &amp; Master!$F$8 &amp; Master!$F$6 &amp; "'!B" &amp; ROW(B704))=0), "", INDIRECT("'" &amp; Master!$F$8 &amp; Master!$F$6 &amp; "'!B" &amp; ROW(B704)))</f>
        <v>#VALUE!</v>
      </c>
      <c r="J704" s="9" t="e">
        <f t="shared" ca="1" si="70"/>
        <v>#VALUE!</v>
      </c>
      <c r="K704" s="7" t="e">
        <f t="shared" ca="1" si="71"/>
        <v>#VALUE!</v>
      </c>
      <c r="L704" s="7" t="e">
        <f t="shared" ca="1" si="72"/>
        <v>#VALUE!</v>
      </c>
      <c r="M704" s="7" t="e">
        <f t="shared" ca="1" si="73"/>
        <v>#VALUE!</v>
      </c>
      <c r="N704" s="7" t="e">
        <f t="shared" ca="1" si="74"/>
        <v>#VALUE!</v>
      </c>
      <c r="O704" s="7" t="e">
        <f t="shared" ca="1" si="75"/>
        <v>#VALUE!</v>
      </c>
      <c r="P704" s="7" t="e">
        <f t="shared" ca="1" si="76"/>
        <v>#VALUE!</v>
      </c>
    </row>
    <row r="705" spans="1:16" x14ac:dyDescent="0.25">
      <c r="A705" s="19" t="str">
        <f ca="1">IF(OR(INDIRECT("'" &amp; Master!$F$8 &amp; Master!$F$6 &amp; "'!A" &amp; ROW(A705))="", INDIRECT("'" &amp; Master!$F$8 &amp; Master!$F$6 &amp; "'!A" &amp; ROW(A705))=0), "", INDIRECT("'" &amp; Master!$F$8 &amp; Master!$F$6 &amp; "'!A" &amp; ROW(A705)))</f>
        <v/>
      </c>
      <c r="B705" s="4" t="e">
        <f ca="1">SplineInterp(INDIRECT("A" &amp; ROW()),INDIRECT("'" &amp;Master!$F$10&amp; "'!$A$2:$A$50"),INDIRECT("'" &amp;Master!$F$10&amp; "'!$B$2:$B$50"))</f>
        <v>#VALUE!</v>
      </c>
      <c r="C705" s="4" t="e">
        <f ca="1">SplineInterp(A705,INDIRECT("'" &amp;Master!$F$10&amp; "'!$A$2:$A$50"),INDIRECT("'" &amp;Master!$F$10&amp; "'!$C$2:$C$50"))</f>
        <v>#VALUE!</v>
      </c>
      <c r="D705" s="4" t="e">
        <f ca="1">SplineInterp(A705,INDIRECT("'" &amp;Master!$F$10&amp; "'!$A$2:$A$50"),INDIRECT("'" &amp;Master!$F$10&amp; "'!$D$2:$D$50"))</f>
        <v>#VALUE!</v>
      </c>
      <c r="E705" s="4" t="e">
        <f ca="1">SplineInterp(A705,INDIRECT("'" &amp;Master!$F$10&amp; "'!$A$2:$A$50"),INDIRECT("'" &amp;Master!$F$10&amp; "'!$E$2:$E$50"))</f>
        <v>#VALUE!</v>
      </c>
      <c r="F705" s="4" t="e">
        <f ca="1">SplineInterp(A705,INDIRECT("'" &amp;Master!$F$10&amp; "'!$A$2:$A$50"),INDIRECT("'" &amp;Master!$F$10&amp; "'!$F$2:$F$50"))</f>
        <v>#VALUE!</v>
      </c>
      <c r="G705" s="4" t="e">
        <f ca="1">SplineInterp(A705,INDIRECT("'" &amp;Master!$F$10&amp; "'!$A$2:$A$50"),INDIRECT("'" &amp;Master!$F$10&amp; "'!$G$2:$G$50"))</f>
        <v>#VALUE!</v>
      </c>
      <c r="H705" s="4" t="e">
        <f ca="1">SplineInterp(A705,INDIRECT("'" &amp;Master!$F$10&amp; "'!$A$2:$A$50"),INDIRECT("'" &amp;Master!$F$10&amp; "'!$H$2:$H$50"))</f>
        <v>#VALUE!</v>
      </c>
      <c r="I705" s="4" t="e">
        <f ca="1">IF(OR(INDIRECT("'" &amp; Master!$F$8 &amp; Master!$F$6 &amp; "'!B" &amp; ROW(B705))="", INDIRECT("'" &amp; Master!$F$8 &amp; Master!$F$6 &amp; "'!B" &amp; ROW(B705))=0), "", INDIRECT("'" &amp; Master!$F$8 &amp; Master!$F$6 &amp; "'!B" &amp; ROW(B705)))</f>
        <v>#VALUE!</v>
      </c>
      <c r="J705" s="9" t="e">
        <f t="shared" ca="1" si="70"/>
        <v>#VALUE!</v>
      </c>
      <c r="K705" s="7" t="e">
        <f t="shared" ca="1" si="71"/>
        <v>#VALUE!</v>
      </c>
      <c r="L705" s="7" t="e">
        <f t="shared" ca="1" si="72"/>
        <v>#VALUE!</v>
      </c>
      <c r="M705" s="7" t="e">
        <f t="shared" ca="1" si="73"/>
        <v>#VALUE!</v>
      </c>
      <c r="N705" s="7" t="e">
        <f t="shared" ca="1" si="74"/>
        <v>#VALUE!</v>
      </c>
      <c r="O705" s="7" t="e">
        <f t="shared" ca="1" si="75"/>
        <v>#VALUE!</v>
      </c>
      <c r="P705" s="7" t="e">
        <f t="shared" ca="1" si="76"/>
        <v>#VALUE!</v>
      </c>
    </row>
    <row r="706" spans="1:16" x14ac:dyDescent="0.25">
      <c r="A706" s="19" t="str">
        <f ca="1">IF(OR(INDIRECT("'" &amp; Master!$F$8 &amp; Master!$F$6 &amp; "'!A" &amp; ROW(A706))="", INDIRECT("'" &amp; Master!$F$8 &amp; Master!$F$6 &amp; "'!A" &amp; ROW(A706))=0), "", INDIRECT("'" &amp; Master!$F$8 &amp; Master!$F$6 &amp; "'!A" &amp; ROW(A706)))</f>
        <v/>
      </c>
      <c r="B706" s="4" t="e">
        <f ca="1">SplineInterp(INDIRECT("A" &amp; ROW()),INDIRECT("'" &amp;Master!$F$10&amp; "'!$A$2:$A$50"),INDIRECT("'" &amp;Master!$F$10&amp; "'!$B$2:$B$50"))</f>
        <v>#VALUE!</v>
      </c>
      <c r="C706" s="4" t="e">
        <f ca="1">SplineInterp(A706,INDIRECT("'" &amp;Master!$F$10&amp; "'!$A$2:$A$50"),INDIRECT("'" &amp;Master!$F$10&amp; "'!$C$2:$C$50"))</f>
        <v>#VALUE!</v>
      </c>
      <c r="D706" s="4" t="e">
        <f ca="1">SplineInterp(A706,INDIRECT("'" &amp;Master!$F$10&amp; "'!$A$2:$A$50"),INDIRECT("'" &amp;Master!$F$10&amp; "'!$D$2:$D$50"))</f>
        <v>#VALUE!</v>
      </c>
      <c r="E706" s="4" t="e">
        <f ca="1">SplineInterp(A706,INDIRECT("'" &amp;Master!$F$10&amp; "'!$A$2:$A$50"),INDIRECT("'" &amp;Master!$F$10&amp; "'!$E$2:$E$50"))</f>
        <v>#VALUE!</v>
      </c>
      <c r="F706" s="4" t="e">
        <f ca="1">SplineInterp(A706,INDIRECT("'" &amp;Master!$F$10&amp; "'!$A$2:$A$50"),INDIRECT("'" &amp;Master!$F$10&amp; "'!$F$2:$F$50"))</f>
        <v>#VALUE!</v>
      </c>
      <c r="G706" s="4" t="e">
        <f ca="1">SplineInterp(A706,INDIRECT("'" &amp;Master!$F$10&amp; "'!$A$2:$A$50"),INDIRECT("'" &amp;Master!$F$10&amp; "'!$G$2:$G$50"))</f>
        <v>#VALUE!</v>
      </c>
      <c r="H706" s="4" t="e">
        <f ca="1">SplineInterp(A706,INDIRECT("'" &amp;Master!$F$10&amp; "'!$A$2:$A$50"),INDIRECT("'" &amp;Master!$F$10&amp; "'!$H$2:$H$50"))</f>
        <v>#VALUE!</v>
      </c>
      <c r="I706" s="4" t="e">
        <f ca="1">IF(OR(INDIRECT("'" &amp; Master!$F$8 &amp; Master!$F$6 &amp; "'!B" &amp; ROW(B706))="", INDIRECT("'" &amp; Master!$F$8 &amp; Master!$F$6 &amp; "'!B" &amp; ROW(B706))=0), "", INDIRECT("'" &amp; Master!$F$8 &amp; Master!$F$6 &amp; "'!B" &amp; ROW(B706)))</f>
        <v>#VALUE!</v>
      </c>
      <c r="J706" s="9" t="e">
        <f t="shared" ca="1" si="70"/>
        <v>#VALUE!</v>
      </c>
      <c r="K706" s="7" t="e">
        <f t="shared" ca="1" si="71"/>
        <v>#VALUE!</v>
      </c>
      <c r="L706" s="7" t="e">
        <f t="shared" ca="1" si="72"/>
        <v>#VALUE!</v>
      </c>
      <c r="M706" s="7" t="e">
        <f t="shared" ca="1" si="73"/>
        <v>#VALUE!</v>
      </c>
      <c r="N706" s="7" t="e">
        <f t="shared" ca="1" si="74"/>
        <v>#VALUE!</v>
      </c>
      <c r="O706" s="7" t="e">
        <f t="shared" ca="1" si="75"/>
        <v>#VALUE!</v>
      </c>
      <c r="P706" s="7" t="e">
        <f t="shared" ca="1" si="76"/>
        <v>#VALUE!</v>
      </c>
    </row>
    <row r="707" spans="1:16" x14ac:dyDescent="0.25">
      <c r="A707" s="19" t="str">
        <f ca="1">IF(OR(INDIRECT("'" &amp; Master!$F$8 &amp; Master!$F$6 &amp; "'!A" &amp; ROW(A707))="", INDIRECT("'" &amp; Master!$F$8 &amp; Master!$F$6 &amp; "'!A" &amp; ROW(A707))=0), "", INDIRECT("'" &amp; Master!$F$8 &amp; Master!$F$6 &amp; "'!A" &amp; ROW(A707)))</f>
        <v/>
      </c>
      <c r="B707" s="4" t="e">
        <f ca="1">SplineInterp(INDIRECT("A" &amp; ROW()),INDIRECT("'" &amp;Master!$F$10&amp; "'!$A$2:$A$50"),INDIRECT("'" &amp;Master!$F$10&amp; "'!$B$2:$B$50"))</f>
        <v>#VALUE!</v>
      </c>
      <c r="C707" s="4" t="e">
        <f ca="1">SplineInterp(A707,INDIRECT("'" &amp;Master!$F$10&amp; "'!$A$2:$A$50"),INDIRECT("'" &amp;Master!$F$10&amp; "'!$C$2:$C$50"))</f>
        <v>#VALUE!</v>
      </c>
      <c r="D707" s="4" t="e">
        <f ca="1">SplineInterp(A707,INDIRECT("'" &amp;Master!$F$10&amp; "'!$A$2:$A$50"),INDIRECT("'" &amp;Master!$F$10&amp; "'!$D$2:$D$50"))</f>
        <v>#VALUE!</v>
      </c>
      <c r="E707" s="4" t="e">
        <f ca="1">SplineInterp(A707,INDIRECT("'" &amp;Master!$F$10&amp; "'!$A$2:$A$50"),INDIRECT("'" &amp;Master!$F$10&amp; "'!$E$2:$E$50"))</f>
        <v>#VALUE!</v>
      </c>
      <c r="F707" s="4" t="e">
        <f ca="1">SplineInterp(A707,INDIRECT("'" &amp;Master!$F$10&amp; "'!$A$2:$A$50"),INDIRECT("'" &amp;Master!$F$10&amp; "'!$F$2:$F$50"))</f>
        <v>#VALUE!</v>
      </c>
      <c r="G707" s="4" t="e">
        <f ca="1">SplineInterp(A707,INDIRECT("'" &amp;Master!$F$10&amp; "'!$A$2:$A$50"),INDIRECT("'" &amp;Master!$F$10&amp; "'!$G$2:$G$50"))</f>
        <v>#VALUE!</v>
      </c>
      <c r="H707" s="4" t="e">
        <f ca="1">SplineInterp(A707,INDIRECT("'" &amp;Master!$F$10&amp; "'!$A$2:$A$50"),INDIRECT("'" &amp;Master!$F$10&amp; "'!$H$2:$H$50"))</f>
        <v>#VALUE!</v>
      </c>
      <c r="I707" s="4" t="e">
        <f ca="1">IF(OR(INDIRECT("'" &amp; Master!$F$8 &amp; Master!$F$6 &amp; "'!B" &amp; ROW(B707))="", INDIRECT("'" &amp; Master!$F$8 &amp; Master!$F$6 &amp; "'!B" &amp; ROW(B707))=0), "", INDIRECT("'" &amp; Master!$F$8 &amp; Master!$F$6 &amp; "'!B" &amp; ROW(B707)))</f>
        <v>#VALUE!</v>
      </c>
      <c r="J707" s="9" t="e">
        <f t="shared" ref="J707:J770" ca="1" si="77">B707*I707</f>
        <v>#VALUE!</v>
      </c>
      <c r="K707" s="7" t="e">
        <f t="shared" ref="K707:K770" ca="1" si="78">C707*I707</f>
        <v>#VALUE!</v>
      </c>
      <c r="L707" s="7" t="e">
        <f t="shared" ref="L707:L770" ca="1" si="79">D707*I707</f>
        <v>#VALUE!</v>
      </c>
      <c r="M707" s="7" t="e">
        <f t="shared" ref="M707:M770" ca="1" si="80">E707*I707</f>
        <v>#VALUE!</v>
      </c>
      <c r="N707" s="7" t="e">
        <f t="shared" ref="N707:N770" ca="1" si="81">F707*I707</f>
        <v>#VALUE!</v>
      </c>
      <c r="O707" s="7" t="e">
        <f t="shared" ref="O707:O770" ca="1" si="82">G707*I707</f>
        <v>#VALUE!</v>
      </c>
      <c r="P707" s="7" t="e">
        <f t="shared" ref="P707:P770" ca="1" si="83">H707*I707</f>
        <v>#VALUE!</v>
      </c>
    </row>
    <row r="708" spans="1:16" x14ac:dyDescent="0.25">
      <c r="A708" s="19" t="str">
        <f ca="1">IF(OR(INDIRECT("'" &amp; Master!$F$8 &amp; Master!$F$6 &amp; "'!A" &amp; ROW(A708))="", INDIRECT("'" &amp; Master!$F$8 &amp; Master!$F$6 &amp; "'!A" &amp; ROW(A708))=0), "", INDIRECT("'" &amp; Master!$F$8 &amp; Master!$F$6 &amp; "'!A" &amp; ROW(A708)))</f>
        <v/>
      </c>
      <c r="B708" s="4" t="e">
        <f ca="1">SplineInterp(INDIRECT("A" &amp; ROW()),INDIRECT("'" &amp;Master!$F$10&amp; "'!$A$2:$A$50"),INDIRECT("'" &amp;Master!$F$10&amp; "'!$B$2:$B$50"))</f>
        <v>#VALUE!</v>
      </c>
      <c r="C708" s="4" t="e">
        <f ca="1">SplineInterp(A708,INDIRECT("'" &amp;Master!$F$10&amp; "'!$A$2:$A$50"),INDIRECT("'" &amp;Master!$F$10&amp; "'!$C$2:$C$50"))</f>
        <v>#VALUE!</v>
      </c>
      <c r="D708" s="4" t="e">
        <f ca="1">SplineInterp(A708,INDIRECT("'" &amp;Master!$F$10&amp; "'!$A$2:$A$50"),INDIRECT("'" &amp;Master!$F$10&amp; "'!$D$2:$D$50"))</f>
        <v>#VALUE!</v>
      </c>
      <c r="E708" s="4" t="e">
        <f ca="1">SplineInterp(A708,INDIRECT("'" &amp;Master!$F$10&amp; "'!$A$2:$A$50"),INDIRECT("'" &amp;Master!$F$10&amp; "'!$E$2:$E$50"))</f>
        <v>#VALUE!</v>
      </c>
      <c r="F708" s="4" t="e">
        <f ca="1">SplineInterp(A708,INDIRECT("'" &amp;Master!$F$10&amp; "'!$A$2:$A$50"),INDIRECT("'" &amp;Master!$F$10&amp; "'!$F$2:$F$50"))</f>
        <v>#VALUE!</v>
      </c>
      <c r="G708" s="4" t="e">
        <f ca="1">SplineInterp(A708,INDIRECT("'" &amp;Master!$F$10&amp; "'!$A$2:$A$50"),INDIRECT("'" &amp;Master!$F$10&amp; "'!$G$2:$G$50"))</f>
        <v>#VALUE!</v>
      </c>
      <c r="H708" s="4" t="e">
        <f ca="1">SplineInterp(A708,INDIRECT("'" &amp;Master!$F$10&amp; "'!$A$2:$A$50"),INDIRECT("'" &amp;Master!$F$10&amp; "'!$H$2:$H$50"))</f>
        <v>#VALUE!</v>
      </c>
      <c r="I708" s="4" t="e">
        <f ca="1">IF(OR(INDIRECT("'" &amp; Master!$F$8 &amp; Master!$F$6 &amp; "'!B" &amp; ROW(B708))="", INDIRECT("'" &amp; Master!$F$8 &amp; Master!$F$6 &amp; "'!B" &amp; ROW(B708))=0), "", INDIRECT("'" &amp; Master!$F$8 &amp; Master!$F$6 &amp; "'!B" &amp; ROW(B708)))</f>
        <v>#VALUE!</v>
      </c>
      <c r="J708" s="9" t="e">
        <f t="shared" ca="1" si="77"/>
        <v>#VALUE!</v>
      </c>
      <c r="K708" s="7" t="e">
        <f t="shared" ca="1" si="78"/>
        <v>#VALUE!</v>
      </c>
      <c r="L708" s="7" t="e">
        <f t="shared" ca="1" si="79"/>
        <v>#VALUE!</v>
      </c>
      <c r="M708" s="7" t="e">
        <f t="shared" ca="1" si="80"/>
        <v>#VALUE!</v>
      </c>
      <c r="N708" s="7" t="e">
        <f t="shared" ca="1" si="81"/>
        <v>#VALUE!</v>
      </c>
      <c r="O708" s="7" t="e">
        <f t="shared" ca="1" si="82"/>
        <v>#VALUE!</v>
      </c>
      <c r="P708" s="7" t="e">
        <f t="shared" ca="1" si="83"/>
        <v>#VALUE!</v>
      </c>
    </row>
    <row r="709" spans="1:16" x14ac:dyDescent="0.25">
      <c r="A709" s="19" t="str">
        <f ca="1">IF(OR(INDIRECT("'" &amp; Master!$F$8 &amp; Master!$F$6 &amp; "'!A" &amp; ROW(A709))="", INDIRECT("'" &amp; Master!$F$8 &amp; Master!$F$6 &amp; "'!A" &amp; ROW(A709))=0), "", INDIRECT("'" &amp; Master!$F$8 &amp; Master!$F$6 &amp; "'!A" &amp; ROW(A709)))</f>
        <v/>
      </c>
      <c r="B709" s="4" t="e">
        <f ca="1">SplineInterp(INDIRECT("A" &amp; ROW()),INDIRECT("'" &amp;Master!$F$10&amp; "'!$A$2:$A$50"),INDIRECT("'" &amp;Master!$F$10&amp; "'!$B$2:$B$50"))</f>
        <v>#VALUE!</v>
      </c>
      <c r="C709" s="4" t="e">
        <f ca="1">SplineInterp(A709,INDIRECT("'" &amp;Master!$F$10&amp; "'!$A$2:$A$50"),INDIRECT("'" &amp;Master!$F$10&amp; "'!$C$2:$C$50"))</f>
        <v>#VALUE!</v>
      </c>
      <c r="D709" s="4" t="e">
        <f ca="1">SplineInterp(A709,INDIRECT("'" &amp;Master!$F$10&amp; "'!$A$2:$A$50"),INDIRECT("'" &amp;Master!$F$10&amp; "'!$D$2:$D$50"))</f>
        <v>#VALUE!</v>
      </c>
      <c r="E709" s="4" t="e">
        <f ca="1">SplineInterp(A709,INDIRECT("'" &amp;Master!$F$10&amp; "'!$A$2:$A$50"),INDIRECT("'" &amp;Master!$F$10&amp; "'!$E$2:$E$50"))</f>
        <v>#VALUE!</v>
      </c>
      <c r="F709" s="4" t="e">
        <f ca="1">SplineInterp(A709,INDIRECT("'" &amp;Master!$F$10&amp; "'!$A$2:$A$50"),INDIRECT("'" &amp;Master!$F$10&amp; "'!$F$2:$F$50"))</f>
        <v>#VALUE!</v>
      </c>
      <c r="G709" s="4" t="e">
        <f ca="1">SplineInterp(A709,INDIRECT("'" &amp;Master!$F$10&amp; "'!$A$2:$A$50"),INDIRECT("'" &amp;Master!$F$10&amp; "'!$G$2:$G$50"))</f>
        <v>#VALUE!</v>
      </c>
      <c r="H709" s="4" t="e">
        <f ca="1">SplineInterp(A709,INDIRECT("'" &amp;Master!$F$10&amp; "'!$A$2:$A$50"),INDIRECT("'" &amp;Master!$F$10&amp; "'!$H$2:$H$50"))</f>
        <v>#VALUE!</v>
      </c>
      <c r="I709" s="4" t="e">
        <f ca="1">IF(OR(INDIRECT("'" &amp; Master!$F$8 &amp; Master!$F$6 &amp; "'!B" &amp; ROW(B709))="", INDIRECT("'" &amp; Master!$F$8 &amp; Master!$F$6 &amp; "'!B" &amp; ROW(B709))=0), "", INDIRECT("'" &amp; Master!$F$8 &amp; Master!$F$6 &amp; "'!B" &amp; ROW(B709)))</f>
        <v>#VALUE!</v>
      </c>
      <c r="J709" s="9" t="e">
        <f t="shared" ca="1" si="77"/>
        <v>#VALUE!</v>
      </c>
      <c r="K709" s="7" t="e">
        <f t="shared" ca="1" si="78"/>
        <v>#VALUE!</v>
      </c>
      <c r="L709" s="7" t="e">
        <f t="shared" ca="1" si="79"/>
        <v>#VALUE!</v>
      </c>
      <c r="M709" s="7" t="e">
        <f t="shared" ca="1" si="80"/>
        <v>#VALUE!</v>
      </c>
      <c r="N709" s="7" t="e">
        <f t="shared" ca="1" si="81"/>
        <v>#VALUE!</v>
      </c>
      <c r="O709" s="7" t="e">
        <f t="shared" ca="1" si="82"/>
        <v>#VALUE!</v>
      </c>
      <c r="P709" s="7" t="e">
        <f t="shared" ca="1" si="83"/>
        <v>#VALUE!</v>
      </c>
    </row>
    <row r="710" spans="1:16" x14ac:dyDescent="0.25">
      <c r="A710" s="19" t="str">
        <f ca="1">IF(OR(INDIRECT("'" &amp; Master!$F$8 &amp; Master!$F$6 &amp; "'!A" &amp; ROW(A710))="", INDIRECT("'" &amp; Master!$F$8 &amp; Master!$F$6 &amp; "'!A" &amp; ROW(A710))=0), "", INDIRECT("'" &amp; Master!$F$8 &amp; Master!$F$6 &amp; "'!A" &amp; ROW(A710)))</f>
        <v/>
      </c>
      <c r="B710" s="4" t="e">
        <f ca="1">SplineInterp(INDIRECT("A" &amp; ROW()),INDIRECT("'" &amp;Master!$F$10&amp; "'!$A$2:$A$50"),INDIRECT("'" &amp;Master!$F$10&amp; "'!$B$2:$B$50"))</f>
        <v>#VALUE!</v>
      </c>
      <c r="C710" s="4" t="e">
        <f ca="1">SplineInterp(A710,INDIRECT("'" &amp;Master!$F$10&amp; "'!$A$2:$A$50"),INDIRECT("'" &amp;Master!$F$10&amp; "'!$C$2:$C$50"))</f>
        <v>#VALUE!</v>
      </c>
      <c r="D710" s="4" t="e">
        <f ca="1">SplineInterp(A710,INDIRECT("'" &amp;Master!$F$10&amp; "'!$A$2:$A$50"),INDIRECT("'" &amp;Master!$F$10&amp; "'!$D$2:$D$50"))</f>
        <v>#VALUE!</v>
      </c>
      <c r="E710" s="4" t="e">
        <f ca="1">SplineInterp(A710,INDIRECT("'" &amp;Master!$F$10&amp; "'!$A$2:$A$50"),INDIRECT("'" &amp;Master!$F$10&amp; "'!$E$2:$E$50"))</f>
        <v>#VALUE!</v>
      </c>
      <c r="F710" s="4" t="e">
        <f ca="1">SplineInterp(A710,INDIRECT("'" &amp;Master!$F$10&amp; "'!$A$2:$A$50"),INDIRECT("'" &amp;Master!$F$10&amp; "'!$F$2:$F$50"))</f>
        <v>#VALUE!</v>
      </c>
      <c r="G710" s="4" t="e">
        <f ca="1">SplineInterp(A710,INDIRECT("'" &amp;Master!$F$10&amp; "'!$A$2:$A$50"),INDIRECT("'" &amp;Master!$F$10&amp; "'!$G$2:$G$50"))</f>
        <v>#VALUE!</v>
      </c>
      <c r="H710" s="4" t="e">
        <f ca="1">SplineInterp(A710,INDIRECT("'" &amp;Master!$F$10&amp; "'!$A$2:$A$50"),INDIRECT("'" &amp;Master!$F$10&amp; "'!$H$2:$H$50"))</f>
        <v>#VALUE!</v>
      </c>
      <c r="I710" s="4" t="e">
        <f ca="1">IF(OR(INDIRECT("'" &amp; Master!$F$8 &amp; Master!$F$6 &amp; "'!B" &amp; ROW(B710))="", INDIRECT("'" &amp; Master!$F$8 &amp; Master!$F$6 &amp; "'!B" &amp; ROW(B710))=0), "", INDIRECT("'" &amp; Master!$F$8 &amp; Master!$F$6 &amp; "'!B" &amp; ROW(B710)))</f>
        <v>#VALUE!</v>
      </c>
      <c r="J710" s="9" t="e">
        <f t="shared" ca="1" si="77"/>
        <v>#VALUE!</v>
      </c>
      <c r="K710" s="7" t="e">
        <f t="shared" ca="1" si="78"/>
        <v>#VALUE!</v>
      </c>
      <c r="L710" s="7" t="e">
        <f t="shared" ca="1" si="79"/>
        <v>#VALUE!</v>
      </c>
      <c r="M710" s="7" t="e">
        <f t="shared" ca="1" si="80"/>
        <v>#VALUE!</v>
      </c>
      <c r="N710" s="7" t="e">
        <f t="shared" ca="1" si="81"/>
        <v>#VALUE!</v>
      </c>
      <c r="O710" s="7" t="e">
        <f t="shared" ca="1" si="82"/>
        <v>#VALUE!</v>
      </c>
      <c r="P710" s="7" t="e">
        <f t="shared" ca="1" si="83"/>
        <v>#VALUE!</v>
      </c>
    </row>
    <row r="711" spans="1:16" x14ac:dyDescent="0.25">
      <c r="A711" s="19" t="str">
        <f ca="1">IF(OR(INDIRECT("'" &amp; Master!$F$8 &amp; Master!$F$6 &amp; "'!A" &amp; ROW(A711))="", INDIRECT("'" &amp; Master!$F$8 &amp; Master!$F$6 &amp; "'!A" &amp; ROW(A711))=0), "", INDIRECT("'" &amp; Master!$F$8 &amp; Master!$F$6 &amp; "'!A" &amp; ROW(A711)))</f>
        <v/>
      </c>
      <c r="B711" s="4" t="e">
        <f ca="1">SplineInterp(INDIRECT("A" &amp; ROW()),INDIRECT("'" &amp;Master!$F$10&amp; "'!$A$2:$A$50"),INDIRECT("'" &amp;Master!$F$10&amp; "'!$B$2:$B$50"))</f>
        <v>#VALUE!</v>
      </c>
      <c r="C711" s="4" t="e">
        <f ca="1">SplineInterp(A711,INDIRECT("'" &amp;Master!$F$10&amp; "'!$A$2:$A$50"),INDIRECT("'" &amp;Master!$F$10&amp; "'!$C$2:$C$50"))</f>
        <v>#VALUE!</v>
      </c>
      <c r="D711" s="4" t="e">
        <f ca="1">SplineInterp(A711,INDIRECT("'" &amp;Master!$F$10&amp; "'!$A$2:$A$50"),INDIRECT("'" &amp;Master!$F$10&amp; "'!$D$2:$D$50"))</f>
        <v>#VALUE!</v>
      </c>
      <c r="E711" s="4" t="e">
        <f ca="1">SplineInterp(A711,INDIRECT("'" &amp;Master!$F$10&amp; "'!$A$2:$A$50"),INDIRECT("'" &amp;Master!$F$10&amp; "'!$E$2:$E$50"))</f>
        <v>#VALUE!</v>
      </c>
      <c r="F711" s="4" t="e">
        <f ca="1">SplineInterp(A711,INDIRECT("'" &amp;Master!$F$10&amp; "'!$A$2:$A$50"),INDIRECT("'" &amp;Master!$F$10&amp; "'!$F$2:$F$50"))</f>
        <v>#VALUE!</v>
      </c>
      <c r="G711" s="4" t="e">
        <f ca="1">SplineInterp(A711,INDIRECT("'" &amp;Master!$F$10&amp; "'!$A$2:$A$50"),INDIRECT("'" &amp;Master!$F$10&amp; "'!$G$2:$G$50"))</f>
        <v>#VALUE!</v>
      </c>
      <c r="H711" s="4" t="e">
        <f ca="1">SplineInterp(A711,INDIRECT("'" &amp;Master!$F$10&amp; "'!$A$2:$A$50"),INDIRECT("'" &amp;Master!$F$10&amp; "'!$H$2:$H$50"))</f>
        <v>#VALUE!</v>
      </c>
      <c r="I711" s="4" t="e">
        <f ca="1">IF(OR(INDIRECT("'" &amp; Master!$F$8 &amp; Master!$F$6 &amp; "'!B" &amp; ROW(B711))="", INDIRECT("'" &amp; Master!$F$8 &amp; Master!$F$6 &amp; "'!B" &amp; ROW(B711))=0), "", INDIRECT("'" &amp; Master!$F$8 &amp; Master!$F$6 &amp; "'!B" &amp; ROW(B711)))</f>
        <v>#VALUE!</v>
      </c>
      <c r="J711" s="9" t="e">
        <f t="shared" ca="1" si="77"/>
        <v>#VALUE!</v>
      </c>
      <c r="K711" s="7" t="e">
        <f t="shared" ca="1" si="78"/>
        <v>#VALUE!</v>
      </c>
      <c r="L711" s="7" t="e">
        <f t="shared" ca="1" si="79"/>
        <v>#VALUE!</v>
      </c>
      <c r="M711" s="7" t="e">
        <f t="shared" ca="1" si="80"/>
        <v>#VALUE!</v>
      </c>
      <c r="N711" s="7" t="e">
        <f t="shared" ca="1" si="81"/>
        <v>#VALUE!</v>
      </c>
      <c r="O711" s="7" t="e">
        <f t="shared" ca="1" si="82"/>
        <v>#VALUE!</v>
      </c>
      <c r="P711" s="7" t="e">
        <f t="shared" ca="1" si="83"/>
        <v>#VALUE!</v>
      </c>
    </row>
    <row r="712" spans="1:16" x14ac:dyDescent="0.25">
      <c r="A712" s="19" t="str">
        <f ca="1">IF(OR(INDIRECT("'" &amp; Master!$F$8 &amp; Master!$F$6 &amp; "'!A" &amp; ROW(A712))="", INDIRECT("'" &amp; Master!$F$8 &amp; Master!$F$6 &amp; "'!A" &amp; ROW(A712))=0), "", INDIRECT("'" &amp; Master!$F$8 &amp; Master!$F$6 &amp; "'!A" &amp; ROW(A712)))</f>
        <v/>
      </c>
      <c r="B712" s="4" t="e">
        <f ca="1">SplineInterp(INDIRECT("A" &amp; ROW()),INDIRECT("'" &amp;Master!$F$10&amp; "'!$A$2:$A$50"),INDIRECT("'" &amp;Master!$F$10&amp; "'!$B$2:$B$50"))</f>
        <v>#VALUE!</v>
      </c>
      <c r="C712" s="4" t="e">
        <f ca="1">SplineInterp(A712,INDIRECT("'" &amp;Master!$F$10&amp; "'!$A$2:$A$50"),INDIRECT("'" &amp;Master!$F$10&amp; "'!$C$2:$C$50"))</f>
        <v>#VALUE!</v>
      </c>
      <c r="D712" s="4" t="e">
        <f ca="1">SplineInterp(A712,INDIRECT("'" &amp;Master!$F$10&amp; "'!$A$2:$A$50"),INDIRECT("'" &amp;Master!$F$10&amp; "'!$D$2:$D$50"))</f>
        <v>#VALUE!</v>
      </c>
      <c r="E712" s="4" t="e">
        <f ca="1">SplineInterp(A712,INDIRECT("'" &amp;Master!$F$10&amp; "'!$A$2:$A$50"),INDIRECT("'" &amp;Master!$F$10&amp; "'!$E$2:$E$50"))</f>
        <v>#VALUE!</v>
      </c>
      <c r="F712" s="4" t="e">
        <f ca="1">SplineInterp(A712,INDIRECT("'" &amp;Master!$F$10&amp; "'!$A$2:$A$50"),INDIRECT("'" &amp;Master!$F$10&amp; "'!$F$2:$F$50"))</f>
        <v>#VALUE!</v>
      </c>
      <c r="G712" s="4" t="e">
        <f ca="1">SplineInterp(A712,INDIRECT("'" &amp;Master!$F$10&amp; "'!$A$2:$A$50"),INDIRECT("'" &amp;Master!$F$10&amp; "'!$G$2:$G$50"))</f>
        <v>#VALUE!</v>
      </c>
      <c r="H712" s="4" t="e">
        <f ca="1">SplineInterp(A712,INDIRECT("'" &amp;Master!$F$10&amp; "'!$A$2:$A$50"),INDIRECT("'" &amp;Master!$F$10&amp; "'!$H$2:$H$50"))</f>
        <v>#VALUE!</v>
      </c>
      <c r="I712" s="4" t="e">
        <f ca="1">IF(OR(INDIRECT("'" &amp; Master!$F$8 &amp; Master!$F$6 &amp; "'!B" &amp; ROW(B712))="", INDIRECT("'" &amp; Master!$F$8 &amp; Master!$F$6 &amp; "'!B" &amp; ROW(B712))=0), "", INDIRECT("'" &amp; Master!$F$8 &amp; Master!$F$6 &amp; "'!B" &amp; ROW(B712)))</f>
        <v>#VALUE!</v>
      </c>
      <c r="J712" s="9" t="e">
        <f t="shared" ca="1" si="77"/>
        <v>#VALUE!</v>
      </c>
      <c r="K712" s="7" t="e">
        <f t="shared" ca="1" si="78"/>
        <v>#VALUE!</v>
      </c>
      <c r="L712" s="7" t="e">
        <f t="shared" ca="1" si="79"/>
        <v>#VALUE!</v>
      </c>
      <c r="M712" s="7" t="e">
        <f t="shared" ca="1" si="80"/>
        <v>#VALUE!</v>
      </c>
      <c r="N712" s="7" t="e">
        <f t="shared" ca="1" si="81"/>
        <v>#VALUE!</v>
      </c>
      <c r="O712" s="7" t="e">
        <f t="shared" ca="1" si="82"/>
        <v>#VALUE!</v>
      </c>
      <c r="P712" s="7" t="e">
        <f t="shared" ca="1" si="83"/>
        <v>#VALUE!</v>
      </c>
    </row>
    <row r="713" spans="1:16" x14ac:dyDescent="0.25">
      <c r="A713" s="19" t="str">
        <f ca="1">IF(OR(INDIRECT("'" &amp; Master!$F$8 &amp; Master!$F$6 &amp; "'!A" &amp; ROW(A713))="", INDIRECT("'" &amp; Master!$F$8 &amp; Master!$F$6 &amp; "'!A" &amp; ROW(A713))=0), "", INDIRECT("'" &amp; Master!$F$8 &amp; Master!$F$6 &amp; "'!A" &amp; ROW(A713)))</f>
        <v/>
      </c>
      <c r="B713" s="4" t="e">
        <f ca="1">SplineInterp(INDIRECT("A" &amp; ROW()),INDIRECT("'" &amp;Master!$F$10&amp; "'!$A$2:$A$50"),INDIRECT("'" &amp;Master!$F$10&amp; "'!$B$2:$B$50"))</f>
        <v>#VALUE!</v>
      </c>
      <c r="C713" s="4" t="e">
        <f ca="1">SplineInterp(A713,INDIRECT("'" &amp;Master!$F$10&amp; "'!$A$2:$A$50"),INDIRECT("'" &amp;Master!$F$10&amp; "'!$C$2:$C$50"))</f>
        <v>#VALUE!</v>
      </c>
      <c r="D713" s="4" t="e">
        <f ca="1">SplineInterp(A713,INDIRECT("'" &amp;Master!$F$10&amp; "'!$A$2:$A$50"),INDIRECT("'" &amp;Master!$F$10&amp; "'!$D$2:$D$50"))</f>
        <v>#VALUE!</v>
      </c>
      <c r="E713" s="4" t="e">
        <f ca="1">SplineInterp(A713,INDIRECT("'" &amp;Master!$F$10&amp; "'!$A$2:$A$50"),INDIRECT("'" &amp;Master!$F$10&amp; "'!$E$2:$E$50"))</f>
        <v>#VALUE!</v>
      </c>
      <c r="F713" s="4" t="e">
        <f ca="1">SplineInterp(A713,INDIRECT("'" &amp;Master!$F$10&amp; "'!$A$2:$A$50"),INDIRECT("'" &amp;Master!$F$10&amp; "'!$F$2:$F$50"))</f>
        <v>#VALUE!</v>
      </c>
      <c r="G713" s="4" t="e">
        <f ca="1">SplineInterp(A713,INDIRECT("'" &amp;Master!$F$10&amp; "'!$A$2:$A$50"),INDIRECT("'" &amp;Master!$F$10&amp; "'!$G$2:$G$50"))</f>
        <v>#VALUE!</v>
      </c>
      <c r="H713" s="4" t="e">
        <f ca="1">SplineInterp(A713,INDIRECT("'" &amp;Master!$F$10&amp; "'!$A$2:$A$50"),INDIRECT("'" &amp;Master!$F$10&amp; "'!$H$2:$H$50"))</f>
        <v>#VALUE!</v>
      </c>
      <c r="I713" s="4" t="e">
        <f ca="1">IF(OR(INDIRECT("'" &amp; Master!$F$8 &amp; Master!$F$6 &amp; "'!B" &amp; ROW(B713))="", INDIRECT("'" &amp; Master!$F$8 &amp; Master!$F$6 &amp; "'!B" &amp; ROW(B713))=0), "", INDIRECT("'" &amp; Master!$F$8 &amp; Master!$F$6 &amp; "'!B" &amp; ROW(B713)))</f>
        <v>#VALUE!</v>
      </c>
      <c r="J713" s="9" t="e">
        <f t="shared" ca="1" si="77"/>
        <v>#VALUE!</v>
      </c>
      <c r="K713" s="7" t="e">
        <f t="shared" ca="1" si="78"/>
        <v>#VALUE!</v>
      </c>
      <c r="L713" s="7" t="e">
        <f t="shared" ca="1" si="79"/>
        <v>#VALUE!</v>
      </c>
      <c r="M713" s="7" t="e">
        <f t="shared" ca="1" si="80"/>
        <v>#VALUE!</v>
      </c>
      <c r="N713" s="7" t="e">
        <f t="shared" ca="1" si="81"/>
        <v>#VALUE!</v>
      </c>
      <c r="O713" s="7" t="e">
        <f t="shared" ca="1" si="82"/>
        <v>#VALUE!</v>
      </c>
      <c r="P713" s="7" t="e">
        <f t="shared" ca="1" si="83"/>
        <v>#VALUE!</v>
      </c>
    </row>
    <row r="714" spans="1:16" x14ac:dyDescent="0.25">
      <c r="A714" s="19" t="str">
        <f ca="1">IF(OR(INDIRECT("'" &amp; Master!$F$8 &amp; Master!$F$6 &amp; "'!A" &amp; ROW(A714))="", INDIRECT("'" &amp; Master!$F$8 &amp; Master!$F$6 &amp; "'!A" &amp; ROW(A714))=0), "", INDIRECT("'" &amp; Master!$F$8 &amp; Master!$F$6 &amp; "'!A" &amp; ROW(A714)))</f>
        <v/>
      </c>
      <c r="B714" s="4" t="e">
        <f ca="1">SplineInterp(INDIRECT("A" &amp; ROW()),INDIRECT("'" &amp;Master!$F$10&amp; "'!$A$2:$A$50"),INDIRECT("'" &amp;Master!$F$10&amp; "'!$B$2:$B$50"))</f>
        <v>#VALUE!</v>
      </c>
      <c r="C714" s="4" t="e">
        <f ca="1">SplineInterp(A714,INDIRECT("'" &amp;Master!$F$10&amp; "'!$A$2:$A$50"),INDIRECT("'" &amp;Master!$F$10&amp; "'!$C$2:$C$50"))</f>
        <v>#VALUE!</v>
      </c>
      <c r="D714" s="4" t="e">
        <f ca="1">SplineInterp(A714,INDIRECT("'" &amp;Master!$F$10&amp; "'!$A$2:$A$50"),INDIRECT("'" &amp;Master!$F$10&amp; "'!$D$2:$D$50"))</f>
        <v>#VALUE!</v>
      </c>
      <c r="E714" s="4" t="e">
        <f ca="1">SplineInterp(A714,INDIRECT("'" &amp;Master!$F$10&amp; "'!$A$2:$A$50"),INDIRECT("'" &amp;Master!$F$10&amp; "'!$E$2:$E$50"))</f>
        <v>#VALUE!</v>
      </c>
      <c r="F714" s="4" t="e">
        <f ca="1">SplineInterp(A714,INDIRECT("'" &amp;Master!$F$10&amp; "'!$A$2:$A$50"),INDIRECT("'" &amp;Master!$F$10&amp; "'!$F$2:$F$50"))</f>
        <v>#VALUE!</v>
      </c>
      <c r="G714" s="4" t="e">
        <f ca="1">SplineInterp(A714,INDIRECT("'" &amp;Master!$F$10&amp; "'!$A$2:$A$50"),INDIRECT("'" &amp;Master!$F$10&amp; "'!$G$2:$G$50"))</f>
        <v>#VALUE!</v>
      </c>
      <c r="H714" s="4" t="e">
        <f ca="1">SplineInterp(A714,INDIRECT("'" &amp;Master!$F$10&amp; "'!$A$2:$A$50"),INDIRECT("'" &amp;Master!$F$10&amp; "'!$H$2:$H$50"))</f>
        <v>#VALUE!</v>
      </c>
      <c r="I714" s="4" t="e">
        <f ca="1">IF(OR(INDIRECT("'" &amp; Master!$F$8 &amp; Master!$F$6 &amp; "'!B" &amp; ROW(B714))="", INDIRECT("'" &amp; Master!$F$8 &amp; Master!$F$6 &amp; "'!B" &amp; ROW(B714))=0), "", INDIRECT("'" &amp; Master!$F$8 &amp; Master!$F$6 &amp; "'!B" &amp; ROW(B714)))</f>
        <v>#VALUE!</v>
      </c>
      <c r="J714" s="9" t="e">
        <f t="shared" ca="1" si="77"/>
        <v>#VALUE!</v>
      </c>
      <c r="K714" s="7" t="e">
        <f t="shared" ca="1" si="78"/>
        <v>#VALUE!</v>
      </c>
      <c r="L714" s="7" t="e">
        <f t="shared" ca="1" si="79"/>
        <v>#VALUE!</v>
      </c>
      <c r="M714" s="7" t="e">
        <f t="shared" ca="1" si="80"/>
        <v>#VALUE!</v>
      </c>
      <c r="N714" s="7" t="e">
        <f t="shared" ca="1" si="81"/>
        <v>#VALUE!</v>
      </c>
      <c r="O714" s="7" t="e">
        <f t="shared" ca="1" si="82"/>
        <v>#VALUE!</v>
      </c>
      <c r="P714" s="7" t="e">
        <f t="shared" ca="1" si="83"/>
        <v>#VALUE!</v>
      </c>
    </row>
    <row r="715" spans="1:16" x14ac:dyDescent="0.25">
      <c r="A715" s="19" t="str">
        <f ca="1">IF(OR(INDIRECT("'" &amp; Master!$F$8 &amp; Master!$F$6 &amp; "'!A" &amp; ROW(A715))="", INDIRECT("'" &amp; Master!$F$8 &amp; Master!$F$6 &amp; "'!A" &amp; ROW(A715))=0), "", INDIRECT("'" &amp; Master!$F$8 &amp; Master!$F$6 &amp; "'!A" &amp; ROW(A715)))</f>
        <v/>
      </c>
      <c r="B715" s="4" t="e">
        <f ca="1">SplineInterp(INDIRECT("A" &amp; ROW()),INDIRECT("'" &amp;Master!$F$10&amp; "'!$A$2:$A$50"),INDIRECT("'" &amp;Master!$F$10&amp; "'!$B$2:$B$50"))</f>
        <v>#VALUE!</v>
      </c>
      <c r="C715" s="4" t="e">
        <f ca="1">SplineInterp(A715,INDIRECT("'" &amp;Master!$F$10&amp; "'!$A$2:$A$50"),INDIRECT("'" &amp;Master!$F$10&amp; "'!$C$2:$C$50"))</f>
        <v>#VALUE!</v>
      </c>
      <c r="D715" s="4" t="e">
        <f ca="1">SplineInterp(A715,INDIRECT("'" &amp;Master!$F$10&amp; "'!$A$2:$A$50"),INDIRECT("'" &amp;Master!$F$10&amp; "'!$D$2:$D$50"))</f>
        <v>#VALUE!</v>
      </c>
      <c r="E715" s="4" t="e">
        <f ca="1">SplineInterp(A715,INDIRECT("'" &amp;Master!$F$10&amp; "'!$A$2:$A$50"),INDIRECT("'" &amp;Master!$F$10&amp; "'!$E$2:$E$50"))</f>
        <v>#VALUE!</v>
      </c>
      <c r="F715" s="4" t="e">
        <f ca="1">SplineInterp(A715,INDIRECT("'" &amp;Master!$F$10&amp; "'!$A$2:$A$50"),INDIRECT("'" &amp;Master!$F$10&amp; "'!$F$2:$F$50"))</f>
        <v>#VALUE!</v>
      </c>
      <c r="G715" s="4" t="e">
        <f ca="1">SplineInterp(A715,INDIRECT("'" &amp;Master!$F$10&amp; "'!$A$2:$A$50"),INDIRECT("'" &amp;Master!$F$10&amp; "'!$G$2:$G$50"))</f>
        <v>#VALUE!</v>
      </c>
      <c r="H715" s="4" t="e">
        <f ca="1">SplineInterp(A715,INDIRECT("'" &amp;Master!$F$10&amp; "'!$A$2:$A$50"),INDIRECT("'" &amp;Master!$F$10&amp; "'!$H$2:$H$50"))</f>
        <v>#VALUE!</v>
      </c>
      <c r="I715" s="4" t="e">
        <f ca="1">IF(OR(INDIRECT("'" &amp; Master!$F$8 &amp; Master!$F$6 &amp; "'!B" &amp; ROW(B715))="", INDIRECT("'" &amp; Master!$F$8 &amp; Master!$F$6 &amp; "'!B" &amp; ROW(B715))=0), "", INDIRECT("'" &amp; Master!$F$8 &amp; Master!$F$6 &amp; "'!B" &amp; ROW(B715)))</f>
        <v>#VALUE!</v>
      </c>
      <c r="J715" s="9" t="e">
        <f t="shared" ca="1" si="77"/>
        <v>#VALUE!</v>
      </c>
      <c r="K715" s="7" t="e">
        <f t="shared" ca="1" si="78"/>
        <v>#VALUE!</v>
      </c>
      <c r="L715" s="7" t="e">
        <f t="shared" ca="1" si="79"/>
        <v>#VALUE!</v>
      </c>
      <c r="M715" s="7" t="e">
        <f t="shared" ca="1" si="80"/>
        <v>#VALUE!</v>
      </c>
      <c r="N715" s="7" t="e">
        <f t="shared" ca="1" si="81"/>
        <v>#VALUE!</v>
      </c>
      <c r="O715" s="7" t="e">
        <f t="shared" ca="1" si="82"/>
        <v>#VALUE!</v>
      </c>
      <c r="P715" s="7" t="e">
        <f t="shared" ca="1" si="83"/>
        <v>#VALUE!</v>
      </c>
    </row>
    <row r="716" spans="1:16" x14ac:dyDescent="0.25">
      <c r="A716" s="19" t="str">
        <f ca="1">IF(OR(INDIRECT("'" &amp; Master!$F$8 &amp; Master!$F$6 &amp; "'!A" &amp; ROW(A716))="", INDIRECT("'" &amp; Master!$F$8 &amp; Master!$F$6 &amp; "'!A" &amp; ROW(A716))=0), "", INDIRECT("'" &amp; Master!$F$8 &amp; Master!$F$6 &amp; "'!A" &amp; ROW(A716)))</f>
        <v/>
      </c>
      <c r="B716" s="4" t="e">
        <f ca="1">SplineInterp(INDIRECT("A" &amp; ROW()),INDIRECT("'" &amp;Master!$F$10&amp; "'!$A$2:$A$50"),INDIRECT("'" &amp;Master!$F$10&amp; "'!$B$2:$B$50"))</f>
        <v>#VALUE!</v>
      </c>
      <c r="C716" s="4" t="e">
        <f ca="1">SplineInterp(A716,INDIRECT("'" &amp;Master!$F$10&amp; "'!$A$2:$A$50"),INDIRECT("'" &amp;Master!$F$10&amp; "'!$C$2:$C$50"))</f>
        <v>#VALUE!</v>
      </c>
      <c r="D716" s="4" t="e">
        <f ca="1">SplineInterp(A716,INDIRECT("'" &amp;Master!$F$10&amp; "'!$A$2:$A$50"),INDIRECT("'" &amp;Master!$F$10&amp; "'!$D$2:$D$50"))</f>
        <v>#VALUE!</v>
      </c>
      <c r="E716" s="4" t="e">
        <f ca="1">SplineInterp(A716,INDIRECT("'" &amp;Master!$F$10&amp; "'!$A$2:$A$50"),INDIRECT("'" &amp;Master!$F$10&amp; "'!$E$2:$E$50"))</f>
        <v>#VALUE!</v>
      </c>
      <c r="F716" s="4" t="e">
        <f ca="1">SplineInterp(A716,INDIRECT("'" &amp;Master!$F$10&amp; "'!$A$2:$A$50"),INDIRECT("'" &amp;Master!$F$10&amp; "'!$F$2:$F$50"))</f>
        <v>#VALUE!</v>
      </c>
      <c r="G716" s="4" t="e">
        <f ca="1">SplineInterp(A716,INDIRECT("'" &amp;Master!$F$10&amp; "'!$A$2:$A$50"),INDIRECT("'" &amp;Master!$F$10&amp; "'!$G$2:$G$50"))</f>
        <v>#VALUE!</v>
      </c>
      <c r="H716" s="4" t="e">
        <f ca="1">SplineInterp(A716,INDIRECT("'" &amp;Master!$F$10&amp; "'!$A$2:$A$50"),INDIRECT("'" &amp;Master!$F$10&amp; "'!$H$2:$H$50"))</f>
        <v>#VALUE!</v>
      </c>
      <c r="I716" s="4" t="e">
        <f ca="1">IF(OR(INDIRECT("'" &amp; Master!$F$8 &amp; Master!$F$6 &amp; "'!B" &amp; ROW(B716))="", INDIRECT("'" &amp; Master!$F$8 &amp; Master!$F$6 &amp; "'!B" &amp; ROW(B716))=0), "", INDIRECT("'" &amp; Master!$F$8 &amp; Master!$F$6 &amp; "'!B" &amp; ROW(B716)))</f>
        <v>#VALUE!</v>
      </c>
      <c r="J716" s="9" t="e">
        <f t="shared" ca="1" si="77"/>
        <v>#VALUE!</v>
      </c>
      <c r="K716" s="7" t="e">
        <f t="shared" ca="1" si="78"/>
        <v>#VALUE!</v>
      </c>
      <c r="L716" s="7" t="e">
        <f t="shared" ca="1" si="79"/>
        <v>#VALUE!</v>
      </c>
      <c r="M716" s="7" t="e">
        <f t="shared" ca="1" si="80"/>
        <v>#VALUE!</v>
      </c>
      <c r="N716" s="7" t="e">
        <f t="shared" ca="1" si="81"/>
        <v>#VALUE!</v>
      </c>
      <c r="O716" s="7" t="e">
        <f t="shared" ca="1" si="82"/>
        <v>#VALUE!</v>
      </c>
      <c r="P716" s="7" t="e">
        <f t="shared" ca="1" si="83"/>
        <v>#VALUE!</v>
      </c>
    </row>
    <row r="717" spans="1:16" x14ac:dyDescent="0.25">
      <c r="A717" s="19" t="str">
        <f ca="1">IF(OR(INDIRECT("'" &amp; Master!$F$8 &amp; Master!$F$6 &amp; "'!A" &amp; ROW(A717))="", INDIRECT("'" &amp; Master!$F$8 &amp; Master!$F$6 &amp; "'!A" &amp; ROW(A717))=0), "", INDIRECT("'" &amp; Master!$F$8 &amp; Master!$F$6 &amp; "'!A" &amp; ROW(A717)))</f>
        <v/>
      </c>
      <c r="B717" s="4" t="e">
        <f ca="1">SplineInterp(INDIRECT("A" &amp; ROW()),INDIRECT("'" &amp;Master!$F$10&amp; "'!$A$2:$A$50"),INDIRECT("'" &amp;Master!$F$10&amp; "'!$B$2:$B$50"))</f>
        <v>#VALUE!</v>
      </c>
      <c r="C717" s="4" t="e">
        <f ca="1">SplineInterp(A717,INDIRECT("'" &amp;Master!$F$10&amp; "'!$A$2:$A$50"),INDIRECT("'" &amp;Master!$F$10&amp; "'!$C$2:$C$50"))</f>
        <v>#VALUE!</v>
      </c>
      <c r="D717" s="4" t="e">
        <f ca="1">SplineInterp(A717,INDIRECT("'" &amp;Master!$F$10&amp; "'!$A$2:$A$50"),INDIRECT("'" &amp;Master!$F$10&amp; "'!$D$2:$D$50"))</f>
        <v>#VALUE!</v>
      </c>
      <c r="E717" s="4" t="e">
        <f ca="1">SplineInterp(A717,INDIRECT("'" &amp;Master!$F$10&amp; "'!$A$2:$A$50"),INDIRECT("'" &amp;Master!$F$10&amp; "'!$E$2:$E$50"))</f>
        <v>#VALUE!</v>
      </c>
      <c r="F717" s="4" t="e">
        <f ca="1">SplineInterp(A717,INDIRECT("'" &amp;Master!$F$10&amp; "'!$A$2:$A$50"),INDIRECT("'" &amp;Master!$F$10&amp; "'!$F$2:$F$50"))</f>
        <v>#VALUE!</v>
      </c>
      <c r="G717" s="4" t="e">
        <f ca="1">SplineInterp(A717,INDIRECT("'" &amp;Master!$F$10&amp; "'!$A$2:$A$50"),INDIRECT("'" &amp;Master!$F$10&amp; "'!$G$2:$G$50"))</f>
        <v>#VALUE!</v>
      </c>
      <c r="H717" s="4" t="e">
        <f ca="1">SplineInterp(A717,INDIRECT("'" &amp;Master!$F$10&amp; "'!$A$2:$A$50"),INDIRECT("'" &amp;Master!$F$10&amp; "'!$H$2:$H$50"))</f>
        <v>#VALUE!</v>
      </c>
      <c r="I717" s="4" t="e">
        <f ca="1">IF(OR(INDIRECT("'" &amp; Master!$F$8 &amp; Master!$F$6 &amp; "'!B" &amp; ROW(B717))="", INDIRECT("'" &amp; Master!$F$8 &amp; Master!$F$6 &amp; "'!B" &amp; ROW(B717))=0), "", INDIRECT("'" &amp; Master!$F$8 &amp; Master!$F$6 &amp; "'!B" &amp; ROW(B717)))</f>
        <v>#VALUE!</v>
      </c>
      <c r="J717" s="9" t="e">
        <f t="shared" ca="1" si="77"/>
        <v>#VALUE!</v>
      </c>
      <c r="K717" s="7" t="e">
        <f t="shared" ca="1" si="78"/>
        <v>#VALUE!</v>
      </c>
      <c r="L717" s="7" t="e">
        <f t="shared" ca="1" si="79"/>
        <v>#VALUE!</v>
      </c>
      <c r="M717" s="7" t="e">
        <f t="shared" ca="1" si="80"/>
        <v>#VALUE!</v>
      </c>
      <c r="N717" s="7" t="e">
        <f t="shared" ca="1" si="81"/>
        <v>#VALUE!</v>
      </c>
      <c r="O717" s="7" t="e">
        <f t="shared" ca="1" si="82"/>
        <v>#VALUE!</v>
      </c>
      <c r="P717" s="7" t="e">
        <f t="shared" ca="1" si="83"/>
        <v>#VALUE!</v>
      </c>
    </row>
    <row r="718" spans="1:16" x14ac:dyDescent="0.25">
      <c r="A718" s="19" t="str">
        <f ca="1">IF(OR(INDIRECT("'" &amp; Master!$F$8 &amp; Master!$F$6 &amp; "'!A" &amp; ROW(A718))="", INDIRECT("'" &amp; Master!$F$8 &amp; Master!$F$6 &amp; "'!A" &amp; ROW(A718))=0), "", INDIRECT("'" &amp; Master!$F$8 &amp; Master!$F$6 &amp; "'!A" &amp; ROW(A718)))</f>
        <v/>
      </c>
      <c r="B718" s="4" t="e">
        <f ca="1">SplineInterp(INDIRECT("A" &amp; ROW()),INDIRECT("'" &amp;Master!$F$10&amp; "'!$A$2:$A$50"),INDIRECT("'" &amp;Master!$F$10&amp; "'!$B$2:$B$50"))</f>
        <v>#VALUE!</v>
      </c>
      <c r="C718" s="4" t="e">
        <f ca="1">SplineInterp(A718,INDIRECT("'" &amp;Master!$F$10&amp; "'!$A$2:$A$50"),INDIRECT("'" &amp;Master!$F$10&amp; "'!$C$2:$C$50"))</f>
        <v>#VALUE!</v>
      </c>
      <c r="D718" s="4" t="e">
        <f ca="1">SplineInterp(A718,INDIRECT("'" &amp;Master!$F$10&amp; "'!$A$2:$A$50"),INDIRECT("'" &amp;Master!$F$10&amp; "'!$D$2:$D$50"))</f>
        <v>#VALUE!</v>
      </c>
      <c r="E718" s="4" t="e">
        <f ca="1">SplineInterp(A718,INDIRECT("'" &amp;Master!$F$10&amp; "'!$A$2:$A$50"),INDIRECT("'" &amp;Master!$F$10&amp; "'!$E$2:$E$50"))</f>
        <v>#VALUE!</v>
      </c>
      <c r="F718" s="4" t="e">
        <f ca="1">SplineInterp(A718,INDIRECT("'" &amp;Master!$F$10&amp; "'!$A$2:$A$50"),INDIRECT("'" &amp;Master!$F$10&amp; "'!$F$2:$F$50"))</f>
        <v>#VALUE!</v>
      </c>
      <c r="G718" s="4" t="e">
        <f ca="1">SplineInterp(A718,INDIRECT("'" &amp;Master!$F$10&amp; "'!$A$2:$A$50"),INDIRECT("'" &amp;Master!$F$10&amp; "'!$G$2:$G$50"))</f>
        <v>#VALUE!</v>
      </c>
      <c r="H718" s="4" t="e">
        <f ca="1">SplineInterp(A718,INDIRECT("'" &amp;Master!$F$10&amp; "'!$A$2:$A$50"),INDIRECT("'" &amp;Master!$F$10&amp; "'!$H$2:$H$50"))</f>
        <v>#VALUE!</v>
      </c>
      <c r="I718" s="4" t="e">
        <f ca="1">IF(OR(INDIRECT("'" &amp; Master!$F$8 &amp; Master!$F$6 &amp; "'!B" &amp; ROW(B718))="", INDIRECT("'" &amp; Master!$F$8 &amp; Master!$F$6 &amp; "'!B" &amp; ROW(B718))=0), "", INDIRECT("'" &amp; Master!$F$8 &amp; Master!$F$6 &amp; "'!B" &amp; ROW(B718)))</f>
        <v>#VALUE!</v>
      </c>
      <c r="J718" s="9" t="e">
        <f t="shared" ca="1" si="77"/>
        <v>#VALUE!</v>
      </c>
      <c r="K718" s="7" t="e">
        <f t="shared" ca="1" si="78"/>
        <v>#VALUE!</v>
      </c>
      <c r="L718" s="7" t="e">
        <f t="shared" ca="1" si="79"/>
        <v>#VALUE!</v>
      </c>
      <c r="M718" s="7" t="e">
        <f t="shared" ca="1" si="80"/>
        <v>#VALUE!</v>
      </c>
      <c r="N718" s="7" t="e">
        <f t="shared" ca="1" si="81"/>
        <v>#VALUE!</v>
      </c>
      <c r="O718" s="7" t="e">
        <f t="shared" ca="1" si="82"/>
        <v>#VALUE!</v>
      </c>
      <c r="P718" s="7" t="e">
        <f t="shared" ca="1" si="83"/>
        <v>#VALUE!</v>
      </c>
    </row>
    <row r="719" spans="1:16" x14ac:dyDescent="0.25">
      <c r="A719" s="19" t="str">
        <f ca="1">IF(OR(INDIRECT("'" &amp; Master!$F$8 &amp; Master!$F$6 &amp; "'!A" &amp; ROW(A719))="", INDIRECT("'" &amp; Master!$F$8 &amp; Master!$F$6 &amp; "'!A" &amp; ROW(A719))=0), "", INDIRECT("'" &amp; Master!$F$8 &amp; Master!$F$6 &amp; "'!A" &amp; ROW(A719)))</f>
        <v/>
      </c>
      <c r="B719" s="4" t="e">
        <f ca="1">SplineInterp(INDIRECT("A" &amp; ROW()),INDIRECT("'" &amp;Master!$F$10&amp; "'!$A$2:$A$50"),INDIRECT("'" &amp;Master!$F$10&amp; "'!$B$2:$B$50"))</f>
        <v>#VALUE!</v>
      </c>
      <c r="C719" s="4" t="e">
        <f ca="1">SplineInterp(A719,INDIRECT("'" &amp;Master!$F$10&amp; "'!$A$2:$A$50"),INDIRECT("'" &amp;Master!$F$10&amp; "'!$C$2:$C$50"))</f>
        <v>#VALUE!</v>
      </c>
      <c r="D719" s="4" t="e">
        <f ca="1">SplineInterp(A719,INDIRECT("'" &amp;Master!$F$10&amp; "'!$A$2:$A$50"),INDIRECT("'" &amp;Master!$F$10&amp; "'!$D$2:$D$50"))</f>
        <v>#VALUE!</v>
      </c>
      <c r="E719" s="4" t="e">
        <f ca="1">SplineInterp(A719,INDIRECT("'" &amp;Master!$F$10&amp; "'!$A$2:$A$50"),INDIRECT("'" &amp;Master!$F$10&amp; "'!$E$2:$E$50"))</f>
        <v>#VALUE!</v>
      </c>
      <c r="F719" s="4" t="e">
        <f ca="1">SplineInterp(A719,INDIRECT("'" &amp;Master!$F$10&amp; "'!$A$2:$A$50"),INDIRECT("'" &amp;Master!$F$10&amp; "'!$F$2:$F$50"))</f>
        <v>#VALUE!</v>
      </c>
      <c r="G719" s="4" t="e">
        <f ca="1">SplineInterp(A719,INDIRECT("'" &amp;Master!$F$10&amp; "'!$A$2:$A$50"),INDIRECT("'" &amp;Master!$F$10&amp; "'!$G$2:$G$50"))</f>
        <v>#VALUE!</v>
      </c>
      <c r="H719" s="4" t="e">
        <f ca="1">SplineInterp(A719,INDIRECT("'" &amp;Master!$F$10&amp; "'!$A$2:$A$50"),INDIRECT("'" &amp;Master!$F$10&amp; "'!$H$2:$H$50"))</f>
        <v>#VALUE!</v>
      </c>
      <c r="I719" s="4" t="e">
        <f ca="1">IF(OR(INDIRECT("'" &amp; Master!$F$8 &amp; Master!$F$6 &amp; "'!B" &amp; ROW(B719))="", INDIRECT("'" &amp; Master!$F$8 &amp; Master!$F$6 &amp; "'!B" &amp; ROW(B719))=0), "", INDIRECT("'" &amp; Master!$F$8 &amp; Master!$F$6 &amp; "'!B" &amp; ROW(B719)))</f>
        <v>#VALUE!</v>
      </c>
      <c r="J719" s="9" t="e">
        <f t="shared" ca="1" si="77"/>
        <v>#VALUE!</v>
      </c>
      <c r="K719" s="7" t="e">
        <f t="shared" ca="1" si="78"/>
        <v>#VALUE!</v>
      </c>
      <c r="L719" s="7" t="e">
        <f t="shared" ca="1" si="79"/>
        <v>#VALUE!</v>
      </c>
      <c r="M719" s="7" t="e">
        <f t="shared" ca="1" si="80"/>
        <v>#VALUE!</v>
      </c>
      <c r="N719" s="7" t="e">
        <f t="shared" ca="1" si="81"/>
        <v>#VALUE!</v>
      </c>
      <c r="O719" s="7" t="e">
        <f t="shared" ca="1" si="82"/>
        <v>#VALUE!</v>
      </c>
      <c r="P719" s="7" t="e">
        <f t="shared" ca="1" si="83"/>
        <v>#VALUE!</v>
      </c>
    </row>
    <row r="720" spans="1:16" x14ac:dyDescent="0.25">
      <c r="A720" s="19" t="str">
        <f ca="1">IF(OR(INDIRECT("'" &amp; Master!$F$8 &amp; Master!$F$6 &amp; "'!A" &amp; ROW(A720))="", INDIRECT("'" &amp; Master!$F$8 &amp; Master!$F$6 &amp; "'!A" &amp; ROW(A720))=0), "", INDIRECT("'" &amp; Master!$F$8 &amp; Master!$F$6 &amp; "'!A" &amp; ROW(A720)))</f>
        <v/>
      </c>
      <c r="B720" s="4" t="e">
        <f ca="1">SplineInterp(INDIRECT("A" &amp; ROW()),INDIRECT("'" &amp;Master!$F$10&amp; "'!$A$2:$A$50"),INDIRECT("'" &amp;Master!$F$10&amp; "'!$B$2:$B$50"))</f>
        <v>#VALUE!</v>
      </c>
      <c r="C720" s="4" t="e">
        <f ca="1">SplineInterp(A720,INDIRECT("'" &amp;Master!$F$10&amp; "'!$A$2:$A$50"),INDIRECT("'" &amp;Master!$F$10&amp; "'!$C$2:$C$50"))</f>
        <v>#VALUE!</v>
      </c>
      <c r="D720" s="4" t="e">
        <f ca="1">SplineInterp(A720,INDIRECT("'" &amp;Master!$F$10&amp; "'!$A$2:$A$50"),INDIRECT("'" &amp;Master!$F$10&amp; "'!$D$2:$D$50"))</f>
        <v>#VALUE!</v>
      </c>
      <c r="E720" s="4" t="e">
        <f ca="1">SplineInterp(A720,INDIRECT("'" &amp;Master!$F$10&amp; "'!$A$2:$A$50"),INDIRECT("'" &amp;Master!$F$10&amp; "'!$E$2:$E$50"))</f>
        <v>#VALUE!</v>
      </c>
      <c r="F720" s="4" t="e">
        <f ca="1">SplineInterp(A720,INDIRECT("'" &amp;Master!$F$10&amp; "'!$A$2:$A$50"),INDIRECT("'" &amp;Master!$F$10&amp; "'!$F$2:$F$50"))</f>
        <v>#VALUE!</v>
      </c>
      <c r="G720" s="4" t="e">
        <f ca="1">SplineInterp(A720,INDIRECT("'" &amp;Master!$F$10&amp; "'!$A$2:$A$50"),INDIRECT("'" &amp;Master!$F$10&amp; "'!$G$2:$G$50"))</f>
        <v>#VALUE!</v>
      </c>
      <c r="H720" s="4" t="e">
        <f ca="1">SplineInterp(A720,INDIRECT("'" &amp;Master!$F$10&amp; "'!$A$2:$A$50"),INDIRECT("'" &amp;Master!$F$10&amp; "'!$H$2:$H$50"))</f>
        <v>#VALUE!</v>
      </c>
      <c r="I720" s="4" t="e">
        <f ca="1">IF(OR(INDIRECT("'" &amp; Master!$F$8 &amp; Master!$F$6 &amp; "'!B" &amp; ROW(B720))="", INDIRECT("'" &amp; Master!$F$8 &amp; Master!$F$6 &amp; "'!B" &amp; ROW(B720))=0), "", INDIRECT("'" &amp; Master!$F$8 &amp; Master!$F$6 &amp; "'!B" &amp; ROW(B720)))</f>
        <v>#VALUE!</v>
      </c>
      <c r="J720" s="9" t="e">
        <f t="shared" ca="1" si="77"/>
        <v>#VALUE!</v>
      </c>
      <c r="K720" s="7" t="e">
        <f t="shared" ca="1" si="78"/>
        <v>#VALUE!</v>
      </c>
      <c r="L720" s="7" t="e">
        <f t="shared" ca="1" si="79"/>
        <v>#VALUE!</v>
      </c>
      <c r="M720" s="7" t="e">
        <f t="shared" ca="1" si="80"/>
        <v>#VALUE!</v>
      </c>
      <c r="N720" s="7" t="e">
        <f t="shared" ca="1" si="81"/>
        <v>#VALUE!</v>
      </c>
      <c r="O720" s="7" t="e">
        <f t="shared" ca="1" si="82"/>
        <v>#VALUE!</v>
      </c>
      <c r="P720" s="7" t="e">
        <f t="shared" ca="1" si="83"/>
        <v>#VALUE!</v>
      </c>
    </row>
    <row r="721" spans="1:16" x14ac:dyDescent="0.25">
      <c r="A721" s="19" t="str">
        <f ca="1">IF(OR(INDIRECT("'" &amp; Master!$F$8 &amp; Master!$F$6 &amp; "'!A" &amp; ROW(A721))="", INDIRECT("'" &amp; Master!$F$8 &amp; Master!$F$6 &amp; "'!A" &amp; ROW(A721))=0), "", INDIRECT("'" &amp; Master!$F$8 &amp; Master!$F$6 &amp; "'!A" &amp; ROW(A721)))</f>
        <v/>
      </c>
      <c r="B721" s="4" t="e">
        <f ca="1">SplineInterp(INDIRECT("A" &amp; ROW()),INDIRECT("'" &amp;Master!$F$10&amp; "'!$A$2:$A$50"),INDIRECT("'" &amp;Master!$F$10&amp; "'!$B$2:$B$50"))</f>
        <v>#VALUE!</v>
      </c>
      <c r="C721" s="4" t="e">
        <f ca="1">SplineInterp(A721,INDIRECT("'" &amp;Master!$F$10&amp; "'!$A$2:$A$50"),INDIRECT("'" &amp;Master!$F$10&amp; "'!$C$2:$C$50"))</f>
        <v>#VALUE!</v>
      </c>
      <c r="D721" s="4" t="e">
        <f ca="1">SplineInterp(A721,INDIRECT("'" &amp;Master!$F$10&amp; "'!$A$2:$A$50"),INDIRECT("'" &amp;Master!$F$10&amp; "'!$D$2:$D$50"))</f>
        <v>#VALUE!</v>
      </c>
      <c r="E721" s="4" t="e">
        <f ca="1">SplineInterp(A721,INDIRECT("'" &amp;Master!$F$10&amp; "'!$A$2:$A$50"),INDIRECT("'" &amp;Master!$F$10&amp; "'!$E$2:$E$50"))</f>
        <v>#VALUE!</v>
      </c>
      <c r="F721" s="4" t="e">
        <f ca="1">SplineInterp(A721,INDIRECT("'" &amp;Master!$F$10&amp; "'!$A$2:$A$50"),INDIRECT("'" &amp;Master!$F$10&amp; "'!$F$2:$F$50"))</f>
        <v>#VALUE!</v>
      </c>
      <c r="G721" s="4" t="e">
        <f ca="1">SplineInterp(A721,INDIRECT("'" &amp;Master!$F$10&amp; "'!$A$2:$A$50"),INDIRECT("'" &amp;Master!$F$10&amp; "'!$G$2:$G$50"))</f>
        <v>#VALUE!</v>
      </c>
      <c r="H721" s="4" t="e">
        <f ca="1">SplineInterp(A721,INDIRECT("'" &amp;Master!$F$10&amp; "'!$A$2:$A$50"),INDIRECT("'" &amp;Master!$F$10&amp; "'!$H$2:$H$50"))</f>
        <v>#VALUE!</v>
      </c>
      <c r="I721" s="4" t="e">
        <f ca="1">IF(OR(INDIRECT("'" &amp; Master!$F$8 &amp; Master!$F$6 &amp; "'!B" &amp; ROW(B721))="", INDIRECT("'" &amp; Master!$F$8 &amp; Master!$F$6 &amp; "'!B" &amp; ROW(B721))=0), "", INDIRECT("'" &amp; Master!$F$8 &amp; Master!$F$6 &amp; "'!B" &amp; ROW(B721)))</f>
        <v>#VALUE!</v>
      </c>
      <c r="J721" s="9" t="e">
        <f t="shared" ca="1" si="77"/>
        <v>#VALUE!</v>
      </c>
      <c r="K721" s="7" t="e">
        <f t="shared" ca="1" si="78"/>
        <v>#VALUE!</v>
      </c>
      <c r="L721" s="7" t="e">
        <f t="shared" ca="1" si="79"/>
        <v>#VALUE!</v>
      </c>
      <c r="M721" s="7" t="e">
        <f t="shared" ca="1" si="80"/>
        <v>#VALUE!</v>
      </c>
      <c r="N721" s="7" t="e">
        <f t="shared" ca="1" si="81"/>
        <v>#VALUE!</v>
      </c>
      <c r="O721" s="7" t="e">
        <f t="shared" ca="1" si="82"/>
        <v>#VALUE!</v>
      </c>
      <c r="P721" s="7" t="e">
        <f t="shared" ca="1" si="83"/>
        <v>#VALUE!</v>
      </c>
    </row>
    <row r="722" spans="1:16" x14ac:dyDescent="0.25">
      <c r="A722" s="19" t="str">
        <f ca="1">IF(OR(INDIRECT("'" &amp; Master!$F$8 &amp; Master!$F$6 &amp; "'!A" &amp; ROW(A722))="", INDIRECT("'" &amp; Master!$F$8 &amp; Master!$F$6 &amp; "'!A" &amp; ROW(A722))=0), "", INDIRECT("'" &amp; Master!$F$8 &amp; Master!$F$6 &amp; "'!A" &amp; ROW(A722)))</f>
        <v/>
      </c>
      <c r="B722" s="4" t="e">
        <f ca="1">SplineInterp(INDIRECT("A" &amp; ROW()),INDIRECT("'" &amp;Master!$F$10&amp; "'!$A$2:$A$50"),INDIRECT("'" &amp;Master!$F$10&amp; "'!$B$2:$B$50"))</f>
        <v>#VALUE!</v>
      </c>
      <c r="C722" s="4" t="e">
        <f ca="1">SplineInterp(A722,INDIRECT("'" &amp;Master!$F$10&amp; "'!$A$2:$A$50"),INDIRECT("'" &amp;Master!$F$10&amp; "'!$C$2:$C$50"))</f>
        <v>#VALUE!</v>
      </c>
      <c r="D722" s="4" t="e">
        <f ca="1">SplineInterp(A722,INDIRECT("'" &amp;Master!$F$10&amp; "'!$A$2:$A$50"),INDIRECT("'" &amp;Master!$F$10&amp; "'!$D$2:$D$50"))</f>
        <v>#VALUE!</v>
      </c>
      <c r="E722" s="4" t="e">
        <f ca="1">SplineInterp(A722,INDIRECT("'" &amp;Master!$F$10&amp; "'!$A$2:$A$50"),INDIRECT("'" &amp;Master!$F$10&amp; "'!$E$2:$E$50"))</f>
        <v>#VALUE!</v>
      </c>
      <c r="F722" s="4" t="e">
        <f ca="1">SplineInterp(A722,INDIRECT("'" &amp;Master!$F$10&amp; "'!$A$2:$A$50"),INDIRECT("'" &amp;Master!$F$10&amp; "'!$F$2:$F$50"))</f>
        <v>#VALUE!</v>
      </c>
      <c r="G722" s="4" t="e">
        <f ca="1">SplineInterp(A722,INDIRECT("'" &amp;Master!$F$10&amp; "'!$A$2:$A$50"),INDIRECT("'" &amp;Master!$F$10&amp; "'!$G$2:$G$50"))</f>
        <v>#VALUE!</v>
      </c>
      <c r="H722" s="4" t="e">
        <f ca="1">SplineInterp(A722,INDIRECT("'" &amp;Master!$F$10&amp; "'!$A$2:$A$50"),INDIRECT("'" &amp;Master!$F$10&amp; "'!$H$2:$H$50"))</f>
        <v>#VALUE!</v>
      </c>
      <c r="I722" s="4" t="e">
        <f ca="1">IF(OR(INDIRECT("'" &amp; Master!$F$8 &amp; Master!$F$6 &amp; "'!B" &amp; ROW(B722))="", INDIRECT("'" &amp; Master!$F$8 &amp; Master!$F$6 &amp; "'!B" &amp; ROW(B722))=0), "", INDIRECT("'" &amp; Master!$F$8 &amp; Master!$F$6 &amp; "'!B" &amp; ROW(B722)))</f>
        <v>#VALUE!</v>
      </c>
      <c r="J722" s="9" t="e">
        <f t="shared" ca="1" si="77"/>
        <v>#VALUE!</v>
      </c>
      <c r="K722" s="7" t="e">
        <f t="shared" ca="1" si="78"/>
        <v>#VALUE!</v>
      </c>
      <c r="L722" s="7" t="e">
        <f t="shared" ca="1" si="79"/>
        <v>#VALUE!</v>
      </c>
      <c r="M722" s="7" t="e">
        <f t="shared" ca="1" si="80"/>
        <v>#VALUE!</v>
      </c>
      <c r="N722" s="7" t="e">
        <f t="shared" ca="1" si="81"/>
        <v>#VALUE!</v>
      </c>
      <c r="O722" s="7" t="e">
        <f t="shared" ca="1" si="82"/>
        <v>#VALUE!</v>
      </c>
      <c r="P722" s="7" t="e">
        <f t="shared" ca="1" si="83"/>
        <v>#VALUE!</v>
      </c>
    </row>
    <row r="723" spans="1:16" x14ac:dyDescent="0.25">
      <c r="A723" s="19" t="str">
        <f ca="1">IF(OR(INDIRECT("'" &amp; Master!$F$8 &amp; Master!$F$6 &amp; "'!A" &amp; ROW(A723))="", INDIRECT("'" &amp; Master!$F$8 &amp; Master!$F$6 &amp; "'!A" &amp; ROW(A723))=0), "", INDIRECT("'" &amp; Master!$F$8 &amp; Master!$F$6 &amp; "'!A" &amp; ROW(A723)))</f>
        <v/>
      </c>
      <c r="B723" s="4" t="e">
        <f ca="1">SplineInterp(INDIRECT("A" &amp; ROW()),INDIRECT("'" &amp;Master!$F$10&amp; "'!$A$2:$A$50"),INDIRECT("'" &amp;Master!$F$10&amp; "'!$B$2:$B$50"))</f>
        <v>#VALUE!</v>
      </c>
      <c r="C723" s="4" t="e">
        <f ca="1">SplineInterp(A723,INDIRECT("'" &amp;Master!$F$10&amp; "'!$A$2:$A$50"),INDIRECT("'" &amp;Master!$F$10&amp; "'!$C$2:$C$50"))</f>
        <v>#VALUE!</v>
      </c>
      <c r="D723" s="4" t="e">
        <f ca="1">SplineInterp(A723,INDIRECT("'" &amp;Master!$F$10&amp; "'!$A$2:$A$50"),INDIRECT("'" &amp;Master!$F$10&amp; "'!$D$2:$D$50"))</f>
        <v>#VALUE!</v>
      </c>
      <c r="E723" s="4" t="e">
        <f ca="1">SplineInterp(A723,INDIRECT("'" &amp;Master!$F$10&amp; "'!$A$2:$A$50"),INDIRECT("'" &amp;Master!$F$10&amp; "'!$E$2:$E$50"))</f>
        <v>#VALUE!</v>
      </c>
      <c r="F723" s="4" t="e">
        <f ca="1">SplineInterp(A723,INDIRECT("'" &amp;Master!$F$10&amp; "'!$A$2:$A$50"),INDIRECT("'" &amp;Master!$F$10&amp; "'!$F$2:$F$50"))</f>
        <v>#VALUE!</v>
      </c>
      <c r="G723" s="4" t="e">
        <f ca="1">SplineInterp(A723,INDIRECT("'" &amp;Master!$F$10&amp; "'!$A$2:$A$50"),INDIRECT("'" &amp;Master!$F$10&amp; "'!$G$2:$G$50"))</f>
        <v>#VALUE!</v>
      </c>
      <c r="H723" s="4" t="e">
        <f ca="1">SplineInterp(A723,INDIRECT("'" &amp;Master!$F$10&amp; "'!$A$2:$A$50"),INDIRECT("'" &amp;Master!$F$10&amp; "'!$H$2:$H$50"))</f>
        <v>#VALUE!</v>
      </c>
      <c r="I723" s="4" t="e">
        <f ca="1">IF(OR(INDIRECT("'" &amp; Master!$F$8 &amp; Master!$F$6 &amp; "'!B" &amp; ROW(B723))="", INDIRECT("'" &amp; Master!$F$8 &amp; Master!$F$6 &amp; "'!B" &amp; ROW(B723))=0), "", INDIRECT("'" &amp; Master!$F$8 &amp; Master!$F$6 &amp; "'!B" &amp; ROW(B723)))</f>
        <v>#VALUE!</v>
      </c>
      <c r="J723" s="9" t="e">
        <f t="shared" ca="1" si="77"/>
        <v>#VALUE!</v>
      </c>
      <c r="K723" s="7" t="e">
        <f t="shared" ca="1" si="78"/>
        <v>#VALUE!</v>
      </c>
      <c r="L723" s="7" t="e">
        <f t="shared" ca="1" si="79"/>
        <v>#VALUE!</v>
      </c>
      <c r="M723" s="7" t="e">
        <f t="shared" ca="1" si="80"/>
        <v>#VALUE!</v>
      </c>
      <c r="N723" s="7" t="e">
        <f t="shared" ca="1" si="81"/>
        <v>#VALUE!</v>
      </c>
      <c r="O723" s="7" t="e">
        <f t="shared" ca="1" si="82"/>
        <v>#VALUE!</v>
      </c>
      <c r="P723" s="7" t="e">
        <f t="shared" ca="1" si="83"/>
        <v>#VALUE!</v>
      </c>
    </row>
    <row r="724" spans="1:16" x14ac:dyDescent="0.25">
      <c r="A724" s="19" t="str">
        <f ca="1">IF(OR(INDIRECT("'" &amp; Master!$F$8 &amp; Master!$F$6 &amp; "'!A" &amp; ROW(A724))="", INDIRECT("'" &amp; Master!$F$8 &amp; Master!$F$6 &amp; "'!A" &amp; ROW(A724))=0), "", INDIRECT("'" &amp; Master!$F$8 &amp; Master!$F$6 &amp; "'!A" &amp; ROW(A724)))</f>
        <v/>
      </c>
      <c r="B724" s="4" t="e">
        <f ca="1">SplineInterp(INDIRECT("A" &amp; ROW()),INDIRECT("'" &amp;Master!$F$10&amp; "'!$A$2:$A$50"),INDIRECT("'" &amp;Master!$F$10&amp; "'!$B$2:$B$50"))</f>
        <v>#VALUE!</v>
      </c>
      <c r="C724" s="4" t="e">
        <f ca="1">SplineInterp(A724,INDIRECT("'" &amp;Master!$F$10&amp; "'!$A$2:$A$50"),INDIRECT("'" &amp;Master!$F$10&amp; "'!$C$2:$C$50"))</f>
        <v>#VALUE!</v>
      </c>
      <c r="D724" s="4" t="e">
        <f ca="1">SplineInterp(A724,INDIRECT("'" &amp;Master!$F$10&amp; "'!$A$2:$A$50"),INDIRECT("'" &amp;Master!$F$10&amp; "'!$D$2:$D$50"))</f>
        <v>#VALUE!</v>
      </c>
      <c r="E724" s="4" t="e">
        <f ca="1">SplineInterp(A724,INDIRECT("'" &amp;Master!$F$10&amp; "'!$A$2:$A$50"),INDIRECT("'" &amp;Master!$F$10&amp; "'!$E$2:$E$50"))</f>
        <v>#VALUE!</v>
      </c>
      <c r="F724" s="4" t="e">
        <f ca="1">SplineInterp(A724,INDIRECT("'" &amp;Master!$F$10&amp; "'!$A$2:$A$50"),INDIRECT("'" &amp;Master!$F$10&amp; "'!$F$2:$F$50"))</f>
        <v>#VALUE!</v>
      </c>
      <c r="G724" s="4" t="e">
        <f ca="1">SplineInterp(A724,INDIRECT("'" &amp;Master!$F$10&amp; "'!$A$2:$A$50"),INDIRECT("'" &amp;Master!$F$10&amp; "'!$G$2:$G$50"))</f>
        <v>#VALUE!</v>
      </c>
      <c r="H724" s="4" t="e">
        <f ca="1">SplineInterp(A724,INDIRECT("'" &amp;Master!$F$10&amp; "'!$A$2:$A$50"),INDIRECT("'" &amp;Master!$F$10&amp; "'!$H$2:$H$50"))</f>
        <v>#VALUE!</v>
      </c>
      <c r="I724" s="4" t="e">
        <f ca="1">IF(OR(INDIRECT("'" &amp; Master!$F$8 &amp; Master!$F$6 &amp; "'!B" &amp; ROW(B724))="", INDIRECT("'" &amp; Master!$F$8 &amp; Master!$F$6 &amp; "'!B" &amp; ROW(B724))=0), "", INDIRECT("'" &amp; Master!$F$8 &amp; Master!$F$6 &amp; "'!B" &amp; ROW(B724)))</f>
        <v>#VALUE!</v>
      </c>
      <c r="J724" s="9" t="e">
        <f t="shared" ca="1" si="77"/>
        <v>#VALUE!</v>
      </c>
      <c r="K724" s="7" t="e">
        <f t="shared" ca="1" si="78"/>
        <v>#VALUE!</v>
      </c>
      <c r="L724" s="7" t="e">
        <f t="shared" ca="1" si="79"/>
        <v>#VALUE!</v>
      </c>
      <c r="M724" s="7" t="e">
        <f t="shared" ca="1" si="80"/>
        <v>#VALUE!</v>
      </c>
      <c r="N724" s="7" t="e">
        <f t="shared" ca="1" si="81"/>
        <v>#VALUE!</v>
      </c>
      <c r="O724" s="7" t="e">
        <f t="shared" ca="1" si="82"/>
        <v>#VALUE!</v>
      </c>
      <c r="P724" s="7" t="e">
        <f t="shared" ca="1" si="83"/>
        <v>#VALUE!</v>
      </c>
    </row>
    <row r="725" spans="1:16" x14ac:dyDescent="0.25">
      <c r="A725" s="19" t="str">
        <f ca="1">IF(OR(INDIRECT("'" &amp; Master!$F$8 &amp; Master!$F$6 &amp; "'!A" &amp; ROW(A725))="", INDIRECT("'" &amp; Master!$F$8 &amp; Master!$F$6 &amp; "'!A" &amp; ROW(A725))=0), "", INDIRECT("'" &amp; Master!$F$8 &amp; Master!$F$6 &amp; "'!A" &amp; ROW(A725)))</f>
        <v/>
      </c>
      <c r="B725" s="4" t="e">
        <f ca="1">SplineInterp(INDIRECT("A" &amp; ROW()),INDIRECT("'" &amp;Master!$F$10&amp; "'!$A$2:$A$50"),INDIRECT("'" &amp;Master!$F$10&amp; "'!$B$2:$B$50"))</f>
        <v>#VALUE!</v>
      </c>
      <c r="C725" s="4" t="e">
        <f ca="1">SplineInterp(A725,INDIRECT("'" &amp;Master!$F$10&amp; "'!$A$2:$A$50"),INDIRECT("'" &amp;Master!$F$10&amp; "'!$C$2:$C$50"))</f>
        <v>#VALUE!</v>
      </c>
      <c r="D725" s="4" t="e">
        <f ca="1">SplineInterp(A725,INDIRECT("'" &amp;Master!$F$10&amp; "'!$A$2:$A$50"),INDIRECT("'" &amp;Master!$F$10&amp; "'!$D$2:$D$50"))</f>
        <v>#VALUE!</v>
      </c>
      <c r="E725" s="4" t="e">
        <f ca="1">SplineInterp(A725,INDIRECT("'" &amp;Master!$F$10&amp; "'!$A$2:$A$50"),INDIRECT("'" &amp;Master!$F$10&amp; "'!$E$2:$E$50"))</f>
        <v>#VALUE!</v>
      </c>
      <c r="F725" s="4" t="e">
        <f ca="1">SplineInterp(A725,INDIRECT("'" &amp;Master!$F$10&amp; "'!$A$2:$A$50"),INDIRECT("'" &amp;Master!$F$10&amp; "'!$F$2:$F$50"))</f>
        <v>#VALUE!</v>
      </c>
      <c r="G725" s="4" t="e">
        <f ca="1">SplineInterp(A725,INDIRECT("'" &amp;Master!$F$10&amp; "'!$A$2:$A$50"),INDIRECT("'" &amp;Master!$F$10&amp; "'!$G$2:$G$50"))</f>
        <v>#VALUE!</v>
      </c>
      <c r="H725" s="4" t="e">
        <f ca="1">SplineInterp(A725,INDIRECT("'" &amp;Master!$F$10&amp; "'!$A$2:$A$50"),INDIRECT("'" &amp;Master!$F$10&amp; "'!$H$2:$H$50"))</f>
        <v>#VALUE!</v>
      </c>
      <c r="I725" s="4" t="e">
        <f ca="1">IF(OR(INDIRECT("'" &amp; Master!$F$8 &amp; Master!$F$6 &amp; "'!B" &amp; ROW(B725))="", INDIRECT("'" &amp; Master!$F$8 &amp; Master!$F$6 &amp; "'!B" &amp; ROW(B725))=0), "", INDIRECT("'" &amp; Master!$F$8 &amp; Master!$F$6 &amp; "'!B" &amp; ROW(B725)))</f>
        <v>#VALUE!</v>
      </c>
      <c r="J725" s="9" t="e">
        <f t="shared" ca="1" si="77"/>
        <v>#VALUE!</v>
      </c>
      <c r="K725" s="7" t="e">
        <f t="shared" ca="1" si="78"/>
        <v>#VALUE!</v>
      </c>
      <c r="L725" s="7" t="e">
        <f t="shared" ca="1" si="79"/>
        <v>#VALUE!</v>
      </c>
      <c r="M725" s="7" t="e">
        <f t="shared" ca="1" si="80"/>
        <v>#VALUE!</v>
      </c>
      <c r="N725" s="7" t="e">
        <f t="shared" ca="1" si="81"/>
        <v>#VALUE!</v>
      </c>
      <c r="O725" s="7" t="e">
        <f t="shared" ca="1" si="82"/>
        <v>#VALUE!</v>
      </c>
      <c r="P725" s="7" t="e">
        <f t="shared" ca="1" si="83"/>
        <v>#VALUE!</v>
      </c>
    </row>
    <row r="726" spans="1:16" x14ac:dyDescent="0.25">
      <c r="A726" s="19" t="str">
        <f ca="1">IF(OR(INDIRECT("'" &amp; Master!$F$8 &amp; Master!$F$6 &amp; "'!A" &amp; ROW(A726))="", INDIRECT("'" &amp; Master!$F$8 &amp; Master!$F$6 &amp; "'!A" &amp; ROW(A726))=0), "", INDIRECT("'" &amp; Master!$F$8 &amp; Master!$F$6 &amp; "'!A" &amp; ROW(A726)))</f>
        <v/>
      </c>
      <c r="B726" s="4" t="e">
        <f ca="1">SplineInterp(INDIRECT("A" &amp; ROW()),INDIRECT("'" &amp;Master!$F$10&amp; "'!$A$2:$A$50"),INDIRECT("'" &amp;Master!$F$10&amp; "'!$B$2:$B$50"))</f>
        <v>#VALUE!</v>
      </c>
      <c r="C726" s="4" t="e">
        <f ca="1">SplineInterp(A726,INDIRECT("'" &amp;Master!$F$10&amp; "'!$A$2:$A$50"),INDIRECT("'" &amp;Master!$F$10&amp; "'!$C$2:$C$50"))</f>
        <v>#VALUE!</v>
      </c>
      <c r="D726" s="4" t="e">
        <f ca="1">SplineInterp(A726,INDIRECT("'" &amp;Master!$F$10&amp; "'!$A$2:$A$50"),INDIRECT("'" &amp;Master!$F$10&amp; "'!$D$2:$D$50"))</f>
        <v>#VALUE!</v>
      </c>
      <c r="E726" s="4" t="e">
        <f ca="1">SplineInterp(A726,INDIRECT("'" &amp;Master!$F$10&amp; "'!$A$2:$A$50"),INDIRECT("'" &amp;Master!$F$10&amp; "'!$E$2:$E$50"))</f>
        <v>#VALUE!</v>
      </c>
      <c r="F726" s="4" t="e">
        <f ca="1">SplineInterp(A726,INDIRECT("'" &amp;Master!$F$10&amp; "'!$A$2:$A$50"),INDIRECT("'" &amp;Master!$F$10&amp; "'!$F$2:$F$50"))</f>
        <v>#VALUE!</v>
      </c>
      <c r="G726" s="4" t="e">
        <f ca="1">SplineInterp(A726,INDIRECT("'" &amp;Master!$F$10&amp; "'!$A$2:$A$50"),INDIRECT("'" &amp;Master!$F$10&amp; "'!$G$2:$G$50"))</f>
        <v>#VALUE!</v>
      </c>
      <c r="H726" s="4" t="e">
        <f ca="1">SplineInterp(A726,INDIRECT("'" &amp;Master!$F$10&amp; "'!$A$2:$A$50"),INDIRECT("'" &amp;Master!$F$10&amp; "'!$H$2:$H$50"))</f>
        <v>#VALUE!</v>
      </c>
      <c r="I726" s="4" t="e">
        <f ca="1">IF(OR(INDIRECT("'" &amp; Master!$F$8 &amp; Master!$F$6 &amp; "'!B" &amp; ROW(B726))="", INDIRECT("'" &amp; Master!$F$8 &amp; Master!$F$6 &amp; "'!B" &amp; ROW(B726))=0), "", INDIRECT("'" &amp; Master!$F$8 &amp; Master!$F$6 &amp; "'!B" &amp; ROW(B726)))</f>
        <v>#VALUE!</v>
      </c>
      <c r="J726" s="9" t="e">
        <f t="shared" ca="1" si="77"/>
        <v>#VALUE!</v>
      </c>
      <c r="K726" s="7" t="e">
        <f t="shared" ca="1" si="78"/>
        <v>#VALUE!</v>
      </c>
      <c r="L726" s="7" t="e">
        <f t="shared" ca="1" si="79"/>
        <v>#VALUE!</v>
      </c>
      <c r="M726" s="7" t="e">
        <f t="shared" ca="1" si="80"/>
        <v>#VALUE!</v>
      </c>
      <c r="N726" s="7" t="e">
        <f t="shared" ca="1" si="81"/>
        <v>#VALUE!</v>
      </c>
      <c r="O726" s="7" t="e">
        <f t="shared" ca="1" si="82"/>
        <v>#VALUE!</v>
      </c>
      <c r="P726" s="7" t="e">
        <f t="shared" ca="1" si="83"/>
        <v>#VALUE!</v>
      </c>
    </row>
    <row r="727" spans="1:16" x14ac:dyDescent="0.25">
      <c r="A727" s="19" t="str">
        <f ca="1">IF(OR(INDIRECT("'" &amp; Master!$F$8 &amp; Master!$F$6 &amp; "'!A" &amp; ROW(A727))="", INDIRECT("'" &amp; Master!$F$8 &amp; Master!$F$6 &amp; "'!A" &amp; ROW(A727))=0), "", INDIRECT("'" &amp; Master!$F$8 &amp; Master!$F$6 &amp; "'!A" &amp; ROW(A727)))</f>
        <v/>
      </c>
      <c r="B727" s="4" t="e">
        <f ca="1">SplineInterp(INDIRECT("A" &amp; ROW()),INDIRECT("'" &amp;Master!$F$10&amp; "'!$A$2:$A$50"),INDIRECT("'" &amp;Master!$F$10&amp; "'!$B$2:$B$50"))</f>
        <v>#VALUE!</v>
      </c>
      <c r="C727" s="4" t="e">
        <f ca="1">SplineInterp(A727,INDIRECT("'" &amp;Master!$F$10&amp; "'!$A$2:$A$50"),INDIRECT("'" &amp;Master!$F$10&amp; "'!$C$2:$C$50"))</f>
        <v>#VALUE!</v>
      </c>
      <c r="D727" s="4" t="e">
        <f ca="1">SplineInterp(A727,INDIRECT("'" &amp;Master!$F$10&amp; "'!$A$2:$A$50"),INDIRECT("'" &amp;Master!$F$10&amp; "'!$D$2:$D$50"))</f>
        <v>#VALUE!</v>
      </c>
      <c r="E727" s="4" t="e">
        <f ca="1">SplineInterp(A727,INDIRECT("'" &amp;Master!$F$10&amp; "'!$A$2:$A$50"),INDIRECT("'" &amp;Master!$F$10&amp; "'!$E$2:$E$50"))</f>
        <v>#VALUE!</v>
      </c>
      <c r="F727" s="4" t="e">
        <f ca="1">SplineInterp(A727,INDIRECT("'" &amp;Master!$F$10&amp; "'!$A$2:$A$50"),INDIRECT("'" &amp;Master!$F$10&amp; "'!$F$2:$F$50"))</f>
        <v>#VALUE!</v>
      </c>
      <c r="G727" s="4" t="e">
        <f ca="1">SplineInterp(A727,INDIRECT("'" &amp;Master!$F$10&amp; "'!$A$2:$A$50"),INDIRECT("'" &amp;Master!$F$10&amp; "'!$G$2:$G$50"))</f>
        <v>#VALUE!</v>
      </c>
      <c r="H727" s="4" t="e">
        <f ca="1">SplineInterp(A727,INDIRECT("'" &amp;Master!$F$10&amp; "'!$A$2:$A$50"),INDIRECT("'" &amp;Master!$F$10&amp; "'!$H$2:$H$50"))</f>
        <v>#VALUE!</v>
      </c>
      <c r="I727" s="4" t="e">
        <f ca="1">IF(OR(INDIRECT("'" &amp; Master!$F$8 &amp; Master!$F$6 &amp; "'!B" &amp; ROW(B727))="", INDIRECT("'" &amp; Master!$F$8 &amp; Master!$F$6 &amp; "'!B" &amp; ROW(B727))=0), "", INDIRECT("'" &amp; Master!$F$8 &amp; Master!$F$6 &amp; "'!B" &amp; ROW(B727)))</f>
        <v>#VALUE!</v>
      </c>
      <c r="J727" s="9" t="e">
        <f t="shared" ca="1" si="77"/>
        <v>#VALUE!</v>
      </c>
      <c r="K727" s="7" t="e">
        <f t="shared" ca="1" si="78"/>
        <v>#VALUE!</v>
      </c>
      <c r="L727" s="7" t="e">
        <f t="shared" ca="1" si="79"/>
        <v>#VALUE!</v>
      </c>
      <c r="M727" s="7" t="e">
        <f t="shared" ca="1" si="80"/>
        <v>#VALUE!</v>
      </c>
      <c r="N727" s="7" t="e">
        <f t="shared" ca="1" si="81"/>
        <v>#VALUE!</v>
      </c>
      <c r="O727" s="7" t="e">
        <f t="shared" ca="1" si="82"/>
        <v>#VALUE!</v>
      </c>
      <c r="P727" s="7" t="e">
        <f t="shared" ca="1" si="83"/>
        <v>#VALUE!</v>
      </c>
    </row>
    <row r="728" spans="1:16" x14ac:dyDescent="0.25">
      <c r="A728" s="19" t="str">
        <f ca="1">IF(OR(INDIRECT("'" &amp; Master!$F$8 &amp; Master!$F$6 &amp; "'!A" &amp; ROW(A728))="", INDIRECT("'" &amp; Master!$F$8 &amp; Master!$F$6 &amp; "'!A" &amp; ROW(A728))=0), "", INDIRECT("'" &amp; Master!$F$8 &amp; Master!$F$6 &amp; "'!A" &amp; ROW(A728)))</f>
        <v/>
      </c>
      <c r="B728" s="4" t="e">
        <f ca="1">SplineInterp(INDIRECT("A" &amp; ROW()),INDIRECT("'" &amp;Master!$F$10&amp; "'!$A$2:$A$50"),INDIRECT("'" &amp;Master!$F$10&amp; "'!$B$2:$B$50"))</f>
        <v>#VALUE!</v>
      </c>
      <c r="C728" s="4" t="e">
        <f ca="1">SplineInterp(A728,INDIRECT("'" &amp;Master!$F$10&amp; "'!$A$2:$A$50"),INDIRECT("'" &amp;Master!$F$10&amp; "'!$C$2:$C$50"))</f>
        <v>#VALUE!</v>
      </c>
      <c r="D728" s="4" t="e">
        <f ca="1">SplineInterp(A728,INDIRECT("'" &amp;Master!$F$10&amp; "'!$A$2:$A$50"),INDIRECT("'" &amp;Master!$F$10&amp; "'!$D$2:$D$50"))</f>
        <v>#VALUE!</v>
      </c>
      <c r="E728" s="4" t="e">
        <f ca="1">SplineInterp(A728,INDIRECT("'" &amp;Master!$F$10&amp; "'!$A$2:$A$50"),INDIRECT("'" &amp;Master!$F$10&amp; "'!$E$2:$E$50"))</f>
        <v>#VALUE!</v>
      </c>
      <c r="F728" s="4" t="e">
        <f ca="1">SplineInterp(A728,INDIRECT("'" &amp;Master!$F$10&amp; "'!$A$2:$A$50"),INDIRECT("'" &amp;Master!$F$10&amp; "'!$F$2:$F$50"))</f>
        <v>#VALUE!</v>
      </c>
      <c r="G728" s="4" t="e">
        <f ca="1">SplineInterp(A728,INDIRECT("'" &amp;Master!$F$10&amp; "'!$A$2:$A$50"),INDIRECT("'" &amp;Master!$F$10&amp; "'!$G$2:$G$50"))</f>
        <v>#VALUE!</v>
      </c>
      <c r="H728" s="4" t="e">
        <f ca="1">SplineInterp(A728,INDIRECT("'" &amp;Master!$F$10&amp; "'!$A$2:$A$50"),INDIRECT("'" &amp;Master!$F$10&amp; "'!$H$2:$H$50"))</f>
        <v>#VALUE!</v>
      </c>
      <c r="I728" s="4" t="e">
        <f ca="1">IF(OR(INDIRECT("'" &amp; Master!$F$8 &amp; Master!$F$6 &amp; "'!B" &amp; ROW(B728))="", INDIRECT("'" &amp; Master!$F$8 &amp; Master!$F$6 &amp; "'!B" &amp; ROW(B728))=0), "", INDIRECT("'" &amp; Master!$F$8 &amp; Master!$F$6 &amp; "'!B" &amp; ROW(B728)))</f>
        <v>#VALUE!</v>
      </c>
      <c r="J728" s="9" t="e">
        <f t="shared" ca="1" si="77"/>
        <v>#VALUE!</v>
      </c>
      <c r="K728" s="7" t="e">
        <f t="shared" ca="1" si="78"/>
        <v>#VALUE!</v>
      </c>
      <c r="L728" s="7" t="e">
        <f t="shared" ca="1" si="79"/>
        <v>#VALUE!</v>
      </c>
      <c r="M728" s="7" t="e">
        <f t="shared" ca="1" si="80"/>
        <v>#VALUE!</v>
      </c>
      <c r="N728" s="7" t="e">
        <f t="shared" ca="1" si="81"/>
        <v>#VALUE!</v>
      </c>
      <c r="O728" s="7" t="e">
        <f t="shared" ca="1" si="82"/>
        <v>#VALUE!</v>
      </c>
      <c r="P728" s="7" t="e">
        <f t="shared" ca="1" si="83"/>
        <v>#VALUE!</v>
      </c>
    </row>
    <row r="729" spans="1:16" x14ac:dyDescent="0.25">
      <c r="A729" s="19" t="str">
        <f ca="1">IF(OR(INDIRECT("'" &amp; Master!$F$8 &amp; Master!$F$6 &amp; "'!A" &amp; ROW(A729))="", INDIRECT("'" &amp; Master!$F$8 &amp; Master!$F$6 &amp; "'!A" &amp; ROW(A729))=0), "", INDIRECT("'" &amp; Master!$F$8 &amp; Master!$F$6 &amp; "'!A" &amp; ROW(A729)))</f>
        <v/>
      </c>
      <c r="B729" s="4" t="e">
        <f ca="1">SplineInterp(INDIRECT("A" &amp; ROW()),INDIRECT("'" &amp;Master!$F$10&amp; "'!$A$2:$A$50"),INDIRECT("'" &amp;Master!$F$10&amp; "'!$B$2:$B$50"))</f>
        <v>#VALUE!</v>
      </c>
      <c r="C729" s="4" t="e">
        <f ca="1">SplineInterp(A729,INDIRECT("'" &amp;Master!$F$10&amp; "'!$A$2:$A$50"),INDIRECT("'" &amp;Master!$F$10&amp; "'!$C$2:$C$50"))</f>
        <v>#VALUE!</v>
      </c>
      <c r="D729" s="4" t="e">
        <f ca="1">SplineInterp(A729,INDIRECT("'" &amp;Master!$F$10&amp; "'!$A$2:$A$50"),INDIRECT("'" &amp;Master!$F$10&amp; "'!$D$2:$D$50"))</f>
        <v>#VALUE!</v>
      </c>
      <c r="E729" s="4" t="e">
        <f ca="1">SplineInterp(A729,INDIRECT("'" &amp;Master!$F$10&amp; "'!$A$2:$A$50"),INDIRECT("'" &amp;Master!$F$10&amp; "'!$E$2:$E$50"))</f>
        <v>#VALUE!</v>
      </c>
      <c r="F729" s="4" t="e">
        <f ca="1">SplineInterp(A729,INDIRECT("'" &amp;Master!$F$10&amp; "'!$A$2:$A$50"),INDIRECT("'" &amp;Master!$F$10&amp; "'!$F$2:$F$50"))</f>
        <v>#VALUE!</v>
      </c>
      <c r="G729" s="4" t="e">
        <f ca="1">SplineInterp(A729,INDIRECT("'" &amp;Master!$F$10&amp; "'!$A$2:$A$50"),INDIRECT("'" &amp;Master!$F$10&amp; "'!$G$2:$G$50"))</f>
        <v>#VALUE!</v>
      </c>
      <c r="H729" s="4" t="e">
        <f ca="1">SplineInterp(A729,INDIRECT("'" &amp;Master!$F$10&amp; "'!$A$2:$A$50"),INDIRECT("'" &amp;Master!$F$10&amp; "'!$H$2:$H$50"))</f>
        <v>#VALUE!</v>
      </c>
      <c r="I729" s="4" t="e">
        <f ca="1">IF(OR(INDIRECT("'" &amp; Master!$F$8 &amp; Master!$F$6 &amp; "'!B" &amp; ROW(B729))="", INDIRECT("'" &amp; Master!$F$8 &amp; Master!$F$6 &amp; "'!B" &amp; ROW(B729))=0), "", INDIRECT("'" &amp; Master!$F$8 &amp; Master!$F$6 &amp; "'!B" &amp; ROW(B729)))</f>
        <v>#VALUE!</v>
      </c>
      <c r="J729" s="9" t="e">
        <f t="shared" ca="1" si="77"/>
        <v>#VALUE!</v>
      </c>
      <c r="K729" s="7" t="e">
        <f t="shared" ca="1" si="78"/>
        <v>#VALUE!</v>
      </c>
      <c r="L729" s="7" t="e">
        <f t="shared" ca="1" si="79"/>
        <v>#VALUE!</v>
      </c>
      <c r="M729" s="7" t="e">
        <f t="shared" ca="1" si="80"/>
        <v>#VALUE!</v>
      </c>
      <c r="N729" s="7" t="e">
        <f t="shared" ca="1" si="81"/>
        <v>#VALUE!</v>
      </c>
      <c r="O729" s="7" t="e">
        <f t="shared" ca="1" si="82"/>
        <v>#VALUE!</v>
      </c>
      <c r="P729" s="7" t="e">
        <f t="shared" ca="1" si="83"/>
        <v>#VALUE!</v>
      </c>
    </row>
    <row r="730" spans="1:16" x14ac:dyDescent="0.25">
      <c r="A730" s="19" t="str">
        <f ca="1">IF(OR(INDIRECT("'" &amp; Master!$F$8 &amp; Master!$F$6 &amp; "'!A" &amp; ROW(A730))="", INDIRECT("'" &amp; Master!$F$8 &amp; Master!$F$6 &amp; "'!A" &amp; ROW(A730))=0), "", INDIRECT("'" &amp; Master!$F$8 &amp; Master!$F$6 &amp; "'!A" &amp; ROW(A730)))</f>
        <v/>
      </c>
      <c r="B730" s="4" t="e">
        <f ca="1">SplineInterp(INDIRECT("A" &amp; ROW()),INDIRECT("'" &amp;Master!$F$10&amp; "'!$A$2:$A$50"),INDIRECT("'" &amp;Master!$F$10&amp; "'!$B$2:$B$50"))</f>
        <v>#VALUE!</v>
      </c>
      <c r="C730" s="4" t="e">
        <f ca="1">SplineInterp(A730,INDIRECT("'" &amp;Master!$F$10&amp; "'!$A$2:$A$50"),INDIRECT("'" &amp;Master!$F$10&amp; "'!$C$2:$C$50"))</f>
        <v>#VALUE!</v>
      </c>
      <c r="D730" s="4" t="e">
        <f ca="1">SplineInterp(A730,INDIRECT("'" &amp;Master!$F$10&amp; "'!$A$2:$A$50"),INDIRECT("'" &amp;Master!$F$10&amp; "'!$D$2:$D$50"))</f>
        <v>#VALUE!</v>
      </c>
      <c r="E730" s="4" t="e">
        <f ca="1">SplineInterp(A730,INDIRECT("'" &amp;Master!$F$10&amp; "'!$A$2:$A$50"),INDIRECT("'" &amp;Master!$F$10&amp; "'!$E$2:$E$50"))</f>
        <v>#VALUE!</v>
      </c>
      <c r="F730" s="4" t="e">
        <f ca="1">SplineInterp(A730,INDIRECT("'" &amp;Master!$F$10&amp; "'!$A$2:$A$50"),INDIRECT("'" &amp;Master!$F$10&amp; "'!$F$2:$F$50"))</f>
        <v>#VALUE!</v>
      </c>
      <c r="G730" s="4" t="e">
        <f ca="1">SplineInterp(A730,INDIRECT("'" &amp;Master!$F$10&amp; "'!$A$2:$A$50"),INDIRECT("'" &amp;Master!$F$10&amp; "'!$G$2:$G$50"))</f>
        <v>#VALUE!</v>
      </c>
      <c r="H730" s="4" t="e">
        <f ca="1">SplineInterp(A730,INDIRECT("'" &amp;Master!$F$10&amp; "'!$A$2:$A$50"),INDIRECT("'" &amp;Master!$F$10&amp; "'!$H$2:$H$50"))</f>
        <v>#VALUE!</v>
      </c>
      <c r="I730" s="4" t="e">
        <f ca="1">IF(OR(INDIRECT("'" &amp; Master!$F$8 &amp; Master!$F$6 &amp; "'!B" &amp; ROW(B730))="", INDIRECT("'" &amp; Master!$F$8 &amp; Master!$F$6 &amp; "'!B" &amp; ROW(B730))=0), "", INDIRECT("'" &amp; Master!$F$8 &amp; Master!$F$6 &amp; "'!B" &amp; ROW(B730)))</f>
        <v>#VALUE!</v>
      </c>
      <c r="J730" s="9" t="e">
        <f t="shared" ca="1" si="77"/>
        <v>#VALUE!</v>
      </c>
      <c r="K730" s="7" t="e">
        <f t="shared" ca="1" si="78"/>
        <v>#VALUE!</v>
      </c>
      <c r="L730" s="7" t="e">
        <f t="shared" ca="1" si="79"/>
        <v>#VALUE!</v>
      </c>
      <c r="M730" s="7" t="e">
        <f t="shared" ca="1" si="80"/>
        <v>#VALUE!</v>
      </c>
      <c r="N730" s="7" t="e">
        <f t="shared" ca="1" si="81"/>
        <v>#VALUE!</v>
      </c>
      <c r="O730" s="7" t="e">
        <f t="shared" ca="1" si="82"/>
        <v>#VALUE!</v>
      </c>
      <c r="P730" s="7" t="e">
        <f t="shared" ca="1" si="83"/>
        <v>#VALUE!</v>
      </c>
    </row>
    <row r="731" spans="1:16" x14ac:dyDescent="0.25">
      <c r="A731" s="19" t="str">
        <f ca="1">IF(OR(INDIRECT("'" &amp; Master!$F$8 &amp; Master!$F$6 &amp; "'!A" &amp; ROW(A731))="", INDIRECT("'" &amp; Master!$F$8 &amp; Master!$F$6 &amp; "'!A" &amp; ROW(A731))=0), "", INDIRECT("'" &amp; Master!$F$8 &amp; Master!$F$6 &amp; "'!A" &amp; ROW(A731)))</f>
        <v/>
      </c>
      <c r="B731" s="4" t="e">
        <f ca="1">SplineInterp(INDIRECT("A" &amp; ROW()),INDIRECT("'" &amp;Master!$F$10&amp; "'!$A$2:$A$50"),INDIRECT("'" &amp;Master!$F$10&amp; "'!$B$2:$B$50"))</f>
        <v>#VALUE!</v>
      </c>
      <c r="C731" s="4" t="e">
        <f ca="1">SplineInterp(A731,INDIRECT("'" &amp;Master!$F$10&amp; "'!$A$2:$A$50"),INDIRECT("'" &amp;Master!$F$10&amp; "'!$C$2:$C$50"))</f>
        <v>#VALUE!</v>
      </c>
      <c r="D731" s="4" t="e">
        <f ca="1">SplineInterp(A731,INDIRECT("'" &amp;Master!$F$10&amp; "'!$A$2:$A$50"),INDIRECT("'" &amp;Master!$F$10&amp; "'!$D$2:$D$50"))</f>
        <v>#VALUE!</v>
      </c>
      <c r="E731" s="4" t="e">
        <f ca="1">SplineInterp(A731,INDIRECT("'" &amp;Master!$F$10&amp; "'!$A$2:$A$50"),INDIRECT("'" &amp;Master!$F$10&amp; "'!$E$2:$E$50"))</f>
        <v>#VALUE!</v>
      </c>
      <c r="F731" s="4" t="e">
        <f ca="1">SplineInterp(A731,INDIRECT("'" &amp;Master!$F$10&amp; "'!$A$2:$A$50"),INDIRECT("'" &amp;Master!$F$10&amp; "'!$F$2:$F$50"))</f>
        <v>#VALUE!</v>
      </c>
      <c r="G731" s="4" t="e">
        <f ca="1">SplineInterp(A731,INDIRECT("'" &amp;Master!$F$10&amp; "'!$A$2:$A$50"),INDIRECT("'" &amp;Master!$F$10&amp; "'!$G$2:$G$50"))</f>
        <v>#VALUE!</v>
      </c>
      <c r="H731" s="4" t="e">
        <f ca="1">SplineInterp(A731,INDIRECT("'" &amp;Master!$F$10&amp; "'!$A$2:$A$50"),INDIRECT("'" &amp;Master!$F$10&amp; "'!$H$2:$H$50"))</f>
        <v>#VALUE!</v>
      </c>
      <c r="I731" s="4" t="e">
        <f ca="1">IF(OR(INDIRECT("'" &amp; Master!$F$8 &amp; Master!$F$6 &amp; "'!B" &amp; ROW(B731))="", INDIRECT("'" &amp; Master!$F$8 &amp; Master!$F$6 &amp; "'!B" &amp; ROW(B731))=0), "", INDIRECT("'" &amp; Master!$F$8 &amp; Master!$F$6 &amp; "'!B" &amp; ROW(B731)))</f>
        <v>#VALUE!</v>
      </c>
      <c r="J731" s="9" t="e">
        <f t="shared" ca="1" si="77"/>
        <v>#VALUE!</v>
      </c>
      <c r="K731" s="7" t="e">
        <f t="shared" ca="1" si="78"/>
        <v>#VALUE!</v>
      </c>
      <c r="L731" s="7" t="e">
        <f t="shared" ca="1" si="79"/>
        <v>#VALUE!</v>
      </c>
      <c r="M731" s="7" t="e">
        <f t="shared" ca="1" si="80"/>
        <v>#VALUE!</v>
      </c>
      <c r="N731" s="7" t="e">
        <f t="shared" ca="1" si="81"/>
        <v>#VALUE!</v>
      </c>
      <c r="O731" s="7" t="e">
        <f t="shared" ca="1" si="82"/>
        <v>#VALUE!</v>
      </c>
      <c r="P731" s="7" t="e">
        <f t="shared" ca="1" si="83"/>
        <v>#VALUE!</v>
      </c>
    </row>
    <row r="732" spans="1:16" x14ac:dyDescent="0.25">
      <c r="A732" s="19" t="str">
        <f ca="1">IF(OR(INDIRECT("'" &amp; Master!$F$8 &amp; Master!$F$6 &amp; "'!A" &amp; ROW(A732))="", INDIRECT("'" &amp; Master!$F$8 &amp; Master!$F$6 &amp; "'!A" &amp; ROW(A732))=0), "", INDIRECT("'" &amp; Master!$F$8 &amp; Master!$F$6 &amp; "'!A" &amp; ROW(A732)))</f>
        <v/>
      </c>
      <c r="B732" s="4" t="e">
        <f ca="1">SplineInterp(INDIRECT("A" &amp; ROW()),INDIRECT("'" &amp;Master!$F$10&amp; "'!$A$2:$A$50"),INDIRECT("'" &amp;Master!$F$10&amp; "'!$B$2:$B$50"))</f>
        <v>#VALUE!</v>
      </c>
      <c r="C732" s="4" t="e">
        <f ca="1">SplineInterp(A732,INDIRECT("'" &amp;Master!$F$10&amp; "'!$A$2:$A$50"),INDIRECT("'" &amp;Master!$F$10&amp; "'!$C$2:$C$50"))</f>
        <v>#VALUE!</v>
      </c>
      <c r="D732" s="4" t="e">
        <f ca="1">SplineInterp(A732,INDIRECT("'" &amp;Master!$F$10&amp; "'!$A$2:$A$50"),INDIRECT("'" &amp;Master!$F$10&amp; "'!$D$2:$D$50"))</f>
        <v>#VALUE!</v>
      </c>
      <c r="E732" s="4" t="e">
        <f ca="1">SplineInterp(A732,INDIRECT("'" &amp;Master!$F$10&amp; "'!$A$2:$A$50"),INDIRECT("'" &amp;Master!$F$10&amp; "'!$E$2:$E$50"))</f>
        <v>#VALUE!</v>
      </c>
      <c r="F732" s="4" t="e">
        <f ca="1">SplineInterp(A732,INDIRECT("'" &amp;Master!$F$10&amp; "'!$A$2:$A$50"),INDIRECT("'" &amp;Master!$F$10&amp; "'!$F$2:$F$50"))</f>
        <v>#VALUE!</v>
      </c>
      <c r="G732" s="4" t="e">
        <f ca="1">SplineInterp(A732,INDIRECT("'" &amp;Master!$F$10&amp; "'!$A$2:$A$50"),INDIRECT("'" &amp;Master!$F$10&amp; "'!$G$2:$G$50"))</f>
        <v>#VALUE!</v>
      </c>
      <c r="H732" s="4" t="e">
        <f ca="1">SplineInterp(A732,INDIRECT("'" &amp;Master!$F$10&amp; "'!$A$2:$A$50"),INDIRECT("'" &amp;Master!$F$10&amp; "'!$H$2:$H$50"))</f>
        <v>#VALUE!</v>
      </c>
      <c r="I732" s="4" t="e">
        <f ca="1">IF(OR(INDIRECT("'" &amp; Master!$F$8 &amp; Master!$F$6 &amp; "'!B" &amp; ROW(B732))="", INDIRECT("'" &amp; Master!$F$8 &amp; Master!$F$6 &amp; "'!B" &amp; ROW(B732))=0), "", INDIRECT("'" &amp; Master!$F$8 &amp; Master!$F$6 &amp; "'!B" &amp; ROW(B732)))</f>
        <v>#VALUE!</v>
      </c>
      <c r="J732" s="9" t="e">
        <f t="shared" ca="1" si="77"/>
        <v>#VALUE!</v>
      </c>
      <c r="K732" s="7" t="e">
        <f t="shared" ca="1" si="78"/>
        <v>#VALUE!</v>
      </c>
      <c r="L732" s="7" t="e">
        <f t="shared" ca="1" si="79"/>
        <v>#VALUE!</v>
      </c>
      <c r="M732" s="7" t="e">
        <f t="shared" ca="1" si="80"/>
        <v>#VALUE!</v>
      </c>
      <c r="N732" s="7" t="e">
        <f t="shared" ca="1" si="81"/>
        <v>#VALUE!</v>
      </c>
      <c r="O732" s="7" t="e">
        <f t="shared" ca="1" si="82"/>
        <v>#VALUE!</v>
      </c>
      <c r="P732" s="7" t="e">
        <f t="shared" ca="1" si="83"/>
        <v>#VALUE!</v>
      </c>
    </row>
    <row r="733" spans="1:16" x14ac:dyDescent="0.25">
      <c r="A733" s="19" t="str">
        <f ca="1">IF(OR(INDIRECT("'" &amp; Master!$F$8 &amp; Master!$F$6 &amp; "'!A" &amp; ROW(A733))="", INDIRECT("'" &amp; Master!$F$8 &amp; Master!$F$6 &amp; "'!A" &amp; ROW(A733))=0), "", INDIRECT("'" &amp; Master!$F$8 &amp; Master!$F$6 &amp; "'!A" &amp; ROW(A733)))</f>
        <v/>
      </c>
      <c r="B733" s="4" t="e">
        <f ca="1">SplineInterp(INDIRECT("A" &amp; ROW()),INDIRECT("'" &amp;Master!$F$10&amp; "'!$A$2:$A$50"),INDIRECT("'" &amp;Master!$F$10&amp; "'!$B$2:$B$50"))</f>
        <v>#VALUE!</v>
      </c>
      <c r="C733" s="4" t="e">
        <f ca="1">SplineInterp(A733,INDIRECT("'" &amp;Master!$F$10&amp; "'!$A$2:$A$50"),INDIRECT("'" &amp;Master!$F$10&amp; "'!$C$2:$C$50"))</f>
        <v>#VALUE!</v>
      </c>
      <c r="D733" s="4" t="e">
        <f ca="1">SplineInterp(A733,INDIRECT("'" &amp;Master!$F$10&amp; "'!$A$2:$A$50"),INDIRECT("'" &amp;Master!$F$10&amp; "'!$D$2:$D$50"))</f>
        <v>#VALUE!</v>
      </c>
      <c r="E733" s="4" t="e">
        <f ca="1">SplineInterp(A733,INDIRECT("'" &amp;Master!$F$10&amp; "'!$A$2:$A$50"),INDIRECT("'" &amp;Master!$F$10&amp; "'!$E$2:$E$50"))</f>
        <v>#VALUE!</v>
      </c>
      <c r="F733" s="4" t="e">
        <f ca="1">SplineInterp(A733,INDIRECT("'" &amp;Master!$F$10&amp; "'!$A$2:$A$50"),INDIRECT("'" &amp;Master!$F$10&amp; "'!$F$2:$F$50"))</f>
        <v>#VALUE!</v>
      </c>
      <c r="G733" s="4" t="e">
        <f ca="1">SplineInterp(A733,INDIRECT("'" &amp;Master!$F$10&amp; "'!$A$2:$A$50"),INDIRECT("'" &amp;Master!$F$10&amp; "'!$G$2:$G$50"))</f>
        <v>#VALUE!</v>
      </c>
      <c r="H733" s="4" t="e">
        <f ca="1">SplineInterp(A733,INDIRECT("'" &amp;Master!$F$10&amp; "'!$A$2:$A$50"),INDIRECT("'" &amp;Master!$F$10&amp; "'!$H$2:$H$50"))</f>
        <v>#VALUE!</v>
      </c>
      <c r="I733" s="4" t="e">
        <f ca="1">IF(OR(INDIRECT("'" &amp; Master!$F$8 &amp; Master!$F$6 &amp; "'!B" &amp; ROW(B733))="", INDIRECT("'" &amp; Master!$F$8 &amp; Master!$F$6 &amp; "'!B" &amp; ROW(B733))=0), "", INDIRECT("'" &amp; Master!$F$8 &amp; Master!$F$6 &amp; "'!B" &amp; ROW(B733)))</f>
        <v>#VALUE!</v>
      </c>
      <c r="J733" s="9" t="e">
        <f t="shared" ca="1" si="77"/>
        <v>#VALUE!</v>
      </c>
      <c r="K733" s="7" t="e">
        <f t="shared" ca="1" si="78"/>
        <v>#VALUE!</v>
      </c>
      <c r="L733" s="7" t="e">
        <f t="shared" ca="1" si="79"/>
        <v>#VALUE!</v>
      </c>
      <c r="M733" s="7" t="e">
        <f t="shared" ca="1" si="80"/>
        <v>#VALUE!</v>
      </c>
      <c r="N733" s="7" t="e">
        <f t="shared" ca="1" si="81"/>
        <v>#VALUE!</v>
      </c>
      <c r="O733" s="7" t="e">
        <f t="shared" ca="1" si="82"/>
        <v>#VALUE!</v>
      </c>
      <c r="P733" s="7" t="e">
        <f t="shared" ca="1" si="83"/>
        <v>#VALUE!</v>
      </c>
    </row>
    <row r="734" spans="1:16" x14ac:dyDescent="0.25">
      <c r="A734" s="19" t="str">
        <f ca="1">IF(OR(INDIRECT("'" &amp; Master!$F$8 &amp; Master!$F$6 &amp; "'!A" &amp; ROW(A734))="", INDIRECT("'" &amp; Master!$F$8 &amp; Master!$F$6 &amp; "'!A" &amp; ROW(A734))=0), "", INDIRECT("'" &amp; Master!$F$8 &amp; Master!$F$6 &amp; "'!A" &amp; ROW(A734)))</f>
        <v/>
      </c>
      <c r="B734" s="4" t="e">
        <f ca="1">SplineInterp(INDIRECT("A" &amp; ROW()),INDIRECT("'" &amp;Master!$F$10&amp; "'!$A$2:$A$50"),INDIRECT("'" &amp;Master!$F$10&amp; "'!$B$2:$B$50"))</f>
        <v>#VALUE!</v>
      </c>
      <c r="C734" s="4" t="e">
        <f ca="1">SplineInterp(A734,INDIRECT("'" &amp;Master!$F$10&amp; "'!$A$2:$A$50"),INDIRECT("'" &amp;Master!$F$10&amp; "'!$C$2:$C$50"))</f>
        <v>#VALUE!</v>
      </c>
      <c r="D734" s="4" t="e">
        <f ca="1">SplineInterp(A734,INDIRECT("'" &amp;Master!$F$10&amp; "'!$A$2:$A$50"),INDIRECT("'" &amp;Master!$F$10&amp; "'!$D$2:$D$50"))</f>
        <v>#VALUE!</v>
      </c>
      <c r="E734" s="4" t="e">
        <f ca="1">SplineInterp(A734,INDIRECT("'" &amp;Master!$F$10&amp; "'!$A$2:$A$50"),INDIRECT("'" &amp;Master!$F$10&amp; "'!$E$2:$E$50"))</f>
        <v>#VALUE!</v>
      </c>
      <c r="F734" s="4" t="e">
        <f ca="1">SplineInterp(A734,INDIRECT("'" &amp;Master!$F$10&amp; "'!$A$2:$A$50"),INDIRECT("'" &amp;Master!$F$10&amp; "'!$F$2:$F$50"))</f>
        <v>#VALUE!</v>
      </c>
      <c r="G734" s="4" t="e">
        <f ca="1">SplineInterp(A734,INDIRECT("'" &amp;Master!$F$10&amp; "'!$A$2:$A$50"),INDIRECT("'" &amp;Master!$F$10&amp; "'!$G$2:$G$50"))</f>
        <v>#VALUE!</v>
      </c>
      <c r="H734" s="4" t="e">
        <f ca="1">SplineInterp(A734,INDIRECT("'" &amp;Master!$F$10&amp; "'!$A$2:$A$50"),INDIRECT("'" &amp;Master!$F$10&amp; "'!$H$2:$H$50"))</f>
        <v>#VALUE!</v>
      </c>
      <c r="I734" s="4" t="e">
        <f ca="1">IF(OR(INDIRECT("'" &amp; Master!$F$8 &amp; Master!$F$6 &amp; "'!B" &amp; ROW(B734))="", INDIRECT("'" &amp; Master!$F$8 &amp; Master!$F$6 &amp; "'!B" &amp; ROW(B734))=0), "", INDIRECT("'" &amp; Master!$F$8 &amp; Master!$F$6 &amp; "'!B" &amp; ROW(B734)))</f>
        <v>#VALUE!</v>
      </c>
      <c r="J734" s="9" t="e">
        <f t="shared" ca="1" si="77"/>
        <v>#VALUE!</v>
      </c>
      <c r="K734" s="7" t="e">
        <f t="shared" ca="1" si="78"/>
        <v>#VALUE!</v>
      </c>
      <c r="L734" s="7" t="e">
        <f t="shared" ca="1" si="79"/>
        <v>#VALUE!</v>
      </c>
      <c r="M734" s="7" t="e">
        <f t="shared" ca="1" si="80"/>
        <v>#VALUE!</v>
      </c>
      <c r="N734" s="7" t="e">
        <f t="shared" ca="1" si="81"/>
        <v>#VALUE!</v>
      </c>
      <c r="O734" s="7" t="e">
        <f t="shared" ca="1" si="82"/>
        <v>#VALUE!</v>
      </c>
      <c r="P734" s="7" t="e">
        <f t="shared" ca="1" si="83"/>
        <v>#VALUE!</v>
      </c>
    </row>
    <row r="735" spans="1:16" x14ac:dyDescent="0.25">
      <c r="A735" s="19" t="str">
        <f ca="1">IF(OR(INDIRECT("'" &amp; Master!$F$8 &amp; Master!$F$6 &amp; "'!A" &amp; ROW(A735))="", INDIRECT("'" &amp; Master!$F$8 &amp; Master!$F$6 &amp; "'!A" &amp; ROW(A735))=0), "", INDIRECT("'" &amp; Master!$F$8 &amp; Master!$F$6 &amp; "'!A" &amp; ROW(A735)))</f>
        <v/>
      </c>
      <c r="B735" s="4" t="e">
        <f ca="1">SplineInterp(INDIRECT("A" &amp; ROW()),INDIRECT("'" &amp;Master!$F$10&amp; "'!$A$2:$A$50"),INDIRECT("'" &amp;Master!$F$10&amp; "'!$B$2:$B$50"))</f>
        <v>#VALUE!</v>
      </c>
      <c r="C735" s="4" t="e">
        <f ca="1">SplineInterp(A735,INDIRECT("'" &amp;Master!$F$10&amp; "'!$A$2:$A$50"),INDIRECT("'" &amp;Master!$F$10&amp; "'!$C$2:$C$50"))</f>
        <v>#VALUE!</v>
      </c>
      <c r="D735" s="4" t="e">
        <f ca="1">SplineInterp(A735,INDIRECT("'" &amp;Master!$F$10&amp; "'!$A$2:$A$50"),INDIRECT("'" &amp;Master!$F$10&amp; "'!$D$2:$D$50"))</f>
        <v>#VALUE!</v>
      </c>
      <c r="E735" s="4" t="e">
        <f ca="1">SplineInterp(A735,INDIRECT("'" &amp;Master!$F$10&amp; "'!$A$2:$A$50"),INDIRECT("'" &amp;Master!$F$10&amp; "'!$E$2:$E$50"))</f>
        <v>#VALUE!</v>
      </c>
      <c r="F735" s="4" t="e">
        <f ca="1">SplineInterp(A735,INDIRECT("'" &amp;Master!$F$10&amp; "'!$A$2:$A$50"),INDIRECT("'" &amp;Master!$F$10&amp; "'!$F$2:$F$50"))</f>
        <v>#VALUE!</v>
      </c>
      <c r="G735" s="4" t="e">
        <f ca="1">SplineInterp(A735,INDIRECT("'" &amp;Master!$F$10&amp; "'!$A$2:$A$50"),INDIRECT("'" &amp;Master!$F$10&amp; "'!$G$2:$G$50"))</f>
        <v>#VALUE!</v>
      </c>
      <c r="H735" s="4" t="e">
        <f ca="1">SplineInterp(A735,INDIRECT("'" &amp;Master!$F$10&amp; "'!$A$2:$A$50"),INDIRECT("'" &amp;Master!$F$10&amp; "'!$H$2:$H$50"))</f>
        <v>#VALUE!</v>
      </c>
      <c r="I735" s="4" t="e">
        <f ca="1">IF(OR(INDIRECT("'" &amp; Master!$F$8 &amp; Master!$F$6 &amp; "'!B" &amp; ROW(B735))="", INDIRECT("'" &amp; Master!$F$8 &amp; Master!$F$6 &amp; "'!B" &amp; ROW(B735))=0), "", INDIRECT("'" &amp; Master!$F$8 &amp; Master!$F$6 &amp; "'!B" &amp; ROW(B735)))</f>
        <v>#VALUE!</v>
      </c>
      <c r="J735" s="9" t="e">
        <f t="shared" ca="1" si="77"/>
        <v>#VALUE!</v>
      </c>
      <c r="K735" s="7" t="e">
        <f t="shared" ca="1" si="78"/>
        <v>#VALUE!</v>
      </c>
      <c r="L735" s="7" t="e">
        <f t="shared" ca="1" si="79"/>
        <v>#VALUE!</v>
      </c>
      <c r="M735" s="7" t="e">
        <f t="shared" ca="1" si="80"/>
        <v>#VALUE!</v>
      </c>
      <c r="N735" s="7" t="e">
        <f t="shared" ca="1" si="81"/>
        <v>#VALUE!</v>
      </c>
      <c r="O735" s="7" t="e">
        <f t="shared" ca="1" si="82"/>
        <v>#VALUE!</v>
      </c>
      <c r="P735" s="7" t="e">
        <f t="shared" ca="1" si="83"/>
        <v>#VALUE!</v>
      </c>
    </row>
    <row r="736" spans="1:16" x14ac:dyDescent="0.25">
      <c r="A736" s="19" t="str">
        <f ca="1">IF(OR(INDIRECT("'" &amp; Master!$F$8 &amp; Master!$F$6 &amp; "'!A" &amp; ROW(A736))="", INDIRECT("'" &amp; Master!$F$8 &amp; Master!$F$6 &amp; "'!A" &amp; ROW(A736))=0), "", INDIRECT("'" &amp; Master!$F$8 &amp; Master!$F$6 &amp; "'!A" &amp; ROW(A736)))</f>
        <v/>
      </c>
      <c r="B736" s="4" t="e">
        <f ca="1">SplineInterp(INDIRECT("A" &amp; ROW()),INDIRECT("'" &amp;Master!$F$10&amp; "'!$A$2:$A$50"),INDIRECT("'" &amp;Master!$F$10&amp; "'!$B$2:$B$50"))</f>
        <v>#VALUE!</v>
      </c>
      <c r="C736" s="4" t="e">
        <f ca="1">SplineInterp(A736,INDIRECT("'" &amp;Master!$F$10&amp; "'!$A$2:$A$50"),INDIRECT("'" &amp;Master!$F$10&amp; "'!$C$2:$C$50"))</f>
        <v>#VALUE!</v>
      </c>
      <c r="D736" s="4" t="e">
        <f ca="1">SplineInterp(A736,INDIRECT("'" &amp;Master!$F$10&amp; "'!$A$2:$A$50"),INDIRECT("'" &amp;Master!$F$10&amp; "'!$D$2:$D$50"))</f>
        <v>#VALUE!</v>
      </c>
      <c r="E736" s="4" t="e">
        <f ca="1">SplineInterp(A736,INDIRECT("'" &amp;Master!$F$10&amp; "'!$A$2:$A$50"),INDIRECT("'" &amp;Master!$F$10&amp; "'!$E$2:$E$50"))</f>
        <v>#VALUE!</v>
      </c>
      <c r="F736" s="4" t="e">
        <f ca="1">SplineInterp(A736,INDIRECT("'" &amp;Master!$F$10&amp; "'!$A$2:$A$50"),INDIRECT("'" &amp;Master!$F$10&amp; "'!$F$2:$F$50"))</f>
        <v>#VALUE!</v>
      </c>
      <c r="G736" s="4" t="e">
        <f ca="1">SplineInterp(A736,INDIRECT("'" &amp;Master!$F$10&amp; "'!$A$2:$A$50"),INDIRECT("'" &amp;Master!$F$10&amp; "'!$G$2:$G$50"))</f>
        <v>#VALUE!</v>
      </c>
      <c r="H736" s="4" t="e">
        <f ca="1">SplineInterp(A736,INDIRECT("'" &amp;Master!$F$10&amp; "'!$A$2:$A$50"),INDIRECT("'" &amp;Master!$F$10&amp; "'!$H$2:$H$50"))</f>
        <v>#VALUE!</v>
      </c>
      <c r="I736" s="4" t="e">
        <f ca="1">IF(OR(INDIRECT("'" &amp; Master!$F$8 &amp; Master!$F$6 &amp; "'!B" &amp; ROW(B736))="", INDIRECT("'" &amp; Master!$F$8 &amp; Master!$F$6 &amp; "'!B" &amp; ROW(B736))=0), "", INDIRECT("'" &amp; Master!$F$8 &amp; Master!$F$6 &amp; "'!B" &amp; ROW(B736)))</f>
        <v>#VALUE!</v>
      </c>
      <c r="J736" s="9" t="e">
        <f t="shared" ca="1" si="77"/>
        <v>#VALUE!</v>
      </c>
      <c r="K736" s="7" t="e">
        <f t="shared" ca="1" si="78"/>
        <v>#VALUE!</v>
      </c>
      <c r="L736" s="7" t="e">
        <f t="shared" ca="1" si="79"/>
        <v>#VALUE!</v>
      </c>
      <c r="M736" s="7" t="e">
        <f t="shared" ca="1" si="80"/>
        <v>#VALUE!</v>
      </c>
      <c r="N736" s="7" t="e">
        <f t="shared" ca="1" si="81"/>
        <v>#VALUE!</v>
      </c>
      <c r="O736" s="7" t="e">
        <f t="shared" ca="1" si="82"/>
        <v>#VALUE!</v>
      </c>
      <c r="P736" s="7" t="e">
        <f t="shared" ca="1" si="83"/>
        <v>#VALUE!</v>
      </c>
    </row>
    <row r="737" spans="1:16" x14ac:dyDescent="0.25">
      <c r="A737" s="19" t="str">
        <f ca="1">IF(OR(INDIRECT("'" &amp; Master!$F$8 &amp; Master!$F$6 &amp; "'!A" &amp; ROW(A737))="", INDIRECT("'" &amp; Master!$F$8 &amp; Master!$F$6 &amp; "'!A" &amp; ROW(A737))=0), "", INDIRECT("'" &amp; Master!$F$8 &amp; Master!$F$6 &amp; "'!A" &amp; ROW(A737)))</f>
        <v/>
      </c>
      <c r="B737" s="4" t="e">
        <f ca="1">SplineInterp(INDIRECT("A" &amp; ROW()),INDIRECT("'" &amp;Master!$F$10&amp; "'!$A$2:$A$50"),INDIRECT("'" &amp;Master!$F$10&amp; "'!$B$2:$B$50"))</f>
        <v>#VALUE!</v>
      </c>
      <c r="C737" s="4" t="e">
        <f ca="1">SplineInterp(A737,INDIRECT("'" &amp;Master!$F$10&amp; "'!$A$2:$A$50"),INDIRECT("'" &amp;Master!$F$10&amp; "'!$C$2:$C$50"))</f>
        <v>#VALUE!</v>
      </c>
      <c r="D737" s="4" t="e">
        <f ca="1">SplineInterp(A737,INDIRECT("'" &amp;Master!$F$10&amp; "'!$A$2:$A$50"),INDIRECT("'" &amp;Master!$F$10&amp; "'!$D$2:$D$50"))</f>
        <v>#VALUE!</v>
      </c>
      <c r="E737" s="4" t="e">
        <f ca="1">SplineInterp(A737,INDIRECT("'" &amp;Master!$F$10&amp; "'!$A$2:$A$50"),INDIRECT("'" &amp;Master!$F$10&amp; "'!$E$2:$E$50"))</f>
        <v>#VALUE!</v>
      </c>
      <c r="F737" s="4" t="e">
        <f ca="1">SplineInterp(A737,INDIRECT("'" &amp;Master!$F$10&amp; "'!$A$2:$A$50"),INDIRECT("'" &amp;Master!$F$10&amp; "'!$F$2:$F$50"))</f>
        <v>#VALUE!</v>
      </c>
      <c r="G737" s="4" t="e">
        <f ca="1">SplineInterp(A737,INDIRECT("'" &amp;Master!$F$10&amp; "'!$A$2:$A$50"),INDIRECT("'" &amp;Master!$F$10&amp; "'!$G$2:$G$50"))</f>
        <v>#VALUE!</v>
      </c>
      <c r="H737" s="4" t="e">
        <f ca="1">SplineInterp(A737,INDIRECT("'" &amp;Master!$F$10&amp; "'!$A$2:$A$50"),INDIRECT("'" &amp;Master!$F$10&amp; "'!$H$2:$H$50"))</f>
        <v>#VALUE!</v>
      </c>
      <c r="I737" s="4" t="e">
        <f ca="1">IF(OR(INDIRECT("'" &amp; Master!$F$8 &amp; Master!$F$6 &amp; "'!B" &amp; ROW(B737))="", INDIRECT("'" &amp; Master!$F$8 &amp; Master!$F$6 &amp; "'!B" &amp; ROW(B737))=0), "", INDIRECT("'" &amp; Master!$F$8 &amp; Master!$F$6 &amp; "'!B" &amp; ROW(B737)))</f>
        <v>#VALUE!</v>
      </c>
      <c r="J737" s="9" t="e">
        <f t="shared" ca="1" si="77"/>
        <v>#VALUE!</v>
      </c>
      <c r="K737" s="7" t="e">
        <f t="shared" ca="1" si="78"/>
        <v>#VALUE!</v>
      </c>
      <c r="L737" s="7" t="e">
        <f t="shared" ca="1" si="79"/>
        <v>#VALUE!</v>
      </c>
      <c r="M737" s="7" t="e">
        <f t="shared" ca="1" si="80"/>
        <v>#VALUE!</v>
      </c>
      <c r="N737" s="7" t="e">
        <f t="shared" ca="1" si="81"/>
        <v>#VALUE!</v>
      </c>
      <c r="O737" s="7" t="e">
        <f t="shared" ca="1" si="82"/>
        <v>#VALUE!</v>
      </c>
      <c r="P737" s="7" t="e">
        <f t="shared" ca="1" si="83"/>
        <v>#VALUE!</v>
      </c>
    </row>
    <row r="738" spans="1:16" x14ac:dyDescent="0.25">
      <c r="A738" s="19" t="str">
        <f ca="1">IF(OR(INDIRECT("'" &amp; Master!$F$8 &amp; Master!$F$6 &amp; "'!A" &amp; ROW(A738))="", INDIRECT("'" &amp; Master!$F$8 &amp; Master!$F$6 &amp; "'!A" &amp; ROW(A738))=0), "", INDIRECT("'" &amp; Master!$F$8 &amp; Master!$F$6 &amp; "'!A" &amp; ROW(A738)))</f>
        <v/>
      </c>
      <c r="B738" s="4" t="e">
        <f ca="1">SplineInterp(INDIRECT("A" &amp; ROW()),INDIRECT("'" &amp;Master!$F$10&amp; "'!$A$2:$A$50"),INDIRECT("'" &amp;Master!$F$10&amp; "'!$B$2:$B$50"))</f>
        <v>#VALUE!</v>
      </c>
      <c r="C738" s="4" t="e">
        <f ca="1">SplineInterp(A738,INDIRECT("'" &amp;Master!$F$10&amp; "'!$A$2:$A$50"),INDIRECT("'" &amp;Master!$F$10&amp; "'!$C$2:$C$50"))</f>
        <v>#VALUE!</v>
      </c>
      <c r="D738" s="4" t="e">
        <f ca="1">SplineInterp(A738,INDIRECT("'" &amp;Master!$F$10&amp; "'!$A$2:$A$50"),INDIRECT("'" &amp;Master!$F$10&amp; "'!$D$2:$D$50"))</f>
        <v>#VALUE!</v>
      </c>
      <c r="E738" s="4" t="e">
        <f ca="1">SplineInterp(A738,INDIRECT("'" &amp;Master!$F$10&amp; "'!$A$2:$A$50"),INDIRECT("'" &amp;Master!$F$10&amp; "'!$E$2:$E$50"))</f>
        <v>#VALUE!</v>
      </c>
      <c r="F738" s="4" t="e">
        <f ca="1">SplineInterp(A738,INDIRECT("'" &amp;Master!$F$10&amp; "'!$A$2:$A$50"),INDIRECT("'" &amp;Master!$F$10&amp; "'!$F$2:$F$50"))</f>
        <v>#VALUE!</v>
      </c>
      <c r="G738" s="4" t="e">
        <f ca="1">SplineInterp(A738,INDIRECT("'" &amp;Master!$F$10&amp; "'!$A$2:$A$50"),INDIRECT("'" &amp;Master!$F$10&amp; "'!$G$2:$G$50"))</f>
        <v>#VALUE!</v>
      </c>
      <c r="H738" s="4" t="e">
        <f ca="1">SplineInterp(A738,INDIRECT("'" &amp;Master!$F$10&amp; "'!$A$2:$A$50"),INDIRECT("'" &amp;Master!$F$10&amp; "'!$H$2:$H$50"))</f>
        <v>#VALUE!</v>
      </c>
      <c r="I738" s="4" t="e">
        <f ca="1">IF(OR(INDIRECT("'" &amp; Master!$F$8 &amp; Master!$F$6 &amp; "'!B" &amp; ROW(B738))="", INDIRECT("'" &amp; Master!$F$8 &amp; Master!$F$6 &amp; "'!B" &amp; ROW(B738))=0), "", INDIRECT("'" &amp; Master!$F$8 &amp; Master!$F$6 &amp; "'!B" &amp; ROW(B738)))</f>
        <v>#VALUE!</v>
      </c>
      <c r="J738" s="9" t="e">
        <f t="shared" ca="1" si="77"/>
        <v>#VALUE!</v>
      </c>
      <c r="K738" s="7" t="e">
        <f t="shared" ca="1" si="78"/>
        <v>#VALUE!</v>
      </c>
      <c r="L738" s="7" t="e">
        <f t="shared" ca="1" si="79"/>
        <v>#VALUE!</v>
      </c>
      <c r="M738" s="7" t="e">
        <f t="shared" ca="1" si="80"/>
        <v>#VALUE!</v>
      </c>
      <c r="N738" s="7" t="e">
        <f t="shared" ca="1" si="81"/>
        <v>#VALUE!</v>
      </c>
      <c r="O738" s="7" t="e">
        <f t="shared" ca="1" si="82"/>
        <v>#VALUE!</v>
      </c>
      <c r="P738" s="7" t="e">
        <f t="shared" ca="1" si="83"/>
        <v>#VALUE!</v>
      </c>
    </row>
    <row r="739" spans="1:16" x14ac:dyDescent="0.25">
      <c r="A739" s="19" t="str">
        <f ca="1">IF(OR(INDIRECT("'" &amp; Master!$F$8 &amp; Master!$F$6 &amp; "'!A" &amp; ROW(A739))="", INDIRECT("'" &amp; Master!$F$8 &amp; Master!$F$6 &amp; "'!A" &amp; ROW(A739))=0), "", INDIRECT("'" &amp; Master!$F$8 &amp; Master!$F$6 &amp; "'!A" &amp; ROW(A739)))</f>
        <v/>
      </c>
      <c r="B739" s="4" t="e">
        <f ca="1">SplineInterp(INDIRECT("A" &amp; ROW()),INDIRECT("'" &amp;Master!$F$10&amp; "'!$A$2:$A$50"),INDIRECT("'" &amp;Master!$F$10&amp; "'!$B$2:$B$50"))</f>
        <v>#VALUE!</v>
      </c>
      <c r="C739" s="4" t="e">
        <f ca="1">SplineInterp(A739,INDIRECT("'" &amp;Master!$F$10&amp; "'!$A$2:$A$50"),INDIRECT("'" &amp;Master!$F$10&amp; "'!$C$2:$C$50"))</f>
        <v>#VALUE!</v>
      </c>
      <c r="D739" s="4" t="e">
        <f ca="1">SplineInterp(A739,INDIRECT("'" &amp;Master!$F$10&amp; "'!$A$2:$A$50"),INDIRECT("'" &amp;Master!$F$10&amp; "'!$D$2:$D$50"))</f>
        <v>#VALUE!</v>
      </c>
      <c r="E739" s="4" t="e">
        <f ca="1">SplineInterp(A739,INDIRECT("'" &amp;Master!$F$10&amp; "'!$A$2:$A$50"),INDIRECT("'" &amp;Master!$F$10&amp; "'!$E$2:$E$50"))</f>
        <v>#VALUE!</v>
      </c>
      <c r="F739" s="4" t="e">
        <f ca="1">SplineInterp(A739,INDIRECT("'" &amp;Master!$F$10&amp; "'!$A$2:$A$50"),INDIRECT("'" &amp;Master!$F$10&amp; "'!$F$2:$F$50"))</f>
        <v>#VALUE!</v>
      </c>
      <c r="G739" s="4" t="e">
        <f ca="1">SplineInterp(A739,INDIRECT("'" &amp;Master!$F$10&amp; "'!$A$2:$A$50"),INDIRECT("'" &amp;Master!$F$10&amp; "'!$G$2:$G$50"))</f>
        <v>#VALUE!</v>
      </c>
      <c r="H739" s="4" t="e">
        <f ca="1">SplineInterp(A739,INDIRECT("'" &amp;Master!$F$10&amp; "'!$A$2:$A$50"),INDIRECT("'" &amp;Master!$F$10&amp; "'!$H$2:$H$50"))</f>
        <v>#VALUE!</v>
      </c>
      <c r="I739" s="4" t="e">
        <f ca="1">IF(OR(INDIRECT("'" &amp; Master!$F$8 &amp; Master!$F$6 &amp; "'!B" &amp; ROW(B739))="", INDIRECT("'" &amp; Master!$F$8 &amp; Master!$F$6 &amp; "'!B" &amp; ROW(B739))=0), "", INDIRECT("'" &amp; Master!$F$8 &amp; Master!$F$6 &amp; "'!B" &amp; ROW(B739)))</f>
        <v>#VALUE!</v>
      </c>
      <c r="J739" s="9" t="e">
        <f t="shared" ca="1" si="77"/>
        <v>#VALUE!</v>
      </c>
      <c r="K739" s="7" t="e">
        <f t="shared" ca="1" si="78"/>
        <v>#VALUE!</v>
      </c>
      <c r="L739" s="7" t="e">
        <f t="shared" ca="1" si="79"/>
        <v>#VALUE!</v>
      </c>
      <c r="M739" s="7" t="e">
        <f t="shared" ca="1" si="80"/>
        <v>#VALUE!</v>
      </c>
      <c r="N739" s="7" t="e">
        <f t="shared" ca="1" si="81"/>
        <v>#VALUE!</v>
      </c>
      <c r="O739" s="7" t="e">
        <f t="shared" ca="1" si="82"/>
        <v>#VALUE!</v>
      </c>
      <c r="P739" s="7" t="e">
        <f t="shared" ca="1" si="83"/>
        <v>#VALUE!</v>
      </c>
    </row>
    <row r="740" spans="1:16" x14ac:dyDescent="0.25">
      <c r="A740" s="19" t="str">
        <f ca="1">IF(OR(INDIRECT("'" &amp; Master!$F$8 &amp; Master!$F$6 &amp; "'!A" &amp; ROW(A740))="", INDIRECT("'" &amp; Master!$F$8 &amp; Master!$F$6 &amp; "'!A" &amp; ROW(A740))=0), "", INDIRECT("'" &amp; Master!$F$8 &amp; Master!$F$6 &amp; "'!A" &amp; ROW(A740)))</f>
        <v/>
      </c>
      <c r="B740" s="4" t="e">
        <f ca="1">SplineInterp(INDIRECT("A" &amp; ROW()),INDIRECT("'" &amp;Master!$F$10&amp; "'!$A$2:$A$50"),INDIRECT("'" &amp;Master!$F$10&amp; "'!$B$2:$B$50"))</f>
        <v>#VALUE!</v>
      </c>
      <c r="C740" s="4" t="e">
        <f ca="1">SplineInterp(A740,INDIRECT("'" &amp;Master!$F$10&amp; "'!$A$2:$A$50"),INDIRECT("'" &amp;Master!$F$10&amp; "'!$C$2:$C$50"))</f>
        <v>#VALUE!</v>
      </c>
      <c r="D740" s="4" t="e">
        <f ca="1">SplineInterp(A740,INDIRECT("'" &amp;Master!$F$10&amp; "'!$A$2:$A$50"),INDIRECT("'" &amp;Master!$F$10&amp; "'!$D$2:$D$50"))</f>
        <v>#VALUE!</v>
      </c>
      <c r="E740" s="4" t="e">
        <f ca="1">SplineInterp(A740,INDIRECT("'" &amp;Master!$F$10&amp; "'!$A$2:$A$50"),INDIRECT("'" &amp;Master!$F$10&amp; "'!$E$2:$E$50"))</f>
        <v>#VALUE!</v>
      </c>
      <c r="F740" s="4" t="e">
        <f ca="1">SplineInterp(A740,INDIRECT("'" &amp;Master!$F$10&amp; "'!$A$2:$A$50"),INDIRECT("'" &amp;Master!$F$10&amp; "'!$F$2:$F$50"))</f>
        <v>#VALUE!</v>
      </c>
      <c r="G740" s="4" t="e">
        <f ca="1">SplineInterp(A740,INDIRECT("'" &amp;Master!$F$10&amp; "'!$A$2:$A$50"),INDIRECT("'" &amp;Master!$F$10&amp; "'!$G$2:$G$50"))</f>
        <v>#VALUE!</v>
      </c>
      <c r="H740" s="4" t="e">
        <f ca="1">SplineInterp(A740,INDIRECT("'" &amp;Master!$F$10&amp; "'!$A$2:$A$50"),INDIRECT("'" &amp;Master!$F$10&amp; "'!$H$2:$H$50"))</f>
        <v>#VALUE!</v>
      </c>
      <c r="I740" s="4" t="e">
        <f ca="1">IF(OR(INDIRECT("'" &amp; Master!$F$8 &amp; Master!$F$6 &amp; "'!B" &amp; ROW(B740))="", INDIRECT("'" &amp; Master!$F$8 &amp; Master!$F$6 &amp; "'!B" &amp; ROW(B740))=0), "", INDIRECT("'" &amp; Master!$F$8 &amp; Master!$F$6 &amp; "'!B" &amp; ROW(B740)))</f>
        <v>#VALUE!</v>
      </c>
      <c r="J740" s="9" t="e">
        <f t="shared" ca="1" si="77"/>
        <v>#VALUE!</v>
      </c>
      <c r="K740" s="7" t="e">
        <f t="shared" ca="1" si="78"/>
        <v>#VALUE!</v>
      </c>
      <c r="L740" s="7" t="e">
        <f t="shared" ca="1" si="79"/>
        <v>#VALUE!</v>
      </c>
      <c r="M740" s="7" t="e">
        <f t="shared" ca="1" si="80"/>
        <v>#VALUE!</v>
      </c>
      <c r="N740" s="7" t="e">
        <f t="shared" ca="1" si="81"/>
        <v>#VALUE!</v>
      </c>
      <c r="O740" s="7" t="e">
        <f t="shared" ca="1" si="82"/>
        <v>#VALUE!</v>
      </c>
      <c r="P740" s="7" t="e">
        <f t="shared" ca="1" si="83"/>
        <v>#VALUE!</v>
      </c>
    </row>
    <row r="741" spans="1:16" x14ac:dyDescent="0.25">
      <c r="A741" s="19" t="str">
        <f ca="1">IF(OR(INDIRECT("'" &amp; Master!$F$8 &amp; Master!$F$6 &amp; "'!A" &amp; ROW(A741))="", INDIRECT("'" &amp; Master!$F$8 &amp; Master!$F$6 &amp; "'!A" &amp; ROW(A741))=0), "", INDIRECT("'" &amp; Master!$F$8 &amp; Master!$F$6 &amp; "'!A" &amp; ROW(A741)))</f>
        <v/>
      </c>
      <c r="B741" s="4" t="e">
        <f ca="1">SplineInterp(INDIRECT("A" &amp; ROW()),INDIRECT("'" &amp;Master!$F$10&amp; "'!$A$2:$A$50"),INDIRECT("'" &amp;Master!$F$10&amp; "'!$B$2:$B$50"))</f>
        <v>#VALUE!</v>
      </c>
      <c r="C741" s="4" t="e">
        <f ca="1">SplineInterp(A741,INDIRECT("'" &amp;Master!$F$10&amp; "'!$A$2:$A$50"),INDIRECT("'" &amp;Master!$F$10&amp; "'!$C$2:$C$50"))</f>
        <v>#VALUE!</v>
      </c>
      <c r="D741" s="4" t="e">
        <f ca="1">SplineInterp(A741,INDIRECT("'" &amp;Master!$F$10&amp; "'!$A$2:$A$50"),INDIRECT("'" &amp;Master!$F$10&amp; "'!$D$2:$D$50"))</f>
        <v>#VALUE!</v>
      </c>
      <c r="E741" s="4" t="e">
        <f ca="1">SplineInterp(A741,INDIRECT("'" &amp;Master!$F$10&amp; "'!$A$2:$A$50"),INDIRECT("'" &amp;Master!$F$10&amp; "'!$E$2:$E$50"))</f>
        <v>#VALUE!</v>
      </c>
      <c r="F741" s="4" t="e">
        <f ca="1">SplineInterp(A741,INDIRECT("'" &amp;Master!$F$10&amp; "'!$A$2:$A$50"),INDIRECT("'" &amp;Master!$F$10&amp; "'!$F$2:$F$50"))</f>
        <v>#VALUE!</v>
      </c>
      <c r="G741" s="4" t="e">
        <f ca="1">SplineInterp(A741,INDIRECT("'" &amp;Master!$F$10&amp; "'!$A$2:$A$50"),INDIRECT("'" &amp;Master!$F$10&amp; "'!$G$2:$G$50"))</f>
        <v>#VALUE!</v>
      </c>
      <c r="H741" s="4" t="e">
        <f ca="1">SplineInterp(A741,INDIRECT("'" &amp;Master!$F$10&amp; "'!$A$2:$A$50"),INDIRECT("'" &amp;Master!$F$10&amp; "'!$H$2:$H$50"))</f>
        <v>#VALUE!</v>
      </c>
      <c r="I741" s="4" t="e">
        <f ca="1">IF(OR(INDIRECT("'" &amp; Master!$F$8 &amp; Master!$F$6 &amp; "'!B" &amp; ROW(B741))="", INDIRECT("'" &amp; Master!$F$8 &amp; Master!$F$6 &amp; "'!B" &amp; ROW(B741))=0), "", INDIRECT("'" &amp; Master!$F$8 &amp; Master!$F$6 &amp; "'!B" &amp; ROW(B741)))</f>
        <v>#VALUE!</v>
      </c>
      <c r="J741" s="9" t="e">
        <f t="shared" ca="1" si="77"/>
        <v>#VALUE!</v>
      </c>
      <c r="K741" s="7" t="e">
        <f t="shared" ca="1" si="78"/>
        <v>#VALUE!</v>
      </c>
      <c r="L741" s="7" t="e">
        <f t="shared" ca="1" si="79"/>
        <v>#VALUE!</v>
      </c>
      <c r="M741" s="7" t="e">
        <f t="shared" ca="1" si="80"/>
        <v>#VALUE!</v>
      </c>
      <c r="N741" s="7" t="e">
        <f t="shared" ca="1" si="81"/>
        <v>#VALUE!</v>
      </c>
      <c r="O741" s="7" t="e">
        <f t="shared" ca="1" si="82"/>
        <v>#VALUE!</v>
      </c>
      <c r="P741" s="7" t="e">
        <f t="shared" ca="1" si="83"/>
        <v>#VALUE!</v>
      </c>
    </row>
    <row r="742" spans="1:16" x14ac:dyDescent="0.25">
      <c r="A742" s="19" t="str">
        <f ca="1">IF(OR(INDIRECT("'" &amp; Master!$F$8 &amp; Master!$F$6 &amp; "'!A" &amp; ROW(A742))="", INDIRECT("'" &amp; Master!$F$8 &amp; Master!$F$6 &amp; "'!A" &amp; ROW(A742))=0), "", INDIRECT("'" &amp; Master!$F$8 &amp; Master!$F$6 &amp; "'!A" &amp; ROW(A742)))</f>
        <v/>
      </c>
      <c r="B742" s="4" t="e">
        <f ca="1">SplineInterp(INDIRECT("A" &amp; ROW()),INDIRECT("'" &amp;Master!$F$10&amp; "'!$A$2:$A$50"),INDIRECT("'" &amp;Master!$F$10&amp; "'!$B$2:$B$50"))</f>
        <v>#VALUE!</v>
      </c>
      <c r="C742" s="4" t="e">
        <f ca="1">SplineInterp(A742,INDIRECT("'" &amp;Master!$F$10&amp; "'!$A$2:$A$50"),INDIRECT("'" &amp;Master!$F$10&amp; "'!$C$2:$C$50"))</f>
        <v>#VALUE!</v>
      </c>
      <c r="D742" s="4" t="e">
        <f ca="1">SplineInterp(A742,INDIRECT("'" &amp;Master!$F$10&amp; "'!$A$2:$A$50"),INDIRECT("'" &amp;Master!$F$10&amp; "'!$D$2:$D$50"))</f>
        <v>#VALUE!</v>
      </c>
      <c r="E742" s="4" t="e">
        <f ca="1">SplineInterp(A742,INDIRECT("'" &amp;Master!$F$10&amp; "'!$A$2:$A$50"),INDIRECT("'" &amp;Master!$F$10&amp; "'!$E$2:$E$50"))</f>
        <v>#VALUE!</v>
      </c>
      <c r="F742" s="4" t="e">
        <f ca="1">SplineInterp(A742,INDIRECT("'" &amp;Master!$F$10&amp; "'!$A$2:$A$50"),INDIRECT("'" &amp;Master!$F$10&amp; "'!$F$2:$F$50"))</f>
        <v>#VALUE!</v>
      </c>
      <c r="G742" s="4" t="e">
        <f ca="1">SplineInterp(A742,INDIRECT("'" &amp;Master!$F$10&amp; "'!$A$2:$A$50"),INDIRECT("'" &amp;Master!$F$10&amp; "'!$G$2:$G$50"))</f>
        <v>#VALUE!</v>
      </c>
      <c r="H742" s="4" t="e">
        <f ca="1">SplineInterp(A742,INDIRECT("'" &amp;Master!$F$10&amp; "'!$A$2:$A$50"),INDIRECT("'" &amp;Master!$F$10&amp; "'!$H$2:$H$50"))</f>
        <v>#VALUE!</v>
      </c>
      <c r="I742" s="4" t="e">
        <f ca="1">IF(OR(INDIRECT("'" &amp; Master!$F$8 &amp; Master!$F$6 &amp; "'!B" &amp; ROW(B742))="", INDIRECT("'" &amp; Master!$F$8 &amp; Master!$F$6 &amp; "'!B" &amp; ROW(B742))=0), "", INDIRECT("'" &amp; Master!$F$8 &amp; Master!$F$6 &amp; "'!B" &amp; ROW(B742)))</f>
        <v>#VALUE!</v>
      </c>
      <c r="J742" s="9" t="e">
        <f t="shared" ca="1" si="77"/>
        <v>#VALUE!</v>
      </c>
      <c r="K742" s="7" t="e">
        <f t="shared" ca="1" si="78"/>
        <v>#VALUE!</v>
      </c>
      <c r="L742" s="7" t="e">
        <f t="shared" ca="1" si="79"/>
        <v>#VALUE!</v>
      </c>
      <c r="M742" s="7" t="e">
        <f t="shared" ca="1" si="80"/>
        <v>#VALUE!</v>
      </c>
      <c r="N742" s="7" t="e">
        <f t="shared" ca="1" si="81"/>
        <v>#VALUE!</v>
      </c>
      <c r="O742" s="7" t="e">
        <f t="shared" ca="1" si="82"/>
        <v>#VALUE!</v>
      </c>
      <c r="P742" s="7" t="e">
        <f t="shared" ca="1" si="83"/>
        <v>#VALUE!</v>
      </c>
    </row>
    <row r="743" spans="1:16" x14ac:dyDescent="0.25">
      <c r="A743" s="19" t="str">
        <f ca="1">IF(OR(INDIRECT("'" &amp; Master!$F$8 &amp; Master!$F$6 &amp; "'!A" &amp; ROW(A743))="", INDIRECT("'" &amp; Master!$F$8 &amp; Master!$F$6 &amp; "'!A" &amp; ROW(A743))=0), "", INDIRECT("'" &amp; Master!$F$8 &amp; Master!$F$6 &amp; "'!A" &amp; ROW(A743)))</f>
        <v/>
      </c>
      <c r="B743" s="4" t="e">
        <f ca="1">SplineInterp(INDIRECT("A" &amp; ROW()),INDIRECT("'" &amp;Master!$F$10&amp; "'!$A$2:$A$50"),INDIRECT("'" &amp;Master!$F$10&amp; "'!$B$2:$B$50"))</f>
        <v>#VALUE!</v>
      </c>
      <c r="C743" s="4" t="e">
        <f ca="1">SplineInterp(A743,INDIRECT("'" &amp;Master!$F$10&amp; "'!$A$2:$A$50"),INDIRECT("'" &amp;Master!$F$10&amp; "'!$C$2:$C$50"))</f>
        <v>#VALUE!</v>
      </c>
      <c r="D743" s="4" t="e">
        <f ca="1">SplineInterp(A743,INDIRECT("'" &amp;Master!$F$10&amp; "'!$A$2:$A$50"),INDIRECT("'" &amp;Master!$F$10&amp; "'!$D$2:$D$50"))</f>
        <v>#VALUE!</v>
      </c>
      <c r="E743" s="4" t="e">
        <f ca="1">SplineInterp(A743,INDIRECT("'" &amp;Master!$F$10&amp; "'!$A$2:$A$50"),INDIRECT("'" &amp;Master!$F$10&amp; "'!$E$2:$E$50"))</f>
        <v>#VALUE!</v>
      </c>
      <c r="F743" s="4" t="e">
        <f ca="1">SplineInterp(A743,INDIRECT("'" &amp;Master!$F$10&amp; "'!$A$2:$A$50"),INDIRECT("'" &amp;Master!$F$10&amp; "'!$F$2:$F$50"))</f>
        <v>#VALUE!</v>
      </c>
      <c r="G743" s="4" t="e">
        <f ca="1">SplineInterp(A743,INDIRECT("'" &amp;Master!$F$10&amp; "'!$A$2:$A$50"),INDIRECT("'" &amp;Master!$F$10&amp; "'!$G$2:$G$50"))</f>
        <v>#VALUE!</v>
      </c>
      <c r="H743" s="4" t="e">
        <f ca="1">SplineInterp(A743,INDIRECT("'" &amp;Master!$F$10&amp; "'!$A$2:$A$50"),INDIRECT("'" &amp;Master!$F$10&amp; "'!$H$2:$H$50"))</f>
        <v>#VALUE!</v>
      </c>
      <c r="I743" s="4" t="e">
        <f ca="1">IF(OR(INDIRECT("'" &amp; Master!$F$8 &amp; Master!$F$6 &amp; "'!B" &amp; ROW(B743))="", INDIRECT("'" &amp; Master!$F$8 &amp; Master!$F$6 &amp; "'!B" &amp; ROW(B743))=0), "", INDIRECT("'" &amp; Master!$F$8 &amp; Master!$F$6 &amp; "'!B" &amp; ROW(B743)))</f>
        <v>#VALUE!</v>
      </c>
      <c r="J743" s="9" t="e">
        <f t="shared" ca="1" si="77"/>
        <v>#VALUE!</v>
      </c>
      <c r="K743" s="7" t="e">
        <f t="shared" ca="1" si="78"/>
        <v>#VALUE!</v>
      </c>
      <c r="L743" s="7" t="e">
        <f t="shared" ca="1" si="79"/>
        <v>#VALUE!</v>
      </c>
      <c r="M743" s="7" t="e">
        <f t="shared" ca="1" si="80"/>
        <v>#VALUE!</v>
      </c>
      <c r="N743" s="7" t="e">
        <f t="shared" ca="1" si="81"/>
        <v>#VALUE!</v>
      </c>
      <c r="O743" s="7" t="e">
        <f t="shared" ca="1" si="82"/>
        <v>#VALUE!</v>
      </c>
      <c r="P743" s="7" t="e">
        <f t="shared" ca="1" si="83"/>
        <v>#VALUE!</v>
      </c>
    </row>
    <row r="744" spans="1:16" x14ac:dyDescent="0.25">
      <c r="A744" s="19" t="str">
        <f ca="1">IF(OR(INDIRECT("'" &amp; Master!$F$8 &amp; Master!$F$6 &amp; "'!A" &amp; ROW(A744))="", INDIRECT("'" &amp; Master!$F$8 &amp; Master!$F$6 &amp; "'!A" &amp; ROW(A744))=0), "", INDIRECT("'" &amp; Master!$F$8 &amp; Master!$F$6 &amp; "'!A" &amp; ROW(A744)))</f>
        <v/>
      </c>
      <c r="B744" s="4" t="e">
        <f ca="1">SplineInterp(INDIRECT("A" &amp; ROW()),INDIRECT("'" &amp;Master!$F$10&amp; "'!$A$2:$A$50"),INDIRECT("'" &amp;Master!$F$10&amp; "'!$B$2:$B$50"))</f>
        <v>#VALUE!</v>
      </c>
      <c r="C744" s="4" t="e">
        <f ca="1">SplineInterp(A744,INDIRECT("'" &amp;Master!$F$10&amp; "'!$A$2:$A$50"),INDIRECT("'" &amp;Master!$F$10&amp; "'!$C$2:$C$50"))</f>
        <v>#VALUE!</v>
      </c>
      <c r="D744" s="4" t="e">
        <f ca="1">SplineInterp(A744,INDIRECT("'" &amp;Master!$F$10&amp; "'!$A$2:$A$50"),INDIRECT("'" &amp;Master!$F$10&amp; "'!$D$2:$D$50"))</f>
        <v>#VALUE!</v>
      </c>
      <c r="E744" s="4" t="e">
        <f ca="1">SplineInterp(A744,INDIRECT("'" &amp;Master!$F$10&amp; "'!$A$2:$A$50"),INDIRECT("'" &amp;Master!$F$10&amp; "'!$E$2:$E$50"))</f>
        <v>#VALUE!</v>
      </c>
      <c r="F744" s="4" t="e">
        <f ca="1">SplineInterp(A744,INDIRECT("'" &amp;Master!$F$10&amp; "'!$A$2:$A$50"),INDIRECT("'" &amp;Master!$F$10&amp; "'!$F$2:$F$50"))</f>
        <v>#VALUE!</v>
      </c>
      <c r="G744" s="4" t="e">
        <f ca="1">SplineInterp(A744,INDIRECT("'" &amp;Master!$F$10&amp; "'!$A$2:$A$50"),INDIRECT("'" &amp;Master!$F$10&amp; "'!$G$2:$G$50"))</f>
        <v>#VALUE!</v>
      </c>
      <c r="H744" s="4" t="e">
        <f ca="1">SplineInterp(A744,INDIRECT("'" &amp;Master!$F$10&amp; "'!$A$2:$A$50"),INDIRECT("'" &amp;Master!$F$10&amp; "'!$H$2:$H$50"))</f>
        <v>#VALUE!</v>
      </c>
      <c r="I744" s="4" t="e">
        <f ca="1">IF(OR(INDIRECT("'" &amp; Master!$F$8 &amp; Master!$F$6 &amp; "'!B" &amp; ROW(B744))="", INDIRECT("'" &amp; Master!$F$8 &amp; Master!$F$6 &amp; "'!B" &amp; ROW(B744))=0), "", INDIRECT("'" &amp; Master!$F$8 &amp; Master!$F$6 &amp; "'!B" &amp; ROW(B744)))</f>
        <v>#VALUE!</v>
      </c>
      <c r="J744" s="9" t="e">
        <f t="shared" ca="1" si="77"/>
        <v>#VALUE!</v>
      </c>
      <c r="K744" s="7" t="e">
        <f t="shared" ca="1" si="78"/>
        <v>#VALUE!</v>
      </c>
      <c r="L744" s="7" t="e">
        <f t="shared" ca="1" si="79"/>
        <v>#VALUE!</v>
      </c>
      <c r="M744" s="7" t="e">
        <f t="shared" ca="1" si="80"/>
        <v>#VALUE!</v>
      </c>
      <c r="N744" s="7" t="e">
        <f t="shared" ca="1" si="81"/>
        <v>#VALUE!</v>
      </c>
      <c r="O744" s="7" t="e">
        <f t="shared" ca="1" si="82"/>
        <v>#VALUE!</v>
      </c>
      <c r="P744" s="7" t="e">
        <f t="shared" ca="1" si="83"/>
        <v>#VALUE!</v>
      </c>
    </row>
    <row r="745" spans="1:16" x14ac:dyDescent="0.25">
      <c r="A745" s="19" t="str">
        <f ca="1">IF(OR(INDIRECT("'" &amp; Master!$F$8 &amp; Master!$F$6 &amp; "'!A" &amp; ROW(A745))="", INDIRECT("'" &amp; Master!$F$8 &amp; Master!$F$6 &amp; "'!A" &amp; ROW(A745))=0), "", INDIRECT("'" &amp; Master!$F$8 &amp; Master!$F$6 &amp; "'!A" &amp; ROW(A745)))</f>
        <v/>
      </c>
      <c r="B745" s="4" t="e">
        <f ca="1">SplineInterp(INDIRECT("A" &amp; ROW()),INDIRECT("'" &amp;Master!$F$10&amp; "'!$A$2:$A$50"),INDIRECT("'" &amp;Master!$F$10&amp; "'!$B$2:$B$50"))</f>
        <v>#VALUE!</v>
      </c>
      <c r="C745" s="4" t="e">
        <f ca="1">SplineInterp(A745,INDIRECT("'" &amp;Master!$F$10&amp; "'!$A$2:$A$50"),INDIRECT("'" &amp;Master!$F$10&amp; "'!$C$2:$C$50"))</f>
        <v>#VALUE!</v>
      </c>
      <c r="D745" s="4" t="e">
        <f ca="1">SplineInterp(A745,INDIRECT("'" &amp;Master!$F$10&amp; "'!$A$2:$A$50"),INDIRECT("'" &amp;Master!$F$10&amp; "'!$D$2:$D$50"))</f>
        <v>#VALUE!</v>
      </c>
      <c r="E745" s="4" t="e">
        <f ca="1">SplineInterp(A745,INDIRECT("'" &amp;Master!$F$10&amp; "'!$A$2:$A$50"),INDIRECT("'" &amp;Master!$F$10&amp; "'!$E$2:$E$50"))</f>
        <v>#VALUE!</v>
      </c>
      <c r="F745" s="4" t="e">
        <f ca="1">SplineInterp(A745,INDIRECT("'" &amp;Master!$F$10&amp; "'!$A$2:$A$50"),INDIRECT("'" &amp;Master!$F$10&amp; "'!$F$2:$F$50"))</f>
        <v>#VALUE!</v>
      </c>
      <c r="G745" s="4" t="e">
        <f ca="1">SplineInterp(A745,INDIRECT("'" &amp;Master!$F$10&amp; "'!$A$2:$A$50"),INDIRECT("'" &amp;Master!$F$10&amp; "'!$G$2:$G$50"))</f>
        <v>#VALUE!</v>
      </c>
      <c r="H745" s="4" t="e">
        <f ca="1">SplineInterp(A745,INDIRECT("'" &amp;Master!$F$10&amp; "'!$A$2:$A$50"),INDIRECT("'" &amp;Master!$F$10&amp; "'!$H$2:$H$50"))</f>
        <v>#VALUE!</v>
      </c>
      <c r="I745" s="4" t="e">
        <f ca="1">IF(OR(INDIRECT("'" &amp; Master!$F$8 &amp; Master!$F$6 &amp; "'!B" &amp; ROW(B745))="", INDIRECT("'" &amp; Master!$F$8 &amp; Master!$F$6 &amp; "'!B" &amp; ROW(B745))=0), "", INDIRECT("'" &amp; Master!$F$8 &amp; Master!$F$6 &amp; "'!B" &amp; ROW(B745)))</f>
        <v>#VALUE!</v>
      </c>
      <c r="J745" s="9" t="e">
        <f t="shared" ca="1" si="77"/>
        <v>#VALUE!</v>
      </c>
      <c r="K745" s="7" t="e">
        <f t="shared" ca="1" si="78"/>
        <v>#VALUE!</v>
      </c>
      <c r="L745" s="7" t="e">
        <f t="shared" ca="1" si="79"/>
        <v>#VALUE!</v>
      </c>
      <c r="M745" s="7" t="e">
        <f t="shared" ca="1" si="80"/>
        <v>#VALUE!</v>
      </c>
      <c r="N745" s="7" t="e">
        <f t="shared" ca="1" si="81"/>
        <v>#VALUE!</v>
      </c>
      <c r="O745" s="7" t="e">
        <f t="shared" ca="1" si="82"/>
        <v>#VALUE!</v>
      </c>
      <c r="P745" s="7" t="e">
        <f t="shared" ca="1" si="83"/>
        <v>#VALUE!</v>
      </c>
    </row>
    <row r="746" spans="1:16" x14ac:dyDescent="0.25">
      <c r="A746" s="19" t="str">
        <f ca="1">IF(OR(INDIRECT("'" &amp; Master!$F$8 &amp; Master!$F$6 &amp; "'!A" &amp; ROW(A746))="", INDIRECT("'" &amp; Master!$F$8 &amp; Master!$F$6 &amp; "'!A" &amp; ROW(A746))=0), "", INDIRECT("'" &amp; Master!$F$8 &amp; Master!$F$6 &amp; "'!A" &amp; ROW(A746)))</f>
        <v/>
      </c>
      <c r="B746" s="4" t="e">
        <f ca="1">SplineInterp(INDIRECT("A" &amp; ROW()),INDIRECT("'" &amp;Master!$F$10&amp; "'!$A$2:$A$50"),INDIRECT("'" &amp;Master!$F$10&amp; "'!$B$2:$B$50"))</f>
        <v>#VALUE!</v>
      </c>
      <c r="C746" s="4" t="e">
        <f ca="1">SplineInterp(A746,INDIRECT("'" &amp;Master!$F$10&amp; "'!$A$2:$A$50"),INDIRECT("'" &amp;Master!$F$10&amp; "'!$C$2:$C$50"))</f>
        <v>#VALUE!</v>
      </c>
      <c r="D746" s="4" t="e">
        <f ca="1">SplineInterp(A746,INDIRECT("'" &amp;Master!$F$10&amp; "'!$A$2:$A$50"),INDIRECT("'" &amp;Master!$F$10&amp; "'!$D$2:$D$50"))</f>
        <v>#VALUE!</v>
      </c>
      <c r="E746" s="4" t="e">
        <f ca="1">SplineInterp(A746,INDIRECT("'" &amp;Master!$F$10&amp; "'!$A$2:$A$50"),INDIRECT("'" &amp;Master!$F$10&amp; "'!$E$2:$E$50"))</f>
        <v>#VALUE!</v>
      </c>
      <c r="F746" s="4" t="e">
        <f ca="1">SplineInterp(A746,INDIRECT("'" &amp;Master!$F$10&amp; "'!$A$2:$A$50"),INDIRECT("'" &amp;Master!$F$10&amp; "'!$F$2:$F$50"))</f>
        <v>#VALUE!</v>
      </c>
      <c r="G746" s="4" t="e">
        <f ca="1">SplineInterp(A746,INDIRECT("'" &amp;Master!$F$10&amp; "'!$A$2:$A$50"),INDIRECT("'" &amp;Master!$F$10&amp; "'!$G$2:$G$50"))</f>
        <v>#VALUE!</v>
      </c>
      <c r="H746" s="4" t="e">
        <f ca="1">SplineInterp(A746,INDIRECT("'" &amp;Master!$F$10&amp; "'!$A$2:$A$50"),INDIRECT("'" &amp;Master!$F$10&amp; "'!$H$2:$H$50"))</f>
        <v>#VALUE!</v>
      </c>
      <c r="I746" s="4" t="e">
        <f ca="1">IF(OR(INDIRECT("'" &amp; Master!$F$8 &amp; Master!$F$6 &amp; "'!B" &amp; ROW(B746))="", INDIRECT("'" &amp; Master!$F$8 &amp; Master!$F$6 &amp; "'!B" &amp; ROW(B746))=0), "", INDIRECT("'" &amp; Master!$F$8 &amp; Master!$F$6 &amp; "'!B" &amp; ROW(B746)))</f>
        <v>#VALUE!</v>
      </c>
      <c r="J746" s="9" t="e">
        <f t="shared" ca="1" si="77"/>
        <v>#VALUE!</v>
      </c>
      <c r="K746" s="7" t="e">
        <f t="shared" ca="1" si="78"/>
        <v>#VALUE!</v>
      </c>
      <c r="L746" s="7" t="e">
        <f t="shared" ca="1" si="79"/>
        <v>#VALUE!</v>
      </c>
      <c r="M746" s="7" t="e">
        <f t="shared" ca="1" si="80"/>
        <v>#VALUE!</v>
      </c>
      <c r="N746" s="7" t="e">
        <f t="shared" ca="1" si="81"/>
        <v>#VALUE!</v>
      </c>
      <c r="O746" s="7" t="e">
        <f t="shared" ca="1" si="82"/>
        <v>#VALUE!</v>
      </c>
      <c r="P746" s="7" t="e">
        <f t="shared" ca="1" si="83"/>
        <v>#VALUE!</v>
      </c>
    </row>
    <row r="747" spans="1:16" x14ac:dyDescent="0.25">
      <c r="A747" s="19" t="str">
        <f ca="1">IF(OR(INDIRECT("'" &amp; Master!$F$8 &amp; Master!$F$6 &amp; "'!A" &amp; ROW(A747))="", INDIRECT("'" &amp; Master!$F$8 &amp; Master!$F$6 &amp; "'!A" &amp; ROW(A747))=0), "", INDIRECT("'" &amp; Master!$F$8 &amp; Master!$F$6 &amp; "'!A" &amp; ROW(A747)))</f>
        <v/>
      </c>
      <c r="B747" s="4" t="e">
        <f ca="1">SplineInterp(INDIRECT("A" &amp; ROW()),INDIRECT("'" &amp;Master!$F$10&amp; "'!$A$2:$A$50"),INDIRECT("'" &amp;Master!$F$10&amp; "'!$B$2:$B$50"))</f>
        <v>#VALUE!</v>
      </c>
      <c r="C747" s="4" t="e">
        <f ca="1">SplineInterp(A747,INDIRECT("'" &amp;Master!$F$10&amp; "'!$A$2:$A$50"),INDIRECT("'" &amp;Master!$F$10&amp; "'!$C$2:$C$50"))</f>
        <v>#VALUE!</v>
      </c>
      <c r="D747" s="4" t="e">
        <f ca="1">SplineInterp(A747,INDIRECT("'" &amp;Master!$F$10&amp; "'!$A$2:$A$50"),INDIRECT("'" &amp;Master!$F$10&amp; "'!$D$2:$D$50"))</f>
        <v>#VALUE!</v>
      </c>
      <c r="E747" s="4" t="e">
        <f ca="1">SplineInterp(A747,INDIRECT("'" &amp;Master!$F$10&amp; "'!$A$2:$A$50"),INDIRECT("'" &amp;Master!$F$10&amp; "'!$E$2:$E$50"))</f>
        <v>#VALUE!</v>
      </c>
      <c r="F747" s="4" t="e">
        <f ca="1">SplineInterp(A747,INDIRECT("'" &amp;Master!$F$10&amp; "'!$A$2:$A$50"),INDIRECT("'" &amp;Master!$F$10&amp; "'!$F$2:$F$50"))</f>
        <v>#VALUE!</v>
      </c>
      <c r="G747" s="4" t="e">
        <f ca="1">SplineInterp(A747,INDIRECT("'" &amp;Master!$F$10&amp; "'!$A$2:$A$50"),INDIRECT("'" &amp;Master!$F$10&amp; "'!$G$2:$G$50"))</f>
        <v>#VALUE!</v>
      </c>
      <c r="H747" s="4" t="e">
        <f ca="1">SplineInterp(A747,INDIRECT("'" &amp;Master!$F$10&amp; "'!$A$2:$A$50"),INDIRECT("'" &amp;Master!$F$10&amp; "'!$H$2:$H$50"))</f>
        <v>#VALUE!</v>
      </c>
      <c r="I747" s="4" t="e">
        <f ca="1">IF(OR(INDIRECT("'" &amp; Master!$F$8 &amp; Master!$F$6 &amp; "'!B" &amp; ROW(B747))="", INDIRECT("'" &amp; Master!$F$8 &amp; Master!$F$6 &amp; "'!B" &amp; ROW(B747))=0), "", INDIRECT("'" &amp; Master!$F$8 &amp; Master!$F$6 &amp; "'!B" &amp; ROW(B747)))</f>
        <v>#VALUE!</v>
      </c>
      <c r="J747" s="9" t="e">
        <f t="shared" ca="1" si="77"/>
        <v>#VALUE!</v>
      </c>
      <c r="K747" s="7" t="e">
        <f t="shared" ca="1" si="78"/>
        <v>#VALUE!</v>
      </c>
      <c r="L747" s="7" t="e">
        <f t="shared" ca="1" si="79"/>
        <v>#VALUE!</v>
      </c>
      <c r="M747" s="7" t="e">
        <f t="shared" ca="1" si="80"/>
        <v>#VALUE!</v>
      </c>
      <c r="N747" s="7" t="e">
        <f t="shared" ca="1" si="81"/>
        <v>#VALUE!</v>
      </c>
      <c r="O747" s="7" t="e">
        <f t="shared" ca="1" si="82"/>
        <v>#VALUE!</v>
      </c>
      <c r="P747" s="7" t="e">
        <f t="shared" ca="1" si="83"/>
        <v>#VALUE!</v>
      </c>
    </row>
    <row r="748" spans="1:16" x14ac:dyDescent="0.25">
      <c r="A748" s="19" t="str">
        <f ca="1">IF(OR(INDIRECT("'" &amp; Master!$F$8 &amp; Master!$F$6 &amp; "'!A" &amp; ROW(A748))="", INDIRECT("'" &amp; Master!$F$8 &amp; Master!$F$6 &amp; "'!A" &amp; ROW(A748))=0), "", INDIRECT("'" &amp; Master!$F$8 &amp; Master!$F$6 &amp; "'!A" &amp; ROW(A748)))</f>
        <v/>
      </c>
      <c r="B748" s="4" t="e">
        <f ca="1">SplineInterp(INDIRECT("A" &amp; ROW()),INDIRECT("'" &amp;Master!$F$10&amp; "'!$A$2:$A$50"),INDIRECT("'" &amp;Master!$F$10&amp; "'!$B$2:$B$50"))</f>
        <v>#VALUE!</v>
      </c>
      <c r="C748" s="4" t="e">
        <f ca="1">SplineInterp(A748,INDIRECT("'" &amp;Master!$F$10&amp; "'!$A$2:$A$50"),INDIRECT("'" &amp;Master!$F$10&amp; "'!$C$2:$C$50"))</f>
        <v>#VALUE!</v>
      </c>
      <c r="D748" s="4" t="e">
        <f ca="1">SplineInterp(A748,INDIRECT("'" &amp;Master!$F$10&amp; "'!$A$2:$A$50"),INDIRECT("'" &amp;Master!$F$10&amp; "'!$D$2:$D$50"))</f>
        <v>#VALUE!</v>
      </c>
      <c r="E748" s="4" t="e">
        <f ca="1">SplineInterp(A748,INDIRECT("'" &amp;Master!$F$10&amp; "'!$A$2:$A$50"),INDIRECT("'" &amp;Master!$F$10&amp; "'!$E$2:$E$50"))</f>
        <v>#VALUE!</v>
      </c>
      <c r="F748" s="4" t="e">
        <f ca="1">SplineInterp(A748,INDIRECT("'" &amp;Master!$F$10&amp; "'!$A$2:$A$50"),INDIRECT("'" &amp;Master!$F$10&amp; "'!$F$2:$F$50"))</f>
        <v>#VALUE!</v>
      </c>
      <c r="G748" s="4" t="e">
        <f ca="1">SplineInterp(A748,INDIRECT("'" &amp;Master!$F$10&amp; "'!$A$2:$A$50"),INDIRECT("'" &amp;Master!$F$10&amp; "'!$G$2:$G$50"))</f>
        <v>#VALUE!</v>
      </c>
      <c r="H748" s="4" t="e">
        <f ca="1">SplineInterp(A748,INDIRECT("'" &amp;Master!$F$10&amp; "'!$A$2:$A$50"),INDIRECT("'" &amp;Master!$F$10&amp; "'!$H$2:$H$50"))</f>
        <v>#VALUE!</v>
      </c>
      <c r="I748" s="4" t="e">
        <f ca="1">IF(OR(INDIRECT("'" &amp; Master!$F$8 &amp; Master!$F$6 &amp; "'!B" &amp; ROW(B748))="", INDIRECT("'" &amp; Master!$F$8 &amp; Master!$F$6 &amp; "'!B" &amp; ROW(B748))=0), "", INDIRECT("'" &amp; Master!$F$8 &amp; Master!$F$6 &amp; "'!B" &amp; ROW(B748)))</f>
        <v>#VALUE!</v>
      </c>
      <c r="J748" s="9" t="e">
        <f t="shared" ca="1" si="77"/>
        <v>#VALUE!</v>
      </c>
      <c r="K748" s="7" t="e">
        <f t="shared" ca="1" si="78"/>
        <v>#VALUE!</v>
      </c>
      <c r="L748" s="7" t="e">
        <f t="shared" ca="1" si="79"/>
        <v>#VALUE!</v>
      </c>
      <c r="M748" s="7" t="e">
        <f t="shared" ca="1" si="80"/>
        <v>#VALUE!</v>
      </c>
      <c r="N748" s="7" t="e">
        <f t="shared" ca="1" si="81"/>
        <v>#VALUE!</v>
      </c>
      <c r="O748" s="7" t="e">
        <f t="shared" ca="1" si="82"/>
        <v>#VALUE!</v>
      </c>
      <c r="P748" s="7" t="e">
        <f t="shared" ca="1" si="83"/>
        <v>#VALUE!</v>
      </c>
    </row>
    <row r="749" spans="1:16" x14ac:dyDescent="0.25">
      <c r="A749" s="19" t="str">
        <f ca="1">IF(OR(INDIRECT("'" &amp; Master!$F$8 &amp; Master!$F$6 &amp; "'!A" &amp; ROW(A749))="", INDIRECT("'" &amp; Master!$F$8 &amp; Master!$F$6 &amp; "'!A" &amp; ROW(A749))=0), "", INDIRECT("'" &amp; Master!$F$8 &amp; Master!$F$6 &amp; "'!A" &amp; ROW(A749)))</f>
        <v/>
      </c>
      <c r="B749" s="4" t="e">
        <f ca="1">SplineInterp(INDIRECT("A" &amp; ROW()),INDIRECT("'" &amp;Master!$F$10&amp; "'!$A$2:$A$50"),INDIRECT("'" &amp;Master!$F$10&amp; "'!$B$2:$B$50"))</f>
        <v>#VALUE!</v>
      </c>
      <c r="C749" s="4" t="e">
        <f ca="1">SplineInterp(A749,INDIRECT("'" &amp;Master!$F$10&amp; "'!$A$2:$A$50"),INDIRECT("'" &amp;Master!$F$10&amp; "'!$C$2:$C$50"))</f>
        <v>#VALUE!</v>
      </c>
      <c r="D749" s="4" t="e">
        <f ca="1">SplineInterp(A749,INDIRECT("'" &amp;Master!$F$10&amp; "'!$A$2:$A$50"),INDIRECT("'" &amp;Master!$F$10&amp; "'!$D$2:$D$50"))</f>
        <v>#VALUE!</v>
      </c>
      <c r="E749" s="4" t="e">
        <f ca="1">SplineInterp(A749,INDIRECT("'" &amp;Master!$F$10&amp; "'!$A$2:$A$50"),INDIRECT("'" &amp;Master!$F$10&amp; "'!$E$2:$E$50"))</f>
        <v>#VALUE!</v>
      </c>
      <c r="F749" s="4" t="e">
        <f ca="1">SplineInterp(A749,INDIRECT("'" &amp;Master!$F$10&amp; "'!$A$2:$A$50"),INDIRECT("'" &amp;Master!$F$10&amp; "'!$F$2:$F$50"))</f>
        <v>#VALUE!</v>
      </c>
      <c r="G749" s="4" t="e">
        <f ca="1">SplineInterp(A749,INDIRECT("'" &amp;Master!$F$10&amp; "'!$A$2:$A$50"),INDIRECT("'" &amp;Master!$F$10&amp; "'!$G$2:$G$50"))</f>
        <v>#VALUE!</v>
      </c>
      <c r="H749" s="4" t="e">
        <f ca="1">SplineInterp(A749,INDIRECT("'" &amp;Master!$F$10&amp; "'!$A$2:$A$50"),INDIRECT("'" &amp;Master!$F$10&amp; "'!$H$2:$H$50"))</f>
        <v>#VALUE!</v>
      </c>
      <c r="I749" s="4" t="e">
        <f ca="1">IF(OR(INDIRECT("'" &amp; Master!$F$8 &amp; Master!$F$6 &amp; "'!B" &amp; ROW(B749))="", INDIRECT("'" &amp; Master!$F$8 &amp; Master!$F$6 &amp; "'!B" &amp; ROW(B749))=0), "", INDIRECT("'" &amp; Master!$F$8 &amp; Master!$F$6 &amp; "'!B" &amp; ROW(B749)))</f>
        <v>#VALUE!</v>
      </c>
      <c r="J749" s="9" t="e">
        <f t="shared" ca="1" si="77"/>
        <v>#VALUE!</v>
      </c>
      <c r="K749" s="7" t="e">
        <f t="shared" ca="1" si="78"/>
        <v>#VALUE!</v>
      </c>
      <c r="L749" s="7" t="e">
        <f t="shared" ca="1" si="79"/>
        <v>#VALUE!</v>
      </c>
      <c r="M749" s="7" t="e">
        <f t="shared" ca="1" si="80"/>
        <v>#VALUE!</v>
      </c>
      <c r="N749" s="7" t="e">
        <f t="shared" ca="1" si="81"/>
        <v>#VALUE!</v>
      </c>
      <c r="O749" s="7" t="e">
        <f t="shared" ca="1" si="82"/>
        <v>#VALUE!</v>
      </c>
      <c r="P749" s="7" t="e">
        <f t="shared" ca="1" si="83"/>
        <v>#VALUE!</v>
      </c>
    </row>
    <row r="750" spans="1:16" x14ac:dyDescent="0.25">
      <c r="A750" s="19" t="str">
        <f ca="1">IF(OR(INDIRECT("'" &amp; Master!$F$8 &amp; Master!$F$6 &amp; "'!A" &amp; ROW(A750))="", INDIRECT("'" &amp; Master!$F$8 &amp; Master!$F$6 &amp; "'!A" &amp; ROW(A750))=0), "", INDIRECT("'" &amp; Master!$F$8 &amp; Master!$F$6 &amp; "'!A" &amp; ROW(A750)))</f>
        <v/>
      </c>
      <c r="B750" s="4" t="e">
        <f ca="1">SplineInterp(INDIRECT("A" &amp; ROW()),INDIRECT("'" &amp;Master!$F$10&amp; "'!$A$2:$A$50"),INDIRECT("'" &amp;Master!$F$10&amp; "'!$B$2:$B$50"))</f>
        <v>#VALUE!</v>
      </c>
      <c r="C750" s="4" t="e">
        <f ca="1">SplineInterp(A750,INDIRECT("'" &amp;Master!$F$10&amp; "'!$A$2:$A$50"),INDIRECT("'" &amp;Master!$F$10&amp; "'!$C$2:$C$50"))</f>
        <v>#VALUE!</v>
      </c>
      <c r="D750" s="4" t="e">
        <f ca="1">SplineInterp(A750,INDIRECT("'" &amp;Master!$F$10&amp; "'!$A$2:$A$50"),INDIRECT("'" &amp;Master!$F$10&amp; "'!$D$2:$D$50"))</f>
        <v>#VALUE!</v>
      </c>
      <c r="E750" s="4" t="e">
        <f ca="1">SplineInterp(A750,INDIRECT("'" &amp;Master!$F$10&amp; "'!$A$2:$A$50"),INDIRECT("'" &amp;Master!$F$10&amp; "'!$E$2:$E$50"))</f>
        <v>#VALUE!</v>
      </c>
      <c r="F750" s="4" t="e">
        <f ca="1">SplineInterp(A750,INDIRECT("'" &amp;Master!$F$10&amp; "'!$A$2:$A$50"),INDIRECT("'" &amp;Master!$F$10&amp; "'!$F$2:$F$50"))</f>
        <v>#VALUE!</v>
      </c>
      <c r="G750" s="4" t="e">
        <f ca="1">SplineInterp(A750,INDIRECT("'" &amp;Master!$F$10&amp; "'!$A$2:$A$50"),INDIRECT("'" &amp;Master!$F$10&amp; "'!$G$2:$G$50"))</f>
        <v>#VALUE!</v>
      </c>
      <c r="H750" s="4" t="e">
        <f ca="1">SplineInterp(A750,INDIRECT("'" &amp;Master!$F$10&amp; "'!$A$2:$A$50"),INDIRECT("'" &amp;Master!$F$10&amp; "'!$H$2:$H$50"))</f>
        <v>#VALUE!</v>
      </c>
      <c r="I750" s="4" t="e">
        <f ca="1">IF(OR(INDIRECT("'" &amp; Master!$F$8 &amp; Master!$F$6 &amp; "'!B" &amp; ROW(B750))="", INDIRECT("'" &amp; Master!$F$8 &amp; Master!$F$6 &amp; "'!B" &amp; ROW(B750))=0), "", INDIRECT("'" &amp; Master!$F$8 &amp; Master!$F$6 &amp; "'!B" &amp; ROW(B750)))</f>
        <v>#VALUE!</v>
      </c>
      <c r="J750" s="9" t="e">
        <f t="shared" ca="1" si="77"/>
        <v>#VALUE!</v>
      </c>
      <c r="K750" s="7" t="e">
        <f t="shared" ca="1" si="78"/>
        <v>#VALUE!</v>
      </c>
      <c r="L750" s="7" t="e">
        <f t="shared" ca="1" si="79"/>
        <v>#VALUE!</v>
      </c>
      <c r="M750" s="7" t="e">
        <f t="shared" ca="1" si="80"/>
        <v>#VALUE!</v>
      </c>
      <c r="N750" s="7" t="e">
        <f t="shared" ca="1" si="81"/>
        <v>#VALUE!</v>
      </c>
      <c r="O750" s="7" t="e">
        <f t="shared" ca="1" si="82"/>
        <v>#VALUE!</v>
      </c>
      <c r="P750" s="7" t="e">
        <f t="shared" ca="1" si="83"/>
        <v>#VALUE!</v>
      </c>
    </row>
    <row r="751" spans="1:16" x14ac:dyDescent="0.25">
      <c r="A751" s="19" t="str">
        <f ca="1">IF(OR(INDIRECT("'" &amp; Master!$F$8 &amp; Master!$F$6 &amp; "'!A" &amp; ROW(A751))="", INDIRECT("'" &amp; Master!$F$8 &amp; Master!$F$6 &amp; "'!A" &amp; ROW(A751))=0), "", INDIRECT("'" &amp; Master!$F$8 &amp; Master!$F$6 &amp; "'!A" &amp; ROW(A751)))</f>
        <v/>
      </c>
      <c r="B751" s="4" t="e">
        <f ca="1">SplineInterp(INDIRECT("A" &amp; ROW()),INDIRECT("'" &amp;Master!$F$10&amp; "'!$A$2:$A$50"),INDIRECT("'" &amp;Master!$F$10&amp; "'!$B$2:$B$50"))</f>
        <v>#VALUE!</v>
      </c>
      <c r="C751" s="4" t="e">
        <f ca="1">SplineInterp(A751,INDIRECT("'" &amp;Master!$F$10&amp; "'!$A$2:$A$50"),INDIRECT("'" &amp;Master!$F$10&amp; "'!$C$2:$C$50"))</f>
        <v>#VALUE!</v>
      </c>
      <c r="D751" s="4" t="e">
        <f ca="1">SplineInterp(A751,INDIRECT("'" &amp;Master!$F$10&amp; "'!$A$2:$A$50"),INDIRECT("'" &amp;Master!$F$10&amp; "'!$D$2:$D$50"))</f>
        <v>#VALUE!</v>
      </c>
      <c r="E751" s="4" t="e">
        <f ca="1">SplineInterp(A751,INDIRECT("'" &amp;Master!$F$10&amp; "'!$A$2:$A$50"),INDIRECT("'" &amp;Master!$F$10&amp; "'!$E$2:$E$50"))</f>
        <v>#VALUE!</v>
      </c>
      <c r="F751" s="4" t="e">
        <f ca="1">SplineInterp(A751,INDIRECT("'" &amp;Master!$F$10&amp; "'!$A$2:$A$50"),INDIRECT("'" &amp;Master!$F$10&amp; "'!$F$2:$F$50"))</f>
        <v>#VALUE!</v>
      </c>
      <c r="G751" s="4" t="e">
        <f ca="1">SplineInterp(A751,INDIRECT("'" &amp;Master!$F$10&amp; "'!$A$2:$A$50"),INDIRECT("'" &amp;Master!$F$10&amp; "'!$G$2:$G$50"))</f>
        <v>#VALUE!</v>
      </c>
      <c r="H751" s="4" t="e">
        <f ca="1">SplineInterp(A751,INDIRECT("'" &amp;Master!$F$10&amp; "'!$A$2:$A$50"),INDIRECT("'" &amp;Master!$F$10&amp; "'!$H$2:$H$50"))</f>
        <v>#VALUE!</v>
      </c>
      <c r="I751" s="4" t="e">
        <f ca="1">IF(OR(INDIRECT("'" &amp; Master!$F$8 &amp; Master!$F$6 &amp; "'!B" &amp; ROW(B751))="", INDIRECT("'" &amp; Master!$F$8 &amp; Master!$F$6 &amp; "'!B" &amp; ROW(B751))=0), "", INDIRECT("'" &amp; Master!$F$8 &amp; Master!$F$6 &amp; "'!B" &amp; ROW(B751)))</f>
        <v>#VALUE!</v>
      </c>
      <c r="J751" s="9" t="e">
        <f t="shared" ca="1" si="77"/>
        <v>#VALUE!</v>
      </c>
      <c r="K751" s="7" t="e">
        <f t="shared" ca="1" si="78"/>
        <v>#VALUE!</v>
      </c>
      <c r="L751" s="7" t="e">
        <f t="shared" ca="1" si="79"/>
        <v>#VALUE!</v>
      </c>
      <c r="M751" s="7" t="e">
        <f t="shared" ca="1" si="80"/>
        <v>#VALUE!</v>
      </c>
      <c r="N751" s="7" t="e">
        <f t="shared" ca="1" si="81"/>
        <v>#VALUE!</v>
      </c>
      <c r="O751" s="7" t="e">
        <f t="shared" ca="1" si="82"/>
        <v>#VALUE!</v>
      </c>
      <c r="P751" s="7" t="e">
        <f t="shared" ca="1" si="83"/>
        <v>#VALUE!</v>
      </c>
    </row>
    <row r="752" spans="1:16" x14ac:dyDescent="0.25">
      <c r="A752" s="19" t="str">
        <f ca="1">IF(OR(INDIRECT("'" &amp; Master!$F$8 &amp; Master!$F$6 &amp; "'!A" &amp; ROW(A752))="", INDIRECT("'" &amp; Master!$F$8 &amp; Master!$F$6 &amp; "'!A" &amp; ROW(A752))=0), "", INDIRECT("'" &amp; Master!$F$8 &amp; Master!$F$6 &amp; "'!A" &amp; ROW(A752)))</f>
        <v/>
      </c>
      <c r="B752" s="4" t="e">
        <f ca="1">SplineInterp(INDIRECT("A" &amp; ROW()),INDIRECT("'" &amp;Master!$F$10&amp; "'!$A$2:$A$50"),INDIRECT("'" &amp;Master!$F$10&amp; "'!$B$2:$B$50"))</f>
        <v>#VALUE!</v>
      </c>
      <c r="C752" s="4" t="e">
        <f ca="1">SplineInterp(A752,INDIRECT("'" &amp;Master!$F$10&amp; "'!$A$2:$A$50"),INDIRECT("'" &amp;Master!$F$10&amp; "'!$C$2:$C$50"))</f>
        <v>#VALUE!</v>
      </c>
      <c r="D752" s="4" t="e">
        <f ca="1">SplineInterp(A752,INDIRECT("'" &amp;Master!$F$10&amp; "'!$A$2:$A$50"),INDIRECT("'" &amp;Master!$F$10&amp; "'!$D$2:$D$50"))</f>
        <v>#VALUE!</v>
      </c>
      <c r="E752" s="4" t="e">
        <f ca="1">SplineInterp(A752,INDIRECT("'" &amp;Master!$F$10&amp; "'!$A$2:$A$50"),INDIRECT("'" &amp;Master!$F$10&amp; "'!$E$2:$E$50"))</f>
        <v>#VALUE!</v>
      </c>
      <c r="F752" s="4" t="e">
        <f ca="1">SplineInterp(A752,INDIRECT("'" &amp;Master!$F$10&amp; "'!$A$2:$A$50"),INDIRECT("'" &amp;Master!$F$10&amp; "'!$F$2:$F$50"))</f>
        <v>#VALUE!</v>
      </c>
      <c r="G752" s="4" t="e">
        <f ca="1">SplineInterp(A752,INDIRECT("'" &amp;Master!$F$10&amp; "'!$A$2:$A$50"),INDIRECT("'" &amp;Master!$F$10&amp; "'!$G$2:$G$50"))</f>
        <v>#VALUE!</v>
      </c>
      <c r="H752" s="4" t="e">
        <f ca="1">SplineInterp(A752,INDIRECT("'" &amp;Master!$F$10&amp; "'!$A$2:$A$50"),INDIRECT("'" &amp;Master!$F$10&amp; "'!$H$2:$H$50"))</f>
        <v>#VALUE!</v>
      </c>
      <c r="I752" s="4" t="e">
        <f ca="1">IF(OR(INDIRECT("'" &amp; Master!$F$8 &amp; Master!$F$6 &amp; "'!B" &amp; ROW(B752))="", INDIRECT("'" &amp; Master!$F$8 &amp; Master!$F$6 &amp; "'!B" &amp; ROW(B752))=0), "", INDIRECT("'" &amp; Master!$F$8 &amp; Master!$F$6 &amp; "'!B" &amp; ROW(B752)))</f>
        <v>#VALUE!</v>
      </c>
      <c r="J752" s="9" t="e">
        <f t="shared" ca="1" si="77"/>
        <v>#VALUE!</v>
      </c>
      <c r="K752" s="7" t="e">
        <f t="shared" ca="1" si="78"/>
        <v>#VALUE!</v>
      </c>
      <c r="L752" s="7" t="e">
        <f t="shared" ca="1" si="79"/>
        <v>#VALUE!</v>
      </c>
      <c r="M752" s="7" t="e">
        <f t="shared" ca="1" si="80"/>
        <v>#VALUE!</v>
      </c>
      <c r="N752" s="7" t="e">
        <f t="shared" ca="1" si="81"/>
        <v>#VALUE!</v>
      </c>
      <c r="O752" s="7" t="e">
        <f t="shared" ca="1" si="82"/>
        <v>#VALUE!</v>
      </c>
      <c r="P752" s="7" t="e">
        <f t="shared" ca="1" si="83"/>
        <v>#VALUE!</v>
      </c>
    </row>
    <row r="753" spans="1:16" x14ac:dyDescent="0.25">
      <c r="A753" s="19" t="str">
        <f ca="1">IF(OR(INDIRECT("'" &amp; Master!$F$8 &amp; Master!$F$6 &amp; "'!A" &amp; ROW(A753))="", INDIRECT("'" &amp; Master!$F$8 &amp; Master!$F$6 &amp; "'!A" &amp; ROW(A753))=0), "", INDIRECT("'" &amp; Master!$F$8 &amp; Master!$F$6 &amp; "'!A" &amp; ROW(A753)))</f>
        <v/>
      </c>
      <c r="B753" s="4" t="e">
        <f ca="1">SplineInterp(INDIRECT("A" &amp; ROW()),INDIRECT("'" &amp;Master!$F$10&amp; "'!$A$2:$A$50"),INDIRECT("'" &amp;Master!$F$10&amp; "'!$B$2:$B$50"))</f>
        <v>#VALUE!</v>
      </c>
      <c r="C753" s="4" t="e">
        <f ca="1">SplineInterp(A753,INDIRECT("'" &amp;Master!$F$10&amp; "'!$A$2:$A$50"),INDIRECT("'" &amp;Master!$F$10&amp; "'!$C$2:$C$50"))</f>
        <v>#VALUE!</v>
      </c>
      <c r="D753" s="4" t="e">
        <f ca="1">SplineInterp(A753,INDIRECT("'" &amp;Master!$F$10&amp; "'!$A$2:$A$50"),INDIRECT("'" &amp;Master!$F$10&amp; "'!$D$2:$D$50"))</f>
        <v>#VALUE!</v>
      </c>
      <c r="E753" s="4" t="e">
        <f ca="1">SplineInterp(A753,INDIRECT("'" &amp;Master!$F$10&amp; "'!$A$2:$A$50"),INDIRECT("'" &amp;Master!$F$10&amp; "'!$E$2:$E$50"))</f>
        <v>#VALUE!</v>
      </c>
      <c r="F753" s="4" t="e">
        <f ca="1">SplineInterp(A753,INDIRECT("'" &amp;Master!$F$10&amp; "'!$A$2:$A$50"),INDIRECT("'" &amp;Master!$F$10&amp; "'!$F$2:$F$50"))</f>
        <v>#VALUE!</v>
      </c>
      <c r="G753" s="4" t="e">
        <f ca="1">SplineInterp(A753,INDIRECT("'" &amp;Master!$F$10&amp; "'!$A$2:$A$50"),INDIRECT("'" &amp;Master!$F$10&amp; "'!$G$2:$G$50"))</f>
        <v>#VALUE!</v>
      </c>
      <c r="H753" s="4" t="e">
        <f ca="1">SplineInterp(A753,INDIRECT("'" &amp;Master!$F$10&amp; "'!$A$2:$A$50"),INDIRECT("'" &amp;Master!$F$10&amp; "'!$H$2:$H$50"))</f>
        <v>#VALUE!</v>
      </c>
      <c r="I753" s="4" t="e">
        <f ca="1">IF(OR(INDIRECT("'" &amp; Master!$F$8 &amp; Master!$F$6 &amp; "'!B" &amp; ROW(B753))="", INDIRECT("'" &amp; Master!$F$8 &amp; Master!$F$6 &amp; "'!B" &amp; ROW(B753))=0), "", INDIRECT("'" &amp; Master!$F$8 &amp; Master!$F$6 &amp; "'!B" &amp; ROW(B753)))</f>
        <v>#VALUE!</v>
      </c>
      <c r="J753" s="9" t="e">
        <f t="shared" ca="1" si="77"/>
        <v>#VALUE!</v>
      </c>
      <c r="K753" s="7" t="e">
        <f t="shared" ca="1" si="78"/>
        <v>#VALUE!</v>
      </c>
      <c r="L753" s="7" t="e">
        <f t="shared" ca="1" si="79"/>
        <v>#VALUE!</v>
      </c>
      <c r="M753" s="7" t="e">
        <f t="shared" ca="1" si="80"/>
        <v>#VALUE!</v>
      </c>
      <c r="N753" s="7" t="e">
        <f t="shared" ca="1" si="81"/>
        <v>#VALUE!</v>
      </c>
      <c r="O753" s="7" t="e">
        <f t="shared" ca="1" si="82"/>
        <v>#VALUE!</v>
      </c>
      <c r="P753" s="7" t="e">
        <f t="shared" ca="1" si="83"/>
        <v>#VALUE!</v>
      </c>
    </row>
    <row r="754" spans="1:16" x14ac:dyDescent="0.25">
      <c r="A754" s="19" t="str">
        <f ca="1">IF(OR(INDIRECT("'" &amp; Master!$F$8 &amp; Master!$F$6 &amp; "'!A" &amp; ROW(A754))="", INDIRECT("'" &amp; Master!$F$8 &amp; Master!$F$6 &amp; "'!A" &amp; ROW(A754))=0), "", INDIRECT("'" &amp; Master!$F$8 &amp; Master!$F$6 &amp; "'!A" &amp; ROW(A754)))</f>
        <v/>
      </c>
      <c r="B754" s="4" t="e">
        <f ca="1">SplineInterp(INDIRECT("A" &amp; ROW()),INDIRECT("'" &amp;Master!$F$10&amp; "'!$A$2:$A$50"),INDIRECT("'" &amp;Master!$F$10&amp; "'!$B$2:$B$50"))</f>
        <v>#VALUE!</v>
      </c>
      <c r="C754" s="4" t="e">
        <f ca="1">SplineInterp(A754,INDIRECT("'" &amp;Master!$F$10&amp; "'!$A$2:$A$50"),INDIRECT("'" &amp;Master!$F$10&amp; "'!$C$2:$C$50"))</f>
        <v>#VALUE!</v>
      </c>
      <c r="D754" s="4" t="e">
        <f ca="1">SplineInterp(A754,INDIRECT("'" &amp;Master!$F$10&amp; "'!$A$2:$A$50"),INDIRECT("'" &amp;Master!$F$10&amp; "'!$D$2:$D$50"))</f>
        <v>#VALUE!</v>
      </c>
      <c r="E754" s="4" t="e">
        <f ca="1">SplineInterp(A754,INDIRECT("'" &amp;Master!$F$10&amp; "'!$A$2:$A$50"),INDIRECT("'" &amp;Master!$F$10&amp; "'!$E$2:$E$50"))</f>
        <v>#VALUE!</v>
      </c>
      <c r="F754" s="4" t="e">
        <f ca="1">SplineInterp(A754,INDIRECT("'" &amp;Master!$F$10&amp; "'!$A$2:$A$50"),INDIRECT("'" &amp;Master!$F$10&amp; "'!$F$2:$F$50"))</f>
        <v>#VALUE!</v>
      </c>
      <c r="G754" s="4" t="e">
        <f ca="1">SplineInterp(A754,INDIRECT("'" &amp;Master!$F$10&amp; "'!$A$2:$A$50"),INDIRECT("'" &amp;Master!$F$10&amp; "'!$G$2:$G$50"))</f>
        <v>#VALUE!</v>
      </c>
      <c r="H754" s="4" t="e">
        <f ca="1">SplineInterp(A754,INDIRECT("'" &amp;Master!$F$10&amp; "'!$A$2:$A$50"),INDIRECT("'" &amp;Master!$F$10&amp; "'!$H$2:$H$50"))</f>
        <v>#VALUE!</v>
      </c>
      <c r="I754" s="4" t="e">
        <f ca="1">IF(OR(INDIRECT("'" &amp; Master!$F$8 &amp; Master!$F$6 &amp; "'!B" &amp; ROW(B754))="", INDIRECT("'" &amp; Master!$F$8 &amp; Master!$F$6 &amp; "'!B" &amp; ROW(B754))=0), "", INDIRECT("'" &amp; Master!$F$8 &amp; Master!$F$6 &amp; "'!B" &amp; ROW(B754)))</f>
        <v>#VALUE!</v>
      </c>
      <c r="J754" s="9" t="e">
        <f t="shared" ca="1" si="77"/>
        <v>#VALUE!</v>
      </c>
      <c r="K754" s="7" t="e">
        <f t="shared" ca="1" si="78"/>
        <v>#VALUE!</v>
      </c>
      <c r="L754" s="7" t="e">
        <f t="shared" ca="1" si="79"/>
        <v>#VALUE!</v>
      </c>
      <c r="M754" s="7" t="e">
        <f t="shared" ca="1" si="80"/>
        <v>#VALUE!</v>
      </c>
      <c r="N754" s="7" t="e">
        <f t="shared" ca="1" si="81"/>
        <v>#VALUE!</v>
      </c>
      <c r="O754" s="7" t="e">
        <f t="shared" ca="1" si="82"/>
        <v>#VALUE!</v>
      </c>
      <c r="P754" s="7" t="e">
        <f t="shared" ca="1" si="83"/>
        <v>#VALUE!</v>
      </c>
    </row>
    <row r="755" spans="1:16" x14ac:dyDescent="0.25">
      <c r="A755" s="19" t="str">
        <f ca="1">IF(OR(INDIRECT("'" &amp; Master!$F$8 &amp; Master!$F$6 &amp; "'!A" &amp; ROW(A755))="", INDIRECT("'" &amp; Master!$F$8 &amp; Master!$F$6 &amp; "'!A" &amp; ROW(A755))=0), "", INDIRECT("'" &amp; Master!$F$8 &amp; Master!$F$6 &amp; "'!A" &amp; ROW(A755)))</f>
        <v/>
      </c>
      <c r="B755" s="4" t="e">
        <f ca="1">SplineInterp(INDIRECT("A" &amp; ROW()),INDIRECT("'" &amp;Master!$F$10&amp; "'!$A$2:$A$50"),INDIRECT("'" &amp;Master!$F$10&amp; "'!$B$2:$B$50"))</f>
        <v>#VALUE!</v>
      </c>
      <c r="C755" s="4" t="e">
        <f ca="1">SplineInterp(A755,INDIRECT("'" &amp;Master!$F$10&amp; "'!$A$2:$A$50"),INDIRECT("'" &amp;Master!$F$10&amp; "'!$C$2:$C$50"))</f>
        <v>#VALUE!</v>
      </c>
      <c r="D755" s="4" t="e">
        <f ca="1">SplineInterp(A755,INDIRECT("'" &amp;Master!$F$10&amp; "'!$A$2:$A$50"),INDIRECT("'" &amp;Master!$F$10&amp; "'!$D$2:$D$50"))</f>
        <v>#VALUE!</v>
      </c>
      <c r="E755" s="4" t="e">
        <f ca="1">SplineInterp(A755,INDIRECT("'" &amp;Master!$F$10&amp; "'!$A$2:$A$50"),INDIRECT("'" &amp;Master!$F$10&amp; "'!$E$2:$E$50"))</f>
        <v>#VALUE!</v>
      </c>
      <c r="F755" s="4" t="e">
        <f ca="1">SplineInterp(A755,INDIRECT("'" &amp;Master!$F$10&amp; "'!$A$2:$A$50"),INDIRECT("'" &amp;Master!$F$10&amp; "'!$F$2:$F$50"))</f>
        <v>#VALUE!</v>
      </c>
      <c r="G755" s="4" t="e">
        <f ca="1">SplineInterp(A755,INDIRECT("'" &amp;Master!$F$10&amp; "'!$A$2:$A$50"),INDIRECT("'" &amp;Master!$F$10&amp; "'!$G$2:$G$50"))</f>
        <v>#VALUE!</v>
      </c>
      <c r="H755" s="4" t="e">
        <f ca="1">SplineInterp(A755,INDIRECT("'" &amp;Master!$F$10&amp; "'!$A$2:$A$50"),INDIRECT("'" &amp;Master!$F$10&amp; "'!$H$2:$H$50"))</f>
        <v>#VALUE!</v>
      </c>
      <c r="I755" s="4" t="e">
        <f ca="1">IF(OR(INDIRECT("'" &amp; Master!$F$8 &amp; Master!$F$6 &amp; "'!B" &amp; ROW(B755))="", INDIRECT("'" &amp; Master!$F$8 &amp; Master!$F$6 &amp; "'!B" &amp; ROW(B755))=0), "", INDIRECT("'" &amp; Master!$F$8 &amp; Master!$F$6 &amp; "'!B" &amp; ROW(B755)))</f>
        <v>#VALUE!</v>
      </c>
      <c r="J755" s="9" t="e">
        <f t="shared" ca="1" si="77"/>
        <v>#VALUE!</v>
      </c>
      <c r="K755" s="7" t="e">
        <f t="shared" ca="1" si="78"/>
        <v>#VALUE!</v>
      </c>
      <c r="L755" s="7" t="e">
        <f t="shared" ca="1" si="79"/>
        <v>#VALUE!</v>
      </c>
      <c r="M755" s="7" t="e">
        <f t="shared" ca="1" si="80"/>
        <v>#VALUE!</v>
      </c>
      <c r="N755" s="7" t="e">
        <f t="shared" ca="1" si="81"/>
        <v>#VALUE!</v>
      </c>
      <c r="O755" s="7" t="e">
        <f t="shared" ca="1" si="82"/>
        <v>#VALUE!</v>
      </c>
      <c r="P755" s="7" t="e">
        <f t="shared" ca="1" si="83"/>
        <v>#VALUE!</v>
      </c>
    </row>
    <row r="756" spans="1:16" x14ac:dyDescent="0.25">
      <c r="A756" s="19" t="str">
        <f ca="1">IF(OR(INDIRECT("'" &amp; Master!$F$8 &amp; Master!$F$6 &amp; "'!A" &amp; ROW(A756))="", INDIRECT("'" &amp; Master!$F$8 &amp; Master!$F$6 &amp; "'!A" &amp; ROW(A756))=0), "", INDIRECT("'" &amp; Master!$F$8 &amp; Master!$F$6 &amp; "'!A" &amp; ROW(A756)))</f>
        <v/>
      </c>
      <c r="B756" s="4" t="e">
        <f ca="1">SplineInterp(INDIRECT("A" &amp; ROW()),INDIRECT("'" &amp;Master!$F$10&amp; "'!$A$2:$A$50"),INDIRECT("'" &amp;Master!$F$10&amp; "'!$B$2:$B$50"))</f>
        <v>#VALUE!</v>
      </c>
      <c r="C756" s="4" t="e">
        <f ca="1">SplineInterp(A756,INDIRECT("'" &amp;Master!$F$10&amp; "'!$A$2:$A$50"),INDIRECT("'" &amp;Master!$F$10&amp; "'!$C$2:$C$50"))</f>
        <v>#VALUE!</v>
      </c>
      <c r="D756" s="4" t="e">
        <f ca="1">SplineInterp(A756,INDIRECT("'" &amp;Master!$F$10&amp; "'!$A$2:$A$50"),INDIRECT("'" &amp;Master!$F$10&amp; "'!$D$2:$D$50"))</f>
        <v>#VALUE!</v>
      </c>
      <c r="E756" s="4" t="e">
        <f ca="1">SplineInterp(A756,INDIRECT("'" &amp;Master!$F$10&amp; "'!$A$2:$A$50"),INDIRECT("'" &amp;Master!$F$10&amp; "'!$E$2:$E$50"))</f>
        <v>#VALUE!</v>
      </c>
      <c r="F756" s="4" t="e">
        <f ca="1">SplineInterp(A756,INDIRECT("'" &amp;Master!$F$10&amp; "'!$A$2:$A$50"),INDIRECT("'" &amp;Master!$F$10&amp; "'!$F$2:$F$50"))</f>
        <v>#VALUE!</v>
      </c>
      <c r="G756" s="4" t="e">
        <f ca="1">SplineInterp(A756,INDIRECT("'" &amp;Master!$F$10&amp; "'!$A$2:$A$50"),INDIRECT("'" &amp;Master!$F$10&amp; "'!$G$2:$G$50"))</f>
        <v>#VALUE!</v>
      </c>
      <c r="H756" s="4" t="e">
        <f ca="1">SplineInterp(A756,INDIRECT("'" &amp;Master!$F$10&amp; "'!$A$2:$A$50"),INDIRECT("'" &amp;Master!$F$10&amp; "'!$H$2:$H$50"))</f>
        <v>#VALUE!</v>
      </c>
      <c r="I756" s="4" t="e">
        <f ca="1">IF(OR(INDIRECT("'" &amp; Master!$F$8 &amp; Master!$F$6 &amp; "'!B" &amp; ROW(B756))="", INDIRECT("'" &amp; Master!$F$8 &amp; Master!$F$6 &amp; "'!B" &amp; ROW(B756))=0), "", INDIRECT("'" &amp; Master!$F$8 &amp; Master!$F$6 &amp; "'!B" &amp; ROW(B756)))</f>
        <v>#VALUE!</v>
      </c>
      <c r="J756" s="9" t="e">
        <f t="shared" ca="1" si="77"/>
        <v>#VALUE!</v>
      </c>
      <c r="K756" s="7" t="e">
        <f t="shared" ca="1" si="78"/>
        <v>#VALUE!</v>
      </c>
      <c r="L756" s="7" t="e">
        <f t="shared" ca="1" si="79"/>
        <v>#VALUE!</v>
      </c>
      <c r="M756" s="7" t="e">
        <f t="shared" ca="1" si="80"/>
        <v>#VALUE!</v>
      </c>
      <c r="N756" s="7" t="e">
        <f t="shared" ca="1" si="81"/>
        <v>#VALUE!</v>
      </c>
      <c r="O756" s="7" t="e">
        <f t="shared" ca="1" si="82"/>
        <v>#VALUE!</v>
      </c>
      <c r="P756" s="7" t="e">
        <f t="shared" ca="1" si="83"/>
        <v>#VALUE!</v>
      </c>
    </row>
    <row r="757" spans="1:16" x14ac:dyDescent="0.25">
      <c r="A757" s="19" t="str">
        <f ca="1">IF(OR(INDIRECT("'" &amp; Master!$F$8 &amp; Master!$F$6 &amp; "'!A" &amp; ROW(A757))="", INDIRECT("'" &amp; Master!$F$8 &amp; Master!$F$6 &amp; "'!A" &amp; ROW(A757))=0), "", INDIRECT("'" &amp; Master!$F$8 &amp; Master!$F$6 &amp; "'!A" &amp; ROW(A757)))</f>
        <v/>
      </c>
      <c r="B757" s="4" t="e">
        <f ca="1">SplineInterp(INDIRECT("A" &amp; ROW()),INDIRECT("'" &amp;Master!$F$10&amp; "'!$A$2:$A$50"),INDIRECT("'" &amp;Master!$F$10&amp; "'!$B$2:$B$50"))</f>
        <v>#VALUE!</v>
      </c>
      <c r="C757" s="4" t="e">
        <f ca="1">SplineInterp(A757,INDIRECT("'" &amp;Master!$F$10&amp; "'!$A$2:$A$50"),INDIRECT("'" &amp;Master!$F$10&amp; "'!$C$2:$C$50"))</f>
        <v>#VALUE!</v>
      </c>
      <c r="D757" s="4" t="e">
        <f ca="1">SplineInterp(A757,INDIRECT("'" &amp;Master!$F$10&amp; "'!$A$2:$A$50"),INDIRECT("'" &amp;Master!$F$10&amp; "'!$D$2:$D$50"))</f>
        <v>#VALUE!</v>
      </c>
      <c r="E757" s="4" t="e">
        <f ca="1">SplineInterp(A757,INDIRECT("'" &amp;Master!$F$10&amp; "'!$A$2:$A$50"),INDIRECT("'" &amp;Master!$F$10&amp; "'!$E$2:$E$50"))</f>
        <v>#VALUE!</v>
      </c>
      <c r="F757" s="4" t="e">
        <f ca="1">SplineInterp(A757,INDIRECT("'" &amp;Master!$F$10&amp; "'!$A$2:$A$50"),INDIRECT("'" &amp;Master!$F$10&amp; "'!$F$2:$F$50"))</f>
        <v>#VALUE!</v>
      </c>
      <c r="G757" s="4" t="e">
        <f ca="1">SplineInterp(A757,INDIRECT("'" &amp;Master!$F$10&amp; "'!$A$2:$A$50"),INDIRECT("'" &amp;Master!$F$10&amp; "'!$G$2:$G$50"))</f>
        <v>#VALUE!</v>
      </c>
      <c r="H757" s="4" t="e">
        <f ca="1">SplineInterp(A757,INDIRECT("'" &amp;Master!$F$10&amp; "'!$A$2:$A$50"),INDIRECT("'" &amp;Master!$F$10&amp; "'!$H$2:$H$50"))</f>
        <v>#VALUE!</v>
      </c>
      <c r="I757" s="4" t="e">
        <f ca="1">IF(OR(INDIRECT("'" &amp; Master!$F$8 &amp; Master!$F$6 &amp; "'!B" &amp; ROW(B757))="", INDIRECT("'" &amp; Master!$F$8 &amp; Master!$F$6 &amp; "'!B" &amp; ROW(B757))=0), "", INDIRECT("'" &amp; Master!$F$8 &amp; Master!$F$6 &amp; "'!B" &amp; ROW(B757)))</f>
        <v>#VALUE!</v>
      </c>
      <c r="J757" s="9" t="e">
        <f t="shared" ca="1" si="77"/>
        <v>#VALUE!</v>
      </c>
      <c r="K757" s="7" t="e">
        <f t="shared" ca="1" si="78"/>
        <v>#VALUE!</v>
      </c>
      <c r="L757" s="7" t="e">
        <f t="shared" ca="1" si="79"/>
        <v>#VALUE!</v>
      </c>
      <c r="M757" s="7" t="e">
        <f t="shared" ca="1" si="80"/>
        <v>#VALUE!</v>
      </c>
      <c r="N757" s="7" t="e">
        <f t="shared" ca="1" si="81"/>
        <v>#VALUE!</v>
      </c>
      <c r="O757" s="7" t="e">
        <f t="shared" ca="1" si="82"/>
        <v>#VALUE!</v>
      </c>
      <c r="P757" s="7" t="e">
        <f t="shared" ca="1" si="83"/>
        <v>#VALUE!</v>
      </c>
    </row>
    <row r="758" spans="1:16" x14ac:dyDescent="0.25">
      <c r="A758" s="19" t="str">
        <f ca="1">IF(OR(INDIRECT("'" &amp; Master!$F$8 &amp; Master!$F$6 &amp; "'!A" &amp; ROW(A758))="", INDIRECT("'" &amp; Master!$F$8 &amp; Master!$F$6 &amp; "'!A" &amp; ROW(A758))=0), "", INDIRECT("'" &amp; Master!$F$8 &amp; Master!$F$6 &amp; "'!A" &amp; ROW(A758)))</f>
        <v/>
      </c>
      <c r="B758" s="4" t="e">
        <f ca="1">SplineInterp(INDIRECT("A" &amp; ROW()),INDIRECT("'" &amp;Master!$F$10&amp; "'!$A$2:$A$50"),INDIRECT("'" &amp;Master!$F$10&amp; "'!$B$2:$B$50"))</f>
        <v>#VALUE!</v>
      </c>
      <c r="C758" s="4" t="e">
        <f ca="1">SplineInterp(A758,INDIRECT("'" &amp;Master!$F$10&amp; "'!$A$2:$A$50"),INDIRECT("'" &amp;Master!$F$10&amp; "'!$C$2:$C$50"))</f>
        <v>#VALUE!</v>
      </c>
      <c r="D758" s="4" t="e">
        <f ca="1">SplineInterp(A758,INDIRECT("'" &amp;Master!$F$10&amp; "'!$A$2:$A$50"),INDIRECT("'" &amp;Master!$F$10&amp; "'!$D$2:$D$50"))</f>
        <v>#VALUE!</v>
      </c>
      <c r="E758" s="4" t="e">
        <f ca="1">SplineInterp(A758,INDIRECT("'" &amp;Master!$F$10&amp; "'!$A$2:$A$50"),INDIRECT("'" &amp;Master!$F$10&amp; "'!$E$2:$E$50"))</f>
        <v>#VALUE!</v>
      </c>
      <c r="F758" s="4" t="e">
        <f ca="1">SplineInterp(A758,INDIRECT("'" &amp;Master!$F$10&amp; "'!$A$2:$A$50"),INDIRECT("'" &amp;Master!$F$10&amp; "'!$F$2:$F$50"))</f>
        <v>#VALUE!</v>
      </c>
      <c r="G758" s="4" t="e">
        <f ca="1">SplineInterp(A758,INDIRECT("'" &amp;Master!$F$10&amp; "'!$A$2:$A$50"),INDIRECT("'" &amp;Master!$F$10&amp; "'!$G$2:$G$50"))</f>
        <v>#VALUE!</v>
      </c>
      <c r="H758" s="4" t="e">
        <f ca="1">SplineInterp(A758,INDIRECT("'" &amp;Master!$F$10&amp; "'!$A$2:$A$50"),INDIRECT("'" &amp;Master!$F$10&amp; "'!$H$2:$H$50"))</f>
        <v>#VALUE!</v>
      </c>
      <c r="I758" s="4" t="e">
        <f ca="1">IF(OR(INDIRECT("'" &amp; Master!$F$8 &amp; Master!$F$6 &amp; "'!B" &amp; ROW(B758))="", INDIRECT("'" &amp; Master!$F$8 &amp; Master!$F$6 &amp; "'!B" &amp; ROW(B758))=0), "", INDIRECT("'" &amp; Master!$F$8 &amp; Master!$F$6 &amp; "'!B" &amp; ROW(B758)))</f>
        <v>#VALUE!</v>
      </c>
      <c r="J758" s="9" t="e">
        <f t="shared" ca="1" si="77"/>
        <v>#VALUE!</v>
      </c>
      <c r="K758" s="7" t="e">
        <f t="shared" ca="1" si="78"/>
        <v>#VALUE!</v>
      </c>
      <c r="L758" s="7" t="e">
        <f t="shared" ca="1" si="79"/>
        <v>#VALUE!</v>
      </c>
      <c r="M758" s="7" t="e">
        <f t="shared" ca="1" si="80"/>
        <v>#VALUE!</v>
      </c>
      <c r="N758" s="7" t="e">
        <f t="shared" ca="1" si="81"/>
        <v>#VALUE!</v>
      </c>
      <c r="O758" s="7" t="e">
        <f t="shared" ca="1" si="82"/>
        <v>#VALUE!</v>
      </c>
      <c r="P758" s="7" t="e">
        <f t="shared" ca="1" si="83"/>
        <v>#VALUE!</v>
      </c>
    </row>
    <row r="759" spans="1:16" x14ac:dyDescent="0.25">
      <c r="A759" s="19" t="str">
        <f ca="1">IF(OR(INDIRECT("'" &amp; Master!$F$8 &amp; Master!$F$6 &amp; "'!A" &amp; ROW(A759))="", INDIRECT("'" &amp; Master!$F$8 &amp; Master!$F$6 &amp; "'!A" &amp; ROW(A759))=0), "", INDIRECT("'" &amp; Master!$F$8 &amp; Master!$F$6 &amp; "'!A" &amp; ROW(A759)))</f>
        <v/>
      </c>
      <c r="B759" s="4" t="e">
        <f ca="1">SplineInterp(INDIRECT("A" &amp; ROW()),INDIRECT("'" &amp;Master!$F$10&amp; "'!$A$2:$A$50"),INDIRECT("'" &amp;Master!$F$10&amp; "'!$B$2:$B$50"))</f>
        <v>#VALUE!</v>
      </c>
      <c r="C759" s="4" t="e">
        <f ca="1">SplineInterp(A759,INDIRECT("'" &amp;Master!$F$10&amp; "'!$A$2:$A$50"),INDIRECT("'" &amp;Master!$F$10&amp; "'!$C$2:$C$50"))</f>
        <v>#VALUE!</v>
      </c>
      <c r="D759" s="4" t="e">
        <f ca="1">SplineInterp(A759,INDIRECT("'" &amp;Master!$F$10&amp; "'!$A$2:$A$50"),INDIRECT("'" &amp;Master!$F$10&amp; "'!$D$2:$D$50"))</f>
        <v>#VALUE!</v>
      </c>
      <c r="E759" s="4" t="e">
        <f ca="1">SplineInterp(A759,INDIRECT("'" &amp;Master!$F$10&amp; "'!$A$2:$A$50"),INDIRECT("'" &amp;Master!$F$10&amp; "'!$E$2:$E$50"))</f>
        <v>#VALUE!</v>
      </c>
      <c r="F759" s="4" t="e">
        <f ca="1">SplineInterp(A759,INDIRECT("'" &amp;Master!$F$10&amp; "'!$A$2:$A$50"),INDIRECT("'" &amp;Master!$F$10&amp; "'!$F$2:$F$50"))</f>
        <v>#VALUE!</v>
      </c>
      <c r="G759" s="4" t="e">
        <f ca="1">SplineInterp(A759,INDIRECT("'" &amp;Master!$F$10&amp; "'!$A$2:$A$50"),INDIRECT("'" &amp;Master!$F$10&amp; "'!$G$2:$G$50"))</f>
        <v>#VALUE!</v>
      </c>
      <c r="H759" s="4" t="e">
        <f ca="1">SplineInterp(A759,INDIRECT("'" &amp;Master!$F$10&amp; "'!$A$2:$A$50"),INDIRECT("'" &amp;Master!$F$10&amp; "'!$H$2:$H$50"))</f>
        <v>#VALUE!</v>
      </c>
      <c r="I759" s="4" t="e">
        <f ca="1">IF(OR(INDIRECT("'" &amp; Master!$F$8 &amp; Master!$F$6 &amp; "'!B" &amp; ROW(B759))="", INDIRECT("'" &amp; Master!$F$8 &amp; Master!$F$6 &amp; "'!B" &amp; ROW(B759))=0), "", INDIRECT("'" &amp; Master!$F$8 &amp; Master!$F$6 &amp; "'!B" &amp; ROW(B759)))</f>
        <v>#VALUE!</v>
      </c>
      <c r="J759" s="9" t="e">
        <f t="shared" ca="1" si="77"/>
        <v>#VALUE!</v>
      </c>
      <c r="K759" s="7" t="e">
        <f t="shared" ca="1" si="78"/>
        <v>#VALUE!</v>
      </c>
      <c r="L759" s="7" t="e">
        <f t="shared" ca="1" si="79"/>
        <v>#VALUE!</v>
      </c>
      <c r="M759" s="7" t="e">
        <f t="shared" ca="1" si="80"/>
        <v>#VALUE!</v>
      </c>
      <c r="N759" s="7" t="e">
        <f t="shared" ca="1" si="81"/>
        <v>#VALUE!</v>
      </c>
      <c r="O759" s="7" t="e">
        <f t="shared" ca="1" si="82"/>
        <v>#VALUE!</v>
      </c>
      <c r="P759" s="7" t="e">
        <f t="shared" ca="1" si="83"/>
        <v>#VALUE!</v>
      </c>
    </row>
    <row r="760" spans="1:16" x14ac:dyDescent="0.25">
      <c r="A760" s="19" t="str">
        <f ca="1">IF(OR(INDIRECT("'" &amp; Master!$F$8 &amp; Master!$F$6 &amp; "'!A" &amp; ROW(A760))="", INDIRECT("'" &amp; Master!$F$8 &amp; Master!$F$6 &amp; "'!A" &amp; ROW(A760))=0), "", INDIRECT("'" &amp; Master!$F$8 &amp; Master!$F$6 &amp; "'!A" &amp; ROW(A760)))</f>
        <v/>
      </c>
      <c r="B760" s="4" t="e">
        <f ca="1">SplineInterp(INDIRECT("A" &amp; ROW()),INDIRECT("'" &amp;Master!$F$10&amp; "'!$A$2:$A$50"),INDIRECT("'" &amp;Master!$F$10&amp; "'!$B$2:$B$50"))</f>
        <v>#VALUE!</v>
      </c>
      <c r="C760" s="4" t="e">
        <f ca="1">SplineInterp(A760,INDIRECT("'" &amp;Master!$F$10&amp; "'!$A$2:$A$50"),INDIRECT("'" &amp;Master!$F$10&amp; "'!$C$2:$C$50"))</f>
        <v>#VALUE!</v>
      </c>
      <c r="D760" s="4" t="e">
        <f ca="1">SplineInterp(A760,INDIRECT("'" &amp;Master!$F$10&amp; "'!$A$2:$A$50"),INDIRECT("'" &amp;Master!$F$10&amp; "'!$D$2:$D$50"))</f>
        <v>#VALUE!</v>
      </c>
      <c r="E760" s="4" t="e">
        <f ca="1">SplineInterp(A760,INDIRECT("'" &amp;Master!$F$10&amp; "'!$A$2:$A$50"),INDIRECT("'" &amp;Master!$F$10&amp; "'!$E$2:$E$50"))</f>
        <v>#VALUE!</v>
      </c>
      <c r="F760" s="4" t="e">
        <f ca="1">SplineInterp(A760,INDIRECT("'" &amp;Master!$F$10&amp; "'!$A$2:$A$50"),INDIRECT("'" &amp;Master!$F$10&amp; "'!$F$2:$F$50"))</f>
        <v>#VALUE!</v>
      </c>
      <c r="G760" s="4" t="e">
        <f ca="1">SplineInterp(A760,INDIRECT("'" &amp;Master!$F$10&amp; "'!$A$2:$A$50"),INDIRECT("'" &amp;Master!$F$10&amp; "'!$G$2:$G$50"))</f>
        <v>#VALUE!</v>
      </c>
      <c r="H760" s="4" t="e">
        <f ca="1">SplineInterp(A760,INDIRECT("'" &amp;Master!$F$10&amp; "'!$A$2:$A$50"),INDIRECT("'" &amp;Master!$F$10&amp; "'!$H$2:$H$50"))</f>
        <v>#VALUE!</v>
      </c>
      <c r="I760" s="4" t="e">
        <f ca="1">IF(OR(INDIRECT("'" &amp; Master!$F$8 &amp; Master!$F$6 &amp; "'!B" &amp; ROW(B760))="", INDIRECT("'" &amp; Master!$F$8 &amp; Master!$F$6 &amp; "'!B" &amp; ROW(B760))=0), "", INDIRECT("'" &amp; Master!$F$8 &amp; Master!$F$6 &amp; "'!B" &amp; ROW(B760)))</f>
        <v>#VALUE!</v>
      </c>
      <c r="J760" s="9" t="e">
        <f t="shared" ca="1" si="77"/>
        <v>#VALUE!</v>
      </c>
      <c r="K760" s="7" t="e">
        <f t="shared" ca="1" si="78"/>
        <v>#VALUE!</v>
      </c>
      <c r="L760" s="7" t="e">
        <f t="shared" ca="1" si="79"/>
        <v>#VALUE!</v>
      </c>
      <c r="M760" s="7" t="e">
        <f t="shared" ca="1" si="80"/>
        <v>#VALUE!</v>
      </c>
      <c r="N760" s="7" t="e">
        <f t="shared" ca="1" si="81"/>
        <v>#VALUE!</v>
      </c>
      <c r="O760" s="7" t="e">
        <f t="shared" ca="1" si="82"/>
        <v>#VALUE!</v>
      </c>
      <c r="P760" s="7" t="e">
        <f t="shared" ca="1" si="83"/>
        <v>#VALUE!</v>
      </c>
    </row>
    <row r="761" spans="1:16" x14ac:dyDescent="0.25">
      <c r="A761" s="19" t="str">
        <f ca="1">IF(OR(INDIRECT("'" &amp; Master!$F$8 &amp; Master!$F$6 &amp; "'!A" &amp; ROW(A761))="", INDIRECT("'" &amp; Master!$F$8 &amp; Master!$F$6 &amp; "'!A" &amp; ROW(A761))=0), "", INDIRECT("'" &amp; Master!$F$8 &amp; Master!$F$6 &amp; "'!A" &amp; ROW(A761)))</f>
        <v/>
      </c>
      <c r="B761" s="4" t="e">
        <f ca="1">SplineInterp(INDIRECT("A" &amp; ROW()),INDIRECT("'" &amp;Master!$F$10&amp; "'!$A$2:$A$50"),INDIRECT("'" &amp;Master!$F$10&amp; "'!$B$2:$B$50"))</f>
        <v>#VALUE!</v>
      </c>
      <c r="C761" s="4" t="e">
        <f ca="1">SplineInterp(A761,INDIRECT("'" &amp;Master!$F$10&amp; "'!$A$2:$A$50"),INDIRECT("'" &amp;Master!$F$10&amp; "'!$C$2:$C$50"))</f>
        <v>#VALUE!</v>
      </c>
      <c r="D761" s="4" t="e">
        <f ca="1">SplineInterp(A761,INDIRECT("'" &amp;Master!$F$10&amp; "'!$A$2:$A$50"),INDIRECT("'" &amp;Master!$F$10&amp; "'!$D$2:$D$50"))</f>
        <v>#VALUE!</v>
      </c>
      <c r="E761" s="4" t="e">
        <f ca="1">SplineInterp(A761,INDIRECT("'" &amp;Master!$F$10&amp; "'!$A$2:$A$50"),INDIRECT("'" &amp;Master!$F$10&amp; "'!$E$2:$E$50"))</f>
        <v>#VALUE!</v>
      </c>
      <c r="F761" s="4" t="e">
        <f ca="1">SplineInterp(A761,INDIRECT("'" &amp;Master!$F$10&amp; "'!$A$2:$A$50"),INDIRECT("'" &amp;Master!$F$10&amp; "'!$F$2:$F$50"))</f>
        <v>#VALUE!</v>
      </c>
      <c r="G761" s="4" t="e">
        <f ca="1">SplineInterp(A761,INDIRECT("'" &amp;Master!$F$10&amp; "'!$A$2:$A$50"),INDIRECT("'" &amp;Master!$F$10&amp; "'!$G$2:$G$50"))</f>
        <v>#VALUE!</v>
      </c>
      <c r="H761" s="4" t="e">
        <f ca="1">SplineInterp(A761,INDIRECT("'" &amp;Master!$F$10&amp; "'!$A$2:$A$50"),INDIRECT("'" &amp;Master!$F$10&amp; "'!$H$2:$H$50"))</f>
        <v>#VALUE!</v>
      </c>
      <c r="I761" s="4" t="e">
        <f ca="1">IF(OR(INDIRECT("'" &amp; Master!$F$8 &amp; Master!$F$6 &amp; "'!B" &amp; ROW(B761))="", INDIRECT("'" &amp; Master!$F$8 &amp; Master!$F$6 &amp; "'!B" &amp; ROW(B761))=0), "", INDIRECT("'" &amp; Master!$F$8 &amp; Master!$F$6 &amp; "'!B" &amp; ROW(B761)))</f>
        <v>#VALUE!</v>
      </c>
      <c r="J761" s="9" t="e">
        <f t="shared" ca="1" si="77"/>
        <v>#VALUE!</v>
      </c>
      <c r="K761" s="7" t="e">
        <f t="shared" ca="1" si="78"/>
        <v>#VALUE!</v>
      </c>
      <c r="L761" s="7" t="e">
        <f t="shared" ca="1" si="79"/>
        <v>#VALUE!</v>
      </c>
      <c r="M761" s="7" t="e">
        <f t="shared" ca="1" si="80"/>
        <v>#VALUE!</v>
      </c>
      <c r="N761" s="7" t="e">
        <f t="shared" ca="1" si="81"/>
        <v>#VALUE!</v>
      </c>
      <c r="O761" s="7" t="e">
        <f t="shared" ca="1" si="82"/>
        <v>#VALUE!</v>
      </c>
      <c r="P761" s="7" t="e">
        <f t="shared" ca="1" si="83"/>
        <v>#VALUE!</v>
      </c>
    </row>
    <row r="762" spans="1:16" x14ac:dyDescent="0.25">
      <c r="A762" s="19" t="str">
        <f ca="1">IF(OR(INDIRECT("'" &amp; Master!$F$8 &amp; Master!$F$6 &amp; "'!A" &amp; ROW(A762))="", INDIRECT("'" &amp; Master!$F$8 &amp; Master!$F$6 &amp; "'!A" &amp; ROW(A762))=0), "", INDIRECT("'" &amp; Master!$F$8 &amp; Master!$F$6 &amp; "'!A" &amp; ROW(A762)))</f>
        <v/>
      </c>
      <c r="B762" s="4" t="e">
        <f ca="1">SplineInterp(INDIRECT("A" &amp; ROW()),INDIRECT("'" &amp;Master!$F$10&amp; "'!$A$2:$A$50"),INDIRECT("'" &amp;Master!$F$10&amp; "'!$B$2:$B$50"))</f>
        <v>#VALUE!</v>
      </c>
      <c r="C762" s="4" t="e">
        <f ca="1">SplineInterp(A762,INDIRECT("'" &amp;Master!$F$10&amp; "'!$A$2:$A$50"),INDIRECT("'" &amp;Master!$F$10&amp; "'!$C$2:$C$50"))</f>
        <v>#VALUE!</v>
      </c>
      <c r="D762" s="4" t="e">
        <f ca="1">SplineInterp(A762,INDIRECT("'" &amp;Master!$F$10&amp; "'!$A$2:$A$50"),INDIRECT("'" &amp;Master!$F$10&amp; "'!$D$2:$D$50"))</f>
        <v>#VALUE!</v>
      </c>
      <c r="E762" s="4" t="e">
        <f ca="1">SplineInterp(A762,INDIRECT("'" &amp;Master!$F$10&amp; "'!$A$2:$A$50"),INDIRECT("'" &amp;Master!$F$10&amp; "'!$E$2:$E$50"))</f>
        <v>#VALUE!</v>
      </c>
      <c r="F762" s="4" t="e">
        <f ca="1">SplineInterp(A762,INDIRECT("'" &amp;Master!$F$10&amp; "'!$A$2:$A$50"),INDIRECT("'" &amp;Master!$F$10&amp; "'!$F$2:$F$50"))</f>
        <v>#VALUE!</v>
      </c>
      <c r="G762" s="4" t="e">
        <f ca="1">SplineInterp(A762,INDIRECT("'" &amp;Master!$F$10&amp; "'!$A$2:$A$50"),INDIRECT("'" &amp;Master!$F$10&amp; "'!$G$2:$G$50"))</f>
        <v>#VALUE!</v>
      </c>
      <c r="H762" s="4" t="e">
        <f ca="1">SplineInterp(A762,INDIRECT("'" &amp;Master!$F$10&amp; "'!$A$2:$A$50"),INDIRECT("'" &amp;Master!$F$10&amp; "'!$H$2:$H$50"))</f>
        <v>#VALUE!</v>
      </c>
      <c r="I762" s="4" t="e">
        <f ca="1">IF(OR(INDIRECT("'" &amp; Master!$F$8 &amp; Master!$F$6 &amp; "'!B" &amp; ROW(B762))="", INDIRECT("'" &amp; Master!$F$8 &amp; Master!$F$6 &amp; "'!B" &amp; ROW(B762))=0), "", INDIRECT("'" &amp; Master!$F$8 &amp; Master!$F$6 &amp; "'!B" &amp; ROW(B762)))</f>
        <v>#VALUE!</v>
      </c>
      <c r="J762" s="9" t="e">
        <f t="shared" ca="1" si="77"/>
        <v>#VALUE!</v>
      </c>
      <c r="K762" s="7" t="e">
        <f t="shared" ca="1" si="78"/>
        <v>#VALUE!</v>
      </c>
      <c r="L762" s="7" t="e">
        <f t="shared" ca="1" si="79"/>
        <v>#VALUE!</v>
      </c>
      <c r="M762" s="7" t="e">
        <f t="shared" ca="1" si="80"/>
        <v>#VALUE!</v>
      </c>
      <c r="N762" s="7" t="e">
        <f t="shared" ca="1" si="81"/>
        <v>#VALUE!</v>
      </c>
      <c r="O762" s="7" t="e">
        <f t="shared" ca="1" si="82"/>
        <v>#VALUE!</v>
      </c>
      <c r="P762" s="7" t="e">
        <f t="shared" ca="1" si="83"/>
        <v>#VALUE!</v>
      </c>
    </row>
    <row r="763" spans="1:16" x14ac:dyDescent="0.25">
      <c r="A763" s="19" t="str">
        <f ca="1">IF(OR(INDIRECT("'" &amp; Master!$F$8 &amp; Master!$F$6 &amp; "'!A" &amp; ROW(A763))="", INDIRECT("'" &amp; Master!$F$8 &amp; Master!$F$6 &amp; "'!A" &amp; ROW(A763))=0), "", INDIRECT("'" &amp; Master!$F$8 &amp; Master!$F$6 &amp; "'!A" &amp; ROW(A763)))</f>
        <v/>
      </c>
      <c r="B763" s="4" t="e">
        <f ca="1">SplineInterp(INDIRECT("A" &amp; ROW()),INDIRECT("'" &amp;Master!$F$10&amp; "'!$A$2:$A$50"),INDIRECT("'" &amp;Master!$F$10&amp; "'!$B$2:$B$50"))</f>
        <v>#VALUE!</v>
      </c>
      <c r="C763" s="4" t="e">
        <f ca="1">SplineInterp(A763,INDIRECT("'" &amp;Master!$F$10&amp; "'!$A$2:$A$50"),INDIRECT("'" &amp;Master!$F$10&amp; "'!$C$2:$C$50"))</f>
        <v>#VALUE!</v>
      </c>
      <c r="D763" s="4" t="e">
        <f ca="1">SplineInterp(A763,INDIRECT("'" &amp;Master!$F$10&amp; "'!$A$2:$A$50"),INDIRECT("'" &amp;Master!$F$10&amp; "'!$D$2:$D$50"))</f>
        <v>#VALUE!</v>
      </c>
      <c r="E763" s="4" t="e">
        <f ca="1">SplineInterp(A763,INDIRECT("'" &amp;Master!$F$10&amp; "'!$A$2:$A$50"),INDIRECT("'" &amp;Master!$F$10&amp; "'!$E$2:$E$50"))</f>
        <v>#VALUE!</v>
      </c>
      <c r="F763" s="4" t="e">
        <f ca="1">SplineInterp(A763,INDIRECT("'" &amp;Master!$F$10&amp; "'!$A$2:$A$50"),INDIRECT("'" &amp;Master!$F$10&amp; "'!$F$2:$F$50"))</f>
        <v>#VALUE!</v>
      </c>
      <c r="G763" s="4" t="e">
        <f ca="1">SplineInterp(A763,INDIRECT("'" &amp;Master!$F$10&amp; "'!$A$2:$A$50"),INDIRECT("'" &amp;Master!$F$10&amp; "'!$G$2:$G$50"))</f>
        <v>#VALUE!</v>
      </c>
      <c r="H763" s="4" t="e">
        <f ca="1">SplineInterp(A763,INDIRECT("'" &amp;Master!$F$10&amp; "'!$A$2:$A$50"),INDIRECT("'" &amp;Master!$F$10&amp; "'!$H$2:$H$50"))</f>
        <v>#VALUE!</v>
      </c>
      <c r="I763" s="4" t="e">
        <f ca="1">IF(OR(INDIRECT("'" &amp; Master!$F$8 &amp; Master!$F$6 &amp; "'!B" &amp; ROW(B763))="", INDIRECT("'" &amp; Master!$F$8 &amp; Master!$F$6 &amp; "'!B" &amp; ROW(B763))=0), "", INDIRECT("'" &amp; Master!$F$8 &amp; Master!$F$6 &amp; "'!B" &amp; ROW(B763)))</f>
        <v>#VALUE!</v>
      </c>
      <c r="J763" s="9" t="e">
        <f t="shared" ca="1" si="77"/>
        <v>#VALUE!</v>
      </c>
      <c r="K763" s="7" t="e">
        <f t="shared" ca="1" si="78"/>
        <v>#VALUE!</v>
      </c>
      <c r="L763" s="7" t="e">
        <f t="shared" ca="1" si="79"/>
        <v>#VALUE!</v>
      </c>
      <c r="M763" s="7" t="e">
        <f t="shared" ca="1" si="80"/>
        <v>#VALUE!</v>
      </c>
      <c r="N763" s="7" t="e">
        <f t="shared" ca="1" si="81"/>
        <v>#VALUE!</v>
      </c>
      <c r="O763" s="7" t="e">
        <f t="shared" ca="1" si="82"/>
        <v>#VALUE!</v>
      </c>
      <c r="P763" s="7" t="e">
        <f t="shared" ca="1" si="83"/>
        <v>#VALUE!</v>
      </c>
    </row>
    <row r="764" spans="1:16" x14ac:dyDescent="0.25">
      <c r="A764" s="19" t="str">
        <f ca="1">IF(OR(INDIRECT("'" &amp; Master!$F$8 &amp; Master!$F$6 &amp; "'!A" &amp; ROW(A764))="", INDIRECT("'" &amp; Master!$F$8 &amp; Master!$F$6 &amp; "'!A" &amp; ROW(A764))=0), "", INDIRECT("'" &amp; Master!$F$8 &amp; Master!$F$6 &amp; "'!A" &amp; ROW(A764)))</f>
        <v/>
      </c>
      <c r="B764" s="4" t="e">
        <f ca="1">SplineInterp(INDIRECT("A" &amp; ROW()),INDIRECT("'" &amp;Master!$F$10&amp; "'!$A$2:$A$50"),INDIRECT("'" &amp;Master!$F$10&amp; "'!$B$2:$B$50"))</f>
        <v>#VALUE!</v>
      </c>
      <c r="C764" s="4" t="e">
        <f ca="1">SplineInterp(A764,INDIRECT("'" &amp;Master!$F$10&amp; "'!$A$2:$A$50"),INDIRECT("'" &amp;Master!$F$10&amp; "'!$C$2:$C$50"))</f>
        <v>#VALUE!</v>
      </c>
      <c r="D764" s="4" t="e">
        <f ca="1">SplineInterp(A764,INDIRECT("'" &amp;Master!$F$10&amp; "'!$A$2:$A$50"),INDIRECT("'" &amp;Master!$F$10&amp; "'!$D$2:$D$50"))</f>
        <v>#VALUE!</v>
      </c>
      <c r="E764" s="4" t="e">
        <f ca="1">SplineInterp(A764,INDIRECT("'" &amp;Master!$F$10&amp; "'!$A$2:$A$50"),INDIRECT("'" &amp;Master!$F$10&amp; "'!$E$2:$E$50"))</f>
        <v>#VALUE!</v>
      </c>
      <c r="F764" s="4" t="e">
        <f ca="1">SplineInterp(A764,INDIRECT("'" &amp;Master!$F$10&amp; "'!$A$2:$A$50"),INDIRECT("'" &amp;Master!$F$10&amp; "'!$F$2:$F$50"))</f>
        <v>#VALUE!</v>
      </c>
      <c r="G764" s="4" t="e">
        <f ca="1">SplineInterp(A764,INDIRECT("'" &amp;Master!$F$10&amp; "'!$A$2:$A$50"),INDIRECT("'" &amp;Master!$F$10&amp; "'!$G$2:$G$50"))</f>
        <v>#VALUE!</v>
      </c>
      <c r="H764" s="4" t="e">
        <f ca="1">SplineInterp(A764,INDIRECT("'" &amp;Master!$F$10&amp; "'!$A$2:$A$50"),INDIRECT("'" &amp;Master!$F$10&amp; "'!$H$2:$H$50"))</f>
        <v>#VALUE!</v>
      </c>
      <c r="I764" s="4" t="e">
        <f ca="1">IF(OR(INDIRECT("'" &amp; Master!$F$8 &amp; Master!$F$6 &amp; "'!B" &amp; ROW(B764))="", INDIRECT("'" &amp; Master!$F$8 &amp; Master!$F$6 &amp; "'!B" &amp; ROW(B764))=0), "", INDIRECT("'" &amp; Master!$F$8 &amp; Master!$F$6 &amp; "'!B" &amp; ROW(B764)))</f>
        <v>#VALUE!</v>
      </c>
      <c r="J764" s="9" t="e">
        <f t="shared" ca="1" si="77"/>
        <v>#VALUE!</v>
      </c>
      <c r="K764" s="7" t="e">
        <f t="shared" ca="1" si="78"/>
        <v>#VALUE!</v>
      </c>
      <c r="L764" s="7" t="e">
        <f t="shared" ca="1" si="79"/>
        <v>#VALUE!</v>
      </c>
      <c r="M764" s="7" t="e">
        <f t="shared" ca="1" si="80"/>
        <v>#VALUE!</v>
      </c>
      <c r="N764" s="7" t="e">
        <f t="shared" ca="1" si="81"/>
        <v>#VALUE!</v>
      </c>
      <c r="O764" s="7" t="e">
        <f t="shared" ca="1" si="82"/>
        <v>#VALUE!</v>
      </c>
      <c r="P764" s="7" t="e">
        <f t="shared" ca="1" si="83"/>
        <v>#VALUE!</v>
      </c>
    </row>
    <row r="765" spans="1:16" x14ac:dyDescent="0.25">
      <c r="A765" s="19" t="str">
        <f ca="1">IF(OR(INDIRECT("'" &amp; Master!$F$8 &amp; Master!$F$6 &amp; "'!A" &amp; ROW(A765))="", INDIRECT("'" &amp; Master!$F$8 &amp; Master!$F$6 &amp; "'!A" &amp; ROW(A765))=0), "", INDIRECT("'" &amp; Master!$F$8 &amp; Master!$F$6 &amp; "'!A" &amp; ROW(A765)))</f>
        <v/>
      </c>
      <c r="B765" s="4" t="e">
        <f ca="1">SplineInterp(INDIRECT("A" &amp; ROW()),INDIRECT("'" &amp;Master!$F$10&amp; "'!$A$2:$A$50"),INDIRECT("'" &amp;Master!$F$10&amp; "'!$B$2:$B$50"))</f>
        <v>#VALUE!</v>
      </c>
      <c r="C765" s="4" t="e">
        <f ca="1">SplineInterp(A765,INDIRECT("'" &amp;Master!$F$10&amp; "'!$A$2:$A$50"),INDIRECT("'" &amp;Master!$F$10&amp; "'!$C$2:$C$50"))</f>
        <v>#VALUE!</v>
      </c>
      <c r="D765" s="4" t="e">
        <f ca="1">SplineInterp(A765,INDIRECT("'" &amp;Master!$F$10&amp; "'!$A$2:$A$50"),INDIRECT("'" &amp;Master!$F$10&amp; "'!$D$2:$D$50"))</f>
        <v>#VALUE!</v>
      </c>
      <c r="E765" s="4" t="e">
        <f ca="1">SplineInterp(A765,INDIRECT("'" &amp;Master!$F$10&amp; "'!$A$2:$A$50"),INDIRECT("'" &amp;Master!$F$10&amp; "'!$E$2:$E$50"))</f>
        <v>#VALUE!</v>
      </c>
      <c r="F765" s="4" t="e">
        <f ca="1">SplineInterp(A765,INDIRECT("'" &amp;Master!$F$10&amp; "'!$A$2:$A$50"),INDIRECT("'" &amp;Master!$F$10&amp; "'!$F$2:$F$50"))</f>
        <v>#VALUE!</v>
      </c>
      <c r="G765" s="4" t="e">
        <f ca="1">SplineInterp(A765,INDIRECT("'" &amp;Master!$F$10&amp; "'!$A$2:$A$50"),INDIRECT("'" &amp;Master!$F$10&amp; "'!$G$2:$G$50"))</f>
        <v>#VALUE!</v>
      </c>
      <c r="H765" s="4" t="e">
        <f ca="1">SplineInterp(A765,INDIRECT("'" &amp;Master!$F$10&amp; "'!$A$2:$A$50"),INDIRECT("'" &amp;Master!$F$10&amp; "'!$H$2:$H$50"))</f>
        <v>#VALUE!</v>
      </c>
      <c r="I765" s="4" t="e">
        <f ca="1">IF(OR(INDIRECT("'" &amp; Master!$F$8 &amp; Master!$F$6 &amp; "'!B" &amp; ROW(B765))="", INDIRECT("'" &amp; Master!$F$8 &amp; Master!$F$6 &amp; "'!B" &amp; ROW(B765))=0), "", INDIRECT("'" &amp; Master!$F$8 &amp; Master!$F$6 &amp; "'!B" &amp; ROW(B765)))</f>
        <v>#VALUE!</v>
      </c>
      <c r="J765" s="9" t="e">
        <f t="shared" ca="1" si="77"/>
        <v>#VALUE!</v>
      </c>
      <c r="K765" s="7" t="e">
        <f t="shared" ca="1" si="78"/>
        <v>#VALUE!</v>
      </c>
      <c r="L765" s="7" t="e">
        <f t="shared" ca="1" si="79"/>
        <v>#VALUE!</v>
      </c>
      <c r="M765" s="7" t="e">
        <f t="shared" ca="1" si="80"/>
        <v>#VALUE!</v>
      </c>
      <c r="N765" s="7" t="e">
        <f t="shared" ca="1" si="81"/>
        <v>#VALUE!</v>
      </c>
      <c r="O765" s="7" t="e">
        <f t="shared" ca="1" si="82"/>
        <v>#VALUE!</v>
      </c>
      <c r="P765" s="7" t="e">
        <f t="shared" ca="1" si="83"/>
        <v>#VALUE!</v>
      </c>
    </row>
    <row r="766" spans="1:16" x14ac:dyDescent="0.25">
      <c r="A766" s="19" t="str">
        <f ca="1">IF(OR(INDIRECT("'" &amp; Master!$F$8 &amp; Master!$F$6 &amp; "'!A" &amp; ROW(A766))="", INDIRECT("'" &amp; Master!$F$8 &amp; Master!$F$6 &amp; "'!A" &amp; ROW(A766))=0), "", INDIRECT("'" &amp; Master!$F$8 &amp; Master!$F$6 &amp; "'!A" &amp; ROW(A766)))</f>
        <v/>
      </c>
      <c r="B766" s="4" t="e">
        <f ca="1">SplineInterp(INDIRECT("A" &amp; ROW()),INDIRECT("'" &amp;Master!$F$10&amp; "'!$A$2:$A$50"),INDIRECT("'" &amp;Master!$F$10&amp; "'!$B$2:$B$50"))</f>
        <v>#VALUE!</v>
      </c>
      <c r="C766" s="4" t="e">
        <f ca="1">SplineInterp(A766,INDIRECT("'" &amp;Master!$F$10&amp; "'!$A$2:$A$50"),INDIRECT("'" &amp;Master!$F$10&amp; "'!$C$2:$C$50"))</f>
        <v>#VALUE!</v>
      </c>
      <c r="D766" s="4" t="e">
        <f ca="1">SplineInterp(A766,INDIRECT("'" &amp;Master!$F$10&amp; "'!$A$2:$A$50"),INDIRECT("'" &amp;Master!$F$10&amp; "'!$D$2:$D$50"))</f>
        <v>#VALUE!</v>
      </c>
      <c r="E766" s="4" t="e">
        <f ca="1">SplineInterp(A766,INDIRECT("'" &amp;Master!$F$10&amp; "'!$A$2:$A$50"),INDIRECT("'" &amp;Master!$F$10&amp; "'!$E$2:$E$50"))</f>
        <v>#VALUE!</v>
      </c>
      <c r="F766" s="4" t="e">
        <f ca="1">SplineInterp(A766,INDIRECT("'" &amp;Master!$F$10&amp; "'!$A$2:$A$50"),INDIRECT("'" &amp;Master!$F$10&amp; "'!$F$2:$F$50"))</f>
        <v>#VALUE!</v>
      </c>
      <c r="G766" s="4" t="e">
        <f ca="1">SplineInterp(A766,INDIRECT("'" &amp;Master!$F$10&amp; "'!$A$2:$A$50"),INDIRECT("'" &amp;Master!$F$10&amp; "'!$G$2:$G$50"))</f>
        <v>#VALUE!</v>
      </c>
      <c r="H766" s="4" t="e">
        <f ca="1">SplineInterp(A766,INDIRECT("'" &amp;Master!$F$10&amp; "'!$A$2:$A$50"),INDIRECT("'" &amp;Master!$F$10&amp; "'!$H$2:$H$50"))</f>
        <v>#VALUE!</v>
      </c>
      <c r="I766" s="4" t="e">
        <f ca="1">IF(OR(INDIRECT("'" &amp; Master!$F$8 &amp; Master!$F$6 &amp; "'!B" &amp; ROW(B766))="", INDIRECT("'" &amp; Master!$F$8 &amp; Master!$F$6 &amp; "'!B" &amp; ROW(B766))=0), "", INDIRECT("'" &amp; Master!$F$8 &amp; Master!$F$6 &amp; "'!B" &amp; ROW(B766)))</f>
        <v>#VALUE!</v>
      </c>
      <c r="J766" s="9" t="e">
        <f t="shared" ca="1" si="77"/>
        <v>#VALUE!</v>
      </c>
      <c r="K766" s="7" t="e">
        <f t="shared" ca="1" si="78"/>
        <v>#VALUE!</v>
      </c>
      <c r="L766" s="7" t="e">
        <f t="shared" ca="1" si="79"/>
        <v>#VALUE!</v>
      </c>
      <c r="M766" s="7" t="e">
        <f t="shared" ca="1" si="80"/>
        <v>#VALUE!</v>
      </c>
      <c r="N766" s="7" t="e">
        <f t="shared" ca="1" si="81"/>
        <v>#VALUE!</v>
      </c>
      <c r="O766" s="7" t="e">
        <f t="shared" ca="1" si="82"/>
        <v>#VALUE!</v>
      </c>
      <c r="P766" s="7" t="e">
        <f t="shared" ca="1" si="83"/>
        <v>#VALUE!</v>
      </c>
    </row>
    <row r="767" spans="1:16" x14ac:dyDescent="0.25">
      <c r="A767" s="19" t="str">
        <f ca="1">IF(OR(INDIRECT("'" &amp; Master!$F$8 &amp; Master!$F$6 &amp; "'!A" &amp; ROW(A767))="", INDIRECT("'" &amp; Master!$F$8 &amp; Master!$F$6 &amp; "'!A" &amp; ROW(A767))=0), "", INDIRECT("'" &amp; Master!$F$8 &amp; Master!$F$6 &amp; "'!A" &amp; ROW(A767)))</f>
        <v/>
      </c>
      <c r="B767" s="4" t="e">
        <f ca="1">SplineInterp(INDIRECT("A" &amp; ROW()),INDIRECT("'" &amp;Master!$F$10&amp; "'!$A$2:$A$50"),INDIRECT("'" &amp;Master!$F$10&amp; "'!$B$2:$B$50"))</f>
        <v>#VALUE!</v>
      </c>
      <c r="C767" s="4" t="e">
        <f ca="1">SplineInterp(A767,INDIRECT("'" &amp;Master!$F$10&amp; "'!$A$2:$A$50"),INDIRECT("'" &amp;Master!$F$10&amp; "'!$C$2:$C$50"))</f>
        <v>#VALUE!</v>
      </c>
      <c r="D767" s="4" t="e">
        <f ca="1">SplineInterp(A767,INDIRECT("'" &amp;Master!$F$10&amp; "'!$A$2:$A$50"),INDIRECT("'" &amp;Master!$F$10&amp; "'!$D$2:$D$50"))</f>
        <v>#VALUE!</v>
      </c>
      <c r="E767" s="4" t="e">
        <f ca="1">SplineInterp(A767,INDIRECT("'" &amp;Master!$F$10&amp; "'!$A$2:$A$50"),INDIRECT("'" &amp;Master!$F$10&amp; "'!$E$2:$E$50"))</f>
        <v>#VALUE!</v>
      </c>
      <c r="F767" s="4" t="e">
        <f ca="1">SplineInterp(A767,INDIRECT("'" &amp;Master!$F$10&amp; "'!$A$2:$A$50"),INDIRECT("'" &amp;Master!$F$10&amp; "'!$F$2:$F$50"))</f>
        <v>#VALUE!</v>
      </c>
      <c r="G767" s="4" t="e">
        <f ca="1">SplineInterp(A767,INDIRECT("'" &amp;Master!$F$10&amp; "'!$A$2:$A$50"),INDIRECT("'" &amp;Master!$F$10&amp; "'!$G$2:$G$50"))</f>
        <v>#VALUE!</v>
      </c>
      <c r="H767" s="4" t="e">
        <f ca="1">SplineInterp(A767,INDIRECT("'" &amp;Master!$F$10&amp; "'!$A$2:$A$50"),INDIRECT("'" &amp;Master!$F$10&amp; "'!$H$2:$H$50"))</f>
        <v>#VALUE!</v>
      </c>
      <c r="I767" s="4" t="e">
        <f ca="1">IF(OR(INDIRECT("'" &amp; Master!$F$8 &amp; Master!$F$6 &amp; "'!B" &amp; ROW(B767))="", INDIRECT("'" &amp; Master!$F$8 &amp; Master!$F$6 &amp; "'!B" &amp; ROW(B767))=0), "", INDIRECT("'" &amp; Master!$F$8 &amp; Master!$F$6 &amp; "'!B" &amp; ROW(B767)))</f>
        <v>#VALUE!</v>
      </c>
      <c r="J767" s="9" t="e">
        <f t="shared" ca="1" si="77"/>
        <v>#VALUE!</v>
      </c>
      <c r="K767" s="7" t="e">
        <f t="shared" ca="1" si="78"/>
        <v>#VALUE!</v>
      </c>
      <c r="L767" s="7" t="e">
        <f t="shared" ca="1" si="79"/>
        <v>#VALUE!</v>
      </c>
      <c r="M767" s="7" t="e">
        <f t="shared" ca="1" si="80"/>
        <v>#VALUE!</v>
      </c>
      <c r="N767" s="7" t="e">
        <f t="shared" ca="1" si="81"/>
        <v>#VALUE!</v>
      </c>
      <c r="O767" s="7" t="e">
        <f t="shared" ca="1" si="82"/>
        <v>#VALUE!</v>
      </c>
      <c r="P767" s="7" t="e">
        <f t="shared" ca="1" si="83"/>
        <v>#VALUE!</v>
      </c>
    </row>
    <row r="768" spans="1:16" x14ac:dyDescent="0.25">
      <c r="A768" s="19" t="str">
        <f ca="1">IF(OR(INDIRECT("'" &amp; Master!$F$8 &amp; Master!$F$6 &amp; "'!A" &amp; ROW(A768))="", INDIRECT("'" &amp; Master!$F$8 &amp; Master!$F$6 &amp; "'!A" &amp; ROW(A768))=0), "", INDIRECT("'" &amp; Master!$F$8 &amp; Master!$F$6 &amp; "'!A" &amp; ROW(A768)))</f>
        <v/>
      </c>
      <c r="B768" s="4" t="e">
        <f ca="1">SplineInterp(INDIRECT("A" &amp; ROW()),INDIRECT("'" &amp;Master!$F$10&amp; "'!$A$2:$A$50"),INDIRECT("'" &amp;Master!$F$10&amp; "'!$B$2:$B$50"))</f>
        <v>#VALUE!</v>
      </c>
      <c r="C768" s="4" t="e">
        <f ca="1">SplineInterp(A768,INDIRECT("'" &amp;Master!$F$10&amp; "'!$A$2:$A$50"),INDIRECT("'" &amp;Master!$F$10&amp; "'!$C$2:$C$50"))</f>
        <v>#VALUE!</v>
      </c>
      <c r="D768" s="4" t="e">
        <f ca="1">SplineInterp(A768,INDIRECT("'" &amp;Master!$F$10&amp; "'!$A$2:$A$50"),INDIRECT("'" &amp;Master!$F$10&amp; "'!$D$2:$D$50"))</f>
        <v>#VALUE!</v>
      </c>
      <c r="E768" s="4" t="e">
        <f ca="1">SplineInterp(A768,INDIRECT("'" &amp;Master!$F$10&amp; "'!$A$2:$A$50"),INDIRECT("'" &amp;Master!$F$10&amp; "'!$E$2:$E$50"))</f>
        <v>#VALUE!</v>
      </c>
      <c r="F768" s="4" t="e">
        <f ca="1">SplineInterp(A768,INDIRECT("'" &amp;Master!$F$10&amp; "'!$A$2:$A$50"),INDIRECT("'" &amp;Master!$F$10&amp; "'!$F$2:$F$50"))</f>
        <v>#VALUE!</v>
      </c>
      <c r="G768" s="4" t="e">
        <f ca="1">SplineInterp(A768,INDIRECT("'" &amp;Master!$F$10&amp; "'!$A$2:$A$50"),INDIRECT("'" &amp;Master!$F$10&amp; "'!$G$2:$G$50"))</f>
        <v>#VALUE!</v>
      </c>
      <c r="H768" s="4" t="e">
        <f ca="1">SplineInterp(A768,INDIRECT("'" &amp;Master!$F$10&amp; "'!$A$2:$A$50"),INDIRECT("'" &amp;Master!$F$10&amp; "'!$H$2:$H$50"))</f>
        <v>#VALUE!</v>
      </c>
      <c r="I768" s="4" t="e">
        <f ca="1">IF(OR(INDIRECT("'" &amp; Master!$F$8 &amp; Master!$F$6 &amp; "'!B" &amp; ROW(B768))="", INDIRECT("'" &amp; Master!$F$8 &amp; Master!$F$6 &amp; "'!B" &amp; ROW(B768))=0), "", INDIRECT("'" &amp; Master!$F$8 &amp; Master!$F$6 &amp; "'!B" &amp; ROW(B768)))</f>
        <v>#VALUE!</v>
      </c>
      <c r="J768" s="9" t="e">
        <f t="shared" ca="1" si="77"/>
        <v>#VALUE!</v>
      </c>
      <c r="K768" s="7" t="e">
        <f t="shared" ca="1" si="78"/>
        <v>#VALUE!</v>
      </c>
      <c r="L768" s="7" t="e">
        <f t="shared" ca="1" si="79"/>
        <v>#VALUE!</v>
      </c>
      <c r="M768" s="7" t="e">
        <f t="shared" ca="1" si="80"/>
        <v>#VALUE!</v>
      </c>
      <c r="N768" s="7" t="e">
        <f t="shared" ca="1" si="81"/>
        <v>#VALUE!</v>
      </c>
      <c r="O768" s="7" t="e">
        <f t="shared" ca="1" si="82"/>
        <v>#VALUE!</v>
      </c>
      <c r="P768" s="7" t="e">
        <f t="shared" ca="1" si="83"/>
        <v>#VALUE!</v>
      </c>
    </row>
    <row r="769" spans="1:16" x14ac:dyDescent="0.25">
      <c r="A769" s="19" t="str">
        <f ca="1">IF(OR(INDIRECT("'" &amp; Master!$F$8 &amp; Master!$F$6 &amp; "'!A" &amp; ROW(A769))="", INDIRECT("'" &amp; Master!$F$8 &amp; Master!$F$6 &amp; "'!A" &amp; ROW(A769))=0), "", INDIRECT("'" &amp; Master!$F$8 &amp; Master!$F$6 &amp; "'!A" &amp; ROW(A769)))</f>
        <v/>
      </c>
      <c r="B769" s="4" t="e">
        <f ca="1">SplineInterp(INDIRECT("A" &amp; ROW()),INDIRECT("'" &amp;Master!$F$10&amp; "'!$A$2:$A$50"),INDIRECT("'" &amp;Master!$F$10&amp; "'!$B$2:$B$50"))</f>
        <v>#VALUE!</v>
      </c>
      <c r="C769" s="4" t="e">
        <f ca="1">SplineInterp(A769,INDIRECT("'" &amp;Master!$F$10&amp; "'!$A$2:$A$50"),INDIRECT("'" &amp;Master!$F$10&amp; "'!$C$2:$C$50"))</f>
        <v>#VALUE!</v>
      </c>
      <c r="D769" s="4" t="e">
        <f ca="1">SplineInterp(A769,INDIRECT("'" &amp;Master!$F$10&amp; "'!$A$2:$A$50"),INDIRECT("'" &amp;Master!$F$10&amp; "'!$D$2:$D$50"))</f>
        <v>#VALUE!</v>
      </c>
      <c r="E769" s="4" t="e">
        <f ca="1">SplineInterp(A769,INDIRECT("'" &amp;Master!$F$10&amp; "'!$A$2:$A$50"),INDIRECT("'" &amp;Master!$F$10&amp; "'!$E$2:$E$50"))</f>
        <v>#VALUE!</v>
      </c>
      <c r="F769" s="4" t="e">
        <f ca="1">SplineInterp(A769,INDIRECT("'" &amp;Master!$F$10&amp; "'!$A$2:$A$50"),INDIRECT("'" &amp;Master!$F$10&amp; "'!$F$2:$F$50"))</f>
        <v>#VALUE!</v>
      </c>
      <c r="G769" s="4" t="e">
        <f ca="1">SplineInterp(A769,INDIRECT("'" &amp;Master!$F$10&amp; "'!$A$2:$A$50"),INDIRECT("'" &amp;Master!$F$10&amp; "'!$G$2:$G$50"))</f>
        <v>#VALUE!</v>
      </c>
      <c r="H769" s="4" t="e">
        <f ca="1">SplineInterp(A769,INDIRECT("'" &amp;Master!$F$10&amp; "'!$A$2:$A$50"),INDIRECT("'" &amp;Master!$F$10&amp; "'!$H$2:$H$50"))</f>
        <v>#VALUE!</v>
      </c>
      <c r="I769" s="4" t="e">
        <f ca="1">IF(OR(INDIRECT("'" &amp; Master!$F$8 &amp; Master!$F$6 &amp; "'!B" &amp; ROW(B769))="", INDIRECT("'" &amp; Master!$F$8 &amp; Master!$F$6 &amp; "'!B" &amp; ROW(B769))=0), "", INDIRECT("'" &amp; Master!$F$8 &amp; Master!$F$6 &amp; "'!B" &amp; ROW(B769)))</f>
        <v>#VALUE!</v>
      </c>
      <c r="J769" s="9" t="e">
        <f t="shared" ca="1" si="77"/>
        <v>#VALUE!</v>
      </c>
      <c r="K769" s="7" t="e">
        <f t="shared" ca="1" si="78"/>
        <v>#VALUE!</v>
      </c>
      <c r="L769" s="7" t="e">
        <f t="shared" ca="1" si="79"/>
        <v>#VALUE!</v>
      </c>
      <c r="M769" s="7" t="e">
        <f t="shared" ca="1" si="80"/>
        <v>#VALUE!</v>
      </c>
      <c r="N769" s="7" t="e">
        <f t="shared" ca="1" si="81"/>
        <v>#VALUE!</v>
      </c>
      <c r="O769" s="7" t="e">
        <f t="shared" ca="1" si="82"/>
        <v>#VALUE!</v>
      </c>
      <c r="P769" s="7" t="e">
        <f t="shared" ca="1" si="83"/>
        <v>#VALUE!</v>
      </c>
    </row>
    <row r="770" spans="1:16" x14ac:dyDescent="0.25">
      <c r="A770" s="19" t="str">
        <f ca="1">IF(OR(INDIRECT("'" &amp; Master!$F$8 &amp; Master!$F$6 &amp; "'!A" &amp; ROW(A770))="", INDIRECT("'" &amp; Master!$F$8 &amp; Master!$F$6 &amp; "'!A" &amp; ROW(A770))=0), "", INDIRECT("'" &amp; Master!$F$8 &amp; Master!$F$6 &amp; "'!A" &amp; ROW(A770)))</f>
        <v/>
      </c>
      <c r="B770" s="4" t="e">
        <f ca="1">SplineInterp(INDIRECT("A" &amp; ROW()),INDIRECT("'" &amp;Master!$F$10&amp; "'!$A$2:$A$50"),INDIRECT("'" &amp;Master!$F$10&amp; "'!$B$2:$B$50"))</f>
        <v>#VALUE!</v>
      </c>
      <c r="C770" s="4" t="e">
        <f ca="1">SplineInterp(A770,INDIRECT("'" &amp;Master!$F$10&amp; "'!$A$2:$A$50"),INDIRECT("'" &amp;Master!$F$10&amp; "'!$C$2:$C$50"))</f>
        <v>#VALUE!</v>
      </c>
      <c r="D770" s="4" t="e">
        <f ca="1">SplineInterp(A770,INDIRECT("'" &amp;Master!$F$10&amp; "'!$A$2:$A$50"),INDIRECT("'" &amp;Master!$F$10&amp; "'!$D$2:$D$50"))</f>
        <v>#VALUE!</v>
      </c>
      <c r="E770" s="4" t="e">
        <f ca="1">SplineInterp(A770,INDIRECT("'" &amp;Master!$F$10&amp; "'!$A$2:$A$50"),INDIRECT("'" &amp;Master!$F$10&amp; "'!$E$2:$E$50"))</f>
        <v>#VALUE!</v>
      </c>
      <c r="F770" s="4" t="e">
        <f ca="1">SplineInterp(A770,INDIRECT("'" &amp;Master!$F$10&amp; "'!$A$2:$A$50"),INDIRECT("'" &amp;Master!$F$10&amp; "'!$F$2:$F$50"))</f>
        <v>#VALUE!</v>
      </c>
      <c r="G770" s="4" t="e">
        <f ca="1">SplineInterp(A770,INDIRECT("'" &amp;Master!$F$10&amp; "'!$A$2:$A$50"),INDIRECT("'" &amp;Master!$F$10&amp; "'!$G$2:$G$50"))</f>
        <v>#VALUE!</v>
      </c>
      <c r="H770" s="4" t="e">
        <f ca="1">SplineInterp(A770,INDIRECT("'" &amp;Master!$F$10&amp; "'!$A$2:$A$50"),INDIRECT("'" &amp;Master!$F$10&amp; "'!$H$2:$H$50"))</f>
        <v>#VALUE!</v>
      </c>
      <c r="I770" s="4" t="e">
        <f ca="1">IF(OR(INDIRECT("'" &amp; Master!$F$8 &amp; Master!$F$6 &amp; "'!B" &amp; ROW(B770))="", INDIRECT("'" &amp; Master!$F$8 &amp; Master!$F$6 &amp; "'!B" &amp; ROW(B770))=0), "", INDIRECT("'" &amp; Master!$F$8 &amp; Master!$F$6 &amp; "'!B" &amp; ROW(B770)))</f>
        <v>#VALUE!</v>
      </c>
      <c r="J770" s="9" t="e">
        <f t="shared" ca="1" si="77"/>
        <v>#VALUE!</v>
      </c>
      <c r="K770" s="7" t="e">
        <f t="shared" ca="1" si="78"/>
        <v>#VALUE!</v>
      </c>
      <c r="L770" s="7" t="e">
        <f t="shared" ca="1" si="79"/>
        <v>#VALUE!</v>
      </c>
      <c r="M770" s="7" t="e">
        <f t="shared" ca="1" si="80"/>
        <v>#VALUE!</v>
      </c>
      <c r="N770" s="7" t="e">
        <f t="shared" ca="1" si="81"/>
        <v>#VALUE!</v>
      </c>
      <c r="O770" s="7" t="e">
        <f t="shared" ca="1" si="82"/>
        <v>#VALUE!</v>
      </c>
      <c r="P770" s="7" t="e">
        <f t="shared" ca="1" si="83"/>
        <v>#VALUE!</v>
      </c>
    </row>
    <row r="771" spans="1:16" x14ac:dyDescent="0.25">
      <c r="A771" s="19" t="str">
        <f ca="1">IF(OR(INDIRECT("'" &amp; Master!$F$8 &amp; Master!$F$6 &amp; "'!A" &amp; ROW(A771))="", INDIRECT("'" &amp; Master!$F$8 &amp; Master!$F$6 &amp; "'!A" &amp; ROW(A771))=0), "", INDIRECT("'" &amp; Master!$F$8 &amp; Master!$F$6 &amp; "'!A" &amp; ROW(A771)))</f>
        <v/>
      </c>
      <c r="B771" s="4" t="e">
        <f ca="1">SplineInterp(INDIRECT("A" &amp; ROW()),INDIRECT("'" &amp;Master!$F$10&amp; "'!$A$2:$A$50"),INDIRECT("'" &amp;Master!$F$10&amp; "'!$B$2:$B$50"))</f>
        <v>#VALUE!</v>
      </c>
      <c r="C771" s="4" t="e">
        <f ca="1">SplineInterp(A771,INDIRECT("'" &amp;Master!$F$10&amp; "'!$A$2:$A$50"),INDIRECT("'" &amp;Master!$F$10&amp; "'!$C$2:$C$50"))</f>
        <v>#VALUE!</v>
      </c>
      <c r="D771" s="4" t="e">
        <f ca="1">SplineInterp(A771,INDIRECT("'" &amp;Master!$F$10&amp; "'!$A$2:$A$50"),INDIRECT("'" &amp;Master!$F$10&amp; "'!$D$2:$D$50"))</f>
        <v>#VALUE!</v>
      </c>
      <c r="E771" s="4" t="e">
        <f ca="1">SplineInterp(A771,INDIRECT("'" &amp;Master!$F$10&amp; "'!$A$2:$A$50"),INDIRECT("'" &amp;Master!$F$10&amp; "'!$E$2:$E$50"))</f>
        <v>#VALUE!</v>
      </c>
      <c r="F771" s="4" t="e">
        <f ca="1">SplineInterp(A771,INDIRECT("'" &amp;Master!$F$10&amp; "'!$A$2:$A$50"),INDIRECT("'" &amp;Master!$F$10&amp; "'!$F$2:$F$50"))</f>
        <v>#VALUE!</v>
      </c>
      <c r="G771" s="4" t="e">
        <f ca="1">SplineInterp(A771,INDIRECT("'" &amp;Master!$F$10&amp; "'!$A$2:$A$50"),INDIRECT("'" &amp;Master!$F$10&amp; "'!$G$2:$G$50"))</f>
        <v>#VALUE!</v>
      </c>
      <c r="H771" s="4" t="e">
        <f ca="1">SplineInterp(A771,INDIRECT("'" &amp;Master!$F$10&amp; "'!$A$2:$A$50"),INDIRECT("'" &amp;Master!$F$10&amp; "'!$H$2:$H$50"))</f>
        <v>#VALUE!</v>
      </c>
      <c r="I771" s="4" t="e">
        <f ca="1">IF(OR(INDIRECT("'" &amp; Master!$F$8 &amp; Master!$F$6 &amp; "'!B" &amp; ROW(B771))="", INDIRECT("'" &amp; Master!$F$8 &amp; Master!$F$6 &amp; "'!B" &amp; ROW(B771))=0), "", INDIRECT("'" &amp; Master!$F$8 &amp; Master!$F$6 &amp; "'!B" &amp; ROW(B771)))</f>
        <v>#VALUE!</v>
      </c>
      <c r="J771" s="9" t="e">
        <f t="shared" ref="J771:J834" ca="1" si="84">B771*I771</f>
        <v>#VALUE!</v>
      </c>
      <c r="K771" s="7" t="e">
        <f t="shared" ref="K771:K834" ca="1" si="85">C771*I771</f>
        <v>#VALUE!</v>
      </c>
      <c r="L771" s="7" t="e">
        <f t="shared" ref="L771:L834" ca="1" si="86">D771*I771</f>
        <v>#VALUE!</v>
      </c>
      <c r="M771" s="7" t="e">
        <f t="shared" ref="M771:M834" ca="1" si="87">E771*I771</f>
        <v>#VALUE!</v>
      </c>
      <c r="N771" s="7" t="e">
        <f t="shared" ref="N771:N834" ca="1" si="88">F771*I771</f>
        <v>#VALUE!</v>
      </c>
      <c r="O771" s="7" t="e">
        <f t="shared" ref="O771:O834" ca="1" si="89">G771*I771</f>
        <v>#VALUE!</v>
      </c>
      <c r="P771" s="7" t="e">
        <f t="shared" ref="P771:P834" ca="1" si="90">H771*I771</f>
        <v>#VALUE!</v>
      </c>
    </row>
    <row r="772" spans="1:16" x14ac:dyDescent="0.25">
      <c r="A772" s="19" t="str">
        <f ca="1">IF(OR(INDIRECT("'" &amp; Master!$F$8 &amp; Master!$F$6 &amp; "'!A" &amp; ROW(A772))="", INDIRECT("'" &amp; Master!$F$8 &amp; Master!$F$6 &amp; "'!A" &amp; ROW(A772))=0), "", INDIRECT("'" &amp; Master!$F$8 &amp; Master!$F$6 &amp; "'!A" &amp; ROW(A772)))</f>
        <v/>
      </c>
      <c r="B772" s="4" t="e">
        <f ca="1">SplineInterp(INDIRECT("A" &amp; ROW()),INDIRECT("'" &amp;Master!$F$10&amp; "'!$A$2:$A$50"),INDIRECT("'" &amp;Master!$F$10&amp; "'!$B$2:$B$50"))</f>
        <v>#VALUE!</v>
      </c>
      <c r="C772" s="4" t="e">
        <f ca="1">SplineInterp(A772,INDIRECT("'" &amp;Master!$F$10&amp; "'!$A$2:$A$50"),INDIRECT("'" &amp;Master!$F$10&amp; "'!$C$2:$C$50"))</f>
        <v>#VALUE!</v>
      </c>
      <c r="D772" s="4" t="e">
        <f ca="1">SplineInterp(A772,INDIRECT("'" &amp;Master!$F$10&amp; "'!$A$2:$A$50"),INDIRECT("'" &amp;Master!$F$10&amp; "'!$D$2:$D$50"))</f>
        <v>#VALUE!</v>
      </c>
      <c r="E772" s="4" t="e">
        <f ca="1">SplineInterp(A772,INDIRECT("'" &amp;Master!$F$10&amp; "'!$A$2:$A$50"),INDIRECT("'" &amp;Master!$F$10&amp; "'!$E$2:$E$50"))</f>
        <v>#VALUE!</v>
      </c>
      <c r="F772" s="4" t="e">
        <f ca="1">SplineInterp(A772,INDIRECT("'" &amp;Master!$F$10&amp; "'!$A$2:$A$50"),INDIRECT("'" &amp;Master!$F$10&amp; "'!$F$2:$F$50"))</f>
        <v>#VALUE!</v>
      </c>
      <c r="G772" s="4" t="e">
        <f ca="1">SplineInterp(A772,INDIRECT("'" &amp;Master!$F$10&amp; "'!$A$2:$A$50"),INDIRECT("'" &amp;Master!$F$10&amp; "'!$G$2:$G$50"))</f>
        <v>#VALUE!</v>
      </c>
      <c r="H772" s="4" t="e">
        <f ca="1">SplineInterp(A772,INDIRECT("'" &amp;Master!$F$10&amp; "'!$A$2:$A$50"),INDIRECT("'" &amp;Master!$F$10&amp; "'!$H$2:$H$50"))</f>
        <v>#VALUE!</v>
      </c>
      <c r="I772" s="4" t="e">
        <f ca="1">IF(OR(INDIRECT("'" &amp; Master!$F$8 &amp; Master!$F$6 &amp; "'!B" &amp; ROW(B772))="", INDIRECT("'" &amp; Master!$F$8 &amp; Master!$F$6 &amp; "'!B" &amp; ROW(B772))=0), "", INDIRECT("'" &amp; Master!$F$8 &amp; Master!$F$6 &amp; "'!B" &amp; ROW(B772)))</f>
        <v>#VALUE!</v>
      </c>
      <c r="J772" s="9" t="e">
        <f t="shared" ca="1" si="84"/>
        <v>#VALUE!</v>
      </c>
      <c r="K772" s="7" t="e">
        <f t="shared" ca="1" si="85"/>
        <v>#VALUE!</v>
      </c>
      <c r="L772" s="7" t="e">
        <f t="shared" ca="1" si="86"/>
        <v>#VALUE!</v>
      </c>
      <c r="M772" s="7" t="e">
        <f t="shared" ca="1" si="87"/>
        <v>#VALUE!</v>
      </c>
      <c r="N772" s="7" t="e">
        <f t="shared" ca="1" si="88"/>
        <v>#VALUE!</v>
      </c>
      <c r="O772" s="7" t="e">
        <f t="shared" ca="1" si="89"/>
        <v>#VALUE!</v>
      </c>
      <c r="P772" s="7" t="e">
        <f t="shared" ca="1" si="90"/>
        <v>#VALUE!</v>
      </c>
    </row>
    <row r="773" spans="1:16" x14ac:dyDescent="0.25">
      <c r="A773" s="19" t="str">
        <f ca="1">IF(OR(INDIRECT("'" &amp; Master!$F$8 &amp; Master!$F$6 &amp; "'!A" &amp; ROW(A773))="", INDIRECT("'" &amp; Master!$F$8 &amp; Master!$F$6 &amp; "'!A" &amp; ROW(A773))=0), "", INDIRECT("'" &amp; Master!$F$8 &amp; Master!$F$6 &amp; "'!A" &amp; ROW(A773)))</f>
        <v/>
      </c>
      <c r="B773" s="4" t="e">
        <f ca="1">SplineInterp(INDIRECT("A" &amp; ROW()),INDIRECT("'" &amp;Master!$F$10&amp; "'!$A$2:$A$50"),INDIRECT("'" &amp;Master!$F$10&amp; "'!$B$2:$B$50"))</f>
        <v>#VALUE!</v>
      </c>
      <c r="C773" s="4" t="e">
        <f ca="1">SplineInterp(A773,INDIRECT("'" &amp;Master!$F$10&amp; "'!$A$2:$A$50"),INDIRECT("'" &amp;Master!$F$10&amp; "'!$C$2:$C$50"))</f>
        <v>#VALUE!</v>
      </c>
      <c r="D773" s="4" t="e">
        <f ca="1">SplineInterp(A773,INDIRECT("'" &amp;Master!$F$10&amp; "'!$A$2:$A$50"),INDIRECT("'" &amp;Master!$F$10&amp; "'!$D$2:$D$50"))</f>
        <v>#VALUE!</v>
      </c>
      <c r="E773" s="4" t="e">
        <f ca="1">SplineInterp(A773,INDIRECT("'" &amp;Master!$F$10&amp; "'!$A$2:$A$50"),INDIRECT("'" &amp;Master!$F$10&amp; "'!$E$2:$E$50"))</f>
        <v>#VALUE!</v>
      </c>
      <c r="F773" s="4" t="e">
        <f ca="1">SplineInterp(A773,INDIRECT("'" &amp;Master!$F$10&amp; "'!$A$2:$A$50"),INDIRECT("'" &amp;Master!$F$10&amp; "'!$F$2:$F$50"))</f>
        <v>#VALUE!</v>
      </c>
      <c r="G773" s="4" t="e">
        <f ca="1">SplineInterp(A773,INDIRECT("'" &amp;Master!$F$10&amp; "'!$A$2:$A$50"),INDIRECT("'" &amp;Master!$F$10&amp; "'!$G$2:$G$50"))</f>
        <v>#VALUE!</v>
      </c>
      <c r="H773" s="4" t="e">
        <f ca="1">SplineInterp(A773,INDIRECT("'" &amp;Master!$F$10&amp; "'!$A$2:$A$50"),INDIRECT("'" &amp;Master!$F$10&amp; "'!$H$2:$H$50"))</f>
        <v>#VALUE!</v>
      </c>
      <c r="I773" s="4" t="e">
        <f ca="1">IF(OR(INDIRECT("'" &amp; Master!$F$8 &amp; Master!$F$6 &amp; "'!B" &amp; ROW(B773))="", INDIRECT("'" &amp; Master!$F$8 &amp; Master!$F$6 &amp; "'!B" &amp; ROW(B773))=0), "", INDIRECT("'" &amp; Master!$F$8 &amp; Master!$F$6 &amp; "'!B" &amp; ROW(B773)))</f>
        <v>#VALUE!</v>
      </c>
      <c r="J773" s="9" t="e">
        <f t="shared" ca="1" si="84"/>
        <v>#VALUE!</v>
      </c>
      <c r="K773" s="7" t="e">
        <f t="shared" ca="1" si="85"/>
        <v>#VALUE!</v>
      </c>
      <c r="L773" s="7" t="e">
        <f t="shared" ca="1" si="86"/>
        <v>#VALUE!</v>
      </c>
      <c r="M773" s="7" t="e">
        <f t="shared" ca="1" si="87"/>
        <v>#VALUE!</v>
      </c>
      <c r="N773" s="7" t="e">
        <f t="shared" ca="1" si="88"/>
        <v>#VALUE!</v>
      </c>
      <c r="O773" s="7" t="e">
        <f t="shared" ca="1" si="89"/>
        <v>#VALUE!</v>
      </c>
      <c r="P773" s="7" t="e">
        <f t="shared" ca="1" si="90"/>
        <v>#VALUE!</v>
      </c>
    </row>
    <row r="774" spans="1:16" x14ac:dyDescent="0.25">
      <c r="A774" s="19" t="str">
        <f ca="1">IF(OR(INDIRECT("'" &amp; Master!$F$8 &amp; Master!$F$6 &amp; "'!A" &amp; ROW(A774))="", INDIRECT("'" &amp; Master!$F$8 &amp; Master!$F$6 &amp; "'!A" &amp; ROW(A774))=0), "", INDIRECT("'" &amp; Master!$F$8 &amp; Master!$F$6 &amp; "'!A" &amp; ROW(A774)))</f>
        <v/>
      </c>
      <c r="B774" s="4" t="e">
        <f ca="1">SplineInterp(INDIRECT("A" &amp; ROW()),INDIRECT("'" &amp;Master!$F$10&amp; "'!$A$2:$A$50"),INDIRECT("'" &amp;Master!$F$10&amp; "'!$B$2:$B$50"))</f>
        <v>#VALUE!</v>
      </c>
      <c r="C774" s="4" t="e">
        <f ca="1">SplineInterp(A774,INDIRECT("'" &amp;Master!$F$10&amp; "'!$A$2:$A$50"),INDIRECT("'" &amp;Master!$F$10&amp; "'!$C$2:$C$50"))</f>
        <v>#VALUE!</v>
      </c>
      <c r="D774" s="4" t="e">
        <f ca="1">SplineInterp(A774,INDIRECT("'" &amp;Master!$F$10&amp; "'!$A$2:$A$50"),INDIRECT("'" &amp;Master!$F$10&amp; "'!$D$2:$D$50"))</f>
        <v>#VALUE!</v>
      </c>
      <c r="E774" s="4" t="e">
        <f ca="1">SplineInterp(A774,INDIRECT("'" &amp;Master!$F$10&amp; "'!$A$2:$A$50"),INDIRECT("'" &amp;Master!$F$10&amp; "'!$E$2:$E$50"))</f>
        <v>#VALUE!</v>
      </c>
      <c r="F774" s="4" t="e">
        <f ca="1">SplineInterp(A774,INDIRECT("'" &amp;Master!$F$10&amp; "'!$A$2:$A$50"),INDIRECT("'" &amp;Master!$F$10&amp; "'!$F$2:$F$50"))</f>
        <v>#VALUE!</v>
      </c>
      <c r="G774" s="4" t="e">
        <f ca="1">SplineInterp(A774,INDIRECT("'" &amp;Master!$F$10&amp; "'!$A$2:$A$50"),INDIRECT("'" &amp;Master!$F$10&amp; "'!$G$2:$G$50"))</f>
        <v>#VALUE!</v>
      </c>
      <c r="H774" s="4" t="e">
        <f ca="1">SplineInterp(A774,INDIRECT("'" &amp;Master!$F$10&amp; "'!$A$2:$A$50"),INDIRECT("'" &amp;Master!$F$10&amp; "'!$H$2:$H$50"))</f>
        <v>#VALUE!</v>
      </c>
      <c r="I774" s="4" t="e">
        <f ca="1">IF(OR(INDIRECT("'" &amp; Master!$F$8 &amp; Master!$F$6 &amp; "'!B" &amp; ROW(B774))="", INDIRECT("'" &amp; Master!$F$8 &amp; Master!$F$6 &amp; "'!B" &amp; ROW(B774))=0), "", INDIRECT("'" &amp; Master!$F$8 &amp; Master!$F$6 &amp; "'!B" &amp; ROW(B774)))</f>
        <v>#VALUE!</v>
      </c>
      <c r="J774" s="9" t="e">
        <f t="shared" ca="1" si="84"/>
        <v>#VALUE!</v>
      </c>
      <c r="K774" s="7" t="e">
        <f t="shared" ca="1" si="85"/>
        <v>#VALUE!</v>
      </c>
      <c r="L774" s="7" t="e">
        <f t="shared" ca="1" si="86"/>
        <v>#VALUE!</v>
      </c>
      <c r="M774" s="7" t="e">
        <f t="shared" ca="1" si="87"/>
        <v>#VALUE!</v>
      </c>
      <c r="N774" s="7" t="e">
        <f t="shared" ca="1" si="88"/>
        <v>#VALUE!</v>
      </c>
      <c r="O774" s="7" t="e">
        <f t="shared" ca="1" si="89"/>
        <v>#VALUE!</v>
      </c>
      <c r="P774" s="7" t="e">
        <f t="shared" ca="1" si="90"/>
        <v>#VALUE!</v>
      </c>
    </row>
    <row r="775" spans="1:16" x14ac:dyDescent="0.25">
      <c r="A775" s="19" t="str">
        <f ca="1">IF(OR(INDIRECT("'" &amp; Master!$F$8 &amp; Master!$F$6 &amp; "'!A" &amp; ROW(A775))="", INDIRECT("'" &amp; Master!$F$8 &amp; Master!$F$6 &amp; "'!A" &amp; ROW(A775))=0), "", INDIRECT("'" &amp; Master!$F$8 &amp; Master!$F$6 &amp; "'!A" &amp; ROW(A775)))</f>
        <v/>
      </c>
      <c r="B775" s="4" t="e">
        <f ca="1">SplineInterp(INDIRECT("A" &amp; ROW()),INDIRECT("'" &amp;Master!$F$10&amp; "'!$A$2:$A$50"),INDIRECT("'" &amp;Master!$F$10&amp; "'!$B$2:$B$50"))</f>
        <v>#VALUE!</v>
      </c>
      <c r="C775" s="4" t="e">
        <f ca="1">SplineInterp(A775,INDIRECT("'" &amp;Master!$F$10&amp; "'!$A$2:$A$50"),INDIRECT("'" &amp;Master!$F$10&amp; "'!$C$2:$C$50"))</f>
        <v>#VALUE!</v>
      </c>
      <c r="D775" s="4" t="e">
        <f ca="1">SplineInterp(A775,INDIRECT("'" &amp;Master!$F$10&amp; "'!$A$2:$A$50"),INDIRECT("'" &amp;Master!$F$10&amp; "'!$D$2:$D$50"))</f>
        <v>#VALUE!</v>
      </c>
      <c r="E775" s="4" t="e">
        <f ca="1">SplineInterp(A775,INDIRECT("'" &amp;Master!$F$10&amp; "'!$A$2:$A$50"),INDIRECT("'" &amp;Master!$F$10&amp; "'!$E$2:$E$50"))</f>
        <v>#VALUE!</v>
      </c>
      <c r="F775" s="4" t="e">
        <f ca="1">SplineInterp(A775,INDIRECT("'" &amp;Master!$F$10&amp; "'!$A$2:$A$50"),INDIRECT("'" &amp;Master!$F$10&amp; "'!$F$2:$F$50"))</f>
        <v>#VALUE!</v>
      </c>
      <c r="G775" s="4" t="e">
        <f ca="1">SplineInterp(A775,INDIRECT("'" &amp;Master!$F$10&amp; "'!$A$2:$A$50"),INDIRECT("'" &amp;Master!$F$10&amp; "'!$G$2:$G$50"))</f>
        <v>#VALUE!</v>
      </c>
      <c r="H775" s="4" t="e">
        <f ca="1">SplineInterp(A775,INDIRECT("'" &amp;Master!$F$10&amp; "'!$A$2:$A$50"),INDIRECT("'" &amp;Master!$F$10&amp; "'!$H$2:$H$50"))</f>
        <v>#VALUE!</v>
      </c>
      <c r="I775" s="4" t="e">
        <f ca="1">IF(OR(INDIRECT("'" &amp; Master!$F$8 &amp; Master!$F$6 &amp; "'!B" &amp; ROW(B775))="", INDIRECT("'" &amp; Master!$F$8 &amp; Master!$F$6 &amp; "'!B" &amp; ROW(B775))=0), "", INDIRECT("'" &amp; Master!$F$8 &amp; Master!$F$6 &amp; "'!B" &amp; ROW(B775)))</f>
        <v>#VALUE!</v>
      </c>
      <c r="J775" s="9" t="e">
        <f t="shared" ca="1" si="84"/>
        <v>#VALUE!</v>
      </c>
      <c r="K775" s="7" t="e">
        <f t="shared" ca="1" si="85"/>
        <v>#VALUE!</v>
      </c>
      <c r="L775" s="7" t="e">
        <f t="shared" ca="1" si="86"/>
        <v>#VALUE!</v>
      </c>
      <c r="M775" s="7" t="e">
        <f t="shared" ca="1" si="87"/>
        <v>#VALUE!</v>
      </c>
      <c r="N775" s="7" t="e">
        <f t="shared" ca="1" si="88"/>
        <v>#VALUE!</v>
      </c>
      <c r="O775" s="7" t="e">
        <f t="shared" ca="1" si="89"/>
        <v>#VALUE!</v>
      </c>
      <c r="P775" s="7" t="e">
        <f t="shared" ca="1" si="90"/>
        <v>#VALUE!</v>
      </c>
    </row>
    <row r="776" spans="1:16" x14ac:dyDescent="0.25">
      <c r="A776" s="19" t="str">
        <f ca="1">IF(OR(INDIRECT("'" &amp; Master!$F$8 &amp; Master!$F$6 &amp; "'!A" &amp; ROW(A776))="", INDIRECT("'" &amp; Master!$F$8 &amp; Master!$F$6 &amp; "'!A" &amp; ROW(A776))=0), "", INDIRECT("'" &amp; Master!$F$8 &amp; Master!$F$6 &amp; "'!A" &amp; ROW(A776)))</f>
        <v/>
      </c>
      <c r="B776" s="4" t="e">
        <f ca="1">SplineInterp(INDIRECT("A" &amp; ROW()),INDIRECT("'" &amp;Master!$F$10&amp; "'!$A$2:$A$50"),INDIRECT("'" &amp;Master!$F$10&amp; "'!$B$2:$B$50"))</f>
        <v>#VALUE!</v>
      </c>
      <c r="C776" s="4" t="e">
        <f ca="1">SplineInterp(A776,INDIRECT("'" &amp;Master!$F$10&amp; "'!$A$2:$A$50"),INDIRECT("'" &amp;Master!$F$10&amp; "'!$C$2:$C$50"))</f>
        <v>#VALUE!</v>
      </c>
      <c r="D776" s="4" t="e">
        <f ca="1">SplineInterp(A776,INDIRECT("'" &amp;Master!$F$10&amp; "'!$A$2:$A$50"),INDIRECT("'" &amp;Master!$F$10&amp; "'!$D$2:$D$50"))</f>
        <v>#VALUE!</v>
      </c>
      <c r="E776" s="4" t="e">
        <f ca="1">SplineInterp(A776,INDIRECT("'" &amp;Master!$F$10&amp; "'!$A$2:$A$50"),INDIRECT("'" &amp;Master!$F$10&amp; "'!$E$2:$E$50"))</f>
        <v>#VALUE!</v>
      </c>
      <c r="F776" s="4" t="e">
        <f ca="1">SplineInterp(A776,INDIRECT("'" &amp;Master!$F$10&amp; "'!$A$2:$A$50"),INDIRECT("'" &amp;Master!$F$10&amp; "'!$F$2:$F$50"))</f>
        <v>#VALUE!</v>
      </c>
      <c r="G776" s="4" t="e">
        <f ca="1">SplineInterp(A776,INDIRECT("'" &amp;Master!$F$10&amp; "'!$A$2:$A$50"),INDIRECT("'" &amp;Master!$F$10&amp; "'!$G$2:$G$50"))</f>
        <v>#VALUE!</v>
      </c>
      <c r="H776" s="4" t="e">
        <f ca="1">SplineInterp(A776,INDIRECT("'" &amp;Master!$F$10&amp; "'!$A$2:$A$50"),INDIRECT("'" &amp;Master!$F$10&amp; "'!$H$2:$H$50"))</f>
        <v>#VALUE!</v>
      </c>
      <c r="I776" s="4" t="e">
        <f ca="1">IF(OR(INDIRECT("'" &amp; Master!$F$8 &amp; Master!$F$6 &amp; "'!B" &amp; ROW(B776))="", INDIRECT("'" &amp; Master!$F$8 &amp; Master!$F$6 &amp; "'!B" &amp; ROW(B776))=0), "", INDIRECT("'" &amp; Master!$F$8 &amp; Master!$F$6 &amp; "'!B" &amp; ROW(B776)))</f>
        <v>#VALUE!</v>
      </c>
      <c r="J776" s="9" t="e">
        <f t="shared" ca="1" si="84"/>
        <v>#VALUE!</v>
      </c>
      <c r="K776" s="7" t="e">
        <f t="shared" ca="1" si="85"/>
        <v>#VALUE!</v>
      </c>
      <c r="L776" s="7" t="e">
        <f t="shared" ca="1" si="86"/>
        <v>#VALUE!</v>
      </c>
      <c r="M776" s="7" t="e">
        <f t="shared" ca="1" si="87"/>
        <v>#VALUE!</v>
      </c>
      <c r="N776" s="7" t="e">
        <f t="shared" ca="1" si="88"/>
        <v>#VALUE!</v>
      </c>
      <c r="O776" s="7" t="e">
        <f t="shared" ca="1" si="89"/>
        <v>#VALUE!</v>
      </c>
      <c r="P776" s="7" t="e">
        <f t="shared" ca="1" si="90"/>
        <v>#VALUE!</v>
      </c>
    </row>
    <row r="777" spans="1:16" x14ac:dyDescent="0.25">
      <c r="A777" s="19" t="str">
        <f ca="1">IF(OR(INDIRECT("'" &amp; Master!$F$8 &amp; Master!$F$6 &amp; "'!A" &amp; ROW(A777))="", INDIRECT("'" &amp; Master!$F$8 &amp; Master!$F$6 &amp; "'!A" &amp; ROW(A777))=0), "", INDIRECT("'" &amp; Master!$F$8 &amp; Master!$F$6 &amp; "'!A" &amp; ROW(A777)))</f>
        <v/>
      </c>
      <c r="B777" s="4" t="e">
        <f ca="1">SplineInterp(INDIRECT("A" &amp; ROW()),INDIRECT("'" &amp;Master!$F$10&amp; "'!$A$2:$A$50"),INDIRECT("'" &amp;Master!$F$10&amp; "'!$B$2:$B$50"))</f>
        <v>#VALUE!</v>
      </c>
      <c r="C777" s="4" t="e">
        <f ca="1">SplineInterp(A777,INDIRECT("'" &amp;Master!$F$10&amp; "'!$A$2:$A$50"),INDIRECT("'" &amp;Master!$F$10&amp; "'!$C$2:$C$50"))</f>
        <v>#VALUE!</v>
      </c>
      <c r="D777" s="4" t="e">
        <f ca="1">SplineInterp(A777,INDIRECT("'" &amp;Master!$F$10&amp; "'!$A$2:$A$50"),INDIRECT("'" &amp;Master!$F$10&amp; "'!$D$2:$D$50"))</f>
        <v>#VALUE!</v>
      </c>
      <c r="E777" s="4" t="e">
        <f ca="1">SplineInterp(A777,INDIRECT("'" &amp;Master!$F$10&amp; "'!$A$2:$A$50"),INDIRECT("'" &amp;Master!$F$10&amp; "'!$E$2:$E$50"))</f>
        <v>#VALUE!</v>
      </c>
      <c r="F777" s="4" t="e">
        <f ca="1">SplineInterp(A777,INDIRECT("'" &amp;Master!$F$10&amp; "'!$A$2:$A$50"),INDIRECT("'" &amp;Master!$F$10&amp; "'!$F$2:$F$50"))</f>
        <v>#VALUE!</v>
      </c>
      <c r="G777" s="4" t="e">
        <f ca="1">SplineInterp(A777,INDIRECT("'" &amp;Master!$F$10&amp; "'!$A$2:$A$50"),INDIRECT("'" &amp;Master!$F$10&amp; "'!$G$2:$G$50"))</f>
        <v>#VALUE!</v>
      </c>
      <c r="H777" s="4" t="e">
        <f ca="1">SplineInterp(A777,INDIRECT("'" &amp;Master!$F$10&amp; "'!$A$2:$A$50"),INDIRECT("'" &amp;Master!$F$10&amp; "'!$H$2:$H$50"))</f>
        <v>#VALUE!</v>
      </c>
      <c r="I777" s="4" t="e">
        <f ca="1">IF(OR(INDIRECT("'" &amp; Master!$F$8 &amp; Master!$F$6 &amp; "'!B" &amp; ROW(B777))="", INDIRECT("'" &amp; Master!$F$8 &amp; Master!$F$6 &amp; "'!B" &amp; ROW(B777))=0), "", INDIRECT("'" &amp; Master!$F$8 &amp; Master!$F$6 &amp; "'!B" &amp; ROW(B777)))</f>
        <v>#VALUE!</v>
      </c>
      <c r="J777" s="9" t="e">
        <f t="shared" ca="1" si="84"/>
        <v>#VALUE!</v>
      </c>
      <c r="K777" s="7" t="e">
        <f t="shared" ca="1" si="85"/>
        <v>#VALUE!</v>
      </c>
      <c r="L777" s="7" t="e">
        <f t="shared" ca="1" si="86"/>
        <v>#VALUE!</v>
      </c>
      <c r="M777" s="7" t="e">
        <f t="shared" ca="1" si="87"/>
        <v>#VALUE!</v>
      </c>
      <c r="N777" s="7" t="e">
        <f t="shared" ca="1" si="88"/>
        <v>#VALUE!</v>
      </c>
      <c r="O777" s="7" t="e">
        <f t="shared" ca="1" si="89"/>
        <v>#VALUE!</v>
      </c>
      <c r="P777" s="7" t="e">
        <f t="shared" ca="1" si="90"/>
        <v>#VALUE!</v>
      </c>
    </row>
    <row r="778" spans="1:16" x14ac:dyDescent="0.25">
      <c r="A778" s="19" t="str">
        <f ca="1">IF(OR(INDIRECT("'" &amp; Master!$F$8 &amp; Master!$F$6 &amp; "'!A" &amp; ROW(A778))="", INDIRECT("'" &amp; Master!$F$8 &amp; Master!$F$6 &amp; "'!A" &amp; ROW(A778))=0), "", INDIRECT("'" &amp; Master!$F$8 &amp; Master!$F$6 &amp; "'!A" &amp; ROW(A778)))</f>
        <v/>
      </c>
      <c r="B778" s="4" t="e">
        <f ca="1">SplineInterp(INDIRECT("A" &amp; ROW()),INDIRECT("'" &amp;Master!$F$10&amp; "'!$A$2:$A$50"),INDIRECT("'" &amp;Master!$F$10&amp; "'!$B$2:$B$50"))</f>
        <v>#VALUE!</v>
      </c>
      <c r="C778" s="4" t="e">
        <f ca="1">SplineInterp(A778,INDIRECT("'" &amp;Master!$F$10&amp; "'!$A$2:$A$50"),INDIRECT("'" &amp;Master!$F$10&amp; "'!$C$2:$C$50"))</f>
        <v>#VALUE!</v>
      </c>
      <c r="D778" s="4" t="e">
        <f ca="1">SplineInterp(A778,INDIRECT("'" &amp;Master!$F$10&amp; "'!$A$2:$A$50"),INDIRECT("'" &amp;Master!$F$10&amp; "'!$D$2:$D$50"))</f>
        <v>#VALUE!</v>
      </c>
      <c r="E778" s="4" t="e">
        <f ca="1">SplineInterp(A778,INDIRECT("'" &amp;Master!$F$10&amp; "'!$A$2:$A$50"),INDIRECT("'" &amp;Master!$F$10&amp; "'!$E$2:$E$50"))</f>
        <v>#VALUE!</v>
      </c>
      <c r="F778" s="4" t="e">
        <f ca="1">SplineInterp(A778,INDIRECT("'" &amp;Master!$F$10&amp; "'!$A$2:$A$50"),INDIRECT("'" &amp;Master!$F$10&amp; "'!$F$2:$F$50"))</f>
        <v>#VALUE!</v>
      </c>
      <c r="G778" s="4" t="e">
        <f ca="1">SplineInterp(A778,INDIRECT("'" &amp;Master!$F$10&amp; "'!$A$2:$A$50"),INDIRECT("'" &amp;Master!$F$10&amp; "'!$G$2:$G$50"))</f>
        <v>#VALUE!</v>
      </c>
      <c r="H778" s="4" t="e">
        <f ca="1">SplineInterp(A778,INDIRECT("'" &amp;Master!$F$10&amp; "'!$A$2:$A$50"),INDIRECT("'" &amp;Master!$F$10&amp; "'!$H$2:$H$50"))</f>
        <v>#VALUE!</v>
      </c>
      <c r="I778" s="4" t="e">
        <f ca="1">IF(OR(INDIRECT("'" &amp; Master!$F$8 &amp; Master!$F$6 &amp; "'!B" &amp; ROW(B778))="", INDIRECT("'" &amp; Master!$F$8 &amp; Master!$F$6 &amp; "'!B" &amp; ROW(B778))=0), "", INDIRECT("'" &amp; Master!$F$8 &amp; Master!$F$6 &amp; "'!B" &amp; ROW(B778)))</f>
        <v>#VALUE!</v>
      </c>
      <c r="J778" s="9" t="e">
        <f t="shared" ca="1" si="84"/>
        <v>#VALUE!</v>
      </c>
      <c r="K778" s="7" t="e">
        <f t="shared" ca="1" si="85"/>
        <v>#VALUE!</v>
      </c>
      <c r="L778" s="7" t="e">
        <f t="shared" ca="1" si="86"/>
        <v>#VALUE!</v>
      </c>
      <c r="M778" s="7" t="e">
        <f t="shared" ca="1" si="87"/>
        <v>#VALUE!</v>
      </c>
      <c r="N778" s="7" t="e">
        <f t="shared" ca="1" si="88"/>
        <v>#VALUE!</v>
      </c>
      <c r="O778" s="7" t="e">
        <f t="shared" ca="1" si="89"/>
        <v>#VALUE!</v>
      </c>
      <c r="P778" s="7" t="e">
        <f t="shared" ca="1" si="90"/>
        <v>#VALUE!</v>
      </c>
    </row>
    <row r="779" spans="1:16" x14ac:dyDescent="0.25">
      <c r="A779" s="19" t="str">
        <f ca="1">IF(OR(INDIRECT("'" &amp; Master!$F$8 &amp; Master!$F$6 &amp; "'!A" &amp; ROW(A779))="", INDIRECT("'" &amp; Master!$F$8 &amp; Master!$F$6 &amp; "'!A" &amp; ROW(A779))=0), "", INDIRECT("'" &amp; Master!$F$8 &amp; Master!$F$6 &amp; "'!A" &amp; ROW(A779)))</f>
        <v/>
      </c>
      <c r="B779" s="4" t="e">
        <f ca="1">SplineInterp(INDIRECT("A" &amp; ROW()),INDIRECT("'" &amp;Master!$F$10&amp; "'!$A$2:$A$50"),INDIRECT("'" &amp;Master!$F$10&amp; "'!$B$2:$B$50"))</f>
        <v>#VALUE!</v>
      </c>
      <c r="C779" s="4" t="e">
        <f ca="1">SplineInterp(A779,INDIRECT("'" &amp;Master!$F$10&amp; "'!$A$2:$A$50"),INDIRECT("'" &amp;Master!$F$10&amp; "'!$C$2:$C$50"))</f>
        <v>#VALUE!</v>
      </c>
      <c r="D779" s="4" t="e">
        <f ca="1">SplineInterp(A779,INDIRECT("'" &amp;Master!$F$10&amp; "'!$A$2:$A$50"),INDIRECT("'" &amp;Master!$F$10&amp; "'!$D$2:$D$50"))</f>
        <v>#VALUE!</v>
      </c>
      <c r="E779" s="4" t="e">
        <f ca="1">SplineInterp(A779,INDIRECT("'" &amp;Master!$F$10&amp; "'!$A$2:$A$50"),INDIRECT("'" &amp;Master!$F$10&amp; "'!$E$2:$E$50"))</f>
        <v>#VALUE!</v>
      </c>
      <c r="F779" s="4" t="e">
        <f ca="1">SplineInterp(A779,INDIRECT("'" &amp;Master!$F$10&amp; "'!$A$2:$A$50"),INDIRECT("'" &amp;Master!$F$10&amp; "'!$F$2:$F$50"))</f>
        <v>#VALUE!</v>
      </c>
      <c r="G779" s="4" t="e">
        <f ca="1">SplineInterp(A779,INDIRECT("'" &amp;Master!$F$10&amp; "'!$A$2:$A$50"),INDIRECT("'" &amp;Master!$F$10&amp; "'!$G$2:$G$50"))</f>
        <v>#VALUE!</v>
      </c>
      <c r="H779" s="4" t="e">
        <f ca="1">SplineInterp(A779,INDIRECT("'" &amp;Master!$F$10&amp; "'!$A$2:$A$50"),INDIRECT("'" &amp;Master!$F$10&amp; "'!$H$2:$H$50"))</f>
        <v>#VALUE!</v>
      </c>
      <c r="I779" s="4" t="e">
        <f ca="1">IF(OR(INDIRECT("'" &amp; Master!$F$8 &amp; Master!$F$6 &amp; "'!B" &amp; ROW(B779))="", INDIRECT("'" &amp; Master!$F$8 &amp; Master!$F$6 &amp; "'!B" &amp; ROW(B779))=0), "", INDIRECT("'" &amp; Master!$F$8 &amp; Master!$F$6 &amp; "'!B" &amp; ROW(B779)))</f>
        <v>#VALUE!</v>
      </c>
      <c r="J779" s="9" t="e">
        <f t="shared" ca="1" si="84"/>
        <v>#VALUE!</v>
      </c>
      <c r="K779" s="7" t="e">
        <f t="shared" ca="1" si="85"/>
        <v>#VALUE!</v>
      </c>
      <c r="L779" s="7" t="e">
        <f t="shared" ca="1" si="86"/>
        <v>#VALUE!</v>
      </c>
      <c r="M779" s="7" t="e">
        <f t="shared" ca="1" si="87"/>
        <v>#VALUE!</v>
      </c>
      <c r="N779" s="7" t="e">
        <f t="shared" ca="1" si="88"/>
        <v>#VALUE!</v>
      </c>
      <c r="O779" s="7" t="e">
        <f t="shared" ca="1" si="89"/>
        <v>#VALUE!</v>
      </c>
      <c r="P779" s="7" t="e">
        <f t="shared" ca="1" si="90"/>
        <v>#VALUE!</v>
      </c>
    </row>
    <row r="780" spans="1:16" x14ac:dyDescent="0.25">
      <c r="A780" s="19" t="str">
        <f ca="1">IF(OR(INDIRECT("'" &amp; Master!$F$8 &amp; Master!$F$6 &amp; "'!A" &amp; ROW(A780))="", INDIRECT("'" &amp; Master!$F$8 &amp; Master!$F$6 &amp; "'!A" &amp; ROW(A780))=0), "", INDIRECT("'" &amp; Master!$F$8 &amp; Master!$F$6 &amp; "'!A" &amp; ROW(A780)))</f>
        <v/>
      </c>
      <c r="B780" s="4" t="e">
        <f ca="1">SplineInterp(INDIRECT("A" &amp; ROW()),INDIRECT("'" &amp;Master!$F$10&amp; "'!$A$2:$A$50"),INDIRECT("'" &amp;Master!$F$10&amp; "'!$B$2:$B$50"))</f>
        <v>#VALUE!</v>
      </c>
      <c r="C780" s="4" t="e">
        <f ca="1">SplineInterp(A780,INDIRECT("'" &amp;Master!$F$10&amp; "'!$A$2:$A$50"),INDIRECT("'" &amp;Master!$F$10&amp; "'!$C$2:$C$50"))</f>
        <v>#VALUE!</v>
      </c>
      <c r="D780" s="4" t="e">
        <f ca="1">SplineInterp(A780,INDIRECT("'" &amp;Master!$F$10&amp; "'!$A$2:$A$50"),INDIRECT("'" &amp;Master!$F$10&amp; "'!$D$2:$D$50"))</f>
        <v>#VALUE!</v>
      </c>
      <c r="E780" s="4" t="e">
        <f ca="1">SplineInterp(A780,INDIRECT("'" &amp;Master!$F$10&amp; "'!$A$2:$A$50"),INDIRECT("'" &amp;Master!$F$10&amp; "'!$E$2:$E$50"))</f>
        <v>#VALUE!</v>
      </c>
      <c r="F780" s="4" t="e">
        <f ca="1">SplineInterp(A780,INDIRECT("'" &amp;Master!$F$10&amp; "'!$A$2:$A$50"),INDIRECT("'" &amp;Master!$F$10&amp; "'!$F$2:$F$50"))</f>
        <v>#VALUE!</v>
      </c>
      <c r="G780" s="4" t="e">
        <f ca="1">SplineInterp(A780,INDIRECT("'" &amp;Master!$F$10&amp; "'!$A$2:$A$50"),INDIRECT("'" &amp;Master!$F$10&amp; "'!$G$2:$G$50"))</f>
        <v>#VALUE!</v>
      </c>
      <c r="H780" s="4" t="e">
        <f ca="1">SplineInterp(A780,INDIRECT("'" &amp;Master!$F$10&amp; "'!$A$2:$A$50"),INDIRECT("'" &amp;Master!$F$10&amp; "'!$H$2:$H$50"))</f>
        <v>#VALUE!</v>
      </c>
      <c r="I780" s="4" t="e">
        <f ca="1">IF(OR(INDIRECT("'" &amp; Master!$F$8 &amp; Master!$F$6 &amp; "'!B" &amp; ROW(B780))="", INDIRECT("'" &amp; Master!$F$8 &amp; Master!$F$6 &amp; "'!B" &amp; ROW(B780))=0), "", INDIRECT("'" &amp; Master!$F$8 &amp; Master!$F$6 &amp; "'!B" &amp; ROW(B780)))</f>
        <v>#VALUE!</v>
      </c>
      <c r="J780" s="9" t="e">
        <f t="shared" ca="1" si="84"/>
        <v>#VALUE!</v>
      </c>
      <c r="K780" s="7" t="e">
        <f t="shared" ca="1" si="85"/>
        <v>#VALUE!</v>
      </c>
      <c r="L780" s="7" t="e">
        <f t="shared" ca="1" si="86"/>
        <v>#VALUE!</v>
      </c>
      <c r="M780" s="7" t="e">
        <f t="shared" ca="1" si="87"/>
        <v>#VALUE!</v>
      </c>
      <c r="N780" s="7" t="e">
        <f t="shared" ca="1" si="88"/>
        <v>#VALUE!</v>
      </c>
      <c r="O780" s="7" t="e">
        <f t="shared" ca="1" si="89"/>
        <v>#VALUE!</v>
      </c>
      <c r="P780" s="7" t="e">
        <f t="shared" ca="1" si="90"/>
        <v>#VALUE!</v>
      </c>
    </row>
    <row r="781" spans="1:16" x14ac:dyDescent="0.25">
      <c r="A781" s="19" t="str">
        <f ca="1">IF(OR(INDIRECT("'" &amp; Master!$F$8 &amp; Master!$F$6 &amp; "'!A" &amp; ROW(A781))="", INDIRECT("'" &amp; Master!$F$8 &amp; Master!$F$6 &amp; "'!A" &amp; ROW(A781))=0), "", INDIRECT("'" &amp; Master!$F$8 &amp; Master!$F$6 &amp; "'!A" &amp; ROW(A781)))</f>
        <v/>
      </c>
      <c r="B781" s="4" t="e">
        <f ca="1">SplineInterp(INDIRECT("A" &amp; ROW()),INDIRECT("'" &amp;Master!$F$10&amp; "'!$A$2:$A$50"),INDIRECT("'" &amp;Master!$F$10&amp; "'!$B$2:$B$50"))</f>
        <v>#VALUE!</v>
      </c>
      <c r="C781" s="4" t="e">
        <f ca="1">SplineInterp(A781,INDIRECT("'" &amp;Master!$F$10&amp; "'!$A$2:$A$50"),INDIRECT("'" &amp;Master!$F$10&amp; "'!$C$2:$C$50"))</f>
        <v>#VALUE!</v>
      </c>
      <c r="D781" s="4" t="e">
        <f ca="1">SplineInterp(A781,INDIRECT("'" &amp;Master!$F$10&amp; "'!$A$2:$A$50"),INDIRECT("'" &amp;Master!$F$10&amp; "'!$D$2:$D$50"))</f>
        <v>#VALUE!</v>
      </c>
      <c r="E781" s="4" t="e">
        <f ca="1">SplineInterp(A781,INDIRECT("'" &amp;Master!$F$10&amp; "'!$A$2:$A$50"),INDIRECT("'" &amp;Master!$F$10&amp; "'!$E$2:$E$50"))</f>
        <v>#VALUE!</v>
      </c>
      <c r="F781" s="4" t="e">
        <f ca="1">SplineInterp(A781,INDIRECT("'" &amp;Master!$F$10&amp; "'!$A$2:$A$50"),INDIRECT("'" &amp;Master!$F$10&amp; "'!$F$2:$F$50"))</f>
        <v>#VALUE!</v>
      </c>
      <c r="G781" s="4" t="e">
        <f ca="1">SplineInterp(A781,INDIRECT("'" &amp;Master!$F$10&amp; "'!$A$2:$A$50"),INDIRECT("'" &amp;Master!$F$10&amp; "'!$G$2:$G$50"))</f>
        <v>#VALUE!</v>
      </c>
      <c r="H781" s="4" t="e">
        <f ca="1">SplineInterp(A781,INDIRECT("'" &amp;Master!$F$10&amp; "'!$A$2:$A$50"),INDIRECT("'" &amp;Master!$F$10&amp; "'!$H$2:$H$50"))</f>
        <v>#VALUE!</v>
      </c>
      <c r="I781" s="4" t="e">
        <f ca="1">IF(OR(INDIRECT("'" &amp; Master!$F$8 &amp; Master!$F$6 &amp; "'!B" &amp; ROW(B781))="", INDIRECT("'" &amp; Master!$F$8 &amp; Master!$F$6 &amp; "'!B" &amp; ROW(B781))=0), "", INDIRECT("'" &amp; Master!$F$8 &amp; Master!$F$6 &amp; "'!B" &amp; ROW(B781)))</f>
        <v>#VALUE!</v>
      </c>
      <c r="J781" s="9" t="e">
        <f t="shared" ca="1" si="84"/>
        <v>#VALUE!</v>
      </c>
      <c r="K781" s="7" t="e">
        <f t="shared" ca="1" si="85"/>
        <v>#VALUE!</v>
      </c>
      <c r="L781" s="7" t="e">
        <f t="shared" ca="1" si="86"/>
        <v>#VALUE!</v>
      </c>
      <c r="M781" s="7" t="e">
        <f t="shared" ca="1" si="87"/>
        <v>#VALUE!</v>
      </c>
      <c r="N781" s="7" t="e">
        <f t="shared" ca="1" si="88"/>
        <v>#VALUE!</v>
      </c>
      <c r="O781" s="7" t="e">
        <f t="shared" ca="1" si="89"/>
        <v>#VALUE!</v>
      </c>
      <c r="P781" s="7" t="e">
        <f t="shared" ca="1" si="90"/>
        <v>#VALUE!</v>
      </c>
    </row>
    <row r="782" spans="1:16" x14ac:dyDescent="0.25">
      <c r="A782" s="19" t="str">
        <f ca="1">IF(OR(INDIRECT("'" &amp; Master!$F$8 &amp; Master!$F$6 &amp; "'!A" &amp; ROW(A782))="", INDIRECT("'" &amp; Master!$F$8 &amp; Master!$F$6 &amp; "'!A" &amp; ROW(A782))=0), "", INDIRECT("'" &amp; Master!$F$8 &amp; Master!$F$6 &amp; "'!A" &amp; ROW(A782)))</f>
        <v/>
      </c>
      <c r="B782" s="4" t="e">
        <f ca="1">SplineInterp(INDIRECT("A" &amp; ROW()),INDIRECT("'" &amp;Master!$F$10&amp; "'!$A$2:$A$50"),INDIRECT("'" &amp;Master!$F$10&amp; "'!$B$2:$B$50"))</f>
        <v>#VALUE!</v>
      </c>
      <c r="C782" s="4" t="e">
        <f ca="1">SplineInterp(A782,INDIRECT("'" &amp;Master!$F$10&amp; "'!$A$2:$A$50"),INDIRECT("'" &amp;Master!$F$10&amp; "'!$C$2:$C$50"))</f>
        <v>#VALUE!</v>
      </c>
      <c r="D782" s="4" t="e">
        <f ca="1">SplineInterp(A782,INDIRECT("'" &amp;Master!$F$10&amp; "'!$A$2:$A$50"),INDIRECT("'" &amp;Master!$F$10&amp; "'!$D$2:$D$50"))</f>
        <v>#VALUE!</v>
      </c>
      <c r="E782" s="4" t="e">
        <f ca="1">SplineInterp(A782,INDIRECT("'" &amp;Master!$F$10&amp; "'!$A$2:$A$50"),INDIRECT("'" &amp;Master!$F$10&amp; "'!$E$2:$E$50"))</f>
        <v>#VALUE!</v>
      </c>
      <c r="F782" s="4" t="e">
        <f ca="1">SplineInterp(A782,INDIRECT("'" &amp;Master!$F$10&amp; "'!$A$2:$A$50"),INDIRECT("'" &amp;Master!$F$10&amp; "'!$F$2:$F$50"))</f>
        <v>#VALUE!</v>
      </c>
      <c r="G782" s="4" t="e">
        <f ca="1">SplineInterp(A782,INDIRECT("'" &amp;Master!$F$10&amp; "'!$A$2:$A$50"),INDIRECT("'" &amp;Master!$F$10&amp; "'!$G$2:$G$50"))</f>
        <v>#VALUE!</v>
      </c>
      <c r="H782" s="4" t="e">
        <f ca="1">SplineInterp(A782,INDIRECT("'" &amp;Master!$F$10&amp; "'!$A$2:$A$50"),INDIRECT("'" &amp;Master!$F$10&amp; "'!$H$2:$H$50"))</f>
        <v>#VALUE!</v>
      </c>
      <c r="I782" s="4" t="e">
        <f ca="1">IF(OR(INDIRECT("'" &amp; Master!$F$8 &amp; Master!$F$6 &amp; "'!B" &amp; ROW(B782))="", INDIRECT("'" &amp; Master!$F$8 &amp; Master!$F$6 &amp; "'!B" &amp; ROW(B782))=0), "", INDIRECT("'" &amp; Master!$F$8 &amp; Master!$F$6 &amp; "'!B" &amp; ROW(B782)))</f>
        <v>#VALUE!</v>
      </c>
      <c r="J782" s="9" t="e">
        <f t="shared" ca="1" si="84"/>
        <v>#VALUE!</v>
      </c>
      <c r="K782" s="7" t="e">
        <f t="shared" ca="1" si="85"/>
        <v>#VALUE!</v>
      </c>
      <c r="L782" s="7" t="e">
        <f t="shared" ca="1" si="86"/>
        <v>#VALUE!</v>
      </c>
      <c r="M782" s="7" t="e">
        <f t="shared" ca="1" si="87"/>
        <v>#VALUE!</v>
      </c>
      <c r="N782" s="7" t="e">
        <f t="shared" ca="1" si="88"/>
        <v>#VALUE!</v>
      </c>
      <c r="O782" s="7" t="e">
        <f t="shared" ca="1" si="89"/>
        <v>#VALUE!</v>
      </c>
      <c r="P782" s="7" t="e">
        <f t="shared" ca="1" si="90"/>
        <v>#VALUE!</v>
      </c>
    </row>
    <row r="783" spans="1:16" x14ac:dyDescent="0.25">
      <c r="A783" s="19" t="str">
        <f ca="1">IF(OR(INDIRECT("'" &amp; Master!$F$8 &amp; Master!$F$6 &amp; "'!A" &amp; ROW(A783))="", INDIRECT("'" &amp; Master!$F$8 &amp; Master!$F$6 &amp; "'!A" &amp; ROW(A783))=0), "", INDIRECT("'" &amp; Master!$F$8 &amp; Master!$F$6 &amp; "'!A" &amp; ROW(A783)))</f>
        <v/>
      </c>
      <c r="B783" s="4" t="e">
        <f ca="1">SplineInterp(INDIRECT("A" &amp; ROW()),INDIRECT("'" &amp;Master!$F$10&amp; "'!$A$2:$A$50"),INDIRECT("'" &amp;Master!$F$10&amp; "'!$B$2:$B$50"))</f>
        <v>#VALUE!</v>
      </c>
      <c r="C783" s="4" t="e">
        <f ca="1">SplineInterp(A783,INDIRECT("'" &amp;Master!$F$10&amp; "'!$A$2:$A$50"),INDIRECT("'" &amp;Master!$F$10&amp; "'!$C$2:$C$50"))</f>
        <v>#VALUE!</v>
      </c>
      <c r="D783" s="4" t="e">
        <f ca="1">SplineInterp(A783,INDIRECT("'" &amp;Master!$F$10&amp; "'!$A$2:$A$50"),INDIRECT("'" &amp;Master!$F$10&amp; "'!$D$2:$D$50"))</f>
        <v>#VALUE!</v>
      </c>
      <c r="E783" s="4" t="e">
        <f ca="1">SplineInterp(A783,INDIRECT("'" &amp;Master!$F$10&amp; "'!$A$2:$A$50"),INDIRECT("'" &amp;Master!$F$10&amp; "'!$E$2:$E$50"))</f>
        <v>#VALUE!</v>
      </c>
      <c r="F783" s="4" t="e">
        <f ca="1">SplineInterp(A783,INDIRECT("'" &amp;Master!$F$10&amp; "'!$A$2:$A$50"),INDIRECT("'" &amp;Master!$F$10&amp; "'!$F$2:$F$50"))</f>
        <v>#VALUE!</v>
      </c>
      <c r="G783" s="4" t="e">
        <f ca="1">SplineInterp(A783,INDIRECT("'" &amp;Master!$F$10&amp; "'!$A$2:$A$50"),INDIRECT("'" &amp;Master!$F$10&amp; "'!$G$2:$G$50"))</f>
        <v>#VALUE!</v>
      </c>
      <c r="H783" s="4" t="e">
        <f ca="1">SplineInterp(A783,INDIRECT("'" &amp;Master!$F$10&amp; "'!$A$2:$A$50"),INDIRECT("'" &amp;Master!$F$10&amp; "'!$H$2:$H$50"))</f>
        <v>#VALUE!</v>
      </c>
      <c r="I783" s="4" t="e">
        <f ca="1">IF(OR(INDIRECT("'" &amp; Master!$F$8 &amp; Master!$F$6 &amp; "'!B" &amp; ROW(B783))="", INDIRECT("'" &amp; Master!$F$8 &amp; Master!$F$6 &amp; "'!B" &amp; ROW(B783))=0), "", INDIRECT("'" &amp; Master!$F$8 &amp; Master!$F$6 &amp; "'!B" &amp; ROW(B783)))</f>
        <v>#VALUE!</v>
      </c>
      <c r="J783" s="9" t="e">
        <f t="shared" ca="1" si="84"/>
        <v>#VALUE!</v>
      </c>
      <c r="K783" s="7" t="e">
        <f t="shared" ca="1" si="85"/>
        <v>#VALUE!</v>
      </c>
      <c r="L783" s="7" t="e">
        <f t="shared" ca="1" si="86"/>
        <v>#VALUE!</v>
      </c>
      <c r="M783" s="7" t="e">
        <f t="shared" ca="1" si="87"/>
        <v>#VALUE!</v>
      </c>
      <c r="N783" s="7" t="e">
        <f t="shared" ca="1" si="88"/>
        <v>#VALUE!</v>
      </c>
      <c r="O783" s="7" t="e">
        <f t="shared" ca="1" si="89"/>
        <v>#VALUE!</v>
      </c>
      <c r="P783" s="7" t="e">
        <f t="shared" ca="1" si="90"/>
        <v>#VALUE!</v>
      </c>
    </row>
    <row r="784" spans="1:16" x14ac:dyDescent="0.25">
      <c r="A784" s="19" t="str">
        <f ca="1">IF(OR(INDIRECT("'" &amp; Master!$F$8 &amp; Master!$F$6 &amp; "'!A" &amp; ROW(A784))="", INDIRECT("'" &amp; Master!$F$8 &amp; Master!$F$6 &amp; "'!A" &amp; ROW(A784))=0), "", INDIRECT("'" &amp; Master!$F$8 &amp; Master!$F$6 &amp; "'!A" &amp; ROW(A784)))</f>
        <v/>
      </c>
      <c r="B784" s="4" t="e">
        <f ca="1">SplineInterp(INDIRECT("A" &amp; ROW()),INDIRECT("'" &amp;Master!$F$10&amp; "'!$A$2:$A$50"),INDIRECT("'" &amp;Master!$F$10&amp; "'!$B$2:$B$50"))</f>
        <v>#VALUE!</v>
      </c>
      <c r="C784" s="4" t="e">
        <f ca="1">SplineInterp(A784,INDIRECT("'" &amp;Master!$F$10&amp; "'!$A$2:$A$50"),INDIRECT("'" &amp;Master!$F$10&amp; "'!$C$2:$C$50"))</f>
        <v>#VALUE!</v>
      </c>
      <c r="D784" s="4" t="e">
        <f ca="1">SplineInterp(A784,INDIRECT("'" &amp;Master!$F$10&amp; "'!$A$2:$A$50"),INDIRECT("'" &amp;Master!$F$10&amp; "'!$D$2:$D$50"))</f>
        <v>#VALUE!</v>
      </c>
      <c r="E784" s="4" t="e">
        <f ca="1">SplineInterp(A784,INDIRECT("'" &amp;Master!$F$10&amp; "'!$A$2:$A$50"),INDIRECT("'" &amp;Master!$F$10&amp; "'!$E$2:$E$50"))</f>
        <v>#VALUE!</v>
      </c>
      <c r="F784" s="4" t="e">
        <f ca="1">SplineInterp(A784,INDIRECT("'" &amp;Master!$F$10&amp; "'!$A$2:$A$50"),INDIRECT("'" &amp;Master!$F$10&amp; "'!$F$2:$F$50"))</f>
        <v>#VALUE!</v>
      </c>
      <c r="G784" s="4" t="e">
        <f ca="1">SplineInterp(A784,INDIRECT("'" &amp;Master!$F$10&amp; "'!$A$2:$A$50"),INDIRECT("'" &amp;Master!$F$10&amp; "'!$G$2:$G$50"))</f>
        <v>#VALUE!</v>
      </c>
      <c r="H784" s="4" t="e">
        <f ca="1">SplineInterp(A784,INDIRECT("'" &amp;Master!$F$10&amp; "'!$A$2:$A$50"),INDIRECT("'" &amp;Master!$F$10&amp; "'!$H$2:$H$50"))</f>
        <v>#VALUE!</v>
      </c>
      <c r="I784" s="4" t="e">
        <f ca="1">IF(OR(INDIRECT("'" &amp; Master!$F$8 &amp; Master!$F$6 &amp; "'!B" &amp; ROW(B784))="", INDIRECT("'" &amp; Master!$F$8 &amp; Master!$F$6 &amp; "'!B" &amp; ROW(B784))=0), "", INDIRECT("'" &amp; Master!$F$8 &amp; Master!$F$6 &amp; "'!B" &amp; ROW(B784)))</f>
        <v>#VALUE!</v>
      </c>
      <c r="J784" s="9" t="e">
        <f t="shared" ca="1" si="84"/>
        <v>#VALUE!</v>
      </c>
      <c r="K784" s="7" t="e">
        <f t="shared" ca="1" si="85"/>
        <v>#VALUE!</v>
      </c>
      <c r="L784" s="7" t="e">
        <f t="shared" ca="1" si="86"/>
        <v>#VALUE!</v>
      </c>
      <c r="M784" s="7" t="e">
        <f t="shared" ca="1" si="87"/>
        <v>#VALUE!</v>
      </c>
      <c r="N784" s="7" t="e">
        <f t="shared" ca="1" si="88"/>
        <v>#VALUE!</v>
      </c>
      <c r="O784" s="7" t="e">
        <f t="shared" ca="1" si="89"/>
        <v>#VALUE!</v>
      </c>
      <c r="P784" s="7" t="e">
        <f t="shared" ca="1" si="90"/>
        <v>#VALUE!</v>
      </c>
    </row>
    <row r="785" spans="1:16" x14ac:dyDescent="0.25">
      <c r="A785" s="19" t="str">
        <f ca="1">IF(OR(INDIRECT("'" &amp; Master!$F$8 &amp; Master!$F$6 &amp; "'!A" &amp; ROW(A785))="", INDIRECT("'" &amp; Master!$F$8 &amp; Master!$F$6 &amp; "'!A" &amp; ROW(A785))=0), "", INDIRECT("'" &amp; Master!$F$8 &amp; Master!$F$6 &amp; "'!A" &amp; ROW(A785)))</f>
        <v/>
      </c>
      <c r="B785" s="4" t="e">
        <f ca="1">SplineInterp(INDIRECT("A" &amp; ROW()),INDIRECT("'" &amp;Master!$F$10&amp; "'!$A$2:$A$50"),INDIRECT("'" &amp;Master!$F$10&amp; "'!$B$2:$B$50"))</f>
        <v>#VALUE!</v>
      </c>
      <c r="C785" s="4" t="e">
        <f ca="1">SplineInterp(A785,INDIRECT("'" &amp;Master!$F$10&amp; "'!$A$2:$A$50"),INDIRECT("'" &amp;Master!$F$10&amp; "'!$C$2:$C$50"))</f>
        <v>#VALUE!</v>
      </c>
      <c r="D785" s="4" t="e">
        <f ca="1">SplineInterp(A785,INDIRECT("'" &amp;Master!$F$10&amp; "'!$A$2:$A$50"),INDIRECT("'" &amp;Master!$F$10&amp; "'!$D$2:$D$50"))</f>
        <v>#VALUE!</v>
      </c>
      <c r="E785" s="4" t="e">
        <f ca="1">SplineInterp(A785,INDIRECT("'" &amp;Master!$F$10&amp; "'!$A$2:$A$50"),INDIRECT("'" &amp;Master!$F$10&amp; "'!$E$2:$E$50"))</f>
        <v>#VALUE!</v>
      </c>
      <c r="F785" s="4" t="e">
        <f ca="1">SplineInterp(A785,INDIRECT("'" &amp;Master!$F$10&amp; "'!$A$2:$A$50"),INDIRECT("'" &amp;Master!$F$10&amp; "'!$F$2:$F$50"))</f>
        <v>#VALUE!</v>
      </c>
      <c r="G785" s="4" t="e">
        <f ca="1">SplineInterp(A785,INDIRECT("'" &amp;Master!$F$10&amp; "'!$A$2:$A$50"),INDIRECT("'" &amp;Master!$F$10&amp; "'!$G$2:$G$50"))</f>
        <v>#VALUE!</v>
      </c>
      <c r="H785" s="4" t="e">
        <f ca="1">SplineInterp(A785,INDIRECT("'" &amp;Master!$F$10&amp; "'!$A$2:$A$50"),INDIRECT("'" &amp;Master!$F$10&amp; "'!$H$2:$H$50"))</f>
        <v>#VALUE!</v>
      </c>
      <c r="I785" s="4" t="e">
        <f ca="1">IF(OR(INDIRECT("'" &amp; Master!$F$8 &amp; Master!$F$6 &amp; "'!B" &amp; ROW(B785))="", INDIRECT("'" &amp; Master!$F$8 &amp; Master!$F$6 &amp; "'!B" &amp; ROW(B785))=0), "", INDIRECT("'" &amp; Master!$F$8 &amp; Master!$F$6 &amp; "'!B" &amp; ROW(B785)))</f>
        <v>#VALUE!</v>
      </c>
      <c r="J785" s="9" t="e">
        <f t="shared" ca="1" si="84"/>
        <v>#VALUE!</v>
      </c>
      <c r="K785" s="7" t="e">
        <f t="shared" ca="1" si="85"/>
        <v>#VALUE!</v>
      </c>
      <c r="L785" s="7" t="e">
        <f t="shared" ca="1" si="86"/>
        <v>#VALUE!</v>
      </c>
      <c r="M785" s="7" t="e">
        <f t="shared" ca="1" si="87"/>
        <v>#VALUE!</v>
      </c>
      <c r="N785" s="7" t="e">
        <f t="shared" ca="1" si="88"/>
        <v>#VALUE!</v>
      </c>
      <c r="O785" s="7" t="e">
        <f t="shared" ca="1" si="89"/>
        <v>#VALUE!</v>
      </c>
      <c r="P785" s="7" t="e">
        <f t="shared" ca="1" si="90"/>
        <v>#VALUE!</v>
      </c>
    </row>
    <row r="786" spans="1:16" x14ac:dyDescent="0.25">
      <c r="A786" s="19" t="str">
        <f ca="1">IF(OR(INDIRECT("'" &amp; Master!$F$8 &amp; Master!$F$6 &amp; "'!A" &amp; ROW(A786))="", INDIRECT("'" &amp; Master!$F$8 &amp; Master!$F$6 &amp; "'!A" &amp; ROW(A786))=0), "", INDIRECT("'" &amp; Master!$F$8 &amp; Master!$F$6 &amp; "'!A" &amp; ROW(A786)))</f>
        <v/>
      </c>
      <c r="B786" s="4" t="e">
        <f ca="1">SplineInterp(INDIRECT("A" &amp; ROW()),INDIRECT("'" &amp;Master!$F$10&amp; "'!$A$2:$A$50"),INDIRECT("'" &amp;Master!$F$10&amp; "'!$B$2:$B$50"))</f>
        <v>#VALUE!</v>
      </c>
      <c r="C786" s="4" t="e">
        <f ca="1">SplineInterp(A786,INDIRECT("'" &amp;Master!$F$10&amp; "'!$A$2:$A$50"),INDIRECT("'" &amp;Master!$F$10&amp; "'!$C$2:$C$50"))</f>
        <v>#VALUE!</v>
      </c>
      <c r="D786" s="4" t="e">
        <f ca="1">SplineInterp(A786,INDIRECT("'" &amp;Master!$F$10&amp; "'!$A$2:$A$50"),INDIRECT("'" &amp;Master!$F$10&amp; "'!$D$2:$D$50"))</f>
        <v>#VALUE!</v>
      </c>
      <c r="E786" s="4" t="e">
        <f ca="1">SplineInterp(A786,INDIRECT("'" &amp;Master!$F$10&amp; "'!$A$2:$A$50"),INDIRECT("'" &amp;Master!$F$10&amp; "'!$E$2:$E$50"))</f>
        <v>#VALUE!</v>
      </c>
      <c r="F786" s="4" t="e">
        <f ca="1">SplineInterp(A786,INDIRECT("'" &amp;Master!$F$10&amp; "'!$A$2:$A$50"),INDIRECT("'" &amp;Master!$F$10&amp; "'!$F$2:$F$50"))</f>
        <v>#VALUE!</v>
      </c>
      <c r="G786" s="4" t="e">
        <f ca="1">SplineInterp(A786,INDIRECT("'" &amp;Master!$F$10&amp; "'!$A$2:$A$50"),INDIRECT("'" &amp;Master!$F$10&amp; "'!$G$2:$G$50"))</f>
        <v>#VALUE!</v>
      </c>
      <c r="H786" s="4" t="e">
        <f ca="1">SplineInterp(A786,INDIRECT("'" &amp;Master!$F$10&amp; "'!$A$2:$A$50"),INDIRECT("'" &amp;Master!$F$10&amp; "'!$H$2:$H$50"))</f>
        <v>#VALUE!</v>
      </c>
      <c r="I786" s="4" t="e">
        <f ca="1">IF(OR(INDIRECT("'" &amp; Master!$F$8 &amp; Master!$F$6 &amp; "'!B" &amp; ROW(B786))="", INDIRECT("'" &amp; Master!$F$8 &amp; Master!$F$6 &amp; "'!B" &amp; ROW(B786))=0), "", INDIRECT("'" &amp; Master!$F$8 &amp; Master!$F$6 &amp; "'!B" &amp; ROW(B786)))</f>
        <v>#VALUE!</v>
      </c>
      <c r="J786" s="9" t="e">
        <f t="shared" ca="1" si="84"/>
        <v>#VALUE!</v>
      </c>
      <c r="K786" s="7" t="e">
        <f t="shared" ca="1" si="85"/>
        <v>#VALUE!</v>
      </c>
      <c r="L786" s="7" t="e">
        <f t="shared" ca="1" si="86"/>
        <v>#VALUE!</v>
      </c>
      <c r="M786" s="7" t="e">
        <f t="shared" ca="1" si="87"/>
        <v>#VALUE!</v>
      </c>
      <c r="N786" s="7" t="e">
        <f t="shared" ca="1" si="88"/>
        <v>#VALUE!</v>
      </c>
      <c r="O786" s="7" t="e">
        <f t="shared" ca="1" si="89"/>
        <v>#VALUE!</v>
      </c>
      <c r="P786" s="7" t="e">
        <f t="shared" ca="1" si="90"/>
        <v>#VALUE!</v>
      </c>
    </row>
    <row r="787" spans="1:16" x14ac:dyDescent="0.25">
      <c r="A787" s="19" t="str">
        <f ca="1">IF(OR(INDIRECT("'" &amp; Master!$F$8 &amp; Master!$F$6 &amp; "'!A" &amp; ROW(A787))="", INDIRECT("'" &amp; Master!$F$8 &amp; Master!$F$6 &amp; "'!A" &amp; ROW(A787))=0), "", INDIRECT("'" &amp; Master!$F$8 &amp; Master!$F$6 &amp; "'!A" &amp; ROW(A787)))</f>
        <v/>
      </c>
      <c r="B787" s="4" t="e">
        <f ca="1">SplineInterp(INDIRECT("A" &amp; ROW()),INDIRECT("'" &amp;Master!$F$10&amp; "'!$A$2:$A$50"),INDIRECT("'" &amp;Master!$F$10&amp; "'!$B$2:$B$50"))</f>
        <v>#VALUE!</v>
      </c>
      <c r="C787" s="4" t="e">
        <f ca="1">SplineInterp(A787,INDIRECT("'" &amp;Master!$F$10&amp; "'!$A$2:$A$50"),INDIRECT("'" &amp;Master!$F$10&amp; "'!$C$2:$C$50"))</f>
        <v>#VALUE!</v>
      </c>
      <c r="D787" s="4" t="e">
        <f ca="1">SplineInterp(A787,INDIRECT("'" &amp;Master!$F$10&amp; "'!$A$2:$A$50"),INDIRECT("'" &amp;Master!$F$10&amp; "'!$D$2:$D$50"))</f>
        <v>#VALUE!</v>
      </c>
      <c r="E787" s="4" t="e">
        <f ca="1">SplineInterp(A787,INDIRECT("'" &amp;Master!$F$10&amp; "'!$A$2:$A$50"),INDIRECT("'" &amp;Master!$F$10&amp; "'!$E$2:$E$50"))</f>
        <v>#VALUE!</v>
      </c>
      <c r="F787" s="4" t="e">
        <f ca="1">SplineInterp(A787,INDIRECT("'" &amp;Master!$F$10&amp; "'!$A$2:$A$50"),INDIRECT("'" &amp;Master!$F$10&amp; "'!$F$2:$F$50"))</f>
        <v>#VALUE!</v>
      </c>
      <c r="G787" s="4" t="e">
        <f ca="1">SplineInterp(A787,INDIRECT("'" &amp;Master!$F$10&amp; "'!$A$2:$A$50"),INDIRECT("'" &amp;Master!$F$10&amp; "'!$G$2:$G$50"))</f>
        <v>#VALUE!</v>
      </c>
      <c r="H787" s="4" t="e">
        <f ca="1">SplineInterp(A787,INDIRECT("'" &amp;Master!$F$10&amp; "'!$A$2:$A$50"),INDIRECT("'" &amp;Master!$F$10&amp; "'!$H$2:$H$50"))</f>
        <v>#VALUE!</v>
      </c>
      <c r="I787" s="4" t="e">
        <f ca="1">IF(OR(INDIRECT("'" &amp; Master!$F$8 &amp; Master!$F$6 &amp; "'!B" &amp; ROW(B787))="", INDIRECT("'" &amp; Master!$F$8 &amp; Master!$F$6 &amp; "'!B" &amp; ROW(B787))=0), "", INDIRECT("'" &amp; Master!$F$8 &amp; Master!$F$6 &amp; "'!B" &amp; ROW(B787)))</f>
        <v>#VALUE!</v>
      </c>
      <c r="J787" s="9" t="e">
        <f t="shared" ca="1" si="84"/>
        <v>#VALUE!</v>
      </c>
      <c r="K787" s="7" t="e">
        <f t="shared" ca="1" si="85"/>
        <v>#VALUE!</v>
      </c>
      <c r="L787" s="7" t="e">
        <f t="shared" ca="1" si="86"/>
        <v>#VALUE!</v>
      </c>
      <c r="M787" s="7" t="e">
        <f t="shared" ca="1" si="87"/>
        <v>#VALUE!</v>
      </c>
      <c r="N787" s="7" t="e">
        <f t="shared" ca="1" si="88"/>
        <v>#VALUE!</v>
      </c>
      <c r="O787" s="7" t="e">
        <f t="shared" ca="1" si="89"/>
        <v>#VALUE!</v>
      </c>
      <c r="P787" s="7" t="e">
        <f t="shared" ca="1" si="90"/>
        <v>#VALUE!</v>
      </c>
    </row>
    <row r="788" spans="1:16" x14ac:dyDescent="0.25">
      <c r="A788" s="19" t="str">
        <f ca="1">IF(OR(INDIRECT("'" &amp; Master!$F$8 &amp; Master!$F$6 &amp; "'!A" &amp; ROW(A788))="", INDIRECT("'" &amp; Master!$F$8 &amp; Master!$F$6 &amp; "'!A" &amp; ROW(A788))=0), "", INDIRECT("'" &amp; Master!$F$8 &amp; Master!$F$6 &amp; "'!A" &amp; ROW(A788)))</f>
        <v/>
      </c>
      <c r="B788" s="4" t="e">
        <f ca="1">SplineInterp(INDIRECT("A" &amp; ROW()),INDIRECT("'" &amp;Master!$F$10&amp; "'!$A$2:$A$50"),INDIRECT("'" &amp;Master!$F$10&amp; "'!$B$2:$B$50"))</f>
        <v>#VALUE!</v>
      </c>
      <c r="C788" s="4" t="e">
        <f ca="1">SplineInterp(A788,INDIRECT("'" &amp;Master!$F$10&amp; "'!$A$2:$A$50"),INDIRECT("'" &amp;Master!$F$10&amp; "'!$C$2:$C$50"))</f>
        <v>#VALUE!</v>
      </c>
      <c r="D788" s="4" t="e">
        <f ca="1">SplineInterp(A788,INDIRECT("'" &amp;Master!$F$10&amp; "'!$A$2:$A$50"),INDIRECT("'" &amp;Master!$F$10&amp; "'!$D$2:$D$50"))</f>
        <v>#VALUE!</v>
      </c>
      <c r="E788" s="4" t="e">
        <f ca="1">SplineInterp(A788,INDIRECT("'" &amp;Master!$F$10&amp; "'!$A$2:$A$50"),INDIRECT("'" &amp;Master!$F$10&amp; "'!$E$2:$E$50"))</f>
        <v>#VALUE!</v>
      </c>
      <c r="F788" s="4" t="e">
        <f ca="1">SplineInterp(A788,INDIRECT("'" &amp;Master!$F$10&amp; "'!$A$2:$A$50"),INDIRECT("'" &amp;Master!$F$10&amp; "'!$F$2:$F$50"))</f>
        <v>#VALUE!</v>
      </c>
      <c r="G788" s="4" t="e">
        <f ca="1">SplineInterp(A788,INDIRECT("'" &amp;Master!$F$10&amp; "'!$A$2:$A$50"),INDIRECT("'" &amp;Master!$F$10&amp; "'!$G$2:$G$50"))</f>
        <v>#VALUE!</v>
      </c>
      <c r="H788" s="4" t="e">
        <f ca="1">SplineInterp(A788,INDIRECT("'" &amp;Master!$F$10&amp; "'!$A$2:$A$50"),INDIRECT("'" &amp;Master!$F$10&amp; "'!$H$2:$H$50"))</f>
        <v>#VALUE!</v>
      </c>
      <c r="I788" s="4" t="e">
        <f ca="1">IF(OR(INDIRECT("'" &amp; Master!$F$8 &amp; Master!$F$6 &amp; "'!B" &amp; ROW(B788))="", INDIRECT("'" &amp; Master!$F$8 &amp; Master!$F$6 &amp; "'!B" &amp; ROW(B788))=0), "", INDIRECT("'" &amp; Master!$F$8 &amp; Master!$F$6 &amp; "'!B" &amp; ROW(B788)))</f>
        <v>#VALUE!</v>
      </c>
      <c r="J788" s="9" t="e">
        <f t="shared" ca="1" si="84"/>
        <v>#VALUE!</v>
      </c>
      <c r="K788" s="7" t="e">
        <f t="shared" ca="1" si="85"/>
        <v>#VALUE!</v>
      </c>
      <c r="L788" s="7" t="e">
        <f t="shared" ca="1" si="86"/>
        <v>#VALUE!</v>
      </c>
      <c r="M788" s="7" t="e">
        <f t="shared" ca="1" si="87"/>
        <v>#VALUE!</v>
      </c>
      <c r="N788" s="7" t="e">
        <f t="shared" ca="1" si="88"/>
        <v>#VALUE!</v>
      </c>
      <c r="O788" s="7" t="e">
        <f t="shared" ca="1" si="89"/>
        <v>#VALUE!</v>
      </c>
      <c r="P788" s="7" t="e">
        <f t="shared" ca="1" si="90"/>
        <v>#VALUE!</v>
      </c>
    </row>
    <row r="789" spans="1:16" x14ac:dyDescent="0.25">
      <c r="A789" s="19" t="str">
        <f ca="1">IF(OR(INDIRECT("'" &amp; Master!$F$8 &amp; Master!$F$6 &amp; "'!A" &amp; ROW(A789))="", INDIRECT("'" &amp; Master!$F$8 &amp; Master!$F$6 &amp; "'!A" &amp; ROW(A789))=0), "", INDIRECT("'" &amp; Master!$F$8 &amp; Master!$F$6 &amp; "'!A" &amp; ROW(A789)))</f>
        <v/>
      </c>
      <c r="B789" s="4" t="e">
        <f ca="1">SplineInterp(INDIRECT("A" &amp; ROW()),INDIRECT("'" &amp;Master!$F$10&amp; "'!$A$2:$A$50"),INDIRECT("'" &amp;Master!$F$10&amp; "'!$B$2:$B$50"))</f>
        <v>#VALUE!</v>
      </c>
      <c r="C789" s="4" t="e">
        <f ca="1">SplineInterp(A789,INDIRECT("'" &amp;Master!$F$10&amp; "'!$A$2:$A$50"),INDIRECT("'" &amp;Master!$F$10&amp; "'!$C$2:$C$50"))</f>
        <v>#VALUE!</v>
      </c>
      <c r="D789" s="4" t="e">
        <f ca="1">SplineInterp(A789,INDIRECT("'" &amp;Master!$F$10&amp; "'!$A$2:$A$50"),INDIRECT("'" &amp;Master!$F$10&amp; "'!$D$2:$D$50"))</f>
        <v>#VALUE!</v>
      </c>
      <c r="E789" s="4" t="e">
        <f ca="1">SplineInterp(A789,INDIRECT("'" &amp;Master!$F$10&amp; "'!$A$2:$A$50"),INDIRECT("'" &amp;Master!$F$10&amp; "'!$E$2:$E$50"))</f>
        <v>#VALUE!</v>
      </c>
      <c r="F789" s="4" t="e">
        <f ca="1">SplineInterp(A789,INDIRECT("'" &amp;Master!$F$10&amp; "'!$A$2:$A$50"),INDIRECT("'" &amp;Master!$F$10&amp; "'!$F$2:$F$50"))</f>
        <v>#VALUE!</v>
      </c>
      <c r="G789" s="4" t="e">
        <f ca="1">SplineInterp(A789,INDIRECT("'" &amp;Master!$F$10&amp; "'!$A$2:$A$50"),INDIRECT("'" &amp;Master!$F$10&amp; "'!$G$2:$G$50"))</f>
        <v>#VALUE!</v>
      </c>
      <c r="H789" s="4" t="e">
        <f ca="1">SplineInterp(A789,INDIRECT("'" &amp;Master!$F$10&amp; "'!$A$2:$A$50"),INDIRECT("'" &amp;Master!$F$10&amp; "'!$H$2:$H$50"))</f>
        <v>#VALUE!</v>
      </c>
      <c r="I789" s="4" t="e">
        <f ca="1">IF(OR(INDIRECT("'" &amp; Master!$F$8 &amp; Master!$F$6 &amp; "'!B" &amp; ROW(B789))="", INDIRECT("'" &amp; Master!$F$8 &amp; Master!$F$6 &amp; "'!B" &amp; ROW(B789))=0), "", INDIRECT("'" &amp; Master!$F$8 &amp; Master!$F$6 &amp; "'!B" &amp; ROW(B789)))</f>
        <v>#VALUE!</v>
      </c>
      <c r="J789" s="9" t="e">
        <f t="shared" ca="1" si="84"/>
        <v>#VALUE!</v>
      </c>
      <c r="K789" s="7" t="e">
        <f t="shared" ca="1" si="85"/>
        <v>#VALUE!</v>
      </c>
      <c r="L789" s="7" t="e">
        <f t="shared" ca="1" si="86"/>
        <v>#VALUE!</v>
      </c>
      <c r="M789" s="7" t="e">
        <f t="shared" ca="1" si="87"/>
        <v>#VALUE!</v>
      </c>
      <c r="N789" s="7" t="e">
        <f t="shared" ca="1" si="88"/>
        <v>#VALUE!</v>
      </c>
      <c r="O789" s="7" t="e">
        <f t="shared" ca="1" si="89"/>
        <v>#VALUE!</v>
      </c>
      <c r="P789" s="7" t="e">
        <f t="shared" ca="1" si="90"/>
        <v>#VALUE!</v>
      </c>
    </row>
    <row r="790" spans="1:16" x14ac:dyDescent="0.25">
      <c r="A790" s="19" t="str">
        <f ca="1">IF(OR(INDIRECT("'" &amp; Master!$F$8 &amp; Master!$F$6 &amp; "'!A" &amp; ROW(A790))="", INDIRECT("'" &amp; Master!$F$8 &amp; Master!$F$6 &amp; "'!A" &amp; ROW(A790))=0), "", INDIRECT("'" &amp; Master!$F$8 &amp; Master!$F$6 &amp; "'!A" &amp; ROW(A790)))</f>
        <v/>
      </c>
      <c r="B790" s="4" t="e">
        <f ca="1">SplineInterp(INDIRECT("A" &amp; ROW()),INDIRECT("'" &amp;Master!$F$10&amp; "'!$A$2:$A$50"),INDIRECT("'" &amp;Master!$F$10&amp; "'!$B$2:$B$50"))</f>
        <v>#VALUE!</v>
      </c>
      <c r="C790" s="4" t="e">
        <f ca="1">SplineInterp(A790,INDIRECT("'" &amp;Master!$F$10&amp; "'!$A$2:$A$50"),INDIRECT("'" &amp;Master!$F$10&amp; "'!$C$2:$C$50"))</f>
        <v>#VALUE!</v>
      </c>
      <c r="D790" s="4" t="e">
        <f ca="1">SplineInterp(A790,INDIRECT("'" &amp;Master!$F$10&amp; "'!$A$2:$A$50"),INDIRECT("'" &amp;Master!$F$10&amp; "'!$D$2:$D$50"))</f>
        <v>#VALUE!</v>
      </c>
      <c r="E790" s="4" t="e">
        <f ca="1">SplineInterp(A790,INDIRECT("'" &amp;Master!$F$10&amp; "'!$A$2:$A$50"),INDIRECT("'" &amp;Master!$F$10&amp; "'!$E$2:$E$50"))</f>
        <v>#VALUE!</v>
      </c>
      <c r="F790" s="4" t="e">
        <f ca="1">SplineInterp(A790,INDIRECT("'" &amp;Master!$F$10&amp; "'!$A$2:$A$50"),INDIRECT("'" &amp;Master!$F$10&amp; "'!$F$2:$F$50"))</f>
        <v>#VALUE!</v>
      </c>
      <c r="G790" s="4" t="e">
        <f ca="1">SplineInterp(A790,INDIRECT("'" &amp;Master!$F$10&amp; "'!$A$2:$A$50"),INDIRECT("'" &amp;Master!$F$10&amp; "'!$G$2:$G$50"))</f>
        <v>#VALUE!</v>
      </c>
      <c r="H790" s="4" t="e">
        <f ca="1">SplineInterp(A790,INDIRECT("'" &amp;Master!$F$10&amp; "'!$A$2:$A$50"),INDIRECT("'" &amp;Master!$F$10&amp; "'!$H$2:$H$50"))</f>
        <v>#VALUE!</v>
      </c>
      <c r="I790" s="4" t="e">
        <f ca="1">IF(OR(INDIRECT("'" &amp; Master!$F$8 &amp; Master!$F$6 &amp; "'!B" &amp; ROW(B790))="", INDIRECT("'" &amp; Master!$F$8 &amp; Master!$F$6 &amp; "'!B" &amp; ROW(B790))=0), "", INDIRECT("'" &amp; Master!$F$8 &amp; Master!$F$6 &amp; "'!B" &amp; ROW(B790)))</f>
        <v>#VALUE!</v>
      </c>
      <c r="J790" s="9" t="e">
        <f t="shared" ca="1" si="84"/>
        <v>#VALUE!</v>
      </c>
      <c r="K790" s="7" t="e">
        <f t="shared" ca="1" si="85"/>
        <v>#VALUE!</v>
      </c>
      <c r="L790" s="7" t="e">
        <f t="shared" ca="1" si="86"/>
        <v>#VALUE!</v>
      </c>
      <c r="M790" s="7" t="e">
        <f t="shared" ca="1" si="87"/>
        <v>#VALUE!</v>
      </c>
      <c r="N790" s="7" t="e">
        <f t="shared" ca="1" si="88"/>
        <v>#VALUE!</v>
      </c>
      <c r="O790" s="7" t="e">
        <f t="shared" ca="1" si="89"/>
        <v>#VALUE!</v>
      </c>
      <c r="P790" s="7" t="e">
        <f t="shared" ca="1" si="90"/>
        <v>#VALUE!</v>
      </c>
    </row>
    <row r="791" spans="1:16" x14ac:dyDescent="0.25">
      <c r="A791" s="19" t="str">
        <f ca="1">IF(OR(INDIRECT("'" &amp; Master!$F$8 &amp; Master!$F$6 &amp; "'!A" &amp; ROW(A791))="", INDIRECT("'" &amp; Master!$F$8 &amp; Master!$F$6 &amp; "'!A" &amp; ROW(A791))=0), "", INDIRECT("'" &amp; Master!$F$8 &amp; Master!$F$6 &amp; "'!A" &amp; ROW(A791)))</f>
        <v/>
      </c>
      <c r="B791" s="4" t="e">
        <f ca="1">SplineInterp(INDIRECT("A" &amp; ROW()),INDIRECT("'" &amp;Master!$F$10&amp; "'!$A$2:$A$50"),INDIRECT("'" &amp;Master!$F$10&amp; "'!$B$2:$B$50"))</f>
        <v>#VALUE!</v>
      </c>
      <c r="C791" s="4" t="e">
        <f ca="1">SplineInterp(A791,INDIRECT("'" &amp;Master!$F$10&amp; "'!$A$2:$A$50"),INDIRECT("'" &amp;Master!$F$10&amp; "'!$C$2:$C$50"))</f>
        <v>#VALUE!</v>
      </c>
      <c r="D791" s="4" t="e">
        <f ca="1">SplineInterp(A791,INDIRECT("'" &amp;Master!$F$10&amp; "'!$A$2:$A$50"),INDIRECT("'" &amp;Master!$F$10&amp; "'!$D$2:$D$50"))</f>
        <v>#VALUE!</v>
      </c>
      <c r="E791" s="4" t="e">
        <f ca="1">SplineInterp(A791,INDIRECT("'" &amp;Master!$F$10&amp; "'!$A$2:$A$50"),INDIRECT("'" &amp;Master!$F$10&amp; "'!$E$2:$E$50"))</f>
        <v>#VALUE!</v>
      </c>
      <c r="F791" s="4" t="e">
        <f ca="1">SplineInterp(A791,INDIRECT("'" &amp;Master!$F$10&amp; "'!$A$2:$A$50"),INDIRECT("'" &amp;Master!$F$10&amp; "'!$F$2:$F$50"))</f>
        <v>#VALUE!</v>
      </c>
      <c r="G791" s="4" t="e">
        <f ca="1">SplineInterp(A791,INDIRECT("'" &amp;Master!$F$10&amp; "'!$A$2:$A$50"),INDIRECT("'" &amp;Master!$F$10&amp; "'!$G$2:$G$50"))</f>
        <v>#VALUE!</v>
      </c>
      <c r="H791" s="4" t="e">
        <f ca="1">SplineInterp(A791,INDIRECT("'" &amp;Master!$F$10&amp; "'!$A$2:$A$50"),INDIRECT("'" &amp;Master!$F$10&amp; "'!$H$2:$H$50"))</f>
        <v>#VALUE!</v>
      </c>
      <c r="I791" s="4" t="e">
        <f ca="1">IF(OR(INDIRECT("'" &amp; Master!$F$8 &amp; Master!$F$6 &amp; "'!B" &amp; ROW(B791))="", INDIRECT("'" &amp; Master!$F$8 &amp; Master!$F$6 &amp; "'!B" &amp; ROW(B791))=0), "", INDIRECT("'" &amp; Master!$F$8 &amp; Master!$F$6 &amp; "'!B" &amp; ROW(B791)))</f>
        <v>#VALUE!</v>
      </c>
      <c r="J791" s="9" t="e">
        <f t="shared" ca="1" si="84"/>
        <v>#VALUE!</v>
      </c>
      <c r="K791" s="7" t="e">
        <f t="shared" ca="1" si="85"/>
        <v>#VALUE!</v>
      </c>
      <c r="L791" s="7" t="e">
        <f t="shared" ca="1" si="86"/>
        <v>#VALUE!</v>
      </c>
      <c r="M791" s="7" t="e">
        <f t="shared" ca="1" si="87"/>
        <v>#VALUE!</v>
      </c>
      <c r="N791" s="7" t="e">
        <f t="shared" ca="1" si="88"/>
        <v>#VALUE!</v>
      </c>
      <c r="O791" s="7" t="e">
        <f t="shared" ca="1" si="89"/>
        <v>#VALUE!</v>
      </c>
      <c r="P791" s="7" t="e">
        <f t="shared" ca="1" si="90"/>
        <v>#VALUE!</v>
      </c>
    </row>
    <row r="792" spans="1:16" x14ac:dyDescent="0.25">
      <c r="A792" s="19" t="str">
        <f ca="1">IF(OR(INDIRECT("'" &amp; Master!$F$8 &amp; Master!$F$6 &amp; "'!A" &amp; ROW(A792))="", INDIRECT("'" &amp; Master!$F$8 &amp; Master!$F$6 &amp; "'!A" &amp; ROW(A792))=0), "", INDIRECT("'" &amp; Master!$F$8 &amp; Master!$F$6 &amp; "'!A" &amp; ROW(A792)))</f>
        <v/>
      </c>
      <c r="B792" s="4" t="e">
        <f ca="1">SplineInterp(INDIRECT("A" &amp; ROW()),INDIRECT("'" &amp;Master!$F$10&amp; "'!$A$2:$A$50"),INDIRECT("'" &amp;Master!$F$10&amp; "'!$B$2:$B$50"))</f>
        <v>#VALUE!</v>
      </c>
      <c r="C792" s="4" t="e">
        <f ca="1">SplineInterp(A792,INDIRECT("'" &amp;Master!$F$10&amp; "'!$A$2:$A$50"),INDIRECT("'" &amp;Master!$F$10&amp; "'!$C$2:$C$50"))</f>
        <v>#VALUE!</v>
      </c>
      <c r="D792" s="4" t="e">
        <f ca="1">SplineInterp(A792,INDIRECT("'" &amp;Master!$F$10&amp; "'!$A$2:$A$50"),INDIRECT("'" &amp;Master!$F$10&amp; "'!$D$2:$D$50"))</f>
        <v>#VALUE!</v>
      </c>
      <c r="E792" s="4" t="e">
        <f ca="1">SplineInterp(A792,INDIRECT("'" &amp;Master!$F$10&amp; "'!$A$2:$A$50"),INDIRECT("'" &amp;Master!$F$10&amp; "'!$E$2:$E$50"))</f>
        <v>#VALUE!</v>
      </c>
      <c r="F792" s="4" t="e">
        <f ca="1">SplineInterp(A792,INDIRECT("'" &amp;Master!$F$10&amp; "'!$A$2:$A$50"),INDIRECT("'" &amp;Master!$F$10&amp; "'!$F$2:$F$50"))</f>
        <v>#VALUE!</v>
      </c>
      <c r="G792" s="4" t="e">
        <f ca="1">SplineInterp(A792,INDIRECT("'" &amp;Master!$F$10&amp; "'!$A$2:$A$50"),INDIRECT("'" &amp;Master!$F$10&amp; "'!$G$2:$G$50"))</f>
        <v>#VALUE!</v>
      </c>
      <c r="H792" s="4" t="e">
        <f ca="1">SplineInterp(A792,INDIRECT("'" &amp;Master!$F$10&amp; "'!$A$2:$A$50"),INDIRECT("'" &amp;Master!$F$10&amp; "'!$H$2:$H$50"))</f>
        <v>#VALUE!</v>
      </c>
      <c r="I792" s="4" t="e">
        <f ca="1">IF(OR(INDIRECT("'" &amp; Master!$F$8 &amp; Master!$F$6 &amp; "'!B" &amp; ROW(B792))="", INDIRECT("'" &amp; Master!$F$8 &amp; Master!$F$6 &amp; "'!B" &amp; ROW(B792))=0), "", INDIRECT("'" &amp; Master!$F$8 &amp; Master!$F$6 &amp; "'!B" &amp; ROW(B792)))</f>
        <v>#VALUE!</v>
      </c>
      <c r="J792" s="9" t="e">
        <f t="shared" ca="1" si="84"/>
        <v>#VALUE!</v>
      </c>
      <c r="K792" s="7" t="e">
        <f t="shared" ca="1" si="85"/>
        <v>#VALUE!</v>
      </c>
      <c r="L792" s="7" t="e">
        <f t="shared" ca="1" si="86"/>
        <v>#VALUE!</v>
      </c>
      <c r="M792" s="7" t="e">
        <f t="shared" ca="1" si="87"/>
        <v>#VALUE!</v>
      </c>
      <c r="N792" s="7" t="e">
        <f t="shared" ca="1" si="88"/>
        <v>#VALUE!</v>
      </c>
      <c r="O792" s="7" t="e">
        <f t="shared" ca="1" si="89"/>
        <v>#VALUE!</v>
      </c>
      <c r="P792" s="7" t="e">
        <f t="shared" ca="1" si="90"/>
        <v>#VALUE!</v>
      </c>
    </row>
    <row r="793" spans="1:16" x14ac:dyDescent="0.25">
      <c r="A793" s="19" t="str">
        <f ca="1">IF(OR(INDIRECT("'" &amp; Master!$F$8 &amp; Master!$F$6 &amp; "'!A" &amp; ROW(A793))="", INDIRECT("'" &amp; Master!$F$8 &amp; Master!$F$6 &amp; "'!A" &amp; ROW(A793))=0), "", INDIRECT("'" &amp; Master!$F$8 &amp; Master!$F$6 &amp; "'!A" &amp; ROW(A793)))</f>
        <v/>
      </c>
      <c r="B793" s="4" t="e">
        <f ca="1">SplineInterp(INDIRECT("A" &amp; ROW()),INDIRECT("'" &amp;Master!$F$10&amp; "'!$A$2:$A$50"),INDIRECT("'" &amp;Master!$F$10&amp; "'!$B$2:$B$50"))</f>
        <v>#VALUE!</v>
      </c>
      <c r="C793" s="4" t="e">
        <f ca="1">SplineInterp(A793,INDIRECT("'" &amp;Master!$F$10&amp; "'!$A$2:$A$50"),INDIRECT("'" &amp;Master!$F$10&amp; "'!$C$2:$C$50"))</f>
        <v>#VALUE!</v>
      </c>
      <c r="D793" s="4" t="e">
        <f ca="1">SplineInterp(A793,INDIRECT("'" &amp;Master!$F$10&amp; "'!$A$2:$A$50"),INDIRECT("'" &amp;Master!$F$10&amp; "'!$D$2:$D$50"))</f>
        <v>#VALUE!</v>
      </c>
      <c r="E793" s="4" t="e">
        <f ca="1">SplineInterp(A793,INDIRECT("'" &amp;Master!$F$10&amp; "'!$A$2:$A$50"),INDIRECT("'" &amp;Master!$F$10&amp; "'!$E$2:$E$50"))</f>
        <v>#VALUE!</v>
      </c>
      <c r="F793" s="4" t="e">
        <f ca="1">SplineInterp(A793,INDIRECT("'" &amp;Master!$F$10&amp; "'!$A$2:$A$50"),INDIRECT("'" &amp;Master!$F$10&amp; "'!$F$2:$F$50"))</f>
        <v>#VALUE!</v>
      </c>
      <c r="G793" s="4" t="e">
        <f ca="1">SplineInterp(A793,INDIRECT("'" &amp;Master!$F$10&amp; "'!$A$2:$A$50"),INDIRECT("'" &amp;Master!$F$10&amp; "'!$G$2:$G$50"))</f>
        <v>#VALUE!</v>
      </c>
      <c r="H793" s="4" t="e">
        <f ca="1">SplineInterp(A793,INDIRECT("'" &amp;Master!$F$10&amp; "'!$A$2:$A$50"),INDIRECT("'" &amp;Master!$F$10&amp; "'!$H$2:$H$50"))</f>
        <v>#VALUE!</v>
      </c>
      <c r="I793" s="4" t="e">
        <f ca="1">IF(OR(INDIRECT("'" &amp; Master!$F$8 &amp; Master!$F$6 &amp; "'!B" &amp; ROW(B793))="", INDIRECT("'" &amp; Master!$F$8 &amp; Master!$F$6 &amp; "'!B" &amp; ROW(B793))=0), "", INDIRECT("'" &amp; Master!$F$8 &amp; Master!$F$6 &amp; "'!B" &amp; ROW(B793)))</f>
        <v>#VALUE!</v>
      </c>
      <c r="J793" s="9" t="e">
        <f t="shared" ca="1" si="84"/>
        <v>#VALUE!</v>
      </c>
      <c r="K793" s="7" t="e">
        <f t="shared" ca="1" si="85"/>
        <v>#VALUE!</v>
      </c>
      <c r="L793" s="7" t="e">
        <f t="shared" ca="1" si="86"/>
        <v>#VALUE!</v>
      </c>
      <c r="M793" s="7" t="e">
        <f t="shared" ca="1" si="87"/>
        <v>#VALUE!</v>
      </c>
      <c r="N793" s="7" t="e">
        <f t="shared" ca="1" si="88"/>
        <v>#VALUE!</v>
      </c>
      <c r="O793" s="7" t="e">
        <f t="shared" ca="1" si="89"/>
        <v>#VALUE!</v>
      </c>
      <c r="P793" s="7" t="e">
        <f t="shared" ca="1" si="90"/>
        <v>#VALUE!</v>
      </c>
    </row>
    <row r="794" spans="1:16" x14ac:dyDescent="0.25">
      <c r="A794" s="19" t="str">
        <f ca="1">IF(OR(INDIRECT("'" &amp; Master!$F$8 &amp; Master!$F$6 &amp; "'!A" &amp; ROW(A794))="", INDIRECT("'" &amp; Master!$F$8 &amp; Master!$F$6 &amp; "'!A" &amp; ROW(A794))=0), "", INDIRECT("'" &amp; Master!$F$8 &amp; Master!$F$6 &amp; "'!A" &amp; ROW(A794)))</f>
        <v/>
      </c>
      <c r="B794" s="4" t="e">
        <f ca="1">SplineInterp(INDIRECT("A" &amp; ROW()),INDIRECT("'" &amp;Master!$F$10&amp; "'!$A$2:$A$50"),INDIRECT("'" &amp;Master!$F$10&amp; "'!$B$2:$B$50"))</f>
        <v>#VALUE!</v>
      </c>
      <c r="C794" s="4" t="e">
        <f ca="1">SplineInterp(A794,INDIRECT("'" &amp;Master!$F$10&amp; "'!$A$2:$A$50"),INDIRECT("'" &amp;Master!$F$10&amp; "'!$C$2:$C$50"))</f>
        <v>#VALUE!</v>
      </c>
      <c r="D794" s="4" t="e">
        <f ca="1">SplineInterp(A794,INDIRECT("'" &amp;Master!$F$10&amp; "'!$A$2:$A$50"),INDIRECT("'" &amp;Master!$F$10&amp; "'!$D$2:$D$50"))</f>
        <v>#VALUE!</v>
      </c>
      <c r="E794" s="4" t="e">
        <f ca="1">SplineInterp(A794,INDIRECT("'" &amp;Master!$F$10&amp; "'!$A$2:$A$50"),INDIRECT("'" &amp;Master!$F$10&amp; "'!$E$2:$E$50"))</f>
        <v>#VALUE!</v>
      </c>
      <c r="F794" s="4" t="e">
        <f ca="1">SplineInterp(A794,INDIRECT("'" &amp;Master!$F$10&amp; "'!$A$2:$A$50"),INDIRECT("'" &amp;Master!$F$10&amp; "'!$F$2:$F$50"))</f>
        <v>#VALUE!</v>
      </c>
      <c r="G794" s="4" t="e">
        <f ca="1">SplineInterp(A794,INDIRECT("'" &amp;Master!$F$10&amp; "'!$A$2:$A$50"),INDIRECT("'" &amp;Master!$F$10&amp; "'!$G$2:$G$50"))</f>
        <v>#VALUE!</v>
      </c>
      <c r="H794" s="4" t="e">
        <f ca="1">SplineInterp(A794,INDIRECT("'" &amp;Master!$F$10&amp; "'!$A$2:$A$50"),INDIRECT("'" &amp;Master!$F$10&amp; "'!$H$2:$H$50"))</f>
        <v>#VALUE!</v>
      </c>
      <c r="I794" s="4" t="e">
        <f ca="1">IF(OR(INDIRECT("'" &amp; Master!$F$8 &amp; Master!$F$6 &amp; "'!B" &amp; ROW(B794))="", INDIRECT("'" &amp; Master!$F$8 &amp; Master!$F$6 &amp; "'!B" &amp; ROW(B794))=0), "", INDIRECT("'" &amp; Master!$F$8 &amp; Master!$F$6 &amp; "'!B" &amp; ROW(B794)))</f>
        <v>#VALUE!</v>
      </c>
      <c r="J794" s="9" t="e">
        <f t="shared" ca="1" si="84"/>
        <v>#VALUE!</v>
      </c>
      <c r="K794" s="7" t="e">
        <f t="shared" ca="1" si="85"/>
        <v>#VALUE!</v>
      </c>
      <c r="L794" s="7" t="e">
        <f t="shared" ca="1" si="86"/>
        <v>#VALUE!</v>
      </c>
      <c r="M794" s="7" t="e">
        <f t="shared" ca="1" si="87"/>
        <v>#VALUE!</v>
      </c>
      <c r="N794" s="7" t="e">
        <f t="shared" ca="1" si="88"/>
        <v>#VALUE!</v>
      </c>
      <c r="O794" s="7" t="e">
        <f t="shared" ca="1" si="89"/>
        <v>#VALUE!</v>
      </c>
      <c r="P794" s="7" t="e">
        <f t="shared" ca="1" si="90"/>
        <v>#VALUE!</v>
      </c>
    </row>
    <row r="795" spans="1:16" x14ac:dyDescent="0.25">
      <c r="A795" s="19" t="str">
        <f ca="1">IF(OR(INDIRECT("'" &amp; Master!$F$8 &amp; Master!$F$6 &amp; "'!A" &amp; ROW(A795))="", INDIRECT("'" &amp; Master!$F$8 &amp; Master!$F$6 &amp; "'!A" &amp; ROW(A795))=0), "", INDIRECT("'" &amp; Master!$F$8 &amp; Master!$F$6 &amp; "'!A" &amp; ROW(A795)))</f>
        <v/>
      </c>
      <c r="B795" s="4" t="e">
        <f ca="1">SplineInterp(INDIRECT("A" &amp; ROW()),INDIRECT("'" &amp;Master!$F$10&amp; "'!$A$2:$A$50"),INDIRECT("'" &amp;Master!$F$10&amp; "'!$B$2:$B$50"))</f>
        <v>#VALUE!</v>
      </c>
      <c r="C795" s="4" t="e">
        <f ca="1">SplineInterp(A795,INDIRECT("'" &amp;Master!$F$10&amp; "'!$A$2:$A$50"),INDIRECT("'" &amp;Master!$F$10&amp; "'!$C$2:$C$50"))</f>
        <v>#VALUE!</v>
      </c>
      <c r="D795" s="4" t="e">
        <f ca="1">SplineInterp(A795,INDIRECT("'" &amp;Master!$F$10&amp; "'!$A$2:$A$50"),INDIRECT("'" &amp;Master!$F$10&amp; "'!$D$2:$D$50"))</f>
        <v>#VALUE!</v>
      </c>
      <c r="E795" s="4" t="e">
        <f ca="1">SplineInterp(A795,INDIRECT("'" &amp;Master!$F$10&amp; "'!$A$2:$A$50"),INDIRECT("'" &amp;Master!$F$10&amp; "'!$E$2:$E$50"))</f>
        <v>#VALUE!</v>
      </c>
      <c r="F795" s="4" t="e">
        <f ca="1">SplineInterp(A795,INDIRECT("'" &amp;Master!$F$10&amp; "'!$A$2:$A$50"),INDIRECT("'" &amp;Master!$F$10&amp; "'!$F$2:$F$50"))</f>
        <v>#VALUE!</v>
      </c>
      <c r="G795" s="4" t="e">
        <f ca="1">SplineInterp(A795,INDIRECT("'" &amp;Master!$F$10&amp; "'!$A$2:$A$50"),INDIRECT("'" &amp;Master!$F$10&amp; "'!$G$2:$G$50"))</f>
        <v>#VALUE!</v>
      </c>
      <c r="H795" s="4" t="e">
        <f ca="1">SplineInterp(A795,INDIRECT("'" &amp;Master!$F$10&amp; "'!$A$2:$A$50"),INDIRECT("'" &amp;Master!$F$10&amp; "'!$H$2:$H$50"))</f>
        <v>#VALUE!</v>
      </c>
      <c r="I795" s="4" t="e">
        <f ca="1">IF(OR(INDIRECT("'" &amp; Master!$F$8 &amp; Master!$F$6 &amp; "'!B" &amp; ROW(B795))="", INDIRECT("'" &amp; Master!$F$8 &amp; Master!$F$6 &amp; "'!B" &amp; ROW(B795))=0), "", INDIRECT("'" &amp; Master!$F$8 &amp; Master!$F$6 &amp; "'!B" &amp; ROW(B795)))</f>
        <v>#VALUE!</v>
      </c>
      <c r="J795" s="9" t="e">
        <f t="shared" ca="1" si="84"/>
        <v>#VALUE!</v>
      </c>
      <c r="K795" s="7" t="e">
        <f t="shared" ca="1" si="85"/>
        <v>#VALUE!</v>
      </c>
      <c r="L795" s="7" t="e">
        <f t="shared" ca="1" si="86"/>
        <v>#VALUE!</v>
      </c>
      <c r="M795" s="7" t="e">
        <f t="shared" ca="1" si="87"/>
        <v>#VALUE!</v>
      </c>
      <c r="N795" s="7" t="e">
        <f t="shared" ca="1" si="88"/>
        <v>#VALUE!</v>
      </c>
      <c r="O795" s="7" t="e">
        <f t="shared" ca="1" si="89"/>
        <v>#VALUE!</v>
      </c>
      <c r="P795" s="7" t="e">
        <f t="shared" ca="1" si="90"/>
        <v>#VALUE!</v>
      </c>
    </row>
    <row r="796" spans="1:16" x14ac:dyDescent="0.25">
      <c r="A796" s="19" t="str">
        <f ca="1">IF(OR(INDIRECT("'" &amp; Master!$F$8 &amp; Master!$F$6 &amp; "'!A" &amp; ROW(A796))="", INDIRECT("'" &amp; Master!$F$8 &amp; Master!$F$6 &amp; "'!A" &amp; ROW(A796))=0), "", INDIRECT("'" &amp; Master!$F$8 &amp; Master!$F$6 &amp; "'!A" &amp; ROW(A796)))</f>
        <v/>
      </c>
      <c r="B796" s="4" t="e">
        <f ca="1">SplineInterp(INDIRECT("A" &amp; ROW()),INDIRECT("'" &amp;Master!$F$10&amp; "'!$A$2:$A$50"),INDIRECT("'" &amp;Master!$F$10&amp; "'!$B$2:$B$50"))</f>
        <v>#VALUE!</v>
      </c>
      <c r="C796" s="4" t="e">
        <f ca="1">SplineInterp(A796,INDIRECT("'" &amp;Master!$F$10&amp; "'!$A$2:$A$50"),INDIRECT("'" &amp;Master!$F$10&amp; "'!$C$2:$C$50"))</f>
        <v>#VALUE!</v>
      </c>
      <c r="D796" s="4" t="e">
        <f ca="1">SplineInterp(A796,INDIRECT("'" &amp;Master!$F$10&amp; "'!$A$2:$A$50"),INDIRECT("'" &amp;Master!$F$10&amp; "'!$D$2:$D$50"))</f>
        <v>#VALUE!</v>
      </c>
      <c r="E796" s="4" t="e">
        <f ca="1">SplineInterp(A796,INDIRECT("'" &amp;Master!$F$10&amp; "'!$A$2:$A$50"),INDIRECT("'" &amp;Master!$F$10&amp; "'!$E$2:$E$50"))</f>
        <v>#VALUE!</v>
      </c>
      <c r="F796" s="4" t="e">
        <f ca="1">SplineInterp(A796,INDIRECT("'" &amp;Master!$F$10&amp; "'!$A$2:$A$50"),INDIRECT("'" &amp;Master!$F$10&amp; "'!$F$2:$F$50"))</f>
        <v>#VALUE!</v>
      </c>
      <c r="G796" s="4" t="e">
        <f ca="1">SplineInterp(A796,INDIRECT("'" &amp;Master!$F$10&amp; "'!$A$2:$A$50"),INDIRECT("'" &amp;Master!$F$10&amp; "'!$G$2:$G$50"))</f>
        <v>#VALUE!</v>
      </c>
      <c r="H796" s="4" t="e">
        <f ca="1">SplineInterp(A796,INDIRECT("'" &amp;Master!$F$10&amp; "'!$A$2:$A$50"),INDIRECT("'" &amp;Master!$F$10&amp; "'!$H$2:$H$50"))</f>
        <v>#VALUE!</v>
      </c>
      <c r="I796" s="4" t="e">
        <f ca="1">IF(OR(INDIRECT("'" &amp; Master!$F$8 &amp; Master!$F$6 &amp; "'!B" &amp; ROW(B796))="", INDIRECT("'" &amp; Master!$F$8 &amp; Master!$F$6 &amp; "'!B" &amp; ROW(B796))=0), "", INDIRECT("'" &amp; Master!$F$8 &amp; Master!$F$6 &amp; "'!B" &amp; ROW(B796)))</f>
        <v>#VALUE!</v>
      </c>
      <c r="J796" s="9" t="e">
        <f t="shared" ca="1" si="84"/>
        <v>#VALUE!</v>
      </c>
      <c r="K796" s="7" t="e">
        <f t="shared" ca="1" si="85"/>
        <v>#VALUE!</v>
      </c>
      <c r="L796" s="7" t="e">
        <f t="shared" ca="1" si="86"/>
        <v>#VALUE!</v>
      </c>
      <c r="M796" s="7" t="e">
        <f t="shared" ca="1" si="87"/>
        <v>#VALUE!</v>
      </c>
      <c r="N796" s="7" t="e">
        <f t="shared" ca="1" si="88"/>
        <v>#VALUE!</v>
      </c>
      <c r="O796" s="7" t="e">
        <f t="shared" ca="1" si="89"/>
        <v>#VALUE!</v>
      </c>
      <c r="P796" s="7" t="e">
        <f t="shared" ca="1" si="90"/>
        <v>#VALUE!</v>
      </c>
    </row>
    <row r="797" spans="1:16" x14ac:dyDescent="0.25">
      <c r="A797" s="19" t="str">
        <f ca="1">IF(OR(INDIRECT("'" &amp; Master!$F$8 &amp; Master!$F$6 &amp; "'!A" &amp; ROW(A797))="", INDIRECT("'" &amp; Master!$F$8 &amp; Master!$F$6 &amp; "'!A" &amp; ROW(A797))=0), "", INDIRECT("'" &amp; Master!$F$8 &amp; Master!$F$6 &amp; "'!A" &amp; ROW(A797)))</f>
        <v/>
      </c>
      <c r="B797" s="4" t="e">
        <f ca="1">SplineInterp(INDIRECT("A" &amp; ROW()),INDIRECT("'" &amp;Master!$F$10&amp; "'!$A$2:$A$50"),INDIRECT("'" &amp;Master!$F$10&amp; "'!$B$2:$B$50"))</f>
        <v>#VALUE!</v>
      </c>
      <c r="C797" s="4" t="e">
        <f ca="1">SplineInterp(A797,INDIRECT("'" &amp;Master!$F$10&amp; "'!$A$2:$A$50"),INDIRECT("'" &amp;Master!$F$10&amp; "'!$C$2:$C$50"))</f>
        <v>#VALUE!</v>
      </c>
      <c r="D797" s="4" t="e">
        <f ca="1">SplineInterp(A797,INDIRECT("'" &amp;Master!$F$10&amp; "'!$A$2:$A$50"),INDIRECT("'" &amp;Master!$F$10&amp; "'!$D$2:$D$50"))</f>
        <v>#VALUE!</v>
      </c>
      <c r="E797" s="4" t="e">
        <f ca="1">SplineInterp(A797,INDIRECT("'" &amp;Master!$F$10&amp; "'!$A$2:$A$50"),INDIRECT("'" &amp;Master!$F$10&amp; "'!$E$2:$E$50"))</f>
        <v>#VALUE!</v>
      </c>
      <c r="F797" s="4" t="e">
        <f ca="1">SplineInterp(A797,INDIRECT("'" &amp;Master!$F$10&amp; "'!$A$2:$A$50"),INDIRECT("'" &amp;Master!$F$10&amp; "'!$F$2:$F$50"))</f>
        <v>#VALUE!</v>
      </c>
      <c r="G797" s="4" t="e">
        <f ca="1">SplineInterp(A797,INDIRECT("'" &amp;Master!$F$10&amp; "'!$A$2:$A$50"),INDIRECT("'" &amp;Master!$F$10&amp; "'!$G$2:$G$50"))</f>
        <v>#VALUE!</v>
      </c>
      <c r="H797" s="4" t="e">
        <f ca="1">SplineInterp(A797,INDIRECT("'" &amp;Master!$F$10&amp; "'!$A$2:$A$50"),INDIRECT("'" &amp;Master!$F$10&amp; "'!$H$2:$H$50"))</f>
        <v>#VALUE!</v>
      </c>
      <c r="I797" s="4" t="e">
        <f ca="1">IF(OR(INDIRECT("'" &amp; Master!$F$8 &amp; Master!$F$6 &amp; "'!B" &amp; ROW(B797))="", INDIRECT("'" &amp; Master!$F$8 &amp; Master!$F$6 &amp; "'!B" &amp; ROW(B797))=0), "", INDIRECT("'" &amp; Master!$F$8 &amp; Master!$F$6 &amp; "'!B" &amp; ROW(B797)))</f>
        <v>#VALUE!</v>
      </c>
      <c r="J797" s="9" t="e">
        <f t="shared" ca="1" si="84"/>
        <v>#VALUE!</v>
      </c>
      <c r="K797" s="7" t="e">
        <f t="shared" ca="1" si="85"/>
        <v>#VALUE!</v>
      </c>
      <c r="L797" s="7" t="e">
        <f t="shared" ca="1" si="86"/>
        <v>#VALUE!</v>
      </c>
      <c r="M797" s="7" t="e">
        <f t="shared" ca="1" si="87"/>
        <v>#VALUE!</v>
      </c>
      <c r="N797" s="7" t="e">
        <f t="shared" ca="1" si="88"/>
        <v>#VALUE!</v>
      </c>
      <c r="O797" s="7" t="e">
        <f t="shared" ca="1" si="89"/>
        <v>#VALUE!</v>
      </c>
      <c r="P797" s="7" t="e">
        <f t="shared" ca="1" si="90"/>
        <v>#VALUE!</v>
      </c>
    </row>
    <row r="798" spans="1:16" x14ac:dyDescent="0.25">
      <c r="A798" s="19" t="str">
        <f ca="1">IF(OR(INDIRECT("'" &amp; Master!$F$8 &amp; Master!$F$6 &amp; "'!A" &amp; ROW(A798))="", INDIRECT("'" &amp; Master!$F$8 &amp; Master!$F$6 &amp; "'!A" &amp; ROW(A798))=0), "", INDIRECT("'" &amp; Master!$F$8 &amp; Master!$F$6 &amp; "'!A" &amp; ROW(A798)))</f>
        <v/>
      </c>
      <c r="B798" s="4" t="e">
        <f ca="1">SplineInterp(INDIRECT("A" &amp; ROW()),INDIRECT("'" &amp;Master!$F$10&amp; "'!$A$2:$A$50"),INDIRECT("'" &amp;Master!$F$10&amp; "'!$B$2:$B$50"))</f>
        <v>#VALUE!</v>
      </c>
      <c r="C798" s="4" t="e">
        <f ca="1">SplineInterp(A798,INDIRECT("'" &amp;Master!$F$10&amp; "'!$A$2:$A$50"),INDIRECT("'" &amp;Master!$F$10&amp; "'!$C$2:$C$50"))</f>
        <v>#VALUE!</v>
      </c>
      <c r="D798" s="4" t="e">
        <f ca="1">SplineInterp(A798,INDIRECT("'" &amp;Master!$F$10&amp; "'!$A$2:$A$50"),INDIRECT("'" &amp;Master!$F$10&amp; "'!$D$2:$D$50"))</f>
        <v>#VALUE!</v>
      </c>
      <c r="E798" s="4" t="e">
        <f ca="1">SplineInterp(A798,INDIRECT("'" &amp;Master!$F$10&amp; "'!$A$2:$A$50"),INDIRECT("'" &amp;Master!$F$10&amp; "'!$E$2:$E$50"))</f>
        <v>#VALUE!</v>
      </c>
      <c r="F798" s="4" t="e">
        <f ca="1">SplineInterp(A798,INDIRECT("'" &amp;Master!$F$10&amp; "'!$A$2:$A$50"),INDIRECT("'" &amp;Master!$F$10&amp; "'!$F$2:$F$50"))</f>
        <v>#VALUE!</v>
      </c>
      <c r="G798" s="4" t="e">
        <f ca="1">SplineInterp(A798,INDIRECT("'" &amp;Master!$F$10&amp; "'!$A$2:$A$50"),INDIRECT("'" &amp;Master!$F$10&amp; "'!$G$2:$G$50"))</f>
        <v>#VALUE!</v>
      </c>
      <c r="H798" s="4" t="e">
        <f ca="1">SplineInterp(A798,INDIRECT("'" &amp;Master!$F$10&amp; "'!$A$2:$A$50"),INDIRECT("'" &amp;Master!$F$10&amp; "'!$H$2:$H$50"))</f>
        <v>#VALUE!</v>
      </c>
      <c r="I798" s="4" t="e">
        <f ca="1">IF(OR(INDIRECT("'" &amp; Master!$F$8 &amp; Master!$F$6 &amp; "'!B" &amp; ROW(B798))="", INDIRECT("'" &amp; Master!$F$8 &amp; Master!$F$6 &amp; "'!B" &amp; ROW(B798))=0), "", INDIRECT("'" &amp; Master!$F$8 &amp; Master!$F$6 &amp; "'!B" &amp; ROW(B798)))</f>
        <v>#VALUE!</v>
      </c>
      <c r="J798" s="9" t="e">
        <f t="shared" ca="1" si="84"/>
        <v>#VALUE!</v>
      </c>
      <c r="K798" s="7" t="e">
        <f t="shared" ca="1" si="85"/>
        <v>#VALUE!</v>
      </c>
      <c r="L798" s="7" t="e">
        <f t="shared" ca="1" si="86"/>
        <v>#VALUE!</v>
      </c>
      <c r="M798" s="7" t="e">
        <f t="shared" ca="1" si="87"/>
        <v>#VALUE!</v>
      </c>
      <c r="N798" s="7" t="e">
        <f t="shared" ca="1" si="88"/>
        <v>#VALUE!</v>
      </c>
      <c r="O798" s="7" t="e">
        <f t="shared" ca="1" si="89"/>
        <v>#VALUE!</v>
      </c>
      <c r="P798" s="7" t="e">
        <f t="shared" ca="1" si="90"/>
        <v>#VALUE!</v>
      </c>
    </row>
    <row r="799" spans="1:16" x14ac:dyDescent="0.25">
      <c r="A799" s="19" t="str">
        <f ca="1">IF(OR(INDIRECT("'" &amp; Master!$F$8 &amp; Master!$F$6 &amp; "'!A" &amp; ROW(A799))="", INDIRECT("'" &amp; Master!$F$8 &amp; Master!$F$6 &amp; "'!A" &amp; ROW(A799))=0), "", INDIRECT("'" &amp; Master!$F$8 &amp; Master!$F$6 &amp; "'!A" &amp; ROW(A799)))</f>
        <v/>
      </c>
      <c r="B799" s="4" t="e">
        <f ca="1">SplineInterp(INDIRECT("A" &amp; ROW()),INDIRECT("'" &amp;Master!$F$10&amp; "'!$A$2:$A$50"),INDIRECT("'" &amp;Master!$F$10&amp; "'!$B$2:$B$50"))</f>
        <v>#VALUE!</v>
      </c>
      <c r="C799" s="4" t="e">
        <f ca="1">SplineInterp(A799,INDIRECT("'" &amp;Master!$F$10&amp; "'!$A$2:$A$50"),INDIRECT("'" &amp;Master!$F$10&amp; "'!$C$2:$C$50"))</f>
        <v>#VALUE!</v>
      </c>
      <c r="D799" s="4" t="e">
        <f ca="1">SplineInterp(A799,INDIRECT("'" &amp;Master!$F$10&amp; "'!$A$2:$A$50"),INDIRECT("'" &amp;Master!$F$10&amp; "'!$D$2:$D$50"))</f>
        <v>#VALUE!</v>
      </c>
      <c r="E799" s="4" t="e">
        <f ca="1">SplineInterp(A799,INDIRECT("'" &amp;Master!$F$10&amp; "'!$A$2:$A$50"),INDIRECT("'" &amp;Master!$F$10&amp; "'!$E$2:$E$50"))</f>
        <v>#VALUE!</v>
      </c>
      <c r="F799" s="4" t="e">
        <f ca="1">SplineInterp(A799,INDIRECT("'" &amp;Master!$F$10&amp; "'!$A$2:$A$50"),INDIRECT("'" &amp;Master!$F$10&amp; "'!$F$2:$F$50"))</f>
        <v>#VALUE!</v>
      </c>
      <c r="G799" s="4" t="e">
        <f ca="1">SplineInterp(A799,INDIRECT("'" &amp;Master!$F$10&amp; "'!$A$2:$A$50"),INDIRECT("'" &amp;Master!$F$10&amp; "'!$G$2:$G$50"))</f>
        <v>#VALUE!</v>
      </c>
      <c r="H799" s="4" t="e">
        <f ca="1">SplineInterp(A799,INDIRECT("'" &amp;Master!$F$10&amp; "'!$A$2:$A$50"),INDIRECT("'" &amp;Master!$F$10&amp; "'!$H$2:$H$50"))</f>
        <v>#VALUE!</v>
      </c>
      <c r="I799" s="4" t="e">
        <f ca="1">IF(OR(INDIRECT("'" &amp; Master!$F$8 &amp; Master!$F$6 &amp; "'!B" &amp; ROW(B799))="", INDIRECT("'" &amp; Master!$F$8 &amp; Master!$F$6 &amp; "'!B" &amp; ROW(B799))=0), "", INDIRECT("'" &amp; Master!$F$8 &amp; Master!$F$6 &amp; "'!B" &amp; ROW(B799)))</f>
        <v>#VALUE!</v>
      </c>
      <c r="J799" s="9" t="e">
        <f t="shared" ca="1" si="84"/>
        <v>#VALUE!</v>
      </c>
      <c r="K799" s="7" t="e">
        <f t="shared" ca="1" si="85"/>
        <v>#VALUE!</v>
      </c>
      <c r="L799" s="7" t="e">
        <f t="shared" ca="1" si="86"/>
        <v>#VALUE!</v>
      </c>
      <c r="M799" s="7" t="e">
        <f t="shared" ca="1" si="87"/>
        <v>#VALUE!</v>
      </c>
      <c r="N799" s="7" t="e">
        <f t="shared" ca="1" si="88"/>
        <v>#VALUE!</v>
      </c>
      <c r="O799" s="7" t="e">
        <f t="shared" ca="1" si="89"/>
        <v>#VALUE!</v>
      </c>
      <c r="P799" s="7" t="e">
        <f t="shared" ca="1" si="90"/>
        <v>#VALUE!</v>
      </c>
    </row>
    <row r="800" spans="1:16" x14ac:dyDescent="0.25">
      <c r="A800" s="19" t="str">
        <f ca="1">IF(OR(INDIRECT("'" &amp; Master!$F$8 &amp; Master!$F$6 &amp; "'!A" &amp; ROW(A800))="", INDIRECT("'" &amp; Master!$F$8 &amp; Master!$F$6 &amp; "'!A" &amp; ROW(A800))=0), "", INDIRECT("'" &amp; Master!$F$8 &amp; Master!$F$6 &amp; "'!A" &amp; ROW(A800)))</f>
        <v/>
      </c>
      <c r="B800" s="4" t="e">
        <f ca="1">SplineInterp(INDIRECT("A" &amp; ROW()),INDIRECT("'" &amp;Master!$F$10&amp; "'!$A$2:$A$50"),INDIRECT("'" &amp;Master!$F$10&amp; "'!$B$2:$B$50"))</f>
        <v>#VALUE!</v>
      </c>
      <c r="C800" s="4" t="e">
        <f ca="1">SplineInterp(A800,INDIRECT("'" &amp;Master!$F$10&amp; "'!$A$2:$A$50"),INDIRECT("'" &amp;Master!$F$10&amp; "'!$C$2:$C$50"))</f>
        <v>#VALUE!</v>
      </c>
      <c r="D800" s="4" t="e">
        <f ca="1">SplineInterp(A800,INDIRECT("'" &amp;Master!$F$10&amp; "'!$A$2:$A$50"),INDIRECT("'" &amp;Master!$F$10&amp; "'!$D$2:$D$50"))</f>
        <v>#VALUE!</v>
      </c>
      <c r="E800" s="4" t="e">
        <f ca="1">SplineInterp(A800,INDIRECT("'" &amp;Master!$F$10&amp; "'!$A$2:$A$50"),INDIRECT("'" &amp;Master!$F$10&amp; "'!$E$2:$E$50"))</f>
        <v>#VALUE!</v>
      </c>
      <c r="F800" s="4" t="e">
        <f ca="1">SplineInterp(A800,INDIRECT("'" &amp;Master!$F$10&amp; "'!$A$2:$A$50"),INDIRECT("'" &amp;Master!$F$10&amp; "'!$F$2:$F$50"))</f>
        <v>#VALUE!</v>
      </c>
      <c r="G800" s="4" t="e">
        <f ca="1">SplineInterp(A800,INDIRECT("'" &amp;Master!$F$10&amp; "'!$A$2:$A$50"),INDIRECT("'" &amp;Master!$F$10&amp; "'!$G$2:$G$50"))</f>
        <v>#VALUE!</v>
      </c>
      <c r="H800" s="4" t="e">
        <f ca="1">SplineInterp(A800,INDIRECT("'" &amp;Master!$F$10&amp; "'!$A$2:$A$50"),INDIRECT("'" &amp;Master!$F$10&amp; "'!$H$2:$H$50"))</f>
        <v>#VALUE!</v>
      </c>
      <c r="I800" s="4" t="e">
        <f ca="1">IF(OR(INDIRECT("'" &amp; Master!$F$8 &amp; Master!$F$6 &amp; "'!B" &amp; ROW(B800))="", INDIRECT("'" &amp; Master!$F$8 &amp; Master!$F$6 &amp; "'!B" &amp; ROW(B800))=0), "", INDIRECT("'" &amp; Master!$F$8 &amp; Master!$F$6 &amp; "'!B" &amp; ROW(B800)))</f>
        <v>#VALUE!</v>
      </c>
      <c r="J800" s="9" t="e">
        <f t="shared" ca="1" si="84"/>
        <v>#VALUE!</v>
      </c>
      <c r="K800" s="7" t="e">
        <f t="shared" ca="1" si="85"/>
        <v>#VALUE!</v>
      </c>
      <c r="L800" s="7" t="e">
        <f t="shared" ca="1" si="86"/>
        <v>#VALUE!</v>
      </c>
      <c r="M800" s="7" t="e">
        <f t="shared" ca="1" si="87"/>
        <v>#VALUE!</v>
      </c>
      <c r="N800" s="7" t="e">
        <f t="shared" ca="1" si="88"/>
        <v>#VALUE!</v>
      </c>
      <c r="O800" s="7" t="e">
        <f t="shared" ca="1" si="89"/>
        <v>#VALUE!</v>
      </c>
      <c r="P800" s="7" t="e">
        <f t="shared" ca="1" si="90"/>
        <v>#VALUE!</v>
      </c>
    </row>
    <row r="801" spans="1:16" x14ac:dyDescent="0.25">
      <c r="A801" s="19" t="str">
        <f ca="1">IF(OR(INDIRECT("'" &amp; Master!$F$8 &amp; Master!$F$6 &amp; "'!A" &amp; ROW(A801))="", INDIRECT("'" &amp; Master!$F$8 &amp; Master!$F$6 &amp; "'!A" &amp; ROW(A801))=0), "", INDIRECT("'" &amp; Master!$F$8 &amp; Master!$F$6 &amp; "'!A" &amp; ROW(A801)))</f>
        <v/>
      </c>
      <c r="B801" s="4" t="e">
        <f ca="1">SplineInterp(INDIRECT("A" &amp; ROW()),INDIRECT("'" &amp;Master!$F$10&amp; "'!$A$2:$A$50"),INDIRECT("'" &amp;Master!$F$10&amp; "'!$B$2:$B$50"))</f>
        <v>#VALUE!</v>
      </c>
      <c r="C801" s="4" t="e">
        <f ca="1">SplineInterp(A801,INDIRECT("'" &amp;Master!$F$10&amp; "'!$A$2:$A$50"),INDIRECT("'" &amp;Master!$F$10&amp; "'!$C$2:$C$50"))</f>
        <v>#VALUE!</v>
      </c>
      <c r="D801" s="4" t="e">
        <f ca="1">SplineInterp(A801,INDIRECT("'" &amp;Master!$F$10&amp; "'!$A$2:$A$50"),INDIRECT("'" &amp;Master!$F$10&amp; "'!$D$2:$D$50"))</f>
        <v>#VALUE!</v>
      </c>
      <c r="E801" s="4" t="e">
        <f ca="1">SplineInterp(A801,INDIRECT("'" &amp;Master!$F$10&amp; "'!$A$2:$A$50"),INDIRECT("'" &amp;Master!$F$10&amp; "'!$E$2:$E$50"))</f>
        <v>#VALUE!</v>
      </c>
      <c r="F801" s="4" t="e">
        <f ca="1">SplineInterp(A801,INDIRECT("'" &amp;Master!$F$10&amp; "'!$A$2:$A$50"),INDIRECT("'" &amp;Master!$F$10&amp; "'!$F$2:$F$50"))</f>
        <v>#VALUE!</v>
      </c>
      <c r="G801" s="4" t="e">
        <f ca="1">SplineInterp(A801,INDIRECT("'" &amp;Master!$F$10&amp; "'!$A$2:$A$50"),INDIRECT("'" &amp;Master!$F$10&amp; "'!$G$2:$G$50"))</f>
        <v>#VALUE!</v>
      </c>
      <c r="H801" s="4" t="e">
        <f ca="1">SplineInterp(A801,INDIRECT("'" &amp;Master!$F$10&amp; "'!$A$2:$A$50"),INDIRECT("'" &amp;Master!$F$10&amp; "'!$H$2:$H$50"))</f>
        <v>#VALUE!</v>
      </c>
      <c r="I801" s="4" t="e">
        <f ca="1">IF(OR(INDIRECT("'" &amp; Master!$F$8 &amp; Master!$F$6 &amp; "'!B" &amp; ROW(B801))="", INDIRECT("'" &amp; Master!$F$8 &amp; Master!$F$6 &amp; "'!B" &amp; ROW(B801))=0), "", INDIRECT("'" &amp; Master!$F$8 &amp; Master!$F$6 &amp; "'!B" &amp; ROW(B801)))</f>
        <v>#VALUE!</v>
      </c>
      <c r="J801" s="9" t="e">
        <f t="shared" ca="1" si="84"/>
        <v>#VALUE!</v>
      </c>
      <c r="K801" s="7" t="e">
        <f t="shared" ca="1" si="85"/>
        <v>#VALUE!</v>
      </c>
      <c r="L801" s="7" t="e">
        <f t="shared" ca="1" si="86"/>
        <v>#VALUE!</v>
      </c>
      <c r="M801" s="7" t="e">
        <f t="shared" ca="1" si="87"/>
        <v>#VALUE!</v>
      </c>
      <c r="N801" s="7" t="e">
        <f t="shared" ca="1" si="88"/>
        <v>#VALUE!</v>
      </c>
      <c r="O801" s="7" t="e">
        <f t="shared" ca="1" si="89"/>
        <v>#VALUE!</v>
      </c>
      <c r="P801" s="7" t="e">
        <f t="shared" ca="1" si="90"/>
        <v>#VALUE!</v>
      </c>
    </row>
    <row r="802" spans="1:16" x14ac:dyDescent="0.25">
      <c r="A802" s="19" t="str">
        <f ca="1">IF(OR(INDIRECT("'" &amp; Master!$F$8 &amp; Master!$F$6 &amp; "'!A" &amp; ROW(A802))="", INDIRECT("'" &amp; Master!$F$8 &amp; Master!$F$6 &amp; "'!A" &amp; ROW(A802))=0), "", INDIRECT("'" &amp; Master!$F$8 &amp; Master!$F$6 &amp; "'!A" &amp; ROW(A802)))</f>
        <v/>
      </c>
      <c r="B802" s="4" t="e">
        <f ca="1">SplineInterp(INDIRECT("A" &amp; ROW()),INDIRECT("'" &amp;Master!$F$10&amp; "'!$A$2:$A$50"),INDIRECT("'" &amp;Master!$F$10&amp; "'!$B$2:$B$50"))</f>
        <v>#VALUE!</v>
      </c>
      <c r="C802" s="4" t="e">
        <f ca="1">SplineInterp(A802,INDIRECT("'" &amp;Master!$F$10&amp; "'!$A$2:$A$50"),INDIRECT("'" &amp;Master!$F$10&amp; "'!$C$2:$C$50"))</f>
        <v>#VALUE!</v>
      </c>
      <c r="D802" s="4" t="e">
        <f ca="1">SplineInterp(A802,INDIRECT("'" &amp;Master!$F$10&amp; "'!$A$2:$A$50"),INDIRECT("'" &amp;Master!$F$10&amp; "'!$D$2:$D$50"))</f>
        <v>#VALUE!</v>
      </c>
      <c r="E802" s="4" t="e">
        <f ca="1">SplineInterp(A802,INDIRECT("'" &amp;Master!$F$10&amp; "'!$A$2:$A$50"),INDIRECT("'" &amp;Master!$F$10&amp; "'!$E$2:$E$50"))</f>
        <v>#VALUE!</v>
      </c>
      <c r="F802" s="4" t="e">
        <f ca="1">SplineInterp(A802,INDIRECT("'" &amp;Master!$F$10&amp; "'!$A$2:$A$50"),INDIRECT("'" &amp;Master!$F$10&amp; "'!$F$2:$F$50"))</f>
        <v>#VALUE!</v>
      </c>
      <c r="G802" s="4" t="e">
        <f ca="1">SplineInterp(A802,INDIRECT("'" &amp;Master!$F$10&amp; "'!$A$2:$A$50"),INDIRECT("'" &amp;Master!$F$10&amp; "'!$G$2:$G$50"))</f>
        <v>#VALUE!</v>
      </c>
      <c r="H802" s="4" t="e">
        <f ca="1">SplineInterp(A802,INDIRECT("'" &amp;Master!$F$10&amp; "'!$A$2:$A$50"),INDIRECT("'" &amp;Master!$F$10&amp; "'!$H$2:$H$50"))</f>
        <v>#VALUE!</v>
      </c>
      <c r="I802" s="4" t="e">
        <f ca="1">IF(OR(INDIRECT("'" &amp; Master!$F$8 &amp; Master!$F$6 &amp; "'!B" &amp; ROW(B802))="", INDIRECT("'" &amp; Master!$F$8 &amp; Master!$F$6 &amp; "'!B" &amp; ROW(B802))=0), "", INDIRECT("'" &amp; Master!$F$8 &amp; Master!$F$6 &amp; "'!B" &amp; ROW(B802)))</f>
        <v>#VALUE!</v>
      </c>
      <c r="J802" s="9" t="e">
        <f t="shared" ca="1" si="84"/>
        <v>#VALUE!</v>
      </c>
      <c r="K802" s="7" t="e">
        <f t="shared" ca="1" si="85"/>
        <v>#VALUE!</v>
      </c>
      <c r="L802" s="7" t="e">
        <f t="shared" ca="1" si="86"/>
        <v>#VALUE!</v>
      </c>
      <c r="M802" s="7" t="e">
        <f t="shared" ca="1" si="87"/>
        <v>#VALUE!</v>
      </c>
      <c r="N802" s="7" t="e">
        <f t="shared" ca="1" si="88"/>
        <v>#VALUE!</v>
      </c>
      <c r="O802" s="7" t="e">
        <f t="shared" ca="1" si="89"/>
        <v>#VALUE!</v>
      </c>
      <c r="P802" s="7" t="e">
        <f t="shared" ca="1" si="90"/>
        <v>#VALUE!</v>
      </c>
    </row>
    <row r="803" spans="1:16" x14ac:dyDescent="0.25">
      <c r="A803" s="19" t="str">
        <f ca="1">IF(OR(INDIRECT("'" &amp; Master!$F$8 &amp; Master!$F$6 &amp; "'!A" &amp; ROW(A803))="", INDIRECT("'" &amp; Master!$F$8 &amp; Master!$F$6 &amp; "'!A" &amp; ROW(A803))=0), "", INDIRECT("'" &amp; Master!$F$8 &amp; Master!$F$6 &amp; "'!A" &amp; ROW(A803)))</f>
        <v/>
      </c>
      <c r="B803" s="4" t="e">
        <f ca="1">SplineInterp(INDIRECT("A" &amp; ROW()),INDIRECT("'" &amp;Master!$F$10&amp; "'!$A$2:$A$50"),INDIRECT("'" &amp;Master!$F$10&amp; "'!$B$2:$B$50"))</f>
        <v>#VALUE!</v>
      </c>
      <c r="C803" s="4" t="e">
        <f ca="1">SplineInterp(A803,INDIRECT("'" &amp;Master!$F$10&amp; "'!$A$2:$A$50"),INDIRECT("'" &amp;Master!$F$10&amp; "'!$C$2:$C$50"))</f>
        <v>#VALUE!</v>
      </c>
      <c r="D803" s="4" t="e">
        <f ca="1">SplineInterp(A803,INDIRECT("'" &amp;Master!$F$10&amp; "'!$A$2:$A$50"),INDIRECT("'" &amp;Master!$F$10&amp; "'!$D$2:$D$50"))</f>
        <v>#VALUE!</v>
      </c>
      <c r="E803" s="4" t="e">
        <f ca="1">SplineInterp(A803,INDIRECT("'" &amp;Master!$F$10&amp; "'!$A$2:$A$50"),INDIRECT("'" &amp;Master!$F$10&amp; "'!$E$2:$E$50"))</f>
        <v>#VALUE!</v>
      </c>
      <c r="F803" s="4" t="e">
        <f ca="1">SplineInterp(A803,INDIRECT("'" &amp;Master!$F$10&amp; "'!$A$2:$A$50"),INDIRECT("'" &amp;Master!$F$10&amp; "'!$F$2:$F$50"))</f>
        <v>#VALUE!</v>
      </c>
      <c r="G803" s="4" t="e">
        <f ca="1">SplineInterp(A803,INDIRECT("'" &amp;Master!$F$10&amp; "'!$A$2:$A$50"),INDIRECT("'" &amp;Master!$F$10&amp; "'!$G$2:$G$50"))</f>
        <v>#VALUE!</v>
      </c>
      <c r="H803" s="4" t="e">
        <f ca="1">SplineInterp(A803,INDIRECT("'" &amp;Master!$F$10&amp; "'!$A$2:$A$50"),INDIRECT("'" &amp;Master!$F$10&amp; "'!$H$2:$H$50"))</f>
        <v>#VALUE!</v>
      </c>
      <c r="I803" s="4" t="e">
        <f ca="1">IF(OR(INDIRECT("'" &amp; Master!$F$8 &amp; Master!$F$6 &amp; "'!B" &amp; ROW(B803))="", INDIRECT("'" &amp; Master!$F$8 &amp; Master!$F$6 &amp; "'!B" &amp; ROW(B803))=0), "", INDIRECT("'" &amp; Master!$F$8 &amp; Master!$F$6 &amp; "'!B" &amp; ROW(B803)))</f>
        <v>#VALUE!</v>
      </c>
      <c r="J803" s="9" t="e">
        <f t="shared" ca="1" si="84"/>
        <v>#VALUE!</v>
      </c>
      <c r="K803" s="7" t="e">
        <f t="shared" ca="1" si="85"/>
        <v>#VALUE!</v>
      </c>
      <c r="L803" s="7" t="e">
        <f t="shared" ca="1" si="86"/>
        <v>#VALUE!</v>
      </c>
      <c r="M803" s="7" t="e">
        <f t="shared" ca="1" si="87"/>
        <v>#VALUE!</v>
      </c>
      <c r="N803" s="7" t="e">
        <f t="shared" ca="1" si="88"/>
        <v>#VALUE!</v>
      </c>
      <c r="O803" s="7" t="e">
        <f t="shared" ca="1" si="89"/>
        <v>#VALUE!</v>
      </c>
      <c r="P803" s="7" t="e">
        <f t="shared" ca="1" si="90"/>
        <v>#VALUE!</v>
      </c>
    </row>
    <row r="804" spans="1:16" x14ac:dyDescent="0.25">
      <c r="A804" s="19" t="str">
        <f ca="1">IF(OR(INDIRECT("'" &amp; Master!$F$8 &amp; Master!$F$6 &amp; "'!A" &amp; ROW(A804))="", INDIRECT("'" &amp; Master!$F$8 &amp; Master!$F$6 &amp; "'!A" &amp; ROW(A804))=0), "", INDIRECT("'" &amp; Master!$F$8 &amp; Master!$F$6 &amp; "'!A" &amp; ROW(A804)))</f>
        <v/>
      </c>
      <c r="B804" s="4" t="e">
        <f ca="1">SplineInterp(INDIRECT("A" &amp; ROW()),INDIRECT("'" &amp;Master!$F$10&amp; "'!$A$2:$A$50"),INDIRECT("'" &amp;Master!$F$10&amp; "'!$B$2:$B$50"))</f>
        <v>#VALUE!</v>
      </c>
      <c r="C804" s="4" t="e">
        <f ca="1">SplineInterp(A804,INDIRECT("'" &amp;Master!$F$10&amp; "'!$A$2:$A$50"),INDIRECT("'" &amp;Master!$F$10&amp; "'!$C$2:$C$50"))</f>
        <v>#VALUE!</v>
      </c>
      <c r="D804" s="4" t="e">
        <f ca="1">SplineInterp(A804,INDIRECT("'" &amp;Master!$F$10&amp; "'!$A$2:$A$50"),INDIRECT("'" &amp;Master!$F$10&amp; "'!$D$2:$D$50"))</f>
        <v>#VALUE!</v>
      </c>
      <c r="E804" s="4" t="e">
        <f ca="1">SplineInterp(A804,INDIRECT("'" &amp;Master!$F$10&amp; "'!$A$2:$A$50"),INDIRECT("'" &amp;Master!$F$10&amp; "'!$E$2:$E$50"))</f>
        <v>#VALUE!</v>
      </c>
      <c r="F804" s="4" t="e">
        <f ca="1">SplineInterp(A804,INDIRECT("'" &amp;Master!$F$10&amp; "'!$A$2:$A$50"),INDIRECT("'" &amp;Master!$F$10&amp; "'!$F$2:$F$50"))</f>
        <v>#VALUE!</v>
      </c>
      <c r="G804" s="4" t="e">
        <f ca="1">SplineInterp(A804,INDIRECT("'" &amp;Master!$F$10&amp; "'!$A$2:$A$50"),INDIRECT("'" &amp;Master!$F$10&amp; "'!$G$2:$G$50"))</f>
        <v>#VALUE!</v>
      </c>
      <c r="H804" s="4" t="e">
        <f ca="1">SplineInterp(A804,INDIRECT("'" &amp;Master!$F$10&amp; "'!$A$2:$A$50"),INDIRECT("'" &amp;Master!$F$10&amp; "'!$H$2:$H$50"))</f>
        <v>#VALUE!</v>
      </c>
      <c r="I804" s="4" t="e">
        <f ca="1">IF(OR(INDIRECT("'" &amp; Master!$F$8 &amp; Master!$F$6 &amp; "'!B" &amp; ROW(B804))="", INDIRECT("'" &amp; Master!$F$8 &amp; Master!$F$6 &amp; "'!B" &amp; ROW(B804))=0), "", INDIRECT("'" &amp; Master!$F$8 &amp; Master!$F$6 &amp; "'!B" &amp; ROW(B804)))</f>
        <v>#VALUE!</v>
      </c>
      <c r="J804" s="9" t="e">
        <f t="shared" ca="1" si="84"/>
        <v>#VALUE!</v>
      </c>
      <c r="K804" s="7" t="e">
        <f t="shared" ca="1" si="85"/>
        <v>#VALUE!</v>
      </c>
      <c r="L804" s="7" t="e">
        <f t="shared" ca="1" si="86"/>
        <v>#VALUE!</v>
      </c>
      <c r="M804" s="7" t="e">
        <f t="shared" ca="1" si="87"/>
        <v>#VALUE!</v>
      </c>
      <c r="N804" s="7" t="e">
        <f t="shared" ca="1" si="88"/>
        <v>#VALUE!</v>
      </c>
      <c r="O804" s="7" t="e">
        <f t="shared" ca="1" si="89"/>
        <v>#VALUE!</v>
      </c>
      <c r="P804" s="7" t="e">
        <f t="shared" ca="1" si="90"/>
        <v>#VALUE!</v>
      </c>
    </row>
    <row r="805" spans="1:16" x14ac:dyDescent="0.25">
      <c r="A805" s="19" t="str">
        <f ca="1">IF(OR(INDIRECT("'" &amp; Master!$F$8 &amp; Master!$F$6 &amp; "'!A" &amp; ROW(A805))="", INDIRECT("'" &amp; Master!$F$8 &amp; Master!$F$6 &amp; "'!A" &amp; ROW(A805))=0), "", INDIRECT("'" &amp; Master!$F$8 &amp; Master!$F$6 &amp; "'!A" &amp; ROW(A805)))</f>
        <v/>
      </c>
      <c r="B805" s="4" t="e">
        <f ca="1">SplineInterp(INDIRECT("A" &amp; ROW()),INDIRECT("'" &amp;Master!$F$10&amp; "'!$A$2:$A$50"),INDIRECT("'" &amp;Master!$F$10&amp; "'!$B$2:$B$50"))</f>
        <v>#VALUE!</v>
      </c>
      <c r="C805" s="4" t="e">
        <f ca="1">SplineInterp(A805,INDIRECT("'" &amp;Master!$F$10&amp; "'!$A$2:$A$50"),INDIRECT("'" &amp;Master!$F$10&amp; "'!$C$2:$C$50"))</f>
        <v>#VALUE!</v>
      </c>
      <c r="D805" s="4" t="e">
        <f ca="1">SplineInterp(A805,INDIRECT("'" &amp;Master!$F$10&amp; "'!$A$2:$A$50"),INDIRECT("'" &amp;Master!$F$10&amp; "'!$D$2:$D$50"))</f>
        <v>#VALUE!</v>
      </c>
      <c r="E805" s="4" t="e">
        <f ca="1">SplineInterp(A805,INDIRECT("'" &amp;Master!$F$10&amp; "'!$A$2:$A$50"),INDIRECT("'" &amp;Master!$F$10&amp; "'!$E$2:$E$50"))</f>
        <v>#VALUE!</v>
      </c>
      <c r="F805" s="4" t="e">
        <f ca="1">SplineInterp(A805,INDIRECT("'" &amp;Master!$F$10&amp; "'!$A$2:$A$50"),INDIRECT("'" &amp;Master!$F$10&amp; "'!$F$2:$F$50"))</f>
        <v>#VALUE!</v>
      </c>
      <c r="G805" s="4" t="e">
        <f ca="1">SplineInterp(A805,INDIRECT("'" &amp;Master!$F$10&amp; "'!$A$2:$A$50"),INDIRECT("'" &amp;Master!$F$10&amp; "'!$G$2:$G$50"))</f>
        <v>#VALUE!</v>
      </c>
      <c r="H805" s="4" t="e">
        <f ca="1">SplineInterp(A805,INDIRECT("'" &amp;Master!$F$10&amp; "'!$A$2:$A$50"),INDIRECT("'" &amp;Master!$F$10&amp; "'!$H$2:$H$50"))</f>
        <v>#VALUE!</v>
      </c>
      <c r="I805" s="4" t="e">
        <f ca="1">IF(OR(INDIRECT("'" &amp; Master!$F$8 &amp; Master!$F$6 &amp; "'!B" &amp; ROW(B805))="", INDIRECT("'" &amp; Master!$F$8 &amp; Master!$F$6 &amp; "'!B" &amp; ROW(B805))=0), "", INDIRECT("'" &amp; Master!$F$8 &amp; Master!$F$6 &amp; "'!B" &amp; ROW(B805)))</f>
        <v>#VALUE!</v>
      </c>
      <c r="J805" s="9" t="e">
        <f t="shared" ca="1" si="84"/>
        <v>#VALUE!</v>
      </c>
      <c r="K805" s="7" t="e">
        <f t="shared" ca="1" si="85"/>
        <v>#VALUE!</v>
      </c>
      <c r="L805" s="7" t="e">
        <f t="shared" ca="1" si="86"/>
        <v>#VALUE!</v>
      </c>
      <c r="M805" s="7" t="e">
        <f t="shared" ca="1" si="87"/>
        <v>#VALUE!</v>
      </c>
      <c r="N805" s="7" t="e">
        <f t="shared" ca="1" si="88"/>
        <v>#VALUE!</v>
      </c>
      <c r="O805" s="7" t="e">
        <f t="shared" ca="1" si="89"/>
        <v>#VALUE!</v>
      </c>
      <c r="P805" s="7" t="e">
        <f t="shared" ca="1" si="90"/>
        <v>#VALUE!</v>
      </c>
    </row>
    <row r="806" spans="1:16" x14ac:dyDescent="0.25">
      <c r="A806" s="19" t="str">
        <f ca="1">IF(OR(INDIRECT("'" &amp; Master!$F$8 &amp; Master!$F$6 &amp; "'!A" &amp; ROW(A806))="", INDIRECT("'" &amp; Master!$F$8 &amp; Master!$F$6 &amp; "'!A" &amp; ROW(A806))=0), "", INDIRECT("'" &amp; Master!$F$8 &amp; Master!$F$6 &amp; "'!A" &amp; ROW(A806)))</f>
        <v/>
      </c>
      <c r="B806" s="4" t="e">
        <f ca="1">SplineInterp(INDIRECT("A" &amp; ROW()),INDIRECT("'" &amp;Master!$F$10&amp; "'!$A$2:$A$50"),INDIRECT("'" &amp;Master!$F$10&amp; "'!$B$2:$B$50"))</f>
        <v>#VALUE!</v>
      </c>
      <c r="C806" s="4" t="e">
        <f ca="1">SplineInterp(A806,INDIRECT("'" &amp;Master!$F$10&amp; "'!$A$2:$A$50"),INDIRECT("'" &amp;Master!$F$10&amp; "'!$C$2:$C$50"))</f>
        <v>#VALUE!</v>
      </c>
      <c r="D806" s="4" t="e">
        <f ca="1">SplineInterp(A806,INDIRECT("'" &amp;Master!$F$10&amp; "'!$A$2:$A$50"),INDIRECT("'" &amp;Master!$F$10&amp; "'!$D$2:$D$50"))</f>
        <v>#VALUE!</v>
      </c>
      <c r="E806" s="4" t="e">
        <f ca="1">SplineInterp(A806,INDIRECT("'" &amp;Master!$F$10&amp; "'!$A$2:$A$50"),INDIRECT("'" &amp;Master!$F$10&amp; "'!$E$2:$E$50"))</f>
        <v>#VALUE!</v>
      </c>
      <c r="F806" s="4" t="e">
        <f ca="1">SplineInterp(A806,INDIRECT("'" &amp;Master!$F$10&amp; "'!$A$2:$A$50"),INDIRECT("'" &amp;Master!$F$10&amp; "'!$F$2:$F$50"))</f>
        <v>#VALUE!</v>
      </c>
      <c r="G806" s="4" t="e">
        <f ca="1">SplineInterp(A806,INDIRECT("'" &amp;Master!$F$10&amp; "'!$A$2:$A$50"),INDIRECT("'" &amp;Master!$F$10&amp; "'!$G$2:$G$50"))</f>
        <v>#VALUE!</v>
      </c>
      <c r="H806" s="4" t="e">
        <f ca="1">SplineInterp(A806,INDIRECT("'" &amp;Master!$F$10&amp; "'!$A$2:$A$50"),INDIRECT("'" &amp;Master!$F$10&amp; "'!$H$2:$H$50"))</f>
        <v>#VALUE!</v>
      </c>
      <c r="I806" s="4" t="e">
        <f ca="1">IF(OR(INDIRECT("'" &amp; Master!$F$8 &amp; Master!$F$6 &amp; "'!B" &amp; ROW(B806))="", INDIRECT("'" &amp; Master!$F$8 &amp; Master!$F$6 &amp; "'!B" &amp; ROW(B806))=0), "", INDIRECT("'" &amp; Master!$F$8 &amp; Master!$F$6 &amp; "'!B" &amp; ROW(B806)))</f>
        <v>#VALUE!</v>
      </c>
      <c r="J806" s="9" t="e">
        <f t="shared" ca="1" si="84"/>
        <v>#VALUE!</v>
      </c>
      <c r="K806" s="7" t="e">
        <f t="shared" ca="1" si="85"/>
        <v>#VALUE!</v>
      </c>
      <c r="L806" s="7" t="e">
        <f t="shared" ca="1" si="86"/>
        <v>#VALUE!</v>
      </c>
      <c r="M806" s="7" t="e">
        <f t="shared" ca="1" si="87"/>
        <v>#VALUE!</v>
      </c>
      <c r="N806" s="7" t="e">
        <f t="shared" ca="1" si="88"/>
        <v>#VALUE!</v>
      </c>
      <c r="O806" s="7" t="e">
        <f t="shared" ca="1" si="89"/>
        <v>#VALUE!</v>
      </c>
      <c r="P806" s="7" t="e">
        <f t="shared" ca="1" si="90"/>
        <v>#VALUE!</v>
      </c>
    </row>
    <row r="807" spans="1:16" x14ac:dyDescent="0.25">
      <c r="A807" s="19" t="str">
        <f ca="1">IF(OR(INDIRECT("'" &amp; Master!$F$8 &amp; Master!$F$6 &amp; "'!A" &amp; ROW(A807))="", INDIRECT("'" &amp; Master!$F$8 &amp; Master!$F$6 &amp; "'!A" &amp; ROW(A807))=0), "", INDIRECT("'" &amp; Master!$F$8 &amp; Master!$F$6 &amp; "'!A" &amp; ROW(A807)))</f>
        <v/>
      </c>
      <c r="B807" s="4" t="e">
        <f ca="1">SplineInterp(INDIRECT("A" &amp; ROW()),INDIRECT("'" &amp;Master!$F$10&amp; "'!$A$2:$A$50"),INDIRECT("'" &amp;Master!$F$10&amp; "'!$B$2:$B$50"))</f>
        <v>#VALUE!</v>
      </c>
      <c r="C807" s="4" t="e">
        <f ca="1">SplineInterp(A807,INDIRECT("'" &amp;Master!$F$10&amp; "'!$A$2:$A$50"),INDIRECT("'" &amp;Master!$F$10&amp; "'!$C$2:$C$50"))</f>
        <v>#VALUE!</v>
      </c>
      <c r="D807" s="4" t="e">
        <f ca="1">SplineInterp(A807,INDIRECT("'" &amp;Master!$F$10&amp; "'!$A$2:$A$50"),INDIRECT("'" &amp;Master!$F$10&amp; "'!$D$2:$D$50"))</f>
        <v>#VALUE!</v>
      </c>
      <c r="E807" s="4" t="e">
        <f ca="1">SplineInterp(A807,INDIRECT("'" &amp;Master!$F$10&amp; "'!$A$2:$A$50"),INDIRECT("'" &amp;Master!$F$10&amp; "'!$E$2:$E$50"))</f>
        <v>#VALUE!</v>
      </c>
      <c r="F807" s="4" t="e">
        <f ca="1">SplineInterp(A807,INDIRECT("'" &amp;Master!$F$10&amp; "'!$A$2:$A$50"),INDIRECT("'" &amp;Master!$F$10&amp; "'!$F$2:$F$50"))</f>
        <v>#VALUE!</v>
      </c>
      <c r="G807" s="4" t="e">
        <f ca="1">SplineInterp(A807,INDIRECT("'" &amp;Master!$F$10&amp; "'!$A$2:$A$50"),INDIRECT("'" &amp;Master!$F$10&amp; "'!$G$2:$G$50"))</f>
        <v>#VALUE!</v>
      </c>
      <c r="H807" s="4" t="e">
        <f ca="1">SplineInterp(A807,INDIRECT("'" &amp;Master!$F$10&amp; "'!$A$2:$A$50"),INDIRECT("'" &amp;Master!$F$10&amp; "'!$H$2:$H$50"))</f>
        <v>#VALUE!</v>
      </c>
      <c r="I807" s="4" t="e">
        <f ca="1">IF(OR(INDIRECT("'" &amp; Master!$F$8 &amp; Master!$F$6 &amp; "'!B" &amp; ROW(B807))="", INDIRECT("'" &amp; Master!$F$8 &amp; Master!$F$6 &amp; "'!B" &amp; ROW(B807))=0), "", INDIRECT("'" &amp; Master!$F$8 &amp; Master!$F$6 &amp; "'!B" &amp; ROW(B807)))</f>
        <v>#VALUE!</v>
      </c>
      <c r="J807" s="9" t="e">
        <f t="shared" ca="1" si="84"/>
        <v>#VALUE!</v>
      </c>
      <c r="K807" s="7" t="e">
        <f t="shared" ca="1" si="85"/>
        <v>#VALUE!</v>
      </c>
      <c r="L807" s="7" t="e">
        <f t="shared" ca="1" si="86"/>
        <v>#VALUE!</v>
      </c>
      <c r="M807" s="7" t="e">
        <f t="shared" ca="1" si="87"/>
        <v>#VALUE!</v>
      </c>
      <c r="N807" s="7" t="e">
        <f t="shared" ca="1" si="88"/>
        <v>#VALUE!</v>
      </c>
      <c r="O807" s="7" t="e">
        <f t="shared" ca="1" si="89"/>
        <v>#VALUE!</v>
      </c>
      <c r="P807" s="7" t="e">
        <f t="shared" ca="1" si="90"/>
        <v>#VALUE!</v>
      </c>
    </row>
    <row r="808" spans="1:16" x14ac:dyDescent="0.25">
      <c r="A808" s="19" t="str">
        <f ca="1">IF(OR(INDIRECT("'" &amp; Master!$F$8 &amp; Master!$F$6 &amp; "'!A" &amp; ROW(A808))="", INDIRECT("'" &amp; Master!$F$8 &amp; Master!$F$6 &amp; "'!A" &amp; ROW(A808))=0), "", INDIRECT("'" &amp; Master!$F$8 &amp; Master!$F$6 &amp; "'!A" &amp; ROW(A808)))</f>
        <v/>
      </c>
      <c r="B808" s="4" t="e">
        <f ca="1">SplineInterp(INDIRECT("A" &amp; ROW()),INDIRECT("'" &amp;Master!$F$10&amp; "'!$A$2:$A$50"),INDIRECT("'" &amp;Master!$F$10&amp; "'!$B$2:$B$50"))</f>
        <v>#VALUE!</v>
      </c>
      <c r="C808" s="4" t="e">
        <f ca="1">SplineInterp(A808,INDIRECT("'" &amp;Master!$F$10&amp; "'!$A$2:$A$50"),INDIRECT("'" &amp;Master!$F$10&amp; "'!$C$2:$C$50"))</f>
        <v>#VALUE!</v>
      </c>
      <c r="D808" s="4" t="e">
        <f ca="1">SplineInterp(A808,INDIRECT("'" &amp;Master!$F$10&amp; "'!$A$2:$A$50"),INDIRECT("'" &amp;Master!$F$10&amp; "'!$D$2:$D$50"))</f>
        <v>#VALUE!</v>
      </c>
      <c r="E808" s="4" t="e">
        <f ca="1">SplineInterp(A808,INDIRECT("'" &amp;Master!$F$10&amp; "'!$A$2:$A$50"),INDIRECT("'" &amp;Master!$F$10&amp; "'!$E$2:$E$50"))</f>
        <v>#VALUE!</v>
      </c>
      <c r="F808" s="4" t="e">
        <f ca="1">SplineInterp(A808,INDIRECT("'" &amp;Master!$F$10&amp; "'!$A$2:$A$50"),INDIRECT("'" &amp;Master!$F$10&amp; "'!$F$2:$F$50"))</f>
        <v>#VALUE!</v>
      </c>
      <c r="G808" s="4" t="e">
        <f ca="1">SplineInterp(A808,INDIRECT("'" &amp;Master!$F$10&amp; "'!$A$2:$A$50"),INDIRECT("'" &amp;Master!$F$10&amp; "'!$G$2:$G$50"))</f>
        <v>#VALUE!</v>
      </c>
      <c r="H808" s="4" t="e">
        <f ca="1">SplineInterp(A808,INDIRECT("'" &amp;Master!$F$10&amp; "'!$A$2:$A$50"),INDIRECT("'" &amp;Master!$F$10&amp; "'!$H$2:$H$50"))</f>
        <v>#VALUE!</v>
      </c>
      <c r="I808" s="4" t="e">
        <f ca="1">IF(OR(INDIRECT("'" &amp; Master!$F$8 &amp; Master!$F$6 &amp; "'!B" &amp; ROW(B808))="", INDIRECT("'" &amp; Master!$F$8 &amp; Master!$F$6 &amp; "'!B" &amp; ROW(B808))=0), "", INDIRECT("'" &amp; Master!$F$8 &amp; Master!$F$6 &amp; "'!B" &amp; ROW(B808)))</f>
        <v>#VALUE!</v>
      </c>
      <c r="J808" s="9" t="e">
        <f t="shared" ca="1" si="84"/>
        <v>#VALUE!</v>
      </c>
      <c r="K808" s="7" t="e">
        <f t="shared" ca="1" si="85"/>
        <v>#VALUE!</v>
      </c>
      <c r="L808" s="7" t="e">
        <f t="shared" ca="1" si="86"/>
        <v>#VALUE!</v>
      </c>
      <c r="M808" s="7" t="e">
        <f t="shared" ca="1" si="87"/>
        <v>#VALUE!</v>
      </c>
      <c r="N808" s="7" t="e">
        <f t="shared" ca="1" si="88"/>
        <v>#VALUE!</v>
      </c>
      <c r="O808" s="7" t="e">
        <f t="shared" ca="1" si="89"/>
        <v>#VALUE!</v>
      </c>
      <c r="P808" s="7" t="e">
        <f t="shared" ca="1" si="90"/>
        <v>#VALUE!</v>
      </c>
    </row>
    <row r="809" spans="1:16" x14ac:dyDescent="0.25">
      <c r="A809" s="19" t="str">
        <f ca="1">IF(OR(INDIRECT("'" &amp; Master!$F$8 &amp; Master!$F$6 &amp; "'!A" &amp; ROW(A809))="", INDIRECT("'" &amp; Master!$F$8 &amp; Master!$F$6 &amp; "'!A" &amp; ROW(A809))=0), "", INDIRECT("'" &amp; Master!$F$8 &amp; Master!$F$6 &amp; "'!A" &amp; ROW(A809)))</f>
        <v/>
      </c>
      <c r="B809" s="4" t="e">
        <f ca="1">SplineInterp(INDIRECT("A" &amp; ROW()),INDIRECT("'" &amp;Master!$F$10&amp; "'!$A$2:$A$50"),INDIRECT("'" &amp;Master!$F$10&amp; "'!$B$2:$B$50"))</f>
        <v>#VALUE!</v>
      </c>
      <c r="C809" s="4" t="e">
        <f ca="1">SplineInterp(A809,INDIRECT("'" &amp;Master!$F$10&amp; "'!$A$2:$A$50"),INDIRECT("'" &amp;Master!$F$10&amp; "'!$C$2:$C$50"))</f>
        <v>#VALUE!</v>
      </c>
      <c r="D809" s="4" t="e">
        <f ca="1">SplineInterp(A809,INDIRECT("'" &amp;Master!$F$10&amp; "'!$A$2:$A$50"),INDIRECT("'" &amp;Master!$F$10&amp; "'!$D$2:$D$50"))</f>
        <v>#VALUE!</v>
      </c>
      <c r="E809" s="4" t="e">
        <f ca="1">SplineInterp(A809,INDIRECT("'" &amp;Master!$F$10&amp; "'!$A$2:$A$50"),INDIRECT("'" &amp;Master!$F$10&amp; "'!$E$2:$E$50"))</f>
        <v>#VALUE!</v>
      </c>
      <c r="F809" s="4" t="e">
        <f ca="1">SplineInterp(A809,INDIRECT("'" &amp;Master!$F$10&amp; "'!$A$2:$A$50"),INDIRECT("'" &amp;Master!$F$10&amp; "'!$F$2:$F$50"))</f>
        <v>#VALUE!</v>
      </c>
      <c r="G809" s="4" t="e">
        <f ca="1">SplineInterp(A809,INDIRECT("'" &amp;Master!$F$10&amp; "'!$A$2:$A$50"),INDIRECT("'" &amp;Master!$F$10&amp; "'!$G$2:$G$50"))</f>
        <v>#VALUE!</v>
      </c>
      <c r="H809" s="4" t="e">
        <f ca="1">SplineInterp(A809,INDIRECT("'" &amp;Master!$F$10&amp; "'!$A$2:$A$50"),INDIRECT("'" &amp;Master!$F$10&amp; "'!$H$2:$H$50"))</f>
        <v>#VALUE!</v>
      </c>
      <c r="I809" s="4" t="e">
        <f ca="1">IF(OR(INDIRECT("'" &amp; Master!$F$8 &amp; Master!$F$6 &amp; "'!B" &amp; ROW(B809))="", INDIRECT("'" &amp; Master!$F$8 &amp; Master!$F$6 &amp; "'!B" &amp; ROW(B809))=0), "", INDIRECT("'" &amp; Master!$F$8 &amp; Master!$F$6 &amp; "'!B" &amp; ROW(B809)))</f>
        <v>#VALUE!</v>
      </c>
      <c r="J809" s="9" t="e">
        <f t="shared" ca="1" si="84"/>
        <v>#VALUE!</v>
      </c>
      <c r="K809" s="7" t="e">
        <f t="shared" ca="1" si="85"/>
        <v>#VALUE!</v>
      </c>
      <c r="L809" s="7" t="e">
        <f t="shared" ca="1" si="86"/>
        <v>#VALUE!</v>
      </c>
      <c r="M809" s="7" t="e">
        <f t="shared" ca="1" si="87"/>
        <v>#VALUE!</v>
      </c>
      <c r="N809" s="7" t="e">
        <f t="shared" ca="1" si="88"/>
        <v>#VALUE!</v>
      </c>
      <c r="O809" s="7" t="e">
        <f t="shared" ca="1" si="89"/>
        <v>#VALUE!</v>
      </c>
      <c r="P809" s="7" t="e">
        <f t="shared" ca="1" si="90"/>
        <v>#VALUE!</v>
      </c>
    </row>
    <row r="810" spans="1:16" x14ac:dyDescent="0.25">
      <c r="A810" s="19" t="str">
        <f ca="1">IF(OR(INDIRECT("'" &amp; Master!$F$8 &amp; Master!$F$6 &amp; "'!A" &amp; ROW(A810))="", INDIRECT("'" &amp; Master!$F$8 &amp; Master!$F$6 &amp; "'!A" &amp; ROW(A810))=0), "", INDIRECT("'" &amp; Master!$F$8 &amp; Master!$F$6 &amp; "'!A" &amp; ROW(A810)))</f>
        <v/>
      </c>
      <c r="B810" s="4" t="e">
        <f ca="1">SplineInterp(INDIRECT("A" &amp; ROW()),INDIRECT("'" &amp;Master!$F$10&amp; "'!$A$2:$A$50"),INDIRECT("'" &amp;Master!$F$10&amp; "'!$B$2:$B$50"))</f>
        <v>#VALUE!</v>
      </c>
      <c r="C810" s="4" t="e">
        <f ca="1">SplineInterp(A810,INDIRECT("'" &amp;Master!$F$10&amp; "'!$A$2:$A$50"),INDIRECT("'" &amp;Master!$F$10&amp; "'!$C$2:$C$50"))</f>
        <v>#VALUE!</v>
      </c>
      <c r="D810" s="4" t="e">
        <f ca="1">SplineInterp(A810,INDIRECT("'" &amp;Master!$F$10&amp; "'!$A$2:$A$50"),INDIRECT("'" &amp;Master!$F$10&amp; "'!$D$2:$D$50"))</f>
        <v>#VALUE!</v>
      </c>
      <c r="E810" s="4" t="e">
        <f ca="1">SplineInterp(A810,INDIRECT("'" &amp;Master!$F$10&amp; "'!$A$2:$A$50"),INDIRECT("'" &amp;Master!$F$10&amp; "'!$E$2:$E$50"))</f>
        <v>#VALUE!</v>
      </c>
      <c r="F810" s="4" t="e">
        <f ca="1">SplineInterp(A810,INDIRECT("'" &amp;Master!$F$10&amp; "'!$A$2:$A$50"),INDIRECT("'" &amp;Master!$F$10&amp; "'!$F$2:$F$50"))</f>
        <v>#VALUE!</v>
      </c>
      <c r="G810" s="4" t="e">
        <f ca="1">SplineInterp(A810,INDIRECT("'" &amp;Master!$F$10&amp; "'!$A$2:$A$50"),INDIRECT("'" &amp;Master!$F$10&amp; "'!$G$2:$G$50"))</f>
        <v>#VALUE!</v>
      </c>
      <c r="H810" s="4" t="e">
        <f ca="1">SplineInterp(A810,INDIRECT("'" &amp;Master!$F$10&amp; "'!$A$2:$A$50"),INDIRECT("'" &amp;Master!$F$10&amp; "'!$H$2:$H$50"))</f>
        <v>#VALUE!</v>
      </c>
      <c r="I810" s="4" t="e">
        <f ca="1">IF(OR(INDIRECT("'" &amp; Master!$F$8 &amp; Master!$F$6 &amp; "'!B" &amp; ROW(B810))="", INDIRECT("'" &amp; Master!$F$8 &amp; Master!$F$6 &amp; "'!B" &amp; ROW(B810))=0), "", INDIRECT("'" &amp; Master!$F$8 &amp; Master!$F$6 &amp; "'!B" &amp; ROW(B810)))</f>
        <v>#VALUE!</v>
      </c>
      <c r="J810" s="9" t="e">
        <f t="shared" ca="1" si="84"/>
        <v>#VALUE!</v>
      </c>
      <c r="K810" s="7" t="e">
        <f t="shared" ca="1" si="85"/>
        <v>#VALUE!</v>
      </c>
      <c r="L810" s="7" t="e">
        <f t="shared" ca="1" si="86"/>
        <v>#VALUE!</v>
      </c>
      <c r="M810" s="7" t="e">
        <f t="shared" ca="1" si="87"/>
        <v>#VALUE!</v>
      </c>
      <c r="N810" s="7" t="e">
        <f t="shared" ca="1" si="88"/>
        <v>#VALUE!</v>
      </c>
      <c r="O810" s="7" t="e">
        <f t="shared" ca="1" si="89"/>
        <v>#VALUE!</v>
      </c>
      <c r="P810" s="7" t="e">
        <f t="shared" ca="1" si="90"/>
        <v>#VALUE!</v>
      </c>
    </row>
    <row r="811" spans="1:16" x14ac:dyDescent="0.25">
      <c r="A811" s="19" t="str">
        <f ca="1">IF(OR(INDIRECT("'" &amp; Master!$F$8 &amp; Master!$F$6 &amp; "'!A" &amp; ROW(A811))="", INDIRECT("'" &amp; Master!$F$8 &amp; Master!$F$6 &amp; "'!A" &amp; ROW(A811))=0), "", INDIRECT("'" &amp; Master!$F$8 &amp; Master!$F$6 &amp; "'!A" &amp; ROW(A811)))</f>
        <v/>
      </c>
      <c r="B811" s="4" t="e">
        <f ca="1">SplineInterp(INDIRECT("A" &amp; ROW()),INDIRECT("'" &amp;Master!$F$10&amp; "'!$A$2:$A$50"),INDIRECT("'" &amp;Master!$F$10&amp; "'!$B$2:$B$50"))</f>
        <v>#VALUE!</v>
      </c>
      <c r="C811" s="4" t="e">
        <f ca="1">SplineInterp(A811,INDIRECT("'" &amp;Master!$F$10&amp; "'!$A$2:$A$50"),INDIRECT("'" &amp;Master!$F$10&amp; "'!$C$2:$C$50"))</f>
        <v>#VALUE!</v>
      </c>
      <c r="D811" s="4" t="e">
        <f ca="1">SplineInterp(A811,INDIRECT("'" &amp;Master!$F$10&amp; "'!$A$2:$A$50"),INDIRECT("'" &amp;Master!$F$10&amp; "'!$D$2:$D$50"))</f>
        <v>#VALUE!</v>
      </c>
      <c r="E811" s="4" t="e">
        <f ca="1">SplineInterp(A811,INDIRECT("'" &amp;Master!$F$10&amp; "'!$A$2:$A$50"),INDIRECT("'" &amp;Master!$F$10&amp; "'!$E$2:$E$50"))</f>
        <v>#VALUE!</v>
      </c>
      <c r="F811" s="4" t="e">
        <f ca="1">SplineInterp(A811,INDIRECT("'" &amp;Master!$F$10&amp; "'!$A$2:$A$50"),INDIRECT("'" &amp;Master!$F$10&amp; "'!$F$2:$F$50"))</f>
        <v>#VALUE!</v>
      </c>
      <c r="G811" s="4" t="e">
        <f ca="1">SplineInterp(A811,INDIRECT("'" &amp;Master!$F$10&amp; "'!$A$2:$A$50"),INDIRECT("'" &amp;Master!$F$10&amp; "'!$G$2:$G$50"))</f>
        <v>#VALUE!</v>
      </c>
      <c r="H811" s="4" t="e">
        <f ca="1">SplineInterp(A811,INDIRECT("'" &amp;Master!$F$10&amp; "'!$A$2:$A$50"),INDIRECT("'" &amp;Master!$F$10&amp; "'!$H$2:$H$50"))</f>
        <v>#VALUE!</v>
      </c>
      <c r="I811" s="4" t="e">
        <f ca="1">IF(OR(INDIRECT("'" &amp; Master!$F$8 &amp; Master!$F$6 &amp; "'!B" &amp; ROW(B811))="", INDIRECT("'" &amp; Master!$F$8 &amp; Master!$F$6 &amp; "'!B" &amp; ROW(B811))=0), "", INDIRECT("'" &amp; Master!$F$8 &amp; Master!$F$6 &amp; "'!B" &amp; ROW(B811)))</f>
        <v>#VALUE!</v>
      </c>
      <c r="J811" s="9" t="e">
        <f t="shared" ca="1" si="84"/>
        <v>#VALUE!</v>
      </c>
      <c r="K811" s="7" t="e">
        <f t="shared" ca="1" si="85"/>
        <v>#VALUE!</v>
      </c>
      <c r="L811" s="7" t="e">
        <f t="shared" ca="1" si="86"/>
        <v>#VALUE!</v>
      </c>
      <c r="M811" s="7" t="e">
        <f t="shared" ca="1" si="87"/>
        <v>#VALUE!</v>
      </c>
      <c r="N811" s="7" t="e">
        <f t="shared" ca="1" si="88"/>
        <v>#VALUE!</v>
      </c>
      <c r="O811" s="7" t="e">
        <f t="shared" ca="1" si="89"/>
        <v>#VALUE!</v>
      </c>
      <c r="P811" s="7" t="e">
        <f t="shared" ca="1" si="90"/>
        <v>#VALUE!</v>
      </c>
    </row>
    <row r="812" spans="1:16" x14ac:dyDescent="0.25">
      <c r="A812" s="19" t="str">
        <f ca="1">IF(OR(INDIRECT("'" &amp; Master!$F$8 &amp; Master!$F$6 &amp; "'!A" &amp; ROW(A812))="", INDIRECT("'" &amp; Master!$F$8 &amp; Master!$F$6 &amp; "'!A" &amp; ROW(A812))=0), "", INDIRECT("'" &amp; Master!$F$8 &amp; Master!$F$6 &amp; "'!A" &amp; ROW(A812)))</f>
        <v/>
      </c>
      <c r="B812" s="4" t="e">
        <f ca="1">SplineInterp(INDIRECT("A" &amp; ROW()),INDIRECT("'" &amp;Master!$F$10&amp; "'!$A$2:$A$50"),INDIRECT("'" &amp;Master!$F$10&amp; "'!$B$2:$B$50"))</f>
        <v>#VALUE!</v>
      </c>
      <c r="C812" s="4" t="e">
        <f ca="1">SplineInterp(A812,INDIRECT("'" &amp;Master!$F$10&amp; "'!$A$2:$A$50"),INDIRECT("'" &amp;Master!$F$10&amp; "'!$C$2:$C$50"))</f>
        <v>#VALUE!</v>
      </c>
      <c r="D812" s="4" t="e">
        <f ca="1">SplineInterp(A812,INDIRECT("'" &amp;Master!$F$10&amp; "'!$A$2:$A$50"),INDIRECT("'" &amp;Master!$F$10&amp; "'!$D$2:$D$50"))</f>
        <v>#VALUE!</v>
      </c>
      <c r="E812" s="4" t="e">
        <f ca="1">SplineInterp(A812,INDIRECT("'" &amp;Master!$F$10&amp; "'!$A$2:$A$50"),INDIRECT("'" &amp;Master!$F$10&amp; "'!$E$2:$E$50"))</f>
        <v>#VALUE!</v>
      </c>
      <c r="F812" s="4" t="e">
        <f ca="1">SplineInterp(A812,INDIRECT("'" &amp;Master!$F$10&amp; "'!$A$2:$A$50"),INDIRECT("'" &amp;Master!$F$10&amp; "'!$F$2:$F$50"))</f>
        <v>#VALUE!</v>
      </c>
      <c r="G812" s="4" t="e">
        <f ca="1">SplineInterp(A812,INDIRECT("'" &amp;Master!$F$10&amp; "'!$A$2:$A$50"),INDIRECT("'" &amp;Master!$F$10&amp; "'!$G$2:$G$50"))</f>
        <v>#VALUE!</v>
      </c>
      <c r="H812" s="4" t="e">
        <f ca="1">SplineInterp(A812,INDIRECT("'" &amp;Master!$F$10&amp; "'!$A$2:$A$50"),INDIRECT("'" &amp;Master!$F$10&amp; "'!$H$2:$H$50"))</f>
        <v>#VALUE!</v>
      </c>
      <c r="I812" s="4" t="e">
        <f ca="1">IF(OR(INDIRECT("'" &amp; Master!$F$8 &amp; Master!$F$6 &amp; "'!B" &amp; ROW(B812))="", INDIRECT("'" &amp; Master!$F$8 &amp; Master!$F$6 &amp; "'!B" &amp; ROW(B812))=0), "", INDIRECT("'" &amp; Master!$F$8 &amp; Master!$F$6 &amp; "'!B" &amp; ROW(B812)))</f>
        <v>#VALUE!</v>
      </c>
      <c r="J812" s="9" t="e">
        <f t="shared" ca="1" si="84"/>
        <v>#VALUE!</v>
      </c>
      <c r="K812" s="7" t="e">
        <f t="shared" ca="1" si="85"/>
        <v>#VALUE!</v>
      </c>
      <c r="L812" s="7" t="e">
        <f t="shared" ca="1" si="86"/>
        <v>#VALUE!</v>
      </c>
      <c r="M812" s="7" t="e">
        <f t="shared" ca="1" si="87"/>
        <v>#VALUE!</v>
      </c>
      <c r="N812" s="7" t="e">
        <f t="shared" ca="1" si="88"/>
        <v>#VALUE!</v>
      </c>
      <c r="O812" s="7" t="e">
        <f t="shared" ca="1" si="89"/>
        <v>#VALUE!</v>
      </c>
      <c r="P812" s="7" t="e">
        <f t="shared" ca="1" si="90"/>
        <v>#VALUE!</v>
      </c>
    </row>
    <row r="813" spans="1:16" x14ac:dyDescent="0.25">
      <c r="A813" s="19" t="str">
        <f ca="1">IF(OR(INDIRECT("'" &amp; Master!$F$8 &amp; Master!$F$6 &amp; "'!A" &amp; ROW(A813))="", INDIRECT("'" &amp; Master!$F$8 &amp; Master!$F$6 &amp; "'!A" &amp; ROW(A813))=0), "", INDIRECT("'" &amp; Master!$F$8 &amp; Master!$F$6 &amp; "'!A" &amp; ROW(A813)))</f>
        <v/>
      </c>
      <c r="B813" s="4" t="e">
        <f ca="1">SplineInterp(INDIRECT("A" &amp; ROW()),INDIRECT("'" &amp;Master!$F$10&amp; "'!$A$2:$A$50"),INDIRECT("'" &amp;Master!$F$10&amp; "'!$B$2:$B$50"))</f>
        <v>#VALUE!</v>
      </c>
      <c r="C813" s="4" t="e">
        <f ca="1">SplineInterp(A813,INDIRECT("'" &amp;Master!$F$10&amp; "'!$A$2:$A$50"),INDIRECT("'" &amp;Master!$F$10&amp; "'!$C$2:$C$50"))</f>
        <v>#VALUE!</v>
      </c>
      <c r="D813" s="4" t="e">
        <f ca="1">SplineInterp(A813,INDIRECT("'" &amp;Master!$F$10&amp; "'!$A$2:$A$50"),INDIRECT("'" &amp;Master!$F$10&amp; "'!$D$2:$D$50"))</f>
        <v>#VALUE!</v>
      </c>
      <c r="E813" s="4" t="e">
        <f ca="1">SplineInterp(A813,INDIRECT("'" &amp;Master!$F$10&amp; "'!$A$2:$A$50"),INDIRECT("'" &amp;Master!$F$10&amp; "'!$E$2:$E$50"))</f>
        <v>#VALUE!</v>
      </c>
      <c r="F813" s="4" t="e">
        <f ca="1">SplineInterp(A813,INDIRECT("'" &amp;Master!$F$10&amp; "'!$A$2:$A$50"),INDIRECT("'" &amp;Master!$F$10&amp; "'!$F$2:$F$50"))</f>
        <v>#VALUE!</v>
      </c>
      <c r="G813" s="4" t="e">
        <f ca="1">SplineInterp(A813,INDIRECT("'" &amp;Master!$F$10&amp; "'!$A$2:$A$50"),INDIRECT("'" &amp;Master!$F$10&amp; "'!$G$2:$G$50"))</f>
        <v>#VALUE!</v>
      </c>
      <c r="H813" s="4" t="e">
        <f ca="1">SplineInterp(A813,INDIRECT("'" &amp;Master!$F$10&amp; "'!$A$2:$A$50"),INDIRECT("'" &amp;Master!$F$10&amp; "'!$H$2:$H$50"))</f>
        <v>#VALUE!</v>
      </c>
      <c r="I813" s="4" t="e">
        <f ca="1">IF(OR(INDIRECT("'" &amp; Master!$F$8 &amp; Master!$F$6 &amp; "'!B" &amp; ROW(B813))="", INDIRECT("'" &amp; Master!$F$8 &amp; Master!$F$6 &amp; "'!B" &amp; ROW(B813))=0), "", INDIRECT("'" &amp; Master!$F$8 &amp; Master!$F$6 &amp; "'!B" &amp; ROW(B813)))</f>
        <v>#VALUE!</v>
      </c>
      <c r="J813" s="9" t="e">
        <f t="shared" ca="1" si="84"/>
        <v>#VALUE!</v>
      </c>
      <c r="K813" s="7" t="e">
        <f t="shared" ca="1" si="85"/>
        <v>#VALUE!</v>
      </c>
      <c r="L813" s="7" t="e">
        <f t="shared" ca="1" si="86"/>
        <v>#VALUE!</v>
      </c>
      <c r="M813" s="7" t="e">
        <f t="shared" ca="1" si="87"/>
        <v>#VALUE!</v>
      </c>
      <c r="N813" s="7" t="e">
        <f t="shared" ca="1" si="88"/>
        <v>#VALUE!</v>
      </c>
      <c r="O813" s="7" t="e">
        <f t="shared" ca="1" si="89"/>
        <v>#VALUE!</v>
      </c>
      <c r="P813" s="7" t="e">
        <f t="shared" ca="1" si="90"/>
        <v>#VALUE!</v>
      </c>
    </row>
    <row r="814" spans="1:16" x14ac:dyDescent="0.25">
      <c r="A814" s="19" t="str">
        <f ca="1">IF(OR(INDIRECT("'" &amp; Master!$F$8 &amp; Master!$F$6 &amp; "'!A" &amp; ROW(A814))="", INDIRECT("'" &amp; Master!$F$8 &amp; Master!$F$6 &amp; "'!A" &amp; ROW(A814))=0), "", INDIRECT("'" &amp; Master!$F$8 &amp; Master!$F$6 &amp; "'!A" &amp; ROW(A814)))</f>
        <v/>
      </c>
      <c r="B814" s="4" t="e">
        <f ca="1">SplineInterp(INDIRECT("A" &amp; ROW()),INDIRECT("'" &amp;Master!$F$10&amp; "'!$A$2:$A$50"),INDIRECT("'" &amp;Master!$F$10&amp; "'!$B$2:$B$50"))</f>
        <v>#VALUE!</v>
      </c>
      <c r="C814" s="4" t="e">
        <f ca="1">SplineInterp(A814,INDIRECT("'" &amp;Master!$F$10&amp; "'!$A$2:$A$50"),INDIRECT("'" &amp;Master!$F$10&amp; "'!$C$2:$C$50"))</f>
        <v>#VALUE!</v>
      </c>
      <c r="D814" s="4" t="e">
        <f ca="1">SplineInterp(A814,INDIRECT("'" &amp;Master!$F$10&amp; "'!$A$2:$A$50"),INDIRECT("'" &amp;Master!$F$10&amp; "'!$D$2:$D$50"))</f>
        <v>#VALUE!</v>
      </c>
      <c r="E814" s="4" t="e">
        <f ca="1">SplineInterp(A814,INDIRECT("'" &amp;Master!$F$10&amp; "'!$A$2:$A$50"),INDIRECT("'" &amp;Master!$F$10&amp; "'!$E$2:$E$50"))</f>
        <v>#VALUE!</v>
      </c>
      <c r="F814" s="4" t="e">
        <f ca="1">SplineInterp(A814,INDIRECT("'" &amp;Master!$F$10&amp; "'!$A$2:$A$50"),INDIRECT("'" &amp;Master!$F$10&amp; "'!$F$2:$F$50"))</f>
        <v>#VALUE!</v>
      </c>
      <c r="G814" s="4" t="e">
        <f ca="1">SplineInterp(A814,INDIRECT("'" &amp;Master!$F$10&amp; "'!$A$2:$A$50"),INDIRECT("'" &amp;Master!$F$10&amp; "'!$G$2:$G$50"))</f>
        <v>#VALUE!</v>
      </c>
      <c r="H814" s="4" t="e">
        <f ca="1">SplineInterp(A814,INDIRECT("'" &amp;Master!$F$10&amp; "'!$A$2:$A$50"),INDIRECT("'" &amp;Master!$F$10&amp; "'!$H$2:$H$50"))</f>
        <v>#VALUE!</v>
      </c>
      <c r="I814" s="4" t="e">
        <f ca="1">IF(OR(INDIRECT("'" &amp; Master!$F$8 &amp; Master!$F$6 &amp; "'!B" &amp; ROW(B814))="", INDIRECT("'" &amp; Master!$F$8 &amp; Master!$F$6 &amp; "'!B" &amp; ROW(B814))=0), "", INDIRECT("'" &amp; Master!$F$8 &amp; Master!$F$6 &amp; "'!B" &amp; ROW(B814)))</f>
        <v>#VALUE!</v>
      </c>
      <c r="J814" s="9" t="e">
        <f t="shared" ca="1" si="84"/>
        <v>#VALUE!</v>
      </c>
      <c r="K814" s="7" t="e">
        <f t="shared" ca="1" si="85"/>
        <v>#VALUE!</v>
      </c>
      <c r="L814" s="7" t="e">
        <f t="shared" ca="1" si="86"/>
        <v>#VALUE!</v>
      </c>
      <c r="M814" s="7" t="e">
        <f t="shared" ca="1" si="87"/>
        <v>#VALUE!</v>
      </c>
      <c r="N814" s="7" t="e">
        <f t="shared" ca="1" si="88"/>
        <v>#VALUE!</v>
      </c>
      <c r="O814" s="7" t="e">
        <f t="shared" ca="1" si="89"/>
        <v>#VALUE!</v>
      </c>
      <c r="P814" s="7" t="e">
        <f t="shared" ca="1" si="90"/>
        <v>#VALUE!</v>
      </c>
    </row>
    <row r="815" spans="1:16" x14ac:dyDescent="0.25">
      <c r="A815" s="19" t="str">
        <f ca="1">IF(OR(INDIRECT("'" &amp; Master!$F$8 &amp; Master!$F$6 &amp; "'!A" &amp; ROW(A815))="", INDIRECT("'" &amp; Master!$F$8 &amp; Master!$F$6 &amp; "'!A" &amp; ROW(A815))=0), "", INDIRECT("'" &amp; Master!$F$8 &amp; Master!$F$6 &amp; "'!A" &amp; ROW(A815)))</f>
        <v/>
      </c>
      <c r="B815" s="4" t="e">
        <f ca="1">SplineInterp(INDIRECT("A" &amp; ROW()),INDIRECT("'" &amp;Master!$F$10&amp; "'!$A$2:$A$50"),INDIRECT("'" &amp;Master!$F$10&amp; "'!$B$2:$B$50"))</f>
        <v>#VALUE!</v>
      </c>
      <c r="C815" s="4" t="e">
        <f ca="1">SplineInterp(A815,INDIRECT("'" &amp;Master!$F$10&amp; "'!$A$2:$A$50"),INDIRECT("'" &amp;Master!$F$10&amp; "'!$C$2:$C$50"))</f>
        <v>#VALUE!</v>
      </c>
      <c r="D815" s="4" t="e">
        <f ca="1">SplineInterp(A815,INDIRECT("'" &amp;Master!$F$10&amp; "'!$A$2:$A$50"),INDIRECT("'" &amp;Master!$F$10&amp; "'!$D$2:$D$50"))</f>
        <v>#VALUE!</v>
      </c>
      <c r="E815" s="4" t="e">
        <f ca="1">SplineInterp(A815,INDIRECT("'" &amp;Master!$F$10&amp; "'!$A$2:$A$50"),INDIRECT("'" &amp;Master!$F$10&amp; "'!$E$2:$E$50"))</f>
        <v>#VALUE!</v>
      </c>
      <c r="F815" s="4" t="e">
        <f ca="1">SplineInterp(A815,INDIRECT("'" &amp;Master!$F$10&amp; "'!$A$2:$A$50"),INDIRECT("'" &amp;Master!$F$10&amp; "'!$F$2:$F$50"))</f>
        <v>#VALUE!</v>
      </c>
      <c r="G815" s="4" t="e">
        <f ca="1">SplineInterp(A815,INDIRECT("'" &amp;Master!$F$10&amp; "'!$A$2:$A$50"),INDIRECT("'" &amp;Master!$F$10&amp; "'!$G$2:$G$50"))</f>
        <v>#VALUE!</v>
      </c>
      <c r="H815" s="4" t="e">
        <f ca="1">SplineInterp(A815,INDIRECT("'" &amp;Master!$F$10&amp; "'!$A$2:$A$50"),INDIRECT("'" &amp;Master!$F$10&amp; "'!$H$2:$H$50"))</f>
        <v>#VALUE!</v>
      </c>
      <c r="I815" s="4" t="e">
        <f ca="1">IF(OR(INDIRECT("'" &amp; Master!$F$8 &amp; Master!$F$6 &amp; "'!B" &amp; ROW(B815))="", INDIRECT("'" &amp; Master!$F$8 &amp; Master!$F$6 &amp; "'!B" &amp; ROW(B815))=0), "", INDIRECT("'" &amp; Master!$F$8 &amp; Master!$F$6 &amp; "'!B" &amp; ROW(B815)))</f>
        <v>#VALUE!</v>
      </c>
      <c r="J815" s="9" t="e">
        <f t="shared" ca="1" si="84"/>
        <v>#VALUE!</v>
      </c>
      <c r="K815" s="7" t="e">
        <f t="shared" ca="1" si="85"/>
        <v>#VALUE!</v>
      </c>
      <c r="L815" s="7" t="e">
        <f t="shared" ca="1" si="86"/>
        <v>#VALUE!</v>
      </c>
      <c r="M815" s="7" t="e">
        <f t="shared" ca="1" si="87"/>
        <v>#VALUE!</v>
      </c>
      <c r="N815" s="7" t="e">
        <f t="shared" ca="1" si="88"/>
        <v>#VALUE!</v>
      </c>
      <c r="O815" s="7" t="e">
        <f t="shared" ca="1" si="89"/>
        <v>#VALUE!</v>
      </c>
      <c r="P815" s="7" t="e">
        <f t="shared" ca="1" si="90"/>
        <v>#VALUE!</v>
      </c>
    </row>
    <row r="816" spans="1:16" x14ac:dyDescent="0.25">
      <c r="A816" s="19" t="str">
        <f ca="1">IF(OR(INDIRECT("'" &amp; Master!$F$8 &amp; Master!$F$6 &amp; "'!A" &amp; ROW(A816))="", INDIRECT("'" &amp; Master!$F$8 &amp; Master!$F$6 &amp; "'!A" &amp; ROW(A816))=0), "", INDIRECT("'" &amp; Master!$F$8 &amp; Master!$F$6 &amp; "'!A" &amp; ROW(A816)))</f>
        <v/>
      </c>
      <c r="B816" s="4" t="e">
        <f ca="1">SplineInterp(INDIRECT("A" &amp; ROW()),INDIRECT("'" &amp;Master!$F$10&amp; "'!$A$2:$A$50"),INDIRECT("'" &amp;Master!$F$10&amp; "'!$B$2:$B$50"))</f>
        <v>#VALUE!</v>
      </c>
      <c r="C816" s="4" t="e">
        <f ca="1">SplineInterp(A816,INDIRECT("'" &amp;Master!$F$10&amp; "'!$A$2:$A$50"),INDIRECT("'" &amp;Master!$F$10&amp; "'!$C$2:$C$50"))</f>
        <v>#VALUE!</v>
      </c>
      <c r="D816" s="4" t="e">
        <f ca="1">SplineInterp(A816,INDIRECT("'" &amp;Master!$F$10&amp; "'!$A$2:$A$50"),INDIRECT("'" &amp;Master!$F$10&amp; "'!$D$2:$D$50"))</f>
        <v>#VALUE!</v>
      </c>
      <c r="E816" s="4" t="e">
        <f ca="1">SplineInterp(A816,INDIRECT("'" &amp;Master!$F$10&amp; "'!$A$2:$A$50"),INDIRECT("'" &amp;Master!$F$10&amp; "'!$E$2:$E$50"))</f>
        <v>#VALUE!</v>
      </c>
      <c r="F816" s="4" t="e">
        <f ca="1">SplineInterp(A816,INDIRECT("'" &amp;Master!$F$10&amp; "'!$A$2:$A$50"),INDIRECT("'" &amp;Master!$F$10&amp; "'!$F$2:$F$50"))</f>
        <v>#VALUE!</v>
      </c>
      <c r="G816" s="4" t="e">
        <f ca="1">SplineInterp(A816,INDIRECT("'" &amp;Master!$F$10&amp; "'!$A$2:$A$50"),INDIRECT("'" &amp;Master!$F$10&amp; "'!$G$2:$G$50"))</f>
        <v>#VALUE!</v>
      </c>
      <c r="H816" s="4" t="e">
        <f ca="1">SplineInterp(A816,INDIRECT("'" &amp;Master!$F$10&amp; "'!$A$2:$A$50"),INDIRECT("'" &amp;Master!$F$10&amp; "'!$H$2:$H$50"))</f>
        <v>#VALUE!</v>
      </c>
      <c r="I816" s="4" t="e">
        <f ca="1">IF(OR(INDIRECT("'" &amp; Master!$F$8 &amp; Master!$F$6 &amp; "'!B" &amp; ROW(B816))="", INDIRECT("'" &amp; Master!$F$8 &amp; Master!$F$6 &amp; "'!B" &amp; ROW(B816))=0), "", INDIRECT("'" &amp; Master!$F$8 &amp; Master!$F$6 &amp; "'!B" &amp; ROW(B816)))</f>
        <v>#VALUE!</v>
      </c>
      <c r="J816" s="9" t="e">
        <f t="shared" ca="1" si="84"/>
        <v>#VALUE!</v>
      </c>
      <c r="K816" s="7" t="e">
        <f t="shared" ca="1" si="85"/>
        <v>#VALUE!</v>
      </c>
      <c r="L816" s="7" t="e">
        <f t="shared" ca="1" si="86"/>
        <v>#VALUE!</v>
      </c>
      <c r="M816" s="7" t="e">
        <f t="shared" ca="1" si="87"/>
        <v>#VALUE!</v>
      </c>
      <c r="N816" s="7" t="e">
        <f t="shared" ca="1" si="88"/>
        <v>#VALUE!</v>
      </c>
      <c r="O816" s="7" t="e">
        <f t="shared" ca="1" si="89"/>
        <v>#VALUE!</v>
      </c>
      <c r="P816" s="7" t="e">
        <f t="shared" ca="1" si="90"/>
        <v>#VALUE!</v>
      </c>
    </row>
    <row r="817" spans="1:16" x14ac:dyDescent="0.25">
      <c r="A817" s="19" t="str">
        <f ca="1">IF(OR(INDIRECT("'" &amp; Master!$F$8 &amp; Master!$F$6 &amp; "'!A" &amp; ROW(A817))="", INDIRECT("'" &amp; Master!$F$8 &amp; Master!$F$6 &amp; "'!A" &amp; ROW(A817))=0), "", INDIRECT("'" &amp; Master!$F$8 &amp; Master!$F$6 &amp; "'!A" &amp; ROW(A817)))</f>
        <v/>
      </c>
      <c r="B817" s="4" t="e">
        <f ca="1">SplineInterp(INDIRECT("A" &amp; ROW()),INDIRECT("'" &amp;Master!$F$10&amp; "'!$A$2:$A$50"),INDIRECT("'" &amp;Master!$F$10&amp; "'!$B$2:$B$50"))</f>
        <v>#VALUE!</v>
      </c>
      <c r="C817" s="4" t="e">
        <f ca="1">SplineInterp(A817,INDIRECT("'" &amp;Master!$F$10&amp; "'!$A$2:$A$50"),INDIRECT("'" &amp;Master!$F$10&amp; "'!$C$2:$C$50"))</f>
        <v>#VALUE!</v>
      </c>
      <c r="D817" s="4" t="e">
        <f ca="1">SplineInterp(A817,INDIRECT("'" &amp;Master!$F$10&amp; "'!$A$2:$A$50"),INDIRECT("'" &amp;Master!$F$10&amp; "'!$D$2:$D$50"))</f>
        <v>#VALUE!</v>
      </c>
      <c r="E817" s="4" t="e">
        <f ca="1">SplineInterp(A817,INDIRECT("'" &amp;Master!$F$10&amp; "'!$A$2:$A$50"),INDIRECT("'" &amp;Master!$F$10&amp; "'!$E$2:$E$50"))</f>
        <v>#VALUE!</v>
      </c>
      <c r="F817" s="4" t="e">
        <f ca="1">SplineInterp(A817,INDIRECT("'" &amp;Master!$F$10&amp; "'!$A$2:$A$50"),INDIRECT("'" &amp;Master!$F$10&amp; "'!$F$2:$F$50"))</f>
        <v>#VALUE!</v>
      </c>
      <c r="G817" s="4" t="e">
        <f ca="1">SplineInterp(A817,INDIRECT("'" &amp;Master!$F$10&amp; "'!$A$2:$A$50"),INDIRECT("'" &amp;Master!$F$10&amp; "'!$G$2:$G$50"))</f>
        <v>#VALUE!</v>
      </c>
      <c r="H817" s="4" t="e">
        <f ca="1">SplineInterp(A817,INDIRECT("'" &amp;Master!$F$10&amp; "'!$A$2:$A$50"),INDIRECT("'" &amp;Master!$F$10&amp; "'!$H$2:$H$50"))</f>
        <v>#VALUE!</v>
      </c>
      <c r="I817" s="4" t="e">
        <f ca="1">IF(OR(INDIRECT("'" &amp; Master!$F$8 &amp; Master!$F$6 &amp; "'!B" &amp; ROW(B817))="", INDIRECT("'" &amp; Master!$F$8 &amp; Master!$F$6 &amp; "'!B" &amp; ROW(B817))=0), "", INDIRECT("'" &amp; Master!$F$8 &amp; Master!$F$6 &amp; "'!B" &amp; ROW(B817)))</f>
        <v>#VALUE!</v>
      </c>
      <c r="J817" s="9" t="e">
        <f t="shared" ca="1" si="84"/>
        <v>#VALUE!</v>
      </c>
      <c r="K817" s="7" t="e">
        <f t="shared" ca="1" si="85"/>
        <v>#VALUE!</v>
      </c>
      <c r="L817" s="7" t="e">
        <f t="shared" ca="1" si="86"/>
        <v>#VALUE!</v>
      </c>
      <c r="M817" s="7" t="e">
        <f t="shared" ca="1" si="87"/>
        <v>#VALUE!</v>
      </c>
      <c r="N817" s="7" t="e">
        <f t="shared" ca="1" si="88"/>
        <v>#VALUE!</v>
      </c>
      <c r="O817" s="7" t="e">
        <f t="shared" ca="1" si="89"/>
        <v>#VALUE!</v>
      </c>
      <c r="P817" s="7" t="e">
        <f t="shared" ca="1" si="90"/>
        <v>#VALUE!</v>
      </c>
    </row>
    <row r="818" spans="1:16" x14ac:dyDescent="0.25">
      <c r="A818" s="19" t="str">
        <f ca="1">IF(OR(INDIRECT("'" &amp; Master!$F$8 &amp; Master!$F$6 &amp; "'!A" &amp; ROW(A818))="", INDIRECT("'" &amp; Master!$F$8 &amp; Master!$F$6 &amp; "'!A" &amp; ROW(A818))=0), "", INDIRECT("'" &amp; Master!$F$8 &amp; Master!$F$6 &amp; "'!A" &amp; ROW(A818)))</f>
        <v/>
      </c>
      <c r="B818" s="4" t="e">
        <f ca="1">SplineInterp(INDIRECT("A" &amp; ROW()),INDIRECT("'" &amp;Master!$F$10&amp; "'!$A$2:$A$50"),INDIRECT("'" &amp;Master!$F$10&amp; "'!$B$2:$B$50"))</f>
        <v>#VALUE!</v>
      </c>
      <c r="C818" s="4" t="e">
        <f ca="1">SplineInterp(A818,INDIRECT("'" &amp;Master!$F$10&amp; "'!$A$2:$A$50"),INDIRECT("'" &amp;Master!$F$10&amp; "'!$C$2:$C$50"))</f>
        <v>#VALUE!</v>
      </c>
      <c r="D818" s="4" t="e">
        <f ca="1">SplineInterp(A818,INDIRECT("'" &amp;Master!$F$10&amp; "'!$A$2:$A$50"),INDIRECT("'" &amp;Master!$F$10&amp; "'!$D$2:$D$50"))</f>
        <v>#VALUE!</v>
      </c>
      <c r="E818" s="4" t="e">
        <f ca="1">SplineInterp(A818,INDIRECT("'" &amp;Master!$F$10&amp; "'!$A$2:$A$50"),INDIRECT("'" &amp;Master!$F$10&amp; "'!$E$2:$E$50"))</f>
        <v>#VALUE!</v>
      </c>
      <c r="F818" s="4" t="e">
        <f ca="1">SplineInterp(A818,INDIRECT("'" &amp;Master!$F$10&amp; "'!$A$2:$A$50"),INDIRECT("'" &amp;Master!$F$10&amp; "'!$F$2:$F$50"))</f>
        <v>#VALUE!</v>
      </c>
      <c r="G818" s="4" t="e">
        <f ca="1">SplineInterp(A818,INDIRECT("'" &amp;Master!$F$10&amp; "'!$A$2:$A$50"),INDIRECT("'" &amp;Master!$F$10&amp; "'!$G$2:$G$50"))</f>
        <v>#VALUE!</v>
      </c>
      <c r="H818" s="4" t="e">
        <f ca="1">SplineInterp(A818,INDIRECT("'" &amp;Master!$F$10&amp; "'!$A$2:$A$50"),INDIRECT("'" &amp;Master!$F$10&amp; "'!$H$2:$H$50"))</f>
        <v>#VALUE!</v>
      </c>
      <c r="I818" s="4" t="e">
        <f ca="1">IF(OR(INDIRECT("'" &amp; Master!$F$8 &amp; Master!$F$6 &amp; "'!B" &amp; ROW(B818))="", INDIRECT("'" &amp; Master!$F$8 &amp; Master!$F$6 &amp; "'!B" &amp; ROW(B818))=0), "", INDIRECT("'" &amp; Master!$F$8 &amp; Master!$F$6 &amp; "'!B" &amp; ROW(B818)))</f>
        <v>#VALUE!</v>
      </c>
      <c r="J818" s="9" t="e">
        <f t="shared" ca="1" si="84"/>
        <v>#VALUE!</v>
      </c>
      <c r="K818" s="7" t="e">
        <f t="shared" ca="1" si="85"/>
        <v>#VALUE!</v>
      </c>
      <c r="L818" s="7" t="e">
        <f t="shared" ca="1" si="86"/>
        <v>#VALUE!</v>
      </c>
      <c r="M818" s="7" t="e">
        <f t="shared" ca="1" si="87"/>
        <v>#VALUE!</v>
      </c>
      <c r="N818" s="7" t="e">
        <f t="shared" ca="1" si="88"/>
        <v>#VALUE!</v>
      </c>
      <c r="O818" s="7" t="e">
        <f t="shared" ca="1" si="89"/>
        <v>#VALUE!</v>
      </c>
      <c r="P818" s="7" t="e">
        <f t="shared" ca="1" si="90"/>
        <v>#VALUE!</v>
      </c>
    </row>
    <row r="819" spans="1:16" x14ac:dyDescent="0.25">
      <c r="A819" s="19" t="str">
        <f ca="1">IF(OR(INDIRECT("'" &amp; Master!$F$8 &amp; Master!$F$6 &amp; "'!A" &amp; ROW(A819))="", INDIRECT("'" &amp; Master!$F$8 &amp; Master!$F$6 &amp; "'!A" &amp; ROW(A819))=0), "", INDIRECT("'" &amp; Master!$F$8 &amp; Master!$F$6 &amp; "'!A" &amp; ROW(A819)))</f>
        <v/>
      </c>
      <c r="B819" s="4" t="e">
        <f ca="1">SplineInterp(INDIRECT("A" &amp; ROW()),INDIRECT("'" &amp;Master!$F$10&amp; "'!$A$2:$A$50"),INDIRECT("'" &amp;Master!$F$10&amp; "'!$B$2:$B$50"))</f>
        <v>#VALUE!</v>
      </c>
      <c r="C819" s="4" t="e">
        <f ca="1">SplineInterp(A819,INDIRECT("'" &amp;Master!$F$10&amp; "'!$A$2:$A$50"),INDIRECT("'" &amp;Master!$F$10&amp; "'!$C$2:$C$50"))</f>
        <v>#VALUE!</v>
      </c>
      <c r="D819" s="4" t="e">
        <f ca="1">SplineInterp(A819,INDIRECT("'" &amp;Master!$F$10&amp; "'!$A$2:$A$50"),INDIRECT("'" &amp;Master!$F$10&amp; "'!$D$2:$D$50"))</f>
        <v>#VALUE!</v>
      </c>
      <c r="E819" s="4" t="e">
        <f ca="1">SplineInterp(A819,INDIRECT("'" &amp;Master!$F$10&amp; "'!$A$2:$A$50"),INDIRECT("'" &amp;Master!$F$10&amp; "'!$E$2:$E$50"))</f>
        <v>#VALUE!</v>
      </c>
      <c r="F819" s="4" t="e">
        <f ca="1">SplineInterp(A819,INDIRECT("'" &amp;Master!$F$10&amp; "'!$A$2:$A$50"),INDIRECT("'" &amp;Master!$F$10&amp; "'!$F$2:$F$50"))</f>
        <v>#VALUE!</v>
      </c>
      <c r="G819" s="4" t="e">
        <f ca="1">SplineInterp(A819,INDIRECT("'" &amp;Master!$F$10&amp; "'!$A$2:$A$50"),INDIRECT("'" &amp;Master!$F$10&amp; "'!$G$2:$G$50"))</f>
        <v>#VALUE!</v>
      </c>
      <c r="H819" s="4" t="e">
        <f ca="1">SplineInterp(A819,INDIRECT("'" &amp;Master!$F$10&amp; "'!$A$2:$A$50"),INDIRECT("'" &amp;Master!$F$10&amp; "'!$H$2:$H$50"))</f>
        <v>#VALUE!</v>
      </c>
      <c r="I819" s="4" t="e">
        <f ca="1">IF(OR(INDIRECT("'" &amp; Master!$F$8 &amp; Master!$F$6 &amp; "'!B" &amp; ROW(B819))="", INDIRECT("'" &amp; Master!$F$8 &amp; Master!$F$6 &amp; "'!B" &amp; ROW(B819))=0), "", INDIRECT("'" &amp; Master!$F$8 &amp; Master!$F$6 &amp; "'!B" &amp; ROW(B819)))</f>
        <v>#VALUE!</v>
      </c>
      <c r="J819" s="9" t="e">
        <f t="shared" ca="1" si="84"/>
        <v>#VALUE!</v>
      </c>
      <c r="K819" s="7" t="e">
        <f t="shared" ca="1" si="85"/>
        <v>#VALUE!</v>
      </c>
      <c r="L819" s="7" t="e">
        <f t="shared" ca="1" si="86"/>
        <v>#VALUE!</v>
      </c>
      <c r="M819" s="7" t="e">
        <f t="shared" ca="1" si="87"/>
        <v>#VALUE!</v>
      </c>
      <c r="N819" s="7" t="e">
        <f t="shared" ca="1" si="88"/>
        <v>#VALUE!</v>
      </c>
      <c r="O819" s="7" t="e">
        <f t="shared" ca="1" si="89"/>
        <v>#VALUE!</v>
      </c>
      <c r="P819" s="7" t="e">
        <f t="shared" ca="1" si="90"/>
        <v>#VALUE!</v>
      </c>
    </row>
    <row r="820" spans="1:16" x14ac:dyDescent="0.25">
      <c r="A820" s="19" t="str">
        <f ca="1">IF(OR(INDIRECT("'" &amp; Master!$F$8 &amp; Master!$F$6 &amp; "'!A" &amp; ROW(A820))="", INDIRECT("'" &amp; Master!$F$8 &amp; Master!$F$6 &amp; "'!A" &amp; ROW(A820))=0), "", INDIRECT("'" &amp; Master!$F$8 &amp; Master!$F$6 &amp; "'!A" &amp; ROW(A820)))</f>
        <v/>
      </c>
      <c r="B820" s="4" t="e">
        <f ca="1">SplineInterp(INDIRECT("A" &amp; ROW()),INDIRECT("'" &amp;Master!$F$10&amp; "'!$A$2:$A$50"),INDIRECT("'" &amp;Master!$F$10&amp; "'!$B$2:$B$50"))</f>
        <v>#VALUE!</v>
      </c>
      <c r="C820" s="4" t="e">
        <f ca="1">SplineInterp(A820,INDIRECT("'" &amp;Master!$F$10&amp; "'!$A$2:$A$50"),INDIRECT("'" &amp;Master!$F$10&amp; "'!$C$2:$C$50"))</f>
        <v>#VALUE!</v>
      </c>
      <c r="D820" s="4" t="e">
        <f ca="1">SplineInterp(A820,INDIRECT("'" &amp;Master!$F$10&amp; "'!$A$2:$A$50"),INDIRECT("'" &amp;Master!$F$10&amp; "'!$D$2:$D$50"))</f>
        <v>#VALUE!</v>
      </c>
      <c r="E820" s="4" t="e">
        <f ca="1">SplineInterp(A820,INDIRECT("'" &amp;Master!$F$10&amp; "'!$A$2:$A$50"),INDIRECT("'" &amp;Master!$F$10&amp; "'!$E$2:$E$50"))</f>
        <v>#VALUE!</v>
      </c>
      <c r="F820" s="4" t="e">
        <f ca="1">SplineInterp(A820,INDIRECT("'" &amp;Master!$F$10&amp; "'!$A$2:$A$50"),INDIRECT("'" &amp;Master!$F$10&amp; "'!$F$2:$F$50"))</f>
        <v>#VALUE!</v>
      </c>
      <c r="G820" s="4" t="e">
        <f ca="1">SplineInterp(A820,INDIRECT("'" &amp;Master!$F$10&amp; "'!$A$2:$A$50"),INDIRECT("'" &amp;Master!$F$10&amp; "'!$G$2:$G$50"))</f>
        <v>#VALUE!</v>
      </c>
      <c r="H820" s="4" t="e">
        <f ca="1">SplineInterp(A820,INDIRECT("'" &amp;Master!$F$10&amp; "'!$A$2:$A$50"),INDIRECT("'" &amp;Master!$F$10&amp; "'!$H$2:$H$50"))</f>
        <v>#VALUE!</v>
      </c>
      <c r="I820" s="4" t="e">
        <f ca="1">IF(OR(INDIRECT("'" &amp; Master!$F$8 &amp; Master!$F$6 &amp; "'!B" &amp; ROW(B820))="", INDIRECT("'" &amp; Master!$F$8 &amp; Master!$F$6 &amp; "'!B" &amp; ROW(B820))=0), "", INDIRECT("'" &amp; Master!$F$8 &amp; Master!$F$6 &amp; "'!B" &amp; ROW(B820)))</f>
        <v>#VALUE!</v>
      </c>
      <c r="J820" s="9" t="e">
        <f t="shared" ca="1" si="84"/>
        <v>#VALUE!</v>
      </c>
      <c r="K820" s="7" t="e">
        <f t="shared" ca="1" si="85"/>
        <v>#VALUE!</v>
      </c>
      <c r="L820" s="7" t="e">
        <f t="shared" ca="1" si="86"/>
        <v>#VALUE!</v>
      </c>
      <c r="M820" s="7" t="e">
        <f t="shared" ca="1" si="87"/>
        <v>#VALUE!</v>
      </c>
      <c r="N820" s="7" t="e">
        <f t="shared" ca="1" si="88"/>
        <v>#VALUE!</v>
      </c>
      <c r="O820" s="7" t="e">
        <f t="shared" ca="1" si="89"/>
        <v>#VALUE!</v>
      </c>
      <c r="P820" s="7" t="e">
        <f t="shared" ca="1" si="90"/>
        <v>#VALUE!</v>
      </c>
    </row>
    <row r="821" spans="1:16" x14ac:dyDescent="0.25">
      <c r="A821" s="19" t="str">
        <f ca="1">IF(OR(INDIRECT("'" &amp; Master!$F$8 &amp; Master!$F$6 &amp; "'!A" &amp; ROW(A821))="", INDIRECT("'" &amp; Master!$F$8 &amp; Master!$F$6 &amp; "'!A" &amp; ROW(A821))=0), "", INDIRECT("'" &amp; Master!$F$8 &amp; Master!$F$6 &amp; "'!A" &amp; ROW(A821)))</f>
        <v/>
      </c>
      <c r="B821" s="4" t="e">
        <f ca="1">SplineInterp(INDIRECT("A" &amp; ROW()),INDIRECT("'" &amp;Master!$F$10&amp; "'!$A$2:$A$50"),INDIRECT("'" &amp;Master!$F$10&amp; "'!$B$2:$B$50"))</f>
        <v>#VALUE!</v>
      </c>
      <c r="C821" s="4" t="e">
        <f ca="1">SplineInterp(A821,INDIRECT("'" &amp;Master!$F$10&amp; "'!$A$2:$A$50"),INDIRECT("'" &amp;Master!$F$10&amp; "'!$C$2:$C$50"))</f>
        <v>#VALUE!</v>
      </c>
      <c r="D821" s="4" t="e">
        <f ca="1">SplineInterp(A821,INDIRECT("'" &amp;Master!$F$10&amp; "'!$A$2:$A$50"),INDIRECT("'" &amp;Master!$F$10&amp; "'!$D$2:$D$50"))</f>
        <v>#VALUE!</v>
      </c>
      <c r="E821" s="4" t="e">
        <f ca="1">SplineInterp(A821,INDIRECT("'" &amp;Master!$F$10&amp; "'!$A$2:$A$50"),INDIRECT("'" &amp;Master!$F$10&amp; "'!$E$2:$E$50"))</f>
        <v>#VALUE!</v>
      </c>
      <c r="F821" s="4" t="e">
        <f ca="1">SplineInterp(A821,INDIRECT("'" &amp;Master!$F$10&amp; "'!$A$2:$A$50"),INDIRECT("'" &amp;Master!$F$10&amp; "'!$F$2:$F$50"))</f>
        <v>#VALUE!</v>
      </c>
      <c r="G821" s="4" t="e">
        <f ca="1">SplineInterp(A821,INDIRECT("'" &amp;Master!$F$10&amp; "'!$A$2:$A$50"),INDIRECT("'" &amp;Master!$F$10&amp; "'!$G$2:$G$50"))</f>
        <v>#VALUE!</v>
      </c>
      <c r="H821" s="4" t="e">
        <f ca="1">SplineInterp(A821,INDIRECT("'" &amp;Master!$F$10&amp; "'!$A$2:$A$50"),INDIRECT("'" &amp;Master!$F$10&amp; "'!$H$2:$H$50"))</f>
        <v>#VALUE!</v>
      </c>
      <c r="I821" s="4" t="e">
        <f ca="1">IF(OR(INDIRECT("'" &amp; Master!$F$8 &amp; Master!$F$6 &amp; "'!B" &amp; ROW(B821))="", INDIRECT("'" &amp; Master!$F$8 &amp; Master!$F$6 &amp; "'!B" &amp; ROW(B821))=0), "", INDIRECT("'" &amp; Master!$F$8 &amp; Master!$F$6 &amp; "'!B" &amp; ROW(B821)))</f>
        <v>#VALUE!</v>
      </c>
      <c r="J821" s="9" t="e">
        <f t="shared" ca="1" si="84"/>
        <v>#VALUE!</v>
      </c>
      <c r="K821" s="7" t="e">
        <f t="shared" ca="1" si="85"/>
        <v>#VALUE!</v>
      </c>
      <c r="L821" s="7" t="e">
        <f t="shared" ca="1" si="86"/>
        <v>#VALUE!</v>
      </c>
      <c r="M821" s="7" t="e">
        <f t="shared" ca="1" si="87"/>
        <v>#VALUE!</v>
      </c>
      <c r="N821" s="7" t="e">
        <f t="shared" ca="1" si="88"/>
        <v>#VALUE!</v>
      </c>
      <c r="O821" s="7" t="e">
        <f t="shared" ca="1" si="89"/>
        <v>#VALUE!</v>
      </c>
      <c r="P821" s="7" t="e">
        <f t="shared" ca="1" si="90"/>
        <v>#VALUE!</v>
      </c>
    </row>
    <row r="822" spans="1:16" x14ac:dyDescent="0.25">
      <c r="A822" s="19" t="str">
        <f ca="1">IF(OR(INDIRECT("'" &amp; Master!$F$8 &amp; Master!$F$6 &amp; "'!A" &amp; ROW(A822))="", INDIRECT("'" &amp; Master!$F$8 &amp; Master!$F$6 &amp; "'!A" &amp; ROW(A822))=0), "", INDIRECT("'" &amp; Master!$F$8 &amp; Master!$F$6 &amp; "'!A" &amp; ROW(A822)))</f>
        <v/>
      </c>
      <c r="B822" s="4" t="e">
        <f ca="1">SplineInterp(INDIRECT("A" &amp; ROW()),INDIRECT("'" &amp;Master!$F$10&amp; "'!$A$2:$A$50"),INDIRECT("'" &amp;Master!$F$10&amp; "'!$B$2:$B$50"))</f>
        <v>#VALUE!</v>
      </c>
      <c r="C822" s="4" t="e">
        <f ca="1">SplineInterp(A822,INDIRECT("'" &amp;Master!$F$10&amp; "'!$A$2:$A$50"),INDIRECT("'" &amp;Master!$F$10&amp; "'!$C$2:$C$50"))</f>
        <v>#VALUE!</v>
      </c>
      <c r="D822" s="4" t="e">
        <f ca="1">SplineInterp(A822,INDIRECT("'" &amp;Master!$F$10&amp; "'!$A$2:$A$50"),INDIRECT("'" &amp;Master!$F$10&amp; "'!$D$2:$D$50"))</f>
        <v>#VALUE!</v>
      </c>
      <c r="E822" s="4" t="e">
        <f ca="1">SplineInterp(A822,INDIRECT("'" &amp;Master!$F$10&amp; "'!$A$2:$A$50"),INDIRECT("'" &amp;Master!$F$10&amp; "'!$E$2:$E$50"))</f>
        <v>#VALUE!</v>
      </c>
      <c r="F822" s="4" t="e">
        <f ca="1">SplineInterp(A822,INDIRECT("'" &amp;Master!$F$10&amp; "'!$A$2:$A$50"),INDIRECT("'" &amp;Master!$F$10&amp; "'!$F$2:$F$50"))</f>
        <v>#VALUE!</v>
      </c>
      <c r="G822" s="4" t="e">
        <f ca="1">SplineInterp(A822,INDIRECT("'" &amp;Master!$F$10&amp; "'!$A$2:$A$50"),INDIRECT("'" &amp;Master!$F$10&amp; "'!$G$2:$G$50"))</f>
        <v>#VALUE!</v>
      </c>
      <c r="H822" s="4" t="e">
        <f ca="1">SplineInterp(A822,INDIRECT("'" &amp;Master!$F$10&amp; "'!$A$2:$A$50"),INDIRECT("'" &amp;Master!$F$10&amp; "'!$H$2:$H$50"))</f>
        <v>#VALUE!</v>
      </c>
      <c r="I822" s="4" t="e">
        <f ca="1">IF(OR(INDIRECT("'" &amp; Master!$F$8 &amp; Master!$F$6 &amp; "'!B" &amp; ROW(B822))="", INDIRECT("'" &amp; Master!$F$8 &amp; Master!$F$6 &amp; "'!B" &amp; ROW(B822))=0), "", INDIRECT("'" &amp; Master!$F$8 &amp; Master!$F$6 &amp; "'!B" &amp; ROW(B822)))</f>
        <v>#VALUE!</v>
      </c>
      <c r="J822" s="9" t="e">
        <f t="shared" ca="1" si="84"/>
        <v>#VALUE!</v>
      </c>
      <c r="K822" s="7" t="e">
        <f t="shared" ca="1" si="85"/>
        <v>#VALUE!</v>
      </c>
      <c r="L822" s="7" t="e">
        <f t="shared" ca="1" si="86"/>
        <v>#VALUE!</v>
      </c>
      <c r="M822" s="7" t="e">
        <f t="shared" ca="1" si="87"/>
        <v>#VALUE!</v>
      </c>
      <c r="N822" s="7" t="e">
        <f t="shared" ca="1" si="88"/>
        <v>#VALUE!</v>
      </c>
      <c r="O822" s="7" t="e">
        <f t="shared" ca="1" si="89"/>
        <v>#VALUE!</v>
      </c>
      <c r="P822" s="7" t="e">
        <f t="shared" ca="1" si="90"/>
        <v>#VALUE!</v>
      </c>
    </row>
    <row r="823" spans="1:16" x14ac:dyDescent="0.25">
      <c r="A823" s="19" t="str">
        <f ca="1">IF(OR(INDIRECT("'" &amp; Master!$F$8 &amp; Master!$F$6 &amp; "'!A" &amp; ROW(A823))="", INDIRECT("'" &amp; Master!$F$8 &amp; Master!$F$6 &amp; "'!A" &amp; ROW(A823))=0), "", INDIRECT("'" &amp; Master!$F$8 &amp; Master!$F$6 &amp; "'!A" &amp; ROW(A823)))</f>
        <v/>
      </c>
      <c r="B823" s="4" t="e">
        <f ca="1">SplineInterp(INDIRECT("A" &amp; ROW()),INDIRECT("'" &amp;Master!$F$10&amp; "'!$A$2:$A$50"),INDIRECT("'" &amp;Master!$F$10&amp; "'!$B$2:$B$50"))</f>
        <v>#VALUE!</v>
      </c>
      <c r="C823" s="4" t="e">
        <f ca="1">SplineInterp(A823,INDIRECT("'" &amp;Master!$F$10&amp; "'!$A$2:$A$50"),INDIRECT("'" &amp;Master!$F$10&amp; "'!$C$2:$C$50"))</f>
        <v>#VALUE!</v>
      </c>
      <c r="D823" s="4" t="e">
        <f ca="1">SplineInterp(A823,INDIRECT("'" &amp;Master!$F$10&amp; "'!$A$2:$A$50"),INDIRECT("'" &amp;Master!$F$10&amp; "'!$D$2:$D$50"))</f>
        <v>#VALUE!</v>
      </c>
      <c r="E823" s="4" t="e">
        <f ca="1">SplineInterp(A823,INDIRECT("'" &amp;Master!$F$10&amp; "'!$A$2:$A$50"),INDIRECT("'" &amp;Master!$F$10&amp; "'!$E$2:$E$50"))</f>
        <v>#VALUE!</v>
      </c>
      <c r="F823" s="4" t="e">
        <f ca="1">SplineInterp(A823,INDIRECT("'" &amp;Master!$F$10&amp; "'!$A$2:$A$50"),INDIRECT("'" &amp;Master!$F$10&amp; "'!$F$2:$F$50"))</f>
        <v>#VALUE!</v>
      </c>
      <c r="G823" s="4" t="e">
        <f ca="1">SplineInterp(A823,INDIRECT("'" &amp;Master!$F$10&amp; "'!$A$2:$A$50"),INDIRECT("'" &amp;Master!$F$10&amp; "'!$G$2:$G$50"))</f>
        <v>#VALUE!</v>
      </c>
      <c r="H823" s="4" t="e">
        <f ca="1">SplineInterp(A823,INDIRECT("'" &amp;Master!$F$10&amp; "'!$A$2:$A$50"),INDIRECT("'" &amp;Master!$F$10&amp; "'!$H$2:$H$50"))</f>
        <v>#VALUE!</v>
      </c>
      <c r="I823" s="4" t="e">
        <f ca="1">IF(OR(INDIRECT("'" &amp; Master!$F$8 &amp; Master!$F$6 &amp; "'!B" &amp; ROW(B823))="", INDIRECT("'" &amp; Master!$F$8 &amp; Master!$F$6 &amp; "'!B" &amp; ROW(B823))=0), "", INDIRECT("'" &amp; Master!$F$8 &amp; Master!$F$6 &amp; "'!B" &amp; ROW(B823)))</f>
        <v>#VALUE!</v>
      </c>
      <c r="J823" s="9" t="e">
        <f t="shared" ca="1" si="84"/>
        <v>#VALUE!</v>
      </c>
      <c r="K823" s="7" t="e">
        <f t="shared" ca="1" si="85"/>
        <v>#VALUE!</v>
      </c>
      <c r="L823" s="7" t="e">
        <f t="shared" ca="1" si="86"/>
        <v>#VALUE!</v>
      </c>
      <c r="M823" s="7" t="e">
        <f t="shared" ca="1" si="87"/>
        <v>#VALUE!</v>
      </c>
      <c r="N823" s="7" t="e">
        <f t="shared" ca="1" si="88"/>
        <v>#VALUE!</v>
      </c>
      <c r="O823" s="7" t="e">
        <f t="shared" ca="1" si="89"/>
        <v>#VALUE!</v>
      </c>
      <c r="P823" s="7" t="e">
        <f t="shared" ca="1" si="90"/>
        <v>#VALUE!</v>
      </c>
    </row>
    <row r="824" spans="1:16" x14ac:dyDescent="0.25">
      <c r="A824" s="19" t="str">
        <f ca="1">IF(OR(INDIRECT("'" &amp; Master!$F$8 &amp; Master!$F$6 &amp; "'!A" &amp; ROW(A824))="", INDIRECT("'" &amp; Master!$F$8 &amp; Master!$F$6 &amp; "'!A" &amp; ROW(A824))=0), "", INDIRECT("'" &amp; Master!$F$8 &amp; Master!$F$6 &amp; "'!A" &amp; ROW(A824)))</f>
        <v/>
      </c>
      <c r="B824" s="4" t="e">
        <f ca="1">SplineInterp(INDIRECT("A" &amp; ROW()),INDIRECT("'" &amp;Master!$F$10&amp; "'!$A$2:$A$50"),INDIRECT("'" &amp;Master!$F$10&amp; "'!$B$2:$B$50"))</f>
        <v>#VALUE!</v>
      </c>
      <c r="C824" s="4" t="e">
        <f ca="1">SplineInterp(A824,INDIRECT("'" &amp;Master!$F$10&amp; "'!$A$2:$A$50"),INDIRECT("'" &amp;Master!$F$10&amp; "'!$C$2:$C$50"))</f>
        <v>#VALUE!</v>
      </c>
      <c r="D824" s="4" t="e">
        <f ca="1">SplineInterp(A824,INDIRECT("'" &amp;Master!$F$10&amp; "'!$A$2:$A$50"),INDIRECT("'" &amp;Master!$F$10&amp; "'!$D$2:$D$50"))</f>
        <v>#VALUE!</v>
      </c>
      <c r="E824" s="4" t="e">
        <f ca="1">SplineInterp(A824,INDIRECT("'" &amp;Master!$F$10&amp; "'!$A$2:$A$50"),INDIRECT("'" &amp;Master!$F$10&amp; "'!$E$2:$E$50"))</f>
        <v>#VALUE!</v>
      </c>
      <c r="F824" s="4" t="e">
        <f ca="1">SplineInterp(A824,INDIRECT("'" &amp;Master!$F$10&amp; "'!$A$2:$A$50"),INDIRECT("'" &amp;Master!$F$10&amp; "'!$F$2:$F$50"))</f>
        <v>#VALUE!</v>
      </c>
      <c r="G824" s="4" t="e">
        <f ca="1">SplineInterp(A824,INDIRECT("'" &amp;Master!$F$10&amp; "'!$A$2:$A$50"),INDIRECT("'" &amp;Master!$F$10&amp; "'!$G$2:$G$50"))</f>
        <v>#VALUE!</v>
      </c>
      <c r="H824" s="4" t="e">
        <f ca="1">SplineInterp(A824,INDIRECT("'" &amp;Master!$F$10&amp; "'!$A$2:$A$50"),INDIRECT("'" &amp;Master!$F$10&amp; "'!$H$2:$H$50"))</f>
        <v>#VALUE!</v>
      </c>
      <c r="I824" s="4" t="e">
        <f ca="1">IF(OR(INDIRECT("'" &amp; Master!$F$8 &amp; Master!$F$6 &amp; "'!B" &amp; ROW(B824))="", INDIRECT("'" &amp; Master!$F$8 &amp; Master!$F$6 &amp; "'!B" &amp; ROW(B824))=0), "", INDIRECT("'" &amp; Master!$F$8 &amp; Master!$F$6 &amp; "'!B" &amp; ROW(B824)))</f>
        <v>#VALUE!</v>
      </c>
      <c r="J824" s="9" t="e">
        <f t="shared" ca="1" si="84"/>
        <v>#VALUE!</v>
      </c>
      <c r="K824" s="7" t="e">
        <f t="shared" ca="1" si="85"/>
        <v>#VALUE!</v>
      </c>
      <c r="L824" s="7" t="e">
        <f t="shared" ca="1" si="86"/>
        <v>#VALUE!</v>
      </c>
      <c r="M824" s="7" t="e">
        <f t="shared" ca="1" si="87"/>
        <v>#VALUE!</v>
      </c>
      <c r="N824" s="7" t="e">
        <f t="shared" ca="1" si="88"/>
        <v>#VALUE!</v>
      </c>
      <c r="O824" s="7" t="e">
        <f t="shared" ca="1" si="89"/>
        <v>#VALUE!</v>
      </c>
      <c r="P824" s="7" t="e">
        <f t="shared" ca="1" si="90"/>
        <v>#VALUE!</v>
      </c>
    </row>
    <row r="825" spans="1:16" x14ac:dyDescent="0.25">
      <c r="A825" s="19" t="str">
        <f ca="1">IF(OR(INDIRECT("'" &amp; Master!$F$8 &amp; Master!$F$6 &amp; "'!A" &amp; ROW(A825))="", INDIRECT("'" &amp; Master!$F$8 &amp; Master!$F$6 &amp; "'!A" &amp; ROW(A825))=0), "", INDIRECT("'" &amp; Master!$F$8 &amp; Master!$F$6 &amp; "'!A" &amp; ROW(A825)))</f>
        <v/>
      </c>
      <c r="B825" s="4" t="e">
        <f ca="1">SplineInterp(INDIRECT("A" &amp; ROW()),INDIRECT("'" &amp;Master!$F$10&amp; "'!$A$2:$A$50"),INDIRECT("'" &amp;Master!$F$10&amp; "'!$B$2:$B$50"))</f>
        <v>#VALUE!</v>
      </c>
      <c r="C825" s="4" t="e">
        <f ca="1">SplineInterp(A825,INDIRECT("'" &amp;Master!$F$10&amp; "'!$A$2:$A$50"),INDIRECT("'" &amp;Master!$F$10&amp; "'!$C$2:$C$50"))</f>
        <v>#VALUE!</v>
      </c>
      <c r="D825" s="4" t="e">
        <f ca="1">SplineInterp(A825,INDIRECT("'" &amp;Master!$F$10&amp; "'!$A$2:$A$50"),INDIRECT("'" &amp;Master!$F$10&amp; "'!$D$2:$D$50"))</f>
        <v>#VALUE!</v>
      </c>
      <c r="E825" s="4" t="e">
        <f ca="1">SplineInterp(A825,INDIRECT("'" &amp;Master!$F$10&amp; "'!$A$2:$A$50"),INDIRECT("'" &amp;Master!$F$10&amp; "'!$E$2:$E$50"))</f>
        <v>#VALUE!</v>
      </c>
      <c r="F825" s="4" t="e">
        <f ca="1">SplineInterp(A825,INDIRECT("'" &amp;Master!$F$10&amp; "'!$A$2:$A$50"),INDIRECT("'" &amp;Master!$F$10&amp; "'!$F$2:$F$50"))</f>
        <v>#VALUE!</v>
      </c>
      <c r="G825" s="4" t="e">
        <f ca="1">SplineInterp(A825,INDIRECT("'" &amp;Master!$F$10&amp; "'!$A$2:$A$50"),INDIRECT("'" &amp;Master!$F$10&amp; "'!$G$2:$G$50"))</f>
        <v>#VALUE!</v>
      </c>
      <c r="H825" s="4" t="e">
        <f ca="1">SplineInterp(A825,INDIRECT("'" &amp;Master!$F$10&amp; "'!$A$2:$A$50"),INDIRECT("'" &amp;Master!$F$10&amp; "'!$H$2:$H$50"))</f>
        <v>#VALUE!</v>
      </c>
      <c r="I825" s="4" t="e">
        <f ca="1">IF(OR(INDIRECT("'" &amp; Master!$F$8 &amp; Master!$F$6 &amp; "'!B" &amp; ROW(B825))="", INDIRECT("'" &amp; Master!$F$8 &amp; Master!$F$6 &amp; "'!B" &amp; ROW(B825))=0), "", INDIRECT("'" &amp; Master!$F$8 &amp; Master!$F$6 &amp; "'!B" &amp; ROW(B825)))</f>
        <v>#VALUE!</v>
      </c>
      <c r="J825" s="9" t="e">
        <f t="shared" ca="1" si="84"/>
        <v>#VALUE!</v>
      </c>
      <c r="K825" s="7" t="e">
        <f t="shared" ca="1" si="85"/>
        <v>#VALUE!</v>
      </c>
      <c r="L825" s="7" t="e">
        <f t="shared" ca="1" si="86"/>
        <v>#VALUE!</v>
      </c>
      <c r="M825" s="7" t="e">
        <f t="shared" ca="1" si="87"/>
        <v>#VALUE!</v>
      </c>
      <c r="N825" s="7" t="e">
        <f t="shared" ca="1" si="88"/>
        <v>#VALUE!</v>
      </c>
      <c r="O825" s="7" t="e">
        <f t="shared" ca="1" si="89"/>
        <v>#VALUE!</v>
      </c>
      <c r="P825" s="7" t="e">
        <f t="shared" ca="1" si="90"/>
        <v>#VALUE!</v>
      </c>
    </row>
    <row r="826" spans="1:16" x14ac:dyDescent="0.25">
      <c r="A826" s="19" t="str">
        <f ca="1">IF(OR(INDIRECT("'" &amp; Master!$F$8 &amp; Master!$F$6 &amp; "'!A" &amp; ROW(A826))="", INDIRECT("'" &amp; Master!$F$8 &amp; Master!$F$6 &amp; "'!A" &amp; ROW(A826))=0), "", INDIRECT("'" &amp; Master!$F$8 &amp; Master!$F$6 &amp; "'!A" &amp; ROW(A826)))</f>
        <v/>
      </c>
      <c r="B826" s="4" t="e">
        <f ca="1">SplineInterp(INDIRECT("A" &amp; ROW()),INDIRECT("'" &amp;Master!$F$10&amp; "'!$A$2:$A$50"),INDIRECT("'" &amp;Master!$F$10&amp; "'!$B$2:$B$50"))</f>
        <v>#VALUE!</v>
      </c>
      <c r="C826" s="4" t="e">
        <f ca="1">SplineInterp(A826,INDIRECT("'" &amp;Master!$F$10&amp; "'!$A$2:$A$50"),INDIRECT("'" &amp;Master!$F$10&amp; "'!$C$2:$C$50"))</f>
        <v>#VALUE!</v>
      </c>
      <c r="D826" s="4" t="e">
        <f ca="1">SplineInterp(A826,INDIRECT("'" &amp;Master!$F$10&amp; "'!$A$2:$A$50"),INDIRECT("'" &amp;Master!$F$10&amp; "'!$D$2:$D$50"))</f>
        <v>#VALUE!</v>
      </c>
      <c r="E826" s="4" t="e">
        <f ca="1">SplineInterp(A826,INDIRECT("'" &amp;Master!$F$10&amp; "'!$A$2:$A$50"),INDIRECT("'" &amp;Master!$F$10&amp; "'!$E$2:$E$50"))</f>
        <v>#VALUE!</v>
      </c>
      <c r="F826" s="4" t="e">
        <f ca="1">SplineInterp(A826,INDIRECT("'" &amp;Master!$F$10&amp; "'!$A$2:$A$50"),INDIRECT("'" &amp;Master!$F$10&amp; "'!$F$2:$F$50"))</f>
        <v>#VALUE!</v>
      </c>
      <c r="G826" s="4" t="e">
        <f ca="1">SplineInterp(A826,INDIRECT("'" &amp;Master!$F$10&amp; "'!$A$2:$A$50"),INDIRECT("'" &amp;Master!$F$10&amp; "'!$G$2:$G$50"))</f>
        <v>#VALUE!</v>
      </c>
      <c r="H826" s="4" t="e">
        <f ca="1">SplineInterp(A826,INDIRECT("'" &amp;Master!$F$10&amp; "'!$A$2:$A$50"),INDIRECT("'" &amp;Master!$F$10&amp; "'!$H$2:$H$50"))</f>
        <v>#VALUE!</v>
      </c>
      <c r="I826" s="4" t="e">
        <f ca="1">IF(OR(INDIRECT("'" &amp; Master!$F$8 &amp; Master!$F$6 &amp; "'!B" &amp; ROW(B826))="", INDIRECT("'" &amp; Master!$F$8 &amp; Master!$F$6 &amp; "'!B" &amp; ROW(B826))=0), "", INDIRECT("'" &amp; Master!$F$8 &amp; Master!$F$6 &amp; "'!B" &amp; ROW(B826)))</f>
        <v>#VALUE!</v>
      </c>
      <c r="J826" s="9" t="e">
        <f t="shared" ca="1" si="84"/>
        <v>#VALUE!</v>
      </c>
      <c r="K826" s="7" t="e">
        <f t="shared" ca="1" si="85"/>
        <v>#VALUE!</v>
      </c>
      <c r="L826" s="7" t="e">
        <f t="shared" ca="1" si="86"/>
        <v>#VALUE!</v>
      </c>
      <c r="M826" s="7" t="e">
        <f t="shared" ca="1" si="87"/>
        <v>#VALUE!</v>
      </c>
      <c r="N826" s="7" t="e">
        <f t="shared" ca="1" si="88"/>
        <v>#VALUE!</v>
      </c>
      <c r="O826" s="7" t="e">
        <f t="shared" ca="1" si="89"/>
        <v>#VALUE!</v>
      </c>
      <c r="P826" s="7" t="e">
        <f t="shared" ca="1" si="90"/>
        <v>#VALUE!</v>
      </c>
    </row>
    <row r="827" spans="1:16" x14ac:dyDescent="0.25">
      <c r="A827" s="19" t="str">
        <f ca="1">IF(OR(INDIRECT("'" &amp; Master!$F$8 &amp; Master!$F$6 &amp; "'!A" &amp; ROW(A827))="", INDIRECT("'" &amp; Master!$F$8 &amp; Master!$F$6 &amp; "'!A" &amp; ROW(A827))=0), "", INDIRECT("'" &amp; Master!$F$8 &amp; Master!$F$6 &amp; "'!A" &amp; ROW(A827)))</f>
        <v/>
      </c>
      <c r="B827" s="4" t="e">
        <f ca="1">SplineInterp(INDIRECT("A" &amp; ROW()),INDIRECT("'" &amp;Master!$F$10&amp; "'!$A$2:$A$50"),INDIRECT("'" &amp;Master!$F$10&amp; "'!$B$2:$B$50"))</f>
        <v>#VALUE!</v>
      </c>
      <c r="C827" s="4" t="e">
        <f ca="1">SplineInterp(A827,INDIRECT("'" &amp;Master!$F$10&amp; "'!$A$2:$A$50"),INDIRECT("'" &amp;Master!$F$10&amp; "'!$C$2:$C$50"))</f>
        <v>#VALUE!</v>
      </c>
      <c r="D827" s="4" t="e">
        <f ca="1">SplineInterp(A827,INDIRECT("'" &amp;Master!$F$10&amp; "'!$A$2:$A$50"),INDIRECT("'" &amp;Master!$F$10&amp; "'!$D$2:$D$50"))</f>
        <v>#VALUE!</v>
      </c>
      <c r="E827" s="4" t="e">
        <f ca="1">SplineInterp(A827,INDIRECT("'" &amp;Master!$F$10&amp; "'!$A$2:$A$50"),INDIRECT("'" &amp;Master!$F$10&amp; "'!$E$2:$E$50"))</f>
        <v>#VALUE!</v>
      </c>
      <c r="F827" s="4" t="e">
        <f ca="1">SplineInterp(A827,INDIRECT("'" &amp;Master!$F$10&amp; "'!$A$2:$A$50"),INDIRECT("'" &amp;Master!$F$10&amp; "'!$F$2:$F$50"))</f>
        <v>#VALUE!</v>
      </c>
      <c r="G827" s="4" t="e">
        <f ca="1">SplineInterp(A827,INDIRECT("'" &amp;Master!$F$10&amp; "'!$A$2:$A$50"),INDIRECT("'" &amp;Master!$F$10&amp; "'!$G$2:$G$50"))</f>
        <v>#VALUE!</v>
      </c>
      <c r="H827" s="4" t="e">
        <f ca="1">SplineInterp(A827,INDIRECT("'" &amp;Master!$F$10&amp; "'!$A$2:$A$50"),INDIRECT("'" &amp;Master!$F$10&amp; "'!$H$2:$H$50"))</f>
        <v>#VALUE!</v>
      </c>
      <c r="I827" s="4" t="e">
        <f ca="1">IF(OR(INDIRECT("'" &amp; Master!$F$8 &amp; Master!$F$6 &amp; "'!B" &amp; ROW(B827))="", INDIRECT("'" &amp; Master!$F$8 &amp; Master!$F$6 &amp; "'!B" &amp; ROW(B827))=0), "", INDIRECT("'" &amp; Master!$F$8 &amp; Master!$F$6 &amp; "'!B" &amp; ROW(B827)))</f>
        <v>#VALUE!</v>
      </c>
      <c r="J827" s="9" t="e">
        <f t="shared" ca="1" si="84"/>
        <v>#VALUE!</v>
      </c>
      <c r="K827" s="7" t="e">
        <f t="shared" ca="1" si="85"/>
        <v>#VALUE!</v>
      </c>
      <c r="L827" s="7" t="e">
        <f t="shared" ca="1" si="86"/>
        <v>#VALUE!</v>
      </c>
      <c r="M827" s="7" t="e">
        <f t="shared" ca="1" si="87"/>
        <v>#VALUE!</v>
      </c>
      <c r="N827" s="7" t="e">
        <f t="shared" ca="1" si="88"/>
        <v>#VALUE!</v>
      </c>
      <c r="O827" s="7" t="e">
        <f t="shared" ca="1" si="89"/>
        <v>#VALUE!</v>
      </c>
      <c r="P827" s="7" t="e">
        <f t="shared" ca="1" si="90"/>
        <v>#VALUE!</v>
      </c>
    </row>
    <row r="828" spans="1:16" x14ac:dyDescent="0.25">
      <c r="A828" s="19" t="str">
        <f ca="1">IF(OR(INDIRECT("'" &amp; Master!$F$8 &amp; Master!$F$6 &amp; "'!A" &amp; ROW(A828))="", INDIRECT("'" &amp; Master!$F$8 &amp; Master!$F$6 &amp; "'!A" &amp; ROW(A828))=0), "", INDIRECT("'" &amp; Master!$F$8 &amp; Master!$F$6 &amp; "'!A" &amp; ROW(A828)))</f>
        <v/>
      </c>
      <c r="B828" s="4" t="e">
        <f ca="1">SplineInterp(INDIRECT("A" &amp; ROW()),INDIRECT("'" &amp;Master!$F$10&amp; "'!$A$2:$A$50"),INDIRECT("'" &amp;Master!$F$10&amp; "'!$B$2:$B$50"))</f>
        <v>#VALUE!</v>
      </c>
      <c r="C828" s="4" t="e">
        <f ca="1">SplineInterp(A828,INDIRECT("'" &amp;Master!$F$10&amp; "'!$A$2:$A$50"),INDIRECT("'" &amp;Master!$F$10&amp; "'!$C$2:$C$50"))</f>
        <v>#VALUE!</v>
      </c>
      <c r="D828" s="4" t="e">
        <f ca="1">SplineInterp(A828,INDIRECT("'" &amp;Master!$F$10&amp; "'!$A$2:$A$50"),INDIRECT("'" &amp;Master!$F$10&amp; "'!$D$2:$D$50"))</f>
        <v>#VALUE!</v>
      </c>
      <c r="E828" s="4" t="e">
        <f ca="1">SplineInterp(A828,INDIRECT("'" &amp;Master!$F$10&amp; "'!$A$2:$A$50"),INDIRECT("'" &amp;Master!$F$10&amp; "'!$E$2:$E$50"))</f>
        <v>#VALUE!</v>
      </c>
      <c r="F828" s="4" t="e">
        <f ca="1">SplineInterp(A828,INDIRECT("'" &amp;Master!$F$10&amp; "'!$A$2:$A$50"),INDIRECT("'" &amp;Master!$F$10&amp; "'!$F$2:$F$50"))</f>
        <v>#VALUE!</v>
      </c>
      <c r="G828" s="4" t="e">
        <f ca="1">SplineInterp(A828,INDIRECT("'" &amp;Master!$F$10&amp; "'!$A$2:$A$50"),INDIRECT("'" &amp;Master!$F$10&amp; "'!$G$2:$G$50"))</f>
        <v>#VALUE!</v>
      </c>
      <c r="H828" s="4" t="e">
        <f ca="1">SplineInterp(A828,INDIRECT("'" &amp;Master!$F$10&amp; "'!$A$2:$A$50"),INDIRECT("'" &amp;Master!$F$10&amp; "'!$H$2:$H$50"))</f>
        <v>#VALUE!</v>
      </c>
      <c r="I828" s="4" t="e">
        <f ca="1">IF(OR(INDIRECT("'" &amp; Master!$F$8 &amp; Master!$F$6 &amp; "'!B" &amp; ROW(B828))="", INDIRECT("'" &amp; Master!$F$8 &amp; Master!$F$6 &amp; "'!B" &amp; ROW(B828))=0), "", INDIRECT("'" &amp; Master!$F$8 &amp; Master!$F$6 &amp; "'!B" &amp; ROW(B828)))</f>
        <v>#VALUE!</v>
      </c>
      <c r="J828" s="9" t="e">
        <f t="shared" ca="1" si="84"/>
        <v>#VALUE!</v>
      </c>
      <c r="K828" s="7" t="e">
        <f t="shared" ca="1" si="85"/>
        <v>#VALUE!</v>
      </c>
      <c r="L828" s="7" t="e">
        <f t="shared" ca="1" si="86"/>
        <v>#VALUE!</v>
      </c>
      <c r="M828" s="7" t="e">
        <f t="shared" ca="1" si="87"/>
        <v>#VALUE!</v>
      </c>
      <c r="N828" s="7" t="e">
        <f t="shared" ca="1" si="88"/>
        <v>#VALUE!</v>
      </c>
      <c r="O828" s="7" t="e">
        <f t="shared" ca="1" si="89"/>
        <v>#VALUE!</v>
      </c>
      <c r="P828" s="7" t="e">
        <f t="shared" ca="1" si="90"/>
        <v>#VALUE!</v>
      </c>
    </row>
    <row r="829" spans="1:16" x14ac:dyDescent="0.25">
      <c r="A829" s="19" t="str">
        <f ca="1">IF(OR(INDIRECT("'" &amp; Master!$F$8 &amp; Master!$F$6 &amp; "'!A" &amp; ROW(A829))="", INDIRECT("'" &amp; Master!$F$8 &amp; Master!$F$6 &amp; "'!A" &amp; ROW(A829))=0), "", INDIRECT("'" &amp; Master!$F$8 &amp; Master!$F$6 &amp; "'!A" &amp; ROW(A829)))</f>
        <v/>
      </c>
      <c r="B829" s="4" t="e">
        <f ca="1">SplineInterp(INDIRECT("A" &amp; ROW()),INDIRECT("'" &amp;Master!$F$10&amp; "'!$A$2:$A$50"),INDIRECT("'" &amp;Master!$F$10&amp; "'!$B$2:$B$50"))</f>
        <v>#VALUE!</v>
      </c>
      <c r="C829" s="4" t="e">
        <f ca="1">SplineInterp(A829,INDIRECT("'" &amp;Master!$F$10&amp; "'!$A$2:$A$50"),INDIRECT("'" &amp;Master!$F$10&amp; "'!$C$2:$C$50"))</f>
        <v>#VALUE!</v>
      </c>
      <c r="D829" s="4" t="e">
        <f ca="1">SplineInterp(A829,INDIRECT("'" &amp;Master!$F$10&amp; "'!$A$2:$A$50"),INDIRECT("'" &amp;Master!$F$10&amp; "'!$D$2:$D$50"))</f>
        <v>#VALUE!</v>
      </c>
      <c r="E829" s="4" t="e">
        <f ca="1">SplineInterp(A829,INDIRECT("'" &amp;Master!$F$10&amp; "'!$A$2:$A$50"),INDIRECT("'" &amp;Master!$F$10&amp; "'!$E$2:$E$50"))</f>
        <v>#VALUE!</v>
      </c>
      <c r="F829" s="4" t="e">
        <f ca="1">SplineInterp(A829,INDIRECT("'" &amp;Master!$F$10&amp; "'!$A$2:$A$50"),INDIRECT("'" &amp;Master!$F$10&amp; "'!$F$2:$F$50"))</f>
        <v>#VALUE!</v>
      </c>
      <c r="G829" s="4" t="e">
        <f ca="1">SplineInterp(A829,INDIRECT("'" &amp;Master!$F$10&amp; "'!$A$2:$A$50"),INDIRECT("'" &amp;Master!$F$10&amp; "'!$G$2:$G$50"))</f>
        <v>#VALUE!</v>
      </c>
      <c r="H829" s="4" t="e">
        <f ca="1">SplineInterp(A829,INDIRECT("'" &amp;Master!$F$10&amp; "'!$A$2:$A$50"),INDIRECT("'" &amp;Master!$F$10&amp; "'!$H$2:$H$50"))</f>
        <v>#VALUE!</v>
      </c>
      <c r="I829" s="4" t="e">
        <f ca="1">IF(OR(INDIRECT("'" &amp; Master!$F$8 &amp; Master!$F$6 &amp; "'!B" &amp; ROW(B829))="", INDIRECT("'" &amp; Master!$F$8 &amp; Master!$F$6 &amp; "'!B" &amp; ROW(B829))=0), "", INDIRECT("'" &amp; Master!$F$8 &amp; Master!$F$6 &amp; "'!B" &amp; ROW(B829)))</f>
        <v>#VALUE!</v>
      </c>
      <c r="J829" s="9" t="e">
        <f t="shared" ca="1" si="84"/>
        <v>#VALUE!</v>
      </c>
      <c r="K829" s="7" t="e">
        <f t="shared" ca="1" si="85"/>
        <v>#VALUE!</v>
      </c>
      <c r="L829" s="7" t="e">
        <f t="shared" ca="1" si="86"/>
        <v>#VALUE!</v>
      </c>
      <c r="M829" s="7" t="e">
        <f t="shared" ca="1" si="87"/>
        <v>#VALUE!</v>
      </c>
      <c r="N829" s="7" t="e">
        <f t="shared" ca="1" si="88"/>
        <v>#VALUE!</v>
      </c>
      <c r="O829" s="7" t="e">
        <f t="shared" ca="1" si="89"/>
        <v>#VALUE!</v>
      </c>
      <c r="P829" s="7" t="e">
        <f t="shared" ca="1" si="90"/>
        <v>#VALUE!</v>
      </c>
    </row>
    <row r="830" spans="1:16" x14ac:dyDescent="0.25">
      <c r="A830" s="19" t="str">
        <f ca="1">IF(OR(INDIRECT("'" &amp; Master!$F$8 &amp; Master!$F$6 &amp; "'!A" &amp; ROW(A830))="", INDIRECT("'" &amp; Master!$F$8 &amp; Master!$F$6 &amp; "'!A" &amp; ROW(A830))=0), "", INDIRECT("'" &amp; Master!$F$8 &amp; Master!$F$6 &amp; "'!A" &amp; ROW(A830)))</f>
        <v/>
      </c>
      <c r="B830" s="4" t="e">
        <f ca="1">SplineInterp(INDIRECT("A" &amp; ROW()),INDIRECT("'" &amp;Master!$F$10&amp; "'!$A$2:$A$50"),INDIRECT("'" &amp;Master!$F$10&amp; "'!$B$2:$B$50"))</f>
        <v>#VALUE!</v>
      </c>
      <c r="C830" s="4" t="e">
        <f ca="1">SplineInterp(A830,INDIRECT("'" &amp;Master!$F$10&amp; "'!$A$2:$A$50"),INDIRECT("'" &amp;Master!$F$10&amp; "'!$C$2:$C$50"))</f>
        <v>#VALUE!</v>
      </c>
      <c r="D830" s="4" t="e">
        <f ca="1">SplineInterp(A830,INDIRECT("'" &amp;Master!$F$10&amp; "'!$A$2:$A$50"),INDIRECT("'" &amp;Master!$F$10&amp; "'!$D$2:$D$50"))</f>
        <v>#VALUE!</v>
      </c>
      <c r="E830" s="4" t="e">
        <f ca="1">SplineInterp(A830,INDIRECT("'" &amp;Master!$F$10&amp; "'!$A$2:$A$50"),INDIRECT("'" &amp;Master!$F$10&amp; "'!$E$2:$E$50"))</f>
        <v>#VALUE!</v>
      </c>
      <c r="F830" s="4" t="e">
        <f ca="1">SplineInterp(A830,INDIRECT("'" &amp;Master!$F$10&amp; "'!$A$2:$A$50"),INDIRECT("'" &amp;Master!$F$10&amp; "'!$F$2:$F$50"))</f>
        <v>#VALUE!</v>
      </c>
      <c r="G830" s="4" t="e">
        <f ca="1">SplineInterp(A830,INDIRECT("'" &amp;Master!$F$10&amp; "'!$A$2:$A$50"),INDIRECT("'" &amp;Master!$F$10&amp; "'!$G$2:$G$50"))</f>
        <v>#VALUE!</v>
      </c>
      <c r="H830" s="4" t="e">
        <f ca="1">SplineInterp(A830,INDIRECT("'" &amp;Master!$F$10&amp; "'!$A$2:$A$50"),INDIRECT("'" &amp;Master!$F$10&amp; "'!$H$2:$H$50"))</f>
        <v>#VALUE!</v>
      </c>
      <c r="I830" s="4" t="e">
        <f ca="1">IF(OR(INDIRECT("'" &amp; Master!$F$8 &amp; Master!$F$6 &amp; "'!B" &amp; ROW(B830))="", INDIRECT("'" &amp; Master!$F$8 &amp; Master!$F$6 &amp; "'!B" &amp; ROW(B830))=0), "", INDIRECT("'" &amp; Master!$F$8 &amp; Master!$F$6 &amp; "'!B" &amp; ROW(B830)))</f>
        <v>#VALUE!</v>
      </c>
      <c r="J830" s="9" t="e">
        <f t="shared" ca="1" si="84"/>
        <v>#VALUE!</v>
      </c>
      <c r="K830" s="7" t="e">
        <f t="shared" ca="1" si="85"/>
        <v>#VALUE!</v>
      </c>
      <c r="L830" s="7" t="e">
        <f t="shared" ca="1" si="86"/>
        <v>#VALUE!</v>
      </c>
      <c r="M830" s="7" t="e">
        <f t="shared" ca="1" si="87"/>
        <v>#VALUE!</v>
      </c>
      <c r="N830" s="7" t="e">
        <f t="shared" ca="1" si="88"/>
        <v>#VALUE!</v>
      </c>
      <c r="O830" s="7" t="e">
        <f t="shared" ca="1" si="89"/>
        <v>#VALUE!</v>
      </c>
      <c r="P830" s="7" t="e">
        <f t="shared" ca="1" si="90"/>
        <v>#VALUE!</v>
      </c>
    </row>
    <row r="831" spans="1:16" x14ac:dyDescent="0.25">
      <c r="A831" s="19" t="str">
        <f ca="1">IF(OR(INDIRECT("'" &amp; Master!$F$8 &amp; Master!$F$6 &amp; "'!A" &amp; ROW(A831))="", INDIRECT("'" &amp; Master!$F$8 &amp; Master!$F$6 &amp; "'!A" &amp; ROW(A831))=0), "", INDIRECT("'" &amp; Master!$F$8 &amp; Master!$F$6 &amp; "'!A" &amp; ROW(A831)))</f>
        <v/>
      </c>
      <c r="B831" s="4" t="e">
        <f ca="1">SplineInterp(INDIRECT("A" &amp; ROW()),INDIRECT("'" &amp;Master!$F$10&amp; "'!$A$2:$A$50"),INDIRECT("'" &amp;Master!$F$10&amp; "'!$B$2:$B$50"))</f>
        <v>#VALUE!</v>
      </c>
      <c r="C831" s="4" t="e">
        <f ca="1">SplineInterp(A831,INDIRECT("'" &amp;Master!$F$10&amp; "'!$A$2:$A$50"),INDIRECT("'" &amp;Master!$F$10&amp; "'!$C$2:$C$50"))</f>
        <v>#VALUE!</v>
      </c>
      <c r="D831" s="4" t="e">
        <f ca="1">SplineInterp(A831,INDIRECT("'" &amp;Master!$F$10&amp; "'!$A$2:$A$50"),INDIRECT("'" &amp;Master!$F$10&amp; "'!$D$2:$D$50"))</f>
        <v>#VALUE!</v>
      </c>
      <c r="E831" s="4" t="e">
        <f ca="1">SplineInterp(A831,INDIRECT("'" &amp;Master!$F$10&amp; "'!$A$2:$A$50"),INDIRECT("'" &amp;Master!$F$10&amp; "'!$E$2:$E$50"))</f>
        <v>#VALUE!</v>
      </c>
      <c r="F831" s="4" t="e">
        <f ca="1">SplineInterp(A831,INDIRECT("'" &amp;Master!$F$10&amp; "'!$A$2:$A$50"),INDIRECT("'" &amp;Master!$F$10&amp; "'!$F$2:$F$50"))</f>
        <v>#VALUE!</v>
      </c>
      <c r="G831" s="4" t="e">
        <f ca="1">SplineInterp(A831,INDIRECT("'" &amp;Master!$F$10&amp; "'!$A$2:$A$50"),INDIRECT("'" &amp;Master!$F$10&amp; "'!$G$2:$G$50"))</f>
        <v>#VALUE!</v>
      </c>
      <c r="H831" s="4" t="e">
        <f ca="1">SplineInterp(A831,INDIRECT("'" &amp;Master!$F$10&amp; "'!$A$2:$A$50"),INDIRECT("'" &amp;Master!$F$10&amp; "'!$H$2:$H$50"))</f>
        <v>#VALUE!</v>
      </c>
      <c r="I831" s="4" t="e">
        <f ca="1">IF(OR(INDIRECT("'" &amp; Master!$F$8 &amp; Master!$F$6 &amp; "'!B" &amp; ROW(B831))="", INDIRECT("'" &amp; Master!$F$8 &amp; Master!$F$6 &amp; "'!B" &amp; ROW(B831))=0), "", INDIRECT("'" &amp; Master!$F$8 &amp; Master!$F$6 &amp; "'!B" &amp; ROW(B831)))</f>
        <v>#VALUE!</v>
      </c>
      <c r="J831" s="9" t="e">
        <f t="shared" ca="1" si="84"/>
        <v>#VALUE!</v>
      </c>
      <c r="K831" s="7" t="e">
        <f t="shared" ca="1" si="85"/>
        <v>#VALUE!</v>
      </c>
      <c r="L831" s="7" t="e">
        <f t="shared" ca="1" si="86"/>
        <v>#VALUE!</v>
      </c>
      <c r="M831" s="7" t="e">
        <f t="shared" ca="1" si="87"/>
        <v>#VALUE!</v>
      </c>
      <c r="N831" s="7" t="e">
        <f t="shared" ca="1" si="88"/>
        <v>#VALUE!</v>
      </c>
      <c r="O831" s="7" t="e">
        <f t="shared" ca="1" si="89"/>
        <v>#VALUE!</v>
      </c>
      <c r="P831" s="7" t="e">
        <f t="shared" ca="1" si="90"/>
        <v>#VALUE!</v>
      </c>
    </row>
    <row r="832" spans="1:16" x14ac:dyDescent="0.25">
      <c r="A832" s="19" t="str">
        <f ca="1">IF(OR(INDIRECT("'" &amp; Master!$F$8 &amp; Master!$F$6 &amp; "'!A" &amp; ROW(A832))="", INDIRECT("'" &amp; Master!$F$8 &amp; Master!$F$6 &amp; "'!A" &amp; ROW(A832))=0), "", INDIRECT("'" &amp; Master!$F$8 &amp; Master!$F$6 &amp; "'!A" &amp; ROW(A832)))</f>
        <v/>
      </c>
      <c r="B832" s="4" t="e">
        <f ca="1">SplineInterp(INDIRECT("A" &amp; ROW()),INDIRECT("'" &amp;Master!$F$10&amp; "'!$A$2:$A$50"),INDIRECT("'" &amp;Master!$F$10&amp; "'!$B$2:$B$50"))</f>
        <v>#VALUE!</v>
      </c>
      <c r="C832" s="4" t="e">
        <f ca="1">SplineInterp(A832,INDIRECT("'" &amp;Master!$F$10&amp; "'!$A$2:$A$50"),INDIRECT("'" &amp;Master!$F$10&amp; "'!$C$2:$C$50"))</f>
        <v>#VALUE!</v>
      </c>
      <c r="D832" s="4" t="e">
        <f ca="1">SplineInterp(A832,INDIRECT("'" &amp;Master!$F$10&amp; "'!$A$2:$A$50"),INDIRECT("'" &amp;Master!$F$10&amp; "'!$D$2:$D$50"))</f>
        <v>#VALUE!</v>
      </c>
      <c r="E832" s="4" t="e">
        <f ca="1">SplineInterp(A832,INDIRECT("'" &amp;Master!$F$10&amp; "'!$A$2:$A$50"),INDIRECT("'" &amp;Master!$F$10&amp; "'!$E$2:$E$50"))</f>
        <v>#VALUE!</v>
      </c>
      <c r="F832" s="4" t="e">
        <f ca="1">SplineInterp(A832,INDIRECT("'" &amp;Master!$F$10&amp; "'!$A$2:$A$50"),INDIRECT("'" &amp;Master!$F$10&amp; "'!$F$2:$F$50"))</f>
        <v>#VALUE!</v>
      </c>
      <c r="G832" s="4" t="e">
        <f ca="1">SplineInterp(A832,INDIRECT("'" &amp;Master!$F$10&amp; "'!$A$2:$A$50"),INDIRECT("'" &amp;Master!$F$10&amp; "'!$G$2:$G$50"))</f>
        <v>#VALUE!</v>
      </c>
      <c r="H832" s="4" t="e">
        <f ca="1">SplineInterp(A832,INDIRECT("'" &amp;Master!$F$10&amp; "'!$A$2:$A$50"),INDIRECT("'" &amp;Master!$F$10&amp; "'!$H$2:$H$50"))</f>
        <v>#VALUE!</v>
      </c>
      <c r="I832" s="4" t="e">
        <f ca="1">IF(OR(INDIRECT("'" &amp; Master!$F$8 &amp; Master!$F$6 &amp; "'!B" &amp; ROW(B832))="", INDIRECT("'" &amp; Master!$F$8 &amp; Master!$F$6 &amp; "'!B" &amp; ROW(B832))=0), "", INDIRECT("'" &amp; Master!$F$8 &amp; Master!$F$6 &amp; "'!B" &amp; ROW(B832)))</f>
        <v>#VALUE!</v>
      </c>
      <c r="J832" s="9" t="e">
        <f t="shared" ca="1" si="84"/>
        <v>#VALUE!</v>
      </c>
      <c r="K832" s="7" t="e">
        <f t="shared" ca="1" si="85"/>
        <v>#VALUE!</v>
      </c>
      <c r="L832" s="7" t="e">
        <f t="shared" ca="1" si="86"/>
        <v>#VALUE!</v>
      </c>
      <c r="M832" s="7" t="e">
        <f t="shared" ca="1" si="87"/>
        <v>#VALUE!</v>
      </c>
      <c r="N832" s="7" t="e">
        <f t="shared" ca="1" si="88"/>
        <v>#VALUE!</v>
      </c>
      <c r="O832" s="7" t="e">
        <f t="shared" ca="1" si="89"/>
        <v>#VALUE!</v>
      </c>
      <c r="P832" s="7" t="e">
        <f t="shared" ca="1" si="90"/>
        <v>#VALUE!</v>
      </c>
    </row>
    <row r="833" spans="1:16" x14ac:dyDescent="0.25">
      <c r="A833" s="19" t="str">
        <f ca="1">IF(OR(INDIRECT("'" &amp; Master!$F$8 &amp; Master!$F$6 &amp; "'!A" &amp; ROW(A833))="", INDIRECT("'" &amp; Master!$F$8 &amp; Master!$F$6 &amp; "'!A" &amp; ROW(A833))=0), "", INDIRECT("'" &amp; Master!$F$8 &amp; Master!$F$6 &amp; "'!A" &amp; ROW(A833)))</f>
        <v/>
      </c>
      <c r="B833" s="4" t="e">
        <f ca="1">SplineInterp(INDIRECT("A" &amp; ROW()),INDIRECT("'" &amp;Master!$F$10&amp; "'!$A$2:$A$50"),INDIRECT("'" &amp;Master!$F$10&amp; "'!$B$2:$B$50"))</f>
        <v>#VALUE!</v>
      </c>
      <c r="C833" s="4" t="e">
        <f ca="1">SplineInterp(A833,INDIRECT("'" &amp;Master!$F$10&amp; "'!$A$2:$A$50"),INDIRECT("'" &amp;Master!$F$10&amp; "'!$C$2:$C$50"))</f>
        <v>#VALUE!</v>
      </c>
      <c r="D833" s="4" t="e">
        <f ca="1">SplineInterp(A833,INDIRECT("'" &amp;Master!$F$10&amp; "'!$A$2:$A$50"),INDIRECT("'" &amp;Master!$F$10&amp; "'!$D$2:$D$50"))</f>
        <v>#VALUE!</v>
      </c>
      <c r="E833" s="4" t="e">
        <f ca="1">SplineInterp(A833,INDIRECT("'" &amp;Master!$F$10&amp; "'!$A$2:$A$50"),INDIRECT("'" &amp;Master!$F$10&amp; "'!$E$2:$E$50"))</f>
        <v>#VALUE!</v>
      </c>
      <c r="F833" s="4" t="e">
        <f ca="1">SplineInterp(A833,INDIRECT("'" &amp;Master!$F$10&amp; "'!$A$2:$A$50"),INDIRECT("'" &amp;Master!$F$10&amp; "'!$F$2:$F$50"))</f>
        <v>#VALUE!</v>
      </c>
      <c r="G833" s="4" t="e">
        <f ca="1">SplineInterp(A833,INDIRECT("'" &amp;Master!$F$10&amp; "'!$A$2:$A$50"),INDIRECT("'" &amp;Master!$F$10&amp; "'!$G$2:$G$50"))</f>
        <v>#VALUE!</v>
      </c>
      <c r="H833" s="4" t="e">
        <f ca="1">SplineInterp(A833,INDIRECT("'" &amp;Master!$F$10&amp; "'!$A$2:$A$50"),INDIRECT("'" &amp;Master!$F$10&amp; "'!$H$2:$H$50"))</f>
        <v>#VALUE!</v>
      </c>
      <c r="I833" s="4" t="e">
        <f ca="1">IF(OR(INDIRECT("'" &amp; Master!$F$8 &amp; Master!$F$6 &amp; "'!B" &amp; ROW(B833))="", INDIRECT("'" &amp; Master!$F$8 &amp; Master!$F$6 &amp; "'!B" &amp; ROW(B833))=0), "", INDIRECT("'" &amp; Master!$F$8 &amp; Master!$F$6 &amp; "'!B" &amp; ROW(B833)))</f>
        <v>#VALUE!</v>
      </c>
      <c r="J833" s="9" t="e">
        <f t="shared" ca="1" si="84"/>
        <v>#VALUE!</v>
      </c>
      <c r="K833" s="7" t="e">
        <f t="shared" ca="1" si="85"/>
        <v>#VALUE!</v>
      </c>
      <c r="L833" s="7" t="e">
        <f t="shared" ca="1" si="86"/>
        <v>#VALUE!</v>
      </c>
      <c r="M833" s="7" t="e">
        <f t="shared" ca="1" si="87"/>
        <v>#VALUE!</v>
      </c>
      <c r="N833" s="7" t="e">
        <f t="shared" ca="1" si="88"/>
        <v>#VALUE!</v>
      </c>
      <c r="O833" s="7" t="e">
        <f t="shared" ca="1" si="89"/>
        <v>#VALUE!</v>
      </c>
      <c r="P833" s="7" t="e">
        <f t="shared" ca="1" si="90"/>
        <v>#VALUE!</v>
      </c>
    </row>
    <row r="834" spans="1:16" x14ac:dyDescent="0.25">
      <c r="A834" s="19" t="str">
        <f ca="1">IF(OR(INDIRECT("'" &amp; Master!$F$8 &amp; Master!$F$6 &amp; "'!A" &amp; ROW(A834))="", INDIRECT("'" &amp; Master!$F$8 &amp; Master!$F$6 &amp; "'!A" &amp; ROW(A834))=0), "", INDIRECT("'" &amp; Master!$F$8 &amp; Master!$F$6 &amp; "'!A" &amp; ROW(A834)))</f>
        <v/>
      </c>
      <c r="B834" s="4" t="e">
        <f ca="1">SplineInterp(INDIRECT("A" &amp; ROW()),INDIRECT("'" &amp;Master!$F$10&amp; "'!$A$2:$A$50"),INDIRECT("'" &amp;Master!$F$10&amp; "'!$B$2:$B$50"))</f>
        <v>#VALUE!</v>
      </c>
      <c r="C834" s="4" t="e">
        <f ca="1">SplineInterp(A834,INDIRECT("'" &amp;Master!$F$10&amp; "'!$A$2:$A$50"),INDIRECT("'" &amp;Master!$F$10&amp; "'!$C$2:$C$50"))</f>
        <v>#VALUE!</v>
      </c>
      <c r="D834" s="4" t="e">
        <f ca="1">SplineInterp(A834,INDIRECT("'" &amp;Master!$F$10&amp; "'!$A$2:$A$50"),INDIRECT("'" &amp;Master!$F$10&amp; "'!$D$2:$D$50"))</f>
        <v>#VALUE!</v>
      </c>
      <c r="E834" s="4" t="e">
        <f ca="1">SplineInterp(A834,INDIRECT("'" &amp;Master!$F$10&amp; "'!$A$2:$A$50"),INDIRECT("'" &amp;Master!$F$10&amp; "'!$E$2:$E$50"))</f>
        <v>#VALUE!</v>
      </c>
      <c r="F834" s="4" t="e">
        <f ca="1">SplineInterp(A834,INDIRECT("'" &amp;Master!$F$10&amp; "'!$A$2:$A$50"),INDIRECT("'" &amp;Master!$F$10&amp; "'!$F$2:$F$50"))</f>
        <v>#VALUE!</v>
      </c>
      <c r="G834" s="4" t="e">
        <f ca="1">SplineInterp(A834,INDIRECT("'" &amp;Master!$F$10&amp; "'!$A$2:$A$50"),INDIRECT("'" &amp;Master!$F$10&amp; "'!$G$2:$G$50"))</f>
        <v>#VALUE!</v>
      </c>
      <c r="H834" s="4" t="e">
        <f ca="1">SplineInterp(A834,INDIRECT("'" &amp;Master!$F$10&amp; "'!$A$2:$A$50"),INDIRECT("'" &amp;Master!$F$10&amp; "'!$H$2:$H$50"))</f>
        <v>#VALUE!</v>
      </c>
      <c r="I834" s="4" t="e">
        <f ca="1">IF(OR(INDIRECT("'" &amp; Master!$F$8 &amp; Master!$F$6 &amp; "'!B" &amp; ROW(B834))="", INDIRECT("'" &amp; Master!$F$8 &amp; Master!$F$6 &amp; "'!B" &amp; ROW(B834))=0), "", INDIRECT("'" &amp; Master!$F$8 &amp; Master!$F$6 &amp; "'!B" &amp; ROW(B834)))</f>
        <v>#VALUE!</v>
      </c>
      <c r="J834" s="9" t="e">
        <f t="shared" ca="1" si="84"/>
        <v>#VALUE!</v>
      </c>
      <c r="K834" s="7" t="e">
        <f t="shared" ca="1" si="85"/>
        <v>#VALUE!</v>
      </c>
      <c r="L834" s="7" t="e">
        <f t="shared" ca="1" si="86"/>
        <v>#VALUE!</v>
      </c>
      <c r="M834" s="7" t="e">
        <f t="shared" ca="1" si="87"/>
        <v>#VALUE!</v>
      </c>
      <c r="N834" s="7" t="e">
        <f t="shared" ca="1" si="88"/>
        <v>#VALUE!</v>
      </c>
      <c r="O834" s="7" t="e">
        <f t="shared" ca="1" si="89"/>
        <v>#VALUE!</v>
      </c>
      <c r="P834" s="7" t="e">
        <f t="shared" ca="1" si="90"/>
        <v>#VALUE!</v>
      </c>
    </row>
    <row r="835" spans="1:16" x14ac:dyDescent="0.25">
      <c r="A835" s="19" t="str">
        <f ca="1">IF(OR(INDIRECT("'" &amp; Master!$F$8 &amp; Master!$F$6 &amp; "'!A" &amp; ROW(A835))="", INDIRECT("'" &amp; Master!$F$8 &amp; Master!$F$6 &amp; "'!A" &amp; ROW(A835))=0), "", INDIRECT("'" &amp; Master!$F$8 &amp; Master!$F$6 &amp; "'!A" &amp; ROW(A835)))</f>
        <v/>
      </c>
      <c r="B835" s="4" t="e">
        <f ca="1">SplineInterp(INDIRECT("A" &amp; ROW()),INDIRECT("'" &amp;Master!$F$10&amp; "'!$A$2:$A$50"),INDIRECT("'" &amp;Master!$F$10&amp; "'!$B$2:$B$50"))</f>
        <v>#VALUE!</v>
      </c>
      <c r="C835" s="4" t="e">
        <f ca="1">SplineInterp(A835,INDIRECT("'" &amp;Master!$F$10&amp; "'!$A$2:$A$50"),INDIRECT("'" &amp;Master!$F$10&amp; "'!$C$2:$C$50"))</f>
        <v>#VALUE!</v>
      </c>
      <c r="D835" s="4" t="e">
        <f ca="1">SplineInterp(A835,INDIRECT("'" &amp;Master!$F$10&amp; "'!$A$2:$A$50"),INDIRECT("'" &amp;Master!$F$10&amp; "'!$D$2:$D$50"))</f>
        <v>#VALUE!</v>
      </c>
      <c r="E835" s="4" t="e">
        <f ca="1">SplineInterp(A835,INDIRECT("'" &amp;Master!$F$10&amp; "'!$A$2:$A$50"),INDIRECT("'" &amp;Master!$F$10&amp; "'!$E$2:$E$50"))</f>
        <v>#VALUE!</v>
      </c>
      <c r="F835" s="4" t="e">
        <f ca="1">SplineInterp(A835,INDIRECT("'" &amp;Master!$F$10&amp; "'!$A$2:$A$50"),INDIRECT("'" &amp;Master!$F$10&amp; "'!$F$2:$F$50"))</f>
        <v>#VALUE!</v>
      </c>
      <c r="G835" s="4" t="e">
        <f ca="1">SplineInterp(A835,INDIRECT("'" &amp;Master!$F$10&amp; "'!$A$2:$A$50"),INDIRECT("'" &amp;Master!$F$10&amp; "'!$G$2:$G$50"))</f>
        <v>#VALUE!</v>
      </c>
      <c r="H835" s="4" t="e">
        <f ca="1">SplineInterp(A835,INDIRECT("'" &amp;Master!$F$10&amp; "'!$A$2:$A$50"),INDIRECT("'" &amp;Master!$F$10&amp; "'!$H$2:$H$50"))</f>
        <v>#VALUE!</v>
      </c>
      <c r="I835" s="4" t="e">
        <f ca="1">IF(OR(INDIRECT("'" &amp; Master!$F$8 &amp; Master!$F$6 &amp; "'!B" &amp; ROW(B835))="", INDIRECT("'" &amp; Master!$F$8 &amp; Master!$F$6 &amp; "'!B" &amp; ROW(B835))=0), "", INDIRECT("'" &amp; Master!$F$8 &amp; Master!$F$6 &amp; "'!B" &amp; ROW(B835)))</f>
        <v>#VALUE!</v>
      </c>
      <c r="J835" s="9" t="e">
        <f t="shared" ref="J835:J898" ca="1" si="91">B835*I835</f>
        <v>#VALUE!</v>
      </c>
      <c r="K835" s="7" t="e">
        <f t="shared" ref="K835:K898" ca="1" si="92">C835*I835</f>
        <v>#VALUE!</v>
      </c>
      <c r="L835" s="7" t="e">
        <f t="shared" ref="L835:L898" ca="1" si="93">D835*I835</f>
        <v>#VALUE!</v>
      </c>
      <c r="M835" s="7" t="e">
        <f t="shared" ref="M835:M898" ca="1" si="94">E835*I835</f>
        <v>#VALUE!</v>
      </c>
      <c r="N835" s="7" t="e">
        <f t="shared" ref="N835:N898" ca="1" si="95">F835*I835</f>
        <v>#VALUE!</v>
      </c>
      <c r="O835" s="7" t="e">
        <f t="shared" ref="O835:O898" ca="1" si="96">G835*I835</f>
        <v>#VALUE!</v>
      </c>
      <c r="P835" s="7" t="e">
        <f t="shared" ref="P835:P898" ca="1" si="97">H835*I835</f>
        <v>#VALUE!</v>
      </c>
    </row>
    <row r="836" spans="1:16" x14ac:dyDescent="0.25">
      <c r="A836" s="19" t="str">
        <f ca="1">IF(OR(INDIRECT("'" &amp; Master!$F$8 &amp; Master!$F$6 &amp; "'!A" &amp; ROW(A836))="", INDIRECT("'" &amp; Master!$F$8 &amp; Master!$F$6 &amp; "'!A" &amp; ROW(A836))=0), "", INDIRECT("'" &amp; Master!$F$8 &amp; Master!$F$6 &amp; "'!A" &amp; ROW(A836)))</f>
        <v/>
      </c>
      <c r="B836" s="4" t="e">
        <f ca="1">SplineInterp(INDIRECT("A" &amp; ROW()),INDIRECT("'" &amp;Master!$F$10&amp; "'!$A$2:$A$50"),INDIRECT("'" &amp;Master!$F$10&amp; "'!$B$2:$B$50"))</f>
        <v>#VALUE!</v>
      </c>
      <c r="C836" s="4" t="e">
        <f ca="1">SplineInterp(A836,INDIRECT("'" &amp;Master!$F$10&amp; "'!$A$2:$A$50"),INDIRECT("'" &amp;Master!$F$10&amp; "'!$C$2:$C$50"))</f>
        <v>#VALUE!</v>
      </c>
      <c r="D836" s="4" t="e">
        <f ca="1">SplineInterp(A836,INDIRECT("'" &amp;Master!$F$10&amp; "'!$A$2:$A$50"),INDIRECT("'" &amp;Master!$F$10&amp; "'!$D$2:$D$50"))</f>
        <v>#VALUE!</v>
      </c>
      <c r="E836" s="4" t="e">
        <f ca="1">SplineInterp(A836,INDIRECT("'" &amp;Master!$F$10&amp; "'!$A$2:$A$50"),INDIRECT("'" &amp;Master!$F$10&amp; "'!$E$2:$E$50"))</f>
        <v>#VALUE!</v>
      </c>
      <c r="F836" s="4" t="e">
        <f ca="1">SplineInterp(A836,INDIRECT("'" &amp;Master!$F$10&amp; "'!$A$2:$A$50"),INDIRECT("'" &amp;Master!$F$10&amp; "'!$F$2:$F$50"))</f>
        <v>#VALUE!</v>
      </c>
      <c r="G836" s="4" t="e">
        <f ca="1">SplineInterp(A836,INDIRECT("'" &amp;Master!$F$10&amp; "'!$A$2:$A$50"),INDIRECT("'" &amp;Master!$F$10&amp; "'!$G$2:$G$50"))</f>
        <v>#VALUE!</v>
      </c>
      <c r="H836" s="4" t="e">
        <f ca="1">SplineInterp(A836,INDIRECT("'" &amp;Master!$F$10&amp; "'!$A$2:$A$50"),INDIRECT("'" &amp;Master!$F$10&amp; "'!$H$2:$H$50"))</f>
        <v>#VALUE!</v>
      </c>
      <c r="I836" s="4" t="e">
        <f ca="1">IF(OR(INDIRECT("'" &amp; Master!$F$8 &amp; Master!$F$6 &amp; "'!B" &amp; ROW(B836))="", INDIRECT("'" &amp; Master!$F$8 &amp; Master!$F$6 &amp; "'!B" &amp; ROW(B836))=0), "", INDIRECT("'" &amp; Master!$F$8 &amp; Master!$F$6 &amp; "'!B" &amp; ROW(B836)))</f>
        <v>#VALUE!</v>
      </c>
      <c r="J836" s="9" t="e">
        <f t="shared" ca="1" si="91"/>
        <v>#VALUE!</v>
      </c>
      <c r="K836" s="7" t="e">
        <f t="shared" ca="1" si="92"/>
        <v>#VALUE!</v>
      </c>
      <c r="L836" s="7" t="e">
        <f t="shared" ca="1" si="93"/>
        <v>#VALUE!</v>
      </c>
      <c r="M836" s="7" t="e">
        <f t="shared" ca="1" si="94"/>
        <v>#VALUE!</v>
      </c>
      <c r="N836" s="7" t="e">
        <f t="shared" ca="1" si="95"/>
        <v>#VALUE!</v>
      </c>
      <c r="O836" s="7" t="e">
        <f t="shared" ca="1" si="96"/>
        <v>#VALUE!</v>
      </c>
      <c r="P836" s="7" t="e">
        <f t="shared" ca="1" si="97"/>
        <v>#VALUE!</v>
      </c>
    </row>
    <row r="837" spans="1:16" x14ac:dyDescent="0.25">
      <c r="A837" s="19" t="str">
        <f ca="1">IF(OR(INDIRECT("'" &amp; Master!$F$8 &amp; Master!$F$6 &amp; "'!A" &amp; ROW(A837))="", INDIRECT("'" &amp; Master!$F$8 &amp; Master!$F$6 &amp; "'!A" &amp; ROW(A837))=0), "", INDIRECT("'" &amp; Master!$F$8 &amp; Master!$F$6 &amp; "'!A" &amp; ROW(A837)))</f>
        <v/>
      </c>
      <c r="B837" s="4" t="e">
        <f ca="1">SplineInterp(INDIRECT("A" &amp; ROW()),INDIRECT("'" &amp;Master!$F$10&amp; "'!$A$2:$A$50"),INDIRECT("'" &amp;Master!$F$10&amp; "'!$B$2:$B$50"))</f>
        <v>#VALUE!</v>
      </c>
      <c r="C837" s="4" t="e">
        <f ca="1">SplineInterp(A837,INDIRECT("'" &amp;Master!$F$10&amp; "'!$A$2:$A$50"),INDIRECT("'" &amp;Master!$F$10&amp; "'!$C$2:$C$50"))</f>
        <v>#VALUE!</v>
      </c>
      <c r="D837" s="4" t="e">
        <f ca="1">SplineInterp(A837,INDIRECT("'" &amp;Master!$F$10&amp; "'!$A$2:$A$50"),INDIRECT("'" &amp;Master!$F$10&amp; "'!$D$2:$D$50"))</f>
        <v>#VALUE!</v>
      </c>
      <c r="E837" s="4" t="e">
        <f ca="1">SplineInterp(A837,INDIRECT("'" &amp;Master!$F$10&amp; "'!$A$2:$A$50"),INDIRECT("'" &amp;Master!$F$10&amp; "'!$E$2:$E$50"))</f>
        <v>#VALUE!</v>
      </c>
      <c r="F837" s="4" t="e">
        <f ca="1">SplineInterp(A837,INDIRECT("'" &amp;Master!$F$10&amp; "'!$A$2:$A$50"),INDIRECT("'" &amp;Master!$F$10&amp; "'!$F$2:$F$50"))</f>
        <v>#VALUE!</v>
      </c>
      <c r="G837" s="4" t="e">
        <f ca="1">SplineInterp(A837,INDIRECT("'" &amp;Master!$F$10&amp; "'!$A$2:$A$50"),INDIRECT("'" &amp;Master!$F$10&amp; "'!$G$2:$G$50"))</f>
        <v>#VALUE!</v>
      </c>
      <c r="H837" s="4" t="e">
        <f ca="1">SplineInterp(A837,INDIRECT("'" &amp;Master!$F$10&amp; "'!$A$2:$A$50"),INDIRECT("'" &amp;Master!$F$10&amp; "'!$H$2:$H$50"))</f>
        <v>#VALUE!</v>
      </c>
      <c r="I837" s="4" t="e">
        <f ca="1">IF(OR(INDIRECT("'" &amp; Master!$F$8 &amp; Master!$F$6 &amp; "'!B" &amp; ROW(B837))="", INDIRECT("'" &amp; Master!$F$8 &amp; Master!$F$6 &amp; "'!B" &amp; ROW(B837))=0), "", INDIRECT("'" &amp; Master!$F$8 &amp; Master!$F$6 &amp; "'!B" &amp; ROW(B837)))</f>
        <v>#VALUE!</v>
      </c>
      <c r="J837" s="9" t="e">
        <f t="shared" ca="1" si="91"/>
        <v>#VALUE!</v>
      </c>
      <c r="K837" s="7" t="e">
        <f t="shared" ca="1" si="92"/>
        <v>#VALUE!</v>
      </c>
      <c r="L837" s="7" t="e">
        <f t="shared" ca="1" si="93"/>
        <v>#VALUE!</v>
      </c>
      <c r="M837" s="7" t="e">
        <f t="shared" ca="1" si="94"/>
        <v>#VALUE!</v>
      </c>
      <c r="N837" s="7" t="e">
        <f t="shared" ca="1" si="95"/>
        <v>#VALUE!</v>
      </c>
      <c r="O837" s="7" t="e">
        <f t="shared" ca="1" si="96"/>
        <v>#VALUE!</v>
      </c>
      <c r="P837" s="7" t="e">
        <f t="shared" ca="1" si="97"/>
        <v>#VALUE!</v>
      </c>
    </row>
    <row r="838" spans="1:16" x14ac:dyDescent="0.25">
      <c r="A838" s="19" t="str">
        <f ca="1">IF(OR(INDIRECT("'" &amp; Master!$F$8 &amp; Master!$F$6 &amp; "'!A" &amp; ROW(A838))="", INDIRECT("'" &amp; Master!$F$8 &amp; Master!$F$6 &amp; "'!A" &amp; ROW(A838))=0), "", INDIRECT("'" &amp; Master!$F$8 &amp; Master!$F$6 &amp; "'!A" &amp; ROW(A838)))</f>
        <v/>
      </c>
      <c r="B838" s="4" t="e">
        <f ca="1">SplineInterp(INDIRECT("A" &amp; ROW()),INDIRECT("'" &amp;Master!$F$10&amp; "'!$A$2:$A$50"),INDIRECT("'" &amp;Master!$F$10&amp; "'!$B$2:$B$50"))</f>
        <v>#VALUE!</v>
      </c>
      <c r="C838" s="4" t="e">
        <f ca="1">SplineInterp(A838,INDIRECT("'" &amp;Master!$F$10&amp; "'!$A$2:$A$50"),INDIRECT("'" &amp;Master!$F$10&amp; "'!$C$2:$C$50"))</f>
        <v>#VALUE!</v>
      </c>
      <c r="D838" s="4" t="e">
        <f ca="1">SplineInterp(A838,INDIRECT("'" &amp;Master!$F$10&amp; "'!$A$2:$A$50"),INDIRECT("'" &amp;Master!$F$10&amp; "'!$D$2:$D$50"))</f>
        <v>#VALUE!</v>
      </c>
      <c r="E838" s="4" t="e">
        <f ca="1">SplineInterp(A838,INDIRECT("'" &amp;Master!$F$10&amp; "'!$A$2:$A$50"),INDIRECT("'" &amp;Master!$F$10&amp; "'!$E$2:$E$50"))</f>
        <v>#VALUE!</v>
      </c>
      <c r="F838" s="4" t="e">
        <f ca="1">SplineInterp(A838,INDIRECT("'" &amp;Master!$F$10&amp; "'!$A$2:$A$50"),INDIRECT("'" &amp;Master!$F$10&amp; "'!$F$2:$F$50"))</f>
        <v>#VALUE!</v>
      </c>
      <c r="G838" s="4" t="e">
        <f ca="1">SplineInterp(A838,INDIRECT("'" &amp;Master!$F$10&amp; "'!$A$2:$A$50"),INDIRECT("'" &amp;Master!$F$10&amp; "'!$G$2:$G$50"))</f>
        <v>#VALUE!</v>
      </c>
      <c r="H838" s="4" t="e">
        <f ca="1">SplineInterp(A838,INDIRECT("'" &amp;Master!$F$10&amp; "'!$A$2:$A$50"),INDIRECT("'" &amp;Master!$F$10&amp; "'!$H$2:$H$50"))</f>
        <v>#VALUE!</v>
      </c>
      <c r="I838" s="4" t="e">
        <f ca="1">IF(OR(INDIRECT("'" &amp; Master!$F$8 &amp; Master!$F$6 &amp; "'!B" &amp; ROW(B838))="", INDIRECT("'" &amp; Master!$F$8 &amp; Master!$F$6 &amp; "'!B" &amp; ROW(B838))=0), "", INDIRECT("'" &amp; Master!$F$8 &amp; Master!$F$6 &amp; "'!B" &amp; ROW(B838)))</f>
        <v>#VALUE!</v>
      </c>
      <c r="J838" s="9" t="e">
        <f t="shared" ca="1" si="91"/>
        <v>#VALUE!</v>
      </c>
      <c r="K838" s="7" t="e">
        <f t="shared" ca="1" si="92"/>
        <v>#VALUE!</v>
      </c>
      <c r="L838" s="7" t="e">
        <f t="shared" ca="1" si="93"/>
        <v>#VALUE!</v>
      </c>
      <c r="M838" s="7" t="e">
        <f t="shared" ca="1" si="94"/>
        <v>#VALUE!</v>
      </c>
      <c r="N838" s="7" t="e">
        <f t="shared" ca="1" si="95"/>
        <v>#VALUE!</v>
      </c>
      <c r="O838" s="7" t="e">
        <f t="shared" ca="1" si="96"/>
        <v>#VALUE!</v>
      </c>
      <c r="P838" s="7" t="e">
        <f t="shared" ca="1" si="97"/>
        <v>#VALUE!</v>
      </c>
    </row>
    <row r="839" spans="1:16" x14ac:dyDescent="0.25">
      <c r="A839" s="19" t="str">
        <f ca="1">IF(OR(INDIRECT("'" &amp; Master!$F$8 &amp; Master!$F$6 &amp; "'!A" &amp; ROW(A839))="", INDIRECT("'" &amp; Master!$F$8 &amp; Master!$F$6 &amp; "'!A" &amp; ROW(A839))=0), "", INDIRECT("'" &amp; Master!$F$8 &amp; Master!$F$6 &amp; "'!A" &amp; ROW(A839)))</f>
        <v/>
      </c>
      <c r="B839" s="4" t="e">
        <f ca="1">SplineInterp(INDIRECT("A" &amp; ROW()),INDIRECT("'" &amp;Master!$F$10&amp; "'!$A$2:$A$50"),INDIRECT("'" &amp;Master!$F$10&amp; "'!$B$2:$B$50"))</f>
        <v>#VALUE!</v>
      </c>
      <c r="C839" s="4" t="e">
        <f ca="1">SplineInterp(A839,INDIRECT("'" &amp;Master!$F$10&amp; "'!$A$2:$A$50"),INDIRECT("'" &amp;Master!$F$10&amp; "'!$C$2:$C$50"))</f>
        <v>#VALUE!</v>
      </c>
      <c r="D839" s="4" t="e">
        <f ca="1">SplineInterp(A839,INDIRECT("'" &amp;Master!$F$10&amp; "'!$A$2:$A$50"),INDIRECT("'" &amp;Master!$F$10&amp; "'!$D$2:$D$50"))</f>
        <v>#VALUE!</v>
      </c>
      <c r="E839" s="4" t="e">
        <f ca="1">SplineInterp(A839,INDIRECT("'" &amp;Master!$F$10&amp; "'!$A$2:$A$50"),INDIRECT("'" &amp;Master!$F$10&amp; "'!$E$2:$E$50"))</f>
        <v>#VALUE!</v>
      </c>
      <c r="F839" s="4" t="e">
        <f ca="1">SplineInterp(A839,INDIRECT("'" &amp;Master!$F$10&amp; "'!$A$2:$A$50"),INDIRECT("'" &amp;Master!$F$10&amp; "'!$F$2:$F$50"))</f>
        <v>#VALUE!</v>
      </c>
      <c r="G839" s="4" t="e">
        <f ca="1">SplineInterp(A839,INDIRECT("'" &amp;Master!$F$10&amp; "'!$A$2:$A$50"),INDIRECT("'" &amp;Master!$F$10&amp; "'!$G$2:$G$50"))</f>
        <v>#VALUE!</v>
      </c>
      <c r="H839" s="4" t="e">
        <f ca="1">SplineInterp(A839,INDIRECT("'" &amp;Master!$F$10&amp; "'!$A$2:$A$50"),INDIRECT("'" &amp;Master!$F$10&amp; "'!$H$2:$H$50"))</f>
        <v>#VALUE!</v>
      </c>
      <c r="I839" s="4" t="e">
        <f ca="1">IF(OR(INDIRECT("'" &amp; Master!$F$8 &amp; Master!$F$6 &amp; "'!B" &amp; ROW(B839))="", INDIRECT("'" &amp; Master!$F$8 &amp; Master!$F$6 &amp; "'!B" &amp; ROW(B839))=0), "", INDIRECT("'" &amp; Master!$F$8 &amp; Master!$F$6 &amp; "'!B" &amp; ROW(B839)))</f>
        <v>#VALUE!</v>
      </c>
      <c r="J839" s="9" t="e">
        <f t="shared" ca="1" si="91"/>
        <v>#VALUE!</v>
      </c>
      <c r="K839" s="7" t="e">
        <f t="shared" ca="1" si="92"/>
        <v>#VALUE!</v>
      </c>
      <c r="L839" s="7" t="e">
        <f t="shared" ca="1" si="93"/>
        <v>#VALUE!</v>
      </c>
      <c r="M839" s="7" t="e">
        <f t="shared" ca="1" si="94"/>
        <v>#VALUE!</v>
      </c>
      <c r="N839" s="7" t="e">
        <f t="shared" ca="1" si="95"/>
        <v>#VALUE!</v>
      </c>
      <c r="O839" s="7" t="e">
        <f t="shared" ca="1" si="96"/>
        <v>#VALUE!</v>
      </c>
      <c r="P839" s="7" t="e">
        <f t="shared" ca="1" si="97"/>
        <v>#VALUE!</v>
      </c>
    </row>
    <row r="840" spans="1:16" x14ac:dyDescent="0.25">
      <c r="A840" s="19" t="str">
        <f ca="1">IF(OR(INDIRECT("'" &amp; Master!$F$8 &amp; Master!$F$6 &amp; "'!A" &amp; ROW(A840))="", INDIRECT("'" &amp; Master!$F$8 &amp; Master!$F$6 &amp; "'!A" &amp; ROW(A840))=0), "", INDIRECT("'" &amp; Master!$F$8 &amp; Master!$F$6 &amp; "'!A" &amp; ROW(A840)))</f>
        <v/>
      </c>
      <c r="B840" s="4" t="e">
        <f ca="1">SplineInterp(INDIRECT("A" &amp; ROW()),INDIRECT("'" &amp;Master!$F$10&amp; "'!$A$2:$A$50"),INDIRECT("'" &amp;Master!$F$10&amp; "'!$B$2:$B$50"))</f>
        <v>#VALUE!</v>
      </c>
      <c r="C840" s="4" t="e">
        <f ca="1">SplineInterp(A840,INDIRECT("'" &amp;Master!$F$10&amp; "'!$A$2:$A$50"),INDIRECT("'" &amp;Master!$F$10&amp; "'!$C$2:$C$50"))</f>
        <v>#VALUE!</v>
      </c>
      <c r="D840" s="4" t="e">
        <f ca="1">SplineInterp(A840,INDIRECT("'" &amp;Master!$F$10&amp; "'!$A$2:$A$50"),INDIRECT("'" &amp;Master!$F$10&amp; "'!$D$2:$D$50"))</f>
        <v>#VALUE!</v>
      </c>
      <c r="E840" s="4" t="e">
        <f ca="1">SplineInterp(A840,INDIRECT("'" &amp;Master!$F$10&amp; "'!$A$2:$A$50"),INDIRECT("'" &amp;Master!$F$10&amp; "'!$E$2:$E$50"))</f>
        <v>#VALUE!</v>
      </c>
      <c r="F840" s="4" t="e">
        <f ca="1">SplineInterp(A840,INDIRECT("'" &amp;Master!$F$10&amp; "'!$A$2:$A$50"),INDIRECT("'" &amp;Master!$F$10&amp; "'!$F$2:$F$50"))</f>
        <v>#VALUE!</v>
      </c>
      <c r="G840" s="4" t="e">
        <f ca="1">SplineInterp(A840,INDIRECT("'" &amp;Master!$F$10&amp; "'!$A$2:$A$50"),INDIRECT("'" &amp;Master!$F$10&amp; "'!$G$2:$G$50"))</f>
        <v>#VALUE!</v>
      </c>
      <c r="H840" s="4" t="e">
        <f ca="1">SplineInterp(A840,INDIRECT("'" &amp;Master!$F$10&amp; "'!$A$2:$A$50"),INDIRECT("'" &amp;Master!$F$10&amp; "'!$H$2:$H$50"))</f>
        <v>#VALUE!</v>
      </c>
      <c r="I840" s="4" t="e">
        <f ca="1">IF(OR(INDIRECT("'" &amp; Master!$F$8 &amp; Master!$F$6 &amp; "'!B" &amp; ROW(B840))="", INDIRECT("'" &amp; Master!$F$8 &amp; Master!$F$6 &amp; "'!B" &amp; ROW(B840))=0), "", INDIRECT("'" &amp; Master!$F$8 &amp; Master!$F$6 &amp; "'!B" &amp; ROW(B840)))</f>
        <v>#VALUE!</v>
      </c>
      <c r="J840" s="9" t="e">
        <f t="shared" ca="1" si="91"/>
        <v>#VALUE!</v>
      </c>
      <c r="K840" s="7" t="e">
        <f t="shared" ca="1" si="92"/>
        <v>#VALUE!</v>
      </c>
      <c r="L840" s="7" t="e">
        <f t="shared" ca="1" si="93"/>
        <v>#VALUE!</v>
      </c>
      <c r="M840" s="7" t="e">
        <f t="shared" ca="1" si="94"/>
        <v>#VALUE!</v>
      </c>
      <c r="N840" s="7" t="e">
        <f t="shared" ca="1" si="95"/>
        <v>#VALUE!</v>
      </c>
      <c r="O840" s="7" t="e">
        <f t="shared" ca="1" si="96"/>
        <v>#VALUE!</v>
      </c>
      <c r="P840" s="7" t="e">
        <f t="shared" ca="1" si="97"/>
        <v>#VALUE!</v>
      </c>
    </row>
    <row r="841" spans="1:16" x14ac:dyDescent="0.25">
      <c r="A841" s="19" t="str">
        <f ca="1">IF(OR(INDIRECT("'" &amp; Master!$F$8 &amp; Master!$F$6 &amp; "'!A" &amp; ROW(A841))="", INDIRECT("'" &amp; Master!$F$8 &amp; Master!$F$6 &amp; "'!A" &amp; ROW(A841))=0), "", INDIRECT("'" &amp; Master!$F$8 &amp; Master!$F$6 &amp; "'!A" &amp; ROW(A841)))</f>
        <v/>
      </c>
      <c r="B841" s="4" t="e">
        <f ca="1">SplineInterp(INDIRECT("A" &amp; ROW()),INDIRECT("'" &amp;Master!$F$10&amp; "'!$A$2:$A$50"),INDIRECT("'" &amp;Master!$F$10&amp; "'!$B$2:$B$50"))</f>
        <v>#VALUE!</v>
      </c>
      <c r="C841" s="4" t="e">
        <f ca="1">SplineInterp(A841,INDIRECT("'" &amp;Master!$F$10&amp; "'!$A$2:$A$50"),INDIRECT("'" &amp;Master!$F$10&amp; "'!$C$2:$C$50"))</f>
        <v>#VALUE!</v>
      </c>
      <c r="D841" s="4" t="e">
        <f ca="1">SplineInterp(A841,INDIRECT("'" &amp;Master!$F$10&amp; "'!$A$2:$A$50"),INDIRECT("'" &amp;Master!$F$10&amp; "'!$D$2:$D$50"))</f>
        <v>#VALUE!</v>
      </c>
      <c r="E841" s="4" t="e">
        <f ca="1">SplineInterp(A841,INDIRECT("'" &amp;Master!$F$10&amp; "'!$A$2:$A$50"),INDIRECT("'" &amp;Master!$F$10&amp; "'!$E$2:$E$50"))</f>
        <v>#VALUE!</v>
      </c>
      <c r="F841" s="4" t="e">
        <f ca="1">SplineInterp(A841,INDIRECT("'" &amp;Master!$F$10&amp; "'!$A$2:$A$50"),INDIRECT("'" &amp;Master!$F$10&amp; "'!$F$2:$F$50"))</f>
        <v>#VALUE!</v>
      </c>
      <c r="G841" s="4" t="e">
        <f ca="1">SplineInterp(A841,INDIRECT("'" &amp;Master!$F$10&amp; "'!$A$2:$A$50"),INDIRECT("'" &amp;Master!$F$10&amp; "'!$G$2:$G$50"))</f>
        <v>#VALUE!</v>
      </c>
      <c r="H841" s="4" t="e">
        <f ca="1">SplineInterp(A841,INDIRECT("'" &amp;Master!$F$10&amp; "'!$A$2:$A$50"),INDIRECT("'" &amp;Master!$F$10&amp; "'!$H$2:$H$50"))</f>
        <v>#VALUE!</v>
      </c>
      <c r="I841" s="4" t="e">
        <f ca="1">IF(OR(INDIRECT("'" &amp; Master!$F$8 &amp; Master!$F$6 &amp; "'!B" &amp; ROW(B841))="", INDIRECT("'" &amp; Master!$F$8 &amp; Master!$F$6 &amp; "'!B" &amp; ROW(B841))=0), "", INDIRECT("'" &amp; Master!$F$8 &amp; Master!$F$6 &amp; "'!B" &amp; ROW(B841)))</f>
        <v>#VALUE!</v>
      </c>
      <c r="J841" s="9" t="e">
        <f t="shared" ca="1" si="91"/>
        <v>#VALUE!</v>
      </c>
      <c r="K841" s="7" t="e">
        <f t="shared" ca="1" si="92"/>
        <v>#VALUE!</v>
      </c>
      <c r="L841" s="7" t="e">
        <f t="shared" ca="1" si="93"/>
        <v>#VALUE!</v>
      </c>
      <c r="M841" s="7" t="e">
        <f t="shared" ca="1" si="94"/>
        <v>#VALUE!</v>
      </c>
      <c r="N841" s="7" t="e">
        <f t="shared" ca="1" si="95"/>
        <v>#VALUE!</v>
      </c>
      <c r="O841" s="7" t="e">
        <f t="shared" ca="1" si="96"/>
        <v>#VALUE!</v>
      </c>
      <c r="P841" s="7" t="e">
        <f t="shared" ca="1" si="97"/>
        <v>#VALUE!</v>
      </c>
    </row>
    <row r="842" spans="1:16" x14ac:dyDescent="0.25">
      <c r="A842" s="19" t="str">
        <f ca="1">IF(OR(INDIRECT("'" &amp; Master!$F$8 &amp; Master!$F$6 &amp; "'!A" &amp; ROW(A842))="", INDIRECT("'" &amp; Master!$F$8 &amp; Master!$F$6 &amp; "'!A" &amp; ROW(A842))=0), "", INDIRECT("'" &amp; Master!$F$8 &amp; Master!$F$6 &amp; "'!A" &amp; ROW(A842)))</f>
        <v/>
      </c>
      <c r="B842" s="4" t="e">
        <f ca="1">SplineInterp(INDIRECT("A" &amp; ROW()),INDIRECT("'" &amp;Master!$F$10&amp; "'!$A$2:$A$50"),INDIRECT("'" &amp;Master!$F$10&amp; "'!$B$2:$B$50"))</f>
        <v>#VALUE!</v>
      </c>
      <c r="C842" s="4" t="e">
        <f ca="1">SplineInterp(A842,INDIRECT("'" &amp;Master!$F$10&amp; "'!$A$2:$A$50"),INDIRECT("'" &amp;Master!$F$10&amp; "'!$C$2:$C$50"))</f>
        <v>#VALUE!</v>
      </c>
      <c r="D842" s="4" t="e">
        <f ca="1">SplineInterp(A842,INDIRECT("'" &amp;Master!$F$10&amp; "'!$A$2:$A$50"),INDIRECT("'" &amp;Master!$F$10&amp; "'!$D$2:$D$50"))</f>
        <v>#VALUE!</v>
      </c>
      <c r="E842" s="4" t="e">
        <f ca="1">SplineInterp(A842,INDIRECT("'" &amp;Master!$F$10&amp; "'!$A$2:$A$50"),INDIRECT("'" &amp;Master!$F$10&amp; "'!$E$2:$E$50"))</f>
        <v>#VALUE!</v>
      </c>
      <c r="F842" s="4" t="e">
        <f ca="1">SplineInterp(A842,INDIRECT("'" &amp;Master!$F$10&amp; "'!$A$2:$A$50"),INDIRECT("'" &amp;Master!$F$10&amp; "'!$F$2:$F$50"))</f>
        <v>#VALUE!</v>
      </c>
      <c r="G842" s="4" t="e">
        <f ca="1">SplineInterp(A842,INDIRECT("'" &amp;Master!$F$10&amp; "'!$A$2:$A$50"),INDIRECT("'" &amp;Master!$F$10&amp; "'!$G$2:$G$50"))</f>
        <v>#VALUE!</v>
      </c>
      <c r="H842" s="4" t="e">
        <f ca="1">SplineInterp(A842,INDIRECT("'" &amp;Master!$F$10&amp; "'!$A$2:$A$50"),INDIRECT("'" &amp;Master!$F$10&amp; "'!$H$2:$H$50"))</f>
        <v>#VALUE!</v>
      </c>
      <c r="I842" s="4" t="e">
        <f ca="1">IF(OR(INDIRECT("'" &amp; Master!$F$8 &amp; Master!$F$6 &amp; "'!B" &amp; ROW(B842))="", INDIRECT("'" &amp; Master!$F$8 &amp; Master!$F$6 &amp; "'!B" &amp; ROW(B842))=0), "", INDIRECT("'" &amp; Master!$F$8 &amp; Master!$F$6 &amp; "'!B" &amp; ROW(B842)))</f>
        <v>#VALUE!</v>
      </c>
      <c r="J842" s="9" t="e">
        <f t="shared" ca="1" si="91"/>
        <v>#VALUE!</v>
      </c>
      <c r="K842" s="7" t="e">
        <f t="shared" ca="1" si="92"/>
        <v>#VALUE!</v>
      </c>
      <c r="L842" s="7" t="e">
        <f t="shared" ca="1" si="93"/>
        <v>#VALUE!</v>
      </c>
      <c r="M842" s="7" t="e">
        <f t="shared" ca="1" si="94"/>
        <v>#VALUE!</v>
      </c>
      <c r="N842" s="7" t="e">
        <f t="shared" ca="1" si="95"/>
        <v>#VALUE!</v>
      </c>
      <c r="O842" s="7" t="e">
        <f t="shared" ca="1" si="96"/>
        <v>#VALUE!</v>
      </c>
      <c r="P842" s="7" t="e">
        <f t="shared" ca="1" si="97"/>
        <v>#VALUE!</v>
      </c>
    </row>
    <row r="843" spans="1:16" x14ac:dyDescent="0.25">
      <c r="A843" s="19" t="str">
        <f ca="1">IF(OR(INDIRECT("'" &amp; Master!$F$8 &amp; Master!$F$6 &amp; "'!A" &amp; ROW(A843))="", INDIRECT("'" &amp; Master!$F$8 &amp; Master!$F$6 &amp; "'!A" &amp; ROW(A843))=0), "", INDIRECT("'" &amp; Master!$F$8 &amp; Master!$F$6 &amp; "'!A" &amp; ROW(A843)))</f>
        <v/>
      </c>
      <c r="B843" s="4" t="e">
        <f ca="1">SplineInterp(INDIRECT("A" &amp; ROW()),INDIRECT("'" &amp;Master!$F$10&amp; "'!$A$2:$A$50"),INDIRECT("'" &amp;Master!$F$10&amp; "'!$B$2:$B$50"))</f>
        <v>#VALUE!</v>
      </c>
      <c r="C843" s="4" t="e">
        <f ca="1">SplineInterp(A843,INDIRECT("'" &amp;Master!$F$10&amp; "'!$A$2:$A$50"),INDIRECT("'" &amp;Master!$F$10&amp; "'!$C$2:$C$50"))</f>
        <v>#VALUE!</v>
      </c>
      <c r="D843" s="4" t="e">
        <f ca="1">SplineInterp(A843,INDIRECT("'" &amp;Master!$F$10&amp; "'!$A$2:$A$50"),INDIRECT("'" &amp;Master!$F$10&amp; "'!$D$2:$D$50"))</f>
        <v>#VALUE!</v>
      </c>
      <c r="E843" s="4" t="e">
        <f ca="1">SplineInterp(A843,INDIRECT("'" &amp;Master!$F$10&amp; "'!$A$2:$A$50"),INDIRECT("'" &amp;Master!$F$10&amp; "'!$E$2:$E$50"))</f>
        <v>#VALUE!</v>
      </c>
      <c r="F843" s="4" t="e">
        <f ca="1">SplineInterp(A843,INDIRECT("'" &amp;Master!$F$10&amp; "'!$A$2:$A$50"),INDIRECT("'" &amp;Master!$F$10&amp; "'!$F$2:$F$50"))</f>
        <v>#VALUE!</v>
      </c>
      <c r="G843" s="4" t="e">
        <f ca="1">SplineInterp(A843,INDIRECT("'" &amp;Master!$F$10&amp; "'!$A$2:$A$50"),INDIRECT("'" &amp;Master!$F$10&amp; "'!$G$2:$G$50"))</f>
        <v>#VALUE!</v>
      </c>
      <c r="H843" s="4" t="e">
        <f ca="1">SplineInterp(A843,INDIRECT("'" &amp;Master!$F$10&amp; "'!$A$2:$A$50"),INDIRECT("'" &amp;Master!$F$10&amp; "'!$H$2:$H$50"))</f>
        <v>#VALUE!</v>
      </c>
      <c r="I843" s="4" t="e">
        <f ca="1">IF(OR(INDIRECT("'" &amp; Master!$F$8 &amp; Master!$F$6 &amp; "'!B" &amp; ROW(B843))="", INDIRECT("'" &amp; Master!$F$8 &amp; Master!$F$6 &amp; "'!B" &amp; ROW(B843))=0), "", INDIRECT("'" &amp; Master!$F$8 &amp; Master!$F$6 &amp; "'!B" &amp; ROW(B843)))</f>
        <v>#VALUE!</v>
      </c>
      <c r="J843" s="9" t="e">
        <f t="shared" ca="1" si="91"/>
        <v>#VALUE!</v>
      </c>
      <c r="K843" s="7" t="e">
        <f t="shared" ca="1" si="92"/>
        <v>#VALUE!</v>
      </c>
      <c r="L843" s="7" t="e">
        <f t="shared" ca="1" si="93"/>
        <v>#VALUE!</v>
      </c>
      <c r="M843" s="7" t="e">
        <f t="shared" ca="1" si="94"/>
        <v>#VALUE!</v>
      </c>
      <c r="N843" s="7" t="e">
        <f t="shared" ca="1" si="95"/>
        <v>#VALUE!</v>
      </c>
      <c r="O843" s="7" t="e">
        <f t="shared" ca="1" si="96"/>
        <v>#VALUE!</v>
      </c>
      <c r="P843" s="7" t="e">
        <f t="shared" ca="1" si="97"/>
        <v>#VALUE!</v>
      </c>
    </row>
    <row r="844" spans="1:16" x14ac:dyDescent="0.25">
      <c r="A844" s="19" t="str">
        <f ca="1">IF(OR(INDIRECT("'" &amp; Master!$F$8 &amp; Master!$F$6 &amp; "'!A" &amp; ROW(A844))="", INDIRECT("'" &amp; Master!$F$8 &amp; Master!$F$6 &amp; "'!A" &amp; ROW(A844))=0), "", INDIRECT("'" &amp; Master!$F$8 &amp; Master!$F$6 &amp; "'!A" &amp; ROW(A844)))</f>
        <v/>
      </c>
      <c r="B844" s="4" t="e">
        <f ca="1">SplineInterp(INDIRECT("A" &amp; ROW()),INDIRECT("'" &amp;Master!$F$10&amp; "'!$A$2:$A$50"),INDIRECT("'" &amp;Master!$F$10&amp; "'!$B$2:$B$50"))</f>
        <v>#VALUE!</v>
      </c>
      <c r="C844" s="4" t="e">
        <f ca="1">SplineInterp(A844,INDIRECT("'" &amp;Master!$F$10&amp; "'!$A$2:$A$50"),INDIRECT("'" &amp;Master!$F$10&amp; "'!$C$2:$C$50"))</f>
        <v>#VALUE!</v>
      </c>
      <c r="D844" s="4" t="e">
        <f ca="1">SplineInterp(A844,INDIRECT("'" &amp;Master!$F$10&amp; "'!$A$2:$A$50"),INDIRECT("'" &amp;Master!$F$10&amp; "'!$D$2:$D$50"))</f>
        <v>#VALUE!</v>
      </c>
      <c r="E844" s="4" t="e">
        <f ca="1">SplineInterp(A844,INDIRECT("'" &amp;Master!$F$10&amp; "'!$A$2:$A$50"),INDIRECT("'" &amp;Master!$F$10&amp; "'!$E$2:$E$50"))</f>
        <v>#VALUE!</v>
      </c>
      <c r="F844" s="4" t="e">
        <f ca="1">SplineInterp(A844,INDIRECT("'" &amp;Master!$F$10&amp; "'!$A$2:$A$50"),INDIRECT("'" &amp;Master!$F$10&amp; "'!$F$2:$F$50"))</f>
        <v>#VALUE!</v>
      </c>
      <c r="G844" s="4" t="e">
        <f ca="1">SplineInterp(A844,INDIRECT("'" &amp;Master!$F$10&amp; "'!$A$2:$A$50"),INDIRECT("'" &amp;Master!$F$10&amp; "'!$G$2:$G$50"))</f>
        <v>#VALUE!</v>
      </c>
      <c r="H844" s="4" t="e">
        <f ca="1">SplineInterp(A844,INDIRECT("'" &amp;Master!$F$10&amp; "'!$A$2:$A$50"),INDIRECT("'" &amp;Master!$F$10&amp; "'!$H$2:$H$50"))</f>
        <v>#VALUE!</v>
      </c>
      <c r="I844" s="4" t="e">
        <f ca="1">IF(OR(INDIRECT("'" &amp; Master!$F$8 &amp; Master!$F$6 &amp; "'!B" &amp; ROW(B844))="", INDIRECT("'" &amp; Master!$F$8 &amp; Master!$F$6 &amp; "'!B" &amp; ROW(B844))=0), "", INDIRECT("'" &amp; Master!$F$8 &amp; Master!$F$6 &amp; "'!B" &amp; ROW(B844)))</f>
        <v>#VALUE!</v>
      </c>
      <c r="J844" s="9" t="e">
        <f t="shared" ca="1" si="91"/>
        <v>#VALUE!</v>
      </c>
      <c r="K844" s="7" t="e">
        <f t="shared" ca="1" si="92"/>
        <v>#VALUE!</v>
      </c>
      <c r="L844" s="7" t="e">
        <f t="shared" ca="1" si="93"/>
        <v>#VALUE!</v>
      </c>
      <c r="M844" s="7" t="e">
        <f t="shared" ca="1" si="94"/>
        <v>#VALUE!</v>
      </c>
      <c r="N844" s="7" t="e">
        <f t="shared" ca="1" si="95"/>
        <v>#VALUE!</v>
      </c>
      <c r="O844" s="7" t="e">
        <f t="shared" ca="1" si="96"/>
        <v>#VALUE!</v>
      </c>
      <c r="P844" s="7" t="e">
        <f t="shared" ca="1" si="97"/>
        <v>#VALUE!</v>
      </c>
    </row>
    <row r="845" spans="1:16" x14ac:dyDescent="0.25">
      <c r="A845" s="19" t="str">
        <f ca="1">IF(OR(INDIRECT("'" &amp; Master!$F$8 &amp; Master!$F$6 &amp; "'!A" &amp; ROW(A845))="", INDIRECT("'" &amp; Master!$F$8 &amp; Master!$F$6 &amp; "'!A" &amp; ROW(A845))=0), "", INDIRECT("'" &amp; Master!$F$8 &amp; Master!$F$6 &amp; "'!A" &amp; ROW(A845)))</f>
        <v/>
      </c>
      <c r="B845" s="4" t="e">
        <f ca="1">SplineInterp(INDIRECT("A" &amp; ROW()),INDIRECT("'" &amp;Master!$F$10&amp; "'!$A$2:$A$50"),INDIRECT("'" &amp;Master!$F$10&amp; "'!$B$2:$B$50"))</f>
        <v>#VALUE!</v>
      </c>
      <c r="C845" s="4" t="e">
        <f ca="1">SplineInterp(A845,INDIRECT("'" &amp;Master!$F$10&amp; "'!$A$2:$A$50"),INDIRECT("'" &amp;Master!$F$10&amp; "'!$C$2:$C$50"))</f>
        <v>#VALUE!</v>
      </c>
      <c r="D845" s="4" t="e">
        <f ca="1">SplineInterp(A845,INDIRECT("'" &amp;Master!$F$10&amp; "'!$A$2:$A$50"),INDIRECT("'" &amp;Master!$F$10&amp; "'!$D$2:$D$50"))</f>
        <v>#VALUE!</v>
      </c>
      <c r="E845" s="4" t="e">
        <f ca="1">SplineInterp(A845,INDIRECT("'" &amp;Master!$F$10&amp; "'!$A$2:$A$50"),INDIRECT("'" &amp;Master!$F$10&amp; "'!$E$2:$E$50"))</f>
        <v>#VALUE!</v>
      </c>
      <c r="F845" s="4" t="e">
        <f ca="1">SplineInterp(A845,INDIRECT("'" &amp;Master!$F$10&amp; "'!$A$2:$A$50"),INDIRECT("'" &amp;Master!$F$10&amp; "'!$F$2:$F$50"))</f>
        <v>#VALUE!</v>
      </c>
      <c r="G845" s="4" t="e">
        <f ca="1">SplineInterp(A845,INDIRECT("'" &amp;Master!$F$10&amp; "'!$A$2:$A$50"),INDIRECT("'" &amp;Master!$F$10&amp; "'!$G$2:$G$50"))</f>
        <v>#VALUE!</v>
      </c>
      <c r="H845" s="4" t="e">
        <f ca="1">SplineInterp(A845,INDIRECT("'" &amp;Master!$F$10&amp; "'!$A$2:$A$50"),INDIRECT("'" &amp;Master!$F$10&amp; "'!$H$2:$H$50"))</f>
        <v>#VALUE!</v>
      </c>
      <c r="I845" s="4" t="e">
        <f ca="1">IF(OR(INDIRECT("'" &amp; Master!$F$8 &amp; Master!$F$6 &amp; "'!B" &amp; ROW(B845))="", INDIRECT("'" &amp; Master!$F$8 &amp; Master!$F$6 &amp; "'!B" &amp; ROW(B845))=0), "", INDIRECT("'" &amp; Master!$F$8 &amp; Master!$F$6 &amp; "'!B" &amp; ROW(B845)))</f>
        <v>#VALUE!</v>
      </c>
      <c r="J845" s="9" t="e">
        <f t="shared" ca="1" si="91"/>
        <v>#VALUE!</v>
      </c>
      <c r="K845" s="7" t="e">
        <f t="shared" ca="1" si="92"/>
        <v>#VALUE!</v>
      </c>
      <c r="L845" s="7" t="e">
        <f t="shared" ca="1" si="93"/>
        <v>#VALUE!</v>
      </c>
      <c r="M845" s="7" t="e">
        <f t="shared" ca="1" si="94"/>
        <v>#VALUE!</v>
      </c>
      <c r="N845" s="7" t="e">
        <f t="shared" ca="1" si="95"/>
        <v>#VALUE!</v>
      </c>
      <c r="O845" s="7" t="e">
        <f t="shared" ca="1" si="96"/>
        <v>#VALUE!</v>
      </c>
      <c r="P845" s="7" t="e">
        <f t="shared" ca="1" si="97"/>
        <v>#VALUE!</v>
      </c>
    </row>
    <row r="846" spans="1:16" x14ac:dyDescent="0.25">
      <c r="A846" s="19" t="str">
        <f ca="1">IF(OR(INDIRECT("'" &amp; Master!$F$8 &amp; Master!$F$6 &amp; "'!A" &amp; ROW(A846))="", INDIRECT("'" &amp; Master!$F$8 &amp; Master!$F$6 &amp; "'!A" &amp; ROW(A846))=0), "", INDIRECT("'" &amp; Master!$F$8 &amp; Master!$F$6 &amp; "'!A" &amp; ROW(A846)))</f>
        <v/>
      </c>
      <c r="B846" s="4" t="e">
        <f ca="1">SplineInterp(INDIRECT("A" &amp; ROW()),INDIRECT("'" &amp;Master!$F$10&amp; "'!$A$2:$A$50"),INDIRECT("'" &amp;Master!$F$10&amp; "'!$B$2:$B$50"))</f>
        <v>#VALUE!</v>
      </c>
      <c r="C846" s="4" t="e">
        <f ca="1">SplineInterp(A846,INDIRECT("'" &amp;Master!$F$10&amp; "'!$A$2:$A$50"),INDIRECT("'" &amp;Master!$F$10&amp; "'!$C$2:$C$50"))</f>
        <v>#VALUE!</v>
      </c>
      <c r="D846" s="4" t="e">
        <f ca="1">SplineInterp(A846,INDIRECT("'" &amp;Master!$F$10&amp; "'!$A$2:$A$50"),INDIRECT("'" &amp;Master!$F$10&amp; "'!$D$2:$D$50"))</f>
        <v>#VALUE!</v>
      </c>
      <c r="E846" s="4" t="e">
        <f ca="1">SplineInterp(A846,INDIRECT("'" &amp;Master!$F$10&amp; "'!$A$2:$A$50"),INDIRECT("'" &amp;Master!$F$10&amp; "'!$E$2:$E$50"))</f>
        <v>#VALUE!</v>
      </c>
      <c r="F846" s="4" t="e">
        <f ca="1">SplineInterp(A846,INDIRECT("'" &amp;Master!$F$10&amp; "'!$A$2:$A$50"),INDIRECT("'" &amp;Master!$F$10&amp; "'!$F$2:$F$50"))</f>
        <v>#VALUE!</v>
      </c>
      <c r="G846" s="4" t="e">
        <f ca="1">SplineInterp(A846,INDIRECT("'" &amp;Master!$F$10&amp; "'!$A$2:$A$50"),INDIRECT("'" &amp;Master!$F$10&amp; "'!$G$2:$G$50"))</f>
        <v>#VALUE!</v>
      </c>
      <c r="H846" s="4" t="e">
        <f ca="1">SplineInterp(A846,INDIRECT("'" &amp;Master!$F$10&amp; "'!$A$2:$A$50"),INDIRECT("'" &amp;Master!$F$10&amp; "'!$H$2:$H$50"))</f>
        <v>#VALUE!</v>
      </c>
      <c r="I846" s="4" t="e">
        <f ca="1">IF(OR(INDIRECT("'" &amp; Master!$F$8 &amp; Master!$F$6 &amp; "'!B" &amp; ROW(B846))="", INDIRECT("'" &amp; Master!$F$8 &amp; Master!$F$6 &amp; "'!B" &amp; ROW(B846))=0), "", INDIRECT("'" &amp; Master!$F$8 &amp; Master!$F$6 &amp; "'!B" &amp; ROW(B846)))</f>
        <v>#VALUE!</v>
      </c>
      <c r="J846" s="9" t="e">
        <f t="shared" ca="1" si="91"/>
        <v>#VALUE!</v>
      </c>
      <c r="K846" s="7" t="e">
        <f t="shared" ca="1" si="92"/>
        <v>#VALUE!</v>
      </c>
      <c r="L846" s="7" t="e">
        <f t="shared" ca="1" si="93"/>
        <v>#VALUE!</v>
      </c>
      <c r="M846" s="7" t="e">
        <f t="shared" ca="1" si="94"/>
        <v>#VALUE!</v>
      </c>
      <c r="N846" s="7" t="e">
        <f t="shared" ca="1" si="95"/>
        <v>#VALUE!</v>
      </c>
      <c r="O846" s="7" t="e">
        <f t="shared" ca="1" si="96"/>
        <v>#VALUE!</v>
      </c>
      <c r="P846" s="7" t="e">
        <f t="shared" ca="1" si="97"/>
        <v>#VALUE!</v>
      </c>
    </row>
    <row r="847" spans="1:16" x14ac:dyDescent="0.25">
      <c r="A847" s="19" t="str">
        <f ca="1">IF(OR(INDIRECT("'" &amp; Master!$F$8 &amp; Master!$F$6 &amp; "'!A" &amp; ROW(A847))="", INDIRECT("'" &amp; Master!$F$8 &amp; Master!$F$6 &amp; "'!A" &amp; ROW(A847))=0), "", INDIRECT("'" &amp; Master!$F$8 &amp; Master!$F$6 &amp; "'!A" &amp; ROW(A847)))</f>
        <v/>
      </c>
      <c r="B847" s="4" t="e">
        <f ca="1">SplineInterp(INDIRECT("A" &amp; ROW()),INDIRECT("'" &amp;Master!$F$10&amp; "'!$A$2:$A$50"),INDIRECT("'" &amp;Master!$F$10&amp; "'!$B$2:$B$50"))</f>
        <v>#VALUE!</v>
      </c>
      <c r="C847" s="4" t="e">
        <f ca="1">SplineInterp(A847,INDIRECT("'" &amp;Master!$F$10&amp; "'!$A$2:$A$50"),INDIRECT("'" &amp;Master!$F$10&amp; "'!$C$2:$C$50"))</f>
        <v>#VALUE!</v>
      </c>
      <c r="D847" s="4" t="e">
        <f ca="1">SplineInterp(A847,INDIRECT("'" &amp;Master!$F$10&amp; "'!$A$2:$A$50"),INDIRECT("'" &amp;Master!$F$10&amp; "'!$D$2:$D$50"))</f>
        <v>#VALUE!</v>
      </c>
      <c r="E847" s="4" t="e">
        <f ca="1">SplineInterp(A847,INDIRECT("'" &amp;Master!$F$10&amp; "'!$A$2:$A$50"),INDIRECT("'" &amp;Master!$F$10&amp; "'!$E$2:$E$50"))</f>
        <v>#VALUE!</v>
      </c>
      <c r="F847" s="4" t="e">
        <f ca="1">SplineInterp(A847,INDIRECT("'" &amp;Master!$F$10&amp; "'!$A$2:$A$50"),INDIRECT("'" &amp;Master!$F$10&amp; "'!$F$2:$F$50"))</f>
        <v>#VALUE!</v>
      </c>
      <c r="G847" s="4" t="e">
        <f ca="1">SplineInterp(A847,INDIRECT("'" &amp;Master!$F$10&amp; "'!$A$2:$A$50"),INDIRECT("'" &amp;Master!$F$10&amp; "'!$G$2:$G$50"))</f>
        <v>#VALUE!</v>
      </c>
      <c r="H847" s="4" t="e">
        <f ca="1">SplineInterp(A847,INDIRECT("'" &amp;Master!$F$10&amp; "'!$A$2:$A$50"),INDIRECT("'" &amp;Master!$F$10&amp; "'!$H$2:$H$50"))</f>
        <v>#VALUE!</v>
      </c>
      <c r="I847" s="4" t="e">
        <f ca="1">IF(OR(INDIRECT("'" &amp; Master!$F$8 &amp; Master!$F$6 &amp; "'!B" &amp; ROW(B847))="", INDIRECT("'" &amp; Master!$F$8 &amp; Master!$F$6 &amp; "'!B" &amp; ROW(B847))=0), "", INDIRECT("'" &amp; Master!$F$8 &amp; Master!$F$6 &amp; "'!B" &amp; ROW(B847)))</f>
        <v>#VALUE!</v>
      </c>
      <c r="J847" s="9" t="e">
        <f t="shared" ca="1" si="91"/>
        <v>#VALUE!</v>
      </c>
      <c r="K847" s="7" t="e">
        <f t="shared" ca="1" si="92"/>
        <v>#VALUE!</v>
      </c>
      <c r="L847" s="7" t="e">
        <f t="shared" ca="1" si="93"/>
        <v>#VALUE!</v>
      </c>
      <c r="M847" s="7" t="e">
        <f t="shared" ca="1" si="94"/>
        <v>#VALUE!</v>
      </c>
      <c r="N847" s="7" t="e">
        <f t="shared" ca="1" si="95"/>
        <v>#VALUE!</v>
      </c>
      <c r="O847" s="7" t="e">
        <f t="shared" ca="1" si="96"/>
        <v>#VALUE!</v>
      </c>
      <c r="P847" s="7" t="e">
        <f t="shared" ca="1" si="97"/>
        <v>#VALUE!</v>
      </c>
    </row>
    <row r="848" spans="1:16" x14ac:dyDescent="0.25">
      <c r="A848" s="19" t="str">
        <f ca="1">IF(OR(INDIRECT("'" &amp; Master!$F$8 &amp; Master!$F$6 &amp; "'!A" &amp; ROW(A848))="", INDIRECT("'" &amp; Master!$F$8 &amp; Master!$F$6 &amp; "'!A" &amp; ROW(A848))=0), "", INDIRECT("'" &amp; Master!$F$8 &amp; Master!$F$6 &amp; "'!A" &amp; ROW(A848)))</f>
        <v/>
      </c>
      <c r="B848" s="4" t="e">
        <f ca="1">SplineInterp(INDIRECT("A" &amp; ROW()),INDIRECT("'" &amp;Master!$F$10&amp; "'!$A$2:$A$50"),INDIRECT("'" &amp;Master!$F$10&amp; "'!$B$2:$B$50"))</f>
        <v>#VALUE!</v>
      </c>
      <c r="C848" s="4" t="e">
        <f ca="1">SplineInterp(A848,INDIRECT("'" &amp;Master!$F$10&amp; "'!$A$2:$A$50"),INDIRECT("'" &amp;Master!$F$10&amp; "'!$C$2:$C$50"))</f>
        <v>#VALUE!</v>
      </c>
      <c r="D848" s="4" t="e">
        <f ca="1">SplineInterp(A848,INDIRECT("'" &amp;Master!$F$10&amp; "'!$A$2:$A$50"),INDIRECT("'" &amp;Master!$F$10&amp; "'!$D$2:$D$50"))</f>
        <v>#VALUE!</v>
      </c>
      <c r="E848" s="4" t="e">
        <f ca="1">SplineInterp(A848,INDIRECT("'" &amp;Master!$F$10&amp; "'!$A$2:$A$50"),INDIRECT("'" &amp;Master!$F$10&amp; "'!$E$2:$E$50"))</f>
        <v>#VALUE!</v>
      </c>
      <c r="F848" s="4" t="e">
        <f ca="1">SplineInterp(A848,INDIRECT("'" &amp;Master!$F$10&amp; "'!$A$2:$A$50"),INDIRECT("'" &amp;Master!$F$10&amp; "'!$F$2:$F$50"))</f>
        <v>#VALUE!</v>
      </c>
      <c r="G848" s="4" t="e">
        <f ca="1">SplineInterp(A848,INDIRECT("'" &amp;Master!$F$10&amp; "'!$A$2:$A$50"),INDIRECT("'" &amp;Master!$F$10&amp; "'!$G$2:$G$50"))</f>
        <v>#VALUE!</v>
      </c>
      <c r="H848" s="4" t="e">
        <f ca="1">SplineInterp(A848,INDIRECT("'" &amp;Master!$F$10&amp; "'!$A$2:$A$50"),INDIRECT("'" &amp;Master!$F$10&amp; "'!$H$2:$H$50"))</f>
        <v>#VALUE!</v>
      </c>
      <c r="I848" s="4" t="e">
        <f ca="1">IF(OR(INDIRECT("'" &amp; Master!$F$8 &amp; Master!$F$6 &amp; "'!B" &amp; ROW(B848))="", INDIRECT("'" &amp; Master!$F$8 &amp; Master!$F$6 &amp; "'!B" &amp; ROW(B848))=0), "", INDIRECT("'" &amp; Master!$F$8 &amp; Master!$F$6 &amp; "'!B" &amp; ROW(B848)))</f>
        <v>#VALUE!</v>
      </c>
      <c r="J848" s="9" t="e">
        <f t="shared" ca="1" si="91"/>
        <v>#VALUE!</v>
      </c>
      <c r="K848" s="7" t="e">
        <f t="shared" ca="1" si="92"/>
        <v>#VALUE!</v>
      </c>
      <c r="L848" s="7" t="e">
        <f t="shared" ca="1" si="93"/>
        <v>#VALUE!</v>
      </c>
      <c r="M848" s="7" t="e">
        <f t="shared" ca="1" si="94"/>
        <v>#VALUE!</v>
      </c>
      <c r="N848" s="7" t="e">
        <f t="shared" ca="1" si="95"/>
        <v>#VALUE!</v>
      </c>
      <c r="O848" s="7" t="e">
        <f t="shared" ca="1" si="96"/>
        <v>#VALUE!</v>
      </c>
      <c r="P848" s="7" t="e">
        <f t="shared" ca="1" si="97"/>
        <v>#VALUE!</v>
      </c>
    </row>
    <row r="849" spans="1:16" x14ac:dyDescent="0.25">
      <c r="A849" s="19" t="str">
        <f ca="1">IF(OR(INDIRECT("'" &amp; Master!$F$8 &amp; Master!$F$6 &amp; "'!A" &amp; ROW(A849))="", INDIRECT("'" &amp; Master!$F$8 &amp; Master!$F$6 &amp; "'!A" &amp; ROW(A849))=0), "", INDIRECT("'" &amp; Master!$F$8 &amp; Master!$F$6 &amp; "'!A" &amp; ROW(A849)))</f>
        <v/>
      </c>
      <c r="B849" s="4" t="e">
        <f ca="1">SplineInterp(INDIRECT("A" &amp; ROW()),INDIRECT("'" &amp;Master!$F$10&amp; "'!$A$2:$A$50"),INDIRECT("'" &amp;Master!$F$10&amp; "'!$B$2:$B$50"))</f>
        <v>#VALUE!</v>
      </c>
      <c r="C849" s="4" t="e">
        <f ca="1">SplineInterp(A849,INDIRECT("'" &amp;Master!$F$10&amp; "'!$A$2:$A$50"),INDIRECT("'" &amp;Master!$F$10&amp; "'!$C$2:$C$50"))</f>
        <v>#VALUE!</v>
      </c>
      <c r="D849" s="4" t="e">
        <f ca="1">SplineInterp(A849,INDIRECT("'" &amp;Master!$F$10&amp; "'!$A$2:$A$50"),INDIRECT("'" &amp;Master!$F$10&amp; "'!$D$2:$D$50"))</f>
        <v>#VALUE!</v>
      </c>
      <c r="E849" s="4" t="e">
        <f ca="1">SplineInterp(A849,INDIRECT("'" &amp;Master!$F$10&amp; "'!$A$2:$A$50"),INDIRECT("'" &amp;Master!$F$10&amp; "'!$E$2:$E$50"))</f>
        <v>#VALUE!</v>
      </c>
      <c r="F849" s="4" t="e">
        <f ca="1">SplineInterp(A849,INDIRECT("'" &amp;Master!$F$10&amp; "'!$A$2:$A$50"),INDIRECT("'" &amp;Master!$F$10&amp; "'!$F$2:$F$50"))</f>
        <v>#VALUE!</v>
      </c>
      <c r="G849" s="4" t="e">
        <f ca="1">SplineInterp(A849,INDIRECT("'" &amp;Master!$F$10&amp; "'!$A$2:$A$50"),INDIRECT("'" &amp;Master!$F$10&amp; "'!$G$2:$G$50"))</f>
        <v>#VALUE!</v>
      </c>
      <c r="H849" s="4" t="e">
        <f ca="1">SplineInterp(A849,INDIRECT("'" &amp;Master!$F$10&amp; "'!$A$2:$A$50"),INDIRECT("'" &amp;Master!$F$10&amp; "'!$H$2:$H$50"))</f>
        <v>#VALUE!</v>
      </c>
      <c r="I849" s="4" t="e">
        <f ca="1">IF(OR(INDIRECT("'" &amp; Master!$F$8 &amp; Master!$F$6 &amp; "'!B" &amp; ROW(B849))="", INDIRECT("'" &amp; Master!$F$8 &amp; Master!$F$6 &amp; "'!B" &amp; ROW(B849))=0), "", INDIRECT("'" &amp; Master!$F$8 &amp; Master!$F$6 &amp; "'!B" &amp; ROW(B849)))</f>
        <v>#VALUE!</v>
      </c>
      <c r="J849" s="9" t="e">
        <f t="shared" ca="1" si="91"/>
        <v>#VALUE!</v>
      </c>
      <c r="K849" s="7" t="e">
        <f t="shared" ca="1" si="92"/>
        <v>#VALUE!</v>
      </c>
      <c r="L849" s="7" t="e">
        <f t="shared" ca="1" si="93"/>
        <v>#VALUE!</v>
      </c>
      <c r="M849" s="7" t="e">
        <f t="shared" ca="1" si="94"/>
        <v>#VALUE!</v>
      </c>
      <c r="N849" s="7" t="e">
        <f t="shared" ca="1" si="95"/>
        <v>#VALUE!</v>
      </c>
      <c r="O849" s="7" t="e">
        <f t="shared" ca="1" si="96"/>
        <v>#VALUE!</v>
      </c>
      <c r="P849" s="7" t="e">
        <f t="shared" ca="1" si="97"/>
        <v>#VALUE!</v>
      </c>
    </row>
    <row r="850" spans="1:16" x14ac:dyDescent="0.25">
      <c r="A850" s="19" t="str">
        <f ca="1">IF(OR(INDIRECT("'" &amp; Master!$F$8 &amp; Master!$F$6 &amp; "'!A" &amp; ROW(A850))="", INDIRECT("'" &amp; Master!$F$8 &amp; Master!$F$6 &amp; "'!A" &amp; ROW(A850))=0), "", INDIRECT("'" &amp; Master!$F$8 &amp; Master!$F$6 &amp; "'!A" &amp; ROW(A850)))</f>
        <v/>
      </c>
      <c r="B850" s="4" t="e">
        <f ca="1">SplineInterp(INDIRECT("A" &amp; ROW()),INDIRECT("'" &amp;Master!$F$10&amp; "'!$A$2:$A$50"),INDIRECT("'" &amp;Master!$F$10&amp; "'!$B$2:$B$50"))</f>
        <v>#VALUE!</v>
      </c>
      <c r="C850" s="4" t="e">
        <f ca="1">SplineInterp(A850,INDIRECT("'" &amp;Master!$F$10&amp; "'!$A$2:$A$50"),INDIRECT("'" &amp;Master!$F$10&amp; "'!$C$2:$C$50"))</f>
        <v>#VALUE!</v>
      </c>
      <c r="D850" s="4" t="e">
        <f ca="1">SplineInterp(A850,INDIRECT("'" &amp;Master!$F$10&amp; "'!$A$2:$A$50"),INDIRECT("'" &amp;Master!$F$10&amp; "'!$D$2:$D$50"))</f>
        <v>#VALUE!</v>
      </c>
      <c r="E850" s="4" t="e">
        <f ca="1">SplineInterp(A850,INDIRECT("'" &amp;Master!$F$10&amp; "'!$A$2:$A$50"),INDIRECT("'" &amp;Master!$F$10&amp; "'!$E$2:$E$50"))</f>
        <v>#VALUE!</v>
      </c>
      <c r="F850" s="4" t="e">
        <f ca="1">SplineInterp(A850,INDIRECT("'" &amp;Master!$F$10&amp; "'!$A$2:$A$50"),INDIRECT("'" &amp;Master!$F$10&amp; "'!$F$2:$F$50"))</f>
        <v>#VALUE!</v>
      </c>
      <c r="G850" s="4" t="e">
        <f ca="1">SplineInterp(A850,INDIRECT("'" &amp;Master!$F$10&amp; "'!$A$2:$A$50"),INDIRECT("'" &amp;Master!$F$10&amp; "'!$G$2:$G$50"))</f>
        <v>#VALUE!</v>
      </c>
      <c r="H850" s="4" t="e">
        <f ca="1">SplineInterp(A850,INDIRECT("'" &amp;Master!$F$10&amp; "'!$A$2:$A$50"),INDIRECT("'" &amp;Master!$F$10&amp; "'!$H$2:$H$50"))</f>
        <v>#VALUE!</v>
      </c>
      <c r="I850" s="4" t="e">
        <f ca="1">IF(OR(INDIRECT("'" &amp; Master!$F$8 &amp; Master!$F$6 &amp; "'!B" &amp; ROW(B850))="", INDIRECT("'" &amp; Master!$F$8 &amp; Master!$F$6 &amp; "'!B" &amp; ROW(B850))=0), "", INDIRECT("'" &amp; Master!$F$8 &amp; Master!$F$6 &amp; "'!B" &amp; ROW(B850)))</f>
        <v>#VALUE!</v>
      </c>
      <c r="J850" s="9" t="e">
        <f t="shared" ca="1" si="91"/>
        <v>#VALUE!</v>
      </c>
      <c r="K850" s="7" t="e">
        <f t="shared" ca="1" si="92"/>
        <v>#VALUE!</v>
      </c>
      <c r="L850" s="7" t="e">
        <f t="shared" ca="1" si="93"/>
        <v>#VALUE!</v>
      </c>
      <c r="M850" s="7" t="e">
        <f t="shared" ca="1" si="94"/>
        <v>#VALUE!</v>
      </c>
      <c r="N850" s="7" t="e">
        <f t="shared" ca="1" si="95"/>
        <v>#VALUE!</v>
      </c>
      <c r="O850" s="7" t="e">
        <f t="shared" ca="1" si="96"/>
        <v>#VALUE!</v>
      </c>
      <c r="P850" s="7" t="e">
        <f t="shared" ca="1" si="97"/>
        <v>#VALUE!</v>
      </c>
    </row>
    <row r="851" spans="1:16" x14ac:dyDescent="0.25">
      <c r="A851" s="19" t="str">
        <f ca="1">IF(OR(INDIRECT("'" &amp; Master!$F$8 &amp; Master!$F$6 &amp; "'!A" &amp; ROW(A851))="", INDIRECT("'" &amp; Master!$F$8 &amp; Master!$F$6 &amp; "'!A" &amp; ROW(A851))=0), "", INDIRECT("'" &amp; Master!$F$8 &amp; Master!$F$6 &amp; "'!A" &amp; ROW(A851)))</f>
        <v/>
      </c>
      <c r="B851" s="4" t="e">
        <f ca="1">SplineInterp(INDIRECT("A" &amp; ROW()),INDIRECT("'" &amp;Master!$F$10&amp; "'!$A$2:$A$50"),INDIRECT("'" &amp;Master!$F$10&amp; "'!$B$2:$B$50"))</f>
        <v>#VALUE!</v>
      </c>
      <c r="C851" s="4" t="e">
        <f ca="1">SplineInterp(A851,INDIRECT("'" &amp;Master!$F$10&amp; "'!$A$2:$A$50"),INDIRECT("'" &amp;Master!$F$10&amp; "'!$C$2:$C$50"))</f>
        <v>#VALUE!</v>
      </c>
      <c r="D851" s="4" t="e">
        <f ca="1">SplineInterp(A851,INDIRECT("'" &amp;Master!$F$10&amp; "'!$A$2:$A$50"),INDIRECT("'" &amp;Master!$F$10&amp; "'!$D$2:$D$50"))</f>
        <v>#VALUE!</v>
      </c>
      <c r="E851" s="4" t="e">
        <f ca="1">SplineInterp(A851,INDIRECT("'" &amp;Master!$F$10&amp; "'!$A$2:$A$50"),INDIRECT("'" &amp;Master!$F$10&amp; "'!$E$2:$E$50"))</f>
        <v>#VALUE!</v>
      </c>
      <c r="F851" s="4" t="e">
        <f ca="1">SplineInterp(A851,INDIRECT("'" &amp;Master!$F$10&amp; "'!$A$2:$A$50"),INDIRECT("'" &amp;Master!$F$10&amp; "'!$F$2:$F$50"))</f>
        <v>#VALUE!</v>
      </c>
      <c r="G851" s="4" t="e">
        <f ca="1">SplineInterp(A851,INDIRECT("'" &amp;Master!$F$10&amp; "'!$A$2:$A$50"),INDIRECT("'" &amp;Master!$F$10&amp; "'!$G$2:$G$50"))</f>
        <v>#VALUE!</v>
      </c>
      <c r="H851" s="4" t="e">
        <f ca="1">SplineInterp(A851,INDIRECT("'" &amp;Master!$F$10&amp; "'!$A$2:$A$50"),INDIRECT("'" &amp;Master!$F$10&amp; "'!$H$2:$H$50"))</f>
        <v>#VALUE!</v>
      </c>
      <c r="I851" s="4" t="e">
        <f ca="1">IF(OR(INDIRECT("'" &amp; Master!$F$8 &amp; Master!$F$6 &amp; "'!B" &amp; ROW(B851))="", INDIRECT("'" &amp; Master!$F$8 &amp; Master!$F$6 &amp; "'!B" &amp; ROW(B851))=0), "", INDIRECT("'" &amp; Master!$F$8 &amp; Master!$F$6 &amp; "'!B" &amp; ROW(B851)))</f>
        <v>#VALUE!</v>
      </c>
      <c r="J851" s="9" t="e">
        <f t="shared" ca="1" si="91"/>
        <v>#VALUE!</v>
      </c>
      <c r="K851" s="7" t="e">
        <f t="shared" ca="1" si="92"/>
        <v>#VALUE!</v>
      </c>
      <c r="L851" s="7" t="e">
        <f t="shared" ca="1" si="93"/>
        <v>#VALUE!</v>
      </c>
      <c r="M851" s="7" t="e">
        <f t="shared" ca="1" si="94"/>
        <v>#VALUE!</v>
      </c>
      <c r="N851" s="7" t="e">
        <f t="shared" ca="1" si="95"/>
        <v>#VALUE!</v>
      </c>
      <c r="O851" s="7" t="e">
        <f t="shared" ca="1" si="96"/>
        <v>#VALUE!</v>
      </c>
      <c r="P851" s="7" t="e">
        <f t="shared" ca="1" si="97"/>
        <v>#VALUE!</v>
      </c>
    </row>
    <row r="852" spans="1:16" x14ac:dyDescent="0.25">
      <c r="A852" s="19" t="str">
        <f ca="1">IF(OR(INDIRECT("'" &amp; Master!$F$8 &amp; Master!$F$6 &amp; "'!A" &amp; ROW(A852))="", INDIRECT("'" &amp; Master!$F$8 &amp; Master!$F$6 &amp; "'!A" &amp; ROW(A852))=0), "", INDIRECT("'" &amp; Master!$F$8 &amp; Master!$F$6 &amp; "'!A" &amp; ROW(A852)))</f>
        <v/>
      </c>
      <c r="B852" s="4" t="e">
        <f ca="1">SplineInterp(INDIRECT("A" &amp; ROW()),INDIRECT("'" &amp;Master!$F$10&amp; "'!$A$2:$A$50"),INDIRECT("'" &amp;Master!$F$10&amp; "'!$B$2:$B$50"))</f>
        <v>#VALUE!</v>
      </c>
      <c r="C852" s="4" t="e">
        <f ca="1">SplineInterp(A852,INDIRECT("'" &amp;Master!$F$10&amp; "'!$A$2:$A$50"),INDIRECT("'" &amp;Master!$F$10&amp; "'!$C$2:$C$50"))</f>
        <v>#VALUE!</v>
      </c>
      <c r="D852" s="4" t="e">
        <f ca="1">SplineInterp(A852,INDIRECT("'" &amp;Master!$F$10&amp; "'!$A$2:$A$50"),INDIRECT("'" &amp;Master!$F$10&amp; "'!$D$2:$D$50"))</f>
        <v>#VALUE!</v>
      </c>
      <c r="E852" s="4" t="e">
        <f ca="1">SplineInterp(A852,INDIRECT("'" &amp;Master!$F$10&amp; "'!$A$2:$A$50"),INDIRECT("'" &amp;Master!$F$10&amp; "'!$E$2:$E$50"))</f>
        <v>#VALUE!</v>
      </c>
      <c r="F852" s="4" t="e">
        <f ca="1">SplineInterp(A852,INDIRECT("'" &amp;Master!$F$10&amp; "'!$A$2:$A$50"),INDIRECT("'" &amp;Master!$F$10&amp; "'!$F$2:$F$50"))</f>
        <v>#VALUE!</v>
      </c>
      <c r="G852" s="4" t="e">
        <f ca="1">SplineInterp(A852,INDIRECT("'" &amp;Master!$F$10&amp; "'!$A$2:$A$50"),INDIRECT("'" &amp;Master!$F$10&amp; "'!$G$2:$G$50"))</f>
        <v>#VALUE!</v>
      </c>
      <c r="H852" s="4" t="e">
        <f ca="1">SplineInterp(A852,INDIRECT("'" &amp;Master!$F$10&amp; "'!$A$2:$A$50"),INDIRECT("'" &amp;Master!$F$10&amp; "'!$H$2:$H$50"))</f>
        <v>#VALUE!</v>
      </c>
      <c r="I852" s="4" t="e">
        <f ca="1">IF(OR(INDIRECT("'" &amp; Master!$F$8 &amp; Master!$F$6 &amp; "'!B" &amp; ROW(B852))="", INDIRECT("'" &amp; Master!$F$8 &amp; Master!$F$6 &amp; "'!B" &amp; ROW(B852))=0), "", INDIRECT("'" &amp; Master!$F$8 &amp; Master!$F$6 &amp; "'!B" &amp; ROW(B852)))</f>
        <v>#VALUE!</v>
      </c>
      <c r="J852" s="9" t="e">
        <f t="shared" ca="1" si="91"/>
        <v>#VALUE!</v>
      </c>
      <c r="K852" s="7" t="e">
        <f t="shared" ca="1" si="92"/>
        <v>#VALUE!</v>
      </c>
      <c r="L852" s="7" t="e">
        <f t="shared" ca="1" si="93"/>
        <v>#VALUE!</v>
      </c>
      <c r="M852" s="7" t="e">
        <f t="shared" ca="1" si="94"/>
        <v>#VALUE!</v>
      </c>
      <c r="N852" s="7" t="e">
        <f t="shared" ca="1" si="95"/>
        <v>#VALUE!</v>
      </c>
      <c r="O852" s="7" t="e">
        <f t="shared" ca="1" si="96"/>
        <v>#VALUE!</v>
      </c>
      <c r="P852" s="7" t="e">
        <f t="shared" ca="1" si="97"/>
        <v>#VALUE!</v>
      </c>
    </row>
    <row r="853" spans="1:16" x14ac:dyDescent="0.25">
      <c r="A853" s="19" t="str">
        <f ca="1">IF(OR(INDIRECT("'" &amp; Master!$F$8 &amp; Master!$F$6 &amp; "'!A" &amp; ROW(A853))="", INDIRECT("'" &amp; Master!$F$8 &amp; Master!$F$6 &amp; "'!A" &amp; ROW(A853))=0), "", INDIRECT("'" &amp; Master!$F$8 &amp; Master!$F$6 &amp; "'!A" &amp; ROW(A853)))</f>
        <v/>
      </c>
      <c r="B853" s="4" t="e">
        <f ca="1">SplineInterp(INDIRECT("A" &amp; ROW()),INDIRECT("'" &amp;Master!$F$10&amp; "'!$A$2:$A$50"),INDIRECT("'" &amp;Master!$F$10&amp; "'!$B$2:$B$50"))</f>
        <v>#VALUE!</v>
      </c>
      <c r="C853" s="4" t="e">
        <f ca="1">SplineInterp(A853,INDIRECT("'" &amp;Master!$F$10&amp; "'!$A$2:$A$50"),INDIRECT("'" &amp;Master!$F$10&amp; "'!$C$2:$C$50"))</f>
        <v>#VALUE!</v>
      </c>
      <c r="D853" s="4" t="e">
        <f ca="1">SplineInterp(A853,INDIRECT("'" &amp;Master!$F$10&amp; "'!$A$2:$A$50"),INDIRECT("'" &amp;Master!$F$10&amp; "'!$D$2:$D$50"))</f>
        <v>#VALUE!</v>
      </c>
      <c r="E853" s="4" t="e">
        <f ca="1">SplineInterp(A853,INDIRECT("'" &amp;Master!$F$10&amp; "'!$A$2:$A$50"),INDIRECT("'" &amp;Master!$F$10&amp; "'!$E$2:$E$50"))</f>
        <v>#VALUE!</v>
      </c>
      <c r="F853" s="4" t="e">
        <f ca="1">SplineInterp(A853,INDIRECT("'" &amp;Master!$F$10&amp; "'!$A$2:$A$50"),INDIRECT("'" &amp;Master!$F$10&amp; "'!$F$2:$F$50"))</f>
        <v>#VALUE!</v>
      </c>
      <c r="G853" s="4" t="e">
        <f ca="1">SplineInterp(A853,INDIRECT("'" &amp;Master!$F$10&amp; "'!$A$2:$A$50"),INDIRECT("'" &amp;Master!$F$10&amp; "'!$G$2:$G$50"))</f>
        <v>#VALUE!</v>
      </c>
      <c r="H853" s="4" t="e">
        <f ca="1">SplineInterp(A853,INDIRECT("'" &amp;Master!$F$10&amp; "'!$A$2:$A$50"),INDIRECT("'" &amp;Master!$F$10&amp; "'!$H$2:$H$50"))</f>
        <v>#VALUE!</v>
      </c>
      <c r="I853" s="4" t="e">
        <f ca="1">IF(OR(INDIRECT("'" &amp; Master!$F$8 &amp; Master!$F$6 &amp; "'!B" &amp; ROW(B853))="", INDIRECT("'" &amp; Master!$F$8 &amp; Master!$F$6 &amp; "'!B" &amp; ROW(B853))=0), "", INDIRECT("'" &amp; Master!$F$8 &amp; Master!$F$6 &amp; "'!B" &amp; ROW(B853)))</f>
        <v>#VALUE!</v>
      </c>
      <c r="J853" s="9" t="e">
        <f t="shared" ca="1" si="91"/>
        <v>#VALUE!</v>
      </c>
      <c r="K853" s="7" t="e">
        <f t="shared" ca="1" si="92"/>
        <v>#VALUE!</v>
      </c>
      <c r="L853" s="7" t="e">
        <f t="shared" ca="1" si="93"/>
        <v>#VALUE!</v>
      </c>
      <c r="M853" s="7" t="e">
        <f t="shared" ca="1" si="94"/>
        <v>#VALUE!</v>
      </c>
      <c r="N853" s="7" t="e">
        <f t="shared" ca="1" si="95"/>
        <v>#VALUE!</v>
      </c>
      <c r="O853" s="7" t="e">
        <f t="shared" ca="1" si="96"/>
        <v>#VALUE!</v>
      </c>
      <c r="P853" s="7" t="e">
        <f t="shared" ca="1" si="97"/>
        <v>#VALUE!</v>
      </c>
    </row>
    <row r="854" spans="1:16" x14ac:dyDescent="0.25">
      <c r="A854" s="19" t="str">
        <f ca="1">IF(OR(INDIRECT("'" &amp; Master!$F$8 &amp; Master!$F$6 &amp; "'!A" &amp; ROW(A854))="", INDIRECT("'" &amp; Master!$F$8 &amp; Master!$F$6 &amp; "'!A" &amp; ROW(A854))=0), "", INDIRECT("'" &amp; Master!$F$8 &amp; Master!$F$6 &amp; "'!A" &amp; ROW(A854)))</f>
        <v/>
      </c>
      <c r="B854" s="4" t="e">
        <f ca="1">SplineInterp(INDIRECT("A" &amp; ROW()),INDIRECT("'" &amp;Master!$F$10&amp; "'!$A$2:$A$50"),INDIRECT("'" &amp;Master!$F$10&amp; "'!$B$2:$B$50"))</f>
        <v>#VALUE!</v>
      </c>
      <c r="C854" s="4" t="e">
        <f ca="1">SplineInterp(A854,INDIRECT("'" &amp;Master!$F$10&amp; "'!$A$2:$A$50"),INDIRECT("'" &amp;Master!$F$10&amp; "'!$C$2:$C$50"))</f>
        <v>#VALUE!</v>
      </c>
      <c r="D854" s="4" t="e">
        <f ca="1">SplineInterp(A854,INDIRECT("'" &amp;Master!$F$10&amp; "'!$A$2:$A$50"),INDIRECT("'" &amp;Master!$F$10&amp; "'!$D$2:$D$50"))</f>
        <v>#VALUE!</v>
      </c>
      <c r="E854" s="4" t="e">
        <f ca="1">SplineInterp(A854,INDIRECT("'" &amp;Master!$F$10&amp; "'!$A$2:$A$50"),INDIRECT("'" &amp;Master!$F$10&amp; "'!$E$2:$E$50"))</f>
        <v>#VALUE!</v>
      </c>
      <c r="F854" s="4" t="e">
        <f ca="1">SplineInterp(A854,INDIRECT("'" &amp;Master!$F$10&amp; "'!$A$2:$A$50"),INDIRECT("'" &amp;Master!$F$10&amp; "'!$F$2:$F$50"))</f>
        <v>#VALUE!</v>
      </c>
      <c r="G854" s="4" t="e">
        <f ca="1">SplineInterp(A854,INDIRECT("'" &amp;Master!$F$10&amp; "'!$A$2:$A$50"),INDIRECT("'" &amp;Master!$F$10&amp; "'!$G$2:$G$50"))</f>
        <v>#VALUE!</v>
      </c>
      <c r="H854" s="4" t="e">
        <f ca="1">SplineInterp(A854,INDIRECT("'" &amp;Master!$F$10&amp; "'!$A$2:$A$50"),INDIRECT("'" &amp;Master!$F$10&amp; "'!$H$2:$H$50"))</f>
        <v>#VALUE!</v>
      </c>
      <c r="I854" s="4" t="e">
        <f ca="1">IF(OR(INDIRECT("'" &amp; Master!$F$8 &amp; Master!$F$6 &amp; "'!B" &amp; ROW(B854))="", INDIRECT("'" &amp; Master!$F$8 &amp; Master!$F$6 &amp; "'!B" &amp; ROW(B854))=0), "", INDIRECT("'" &amp; Master!$F$8 &amp; Master!$F$6 &amp; "'!B" &amp; ROW(B854)))</f>
        <v>#VALUE!</v>
      </c>
      <c r="J854" s="9" t="e">
        <f t="shared" ca="1" si="91"/>
        <v>#VALUE!</v>
      </c>
      <c r="K854" s="7" t="e">
        <f t="shared" ca="1" si="92"/>
        <v>#VALUE!</v>
      </c>
      <c r="L854" s="7" t="e">
        <f t="shared" ca="1" si="93"/>
        <v>#VALUE!</v>
      </c>
      <c r="M854" s="7" t="e">
        <f t="shared" ca="1" si="94"/>
        <v>#VALUE!</v>
      </c>
      <c r="N854" s="7" t="e">
        <f t="shared" ca="1" si="95"/>
        <v>#VALUE!</v>
      </c>
      <c r="O854" s="7" t="e">
        <f t="shared" ca="1" si="96"/>
        <v>#VALUE!</v>
      </c>
      <c r="P854" s="7" t="e">
        <f t="shared" ca="1" si="97"/>
        <v>#VALUE!</v>
      </c>
    </row>
    <row r="855" spans="1:16" x14ac:dyDescent="0.25">
      <c r="A855" s="19" t="str">
        <f ca="1">IF(OR(INDIRECT("'" &amp; Master!$F$8 &amp; Master!$F$6 &amp; "'!A" &amp; ROW(A855))="", INDIRECT("'" &amp; Master!$F$8 &amp; Master!$F$6 &amp; "'!A" &amp; ROW(A855))=0), "", INDIRECT("'" &amp; Master!$F$8 &amp; Master!$F$6 &amp; "'!A" &amp; ROW(A855)))</f>
        <v/>
      </c>
      <c r="B855" s="4" t="e">
        <f ca="1">SplineInterp(INDIRECT("A" &amp; ROW()),INDIRECT("'" &amp;Master!$F$10&amp; "'!$A$2:$A$50"),INDIRECT("'" &amp;Master!$F$10&amp; "'!$B$2:$B$50"))</f>
        <v>#VALUE!</v>
      </c>
      <c r="C855" s="4" t="e">
        <f ca="1">SplineInterp(A855,INDIRECT("'" &amp;Master!$F$10&amp; "'!$A$2:$A$50"),INDIRECT("'" &amp;Master!$F$10&amp; "'!$C$2:$C$50"))</f>
        <v>#VALUE!</v>
      </c>
      <c r="D855" s="4" t="e">
        <f ca="1">SplineInterp(A855,INDIRECT("'" &amp;Master!$F$10&amp; "'!$A$2:$A$50"),INDIRECT("'" &amp;Master!$F$10&amp; "'!$D$2:$D$50"))</f>
        <v>#VALUE!</v>
      </c>
      <c r="E855" s="4" t="e">
        <f ca="1">SplineInterp(A855,INDIRECT("'" &amp;Master!$F$10&amp; "'!$A$2:$A$50"),INDIRECT("'" &amp;Master!$F$10&amp; "'!$E$2:$E$50"))</f>
        <v>#VALUE!</v>
      </c>
      <c r="F855" s="4" t="e">
        <f ca="1">SplineInterp(A855,INDIRECT("'" &amp;Master!$F$10&amp; "'!$A$2:$A$50"),INDIRECT("'" &amp;Master!$F$10&amp; "'!$F$2:$F$50"))</f>
        <v>#VALUE!</v>
      </c>
      <c r="G855" s="4" t="e">
        <f ca="1">SplineInterp(A855,INDIRECT("'" &amp;Master!$F$10&amp; "'!$A$2:$A$50"),INDIRECT("'" &amp;Master!$F$10&amp; "'!$G$2:$G$50"))</f>
        <v>#VALUE!</v>
      </c>
      <c r="H855" s="4" t="e">
        <f ca="1">SplineInterp(A855,INDIRECT("'" &amp;Master!$F$10&amp; "'!$A$2:$A$50"),INDIRECT("'" &amp;Master!$F$10&amp; "'!$H$2:$H$50"))</f>
        <v>#VALUE!</v>
      </c>
      <c r="I855" s="4" t="e">
        <f ca="1">IF(OR(INDIRECT("'" &amp; Master!$F$8 &amp; Master!$F$6 &amp; "'!B" &amp; ROW(B855))="", INDIRECT("'" &amp; Master!$F$8 &amp; Master!$F$6 &amp; "'!B" &amp; ROW(B855))=0), "", INDIRECT("'" &amp; Master!$F$8 &amp; Master!$F$6 &amp; "'!B" &amp; ROW(B855)))</f>
        <v>#VALUE!</v>
      </c>
      <c r="J855" s="9" t="e">
        <f t="shared" ca="1" si="91"/>
        <v>#VALUE!</v>
      </c>
      <c r="K855" s="7" t="e">
        <f t="shared" ca="1" si="92"/>
        <v>#VALUE!</v>
      </c>
      <c r="L855" s="7" t="e">
        <f t="shared" ca="1" si="93"/>
        <v>#VALUE!</v>
      </c>
      <c r="M855" s="7" t="e">
        <f t="shared" ca="1" si="94"/>
        <v>#VALUE!</v>
      </c>
      <c r="N855" s="7" t="e">
        <f t="shared" ca="1" si="95"/>
        <v>#VALUE!</v>
      </c>
      <c r="O855" s="7" t="e">
        <f t="shared" ca="1" si="96"/>
        <v>#VALUE!</v>
      </c>
      <c r="P855" s="7" t="e">
        <f t="shared" ca="1" si="97"/>
        <v>#VALUE!</v>
      </c>
    </row>
    <row r="856" spans="1:16" x14ac:dyDescent="0.25">
      <c r="A856" s="19" t="str">
        <f ca="1">IF(OR(INDIRECT("'" &amp; Master!$F$8 &amp; Master!$F$6 &amp; "'!A" &amp; ROW(A856))="", INDIRECT("'" &amp; Master!$F$8 &amp; Master!$F$6 &amp; "'!A" &amp; ROW(A856))=0), "", INDIRECT("'" &amp; Master!$F$8 &amp; Master!$F$6 &amp; "'!A" &amp; ROW(A856)))</f>
        <v/>
      </c>
      <c r="B856" s="4" t="e">
        <f ca="1">SplineInterp(INDIRECT("A" &amp; ROW()),INDIRECT("'" &amp;Master!$F$10&amp; "'!$A$2:$A$50"),INDIRECT("'" &amp;Master!$F$10&amp; "'!$B$2:$B$50"))</f>
        <v>#VALUE!</v>
      </c>
      <c r="C856" s="4" t="e">
        <f ca="1">SplineInterp(A856,INDIRECT("'" &amp;Master!$F$10&amp; "'!$A$2:$A$50"),INDIRECT("'" &amp;Master!$F$10&amp; "'!$C$2:$C$50"))</f>
        <v>#VALUE!</v>
      </c>
      <c r="D856" s="4" t="e">
        <f ca="1">SplineInterp(A856,INDIRECT("'" &amp;Master!$F$10&amp; "'!$A$2:$A$50"),INDIRECT("'" &amp;Master!$F$10&amp; "'!$D$2:$D$50"))</f>
        <v>#VALUE!</v>
      </c>
      <c r="E856" s="4" t="e">
        <f ca="1">SplineInterp(A856,INDIRECT("'" &amp;Master!$F$10&amp; "'!$A$2:$A$50"),INDIRECT("'" &amp;Master!$F$10&amp; "'!$E$2:$E$50"))</f>
        <v>#VALUE!</v>
      </c>
      <c r="F856" s="4" t="e">
        <f ca="1">SplineInterp(A856,INDIRECT("'" &amp;Master!$F$10&amp; "'!$A$2:$A$50"),INDIRECT("'" &amp;Master!$F$10&amp; "'!$F$2:$F$50"))</f>
        <v>#VALUE!</v>
      </c>
      <c r="G856" s="4" t="e">
        <f ca="1">SplineInterp(A856,INDIRECT("'" &amp;Master!$F$10&amp; "'!$A$2:$A$50"),INDIRECT("'" &amp;Master!$F$10&amp; "'!$G$2:$G$50"))</f>
        <v>#VALUE!</v>
      </c>
      <c r="H856" s="4" t="e">
        <f ca="1">SplineInterp(A856,INDIRECT("'" &amp;Master!$F$10&amp; "'!$A$2:$A$50"),INDIRECT("'" &amp;Master!$F$10&amp; "'!$H$2:$H$50"))</f>
        <v>#VALUE!</v>
      </c>
      <c r="I856" s="4" t="e">
        <f ca="1">IF(OR(INDIRECT("'" &amp; Master!$F$8 &amp; Master!$F$6 &amp; "'!B" &amp; ROW(B856))="", INDIRECT("'" &amp; Master!$F$8 &amp; Master!$F$6 &amp; "'!B" &amp; ROW(B856))=0), "", INDIRECT("'" &amp; Master!$F$8 &amp; Master!$F$6 &amp; "'!B" &amp; ROW(B856)))</f>
        <v>#VALUE!</v>
      </c>
      <c r="J856" s="9" t="e">
        <f t="shared" ca="1" si="91"/>
        <v>#VALUE!</v>
      </c>
      <c r="K856" s="7" t="e">
        <f t="shared" ca="1" si="92"/>
        <v>#VALUE!</v>
      </c>
      <c r="L856" s="7" t="e">
        <f t="shared" ca="1" si="93"/>
        <v>#VALUE!</v>
      </c>
      <c r="M856" s="7" t="e">
        <f t="shared" ca="1" si="94"/>
        <v>#VALUE!</v>
      </c>
      <c r="N856" s="7" t="e">
        <f t="shared" ca="1" si="95"/>
        <v>#VALUE!</v>
      </c>
      <c r="O856" s="7" t="e">
        <f t="shared" ca="1" si="96"/>
        <v>#VALUE!</v>
      </c>
      <c r="P856" s="7" t="e">
        <f t="shared" ca="1" si="97"/>
        <v>#VALUE!</v>
      </c>
    </row>
    <row r="857" spans="1:16" x14ac:dyDescent="0.25">
      <c r="A857" s="19" t="str">
        <f ca="1">IF(OR(INDIRECT("'" &amp; Master!$F$8 &amp; Master!$F$6 &amp; "'!A" &amp; ROW(A857))="", INDIRECT("'" &amp; Master!$F$8 &amp; Master!$F$6 &amp; "'!A" &amp; ROW(A857))=0), "", INDIRECT("'" &amp; Master!$F$8 &amp; Master!$F$6 &amp; "'!A" &amp; ROW(A857)))</f>
        <v/>
      </c>
      <c r="B857" s="4" t="e">
        <f ca="1">SplineInterp(INDIRECT("A" &amp; ROW()),INDIRECT("'" &amp;Master!$F$10&amp; "'!$A$2:$A$50"),INDIRECT("'" &amp;Master!$F$10&amp; "'!$B$2:$B$50"))</f>
        <v>#VALUE!</v>
      </c>
      <c r="C857" s="4" t="e">
        <f ca="1">SplineInterp(A857,INDIRECT("'" &amp;Master!$F$10&amp; "'!$A$2:$A$50"),INDIRECT("'" &amp;Master!$F$10&amp; "'!$C$2:$C$50"))</f>
        <v>#VALUE!</v>
      </c>
      <c r="D857" s="4" t="e">
        <f ca="1">SplineInterp(A857,INDIRECT("'" &amp;Master!$F$10&amp; "'!$A$2:$A$50"),INDIRECT("'" &amp;Master!$F$10&amp; "'!$D$2:$D$50"))</f>
        <v>#VALUE!</v>
      </c>
      <c r="E857" s="4" t="e">
        <f ca="1">SplineInterp(A857,INDIRECT("'" &amp;Master!$F$10&amp; "'!$A$2:$A$50"),INDIRECT("'" &amp;Master!$F$10&amp; "'!$E$2:$E$50"))</f>
        <v>#VALUE!</v>
      </c>
      <c r="F857" s="4" t="e">
        <f ca="1">SplineInterp(A857,INDIRECT("'" &amp;Master!$F$10&amp; "'!$A$2:$A$50"),INDIRECT("'" &amp;Master!$F$10&amp; "'!$F$2:$F$50"))</f>
        <v>#VALUE!</v>
      </c>
      <c r="G857" s="4" t="e">
        <f ca="1">SplineInterp(A857,INDIRECT("'" &amp;Master!$F$10&amp; "'!$A$2:$A$50"),INDIRECT("'" &amp;Master!$F$10&amp; "'!$G$2:$G$50"))</f>
        <v>#VALUE!</v>
      </c>
      <c r="H857" s="4" t="e">
        <f ca="1">SplineInterp(A857,INDIRECT("'" &amp;Master!$F$10&amp; "'!$A$2:$A$50"),INDIRECT("'" &amp;Master!$F$10&amp; "'!$H$2:$H$50"))</f>
        <v>#VALUE!</v>
      </c>
      <c r="I857" s="4" t="e">
        <f ca="1">IF(OR(INDIRECT("'" &amp; Master!$F$8 &amp; Master!$F$6 &amp; "'!B" &amp; ROW(B857))="", INDIRECT("'" &amp; Master!$F$8 &amp; Master!$F$6 &amp; "'!B" &amp; ROW(B857))=0), "", INDIRECT("'" &amp; Master!$F$8 &amp; Master!$F$6 &amp; "'!B" &amp; ROW(B857)))</f>
        <v>#VALUE!</v>
      </c>
      <c r="J857" s="9" t="e">
        <f t="shared" ca="1" si="91"/>
        <v>#VALUE!</v>
      </c>
      <c r="K857" s="7" t="e">
        <f t="shared" ca="1" si="92"/>
        <v>#VALUE!</v>
      </c>
      <c r="L857" s="7" t="e">
        <f t="shared" ca="1" si="93"/>
        <v>#VALUE!</v>
      </c>
      <c r="M857" s="7" t="e">
        <f t="shared" ca="1" si="94"/>
        <v>#VALUE!</v>
      </c>
      <c r="N857" s="7" t="e">
        <f t="shared" ca="1" si="95"/>
        <v>#VALUE!</v>
      </c>
      <c r="O857" s="7" t="e">
        <f t="shared" ca="1" si="96"/>
        <v>#VALUE!</v>
      </c>
      <c r="P857" s="7" t="e">
        <f t="shared" ca="1" si="97"/>
        <v>#VALUE!</v>
      </c>
    </row>
    <row r="858" spans="1:16" x14ac:dyDescent="0.25">
      <c r="A858" s="19" t="str">
        <f ca="1">IF(OR(INDIRECT("'" &amp; Master!$F$8 &amp; Master!$F$6 &amp; "'!A" &amp; ROW(A858))="", INDIRECT("'" &amp; Master!$F$8 &amp; Master!$F$6 &amp; "'!A" &amp; ROW(A858))=0), "", INDIRECT("'" &amp; Master!$F$8 &amp; Master!$F$6 &amp; "'!A" &amp; ROW(A858)))</f>
        <v/>
      </c>
      <c r="B858" s="4" t="e">
        <f ca="1">SplineInterp(INDIRECT("A" &amp; ROW()),INDIRECT("'" &amp;Master!$F$10&amp; "'!$A$2:$A$50"),INDIRECT("'" &amp;Master!$F$10&amp; "'!$B$2:$B$50"))</f>
        <v>#VALUE!</v>
      </c>
      <c r="C858" s="4" t="e">
        <f ca="1">SplineInterp(A858,INDIRECT("'" &amp;Master!$F$10&amp; "'!$A$2:$A$50"),INDIRECT("'" &amp;Master!$F$10&amp; "'!$C$2:$C$50"))</f>
        <v>#VALUE!</v>
      </c>
      <c r="D858" s="4" t="e">
        <f ca="1">SplineInterp(A858,INDIRECT("'" &amp;Master!$F$10&amp; "'!$A$2:$A$50"),INDIRECT("'" &amp;Master!$F$10&amp; "'!$D$2:$D$50"))</f>
        <v>#VALUE!</v>
      </c>
      <c r="E858" s="4" t="e">
        <f ca="1">SplineInterp(A858,INDIRECT("'" &amp;Master!$F$10&amp; "'!$A$2:$A$50"),INDIRECT("'" &amp;Master!$F$10&amp; "'!$E$2:$E$50"))</f>
        <v>#VALUE!</v>
      </c>
      <c r="F858" s="4" t="e">
        <f ca="1">SplineInterp(A858,INDIRECT("'" &amp;Master!$F$10&amp; "'!$A$2:$A$50"),INDIRECT("'" &amp;Master!$F$10&amp; "'!$F$2:$F$50"))</f>
        <v>#VALUE!</v>
      </c>
      <c r="G858" s="4" t="e">
        <f ca="1">SplineInterp(A858,INDIRECT("'" &amp;Master!$F$10&amp; "'!$A$2:$A$50"),INDIRECT("'" &amp;Master!$F$10&amp; "'!$G$2:$G$50"))</f>
        <v>#VALUE!</v>
      </c>
      <c r="H858" s="4" t="e">
        <f ca="1">SplineInterp(A858,INDIRECT("'" &amp;Master!$F$10&amp; "'!$A$2:$A$50"),INDIRECT("'" &amp;Master!$F$10&amp; "'!$H$2:$H$50"))</f>
        <v>#VALUE!</v>
      </c>
      <c r="I858" s="4" t="e">
        <f ca="1">IF(OR(INDIRECT("'" &amp; Master!$F$8 &amp; Master!$F$6 &amp; "'!B" &amp; ROW(B858))="", INDIRECT("'" &amp; Master!$F$8 &amp; Master!$F$6 &amp; "'!B" &amp; ROW(B858))=0), "", INDIRECT("'" &amp; Master!$F$8 &amp; Master!$F$6 &amp; "'!B" &amp; ROW(B858)))</f>
        <v>#VALUE!</v>
      </c>
      <c r="J858" s="9" t="e">
        <f t="shared" ca="1" si="91"/>
        <v>#VALUE!</v>
      </c>
      <c r="K858" s="7" t="e">
        <f t="shared" ca="1" si="92"/>
        <v>#VALUE!</v>
      </c>
      <c r="L858" s="7" t="e">
        <f t="shared" ca="1" si="93"/>
        <v>#VALUE!</v>
      </c>
      <c r="M858" s="7" t="e">
        <f t="shared" ca="1" si="94"/>
        <v>#VALUE!</v>
      </c>
      <c r="N858" s="7" t="e">
        <f t="shared" ca="1" si="95"/>
        <v>#VALUE!</v>
      </c>
      <c r="O858" s="7" t="e">
        <f t="shared" ca="1" si="96"/>
        <v>#VALUE!</v>
      </c>
      <c r="P858" s="7" t="e">
        <f t="shared" ca="1" si="97"/>
        <v>#VALUE!</v>
      </c>
    </row>
    <row r="859" spans="1:16" x14ac:dyDescent="0.25">
      <c r="A859" s="19" t="str">
        <f ca="1">IF(OR(INDIRECT("'" &amp; Master!$F$8 &amp; Master!$F$6 &amp; "'!A" &amp; ROW(A859))="", INDIRECT("'" &amp; Master!$F$8 &amp; Master!$F$6 &amp; "'!A" &amp; ROW(A859))=0), "", INDIRECT("'" &amp; Master!$F$8 &amp; Master!$F$6 &amp; "'!A" &amp; ROW(A859)))</f>
        <v/>
      </c>
      <c r="B859" s="4" t="e">
        <f ca="1">SplineInterp(INDIRECT("A" &amp; ROW()),INDIRECT("'" &amp;Master!$F$10&amp; "'!$A$2:$A$50"),INDIRECT("'" &amp;Master!$F$10&amp; "'!$B$2:$B$50"))</f>
        <v>#VALUE!</v>
      </c>
      <c r="C859" s="4" t="e">
        <f ca="1">SplineInterp(A859,INDIRECT("'" &amp;Master!$F$10&amp; "'!$A$2:$A$50"),INDIRECT("'" &amp;Master!$F$10&amp; "'!$C$2:$C$50"))</f>
        <v>#VALUE!</v>
      </c>
      <c r="D859" s="4" t="e">
        <f ca="1">SplineInterp(A859,INDIRECT("'" &amp;Master!$F$10&amp; "'!$A$2:$A$50"),INDIRECT("'" &amp;Master!$F$10&amp; "'!$D$2:$D$50"))</f>
        <v>#VALUE!</v>
      </c>
      <c r="E859" s="4" t="e">
        <f ca="1">SplineInterp(A859,INDIRECT("'" &amp;Master!$F$10&amp; "'!$A$2:$A$50"),INDIRECT("'" &amp;Master!$F$10&amp; "'!$E$2:$E$50"))</f>
        <v>#VALUE!</v>
      </c>
      <c r="F859" s="4" t="e">
        <f ca="1">SplineInterp(A859,INDIRECT("'" &amp;Master!$F$10&amp; "'!$A$2:$A$50"),INDIRECT("'" &amp;Master!$F$10&amp; "'!$F$2:$F$50"))</f>
        <v>#VALUE!</v>
      </c>
      <c r="G859" s="4" t="e">
        <f ca="1">SplineInterp(A859,INDIRECT("'" &amp;Master!$F$10&amp; "'!$A$2:$A$50"),INDIRECT("'" &amp;Master!$F$10&amp; "'!$G$2:$G$50"))</f>
        <v>#VALUE!</v>
      </c>
      <c r="H859" s="4" t="e">
        <f ca="1">SplineInterp(A859,INDIRECT("'" &amp;Master!$F$10&amp; "'!$A$2:$A$50"),INDIRECT("'" &amp;Master!$F$10&amp; "'!$H$2:$H$50"))</f>
        <v>#VALUE!</v>
      </c>
      <c r="I859" s="4" t="e">
        <f ca="1">IF(OR(INDIRECT("'" &amp; Master!$F$8 &amp; Master!$F$6 &amp; "'!B" &amp; ROW(B859))="", INDIRECT("'" &amp; Master!$F$8 &amp; Master!$F$6 &amp; "'!B" &amp; ROW(B859))=0), "", INDIRECT("'" &amp; Master!$F$8 &amp; Master!$F$6 &amp; "'!B" &amp; ROW(B859)))</f>
        <v>#VALUE!</v>
      </c>
      <c r="J859" s="9" t="e">
        <f t="shared" ca="1" si="91"/>
        <v>#VALUE!</v>
      </c>
      <c r="K859" s="7" t="e">
        <f t="shared" ca="1" si="92"/>
        <v>#VALUE!</v>
      </c>
      <c r="L859" s="7" t="e">
        <f t="shared" ca="1" si="93"/>
        <v>#VALUE!</v>
      </c>
      <c r="M859" s="7" t="e">
        <f t="shared" ca="1" si="94"/>
        <v>#VALUE!</v>
      </c>
      <c r="N859" s="7" t="e">
        <f t="shared" ca="1" si="95"/>
        <v>#VALUE!</v>
      </c>
      <c r="O859" s="7" t="e">
        <f t="shared" ca="1" si="96"/>
        <v>#VALUE!</v>
      </c>
      <c r="P859" s="7" t="e">
        <f t="shared" ca="1" si="97"/>
        <v>#VALUE!</v>
      </c>
    </row>
    <row r="860" spans="1:16" x14ac:dyDescent="0.25">
      <c r="A860" s="19" t="str">
        <f ca="1">IF(OR(INDIRECT("'" &amp; Master!$F$8 &amp; Master!$F$6 &amp; "'!A" &amp; ROW(A860))="", INDIRECT("'" &amp; Master!$F$8 &amp; Master!$F$6 &amp; "'!A" &amp; ROW(A860))=0), "", INDIRECT("'" &amp; Master!$F$8 &amp; Master!$F$6 &amp; "'!A" &amp; ROW(A860)))</f>
        <v/>
      </c>
      <c r="B860" s="4" t="e">
        <f ca="1">SplineInterp(INDIRECT("A" &amp; ROW()),INDIRECT("'" &amp;Master!$F$10&amp; "'!$A$2:$A$50"),INDIRECT("'" &amp;Master!$F$10&amp; "'!$B$2:$B$50"))</f>
        <v>#VALUE!</v>
      </c>
      <c r="C860" s="4" t="e">
        <f ca="1">SplineInterp(A860,INDIRECT("'" &amp;Master!$F$10&amp; "'!$A$2:$A$50"),INDIRECT("'" &amp;Master!$F$10&amp; "'!$C$2:$C$50"))</f>
        <v>#VALUE!</v>
      </c>
      <c r="D860" s="4" t="e">
        <f ca="1">SplineInterp(A860,INDIRECT("'" &amp;Master!$F$10&amp; "'!$A$2:$A$50"),INDIRECT("'" &amp;Master!$F$10&amp; "'!$D$2:$D$50"))</f>
        <v>#VALUE!</v>
      </c>
      <c r="E860" s="4" t="e">
        <f ca="1">SplineInterp(A860,INDIRECT("'" &amp;Master!$F$10&amp; "'!$A$2:$A$50"),INDIRECT("'" &amp;Master!$F$10&amp; "'!$E$2:$E$50"))</f>
        <v>#VALUE!</v>
      </c>
      <c r="F860" s="4" t="e">
        <f ca="1">SplineInterp(A860,INDIRECT("'" &amp;Master!$F$10&amp; "'!$A$2:$A$50"),INDIRECT("'" &amp;Master!$F$10&amp; "'!$F$2:$F$50"))</f>
        <v>#VALUE!</v>
      </c>
      <c r="G860" s="4" t="e">
        <f ca="1">SplineInterp(A860,INDIRECT("'" &amp;Master!$F$10&amp; "'!$A$2:$A$50"),INDIRECT("'" &amp;Master!$F$10&amp; "'!$G$2:$G$50"))</f>
        <v>#VALUE!</v>
      </c>
      <c r="H860" s="4" t="e">
        <f ca="1">SplineInterp(A860,INDIRECT("'" &amp;Master!$F$10&amp; "'!$A$2:$A$50"),INDIRECT("'" &amp;Master!$F$10&amp; "'!$H$2:$H$50"))</f>
        <v>#VALUE!</v>
      </c>
      <c r="I860" s="4" t="e">
        <f ca="1">IF(OR(INDIRECT("'" &amp; Master!$F$8 &amp; Master!$F$6 &amp; "'!B" &amp; ROW(B860))="", INDIRECT("'" &amp; Master!$F$8 &amp; Master!$F$6 &amp; "'!B" &amp; ROW(B860))=0), "", INDIRECT("'" &amp; Master!$F$8 &amp; Master!$F$6 &amp; "'!B" &amp; ROW(B860)))</f>
        <v>#VALUE!</v>
      </c>
      <c r="J860" s="9" t="e">
        <f t="shared" ca="1" si="91"/>
        <v>#VALUE!</v>
      </c>
      <c r="K860" s="7" t="e">
        <f t="shared" ca="1" si="92"/>
        <v>#VALUE!</v>
      </c>
      <c r="L860" s="7" t="e">
        <f t="shared" ca="1" si="93"/>
        <v>#VALUE!</v>
      </c>
      <c r="M860" s="7" t="e">
        <f t="shared" ca="1" si="94"/>
        <v>#VALUE!</v>
      </c>
      <c r="N860" s="7" t="e">
        <f t="shared" ca="1" si="95"/>
        <v>#VALUE!</v>
      </c>
      <c r="O860" s="7" t="e">
        <f t="shared" ca="1" si="96"/>
        <v>#VALUE!</v>
      </c>
      <c r="P860" s="7" t="e">
        <f t="shared" ca="1" si="97"/>
        <v>#VALUE!</v>
      </c>
    </row>
    <row r="861" spans="1:16" x14ac:dyDescent="0.25">
      <c r="A861" s="19" t="str">
        <f ca="1">IF(OR(INDIRECT("'" &amp; Master!$F$8 &amp; Master!$F$6 &amp; "'!A" &amp; ROW(A861))="", INDIRECT("'" &amp; Master!$F$8 &amp; Master!$F$6 &amp; "'!A" &amp; ROW(A861))=0), "", INDIRECT("'" &amp; Master!$F$8 &amp; Master!$F$6 &amp; "'!A" &amp; ROW(A861)))</f>
        <v/>
      </c>
      <c r="B861" s="4" t="e">
        <f ca="1">SplineInterp(INDIRECT("A" &amp; ROW()),INDIRECT("'" &amp;Master!$F$10&amp; "'!$A$2:$A$50"),INDIRECT("'" &amp;Master!$F$10&amp; "'!$B$2:$B$50"))</f>
        <v>#VALUE!</v>
      </c>
      <c r="C861" s="4" t="e">
        <f ca="1">SplineInterp(A861,INDIRECT("'" &amp;Master!$F$10&amp; "'!$A$2:$A$50"),INDIRECT("'" &amp;Master!$F$10&amp; "'!$C$2:$C$50"))</f>
        <v>#VALUE!</v>
      </c>
      <c r="D861" s="4" t="e">
        <f ca="1">SplineInterp(A861,INDIRECT("'" &amp;Master!$F$10&amp; "'!$A$2:$A$50"),INDIRECT("'" &amp;Master!$F$10&amp; "'!$D$2:$D$50"))</f>
        <v>#VALUE!</v>
      </c>
      <c r="E861" s="4" t="e">
        <f ca="1">SplineInterp(A861,INDIRECT("'" &amp;Master!$F$10&amp; "'!$A$2:$A$50"),INDIRECT("'" &amp;Master!$F$10&amp; "'!$E$2:$E$50"))</f>
        <v>#VALUE!</v>
      </c>
      <c r="F861" s="4" t="e">
        <f ca="1">SplineInterp(A861,INDIRECT("'" &amp;Master!$F$10&amp; "'!$A$2:$A$50"),INDIRECT("'" &amp;Master!$F$10&amp; "'!$F$2:$F$50"))</f>
        <v>#VALUE!</v>
      </c>
      <c r="G861" s="4" t="e">
        <f ca="1">SplineInterp(A861,INDIRECT("'" &amp;Master!$F$10&amp; "'!$A$2:$A$50"),INDIRECT("'" &amp;Master!$F$10&amp; "'!$G$2:$G$50"))</f>
        <v>#VALUE!</v>
      </c>
      <c r="H861" s="4" t="e">
        <f ca="1">SplineInterp(A861,INDIRECT("'" &amp;Master!$F$10&amp; "'!$A$2:$A$50"),INDIRECT("'" &amp;Master!$F$10&amp; "'!$H$2:$H$50"))</f>
        <v>#VALUE!</v>
      </c>
      <c r="I861" s="4" t="e">
        <f ca="1">IF(OR(INDIRECT("'" &amp; Master!$F$8 &amp; Master!$F$6 &amp; "'!B" &amp; ROW(B861))="", INDIRECT("'" &amp; Master!$F$8 &amp; Master!$F$6 &amp; "'!B" &amp; ROW(B861))=0), "", INDIRECT("'" &amp; Master!$F$8 &amp; Master!$F$6 &amp; "'!B" &amp; ROW(B861)))</f>
        <v>#VALUE!</v>
      </c>
      <c r="J861" s="9" t="e">
        <f t="shared" ca="1" si="91"/>
        <v>#VALUE!</v>
      </c>
      <c r="K861" s="7" t="e">
        <f t="shared" ca="1" si="92"/>
        <v>#VALUE!</v>
      </c>
      <c r="L861" s="7" t="e">
        <f t="shared" ca="1" si="93"/>
        <v>#VALUE!</v>
      </c>
      <c r="M861" s="7" t="e">
        <f t="shared" ca="1" si="94"/>
        <v>#VALUE!</v>
      </c>
      <c r="N861" s="7" t="e">
        <f t="shared" ca="1" si="95"/>
        <v>#VALUE!</v>
      </c>
      <c r="O861" s="7" t="e">
        <f t="shared" ca="1" si="96"/>
        <v>#VALUE!</v>
      </c>
      <c r="P861" s="7" t="e">
        <f t="shared" ca="1" si="97"/>
        <v>#VALUE!</v>
      </c>
    </row>
    <row r="862" spans="1:16" x14ac:dyDescent="0.25">
      <c r="A862" s="19" t="str">
        <f ca="1">IF(OR(INDIRECT("'" &amp; Master!$F$8 &amp; Master!$F$6 &amp; "'!A" &amp; ROW(A862))="", INDIRECT("'" &amp; Master!$F$8 &amp; Master!$F$6 &amp; "'!A" &amp; ROW(A862))=0), "", INDIRECT("'" &amp; Master!$F$8 &amp; Master!$F$6 &amp; "'!A" &amp; ROW(A862)))</f>
        <v/>
      </c>
      <c r="B862" s="4" t="e">
        <f ca="1">SplineInterp(INDIRECT("A" &amp; ROW()),INDIRECT("'" &amp;Master!$F$10&amp; "'!$A$2:$A$50"),INDIRECT("'" &amp;Master!$F$10&amp; "'!$B$2:$B$50"))</f>
        <v>#VALUE!</v>
      </c>
      <c r="C862" s="4" t="e">
        <f ca="1">SplineInterp(A862,INDIRECT("'" &amp;Master!$F$10&amp; "'!$A$2:$A$50"),INDIRECT("'" &amp;Master!$F$10&amp; "'!$C$2:$C$50"))</f>
        <v>#VALUE!</v>
      </c>
      <c r="D862" s="4" t="e">
        <f ca="1">SplineInterp(A862,INDIRECT("'" &amp;Master!$F$10&amp; "'!$A$2:$A$50"),INDIRECT("'" &amp;Master!$F$10&amp; "'!$D$2:$D$50"))</f>
        <v>#VALUE!</v>
      </c>
      <c r="E862" s="4" t="e">
        <f ca="1">SplineInterp(A862,INDIRECT("'" &amp;Master!$F$10&amp; "'!$A$2:$A$50"),INDIRECT("'" &amp;Master!$F$10&amp; "'!$E$2:$E$50"))</f>
        <v>#VALUE!</v>
      </c>
      <c r="F862" s="4" t="e">
        <f ca="1">SplineInterp(A862,INDIRECT("'" &amp;Master!$F$10&amp; "'!$A$2:$A$50"),INDIRECT("'" &amp;Master!$F$10&amp; "'!$F$2:$F$50"))</f>
        <v>#VALUE!</v>
      </c>
      <c r="G862" s="4" t="e">
        <f ca="1">SplineInterp(A862,INDIRECT("'" &amp;Master!$F$10&amp; "'!$A$2:$A$50"),INDIRECT("'" &amp;Master!$F$10&amp; "'!$G$2:$G$50"))</f>
        <v>#VALUE!</v>
      </c>
      <c r="H862" s="4" t="e">
        <f ca="1">SplineInterp(A862,INDIRECT("'" &amp;Master!$F$10&amp; "'!$A$2:$A$50"),INDIRECT("'" &amp;Master!$F$10&amp; "'!$H$2:$H$50"))</f>
        <v>#VALUE!</v>
      </c>
      <c r="I862" s="4" t="e">
        <f ca="1">IF(OR(INDIRECT("'" &amp; Master!$F$8 &amp; Master!$F$6 &amp; "'!B" &amp; ROW(B862))="", INDIRECT("'" &amp; Master!$F$8 &amp; Master!$F$6 &amp; "'!B" &amp; ROW(B862))=0), "", INDIRECT("'" &amp; Master!$F$8 &amp; Master!$F$6 &amp; "'!B" &amp; ROW(B862)))</f>
        <v>#VALUE!</v>
      </c>
      <c r="J862" s="9" t="e">
        <f t="shared" ca="1" si="91"/>
        <v>#VALUE!</v>
      </c>
      <c r="K862" s="7" t="e">
        <f t="shared" ca="1" si="92"/>
        <v>#VALUE!</v>
      </c>
      <c r="L862" s="7" t="e">
        <f t="shared" ca="1" si="93"/>
        <v>#VALUE!</v>
      </c>
      <c r="M862" s="7" t="e">
        <f t="shared" ca="1" si="94"/>
        <v>#VALUE!</v>
      </c>
      <c r="N862" s="7" t="e">
        <f t="shared" ca="1" si="95"/>
        <v>#VALUE!</v>
      </c>
      <c r="O862" s="7" t="e">
        <f t="shared" ca="1" si="96"/>
        <v>#VALUE!</v>
      </c>
      <c r="P862" s="7" t="e">
        <f t="shared" ca="1" si="97"/>
        <v>#VALUE!</v>
      </c>
    </row>
    <row r="863" spans="1:16" x14ac:dyDescent="0.25">
      <c r="A863" s="19" t="str">
        <f ca="1">IF(OR(INDIRECT("'" &amp; Master!$F$8 &amp; Master!$F$6 &amp; "'!A" &amp; ROW(A863))="", INDIRECT("'" &amp; Master!$F$8 &amp; Master!$F$6 &amp; "'!A" &amp; ROW(A863))=0), "", INDIRECT("'" &amp; Master!$F$8 &amp; Master!$F$6 &amp; "'!A" &amp; ROW(A863)))</f>
        <v/>
      </c>
      <c r="B863" s="4" t="e">
        <f ca="1">SplineInterp(INDIRECT("A" &amp; ROW()),INDIRECT("'" &amp;Master!$F$10&amp; "'!$A$2:$A$50"),INDIRECT("'" &amp;Master!$F$10&amp; "'!$B$2:$B$50"))</f>
        <v>#VALUE!</v>
      </c>
      <c r="C863" s="4" t="e">
        <f ca="1">SplineInterp(A863,INDIRECT("'" &amp;Master!$F$10&amp; "'!$A$2:$A$50"),INDIRECT("'" &amp;Master!$F$10&amp; "'!$C$2:$C$50"))</f>
        <v>#VALUE!</v>
      </c>
      <c r="D863" s="4" t="e">
        <f ca="1">SplineInterp(A863,INDIRECT("'" &amp;Master!$F$10&amp; "'!$A$2:$A$50"),INDIRECT("'" &amp;Master!$F$10&amp; "'!$D$2:$D$50"))</f>
        <v>#VALUE!</v>
      </c>
      <c r="E863" s="4" t="e">
        <f ca="1">SplineInterp(A863,INDIRECT("'" &amp;Master!$F$10&amp; "'!$A$2:$A$50"),INDIRECT("'" &amp;Master!$F$10&amp; "'!$E$2:$E$50"))</f>
        <v>#VALUE!</v>
      </c>
      <c r="F863" s="4" t="e">
        <f ca="1">SplineInterp(A863,INDIRECT("'" &amp;Master!$F$10&amp; "'!$A$2:$A$50"),INDIRECT("'" &amp;Master!$F$10&amp; "'!$F$2:$F$50"))</f>
        <v>#VALUE!</v>
      </c>
      <c r="G863" s="4" t="e">
        <f ca="1">SplineInterp(A863,INDIRECT("'" &amp;Master!$F$10&amp; "'!$A$2:$A$50"),INDIRECT("'" &amp;Master!$F$10&amp; "'!$G$2:$G$50"))</f>
        <v>#VALUE!</v>
      </c>
      <c r="H863" s="4" t="e">
        <f ca="1">SplineInterp(A863,INDIRECT("'" &amp;Master!$F$10&amp; "'!$A$2:$A$50"),INDIRECT("'" &amp;Master!$F$10&amp; "'!$H$2:$H$50"))</f>
        <v>#VALUE!</v>
      </c>
      <c r="I863" s="4" t="e">
        <f ca="1">IF(OR(INDIRECT("'" &amp; Master!$F$8 &amp; Master!$F$6 &amp; "'!B" &amp; ROW(B863))="", INDIRECT("'" &amp; Master!$F$8 &amp; Master!$F$6 &amp; "'!B" &amp; ROW(B863))=0), "", INDIRECT("'" &amp; Master!$F$8 &amp; Master!$F$6 &amp; "'!B" &amp; ROW(B863)))</f>
        <v>#VALUE!</v>
      </c>
      <c r="J863" s="9" t="e">
        <f t="shared" ca="1" si="91"/>
        <v>#VALUE!</v>
      </c>
      <c r="K863" s="7" t="e">
        <f t="shared" ca="1" si="92"/>
        <v>#VALUE!</v>
      </c>
      <c r="L863" s="7" t="e">
        <f t="shared" ca="1" si="93"/>
        <v>#VALUE!</v>
      </c>
      <c r="M863" s="7" t="e">
        <f t="shared" ca="1" si="94"/>
        <v>#VALUE!</v>
      </c>
      <c r="N863" s="7" t="e">
        <f t="shared" ca="1" si="95"/>
        <v>#VALUE!</v>
      </c>
      <c r="O863" s="7" t="e">
        <f t="shared" ca="1" si="96"/>
        <v>#VALUE!</v>
      </c>
      <c r="P863" s="7" t="e">
        <f t="shared" ca="1" si="97"/>
        <v>#VALUE!</v>
      </c>
    </row>
    <row r="864" spans="1:16" x14ac:dyDescent="0.25">
      <c r="A864" s="19" t="str">
        <f ca="1">IF(OR(INDIRECT("'" &amp; Master!$F$8 &amp; Master!$F$6 &amp; "'!A" &amp; ROW(A864))="", INDIRECT("'" &amp; Master!$F$8 &amp; Master!$F$6 &amp; "'!A" &amp; ROW(A864))=0), "", INDIRECT("'" &amp; Master!$F$8 &amp; Master!$F$6 &amp; "'!A" &amp; ROW(A864)))</f>
        <v/>
      </c>
      <c r="B864" s="4" t="e">
        <f ca="1">SplineInterp(INDIRECT("A" &amp; ROW()),INDIRECT("'" &amp;Master!$F$10&amp; "'!$A$2:$A$50"),INDIRECT("'" &amp;Master!$F$10&amp; "'!$B$2:$B$50"))</f>
        <v>#VALUE!</v>
      </c>
      <c r="C864" s="4" t="e">
        <f ca="1">SplineInterp(A864,INDIRECT("'" &amp;Master!$F$10&amp; "'!$A$2:$A$50"),INDIRECT("'" &amp;Master!$F$10&amp; "'!$C$2:$C$50"))</f>
        <v>#VALUE!</v>
      </c>
      <c r="D864" s="4" t="e">
        <f ca="1">SplineInterp(A864,INDIRECT("'" &amp;Master!$F$10&amp; "'!$A$2:$A$50"),INDIRECT("'" &amp;Master!$F$10&amp; "'!$D$2:$D$50"))</f>
        <v>#VALUE!</v>
      </c>
      <c r="E864" s="4" t="e">
        <f ca="1">SplineInterp(A864,INDIRECT("'" &amp;Master!$F$10&amp; "'!$A$2:$A$50"),INDIRECT("'" &amp;Master!$F$10&amp; "'!$E$2:$E$50"))</f>
        <v>#VALUE!</v>
      </c>
      <c r="F864" s="4" t="e">
        <f ca="1">SplineInterp(A864,INDIRECT("'" &amp;Master!$F$10&amp; "'!$A$2:$A$50"),INDIRECT("'" &amp;Master!$F$10&amp; "'!$F$2:$F$50"))</f>
        <v>#VALUE!</v>
      </c>
      <c r="G864" s="4" t="e">
        <f ca="1">SplineInterp(A864,INDIRECT("'" &amp;Master!$F$10&amp; "'!$A$2:$A$50"),INDIRECT("'" &amp;Master!$F$10&amp; "'!$G$2:$G$50"))</f>
        <v>#VALUE!</v>
      </c>
      <c r="H864" s="4" t="e">
        <f ca="1">SplineInterp(A864,INDIRECT("'" &amp;Master!$F$10&amp; "'!$A$2:$A$50"),INDIRECT("'" &amp;Master!$F$10&amp; "'!$H$2:$H$50"))</f>
        <v>#VALUE!</v>
      </c>
      <c r="I864" s="4" t="e">
        <f ca="1">IF(OR(INDIRECT("'" &amp; Master!$F$8 &amp; Master!$F$6 &amp; "'!B" &amp; ROW(B864))="", INDIRECT("'" &amp; Master!$F$8 &amp; Master!$F$6 &amp; "'!B" &amp; ROW(B864))=0), "", INDIRECT("'" &amp; Master!$F$8 &amp; Master!$F$6 &amp; "'!B" &amp; ROW(B864)))</f>
        <v>#VALUE!</v>
      </c>
      <c r="J864" s="9" t="e">
        <f t="shared" ca="1" si="91"/>
        <v>#VALUE!</v>
      </c>
      <c r="K864" s="7" t="e">
        <f t="shared" ca="1" si="92"/>
        <v>#VALUE!</v>
      </c>
      <c r="L864" s="7" t="e">
        <f t="shared" ca="1" si="93"/>
        <v>#VALUE!</v>
      </c>
      <c r="M864" s="7" t="e">
        <f t="shared" ca="1" si="94"/>
        <v>#VALUE!</v>
      </c>
      <c r="N864" s="7" t="e">
        <f t="shared" ca="1" si="95"/>
        <v>#VALUE!</v>
      </c>
      <c r="O864" s="7" t="e">
        <f t="shared" ca="1" si="96"/>
        <v>#VALUE!</v>
      </c>
      <c r="P864" s="7" t="e">
        <f t="shared" ca="1" si="97"/>
        <v>#VALUE!</v>
      </c>
    </row>
    <row r="865" spans="1:16" x14ac:dyDescent="0.25">
      <c r="A865" s="19" t="str">
        <f ca="1">IF(OR(INDIRECT("'" &amp; Master!$F$8 &amp; Master!$F$6 &amp; "'!A" &amp; ROW(A865))="", INDIRECT("'" &amp; Master!$F$8 &amp; Master!$F$6 &amp; "'!A" &amp; ROW(A865))=0), "", INDIRECT("'" &amp; Master!$F$8 &amp; Master!$F$6 &amp; "'!A" &amp; ROW(A865)))</f>
        <v/>
      </c>
      <c r="B865" s="4" t="e">
        <f ca="1">SplineInterp(INDIRECT("A" &amp; ROW()),INDIRECT("'" &amp;Master!$F$10&amp; "'!$A$2:$A$50"),INDIRECT("'" &amp;Master!$F$10&amp; "'!$B$2:$B$50"))</f>
        <v>#VALUE!</v>
      </c>
      <c r="C865" s="4" t="e">
        <f ca="1">SplineInterp(A865,INDIRECT("'" &amp;Master!$F$10&amp; "'!$A$2:$A$50"),INDIRECT("'" &amp;Master!$F$10&amp; "'!$C$2:$C$50"))</f>
        <v>#VALUE!</v>
      </c>
      <c r="D865" s="4" t="e">
        <f ca="1">SplineInterp(A865,INDIRECT("'" &amp;Master!$F$10&amp; "'!$A$2:$A$50"),INDIRECT("'" &amp;Master!$F$10&amp; "'!$D$2:$D$50"))</f>
        <v>#VALUE!</v>
      </c>
      <c r="E865" s="4" t="e">
        <f ca="1">SplineInterp(A865,INDIRECT("'" &amp;Master!$F$10&amp; "'!$A$2:$A$50"),INDIRECT("'" &amp;Master!$F$10&amp; "'!$E$2:$E$50"))</f>
        <v>#VALUE!</v>
      </c>
      <c r="F865" s="4" t="e">
        <f ca="1">SplineInterp(A865,INDIRECT("'" &amp;Master!$F$10&amp; "'!$A$2:$A$50"),INDIRECT("'" &amp;Master!$F$10&amp; "'!$F$2:$F$50"))</f>
        <v>#VALUE!</v>
      </c>
      <c r="G865" s="4" t="e">
        <f ca="1">SplineInterp(A865,INDIRECT("'" &amp;Master!$F$10&amp; "'!$A$2:$A$50"),INDIRECT("'" &amp;Master!$F$10&amp; "'!$G$2:$G$50"))</f>
        <v>#VALUE!</v>
      </c>
      <c r="H865" s="4" t="e">
        <f ca="1">SplineInterp(A865,INDIRECT("'" &amp;Master!$F$10&amp; "'!$A$2:$A$50"),INDIRECT("'" &amp;Master!$F$10&amp; "'!$H$2:$H$50"))</f>
        <v>#VALUE!</v>
      </c>
      <c r="I865" s="4" t="e">
        <f ca="1">IF(OR(INDIRECT("'" &amp; Master!$F$8 &amp; Master!$F$6 &amp; "'!B" &amp; ROW(B865))="", INDIRECT("'" &amp; Master!$F$8 &amp; Master!$F$6 &amp; "'!B" &amp; ROW(B865))=0), "", INDIRECT("'" &amp; Master!$F$8 &amp; Master!$F$6 &amp; "'!B" &amp; ROW(B865)))</f>
        <v>#VALUE!</v>
      </c>
      <c r="J865" s="9" t="e">
        <f t="shared" ca="1" si="91"/>
        <v>#VALUE!</v>
      </c>
      <c r="K865" s="7" t="e">
        <f t="shared" ca="1" si="92"/>
        <v>#VALUE!</v>
      </c>
      <c r="L865" s="7" t="e">
        <f t="shared" ca="1" si="93"/>
        <v>#VALUE!</v>
      </c>
      <c r="M865" s="7" t="e">
        <f t="shared" ca="1" si="94"/>
        <v>#VALUE!</v>
      </c>
      <c r="N865" s="7" t="e">
        <f t="shared" ca="1" si="95"/>
        <v>#VALUE!</v>
      </c>
      <c r="O865" s="7" t="e">
        <f t="shared" ca="1" si="96"/>
        <v>#VALUE!</v>
      </c>
      <c r="P865" s="7" t="e">
        <f t="shared" ca="1" si="97"/>
        <v>#VALUE!</v>
      </c>
    </row>
    <row r="866" spans="1:16" x14ac:dyDescent="0.25">
      <c r="A866" s="19" t="str">
        <f ca="1">IF(OR(INDIRECT("'" &amp; Master!$F$8 &amp; Master!$F$6 &amp; "'!A" &amp; ROW(A866))="", INDIRECT("'" &amp; Master!$F$8 &amp; Master!$F$6 &amp; "'!A" &amp; ROW(A866))=0), "", INDIRECT("'" &amp; Master!$F$8 &amp; Master!$F$6 &amp; "'!A" &amp; ROW(A866)))</f>
        <v/>
      </c>
      <c r="B866" s="4" t="e">
        <f ca="1">SplineInterp(INDIRECT("A" &amp; ROW()),INDIRECT("'" &amp;Master!$F$10&amp; "'!$A$2:$A$50"),INDIRECT("'" &amp;Master!$F$10&amp; "'!$B$2:$B$50"))</f>
        <v>#VALUE!</v>
      </c>
      <c r="C866" s="4" t="e">
        <f ca="1">SplineInterp(A866,INDIRECT("'" &amp;Master!$F$10&amp; "'!$A$2:$A$50"),INDIRECT("'" &amp;Master!$F$10&amp; "'!$C$2:$C$50"))</f>
        <v>#VALUE!</v>
      </c>
      <c r="D866" s="4" t="e">
        <f ca="1">SplineInterp(A866,INDIRECT("'" &amp;Master!$F$10&amp; "'!$A$2:$A$50"),INDIRECT("'" &amp;Master!$F$10&amp; "'!$D$2:$D$50"))</f>
        <v>#VALUE!</v>
      </c>
      <c r="E866" s="4" t="e">
        <f ca="1">SplineInterp(A866,INDIRECT("'" &amp;Master!$F$10&amp; "'!$A$2:$A$50"),INDIRECT("'" &amp;Master!$F$10&amp; "'!$E$2:$E$50"))</f>
        <v>#VALUE!</v>
      </c>
      <c r="F866" s="4" t="e">
        <f ca="1">SplineInterp(A866,INDIRECT("'" &amp;Master!$F$10&amp; "'!$A$2:$A$50"),INDIRECT("'" &amp;Master!$F$10&amp; "'!$F$2:$F$50"))</f>
        <v>#VALUE!</v>
      </c>
      <c r="G866" s="4" t="e">
        <f ca="1">SplineInterp(A866,INDIRECT("'" &amp;Master!$F$10&amp; "'!$A$2:$A$50"),INDIRECT("'" &amp;Master!$F$10&amp; "'!$G$2:$G$50"))</f>
        <v>#VALUE!</v>
      </c>
      <c r="H866" s="4" t="e">
        <f ca="1">SplineInterp(A866,INDIRECT("'" &amp;Master!$F$10&amp; "'!$A$2:$A$50"),INDIRECT("'" &amp;Master!$F$10&amp; "'!$H$2:$H$50"))</f>
        <v>#VALUE!</v>
      </c>
      <c r="I866" s="4" t="e">
        <f ca="1">IF(OR(INDIRECT("'" &amp; Master!$F$8 &amp; Master!$F$6 &amp; "'!B" &amp; ROW(B866))="", INDIRECT("'" &amp; Master!$F$8 &amp; Master!$F$6 &amp; "'!B" &amp; ROW(B866))=0), "", INDIRECT("'" &amp; Master!$F$8 &amp; Master!$F$6 &amp; "'!B" &amp; ROW(B866)))</f>
        <v>#VALUE!</v>
      </c>
      <c r="J866" s="9" t="e">
        <f t="shared" ca="1" si="91"/>
        <v>#VALUE!</v>
      </c>
      <c r="K866" s="7" t="e">
        <f t="shared" ca="1" si="92"/>
        <v>#VALUE!</v>
      </c>
      <c r="L866" s="7" t="e">
        <f t="shared" ca="1" si="93"/>
        <v>#VALUE!</v>
      </c>
      <c r="M866" s="7" t="e">
        <f t="shared" ca="1" si="94"/>
        <v>#VALUE!</v>
      </c>
      <c r="N866" s="7" t="e">
        <f t="shared" ca="1" si="95"/>
        <v>#VALUE!</v>
      </c>
      <c r="O866" s="7" t="e">
        <f t="shared" ca="1" si="96"/>
        <v>#VALUE!</v>
      </c>
      <c r="P866" s="7" t="e">
        <f t="shared" ca="1" si="97"/>
        <v>#VALUE!</v>
      </c>
    </row>
    <row r="867" spans="1:16" x14ac:dyDescent="0.25">
      <c r="A867" s="19" t="str">
        <f ca="1">IF(OR(INDIRECT("'" &amp; Master!$F$8 &amp; Master!$F$6 &amp; "'!A" &amp; ROW(A867))="", INDIRECT("'" &amp; Master!$F$8 &amp; Master!$F$6 &amp; "'!A" &amp; ROW(A867))=0), "", INDIRECT("'" &amp; Master!$F$8 &amp; Master!$F$6 &amp; "'!A" &amp; ROW(A867)))</f>
        <v/>
      </c>
      <c r="B867" s="4" t="e">
        <f ca="1">SplineInterp(INDIRECT("A" &amp; ROW()),INDIRECT("'" &amp;Master!$F$10&amp; "'!$A$2:$A$50"),INDIRECT("'" &amp;Master!$F$10&amp; "'!$B$2:$B$50"))</f>
        <v>#VALUE!</v>
      </c>
      <c r="C867" s="4" t="e">
        <f ca="1">SplineInterp(A867,INDIRECT("'" &amp;Master!$F$10&amp; "'!$A$2:$A$50"),INDIRECT("'" &amp;Master!$F$10&amp; "'!$C$2:$C$50"))</f>
        <v>#VALUE!</v>
      </c>
      <c r="D867" s="4" t="e">
        <f ca="1">SplineInterp(A867,INDIRECT("'" &amp;Master!$F$10&amp; "'!$A$2:$A$50"),INDIRECT("'" &amp;Master!$F$10&amp; "'!$D$2:$D$50"))</f>
        <v>#VALUE!</v>
      </c>
      <c r="E867" s="4" t="e">
        <f ca="1">SplineInterp(A867,INDIRECT("'" &amp;Master!$F$10&amp; "'!$A$2:$A$50"),INDIRECT("'" &amp;Master!$F$10&amp; "'!$E$2:$E$50"))</f>
        <v>#VALUE!</v>
      </c>
      <c r="F867" s="4" t="e">
        <f ca="1">SplineInterp(A867,INDIRECT("'" &amp;Master!$F$10&amp; "'!$A$2:$A$50"),INDIRECT("'" &amp;Master!$F$10&amp; "'!$F$2:$F$50"))</f>
        <v>#VALUE!</v>
      </c>
      <c r="G867" s="4" t="e">
        <f ca="1">SplineInterp(A867,INDIRECT("'" &amp;Master!$F$10&amp; "'!$A$2:$A$50"),INDIRECT("'" &amp;Master!$F$10&amp; "'!$G$2:$G$50"))</f>
        <v>#VALUE!</v>
      </c>
      <c r="H867" s="4" t="e">
        <f ca="1">SplineInterp(A867,INDIRECT("'" &amp;Master!$F$10&amp; "'!$A$2:$A$50"),INDIRECT("'" &amp;Master!$F$10&amp; "'!$H$2:$H$50"))</f>
        <v>#VALUE!</v>
      </c>
      <c r="I867" s="4" t="e">
        <f ca="1">IF(OR(INDIRECT("'" &amp; Master!$F$8 &amp; Master!$F$6 &amp; "'!B" &amp; ROW(B867))="", INDIRECT("'" &amp; Master!$F$8 &amp; Master!$F$6 &amp; "'!B" &amp; ROW(B867))=0), "", INDIRECT("'" &amp; Master!$F$8 &amp; Master!$F$6 &amp; "'!B" &amp; ROW(B867)))</f>
        <v>#VALUE!</v>
      </c>
      <c r="J867" s="9" t="e">
        <f t="shared" ca="1" si="91"/>
        <v>#VALUE!</v>
      </c>
      <c r="K867" s="7" t="e">
        <f t="shared" ca="1" si="92"/>
        <v>#VALUE!</v>
      </c>
      <c r="L867" s="7" t="e">
        <f t="shared" ca="1" si="93"/>
        <v>#VALUE!</v>
      </c>
      <c r="M867" s="7" t="e">
        <f t="shared" ca="1" si="94"/>
        <v>#VALUE!</v>
      </c>
      <c r="N867" s="7" t="e">
        <f t="shared" ca="1" si="95"/>
        <v>#VALUE!</v>
      </c>
      <c r="O867" s="7" t="e">
        <f t="shared" ca="1" si="96"/>
        <v>#VALUE!</v>
      </c>
      <c r="P867" s="7" t="e">
        <f t="shared" ca="1" si="97"/>
        <v>#VALUE!</v>
      </c>
    </row>
    <row r="868" spans="1:16" x14ac:dyDescent="0.25">
      <c r="A868" s="19" t="str">
        <f ca="1">IF(OR(INDIRECT("'" &amp; Master!$F$8 &amp; Master!$F$6 &amp; "'!A" &amp; ROW(A868))="", INDIRECT("'" &amp; Master!$F$8 &amp; Master!$F$6 &amp; "'!A" &amp; ROW(A868))=0), "", INDIRECT("'" &amp; Master!$F$8 &amp; Master!$F$6 &amp; "'!A" &amp; ROW(A868)))</f>
        <v/>
      </c>
      <c r="B868" s="4" t="e">
        <f ca="1">SplineInterp(INDIRECT("A" &amp; ROW()),INDIRECT("'" &amp;Master!$F$10&amp; "'!$A$2:$A$50"),INDIRECT("'" &amp;Master!$F$10&amp; "'!$B$2:$B$50"))</f>
        <v>#VALUE!</v>
      </c>
      <c r="C868" s="4" t="e">
        <f ca="1">SplineInterp(A868,INDIRECT("'" &amp;Master!$F$10&amp; "'!$A$2:$A$50"),INDIRECT("'" &amp;Master!$F$10&amp; "'!$C$2:$C$50"))</f>
        <v>#VALUE!</v>
      </c>
      <c r="D868" s="4" t="e">
        <f ca="1">SplineInterp(A868,INDIRECT("'" &amp;Master!$F$10&amp; "'!$A$2:$A$50"),INDIRECT("'" &amp;Master!$F$10&amp; "'!$D$2:$D$50"))</f>
        <v>#VALUE!</v>
      </c>
      <c r="E868" s="4" t="e">
        <f ca="1">SplineInterp(A868,INDIRECT("'" &amp;Master!$F$10&amp; "'!$A$2:$A$50"),INDIRECT("'" &amp;Master!$F$10&amp; "'!$E$2:$E$50"))</f>
        <v>#VALUE!</v>
      </c>
      <c r="F868" s="4" t="e">
        <f ca="1">SplineInterp(A868,INDIRECT("'" &amp;Master!$F$10&amp; "'!$A$2:$A$50"),INDIRECT("'" &amp;Master!$F$10&amp; "'!$F$2:$F$50"))</f>
        <v>#VALUE!</v>
      </c>
      <c r="G868" s="4" t="e">
        <f ca="1">SplineInterp(A868,INDIRECT("'" &amp;Master!$F$10&amp; "'!$A$2:$A$50"),INDIRECT("'" &amp;Master!$F$10&amp; "'!$G$2:$G$50"))</f>
        <v>#VALUE!</v>
      </c>
      <c r="H868" s="4" t="e">
        <f ca="1">SplineInterp(A868,INDIRECT("'" &amp;Master!$F$10&amp; "'!$A$2:$A$50"),INDIRECT("'" &amp;Master!$F$10&amp; "'!$H$2:$H$50"))</f>
        <v>#VALUE!</v>
      </c>
      <c r="I868" s="4" t="e">
        <f ca="1">IF(OR(INDIRECT("'" &amp; Master!$F$8 &amp; Master!$F$6 &amp; "'!B" &amp; ROW(B868))="", INDIRECT("'" &amp; Master!$F$8 &amp; Master!$F$6 &amp; "'!B" &amp; ROW(B868))=0), "", INDIRECT("'" &amp; Master!$F$8 &amp; Master!$F$6 &amp; "'!B" &amp; ROW(B868)))</f>
        <v>#VALUE!</v>
      </c>
      <c r="J868" s="9" t="e">
        <f t="shared" ca="1" si="91"/>
        <v>#VALUE!</v>
      </c>
      <c r="K868" s="7" t="e">
        <f t="shared" ca="1" si="92"/>
        <v>#VALUE!</v>
      </c>
      <c r="L868" s="7" t="e">
        <f t="shared" ca="1" si="93"/>
        <v>#VALUE!</v>
      </c>
      <c r="M868" s="7" t="e">
        <f t="shared" ca="1" si="94"/>
        <v>#VALUE!</v>
      </c>
      <c r="N868" s="7" t="e">
        <f t="shared" ca="1" si="95"/>
        <v>#VALUE!</v>
      </c>
      <c r="O868" s="7" t="e">
        <f t="shared" ca="1" si="96"/>
        <v>#VALUE!</v>
      </c>
      <c r="P868" s="7" t="e">
        <f t="shared" ca="1" si="97"/>
        <v>#VALUE!</v>
      </c>
    </row>
    <row r="869" spans="1:16" x14ac:dyDescent="0.25">
      <c r="A869" s="19" t="str">
        <f ca="1">IF(OR(INDIRECT("'" &amp; Master!$F$8 &amp; Master!$F$6 &amp; "'!A" &amp; ROW(A869))="", INDIRECT("'" &amp; Master!$F$8 &amp; Master!$F$6 &amp; "'!A" &amp; ROW(A869))=0), "", INDIRECT("'" &amp; Master!$F$8 &amp; Master!$F$6 &amp; "'!A" &amp; ROW(A869)))</f>
        <v/>
      </c>
      <c r="B869" s="4" t="e">
        <f ca="1">SplineInterp(INDIRECT("A" &amp; ROW()),INDIRECT("'" &amp;Master!$F$10&amp; "'!$A$2:$A$50"),INDIRECT("'" &amp;Master!$F$10&amp; "'!$B$2:$B$50"))</f>
        <v>#VALUE!</v>
      </c>
      <c r="C869" s="4" t="e">
        <f ca="1">SplineInterp(A869,INDIRECT("'" &amp;Master!$F$10&amp; "'!$A$2:$A$50"),INDIRECT("'" &amp;Master!$F$10&amp; "'!$C$2:$C$50"))</f>
        <v>#VALUE!</v>
      </c>
      <c r="D869" s="4" t="e">
        <f ca="1">SplineInterp(A869,INDIRECT("'" &amp;Master!$F$10&amp; "'!$A$2:$A$50"),INDIRECT("'" &amp;Master!$F$10&amp; "'!$D$2:$D$50"))</f>
        <v>#VALUE!</v>
      </c>
      <c r="E869" s="4" t="e">
        <f ca="1">SplineInterp(A869,INDIRECT("'" &amp;Master!$F$10&amp; "'!$A$2:$A$50"),INDIRECT("'" &amp;Master!$F$10&amp; "'!$E$2:$E$50"))</f>
        <v>#VALUE!</v>
      </c>
      <c r="F869" s="4" t="e">
        <f ca="1">SplineInterp(A869,INDIRECT("'" &amp;Master!$F$10&amp; "'!$A$2:$A$50"),INDIRECT("'" &amp;Master!$F$10&amp; "'!$F$2:$F$50"))</f>
        <v>#VALUE!</v>
      </c>
      <c r="G869" s="4" t="e">
        <f ca="1">SplineInterp(A869,INDIRECT("'" &amp;Master!$F$10&amp; "'!$A$2:$A$50"),INDIRECT("'" &amp;Master!$F$10&amp; "'!$G$2:$G$50"))</f>
        <v>#VALUE!</v>
      </c>
      <c r="H869" s="4" t="e">
        <f ca="1">SplineInterp(A869,INDIRECT("'" &amp;Master!$F$10&amp; "'!$A$2:$A$50"),INDIRECT("'" &amp;Master!$F$10&amp; "'!$H$2:$H$50"))</f>
        <v>#VALUE!</v>
      </c>
      <c r="I869" s="4" t="e">
        <f ca="1">IF(OR(INDIRECT("'" &amp; Master!$F$8 &amp; Master!$F$6 &amp; "'!B" &amp; ROW(B869))="", INDIRECT("'" &amp; Master!$F$8 &amp; Master!$F$6 &amp; "'!B" &amp; ROW(B869))=0), "", INDIRECT("'" &amp; Master!$F$8 &amp; Master!$F$6 &amp; "'!B" &amp; ROW(B869)))</f>
        <v>#VALUE!</v>
      </c>
      <c r="J869" s="9" t="e">
        <f t="shared" ca="1" si="91"/>
        <v>#VALUE!</v>
      </c>
      <c r="K869" s="7" t="e">
        <f t="shared" ca="1" si="92"/>
        <v>#VALUE!</v>
      </c>
      <c r="L869" s="7" t="e">
        <f t="shared" ca="1" si="93"/>
        <v>#VALUE!</v>
      </c>
      <c r="M869" s="7" t="e">
        <f t="shared" ca="1" si="94"/>
        <v>#VALUE!</v>
      </c>
      <c r="N869" s="7" t="e">
        <f t="shared" ca="1" si="95"/>
        <v>#VALUE!</v>
      </c>
      <c r="O869" s="7" t="e">
        <f t="shared" ca="1" si="96"/>
        <v>#VALUE!</v>
      </c>
      <c r="P869" s="7" t="e">
        <f t="shared" ca="1" si="97"/>
        <v>#VALUE!</v>
      </c>
    </row>
    <row r="870" spans="1:16" x14ac:dyDescent="0.25">
      <c r="A870" s="19" t="str">
        <f ca="1">IF(OR(INDIRECT("'" &amp; Master!$F$8 &amp; Master!$F$6 &amp; "'!A" &amp; ROW(A870))="", INDIRECT("'" &amp; Master!$F$8 &amp; Master!$F$6 &amp; "'!A" &amp; ROW(A870))=0), "", INDIRECT("'" &amp; Master!$F$8 &amp; Master!$F$6 &amp; "'!A" &amp; ROW(A870)))</f>
        <v/>
      </c>
      <c r="B870" s="4" t="e">
        <f ca="1">SplineInterp(INDIRECT("A" &amp; ROW()),INDIRECT("'" &amp;Master!$F$10&amp; "'!$A$2:$A$50"),INDIRECT("'" &amp;Master!$F$10&amp; "'!$B$2:$B$50"))</f>
        <v>#VALUE!</v>
      </c>
      <c r="C870" s="4" t="e">
        <f ca="1">SplineInterp(A870,INDIRECT("'" &amp;Master!$F$10&amp; "'!$A$2:$A$50"),INDIRECT("'" &amp;Master!$F$10&amp; "'!$C$2:$C$50"))</f>
        <v>#VALUE!</v>
      </c>
      <c r="D870" s="4" t="e">
        <f ca="1">SplineInterp(A870,INDIRECT("'" &amp;Master!$F$10&amp; "'!$A$2:$A$50"),INDIRECT("'" &amp;Master!$F$10&amp; "'!$D$2:$D$50"))</f>
        <v>#VALUE!</v>
      </c>
      <c r="E870" s="4" t="e">
        <f ca="1">SplineInterp(A870,INDIRECT("'" &amp;Master!$F$10&amp; "'!$A$2:$A$50"),INDIRECT("'" &amp;Master!$F$10&amp; "'!$E$2:$E$50"))</f>
        <v>#VALUE!</v>
      </c>
      <c r="F870" s="4" t="e">
        <f ca="1">SplineInterp(A870,INDIRECT("'" &amp;Master!$F$10&amp; "'!$A$2:$A$50"),INDIRECT("'" &amp;Master!$F$10&amp; "'!$F$2:$F$50"))</f>
        <v>#VALUE!</v>
      </c>
      <c r="G870" s="4" t="e">
        <f ca="1">SplineInterp(A870,INDIRECT("'" &amp;Master!$F$10&amp; "'!$A$2:$A$50"),INDIRECT("'" &amp;Master!$F$10&amp; "'!$G$2:$G$50"))</f>
        <v>#VALUE!</v>
      </c>
      <c r="H870" s="4" t="e">
        <f ca="1">SplineInterp(A870,INDIRECT("'" &amp;Master!$F$10&amp; "'!$A$2:$A$50"),INDIRECT("'" &amp;Master!$F$10&amp; "'!$H$2:$H$50"))</f>
        <v>#VALUE!</v>
      </c>
      <c r="I870" s="4" t="e">
        <f ca="1">IF(OR(INDIRECT("'" &amp; Master!$F$8 &amp; Master!$F$6 &amp; "'!B" &amp; ROW(B870))="", INDIRECT("'" &amp; Master!$F$8 &amp; Master!$F$6 &amp; "'!B" &amp; ROW(B870))=0), "", INDIRECT("'" &amp; Master!$F$8 &amp; Master!$F$6 &amp; "'!B" &amp; ROW(B870)))</f>
        <v>#VALUE!</v>
      </c>
      <c r="J870" s="9" t="e">
        <f t="shared" ca="1" si="91"/>
        <v>#VALUE!</v>
      </c>
      <c r="K870" s="7" t="e">
        <f t="shared" ca="1" si="92"/>
        <v>#VALUE!</v>
      </c>
      <c r="L870" s="7" t="e">
        <f t="shared" ca="1" si="93"/>
        <v>#VALUE!</v>
      </c>
      <c r="M870" s="7" t="e">
        <f t="shared" ca="1" si="94"/>
        <v>#VALUE!</v>
      </c>
      <c r="N870" s="7" t="e">
        <f t="shared" ca="1" si="95"/>
        <v>#VALUE!</v>
      </c>
      <c r="O870" s="7" t="e">
        <f t="shared" ca="1" si="96"/>
        <v>#VALUE!</v>
      </c>
      <c r="P870" s="7" t="e">
        <f t="shared" ca="1" si="97"/>
        <v>#VALUE!</v>
      </c>
    </row>
    <row r="871" spans="1:16" x14ac:dyDescent="0.25">
      <c r="A871" s="19" t="str">
        <f ca="1">IF(OR(INDIRECT("'" &amp; Master!$F$8 &amp; Master!$F$6 &amp; "'!A" &amp; ROW(A871))="", INDIRECT("'" &amp; Master!$F$8 &amp; Master!$F$6 &amp; "'!A" &amp; ROW(A871))=0), "", INDIRECT("'" &amp; Master!$F$8 &amp; Master!$F$6 &amp; "'!A" &amp; ROW(A871)))</f>
        <v/>
      </c>
      <c r="B871" s="4" t="e">
        <f ca="1">SplineInterp(INDIRECT("A" &amp; ROW()),INDIRECT("'" &amp;Master!$F$10&amp; "'!$A$2:$A$50"),INDIRECT("'" &amp;Master!$F$10&amp; "'!$B$2:$B$50"))</f>
        <v>#VALUE!</v>
      </c>
      <c r="C871" s="4" t="e">
        <f ca="1">SplineInterp(A871,INDIRECT("'" &amp;Master!$F$10&amp; "'!$A$2:$A$50"),INDIRECT("'" &amp;Master!$F$10&amp; "'!$C$2:$C$50"))</f>
        <v>#VALUE!</v>
      </c>
      <c r="D871" s="4" t="e">
        <f ca="1">SplineInterp(A871,INDIRECT("'" &amp;Master!$F$10&amp; "'!$A$2:$A$50"),INDIRECT("'" &amp;Master!$F$10&amp; "'!$D$2:$D$50"))</f>
        <v>#VALUE!</v>
      </c>
      <c r="E871" s="4" t="e">
        <f ca="1">SplineInterp(A871,INDIRECT("'" &amp;Master!$F$10&amp; "'!$A$2:$A$50"),INDIRECT("'" &amp;Master!$F$10&amp; "'!$E$2:$E$50"))</f>
        <v>#VALUE!</v>
      </c>
      <c r="F871" s="4" t="e">
        <f ca="1">SplineInterp(A871,INDIRECT("'" &amp;Master!$F$10&amp; "'!$A$2:$A$50"),INDIRECT("'" &amp;Master!$F$10&amp; "'!$F$2:$F$50"))</f>
        <v>#VALUE!</v>
      </c>
      <c r="G871" s="4" t="e">
        <f ca="1">SplineInterp(A871,INDIRECT("'" &amp;Master!$F$10&amp; "'!$A$2:$A$50"),INDIRECT("'" &amp;Master!$F$10&amp; "'!$G$2:$G$50"))</f>
        <v>#VALUE!</v>
      </c>
      <c r="H871" s="4" t="e">
        <f ca="1">SplineInterp(A871,INDIRECT("'" &amp;Master!$F$10&amp; "'!$A$2:$A$50"),INDIRECT("'" &amp;Master!$F$10&amp; "'!$H$2:$H$50"))</f>
        <v>#VALUE!</v>
      </c>
      <c r="I871" s="4" t="e">
        <f ca="1">IF(OR(INDIRECT("'" &amp; Master!$F$8 &amp; Master!$F$6 &amp; "'!B" &amp; ROW(B871))="", INDIRECT("'" &amp; Master!$F$8 &amp; Master!$F$6 &amp; "'!B" &amp; ROW(B871))=0), "", INDIRECT("'" &amp; Master!$F$8 &amp; Master!$F$6 &amp; "'!B" &amp; ROW(B871)))</f>
        <v>#VALUE!</v>
      </c>
      <c r="J871" s="9" t="e">
        <f t="shared" ca="1" si="91"/>
        <v>#VALUE!</v>
      </c>
      <c r="K871" s="7" t="e">
        <f t="shared" ca="1" si="92"/>
        <v>#VALUE!</v>
      </c>
      <c r="L871" s="7" t="e">
        <f t="shared" ca="1" si="93"/>
        <v>#VALUE!</v>
      </c>
      <c r="M871" s="7" t="e">
        <f t="shared" ca="1" si="94"/>
        <v>#VALUE!</v>
      </c>
      <c r="N871" s="7" t="e">
        <f t="shared" ca="1" si="95"/>
        <v>#VALUE!</v>
      </c>
      <c r="O871" s="7" t="e">
        <f t="shared" ca="1" si="96"/>
        <v>#VALUE!</v>
      </c>
      <c r="P871" s="7" t="e">
        <f t="shared" ca="1" si="97"/>
        <v>#VALUE!</v>
      </c>
    </row>
    <row r="872" spans="1:16" x14ac:dyDescent="0.25">
      <c r="A872" s="19" t="str">
        <f ca="1">IF(OR(INDIRECT("'" &amp; Master!$F$8 &amp; Master!$F$6 &amp; "'!A" &amp; ROW(A872))="", INDIRECT("'" &amp; Master!$F$8 &amp; Master!$F$6 &amp; "'!A" &amp; ROW(A872))=0), "", INDIRECT("'" &amp; Master!$F$8 &amp; Master!$F$6 &amp; "'!A" &amp; ROW(A872)))</f>
        <v/>
      </c>
      <c r="B872" s="4" t="e">
        <f ca="1">SplineInterp(INDIRECT("A" &amp; ROW()),INDIRECT("'" &amp;Master!$F$10&amp; "'!$A$2:$A$50"),INDIRECT("'" &amp;Master!$F$10&amp; "'!$B$2:$B$50"))</f>
        <v>#VALUE!</v>
      </c>
      <c r="C872" s="4" t="e">
        <f ca="1">SplineInterp(A872,INDIRECT("'" &amp;Master!$F$10&amp; "'!$A$2:$A$50"),INDIRECT("'" &amp;Master!$F$10&amp; "'!$C$2:$C$50"))</f>
        <v>#VALUE!</v>
      </c>
      <c r="D872" s="4" t="e">
        <f ca="1">SplineInterp(A872,INDIRECT("'" &amp;Master!$F$10&amp; "'!$A$2:$A$50"),INDIRECT("'" &amp;Master!$F$10&amp; "'!$D$2:$D$50"))</f>
        <v>#VALUE!</v>
      </c>
      <c r="E872" s="4" t="e">
        <f ca="1">SplineInterp(A872,INDIRECT("'" &amp;Master!$F$10&amp; "'!$A$2:$A$50"),INDIRECT("'" &amp;Master!$F$10&amp; "'!$E$2:$E$50"))</f>
        <v>#VALUE!</v>
      </c>
      <c r="F872" s="4" t="e">
        <f ca="1">SplineInterp(A872,INDIRECT("'" &amp;Master!$F$10&amp; "'!$A$2:$A$50"),INDIRECT("'" &amp;Master!$F$10&amp; "'!$F$2:$F$50"))</f>
        <v>#VALUE!</v>
      </c>
      <c r="G872" s="4" t="e">
        <f ca="1">SplineInterp(A872,INDIRECT("'" &amp;Master!$F$10&amp; "'!$A$2:$A$50"),INDIRECT("'" &amp;Master!$F$10&amp; "'!$G$2:$G$50"))</f>
        <v>#VALUE!</v>
      </c>
      <c r="H872" s="4" t="e">
        <f ca="1">SplineInterp(A872,INDIRECT("'" &amp;Master!$F$10&amp; "'!$A$2:$A$50"),INDIRECT("'" &amp;Master!$F$10&amp; "'!$H$2:$H$50"))</f>
        <v>#VALUE!</v>
      </c>
      <c r="I872" s="4" t="e">
        <f ca="1">IF(OR(INDIRECT("'" &amp; Master!$F$8 &amp; Master!$F$6 &amp; "'!B" &amp; ROW(B872))="", INDIRECT("'" &amp; Master!$F$8 &amp; Master!$F$6 &amp; "'!B" &amp; ROW(B872))=0), "", INDIRECT("'" &amp; Master!$F$8 &amp; Master!$F$6 &amp; "'!B" &amp; ROW(B872)))</f>
        <v>#VALUE!</v>
      </c>
      <c r="J872" s="9" t="e">
        <f t="shared" ca="1" si="91"/>
        <v>#VALUE!</v>
      </c>
      <c r="K872" s="7" t="e">
        <f t="shared" ca="1" si="92"/>
        <v>#VALUE!</v>
      </c>
      <c r="L872" s="7" t="e">
        <f t="shared" ca="1" si="93"/>
        <v>#VALUE!</v>
      </c>
      <c r="M872" s="7" t="e">
        <f t="shared" ca="1" si="94"/>
        <v>#VALUE!</v>
      </c>
      <c r="N872" s="7" t="e">
        <f t="shared" ca="1" si="95"/>
        <v>#VALUE!</v>
      </c>
      <c r="O872" s="7" t="e">
        <f t="shared" ca="1" si="96"/>
        <v>#VALUE!</v>
      </c>
      <c r="P872" s="7" t="e">
        <f t="shared" ca="1" si="97"/>
        <v>#VALUE!</v>
      </c>
    </row>
    <row r="873" spans="1:16" x14ac:dyDescent="0.25">
      <c r="A873" s="19" t="str">
        <f ca="1">IF(OR(INDIRECT("'" &amp; Master!$F$8 &amp; Master!$F$6 &amp; "'!A" &amp; ROW(A873))="", INDIRECT("'" &amp; Master!$F$8 &amp; Master!$F$6 &amp; "'!A" &amp; ROW(A873))=0), "", INDIRECT("'" &amp; Master!$F$8 &amp; Master!$F$6 &amp; "'!A" &amp; ROW(A873)))</f>
        <v/>
      </c>
      <c r="B873" s="4" t="e">
        <f ca="1">SplineInterp(INDIRECT("A" &amp; ROW()),INDIRECT("'" &amp;Master!$F$10&amp; "'!$A$2:$A$50"),INDIRECT("'" &amp;Master!$F$10&amp; "'!$B$2:$B$50"))</f>
        <v>#VALUE!</v>
      </c>
      <c r="C873" s="4" t="e">
        <f ca="1">SplineInterp(A873,INDIRECT("'" &amp;Master!$F$10&amp; "'!$A$2:$A$50"),INDIRECT("'" &amp;Master!$F$10&amp; "'!$C$2:$C$50"))</f>
        <v>#VALUE!</v>
      </c>
      <c r="D873" s="4" t="e">
        <f ca="1">SplineInterp(A873,INDIRECT("'" &amp;Master!$F$10&amp; "'!$A$2:$A$50"),INDIRECT("'" &amp;Master!$F$10&amp; "'!$D$2:$D$50"))</f>
        <v>#VALUE!</v>
      </c>
      <c r="E873" s="4" t="e">
        <f ca="1">SplineInterp(A873,INDIRECT("'" &amp;Master!$F$10&amp; "'!$A$2:$A$50"),INDIRECT("'" &amp;Master!$F$10&amp; "'!$E$2:$E$50"))</f>
        <v>#VALUE!</v>
      </c>
      <c r="F873" s="4" t="e">
        <f ca="1">SplineInterp(A873,INDIRECT("'" &amp;Master!$F$10&amp; "'!$A$2:$A$50"),INDIRECT("'" &amp;Master!$F$10&amp; "'!$F$2:$F$50"))</f>
        <v>#VALUE!</v>
      </c>
      <c r="G873" s="4" t="e">
        <f ca="1">SplineInterp(A873,INDIRECT("'" &amp;Master!$F$10&amp; "'!$A$2:$A$50"),INDIRECT("'" &amp;Master!$F$10&amp; "'!$G$2:$G$50"))</f>
        <v>#VALUE!</v>
      </c>
      <c r="H873" s="4" t="e">
        <f ca="1">SplineInterp(A873,INDIRECT("'" &amp;Master!$F$10&amp; "'!$A$2:$A$50"),INDIRECT("'" &amp;Master!$F$10&amp; "'!$H$2:$H$50"))</f>
        <v>#VALUE!</v>
      </c>
      <c r="I873" s="4" t="e">
        <f ca="1">IF(OR(INDIRECT("'" &amp; Master!$F$8 &amp; Master!$F$6 &amp; "'!B" &amp; ROW(B873))="", INDIRECT("'" &amp; Master!$F$8 &amp; Master!$F$6 &amp; "'!B" &amp; ROW(B873))=0), "", INDIRECT("'" &amp; Master!$F$8 &amp; Master!$F$6 &amp; "'!B" &amp; ROW(B873)))</f>
        <v>#VALUE!</v>
      </c>
      <c r="J873" s="9" t="e">
        <f t="shared" ca="1" si="91"/>
        <v>#VALUE!</v>
      </c>
      <c r="K873" s="7" t="e">
        <f t="shared" ca="1" si="92"/>
        <v>#VALUE!</v>
      </c>
      <c r="L873" s="7" t="e">
        <f t="shared" ca="1" si="93"/>
        <v>#VALUE!</v>
      </c>
      <c r="M873" s="7" t="e">
        <f t="shared" ca="1" si="94"/>
        <v>#VALUE!</v>
      </c>
      <c r="N873" s="7" t="e">
        <f t="shared" ca="1" si="95"/>
        <v>#VALUE!</v>
      </c>
      <c r="O873" s="7" t="e">
        <f t="shared" ca="1" si="96"/>
        <v>#VALUE!</v>
      </c>
      <c r="P873" s="7" t="e">
        <f t="shared" ca="1" si="97"/>
        <v>#VALUE!</v>
      </c>
    </row>
    <row r="874" spans="1:16" x14ac:dyDescent="0.25">
      <c r="A874" s="19" t="str">
        <f ca="1">IF(OR(INDIRECT("'" &amp; Master!$F$8 &amp; Master!$F$6 &amp; "'!A" &amp; ROW(A874))="", INDIRECT("'" &amp; Master!$F$8 &amp; Master!$F$6 &amp; "'!A" &amp; ROW(A874))=0), "", INDIRECT("'" &amp; Master!$F$8 &amp; Master!$F$6 &amp; "'!A" &amp; ROW(A874)))</f>
        <v/>
      </c>
      <c r="B874" s="4" t="e">
        <f ca="1">SplineInterp(INDIRECT("A" &amp; ROW()),INDIRECT("'" &amp;Master!$F$10&amp; "'!$A$2:$A$50"),INDIRECT("'" &amp;Master!$F$10&amp; "'!$B$2:$B$50"))</f>
        <v>#VALUE!</v>
      </c>
      <c r="C874" s="4" t="e">
        <f ca="1">SplineInterp(A874,INDIRECT("'" &amp;Master!$F$10&amp; "'!$A$2:$A$50"),INDIRECT("'" &amp;Master!$F$10&amp; "'!$C$2:$C$50"))</f>
        <v>#VALUE!</v>
      </c>
      <c r="D874" s="4" t="e">
        <f ca="1">SplineInterp(A874,INDIRECT("'" &amp;Master!$F$10&amp; "'!$A$2:$A$50"),INDIRECT("'" &amp;Master!$F$10&amp; "'!$D$2:$D$50"))</f>
        <v>#VALUE!</v>
      </c>
      <c r="E874" s="4" t="e">
        <f ca="1">SplineInterp(A874,INDIRECT("'" &amp;Master!$F$10&amp; "'!$A$2:$A$50"),INDIRECT("'" &amp;Master!$F$10&amp; "'!$E$2:$E$50"))</f>
        <v>#VALUE!</v>
      </c>
      <c r="F874" s="4" t="e">
        <f ca="1">SplineInterp(A874,INDIRECT("'" &amp;Master!$F$10&amp; "'!$A$2:$A$50"),INDIRECT("'" &amp;Master!$F$10&amp; "'!$F$2:$F$50"))</f>
        <v>#VALUE!</v>
      </c>
      <c r="G874" s="4" t="e">
        <f ca="1">SplineInterp(A874,INDIRECT("'" &amp;Master!$F$10&amp; "'!$A$2:$A$50"),INDIRECT("'" &amp;Master!$F$10&amp; "'!$G$2:$G$50"))</f>
        <v>#VALUE!</v>
      </c>
      <c r="H874" s="4" t="e">
        <f ca="1">SplineInterp(A874,INDIRECT("'" &amp;Master!$F$10&amp; "'!$A$2:$A$50"),INDIRECT("'" &amp;Master!$F$10&amp; "'!$H$2:$H$50"))</f>
        <v>#VALUE!</v>
      </c>
      <c r="I874" s="4" t="e">
        <f ca="1">IF(OR(INDIRECT("'" &amp; Master!$F$8 &amp; Master!$F$6 &amp; "'!B" &amp; ROW(B874))="", INDIRECT("'" &amp; Master!$F$8 &amp; Master!$F$6 &amp; "'!B" &amp; ROW(B874))=0), "", INDIRECT("'" &amp; Master!$F$8 &amp; Master!$F$6 &amp; "'!B" &amp; ROW(B874)))</f>
        <v>#VALUE!</v>
      </c>
      <c r="J874" s="9" t="e">
        <f t="shared" ca="1" si="91"/>
        <v>#VALUE!</v>
      </c>
      <c r="K874" s="7" t="e">
        <f t="shared" ca="1" si="92"/>
        <v>#VALUE!</v>
      </c>
      <c r="L874" s="7" t="e">
        <f t="shared" ca="1" si="93"/>
        <v>#VALUE!</v>
      </c>
      <c r="M874" s="7" t="e">
        <f t="shared" ca="1" si="94"/>
        <v>#VALUE!</v>
      </c>
      <c r="N874" s="7" t="e">
        <f t="shared" ca="1" si="95"/>
        <v>#VALUE!</v>
      </c>
      <c r="O874" s="7" t="e">
        <f t="shared" ca="1" si="96"/>
        <v>#VALUE!</v>
      </c>
      <c r="P874" s="7" t="e">
        <f t="shared" ca="1" si="97"/>
        <v>#VALUE!</v>
      </c>
    </row>
    <row r="875" spans="1:16" x14ac:dyDescent="0.25">
      <c r="A875" s="19" t="str">
        <f ca="1">IF(OR(INDIRECT("'" &amp; Master!$F$8 &amp; Master!$F$6 &amp; "'!A" &amp; ROW(A875))="", INDIRECT("'" &amp; Master!$F$8 &amp; Master!$F$6 &amp; "'!A" &amp; ROW(A875))=0), "", INDIRECT("'" &amp; Master!$F$8 &amp; Master!$F$6 &amp; "'!A" &amp; ROW(A875)))</f>
        <v/>
      </c>
      <c r="B875" s="4" t="e">
        <f ca="1">SplineInterp(INDIRECT("A" &amp; ROW()),INDIRECT("'" &amp;Master!$F$10&amp; "'!$A$2:$A$50"),INDIRECT("'" &amp;Master!$F$10&amp; "'!$B$2:$B$50"))</f>
        <v>#VALUE!</v>
      </c>
      <c r="C875" s="4" t="e">
        <f ca="1">SplineInterp(A875,INDIRECT("'" &amp;Master!$F$10&amp; "'!$A$2:$A$50"),INDIRECT("'" &amp;Master!$F$10&amp; "'!$C$2:$C$50"))</f>
        <v>#VALUE!</v>
      </c>
      <c r="D875" s="4" t="e">
        <f ca="1">SplineInterp(A875,INDIRECT("'" &amp;Master!$F$10&amp; "'!$A$2:$A$50"),INDIRECT("'" &amp;Master!$F$10&amp; "'!$D$2:$D$50"))</f>
        <v>#VALUE!</v>
      </c>
      <c r="E875" s="4" t="e">
        <f ca="1">SplineInterp(A875,INDIRECT("'" &amp;Master!$F$10&amp; "'!$A$2:$A$50"),INDIRECT("'" &amp;Master!$F$10&amp; "'!$E$2:$E$50"))</f>
        <v>#VALUE!</v>
      </c>
      <c r="F875" s="4" t="e">
        <f ca="1">SplineInterp(A875,INDIRECT("'" &amp;Master!$F$10&amp; "'!$A$2:$A$50"),INDIRECT("'" &amp;Master!$F$10&amp; "'!$F$2:$F$50"))</f>
        <v>#VALUE!</v>
      </c>
      <c r="G875" s="4" t="e">
        <f ca="1">SplineInterp(A875,INDIRECT("'" &amp;Master!$F$10&amp; "'!$A$2:$A$50"),INDIRECT("'" &amp;Master!$F$10&amp; "'!$G$2:$G$50"))</f>
        <v>#VALUE!</v>
      </c>
      <c r="H875" s="4" t="e">
        <f ca="1">SplineInterp(A875,INDIRECT("'" &amp;Master!$F$10&amp; "'!$A$2:$A$50"),INDIRECT("'" &amp;Master!$F$10&amp; "'!$H$2:$H$50"))</f>
        <v>#VALUE!</v>
      </c>
      <c r="I875" s="4" t="e">
        <f ca="1">IF(OR(INDIRECT("'" &amp; Master!$F$8 &amp; Master!$F$6 &amp; "'!B" &amp; ROW(B875))="", INDIRECT("'" &amp; Master!$F$8 &amp; Master!$F$6 &amp; "'!B" &amp; ROW(B875))=0), "", INDIRECT("'" &amp; Master!$F$8 &amp; Master!$F$6 &amp; "'!B" &amp; ROW(B875)))</f>
        <v>#VALUE!</v>
      </c>
      <c r="J875" s="9" t="e">
        <f t="shared" ca="1" si="91"/>
        <v>#VALUE!</v>
      </c>
      <c r="K875" s="7" t="e">
        <f t="shared" ca="1" si="92"/>
        <v>#VALUE!</v>
      </c>
      <c r="L875" s="7" t="e">
        <f t="shared" ca="1" si="93"/>
        <v>#VALUE!</v>
      </c>
      <c r="M875" s="7" t="e">
        <f t="shared" ca="1" si="94"/>
        <v>#VALUE!</v>
      </c>
      <c r="N875" s="7" t="e">
        <f t="shared" ca="1" si="95"/>
        <v>#VALUE!</v>
      </c>
      <c r="O875" s="7" t="e">
        <f t="shared" ca="1" si="96"/>
        <v>#VALUE!</v>
      </c>
      <c r="P875" s="7" t="e">
        <f t="shared" ca="1" si="97"/>
        <v>#VALUE!</v>
      </c>
    </row>
    <row r="876" spans="1:16" x14ac:dyDescent="0.25">
      <c r="A876" s="19" t="str">
        <f ca="1">IF(OR(INDIRECT("'" &amp; Master!$F$8 &amp; Master!$F$6 &amp; "'!A" &amp; ROW(A876))="", INDIRECT("'" &amp; Master!$F$8 &amp; Master!$F$6 &amp; "'!A" &amp; ROW(A876))=0), "", INDIRECT("'" &amp; Master!$F$8 &amp; Master!$F$6 &amp; "'!A" &amp; ROW(A876)))</f>
        <v/>
      </c>
      <c r="B876" s="4" t="e">
        <f ca="1">SplineInterp(INDIRECT("A" &amp; ROW()),INDIRECT("'" &amp;Master!$F$10&amp; "'!$A$2:$A$50"),INDIRECT("'" &amp;Master!$F$10&amp; "'!$B$2:$B$50"))</f>
        <v>#VALUE!</v>
      </c>
      <c r="C876" s="4" t="e">
        <f ca="1">SplineInterp(A876,INDIRECT("'" &amp;Master!$F$10&amp; "'!$A$2:$A$50"),INDIRECT("'" &amp;Master!$F$10&amp; "'!$C$2:$C$50"))</f>
        <v>#VALUE!</v>
      </c>
      <c r="D876" s="4" t="e">
        <f ca="1">SplineInterp(A876,INDIRECT("'" &amp;Master!$F$10&amp; "'!$A$2:$A$50"),INDIRECT("'" &amp;Master!$F$10&amp; "'!$D$2:$D$50"))</f>
        <v>#VALUE!</v>
      </c>
      <c r="E876" s="4" t="e">
        <f ca="1">SplineInterp(A876,INDIRECT("'" &amp;Master!$F$10&amp; "'!$A$2:$A$50"),INDIRECT("'" &amp;Master!$F$10&amp; "'!$E$2:$E$50"))</f>
        <v>#VALUE!</v>
      </c>
      <c r="F876" s="4" t="e">
        <f ca="1">SplineInterp(A876,INDIRECT("'" &amp;Master!$F$10&amp; "'!$A$2:$A$50"),INDIRECT("'" &amp;Master!$F$10&amp; "'!$F$2:$F$50"))</f>
        <v>#VALUE!</v>
      </c>
      <c r="G876" s="4" t="e">
        <f ca="1">SplineInterp(A876,INDIRECT("'" &amp;Master!$F$10&amp; "'!$A$2:$A$50"),INDIRECT("'" &amp;Master!$F$10&amp; "'!$G$2:$G$50"))</f>
        <v>#VALUE!</v>
      </c>
      <c r="H876" s="4" t="e">
        <f ca="1">SplineInterp(A876,INDIRECT("'" &amp;Master!$F$10&amp; "'!$A$2:$A$50"),INDIRECT("'" &amp;Master!$F$10&amp; "'!$H$2:$H$50"))</f>
        <v>#VALUE!</v>
      </c>
      <c r="I876" s="4" t="e">
        <f ca="1">IF(OR(INDIRECT("'" &amp; Master!$F$8 &amp; Master!$F$6 &amp; "'!B" &amp; ROW(B876))="", INDIRECT("'" &amp; Master!$F$8 &amp; Master!$F$6 &amp; "'!B" &amp; ROW(B876))=0), "", INDIRECT("'" &amp; Master!$F$8 &amp; Master!$F$6 &amp; "'!B" &amp; ROW(B876)))</f>
        <v>#VALUE!</v>
      </c>
      <c r="J876" s="9" t="e">
        <f t="shared" ca="1" si="91"/>
        <v>#VALUE!</v>
      </c>
      <c r="K876" s="7" t="e">
        <f t="shared" ca="1" si="92"/>
        <v>#VALUE!</v>
      </c>
      <c r="L876" s="7" t="e">
        <f t="shared" ca="1" si="93"/>
        <v>#VALUE!</v>
      </c>
      <c r="M876" s="7" t="e">
        <f t="shared" ca="1" si="94"/>
        <v>#VALUE!</v>
      </c>
      <c r="N876" s="7" t="e">
        <f t="shared" ca="1" si="95"/>
        <v>#VALUE!</v>
      </c>
      <c r="O876" s="7" t="e">
        <f t="shared" ca="1" si="96"/>
        <v>#VALUE!</v>
      </c>
      <c r="P876" s="7" t="e">
        <f t="shared" ca="1" si="97"/>
        <v>#VALUE!</v>
      </c>
    </row>
    <row r="877" spans="1:16" x14ac:dyDescent="0.25">
      <c r="A877" s="19" t="str">
        <f ca="1">IF(OR(INDIRECT("'" &amp; Master!$F$8 &amp; Master!$F$6 &amp; "'!A" &amp; ROW(A877))="", INDIRECT("'" &amp; Master!$F$8 &amp; Master!$F$6 &amp; "'!A" &amp; ROW(A877))=0), "", INDIRECT("'" &amp; Master!$F$8 &amp; Master!$F$6 &amp; "'!A" &amp; ROW(A877)))</f>
        <v/>
      </c>
      <c r="B877" s="4" t="e">
        <f ca="1">SplineInterp(INDIRECT("A" &amp; ROW()),INDIRECT("'" &amp;Master!$F$10&amp; "'!$A$2:$A$50"),INDIRECT("'" &amp;Master!$F$10&amp; "'!$B$2:$B$50"))</f>
        <v>#VALUE!</v>
      </c>
      <c r="C877" s="4" t="e">
        <f ca="1">SplineInterp(A877,INDIRECT("'" &amp;Master!$F$10&amp; "'!$A$2:$A$50"),INDIRECT("'" &amp;Master!$F$10&amp; "'!$C$2:$C$50"))</f>
        <v>#VALUE!</v>
      </c>
      <c r="D877" s="4" t="e">
        <f ca="1">SplineInterp(A877,INDIRECT("'" &amp;Master!$F$10&amp; "'!$A$2:$A$50"),INDIRECT("'" &amp;Master!$F$10&amp; "'!$D$2:$D$50"))</f>
        <v>#VALUE!</v>
      </c>
      <c r="E877" s="4" t="e">
        <f ca="1">SplineInterp(A877,INDIRECT("'" &amp;Master!$F$10&amp; "'!$A$2:$A$50"),INDIRECT("'" &amp;Master!$F$10&amp; "'!$E$2:$E$50"))</f>
        <v>#VALUE!</v>
      </c>
      <c r="F877" s="4" t="e">
        <f ca="1">SplineInterp(A877,INDIRECT("'" &amp;Master!$F$10&amp; "'!$A$2:$A$50"),INDIRECT("'" &amp;Master!$F$10&amp; "'!$F$2:$F$50"))</f>
        <v>#VALUE!</v>
      </c>
      <c r="G877" s="4" t="e">
        <f ca="1">SplineInterp(A877,INDIRECT("'" &amp;Master!$F$10&amp; "'!$A$2:$A$50"),INDIRECT("'" &amp;Master!$F$10&amp; "'!$G$2:$G$50"))</f>
        <v>#VALUE!</v>
      </c>
      <c r="H877" s="4" t="e">
        <f ca="1">SplineInterp(A877,INDIRECT("'" &amp;Master!$F$10&amp; "'!$A$2:$A$50"),INDIRECT("'" &amp;Master!$F$10&amp; "'!$H$2:$H$50"))</f>
        <v>#VALUE!</v>
      </c>
      <c r="I877" s="4" t="e">
        <f ca="1">IF(OR(INDIRECT("'" &amp; Master!$F$8 &amp; Master!$F$6 &amp; "'!B" &amp; ROW(B877))="", INDIRECT("'" &amp; Master!$F$8 &amp; Master!$F$6 &amp; "'!B" &amp; ROW(B877))=0), "", INDIRECT("'" &amp; Master!$F$8 &amp; Master!$F$6 &amp; "'!B" &amp; ROW(B877)))</f>
        <v>#VALUE!</v>
      </c>
      <c r="J877" s="9" t="e">
        <f t="shared" ca="1" si="91"/>
        <v>#VALUE!</v>
      </c>
      <c r="K877" s="7" t="e">
        <f t="shared" ca="1" si="92"/>
        <v>#VALUE!</v>
      </c>
      <c r="L877" s="7" t="e">
        <f t="shared" ca="1" si="93"/>
        <v>#VALUE!</v>
      </c>
      <c r="M877" s="7" t="e">
        <f t="shared" ca="1" si="94"/>
        <v>#VALUE!</v>
      </c>
      <c r="N877" s="7" t="e">
        <f t="shared" ca="1" si="95"/>
        <v>#VALUE!</v>
      </c>
      <c r="O877" s="7" t="e">
        <f t="shared" ca="1" si="96"/>
        <v>#VALUE!</v>
      </c>
      <c r="P877" s="7" t="e">
        <f t="shared" ca="1" si="97"/>
        <v>#VALUE!</v>
      </c>
    </row>
    <row r="878" spans="1:16" x14ac:dyDescent="0.25">
      <c r="A878" s="19" t="str">
        <f ca="1">IF(OR(INDIRECT("'" &amp; Master!$F$8 &amp; Master!$F$6 &amp; "'!A" &amp; ROW(A878))="", INDIRECT("'" &amp; Master!$F$8 &amp; Master!$F$6 &amp; "'!A" &amp; ROW(A878))=0), "", INDIRECT("'" &amp; Master!$F$8 &amp; Master!$F$6 &amp; "'!A" &amp; ROW(A878)))</f>
        <v/>
      </c>
      <c r="B878" s="4" t="e">
        <f ca="1">SplineInterp(INDIRECT("A" &amp; ROW()),INDIRECT("'" &amp;Master!$F$10&amp; "'!$A$2:$A$50"),INDIRECT("'" &amp;Master!$F$10&amp; "'!$B$2:$B$50"))</f>
        <v>#VALUE!</v>
      </c>
      <c r="C878" s="4" t="e">
        <f ca="1">SplineInterp(A878,INDIRECT("'" &amp;Master!$F$10&amp; "'!$A$2:$A$50"),INDIRECT("'" &amp;Master!$F$10&amp; "'!$C$2:$C$50"))</f>
        <v>#VALUE!</v>
      </c>
      <c r="D878" s="4" t="e">
        <f ca="1">SplineInterp(A878,INDIRECT("'" &amp;Master!$F$10&amp; "'!$A$2:$A$50"),INDIRECT("'" &amp;Master!$F$10&amp; "'!$D$2:$D$50"))</f>
        <v>#VALUE!</v>
      </c>
      <c r="E878" s="4" t="e">
        <f ca="1">SplineInterp(A878,INDIRECT("'" &amp;Master!$F$10&amp; "'!$A$2:$A$50"),INDIRECT("'" &amp;Master!$F$10&amp; "'!$E$2:$E$50"))</f>
        <v>#VALUE!</v>
      </c>
      <c r="F878" s="4" t="e">
        <f ca="1">SplineInterp(A878,INDIRECT("'" &amp;Master!$F$10&amp; "'!$A$2:$A$50"),INDIRECT("'" &amp;Master!$F$10&amp; "'!$F$2:$F$50"))</f>
        <v>#VALUE!</v>
      </c>
      <c r="G878" s="4" t="e">
        <f ca="1">SplineInterp(A878,INDIRECT("'" &amp;Master!$F$10&amp; "'!$A$2:$A$50"),INDIRECT("'" &amp;Master!$F$10&amp; "'!$G$2:$G$50"))</f>
        <v>#VALUE!</v>
      </c>
      <c r="H878" s="4" t="e">
        <f ca="1">SplineInterp(A878,INDIRECT("'" &amp;Master!$F$10&amp; "'!$A$2:$A$50"),INDIRECT("'" &amp;Master!$F$10&amp; "'!$H$2:$H$50"))</f>
        <v>#VALUE!</v>
      </c>
      <c r="I878" s="4" t="e">
        <f ca="1">IF(OR(INDIRECT("'" &amp; Master!$F$8 &amp; Master!$F$6 &amp; "'!B" &amp; ROW(B878))="", INDIRECT("'" &amp; Master!$F$8 &amp; Master!$F$6 &amp; "'!B" &amp; ROW(B878))=0), "", INDIRECT("'" &amp; Master!$F$8 &amp; Master!$F$6 &amp; "'!B" &amp; ROW(B878)))</f>
        <v>#VALUE!</v>
      </c>
      <c r="J878" s="9" t="e">
        <f t="shared" ca="1" si="91"/>
        <v>#VALUE!</v>
      </c>
      <c r="K878" s="7" t="e">
        <f t="shared" ca="1" si="92"/>
        <v>#VALUE!</v>
      </c>
      <c r="L878" s="7" t="e">
        <f t="shared" ca="1" si="93"/>
        <v>#VALUE!</v>
      </c>
      <c r="M878" s="7" t="e">
        <f t="shared" ca="1" si="94"/>
        <v>#VALUE!</v>
      </c>
      <c r="N878" s="7" t="e">
        <f t="shared" ca="1" si="95"/>
        <v>#VALUE!</v>
      </c>
      <c r="O878" s="7" t="e">
        <f t="shared" ca="1" si="96"/>
        <v>#VALUE!</v>
      </c>
      <c r="P878" s="7" t="e">
        <f t="shared" ca="1" si="97"/>
        <v>#VALUE!</v>
      </c>
    </row>
    <row r="879" spans="1:16" x14ac:dyDescent="0.25">
      <c r="A879" s="19" t="str">
        <f ca="1">IF(OR(INDIRECT("'" &amp; Master!$F$8 &amp; Master!$F$6 &amp; "'!A" &amp; ROW(A879))="", INDIRECT("'" &amp; Master!$F$8 &amp; Master!$F$6 &amp; "'!A" &amp; ROW(A879))=0), "", INDIRECT("'" &amp; Master!$F$8 &amp; Master!$F$6 &amp; "'!A" &amp; ROW(A879)))</f>
        <v/>
      </c>
      <c r="B879" s="4" t="e">
        <f ca="1">SplineInterp(INDIRECT("A" &amp; ROW()),INDIRECT("'" &amp;Master!$F$10&amp; "'!$A$2:$A$50"),INDIRECT("'" &amp;Master!$F$10&amp; "'!$B$2:$B$50"))</f>
        <v>#VALUE!</v>
      </c>
      <c r="C879" s="4" t="e">
        <f ca="1">SplineInterp(A879,INDIRECT("'" &amp;Master!$F$10&amp; "'!$A$2:$A$50"),INDIRECT("'" &amp;Master!$F$10&amp; "'!$C$2:$C$50"))</f>
        <v>#VALUE!</v>
      </c>
      <c r="D879" s="4" t="e">
        <f ca="1">SplineInterp(A879,INDIRECT("'" &amp;Master!$F$10&amp; "'!$A$2:$A$50"),INDIRECT("'" &amp;Master!$F$10&amp; "'!$D$2:$D$50"))</f>
        <v>#VALUE!</v>
      </c>
      <c r="E879" s="4" t="e">
        <f ca="1">SplineInterp(A879,INDIRECT("'" &amp;Master!$F$10&amp; "'!$A$2:$A$50"),INDIRECT("'" &amp;Master!$F$10&amp; "'!$E$2:$E$50"))</f>
        <v>#VALUE!</v>
      </c>
      <c r="F879" s="4" t="e">
        <f ca="1">SplineInterp(A879,INDIRECT("'" &amp;Master!$F$10&amp; "'!$A$2:$A$50"),INDIRECT("'" &amp;Master!$F$10&amp; "'!$F$2:$F$50"))</f>
        <v>#VALUE!</v>
      </c>
      <c r="G879" s="4" t="e">
        <f ca="1">SplineInterp(A879,INDIRECT("'" &amp;Master!$F$10&amp; "'!$A$2:$A$50"),INDIRECT("'" &amp;Master!$F$10&amp; "'!$G$2:$G$50"))</f>
        <v>#VALUE!</v>
      </c>
      <c r="H879" s="4" t="e">
        <f ca="1">SplineInterp(A879,INDIRECT("'" &amp;Master!$F$10&amp; "'!$A$2:$A$50"),INDIRECT("'" &amp;Master!$F$10&amp; "'!$H$2:$H$50"))</f>
        <v>#VALUE!</v>
      </c>
      <c r="I879" s="4" t="e">
        <f ca="1">IF(OR(INDIRECT("'" &amp; Master!$F$8 &amp; Master!$F$6 &amp; "'!B" &amp; ROW(B879))="", INDIRECT("'" &amp; Master!$F$8 &amp; Master!$F$6 &amp; "'!B" &amp; ROW(B879))=0), "", INDIRECT("'" &amp; Master!$F$8 &amp; Master!$F$6 &amp; "'!B" &amp; ROW(B879)))</f>
        <v>#VALUE!</v>
      </c>
      <c r="J879" s="9" t="e">
        <f t="shared" ca="1" si="91"/>
        <v>#VALUE!</v>
      </c>
      <c r="K879" s="7" t="e">
        <f t="shared" ca="1" si="92"/>
        <v>#VALUE!</v>
      </c>
      <c r="L879" s="7" t="e">
        <f t="shared" ca="1" si="93"/>
        <v>#VALUE!</v>
      </c>
      <c r="M879" s="7" t="e">
        <f t="shared" ca="1" si="94"/>
        <v>#VALUE!</v>
      </c>
      <c r="N879" s="7" t="e">
        <f t="shared" ca="1" si="95"/>
        <v>#VALUE!</v>
      </c>
      <c r="O879" s="7" t="e">
        <f t="shared" ca="1" si="96"/>
        <v>#VALUE!</v>
      </c>
      <c r="P879" s="7" t="e">
        <f t="shared" ca="1" si="97"/>
        <v>#VALUE!</v>
      </c>
    </row>
    <row r="880" spans="1:16" x14ac:dyDescent="0.25">
      <c r="A880" s="19" t="str">
        <f ca="1">IF(OR(INDIRECT("'" &amp; Master!$F$8 &amp; Master!$F$6 &amp; "'!A" &amp; ROW(A880))="", INDIRECT("'" &amp; Master!$F$8 &amp; Master!$F$6 &amp; "'!A" &amp; ROW(A880))=0), "", INDIRECT("'" &amp; Master!$F$8 &amp; Master!$F$6 &amp; "'!A" &amp; ROW(A880)))</f>
        <v/>
      </c>
      <c r="B880" s="4" t="e">
        <f ca="1">SplineInterp(INDIRECT("A" &amp; ROW()),INDIRECT("'" &amp;Master!$F$10&amp; "'!$A$2:$A$50"),INDIRECT("'" &amp;Master!$F$10&amp; "'!$B$2:$B$50"))</f>
        <v>#VALUE!</v>
      </c>
      <c r="C880" s="4" t="e">
        <f ca="1">SplineInterp(A880,INDIRECT("'" &amp;Master!$F$10&amp; "'!$A$2:$A$50"),INDIRECT("'" &amp;Master!$F$10&amp; "'!$C$2:$C$50"))</f>
        <v>#VALUE!</v>
      </c>
      <c r="D880" s="4" t="e">
        <f ca="1">SplineInterp(A880,INDIRECT("'" &amp;Master!$F$10&amp; "'!$A$2:$A$50"),INDIRECT("'" &amp;Master!$F$10&amp; "'!$D$2:$D$50"))</f>
        <v>#VALUE!</v>
      </c>
      <c r="E880" s="4" t="e">
        <f ca="1">SplineInterp(A880,INDIRECT("'" &amp;Master!$F$10&amp; "'!$A$2:$A$50"),INDIRECT("'" &amp;Master!$F$10&amp; "'!$E$2:$E$50"))</f>
        <v>#VALUE!</v>
      </c>
      <c r="F880" s="4" t="e">
        <f ca="1">SplineInterp(A880,INDIRECT("'" &amp;Master!$F$10&amp; "'!$A$2:$A$50"),INDIRECT("'" &amp;Master!$F$10&amp; "'!$F$2:$F$50"))</f>
        <v>#VALUE!</v>
      </c>
      <c r="G880" s="4" t="e">
        <f ca="1">SplineInterp(A880,INDIRECT("'" &amp;Master!$F$10&amp; "'!$A$2:$A$50"),INDIRECT("'" &amp;Master!$F$10&amp; "'!$G$2:$G$50"))</f>
        <v>#VALUE!</v>
      </c>
      <c r="H880" s="4" t="e">
        <f ca="1">SplineInterp(A880,INDIRECT("'" &amp;Master!$F$10&amp; "'!$A$2:$A$50"),INDIRECT("'" &amp;Master!$F$10&amp; "'!$H$2:$H$50"))</f>
        <v>#VALUE!</v>
      </c>
      <c r="I880" s="4" t="e">
        <f ca="1">IF(OR(INDIRECT("'" &amp; Master!$F$8 &amp; Master!$F$6 &amp; "'!B" &amp; ROW(B880))="", INDIRECT("'" &amp; Master!$F$8 &amp; Master!$F$6 &amp; "'!B" &amp; ROW(B880))=0), "", INDIRECT("'" &amp; Master!$F$8 &amp; Master!$F$6 &amp; "'!B" &amp; ROW(B880)))</f>
        <v>#VALUE!</v>
      </c>
      <c r="J880" s="9" t="e">
        <f t="shared" ca="1" si="91"/>
        <v>#VALUE!</v>
      </c>
      <c r="K880" s="7" t="e">
        <f t="shared" ca="1" si="92"/>
        <v>#VALUE!</v>
      </c>
      <c r="L880" s="7" t="e">
        <f t="shared" ca="1" si="93"/>
        <v>#VALUE!</v>
      </c>
      <c r="M880" s="7" t="e">
        <f t="shared" ca="1" si="94"/>
        <v>#VALUE!</v>
      </c>
      <c r="N880" s="7" t="e">
        <f t="shared" ca="1" si="95"/>
        <v>#VALUE!</v>
      </c>
      <c r="O880" s="7" t="e">
        <f t="shared" ca="1" si="96"/>
        <v>#VALUE!</v>
      </c>
      <c r="P880" s="7" t="e">
        <f t="shared" ca="1" si="97"/>
        <v>#VALUE!</v>
      </c>
    </row>
    <row r="881" spans="1:16" x14ac:dyDescent="0.25">
      <c r="A881" s="19" t="str">
        <f ca="1">IF(OR(INDIRECT("'" &amp; Master!$F$8 &amp; Master!$F$6 &amp; "'!A" &amp; ROW(A881))="", INDIRECT("'" &amp; Master!$F$8 &amp; Master!$F$6 &amp; "'!A" &amp; ROW(A881))=0), "", INDIRECT("'" &amp; Master!$F$8 &amp; Master!$F$6 &amp; "'!A" &amp; ROW(A881)))</f>
        <v/>
      </c>
      <c r="B881" s="4" t="e">
        <f ca="1">SplineInterp(INDIRECT("A" &amp; ROW()),INDIRECT("'" &amp;Master!$F$10&amp; "'!$A$2:$A$50"),INDIRECT("'" &amp;Master!$F$10&amp; "'!$B$2:$B$50"))</f>
        <v>#VALUE!</v>
      </c>
      <c r="C881" s="4" t="e">
        <f ca="1">SplineInterp(A881,INDIRECT("'" &amp;Master!$F$10&amp; "'!$A$2:$A$50"),INDIRECT("'" &amp;Master!$F$10&amp; "'!$C$2:$C$50"))</f>
        <v>#VALUE!</v>
      </c>
      <c r="D881" s="4" t="e">
        <f ca="1">SplineInterp(A881,INDIRECT("'" &amp;Master!$F$10&amp; "'!$A$2:$A$50"),INDIRECT("'" &amp;Master!$F$10&amp; "'!$D$2:$D$50"))</f>
        <v>#VALUE!</v>
      </c>
      <c r="E881" s="4" t="e">
        <f ca="1">SplineInterp(A881,INDIRECT("'" &amp;Master!$F$10&amp; "'!$A$2:$A$50"),INDIRECT("'" &amp;Master!$F$10&amp; "'!$E$2:$E$50"))</f>
        <v>#VALUE!</v>
      </c>
      <c r="F881" s="4" t="e">
        <f ca="1">SplineInterp(A881,INDIRECT("'" &amp;Master!$F$10&amp; "'!$A$2:$A$50"),INDIRECT("'" &amp;Master!$F$10&amp; "'!$F$2:$F$50"))</f>
        <v>#VALUE!</v>
      </c>
      <c r="G881" s="4" t="e">
        <f ca="1">SplineInterp(A881,INDIRECT("'" &amp;Master!$F$10&amp; "'!$A$2:$A$50"),INDIRECT("'" &amp;Master!$F$10&amp; "'!$G$2:$G$50"))</f>
        <v>#VALUE!</v>
      </c>
      <c r="H881" s="4" t="e">
        <f ca="1">SplineInterp(A881,INDIRECT("'" &amp;Master!$F$10&amp; "'!$A$2:$A$50"),INDIRECT("'" &amp;Master!$F$10&amp; "'!$H$2:$H$50"))</f>
        <v>#VALUE!</v>
      </c>
      <c r="I881" s="4" t="e">
        <f ca="1">IF(OR(INDIRECT("'" &amp; Master!$F$8 &amp; Master!$F$6 &amp; "'!B" &amp; ROW(B881))="", INDIRECT("'" &amp; Master!$F$8 &amp; Master!$F$6 &amp; "'!B" &amp; ROW(B881))=0), "", INDIRECT("'" &amp; Master!$F$8 &amp; Master!$F$6 &amp; "'!B" &amp; ROW(B881)))</f>
        <v>#VALUE!</v>
      </c>
      <c r="J881" s="9" t="e">
        <f t="shared" ca="1" si="91"/>
        <v>#VALUE!</v>
      </c>
      <c r="K881" s="7" t="e">
        <f t="shared" ca="1" si="92"/>
        <v>#VALUE!</v>
      </c>
      <c r="L881" s="7" t="e">
        <f t="shared" ca="1" si="93"/>
        <v>#VALUE!</v>
      </c>
      <c r="M881" s="7" t="e">
        <f t="shared" ca="1" si="94"/>
        <v>#VALUE!</v>
      </c>
      <c r="N881" s="7" t="e">
        <f t="shared" ca="1" si="95"/>
        <v>#VALUE!</v>
      </c>
      <c r="O881" s="7" t="e">
        <f t="shared" ca="1" si="96"/>
        <v>#VALUE!</v>
      </c>
      <c r="P881" s="7" t="e">
        <f t="shared" ca="1" si="97"/>
        <v>#VALUE!</v>
      </c>
    </row>
    <row r="882" spans="1:16" x14ac:dyDescent="0.25">
      <c r="A882" s="19" t="str">
        <f ca="1">IF(OR(INDIRECT("'" &amp; Master!$F$8 &amp; Master!$F$6 &amp; "'!A" &amp; ROW(A882))="", INDIRECT("'" &amp; Master!$F$8 &amp; Master!$F$6 &amp; "'!A" &amp; ROW(A882))=0), "", INDIRECT("'" &amp; Master!$F$8 &amp; Master!$F$6 &amp; "'!A" &amp; ROW(A882)))</f>
        <v/>
      </c>
      <c r="B882" s="4" t="e">
        <f ca="1">SplineInterp(INDIRECT("A" &amp; ROW()),INDIRECT("'" &amp;Master!$F$10&amp; "'!$A$2:$A$50"),INDIRECT("'" &amp;Master!$F$10&amp; "'!$B$2:$B$50"))</f>
        <v>#VALUE!</v>
      </c>
      <c r="C882" s="4" t="e">
        <f ca="1">SplineInterp(A882,INDIRECT("'" &amp;Master!$F$10&amp; "'!$A$2:$A$50"),INDIRECT("'" &amp;Master!$F$10&amp; "'!$C$2:$C$50"))</f>
        <v>#VALUE!</v>
      </c>
      <c r="D882" s="4" t="e">
        <f ca="1">SplineInterp(A882,INDIRECT("'" &amp;Master!$F$10&amp; "'!$A$2:$A$50"),INDIRECT("'" &amp;Master!$F$10&amp; "'!$D$2:$D$50"))</f>
        <v>#VALUE!</v>
      </c>
      <c r="E882" s="4" t="e">
        <f ca="1">SplineInterp(A882,INDIRECT("'" &amp;Master!$F$10&amp; "'!$A$2:$A$50"),INDIRECT("'" &amp;Master!$F$10&amp; "'!$E$2:$E$50"))</f>
        <v>#VALUE!</v>
      </c>
      <c r="F882" s="4" t="e">
        <f ca="1">SplineInterp(A882,INDIRECT("'" &amp;Master!$F$10&amp; "'!$A$2:$A$50"),INDIRECT("'" &amp;Master!$F$10&amp; "'!$F$2:$F$50"))</f>
        <v>#VALUE!</v>
      </c>
      <c r="G882" s="4" t="e">
        <f ca="1">SplineInterp(A882,INDIRECT("'" &amp;Master!$F$10&amp; "'!$A$2:$A$50"),INDIRECT("'" &amp;Master!$F$10&amp; "'!$G$2:$G$50"))</f>
        <v>#VALUE!</v>
      </c>
      <c r="H882" s="4" t="e">
        <f ca="1">SplineInterp(A882,INDIRECT("'" &amp;Master!$F$10&amp; "'!$A$2:$A$50"),INDIRECT("'" &amp;Master!$F$10&amp; "'!$H$2:$H$50"))</f>
        <v>#VALUE!</v>
      </c>
      <c r="I882" s="4" t="e">
        <f ca="1">IF(OR(INDIRECT("'" &amp; Master!$F$8 &amp; Master!$F$6 &amp; "'!B" &amp; ROW(B882))="", INDIRECT("'" &amp; Master!$F$8 &amp; Master!$F$6 &amp; "'!B" &amp; ROW(B882))=0), "", INDIRECT("'" &amp; Master!$F$8 &amp; Master!$F$6 &amp; "'!B" &amp; ROW(B882)))</f>
        <v>#VALUE!</v>
      </c>
      <c r="J882" s="9" t="e">
        <f t="shared" ca="1" si="91"/>
        <v>#VALUE!</v>
      </c>
      <c r="K882" s="7" t="e">
        <f t="shared" ca="1" si="92"/>
        <v>#VALUE!</v>
      </c>
      <c r="L882" s="7" t="e">
        <f t="shared" ca="1" si="93"/>
        <v>#VALUE!</v>
      </c>
      <c r="M882" s="7" t="e">
        <f t="shared" ca="1" si="94"/>
        <v>#VALUE!</v>
      </c>
      <c r="N882" s="7" t="e">
        <f t="shared" ca="1" si="95"/>
        <v>#VALUE!</v>
      </c>
      <c r="O882" s="7" t="e">
        <f t="shared" ca="1" si="96"/>
        <v>#VALUE!</v>
      </c>
      <c r="P882" s="7" t="e">
        <f t="shared" ca="1" si="97"/>
        <v>#VALUE!</v>
      </c>
    </row>
    <row r="883" spans="1:16" x14ac:dyDescent="0.25">
      <c r="A883" s="19" t="str">
        <f ca="1">IF(OR(INDIRECT("'" &amp; Master!$F$8 &amp; Master!$F$6 &amp; "'!A" &amp; ROW(A883))="", INDIRECT("'" &amp; Master!$F$8 &amp; Master!$F$6 &amp; "'!A" &amp; ROW(A883))=0), "", INDIRECT("'" &amp; Master!$F$8 &amp; Master!$F$6 &amp; "'!A" &amp; ROW(A883)))</f>
        <v/>
      </c>
      <c r="B883" s="4" t="e">
        <f ca="1">SplineInterp(INDIRECT("A" &amp; ROW()),INDIRECT("'" &amp;Master!$F$10&amp; "'!$A$2:$A$50"),INDIRECT("'" &amp;Master!$F$10&amp; "'!$B$2:$B$50"))</f>
        <v>#VALUE!</v>
      </c>
      <c r="C883" s="4" t="e">
        <f ca="1">SplineInterp(A883,INDIRECT("'" &amp;Master!$F$10&amp; "'!$A$2:$A$50"),INDIRECT("'" &amp;Master!$F$10&amp; "'!$C$2:$C$50"))</f>
        <v>#VALUE!</v>
      </c>
      <c r="D883" s="4" t="e">
        <f ca="1">SplineInterp(A883,INDIRECT("'" &amp;Master!$F$10&amp; "'!$A$2:$A$50"),INDIRECT("'" &amp;Master!$F$10&amp; "'!$D$2:$D$50"))</f>
        <v>#VALUE!</v>
      </c>
      <c r="E883" s="4" t="e">
        <f ca="1">SplineInterp(A883,INDIRECT("'" &amp;Master!$F$10&amp; "'!$A$2:$A$50"),INDIRECT("'" &amp;Master!$F$10&amp; "'!$E$2:$E$50"))</f>
        <v>#VALUE!</v>
      </c>
      <c r="F883" s="4" t="e">
        <f ca="1">SplineInterp(A883,INDIRECT("'" &amp;Master!$F$10&amp; "'!$A$2:$A$50"),INDIRECT("'" &amp;Master!$F$10&amp; "'!$F$2:$F$50"))</f>
        <v>#VALUE!</v>
      </c>
      <c r="G883" s="4" t="e">
        <f ca="1">SplineInterp(A883,INDIRECT("'" &amp;Master!$F$10&amp; "'!$A$2:$A$50"),INDIRECT("'" &amp;Master!$F$10&amp; "'!$G$2:$G$50"))</f>
        <v>#VALUE!</v>
      </c>
      <c r="H883" s="4" t="e">
        <f ca="1">SplineInterp(A883,INDIRECT("'" &amp;Master!$F$10&amp; "'!$A$2:$A$50"),INDIRECT("'" &amp;Master!$F$10&amp; "'!$H$2:$H$50"))</f>
        <v>#VALUE!</v>
      </c>
      <c r="I883" s="4" t="e">
        <f ca="1">IF(OR(INDIRECT("'" &amp; Master!$F$8 &amp; Master!$F$6 &amp; "'!B" &amp; ROW(B883))="", INDIRECT("'" &amp; Master!$F$8 &amp; Master!$F$6 &amp; "'!B" &amp; ROW(B883))=0), "", INDIRECT("'" &amp; Master!$F$8 &amp; Master!$F$6 &amp; "'!B" &amp; ROW(B883)))</f>
        <v>#VALUE!</v>
      </c>
      <c r="J883" s="9" t="e">
        <f t="shared" ca="1" si="91"/>
        <v>#VALUE!</v>
      </c>
      <c r="K883" s="7" t="e">
        <f t="shared" ca="1" si="92"/>
        <v>#VALUE!</v>
      </c>
      <c r="L883" s="7" t="e">
        <f t="shared" ca="1" si="93"/>
        <v>#VALUE!</v>
      </c>
      <c r="M883" s="7" t="e">
        <f t="shared" ca="1" si="94"/>
        <v>#VALUE!</v>
      </c>
      <c r="N883" s="7" t="e">
        <f t="shared" ca="1" si="95"/>
        <v>#VALUE!</v>
      </c>
      <c r="O883" s="7" t="e">
        <f t="shared" ca="1" si="96"/>
        <v>#VALUE!</v>
      </c>
      <c r="P883" s="7" t="e">
        <f t="shared" ca="1" si="97"/>
        <v>#VALUE!</v>
      </c>
    </row>
    <row r="884" spans="1:16" x14ac:dyDescent="0.25">
      <c r="A884" s="19" t="str">
        <f ca="1">IF(OR(INDIRECT("'" &amp; Master!$F$8 &amp; Master!$F$6 &amp; "'!A" &amp; ROW(A884))="", INDIRECT("'" &amp; Master!$F$8 &amp; Master!$F$6 &amp; "'!A" &amp; ROW(A884))=0), "", INDIRECT("'" &amp; Master!$F$8 &amp; Master!$F$6 &amp; "'!A" &amp; ROW(A884)))</f>
        <v/>
      </c>
      <c r="B884" s="4" t="e">
        <f ca="1">SplineInterp(INDIRECT("A" &amp; ROW()),INDIRECT("'" &amp;Master!$F$10&amp; "'!$A$2:$A$50"),INDIRECT("'" &amp;Master!$F$10&amp; "'!$B$2:$B$50"))</f>
        <v>#VALUE!</v>
      </c>
      <c r="C884" s="4" t="e">
        <f ca="1">SplineInterp(A884,INDIRECT("'" &amp;Master!$F$10&amp; "'!$A$2:$A$50"),INDIRECT("'" &amp;Master!$F$10&amp; "'!$C$2:$C$50"))</f>
        <v>#VALUE!</v>
      </c>
      <c r="D884" s="4" t="e">
        <f ca="1">SplineInterp(A884,INDIRECT("'" &amp;Master!$F$10&amp; "'!$A$2:$A$50"),INDIRECT("'" &amp;Master!$F$10&amp; "'!$D$2:$D$50"))</f>
        <v>#VALUE!</v>
      </c>
      <c r="E884" s="4" t="e">
        <f ca="1">SplineInterp(A884,INDIRECT("'" &amp;Master!$F$10&amp; "'!$A$2:$A$50"),INDIRECT("'" &amp;Master!$F$10&amp; "'!$E$2:$E$50"))</f>
        <v>#VALUE!</v>
      </c>
      <c r="F884" s="4" t="e">
        <f ca="1">SplineInterp(A884,INDIRECT("'" &amp;Master!$F$10&amp; "'!$A$2:$A$50"),INDIRECT("'" &amp;Master!$F$10&amp; "'!$F$2:$F$50"))</f>
        <v>#VALUE!</v>
      </c>
      <c r="G884" s="4" t="e">
        <f ca="1">SplineInterp(A884,INDIRECT("'" &amp;Master!$F$10&amp; "'!$A$2:$A$50"),INDIRECT("'" &amp;Master!$F$10&amp; "'!$G$2:$G$50"))</f>
        <v>#VALUE!</v>
      </c>
      <c r="H884" s="4" t="e">
        <f ca="1">SplineInterp(A884,INDIRECT("'" &amp;Master!$F$10&amp; "'!$A$2:$A$50"),INDIRECT("'" &amp;Master!$F$10&amp; "'!$H$2:$H$50"))</f>
        <v>#VALUE!</v>
      </c>
      <c r="I884" s="4" t="e">
        <f ca="1">IF(OR(INDIRECT("'" &amp; Master!$F$8 &amp; Master!$F$6 &amp; "'!B" &amp; ROW(B884))="", INDIRECT("'" &amp; Master!$F$8 &amp; Master!$F$6 &amp; "'!B" &amp; ROW(B884))=0), "", INDIRECT("'" &amp; Master!$F$8 &amp; Master!$F$6 &amp; "'!B" &amp; ROW(B884)))</f>
        <v>#VALUE!</v>
      </c>
      <c r="J884" s="9" t="e">
        <f t="shared" ca="1" si="91"/>
        <v>#VALUE!</v>
      </c>
      <c r="K884" s="7" t="e">
        <f t="shared" ca="1" si="92"/>
        <v>#VALUE!</v>
      </c>
      <c r="L884" s="7" t="e">
        <f t="shared" ca="1" si="93"/>
        <v>#VALUE!</v>
      </c>
      <c r="M884" s="7" t="e">
        <f t="shared" ca="1" si="94"/>
        <v>#VALUE!</v>
      </c>
      <c r="N884" s="7" t="e">
        <f t="shared" ca="1" si="95"/>
        <v>#VALUE!</v>
      </c>
      <c r="O884" s="7" t="e">
        <f t="shared" ca="1" si="96"/>
        <v>#VALUE!</v>
      </c>
      <c r="P884" s="7" t="e">
        <f t="shared" ca="1" si="97"/>
        <v>#VALUE!</v>
      </c>
    </row>
    <row r="885" spans="1:16" x14ac:dyDescent="0.25">
      <c r="A885" s="19" t="str">
        <f ca="1">IF(OR(INDIRECT("'" &amp; Master!$F$8 &amp; Master!$F$6 &amp; "'!A" &amp; ROW(A885))="", INDIRECT("'" &amp; Master!$F$8 &amp; Master!$F$6 &amp; "'!A" &amp; ROW(A885))=0), "", INDIRECT("'" &amp; Master!$F$8 &amp; Master!$F$6 &amp; "'!A" &amp; ROW(A885)))</f>
        <v/>
      </c>
      <c r="B885" s="4" t="e">
        <f ca="1">SplineInterp(INDIRECT("A" &amp; ROW()),INDIRECT("'" &amp;Master!$F$10&amp; "'!$A$2:$A$50"),INDIRECT("'" &amp;Master!$F$10&amp; "'!$B$2:$B$50"))</f>
        <v>#VALUE!</v>
      </c>
      <c r="C885" s="4" t="e">
        <f ca="1">SplineInterp(A885,INDIRECT("'" &amp;Master!$F$10&amp; "'!$A$2:$A$50"),INDIRECT("'" &amp;Master!$F$10&amp; "'!$C$2:$C$50"))</f>
        <v>#VALUE!</v>
      </c>
      <c r="D885" s="4" t="e">
        <f ca="1">SplineInterp(A885,INDIRECT("'" &amp;Master!$F$10&amp; "'!$A$2:$A$50"),INDIRECT("'" &amp;Master!$F$10&amp; "'!$D$2:$D$50"))</f>
        <v>#VALUE!</v>
      </c>
      <c r="E885" s="4" t="e">
        <f ca="1">SplineInterp(A885,INDIRECT("'" &amp;Master!$F$10&amp; "'!$A$2:$A$50"),INDIRECT("'" &amp;Master!$F$10&amp; "'!$E$2:$E$50"))</f>
        <v>#VALUE!</v>
      </c>
      <c r="F885" s="4" t="e">
        <f ca="1">SplineInterp(A885,INDIRECT("'" &amp;Master!$F$10&amp; "'!$A$2:$A$50"),INDIRECT("'" &amp;Master!$F$10&amp; "'!$F$2:$F$50"))</f>
        <v>#VALUE!</v>
      </c>
      <c r="G885" s="4" t="e">
        <f ca="1">SplineInterp(A885,INDIRECT("'" &amp;Master!$F$10&amp; "'!$A$2:$A$50"),INDIRECT("'" &amp;Master!$F$10&amp; "'!$G$2:$G$50"))</f>
        <v>#VALUE!</v>
      </c>
      <c r="H885" s="4" t="e">
        <f ca="1">SplineInterp(A885,INDIRECT("'" &amp;Master!$F$10&amp; "'!$A$2:$A$50"),INDIRECT("'" &amp;Master!$F$10&amp; "'!$H$2:$H$50"))</f>
        <v>#VALUE!</v>
      </c>
      <c r="I885" s="4" t="e">
        <f ca="1">IF(OR(INDIRECT("'" &amp; Master!$F$8 &amp; Master!$F$6 &amp; "'!B" &amp; ROW(B885))="", INDIRECT("'" &amp; Master!$F$8 &amp; Master!$F$6 &amp; "'!B" &amp; ROW(B885))=0), "", INDIRECT("'" &amp; Master!$F$8 &amp; Master!$F$6 &amp; "'!B" &amp; ROW(B885)))</f>
        <v>#VALUE!</v>
      </c>
      <c r="J885" s="9" t="e">
        <f t="shared" ca="1" si="91"/>
        <v>#VALUE!</v>
      </c>
      <c r="K885" s="7" t="e">
        <f t="shared" ca="1" si="92"/>
        <v>#VALUE!</v>
      </c>
      <c r="L885" s="7" t="e">
        <f t="shared" ca="1" si="93"/>
        <v>#VALUE!</v>
      </c>
      <c r="M885" s="7" t="e">
        <f t="shared" ca="1" si="94"/>
        <v>#VALUE!</v>
      </c>
      <c r="N885" s="7" t="e">
        <f t="shared" ca="1" si="95"/>
        <v>#VALUE!</v>
      </c>
      <c r="O885" s="7" t="e">
        <f t="shared" ca="1" si="96"/>
        <v>#VALUE!</v>
      </c>
      <c r="P885" s="7" t="e">
        <f t="shared" ca="1" si="97"/>
        <v>#VALUE!</v>
      </c>
    </row>
    <row r="886" spans="1:16" x14ac:dyDescent="0.25">
      <c r="A886" s="19" t="str">
        <f ca="1">IF(OR(INDIRECT("'" &amp; Master!$F$8 &amp; Master!$F$6 &amp; "'!A" &amp; ROW(A886))="", INDIRECT("'" &amp; Master!$F$8 &amp; Master!$F$6 &amp; "'!A" &amp; ROW(A886))=0), "", INDIRECT("'" &amp; Master!$F$8 &amp; Master!$F$6 &amp; "'!A" &amp; ROW(A886)))</f>
        <v/>
      </c>
      <c r="B886" s="4" t="e">
        <f ca="1">SplineInterp(INDIRECT("A" &amp; ROW()),INDIRECT("'" &amp;Master!$F$10&amp; "'!$A$2:$A$50"),INDIRECT("'" &amp;Master!$F$10&amp; "'!$B$2:$B$50"))</f>
        <v>#VALUE!</v>
      </c>
      <c r="C886" s="4" t="e">
        <f ca="1">SplineInterp(A886,INDIRECT("'" &amp;Master!$F$10&amp; "'!$A$2:$A$50"),INDIRECT("'" &amp;Master!$F$10&amp; "'!$C$2:$C$50"))</f>
        <v>#VALUE!</v>
      </c>
      <c r="D886" s="4" t="e">
        <f ca="1">SplineInterp(A886,INDIRECT("'" &amp;Master!$F$10&amp; "'!$A$2:$A$50"),INDIRECT("'" &amp;Master!$F$10&amp; "'!$D$2:$D$50"))</f>
        <v>#VALUE!</v>
      </c>
      <c r="E886" s="4" t="e">
        <f ca="1">SplineInterp(A886,INDIRECT("'" &amp;Master!$F$10&amp; "'!$A$2:$A$50"),INDIRECT("'" &amp;Master!$F$10&amp; "'!$E$2:$E$50"))</f>
        <v>#VALUE!</v>
      </c>
      <c r="F886" s="4" t="e">
        <f ca="1">SplineInterp(A886,INDIRECT("'" &amp;Master!$F$10&amp; "'!$A$2:$A$50"),INDIRECT("'" &amp;Master!$F$10&amp; "'!$F$2:$F$50"))</f>
        <v>#VALUE!</v>
      </c>
      <c r="G886" s="4" t="e">
        <f ca="1">SplineInterp(A886,INDIRECT("'" &amp;Master!$F$10&amp; "'!$A$2:$A$50"),INDIRECT("'" &amp;Master!$F$10&amp; "'!$G$2:$G$50"))</f>
        <v>#VALUE!</v>
      </c>
      <c r="H886" s="4" t="e">
        <f ca="1">SplineInterp(A886,INDIRECT("'" &amp;Master!$F$10&amp; "'!$A$2:$A$50"),INDIRECT("'" &amp;Master!$F$10&amp; "'!$H$2:$H$50"))</f>
        <v>#VALUE!</v>
      </c>
      <c r="I886" s="4" t="e">
        <f ca="1">IF(OR(INDIRECT("'" &amp; Master!$F$8 &amp; Master!$F$6 &amp; "'!B" &amp; ROW(B886))="", INDIRECT("'" &amp; Master!$F$8 &amp; Master!$F$6 &amp; "'!B" &amp; ROW(B886))=0), "", INDIRECT("'" &amp; Master!$F$8 &amp; Master!$F$6 &amp; "'!B" &amp; ROW(B886)))</f>
        <v>#VALUE!</v>
      </c>
      <c r="J886" s="9" t="e">
        <f t="shared" ca="1" si="91"/>
        <v>#VALUE!</v>
      </c>
      <c r="K886" s="7" t="e">
        <f t="shared" ca="1" si="92"/>
        <v>#VALUE!</v>
      </c>
      <c r="L886" s="7" t="e">
        <f t="shared" ca="1" si="93"/>
        <v>#VALUE!</v>
      </c>
      <c r="M886" s="7" t="e">
        <f t="shared" ca="1" si="94"/>
        <v>#VALUE!</v>
      </c>
      <c r="N886" s="7" t="e">
        <f t="shared" ca="1" si="95"/>
        <v>#VALUE!</v>
      </c>
      <c r="O886" s="7" t="e">
        <f t="shared" ca="1" si="96"/>
        <v>#VALUE!</v>
      </c>
      <c r="P886" s="7" t="e">
        <f t="shared" ca="1" si="97"/>
        <v>#VALUE!</v>
      </c>
    </row>
    <row r="887" spans="1:16" x14ac:dyDescent="0.25">
      <c r="A887" s="19" t="str">
        <f ca="1">IF(OR(INDIRECT("'" &amp; Master!$F$8 &amp; Master!$F$6 &amp; "'!A" &amp; ROW(A887))="", INDIRECT("'" &amp; Master!$F$8 &amp; Master!$F$6 &amp; "'!A" &amp; ROW(A887))=0), "", INDIRECT("'" &amp; Master!$F$8 &amp; Master!$F$6 &amp; "'!A" &amp; ROW(A887)))</f>
        <v/>
      </c>
      <c r="B887" s="4" t="e">
        <f ca="1">SplineInterp(INDIRECT("A" &amp; ROW()),INDIRECT("'" &amp;Master!$F$10&amp; "'!$A$2:$A$50"),INDIRECT("'" &amp;Master!$F$10&amp; "'!$B$2:$B$50"))</f>
        <v>#VALUE!</v>
      </c>
      <c r="C887" s="4" t="e">
        <f ca="1">SplineInterp(A887,INDIRECT("'" &amp;Master!$F$10&amp; "'!$A$2:$A$50"),INDIRECT("'" &amp;Master!$F$10&amp; "'!$C$2:$C$50"))</f>
        <v>#VALUE!</v>
      </c>
      <c r="D887" s="4" t="e">
        <f ca="1">SplineInterp(A887,INDIRECT("'" &amp;Master!$F$10&amp; "'!$A$2:$A$50"),INDIRECT("'" &amp;Master!$F$10&amp; "'!$D$2:$D$50"))</f>
        <v>#VALUE!</v>
      </c>
      <c r="E887" s="4" t="e">
        <f ca="1">SplineInterp(A887,INDIRECT("'" &amp;Master!$F$10&amp; "'!$A$2:$A$50"),INDIRECT("'" &amp;Master!$F$10&amp; "'!$E$2:$E$50"))</f>
        <v>#VALUE!</v>
      </c>
      <c r="F887" s="4" t="e">
        <f ca="1">SplineInterp(A887,INDIRECT("'" &amp;Master!$F$10&amp; "'!$A$2:$A$50"),INDIRECT("'" &amp;Master!$F$10&amp; "'!$F$2:$F$50"))</f>
        <v>#VALUE!</v>
      </c>
      <c r="G887" s="4" t="e">
        <f ca="1">SplineInterp(A887,INDIRECT("'" &amp;Master!$F$10&amp; "'!$A$2:$A$50"),INDIRECT("'" &amp;Master!$F$10&amp; "'!$G$2:$G$50"))</f>
        <v>#VALUE!</v>
      </c>
      <c r="H887" s="4" t="e">
        <f ca="1">SplineInterp(A887,INDIRECT("'" &amp;Master!$F$10&amp; "'!$A$2:$A$50"),INDIRECT("'" &amp;Master!$F$10&amp; "'!$H$2:$H$50"))</f>
        <v>#VALUE!</v>
      </c>
      <c r="I887" s="4" t="e">
        <f ca="1">IF(OR(INDIRECT("'" &amp; Master!$F$8 &amp; Master!$F$6 &amp; "'!B" &amp; ROW(B887))="", INDIRECT("'" &amp; Master!$F$8 &amp; Master!$F$6 &amp; "'!B" &amp; ROW(B887))=0), "", INDIRECT("'" &amp; Master!$F$8 &amp; Master!$F$6 &amp; "'!B" &amp; ROW(B887)))</f>
        <v>#VALUE!</v>
      </c>
      <c r="J887" s="9" t="e">
        <f t="shared" ca="1" si="91"/>
        <v>#VALUE!</v>
      </c>
      <c r="K887" s="7" t="e">
        <f t="shared" ca="1" si="92"/>
        <v>#VALUE!</v>
      </c>
      <c r="L887" s="7" t="e">
        <f t="shared" ca="1" si="93"/>
        <v>#VALUE!</v>
      </c>
      <c r="M887" s="7" t="e">
        <f t="shared" ca="1" si="94"/>
        <v>#VALUE!</v>
      </c>
      <c r="N887" s="7" t="e">
        <f t="shared" ca="1" si="95"/>
        <v>#VALUE!</v>
      </c>
      <c r="O887" s="7" t="e">
        <f t="shared" ca="1" si="96"/>
        <v>#VALUE!</v>
      </c>
      <c r="P887" s="7" t="e">
        <f t="shared" ca="1" si="97"/>
        <v>#VALUE!</v>
      </c>
    </row>
    <row r="888" spans="1:16" x14ac:dyDescent="0.25">
      <c r="A888" s="19" t="str">
        <f ca="1">IF(OR(INDIRECT("'" &amp; Master!$F$8 &amp; Master!$F$6 &amp; "'!A" &amp; ROW(A888))="", INDIRECT("'" &amp; Master!$F$8 &amp; Master!$F$6 &amp; "'!A" &amp; ROW(A888))=0), "", INDIRECT("'" &amp; Master!$F$8 &amp; Master!$F$6 &amp; "'!A" &amp; ROW(A888)))</f>
        <v/>
      </c>
      <c r="B888" s="4" t="e">
        <f ca="1">SplineInterp(INDIRECT("A" &amp; ROW()),INDIRECT("'" &amp;Master!$F$10&amp; "'!$A$2:$A$50"),INDIRECT("'" &amp;Master!$F$10&amp; "'!$B$2:$B$50"))</f>
        <v>#VALUE!</v>
      </c>
      <c r="C888" s="4" t="e">
        <f ca="1">SplineInterp(A888,INDIRECT("'" &amp;Master!$F$10&amp; "'!$A$2:$A$50"),INDIRECT("'" &amp;Master!$F$10&amp; "'!$C$2:$C$50"))</f>
        <v>#VALUE!</v>
      </c>
      <c r="D888" s="4" t="e">
        <f ca="1">SplineInterp(A888,INDIRECT("'" &amp;Master!$F$10&amp; "'!$A$2:$A$50"),INDIRECT("'" &amp;Master!$F$10&amp; "'!$D$2:$D$50"))</f>
        <v>#VALUE!</v>
      </c>
      <c r="E888" s="4" t="e">
        <f ca="1">SplineInterp(A888,INDIRECT("'" &amp;Master!$F$10&amp; "'!$A$2:$A$50"),INDIRECT("'" &amp;Master!$F$10&amp; "'!$E$2:$E$50"))</f>
        <v>#VALUE!</v>
      </c>
      <c r="F888" s="4" t="e">
        <f ca="1">SplineInterp(A888,INDIRECT("'" &amp;Master!$F$10&amp; "'!$A$2:$A$50"),INDIRECT("'" &amp;Master!$F$10&amp; "'!$F$2:$F$50"))</f>
        <v>#VALUE!</v>
      </c>
      <c r="G888" s="4" t="e">
        <f ca="1">SplineInterp(A888,INDIRECT("'" &amp;Master!$F$10&amp; "'!$A$2:$A$50"),INDIRECT("'" &amp;Master!$F$10&amp; "'!$G$2:$G$50"))</f>
        <v>#VALUE!</v>
      </c>
      <c r="H888" s="4" t="e">
        <f ca="1">SplineInterp(A888,INDIRECT("'" &amp;Master!$F$10&amp; "'!$A$2:$A$50"),INDIRECT("'" &amp;Master!$F$10&amp; "'!$H$2:$H$50"))</f>
        <v>#VALUE!</v>
      </c>
      <c r="I888" s="4" t="e">
        <f ca="1">IF(OR(INDIRECT("'" &amp; Master!$F$8 &amp; Master!$F$6 &amp; "'!B" &amp; ROW(B888))="", INDIRECT("'" &amp; Master!$F$8 &amp; Master!$F$6 &amp; "'!B" &amp; ROW(B888))=0), "", INDIRECT("'" &amp; Master!$F$8 &amp; Master!$F$6 &amp; "'!B" &amp; ROW(B888)))</f>
        <v>#VALUE!</v>
      </c>
      <c r="J888" s="9" t="e">
        <f t="shared" ca="1" si="91"/>
        <v>#VALUE!</v>
      </c>
      <c r="K888" s="7" t="e">
        <f t="shared" ca="1" si="92"/>
        <v>#VALUE!</v>
      </c>
      <c r="L888" s="7" t="e">
        <f t="shared" ca="1" si="93"/>
        <v>#VALUE!</v>
      </c>
      <c r="M888" s="7" t="e">
        <f t="shared" ca="1" si="94"/>
        <v>#VALUE!</v>
      </c>
      <c r="N888" s="7" t="e">
        <f t="shared" ca="1" si="95"/>
        <v>#VALUE!</v>
      </c>
      <c r="O888" s="7" t="e">
        <f t="shared" ca="1" si="96"/>
        <v>#VALUE!</v>
      </c>
      <c r="P888" s="7" t="e">
        <f t="shared" ca="1" si="97"/>
        <v>#VALUE!</v>
      </c>
    </row>
    <row r="889" spans="1:16" x14ac:dyDescent="0.25">
      <c r="A889" s="19" t="str">
        <f ca="1">IF(OR(INDIRECT("'" &amp; Master!$F$8 &amp; Master!$F$6 &amp; "'!A" &amp; ROW(A889))="", INDIRECT("'" &amp; Master!$F$8 &amp; Master!$F$6 &amp; "'!A" &amp; ROW(A889))=0), "", INDIRECT("'" &amp; Master!$F$8 &amp; Master!$F$6 &amp; "'!A" &amp; ROW(A889)))</f>
        <v/>
      </c>
      <c r="B889" s="4" t="e">
        <f ca="1">SplineInterp(INDIRECT("A" &amp; ROW()),INDIRECT("'" &amp;Master!$F$10&amp; "'!$A$2:$A$50"),INDIRECT("'" &amp;Master!$F$10&amp; "'!$B$2:$B$50"))</f>
        <v>#VALUE!</v>
      </c>
      <c r="C889" s="4" t="e">
        <f ca="1">SplineInterp(A889,INDIRECT("'" &amp;Master!$F$10&amp; "'!$A$2:$A$50"),INDIRECT("'" &amp;Master!$F$10&amp; "'!$C$2:$C$50"))</f>
        <v>#VALUE!</v>
      </c>
      <c r="D889" s="4" t="e">
        <f ca="1">SplineInterp(A889,INDIRECT("'" &amp;Master!$F$10&amp; "'!$A$2:$A$50"),INDIRECT("'" &amp;Master!$F$10&amp; "'!$D$2:$D$50"))</f>
        <v>#VALUE!</v>
      </c>
      <c r="E889" s="4" t="e">
        <f ca="1">SplineInterp(A889,INDIRECT("'" &amp;Master!$F$10&amp; "'!$A$2:$A$50"),INDIRECT("'" &amp;Master!$F$10&amp; "'!$E$2:$E$50"))</f>
        <v>#VALUE!</v>
      </c>
      <c r="F889" s="4" t="e">
        <f ca="1">SplineInterp(A889,INDIRECT("'" &amp;Master!$F$10&amp; "'!$A$2:$A$50"),INDIRECT("'" &amp;Master!$F$10&amp; "'!$F$2:$F$50"))</f>
        <v>#VALUE!</v>
      </c>
      <c r="G889" s="4" t="e">
        <f ca="1">SplineInterp(A889,INDIRECT("'" &amp;Master!$F$10&amp; "'!$A$2:$A$50"),INDIRECT("'" &amp;Master!$F$10&amp; "'!$G$2:$G$50"))</f>
        <v>#VALUE!</v>
      </c>
      <c r="H889" s="4" t="e">
        <f ca="1">SplineInterp(A889,INDIRECT("'" &amp;Master!$F$10&amp; "'!$A$2:$A$50"),INDIRECT("'" &amp;Master!$F$10&amp; "'!$H$2:$H$50"))</f>
        <v>#VALUE!</v>
      </c>
      <c r="I889" s="4" t="e">
        <f ca="1">IF(OR(INDIRECT("'" &amp; Master!$F$8 &amp; Master!$F$6 &amp; "'!B" &amp; ROW(B889))="", INDIRECT("'" &amp; Master!$F$8 &amp; Master!$F$6 &amp; "'!B" &amp; ROW(B889))=0), "", INDIRECT("'" &amp; Master!$F$8 &amp; Master!$F$6 &amp; "'!B" &amp; ROW(B889)))</f>
        <v>#VALUE!</v>
      </c>
      <c r="J889" s="9" t="e">
        <f t="shared" ca="1" si="91"/>
        <v>#VALUE!</v>
      </c>
      <c r="K889" s="7" t="e">
        <f t="shared" ca="1" si="92"/>
        <v>#VALUE!</v>
      </c>
      <c r="L889" s="7" t="e">
        <f t="shared" ca="1" si="93"/>
        <v>#VALUE!</v>
      </c>
      <c r="M889" s="7" t="e">
        <f t="shared" ca="1" si="94"/>
        <v>#VALUE!</v>
      </c>
      <c r="N889" s="7" t="e">
        <f t="shared" ca="1" si="95"/>
        <v>#VALUE!</v>
      </c>
      <c r="O889" s="7" t="e">
        <f t="shared" ca="1" si="96"/>
        <v>#VALUE!</v>
      </c>
      <c r="P889" s="7" t="e">
        <f t="shared" ca="1" si="97"/>
        <v>#VALUE!</v>
      </c>
    </row>
    <row r="890" spans="1:16" x14ac:dyDescent="0.25">
      <c r="A890" s="19" t="str">
        <f ca="1">IF(OR(INDIRECT("'" &amp; Master!$F$8 &amp; Master!$F$6 &amp; "'!A" &amp; ROW(A890))="", INDIRECT("'" &amp; Master!$F$8 &amp; Master!$F$6 &amp; "'!A" &amp; ROW(A890))=0), "", INDIRECT("'" &amp; Master!$F$8 &amp; Master!$F$6 &amp; "'!A" &amp; ROW(A890)))</f>
        <v/>
      </c>
      <c r="B890" s="4" t="e">
        <f ca="1">SplineInterp(INDIRECT("A" &amp; ROW()),INDIRECT("'" &amp;Master!$F$10&amp; "'!$A$2:$A$50"),INDIRECT("'" &amp;Master!$F$10&amp; "'!$B$2:$B$50"))</f>
        <v>#VALUE!</v>
      </c>
      <c r="C890" s="4" t="e">
        <f ca="1">SplineInterp(A890,INDIRECT("'" &amp;Master!$F$10&amp; "'!$A$2:$A$50"),INDIRECT("'" &amp;Master!$F$10&amp; "'!$C$2:$C$50"))</f>
        <v>#VALUE!</v>
      </c>
      <c r="D890" s="4" t="e">
        <f ca="1">SplineInterp(A890,INDIRECT("'" &amp;Master!$F$10&amp; "'!$A$2:$A$50"),INDIRECT("'" &amp;Master!$F$10&amp; "'!$D$2:$D$50"))</f>
        <v>#VALUE!</v>
      </c>
      <c r="E890" s="4" t="e">
        <f ca="1">SplineInterp(A890,INDIRECT("'" &amp;Master!$F$10&amp; "'!$A$2:$A$50"),INDIRECT("'" &amp;Master!$F$10&amp; "'!$E$2:$E$50"))</f>
        <v>#VALUE!</v>
      </c>
      <c r="F890" s="4" t="e">
        <f ca="1">SplineInterp(A890,INDIRECT("'" &amp;Master!$F$10&amp; "'!$A$2:$A$50"),INDIRECT("'" &amp;Master!$F$10&amp; "'!$F$2:$F$50"))</f>
        <v>#VALUE!</v>
      </c>
      <c r="G890" s="4" t="e">
        <f ca="1">SplineInterp(A890,INDIRECT("'" &amp;Master!$F$10&amp; "'!$A$2:$A$50"),INDIRECT("'" &amp;Master!$F$10&amp; "'!$G$2:$G$50"))</f>
        <v>#VALUE!</v>
      </c>
      <c r="H890" s="4" t="e">
        <f ca="1">SplineInterp(A890,INDIRECT("'" &amp;Master!$F$10&amp; "'!$A$2:$A$50"),INDIRECT("'" &amp;Master!$F$10&amp; "'!$H$2:$H$50"))</f>
        <v>#VALUE!</v>
      </c>
      <c r="I890" s="4" t="e">
        <f ca="1">IF(OR(INDIRECT("'" &amp; Master!$F$8 &amp; Master!$F$6 &amp; "'!B" &amp; ROW(B890))="", INDIRECT("'" &amp; Master!$F$8 &amp; Master!$F$6 &amp; "'!B" &amp; ROW(B890))=0), "", INDIRECT("'" &amp; Master!$F$8 &amp; Master!$F$6 &amp; "'!B" &amp; ROW(B890)))</f>
        <v>#VALUE!</v>
      </c>
      <c r="J890" s="9" t="e">
        <f t="shared" ca="1" si="91"/>
        <v>#VALUE!</v>
      </c>
      <c r="K890" s="7" t="e">
        <f t="shared" ca="1" si="92"/>
        <v>#VALUE!</v>
      </c>
      <c r="L890" s="7" t="e">
        <f t="shared" ca="1" si="93"/>
        <v>#VALUE!</v>
      </c>
      <c r="M890" s="7" t="e">
        <f t="shared" ca="1" si="94"/>
        <v>#VALUE!</v>
      </c>
      <c r="N890" s="7" t="e">
        <f t="shared" ca="1" si="95"/>
        <v>#VALUE!</v>
      </c>
      <c r="O890" s="7" t="e">
        <f t="shared" ca="1" si="96"/>
        <v>#VALUE!</v>
      </c>
      <c r="P890" s="7" t="e">
        <f t="shared" ca="1" si="97"/>
        <v>#VALUE!</v>
      </c>
    </row>
    <row r="891" spans="1:16" x14ac:dyDescent="0.25">
      <c r="A891" s="19" t="str">
        <f ca="1">IF(OR(INDIRECT("'" &amp; Master!$F$8 &amp; Master!$F$6 &amp; "'!A" &amp; ROW(A891))="", INDIRECT("'" &amp; Master!$F$8 &amp; Master!$F$6 &amp; "'!A" &amp; ROW(A891))=0), "", INDIRECT("'" &amp; Master!$F$8 &amp; Master!$F$6 &amp; "'!A" &amp; ROW(A891)))</f>
        <v/>
      </c>
      <c r="B891" s="4" t="e">
        <f ca="1">SplineInterp(INDIRECT("A" &amp; ROW()),INDIRECT("'" &amp;Master!$F$10&amp; "'!$A$2:$A$50"),INDIRECT("'" &amp;Master!$F$10&amp; "'!$B$2:$B$50"))</f>
        <v>#VALUE!</v>
      </c>
      <c r="C891" s="4" t="e">
        <f ca="1">SplineInterp(A891,INDIRECT("'" &amp;Master!$F$10&amp; "'!$A$2:$A$50"),INDIRECT("'" &amp;Master!$F$10&amp; "'!$C$2:$C$50"))</f>
        <v>#VALUE!</v>
      </c>
      <c r="D891" s="4" t="e">
        <f ca="1">SplineInterp(A891,INDIRECT("'" &amp;Master!$F$10&amp; "'!$A$2:$A$50"),INDIRECT("'" &amp;Master!$F$10&amp; "'!$D$2:$D$50"))</f>
        <v>#VALUE!</v>
      </c>
      <c r="E891" s="4" t="e">
        <f ca="1">SplineInterp(A891,INDIRECT("'" &amp;Master!$F$10&amp; "'!$A$2:$A$50"),INDIRECT("'" &amp;Master!$F$10&amp; "'!$E$2:$E$50"))</f>
        <v>#VALUE!</v>
      </c>
      <c r="F891" s="4" t="e">
        <f ca="1">SplineInterp(A891,INDIRECT("'" &amp;Master!$F$10&amp; "'!$A$2:$A$50"),INDIRECT("'" &amp;Master!$F$10&amp; "'!$F$2:$F$50"))</f>
        <v>#VALUE!</v>
      </c>
      <c r="G891" s="4" t="e">
        <f ca="1">SplineInterp(A891,INDIRECT("'" &amp;Master!$F$10&amp; "'!$A$2:$A$50"),INDIRECT("'" &amp;Master!$F$10&amp; "'!$G$2:$G$50"))</f>
        <v>#VALUE!</v>
      </c>
      <c r="H891" s="4" t="e">
        <f ca="1">SplineInterp(A891,INDIRECT("'" &amp;Master!$F$10&amp; "'!$A$2:$A$50"),INDIRECT("'" &amp;Master!$F$10&amp; "'!$H$2:$H$50"))</f>
        <v>#VALUE!</v>
      </c>
      <c r="I891" s="4" t="e">
        <f ca="1">IF(OR(INDIRECT("'" &amp; Master!$F$8 &amp; Master!$F$6 &amp; "'!B" &amp; ROW(B891))="", INDIRECT("'" &amp; Master!$F$8 &amp; Master!$F$6 &amp; "'!B" &amp; ROW(B891))=0), "", INDIRECT("'" &amp; Master!$F$8 &amp; Master!$F$6 &amp; "'!B" &amp; ROW(B891)))</f>
        <v>#VALUE!</v>
      </c>
      <c r="J891" s="9" t="e">
        <f t="shared" ca="1" si="91"/>
        <v>#VALUE!</v>
      </c>
      <c r="K891" s="7" t="e">
        <f t="shared" ca="1" si="92"/>
        <v>#VALUE!</v>
      </c>
      <c r="L891" s="7" t="e">
        <f t="shared" ca="1" si="93"/>
        <v>#VALUE!</v>
      </c>
      <c r="M891" s="7" t="e">
        <f t="shared" ca="1" si="94"/>
        <v>#VALUE!</v>
      </c>
      <c r="N891" s="7" t="e">
        <f t="shared" ca="1" si="95"/>
        <v>#VALUE!</v>
      </c>
      <c r="O891" s="7" t="e">
        <f t="shared" ca="1" si="96"/>
        <v>#VALUE!</v>
      </c>
      <c r="P891" s="7" t="e">
        <f t="shared" ca="1" si="97"/>
        <v>#VALUE!</v>
      </c>
    </row>
    <row r="892" spans="1:16" x14ac:dyDescent="0.25">
      <c r="A892" s="19" t="str">
        <f ca="1">IF(OR(INDIRECT("'" &amp; Master!$F$8 &amp; Master!$F$6 &amp; "'!A" &amp; ROW(A892))="", INDIRECT("'" &amp; Master!$F$8 &amp; Master!$F$6 &amp; "'!A" &amp; ROW(A892))=0), "", INDIRECT("'" &amp; Master!$F$8 &amp; Master!$F$6 &amp; "'!A" &amp; ROW(A892)))</f>
        <v/>
      </c>
      <c r="B892" s="4" t="e">
        <f ca="1">SplineInterp(INDIRECT("A" &amp; ROW()),INDIRECT("'" &amp;Master!$F$10&amp; "'!$A$2:$A$50"),INDIRECT("'" &amp;Master!$F$10&amp; "'!$B$2:$B$50"))</f>
        <v>#VALUE!</v>
      </c>
      <c r="C892" s="4" t="e">
        <f ca="1">SplineInterp(A892,INDIRECT("'" &amp;Master!$F$10&amp; "'!$A$2:$A$50"),INDIRECT("'" &amp;Master!$F$10&amp; "'!$C$2:$C$50"))</f>
        <v>#VALUE!</v>
      </c>
      <c r="D892" s="4" t="e">
        <f ca="1">SplineInterp(A892,INDIRECT("'" &amp;Master!$F$10&amp; "'!$A$2:$A$50"),INDIRECT("'" &amp;Master!$F$10&amp; "'!$D$2:$D$50"))</f>
        <v>#VALUE!</v>
      </c>
      <c r="E892" s="4" t="e">
        <f ca="1">SplineInterp(A892,INDIRECT("'" &amp;Master!$F$10&amp; "'!$A$2:$A$50"),INDIRECT("'" &amp;Master!$F$10&amp; "'!$E$2:$E$50"))</f>
        <v>#VALUE!</v>
      </c>
      <c r="F892" s="4" t="e">
        <f ca="1">SplineInterp(A892,INDIRECT("'" &amp;Master!$F$10&amp; "'!$A$2:$A$50"),INDIRECT("'" &amp;Master!$F$10&amp; "'!$F$2:$F$50"))</f>
        <v>#VALUE!</v>
      </c>
      <c r="G892" s="4" t="e">
        <f ca="1">SplineInterp(A892,INDIRECT("'" &amp;Master!$F$10&amp; "'!$A$2:$A$50"),INDIRECT("'" &amp;Master!$F$10&amp; "'!$G$2:$G$50"))</f>
        <v>#VALUE!</v>
      </c>
      <c r="H892" s="4" t="e">
        <f ca="1">SplineInterp(A892,INDIRECT("'" &amp;Master!$F$10&amp; "'!$A$2:$A$50"),INDIRECT("'" &amp;Master!$F$10&amp; "'!$H$2:$H$50"))</f>
        <v>#VALUE!</v>
      </c>
      <c r="I892" s="4" t="e">
        <f ca="1">IF(OR(INDIRECT("'" &amp; Master!$F$8 &amp; Master!$F$6 &amp; "'!B" &amp; ROW(B892))="", INDIRECT("'" &amp; Master!$F$8 &amp; Master!$F$6 &amp; "'!B" &amp; ROW(B892))=0), "", INDIRECT("'" &amp; Master!$F$8 &amp; Master!$F$6 &amp; "'!B" &amp; ROW(B892)))</f>
        <v>#VALUE!</v>
      </c>
      <c r="J892" s="9" t="e">
        <f t="shared" ca="1" si="91"/>
        <v>#VALUE!</v>
      </c>
      <c r="K892" s="7" t="e">
        <f t="shared" ca="1" si="92"/>
        <v>#VALUE!</v>
      </c>
      <c r="L892" s="7" t="e">
        <f t="shared" ca="1" si="93"/>
        <v>#VALUE!</v>
      </c>
      <c r="M892" s="7" t="e">
        <f t="shared" ca="1" si="94"/>
        <v>#VALUE!</v>
      </c>
      <c r="N892" s="7" t="e">
        <f t="shared" ca="1" si="95"/>
        <v>#VALUE!</v>
      </c>
      <c r="O892" s="7" t="e">
        <f t="shared" ca="1" si="96"/>
        <v>#VALUE!</v>
      </c>
      <c r="P892" s="7" t="e">
        <f t="shared" ca="1" si="97"/>
        <v>#VALUE!</v>
      </c>
    </row>
    <row r="893" spans="1:16" x14ac:dyDescent="0.25">
      <c r="A893" s="19" t="str">
        <f ca="1">IF(OR(INDIRECT("'" &amp; Master!$F$8 &amp; Master!$F$6 &amp; "'!A" &amp; ROW(A893))="", INDIRECT("'" &amp; Master!$F$8 &amp; Master!$F$6 &amp; "'!A" &amp; ROW(A893))=0), "", INDIRECT("'" &amp; Master!$F$8 &amp; Master!$F$6 &amp; "'!A" &amp; ROW(A893)))</f>
        <v/>
      </c>
      <c r="B893" s="4" t="e">
        <f ca="1">SplineInterp(INDIRECT("A" &amp; ROW()),INDIRECT("'" &amp;Master!$F$10&amp; "'!$A$2:$A$50"),INDIRECT("'" &amp;Master!$F$10&amp; "'!$B$2:$B$50"))</f>
        <v>#VALUE!</v>
      </c>
      <c r="C893" s="4" t="e">
        <f ca="1">SplineInterp(A893,INDIRECT("'" &amp;Master!$F$10&amp; "'!$A$2:$A$50"),INDIRECT("'" &amp;Master!$F$10&amp; "'!$C$2:$C$50"))</f>
        <v>#VALUE!</v>
      </c>
      <c r="D893" s="4" t="e">
        <f ca="1">SplineInterp(A893,INDIRECT("'" &amp;Master!$F$10&amp; "'!$A$2:$A$50"),INDIRECT("'" &amp;Master!$F$10&amp; "'!$D$2:$D$50"))</f>
        <v>#VALUE!</v>
      </c>
      <c r="E893" s="4" t="e">
        <f ca="1">SplineInterp(A893,INDIRECT("'" &amp;Master!$F$10&amp; "'!$A$2:$A$50"),INDIRECT("'" &amp;Master!$F$10&amp; "'!$E$2:$E$50"))</f>
        <v>#VALUE!</v>
      </c>
      <c r="F893" s="4" t="e">
        <f ca="1">SplineInterp(A893,INDIRECT("'" &amp;Master!$F$10&amp; "'!$A$2:$A$50"),INDIRECT("'" &amp;Master!$F$10&amp; "'!$F$2:$F$50"))</f>
        <v>#VALUE!</v>
      </c>
      <c r="G893" s="4" t="e">
        <f ca="1">SplineInterp(A893,INDIRECT("'" &amp;Master!$F$10&amp; "'!$A$2:$A$50"),INDIRECT("'" &amp;Master!$F$10&amp; "'!$G$2:$G$50"))</f>
        <v>#VALUE!</v>
      </c>
      <c r="H893" s="4" t="e">
        <f ca="1">SplineInterp(A893,INDIRECT("'" &amp;Master!$F$10&amp; "'!$A$2:$A$50"),INDIRECT("'" &amp;Master!$F$10&amp; "'!$H$2:$H$50"))</f>
        <v>#VALUE!</v>
      </c>
      <c r="I893" s="4" t="e">
        <f ca="1">IF(OR(INDIRECT("'" &amp; Master!$F$8 &amp; Master!$F$6 &amp; "'!B" &amp; ROW(B893))="", INDIRECT("'" &amp; Master!$F$8 &amp; Master!$F$6 &amp; "'!B" &amp; ROW(B893))=0), "", INDIRECT("'" &amp; Master!$F$8 &amp; Master!$F$6 &amp; "'!B" &amp; ROW(B893)))</f>
        <v>#VALUE!</v>
      </c>
      <c r="J893" s="9" t="e">
        <f t="shared" ca="1" si="91"/>
        <v>#VALUE!</v>
      </c>
      <c r="K893" s="7" t="e">
        <f t="shared" ca="1" si="92"/>
        <v>#VALUE!</v>
      </c>
      <c r="L893" s="7" t="e">
        <f t="shared" ca="1" si="93"/>
        <v>#VALUE!</v>
      </c>
      <c r="M893" s="7" t="e">
        <f t="shared" ca="1" si="94"/>
        <v>#VALUE!</v>
      </c>
      <c r="N893" s="7" t="e">
        <f t="shared" ca="1" si="95"/>
        <v>#VALUE!</v>
      </c>
      <c r="O893" s="7" t="e">
        <f t="shared" ca="1" si="96"/>
        <v>#VALUE!</v>
      </c>
      <c r="P893" s="7" t="e">
        <f t="shared" ca="1" si="97"/>
        <v>#VALUE!</v>
      </c>
    </row>
    <row r="894" spans="1:16" x14ac:dyDescent="0.25">
      <c r="A894" s="19" t="str">
        <f ca="1">IF(OR(INDIRECT("'" &amp; Master!$F$8 &amp; Master!$F$6 &amp; "'!A" &amp; ROW(A894))="", INDIRECT("'" &amp; Master!$F$8 &amp; Master!$F$6 &amp; "'!A" &amp; ROW(A894))=0), "", INDIRECT("'" &amp; Master!$F$8 &amp; Master!$F$6 &amp; "'!A" &amp; ROW(A894)))</f>
        <v/>
      </c>
      <c r="B894" s="4" t="e">
        <f ca="1">SplineInterp(INDIRECT("A" &amp; ROW()),INDIRECT("'" &amp;Master!$F$10&amp; "'!$A$2:$A$50"),INDIRECT("'" &amp;Master!$F$10&amp; "'!$B$2:$B$50"))</f>
        <v>#VALUE!</v>
      </c>
      <c r="C894" s="4" t="e">
        <f ca="1">SplineInterp(A894,INDIRECT("'" &amp;Master!$F$10&amp; "'!$A$2:$A$50"),INDIRECT("'" &amp;Master!$F$10&amp; "'!$C$2:$C$50"))</f>
        <v>#VALUE!</v>
      </c>
      <c r="D894" s="4" t="e">
        <f ca="1">SplineInterp(A894,INDIRECT("'" &amp;Master!$F$10&amp; "'!$A$2:$A$50"),INDIRECT("'" &amp;Master!$F$10&amp; "'!$D$2:$D$50"))</f>
        <v>#VALUE!</v>
      </c>
      <c r="E894" s="4" t="e">
        <f ca="1">SplineInterp(A894,INDIRECT("'" &amp;Master!$F$10&amp; "'!$A$2:$A$50"),INDIRECT("'" &amp;Master!$F$10&amp; "'!$E$2:$E$50"))</f>
        <v>#VALUE!</v>
      </c>
      <c r="F894" s="4" t="e">
        <f ca="1">SplineInterp(A894,INDIRECT("'" &amp;Master!$F$10&amp; "'!$A$2:$A$50"),INDIRECT("'" &amp;Master!$F$10&amp; "'!$F$2:$F$50"))</f>
        <v>#VALUE!</v>
      </c>
      <c r="G894" s="4" t="e">
        <f ca="1">SplineInterp(A894,INDIRECT("'" &amp;Master!$F$10&amp; "'!$A$2:$A$50"),INDIRECT("'" &amp;Master!$F$10&amp; "'!$G$2:$G$50"))</f>
        <v>#VALUE!</v>
      </c>
      <c r="H894" s="4" t="e">
        <f ca="1">SplineInterp(A894,INDIRECT("'" &amp;Master!$F$10&amp; "'!$A$2:$A$50"),INDIRECT("'" &amp;Master!$F$10&amp; "'!$H$2:$H$50"))</f>
        <v>#VALUE!</v>
      </c>
      <c r="I894" s="4" t="e">
        <f ca="1">IF(OR(INDIRECT("'" &amp; Master!$F$8 &amp; Master!$F$6 &amp; "'!B" &amp; ROW(B894))="", INDIRECT("'" &amp; Master!$F$8 &amp; Master!$F$6 &amp; "'!B" &amp; ROW(B894))=0), "", INDIRECT("'" &amp; Master!$F$8 &amp; Master!$F$6 &amp; "'!B" &amp; ROW(B894)))</f>
        <v>#VALUE!</v>
      </c>
      <c r="J894" s="9" t="e">
        <f t="shared" ca="1" si="91"/>
        <v>#VALUE!</v>
      </c>
      <c r="K894" s="7" t="e">
        <f t="shared" ca="1" si="92"/>
        <v>#VALUE!</v>
      </c>
      <c r="L894" s="7" t="e">
        <f t="shared" ca="1" si="93"/>
        <v>#VALUE!</v>
      </c>
      <c r="M894" s="7" t="e">
        <f t="shared" ca="1" si="94"/>
        <v>#VALUE!</v>
      </c>
      <c r="N894" s="7" t="e">
        <f t="shared" ca="1" si="95"/>
        <v>#VALUE!</v>
      </c>
      <c r="O894" s="7" t="e">
        <f t="shared" ca="1" si="96"/>
        <v>#VALUE!</v>
      </c>
      <c r="P894" s="7" t="e">
        <f t="shared" ca="1" si="97"/>
        <v>#VALUE!</v>
      </c>
    </row>
    <row r="895" spans="1:16" x14ac:dyDescent="0.25">
      <c r="A895" s="19" t="str">
        <f ca="1">IF(OR(INDIRECT("'" &amp; Master!$F$8 &amp; Master!$F$6 &amp; "'!A" &amp; ROW(A895))="", INDIRECT("'" &amp; Master!$F$8 &amp; Master!$F$6 &amp; "'!A" &amp; ROW(A895))=0), "", INDIRECT("'" &amp; Master!$F$8 &amp; Master!$F$6 &amp; "'!A" &amp; ROW(A895)))</f>
        <v/>
      </c>
      <c r="B895" s="4" t="e">
        <f ca="1">SplineInterp(INDIRECT("A" &amp; ROW()),INDIRECT("'" &amp;Master!$F$10&amp; "'!$A$2:$A$50"),INDIRECT("'" &amp;Master!$F$10&amp; "'!$B$2:$B$50"))</f>
        <v>#VALUE!</v>
      </c>
      <c r="C895" s="4" t="e">
        <f ca="1">SplineInterp(A895,INDIRECT("'" &amp;Master!$F$10&amp; "'!$A$2:$A$50"),INDIRECT("'" &amp;Master!$F$10&amp; "'!$C$2:$C$50"))</f>
        <v>#VALUE!</v>
      </c>
      <c r="D895" s="4" t="e">
        <f ca="1">SplineInterp(A895,INDIRECT("'" &amp;Master!$F$10&amp; "'!$A$2:$A$50"),INDIRECT("'" &amp;Master!$F$10&amp; "'!$D$2:$D$50"))</f>
        <v>#VALUE!</v>
      </c>
      <c r="E895" s="4" t="e">
        <f ca="1">SplineInterp(A895,INDIRECT("'" &amp;Master!$F$10&amp; "'!$A$2:$A$50"),INDIRECT("'" &amp;Master!$F$10&amp; "'!$E$2:$E$50"))</f>
        <v>#VALUE!</v>
      </c>
      <c r="F895" s="4" t="e">
        <f ca="1">SplineInterp(A895,INDIRECT("'" &amp;Master!$F$10&amp; "'!$A$2:$A$50"),INDIRECT("'" &amp;Master!$F$10&amp; "'!$F$2:$F$50"))</f>
        <v>#VALUE!</v>
      </c>
      <c r="G895" s="4" t="e">
        <f ca="1">SplineInterp(A895,INDIRECT("'" &amp;Master!$F$10&amp; "'!$A$2:$A$50"),INDIRECT("'" &amp;Master!$F$10&amp; "'!$G$2:$G$50"))</f>
        <v>#VALUE!</v>
      </c>
      <c r="H895" s="4" t="e">
        <f ca="1">SplineInterp(A895,INDIRECT("'" &amp;Master!$F$10&amp; "'!$A$2:$A$50"),INDIRECT("'" &amp;Master!$F$10&amp; "'!$H$2:$H$50"))</f>
        <v>#VALUE!</v>
      </c>
      <c r="I895" s="4" t="e">
        <f ca="1">IF(OR(INDIRECT("'" &amp; Master!$F$8 &amp; Master!$F$6 &amp; "'!B" &amp; ROW(B895))="", INDIRECT("'" &amp; Master!$F$8 &amp; Master!$F$6 &amp; "'!B" &amp; ROW(B895))=0), "", INDIRECT("'" &amp; Master!$F$8 &amp; Master!$F$6 &amp; "'!B" &amp; ROW(B895)))</f>
        <v>#VALUE!</v>
      </c>
      <c r="J895" s="9" t="e">
        <f t="shared" ca="1" si="91"/>
        <v>#VALUE!</v>
      </c>
      <c r="K895" s="7" t="e">
        <f t="shared" ca="1" si="92"/>
        <v>#VALUE!</v>
      </c>
      <c r="L895" s="7" t="e">
        <f t="shared" ca="1" si="93"/>
        <v>#VALUE!</v>
      </c>
      <c r="M895" s="7" t="e">
        <f t="shared" ca="1" si="94"/>
        <v>#VALUE!</v>
      </c>
      <c r="N895" s="7" t="e">
        <f t="shared" ca="1" si="95"/>
        <v>#VALUE!</v>
      </c>
      <c r="O895" s="7" t="e">
        <f t="shared" ca="1" si="96"/>
        <v>#VALUE!</v>
      </c>
      <c r="P895" s="7" t="e">
        <f t="shared" ca="1" si="97"/>
        <v>#VALUE!</v>
      </c>
    </row>
    <row r="896" spans="1:16" x14ac:dyDescent="0.25">
      <c r="A896" s="19" t="str">
        <f ca="1">IF(OR(INDIRECT("'" &amp; Master!$F$8 &amp; Master!$F$6 &amp; "'!A" &amp; ROW(A896))="", INDIRECT("'" &amp; Master!$F$8 &amp; Master!$F$6 &amp; "'!A" &amp; ROW(A896))=0), "", INDIRECT("'" &amp; Master!$F$8 &amp; Master!$F$6 &amp; "'!A" &amp; ROW(A896)))</f>
        <v/>
      </c>
      <c r="B896" s="4" t="e">
        <f ca="1">SplineInterp(INDIRECT("A" &amp; ROW()),INDIRECT("'" &amp;Master!$F$10&amp; "'!$A$2:$A$50"),INDIRECT("'" &amp;Master!$F$10&amp; "'!$B$2:$B$50"))</f>
        <v>#VALUE!</v>
      </c>
      <c r="C896" s="4" t="e">
        <f ca="1">SplineInterp(A896,INDIRECT("'" &amp;Master!$F$10&amp; "'!$A$2:$A$50"),INDIRECT("'" &amp;Master!$F$10&amp; "'!$C$2:$C$50"))</f>
        <v>#VALUE!</v>
      </c>
      <c r="D896" s="4" t="e">
        <f ca="1">SplineInterp(A896,INDIRECT("'" &amp;Master!$F$10&amp; "'!$A$2:$A$50"),INDIRECT("'" &amp;Master!$F$10&amp; "'!$D$2:$D$50"))</f>
        <v>#VALUE!</v>
      </c>
      <c r="E896" s="4" t="e">
        <f ca="1">SplineInterp(A896,INDIRECT("'" &amp;Master!$F$10&amp; "'!$A$2:$A$50"),INDIRECT("'" &amp;Master!$F$10&amp; "'!$E$2:$E$50"))</f>
        <v>#VALUE!</v>
      </c>
      <c r="F896" s="4" t="e">
        <f ca="1">SplineInterp(A896,INDIRECT("'" &amp;Master!$F$10&amp; "'!$A$2:$A$50"),INDIRECT("'" &amp;Master!$F$10&amp; "'!$F$2:$F$50"))</f>
        <v>#VALUE!</v>
      </c>
      <c r="G896" s="4" t="e">
        <f ca="1">SplineInterp(A896,INDIRECT("'" &amp;Master!$F$10&amp; "'!$A$2:$A$50"),INDIRECT("'" &amp;Master!$F$10&amp; "'!$G$2:$G$50"))</f>
        <v>#VALUE!</v>
      </c>
      <c r="H896" s="4" t="e">
        <f ca="1">SplineInterp(A896,INDIRECT("'" &amp;Master!$F$10&amp; "'!$A$2:$A$50"),INDIRECT("'" &amp;Master!$F$10&amp; "'!$H$2:$H$50"))</f>
        <v>#VALUE!</v>
      </c>
      <c r="I896" s="4" t="e">
        <f ca="1">IF(OR(INDIRECT("'" &amp; Master!$F$8 &amp; Master!$F$6 &amp; "'!B" &amp; ROW(B896))="", INDIRECT("'" &amp; Master!$F$8 &amp; Master!$F$6 &amp; "'!B" &amp; ROW(B896))=0), "", INDIRECT("'" &amp; Master!$F$8 &amp; Master!$F$6 &amp; "'!B" &amp; ROW(B896)))</f>
        <v>#VALUE!</v>
      </c>
      <c r="J896" s="9" t="e">
        <f t="shared" ca="1" si="91"/>
        <v>#VALUE!</v>
      </c>
      <c r="K896" s="7" t="e">
        <f t="shared" ca="1" si="92"/>
        <v>#VALUE!</v>
      </c>
      <c r="L896" s="7" t="e">
        <f t="shared" ca="1" si="93"/>
        <v>#VALUE!</v>
      </c>
      <c r="M896" s="7" t="e">
        <f t="shared" ca="1" si="94"/>
        <v>#VALUE!</v>
      </c>
      <c r="N896" s="7" t="e">
        <f t="shared" ca="1" si="95"/>
        <v>#VALUE!</v>
      </c>
      <c r="O896" s="7" t="e">
        <f t="shared" ca="1" si="96"/>
        <v>#VALUE!</v>
      </c>
      <c r="P896" s="7" t="e">
        <f t="shared" ca="1" si="97"/>
        <v>#VALUE!</v>
      </c>
    </row>
    <row r="897" spans="1:16" x14ac:dyDescent="0.25">
      <c r="A897" s="19" t="str">
        <f ca="1">IF(OR(INDIRECT("'" &amp; Master!$F$8 &amp; Master!$F$6 &amp; "'!A" &amp; ROW(A897))="", INDIRECT("'" &amp; Master!$F$8 &amp; Master!$F$6 &amp; "'!A" &amp; ROW(A897))=0), "", INDIRECT("'" &amp; Master!$F$8 &amp; Master!$F$6 &amp; "'!A" &amp; ROW(A897)))</f>
        <v/>
      </c>
      <c r="B897" s="4" t="e">
        <f ca="1">SplineInterp(INDIRECT("A" &amp; ROW()),INDIRECT("'" &amp;Master!$F$10&amp; "'!$A$2:$A$50"),INDIRECT("'" &amp;Master!$F$10&amp; "'!$B$2:$B$50"))</f>
        <v>#VALUE!</v>
      </c>
      <c r="C897" s="4" t="e">
        <f ca="1">SplineInterp(A897,INDIRECT("'" &amp;Master!$F$10&amp; "'!$A$2:$A$50"),INDIRECT("'" &amp;Master!$F$10&amp; "'!$C$2:$C$50"))</f>
        <v>#VALUE!</v>
      </c>
      <c r="D897" s="4" t="e">
        <f ca="1">SplineInterp(A897,INDIRECT("'" &amp;Master!$F$10&amp; "'!$A$2:$A$50"),INDIRECT("'" &amp;Master!$F$10&amp; "'!$D$2:$D$50"))</f>
        <v>#VALUE!</v>
      </c>
      <c r="E897" s="4" t="e">
        <f ca="1">SplineInterp(A897,INDIRECT("'" &amp;Master!$F$10&amp; "'!$A$2:$A$50"),INDIRECT("'" &amp;Master!$F$10&amp; "'!$E$2:$E$50"))</f>
        <v>#VALUE!</v>
      </c>
      <c r="F897" s="4" t="e">
        <f ca="1">SplineInterp(A897,INDIRECT("'" &amp;Master!$F$10&amp; "'!$A$2:$A$50"),INDIRECT("'" &amp;Master!$F$10&amp; "'!$F$2:$F$50"))</f>
        <v>#VALUE!</v>
      </c>
      <c r="G897" s="4" t="e">
        <f ca="1">SplineInterp(A897,INDIRECT("'" &amp;Master!$F$10&amp; "'!$A$2:$A$50"),INDIRECT("'" &amp;Master!$F$10&amp; "'!$G$2:$G$50"))</f>
        <v>#VALUE!</v>
      </c>
      <c r="H897" s="4" t="e">
        <f ca="1">SplineInterp(A897,INDIRECT("'" &amp;Master!$F$10&amp; "'!$A$2:$A$50"),INDIRECT("'" &amp;Master!$F$10&amp; "'!$H$2:$H$50"))</f>
        <v>#VALUE!</v>
      </c>
      <c r="I897" s="4" t="e">
        <f ca="1">IF(OR(INDIRECT("'" &amp; Master!$F$8 &amp; Master!$F$6 &amp; "'!B" &amp; ROW(B897))="", INDIRECT("'" &amp; Master!$F$8 &amp; Master!$F$6 &amp; "'!B" &amp; ROW(B897))=0), "", INDIRECT("'" &amp; Master!$F$8 &amp; Master!$F$6 &amp; "'!B" &amp; ROW(B897)))</f>
        <v>#VALUE!</v>
      </c>
      <c r="J897" s="9" t="e">
        <f t="shared" ca="1" si="91"/>
        <v>#VALUE!</v>
      </c>
      <c r="K897" s="7" t="e">
        <f t="shared" ca="1" si="92"/>
        <v>#VALUE!</v>
      </c>
      <c r="L897" s="7" t="e">
        <f t="shared" ca="1" si="93"/>
        <v>#VALUE!</v>
      </c>
      <c r="M897" s="7" t="e">
        <f t="shared" ca="1" si="94"/>
        <v>#VALUE!</v>
      </c>
      <c r="N897" s="7" t="e">
        <f t="shared" ca="1" si="95"/>
        <v>#VALUE!</v>
      </c>
      <c r="O897" s="7" t="e">
        <f t="shared" ca="1" si="96"/>
        <v>#VALUE!</v>
      </c>
      <c r="P897" s="7" t="e">
        <f t="shared" ca="1" si="97"/>
        <v>#VALUE!</v>
      </c>
    </row>
    <row r="898" spans="1:16" x14ac:dyDescent="0.25">
      <c r="A898" s="19" t="str">
        <f ca="1">IF(OR(INDIRECT("'" &amp; Master!$F$8 &amp; Master!$F$6 &amp; "'!A" &amp; ROW(A898))="", INDIRECT("'" &amp; Master!$F$8 &amp; Master!$F$6 &amp; "'!A" &amp; ROW(A898))=0), "", INDIRECT("'" &amp; Master!$F$8 &amp; Master!$F$6 &amp; "'!A" &amp; ROW(A898)))</f>
        <v/>
      </c>
      <c r="B898" s="4" t="e">
        <f ca="1">SplineInterp(INDIRECT("A" &amp; ROW()),INDIRECT("'" &amp;Master!$F$10&amp; "'!$A$2:$A$50"),INDIRECT("'" &amp;Master!$F$10&amp; "'!$B$2:$B$50"))</f>
        <v>#VALUE!</v>
      </c>
      <c r="C898" s="4" t="e">
        <f ca="1">SplineInterp(A898,INDIRECT("'" &amp;Master!$F$10&amp; "'!$A$2:$A$50"),INDIRECT("'" &amp;Master!$F$10&amp; "'!$C$2:$C$50"))</f>
        <v>#VALUE!</v>
      </c>
      <c r="D898" s="4" t="e">
        <f ca="1">SplineInterp(A898,INDIRECT("'" &amp;Master!$F$10&amp; "'!$A$2:$A$50"),INDIRECT("'" &amp;Master!$F$10&amp; "'!$D$2:$D$50"))</f>
        <v>#VALUE!</v>
      </c>
      <c r="E898" s="4" t="e">
        <f ca="1">SplineInterp(A898,INDIRECT("'" &amp;Master!$F$10&amp; "'!$A$2:$A$50"),INDIRECT("'" &amp;Master!$F$10&amp; "'!$E$2:$E$50"))</f>
        <v>#VALUE!</v>
      </c>
      <c r="F898" s="4" t="e">
        <f ca="1">SplineInterp(A898,INDIRECT("'" &amp;Master!$F$10&amp; "'!$A$2:$A$50"),INDIRECT("'" &amp;Master!$F$10&amp; "'!$F$2:$F$50"))</f>
        <v>#VALUE!</v>
      </c>
      <c r="G898" s="4" t="e">
        <f ca="1">SplineInterp(A898,INDIRECT("'" &amp;Master!$F$10&amp; "'!$A$2:$A$50"),INDIRECT("'" &amp;Master!$F$10&amp; "'!$G$2:$G$50"))</f>
        <v>#VALUE!</v>
      </c>
      <c r="H898" s="4" t="e">
        <f ca="1">SplineInterp(A898,INDIRECT("'" &amp;Master!$F$10&amp; "'!$A$2:$A$50"),INDIRECT("'" &amp;Master!$F$10&amp; "'!$H$2:$H$50"))</f>
        <v>#VALUE!</v>
      </c>
      <c r="I898" s="4" t="e">
        <f ca="1">IF(OR(INDIRECT("'" &amp; Master!$F$8 &amp; Master!$F$6 &amp; "'!B" &amp; ROW(B898))="", INDIRECT("'" &amp; Master!$F$8 &amp; Master!$F$6 &amp; "'!B" &amp; ROW(B898))=0), "", INDIRECT("'" &amp; Master!$F$8 &amp; Master!$F$6 &amp; "'!B" &amp; ROW(B898)))</f>
        <v>#VALUE!</v>
      </c>
      <c r="J898" s="9" t="e">
        <f t="shared" ca="1" si="91"/>
        <v>#VALUE!</v>
      </c>
      <c r="K898" s="7" t="e">
        <f t="shared" ca="1" si="92"/>
        <v>#VALUE!</v>
      </c>
      <c r="L898" s="7" t="e">
        <f t="shared" ca="1" si="93"/>
        <v>#VALUE!</v>
      </c>
      <c r="M898" s="7" t="e">
        <f t="shared" ca="1" si="94"/>
        <v>#VALUE!</v>
      </c>
      <c r="N898" s="7" t="e">
        <f t="shared" ca="1" si="95"/>
        <v>#VALUE!</v>
      </c>
      <c r="O898" s="7" t="e">
        <f t="shared" ca="1" si="96"/>
        <v>#VALUE!</v>
      </c>
      <c r="P898" s="7" t="e">
        <f t="shared" ca="1" si="97"/>
        <v>#VALUE!</v>
      </c>
    </row>
    <row r="899" spans="1:16" x14ac:dyDescent="0.25">
      <c r="A899" s="19" t="str">
        <f ca="1">IF(OR(INDIRECT("'" &amp; Master!$F$8 &amp; Master!$F$6 &amp; "'!A" &amp; ROW(A899))="", INDIRECT("'" &amp; Master!$F$8 &amp; Master!$F$6 &amp; "'!A" &amp; ROW(A899))=0), "", INDIRECT("'" &amp; Master!$F$8 &amp; Master!$F$6 &amp; "'!A" &amp; ROW(A899)))</f>
        <v/>
      </c>
      <c r="B899" s="4" t="e">
        <f ca="1">SplineInterp(INDIRECT("A" &amp; ROW()),INDIRECT("'" &amp;Master!$F$10&amp; "'!$A$2:$A$50"),INDIRECT("'" &amp;Master!$F$10&amp; "'!$B$2:$B$50"))</f>
        <v>#VALUE!</v>
      </c>
      <c r="C899" s="4" t="e">
        <f ca="1">SplineInterp(A899,INDIRECT("'" &amp;Master!$F$10&amp; "'!$A$2:$A$50"),INDIRECT("'" &amp;Master!$F$10&amp; "'!$C$2:$C$50"))</f>
        <v>#VALUE!</v>
      </c>
      <c r="D899" s="4" t="e">
        <f ca="1">SplineInterp(A899,INDIRECT("'" &amp;Master!$F$10&amp; "'!$A$2:$A$50"),INDIRECT("'" &amp;Master!$F$10&amp; "'!$D$2:$D$50"))</f>
        <v>#VALUE!</v>
      </c>
      <c r="E899" s="4" t="e">
        <f ca="1">SplineInterp(A899,INDIRECT("'" &amp;Master!$F$10&amp; "'!$A$2:$A$50"),INDIRECT("'" &amp;Master!$F$10&amp; "'!$E$2:$E$50"))</f>
        <v>#VALUE!</v>
      </c>
      <c r="F899" s="4" t="e">
        <f ca="1">SplineInterp(A899,INDIRECT("'" &amp;Master!$F$10&amp; "'!$A$2:$A$50"),INDIRECT("'" &amp;Master!$F$10&amp; "'!$F$2:$F$50"))</f>
        <v>#VALUE!</v>
      </c>
      <c r="G899" s="4" t="e">
        <f ca="1">SplineInterp(A899,INDIRECT("'" &amp;Master!$F$10&amp; "'!$A$2:$A$50"),INDIRECT("'" &amp;Master!$F$10&amp; "'!$G$2:$G$50"))</f>
        <v>#VALUE!</v>
      </c>
      <c r="H899" s="4" t="e">
        <f ca="1">SplineInterp(A899,INDIRECT("'" &amp;Master!$F$10&amp; "'!$A$2:$A$50"),INDIRECT("'" &amp;Master!$F$10&amp; "'!$H$2:$H$50"))</f>
        <v>#VALUE!</v>
      </c>
      <c r="I899" s="4" t="e">
        <f ca="1">IF(OR(INDIRECT("'" &amp; Master!$F$8 &amp; Master!$F$6 &amp; "'!B" &amp; ROW(B899))="", INDIRECT("'" &amp; Master!$F$8 &amp; Master!$F$6 &amp; "'!B" &amp; ROW(B899))=0), "", INDIRECT("'" &amp; Master!$F$8 &amp; Master!$F$6 &amp; "'!B" &amp; ROW(B899)))</f>
        <v>#VALUE!</v>
      </c>
      <c r="J899" s="9" t="e">
        <f t="shared" ref="J899:J962" ca="1" si="98">B899*I899</f>
        <v>#VALUE!</v>
      </c>
      <c r="K899" s="7" t="e">
        <f t="shared" ref="K899:K962" ca="1" si="99">C899*I899</f>
        <v>#VALUE!</v>
      </c>
      <c r="L899" s="7" t="e">
        <f t="shared" ref="L899:L962" ca="1" si="100">D899*I899</f>
        <v>#VALUE!</v>
      </c>
      <c r="M899" s="7" t="e">
        <f t="shared" ref="M899:M962" ca="1" si="101">E899*I899</f>
        <v>#VALUE!</v>
      </c>
      <c r="N899" s="7" t="e">
        <f t="shared" ref="N899:N962" ca="1" si="102">F899*I899</f>
        <v>#VALUE!</v>
      </c>
      <c r="O899" s="7" t="e">
        <f t="shared" ref="O899:O962" ca="1" si="103">G899*I899</f>
        <v>#VALUE!</v>
      </c>
      <c r="P899" s="7" t="e">
        <f t="shared" ref="P899:P962" ca="1" si="104">H899*I899</f>
        <v>#VALUE!</v>
      </c>
    </row>
    <row r="900" spans="1:16" x14ac:dyDescent="0.25">
      <c r="A900" s="19" t="str">
        <f ca="1">IF(OR(INDIRECT("'" &amp; Master!$F$8 &amp; Master!$F$6 &amp; "'!A" &amp; ROW(A900))="", INDIRECT("'" &amp; Master!$F$8 &amp; Master!$F$6 &amp; "'!A" &amp; ROW(A900))=0), "", INDIRECT("'" &amp; Master!$F$8 &amp; Master!$F$6 &amp; "'!A" &amp; ROW(A900)))</f>
        <v/>
      </c>
      <c r="B900" s="4" t="e">
        <f ca="1">SplineInterp(INDIRECT("A" &amp; ROW()),INDIRECT("'" &amp;Master!$F$10&amp; "'!$A$2:$A$50"),INDIRECT("'" &amp;Master!$F$10&amp; "'!$B$2:$B$50"))</f>
        <v>#VALUE!</v>
      </c>
      <c r="C900" s="4" t="e">
        <f ca="1">SplineInterp(A900,INDIRECT("'" &amp;Master!$F$10&amp; "'!$A$2:$A$50"),INDIRECT("'" &amp;Master!$F$10&amp; "'!$C$2:$C$50"))</f>
        <v>#VALUE!</v>
      </c>
      <c r="D900" s="4" t="e">
        <f ca="1">SplineInterp(A900,INDIRECT("'" &amp;Master!$F$10&amp; "'!$A$2:$A$50"),INDIRECT("'" &amp;Master!$F$10&amp; "'!$D$2:$D$50"))</f>
        <v>#VALUE!</v>
      </c>
      <c r="E900" s="4" t="e">
        <f ca="1">SplineInterp(A900,INDIRECT("'" &amp;Master!$F$10&amp; "'!$A$2:$A$50"),INDIRECT("'" &amp;Master!$F$10&amp; "'!$E$2:$E$50"))</f>
        <v>#VALUE!</v>
      </c>
      <c r="F900" s="4" t="e">
        <f ca="1">SplineInterp(A900,INDIRECT("'" &amp;Master!$F$10&amp; "'!$A$2:$A$50"),INDIRECT("'" &amp;Master!$F$10&amp; "'!$F$2:$F$50"))</f>
        <v>#VALUE!</v>
      </c>
      <c r="G900" s="4" t="e">
        <f ca="1">SplineInterp(A900,INDIRECT("'" &amp;Master!$F$10&amp; "'!$A$2:$A$50"),INDIRECT("'" &amp;Master!$F$10&amp; "'!$G$2:$G$50"))</f>
        <v>#VALUE!</v>
      </c>
      <c r="H900" s="4" t="e">
        <f ca="1">SplineInterp(A900,INDIRECT("'" &amp;Master!$F$10&amp; "'!$A$2:$A$50"),INDIRECT("'" &amp;Master!$F$10&amp; "'!$H$2:$H$50"))</f>
        <v>#VALUE!</v>
      </c>
      <c r="I900" s="4" t="e">
        <f ca="1">IF(OR(INDIRECT("'" &amp; Master!$F$8 &amp; Master!$F$6 &amp; "'!B" &amp; ROW(B900))="", INDIRECT("'" &amp; Master!$F$8 &amp; Master!$F$6 &amp; "'!B" &amp; ROW(B900))=0), "", INDIRECT("'" &amp; Master!$F$8 &amp; Master!$F$6 &amp; "'!B" &amp; ROW(B900)))</f>
        <v>#VALUE!</v>
      </c>
      <c r="J900" s="9" t="e">
        <f t="shared" ca="1" si="98"/>
        <v>#VALUE!</v>
      </c>
      <c r="K900" s="7" t="e">
        <f t="shared" ca="1" si="99"/>
        <v>#VALUE!</v>
      </c>
      <c r="L900" s="7" t="e">
        <f t="shared" ca="1" si="100"/>
        <v>#VALUE!</v>
      </c>
      <c r="M900" s="7" t="e">
        <f t="shared" ca="1" si="101"/>
        <v>#VALUE!</v>
      </c>
      <c r="N900" s="7" t="e">
        <f t="shared" ca="1" si="102"/>
        <v>#VALUE!</v>
      </c>
      <c r="O900" s="7" t="e">
        <f t="shared" ca="1" si="103"/>
        <v>#VALUE!</v>
      </c>
      <c r="P900" s="7" t="e">
        <f t="shared" ca="1" si="104"/>
        <v>#VALUE!</v>
      </c>
    </row>
    <row r="901" spans="1:16" x14ac:dyDescent="0.25">
      <c r="A901" s="19" t="str">
        <f ca="1">IF(OR(INDIRECT("'" &amp; Master!$F$8 &amp; Master!$F$6 &amp; "'!A" &amp; ROW(A901))="", INDIRECT("'" &amp; Master!$F$8 &amp; Master!$F$6 &amp; "'!A" &amp; ROW(A901))=0), "", INDIRECT("'" &amp; Master!$F$8 &amp; Master!$F$6 &amp; "'!A" &amp; ROW(A901)))</f>
        <v/>
      </c>
      <c r="B901" s="4" t="e">
        <f ca="1">SplineInterp(INDIRECT("A" &amp; ROW()),INDIRECT("'" &amp;Master!$F$10&amp; "'!$A$2:$A$50"),INDIRECT("'" &amp;Master!$F$10&amp; "'!$B$2:$B$50"))</f>
        <v>#VALUE!</v>
      </c>
      <c r="C901" s="4" t="e">
        <f ca="1">SplineInterp(A901,INDIRECT("'" &amp;Master!$F$10&amp; "'!$A$2:$A$50"),INDIRECT("'" &amp;Master!$F$10&amp; "'!$C$2:$C$50"))</f>
        <v>#VALUE!</v>
      </c>
      <c r="D901" s="4" t="e">
        <f ca="1">SplineInterp(A901,INDIRECT("'" &amp;Master!$F$10&amp; "'!$A$2:$A$50"),INDIRECT("'" &amp;Master!$F$10&amp; "'!$D$2:$D$50"))</f>
        <v>#VALUE!</v>
      </c>
      <c r="E901" s="4" t="e">
        <f ca="1">SplineInterp(A901,INDIRECT("'" &amp;Master!$F$10&amp; "'!$A$2:$A$50"),INDIRECT("'" &amp;Master!$F$10&amp; "'!$E$2:$E$50"))</f>
        <v>#VALUE!</v>
      </c>
      <c r="F901" s="4" t="e">
        <f ca="1">SplineInterp(A901,INDIRECT("'" &amp;Master!$F$10&amp; "'!$A$2:$A$50"),INDIRECT("'" &amp;Master!$F$10&amp; "'!$F$2:$F$50"))</f>
        <v>#VALUE!</v>
      </c>
      <c r="G901" s="4" t="e">
        <f ca="1">SplineInterp(A901,INDIRECT("'" &amp;Master!$F$10&amp; "'!$A$2:$A$50"),INDIRECT("'" &amp;Master!$F$10&amp; "'!$G$2:$G$50"))</f>
        <v>#VALUE!</v>
      </c>
      <c r="H901" s="4" t="e">
        <f ca="1">SplineInterp(A901,INDIRECT("'" &amp;Master!$F$10&amp; "'!$A$2:$A$50"),INDIRECT("'" &amp;Master!$F$10&amp; "'!$H$2:$H$50"))</f>
        <v>#VALUE!</v>
      </c>
      <c r="I901" s="4" t="e">
        <f ca="1">IF(OR(INDIRECT("'" &amp; Master!$F$8 &amp; Master!$F$6 &amp; "'!B" &amp; ROW(B901))="", INDIRECT("'" &amp; Master!$F$8 &amp; Master!$F$6 &amp; "'!B" &amp; ROW(B901))=0), "", INDIRECT("'" &amp; Master!$F$8 &amp; Master!$F$6 &amp; "'!B" &amp; ROW(B901)))</f>
        <v>#VALUE!</v>
      </c>
      <c r="J901" s="9" t="e">
        <f t="shared" ca="1" si="98"/>
        <v>#VALUE!</v>
      </c>
      <c r="K901" s="7" t="e">
        <f t="shared" ca="1" si="99"/>
        <v>#VALUE!</v>
      </c>
      <c r="L901" s="7" t="e">
        <f t="shared" ca="1" si="100"/>
        <v>#VALUE!</v>
      </c>
      <c r="M901" s="7" t="e">
        <f t="shared" ca="1" si="101"/>
        <v>#VALUE!</v>
      </c>
      <c r="N901" s="7" t="e">
        <f t="shared" ca="1" si="102"/>
        <v>#VALUE!</v>
      </c>
      <c r="O901" s="7" t="e">
        <f t="shared" ca="1" si="103"/>
        <v>#VALUE!</v>
      </c>
      <c r="P901" s="7" t="e">
        <f t="shared" ca="1" si="104"/>
        <v>#VALUE!</v>
      </c>
    </row>
    <row r="902" spans="1:16" x14ac:dyDescent="0.25">
      <c r="A902" s="19" t="str">
        <f ca="1">IF(OR(INDIRECT("'" &amp; Master!$F$8 &amp; Master!$F$6 &amp; "'!A" &amp; ROW(A902))="", INDIRECT("'" &amp; Master!$F$8 &amp; Master!$F$6 &amp; "'!A" &amp; ROW(A902))=0), "", INDIRECT("'" &amp; Master!$F$8 &amp; Master!$F$6 &amp; "'!A" &amp; ROW(A902)))</f>
        <v/>
      </c>
      <c r="B902" s="4" t="e">
        <f ca="1">SplineInterp(INDIRECT("A" &amp; ROW()),INDIRECT("'" &amp;Master!$F$10&amp; "'!$A$2:$A$50"),INDIRECT("'" &amp;Master!$F$10&amp; "'!$B$2:$B$50"))</f>
        <v>#VALUE!</v>
      </c>
      <c r="C902" s="4" t="e">
        <f ca="1">SplineInterp(A902,INDIRECT("'" &amp;Master!$F$10&amp; "'!$A$2:$A$50"),INDIRECT("'" &amp;Master!$F$10&amp; "'!$C$2:$C$50"))</f>
        <v>#VALUE!</v>
      </c>
      <c r="D902" s="4" t="e">
        <f ca="1">SplineInterp(A902,INDIRECT("'" &amp;Master!$F$10&amp; "'!$A$2:$A$50"),INDIRECT("'" &amp;Master!$F$10&amp; "'!$D$2:$D$50"))</f>
        <v>#VALUE!</v>
      </c>
      <c r="E902" s="4" t="e">
        <f ca="1">SplineInterp(A902,INDIRECT("'" &amp;Master!$F$10&amp; "'!$A$2:$A$50"),INDIRECT("'" &amp;Master!$F$10&amp; "'!$E$2:$E$50"))</f>
        <v>#VALUE!</v>
      </c>
      <c r="F902" s="4" t="e">
        <f ca="1">SplineInterp(A902,INDIRECT("'" &amp;Master!$F$10&amp; "'!$A$2:$A$50"),INDIRECT("'" &amp;Master!$F$10&amp; "'!$F$2:$F$50"))</f>
        <v>#VALUE!</v>
      </c>
      <c r="G902" s="4" t="e">
        <f ca="1">SplineInterp(A902,INDIRECT("'" &amp;Master!$F$10&amp; "'!$A$2:$A$50"),INDIRECT("'" &amp;Master!$F$10&amp; "'!$G$2:$G$50"))</f>
        <v>#VALUE!</v>
      </c>
      <c r="H902" s="4" t="e">
        <f ca="1">SplineInterp(A902,INDIRECT("'" &amp;Master!$F$10&amp; "'!$A$2:$A$50"),INDIRECT("'" &amp;Master!$F$10&amp; "'!$H$2:$H$50"))</f>
        <v>#VALUE!</v>
      </c>
      <c r="I902" s="4" t="e">
        <f ca="1">IF(OR(INDIRECT("'" &amp; Master!$F$8 &amp; Master!$F$6 &amp; "'!B" &amp; ROW(B902))="", INDIRECT("'" &amp; Master!$F$8 &amp; Master!$F$6 &amp; "'!B" &amp; ROW(B902))=0), "", INDIRECT("'" &amp; Master!$F$8 &amp; Master!$F$6 &amp; "'!B" &amp; ROW(B902)))</f>
        <v>#VALUE!</v>
      </c>
      <c r="J902" s="9" t="e">
        <f t="shared" ca="1" si="98"/>
        <v>#VALUE!</v>
      </c>
      <c r="K902" s="7" t="e">
        <f t="shared" ca="1" si="99"/>
        <v>#VALUE!</v>
      </c>
      <c r="L902" s="7" t="e">
        <f t="shared" ca="1" si="100"/>
        <v>#VALUE!</v>
      </c>
      <c r="M902" s="7" t="e">
        <f t="shared" ca="1" si="101"/>
        <v>#VALUE!</v>
      </c>
      <c r="N902" s="7" t="e">
        <f t="shared" ca="1" si="102"/>
        <v>#VALUE!</v>
      </c>
      <c r="O902" s="7" t="e">
        <f t="shared" ca="1" si="103"/>
        <v>#VALUE!</v>
      </c>
      <c r="P902" s="7" t="e">
        <f t="shared" ca="1" si="104"/>
        <v>#VALUE!</v>
      </c>
    </row>
    <row r="903" spans="1:16" x14ac:dyDescent="0.25">
      <c r="A903" s="19" t="str">
        <f ca="1">IF(OR(INDIRECT("'" &amp; Master!$F$8 &amp; Master!$F$6 &amp; "'!A" &amp; ROW(A903))="", INDIRECT("'" &amp; Master!$F$8 &amp; Master!$F$6 &amp; "'!A" &amp; ROW(A903))=0), "", INDIRECT("'" &amp; Master!$F$8 &amp; Master!$F$6 &amp; "'!A" &amp; ROW(A903)))</f>
        <v/>
      </c>
      <c r="B903" s="4" t="e">
        <f ca="1">SplineInterp(INDIRECT("A" &amp; ROW()),INDIRECT("'" &amp;Master!$F$10&amp; "'!$A$2:$A$50"),INDIRECT("'" &amp;Master!$F$10&amp; "'!$B$2:$B$50"))</f>
        <v>#VALUE!</v>
      </c>
      <c r="C903" s="4" t="e">
        <f ca="1">SplineInterp(A903,INDIRECT("'" &amp;Master!$F$10&amp; "'!$A$2:$A$50"),INDIRECT("'" &amp;Master!$F$10&amp; "'!$C$2:$C$50"))</f>
        <v>#VALUE!</v>
      </c>
      <c r="D903" s="4" t="e">
        <f ca="1">SplineInterp(A903,INDIRECT("'" &amp;Master!$F$10&amp; "'!$A$2:$A$50"),INDIRECT("'" &amp;Master!$F$10&amp; "'!$D$2:$D$50"))</f>
        <v>#VALUE!</v>
      </c>
      <c r="E903" s="4" t="e">
        <f ca="1">SplineInterp(A903,INDIRECT("'" &amp;Master!$F$10&amp; "'!$A$2:$A$50"),INDIRECT("'" &amp;Master!$F$10&amp; "'!$E$2:$E$50"))</f>
        <v>#VALUE!</v>
      </c>
      <c r="F903" s="4" t="e">
        <f ca="1">SplineInterp(A903,INDIRECT("'" &amp;Master!$F$10&amp; "'!$A$2:$A$50"),INDIRECT("'" &amp;Master!$F$10&amp; "'!$F$2:$F$50"))</f>
        <v>#VALUE!</v>
      </c>
      <c r="G903" s="4" t="e">
        <f ca="1">SplineInterp(A903,INDIRECT("'" &amp;Master!$F$10&amp; "'!$A$2:$A$50"),INDIRECT("'" &amp;Master!$F$10&amp; "'!$G$2:$G$50"))</f>
        <v>#VALUE!</v>
      </c>
      <c r="H903" s="4" t="e">
        <f ca="1">SplineInterp(A903,INDIRECT("'" &amp;Master!$F$10&amp; "'!$A$2:$A$50"),INDIRECT("'" &amp;Master!$F$10&amp; "'!$H$2:$H$50"))</f>
        <v>#VALUE!</v>
      </c>
      <c r="I903" s="4" t="e">
        <f ca="1">IF(OR(INDIRECT("'" &amp; Master!$F$8 &amp; Master!$F$6 &amp; "'!B" &amp; ROW(B903))="", INDIRECT("'" &amp; Master!$F$8 &amp; Master!$F$6 &amp; "'!B" &amp; ROW(B903))=0), "", INDIRECT("'" &amp; Master!$F$8 &amp; Master!$F$6 &amp; "'!B" &amp; ROW(B903)))</f>
        <v>#VALUE!</v>
      </c>
      <c r="J903" s="9" t="e">
        <f t="shared" ca="1" si="98"/>
        <v>#VALUE!</v>
      </c>
      <c r="K903" s="7" t="e">
        <f t="shared" ca="1" si="99"/>
        <v>#VALUE!</v>
      </c>
      <c r="L903" s="7" t="e">
        <f t="shared" ca="1" si="100"/>
        <v>#VALUE!</v>
      </c>
      <c r="M903" s="7" t="e">
        <f t="shared" ca="1" si="101"/>
        <v>#VALUE!</v>
      </c>
      <c r="N903" s="7" t="e">
        <f t="shared" ca="1" si="102"/>
        <v>#VALUE!</v>
      </c>
      <c r="O903" s="7" t="e">
        <f t="shared" ca="1" si="103"/>
        <v>#VALUE!</v>
      </c>
      <c r="P903" s="7" t="e">
        <f t="shared" ca="1" si="104"/>
        <v>#VALUE!</v>
      </c>
    </row>
    <row r="904" spans="1:16" x14ac:dyDescent="0.25">
      <c r="A904" s="19" t="str">
        <f ca="1">IF(OR(INDIRECT("'" &amp; Master!$F$8 &amp; Master!$F$6 &amp; "'!A" &amp; ROW(A904))="", INDIRECT("'" &amp; Master!$F$8 &amp; Master!$F$6 &amp; "'!A" &amp; ROW(A904))=0), "", INDIRECT("'" &amp; Master!$F$8 &amp; Master!$F$6 &amp; "'!A" &amp; ROW(A904)))</f>
        <v/>
      </c>
      <c r="B904" s="4" t="e">
        <f ca="1">SplineInterp(INDIRECT("A" &amp; ROW()),INDIRECT("'" &amp;Master!$F$10&amp; "'!$A$2:$A$50"),INDIRECT("'" &amp;Master!$F$10&amp; "'!$B$2:$B$50"))</f>
        <v>#VALUE!</v>
      </c>
      <c r="C904" s="4" t="e">
        <f ca="1">SplineInterp(A904,INDIRECT("'" &amp;Master!$F$10&amp; "'!$A$2:$A$50"),INDIRECT("'" &amp;Master!$F$10&amp; "'!$C$2:$C$50"))</f>
        <v>#VALUE!</v>
      </c>
      <c r="D904" s="4" t="e">
        <f ca="1">SplineInterp(A904,INDIRECT("'" &amp;Master!$F$10&amp; "'!$A$2:$A$50"),INDIRECT("'" &amp;Master!$F$10&amp; "'!$D$2:$D$50"))</f>
        <v>#VALUE!</v>
      </c>
      <c r="E904" s="4" t="e">
        <f ca="1">SplineInterp(A904,INDIRECT("'" &amp;Master!$F$10&amp; "'!$A$2:$A$50"),INDIRECT("'" &amp;Master!$F$10&amp; "'!$E$2:$E$50"))</f>
        <v>#VALUE!</v>
      </c>
      <c r="F904" s="4" t="e">
        <f ca="1">SplineInterp(A904,INDIRECT("'" &amp;Master!$F$10&amp; "'!$A$2:$A$50"),INDIRECT("'" &amp;Master!$F$10&amp; "'!$F$2:$F$50"))</f>
        <v>#VALUE!</v>
      </c>
      <c r="G904" s="4" t="e">
        <f ca="1">SplineInterp(A904,INDIRECT("'" &amp;Master!$F$10&amp; "'!$A$2:$A$50"),INDIRECT("'" &amp;Master!$F$10&amp; "'!$G$2:$G$50"))</f>
        <v>#VALUE!</v>
      </c>
      <c r="H904" s="4" t="e">
        <f ca="1">SplineInterp(A904,INDIRECT("'" &amp;Master!$F$10&amp; "'!$A$2:$A$50"),INDIRECT("'" &amp;Master!$F$10&amp; "'!$H$2:$H$50"))</f>
        <v>#VALUE!</v>
      </c>
      <c r="I904" s="4" t="e">
        <f ca="1">IF(OR(INDIRECT("'" &amp; Master!$F$8 &amp; Master!$F$6 &amp; "'!B" &amp; ROW(B904))="", INDIRECT("'" &amp; Master!$F$8 &amp; Master!$F$6 &amp; "'!B" &amp; ROW(B904))=0), "", INDIRECT("'" &amp; Master!$F$8 &amp; Master!$F$6 &amp; "'!B" &amp; ROW(B904)))</f>
        <v>#VALUE!</v>
      </c>
      <c r="J904" s="9" t="e">
        <f t="shared" ca="1" si="98"/>
        <v>#VALUE!</v>
      </c>
      <c r="K904" s="7" t="e">
        <f t="shared" ca="1" si="99"/>
        <v>#VALUE!</v>
      </c>
      <c r="L904" s="7" t="e">
        <f t="shared" ca="1" si="100"/>
        <v>#VALUE!</v>
      </c>
      <c r="M904" s="7" t="e">
        <f t="shared" ca="1" si="101"/>
        <v>#VALUE!</v>
      </c>
      <c r="N904" s="7" t="e">
        <f t="shared" ca="1" si="102"/>
        <v>#VALUE!</v>
      </c>
      <c r="O904" s="7" t="e">
        <f t="shared" ca="1" si="103"/>
        <v>#VALUE!</v>
      </c>
      <c r="P904" s="7" t="e">
        <f t="shared" ca="1" si="104"/>
        <v>#VALUE!</v>
      </c>
    </row>
    <row r="905" spans="1:16" x14ac:dyDescent="0.25">
      <c r="A905" s="19" t="str">
        <f ca="1">IF(OR(INDIRECT("'" &amp; Master!$F$8 &amp; Master!$F$6 &amp; "'!A" &amp; ROW(A905))="", INDIRECT("'" &amp; Master!$F$8 &amp; Master!$F$6 &amp; "'!A" &amp; ROW(A905))=0), "", INDIRECT("'" &amp; Master!$F$8 &amp; Master!$F$6 &amp; "'!A" &amp; ROW(A905)))</f>
        <v/>
      </c>
      <c r="B905" s="4" t="e">
        <f ca="1">SplineInterp(INDIRECT("A" &amp; ROW()),INDIRECT("'" &amp;Master!$F$10&amp; "'!$A$2:$A$50"),INDIRECT("'" &amp;Master!$F$10&amp; "'!$B$2:$B$50"))</f>
        <v>#VALUE!</v>
      </c>
      <c r="C905" s="4" t="e">
        <f ca="1">SplineInterp(A905,INDIRECT("'" &amp;Master!$F$10&amp; "'!$A$2:$A$50"),INDIRECT("'" &amp;Master!$F$10&amp; "'!$C$2:$C$50"))</f>
        <v>#VALUE!</v>
      </c>
      <c r="D905" s="4" t="e">
        <f ca="1">SplineInterp(A905,INDIRECT("'" &amp;Master!$F$10&amp; "'!$A$2:$A$50"),INDIRECT("'" &amp;Master!$F$10&amp; "'!$D$2:$D$50"))</f>
        <v>#VALUE!</v>
      </c>
      <c r="E905" s="4" t="e">
        <f ca="1">SplineInterp(A905,INDIRECT("'" &amp;Master!$F$10&amp; "'!$A$2:$A$50"),INDIRECT("'" &amp;Master!$F$10&amp; "'!$E$2:$E$50"))</f>
        <v>#VALUE!</v>
      </c>
      <c r="F905" s="4" t="e">
        <f ca="1">SplineInterp(A905,INDIRECT("'" &amp;Master!$F$10&amp; "'!$A$2:$A$50"),INDIRECT("'" &amp;Master!$F$10&amp; "'!$F$2:$F$50"))</f>
        <v>#VALUE!</v>
      </c>
      <c r="G905" s="4" t="e">
        <f ca="1">SplineInterp(A905,INDIRECT("'" &amp;Master!$F$10&amp; "'!$A$2:$A$50"),INDIRECT("'" &amp;Master!$F$10&amp; "'!$G$2:$G$50"))</f>
        <v>#VALUE!</v>
      </c>
      <c r="H905" s="4" t="e">
        <f ca="1">SplineInterp(A905,INDIRECT("'" &amp;Master!$F$10&amp; "'!$A$2:$A$50"),INDIRECT("'" &amp;Master!$F$10&amp; "'!$H$2:$H$50"))</f>
        <v>#VALUE!</v>
      </c>
      <c r="I905" s="4" t="e">
        <f ca="1">IF(OR(INDIRECT("'" &amp; Master!$F$8 &amp; Master!$F$6 &amp; "'!B" &amp; ROW(B905))="", INDIRECT("'" &amp; Master!$F$8 &amp; Master!$F$6 &amp; "'!B" &amp; ROW(B905))=0), "", INDIRECT("'" &amp; Master!$F$8 &amp; Master!$F$6 &amp; "'!B" &amp; ROW(B905)))</f>
        <v>#VALUE!</v>
      </c>
      <c r="J905" s="9" t="e">
        <f t="shared" ca="1" si="98"/>
        <v>#VALUE!</v>
      </c>
      <c r="K905" s="7" t="e">
        <f t="shared" ca="1" si="99"/>
        <v>#VALUE!</v>
      </c>
      <c r="L905" s="7" t="e">
        <f t="shared" ca="1" si="100"/>
        <v>#VALUE!</v>
      </c>
      <c r="M905" s="7" t="e">
        <f t="shared" ca="1" si="101"/>
        <v>#VALUE!</v>
      </c>
      <c r="N905" s="7" t="e">
        <f t="shared" ca="1" si="102"/>
        <v>#VALUE!</v>
      </c>
      <c r="O905" s="7" t="e">
        <f t="shared" ca="1" si="103"/>
        <v>#VALUE!</v>
      </c>
      <c r="P905" s="7" t="e">
        <f t="shared" ca="1" si="104"/>
        <v>#VALUE!</v>
      </c>
    </row>
    <row r="906" spans="1:16" x14ac:dyDescent="0.25">
      <c r="A906" s="19" t="str">
        <f ca="1">IF(OR(INDIRECT("'" &amp; Master!$F$8 &amp; Master!$F$6 &amp; "'!A" &amp; ROW(A906))="", INDIRECT("'" &amp; Master!$F$8 &amp; Master!$F$6 &amp; "'!A" &amp; ROW(A906))=0), "", INDIRECT("'" &amp; Master!$F$8 &amp; Master!$F$6 &amp; "'!A" &amp; ROW(A906)))</f>
        <v/>
      </c>
      <c r="B906" s="4" t="e">
        <f ca="1">SplineInterp(INDIRECT("A" &amp; ROW()),INDIRECT("'" &amp;Master!$F$10&amp; "'!$A$2:$A$50"),INDIRECT("'" &amp;Master!$F$10&amp; "'!$B$2:$B$50"))</f>
        <v>#VALUE!</v>
      </c>
      <c r="C906" s="4" t="e">
        <f ca="1">SplineInterp(A906,INDIRECT("'" &amp;Master!$F$10&amp; "'!$A$2:$A$50"),INDIRECT("'" &amp;Master!$F$10&amp; "'!$C$2:$C$50"))</f>
        <v>#VALUE!</v>
      </c>
      <c r="D906" s="4" t="e">
        <f ca="1">SplineInterp(A906,INDIRECT("'" &amp;Master!$F$10&amp; "'!$A$2:$A$50"),INDIRECT("'" &amp;Master!$F$10&amp; "'!$D$2:$D$50"))</f>
        <v>#VALUE!</v>
      </c>
      <c r="E906" s="4" t="e">
        <f ca="1">SplineInterp(A906,INDIRECT("'" &amp;Master!$F$10&amp; "'!$A$2:$A$50"),INDIRECT("'" &amp;Master!$F$10&amp; "'!$E$2:$E$50"))</f>
        <v>#VALUE!</v>
      </c>
      <c r="F906" s="4" t="e">
        <f ca="1">SplineInterp(A906,INDIRECT("'" &amp;Master!$F$10&amp; "'!$A$2:$A$50"),INDIRECT("'" &amp;Master!$F$10&amp; "'!$F$2:$F$50"))</f>
        <v>#VALUE!</v>
      </c>
      <c r="G906" s="4" t="e">
        <f ca="1">SplineInterp(A906,INDIRECT("'" &amp;Master!$F$10&amp; "'!$A$2:$A$50"),INDIRECT("'" &amp;Master!$F$10&amp; "'!$G$2:$G$50"))</f>
        <v>#VALUE!</v>
      </c>
      <c r="H906" s="4" t="e">
        <f ca="1">SplineInterp(A906,INDIRECT("'" &amp;Master!$F$10&amp; "'!$A$2:$A$50"),INDIRECT("'" &amp;Master!$F$10&amp; "'!$H$2:$H$50"))</f>
        <v>#VALUE!</v>
      </c>
      <c r="I906" s="4" t="e">
        <f ca="1">IF(OR(INDIRECT("'" &amp; Master!$F$8 &amp; Master!$F$6 &amp; "'!B" &amp; ROW(B906))="", INDIRECT("'" &amp; Master!$F$8 &amp; Master!$F$6 &amp; "'!B" &amp; ROW(B906))=0), "", INDIRECT("'" &amp; Master!$F$8 &amp; Master!$F$6 &amp; "'!B" &amp; ROW(B906)))</f>
        <v>#VALUE!</v>
      </c>
      <c r="J906" s="9" t="e">
        <f t="shared" ca="1" si="98"/>
        <v>#VALUE!</v>
      </c>
      <c r="K906" s="7" t="e">
        <f t="shared" ca="1" si="99"/>
        <v>#VALUE!</v>
      </c>
      <c r="L906" s="7" t="e">
        <f t="shared" ca="1" si="100"/>
        <v>#VALUE!</v>
      </c>
      <c r="M906" s="7" t="e">
        <f t="shared" ca="1" si="101"/>
        <v>#VALUE!</v>
      </c>
      <c r="N906" s="7" t="e">
        <f t="shared" ca="1" si="102"/>
        <v>#VALUE!</v>
      </c>
      <c r="O906" s="7" t="e">
        <f t="shared" ca="1" si="103"/>
        <v>#VALUE!</v>
      </c>
      <c r="P906" s="7" t="e">
        <f t="shared" ca="1" si="104"/>
        <v>#VALUE!</v>
      </c>
    </row>
    <row r="907" spans="1:16" x14ac:dyDescent="0.25">
      <c r="A907" s="19" t="str">
        <f ca="1">IF(OR(INDIRECT("'" &amp; Master!$F$8 &amp; Master!$F$6 &amp; "'!A" &amp; ROW(A907))="", INDIRECT("'" &amp; Master!$F$8 &amp; Master!$F$6 &amp; "'!A" &amp; ROW(A907))=0), "", INDIRECT("'" &amp; Master!$F$8 &amp; Master!$F$6 &amp; "'!A" &amp; ROW(A907)))</f>
        <v/>
      </c>
      <c r="B907" s="4" t="e">
        <f ca="1">SplineInterp(INDIRECT("A" &amp; ROW()),INDIRECT("'" &amp;Master!$F$10&amp; "'!$A$2:$A$50"),INDIRECT("'" &amp;Master!$F$10&amp; "'!$B$2:$B$50"))</f>
        <v>#VALUE!</v>
      </c>
      <c r="C907" s="4" t="e">
        <f ca="1">SplineInterp(A907,INDIRECT("'" &amp;Master!$F$10&amp; "'!$A$2:$A$50"),INDIRECT("'" &amp;Master!$F$10&amp; "'!$C$2:$C$50"))</f>
        <v>#VALUE!</v>
      </c>
      <c r="D907" s="4" t="e">
        <f ca="1">SplineInterp(A907,INDIRECT("'" &amp;Master!$F$10&amp; "'!$A$2:$A$50"),INDIRECT("'" &amp;Master!$F$10&amp; "'!$D$2:$D$50"))</f>
        <v>#VALUE!</v>
      </c>
      <c r="E907" s="4" t="e">
        <f ca="1">SplineInterp(A907,INDIRECT("'" &amp;Master!$F$10&amp; "'!$A$2:$A$50"),INDIRECT("'" &amp;Master!$F$10&amp; "'!$E$2:$E$50"))</f>
        <v>#VALUE!</v>
      </c>
      <c r="F907" s="4" t="e">
        <f ca="1">SplineInterp(A907,INDIRECT("'" &amp;Master!$F$10&amp; "'!$A$2:$A$50"),INDIRECT("'" &amp;Master!$F$10&amp; "'!$F$2:$F$50"))</f>
        <v>#VALUE!</v>
      </c>
      <c r="G907" s="4" t="e">
        <f ca="1">SplineInterp(A907,INDIRECT("'" &amp;Master!$F$10&amp; "'!$A$2:$A$50"),INDIRECT("'" &amp;Master!$F$10&amp; "'!$G$2:$G$50"))</f>
        <v>#VALUE!</v>
      </c>
      <c r="H907" s="4" t="e">
        <f ca="1">SplineInterp(A907,INDIRECT("'" &amp;Master!$F$10&amp; "'!$A$2:$A$50"),INDIRECT("'" &amp;Master!$F$10&amp; "'!$H$2:$H$50"))</f>
        <v>#VALUE!</v>
      </c>
      <c r="I907" s="4" t="e">
        <f ca="1">IF(OR(INDIRECT("'" &amp; Master!$F$8 &amp; Master!$F$6 &amp; "'!B" &amp; ROW(B907))="", INDIRECT("'" &amp; Master!$F$8 &amp; Master!$F$6 &amp; "'!B" &amp; ROW(B907))=0), "", INDIRECT("'" &amp; Master!$F$8 &amp; Master!$F$6 &amp; "'!B" &amp; ROW(B907)))</f>
        <v>#VALUE!</v>
      </c>
      <c r="J907" s="9" t="e">
        <f t="shared" ca="1" si="98"/>
        <v>#VALUE!</v>
      </c>
      <c r="K907" s="7" t="e">
        <f t="shared" ca="1" si="99"/>
        <v>#VALUE!</v>
      </c>
      <c r="L907" s="7" t="e">
        <f t="shared" ca="1" si="100"/>
        <v>#VALUE!</v>
      </c>
      <c r="M907" s="7" t="e">
        <f t="shared" ca="1" si="101"/>
        <v>#VALUE!</v>
      </c>
      <c r="N907" s="7" t="e">
        <f t="shared" ca="1" si="102"/>
        <v>#VALUE!</v>
      </c>
      <c r="O907" s="7" t="e">
        <f t="shared" ca="1" si="103"/>
        <v>#VALUE!</v>
      </c>
      <c r="P907" s="7" t="e">
        <f t="shared" ca="1" si="104"/>
        <v>#VALUE!</v>
      </c>
    </row>
    <row r="908" spans="1:16" x14ac:dyDescent="0.25">
      <c r="A908" s="19" t="str">
        <f ca="1">IF(OR(INDIRECT("'" &amp; Master!$F$8 &amp; Master!$F$6 &amp; "'!A" &amp; ROW(A908))="", INDIRECT("'" &amp; Master!$F$8 &amp; Master!$F$6 &amp; "'!A" &amp; ROW(A908))=0), "", INDIRECT("'" &amp; Master!$F$8 &amp; Master!$F$6 &amp; "'!A" &amp; ROW(A908)))</f>
        <v/>
      </c>
      <c r="B908" s="4" t="e">
        <f ca="1">SplineInterp(INDIRECT("A" &amp; ROW()),INDIRECT("'" &amp;Master!$F$10&amp; "'!$A$2:$A$50"),INDIRECT("'" &amp;Master!$F$10&amp; "'!$B$2:$B$50"))</f>
        <v>#VALUE!</v>
      </c>
      <c r="C908" s="4" t="e">
        <f ca="1">SplineInterp(A908,INDIRECT("'" &amp;Master!$F$10&amp; "'!$A$2:$A$50"),INDIRECT("'" &amp;Master!$F$10&amp; "'!$C$2:$C$50"))</f>
        <v>#VALUE!</v>
      </c>
      <c r="D908" s="4" t="e">
        <f ca="1">SplineInterp(A908,INDIRECT("'" &amp;Master!$F$10&amp; "'!$A$2:$A$50"),INDIRECT("'" &amp;Master!$F$10&amp; "'!$D$2:$D$50"))</f>
        <v>#VALUE!</v>
      </c>
      <c r="E908" s="4" t="e">
        <f ca="1">SplineInterp(A908,INDIRECT("'" &amp;Master!$F$10&amp; "'!$A$2:$A$50"),INDIRECT("'" &amp;Master!$F$10&amp; "'!$E$2:$E$50"))</f>
        <v>#VALUE!</v>
      </c>
      <c r="F908" s="4" t="e">
        <f ca="1">SplineInterp(A908,INDIRECT("'" &amp;Master!$F$10&amp; "'!$A$2:$A$50"),INDIRECT("'" &amp;Master!$F$10&amp; "'!$F$2:$F$50"))</f>
        <v>#VALUE!</v>
      </c>
      <c r="G908" s="4" t="e">
        <f ca="1">SplineInterp(A908,INDIRECT("'" &amp;Master!$F$10&amp; "'!$A$2:$A$50"),INDIRECT("'" &amp;Master!$F$10&amp; "'!$G$2:$G$50"))</f>
        <v>#VALUE!</v>
      </c>
      <c r="H908" s="4" t="e">
        <f ca="1">SplineInterp(A908,INDIRECT("'" &amp;Master!$F$10&amp; "'!$A$2:$A$50"),INDIRECT("'" &amp;Master!$F$10&amp; "'!$H$2:$H$50"))</f>
        <v>#VALUE!</v>
      </c>
      <c r="I908" s="4" t="e">
        <f ca="1">IF(OR(INDIRECT("'" &amp; Master!$F$8 &amp; Master!$F$6 &amp; "'!B" &amp; ROW(B908))="", INDIRECT("'" &amp; Master!$F$8 &amp; Master!$F$6 &amp; "'!B" &amp; ROW(B908))=0), "", INDIRECT("'" &amp; Master!$F$8 &amp; Master!$F$6 &amp; "'!B" &amp; ROW(B908)))</f>
        <v>#VALUE!</v>
      </c>
      <c r="J908" s="9" t="e">
        <f t="shared" ca="1" si="98"/>
        <v>#VALUE!</v>
      </c>
      <c r="K908" s="7" t="e">
        <f t="shared" ca="1" si="99"/>
        <v>#VALUE!</v>
      </c>
      <c r="L908" s="7" t="e">
        <f t="shared" ca="1" si="100"/>
        <v>#VALUE!</v>
      </c>
      <c r="M908" s="7" t="e">
        <f t="shared" ca="1" si="101"/>
        <v>#VALUE!</v>
      </c>
      <c r="N908" s="7" t="e">
        <f t="shared" ca="1" si="102"/>
        <v>#VALUE!</v>
      </c>
      <c r="O908" s="7" t="e">
        <f t="shared" ca="1" si="103"/>
        <v>#VALUE!</v>
      </c>
      <c r="P908" s="7" t="e">
        <f t="shared" ca="1" si="104"/>
        <v>#VALUE!</v>
      </c>
    </row>
    <row r="909" spans="1:16" x14ac:dyDescent="0.25">
      <c r="A909" s="19" t="str">
        <f ca="1">IF(OR(INDIRECT("'" &amp; Master!$F$8 &amp; Master!$F$6 &amp; "'!A" &amp; ROW(A909))="", INDIRECT("'" &amp; Master!$F$8 &amp; Master!$F$6 &amp; "'!A" &amp; ROW(A909))=0), "", INDIRECT("'" &amp; Master!$F$8 &amp; Master!$F$6 &amp; "'!A" &amp; ROW(A909)))</f>
        <v/>
      </c>
      <c r="B909" s="4" t="e">
        <f ca="1">SplineInterp(INDIRECT("A" &amp; ROW()),INDIRECT("'" &amp;Master!$F$10&amp; "'!$A$2:$A$50"),INDIRECT("'" &amp;Master!$F$10&amp; "'!$B$2:$B$50"))</f>
        <v>#VALUE!</v>
      </c>
      <c r="C909" s="4" t="e">
        <f ca="1">SplineInterp(A909,INDIRECT("'" &amp;Master!$F$10&amp; "'!$A$2:$A$50"),INDIRECT("'" &amp;Master!$F$10&amp; "'!$C$2:$C$50"))</f>
        <v>#VALUE!</v>
      </c>
      <c r="D909" s="4" t="e">
        <f ca="1">SplineInterp(A909,INDIRECT("'" &amp;Master!$F$10&amp; "'!$A$2:$A$50"),INDIRECT("'" &amp;Master!$F$10&amp; "'!$D$2:$D$50"))</f>
        <v>#VALUE!</v>
      </c>
      <c r="E909" s="4" t="e">
        <f ca="1">SplineInterp(A909,INDIRECT("'" &amp;Master!$F$10&amp; "'!$A$2:$A$50"),INDIRECT("'" &amp;Master!$F$10&amp; "'!$E$2:$E$50"))</f>
        <v>#VALUE!</v>
      </c>
      <c r="F909" s="4" t="e">
        <f ca="1">SplineInterp(A909,INDIRECT("'" &amp;Master!$F$10&amp; "'!$A$2:$A$50"),INDIRECT("'" &amp;Master!$F$10&amp; "'!$F$2:$F$50"))</f>
        <v>#VALUE!</v>
      </c>
      <c r="G909" s="4" t="e">
        <f ca="1">SplineInterp(A909,INDIRECT("'" &amp;Master!$F$10&amp; "'!$A$2:$A$50"),INDIRECT("'" &amp;Master!$F$10&amp; "'!$G$2:$G$50"))</f>
        <v>#VALUE!</v>
      </c>
      <c r="H909" s="4" t="e">
        <f ca="1">SplineInterp(A909,INDIRECT("'" &amp;Master!$F$10&amp; "'!$A$2:$A$50"),INDIRECT("'" &amp;Master!$F$10&amp; "'!$H$2:$H$50"))</f>
        <v>#VALUE!</v>
      </c>
      <c r="I909" s="4" t="e">
        <f ca="1">IF(OR(INDIRECT("'" &amp; Master!$F$8 &amp; Master!$F$6 &amp; "'!B" &amp; ROW(B909))="", INDIRECT("'" &amp; Master!$F$8 &amp; Master!$F$6 &amp; "'!B" &amp; ROW(B909))=0), "", INDIRECT("'" &amp; Master!$F$8 &amp; Master!$F$6 &amp; "'!B" &amp; ROW(B909)))</f>
        <v>#VALUE!</v>
      </c>
      <c r="J909" s="9" t="e">
        <f t="shared" ca="1" si="98"/>
        <v>#VALUE!</v>
      </c>
      <c r="K909" s="7" t="e">
        <f t="shared" ca="1" si="99"/>
        <v>#VALUE!</v>
      </c>
      <c r="L909" s="7" t="e">
        <f t="shared" ca="1" si="100"/>
        <v>#VALUE!</v>
      </c>
      <c r="M909" s="7" t="e">
        <f t="shared" ca="1" si="101"/>
        <v>#VALUE!</v>
      </c>
      <c r="N909" s="7" t="e">
        <f t="shared" ca="1" si="102"/>
        <v>#VALUE!</v>
      </c>
      <c r="O909" s="7" t="e">
        <f t="shared" ca="1" si="103"/>
        <v>#VALUE!</v>
      </c>
      <c r="P909" s="7" t="e">
        <f t="shared" ca="1" si="104"/>
        <v>#VALUE!</v>
      </c>
    </row>
    <row r="910" spans="1:16" x14ac:dyDescent="0.25">
      <c r="A910" s="19" t="str">
        <f ca="1">IF(OR(INDIRECT("'" &amp; Master!$F$8 &amp; Master!$F$6 &amp; "'!A" &amp; ROW(A910))="", INDIRECT("'" &amp; Master!$F$8 &amp; Master!$F$6 &amp; "'!A" &amp; ROW(A910))=0), "", INDIRECT("'" &amp; Master!$F$8 &amp; Master!$F$6 &amp; "'!A" &amp; ROW(A910)))</f>
        <v/>
      </c>
      <c r="B910" s="4" t="e">
        <f ca="1">SplineInterp(INDIRECT("A" &amp; ROW()),INDIRECT("'" &amp;Master!$F$10&amp; "'!$A$2:$A$50"),INDIRECT("'" &amp;Master!$F$10&amp; "'!$B$2:$B$50"))</f>
        <v>#VALUE!</v>
      </c>
      <c r="C910" s="4" t="e">
        <f ca="1">SplineInterp(A910,INDIRECT("'" &amp;Master!$F$10&amp; "'!$A$2:$A$50"),INDIRECT("'" &amp;Master!$F$10&amp; "'!$C$2:$C$50"))</f>
        <v>#VALUE!</v>
      </c>
      <c r="D910" s="4" t="e">
        <f ca="1">SplineInterp(A910,INDIRECT("'" &amp;Master!$F$10&amp; "'!$A$2:$A$50"),INDIRECT("'" &amp;Master!$F$10&amp; "'!$D$2:$D$50"))</f>
        <v>#VALUE!</v>
      </c>
      <c r="E910" s="4" t="e">
        <f ca="1">SplineInterp(A910,INDIRECT("'" &amp;Master!$F$10&amp; "'!$A$2:$A$50"),INDIRECT("'" &amp;Master!$F$10&amp; "'!$E$2:$E$50"))</f>
        <v>#VALUE!</v>
      </c>
      <c r="F910" s="4" t="e">
        <f ca="1">SplineInterp(A910,INDIRECT("'" &amp;Master!$F$10&amp; "'!$A$2:$A$50"),INDIRECT("'" &amp;Master!$F$10&amp; "'!$F$2:$F$50"))</f>
        <v>#VALUE!</v>
      </c>
      <c r="G910" s="4" t="e">
        <f ca="1">SplineInterp(A910,INDIRECT("'" &amp;Master!$F$10&amp; "'!$A$2:$A$50"),INDIRECT("'" &amp;Master!$F$10&amp; "'!$G$2:$G$50"))</f>
        <v>#VALUE!</v>
      </c>
      <c r="H910" s="4" t="e">
        <f ca="1">SplineInterp(A910,INDIRECT("'" &amp;Master!$F$10&amp; "'!$A$2:$A$50"),INDIRECT("'" &amp;Master!$F$10&amp; "'!$H$2:$H$50"))</f>
        <v>#VALUE!</v>
      </c>
      <c r="I910" s="4" t="e">
        <f ca="1">IF(OR(INDIRECT("'" &amp; Master!$F$8 &amp; Master!$F$6 &amp; "'!B" &amp; ROW(B910))="", INDIRECT("'" &amp; Master!$F$8 &amp; Master!$F$6 &amp; "'!B" &amp; ROW(B910))=0), "", INDIRECT("'" &amp; Master!$F$8 &amp; Master!$F$6 &amp; "'!B" &amp; ROW(B910)))</f>
        <v>#VALUE!</v>
      </c>
      <c r="J910" s="9" t="e">
        <f t="shared" ca="1" si="98"/>
        <v>#VALUE!</v>
      </c>
      <c r="K910" s="7" t="e">
        <f t="shared" ca="1" si="99"/>
        <v>#VALUE!</v>
      </c>
      <c r="L910" s="7" t="e">
        <f t="shared" ca="1" si="100"/>
        <v>#VALUE!</v>
      </c>
      <c r="M910" s="7" t="e">
        <f t="shared" ca="1" si="101"/>
        <v>#VALUE!</v>
      </c>
      <c r="N910" s="7" t="e">
        <f t="shared" ca="1" si="102"/>
        <v>#VALUE!</v>
      </c>
      <c r="O910" s="7" t="e">
        <f t="shared" ca="1" si="103"/>
        <v>#VALUE!</v>
      </c>
      <c r="P910" s="7" t="e">
        <f t="shared" ca="1" si="104"/>
        <v>#VALUE!</v>
      </c>
    </row>
    <row r="911" spans="1:16" x14ac:dyDescent="0.25">
      <c r="A911" s="19" t="str">
        <f ca="1">IF(OR(INDIRECT("'" &amp; Master!$F$8 &amp; Master!$F$6 &amp; "'!A" &amp; ROW(A911))="", INDIRECT("'" &amp; Master!$F$8 &amp; Master!$F$6 &amp; "'!A" &amp; ROW(A911))=0), "", INDIRECT("'" &amp; Master!$F$8 &amp; Master!$F$6 &amp; "'!A" &amp; ROW(A911)))</f>
        <v/>
      </c>
      <c r="B911" s="4" t="e">
        <f ca="1">SplineInterp(INDIRECT("A" &amp; ROW()),INDIRECT("'" &amp;Master!$F$10&amp; "'!$A$2:$A$50"),INDIRECT("'" &amp;Master!$F$10&amp; "'!$B$2:$B$50"))</f>
        <v>#VALUE!</v>
      </c>
      <c r="C911" s="4" t="e">
        <f ca="1">SplineInterp(A911,INDIRECT("'" &amp;Master!$F$10&amp; "'!$A$2:$A$50"),INDIRECT("'" &amp;Master!$F$10&amp; "'!$C$2:$C$50"))</f>
        <v>#VALUE!</v>
      </c>
      <c r="D911" s="4" t="e">
        <f ca="1">SplineInterp(A911,INDIRECT("'" &amp;Master!$F$10&amp; "'!$A$2:$A$50"),INDIRECT("'" &amp;Master!$F$10&amp; "'!$D$2:$D$50"))</f>
        <v>#VALUE!</v>
      </c>
      <c r="E911" s="4" t="e">
        <f ca="1">SplineInterp(A911,INDIRECT("'" &amp;Master!$F$10&amp; "'!$A$2:$A$50"),INDIRECT("'" &amp;Master!$F$10&amp; "'!$E$2:$E$50"))</f>
        <v>#VALUE!</v>
      </c>
      <c r="F911" s="4" t="e">
        <f ca="1">SplineInterp(A911,INDIRECT("'" &amp;Master!$F$10&amp; "'!$A$2:$A$50"),INDIRECT("'" &amp;Master!$F$10&amp; "'!$F$2:$F$50"))</f>
        <v>#VALUE!</v>
      </c>
      <c r="G911" s="4" t="e">
        <f ca="1">SplineInterp(A911,INDIRECT("'" &amp;Master!$F$10&amp; "'!$A$2:$A$50"),INDIRECT("'" &amp;Master!$F$10&amp; "'!$G$2:$G$50"))</f>
        <v>#VALUE!</v>
      </c>
      <c r="H911" s="4" t="e">
        <f ca="1">SplineInterp(A911,INDIRECT("'" &amp;Master!$F$10&amp; "'!$A$2:$A$50"),INDIRECT("'" &amp;Master!$F$10&amp; "'!$H$2:$H$50"))</f>
        <v>#VALUE!</v>
      </c>
      <c r="I911" s="4" t="e">
        <f ca="1">IF(OR(INDIRECT("'" &amp; Master!$F$8 &amp; Master!$F$6 &amp; "'!B" &amp; ROW(B911))="", INDIRECT("'" &amp; Master!$F$8 &amp; Master!$F$6 &amp; "'!B" &amp; ROW(B911))=0), "", INDIRECT("'" &amp; Master!$F$8 &amp; Master!$F$6 &amp; "'!B" &amp; ROW(B911)))</f>
        <v>#VALUE!</v>
      </c>
      <c r="J911" s="9" t="e">
        <f t="shared" ca="1" si="98"/>
        <v>#VALUE!</v>
      </c>
      <c r="K911" s="7" t="e">
        <f t="shared" ca="1" si="99"/>
        <v>#VALUE!</v>
      </c>
      <c r="L911" s="7" t="e">
        <f t="shared" ca="1" si="100"/>
        <v>#VALUE!</v>
      </c>
      <c r="M911" s="7" t="e">
        <f t="shared" ca="1" si="101"/>
        <v>#VALUE!</v>
      </c>
      <c r="N911" s="7" t="e">
        <f t="shared" ca="1" si="102"/>
        <v>#VALUE!</v>
      </c>
      <c r="O911" s="7" t="e">
        <f t="shared" ca="1" si="103"/>
        <v>#VALUE!</v>
      </c>
      <c r="P911" s="7" t="e">
        <f t="shared" ca="1" si="104"/>
        <v>#VALUE!</v>
      </c>
    </row>
    <row r="912" spans="1:16" x14ac:dyDescent="0.25">
      <c r="A912" s="19" t="str">
        <f ca="1">IF(OR(INDIRECT("'" &amp; Master!$F$8 &amp; Master!$F$6 &amp; "'!A" &amp; ROW(A912))="", INDIRECT("'" &amp; Master!$F$8 &amp; Master!$F$6 &amp; "'!A" &amp; ROW(A912))=0), "", INDIRECT("'" &amp; Master!$F$8 &amp; Master!$F$6 &amp; "'!A" &amp; ROW(A912)))</f>
        <v/>
      </c>
      <c r="B912" s="4" t="e">
        <f ca="1">SplineInterp(INDIRECT("A" &amp; ROW()),INDIRECT("'" &amp;Master!$F$10&amp; "'!$A$2:$A$50"),INDIRECT("'" &amp;Master!$F$10&amp; "'!$B$2:$B$50"))</f>
        <v>#VALUE!</v>
      </c>
      <c r="C912" s="4" t="e">
        <f ca="1">SplineInterp(A912,INDIRECT("'" &amp;Master!$F$10&amp; "'!$A$2:$A$50"),INDIRECT("'" &amp;Master!$F$10&amp; "'!$C$2:$C$50"))</f>
        <v>#VALUE!</v>
      </c>
      <c r="D912" s="4" t="e">
        <f ca="1">SplineInterp(A912,INDIRECT("'" &amp;Master!$F$10&amp; "'!$A$2:$A$50"),INDIRECT("'" &amp;Master!$F$10&amp; "'!$D$2:$D$50"))</f>
        <v>#VALUE!</v>
      </c>
      <c r="E912" s="4" t="e">
        <f ca="1">SplineInterp(A912,INDIRECT("'" &amp;Master!$F$10&amp; "'!$A$2:$A$50"),INDIRECT("'" &amp;Master!$F$10&amp; "'!$E$2:$E$50"))</f>
        <v>#VALUE!</v>
      </c>
      <c r="F912" s="4" t="e">
        <f ca="1">SplineInterp(A912,INDIRECT("'" &amp;Master!$F$10&amp; "'!$A$2:$A$50"),INDIRECT("'" &amp;Master!$F$10&amp; "'!$F$2:$F$50"))</f>
        <v>#VALUE!</v>
      </c>
      <c r="G912" s="4" t="e">
        <f ca="1">SplineInterp(A912,INDIRECT("'" &amp;Master!$F$10&amp; "'!$A$2:$A$50"),INDIRECT("'" &amp;Master!$F$10&amp; "'!$G$2:$G$50"))</f>
        <v>#VALUE!</v>
      </c>
      <c r="H912" s="4" t="e">
        <f ca="1">SplineInterp(A912,INDIRECT("'" &amp;Master!$F$10&amp; "'!$A$2:$A$50"),INDIRECT("'" &amp;Master!$F$10&amp; "'!$H$2:$H$50"))</f>
        <v>#VALUE!</v>
      </c>
      <c r="I912" s="4" t="e">
        <f ca="1">IF(OR(INDIRECT("'" &amp; Master!$F$8 &amp; Master!$F$6 &amp; "'!B" &amp; ROW(B912))="", INDIRECT("'" &amp; Master!$F$8 &amp; Master!$F$6 &amp; "'!B" &amp; ROW(B912))=0), "", INDIRECT("'" &amp; Master!$F$8 &amp; Master!$F$6 &amp; "'!B" &amp; ROW(B912)))</f>
        <v>#VALUE!</v>
      </c>
      <c r="J912" s="9" t="e">
        <f t="shared" ca="1" si="98"/>
        <v>#VALUE!</v>
      </c>
      <c r="K912" s="7" t="e">
        <f t="shared" ca="1" si="99"/>
        <v>#VALUE!</v>
      </c>
      <c r="L912" s="7" t="e">
        <f t="shared" ca="1" si="100"/>
        <v>#VALUE!</v>
      </c>
      <c r="M912" s="7" t="e">
        <f t="shared" ca="1" si="101"/>
        <v>#VALUE!</v>
      </c>
      <c r="N912" s="7" t="e">
        <f t="shared" ca="1" si="102"/>
        <v>#VALUE!</v>
      </c>
      <c r="O912" s="7" t="e">
        <f t="shared" ca="1" si="103"/>
        <v>#VALUE!</v>
      </c>
      <c r="P912" s="7" t="e">
        <f t="shared" ca="1" si="104"/>
        <v>#VALUE!</v>
      </c>
    </row>
    <row r="913" spans="1:16" x14ac:dyDescent="0.25">
      <c r="A913" s="19" t="str">
        <f ca="1">IF(OR(INDIRECT("'" &amp; Master!$F$8 &amp; Master!$F$6 &amp; "'!A" &amp; ROW(A913))="", INDIRECT("'" &amp; Master!$F$8 &amp; Master!$F$6 &amp; "'!A" &amp; ROW(A913))=0), "", INDIRECT("'" &amp; Master!$F$8 &amp; Master!$F$6 &amp; "'!A" &amp; ROW(A913)))</f>
        <v/>
      </c>
      <c r="B913" s="4" t="e">
        <f ca="1">SplineInterp(INDIRECT("A" &amp; ROW()),INDIRECT("'" &amp;Master!$F$10&amp; "'!$A$2:$A$50"),INDIRECT("'" &amp;Master!$F$10&amp; "'!$B$2:$B$50"))</f>
        <v>#VALUE!</v>
      </c>
      <c r="C913" s="4" t="e">
        <f ca="1">SplineInterp(A913,INDIRECT("'" &amp;Master!$F$10&amp; "'!$A$2:$A$50"),INDIRECT("'" &amp;Master!$F$10&amp; "'!$C$2:$C$50"))</f>
        <v>#VALUE!</v>
      </c>
      <c r="D913" s="4" t="e">
        <f ca="1">SplineInterp(A913,INDIRECT("'" &amp;Master!$F$10&amp; "'!$A$2:$A$50"),INDIRECT("'" &amp;Master!$F$10&amp; "'!$D$2:$D$50"))</f>
        <v>#VALUE!</v>
      </c>
      <c r="E913" s="4" t="e">
        <f ca="1">SplineInterp(A913,INDIRECT("'" &amp;Master!$F$10&amp; "'!$A$2:$A$50"),INDIRECT("'" &amp;Master!$F$10&amp; "'!$E$2:$E$50"))</f>
        <v>#VALUE!</v>
      </c>
      <c r="F913" s="4" t="e">
        <f ca="1">SplineInterp(A913,INDIRECT("'" &amp;Master!$F$10&amp; "'!$A$2:$A$50"),INDIRECT("'" &amp;Master!$F$10&amp; "'!$F$2:$F$50"))</f>
        <v>#VALUE!</v>
      </c>
      <c r="G913" s="4" t="e">
        <f ca="1">SplineInterp(A913,INDIRECT("'" &amp;Master!$F$10&amp; "'!$A$2:$A$50"),INDIRECT("'" &amp;Master!$F$10&amp; "'!$G$2:$G$50"))</f>
        <v>#VALUE!</v>
      </c>
      <c r="H913" s="4" t="e">
        <f ca="1">SplineInterp(A913,INDIRECT("'" &amp;Master!$F$10&amp; "'!$A$2:$A$50"),INDIRECT("'" &amp;Master!$F$10&amp; "'!$H$2:$H$50"))</f>
        <v>#VALUE!</v>
      </c>
      <c r="I913" s="4" t="e">
        <f ca="1">IF(OR(INDIRECT("'" &amp; Master!$F$8 &amp; Master!$F$6 &amp; "'!B" &amp; ROW(B913))="", INDIRECT("'" &amp; Master!$F$8 &amp; Master!$F$6 &amp; "'!B" &amp; ROW(B913))=0), "", INDIRECT("'" &amp; Master!$F$8 &amp; Master!$F$6 &amp; "'!B" &amp; ROW(B913)))</f>
        <v>#VALUE!</v>
      </c>
      <c r="J913" s="9" t="e">
        <f t="shared" ca="1" si="98"/>
        <v>#VALUE!</v>
      </c>
      <c r="K913" s="7" t="e">
        <f t="shared" ca="1" si="99"/>
        <v>#VALUE!</v>
      </c>
      <c r="L913" s="7" t="e">
        <f t="shared" ca="1" si="100"/>
        <v>#VALUE!</v>
      </c>
      <c r="M913" s="7" t="e">
        <f t="shared" ca="1" si="101"/>
        <v>#VALUE!</v>
      </c>
      <c r="N913" s="7" t="e">
        <f t="shared" ca="1" si="102"/>
        <v>#VALUE!</v>
      </c>
      <c r="O913" s="7" t="e">
        <f t="shared" ca="1" si="103"/>
        <v>#VALUE!</v>
      </c>
      <c r="P913" s="7" t="e">
        <f t="shared" ca="1" si="104"/>
        <v>#VALUE!</v>
      </c>
    </row>
    <row r="914" spans="1:16" x14ac:dyDescent="0.25">
      <c r="A914" s="19" t="str">
        <f ca="1">IF(OR(INDIRECT("'" &amp; Master!$F$8 &amp; Master!$F$6 &amp; "'!A" &amp; ROW(A914))="", INDIRECT("'" &amp; Master!$F$8 &amp; Master!$F$6 &amp; "'!A" &amp; ROW(A914))=0), "", INDIRECT("'" &amp; Master!$F$8 &amp; Master!$F$6 &amp; "'!A" &amp; ROW(A914)))</f>
        <v/>
      </c>
      <c r="B914" s="4" t="e">
        <f ca="1">SplineInterp(INDIRECT("A" &amp; ROW()),INDIRECT("'" &amp;Master!$F$10&amp; "'!$A$2:$A$50"),INDIRECT("'" &amp;Master!$F$10&amp; "'!$B$2:$B$50"))</f>
        <v>#VALUE!</v>
      </c>
      <c r="C914" s="4" t="e">
        <f ca="1">SplineInterp(A914,INDIRECT("'" &amp;Master!$F$10&amp; "'!$A$2:$A$50"),INDIRECT("'" &amp;Master!$F$10&amp; "'!$C$2:$C$50"))</f>
        <v>#VALUE!</v>
      </c>
      <c r="D914" s="4" t="e">
        <f ca="1">SplineInterp(A914,INDIRECT("'" &amp;Master!$F$10&amp; "'!$A$2:$A$50"),INDIRECT("'" &amp;Master!$F$10&amp; "'!$D$2:$D$50"))</f>
        <v>#VALUE!</v>
      </c>
      <c r="E914" s="4" t="e">
        <f ca="1">SplineInterp(A914,INDIRECT("'" &amp;Master!$F$10&amp; "'!$A$2:$A$50"),INDIRECT("'" &amp;Master!$F$10&amp; "'!$E$2:$E$50"))</f>
        <v>#VALUE!</v>
      </c>
      <c r="F914" s="4" t="e">
        <f ca="1">SplineInterp(A914,INDIRECT("'" &amp;Master!$F$10&amp; "'!$A$2:$A$50"),INDIRECT("'" &amp;Master!$F$10&amp; "'!$F$2:$F$50"))</f>
        <v>#VALUE!</v>
      </c>
      <c r="G914" s="4" t="e">
        <f ca="1">SplineInterp(A914,INDIRECT("'" &amp;Master!$F$10&amp; "'!$A$2:$A$50"),INDIRECT("'" &amp;Master!$F$10&amp; "'!$G$2:$G$50"))</f>
        <v>#VALUE!</v>
      </c>
      <c r="H914" s="4" t="e">
        <f ca="1">SplineInterp(A914,INDIRECT("'" &amp;Master!$F$10&amp; "'!$A$2:$A$50"),INDIRECT("'" &amp;Master!$F$10&amp; "'!$H$2:$H$50"))</f>
        <v>#VALUE!</v>
      </c>
      <c r="I914" s="4" t="e">
        <f ca="1">IF(OR(INDIRECT("'" &amp; Master!$F$8 &amp; Master!$F$6 &amp; "'!B" &amp; ROW(B914))="", INDIRECT("'" &amp; Master!$F$8 &amp; Master!$F$6 &amp; "'!B" &amp; ROW(B914))=0), "", INDIRECT("'" &amp; Master!$F$8 &amp; Master!$F$6 &amp; "'!B" &amp; ROW(B914)))</f>
        <v>#VALUE!</v>
      </c>
      <c r="J914" s="9" t="e">
        <f t="shared" ca="1" si="98"/>
        <v>#VALUE!</v>
      </c>
      <c r="K914" s="7" t="e">
        <f t="shared" ca="1" si="99"/>
        <v>#VALUE!</v>
      </c>
      <c r="L914" s="7" t="e">
        <f t="shared" ca="1" si="100"/>
        <v>#VALUE!</v>
      </c>
      <c r="M914" s="7" t="e">
        <f t="shared" ca="1" si="101"/>
        <v>#VALUE!</v>
      </c>
      <c r="N914" s="7" t="e">
        <f t="shared" ca="1" si="102"/>
        <v>#VALUE!</v>
      </c>
      <c r="O914" s="7" t="e">
        <f t="shared" ca="1" si="103"/>
        <v>#VALUE!</v>
      </c>
      <c r="P914" s="7" t="e">
        <f t="shared" ca="1" si="104"/>
        <v>#VALUE!</v>
      </c>
    </row>
    <row r="915" spans="1:16" x14ac:dyDescent="0.25">
      <c r="A915" s="19" t="str">
        <f ca="1">IF(OR(INDIRECT("'" &amp; Master!$F$8 &amp; Master!$F$6 &amp; "'!A" &amp; ROW(A915))="", INDIRECT("'" &amp; Master!$F$8 &amp; Master!$F$6 &amp; "'!A" &amp; ROW(A915))=0), "", INDIRECT("'" &amp; Master!$F$8 &amp; Master!$F$6 &amp; "'!A" &amp; ROW(A915)))</f>
        <v/>
      </c>
      <c r="B915" s="4" t="e">
        <f ca="1">SplineInterp(INDIRECT("A" &amp; ROW()),INDIRECT("'" &amp;Master!$F$10&amp; "'!$A$2:$A$50"),INDIRECT("'" &amp;Master!$F$10&amp; "'!$B$2:$B$50"))</f>
        <v>#VALUE!</v>
      </c>
      <c r="C915" s="4" t="e">
        <f ca="1">SplineInterp(A915,INDIRECT("'" &amp;Master!$F$10&amp; "'!$A$2:$A$50"),INDIRECT("'" &amp;Master!$F$10&amp; "'!$C$2:$C$50"))</f>
        <v>#VALUE!</v>
      </c>
      <c r="D915" s="4" t="e">
        <f ca="1">SplineInterp(A915,INDIRECT("'" &amp;Master!$F$10&amp; "'!$A$2:$A$50"),INDIRECT("'" &amp;Master!$F$10&amp; "'!$D$2:$D$50"))</f>
        <v>#VALUE!</v>
      </c>
      <c r="E915" s="4" t="e">
        <f ca="1">SplineInterp(A915,INDIRECT("'" &amp;Master!$F$10&amp; "'!$A$2:$A$50"),INDIRECT("'" &amp;Master!$F$10&amp; "'!$E$2:$E$50"))</f>
        <v>#VALUE!</v>
      </c>
      <c r="F915" s="4" t="e">
        <f ca="1">SplineInterp(A915,INDIRECT("'" &amp;Master!$F$10&amp; "'!$A$2:$A$50"),INDIRECT("'" &amp;Master!$F$10&amp; "'!$F$2:$F$50"))</f>
        <v>#VALUE!</v>
      </c>
      <c r="G915" s="4" t="e">
        <f ca="1">SplineInterp(A915,INDIRECT("'" &amp;Master!$F$10&amp; "'!$A$2:$A$50"),INDIRECT("'" &amp;Master!$F$10&amp; "'!$G$2:$G$50"))</f>
        <v>#VALUE!</v>
      </c>
      <c r="H915" s="4" t="e">
        <f ca="1">SplineInterp(A915,INDIRECT("'" &amp;Master!$F$10&amp; "'!$A$2:$A$50"),INDIRECT("'" &amp;Master!$F$10&amp; "'!$H$2:$H$50"))</f>
        <v>#VALUE!</v>
      </c>
      <c r="I915" s="4" t="e">
        <f ca="1">IF(OR(INDIRECT("'" &amp; Master!$F$8 &amp; Master!$F$6 &amp; "'!B" &amp; ROW(B915))="", INDIRECT("'" &amp; Master!$F$8 &amp; Master!$F$6 &amp; "'!B" &amp; ROW(B915))=0), "", INDIRECT("'" &amp; Master!$F$8 &amp; Master!$F$6 &amp; "'!B" &amp; ROW(B915)))</f>
        <v>#VALUE!</v>
      </c>
      <c r="J915" s="9" t="e">
        <f t="shared" ca="1" si="98"/>
        <v>#VALUE!</v>
      </c>
      <c r="K915" s="7" t="e">
        <f t="shared" ca="1" si="99"/>
        <v>#VALUE!</v>
      </c>
      <c r="L915" s="7" t="e">
        <f t="shared" ca="1" si="100"/>
        <v>#VALUE!</v>
      </c>
      <c r="M915" s="7" t="e">
        <f t="shared" ca="1" si="101"/>
        <v>#VALUE!</v>
      </c>
      <c r="N915" s="7" t="e">
        <f t="shared" ca="1" si="102"/>
        <v>#VALUE!</v>
      </c>
      <c r="O915" s="7" t="e">
        <f t="shared" ca="1" si="103"/>
        <v>#VALUE!</v>
      </c>
      <c r="P915" s="7" t="e">
        <f t="shared" ca="1" si="104"/>
        <v>#VALUE!</v>
      </c>
    </row>
    <row r="916" spans="1:16" x14ac:dyDescent="0.25">
      <c r="A916" s="19" t="str">
        <f ca="1">IF(OR(INDIRECT("'" &amp; Master!$F$8 &amp; Master!$F$6 &amp; "'!A" &amp; ROW(A916))="", INDIRECT("'" &amp; Master!$F$8 &amp; Master!$F$6 &amp; "'!A" &amp; ROW(A916))=0), "", INDIRECT("'" &amp; Master!$F$8 &amp; Master!$F$6 &amp; "'!A" &amp; ROW(A916)))</f>
        <v/>
      </c>
      <c r="B916" s="4" t="e">
        <f ca="1">SplineInterp(INDIRECT("A" &amp; ROW()),INDIRECT("'" &amp;Master!$F$10&amp; "'!$A$2:$A$50"),INDIRECT("'" &amp;Master!$F$10&amp; "'!$B$2:$B$50"))</f>
        <v>#VALUE!</v>
      </c>
      <c r="C916" s="4" t="e">
        <f ca="1">SplineInterp(A916,INDIRECT("'" &amp;Master!$F$10&amp; "'!$A$2:$A$50"),INDIRECT("'" &amp;Master!$F$10&amp; "'!$C$2:$C$50"))</f>
        <v>#VALUE!</v>
      </c>
      <c r="D916" s="4" t="e">
        <f ca="1">SplineInterp(A916,INDIRECT("'" &amp;Master!$F$10&amp; "'!$A$2:$A$50"),INDIRECT("'" &amp;Master!$F$10&amp; "'!$D$2:$D$50"))</f>
        <v>#VALUE!</v>
      </c>
      <c r="E916" s="4" t="e">
        <f ca="1">SplineInterp(A916,INDIRECT("'" &amp;Master!$F$10&amp; "'!$A$2:$A$50"),INDIRECT("'" &amp;Master!$F$10&amp; "'!$E$2:$E$50"))</f>
        <v>#VALUE!</v>
      </c>
      <c r="F916" s="4" t="e">
        <f ca="1">SplineInterp(A916,INDIRECT("'" &amp;Master!$F$10&amp; "'!$A$2:$A$50"),INDIRECT("'" &amp;Master!$F$10&amp; "'!$F$2:$F$50"))</f>
        <v>#VALUE!</v>
      </c>
      <c r="G916" s="4" t="e">
        <f ca="1">SplineInterp(A916,INDIRECT("'" &amp;Master!$F$10&amp; "'!$A$2:$A$50"),INDIRECT("'" &amp;Master!$F$10&amp; "'!$G$2:$G$50"))</f>
        <v>#VALUE!</v>
      </c>
      <c r="H916" s="4" t="e">
        <f ca="1">SplineInterp(A916,INDIRECT("'" &amp;Master!$F$10&amp; "'!$A$2:$A$50"),INDIRECT("'" &amp;Master!$F$10&amp; "'!$H$2:$H$50"))</f>
        <v>#VALUE!</v>
      </c>
      <c r="I916" s="4" t="e">
        <f ca="1">IF(OR(INDIRECT("'" &amp; Master!$F$8 &amp; Master!$F$6 &amp; "'!B" &amp; ROW(B916))="", INDIRECT("'" &amp; Master!$F$8 &amp; Master!$F$6 &amp; "'!B" &amp; ROW(B916))=0), "", INDIRECT("'" &amp; Master!$F$8 &amp; Master!$F$6 &amp; "'!B" &amp; ROW(B916)))</f>
        <v>#VALUE!</v>
      </c>
      <c r="J916" s="9" t="e">
        <f t="shared" ca="1" si="98"/>
        <v>#VALUE!</v>
      </c>
      <c r="K916" s="7" t="e">
        <f t="shared" ca="1" si="99"/>
        <v>#VALUE!</v>
      </c>
      <c r="L916" s="7" t="e">
        <f t="shared" ca="1" si="100"/>
        <v>#VALUE!</v>
      </c>
      <c r="M916" s="7" t="e">
        <f t="shared" ca="1" si="101"/>
        <v>#VALUE!</v>
      </c>
      <c r="N916" s="7" t="e">
        <f t="shared" ca="1" si="102"/>
        <v>#VALUE!</v>
      </c>
      <c r="O916" s="7" t="e">
        <f t="shared" ca="1" si="103"/>
        <v>#VALUE!</v>
      </c>
      <c r="P916" s="7" t="e">
        <f t="shared" ca="1" si="104"/>
        <v>#VALUE!</v>
      </c>
    </row>
    <row r="917" spans="1:16" x14ac:dyDescent="0.25">
      <c r="A917" s="19" t="str">
        <f ca="1">IF(OR(INDIRECT("'" &amp; Master!$F$8 &amp; Master!$F$6 &amp; "'!A" &amp; ROW(A917))="", INDIRECT("'" &amp; Master!$F$8 &amp; Master!$F$6 &amp; "'!A" &amp; ROW(A917))=0), "", INDIRECT("'" &amp; Master!$F$8 &amp; Master!$F$6 &amp; "'!A" &amp; ROW(A917)))</f>
        <v/>
      </c>
      <c r="B917" s="4" t="e">
        <f ca="1">SplineInterp(INDIRECT("A" &amp; ROW()),INDIRECT("'" &amp;Master!$F$10&amp; "'!$A$2:$A$50"),INDIRECT("'" &amp;Master!$F$10&amp; "'!$B$2:$B$50"))</f>
        <v>#VALUE!</v>
      </c>
      <c r="C917" s="4" t="e">
        <f ca="1">SplineInterp(A917,INDIRECT("'" &amp;Master!$F$10&amp; "'!$A$2:$A$50"),INDIRECT("'" &amp;Master!$F$10&amp; "'!$C$2:$C$50"))</f>
        <v>#VALUE!</v>
      </c>
      <c r="D917" s="4" t="e">
        <f ca="1">SplineInterp(A917,INDIRECT("'" &amp;Master!$F$10&amp; "'!$A$2:$A$50"),INDIRECT("'" &amp;Master!$F$10&amp; "'!$D$2:$D$50"))</f>
        <v>#VALUE!</v>
      </c>
      <c r="E917" s="4" t="e">
        <f ca="1">SplineInterp(A917,INDIRECT("'" &amp;Master!$F$10&amp; "'!$A$2:$A$50"),INDIRECT("'" &amp;Master!$F$10&amp; "'!$E$2:$E$50"))</f>
        <v>#VALUE!</v>
      </c>
      <c r="F917" s="4" t="e">
        <f ca="1">SplineInterp(A917,INDIRECT("'" &amp;Master!$F$10&amp; "'!$A$2:$A$50"),INDIRECT("'" &amp;Master!$F$10&amp; "'!$F$2:$F$50"))</f>
        <v>#VALUE!</v>
      </c>
      <c r="G917" s="4" t="e">
        <f ca="1">SplineInterp(A917,INDIRECT("'" &amp;Master!$F$10&amp; "'!$A$2:$A$50"),INDIRECT("'" &amp;Master!$F$10&amp; "'!$G$2:$G$50"))</f>
        <v>#VALUE!</v>
      </c>
      <c r="H917" s="4" t="e">
        <f ca="1">SplineInterp(A917,INDIRECT("'" &amp;Master!$F$10&amp; "'!$A$2:$A$50"),INDIRECT("'" &amp;Master!$F$10&amp; "'!$H$2:$H$50"))</f>
        <v>#VALUE!</v>
      </c>
      <c r="I917" s="4" t="e">
        <f ca="1">IF(OR(INDIRECT("'" &amp; Master!$F$8 &amp; Master!$F$6 &amp; "'!B" &amp; ROW(B917))="", INDIRECT("'" &amp; Master!$F$8 &amp; Master!$F$6 &amp; "'!B" &amp; ROW(B917))=0), "", INDIRECT("'" &amp; Master!$F$8 &amp; Master!$F$6 &amp; "'!B" &amp; ROW(B917)))</f>
        <v>#VALUE!</v>
      </c>
      <c r="J917" s="9" t="e">
        <f t="shared" ca="1" si="98"/>
        <v>#VALUE!</v>
      </c>
      <c r="K917" s="7" t="e">
        <f t="shared" ca="1" si="99"/>
        <v>#VALUE!</v>
      </c>
      <c r="L917" s="7" t="e">
        <f t="shared" ca="1" si="100"/>
        <v>#VALUE!</v>
      </c>
      <c r="M917" s="7" t="e">
        <f t="shared" ca="1" si="101"/>
        <v>#VALUE!</v>
      </c>
      <c r="N917" s="7" t="e">
        <f t="shared" ca="1" si="102"/>
        <v>#VALUE!</v>
      </c>
      <c r="O917" s="7" t="e">
        <f t="shared" ca="1" si="103"/>
        <v>#VALUE!</v>
      </c>
      <c r="P917" s="7" t="e">
        <f t="shared" ca="1" si="104"/>
        <v>#VALUE!</v>
      </c>
    </row>
    <row r="918" spans="1:16" x14ac:dyDescent="0.25">
      <c r="A918" s="19" t="str">
        <f ca="1">IF(OR(INDIRECT("'" &amp; Master!$F$8 &amp; Master!$F$6 &amp; "'!A" &amp; ROW(A918))="", INDIRECT("'" &amp; Master!$F$8 &amp; Master!$F$6 &amp; "'!A" &amp; ROW(A918))=0), "", INDIRECT("'" &amp; Master!$F$8 &amp; Master!$F$6 &amp; "'!A" &amp; ROW(A918)))</f>
        <v/>
      </c>
      <c r="B918" s="4" t="e">
        <f ca="1">SplineInterp(INDIRECT("A" &amp; ROW()),INDIRECT("'" &amp;Master!$F$10&amp; "'!$A$2:$A$50"),INDIRECT("'" &amp;Master!$F$10&amp; "'!$B$2:$B$50"))</f>
        <v>#VALUE!</v>
      </c>
      <c r="C918" s="4" t="e">
        <f ca="1">SplineInterp(A918,INDIRECT("'" &amp;Master!$F$10&amp; "'!$A$2:$A$50"),INDIRECT("'" &amp;Master!$F$10&amp; "'!$C$2:$C$50"))</f>
        <v>#VALUE!</v>
      </c>
      <c r="D918" s="4" t="e">
        <f ca="1">SplineInterp(A918,INDIRECT("'" &amp;Master!$F$10&amp; "'!$A$2:$A$50"),INDIRECT("'" &amp;Master!$F$10&amp; "'!$D$2:$D$50"))</f>
        <v>#VALUE!</v>
      </c>
      <c r="E918" s="4" t="e">
        <f ca="1">SplineInterp(A918,INDIRECT("'" &amp;Master!$F$10&amp; "'!$A$2:$A$50"),INDIRECT("'" &amp;Master!$F$10&amp; "'!$E$2:$E$50"))</f>
        <v>#VALUE!</v>
      </c>
      <c r="F918" s="4" t="e">
        <f ca="1">SplineInterp(A918,INDIRECT("'" &amp;Master!$F$10&amp; "'!$A$2:$A$50"),INDIRECT("'" &amp;Master!$F$10&amp; "'!$F$2:$F$50"))</f>
        <v>#VALUE!</v>
      </c>
      <c r="G918" s="4" t="e">
        <f ca="1">SplineInterp(A918,INDIRECT("'" &amp;Master!$F$10&amp; "'!$A$2:$A$50"),INDIRECT("'" &amp;Master!$F$10&amp; "'!$G$2:$G$50"))</f>
        <v>#VALUE!</v>
      </c>
      <c r="H918" s="4" t="e">
        <f ca="1">SplineInterp(A918,INDIRECT("'" &amp;Master!$F$10&amp; "'!$A$2:$A$50"),INDIRECT("'" &amp;Master!$F$10&amp; "'!$H$2:$H$50"))</f>
        <v>#VALUE!</v>
      </c>
      <c r="I918" s="4" t="e">
        <f ca="1">IF(OR(INDIRECT("'" &amp; Master!$F$8 &amp; Master!$F$6 &amp; "'!B" &amp; ROW(B918))="", INDIRECT("'" &amp; Master!$F$8 &amp; Master!$F$6 &amp; "'!B" &amp; ROW(B918))=0), "", INDIRECT("'" &amp; Master!$F$8 &amp; Master!$F$6 &amp; "'!B" &amp; ROW(B918)))</f>
        <v>#VALUE!</v>
      </c>
      <c r="J918" s="9" t="e">
        <f t="shared" ca="1" si="98"/>
        <v>#VALUE!</v>
      </c>
      <c r="K918" s="7" t="e">
        <f t="shared" ca="1" si="99"/>
        <v>#VALUE!</v>
      </c>
      <c r="L918" s="7" t="e">
        <f t="shared" ca="1" si="100"/>
        <v>#VALUE!</v>
      </c>
      <c r="M918" s="7" t="e">
        <f t="shared" ca="1" si="101"/>
        <v>#VALUE!</v>
      </c>
      <c r="N918" s="7" t="e">
        <f t="shared" ca="1" si="102"/>
        <v>#VALUE!</v>
      </c>
      <c r="O918" s="7" t="e">
        <f t="shared" ca="1" si="103"/>
        <v>#VALUE!</v>
      </c>
      <c r="P918" s="7" t="e">
        <f t="shared" ca="1" si="104"/>
        <v>#VALUE!</v>
      </c>
    </row>
    <row r="919" spans="1:16" x14ac:dyDescent="0.25">
      <c r="A919" s="19" t="str">
        <f ca="1">IF(OR(INDIRECT("'" &amp; Master!$F$8 &amp; Master!$F$6 &amp; "'!A" &amp; ROW(A919))="", INDIRECT("'" &amp; Master!$F$8 &amp; Master!$F$6 &amp; "'!A" &amp; ROW(A919))=0), "", INDIRECT("'" &amp; Master!$F$8 &amp; Master!$F$6 &amp; "'!A" &amp; ROW(A919)))</f>
        <v/>
      </c>
      <c r="B919" s="4" t="e">
        <f ca="1">SplineInterp(INDIRECT("A" &amp; ROW()),INDIRECT("'" &amp;Master!$F$10&amp; "'!$A$2:$A$50"),INDIRECT("'" &amp;Master!$F$10&amp; "'!$B$2:$B$50"))</f>
        <v>#VALUE!</v>
      </c>
      <c r="C919" s="4" t="e">
        <f ca="1">SplineInterp(A919,INDIRECT("'" &amp;Master!$F$10&amp; "'!$A$2:$A$50"),INDIRECT("'" &amp;Master!$F$10&amp; "'!$C$2:$C$50"))</f>
        <v>#VALUE!</v>
      </c>
      <c r="D919" s="4" t="e">
        <f ca="1">SplineInterp(A919,INDIRECT("'" &amp;Master!$F$10&amp; "'!$A$2:$A$50"),INDIRECT("'" &amp;Master!$F$10&amp; "'!$D$2:$D$50"))</f>
        <v>#VALUE!</v>
      </c>
      <c r="E919" s="4" t="e">
        <f ca="1">SplineInterp(A919,INDIRECT("'" &amp;Master!$F$10&amp; "'!$A$2:$A$50"),INDIRECT("'" &amp;Master!$F$10&amp; "'!$E$2:$E$50"))</f>
        <v>#VALUE!</v>
      </c>
      <c r="F919" s="4" t="e">
        <f ca="1">SplineInterp(A919,INDIRECT("'" &amp;Master!$F$10&amp; "'!$A$2:$A$50"),INDIRECT("'" &amp;Master!$F$10&amp; "'!$F$2:$F$50"))</f>
        <v>#VALUE!</v>
      </c>
      <c r="G919" s="4" t="e">
        <f ca="1">SplineInterp(A919,INDIRECT("'" &amp;Master!$F$10&amp; "'!$A$2:$A$50"),INDIRECT("'" &amp;Master!$F$10&amp; "'!$G$2:$G$50"))</f>
        <v>#VALUE!</v>
      </c>
      <c r="H919" s="4" t="e">
        <f ca="1">SplineInterp(A919,INDIRECT("'" &amp;Master!$F$10&amp; "'!$A$2:$A$50"),INDIRECT("'" &amp;Master!$F$10&amp; "'!$H$2:$H$50"))</f>
        <v>#VALUE!</v>
      </c>
      <c r="I919" s="4" t="e">
        <f ca="1">IF(OR(INDIRECT("'" &amp; Master!$F$8 &amp; Master!$F$6 &amp; "'!B" &amp; ROW(B919))="", INDIRECT("'" &amp; Master!$F$8 &amp; Master!$F$6 &amp; "'!B" &amp; ROW(B919))=0), "", INDIRECT("'" &amp; Master!$F$8 &amp; Master!$F$6 &amp; "'!B" &amp; ROW(B919)))</f>
        <v>#VALUE!</v>
      </c>
      <c r="J919" s="9" t="e">
        <f t="shared" ca="1" si="98"/>
        <v>#VALUE!</v>
      </c>
      <c r="K919" s="7" t="e">
        <f t="shared" ca="1" si="99"/>
        <v>#VALUE!</v>
      </c>
      <c r="L919" s="7" t="e">
        <f t="shared" ca="1" si="100"/>
        <v>#VALUE!</v>
      </c>
      <c r="M919" s="7" t="e">
        <f t="shared" ca="1" si="101"/>
        <v>#VALUE!</v>
      </c>
      <c r="N919" s="7" t="e">
        <f t="shared" ca="1" si="102"/>
        <v>#VALUE!</v>
      </c>
      <c r="O919" s="7" t="e">
        <f t="shared" ca="1" si="103"/>
        <v>#VALUE!</v>
      </c>
      <c r="P919" s="7" t="e">
        <f t="shared" ca="1" si="104"/>
        <v>#VALUE!</v>
      </c>
    </row>
    <row r="920" spans="1:16" x14ac:dyDescent="0.25">
      <c r="A920" s="19" t="str">
        <f ca="1">IF(OR(INDIRECT("'" &amp; Master!$F$8 &amp; Master!$F$6 &amp; "'!A" &amp; ROW(A920))="", INDIRECT("'" &amp; Master!$F$8 &amp; Master!$F$6 &amp; "'!A" &amp; ROW(A920))=0), "", INDIRECT("'" &amp; Master!$F$8 &amp; Master!$F$6 &amp; "'!A" &amp; ROW(A920)))</f>
        <v/>
      </c>
      <c r="B920" s="4" t="e">
        <f ca="1">SplineInterp(INDIRECT("A" &amp; ROW()),INDIRECT("'" &amp;Master!$F$10&amp; "'!$A$2:$A$50"),INDIRECT("'" &amp;Master!$F$10&amp; "'!$B$2:$B$50"))</f>
        <v>#VALUE!</v>
      </c>
      <c r="C920" s="4" t="e">
        <f ca="1">SplineInterp(A920,INDIRECT("'" &amp;Master!$F$10&amp; "'!$A$2:$A$50"),INDIRECT("'" &amp;Master!$F$10&amp; "'!$C$2:$C$50"))</f>
        <v>#VALUE!</v>
      </c>
      <c r="D920" s="4" t="e">
        <f ca="1">SplineInterp(A920,INDIRECT("'" &amp;Master!$F$10&amp; "'!$A$2:$A$50"),INDIRECT("'" &amp;Master!$F$10&amp; "'!$D$2:$D$50"))</f>
        <v>#VALUE!</v>
      </c>
      <c r="E920" s="4" t="e">
        <f ca="1">SplineInterp(A920,INDIRECT("'" &amp;Master!$F$10&amp; "'!$A$2:$A$50"),INDIRECT("'" &amp;Master!$F$10&amp; "'!$E$2:$E$50"))</f>
        <v>#VALUE!</v>
      </c>
      <c r="F920" s="4" t="e">
        <f ca="1">SplineInterp(A920,INDIRECT("'" &amp;Master!$F$10&amp; "'!$A$2:$A$50"),INDIRECT("'" &amp;Master!$F$10&amp; "'!$F$2:$F$50"))</f>
        <v>#VALUE!</v>
      </c>
      <c r="G920" s="4" t="e">
        <f ca="1">SplineInterp(A920,INDIRECT("'" &amp;Master!$F$10&amp; "'!$A$2:$A$50"),INDIRECT("'" &amp;Master!$F$10&amp; "'!$G$2:$G$50"))</f>
        <v>#VALUE!</v>
      </c>
      <c r="H920" s="4" t="e">
        <f ca="1">SplineInterp(A920,INDIRECT("'" &amp;Master!$F$10&amp; "'!$A$2:$A$50"),INDIRECT("'" &amp;Master!$F$10&amp; "'!$H$2:$H$50"))</f>
        <v>#VALUE!</v>
      </c>
      <c r="I920" s="4" t="e">
        <f ca="1">IF(OR(INDIRECT("'" &amp; Master!$F$8 &amp; Master!$F$6 &amp; "'!B" &amp; ROW(B920))="", INDIRECT("'" &amp; Master!$F$8 &amp; Master!$F$6 &amp; "'!B" &amp; ROW(B920))=0), "", INDIRECT("'" &amp; Master!$F$8 &amp; Master!$F$6 &amp; "'!B" &amp; ROW(B920)))</f>
        <v>#VALUE!</v>
      </c>
      <c r="J920" s="9" t="e">
        <f t="shared" ca="1" si="98"/>
        <v>#VALUE!</v>
      </c>
      <c r="K920" s="7" t="e">
        <f t="shared" ca="1" si="99"/>
        <v>#VALUE!</v>
      </c>
      <c r="L920" s="7" t="e">
        <f t="shared" ca="1" si="100"/>
        <v>#VALUE!</v>
      </c>
      <c r="M920" s="7" t="e">
        <f t="shared" ca="1" si="101"/>
        <v>#VALUE!</v>
      </c>
      <c r="N920" s="7" t="e">
        <f t="shared" ca="1" si="102"/>
        <v>#VALUE!</v>
      </c>
      <c r="O920" s="7" t="e">
        <f t="shared" ca="1" si="103"/>
        <v>#VALUE!</v>
      </c>
      <c r="P920" s="7" t="e">
        <f t="shared" ca="1" si="104"/>
        <v>#VALUE!</v>
      </c>
    </row>
    <row r="921" spans="1:16" x14ac:dyDescent="0.25">
      <c r="A921" s="19" t="str">
        <f ca="1">IF(OR(INDIRECT("'" &amp; Master!$F$8 &amp; Master!$F$6 &amp; "'!A" &amp; ROW(A921))="", INDIRECT("'" &amp; Master!$F$8 &amp; Master!$F$6 &amp; "'!A" &amp; ROW(A921))=0), "", INDIRECT("'" &amp; Master!$F$8 &amp; Master!$F$6 &amp; "'!A" &amp; ROW(A921)))</f>
        <v/>
      </c>
      <c r="B921" s="4" t="e">
        <f ca="1">SplineInterp(INDIRECT("A" &amp; ROW()),INDIRECT("'" &amp;Master!$F$10&amp; "'!$A$2:$A$50"),INDIRECT("'" &amp;Master!$F$10&amp; "'!$B$2:$B$50"))</f>
        <v>#VALUE!</v>
      </c>
      <c r="C921" s="4" t="e">
        <f ca="1">SplineInterp(A921,INDIRECT("'" &amp;Master!$F$10&amp; "'!$A$2:$A$50"),INDIRECT("'" &amp;Master!$F$10&amp; "'!$C$2:$C$50"))</f>
        <v>#VALUE!</v>
      </c>
      <c r="D921" s="4" t="e">
        <f ca="1">SplineInterp(A921,INDIRECT("'" &amp;Master!$F$10&amp; "'!$A$2:$A$50"),INDIRECT("'" &amp;Master!$F$10&amp; "'!$D$2:$D$50"))</f>
        <v>#VALUE!</v>
      </c>
      <c r="E921" s="4" t="e">
        <f ca="1">SplineInterp(A921,INDIRECT("'" &amp;Master!$F$10&amp; "'!$A$2:$A$50"),INDIRECT("'" &amp;Master!$F$10&amp; "'!$E$2:$E$50"))</f>
        <v>#VALUE!</v>
      </c>
      <c r="F921" s="4" t="e">
        <f ca="1">SplineInterp(A921,INDIRECT("'" &amp;Master!$F$10&amp; "'!$A$2:$A$50"),INDIRECT("'" &amp;Master!$F$10&amp; "'!$F$2:$F$50"))</f>
        <v>#VALUE!</v>
      </c>
      <c r="G921" s="4" t="e">
        <f ca="1">SplineInterp(A921,INDIRECT("'" &amp;Master!$F$10&amp; "'!$A$2:$A$50"),INDIRECT("'" &amp;Master!$F$10&amp; "'!$G$2:$G$50"))</f>
        <v>#VALUE!</v>
      </c>
      <c r="H921" s="4" t="e">
        <f ca="1">SplineInterp(A921,INDIRECT("'" &amp;Master!$F$10&amp; "'!$A$2:$A$50"),INDIRECT("'" &amp;Master!$F$10&amp; "'!$H$2:$H$50"))</f>
        <v>#VALUE!</v>
      </c>
      <c r="I921" s="4" t="e">
        <f ca="1">IF(OR(INDIRECT("'" &amp; Master!$F$8 &amp; Master!$F$6 &amp; "'!B" &amp; ROW(B921))="", INDIRECT("'" &amp; Master!$F$8 &amp; Master!$F$6 &amp; "'!B" &amp; ROW(B921))=0), "", INDIRECT("'" &amp; Master!$F$8 &amp; Master!$F$6 &amp; "'!B" &amp; ROW(B921)))</f>
        <v>#VALUE!</v>
      </c>
      <c r="J921" s="9" t="e">
        <f t="shared" ca="1" si="98"/>
        <v>#VALUE!</v>
      </c>
      <c r="K921" s="7" t="e">
        <f t="shared" ca="1" si="99"/>
        <v>#VALUE!</v>
      </c>
      <c r="L921" s="7" t="e">
        <f t="shared" ca="1" si="100"/>
        <v>#VALUE!</v>
      </c>
      <c r="M921" s="7" t="e">
        <f t="shared" ca="1" si="101"/>
        <v>#VALUE!</v>
      </c>
      <c r="N921" s="7" t="e">
        <f t="shared" ca="1" si="102"/>
        <v>#VALUE!</v>
      </c>
      <c r="O921" s="7" t="e">
        <f t="shared" ca="1" si="103"/>
        <v>#VALUE!</v>
      </c>
      <c r="P921" s="7" t="e">
        <f t="shared" ca="1" si="104"/>
        <v>#VALUE!</v>
      </c>
    </row>
    <row r="922" spans="1:16" x14ac:dyDescent="0.25">
      <c r="A922" s="19" t="str">
        <f ca="1">IF(OR(INDIRECT("'" &amp; Master!$F$8 &amp; Master!$F$6 &amp; "'!A" &amp; ROW(A922))="", INDIRECT("'" &amp; Master!$F$8 &amp; Master!$F$6 &amp; "'!A" &amp; ROW(A922))=0), "", INDIRECT("'" &amp; Master!$F$8 &amp; Master!$F$6 &amp; "'!A" &amp; ROW(A922)))</f>
        <v/>
      </c>
      <c r="B922" s="4" t="e">
        <f ca="1">SplineInterp(INDIRECT("A" &amp; ROW()),INDIRECT("'" &amp;Master!$F$10&amp; "'!$A$2:$A$50"),INDIRECT("'" &amp;Master!$F$10&amp; "'!$B$2:$B$50"))</f>
        <v>#VALUE!</v>
      </c>
      <c r="C922" s="4" t="e">
        <f ca="1">SplineInterp(A922,INDIRECT("'" &amp;Master!$F$10&amp; "'!$A$2:$A$50"),INDIRECT("'" &amp;Master!$F$10&amp; "'!$C$2:$C$50"))</f>
        <v>#VALUE!</v>
      </c>
      <c r="D922" s="4" t="e">
        <f ca="1">SplineInterp(A922,INDIRECT("'" &amp;Master!$F$10&amp; "'!$A$2:$A$50"),INDIRECT("'" &amp;Master!$F$10&amp; "'!$D$2:$D$50"))</f>
        <v>#VALUE!</v>
      </c>
      <c r="E922" s="4" t="e">
        <f ca="1">SplineInterp(A922,INDIRECT("'" &amp;Master!$F$10&amp; "'!$A$2:$A$50"),INDIRECT("'" &amp;Master!$F$10&amp; "'!$E$2:$E$50"))</f>
        <v>#VALUE!</v>
      </c>
      <c r="F922" s="4" t="e">
        <f ca="1">SplineInterp(A922,INDIRECT("'" &amp;Master!$F$10&amp; "'!$A$2:$A$50"),INDIRECT("'" &amp;Master!$F$10&amp; "'!$F$2:$F$50"))</f>
        <v>#VALUE!</v>
      </c>
      <c r="G922" s="4" t="e">
        <f ca="1">SplineInterp(A922,INDIRECT("'" &amp;Master!$F$10&amp; "'!$A$2:$A$50"),INDIRECT("'" &amp;Master!$F$10&amp; "'!$G$2:$G$50"))</f>
        <v>#VALUE!</v>
      </c>
      <c r="H922" s="4" t="e">
        <f ca="1">SplineInterp(A922,INDIRECT("'" &amp;Master!$F$10&amp; "'!$A$2:$A$50"),INDIRECT("'" &amp;Master!$F$10&amp; "'!$H$2:$H$50"))</f>
        <v>#VALUE!</v>
      </c>
      <c r="I922" s="4" t="e">
        <f ca="1">IF(OR(INDIRECT("'" &amp; Master!$F$8 &amp; Master!$F$6 &amp; "'!B" &amp; ROW(B922))="", INDIRECT("'" &amp; Master!$F$8 &amp; Master!$F$6 &amp; "'!B" &amp; ROW(B922))=0), "", INDIRECT("'" &amp; Master!$F$8 &amp; Master!$F$6 &amp; "'!B" &amp; ROW(B922)))</f>
        <v>#VALUE!</v>
      </c>
      <c r="J922" s="9" t="e">
        <f t="shared" ca="1" si="98"/>
        <v>#VALUE!</v>
      </c>
      <c r="K922" s="7" t="e">
        <f t="shared" ca="1" si="99"/>
        <v>#VALUE!</v>
      </c>
      <c r="L922" s="7" t="e">
        <f t="shared" ca="1" si="100"/>
        <v>#VALUE!</v>
      </c>
      <c r="M922" s="7" t="e">
        <f t="shared" ca="1" si="101"/>
        <v>#VALUE!</v>
      </c>
      <c r="N922" s="7" t="e">
        <f t="shared" ca="1" si="102"/>
        <v>#VALUE!</v>
      </c>
      <c r="O922" s="7" t="e">
        <f t="shared" ca="1" si="103"/>
        <v>#VALUE!</v>
      </c>
      <c r="P922" s="7" t="e">
        <f t="shared" ca="1" si="104"/>
        <v>#VALUE!</v>
      </c>
    </row>
    <row r="923" spans="1:16" x14ac:dyDescent="0.25">
      <c r="A923" s="19" t="str">
        <f ca="1">IF(OR(INDIRECT("'" &amp; Master!$F$8 &amp; Master!$F$6 &amp; "'!A" &amp; ROW(A923))="", INDIRECT("'" &amp; Master!$F$8 &amp; Master!$F$6 &amp; "'!A" &amp; ROW(A923))=0), "", INDIRECT("'" &amp; Master!$F$8 &amp; Master!$F$6 &amp; "'!A" &amp; ROW(A923)))</f>
        <v/>
      </c>
      <c r="B923" s="4" t="e">
        <f ca="1">SplineInterp(INDIRECT("A" &amp; ROW()),INDIRECT("'" &amp;Master!$F$10&amp; "'!$A$2:$A$50"),INDIRECT("'" &amp;Master!$F$10&amp; "'!$B$2:$B$50"))</f>
        <v>#VALUE!</v>
      </c>
      <c r="C923" s="4" t="e">
        <f ca="1">SplineInterp(A923,INDIRECT("'" &amp;Master!$F$10&amp; "'!$A$2:$A$50"),INDIRECT("'" &amp;Master!$F$10&amp; "'!$C$2:$C$50"))</f>
        <v>#VALUE!</v>
      </c>
      <c r="D923" s="4" t="e">
        <f ca="1">SplineInterp(A923,INDIRECT("'" &amp;Master!$F$10&amp; "'!$A$2:$A$50"),INDIRECT("'" &amp;Master!$F$10&amp; "'!$D$2:$D$50"))</f>
        <v>#VALUE!</v>
      </c>
      <c r="E923" s="4" t="e">
        <f ca="1">SplineInterp(A923,INDIRECT("'" &amp;Master!$F$10&amp; "'!$A$2:$A$50"),INDIRECT("'" &amp;Master!$F$10&amp; "'!$E$2:$E$50"))</f>
        <v>#VALUE!</v>
      </c>
      <c r="F923" s="4" t="e">
        <f ca="1">SplineInterp(A923,INDIRECT("'" &amp;Master!$F$10&amp; "'!$A$2:$A$50"),INDIRECT("'" &amp;Master!$F$10&amp; "'!$F$2:$F$50"))</f>
        <v>#VALUE!</v>
      </c>
      <c r="G923" s="4" t="e">
        <f ca="1">SplineInterp(A923,INDIRECT("'" &amp;Master!$F$10&amp; "'!$A$2:$A$50"),INDIRECT("'" &amp;Master!$F$10&amp; "'!$G$2:$G$50"))</f>
        <v>#VALUE!</v>
      </c>
      <c r="H923" s="4" t="e">
        <f ca="1">SplineInterp(A923,INDIRECT("'" &amp;Master!$F$10&amp; "'!$A$2:$A$50"),INDIRECT("'" &amp;Master!$F$10&amp; "'!$H$2:$H$50"))</f>
        <v>#VALUE!</v>
      </c>
      <c r="I923" s="4" t="e">
        <f ca="1">IF(OR(INDIRECT("'" &amp; Master!$F$8 &amp; Master!$F$6 &amp; "'!B" &amp; ROW(B923))="", INDIRECT("'" &amp; Master!$F$8 &amp; Master!$F$6 &amp; "'!B" &amp; ROW(B923))=0), "", INDIRECT("'" &amp; Master!$F$8 &amp; Master!$F$6 &amp; "'!B" &amp; ROW(B923)))</f>
        <v>#VALUE!</v>
      </c>
      <c r="J923" s="9" t="e">
        <f t="shared" ca="1" si="98"/>
        <v>#VALUE!</v>
      </c>
      <c r="K923" s="7" t="e">
        <f t="shared" ca="1" si="99"/>
        <v>#VALUE!</v>
      </c>
      <c r="L923" s="7" t="e">
        <f t="shared" ca="1" si="100"/>
        <v>#VALUE!</v>
      </c>
      <c r="M923" s="7" t="e">
        <f t="shared" ca="1" si="101"/>
        <v>#VALUE!</v>
      </c>
      <c r="N923" s="7" t="e">
        <f t="shared" ca="1" si="102"/>
        <v>#VALUE!</v>
      </c>
      <c r="O923" s="7" t="e">
        <f t="shared" ca="1" si="103"/>
        <v>#VALUE!</v>
      </c>
      <c r="P923" s="7" t="e">
        <f t="shared" ca="1" si="104"/>
        <v>#VALUE!</v>
      </c>
    </row>
    <row r="924" spans="1:16" x14ac:dyDescent="0.25">
      <c r="A924" s="19" t="str">
        <f ca="1">IF(OR(INDIRECT("'" &amp; Master!$F$8 &amp; Master!$F$6 &amp; "'!A" &amp; ROW(A924))="", INDIRECT("'" &amp; Master!$F$8 &amp; Master!$F$6 &amp; "'!A" &amp; ROW(A924))=0), "", INDIRECT("'" &amp; Master!$F$8 &amp; Master!$F$6 &amp; "'!A" &amp; ROW(A924)))</f>
        <v/>
      </c>
      <c r="B924" s="4" t="e">
        <f ca="1">SplineInterp(INDIRECT("A" &amp; ROW()),INDIRECT("'" &amp;Master!$F$10&amp; "'!$A$2:$A$50"),INDIRECT("'" &amp;Master!$F$10&amp; "'!$B$2:$B$50"))</f>
        <v>#VALUE!</v>
      </c>
      <c r="C924" s="4" t="e">
        <f ca="1">SplineInterp(A924,INDIRECT("'" &amp;Master!$F$10&amp; "'!$A$2:$A$50"),INDIRECT("'" &amp;Master!$F$10&amp; "'!$C$2:$C$50"))</f>
        <v>#VALUE!</v>
      </c>
      <c r="D924" s="4" t="e">
        <f ca="1">SplineInterp(A924,INDIRECT("'" &amp;Master!$F$10&amp; "'!$A$2:$A$50"),INDIRECT("'" &amp;Master!$F$10&amp; "'!$D$2:$D$50"))</f>
        <v>#VALUE!</v>
      </c>
      <c r="E924" s="4" t="e">
        <f ca="1">SplineInterp(A924,INDIRECT("'" &amp;Master!$F$10&amp; "'!$A$2:$A$50"),INDIRECT("'" &amp;Master!$F$10&amp; "'!$E$2:$E$50"))</f>
        <v>#VALUE!</v>
      </c>
      <c r="F924" s="4" t="e">
        <f ca="1">SplineInterp(A924,INDIRECT("'" &amp;Master!$F$10&amp; "'!$A$2:$A$50"),INDIRECT("'" &amp;Master!$F$10&amp; "'!$F$2:$F$50"))</f>
        <v>#VALUE!</v>
      </c>
      <c r="G924" s="4" t="e">
        <f ca="1">SplineInterp(A924,INDIRECT("'" &amp;Master!$F$10&amp; "'!$A$2:$A$50"),INDIRECT("'" &amp;Master!$F$10&amp; "'!$G$2:$G$50"))</f>
        <v>#VALUE!</v>
      </c>
      <c r="H924" s="4" t="e">
        <f ca="1">SplineInterp(A924,INDIRECT("'" &amp;Master!$F$10&amp; "'!$A$2:$A$50"),INDIRECT("'" &amp;Master!$F$10&amp; "'!$H$2:$H$50"))</f>
        <v>#VALUE!</v>
      </c>
      <c r="I924" s="4" t="e">
        <f ca="1">IF(OR(INDIRECT("'" &amp; Master!$F$8 &amp; Master!$F$6 &amp; "'!B" &amp; ROW(B924))="", INDIRECT("'" &amp; Master!$F$8 &amp; Master!$F$6 &amp; "'!B" &amp; ROW(B924))=0), "", INDIRECT("'" &amp; Master!$F$8 &amp; Master!$F$6 &amp; "'!B" &amp; ROW(B924)))</f>
        <v>#VALUE!</v>
      </c>
      <c r="J924" s="9" t="e">
        <f t="shared" ca="1" si="98"/>
        <v>#VALUE!</v>
      </c>
      <c r="K924" s="7" t="e">
        <f t="shared" ca="1" si="99"/>
        <v>#VALUE!</v>
      </c>
      <c r="L924" s="7" t="e">
        <f t="shared" ca="1" si="100"/>
        <v>#VALUE!</v>
      </c>
      <c r="M924" s="7" t="e">
        <f t="shared" ca="1" si="101"/>
        <v>#VALUE!</v>
      </c>
      <c r="N924" s="7" t="e">
        <f t="shared" ca="1" si="102"/>
        <v>#VALUE!</v>
      </c>
      <c r="O924" s="7" t="e">
        <f t="shared" ca="1" si="103"/>
        <v>#VALUE!</v>
      </c>
      <c r="P924" s="7" t="e">
        <f t="shared" ca="1" si="104"/>
        <v>#VALUE!</v>
      </c>
    </row>
    <row r="925" spans="1:16" x14ac:dyDescent="0.25">
      <c r="A925" s="19" t="str">
        <f ca="1">IF(OR(INDIRECT("'" &amp; Master!$F$8 &amp; Master!$F$6 &amp; "'!A" &amp; ROW(A925))="", INDIRECT("'" &amp; Master!$F$8 &amp; Master!$F$6 &amp; "'!A" &amp; ROW(A925))=0), "", INDIRECT("'" &amp; Master!$F$8 &amp; Master!$F$6 &amp; "'!A" &amp; ROW(A925)))</f>
        <v/>
      </c>
      <c r="B925" s="4" t="e">
        <f ca="1">SplineInterp(INDIRECT("A" &amp; ROW()),INDIRECT("'" &amp;Master!$F$10&amp; "'!$A$2:$A$50"),INDIRECT("'" &amp;Master!$F$10&amp; "'!$B$2:$B$50"))</f>
        <v>#VALUE!</v>
      </c>
      <c r="C925" s="4" t="e">
        <f ca="1">SplineInterp(A925,INDIRECT("'" &amp;Master!$F$10&amp; "'!$A$2:$A$50"),INDIRECT("'" &amp;Master!$F$10&amp; "'!$C$2:$C$50"))</f>
        <v>#VALUE!</v>
      </c>
      <c r="D925" s="4" t="e">
        <f ca="1">SplineInterp(A925,INDIRECT("'" &amp;Master!$F$10&amp; "'!$A$2:$A$50"),INDIRECT("'" &amp;Master!$F$10&amp; "'!$D$2:$D$50"))</f>
        <v>#VALUE!</v>
      </c>
      <c r="E925" s="4" t="e">
        <f ca="1">SplineInterp(A925,INDIRECT("'" &amp;Master!$F$10&amp; "'!$A$2:$A$50"),INDIRECT("'" &amp;Master!$F$10&amp; "'!$E$2:$E$50"))</f>
        <v>#VALUE!</v>
      </c>
      <c r="F925" s="4" t="e">
        <f ca="1">SplineInterp(A925,INDIRECT("'" &amp;Master!$F$10&amp; "'!$A$2:$A$50"),INDIRECT("'" &amp;Master!$F$10&amp; "'!$F$2:$F$50"))</f>
        <v>#VALUE!</v>
      </c>
      <c r="G925" s="4" t="e">
        <f ca="1">SplineInterp(A925,INDIRECT("'" &amp;Master!$F$10&amp; "'!$A$2:$A$50"),INDIRECT("'" &amp;Master!$F$10&amp; "'!$G$2:$G$50"))</f>
        <v>#VALUE!</v>
      </c>
      <c r="H925" s="4" t="e">
        <f ca="1">SplineInterp(A925,INDIRECT("'" &amp;Master!$F$10&amp; "'!$A$2:$A$50"),INDIRECT("'" &amp;Master!$F$10&amp; "'!$H$2:$H$50"))</f>
        <v>#VALUE!</v>
      </c>
      <c r="I925" s="4" t="e">
        <f ca="1">IF(OR(INDIRECT("'" &amp; Master!$F$8 &amp; Master!$F$6 &amp; "'!B" &amp; ROW(B925))="", INDIRECT("'" &amp; Master!$F$8 &amp; Master!$F$6 &amp; "'!B" &amp; ROW(B925))=0), "", INDIRECT("'" &amp; Master!$F$8 &amp; Master!$F$6 &amp; "'!B" &amp; ROW(B925)))</f>
        <v>#VALUE!</v>
      </c>
      <c r="J925" s="9" t="e">
        <f t="shared" ca="1" si="98"/>
        <v>#VALUE!</v>
      </c>
      <c r="K925" s="7" t="e">
        <f t="shared" ca="1" si="99"/>
        <v>#VALUE!</v>
      </c>
      <c r="L925" s="7" t="e">
        <f t="shared" ca="1" si="100"/>
        <v>#VALUE!</v>
      </c>
      <c r="M925" s="7" t="e">
        <f t="shared" ca="1" si="101"/>
        <v>#VALUE!</v>
      </c>
      <c r="N925" s="7" t="e">
        <f t="shared" ca="1" si="102"/>
        <v>#VALUE!</v>
      </c>
      <c r="O925" s="7" t="e">
        <f t="shared" ca="1" si="103"/>
        <v>#VALUE!</v>
      </c>
      <c r="P925" s="7" t="e">
        <f t="shared" ca="1" si="104"/>
        <v>#VALUE!</v>
      </c>
    </row>
    <row r="926" spans="1:16" x14ac:dyDescent="0.25">
      <c r="A926" s="19" t="str">
        <f ca="1">IF(OR(INDIRECT("'" &amp; Master!$F$8 &amp; Master!$F$6 &amp; "'!A" &amp; ROW(A926))="", INDIRECT("'" &amp; Master!$F$8 &amp; Master!$F$6 &amp; "'!A" &amp; ROW(A926))=0), "", INDIRECT("'" &amp; Master!$F$8 &amp; Master!$F$6 &amp; "'!A" &amp; ROW(A926)))</f>
        <v/>
      </c>
      <c r="B926" s="4" t="e">
        <f ca="1">SplineInterp(INDIRECT("A" &amp; ROW()),INDIRECT("'" &amp;Master!$F$10&amp; "'!$A$2:$A$50"),INDIRECT("'" &amp;Master!$F$10&amp; "'!$B$2:$B$50"))</f>
        <v>#VALUE!</v>
      </c>
      <c r="C926" s="4" t="e">
        <f ca="1">SplineInterp(A926,INDIRECT("'" &amp;Master!$F$10&amp; "'!$A$2:$A$50"),INDIRECT("'" &amp;Master!$F$10&amp; "'!$C$2:$C$50"))</f>
        <v>#VALUE!</v>
      </c>
      <c r="D926" s="4" t="e">
        <f ca="1">SplineInterp(A926,INDIRECT("'" &amp;Master!$F$10&amp; "'!$A$2:$A$50"),INDIRECT("'" &amp;Master!$F$10&amp; "'!$D$2:$D$50"))</f>
        <v>#VALUE!</v>
      </c>
      <c r="E926" s="4" t="e">
        <f ca="1">SplineInterp(A926,INDIRECT("'" &amp;Master!$F$10&amp; "'!$A$2:$A$50"),INDIRECT("'" &amp;Master!$F$10&amp; "'!$E$2:$E$50"))</f>
        <v>#VALUE!</v>
      </c>
      <c r="F926" s="4" t="e">
        <f ca="1">SplineInterp(A926,INDIRECT("'" &amp;Master!$F$10&amp; "'!$A$2:$A$50"),INDIRECT("'" &amp;Master!$F$10&amp; "'!$F$2:$F$50"))</f>
        <v>#VALUE!</v>
      </c>
      <c r="G926" s="4" t="e">
        <f ca="1">SplineInterp(A926,INDIRECT("'" &amp;Master!$F$10&amp; "'!$A$2:$A$50"),INDIRECT("'" &amp;Master!$F$10&amp; "'!$G$2:$G$50"))</f>
        <v>#VALUE!</v>
      </c>
      <c r="H926" s="4" t="e">
        <f ca="1">SplineInterp(A926,INDIRECT("'" &amp;Master!$F$10&amp; "'!$A$2:$A$50"),INDIRECT("'" &amp;Master!$F$10&amp; "'!$H$2:$H$50"))</f>
        <v>#VALUE!</v>
      </c>
      <c r="I926" s="4" t="e">
        <f ca="1">IF(OR(INDIRECT("'" &amp; Master!$F$8 &amp; Master!$F$6 &amp; "'!B" &amp; ROW(B926))="", INDIRECT("'" &amp; Master!$F$8 &amp; Master!$F$6 &amp; "'!B" &amp; ROW(B926))=0), "", INDIRECT("'" &amp; Master!$F$8 &amp; Master!$F$6 &amp; "'!B" &amp; ROW(B926)))</f>
        <v>#VALUE!</v>
      </c>
      <c r="J926" s="9" t="e">
        <f t="shared" ca="1" si="98"/>
        <v>#VALUE!</v>
      </c>
      <c r="K926" s="7" t="e">
        <f t="shared" ca="1" si="99"/>
        <v>#VALUE!</v>
      </c>
      <c r="L926" s="7" t="e">
        <f t="shared" ca="1" si="100"/>
        <v>#VALUE!</v>
      </c>
      <c r="M926" s="7" t="e">
        <f t="shared" ca="1" si="101"/>
        <v>#VALUE!</v>
      </c>
      <c r="N926" s="7" t="e">
        <f t="shared" ca="1" si="102"/>
        <v>#VALUE!</v>
      </c>
      <c r="O926" s="7" t="e">
        <f t="shared" ca="1" si="103"/>
        <v>#VALUE!</v>
      </c>
      <c r="P926" s="7" t="e">
        <f t="shared" ca="1" si="104"/>
        <v>#VALUE!</v>
      </c>
    </row>
    <row r="927" spans="1:16" x14ac:dyDescent="0.25">
      <c r="A927" s="19" t="str">
        <f ca="1">IF(OR(INDIRECT("'" &amp; Master!$F$8 &amp; Master!$F$6 &amp; "'!A" &amp; ROW(A927))="", INDIRECT("'" &amp; Master!$F$8 &amp; Master!$F$6 &amp; "'!A" &amp; ROW(A927))=0), "", INDIRECT("'" &amp; Master!$F$8 &amp; Master!$F$6 &amp; "'!A" &amp; ROW(A927)))</f>
        <v/>
      </c>
      <c r="B927" s="4" t="e">
        <f ca="1">SplineInterp(INDIRECT("A" &amp; ROW()),INDIRECT("'" &amp;Master!$F$10&amp; "'!$A$2:$A$50"),INDIRECT("'" &amp;Master!$F$10&amp; "'!$B$2:$B$50"))</f>
        <v>#VALUE!</v>
      </c>
      <c r="C927" s="4" t="e">
        <f ca="1">SplineInterp(A927,INDIRECT("'" &amp;Master!$F$10&amp; "'!$A$2:$A$50"),INDIRECT("'" &amp;Master!$F$10&amp; "'!$C$2:$C$50"))</f>
        <v>#VALUE!</v>
      </c>
      <c r="D927" s="4" t="e">
        <f ca="1">SplineInterp(A927,INDIRECT("'" &amp;Master!$F$10&amp; "'!$A$2:$A$50"),INDIRECT("'" &amp;Master!$F$10&amp; "'!$D$2:$D$50"))</f>
        <v>#VALUE!</v>
      </c>
      <c r="E927" s="4" t="e">
        <f ca="1">SplineInterp(A927,INDIRECT("'" &amp;Master!$F$10&amp; "'!$A$2:$A$50"),INDIRECT("'" &amp;Master!$F$10&amp; "'!$E$2:$E$50"))</f>
        <v>#VALUE!</v>
      </c>
      <c r="F927" s="4" t="e">
        <f ca="1">SplineInterp(A927,INDIRECT("'" &amp;Master!$F$10&amp; "'!$A$2:$A$50"),INDIRECT("'" &amp;Master!$F$10&amp; "'!$F$2:$F$50"))</f>
        <v>#VALUE!</v>
      </c>
      <c r="G927" s="4" t="e">
        <f ca="1">SplineInterp(A927,INDIRECT("'" &amp;Master!$F$10&amp; "'!$A$2:$A$50"),INDIRECT("'" &amp;Master!$F$10&amp; "'!$G$2:$G$50"))</f>
        <v>#VALUE!</v>
      </c>
      <c r="H927" s="4" t="e">
        <f ca="1">SplineInterp(A927,INDIRECT("'" &amp;Master!$F$10&amp; "'!$A$2:$A$50"),INDIRECT("'" &amp;Master!$F$10&amp; "'!$H$2:$H$50"))</f>
        <v>#VALUE!</v>
      </c>
      <c r="I927" s="4" t="e">
        <f ca="1">IF(OR(INDIRECT("'" &amp; Master!$F$8 &amp; Master!$F$6 &amp; "'!B" &amp; ROW(B927))="", INDIRECT("'" &amp; Master!$F$8 &amp; Master!$F$6 &amp; "'!B" &amp; ROW(B927))=0), "", INDIRECT("'" &amp; Master!$F$8 &amp; Master!$F$6 &amp; "'!B" &amp; ROW(B927)))</f>
        <v>#VALUE!</v>
      </c>
      <c r="J927" s="9" t="e">
        <f t="shared" ca="1" si="98"/>
        <v>#VALUE!</v>
      </c>
      <c r="K927" s="7" t="e">
        <f t="shared" ca="1" si="99"/>
        <v>#VALUE!</v>
      </c>
      <c r="L927" s="7" t="e">
        <f t="shared" ca="1" si="100"/>
        <v>#VALUE!</v>
      </c>
      <c r="M927" s="7" t="e">
        <f t="shared" ca="1" si="101"/>
        <v>#VALUE!</v>
      </c>
      <c r="N927" s="7" t="e">
        <f t="shared" ca="1" si="102"/>
        <v>#VALUE!</v>
      </c>
      <c r="O927" s="7" t="e">
        <f t="shared" ca="1" si="103"/>
        <v>#VALUE!</v>
      </c>
      <c r="P927" s="7" t="e">
        <f t="shared" ca="1" si="104"/>
        <v>#VALUE!</v>
      </c>
    </row>
    <row r="928" spans="1:16" x14ac:dyDescent="0.25">
      <c r="A928" s="19" t="str">
        <f ca="1">IF(OR(INDIRECT("'" &amp; Master!$F$8 &amp; Master!$F$6 &amp; "'!A" &amp; ROW(A928))="", INDIRECT("'" &amp; Master!$F$8 &amp; Master!$F$6 &amp; "'!A" &amp; ROW(A928))=0), "", INDIRECT("'" &amp; Master!$F$8 &amp; Master!$F$6 &amp; "'!A" &amp; ROW(A928)))</f>
        <v/>
      </c>
      <c r="B928" s="4" t="e">
        <f ca="1">SplineInterp(INDIRECT("A" &amp; ROW()),INDIRECT("'" &amp;Master!$F$10&amp; "'!$A$2:$A$50"),INDIRECT("'" &amp;Master!$F$10&amp; "'!$B$2:$B$50"))</f>
        <v>#VALUE!</v>
      </c>
      <c r="C928" s="4" t="e">
        <f ca="1">SplineInterp(A928,INDIRECT("'" &amp;Master!$F$10&amp; "'!$A$2:$A$50"),INDIRECT("'" &amp;Master!$F$10&amp; "'!$C$2:$C$50"))</f>
        <v>#VALUE!</v>
      </c>
      <c r="D928" s="4" t="e">
        <f ca="1">SplineInterp(A928,INDIRECT("'" &amp;Master!$F$10&amp; "'!$A$2:$A$50"),INDIRECT("'" &amp;Master!$F$10&amp; "'!$D$2:$D$50"))</f>
        <v>#VALUE!</v>
      </c>
      <c r="E928" s="4" t="e">
        <f ca="1">SplineInterp(A928,INDIRECT("'" &amp;Master!$F$10&amp; "'!$A$2:$A$50"),INDIRECT("'" &amp;Master!$F$10&amp; "'!$E$2:$E$50"))</f>
        <v>#VALUE!</v>
      </c>
      <c r="F928" s="4" t="e">
        <f ca="1">SplineInterp(A928,INDIRECT("'" &amp;Master!$F$10&amp; "'!$A$2:$A$50"),INDIRECT("'" &amp;Master!$F$10&amp; "'!$F$2:$F$50"))</f>
        <v>#VALUE!</v>
      </c>
      <c r="G928" s="4" t="e">
        <f ca="1">SplineInterp(A928,INDIRECT("'" &amp;Master!$F$10&amp; "'!$A$2:$A$50"),INDIRECT("'" &amp;Master!$F$10&amp; "'!$G$2:$G$50"))</f>
        <v>#VALUE!</v>
      </c>
      <c r="H928" s="4" t="e">
        <f ca="1">SplineInterp(A928,INDIRECT("'" &amp;Master!$F$10&amp; "'!$A$2:$A$50"),INDIRECT("'" &amp;Master!$F$10&amp; "'!$H$2:$H$50"))</f>
        <v>#VALUE!</v>
      </c>
      <c r="I928" s="4" t="e">
        <f ca="1">IF(OR(INDIRECT("'" &amp; Master!$F$8 &amp; Master!$F$6 &amp; "'!B" &amp; ROW(B928))="", INDIRECT("'" &amp; Master!$F$8 &amp; Master!$F$6 &amp; "'!B" &amp; ROW(B928))=0), "", INDIRECT("'" &amp; Master!$F$8 &amp; Master!$F$6 &amp; "'!B" &amp; ROW(B928)))</f>
        <v>#VALUE!</v>
      </c>
      <c r="J928" s="9" t="e">
        <f t="shared" ca="1" si="98"/>
        <v>#VALUE!</v>
      </c>
      <c r="K928" s="7" t="e">
        <f t="shared" ca="1" si="99"/>
        <v>#VALUE!</v>
      </c>
      <c r="L928" s="7" t="e">
        <f t="shared" ca="1" si="100"/>
        <v>#VALUE!</v>
      </c>
      <c r="M928" s="7" t="e">
        <f t="shared" ca="1" si="101"/>
        <v>#VALUE!</v>
      </c>
      <c r="N928" s="7" t="e">
        <f t="shared" ca="1" si="102"/>
        <v>#VALUE!</v>
      </c>
      <c r="O928" s="7" t="e">
        <f t="shared" ca="1" si="103"/>
        <v>#VALUE!</v>
      </c>
      <c r="P928" s="7" t="e">
        <f t="shared" ca="1" si="104"/>
        <v>#VALUE!</v>
      </c>
    </row>
    <row r="929" spans="1:16" x14ac:dyDescent="0.25">
      <c r="A929" s="19" t="str">
        <f ca="1">IF(OR(INDIRECT("'" &amp; Master!$F$8 &amp; Master!$F$6 &amp; "'!A" &amp; ROW(A929))="", INDIRECT("'" &amp; Master!$F$8 &amp; Master!$F$6 &amp; "'!A" &amp; ROW(A929))=0), "", INDIRECT("'" &amp; Master!$F$8 &amp; Master!$F$6 &amp; "'!A" &amp; ROW(A929)))</f>
        <v/>
      </c>
      <c r="B929" s="4" t="e">
        <f ca="1">SplineInterp(INDIRECT("A" &amp; ROW()),INDIRECT("'" &amp;Master!$F$10&amp; "'!$A$2:$A$50"),INDIRECT("'" &amp;Master!$F$10&amp; "'!$B$2:$B$50"))</f>
        <v>#VALUE!</v>
      </c>
      <c r="C929" s="4" t="e">
        <f ca="1">SplineInterp(A929,INDIRECT("'" &amp;Master!$F$10&amp; "'!$A$2:$A$50"),INDIRECT("'" &amp;Master!$F$10&amp; "'!$C$2:$C$50"))</f>
        <v>#VALUE!</v>
      </c>
      <c r="D929" s="4" t="e">
        <f ca="1">SplineInterp(A929,INDIRECT("'" &amp;Master!$F$10&amp; "'!$A$2:$A$50"),INDIRECT("'" &amp;Master!$F$10&amp; "'!$D$2:$D$50"))</f>
        <v>#VALUE!</v>
      </c>
      <c r="E929" s="4" t="e">
        <f ca="1">SplineInterp(A929,INDIRECT("'" &amp;Master!$F$10&amp; "'!$A$2:$A$50"),INDIRECT("'" &amp;Master!$F$10&amp; "'!$E$2:$E$50"))</f>
        <v>#VALUE!</v>
      </c>
      <c r="F929" s="4" t="e">
        <f ca="1">SplineInterp(A929,INDIRECT("'" &amp;Master!$F$10&amp; "'!$A$2:$A$50"),INDIRECT("'" &amp;Master!$F$10&amp; "'!$F$2:$F$50"))</f>
        <v>#VALUE!</v>
      </c>
      <c r="G929" s="4" t="e">
        <f ca="1">SplineInterp(A929,INDIRECT("'" &amp;Master!$F$10&amp; "'!$A$2:$A$50"),INDIRECT("'" &amp;Master!$F$10&amp; "'!$G$2:$G$50"))</f>
        <v>#VALUE!</v>
      </c>
      <c r="H929" s="4" t="e">
        <f ca="1">SplineInterp(A929,INDIRECT("'" &amp;Master!$F$10&amp; "'!$A$2:$A$50"),INDIRECT("'" &amp;Master!$F$10&amp; "'!$H$2:$H$50"))</f>
        <v>#VALUE!</v>
      </c>
      <c r="I929" s="4" t="e">
        <f ca="1">IF(OR(INDIRECT("'" &amp; Master!$F$8 &amp; Master!$F$6 &amp; "'!B" &amp; ROW(B929))="", INDIRECT("'" &amp; Master!$F$8 &amp; Master!$F$6 &amp; "'!B" &amp; ROW(B929))=0), "", INDIRECT("'" &amp; Master!$F$8 &amp; Master!$F$6 &amp; "'!B" &amp; ROW(B929)))</f>
        <v>#VALUE!</v>
      </c>
      <c r="J929" s="9" t="e">
        <f t="shared" ca="1" si="98"/>
        <v>#VALUE!</v>
      </c>
      <c r="K929" s="7" t="e">
        <f t="shared" ca="1" si="99"/>
        <v>#VALUE!</v>
      </c>
      <c r="L929" s="7" t="e">
        <f t="shared" ca="1" si="100"/>
        <v>#VALUE!</v>
      </c>
      <c r="M929" s="7" t="e">
        <f t="shared" ca="1" si="101"/>
        <v>#VALUE!</v>
      </c>
      <c r="N929" s="7" t="e">
        <f t="shared" ca="1" si="102"/>
        <v>#VALUE!</v>
      </c>
      <c r="O929" s="7" t="e">
        <f t="shared" ca="1" si="103"/>
        <v>#VALUE!</v>
      </c>
      <c r="P929" s="7" t="e">
        <f t="shared" ca="1" si="104"/>
        <v>#VALUE!</v>
      </c>
    </row>
    <row r="930" spans="1:16" x14ac:dyDescent="0.25">
      <c r="A930" s="19" t="str">
        <f ca="1">IF(OR(INDIRECT("'" &amp; Master!$F$8 &amp; Master!$F$6 &amp; "'!A" &amp; ROW(A930))="", INDIRECT("'" &amp; Master!$F$8 &amp; Master!$F$6 &amp; "'!A" &amp; ROW(A930))=0), "", INDIRECT("'" &amp; Master!$F$8 &amp; Master!$F$6 &amp; "'!A" &amp; ROW(A930)))</f>
        <v/>
      </c>
      <c r="B930" s="4" t="e">
        <f ca="1">SplineInterp(INDIRECT("A" &amp; ROW()),INDIRECT("'" &amp;Master!$F$10&amp; "'!$A$2:$A$50"),INDIRECT("'" &amp;Master!$F$10&amp; "'!$B$2:$B$50"))</f>
        <v>#VALUE!</v>
      </c>
      <c r="C930" s="4" t="e">
        <f ca="1">SplineInterp(A930,INDIRECT("'" &amp;Master!$F$10&amp; "'!$A$2:$A$50"),INDIRECT("'" &amp;Master!$F$10&amp; "'!$C$2:$C$50"))</f>
        <v>#VALUE!</v>
      </c>
      <c r="D930" s="4" t="e">
        <f ca="1">SplineInterp(A930,INDIRECT("'" &amp;Master!$F$10&amp; "'!$A$2:$A$50"),INDIRECT("'" &amp;Master!$F$10&amp; "'!$D$2:$D$50"))</f>
        <v>#VALUE!</v>
      </c>
      <c r="E930" s="4" t="e">
        <f ca="1">SplineInterp(A930,INDIRECT("'" &amp;Master!$F$10&amp; "'!$A$2:$A$50"),INDIRECT("'" &amp;Master!$F$10&amp; "'!$E$2:$E$50"))</f>
        <v>#VALUE!</v>
      </c>
      <c r="F930" s="4" t="e">
        <f ca="1">SplineInterp(A930,INDIRECT("'" &amp;Master!$F$10&amp; "'!$A$2:$A$50"),INDIRECT("'" &amp;Master!$F$10&amp; "'!$F$2:$F$50"))</f>
        <v>#VALUE!</v>
      </c>
      <c r="G930" s="4" t="e">
        <f ca="1">SplineInterp(A930,INDIRECT("'" &amp;Master!$F$10&amp; "'!$A$2:$A$50"),INDIRECT("'" &amp;Master!$F$10&amp; "'!$G$2:$G$50"))</f>
        <v>#VALUE!</v>
      </c>
      <c r="H930" s="4" t="e">
        <f ca="1">SplineInterp(A930,INDIRECT("'" &amp;Master!$F$10&amp; "'!$A$2:$A$50"),INDIRECT("'" &amp;Master!$F$10&amp; "'!$H$2:$H$50"))</f>
        <v>#VALUE!</v>
      </c>
      <c r="I930" s="4" t="e">
        <f ca="1">IF(OR(INDIRECT("'" &amp; Master!$F$8 &amp; Master!$F$6 &amp; "'!B" &amp; ROW(B930))="", INDIRECT("'" &amp; Master!$F$8 &amp; Master!$F$6 &amp; "'!B" &amp; ROW(B930))=0), "", INDIRECT("'" &amp; Master!$F$8 &amp; Master!$F$6 &amp; "'!B" &amp; ROW(B930)))</f>
        <v>#VALUE!</v>
      </c>
      <c r="J930" s="9" t="e">
        <f t="shared" ca="1" si="98"/>
        <v>#VALUE!</v>
      </c>
      <c r="K930" s="7" t="e">
        <f t="shared" ca="1" si="99"/>
        <v>#VALUE!</v>
      </c>
      <c r="L930" s="7" t="e">
        <f t="shared" ca="1" si="100"/>
        <v>#VALUE!</v>
      </c>
      <c r="M930" s="7" t="e">
        <f t="shared" ca="1" si="101"/>
        <v>#VALUE!</v>
      </c>
      <c r="N930" s="7" t="e">
        <f t="shared" ca="1" si="102"/>
        <v>#VALUE!</v>
      </c>
      <c r="O930" s="7" t="e">
        <f t="shared" ca="1" si="103"/>
        <v>#VALUE!</v>
      </c>
      <c r="P930" s="7" t="e">
        <f t="shared" ca="1" si="104"/>
        <v>#VALUE!</v>
      </c>
    </row>
    <row r="931" spans="1:16" x14ac:dyDescent="0.25">
      <c r="A931" s="19" t="str">
        <f ca="1">IF(OR(INDIRECT("'" &amp; Master!$F$8 &amp; Master!$F$6 &amp; "'!A" &amp; ROW(A931))="", INDIRECT("'" &amp; Master!$F$8 &amp; Master!$F$6 &amp; "'!A" &amp; ROW(A931))=0), "", INDIRECT("'" &amp; Master!$F$8 &amp; Master!$F$6 &amp; "'!A" &amp; ROW(A931)))</f>
        <v/>
      </c>
      <c r="B931" s="4" t="e">
        <f ca="1">SplineInterp(INDIRECT("A" &amp; ROW()),INDIRECT("'" &amp;Master!$F$10&amp; "'!$A$2:$A$50"),INDIRECT("'" &amp;Master!$F$10&amp; "'!$B$2:$B$50"))</f>
        <v>#VALUE!</v>
      </c>
      <c r="C931" s="4" t="e">
        <f ca="1">SplineInterp(A931,INDIRECT("'" &amp;Master!$F$10&amp; "'!$A$2:$A$50"),INDIRECT("'" &amp;Master!$F$10&amp; "'!$C$2:$C$50"))</f>
        <v>#VALUE!</v>
      </c>
      <c r="D931" s="4" t="e">
        <f ca="1">SplineInterp(A931,INDIRECT("'" &amp;Master!$F$10&amp; "'!$A$2:$A$50"),INDIRECT("'" &amp;Master!$F$10&amp; "'!$D$2:$D$50"))</f>
        <v>#VALUE!</v>
      </c>
      <c r="E931" s="4" t="e">
        <f ca="1">SplineInterp(A931,INDIRECT("'" &amp;Master!$F$10&amp; "'!$A$2:$A$50"),INDIRECT("'" &amp;Master!$F$10&amp; "'!$E$2:$E$50"))</f>
        <v>#VALUE!</v>
      </c>
      <c r="F931" s="4" t="e">
        <f ca="1">SplineInterp(A931,INDIRECT("'" &amp;Master!$F$10&amp; "'!$A$2:$A$50"),INDIRECT("'" &amp;Master!$F$10&amp; "'!$F$2:$F$50"))</f>
        <v>#VALUE!</v>
      </c>
      <c r="G931" s="4" t="e">
        <f ca="1">SplineInterp(A931,INDIRECT("'" &amp;Master!$F$10&amp; "'!$A$2:$A$50"),INDIRECT("'" &amp;Master!$F$10&amp; "'!$G$2:$G$50"))</f>
        <v>#VALUE!</v>
      </c>
      <c r="H931" s="4" t="e">
        <f ca="1">SplineInterp(A931,INDIRECT("'" &amp;Master!$F$10&amp; "'!$A$2:$A$50"),INDIRECT("'" &amp;Master!$F$10&amp; "'!$H$2:$H$50"))</f>
        <v>#VALUE!</v>
      </c>
      <c r="I931" s="4" t="e">
        <f ca="1">IF(OR(INDIRECT("'" &amp; Master!$F$8 &amp; Master!$F$6 &amp; "'!B" &amp; ROW(B931))="", INDIRECT("'" &amp; Master!$F$8 &amp; Master!$F$6 &amp; "'!B" &amp; ROW(B931))=0), "", INDIRECT("'" &amp; Master!$F$8 &amp; Master!$F$6 &amp; "'!B" &amp; ROW(B931)))</f>
        <v>#VALUE!</v>
      </c>
      <c r="J931" s="9" t="e">
        <f t="shared" ca="1" si="98"/>
        <v>#VALUE!</v>
      </c>
      <c r="K931" s="7" t="e">
        <f t="shared" ca="1" si="99"/>
        <v>#VALUE!</v>
      </c>
      <c r="L931" s="7" t="e">
        <f t="shared" ca="1" si="100"/>
        <v>#VALUE!</v>
      </c>
      <c r="M931" s="7" t="e">
        <f t="shared" ca="1" si="101"/>
        <v>#VALUE!</v>
      </c>
      <c r="N931" s="7" t="e">
        <f t="shared" ca="1" si="102"/>
        <v>#VALUE!</v>
      </c>
      <c r="O931" s="7" t="e">
        <f t="shared" ca="1" si="103"/>
        <v>#VALUE!</v>
      </c>
      <c r="P931" s="7" t="e">
        <f t="shared" ca="1" si="104"/>
        <v>#VALUE!</v>
      </c>
    </row>
    <row r="932" spans="1:16" x14ac:dyDescent="0.25">
      <c r="A932" s="19" t="str">
        <f ca="1">IF(OR(INDIRECT("'" &amp; Master!$F$8 &amp; Master!$F$6 &amp; "'!A" &amp; ROW(A932))="", INDIRECT("'" &amp; Master!$F$8 &amp; Master!$F$6 &amp; "'!A" &amp; ROW(A932))=0), "", INDIRECT("'" &amp; Master!$F$8 &amp; Master!$F$6 &amp; "'!A" &amp; ROW(A932)))</f>
        <v/>
      </c>
      <c r="B932" s="4" t="e">
        <f ca="1">SplineInterp(INDIRECT("A" &amp; ROW()),INDIRECT("'" &amp;Master!$F$10&amp; "'!$A$2:$A$50"),INDIRECT("'" &amp;Master!$F$10&amp; "'!$B$2:$B$50"))</f>
        <v>#VALUE!</v>
      </c>
      <c r="C932" s="4" t="e">
        <f ca="1">SplineInterp(A932,INDIRECT("'" &amp;Master!$F$10&amp; "'!$A$2:$A$50"),INDIRECT("'" &amp;Master!$F$10&amp; "'!$C$2:$C$50"))</f>
        <v>#VALUE!</v>
      </c>
      <c r="D932" s="4" t="e">
        <f ca="1">SplineInterp(A932,INDIRECT("'" &amp;Master!$F$10&amp; "'!$A$2:$A$50"),INDIRECT("'" &amp;Master!$F$10&amp; "'!$D$2:$D$50"))</f>
        <v>#VALUE!</v>
      </c>
      <c r="E932" s="4" t="e">
        <f ca="1">SplineInterp(A932,INDIRECT("'" &amp;Master!$F$10&amp; "'!$A$2:$A$50"),INDIRECT("'" &amp;Master!$F$10&amp; "'!$E$2:$E$50"))</f>
        <v>#VALUE!</v>
      </c>
      <c r="F932" s="4" t="e">
        <f ca="1">SplineInterp(A932,INDIRECT("'" &amp;Master!$F$10&amp; "'!$A$2:$A$50"),INDIRECT("'" &amp;Master!$F$10&amp; "'!$F$2:$F$50"))</f>
        <v>#VALUE!</v>
      </c>
      <c r="G932" s="4" t="e">
        <f ca="1">SplineInterp(A932,INDIRECT("'" &amp;Master!$F$10&amp; "'!$A$2:$A$50"),INDIRECT("'" &amp;Master!$F$10&amp; "'!$G$2:$G$50"))</f>
        <v>#VALUE!</v>
      </c>
      <c r="H932" s="4" t="e">
        <f ca="1">SplineInterp(A932,INDIRECT("'" &amp;Master!$F$10&amp; "'!$A$2:$A$50"),INDIRECT("'" &amp;Master!$F$10&amp; "'!$H$2:$H$50"))</f>
        <v>#VALUE!</v>
      </c>
      <c r="I932" s="4" t="e">
        <f ca="1">IF(OR(INDIRECT("'" &amp; Master!$F$8 &amp; Master!$F$6 &amp; "'!B" &amp; ROW(B932))="", INDIRECT("'" &amp; Master!$F$8 &amp; Master!$F$6 &amp; "'!B" &amp; ROW(B932))=0), "", INDIRECT("'" &amp; Master!$F$8 &amp; Master!$F$6 &amp; "'!B" &amp; ROW(B932)))</f>
        <v>#VALUE!</v>
      </c>
      <c r="J932" s="9" t="e">
        <f t="shared" ca="1" si="98"/>
        <v>#VALUE!</v>
      </c>
      <c r="K932" s="7" t="e">
        <f t="shared" ca="1" si="99"/>
        <v>#VALUE!</v>
      </c>
      <c r="L932" s="7" t="e">
        <f t="shared" ca="1" si="100"/>
        <v>#VALUE!</v>
      </c>
      <c r="M932" s="7" t="e">
        <f t="shared" ca="1" si="101"/>
        <v>#VALUE!</v>
      </c>
      <c r="N932" s="7" t="e">
        <f t="shared" ca="1" si="102"/>
        <v>#VALUE!</v>
      </c>
      <c r="O932" s="7" t="e">
        <f t="shared" ca="1" si="103"/>
        <v>#VALUE!</v>
      </c>
      <c r="P932" s="7" t="e">
        <f t="shared" ca="1" si="104"/>
        <v>#VALUE!</v>
      </c>
    </row>
    <row r="933" spans="1:16" x14ac:dyDescent="0.25">
      <c r="A933" s="19" t="str">
        <f ca="1">IF(OR(INDIRECT("'" &amp; Master!$F$8 &amp; Master!$F$6 &amp; "'!A" &amp; ROW(A933))="", INDIRECT("'" &amp; Master!$F$8 &amp; Master!$F$6 &amp; "'!A" &amp; ROW(A933))=0), "", INDIRECT("'" &amp; Master!$F$8 &amp; Master!$F$6 &amp; "'!A" &amp; ROW(A933)))</f>
        <v/>
      </c>
      <c r="B933" s="4" t="e">
        <f ca="1">SplineInterp(INDIRECT("A" &amp; ROW()),INDIRECT("'" &amp;Master!$F$10&amp; "'!$A$2:$A$50"),INDIRECT("'" &amp;Master!$F$10&amp; "'!$B$2:$B$50"))</f>
        <v>#VALUE!</v>
      </c>
      <c r="C933" s="4" t="e">
        <f ca="1">SplineInterp(A933,INDIRECT("'" &amp;Master!$F$10&amp; "'!$A$2:$A$50"),INDIRECT("'" &amp;Master!$F$10&amp; "'!$C$2:$C$50"))</f>
        <v>#VALUE!</v>
      </c>
      <c r="D933" s="4" t="e">
        <f ca="1">SplineInterp(A933,INDIRECT("'" &amp;Master!$F$10&amp; "'!$A$2:$A$50"),INDIRECT("'" &amp;Master!$F$10&amp; "'!$D$2:$D$50"))</f>
        <v>#VALUE!</v>
      </c>
      <c r="E933" s="4" t="e">
        <f ca="1">SplineInterp(A933,INDIRECT("'" &amp;Master!$F$10&amp; "'!$A$2:$A$50"),INDIRECT("'" &amp;Master!$F$10&amp; "'!$E$2:$E$50"))</f>
        <v>#VALUE!</v>
      </c>
      <c r="F933" s="4" t="e">
        <f ca="1">SplineInterp(A933,INDIRECT("'" &amp;Master!$F$10&amp; "'!$A$2:$A$50"),INDIRECT("'" &amp;Master!$F$10&amp; "'!$F$2:$F$50"))</f>
        <v>#VALUE!</v>
      </c>
      <c r="G933" s="4" t="e">
        <f ca="1">SplineInterp(A933,INDIRECT("'" &amp;Master!$F$10&amp; "'!$A$2:$A$50"),INDIRECT("'" &amp;Master!$F$10&amp; "'!$G$2:$G$50"))</f>
        <v>#VALUE!</v>
      </c>
      <c r="H933" s="4" t="e">
        <f ca="1">SplineInterp(A933,INDIRECT("'" &amp;Master!$F$10&amp; "'!$A$2:$A$50"),INDIRECT("'" &amp;Master!$F$10&amp; "'!$H$2:$H$50"))</f>
        <v>#VALUE!</v>
      </c>
      <c r="I933" s="4" t="e">
        <f ca="1">IF(OR(INDIRECT("'" &amp; Master!$F$8 &amp; Master!$F$6 &amp; "'!B" &amp; ROW(B933))="", INDIRECT("'" &amp; Master!$F$8 &amp; Master!$F$6 &amp; "'!B" &amp; ROW(B933))=0), "", INDIRECT("'" &amp; Master!$F$8 &amp; Master!$F$6 &amp; "'!B" &amp; ROW(B933)))</f>
        <v>#VALUE!</v>
      </c>
      <c r="J933" s="9" t="e">
        <f t="shared" ca="1" si="98"/>
        <v>#VALUE!</v>
      </c>
      <c r="K933" s="7" t="e">
        <f t="shared" ca="1" si="99"/>
        <v>#VALUE!</v>
      </c>
      <c r="L933" s="7" t="e">
        <f t="shared" ca="1" si="100"/>
        <v>#VALUE!</v>
      </c>
      <c r="M933" s="7" t="e">
        <f t="shared" ca="1" si="101"/>
        <v>#VALUE!</v>
      </c>
      <c r="N933" s="7" t="e">
        <f t="shared" ca="1" si="102"/>
        <v>#VALUE!</v>
      </c>
      <c r="O933" s="7" t="e">
        <f t="shared" ca="1" si="103"/>
        <v>#VALUE!</v>
      </c>
      <c r="P933" s="7" t="e">
        <f t="shared" ca="1" si="104"/>
        <v>#VALUE!</v>
      </c>
    </row>
    <row r="934" spans="1:16" x14ac:dyDescent="0.25">
      <c r="A934" s="19" t="str">
        <f ca="1">IF(OR(INDIRECT("'" &amp; Master!$F$8 &amp; Master!$F$6 &amp; "'!A" &amp; ROW(A934))="", INDIRECT("'" &amp; Master!$F$8 &amp; Master!$F$6 &amp; "'!A" &amp; ROW(A934))=0), "", INDIRECT("'" &amp; Master!$F$8 &amp; Master!$F$6 &amp; "'!A" &amp; ROW(A934)))</f>
        <v/>
      </c>
      <c r="B934" s="4" t="e">
        <f ca="1">SplineInterp(INDIRECT("A" &amp; ROW()),INDIRECT("'" &amp;Master!$F$10&amp; "'!$A$2:$A$50"),INDIRECT("'" &amp;Master!$F$10&amp; "'!$B$2:$B$50"))</f>
        <v>#VALUE!</v>
      </c>
      <c r="C934" s="4" t="e">
        <f ca="1">SplineInterp(A934,INDIRECT("'" &amp;Master!$F$10&amp; "'!$A$2:$A$50"),INDIRECT("'" &amp;Master!$F$10&amp; "'!$C$2:$C$50"))</f>
        <v>#VALUE!</v>
      </c>
      <c r="D934" s="4" t="e">
        <f ca="1">SplineInterp(A934,INDIRECT("'" &amp;Master!$F$10&amp; "'!$A$2:$A$50"),INDIRECT("'" &amp;Master!$F$10&amp; "'!$D$2:$D$50"))</f>
        <v>#VALUE!</v>
      </c>
      <c r="E934" s="4" t="e">
        <f ca="1">SplineInterp(A934,INDIRECT("'" &amp;Master!$F$10&amp; "'!$A$2:$A$50"),INDIRECT("'" &amp;Master!$F$10&amp; "'!$E$2:$E$50"))</f>
        <v>#VALUE!</v>
      </c>
      <c r="F934" s="4" t="e">
        <f ca="1">SplineInterp(A934,INDIRECT("'" &amp;Master!$F$10&amp; "'!$A$2:$A$50"),INDIRECT("'" &amp;Master!$F$10&amp; "'!$F$2:$F$50"))</f>
        <v>#VALUE!</v>
      </c>
      <c r="G934" s="4" t="e">
        <f ca="1">SplineInterp(A934,INDIRECT("'" &amp;Master!$F$10&amp; "'!$A$2:$A$50"),INDIRECT("'" &amp;Master!$F$10&amp; "'!$G$2:$G$50"))</f>
        <v>#VALUE!</v>
      </c>
      <c r="H934" s="4" t="e">
        <f ca="1">SplineInterp(A934,INDIRECT("'" &amp;Master!$F$10&amp; "'!$A$2:$A$50"),INDIRECT("'" &amp;Master!$F$10&amp; "'!$H$2:$H$50"))</f>
        <v>#VALUE!</v>
      </c>
      <c r="I934" s="4" t="e">
        <f ca="1">IF(OR(INDIRECT("'" &amp; Master!$F$8 &amp; Master!$F$6 &amp; "'!B" &amp; ROW(B934))="", INDIRECT("'" &amp; Master!$F$8 &amp; Master!$F$6 &amp; "'!B" &amp; ROW(B934))=0), "", INDIRECT("'" &amp; Master!$F$8 &amp; Master!$F$6 &amp; "'!B" &amp; ROW(B934)))</f>
        <v>#VALUE!</v>
      </c>
      <c r="J934" s="9" t="e">
        <f t="shared" ca="1" si="98"/>
        <v>#VALUE!</v>
      </c>
      <c r="K934" s="7" t="e">
        <f t="shared" ca="1" si="99"/>
        <v>#VALUE!</v>
      </c>
      <c r="L934" s="7" t="e">
        <f t="shared" ca="1" si="100"/>
        <v>#VALUE!</v>
      </c>
      <c r="M934" s="7" t="e">
        <f t="shared" ca="1" si="101"/>
        <v>#VALUE!</v>
      </c>
      <c r="N934" s="7" t="e">
        <f t="shared" ca="1" si="102"/>
        <v>#VALUE!</v>
      </c>
      <c r="O934" s="7" t="e">
        <f t="shared" ca="1" si="103"/>
        <v>#VALUE!</v>
      </c>
      <c r="P934" s="7" t="e">
        <f t="shared" ca="1" si="104"/>
        <v>#VALUE!</v>
      </c>
    </row>
    <row r="935" spans="1:16" x14ac:dyDescent="0.25">
      <c r="A935" s="19" t="str">
        <f ca="1">IF(OR(INDIRECT("'" &amp; Master!$F$8 &amp; Master!$F$6 &amp; "'!A" &amp; ROW(A935))="", INDIRECT("'" &amp; Master!$F$8 &amp; Master!$F$6 &amp; "'!A" &amp; ROW(A935))=0), "", INDIRECT("'" &amp; Master!$F$8 &amp; Master!$F$6 &amp; "'!A" &amp; ROW(A935)))</f>
        <v/>
      </c>
      <c r="B935" s="4" t="e">
        <f ca="1">SplineInterp(INDIRECT("A" &amp; ROW()),INDIRECT("'" &amp;Master!$F$10&amp; "'!$A$2:$A$50"),INDIRECT("'" &amp;Master!$F$10&amp; "'!$B$2:$B$50"))</f>
        <v>#VALUE!</v>
      </c>
      <c r="C935" s="4" t="e">
        <f ca="1">SplineInterp(A935,INDIRECT("'" &amp;Master!$F$10&amp; "'!$A$2:$A$50"),INDIRECT("'" &amp;Master!$F$10&amp; "'!$C$2:$C$50"))</f>
        <v>#VALUE!</v>
      </c>
      <c r="D935" s="4" t="e">
        <f ca="1">SplineInterp(A935,INDIRECT("'" &amp;Master!$F$10&amp; "'!$A$2:$A$50"),INDIRECT("'" &amp;Master!$F$10&amp; "'!$D$2:$D$50"))</f>
        <v>#VALUE!</v>
      </c>
      <c r="E935" s="4" t="e">
        <f ca="1">SplineInterp(A935,INDIRECT("'" &amp;Master!$F$10&amp; "'!$A$2:$A$50"),INDIRECT("'" &amp;Master!$F$10&amp; "'!$E$2:$E$50"))</f>
        <v>#VALUE!</v>
      </c>
      <c r="F935" s="4" t="e">
        <f ca="1">SplineInterp(A935,INDIRECT("'" &amp;Master!$F$10&amp; "'!$A$2:$A$50"),INDIRECT("'" &amp;Master!$F$10&amp; "'!$F$2:$F$50"))</f>
        <v>#VALUE!</v>
      </c>
      <c r="G935" s="4" t="e">
        <f ca="1">SplineInterp(A935,INDIRECT("'" &amp;Master!$F$10&amp; "'!$A$2:$A$50"),INDIRECT("'" &amp;Master!$F$10&amp; "'!$G$2:$G$50"))</f>
        <v>#VALUE!</v>
      </c>
      <c r="H935" s="4" t="e">
        <f ca="1">SplineInterp(A935,INDIRECT("'" &amp;Master!$F$10&amp; "'!$A$2:$A$50"),INDIRECT("'" &amp;Master!$F$10&amp; "'!$H$2:$H$50"))</f>
        <v>#VALUE!</v>
      </c>
      <c r="I935" s="4" t="e">
        <f ca="1">IF(OR(INDIRECT("'" &amp; Master!$F$8 &amp; Master!$F$6 &amp; "'!B" &amp; ROW(B935))="", INDIRECT("'" &amp; Master!$F$8 &amp; Master!$F$6 &amp; "'!B" &amp; ROW(B935))=0), "", INDIRECT("'" &amp; Master!$F$8 &amp; Master!$F$6 &amp; "'!B" &amp; ROW(B935)))</f>
        <v>#VALUE!</v>
      </c>
      <c r="J935" s="9" t="e">
        <f t="shared" ca="1" si="98"/>
        <v>#VALUE!</v>
      </c>
      <c r="K935" s="7" t="e">
        <f t="shared" ca="1" si="99"/>
        <v>#VALUE!</v>
      </c>
      <c r="L935" s="7" t="e">
        <f t="shared" ca="1" si="100"/>
        <v>#VALUE!</v>
      </c>
      <c r="M935" s="7" t="e">
        <f t="shared" ca="1" si="101"/>
        <v>#VALUE!</v>
      </c>
      <c r="N935" s="7" t="e">
        <f t="shared" ca="1" si="102"/>
        <v>#VALUE!</v>
      </c>
      <c r="O935" s="7" t="e">
        <f t="shared" ca="1" si="103"/>
        <v>#VALUE!</v>
      </c>
      <c r="P935" s="7" t="e">
        <f t="shared" ca="1" si="104"/>
        <v>#VALUE!</v>
      </c>
    </row>
    <row r="936" spans="1:16" x14ac:dyDescent="0.25">
      <c r="A936" s="19" t="str">
        <f ca="1">IF(OR(INDIRECT("'" &amp; Master!$F$8 &amp; Master!$F$6 &amp; "'!A" &amp; ROW(A936))="", INDIRECT("'" &amp; Master!$F$8 &amp; Master!$F$6 &amp; "'!A" &amp; ROW(A936))=0), "", INDIRECT("'" &amp; Master!$F$8 &amp; Master!$F$6 &amp; "'!A" &amp; ROW(A936)))</f>
        <v/>
      </c>
      <c r="B936" s="4" t="e">
        <f ca="1">SplineInterp(INDIRECT("A" &amp; ROW()),INDIRECT("'" &amp;Master!$F$10&amp; "'!$A$2:$A$50"),INDIRECT("'" &amp;Master!$F$10&amp; "'!$B$2:$B$50"))</f>
        <v>#VALUE!</v>
      </c>
      <c r="C936" s="4" t="e">
        <f ca="1">SplineInterp(A936,INDIRECT("'" &amp;Master!$F$10&amp; "'!$A$2:$A$50"),INDIRECT("'" &amp;Master!$F$10&amp; "'!$C$2:$C$50"))</f>
        <v>#VALUE!</v>
      </c>
      <c r="D936" s="4" t="e">
        <f ca="1">SplineInterp(A936,INDIRECT("'" &amp;Master!$F$10&amp; "'!$A$2:$A$50"),INDIRECT("'" &amp;Master!$F$10&amp; "'!$D$2:$D$50"))</f>
        <v>#VALUE!</v>
      </c>
      <c r="E936" s="4" t="e">
        <f ca="1">SplineInterp(A936,INDIRECT("'" &amp;Master!$F$10&amp; "'!$A$2:$A$50"),INDIRECT("'" &amp;Master!$F$10&amp; "'!$E$2:$E$50"))</f>
        <v>#VALUE!</v>
      </c>
      <c r="F936" s="4" t="e">
        <f ca="1">SplineInterp(A936,INDIRECT("'" &amp;Master!$F$10&amp; "'!$A$2:$A$50"),INDIRECT("'" &amp;Master!$F$10&amp; "'!$F$2:$F$50"))</f>
        <v>#VALUE!</v>
      </c>
      <c r="G936" s="4" t="e">
        <f ca="1">SplineInterp(A936,INDIRECT("'" &amp;Master!$F$10&amp; "'!$A$2:$A$50"),INDIRECT("'" &amp;Master!$F$10&amp; "'!$G$2:$G$50"))</f>
        <v>#VALUE!</v>
      </c>
      <c r="H936" s="4" t="e">
        <f ca="1">SplineInterp(A936,INDIRECT("'" &amp;Master!$F$10&amp; "'!$A$2:$A$50"),INDIRECT("'" &amp;Master!$F$10&amp; "'!$H$2:$H$50"))</f>
        <v>#VALUE!</v>
      </c>
      <c r="I936" s="4" t="e">
        <f ca="1">IF(OR(INDIRECT("'" &amp; Master!$F$8 &amp; Master!$F$6 &amp; "'!B" &amp; ROW(B936))="", INDIRECT("'" &amp; Master!$F$8 &amp; Master!$F$6 &amp; "'!B" &amp; ROW(B936))=0), "", INDIRECT("'" &amp; Master!$F$8 &amp; Master!$F$6 &amp; "'!B" &amp; ROW(B936)))</f>
        <v>#VALUE!</v>
      </c>
      <c r="J936" s="9" t="e">
        <f t="shared" ca="1" si="98"/>
        <v>#VALUE!</v>
      </c>
      <c r="K936" s="7" t="e">
        <f t="shared" ca="1" si="99"/>
        <v>#VALUE!</v>
      </c>
      <c r="L936" s="7" t="e">
        <f t="shared" ca="1" si="100"/>
        <v>#VALUE!</v>
      </c>
      <c r="M936" s="7" t="e">
        <f t="shared" ca="1" si="101"/>
        <v>#VALUE!</v>
      </c>
      <c r="N936" s="7" t="e">
        <f t="shared" ca="1" si="102"/>
        <v>#VALUE!</v>
      </c>
      <c r="O936" s="7" t="e">
        <f t="shared" ca="1" si="103"/>
        <v>#VALUE!</v>
      </c>
      <c r="P936" s="7" t="e">
        <f t="shared" ca="1" si="104"/>
        <v>#VALUE!</v>
      </c>
    </row>
    <row r="937" spans="1:16" x14ac:dyDescent="0.25">
      <c r="A937" s="19" t="str">
        <f ca="1">IF(OR(INDIRECT("'" &amp; Master!$F$8 &amp; Master!$F$6 &amp; "'!A" &amp; ROW(A937))="", INDIRECT("'" &amp; Master!$F$8 &amp; Master!$F$6 &amp; "'!A" &amp; ROW(A937))=0), "", INDIRECT("'" &amp; Master!$F$8 &amp; Master!$F$6 &amp; "'!A" &amp; ROW(A937)))</f>
        <v/>
      </c>
      <c r="B937" s="4" t="e">
        <f ca="1">SplineInterp(INDIRECT("A" &amp; ROW()),INDIRECT("'" &amp;Master!$F$10&amp; "'!$A$2:$A$50"),INDIRECT("'" &amp;Master!$F$10&amp; "'!$B$2:$B$50"))</f>
        <v>#VALUE!</v>
      </c>
      <c r="C937" s="4" t="e">
        <f ca="1">SplineInterp(A937,INDIRECT("'" &amp;Master!$F$10&amp; "'!$A$2:$A$50"),INDIRECT("'" &amp;Master!$F$10&amp; "'!$C$2:$C$50"))</f>
        <v>#VALUE!</v>
      </c>
      <c r="D937" s="4" t="e">
        <f ca="1">SplineInterp(A937,INDIRECT("'" &amp;Master!$F$10&amp; "'!$A$2:$A$50"),INDIRECT("'" &amp;Master!$F$10&amp; "'!$D$2:$D$50"))</f>
        <v>#VALUE!</v>
      </c>
      <c r="E937" s="4" t="e">
        <f ca="1">SplineInterp(A937,INDIRECT("'" &amp;Master!$F$10&amp; "'!$A$2:$A$50"),INDIRECT("'" &amp;Master!$F$10&amp; "'!$E$2:$E$50"))</f>
        <v>#VALUE!</v>
      </c>
      <c r="F937" s="4" t="e">
        <f ca="1">SplineInterp(A937,INDIRECT("'" &amp;Master!$F$10&amp; "'!$A$2:$A$50"),INDIRECT("'" &amp;Master!$F$10&amp; "'!$F$2:$F$50"))</f>
        <v>#VALUE!</v>
      </c>
      <c r="G937" s="4" t="e">
        <f ca="1">SplineInterp(A937,INDIRECT("'" &amp;Master!$F$10&amp; "'!$A$2:$A$50"),INDIRECT("'" &amp;Master!$F$10&amp; "'!$G$2:$G$50"))</f>
        <v>#VALUE!</v>
      </c>
      <c r="H937" s="4" t="e">
        <f ca="1">SplineInterp(A937,INDIRECT("'" &amp;Master!$F$10&amp; "'!$A$2:$A$50"),INDIRECT("'" &amp;Master!$F$10&amp; "'!$H$2:$H$50"))</f>
        <v>#VALUE!</v>
      </c>
      <c r="I937" s="4" t="e">
        <f ca="1">IF(OR(INDIRECT("'" &amp; Master!$F$8 &amp; Master!$F$6 &amp; "'!B" &amp; ROW(B937))="", INDIRECT("'" &amp; Master!$F$8 &amp; Master!$F$6 &amp; "'!B" &amp; ROW(B937))=0), "", INDIRECT("'" &amp; Master!$F$8 &amp; Master!$F$6 &amp; "'!B" &amp; ROW(B937)))</f>
        <v>#VALUE!</v>
      </c>
      <c r="J937" s="9" t="e">
        <f t="shared" ca="1" si="98"/>
        <v>#VALUE!</v>
      </c>
      <c r="K937" s="7" t="e">
        <f t="shared" ca="1" si="99"/>
        <v>#VALUE!</v>
      </c>
      <c r="L937" s="7" t="e">
        <f t="shared" ca="1" si="100"/>
        <v>#VALUE!</v>
      </c>
      <c r="M937" s="7" t="e">
        <f t="shared" ca="1" si="101"/>
        <v>#VALUE!</v>
      </c>
      <c r="N937" s="7" t="e">
        <f t="shared" ca="1" si="102"/>
        <v>#VALUE!</v>
      </c>
      <c r="O937" s="7" t="e">
        <f t="shared" ca="1" si="103"/>
        <v>#VALUE!</v>
      </c>
      <c r="P937" s="7" t="e">
        <f t="shared" ca="1" si="104"/>
        <v>#VALUE!</v>
      </c>
    </row>
    <row r="938" spans="1:16" x14ac:dyDescent="0.25">
      <c r="A938" s="19" t="str">
        <f ca="1">IF(OR(INDIRECT("'" &amp; Master!$F$8 &amp; Master!$F$6 &amp; "'!A" &amp; ROW(A938))="", INDIRECT("'" &amp; Master!$F$8 &amp; Master!$F$6 &amp; "'!A" &amp; ROW(A938))=0), "", INDIRECT("'" &amp; Master!$F$8 &amp; Master!$F$6 &amp; "'!A" &amp; ROW(A938)))</f>
        <v/>
      </c>
      <c r="B938" s="4" t="e">
        <f ca="1">SplineInterp(INDIRECT("A" &amp; ROW()),INDIRECT("'" &amp;Master!$F$10&amp; "'!$A$2:$A$50"),INDIRECT("'" &amp;Master!$F$10&amp; "'!$B$2:$B$50"))</f>
        <v>#VALUE!</v>
      </c>
      <c r="C938" s="4" t="e">
        <f ca="1">SplineInterp(A938,INDIRECT("'" &amp;Master!$F$10&amp; "'!$A$2:$A$50"),INDIRECT("'" &amp;Master!$F$10&amp; "'!$C$2:$C$50"))</f>
        <v>#VALUE!</v>
      </c>
      <c r="D938" s="4" t="e">
        <f ca="1">SplineInterp(A938,INDIRECT("'" &amp;Master!$F$10&amp; "'!$A$2:$A$50"),INDIRECT("'" &amp;Master!$F$10&amp; "'!$D$2:$D$50"))</f>
        <v>#VALUE!</v>
      </c>
      <c r="E938" s="4" t="e">
        <f ca="1">SplineInterp(A938,INDIRECT("'" &amp;Master!$F$10&amp; "'!$A$2:$A$50"),INDIRECT("'" &amp;Master!$F$10&amp; "'!$E$2:$E$50"))</f>
        <v>#VALUE!</v>
      </c>
      <c r="F938" s="4" t="e">
        <f ca="1">SplineInterp(A938,INDIRECT("'" &amp;Master!$F$10&amp; "'!$A$2:$A$50"),INDIRECT("'" &amp;Master!$F$10&amp; "'!$F$2:$F$50"))</f>
        <v>#VALUE!</v>
      </c>
      <c r="G938" s="4" t="e">
        <f ca="1">SplineInterp(A938,INDIRECT("'" &amp;Master!$F$10&amp; "'!$A$2:$A$50"),INDIRECT("'" &amp;Master!$F$10&amp; "'!$G$2:$G$50"))</f>
        <v>#VALUE!</v>
      </c>
      <c r="H938" s="4" t="e">
        <f ca="1">SplineInterp(A938,INDIRECT("'" &amp;Master!$F$10&amp; "'!$A$2:$A$50"),INDIRECT("'" &amp;Master!$F$10&amp; "'!$H$2:$H$50"))</f>
        <v>#VALUE!</v>
      </c>
      <c r="I938" s="4" t="e">
        <f ca="1">IF(OR(INDIRECT("'" &amp; Master!$F$8 &amp; Master!$F$6 &amp; "'!B" &amp; ROW(B938))="", INDIRECT("'" &amp; Master!$F$8 &amp; Master!$F$6 &amp; "'!B" &amp; ROW(B938))=0), "", INDIRECT("'" &amp; Master!$F$8 &amp; Master!$F$6 &amp; "'!B" &amp; ROW(B938)))</f>
        <v>#VALUE!</v>
      </c>
      <c r="J938" s="9" t="e">
        <f t="shared" ca="1" si="98"/>
        <v>#VALUE!</v>
      </c>
      <c r="K938" s="7" t="e">
        <f t="shared" ca="1" si="99"/>
        <v>#VALUE!</v>
      </c>
      <c r="L938" s="7" t="e">
        <f t="shared" ca="1" si="100"/>
        <v>#VALUE!</v>
      </c>
      <c r="M938" s="7" t="e">
        <f t="shared" ca="1" si="101"/>
        <v>#VALUE!</v>
      </c>
      <c r="N938" s="7" t="e">
        <f t="shared" ca="1" si="102"/>
        <v>#VALUE!</v>
      </c>
      <c r="O938" s="7" t="e">
        <f t="shared" ca="1" si="103"/>
        <v>#VALUE!</v>
      </c>
      <c r="P938" s="7" t="e">
        <f t="shared" ca="1" si="104"/>
        <v>#VALUE!</v>
      </c>
    </row>
    <row r="939" spans="1:16" x14ac:dyDescent="0.25">
      <c r="A939" s="19" t="str">
        <f ca="1">IF(OR(INDIRECT("'" &amp; Master!$F$8 &amp; Master!$F$6 &amp; "'!A" &amp; ROW(A939))="", INDIRECT("'" &amp; Master!$F$8 &amp; Master!$F$6 &amp; "'!A" &amp; ROW(A939))=0), "", INDIRECT("'" &amp; Master!$F$8 &amp; Master!$F$6 &amp; "'!A" &amp; ROW(A939)))</f>
        <v/>
      </c>
      <c r="B939" s="4" t="e">
        <f ca="1">SplineInterp(INDIRECT("A" &amp; ROW()),INDIRECT("'" &amp;Master!$F$10&amp; "'!$A$2:$A$50"),INDIRECT("'" &amp;Master!$F$10&amp; "'!$B$2:$B$50"))</f>
        <v>#VALUE!</v>
      </c>
      <c r="C939" s="4" t="e">
        <f ca="1">SplineInterp(A939,INDIRECT("'" &amp;Master!$F$10&amp; "'!$A$2:$A$50"),INDIRECT("'" &amp;Master!$F$10&amp; "'!$C$2:$C$50"))</f>
        <v>#VALUE!</v>
      </c>
      <c r="D939" s="4" t="e">
        <f ca="1">SplineInterp(A939,INDIRECT("'" &amp;Master!$F$10&amp; "'!$A$2:$A$50"),INDIRECT("'" &amp;Master!$F$10&amp; "'!$D$2:$D$50"))</f>
        <v>#VALUE!</v>
      </c>
      <c r="E939" s="4" t="e">
        <f ca="1">SplineInterp(A939,INDIRECT("'" &amp;Master!$F$10&amp; "'!$A$2:$A$50"),INDIRECT("'" &amp;Master!$F$10&amp; "'!$E$2:$E$50"))</f>
        <v>#VALUE!</v>
      </c>
      <c r="F939" s="4" t="e">
        <f ca="1">SplineInterp(A939,INDIRECT("'" &amp;Master!$F$10&amp; "'!$A$2:$A$50"),INDIRECT("'" &amp;Master!$F$10&amp; "'!$F$2:$F$50"))</f>
        <v>#VALUE!</v>
      </c>
      <c r="G939" s="4" t="e">
        <f ca="1">SplineInterp(A939,INDIRECT("'" &amp;Master!$F$10&amp; "'!$A$2:$A$50"),INDIRECT("'" &amp;Master!$F$10&amp; "'!$G$2:$G$50"))</f>
        <v>#VALUE!</v>
      </c>
      <c r="H939" s="4" t="e">
        <f ca="1">SplineInterp(A939,INDIRECT("'" &amp;Master!$F$10&amp; "'!$A$2:$A$50"),INDIRECT("'" &amp;Master!$F$10&amp; "'!$H$2:$H$50"))</f>
        <v>#VALUE!</v>
      </c>
      <c r="I939" s="4" t="e">
        <f ca="1">IF(OR(INDIRECT("'" &amp; Master!$F$8 &amp; Master!$F$6 &amp; "'!B" &amp; ROW(B939))="", INDIRECT("'" &amp; Master!$F$8 &amp; Master!$F$6 &amp; "'!B" &amp; ROW(B939))=0), "", INDIRECT("'" &amp; Master!$F$8 &amp; Master!$F$6 &amp; "'!B" &amp; ROW(B939)))</f>
        <v>#VALUE!</v>
      </c>
      <c r="J939" s="9" t="e">
        <f t="shared" ca="1" si="98"/>
        <v>#VALUE!</v>
      </c>
      <c r="K939" s="7" t="e">
        <f t="shared" ca="1" si="99"/>
        <v>#VALUE!</v>
      </c>
      <c r="L939" s="7" t="e">
        <f t="shared" ca="1" si="100"/>
        <v>#VALUE!</v>
      </c>
      <c r="M939" s="7" t="e">
        <f t="shared" ca="1" si="101"/>
        <v>#VALUE!</v>
      </c>
      <c r="N939" s="7" t="e">
        <f t="shared" ca="1" si="102"/>
        <v>#VALUE!</v>
      </c>
      <c r="O939" s="7" t="e">
        <f t="shared" ca="1" si="103"/>
        <v>#VALUE!</v>
      </c>
      <c r="P939" s="7" t="e">
        <f t="shared" ca="1" si="104"/>
        <v>#VALUE!</v>
      </c>
    </row>
    <row r="940" spans="1:16" x14ac:dyDescent="0.25">
      <c r="A940" s="19" t="str">
        <f ca="1">IF(OR(INDIRECT("'" &amp; Master!$F$8 &amp; Master!$F$6 &amp; "'!A" &amp; ROW(A940))="", INDIRECT("'" &amp; Master!$F$8 &amp; Master!$F$6 &amp; "'!A" &amp; ROW(A940))=0), "", INDIRECT("'" &amp; Master!$F$8 &amp; Master!$F$6 &amp; "'!A" &amp; ROW(A940)))</f>
        <v/>
      </c>
      <c r="B940" s="4" t="e">
        <f ca="1">SplineInterp(INDIRECT("A" &amp; ROW()),INDIRECT("'" &amp;Master!$F$10&amp; "'!$A$2:$A$50"),INDIRECT("'" &amp;Master!$F$10&amp; "'!$B$2:$B$50"))</f>
        <v>#VALUE!</v>
      </c>
      <c r="C940" s="4" t="e">
        <f ca="1">SplineInterp(A940,INDIRECT("'" &amp;Master!$F$10&amp; "'!$A$2:$A$50"),INDIRECT("'" &amp;Master!$F$10&amp; "'!$C$2:$C$50"))</f>
        <v>#VALUE!</v>
      </c>
      <c r="D940" s="4" t="e">
        <f ca="1">SplineInterp(A940,INDIRECT("'" &amp;Master!$F$10&amp; "'!$A$2:$A$50"),INDIRECT("'" &amp;Master!$F$10&amp; "'!$D$2:$D$50"))</f>
        <v>#VALUE!</v>
      </c>
      <c r="E940" s="4" t="e">
        <f ca="1">SplineInterp(A940,INDIRECT("'" &amp;Master!$F$10&amp; "'!$A$2:$A$50"),INDIRECT("'" &amp;Master!$F$10&amp; "'!$E$2:$E$50"))</f>
        <v>#VALUE!</v>
      </c>
      <c r="F940" s="4" t="e">
        <f ca="1">SplineInterp(A940,INDIRECT("'" &amp;Master!$F$10&amp; "'!$A$2:$A$50"),INDIRECT("'" &amp;Master!$F$10&amp; "'!$F$2:$F$50"))</f>
        <v>#VALUE!</v>
      </c>
      <c r="G940" s="4" t="e">
        <f ca="1">SplineInterp(A940,INDIRECT("'" &amp;Master!$F$10&amp; "'!$A$2:$A$50"),INDIRECT("'" &amp;Master!$F$10&amp; "'!$G$2:$G$50"))</f>
        <v>#VALUE!</v>
      </c>
      <c r="H940" s="4" t="e">
        <f ca="1">SplineInterp(A940,INDIRECT("'" &amp;Master!$F$10&amp; "'!$A$2:$A$50"),INDIRECT("'" &amp;Master!$F$10&amp; "'!$H$2:$H$50"))</f>
        <v>#VALUE!</v>
      </c>
      <c r="I940" s="4" t="e">
        <f ca="1">IF(OR(INDIRECT("'" &amp; Master!$F$8 &amp; Master!$F$6 &amp; "'!B" &amp; ROW(B940))="", INDIRECT("'" &amp; Master!$F$8 &amp; Master!$F$6 &amp; "'!B" &amp; ROW(B940))=0), "", INDIRECT("'" &amp; Master!$F$8 &amp; Master!$F$6 &amp; "'!B" &amp; ROW(B940)))</f>
        <v>#VALUE!</v>
      </c>
      <c r="J940" s="9" t="e">
        <f t="shared" ca="1" si="98"/>
        <v>#VALUE!</v>
      </c>
      <c r="K940" s="7" t="e">
        <f t="shared" ca="1" si="99"/>
        <v>#VALUE!</v>
      </c>
      <c r="L940" s="7" t="e">
        <f t="shared" ca="1" si="100"/>
        <v>#VALUE!</v>
      </c>
      <c r="M940" s="7" t="e">
        <f t="shared" ca="1" si="101"/>
        <v>#VALUE!</v>
      </c>
      <c r="N940" s="7" t="e">
        <f t="shared" ca="1" si="102"/>
        <v>#VALUE!</v>
      </c>
      <c r="O940" s="7" t="e">
        <f t="shared" ca="1" si="103"/>
        <v>#VALUE!</v>
      </c>
      <c r="P940" s="7" t="e">
        <f t="shared" ca="1" si="104"/>
        <v>#VALUE!</v>
      </c>
    </row>
    <row r="941" spans="1:16" x14ac:dyDescent="0.25">
      <c r="A941" s="19" t="str">
        <f ca="1">IF(OR(INDIRECT("'" &amp; Master!$F$8 &amp; Master!$F$6 &amp; "'!A" &amp; ROW(A941))="", INDIRECT("'" &amp; Master!$F$8 &amp; Master!$F$6 &amp; "'!A" &amp; ROW(A941))=0), "", INDIRECT("'" &amp; Master!$F$8 &amp; Master!$F$6 &amp; "'!A" &amp; ROW(A941)))</f>
        <v/>
      </c>
      <c r="B941" s="4" t="e">
        <f ca="1">SplineInterp(INDIRECT("A" &amp; ROW()),INDIRECT("'" &amp;Master!$F$10&amp; "'!$A$2:$A$50"),INDIRECT("'" &amp;Master!$F$10&amp; "'!$B$2:$B$50"))</f>
        <v>#VALUE!</v>
      </c>
      <c r="C941" s="4" t="e">
        <f ca="1">SplineInterp(A941,INDIRECT("'" &amp;Master!$F$10&amp; "'!$A$2:$A$50"),INDIRECT("'" &amp;Master!$F$10&amp; "'!$C$2:$C$50"))</f>
        <v>#VALUE!</v>
      </c>
      <c r="D941" s="4" t="e">
        <f ca="1">SplineInterp(A941,INDIRECT("'" &amp;Master!$F$10&amp; "'!$A$2:$A$50"),INDIRECT("'" &amp;Master!$F$10&amp; "'!$D$2:$D$50"))</f>
        <v>#VALUE!</v>
      </c>
      <c r="E941" s="4" t="e">
        <f ca="1">SplineInterp(A941,INDIRECT("'" &amp;Master!$F$10&amp; "'!$A$2:$A$50"),INDIRECT("'" &amp;Master!$F$10&amp; "'!$E$2:$E$50"))</f>
        <v>#VALUE!</v>
      </c>
      <c r="F941" s="4" t="e">
        <f ca="1">SplineInterp(A941,INDIRECT("'" &amp;Master!$F$10&amp; "'!$A$2:$A$50"),INDIRECT("'" &amp;Master!$F$10&amp; "'!$F$2:$F$50"))</f>
        <v>#VALUE!</v>
      </c>
      <c r="G941" s="4" t="e">
        <f ca="1">SplineInterp(A941,INDIRECT("'" &amp;Master!$F$10&amp; "'!$A$2:$A$50"),INDIRECT("'" &amp;Master!$F$10&amp; "'!$G$2:$G$50"))</f>
        <v>#VALUE!</v>
      </c>
      <c r="H941" s="4" t="e">
        <f ca="1">SplineInterp(A941,INDIRECT("'" &amp;Master!$F$10&amp; "'!$A$2:$A$50"),INDIRECT("'" &amp;Master!$F$10&amp; "'!$H$2:$H$50"))</f>
        <v>#VALUE!</v>
      </c>
      <c r="I941" s="4" t="e">
        <f ca="1">IF(OR(INDIRECT("'" &amp; Master!$F$8 &amp; Master!$F$6 &amp; "'!B" &amp; ROW(B941))="", INDIRECT("'" &amp; Master!$F$8 &amp; Master!$F$6 &amp; "'!B" &amp; ROW(B941))=0), "", INDIRECT("'" &amp; Master!$F$8 &amp; Master!$F$6 &amp; "'!B" &amp; ROW(B941)))</f>
        <v>#VALUE!</v>
      </c>
      <c r="J941" s="9" t="e">
        <f t="shared" ca="1" si="98"/>
        <v>#VALUE!</v>
      </c>
      <c r="K941" s="7" t="e">
        <f t="shared" ca="1" si="99"/>
        <v>#VALUE!</v>
      </c>
      <c r="L941" s="7" t="e">
        <f t="shared" ca="1" si="100"/>
        <v>#VALUE!</v>
      </c>
      <c r="M941" s="7" t="e">
        <f t="shared" ca="1" si="101"/>
        <v>#VALUE!</v>
      </c>
      <c r="N941" s="7" t="e">
        <f t="shared" ca="1" si="102"/>
        <v>#VALUE!</v>
      </c>
      <c r="O941" s="7" t="e">
        <f t="shared" ca="1" si="103"/>
        <v>#VALUE!</v>
      </c>
      <c r="P941" s="7" t="e">
        <f t="shared" ca="1" si="104"/>
        <v>#VALUE!</v>
      </c>
    </row>
    <row r="942" spans="1:16" x14ac:dyDescent="0.25">
      <c r="A942" s="19" t="str">
        <f ca="1">IF(OR(INDIRECT("'" &amp; Master!$F$8 &amp; Master!$F$6 &amp; "'!A" &amp; ROW(A942))="", INDIRECT("'" &amp; Master!$F$8 &amp; Master!$F$6 &amp; "'!A" &amp; ROW(A942))=0), "", INDIRECT("'" &amp; Master!$F$8 &amp; Master!$F$6 &amp; "'!A" &amp; ROW(A942)))</f>
        <v/>
      </c>
      <c r="B942" s="4" t="e">
        <f ca="1">SplineInterp(INDIRECT("A" &amp; ROW()),INDIRECT("'" &amp;Master!$F$10&amp; "'!$A$2:$A$50"),INDIRECT("'" &amp;Master!$F$10&amp; "'!$B$2:$B$50"))</f>
        <v>#VALUE!</v>
      </c>
      <c r="C942" s="4" t="e">
        <f ca="1">SplineInterp(A942,INDIRECT("'" &amp;Master!$F$10&amp; "'!$A$2:$A$50"),INDIRECT("'" &amp;Master!$F$10&amp; "'!$C$2:$C$50"))</f>
        <v>#VALUE!</v>
      </c>
      <c r="D942" s="4" t="e">
        <f ca="1">SplineInterp(A942,INDIRECT("'" &amp;Master!$F$10&amp; "'!$A$2:$A$50"),INDIRECT("'" &amp;Master!$F$10&amp; "'!$D$2:$D$50"))</f>
        <v>#VALUE!</v>
      </c>
      <c r="E942" s="4" t="e">
        <f ca="1">SplineInterp(A942,INDIRECT("'" &amp;Master!$F$10&amp; "'!$A$2:$A$50"),INDIRECT("'" &amp;Master!$F$10&amp; "'!$E$2:$E$50"))</f>
        <v>#VALUE!</v>
      </c>
      <c r="F942" s="4" t="e">
        <f ca="1">SplineInterp(A942,INDIRECT("'" &amp;Master!$F$10&amp; "'!$A$2:$A$50"),INDIRECT("'" &amp;Master!$F$10&amp; "'!$F$2:$F$50"))</f>
        <v>#VALUE!</v>
      </c>
      <c r="G942" s="4" t="e">
        <f ca="1">SplineInterp(A942,INDIRECT("'" &amp;Master!$F$10&amp; "'!$A$2:$A$50"),INDIRECT("'" &amp;Master!$F$10&amp; "'!$G$2:$G$50"))</f>
        <v>#VALUE!</v>
      </c>
      <c r="H942" s="4" t="e">
        <f ca="1">SplineInterp(A942,INDIRECT("'" &amp;Master!$F$10&amp; "'!$A$2:$A$50"),INDIRECT("'" &amp;Master!$F$10&amp; "'!$H$2:$H$50"))</f>
        <v>#VALUE!</v>
      </c>
      <c r="I942" s="4" t="e">
        <f ca="1">IF(OR(INDIRECT("'" &amp; Master!$F$8 &amp; Master!$F$6 &amp; "'!B" &amp; ROW(B942))="", INDIRECT("'" &amp; Master!$F$8 &amp; Master!$F$6 &amp; "'!B" &amp; ROW(B942))=0), "", INDIRECT("'" &amp; Master!$F$8 &amp; Master!$F$6 &amp; "'!B" &amp; ROW(B942)))</f>
        <v>#VALUE!</v>
      </c>
      <c r="J942" s="9" t="e">
        <f t="shared" ca="1" si="98"/>
        <v>#VALUE!</v>
      </c>
      <c r="K942" s="7" t="e">
        <f t="shared" ca="1" si="99"/>
        <v>#VALUE!</v>
      </c>
      <c r="L942" s="7" t="e">
        <f t="shared" ca="1" si="100"/>
        <v>#VALUE!</v>
      </c>
      <c r="M942" s="7" t="e">
        <f t="shared" ca="1" si="101"/>
        <v>#VALUE!</v>
      </c>
      <c r="N942" s="7" t="e">
        <f t="shared" ca="1" si="102"/>
        <v>#VALUE!</v>
      </c>
      <c r="O942" s="7" t="e">
        <f t="shared" ca="1" si="103"/>
        <v>#VALUE!</v>
      </c>
      <c r="P942" s="7" t="e">
        <f t="shared" ca="1" si="104"/>
        <v>#VALUE!</v>
      </c>
    </row>
    <row r="943" spans="1:16" x14ac:dyDescent="0.25">
      <c r="A943" s="19" t="str">
        <f ca="1">IF(OR(INDIRECT("'" &amp; Master!$F$8 &amp; Master!$F$6 &amp; "'!A" &amp; ROW(A943))="", INDIRECT("'" &amp; Master!$F$8 &amp; Master!$F$6 &amp; "'!A" &amp; ROW(A943))=0), "", INDIRECT("'" &amp; Master!$F$8 &amp; Master!$F$6 &amp; "'!A" &amp; ROW(A943)))</f>
        <v/>
      </c>
      <c r="B943" s="4" t="e">
        <f ca="1">SplineInterp(INDIRECT("A" &amp; ROW()),INDIRECT("'" &amp;Master!$F$10&amp; "'!$A$2:$A$50"),INDIRECT("'" &amp;Master!$F$10&amp; "'!$B$2:$B$50"))</f>
        <v>#VALUE!</v>
      </c>
      <c r="C943" s="4" t="e">
        <f ca="1">SplineInterp(A943,INDIRECT("'" &amp;Master!$F$10&amp; "'!$A$2:$A$50"),INDIRECT("'" &amp;Master!$F$10&amp; "'!$C$2:$C$50"))</f>
        <v>#VALUE!</v>
      </c>
      <c r="D943" s="4" t="e">
        <f ca="1">SplineInterp(A943,INDIRECT("'" &amp;Master!$F$10&amp; "'!$A$2:$A$50"),INDIRECT("'" &amp;Master!$F$10&amp; "'!$D$2:$D$50"))</f>
        <v>#VALUE!</v>
      </c>
      <c r="E943" s="4" t="e">
        <f ca="1">SplineInterp(A943,INDIRECT("'" &amp;Master!$F$10&amp; "'!$A$2:$A$50"),INDIRECT("'" &amp;Master!$F$10&amp; "'!$E$2:$E$50"))</f>
        <v>#VALUE!</v>
      </c>
      <c r="F943" s="4" t="e">
        <f ca="1">SplineInterp(A943,INDIRECT("'" &amp;Master!$F$10&amp; "'!$A$2:$A$50"),INDIRECT("'" &amp;Master!$F$10&amp; "'!$F$2:$F$50"))</f>
        <v>#VALUE!</v>
      </c>
      <c r="G943" s="4" t="e">
        <f ca="1">SplineInterp(A943,INDIRECT("'" &amp;Master!$F$10&amp; "'!$A$2:$A$50"),INDIRECT("'" &amp;Master!$F$10&amp; "'!$G$2:$G$50"))</f>
        <v>#VALUE!</v>
      </c>
      <c r="H943" s="4" t="e">
        <f ca="1">SplineInterp(A943,INDIRECT("'" &amp;Master!$F$10&amp; "'!$A$2:$A$50"),INDIRECT("'" &amp;Master!$F$10&amp; "'!$H$2:$H$50"))</f>
        <v>#VALUE!</v>
      </c>
      <c r="I943" s="4" t="e">
        <f ca="1">IF(OR(INDIRECT("'" &amp; Master!$F$8 &amp; Master!$F$6 &amp; "'!B" &amp; ROW(B943))="", INDIRECT("'" &amp; Master!$F$8 &amp; Master!$F$6 &amp; "'!B" &amp; ROW(B943))=0), "", INDIRECT("'" &amp; Master!$F$8 &amp; Master!$F$6 &amp; "'!B" &amp; ROW(B943)))</f>
        <v>#VALUE!</v>
      </c>
      <c r="J943" s="9" t="e">
        <f t="shared" ca="1" si="98"/>
        <v>#VALUE!</v>
      </c>
      <c r="K943" s="7" t="e">
        <f t="shared" ca="1" si="99"/>
        <v>#VALUE!</v>
      </c>
      <c r="L943" s="7" t="e">
        <f t="shared" ca="1" si="100"/>
        <v>#VALUE!</v>
      </c>
      <c r="M943" s="7" t="e">
        <f t="shared" ca="1" si="101"/>
        <v>#VALUE!</v>
      </c>
      <c r="N943" s="7" t="e">
        <f t="shared" ca="1" si="102"/>
        <v>#VALUE!</v>
      </c>
      <c r="O943" s="7" t="e">
        <f t="shared" ca="1" si="103"/>
        <v>#VALUE!</v>
      </c>
      <c r="P943" s="7" t="e">
        <f t="shared" ca="1" si="104"/>
        <v>#VALUE!</v>
      </c>
    </row>
    <row r="944" spans="1:16" x14ac:dyDescent="0.25">
      <c r="A944" s="19" t="str">
        <f ca="1">IF(OR(INDIRECT("'" &amp; Master!$F$8 &amp; Master!$F$6 &amp; "'!A" &amp; ROW(A944))="", INDIRECT("'" &amp; Master!$F$8 &amp; Master!$F$6 &amp; "'!A" &amp; ROW(A944))=0), "", INDIRECT("'" &amp; Master!$F$8 &amp; Master!$F$6 &amp; "'!A" &amp; ROW(A944)))</f>
        <v/>
      </c>
      <c r="B944" s="4" t="e">
        <f ca="1">SplineInterp(INDIRECT("A" &amp; ROW()),INDIRECT("'" &amp;Master!$F$10&amp; "'!$A$2:$A$50"),INDIRECT("'" &amp;Master!$F$10&amp; "'!$B$2:$B$50"))</f>
        <v>#VALUE!</v>
      </c>
      <c r="C944" s="4" t="e">
        <f ca="1">SplineInterp(A944,INDIRECT("'" &amp;Master!$F$10&amp; "'!$A$2:$A$50"),INDIRECT("'" &amp;Master!$F$10&amp; "'!$C$2:$C$50"))</f>
        <v>#VALUE!</v>
      </c>
      <c r="D944" s="4" t="e">
        <f ca="1">SplineInterp(A944,INDIRECT("'" &amp;Master!$F$10&amp; "'!$A$2:$A$50"),INDIRECT("'" &amp;Master!$F$10&amp; "'!$D$2:$D$50"))</f>
        <v>#VALUE!</v>
      </c>
      <c r="E944" s="4" t="e">
        <f ca="1">SplineInterp(A944,INDIRECT("'" &amp;Master!$F$10&amp; "'!$A$2:$A$50"),INDIRECT("'" &amp;Master!$F$10&amp; "'!$E$2:$E$50"))</f>
        <v>#VALUE!</v>
      </c>
      <c r="F944" s="4" t="e">
        <f ca="1">SplineInterp(A944,INDIRECT("'" &amp;Master!$F$10&amp; "'!$A$2:$A$50"),INDIRECT("'" &amp;Master!$F$10&amp; "'!$F$2:$F$50"))</f>
        <v>#VALUE!</v>
      </c>
      <c r="G944" s="4" t="e">
        <f ca="1">SplineInterp(A944,INDIRECT("'" &amp;Master!$F$10&amp; "'!$A$2:$A$50"),INDIRECT("'" &amp;Master!$F$10&amp; "'!$G$2:$G$50"))</f>
        <v>#VALUE!</v>
      </c>
      <c r="H944" s="4" t="e">
        <f ca="1">SplineInterp(A944,INDIRECT("'" &amp;Master!$F$10&amp; "'!$A$2:$A$50"),INDIRECT("'" &amp;Master!$F$10&amp; "'!$H$2:$H$50"))</f>
        <v>#VALUE!</v>
      </c>
      <c r="I944" s="4" t="e">
        <f ca="1">IF(OR(INDIRECT("'" &amp; Master!$F$8 &amp; Master!$F$6 &amp; "'!B" &amp; ROW(B944))="", INDIRECT("'" &amp; Master!$F$8 &amp; Master!$F$6 &amp; "'!B" &amp; ROW(B944))=0), "", INDIRECT("'" &amp; Master!$F$8 &amp; Master!$F$6 &amp; "'!B" &amp; ROW(B944)))</f>
        <v>#VALUE!</v>
      </c>
      <c r="J944" s="9" t="e">
        <f t="shared" ca="1" si="98"/>
        <v>#VALUE!</v>
      </c>
      <c r="K944" s="7" t="e">
        <f t="shared" ca="1" si="99"/>
        <v>#VALUE!</v>
      </c>
      <c r="L944" s="7" t="e">
        <f t="shared" ca="1" si="100"/>
        <v>#VALUE!</v>
      </c>
      <c r="M944" s="7" t="e">
        <f t="shared" ca="1" si="101"/>
        <v>#VALUE!</v>
      </c>
      <c r="N944" s="7" t="e">
        <f t="shared" ca="1" si="102"/>
        <v>#VALUE!</v>
      </c>
      <c r="O944" s="7" t="e">
        <f t="shared" ca="1" si="103"/>
        <v>#VALUE!</v>
      </c>
      <c r="P944" s="7" t="e">
        <f t="shared" ca="1" si="104"/>
        <v>#VALUE!</v>
      </c>
    </row>
    <row r="945" spans="1:16" x14ac:dyDescent="0.25">
      <c r="A945" s="19" t="str">
        <f ca="1">IF(OR(INDIRECT("'" &amp; Master!$F$8 &amp; Master!$F$6 &amp; "'!A" &amp; ROW(A945))="", INDIRECT("'" &amp; Master!$F$8 &amp; Master!$F$6 &amp; "'!A" &amp; ROW(A945))=0), "", INDIRECT("'" &amp; Master!$F$8 &amp; Master!$F$6 &amp; "'!A" &amp; ROW(A945)))</f>
        <v/>
      </c>
      <c r="B945" s="4" t="e">
        <f ca="1">SplineInterp(INDIRECT("A" &amp; ROW()),INDIRECT("'" &amp;Master!$F$10&amp; "'!$A$2:$A$50"),INDIRECT("'" &amp;Master!$F$10&amp; "'!$B$2:$B$50"))</f>
        <v>#VALUE!</v>
      </c>
      <c r="C945" s="4" t="e">
        <f ca="1">SplineInterp(A945,INDIRECT("'" &amp;Master!$F$10&amp; "'!$A$2:$A$50"),INDIRECT("'" &amp;Master!$F$10&amp; "'!$C$2:$C$50"))</f>
        <v>#VALUE!</v>
      </c>
      <c r="D945" s="4" t="e">
        <f ca="1">SplineInterp(A945,INDIRECT("'" &amp;Master!$F$10&amp; "'!$A$2:$A$50"),INDIRECT("'" &amp;Master!$F$10&amp; "'!$D$2:$D$50"))</f>
        <v>#VALUE!</v>
      </c>
      <c r="E945" s="4" t="e">
        <f ca="1">SplineInterp(A945,INDIRECT("'" &amp;Master!$F$10&amp; "'!$A$2:$A$50"),INDIRECT("'" &amp;Master!$F$10&amp; "'!$E$2:$E$50"))</f>
        <v>#VALUE!</v>
      </c>
      <c r="F945" s="4" t="e">
        <f ca="1">SplineInterp(A945,INDIRECT("'" &amp;Master!$F$10&amp; "'!$A$2:$A$50"),INDIRECT("'" &amp;Master!$F$10&amp; "'!$F$2:$F$50"))</f>
        <v>#VALUE!</v>
      </c>
      <c r="G945" s="4" t="e">
        <f ca="1">SplineInterp(A945,INDIRECT("'" &amp;Master!$F$10&amp; "'!$A$2:$A$50"),INDIRECT("'" &amp;Master!$F$10&amp; "'!$G$2:$G$50"))</f>
        <v>#VALUE!</v>
      </c>
      <c r="H945" s="4" t="e">
        <f ca="1">SplineInterp(A945,INDIRECT("'" &amp;Master!$F$10&amp; "'!$A$2:$A$50"),INDIRECT("'" &amp;Master!$F$10&amp; "'!$H$2:$H$50"))</f>
        <v>#VALUE!</v>
      </c>
      <c r="I945" s="4" t="e">
        <f ca="1">IF(OR(INDIRECT("'" &amp; Master!$F$8 &amp; Master!$F$6 &amp; "'!B" &amp; ROW(B945))="", INDIRECT("'" &amp; Master!$F$8 &amp; Master!$F$6 &amp; "'!B" &amp; ROW(B945))=0), "", INDIRECT("'" &amp; Master!$F$8 &amp; Master!$F$6 &amp; "'!B" &amp; ROW(B945)))</f>
        <v>#VALUE!</v>
      </c>
      <c r="J945" s="9" t="e">
        <f t="shared" ca="1" si="98"/>
        <v>#VALUE!</v>
      </c>
      <c r="K945" s="7" t="e">
        <f t="shared" ca="1" si="99"/>
        <v>#VALUE!</v>
      </c>
      <c r="L945" s="7" t="e">
        <f t="shared" ca="1" si="100"/>
        <v>#VALUE!</v>
      </c>
      <c r="M945" s="7" t="e">
        <f t="shared" ca="1" si="101"/>
        <v>#VALUE!</v>
      </c>
      <c r="N945" s="7" t="e">
        <f t="shared" ca="1" si="102"/>
        <v>#VALUE!</v>
      </c>
      <c r="O945" s="7" t="e">
        <f t="shared" ca="1" si="103"/>
        <v>#VALUE!</v>
      </c>
      <c r="P945" s="7" t="e">
        <f t="shared" ca="1" si="104"/>
        <v>#VALUE!</v>
      </c>
    </row>
    <row r="946" spans="1:16" x14ac:dyDescent="0.25">
      <c r="A946" s="19" t="str">
        <f ca="1">IF(OR(INDIRECT("'" &amp; Master!$F$8 &amp; Master!$F$6 &amp; "'!A" &amp; ROW(A946))="", INDIRECT("'" &amp; Master!$F$8 &amp; Master!$F$6 &amp; "'!A" &amp; ROW(A946))=0), "", INDIRECT("'" &amp; Master!$F$8 &amp; Master!$F$6 &amp; "'!A" &amp; ROW(A946)))</f>
        <v/>
      </c>
      <c r="B946" s="4" t="e">
        <f ca="1">SplineInterp(INDIRECT("A" &amp; ROW()),INDIRECT("'" &amp;Master!$F$10&amp; "'!$A$2:$A$50"),INDIRECT("'" &amp;Master!$F$10&amp; "'!$B$2:$B$50"))</f>
        <v>#VALUE!</v>
      </c>
      <c r="C946" s="4" t="e">
        <f ca="1">SplineInterp(A946,INDIRECT("'" &amp;Master!$F$10&amp; "'!$A$2:$A$50"),INDIRECT("'" &amp;Master!$F$10&amp; "'!$C$2:$C$50"))</f>
        <v>#VALUE!</v>
      </c>
      <c r="D946" s="4" t="e">
        <f ca="1">SplineInterp(A946,INDIRECT("'" &amp;Master!$F$10&amp; "'!$A$2:$A$50"),INDIRECT("'" &amp;Master!$F$10&amp; "'!$D$2:$D$50"))</f>
        <v>#VALUE!</v>
      </c>
      <c r="E946" s="4" t="e">
        <f ca="1">SplineInterp(A946,INDIRECT("'" &amp;Master!$F$10&amp; "'!$A$2:$A$50"),INDIRECT("'" &amp;Master!$F$10&amp; "'!$E$2:$E$50"))</f>
        <v>#VALUE!</v>
      </c>
      <c r="F946" s="4" t="e">
        <f ca="1">SplineInterp(A946,INDIRECT("'" &amp;Master!$F$10&amp; "'!$A$2:$A$50"),INDIRECT("'" &amp;Master!$F$10&amp; "'!$F$2:$F$50"))</f>
        <v>#VALUE!</v>
      </c>
      <c r="G946" s="4" t="e">
        <f ca="1">SplineInterp(A946,INDIRECT("'" &amp;Master!$F$10&amp; "'!$A$2:$A$50"),INDIRECT("'" &amp;Master!$F$10&amp; "'!$G$2:$G$50"))</f>
        <v>#VALUE!</v>
      </c>
      <c r="H946" s="4" t="e">
        <f ca="1">SplineInterp(A946,INDIRECT("'" &amp;Master!$F$10&amp; "'!$A$2:$A$50"),INDIRECT("'" &amp;Master!$F$10&amp; "'!$H$2:$H$50"))</f>
        <v>#VALUE!</v>
      </c>
      <c r="I946" s="4" t="e">
        <f ca="1">IF(OR(INDIRECT("'" &amp; Master!$F$8 &amp; Master!$F$6 &amp; "'!B" &amp; ROW(B946))="", INDIRECT("'" &amp; Master!$F$8 &amp; Master!$F$6 &amp; "'!B" &amp; ROW(B946))=0), "", INDIRECT("'" &amp; Master!$F$8 &amp; Master!$F$6 &amp; "'!B" &amp; ROW(B946)))</f>
        <v>#VALUE!</v>
      </c>
      <c r="J946" s="9" t="e">
        <f t="shared" ca="1" si="98"/>
        <v>#VALUE!</v>
      </c>
      <c r="K946" s="7" t="e">
        <f t="shared" ca="1" si="99"/>
        <v>#VALUE!</v>
      </c>
      <c r="L946" s="7" t="e">
        <f t="shared" ca="1" si="100"/>
        <v>#VALUE!</v>
      </c>
      <c r="M946" s="7" t="e">
        <f t="shared" ca="1" si="101"/>
        <v>#VALUE!</v>
      </c>
      <c r="N946" s="7" t="e">
        <f t="shared" ca="1" si="102"/>
        <v>#VALUE!</v>
      </c>
      <c r="O946" s="7" t="e">
        <f t="shared" ca="1" si="103"/>
        <v>#VALUE!</v>
      </c>
      <c r="P946" s="7" t="e">
        <f t="shared" ca="1" si="104"/>
        <v>#VALUE!</v>
      </c>
    </row>
    <row r="947" spans="1:16" x14ac:dyDescent="0.25">
      <c r="A947" s="19" t="str">
        <f ca="1">IF(OR(INDIRECT("'" &amp; Master!$F$8 &amp; Master!$F$6 &amp; "'!A" &amp; ROW(A947))="", INDIRECT("'" &amp; Master!$F$8 &amp; Master!$F$6 &amp; "'!A" &amp; ROW(A947))=0), "", INDIRECT("'" &amp; Master!$F$8 &amp; Master!$F$6 &amp; "'!A" &amp; ROW(A947)))</f>
        <v/>
      </c>
      <c r="B947" s="4" t="e">
        <f ca="1">SplineInterp(INDIRECT("A" &amp; ROW()),INDIRECT("'" &amp;Master!$F$10&amp; "'!$A$2:$A$50"),INDIRECT("'" &amp;Master!$F$10&amp; "'!$B$2:$B$50"))</f>
        <v>#VALUE!</v>
      </c>
      <c r="C947" s="4" t="e">
        <f ca="1">SplineInterp(A947,INDIRECT("'" &amp;Master!$F$10&amp; "'!$A$2:$A$50"),INDIRECT("'" &amp;Master!$F$10&amp; "'!$C$2:$C$50"))</f>
        <v>#VALUE!</v>
      </c>
      <c r="D947" s="4" t="e">
        <f ca="1">SplineInterp(A947,INDIRECT("'" &amp;Master!$F$10&amp; "'!$A$2:$A$50"),INDIRECT("'" &amp;Master!$F$10&amp; "'!$D$2:$D$50"))</f>
        <v>#VALUE!</v>
      </c>
      <c r="E947" s="4" t="e">
        <f ca="1">SplineInterp(A947,INDIRECT("'" &amp;Master!$F$10&amp; "'!$A$2:$A$50"),INDIRECT("'" &amp;Master!$F$10&amp; "'!$E$2:$E$50"))</f>
        <v>#VALUE!</v>
      </c>
      <c r="F947" s="4" t="e">
        <f ca="1">SplineInterp(A947,INDIRECT("'" &amp;Master!$F$10&amp; "'!$A$2:$A$50"),INDIRECT("'" &amp;Master!$F$10&amp; "'!$F$2:$F$50"))</f>
        <v>#VALUE!</v>
      </c>
      <c r="G947" s="4" t="e">
        <f ca="1">SplineInterp(A947,INDIRECT("'" &amp;Master!$F$10&amp; "'!$A$2:$A$50"),INDIRECT("'" &amp;Master!$F$10&amp; "'!$G$2:$G$50"))</f>
        <v>#VALUE!</v>
      </c>
      <c r="H947" s="4" t="e">
        <f ca="1">SplineInterp(A947,INDIRECT("'" &amp;Master!$F$10&amp; "'!$A$2:$A$50"),INDIRECT("'" &amp;Master!$F$10&amp; "'!$H$2:$H$50"))</f>
        <v>#VALUE!</v>
      </c>
      <c r="I947" s="4" t="e">
        <f ca="1">IF(OR(INDIRECT("'" &amp; Master!$F$8 &amp; Master!$F$6 &amp; "'!B" &amp; ROW(B947))="", INDIRECT("'" &amp; Master!$F$8 &amp; Master!$F$6 &amp; "'!B" &amp; ROW(B947))=0), "", INDIRECT("'" &amp; Master!$F$8 &amp; Master!$F$6 &amp; "'!B" &amp; ROW(B947)))</f>
        <v>#VALUE!</v>
      </c>
      <c r="J947" s="9" t="e">
        <f t="shared" ca="1" si="98"/>
        <v>#VALUE!</v>
      </c>
      <c r="K947" s="7" t="e">
        <f t="shared" ca="1" si="99"/>
        <v>#VALUE!</v>
      </c>
      <c r="L947" s="7" t="e">
        <f t="shared" ca="1" si="100"/>
        <v>#VALUE!</v>
      </c>
      <c r="M947" s="7" t="e">
        <f t="shared" ca="1" si="101"/>
        <v>#VALUE!</v>
      </c>
      <c r="N947" s="7" t="e">
        <f t="shared" ca="1" si="102"/>
        <v>#VALUE!</v>
      </c>
      <c r="O947" s="7" t="e">
        <f t="shared" ca="1" si="103"/>
        <v>#VALUE!</v>
      </c>
      <c r="P947" s="7" t="e">
        <f t="shared" ca="1" si="104"/>
        <v>#VALUE!</v>
      </c>
    </row>
    <row r="948" spans="1:16" x14ac:dyDescent="0.25">
      <c r="A948" s="19" t="str">
        <f ca="1">IF(OR(INDIRECT("'" &amp; Master!$F$8 &amp; Master!$F$6 &amp; "'!A" &amp; ROW(A948))="", INDIRECT("'" &amp; Master!$F$8 &amp; Master!$F$6 &amp; "'!A" &amp; ROW(A948))=0), "", INDIRECT("'" &amp; Master!$F$8 &amp; Master!$F$6 &amp; "'!A" &amp; ROW(A948)))</f>
        <v/>
      </c>
      <c r="B948" s="4" t="e">
        <f ca="1">SplineInterp(INDIRECT("A" &amp; ROW()),INDIRECT("'" &amp;Master!$F$10&amp; "'!$A$2:$A$50"),INDIRECT("'" &amp;Master!$F$10&amp; "'!$B$2:$B$50"))</f>
        <v>#VALUE!</v>
      </c>
      <c r="C948" s="4" t="e">
        <f ca="1">SplineInterp(A948,INDIRECT("'" &amp;Master!$F$10&amp; "'!$A$2:$A$50"),INDIRECT("'" &amp;Master!$F$10&amp; "'!$C$2:$C$50"))</f>
        <v>#VALUE!</v>
      </c>
      <c r="D948" s="4" t="e">
        <f ca="1">SplineInterp(A948,INDIRECT("'" &amp;Master!$F$10&amp; "'!$A$2:$A$50"),INDIRECT("'" &amp;Master!$F$10&amp; "'!$D$2:$D$50"))</f>
        <v>#VALUE!</v>
      </c>
      <c r="E948" s="4" t="e">
        <f ca="1">SplineInterp(A948,INDIRECT("'" &amp;Master!$F$10&amp; "'!$A$2:$A$50"),INDIRECT("'" &amp;Master!$F$10&amp; "'!$E$2:$E$50"))</f>
        <v>#VALUE!</v>
      </c>
      <c r="F948" s="4" t="e">
        <f ca="1">SplineInterp(A948,INDIRECT("'" &amp;Master!$F$10&amp; "'!$A$2:$A$50"),INDIRECT("'" &amp;Master!$F$10&amp; "'!$F$2:$F$50"))</f>
        <v>#VALUE!</v>
      </c>
      <c r="G948" s="4" t="e">
        <f ca="1">SplineInterp(A948,INDIRECT("'" &amp;Master!$F$10&amp; "'!$A$2:$A$50"),INDIRECT("'" &amp;Master!$F$10&amp; "'!$G$2:$G$50"))</f>
        <v>#VALUE!</v>
      </c>
      <c r="H948" s="4" t="e">
        <f ca="1">SplineInterp(A948,INDIRECT("'" &amp;Master!$F$10&amp; "'!$A$2:$A$50"),INDIRECT("'" &amp;Master!$F$10&amp; "'!$H$2:$H$50"))</f>
        <v>#VALUE!</v>
      </c>
      <c r="I948" s="4" t="e">
        <f ca="1">IF(OR(INDIRECT("'" &amp; Master!$F$8 &amp; Master!$F$6 &amp; "'!B" &amp; ROW(B948))="", INDIRECT("'" &amp; Master!$F$8 &amp; Master!$F$6 &amp; "'!B" &amp; ROW(B948))=0), "", INDIRECT("'" &amp; Master!$F$8 &amp; Master!$F$6 &amp; "'!B" &amp; ROW(B948)))</f>
        <v>#VALUE!</v>
      </c>
      <c r="J948" s="9" t="e">
        <f t="shared" ca="1" si="98"/>
        <v>#VALUE!</v>
      </c>
      <c r="K948" s="7" t="e">
        <f t="shared" ca="1" si="99"/>
        <v>#VALUE!</v>
      </c>
      <c r="L948" s="7" t="e">
        <f t="shared" ca="1" si="100"/>
        <v>#VALUE!</v>
      </c>
      <c r="M948" s="7" t="e">
        <f t="shared" ca="1" si="101"/>
        <v>#VALUE!</v>
      </c>
      <c r="N948" s="7" t="e">
        <f t="shared" ca="1" si="102"/>
        <v>#VALUE!</v>
      </c>
      <c r="O948" s="7" t="e">
        <f t="shared" ca="1" si="103"/>
        <v>#VALUE!</v>
      </c>
      <c r="P948" s="7" t="e">
        <f t="shared" ca="1" si="104"/>
        <v>#VALUE!</v>
      </c>
    </row>
    <row r="949" spans="1:16" x14ac:dyDescent="0.25">
      <c r="A949" s="19" t="str">
        <f ca="1">IF(OR(INDIRECT("'" &amp; Master!$F$8 &amp; Master!$F$6 &amp; "'!A" &amp; ROW(A949))="", INDIRECT("'" &amp; Master!$F$8 &amp; Master!$F$6 &amp; "'!A" &amp; ROW(A949))=0), "", INDIRECT("'" &amp; Master!$F$8 &amp; Master!$F$6 &amp; "'!A" &amp; ROW(A949)))</f>
        <v/>
      </c>
      <c r="B949" s="4" t="e">
        <f ca="1">SplineInterp(INDIRECT("A" &amp; ROW()),INDIRECT("'" &amp;Master!$F$10&amp; "'!$A$2:$A$50"),INDIRECT("'" &amp;Master!$F$10&amp; "'!$B$2:$B$50"))</f>
        <v>#VALUE!</v>
      </c>
      <c r="C949" s="4" t="e">
        <f ca="1">SplineInterp(A949,INDIRECT("'" &amp;Master!$F$10&amp; "'!$A$2:$A$50"),INDIRECT("'" &amp;Master!$F$10&amp; "'!$C$2:$C$50"))</f>
        <v>#VALUE!</v>
      </c>
      <c r="D949" s="4" t="e">
        <f ca="1">SplineInterp(A949,INDIRECT("'" &amp;Master!$F$10&amp; "'!$A$2:$A$50"),INDIRECT("'" &amp;Master!$F$10&amp; "'!$D$2:$D$50"))</f>
        <v>#VALUE!</v>
      </c>
      <c r="E949" s="4" t="e">
        <f ca="1">SplineInterp(A949,INDIRECT("'" &amp;Master!$F$10&amp; "'!$A$2:$A$50"),INDIRECT("'" &amp;Master!$F$10&amp; "'!$E$2:$E$50"))</f>
        <v>#VALUE!</v>
      </c>
      <c r="F949" s="4" t="e">
        <f ca="1">SplineInterp(A949,INDIRECT("'" &amp;Master!$F$10&amp; "'!$A$2:$A$50"),INDIRECT("'" &amp;Master!$F$10&amp; "'!$F$2:$F$50"))</f>
        <v>#VALUE!</v>
      </c>
      <c r="G949" s="4" t="e">
        <f ca="1">SplineInterp(A949,INDIRECT("'" &amp;Master!$F$10&amp; "'!$A$2:$A$50"),INDIRECT("'" &amp;Master!$F$10&amp; "'!$G$2:$G$50"))</f>
        <v>#VALUE!</v>
      </c>
      <c r="H949" s="4" t="e">
        <f ca="1">SplineInterp(A949,INDIRECT("'" &amp;Master!$F$10&amp; "'!$A$2:$A$50"),INDIRECT("'" &amp;Master!$F$10&amp; "'!$H$2:$H$50"))</f>
        <v>#VALUE!</v>
      </c>
      <c r="I949" s="4" t="e">
        <f ca="1">IF(OR(INDIRECT("'" &amp; Master!$F$8 &amp; Master!$F$6 &amp; "'!B" &amp; ROW(B949))="", INDIRECT("'" &amp; Master!$F$8 &amp; Master!$F$6 &amp; "'!B" &amp; ROW(B949))=0), "", INDIRECT("'" &amp; Master!$F$8 &amp; Master!$F$6 &amp; "'!B" &amp; ROW(B949)))</f>
        <v>#VALUE!</v>
      </c>
      <c r="J949" s="9" t="e">
        <f t="shared" ca="1" si="98"/>
        <v>#VALUE!</v>
      </c>
      <c r="K949" s="7" t="e">
        <f t="shared" ca="1" si="99"/>
        <v>#VALUE!</v>
      </c>
      <c r="L949" s="7" t="e">
        <f t="shared" ca="1" si="100"/>
        <v>#VALUE!</v>
      </c>
      <c r="M949" s="7" t="e">
        <f t="shared" ca="1" si="101"/>
        <v>#VALUE!</v>
      </c>
      <c r="N949" s="7" t="e">
        <f t="shared" ca="1" si="102"/>
        <v>#VALUE!</v>
      </c>
      <c r="O949" s="7" t="e">
        <f t="shared" ca="1" si="103"/>
        <v>#VALUE!</v>
      </c>
      <c r="P949" s="7" t="e">
        <f t="shared" ca="1" si="104"/>
        <v>#VALUE!</v>
      </c>
    </row>
    <row r="950" spans="1:16" x14ac:dyDescent="0.25">
      <c r="A950" s="19" t="str">
        <f ca="1">IF(OR(INDIRECT("'" &amp; Master!$F$8 &amp; Master!$F$6 &amp; "'!A" &amp; ROW(A950))="", INDIRECT("'" &amp; Master!$F$8 &amp; Master!$F$6 &amp; "'!A" &amp; ROW(A950))=0), "", INDIRECT("'" &amp; Master!$F$8 &amp; Master!$F$6 &amp; "'!A" &amp; ROW(A950)))</f>
        <v/>
      </c>
      <c r="B950" s="4" t="e">
        <f ca="1">SplineInterp(INDIRECT("A" &amp; ROW()),INDIRECT("'" &amp;Master!$F$10&amp; "'!$A$2:$A$50"),INDIRECT("'" &amp;Master!$F$10&amp; "'!$B$2:$B$50"))</f>
        <v>#VALUE!</v>
      </c>
      <c r="C950" s="4" t="e">
        <f ca="1">SplineInterp(A950,INDIRECT("'" &amp;Master!$F$10&amp; "'!$A$2:$A$50"),INDIRECT("'" &amp;Master!$F$10&amp; "'!$C$2:$C$50"))</f>
        <v>#VALUE!</v>
      </c>
      <c r="D950" s="4" t="e">
        <f ca="1">SplineInterp(A950,INDIRECT("'" &amp;Master!$F$10&amp; "'!$A$2:$A$50"),INDIRECT("'" &amp;Master!$F$10&amp; "'!$D$2:$D$50"))</f>
        <v>#VALUE!</v>
      </c>
      <c r="E950" s="4" t="e">
        <f ca="1">SplineInterp(A950,INDIRECT("'" &amp;Master!$F$10&amp; "'!$A$2:$A$50"),INDIRECT("'" &amp;Master!$F$10&amp; "'!$E$2:$E$50"))</f>
        <v>#VALUE!</v>
      </c>
      <c r="F950" s="4" t="e">
        <f ca="1">SplineInterp(A950,INDIRECT("'" &amp;Master!$F$10&amp; "'!$A$2:$A$50"),INDIRECT("'" &amp;Master!$F$10&amp; "'!$F$2:$F$50"))</f>
        <v>#VALUE!</v>
      </c>
      <c r="G950" s="4" t="e">
        <f ca="1">SplineInterp(A950,INDIRECT("'" &amp;Master!$F$10&amp; "'!$A$2:$A$50"),INDIRECT("'" &amp;Master!$F$10&amp; "'!$G$2:$G$50"))</f>
        <v>#VALUE!</v>
      </c>
      <c r="H950" s="4" t="e">
        <f ca="1">SplineInterp(A950,INDIRECT("'" &amp;Master!$F$10&amp; "'!$A$2:$A$50"),INDIRECT("'" &amp;Master!$F$10&amp; "'!$H$2:$H$50"))</f>
        <v>#VALUE!</v>
      </c>
      <c r="I950" s="4" t="e">
        <f ca="1">IF(OR(INDIRECT("'" &amp; Master!$F$8 &amp; Master!$F$6 &amp; "'!B" &amp; ROW(B950))="", INDIRECT("'" &amp; Master!$F$8 &amp; Master!$F$6 &amp; "'!B" &amp; ROW(B950))=0), "", INDIRECT("'" &amp; Master!$F$8 &amp; Master!$F$6 &amp; "'!B" &amp; ROW(B950)))</f>
        <v>#VALUE!</v>
      </c>
      <c r="J950" s="9" t="e">
        <f t="shared" ca="1" si="98"/>
        <v>#VALUE!</v>
      </c>
      <c r="K950" s="7" t="e">
        <f t="shared" ca="1" si="99"/>
        <v>#VALUE!</v>
      </c>
      <c r="L950" s="7" t="e">
        <f t="shared" ca="1" si="100"/>
        <v>#VALUE!</v>
      </c>
      <c r="M950" s="7" t="e">
        <f t="shared" ca="1" si="101"/>
        <v>#VALUE!</v>
      </c>
      <c r="N950" s="7" t="e">
        <f t="shared" ca="1" si="102"/>
        <v>#VALUE!</v>
      </c>
      <c r="O950" s="7" t="e">
        <f t="shared" ca="1" si="103"/>
        <v>#VALUE!</v>
      </c>
      <c r="P950" s="7" t="e">
        <f t="shared" ca="1" si="104"/>
        <v>#VALUE!</v>
      </c>
    </row>
    <row r="951" spans="1:16" x14ac:dyDescent="0.25">
      <c r="A951" s="19" t="str">
        <f ca="1">IF(OR(INDIRECT("'" &amp; Master!$F$8 &amp; Master!$F$6 &amp; "'!A" &amp; ROW(A951))="", INDIRECT("'" &amp; Master!$F$8 &amp; Master!$F$6 &amp; "'!A" &amp; ROW(A951))=0), "", INDIRECT("'" &amp; Master!$F$8 &amp; Master!$F$6 &amp; "'!A" &amp; ROW(A951)))</f>
        <v/>
      </c>
      <c r="B951" s="4" t="e">
        <f ca="1">SplineInterp(INDIRECT("A" &amp; ROW()),INDIRECT("'" &amp;Master!$F$10&amp; "'!$A$2:$A$50"),INDIRECT("'" &amp;Master!$F$10&amp; "'!$B$2:$B$50"))</f>
        <v>#VALUE!</v>
      </c>
      <c r="C951" s="4" t="e">
        <f ca="1">SplineInterp(A951,INDIRECT("'" &amp;Master!$F$10&amp; "'!$A$2:$A$50"),INDIRECT("'" &amp;Master!$F$10&amp; "'!$C$2:$C$50"))</f>
        <v>#VALUE!</v>
      </c>
      <c r="D951" s="4" t="e">
        <f ca="1">SplineInterp(A951,INDIRECT("'" &amp;Master!$F$10&amp; "'!$A$2:$A$50"),INDIRECT("'" &amp;Master!$F$10&amp; "'!$D$2:$D$50"))</f>
        <v>#VALUE!</v>
      </c>
      <c r="E951" s="4" t="e">
        <f ca="1">SplineInterp(A951,INDIRECT("'" &amp;Master!$F$10&amp; "'!$A$2:$A$50"),INDIRECT("'" &amp;Master!$F$10&amp; "'!$E$2:$E$50"))</f>
        <v>#VALUE!</v>
      </c>
      <c r="F951" s="4" t="e">
        <f ca="1">SplineInterp(A951,INDIRECT("'" &amp;Master!$F$10&amp; "'!$A$2:$A$50"),INDIRECT("'" &amp;Master!$F$10&amp; "'!$F$2:$F$50"))</f>
        <v>#VALUE!</v>
      </c>
      <c r="G951" s="4" t="e">
        <f ca="1">SplineInterp(A951,INDIRECT("'" &amp;Master!$F$10&amp; "'!$A$2:$A$50"),INDIRECT("'" &amp;Master!$F$10&amp; "'!$G$2:$G$50"))</f>
        <v>#VALUE!</v>
      </c>
      <c r="H951" s="4" t="e">
        <f ca="1">SplineInterp(A951,INDIRECT("'" &amp;Master!$F$10&amp; "'!$A$2:$A$50"),INDIRECT("'" &amp;Master!$F$10&amp; "'!$H$2:$H$50"))</f>
        <v>#VALUE!</v>
      </c>
      <c r="I951" s="4" t="e">
        <f ca="1">IF(OR(INDIRECT("'" &amp; Master!$F$8 &amp; Master!$F$6 &amp; "'!B" &amp; ROW(B951))="", INDIRECT("'" &amp; Master!$F$8 &amp; Master!$F$6 &amp; "'!B" &amp; ROW(B951))=0), "", INDIRECT("'" &amp; Master!$F$8 &amp; Master!$F$6 &amp; "'!B" &amp; ROW(B951)))</f>
        <v>#VALUE!</v>
      </c>
      <c r="J951" s="9" t="e">
        <f t="shared" ca="1" si="98"/>
        <v>#VALUE!</v>
      </c>
      <c r="K951" s="7" t="e">
        <f t="shared" ca="1" si="99"/>
        <v>#VALUE!</v>
      </c>
      <c r="L951" s="7" t="e">
        <f t="shared" ca="1" si="100"/>
        <v>#VALUE!</v>
      </c>
      <c r="M951" s="7" t="e">
        <f t="shared" ca="1" si="101"/>
        <v>#VALUE!</v>
      </c>
      <c r="N951" s="7" t="e">
        <f t="shared" ca="1" si="102"/>
        <v>#VALUE!</v>
      </c>
      <c r="O951" s="7" t="e">
        <f t="shared" ca="1" si="103"/>
        <v>#VALUE!</v>
      </c>
      <c r="P951" s="7" t="e">
        <f t="shared" ca="1" si="104"/>
        <v>#VALUE!</v>
      </c>
    </row>
    <row r="952" spans="1:16" x14ac:dyDescent="0.25">
      <c r="A952" s="19" t="str">
        <f ca="1">IF(OR(INDIRECT("'" &amp; Master!$F$8 &amp; Master!$F$6 &amp; "'!A" &amp; ROW(A952))="", INDIRECT("'" &amp; Master!$F$8 &amp; Master!$F$6 &amp; "'!A" &amp; ROW(A952))=0), "", INDIRECT("'" &amp; Master!$F$8 &amp; Master!$F$6 &amp; "'!A" &amp; ROW(A952)))</f>
        <v/>
      </c>
      <c r="B952" s="4" t="e">
        <f ca="1">SplineInterp(INDIRECT("A" &amp; ROW()),INDIRECT("'" &amp;Master!$F$10&amp; "'!$A$2:$A$50"),INDIRECT("'" &amp;Master!$F$10&amp; "'!$B$2:$B$50"))</f>
        <v>#VALUE!</v>
      </c>
      <c r="C952" s="4" t="e">
        <f ca="1">SplineInterp(A952,INDIRECT("'" &amp;Master!$F$10&amp; "'!$A$2:$A$50"),INDIRECT("'" &amp;Master!$F$10&amp; "'!$C$2:$C$50"))</f>
        <v>#VALUE!</v>
      </c>
      <c r="D952" s="4" t="e">
        <f ca="1">SplineInterp(A952,INDIRECT("'" &amp;Master!$F$10&amp; "'!$A$2:$A$50"),INDIRECT("'" &amp;Master!$F$10&amp; "'!$D$2:$D$50"))</f>
        <v>#VALUE!</v>
      </c>
      <c r="E952" s="4" t="e">
        <f ca="1">SplineInterp(A952,INDIRECT("'" &amp;Master!$F$10&amp; "'!$A$2:$A$50"),INDIRECT("'" &amp;Master!$F$10&amp; "'!$E$2:$E$50"))</f>
        <v>#VALUE!</v>
      </c>
      <c r="F952" s="4" t="e">
        <f ca="1">SplineInterp(A952,INDIRECT("'" &amp;Master!$F$10&amp; "'!$A$2:$A$50"),INDIRECT("'" &amp;Master!$F$10&amp; "'!$F$2:$F$50"))</f>
        <v>#VALUE!</v>
      </c>
      <c r="G952" s="4" t="e">
        <f ca="1">SplineInterp(A952,INDIRECT("'" &amp;Master!$F$10&amp; "'!$A$2:$A$50"),INDIRECT("'" &amp;Master!$F$10&amp; "'!$G$2:$G$50"))</f>
        <v>#VALUE!</v>
      </c>
      <c r="H952" s="4" t="e">
        <f ca="1">SplineInterp(A952,INDIRECT("'" &amp;Master!$F$10&amp; "'!$A$2:$A$50"),INDIRECT("'" &amp;Master!$F$10&amp; "'!$H$2:$H$50"))</f>
        <v>#VALUE!</v>
      </c>
      <c r="I952" s="4" t="e">
        <f ca="1">IF(OR(INDIRECT("'" &amp; Master!$F$8 &amp; Master!$F$6 &amp; "'!B" &amp; ROW(B952))="", INDIRECT("'" &amp; Master!$F$8 &amp; Master!$F$6 &amp; "'!B" &amp; ROW(B952))=0), "", INDIRECT("'" &amp; Master!$F$8 &amp; Master!$F$6 &amp; "'!B" &amp; ROW(B952)))</f>
        <v>#VALUE!</v>
      </c>
      <c r="J952" s="9" t="e">
        <f t="shared" ca="1" si="98"/>
        <v>#VALUE!</v>
      </c>
      <c r="K952" s="7" t="e">
        <f t="shared" ca="1" si="99"/>
        <v>#VALUE!</v>
      </c>
      <c r="L952" s="7" t="e">
        <f t="shared" ca="1" si="100"/>
        <v>#VALUE!</v>
      </c>
      <c r="M952" s="7" t="e">
        <f t="shared" ca="1" si="101"/>
        <v>#VALUE!</v>
      </c>
      <c r="N952" s="7" t="e">
        <f t="shared" ca="1" si="102"/>
        <v>#VALUE!</v>
      </c>
      <c r="O952" s="7" t="e">
        <f t="shared" ca="1" si="103"/>
        <v>#VALUE!</v>
      </c>
      <c r="P952" s="7" t="e">
        <f t="shared" ca="1" si="104"/>
        <v>#VALUE!</v>
      </c>
    </row>
    <row r="953" spans="1:16" x14ac:dyDescent="0.25">
      <c r="A953" s="19" t="str">
        <f ca="1">IF(OR(INDIRECT("'" &amp; Master!$F$8 &amp; Master!$F$6 &amp; "'!A" &amp; ROW(A953))="", INDIRECT("'" &amp; Master!$F$8 &amp; Master!$F$6 &amp; "'!A" &amp; ROW(A953))=0), "", INDIRECT("'" &amp; Master!$F$8 &amp; Master!$F$6 &amp; "'!A" &amp; ROW(A953)))</f>
        <v/>
      </c>
      <c r="B953" s="4" t="e">
        <f ca="1">SplineInterp(INDIRECT("A" &amp; ROW()),INDIRECT("'" &amp;Master!$F$10&amp; "'!$A$2:$A$50"),INDIRECT("'" &amp;Master!$F$10&amp; "'!$B$2:$B$50"))</f>
        <v>#VALUE!</v>
      </c>
      <c r="C953" s="4" t="e">
        <f ca="1">SplineInterp(A953,INDIRECT("'" &amp;Master!$F$10&amp; "'!$A$2:$A$50"),INDIRECT("'" &amp;Master!$F$10&amp; "'!$C$2:$C$50"))</f>
        <v>#VALUE!</v>
      </c>
      <c r="D953" s="4" t="e">
        <f ca="1">SplineInterp(A953,INDIRECT("'" &amp;Master!$F$10&amp; "'!$A$2:$A$50"),INDIRECT("'" &amp;Master!$F$10&amp; "'!$D$2:$D$50"))</f>
        <v>#VALUE!</v>
      </c>
      <c r="E953" s="4" t="e">
        <f ca="1">SplineInterp(A953,INDIRECT("'" &amp;Master!$F$10&amp; "'!$A$2:$A$50"),INDIRECT("'" &amp;Master!$F$10&amp; "'!$E$2:$E$50"))</f>
        <v>#VALUE!</v>
      </c>
      <c r="F953" s="4" t="e">
        <f ca="1">SplineInterp(A953,INDIRECT("'" &amp;Master!$F$10&amp; "'!$A$2:$A$50"),INDIRECT("'" &amp;Master!$F$10&amp; "'!$F$2:$F$50"))</f>
        <v>#VALUE!</v>
      </c>
      <c r="G953" s="4" t="e">
        <f ca="1">SplineInterp(A953,INDIRECT("'" &amp;Master!$F$10&amp; "'!$A$2:$A$50"),INDIRECT("'" &amp;Master!$F$10&amp; "'!$G$2:$G$50"))</f>
        <v>#VALUE!</v>
      </c>
      <c r="H953" s="4" t="e">
        <f ca="1">SplineInterp(A953,INDIRECT("'" &amp;Master!$F$10&amp; "'!$A$2:$A$50"),INDIRECT("'" &amp;Master!$F$10&amp; "'!$H$2:$H$50"))</f>
        <v>#VALUE!</v>
      </c>
      <c r="I953" s="4" t="e">
        <f ca="1">IF(OR(INDIRECT("'" &amp; Master!$F$8 &amp; Master!$F$6 &amp; "'!B" &amp; ROW(B953))="", INDIRECT("'" &amp; Master!$F$8 &amp; Master!$F$6 &amp; "'!B" &amp; ROW(B953))=0), "", INDIRECT("'" &amp; Master!$F$8 &amp; Master!$F$6 &amp; "'!B" &amp; ROW(B953)))</f>
        <v>#VALUE!</v>
      </c>
      <c r="J953" s="9" t="e">
        <f t="shared" ca="1" si="98"/>
        <v>#VALUE!</v>
      </c>
      <c r="K953" s="7" t="e">
        <f t="shared" ca="1" si="99"/>
        <v>#VALUE!</v>
      </c>
      <c r="L953" s="7" t="e">
        <f t="shared" ca="1" si="100"/>
        <v>#VALUE!</v>
      </c>
      <c r="M953" s="7" t="e">
        <f t="shared" ca="1" si="101"/>
        <v>#VALUE!</v>
      </c>
      <c r="N953" s="7" t="e">
        <f t="shared" ca="1" si="102"/>
        <v>#VALUE!</v>
      </c>
      <c r="O953" s="7" t="e">
        <f t="shared" ca="1" si="103"/>
        <v>#VALUE!</v>
      </c>
      <c r="P953" s="7" t="e">
        <f t="shared" ca="1" si="104"/>
        <v>#VALUE!</v>
      </c>
    </row>
    <row r="954" spans="1:16" x14ac:dyDescent="0.25">
      <c r="A954" s="19" t="str">
        <f ca="1">IF(OR(INDIRECT("'" &amp; Master!$F$8 &amp; Master!$F$6 &amp; "'!A" &amp; ROW(A954))="", INDIRECT("'" &amp; Master!$F$8 &amp; Master!$F$6 &amp; "'!A" &amp; ROW(A954))=0), "", INDIRECT("'" &amp; Master!$F$8 &amp; Master!$F$6 &amp; "'!A" &amp; ROW(A954)))</f>
        <v/>
      </c>
      <c r="B954" s="4" t="e">
        <f ca="1">SplineInterp(INDIRECT("A" &amp; ROW()),INDIRECT("'" &amp;Master!$F$10&amp; "'!$A$2:$A$50"),INDIRECT("'" &amp;Master!$F$10&amp; "'!$B$2:$B$50"))</f>
        <v>#VALUE!</v>
      </c>
      <c r="C954" s="4" t="e">
        <f ca="1">SplineInterp(A954,INDIRECT("'" &amp;Master!$F$10&amp; "'!$A$2:$A$50"),INDIRECT("'" &amp;Master!$F$10&amp; "'!$C$2:$C$50"))</f>
        <v>#VALUE!</v>
      </c>
      <c r="D954" s="4" t="e">
        <f ca="1">SplineInterp(A954,INDIRECT("'" &amp;Master!$F$10&amp; "'!$A$2:$A$50"),INDIRECT("'" &amp;Master!$F$10&amp; "'!$D$2:$D$50"))</f>
        <v>#VALUE!</v>
      </c>
      <c r="E954" s="4" t="e">
        <f ca="1">SplineInterp(A954,INDIRECT("'" &amp;Master!$F$10&amp; "'!$A$2:$A$50"),INDIRECT("'" &amp;Master!$F$10&amp; "'!$E$2:$E$50"))</f>
        <v>#VALUE!</v>
      </c>
      <c r="F954" s="4" t="e">
        <f ca="1">SplineInterp(A954,INDIRECT("'" &amp;Master!$F$10&amp; "'!$A$2:$A$50"),INDIRECT("'" &amp;Master!$F$10&amp; "'!$F$2:$F$50"))</f>
        <v>#VALUE!</v>
      </c>
      <c r="G954" s="4" t="e">
        <f ca="1">SplineInterp(A954,INDIRECT("'" &amp;Master!$F$10&amp; "'!$A$2:$A$50"),INDIRECT("'" &amp;Master!$F$10&amp; "'!$G$2:$G$50"))</f>
        <v>#VALUE!</v>
      </c>
      <c r="H954" s="4" t="e">
        <f ca="1">SplineInterp(A954,INDIRECT("'" &amp;Master!$F$10&amp; "'!$A$2:$A$50"),INDIRECT("'" &amp;Master!$F$10&amp; "'!$H$2:$H$50"))</f>
        <v>#VALUE!</v>
      </c>
      <c r="I954" s="4" t="e">
        <f ca="1">IF(OR(INDIRECT("'" &amp; Master!$F$8 &amp; Master!$F$6 &amp; "'!B" &amp; ROW(B954))="", INDIRECT("'" &amp; Master!$F$8 &amp; Master!$F$6 &amp; "'!B" &amp; ROW(B954))=0), "", INDIRECT("'" &amp; Master!$F$8 &amp; Master!$F$6 &amp; "'!B" &amp; ROW(B954)))</f>
        <v>#VALUE!</v>
      </c>
      <c r="J954" s="9" t="e">
        <f t="shared" ca="1" si="98"/>
        <v>#VALUE!</v>
      </c>
      <c r="K954" s="7" t="e">
        <f t="shared" ca="1" si="99"/>
        <v>#VALUE!</v>
      </c>
      <c r="L954" s="7" t="e">
        <f t="shared" ca="1" si="100"/>
        <v>#VALUE!</v>
      </c>
      <c r="M954" s="7" t="e">
        <f t="shared" ca="1" si="101"/>
        <v>#VALUE!</v>
      </c>
      <c r="N954" s="7" t="e">
        <f t="shared" ca="1" si="102"/>
        <v>#VALUE!</v>
      </c>
      <c r="O954" s="7" t="e">
        <f t="shared" ca="1" si="103"/>
        <v>#VALUE!</v>
      </c>
      <c r="P954" s="7" t="e">
        <f t="shared" ca="1" si="104"/>
        <v>#VALUE!</v>
      </c>
    </row>
    <row r="955" spans="1:16" x14ac:dyDescent="0.25">
      <c r="A955" s="19" t="str">
        <f ca="1">IF(OR(INDIRECT("'" &amp; Master!$F$8 &amp; Master!$F$6 &amp; "'!A" &amp; ROW(A955))="", INDIRECT("'" &amp; Master!$F$8 &amp; Master!$F$6 &amp; "'!A" &amp; ROW(A955))=0), "", INDIRECT("'" &amp; Master!$F$8 &amp; Master!$F$6 &amp; "'!A" &amp; ROW(A955)))</f>
        <v/>
      </c>
      <c r="B955" s="4" t="e">
        <f ca="1">SplineInterp(INDIRECT("A" &amp; ROW()),INDIRECT("'" &amp;Master!$F$10&amp; "'!$A$2:$A$50"),INDIRECT("'" &amp;Master!$F$10&amp; "'!$B$2:$B$50"))</f>
        <v>#VALUE!</v>
      </c>
      <c r="C955" s="4" t="e">
        <f ca="1">SplineInterp(A955,INDIRECT("'" &amp;Master!$F$10&amp; "'!$A$2:$A$50"),INDIRECT("'" &amp;Master!$F$10&amp; "'!$C$2:$C$50"))</f>
        <v>#VALUE!</v>
      </c>
      <c r="D955" s="4" t="e">
        <f ca="1">SplineInterp(A955,INDIRECT("'" &amp;Master!$F$10&amp; "'!$A$2:$A$50"),INDIRECT("'" &amp;Master!$F$10&amp; "'!$D$2:$D$50"))</f>
        <v>#VALUE!</v>
      </c>
      <c r="E955" s="4" t="e">
        <f ca="1">SplineInterp(A955,INDIRECT("'" &amp;Master!$F$10&amp; "'!$A$2:$A$50"),INDIRECT("'" &amp;Master!$F$10&amp; "'!$E$2:$E$50"))</f>
        <v>#VALUE!</v>
      </c>
      <c r="F955" s="4" t="e">
        <f ca="1">SplineInterp(A955,INDIRECT("'" &amp;Master!$F$10&amp; "'!$A$2:$A$50"),INDIRECT("'" &amp;Master!$F$10&amp; "'!$F$2:$F$50"))</f>
        <v>#VALUE!</v>
      </c>
      <c r="G955" s="4" t="e">
        <f ca="1">SplineInterp(A955,INDIRECT("'" &amp;Master!$F$10&amp; "'!$A$2:$A$50"),INDIRECT("'" &amp;Master!$F$10&amp; "'!$G$2:$G$50"))</f>
        <v>#VALUE!</v>
      </c>
      <c r="H955" s="4" t="e">
        <f ca="1">SplineInterp(A955,INDIRECT("'" &amp;Master!$F$10&amp; "'!$A$2:$A$50"),INDIRECT("'" &amp;Master!$F$10&amp; "'!$H$2:$H$50"))</f>
        <v>#VALUE!</v>
      </c>
      <c r="I955" s="4" t="e">
        <f ca="1">IF(OR(INDIRECT("'" &amp; Master!$F$8 &amp; Master!$F$6 &amp; "'!B" &amp; ROW(B955))="", INDIRECT("'" &amp; Master!$F$8 &amp; Master!$F$6 &amp; "'!B" &amp; ROW(B955))=0), "", INDIRECT("'" &amp; Master!$F$8 &amp; Master!$F$6 &amp; "'!B" &amp; ROW(B955)))</f>
        <v>#VALUE!</v>
      </c>
      <c r="J955" s="9" t="e">
        <f t="shared" ca="1" si="98"/>
        <v>#VALUE!</v>
      </c>
      <c r="K955" s="7" t="e">
        <f t="shared" ca="1" si="99"/>
        <v>#VALUE!</v>
      </c>
      <c r="L955" s="7" t="e">
        <f t="shared" ca="1" si="100"/>
        <v>#VALUE!</v>
      </c>
      <c r="M955" s="7" t="e">
        <f t="shared" ca="1" si="101"/>
        <v>#VALUE!</v>
      </c>
      <c r="N955" s="7" t="e">
        <f t="shared" ca="1" si="102"/>
        <v>#VALUE!</v>
      </c>
      <c r="O955" s="7" t="e">
        <f t="shared" ca="1" si="103"/>
        <v>#VALUE!</v>
      </c>
      <c r="P955" s="7" t="e">
        <f t="shared" ca="1" si="104"/>
        <v>#VALUE!</v>
      </c>
    </row>
    <row r="956" spans="1:16" x14ac:dyDescent="0.25">
      <c r="A956" s="19" t="str">
        <f ca="1">IF(OR(INDIRECT("'" &amp; Master!$F$8 &amp; Master!$F$6 &amp; "'!A" &amp; ROW(A956))="", INDIRECT("'" &amp; Master!$F$8 &amp; Master!$F$6 &amp; "'!A" &amp; ROW(A956))=0), "", INDIRECT("'" &amp; Master!$F$8 &amp; Master!$F$6 &amp; "'!A" &amp; ROW(A956)))</f>
        <v/>
      </c>
      <c r="B956" s="4" t="e">
        <f ca="1">SplineInterp(INDIRECT("A" &amp; ROW()),INDIRECT("'" &amp;Master!$F$10&amp; "'!$A$2:$A$50"),INDIRECT("'" &amp;Master!$F$10&amp; "'!$B$2:$B$50"))</f>
        <v>#VALUE!</v>
      </c>
      <c r="C956" s="4" t="e">
        <f ca="1">SplineInterp(A956,INDIRECT("'" &amp;Master!$F$10&amp; "'!$A$2:$A$50"),INDIRECT("'" &amp;Master!$F$10&amp; "'!$C$2:$C$50"))</f>
        <v>#VALUE!</v>
      </c>
      <c r="D956" s="4" t="e">
        <f ca="1">SplineInterp(A956,INDIRECT("'" &amp;Master!$F$10&amp; "'!$A$2:$A$50"),INDIRECT("'" &amp;Master!$F$10&amp; "'!$D$2:$D$50"))</f>
        <v>#VALUE!</v>
      </c>
      <c r="E956" s="4" t="e">
        <f ca="1">SplineInterp(A956,INDIRECT("'" &amp;Master!$F$10&amp; "'!$A$2:$A$50"),INDIRECT("'" &amp;Master!$F$10&amp; "'!$E$2:$E$50"))</f>
        <v>#VALUE!</v>
      </c>
      <c r="F956" s="4" t="e">
        <f ca="1">SplineInterp(A956,INDIRECT("'" &amp;Master!$F$10&amp; "'!$A$2:$A$50"),INDIRECT("'" &amp;Master!$F$10&amp; "'!$F$2:$F$50"))</f>
        <v>#VALUE!</v>
      </c>
      <c r="G956" s="4" t="e">
        <f ca="1">SplineInterp(A956,INDIRECT("'" &amp;Master!$F$10&amp; "'!$A$2:$A$50"),INDIRECT("'" &amp;Master!$F$10&amp; "'!$G$2:$G$50"))</f>
        <v>#VALUE!</v>
      </c>
      <c r="H956" s="4" t="e">
        <f ca="1">SplineInterp(A956,INDIRECT("'" &amp;Master!$F$10&amp; "'!$A$2:$A$50"),INDIRECT("'" &amp;Master!$F$10&amp; "'!$H$2:$H$50"))</f>
        <v>#VALUE!</v>
      </c>
      <c r="I956" s="4" t="e">
        <f ca="1">IF(OR(INDIRECT("'" &amp; Master!$F$8 &amp; Master!$F$6 &amp; "'!B" &amp; ROW(B956))="", INDIRECT("'" &amp; Master!$F$8 &amp; Master!$F$6 &amp; "'!B" &amp; ROW(B956))=0), "", INDIRECT("'" &amp; Master!$F$8 &amp; Master!$F$6 &amp; "'!B" &amp; ROW(B956)))</f>
        <v>#VALUE!</v>
      </c>
      <c r="J956" s="9" t="e">
        <f t="shared" ca="1" si="98"/>
        <v>#VALUE!</v>
      </c>
      <c r="K956" s="7" t="e">
        <f t="shared" ca="1" si="99"/>
        <v>#VALUE!</v>
      </c>
      <c r="L956" s="7" t="e">
        <f t="shared" ca="1" si="100"/>
        <v>#VALUE!</v>
      </c>
      <c r="M956" s="7" t="e">
        <f t="shared" ca="1" si="101"/>
        <v>#VALUE!</v>
      </c>
      <c r="N956" s="7" t="e">
        <f t="shared" ca="1" si="102"/>
        <v>#VALUE!</v>
      </c>
      <c r="O956" s="7" t="e">
        <f t="shared" ca="1" si="103"/>
        <v>#VALUE!</v>
      </c>
      <c r="P956" s="7" t="e">
        <f t="shared" ca="1" si="104"/>
        <v>#VALUE!</v>
      </c>
    </row>
    <row r="957" spans="1:16" x14ac:dyDescent="0.25">
      <c r="A957" s="19" t="str">
        <f ca="1">IF(OR(INDIRECT("'" &amp; Master!$F$8 &amp; Master!$F$6 &amp; "'!A" &amp; ROW(A957))="", INDIRECT("'" &amp; Master!$F$8 &amp; Master!$F$6 &amp; "'!A" &amp; ROW(A957))=0), "", INDIRECT("'" &amp; Master!$F$8 &amp; Master!$F$6 &amp; "'!A" &amp; ROW(A957)))</f>
        <v/>
      </c>
      <c r="B957" s="4" t="e">
        <f ca="1">SplineInterp(INDIRECT("A" &amp; ROW()),INDIRECT("'" &amp;Master!$F$10&amp; "'!$A$2:$A$50"),INDIRECT("'" &amp;Master!$F$10&amp; "'!$B$2:$B$50"))</f>
        <v>#VALUE!</v>
      </c>
      <c r="C957" s="4" t="e">
        <f ca="1">SplineInterp(A957,INDIRECT("'" &amp;Master!$F$10&amp; "'!$A$2:$A$50"),INDIRECT("'" &amp;Master!$F$10&amp; "'!$C$2:$C$50"))</f>
        <v>#VALUE!</v>
      </c>
      <c r="D957" s="4" t="e">
        <f ca="1">SplineInterp(A957,INDIRECT("'" &amp;Master!$F$10&amp; "'!$A$2:$A$50"),INDIRECT("'" &amp;Master!$F$10&amp; "'!$D$2:$D$50"))</f>
        <v>#VALUE!</v>
      </c>
      <c r="E957" s="4" t="e">
        <f ca="1">SplineInterp(A957,INDIRECT("'" &amp;Master!$F$10&amp; "'!$A$2:$A$50"),INDIRECT("'" &amp;Master!$F$10&amp; "'!$E$2:$E$50"))</f>
        <v>#VALUE!</v>
      </c>
      <c r="F957" s="4" t="e">
        <f ca="1">SplineInterp(A957,INDIRECT("'" &amp;Master!$F$10&amp; "'!$A$2:$A$50"),INDIRECT("'" &amp;Master!$F$10&amp; "'!$F$2:$F$50"))</f>
        <v>#VALUE!</v>
      </c>
      <c r="G957" s="4" t="e">
        <f ca="1">SplineInterp(A957,INDIRECT("'" &amp;Master!$F$10&amp; "'!$A$2:$A$50"),INDIRECT("'" &amp;Master!$F$10&amp; "'!$G$2:$G$50"))</f>
        <v>#VALUE!</v>
      </c>
      <c r="H957" s="4" t="e">
        <f ca="1">SplineInterp(A957,INDIRECT("'" &amp;Master!$F$10&amp; "'!$A$2:$A$50"),INDIRECT("'" &amp;Master!$F$10&amp; "'!$H$2:$H$50"))</f>
        <v>#VALUE!</v>
      </c>
      <c r="I957" s="4" t="e">
        <f ca="1">IF(OR(INDIRECT("'" &amp; Master!$F$8 &amp; Master!$F$6 &amp; "'!B" &amp; ROW(B957))="", INDIRECT("'" &amp; Master!$F$8 &amp; Master!$F$6 &amp; "'!B" &amp; ROW(B957))=0), "", INDIRECT("'" &amp; Master!$F$8 &amp; Master!$F$6 &amp; "'!B" &amp; ROW(B957)))</f>
        <v>#VALUE!</v>
      </c>
      <c r="J957" s="9" t="e">
        <f t="shared" ca="1" si="98"/>
        <v>#VALUE!</v>
      </c>
      <c r="K957" s="7" t="e">
        <f t="shared" ca="1" si="99"/>
        <v>#VALUE!</v>
      </c>
      <c r="L957" s="7" t="e">
        <f t="shared" ca="1" si="100"/>
        <v>#VALUE!</v>
      </c>
      <c r="M957" s="7" t="e">
        <f t="shared" ca="1" si="101"/>
        <v>#VALUE!</v>
      </c>
      <c r="N957" s="7" t="e">
        <f t="shared" ca="1" si="102"/>
        <v>#VALUE!</v>
      </c>
      <c r="O957" s="7" t="e">
        <f t="shared" ca="1" si="103"/>
        <v>#VALUE!</v>
      </c>
      <c r="P957" s="7" t="e">
        <f t="shared" ca="1" si="104"/>
        <v>#VALUE!</v>
      </c>
    </row>
    <row r="958" spans="1:16" x14ac:dyDescent="0.25">
      <c r="A958" s="19" t="str">
        <f ca="1">IF(OR(INDIRECT("'" &amp; Master!$F$8 &amp; Master!$F$6 &amp; "'!A" &amp; ROW(A958))="", INDIRECT("'" &amp; Master!$F$8 &amp; Master!$F$6 &amp; "'!A" &amp; ROW(A958))=0), "", INDIRECT("'" &amp; Master!$F$8 &amp; Master!$F$6 &amp; "'!A" &amp; ROW(A958)))</f>
        <v/>
      </c>
      <c r="B958" s="4" t="e">
        <f ca="1">SplineInterp(INDIRECT("A" &amp; ROW()),INDIRECT("'" &amp;Master!$F$10&amp; "'!$A$2:$A$50"),INDIRECT("'" &amp;Master!$F$10&amp; "'!$B$2:$B$50"))</f>
        <v>#VALUE!</v>
      </c>
      <c r="C958" s="4" t="e">
        <f ca="1">SplineInterp(A958,INDIRECT("'" &amp;Master!$F$10&amp; "'!$A$2:$A$50"),INDIRECT("'" &amp;Master!$F$10&amp; "'!$C$2:$C$50"))</f>
        <v>#VALUE!</v>
      </c>
      <c r="D958" s="4" t="e">
        <f ca="1">SplineInterp(A958,INDIRECT("'" &amp;Master!$F$10&amp; "'!$A$2:$A$50"),INDIRECT("'" &amp;Master!$F$10&amp; "'!$D$2:$D$50"))</f>
        <v>#VALUE!</v>
      </c>
      <c r="E958" s="4" t="e">
        <f ca="1">SplineInterp(A958,INDIRECT("'" &amp;Master!$F$10&amp; "'!$A$2:$A$50"),INDIRECT("'" &amp;Master!$F$10&amp; "'!$E$2:$E$50"))</f>
        <v>#VALUE!</v>
      </c>
      <c r="F958" s="4" t="e">
        <f ca="1">SplineInterp(A958,INDIRECT("'" &amp;Master!$F$10&amp; "'!$A$2:$A$50"),INDIRECT("'" &amp;Master!$F$10&amp; "'!$F$2:$F$50"))</f>
        <v>#VALUE!</v>
      </c>
      <c r="G958" s="4" t="e">
        <f ca="1">SplineInterp(A958,INDIRECT("'" &amp;Master!$F$10&amp; "'!$A$2:$A$50"),INDIRECT("'" &amp;Master!$F$10&amp; "'!$G$2:$G$50"))</f>
        <v>#VALUE!</v>
      </c>
      <c r="H958" s="4" t="e">
        <f ca="1">SplineInterp(A958,INDIRECT("'" &amp;Master!$F$10&amp; "'!$A$2:$A$50"),INDIRECT("'" &amp;Master!$F$10&amp; "'!$H$2:$H$50"))</f>
        <v>#VALUE!</v>
      </c>
      <c r="I958" s="4" t="e">
        <f ca="1">IF(OR(INDIRECT("'" &amp; Master!$F$8 &amp; Master!$F$6 &amp; "'!B" &amp; ROW(B958))="", INDIRECT("'" &amp; Master!$F$8 &amp; Master!$F$6 &amp; "'!B" &amp; ROW(B958))=0), "", INDIRECT("'" &amp; Master!$F$8 &amp; Master!$F$6 &amp; "'!B" &amp; ROW(B958)))</f>
        <v>#VALUE!</v>
      </c>
      <c r="J958" s="9" t="e">
        <f t="shared" ca="1" si="98"/>
        <v>#VALUE!</v>
      </c>
      <c r="K958" s="7" t="e">
        <f t="shared" ca="1" si="99"/>
        <v>#VALUE!</v>
      </c>
      <c r="L958" s="7" t="e">
        <f t="shared" ca="1" si="100"/>
        <v>#VALUE!</v>
      </c>
      <c r="M958" s="7" t="e">
        <f t="shared" ca="1" si="101"/>
        <v>#VALUE!</v>
      </c>
      <c r="N958" s="7" t="e">
        <f t="shared" ca="1" si="102"/>
        <v>#VALUE!</v>
      </c>
      <c r="O958" s="7" t="e">
        <f t="shared" ca="1" si="103"/>
        <v>#VALUE!</v>
      </c>
      <c r="P958" s="7" t="e">
        <f t="shared" ca="1" si="104"/>
        <v>#VALUE!</v>
      </c>
    </row>
    <row r="959" spans="1:16" x14ac:dyDescent="0.25">
      <c r="A959" s="19" t="str">
        <f ca="1">IF(OR(INDIRECT("'" &amp; Master!$F$8 &amp; Master!$F$6 &amp; "'!A" &amp; ROW(A959))="", INDIRECT("'" &amp; Master!$F$8 &amp; Master!$F$6 &amp; "'!A" &amp; ROW(A959))=0), "", INDIRECT("'" &amp; Master!$F$8 &amp; Master!$F$6 &amp; "'!A" &amp; ROW(A959)))</f>
        <v/>
      </c>
      <c r="B959" s="4" t="e">
        <f ca="1">SplineInterp(INDIRECT("A" &amp; ROW()),INDIRECT("'" &amp;Master!$F$10&amp; "'!$A$2:$A$50"),INDIRECT("'" &amp;Master!$F$10&amp; "'!$B$2:$B$50"))</f>
        <v>#VALUE!</v>
      </c>
      <c r="C959" s="4" t="e">
        <f ca="1">SplineInterp(A959,INDIRECT("'" &amp;Master!$F$10&amp; "'!$A$2:$A$50"),INDIRECT("'" &amp;Master!$F$10&amp; "'!$C$2:$C$50"))</f>
        <v>#VALUE!</v>
      </c>
      <c r="D959" s="4" t="e">
        <f ca="1">SplineInterp(A959,INDIRECT("'" &amp;Master!$F$10&amp; "'!$A$2:$A$50"),INDIRECT("'" &amp;Master!$F$10&amp; "'!$D$2:$D$50"))</f>
        <v>#VALUE!</v>
      </c>
      <c r="E959" s="4" t="e">
        <f ca="1">SplineInterp(A959,INDIRECT("'" &amp;Master!$F$10&amp; "'!$A$2:$A$50"),INDIRECT("'" &amp;Master!$F$10&amp; "'!$E$2:$E$50"))</f>
        <v>#VALUE!</v>
      </c>
      <c r="F959" s="4" t="e">
        <f ca="1">SplineInterp(A959,INDIRECT("'" &amp;Master!$F$10&amp; "'!$A$2:$A$50"),INDIRECT("'" &amp;Master!$F$10&amp; "'!$F$2:$F$50"))</f>
        <v>#VALUE!</v>
      </c>
      <c r="G959" s="4" t="e">
        <f ca="1">SplineInterp(A959,INDIRECT("'" &amp;Master!$F$10&amp; "'!$A$2:$A$50"),INDIRECT("'" &amp;Master!$F$10&amp; "'!$G$2:$G$50"))</f>
        <v>#VALUE!</v>
      </c>
      <c r="H959" s="4" t="e">
        <f ca="1">SplineInterp(A959,INDIRECT("'" &amp;Master!$F$10&amp; "'!$A$2:$A$50"),INDIRECT("'" &amp;Master!$F$10&amp; "'!$H$2:$H$50"))</f>
        <v>#VALUE!</v>
      </c>
      <c r="I959" s="4" t="e">
        <f ca="1">IF(OR(INDIRECT("'" &amp; Master!$F$8 &amp; Master!$F$6 &amp; "'!B" &amp; ROW(B959))="", INDIRECT("'" &amp; Master!$F$8 &amp; Master!$F$6 &amp; "'!B" &amp; ROW(B959))=0), "", INDIRECT("'" &amp; Master!$F$8 &amp; Master!$F$6 &amp; "'!B" &amp; ROW(B959)))</f>
        <v>#VALUE!</v>
      </c>
      <c r="J959" s="9" t="e">
        <f t="shared" ca="1" si="98"/>
        <v>#VALUE!</v>
      </c>
      <c r="K959" s="7" t="e">
        <f t="shared" ca="1" si="99"/>
        <v>#VALUE!</v>
      </c>
      <c r="L959" s="7" t="e">
        <f t="shared" ca="1" si="100"/>
        <v>#VALUE!</v>
      </c>
      <c r="M959" s="7" t="e">
        <f t="shared" ca="1" si="101"/>
        <v>#VALUE!</v>
      </c>
      <c r="N959" s="7" t="e">
        <f t="shared" ca="1" si="102"/>
        <v>#VALUE!</v>
      </c>
      <c r="O959" s="7" t="e">
        <f t="shared" ca="1" si="103"/>
        <v>#VALUE!</v>
      </c>
      <c r="P959" s="7" t="e">
        <f t="shared" ca="1" si="104"/>
        <v>#VALUE!</v>
      </c>
    </row>
    <row r="960" spans="1:16" x14ac:dyDescent="0.25">
      <c r="A960" s="19" t="str">
        <f ca="1">IF(OR(INDIRECT("'" &amp; Master!$F$8 &amp; Master!$F$6 &amp; "'!A" &amp; ROW(A960))="", INDIRECT("'" &amp; Master!$F$8 &amp; Master!$F$6 &amp; "'!A" &amp; ROW(A960))=0), "", INDIRECT("'" &amp; Master!$F$8 &amp; Master!$F$6 &amp; "'!A" &amp; ROW(A960)))</f>
        <v/>
      </c>
      <c r="B960" s="4" t="e">
        <f ca="1">SplineInterp(INDIRECT("A" &amp; ROW()),INDIRECT("'" &amp;Master!$F$10&amp; "'!$A$2:$A$50"),INDIRECT("'" &amp;Master!$F$10&amp; "'!$B$2:$B$50"))</f>
        <v>#VALUE!</v>
      </c>
      <c r="C960" s="4" t="e">
        <f ca="1">SplineInterp(A960,INDIRECT("'" &amp;Master!$F$10&amp; "'!$A$2:$A$50"),INDIRECT("'" &amp;Master!$F$10&amp; "'!$C$2:$C$50"))</f>
        <v>#VALUE!</v>
      </c>
      <c r="D960" s="4" t="e">
        <f ca="1">SplineInterp(A960,INDIRECT("'" &amp;Master!$F$10&amp; "'!$A$2:$A$50"),INDIRECT("'" &amp;Master!$F$10&amp; "'!$D$2:$D$50"))</f>
        <v>#VALUE!</v>
      </c>
      <c r="E960" s="4" t="e">
        <f ca="1">SplineInterp(A960,INDIRECT("'" &amp;Master!$F$10&amp; "'!$A$2:$A$50"),INDIRECT("'" &amp;Master!$F$10&amp; "'!$E$2:$E$50"))</f>
        <v>#VALUE!</v>
      </c>
      <c r="F960" s="4" t="e">
        <f ca="1">SplineInterp(A960,INDIRECT("'" &amp;Master!$F$10&amp; "'!$A$2:$A$50"),INDIRECT("'" &amp;Master!$F$10&amp; "'!$F$2:$F$50"))</f>
        <v>#VALUE!</v>
      </c>
      <c r="G960" s="4" t="e">
        <f ca="1">SplineInterp(A960,INDIRECT("'" &amp;Master!$F$10&amp; "'!$A$2:$A$50"),INDIRECT("'" &amp;Master!$F$10&amp; "'!$G$2:$G$50"))</f>
        <v>#VALUE!</v>
      </c>
      <c r="H960" s="4" t="e">
        <f ca="1">SplineInterp(A960,INDIRECT("'" &amp;Master!$F$10&amp; "'!$A$2:$A$50"),INDIRECT("'" &amp;Master!$F$10&amp; "'!$H$2:$H$50"))</f>
        <v>#VALUE!</v>
      </c>
      <c r="I960" s="4" t="e">
        <f ca="1">IF(OR(INDIRECT("'" &amp; Master!$F$8 &amp; Master!$F$6 &amp; "'!B" &amp; ROW(B960))="", INDIRECT("'" &amp; Master!$F$8 &amp; Master!$F$6 &amp; "'!B" &amp; ROW(B960))=0), "", INDIRECT("'" &amp; Master!$F$8 &amp; Master!$F$6 &amp; "'!B" &amp; ROW(B960)))</f>
        <v>#VALUE!</v>
      </c>
      <c r="J960" s="9" t="e">
        <f t="shared" ca="1" si="98"/>
        <v>#VALUE!</v>
      </c>
      <c r="K960" s="7" t="e">
        <f t="shared" ca="1" si="99"/>
        <v>#VALUE!</v>
      </c>
      <c r="L960" s="7" t="e">
        <f t="shared" ca="1" si="100"/>
        <v>#VALUE!</v>
      </c>
      <c r="M960" s="7" t="e">
        <f t="shared" ca="1" si="101"/>
        <v>#VALUE!</v>
      </c>
      <c r="N960" s="7" t="e">
        <f t="shared" ca="1" si="102"/>
        <v>#VALUE!</v>
      </c>
      <c r="O960" s="7" t="e">
        <f t="shared" ca="1" si="103"/>
        <v>#VALUE!</v>
      </c>
      <c r="P960" s="7" t="e">
        <f t="shared" ca="1" si="104"/>
        <v>#VALUE!</v>
      </c>
    </row>
    <row r="961" spans="1:16" x14ac:dyDescent="0.25">
      <c r="A961" s="19" t="str">
        <f ca="1">IF(OR(INDIRECT("'" &amp; Master!$F$8 &amp; Master!$F$6 &amp; "'!A" &amp; ROW(A961))="", INDIRECT("'" &amp; Master!$F$8 &amp; Master!$F$6 &amp; "'!A" &amp; ROW(A961))=0), "", INDIRECT("'" &amp; Master!$F$8 &amp; Master!$F$6 &amp; "'!A" &amp; ROW(A961)))</f>
        <v/>
      </c>
      <c r="B961" s="4" t="e">
        <f ca="1">SplineInterp(INDIRECT("A" &amp; ROW()),INDIRECT("'" &amp;Master!$F$10&amp; "'!$A$2:$A$50"),INDIRECT("'" &amp;Master!$F$10&amp; "'!$B$2:$B$50"))</f>
        <v>#VALUE!</v>
      </c>
      <c r="C961" s="4" t="e">
        <f ca="1">SplineInterp(A961,INDIRECT("'" &amp;Master!$F$10&amp; "'!$A$2:$A$50"),INDIRECT("'" &amp;Master!$F$10&amp; "'!$C$2:$C$50"))</f>
        <v>#VALUE!</v>
      </c>
      <c r="D961" s="4" t="e">
        <f ca="1">SplineInterp(A961,INDIRECT("'" &amp;Master!$F$10&amp; "'!$A$2:$A$50"),INDIRECT("'" &amp;Master!$F$10&amp; "'!$D$2:$D$50"))</f>
        <v>#VALUE!</v>
      </c>
      <c r="E961" s="4" t="e">
        <f ca="1">SplineInterp(A961,INDIRECT("'" &amp;Master!$F$10&amp; "'!$A$2:$A$50"),INDIRECT("'" &amp;Master!$F$10&amp; "'!$E$2:$E$50"))</f>
        <v>#VALUE!</v>
      </c>
      <c r="F961" s="4" t="e">
        <f ca="1">SplineInterp(A961,INDIRECT("'" &amp;Master!$F$10&amp; "'!$A$2:$A$50"),INDIRECT("'" &amp;Master!$F$10&amp; "'!$F$2:$F$50"))</f>
        <v>#VALUE!</v>
      </c>
      <c r="G961" s="4" t="e">
        <f ca="1">SplineInterp(A961,INDIRECT("'" &amp;Master!$F$10&amp; "'!$A$2:$A$50"),INDIRECT("'" &amp;Master!$F$10&amp; "'!$G$2:$G$50"))</f>
        <v>#VALUE!</v>
      </c>
      <c r="H961" s="4" t="e">
        <f ca="1">SplineInterp(A961,INDIRECT("'" &amp;Master!$F$10&amp; "'!$A$2:$A$50"),INDIRECT("'" &amp;Master!$F$10&amp; "'!$H$2:$H$50"))</f>
        <v>#VALUE!</v>
      </c>
      <c r="I961" s="4" t="e">
        <f ca="1">IF(OR(INDIRECT("'" &amp; Master!$F$8 &amp; Master!$F$6 &amp; "'!B" &amp; ROW(B961))="", INDIRECT("'" &amp; Master!$F$8 &amp; Master!$F$6 &amp; "'!B" &amp; ROW(B961))=0), "", INDIRECT("'" &amp; Master!$F$8 &amp; Master!$F$6 &amp; "'!B" &amp; ROW(B961)))</f>
        <v>#VALUE!</v>
      </c>
      <c r="J961" s="9" t="e">
        <f t="shared" ca="1" si="98"/>
        <v>#VALUE!</v>
      </c>
      <c r="K961" s="7" t="e">
        <f t="shared" ca="1" si="99"/>
        <v>#VALUE!</v>
      </c>
      <c r="L961" s="7" t="e">
        <f t="shared" ca="1" si="100"/>
        <v>#VALUE!</v>
      </c>
      <c r="M961" s="7" t="e">
        <f t="shared" ca="1" si="101"/>
        <v>#VALUE!</v>
      </c>
      <c r="N961" s="7" t="e">
        <f t="shared" ca="1" si="102"/>
        <v>#VALUE!</v>
      </c>
      <c r="O961" s="7" t="e">
        <f t="shared" ca="1" si="103"/>
        <v>#VALUE!</v>
      </c>
      <c r="P961" s="7" t="e">
        <f t="shared" ca="1" si="104"/>
        <v>#VALUE!</v>
      </c>
    </row>
    <row r="962" spans="1:16" x14ac:dyDescent="0.25">
      <c r="A962" s="19" t="str">
        <f ca="1">IF(OR(INDIRECT("'" &amp; Master!$F$8 &amp; Master!$F$6 &amp; "'!A" &amp; ROW(A962))="", INDIRECT("'" &amp; Master!$F$8 &amp; Master!$F$6 &amp; "'!A" &amp; ROW(A962))=0), "", INDIRECT("'" &amp; Master!$F$8 &amp; Master!$F$6 &amp; "'!A" &amp; ROW(A962)))</f>
        <v/>
      </c>
      <c r="B962" s="4" t="e">
        <f ca="1">SplineInterp(INDIRECT("A" &amp; ROW()),INDIRECT("'" &amp;Master!$F$10&amp; "'!$A$2:$A$50"),INDIRECT("'" &amp;Master!$F$10&amp; "'!$B$2:$B$50"))</f>
        <v>#VALUE!</v>
      </c>
      <c r="C962" s="4" t="e">
        <f ca="1">SplineInterp(A962,INDIRECT("'" &amp;Master!$F$10&amp; "'!$A$2:$A$50"),INDIRECT("'" &amp;Master!$F$10&amp; "'!$C$2:$C$50"))</f>
        <v>#VALUE!</v>
      </c>
      <c r="D962" s="4" t="e">
        <f ca="1">SplineInterp(A962,INDIRECT("'" &amp;Master!$F$10&amp; "'!$A$2:$A$50"),INDIRECT("'" &amp;Master!$F$10&amp; "'!$D$2:$D$50"))</f>
        <v>#VALUE!</v>
      </c>
      <c r="E962" s="4" t="e">
        <f ca="1">SplineInterp(A962,INDIRECT("'" &amp;Master!$F$10&amp; "'!$A$2:$A$50"),INDIRECT("'" &amp;Master!$F$10&amp; "'!$E$2:$E$50"))</f>
        <v>#VALUE!</v>
      </c>
      <c r="F962" s="4" t="e">
        <f ca="1">SplineInterp(A962,INDIRECT("'" &amp;Master!$F$10&amp; "'!$A$2:$A$50"),INDIRECT("'" &amp;Master!$F$10&amp; "'!$F$2:$F$50"))</f>
        <v>#VALUE!</v>
      </c>
      <c r="G962" s="4" t="e">
        <f ca="1">SplineInterp(A962,INDIRECT("'" &amp;Master!$F$10&amp; "'!$A$2:$A$50"),INDIRECT("'" &amp;Master!$F$10&amp; "'!$G$2:$G$50"))</f>
        <v>#VALUE!</v>
      </c>
      <c r="H962" s="4" t="e">
        <f ca="1">SplineInterp(A962,INDIRECT("'" &amp;Master!$F$10&amp; "'!$A$2:$A$50"),INDIRECT("'" &amp;Master!$F$10&amp; "'!$H$2:$H$50"))</f>
        <v>#VALUE!</v>
      </c>
      <c r="I962" s="4" t="e">
        <f ca="1">IF(OR(INDIRECT("'" &amp; Master!$F$8 &amp; Master!$F$6 &amp; "'!B" &amp; ROW(B962))="", INDIRECT("'" &amp; Master!$F$8 &amp; Master!$F$6 &amp; "'!B" &amp; ROW(B962))=0), "", INDIRECT("'" &amp; Master!$F$8 &amp; Master!$F$6 &amp; "'!B" &amp; ROW(B962)))</f>
        <v>#VALUE!</v>
      </c>
      <c r="J962" s="9" t="e">
        <f t="shared" ca="1" si="98"/>
        <v>#VALUE!</v>
      </c>
      <c r="K962" s="7" t="e">
        <f t="shared" ca="1" si="99"/>
        <v>#VALUE!</v>
      </c>
      <c r="L962" s="7" t="e">
        <f t="shared" ca="1" si="100"/>
        <v>#VALUE!</v>
      </c>
      <c r="M962" s="7" t="e">
        <f t="shared" ca="1" si="101"/>
        <v>#VALUE!</v>
      </c>
      <c r="N962" s="7" t="e">
        <f t="shared" ca="1" si="102"/>
        <v>#VALUE!</v>
      </c>
      <c r="O962" s="7" t="e">
        <f t="shared" ca="1" si="103"/>
        <v>#VALUE!</v>
      </c>
      <c r="P962" s="7" t="e">
        <f t="shared" ca="1" si="104"/>
        <v>#VALUE!</v>
      </c>
    </row>
    <row r="963" spans="1:16" x14ac:dyDescent="0.25">
      <c r="A963" s="19" t="str">
        <f ca="1">IF(OR(INDIRECT("'" &amp; Master!$F$8 &amp; Master!$F$6 &amp; "'!A" &amp; ROW(A963))="", INDIRECT("'" &amp; Master!$F$8 &amp; Master!$F$6 &amp; "'!A" &amp; ROW(A963))=0), "", INDIRECT("'" &amp; Master!$F$8 &amp; Master!$F$6 &amp; "'!A" &amp; ROW(A963)))</f>
        <v/>
      </c>
      <c r="B963" s="4" t="e">
        <f ca="1">SplineInterp(INDIRECT("A" &amp; ROW()),INDIRECT("'" &amp;Master!$F$10&amp; "'!$A$2:$A$50"),INDIRECT("'" &amp;Master!$F$10&amp; "'!$B$2:$B$50"))</f>
        <v>#VALUE!</v>
      </c>
      <c r="C963" s="4" t="e">
        <f ca="1">SplineInterp(A963,INDIRECT("'" &amp;Master!$F$10&amp; "'!$A$2:$A$50"),INDIRECT("'" &amp;Master!$F$10&amp; "'!$C$2:$C$50"))</f>
        <v>#VALUE!</v>
      </c>
      <c r="D963" s="4" t="e">
        <f ca="1">SplineInterp(A963,INDIRECT("'" &amp;Master!$F$10&amp; "'!$A$2:$A$50"),INDIRECT("'" &amp;Master!$F$10&amp; "'!$D$2:$D$50"))</f>
        <v>#VALUE!</v>
      </c>
      <c r="E963" s="4" t="e">
        <f ca="1">SplineInterp(A963,INDIRECT("'" &amp;Master!$F$10&amp; "'!$A$2:$A$50"),INDIRECT("'" &amp;Master!$F$10&amp; "'!$E$2:$E$50"))</f>
        <v>#VALUE!</v>
      </c>
      <c r="F963" s="4" t="e">
        <f ca="1">SplineInterp(A963,INDIRECT("'" &amp;Master!$F$10&amp; "'!$A$2:$A$50"),INDIRECT("'" &amp;Master!$F$10&amp; "'!$F$2:$F$50"))</f>
        <v>#VALUE!</v>
      </c>
      <c r="G963" s="4" t="e">
        <f ca="1">SplineInterp(A963,INDIRECT("'" &amp;Master!$F$10&amp; "'!$A$2:$A$50"),INDIRECT("'" &amp;Master!$F$10&amp; "'!$G$2:$G$50"))</f>
        <v>#VALUE!</v>
      </c>
      <c r="H963" s="4" t="e">
        <f ca="1">SplineInterp(A963,INDIRECT("'" &amp;Master!$F$10&amp; "'!$A$2:$A$50"),INDIRECT("'" &amp;Master!$F$10&amp; "'!$H$2:$H$50"))</f>
        <v>#VALUE!</v>
      </c>
      <c r="I963" s="4" t="e">
        <f ca="1">IF(OR(INDIRECT("'" &amp; Master!$F$8 &amp; Master!$F$6 &amp; "'!B" &amp; ROW(B963))="", INDIRECT("'" &amp; Master!$F$8 &amp; Master!$F$6 &amp; "'!B" &amp; ROW(B963))=0), "", INDIRECT("'" &amp; Master!$F$8 &amp; Master!$F$6 &amp; "'!B" &amp; ROW(B963)))</f>
        <v>#VALUE!</v>
      </c>
      <c r="J963" s="9" t="e">
        <f t="shared" ref="J963:J1026" ca="1" si="105">B963*I963</f>
        <v>#VALUE!</v>
      </c>
      <c r="K963" s="7" t="e">
        <f t="shared" ref="K963:K1026" ca="1" si="106">C963*I963</f>
        <v>#VALUE!</v>
      </c>
      <c r="L963" s="7" t="e">
        <f t="shared" ref="L963:L1026" ca="1" si="107">D963*I963</f>
        <v>#VALUE!</v>
      </c>
      <c r="M963" s="7" t="e">
        <f t="shared" ref="M963:M1026" ca="1" si="108">E963*I963</f>
        <v>#VALUE!</v>
      </c>
      <c r="N963" s="7" t="e">
        <f t="shared" ref="N963:N1026" ca="1" si="109">F963*I963</f>
        <v>#VALUE!</v>
      </c>
      <c r="O963" s="7" t="e">
        <f t="shared" ref="O963:O1026" ca="1" si="110">G963*I963</f>
        <v>#VALUE!</v>
      </c>
      <c r="P963" s="7" t="e">
        <f t="shared" ref="P963:P1026" ca="1" si="111">H963*I963</f>
        <v>#VALUE!</v>
      </c>
    </row>
    <row r="964" spans="1:16" x14ac:dyDescent="0.25">
      <c r="A964" s="19" t="str">
        <f ca="1">IF(OR(INDIRECT("'" &amp; Master!$F$8 &amp; Master!$F$6 &amp; "'!A" &amp; ROW(A964))="", INDIRECT("'" &amp; Master!$F$8 &amp; Master!$F$6 &amp; "'!A" &amp; ROW(A964))=0), "", INDIRECT("'" &amp; Master!$F$8 &amp; Master!$F$6 &amp; "'!A" &amp; ROW(A964)))</f>
        <v/>
      </c>
      <c r="B964" s="4" t="e">
        <f ca="1">SplineInterp(INDIRECT("A" &amp; ROW()),INDIRECT("'" &amp;Master!$F$10&amp; "'!$A$2:$A$50"),INDIRECT("'" &amp;Master!$F$10&amp; "'!$B$2:$B$50"))</f>
        <v>#VALUE!</v>
      </c>
      <c r="C964" s="4" t="e">
        <f ca="1">SplineInterp(A964,INDIRECT("'" &amp;Master!$F$10&amp; "'!$A$2:$A$50"),INDIRECT("'" &amp;Master!$F$10&amp; "'!$C$2:$C$50"))</f>
        <v>#VALUE!</v>
      </c>
      <c r="D964" s="4" t="e">
        <f ca="1">SplineInterp(A964,INDIRECT("'" &amp;Master!$F$10&amp; "'!$A$2:$A$50"),INDIRECT("'" &amp;Master!$F$10&amp; "'!$D$2:$D$50"))</f>
        <v>#VALUE!</v>
      </c>
      <c r="E964" s="4" t="e">
        <f ca="1">SplineInterp(A964,INDIRECT("'" &amp;Master!$F$10&amp; "'!$A$2:$A$50"),INDIRECT("'" &amp;Master!$F$10&amp; "'!$E$2:$E$50"))</f>
        <v>#VALUE!</v>
      </c>
      <c r="F964" s="4" t="e">
        <f ca="1">SplineInterp(A964,INDIRECT("'" &amp;Master!$F$10&amp; "'!$A$2:$A$50"),INDIRECT("'" &amp;Master!$F$10&amp; "'!$F$2:$F$50"))</f>
        <v>#VALUE!</v>
      </c>
      <c r="G964" s="4" t="e">
        <f ca="1">SplineInterp(A964,INDIRECT("'" &amp;Master!$F$10&amp; "'!$A$2:$A$50"),INDIRECT("'" &amp;Master!$F$10&amp; "'!$G$2:$G$50"))</f>
        <v>#VALUE!</v>
      </c>
      <c r="H964" s="4" t="e">
        <f ca="1">SplineInterp(A964,INDIRECT("'" &amp;Master!$F$10&amp; "'!$A$2:$A$50"),INDIRECT("'" &amp;Master!$F$10&amp; "'!$H$2:$H$50"))</f>
        <v>#VALUE!</v>
      </c>
      <c r="I964" s="4" t="e">
        <f ca="1">IF(OR(INDIRECT("'" &amp; Master!$F$8 &amp; Master!$F$6 &amp; "'!B" &amp; ROW(B964))="", INDIRECT("'" &amp; Master!$F$8 &amp; Master!$F$6 &amp; "'!B" &amp; ROW(B964))=0), "", INDIRECT("'" &amp; Master!$F$8 &amp; Master!$F$6 &amp; "'!B" &amp; ROW(B964)))</f>
        <v>#VALUE!</v>
      </c>
      <c r="J964" s="9" t="e">
        <f t="shared" ca="1" si="105"/>
        <v>#VALUE!</v>
      </c>
      <c r="K964" s="7" t="e">
        <f t="shared" ca="1" si="106"/>
        <v>#VALUE!</v>
      </c>
      <c r="L964" s="7" t="e">
        <f t="shared" ca="1" si="107"/>
        <v>#VALUE!</v>
      </c>
      <c r="M964" s="7" t="e">
        <f t="shared" ca="1" si="108"/>
        <v>#VALUE!</v>
      </c>
      <c r="N964" s="7" t="e">
        <f t="shared" ca="1" si="109"/>
        <v>#VALUE!</v>
      </c>
      <c r="O964" s="7" t="e">
        <f t="shared" ca="1" si="110"/>
        <v>#VALUE!</v>
      </c>
      <c r="P964" s="7" t="e">
        <f t="shared" ca="1" si="111"/>
        <v>#VALUE!</v>
      </c>
    </row>
    <row r="965" spans="1:16" x14ac:dyDescent="0.25">
      <c r="A965" s="19" t="str">
        <f ca="1">IF(OR(INDIRECT("'" &amp; Master!$F$8 &amp; Master!$F$6 &amp; "'!A" &amp; ROW(A965))="", INDIRECT("'" &amp; Master!$F$8 &amp; Master!$F$6 &amp; "'!A" &amp; ROW(A965))=0), "", INDIRECT("'" &amp; Master!$F$8 &amp; Master!$F$6 &amp; "'!A" &amp; ROW(A965)))</f>
        <v/>
      </c>
      <c r="B965" s="4" t="e">
        <f ca="1">SplineInterp(INDIRECT("A" &amp; ROW()),INDIRECT("'" &amp;Master!$F$10&amp; "'!$A$2:$A$50"),INDIRECT("'" &amp;Master!$F$10&amp; "'!$B$2:$B$50"))</f>
        <v>#VALUE!</v>
      </c>
      <c r="C965" s="4" t="e">
        <f ca="1">SplineInterp(A965,INDIRECT("'" &amp;Master!$F$10&amp; "'!$A$2:$A$50"),INDIRECT("'" &amp;Master!$F$10&amp; "'!$C$2:$C$50"))</f>
        <v>#VALUE!</v>
      </c>
      <c r="D965" s="4" t="e">
        <f ca="1">SplineInterp(A965,INDIRECT("'" &amp;Master!$F$10&amp; "'!$A$2:$A$50"),INDIRECT("'" &amp;Master!$F$10&amp; "'!$D$2:$D$50"))</f>
        <v>#VALUE!</v>
      </c>
      <c r="E965" s="4" t="e">
        <f ca="1">SplineInterp(A965,INDIRECT("'" &amp;Master!$F$10&amp; "'!$A$2:$A$50"),INDIRECT("'" &amp;Master!$F$10&amp; "'!$E$2:$E$50"))</f>
        <v>#VALUE!</v>
      </c>
      <c r="F965" s="4" t="e">
        <f ca="1">SplineInterp(A965,INDIRECT("'" &amp;Master!$F$10&amp; "'!$A$2:$A$50"),INDIRECT("'" &amp;Master!$F$10&amp; "'!$F$2:$F$50"))</f>
        <v>#VALUE!</v>
      </c>
      <c r="G965" s="4" t="e">
        <f ca="1">SplineInterp(A965,INDIRECT("'" &amp;Master!$F$10&amp; "'!$A$2:$A$50"),INDIRECT("'" &amp;Master!$F$10&amp; "'!$G$2:$G$50"))</f>
        <v>#VALUE!</v>
      </c>
      <c r="H965" s="4" t="e">
        <f ca="1">SplineInterp(A965,INDIRECT("'" &amp;Master!$F$10&amp; "'!$A$2:$A$50"),INDIRECT("'" &amp;Master!$F$10&amp; "'!$H$2:$H$50"))</f>
        <v>#VALUE!</v>
      </c>
      <c r="I965" s="4" t="e">
        <f ca="1">IF(OR(INDIRECT("'" &amp; Master!$F$8 &amp; Master!$F$6 &amp; "'!B" &amp; ROW(B965))="", INDIRECT("'" &amp; Master!$F$8 &amp; Master!$F$6 &amp; "'!B" &amp; ROW(B965))=0), "", INDIRECT("'" &amp; Master!$F$8 &amp; Master!$F$6 &amp; "'!B" &amp; ROW(B965)))</f>
        <v>#VALUE!</v>
      </c>
      <c r="J965" s="9" t="e">
        <f t="shared" ca="1" si="105"/>
        <v>#VALUE!</v>
      </c>
      <c r="K965" s="7" t="e">
        <f t="shared" ca="1" si="106"/>
        <v>#VALUE!</v>
      </c>
      <c r="L965" s="7" t="e">
        <f t="shared" ca="1" si="107"/>
        <v>#VALUE!</v>
      </c>
      <c r="M965" s="7" t="e">
        <f t="shared" ca="1" si="108"/>
        <v>#VALUE!</v>
      </c>
      <c r="N965" s="7" t="e">
        <f t="shared" ca="1" si="109"/>
        <v>#VALUE!</v>
      </c>
      <c r="O965" s="7" t="e">
        <f t="shared" ca="1" si="110"/>
        <v>#VALUE!</v>
      </c>
      <c r="P965" s="7" t="e">
        <f t="shared" ca="1" si="111"/>
        <v>#VALUE!</v>
      </c>
    </row>
    <row r="966" spans="1:16" x14ac:dyDescent="0.25">
      <c r="A966" s="19" t="str">
        <f ca="1">IF(OR(INDIRECT("'" &amp; Master!$F$8 &amp; Master!$F$6 &amp; "'!A" &amp; ROW(A966))="", INDIRECT("'" &amp; Master!$F$8 &amp; Master!$F$6 &amp; "'!A" &amp; ROW(A966))=0), "", INDIRECT("'" &amp; Master!$F$8 &amp; Master!$F$6 &amp; "'!A" &amp; ROW(A966)))</f>
        <v/>
      </c>
      <c r="B966" s="4" t="e">
        <f ca="1">SplineInterp(INDIRECT("A" &amp; ROW()),INDIRECT("'" &amp;Master!$F$10&amp; "'!$A$2:$A$50"),INDIRECT("'" &amp;Master!$F$10&amp; "'!$B$2:$B$50"))</f>
        <v>#VALUE!</v>
      </c>
      <c r="C966" s="4" t="e">
        <f ca="1">SplineInterp(A966,INDIRECT("'" &amp;Master!$F$10&amp; "'!$A$2:$A$50"),INDIRECT("'" &amp;Master!$F$10&amp; "'!$C$2:$C$50"))</f>
        <v>#VALUE!</v>
      </c>
      <c r="D966" s="4" t="e">
        <f ca="1">SplineInterp(A966,INDIRECT("'" &amp;Master!$F$10&amp; "'!$A$2:$A$50"),INDIRECT("'" &amp;Master!$F$10&amp; "'!$D$2:$D$50"))</f>
        <v>#VALUE!</v>
      </c>
      <c r="E966" s="4" t="e">
        <f ca="1">SplineInterp(A966,INDIRECT("'" &amp;Master!$F$10&amp; "'!$A$2:$A$50"),INDIRECT("'" &amp;Master!$F$10&amp; "'!$E$2:$E$50"))</f>
        <v>#VALUE!</v>
      </c>
      <c r="F966" s="4" t="e">
        <f ca="1">SplineInterp(A966,INDIRECT("'" &amp;Master!$F$10&amp; "'!$A$2:$A$50"),INDIRECT("'" &amp;Master!$F$10&amp; "'!$F$2:$F$50"))</f>
        <v>#VALUE!</v>
      </c>
      <c r="G966" s="4" t="e">
        <f ca="1">SplineInterp(A966,INDIRECT("'" &amp;Master!$F$10&amp; "'!$A$2:$A$50"),INDIRECT("'" &amp;Master!$F$10&amp; "'!$G$2:$G$50"))</f>
        <v>#VALUE!</v>
      </c>
      <c r="H966" s="4" t="e">
        <f ca="1">SplineInterp(A966,INDIRECT("'" &amp;Master!$F$10&amp; "'!$A$2:$A$50"),INDIRECT("'" &amp;Master!$F$10&amp; "'!$H$2:$H$50"))</f>
        <v>#VALUE!</v>
      </c>
      <c r="I966" s="4" t="e">
        <f ca="1">IF(OR(INDIRECT("'" &amp; Master!$F$8 &amp; Master!$F$6 &amp; "'!B" &amp; ROW(B966))="", INDIRECT("'" &amp; Master!$F$8 &amp; Master!$F$6 &amp; "'!B" &amp; ROW(B966))=0), "", INDIRECT("'" &amp; Master!$F$8 &amp; Master!$F$6 &amp; "'!B" &amp; ROW(B966)))</f>
        <v>#VALUE!</v>
      </c>
      <c r="J966" s="9" t="e">
        <f t="shared" ca="1" si="105"/>
        <v>#VALUE!</v>
      </c>
      <c r="K966" s="7" t="e">
        <f t="shared" ca="1" si="106"/>
        <v>#VALUE!</v>
      </c>
      <c r="L966" s="7" t="e">
        <f t="shared" ca="1" si="107"/>
        <v>#VALUE!</v>
      </c>
      <c r="M966" s="7" t="e">
        <f t="shared" ca="1" si="108"/>
        <v>#VALUE!</v>
      </c>
      <c r="N966" s="7" t="e">
        <f t="shared" ca="1" si="109"/>
        <v>#VALUE!</v>
      </c>
      <c r="O966" s="7" t="e">
        <f t="shared" ca="1" si="110"/>
        <v>#VALUE!</v>
      </c>
      <c r="P966" s="7" t="e">
        <f t="shared" ca="1" si="111"/>
        <v>#VALUE!</v>
      </c>
    </row>
    <row r="967" spans="1:16" x14ac:dyDescent="0.25">
      <c r="A967" s="19" t="str">
        <f ca="1">IF(OR(INDIRECT("'" &amp; Master!$F$8 &amp; Master!$F$6 &amp; "'!A" &amp; ROW(A967))="", INDIRECT("'" &amp; Master!$F$8 &amp; Master!$F$6 &amp; "'!A" &amp; ROW(A967))=0), "", INDIRECT("'" &amp; Master!$F$8 &amp; Master!$F$6 &amp; "'!A" &amp; ROW(A967)))</f>
        <v/>
      </c>
      <c r="B967" s="4" t="e">
        <f ca="1">SplineInterp(INDIRECT("A" &amp; ROW()),INDIRECT("'" &amp;Master!$F$10&amp; "'!$A$2:$A$50"),INDIRECT("'" &amp;Master!$F$10&amp; "'!$B$2:$B$50"))</f>
        <v>#VALUE!</v>
      </c>
      <c r="C967" s="4" t="e">
        <f ca="1">SplineInterp(A967,INDIRECT("'" &amp;Master!$F$10&amp; "'!$A$2:$A$50"),INDIRECT("'" &amp;Master!$F$10&amp; "'!$C$2:$C$50"))</f>
        <v>#VALUE!</v>
      </c>
      <c r="D967" s="4" t="e">
        <f ca="1">SplineInterp(A967,INDIRECT("'" &amp;Master!$F$10&amp; "'!$A$2:$A$50"),INDIRECT("'" &amp;Master!$F$10&amp; "'!$D$2:$D$50"))</f>
        <v>#VALUE!</v>
      </c>
      <c r="E967" s="4" t="e">
        <f ca="1">SplineInterp(A967,INDIRECT("'" &amp;Master!$F$10&amp; "'!$A$2:$A$50"),INDIRECT("'" &amp;Master!$F$10&amp; "'!$E$2:$E$50"))</f>
        <v>#VALUE!</v>
      </c>
      <c r="F967" s="4" t="e">
        <f ca="1">SplineInterp(A967,INDIRECT("'" &amp;Master!$F$10&amp; "'!$A$2:$A$50"),INDIRECT("'" &amp;Master!$F$10&amp; "'!$F$2:$F$50"))</f>
        <v>#VALUE!</v>
      </c>
      <c r="G967" s="4" t="e">
        <f ca="1">SplineInterp(A967,INDIRECT("'" &amp;Master!$F$10&amp; "'!$A$2:$A$50"),INDIRECT("'" &amp;Master!$F$10&amp; "'!$G$2:$G$50"))</f>
        <v>#VALUE!</v>
      </c>
      <c r="H967" s="4" t="e">
        <f ca="1">SplineInterp(A967,INDIRECT("'" &amp;Master!$F$10&amp; "'!$A$2:$A$50"),INDIRECT("'" &amp;Master!$F$10&amp; "'!$H$2:$H$50"))</f>
        <v>#VALUE!</v>
      </c>
      <c r="I967" s="4" t="e">
        <f ca="1">IF(OR(INDIRECT("'" &amp; Master!$F$8 &amp; Master!$F$6 &amp; "'!B" &amp; ROW(B967))="", INDIRECT("'" &amp; Master!$F$8 &amp; Master!$F$6 &amp; "'!B" &amp; ROW(B967))=0), "", INDIRECT("'" &amp; Master!$F$8 &amp; Master!$F$6 &amp; "'!B" &amp; ROW(B967)))</f>
        <v>#VALUE!</v>
      </c>
      <c r="J967" s="9" t="e">
        <f t="shared" ca="1" si="105"/>
        <v>#VALUE!</v>
      </c>
      <c r="K967" s="7" t="e">
        <f t="shared" ca="1" si="106"/>
        <v>#VALUE!</v>
      </c>
      <c r="L967" s="7" t="e">
        <f t="shared" ca="1" si="107"/>
        <v>#VALUE!</v>
      </c>
      <c r="M967" s="7" t="e">
        <f t="shared" ca="1" si="108"/>
        <v>#VALUE!</v>
      </c>
      <c r="N967" s="7" t="e">
        <f t="shared" ca="1" si="109"/>
        <v>#VALUE!</v>
      </c>
      <c r="O967" s="7" t="e">
        <f t="shared" ca="1" si="110"/>
        <v>#VALUE!</v>
      </c>
      <c r="P967" s="7" t="e">
        <f t="shared" ca="1" si="111"/>
        <v>#VALUE!</v>
      </c>
    </row>
    <row r="968" spans="1:16" x14ac:dyDescent="0.25">
      <c r="A968" s="19" t="str">
        <f ca="1">IF(OR(INDIRECT("'" &amp; Master!$F$8 &amp; Master!$F$6 &amp; "'!A" &amp; ROW(A968))="", INDIRECT("'" &amp; Master!$F$8 &amp; Master!$F$6 &amp; "'!A" &amp; ROW(A968))=0), "", INDIRECT("'" &amp; Master!$F$8 &amp; Master!$F$6 &amp; "'!A" &amp; ROW(A968)))</f>
        <v/>
      </c>
      <c r="B968" s="4" t="e">
        <f ca="1">SplineInterp(INDIRECT("A" &amp; ROW()),INDIRECT("'" &amp;Master!$F$10&amp; "'!$A$2:$A$50"),INDIRECT("'" &amp;Master!$F$10&amp; "'!$B$2:$B$50"))</f>
        <v>#VALUE!</v>
      </c>
      <c r="C968" s="4" t="e">
        <f ca="1">SplineInterp(A968,INDIRECT("'" &amp;Master!$F$10&amp; "'!$A$2:$A$50"),INDIRECT("'" &amp;Master!$F$10&amp; "'!$C$2:$C$50"))</f>
        <v>#VALUE!</v>
      </c>
      <c r="D968" s="4" t="e">
        <f ca="1">SplineInterp(A968,INDIRECT("'" &amp;Master!$F$10&amp; "'!$A$2:$A$50"),INDIRECT("'" &amp;Master!$F$10&amp; "'!$D$2:$D$50"))</f>
        <v>#VALUE!</v>
      </c>
      <c r="E968" s="4" t="e">
        <f ca="1">SplineInterp(A968,INDIRECT("'" &amp;Master!$F$10&amp; "'!$A$2:$A$50"),INDIRECT("'" &amp;Master!$F$10&amp; "'!$E$2:$E$50"))</f>
        <v>#VALUE!</v>
      </c>
      <c r="F968" s="4" t="e">
        <f ca="1">SplineInterp(A968,INDIRECT("'" &amp;Master!$F$10&amp; "'!$A$2:$A$50"),INDIRECT("'" &amp;Master!$F$10&amp; "'!$F$2:$F$50"))</f>
        <v>#VALUE!</v>
      </c>
      <c r="G968" s="4" t="e">
        <f ca="1">SplineInterp(A968,INDIRECT("'" &amp;Master!$F$10&amp; "'!$A$2:$A$50"),INDIRECT("'" &amp;Master!$F$10&amp; "'!$G$2:$G$50"))</f>
        <v>#VALUE!</v>
      </c>
      <c r="H968" s="4" t="e">
        <f ca="1">SplineInterp(A968,INDIRECT("'" &amp;Master!$F$10&amp; "'!$A$2:$A$50"),INDIRECT("'" &amp;Master!$F$10&amp; "'!$H$2:$H$50"))</f>
        <v>#VALUE!</v>
      </c>
      <c r="I968" s="4" t="e">
        <f ca="1">IF(OR(INDIRECT("'" &amp; Master!$F$8 &amp; Master!$F$6 &amp; "'!B" &amp; ROW(B968))="", INDIRECT("'" &amp; Master!$F$8 &amp; Master!$F$6 &amp; "'!B" &amp; ROW(B968))=0), "", INDIRECT("'" &amp; Master!$F$8 &amp; Master!$F$6 &amp; "'!B" &amp; ROW(B968)))</f>
        <v>#VALUE!</v>
      </c>
      <c r="J968" s="9" t="e">
        <f t="shared" ca="1" si="105"/>
        <v>#VALUE!</v>
      </c>
      <c r="K968" s="7" t="e">
        <f t="shared" ca="1" si="106"/>
        <v>#VALUE!</v>
      </c>
      <c r="L968" s="7" t="e">
        <f t="shared" ca="1" si="107"/>
        <v>#VALUE!</v>
      </c>
      <c r="M968" s="7" t="e">
        <f t="shared" ca="1" si="108"/>
        <v>#VALUE!</v>
      </c>
      <c r="N968" s="7" t="e">
        <f t="shared" ca="1" si="109"/>
        <v>#VALUE!</v>
      </c>
      <c r="O968" s="7" t="e">
        <f t="shared" ca="1" si="110"/>
        <v>#VALUE!</v>
      </c>
      <c r="P968" s="7" t="e">
        <f t="shared" ca="1" si="111"/>
        <v>#VALUE!</v>
      </c>
    </row>
    <row r="969" spans="1:16" x14ac:dyDescent="0.25">
      <c r="A969" s="19" t="str">
        <f ca="1">IF(OR(INDIRECT("'" &amp; Master!$F$8 &amp; Master!$F$6 &amp; "'!A" &amp; ROW(A969))="", INDIRECT("'" &amp; Master!$F$8 &amp; Master!$F$6 &amp; "'!A" &amp; ROW(A969))=0), "", INDIRECT("'" &amp; Master!$F$8 &amp; Master!$F$6 &amp; "'!A" &amp; ROW(A969)))</f>
        <v/>
      </c>
      <c r="B969" s="4" t="e">
        <f ca="1">SplineInterp(INDIRECT("A" &amp; ROW()),INDIRECT("'" &amp;Master!$F$10&amp; "'!$A$2:$A$50"),INDIRECT("'" &amp;Master!$F$10&amp; "'!$B$2:$B$50"))</f>
        <v>#VALUE!</v>
      </c>
      <c r="C969" s="4" t="e">
        <f ca="1">SplineInterp(A969,INDIRECT("'" &amp;Master!$F$10&amp; "'!$A$2:$A$50"),INDIRECT("'" &amp;Master!$F$10&amp; "'!$C$2:$C$50"))</f>
        <v>#VALUE!</v>
      </c>
      <c r="D969" s="4" t="e">
        <f ca="1">SplineInterp(A969,INDIRECT("'" &amp;Master!$F$10&amp; "'!$A$2:$A$50"),INDIRECT("'" &amp;Master!$F$10&amp; "'!$D$2:$D$50"))</f>
        <v>#VALUE!</v>
      </c>
      <c r="E969" s="4" t="e">
        <f ca="1">SplineInterp(A969,INDIRECT("'" &amp;Master!$F$10&amp; "'!$A$2:$A$50"),INDIRECT("'" &amp;Master!$F$10&amp; "'!$E$2:$E$50"))</f>
        <v>#VALUE!</v>
      </c>
      <c r="F969" s="4" t="e">
        <f ca="1">SplineInterp(A969,INDIRECT("'" &amp;Master!$F$10&amp; "'!$A$2:$A$50"),INDIRECT("'" &amp;Master!$F$10&amp; "'!$F$2:$F$50"))</f>
        <v>#VALUE!</v>
      </c>
      <c r="G969" s="4" t="e">
        <f ca="1">SplineInterp(A969,INDIRECT("'" &amp;Master!$F$10&amp; "'!$A$2:$A$50"),INDIRECT("'" &amp;Master!$F$10&amp; "'!$G$2:$G$50"))</f>
        <v>#VALUE!</v>
      </c>
      <c r="H969" s="4" t="e">
        <f ca="1">SplineInterp(A969,INDIRECT("'" &amp;Master!$F$10&amp; "'!$A$2:$A$50"),INDIRECT("'" &amp;Master!$F$10&amp; "'!$H$2:$H$50"))</f>
        <v>#VALUE!</v>
      </c>
      <c r="I969" s="4" t="e">
        <f ca="1">IF(OR(INDIRECT("'" &amp; Master!$F$8 &amp; Master!$F$6 &amp; "'!B" &amp; ROW(B969))="", INDIRECT("'" &amp; Master!$F$8 &amp; Master!$F$6 &amp; "'!B" &amp; ROW(B969))=0), "", INDIRECT("'" &amp; Master!$F$8 &amp; Master!$F$6 &amp; "'!B" &amp; ROW(B969)))</f>
        <v>#VALUE!</v>
      </c>
      <c r="J969" s="9" t="e">
        <f t="shared" ca="1" si="105"/>
        <v>#VALUE!</v>
      </c>
      <c r="K969" s="7" t="e">
        <f t="shared" ca="1" si="106"/>
        <v>#VALUE!</v>
      </c>
      <c r="L969" s="7" t="e">
        <f t="shared" ca="1" si="107"/>
        <v>#VALUE!</v>
      </c>
      <c r="M969" s="7" t="e">
        <f t="shared" ca="1" si="108"/>
        <v>#VALUE!</v>
      </c>
      <c r="N969" s="7" t="e">
        <f t="shared" ca="1" si="109"/>
        <v>#VALUE!</v>
      </c>
      <c r="O969" s="7" t="e">
        <f t="shared" ca="1" si="110"/>
        <v>#VALUE!</v>
      </c>
      <c r="P969" s="7" t="e">
        <f t="shared" ca="1" si="111"/>
        <v>#VALUE!</v>
      </c>
    </row>
    <row r="970" spans="1:16" x14ac:dyDescent="0.25">
      <c r="A970" s="19" t="str">
        <f ca="1">IF(OR(INDIRECT("'" &amp; Master!$F$8 &amp; Master!$F$6 &amp; "'!A" &amp; ROW(A970))="", INDIRECT("'" &amp; Master!$F$8 &amp; Master!$F$6 &amp; "'!A" &amp; ROW(A970))=0), "", INDIRECT("'" &amp; Master!$F$8 &amp; Master!$F$6 &amp; "'!A" &amp; ROW(A970)))</f>
        <v/>
      </c>
      <c r="B970" s="4" t="e">
        <f ca="1">SplineInterp(INDIRECT("A" &amp; ROW()),INDIRECT("'" &amp;Master!$F$10&amp; "'!$A$2:$A$50"),INDIRECT("'" &amp;Master!$F$10&amp; "'!$B$2:$B$50"))</f>
        <v>#VALUE!</v>
      </c>
      <c r="C970" s="4" t="e">
        <f ca="1">SplineInterp(A970,INDIRECT("'" &amp;Master!$F$10&amp; "'!$A$2:$A$50"),INDIRECT("'" &amp;Master!$F$10&amp; "'!$C$2:$C$50"))</f>
        <v>#VALUE!</v>
      </c>
      <c r="D970" s="4" t="e">
        <f ca="1">SplineInterp(A970,INDIRECT("'" &amp;Master!$F$10&amp; "'!$A$2:$A$50"),INDIRECT("'" &amp;Master!$F$10&amp; "'!$D$2:$D$50"))</f>
        <v>#VALUE!</v>
      </c>
      <c r="E970" s="4" t="e">
        <f ca="1">SplineInterp(A970,INDIRECT("'" &amp;Master!$F$10&amp; "'!$A$2:$A$50"),INDIRECT("'" &amp;Master!$F$10&amp; "'!$E$2:$E$50"))</f>
        <v>#VALUE!</v>
      </c>
      <c r="F970" s="4" t="e">
        <f ca="1">SplineInterp(A970,INDIRECT("'" &amp;Master!$F$10&amp; "'!$A$2:$A$50"),INDIRECT("'" &amp;Master!$F$10&amp; "'!$F$2:$F$50"))</f>
        <v>#VALUE!</v>
      </c>
      <c r="G970" s="4" t="e">
        <f ca="1">SplineInterp(A970,INDIRECT("'" &amp;Master!$F$10&amp; "'!$A$2:$A$50"),INDIRECT("'" &amp;Master!$F$10&amp; "'!$G$2:$G$50"))</f>
        <v>#VALUE!</v>
      </c>
      <c r="H970" s="4" t="e">
        <f ca="1">SplineInterp(A970,INDIRECT("'" &amp;Master!$F$10&amp; "'!$A$2:$A$50"),INDIRECT("'" &amp;Master!$F$10&amp; "'!$H$2:$H$50"))</f>
        <v>#VALUE!</v>
      </c>
      <c r="I970" s="4" t="e">
        <f ca="1">IF(OR(INDIRECT("'" &amp; Master!$F$8 &amp; Master!$F$6 &amp; "'!B" &amp; ROW(B970))="", INDIRECT("'" &amp; Master!$F$8 &amp; Master!$F$6 &amp; "'!B" &amp; ROW(B970))=0), "", INDIRECT("'" &amp; Master!$F$8 &amp; Master!$F$6 &amp; "'!B" &amp; ROW(B970)))</f>
        <v>#VALUE!</v>
      </c>
      <c r="J970" s="9" t="e">
        <f t="shared" ca="1" si="105"/>
        <v>#VALUE!</v>
      </c>
      <c r="K970" s="7" t="e">
        <f t="shared" ca="1" si="106"/>
        <v>#VALUE!</v>
      </c>
      <c r="L970" s="7" t="e">
        <f t="shared" ca="1" si="107"/>
        <v>#VALUE!</v>
      </c>
      <c r="M970" s="7" t="e">
        <f t="shared" ca="1" si="108"/>
        <v>#VALUE!</v>
      </c>
      <c r="N970" s="7" t="e">
        <f t="shared" ca="1" si="109"/>
        <v>#VALUE!</v>
      </c>
      <c r="O970" s="7" t="e">
        <f t="shared" ca="1" si="110"/>
        <v>#VALUE!</v>
      </c>
      <c r="P970" s="7" t="e">
        <f t="shared" ca="1" si="111"/>
        <v>#VALUE!</v>
      </c>
    </row>
    <row r="971" spans="1:16" x14ac:dyDescent="0.25">
      <c r="A971" s="19" t="str">
        <f ca="1">IF(OR(INDIRECT("'" &amp; Master!$F$8 &amp; Master!$F$6 &amp; "'!A" &amp; ROW(A971))="", INDIRECT("'" &amp; Master!$F$8 &amp; Master!$F$6 &amp; "'!A" &amp; ROW(A971))=0), "", INDIRECT("'" &amp; Master!$F$8 &amp; Master!$F$6 &amp; "'!A" &amp; ROW(A971)))</f>
        <v/>
      </c>
      <c r="B971" s="4" t="e">
        <f ca="1">SplineInterp(INDIRECT("A" &amp; ROW()),INDIRECT("'" &amp;Master!$F$10&amp; "'!$A$2:$A$50"),INDIRECT("'" &amp;Master!$F$10&amp; "'!$B$2:$B$50"))</f>
        <v>#VALUE!</v>
      </c>
      <c r="C971" s="4" t="e">
        <f ca="1">SplineInterp(A971,INDIRECT("'" &amp;Master!$F$10&amp; "'!$A$2:$A$50"),INDIRECT("'" &amp;Master!$F$10&amp; "'!$C$2:$C$50"))</f>
        <v>#VALUE!</v>
      </c>
      <c r="D971" s="4" t="e">
        <f ca="1">SplineInterp(A971,INDIRECT("'" &amp;Master!$F$10&amp; "'!$A$2:$A$50"),INDIRECT("'" &amp;Master!$F$10&amp; "'!$D$2:$D$50"))</f>
        <v>#VALUE!</v>
      </c>
      <c r="E971" s="4" t="e">
        <f ca="1">SplineInterp(A971,INDIRECT("'" &amp;Master!$F$10&amp; "'!$A$2:$A$50"),INDIRECT("'" &amp;Master!$F$10&amp; "'!$E$2:$E$50"))</f>
        <v>#VALUE!</v>
      </c>
      <c r="F971" s="4" t="e">
        <f ca="1">SplineInterp(A971,INDIRECT("'" &amp;Master!$F$10&amp; "'!$A$2:$A$50"),INDIRECT("'" &amp;Master!$F$10&amp; "'!$F$2:$F$50"))</f>
        <v>#VALUE!</v>
      </c>
      <c r="G971" s="4" t="e">
        <f ca="1">SplineInterp(A971,INDIRECT("'" &amp;Master!$F$10&amp; "'!$A$2:$A$50"),INDIRECT("'" &amp;Master!$F$10&amp; "'!$G$2:$G$50"))</f>
        <v>#VALUE!</v>
      </c>
      <c r="H971" s="4" t="e">
        <f ca="1">SplineInterp(A971,INDIRECT("'" &amp;Master!$F$10&amp; "'!$A$2:$A$50"),INDIRECT("'" &amp;Master!$F$10&amp; "'!$H$2:$H$50"))</f>
        <v>#VALUE!</v>
      </c>
      <c r="I971" s="4" t="e">
        <f ca="1">IF(OR(INDIRECT("'" &amp; Master!$F$8 &amp; Master!$F$6 &amp; "'!B" &amp; ROW(B971))="", INDIRECT("'" &amp; Master!$F$8 &amp; Master!$F$6 &amp; "'!B" &amp; ROW(B971))=0), "", INDIRECT("'" &amp; Master!$F$8 &amp; Master!$F$6 &amp; "'!B" &amp; ROW(B971)))</f>
        <v>#VALUE!</v>
      </c>
      <c r="J971" s="9" t="e">
        <f t="shared" ca="1" si="105"/>
        <v>#VALUE!</v>
      </c>
      <c r="K971" s="7" t="e">
        <f t="shared" ca="1" si="106"/>
        <v>#VALUE!</v>
      </c>
      <c r="L971" s="7" t="e">
        <f t="shared" ca="1" si="107"/>
        <v>#VALUE!</v>
      </c>
      <c r="M971" s="7" t="e">
        <f t="shared" ca="1" si="108"/>
        <v>#VALUE!</v>
      </c>
      <c r="N971" s="7" t="e">
        <f t="shared" ca="1" si="109"/>
        <v>#VALUE!</v>
      </c>
      <c r="O971" s="7" t="e">
        <f t="shared" ca="1" si="110"/>
        <v>#VALUE!</v>
      </c>
      <c r="P971" s="7" t="e">
        <f t="shared" ca="1" si="111"/>
        <v>#VALUE!</v>
      </c>
    </row>
    <row r="972" spans="1:16" x14ac:dyDescent="0.25">
      <c r="A972" s="19" t="str">
        <f ca="1">IF(OR(INDIRECT("'" &amp; Master!$F$8 &amp; Master!$F$6 &amp; "'!A" &amp; ROW(A972))="", INDIRECT("'" &amp; Master!$F$8 &amp; Master!$F$6 &amp; "'!A" &amp; ROW(A972))=0), "", INDIRECT("'" &amp; Master!$F$8 &amp; Master!$F$6 &amp; "'!A" &amp; ROW(A972)))</f>
        <v/>
      </c>
      <c r="B972" s="4" t="e">
        <f ca="1">SplineInterp(INDIRECT("A" &amp; ROW()),INDIRECT("'" &amp;Master!$F$10&amp; "'!$A$2:$A$50"),INDIRECT("'" &amp;Master!$F$10&amp; "'!$B$2:$B$50"))</f>
        <v>#VALUE!</v>
      </c>
      <c r="C972" s="4" t="e">
        <f ca="1">SplineInterp(A972,INDIRECT("'" &amp;Master!$F$10&amp; "'!$A$2:$A$50"),INDIRECT("'" &amp;Master!$F$10&amp; "'!$C$2:$C$50"))</f>
        <v>#VALUE!</v>
      </c>
      <c r="D972" s="4" t="e">
        <f ca="1">SplineInterp(A972,INDIRECT("'" &amp;Master!$F$10&amp; "'!$A$2:$A$50"),INDIRECT("'" &amp;Master!$F$10&amp; "'!$D$2:$D$50"))</f>
        <v>#VALUE!</v>
      </c>
      <c r="E972" s="4" t="e">
        <f ca="1">SplineInterp(A972,INDIRECT("'" &amp;Master!$F$10&amp; "'!$A$2:$A$50"),INDIRECT("'" &amp;Master!$F$10&amp; "'!$E$2:$E$50"))</f>
        <v>#VALUE!</v>
      </c>
      <c r="F972" s="4" t="e">
        <f ca="1">SplineInterp(A972,INDIRECT("'" &amp;Master!$F$10&amp; "'!$A$2:$A$50"),INDIRECT("'" &amp;Master!$F$10&amp; "'!$F$2:$F$50"))</f>
        <v>#VALUE!</v>
      </c>
      <c r="G972" s="4" t="e">
        <f ca="1">SplineInterp(A972,INDIRECT("'" &amp;Master!$F$10&amp; "'!$A$2:$A$50"),INDIRECT("'" &amp;Master!$F$10&amp; "'!$G$2:$G$50"))</f>
        <v>#VALUE!</v>
      </c>
      <c r="H972" s="4" t="e">
        <f ca="1">SplineInterp(A972,INDIRECT("'" &amp;Master!$F$10&amp; "'!$A$2:$A$50"),INDIRECT("'" &amp;Master!$F$10&amp; "'!$H$2:$H$50"))</f>
        <v>#VALUE!</v>
      </c>
      <c r="I972" s="4" t="e">
        <f ca="1">IF(OR(INDIRECT("'" &amp; Master!$F$8 &amp; Master!$F$6 &amp; "'!B" &amp; ROW(B972))="", INDIRECT("'" &amp; Master!$F$8 &amp; Master!$F$6 &amp; "'!B" &amp; ROW(B972))=0), "", INDIRECT("'" &amp; Master!$F$8 &amp; Master!$F$6 &amp; "'!B" &amp; ROW(B972)))</f>
        <v>#VALUE!</v>
      </c>
      <c r="J972" s="9" t="e">
        <f t="shared" ca="1" si="105"/>
        <v>#VALUE!</v>
      </c>
      <c r="K972" s="7" t="e">
        <f t="shared" ca="1" si="106"/>
        <v>#VALUE!</v>
      </c>
      <c r="L972" s="7" t="e">
        <f t="shared" ca="1" si="107"/>
        <v>#VALUE!</v>
      </c>
      <c r="M972" s="7" t="e">
        <f t="shared" ca="1" si="108"/>
        <v>#VALUE!</v>
      </c>
      <c r="N972" s="7" t="e">
        <f t="shared" ca="1" si="109"/>
        <v>#VALUE!</v>
      </c>
      <c r="O972" s="7" t="e">
        <f t="shared" ca="1" si="110"/>
        <v>#VALUE!</v>
      </c>
      <c r="P972" s="7" t="e">
        <f t="shared" ca="1" si="111"/>
        <v>#VALUE!</v>
      </c>
    </row>
    <row r="973" spans="1:16" x14ac:dyDescent="0.25">
      <c r="A973" s="19" t="str">
        <f ca="1">IF(OR(INDIRECT("'" &amp; Master!$F$8 &amp; Master!$F$6 &amp; "'!A" &amp; ROW(A973))="", INDIRECT("'" &amp; Master!$F$8 &amp; Master!$F$6 &amp; "'!A" &amp; ROW(A973))=0), "", INDIRECT("'" &amp; Master!$F$8 &amp; Master!$F$6 &amp; "'!A" &amp; ROW(A973)))</f>
        <v/>
      </c>
      <c r="B973" s="4" t="e">
        <f ca="1">SplineInterp(INDIRECT("A" &amp; ROW()),INDIRECT("'" &amp;Master!$F$10&amp; "'!$A$2:$A$50"),INDIRECT("'" &amp;Master!$F$10&amp; "'!$B$2:$B$50"))</f>
        <v>#VALUE!</v>
      </c>
      <c r="C973" s="4" t="e">
        <f ca="1">SplineInterp(A973,INDIRECT("'" &amp;Master!$F$10&amp; "'!$A$2:$A$50"),INDIRECT("'" &amp;Master!$F$10&amp; "'!$C$2:$C$50"))</f>
        <v>#VALUE!</v>
      </c>
      <c r="D973" s="4" t="e">
        <f ca="1">SplineInterp(A973,INDIRECT("'" &amp;Master!$F$10&amp; "'!$A$2:$A$50"),INDIRECT("'" &amp;Master!$F$10&amp; "'!$D$2:$D$50"))</f>
        <v>#VALUE!</v>
      </c>
      <c r="E973" s="4" t="e">
        <f ca="1">SplineInterp(A973,INDIRECT("'" &amp;Master!$F$10&amp; "'!$A$2:$A$50"),INDIRECT("'" &amp;Master!$F$10&amp; "'!$E$2:$E$50"))</f>
        <v>#VALUE!</v>
      </c>
      <c r="F973" s="4" t="e">
        <f ca="1">SplineInterp(A973,INDIRECT("'" &amp;Master!$F$10&amp; "'!$A$2:$A$50"),INDIRECT("'" &amp;Master!$F$10&amp; "'!$F$2:$F$50"))</f>
        <v>#VALUE!</v>
      </c>
      <c r="G973" s="4" t="e">
        <f ca="1">SplineInterp(A973,INDIRECT("'" &amp;Master!$F$10&amp; "'!$A$2:$A$50"),INDIRECT("'" &amp;Master!$F$10&amp; "'!$G$2:$G$50"))</f>
        <v>#VALUE!</v>
      </c>
      <c r="H973" s="4" t="e">
        <f ca="1">SplineInterp(A973,INDIRECT("'" &amp;Master!$F$10&amp; "'!$A$2:$A$50"),INDIRECT("'" &amp;Master!$F$10&amp; "'!$H$2:$H$50"))</f>
        <v>#VALUE!</v>
      </c>
      <c r="I973" s="4" t="e">
        <f ca="1">IF(OR(INDIRECT("'" &amp; Master!$F$8 &amp; Master!$F$6 &amp; "'!B" &amp; ROW(B973))="", INDIRECT("'" &amp; Master!$F$8 &amp; Master!$F$6 &amp; "'!B" &amp; ROW(B973))=0), "", INDIRECT("'" &amp; Master!$F$8 &amp; Master!$F$6 &amp; "'!B" &amp; ROW(B973)))</f>
        <v>#VALUE!</v>
      </c>
      <c r="J973" s="9" t="e">
        <f t="shared" ca="1" si="105"/>
        <v>#VALUE!</v>
      </c>
      <c r="K973" s="7" t="e">
        <f t="shared" ca="1" si="106"/>
        <v>#VALUE!</v>
      </c>
      <c r="L973" s="7" t="e">
        <f t="shared" ca="1" si="107"/>
        <v>#VALUE!</v>
      </c>
      <c r="M973" s="7" t="e">
        <f t="shared" ca="1" si="108"/>
        <v>#VALUE!</v>
      </c>
      <c r="N973" s="7" t="e">
        <f t="shared" ca="1" si="109"/>
        <v>#VALUE!</v>
      </c>
      <c r="O973" s="7" t="e">
        <f t="shared" ca="1" si="110"/>
        <v>#VALUE!</v>
      </c>
      <c r="P973" s="7" t="e">
        <f t="shared" ca="1" si="111"/>
        <v>#VALUE!</v>
      </c>
    </row>
    <row r="974" spans="1:16" x14ac:dyDescent="0.25">
      <c r="A974" s="19" t="str">
        <f ca="1">IF(OR(INDIRECT("'" &amp; Master!$F$8 &amp; Master!$F$6 &amp; "'!A" &amp; ROW(A974))="", INDIRECT("'" &amp; Master!$F$8 &amp; Master!$F$6 &amp; "'!A" &amp; ROW(A974))=0), "", INDIRECT("'" &amp; Master!$F$8 &amp; Master!$F$6 &amp; "'!A" &amp; ROW(A974)))</f>
        <v/>
      </c>
      <c r="B974" s="4" t="e">
        <f ca="1">SplineInterp(INDIRECT("A" &amp; ROW()),INDIRECT("'" &amp;Master!$F$10&amp; "'!$A$2:$A$50"),INDIRECT("'" &amp;Master!$F$10&amp; "'!$B$2:$B$50"))</f>
        <v>#VALUE!</v>
      </c>
      <c r="C974" s="4" t="e">
        <f ca="1">SplineInterp(A974,INDIRECT("'" &amp;Master!$F$10&amp; "'!$A$2:$A$50"),INDIRECT("'" &amp;Master!$F$10&amp; "'!$C$2:$C$50"))</f>
        <v>#VALUE!</v>
      </c>
      <c r="D974" s="4" t="e">
        <f ca="1">SplineInterp(A974,INDIRECT("'" &amp;Master!$F$10&amp; "'!$A$2:$A$50"),INDIRECT("'" &amp;Master!$F$10&amp; "'!$D$2:$D$50"))</f>
        <v>#VALUE!</v>
      </c>
      <c r="E974" s="4" t="e">
        <f ca="1">SplineInterp(A974,INDIRECT("'" &amp;Master!$F$10&amp; "'!$A$2:$A$50"),INDIRECT("'" &amp;Master!$F$10&amp; "'!$E$2:$E$50"))</f>
        <v>#VALUE!</v>
      </c>
      <c r="F974" s="4" t="e">
        <f ca="1">SplineInterp(A974,INDIRECT("'" &amp;Master!$F$10&amp; "'!$A$2:$A$50"),INDIRECT("'" &amp;Master!$F$10&amp; "'!$F$2:$F$50"))</f>
        <v>#VALUE!</v>
      </c>
      <c r="G974" s="4" t="e">
        <f ca="1">SplineInterp(A974,INDIRECT("'" &amp;Master!$F$10&amp; "'!$A$2:$A$50"),INDIRECT("'" &amp;Master!$F$10&amp; "'!$G$2:$G$50"))</f>
        <v>#VALUE!</v>
      </c>
      <c r="H974" s="4" t="e">
        <f ca="1">SplineInterp(A974,INDIRECT("'" &amp;Master!$F$10&amp; "'!$A$2:$A$50"),INDIRECT("'" &amp;Master!$F$10&amp; "'!$H$2:$H$50"))</f>
        <v>#VALUE!</v>
      </c>
      <c r="I974" s="4" t="e">
        <f ca="1">IF(OR(INDIRECT("'" &amp; Master!$F$8 &amp; Master!$F$6 &amp; "'!B" &amp; ROW(B974))="", INDIRECT("'" &amp; Master!$F$8 &amp; Master!$F$6 &amp; "'!B" &amp; ROW(B974))=0), "", INDIRECT("'" &amp; Master!$F$8 &amp; Master!$F$6 &amp; "'!B" &amp; ROW(B974)))</f>
        <v>#VALUE!</v>
      </c>
      <c r="J974" s="9" t="e">
        <f t="shared" ca="1" si="105"/>
        <v>#VALUE!</v>
      </c>
      <c r="K974" s="7" t="e">
        <f t="shared" ca="1" si="106"/>
        <v>#VALUE!</v>
      </c>
      <c r="L974" s="7" t="e">
        <f t="shared" ca="1" si="107"/>
        <v>#VALUE!</v>
      </c>
      <c r="M974" s="7" t="e">
        <f t="shared" ca="1" si="108"/>
        <v>#VALUE!</v>
      </c>
      <c r="N974" s="7" t="e">
        <f t="shared" ca="1" si="109"/>
        <v>#VALUE!</v>
      </c>
      <c r="O974" s="7" t="e">
        <f t="shared" ca="1" si="110"/>
        <v>#VALUE!</v>
      </c>
      <c r="P974" s="7" t="e">
        <f t="shared" ca="1" si="111"/>
        <v>#VALUE!</v>
      </c>
    </row>
    <row r="975" spans="1:16" x14ac:dyDescent="0.25">
      <c r="A975" s="19" t="str">
        <f ca="1">IF(OR(INDIRECT("'" &amp; Master!$F$8 &amp; Master!$F$6 &amp; "'!A" &amp; ROW(A975))="", INDIRECT("'" &amp; Master!$F$8 &amp; Master!$F$6 &amp; "'!A" &amp; ROW(A975))=0), "", INDIRECT("'" &amp; Master!$F$8 &amp; Master!$F$6 &amp; "'!A" &amp; ROW(A975)))</f>
        <v/>
      </c>
      <c r="B975" s="4" t="e">
        <f ca="1">SplineInterp(INDIRECT("A" &amp; ROW()),INDIRECT("'" &amp;Master!$F$10&amp; "'!$A$2:$A$50"),INDIRECT("'" &amp;Master!$F$10&amp; "'!$B$2:$B$50"))</f>
        <v>#VALUE!</v>
      </c>
      <c r="C975" s="4" t="e">
        <f ca="1">SplineInterp(A975,INDIRECT("'" &amp;Master!$F$10&amp; "'!$A$2:$A$50"),INDIRECT("'" &amp;Master!$F$10&amp; "'!$C$2:$C$50"))</f>
        <v>#VALUE!</v>
      </c>
      <c r="D975" s="4" t="e">
        <f ca="1">SplineInterp(A975,INDIRECT("'" &amp;Master!$F$10&amp; "'!$A$2:$A$50"),INDIRECT("'" &amp;Master!$F$10&amp; "'!$D$2:$D$50"))</f>
        <v>#VALUE!</v>
      </c>
      <c r="E975" s="4" t="e">
        <f ca="1">SplineInterp(A975,INDIRECT("'" &amp;Master!$F$10&amp; "'!$A$2:$A$50"),INDIRECT("'" &amp;Master!$F$10&amp; "'!$E$2:$E$50"))</f>
        <v>#VALUE!</v>
      </c>
      <c r="F975" s="4" t="e">
        <f ca="1">SplineInterp(A975,INDIRECT("'" &amp;Master!$F$10&amp; "'!$A$2:$A$50"),INDIRECT("'" &amp;Master!$F$10&amp; "'!$F$2:$F$50"))</f>
        <v>#VALUE!</v>
      </c>
      <c r="G975" s="4" t="e">
        <f ca="1">SplineInterp(A975,INDIRECT("'" &amp;Master!$F$10&amp; "'!$A$2:$A$50"),INDIRECT("'" &amp;Master!$F$10&amp; "'!$G$2:$G$50"))</f>
        <v>#VALUE!</v>
      </c>
      <c r="H975" s="4" t="e">
        <f ca="1">SplineInterp(A975,INDIRECT("'" &amp;Master!$F$10&amp; "'!$A$2:$A$50"),INDIRECT("'" &amp;Master!$F$10&amp; "'!$H$2:$H$50"))</f>
        <v>#VALUE!</v>
      </c>
      <c r="I975" s="4" t="e">
        <f ca="1">IF(OR(INDIRECT("'" &amp; Master!$F$8 &amp; Master!$F$6 &amp; "'!B" &amp; ROW(B975))="", INDIRECT("'" &amp; Master!$F$8 &amp; Master!$F$6 &amp; "'!B" &amp; ROW(B975))=0), "", INDIRECT("'" &amp; Master!$F$8 &amp; Master!$F$6 &amp; "'!B" &amp; ROW(B975)))</f>
        <v>#VALUE!</v>
      </c>
      <c r="J975" s="9" t="e">
        <f t="shared" ca="1" si="105"/>
        <v>#VALUE!</v>
      </c>
      <c r="K975" s="7" t="e">
        <f t="shared" ca="1" si="106"/>
        <v>#VALUE!</v>
      </c>
      <c r="L975" s="7" t="e">
        <f t="shared" ca="1" si="107"/>
        <v>#VALUE!</v>
      </c>
      <c r="M975" s="7" t="e">
        <f t="shared" ca="1" si="108"/>
        <v>#VALUE!</v>
      </c>
      <c r="N975" s="7" t="e">
        <f t="shared" ca="1" si="109"/>
        <v>#VALUE!</v>
      </c>
      <c r="O975" s="7" t="e">
        <f t="shared" ca="1" si="110"/>
        <v>#VALUE!</v>
      </c>
      <c r="P975" s="7" t="e">
        <f t="shared" ca="1" si="111"/>
        <v>#VALUE!</v>
      </c>
    </row>
    <row r="976" spans="1:16" x14ac:dyDescent="0.25">
      <c r="A976" s="19" t="str">
        <f ca="1">IF(OR(INDIRECT("'" &amp; Master!$F$8 &amp; Master!$F$6 &amp; "'!A" &amp; ROW(A976))="", INDIRECT("'" &amp; Master!$F$8 &amp; Master!$F$6 &amp; "'!A" &amp; ROW(A976))=0), "", INDIRECT("'" &amp; Master!$F$8 &amp; Master!$F$6 &amp; "'!A" &amp; ROW(A976)))</f>
        <v/>
      </c>
      <c r="B976" s="4" t="e">
        <f ca="1">SplineInterp(INDIRECT("A" &amp; ROW()),INDIRECT("'" &amp;Master!$F$10&amp; "'!$A$2:$A$50"),INDIRECT("'" &amp;Master!$F$10&amp; "'!$B$2:$B$50"))</f>
        <v>#VALUE!</v>
      </c>
      <c r="C976" s="4" t="e">
        <f ca="1">SplineInterp(A976,INDIRECT("'" &amp;Master!$F$10&amp; "'!$A$2:$A$50"),INDIRECT("'" &amp;Master!$F$10&amp; "'!$C$2:$C$50"))</f>
        <v>#VALUE!</v>
      </c>
      <c r="D976" s="4" t="e">
        <f ca="1">SplineInterp(A976,INDIRECT("'" &amp;Master!$F$10&amp; "'!$A$2:$A$50"),INDIRECT("'" &amp;Master!$F$10&amp; "'!$D$2:$D$50"))</f>
        <v>#VALUE!</v>
      </c>
      <c r="E976" s="4" t="e">
        <f ca="1">SplineInterp(A976,INDIRECT("'" &amp;Master!$F$10&amp; "'!$A$2:$A$50"),INDIRECT("'" &amp;Master!$F$10&amp; "'!$E$2:$E$50"))</f>
        <v>#VALUE!</v>
      </c>
      <c r="F976" s="4" t="e">
        <f ca="1">SplineInterp(A976,INDIRECT("'" &amp;Master!$F$10&amp; "'!$A$2:$A$50"),INDIRECT("'" &amp;Master!$F$10&amp; "'!$F$2:$F$50"))</f>
        <v>#VALUE!</v>
      </c>
      <c r="G976" s="4" t="e">
        <f ca="1">SplineInterp(A976,INDIRECT("'" &amp;Master!$F$10&amp; "'!$A$2:$A$50"),INDIRECT("'" &amp;Master!$F$10&amp; "'!$G$2:$G$50"))</f>
        <v>#VALUE!</v>
      </c>
      <c r="H976" s="4" t="e">
        <f ca="1">SplineInterp(A976,INDIRECT("'" &amp;Master!$F$10&amp; "'!$A$2:$A$50"),INDIRECT("'" &amp;Master!$F$10&amp; "'!$H$2:$H$50"))</f>
        <v>#VALUE!</v>
      </c>
      <c r="I976" s="4" t="e">
        <f ca="1">IF(OR(INDIRECT("'" &amp; Master!$F$8 &amp; Master!$F$6 &amp; "'!B" &amp; ROW(B976))="", INDIRECT("'" &amp; Master!$F$8 &amp; Master!$F$6 &amp; "'!B" &amp; ROW(B976))=0), "", INDIRECT("'" &amp; Master!$F$8 &amp; Master!$F$6 &amp; "'!B" &amp; ROW(B976)))</f>
        <v>#VALUE!</v>
      </c>
      <c r="J976" s="9" t="e">
        <f t="shared" ca="1" si="105"/>
        <v>#VALUE!</v>
      </c>
      <c r="K976" s="7" t="e">
        <f t="shared" ca="1" si="106"/>
        <v>#VALUE!</v>
      </c>
      <c r="L976" s="7" t="e">
        <f t="shared" ca="1" si="107"/>
        <v>#VALUE!</v>
      </c>
      <c r="M976" s="7" t="e">
        <f t="shared" ca="1" si="108"/>
        <v>#VALUE!</v>
      </c>
      <c r="N976" s="7" t="e">
        <f t="shared" ca="1" si="109"/>
        <v>#VALUE!</v>
      </c>
      <c r="O976" s="7" t="e">
        <f t="shared" ca="1" si="110"/>
        <v>#VALUE!</v>
      </c>
      <c r="P976" s="7" t="e">
        <f t="shared" ca="1" si="111"/>
        <v>#VALUE!</v>
      </c>
    </row>
    <row r="977" spans="1:16" x14ac:dyDescent="0.25">
      <c r="A977" s="19" t="str">
        <f ca="1">IF(OR(INDIRECT("'" &amp; Master!$F$8 &amp; Master!$F$6 &amp; "'!A" &amp; ROW(A977))="", INDIRECT("'" &amp; Master!$F$8 &amp; Master!$F$6 &amp; "'!A" &amp; ROW(A977))=0), "", INDIRECT("'" &amp; Master!$F$8 &amp; Master!$F$6 &amp; "'!A" &amp; ROW(A977)))</f>
        <v/>
      </c>
      <c r="B977" s="4" t="e">
        <f ca="1">SplineInterp(INDIRECT("A" &amp; ROW()),INDIRECT("'" &amp;Master!$F$10&amp; "'!$A$2:$A$50"),INDIRECT("'" &amp;Master!$F$10&amp; "'!$B$2:$B$50"))</f>
        <v>#VALUE!</v>
      </c>
      <c r="C977" s="4" t="e">
        <f ca="1">SplineInterp(A977,INDIRECT("'" &amp;Master!$F$10&amp; "'!$A$2:$A$50"),INDIRECT("'" &amp;Master!$F$10&amp; "'!$C$2:$C$50"))</f>
        <v>#VALUE!</v>
      </c>
      <c r="D977" s="4" t="e">
        <f ca="1">SplineInterp(A977,INDIRECT("'" &amp;Master!$F$10&amp; "'!$A$2:$A$50"),INDIRECT("'" &amp;Master!$F$10&amp; "'!$D$2:$D$50"))</f>
        <v>#VALUE!</v>
      </c>
      <c r="E977" s="4" t="e">
        <f ca="1">SplineInterp(A977,INDIRECT("'" &amp;Master!$F$10&amp; "'!$A$2:$A$50"),INDIRECT("'" &amp;Master!$F$10&amp; "'!$E$2:$E$50"))</f>
        <v>#VALUE!</v>
      </c>
      <c r="F977" s="4" t="e">
        <f ca="1">SplineInterp(A977,INDIRECT("'" &amp;Master!$F$10&amp; "'!$A$2:$A$50"),INDIRECT("'" &amp;Master!$F$10&amp; "'!$F$2:$F$50"))</f>
        <v>#VALUE!</v>
      </c>
      <c r="G977" s="4" t="e">
        <f ca="1">SplineInterp(A977,INDIRECT("'" &amp;Master!$F$10&amp; "'!$A$2:$A$50"),INDIRECT("'" &amp;Master!$F$10&amp; "'!$G$2:$G$50"))</f>
        <v>#VALUE!</v>
      </c>
      <c r="H977" s="4" t="e">
        <f ca="1">SplineInterp(A977,INDIRECT("'" &amp;Master!$F$10&amp; "'!$A$2:$A$50"),INDIRECT("'" &amp;Master!$F$10&amp; "'!$H$2:$H$50"))</f>
        <v>#VALUE!</v>
      </c>
      <c r="I977" s="4" t="e">
        <f ca="1">IF(OR(INDIRECT("'" &amp; Master!$F$8 &amp; Master!$F$6 &amp; "'!B" &amp; ROW(B977))="", INDIRECT("'" &amp; Master!$F$8 &amp; Master!$F$6 &amp; "'!B" &amp; ROW(B977))=0), "", INDIRECT("'" &amp; Master!$F$8 &amp; Master!$F$6 &amp; "'!B" &amp; ROW(B977)))</f>
        <v>#VALUE!</v>
      </c>
      <c r="J977" s="9" t="e">
        <f t="shared" ca="1" si="105"/>
        <v>#VALUE!</v>
      </c>
      <c r="K977" s="7" t="e">
        <f t="shared" ca="1" si="106"/>
        <v>#VALUE!</v>
      </c>
      <c r="L977" s="7" t="e">
        <f t="shared" ca="1" si="107"/>
        <v>#VALUE!</v>
      </c>
      <c r="M977" s="7" t="e">
        <f t="shared" ca="1" si="108"/>
        <v>#VALUE!</v>
      </c>
      <c r="N977" s="7" t="e">
        <f t="shared" ca="1" si="109"/>
        <v>#VALUE!</v>
      </c>
      <c r="O977" s="7" t="e">
        <f t="shared" ca="1" si="110"/>
        <v>#VALUE!</v>
      </c>
      <c r="P977" s="7" t="e">
        <f t="shared" ca="1" si="111"/>
        <v>#VALUE!</v>
      </c>
    </row>
    <row r="978" spans="1:16" x14ac:dyDescent="0.25">
      <c r="A978" s="19" t="str">
        <f ca="1">IF(OR(INDIRECT("'" &amp; Master!$F$8 &amp; Master!$F$6 &amp; "'!A" &amp; ROW(A978))="", INDIRECT("'" &amp; Master!$F$8 &amp; Master!$F$6 &amp; "'!A" &amp; ROW(A978))=0), "", INDIRECT("'" &amp; Master!$F$8 &amp; Master!$F$6 &amp; "'!A" &amp; ROW(A978)))</f>
        <v/>
      </c>
      <c r="B978" s="4" t="e">
        <f ca="1">SplineInterp(INDIRECT("A" &amp; ROW()),INDIRECT("'" &amp;Master!$F$10&amp; "'!$A$2:$A$50"),INDIRECT("'" &amp;Master!$F$10&amp; "'!$B$2:$B$50"))</f>
        <v>#VALUE!</v>
      </c>
      <c r="C978" s="4" t="e">
        <f ca="1">SplineInterp(A978,INDIRECT("'" &amp;Master!$F$10&amp; "'!$A$2:$A$50"),INDIRECT("'" &amp;Master!$F$10&amp; "'!$C$2:$C$50"))</f>
        <v>#VALUE!</v>
      </c>
      <c r="D978" s="4" t="e">
        <f ca="1">SplineInterp(A978,INDIRECT("'" &amp;Master!$F$10&amp; "'!$A$2:$A$50"),INDIRECT("'" &amp;Master!$F$10&amp; "'!$D$2:$D$50"))</f>
        <v>#VALUE!</v>
      </c>
      <c r="E978" s="4" t="e">
        <f ca="1">SplineInterp(A978,INDIRECT("'" &amp;Master!$F$10&amp; "'!$A$2:$A$50"),INDIRECT("'" &amp;Master!$F$10&amp; "'!$E$2:$E$50"))</f>
        <v>#VALUE!</v>
      </c>
      <c r="F978" s="4" t="e">
        <f ca="1">SplineInterp(A978,INDIRECT("'" &amp;Master!$F$10&amp; "'!$A$2:$A$50"),INDIRECT("'" &amp;Master!$F$10&amp; "'!$F$2:$F$50"))</f>
        <v>#VALUE!</v>
      </c>
      <c r="G978" s="4" t="e">
        <f ca="1">SplineInterp(A978,INDIRECT("'" &amp;Master!$F$10&amp; "'!$A$2:$A$50"),INDIRECT("'" &amp;Master!$F$10&amp; "'!$G$2:$G$50"))</f>
        <v>#VALUE!</v>
      </c>
      <c r="H978" s="4" t="e">
        <f ca="1">SplineInterp(A978,INDIRECT("'" &amp;Master!$F$10&amp; "'!$A$2:$A$50"),INDIRECT("'" &amp;Master!$F$10&amp; "'!$H$2:$H$50"))</f>
        <v>#VALUE!</v>
      </c>
      <c r="I978" s="4" t="e">
        <f ca="1">IF(OR(INDIRECT("'" &amp; Master!$F$8 &amp; Master!$F$6 &amp; "'!B" &amp; ROW(B978))="", INDIRECT("'" &amp; Master!$F$8 &amp; Master!$F$6 &amp; "'!B" &amp; ROW(B978))=0), "", INDIRECT("'" &amp; Master!$F$8 &amp; Master!$F$6 &amp; "'!B" &amp; ROW(B978)))</f>
        <v>#VALUE!</v>
      </c>
      <c r="J978" s="9" t="e">
        <f t="shared" ca="1" si="105"/>
        <v>#VALUE!</v>
      </c>
      <c r="K978" s="7" t="e">
        <f t="shared" ca="1" si="106"/>
        <v>#VALUE!</v>
      </c>
      <c r="L978" s="7" t="e">
        <f t="shared" ca="1" si="107"/>
        <v>#VALUE!</v>
      </c>
      <c r="M978" s="7" t="e">
        <f t="shared" ca="1" si="108"/>
        <v>#VALUE!</v>
      </c>
      <c r="N978" s="7" t="e">
        <f t="shared" ca="1" si="109"/>
        <v>#VALUE!</v>
      </c>
      <c r="O978" s="7" t="e">
        <f t="shared" ca="1" si="110"/>
        <v>#VALUE!</v>
      </c>
      <c r="P978" s="7" t="e">
        <f t="shared" ca="1" si="111"/>
        <v>#VALUE!</v>
      </c>
    </row>
    <row r="979" spans="1:16" x14ac:dyDescent="0.25">
      <c r="A979" s="19" t="str">
        <f ca="1">IF(OR(INDIRECT("'" &amp; Master!$F$8 &amp; Master!$F$6 &amp; "'!A" &amp; ROW(A979))="", INDIRECT("'" &amp; Master!$F$8 &amp; Master!$F$6 &amp; "'!A" &amp; ROW(A979))=0), "", INDIRECT("'" &amp; Master!$F$8 &amp; Master!$F$6 &amp; "'!A" &amp; ROW(A979)))</f>
        <v/>
      </c>
      <c r="B979" s="4" t="e">
        <f ca="1">SplineInterp(INDIRECT("A" &amp; ROW()),INDIRECT("'" &amp;Master!$F$10&amp; "'!$A$2:$A$50"),INDIRECT("'" &amp;Master!$F$10&amp; "'!$B$2:$B$50"))</f>
        <v>#VALUE!</v>
      </c>
      <c r="C979" s="4" t="e">
        <f ca="1">SplineInterp(A979,INDIRECT("'" &amp;Master!$F$10&amp; "'!$A$2:$A$50"),INDIRECT("'" &amp;Master!$F$10&amp; "'!$C$2:$C$50"))</f>
        <v>#VALUE!</v>
      </c>
      <c r="D979" s="4" t="e">
        <f ca="1">SplineInterp(A979,INDIRECT("'" &amp;Master!$F$10&amp; "'!$A$2:$A$50"),INDIRECT("'" &amp;Master!$F$10&amp; "'!$D$2:$D$50"))</f>
        <v>#VALUE!</v>
      </c>
      <c r="E979" s="4" t="e">
        <f ca="1">SplineInterp(A979,INDIRECT("'" &amp;Master!$F$10&amp; "'!$A$2:$A$50"),INDIRECT("'" &amp;Master!$F$10&amp; "'!$E$2:$E$50"))</f>
        <v>#VALUE!</v>
      </c>
      <c r="F979" s="4" t="e">
        <f ca="1">SplineInterp(A979,INDIRECT("'" &amp;Master!$F$10&amp; "'!$A$2:$A$50"),INDIRECT("'" &amp;Master!$F$10&amp; "'!$F$2:$F$50"))</f>
        <v>#VALUE!</v>
      </c>
      <c r="G979" s="4" t="e">
        <f ca="1">SplineInterp(A979,INDIRECT("'" &amp;Master!$F$10&amp; "'!$A$2:$A$50"),INDIRECT("'" &amp;Master!$F$10&amp; "'!$G$2:$G$50"))</f>
        <v>#VALUE!</v>
      </c>
      <c r="H979" s="4" t="e">
        <f ca="1">SplineInterp(A979,INDIRECT("'" &amp;Master!$F$10&amp; "'!$A$2:$A$50"),INDIRECT("'" &amp;Master!$F$10&amp; "'!$H$2:$H$50"))</f>
        <v>#VALUE!</v>
      </c>
      <c r="I979" s="4" t="e">
        <f ca="1">IF(OR(INDIRECT("'" &amp; Master!$F$8 &amp; Master!$F$6 &amp; "'!B" &amp; ROW(B979))="", INDIRECT("'" &amp; Master!$F$8 &amp; Master!$F$6 &amp; "'!B" &amp; ROW(B979))=0), "", INDIRECT("'" &amp; Master!$F$8 &amp; Master!$F$6 &amp; "'!B" &amp; ROW(B979)))</f>
        <v>#VALUE!</v>
      </c>
      <c r="J979" s="9" t="e">
        <f t="shared" ca="1" si="105"/>
        <v>#VALUE!</v>
      </c>
      <c r="K979" s="7" t="e">
        <f t="shared" ca="1" si="106"/>
        <v>#VALUE!</v>
      </c>
      <c r="L979" s="7" t="e">
        <f t="shared" ca="1" si="107"/>
        <v>#VALUE!</v>
      </c>
      <c r="M979" s="7" t="e">
        <f t="shared" ca="1" si="108"/>
        <v>#VALUE!</v>
      </c>
      <c r="N979" s="7" t="e">
        <f t="shared" ca="1" si="109"/>
        <v>#VALUE!</v>
      </c>
      <c r="O979" s="7" t="e">
        <f t="shared" ca="1" si="110"/>
        <v>#VALUE!</v>
      </c>
      <c r="P979" s="7" t="e">
        <f t="shared" ca="1" si="111"/>
        <v>#VALUE!</v>
      </c>
    </row>
    <row r="980" spans="1:16" x14ac:dyDescent="0.25">
      <c r="A980" s="19" t="str">
        <f ca="1">IF(OR(INDIRECT("'" &amp; Master!$F$8 &amp; Master!$F$6 &amp; "'!A" &amp; ROW(A980))="", INDIRECT("'" &amp; Master!$F$8 &amp; Master!$F$6 &amp; "'!A" &amp; ROW(A980))=0), "", INDIRECT("'" &amp; Master!$F$8 &amp; Master!$F$6 &amp; "'!A" &amp; ROW(A980)))</f>
        <v/>
      </c>
      <c r="B980" s="4" t="e">
        <f ca="1">SplineInterp(INDIRECT("A" &amp; ROW()),INDIRECT("'" &amp;Master!$F$10&amp; "'!$A$2:$A$50"),INDIRECT("'" &amp;Master!$F$10&amp; "'!$B$2:$B$50"))</f>
        <v>#VALUE!</v>
      </c>
      <c r="C980" s="4" t="e">
        <f ca="1">SplineInterp(A980,INDIRECT("'" &amp;Master!$F$10&amp; "'!$A$2:$A$50"),INDIRECT("'" &amp;Master!$F$10&amp; "'!$C$2:$C$50"))</f>
        <v>#VALUE!</v>
      </c>
      <c r="D980" s="4" t="e">
        <f ca="1">SplineInterp(A980,INDIRECT("'" &amp;Master!$F$10&amp; "'!$A$2:$A$50"),INDIRECT("'" &amp;Master!$F$10&amp; "'!$D$2:$D$50"))</f>
        <v>#VALUE!</v>
      </c>
      <c r="E980" s="4" t="e">
        <f ca="1">SplineInterp(A980,INDIRECT("'" &amp;Master!$F$10&amp; "'!$A$2:$A$50"),INDIRECT("'" &amp;Master!$F$10&amp; "'!$E$2:$E$50"))</f>
        <v>#VALUE!</v>
      </c>
      <c r="F980" s="4" t="e">
        <f ca="1">SplineInterp(A980,INDIRECT("'" &amp;Master!$F$10&amp; "'!$A$2:$A$50"),INDIRECT("'" &amp;Master!$F$10&amp; "'!$F$2:$F$50"))</f>
        <v>#VALUE!</v>
      </c>
      <c r="G980" s="4" t="e">
        <f ca="1">SplineInterp(A980,INDIRECT("'" &amp;Master!$F$10&amp; "'!$A$2:$A$50"),INDIRECT("'" &amp;Master!$F$10&amp; "'!$G$2:$G$50"))</f>
        <v>#VALUE!</v>
      </c>
      <c r="H980" s="4" t="e">
        <f ca="1">SplineInterp(A980,INDIRECT("'" &amp;Master!$F$10&amp; "'!$A$2:$A$50"),INDIRECT("'" &amp;Master!$F$10&amp; "'!$H$2:$H$50"))</f>
        <v>#VALUE!</v>
      </c>
      <c r="I980" s="4" t="e">
        <f ca="1">IF(OR(INDIRECT("'" &amp; Master!$F$8 &amp; Master!$F$6 &amp; "'!B" &amp; ROW(B980))="", INDIRECT("'" &amp; Master!$F$8 &amp; Master!$F$6 &amp; "'!B" &amp; ROW(B980))=0), "", INDIRECT("'" &amp; Master!$F$8 &amp; Master!$F$6 &amp; "'!B" &amp; ROW(B980)))</f>
        <v>#VALUE!</v>
      </c>
      <c r="J980" s="9" t="e">
        <f t="shared" ca="1" si="105"/>
        <v>#VALUE!</v>
      </c>
      <c r="K980" s="7" t="e">
        <f t="shared" ca="1" si="106"/>
        <v>#VALUE!</v>
      </c>
      <c r="L980" s="7" t="e">
        <f t="shared" ca="1" si="107"/>
        <v>#VALUE!</v>
      </c>
      <c r="M980" s="7" t="e">
        <f t="shared" ca="1" si="108"/>
        <v>#VALUE!</v>
      </c>
      <c r="N980" s="7" t="e">
        <f t="shared" ca="1" si="109"/>
        <v>#VALUE!</v>
      </c>
      <c r="O980" s="7" t="e">
        <f t="shared" ca="1" si="110"/>
        <v>#VALUE!</v>
      </c>
      <c r="P980" s="7" t="e">
        <f t="shared" ca="1" si="111"/>
        <v>#VALUE!</v>
      </c>
    </row>
    <row r="981" spans="1:16" x14ac:dyDescent="0.25">
      <c r="A981" s="19" t="str">
        <f ca="1">IF(OR(INDIRECT("'" &amp; Master!$F$8 &amp; Master!$F$6 &amp; "'!A" &amp; ROW(A981))="", INDIRECT("'" &amp; Master!$F$8 &amp; Master!$F$6 &amp; "'!A" &amp; ROW(A981))=0), "", INDIRECT("'" &amp; Master!$F$8 &amp; Master!$F$6 &amp; "'!A" &amp; ROW(A981)))</f>
        <v/>
      </c>
      <c r="B981" s="4" t="e">
        <f ca="1">SplineInterp(INDIRECT("A" &amp; ROW()),INDIRECT("'" &amp;Master!$F$10&amp; "'!$A$2:$A$50"),INDIRECT("'" &amp;Master!$F$10&amp; "'!$B$2:$B$50"))</f>
        <v>#VALUE!</v>
      </c>
      <c r="C981" s="4" t="e">
        <f ca="1">SplineInterp(A981,INDIRECT("'" &amp;Master!$F$10&amp; "'!$A$2:$A$50"),INDIRECT("'" &amp;Master!$F$10&amp; "'!$C$2:$C$50"))</f>
        <v>#VALUE!</v>
      </c>
      <c r="D981" s="4" t="e">
        <f ca="1">SplineInterp(A981,INDIRECT("'" &amp;Master!$F$10&amp; "'!$A$2:$A$50"),INDIRECT("'" &amp;Master!$F$10&amp; "'!$D$2:$D$50"))</f>
        <v>#VALUE!</v>
      </c>
      <c r="E981" s="4" t="e">
        <f ca="1">SplineInterp(A981,INDIRECT("'" &amp;Master!$F$10&amp; "'!$A$2:$A$50"),INDIRECT("'" &amp;Master!$F$10&amp; "'!$E$2:$E$50"))</f>
        <v>#VALUE!</v>
      </c>
      <c r="F981" s="4" t="e">
        <f ca="1">SplineInterp(A981,INDIRECT("'" &amp;Master!$F$10&amp; "'!$A$2:$A$50"),INDIRECT("'" &amp;Master!$F$10&amp; "'!$F$2:$F$50"))</f>
        <v>#VALUE!</v>
      </c>
      <c r="G981" s="4" t="e">
        <f ca="1">SplineInterp(A981,INDIRECT("'" &amp;Master!$F$10&amp; "'!$A$2:$A$50"),INDIRECT("'" &amp;Master!$F$10&amp; "'!$G$2:$G$50"))</f>
        <v>#VALUE!</v>
      </c>
      <c r="H981" s="4" t="e">
        <f ca="1">SplineInterp(A981,INDIRECT("'" &amp;Master!$F$10&amp; "'!$A$2:$A$50"),INDIRECT("'" &amp;Master!$F$10&amp; "'!$H$2:$H$50"))</f>
        <v>#VALUE!</v>
      </c>
      <c r="I981" s="4" t="e">
        <f ca="1">IF(OR(INDIRECT("'" &amp; Master!$F$8 &amp; Master!$F$6 &amp; "'!B" &amp; ROW(B981))="", INDIRECT("'" &amp; Master!$F$8 &amp; Master!$F$6 &amp; "'!B" &amp; ROW(B981))=0), "", INDIRECT("'" &amp; Master!$F$8 &amp; Master!$F$6 &amp; "'!B" &amp; ROW(B981)))</f>
        <v>#VALUE!</v>
      </c>
      <c r="J981" s="9" t="e">
        <f t="shared" ca="1" si="105"/>
        <v>#VALUE!</v>
      </c>
      <c r="K981" s="7" t="e">
        <f t="shared" ca="1" si="106"/>
        <v>#VALUE!</v>
      </c>
      <c r="L981" s="7" t="e">
        <f t="shared" ca="1" si="107"/>
        <v>#VALUE!</v>
      </c>
      <c r="M981" s="7" t="e">
        <f t="shared" ca="1" si="108"/>
        <v>#VALUE!</v>
      </c>
      <c r="N981" s="7" t="e">
        <f t="shared" ca="1" si="109"/>
        <v>#VALUE!</v>
      </c>
      <c r="O981" s="7" t="e">
        <f t="shared" ca="1" si="110"/>
        <v>#VALUE!</v>
      </c>
      <c r="P981" s="7" t="e">
        <f t="shared" ca="1" si="111"/>
        <v>#VALUE!</v>
      </c>
    </row>
    <row r="982" spans="1:16" x14ac:dyDescent="0.25">
      <c r="A982" s="19" t="str">
        <f ca="1">IF(OR(INDIRECT("'" &amp; Master!$F$8 &amp; Master!$F$6 &amp; "'!A" &amp; ROW(A982))="", INDIRECT("'" &amp; Master!$F$8 &amp; Master!$F$6 &amp; "'!A" &amp; ROW(A982))=0), "", INDIRECT("'" &amp; Master!$F$8 &amp; Master!$F$6 &amp; "'!A" &amp; ROW(A982)))</f>
        <v/>
      </c>
      <c r="B982" s="4" t="e">
        <f ca="1">SplineInterp(INDIRECT("A" &amp; ROW()),INDIRECT("'" &amp;Master!$F$10&amp; "'!$A$2:$A$50"),INDIRECT("'" &amp;Master!$F$10&amp; "'!$B$2:$B$50"))</f>
        <v>#VALUE!</v>
      </c>
      <c r="C982" s="4" t="e">
        <f ca="1">SplineInterp(A982,INDIRECT("'" &amp;Master!$F$10&amp; "'!$A$2:$A$50"),INDIRECT("'" &amp;Master!$F$10&amp; "'!$C$2:$C$50"))</f>
        <v>#VALUE!</v>
      </c>
      <c r="D982" s="4" t="e">
        <f ca="1">SplineInterp(A982,INDIRECT("'" &amp;Master!$F$10&amp; "'!$A$2:$A$50"),INDIRECT("'" &amp;Master!$F$10&amp; "'!$D$2:$D$50"))</f>
        <v>#VALUE!</v>
      </c>
      <c r="E982" s="4" t="e">
        <f ca="1">SplineInterp(A982,INDIRECT("'" &amp;Master!$F$10&amp; "'!$A$2:$A$50"),INDIRECT("'" &amp;Master!$F$10&amp; "'!$E$2:$E$50"))</f>
        <v>#VALUE!</v>
      </c>
      <c r="F982" s="4" t="e">
        <f ca="1">SplineInterp(A982,INDIRECT("'" &amp;Master!$F$10&amp; "'!$A$2:$A$50"),INDIRECT("'" &amp;Master!$F$10&amp; "'!$F$2:$F$50"))</f>
        <v>#VALUE!</v>
      </c>
      <c r="G982" s="4" t="e">
        <f ca="1">SplineInterp(A982,INDIRECT("'" &amp;Master!$F$10&amp; "'!$A$2:$A$50"),INDIRECT("'" &amp;Master!$F$10&amp; "'!$G$2:$G$50"))</f>
        <v>#VALUE!</v>
      </c>
      <c r="H982" s="4" t="e">
        <f ca="1">SplineInterp(A982,INDIRECT("'" &amp;Master!$F$10&amp; "'!$A$2:$A$50"),INDIRECT("'" &amp;Master!$F$10&amp; "'!$H$2:$H$50"))</f>
        <v>#VALUE!</v>
      </c>
      <c r="I982" s="4" t="e">
        <f ca="1">IF(OR(INDIRECT("'" &amp; Master!$F$8 &amp; Master!$F$6 &amp; "'!B" &amp; ROW(B982))="", INDIRECT("'" &amp; Master!$F$8 &amp; Master!$F$6 &amp; "'!B" &amp; ROW(B982))=0), "", INDIRECT("'" &amp; Master!$F$8 &amp; Master!$F$6 &amp; "'!B" &amp; ROW(B982)))</f>
        <v>#VALUE!</v>
      </c>
      <c r="J982" s="9" t="e">
        <f t="shared" ca="1" si="105"/>
        <v>#VALUE!</v>
      </c>
      <c r="K982" s="7" t="e">
        <f t="shared" ca="1" si="106"/>
        <v>#VALUE!</v>
      </c>
      <c r="L982" s="7" t="e">
        <f t="shared" ca="1" si="107"/>
        <v>#VALUE!</v>
      </c>
      <c r="M982" s="7" t="e">
        <f t="shared" ca="1" si="108"/>
        <v>#VALUE!</v>
      </c>
      <c r="N982" s="7" t="e">
        <f t="shared" ca="1" si="109"/>
        <v>#VALUE!</v>
      </c>
      <c r="O982" s="7" t="e">
        <f t="shared" ca="1" si="110"/>
        <v>#VALUE!</v>
      </c>
      <c r="P982" s="7" t="e">
        <f t="shared" ca="1" si="111"/>
        <v>#VALUE!</v>
      </c>
    </row>
    <row r="983" spans="1:16" x14ac:dyDescent="0.25">
      <c r="A983" s="19" t="str">
        <f ca="1">IF(OR(INDIRECT("'" &amp; Master!$F$8 &amp; Master!$F$6 &amp; "'!A" &amp; ROW(A983))="", INDIRECT("'" &amp; Master!$F$8 &amp; Master!$F$6 &amp; "'!A" &amp; ROW(A983))=0), "", INDIRECT("'" &amp; Master!$F$8 &amp; Master!$F$6 &amp; "'!A" &amp; ROW(A983)))</f>
        <v/>
      </c>
      <c r="B983" s="4" t="e">
        <f ca="1">SplineInterp(INDIRECT("A" &amp; ROW()),INDIRECT("'" &amp;Master!$F$10&amp; "'!$A$2:$A$50"),INDIRECT("'" &amp;Master!$F$10&amp; "'!$B$2:$B$50"))</f>
        <v>#VALUE!</v>
      </c>
      <c r="C983" s="4" t="e">
        <f ca="1">SplineInterp(A983,INDIRECT("'" &amp;Master!$F$10&amp; "'!$A$2:$A$50"),INDIRECT("'" &amp;Master!$F$10&amp; "'!$C$2:$C$50"))</f>
        <v>#VALUE!</v>
      </c>
      <c r="D983" s="4" t="e">
        <f ca="1">SplineInterp(A983,INDIRECT("'" &amp;Master!$F$10&amp; "'!$A$2:$A$50"),INDIRECT("'" &amp;Master!$F$10&amp; "'!$D$2:$D$50"))</f>
        <v>#VALUE!</v>
      </c>
      <c r="E983" s="4" t="e">
        <f ca="1">SplineInterp(A983,INDIRECT("'" &amp;Master!$F$10&amp; "'!$A$2:$A$50"),INDIRECT("'" &amp;Master!$F$10&amp; "'!$E$2:$E$50"))</f>
        <v>#VALUE!</v>
      </c>
      <c r="F983" s="4" t="e">
        <f ca="1">SplineInterp(A983,INDIRECT("'" &amp;Master!$F$10&amp; "'!$A$2:$A$50"),INDIRECT("'" &amp;Master!$F$10&amp; "'!$F$2:$F$50"))</f>
        <v>#VALUE!</v>
      </c>
      <c r="G983" s="4" t="e">
        <f ca="1">SplineInterp(A983,INDIRECT("'" &amp;Master!$F$10&amp; "'!$A$2:$A$50"),INDIRECT("'" &amp;Master!$F$10&amp; "'!$G$2:$G$50"))</f>
        <v>#VALUE!</v>
      </c>
      <c r="H983" s="4" t="e">
        <f ca="1">SplineInterp(A983,INDIRECT("'" &amp;Master!$F$10&amp; "'!$A$2:$A$50"),INDIRECT("'" &amp;Master!$F$10&amp; "'!$H$2:$H$50"))</f>
        <v>#VALUE!</v>
      </c>
      <c r="I983" s="4" t="e">
        <f ca="1">IF(OR(INDIRECT("'" &amp; Master!$F$8 &amp; Master!$F$6 &amp; "'!B" &amp; ROW(B983))="", INDIRECT("'" &amp; Master!$F$8 &amp; Master!$F$6 &amp; "'!B" &amp; ROW(B983))=0), "", INDIRECT("'" &amp; Master!$F$8 &amp; Master!$F$6 &amp; "'!B" &amp; ROW(B983)))</f>
        <v>#VALUE!</v>
      </c>
      <c r="J983" s="9" t="e">
        <f t="shared" ca="1" si="105"/>
        <v>#VALUE!</v>
      </c>
      <c r="K983" s="7" t="e">
        <f t="shared" ca="1" si="106"/>
        <v>#VALUE!</v>
      </c>
      <c r="L983" s="7" t="e">
        <f t="shared" ca="1" si="107"/>
        <v>#VALUE!</v>
      </c>
      <c r="M983" s="7" t="e">
        <f t="shared" ca="1" si="108"/>
        <v>#VALUE!</v>
      </c>
      <c r="N983" s="7" t="e">
        <f t="shared" ca="1" si="109"/>
        <v>#VALUE!</v>
      </c>
      <c r="O983" s="7" t="e">
        <f t="shared" ca="1" si="110"/>
        <v>#VALUE!</v>
      </c>
      <c r="P983" s="7" t="e">
        <f t="shared" ca="1" si="111"/>
        <v>#VALUE!</v>
      </c>
    </row>
    <row r="984" spans="1:16" x14ac:dyDescent="0.25">
      <c r="A984" s="19" t="str">
        <f ca="1">IF(OR(INDIRECT("'" &amp; Master!$F$8 &amp; Master!$F$6 &amp; "'!A" &amp; ROW(A984))="", INDIRECT("'" &amp; Master!$F$8 &amp; Master!$F$6 &amp; "'!A" &amp; ROW(A984))=0), "", INDIRECT("'" &amp; Master!$F$8 &amp; Master!$F$6 &amp; "'!A" &amp; ROW(A984)))</f>
        <v/>
      </c>
      <c r="B984" s="4" t="e">
        <f ca="1">SplineInterp(INDIRECT("A" &amp; ROW()),INDIRECT("'" &amp;Master!$F$10&amp; "'!$A$2:$A$50"),INDIRECT("'" &amp;Master!$F$10&amp; "'!$B$2:$B$50"))</f>
        <v>#VALUE!</v>
      </c>
      <c r="C984" s="4" t="e">
        <f ca="1">SplineInterp(A984,INDIRECT("'" &amp;Master!$F$10&amp; "'!$A$2:$A$50"),INDIRECT("'" &amp;Master!$F$10&amp; "'!$C$2:$C$50"))</f>
        <v>#VALUE!</v>
      </c>
      <c r="D984" s="4" t="e">
        <f ca="1">SplineInterp(A984,INDIRECT("'" &amp;Master!$F$10&amp; "'!$A$2:$A$50"),INDIRECT("'" &amp;Master!$F$10&amp; "'!$D$2:$D$50"))</f>
        <v>#VALUE!</v>
      </c>
      <c r="E984" s="4" t="e">
        <f ca="1">SplineInterp(A984,INDIRECT("'" &amp;Master!$F$10&amp; "'!$A$2:$A$50"),INDIRECT("'" &amp;Master!$F$10&amp; "'!$E$2:$E$50"))</f>
        <v>#VALUE!</v>
      </c>
      <c r="F984" s="4" t="e">
        <f ca="1">SplineInterp(A984,INDIRECT("'" &amp;Master!$F$10&amp; "'!$A$2:$A$50"),INDIRECT("'" &amp;Master!$F$10&amp; "'!$F$2:$F$50"))</f>
        <v>#VALUE!</v>
      </c>
      <c r="G984" s="4" t="e">
        <f ca="1">SplineInterp(A984,INDIRECT("'" &amp;Master!$F$10&amp; "'!$A$2:$A$50"),INDIRECT("'" &amp;Master!$F$10&amp; "'!$G$2:$G$50"))</f>
        <v>#VALUE!</v>
      </c>
      <c r="H984" s="4" t="e">
        <f ca="1">SplineInterp(A984,INDIRECT("'" &amp;Master!$F$10&amp; "'!$A$2:$A$50"),INDIRECT("'" &amp;Master!$F$10&amp; "'!$H$2:$H$50"))</f>
        <v>#VALUE!</v>
      </c>
      <c r="I984" s="4" t="e">
        <f ca="1">IF(OR(INDIRECT("'" &amp; Master!$F$8 &amp; Master!$F$6 &amp; "'!B" &amp; ROW(B984))="", INDIRECT("'" &amp; Master!$F$8 &amp; Master!$F$6 &amp; "'!B" &amp; ROW(B984))=0), "", INDIRECT("'" &amp; Master!$F$8 &amp; Master!$F$6 &amp; "'!B" &amp; ROW(B984)))</f>
        <v>#VALUE!</v>
      </c>
      <c r="J984" s="9" t="e">
        <f t="shared" ca="1" si="105"/>
        <v>#VALUE!</v>
      </c>
      <c r="K984" s="7" t="e">
        <f t="shared" ca="1" si="106"/>
        <v>#VALUE!</v>
      </c>
      <c r="L984" s="7" t="e">
        <f t="shared" ca="1" si="107"/>
        <v>#VALUE!</v>
      </c>
      <c r="M984" s="7" t="e">
        <f t="shared" ca="1" si="108"/>
        <v>#VALUE!</v>
      </c>
      <c r="N984" s="7" t="e">
        <f t="shared" ca="1" si="109"/>
        <v>#VALUE!</v>
      </c>
      <c r="O984" s="7" t="e">
        <f t="shared" ca="1" si="110"/>
        <v>#VALUE!</v>
      </c>
      <c r="P984" s="7" t="e">
        <f t="shared" ca="1" si="111"/>
        <v>#VALUE!</v>
      </c>
    </row>
    <row r="985" spans="1:16" x14ac:dyDescent="0.25">
      <c r="A985" s="19" t="str">
        <f ca="1">IF(OR(INDIRECT("'" &amp; Master!$F$8 &amp; Master!$F$6 &amp; "'!A" &amp; ROW(A985))="", INDIRECT("'" &amp; Master!$F$8 &amp; Master!$F$6 &amp; "'!A" &amp; ROW(A985))=0), "", INDIRECT("'" &amp; Master!$F$8 &amp; Master!$F$6 &amp; "'!A" &amp; ROW(A985)))</f>
        <v/>
      </c>
      <c r="B985" s="4" t="e">
        <f ca="1">SplineInterp(INDIRECT("A" &amp; ROW()),INDIRECT("'" &amp;Master!$F$10&amp; "'!$A$2:$A$50"),INDIRECT("'" &amp;Master!$F$10&amp; "'!$B$2:$B$50"))</f>
        <v>#VALUE!</v>
      </c>
      <c r="C985" s="4" t="e">
        <f ca="1">SplineInterp(A985,INDIRECT("'" &amp;Master!$F$10&amp; "'!$A$2:$A$50"),INDIRECT("'" &amp;Master!$F$10&amp; "'!$C$2:$C$50"))</f>
        <v>#VALUE!</v>
      </c>
      <c r="D985" s="4" t="e">
        <f ca="1">SplineInterp(A985,INDIRECT("'" &amp;Master!$F$10&amp; "'!$A$2:$A$50"),INDIRECT("'" &amp;Master!$F$10&amp; "'!$D$2:$D$50"))</f>
        <v>#VALUE!</v>
      </c>
      <c r="E985" s="4" t="e">
        <f ca="1">SplineInterp(A985,INDIRECT("'" &amp;Master!$F$10&amp; "'!$A$2:$A$50"),INDIRECT("'" &amp;Master!$F$10&amp; "'!$E$2:$E$50"))</f>
        <v>#VALUE!</v>
      </c>
      <c r="F985" s="4" t="e">
        <f ca="1">SplineInterp(A985,INDIRECT("'" &amp;Master!$F$10&amp; "'!$A$2:$A$50"),INDIRECT("'" &amp;Master!$F$10&amp; "'!$F$2:$F$50"))</f>
        <v>#VALUE!</v>
      </c>
      <c r="G985" s="4" t="e">
        <f ca="1">SplineInterp(A985,INDIRECT("'" &amp;Master!$F$10&amp; "'!$A$2:$A$50"),INDIRECT("'" &amp;Master!$F$10&amp; "'!$G$2:$G$50"))</f>
        <v>#VALUE!</v>
      </c>
      <c r="H985" s="4" t="e">
        <f ca="1">SplineInterp(A985,INDIRECT("'" &amp;Master!$F$10&amp; "'!$A$2:$A$50"),INDIRECT("'" &amp;Master!$F$10&amp; "'!$H$2:$H$50"))</f>
        <v>#VALUE!</v>
      </c>
      <c r="I985" s="4" t="e">
        <f ca="1">IF(OR(INDIRECT("'" &amp; Master!$F$8 &amp; Master!$F$6 &amp; "'!B" &amp; ROW(B985))="", INDIRECT("'" &amp; Master!$F$8 &amp; Master!$F$6 &amp; "'!B" &amp; ROW(B985))=0), "", INDIRECT("'" &amp; Master!$F$8 &amp; Master!$F$6 &amp; "'!B" &amp; ROW(B985)))</f>
        <v>#VALUE!</v>
      </c>
      <c r="J985" s="9" t="e">
        <f t="shared" ca="1" si="105"/>
        <v>#VALUE!</v>
      </c>
      <c r="K985" s="7" t="e">
        <f t="shared" ca="1" si="106"/>
        <v>#VALUE!</v>
      </c>
      <c r="L985" s="7" t="e">
        <f t="shared" ca="1" si="107"/>
        <v>#VALUE!</v>
      </c>
      <c r="M985" s="7" t="e">
        <f t="shared" ca="1" si="108"/>
        <v>#VALUE!</v>
      </c>
      <c r="N985" s="7" t="e">
        <f t="shared" ca="1" si="109"/>
        <v>#VALUE!</v>
      </c>
      <c r="O985" s="7" t="e">
        <f t="shared" ca="1" si="110"/>
        <v>#VALUE!</v>
      </c>
      <c r="P985" s="7" t="e">
        <f t="shared" ca="1" si="111"/>
        <v>#VALUE!</v>
      </c>
    </row>
    <row r="986" spans="1:16" x14ac:dyDescent="0.25">
      <c r="A986" s="19" t="str">
        <f ca="1">IF(OR(INDIRECT("'" &amp; Master!$F$8 &amp; Master!$F$6 &amp; "'!A" &amp; ROW(A986))="", INDIRECT("'" &amp; Master!$F$8 &amp; Master!$F$6 &amp; "'!A" &amp; ROW(A986))=0), "", INDIRECT("'" &amp; Master!$F$8 &amp; Master!$F$6 &amp; "'!A" &amp; ROW(A986)))</f>
        <v/>
      </c>
      <c r="B986" s="4" t="e">
        <f ca="1">SplineInterp(INDIRECT("A" &amp; ROW()),INDIRECT("'" &amp;Master!$F$10&amp; "'!$A$2:$A$50"),INDIRECT("'" &amp;Master!$F$10&amp; "'!$B$2:$B$50"))</f>
        <v>#VALUE!</v>
      </c>
      <c r="C986" s="4" t="e">
        <f ca="1">SplineInterp(A986,INDIRECT("'" &amp;Master!$F$10&amp; "'!$A$2:$A$50"),INDIRECT("'" &amp;Master!$F$10&amp; "'!$C$2:$C$50"))</f>
        <v>#VALUE!</v>
      </c>
      <c r="D986" s="4" t="e">
        <f ca="1">SplineInterp(A986,INDIRECT("'" &amp;Master!$F$10&amp; "'!$A$2:$A$50"),INDIRECT("'" &amp;Master!$F$10&amp; "'!$D$2:$D$50"))</f>
        <v>#VALUE!</v>
      </c>
      <c r="E986" s="4" t="e">
        <f ca="1">SplineInterp(A986,INDIRECT("'" &amp;Master!$F$10&amp; "'!$A$2:$A$50"),INDIRECT("'" &amp;Master!$F$10&amp; "'!$E$2:$E$50"))</f>
        <v>#VALUE!</v>
      </c>
      <c r="F986" s="4" t="e">
        <f ca="1">SplineInterp(A986,INDIRECT("'" &amp;Master!$F$10&amp; "'!$A$2:$A$50"),INDIRECT("'" &amp;Master!$F$10&amp; "'!$F$2:$F$50"))</f>
        <v>#VALUE!</v>
      </c>
      <c r="G986" s="4" t="e">
        <f ca="1">SplineInterp(A986,INDIRECT("'" &amp;Master!$F$10&amp; "'!$A$2:$A$50"),INDIRECT("'" &amp;Master!$F$10&amp; "'!$G$2:$G$50"))</f>
        <v>#VALUE!</v>
      </c>
      <c r="H986" s="4" t="e">
        <f ca="1">SplineInterp(A986,INDIRECT("'" &amp;Master!$F$10&amp; "'!$A$2:$A$50"),INDIRECT("'" &amp;Master!$F$10&amp; "'!$H$2:$H$50"))</f>
        <v>#VALUE!</v>
      </c>
      <c r="I986" s="4" t="e">
        <f ca="1">IF(OR(INDIRECT("'" &amp; Master!$F$8 &amp; Master!$F$6 &amp; "'!B" &amp; ROW(B986))="", INDIRECT("'" &amp; Master!$F$8 &amp; Master!$F$6 &amp; "'!B" &amp; ROW(B986))=0), "", INDIRECT("'" &amp; Master!$F$8 &amp; Master!$F$6 &amp; "'!B" &amp; ROW(B986)))</f>
        <v>#VALUE!</v>
      </c>
      <c r="J986" s="9" t="e">
        <f t="shared" ca="1" si="105"/>
        <v>#VALUE!</v>
      </c>
      <c r="K986" s="7" t="e">
        <f t="shared" ca="1" si="106"/>
        <v>#VALUE!</v>
      </c>
      <c r="L986" s="7" t="e">
        <f t="shared" ca="1" si="107"/>
        <v>#VALUE!</v>
      </c>
      <c r="M986" s="7" t="e">
        <f t="shared" ca="1" si="108"/>
        <v>#VALUE!</v>
      </c>
      <c r="N986" s="7" t="e">
        <f t="shared" ca="1" si="109"/>
        <v>#VALUE!</v>
      </c>
      <c r="O986" s="7" t="e">
        <f t="shared" ca="1" si="110"/>
        <v>#VALUE!</v>
      </c>
      <c r="P986" s="7" t="e">
        <f t="shared" ca="1" si="111"/>
        <v>#VALUE!</v>
      </c>
    </row>
    <row r="987" spans="1:16" x14ac:dyDescent="0.25">
      <c r="A987" s="19" t="str">
        <f ca="1">IF(OR(INDIRECT("'" &amp; Master!$F$8 &amp; Master!$F$6 &amp; "'!A" &amp; ROW(A987))="", INDIRECT("'" &amp; Master!$F$8 &amp; Master!$F$6 &amp; "'!A" &amp; ROW(A987))=0), "", INDIRECT("'" &amp; Master!$F$8 &amp; Master!$F$6 &amp; "'!A" &amp; ROW(A987)))</f>
        <v/>
      </c>
      <c r="B987" s="4" t="e">
        <f ca="1">SplineInterp(INDIRECT("A" &amp; ROW()),INDIRECT("'" &amp;Master!$F$10&amp; "'!$A$2:$A$50"),INDIRECT("'" &amp;Master!$F$10&amp; "'!$B$2:$B$50"))</f>
        <v>#VALUE!</v>
      </c>
      <c r="C987" s="4" t="e">
        <f ca="1">SplineInterp(A987,INDIRECT("'" &amp;Master!$F$10&amp; "'!$A$2:$A$50"),INDIRECT("'" &amp;Master!$F$10&amp; "'!$C$2:$C$50"))</f>
        <v>#VALUE!</v>
      </c>
      <c r="D987" s="4" t="e">
        <f ca="1">SplineInterp(A987,INDIRECT("'" &amp;Master!$F$10&amp; "'!$A$2:$A$50"),INDIRECT("'" &amp;Master!$F$10&amp; "'!$D$2:$D$50"))</f>
        <v>#VALUE!</v>
      </c>
      <c r="E987" s="4" t="e">
        <f ca="1">SplineInterp(A987,INDIRECT("'" &amp;Master!$F$10&amp; "'!$A$2:$A$50"),INDIRECT("'" &amp;Master!$F$10&amp; "'!$E$2:$E$50"))</f>
        <v>#VALUE!</v>
      </c>
      <c r="F987" s="4" t="e">
        <f ca="1">SplineInterp(A987,INDIRECT("'" &amp;Master!$F$10&amp; "'!$A$2:$A$50"),INDIRECT("'" &amp;Master!$F$10&amp; "'!$F$2:$F$50"))</f>
        <v>#VALUE!</v>
      </c>
      <c r="G987" s="4" t="e">
        <f ca="1">SplineInterp(A987,INDIRECT("'" &amp;Master!$F$10&amp; "'!$A$2:$A$50"),INDIRECT("'" &amp;Master!$F$10&amp; "'!$G$2:$G$50"))</f>
        <v>#VALUE!</v>
      </c>
      <c r="H987" s="4" t="e">
        <f ca="1">SplineInterp(A987,INDIRECT("'" &amp;Master!$F$10&amp; "'!$A$2:$A$50"),INDIRECT("'" &amp;Master!$F$10&amp; "'!$H$2:$H$50"))</f>
        <v>#VALUE!</v>
      </c>
      <c r="I987" s="4" t="e">
        <f ca="1">IF(OR(INDIRECT("'" &amp; Master!$F$8 &amp; Master!$F$6 &amp; "'!B" &amp; ROW(B987))="", INDIRECT("'" &amp; Master!$F$8 &amp; Master!$F$6 &amp; "'!B" &amp; ROW(B987))=0), "", INDIRECT("'" &amp; Master!$F$8 &amp; Master!$F$6 &amp; "'!B" &amp; ROW(B987)))</f>
        <v>#VALUE!</v>
      </c>
      <c r="J987" s="9" t="e">
        <f t="shared" ca="1" si="105"/>
        <v>#VALUE!</v>
      </c>
      <c r="K987" s="7" t="e">
        <f t="shared" ca="1" si="106"/>
        <v>#VALUE!</v>
      </c>
      <c r="L987" s="7" t="e">
        <f t="shared" ca="1" si="107"/>
        <v>#VALUE!</v>
      </c>
      <c r="M987" s="7" t="e">
        <f t="shared" ca="1" si="108"/>
        <v>#VALUE!</v>
      </c>
      <c r="N987" s="7" t="e">
        <f t="shared" ca="1" si="109"/>
        <v>#VALUE!</v>
      </c>
      <c r="O987" s="7" t="e">
        <f t="shared" ca="1" si="110"/>
        <v>#VALUE!</v>
      </c>
      <c r="P987" s="7" t="e">
        <f t="shared" ca="1" si="111"/>
        <v>#VALUE!</v>
      </c>
    </row>
    <row r="988" spans="1:16" x14ac:dyDescent="0.25">
      <c r="A988" s="19" t="str">
        <f ca="1">IF(OR(INDIRECT("'" &amp; Master!$F$8 &amp; Master!$F$6 &amp; "'!A" &amp; ROW(A988))="", INDIRECT("'" &amp; Master!$F$8 &amp; Master!$F$6 &amp; "'!A" &amp; ROW(A988))=0), "", INDIRECT("'" &amp; Master!$F$8 &amp; Master!$F$6 &amp; "'!A" &amp; ROW(A988)))</f>
        <v/>
      </c>
      <c r="B988" s="4" t="e">
        <f ca="1">SplineInterp(INDIRECT("A" &amp; ROW()),INDIRECT("'" &amp;Master!$F$10&amp; "'!$A$2:$A$50"),INDIRECT("'" &amp;Master!$F$10&amp; "'!$B$2:$B$50"))</f>
        <v>#VALUE!</v>
      </c>
      <c r="C988" s="4" t="e">
        <f ca="1">SplineInterp(A988,INDIRECT("'" &amp;Master!$F$10&amp; "'!$A$2:$A$50"),INDIRECT("'" &amp;Master!$F$10&amp; "'!$C$2:$C$50"))</f>
        <v>#VALUE!</v>
      </c>
      <c r="D988" s="4" t="e">
        <f ca="1">SplineInterp(A988,INDIRECT("'" &amp;Master!$F$10&amp; "'!$A$2:$A$50"),INDIRECT("'" &amp;Master!$F$10&amp; "'!$D$2:$D$50"))</f>
        <v>#VALUE!</v>
      </c>
      <c r="E988" s="4" t="e">
        <f ca="1">SplineInterp(A988,INDIRECT("'" &amp;Master!$F$10&amp; "'!$A$2:$A$50"),INDIRECT("'" &amp;Master!$F$10&amp; "'!$E$2:$E$50"))</f>
        <v>#VALUE!</v>
      </c>
      <c r="F988" s="4" t="e">
        <f ca="1">SplineInterp(A988,INDIRECT("'" &amp;Master!$F$10&amp; "'!$A$2:$A$50"),INDIRECT("'" &amp;Master!$F$10&amp; "'!$F$2:$F$50"))</f>
        <v>#VALUE!</v>
      </c>
      <c r="G988" s="4" t="e">
        <f ca="1">SplineInterp(A988,INDIRECT("'" &amp;Master!$F$10&amp; "'!$A$2:$A$50"),INDIRECT("'" &amp;Master!$F$10&amp; "'!$G$2:$G$50"))</f>
        <v>#VALUE!</v>
      </c>
      <c r="H988" s="4" t="e">
        <f ca="1">SplineInterp(A988,INDIRECT("'" &amp;Master!$F$10&amp; "'!$A$2:$A$50"),INDIRECT("'" &amp;Master!$F$10&amp; "'!$H$2:$H$50"))</f>
        <v>#VALUE!</v>
      </c>
      <c r="I988" s="4" t="e">
        <f ca="1">IF(OR(INDIRECT("'" &amp; Master!$F$8 &amp; Master!$F$6 &amp; "'!B" &amp; ROW(B988))="", INDIRECT("'" &amp; Master!$F$8 &amp; Master!$F$6 &amp; "'!B" &amp; ROW(B988))=0), "", INDIRECT("'" &amp; Master!$F$8 &amp; Master!$F$6 &amp; "'!B" &amp; ROW(B988)))</f>
        <v>#VALUE!</v>
      </c>
      <c r="J988" s="9" t="e">
        <f t="shared" ca="1" si="105"/>
        <v>#VALUE!</v>
      </c>
      <c r="K988" s="7" t="e">
        <f t="shared" ca="1" si="106"/>
        <v>#VALUE!</v>
      </c>
      <c r="L988" s="7" t="e">
        <f t="shared" ca="1" si="107"/>
        <v>#VALUE!</v>
      </c>
      <c r="M988" s="7" t="e">
        <f t="shared" ca="1" si="108"/>
        <v>#VALUE!</v>
      </c>
      <c r="N988" s="7" t="e">
        <f t="shared" ca="1" si="109"/>
        <v>#VALUE!</v>
      </c>
      <c r="O988" s="7" t="e">
        <f t="shared" ca="1" si="110"/>
        <v>#VALUE!</v>
      </c>
      <c r="P988" s="7" t="e">
        <f t="shared" ca="1" si="111"/>
        <v>#VALUE!</v>
      </c>
    </row>
    <row r="989" spans="1:16" x14ac:dyDescent="0.25">
      <c r="A989" s="19" t="str">
        <f ca="1">IF(OR(INDIRECT("'" &amp; Master!$F$8 &amp; Master!$F$6 &amp; "'!A" &amp; ROW(A989))="", INDIRECT("'" &amp; Master!$F$8 &amp; Master!$F$6 &amp; "'!A" &amp; ROW(A989))=0), "", INDIRECT("'" &amp; Master!$F$8 &amp; Master!$F$6 &amp; "'!A" &amp; ROW(A989)))</f>
        <v/>
      </c>
      <c r="B989" s="4" t="e">
        <f ca="1">SplineInterp(INDIRECT("A" &amp; ROW()),INDIRECT("'" &amp;Master!$F$10&amp; "'!$A$2:$A$50"),INDIRECT("'" &amp;Master!$F$10&amp; "'!$B$2:$B$50"))</f>
        <v>#VALUE!</v>
      </c>
      <c r="C989" s="4" t="e">
        <f ca="1">SplineInterp(A989,INDIRECT("'" &amp;Master!$F$10&amp; "'!$A$2:$A$50"),INDIRECT("'" &amp;Master!$F$10&amp; "'!$C$2:$C$50"))</f>
        <v>#VALUE!</v>
      </c>
      <c r="D989" s="4" t="e">
        <f ca="1">SplineInterp(A989,INDIRECT("'" &amp;Master!$F$10&amp; "'!$A$2:$A$50"),INDIRECT("'" &amp;Master!$F$10&amp; "'!$D$2:$D$50"))</f>
        <v>#VALUE!</v>
      </c>
      <c r="E989" s="4" t="e">
        <f ca="1">SplineInterp(A989,INDIRECT("'" &amp;Master!$F$10&amp; "'!$A$2:$A$50"),INDIRECT("'" &amp;Master!$F$10&amp; "'!$E$2:$E$50"))</f>
        <v>#VALUE!</v>
      </c>
      <c r="F989" s="4" t="e">
        <f ca="1">SplineInterp(A989,INDIRECT("'" &amp;Master!$F$10&amp; "'!$A$2:$A$50"),INDIRECT("'" &amp;Master!$F$10&amp; "'!$F$2:$F$50"))</f>
        <v>#VALUE!</v>
      </c>
      <c r="G989" s="4" t="e">
        <f ca="1">SplineInterp(A989,INDIRECT("'" &amp;Master!$F$10&amp; "'!$A$2:$A$50"),INDIRECT("'" &amp;Master!$F$10&amp; "'!$G$2:$G$50"))</f>
        <v>#VALUE!</v>
      </c>
      <c r="H989" s="4" t="e">
        <f ca="1">SplineInterp(A989,INDIRECT("'" &amp;Master!$F$10&amp; "'!$A$2:$A$50"),INDIRECT("'" &amp;Master!$F$10&amp; "'!$H$2:$H$50"))</f>
        <v>#VALUE!</v>
      </c>
      <c r="I989" s="4" t="e">
        <f ca="1">IF(OR(INDIRECT("'" &amp; Master!$F$8 &amp; Master!$F$6 &amp; "'!B" &amp; ROW(B989))="", INDIRECT("'" &amp; Master!$F$8 &amp; Master!$F$6 &amp; "'!B" &amp; ROW(B989))=0), "", INDIRECT("'" &amp; Master!$F$8 &amp; Master!$F$6 &amp; "'!B" &amp; ROW(B989)))</f>
        <v>#VALUE!</v>
      </c>
      <c r="J989" s="9" t="e">
        <f t="shared" ca="1" si="105"/>
        <v>#VALUE!</v>
      </c>
      <c r="K989" s="7" t="e">
        <f t="shared" ca="1" si="106"/>
        <v>#VALUE!</v>
      </c>
      <c r="L989" s="7" t="e">
        <f t="shared" ca="1" si="107"/>
        <v>#VALUE!</v>
      </c>
      <c r="M989" s="7" t="e">
        <f t="shared" ca="1" si="108"/>
        <v>#VALUE!</v>
      </c>
      <c r="N989" s="7" t="e">
        <f t="shared" ca="1" si="109"/>
        <v>#VALUE!</v>
      </c>
      <c r="O989" s="7" t="e">
        <f t="shared" ca="1" si="110"/>
        <v>#VALUE!</v>
      </c>
      <c r="P989" s="7" t="e">
        <f t="shared" ca="1" si="111"/>
        <v>#VALUE!</v>
      </c>
    </row>
    <row r="990" spans="1:16" x14ac:dyDescent="0.25">
      <c r="A990" s="19" t="str">
        <f ca="1">IF(OR(INDIRECT("'" &amp; Master!$F$8 &amp; Master!$F$6 &amp; "'!A" &amp; ROW(A990))="", INDIRECT("'" &amp; Master!$F$8 &amp; Master!$F$6 &amp; "'!A" &amp; ROW(A990))=0), "", INDIRECT("'" &amp; Master!$F$8 &amp; Master!$F$6 &amp; "'!A" &amp; ROW(A990)))</f>
        <v/>
      </c>
      <c r="B990" s="4" t="e">
        <f ca="1">SplineInterp(INDIRECT("A" &amp; ROW()),INDIRECT("'" &amp;Master!$F$10&amp; "'!$A$2:$A$50"),INDIRECT("'" &amp;Master!$F$10&amp; "'!$B$2:$B$50"))</f>
        <v>#VALUE!</v>
      </c>
      <c r="C990" s="4" t="e">
        <f ca="1">SplineInterp(A990,INDIRECT("'" &amp;Master!$F$10&amp; "'!$A$2:$A$50"),INDIRECT("'" &amp;Master!$F$10&amp; "'!$C$2:$C$50"))</f>
        <v>#VALUE!</v>
      </c>
      <c r="D990" s="4" t="e">
        <f ca="1">SplineInterp(A990,INDIRECT("'" &amp;Master!$F$10&amp; "'!$A$2:$A$50"),INDIRECT("'" &amp;Master!$F$10&amp; "'!$D$2:$D$50"))</f>
        <v>#VALUE!</v>
      </c>
      <c r="E990" s="4" t="e">
        <f ca="1">SplineInterp(A990,INDIRECT("'" &amp;Master!$F$10&amp; "'!$A$2:$A$50"),INDIRECT("'" &amp;Master!$F$10&amp; "'!$E$2:$E$50"))</f>
        <v>#VALUE!</v>
      </c>
      <c r="F990" s="4" t="e">
        <f ca="1">SplineInterp(A990,INDIRECT("'" &amp;Master!$F$10&amp; "'!$A$2:$A$50"),INDIRECT("'" &amp;Master!$F$10&amp; "'!$F$2:$F$50"))</f>
        <v>#VALUE!</v>
      </c>
      <c r="G990" s="4" t="e">
        <f ca="1">SplineInterp(A990,INDIRECT("'" &amp;Master!$F$10&amp; "'!$A$2:$A$50"),INDIRECT("'" &amp;Master!$F$10&amp; "'!$G$2:$G$50"))</f>
        <v>#VALUE!</v>
      </c>
      <c r="H990" s="4" t="e">
        <f ca="1">SplineInterp(A990,INDIRECT("'" &amp;Master!$F$10&amp; "'!$A$2:$A$50"),INDIRECT("'" &amp;Master!$F$10&amp; "'!$H$2:$H$50"))</f>
        <v>#VALUE!</v>
      </c>
      <c r="I990" s="4" t="e">
        <f ca="1">IF(OR(INDIRECT("'" &amp; Master!$F$8 &amp; Master!$F$6 &amp; "'!B" &amp; ROW(B990))="", INDIRECT("'" &amp; Master!$F$8 &amp; Master!$F$6 &amp; "'!B" &amp; ROW(B990))=0), "", INDIRECT("'" &amp; Master!$F$8 &amp; Master!$F$6 &amp; "'!B" &amp; ROW(B990)))</f>
        <v>#VALUE!</v>
      </c>
      <c r="J990" s="9" t="e">
        <f t="shared" ca="1" si="105"/>
        <v>#VALUE!</v>
      </c>
      <c r="K990" s="7" t="e">
        <f t="shared" ca="1" si="106"/>
        <v>#VALUE!</v>
      </c>
      <c r="L990" s="7" t="e">
        <f t="shared" ca="1" si="107"/>
        <v>#VALUE!</v>
      </c>
      <c r="M990" s="7" t="e">
        <f t="shared" ca="1" si="108"/>
        <v>#VALUE!</v>
      </c>
      <c r="N990" s="7" t="e">
        <f t="shared" ca="1" si="109"/>
        <v>#VALUE!</v>
      </c>
      <c r="O990" s="7" t="e">
        <f t="shared" ca="1" si="110"/>
        <v>#VALUE!</v>
      </c>
      <c r="P990" s="7" t="e">
        <f t="shared" ca="1" si="111"/>
        <v>#VALUE!</v>
      </c>
    </row>
    <row r="991" spans="1:16" x14ac:dyDescent="0.25">
      <c r="A991" s="19" t="str">
        <f ca="1">IF(OR(INDIRECT("'" &amp; Master!$F$8 &amp; Master!$F$6 &amp; "'!A" &amp; ROW(A991))="", INDIRECT("'" &amp; Master!$F$8 &amp; Master!$F$6 &amp; "'!A" &amp; ROW(A991))=0), "", INDIRECT("'" &amp; Master!$F$8 &amp; Master!$F$6 &amp; "'!A" &amp; ROW(A991)))</f>
        <v/>
      </c>
      <c r="B991" s="4" t="e">
        <f ca="1">SplineInterp(INDIRECT("A" &amp; ROW()),INDIRECT("'" &amp;Master!$F$10&amp; "'!$A$2:$A$50"),INDIRECT("'" &amp;Master!$F$10&amp; "'!$B$2:$B$50"))</f>
        <v>#VALUE!</v>
      </c>
      <c r="C991" s="4" t="e">
        <f ca="1">SplineInterp(A991,INDIRECT("'" &amp;Master!$F$10&amp; "'!$A$2:$A$50"),INDIRECT("'" &amp;Master!$F$10&amp; "'!$C$2:$C$50"))</f>
        <v>#VALUE!</v>
      </c>
      <c r="D991" s="4" t="e">
        <f ca="1">SplineInterp(A991,INDIRECT("'" &amp;Master!$F$10&amp; "'!$A$2:$A$50"),INDIRECT("'" &amp;Master!$F$10&amp; "'!$D$2:$D$50"))</f>
        <v>#VALUE!</v>
      </c>
      <c r="E991" s="4" t="e">
        <f ca="1">SplineInterp(A991,INDIRECT("'" &amp;Master!$F$10&amp; "'!$A$2:$A$50"),INDIRECT("'" &amp;Master!$F$10&amp; "'!$E$2:$E$50"))</f>
        <v>#VALUE!</v>
      </c>
      <c r="F991" s="4" t="e">
        <f ca="1">SplineInterp(A991,INDIRECT("'" &amp;Master!$F$10&amp; "'!$A$2:$A$50"),INDIRECT("'" &amp;Master!$F$10&amp; "'!$F$2:$F$50"))</f>
        <v>#VALUE!</v>
      </c>
      <c r="G991" s="4" t="e">
        <f ca="1">SplineInterp(A991,INDIRECT("'" &amp;Master!$F$10&amp; "'!$A$2:$A$50"),INDIRECT("'" &amp;Master!$F$10&amp; "'!$G$2:$G$50"))</f>
        <v>#VALUE!</v>
      </c>
      <c r="H991" s="4" t="e">
        <f ca="1">SplineInterp(A991,INDIRECT("'" &amp;Master!$F$10&amp; "'!$A$2:$A$50"),INDIRECT("'" &amp;Master!$F$10&amp; "'!$H$2:$H$50"))</f>
        <v>#VALUE!</v>
      </c>
      <c r="I991" s="4" t="e">
        <f ca="1">IF(OR(INDIRECT("'" &amp; Master!$F$8 &amp; Master!$F$6 &amp; "'!B" &amp; ROW(B991))="", INDIRECT("'" &amp; Master!$F$8 &amp; Master!$F$6 &amp; "'!B" &amp; ROW(B991))=0), "", INDIRECT("'" &amp; Master!$F$8 &amp; Master!$F$6 &amp; "'!B" &amp; ROW(B991)))</f>
        <v>#VALUE!</v>
      </c>
      <c r="J991" s="9" t="e">
        <f t="shared" ca="1" si="105"/>
        <v>#VALUE!</v>
      </c>
      <c r="K991" s="7" t="e">
        <f t="shared" ca="1" si="106"/>
        <v>#VALUE!</v>
      </c>
      <c r="L991" s="7" t="e">
        <f t="shared" ca="1" si="107"/>
        <v>#VALUE!</v>
      </c>
      <c r="M991" s="7" t="e">
        <f t="shared" ca="1" si="108"/>
        <v>#VALUE!</v>
      </c>
      <c r="N991" s="7" t="e">
        <f t="shared" ca="1" si="109"/>
        <v>#VALUE!</v>
      </c>
      <c r="O991" s="7" t="e">
        <f t="shared" ca="1" si="110"/>
        <v>#VALUE!</v>
      </c>
      <c r="P991" s="7" t="e">
        <f t="shared" ca="1" si="111"/>
        <v>#VALUE!</v>
      </c>
    </row>
    <row r="992" spans="1:16" x14ac:dyDescent="0.25">
      <c r="A992" s="19" t="str">
        <f ca="1">IF(OR(INDIRECT("'" &amp; Master!$F$8 &amp; Master!$F$6 &amp; "'!A" &amp; ROW(A992))="", INDIRECT("'" &amp; Master!$F$8 &amp; Master!$F$6 &amp; "'!A" &amp; ROW(A992))=0), "", INDIRECT("'" &amp; Master!$F$8 &amp; Master!$F$6 &amp; "'!A" &amp; ROW(A992)))</f>
        <v/>
      </c>
      <c r="B992" s="4" t="e">
        <f ca="1">SplineInterp(INDIRECT("A" &amp; ROW()),INDIRECT("'" &amp;Master!$F$10&amp; "'!$A$2:$A$50"),INDIRECT("'" &amp;Master!$F$10&amp; "'!$B$2:$B$50"))</f>
        <v>#VALUE!</v>
      </c>
      <c r="C992" s="4" t="e">
        <f ca="1">SplineInterp(A992,INDIRECT("'" &amp;Master!$F$10&amp; "'!$A$2:$A$50"),INDIRECT("'" &amp;Master!$F$10&amp; "'!$C$2:$C$50"))</f>
        <v>#VALUE!</v>
      </c>
      <c r="D992" s="4" t="e">
        <f ca="1">SplineInterp(A992,INDIRECT("'" &amp;Master!$F$10&amp; "'!$A$2:$A$50"),INDIRECT("'" &amp;Master!$F$10&amp; "'!$D$2:$D$50"))</f>
        <v>#VALUE!</v>
      </c>
      <c r="E992" s="4" t="e">
        <f ca="1">SplineInterp(A992,INDIRECT("'" &amp;Master!$F$10&amp; "'!$A$2:$A$50"),INDIRECT("'" &amp;Master!$F$10&amp; "'!$E$2:$E$50"))</f>
        <v>#VALUE!</v>
      </c>
      <c r="F992" s="4" t="e">
        <f ca="1">SplineInterp(A992,INDIRECT("'" &amp;Master!$F$10&amp; "'!$A$2:$A$50"),INDIRECT("'" &amp;Master!$F$10&amp; "'!$F$2:$F$50"))</f>
        <v>#VALUE!</v>
      </c>
      <c r="G992" s="4" t="e">
        <f ca="1">SplineInterp(A992,INDIRECT("'" &amp;Master!$F$10&amp; "'!$A$2:$A$50"),INDIRECT("'" &amp;Master!$F$10&amp; "'!$G$2:$G$50"))</f>
        <v>#VALUE!</v>
      </c>
      <c r="H992" s="4" t="e">
        <f ca="1">SplineInterp(A992,INDIRECT("'" &amp;Master!$F$10&amp; "'!$A$2:$A$50"),INDIRECT("'" &amp;Master!$F$10&amp; "'!$H$2:$H$50"))</f>
        <v>#VALUE!</v>
      </c>
      <c r="I992" s="4" t="e">
        <f ca="1">IF(OR(INDIRECT("'" &amp; Master!$F$8 &amp; Master!$F$6 &amp; "'!B" &amp; ROW(B992))="", INDIRECT("'" &amp; Master!$F$8 &amp; Master!$F$6 &amp; "'!B" &amp; ROW(B992))=0), "", INDIRECT("'" &amp; Master!$F$8 &amp; Master!$F$6 &amp; "'!B" &amp; ROW(B992)))</f>
        <v>#VALUE!</v>
      </c>
      <c r="J992" s="9" t="e">
        <f t="shared" ca="1" si="105"/>
        <v>#VALUE!</v>
      </c>
      <c r="K992" s="7" t="e">
        <f t="shared" ca="1" si="106"/>
        <v>#VALUE!</v>
      </c>
      <c r="L992" s="7" t="e">
        <f t="shared" ca="1" si="107"/>
        <v>#VALUE!</v>
      </c>
      <c r="M992" s="7" t="e">
        <f t="shared" ca="1" si="108"/>
        <v>#VALUE!</v>
      </c>
      <c r="N992" s="7" t="e">
        <f t="shared" ca="1" si="109"/>
        <v>#VALUE!</v>
      </c>
      <c r="O992" s="7" t="e">
        <f t="shared" ca="1" si="110"/>
        <v>#VALUE!</v>
      </c>
      <c r="P992" s="7" t="e">
        <f t="shared" ca="1" si="111"/>
        <v>#VALUE!</v>
      </c>
    </row>
    <row r="993" spans="1:16" x14ac:dyDescent="0.25">
      <c r="A993" s="19" t="str">
        <f ca="1">IF(OR(INDIRECT("'" &amp; Master!$F$8 &amp; Master!$F$6 &amp; "'!A" &amp; ROW(A993))="", INDIRECT("'" &amp; Master!$F$8 &amp; Master!$F$6 &amp; "'!A" &amp; ROW(A993))=0), "", INDIRECT("'" &amp; Master!$F$8 &amp; Master!$F$6 &amp; "'!A" &amp; ROW(A993)))</f>
        <v/>
      </c>
      <c r="B993" s="4" t="e">
        <f ca="1">SplineInterp(INDIRECT("A" &amp; ROW()),INDIRECT("'" &amp;Master!$F$10&amp; "'!$A$2:$A$50"),INDIRECT("'" &amp;Master!$F$10&amp; "'!$B$2:$B$50"))</f>
        <v>#VALUE!</v>
      </c>
      <c r="C993" s="4" t="e">
        <f ca="1">SplineInterp(A993,INDIRECT("'" &amp;Master!$F$10&amp; "'!$A$2:$A$50"),INDIRECT("'" &amp;Master!$F$10&amp; "'!$C$2:$C$50"))</f>
        <v>#VALUE!</v>
      </c>
      <c r="D993" s="4" t="e">
        <f ca="1">SplineInterp(A993,INDIRECT("'" &amp;Master!$F$10&amp; "'!$A$2:$A$50"),INDIRECT("'" &amp;Master!$F$10&amp; "'!$D$2:$D$50"))</f>
        <v>#VALUE!</v>
      </c>
      <c r="E993" s="4" t="e">
        <f ca="1">SplineInterp(A993,INDIRECT("'" &amp;Master!$F$10&amp; "'!$A$2:$A$50"),INDIRECT("'" &amp;Master!$F$10&amp; "'!$E$2:$E$50"))</f>
        <v>#VALUE!</v>
      </c>
      <c r="F993" s="4" t="e">
        <f ca="1">SplineInterp(A993,INDIRECT("'" &amp;Master!$F$10&amp; "'!$A$2:$A$50"),INDIRECT("'" &amp;Master!$F$10&amp; "'!$F$2:$F$50"))</f>
        <v>#VALUE!</v>
      </c>
      <c r="G993" s="4" t="e">
        <f ca="1">SplineInterp(A993,INDIRECT("'" &amp;Master!$F$10&amp; "'!$A$2:$A$50"),INDIRECT("'" &amp;Master!$F$10&amp; "'!$G$2:$G$50"))</f>
        <v>#VALUE!</v>
      </c>
      <c r="H993" s="4" t="e">
        <f ca="1">SplineInterp(A993,INDIRECT("'" &amp;Master!$F$10&amp; "'!$A$2:$A$50"),INDIRECT("'" &amp;Master!$F$10&amp; "'!$H$2:$H$50"))</f>
        <v>#VALUE!</v>
      </c>
      <c r="I993" s="4" t="e">
        <f ca="1">IF(OR(INDIRECT("'" &amp; Master!$F$8 &amp; Master!$F$6 &amp; "'!B" &amp; ROW(B993))="", INDIRECT("'" &amp; Master!$F$8 &amp; Master!$F$6 &amp; "'!B" &amp; ROW(B993))=0), "", INDIRECT("'" &amp; Master!$F$8 &amp; Master!$F$6 &amp; "'!B" &amp; ROW(B993)))</f>
        <v>#VALUE!</v>
      </c>
      <c r="J993" s="9" t="e">
        <f t="shared" ca="1" si="105"/>
        <v>#VALUE!</v>
      </c>
      <c r="K993" s="7" t="e">
        <f t="shared" ca="1" si="106"/>
        <v>#VALUE!</v>
      </c>
      <c r="L993" s="7" t="e">
        <f t="shared" ca="1" si="107"/>
        <v>#VALUE!</v>
      </c>
      <c r="M993" s="7" t="e">
        <f t="shared" ca="1" si="108"/>
        <v>#VALUE!</v>
      </c>
      <c r="N993" s="7" t="e">
        <f t="shared" ca="1" si="109"/>
        <v>#VALUE!</v>
      </c>
      <c r="O993" s="7" t="e">
        <f t="shared" ca="1" si="110"/>
        <v>#VALUE!</v>
      </c>
      <c r="P993" s="7" t="e">
        <f t="shared" ca="1" si="111"/>
        <v>#VALUE!</v>
      </c>
    </row>
    <row r="994" spans="1:16" x14ac:dyDescent="0.25">
      <c r="A994" s="19" t="str">
        <f ca="1">IF(OR(INDIRECT("'" &amp; Master!$F$8 &amp; Master!$F$6 &amp; "'!A" &amp; ROW(A994))="", INDIRECT("'" &amp; Master!$F$8 &amp; Master!$F$6 &amp; "'!A" &amp; ROW(A994))=0), "", INDIRECT("'" &amp; Master!$F$8 &amp; Master!$F$6 &amp; "'!A" &amp; ROW(A994)))</f>
        <v/>
      </c>
      <c r="B994" s="4" t="e">
        <f ca="1">SplineInterp(INDIRECT("A" &amp; ROW()),INDIRECT("'" &amp;Master!$F$10&amp; "'!$A$2:$A$50"),INDIRECT("'" &amp;Master!$F$10&amp; "'!$B$2:$B$50"))</f>
        <v>#VALUE!</v>
      </c>
      <c r="C994" s="4" t="e">
        <f ca="1">SplineInterp(A994,INDIRECT("'" &amp;Master!$F$10&amp; "'!$A$2:$A$50"),INDIRECT("'" &amp;Master!$F$10&amp; "'!$C$2:$C$50"))</f>
        <v>#VALUE!</v>
      </c>
      <c r="D994" s="4" t="e">
        <f ca="1">SplineInterp(A994,INDIRECT("'" &amp;Master!$F$10&amp; "'!$A$2:$A$50"),INDIRECT("'" &amp;Master!$F$10&amp; "'!$D$2:$D$50"))</f>
        <v>#VALUE!</v>
      </c>
      <c r="E994" s="4" t="e">
        <f ca="1">SplineInterp(A994,INDIRECT("'" &amp;Master!$F$10&amp; "'!$A$2:$A$50"),INDIRECT("'" &amp;Master!$F$10&amp; "'!$E$2:$E$50"))</f>
        <v>#VALUE!</v>
      </c>
      <c r="F994" s="4" t="e">
        <f ca="1">SplineInterp(A994,INDIRECT("'" &amp;Master!$F$10&amp; "'!$A$2:$A$50"),INDIRECT("'" &amp;Master!$F$10&amp; "'!$F$2:$F$50"))</f>
        <v>#VALUE!</v>
      </c>
      <c r="G994" s="4" t="e">
        <f ca="1">SplineInterp(A994,INDIRECT("'" &amp;Master!$F$10&amp; "'!$A$2:$A$50"),INDIRECT("'" &amp;Master!$F$10&amp; "'!$G$2:$G$50"))</f>
        <v>#VALUE!</v>
      </c>
      <c r="H994" s="4" t="e">
        <f ca="1">SplineInterp(A994,INDIRECT("'" &amp;Master!$F$10&amp; "'!$A$2:$A$50"),INDIRECT("'" &amp;Master!$F$10&amp; "'!$H$2:$H$50"))</f>
        <v>#VALUE!</v>
      </c>
      <c r="I994" s="4" t="e">
        <f ca="1">IF(OR(INDIRECT("'" &amp; Master!$F$8 &amp; Master!$F$6 &amp; "'!B" &amp; ROW(B994))="", INDIRECT("'" &amp; Master!$F$8 &amp; Master!$F$6 &amp; "'!B" &amp; ROW(B994))=0), "", INDIRECT("'" &amp; Master!$F$8 &amp; Master!$F$6 &amp; "'!B" &amp; ROW(B994)))</f>
        <v>#VALUE!</v>
      </c>
      <c r="J994" s="9" t="e">
        <f t="shared" ca="1" si="105"/>
        <v>#VALUE!</v>
      </c>
      <c r="K994" s="7" t="e">
        <f t="shared" ca="1" si="106"/>
        <v>#VALUE!</v>
      </c>
      <c r="L994" s="7" t="e">
        <f t="shared" ca="1" si="107"/>
        <v>#VALUE!</v>
      </c>
      <c r="M994" s="7" t="e">
        <f t="shared" ca="1" si="108"/>
        <v>#VALUE!</v>
      </c>
      <c r="N994" s="7" t="e">
        <f t="shared" ca="1" si="109"/>
        <v>#VALUE!</v>
      </c>
      <c r="O994" s="7" t="e">
        <f t="shared" ca="1" si="110"/>
        <v>#VALUE!</v>
      </c>
      <c r="P994" s="7" t="e">
        <f t="shared" ca="1" si="111"/>
        <v>#VALUE!</v>
      </c>
    </row>
    <row r="995" spans="1:16" x14ac:dyDescent="0.25">
      <c r="A995" s="19" t="str">
        <f ca="1">IF(OR(INDIRECT("'" &amp; Master!$F$8 &amp; Master!$F$6 &amp; "'!A" &amp; ROW(A995))="", INDIRECT("'" &amp; Master!$F$8 &amp; Master!$F$6 &amp; "'!A" &amp; ROW(A995))=0), "", INDIRECT("'" &amp; Master!$F$8 &amp; Master!$F$6 &amp; "'!A" &amp; ROW(A995)))</f>
        <v/>
      </c>
      <c r="B995" s="4" t="e">
        <f ca="1">SplineInterp(INDIRECT("A" &amp; ROW()),INDIRECT("'" &amp;Master!$F$10&amp; "'!$A$2:$A$50"),INDIRECT("'" &amp;Master!$F$10&amp; "'!$B$2:$B$50"))</f>
        <v>#VALUE!</v>
      </c>
      <c r="C995" s="4" t="e">
        <f ca="1">SplineInterp(A995,INDIRECT("'" &amp;Master!$F$10&amp; "'!$A$2:$A$50"),INDIRECT("'" &amp;Master!$F$10&amp; "'!$C$2:$C$50"))</f>
        <v>#VALUE!</v>
      </c>
      <c r="D995" s="4" t="e">
        <f ca="1">SplineInterp(A995,INDIRECT("'" &amp;Master!$F$10&amp; "'!$A$2:$A$50"),INDIRECT("'" &amp;Master!$F$10&amp; "'!$D$2:$D$50"))</f>
        <v>#VALUE!</v>
      </c>
      <c r="E995" s="4" t="e">
        <f ca="1">SplineInterp(A995,INDIRECT("'" &amp;Master!$F$10&amp; "'!$A$2:$A$50"),INDIRECT("'" &amp;Master!$F$10&amp; "'!$E$2:$E$50"))</f>
        <v>#VALUE!</v>
      </c>
      <c r="F995" s="4" t="e">
        <f ca="1">SplineInterp(A995,INDIRECT("'" &amp;Master!$F$10&amp; "'!$A$2:$A$50"),INDIRECT("'" &amp;Master!$F$10&amp; "'!$F$2:$F$50"))</f>
        <v>#VALUE!</v>
      </c>
      <c r="G995" s="4" t="e">
        <f ca="1">SplineInterp(A995,INDIRECT("'" &amp;Master!$F$10&amp; "'!$A$2:$A$50"),INDIRECT("'" &amp;Master!$F$10&amp; "'!$G$2:$G$50"))</f>
        <v>#VALUE!</v>
      </c>
      <c r="H995" s="4" t="e">
        <f ca="1">SplineInterp(A995,INDIRECT("'" &amp;Master!$F$10&amp; "'!$A$2:$A$50"),INDIRECT("'" &amp;Master!$F$10&amp; "'!$H$2:$H$50"))</f>
        <v>#VALUE!</v>
      </c>
      <c r="I995" s="4" t="e">
        <f ca="1">IF(OR(INDIRECT("'" &amp; Master!$F$8 &amp; Master!$F$6 &amp; "'!B" &amp; ROW(B995))="", INDIRECT("'" &amp; Master!$F$8 &amp; Master!$F$6 &amp; "'!B" &amp; ROW(B995))=0), "", INDIRECT("'" &amp; Master!$F$8 &amp; Master!$F$6 &amp; "'!B" &amp; ROW(B995)))</f>
        <v>#VALUE!</v>
      </c>
      <c r="J995" s="9" t="e">
        <f t="shared" ca="1" si="105"/>
        <v>#VALUE!</v>
      </c>
      <c r="K995" s="7" t="e">
        <f t="shared" ca="1" si="106"/>
        <v>#VALUE!</v>
      </c>
      <c r="L995" s="7" t="e">
        <f t="shared" ca="1" si="107"/>
        <v>#VALUE!</v>
      </c>
      <c r="M995" s="7" t="e">
        <f t="shared" ca="1" si="108"/>
        <v>#VALUE!</v>
      </c>
      <c r="N995" s="7" t="e">
        <f t="shared" ca="1" si="109"/>
        <v>#VALUE!</v>
      </c>
      <c r="O995" s="7" t="e">
        <f t="shared" ca="1" si="110"/>
        <v>#VALUE!</v>
      </c>
      <c r="P995" s="7" t="e">
        <f t="shared" ca="1" si="111"/>
        <v>#VALUE!</v>
      </c>
    </row>
    <row r="996" spans="1:16" x14ac:dyDescent="0.25">
      <c r="A996" s="19" t="str">
        <f ca="1">IF(OR(INDIRECT("'" &amp; Master!$F$8 &amp; Master!$F$6 &amp; "'!A" &amp; ROW(A996))="", INDIRECT("'" &amp; Master!$F$8 &amp; Master!$F$6 &amp; "'!A" &amp; ROW(A996))=0), "", INDIRECT("'" &amp; Master!$F$8 &amp; Master!$F$6 &amp; "'!A" &amp; ROW(A996)))</f>
        <v/>
      </c>
      <c r="B996" s="4" t="e">
        <f ca="1">SplineInterp(INDIRECT("A" &amp; ROW()),INDIRECT("'" &amp;Master!$F$10&amp; "'!$A$2:$A$50"),INDIRECT("'" &amp;Master!$F$10&amp; "'!$B$2:$B$50"))</f>
        <v>#VALUE!</v>
      </c>
      <c r="C996" s="4" t="e">
        <f ca="1">SplineInterp(A996,INDIRECT("'" &amp;Master!$F$10&amp; "'!$A$2:$A$50"),INDIRECT("'" &amp;Master!$F$10&amp; "'!$C$2:$C$50"))</f>
        <v>#VALUE!</v>
      </c>
      <c r="D996" s="4" t="e">
        <f ca="1">SplineInterp(A996,INDIRECT("'" &amp;Master!$F$10&amp; "'!$A$2:$A$50"),INDIRECT("'" &amp;Master!$F$10&amp; "'!$D$2:$D$50"))</f>
        <v>#VALUE!</v>
      </c>
      <c r="E996" s="4" t="e">
        <f ca="1">SplineInterp(A996,INDIRECT("'" &amp;Master!$F$10&amp; "'!$A$2:$A$50"),INDIRECT("'" &amp;Master!$F$10&amp; "'!$E$2:$E$50"))</f>
        <v>#VALUE!</v>
      </c>
      <c r="F996" s="4" t="e">
        <f ca="1">SplineInterp(A996,INDIRECT("'" &amp;Master!$F$10&amp; "'!$A$2:$A$50"),INDIRECT("'" &amp;Master!$F$10&amp; "'!$F$2:$F$50"))</f>
        <v>#VALUE!</v>
      </c>
      <c r="G996" s="4" t="e">
        <f ca="1">SplineInterp(A996,INDIRECT("'" &amp;Master!$F$10&amp; "'!$A$2:$A$50"),INDIRECT("'" &amp;Master!$F$10&amp; "'!$G$2:$G$50"))</f>
        <v>#VALUE!</v>
      </c>
      <c r="H996" s="4" t="e">
        <f ca="1">SplineInterp(A996,INDIRECT("'" &amp;Master!$F$10&amp; "'!$A$2:$A$50"),INDIRECT("'" &amp;Master!$F$10&amp; "'!$H$2:$H$50"))</f>
        <v>#VALUE!</v>
      </c>
      <c r="I996" s="4" t="e">
        <f ca="1">IF(OR(INDIRECT("'" &amp; Master!$F$8 &amp; Master!$F$6 &amp; "'!B" &amp; ROW(B996))="", INDIRECT("'" &amp; Master!$F$8 &amp; Master!$F$6 &amp; "'!B" &amp; ROW(B996))=0), "", INDIRECT("'" &amp; Master!$F$8 &amp; Master!$F$6 &amp; "'!B" &amp; ROW(B996)))</f>
        <v>#VALUE!</v>
      </c>
      <c r="J996" s="9" t="e">
        <f t="shared" ca="1" si="105"/>
        <v>#VALUE!</v>
      </c>
      <c r="K996" s="7" t="e">
        <f t="shared" ca="1" si="106"/>
        <v>#VALUE!</v>
      </c>
      <c r="L996" s="7" t="e">
        <f t="shared" ca="1" si="107"/>
        <v>#VALUE!</v>
      </c>
      <c r="M996" s="7" t="e">
        <f t="shared" ca="1" si="108"/>
        <v>#VALUE!</v>
      </c>
      <c r="N996" s="7" t="e">
        <f t="shared" ca="1" si="109"/>
        <v>#VALUE!</v>
      </c>
      <c r="O996" s="7" t="e">
        <f t="shared" ca="1" si="110"/>
        <v>#VALUE!</v>
      </c>
      <c r="P996" s="7" t="e">
        <f t="shared" ca="1" si="111"/>
        <v>#VALUE!</v>
      </c>
    </row>
    <row r="997" spans="1:16" x14ac:dyDescent="0.25">
      <c r="A997" s="19" t="str">
        <f ca="1">IF(OR(INDIRECT("'" &amp; Master!$F$8 &amp; Master!$F$6 &amp; "'!A" &amp; ROW(A997))="", INDIRECT("'" &amp; Master!$F$8 &amp; Master!$F$6 &amp; "'!A" &amp; ROW(A997))=0), "", INDIRECT("'" &amp; Master!$F$8 &amp; Master!$F$6 &amp; "'!A" &amp; ROW(A997)))</f>
        <v/>
      </c>
      <c r="B997" s="4" t="e">
        <f ca="1">SplineInterp(INDIRECT("A" &amp; ROW()),INDIRECT("'" &amp;Master!$F$10&amp; "'!$A$2:$A$50"),INDIRECT("'" &amp;Master!$F$10&amp; "'!$B$2:$B$50"))</f>
        <v>#VALUE!</v>
      </c>
      <c r="C997" s="4" t="e">
        <f ca="1">SplineInterp(A997,INDIRECT("'" &amp;Master!$F$10&amp; "'!$A$2:$A$50"),INDIRECT("'" &amp;Master!$F$10&amp; "'!$C$2:$C$50"))</f>
        <v>#VALUE!</v>
      </c>
      <c r="D997" s="4" t="e">
        <f ca="1">SplineInterp(A997,INDIRECT("'" &amp;Master!$F$10&amp; "'!$A$2:$A$50"),INDIRECT("'" &amp;Master!$F$10&amp; "'!$D$2:$D$50"))</f>
        <v>#VALUE!</v>
      </c>
      <c r="E997" s="4" t="e">
        <f ca="1">SplineInterp(A997,INDIRECT("'" &amp;Master!$F$10&amp; "'!$A$2:$A$50"),INDIRECT("'" &amp;Master!$F$10&amp; "'!$E$2:$E$50"))</f>
        <v>#VALUE!</v>
      </c>
      <c r="F997" s="4" t="e">
        <f ca="1">SplineInterp(A997,INDIRECT("'" &amp;Master!$F$10&amp; "'!$A$2:$A$50"),INDIRECT("'" &amp;Master!$F$10&amp; "'!$F$2:$F$50"))</f>
        <v>#VALUE!</v>
      </c>
      <c r="G997" s="4" t="e">
        <f ca="1">SplineInterp(A997,INDIRECT("'" &amp;Master!$F$10&amp; "'!$A$2:$A$50"),INDIRECT("'" &amp;Master!$F$10&amp; "'!$G$2:$G$50"))</f>
        <v>#VALUE!</v>
      </c>
      <c r="H997" s="4" t="e">
        <f ca="1">SplineInterp(A997,INDIRECT("'" &amp;Master!$F$10&amp; "'!$A$2:$A$50"),INDIRECT("'" &amp;Master!$F$10&amp; "'!$H$2:$H$50"))</f>
        <v>#VALUE!</v>
      </c>
      <c r="I997" s="4" t="e">
        <f ca="1">IF(OR(INDIRECT("'" &amp; Master!$F$8 &amp; Master!$F$6 &amp; "'!B" &amp; ROW(B997))="", INDIRECT("'" &amp; Master!$F$8 &amp; Master!$F$6 &amp; "'!B" &amp; ROW(B997))=0), "", INDIRECT("'" &amp; Master!$F$8 &amp; Master!$F$6 &amp; "'!B" &amp; ROW(B997)))</f>
        <v>#VALUE!</v>
      </c>
      <c r="J997" s="9" t="e">
        <f t="shared" ca="1" si="105"/>
        <v>#VALUE!</v>
      </c>
      <c r="K997" s="7" t="e">
        <f t="shared" ca="1" si="106"/>
        <v>#VALUE!</v>
      </c>
      <c r="L997" s="7" t="e">
        <f t="shared" ca="1" si="107"/>
        <v>#VALUE!</v>
      </c>
      <c r="M997" s="7" t="e">
        <f t="shared" ca="1" si="108"/>
        <v>#VALUE!</v>
      </c>
      <c r="N997" s="7" t="e">
        <f t="shared" ca="1" si="109"/>
        <v>#VALUE!</v>
      </c>
      <c r="O997" s="7" t="e">
        <f t="shared" ca="1" si="110"/>
        <v>#VALUE!</v>
      </c>
      <c r="P997" s="7" t="e">
        <f t="shared" ca="1" si="111"/>
        <v>#VALUE!</v>
      </c>
    </row>
    <row r="998" spans="1:16" x14ac:dyDescent="0.25">
      <c r="A998" s="19" t="str">
        <f ca="1">IF(OR(INDIRECT("'" &amp; Master!$F$8 &amp; Master!$F$6 &amp; "'!A" &amp; ROW(A998))="", INDIRECT("'" &amp; Master!$F$8 &amp; Master!$F$6 &amp; "'!A" &amp; ROW(A998))=0), "", INDIRECT("'" &amp; Master!$F$8 &amp; Master!$F$6 &amp; "'!A" &amp; ROW(A998)))</f>
        <v/>
      </c>
      <c r="B998" s="4" t="e">
        <f ca="1">SplineInterp(INDIRECT("A" &amp; ROW()),INDIRECT("'" &amp;Master!$F$10&amp; "'!$A$2:$A$50"),INDIRECT("'" &amp;Master!$F$10&amp; "'!$B$2:$B$50"))</f>
        <v>#VALUE!</v>
      </c>
      <c r="C998" s="4" t="e">
        <f ca="1">SplineInterp(A998,INDIRECT("'" &amp;Master!$F$10&amp; "'!$A$2:$A$50"),INDIRECT("'" &amp;Master!$F$10&amp; "'!$C$2:$C$50"))</f>
        <v>#VALUE!</v>
      </c>
      <c r="D998" s="4" t="e">
        <f ca="1">SplineInterp(A998,INDIRECT("'" &amp;Master!$F$10&amp; "'!$A$2:$A$50"),INDIRECT("'" &amp;Master!$F$10&amp; "'!$D$2:$D$50"))</f>
        <v>#VALUE!</v>
      </c>
      <c r="E998" s="4" t="e">
        <f ca="1">SplineInterp(A998,INDIRECT("'" &amp;Master!$F$10&amp; "'!$A$2:$A$50"),INDIRECT("'" &amp;Master!$F$10&amp; "'!$E$2:$E$50"))</f>
        <v>#VALUE!</v>
      </c>
      <c r="F998" s="4" t="e">
        <f ca="1">SplineInterp(A998,INDIRECT("'" &amp;Master!$F$10&amp; "'!$A$2:$A$50"),INDIRECT("'" &amp;Master!$F$10&amp; "'!$F$2:$F$50"))</f>
        <v>#VALUE!</v>
      </c>
      <c r="G998" s="4" t="e">
        <f ca="1">SplineInterp(A998,INDIRECT("'" &amp;Master!$F$10&amp; "'!$A$2:$A$50"),INDIRECT("'" &amp;Master!$F$10&amp; "'!$G$2:$G$50"))</f>
        <v>#VALUE!</v>
      </c>
      <c r="H998" s="4" t="e">
        <f ca="1">SplineInterp(A998,INDIRECT("'" &amp;Master!$F$10&amp; "'!$A$2:$A$50"),INDIRECT("'" &amp;Master!$F$10&amp; "'!$H$2:$H$50"))</f>
        <v>#VALUE!</v>
      </c>
      <c r="I998" s="4" t="e">
        <f ca="1">IF(OR(INDIRECT("'" &amp; Master!$F$8 &amp; Master!$F$6 &amp; "'!B" &amp; ROW(B998))="", INDIRECT("'" &amp; Master!$F$8 &amp; Master!$F$6 &amp; "'!B" &amp; ROW(B998))=0), "", INDIRECT("'" &amp; Master!$F$8 &amp; Master!$F$6 &amp; "'!B" &amp; ROW(B998)))</f>
        <v>#VALUE!</v>
      </c>
      <c r="J998" s="9" t="e">
        <f t="shared" ca="1" si="105"/>
        <v>#VALUE!</v>
      </c>
      <c r="K998" s="7" t="e">
        <f t="shared" ca="1" si="106"/>
        <v>#VALUE!</v>
      </c>
      <c r="L998" s="7" t="e">
        <f t="shared" ca="1" si="107"/>
        <v>#VALUE!</v>
      </c>
      <c r="M998" s="7" t="e">
        <f t="shared" ca="1" si="108"/>
        <v>#VALUE!</v>
      </c>
      <c r="N998" s="7" t="e">
        <f t="shared" ca="1" si="109"/>
        <v>#VALUE!</v>
      </c>
      <c r="O998" s="7" t="e">
        <f t="shared" ca="1" si="110"/>
        <v>#VALUE!</v>
      </c>
      <c r="P998" s="7" t="e">
        <f t="shared" ca="1" si="111"/>
        <v>#VALUE!</v>
      </c>
    </row>
    <row r="999" spans="1:16" x14ac:dyDescent="0.25">
      <c r="A999" s="19" t="str">
        <f ca="1">IF(OR(INDIRECT("'" &amp; Master!$F$8 &amp; Master!$F$6 &amp; "'!A" &amp; ROW(A999))="", INDIRECT("'" &amp; Master!$F$8 &amp; Master!$F$6 &amp; "'!A" &amp; ROW(A999))=0), "", INDIRECT("'" &amp; Master!$F$8 &amp; Master!$F$6 &amp; "'!A" &amp; ROW(A999)))</f>
        <v/>
      </c>
      <c r="B999" s="4" t="e">
        <f ca="1">SplineInterp(INDIRECT("A" &amp; ROW()),INDIRECT("'" &amp;Master!$F$10&amp; "'!$A$2:$A$50"),INDIRECT("'" &amp;Master!$F$10&amp; "'!$B$2:$B$50"))</f>
        <v>#VALUE!</v>
      </c>
      <c r="C999" s="4" t="e">
        <f ca="1">SplineInterp(A999,INDIRECT("'" &amp;Master!$F$10&amp; "'!$A$2:$A$50"),INDIRECT("'" &amp;Master!$F$10&amp; "'!$C$2:$C$50"))</f>
        <v>#VALUE!</v>
      </c>
      <c r="D999" s="4" t="e">
        <f ca="1">SplineInterp(A999,INDIRECT("'" &amp;Master!$F$10&amp; "'!$A$2:$A$50"),INDIRECT("'" &amp;Master!$F$10&amp; "'!$D$2:$D$50"))</f>
        <v>#VALUE!</v>
      </c>
      <c r="E999" s="4" t="e">
        <f ca="1">SplineInterp(A999,INDIRECT("'" &amp;Master!$F$10&amp; "'!$A$2:$A$50"),INDIRECT("'" &amp;Master!$F$10&amp; "'!$E$2:$E$50"))</f>
        <v>#VALUE!</v>
      </c>
      <c r="F999" s="4" t="e">
        <f ca="1">SplineInterp(A999,INDIRECT("'" &amp;Master!$F$10&amp; "'!$A$2:$A$50"),INDIRECT("'" &amp;Master!$F$10&amp; "'!$F$2:$F$50"))</f>
        <v>#VALUE!</v>
      </c>
      <c r="G999" s="4" t="e">
        <f ca="1">SplineInterp(A999,INDIRECT("'" &amp;Master!$F$10&amp; "'!$A$2:$A$50"),INDIRECT("'" &amp;Master!$F$10&amp; "'!$G$2:$G$50"))</f>
        <v>#VALUE!</v>
      </c>
      <c r="H999" s="4" t="e">
        <f ca="1">SplineInterp(A999,INDIRECT("'" &amp;Master!$F$10&amp; "'!$A$2:$A$50"),INDIRECT("'" &amp;Master!$F$10&amp; "'!$H$2:$H$50"))</f>
        <v>#VALUE!</v>
      </c>
      <c r="I999" s="4" t="e">
        <f ca="1">IF(OR(INDIRECT("'" &amp; Master!$F$8 &amp; Master!$F$6 &amp; "'!B" &amp; ROW(B999))="", INDIRECT("'" &amp; Master!$F$8 &amp; Master!$F$6 &amp; "'!B" &amp; ROW(B999))=0), "", INDIRECT("'" &amp; Master!$F$8 &amp; Master!$F$6 &amp; "'!B" &amp; ROW(B999)))</f>
        <v>#VALUE!</v>
      </c>
      <c r="J999" s="9" t="e">
        <f t="shared" ca="1" si="105"/>
        <v>#VALUE!</v>
      </c>
      <c r="K999" s="7" t="e">
        <f t="shared" ca="1" si="106"/>
        <v>#VALUE!</v>
      </c>
      <c r="L999" s="7" t="e">
        <f t="shared" ca="1" si="107"/>
        <v>#VALUE!</v>
      </c>
      <c r="M999" s="7" t="e">
        <f t="shared" ca="1" si="108"/>
        <v>#VALUE!</v>
      </c>
      <c r="N999" s="7" t="e">
        <f t="shared" ca="1" si="109"/>
        <v>#VALUE!</v>
      </c>
      <c r="O999" s="7" t="e">
        <f t="shared" ca="1" si="110"/>
        <v>#VALUE!</v>
      </c>
      <c r="P999" s="7" t="e">
        <f t="shared" ca="1" si="111"/>
        <v>#VALUE!</v>
      </c>
    </row>
    <row r="1000" spans="1:16" x14ac:dyDescent="0.25">
      <c r="A1000" s="19" t="str">
        <f ca="1">IF(OR(INDIRECT("'" &amp; Master!$F$8 &amp; Master!$F$6 &amp; "'!A" &amp; ROW(A1000))="", INDIRECT("'" &amp; Master!$F$8 &amp; Master!$F$6 &amp; "'!A" &amp; ROW(A1000))=0), "", INDIRECT("'" &amp; Master!$F$8 &amp; Master!$F$6 &amp; "'!A" &amp; ROW(A1000)))</f>
        <v/>
      </c>
      <c r="B1000" s="4" t="e">
        <f ca="1">SplineInterp(INDIRECT("A" &amp; ROW()),INDIRECT("'" &amp;Master!$F$10&amp; "'!$A$2:$A$50"),INDIRECT("'" &amp;Master!$F$10&amp; "'!$B$2:$B$50"))</f>
        <v>#VALUE!</v>
      </c>
      <c r="C1000" s="4" t="e">
        <f ca="1">SplineInterp(A1000,INDIRECT("'" &amp;Master!$F$10&amp; "'!$A$2:$A$50"),INDIRECT("'" &amp;Master!$F$10&amp; "'!$C$2:$C$50"))</f>
        <v>#VALUE!</v>
      </c>
      <c r="D1000" s="4" t="e">
        <f ca="1">SplineInterp(A1000,INDIRECT("'" &amp;Master!$F$10&amp; "'!$A$2:$A$50"),INDIRECT("'" &amp;Master!$F$10&amp; "'!$D$2:$D$50"))</f>
        <v>#VALUE!</v>
      </c>
      <c r="E1000" s="4" t="e">
        <f ca="1">SplineInterp(A1000,INDIRECT("'" &amp;Master!$F$10&amp; "'!$A$2:$A$50"),INDIRECT("'" &amp;Master!$F$10&amp; "'!$E$2:$E$50"))</f>
        <v>#VALUE!</v>
      </c>
      <c r="F1000" s="4" t="e">
        <f ca="1">SplineInterp(A1000,INDIRECT("'" &amp;Master!$F$10&amp; "'!$A$2:$A$50"),INDIRECT("'" &amp;Master!$F$10&amp; "'!$F$2:$F$50"))</f>
        <v>#VALUE!</v>
      </c>
      <c r="G1000" s="4" t="e">
        <f ca="1">SplineInterp(A1000,INDIRECT("'" &amp;Master!$F$10&amp; "'!$A$2:$A$50"),INDIRECT("'" &amp;Master!$F$10&amp; "'!$G$2:$G$50"))</f>
        <v>#VALUE!</v>
      </c>
      <c r="H1000" s="4" t="e">
        <f ca="1">SplineInterp(A1000,INDIRECT("'" &amp;Master!$F$10&amp; "'!$A$2:$A$50"),INDIRECT("'" &amp;Master!$F$10&amp; "'!$H$2:$H$50"))</f>
        <v>#VALUE!</v>
      </c>
      <c r="I1000" s="4" t="e">
        <f ca="1">IF(OR(INDIRECT("'" &amp; Master!$F$8 &amp; Master!$F$6 &amp; "'!B" &amp; ROW(B1000))="", INDIRECT("'" &amp; Master!$F$8 &amp; Master!$F$6 &amp; "'!B" &amp; ROW(B1000))=0), "", INDIRECT("'" &amp; Master!$F$8 &amp; Master!$F$6 &amp; "'!B" &amp; ROW(B1000)))</f>
        <v>#VALUE!</v>
      </c>
      <c r="J1000" s="9" t="e">
        <f t="shared" ca="1" si="105"/>
        <v>#VALUE!</v>
      </c>
      <c r="K1000" s="7" t="e">
        <f t="shared" ca="1" si="106"/>
        <v>#VALUE!</v>
      </c>
      <c r="L1000" s="7" t="e">
        <f t="shared" ca="1" si="107"/>
        <v>#VALUE!</v>
      </c>
      <c r="M1000" s="7" t="e">
        <f t="shared" ca="1" si="108"/>
        <v>#VALUE!</v>
      </c>
      <c r="N1000" s="7" t="e">
        <f t="shared" ca="1" si="109"/>
        <v>#VALUE!</v>
      </c>
      <c r="O1000" s="7" t="e">
        <f t="shared" ca="1" si="110"/>
        <v>#VALUE!</v>
      </c>
      <c r="P1000" s="7" t="e">
        <f t="shared" ca="1" si="111"/>
        <v>#VALUE!</v>
      </c>
    </row>
    <row r="1001" spans="1:16" x14ac:dyDescent="0.25">
      <c r="A1001" s="19" t="str">
        <f ca="1">IF(OR(INDIRECT("'" &amp; Master!$F$8 &amp; Master!$F$6 &amp; "'!A" &amp; ROW(A1001))="", INDIRECT("'" &amp; Master!$F$8 &amp; Master!$F$6 &amp; "'!A" &amp; ROW(A1001))=0), "", INDIRECT("'" &amp; Master!$F$8 &amp; Master!$F$6 &amp; "'!A" &amp; ROW(A1001)))</f>
        <v/>
      </c>
      <c r="B1001" s="4" t="e">
        <f ca="1">SplineInterp(INDIRECT("A" &amp; ROW()),INDIRECT("'" &amp;Master!$F$10&amp; "'!$A$2:$A$50"),INDIRECT("'" &amp;Master!$F$10&amp; "'!$B$2:$B$50"))</f>
        <v>#VALUE!</v>
      </c>
      <c r="C1001" s="4" t="e">
        <f ca="1">SplineInterp(A1001,INDIRECT("'" &amp;Master!$F$10&amp; "'!$A$2:$A$50"),INDIRECT("'" &amp;Master!$F$10&amp; "'!$C$2:$C$50"))</f>
        <v>#VALUE!</v>
      </c>
      <c r="D1001" s="4" t="e">
        <f ca="1">SplineInterp(A1001,INDIRECT("'" &amp;Master!$F$10&amp; "'!$A$2:$A$50"),INDIRECT("'" &amp;Master!$F$10&amp; "'!$D$2:$D$50"))</f>
        <v>#VALUE!</v>
      </c>
      <c r="E1001" s="4" t="e">
        <f ca="1">SplineInterp(A1001,INDIRECT("'" &amp;Master!$F$10&amp; "'!$A$2:$A$50"),INDIRECT("'" &amp;Master!$F$10&amp; "'!$E$2:$E$50"))</f>
        <v>#VALUE!</v>
      </c>
      <c r="F1001" s="4" t="e">
        <f ca="1">SplineInterp(A1001,INDIRECT("'" &amp;Master!$F$10&amp; "'!$A$2:$A$50"),INDIRECT("'" &amp;Master!$F$10&amp; "'!$F$2:$F$50"))</f>
        <v>#VALUE!</v>
      </c>
      <c r="G1001" s="4" t="e">
        <f ca="1">SplineInterp(A1001,INDIRECT("'" &amp;Master!$F$10&amp; "'!$A$2:$A$50"),INDIRECT("'" &amp;Master!$F$10&amp; "'!$G$2:$G$50"))</f>
        <v>#VALUE!</v>
      </c>
      <c r="H1001" s="4" t="e">
        <f ca="1">SplineInterp(A1001,INDIRECT("'" &amp;Master!$F$10&amp; "'!$A$2:$A$50"),INDIRECT("'" &amp;Master!$F$10&amp; "'!$H$2:$H$50"))</f>
        <v>#VALUE!</v>
      </c>
      <c r="I1001" s="4" t="e">
        <f ca="1">IF(OR(INDIRECT("'" &amp; Master!$F$8 &amp; Master!$F$6 &amp; "'!B" &amp; ROW(B1001))="", INDIRECT("'" &amp; Master!$F$8 &amp; Master!$F$6 &amp; "'!B" &amp; ROW(B1001))=0), "", INDIRECT("'" &amp; Master!$F$8 &amp; Master!$F$6 &amp; "'!B" &amp; ROW(B1001)))</f>
        <v>#VALUE!</v>
      </c>
      <c r="J1001" s="9" t="e">
        <f t="shared" ca="1" si="105"/>
        <v>#VALUE!</v>
      </c>
      <c r="K1001" s="7" t="e">
        <f t="shared" ca="1" si="106"/>
        <v>#VALUE!</v>
      </c>
      <c r="L1001" s="7" t="e">
        <f t="shared" ca="1" si="107"/>
        <v>#VALUE!</v>
      </c>
      <c r="M1001" s="7" t="e">
        <f t="shared" ca="1" si="108"/>
        <v>#VALUE!</v>
      </c>
      <c r="N1001" s="7" t="e">
        <f t="shared" ca="1" si="109"/>
        <v>#VALUE!</v>
      </c>
      <c r="O1001" s="7" t="e">
        <f t="shared" ca="1" si="110"/>
        <v>#VALUE!</v>
      </c>
      <c r="P1001" s="7" t="e">
        <f t="shared" ca="1" si="111"/>
        <v>#VALUE!</v>
      </c>
    </row>
    <row r="1002" spans="1:16" x14ac:dyDescent="0.25">
      <c r="A1002" s="19" t="str">
        <f ca="1">IF(OR(INDIRECT("'" &amp; Master!$F$8 &amp; Master!$F$6 &amp; "'!A" &amp; ROW(A1002))="", INDIRECT("'" &amp; Master!$F$8 &amp; Master!$F$6 &amp; "'!A" &amp; ROW(A1002))=0), "", INDIRECT("'" &amp; Master!$F$8 &amp; Master!$F$6 &amp; "'!A" &amp; ROW(A1002)))</f>
        <v/>
      </c>
      <c r="B1002" s="4" t="e">
        <f ca="1">SplineInterp(INDIRECT("A" &amp; ROW()),INDIRECT("'" &amp;Master!$F$10&amp; "'!$A$2:$A$50"),INDIRECT("'" &amp;Master!$F$10&amp; "'!$B$2:$B$50"))</f>
        <v>#VALUE!</v>
      </c>
      <c r="C1002" s="4" t="e">
        <f ca="1">SplineInterp(A1002,INDIRECT("'" &amp;Master!$F$10&amp; "'!$A$2:$A$50"),INDIRECT("'" &amp;Master!$F$10&amp; "'!$C$2:$C$50"))</f>
        <v>#VALUE!</v>
      </c>
      <c r="D1002" s="4" t="e">
        <f ca="1">SplineInterp(A1002,INDIRECT("'" &amp;Master!$F$10&amp; "'!$A$2:$A$50"),INDIRECT("'" &amp;Master!$F$10&amp; "'!$D$2:$D$50"))</f>
        <v>#VALUE!</v>
      </c>
      <c r="E1002" s="4" t="e">
        <f ca="1">SplineInterp(A1002,INDIRECT("'" &amp;Master!$F$10&amp; "'!$A$2:$A$50"),INDIRECT("'" &amp;Master!$F$10&amp; "'!$E$2:$E$50"))</f>
        <v>#VALUE!</v>
      </c>
      <c r="F1002" s="4" t="e">
        <f ca="1">SplineInterp(A1002,INDIRECT("'" &amp;Master!$F$10&amp; "'!$A$2:$A$50"),INDIRECT("'" &amp;Master!$F$10&amp; "'!$F$2:$F$50"))</f>
        <v>#VALUE!</v>
      </c>
      <c r="G1002" s="4" t="e">
        <f ca="1">SplineInterp(A1002,INDIRECT("'" &amp;Master!$F$10&amp; "'!$A$2:$A$50"),INDIRECT("'" &amp;Master!$F$10&amp; "'!$G$2:$G$50"))</f>
        <v>#VALUE!</v>
      </c>
      <c r="H1002" s="4" t="e">
        <f ca="1">SplineInterp(A1002,INDIRECT("'" &amp;Master!$F$10&amp; "'!$A$2:$A$50"),INDIRECT("'" &amp;Master!$F$10&amp; "'!$H$2:$H$50"))</f>
        <v>#VALUE!</v>
      </c>
      <c r="I1002" s="4" t="e">
        <f ca="1">IF(OR(INDIRECT("'" &amp; Master!$F$8 &amp; Master!$F$6 &amp; "'!B" &amp; ROW(B1002))="", INDIRECT("'" &amp; Master!$F$8 &amp; Master!$F$6 &amp; "'!B" &amp; ROW(B1002))=0), "", INDIRECT("'" &amp; Master!$F$8 &amp; Master!$F$6 &amp; "'!B" &amp; ROW(B1002)))</f>
        <v>#VALUE!</v>
      </c>
      <c r="J1002" s="9" t="e">
        <f t="shared" ca="1" si="105"/>
        <v>#VALUE!</v>
      </c>
      <c r="K1002" s="7" t="e">
        <f t="shared" ca="1" si="106"/>
        <v>#VALUE!</v>
      </c>
      <c r="L1002" s="7" t="e">
        <f t="shared" ca="1" si="107"/>
        <v>#VALUE!</v>
      </c>
      <c r="M1002" s="7" t="e">
        <f t="shared" ca="1" si="108"/>
        <v>#VALUE!</v>
      </c>
      <c r="N1002" s="7" t="e">
        <f t="shared" ca="1" si="109"/>
        <v>#VALUE!</v>
      </c>
      <c r="O1002" s="7" t="e">
        <f t="shared" ca="1" si="110"/>
        <v>#VALUE!</v>
      </c>
      <c r="P1002" s="7" t="e">
        <f t="shared" ca="1" si="111"/>
        <v>#VALUE!</v>
      </c>
    </row>
    <row r="1003" spans="1:16" x14ac:dyDescent="0.25">
      <c r="A1003" s="19" t="str">
        <f ca="1">IF(OR(INDIRECT("'" &amp; Master!$F$8 &amp; Master!$F$6 &amp; "'!A" &amp; ROW(A1003))="", INDIRECT("'" &amp; Master!$F$8 &amp; Master!$F$6 &amp; "'!A" &amp; ROW(A1003))=0), "", INDIRECT("'" &amp; Master!$F$8 &amp; Master!$F$6 &amp; "'!A" &amp; ROW(A1003)))</f>
        <v/>
      </c>
      <c r="B1003" s="4" t="e">
        <f ca="1">SplineInterp(INDIRECT("A" &amp; ROW()),INDIRECT("'" &amp;Master!$F$10&amp; "'!$A$2:$A$50"),INDIRECT("'" &amp;Master!$F$10&amp; "'!$B$2:$B$50"))</f>
        <v>#VALUE!</v>
      </c>
      <c r="C1003" s="4" t="e">
        <f ca="1">SplineInterp(A1003,INDIRECT("'" &amp;Master!$F$10&amp; "'!$A$2:$A$50"),INDIRECT("'" &amp;Master!$F$10&amp; "'!$C$2:$C$50"))</f>
        <v>#VALUE!</v>
      </c>
      <c r="D1003" s="4" t="e">
        <f ca="1">SplineInterp(A1003,INDIRECT("'" &amp;Master!$F$10&amp; "'!$A$2:$A$50"),INDIRECT("'" &amp;Master!$F$10&amp; "'!$D$2:$D$50"))</f>
        <v>#VALUE!</v>
      </c>
      <c r="E1003" s="4" t="e">
        <f ca="1">SplineInterp(A1003,INDIRECT("'" &amp;Master!$F$10&amp; "'!$A$2:$A$50"),INDIRECT("'" &amp;Master!$F$10&amp; "'!$E$2:$E$50"))</f>
        <v>#VALUE!</v>
      </c>
      <c r="F1003" s="4" t="e">
        <f ca="1">SplineInterp(A1003,INDIRECT("'" &amp;Master!$F$10&amp; "'!$A$2:$A$50"),INDIRECT("'" &amp;Master!$F$10&amp; "'!$F$2:$F$50"))</f>
        <v>#VALUE!</v>
      </c>
      <c r="G1003" s="4" t="e">
        <f ca="1">SplineInterp(A1003,INDIRECT("'" &amp;Master!$F$10&amp; "'!$A$2:$A$50"),INDIRECT("'" &amp;Master!$F$10&amp; "'!$G$2:$G$50"))</f>
        <v>#VALUE!</v>
      </c>
      <c r="H1003" s="4" t="e">
        <f ca="1">SplineInterp(A1003,INDIRECT("'" &amp;Master!$F$10&amp; "'!$A$2:$A$50"),INDIRECT("'" &amp;Master!$F$10&amp; "'!$H$2:$H$50"))</f>
        <v>#VALUE!</v>
      </c>
      <c r="I1003" s="4" t="e">
        <f ca="1">IF(OR(INDIRECT("'" &amp; Master!$F$8 &amp; Master!$F$6 &amp; "'!B" &amp; ROW(B1003))="", INDIRECT("'" &amp; Master!$F$8 &amp; Master!$F$6 &amp; "'!B" &amp; ROW(B1003))=0), "", INDIRECT("'" &amp; Master!$F$8 &amp; Master!$F$6 &amp; "'!B" &amp; ROW(B1003)))</f>
        <v>#VALUE!</v>
      </c>
      <c r="J1003" s="9" t="e">
        <f t="shared" ca="1" si="105"/>
        <v>#VALUE!</v>
      </c>
      <c r="K1003" s="7" t="e">
        <f t="shared" ca="1" si="106"/>
        <v>#VALUE!</v>
      </c>
      <c r="L1003" s="7" t="e">
        <f t="shared" ca="1" si="107"/>
        <v>#VALUE!</v>
      </c>
      <c r="M1003" s="7" t="e">
        <f t="shared" ca="1" si="108"/>
        <v>#VALUE!</v>
      </c>
      <c r="N1003" s="7" t="e">
        <f t="shared" ca="1" si="109"/>
        <v>#VALUE!</v>
      </c>
      <c r="O1003" s="7" t="e">
        <f t="shared" ca="1" si="110"/>
        <v>#VALUE!</v>
      </c>
      <c r="P1003" s="7" t="e">
        <f t="shared" ca="1" si="111"/>
        <v>#VALUE!</v>
      </c>
    </row>
    <row r="1004" spans="1:16" x14ac:dyDescent="0.25">
      <c r="A1004" s="19" t="str">
        <f ca="1">IF(OR(INDIRECT("'" &amp; Master!$F$8 &amp; Master!$F$6 &amp; "'!A" &amp; ROW(A1004))="", INDIRECT("'" &amp; Master!$F$8 &amp; Master!$F$6 &amp; "'!A" &amp; ROW(A1004))=0), "", INDIRECT("'" &amp; Master!$F$8 &amp; Master!$F$6 &amp; "'!A" &amp; ROW(A1004)))</f>
        <v/>
      </c>
      <c r="B1004" s="4" t="e">
        <f ca="1">SplineInterp(INDIRECT("A" &amp; ROW()),INDIRECT("'" &amp;Master!$F$10&amp; "'!$A$2:$A$50"),INDIRECT("'" &amp;Master!$F$10&amp; "'!$B$2:$B$50"))</f>
        <v>#VALUE!</v>
      </c>
      <c r="C1004" s="4" t="e">
        <f ca="1">SplineInterp(A1004,INDIRECT("'" &amp;Master!$F$10&amp; "'!$A$2:$A$50"),INDIRECT("'" &amp;Master!$F$10&amp; "'!$C$2:$C$50"))</f>
        <v>#VALUE!</v>
      </c>
      <c r="D1004" s="4" t="e">
        <f ca="1">SplineInterp(A1004,INDIRECT("'" &amp;Master!$F$10&amp; "'!$A$2:$A$50"),INDIRECT("'" &amp;Master!$F$10&amp; "'!$D$2:$D$50"))</f>
        <v>#VALUE!</v>
      </c>
      <c r="E1004" s="4" t="e">
        <f ca="1">SplineInterp(A1004,INDIRECT("'" &amp;Master!$F$10&amp; "'!$A$2:$A$50"),INDIRECT("'" &amp;Master!$F$10&amp; "'!$E$2:$E$50"))</f>
        <v>#VALUE!</v>
      </c>
      <c r="F1004" s="4" t="e">
        <f ca="1">SplineInterp(A1004,INDIRECT("'" &amp;Master!$F$10&amp; "'!$A$2:$A$50"),INDIRECT("'" &amp;Master!$F$10&amp; "'!$F$2:$F$50"))</f>
        <v>#VALUE!</v>
      </c>
      <c r="G1004" s="4" t="e">
        <f ca="1">SplineInterp(A1004,INDIRECT("'" &amp;Master!$F$10&amp; "'!$A$2:$A$50"),INDIRECT("'" &amp;Master!$F$10&amp; "'!$G$2:$G$50"))</f>
        <v>#VALUE!</v>
      </c>
      <c r="H1004" s="4" t="e">
        <f ca="1">SplineInterp(A1004,INDIRECT("'" &amp;Master!$F$10&amp; "'!$A$2:$A$50"),INDIRECT("'" &amp;Master!$F$10&amp; "'!$H$2:$H$50"))</f>
        <v>#VALUE!</v>
      </c>
      <c r="I1004" s="4" t="e">
        <f ca="1">IF(OR(INDIRECT("'" &amp; Master!$F$8 &amp; Master!$F$6 &amp; "'!B" &amp; ROW(B1004))="", INDIRECT("'" &amp; Master!$F$8 &amp; Master!$F$6 &amp; "'!B" &amp; ROW(B1004))=0), "", INDIRECT("'" &amp; Master!$F$8 &amp; Master!$F$6 &amp; "'!B" &amp; ROW(B1004)))</f>
        <v>#VALUE!</v>
      </c>
      <c r="J1004" s="9" t="e">
        <f t="shared" ca="1" si="105"/>
        <v>#VALUE!</v>
      </c>
      <c r="K1004" s="7" t="e">
        <f t="shared" ca="1" si="106"/>
        <v>#VALUE!</v>
      </c>
      <c r="L1004" s="7" t="e">
        <f t="shared" ca="1" si="107"/>
        <v>#VALUE!</v>
      </c>
      <c r="M1004" s="7" t="e">
        <f t="shared" ca="1" si="108"/>
        <v>#VALUE!</v>
      </c>
      <c r="N1004" s="7" t="e">
        <f t="shared" ca="1" si="109"/>
        <v>#VALUE!</v>
      </c>
      <c r="O1004" s="7" t="e">
        <f t="shared" ca="1" si="110"/>
        <v>#VALUE!</v>
      </c>
      <c r="P1004" s="7" t="e">
        <f t="shared" ca="1" si="111"/>
        <v>#VALUE!</v>
      </c>
    </row>
    <row r="1005" spans="1:16" x14ac:dyDescent="0.25">
      <c r="A1005" s="19" t="str">
        <f ca="1">IF(OR(INDIRECT("'" &amp; Master!$F$8 &amp; Master!$F$6 &amp; "'!A" &amp; ROW(A1005))="", INDIRECT("'" &amp; Master!$F$8 &amp; Master!$F$6 &amp; "'!A" &amp; ROW(A1005))=0), "", INDIRECT("'" &amp; Master!$F$8 &amp; Master!$F$6 &amp; "'!A" &amp; ROW(A1005)))</f>
        <v/>
      </c>
      <c r="B1005" s="4" t="e">
        <f ca="1">SplineInterp(INDIRECT("A" &amp; ROW()),INDIRECT("'" &amp;Master!$F$10&amp; "'!$A$2:$A$50"),INDIRECT("'" &amp;Master!$F$10&amp; "'!$B$2:$B$50"))</f>
        <v>#VALUE!</v>
      </c>
      <c r="C1005" s="4" t="e">
        <f ca="1">SplineInterp(A1005,INDIRECT("'" &amp;Master!$F$10&amp; "'!$A$2:$A$50"),INDIRECT("'" &amp;Master!$F$10&amp; "'!$C$2:$C$50"))</f>
        <v>#VALUE!</v>
      </c>
      <c r="D1005" s="4" t="e">
        <f ca="1">SplineInterp(A1005,INDIRECT("'" &amp;Master!$F$10&amp; "'!$A$2:$A$50"),INDIRECT("'" &amp;Master!$F$10&amp; "'!$D$2:$D$50"))</f>
        <v>#VALUE!</v>
      </c>
      <c r="E1005" s="4" t="e">
        <f ca="1">SplineInterp(A1005,INDIRECT("'" &amp;Master!$F$10&amp; "'!$A$2:$A$50"),INDIRECT("'" &amp;Master!$F$10&amp; "'!$E$2:$E$50"))</f>
        <v>#VALUE!</v>
      </c>
      <c r="F1005" s="4" t="e">
        <f ca="1">SplineInterp(A1005,INDIRECT("'" &amp;Master!$F$10&amp; "'!$A$2:$A$50"),INDIRECT("'" &amp;Master!$F$10&amp; "'!$F$2:$F$50"))</f>
        <v>#VALUE!</v>
      </c>
      <c r="G1005" s="4" t="e">
        <f ca="1">SplineInterp(A1005,INDIRECT("'" &amp;Master!$F$10&amp; "'!$A$2:$A$50"),INDIRECT("'" &amp;Master!$F$10&amp; "'!$G$2:$G$50"))</f>
        <v>#VALUE!</v>
      </c>
      <c r="H1005" s="4" t="e">
        <f ca="1">SplineInterp(A1005,INDIRECT("'" &amp;Master!$F$10&amp; "'!$A$2:$A$50"),INDIRECT("'" &amp;Master!$F$10&amp; "'!$H$2:$H$50"))</f>
        <v>#VALUE!</v>
      </c>
      <c r="I1005" s="4" t="e">
        <f ca="1">IF(OR(INDIRECT("'" &amp; Master!$F$8 &amp; Master!$F$6 &amp; "'!B" &amp; ROW(B1005))="", INDIRECT("'" &amp; Master!$F$8 &amp; Master!$F$6 &amp; "'!B" &amp; ROW(B1005))=0), "", INDIRECT("'" &amp; Master!$F$8 &amp; Master!$F$6 &amp; "'!B" &amp; ROW(B1005)))</f>
        <v>#VALUE!</v>
      </c>
      <c r="J1005" s="9" t="e">
        <f t="shared" ca="1" si="105"/>
        <v>#VALUE!</v>
      </c>
      <c r="K1005" s="7" t="e">
        <f t="shared" ca="1" si="106"/>
        <v>#VALUE!</v>
      </c>
      <c r="L1005" s="7" t="e">
        <f t="shared" ca="1" si="107"/>
        <v>#VALUE!</v>
      </c>
      <c r="M1005" s="7" t="e">
        <f t="shared" ca="1" si="108"/>
        <v>#VALUE!</v>
      </c>
      <c r="N1005" s="7" t="e">
        <f t="shared" ca="1" si="109"/>
        <v>#VALUE!</v>
      </c>
      <c r="O1005" s="7" t="e">
        <f t="shared" ca="1" si="110"/>
        <v>#VALUE!</v>
      </c>
      <c r="P1005" s="7" t="e">
        <f t="shared" ca="1" si="111"/>
        <v>#VALUE!</v>
      </c>
    </row>
    <row r="1006" spans="1:16" x14ac:dyDescent="0.25">
      <c r="A1006" s="19" t="str">
        <f ca="1">IF(OR(INDIRECT("'" &amp; Master!$F$8 &amp; Master!$F$6 &amp; "'!A" &amp; ROW(A1006))="", INDIRECT("'" &amp; Master!$F$8 &amp; Master!$F$6 &amp; "'!A" &amp; ROW(A1006))=0), "", INDIRECT("'" &amp; Master!$F$8 &amp; Master!$F$6 &amp; "'!A" &amp; ROW(A1006)))</f>
        <v/>
      </c>
      <c r="B1006" s="4" t="e">
        <f ca="1">SplineInterp(INDIRECT("A" &amp; ROW()),INDIRECT("'" &amp;Master!$F$10&amp; "'!$A$2:$A$50"),INDIRECT("'" &amp;Master!$F$10&amp; "'!$B$2:$B$50"))</f>
        <v>#VALUE!</v>
      </c>
      <c r="C1006" s="4" t="e">
        <f ca="1">SplineInterp(A1006,INDIRECT("'" &amp;Master!$F$10&amp; "'!$A$2:$A$50"),INDIRECT("'" &amp;Master!$F$10&amp; "'!$C$2:$C$50"))</f>
        <v>#VALUE!</v>
      </c>
      <c r="D1006" s="4" t="e">
        <f ca="1">SplineInterp(A1006,INDIRECT("'" &amp;Master!$F$10&amp; "'!$A$2:$A$50"),INDIRECT("'" &amp;Master!$F$10&amp; "'!$D$2:$D$50"))</f>
        <v>#VALUE!</v>
      </c>
      <c r="E1006" s="4" t="e">
        <f ca="1">SplineInterp(A1006,INDIRECT("'" &amp;Master!$F$10&amp; "'!$A$2:$A$50"),INDIRECT("'" &amp;Master!$F$10&amp; "'!$E$2:$E$50"))</f>
        <v>#VALUE!</v>
      </c>
      <c r="F1006" s="4" t="e">
        <f ca="1">SplineInterp(A1006,INDIRECT("'" &amp;Master!$F$10&amp; "'!$A$2:$A$50"),INDIRECT("'" &amp;Master!$F$10&amp; "'!$F$2:$F$50"))</f>
        <v>#VALUE!</v>
      </c>
      <c r="G1006" s="4" t="e">
        <f ca="1">SplineInterp(A1006,INDIRECT("'" &amp;Master!$F$10&amp; "'!$A$2:$A$50"),INDIRECT("'" &amp;Master!$F$10&amp; "'!$G$2:$G$50"))</f>
        <v>#VALUE!</v>
      </c>
      <c r="H1006" s="4" t="e">
        <f ca="1">SplineInterp(A1006,INDIRECT("'" &amp;Master!$F$10&amp; "'!$A$2:$A$50"),INDIRECT("'" &amp;Master!$F$10&amp; "'!$H$2:$H$50"))</f>
        <v>#VALUE!</v>
      </c>
      <c r="I1006" s="4" t="e">
        <f ca="1">IF(OR(INDIRECT("'" &amp; Master!$F$8 &amp; Master!$F$6 &amp; "'!B" &amp; ROW(B1006))="", INDIRECT("'" &amp; Master!$F$8 &amp; Master!$F$6 &amp; "'!B" &amp; ROW(B1006))=0), "", INDIRECT("'" &amp; Master!$F$8 &amp; Master!$F$6 &amp; "'!B" &amp; ROW(B1006)))</f>
        <v>#VALUE!</v>
      </c>
      <c r="J1006" s="9" t="e">
        <f t="shared" ca="1" si="105"/>
        <v>#VALUE!</v>
      </c>
      <c r="K1006" s="7" t="e">
        <f t="shared" ca="1" si="106"/>
        <v>#VALUE!</v>
      </c>
      <c r="L1006" s="7" t="e">
        <f t="shared" ca="1" si="107"/>
        <v>#VALUE!</v>
      </c>
      <c r="M1006" s="7" t="e">
        <f t="shared" ca="1" si="108"/>
        <v>#VALUE!</v>
      </c>
      <c r="N1006" s="7" t="e">
        <f t="shared" ca="1" si="109"/>
        <v>#VALUE!</v>
      </c>
      <c r="O1006" s="7" t="e">
        <f t="shared" ca="1" si="110"/>
        <v>#VALUE!</v>
      </c>
      <c r="P1006" s="7" t="e">
        <f t="shared" ca="1" si="111"/>
        <v>#VALUE!</v>
      </c>
    </row>
    <row r="1007" spans="1:16" x14ac:dyDescent="0.25">
      <c r="A1007" s="19" t="str">
        <f ca="1">IF(OR(INDIRECT("'" &amp; Master!$F$8 &amp; Master!$F$6 &amp; "'!A" &amp; ROW(A1007))="", INDIRECT("'" &amp; Master!$F$8 &amp; Master!$F$6 &amp; "'!A" &amp; ROW(A1007))=0), "", INDIRECT("'" &amp; Master!$F$8 &amp; Master!$F$6 &amp; "'!A" &amp; ROW(A1007)))</f>
        <v/>
      </c>
      <c r="B1007" s="4" t="e">
        <f ca="1">SplineInterp(INDIRECT("A" &amp; ROW()),INDIRECT("'" &amp;Master!$F$10&amp; "'!$A$2:$A$50"),INDIRECT("'" &amp;Master!$F$10&amp; "'!$B$2:$B$50"))</f>
        <v>#VALUE!</v>
      </c>
      <c r="C1007" s="4" t="e">
        <f ca="1">SplineInterp(A1007,INDIRECT("'" &amp;Master!$F$10&amp; "'!$A$2:$A$50"),INDIRECT("'" &amp;Master!$F$10&amp; "'!$C$2:$C$50"))</f>
        <v>#VALUE!</v>
      </c>
      <c r="D1007" s="4" t="e">
        <f ca="1">SplineInterp(A1007,INDIRECT("'" &amp;Master!$F$10&amp; "'!$A$2:$A$50"),INDIRECT("'" &amp;Master!$F$10&amp; "'!$D$2:$D$50"))</f>
        <v>#VALUE!</v>
      </c>
      <c r="E1007" s="4" t="e">
        <f ca="1">SplineInterp(A1007,INDIRECT("'" &amp;Master!$F$10&amp; "'!$A$2:$A$50"),INDIRECT("'" &amp;Master!$F$10&amp; "'!$E$2:$E$50"))</f>
        <v>#VALUE!</v>
      </c>
      <c r="F1007" s="4" t="e">
        <f ca="1">SplineInterp(A1007,INDIRECT("'" &amp;Master!$F$10&amp; "'!$A$2:$A$50"),INDIRECT("'" &amp;Master!$F$10&amp; "'!$F$2:$F$50"))</f>
        <v>#VALUE!</v>
      </c>
      <c r="G1007" s="4" t="e">
        <f ca="1">SplineInterp(A1007,INDIRECT("'" &amp;Master!$F$10&amp; "'!$A$2:$A$50"),INDIRECT("'" &amp;Master!$F$10&amp; "'!$G$2:$G$50"))</f>
        <v>#VALUE!</v>
      </c>
      <c r="H1007" s="4" t="e">
        <f ca="1">SplineInterp(A1007,INDIRECT("'" &amp;Master!$F$10&amp; "'!$A$2:$A$50"),INDIRECT("'" &amp;Master!$F$10&amp; "'!$H$2:$H$50"))</f>
        <v>#VALUE!</v>
      </c>
      <c r="I1007" s="4" t="e">
        <f ca="1">IF(OR(INDIRECT("'" &amp; Master!$F$8 &amp; Master!$F$6 &amp; "'!B" &amp; ROW(B1007))="", INDIRECT("'" &amp; Master!$F$8 &amp; Master!$F$6 &amp; "'!B" &amp; ROW(B1007))=0), "", INDIRECT("'" &amp; Master!$F$8 &amp; Master!$F$6 &amp; "'!B" &amp; ROW(B1007)))</f>
        <v>#VALUE!</v>
      </c>
      <c r="J1007" s="9" t="e">
        <f t="shared" ca="1" si="105"/>
        <v>#VALUE!</v>
      </c>
      <c r="K1007" s="7" t="e">
        <f t="shared" ca="1" si="106"/>
        <v>#VALUE!</v>
      </c>
      <c r="L1007" s="7" t="e">
        <f t="shared" ca="1" si="107"/>
        <v>#VALUE!</v>
      </c>
      <c r="M1007" s="7" t="e">
        <f t="shared" ca="1" si="108"/>
        <v>#VALUE!</v>
      </c>
      <c r="N1007" s="7" t="e">
        <f t="shared" ca="1" si="109"/>
        <v>#VALUE!</v>
      </c>
      <c r="O1007" s="7" t="e">
        <f t="shared" ca="1" si="110"/>
        <v>#VALUE!</v>
      </c>
      <c r="P1007" s="7" t="e">
        <f t="shared" ca="1" si="111"/>
        <v>#VALUE!</v>
      </c>
    </row>
    <row r="1008" spans="1:16" x14ac:dyDescent="0.25">
      <c r="A1008" s="19" t="str">
        <f ca="1">IF(OR(INDIRECT("'" &amp; Master!$F$8 &amp; Master!$F$6 &amp; "'!A" &amp; ROW(A1008))="", INDIRECT("'" &amp; Master!$F$8 &amp; Master!$F$6 &amp; "'!A" &amp; ROW(A1008))=0), "", INDIRECT("'" &amp; Master!$F$8 &amp; Master!$F$6 &amp; "'!A" &amp; ROW(A1008)))</f>
        <v/>
      </c>
      <c r="B1008" s="4" t="e">
        <f ca="1">SplineInterp(INDIRECT("A" &amp; ROW()),INDIRECT("'" &amp;Master!$F$10&amp; "'!$A$2:$A$50"),INDIRECT("'" &amp;Master!$F$10&amp; "'!$B$2:$B$50"))</f>
        <v>#VALUE!</v>
      </c>
      <c r="C1008" s="4" t="e">
        <f ca="1">SplineInterp(A1008,INDIRECT("'" &amp;Master!$F$10&amp; "'!$A$2:$A$50"),INDIRECT("'" &amp;Master!$F$10&amp; "'!$C$2:$C$50"))</f>
        <v>#VALUE!</v>
      </c>
      <c r="D1008" s="4" t="e">
        <f ca="1">SplineInterp(A1008,INDIRECT("'" &amp;Master!$F$10&amp; "'!$A$2:$A$50"),INDIRECT("'" &amp;Master!$F$10&amp; "'!$D$2:$D$50"))</f>
        <v>#VALUE!</v>
      </c>
      <c r="E1008" s="4" t="e">
        <f ca="1">SplineInterp(A1008,INDIRECT("'" &amp;Master!$F$10&amp; "'!$A$2:$A$50"),INDIRECT("'" &amp;Master!$F$10&amp; "'!$E$2:$E$50"))</f>
        <v>#VALUE!</v>
      </c>
      <c r="F1008" s="4" t="e">
        <f ca="1">SplineInterp(A1008,INDIRECT("'" &amp;Master!$F$10&amp; "'!$A$2:$A$50"),INDIRECT("'" &amp;Master!$F$10&amp; "'!$F$2:$F$50"))</f>
        <v>#VALUE!</v>
      </c>
      <c r="G1008" s="4" t="e">
        <f ca="1">SplineInterp(A1008,INDIRECT("'" &amp;Master!$F$10&amp; "'!$A$2:$A$50"),INDIRECT("'" &amp;Master!$F$10&amp; "'!$G$2:$G$50"))</f>
        <v>#VALUE!</v>
      </c>
      <c r="H1008" s="4" t="e">
        <f ca="1">SplineInterp(A1008,INDIRECT("'" &amp;Master!$F$10&amp; "'!$A$2:$A$50"),INDIRECT("'" &amp;Master!$F$10&amp; "'!$H$2:$H$50"))</f>
        <v>#VALUE!</v>
      </c>
      <c r="I1008" s="4" t="e">
        <f ca="1">IF(OR(INDIRECT("'" &amp; Master!$F$8 &amp; Master!$F$6 &amp; "'!B" &amp; ROW(B1008))="", INDIRECT("'" &amp; Master!$F$8 &amp; Master!$F$6 &amp; "'!B" &amp; ROW(B1008))=0), "", INDIRECT("'" &amp; Master!$F$8 &amp; Master!$F$6 &amp; "'!B" &amp; ROW(B1008)))</f>
        <v>#VALUE!</v>
      </c>
      <c r="J1008" s="9" t="e">
        <f t="shared" ca="1" si="105"/>
        <v>#VALUE!</v>
      </c>
      <c r="K1008" s="7" t="e">
        <f t="shared" ca="1" si="106"/>
        <v>#VALUE!</v>
      </c>
      <c r="L1008" s="7" t="e">
        <f t="shared" ca="1" si="107"/>
        <v>#VALUE!</v>
      </c>
      <c r="M1008" s="7" t="e">
        <f t="shared" ca="1" si="108"/>
        <v>#VALUE!</v>
      </c>
      <c r="N1008" s="7" t="e">
        <f t="shared" ca="1" si="109"/>
        <v>#VALUE!</v>
      </c>
      <c r="O1008" s="7" t="e">
        <f t="shared" ca="1" si="110"/>
        <v>#VALUE!</v>
      </c>
      <c r="P1008" s="7" t="e">
        <f t="shared" ca="1" si="111"/>
        <v>#VALUE!</v>
      </c>
    </row>
    <row r="1009" spans="1:16" x14ac:dyDescent="0.25">
      <c r="A1009" s="19" t="str">
        <f ca="1">IF(OR(INDIRECT("'" &amp; Master!$F$8 &amp; Master!$F$6 &amp; "'!A" &amp; ROW(A1009))="", INDIRECT("'" &amp; Master!$F$8 &amp; Master!$F$6 &amp; "'!A" &amp; ROW(A1009))=0), "", INDIRECT("'" &amp; Master!$F$8 &amp; Master!$F$6 &amp; "'!A" &amp; ROW(A1009)))</f>
        <v/>
      </c>
      <c r="B1009" s="4" t="e">
        <f ca="1">SplineInterp(INDIRECT("A" &amp; ROW()),INDIRECT("'" &amp;Master!$F$10&amp; "'!$A$2:$A$50"),INDIRECT("'" &amp;Master!$F$10&amp; "'!$B$2:$B$50"))</f>
        <v>#VALUE!</v>
      </c>
      <c r="C1009" s="4" t="e">
        <f ca="1">SplineInterp(A1009,INDIRECT("'" &amp;Master!$F$10&amp; "'!$A$2:$A$50"),INDIRECT("'" &amp;Master!$F$10&amp; "'!$C$2:$C$50"))</f>
        <v>#VALUE!</v>
      </c>
      <c r="D1009" s="4" t="e">
        <f ca="1">SplineInterp(A1009,INDIRECT("'" &amp;Master!$F$10&amp; "'!$A$2:$A$50"),INDIRECT("'" &amp;Master!$F$10&amp; "'!$D$2:$D$50"))</f>
        <v>#VALUE!</v>
      </c>
      <c r="E1009" s="4" t="e">
        <f ca="1">SplineInterp(A1009,INDIRECT("'" &amp;Master!$F$10&amp; "'!$A$2:$A$50"),INDIRECT("'" &amp;Master!$F$10&amp; "'!$E$2:$E$50"))</f>
        <v>#VALUE!</v>
      </c>
      <c r="F1009" s="4" t="e">
        <f ca="1">SplineInterp(A1009,INDIRECT("'" &amp;Master!$F$10&amp; "'!$A$2:$A$50"),INDIRECT("'" &amp;Master!$F$10&amp; "'!$F$2:$F$50"))</f>
        <v>#VALUE!</v>
      </c>
      <c r="G1009" s="4" t="e">
        <f ca="1">SplineInterp(A1009,INDIRECT("'" &amp;Master!$F$10&amp; "'!$A$2:$A$50"),INDIRECT("'" &amp;Master!$F$10&amp; "'!$G$2:$G$50"))</f>
        <v>#VALUE!</v>
      </c>
      <c r="H1009" s="4" t="e">
        <f ca="1">SplineInterp(A1009,INDIRECT("'" &amp;Master!$F$10&amp; "'!$A$2:$A$50"),INDIRECT("'" &amp;Master!$F$10&amp; "'!$H$2:$H$50"))</f>
        <v>#VALUE!</v>
      </c>
      <c r="I1009" s="4" t="e">
        <f ca="1">IF(OR(INDIRECT("'" &amp; Master!$F$8 &amp; Master!$F$6 &amp; "'!B" &amp; ROW(B1009))="", INDIRECT("'" &amp; Master!$F$8 &amp; Master!$F$6 &amp; "'!B" &amp; ROW(B1009))=0), "", INDIRECT("'" &amp; Master!$F$8 &amp; Master!$F$6 &amp; "'!B" &amp; ROW(B1009)))</f>
        <v>#VALUE!</v>
      </c>
      <c r="J1009" s="9" t="e">
        <f t="shared" ca="1" si="105"/>
        <v>#VALUE!</v>
      </c>
      <c r="K1009" s="7" t="e">
        <f t="shared" ca="1" si="106"/>
        <v>#VALUE!</v>
      </c>
      <c r="L1009" s="7" t="e">
        <f t="shared" ca="1" si="107"/>
        <v>#VALUE!</v>
      </c>
      <c r="M1009" s="7" t="e">
        <f t="shared" ca="1" si="108"/>
        <v>#VALUE!</v>
      </c>
      <c r="N1009" s="7" t="e">
        <f t="shared" ca="1" si="109"/>
        <v>#VALUE!</v>
      </c>
      <c r="O1009" s="7" t="e">
        <f t="shared" ca="1" si="110"/>
        <v>#VALUE!</v>
      </c>
      <c r="P1009" s="7" t="e">
        <f t="shared" ca="1" si="111"/>
        <v>#VALUE!</v>
      </c>
    </row>
    <row r="1010" spans="1:16" x14ac:dyDescent="0.25">
      <c r="A1010" s="19" t="str">
        <f ca="1">IF(OR(INDIRECT("'" &amp; Master!$F$8 &amp; Master!$F$6 &amp; "'!A" &amp; ROW(A1010))="", INDIRECT("'" &amp; Master!$F$8 &amp; Master!$F$6 &amp; "'!A" &amp; ROW(A1010))=0), "", INDIRECT("'" &amp; Master!$F$8 &amp; Master!$F$6 &amp; "'!A" &amp; ROW(A1010)))</f>
        <v/>
      </c>
      <c r="B1010" s="4" t="e">
        <f ca="1">SplineInterp(INDIRECT("A" &amp; ROW()),INDIRECT("'" &amp;Master!$F$10&amp; "'!$A$2:$A$50"),INDIRECT("'" &amp;Master!$F$10&amp; "'!$B$2:$B$50"))</f>
        <v>#VALUE!</v>
      </c>
      <c r="C1010" s="4" t="e">
        <f ca="1">SplineInterp(A1010,INDIRECT("'" &amp;Master!$F$10&amp; "'!$A$2:$A$50"),INDIRECT("'" &amp;Master!$F$10&amp; "'!$C$2:$C$50"))</f>
        <v>#VALUE!</v>
      </c>
      <c r="D1010" s="4" t="e">
        <f ca="1">SplineInterp(A1010,INDIRECT("'" &amp;Master!$F$10&amp; "'!$A$2:$A$50"),INDIRECT("'" &amp;Master!$F$10&amp; "'!$D$2:$D$50"))</f>
        <v>#VALUE!</v>
      </c>
      <c r="E1010" s="4" t="e">
        <f ca="1">SplineInterp(A1010,INDIRECT("'" &amp;Master!$F$10&amp; "'!$A$2:$A$50"),INDIRECT("'" &amp;Master!$F$10&amp; "'!$E$2:$E$50"))</f>
        <v>#VALUE!</v>
      </c>
      <c r="F1010" s="4" t="e">
        <f ca="1">SplineInterp(A1010,INDIRECT("'" &amp;Master!$F$10&amp; "'!$A$2:$A$50"),INDIRECT("'" &amp;Master!$F$10&amp; "'!$F$2:$F$50"))</f>
        <v>#VALUE!</v>
      </c>
      <c r="G1010" s="4" t="e">
        <f ca="1">SplineInterp(A1010,INDIRECT("'" &amp;Master!$F$10&amp; "'!$A$2:$A$50"),INDIRECT("'" &amp;Master!$F$10&amp; "'!$G$2:$G$50"))</f>
        <v>#VALUE!</v>
      </c>
      <c r="H1010" s="4" t="e">
        <f ca="1">SplineInterp(A1010,INDIRECT("'" &amp;Master!$F$10&amp; "'!$A$2:$A$50"),INDIRECT("'" &amp;Master!$F$10&amp; "'!$H$2:$H$50"))</f>
        <v>#VALUE!</v>
      </c>
      <c r="I1010" s="4" t="e">
        <f ca="1">IF(OR(INDIRECT("'" &amp; Master!$F$8 &amp; Master!$F$6 &amp; "'!B" &amp; ROW(B1010))="", INDIRECT("'" &amp; Master!$F$8 &amp; Master!$F$6 &amp; "'!B" &amp; ROW(B1010))=0), "", INDIRECT("'" &amp; Master!$F$8 &amp; Master!$F$6 &amp; "'!B" &amp; ROW(B1010)))</f>
        <v>#VALUE!</v>
      </c>
      <c r="J1010" s="9" t="e">
        <f t="shared" ca="1" si="105"/>
        <v>#VALUE!</v>
      </c>
      <c r="K1010" s="7" t="e">
        <f t="shared" ca="1" si="106"/>
        <v>#VALUE!</v>
      </c>
      <c r="L1010" s="7" t="e">
        <f t="shared" ca="1" si="107"/>
        <v>#VALUE!</v>
      </c>
      <c r="M1010" s="7" t="e">
        <f t="shared" ca="1" si="108"/>
        <v>#VALUE!</v>
      </c>
      <c r="N1010" s="7" t="e">
        <f t="shared" ca="1" si="109"/>
        <v>#VALUE!</v>
      </c>
      <c r="O1010" s="7" t="e">
        <f t="shared" ca="1" si="110"/>
        <v>#VALUE!</v>
      </c>
      <c r="P1010" s="7" t="e">
        <f t="shared" ca="1" si="111"/>
        <v>#VALUE!</v>
      </c>
    </row>
    <row r="1011" spans="1:16" x14ac:dyDescent="0.25">
      <c r="A1011" s="19" t="str">
        <f ca="1">IF(OR(INDIRECT("'" &amp; Master!$F$8 &amp; Master!$F$6 &amp; "'!A" &amp; ROW(A1011))="", INDIRECT("'" &amp; Master!$F$8 &amp; Master!$F$6 &amp; "'!A" &amp; ROW(A1011))=0), "", INDIRECT("'" &amp; Master!$F$8 &amp; Master!$F$6 &amp; "'!A" &amp; ROW(A1011)))</f>
        <v/>
      </c>
      <c r="B1011" s="4" t="e">
        <f ca="1">SplineInterp(INDIRECT("A" &amp; ROW()),INDIRECT("'" &amp;Master!$F$10&amp; "'!$A$2:$A$50"),INDIRECT("'" &amp;Master!$F$10&amp; "'!$B$2:$B$50"))</f>
        <v>#VALUE!</v>
      </c>
      <c r="C1011" s="4" t="e">
        <f ca="1">SplineInterp(A1011,INDIRECT("'" &amp;Master!$F$10&amp; "'!$A$2:$A$50"),INDIRECT("'" &amp;Master!$F$10&amp; "'!$C$2:$C$50"))</f>
        <v>#VALUE!</v>
      </c>
      <c r="D1011" s="4" t="e">
        <f ca="1">SplineInterp(A1011,INDIRECT("'" &amp;Master!$F$10&amp; "'!$A$2:$A$50"),INDIRECT("'" &amp;Master!$F$10&amp; "'!$D$2:$D$50"))</f>
        <v>#VALUE!</v>
      </c>
      <c r="E1011" s="4" t="e">
        <f ca="1">SplineInterp(A1011,INDIRECT("'" &amp;Master!$F$10&amp; "'!$A$2:$A$50"),INDIRECT("'" &amp;Master!$F$10&amp; "'!$E$2:$E$50"))</f>
        <v>#VALUE!</v>
      </c>
      <c r="F1011" s="4" t="e">
        <f ca="1">SplineInterp(A1011,INDIRECT("'" &amp;Master!$F$10&amp; "'!$A$2:$A$50"),INDIRECT("'" &amp;Master!$F$10&amp; "'!$F$2:$F$50"))</f>
        <v>#VALUE!</v>
      </c>
      <c r="G1011" s="4" t="e">
        <f ca="1">SplineInterp(A1011,INDIRECT("'" &amp;Master!$F$10&amp; "'!$A$2:$A$50"),INDIRECT("'" &amp;Master!$F$10&amp; "'!$G$2:$G$50"))</f>
        <v>#VALUE!</v>
      </c>
      <c r="H1011" s="4" t="e">
        <f ca="1">SplineInterp(A1011,INDIRECT("'" &amp;Master!$F$10&amp; "'!$A$2:$A$50"),INDIRECT("'" &amp;Master!$F$10&amp; "'!$H$2:$H$50"))</f>
        <v>#VALUE!</v>
      </c>
      <c r="I1011" s="4" t="e">
        <f ca="1">IF(OR(INDIRECT("'" &amp; Master!$F$8 &amp; Master!$F$6 &amp; "'!B" &amp; ROW(B1011))="", INDIRECT("'" &amp; Master!$F$8 &amp; Master!$F$6 &amp; "'!B" &amp; ROW(B1011))=0), "", INDIRECT("'" &amp; Master!$F$8 &amp; Master!$F$6 &amp; "'!B" &amp; ROW(B1011)))</f>
        <v>#VALUE!</v>
      </c>
      <c r="J1011" s="9" t="e">
        <f t="shared" ca="1" si="105"/>
        <v>#VALUE!</v>
      </c>
      <c r="K1011" s="7" t="e">
        <f t="shared" ca="1" si="106"/>
        <v>#VALUE!</v>
      </c>
      <c r="L1011" s="7" t="e">
        <f t="shared" ca="1" si="107"/>
        <v>#VALUE!</v>
      </c>
      <c r="M1011" s="7" t="e">
        <f t="shared" ca="1" si="108"/>
        <v>#VALUE!</v>
      </c>
      <c r="N1011" s="7" t="e">
        <f t="shared" ca="1" si="109"/>
        <v>#VALUE!</v>
      </c>
      <c r="O1011" s="7" t="e">
        <f t="shared" ca="1" si="110"/>
        <v>#VALUE!</v>
      </c>
      <c r="P1011" s="7" t="e">
        <f t="shared" ca="1" si="111"/>
        <v>#VALUE!</v>
      </c>
    </row>
    <row r="1012" spans="1:16" x14ac:dyDescent="0.25">
      <c r="A1012" s="19" t="str">
        <f ca="1">IF(OR(INDIRECT("'" &amp; Master!$F$8 &amp; Master!$F$6 &amp; "'!A" &amp; ROW(A1012))="", INDIRECT("'" &amp; Master!$F$8 &amp; Master!$F$6 &amp; "'!A" &amp; ROW(A1012))=0), "", INDIRECT("'" &amp; Master!$F$8 &amp; Master!$F$6 &amp; "'!A" &amp; ROW(A1012)))</f>
        <v/>
      </c>
      <c r="B1012" s="4" t="e">
        <f ca="1">SplineInterp(INDIRECT("A" &amp; ROW()),INDIRECT("'" &amp;Master!$F$10&amp; "'!$A$2:$A$50"),INDIRECT("'" &amp;Master!$F$10&amp; "'!$B$2:$B$50"))</f>
        <v>#VALUE!</v>
      </c>
      <c r="C1012" s="4" t="e">
        <f ca="1">SplineInterp(A1012,INDIRECT("'" &amp;Master!$F$10&amp; "'!$A$2:$A$50"),INDIRECT("'" &amp;Master!$F$10&amp; "'!$C$2:$C$50"))</f>
        <v>#VALUE!</v>
      </c>
      <c r="D1012" s="4" t="e">
        <f ca="1">SplineInterp(A1012,INDIRECT("'" &amp;Master!$F$10&amp; "'!$A$2:$A$50"),INDIRECT("'" &amp;Master!$F$10&amp; "'!$D$2:$D$50"))</f>
        <v>#VALUE!</v>
      </c>
      <c r="E1012" s="4" t="e">
        <f ca="1">SplineInterp(A1012,INDIRECT("'" &amp;Master!$F$10&amp; "'!$A$2:$A$50"),INDIRECT("'" &amp;Master!$F$10&amp; "'!$E$2:$E$50"))</f>
        <v>#VALUE!</v>
      </c>
      <c r="F1012" s="4" t="e">
        <f ca="1">SplineInterp(A1012,INDIRECT("'" &amp;Master!$F$10&amp; "'!$A$2:$A$50"),INDIRECT("'" &amp;Master!$F$10&amp; "'!$F$2:$F$50"))</f>
        <v>#VALUE!</v>
      </c>
      <c r="G1012" s="4" t="e">
        <f ca="1">SplineInterp(A1012,INDIRECT("'" &amp;Master!$F$10&amp; "'!$A$2:$A$50"),INDIRECT("'" &amp;Master!$F$10&amp; "'!$G$2:$G$50"))</f>
        <v>#VALUE!</v>
      </c>
      <c r="H1012" s="4" t="e">
        <f ca="1">SplineInterp(A1012,INDIRECT("'" &amp;Master!$F$10&amp; "'!$A$2:$A$50"),INDIRECT("'" &amp;Master!$F$10&amp; "'!$H$2:$H$50"))</f>
        <v>#VALUE!</v>
      </c>
      <c r="I1012" s="4" t="e">
        <f ca="1">IF(OR(INDIRECT("'" &amp; Master!$F$8 &amp; Master!$F$6 &amp; "'!B" &amp; ROW(B1012))="", INDIRECT("'" &amp; Master!$F$8 &amp; Master!$F$6 &amp; "'!B" &amp; ROW(B1012))=0), "", INDIRECT("'" &amp; Master!$F$8 &amp; Master!$F$6 &amp; "'!B" &amp; ROW(B1012)))</f>
        <v>#VALUE!</v>
      </c>
      <c r="J1012" s="9" t="e">
        <f t="shared" ca="1" si="105"/>
        <v>#VALUE!</v>
      </c>
      <c r="K1012" s="7" t="e">
        <f t="shared" ca="1" si="106"/>
        <v>#VALUE!</v>
      </c>
      <c r="L1012" s="7" t="e">
        <f t="shared" ca="1" si="107"/>
        <v>#VALUE!</v>
      </c>
      <c r="M1012" s="7" t="e">
        <f t="shared" ca="1" si="108"/>
        <v>#VALUE!</v>
      </c>
      <c r="N1012" s="7" t="e">
        <f t="shared" ca="1" si="109"/>
        <v>#VALUE!</v>
      </c>
      <c r="O1012" s="7" t="e">
        <f t="shared" ca="1" si="110"/>
        <v>#VALUE!</v>
      </c>
      <c r="P1012" s="7" t="e">
        <f t="shared" ca="1" si="111"/>
        <v>#VALUE!</v>
      </c>
    </row>
    <row r="1013" spans="1:16" x14ac:dyDescent="0.25">
      <c r="A1013" s="19" t="str">
        <f ca="1">IF(OR(INDIRECT("'" &amp; Master!$F$8 &amp; Master!$F$6 &amp; "'!A" &amp; ROW(A1013))="", INDIRECT("'" &amp; Master!$F$8 &amp; Master!$F$6 &amp; "'!A" &amp; ROW(A1013))=0), "", INDIRECT("'" &amp; Master!$F$8 &amp; Master!$F$6 &amp; "'!A" &amp; ROW(A1013)))</f>
        <v/>
      </c>
      <c r="B1013" s="4" t="e">
        <f ca="1">SplineInterp(INDIRECT("A" &amp; ROW()),INDIRECT("'" &amp;Master!$F$10&amp; "'!$A$2:$A$50"),INDIRECT("'" &amp;Master!$F$10&amp; "'!$B$2:$B$50"))</f>
        <v>#VALUE!</v>
      </c>
      <c r="C1013" s="4" t="e">
        <f ca="1">SplineInterp(A1013,INDIRECT("'" &amp;Master!$F$10&amp; "'!$A$2:$A$50"),INDIRECT("'" &amp;Master!$F$10&amp; "'!$C$2:$C$50"))</f>
        <v>#VALUE!</v>
      </c>
      <c r="D1013" s="4" t="e">
        <f ca="1">SplineInterp(A1013,INDIRECT("'" &amp;Master!$F$10&amp; "'!$A$2:$A$50"),INDIRECT("'" &amp;Master!$F$10&amp; "'!$D$2:$D$50"))</f>
        <v>#VALUE!</v>
      </c>
      <c r="E1013" s="4" t="e">
        <f ca="1">SplineInterp(A1013,INDIRECT("'" &amp;Master!$F$10&amp; "'!$A$2:$A$50"),INDIRECT("'" &amp;Master!$F$10&amp; "'!$E$2:$E$50"))</f>
        <v>#VALUE!</v>
      </c>
      <c r="F1013" s="4" t="e">
        <f ca="1">SplineInterp(A1013,INDIRECT("'" &amp;Master!$F$10&amp; "'!$A$2:$A$50"),INDIRECT("'" &amp;Master!$F$10&amp; "'!$F$2:$F$50"))</f>
        <v>#VALUE!</v>
      </c>
      <c r="G1013" s="4" t="e">
        <f ca="1">SplineInterp(A1013,INDIRECT("'" &amp;Master!$F$10&amp; "'!$A$2:$A$50"),INDIRECT("'" &amp;Master!$F$10&amp; "'!$G$2:$G$50"))</f>
        <v>#VALUE!</v>
      </c>
      <c r="H1013" s="4" t="e">
        <f ca="1">SplineInterp(A1013,INDIRECT("'" &amp;Master!$F$10&amp; "'!$A$2:$A$50"),INDIRECT("'" &amp;Master!$F$10&amp; "'!$H$2:$H$50"))</f>
        <v>#VALUE!</v>
      </c>
      <c r="I1013" s="4" t="e">
        <f ca="1">IF(OR(INDIRECT("'" &amp; Master!$F$8 &amp; Master!$F$6 &amp; "'!B" &amp; ROW(B1013))="", INDIRECT("'" &amp; Master!$F$8 &amp; Master!$F$6 &amp; "'!B" &amp; ROW(B1013))=0), "", INDIRECT("'" &amp; Master!$F$8 &amp; Master!$F$6 &amp; "'!B" &amp; ROW(B1013)))</f>
        <v>#VALUE!</v>
      </c>
      <c r="J1013" s="9" t="e">
        <f t="shared" ca="1" si="105"/>
        <v>#VALUE!</v>
      </c>
      <c r="K1013" s="7" t="e">
        <f t="shared" ca="1" si="106"/>
        <v>#VALUE!</v>
      </c>
      <c r="L1013" s="7" t="e">
        <f t="shared" ca="1" si="107"/>
        <v>#VALUE!</v>
      </c>
      <c r="M1013" s="7" t="e">
        <f t="shared" ca="1" si="108"/>
        <v>#VALUE!</v>
      </c>
      <c r="N1013" s="7" t="e">
        <f t="shared" ca="1" si="109"/>
        <v>#VALUE!</v>
      </c>
      <c r="O1013" s="7" t="e">
        <f t="shared" ca="1" si="110"/>
        <v>#VALUE!</v>
      </c>
      <c r="P1013" s="7" t="e">
        <f t="shared" ca="1" si="111"/>
        <v>#VALUE!</v>
      </c>
    </row>
    <row r="1014" spans="1:16" x14ac:dyDescent="0.25">
      <c r="A1014" s="19" t="str">
        <f ca="1">IF(OR(INDIRECT("'" &amp; Master!$F$8 &amp; Master!$F$6 &amp; "'!A" &amp; ROW(A1014))="", INDIRECT("'" &amp; Master!$F$8 &amp; Master!$F$6 &amp; "'!A" &amp; ROW(A1014))=0), "", INDIRECT("'" &amp; Master!$F$8 &amp; Master!$F$6 &amp; "'!A" &amp; ROW(A1014)))</f>
        <v/>
      </c>
      <c r="B1014" s="4" t="e">
        <f ca="1">SplineInterp(INDIRECT("A" &amp; ROW()),INDIRECT("'" &amp;Master!$F$10&amp; "'!$A$2:$A$50"),INDIRECT("'" &amp;Master!$F$10&amp; "'!$B$2:$B$50"))</f>
        <v>#VALUE!</v>
      </c>
      <c r="C1014" s="4" t="e">
        <f ca="1">SplineInterp(A1014,INDIRECT("'" &amp;Master!$F$10&amp; "'!$A$2:$A$50"),INDIRECT("'" &amp;Master!$F$10&amp; "'!$C$2:$C$50"))</f>
        <v>#VALUE!</v>
      </c>
      <c r="D1014" s="4" t="e">
        <f ca="1">SplineInterp(A1014,INDIRECT("'" &amp;Master!$F$10&amp; "'!$A$2:$A$50"),INDIRECT("'" &amp;Master!$F$10&amp; "'!$D$2:$D$50"))</f>
        <v>#VALUE!</v>
      </c>
      <c r="E1014" s="4" t="e">
        <f ca="1">SplineInterp(A1014,INDIRECT("'" &amp;Master!$F$10&amp; "'!$A$2:$A$50"),INDIRECT("'" &amp;Master!$F$10&amp; "'!$E$2:$E$50"))</f>
        <v>#VALUE!</v>
      </c>
      <c r="F1014" s="4" t="e">
        <f ca="1">SplineInterp(A1014,INDIRECT("'" &amp;Master!$F$10&amp; "'!$A$2:$A$50"),INDIRECT("'" &amp;Master!$F$10&amp; "'!$F$2:$F$50"))</f>
        <v>#VALUE!</v>
      </c>
      <c r="G1014" s="4" t="e">
        <f ca="1">SplineInterp(A1014,INDIRECT("'" &amp;Master!$F$10&amp; "'!$A$2:$A$50"),INDIRECT("'" &amp;Master!$F$10&amp; "'!$G$2:$G$50"))</f>
        <v>#VALUE!</v>
      </c>
      <c r="H1014" s="4" t="e">
        <f ca="1">SplineInterp(A1014,INDIRECT("'" &amp;Master!$F$10&amp; "'!$A$2:$A$50"),INDIRECT("'" &amp;Master!$F$10&amp; "'!$H$2:$H$50"))</f>
        <v>#VALUE!</v>
      </c>
      <c r="I1014" s="4" t="e">
        <f ca="1">IF(OR(INDIRECT("'" &amp; Master!$F$8 &amp; Master!$F$6 &amp; "'!B" &amp; ROW(B1014))="", INDIRECT("'" &amp; Master!$F$8 &amp; Master!$F$6 &amp; "'!B" &amp; ROW(B1014))=0), "", INDIRECT("'" &amp; Master!$F$8 &amp; Master!$F$6 &amp; "'!B" &amp; ROW(B1014)))</f>
        <v>#VALUE!</v>
      </c>
      <c r="J1014" s="9" t="e">
        <f t="shared" ca="1" si="105"/>
        <v>#VALUE!</v>
      </c>
      <c r="K1014" s="7" t="e">
        <f t="shared" ca="1" si="106"/>
        <v>#VALUE!</v>
      </c>
      <c r="L1014" s="7" t="e">
        <f t="shared" ca="1" si="107"/>
        <v>#VALUE!</v>
      </c>
      <c r="M1014" s="7" t="e">
        <f t="shared" ca="1" si="108"/>
        <v>#VALUE!</v>
      </c>
      <c r="N1014" s="7" t="e">
        <f t="shared" ca="1" si="109"/>
        <v>#VALUE!</v>
      </c>
      <c r="O1014" s="7" t="e">
        <f t="shared" ca="1" si="110"/>
        <v>#VALUE!</v>
      </c>
      <c r="P1014" s="7" t="e">
        <f t="shared" ca="1" si="111"/>
        <v>#VALUE!</v>
      </c>
    </row>
    <row r="1015" spans="1:16" x14ac:dyDescent="0.25">
      <c r="A1015" s="19" t="str">
        <f ca="1">IF(OR(INDIRECT("'" &amp; Master!$F$8 &amp; Master!$F$6 &amp; "'!A" &amp; ROW(A1015))="", INDIRECT("'" &amp; Master!$F$8 &amp; Master!$F$6 &amp; "'!A" &amp; ROW(A1015))=0), "", INDIRECT("'" &amp; Master!$F$8 &amp; Master!$F$6 &amp; "'!A" &amp; ROW(A1015)))</f>
        <v/>
      </c>
      <c r="B1015" s="4" t="e">
        <f ca="1">SplineInterp(INDIRECT("A" &amp; ROW()),INDIRECT("'" &amp;Master!$F$10&amp; "'!$A$2:$A$50"),INDIRECT("'" &amp;Master!$F$10&amp; "'!$B$2:$B$50"))</f>
        <v>#VALUE!</v>
      </c>
      <c r="C1015" s="4" t="e">
        <f ca="1">SplineInterp(A1015,INDIRECT("'" &amp;Master!$F$10&amp; "'!$A$2:$A$50"),INDIRECT("'" &amp;Master!$F$10&amp; "'!$C$2:$C$50"))</f>
        <v>#VALUE!</v>
      </c>
      <c r="D1015" s="4" t="e">
        <f ca="1">SplineInterp(A1015,INDIRECT("'" &amp;Master!$F$10&amp; "'!$A$2:$A$50"),INDIRECT("'" &amp;Master!$F$10&amp; "'!$D$2:$D$50"))</f>
        <v>#VALUE!</v>
      </c>
      <c r="E1015" s="4" t="e">
        <f ca="1">SplineInterp(A1015,INDIRECT("'" &amp;Master!$F$10&amp; "'!$A$2:$A$50"),INDIRECT("'" &amp;Master!$F$10&amp; "'!$E$2:$E$50"))</f>
        <v>#VALUE!</v>
      </c>
      <c r="F1015" s="4" t="e">
        <f ca="1">SplineInterp(A1015,INDIRECT("'" &amp;Master!$F$10&amp; "'!$A$2:$A$50"),INDIRECT("'" &amp;Master!$F$10&amp; "'!$F$2:$F$50"))</f>
        <v>#VALUE!</v>
      </c>
      <c r="G1015" s="4" t="e">
        <f ca="1">SplineInterp(A1015,INDIRECT("'" &amp;Master!$F$10&amp; "'!$A$2:$A$50"),INDIRECT("'" &amp;Master!$F$10&amp; "'!$G$2:$G$50"))</f>
        <v>#VALUE!</v>
      </c>
      <c r="H1015" s="4" t="e">
        <f ca="1">SplineInterp(A1015,INDIRECT("'" &amp;Master!$F$10&amp; "'!$A$2:$A$50"),INDIRECT("'" &amp;Master!$F$10&amp; "'!$H$2:$H$50"))</f>
        <v>#VALUE!</v>
      </c>
      <c r="I1015" s="4" t="e">
        <f ca="1">IF(OR(INDIRECT("'" &amp; Master!$F$8 &amp; Master!$F$6 &amp; "'!B" &amp; ROW(B1015))="", INDIRECT("'" &amp; Master!$F$8 &amp; Master!$F$6 &amp; "'!B" &amp; ROW(B1015))=0), "", INDIRECT("'" &amp; Master!$F$8 &amp; Master!$F$6 &amp; "'!B" &amp; ROW(B1015)))</f>
        <v>#VALUE!</v>
      </c>
      <c r="J1015" s="9" t="e">
        <f t="shared" ca="1" si="105"/>
        <v>#VALUE!</v>
      </c>
      <c r="K1015" s="7" t="e">
        <f t="shared" ca="1" si="106"/>
        <v>#VALUE!</v>
      </c>
      <c r="L1015" s="7" t="e">
        <f t="shared" ca="1" si="107"/>
        <v>#VALUE!</v>
      </c>
      <c r="M1015" s="7" t="e">
        <f t="shared" ca="1" si="108"/>
        <v>#VALUE!</v>
      </c>
      <c r="N1015" s="7" t="e">
        <f t="shared" ca="1" si="109"/>
        <v>#VALUE!</v>
      </c>
      <c r="O1015" s="7" t="e">
        <f t="shared" ca="1" si="110"/>
        <v>#VALUE!</v>
      </c>
      <c r="P1015" s="7" t="e">
        <f t="shared" ca="1" si="111"/>
        <v>#VALUE!</v>
      </c>
    </row>
    <row r="1016" spans="1:16" x14ac:dyDescent="0.25">
      <c r="A1016" s="19" t="str">
        <f ca="1">IF(OR(INDIRECT("'" &amp; Master!$F$8 &amp; Master!$F$6 &amp; "'!A" &amp; ROW(A1016))="", INDIRECT("'" &amp; Master!$F$8 &amp; Master!$F$6 &amp; "'!A" &amp; ROW(A1016))=0), "", INDIRECT("'" &amp; Master!$F$8 &amp; Master!$F$6 &amp; "'!A" &amp; ROW(A1016)))</f>
        <v/>
      </c>
      <c r="B1016" s="4" t="e">
        <f ca="1">SplineInterp(INDIRECT("A" &amp; ROW()),INDIRECT("'" &amp;Master!$F$10&amp; "'!$A$2:$A$50"),INDIRECT("'" &amp;Master!$F$10&amp; "'!$B$2:$B$50"))</f>
        <v>#VALUE!</v>
      </c>
      <c r="C1016" s="4" t="e">
        <f ca="1">SplineInterp(A1016,INDIRECT("'" &amp;Master!$F$10&amp; "'!$A$2:$A$50"),INDIRECT("'" &amp;Master!$F$10&amp; "'!$C$2:$C$50"))</f>
        <v>#VALUE!</v>
      </c>
      <c r="D1016" s="4" t="e">
        <f ca="1">SplineInterp(A1016,INDIRECT("'" &amp;Master!$F$10&amp; "'!$A$2:$A$50"),INDIRECT("'" &amp;Master!$F$10&amp; "'!$D$2:$D$50"))</f>
        <v>#VALUE!</v>
      </c>
      <c r="E1016" s="4" t="e">
        <f ca="1">SplineInterp(A1016,INDIRECT("'" &amp;Master!$F$10&amp; "'!$A$2:$A$50"),INDIRECT("'" &amp;Master!$F$10&amp; "'!$E$2:$E$50"))</f>
        <v>#VALUE!</v>
      </c>
      <c r="F1016" s="4" t="e">
        <f ca="1">SplineInterp(A1016,INDIRECT("'" &amp;Master!$F$10&amp; "'!$A$2:$A$50"),INDIRECT("'" &amp;Master!$F$10&amp; "'!$F$2:$F$50"))</f>
        <v>#VALUE!</v>
      </c>
      <c r="G1016" s="4" t="e">
        <f ca="1">SplineInterp(A1016,INDIRECT("'" &amp;Master!$F$10&amp; "'!$A$2:$A$50"),INDIRECT("'" &amp;Master!$F$10&amp; "'!$G$2:$G$50"))</f>
        <v>#VALUE!</v>
      </c>
      <c r="H1016" s="4" t="e">
        <f ca="1">SplineInterp(A1016,INDIRECT("'" &amp;Master!$F$10&amp; "'!$A$2:$A$50"),INDIRECT("'" &amp;Master!$F$10&amp; "'!$H$2:$H$50"))</f>
        <v>#VALUE!</v>
      </c>
      <c r="I1016" s="4" t="e">
        <f ca="1">IF(OR(INDIRECT("'" &amp; Master!$F$8 &amp; Master!$F$6 &amp; "'!B" &amp; ROW(B1016))="", INDIRECT("'" &amp; Master!$F$8 &amp; Master!$F$6 &amp; "'!B" &amp; ROW(B1016))=0), "", INDIRECT("'" &amp; Master!$F$8 &amp; Master!$F$6 &amp; "'!B" &amp; ROW(B1016)))</f>
        <v>#VALUE!</v>
      </c>
      <c r="J1016" s="9" t="e">
        <f t="shared" ca="1" si="105"/>
        <v>#VALUE!</v>
      </c>
      <c r="K1016" s="7" t="e">
        <f t="shared" ca="1" si="106"/>
        <v>#VALUE!</v>
      </c>
      <c r="L1016" s="7" t="e">
        <f t="shared" ca="1" si="107"/>
        <v>#VALUE!</v>
      </c>
      <c r="M1016" s="7" t="e">
        <f t="shared" ca="1" si="108"/>
        <v>#VALUE!</v>
      </c>
      <c r="N1016" s="7" t="e">
        <f t="shared" ca="1" si="109"/>
        <v>#VALUE!</v>
      </c>
      <c r="O1016" s="7" t="e">
        <f t="shared" ca="1" si="110"/>
        <v>#VALUE!</v>
      </c>
      <c r="P1016" s="7" t="e">
        <f t="shared" ca="1" si="111"/>
        <v>#VALUE!</v>
      </c>
    </row>
    <row r="1017" spans="1:16" x14ac:dyDescent="0.25">
      <c r="A1017" s="19" t="str">
        <f ca="1">IF(OR(INDIRECT("'" &amp; Master!$F$8 &amp; Master!$F$6 &amp; "'!A" &amp; ROW(A1017))="", INDIRECT("'" &amp; Master!$F$8 &amp; Master!$F$6 &amp; "'!A" &amp; ROW(A1017))=0), "", INDIRECT("'" &amp; Master!$F$8 &amp; Master!$F$6 &amp; "'!A" &amp; ROW(A1017)))</f>
        <v/>
      </c>
      <c r="B1017" s="4" t="e">
        <f ca="1">SplineInterp(INDIRECT("A" &amp; ROW()),INDIRECT("'" &amp;Master!$F$10&amp; "'!$A$2:$A$50"),INDIRECT("'" &amp;Master!$F$10&amp; "'!$B$2:$B$50"))</f>
        <v>#VALUE!</v>
      </c>
      <c r="C1017" s="4" t="e">
        <f ca="1">SplineInterp(A1017,INDIRECT("'" &amp;Master!$F$10&amp; "'!$A$2:$A$50"),INDIRECT("'" &amp;Master!$F$10&amp; "'!$C$2:$C$50"))</f>
        <v>#VALUE!</v>
      </c>
      <c r="D1017" s="4" t="e">
        <f ca="1">SplineInterp(A1017,INDIRECT("'" &amp;Master!$F$10&amp; "'!$A$2:$A$50"),INDIRECT("'" &amp;Master!$F$10&amp; "'!$D$2:$D$50"))</f>
        <v>#VALUE!</v>
      </c>
      <c r="E1017" s="4" t="e">
        <f ca="1">SplineInterp(A1017,INDIRECT("'" &amp;Master!$F$10&amp; "'!$A$2:$A$50"),INDIRECT("'" &amp;Master!$F$10&amp; "'!$E$2:$E$50"))</f>
        <v>#VALUE!</v>
      </c>
      <c r="F1017" s="4" t="e">
        <f ca="1">SplineInterp(A1017,INDIRECT("'" &amp;Master!$F$10&amp; "'!$A$2:$A$50"),INDIRECT("'" &amp;Master!$F$10&amp; "'!$F$2:$F$50"))</f>
        <v>#VALUE!</v>
      </c>
      <c r="G1017" s="4" t="e">
        <f ca="1">SplineInterp(A1017,INDIRECT("'" &amp;Master!$F$10&amp; "'!$A$2:$A$50"),INDIRECT("'" &amp;Master!$F$10&amp; "'!$G$2:$G$50"))</f>
        <v>#VALUE!</v>
      </c>
      <c r="H1017" s="4" t="e">
        <f ca="1">SplineInterp(A1017,INDIRECT("'" &amp;Master!$F$10&amp; "'!$A$2:$A$50"),INDIRECT("'" &amp;Master!$F$10&amp; "'!$H$2:$H$50"))</f>
        <v>#VALUE!</v>
      </c>
      <c r="I1017" s="4" t="e">
        <f ca="1">IF(OR(INDIRECT("'" &amp; Master!$F$8 &amp; Master!$F$6 &amp; "'!B" &amp; ROW(B1017))="", INDIRECT("'" &amp; Master!$F$8 &amp; Master!$F$6 &amp; "'!B" &amp; ROW(B1017))=0), "", INDIRECT("'" &amp; Master!$F$8 &amp; Master!$F$6 &amp; "'!B" &amp; ROW(B1017)))</f>
        <v>#VALUE!</v>
      </c>
      <c r="J1017" s="9" t="e">
        <f t="shared" ca="1" si="105"/>
        <v>#VALUE!</v>
      </c>
      <c r="K1017" s="7" t="e">
        <f t="shared" ca="1" si="106"/>
        <v>#VALUE!</v>
      </c>
      <c r="L1017" s="7" t="e">
        <f t="shared" ca="1" si="107"/>
        <v>#VALUE!</v>
      </c>
      <c r="M1017" s="7" t="e">
        <f t="shared" ca="1" si="108"/>
        <v>#VALUE!</v>
      </c>
      <c r="N1017" s="7" t="e">
        <f t="shared" ca="1" si="109"/>
        <v>#VALUE!</v>
      </c>
      <c r="O1017" s="7" t="e">
        <f t="shared" ca="1" si="110"/>
        <v>#VALUE!</v>
      </c>
      <c r="P1017" s="7" t="e">
        <f t="shared" ca="1" si="111"/>
        <v>#VALUE!</v>
      </c>
    </row>
    <row r="1018" spans="1:16" x14ac:dyDescent="0.25">
      <c r="A1018" s="19" t="str">
        <f ca="1">IF(OR(INDIRECT("'" &amp; Master!$F$8 &amp; Master!$F$6 &amp; "'!A" &amp; ROW(A1018))="", INDIRECT("'" &amp; Master!$F$8 &amp; Master!$F$6 &amp; "'!A" &amp; ROW(A1018))=0), "", INDIRECT("'" &amp; Master!$F$8 &amp; Master!$F$6 &amp; "'!A" &amp; ROW(A1018)))</f>
        <v/>
      </c>
      <c r="B1018" s="4" t="e">
        <f ca="1">SplineInterp(INDIRECT("A" &amp; ROW()),INDIRECT("'" &amp;Master!$F$10&amp; "'!$A$2:$A$50"),INDIRECT("'" &amp;Master!$F$10&amp; "'!$B$2:$B$50"))</f>
        <v>#VALUE!</v>
      </c>
      <c r="C1018" s="4" t="e">
        <f ca="1">SplineInterp(A1018,INDIRECT("'" &amp;Master!$F$10&amp; "'!$A$2:$A$50"),INDIRECT("'" &amp;Master!$F$10&amp; "'!$C$2:$C$50"))</f>
        <v>#VALUE!</v>
      </c>
      <c r="D1018" s="4" t="e">
        <f ca="1">SplineInterp(A1018,INDIRECT("'" &amp;Master!$F$10&amp; "'!$A$2:$A$50"),INDIRECT("'" &amp;Master!$F$10&amp; "'!$D$2:$D$50"))</f>
        <v>#VALUE!</v>
      </c>
      <c r="E1018" s="4" t="e">
        <f ca="1">SplineInterp(A1018,INDIRECT("'" &amp;Master!$F$10&amp; "'!$A$2:$A$50"),INDIRECT("'" &amp;Master!$F$10&amp; "'!$E$2:$E$50"))</f>
        <v>#VALUE!</v>
      </c>
      <c r="F1018" s="4" t="e">
        <f ca="1">SplineInterp(A1018,INDIRECT("'" &amp;Master!$F$10&amp; "'!$A$2:$A$50"),INDIRECT("'" &amp;Master!$F$10&amp; "'!$F$2:$F$50"))</f>
        <v>#VALUE!</v>
      </c>
      <c r="G1018" s="4" t="e">
        <f ca="1">SplineInterp(A1018,INDIRECT("'" &amp;Master!$F$10&amp; "'!$A$2:$A$50"),INDIRECT("'" &amp;Master!$F$10&amp; "'!$G$2:$G$50"))</f>
        <v>#VALUE!</v>
      </c>
      <c r="H1018" s="4" t="e">
        <f ca="1">SplineInterp(A1018,INDIRECT("'" &amp;Master!$F$10&amp; "'!$A$2:$A$50"),INDIRECT("'" &amp;Master!$F$10&amp; "'!$H$2:$H$50"))</f>
        <v>#VALUE!</v>
      </c>
      <c r="I1018" s="4" t="e">
        <f ca="1">IF(OR(INDIRECT("'" &amp; Master!$F$8 &amp; Master!$F$6 &amp; "'!B" &amp; ROW(B1018))="", INDIRECT("'" &amp; Master!$F$8 &amp; Master!$F$6 &amp; "'!B" &amp; ROW(B1018))=0), "", INDIRECT("'" &amp; Master!$F$8 &amp; Master!$F$6 &amp; "'!B" &amp; ROW(B1018)))</f>
        <v>#VALUE!</v>
      </c>
      <c r="J1018" s="9" t="e">
        <f t="shared" ca="1" si="105"/>
        <v>#VALUE!</v>
      </c>
      <c r="K1018" s="7" t="e">
        <f t="shared" ca="1" si="106"/>
        <v>#VALUE!</v>
      </c>
      <c r="L1018" s="7" t="e">
        <f t="shared" ca="1" si="107"/>
        <v>#VALUE!</v>
      </c>
      <c r="M1018" s="7" t="e">
        <f t="shared" ca="1" si="108"/>
        <v>#VALUE!</v>
      </c>
      <c r="N1018" s="7" t="e">
        <f t="shared" ca="1" si="109"/>
        <v>#VALUE!</v>
      </c>
      <c r="O1018" s="7" t="e">
        <f t="shared" ca="1" si="110"/>
        <v>#VALUE!</v>
      </c>
      <c r="P1018" s="7" t="e">
        <f t="shared" ca="1" si="111"/>
        <v>#VALUE!</v>
      </c>
    </row>
    <row r="1019" spans="1:16" x14ac:dyDescent="0.25">
      <c r="A1019" s="19" t="str">
        <f ca="1">IF(OR(INDIRECT("'" &amp; Master!$F$8 &amp; Master!$F$6 &amp; "'!A" &amp; ROW(A1019))="", INDIRECT("'" &amp; Master!$F$8 &amp; Master!$F$6 &amp; "'!A" &amp; ROW(A1019))=0), "", INDIRECT("'" &amp; Master!$F$8 &amp; Master!$F$6 &amp; "'!A" &amp; ROW(A1019)))</f>
        <v/>
      </c>
      <c r="B1019" s="4" t="e">
        <f ca="1">SplineInterp(INDIRECT("A" &amp; ROW()),INDIRECT("'" &amp;Master!$F$10&amp; "'!$A$2:$A$50"),INDIRECT("'" &amp;Master!$F$10&amp; "'!$B$2:$B$50"))</f>
        <v>#VALUE!</v>
      </c>
      <c r="C1019" s="4" t="e">
        <f ca="1">SplineInterp(A1019,INDIRECT("'" &amp;Master!$F$10&amp; "'!$A$2:$A$50"),INDIRECT("'" &amp;Master!$F$10&amp; "'!$C$2:$C$50"))</f>
        <v>#VALUE!</v>
      </c>
      <c r="D1019" s="4" t="e">
        <f ca="1">SplineInterp(A1019,INDIRECT("'" &amp;Master!$F$10&amp; "'!$A$2:$A$50"),INDIRECT("'" &amp;Master!$F$10&amp; "'!$D$2:$D$50"))</f>
        <v>#VALUE!</v>
      </c>
      <c r="E1019" s="4" t="e">
        <f ca="1">SplineInterp(A1019,INDIRECT("'" &amp;Master!$F$10&amp; "'!$A$2:$A$50"),INDIRECT("'" &amp;Master!$F$10&amp; "'!$E$2:$E$50"))</f>
        <v>#VALUE!</v>
      </c>
      <c r="F1019" s="4" t="e">
        <f ca="1">SplineInterp(A1019,INDIRECT("'" &amp;Master!$F$10&amp; "'!$A$2:$A$50"),INDIRECT("'" &amp;Master!$F$10&amp; "'!$F$2:$F$50"))</f>
        <v>#VALUE!</v>
      </c>
      <c r="G1019" s="4" t="e">
        <f ca="1">SplineInterp(A1019,INDIRECT("'" &amp;Master!$F$10&amp; "'!$A$2:$A$50"),INDIRECT("'" &amp;Master!$F$10&amp; "'!$G$2:$G$50"))</f>
        <v>#VALUE!</v>
      </c>
      <c r="H1019" s="4" t="e">
        <f ca="1">SplineInterp(A1019,INDIRECT("'" &amp;Master!$F$10&amp; "'!$A$2:$A$50"),INDIRECT("'" &amp;Master!$F$10&amp; "'!$H$2:$H$50"))</f>
        <v>#VALUE!</v>
      </c>
      <c r="I1019" s="4" t="e">
        <f ca="1">IF(OR(INDIRECT("'" &amp; Master!$F$8 &amp; Master!$F$6 &amp; "'!B" &amp; ROW(B1019))="", INDIRECT("'" &amp; Master!$F$8 &amp; Master!$F$6 &amp; "'!B" &amp; ROW(B1019))=0), "", INDIRECT("'" &amp; Master!$F$8 &amp; Master!$F$6 &amp; "'!B" &amp; ROW(B1019)))</f>
        <v>#VALUE!</v>
      </c>
      <c r="J1019" s="9" t="e">
        <f t="shared" ca="1" si="105"/>
        <v>#VALUE!</v>
      </c>
      <c r="K1019" s="7" t="e">
        <f t="shared" ca="1" si="106"/>
        <v>#VALUE!</v>
      </c>
      <c r="L1019" s="7" t="e">
        <f t="shared" ca="1" si="107"/>
        <v>#VALUE!</v>
      </c>
      <c r="M1019" s="7" t="e">
        <f t="shared" ca="1" si="108"/>
        <v>#VALUE!</v>
      </c>
      <c r="N1019" s="7" t="e">
        <f t="shared" ca="1" si="109"/>
        <v>#VALUE!</v>
      </c>
      <c r="O1019" s="7" t="e">
        <f t="shared" ca="1" si="110"/>
        <v>#VALUE!</v>
      </c>
      <c r="P1019" s="7" t="e">
        <f t="shared" ca="1" si="111"/>
        <v>#VALUE!</v>
      </c>
    </row>
    <row r="1020" spans="1:16" x14ac:dyDescent="0.25">
      <c r="A1020" s="19" t="str">
        <f ca="1">IF(OR(INDIRECT("'" &amp; Master!$F$8 &amp; Master!$F$6 &amp; "'!A" &amp; ROW(A1020))="", INDIRECT("'" &amp; Master!$F$8 &amp; Master!$F$6 &amp; "'!A" &amp; ROW(A1020))=0), "", INDIRECT("'" &amp; Master!$F$8 &amp; Master!$F$6 &amp; "'!A" &amp; ROW(A1020)))</f>
        <v/>
      </c>
      <c r="B1020" s="4" t="e">
        <f ca="1">SplineInterp(INDIRECT("A" &amp; ROW()),INDIRECT("'" &amp;Master!$F$10&amp; "'!$A$2:$A$50"),INDIRECT("'" &amp;Master!$F$10&amp; "'!$B$2:$B$50"))</f>
        <v>#VALUE!</v>
      </c>
      <c r="C1020" s="4" t="e">
        <f ca="1">SplineInterp(A1020,INDIRECT("'" &amp;Master!$F$10&amp; "'!$A$2:$A$50"),INDIRECT("'" &amp;Master!$F$10&amp; "'!$C$2:$C$50"))</f>
        <v>#VALUE!</v>
      </c>
      <c r="D1020" s="4" t="e">
        <f ca="1">SplineInterp(A1020,INDIRECT("'" &amp;Master!$F$10&amp; "'!$A$2:$A$50"),INDIRECT("'" &amp;Master!$F$10&amp; "'!$D$2:$D$50"))</f>
        <v>#VALUE!</v>
      </c>
      <c r="E1020" s="4" t="e">
        <f ca="1">SplineInterp(A1020,INDIRECT("'" &amp;Master!$F$10&amp; "'!$A$2:$A$50"),INDIRECT("'" &amp;Master!$F$10&amp; "'!$E$2:$E$50"))</f>
        <v>#VALUE!</v>
      </c>
      <c r="F1020" s="4" t="e">
        <f ca="1">SplineInterp(A1020,INDIRECT("'" &amp;Master!$F$10&amp; "'!$A$2:$A$50"),INDIRECT("'" &amp;Master!$F$10&amp; "'!$F$2:$F$50"))</f>
        <v>#VALUE!</v>
      </c>
      <c r="G1020" s="4" t="e">
        <f ca="1">SplineInterp(A1020,INDIRECT("'" &amp;Master!$F$10&amp; "'!$A$2:$A$50"),INDIRECT("'" &amp;Master!$F$10&amp; "'!$G$2:$G$50"))</f>
        <v>#VALUE!</v>
      </c>
      <c r="H1020" s="4" t="e">
        <f ca="1">SplineInterp(A1020,INDIRECT("'" &amp;Master!$F$10&amp; "'!$A$2:$A$50"),INDIRECT("'" &amp;Master!$F$10&amp; "'!$H$2:$H$50"))</f>
        <v>#VALUE!</v>
      </c>
      <c r="I1020" s="4" t="e">
        <f ca="1">IF(OR(INDIRECT("'" &amp; Master!$F$8 &amp; Master!$F$6 &amp; "'!B" &amp; ROW(B1020))="", INDIRECT("'" &amp; Master!$F$8 &amp; Master!$F$6 &amp; "'!B" &amp; ROW(B1020))=0), "", INDIRECT("'" &amp; Master!$F$8 &amp; Master!$F$6 &amp; "'!B" &amp; ROW(B1020)))</f>
        <v>#VALUE!</v>
      </c>
      <c r="J1020" s="9" t="e">
        <f t="shared" ca="1" si="105"/>
        <v>#VALUE!</v>
      </c>
      <c r="K1020" s="7" t="e">
        <f t="shared" ca="1" si="106"/>
        <v>#VALUE!</v>
      </c>
      <c r="L1020" s="7" t="e">
        <f t="shared" ca="1" si="107"/>
        <v>#VALUE!</v>
      </c>
      <c r="M1020" s="7" t="e">
        <f t="shared" ca="1" si="108"/>
        <v>#VALUE!</v>
      </c>
      <c r="N1020" s="7" t="e">
        <f t="shared" ca="1" si="109"/>
        <v>#VALUE!</v>
      </c>
      <c r="O1020" s="7" t="e">
        <f t="shared" ca="1" si="110"/>
        <v>#VALUE!</v>
      </c>
      <c r="P1020" s="7" t="e">
        <f t="shared" ca="1" si="111"/>
        <v>#VALUE!</v>
      </c>
    </row>
    <row r="1021" spans="1:16" x14ac:dyDescent="0.25">
      <c r="A1021" s="19" t="str">
        <f ca="1">IF(OR(INDIRECT("'" &amp; Master!$F$8 &amp; Master!$F$6 &amp; "'!A" &amp; ROW(A1021))="", INDIRECT("'" &amp; Master!$F$8 &amp; Master!$F$6 &amp; "'!A" &amp; ROW(A1021))=0), "", INDIRECT("'" &amp; Master!$F$8 &amp; Master!$F$6 &amp; "'!A" &amp; ROW(A1021)))</f>
        <v/>
      </c>
      <c r="B1021" s="4" t="e">
        <f ca="1">SplineInterp(INDIRECT("A" &amp; ROW()),INDIRECT("'" &amp;Master!$F$10&amp; "'!$A$2:$A$50"),INDIRECT("'" &amp;Master!$F$10&amp; "'!$B$2:$B$50"))</f>
        <v>#VALUE!</v>
      </c>
      <c r="C1021" s="4" t="e">
        <f ca="1">SplineInterp(A1021,INDIRECT("'" &amp;Master!$F$10&amp; "'!$A$2:$A$50"),INDIRECT("'" &amp;Master!$F$10&amp; "'!$C$2:$C$50"))</f>
        <v>#VALUE!</v>
      </c>
      <c r="D1021" s="4" t="e">
        <f ca="1">SplineInterp(A1021,INDIRECT("'" &amp;Master!$F$10&amp; "'!$A$2:$A$50"),INDIRECT("'" &amp;Master!$F$10&amp; "'!$D$2:$D$50"))</f>
        <v>#VALUE!</v>
      </c>
      <c r="E1021" s="4" t="e">
        <f ca="1">SplineInterp(A1021,INDIRECT("'" &amp;Master!$F$10&amp; "'!$A$2:$A$50"),INDIRECT("'" &amp;Master!$F$10&amp; "'!$E$2:$E$50"))</f>
        <v>#VALUE!</v>
      </c>
      <c r="F1021" s="4" t="e">
        <f ca="1">SplineInterp(A1021,INDIRECT("'" &amp;Master!$F$10&amp; "'!$A$2:$A$50"),INDIRECT("'" &amp;Master!$F$10&amp; "'!$F$2:$F$50"))</f>
        <v>#VALUE!</v>
      </c>
      <c r="G1021" s="4" t="e">
        <f ca="1">SplineInterp(A1021,INDIRECT("'" &amp;Master!$F$10&amp; "'!$A$2:$A$50"),INDIRECT("'" &amp;Master!$F$10&amp; "'!$G$2:$G$50"))</f>
        <v>#VALUE!</v>
      </c>
      <c r="H1021" s="4" t="e">
        <f ca="1">SplineInterp(A1021,INDIRECT("'" &amp;Master!$F$10&amp; "'!$A$2:$A$50"),INDIRECT("'" &amp;Master!$F$10&amp; "'!$H$2:$H$50"))</f>
        <v>#VALUE!</v>
      </c>
      <c r="I1021" s="4" t="e">
        <f ca="1">IF(OR(INDIRECT("'" &amp; Master!$F$8 &amp; Master!$F$6 &amp; "'!B" &amp; ROW(B1021))="", INDIRECT("'" &amp; Master!$F$8 &amp; Master!$F$6 &amp; "'!B" &amp; ROW(B1021))=0), "", INDIRECT("'" &amp; Master!$F$8 &amp; Master!$F$6 &amp; "'!B" &amp; ROW(B1021)))</f>
        <v>#VALUE!</v>
      </c>
      <c r="J1021" s="9" t="e">
        <f t="shared" ca="1" si="105"/>
        <v>#VALUE!</v>
      </c>
      <c r="K1021" s="7" t="e">
        <f t="shared" ca="1" si="106"/>
        <v>#VALUE!</v>
      </c>
      <c r="L1021" s="7" t="e">
        <f t="shared" ca="1" si="107"/>
        <v>#VALUE!</v>
      </c>
      <c r="M1021" s="7" t="e">
        <f t="shared" ca="1" si="108"/>
        <v>#VALUE!</v>
      </c>
      <c r="N1021" s="7" t="e">
        <f t="shared" ca="1" si="109"/>
        <v>#VALUE!</v>
      </c>
      <c r="O1021" s="7" t="e">
        <f t="shared" ca="1" si="110"/>
        <v>#VALUE!</v>
      </c>
      <c r="P1021" s="7" t="e">
        <f t="shared" ca="1" si="111"/>
        <v>#VALUE!</v>
      </c>
    </row>
    <row r="1022" spans="1:16" x14ac:dyDescent="0.25">
      <c r="A1022" s="19" t="str">
        <f ca="1">IF(OR(INDIRECT("'" &amp; Master!$F$8 &amp; Master!$F$6 &amp; "'!A" &amp; ROW(A1022))="", INDIRECT("'" &amp; Master!$F$8 &amp; Master!$F$6 &amp; "'!A" &amp; ROW(A1022))=0), "", INDIRECT("'" &amp; Master!$F$8 &amp; Master!$F$6 &amp; "'!A" &amp; ROW(A1022)))</f>
        <v/>
      </c>
      <c r="B1022" s="4" t="e">
        <f ca="1">SplineInterp(INDIRECT("A" &amp; ROW()),INDIRECT("'" &amp;Master!$F$10&amp; "'!$A$2:$A$50"),INDIRECT("'" &amp;Master!$F$10&amp; "'!$B$2:$B$50"))</f>
        <v>#VALUE!</v>
      </c>
      <c r="C1022" s="4" t="e">
        <f ca="1">SplineInterp(A1022,INDIRECT("'" &amp;Master!$F$10&amp; "'!$A$2:$A$50"),INDIRECT("'" &amp;Master!$F$10&amp; "'!$C$2:$C$50"))</f>
        <v>#VALUE!</v>
      </c>
      <c r="D1022" s="4" t="e">
        <f ca="1">SplineInterp(A1022,INDIRECT("'" &amp;Master!$F$10&amp; "'!$A$2:$A$50"),INDIRECT("'" &amp;Master!$F$10&amp; "'!$D$2:$D$50"))</f>
        <v>#VALUE!</v>
      </c>
      <c r="E1022" s="4" t="e">
        <f ca="1">SplineInterp(A1022,INDIRECT("'" &amp;Master!$F$10&amp; "'!$A$2:$A$50"),INDIRECT("'" &amp;Master!$F$10&amp; "'!$E$2:$E$50"))</f>
        <v>#VALUE!</v>
      </c>
      <c r="F1022" s="4" t="e">
        <f ca="1">SplineInterp(A1022,INDIRECT("'" &amp;Master!$F$10&amp; "'!$A$2:$A$50"),INDIRECT("'" &amp;Master!$F$10&amp; "'!$F$2:$F$50"))</f>
        <v>#VALUE!</v>
      </c>
      <c r="G1022" s="4" t="e">
        <f ca="1">SplineInterp(A1022,INDIRECT("'" &amp;Master!$F$10&amp; "'!$A$2:$A$50"),INDIRECT("'" &amp;Master!$F$10&amp; "'!$G$2:$G$50"))</f>
        <v>#VALUE!</v>
      </c>
      <c r="H1022" s="4" t="e">
        <f ca="1">SplineInterp(A1022,INDIRECT("'" &amp;Master!$F$10&amp; "'!$A$2:$A$50"),INDIRECT("'" &amp;Master!$F$10&amp; "'!$H$2:$H$50"))</f>
        <v>#VALUE!</v>
      </c>
      <c r="I1022" s="4" t="e">
        <f ca="1">IF(OR(INDIRECT("'" &amp; Master!$F$8 &amp; Master!$F$6 &amp; "'!B" &amp; ROW(B1022))="", INDIRECT("'" &amp; Master!$F$8 &amp; Master!$F$6 &amp; "'!B" &amp; ROW(B1022))=0), "", INDIRECT("'" &amp; Master!$F$8 &amp; Master!$F$6 &amp; "'!B" &amp; ROW(B1022)))</f>
        <v>#VALUE!</v>
      </c>
      <c r="J1022" s="9" t="e">
        <f t="shared" ca="1" si="105"/>
        <v>#VALUE!</v>
      </c>
      <c r="K1022" s="7" t="e">
        <f t="shared" ca="1" si="106"/>
        <v>#VALUE!</v>
      </c>
      <c r="L1022" s="7" t="e">
        <f t="shared" ca="1" si="107"/>
        <v>#VALUE!</v>
      </c>
      <c r="M1022" s="7" t="e">
        <f t="shared" ca="1" si="108"/>
        <v>#VALUE!</v>
      </c>
      <c r="N1022" s="7" t="e">
        <f t="shared" ca="1" si="109"/>
        <v>#VALUE!</v>
      </c>
      <c r="O1022" s="7" t="e">
        <f t="shared" ca="1" si="110"/>
        <v>#VALUE!</v>
      </c>
      <c r="P1022" s="7" t="e">
        <f t="shared" ca="1" si="111"/>
        <v>#VALUE!</v>
      </c>
    </row>
    <row r="1023" spans="1:16" x14ac:dyDescent="0.25">
      <c r="A1023" s="19" t="str">
        <f ca="1">IF(OR(INDIRECT("'" &amp; Master!$F$8 &amp; Master!$F$6 &amp; "'!A" &amp; ROW(A1023))="", INDIRECT("'" &amp; Master!$F$8 &amp; Master!$F$6 &amp; "'!A" &amp; ROW(A1023))=0), "", INDIRECT("'" &amp; Master!$F$8 &amp; Master!$F$6 &amp; "'!A" &amp; ROW(A1023)))</f>
        <v/>
      </c>
      <c r="B1023" s="4" t="e">
        <f ca="1">SplineInterp(INDIRECT("A" &amp; ROW()),INDIRECT("'" &amp;Master!$F$10&amp; "'!$A$2:$A$50"),INDIRECT("'" &amp;Master!$F$10&amp; "'!$B$2:$B$50"))</f>
        <v>#VALUE!</v>
      </c>
      <c r="C1023" s="4" t="e">
        <f ca="1">SplineInterp(A1023,INDIRECT("'" &amp;Master!$F$10&amp; "'!$A$2:$A$50"),INDIRECT("'" &amp;Master!$F$10&amp; "'!$C$2:$C$50"))</f>
        <v>#VALUE!</v>
      </c>
      <c r="D1023" s="4" t="e">
        <f ca="1">SplineInterp(A1023,INDIRECT("'" &amp;Master!$F$10&amp; "'!$A$2:$A$50"),INDIRECT("'" &amp;Master!$F$10&amp; "'!$D$2:$D$50"))</f>
        <v>#VALUE!</v>
      </c>
      <c r="E1023" s="4" t="e">
        <f ca="1">SplineInterp(A1023,INDIRECT("'" &amp;Master!$F$10&amp; "'!$A$2:$A$50"),INDIRECT("'" &amp;Master!$F$10&amp; "'!$E$2:$E$50"))</f>
        <v>#VALUE!</v>
      </c>
      <c r="F1023" s="4" t="e">
        <f ca="1">SplineInterp(A1023,INDIRECT("'" &amp;Master!$F$10&amp; "'!$A$2:$A$50"),INDIRECT("'" &amp;Master!$F$10&amp; "'!$F$2:$F$50"))</f>
        <v>#VALUE!</v>
      </c>
      <c r="G1023" s="4" t="e">
        <f ca="1">SplineInterp(A1023,INDIRECT("'" &amp;Master!$F$10&amp; "'!$A$2:$A$50"),INDIRECT("'" &amp;Master!$F$10&amp; "'!$G$2:$G$50"))</f>
        <v>#VALUE!</v>
      </c>
      <c r="H1023" s="4" t="e">
        <f ca="1">SplineInterp(A1023,INDIRECT("'" &amp;Master!$F$10&amp; "'!$A$2:$A$50"),INDIRECT("'" &amp;Master!$F$10&amp; "'!$H$2:$H$50"))</f>
        <v>#VALUE!</v>
      </c>
      <c r="I1023" s="4" t="e">
        <f ca="1">IF(OR(INDIRECT("'" &amp; Master!$F$8 &amp; Master!$F$6 &amp; "'!B" &amp; ROW(B1023))="", INDIRECT("'" &amp; Master!$F$8 &amp; Master!$F$6 &amp; "'!B" &amp; ROW(B1023))=0), "", INDIRECT("'" &amp; Master!$F$8 &amp; Master!$F$6 &amp; "'!B" &amp; ROW(B1023)))</f>
        <v>#VALUE!</v>
      </c>
      <c r="J1023" s="9" t="e">
        <f t="shared" ca="1" si="105"/>
        <v>#VALUE!</v>
      </c>
      <c r="K1023" s="7" t="e">
        <f t="shared" ca="1" si="106"/>
        <v>#VALUE!</v>
      </c>
      <c r="L1023" s="7" t="e">
        <f t="shared" ca="1" si="107"/>
        <v>#VALUE!</v>
      </c>
      <c r="M1023" s="7" t="e">
        <f t="shared" ca="1" si="108"/>
        <v>#VALUE!</v>
      </c>
      <c r="N1023" s="7" t="e">
        <f t="shared" ca="1" si="109"/>
        <v>#VALUE!</v>
      </c>
      <c r="O1023" s="7" t="e">
        <f t="shared" ca="1" si="110"/>
        <v>#VALUE!</v>
      </c>
      <c r="P1023" s="7" t="e">
        <f t="shared" ca="1" si="111"/>
        <v>#VALUE!</v>
      </c>
    </row>
    <row r="1024" spans="1:16" x14ac:dyDescent="0.25">
      <c r="A1024" s="19" t="str">
        <f ca="1">IF(OR(INDIRECT("'" &amp; Master!$F$8 &amp; Master!$F$6 &amp; "'!A" &amp; ROW(A1024))="", INDIRECT("'" &amp; Master!$F$8 &amp; Master!$F$6 &amp; "'!A" &amp; ROW(A1024))=0), "", INDIRECT("'" &amp; Master!$F$8 &amp; Master!$F$6 &amp; "'!A" &amp; ROW(A1024)))</f>
        <v/>
      </c>
      <c r="B1024" s="4" t="e">
        <f ca="1">SplineInterp(INDIRECT("A" &amp; ROW()),INDIRECT("'" &amp;Master!$F$10&amp; "'!$A$2:$A$50"),INDIRECT("'" &amp;Master!$F$10&amp; "'!$B$2:$B$50"))</f>
        <v>#VALUE!</v>
      </c>
      <c r="C1024" s="4" t="e">
        <f ca="1">SplineInterp(A1024,INDIRECT("'" &amp;Master!$F$10&amp; "'!$A$2:$A$50"),INDIRECT("'" &amp;Master!$F$10&amp; "'!$C$2:$C$50"))</f>
        <v>#VALUE!</v>
      </c>
      <c r="D1024" s="4" t="e">
        <f ca="1">SplineInterp(A1024,INDIRECT("'" &amp;Master!$F$10&amp; "'!$A$2:$A$50"),INDIRECT("'" &amp;Master!$F$10&amp; "'!$D$2:$D$50"))</f>
        <v>#VALUE!</v>
      </c>
      <c r="E1024" s="4" t="e">
        <f ca="1">SplineInterp(A1024,INDIRECT("'" &amp;Master!$F$10&amp; "'!$A$2:$A$50"),INDIRECT("'" &amp;Master!$F$10&amp; "'!$E$2:$E$50"))</f>
        <v>#VALUE!</v>
      </c>
      <c r="F1024" s="4" t="e">
        <f ca="1">SplineInterp(A1024,INDIRECT("'" &amp;Master!$F$10&amp; "'!$A$2:$A$50"),INDIRECT("'" &amp;Master!$F$10&amp; "'!$F$2:$F$50"))</f>
        <v>#VALUE!</v>
      </c>
      <c r="G1024" s="4" t="e">
        <f ca="1">SplineInterp(A1024,INDIRECT("'" &amp;Master!$F$10&amp; "'!$A$2:$A$50"),INDIRECT("'" &amp;Master!$F$10&amp; "'!$G$2:$G$50"))</f>
        <v>#VALUE!</v>
      </c>
      <c r="H1024" s="4" t="e">
        <f ca="1">SplineInterp(A1024,INDIRECT("'" &amp;Master!$F$10&amp; "'!$A$2:$A$50"),INDIRECT("'" &amp;Master!$F$10&amp; "'!$H$2:$H$50"))</f>
        <v>#VALUE!</v>
      </c>
      <c r="I1024" s="4" t="e">
        <f ca="1">IF(OR(INDIRECT("'" &amp; Master!$F$8 &amp; Master!$F$6 &amp; "'!B" &amp; ROW(B1024))="", INDIRECT("'" &amp; Master!$F$8 &amp; Master!$F$6 &amp; "'!B" &amp; ROW(B1024))=0), "", INDIRECT("'" &amp; Master!$F$8 &amp; Master!$F$6 &amp; "'!B" &amp; ROW(B1024)))</f>
        <v>#VALUE!</v>
      </c>
      <c r="J1024" s="9" t="e">
        <f t="shared" ca="1" si="105"/>
        <v>#VALUE!</v>
      </c>
      <c r="K1024" s="7" t="e">
        <f t="shared" ca="1" si="106"/>
        <v>#VALUE!</v>
      </c>
      <c r="L1024" s="7" t="e">
        <f t="shared" ca="1" si="107"/>
        <v>#VALUE!</v>
      </c>
      <c r="M1024" s="7" t="e">
        <f t="shared" ca="1" si="108"/>
        <v>#VALUE!</v>
      </c>
      <c r="N1024" s="7" t="e">
        <f t="shared" ca="1" si="109"/>
        <v>#VALUE!</v>
      </c>
      <c r="O1024" s="7" t="e">
        <f t="shared" ca="1" si="110"/>
        <v>#VALUE!</v>
      </c>
      <c r="P1024" s="7" t="e">
        <f t="shared" ca="1" si="111"/>
        <v>#VALUE!</v>
      </c>
    </row>
    <row r="1025" spans="1:16" x14ac:dyDescent="0.25">
      <c r="A1025" s="19" t="str">
        <f ca="1">IF(OR(INDIRECT("'" &amp; Master!$F$8 &amp; Master!$F$6 &amp; "'!A" &amp; ROW(A1025))="", INDIRECT("'" &amp; Master!$F$8 &amp; Master!$F$6 &amp; "'!A" &amp; ROW(A1025))=0), "", INDIRECT("'" &amp; Master!$F$8 &amp; Master!$F$6 &amp; "'!A" &amp; ROW(A1025)))</f>
        <v/>
      </c>
      <c r="B1025" s="4" t="e">
        <f ca="1">SplineInterp(INDIRECT("A" &amp; ROW()),INDIRECT("'" &amp;Master!$F$10&amp; "'!$A$2:$A$50"),INDIRECT("'" &amp;Master!$F$10&amp; "'!$B$2:$B$50"))</f>
        <v>#VALUE!</v>
      </c>
      <c r="C1025" s="4" t="e">
        <f ca="1">SplineInterp(A1025,INDIRECT("'" &amp;Master!$F$10&amp; "'!$A$2:$A$50"),INDIRECT("'" &amp;Master!$F$10&amp; "'!$C$2:$C$50"))</f>
        <v>#VALUE!</v>
      </c>
      <c r="D1025" s="4" t="e">
        <f ca="1">SplineInterp(A1025,INDIRECT("'" &amp;Master!$F$10&amp; "'!$A$2:$A$50"),INDIRECT("'" &amp;Master!$F$10&amp; "'!$D$2:$D$50"))</f>
        <v>#VALUE!</v>
      </c>
      <c r="E1025" s="4" t="e">
        <f ca="1">SplineInterp(A1025,INDIRECT("'" &amp;Master!$F$10&amp; "'!$A$2:$A$50"),INDIRECT("'" &amp;Master!$F$10&amp; "'!$E$2:$E$50"))</f>
        <v>#VALUE!</v>
      </c>
      <c r="F1025" s="4" t="e">
        <f ca="1">SplineInterp(A1025,INDIRECT("'" &amp;Master!$F$10&amp; "'!$A$2:$A$50"),INDIRECT("'" &amp;Master!$F$10&amp; "'!$F$2:$F$50"))</f>
        <v>#VALUE!</v>
      </c>
      <c r="G1025" s="4" t="e">
        <f ca="1">SplineInterp(A1025,INDIRECT("'" &amp;Master!$F$10&amp; "'!$A$2:$A$50"),INDIRECT("'" &amp;Master!$F$10&amp; "'!$G$2:$G$50"))</f>
        <v>#VALUE!</v>
      </c>
      <c r="H1025" s="4" t="e">
        <f ca="1">SplineInterp(A1025,INDIRECT("'" &amp;Master!$F$10&amp; "'!$A$2:$A$50"),INDIRECT("'" &amp;Master!$F$10&amp; "'!$H$2:$H$50"))</f>
        <v>#VALUE!</v>
      </c>
      <c r="I1025" s="4" t="e">
        <f ca="1">IF(OR(INDIRECT("'" &amp; Master!$F$8 &amp; Master!$F$6 &amp; "'!B" &amp; ROW(B1025))="", INDIRECT("'" &amp; Master!$F$8 &amp; Master!$F$6 &amp; "'!B" &amp; ROW(B1025))=0), "", INDIRECT("'" &amp; Master!$F$8 &amp; Master!$F$6 &amp; "'!B" &amp; ROW(B1025)))</f>
        <v>#VALUE!</v>
      </c>
      <c r="J1025" s="9" t="e">
        <f t="shared" ca="1" si="105"/>
        <v>#VALUE!</v>
      </c>
      <c r="K1025" s="7" t="e">
        <f t="shared" ca="1" si="106"/>
        <v>#VALUE!</v>
      </c>
      <c r="L1025" s="7" t="e">
        <f t="shared" ca="1" si="107"/>
        <v>#VALUE!</v>
      </c>
      <c r="M1025" s="7" t="e">
        <f t="shared" ca="1" si="108"/>
        <v>#VALUE!</v>
      </c>
      <c r="N1025" s="7" t="e">
        <f t="shared" ca="1" si="109"/>
        <v>#VALUE!</v>
      </c>
      <c r="O1025" s="7" t="e">
        <f t="shared" ca="1" si="110"/>
        <v>#VALUE!</v>
      </c>
      <c r="P1025" s="7" t="e">
        <f t="shared" ca="1" si="111"/>
        <v>#VALUE!</v>
      </c>
    </row>
    <row r="1026" spans="1:16" x14ac:dyDescent="0.25">
      <c r="A1026" s="19" t="str">
        <f ca="1">IF(OR(INDIRECT("'" &amp; Master!$F$8 &amp; Master!$F$6 &amp; "'!A" &amp; ROW(A1026))="", INDIRECT("'" &amp; Master!$F$8 &amp; Master!$F$6 &amp; "'!A" &amp; ROW(A1026))=0), "", INDIRECT("'" &amp; Master!$F$8 &amp; Master!$F$6 &amp; "'!A" &amp; ROW(A1026)))</f>
        <v/>
      </c>
      <c r="B1026" s="4" t="e">
        <f ca="1">SplineInterp(INDIRECT("A" &amp; ROW()),INDIRECT("'" &amp;Master!$F$10&amp; "'!$A$2:$A$50"),INDIRECT("'" &amp;Master!$F$10&amp; "'!$B$2:$B$50"))</f>
        <v>#VALUE!</v>
      </c>
      <c r="C1026" s="4" t="e">
        <f ca="1">SplineInterp(A1026,INDIRECT("'" &amp;Master!$F$10&amp; "'!$A$2:$A$50"),INDIRECT("'" &amp;Master!$F$10&amp; "'!$C$2:$C$50"))</f>
        <v>#VALUE!</v>
      </c>
      <c r="D1026" s="4" t="e">
        <f ca="1">SplineInterp(A1026,INDIRECT("'" &amp;Master!$F$10&amp; "'!$A$2:$A$50"),INDIRECT("'" &amp;Master!$F$10&amp; "'!$D$2:$D$50"))</f>
        <v>#VALUE!</v>
      </c>
      <c r="E1026" s="4" t="e">
        <f ca="1">SplineInterp(A1026,INDIRECT("'" &amp;Master!$F$10&amp; "'!$A$2:$A$50"),INDIRECT("'" &amp;Master!$F$10&amp; "'!$E$2:$E$50"))</f>
        <v>#VALUE!</v>
      </c>
      <c r="F1026" s="4" t="e">
        <f ca="1">SplineInterp(A1026,INDIRECT("'" &amp;Master!$F$10&amp; "'!$A$2:$A$50"),INDIRECT("'" &amp;Master!$F$10&amp; "'!$F$2:$F$50"))</f>
        <v>#VALUE!</v>
      </c>
      <c r="G1026" s="4" t="e">
        <f ca="1">SplineInterp(A1026,INDIRECT("'" &amp;Master!$F$10&amp; "'!$A$2:$A$50"),INDIRECT("'" &amp;Master!$F$10&amp; "'!$G$2:$G$50"))</f>
        <v>#VALUE!</v>
      </c>
      <c r="H1026" s="4" t="e">
        <f ca="1">SplineInterp(A1026,INDIRECT("'" &amp;Master!$F$10&amp; "'!$A$2:$A$50"),INDIRECT("'" &amp;Master!$F$10&amp; "'!$H$2:$H$50"))</f>
        <v>#VALUE!</v>
      </c>
      <c r="I1026" s="4" t="e">
        <f ca="1">IF(OR(INDIRECT("'" &amp; Master!$F$8 &amp; Master!$F$6 &amp; "'!B" &amp; ROW(B1026))="", INDIRECT("'" &amp; Master!$F$8 &amp; Master!$F$6 &amp; "'!B" &amp; ROW(B1026))=0), "", INDIRECT("'" &amp; Master!$F$8 &amp; Master!$F$6 &amp; "'!B" &amp; ROW(B1026)))</f>
        <v>#VALUE!</v>
      </c>
      <c r="J1026" s="9" t="e">
        <f t="shared" ca="1" si="105"/>
        <v>#VALUE!</v>
      </c>
      <c r="K1026" s="7" t="e">
        <f t="shared" ca="1" si="106"/>
        <v>#VALUE!</v>
      </c>
      <c r="L1026" s="7" t="e">
        <f t="shared" ca="1" si="107"/>
        <v>#VALUE!</v>
      </c>
      <c r="M1026" s="7" t="e">
        <f t="shared" ca="1" si="108"/>
        <v>#VALUE!</v>
      </c>
      <c r="N1026" s="7" t="e">
        <f t="shared" ca="1" si="109"/>
        <v>#VALUE!</v>
      </c>
      <c r="O1026" s="7" t="e">
        <f t="shared" ca="1" si="110"/>
        <v>#VALUE!</v>
      </c>
      <c r="P1026" s="7" t="e">
        <f t="shared" ca="1" si="111"/>
        <v>#VALUE!</v>
      </c>
    </row>
    <row r="1027" spans="1:16" x14ac:dyDescent="0.25">
      <c r="A1027" s="5" t="e">
        <f xml:space="preserve"> IF(OR(#REF!="",#REF!= 0), "",#REF!)</f>
        <v>#REF!</v>
      </c>
    </row>
    <row r="1028" spans="1:16" x14ac:dyDescent="0.25">
      <c r="A1028" s="5" t="e">
        <f xml:space="preserve"> IF(OR(#REF!="",#REF!= 0), "",#REF!)</f>
        <v>#REF!</v>
      </c>
    </row>
    <row r="1029" spans="1:16" x14ac:dyDescent="0.25">
      <c r="A1029" s="5" t="e">
        <f xml:space="preserve"> IF(OR(#REF!="",#REF!= 0), "",#REF!)</f>
        <v>#REF!</v>
      </c>
    </row>
    <row r="1030" spans="1:16" x14ac:dyDescent="0.25">
      <c r="A1030" s="5" t="e">
        <f xml:space="preserve"> IF(OR(#REF!="",#REF!= 0), "",#REF!)</f>
        <v>#REF!</v>
      </c>
    </row>
    <row r="1031" spans="1:16" x14ac:dyDescent="0.25">
      <c r="A1031" s="5" t="e">
        <f xml:space="preserve"> IF(OR(#REF!="",#REF!= 0), "",#REF!)</f>
        <v>#REF!</v>
      </c>
      <c r="I1031" s="4" t="s">
        <v>13</v>
      </c>
      <c r="J1031" s="10">
        <f ca="1">SUMIF(J2:J1026, "&gt;0")</f>
        <v>1.2069748676533931</v>
      </c>
      <c r="K1031" s="10">
        <f t="shared" ref="K1031:P1031" ca="1" si="112">SUMIF(K2:K1026, "&gt;0")</f>
        <v>1.2069118642273133</v>
      </c>
      <c r="L1031" s="10">
        <f t="shared" ca="1" si="112"/>
        <v>1.2088124970849694</v>
      </c>
      <c r="M1031" s="10">
        <f t="shared" ca="1" si="112"/>
        <v>1.2141404638136799</v>
      </c>
      <c r="N1031" s="10">
        <f t="shared" ca="1" si="112"/>
        <v>1.2156364362688352</v>
      </c>
      <c r="O1031" s="10">
        <f t="shared" ca="1" si="112"/>
        <v>1.2043157756092864</v>
      </c>
      <c r="P1031" s="10">
        <f t="shared" ca="1" si="112"/>
        <v>1.1067982602407005</v>
      </c>
    </row>
    <row r="1032" spans="1:16" x14ac:dyDescent="0.25">
      <c r="A1032" s="5" t="e">
        <f xml:space="preserve"> IF(OR(#REF!="",#REF!= 0), "",#REF!)</f>
        <v>#REF!</v>
      </c>
    </row>
    <row r="1033" spans="1:16" x14ac:dyDescent="0.25">
      <c r="A1033" s="5" t="e">
        <f xml:space="preserve"> IF(OR(#REF!="",#REF!= 0), "",#REF!)</f>
        <v>#REF!</v>
      </c>
    </row>
    <row r="1034" spans="1:16" x14ac:dyDescent="0.25">
      <c r="A1034" s="5" t="e">
        <f xml:space="preserve"> IF(OR(#REF!="",#REF!= 0), "",#REF!)</f>
        <v>#REF!</v>
      </c>
    </row>
    <row r="1035" spans="1:16" x14ac:dyDescent="0.25">
      <c r="A1035" s="5" t="e">
        <f xml:space="preserve"> IF(OR(#REF!="",#REF!= 0), "",#REF!)</f>
        <v>#REF!</v>
      </c>
    </row>
    <row r="1036" spans="1:16" x14ac:dyDescent="0.25">
      <c r="A1036" s="5" t="e">
        <f xml:space="preserve"> IF(OR(#REF!="",#REF!= 0), "",#REF!)</f>
        <v>#REF!</v>
      </c>
    </row>
    <row r="1037" spans="1:16" x14ac:dyDescent="0.25">
      <c r="A1037" s="5" t="e">
        <f xml:space="preserve"> IF(OR(#REF!="",#REF!= 0), "",#REF!)</f>
        <v>#REF!</v>
      </c>
    </row>
    <row r="1038" spans="1:16" x14ac:dyDescent="0.25">
      <c r="A1038" s="5" t="e">
        <f xml:space="preserve"> IF(OR(#REF!="",#REF!= 0), "",#REF!)</f>
        <v>#REF!</v>
      </c>
    </row>
    <row r="1039" spans="1:16" x14ac:dyDescent="0.25">
      <c r="A1039" s="5" t="e">
        <f xml:space="preserve"> IF(OR(#REF!="",#REF!= 0), "",#REF!)</f>
        <v>#REF!</v>
      </c>
    </row>
    <row r="1040" spans="1:16" x14ac:dyDescent="0.25">
      <c r="A1040" s="5" t="e">
        <f xml:space="preserve"> IF(OR(#REF!="",#REF!= 0), "",#REF!)</f>
        <v>#REF!</v>
      </c>
    </row>
    <row r="1041" spans="1:1" x14ac:dyDescent="0.25">
      <c r="A1041" s="5" t="e">
        <f xml:space="preserve"> IF(OR(#REF!="",#REF!= 0), "",#REF!)</f>
        <v>#REF!</v>
      </c>
    </row>
    <row r="1042" spans="1:1" x14ac:dyDescent="0.25">
      <c r="A1042" s="5" t="e">
        <f xml:space="preserve"> IF(OR(#REF!="",#REF!= 0), "",#REF!)</f>
        <v>#REF!</v>
      </c>
    </row>
    <row r="1043" spans="1:1" x14ac:dyDescent="0.25">
      <c r="A1043" s="5" t="e">
        <f xml:space="preserve"> IF(OR(#REF!="",#REF!= 0), "",#REF!)</f>
        <v>#REF!</v>
      </c>
    </row>
    <row r="1044" spans="1:1" x14ac:dyDescent="0.25">
      <c r="A1044" s="5" t="e">
        <f xml:space="preserve"> IF(OR(#REF!="",#REF!= 0), "",#REF!)</f>
        <v>#REF!</v>
      </c>
    </row>
    <row r="1045" spans="1:1" x14ac:dyDescent="0.25">
      <c r="A1045" s="5" t="e">
        <f xml:space="preserve"> IF(OR(#REF!="",#REF!= 0), "",#REF!)</f>
        <v>#REF!</v>
      </c>
    </row>
    <row r="1046" spans="1:1" x14ac:dyDescent="0.25">
      <c r="A1046" s="5" t="e">
        <f xml:space="preserve"> IF(OR(#REF!="",#REF!= 0), "",#REF!)</f>
        <v>#REF!</v>
      </c>
    </row>
    <row r="1047" spans="1:1" x14ac:dyDescent="0.25">
      <c r="A1047" s="5" t="e">
        <f xml:space="preserve"> IF(OR(#REF!="",#REF!= 0), "",#REF!)</f>
        <v>#REF!</v>
      </c>
    </row>
    <row r="1048" spans="1:1" x14ac:dyDescent="0.25">
      <c r="A1048" s="5" t="e">
        <f xml:space="preserve"> IF(OR(#REF!="",#REF!= 0), "",#REF!)</f>
        <v>#REF!</v>
      </c>
    </row>
    <row r="1049" spans="1:1" x14ac:dyDescent="0.25">
      <c r="A1049" s="5" t="e">
        <f xml:space="preserve"> IF(OR(#REF!="",#REF!= 0), "",#REF!)</f>
        <v>#REF!</v>
      </c>
    </row>
    <row r="1050" spans="1:1" x14ac:dyDescent="0.25">
      <c r="A1050" s="5" t="e">
        <f xml:space="preserve"> IF(OR(#REF!="",#REF!= 0), "",#REF!)</f>
        <v>#REF!</v>
      </c>
    </row>
    <row r="1051" spans="1:1" x14ac:dyDescent="0.25">
      <c r="A1051" s="5" t="e">
        <f xml:space="preserve"> IF(OR(#REF!="",#REF!= 0), "",#REF!)</f>
        <v>#REF!</v>
      </c>
    </row>
    <row r="1052" spans="1:1" x14ac:dyDescent="0.25">
      <c r="A1052" s="5" t="e">
        <f xml:space="preserve"> IF(OR(#REF!="",#REF!= 0), "",#REF!)</f>
        <v>#REF!</v>
      </c>
    </row>
    <row r="1053" spans="1:1" x14ac:dyDescent="0.25">
      <c r="A1053" s="5" t="e">
        <f xml:space="preserve"> IF(OR(#REF!="",#REF!= 0), "",#REF!)</f>
        <v>#REF!</v>
      </c>
    </row>
    <row r="1054" spans="1:1" x14ac:dyDescent="0.25">
      <c r="A1054" s="5" t="e">
        <f xml:space="preserve"> IF(OR(#REF!="",#REF!= 0), "",#REF!)</f>
        <v>#REF!</v>
      </c>
    </row>
    <row r="1055" spans="1:1" x14ac:dyDescent="0.25">
      <c r="A1055" s="5" t="e">
        <f xml:space="preserve"> IF(OR(#REF!="",#REF!= 0), "",#REF!)</f>
        <v>#REF!</v>
      </c>
    </row>
    <row r="1056" spans="1:1" x14ac:dyDescent="0.25">
      <c r="A1056" s="5" t="e">
        <f xml:space="preserve"> IF(OR(#REF!="",#REF!= 0), "",#REF!)</f>
        <v>#REF!</v>
      </c>
    </row>
    <row r="1057" spans="1:1" x14ac:dyDescent="0.25">
      <c r="A1057" s="5" t="e">
        <f xml:space="preserve"> IF(OR(#REF!="",#REF!= 0), "",#REF!)</f>
        <v>#REF!</v>
      </c>
    </row>
    <row r="1058" spans="1:1" x14ac:dyDescent="0.25">
      <c r="A1058" s="5" t="e">
        <f xml:space="preserve"> IF(OR(#REF!="",#REF!= 0), "",#REF!)</f>
        <v>#REF!</v>
      </c>
    </row>
    <row r="1059" spans="1:1" x14ac:dyDescent="0.25">
      <c r="A1059" s="5" t="e">
        <f xml:space="preserve"> IF(OR(#REF!="",#REF!= 0), "",#REF!)</f>
        <v>#REF!</v>
      </c>
    </row>
    <row r="1060" spans="1:1" x14ac:dyDescent="0.25">
      <c r="A1060" s="5" t="e">
        <f xml:space="preserve"> IF(OR(#REF!="",#REF!= 0), "",#REF!)</f>
        <v>#REF!</v>
      </c>
    </row>
    <row r="1061" spans="1:1" x14ac:dyDescent="0.25">
      <c r="A1061" s="5" t="e">
        <f xml:space="preserve"> IF(OR(#REF!="",#REF!= 0), "",#REF!)</f>
        <v>#REF!</v>
      </c>
    </row>
    <row r="1062" spans="1:1" x14ac:dyDescent="0.25">
      <c r="A1062" s="5" t="e">
        <f xml:space="preserve"> IF(OR(#REF!="",#REF!= 0), "",#REF!)</f>
        <v>#REF!</v>
      </c>
    </row>
    <row r="1063" spans="1:1" x14ac:dyDescent="0.25">
      <c r="A1063" s="5" t="e">
        <f xml:space="preserve"> IF(OR(#REF!="",#REF!= 0), "",#REF!)</f>
        <v>#REF!</v>
      </c>
    </row>
    <row r="1064" spans="1:1" x14ac:dyDescent="0.25">
      <c r="A1064" s="5" t="e">
        <f xml:space="preserve"> IF(OR(#REF!="",#REF!= 0), "",#REF!)</f>
        <v>#REF!</v>
      </c>
    </row>
    <row r="1065" spans="1:1" x14ac:dyDescent="0.25">
      <c r="A1065" s="5" t="e">
        <f xml:space="preserve"> IF(OR(#REF!="",#REF!= 0), "",#REF!)</f>
        <v>#REF!</v>
      </c>
    </row>
    <row r="1066" spans="1:1" x14ac:dyDescent="0.25">
      <c r="A1066" s="5" t="e">
        <f xml:space="preserve"> IF(OR(#REF!="",#REF!= 0), "",#REF!)</f>
        <v>#REF!</v>
      </c>
    </row>
    <row r="1067" spans="1:1" x14ac:dyDescent="0.25">
      <c r="A1067" s="5" t="e">
        <f xml:space="preserve"> IF(OR(#REF!="",#REF!= 0), "",#REF!)</f>
        <v>#REF!</v>
      </c>
    </row>
    <row r="1068" spans="1:1" x14ac:dyDescent="0.25">
      <c r="A1068" s="5" t="e">
        <f xml:space="preserve"> IF(OR(#REF!="",#REF!= 0), "",#REF!)</f>
        <v>#REF!</v>
      </c>
    </row>
    <row r="1069" spans="1:1" x14ac:dyDescent="0.25">
      <c r="A1069" s="5" t="e">
        <f xml:space="preserve"> IF(OR(#REF!="",#REF!= 0), "",#REF!)</f>
        <v>#REF!</v>
      </c>
    </row>
    <row r="1070" spans="1:1" x14ac:dyDescent="0.25">
      <c r="A1070" s="5" t="e">
        <f xml:space="preserve"> IF(OR(#REF!="",#REF!= 0), "",#REF!)</f>
        <v>#REF!</v>
      </c>
    </row>
    <row r="1071" spans="1:1" x14ac:dyDescent="0.25">
      <c r="A1071" s="5" t="e">
        <f xml:space="preserve"> IF(OR(#REF!="",#REF!= 0), "",#REF!)</f>
        <v>#REF!</v>
      </c>
    </row>
    <row r="1072" spans="1:1" x14ac:dyDescent="0.25">
      <c r="A1072" s="5" t="e">
        <f xml:space="preserve"> IF(OR(#REF!="",#REF!= 0), "",#REF!)</f>
        <v>#REF!</v>
      </c>
    </row>
    <row r="1073" spans="1:1" x14ac:dyDescent="0.25">
      <c r="A1073" s="5" t="e">
        <f xml:space="preserve"> IF(OR(#REF!="",#REF!= 0), "",#REF!)</f>
        <v>#REF!</v>
      </c>
    </row>
    <row r="1074" spans="1:1" x14ac:dyDescent="0.25">
      <c r="A1074" s="5" t="e">
        <f xml:space="preserve"> IF(OR(#REF!="",#REF!= 0), "",#REF!)</f>
        <v>#REF!</v>
      </c>
    </row>
    <row r="1075" spans="1:1" x14ac:dyDescent="0.25">
      <c r="A1075" s="5" t="e">
        <f xml:space="preserve"> IF(OR(#REF!="",#REF!= 0), "",#REF!)</f>
        <v>#REF!</v>
      </c>
    </row>
    <row r="1076" spans="1:1" x14ac:dyDescent="0.25">
      <c r="A1076" s="5" t="e">
        <f xml:space="preserve"> IF(OR(#REF!="",#REF!= 0), "",#REF!)</f>
        <v>#REF!</v>
      </c>
    </row>
    <row r="1077" spans="1:1" x14ac:dyDescent="0.25">
      <c r="A1077" s="5" t="e">
        <f xml:space="preserve"> IF(OR(#REF!="",#REF!= 0), "",#REF!)</f>
        <v>#REF!</v>
      </c>
    </row>
    <row r="1078" spans="1:1" x14ac:dyDescent="0.25">
      <c r="A1078" s="5" t="e">
        <f xml:space="preserve"> IF(OR(#REF!="",#REF!= 0), "",#REF!)</f>
        <v>#REF!</v>
      </c>
    </row>
    <row r="1079" spans="1:1" x14ac:dyDescent="0.25">
      <c r="A1079" s="5" t="e">
        <f xml:space="preserve"> IF(OR(#REF!="",#REF!= 0), "",#REF!)</f>
        <v>#REF!</v>
      </c>
    </row>
    <row r="1080" spans="1:1" x14ac:dyDescent="0.25">
      <c r="A1080" s="5" t="e">
        <f xml:space="preserve"> IF(OR(#REF!="",#REF!= 0), "",#REF!)</f>
        <v>#REF!</v>
      </c>
    </row>
    <row r="1081" spans="1:1" x14ac:dyDescent="0.25">
      <c r="A1081" s="5" t="e">
        <f xml:space="preserve"> IF(OR(#REF!="",#REF!= 0), "",#REF!)</f>
        <v>#REF!</v>
      </c>
    </row>
    <row r="1082" spans="1:1" x14ac:dyDescent="0.25">
      <c r="A1082" s="5" t="e">
        <f xml:space="preserve"> IF(OR(#REF!="",#REF!= 0), "",#REF!)</f>
        <v>#REF!</v>
      </c>
    </row>
    <row r="1083" spans="1:1" x14ac:dyDescent="0.25">
      <c r="A1083" s="5" t="e">
        <f xml:space="preserve"> IF(OR(#REF!="",#REF!= 0), "",#REF!)</f>
        <v>#REF!</v>
      </c>
    </row>
    <row r="1084" spans="1:1" x14ac:dyDescent="0.25">
      <c r="A1084" s="5" t="e">
        <f xml:space="preserve"> IF(OR(#REF!="",#REF!= 0), "",#REF!)</f>
        <v>#REF!</v>
      </c>
    </row>
    <row r="1085" spans="1:1" x14ac:dyDescent="0.25">
      <c r="A1085" s="5" t="e">
        <f xml:space="preserve"> IF(OR(#REF!="",#REF!= 0), "",#REF!)</f>
        <v>#REF!</v>
      </c>
    </row>
    <row r="1086" spans="1:1" x14ac:dyDescent="0.25">
      <c r="A1086" s="5" t="e">
        <f xml:space="preserve"> IF(OR(#REF!="",#REF!= 0), "",#REF!)</f>
        <v>#REF!</v>
      </c>
    </row>
    <row r="1087" spans="1:1" x14ac:dyDescent="0.25">
      <c r="A1087" s="5" t="e">
        <f xml:space="preserve"> IF(OR(#REF!="",#REF!= 0), "",#REF!)</f>
        <v>#REF!</v>
      </c>
    </row>
    <row r="1088" spans="1:1" x14ac:dyDescent="0.25">
      <c r="A1088" s="5" t="e">
        <f xml:space="preserve"> IF(OR(#REF!="",#REF!= 0), "",#REF!)</f>
        <v>#REF!</v>
      </c>
    </row>
    <row r="1089" spans="1:1" x14ac:dyDescent="0.25">
      <c r="A1089" s="5" t="e">
        <f xml:space="preserve"> IF(OR(#REF!="",#REF!= 0), "",#REF!)</f>
        <v>#REF!</v>
      </c>
    </row>
    <row r="1090" spans="1:1" x14ac:dyDescent="0.25">
      <c r="A1090" s="5" t="e">
        <f xml:space="preserve"> IF(OR(#REF!="",#REF!= 0), "",#REF!)</f>
        <v>#REF!</v>
      </c>
    </row>
    <row r="1091" spans="1:1" x14ac:dyDescent="0.25">
      <c r="A1091" s="5" t="e">
        <f xml:space="preserve"> IF(OR(#REF!="",#REF!= 0), "",#REF!)</f>
        <v>#REF!</v>
      </c>
    </row>
    <row r="1092" spans="1:1" x14ac:dyDescent="0.25">
      <c r="A1092" s="5" t="e">
        <f xml:space="preserve"> IF(OR(#REF!="",#REF!= 0), "",#REF!)</f>
        <v>#REF!</v>
      </c>
    </row>
    <row r="1093" spans="1:1" x14ac:dyDescent="0.25">
      <c r="A1093" s="5" t="e">
        <f xml:space="preserve"> IF(OR(#REF!="",#REF!= 0), "",#REF!)</f>
        <v>#REF!</v>
      </c>
    </row>
    <row r="1094" spans="1:1" x14ac:dyDescent="0.25">
      <c r="A1094" s="5" t="e">
        <f xml:space="preserve"> IF(OR(#REF!="",#REF!= 0), "",#REF!)</f>
        <v>#REF!</v>
      </c>
    </row>
    <row r="1095" spans="1:1" x14ac:dyDescent="0.25">
      <c r="A1095" s="5" t="e">
        <f xml:space="preserve"> IF(OR(#REF!="",#REF!= 0), "",#REF!)</f>
        <v>#REF!</v>
      </c>
    </row>
    <row r="1096" spans="1:1" x14ac:dyDescent="0.25">
      <c r="A1096" s="5" t="e">
        <f xml:space="preserve"> IF(OR(#REF!="",#REF!= 0), "",#REF!)</f>
        <v>#REF!</v>
      </c>
    </row>
    <row r="1097" spans="1:1" x14ac:dyDescent="0.25">
      <c r="A1097" s="5" t="e">
        <f xml:space="preserve"> IF(OR(#REF!="",#REF!= 0), "",#REF!)</f>
        <v>#REF!</v>
      </c>
    </row>
    <row r="1098" spans="1:1" x14ac:dyDescent="0.25">
      <c r="A1098" s="5" t="e">
        <f xml:space="preserve"> IF(OR(#REF!="",#REF!= 0), "",#REF!)</f>
        <v>#REF!</v>
      </c>
    </row>
    <row r="1099" spans="1:1" x14ac:dyDescent="0.25">
      <c r="A1099" s="5" t="e">
        <f xml:space="preserve"> IF(OR(#REF!="",#REF!= 0), "",#REF!)</f>
        <v>#REF!</v>
      </c>
    </row>
    <row r="1100" spans="1:1" x14ac:dyDescent="0.25">
      <c r="A1100" s="5" t="e">
        <f xml:space="preserve"> IF(OR(#REF!="",#REF!= 0), "",#REF!)</f>
        <v>#REF!</v>
      </c>
    </row>
    <row r="1101" spans="1:1" x14ac:dyDescent="0.25">
      <c r="A1101" s="5" t="e">
        <f xml:space="preserve"> IF(OR(#REF!="",#REF!= 0), "",#REF!)</f>
        <v>#REF!</v>
      </c>
    </row>
    <row r="1102" spans="1:1" x14ac:dyDescent="0.25">
      <c r="A1102" s="5" t="e">
        <f xml:space="preserve"> IF(OR(#REF!="",#REF!= 0), "",#REF!)</f>
        <v>#REF!</v>
      </c>
    </row>
    <row r="1103" spans="1:1" x14ac:dyDescent="0.25">
      <c r="A1103" s="5" t="e">
        <f xml:space="preserve"> IF(OR(#REF!="",#REF!= 0), "",#REF!)</f>
        <v>#REF!</v>
      </c>
    </row>
    <row r="1104" spans="1:1" x14ac:dyDescent="0.25">
      <c r="A1104" s="5" t="e">
        <f xml:space="preserve"> IF(OR(#REF!="",#REF!= 0), "",#REF!)</f>
        <v>#REF!</v>
      </c>
    </row>
    <row r="1105" spans="1:1" x14ac:dyDescent="0.25">
      <c r="A1105" s="5" t="e">
        <f xml:space="preserve"> IF(OR(#REF!="",#REF!= 0), "",#REF!)</f>
        <v>#REF!</v>
      </c>
    </row>
    <row r="1106" spans="1:1" x14ac:dyDescent="0.25">
      <c r="A1106" s="5" t="e">
        <f xml:space="preserve"> IF(OR(#REF!="",#REF!= 0), "",#REF!)</f>
        <v>#REF!</v>
      </c>
    </row>
    <row r="1107" spans="1:1" x14ac:dyDescent="0.25">
      <c r="A1107" s="5" t="e">
        <f xml:space="preserve"> IF(OR(#REF!="",#REF!= 0), "",#REF!)</f>
        <v>#REF!</v>
      </c>
    </row>
    <row r="1108" spans="1:1" x14ac:dyDescent="0.25">
      <c r="A1108" s="5" t="e">
        <f xml:space="preserve"> IF(OR(#REF!="",#REF!= 0), "",#REF!)</f>
        <v>#REF!</v>
      </c>
    </row>
    <row r="1109" spans="1:1" x14ac:dyDescent="0.25">
      <c r="A1109" s="5" t="e">
        <f xml:space="preserve"> IF(OR(#REF!="",#REF!= 0), "",#REF!)</f>
        <v>#REF!</v>
      </c>
    </row>
    <row r="1110" spans="1:1" x14ac:dyDescent="0.25">
      <c r="A1110" s="5" t="e">
        <f xml:space="preserve"> IF(OR(#REF!="",#REF!= 0), "",#REF!)</f>
        <v>#REF!</v>
      </c>
    </row>
    <row r="1111" spans="1:1" x14ac:dyDescent="0.25">
      <c r="A1111" s="5" t="e">
        <f xml:space="preserve"> IF(OR(#REF!="",#REF!= 0), "",#REF!)</f>
        <v>#REF!</v>
      </c>
    </row>
    <row r="1112" spans="1:1" x14ac:dyDescent="0.25">
      <c r="A1112" s="5" t="e">
        <f xml:space="preserve"> IF(OR(#REF!="",#REF!= 0), "",#REF!)</f>
        <v>#REF!</v>
      </c>
    </row>
    <row r="1113" spans="1:1" x14ac:dyDescent="0.25">
      <c r="A1113" s="5" t="e">
        <f xml:space="preserve"> IF(OR(#REF!="",#REF!= 0), "",#REF!)</f>
        <v>#REF!</v>
      </c>
    </row>
    <row r="1114" spans="1:1" x14ac:dyDescent="0.25">
      <c r="A1114" s="5" t="e">
        <f xml:space="preserve"> IF(OR(#REF!="",#REF!= 0), "",#REF!)</f>
        <v>#REF!</v>
      </c>
    </row>
    <row r="1115" spans="1:1" x14ac:dyDescent="0.25">
      <c r="A1115" s="5" t="e">
        <f xml:space="preserve"> IF(OR(#REF!="",#REF!= 0), "",#REF!)</f>
        <v>#REF!</v>
      </c>
    </row>
    <row r="1116" spans="1:1" x14ac:dyDescent="0.25">
      <c r="A1116" s="5" t="e">
        <f xml:space="preserve"> IF(OR(#REF!="",#REF!= 0), "",#REF!)</f>
        <v>#REF!</v>
      </c>
    </row>
    <row r="1117" spans="1:1" x14ac:dyDescent="0.25">
      <c r="A1117" s="5" t="e">
        <f xml:space="preserve"> IF(OR(#REF!="",#REF!= 0), "",#REF!)</f>
        <v>#REF!</v>
      </c>
    </row>
    <row r="1118" spans="1:1" x14ac:dyDescent="0.25">
      <c r="A1118" s="5" t="e">
        <f xml:space="preserve"> IF(OR(#REF!="",#REF!= 0), "",#REF!)</f>
        <v>#REF!</v>
      </c>
    </row>
    <row r="1119" spans="1:1" x14ac:dyDescent="0.25">
      <c r="A1119" s="5" t="e">
        <f xml:space="preserve"> IF(OR(#REF!="",#REF!= 0), "",#REF!)</f>
        <v>#REF!</v>
      </c>
    </row>
    <row r="1120" spans="1:1" x14ac:dyDescent="0.25">
      <c r="A1120" s="5" t="e">
        <f xml:space="preserve"> IF(OR(#REF!="",#REF!= 0), "",#REF!)</f>
        <v>#REF!</v>
      </c>
    </row>
    <row r="1121" spans="1:1" x14ac:dyDescent="0.25">
      <c r="A1121" s="5" t="e">
        <f xml:space="preserve"> IF(OR(#REF!="",#REF!= 0), "",#REF!)</f>
        <v>#REF!</v>
      </c>
    </row>
    <row r="1122" spans="1:1" x14ac:dyDescent="0.25">
      <c r="A1122" s="5" t="e">
        <f xml:space="preserve"> IF(OR(#REF!="",#REF!= 0), "",#REF!)</f>
        <v>#REF!</v>
      </c>
    </row>
    <row r="1123" spans="1:1" x14ac:dyDescent="0.25">
      <c r="A1123" s="5" t="e">
        <f xml:space="preserve"> IF(OR(#REF!="",#REF!= 0), "",#REF!)</f>
        <v>#REF!</v>
      </c>
    </row>
    <row r="1124" spans="1:1" x14ac:dyDescent="0.25">
      <c r="A1124" s="5" t="e">
        <f xml:space="preserve"> IF(OR(#REF!="",#REF!= 0), "",#REF!)</f>
        <v>#REF!</v>
      </c>
    </row>
    <row r="1125" spans="1:1" x14ac:dyDescent="0.25">
      <c r="A1125" s="5" t="e">
        <f xml:space="preserve"> IF(OR(#REF!="",#REF!= 0), "",#REF!)</f>
        <v>#REF!</v>
      </c>
    </row>
    <row r="1126" spans="1:1" x14ac:dyDescent="0.25">
      <c r="A1126" s="5" t="e">
        <f xml:space="preserve"> IF(OR(#REF!="",#REF!= 0), "",#REF!)</f>
        <v>#REF!</v>
      </c>
    </row>
    <row r="1127" spans="1:1" x14ac:dyDescent="0.25">
      <c r="A1127" s="5" t="e">
        <f xml:space="preserve"> IF(OR(#REF!="",#REF!= 0), "",#REF!)</f>
        <v>#REF!</v>
      </c>
    </row>
    <row r="1128" spans="1:1" x14ac:dyDescent="0.25">
      <c r="A1128" s="5" t="e">
        <f xml:space="preserve"> IF(OR(#REF!="",#REF!= 0), "",#REF!)</f>
        <v>#REF!</v>
      </c>
    </row>
    <row r="1129" spans="1:1" x14ac:dyDescent="0.25">
      <c r="A1129" s="5" t="e">
        <f xml:space="preserve"> IF(OR(#REF!="",#REF!= 0), "",#REF!)</f>
        <v>#REF!</v>
      </c>
    </row>
    <row r="1130" spans="1:1" x14ac:dyDescent="0.25">
      <c r="A1130" s="5" t="e">
        <f xml:space="preserve"> IF(OR(#REF!="",#REF!= 0), "",#REF!)</f>
        <v>#REF!</v>
      </c>
    </row>
    <row r="1131" spans="1:1" x14ac:dyDescent="0.25">
      <c r="A1131" s="5" t="e">
        <f xml:space="preserve"> IF(OR(#REF!="",#REF!= 0), "",#REF!)</f>
        <v>#REF!</v>
      </c>
    </row>
    <row r="1132" spans="1:1" x14ac:dyDescent="0.25">
      <c r="A1132" s="5" t="e">
        <f xml:space="preserve"> IF(OR(#REF!="",#REF!= 0), "",#REF!)</f>
        <v>#REF!</v>
      </c>
    </row>
    <row r="1133" spans="1:1" x14ac:dyDescent="0.25">
      <c r="A1133" s="5" t="e">
        <f xml:space="preserve"> IF(OR(#REF!="",#REF!= 0), "",#REF!)</f>
        <v>#REF!</v>
      </c>
    </row>
    <row r="1134" spans="1:1" x14ac:dyDescent="0.25">
      <c r="A1134" s="5" t="e">
        <f xml:space="preserve"> IF(OR(#REF!="",#REF!= 0), "",#REF!)</f>
        <v>#REF!</v>
      </c>
    </row>
    <row r="1135" spans="1:1" x14ac:dyDescent="0.25">
      <c r="A1135" s="5" t="e">
        <f xml:space="preserve"> IF(OR(#REF!="",#REF!= 0), "",#REF!)</f>
        <v>#REF!</v>
      </c>
    </row>
    <row r="1136" spans="1:1" x14ac:dyDescent="0.25">
      <c r="A1136" s="5" t="e">
        <f xml:space="preserve"> IF(OR(#REF!="",#REF!= 0), "",#REF!)</f>
        <v>#REF!</v>
      </c>
    </row>
    <row r="1137" spans="1:1" x14ac:dyDescent="0.25">
      <c r="A1137" s="5" t="e">
        <f xml:space="preserve"> IF(OR(#REF!="",#REF!= 0), "",#REF!)</f>
        <v>#REF!</v>
      </c>
    </row>
    <row r="1138" spans="1:1" x14ac:dyDescent="0.25">
      <c r="A1138" s="5" t="e">
        <f xml:space="preserve"> IF(OR(#REF!="",#REF!= 0), "",#REF!)</f>
        <v>#REF!</v>
      </c>
    </row>
    <row r="1139" spans="1:1" x14ac:dyDescent="0.25">
      <c r="A1139" s="5" t="e">
        <f xml:space="preserve"> IF(OR(#REF!="",#REF!= 0), "",#REF!)</f>
        <v>#REF!</v>
      </c>
    </row>
    <row r="1140" spans="1:1" x14ac:dyDescent="0.25">
      <c r="A1140" s="5" t="e">
        <f xml:space="preserve"> IF(OR(#REF!="",#REF!= 0), "",#REF!)</f>
        <v>#REF!</v>
      </c>
    </row>
    <row r="1141" spans="1:1" x14ac:dyDescent="0.25">
      <c r="A1141" s="5" t="e">
        <f xml:space="preserve"> IF(OR(#REF!="",#REF!= 0), "",#REF!)</f>
        <v>#REF!</v>
      </c>
    </row>
    <row r="1142" spans="1:1" x14ac:dyDescent="0.25">
      <c r="A1142" s="5" t="e">
        <f xml:space="preserve"> IF(OR(#REF!="",#REF!= 0), "",#REF!)</f>
        <v>#REF!</v>
      </c>
    </row>
    <row r="1143" spans="1:1" x14ac:dyDescent="0.25">
      <c r="A1143" s="5" t="e">
        <f xml:space="preserve"> IF(OR(#REF!="",#REF!= 0), "",#REF!)</f>
        <v>#REF!</v>
      </c>
    </row>
    <row r="1144" spans="1:1" x14ac:dyDescent="0.25">
      <c r="A1144" s="5" t="e">
        <f xml:space="preserve"> IF(OR(#REF!="",#REF!= 0), "",#REF!)</f>
        <v>#REF!</v>
      </c>
    </row>
    <row r="1145" spans="1:1" x14ac:dyDescent="0.25">
      <c r="A1145" s="5" t="e">
        <f xml:space="preserve"> IF(OR(#REF!="",#REF!= 0), "",#REF!)</f>
        <v>#REF!</v>
      </c>
    </row>
    <row r="1146" spans="1:1" x14ac:dyDescent="0.25">
      <c r="A1146" s="5" t="e">
        <f xml:space="preserve"> IF(OR(#REF!="",#REF!= 0), "",#REF!)</f>
        <v>#REF!</v>
      </c>
    </row>
    <row r="1147" spans="1:1" x14ac:dyDescent="0.25">
      <c r="A1147" s="5" t="e">
        <f xml:space="preserve"> IF(OR(#REF!="",#REF!= 0), "",#REF!)</f>
        <v>#REF!</v>
      </c>
    </row>
    <row r="1148" spans="1:1" x14ac:dyDescent="0.25">
      <c r="A1148" s="5" t="e">
        <f xml:space="preserve"> IF(OR(#REF!="",#REF!= 0), "",#REF!)</f>
        <v>#REF!</v>
      </c>
    </row>
    <row r="1149" spans="1:1" x14ac:dyDescent="0.25">
      <c r="A1149" s="5" t="e">
        <f xml:space="preserve"> IF(OR(#REF!="",#REF!= 0), "",#REF!)</f>
        <v>#REF!</v>
      </c>
    </row>
    <row r="1150" spans="1:1" x14ac:dyDescent="0.25">
      <c r="A1150" s="5" t="e">
        <f xml:space="preserve"> IF(OR(#REF!="",#REF!= 0), "",#REF!)</f>
        <v>#REF!</v>
      </c>
    </row>
    <row r="1151" spans="1:1" x14ac:dyDescent="0.25">
      <c r="A1151" s="5" t="e">
        <f xml:space="preserve"> IF(OR(#REF!="",#REF!= 0), "",#REF!)</f>
        <v>#REF!</v>
      </c>
    </row>
    <row r="1152" spans="1:1" x14ac:dyDescent="0.25">
      <c r="A1152" s="5" t="e">
        <f xml:space="preserve"> IF(OR(#REF!="",#REF!= 0), "",#REF!)</f>
        <v>#REF!</v>
      </c>
    </row>
    <row r="1153" spans="1:1" x14ac:dyDescent="0.25">
      <c r="A1153" s="5" t="e">
        <f xml:space="preserve"> IF(OR(#REF!="",#REF!= 0), "",#REF!)</f>
        <v>#REF!</v>
      </c>
    </row>
    <row r="1154" spans="1:1" x14ac:dyDescent="0.25">
      <c r="A1154" s="5" t="e">
        <f xml:space="preserve"> IF(OR(#REF!="",#REF!= 0), "",#REF!)</f>
        <v>#REF!</v>
      </c>
    </row>
    <row r="1155" spans="1:1" x14ac:dyDescent="0.25">
      <c r="A1155" s="5" t="e">
        <f xml:space="preserve"> IF(OR(#REF!="",#REF!= 0), "",#REF!)</f>
        <v>#REF!</v>
      </c>
    </row>
    <row r="1156" spans="1:1" x14ac:dyDescent="0.25">
      <c r="A1156" s="5" t="e">
        <f xml:space="preserve"> IF(OR(#REF!="",#REF!= 0), "",#REF!)</f>
        <v>#REF!</v>
      </c>
    </row>
    <row r="1157" spans="1:1" x14ac:dyDescent="0.25">
      <c r="A1157" s="5" t="e">
        <f xml:space="preserve"> IF(OR(#REF!="",#REF!= 0), "",#REF!)</f>
        <v>#REF!</v>
      </c>
    </row>
    <row r="1158" spans="1:1" x14ac:dyDescent="0.25">
      <c r="A1158" s="5" t="e">
        <f xml:space="preserve"> IF(OR(#REF!="",#REF!= 0), "",#REF!)</f>
        <v>#REF!</v>
      </c>
    </row>
    <row r="1159" spans="1:1" x14ac:dyDescent="0.25">
      <c r="A1159" s="5" t="e">
        <f xml:space="preserve"> IF(OR(#REF!="",#REF!= 0), "",#REF!)</f>
        <v>#REF!</v>
      </c>
    </row>
    <row r="1160" spans="1:1" x14ac:dyDescent="0.25">
      <c r="A1160" s="5" t="e">
        <f xml:space="preserve"> IF(OR(#REF!="",#REF!= 0), "",#REF!)</f>
        <v>#REF!</v>
      </c>
    </row>
    <row r="1161" spans="1:1" x14ac:dyDescent="0.25">
      <c r="A1161" s="5" t="e">
        <f xml:space="preserve"> IF(OR(#REF!="",#REF!= 0), "",#REF!)</f>
        <v>#REF!</v>
      </c>
    </row>
    <row r="1162" spans="1:1" x14ac:dyDescent="0.25">
      <c r="A1162" s="5" t="e">
        <f xml:space="preserve"> IF(OR(#REF!="",#REF!= 0), "",#REF!)</f>
        <v>#REF!</v>
      </c>
    </row>
    <row r="1163" spans="1:1" x14ac:dyDescent="0.25">
      <c r="A1163" s="5" t="e">
        <f xml:space="preserve"> IF(OR(#REF!="",#REF!= 0), "",#REF!)</f>
        <v>#REF!</v>
      </c>
    </row>
    <row r="1164" spans="1:1" x14ac:dyDescent="0.25">
      <c r="A1164" s="5" t="e">
        <f xml:space="preserve"> IF(OR(#REF!="",#REF!= 0), "",#REF!)</f>
        <v>#REF!</v>
      </c>
    </row>
    <row r="1165" spans="1:1" x14ac:dyDescent="0.25">
      <c r="A1165" s="5" t="e">
        <f xml:space="preserve"> IF(OR(#REF!="",#REF!= 0), "",#REF!)</f>
        <v>#REF!</v>
      </c>
    </row>
    <row r="1166" spans="1:1" x14ac:dyDescent="0.25">
      <c r="A1166" s="5" t="e">
        <f xml:space="preserve"> IF(OR(#REF!="",#REF!= 0), "",#REF!)</f>
        <v>#REF!</v>
      </c>
    </row>
    <row r="1167" spans="1:1" x14ac:dyDescent="0.25">
      <c r="A1167" s="5" t="e">
        <f xml:space="preserve"> IF(OR(#REF!="",#REF!= 0), "",#REF!)</f>
        <v>#REF!</v>
      </c>
    </row>
    <row r="1168" spans="1:1" x14ac:dyDescent="0.25">
      <c r="A1168" s="5" t="e">
        <f xml:space="preserve"> IF(OR(#REF!="",#REF!= 0), "",#REF!)</f>
        <v>#REF!</v>
      </c>
    </row>
    <row r="1169" spans="1:1" x14ac:dyDescent="0.25">
      <c r="A1169" s="5" t="e">
        <f xml:space="preserve"> IF(OR(#REF!="",#REF!= 0), "",#REF!)</f>
        <v>#REF!</v>
      </c>
    </row>
    <row r="1170" spans="1:1" x14ac:dyDescent="0.25">
      <c r="A1170" s="5" t="e">
        <f xml:space="preserve"> IF(OR(#REF!="",#REF!= 0), "",#REF!)</f>
        <v>#REF!</v>
      </c>
    </row>
    <row r="1171" spans="1:1" x14ac:dyDescent="0.25">
      <c r="A1171" s="5" t="e">
        <f xml:space="preserve"> IF(OR(#REF!="",#REF!= 0), "",#REF!)</f>
        <v>#REF!</v>
      </c>
    </row>
    <row r="1172" spans="1:1" x14ac:dyDescent="0.25">
      <c r="A1172" s="5" t="e">
        <f xml:space="preserve"> IF(OR(#REF!="",#REF!= 0), "",#REF!)</f>
        <v>#REF!</v>
      </c>
    </row>
    <row r="1173" spans="1:1" x14ac:dyDescent="0.25">
      <c r="A1173" s="5" t="e">
        <f xml:space="preserve"> IF(OR(#REF!="",#REF!= 0), "",#REF!)</f>
        <v>#REF!</v>
      </c>
    </row>
    <row r="1174" spans="1:1" x14ac:dyDescent="0.25">
      <c r="A1174" s="5" t="e">
        <f xml:space="preserve"> IF(OR(#REF!="",#REF!= 0), "",#REF!)</f>
        <v>#REF!</v>
      </c>
    </row>
    <row r="1175" spans="1:1" x14ac:dyDescent="0.25">
      <c r="A1175" s="5" t="e">
        <f xml:space="preserve"> IF(OR(#REF!="",#REF!= 0), "",#REF!)</f>
        <v>#REF!</v>
      </c>
    </row>
    <row r="1176" spans="1:1" x14ac:dyDescent="0.25">
      <c r="A1176" s="5" t="e">
        <f xml:space="preserve"> IF(OR(#REF!="",#REF!= 0), "",#REF!)</f>
        <v>#REF!</v>
      </c>
    </row>
    <row r="1177" spans="1:1" x14ac:dyDescent="0.25">
      <c r="A1177" s="5" t="e">
        <f xml:space="preserve"> IF(OR(#REF!="",#REF!= 0), "",#REF!)</f>
        <v>#REF!</v>
      </c>
    </row>
    <row r="1178" spans="1:1" x14ac:dyDescent="0.25">
      <c r="A1178" s="5" t="e">
        <f xml:space="preserve"> IF(OR(#REF!="",#REF!= 0), "",#REF!)</f>
        <v>#REF!</v>
      </c>
    </row>
    <row r="1179" spans="1:1" x14ac:dyDescent="0.25">
      <c r="A1179" s="5" t="e">
        <f xml:space="preserve"> IF(OR(#REF!="",#REF!= 0), "",#REF!)</f>
        <v>#REF!</v>
      </c>
    </row>
    <row r="1180" spans="1:1" x14ac:dyDescent="0.25">
      <c r="A1180" s="5" t="e">
        <f xml:space="preserve"> IF(OR(#REF!="",#REF!= 0), "",#REF!)</f>
        <v>#REF!</v>
      </c>
    </row>
    <row r="1181" spans="1:1" x14ac:dyDescent="0.25">
      <c r="A1181" s="5" t="e">
        <f xml:space="preserve"> IF(OR(#REF!="",#REF!= 0), "",#REF!)</f>
        <v>#REF!</v>
      </c>
    </row>
    <row r="1182" spans="1:1" x14ac:dyDescent="0.25">
      <c r="A1182" s="5" t="e">
        <f xml:space="preserve"> IF(OR(#REF!="",#REF!= 0), "",#REF!)</f>
        <v>#REF!</v>
      </c>
    </row>
    <row r="1183" spans="1:1" x14ac:dyDescent="0.25">
      <c r="A1183" s="5" t="e">
        <f xml:space="preserve"> IF(OR(#REF!="",#REF!= 0), "",#REF!)</f>
        <v>#REF!</v>
      </c>
    </row>
    <row r="1184" spans="1:1" x14ac:dyDescent="0.25">
      <c r="A1184" s="5" t="e">
        <f xml:space="preserve"> IF(OR(#REF!="",#REF!= 0), "",#REF!)</f>
        <v>#REF!</v>
      </c>
    </row>
    <row r="1185" spans="1:1" x14ac:dyDescent="0.25">
      <c r="A1185" s="5" t="e">
        <f xml:space="preserve"> IF(OR(#REF!="",#REF!= 0), "",#REF!)</f>
        <v>#REF!</v>
      </c>
    </row>
    <row r="1186" spans="1:1" x14ac:dyDescent="0.25">
      <c r="A1186" s="5" t="e">
        <f xml:space="preserve"> IF(OR(#REF!="",#REF!= 0), "",#REF!)</f>
        <v>#REF!</v>
      </c>
    </row>
    <row r="1187" spans="1:1" x14ac:dyDescent="0.25">
      <c r="A1187" s="5" t="e">
        <f xml:space="preserve"> IF(OR(#REF!="",#REF!= 0), "",#REF!)</f>
        <v>#REF!</v>
      </c>
    </row>
    <row r="1188" spans="1:1" x14ac:dyDescent="0.25">
      <c r="A1188" s="5" t="e">
        <f xml:space="preserve"> IF(OR(#REF!="",#REF!= 0), "",#REF!)</f>
        <v>#REF!</v>
      </c>
    </row>
    <row r="1189" spans="1:1" x14ac:dyDescent="0.25">
      <c r="A1189" s="5" t="e">
        <f xml:space="preserve"> IF(OR(#REF!="",#REF!= 0), "",#REF!)</f>
        <v>#REF!</v>
      </c>
    </row>
  </sheetData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23"/>
  <dimension ref="A1:B57"/>
  <sheetViews>
    <sheetView workbookViewId="0">
      <selection activeCell="H49" sqref="H49"/>
    </sheetView>
  </sheetViews>
  <sheetFormatPr defaultRowHeight="15" x14ac:dyDescent="0.25"/>
  <cols>
    <col min="1" max="1" width="14.28515625" style="4" customWidth="1"/>
    <col min="2" max="2" width="18.7109375" style="4" customWidth="1"/>
    <col min="3" max="16384" width="9.140625" style="4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4.5999999999999996</v>
      </c>
      <c r="B2" s="14">
        <v>3.88E-4</v>
      </c>
    </row>
    <row r="3" spans="1:2" x14ac:dyDescent="0.25">
      <c r="A3" s="14">
        <v>4.8</v>
      </c>
      <c r="B3" s="14">
        <v>2.8600000000000001E-4</v>
      </c>
    </row>
    <row r="4" spans="1:2" x14ac:dyDescent="0.25">
      <c r="A4" s="14">
        <v>5</v>
      </c>
      <c r="B4" s="14">
        <v>4.86E-4</v>
      </c>
    </row>
    <row r="5" spans="1:2" x14ac:dyDescent="0.25">
      <c r="A5" s="14">
        <v>5.2</v>
      </c>
      <c r="B5" s="14">
        <v>5.7600000000000001E-4</v>
      </c>
    </row>
    <row r="6" spans="1:2" x14ac:dyDescent="0.25">
      <c r="A6" s="14">
        <v>5.4</v>
      </c>
      <c r="B6" s="14">
        <v>1.14E-3</v>
      </c>
    </row>
    <row r="7" spans="1:2" x14ac:dyDescent="0.25">
      <c r="A7" s="14">
        <v>5.6</v>
      </c>
      <c r="B7" s="14">
        <v>2.0400000000000001E-3</v>
      </c>
    </row>
    <row r="8" spans="1:2" x14ac:dyDescent="0.25">
      <c r="A8" s="14">
        <v>5.8</v>
      </c>
      <c r="B8" s="14">
        <v>3.3800000000000002E-3</v>
      </c>
    </row>
    <row r="9" spans="1:2" x14ac:dyDescent="0.25">
      <c r="A9" s="14">
        <v>6</v>
      </c>
      <c r="B9" s="14">
        <v>6.0600000000000003E-3</v>
      </c>
    </row>
    <row r="10" spans="1:2" x14ac:dyDescent="0.25">
      <c r="A10" s="14">
        <v>6.2</v>
      </c>
      <c r="B10" s="14">
        <v>9.2899999999999996E-3</v>
      </c>
    </row>
    <row r="11" spans="1:2" x14ac:dyDescent="0.25">
      <c r="A11" s="14">
        <v>6.4</v>
      </c>
      <c r="B11" s="14">
        <v>1.47E-2</v>
      </c>
    </row>
    <row r="12" spans="1:2" x14ac:dyDescent="0.25">
      <c r="A12" s="14">
        <v>6.6</v>
      </c>
      <c r="B12" s="14">
        <v>2.01E-2</v>
      </c>
    </row>
    <row r="13" spans="1:2" x14ac:dyDescent="0.25">
      <c r="A13" s="14">
        <v>6.8</v>
      </c>
      <c r="B13" s="14">
        <v>2.75E-2</v>
      </c>
    </row>
    <row r="14" spans="1:2" x14ac:dyDescent="0.25">
      <c r="A14" s="14">
        <v>7</v>
      </c>
      <c r="B14" s="14">
        <v>3.5000000000000003E-2</v>
      </c>
    </row>
    <row r="15" spans="1:2" x14ac:dyDescent="0.25">
      <c r="A15" s="14">
        <v>7.2</v>
      </c>
      <c r="B15" s="14">
        <v>4.1300000000000003E-2</v>
      </c>
    </row>
    <row r="16" spans="1:2" x14ac:dyDescent="0.25">
      <c r="A16" s="14">
        <v>7.4</v>
      </c>
      <c r="B16" s="14">
        <v>4.8300000000000003E-2</v>
      </c>
    </row>
    <row r="17" spans="1:2" x14ac:dyDescent="0.25">
      <c r="A17" s="14">
        <v>7.6</v>
      </c>
      <c r="B17" s="14">
        <v>5.6800000000000003E-2</v>
      </c>
    </row>
    <row r="18" spans="1:2" x14ac:dyDescent="0.25">
      <c r="A18" s="14">
        <v>7.8</v>
      </c>
      <c r="B18" s="14">
        <v>6.3500000000000001E-2</v>
      </c>
    </row>
    <row r="19" spans="1:2" x14ac:dyDescent="0.25">
      <c r="A19" s="14">
        <v>8</v>
      </c>
      <c r="B19" s="14">
        <v>6.9800000000000001E-2</v>
      </c>
    </row>
    <row r="20" spans="1:2" x14ac:dyDescent="0.25">
      <c r="A20" s="14">
        <v>8.1999999999999993</v>
      </c>
      <c r="B20" s="14">
        <v>7.4300000000000005E-2</v>
      </c>
    </row>
    <row r="21" spans="1:2" x14ac:dyDescent="0.25">
      <c r="A21" s="14">
        <v>8.4</v>
      </c>
      <c r="B21" s="14">
        <v>7.6700000000000004E-2</v>
      </c>
    </row>
    <row r="22" spans="1:2" x14ac:dyDescent="0.25">
      <c r="A22" s="14">
        <v>8.6</v>
      </c>
      <c r="B22" s="14">
        <v>7.7100000000000002E-2</v>
      </c>
    </row>
    <row r="23" spans="1:2" x14ac:dyDescent="0.25">
      <c r="A23" s="14">
        <v>8.8000000000000007</v>
      </c>
      <c r="B23" s="14">
        <v>7.6399999999999996E-2</v>
      </c>
    </row>
    <row r="24" spans="1:2" x14ac:dyDescent="0.25">
      <c r="A24" s="14">
        <v>9</v>
      </c>
      <c r="B24" s="14">
        <v>7.2400000000000006E-2</v>
      </c>
    </row>
    <row r="25" spans="1:2" x14ac:dyDescent="0.25">
      <c r="A25" s="14">
        <v>9.1999999999999993</v>
      </c>
      <c r="B25" s="14">
        <v>6.7199999999999996E-2</v>
      </c>
    </row>
    <row r="26" spans="1:2" x14ac:dyDescent="0.25">
      <c r="A26" s="14">
        <v>9.4</v>
      </c>
      <c r="B26" s="14">
        <v>5.9200000000000003E-2</v>
      </c>
    </row>
    <row r="27" spans="1:2" x14ac:dyDescent="0.25">
      <c r="A27" s="14">
        <v>9.6</v>
      </c>
      <c r="B27" s="14">
        <v>4.8399999999999999E-2</v>
      </c>
    </row>
    <row r="28" spans="1:2" x14ac:dyDescent="0.25">
      <c r="A28" s="14">
        <v>9.8000000000000007</v>
      </c>
      <c r="B28" s="14">
        <v>3.4700000000000002E-2</v>
      </c>
    </row>
    <row r="29" spans="1:2" x14ac:dyDescent="0.25">
      <c r="A29" s="14">
        <v>10</v>
      </c>
      <c r="B29" s="14">
        <v>1.2800000000000001E-2</v>
      </c>
    </row>
    <row r="30" spans="1:2" x14ac:dyDescent="0.25">
      <c r="A30" s="14">
        <v>10.199999999999999</v>
      </c>
      <c r="B30" s="14">
        <v>2.26E-5</v>
      </c>
    </row>
    <row r="31" spans="1:2" x14ac:dyDescent="0.25">
      <c r="A31" s="14">
        <v>10.4</v>
      </c>
      <c r="B31" s="14">
        <v>5.2200000000000002E-5</v>
      </c>
    </row>
    <row r="32" spans="1:2" x14ac:dyDescent="0.25">
      <c r="A32" s="14">
        <v>10.6</v>
      </c>
      <c r="B32" s="14">
        <v>4.7500000000000003E-6</v>
      </c>
    </row>
    <row r="33" spans="1:2" x14ac:dyDescent="0.25">
      <c r="A33" s="14">
        <v>10.8</v>
      </c>
      <c r="B33" s="14">
        <v>6.81E-6</v>
      </c>
    </row>
    <row r="34" spans="1:2" x14ac:dyDescent="0.25">
      <c r="A34" s="14">
        <v>11</v>
      </c>
      <c r="B34" s="14">
        <v>9.4600000000000003E-7</v>
      </c>
    </row>
    <row r="35" spans="1:2" x14ac:dyDescent="0.25">
      <c r="A35" s="14">
        <v>11.2</v>
      </c>
      <c r="B35" s="14">
        <v>5.4399999999999996E-6</v>
      </c>
    </row>
    <row r="36" spans="1:2" x14ac:dyDescent="0.25">
      <c r="A36" s="14">
        <v>11.4</v>
      </c>
      <c r="B36" s="14">
        <v>2.8200000000000001E-6</v>
      </c>
    </row>
    <row r="37" spans="1:2" x14ac:dyDescent="0.25">
      <c r="A37" s="14">
        <v>11.6</v>
      </c>
      <c r="B37" s="14">
        <v>4.7700000000000001E-6</v>
      </c>
    </row>
    <row r="38" spans="1:2" x14ac:dyDescent="0.25">
      <c r="A38" s="14">
        <v>11.8</v>
      </c>
      <c r="B38" s="14">
        <v>2.1900000000000002E-6</v>
      </c>
    </row>
    <row r="39" spans="1:2" x14ac:dyDescent="0.25">
      <c r="A39" s="14">
        <v>12</v>
      </c>
      <c r="B39" s="14">
        <v>1.72E-6</v>
      </c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</sheetData>
  <dataConsolidate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4"/>
  <dimension ref="A1:B57"/>
  <sheetViews>
    <sheetView workbookViewId="0">
      <selection activeCell="J28" sqref="J28"/>
    </sheetView>
  </sheetViews>
  <sheetFormatPr defaultRowHeight="15" x14ac:dyDescent="0.25"/>
  <cols>
    <col min="1" max="1" width="14.28515625" style="4" customWidth="1"/>
    <col min="2" max="2" width="18.7109375" style="4" customWidth="1"/>
    <col min="3" max="16384" width="9.140625" style="4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6</v>
      </c>
      <c r="B2" s="14">
        <v>6.1300000000000005E-4</v>
      </c>
    </row>
    <row r="3" spans="1:2" x14ac:dyDescent="0.25">
      <c r="A3" s="14">
        <v>6.2</v>
      </c>
      <c r="B3" s="14">
        <v>3.7800000000000003E-4</v>
      </c>
    </row>
    <row r="4" spans="1:2" x14ac:dyDescent="0.25">
      <c r="A4" s="14">
        <v>6.4</v>
      </c>
      <c r="B4" s="14">
        <v>4.0999999999999999E-4</v>
      </c>
    </row>
    <row r="5" spans="1:2" x14ac:dyDescent="0.25">
      <c r="A5" s="14">
        <v>6.6</v>
      </c>
      <c r="B5" s="14">
        <v>4.5899999999999999E-4</v>
      </c>
    </row>
    <row r="6" spans="1:2" x14ac:dyDescent="0.25">
      <c r="A6" s="14">
        <v>6.8</v>
      </c>
      <c r="B6" s="14">
        <v>3.1E-4</v>
      </c>
    </row>
    <row r="7" spans="1:2" x14ac:dyDescent="0.25">
      <c r="A7" s="14">
        <v>7</v>
      </c>
      <c r="B7" s="14">
        <v>2.7E-4</v>
      </c>
    </row>
    <row r="8" spans="1:2" x14ac:dyDescent="0.25">
      <c r="A8" s="14">
        <v>7.2</v>
      </c>
      <c r="B8" s="14">
        <v>2.4600000000000002E-4</v>
      </c>
    </row>
    <row r="9" spans="1:2" x14ac:dyDescent="0.25">
      <c r="A9" s="14">
        <v>7.4</v>
      </c>
      <c r="B9" s="14">
        <v>7.0299999999999996E-4</v>
      </c>
    </row>
    <row r="10" spans="1:2" x14ac:dyDescent="0.25">
      <c r="A10" s="14">
        <v>7.6</v>
      </c>
      <c r="B10" s="14">
        <v>4.8299999999999998E-4</v>
      </c>
    </row>
    <row r="11" spans="1:2" x14ac:dyDescent="0.25">
      <c r="A11" s="14">
        <v>7.8</v>
      </c>
      <c r="B11" s="14">
        <v>7.9799999999999999E-4</v>
      </c>
    </row>
    <row r="12" spans="1:2" x14ac:dyDescent="0.25">
      <c r="A12" s="14">
        <v>8</v>
      </c>
      <c r="B12" s="14">
        <v>9.4899999999999997E-4</v>
      </c>
    </row>
    <row r="13" spans="1:2" x14ac:dyDescent="0.25">
      <c r="A13" s="14">
        <v>8.1999999999999993</v>
      </c>
      <c r="B13" s="14">
        <v>1.9499999999999999E-3</v>
      </c>
    </row>
    <row r="14" spans="1:2" x14ac:dyDescent="0.25">
      <c r="A14" s="14">
        <v>8.4</v>
      </c>
      <c r="B14" s="14">
        <v>1.2500000000000001E-2</v>
      </c>
    </row>
    <row r="15" spans="1:2" x14ac:dyDescent="0.25">
      <c r="A15" s="14">
        <v>8.6</v>
      </c>
      <c r="B15" s="14">
        <v>6.4700000000000001E-3</v>
      </c>
    </row>
    <row r="16" spans="1:2" x14ac:dyDescent="0.25">
      <c r="A16" s="14">
        <v>8.8000000000000007</v>
      </c>
      <c r="B16" s="14">
        <v>4.5399999999999998E-3</v>
      </c>
    </row>
    <row r="17" spans="1:2" x14ac:dyDescent="0.25">
      <c r="A17" s="14">
        <v>9</v>
      </c>
      <c r="B17" s="14">
        <v>6.3299999999999997E-3</v>
      </c>
    </row>
    <row r="18" spans="1:2" x14ac:dyDescent="0.25">
      <c r="A18" s="14">
        <v>9.1999999999999993</v>
      </c>
      <c r="B18" s="14">
        <v>8.3700000000000007E-3</v>
      </c>
    </row>
    <row r="19" spans="1:2" x14ac:dyDescent="0.25">
      <c r="A19" s="14">
        <v>9.4</v>
      </c>
      <c r="B19" s="14">
        <v>1.0200000000000001E-2</v>
      </c>
    </row>
    <row r="20" spans="1:2" x14ac:dyDescent="0.25">
      <c r="A20" s="14">
        <v>9.6</v>
      </c>
      <c r="B20" s="14">
        <v>3.04E-2</v>
      </c>
    </row>
    <row r="21" spans="1:2" x14ac:dyDescent="0.25">
      <c r="A21" s="14">
        <v>9.8000000000000007</v>
      </c>
      <c r="B21" s="14">
        <v>4.02E-2</v>
      </c>
    </row>
    <row r="22" spans="1:2" x14ac:dyDescent="0.25">
      <c r="A22" s="14">
        <v>10</v>
      </c>
      <c r="B22" s="14">
        <v>4.2099999999999999E-2</v>
      </c>
    </row>
    <row r="23" spans="1:2" x14ac:dyDescent="0.25">
      <c r="A23" s="14">
        <v>10.199999999999999</v>
      </c>
      <c r="B23" s="14">
        <v>2.4799999999999999E-2</v>
      </c>
    </row>
    <row r="24" spans="1:2" x14ac:dyDescent="0.25">
      <c r="A24" s="14">
        <v>10.4</v>
      </c>
      <c r="B24" s="14">
        <v>2.3400000000000001E-2</v>
      </c>
    </row>
    <row r="25" spans="1:2" x14ac:dyDescent="0.25">
      <c r="A25" s="14">
        <v>10.6</v>
      </c>
      <c r="B25" s="14">
        <v>2.5700000000000001E-2</v>
      </c>
    </row>
    <row r="26" spans="1:2" x14ac:dyDescent="0.25">
      <c r="A26" s="14">
        <v>10.8</v>
      </c>
      <c r="B26" s="14">
        <v>2.9600000000000001E-2</v>
      </c>
    </row>
    <row r="27" spans="1:2" x14ac:dyDescent="0.25">
      <c r="A27" s="14">
        <v>11</v>
      </c>
      <c r="B27" s="14">
        <v>3.1300000000000001E-2</v>
      </c>
    </row>
    <row r="28" spans="1:2" x14ac:dyDescent="0.25">
      <c r="A28" s="14">
        <v>11.2</v>
      </c>
      <c r="B28" s="14">
        <v>4.1200000000000001E-2</v>
      </c>
    </row>
    <row r="29" spans="1:2" x14ac:dyDescent="0.25">
      <c r="A29" s="14">
        <v>11.4</v>
      </c>
      <c r="B29" s="14">
        <v>4.9799999999999997E-2</v>
      </c>
    </row>
    <row r="30" spans="1:2" x14ac:dyDescent="0.25">
      <c r="A30" s="14">
        <v>11.6</v>
      </c>
      <c r="B30" s="14">
        <v>4.1599999999999998E-2</v>
      </c>
    </row>
    <row r="31" spans="1:2" x14ac:dyDescent="0.25">
      <c r="A31" s="14">
        <v>11.8</v>
      </c>
      <c r="B31" s="14">
        <v>4.2299999999999997E-2</v>
      </c>
    </row>
    <row r="32" spans="1:2" x14ac:dyDescent="0.25">
      <c r="A32" s="14">
        <v>12</v>
      </c>
      <c r="B32" s="14">
        <v>4.1599999999999998E-2</v>
      </c>
    </row>
    <row r="33" spans="1:2" x14ac:dyDescent="0.25">
      <c r="A33" s="14">
        <v>12.2</v>
      </c>
      <c r="B33" s="14">
        <v>4.2000000000000003E-2</v>
      </c>
    </row>
    <row r="34" spans="1:2" x14ac:dyDescent="0.25">
      <c r="A34" s="14">
        <v>12.4</v>
      </c>
      <c r="B34" s="14">
        <v>4.2799999999999998E-2</v>
      </c>
    </row>
    <row r="35" spans="1:2" x14ac:dyDescent="0.25">
      <c r="A35" s="14">
        <v>12.6</v>
      </c>
      <c r="B35" s="14">
        <v>4.1799999999999997E-2</v>
      </c>
    </row>
    <row r="36" spans="1:2" x14ac:dyDescent="0.25">
      <c r="A36" s="14">
        <v>12.8</v>
      </c>
      <c r="B36" s="14">
        <v>4.24E-2</v>
      </c>
    </row>
    <row r="37" spans="1:2" x14ac:dyDescent="0.25">
      <c r="A37" s="14">
        <v>13</v>
      </c>
      <c r="B37" s="14">
        <v>4.1000000000000002E-2</v>
      </c>
    </row>
    <row r="38" spans="1:2" x14ac:dyDescent="0.25">
      <c r="A38" s="14">
        <v>13.2</v>
      </c>
      <c r="B38" s="14">
        <v>4.0599999999999997E-2</v>
      </c>
    </row>
    <row r="39" spans="1:2" x14ac:dyDescent="0.25">
      <c r="A39" s="14">
        <v>13.4</v>
      </c>
      <c r="B39" s="14">
        <v>3.8300000000000001E-2</v>
      </c>
    </row>
    <row r="40" spans="1:2" x14ac:dyDescent="0.25">
      <c r="A40" s="14">
        <v>13.6</v>
      </c>
      <c r="B40" s="14">
        <v>3.6700000000000003E-2</v>
      </c>
    </row>
    <row r="41" spans="1:2" x14ac:dyDescent="0.25">
      <c r="A41" s="14">
        <v>13.8</v>
      </c>
      <c r="B41" s="14">
        <v>3.4599999999999999E-2</v>
      </c>
    </row>
    <row r="42" spans="1:2" x14ac:dyDescent="0.25">
      <c r="A42" s="14">
        <v>14</v>
      </c>
      <c r="B42" s="14">
        <v>3.1600000000000003E-2</v>
      </c>
    </row>
    <row r="43" spans="1:2" x14ac:dyDescent="0.25">
      <c r="A43" s="14">
        <v>14.2</v>
      </c>
      <c r="B43" s="14">
        <v>2.7199999999999998E-2</v>
      </c>
    </row>
    <row r="44" spans="1:2" x14ac:dyDescent="0.25">
      <c r="A44" s="14">
        <v>14.4</v>
      </c>
      <c r="B44" s="14">
        <v>2.4E-2</v>
      </c>
    </row>
    <row r="45" spans="1:2" x14ac:dyDescent="0.25">
      <c r="A45" s="14">
        <v>14.6</v>
      </c>
      <c r="B45" s="14">
        <v>1.9300000000000001E-2</v>
      </c>
    </row>
    <row r="46" spans="1:2" x14ac:dyDescent="0.25">
      <c r="A46" s="14">
        <v>14.8</v>
      </c>
      <c r="B46" s="14">
        <v>1.3299999999999999E-2</v>
      </c>
    </row>
    <row r="47" spans="1:2" x14ac:dyDescent="0.25">
      <c r="A47" s="14">
        <v>15</v>
      </c>
      <c r="B47" s="14">
        <v>4.5599999999999998E-3</v>
      </c>
    </row>
    <row r="48" spans="1:2" x14ac:dyDescent="0.25">
      <c r="A48" s="14">
        <v>15.2</v>
      </c>
      <c r="B48" s="14">
        <v>4.7500000000000003E-5</v>
      </c>
    </row>
    <row r="49" spans="1:2" x14ac:dyDescent="0.25">
      <c r="A49" s="14">
        <v>15.4</v>
      </c>
      <c r="B49" s="14">
        <v>1.63E-5</v>
      </c>
    </row>
    <row r="50" spans="1:2" x14ac:dyDescent="0.25">
      <c r="A50" s="14">
        <v>15.6</v>
      </c>
      <c r="B50" s="14">
        <v>2.1100000000000001E-5</v>
      </c>
    </row>
    <row r="51" spans="1:2" x14ac:dyDescent="0.25">
      <c r="A51" s="14">
        <v>15.8</v>
      </c>
      <c r="B51" s="14">
        <v>4.9599999999999999E-6</v>
      </c>
    </row>
    <row r="52" spans="1:2" x14ac:dyDescent="0.25">
      <c r="A52" s="14">
        <v>16</v>
      </c>
      <c r="B52" s="14">
        <v>7.0500000000000003E-6</v>
      </c>
    </row>
    <row r="53" spans="1:2" x14ac:dyDescent="0.25">
      <c r="A53" s="14">
        <v>16.2</v>
      </c>
      <c r="B53" s="14">
        <v>2.6000000000000001E-6</v>
      </c>
    </row>
    <row r="54" spans="1:2" x14ac:dyDescent="0.25">
      <c r="A54" s="14">
        <v>16.399999999999999</v>
      </c>
      <c r="B54" s="14">
        <v>2.2299999999999998E-6</v>
      </c>
    </row>
    <row r="55" spans="1:2" x14ac:dyDescent="0.25">
      <c r="A55" s="14">
        <v>16.600000000000001</v>
      </c>
      <c r="B55" s="14">
        <v>4.2799999999999997E-6</v>
      </c>
    </row>
    <row r="56" spans="1:2" x14ac:dyDescent="0.25">
      <c r="A56" s="14">
        <v>16.8</v>
      </c>
      <c r="B56" s="14">
        <v>1.55E-6</v>
      </c>
    </row>
    <row r="57" spans="1:2" x14ac:dyDescent="0.25">
      <c r="A57" s="14">
        <v>17</v>
      </c>
      <c r="B57" s="14">
        <v>1.5400000000000001E-6</v>
      </c>
    </row>
  </sheetData>
  <dataConsolidate/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0"/>
  <dimension ref="A1:H23"/>
  <sheetViews>
    <sheetView workbookViewId="0">
      <selection activeCell="K14" sqref="K14"/>
    </sheetView>
  </sheetViews>
  <sheetFormatPr defaultRowHeight="15" x14ac:dyDescent="0.25"/>
  <cols>
    <col min="1" max="16384" width="9.140625" style="4"/>
  </cols>
  <sheetData>
    <row r="1" spans="1:8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6">
        <v>3</v>
      </c>
      <c r="B2" s="7">
        <v>0.32</v>
      </c>
      <c r="C2" s="7">
        <v>0.309</v>
      </c>
      <c r="D2" s="7">
        <v>0.26800000000000002</v>
      </c>
      <c r="E2" s="7">
        <v>0.192</v>
      </c>
      <c r="F2" s="7">
        <v>9.6000000000000002E-2</v>
      </c>
      <c r="G2" s="7">
        <v>0.01</v>
      </c>
      <c r="H2" s="16"/>
    </row>
    <row r="3" spans="1:8" x14ac:dyDescent="0.25">
      <c r="A3" s="16">
        <v>4</v>
      </c>
      <c r="B3" s="7">
        <v>0.58699999999999997</v>
      </c>
      <c r="C3" s="7">
        <v>0.57799999999999996</v>
      </c>
      <c r="D3" s="7">
        <v>0.54200000000000004</v>
      </c>
      <c r="E3" s="7">
        <v>0.46700000000000003</v>
      </c>
      <c r="F3" s="7">
        <v>0.34499999999999997</v>
      </c>
      <c r="G3" s="7">
        <v>0.13</v>
      </c>
      <c r="H3" s="16"/>
    </row>
    <row r="4" spans="1:8" x14ac:dyDescent="0.25">
      <c r="A4" s="16">
        <v>5</v>
      </c>
      <c r="B4" s="7">
        <v>0.755</v>
      </c>
      <c r="C4" s="7">
        <v>0.749</v>
      </c>
      <c r="D4" s="7">
        <v>0.72299999999999998</v>
      </c>
      <c r="E4" s="7">
        <v>0.67500000000000004</v>
      </c>
      <c r="F4" s="7">
        <v>0.57799999999999996</v>
      </c>
      <c r="G4" s="7">
        <v>0.34699999999999998</v>
      </c>
      <c r="H4" s="16"/>
    </row>
    <row r="5" spans="1:8" x14ac:dyDescent="0.25">
      <c r="A5" s="16">
        <v>6</v>
      </c>
      <c r="B5" s="7">
        <v>0.84199999999999997</v>
      </c>
      <c r="C5" s="7">
        <v>0.83799999999999997</v>
      </c>
      <c r="D5" s="7">
        <v>0.82899999999999996</v>
      </c>
      <c r="E5" s="7">
        <v>0.79</v>
      </c>
      <c r="F5" s="7">
        <v>0.72199999999999998</v>
      </c>
      <c r="G5" s="7">
        <v>0.54400000000000004</v>
      </c>
      <c r="H5" s="16"/>
    </row>
    <row r="6" spans="1:8" x14ac:dyDescent="0.25">
      <c r="A6" s="16">
        <v>8</v>
      </c>
      <c r="B6" s="7">
        <v>0.92</v>
      </c>
      <c r="C6" s="7">
        <v>0.91800000000000004</v>
      </c>
      <c r="D6" s="7">
        <v>0.90500000000000003</v>
      </c>
      <c r="E6" s="7">
        <v>0.89700000000000002</v>
      </c>
      <c r="F6" s="7">
        <v>0.85799999999999998</v>
      </c>
      <c r="G6" s="7">
        <v>0.76500000000000001</v>
      </c>
      <c r="H6" s="16"/>
    </row>
    <row r="7" spans="1:8" x14ac:dyDescent="0.25">
      <c r="A7" s="16">
        <v>10</v>
      </c>
      <c r="B7" s="7">
        <v>0.97</v>
      </c>
      <c r="C7" s="7">
        <v>0.97399999999999998</v>
      </c>
      <c r="D7" s="7">
        <v>0.97599999999999998</v>
      </c>
      <c r="E7" s="7">
        <v>0.97199999999999998</v>
      </c>
      <c r="F7" s="7">
        <v>0.96699999999999997</v>
      </c>
      <c r="G7" s="7">
        <v>0.97199999999999998</v>
      </c>
      <c r="H7" s="16"/>
    </row>
    <row r="8" spans="1:8" x14ac:dyDescent="0.25">
      <c r="A8" s="16">
        <v>20</v>
      </c>
      <c r="B8" s="7">
        <v>1.05</v>
      </c>
      <c r="C8" s="7">
        <v>1.05</v>
      </c>
      <c r="D8" s="7">
        <v>1.03</v>
      </c>
      <c r="E8" s="7">
        <v>1.04</v>
      </c>
      <c r="F8" s="7">
        <v>1.01</v>
      </c>
      <c r="G8" s="7">
        <v>0.98499999999999999</v>
      </c>
      <c r="H8" s="16"/>
    </row>
    <row r="9" spans="1:8" x14ac:dyDescent="0.25">
      <c r="A9" s="16">
        <v>30</v>
      </c>
      <c r="B9" s="7">
        <v>1.22</v>
      </c>
      <c r="C9" s="7">
        <v>1.22</v>
      </c>
      <c r="D9" s="7">
        <v>1.2</v>
      </c>
      <c r="E9" s="7">
        <v>1.1599999999999999</v>
      </c>
      <c r="F9" s="7">
        <v>1.1100000000000001</v>
      </c>
      <c r="G9" s="7">
        <v>1.05</v>
      </c>
      <c r="H9" s="16"/>
    </row>
    <row r="10" spans="1:8" x14ac:dyDescent="0.25">
      <c r="A10" s="16">
        <v>40</v>
      </c>
      <c r="B10" s="7">
        <v>1.44</v>
      </c>
      <c r="C10" s="7">
        <v>1.43</v>
      </c>
      <c r="D10" s="7">
        <v>1.4</v>
      </c>
      <c r="E10" s="7">
        <v>1.33</v>
      </c>
      <c r="F10" s="7">
        <v>1.23</v>
      </c>
      <c r="G10" s="7">
        <v>1.1599999999999999</v>
      </c>
      <c r="H10" s="16"/>
    </row>
    <row r="11" spans="1:8" x14ac:dyDescent="0.25">
      <c r="A11" s="16">
        <v>50</v>
      </c>
      <c r="B11" s="7">
        <v>1.62</v>
      </c>
      <c r="C11" s="7">
        <v>1.6</v>
      </c>
      <c r="D11" s="7">
        <v>1.55</v>
      </c>
      <c r="E11" s="7">
        <v>1.48</v>
      </c>
      <c r="F11" s="7">
        <v>1.35</v>
      </c>
      <c r="G11" s="7">
        <v>1.25</v>
      </c>
      <c r="H11" s="16"/>
    </row>
    <row r="12" spans="1:8" x14ac:dyDescent="0.25">
      <c r="A12" s="16">
        <v>60</v>
      </c>
      <c r="B12" s="7">
        <v>1.71</v>
      </c>
      <c r="C12" s="7">
        <v>1.68</v>
      </c>
      <c r="D12" s="7">
        <v>1.64</v>
      </c>
      <c r="E12" s="7">
        <v>1.56</v>
      </c>
      <c r="F12" s="7">
        <v>1.43</v>
      </c>
      <c r="G12" s="7">
        <v>1.32</v>
      </c>
      <c r="H12" s="16"/>
    </row>
    <row r="13" spans="1:8" x14ac:dyDescent="0.25">
      <c r="A13" s="16">
        <v>70</v>
      </c>
      <c r="B13" s="7">
        <v>1.71</v>
      </c>
      <c r="C13" s="7">
        <v>1.7</v>
      </c>
      <c r="D13" s="7">
        <v>1.66</v>
      </c>
      <c r="E13" s="7">
        <v>1.58</v>
      </c>
      <c r="F13" s="7">
        <v>1.46</v>
      </c>
      <c r="G13" s="7">
        <v>1.4</v>
      </c>
      <c r="H13" s="16"/>
    </row>
    <row r="14" spans="1:8" x14ac:dyDescent="0.25">
      <c r="A14" s="16">
        <v>80</v>
      </c>
      <c r="B14" s="7">
        <v>1.73</v>
      </c>
      <c r="C14" s="7">
        <v>1.71</v>
      </c>
      <c r="D14" s="7">
        <v>1.67</v>
      </c>
      <c r="E14" s="7">
        <v>1.61</v>
      </c>
      <c r="F14" s="7">
        <v>1.49</v>
      </c>
      <c r="G14" s="7">
        <v>1.39</v>
      </c>
      <c r="H14" s="16"/>
    </row>
    <row r="15" spans="1:8" x14ac:dyDescent="0.25">
      <c r="A15" s="16">
        <v>100</v>
      </c>
      <c r="B15" s="7">
        <v>1.66</v>
      </c>
      <c r="C15" s="7">
        <v>1.65</v>
      </c>
      <c r="D15" s="7">
        <v>1.63</v>
      </c>
      <c r="E15" s="7">
        <v>1.58</v>
      </c>
      <c r="F15" s="7">
        <v>1.48</v>
      </c>
      <c r="G15" s="7">
        <v>1.4</v>
      </c>
      <c r="H15" s="16"/>
    </row>
    <row r="16" spans="1:8" x14ac:dyDescent="0.25">
      <c r="A16" s="16">
        <v>150</v>
      </c>
      <c r="B16" s="7">
        <v>1.53</v>
      </c>
      <c r="C16" s="7">
        <v>1.52</v>
      </c>
      <c r="D16" s="7">
        <v>1.51</v>
      </c>
      <c r="E16" s="7">
        <v>1.49</v>
      </c>
      <c r="F16" s="7">
        <v>1.44</v>
      </c>
      <c r="G16" s="7">
        <v>1.39</v>
      </c>
      <c r="H16" s="16"/>
    </row>
    <row r="17" spans="1:8" x14ac:dyDescent="0.25">
      <c r="A17" s="16">
        <v>200</v>
      </c>
      <c r="B17" s="7">
        <v>1.43</v>
      </c>
      <c r="C17" s="7">
        <v>1.43</v>
      </c>
      <c r="D17" s="7">
        <v>1.44</v>
      </c>
      <c r="E17" s="7">
        <v>1.43</v>
      </c>
      <c r="F17" s="7">
        <v>1.4</v>
      </c>
      <c r="G17" s="7">
        <v>1.36</v>
      </c>
      <c r="H17" s="16"/>
    </row>
    <row r="18" spans="1:8" x14ac:dyDescent="0.25">
      <c r="A18" s="16">
        <v>300</v>
      </c>
      <c r="B18" s="7">
        <v>1.34</v>
      </c>
      <c r="C18" s="7">
        <v>1.34</v>
      </c>
      <c r="D18" s="7">
        <v>1.35</v>
      </c>
      <c r="E18" s="7">
        <v>1.36</v>
      </c>
      <c r="F18" s="7">
        <v>1.36</v>
      </c>
      <c r="G18" s="7">
        <v>1.35</v>
      </c>
      <c r="H18" s="16"/>
    </row>
    <row r="19" spans="1:8" x14ac:dyDescent="0.25">
      <c r="A19" s="16">
        <v>500</v>
      </c>
      <c r="B19" s="7">
        <v>1.25</v>
      </c>
      <c r="C19" s="7">
        <v>1.25</v>
      </c>
      <c r="D19" s="7">
        <v>1.27</v>
      </c>
      <c r="E19" s="7">
        <v>1.29</v>
      </c>
      <c r="F19" s="7">
        <v>1.3</v>
      </c>
      <c r="G19" s="7">
        <v>1.31</v>
      </c>
      <c r="H19" s="16"/>
    </row>
    <row r="20" spans="1:8" x14ac:dyDescent="0.25">
      <c r="A20" s="16">
        <v>1000</v>
      </c>
      <c r="B20" s="7">
        <v>1.17</v>
      </c>
      <c r="C20" s="7">
        <v>1.18</v>
      </c>
      <c r="D20" s="7">
        <v>1.19</v>
      </c>
      <c r="E20" s="7">
        <v>1.21</v>
      </c>
      <c r="F20" s="7">
        <v>1.25</v>
      </c>
      <c r="G20" s="7">
        <v>1.25</v>
      </c>
      <c r="H20" s="16"/>
    </row>
    <row r="21" spans="1:8" x14ac:dyDescent="0.25">
      <c r="A21" s="16">
        <v>3000</v>
      </c>
      <c r="B21" s="7">
        <v>1.1200000000000001</v>
      </c>
      <c r="C21" s="7">
        <v>1.1299999999999999</v>
      </c>
      <c r="D21" s="7">
        <v>1.1299999999999999</v>
      </c>
      <c r="E21" s="7">
        <v>1.1499999999999999</v>
      </c>
      <c r="F21" s="7">
        <v>1.18</v>
      </c>
      <c r="G21" s="7">
        <v>1.18</v>
      </c>
      <c r="H21" s="16"/>
    </row>
    <row r="22" spans="1:8" x14ac:dyDescent="0.25">
      <c r="A22" s="16">
        <v>6000</v>
      </c>
      <c r="B22" s="7">
        <v>1.0900000000000001</v>
      </c>
      <c r="C22" s="7">
        <v>1.0900000000000001</v>
      </c>
      <c r="D22" s="7">
        <v>1.0900000000000001</v>
      </c>
      <c r="E22" s="7">
        <v>1.1000000000000001</v>
      </c>
      <c r="F22" s="7">
        <v>1.1299999999999999</v>
      </c>
      <c r="G22" s="7">
        <v>1.1599999999999999</v>
      </c>
      <c r="H22" s="16"/>
    </row>
    <row r="23" spans="1:8" x14ac:dyDescent="0.25">
      <c r="A23" s="16">
        <v>10000</v>
      </c>
      <c r="B23" s="7">
        <v>1.08</v>
      </c>
      <c r="C23" s="7">
        <v>1.08</v>
      </c>
      <c r="D23" s="7">
        <v>1.07</v>
      </c>
      <c r="E23" s="7">
        <v>1.08</v>
      </c>
      <c r="F23" s="7">
        <v>1.0900000000000001</v>
      </c>
      <c r="G23" s="7">
        <v>1.1000000000000001</v>
      </c>
      <c r="H23" s="16"/>
    </row>
  </sheetData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:H37"/>
  <sheetViews>
    <sheetView workbookViewId="0">
      <selection activeCell="K12" sqref="K12"/>
    </sheetView>
  </sheetViews>
  <sheetFormatPr defaultRowHeight="15" x14ac:dyDescent="0.25"/>
  <cols>
    <col min="1" max="1" width="12.85546875" customWidth="1"/>
  </cols>
  <sheetData>
    <row r="1" spans="1:8" x14ac:dyDescent="0.25">
      <c r="A1" s="3" t="s">
        <v>15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4">
        <v>7</v>
      </c>
      <c r="B2" s="14">
        <v>1.3E-6</v>
      </c>
      <c r="C2" s="14">
        <v>9.9999999999999995E-7</v>
      </c>
      <c r="D2" s="14">
        <v>9.9999999999999995E-7</v>
      </c>
      <c r="E2" s="14">
        <v>9.9999999999999995E-7</v>
      </c>
      <c r="F2" s="14">
        <v>9.9999999999999995E-7</v>
      </c>
      <c r="G2" s="14">
        <v>9.9999999999999995E-7</v>
      </c>
    </row>
    <row r="3" spans="1:8" x14ac:dyDescent="0.25">
      <c r="A3" s="4">
        <v>8</v>
      </c>
      <c r="B3" s="14">
        <v>1.07E-4</v>
      </c>
      <c r="C3" s="14">
        <v>8.1299999999999997E-5</v>
      </c>
      <c r="D3" s="14">
        <v>2.9899999999999998E-5</v>
      </c>
      <c r="E3" s="14">
        <v>3.8E-6</v>
      </c>
      <c r="F3" s="14">
        <v>9.9999999999999995E-7</v>
      </c>
      <c r="G3" s="14">
        <v>9.9999999999999995E-7</v>
      </c>
    </row>
    <row r="4" spans="1:8" x14ac:dyDescent="0.25">
      <c r="A4" s="4">
        <v>9</v>
      </c>
      <c r="B4" s="4">
        <v>1.6299999999999999E-3</v>
      </c>
      <c r="C4" s="4">
        <v>1.3600000000000001E-3</v>
      </c>
      <c r="D4" s="14">
        <v>6.9399999999999996E-4</v>
      </c>
      <c r="E4" s="14">
        <v>1.7799999999999999E-4</v>
      </c>
      <c r="F4" s="14">
        <v>3.8E-6</v>
      </c>
      <c r="G4" s="14">
        <v>9.9999999999999995E-7</v>
      </c>
    </row>
    <row r="5" spans="1:8" x14ac:dyDescent="0.25">
      <c r="A5" s="4">
        <v>10</v>
      </c>
      <c r="B5" s="4">
        <v>8.9999999999999993E-3</v>
      </c>
      <c r="C5" s="4">
        <v>8.0000000000000002E-3</v>
      </c>
      <c r="D5" s="4">
        <v>5.0000000000000001E-3</v>
      </c>
      <c r="E5" s="4">
        <v>2E-3</v>
      </c>
      <c r="F5" s="4">
        <v>1.2E-4</v>
      </c>
      <c r="G5" s="14">
        <v>9.9999999999999995E-7</v>
      </c>
    </row>
    <row r="6" spans="1:8" x14ac:dyDescent="0.25">
      <c r="A6" s="4">
        <v>11</v>
      </c>
      <c r="B6" s="4">
        <v>3.0700000000000002E-2</v>
      </c>
      <c r="C6" s="4">
        <v>2.81E-2</v>
      </c>
      <c r="D6" s="4">
        <v>1.95E-2</v>
      </c>
      <c r="E6" s="4">
        <v>9.2300000000000004E-3</v>
      </c>
      <c r="F6" s="4">
        <v>1.16E-3</v>
      </c>
      <c r="G6" s="14">
        <v>9.9999999999999995E-7</v>
      </c>
    </row>
    <row r="7" spans="1:8" x14ac:dyDescent="0.25">
      <c r="A7" s="4">
        <v>12</v>
      </c>
      <c r="B7" s="4">
        <v>7.1599999999999997E-2</v>
      </c>
      <c r="C7" s="4">
        <v>6.6299999999999998E-2</v>
      </c>
      <c r="D7" s="4">
        <v>4.9099999999999998E-2</v>
      </c>
      <c r="E7" s="4">
        <v>2.58E-2</v>
      </c>
      <c r="F7" s="4">
        <v>5.5199999999999997E-3</v>
      </c>
      <c r="G7" s="4">
        <v>6.6000000000000005E-5</v>
      </c>
    </row>
    <row r="8" spans="1:8" x14ac:dyDescent="0.25">
      <c r="A8" s="4">
        <v>12.5</v>
      </c>
      <c r="B8" s="4">
        <v>9.8000000000000004E-2</v>
      </c>
      <c r="C8" s="4">
        <v>9.0999999999999998E-2</v>
      </c>
      <c r="D8" s="4">
        <v>6.9000000000000006E-2</v>
      </c>
      <c r="E8" s="4">
        <v>3.7999999999999999E-2</v>
      </c>
      <c r="F8" s="4">
        <v>0.01</v>
      </c>
      <c r="G8" s="4">
        <v>2.1000000000000001E-4</v>
      </c>
    </row>
    <row r="9" spans="1:8" x14ac:dyDescent="0.25">
      <c r="A9" s="4">
        <v>13</v>
      </c>
      <c r="B9" s="4">
        <v>0.13</v>
      </c>
      <c r="C9" s="4">
        <v>0.122</v>
      </c>
      <c r="D9" s="4">
        <v>9.4799999999999995E-2</v>
      </c>
      <c r="E9" s="4">
        <v>5.5300000000000002E-3</v>
      </c>
      <c r="F9" s="4">
        <v>1.6899999999999998E-2</v>
      </c>
      <c r="G9" s="4">
        <v>5.5000000000000003E-4</v>
      </c>
    </row>
    <row r="10" spans="1:8" x14ac:dyDescent="0.25">
      <c r="A10" s="4">
        <v>14</v>
      </c>
      <c r="B10" s="4">
        <v>0.19800000000000001</v>
      </c>
      <c r="C10" s="4">
        <v>0.189</v>
      </c>
      <c r="D10" s="4">
        <v>0.154</v>
      </c>
      <c r="E10" s="4">
        <v>9.9699999999999997E-2</v>
      </c>
      <c r="F10" s="4">
        <v>3.8300000000000001E-2</v>
      </c>
      <c r="G10" s="4">
        <v>2.5500000000000002E-3</v>
      </c>
    </row>
    <row r="11" spans="1:8" x14ac:dyDescent="0.25">
      <c r="A11" s="4">
        <v>15</v>
      </c>
      <c r="B11" s="4">
        <v>0.26400000000000001</v>
      </c>
      <c r="C11" s="4">
        <v>0.255</v>
      </c>
      <c r="D11" s="4">
        <v>0.217</v>
      </c>
      <c r="E11" s="4">
        <v>0.152</v>
      </c>
      <c r="F11" s="4">
        <v>6.9000000000000006E-2</v>
      </c>
      <c r="G11" s="4">
        <v>8.0000000000000002E-3</v>
      </c>
    </row>
    <row r="12" spans="1:8" x14ac:dyDescent="0.25">
      <c r="A12" s="4">
        <v>16</v>
      </c>
      <c r="B12" s="4">
        <v>0.33900000000000002</v>
      </c>
      <c r="C12" s="4">
        <v>0.32900000000000001</v>
      </c>
      <c r="D12" s="4">
        <v>0.28799999999999998</v>
      </c>
      <c r="E12" s="4">
        <v>0.215</v>
      </c>
      <c r="F12" s="4">
        <v>0.111</v>
      </c>
      <c r="G12" s="4">
        <v>1.7600000000000001E-2</v>
      </c>
    </row>
    <row r="13" spans="1:8" x14ac:dyDescent="0.25">
      <c r="A13" s="4">
        <v>17</v>
      </c>
      <c r="B13" s="4">
        <v>0.41099999999999998</v>
      </c>
      <c r="C13" s="4">
        <v>0.39900000000000002</v>
      </c>
      <c r="D13" s="4">
        <v>0.35799999999999998</v>
      </c>
      <c r="E13" s="4">
        <v>0.28000000000000003</v>
      </c>
      <c r="F13" s="4">
        <v>0.159</v>
      </c>
      <c r="G13" s="4">
        <v>3.2000000000000001E-2</v>
      </c>
    </row>
    <row r="14" spans="1:8" x14ac:dyDescent="0.25">
      <c r="A14" s="4">
        <v>17.5</v>
      </c>
      <c r="B14" s="4">
        <v>0.44500000000000001</v>
      </c>
      <c r="C14" s="4">
        <v>0.432</v>
      </c>
      <c r="D14" s="4">
        <v>0.39100000000000001</v>
      </c>
      <c r="E14" s="4">
        <v>0.312</v>
      </c>
      <c r="F14" s="4">
        <v>0.185</v>
      </c>
      <c r="G14" s="4">
        <v>4.1000000000000002E-2</v>
      </c>
    </row>
    <row r="15" spans="1:8" x14ac:dyDescent="0.25">
      <c r="A15" s="4">
        <v>18</v>
      </c>
      <c r="B15" s="4">
        <v>0.48099999999999998</v>
      </c>
      <c r="C15" s="4">
        <v>0.46800000000000003</v>
      </c>
      <c r="D15" s="4">
        <v>0.42699999999999999</v>
      </c>
      <c r="E15" s="4">
        <v>0.34499999999999997</v>
      </c>
      <c r="F15" s="4">
        <v>0.21199999999999999</v>
      </c>
      <c r="G15" s="4">
        <v>5.11E-2</v>
      </c>
    </row>
    <row r="16" spans="1:8" x14ac:dyDescent="0.25">
      <c r="A16" s="4">
        <v>19</v>
      </c>
      <c r="B16" s="4">
        <v>0.54900000000000004</v>
      </c>
      <c r="C16" s="4">
        <v>0.53600000000000003</v>
      </c>
      <c r="D16" s="4">
        <v>0.495</v>
      </c>
      <c r="E16" s="4">
        <v>0.40799999999999997</v>
      </c>
      <c r="F16" s="4">
        <v>0.26500000000000001</v>
      </c>
      <c r="G16" s="4">
        <v>7.46E-2</v>
      </c>
    </row>
    <row r="17" spans="1:7" x14ac:dyDescent="0.25">
      <c r="A17" s="4">
        <v>20</v>
      </c>
      <c r="B17" s="4">
        <v>0.61099999999999999</v>
      </c>
      <c r="C17" s="4">
        <v>0.6</v>
      </c>
      <c r="D17" s="4">
        <v>0.55800000000000005</v>
      </c>
      <c r="E17" s="4">
        <v>0.46600000000000003</v>
      </c>
      <c r="F17" s="4">
        <v>0.318</v>
      </c>
      <c r="G17" s="4">
        <v>0.10199999999999999</v>
      </c>
    </row>
    <row r="18" spans="1:7" x14ac:dyDescent="0.25">
      <c r="A18" s="4">
        <v>25</v>
      </c>
      <c r="B18" s="4">
        <v>0.88300000000000001</v>
      </c>
      <c r="C18" s="4">
        <v>0.86499999999999999</v>
      </c>
      <c r="D18" s="4">
        <v>0.82699999999999996</v>
      </c>
      <c r="E18" s="4">
        <v>0.73499999999999999</v>
      </c>
      <c r="F18" s="4">
        <v>0.57399999999999995</v>
      </c>
      <c r="G18" s="4">
        <v>0.28199999999999997</v>
      </c>
    </row>
    <row r="19" spans="1:7" x14ac:dyDescent="0.25">
      <c r="A19" s="4">
        <v>30</v>
      </c>
      <c r="B19" s="4">
        <v>1.1100000000000001</v>
      </c>
      <c r="C19" s="4">
        <v>1.0900000000000001</v>
      </c>
      <c r="D19" s="4">
        <v>1.06</v>
      </c>
      <c r="E19" s="4">
        <v>0.96499999999999997</v>
      </c>
      <c r="F19" s="4">
        <v>0.79600000000000004</v>
      </c>
      <c r="G19" s="4">
        <v>0.45700000000000002</v>
      </c>
    </row>
    <row r="20" spans="1:7" x14ac:dyDescent="0.25">
      <c r="A20" s="4">
        <v>40</v>
      </c>
      <c r="B20" s="4">
        <v>1.49</v>
      </c>
      <c r="C20" s="4">
        <v>1.45</v>
      </c>
      <c r="D20" s="4">
        <v>1.43</v>
      </c>
      <c r="E20" s="4">
        <v>1.33</v>
      </c>
      <c r="F20" s="4">
        <v>1.1299999999999999</v>
      </c>
      <c r="G20" s="4">
        <v>0.73599999999999999</v>
      </c>
    </row>
    <row r="21" spans="1:7" x14ac:dyDescent="0.25">
      <c r="A21" s="4">
        <v>50</v>
      </c>
      <c r="B21" s="4">
        <v>1.77</v>
      </c>
      <c r="C21" s="4">
        <v>1.74</v>
      </c>
      <c r="D21" s="4">
        <v>1.7</v>
      </c>
      <c r="E21" s="4">
        <v>1.57</v>
      </c>
      <c r="F21" s="4">
        <v>1.38</v>
      </c>
      <c r="G21" s="4">
        <v>0.92900000000000005</v>
      </c>
    </row>
    <row r="22" spans="1:7" x14ac:dyDescent="0.25">
      <c r="A22" s="4">
        <v>60</v>
      </c>
      <c r="B22" s="4">
        <v>1.89</v>
      </c>
      <c r="C22" s="4">
        <v>1.87</v>
      </c>
      <c r="D22" s="4">
        <v>1.83</v>
      </c>
      <c r="E22" s="4">
        <v>1.72</v>
      </c>
      <c r="F22" s="4">
        <v>1.5</v>
      </c>
      <c r="G22" s="4">
        <v>1.06</v>
      </c>
    </row>
    <row r="23" spans="1:7" x14ac:dyDescent="0.25">
      <c r="A23" s="4">
        <v>80</v>
      </c>
      <c r="B23" s="4">
        <v>1.9</v>
      </c>
      <c r="C23" s="4">
        <v>1.86</v>
      </c>
      <c r="D23" s="4">
        <v>1.85</v>
      </c>
      <c r="E23" s="4">
        <v>1.75</v>
      </c>
      <c r="F23" s="4">
        <v>1.54</v>
      </c>
      <c r="G23" s="4">
        <v>1.1299999999999999</v>
      </c>
    </row>
    <row r="24" spans="1:7" x14ac:dyDescent="0.25">
      <c r="A24" s="4">
        <v>100</v>
      </c>
      <c r="B24" s="4">
        <v>1.81</v>
      </c>
      <c r="C24" s="4">
        <v>1.8</v>
      </c>
      <c r="D24" s="4">
        <v>1.76</v>
      </c>
      <c r="E24" s="4">
        <v>1.68</v>
      </c>
      <c r="F24" s="4">
        <v>1.51</v>
      </c>
      <c r="G24" s="4">
        <v>1.1100000000000001</v>
      </c>
    </row>
    <row r="25" spans="1:7" x14ac:dyDescent="0.25">
      <c r="A25" s="4">
        <v>125</v>
      </c>
      <c r="B25" s="4">
        <v>1.7</v>
      </c>
      <c r="C25" s="4">
        <v>1.69</v>
      </c>
      <c r="D25" s="4">
        <v>1.66</v>
      </c>
      <c r="E25" s="4">
        <v>1.59</v>
      </c>
      <c r="F25" s="4">
        <v>1.45</v>
      </c>
      <c r="G25" s="4">
        <v>1.1000000000000001</v>
      </c>
    </row>
    <row r="26" spans="1:7" x14ac:dyDescent="0.25">
      <c r="A26" s="4">
        <v>150</v>
      </c>
      <c r="B26" s="4">
        <v>1.61</v>
      </c>
      <c r="C26" s="4">
        <v>1.6</v>
      </c>
      <c r="D26" s="4">
        <v>1.58</v>
      </c>
      <c r="E26" s="4">
        <v>1.52</v>
      </c>
      <c r="F26" s="4">
        <v>1.4</v>
      </c>
      <c r="G26" s="4">
        <v>1.0900000000000001</v>
      </c>
    </row>
    <row r="27" spans="1:7" x14ac:dyDescent="0.25">
      <c r="A27" s="4">
        <v>200</v>
      </c>
      <c r="B27" s="4">
        <v>1.49</v>
      </c>
      <c r="C27" s="4">
        <v>1.49</v>
      </c>
      <c r="D27" s="4">
        <v>1.48</v>
      </c>
      <c r="E27" s="4">
        <v>1.43</v>
      </c>
      <c r="F27" s="4">
        <v>1.34</v>
      </c>
      <c r="G27" s="4">
        <v>1.08</v>
      </c>
    </row>
    <row r="28" spans="1:7" x14ac:dyDescent="0.25">
      <c r="A28" s="4">
        <v>300</v>
      </c>
      <c r="B28" s="4">
        <v>1.37</v>
      </c>
      <c r="C28" s="4">
        <v>1.37</v>
      </c>
      <c r="D28" s="4">
        <v>1.36</v>
      </c>
      <c r="E28" s="4">
        <v>1.35</v>
      </c>
      <c r="F28" s="4">
        <v>1.27</v>
      </c>
      <c r="G28" s="4">
        <v>1.06</v>
      </c>
    </row>
    <row r="29" spans="1:7" x14ac:dyDescent="0.25">
      <c r="A29" s="4">
        <v>400</v>
      </c>
      <c r="B29" s="4">
        <v>1.3</v>
      </c>
      <c r="C29" s="4">
        <v>1.31</v>
      </c>
      <c r="D29" s="4">
        <v>1.3</v>
      </c>
      <c r="E29" s="4">
        <v>1.29</v>
      </c>
      <c r="F29" s="4">
        <v>1.24</v>
      </c>
      <c r="G29" s="4">
        <v>1.06</v>
      </c>
    </row>
    <row r="30" spans="1:7" x14ac:dyDescent="0.25">
      <c r="A30" s="4">
        <v>500</v>
      </c>
      <c r="B30" s="4">
        <v>1.26</v>
      </c>
      <c r="C30" s="4">
        <v>1.26</v>
      </c>
      <c r="D30" s="4">
        <v>1.26</v>
      </c>
      <c r="E30" s="4">
        <v>1.26</v>
      </c>
      <c r="F30" s="4">
        <v>1.22</v>
      </c>
      <c r="G30" s="4">
        <v>1.06</v>
      </c>
    </row>
    <row r="31" spans="1:7" x14ac:dyDescent="0.25">
      <c r="A31" s="4">
        <v>600</v>
      </c>
      <c r="B31" s="4">
        <v>1.23</v>
      </c>
      <c r="C31" s="4">
        <v>1.23</v>
      </c>
      <c r="D31" s="4">
        <v>1.23</v>
      </c>
      <c r="E31" s="4">
        <v>1.23</v>
      </c>
      <c r="F31" s="4">
        <v>1.2</v>
      </c>
      <c r="G31" s="4">
        <v>1.06</v>
      </c>
    </row>
    <row r="32" spans="1:7" x14ac:dyDescent="0.25">
      <c r="A32" s="4">
        <v>800</v>
      </c>
      <c r="B32" s="4">
        <v>1.19</v>
      </c>
      <c r="C32" s="4">
        <v>1.19</v>
      </c>
      <c r="D32" s="4">
        <v>1.19</v>
      </c>
      <c r="E32" s="4">
        <v>1.2</v>
      </c>
      <c r="F32" s="4">
        <v>1.17</v>
      </c>
      <c r="G32" s="4">
        <v>1.06</v>
      </c>
    </row>
    <row r="33" spans="1:7" x14ac:dyDescent="0.25">
      <c r="A33" s="4">
        <v>1000</v>
      </c>
      <c r="B33" s="4">
        <v>1.17</v>
      </c>
      <c r="C33" s="4">
        <v>1.17</v>
      </c>
      <c r="D33" s="4">
        <v>1.1599999999999999</v>
      </c>
      <c r="E33" s="4">
        <v>1.18</v>
      </c>
      <c r="F33" s="4">
        <v>1.1599999999999999</v>
      </c>
      <c r="G33" s="4">
        <v>1.06</v>
      </c>
    </row>
    <row r="34" spans="1:7" x14ac:dyDescent="0.25">
      <c r="A34" s="4">
        <v>1500</v>
      </c>
      <c r="B34" s="4">
        <v>1.1399999999999999</v>
      </c>
      <c r="C34" s="4">
        <v>1.1399999999999999</v>
      </c>
      <c r="D34" s="4">
        <v>1.1399999999999999</v>
      </c>
      <c r="E34" s="4">
        <v>1.1499999999999999</v>
      </c>
      <c r="F34" s="4">
        <v>1.1399999999999999</v>
      </c>
      <c r="G34" s="4">
        <v>1.06</v>
      </c>
    </row>
    <row r="35" spans="1:7" x14ac:dyDescent="0.25">
      <c r="A35" s="4">
        <v>3000</v>
      </c>
      <c r="B35" s="4">
        <v>1.1100000000000001</v>
      </c>
      <c r="C35" s="4">
        <v>1.1100000000000001</v>
      </c>
      <c r="D35" s="4">
        <v>1.1200000000000001</v>
      </c>
      <c r="E35" s="4">
        <v>1.1100000000000001</v>
      </c>
      <c r="F35" s="4">
        <v>1.1100000000000001</v>
      </c>
      <c r="G35" s="4">
        <v>1.06</v>
      </c>
    </row>
    <row r="36" spans="1:7" x14ac:dyDescent="0.25">
      <c r="A36" s="4">
        <v>6000</v>
      </c>
      <c r="B36" s="4">
        <v>1.0900000000000001</v>
      </c>
      <c r="C36" s="4">
        <v>1.0900000000000001</v>
      </c>
      <c r="D36" s="4">
        <v>1.0900000000000001</v>
      </c>
      <c r="E36" s="4">
        <v>1.08</v>
      </c>
      <c r="F36" s="4">
        <v>1.08</v>
      </c>
      <c r="G36" s="4">
        <v>1.08</v>
      </c>
    </row>
    <row r="37" spans="1:7" x14ac:dyDescent="0.25">
      <c r="A37" s="4">
        <v>10000</v>
      </c>
      <c r="B37" s="4">
        <v>1.07</v>
      </c>
      <c r="C37" s="4">
        <v>1.07</v>
      </c>
      <c r="D37" s="4">
        <v>1.06</v>
      </c>
      <c r="E37" s="4">
        <v>1.06</v>
      </c>
      <c r="F37" s="4">
        <v>1.06</v>
      </c>
      <c r="G37" s="4">
        <v>1.03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9"/>
  <dimension ref="A1:H30"/>
  <sheetViews>
    <sheetView workbookViewId="0">
      <selection activeCell="N26" sqref="N26"/>
    </sheetView>
  </sheetViews>
  <sheetFormatPr defaultRowHeight="15" x14ac:dyDescent="0.25"/>
  <cols>
    <col min="1" max="16384" width="9.140625" style="4"/>
  </cols>
  <sheetData>
    <row r="1" spans="1:8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7">
        <v>4</v>
      </c>
      <c r="B2" s="16">
        <v>0.58799999999999997</v>
      </c>
      <c r="C2" s="16">
        <v>0.58799999999999997</v>
      </c>
      <c r="D2" s="16">
        <v>0.58799999999999997</v>
      </c>
      <c r="E2" s="16">
        <v>0.58799999999999997</v>
      </c>
      <c r="F2" s="16">
        <v>0.58799999999999997</v>
      </c>
      <c r="G2" s="16">
        <v>0.58799999999999997</v>
      </c>
      <c r="H2" s="16">
        <v>0.58799999999999997</v>
      </c>
    </row>
    <row r="3" spans="1:8" x14ac:dyDescent="0.25">
      <c r="A3" s="17">
        <v>5</v>
      </c>
      <c r="B3" s="16">
        <v>0.755</v>
      </c>
      <c r="C3" s="16">
        <v>0.755</v>
      </c>
      <c r="D3" s="16">
        <v>0.755</v>
      </c>
      <c r="E3" s="16">
        <v>0.755</v>
      </c>
      <c r="F3" s="16">
        <v>0.755</v>
      </c>
      <c r="G3" s="16">
        <v>0.755</v>
      </c>
      <c r="H3" s="16">
        <v>0.755</v>
      </c>
    </row>
    <row r="4" spans="1:8" x14ac:dyDescent="0.25">
      <c r="A4" s="17">
        <v>6</v>
      </c>
      <c r="B4" s="16">
        <v>0.84299999999999997</v>
      </c>
      <c r="C4" s="16">
        <v>0.84299999999999997</v>
      </c>
      <c r="D4" s="16">
        <v>0.84299999999999997</v>
      </c>
      <c r="E4" s="16">
        <v>0.84299999999999997</v>
      </c>
      <c r="F4" s="16">
        <v>0.84299999999999997</v>
      </c>
      <c r="G4" s="16">
        <v>0.84299999999999997</v>
      </c>
      <c r="H4" s="16">
        <v>0.84299999999999997</v>
      </c>
    </row>
    <row r="5" spans="1:8" x14ac:dyDescent="0.25">
      <c r="A5" s="17">
        <v>8</v>
      </c>
      <c r="B5" s="16">
        <v>0.92100000000000004</v>
      </c>
      <c r="C5" s="16">
        <v>0.92100000000000004</v>
      </c>
      <c r="D5" s="16">
        <v>0.92100000000000004</v>
      </c>
      <c r="E5" s="16">
        <v>0.92100000000000004</v>
      </c>
      <c r="F5" s="16">
        <v>0.92100000000000004</v>
      </c>
      <c r="G5" s="16">
        <v>0.92100000000000004</v>
      </c>
      <c r="H5" s="16">
        <v>0.92100000000000004</v>
      </c>
    </row>
    <row r="6" spans="1:8" x14ac:dyDescent="0.25">
      <c r="A6" s="17">
        <v>10</v>
      </c>
      <c r="B6" s="16">
        <v>0.94899999999999995</v>
      </c>
      <c r="C6" s="16">
        <v>0.94899999999999995</v>
      </c>
      <c r="D6" s="16">
        <v>0.94899999999999995</v>
      </c>
      <c r="E6" s="16">
        <v>0.94899999999999995</v>
      </c>
      <c r="F6" s="16">
        <v>0.94899999999999995</v>
      </c>
      <c r="G6" s="16">
        <v>0.94899999999999995</v>
      </c>
      <c r="H6" s="16">
        <v>0.94899999999999995</v>
      </c>
    </row>
    <row r="7" spans="1:8" x14ac:dyDescent="0.25">
      <c r="A7" s="17">
        <v>12.5</v>
      </c>
      <c r="B7" s="16">
        <v>0.96399999999999997</v>
      </c>
      <c r="C7" s="16">
        <v>0.96399999999999997</v>
      </c>
      <c r="D7" s="16">
        <v>0.96399999999999997</v>
      </c>
      <c r="E7" s="16">
        <v>0.96399999999999997</v>
      </c>
      <c r="F7" s="16">
        <v>0.96399999999999997</v>
      </c>
      <c r="G7" s="16">
        <v>0.96399999999999997</v>
      </c>
      <c r="H7" s="16">
        <v>0.96399999999999997</v>
      </c>
    </row>
    <row r="8" spans="1:8" x14ac:dyDescent="0.25">
      <c r="A8" s="17">
        <v>15</v>
      </c>
      <c r="B8" s="16">
        <v>0.98299999999999998</v>
      </c>
      <c r="C8" s="16">
        <v>0.98299999999999998</v>
      </c>
      <c r="D8" s="16">
        <v>0.98299999999999998</v>
      </c>
      <c r="E8" s="16">
        <v>0.98299999999999998</v>
      </c>
      <c r="F8" s="16">
        <v>0.98299999999999998</v>
      </c>
      <c r="G8" s="16">
        <v>0.98299999999999998</v>
      </c>
      <c r="H8" s="16">
        <v>0.98299999999999998</v>
      </c>
    </row>
    <row r="9" spans="1:8" x14ac:dyDescent="0.25">
      <c r="A9" s="17">
        <v>20</v>
      </c>
      <c r="B9" s="16">
        <v>1.04</v>
      </c>
      <c r="C9" s="16">
        <v>1.04</v>
      </c>
      <c r="D9" s="16">
        <v>1.04</v>
      </c>
      <c r="E9" s="16">
        <v>1.04</v>
      </c>
      <c r="F9" s="16">
        <v>1.04</v>
      </c>
      <c r="G9" s="16">
        <v>1.04</v>
      </c>
      <c r="H9" s="16">
        <v>1.04</v>
      </c>
    </row>
    <row r="10" spans="1:8" x14ac:dyDescent="0.25">
      <c r="A10" s="17">
        <v>25</v>
      </c>
      <c r="B10" s="16">
        <v>1.1000000000000001</v>
      </c>
      <c r="C10" s="16">
        <v>1.1000000000000001</v>
      </c>
      <c r="D10" s="16">
        <v>1.1000000000000001</v>
      </c>
      <c r="E10" s="16">
        <v>1.1000000000000001</v>
      </c>
      <c r="F10" s="16">
        <v>1.1000000000000001</v>
      </c>
      <c r="G10" s="16">
        <v>1.1000000000000001</v>
      </c>
      <c r="H10" s="16">
        <v>1.1000000000000001</v>
      </c>
    </row>
    <row r="11" spans="1:8" x14ac:dyDescent="0.25">
      <c r="A11" s="17">
        <v>30</v>
      </c>
      <c r="B11" s="16">
        <v>1.18</v>
      </c>
      <c r="C11" s="16">
        <v>1.18</v>
      </c>
      <c r="D11" s="16">
        <v>1.18</v>
      </c>
      <c r="E11" s="16">
        <v>1.18</v>
      </c>
      <c r="F11" s="16">
        <v>1.18</v>
      </c>
      <c r="G11" s="16">
        <v>1.18</v>
      </c>
      <c r="H11" s="16">
        <v>1.18</v>
      </c>
    </row>
    <row r="12" spans="1:8" x14ac:dyDescent="0.25">
      <c r="A12" s="17">
        <v>35</v>
      </c>
      <c r="B12" s="16">
        <v>1.24</v>
      </c>
      <c r="C12" s="16">
        <v>1.24</v>
      </c>
      <c r="D12" s="16">
        <v>1.24</v>
      </c>
      <c r="E12" s="16">
        <v>1.24</v>
      </c>
      <c r="F12" s="16">
        <v>1.24</v>
      </c>
      <c r="G12" s="16">
        <v>1.24</v>
      </c>
      <c r="H12" s="16">
        <v>1.24</v>
      </c>
    </row>
    <row r="13" spans="1:8" x14ac:dyDescent="0.25">
      <c r="A13" s="17">
        <v>40</v>
      </c>
      <c r="B13" s="16">
        <v>1.29</v>
      </c>
      <c r="C13" s="16">
        <v>1.29</v>
      </c>
      <c r="D13" s="16">
        <v>1.29</v>
      </c>
      <c r="E13" s="16">
        <v>1.29</v>
      </c>
      <c r="F13" s="16">
        <v>1.29</v>
      </c>
      <c r="G13" s="16">
        <v>1.29</v>
      </c>
      <c r="H13" s="16">
        <v>1.29</v>
      </c>
    </row>
    <row r="14" spans="1:8" x14ac:dyDescent="0.25">
      <c r="A14" s="17">
        <v>45</v>
      </c>
      <c r="B14" s="16">
        <v>1.33</v>
      </c>
      <c r="C14" s="16">
        <v>1.33</v>
      </c>
      <c r="D14" s="16">
        <v>1.33</v>
      </c>
      <c r="E14" s="16">
        <v>1.33</v>
      </c>
      <c r="F14" s="16">
        <v>1.33</v>
      </c>
      <c r="G14" s="16">
        <v>1.33</v>
      </c>
      <c r="H14" s="16">
        <v>1.33</v>
      </c>
    </row>
    <row r="15" spans="1:8" x14ac:dyDescent="0.25">
      <c r="A15" s="17">
        <v>50</v>
      </c>
      <c r="B15" s="16">
        <v>1.37</v>
      </c>
      <c r="C15" s="16">
        <v>1.37</v>
      </c>
      <c r="D15" s="16">
        <v>1.37</v>
      </c>
      <c r="E15" s="16">
        <v>1.37</v>
      </c>
      <c r="F15" s="16">
        <v>1.37</v>
      </c>
      <c r="G15" s="16">
        <v>1.37</v>
      </c>
      <c r="H15" s="16">
        <v>1.37</v>
      </c>
    </row>
    <row r="16" spans="1:8" x14ac:dyDescent="0.25">
      <c r="A16" s="17">
        <v>55</v>
      </c>
      <c r="B16" s="16">
        <v>1.37</v>
      </c>
      <c r="C16" s="16">
        <v>1.37</v>
      </c>
      <c r="D16" s="16">
        <v>1.37</v>
      </c>
      <c r="E16" s="16">
        <v>1.37</v>
      </c>
      <c r="F16" s="16">
        <v>1.37</v>
      </c>
      <c r="G16" s="16">
        <v>1.37</v>
      </c>
      <c r="H16" s="16">
        <v>1.37</v>
      </c>
    </row>
    <row r="17" spans="1:8" x14ac:dyDescent="0.25">
      <c r="A17" s="17">
        <v>60</v>
      </c>
      <c r="B17" s="16">
        <v>1.39</v>
      </c>
      <c r="C17" s="16">
        <v>1.39</v>
      </c>
      <c r="D17" s="16">
        <v>1.39</v>
      </c>
      <c r="E17" s="16">
        <v>1.39</v>
      </c>
      <c r="F17" s="16">
        <v>1.39</v>
      </c>
      <c r="G17" s="16">
        <v>1.39</v>
      </c>
      <c r="H17" s="16">
        <v>1.39</v>
      </c>
    </row>
    <row r="18" spans="1:8" x14ac:dyDescent="0.25">
      <c r="A18" s="17">
        <v>70</v>
      </c>
      <c r="B18" s="16">
        <v>1.39</v>
      </c>
      <c r="C18" s="16">
        <v>1.39</v>
      </c>
      <c r="D18" s="16">
        <v>1.39</v>
      </c>
      <c r="E18" s="16">
        <v>1.39</v>
      </c>
      <c r="F18" s="16">
        <v>1.39</v>
      </c>
      <c r="G18" s="16">
        <v>1.39</v>
      </c>
      <c r="H18" s="16">
        <v>1.39</v>
      </c>
    </row>
    <row r="19" spans="1:8" x14ac:dyDescent="0.25">
      <c r="A19" s="17">
        <v>80</v>
      </c>
      <c r="B19" s="16">
        <v>1.38</v>
      </c>
      <c r="C19" s="16">
        <v>1.38</v>
      </c>
      <c r="D19" s="16">
        <v>1.38</v>
      </c>
      <c r="E19" s="16">
        <v>1.38</v>
      </c>
      <c r="F19" s="16">
        <v>1.38</v>
      </c>
      <c r="G19" s="16">
        <v>1.38</v>
      </c>
      <c r="H19" s="16">
        <v>1.38</v>
      </c>
    </row>
    <row r="20" spans="1:8" x14ac:dyDescent="0.25">
      <c r="A20" s="17">
        <v>90</v>
      </c>
      <c r="B20" s="16">
        <v>1.37</v>
      </c>
      <c r="C20" s="16">
        <v>1.37</v>
      </c>
      <c r="D20" s="16">
        <v>1.37</v>
      </c>
      <c r="E20" s="16">
        <v>1.37</v>
      </c>
      <c r="F20" s="16">
        <v>1.37</v>
      </c>
      <c r="G20" s="16">
        <v>1.37</v>
      </c>
      <c r="H20" s="16">
        <v>1.37</v>
      </c>
    </row>
    <row r="21" spans="1:8" x14ac:dyDescent="0.25">
      <c r="A21" s="17">
        <v>100</v>
      </c>
      <c r="B21" s="16">
        <v>1.35</v>
      </c>
      <c r="C21" s="16">
        <v>1.35</v>
      </c>
      <c r="D21" s="16">
        <v>1.35</v>
      </c>
      <c r="E21" s="16">
        <v>1.35</v>
      </c>
      <c r="F21" s="16">
        <v>1.35</v>
      </c>
      <c r="G21" s="16">
        <v>1.35</v>
      </c>
      <c r="H21" s="16">
        <v>1.35</v>
      </c>
    </row>
    <row r="22" spans="1:8" x14ac:dyDescent="0.25">
      <c r="A22" s="17">
        <v>125</v>
      </c>
      <c r="B22" s="16">
        <v>1.32</v>
      </c>
      <c r="C22" s="16">
        <v>1.32</v>
      </c>
      <c r="D22" s="16">
        <v>1.32</v>
      </c>
      <c r="E22" s="16">
        <v>1.32</v>
      </c>
      <c r="F22" s="16">
        <v>1.32</v>
      </c>
      <c r="G22" s="16">
        <v>1.32</v>
      </c>
      <c r="H22" s="16">
        <v>1.32</v>
      </c>
    </row>
    <row r="23" spans="1:8" x14ac:dyDescent="0.25">
      <c r="A23" s="17">
        <v>150</v>
      </c>
      <c r="B23" s="16">
        <v>1.28</v>
      </c>
      <c r="C23" s="16">
        <v>1.28</v>
      </c>
      <c r="D23" s="16">
        <v>1.28</v>
      </c>
      <c r="E23" s="16">
        <v>1.28</v>
      </c>
      <c r="F23" s="16">
        <v>1.28</v>
      </c>
      <c r="G23" s="16">
        <v>1.28</v>
      </c>
      <c r="H23" s="16">
        <v>1.28</v>
      </c>
    </row>
    <row r="24" spans="1:8" x14ac:dyDescent="0.25">
      <c r="A24" s="17">
        <v>200</v>
      </c>
      <c r="B24" s="16">
        <v>1.25</v>
      </c>
      <c r="C24" s="16">
        <v>1.25</v>
      </c>
      <c r="D24" s="16">
        <v>1.25</v>
      </c>
      <c r="E24" s="16">
        <v>1.25</v>
      </c>
      <c r="F24" s="16">
        <v>1.25</v>
      </c>
      <c r="G24" s="16">
        <v>1.25</v>
      </c>
      <c r="H24" s="16">
        <v>1.25</v>
      </c>
    </row>
    <row r="25" spans="1:8" x14ac:dyDescent="0.25">
      <c r="A25" s="17">
        <v>300</v>
      </c>
      <c r="B25" s="16">
        <v>1.21</v>
      </c>
      <c r="C25" s="16">
        <v>1.21</v>
      </c>
      <c r="D25" s="16">
        <v>1.21</v>
      </c>
      <c r="E25" s="16">
        <v>1.21</v>
      </c>
      <c r="F25" s="16">
        <v>1.21</v>
      </c>
      <c r="G25" s="16">
        <v>1.21</v>
      </c>
      <c r="H25" s="16">
        <v>1.21</v>
      </c>
    </row>
    <row r="26" spans="1:8" x14ac:dyDescent="0.25">
      <c r="A26" s="17">
        <v>400</v>
      </c>
      <c r="B26" s="16">
        <v>1.18</v>
      </c>
      <c r="C26" s="16">
        <v>1.18</v>
      </c>
      <c r="D26" s="16">
        <v>1.18</v>
      </c>
      <c r="E26" s="16">
        <v>1.18</v>
      </c>
      <c r="F26" s="16">
        <v>1.18</v>
      </c>
      <c r="G26" s="16">
        <v>1.18</v>
      </c>
      <c r="H26" s="16">
        <v>1.18</v>
      </c>
    </row>
    <row r="27" spans="1:8" x14ac:dyDescent="0.25">
      <c r="A27" s="17">
        <v>500</v>
      </c>
      <c r="B27" s="16">
        <v>1.1599999999999999</v>
      </c>
      <c r="C27" s="16">
        <v>1.1599999999999999</v>
      </c>
      <c r="D27" s="16">
        <v>1.1599999999999999</v>
      </c>
      <c r="E27" s="16">
        <v>1.1599999999999999</v>
      </c>
      <c r="F27" s="16">
        <v>1.1599999999999999</v>
      </c>
      <c r="G27" s="16">
        <v>1.1599999999999999</v>
      </c>
      <c r="H27" s="16">
        <v>1.1599999999999999</v>
      </c>
    </row>
    <row r="28" spans="1:8" x14ac:dyDescent="0.25">
      <c r="A28" s="17">
        <v>700</v>
      </c>
      <c r="B28" s="16">
        <v>1.1399999999999999</v>
      </c>
      <c r="C28" s="16">
        <v>1.1399999999999999</v>
      </c>
      <c r="D28" s="16">
        <v>1.1399999999999999</v>
      </c>
      <c r="E28" s="16">
        <v>1.1399999999999999</v>
      </c>
      <c r="F28" s="16">
        <v>1.1399999999999999</v>
      </c>
      <c r="G28" s="16">
        <v>1.1399999999999999</v>
      </c>
      <c r="H28" s="16">
        <v>1.1399999999999999</v>
      </c>
    </row>
    <row r="29" spans="1:8" x14ac:dyDescent="0.25">
      <c r="A29" s="17">
        <v>1000</v>
      </c>
      <c r="B29" s="16">
        <v>1.1299999999999999</v>
      </c>
      <c r="C29" s="16">
        <v>1.1299999999999999</v>
      </c>
      <c r="D29" s="16">
        <v>1.1299999999999999</v>
      </c>
      <c r="E29" s="16">
        <v>1.1299999999999999</v>
      </c>
      <c r="F29" s="16">
        <v>1.1299999999999999</v>
      </c>
      <c r="G29" s="16">
        <v>1.1299999999999999</v>
      </c>
      <c r="H29" s="16">
        <v>1.1299999999999999</v>
      </c>
    </row>
    <row r="30" spans="1:8" x14ac:dyDescent="0.25">
      <c r="A30" s="17">
        <v>1250</v>
      </c>
      <c r="B30" s="16">
        <v>1.1200000000000001</v>
      </c>
      <c r="C30" s="16">
        <v>1.1200000000000001</v>
      </c>
      <c r="D30" s="16">
        <v>1.1200000000000001</v>
      </c>
      <c r="E30" s="16">
        <v>1.1200000000000001</v>
      </c>
      <c r="F30" s="16">
        <v>1.1200000000000001</v>
      </c>
      <c r="G30" s="16">
        <v>1.1200000000000001</v>
      </c>
      <c r="H30" s="16">
        <v>1.1200000000000001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8"/>
  <dimension ref="A1:H42"/>
  <sheetViews>
    <sheetView topLeftCell="A10" workbookViewId="0">
      <selection sqref="A1:H1"/>
    </sheetView>
  </sheetViews>
  <sheetFormatPr defaultRowHeight="15" x14ac:dyDescent="0.25"/>
  <cols>
    <col min="1" max="16384" width="9.140625" style="4"/>
  </cols>
  <sheetData>
    <row r="1" spans="1:8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17">
        <v>3</v>
      </c>
      <c r="B2" s="16">
        <v>0.30599999999999999</v>
      </c>
      <c r="C2" s="16">
        <v>0.30599999999999999</v>
      </c>
      <c r="D2" s="16">
        <v>0.30599999999999999</v>
      </c>
      <c r="E2" s="16">
        <v>0.30599999999999999</v>
      </c>
      <c r="F2" s="16">
        <v>0.30599999999999999</v>
      </c>
      <c r="G2" s="16">
        <v>0.30599999999999999</v>
      </c>
      <c r="H2" s="16">
        <v>0.30599999999999999</v>
      </c>
    </row>
    <row r="3" spans="1:8" x14ac:dyDescent="0.25">
      <c r="A3" s="17">
        <v>4</v>
      </c>
      <c r="B3" s="16">
        <v>0.58699999999999997</v>
      </c>
      <c r="C3" s="16">
        <v>0.58699999999999997</v>
      </c>
      <c r="D3" s="16">
        <v>0.58699999999999997</v>
      </c>
      <c r="E3" s="16">
        <v>0.58699999999999997</v>
      </c>
      <c r="F3" s="16">
        <v>0.58699999999999997</v>
      </c>
      <c r="G3" s="16">
        <v>0.58699999999999997</v>
      </c>
      <c r="H3" s="16">
        <v>0.58699999999999997</v>
      </c>
    </row>
    <row r="4" spans="1:8" x14ac:dyDescent="0.25">
      <c r="A4" s="17">
        <v>5</v>
      </c>
      <c r="B4" s="16">
        <v>0.755</v>
      </c>
      <c r="C4" s="16">
        <v>0.755</v>
      </c>
      <c r="D4" s="16">
        <v>0.755</v>
      </c>
      <c r="E4" s="16">
        <v>0.755</v>
      </c>
      <c r="F4" s="16">
        <v>0.755</v>
      </c>
      <c r="G4" s="16">
        <v>0.755</v>
      </c>
      <c r="H4" s="16">
        <v>0.755</v>
      </c>
    </row>
    <row r="5" spans="1:8" x14ac:dyDescent="0.25">
      <c r="A5" s="17">
        <v>6</v>
      </c>
      <c r="B5" s="16">
        <v>0.84099999999999997</v>
      </c>
      <c r="C5" s="16">
        <v>0.84099999999999997</v>
      </c>
      <c r="D5" s="16">
        <v>0.84099999999999997</v>
      </c>
      <c r="E5" s="16">
        <v>0.84099999999999997</v>
      </c>
      <c r="F5" s="16">
        <v>0.84099999999999997</v>
      </c>
      <c r="G5" s="16">
        <v>0.84099999999999997</v>
      </c>
      <c r="H5" s="16">
        <v>0.84099999999999997</v>
      </c>
    </row>
    <row r="6" spans="1:8" x14ac:dyDescent="0.25">
      <c r="A6" s="17">
        <v>7</v>
      </c>
      <c r="B6" s="16">
        <v>0.89100000000000001</v>
      </c>
      <c r="C6" s="16">
        <v>0.89100000000000001</v>
      </c>
      <c r="D6" s="16">
        <v>0.89100000000000001</v>
      </c>
      <c r="E6" s="16">
        <v>0.89100000000000001</v>
      </c>
      <c r="F6" s="16">
        <v>0.89100000000000001</v>
      </c>
      <c r="G6" s="16">
        <v>0.89100000000000001</v>
      </c>
      <c r="H6" s="16">
        <v>0.89100000000000001</v>
      </c>
    </row>
    <row r="7" spans="1:8" x14ac:dyDescent="0.25">
      <c r="A7" s="17">
        <v>8</v>
      </c>
      <c r="B7" s="16">
        <v>0.92200000000000004</v>
      </c>
      <c r="C7" s="16">
        <v>0.92200000000000004</v>
      </c>
      <c r="D7" s="16">
        <v>0.92200000000000004</v>
      </c>
      <c r="E7" s="16">
        <v>0.92200000000000004</v>
      </c>
      <c r="F7" s="16">
        <v>0.92200000000000004</v>
      </c>
      <c r="G7" s="16">
        <v>0.92200000000000004</v>
      </c>
      <c r="H7" s="16">
        <v>0.92200000000000004</v>
      </c>
    </row>
    <row r="8" spans="1:8" x14ac:dyDescent="0.25">
      <c r="A8" s="17">
        <v>9</v>
      </c>
      <c r="B8" s="16">
        <v>0.94</v>
      </c>
      <c r="C8" s="16">
        <v>0.94</v>
      </c>
      <c r="D8" s="16">
        <v>0.94</v>
      </c>
      <c r="E8" s="16">
        <v>0.94</v>
      </c>
      <c r="F8" s="16">
        <v>0.94</v>
      </c>
      <c r="G8" s="16">
        <v>0.94</v>
      </c>
      <c r="H8" s="16">
        <v>0.94</v>
      </c>
    </row>
    <row r="9" spans="1:8" x14ac:dyDescent="0.25">
      <c r="A9" s="17">
        <v>10</v>
      </c>
      <c r="B9" s="16">
        <v>0.94799999999999995</v>
      </c>
      <c r="C9" s="16">
        <v>0.94799999999999995</v>
      </c>
      <c r="D9" s="16">
        <v>0.94799999999999995</v>
      </c>
      <c r="E9" s="16">
        <v>0.94799999999999995</v>
      </c>
      <c r="F9" s="16">
        <v>0.94799999999999995</v>
      </c>
      <c r="G9" s="16">
        <v>0.94799999999999995</v>
      </c>
      <c r="H9" s="16">
        <v>0.94799999999999995</v>
      </c>
    </row>
    <row r="10" spans="1:8" x14ac:dyDescent="0.25">
      <c r="A10" s="17">
        <v>11</v>
      </c>
      <c r="B10" s="16">
        <v>0.95599999999999996</v>
      </c>
      <c r="C10" s="16">
        <v>0.95599999999999996</v>
      </c>
      <c r="D10" s="16">
        <v>0.95599999999999996</v>
      </c>
      <c r="E10" s="16">
        <v>0.95599999999999996</v>
      </c>
      <c r="F10" s="16">
        <v>0.95599999999999996</v>
      </c>
      <c r="G10" s="16">
        <v>0.95599999999999996</v>
      </c>
      <c r="H10" s="16">
        <v>0.95599999999999996</v>
      </c>
    </row>
    <row r="11" spans="1:8" x14ac:dyDescent="0.25">
      <c r="A11" s="17">
        <v>12</v>
      </c>
      <c r="B11" s="16">
        <v>0.95899999999999996</v>
      </c>
      <c r="C11" s="16">
        <v>0.95899999999999996</v>
      </c>
      <c r="D11" s="16">
        <v>0.95899999999999996</v>
      </c>
      <c r="E11" s="16">
        <v>0.95899999999999996</v>
      </c>
      <c r="F11" s="16">
        <v>0.95899999999999996</v>
      </c>
      <c r="G11" s="16">
        <v>0.95899999999999996</v>
      </c>
      <c r="H11" s="16">
        <v>0.95899999999999996</v>
      </c>
    </row>
    <row r="12" spans="1:8" x14ac:dyDescent="0.25">
      <c r="A12" s="17">
        <v>12.5</v>
      </c>
      <c r="B12" s="16">
        <v>0.96</v>
      </c>
      <c r="C12" s="16">
        <v>0.96</v>
      </c>
      <c r="D12" s="16">
        <v>0.96</v>
      </c>
      <c r="E12" s="16">
        <v>0.96</v>
      </c>
      <c r="F12" s="16">
        <v>0.96</v>
      </c>
      <c r="G12" s="16">
        <v>0.96</v>
      </c>
      <c r="H12" s="16">
        <v>0.96</v>
      </c>
    </row>
    <row r="13" spans="1:8" x14ac:dyDescent="0.25">
      <c r="A13" s="17">
        <v>13</v>
      </c>
      <c r="B13" s="16">
        <v>0.96399999999999997</v>
      </c>
      <c r="C13" s="16">
        <v>0.96399999999999997</v>
      </c>
      <c r="D13" s="16">
        <v>0.96399999999999997</v>
      </c>
      <c r="E13" s="16">
        <v>0.96399999999999997</v>
      </c>
      <c r="F13" s="16">
        <v>0.96399999999999997</v>
      </c>
      <c r="G13" s="16">
        <v>0.96399999999999997</v>
      </c>
      <c r="H13" s="16">
        <v>0.96399999999999997</v>
      </c>
    </row>
    <row r="14" spans="1:8" x14ac:dyDescent="0.25">
      <c r="A14" s="17">
        <v>14</v>
      </c>
      <c r="B14" s="16">
        <v>0.97099999999999997</v>
      </c>
      <c r="C14" s="16">
        <v>0.97099999999999997</v>
      </c>
      <c r="D14" s="16">
        <v>0.97099999999999997</v>
      </c>
      <c r="E14" s="16">
        <v>0.97099999999999997</v>
      </c>
      <c r="F14" s="16">
        <v>0.97099999999999997</v>
      </c>
      <c r="G14" s="16">
        <v>0.97099999999999997</v>
      </c>
      <c r="H14" s="16">
        <v>0.97099999999999997</v>
      </c>
    </row>
    <row r="15" spans="1:8" x14ac:dyDescent="0.25">
      <c r="A15" s="17">
        <v>15</v>
      </c>
      <c r="B15" s="16">
        <v>0.97599999999999998</v>
      </c>
      <c r="C15" s="16">
        <v>0.97599999999999998</v>
      </c>
      <c r="D15" s="16">
        <v>0.97599999999999998</v>
      </c>
      <c r="E15" s="16">
        <v>0.97599999999999998</v>
      </c>
      <c r="F15" s="16">
        <v>0.97599999999999998</v>
      </c>
      <c r="G15" s="16">
        <v>0.97599999999999998</v>
      </c>
      <c r="H15" s="16">
        <v>0.97599999999999998</v>
      </c>
    </row>
    <row r="16" spans="1:8" x14ac:dyDescent="0.25">
      <c r="A16" s="17">
        <v>16</v>
      </c>
      <c r="B16" s="16">
        <v>0.98699999999999999</v>
      </c>
      <c r="C16" s="16">
        <v>0.98699999999999999</v>
      </c>
      <c r="D16" s="16">
        <v>0.98699999999999999</v>
      </c>
      <c r="E16" s="16">
        <v>0.98699999999999999</v>
      </c>
      <c r="F16" s="16">
        <v>0.98699999999999999</v>
      </c>
      <c r="G16" s="16">
        <v>0.98699999999999999</v>
      </c>
      <c r="H16" s="16">
        <v>0.98699999999999999</v>
      </c>
    </row>
    <row r="17" spans="1:8" x14ac:dyDescent="0.25">
      <c r="A17" s="17">
        <v>17</v>
      </c>
      <c r="B17" s="16">
        <v>0.99299999999999999</v>
      </c>
      <c r="C17" s="16">
        <v>0.99299999999999999</v>
      </c>
      <c r="D17" s="16">
        <v>0.99299999999999999</v>
      </c>
      <c r="E17" s="16">
        <v>0.99299999999999999</v>
      </c>
      <c r="F17" s="16">
        <v>0.99299999999999999</v>
      </c>
      <c r="G17" s="16">
        <v>0.99299999999999999</v>
      </c>
      <c r="H17" s="16">
        <v>0.99299999999999999</v>
      </c>
    </row>
    <row r="18" spans="1:8" x14ac:dyDescent="0.25">
      <c r="A18" s="17">
        <v>17.5</v>
      </c>
      <c r="B18" s="16">
        <v>0.995</v>
      </c>
      <c r="C18" s="16">
        <v>0.995</v>
      </c>
      <c r="D18" s="16">
        <v>0.995</v>
      </c>
      <c r="E18" s="16">
        <v>0.995</v>
      </c>
      <c r="F18" s="16">
        <v>0.995</v>
      </c>
      <c r="G18" s="16">
        <v>0.995</v>
      </c>
      <c r="H18" s="16">
        <v>0.995</v>
      </c>
    </row>
    <row r="19" spans="1:8" x14ac:dyDescent="0.25">
      <c r="A19" s="17">
        <v>18</v>
      </c>
      <c r="B19" s="16">
        <v>0.999</v>
      </c>
      <c r="C19" s="16">
        <v>0.999</v>
      </c>
      <c r="D19" s="16">
        <v>0.999</v>
      </c>
      <c r="E19" s="16">
        <v>0.999</v>
      </c>
      <c r="F19" s="16">
        <v>0.999</v>
      </c>
      <c r="G19" s="16">
        <v>0.999</v>
      </c>
      <c r="H19" s="16">
        <v>0.999</v>
      </c>
    </row>
    <row r="20" spans="1:8" x14ac:dyDescent="0.25">
      <c r="A20" s="17">
        <v>19</v>
      </c>
      <c r="B20" s="16">
        <v>1</v>
      </c>
      <c r="C20" s="16">
        <v>1</v>
      </c>
      <c r="D20" s="16">
        <v>1</v>
      </c>
      <c r="E20" s="16">
        <v>1</v>
      </c>
      <c r="F20" s="16">
        <v>1</v>
      </c>
      <c r="G20" s="16">
        <v>1</v>
      </c>
      <c r="H20" s="16">
        <v>1</v>
      </c>
    </row>
    <row r="21" spans="1:8" x14ac:dyDescent="0.25">
      <c r="A21" s="17">
        <v>20</v>
      </c>
      <c r="B21" s="16">
        <v>1.01</v>
      </c>
      <c r="C21" s="16">
        <v>1.01</v>
      </c>
      <c r="D21" s="16">
        <v>1.01</v>
      </c>
      <c r="E21" s="16">
        <v>1.01</v>
      </c>
      <c r="F21" s="16">
        <v>1.01</v>
      </c>
      <c r="G21" s="16">
        <v>1.01</v>
      </c>
      <c r="H21" s="16">
        <v>1.01</v>
      </c>
    </row>
    <row r="22" spans="1:8" x14ac:dyDescent="0.25">
      <c r="A22" s="17">
        <v>25</v>
      </c>
      <c r="B22" s="16">
        <v>1.04</v>
      </c>
      <c r="C22" s="16">
        <v>1.04</v>
      </c>
      <c r="D22" s="16">
        <v>1.04</v>
      </c>
      <c r="E22" s="16">
        <v>1.04</v>
      </c>
      <c r="F22" s="16">
        <v>1.04</v>
      </c>
      <c r="G22" s="16">
        <v>1.04</v>
      </c>
      <c r="H22" s="16">
        <v>1.04</v>
      </c>
    </row>
    <row r="23" spans="1:8" x14ac:dyDescent="0.25">
      <c r="A23" s="17">
        <v>30</v>
      </c>
      <c r="B23" s="16">
        <v>1.06</v>
      </c>
      <c r="C23" s="16">
        <v>1.06</v>
      </c>
      <c r="D23" s="16">
        <v>1.06</v>
      </c>
      <c r="E23" s="16">
        <v>1.06</v>
      </c>
      <c r="F23" s="16">
        <v>1.06</v>
      </c>
      <c r="G23" s="16">
        <v>1.06</v>
      </c>
      <c r="H23" s="16">
        <v>1.06</v>
      </c>
    </row>
    <row r="24" spans="1:8" x14ac:dyDescent="0.25">
      <c r="A24" s="17">
        <v>35</v>
      </c>
      <c r="B24" s="16">
        <v>1.08</v>
      </c>
      <c r="C24" s="16">
        <v>1.08</v>
      </c>
      <c r="D24" s="16">
        <v>1.08</v>
      </c>
      <c r="E24" s="16">
        <v>1.08</v>
      </c>
      <c r="F24" s="16">
        <v>1.08</v>
      </c>
      <c r="G24" s="16">
        <v>1.08</v>
      </c>
      <c r="H24" s="16">
        <v>1.08</v>
      </c>
    </row>
    <row r="25" spans="1:8" x14ac:dyDescent="0.25">
      <c r="A25" s="17">
        <v>40</v>
      </c>
      <c r="B25" s="16">
        <v>1.0900000000000001</v>
      </c>
      <c r="C25" s="16">
        <v>1.0900000000000001</v>
      </c>
      <c r="D25" s="16">
        <v>1.0900000000000001</v>
      </c>
      <c r="E25" s="16">
        <v>1.0900000000000001</v>
      </c>
      <c r="F25" s="16">
        <v>1.0900000000000001</v>
      </c>
      <c r="G25" s="16">
        <v>1.0900000000000001</v>
      </c>
      <c r="H25" s="16">
        <v>1.0900000000000001</v>
      </c>
    </row>
    <row r="26" spans="1:8" x14ac:dyDescent="0.25">
      <c r="A26" s="17">
        <v>45</v>
      </c>
      <c r="B26" s="16">
        <v>1.1100000000000001</v>
      </c>
      <c r="C26" s="16">
        <v>1.1100000000000001</v>
      </c>
      <c r="D26" s="16">
        <v>1.1100000000000001</v>
      </c>
      <c r="E26" s="16">
        <v>1.1100000000000001</v>
      </c>
      <c r="F26" s="16">
        <v>1.1100000000000001</v>
      </c>
      <c r="G26" s="16">
        <v>1.1100000000000001</v>
      </c>
      <c r="H26" s="16">
        <v>1.1100000000000001</v>
      </c>
    </row>
    <row r="27" spans="1:8" x14ac:dyDescent="0.25">
      <c r="A27" s="17">
        <v>50</v>
      </c>
      <c r="B27" s="16">
        <v>1.1200000000000001</v>
      </c>
      <c r="C27" s="16">
        <v>1.1200000000000001</v>
      </c>
      <c r="D27" s="16">
        <v>1.1200000000000001</v>
      </c>
      <c r="E27" s="16">
        <v>1.1200000000000001</v>
      </c>
      <c r="F27" s="16">
        <v>1.1200000000000001</v>
      </c>
      <c r="G27" s="16">
        <v>1.1200000000000001</v>
      </c>
      <c r="H27" s="16">
        <v>1.1200000000000001</v>
      </c>
    </row>
    <row r="28" spans="1:8" x14ac:dyDescent="0.25">
      <c r="A28" s="17">
        <v>55</v>
      </c>
      <c r="B28" s="16">
        <v>1.1299999999999999</v>
      </c>
      <c r="C28" s="16">
        <v>1.1299999999999999</v>
      </c>
      <c r="D28" s="16">
        <v>1.1299999999999999</v>
      </c>
      <c r="E28" s="16">
        <v>1.1299999999999999</v>
      </c>
      <c r="F28" s="16">
        <v>1.1299999999999999</v>
      </c>
      <c r="G28" s="16">
        <v>1.1299999999999999</v>
      </c>
      <c r="H28" s="16">
        <v>1.1299999999999999</v>
      </c>
    </row>
    <row r="29" spans="1:8" x14ac:dyDescent="0.25">
      <c r="A29" s="17">
        <v>60</v>
      </c>
      <c r="B29" s="16">
        <v>1.1399999999999999</v>
      </c>
      <c r="C29" s="16">
        <v>1.1399999999999999</v>
      </c>
      <c r="D29" s="16">
        <v>1.1399999999999999</v>
      </c>
      <c r="E29" s="16">
        <v>1.1399999999999999</v>
      </c>
      <c r="F29" s="16">
        <v>1.1399999999999999</v>
      </c>
      <c r="G29" s="16">
        <v>1.1399999999999999</v>
      </c>
      <c r="H29" s="16">
        <v>1.1399999999999999</v>
      </c>
    </row>
    <row r="30" spans="1:8" x14ac:dyDescent="0.25">
      <c r="A30" s="17">
        <v>70</v>
      </c>
      <c r="B30" s="16">
        <v>1.1499999999999999</v>
      </c>
      <c r="C30" s="16">
        <v>1.1499999999999999</v>
      </c>
      <c r="D30" s="16">
        <v>1.1499999999999999</v>
      </c>
      <c r="E30" s="16">
        <v>1.1499999999999999</v>
      </c>
      <c r="F30" s="16">
        <v>1.1499999999999999</v>
      </c>
      <c r="G30" s="16">
        <v>1.1499999999999999</v>
      </c>
      <c r="H30" s="16">
        <v>1.1499999999999999</v>
      </c>
    </row>
    <row r="31" spans="1:8" x14ac:dyDescent="0.25">
      <c r="A31" s="17">
        <v>80</v>
      </c>
      <c r="B31" s="16">
        <v>1.1599999999999999</v>
      </c>
      <c r="C31" s="16">
        <v>1.1599999999999999</v>
      </c>
      <c r="D31" s="16">
        <v>1.1599999999999999</v>
      </c>
      <c r="E31" s="16">
        <v>1.1599999999999999</v>
      </c>
      <c r="F31" s="16">
        <v>1.1599999999999999</v>
      </c>
      <c r="G31" s="16">
        <v>1.1599999999999999</v>
      </c>
      <c r="H31" s="16">
        <v>1.1599999999999999</v>
      </c>
    </row>
    <row r="32" spans="1:8" x14ac:dyDescent="0.25">
      <c r="A32" s="17">
        <v>90</v>
      </c>
      <c r="B32" s="16">
        <v>1.17</v>
      </c>
      <c r="C32" s="16">
        <v>1.17</v>
      </c>
      <c r="D32" s="16">
        <v>1.17</v>
      </c>
      <c r="E32" s="16">
        <v>1.17</v>
      </c>
      <c r="F32" s="16">
        <v>1.17</v>
      </c>
      <c r="G32" s="16">
        <v>1.17</v>
      </c>
      <c r="H32" s="16">
        <v>1.17</v>
      </c>
    </row>
    <row r="33" spans="1:8" x14ac:dyDescent="0.25">
      <c r="A33" s="17">
        <v>100</v>
      </c>
      <c r="B33" s="16">
        <v>1.17</v>
      </c>
      <c r="C33" s="16">
        <v>1.17</v>
      </c>
      <c r="D33" s="16">
        <v>1.17</v>
      </c>
      <c r="E33" s="16">
        <v>1.17</v>
      </c>
      <c r="F33" s="16">
        <v>1.17</v>
      </c>
      <c r="G33" s="16">
        <v>1.17</v>
      </c>
      <c r="H33" s="16">
        <v>1.17</v>
      </c>
    </row>
    <row r="34" spans="1:8" x14ac:dyDescent="0.25">
      <c r="A34" s="17">
        <v>125</v>
      </c>
      <c r="B34" s="16">
        <v>1.1599999999999999</v>
      </c>
      <c r="C34" s="16">
        <v>1.1599999999999999</v>
      </c>
      <c r="D34" s="16">
        <v>1.1599999999999999</v>
      </c>
      <c r="E34" s="16">
        <v>1.1599999999999999</v>
      </c>
      <c r="F34" s="16">
        <v>1.1599999999999999</v>
      </c>
      <c r="G34" s="16">
        <v>1.1599999999999999</v>
      </c>
      <c r="H34" s="16">
        <v>1.1599999999999999</v>
      </c>
    </row>
    <row r="35" spans="1:8" x14ac:dyDescent="0.25">
      <c r="A35" s="17">
        <v>150</v>
      </c>
      <c r="B35" s="16">
        <v>1.1599999999999999</v>
      </c>
      <c r="C35" s="16">
        <v>1.1599999999999999</v>
      </c>
      <c r="D35" s="16">
        <v>1.1599999999999999</v>
      </c>
      <c r="E35" s="16">
        <v>1.1599999999999999</v>
      </c>
      <c r="F35" s="16">
        <v>1.1599999999999999</v>
      </c>
      <c r="G35" s="16">
        <v>1.1599999999999999</v>
      </c>
      <c r="H35" s="16">
        <v>1.1599999999999999</v>
      </c>
    </row>
    <row r="36" spans="1:8" x14ac:dyDescent="0.25">
      <c r="A36" s="17">
        <v>200</v>
      </c>
      <c r="B36" s="16">
        <v>1.1499999999999999</v>
      </c>
      <c r="C36" s="16">
        <v>1.1499999999999999</v>
      </c>
      <c r="D36" s="16">
        <v>1.1499999999999999</v>
      </c>
      <c r="E36" s="16">
        <v>1.1499999999999999</v>
      </c>
      <c r="F36" s="16">
        <v>1.1499999999999999</v>
      </c>
      <c r="G36" s="16">
        <v>1.1499999999999999</v>
      </c>
      <c r="H36" s="16">
        <v>1.1499999999999999</v>
      </c>
    </row>
    <row r="37" spans="1:8" x14ac:dyDescent="0.25">
      <c r="A37" s="17">
        <v>300</v>
      </c>
      <c r="B37" s="16">
        <v>1.1399999999999999</v>
      </c>
      <c r="C37" s="16">
        <v>1.1399999999999999</v>
      </c>
      <c r="D37" s="16">
        <v>1.1399999999999999</v>
      </c>
      <c r="E37" s="16">
        <v>1.1399999999999999</v>
      </c>
      <c r="F37" s="16">
        <v>1.1399999999999999</v>
      </c>
      <c r="G37" s="16">
        <v>1.1399999999999999</v>
      </c>
      <c r="H37" s="16">
        <v>1.1399999999999999</v>
      </c>
    </row>
    <row r="38" spans="1:8" x14ac:dyDescent="0.25">
      <c r="A38" s="17">
        <v>400</v>
      </c>
      <c r="B38" s="16">
        <v>1.1200000000000001</v>
      </c>
      <c r="C38" s="16">
        <v>1.1200000000000001</v>
      </c>
      <c r="D38" s="16">
        <v>1.1200000000000001</v>
      </c>
      <c r="E38" s="16">
        <v>1.1200000000000001</v>
      </c>
      <c r="F38" s="16">
        <v>1.1200000000000001</v>
      </c>
      <c r="G38" s="16">
        <v>1.1200000000000001</v>
      </c>
      <c r="H38" s="16">
        <v>1.1200000000000001</v>
      </c>
    </row>
    <row r="39" spans="1:8" x14ac:dyDescent="0.25">
      <c r="A39" s="17">
        <v>500</v>
      </c>
      <c r="B39" s="16">
        <v>1.1200000000000001</v>
      </c>
      <c r="C39" s="16">
        <v>1.1200000000000001</v>
      </c>
      <c r="D39" s="16">
        <v>1.1200000000000001</v>
      </c>
      <c r="E39" s="16">
        <v>1.1200000000000001</v>
      </c>
      <c r="F39" s="16">
        <v>1.1200000000000001</v>
      </c>
      <c r="G39" s="16">
        <v>1.1200000000000001</v>
      </c>
      <c r="H39" s="16">
        <v>1.1200000000000001</v>
      </c>
    </row>
    <row r="40" spans="1:8" x14ac:dyDescent="0.25">
      <c r="A40" s="17">
        <v>700</v>
      </c>
      <c r="B40" s="16">
        <v>1.1100000000000001</v>
      </c>
      <c r="C40" s="16">
        <v>1.1100000000000001</v>
      </c>
      <c r="D40" s="16">
        <v>1.1100000000000001</v>
      </c>
      <c r="E40" s="16">
        <v>1.1100000000000001</v>
      </c>
      <c r="F40" s="16">
        <v>1.1100000000000001</v>
      </c>
      <c r="G40" s="16">
        <v>1.1100000000000001</v>
      </c>
      <c r="H40" s="16">
        <v>1.1100000000000001</v>
      </c>
    </row>
    <row r="41" spans="1:8" x14ac:dyDescent="0.25">
      <c r="A41" s="17">
        <v>1000</v>
      </c>
      <c r="B41" s="16">
        <v>1.1100000000000001</v>
      </c>
      <c r="C41" s="16">
        <v>1.1100000000000001</v>
      </c>
      <c r="D41" s="16">
        <v>1.1100000000000001</v>
      </c>
      <c r="E41" s="16">
        <v>1.1100000000000001</v>
      </c>
      <c r="F41" s="16">
        <v>1.1100000000000001</v>
      </c>
      <c r="G41" s="16">
        <v>1.1100000000000001</v>
      </c>
      <c r="H41" s="16">
        <v>1.1100000000000001</v>
      </c>
    </row>
    <row r="42" spans="1:8" x14ac:dyDescent="0.25">
      <c r="A42" s="17">
        <v>1250</v>
      </c>
      <c r="B42" s="16">
        <v>1.1100000000000001</v>
      </c>
      <c r="C42" s="16">
        <v>1.1100000000000001</v>
      </c>
      <c r="D42" s="16">
        <v>1.1100000000000001</v>
      </c>
      <c r="E42" s="16">
        <v>1.1100000000000001</v>
      </c>
      <c r="F42" s="16">
        <v>1.1100000000000001</v>
      </c>
      <c r="G42" s="16">
        <v>1.1100000000000001</v>
      </c>
      <c r="H42" s="16">
        <v>1.1100000000000001</v>
      </c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7"/>
  <dimension ref="A1:K39"/>
  <sheetViews>
    <sheetView workbookViewId="0">
      <selection activeCell="J17" sqref="J17"/>
    </sheetView>
  </sheetViews>
  <sheetFormatPr defaultRowHeight="15" x14ac:dyDescent="0.25"/>
  <cols>
    <col min="1" max="16384" width="9.140625" style="4"/>
  </cols>
  <sheetData>
    <row r="1" spans="1:11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11" x14ac:dyDescent="0.25">
      <c r="A2" s="4">
        <v>1.5</v>
      </c>
      <c r="B2" s="14">
        <v>6.6399999999999999E-168</v>
      </c>
      <c r="C2" s="14">
        <v>1.2899999999999999E-173</v>
      </c>
      <c r="D2" s="14">
        <v>8.2000000000000001E-193</v>
      </c>
      <c r="E2" s="14">
        <v>1.04E-233</v>
      </c>
      <c r="F2" s="14" t="s">
        <v>160</v>
      </c>
      <c r="G2" s="14">
        <v>0</v>
      </c>
      <c r="H2" s="14"/>
    </row>
    <row r="3" spans="1:11" x14ac:dyDescent="0.25">
      <c r="A3" s="4">
        <v>2</v>
      </c>
      <c r="B3" s="14">
        <v>1.7700000000000001E-75</v>
      </c>
      <c r="C3" s="14">
        <v>4.94E-78</v>
      </c>
      <c r="D3" s="14">
        <v>1.2900000000000001E-86</v>
      </c>
      <c r="E3" s="14">
        <v>6.65E-105</v>
      </c>
      <c r="F3" s="14">
        <v>4.82E-144</v>
      </c>
      <c r="G3" s="14">
        <v>6.5900000000000001E-246</v>
      </c>
      <c r="H3" s="14"/>
    </row>
    <row r="4" spans="1:11" x14ac:dyDescent="0.25">
      <c r="A4" s="4">
        <v>3</v>
      </c>
      <c r="B4" s="14">
        <v>5.9900000000000003E-24</v>
      </c>
      <c r="C4" s="14">
        <v>9.6200000000000003E-25</v>
      </c>
      <c r="D4" s="14">
        <v>2.0700000000000001E-27</v>
      </c>
      <c r="E4" s="14">
        <v>4.3000000000000003E-33</v>
      </c>
      <c r="F4" s="14">
        <v>3.0000000000000001E-45</v>
      </c>
      <c r="G4" s="14">
        <v>7.2200000000000005E-77</v>
      </c>
      <c r="H4" s="14"/>
    </row>
    <row r="5" spans="1:11" x14ac:dyDescent="0.25">
      <c r="A5" s="4">
        <v>4</v>
      </c>
      <c r="B5" s="14">
        <v>1.21E-10</v>
      </c>
      <c r="C5" s="14">
        <v>5.5299999999999999E-11</v>
      </c>
      <c r="D5" s="14">
        <v>4.0100000000000001E-12</v>
      </c>
      <c r="E5" s="14">
        <v>1.4999999999999999E-14</v>
      </c>
      <c r="F5" s="14">
        <v>9.6900000000000003E-20</v>
      </c>
      <c r="G5" s="14">
        <v>3.1999999999999998E-33</v>
      </c>
      <c r="H5" s="14"/>
    </row>
    <row r="6" spans="1:11" x14ac:dyDescent="0.25">
      <c r="A6" s="4">
        <v>5</v>
      </c>
      <c r="B6" s="14">
        <v>8.4500000000000004E-6</v>
      </c>
      <c r="C6" s="14">
        <v>5.66E-6</v>
      </c>
      <c r="D6" s="14">
        <v>1.48E-6</v>
      </c>
      <c r="E6" s="14">
        <v>8.4499999999999996E-8</v>
      </c>
      <c r="F6" s="14">
        <v>1.88E-10</v>
      </c>
      <c r="G6" s="14">
        <v>2.4899999999999998E-17</v>
      </c>
      <c r="H6" s="14"/>
      <c r="K6" s="14">
        <v>0</v>
      </c>
    </row>
    <row r="7" spans="1:11" x14ac:dyDescent="0.25">
      <c r="A7" s="4">
        <v>6</v>
      </c>
      <c r="B7" s="14">
        <v>1.2099999999999999E-3</v>
      </c>
      <c r="C7" s="14">
        <v>9.5699999999999995E-4</v>
      </c>
      <c r="D7" s="14">
        <v>4.4200000000000001E-4</v>
      </c>
      <c r="E7" s="14">
        <v>8.5099999999999995E-5</v>
      </c>
      <c r="F7" s="14">
        <v>2.5399999999999998E-6</v>
      </c>
      <c r="G7" s="14">
        <v>2.9200000000000003E-10</v>
      </c>
      <c r="H7" s="14"/>
      <c r="K7" s="14">
        <v>0</v>
      </c>
    </row>
    <row r="8" spans="1:11" x14ac:dyDescent="0.25">
      <c r="A8" s="4">
        <v>8</v>
      </c>
      <c r="B8" s="14">
        <v>6.1400000000000003E-2</v>
      </c>
      <c r="C8" s="14">
        <v>5.57E-2</v>
      </c>
      <c r="D8" s="14">
        <v>4.0399999999999998E-2</v>
      </c>
      <c r="E8" s="14">
        <v>2.0299999999999999E-2</v>
      </c>
      <c r="F8" s="14">
        <v>4.7499999999999999E-3</v>
      </c>
      <c r="G8" s="14">
        <v>1.16E-4</v>
      </c>
      <c r="H8" s="14"/>
      <c r="K8" s="14">
        <v>1.4799999999999999E-187</v>
      </c>
    </row>
    <row r="9" spans="1:11" x14ac:dyDescent="0.25">
      <c r="A9" s="4">
        <v>10</v>
      </c>
      <c r="B9" s="14">
        <v>0.24399999999999999</v>
      </c>
      <c r="C9" s="14">
        <v>0.23200000000000001</v>
      </c>
      <c r="D9" s="14">
        <v>0.19700000000000001</v>
      </c>
      <c r="E9" s="14">
        <v>0.13900000000000001</v>
      </c>
      <c r="F9" s="14">
        <v>6.6900000000000001E-2</v>
      </c>
      <c r="G9" s="14">
        <v>1.0699999999999999E-2</v>
      </c>
      <c r="H9" s="14">
        <v>2.4399999999999999E-4</v>
      </c>
      <c r="K9" s="14">
        <v>9.7100000000000007E-80</v>
      </c>
    </row>
    <row r="10" spans="1:11" x14ac:dyDescent="0.25">
      <c r="A10" s="4">
        <v>20</v>
      </c>
      <c r="B10" s="4">
        <v>0.91900000000000004</v>
      </c>
      <c r="C10" s="4">
        <v>0.91200000000000003</v>
      </c>
      <c r="D10" s="4">
        <v>0.89100000000000001</v>
      </c>
      <c r="E10" s="4">
        <v>0.84499999999999997</v>
      </c>
      <c r="F10" s="4">
        <v>0.755</v>
      </c>
      <c r="G10" s="4">
        <v>0.56200000000000006</v>
      </c>
      <c r="H10" s="4">
        <v>0.20200000000000001</v>
      </c>
      <c r="K10" s="14">
        <v>1.74E-40</v>
      </c>
    </row>
    <row r="11" spans="1:11" x14ac:dyDescent="0.25">
      <c r="A11" s="4">
        <v>30</v>
      </c>
      <c r="B11" s="4">
        <v>1.22</v>
      </c>
      <c r="C11" s="4">
        <v>1.21</v>
      </c>
      <c r="D11" s="4">
        <v>1.2</v>
      </c>
      <c r="E11" s="4">
        <v>1.17</v>
      </c>
      <c r="F11" s="4">
        <v>1.1000000000000001</v>
      </c>
      <c r="G11" s="4">
        <v>0.94499999999999995</v>
      </c>
      <c r="H11" s="4">
        <v>0.58799999999999997</v>
      </c>
      <c r="K11" s="14">
        <v>5.0599999999999999E-23</v>
      </c>
    </row>
    <row r="12" spans="1:11" x14ac:dyDescent="0.25">
      <c r="A12" s="4">
        <v>40</v>
      </c>
      <c r="B12" s="4">
        <v>1.45</v>
      </c>
      <c r="C12" s="4">
        <v>1.44</v>
      </c>
      <c r="D12" s="4">
        <v>1.42</v>
      </c>
      <c r="E12" s="4">
        <v>1.39</v>
      </c>
      <c r="F12" s="4">
        <v>1.32</v>
      </c>
      <c r="G12" s="4">
        <v>1.18</v>
      </c>
      <c r="H12" s="4">
        <v>0.84599999999999997</v>
      </c>
      <c r="K12" s="14">
        <v>3.3999999999999998E-9</v>
      </c>
    </row>
    <row r="13" spans="1:11" x14ac:dyDescent="0.25">
      <c r="A13" s="4">
        <v>50</v>
      </c>
      <c r="B13" s="4">
        <v>1.6</v>
      </c>
      <c r="C13" s="4">
        <v>1.59</v>
      </c>
      <c r="D13" s="4">
        <v>1.57</v>
      </c>
      <c r="E13" s="4">
        <v>1.54</v>
      </c>
      <c r="F13" s="4">
        <v>1.47</v>
      </c>
      <c r="G13" s="4">
        <v>1.33</v>
      </c>
      <c r="H13" s="4">
        <v>1.01</v>
      </c>
    </row>
    <row r="14" spans="1:11" x14ac:dyDescent="0.25">
      <c r="A14" s="4">
        <v>60</v>
      </c>
      <c r="B14" s="4">
        <v>1.67</v>
      </c>
      <c r="C14" s="4">
        <v>1.66</v>
      </c>
      <c r="D14" s="4">
        <v>1.64</v>
      </c>
      <c r="E14" s="4">
        <v>1.61</v>
      </c>
      <c r="F14" s="4">
        <v>1.54</v>
      </c>
      <c r="G14" s="4">
        <v>1.41</v>
      </c>
      <c r="H14" s="4">
        <v>1.1100000000000001</v>
      </c>
    </row>
    <row r="15" spans="1:11" x14ac:dyDescent="0.25">
      <c r="A15" s="4">
        <v>70</v>
      </c>
      <c r="B15" s="4">
        <v>1.67</v>
      </c>
      <c r="C15" s="4">
        <v>1.67</v>
      </c>
      <c r="D15" s="4">
        <v>1.65</v>
      </c>
      <c r="E15" s="4">
        <v>1.62</v>
      </c>
      <c r="F15" s="4">
        <v>1.57</v>
      </c>
      <c r="G15" s="4">
        <v>1.44</v>
      </c>
      <c r="H15" s="4">
        <v>1.1499999999999999</v>
      </c>
    </row>
    <row r="16" spans="1:11" x14ac:dyDescent="0.25">
      <c r="A16" s="4">
        <v>80</v>
      </c>
      <c r="B16" s="4">
        <v>1.65</v>
      </c>
      <c r="C16" s="4">
        <v>1.65</v>
      </c>
      <c r="D16" s="4">
        <v>1.63</v>
      </c>
      <c r="E16" s="4">
        <v>1.61</v>
      </c>
      <c r="F16" s="4">
        <v>1.56</v>
      </c>
      <c r="G16" s="4">
        <v>1.45</v>
      </c>
      <c r="H16" s="4">
        <v>1.17</v>
      </c>
    </row>
    <row r="17" spans="1:8" x14ac:dyDescent="0.25">
      <c r="A17" s="4">
        <v>90</v>
      </c>
      <c r="B17" s="4">
        <v>1.61</v>
      </c>
      <c r="C17" s="4">
        <v>1.61</v>
      </c>
      <c r="D17" s="4">
        <v>1.6</v>
      </c>
      <c r="E17" s="4">
        <v>1.58</v>
      </c>
      <c r="F17" s="4">
        <v>1.54</v>
      </c>
      <c r="G17" s="4">
        <v>1.44</v>
      </c>
      <c r="H17" s="4">
        <v>1.18</v>
      </c>
    </row>
    <row r="18" spans="1:8" x14ac:dyDescent="0.25">
      <c r="A18" s="4">
        <v>100</v>
      </c>
      <c r="B18" s="4">
        <v>1.58</v>
      </c>
      <c r="C18" s="4">
        <v>1.58</v>
      </c>
      <c r="D18" s="4">
        <v>1.57</v>
      </c>
      <c r="E18" s="4">
        <v>1.55</v>
      </c>
      <c r="F18" s="4">
        <v>1.51</v>
      </c>
      <c r="G18" s="4">
        <v>1.42</v>
      </c>
      <c r="H18" s="4">
        <v>1.17</v>
      </c>
    </row>
    <row r="19" spans="1:8" x14ac:dyDescent="0.25">
      <c r="A19" s="4">
        <v>110</v>
      </c>
      <c r="B19" s="4">
        <v>1.55</v>
      </c>
      <c r="C19" s="4">
        <v>1.55</v>
      </c>
      <c r="D19" s="4">
        <v>1.54</v>
      </c>
      <c r="E19" s="4">
        <v>1.53</v>
      </c>
      <c r="F19" s="4">
        <v>1.49</v>
      </c>
      <c r="G19" s="4">
        <v>1.41</v>
      </c>
      <c r="H19" s="4">
        <v>1.17</v>
      </c>
    </row>
    <row r="20" spans="1:8" x14ac:dyDescent="0.25">
      <c r="A20" s="4">
        <v>150</v>
      </c>
      <c r="B20" s="4">
        <v>1.45</v>
      </c>
      <c r="C20" s="4">
        <v>1.45</v>
      </c>
      <c r="D20" s="4">
        <v>1.44</v>
      </c>
      <c r="E20" s="4">
        <v>1.44</v>
      </c>
      <c r="F20" s="4">
        <v>1.42</v>
      </c>
      <c r="G20" s="4">
        <v>1.36</v>
      </c>
      <c r="H20" s="4">
        <v>1.1499999999999999</v>
      </c>
    </row>
    <row r="21" spans="1:8" x14ac:dyDescent="0.25">
      <c r="A21" s="4">
        <v>200</v>
      </c>
      <c r="B21" s="4">
        <v>1.37</v>
      </c>
      <c r="C21" s="4">
        <v>1.37</v>
      </c>
      <c r="D21" s="4">
        <v>1.37</v>
      </c>
      <c r="E21" s="4">
        <v>1.37</v>
      </c>
      <c r="F21" s="4">
        <v>1.36</v>
      </c>
      <c r="G21" s="4">
        <v>1.32</v>
      </c>
      <c r="H21" s="4">
        <v>1.1399999999999999</v>
      </c>
    </row>
    <row r="22" spans="1:8" x14ac:dyDescent="0.25">
      <c r="A22" s="4">
        <v>300</v>
      </c>
      <c r="B22" s="4">
        <v>1.29</v>
      </c>
      <c r="C22" s="4">
        <v>1.29</v>
      </c>
      <c r="D22" s="4">
        <v>1.29</v>
      </c>
      <c r="E22" s="4">
        <v>1.29</v>
      </c>
      <c r="F22" s="4">
        <v>1.29</v>
      </c>
      <c r="G22" s="4">
        <v>1.27</v>
      </c>
      <c r="H22" s="4">
        <v>1.1299999999999999</v>
      </c>
    </row>
    <row r="23" spans="1:8" x14ac:dyDescent="0.25">
      <c r="A23" s="4">
        <v>400</v>
      </c>
      <c r="B23" s="4">
        <v>1.24</v>
      </c>
      <c r="C23" s="4">
        <v>1.24</v>
      </c>
      <c r="D23" s="4">
        <v>1.24</v>
      </c>
      <c r="E23" s="4">
        <v>1.25</v>
      </c>
      <c r="F23" s="4">
        <v>1.25</v>
      </c>
      <c r="G23" s="4">
        <v>1.24</v>
      </c>
      <c r="H23" s="4">
        <v>1.1200000000000001</v>
      </c>
    </row>
    <row r="24" spans="1:8" x14ac:dyDescent="0.25">
      <c r="A24" s="4">
        <v>500</v>
      </c>
      <c r="B24" s="4">
        <v>1.21</v>
      </c>
      <c r="C24" s="4">
        <v>1.21</v>
      </c>
      <c r="D24" s="4">
        <v>1.21</v>
      </c>
      <c r="E24" s="4">
        <v>1.22</v>
      </c>
      <c r="F24" s="4">
        <v>1.23</v>
      </c>
      <c r="G24" s="4">
        <v>1.21</v>
      </c>
      <c r="H24" s="4">
        <v>1.1100000000000001</v>
      </c>
    </row>
    <row r="25" spans="1:8" x14ac:dyDescent="0.25">
      <c r="A25" s="4">
        <v>600</v>
      </c>
      <c r="B25" s="4">
        <v>1.19</v>
      </c>
      <c r="C25" s="4">
        <v>1.19</v>
      </c>
      <c r="D25" s="4">
        <v>1.2</v>
      </c>
      <c r="E25" s="4">
        <v>1.2</v>
      </c>
      <c r="F25" s="4">
        <v>1.21</v>
      </c>
      <c r="G25" s="4">
        <v>1.2</v>
      </c>
      <c r="H25" s="4">
        <v>1.1100000000000001</v>
      </c>
    </row>
    <row r="26" spans="1:8" x14ac:dyDescent="0.25">
      <c r="A26" s="4">
        <v>700</v>
      </c>
      <c r="B26" s="4">
        <v>1.18</v>
      </c>
      <c r="C26" s="4">
        <v>1.18</v>
      </c>
      <c r="D26" s="4">
        <v>1.18</v>
      </c>
      <c r="E26" s="4">
        <v>1.19</v>
      </c>
      <c r="F26" s="4">
        <v>1.19</v>
      </c>
      <c r="G26" s="4">
        <v>1.19</v>
      </c>
      <c r="H26" s="4">
        <v>1.1100000000000001</v>
      </c>
    </row>
    <row r="27" spans="1:8" x14ac:dyDescent="0.25">
      <c r="A27" s="4">
        <v>800</v>
      </c>
      <c r="B27" s="4">
        <v>1.17</v>
      </c>
      <c r="C27" s="4">
        <v>1.17</v>
      </c>
      <c r="D27" s="4">
        <v>1.17</v>
      </c>
      <c r="E27" s="4">
        <v>1.18</v>
      </c>
      <c r="F27" s="4">
        <v>1.18</v>
      </c>
      <c r="G27" s="4">
        <v>1.18</v>
      </c>
      <c r="H27" s="4">
        <v>1.1000000000000001</v>
      </c>
    </row>
    <row r="28" spans="1:8" x14ac:dyDescent="0.25">
      <c r="A28" s="4">
        <v>900</v>
      </c>
      <c r="B28" s="4">
        <v>1.1599999999999999</v>
      </c>
      <c r="C28" s="4">
        <v>1.1599999999999999</v>
      </c>
      <c r="D28" s="4">
        <v>1.1599999999999999</v>
      </c>
      <c r="E28" s="4">
        <v>1.17</v>
      </c>
      <c r="F28" s="4">
        <v>1.17</v>
      </c>
      <c r="G28" s="4">
        <v>1.17</v>
      </c>
      <c r="H28" s="4">
        <v>1.1000000000000001</v>
      </c>
    </row>
    <row r="29" spans="1:8" x14ac:dyDescent="0.25">
      <c r="A29" s="4">
        <v>1000</v>
      </c>
      <c r="B29" s="4">
        <v>1.1499999999999999</v>
      </c>
      <c r="C29" s="4">
        <v>1.1499999999999999</v>
      </c>
      <c r="D29" s="4">
        <v>1.1499999999999999</v>
      </c>
      <c r="E29" s="4">
        <v>1.1599999999999999</v>
      </c>
      <c r="F29" s="4">
        <v>1.1599999999999999</v>
      </c>
      <c r="G29" s="4">
        <v>1.1599999999999999</v>
      </c>
      <c r="H29" s="4">
        <v>1.1000000000000001</v>
      </c>
    </row>
    <row r="30" spans="1:8" x14ac:dyDescent="0.25">
      <c r="A30" s="4">
        <v>1100</v>
      </c>
      <c r="B30" s="4">
        <v>1.1399999999999999</v>
      </c>
      <c r="C30" s="4">
        <v>1.1399999999999999</v>
      </c>
      <c r="D30" s="4">
        <v>1.1499999999999999</v>
      </c>
      <c r="E30" s="4">
        <v>1.1499999999999999</v>
      </c>
      <c r="F30" s="4">
        <v>1.1599999999999999</v>
      </c>
      <c r="G30" s="4">
        <v>1.1599999999999999</v>
      </c>
      <c r="H30" s="4">
        <v>1.1000000000000001</v>
      </c>
    </row>
    <row r="31" spans="1:8" x14ac:dyDescent="0.25">
      <c r="A31" s="4">
        <v>1500</v>
      </c>
      <c r="B31" s="4">
        <v>1.1299999999999999</v>
      </c>
      <c r="C31" s="4">
        <v>1.1299999999999999</v>
      </c>
      <c r="D31" s="4">
        <v>1.1299999999999999</v>
      </c>
      <c r="E31" s="4">
        <v>1.1399999999999999</v>
      </c>
      <c r="F31" s="4">
        <v>1.1399999999999999</v>
      </c>
      <c r="G31" s="4">
        <v>1.1399999999999999</v>
      </c>
      <c r="H31" s="4">
        <v>1.0900000000000001</v>
      </c>
    </row>
    <row r="32" spans="1:8" x14ac:dyDescent="0.25">
      <c r="A32" s="4">
        <v>2000</v>
      </c>
      <c r="B32" s="4">
        <v>1.1200000000000001</v>
      </c>
      <c r="C32" s="4">
        <v>1.1200000000000001</v>
      </c>
      <c r="D32" s="4">
        <v>1.1200000000000001</v>
      </c>
      <c r="E32" s="4">
        <v>1.1299999999999999</v>
      </c>
      <c r="F32" s="4">
        <v>1.1299999999999999</v>
      </c>
      <c r="G32" s="4">
        <v>1.1299999999999999</v>
      </c>
      <c r="H32" s="4">
        <v>1.0900000000000001</v>
      </c>
    </row>
    <row r="33" spans="1:8" x14ac:dyDescent="0.25">
      <c r="A33" s="4">
        <v>3000</v>
      </c>
      <c r="B33" s="4">
        <v>1.1100000000000001</v>
      </c>
      <c r="C33" s="4">
        <v>1.1100000000000001</v>
      </c>
      <c r="D33" s="4">
        <v>1.1100000000000001</v>
      </c>
      <c r="E33" s="4">
        <v>1.1100000000000001</v>
      </c>
      <c r="F33" s="4">
        <v>1.1200000000000001</v>
      </c>
      <c r="G33" s="4">
        <v>1.1100000000000001</v>
      </c>
      <c r="H33" s="4">
        <v>1.08</v>
      </c>
    </row>
    <row r="34" spans="1:8" x14ac:dyDescent="0.25">
      <c r="A34" s="4">
        <v>4000</v>
      </c>
      <c r="B34" s="4">
        <v>1.1000000000000001</v>
      </c>
      <c r="C34" s="4">
        <v>1.1000000000000001</v>
      </c>
      <c r="D34" s="4">
        <v>1.1000000000000001</v>
      </c>
      <c r="E34" s="4">
        <v>1.1000000000000001</v>
      </c>
      <c r="F34" s="4">
        <v>1.1000000000000001</v>
      </c>
      <c r="G34" s="4">
        <v>1.1000000000000001</v>
      </c>
      <c r="H34" s="4">
        <v>1.08</v>
      </c>
    </row>
    <row r="35" spans="1:8" x14ac:dyDescent="0.25">
      <c r="A35" s="4">
        <v>5000</v>
      </c>
      <c r="B35" s="4">
        <v>1.1000000000000001</v>
      </c>
      <c r="C35" s="4">
        <v>1.1000000000000001</v>
      </c>
      <c r="D35" s="4">
        <v>1.1000000000000001</v>
      </c>
      <c r="E35" s="4">
        <v>1.1000000000000001</v>
      </c>
      <c r="F35" s="4">
        <v>1.1000000000000001</v>
      </c>
      <c r="G35" s="4">
        <v>1.0900000000000001</v>
      </c>
      <c r="H35" s="4">
        <v>1.07</v>
      </c>
    </row>
    <row r="36" spans="1:8" x14ac:dyDescent="0.25">
      <c r="A36" s="4">
        <v>6000</v>
      </c>
      <c r="B36" s="4">
        <v>1.0900000000000001</v>
      </c>
      <c r="C36" s="4">
        <v>1.0900000000000001</v>
      </c>
      <c r="D36" s="4">
        <v>1.0900000000000001</v>
      </c>
      <c r="E36" s="4">
        <v>1.0900000000000001</v>
      </c>
      <c r="F36" s="4">
        <v>1.0900000000000001</v>
      </c>
      <c r="G36" s="4">
        <v>1.08</v>
      </c>
      <c r="H36" s="4">
        <v>1.06</v>
      </c>
    </row>
    <row r="37" spans="1:8" x14ac:dyDescent="0.25">
      <c r="A37" s="4">
        <v>7000</v>
      </c>
      <c r="B37" s="4">
        <v>1.0900000000000001</v>
      </c>
      <c r="C37" s="4">
        <v>1.08</v>
      </c>
      <c r="D37" s="4">
        <v>1.08</v>
      </c>
      <c r="E37" s="4">
        <v>1.0900000000000001</v>
      </c>
      <c r="F37" s="4">
        <v>1.08</v>
      </c>
      <c r="G37" s="4">
        <v>1.08</v>
      </c>
      <c r="H37" s="4">
        <v>1.06</v>
      </c>
    </row>
    <row r="38" spans="1:8" x14ac:dyDescent="0.25">
      <c r="A38" s="4">
        <v>8000</v>
      </c>
      <c r="B38" s="4">
        <v>1.08</v>
      </c>
      <c r="C38" s="4">
        <v>1.08</v>
      </c>
      <c r="D38" s="4">
        <v>1.08</v>
      </c>
      <c r="E38" s="4">
        <v>1.08</v>
      </c>
      <c r="F38" s="4">
        <v>1.07</v>
      </c>
      <c r="G38" s="4">
        <v>1.07</v>
      </c>
      <c r="H38" s="4">
        <v>1.05</v>
      </c>
    </row>
    <row r="39" spans="1:8" x14ac:dyDescent="0.25">
      <c r="A39" s="4">
        <v>10000</v>
      </c>
      <c r="B39" s="4">
        <v>1.07</v>
      </c>
      <c r="C39" s="4">
        <v>1.07</v>
      </c>
      <c r="D39" s="4">
        <v>1.07</v>
      </c>
      <c r="E39" s="4">
        <v>1.07</v>
      </c>
      <c r="F39" s="4">
        <v>1.07</v>
      </c>
      <c r="G39" s="4">
        <v>1.06</v>
      </c>
      <c r="H39" s="4">
        <v>1.04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25"/>
  <dimension ref="A1:V1028"/>
  <sheetViews>
    <sheetView topLeftCell="A967" workbookViewId="0">
      <selection activeCell="F1027" sqref="F1027"/>
    </sheetView>
  </sheetViews>
  <sheetFormatPr defaultRowHeight="15" x14ac:dyDescent="0.25"/>
  <cols>
    <col min="1" max="1" width="14.85546875" style="4" customWidth="1"/>
    <col min="2" max="2" width="20" style="4" customWidth="1"/>
    <col min="3" max="3" width="13.140625" style="1" customWidth="1"/>
    <col min="4" max="4" width="16.85546875" style="1" customWidth="1"/>
    <col min="5" max="20" width="9.140625" style="1"/>
    <col min="21" max="21" width="13.28515625" style="1" customWidth="1"/>
    <col min="22" max="22" width="19.7109375" style="1" customWidth="1"/>
    <col min="23" max="16384" width="9.140625" style="1"/>
  </cols>
  <sheetData>
    <row r="1" spans="1:22" x14ac:dyDescent="0.25">
      <c r="A1" s="3" t="s">
        <v>15</v>
      </c>
      <c r="B1" s="3" t="s">
        <v>12</v>
      </c>
      <c r="C1" s="2" t="s">
        <v>19</v>
      </c>
      <c r="D1" s="2" t="s">
        <v>18</v>
      </c>
      <c r="U1" s="4" t="s">
        <v>15</v>
      </c>
      <c r="V1" s="4" t="s">
        <v>16</v>
      </c>
    </row>
    <row r="2" spans="1:22" x14ac:dyDescent="0.25">
      <c r="A2" s="16">
        <f>Place_data_here!A2</f>
        <v>15.625</v>
      </c>
      <c r="B2" s="4">
        <f>C2/$C$1028</f>
        <v>4.6248973098195149E-3</v>
      </c>
      <c r="C2" s="1">
        <f>SplineInterp(A2,Own_Spectrum_250cm!$U$2:$U$34,Own_Spectrum_250cm!$V$2:$V$34)*D2</f>
        <v>1.3941909754015716E-8</v>
      </c>
      <c r="D2" s="13">
        <f>Place_data_here!B2</f>
        <v>4.7500000000000003E-9</v>
      </c>
      <c r="U2" s="16">
        <v>2</v>
      </c>
      <c r="V2" s="16">
        <v>45.19</v>
      </c>
    </row>
    <row r="3" spans="1:22" x14ac:dyDescent="0.25">
      <c r="A3" s="16">
        <f>Place_data_here!A3</f>
        <v>46.875</v>
      </c>
      <c r="B3" s="4">
        <f t="shared" ref="B3:B66" si="0">C3/$C$1028</f>
        <v>5.4780847849770727E-4</v>
      </c>
      <c r="C3" s="1">
        <f>SplineInterp(A3,Own_Spectrum_250cm!$U$2:$U$34,Own_Spectrum_250cm!$V$2:$V$34)*D3</f>
        <v>1.6513872326384138E-9</v>
      </c>
      <c r="D3" s="13">
        <f>Place_data_here!B3</f>
        <v>4.6999999999999999E-9</v>
      </c>
      <c r="U3" s="16">
        <v>2.5</v>
      </c>
      <c r="V3" s="16">
        <v>54.8</v>
      </c>
    </row>
    <row r="4" spans="1:22" x14ac:dyDescent="0.25">
      <c r="A4" s="16">
        <f>Place_data_here!A4</f>
        <v>78.125</v>
      </c>
      <c r="B4" s="4">
        <f t="shared" si="0"/>
        <v>3.8089873996245394E-3</v>
      </c>
      <c r="C4" s="1">
        <f>SplineInterp(A4,Own_Spectrum_250cm!$U$2:$U$34,Own_Spectrum_250cm!$V$2:$V$34)*D4</f>
        <v>1.1482321665174596E-8</v>
      </c>
      <c r="D4" s="13">
        <f>Place_data_here!B4</f>
        <v>3.77E-8</v>
      </c>
      <c r="U4" s="16">
        <v>3</v>
      </c>
      <c r="V4" s="16">
        <v>51.3</v>
      </c>
    </row>
    <row r="5" spans="1:22" x14ac:dyDescent="0.25">
      <c r="A5" s="16">
        <f>Place_data_here!A5</f>
        <v>109.375</v>
      </c>
      <c r="B5" s="4">
        <f t="shared" si="0"/>
        <v>2.0540292808120555E-2</v>
      </c>
      <c r="C5" s="1">
        <f>SplineInterp(A5,Own_Spectrum_250cm!$U$2:$U$34,Own_Spectrum_250cm!$V$2:$V$34)*D5</f>
        <v>6.1919409117226503E-8</v>
      </c>
      <c r="D5" s="13">
        <f>Place_data_here!B5</f>
        <v>1.5099999999999999E-7</v>
      </c>
      <c r="U5" s="16">
        <v>4</v>
      </c>
      <c r="V5" s="16">
        <v>40.15</v>
      </c>
    </row>
    <row r="6" spans="1:22" x14ac:dyDescent="0.25">
      <c r="A6" s="16">
        <f>Place_data_here!A6</f>
        <v>140.65</v>
      </c>
      <c r="B6" s="4">
        <f t="shared" si="0"/>
        <v>6.1234048203411065E-3</v>
      </c>
      <c r="C6" s="1">
        <f>SplineInterp(A6,Own_Spectrum_250cm!$U$2:$U$34,Own_Spectrum_250cm!$V$2:$V$34)*D6</f>
        <v>1.845921145346082E-8</v>
      </c>
      <c r="D6" s="13">
        <f>Place_data_here!B6</f>
        <v>3.3400000000000001E-8</v>
      </c>
      <c r="U6" s="16">
        <v>5</v>
      </c>
      <c r="V6" s="16">
        <v>28.47</v>
      </c>
    </row>
    <row r="7" spans="1:22" x14ac:dyDescent="0.25">
      <c r="A7" s="16">
        <f>Place_data_here!A7</f>
        <v>171.9</v>
      </c>
      <c r="B7" s="4">
        <f t="shared" si="0"/>
        <v>8.5085707151157063E-3</v>
      </c>
      <c r="C7" s="1">
        <f>SplineInterp(A7,Own_Spectrum_250cm!$U$2:$U$34,Own_Spectrum_250cm!$V$2:$V$34)*D7</f>
        <v>2.564937491562023E-8</v>
      </c>
      <c r="D7" s="13">
        <f>Place_data_here!B7</f>
        <v>3.6099999999999999E-8</v>
      </c>
      <c r="U7" s="16">
        <v>6</v>
      </c>
      <c r="V7" s="16">
        <v>20.59</v>
      </c>
    </row>
    <row r="8" spans="1:22" x14ac:dyDescent="0.25">
      <c r="A8" s="16">
        <f>Place_data_here!A8</f>
        <v>203.15</v>
      </c>
      <c r="B8" s="4">
        <f t="shared" si="0"/>
        <v>1.2836617492625898E-2</v>
      </c>
      <c r="C8" s="1">
        <f>SplineInterp(A8,Own_Spectrum_250cm!$U$2:$U$34,Own_Spectrum_250cm!$V$2:$V$34)*D8</f>
        <v>3.8696418674860026E-8</v>
      </c>
      <c r="D8" s="13">
        <f>Place_data_here!B8</f>
        <v>4.43E-8</v>
      </c>
      <c r="U8" s="16">
        <v>7</v>
      </c>
      <c r="V8" s="16">
        <v>15.39</v>
      </c>
    </row>
    <row r="9" spans="1:22" x14ac:dyDescent="0.25">
      <c r="A9" s="16">
        <f>Place_data_here!A9</f>
        <v>234.4</v>
      </c>
      <c r="B9" s="4">
        <f t="shared" si="0"/>
        <v>1.6104404621346637E-2</v>
      </c>
      <c r="C9" s="1">
        <f>SplineInterp(A9,Own_Spectrum_250cm!$U$2:$U$34,Own_Spectrum_250cm!$V$2:$V$34)*D9</f>
        <v>4.8547273773248492E-8</v>
      </c>
      <c r="D9" s="13">
        <f>Place_data_here!B9</f>
        <v>4.6800000000000002E-8</v>
      </c>
      <c r="U9" s="16">
        <v>10</v>
      </c>
      <c r="V9" s="16">
        <v>7.5149999999999997</v>
      </c>
    </row>
    <row r="10" spans="1:22" x14ac:dyDescent="0.25">
      <c r="A10" s="16">
        <f>Place_data_here!A10</f>
        <v>265.64999999999998</v>
      </c>
      <c r="B10" s="4">
        <f t="shared" si="0"/>
        <v>2.2468907182878535E-2</v>
      </c>
      <c r="C10" s="1">
        <f>SplineInterp(A10,Own_Spectrum_250cm!$U$2:$U$34,Own_Spectrum_250cm!$V$2:$V$34)*D10</f>
        <v>6.7733282542282622E-8</v>
      </c>
      <c r="D10" s="13">
        <f>Place_data_here!B10</f>
        <v>5.6400000000000002E-8</v>
      </c>
      <c r="U10" s="16">
        <v>15</v>
      </c>
      <c r="V10" s="16">
        <v>3.198</v>
      </c>
    </row>
    <row r="11" spans="1:22" x14ac:dyDescent="0.25">
      <c r="A11" s="16">
        <f>Place_data_here!A11</f>
        <v>296.89999999999998</v>
      </c>
      <c r="B11" s="4">
        <f t="shared" si="0"/>
        <v>2.592468958279211E-2</v>
      </c>
      <c r="C11" s="1">
        <f>SplineInterp(A11,Own_Spectrum_250cm!$U$2:$U$34,Own_Spectrum_250cm!$V$2:$V$34)*D11</f>
        <v>7.8150855759922596E-8</v>
      </c>
      <c r="D11" s="13">
        <f>Place_data_here!B11</f>
        <v>5.7299999999999997E-8</v>
      </c>
      <c r="U11" s="16">
        <v>20</v>
      </c>
      <c r="V11" s="16">
        <v>1.728</v>
      </c>
    </row>
    <row r="12" spans="1:22" x14ac:dyDescent="0.25">
      <c r="A12" s="16">
        <f>Place_data_here!A12</f>
        <v>328.15</v>
      </c>
      <c r="B12" s="4">
        <f t="shared" si="0"/>
        <v>2.9962324963615887E-2</v>
      </c>
      <c r="C12" s="1">
        <f>SplineInterp(A12,Own_Spectrum_250cm!$U$2:$U$34,Own_Spectrum_250cm!$V$2:$V$34)*D12</f>
        <v>9.032244451704956E-8</v>
      </c>
      <c r="D12" s="13">
        <f>Place_data_here!B12</f>
        <v>5.9200000000000001E-8</v>
      </c>
      <c r="U12" s="16">
        <v>30</v>
      </c>
      <c r="V12" s="16">
        <v>0.74</v>
      </c>
    </row>
    <row r="13" spans="1:22" x14ac:dyDescent="0.25">
      <c r="A13" s="16">
        <f>Place_data_here!A13</f>
        <v>359.4</v>
      </c>
      <c r="B13" s="4">
        <f t="shared" si="0"/>
        <v>3.338883500730494E-2</v>
      </c>
      <c r="C13" s="1">
        <f>SplineInterp(A13,Own_Spectrum_250cm!$U$2:$U$34,Own_Spectrum_250cm!$V$2:$V$34)*D13</f>
        <v>1.0065177522433082E-7</v>
      </c>
      <c r="D13" s="13">
        <f>Place_data_here!B13</f>
        <v>5.9699999999999999E-8</v>
      </c>
      <c r="U13" s="16">
        <v>40</v>
      </c>
      <c r="V13" s="16">
        <v>0.439</v>
      </c>
    </row>
    <row r="14" spans="1:22" x14ac:dyDescent="0.25">
      <c r="A14" s="16">
        <f>Place_data_here!A14</f>
        <v>390.65</v>
      </c>
      <c r="B14" s="4">
        <f t="shared" si="0"/>
        <v>3.8295578317280234E-2</v>
      </c>
      <c r="C14" s="1">
        <f>SplineInterp(A14,Own_Spectrum_250cm!$U$2:$U$34,Own_Spectrum_250cm!$V$2:$V$34)*D14</f>
        <v>1.1544331930219611E-7</v>
      </c>
      <c r="D14" s="13">
        <f>Place_data_here!B14</f>
        <v>6.2600000000000005E-8</v>
      </c>
      <c r="U14" s="16">
        <v>50</v>
      </c>
      <c r="V14" s="16">
        <v>0.32900000000000001</v>
      </c>
    </row>
    <row r="15" spans="1:22" x14ac:dyDescent="0.25">
      <c r="A15" s="16">
        <f>Place_data_here!A15</f>
        <v>421.9</v>
      </c>
      <c r="B15" s="4">
        <f t="shared" si="0"/>
        <v>3.7282820195275963E-2</v>
      </c>
      <c r="C15" s="1">
        <f>SplineInterp(A15,Own_Spectrum_250cm!$U$2:$U$34,Own_Spectrum_250cm!$V$2:$V$34)*D15</f>
        <v>1.1239032560444392E-7</v>
      </c>
      <c r="D15" s="13">
        <f>Place_data_here!B15</f>
        <v>5.62E-8</v>
      </c>
      <c r="U15" s="16">
        <v>60</v>
      </c>
      <c r="V15" s="16">
        <v>0.29299999999999998</v>
      </c>
    </row>
    <row r="16" spans="1:22" x14ac:dyDescent="0.25">
      <c r="A16" s="16">
        <f>Place_data_here!A16</f>
        <v>453.15</v>
      </c>
      <c r="B16" s="4">
        <f t="shared" si="0"/>
        <v>3.7209197904930019E-2</v>
      </c>
      <c r="C16" s="1">
        <f>SplineInterp(A16,Own_Spectrum_250cm!$U$2:$U$34,Own_Spectrum_250cm!$V$2:$V$34)*D16</f>
        <v>1.121683887139301E-7</v>
      </c>
      <c r="D16" s="13">
        <f>Place_data_here!B16</f>
        <v>5.2100000000000003E-8</v>
      </c>
      <c r="U16" s="16">
        <v>80</v>
      </c>
      <c r="V16" s="16">
        <v>0.309</v>
      </c>
    </row>
    <row r="17" spans="1:22" x14ac:dyDescent="0.25">
      <c r="A17" s="16">
        <f>Place_data_here!A17</f>
        <v>484.4</v>
      </c>
      <c r="B17" s="4">
        <f t="shared" si="0"/>
        <v>3.6145547761225805E-2</v>
      </c>
      <c r="C17" s="1">
        <f>SplineInterp(A17,Own_Spectrum_250cm!$U$2:$U$34,Own_Spectrum_250cm!$V$2:$V$34)*D17</f>
        <v>1.0896197929119879E-7</v>
      </c>
      <c r="D17" s="13">
        <f>Place_data_here!B17</f>
        <v>4.73E-8</v>
      </c>
      <c r="U17" s="16">
        <v>100</v>
      </c>
      <c r="V17" s="16">
        <v>0.373</v>
      </c>
    </row>
    <row r="18" spans="1:22" x14ac:dyDescent="0.25">
      <c r="A18" s="16">
        <f>Place_data_here!A18</f>
        <v>515.65</v>
      </c>
      <c r="B18" s="4">
        <f t="shared" si="0"/>
        <v>3.9124911992813032E-2</v>
      </c>
      <c r="C18" s="1">
        <f>SplineInterp(A18,Own_Spectrum_250cm!$U$2:$U$34,Own_Spectrum_250cm!$V$2:$V$34)*D18</f>
        <v>1.1794337378679948E-7</v>
      </c>
      <c r="D18" s="13">
        <f>Place_data_here!B18</f>
        <v>4.8100000000000001E-8</v>
      </c>
      <c r="U18" s="16">
        <v>150</v>
      </c>
      <c r="V18" s="16">
        <v>0.59899999999999998</v>
      </c>
    </row>
    <row r="19" spans="1:22" x14ac:dyDescent="0.25">
      <c r="A19" s="16">
        <f>Place_data_here!A19</f>
        <v>546.9</v>
      </c>
      <c r="B19" s="4">
        <f t="shared" si="0"/>
        <v>3.8612538524666722E-2</v>
      </c>
      <c r="C19" s="1">
        <f>SplineInterp(A19,Own_Spectrum_250cm!$U$2:$U$34,Own_Spectrum_250cm!$V$2:$V$34)*D19</f>
        <v>1.1639880659433858E-7</v>
      </c>
      <c r="D19" s="13">
        <f>Place_data_here!B19</f>
        <v>4.4799999999999997E-8</v>
      </c>
      <c r="U19" s="16">
        <v>200</v>
      </c>
      <c r="V19" s="16">
        <v>0.85699999999999998</v>
      </c>
    </row>
    <row r="20" spans="1:22" x14ac:dyDescent="0.25">
      <c r="A20" s="16">
        <f>Place_data_here!A20</f>
        <v>578.15</v>
      </c>
      <c r="B20" s="4">
        <f t="shared" si="0"/>
        <v>3.9566633718633719E-2</v>
      </c>
      <c r="C20" s="1">
        <f>SplineInterp(A20,Own_Spectrum_250cm!$U$2:$U$34,Own_Spectrum_250cm!$V$2:$V$34)*D20</f>
        <v>1.1927495890647438E-7</v>
      </c>
      <c r="D20" s="13">
        <f>Place_data_here!B20</f>
        <v>4.3499999999999999E-8</v>
      </c>
      <c r="U20" s="16">
        <v>300</v>
      </c>
      <c r="V20" s="16">
        <v>1.38</v>
      </c>
    </row>
    <row r="21" spans="1:22" x14ac:dyDescent="0.25">
      <c r="A21" s="16">
        <f>Place_data_here!A21</f>
        <v>609.4</v>
      </c>
      <c r="B21" s="4">
        <f t="shared" si="0"/>
        <v>3.7970759750083127E-2</v>
      </c>
      <c r="C21" s="1">
        <f>SplineInterp(A21,Own_Spectrum_250cm!$U$2:$U$34,Own_Spectrum_250cm!$V$2:$V$34)*D21</f>
        <v>1.1446414271795591E-7</v>
      </c>
      <c r="D21" s="13">
        <f>Place_data_here!B21</f>
        <v>3.9699999999999998E-8</v>
      </c>
      <c r="U21" s="16">
        <v>400</v>
      </c>
      <c r="V21" s="16">
        <v>1.891</v>
      </c>
    </row>
    <row r="22" spans="1:22" x14ac:dyDescent="0.25">
      <c r="A22" s="16">
        <f>Place_data_here!A22</f>
        <v>640.65</v>
      </c>
      <c r="B22" s="4">
        <f t="shared" si="0"/>
        <v>4.1703696986512329E-2</v>
      </c>
      <c r="C22" s="1">
        <f>SplineInterp(A22,Own_Spectrum_250cm!$U$2:$U$34,Own_Spectrum_250cm!$V$2:$V$34)*D22</f>
        <v>1.2571720858759178E-7</v>
      </c>
      <c r="D22" s="13">
        <f>Place_data_here!B22</f>
        <v>4.1600000000000002E-8</v>
      </c>
      <c r="U22" s="16">
        <v>500</v>
      </c>
      <c r="V22" s="16">
        <v>2.3780000000000001</v>
      </c>
    </row>
    <row r="23" spans="1:22" x14ac:dyDescent="0.25">
      <c r="A23" s="16">
        <f>Place_data_here!A23</f>
        <v>671.9</v>
      </c>
      <c r="B23" s="4">
        <f t="shared" si="0"/>
        <v>4.034127898318797E-2</v>
      </c>
      <c r="C23" s="1">
        <f>SplineInterp(A23,Own_Spectrum_250cm!$U$2:$U$34,Own_Spectrum_250cm!$V$2:$V$34)*D23</f>
        <v>1.2161015332189644E-7</v>
      </c>
      <c r="D23" s="13">
        <f>Place_data_here!B23</f>
        <v>3.8500000000000001E-8</v>
      </c>
      <c r="U23" s="16">
        <v>600</v>
      </c>
      <c r="V23" s="16">
        <v>2.8410000000000002</v>
      </c>
    </row>
    <row r="24" spans="1:22" x14ac:dyDescent="0.25">
      <c r="A24" s="16">
        <f>Place_data_here!A24</f>
        <v>703.15</v>
      </c>
      <c r="B24" s="4">
        <f t="shared" si="0"/>
        <v>2.884318764680463E-2</v>
      </c>
      <c r="C24" s="1">
        <f>SplineInterp(A24,Own_Spectrum_250cm!$U$2:$U$34,Own_Spectrum_250cm!$V$2:$V$34)*D24</f>
        <v>8.6948767129617424E-8</v>
      </c>
      <c r="D24" s="13">
        <f>Place_data_here!B24</f>
        <v>2.6400000000000001E-8</v>
      </c>
      <c r="U24" s="16">
        <v>700</v>
      </c>
      <c r="V24" s="16">
        <v>3.28</v>
      </c>
    </row>
    <row r="25" spans="1:22" x14ac:dyDescent="0.25">
      <c r="A25" s="16">
        <f>Place_data_here!A25</f>
        <v>734.4</v>
      </c>
      <c r="B25" s="4">
        <f t="shared" si="0"/>
        <v>3.398780434049669E-2</v>
      </c>
      <c r="C25" s="1">
        <f>SplineInterp(A25,Own_Spectrum_250cm!$U$2:$U$34,Own_Spectrum_250cm!$V$2:$V$34)*D25</f>
        <v>1.0245738858812424E-7</v>
      </c>
      <c r="D25" s="13">
        <f>Place_data_here!B25</f>
        <v>2.9900000000000003E-8</v>
      </c>
      <c r="U25" s="16">
        <v>800</v>
      </c>
      <c r="V25" s="16">
        <v>3.7</v>
      </c>
    </row>
    <row r="26" spans="1:22" x14ac:dyDescent="0.25">
      <c r="A26" s="16">
        <f>Place_data_here!A26</f>
        <v>765.65</v>
      </c>
      <c r="B26" s="4">
        <f t="shared" si="0"/>
        <v>3.4110200666017297E-2</v>
      </c>
      <c r="C26" s="1">
        <f>SplineInterp(A26,Own_Spectrum_250cm!$U$2:$U$34,Own_Spectrum_250cm!$V$2:$V$34)*D26</f>
        <v>1.0282635646142348E-7</v>
      </c>
      <c r="D26" s="13">
        <f>Place_data_here!B26</f>
        <v>2.8900000000000001E-8</v>
      </c>
      <c r="U26" s="16">
        <v>1000</v>
      </c>
      <c r="V26" s="16">
        <v>4.476</v>
      </c>
    </row>
    <row r="27" spans="1:22" x14ac:dyDescent="0.25">
      <c r="A27" s="16">
        <f>Place_data_here!A27</f>
        <v>796.9</v>
      </c>
      <c r="B27" s="4">
        <f t="shared" si="0"/>
        <v>2.8377601243286917E-2</v>
      </c>
      <c r="C27" s="1">
        <f>SplineInterp(A27,Own_Spectrum_250cm!$U$2:$U$34,Own_Spectrum_250cm!$V$2:$V$34)*D27</f>
        <v>8.5545241129859816E-8</v>
      </c>
      <c r="D27" s="13">
        <f>Place_data_here!B27</f>
        <v>2.3199999999999999E-8</v>
      </c>
      <c r="U27" s="16">
        <v>1500</v>
      </c>
      <c r="V27" s="16">
        <v>6.1360000000000001</v>
      </c>
    </row>
    <row r="28" spans="1:22" x14ac:dyDescent="0.25">
      <c r="A28" s="16">
        <f>Place_data_here!A28</f>
        <v>828.15</v>
      </c>
      <c r="B28" s="4">
        <f t="shared" si="0"/>
        <v>2.9608462202376746E-2</v>
      </c>
      <c r="C28" s="1">
        <f>SplineInterp(A28,Own_Spectrum_250cm!$U$2:$U$34,Own_Spectrum_250cm!$V$2:$V$34)*D28</f>
        <v>8.9255713225085923E-8</v>
      </c>
      <c r="D28" s="13">
        <f>Place_data_here!B28</f>
        <v>2.3400000000000001E-8</v>
      </c>
      <c r="U28" s="16">
        <v>2000</v>
      </c>
      <c r="V28" s="16">
        <v>7.5449999999999999</v>
      </c>
    </row>
    <row r="29" spans="1:22" x14ac:dyDescent="0.25">
      <c r="A29" s="16">
        <f>Place_data_here!A29</f>
        <v>859.4</v>
      </c>
      <c r="B29" s="4">
        <f t="shared" si="0"/>
        <v>2.5219903319348369E-2</v>
      </c>
      <c r="C29" s="1">
        <f>SplineInterp(A29,Own_Spectrum_250cm!$U$2:$U$34,Own_Spectrum_250cm!$V$2:$V$34)*D29</f>
        <v>7.6026253672014606E-8</v>
      </c>
      <c r="D29" s="13">
        <f>Place_data_here!B29</f>
        <v>1.9300000000000001E-8</v>
      </c>
      <c r="U29" s="16">
        <v>3000</v>
      </c>
      <c r="V29" s="16">
        <v>9.9550000000000001</v>
      </c>
    </row>
    <row r="30" spans="1:22" x14ac:dyDescent="0.25">
      <c r="A30" s="16">
        <f>Place_data_here!A30</f>
        <v>890.65</v>
      </c>
      <c r="B30" s="4">
        <f t="shared" si="0"/>
        <v>2.6409813356925653E-2</v>
      </c>
      <c r="C30" s="1">
        <f>SplineInterp(A30,Own_Spectrum_250cm!$U$2:$U$34,Own_Spectrum_250cm!$V$2:$V$34)*D30</f>
        <v>7.9613277825843292E-8</v>
      </c>
      <c r="D30" s="13">
        <f>Place_data_here!B30</f>
        <v>1.96E-8</v>
      </c>
      <c r="U30" s="16">
        <v>4000</v>
      </c>
      <c r="V30" s="16">
        <v>12.11</v>
      </c>
    </row>
    <row r="31" spans="1:22" x14ac:dyDescent="0.25">
      <c r="A31" s="16">
        <f>Place_data_here!A31</f>
        <v>921.9</v>
      </c>
      <c r="B31" s="4">
        <f t="shared" si="0"/>
        <v>1.5678484637799521E-2</v>
      </c>
      <c r="C31" s="1">
        <f>SplineInterp(A31,Own_Spectrum_250cm!$U$2:$U$34,Own_Spectrum_250cm!$V$2:$V$34)*D31</f>
        <v>4.7263323541437295E-8</v>
      </c>
      <c r="D31" s="13">
        <f>Place_data_here!B31</f>
        <v>1.13E-8</v>
      </c>
      <c r="U31" s="16">
        <v>5000</v>
      </c>
      <c r="V31" s="16">
        <v>14.15</v>
      </c>
    </row>
    <row r="32" spans="1:22" x14ac:dyDescent="0.25">
      <c r="A32" s="16">
        <f>Place_data_here!A32</f>
        <v>953.15</v>
      </c>
      <c r="B32" s="4">
        <f t="shared" si="0"/>
        <v>2.2401912297807636E-2</v>
      </c>
      <c r="C32" s="1">
        <f>SplineInterp(A32,Own_Spectrum_250cm!$U$2:$U$34,Own_Spectrum_250cm!$V$2:$V$34)*D32</f>
        <v>6.75313241896818E-8</v>
      </c>
      <c r="D32" s="13">
        <f>Place_data_here!B32</f>
        <v>1.5700000000000002E-8</v>
      </c>
      <c r="U32" s="16">
        <v>6000</v>
      </c>
      <c r="V32" s="16">
        <v>16.13</v>
      </c>
    </row>
    <row r="33" spans="1:22" x14ac:dyDescent="0.25">
      <c r="A33" s="16">
        <f>Place_data_here!A33</f>
        <v>984.4</v>
      </c>
      <c r="B33" s="4">
        <f t="shared" si="0"/>
        <v>2.6088775863258005E-2</v>
      </c>
      <c r="C33" s="1">
        <f>SplineInterp(A33,Own_Spectrum_250cm!$U$2:$U$34,Own_Spectrum_250cm!$V$2:$V$34)*D33</f>
        <v>7.8645499415960196E-8</v>
      </c>
      <c r="D33" s="13">
        <f>Place_data_here!B33</f>
        <v>1.7800000000000001E-8</v>
      </c>
      <c r="U33" s="16">
        <v>8000</v>
      </c>
      <c r="V33" s="16">
        <v>20.09</v>
      </c>
    </row>
    <row r="34" spans="1:22" x14ac:dyDescent="0.25">
      <c r="A34" s="16">
        <f>Place_data_here!A34</f>
        <v>1015.5</v>
      </c>
      <c r="B34" s="4">
        <f t="shared" si="0"/>
        <v>1.5187270125839581E-2</v>
      </c>
      <c r="C34" s="1">
        <f>SplineInterp(A34,Own_Spectrum_250cm!$U$2:$U$34,Own_Spectrum_250cm!$V$2:$V$34)*D34</f>
        <v>4.5782540739823993E-8</v>
      </c>
      <c r="D34" s="13">
        <f>Place_data_here!B34</f>
        <v>1.0099999999999999E-8</v>
      </c>
      <c r="U34" s="16">
        <v>10000</v>
      </c>
      <c r="V34" s="16">
        <v>24.08</v>
      </c>
    </row>
    <row r="35" spans="1:22" x14ac:dyDescent="0.25">
      <c r="A35" s="16">
        <f>Place_data_here!A35</f>
        <v>1047</v>
      </c>
      <c r="B35" s="4">
        <f t="shared" si="0"/>
        <v>1.7728961257415334E-2</v>
      </c>
      <c r="C35" s="1">
        <f>SplineInterp(A35,Own_Spectrum_250cm!$U$2:$U$34,Own_Spectrum_250cm!$V$2:$V$34)*D35</f>
        <v>5.3444554835525962E-8</v>
      </c>
      <c r="D35" s="13">
        <f>Place_data_here!B35</f>
        <v>1.15E-8</v>
      </c>
    </row>
    <row r="36" spans="1:22" x14ac:dyDescent="0.25">
      <c r="A36" s="16">
        <f>Place_data_here!A36</f>
        <v>1078.5</v>
      </c>
      <c r="B36" s="4">
        <f t="shared" si="0"/>
        <v>1.6580150801682628E-2</v>
      </c>
      <c r="C36" s="1">
        <f>SplineInterp(A36,Own_Spectrum_250cm!$U$2:$U$34,Own_Spectrum_250cm!$V$2:$V$34)*D36</f>
        <v>4.9981426764706142E-8</v>
      </c>
      <c r="D36" s="13">
        <f>Place_data_here!B36</f>
        <v>1.05E-8</v>
      </c>
    </row>
    <row r="37" spans="1:22" x14ac:dyDescent="0.25">
      <c r="A37" s="16">
        <f>Place_data_here!A37</f>
        <v>1109.5</v>
      </c>
      <c r="B37" s="4">
        <f t="shared" si="0"/>
        <v>1.227677390662202E-2</v>
      </c>
      <c r="C37" s="1">
        <f>SplineInterp(A37,Own_Spectrum_250cm!$U$2:$U$34,Own_Spectrum_250cm!$V$2:$V$34)*D37</f>
        <v>3.7008751202577228E-8</v>
      </c>
      <c r="D37" s="13">
        <f>Place_data_here!B37</f>
        <v>7.6000000000000002E-9</v>
      </c>
    </row>
    <row r="38" spans="1:22" x14ac:dyDescent="0.25">
      <c r="A38" s="16">
        <f>Place_data_here!A38</f>
        <v>1140.5</v>
      </c>
      <c r="B38" s="4">
        <f t="shared" si="0"/>
        <v>9.0649336596062332E-3</v>
      </c>
      <c r="C38" s="1">
        <f>SplineInterp(A38,Own_Spectrum_250cm!$U$2:$U$34,Own_Spectrum_250cm!$V$2:$V$34)*D38</f>
        <v>2.7326549876045042E-8</v>
      </c>
      <c r="D38" s="13">
        <f>Place_data_here!B38</f>
        <v>5.4899999999999999E-9</v>
      </c>
    </row>
    <row r="39" spans="1:22" x14ac:dyDescent="0.25">
      <c r="A39" s="16">
        <f>Place_data_here!A39</f>
        <v>1172</v>
      </c>
      <c r="B39" s="4">
        <f t="shared" si="0"/>
        <v>1.0594765720505765E-2</v>
      </c>
      <c r="C39" s="1">
        <f>SplineInterp(A39,Own_Spectrum_250cm!$U$2:$U$34,Own_Spectrum_250cm!$V$2:$V$34)*D39</f>
        <v>3.1938280494706821E-8</v>
      </c>
      <c r="D39" s="13">
        <f>Place_data_here!B39</f>
        <v>6.2799999999999998E-9</v>
      </c>
    </row>
    <row r="40" spans="1:22" x14ac:dyDescent="0.25">
      <c r="A40" s="16">
        <f>Place_data_here!A40</f>
        <v>1203.5</v>
      </c>
      <c r="B40" s="4">
        <f t="shared" si="0"/>
        <v>8.9568874776089404E-3</v>
      </c>
      <c r="C40" s="1">
        <f>SplineInterp(A40,Own_Spectrum_250cm!$U$2:$U$34,Own_Spectrum_250cm!$V$2:$V$34)*D40</f>
        <v>2.7000840996958384E-8</v>
      </c>
      <c r="D40" s="13">
        <f>Place_data_here!B40</f>
        <v>5.2000000000000002E-9</v>
      </c>
    </row>
    <row r="41" spans="1:22" x14ac:dyDescent="0.25">
      <c r="A41" s="16">
        <f>Place_data_here!A41</f>
        <v>1234.5</v>
      </c>
      <c r="B41" s="4">
        <f t="shared" si="0"/>
        <v>1.3246865120188054E-2</v>
      </c>
      <c r="C41" s="1">
        <f>SplineInterp(A41,Own_Spectrum_250cm!$U$2:$U$34,Own_Spectrum_250cm!$V$2:$V$34)*D41</f>
        <v>3.9933124058161568E-8</v>
      </c>
      <c r="D41" s="13">
        <f>Place_data_here!B41</f>
        <v>7.54E-9</v>
      </c>
    </row>
    <row r="42" spans="1:22" x14ac:dyDescent="0.25">
      <c r="A42" s="16">
        <f>Place_data_here!A42</f>
        <v>1265.5</v>
      </c>
      <c r="B42" s="4">
        <f t="shared" si="0"/>
        <v>5.7307114142265267E-3</v>
      </c>
      <c r="C42" s="1">
        <f>SplineInterp(A42,Own_Spectrum_250cm!$U$2:$U$34,Own_Spectrum_250cm!$V$2:$V$34)*D42</f>
        <v>1.7275423865913245E-8</v>
      </c>
      <c r="D42" s="13">
        <f>Place_data_here!B42</f>
        <v>3.2000000000000001E-9</v>
      </c>
    </row>
    <row r="43" spans="1:22" x14ac:dyDescent="0.25">
      <c r="A43" s="16">
        <f>Place_data_here!A43</f>
        <v>1297</v>
      </c>
      <c r="B43" s="4">
        <f t="shared" si="0"/>
        <v>5.4748145022727518E-3</v>
      </c>
      <c r="C43" s="1">
        <f>SplineInterp(A43,Own_Spectrum_250cm!$U$2:$U$34,Own_Spectrum_250cm!$V$2:$V$34)*D43</f>
        <v>1.6504013948288488E-8</v>
      </c>
      <c r="D43" s="13">
        <f>Place_data_here!B43</f>
        <v>3E-9</v>
      </c>
    </row>
    <row r="44" spans="1:22" x14ac:dyDescent="0.25">
      <c r="A44" s="16">
        <f>Place_data_here!A44</f>
        <v>1328.5</v>
      </c>
      <c r="B44" s="4">
        <f t="shared" si="0"/>
        <v>4.6465415268760199E-3</v>
      </c>
      <c r="C44" s="1">
        <f>SplineInterp(A44,Own_Spectrum_250cm!$U$2:$U$34,Own_Spectrum_250cm!$V$2:$V$34)*D44</f>
        <v>1.4007156980209781E-8</v>
      </c>
      <c r="D44" s="13">
        <f>Place_data_here!B44</f>
        <v>2.5000000000000001E-9</v>
      </c>
    </row>
    <row r="45" spans="1:22" x14ac:dyDescent="0.25">
      <c r="A45" s="16">
        <f>Place_data_here!A45</f>
        <v>1359.5</v>
      </c>
      <c r="B45" s="4">
        <f t="shared" si="0"/>
        <v>7.2250491527570968E-3</v>
      </c>
      <c r="C45" s="1">
        <f>SplineInterp(A45,Own_Spectrum_250cm!$U$2:$U$34,Own_Spectrum_250cm!$V$2:$V$34)*D45</f>
        <v>2.1780155646309505E-8</v>
      </c>
      <c r="D45" s="13">
        <f>Place_data_here!B45</f>
        <v>3.8199999999999996E-9</v>
      </c>
    </row>
    <row r="46" spans="1:22" x14ac:dyDescent="0.25">
      <c r="A46" s="16">
        <f>Place_data_here!A46</f>
        <v>1390.5</v>
      </c>
      <c r="B46" s="4">
        <f t="shared" si="0"/>
        <v>3.4820136500006097E-3</v>
      </c>
      <c r="C46" s="1">
        <f>SplineInterp(A46,Own_Spectrum_250cm!$U$2:$U$34,Own_Spectrum_250cm!$V$2:$V$34)*D46</f>
        <v>1.0496648210434288E-8</v>
      </c>
      <c r="D46" s="13">
        <f>Place_data_here!B46</f>
        <v>1.81E-9</v>
      </c>
    </row>
    <row r="47" spans="1:22" x14ac:dyDescent="0.25">
      <c r="A47" s="16">
        <f>Place_data_here!A47</f>
        <v>1422</v>
      </c>
      <c r="B47" s="4">
        <f t="shared" si="0"/>
        <v>2.5823391500698245E-3</v>
      </c>
      <c r="C47" s="1">
        <f>SplineInterp(A47,Own_Spectrum_250cm!$U$2:$U$34,Own_Spectrum_250cm!$V$2:$V$34)*D47</f>
        <v>7.7845489256798519E-9</v>
      </c>
      <c r="D47" s="13">
        <f>Place_data_here!B47</f>
        <v>1.32E-9</v>
      </c>
    </row>
    <row r="48" spans="1:22" x14ac:dyDescent="0.25">
      <c r="A48" s="16">
        <f>Place_data_here!A48</f>
        <v>1453.5</v>
      </c>
      <c r="B48" s="4">
        <f t="shared" si="0"/>
        <v>2.6447379525088646E-3</v>
      </c>
      <c r="C48" s="1">
        <f>SplineInterp(A48,Own_Spectrum_250cm!$U$2:$U$34,Own_Spectrum_250cm!$V$2:$V$34)*D48</f>
        <v>7.9726522313503732E-9</v>
      </c>
      <c r="D48" s="13">
        <f>Place_data_here!B48</f>
        <v>1.33E-9</v>
      </c>
    </row>
    <row r="49" spans="1:4" x14ac:dyDescent="0.25">
      <c r="A49" s="16">
        <f>Place_data_here!A49</f>
        <v>1484.5</v>
      </c>
      <c r="B49" s="4">
        <f t="shared" si="0"/>
        <v>1.0927655839036625E-3</v>
      </c>
      <c r="C49" s="1">
        <f>SplineInterp(A49,Own_Spectrum_250cm!$U$2:$U$34,Own_Spectrum_250cm!$V$2:$V$34)*D49</f>
        <v>3.2941789044119774E-9</v>
      </c>
      <c r="D49" s="13">
        <f>Place_data_here!B49</f>
        <v>5.4099999999999999E-10</v>
      </c>
    </row>
    <row r="50" spans="1:4" x14ac:dyDescent="0.25">
      <c r="A50" s="16">
        <f>Place_data_here!A50</f>
        <v>1515.5</v>
      </c>
      <c r="B50" s="4">
        <f t="shared" si="0"/>
        <v>3.261044094494315E-3</v>
      </c>
      <c r="C50" s="1">
        <f>SplineInterp(A50,Own_Spectrum_250cm!$U$2:$U$34,Own_Spectrum_250cm!$V$2:$V$34)*D50</f>
        <v>9.8305279930809755E-9</v>
      </c>
      <c r="D50" s="13">
        <f>Place_data_here!B50</f>
        <v>1.5900000000000001E-9</v>
      </c>
    </row>
    <row r="51" spans="1:4" x14ac:dyDescent="0.25">
      <c r="A51" s="16">
        <f>Place_data_here!A51</f>
        <v>1547</v>
      </c>
      <c r="B51" s="4">
        <f t="shared" si="0"/>
        <v>2.9567883124601842E-3</v>
      </c>
      <c r="C51" s="1">
        <f>SplineInterp(A51,Own_Spectrum_250cm!$U$2:$U$34,Own_Spectrum_250cm!$V$2:$V$34)*D51</f>
        <v>8.9133386219243499E-9</v>
      </c>
      <c r="D51" s="13">
        <f>Place_data_here!B51</f>
        <v>1.4200000000000001E-9</v>
      </c>
    </row>
    <row r="52" spans="1:4" x14ac:dyDescent="0.25">
      <c r="A52" s="16">
        <f>Place_data_here!A52</f>
        <v>1578.5</v>
      </c>
      <c r="B52" s="4">
        <f t="shared" si="0"/>
        <v>3.7192767156432002E-3</v>
      </c>
      <c r="C52" s="1">
        <f>SplineInterp(A52,Own_Spectrum_250cm!$U$2:$U$34,Own_Spectrum_250cm!$V$2:$V$34)*D52</f>
        <v>1.1211885766547549E-8</v>
      </c>
      <c r="D52" s="13">
        <f>Place_data_here!B52</f>
        <v>1.7599999999999999E-9</v>
      </c>
    </row>
    <row r="53" spans="1:4" x14ac:dyDescent="0.25">
      <c r="A53" s="16">
        <f>Place_data_here!A53</f>
        <v>1609.5</v>
      </c>
      <c r="B53" s="4">
        <f t="shared" si="0"/>
        <v>2.936503732799218E-3</v>
      </c>
      <c r="C53" s="1">
        <f>SplineInterp(A53,Own_Spectrum_250cm!$U$2:$U$34,Own_Spectrum_250cm!$V$2:$V$34)*D53</f>
        <v>8.8521900687595305E-9</v>
      </c>
      <c r="D53" s="13">
        <f>Place_data_here!B53</f>
        <v>1.37E-9</v>
      </c>
    </row>
    <row r="54" spans="1:4" x14ac:dyDescent="0.25">
      <c r="A54" s="16">
        <f>Place_data_here!A54</f>
        <v>1640.5</v>
      </c>
      <c r="B54" s="4">
        <f t="shared" si="0"/>
        <v>1.7756431315250408E-3</v>
      </c>
      <c r="C54" s="1">
        <f>SplineInterp(A54,Own_Spectrum_250cm!$U$2:$U$34,Own_Spectrum_250cm!$V$2:$V$34)*D54</f>
        <v>5.3527364256280244E-9</v>
      </c>
      <c r="D54" s="13">
        <f>Place_data_here!B54</f>
        <v>8.1699999999999997E-10</v>
      </c>
    </row>
    <row r="55" spans="1:4" x14ac:dyDescent="0.25">
      <c r="A55" s="16">
        <f>Place_data_here!A55</f>
        <v>1672</v>
      </c>
      <c r="B55" s="4">
        <f t="shared" si="0"/>
        <v>1.2692261839357293E-3</v>
      </c>
      <c r="C55" s="1">
        <f>SplineInterp(A55,Own_Spectrum_250cm!$U$2:$U$34,Own_Spectrum_250cm!$V$2:$V$34)*D55</f>
        <v>3.8261253663502961E-9</v>
      </c>
      <c r="D55" s="13">
        <f>Place_data_here!B55</f>
        <v>5.7599999999999998E-10</v>
      </c>
    </row>
    <row r="56" spans="1:4" x14ac:dyDescent="0.25">
      <c r="A56" s="16">
        <f>Place_data_here!A56</f>
        <v>1703.5</v>
      </c>
      <c r="B56" s="4">
        <f t="shared" si="0"/>
        <v>0</v>
      </c>
      <c r="C56" s="1">
        <f>SplineInterp(A56,Own_Spectrum_250cm!$U$2:$U$34,Own_Spectrum_250cm!$V$2:$V$34)*D56</f>
        <v>0</v>
      </c>
      <c r="D56" s="13">
        <f>Place_data_here!B56</f>
        <v>0</v>
      </c>
    </row>
    <row r="57" spans="1:4" x14ac:dyDescent="0.25">
      <c r="A57" s="16">
        <f>Place_data_here!A57</f>
        <v>1734.5</v>
      </c>
      <c r="B57" s="4">
        <f t="shared" si="0"/>
        <v>6.4935241883487419E-4</v>
      </c>
      <c r="C57" s="1">
        <f>SplineInterp(A57,Own_Spectrum_250cm!$U$2:$U$34,Own_Spectrum_250cm!$V$2:$V$34)*D57</f>
        <v>1.9574948837730907E-9</v>
      </c>
      <c r="D57" s="13">
        <f>Place_data_here!B57</f>
        <v>2.8699999999999999E-10</v>
      </c>
    </row>
    <row r="58" spans="1:4" x14ac:dyDescent="0.25">
      <c r="A58" s="16">
        <f>Place_data_here!A58</f>
        <v>1765.5</v>
      </c>
      <c r="B58" s="4">
        <f t="shared" si="0"/>
        <v>1.1411471016932371E-3</v>
      </c>
      <c r="C58" s="1">
        <f>SplineInterp(A58,Own_Spectrum_250cm!$U$2:$U$34,Own_Spectrum_250cm!$V$2:$V$34)*D58</f>
        <v>3.4400266302311865E-9</v>
      </c>
      <c r="D58" s="13">
        <f>Place_data_here!B58</f>
        <v>4.9800000000000004E-10</v>
      </c>
    </row>
    <row r="59" spans="1:4" x14ac:dyDescent="0.25">
      <c r="A59" s="16">
        <f>Place_data_here!A59</f>
        <v>1797</v>
      </c>
      <c r="B59" s="4">
        <f t="shared" si="0"/>
        <v>1.8611132452062045E-3</v>
      </c>
      <c r="C59" s="1">
        <f>SplineInterp(A59,Own_Spectrum_250cm!$U$2:$U$34,Own_Spectrum_250cm!$V$2:$V$34)*D59</f>
        <v>5.6103889813027686E-9</v>
      </c>
      <c r="D59" s="13">
        <f>Place_data_here!B59</f>
        <v>8.0200000000000002E-10</v>
      </c>
    </row>
    <row r="60" spans="1:4" x14ac:dyDescent="0.25">
      <c r="A60" s="16">
        <f>Place_data_here!A60</f>
        <v>1828.5</v>
      </c>
      <c r="B60" s="4">
        <f t="shared" si="0"/>
        <v>5.9441862533057322E-4</v>
      </c>
      <c r="C60" s="1">
        <f>SplineInterp(A60,Own_Spectrum_250cm!$U$2:$U$34,Own_Spectrum_250cm!$V$2:$V$34)*D60</f>
        <v>1.791895100647833E-9</v>
      </c>
      <c r="D60" s="13">
        <f>Place_data_here!B60</f>
        <v>2.5300000000000001E-10</v>
      </c>
    </row>
    <row r="61" spans="1:4" x14ac:dyDescent="0.25">
      <c r="A61" s="16">
        <f>Place_data_here!A61</f>
        <v>1859.5</v>
      </c>
      <c r="B61" s="4">
        <f t="shared" si="0"/>
        <v>0</v>
      </c>
      <c r="C61" s="1">
        <f>SplineInterp(A61,Own_Spectrum_250cm!$U$2:$U$34,Own_Spectrum_250cm!$V$2:$V$34)*D61</f>
        <v>0</v>
      </c>
      <c r="D61" s="13">
        <f>Place_data_here!B61</f>
        <v>0</v>
      </c>
    </row>
    <row r="62" spans="1:4" x14ac:dyDescent="0.25">
      <c r="A62" s="16">
        <f>Place_data_here!A62</f>
        <v>1890.5</v>
      </c>
      <c r="B62" s="4">
        <f t="shared" si="0"/>
        <v>6.783995607909665E-4</v>
      </c>
      <c r="C62" s="1">
        <f>SplineInterp(A62,Own_Spectrum_250cm!$U$2:$U$34,Own_Spectrum_250cm!$V$2:$V$34)*D62</f>
        <v>2.0450584780834099E-9</v>
      </c>
      <c r="D62" s="13">
        <f>Place_data_here!B62</f>
        <v>2.8200000000000001E-10</v>
      </c>
    </row>
    <row r="63" spans="1:4" x14ac:dyDescent="0.25">
      <c r="A63" s="16">
        <f>Place_data_here!A63</f>
        <v>1922</v>
      </c>
      <c r="B63" s="4">
        <f t="shared" si="0"/>
        <v>8.226557843892256E-4</v>
      </c>
      <c r="C63" s="1">
        <f>SplineInterp(A63,Own_Spectrum_250cm!$U$2:$U$34,Own_Spectrum_250cm!$V$2:$V$34)*D63</f>
        <v>2.4799237553279173E-9</v>
      </c>
      <c r="D63" s="13">
        <f>Place_data_here!B63</f>
        <v>3.3800000000000002E-10</v>
      </c>
    </row>
    <row r="64" spans="1:4" x14ac:dyDescent="0.25">
      <c r="A64" s="16">
        <f>Place_data_here!A64</f>
        <v>1953.5</v>
      </c>
      <c r="B64" s="4">
        <f t="shared" si="0"/>
        <v>0</v>
      </c>
      <c r="C64" s="1">
        <f>SplineInterp(A64,Own_Spectrum_250cm!$U$2:$U$34,Own_Spectrum_250cm!$V$2:$V$34)*D64</f>
        <v>0</v>
      </c>
      <c r="D64" s="13">
        <f>Place_data_here!B64</f>
        <v>0</v>
      </c>
    </row>
    <row r="65" spans="1:4" x14ac:dyDescent="0.25">
      <c r="A65" s="16">
        <f>Place_data_here!A65</f>
        <v>1984.5</v>
      </c>
      <c r="B65" s="4">
        <f t="shared" si="0"/>
        <v>0</v>
      </c>
      <c r="C65" s="1">
        <f>SplineInterp(A65,Own_Spectrum_250cm!$U$2:$U$34,Own_Spectrum_250cm!$V$2:$V$34)*D65</f>
        <v>0</v>
      </c>
      <c r="D65" s="13">
        <f>Place_data_here!B65</f>
        <v>0</v>
      </c>
    </row>
    <row r="66" spans="1:4" x14ac:dyDescent="0.25">
      <c r="A66" s="16">
        <f>Place_data_here!A66</f>
        <v>2015.5</v>
      </c>
      <c r="B66" s="4">
        <f t="shared" si="0"/>
        <v>0</v>
      </c>
      <c r="C66" s="1">
        <f>SplineInterp(A66,Own_Spectrum_250cm!$U$2:$U$34,Own_Spectrum_250cm!$V$2:$V$34)*D66</f>
        <v>0</v>
      </c>
      <c r="D66" s="13">
        <f>Place_data_here!B66</f>
        <v>0</v>
      </c>
    </row>
    <row r="67" spans="1:4" x14ac:dyDescent="0.25">
      <c r="A67" s="16">
        <f>Place_data_here!A67</f>
        <v>2046.5</v>
      </c>
      <c r="B67" s="4">
        <f t="shared" ref="B67:B130" si="1">C67/$C$1028</f>
        <v>0</v>
      </c>
      <c r="C67" s="1">
        <f>SplineInterp(A67,Own_Spectrum_250cm!$U$2:$U$34,Own_Spectrum_250cm!$V$2:$V$34)*D67</f>
        <v>0</v>
      </c>
      <c r="D67" s="13">
        <f>Place_data_here!B67</f>
        <v>0</v>
      </c>
    </row>
    <row r="68" spans="1:4" x14ac:dyDescent="0.25">
      <c r="A68" s="16">
        <f>Place_data_here!A68</f>
        <v>2078</v>
      </c>
      <c r="B68" s="4">
        <f t="shared" si="1"/>
        <v>0</v>
      </c>
      <c r="C68" s="1">
        <f>SplineInterp(A68,Own_Spectrum_250cm!$U$2:$U$34,Own_Spectrum_250cm!$V$2:$V$34)*D68</f>
        <v>0</v>
      </c>
      <c r="D68" s="13">
        <f>Place_data_here!B68</f>
        <v>0</v>
      </c>
    </row>
    <row r="69" spans="1:4" x14ac:dyDescent="0.25">
      <c r="A69" s="16">
        <f>Place_data_here!A69</f>
        <v>2109.5</v>
      </c>
      <c r="B69" s="4">
        <f t="shared" si="1"/>
        <v>0</v>
      </c>
      <c r="C69" s="1">
        <f>SplineInterp(A69,Own_Spectrum_250cm!$U$2:$U$34,Own_Spectrum_250cm!$V$2:$V$34)*D69</f>
        <v>0</v>
      </c>
      <c r="D69" s="13">
        <f>Place_data_here!B69</f>
        <v>0</v>
      </c>
    </row>
    <row r="70" spans="1:4" x14ac:dyDescent="0.25">
      <c r="A70" s="16">
        <f>Place_data_here!A70</f>
        <v>2140.5</v>
      </c>
      <c r="B70" s="4">
        <f t="shared" si="1"/>
        <v>0</v>
      </c>
      <c r="C70" s="1">
        <f>SplineInterp(A70,Own_Spectrum_250cm!$U$2:$U$34,Own_Spectrum_250cm!$V$2:$V$34)*D70</f>
        <v>0</v>
      </c>
      <c r="D70" s="13">
        <f>Place_data_here!B70</f>
        <v>0</v>
      </c>
    </row>
    <row r="71" spans="1:4" x14ac:dyDescent="0.25">
      <c r="A71" s="16">
        <f>Place_data_here!A71</f>
        <v>2172</v>
      </c>
      <c r="B71" s="4">
        <f t="shared" si="1"/>
        <v>0</v>
      </c>
      <c r="C71" s="1">
        <f>SplineInterp(A71,Own_Spectrum_250cm!$U$2:$U$34,Own_Spectrum_250cm!$V$2:$V$34)*D71</f>
        <v>0</v>
      </c>
      <c r="D71" s="13">
        <f>Place_data_here!B71</f>
        <v>0</v>
      </c>
    </row>
    <row r="72" spans="1:4" x14ac:dyDescent="0.25">
      <c r="A72" s="16">
        <f>Place_data_here!A72</f>
        <v>2203.5</v>
      </c>
      <c r="B72" s="4">
        <f t="shared" si="1"/>
        <v>0</v>
      </c>
      <c r="C72" s="1">
        <f>SplineInterp(A72,Own_Spectrum_250cm!$U$2:$U$34,Own_Spectrum_250cm!$V$2:$V$34)*D72</f>
        <v>0</v>
      </c>
      <c r="D72" s="13">
        <f>Place_data_here!B72</f>
        <v>0</v>
      </c>
    </row>
    <row r="73" spans="1:4" x14ac:dyDescent="0.25">
      <c r="A73" s="16">
        <f>Place_data_here!A73</f>
        <v>2234.5</v>
      </c>
      <c r="B73" s="4">
        <f t="shared" si="1"/>
        <v>0</v>
      </c>
      <c r="C73" s="1">
        <f>SplineInterp(A73,Own_Spectrum_250cm!$U$2:$U$34,Own_Spectrum_250cm!$V$2:$V$34)*D73</f>
        <v>0</v>
      </c>
      <c r="D73" s="13">
        <f>Place_data_here!B73</f>
        <v>0</v>
      </c>
    </row>
    <row r="74" spans="1:4" x14ac:dyDescent="0.25">
      <c r="A74" s="16">
        <f>Place_data_here!A74</f>
        <v>2265.5</v>
      </c>
      <c r="B74" s="4">
        <f t="shared" si="1"/>
        <v>0</v>
      </c>
      <c r="C74" s="1">
        <f>SplineInterp(A74,Own_Spectrum_250cm!$U$2:$U$34,Own_Spectrum_250cm!$V$2:$V$34)*D74</f>
        <v>0</v>
      </c>
      <c r="D74" s="13">
        <f>Place_data_here!B74</f>
        <v>0</v>
      </c>
    </row>
    <row r="75" spans="1:4" x14ac:dyDescent="0.25">
      <c r="A75" s="16">
        <f>Place_data_here!A75</f>
        <v>2297</v>
      </c>
      <c r="B75" s="4">
        <f t="shared" si="1"/>
        <v>0</v>
      </c>
      <c r="C75" s="1">
        <f>SplineInterp(A75,Own_Spectrum_250cm!$U$2:$U$34,Own_Spectrum_250cm!$V$2:$V$34)*D75</f>
        <v>0</v>
      </c>
      <c r="D75" s="13">
        <f>Place_data_here!B75</f>
        <v>0</v>
      </c>
    </row>
    <row r="76" spans="1:4" x14ac:dyDescent="0.25">
      <c r="A76" s="16">
        <f>Place_data_here!A76</f>
        <v>2328.5</v>
      </c>
      <c r="B76" s="4">
        <f t="shared" si="1"/>
        <v>0</v>
      </c>
      <c r="C76" s="1">
        <f>SplineInterp(A76,Own_Spectrum_250cm!$U$2:$U$34,Own_Spectrum_250cm!$V$2:$V$34)*D76</f>
        <v>0</v>
      </c>
      <c r="D76" s="13">
        <f>Place_data_here!B76</f>
        <v>0</v>
      </c>
    </row>
    <row r="77" spans="1:4" x14ac:dyDescent="0.25">
      <c r="A77" s="16">
        <f>Place_data_here!A77</f>
        <v>2359.5</v>
      </c>
      <c r="B77" s="4">
        <f t="shared" si="1"/>
        <v>0</v>
      </c>
      <c r="C77" s="1">
        <f>SplineInterp(A77,Own_Spectrum_250cm!$U$2:$U$34,Own_Spectrum_250cm!$V$2:$V$34)*D77</f>
        <v>0</v>
      </c>
      <c r="D77" s="13">
        <f>Place_data_here!B77</f>
        <v>0</v>
      </c>
    </row>
    <row r="78" spans="1:4" x14ac:dyDescent="0.25">
      <c r="A78" s="16">
        <f>Place_data_here!A78</f>
        <v>2390.5</v>
      </c>
      <c r="B78" s="4">
        <f t="shared" si="1"/>
        <v>0</v>
      </c>
      <c r="C78" s="1">
        <f>SplineInterp(A78,Own_Spectrum_250cm!$U$2:$U$34,Own_Spectrum_250cm!$V$2:$V$34)*D78</f>
        <v>0</v>
      </c>
      <c r="D78" s="13">
        <f>Place_data_here!B78</f>
        <v>0</v>
      </c>
    </row>
    <row r="79" spans="1:4" x14ac:dyDescent="0.25">
      <c r="A79" s="16">
        <f>Place_data_here!A79</f>
        <v>2422</v>
      </c>
      <c r="B79" s="4">
        <f t="shared" si="1"/>
        <v>0</v>
      </c>
      <c r="C79" s="1">
        <f>SplineInterp(A79,Own_Spectrum_250cm!$U$2:$U$34,Own_Spectrum_250cm!$V$2:$V$34)*D79</f>
        <v>0</v>
      </c>
      <c r="D79" s="13">
        <f>Place_data_here!B79</f>
        <v>0</v>
      </c>
    </row>
    <row r="80" spans="1:4" x14ac:dyDescent="0.25">
      <c r="A80" s="16">
        <f>Place_data_here!A80</f>
        <v>2453.5</v>
      </c>
      <c r="B80" s="4">
        <f t="shared" si="1"/>
        <v>0</v>
      </c>
      <c r="C80" s="1">
        <f>SplineInterp(A80,Own_Spectrum_250cm!$U$2:$U$34,Own_Spectrum_250cm!$V$2:$V$34)*D80</f>
        <v>0</v>
      </c>
      <c r="D80" s="13">
        <f>Place_data_here!B80</f>
        <v>0</v>
      </c>
    </row>
    <row r="81" spans="1:4" x14ac:dyDescent="0.25">
      <c r="A81" s="16">
        <f>Place_data_here!A81</f>
        <v>2484.5</v>
      </c>
      <c r="B81" s="4">
        <f t="shared" si="1"/>
        <v>0</v>
      </c>
      <c r="C81" s="1">
        <f>SplineInterp(A81,Own_Spectrum_250cm!$U$2:$U$34,Own_Spectrum_250cm!$V$2:$V$34)*D81</f>
        <v>0</v>
      </c>
      <c r="D81" s="13">
        <f>Place_data_here!B81</f>
        <v>0</v>
      </c>
    </row>
    <row r="82" spans="1:4" x14ac:dyDescent="0.25">
      <c r="A82" s="16">
        <f>Place_data_here!A82</f>
        <v>0</v>
      </c>
      <c r="B82" s="4" t="e">
        <f t="shared" si="1"/>
        <v>#VALUE!</v>
      </c>
      <c r="C82" s="1" t="e">
        <f>SplineInterp(A82,Own_Spectrum_250cm!$U$2:$U$34,Own_Spectrum_250cm!$V$2:$V$34)*D82</f>
        <v>#VALUE!</v>
      </c>
      <c r="D82" s="13">
        <f>Place_data_here!B82</f>
        <v>0</v>
      </c>
    </row>
    <row r="83" spans="1:4" x14ac:dyDescent="0.25">
      <c r="A83" s="16">
        <f>Place_data_here!A83</f>
        <v>0</v>
      </c>
      <c r="B83" s="4" t="e">
        <f t="shared" si="1"/>
        <v>#VALUE!</v>
      </c>
      <c r="C83" s="1" t="e">
        <f>SplineInterp(A83,Own_Spectrum_250cm!$U$2:$U$34,Own_Spectrum_250cm!$V$2:$V$34)*D83</f>
        <v>#VALUE!</v>
      </c>
      <c r="D83" s="13">
        <f>Place_data_here!B83</f>
        <v>0</v>
      </c>
    </row>
    <row r="84" spans="1:4" x14ac:dyDescent="0.25">
      <c r="A84" s="16">
        <f>Place_data_here!A84</f>
        <v>0</v>
      </c>
      <c r="B84" s="4" t="e">
        <f t="shared" si="1"/>
        <v>#VALUE!</v>
      </c>
      <c r="C84" s="1" t="e">
        <f>SplineInterp(A84,Own_Spectrum_250cm!$U$2:$U$34,Own_Spectrum_250cm!$V$2:$V$34)*D84</f>
        <v>#VALUE!</v>
      </c>
      <c r="D84" s="13">
        <f>Place_data_here!B84</f>
        <v>0</v>
      </c>
    </row>
    <row r="85" spans="1:4" x14ac:dyDescent="0.25">
      <c r="A85" s="16">
        <f>Place_data_here!A85</f>
        <v>0</v>
      </c>
      <c r="B85" s="4" t="e">
        <f t="shared" si="1"/>
        <v>#VALUE!</v>
      </c>
      <c r="C85" s="1" t="e">
        <f>SplineInterp(A85,Own_Spectrum_250cm!$U$2:$U$34,Own_Spectrum_250cm!$V$2:$V$34)*D85</f>
        <v>#VALUE!</v>
      </c>
      <c r="D85" s="13">
        <f>Place_data_here!B85</f>
        <v>0</v>
      </c>
    </row>
    <row r="86" spans="1:4" x14ac:dyDescent="0.25">
      <c r="A86" s="16">
        <f>Place_data_here!A86</f>
        <v>0</v>
      </c>
      <c r="B86" s="4" t="e">
        <f t="shared" si="1"/>
        <v>#VALUE!</v>
      </c>
      <c r="C86" s="1" t="e">
        <f>SplineInterp(A86,Own_Spectrum_250cm!$U$2:$U$34,Own_Spectrum_250cm!$V$2:$V$34)*D86</f>
        <v>#VALUE!</v>
      </c>
      <c r="D86" s="13">
        <f>Place_data_here!B86</f>
        <v>0</v>
      </c>
    </row>
    <row r="87" spans="1:4" x14ac:dyDescent="0.25">
      <c r="A87" s="16">
        <f>Place_data_here!A87</f>
        <v>0</v>
      </c>
      <c r="B87" s="4" t="e">
        <f t="shared" si="1"/>
        <v>#VALUE!</v>
      </c>
      <c r="C87" s="1" t="e">
        <f>SplineInterp(A87,Own_Spectrum_250cm!$U$2:$U$34,Own_Spectrum_250cm!$V$2:$V$34)*D87</f>
        <v>#VALUE!</v>
      </c>
      <c r="D87" s="13">
        <f>Place_data_here!B87</f>
        <v>0</v>
      </c>
    </row>
    <row r="88" spans="1:4" x14ac:dyDescent="0.25">
      <c r="A88" s="16">
        <f>Place_data_here!A88</f>
        <v>0</v>
      </c>
      <c r="B88" s="4" t="e">
        <f t="shared" si="1"/>
        <v>#VALUE!</v>
      </c>
      <c r="C88" s="1" t="e">
        <f>SplineInterp(A88,Own_Spectrum_250cm!$U$2:$U$34,Own_Spectrum_250cm!$V$2:$V$34)*D88</f>
        <v>#VALUE!</v>
      </c>
      <c r="D88" s="13">
        <f>Place_data_here!B88</f>
        <v>0</v>
      </c>
    </row>
    <row r="89" spans="1:4" x14ac:dyDescent="0.25">
      <c r="A89" s="16">
        <f>Place_data_here!A89</f>
        <v>0</v>
      </c>
      <c r="B89" s="4" t="e">
        <f t="shared" si="1"/>
        <v>#VALUE!</v>
      </c>
      <c r="C89" s="1" t="e">
        <f>SplineInterp(A89,Own_Spectrum_250cm!$U$2:$U$34,Own_Spectrum_250cm!$V$2:$V$34)*D89</f>
        <v>#VALUE!</v>
      </c>
      <c r="D89" s="13">
        <f>Place_data_here!B89</f>
        <v>0</v>
      </c>
    </row>
    <row r="90" spans="1:4" x14ac:dyDescent="0.25">
      <c r="A90" s="16">
        <f>Place_data_here!A90</f>
        <v>0</v>
      </c>
      <c r="B90" s="4" t="e">
        <f t="shared" si="1"/>
        <v>#VALUE!</v>
      </c>
      <c r="C90" s="1" t="e">
        <f>SplineInterp(A90,Own_Spectrum_250cm!$U$2:$U$34,Own_Spectrum_250cm!$V$2:$V$34)*D90</f>
        <v>#VALUE!</v>
      </c>
      <c r="D90" s="13">
        <f>Place_data_here!B90</f>
        <v>0</v>
      </c>
    </row>
    <row r="91" spans="1:4" x14ac:dyDescent="0.25">
      <c r="A91" s="16">
        <f>Place_data_here!A91</f>
        <v>0</v>
      </c>
      <c r="B91" s="4" t="e">
        <f t="shared" si="1"/>
        <v>#VALUE!</v>
      </c>
      <c r="C91" s="1" t="e">
        <f>SplineInterp(A91,Own_Spectrum_250cm!$U$2:$U$34,Own_Spectrum_250cm!$V$2:$V$34)*D91</f>
        <v>#VALUE!</v>
      </c>
      <c r="D91" s="13">
        <f>Place_data_here!B91</f>
        <v>0</v>
      </c>
    </row>
    <row r="92" spans="1:4" x14ac:dyDescent="0.25">
      <c r="A92" s="16">
        <f>Place_data_here!A92</f>
        <v>0</v>
      </c>
      <c r="B92" s="4" t="e">
        <f t="shared" si="1"/>
        <v>#VALUE!</v>
      </c>
      <c r="C92" s="1" t="e">
        <f>SplineInterp(A92,Own_Spectrum_250cm!$U$2:$U$34,Own_Spectrum_250cm!$V$2:$V$34)*D92</f>
        <v>#VALUE!</v>
      </c>
      <c r="D92" s="13">
        <f>Place_data_here!B92</f>
        <v>0</v>
      </c>
    </row>
    <row r="93" spans="1:4" x14ac:dyDescent="0.25">
      <c r="A93" s="16">
        <f>Place_data_here!A93</f>
        <v>0</v>
      </c>
      <c r="B93" s="4" t="e">
        <f t="shared" si="1"/>
        <v>#VALUE!</v>
      </c>
      <c r="C93" s="1" t="e">
        <f>SplineInterp(A93,Own_Spectrum_250cm!$U$2:$U$34,Own_Spectrum_250cm!$V$2:$V$34)*D93</f>
        <v>#VALUE!</v>
      </c>
      <c r="D93" s="13">
        <f>Place_data_here!B93</f>
        <v>0</v>
      </c>
    </row>
    <row r="94" spans="1:4" x14ac:dyDescent="0.25">
      <c r="A94" s="16">
        <f>Place_data_here!A94</f>
        <v>0</v>
      </c>
      <c r="B94" s="4" t="e">
        <f t="shared" si="1"/>
        <v>#VALUE!</v>
      </c>
      <c r="C94" s="1" t="e">
        <f>SplineInterp(A94,Own_Spectrum_250cm!$U$2:$U$34,Own_Spectrum_250cm!$V$2:$V$34)*D94</f>
        <v>#VALUE!</v>
      </c>
      <c r="D94" s="13">
        <f>Place_data_here!B94</f>
        <v>0</v>
      </c>
    </row>
    <row r="95" spans="1:4" x14ac:dyDescent="0.25">
      <c r="A95" s="16">
        <f>Place_data_here!A95</f>
        <v>0</v>
      </c>
      <c r="B95" s="4" t="e">
        <f t="shared" si="1"/>
        <v>#VALUE!</v>
      </c>
      <c r="C95" s="1" t="e">
        <f>SplineInterp(A95,Own_Spectrum_250cm!$U$2:$U$34,Own_Spectrum_250cm!$V$2:$V$34)*D95</f>
        <v>#VALUE!</v>
      </c>
      <c r="D95" s="13">
        <f>Place_data_here!B95</f>
        <v>0</v>
      </c>
    </row>
    <row r="96" spans="1:4" x14ac:dyDescent="0.25">
      <c r="A96" s="16">
        <f>Place_data_here!A96</f>
        <v>0</v>
      </c>
      <c r="B96" s="4" t="e">
        <f t="shared" si="1"/>
        <v>#VALUE!</v>
      </c>
      <c r="C96" s="1" t="e">
        <f>SplineInterp(A96,Own_Spectrum_250cm!$U$2:$U$34,Own_Spectrum_250cm!$V$2:$V$34)*D96</f>
        <v>#VALUE!</v>
      </c>
      <c r="D96" s="13">
        <f>Place_data_here!B96</f>
        <v>0</v>
      </c>
    </row>
    <row r="97" spans="1:4" x14ac:dyDescent="0.25">
      <c r="A97" s="16">
        <f>Place_data_here!A97</f>
        <v>0</v>
      </c>
      <c r="B97" s="4" t="e">
        <f t="shared" si="1"/>
        <v>#VALUE!</v>
      </c>
      <c r="C97" s="1" t="e">
        <f>SplineInterp(A97,Own_Spectrum_250cm!$U$2:$U$34,Own_Spectrum_250cm!$V$2:$V$34)*D97</f>
        <v>#VALUE!</v>
      </c>
      <c r="D97" s="13">
        <f>Place_data_here!B97</f>
        <v>0</v>
      </c>
    </row>
    <row r="98" spans="1:4" x14ac:dyDescent="0.25">
      <c r="A98" s="16">
        <f>Place_data_here!A98</f>
        <v>0</v>
      </c>
      <c r="B98" s="4" t="e">
        <f t="shared" si="1"/>
        <v>#VALUE!</v>
      </c>
      <c r="C98" s="1" t="e">
        <f>SplineInterp(A98,Own_Spectrum_250cm!$U$2:$U$34,Own_Spectrum_250cm!$V$2:$V$34)*D98</f>
        <v>#VALUE!</v>
      </c>
      <c r="D98" s="13">
        <f>Place_data_here!B98</f>
        <v>0</v>
      </c>
    </row>
    <row r="99" spans="1:4" x14ac:dyDescent="0.25">
      <c r="A99" s="16">
        <f>Place_data_here!A99</f>
        <v>0</v>
      </c>
      <c r="B99" s="4" t="e">
        <f t="shared" si="1"/>
        <v>#VALUE!</v>
      </c>
      <c r="C99" s="1" t="e">
        <f>SplineInterp(A99,Own_Spectrum_250cm!$U$2:$U$34,Own_Spectrum_250cm!$V$2:$V$34)*D99</f>
        <v>#VALUE!</v>
      </c>
      <c r="D99" s="13">
        <f>Place_data_here!B99</f>
        <v>0</v>
      </c>
    </row>
    <row r="100" spans="1:4" x14ac:dyDescent="0.25">
      <c r="A100" s="16">
        <f>Place_data_here!A100</f>
        <v>0</v>
      </c>
      <c r="B100" s="4" t="e">
        <f t="shared" si="1"/>
        <v>#VALUE!</v>
      </c>
      <c r="C100" s="1" t="e">
        <f>SplineInterp(A100,Own_Spectrum_250cm!$U$2:$U$34,Own_Spectrum_250cm!$V$2:$V$34)*D100</f>
        <v>#VALUE!</v>
      </c>
      <c r="D100" s="13">
        <f>Place_data_here!B100</f>
        <v>0</v>
      </c>
    </row>
    <row r="101" spans="1:4" x14ac:dyDescent="0.25">
      <c r="A101" s="16">
        <f>Place_data_here!A101</f>
        <v>0</v>
      </c>
      <c r="B101" s="4" t="e">
        <f t="shared" si="1"/>
        <v>#VALUE!</v>
      </c>
      <c r="C101" s="1" t="e">
        <f>SplineInterp(A101,Own_Spectrum_250cm!$U$2:$U$34,Own_Spectrum_250cm!$V$2:$V$34)*D101</f>
        <v>#VALUE!</v>
      </c>
      <c r="D101" s="13">
        <f>Place_data_here!B101</f>
        <v>0</v>
      </c>
    </row>
    <row r="102" spans="1:4" x14ac:dyDescent="0.25">
      <c r="A102" s="16">
        <f>Place_data_here!A102</f>
        <v>0</v>
      </c>
      <c r="B102" s="4" t="e">
        <f t="shared" si="1"/>
        <v>#VALUE!</v>
      </c>
      <c r="C102" s="1" t="e">
        <f>SplineInterp(A102,Own_Spectrum_250cm!$U$2:$U$34,Own_Spectrum_250cm!$V$2:$V$34)*D102</f>
        <v>#VALUE!</v>
      </c>
      <c r="D102" s="13">
        <f>Place_data_here!B102</f>
        <v>0</v>
      </c>
    </row>
    <row r="103" spans="1:4" x14ac:dyDescent="0.25">
      <c r="A103" s="16">
        <f>Place_data_here!A103</f>
        <v>0</v>
      </c>
      <c r="B103" s="4" t="e">
        <f t="shared" si="1"/>
        <v>#VALUE!</v>
      </c>
      <c r="C103" s="1" t="e">
        <f>SplineInterp(A103,Own_Spectrum_250cm!$U$2:$U$34,Own_Spectrum_250cm!$V$2:$V$34)*D103</f>
        <v>#VALUE!</v>
      </c>
      <c r="D103" s="13">
        <f>Place_data_here!B103</f>
        <v>0</v>
      </c>
    </row>
    <row r="104" spans="1:4" x14ac:dyDescent="0.25">
      <c r="A104" s="16">
        <f>Place_data_here!A104</f>
        <v>0</v>
      </c>
      <c r="B104" s="4" t="e">
        <f t="shared" si="1"/>
        <v>#VALUE!</v>
      </c>
      <c r="C104" s="1" t="e">
        <f>SplineInterp(A104,Own_Spectrum_250cm!$U$2:$U$34,Own_Spectrum_250cm!$V$2:$V$34)*D104</f>
        <v>#VALUE!</v>
      </c>
      <c r="D104" s="13">
        <f>Place_data_here!B104</f>
        <v>0</v>
      </c>
    </row>
    <row r="105" spans="1:4" x14ac:dyDescent="0.25">
      <c r="A105" s="16">
        <f>Place_data_here!A105</f>
        <v>0</v>
      </c>
      <c r="B105" s="4" t="e">
        <f t="shared" si="1"/>
        <v>#VALUE!</v>
      </c>
      <c r="C105" s="1" t="e">
        <f>SplineInterp(A105,Own_Spectrum_250cm!$U$2:$U$34,Own_Spectrum_250cm!$V$2:$V$34)*D105</f>
        <v>#VALUE!</v>
      </c>
      <c r="D105" s="13">
        <f>Place_data_here!B105</f>
        <v>0</v>
      </c>
    </row>
    <row r="106" spans="1:4" x14ac:dyDescent="0.25">
      <c r="A106" s="16">
        <f>Place_data_here!A106</f>
        <v>0</v>
      </c>
      <c r="B106" s="4" t="e">
        <f t="shared" si="1"/>
        <v>#VALUE!</v>
      </c>
      <c r="C106" s="1" t="e">
        <f>SplineInterp(A106,Own_Spectrum_250cm!$U$2:$U$34,Own_Spectrum_250cm!$V$2:$V$34)*D106</f>
        <v>#VALUE!</v>
      </c>
      <c r="D106" s="13">
        <f>Place_data_here!B106</f>
        <v>0</v>
      </c>
    </row>
    <row r="107" spans="1:4" x14ac:dyDescent="0.25">
      <c r="A107" s="16">
        <f>Place_data_here!A107</f>
        <v>0</v>
      </c>
      <c r="B107" s="4" t="e">
        <f t="shared" si="1"/>
        <v>#VALUE!</v>
      </c>
      <c r="C107" s="1" t="e">
        <f>SplineInterp(A107,Own_Spectrum_250cm!$U$2:$U$34,Own_Spectrum_250cm!$V$2:$V$34)*D107</f>
        <v>#VALUE!</v>
      </c>
      <c r="D107" s="13">
        <f>Place_data_here!B107</f>
        <v>0</v>
      </c>
    </row>
    <row r="108" spans="1:4" x14ac:dyDescent="0.25">
      <c r="A108" s="16">
        <f>Place_data_here!A108</f>
        <v>0</v>
      </c>
      <c r="B108" s="4" t="e">
        <f t="shared" si="1"/>
        <v>#VALUE!</v>
      </c>
      <c r="C108" s="1" t="e">
        <f>SplineInterp(A108,Own_Spectrum_250cm!$U$2:$U$34,Own_Spectrum_250cm!$V$2:$V$34)*D108</f>
        <v>#VALUE!</v>
      </c>
      <c r="D108" s="13">
        <f>Place_data_here!B108</f>
        <v>0</v>
      </c>
    </row>
    <row r="109" spans="1:4" x14ac:dyDescent="0.25">
      <c r="A109" s="16">
        <f>Place_data_here!A109</f>
        <v>0</v>
      </c>
      <c r="B109" s="4" t="e">
        <f t="shared" si="1"/>
        <v>#VALUE!</v>
      </c>
      <c r="C109" s="1" t="e">
        <f>SplineInterp(A109,Own_Spectrum_250cm!$U$2:$U$34,Own_Spectrum_250cm!$V$2:$V$34)*D109</f>
        <v>#VALUE!</v>
      </c>
      <c r="D109" s="13">
        <f>Place_data_here!B109</f>
        <v>0</v>
      </c>
    </row>
    <row r="110" spans="1:4" x14ac:dyDescent="0.25">
      <c r="A110" s="16">
        <f>Place_data_here!A110</f>
        <v>0</v>
      </c>
      <c r="B110" s="4" t="e">
        <f t="shared" si="1"/>
        <v>#VALUE!</v>
      </c>
      <c r="C110" s="1" t="e">
        <f>SplineInterp(A110,Own_Spectrum_250cm!$U$2:$U$34,Own_Spectrum_250cm!$V$2:$V$34)*D110</f>
        <v>#VALUE!</v>
      </c>
      <c r="D110" s="13">
        <f>Place_data_here!B110</f>
        <v>0</v>
      </c>
    </row>
    <row r="111" spans="1:4" x14ac:dyDescent="0.25">
      <c r="A111" s="16">
        <f>Place_data_here!A111</f>
        <v>0</v>
      </c>
      <c r="B111" s="4" t="e">
        <f t="shared" si="1"/>
        <v>#VALUE!</v>
      </c>
      <c r="C111" s="1" t="e">
        <f>SplineInterp(A111,Own_Spectrum_250cm!$U$2:$U$34,Own_Spectrum_250cm!$V$2:$V$34)*D111</f>
        <v>#VALUE!</v>
      </c>
      <c r="D111" s="13">
        <f>Place_data_here!B111</f>
        <v>0</v>
      </c>
    </row>
    <row r="112" spans="1:4" x14ac:dyDescent="0.25">
      <c r="A112" s="16">
        <f>Place_data_here!A112</f>
        <v>0</v>
      </c>
      <c r="B112" s="4" t="e">
        <f t="shared" si="1"/>
        <v>#VALUE!</v>
      </c>
      <c r="C112" s="1" t="e">
        <f>SplineInterp(A112,Own_Spectrum_250cm!$U$2:$U$34,Own_Spectrum_250cm!$V$2:$V$34)*D112</f>
        <v>#VALUE!</v>
      </c>
      <c r="D112" s="13">
        <f>Place_data_here!B112</f>
        <v>0</v>
      </c>
    </row>
    <row r="113" spans="1:4" x14ac:dyDescent="0.25">
      <c r="A113" s="16">
        <f>Place_data_here!A113</f>
        <v>0</v>
      </c>
      <c r="B113" s="4" t="e">
        <f t="shared" si="1"/>
        <v>#VALUE!</v>
      </c>
      <c r="C113" s="1" t="e">
        <f>SplineInterp(A113,Own_Spectrum_250cm!$U$2:$U$34,Own_Spectrum_250cm!$V$2:$V$34)*D113</f>
        <v>#VALUE!</v>
      </c>
      <c r="D113" s="13">
        <f>Place_data_here!B113</f>
        <v>0</v>
      </c>
    </row>
    <row r="114" spans="1:4" x14ac:dyDescent="0.25">
      <c r="A114" s="16">
        <f>Place_data_here!A114</f>
        <v>0</v>
      </c>
      <c r="B114" s="4" t="e">
        <f t="shared" si="1"/>
        <v>#VALUE!</v>
      </c>
      <c r="C114" s="1" t="e">
        <f>SplineInterp(A114,Own_Spectrum_250cm!$U$2:$U$34,Own_Spectrum_250cm!$V$2:$V$34)*D114</f>
        <v>#VALUE!</v>
      </c>
      <c r="D114" s="13">
        <f>Place_data_here!B114</f>
        <v>0</v>
      </c>
    </row>
    <row r="115" spans="1:4" x14ac:dyDescent="0.25">
      <c r="A115" s="16">
        <f>Place_data_here!A115</f>
        <v>0</v>
      </c>
      <c r="B115" s="4" t="e">
        <f t="shared" si="1"/>
        <v>#VALUE!</v>
      </c>
      <c r="C115" s="1" t="e">
        <f>SplineInterp(A115,Own_Spectrum_250cm!$U$2:$U$34,Own_Spectrum_250cm!$V$2:$V$34)*D115</f>
        <v>#VALUE!</v>
      </c>
      <c r="D115" s="13">
        <f>Place_data_here!B115</f>
        <v>0</v>
      </c>
    </row>
    <row r="116" spans="1:4" x14ac:dyDescent="0.25">
      <c r="A116" s="16">
        <f>Place_data_here!A116</f>
        <v>0</v>
      </c>
      <c r="B116" s="4" t="e">
        <f t="shared" si="1"/>
        <v>#VALUE!</v>
      </c>
      <c r="C116" s="1" t="e">
        <f>SplineInterp(A116,Own_Spectrum_250cm!$U$2:$U$34,Own_Spectrum_250cm!$V$2:$V$34)*D116</f>
        <v>#VALUE!</v>
      </c>
      <c r="D116" s="13">
        <f>Place_data_here!B116</f>
        <v>0</v>
      </c>
    </row>
    <row r="117" spans="1:4" x14ac:dyDescent="0.25">
      <c r="A117" s="16">
        <f>Place_data_here!A117</f>
        <v>0</v>
      </c>
      <c r="B117" s="4" t="e">
        <f t="shared" si="1"/>
        <v>#VALUE!</v>
      </c>
      <c r="C117" s="1" t="e">
        <f>SplineInterp(A117,Own_Spectrum_250cm!$U$2:$U$34,Own_Spectrum_250cm!$V$2:$V$34)*D117</f>
        <v>#VALUE!</v>
      </c>
      <c r="D117" s="13">
        <f>Place_data_here!B117</f>
        <v>0</v>
      </c>
    </row>
    <row r="118" spans="1:4" x14ac:dyDescent="0.25">
      <c r="A118" s="16">
        <f>Place_data_here!A118</f>
        <v>0</v>
      </c>
      <c r="B118" s="4" t="e">
        <f t="shared" si="1"/>
        <v>#VALUE!</v>
      </c>
      <c r="C118" s="1" t="e">
        <f>SplineInterp(A118,Own_Spectrum_250cm!$U$2:$U$34,Own_Spectrum_250cm!$V$2:$V$34)*D118</f>
        <v>#VALUE!</v>
      </c>
      <c r="D118" s="13">
        <f>Place_data_here!B118</f>
        <v>0</v>
      </c>
    </row>
    <row r="119" spans="1:4" x14ac:dyDescent="0.25">
      <c r="A119" s="16">
        <f>Place_data_here!A119</f>
        <v>0</v>
      </c>
      <c r="B119" s="4" t="e">
        <f t="shared" si="1"/>
        <v>#VALUE!</v>
      </c>
      <c r="C119" s="1" t="e">
        <f>SplineInterp(A119,Own_Spectrum_250cm!$U$2:$U$34,Own_Spectrum_250cm!$V$2:$V$34)*D119</f>
        <v>#VALUE!</v>
      </c>
      <c r="D119" s="13">
        <f>Place_data_here!B119</f>
        <v>0</v>
      </c>
    </row>
    <row r="120" spans="1:4" x14ac:dyDescent="0.25">
      <c r="A120" s="16">
        <f>Place_data_here!A120</f>
        <v>0</v>
      </c>
      <c r="B120" s="4" t="e">
        <f t="shared" si="1"/>
        <v>#VALUE!</v>
      </c>
      <c r="C120" s="1" t="e">
        <f>SplineInterp(A120,Own_Spectrum_250cm!$U$2:$U$34,Own_Spectrum_250cm!$V$2:$V$34)*D120</f>
        <v>#VALUE!</v>
      </c>
      <c r="D120" s="13">
        <f>Place_data_here!B120</f>
        <v>0</v>
      </c>
    </row>
    <row r="121" spans="1:4" x14ac:dyDescent="0.25">
      <c r="A121" s="16">
        <f>Place_data_here!A121</f>
        <v>0</v>
      </c>
      <c r="B121" s="4" t="e">
        <f t="shared" si="1"/>
        <v>#VALUE!</v>
      </c>
      <c r="C121" s="1" t="e">
        <f>SplineInterp(A121,Own_Spectrum_250cm!$U$2:$U$34,Own_Spectrum_250cm!$V$2:$V$34)*D121</f>
        <v>#VALUE!</v>
      </c>
      <c r="D121" s="13">
        <f>Place_data_here!B121</f>
        <v>0</v>
      </c>
    </row>
    <row r="122" spans="1:4" x14ac:dyDescent="0.25">
      <c r="A122" s="16">
        <f>Place_data_here!A122</f>
        <v>0</v>
      </c>
      <c r="B122" s="4" t="e">
        <f t="shared" si="1"/>
        <v>#VALUE!</v>
      </c>
      <c r="C122" s="1" t="e">
        <f>SplineInterp(A122,Own_Spectrum_250cm!$U$2:$U$34,Own_Spectrum_250cm!$V$2:$V$34)*D122</f>
        <v>#VALUE!</v>
      </c>
      <c r="D122" s="13">
        <f>Place_data_here!B122</f>
        <v>0</v>
      </c>
    </row>
    <row r="123" spans="1:4" x14ac:dyDescent="0.25">
      <c r="A123" s="16">
        <f>Place_data_here!A123</f>
        <v>0</v>
      </c>
      <c r="B123" s="4" t="e">
        <f t="shared" si="1"/>
        <v>#VALUE!</v>
      </c>
      <c r="C123" s="1" t="e">
        <f>SplineInterp(A123,Own_Spectrum_250cm!$U$2:$U$34,Own_Spectrum_250cm!$V$2:$V$34)*D123</f>
        <v>#VALUE!</v>
      </c>
      <c r="D123" s="13">
        <f>Place_data_here!B123</f>
        <v>0</v>
      </c>
    </row>
    <row r="124" spans="1:4" x14ac:dyDescent="0.25">
      <c r="A124" s="16">
        <f>Place_data_here!A124</f>
        <v>0</v>
      </c>
      <c r="B124" s="4" t="e">
        <f t="shared" si="1"/>
        <v>#VALUE!</v>
      </c>
      <c r="C124" s="1" t="e">
        <f>SplineInterp(A124,Own_Spectrum_250cm!$U$2:$U$34,Own_Spectrum_250cm!$V$2:$V$34)*D124</f>
        <v>#VALUE!</v>
      </c>
      <c r="D124" s="13">
        <f>Place_data_here!B124</f>
        <v>0</v>
      </c>
    </row>
    <row r="125" spans="1:4" x14ac:dyDescent="0.25">
      <c r="A125" s="16">
        <f>Place_data_here!A125</f>
        <v>0</v>
      </c>
      <c r="B125" s="4" t="e">
        <f t="shared" si="1"/>
        <v>#VALUE!</v>
      </c>
      <c r="C125" s="1" t="e">
        <f>SplineInterp(A125,Own_Spectrum_250cm!$U$2:$U$34,Own_Spectrum_250cm!$V$2:$V$34)*D125</f>
        <v>#VALUE!</v>
      </c>
      <c r="D125" s="13">
        <f>Place_data_here!B125</f>
        <v>0</v>
      </c>
    </row>
    <row r="126" spans="1:4" x14ac:dyDescent="0.25">
      <c r="A126" s="16">
        <f>Place_data_here!A126</f>
        <v>0</v>
      </c>
      <c r="B126" s="4" t="e">
        <f t="shared" si="1"/>
        <v>#VALUE!</v>
      </c>
      <c r="C126" s="1" t="e">
        <f>SplineInterp(A126,Own_Spectrum_250cm!$U$2:$U$34,Own_Spectrum_250cm!$V$2:$V$34)*D126</f>
        <v>#VALUE!</v>
      </c>
      <c r="D126" s="13">
        <f>Place_data_here!B126</f>
        <v>0</v>
      </c>
    </row>
    <row r="127" spans="1:4" x14ac:dyDescent="0.25">
      <c r="A127" s="16">
        <f>Place_data_here!A127</f>
        <v>0</v>
      </c>
      <c r="B127" s="4" t="e">
        <f t="shared" si="1"/>
        <v>#VALUE!</v>
      </c>
      <c r="C127" s="1" t="e">
        <f>SplineInterp(A127,Own_Spectrum_250cm!$U$2:$U$34,Own_Spectrum_250cm!$V$2:$V$34)*D127</f>
        <v>#VALUE!</v>
      </c>
      <c r="D127" s="13">
        <f>Place_data_here!B127</f>
        <v>0</v>
      </c>
    </row>
    <row r="128" spans="1:4" x14ac:dyDescent="0.25">
      <c r="A128" s="16">
        <f>Place_data_here!A128</f>
        <v>0</v>
      </c>
      <c r="B128" s="4" t="e">
        <f t="shared" si="1"/>
        <v>#VALUE!</v>
      </c>
      <c r="C128" s="1" t="e">
        <f>SplineInterp(A128,Own_Spectrum_250cm!$U$2:$U$34,Own_Spectrum_250cm!$V$2:$V$34)*D128</f>
        <v>#VALUE!</v>
      </c>
      <c r="D128" s="13">
        <f>Place_data_here!B128</f>
        <v>0</v>
      </c>
    </row>
    <row r="129" spans="1:4" x14ac:dyDescent="0.25">
      <c r="A129" s="16">
        <f>Place_data_here!A129</f>
        <v>0</v>
      </c>
      <c r="B129" s="4" t="e">
        <f t="shared" si="1"/>
        <v>#VALUE!</v>
      </c>
      <c r="C129" s="1" t="e">
        <f>SplineInterp(A129,Own_Spectrum_250cm!$U$2:$U$34,Own_Spectrum_250cm!$V$2:$V$34)*D129</f>
        <v>#VALUE!</v>
      </c>
      <c r="D129" s="13">
        <f>Place_data_here!B129</f>
        <v>0</v>
      </c>
    </row>
    <row r="130" spans="1:4" x14ac:dyDescent="0.25">
      <c r="A130" s="16">
        <f>Place_data_here!A130</f>
        <v>0</v>
      </c>
      <c r="B130" s="4" t="e">
        <f t="shared" si="1"/>
        <v>#VALUE!</v>
      </c>
      <c r="C130" s="1" t="e">
        <f>SplineInterp(A130,Own_Spectrum_250cm!$U$2:$U$34,Own_Spectrum_250cm!$V$2:$V$34)*D130</f>
        <v>#VALUE!</v>
      </c>
      <c r="D130" s="13">
        <f>Place_data_here!B130</f>
        <v>0</v>
      </c>
    </row>
    <row r="131" spans="1:4" x14ac:dyDescent="0.25">
      <c r="A131" s="16">
        <f>Place_data_here!A131</f>
        <v>0</v>
      </c>
      <c r="B131" s="4" t="e">
        <f t="shared" ref="B131:B194" si="2">C131/$C$1028</f>
        <v>#VALUE!</v>
      </c>
      <c r="C131" s="1" t="e">
        <f>SplineInterp(A131,Own_Spectrum_250cm!$U$2:$U$34,Own_Spectrum_250cm!$V$2:$V$34)*D131</f>
        <v>#VALUE!</v>
      </c>
      <c r="D131" s="13">
        <f>Place_data_here!B131</f>
        <v>0</v>
      </c>
    </row>
    <row r="132" spans="1:4" x14ac:dyDescent="0.25">
      <c r="A132" s="16">
        <f>Place_data_here!A132</f>
        <v>0</v>
      </c>
      <c r="B132" s="4" t="e">
        <f t="shared" si="2"/>
        <v>#VALUE!</v>
      </c>
      <c r="C132" s="1" t="e">
        <f>SplineInterp(A132,Own_Spectrum_250cm!$U$2:$U$34,Own_Spectrum_250cm!$V$2:$V$34)*D132</f>
        <v>#VALUE!</v>
      </c>
      <c r="D132" s="13">
        <f>Place_data_here!B132</f>
        <v>0</v>
      </c>
    </row>
    <row r="133" spans="1:4" x14ac:dyDescent="0.25">
      <c r="A133" s="16">
        <f>Place_data_here!A133</f>
        <v>0</v>
      </c>
      <c r="B133" s="4" t="e">
        <f t="shared" si="2"/>
        <v>#VALUE!</v>
      </c>
      <c r="C133" s="1" t="e">
        <f>SplineInterp(A133,Own_Spectrum_250cm!$U$2:$U$34,Own_Spectrum_250cm!$V$2:$V$34)*D133</f>
        <v>#VALUE!</v>
      </c>
      <c r="D133" s="13">
        <f>Place_data_here!B133</f>
        <v>0</v>
      </c>
    </row>
    <row r="134" spans="1:4" x14ac:dyDescent="0.25">
      <c r="A134" s="16">
        <f>Place_data_here!A134</f>
        <v>0</v>
      </c>
      <c r="B134" s="4" t="e">
        <f t="shared" si="2"/>
        <v>#VALUE!</v>
      </c>
      <c r="C134" s="1" t="e">
        <f>SplineInterp(A134,Own_Spectrum_250cm!$U$2:$U$34,Own_Spectrum_250cm!$V$2:$V$34)*D134</f>
        <v>#VALUE!</v>
      </c>
      <c r="D134" s="13">
        <f>Place_data_here!B134</f>
        <v>0</v>
      </c>
    </row>
    <row r="135" spans="1:4" x14ac:dyDescent="0.25">
      <c r="A135" s="16">
        <f>Place_data_here!A135</f>
        <v>0</v>
      </c>
      <c r="B135" s="4" t="e">
        <f t="shared" si="2"/>
        <v>#VALUE!</v>
      </c>
      <c r="C135" s="1" t="e">
        <f>SplineInterp(A135,Own_Spectrum_250cm!$U$2:$U$34,Own_Spectrum_250cm!$V$2:$V$34)*D135</f>
        <v>#VALUE!</v>
      </c>
      <c r="D135" s="13">
        <f>Place_data_here!B135</f>
        <v>0</v>
      </c>
    </row>
    <row r="136" spans="1:4" x14ac:dyDescent="0.25">
      <c r="A136" s="16">
        <f>Place_data_here!A136</f>
        <v>0</v>
      </c>
      <c r="B136" s="4" t="e">
        <f t="shared" si="2"/>
        <v>#VALUE!</v>
      </c>
      <c r="C136" s="1" t="e">
        <f>SplineInterp(A136,Own_Spectrum_250cm!$U$2:$U$34,Own_Spectrum_250cm!$V$2:$V$34)*D136</f>
        <v>#VALUE!</v>
      </c>
      <c r="D136" s="13">
        <f>Place_data_here!B136</f>
        <v>0</v>
      </c>
    </row>
    <row r="137" spans="1:4" x14ac:dyDescent="0.25">
      <c r="A137" s="16">
        <f>Place_data_here!A137</f>
        <v>0</v>
      </c>
      <c r="B137" s="4" t="e">
        <f t="shared" si="2"/>
        <v>#VALUE!</v>
      </c>
      <c r="C137" s="1" t="e">
        <f>SplineInterp(A137,Own_Spectrum_250cm!$U$2:$U$34,Own_Spectrum_250cm!$V$2:$V$34)*D137</f>
        <v>#VALUE!</v>
      </c>
      <c r="D137" s="13">
        <f>Place_data_here!B137</f>
        <v>0</v>
      </c>
    </row>
    <row r="138" spans="1:4" x14ac:dyDescent="0.25">
      <c r="A138" s="16">
        <f>Place_data_here!A138</f>
        <v>0</v>
      </c>
      <c r="B138" s="4" t="e">
        <f t="shared" si="2"/>
        <v>#VALUE!</v>
      </c>
      <c r="C138" s="1" t="e">
        <f>SplineInterp(A138,Own_Spectrum_250cm!$U$2:$U$34,Own_Spectrum_250cm!$V$2:$V$34)*D138</f>
        <v>#VALUE!</v>
      </c>
      <c r="D138" s="13">
        <f>Place_data_here!B138</f>
        <v>0</v>
      </c>
    </row>
    <row r="139" spans="1:4" x14ac:dyDescent="0.25">
      <c r="A139" s="16">
        <f>Place_data_here!A139</f>
        <v>0</v>
      </c>
      <c r="B139" s="4" t="e">
        <f t="shared" si="2"/>
        <v>#VALUE!</v>
      </c>
      <c r="C139" s="1" t="e">
        <f>SplineInterp(A139,Own_Spectrum_250cm!$U$2:$U$34,Own_Spectrum_250cm!$V$2:$V$34)*D139</f>
        <v>#VALUE!</v>
      </c>
      <c r="D139" s="13">
        <f>Place_data_here!B139</f>
        <v>0</v>
      </c>
    </row>
    <row r="140" spans="1:4" x14ac:dyDescent="0.25">
      <c r="A140" s="16">
        <f>Place_data_here!A140</f>
        <v>0</v>
      </c>
      <c r="B140" s="4" t="e">
        <f t="shared" si="2"/>
        <v>#VALUE!</v>
      </c>
      <c r="C140" s="1" t="e">
        <f>SplineInterp(A140,Own_Spectrum_250cm!$U$2:$U$34,Own_Spectrum_250cm!$V$2:$V$34)*D140</f>
        <v>#VALUE!</v>
      </c>
      <c r="D140" s="13">
        <f>Place_data_here!B140</f>
        <v>0</v>
      </c>
    </row>
    <row r="141" spans="1:4" x14ac:dyDescent="0.25">
      <c r="A141" s="16">
        <f>Place_data_here!A141</f>
        <v>0</v>
      </c>
      <c r="B141" s="4" t="e">
        <f t="shared" si="2"/>
        <v>#VALUE!</v>
      </c>
      <c r="C141" s="1" t="e">
        <f>SplineInterp(A141,Own_Spectrum_250cm!$U$2:$U$34,Own_Spectrum_250cm!$V$2:$V$34)*D141</f>
        <v>#VALUE!</v>
      </c>
      <c r="D141" s="13">
        <f>Place_data_here!B141</f>
        <v>0</v>
      </c>
    </row>
    <row r="142" spans="1:4" x14ac:dyDescent="0.25">
      <c r="A142" s="16">
        <f>Place_data_here!A142</f>
        <v>0</v>
      </c>
      <c r="B142" s="4" t="e">
        <f t="shared" si="2"/>
        <v>#VALUE!</v>
      </c>
      <c r="C142" s="1" t="e">
        <f>SplineInterp(A142,Own_Spectrum_250cm!$U$2:$U$34,Own_Spectrum_250cm!$V$2:$V$34)*D142</f>
        <v>#VALUE!</v>
      </c>
      <c r="D142" s="13">
        <f>Place_data_here!B142</f>
        <v>0</v>
      </c>
    </row>
    <row r="143" spans="1:4" x14ac:dyDescent="0.25">
      <c r="A143" s="16">
        <f>Place_data_here!A143</f>
        <v>0</v>
      </c>
      <c r="B143" s="4" t="e">
        <f t="shared" si="2"/>
        <v>#VALUE!</v>
      </c>
      <c r="C143" s="1" t="e">
        <f>SplineInterp(A143,Own_Spectrum_250cm!$U$2:$U$34,Own_Spectrum_250cm!$V$2:$V$34)*D143</f>
        <v>#VALUE!</v>
      </c>
      <c r="D143" s="13">
        <f>Place_data_here!B143</f>
        <v>0</v>
      </c>
    </row>
    <row r="144" spans="1:4" x14ac:dyDescent="0.25">
      <c r="A144" s="16">
        <f>Place_data_here!A144</f>
        <v>0</v>
      </c>
      <c r="B144" s="4" t="e">
        <f t="shared" si="2"/>
        <v>#VALUE!</v>
      </c>
      <c r="C144" s="1" t="e">
        <f>SplineInterp(A144,Own_Spectrum_250cm!$U$2:$U$34,Own_Spectrum_250cm!$V$2:$V$34)*D144</f>
        <v>#VALUE!</v>
      </c>
      <c r="D144" s="13">
        <f>Place_data_here!B144</f>
        <v>0</v>
      </c>
    </row>
    <row r="145" spans="1:4" x14ac:dyDescent="0.25">
      <c r="A145" s="16">
        <f>Place_data_here!A145</f>
        <v>0</v>
      </c>
      <c r="B145" s="4" t="e">
        <f t="shared" si="2"/>
        <v>#VALUE!</v>
      </c>
      <c r="C145" s="1" t="e">
        <f>SplineInterp(A145,Own_Spectrum_250cm!$U$2:$U$34,Own_Spectrum_250cm!$V$2:$V$34)*D145</f>
        <v>#VALUE!</v>
      </c>
      <c r="D145" s="13">
        <f>Place_data_here!B145</f>
        <v>0</v>
      </c>
    </row>
    <row r="146" spans="1:4" x14ac:dyDescent="0.25">
      <c r="A146" s="16">
        <f>Place_data_here!A146</f>
        <v>0</v>
      </c>
      <c r="B146" s="4" t="e">
        <f t="shared" si="2"/>
        <v>#VALUE!</v>
      </c>
      <c r="C146" s="1" t="e">
        <f>SplineInterp(A146,Own_Spectrum_250cm!$U$2:$U$34,Own_Spectrum_250cm!$V$2:$V$34)*D146</f>
        <v>#VALUE!</v>
      </c>
      <c r="D146" s="13">
        <f>Place_data_here!B146</f>
        <v>0</v>
      </c>
    </row>
    <row r="147" spans="1:4" x14ac:dyDescent="0.25">
      <c r="A147" s="16">
        <f>Place_data_here!A147</f>
        <v>0</v>
      </c>
      <c r="B147" s="4" t="e">
        <f t="shared" si="2"/>
        <v>#VALUE!</v>
      </c>
      <c r="C147" s="1" t="e">
        <f>SplineInterp(A147,Own_Spectrum_250cm!$U$2:$U$34,Own_Spectrum_250cm!$V$2:$V$34)*D147</f>
        <v>#VALUE!</v>
      </c>
      <c r="D147" s="13">
        <f>Place_data_here!B147</f>
        <v>0</v>
      </c>
    </row>
    <row r="148" spans="1:4" x14ac:dyDescent="0.25">
      <c r="A148" s="16">
        <f>Place_data_here!A148</f>
        <v>0</v>
      </c>
      <c r="B148" s="4" t="e">
        <f t="shared" si="2"/>
        <v>#VALUE!</v>
      </c>
      <c r="C148" s="1" t="e">
        <f>SplineInterp(A148,Own_Spectrum_250cm!$U$2:$U$34,Own_Spectrum_250cm!$V$2:$V$34)*D148</f>
        <v>#VALUE!</v>
      </c>
      <c r="D148" s="13">
        <f>Place_data_here!B148</f>
        <v>0</v>
      </c>
    </row>
    <row r="149" spans="1:4" x14ac:dyDescent="0.25">
      <c r="A149" s="16">
        <f>Place_data_here!A149</f>
        <v>0</v>
      </c>
      <c r="B149" s="4" t="e">
        <f t="shared" si="2"/>
        <v>#VALUE!</v>
      </c>
      <c r="C149" s="1" t="e">
        <f>SplineInterp(A149,Own_Spectrum_250cm!$U$2:$U$34,Own_Spectrum_250cm!$V$2:$V$34)*D149</f>
        <v>#VALUE!</v>
      </c>
      <c r="D149" s="13">
        <f>Place_data_here!B149</f>
        <v>0</v>
      </c>
    </row>
    <row r="150" spans="1:4" x14ac:dyDescent="0.25">
      <c r="A150" s="16">
        <f>Place_data_here!A150</f>
        <v>0</v>
      </c>
      <c r="B150" s="4" t="e">
        <f t="shared" si="2"/>
        <v>#VALUE!</v>
      </c>
      <c r="C150" s="1" t="e">
        <f>SplineInterp(A150,Own_Spectrum_250cm!$U$2:$U$34,Own_Spectrum_250cm!$V$2:$V$34)*D150</f>
        <v>#VALUE!</v>
      </c>
      <c r="D150" s="13">
        <f>Place_data_here!B150</f>
        <v>0</v>
      </c>
    </row>
    <row r="151" spans="1:4" x14ac:dyDescent="0.25">
      <c r="A151" s="16">
        <f>Place_data_here!A151</f>
        <v>0</v>
      </c>
      <c r="B151" s="4" t="e">
        <f t="shared" si="2"/>
        <v>#VALUE!</v>
      </c>
      <c r="C151" s="1" t="e">
        <f>SplineInterp(A151,Own_Spectrum_250cm!$U$2:$U$34,Own_Spectrum_250cm!$V$2:$V$34)*D151</f>
        <v>#VALUE!</v>
      </c>
      <c r="D151" s="13">
        <f>Place_data_here!B151</f>
        <v>0</v>
      </c>
    </row>
    <row r="152" spans="1:4" x14ac:dyDescent="0.25">
      <c r="A152" s="16">
        <f>Place_data_here!A152</f>
        <v>0</v>
      </c>
      <c r="B152" s="4" t="e">
        <f t="shared" si="2"/>
        <v>#VALUE!</v>
      </c>
      <c r="C152" s="1" t="e">
        <f>SplineInterp(A152,Own_Spectrum_250cm!$U$2:$U$34,Own_Spectrum_250cm!$V$2:$V$34)*D152</f>
        <v>#VALUE!</v>
      </c>
      <c r="D152" s="13">
        <f>Place_data_here!B152</f>
        <v>0</v>
      </c>
    </row>
    <row r="153" spans="1:4" x14ac:dyDescent="0.25">
      <c r="A153" s="16">
        <f>Place_data_here!A153</f>
        <v>0</v>
      </c>
      <c r="B153" s="4" t="e">
        <f t="shared" si="2"/>
        <v>#VALUE!</v>
      </c>
      <c r="C153" s="1" t="e">
        <f>SplineInterp(A153,Own_Spectrum_250cm!$U$2:$U$34,Own_Spectrum_250cm!$V$2:$V$34)*D153</f>
        <v>#VALUE!</v>
      </c>
      <c r="D153" s="13">
        <f>Place_data_here!B153</f>
        <v>0</v>
      </c>
    </row>
    <row r="154" spans="1:4" x14ac:dyDescent="0.25">
      <c r="A154" s="16">
        <f>Place_data_here!A154</f>
        <v>0</v>
      </c>
      <c r="B154" s="4" t="e">
        <f t="shared" si="2"/>
        <v>#VALUE!</v>
      </c>
      <c r="C154" s="1" t="e">
        <f>SplineInterp(A154,Own_Spectrum_250cm!$U$2:$U$34,Own_Spectrum_250cm!$V$2:$V$34)*D154</f>
        <v>#VALUE!</v>
      </c>
      <c r="D154" s="13">
        <f>Place_data_here!B154</f>
        <v>0</v>
      </c>
    </row>
    <row r="155" spans="1:4" x14ac:dyDescent="0.25">
      <c r="A155" s="16">
        <f>Place_data_here!A155</f>
        <v>0</v>
      </c>
      <c r="B155" s="4" t="e">
        <f t="shared" si="2"/>
        <v>#VALUE!</v>
      </c>
      <c r="C155" s="1" t="e">
        <f>SplineInterp(A155,Own_Spectrum_250cm!$U$2:$U$34,Own_Spectrum_250cm!$V$2:$V$34)*D155</f>
        <v>#VALUE!</v>
      </c>
      <c r="D155" s="13">
        <f>Place_data_here!B155</f>
        <v>0</v>
      </c>
    </row>
    <row r="156" spans="1:4" x14ac:dyDescent="0.25">
      <c r="A156" s="16">
        <f>Place_data_here!A156</f>
        <v>0</v>
      </c>
      <c r="B156" s="4" t="e">
        <f t="shared" si="2"/>
        <v>#VALUE!</v>
      </c>
      <c r="C156" s="1" t="e">
        <f>SplineInterp(A156,Own_Spectrum_250cm!$U$2:$U$34,Own_Spectrum_250cm!$V$2:$V$34)*D156</f>
        <v>#VALUE!</v>
      </c>
      <c r="D156" s="13">
        <f>Place_data_here!B156</f>
        <v>0</v>
      </c>
    </row>
    <row r="157" spans="1:4" x14ac:dyDescent="0.25">
      <c r="A157" s="16">
        <f>Place_data_here!A157</f>
        <v>0</v>
      </c>
      <c r="B157" s="4" t="e">
        <f t="shared" si="2"/>
        <v>#VALUE!</v>
      </c>
      <c r="C157" s="1" t="e">
        <f>SplineInterp(A157,Own_Spectrum_250cm!$U$2:$U$34,Own_Spectrum_250cm!$V$2:$V$34)*D157</f>
        <v>#VALUE!</v>
      </c>
      <c r="D157" s="13">
        <f>Place_data_here!B157</f>
        <v>0</v>
      </c>
    </row>
    <row r="158" spans="1:4" x14ac:dyDescent="0.25">
      <c r="A158" s="16">
        <f>Place_data_here!A158</f>
        <v>0</v>
      </c>
      <c r="B158" s="4" t="e">
        <f t="shared" si="2"/>
        <v>#VALUE!</v>
      </c>
      <c r="C158" s="1" t="e">
        <f>SplineInterp(A158,Own_Spectrum_250cm!$U$2:$U$34,Own_Spectrum_250cm!$V$2:$V$34)*D158</f>
        <v>#VALUE!</v>
      </c>
      <c r="D158" s="13">
        <f>Place_data_here!B158</f>
        <v>0</v>
      </c>
    </row>
    <row r="159" spans="1:4" x14ac:dyDescent="0.25">
      <c r="A159" s="16">
        <f>Place_data_here!A159</f>
        <v>0</v>
      </c>
      <c r="B159" s="4" t="e">
        <f t="shared" si="2"/>
        <v>#VALUE!</v>
      </c>
      <c r="C159" s="1" t="e">
        <f>SplineInterp(A159,Own_Spectrum_250cm!$U$2:$U$34,Own_Spectrum_250cm!$V$2:$V$34)*D159</f>
        <v>#VALUE!</v>
      </c>
      <c r="D159" s="13">
        <f>Place_data_here!B159</f>
        <v>0</v>
      </c>
    </row>
    <row r="160" spans="1:4" x14ac:dyDescent="0.25">
      <c r="A160" s="16">
        <f>Place_data_here!A160</f>
        <v>0</v>
      </c>
      <c r="B160" s="4" t="e">
        <f t="shared" si="2"/>
        <v>#VALUE!</v>
      </c>
      <c r="C160" s="1" t="e">
        <f>SplineInterp(A160,Own_Spectrum_250cm!$U$2:$U$34,Own_Spectrum_250cm!$V$2:$V$34)*D160</f>
        <v>#VALUE!</v>
      </c>
      <c r="D160" s="13">
        <f>Place_data_here!B160</f>
        <v>0</v>
      </c>
    </row>
    <row r="161" spans="1:4" x14ac:dyDescent="0.25">
      <c r="A161" s="16">
        <f>Place_data_here!A161</f>
        <v>0</v>
      </c>
      <c r="B161" s="4" t="e">
        <f t="shared" si="2"/>
        <v>#VALUE!</v>
      </c>
      <c r="C161" s="1" t="e">
        <f>SplineInterp(A161,Own_Spectrum_250cm!$U$2:$U$34,Own_Spectrum_250cm!$V$2:$V$34)*D161</f>
        <v>#VALUE!</v>
      </c>
      <c r="D161" s="13">
        <f>Place_data_here!B161</f>
        <v>0</v>
      </c>
    </row>
    <row r="162" spans="1:4" x14ac:dyDescent="0.25">
      <c r="A162" s="16">
        <f>Place_data_here!A162</f>
        <v>0</v>
      </c>
      <c r="B162" s="4" t="e">
        <f t="shared" si="2"/>
        <v>#VALUE!</v>
      </c>
      <c r="C162" s="1" t="e">
        <f>SplineInterp(A162,Own_Spectrum_250cm!$U$2:$U$34,Own_Spectrum_250cm!$V$2:$V$34)*D162</f>
        <v>#VALUE!</v>
      </c>
      <c r="D162" s="13">
        <f>Place_data_here!B162</f>
        <v>0</v>
      </c>
    </row>
    <row r="163" spans="1:4" x14ac:dyDescent="0.25">
      <c r="A163" s="16">
        <f>Place_data_here!A163</f>
        <v>0</v>
      </c>
      <c r="B163" s="4" t="e">
        <f t="shared" si="2"/>
        <v>#VALUE!</v>
      </c>
      <c r="C163" s="1" t="e">
        <f>SplineInterp(A163,Own_Spectrum_250cm!$U$2:$U$34,Own_Spectrum_250cm!$V$2:$V$34)*D163</f>
        <v>#VALUE!</v>
      </c>
      <c r="D163" s="13">
        <f>Place_data_here!B163</f>
        <v>0</v>
      </c>
    </row>
    <row r="164" spans="1:4" x14ac:dyDescent="0.25">
      <c r="A164" s="16">
        <f>Place_data_here!A164</f>
        <v>0</v>
      </c>
      <c r="B164" s="4" t="e">
        <f t="shared" si="2"/>
        <v>#VALUE!</v>
      </c>
      <c r="C164" s="1" t="e">
        <f>SplineInterp(A164,Own_Spectrum_250cm!$U$2:$U$34,Own_Spectrum_250cm!$V$2:$V$34)*D164</f>
        <v>#VALUE!</v>
      </c>
      <c r="D164" s="13">
        <f>Place_data_here!B164</f>
        <v>0</v>
      </c>
    </row>
    <row r="165" spans="1:4" x14ac:dyDescent="0.25">
      <c r="A165" s="16">
        <f>Place_data_here!A165</f>
        <v>0</v>
      </c>
      <c r="B165" s="4" t="e">
        <f t="shared" si="2"/>
        <v>#VALUE!</v>
      </c>
      <c r="C165" s="1" t="e">
        <f>SplineInterp(A165,Own_Spectrum_250cm!$U$2:$U$34,Own_Spectrum_250cm!$V$2:$V$34)*D165</f>
        <v>#VALUE!</v>
      </c>
      <c r="D165" s="13">
        <f>Place_data_here!B165</f>
        <v>0</v>
      </c>
    </row>
    <row r="166" spans="1:4" x14ac:dyDescent="0.25">
      <c r="A166" s="16">
        <f>Place_data_here!A166</f>
        <v>0</v>
      </c>
      <c r="B166" s="4" t="e">
        <f t="shared" si="2"/>
        <v>#VALUE!</v>
      </c>
      <c r="C166" s="1" t="e">
        <f>SplineInterp(A166,Own_Spectrum_250cm!$U$2:$U$34,Own_Spectrum_250cm!$V$2:$V$34)*D166</f>
        <v>#VALUE!</v>
      </c>
      <c r="D166" s="13">
        <f>Place_data_here!B166</f>
        <v>0</v>
      </c>
    </row>
    <row r="167" spans="1:4" x14ac:dyDescent="0.25">
      <c r="A167" s="16">
        <f>Place_data_here!A167</f>
        <v>0</v>
      </c>
      <c r="B167" s="4" t="e">
        <f t="shared" si="2"/>
        <v>#VALUE!</v>
      </c>
      <c r="C167" s="1" t="e">
        <f>SplineInterp(A167,Own_Spectrum_250cm!$U$2:$U$34,Own_Spectrum_250cm!$V$2:$V$34)*D167</f>
        <v>#VALUE!</v>
      </c>
      <c r="D167" s="13">
        <f>Place_data_here!B167</f>
        <v>0</v>
      </c>
    </row>
    <row r="168" spans="1:4" x14ac:dyDescent="0.25">
      <c r="A168" s="16">
        <f>Place_data_here!A168</f>
        <v>0</v>
      </c>
      <c r="B168" s="4" t="e">
        <f t="shared" si="2"/>
        <v>#VALUE!</v>
      </c>
      <c r="C168" s="1" t="e">
        <f>SplineInterp(A168,Own_Spectrum_250cm!$U$2:$U$34,Own_Spectrum_250cm!$V$2:$V$34)*D168</f>
        <v>#VALUE!</v>
      </c>
      <c r="D168" s="13">
        <f>Place_data_here!B168</f>
        <v>0</v>
      </c>
    </row>
    <row r="169" spans="1:4" x14ac:dyDescent="0.25">
      <c r="A169" s="16">
        <f>Place_data_here!A169</f>
        <v>0</v>
      </c>
      <c r="B169" s="4" t="e">
        <f t="shared" si="2"/>
        <v>#VALUE!</v>
      </c>
      <c r="C169" s="1" t="e">
        <f>SplineInterp(A169,Own_Spectrum_250cm!$U$2:$U$34,Own_Spectrum_250cm!$V$2:$V$34)*D169</f>
        <v>#VALUE!</v>
      </c>
      <c r="D169" s="13">
        <f>Place_data_here!B169</f>
        <v>0</v>
      </c>
    </row>
    <row r="170" spans="1:4" x14ac:dyDescent="0.25">
      <c r="A170" s="16">
        <f>Place_data_here!A170</f>
        <v>0</v>
      </c>
      <c r="B170" s="4" t="e">
        <f t="shared" si="2"/>
        <v>#VALUE!</v>
      </c>
      <c r="C170" s="1" t="e">
        <f>SplineInterp(A170,Own_Spectrum_250cm!$U$2:$U$34,Own_Spectrum_250cm!$V$2:$V$34)*D170</f>
        <v>#VALUE!</v>
      </c>
      <c r="D170" s="13">
        <f>Place_data_here!B170</f>
        <v>0</v>
      </c>
    </row>
    <row r="171" spans="1:4" x14ac:dyDescent="0.25">
      <c r="A171" s="16">
        <f>Place_data_here!A171</f>
        <v>0</v>
      </c>
      <c r="B171" s="4" t="e">
        <f t="shared" si="2"/>
        <v>#VALUE!</v>
      </c>
      <c r="C171" s="1" t="e">
        <f>SplineInterp(A171,Own_Spectrum_250cm!$U$2:$U$34,Own_Spectrum_250cm!$V$2:$V$34)*D171</f>
        <v>#VALUE!</v>
      </c>
      <c r="D171" s="13">
        <f>Place_data_here!B171</f>
        <v>0</v>
      </c>
    </row>
    <row r="172" spans="1:4" x14ac:dyDescent="0.25">
      <c r="A172" s="16">
        <f>Place_data_here!A172</f>
        <v>0</v>
      </c>
      <c r="B172" s="4" t="e">
        <f t="shared" si="2"/>
        <v>#VALUE!</v>
      </c>
      <c r="C172" s="1" t="e">
        <f>SplineInterp(A172,Own_Spectrum_250cm!$U$2:$U$34,Own_Spectrum_250cm!$V$2:$V$34)*D172</f>
        <v>#VALUE!</v>
      </c>
      <c r="D172" s="13">
        <f>Place_data_here!B172</f>
        <v>0</v>
      </c>
    </row>
    <row r="173" spans="1:4" x14ac:dyDescent="0.25">
      <c r="A173" s="16">
        <f>Place_data_here!A173</f>
        <v>0</v>
      </c>
      <c r="B173" s="4" t="e">
        <f t="shared" si="2"/>
        <v>#VALUE!</v>
      </c>
      <c r="C173" s="1" t="e">
        <f>SplineInterp(A173,Own_Spectrum_250cm!$U$2:$U$34,Own_Spectrum_250cm!$V$2:$V$34)*D173</f>
        <v>#VALUE!</v>
      </c>
      <c r="D173" s="13">
        <f>Place_data_here!B173</f>
        <v>0</v>
      </c>
    </row>
    <row r="174" spans="1:4" x14ac:dyDescent="0.25">
      <c r="A174" s="16">
        <f>Place_data_here!A174</f>
        <v>0</v>
      </c>
      <c r="B174" s="4" t="e">
        <f t="shared" si="2"/>
        <v>#VALUE!</v>
      </c>
      <c r="C174" s="1" t="e">
        <f>SplineInterp(A174,Own_Spectrum_250cm!$U$2:$U$34,Own_Spectrum_250cm!$V$2:$V$34)*D174</f>
        <v>#VALUE!</v>
      </c>
      <c r="D174" s="13">
        <f>Place_data_here!B174</f>
        <v>0</v>
      </c>
    </row>
    <row r="175" spans="1:4" x14ac:dyDescent="0.25">
      <c r="A175" s="16">
        <f>Place_data_here!A175</f>
        <v>0</v>
      </c>
      <c r="B175" s="4" t="e">
        <f t="shared" si="2"/>
        <v>#VALUE!</v>
      </c>
      <c r="C175" s="1" t="e">
        <f>SplineInterp(A175,Own_Spectrum_250cm!$U$2:$U$34,Own_Spectrum_250cm!$V$2:$V$34)*D175</f>
        <v>#VALUE!</v>
      </c>
      <c r="D175" s="13">
        <f>Place_data_here!B175</f>
        <v>0</v>
      </c>
    </row>
    <row r="176" spans="1:4" x14ac:dyDescent="0.25">
      <c r="A176" s="16">
        <f>Place_data_here!A176</f>
        <v>0</v>
      </c>
      <c r="B176" s="4" t="e">
        <f t="shared" si="2"/>
        <v>#VALUE!</v>
      </c>
      <c r="C176" s="1" t="e">
        <f>SplineInterp(A176,Own_Spectrum_250cm!$U$2:$U$34,Own_Spectrum_250cm!$V$2:$V$34)*D176</f>
        <v>#VALUE!</v>
      </c>
      <c r="D176" s="13">
        <f>Place_data_here!B176</f>
        <v>0</v>
      </c>
    </row>
    <row r="177" spans="1:4" x14ac:dyDescent="0.25">
      <c r="A177" s="16">
        <f>Place_data_here!A177</f>
        <v>0</v>
      </c>
      <c r="B177" s="4" t="e">
        <f t="shared" si="2"/>
        <v>#VALUE!</v>
      </c>
      <c r="C177" s="1" t="e">
        <f>SplineInterp(A177,Own_Spectrum_250cm!$U$2:$U$34,Own_Spectrum_250cm!$V$2:$V$34)*D177</f>
        <v>#VALUE!</v>
      </c>
      <c r="D177" s="13">
        <f>Place_data_here!B177</f>
        <v>0</v>
      </c>
    </row>
    <row r="178" spans="1:4" x14ac:dyDescent="0.25">
      <c r="A178" s="16">
        <f>Place_data_here!A178</f>
        <v>0</v>
      </c>
      <c r="B178" s="4" t="e">
        <f t="shared" si="2"/>
        <v>#VALUE!</v>
      </c>
      <c r="C178" s="1" t="e">
        <f>SplineInterp(A178,Own_Spectrum_250cm!$U$2:$U$34,Own_Spectrum_250cm!$V$2:$V$34)*D178</f>
        <v>#VALUE!</v>
      </c>
      <c r="D178" s="13">
        <f>Place_data_here!B178</f>
        <v>0</v>
      </c>
    </row>
    <row r="179" spans="1:4" x14ac:dyDescent="0.25">
      <c r="A179" s="16">
        <f>Place_data_here!A179</f>
        <v>0</v>
      </c>
      <c r="B179" s="4" t="e">
        <f t="shared" si="2"/>
        <v>#VALUE!</v>
      </c>
      <c r="C179" s="1" t="e">
        <f>SplineInterp(A179,Own_Spectrum_250cm!$U$2:$U$34,Own_Spectrum_250cm!$V$2:$V$34)*D179</f>
        <v>#VALUE!</v>
      </c>
      <c r="D179" s="13">
        <f>Place_data_here!B179</f>
        <v>0</v>
      </c>
    </row>
    <row r="180" spans="1:4" x14ac:dyDescent="0.25">
      <c r="A180" s="16">
        <f>Place_data_here!A180</f>
        <v>0</v>
      </c>
      <c r="B180" s="4" t="e">
        <f t="shared" si="2"/>
        <v>#VALUE!</v>
      </c>
      <c r="C180" s="1" t="e">
        <f>SplineInterp(A180,Own_Spectrum_250cm!$U$2:$U$34,Own_Spectrum_250cm!$V$2:$V$34)*D180</f>
        <v>#VALUE!</v>
      </c>
      <c r="D180" s="13">
        <f>Place_data_here!B180</f>
        <v>0</v>
      </c>
    </row>
    <row r="181" spans="1:4" x14ac:dyDescent="0.25">
      <c r="A181" s="16">
        <f>Place_data_here!A181</f>
        <v>0</v>
      </c>
      <c r="B181" s="4" t="e">
        <f t="shared" si="2"/>
        <v>#VALUE!</v>
      </c>
      <c r="C181" s="1" t="e">
        <f>SplineInterp(A181,Own_Spectrum_250cm!$U$2:$U$34,Own_Spectrum_250cm!$V$2:$V$34)*D181</f>
        <v>#VALUE!</v>
      </c>
      <c r="D181" s="13">
        <f>Place_data_here!B181</f>
        <v>0</v>
      </c>
    </row>
    <row r="182" spans="1:4" x14ac:dyDescent="0.25">
      <c r="A182" s="16">
        <f>Place_data_here!A182</f>
        <v>0</v>
      </c>
      <c r="B182" s="4" t="e">
        <f t="shared" si="2"/>
        <v>#VALUE!</v>
      </c>
      <c r="C182" s="1" t="e">
        <f>SplineInterp(A182,Own_Spectrum_250cm!$U$2:$U$34,Own_Spectrum_250cm!$V$2:$V$34)*D182</f>
        <v>#VALUE!</v>
      </c>
      <c r="D182" s="13">
        <f>Place_data_here!B182</f>
        <v>0</v>
      </c>
    </row>
    <row r="183" spans="1:4" x14ac:dyDescent="0.25">
      <c r="A183" s="16">
        <f>Place_data_here!A183</f>
        <v>0</v>
      </c>
      <c r="B183" s="4" t="e">
        <f t="shared" si="2"/>
        <v>#VALUE!</v>
      </c>
      <c r="C183" s="1" t="e">
        <f>SplineInterp(A183,Own_Spectrum_250cm!$U$2:$U$34,Own_Spectrum_250cm!$V$2:$V$34)*D183</f>
        <v>#VALUE!</v>
      </c>
      <c r="D183" s="13">
        <f>Place_data_here!B183</f>
        <v>0</v>
      </c>
    </row>
    <row r="184" spans="1:4" x14ac:dyDescent="0.25">
      <c r="A184" s="16">
        <f>Place_data_here!A184</f>
        <v>0</v>
      </c>
      <c r="B184" s="4" t="e">
        <f t="shared" si="2"/>
        <v>#VALUE!</v>
      </c>
      <c r="C184" s="1" t="e">
        <f>SplineInterp(A184,Own_Spectrum_250cm!$U$2:$U$34,Own_Spectrum_250cm!$V$2:$V$34)*D184</f>
        <v>#VALUE!</v>
      </c>
      <c r="D184" s="13">
        <f>Place_data_here!B184</f>
        <v>0</v>
      </c>
    </row>
    <row r="185" spans="1:4" x14ac:dyDescent="0.25">
      <c r="A185" s="16">
        <f>Place_data_here!A185</f>
        <v>0</v>
      </c>
      <c r="B185" s="4" t="e">
        <f t="shared" si="2"/>
        <v>#VALUE!</v>
      </c>
      <c r="C185" s="1" t="e">
        <f>SplineInterp(A185,Own_Spectrum_250cm!$U$2:$U$34,Own_Spectrum_250cm!$V$2:$V$34)*D185</f>
        <v>#VALUE!</v>
      </c>
      <c r="D185" s="13">
        <f>Place_data_here!B185</f>
        <v>0</v>
      </c>
    </row>
    <row r="186" spans="1:4" x14ac:dyDescent="0.25">
      <c r="A186" s="16">
        <f>Place_data_here!A186</f>
        <v>0</v>
      </c>
      <c r="B186" s="4" t="e">
        <f t="shared" si="2"/>
        <v>#VALUE!</v>
      </c>
      <c r="C186" s="1" t="e">
        <f>SplineInterp(A186,Own_Spectrum_250cm!$U$2:$U$34,Own_Spectrum_250cm!$V$2:$V$34)*D186</f>
        <v>#VALUE!</v>
      </c>
      <c r="D186" s="13">
        <f>Place_data_here!B186</f>
        <v>0</v>
      </c>
    </row>
    <row r="187" spans="1:4" x14ac:dyDescent="0.25">
      <c r="A187" s="16">
        <f>Place_data_here!A187</f>
        <v>0</v>
      </c>
      <c r="B187" s="4" t="e">
        <f t="shared" si="2"/>
        <v>#VALUE!</v>
      </c>
      <c r="C187" s="1" t="e">
        <f>SplineInterp(A187,Own_Spectrum_250cm!$U$2:$U$34,Own_Spectrum_250cm!$V$2:$V$34)*D187</f>
        <v>#VALUE!</v>
      </c>
      <c r="D187" s="13">
        <f>Place_data_here!B187</f>
        <v>0</v>
      </c>
    </row>
    <row r="188" spans="1:4" x14ac:dyDescent="0.25">
      <c r="A188" s="16">
        <f>Place_data_here!A188</f>
        <v>0</v>
      </c>
      <c r="B188" s="4" t="e">
        <f t="shared" si="2"/>
        <v>#VALUE!</v>
      </c>
      <c r="C188" s="1" t="e">
        <f>SplineInterp(A188,Own_Spectrum_250cm!$U$2:$U$34,Own_Spectrum_250cm!$V$2:$V$34)*D188</f>
        <v>#VALUE!</v>
      </c>
      <c r="D188" s="13">
        <f>Place_data_here!B188</f>
        <v>0</v>
      </c>
    </row>
    <row r="189" spans="1:4" x14ac:dyDescent="0.25">
      <c r="A189" s="16">
        <f>Place_data_here!A189</f>
        <v>0</v>
      </c>
      <c r="B189" s="4" t="e">
        <f t="shared" si="2"/>
        <v>#VALUE!</v>
      </c>
      <c r="C189" s="1" t="e">
        <f>SplineInterp(A189,Own_Spectrum_250cm!$U$2:$U$34,Own_Spectrum_250cm!$V$2:$V$34)*D189</f>
        <v>#VALUE!</v>
      </c>
      <c r="D189" s="13">
        <f>Place_data_here!B189</f>
        <v>0</v>
      </c>
    </row>
    <row r="190" spans="1:4" x14ac:dyDescent="0.25">
      <c r="A190" s="16">
        <f>Place_data_here!A190</f>
        <v>0</v>
      </c>
      <c r="B190" s="4" t="e">
        <f t="shared" si="2"/>
        <v>#VALUE!</v>
      </c>
      <c r="C190" s="1" t="e">
        <f>SplineInterp(A190,Own_Spectrum_250cm!$U$2:$U$34,Own_Spectrum_250cm!$V$2:$V$34)*D190</f>
        <v>#VALUE!</v>
      </c>
      <c r="D190" s="13">
        <f>Place_data_here!B190</f>
        <v>0</v>
      </c>
    </row>
    <row r="191" spans="1:4" x14ac:dyDescent="0.25">
      <c r="A191" s="16">
        <f>Place_data_here!A191</f>
        <v>0</v>
      </c>
      <c r="B191" s="4" t="e">
        <f t="shared" si="2"/>
        <v>#VALUE!</v>
      </c>
      <c r="C191" s="1" t="e">
        <f>SplineInterp(A191,Own_Spectrum_250cm!$U$2:$U$34,Own_Spectrum_250cm!$V$2:$V$34)*D191</f>
        <v>#VALUE!</v>
      </c>
      <c r="D191" s="13">
        <f>Place_data_here!B191</f>
        <v>0</v>
      </c>
    </row>
    <row r="192" spans="1:4" x14ac:dyDescent="0.25">
      <c r="A192" s="16">
        <f>Place_data_here!A192</f>
        <v>0</v>
      </c>
      <c r="B192" s="4" t="e">
        <f t="shared" si="2"/>
        <v>#VALUE!</v>
      </c>
      <c r="C192" s="1" t="e">
        <f>SplineInterp(A192,Own_Spectrum_250cm!$U$2:$U$34,Own_Spectrum_250cm!$V$2:$V$34)*D192</f>
        <v>#VALUE!</v>
      </c>
      <c r="D192" s="13">
        <f>Place_data_here!B192</f>
        <v>0</v>
      </c>
    </row>
    <row r="193" spans="1:4" x14ac:dyDescent="0.25">
      <c r="A193" s="16">
        <f>Place_data_here!A193</f>
        <v>0</v>
      </c>
      <c r="B193" s="4" t="e">
        <f t="shared" si="2"/>
        <v>#VALUE!</v>
      </c>
      <c r="C193" s="1" t="e">
        <f>SplineInterp(A193,Own_Spectrum_250cm!$U$2:$U$34,Own_Spectrum_250cm!$V$2:$V$34)*D193</f>
        <v>#VALUE!</v>
      </c>
      <c r="D193" s="13">
        <f>Place_data_here!B193</f>
        <v>0</v>
      </c>
    </row>
    <row r="194" spans="1:4" x14ac:dyDescent="0.25">
      <c r="A194" s="16">
        <f>Place_data_here!A194</f>
        <v>0</v>
      </c>
      <c r="B194" s="4" t="e">
        <f t="shared" si="2"/>
        <v>#VALUE!</v>
      </c>
      <c r="C194" s="1" t="e">
        <f>SplineInterp(A194,Own_Spectrum_250cm!$U$2:$U$34,Own_Spectrum_250cm!$V$2:$V$34)*D194</f>
        <v>#VALUE!</v>
      </c>
      <c r="D194" s="13">
        <f>Place_data_here!B194</f>
        <v>0</v>
      </c>
    </row>
    <row r="195" spans="1:4" x14ac:dyDescent="0.25">
      <c r="A195" s="16">
        <f>Place_data_here!A195</f>
        <v>0</v>
      </c>
      <c r="B195" s="4" t="e">
        <f t="shared" ref="B195:B258" si="3">C195/$C$1028</f>
        <v>#VALUE!</v>
      </c>
      <c r="C195" s="1" t="e">
        <f>SplineInterp(A195,Own_Spectrum_250cm!$U$2:$U$34,Own_Spectrum_250cm!$V$2:$V$34)*D195</f>
        <v>#VALUE!</v>
      </c>
      <c r="D195" s="13">
        <f>Place_data_here!B195</f>
        <v>0</v>
      </c>
    </row>
    <row r="196" spans="1:4" x14ac:dyDescent="0.25">
      <c r="A196" s="16">
        <f>Place_data_here!A196</f>
        <v>0</v>
      </c>
      <c r="B196" s="4" t="e">
        <f t="shared" si="3"/>
        <v>#VALUE!</v>
      </c>
      <c r="C196" s="1" t="e">
        <f>SplineInterp(A196,Own_Spectrum_250cm!$U$2:$U$34,Own_Spectrum_250cm!$V$2:$V$34)*D196</f>
        <v>#VALUE!</v>
      </c>
      <c r="D196" s="13">
        <f>Place_data_here!B196</f>
        <v>0</v>
      </c>
    </row>
    <row r="197" spans="1:4" x14ac:dyDescent="0.25">
      <c r="A197" s="16">
        <f>Place_data_here!A197</f>
        <v>0</v>
      </c>
      <c r="B197" s="4" t="e">
        <f t="shared" si="3"/>
        <v>#VALUE!</v>
      </c>
      <c r="C197" s="1" t="e">
        <f>SplineInterp(A197,Own_Spectrum_250cm!$U$2:$U$34,Own_Spectrum_250cm!$V$2:$V$34)*D197</f>
        <v>#VALUE!</v>
      </c>
      <c r="D197" s="13">
        <f>Place_data_here!B197</f>
        <v>0</v>
      </c>
    </row>
    <row r="198" spans="1:4" x14ac:dyDescent="0.25">
      <c r="A198" s="16">
        <f>Place_data_here!A198</f>
        <v>0</v>
      </c>
      <c r="B198" s="4" t="e">
        <f t="shared" si="3"/>
        <v>#VALUE!</v>
      </c>
      <c r="C198" s="1" t="e">
        <f>SplineInterp(A198,Own_Spectrum_250cm!$U$2:$U$34,Own_Spectrum_250cm!$V$2:$V$34)*D198</f>
        <v>#VALUE!</v>
      </c>
      <c r="D198" s="13">
        <f>Place_data_here!B198</f>
        <v>0</v>
      </c>
    </row>
    <row r="199" spans="1:4" x14ac:dyDescent="0.25">
      <c r="A199" s="16">
        <f>Place_data_here!A199</f>
        <v>0</v>
      </c>
      <c r="B199" s="4" t="e">
        <f t="shared" si="3"/>
        <v>#VALUE!</v>
      </c>
      <c r="C199" s="1" t="e">
        <f>SplineInterp(A199,Own_Spectrum_250cm!$U$2:$U$34,Own_Spectrum_250cm!$V$2:$V$34)*D199</f>
        <v>#VALUE!</v>
      </c>
      <c r="D199" s="13">
        <f>Place_data_here!B199</f>
        <v>0</v>
      </c>
    </row>
    <row r="200" spans="1:4" x14ac:dyDescent="0.25">
      <c r="A200" s="16">
        <f>Place_data_here!A200</f>
        <v>0</v>
      </c>
      <c r="B200" s="4" t="e">
        <f t="shared" si="3"/>
        <v>#VALUE!</v>
      </c>
      <c r="C200" s="1" t="e">
        <f>SplineInterp(A200,Own_Spectrum_250cm!$U$2:$U$34,Own_Spectrum_250cm!$V$2:$V$34)*D200</f>
        <v>#VALUE!</v>
      </c>
      <c r="D200" s="13">
        <f>Place_data_here!B200</f>
        <v>0</v>
      </c>
    </row>
    <row r="201" spans="1:4" x14ac:dyDescent="0.25">
      <c r="A201" s="16">
        <f>Place_data_here!A201</f>
        <v>0</v>
      </c>
      <c r="B201" s="4" t="e">
        <f t="shared" si="3"/>
        <v>#VALUE!</v>
      </c>
      <c r="C201" s="1" t="e">
        <f>SplineInterp(A201,Own_Spectrum_250cm!$U$2:$U$34,Own_Spectrum_250cm!$V$2:$V$34)*D201</f>
        <v>#VALUE!</v>
      </c>
      <c r="D201" s="13">
        <f>Place_data_here!B201</f>
        <v>0</v>
      </c>
    </row>
    <row r="202" spans="1:4" x14ac:dyDescent="0.25">
      <c r="A202" s="16">
        <f>Place_data_here!A202</f>
        <v>0</v>
      </c>
      <c r="B202" s="4" t="e">
        <f t="shared" si="3"/>
        <v>#VALUE!</v>
      </c>
      <c r="C202" s="1" t="e">
        <f>SplineInterp(A202,Own_Spectrum_250cm!$U$2:$U$34,Own_Spectrum_250cm!$V$2:$V$34)*D202</f>
        <v>#VALUE!</v>
      </c>
      <c r="D202" s="13">
        <f>Place_data_here!B202</f>
        <v>0</v>
      </c>
    </row>
    <row r="203" spans="1:4" x14ac:dyDescent="0.25">
      <c r="A203" s="16">
        <f>Place_data_here!A203</f>
        <v>0</v>
      </c>
      <c r="B203" s="4" t="e">
        <f t="shared" si="3"/>
        <v>#VALUE!</v>
      </c>
      <c r="C203" s="1" t="e">
        <f>SplineInterp(A203,Own_Spectrum_250cm!$U$2:$U$34,Own_Spectrum_250cm!$V$2:$V$34)*D203</f>
        <v>#VALUE!</v>
      </c>
      <c r="D203" s="13">
        <f>Place_data_here!B203</f>
        <v>0</v>
      </c>
    </row>
    <row r="204" spans="1:4" x14ac:dyDescent="0.25">
      <c r="A204" s="16">
        <f>Place_data_here!A204</f>
        <v>0</v>
      </c>
      <c r="B204" s="4" t="e">
        <f t="shared" si="3"/>
        <v>#VALUE!</v>
      </c>
      <c r="C204" s="1" t="e">
        <f>SplineInterp(A204,Own_Spectrum_250cm!$U$2:$U$34,Own_Spectrum_250cm!$V$2:$V$34)*D204</f>
        <v>#VALUE!</v>
      </c>
      <c r="D204" s="13">
        <f>Place_data_here!B204</f>
        <v>0</v>
      </c>
    </row>
    <row r="205" spans="1:4" x14ac:dyDescent="0.25">
      <c r="A205" s="16">
        <f>Place_data_here!A205</f>
        <v>0</v>
      </c>
      <c r="B205" s="4" t="e">
        <f t="shared" si="3"/>
        <v>#VALUE!</v>
      </c>
      <c r="C205" s="1" t="e">
        <f>SplineInterp(A205,Own_Spectrum_250cm!$U$2:$U$34,Own_Spectrum_250cm!$V$2:$V$34)*D205</f>
        <v>#VALUE!</v>
      </c>
      <c r="D205" s="13">
        <f>Place_data_here!B205</f>
        <v>0</v>
      </c>
    </row>
    <row r="206" spans="1:4" x14ac:dyDescent="0.25">
      <c r="A206" s="16">
        <f>Place_data_here!A206</f>
        <v>0</v>
      </c>
      <c r="B206" s="4" t="e">
        <f t="shared" si="3"/>
        <v>#VALUE!</v>
      </c>
      <c r="C206" s="1" t="e">
        <f>SplineInterp(A206,Own_Spectrum_250cm!$U$2:$U$34,Own_Spectrum_250cm!$V$2:$V$34)*D206</f>
        <v>#VALUE!</v>
      </c>
      <c r="D206" s="13">
        <f>Place_data_here!B206</f>
        <v>0</v>
      </c>
    </row>
    <row r="207" spans="1:4" x14ac:dyDescent="0.25">
      <c r="A207" s="16">
        <f>Place_data_here!A207</f>
        <v>0</v>
      </c>
      <c r="B207" s="4" t="e">
        <f t="shared" si="3"/>
        <v>#VALUE!</v>
      </c>
      <c r="C207" s="1" t="e">
        <f>SplineInterp(A207,Own_Spectrum_250cm!$U$2:$U$34,Own_Spectrum_250cm!$V$2:$V$34)*D207</f>
        <v>#VALUE!</v>
      </c>
      <c r="D207" s="13">
        <f>Place_data_here!B207</f>
        <v>0</v>
      </c>
    </row>
    <row r="208" spans="1:4" x14ac:dyDescent="0.25">
      <c r="A208" s="16">
        <f>Place_data_here!A208</f>
        <v>0</v>
      </c>
      <c r="B208" s="4" t="e">
        <f t="shared" si="3"/>
        <v>#VALUE!</v>
      </c>
      <c r="C208" s="1" t="e">
        <f>SplineInterp(A208,Own_Spectrum_250cm!$U$2:$U$34,Own_Spectrum_250cm!$V$2:$V$34)*D208</f>
        <v>#VALUE!</v>
      </c>
      <c r="D208" s="13">
        <f>Place_data_here!B208</f>
        <v>0</v>
      </c>
    </row>
    <row r="209" spans="1:4" x14ac:dyDescent="0.25">
      <c r="A209" s="16">
        <f>Place_data_here!A209</f>
        <v>0</v>
      </c>
      <c r="B209" s="4" t="e">
        <f t="shared" si="3"/>
        <v>#VALUE!</v>
      </c>
      <c r="C209" s="1" t="e">
        <f>SplineInterp(A209,Own_Spectrum_250cm!$U$2:$U$34,Own_Spectrum_250cm!$V$2:$V$34)*D209</f>
        <v>#VALUE!</v>
      </c>
      <c r="D209" s="13">
        <f>Place_data_here!B209</f>
        <v>0</v>
      </c>
    </row>
    <row r="210" spans="1:4" x14ac:dyDescent="0.25">
      <c r="A210" s="16">
        <f>Place_data_here!A210</f>
        <v>0</v>
      </c>
      <c r="B210" s="4" t="e">
        <f t="shared" si="3"/>
        <v>#VALUE!</v>
      </c>
      <c r="C210" s="1" t="e">
        <f>SplineInterp(A210,Own_Spectrum_250cm!$U$2:$U$34,Own_Spectrum_250cm!$V$2:$V$34)*D210</f>
        <v>#VALUE!</v>
      </c>
      <c r="D210" s="13">
        <f>Place_data_here!B210</f>
        <v>0</v>
      </c>
    </row>
    <row r="211" spans="1:4" x14ac:dyDescent="0.25">
      <c r="A211" s="16">
        <f>Place_data_here!A211</f>
        <v>0</v>
      </c>
      <c r="B211" s="4" t="e">
        <f t="shared" si="3"/>
        <v>#VALUE!</v>
      </c>
      <c r="C211" s="1" t="e">
        <f>SplineInterp(A211,Own_Spectrum_250cm!$U$2:$U$34,Own_Spectrum_250cm!$V$2:$V$34)*D211</f>
        <v>#VALUE!</v>
      </c>
      <c r="D211" s="13">
        <f>Place_data_here!B211</f>
        <v>0</v>
      </c>
    </row>
    <row r="212" spans="1:4" x14ac:dyDescent="0.25">
      <c r="A212" s="16">
        <f>Place_data_here!A212</f>
        <v>0</v>
      </c>
      <c r="B212" s="4" t="e">
        <f t="shared" si="3"/>
        <v>#VALUE!</v>
      </c>
      <c r="C212" s="1" t="e">
        <f>SplineInterp(A212,Own_Spectrum_250cm!$U$2:$U$34,Own_Spectrum_250cm!$V$2:$V$34)*D212</f>
        <v>#VALUE!</v>
      </c>
      <c r="D212" s="13">
        <f>Place_data_here!B212</f>
        <v>0</v>
      </c>
    </row>
    <row r="213" spans="1:4" x14ac:dyDescent="0.25">
      <c r="A213" s="16">
        <f>Place_data_here!A213</f>
        <v>0</v>
      </c>
      <c r="B213" s="4" t="e">
        <f t="shared" si="3"/>
        <v>#VALUE!</v>
      </c>
      <c r="C213" s="1" t="e">
        <f>SplineInterp(A213,Own_Spectrum_250cm!$U$2:$U$34,Own_Spectrum_250cm!$V$2:$V$34)*D213</f>
        <v>#VALUE!</v>
      </c>
      <c r="D213" s="13">
        <f>Place_data_here!B213</f>
        <v>0</v>
      </c>
    </row>
    <row r="214" spans="1:4" x14ac:dyDescent="0.25">
      <c r="A214" s="16">
        <f>Place_data_here!A214</f>
        <v>0</v>
      </c>
      <c r="B214" s="4" t="e">
        <f t="shared" si="3"/>
        <v>#VALUE!</v>
      </c>
      <c r="C214" s="1" t="e">
        <f>SplineInterp(A214,Own_Spectrum_250cm!$U$2:$U$34,Own_Spectrum_250cm!$V$2:$V$34)*D214</f>
        <v>#VALUE!</v>
      </c>
      <c r="D214" s="13">
        <f>Place_data_here!B214</f>
        <v>0</v>
      </c>
    </row>
    <row r="215" spans="1:4" x14ac:dyDescent="0.25">
      <c r="A215" s="16">
        <f>Place_data_here!A215</f>
        <v>0</v>
      </c>
      <c r="B215" s="4" t="e">
        <f t="shared" si="3"/>
        <v>#VALUE!</v>
      </c>
      <c r="C215" s="1" t="e">
        <f>SplineInterp(A215,Own_Spectrum_250cm!$U$2:$U$34,Own_Spectrum_250cm!$V$2:$V$34)*D215</f>
        <v>#VALUE!</v>
      </c>
      <c r="D215" s="13">
        <f>Place_data_here!B215</f>
        <v>0</v>
      </c>
    </row>
    <row r="216" spans="1:4" x14ac:dyDescent="0.25">
      <c r="A216" s="16">
        <f>Place_data_here!A216</f>
        <v>0</v>
      </c>
      <c r="B216" s="4" t="e">
        <f t="shared" si="3"/>
        <v>#VALUE!</v>
      </c>
      <c r="C216" s="1" t="e">
        <f>SplineInterp(A216,Own_Spectrum_250cm!$U$2:$U$34,Own_Spectrum_250cm!$V$2:$V$34)*D216</f>
        <v>#VALUE!</v>
      </c>
      <c r="D216" s="13">
        <f>Place_data_here!B216</f>
        <v>0</v>
      </c>
    </row>
    <row r="217" spans="1:4" x14ac:dyDescent="0.25">
      <c r="A217" s="16">
        <f>Place_data_here!A217</f>
        <v>0</v>
      </c>
      <c r="B217" s="4" t="e">
        <f t="shared" si="3"/>
        <v>#VALUE!</v>
      </c>
      <c r="C217" s="1" t="e">
        <f>SplineInterp(A217,Own_Spectrum_250cm!$U$2:$U$34,Own_Spectrum_250cm!$V$2:$V$34)*D217</f>
        <v>#VALUE!</v>
      </c>
      <c r="D217" s="13">
        <f>Place_data_here!B217</f>
        <v>0</v>
      </c>
    </row>
    <row r="218" spans="1:4" x14ac:dyDescent="0.25">
      <c r="A218" s="16">
        <f>Place_data_here!A218</f>
        <v>0</v>
      </c>
      <c r="B218" s="4" t="e">
        <f t="shared" si="3"/>
        <v>#VALUE!</v>
      </c>
      <c r="C218" s="1" t="e">
        <f>SplineInterp(A218,Own_Spectrum_250cm!$U$2:$U$34,Own_Spectrum_250cm!$V$2:$V$34)*D218</f>
        <v>#VALUE!</v>
      </c>
      <c r="D218" s="13">
        <f>Place_data_here!B218</f>
        <v>0</v>
      </c>
    </row>
    <row r="219" spans="1:4" x14ac:dyDescent="0.25">
      <c r="A219" s="16">
        <f>Place_data_here!A219</f>
        <v>0</v>
      </c>
      <c r="B219" s="4" t="e">
        <f t="shared" si="3"/>
        <v>#VALUE!</v>
      </c>
      <c r="C219" s="1" t="e">
        <f>SplineInterp(A219,Own_Spectrum_250cm!$U$2:$U$34,Own_Spectrum_250cm!$V$2:$V$34)*D219</f>
        <v>#VALUE!</v>
      </c>
      <c r="D219" s="13">
        <f>Place_data_here!B219</f>
        <v>0</v>
      </c>
    </row>
    <row r="220" spans="1:4" x14ac:dyDescent="0.25">
      <c r="A220" s="16">
        <f>Place_data_here!A220</f>
        <v>0</v>
      </c>
      <c r="B220" s="4" t="e">
        <f t="shared" si="3"/>
        <v>#VALUE!</v>
      </c>
      <c r="C220" s="1" t="e">
        <f>SplineInterp(A220,Own_Spectrum_250cm!$U$2:$U$34,Own_Spectrum_250cm!$V$2:$V$34)*D220</f>
        <v>#VALUE!</v>
      </c>
      <c r="D220" s="13">
        <f>Place_data_here!B220</f>
        <v>0</v>
      </c>
    </row>
    <row r="221" spans="1:4" x14ac:dyDescent="0.25">
      <c r="A221" s="16">
        <f>Place_data_here!A221</f>
        <v>0</v>
      </c>
      <c r="B221" s="4" t="e">
        <f t="shared" si="3"/>
        <v>#VALUE!</v>
      </c>
      <c r="C221" s="1" t="e">
        <f>SplineInterp(A221,Own_Spectrum_250cm!$U$2:$U$34,Own_Spectrum_250cm!$V$2:$V$34)*D221</f>
        <v>#VALUE!</v>
      </c>
      <c r="D221" s="13">
        <f>Place_data_here!B221</f>
        <v>0</v>
      </c>
    </row>
    <row r="222" spans="1:4" x14ac:dyDescent="0.25">
      <c r="A222" s="16">
        <f>Place_data_here!A222</f>
        <v>0</v>
      </c>
      <c r="B222" s="4" t="e">
        <f t="shared" si="3"/>
        <v>#VALUE!</v>
      </c>
      <c r="C222" s="1" t="e">
        <f>SplineInterp(A222,Own_Spectrum_250cm!$U$2:$U$34,Own_Spectrum_250cm!$V$2:$V$34)*D222</f>
        <v>#VALUE!</v>
      </c>
      <c r="D222" s="13">
        <f>Place_data_here!B222</f>
        <v>0</v>
      </c>
    </row>
    <row r="223" spans="1:4" x14ac:dyDescent="0.25">
      <c r="A223" s="16">
        <f>Place_data_here!A223</f>
        <v>0</v>
      </c>
      <c r="B223" s="4" t="e">
        <f t="shared" si="3"/>
        <v>#VALUE!</v>
      </c>
      <c r="C223" s="1" t="e">
        <f>SplineInterp(A223,Own_Spectrum_250cm!$U$2:$U$34,Own_Spectrum_250cm!$V$2:$V$34)*D223</f>
        <v>#VALUE!</v>
      </c>
      <c r="D223" s="13">
        <f>Place_data_here!B223</f>
        <v>0</v>
      </c>
    </row>
    <row r="224" spans="1:4" x14ac:dyDescent="0.25">
      <c r="A224" s="16">
        <f>Place_data_here!A224</f>
        <v>0</v>
      </c>
      <c r="B224" s="4" t="e">
        <f t="shared" si="3"/>
        <v>#VALUE!</v>
      </c>
      <c r="C224" s="1" t="e">
        <f>SplineInterp(A224,Own_Spectrum_250cm!$U$2:$U$34,Own_Spectrum_250cm!$V$2:$V$34)*D224</f>
        <v>#VALUE!</v>
      </c>
      <c r="D224" s="13">
        <f>Place_data_here!B224</f>
        <v>0</v>
      </c>
    </row>
    <row r="225" spans="1:4" x14ac:dyDescent="0.25">
      <c r="A225" s="16">
        <f>Place_data_here!A225</f>
        <v>0</v>
      </c>
      <c r="B225" s="4" t="e">
        <f t="shared" si="3"/>
        <v>#VALUE!</v>
      </c>
      <c r="C225" s="1" t="e">
        <f>SplineInterp(A225,Own_Spectrum_250cm!$U$2:$U$34,Own_Spectrum_250cm!$V$2:$V$34)*D225</f>
        <v>#VALUE!</v>
      </c>
      <c r="D225" s="13">
        <f>Place_data_here!B225</f>
        <v>0</v>
      </c>
    </row>
    <row r="226" spans="1:4" x14ac:dyDescent="0.25">
      <c r="A226" s="16">
        <f>Place_data_here!A226</f>
        <v>0</v>
      </c>
      <c r="B226" s="4" t="e">
        <f t="shared" si="3"/>
        <v>#VALUE!</v>
      </c>
      <c r="C226" s="1" t="e">
        <f>SplineInterp(A226,Own_Spectrum_250cm!$U$2:$U$34,Own_Spectrum_250cm!$V$2:$V$34)*D226</f>
        <v>#VALUE!</v>
      </c>
      <c r="D226" s="13">
        <f>Place_data_here!B226</f>
        <v>0</v>
      </c>
    </row>
    <row r="227" spans="1:4" x14ac:dyDescent="0.25">
      <c r="A227" s="16">
        <f>Place_data_here!A227</f>
        <v>0</v>
      </c>
      <c r="B227" s="4" t="e">
        <f t="shared" si="3"/>
        <v>#VALUE!</v>
      </c>
      <c r="C227" s="1" t="e">
        <f>SplineInterp(A227,Own_Spectrum_250cm!$U$2:$U$34,Own_Spectrum_250cm!$V$2:$V$34)*D227</f>
        <v>#VALUE!</v>
      </c>
      <c r="D227" s="13">
        <f>Place_data_here!B227</f>
        <v>0</v>
      </c>
    </row>
    <row r="228" spans="1:4" x14ac:dyDescent="0.25">
      <c r="A228" s="16">
        <f>Place_data_here!A228</f>
        <v>0</v>
      </c>
      <c r="B228" s="4" t="e">
        <f t="shared" si="3"/>
        <v>#VALUE!</v>
      </c>
      <c r="C228" s="1" t="e">
        <f>SplineInterp(A228,Own_Spectrum_250cm!$U$2:$U$34,Own_Spectrum_250cm!$V$2:$V$34)*D228</f>
        <v>#VALUE!</v>
      </c>
      <c r="D228" s="13">
        <f>Place_data_here!B228</f>
        <v>0</v>
      </c>
    </row>
    <row r="229" spans="1:4" x14ac:dyDescent="0.25">
      <c r="A229" s="16">
        <f>Place_data_here!A229</f>
        <v>0</v>
      </c>
      <c r="B229" s="4" t="e">
        <f t="shared" si="3"/>
        <v>#VALUE!</v>
      </c>
      <c r="C229" s="1" t="e">
        <f>SplineInterp(A229,Own_Spectrum_250cm!$U$2:$U$34,Own_Spectrum_250cm!$V$2:$V$34)*D229</f>
        <v>#VALUE!</v>
      </c>
      <c r="D229" s="13">
        <f>Place_data_here!B229</f>
        <v>0</v>
      </c>
    </row>
    <row r="230" spans="1:4" x14ac:dyDescent="0.25">
      <c r="A230" s="16">
        <f>Place_data_here!A230</f>
        <v>0</v>
      </c>
      <c r="B230" s="4" t="e">
        <f t="shared" si="3"/>
        <v>#VALUE!</v>
      </c>
      <c r="C230" s="1" t="e">
        <f>SplineInterp(A230,Own_Spectrum_250cm!$U$2:$U$34,Own_Spectrum_250cm!$V$2:$V$34)*D230</f>
        <v>#VALUE!</v>
      </c>
      <c r="D230" s="13">
        <f>Place_data_here!B230</f>
        <v>0</v>
      </c>
    </row>
    <row r="231" spans="1:4" x14ac:dyDescent="0.25">
      <c r="A231" s="16">
        <f>Place_data_here!A231</f>
        <v>0</v>
      </c>
      <c r="B231" s="4" t="e">
        <f t="shared" si="3"/>
        <v>#VALUE!</v>
      </c>
      <c r="C231" s="1" t="e">
        <f>SplineInterp(A231,Own_Spectrum_250cm!$U$2:$U$34,Own_Spectrum_250cm!$V$2:$V$34)*D231</f>
        <v>#VALUE!</v>
      </c>
      <c r="D231" s="13">
        <f>Place_data_here!B231</f>
        <v>0</v>
      </c>
    </row>
    <row r="232" spans="1:4" x14ac:dyDescent="0.25">
      <c r="A232" s="16">
        <f>Place_data_here!A232</f>
        <v>0</v>
      </c>
      <c r="B232" s="4" t="e">
        <f t="shared" si="3"/>
        <v>#VALUE!</v>
      </c>
      <c r="C232" s="1" t="e">
        <f>SplineInterp(A232,Own_Spectrum_250cm!$U$2:$U$34,Own_Spectrum_250cm!$V$2:$V$34)*D232</f>
        <v>#VALUE!</v>
      </c>
      <c r="D232" s="13">
        <f>Place_data_here!B232</f>
        <v>0</v>
      </c>
    </row>
    <row r="233" spans="1:4" x14ac:dyDescent="0.25">
      <c r="A233" s="16">
        <f>Place_data_here!A233</f>
        <v>0</v>
      </c>
      <c r="B233" s="4" t="e">
        <f t="shared" si="3"/>
        <v>#VALUE!</v>
      </c>
      <c r="C233" s="1" t="e">
        <f>SplineInterp(A233,Own_Spectrum_250cm!$U$2:$U$34,Own_Spectrum_250cm!$V$2:$V$34)*D233</f>
        <v>#VALUE!</v>
      </c>
      <c r="D233" s="13">
        <f>Place_data_here!B233</f>
        <v>0</v>
      </c>
    </row>
    <row r="234" spans="1:4" x14ac:dyDescent="0.25">
      <c r="A234" s="16">
        <f>Place_data_here!A234</f>
        <v>0</v>
      </c>
      <c r="B234" s="4" t="e">
        <f t="shared" si="3"/>
        <v>#VALUE!</v>
      </c>
      <c r="C234" s="1" t="e">
        <f>SplineInterp(A234,Own_Spectrum_250cm!$U$2:$U$34,Own_Spectrum_250cm!$V$2:$V$34)*D234</f>
        <v>#VALUE!</v>
      </c>
      <c r="D234" s="13">
        <f>Place_data_here!B234</f>
        <v>0</v>
      </c>
    </row>
    <row r="235" spans="1:4" x14ac:dyDescent="0.25">
      <c r="A235" s="16">
        <f>Place_data_here!A235</f>
        <v>0</v>
      </c>
      <c r="B235" s="4" t="e">
        <f t="shared" si="3"/>
        <v>#VALUE!</v>
      </c>
      <c r="C235" s="1" t="e">
        <f>SplineInterp(A235,Own_Spectrum_250cm!$U$2:$U$34,Own_Spectrum_250cm!$V$2:$V$34)*D235</f>
        <v>#VALUE!</v>
      </c>
      <c r="D235" s="13">
        <f>Place_data_here!B235</f>
        <v>0</v>
      </c>
    </row>
    <row r="236" spans="1:4" x14ac:dyDescent="0.25">
      <c r="A236" s="16">
        <f>Place_data_here!A236</f>
        <v>0</v>
      </c>
      <c r="B236" s="4" t="e">
        <f t="shared" si="3"/>
        <v>#VALUE!</v>
      </c>
      <c r="C236" s="1" t="e">
        <f>SplineInterp(A236,Own_Spectrum_250cm!$U$2:$U$34,Own_Spectrum_250cm!$V$2:$V$34)*D236</f>
        <v>#VALUE!</v>
      </c>
      <c r="D236" s="13">
        <f>Place_data_here!B236</f>
        <v>0</v>
      </c>
    </row>
    <row r="237" spans="1:4" x14ac:dyDescent="0.25">
      <c r="A237" s="16">
        <f>Place_data_here!A237</f>
        <v>0</v>
      </c>
      <c r="B237" s="4" t="e">
        <f t="shared" si="3"/>
        <v>#VALUE!</v>
      </c>
      <c r="C237" s="1" t="e">
        <f>SplineInterp(A237,Own_Spectrum_250cm!$U$2:$U$34,Own_Spectrum_250cm!$V$2:$V$34)*D237</f>
        <v>#VALUE!</v>
      </c>
      <c r="D237" s="13">
        <f>Place_data_here!B237</f>
        <v>0</v>
      </c>
    </row>
    <row r="238" spans="1:4" x14ac:dyDescent="0.25">
      <c r="A238" s="16">
        <f>Place_data_here!A238</f>
        <v>0</v>
      </c>
      <c r="B238" s="4" t="e">
        <f t="shared" si="3"/>
        <v>#VALUE!</v>
      </c>
      <c r="C238" s="1" t="e">
        <f>SplineInterp(A238,Own_Spectrum_250cm!$U$2:$U$34,Own_Spectrum_250cm!$V$2:$V$34)*D238</f>
        <v>#VALUE!</v>
      </c>
      <c r="D238" s="13">
        <f>Place_data_here!B238</f>
        <v>0</v>
      </c>
    </row>
    <row r="239" spans="1:4" x14ac:dyDescent="0.25">
      <c r="A239" s="16">
        <f>Place_data_here!A239</f>
        <v>0</v>
      </c>
      <c r="B239" s="4" t="e">
        <f t="shared" si="3"/>
        <v>#VALUE!</v>
      </c>
      <c r="C239" s="1" t="e">
        <f>SplineInterp(A239,Own_Spectrum_250cm!$U$2:$U$34,Own_Spectrum_250cm!$V$2:$V$34)*D239</f>
        <v>#VALUE!</v>
      </c>
      <c r="D239" s="13">
        <f>Place_data_here!B239</f>
        <v>0</v>
      </c>
    </row>
    <row r="240" spans="1:4" x14ac:dyDescent="0.25">
      <c r="A240" s="16">
        <f>Place_data_here!A240</f>
        <v>0</v>
      </c>
      <c r="B240" s="4" t="e">
        <f t="shared" si="3"/>
        <v>#VALUE!</v>
      </c>
      <c r="C240" s="1" t="e">
        <f>SplineInterp(A240,Own_Spectrum_250cm!$U$2:$U$34,Own_Spectrum_250cm!$V$2:$V$34)*D240</f>
        <v>#VALUE!</v>
      </c>
      <c r="D240" s="13">
        <f>Place_data_here!B240</f>
        <v>0</v>
      </c>
    </row>
    <row r="241" spans="1:4" x14ac:dyDescent="0.25">
      <c r="A241" s="16">
        <f>Place_data_here!A241</f>
        <v>0</v>
      </c>
      <c r="B241" s="4" t="e">
        <f t="shared" si="3"/>
        <v>#VALUE!</v>
      </c>
      <c r="C241" s="1" t="e">
        <f>SplineInterp(A241,Own_Spectrum_250cm!$U$2:$U$34,Own_Spectrum_250cm!$V$2:$V$34)*D241</f>
        <v>#VALUE!</v>
      </c>
      <c r="D241" s="13">
        <f>Place_data_here!B241</f>
        <v>0</v>
      </c>
    </row>
    <row r="242" spans="1:4" x14ac:dyDescent="0.25">
      <c r="A242" s="16">
        <f>Place_data_here!A242</f>
        <v>0</v>
      </c>
      <c r="B242" s="4" t="e">
        <f t="shared" si="3"/>
        <v>#VALUE!</v>
      </c>
      <c r="C242" s="1" t="e">
        <f>SplineInterp(A242,Own_Spectrum_250cm!$U$2:$U$34,Own_Spectrum_250cm!$V$2:$V$34)*D242</f>
        <v>#VALUE!</v>
      </c>
      <c r="D242" s="13">
        <f>Place_data_here!B242</f>
        <v>0</v>
      </c>
    </row>
    <row r="243" spans="1:4" x14ac:dyDescent="0.25">
      <c r="A243" s="16">
        <f>Place_data_here!A243</f>
        <v>0</v>
      </c>
      <c r="B243" s="4" t="e">
        <f t="shared" si="3"/>
        <v>#VALUE!</v>
      </c>
      <c r="C243" s="1" t="e">
        <f>SplineInterp(A243,Own_Spectrum_250cm!$U$2:$U$34,Own_Spectrum_250cm!$V$2:$V$34)*D243</f>
        <v>#VALUE!</v>
      </c>
      <c r="D243" s="13">
        <f>Place_data_here!B243</f>
        <v>0</v>
      </c>
    </row>
    <row r="244" spans="1:4" x14ac:dyDescent="0.25">
      <c r="A244" s="16">
        <f>Place_data_here!A244</f>
        <v>0</v>
      </c>
      <c r="B244" s="4" t="e">
        <f t="shared" si="3"/>
        <v>#VALUE!</v>
      </c>
      <c r="C244" s="1" t="e">
        <f>SplineInterp(A244,Own_Spectrum_250cm!$U$2:$U$34,Own_Spectrum_250cm!$V$2:$V$34)*D244</f>
        <v>#VALUE!</v>
      </c>
      <c r="D244" s="13">
        <f>Place_data_here!B244</f>
        <v>0</v>
      </c>
    </row>
    <row r="245" spans="1:4" x14ac:dyDescent="0.25">
      <c r="A245" s="16">
        <f>Place_data_here!A245</f>
        <v>0</v>
      </c>
      <c r="B245" s="4" t="e">
        <f t="shared" si="3"/>
        <v>#VALUE!</v>
      </c>
      <c r="C245" s="1" t="e">
        <f>SplineInterp(A245,Own_Spectrum_250cm!$U$2:$U$34,Own_Spectrum_250cm!$V$2:$V$34)*D245</f>
        <v>#VALUE!</v>
      </c>
      <c r="D245" s="13">
        <f>Place_data_here!B245</f>
        <v>0</v>
      </c>
    </row>
    <row r="246" spans="1:4" x14ac:dyDescent="0.25">
      <c r="A246" s="16">
        <f>Place_data_here!A246</f>
        <v>0</v>
      </c>
      <c r="B246" s="4" t="e">
        <f t="shared" si="3"/>
        <v>#VALUE!</v>
      </c>
      <c r="C246" s="1" t="e">
        <f>SplineInterp(A246,Own_Spectrum_250cm!$U$2:$U$34,Own_Spectrum_250cm!$V$2:$V$34)*D246</f>
        <v>#VALUE!</v>
      </c>
      <c r="D246" s="13">
        <f>Place_data_here!B246</f>
        <v>0</v>
      </c>
    </row>
    <row r="247" spans="1:4" x14ac:dyDescent="0.25">
      <c r="A247" s="16">
        <f>Place_data_here!A247</f>
        <v>0</v>
      </c>
      <c r="B247" s="4" t="e">
        <f t="shared" si="3"/>
        <v>#VALUE!</v>
      </c>
      <c r="C247" s="1" t="e">
        <f>SplineInterp(A247,Own_Spectrum_250cm!$U$2:$U$34,Own_Spectrum_250cm!$V$2:$V$34)*D247</f>
        <v>#VALUE!</v>
      </c>
      <c r="D247" s="13">
        <f>Place_data_here!B247</f>
        <v>0</v>
      </c>
    </row>
    <row r="248" spans="1:4" x14ac:dyDescent="0.25">
      <c r="A248" s="16">
        <f>Place_data_here!A248</f>
        <v>0</v>
      </c>
      <c r="B248" s="4" t="e">
        <f t="shared" si="3"/>
        <v>#VALUE!</v>
      </c>
      <c r="C248" s="1" t="e">
        <f>SplineInterp(A248,Own_Spectrum_250cm!$U$2:$U$34,Own_Spectrum_250cm!$V$2:$V$34)*D248</f>
        <v>#VALUE!</v>
      </c>
      <c r="D248" s="13">
        <f>Place_data_here!B248</f>
        <v>0</v>
      </c>
    </row>
    <row r="249" spans="1:4" x14ac:dyDescent="0.25">
      <c r="A249" s="16">
        <f>Place_data_here!A249</f>
        <v>0</v>
      </c>
      <c r="B249" s="4" t="e">
        <f t="shared" si="3"/>
        <v>#VALUE!</v>
      </c>
      <c r="C249" s="1" t="e">
        <f>SplineInterp(A249,Own_Spectrum_250cm!$U$2:$U$34,Own_Spectrum_250cm!$V$2:$V$34)*D249</f>
        <v>#VALUE!</v>
      </c>
      <c r="D249" s="13">
        <f>Place_data_here!B249</f>
        <v>0</v>
      </c>
    </row>
    <row r="250" spans="1:4" x14ac:dyDescent="0.25">
      <c r="A250" s="16">
        <f>Place_data_here!A250</f>
        <v>0</v>
      </c>
      <c r="B250" s="4" t="e">
        <f t="shared" si="3"/>
        <v>#VALUE!</v>
      </c>
      <c r="C250" s="1" t="e">
        <f>SplineInterp(A250,Own_Spectrum_250cm!$U$2:$U$34,Own_Spectrum_250cm!$V$2:$V$34)*D250</f>
        <v>#VALUE!</v>
      </c>
      <c r="D250" s="13">
        <f>Place_data_here!B250</f>
        <v>0</v>
      </c>
    </row>
    <row r="251" spans="1:4" x14ac:dyDescent="0.25">
      <c r="A251" s="16">
        <f>Place_data_here!A251</f>
        <v>0</v>
      </c>
      <c r="B251" s="4" t="e">
        <f t="shared" si="3"/>
        <v>#VALUE!</v>
      </c>
      <c r="C251" s="1" t="e">
        <f>SplineInterp(A251,Own_Spectrum_250cm!$U$2:$U$34,Own_Spectrum_250cm!$V$2:$V$34)*D251</f>
        <v>#VALUE!</v>
      </c>
      <c r="D251" s="13">
        <f>Place_data_here!B251</f>
        <v>0</v>
      </c>
    </row>
    <row r="252" spans="1:4" x14ac:dyDescent="0.25">
      <c r="A252" s="16">
        <f>Place_data_here!A252</f>
        <v>0</v>
      </c>
      <c r="B252" s="4" t="e">
        <f t="shared" si="3"/>
        <v>#VALUE!</v>
      </c>
      <c r="C252" s="1" t="e">
        <f>SplineInterp(A252,Own_Spectrum_250cm!$U$2:$U$34,Own_Spectrum_250cm!$V$2:$V$34)*D252</f>
        <v>#VALUE!</v>
      </c>
      <c r="D252" s="13">
        <f>Place_data_here!B252</f>
        <v>0</v>
      </c>
    </row>
    <row r="253" spans="1:4" x14ac:dyDescent="0.25">
      <c r="A253" s="16">
        <f>Place_data_here!A253</f>
        <v>0</v>
      </c>
      <c r="B253" s="4" t="e">
        <f t="shared" si="3"/>
        <v>#VALUE!</v>
      </c>
      <c r="C253" s="1" t="e">
        <f>SplineInterp(A253,Own_Spectrum_250cm!$U$2:$U$34,Own_Spectrum_250cm!$V$2:$V$34)*D253</f>
        <v>#VALUE!</v>
      </c>
      <c r="D253" s="13">
        <f>Place_data_here!B253</f>
        <v>0</v>
      </c>
    </row>
    <row r="254" spans="1:4" x14ac:dyDescent="0.25">
      <c r="A254" s="16">
        <f>Place_data_here!A254</f>
        <v>0</v>
      </c>
      <c r="B254" s="4" t="e">
        <f t="shared" si="3"/>
        <v>#VALUE!</v>
      </c>
      <c r="C254" s="1" t="e">
        <f>SplineInterp(A254,Own_Spectrum_250cm!$U$2:$U$34,Own_Spectrum_250cm!$V$2:$V$34)*D254</f>
        <v>#VALUE!</v>
      </c>
      <c r="D254" s="13">
        <f>Place_data_here!B254</f>
        <v>0</v>
      </c>
    </row>
    <row r="255" spans="1:4" x14ac:dyDescent="0.25">
      <c r="A255" s="16">
        <f>Place_data_here!A255</f>
        <v>0</v>
      </c>
      <c r="B255" s="4" t="e">
        <f t="shared" si="3"/>
        <v>#VALUE!</v>
      </c>
      <c r="C255" s="1" t="e">
        <f>SplineInterp(A255,Own_Spectrum_250cm!$U$2:$U$34,Own_Spectrum_250cm!$V$2:$V$34)*D255</f>
        <v>#VALUE!</v>
      </c>
      <c r="D255" s="13">
        <f>Place_data_here!B255</f>
        <v>0</v>
      </c>
    </row>
    <row r="256" spans="1:4" x14ac:dyDescent="0.25">
      <c r="A256" s="16">
        <f>Place_data_here!A256</f>
        <v>0</v>
      </c>
      <c r="B256" s="4" t="e">
        <f t="shared" si="3"/>
        <v>#VALUE!</v>
      </c>
      <c r="C256" s="1" t="e">
        <f>SplineInterp(A256,Own_Spectrum_250cm!$U$2:$U$34,Own_Spectrum_250cm!$V$2:$V$34)*D256</f>
        <v>#VALUE!</v>
      </c>
      <c r="D256" s="13">
        <f>Place_data_here!B256</f>
        <v>0</v>
      </c>
    </row>
    <row r="257" spans="1:4" x14ac:dyDescent="0.25">
      <c r="A257" s="16">
        <f>Place_data_here!A257</f>
        <v>0</v>
      </c>
      <c r="B257" s="4" t="e">
        <f t="shared" si="3"/>
        <v>#VALUE!</v>
      </c>
      <c r="C257" s="1" t="e">
        <f>SplineInterp(A257,Own_Spectrum_250cm!$U$2:$U$34,Own_Spectrum_250cm!$V$2:$V$34)*D257</f>
        <v>#VALUE!</v>
      </c>
      <c r="D257" s="13">
        <f>Place_data_here!B257</f>
        <v>0</v>
      </c>
    </row>
    <row r="258" spans="1:4" x14ac:dyDescent="0.25">
      <c r="A258" s="16">
        <f>Place_data_here!A258</f>
        <v>0</v>
      </c>
      <c r="B258" s="4" t="e">
        <f t="shared" si="3"/>
        <v>#VALUE!</v>
      </c>
      <c r="C258" s="1" t="e">
        <f>SplineInterp(A258,Own_Spectrum_250cm!$U$2:$U$34,Own_Spectrum_250cm!$V$2:$V$34)*D258</f>
        <v>#VALUE!</v>
      </c>
      <c r="D258" s="13">
        <f>Place_data_here!B258</f>
        <v>0</v>
      </c>
    </row>
    <row r="259" spans="1:4" x14ac:dyDescent="0.25">
      <c r="A259" s="16">
        <f>Place_data_here!A259</f>
        <v>0</v>
      </c>
      <c r="B259" s="4" t="e">
        <f t="shared" ref="B259:B322" si="4">C259/$C$1028</f>
        <v>#VALUE!</v>
      </c>
      <c r="C259" s="1" t="e">
        <f>SplineInterp(A259,Own_Spectrum_250cm!$U$2:$U$34,Own_Spectrum_250cm!$V$2:$V$34)*D259</f>
        <v>#VALUE!</v>
      </c>
      <c r="D259" s="13">
        <f>Place_data_here!B259</f>
        <v>0</v>
      </c>
    </row>
    <row r="260" spans="1:4" x14ac:dyDescent="0.25">
      <c r="A260" s="16">
        <f>Place_data_here!A260</f>
        <v>0</v>
      </c>
      <c r="B260" s="4" t="e">
        <f t="shared" si="4"/>
        <v>#VALUE!</v>
      </c>
      <c r="C260" s="1" t="e">
        <f>SplineInterp(A260,Own_Spectrum_250cm!$U$2:$U$34,Own_Spectrum_250cm!$V$2:$V$34)*D260</f>
        <v>#VALUE!</v>
      </c>
      <c r="D260" s="13">
        <f>Place_data_here!B260</f>
        <v>0</v>
      </c>
    </row>
    <row r="261" spans="1:4" x14ac:dyDescent="0.25">
      <c r="A261" s="16">
        <f>Place_data_here!A261</f>
        <v>0</v>
      </c>
      <c r="B261" s="4" t="e">
        <f t="shared" si="4"/>
        <v>#VALUE!</v>
      </c>
      <c r="C261" s="1" t="e">
        <f>SplineInterp(A261,Own_Spectrum_250cm!$U$2:$U$34,Own_Spectrum_250cm!$V$2:$V$34)*D261</f>
        <v>#VALUE!</v>
      </c>
      <c r="D261" s="13">
        <f>Place_data_here!B261</f>
        <v>0</v>
      </c>
    </row>
    <row r="262" spans="1:4" x14ac:dyDescent="0.25">
      <c r="A262" s="16">
        <f>Place_data_here!A262</f>
        <v>0</v>
      </c>
      <c r="B262" s="4" t="e">
        <f t="shared" si="4"/>
        <v>#VALUE!</v>
      </c>
      <c r="C262" s="1" t="e">
        <f>SplineInterp(A262,Own_Spectrum_250cm!$U$2:$U$34,Own_Spectrum_250cm!$V$2:$V$34)*D262</f>
        <v>#VALUE!</v>
      </c>
      <c r="D262" s="13">
        <f>Place_data_here!B262</f>
        <v>0</v>
      </c>
    </row>
    <row r="263" spans="1:4" x14ac:dyDescent="0.25">
      <c r="A263" s="16">
        <f>Place_data_here!A263</f>
        <v>0</v>
      </c>
      <c r="B263" s="4" t="e">
        <f t="shared" si="4"/>
        <v>#VALUE!</v>
      </c>
      <c r="C263" s="1" t="e">
        <f>SplineInterp(A263,Own_Spectrum_250cm!$U$2:$U$34,Own_Spectrum_250cm!$V$2:$V$34)*D263</f>
        <v>#VALUE!</v>
      </c>
      <c r="D263" s="13">
        <f>Place_data_here!B263</f>
        <v>0</v>
      </c>
    </row>
    <row r="264" spans="1:4" x14ac:dyDescent="0.25">
      <c r="A264" s="16">
        <f>Place_data_here!A264</f>
        <v>0</v>
      </c>
      <c r="B264" s="4" t="e">
        <f t="shared" si="4"/>
        <v>#VALUE!</v>
      </c>
      <c r="C264" s="1" t="e">
        <f>SplineInterp(A264,Own_Spectrum_250cm!$U$2:$U$34,Own_Spectrum_250cm!$V$2:$V$34)*D264</f>
        <v>#VALUE!</v>
      </c>
      <c r="D264" s="13">
        <f>Place_data_here!B264</f>
        <v>0</v>
      </c>
    </row>
    <row r="265" spans="1:4" x14ac:dyDescent="0.25">
      <c r="A265" s="16">
        <f>Place_data_here!A265</f>
        <v>0</v>
      </c>
      <c r="B265" s="4" t="e">
        <f t="shared" si="4"/>
        <v>#VALUE!</v>
      </c>
      <c r="C265" s="1" t="e">
        <f>SplineInterp(A265,Own_Spectrum_250cm!$U$2:$U$34,Own_Spectrum_250cm!$V$2:$V$34)*D265</f>
        <v>#VALUE!</v>
      </c>
      <c r="D265" s="13">
        <f>Place_data_here!B265</f>
        <v>0</v>
      </c>
    </row>
    <row r="266" spans="1:4" x14ac:dyDescent="0.25">
      <c r="A266" s="16">
        <f>Place_data_here!A266</f>
        <v>0</v>
      </c>
      <c r="B266" s="4" t="e">
        <f t="shared" si="4"/>
        <v>#VALUE!</v>
      </c>
      <c r="C266" s="1" t="e">
        <f>SplineInterp(A266,Own_Spectrum_250cm!$U$2:$U$34,Own_Spectrum_250cm!$V$2:$V$34)*D266</f>
        <v>#VALUE!</v>
      </c>
      <c r="D266" s="13">
        <f>Place_data_here!B266</f>
        <v>0</v>
      </c>
    </row>
    <row r="267" spans="1:4" x14ac:dyDescent="0.25">
      <c r="A267" s="16">
        <f>Place_data_here!A267</f>
        <v>0</v>
      </c>
      <c r="B267" s="4" t="e">
        <f t="shared" si="4"/>
        <v>#VALUE!</v>
      </c>
      <c r="C267" s="1" t="e">
        <f>SplineInterp(A267,Own_Spectrum_250cm!$U$2:$U$34,Own_Spectrum_250cm!$V$2:$V$34)*D267</f>
        <v>#VALUE!</v>
      </c>
      <c r="D267" s="13">
        <f>Place_data_here!B267</f>
        <v>0</v>
      </c>
    </row>
    <row r="268" spans="1:4" x14ac:dyDescent="0.25">
      <c r="A268" s="16">
        <f>Place_data_here!A268</f>
        <v>0</v>
      </c>
      <c r="B268" s="4" t="e">
        <f t="shared" si="4"/>
        <v>#VALUE!</v>
      </c>
      <c r="C268" s="1" t="e">
        <f>SplineInterp(A268,Own_Spectrum_250cm!$U$2:$U$34,Own_Spectrum_250cm!$V$2:$V$34)*D268</f>
        <v>#VALUE!</v>
      </c>
      <c r="D268" s="13">
        <f>Place_data_here!B268</f>
        <v>0</v>
      </c>
    </row>
    <row r="269" spans="1:4" x14ac:dyDescent="0.25">
      <c r="A269" s="16">
        <f>Place_data_here!A269</f>
        <v>0</v>
      </c>
      <c r="B269" s="4" t="e">
        <f t="shared" si="4"/>
        <v>#VALUE!</v>
      </c>
      <c r="C269" s="1" t="e">
        <f>SplineInterp(A269,Own_Spectrum_250cm!$U$2:$U$34,Own_Spectrum_250cm!$V$2:$V$34)*D269</f>
        <v>#VALUE!</v>
      </c>
      <c r="D269" s="13">
        <f>Place_data_here!B269</f>
        <v>0</v>
      </c>
    </row>
    <row r="270" spans="1:4" x14ac:dyDescent="0.25">
      <c r="A270" s="16">
        <f>Place_data_here!A270</f>
        <v>0</v>
      </c>
      <c r="B270" s="4" t="e">
        <f t="shared" si="4"/>
        <v>#VALUE!</v>
      </c>
      <c r="C270" s="1" t="e">
        <f>SplineInterp(A270,Own_Spectrum_250cm!$U$2:$U$34,Own_Spectrum_250cm!$V$2:$V$34)*D270</f>
        <v>#VALUE!</v>
      </c>
      <c r="D270" s="13">
        <f>Place_data_here!B270</f>
        <v>0</v>
      </c>
    </row>
    <row r="271" spans="1:4" x14ac:dyDescent="0.25">
      <c r="A271" s="16">
        <f>Place_data_here!A271</f>
        <v>0</v>
      </c>
      <c r="B271" s="4" t="e">
        <f t="shared" si="4"/>
        <v>#VALUE!</v>
      </c>
      <c r="C271" s="1" t="e">
        <f>SplineInterp(A271,Own_Spectrum_250cm!$U$2:$U$34,Own_Spectrum_250cm!$V$2:$V$34)*D271</f>
        <v>#VALUE!</v>
      </c>
      <c r="D271" s="13">
        <f>Place_data_here!B271</f>
        <v>0</v>
      </c>
    </row>
    <row r="272" spans="1:4" x14ac:dyDescent="0.25">
      <c r="A272" s="16">
        <f>Place_data_here!A272</f>
        <v>0</v>
      </c>
      <c r="B272" s="4" t="e">
        <f t="shared" si="4"/>
        <v>#VALUE!</v>
      </c>
      <c r="C272" s="1" t="e">
        <f>SplineInterp(A272,Own_Spectrum_250cm!$U$2:$U$34,Own_Spectrum_250cm!$V$2:$V$34)*D272</f>
        <v>#VALUE!</v>
      </c>
      <c r="D272" s="13">
        <f>Place_data_here!B272</f>
        <v>0</v>
      </c>
    </row>
    <row r="273" spans="1:4" x14ac:dyDescent="0.25">
      <c r="A273" s="16">
        <f>Place_data_here!A273</f>
        <v>0</v>
      </c>
      <c r="B273" s="4" t="e">
        <f t="shared" si="4"/>
        <v>#VALUE!</v>
      </c>
      <c r="C273" s="1" t="e">
        <f>SplineInterp(A273,Own_Spectrum_250cm!$U$2:$U$34,Own_Spectrum_250cm!$V$2:$V$34)*D273</f>
        <v>#VALUE!</v>
      </c>
      <c r="D273" s="13">
        <f>Place_data_here!B273</f>
        <v>0</v>
      </c>
    </row>
    <row r="274" spans="1:4" x14ac:dyDescent="0.25">
      <c r="A274" s="16">
        <f>Place_data_here!A274</f>
        <v>0</v>
      </c>
      <c r="B274" s="4" t="e">
        <f t="shared" si="4"/>
        <v>#VALUE!</v>
      </c>
      <c r="C274" s="1" t="e">
        <f>SplineInterp(A274,Own_Spectrum_250cm!$U$2:$U$34,Own_Spectrum_250cm!$V$2:$V$34)*D274</f>
        <v>#VALUE!</v>
      </c>
      <c r="D274" s="13">
        <f>Place_data_here!B274</f>
        <v>0</v>
      </c>
    </row>
    <row r="275" spans="1:4" x14ac:dyDescent="0.25">
      <c r="A275" s="16">
        <f>Place_data_here!A275</f>
        <v>0</v>
      </c>
      <c r="B275" s="4" t="e">
        <f t="shared" si="4"/>
        <v>#VALUE!</v>
      </c>
      <c r="C275" s="1" t="e">
        <f>SplineInterp(A275,Own_Spectrum_250cm!$U$2:$U$34,Own_Spectrum_250cm!$V$2:$V$34)*D275</f>
        <v>#VALUE!</v>
      </c>
      <c r="D275" s="13">
        <f>Place_data_here!B275</f>
        <v>0</v>
      </c>
    </row>
    <row r="276" spans="1:4" x14ac:dyDescent="0.25">
      <c r="A276" s="16">
        <f>Place_data_here!A276</f>
        <v>0</v>
      </c>
      <c r="B276" s="4" t="e">
        <f t="shared" si="4"/>
        <v>#VALUE!</v>
      </c>
      <c r="C276" s="1" t="e">
        <f>SplineInterp(A276,Own_Spectrum_250cm!$U$2:$U$34,Own_Spectrum_250cm!$V$2:$V$34)*D276</f>
        <v>#VALUE!</v>
      </c>
      <c r="D276" s="13">
        <f>Place_data_here!B276</f>
        <v>0</v>
      </c>
    </row>
    <row r="277" spans="1:4" x14ac:dyDescent="0.25">
      <c r="A277" s="16">
        <f>Place_data_here!A277</f>
        <v>0</v>
      </c>
      <c r="B277" s="4" t="e">
        <f t="shared" si="4"/>
        <v>#VALUE!</v>
      </c>
      <c r="C277" s="1" t="e">
        <f>SplineInterp(A277,Own_Spectrum_250cm!$U$2:$U$34,Own_Spectrum_250cm!$V$2:$V$34)*D277</f>
        <v>#VALUE!</v>
      </c>
      <c r="D277" s="13">
        <f>Place_data_here!B277</f>
        <v>0</v>
      </c>
    </row>
    <row r="278" spans="1:4" x14ac:dyDescent="0.25">
      <c r="A278" s="16">
        <f>Place_data_here!A278</f>
        <v>0</v>
      </c>
      <c r="B278" s="4" t="e">
        <f t="shared" si="4"/>
        <v>#VALUE!</v>
      </c>
      <c r="C278" s="1" t="e">
        <f>SplineInterp(A278,Own_Spectrum_250cm!$U$2:$U$34,Own_Spectrum_250cm!$V$2:$V$34)*D278</f>
        <v>#VALUE!</v>
      </c>
      <c r="D278" s="13">
        <f>Place_data_here!B278</f>
        <v>0</v>
      </c>
    </row>
    <row r="279" spans="1:4" x14ac:dyDescent="0.25">
      <c r="A279" s="16">
        <f>Place_data_here!A279</f>
        <v>0</v>
      </c>
      <c r="B279" s="4" t="e">
        <f t="shared" si="4"/>
        <v>#VALUE!</v>
      </c>
      <c r="C279" s="1" t="e">
        <f>SplineInterp(A279,Own_Spectrum_250cm!$U$2:$U$34,Own_Spectrum_250cm!$V$2:$V$34)*D279</f>
        <v>#VALUE!</v>
      </c>
      <c r="D279" s="13">
        <f>Place_data_here!B279</f>
        <v>0</v>
      </c>
    </row>
    <row r="280" spans="1:4" x14ac:dyDescent="0.25">
      <c r="A280" s="16">
        <f>Place_data_here!A280</f>
        <v>0</v>
      </c>
      <c r="B280" s="4" t="e">
        <f t="shared" si="4"/>
        <v>#VALUE!</v>
      </c>
      <c r="C280" s="1" t="e">
        <f>SplineInterp(A280,Own_Spectrum_250cm!$U$2:$U$34,Own_Spectrum_250cm!$V$2:$V$34)*D280</f>
        <v>#VALUE!</v>
      </c>
      <c r="D280" s="13">
        <f>Place_data_here!B280</f>
        <v>0</v>
      </c>
    </row>
    <row r="281" spans="1:4" x14ac:dyDescent="0.25">
      <c r="A281" s="16">
        <f>Place_data_here!A281</f>
        <v>0</v>
      </c>
      <c r="B281" s="4" t="e">
        <f t="shared" si="4"/>
        <v>#VALUE!</v>
      </c>
      <c r="C281" s="1" t="e">
        <f>SplineInterp(A281,Own_Spectrum_250cm!$U$2:$U$34,Own_Spectrum_250cm!$V$2:$V$34)*D281</f>
        <v>#VALUE!</v>
      </c>
      <c r="D281" s="13">
        <f>Place_data_here!B281</f>
        <v>0</v>
      </c>
    </row>
    <row r="282" spans="1:4" x14ac:dyDescent="0.25">
      <c r="A282" s="16">
        <f>Place_data_here!A282</f>
        <v>0</v>
      </c>
      <c r="B282" s="4" t="e">
        <f t="shared" si="4"/>
        <v>#VALUE!</v>
      </c>
      <c r="C282" s="1" t="e">
        <f>SplineInterp(A282,Own_Spectrum_250cm!$U$2:$U$34,Own_Spectrum_250cm!$V$2:$V$34)*D282</f>
        <v>#VALUE!</v>
      </c>
      <c r="D282" s="13">
        <f>Place_data_here!B282</f>
        <v>0</v>
      </c>
    </row>
    <row r="283" spans="1:4" x14ac:dyDescent="0.25">
      <c r="A283" s="16">
        <f>Place_data_here!A283</f>
        <v>0</v>
      </c>
      <c r="B283" s="4" t="e">
        <f t="shared" si="4"/>
        <v>#VALUE!</v>
      </c>
      <c r="C283" s="1" t="e">
        <f>SplineInterp(A283,Own_Spectrum_250cm!$U$2:$U$34,Own_Spectrum_250cm!$V$2:$V$34)*D283</f>
        <v>#VALUE!</v>
      </c>
      <c r="D283" s="13">
        <f>Place_data_here!B283</f>
        <v>0</v>
      </c>
    </row>
    <row r="284" spans="1:4" x14ac:dyDescent="0.25">
      <c r="A284" s="16">
        <f>Place_data_here!A284</f>
        <v>0</v>
      </c>
      <c r="B284" s="4" t="e">
        <f t="shared" si="4"/>
        <v>#VALUE!</v>
      </c>
      <c r="C284" s="1" t="e">
        <f>SplineInterp(A284,Own_Spectrum_250cm!$U$2:$U$34,Own_Spectrum_250cm!$V$2:$V$34)*D284</f>
        <v>#VALUE!</v>
      </c>
      <c r="D284" s="13">
        <f>Place_data_here!B284</f>
        <v>0</v>
      </c>
    </row>
    <row r="285" spans="1:4" x14ac:dyDescent="0.25">
      <c r="A285" s="16">
        <f>Place_data_here!A285</f>
        <v>0</v>
      </c>
      <c r="B285" s="4" t="e">
        <f t="shared" si="4"/>
        <v>#VALUE!</v>
      </c>
      <c r="C285" s="1" t="e">
        <f>SplineInterp(A285,Own_Spectrum_250cm!$U$2:$U$34,Own_Spectrum_250cm!$V$2:$V$34)*D285</f>
        <v>#VALUE!</v>
      </c>
      <c r="D285" s="13">
        <f>Place_data_here!B285</f>
        <v>0</v>
      </c>
    </row>
    <row r="286" spans="1:4" x14ac:dyDescent="0.25">
      <c r="A286" s="16">
        <f>Place_data_here!A286</f>
        <v>0</v>
      </c>
      <c r="B286" s="4" t="e">
        <f t="shared" si="4"/>
        <v>#VALUE!</v>
      </c>
      <c r="C286" s="1" t="e">
        <f>SplineInterp(A286,Own_Spectrum_250cm!$U$2:$U$34,Own_Spectrum_250cm!$V$2:$V$34)*D286</f>
        <v>#VALUE!</v>
      </c>
      <c r="D286" s="13">
        <f>Place_data_here!B286</f>
        <v>0</v>
      </c>
    </row>
    <row r="287" spans="1:4" x14ac:dyDescent="0.25">
      <c r="A287" s="16">
        <f>Place_data_here!A287</f>
        <v>0</v>
      </c>
      <c r="B287" s="4" t="e">
        <f t="shared" si="4"/>
        <v>#VALUE!</v>
      </c>
      <c r="C287" s="1" t="e">
        <f>SplineInterp(A287,Own_Spectrum_250cm!$U$2:$U$34,Own_Spectrum_250cm!$V$2:$V$34)*D287</f>
        <v>#VALUE!</v>
      </c>
      <c r="D287" s="13">
        <f>Place_data_here!B287</f>
        <v>0</v>
      </c>
    </row>
    <row r="288" spans="1:4" x14ac:dyDescent="0.25">
      <c r="A288" s="16">
        <f>Place_data_here!A288</f>
        <v>0</v>
      </c>
      <c r="B288" s="4" t="e">
        <f t="shared" si="4"/>
        <v>#VALUE!</v>
      </c>
      <c r="C288" s="1" t="e">
        <f>SplineInterp(A288,Own_Spectrum_250cm!$U$2:$U$34,Own_Spectrum_250cm!$V$2:$V$34)*D288</f>
        <v>#VALUE!</v>
      </c>
      <c r="D288" s="13">
        <f>Place_data_here!B288</f>
        <v>0</v>
      </c>
    </row>
    <row r="289" spans="1:4" x14ac:dyDescent="0.25">
      <c r="A289" s="16">
        <f>Place_data_here!A289</f>
        <v>0</v>
      </c>
      <c r="B289" s="4" t="e">
        <f t="shared" si="4"/>
        <v>#VALUE!</v>
      </c>
      <c r="C289" s="1" t="e">
        <f>SplineInterp(A289,Own_Spectrum_250cm!$U$2:$U$34,Own_Spectrum_250cm!$V$2:$V$34)*D289</f>
        <v>#VALUE!</v>
      </c>
      <c r="D289" s="13">
        <f>Place_data_here!B289</f>
        <v>0</v>
      </c>
    </row>
    <row r="290" spans="1:4" x14ac:dyDescent="0.25">
      <c r="A290" s="16">
        <f>Place_data_here!A290</f>
        <v>0</v>
      </c>
      <c r="B290" s="4" t="e">
        <f t="shared" si="4"/>
        <v>#VALUE!</v>
      </c>
      <c r="C290" s="1" t="e">
        <f>SplineInterp(A290,Own_Spectrum_250cm!$U$2:$U$34,Own_Spectrum_250cm!$V$2:$V$34)*D290</f>
        <v>#VALUE!</v>
      </c>
      <c r="D290" s="13">
        <f>Place_data_here!B290</f>
        <v>0</v>
      </c>
    </row>
    <row r="291" spans="1:4" x14ac:dyDescent="0.25">
      <c r="A291" s="16">
        <f>Place_data_here!A291</f>
        <v>0</v>
      </c>
      <c r="B291" s="4" t="e">
        <f t="shared" si="4"/>
        <v>#VALUE!</v>
      </c>
      <c r="C291" s="1" t="e">
        <f>SplineInterp(A291,Own_Spectrum_250cm!$U$2:$U$34,Own_Spectrum_250cm!$V$2:$V$34)*D291</f>
        <v>#VALUE!</v>
      </c>
      <c r="D291" s="13">
        <f>Place_data_here!B291</f>
        <v>0</v>
      </c>
    </row>
    <row r="292" spans="1:4" x14ac:dyDescent="0.25">
      <c r="A292" s="16">
        <f>Place_data_here!A292</f>
        <v>0</v>
      </c>
      <c r="B292" s="4" t="e">
        <f t="shared" si="4"/>
        <v>#VALUE!</v>
      </c>
      <c r="C292" s="1" t="e">
        <f>SplineInterp(A292,Own_Spectrum_250cm!$U$2:$U$34,Own_Spectrum_250cm!$V$2:$V$34)*D292</f>
        <v>#VALUE!</v>
      </c>
      <c r="D292" s="13">
        <f>Place_data_here!B292</f>
        <v>0</v>
      </c>
    </row>
    <row r="293" spans="1:4" x14ac:dyDescent="0.25">
      <c r="A293" s="16">
        <f>Place_data_here!A293</f>
        <v>0</v>
      </c>
      <c r="B293" s="4" t="e">
        <f t="shared" si="4"/>
        <v>#VALUE!</v>
      </c>
      <c r="C293" s="1" t="e">
        <f>SplineInterp(A293,Own_Spectrum_250cm!$U$2:$U$34,Own_Spectrum_250cm!$V$2:$V$34)*D293</f>
        <v>#VALUE!</v>
      </c>
      <c r="D293" s="13">
        <f>Place_data_here!B293</f>
        <v>0</v>
      </c>
    </row>
    <row r="294" spans="1:4" x14ac:dyDescent="0.25">
      <c r="A294" s="16">
        <f>Place_data_here!A294</f>
        <v>0</v>
      </c>
      <c r="B294" s="4" t="e">
        <f t="shared" si="4"/>
        <v>#VALUE!</v>
      </c>
      <c r="C294" s="1" t="e">
        <f>SplineInterp(A294,Own_Spectrum_250cm!$U$2:$U$34,Own_Spectrum_250cm!$V$2:$V$34)*D294</f>
        <v>#VALUE!</v>
      </c>
      <c r="D294" s="13">
        <f>Place_data_here!B294</f>
        <v>0</v>
      </c>
    </row>
    <row r="295" spans="1:4" x14ac:dyDescent="0.25">
      <c r="A295" s="16">
        <f>Place_data_here!A295</f>
        <v>0</v>
      </c>
      <c r="B295" s="4" t="e">
        <f t="shared" si="4"/>
        <v>#VALUE!</v>
      </c>
      <c r="C295" s="1" t="e">
        <f>SplineInterp(A295,Own_Spectrum_250cm!$U$2:$U$34,Own_Spectrum_250cm!$V$2:$V$34)*D295</f>
        <v>#VALUE!</v>
      </c>
      <c r="D295" s="13">
        <f>Place_data_here!B295</f>
        <v>0</v>
      </c>
    </row>
    <row r="296" spans="1:4" x14ac:dyDescent="0.25">
      <c r="A296" s="16">
        <f>Place_data_here!A296</f>
        <v>0</v>
      </c>
      <c r="B296" s="4" t="e">
        <f t="shared" si="4"/>
        <v>#VALUE!</v>
      </c>
      <c r="C296" s="1" t="e">
        <f>SplineInterp(A296,Own_Spectrum_250cm!$U$2:$U$34,Own_Spectrum_250cm!$V$2:$V$34)*D296</f>
        <v>#VALUE!</v>
      </c>
      <c r="D296" s="13">
        <f>Place_data_here!B296</f>
        <v>0</v>
      </c>
    </row>
    <row r="297" spans="1:4" x14ac:dyDescent="0.25">
      <c r="A297" s="16">
        <f>Place_data_here!A297</f>
        <v>0</v>
      </c>
      <c r="B297" s="4" t="e">
        <f t="shared" si="4"/>
        <v>#VALUE!</v>
      </c>
      <c r="C297" s="1" t="e">
        <f>SplineInterp(A297,Own_Spectrum_250cm!$U$2:$U$34,Own_Spectrum_250cm!$V$2:$V$34)*D297</f>
        <v>#VALUE!</v>
      </c>
      <c r="D297" s="13">
        <f>Place_data_here!B297</f>
        <v>0</v>
      </c>
    </row>
    <row r="298" spans="1:4" x14ac:dyDescent="0.25">
      <c r="A298" s="16">
        <f>Place_data_here!A298</f>
        <v>0</v>
      </c>
      <c r="B298" s="4" t="e">
        <f t="shared" si="4"/>
        <v>#VALUE!</v>
      </c>
      <c r="C298" s="1" t="e">
        <f>SplineInterp(A298,Own_Spectrum_250cm!$U$2:$U$34,Own_Spectrum_250cm!$V$2:$V$34)*D298</f>
        <v>#VALUE!</v>
      </c>
      <c r="D298" s="13">
        <f>Place_data_here!B298</f>
        <v>0</v>
      </c>
    </row>
    <row r="299" spans="1:4" x14ac:dyDescent="0.25">
      <c r="A299" s="16">
        <f>Place_data_here!A299</f>
        <v>0</v>
      </c>
      <c r="B299" s="4" t="e">
        <f t="shared" si="4"/>
        <v>#VALUE!</v>
      </c>
      <c r="C299" s="1" t="e">
        <f>SplineInterp(A299,Own_Spectrum_250cm!$U$2:$U$34,Own_Spectrum_250cm!$V$2:$V$34)*D299</f>
        <v>#VALUE!</v>
      </c>
      <c r="D299" s="13">
        <f>Place_data_here!B299</f>
        <v>0</v>
      </c>
    </row>
    <row r="300" spans="1:4" x14ac:dyDescent="0.25">
      <c r="A300" s="16">
        <f>Place_data_here!A300</f>
        <v>0</v>
      </c>
      <c r="B300" s="4" t="e">
        <f t="shared" si="4"/>
        <v>#VALUE!</v>
      </c>
      <c r="C300" s="1" t="e">
        <f>SplineInterp(A300,Own_Spectrum_250cm!$U$2:$U$34,Own_Spectrum_250cm!$V$2:$V$34)*D300</f>
        <v>#VALUE!</v>
      </c>
      <c r="D300" s="13">
        <f>Place_data_here!B300</f>
        <v>0</v>
      </c>
    </row>
    <row r="301" spans="1:4" x14ac:dyDescent="0.25">
      <c r="A301" s="16">
        <f>Place_data_here!A301</f>
        <v>0</v>
      </c>
      <c r="B301" s="4" t="e">
        <f t="shared" si="4"/>
        <v>#VALUE!</v>
      </c>
      <c r="C301" s="1" t="e">
        <f>SplineInterp(A301,Own_Spectrum_250cm!$U$2:$U$34,Own_Spectrum_250cm!$V$2:$V$34)*D301</f>
        <v>#VALUE!</v>
      </c>
      <c r="D301" s="13">
        <f>Place_data_here!B301</f>
        <v>0</v>
      </c>
    </row>
    <row r="302" spans="1:4" x14ac:dyDescent="0.25">
      <c r="A302" s="16">
        <f>Place_data_here!A302</f>
        <v>0</v>
      </c>
      <c r="B302" s="4" t="e">
        <f t="shared" si="4"/>
        <v>#VALUE!</v>
      </c>
      <c r="C302" s="1" t="e">
        <f>SplineInterp(A302,Own_Spectrum_250cm!$U$2:$U$34,Own_Spectrum_250cm!$V$2:$V$34)*D302</f>
        <v>#VALUE!</v>
      </c>
      <c r="D302" s="13">
        <f>Place_data_here!B302</f>
        <v>0</v>
      </c>
    </row>
    <row r="303" spans="1:4" x14ac:dyDescent="0.25">
      <c r="A303" s="16">
        <f>Place_data_here!A303</f>
        <v>0</v>
      </c>
      <c r="B303" s="4" t="e">
        <f t="shared" si="4"/>
        <v>#VALUE!</v>
      </c>
      <c r="C303" s="1" t="e">
        <f>SplineInterp(A303,Own_Spectrum_250cm!$U$2:$U$34,Own_Spectrum_250cm!$V$2:$V$34)*D303</f>
        <v>#VALUE!</v>
      </c>
      <c r="D303" s="13">
        <f>Place_data_here!B303</f>
        <v>0</v>
      </c>
    </row>
    <row r="304" spans="1:4" x14ac:dyDescent="0.25">
      <c r="A304" s="16">
        <f>Place_data_here!A304</f>
        <v>0</v>
      </c>
      <c r="B304" s="4" t="e">
        <f t="shared" si="4"/>
        <v>#VALUE!</v>
      </c>
      <c r="C304" s="1" t="e">
        <f>SplineInterp(A304,Own_Spectrum_250cm!$U$2:$U$34,Own_Spectrum_250cm!$V$2:$V$34)*D304</f>
        <v>#VALUE!</v>
      </c>
      <c r="D304" s="13">
        <f>Place_data_here!B304</f>
        <v>0</v>
      </c>
    </row>
    <row r="305" spans="1:4" x14ac:dyDescent="0.25">
      <c r="A305" s="16">
        <f>Place_data_here!A305</f>
        <v>0</v>
      </c>
      <c r="B305" s="4" t="e">
        <f t="shared" si="4"/>
        <v>#VALUE!</v>
      </c>
      <c r="C305" s="1" t="e">
        <f>SplineInterp(A305,Own_Spectrum_250cm!$U$2:$U$34,Own_Spectrum_250cm!$V$2:$V$34)*D305</f>
        <v>#VALUE!</v>
      </c>
      <c r="D305" s="13">
        <f>Place_data_here!B305</f>
        <v>0</v>
      </c>
    </row>
    <row r="306" spans="1:4" x14ac:dyDescent="0.25">
      <c r="A306" s="16">
        <f>Place_data_here!A306</f>
        <v>0</v>
      </c>
      <c r="B306" s="4" t="e">
        <f t="shared" si="4"/>
        <v>#VALUE!</v>
      </c>
      <c r="C306" s="1" t="e">
        <f>SplineInterp(A306,Own_Spectrum_250cm!$U$2:$U$34,Own_Spectrum_250cm!$V$2:$V$34)*D306</f>
        <v>#VALUE!</v>
      </c>
      <c r="D306" s="13">
        <f>Place_data_here!B306</f>
        <v>0</v>
      </c>
    </row>
    <row r="307" spans="1:4" x14ac:dyDescent="0.25">
      <c r="A307" s="16">
        <f>Place_data_here!A307</f>
        <v>0</v>
      </c>
      <c r="B307" s="4" t="e">
        <f t="shared" si="4"/>
        <v>#VALUE!</v>
      </c>
      <c r="C307" s="1" t="e">
        <f>SplineInterp(A307,Own_Spectrum_250cm!$U$2:$U$34,Own_Spectrum_250cm!$V$2:$V$34)*D307</f>
        <v>#VALUE!</v>
      </c>
      <c r="D307" s="13">
        <f>Place_data_here!B307</f>
        <v>0</v>
      </c>
    </row>
    <row r="308" spans="1:4" x14ac:dyDescent="0.25">
      <c r="A308" s="16">
        <f>Place_data_here!A308</f>
        <v>0</v>
      </c>
      <c r="B308" s="4" t="e">
        <f t="shared" si="4"/>
        <v>#VALUE!</v>
      </c>
      <c r="C308" s="1" t="e">
        <f>SplineInterp(A308,Own_Spectrum_250cm!$U$2:$U$34,Own_Spectrum_250cm!$V$2:$V$34)*D308</f>
        <v>#VALUE!</v>
      </c>
      <c r="D308" s="13">
        <f>Place_data_here!B308</f>
        <v>0</v>
      </c>
    </row>
    <row r="309" spans="1:4" x14ac:dyDescent="0.25">
      <c r="A309" s="16">
        <f>Place_data_here!A309</f>
        <v>0</v>
      </c>
      <c r="B309" s="4" t="e">
        <f t="shared" si="4"/>
        <v>#VALUE!</v>
      </c>
      <c r="C309" s="1" t="e">
        <f>SplineInterp(A309,Own_Spectrum_250cm!$U$2:$U$34,Own_Spectrum_250cm!$V$2:$V$34)*D309</f>
        <v>#VALUE!</v>
      </c>
      <c r="D309" s="13">
        <f>Place_data_here!B309</f>
        <v>0</v>
      </c>
    </row>
    <row r="310" spans="1:4" x14ac:dyDescent="0.25">
      <c r="A310" s="16">
        <f>Place_data_here!A310</f>
        <v>0</v>
      </c>
      <c r="B310" s="4" t="e">
        <f t="shared" si="4"/>
        <v>#VALUE!</v>
      </c>
      <c r="C310" s="1" t="e">
        <f>SplineInterp(A310,Own_Spectrum_250cm!$U$2:$U$34,Own_Spectrum_250cm!$V$2:$V$34)*D310</f>
        <v>#VALUE!</v>
      </c>
      <c r="D310" s="13">
        <f>Place_data_here!B310</f>
        <v>0</v>
      </c>
    </row>
    <row r="311" spans="1:4" x14ac:dyDescent="0.25">
      <c r="A311" s="16">
        <f>Place_data_here!A311</f>
        <v>0</v>
      </c>
      <c r="B311" s="4" t="e">
        <f t="shared" si="4"/>
        <v>#VALUE!</v>
      </c>
      <c r="C311" s="1" t="e">
        <f>SplineInterp(A311,Own_Spectrum_250cm!$U$2:$U$34,Own_Spectrum_250cm!$V$2:$V$34)*D311</f>
        <v>#VALUE!</v>
      </c>
      <c r="D311" s="13">
        <f>Place_data_here!B311</f>
        <v>0</v>
      </c>
    </row>
    <row r="312" spans="1:4" x14ac:dyDescent="0.25">
      <c r="A312" s="16">
        <f>Place_data_here!A312</f>
        <v>0</v>
      </c>
      <c r="B312" s="4" t="e">
        <f t="shared" si="4"/>
        <v>#VALUE!</v>
      </c>
      <c r="C312" s="1" t="e">
        <f>SplineInterp(A312,Own_Spectrum_250cm!$U$2:$U$34,Own_Spectrum_250cm!$V$2:$V$34)*D312</f>
        <v>#VALUE!</v>
      </c>
      <c r="D312" s="13">
        <f>Place_data_here!B312</f>
        <v>0</v>
      </c>
    </row>
    <row r="313" spans="1:4" x14ac:dyDescent="0.25">
      <c r="A313" s="16">
        <f>Place_data_here!A313</f>
        <v>0</v>
      </c>
      <c r="B313" s="4" t="e">
        <f t="shared" si="4"/>
        <v>#VALUE!</v>
      </c>
      <c r="C313" s="1" t="e">
        <f>SplineInterp(A313,Own_Spectrum_250cm!$U$2:$U$34,Own_Spectrum_250cm!$V$2:$V$34)*D313</f>
        <v>#VALUE!</v>
      </c>
      <c r="D313" s="13">
        <f>Place_data_here!B313</f>
        <v>0</v>
      </c>
    </row>
    <row r="314" spans="1:4" x14ac:dyDescent="0.25">
      <c r="A314" s="16">
        <f>Place_data_here!A314</f>
        <v>0</v>
      </c>
      <c r="B314" s="4" t="e">
        <f t="shared" si="4"/>
        <v>#VALUE!</v>
      </c>
      <c r="C314" s="1" t="e">
        <f>SplineInterp(A314,Own_Spectrum_250cm!$U$2:$U$34,Own_Spectrum_250cm!$V$2:$V$34)*D314</f>
        <v>#VALUE!</v>
      </c>
      <c r="D314" s="13">
        <f>Place_data_here!B314</f>
        <v>0</v>
      </c>
    </row>
    <row r="315" spans="1:4" x14ac:dyDescent="0.25">
      <c r="A315" s="16">
        <f>Place_data_here!A315</f>
        <v>0</v>
      </c>
      <c r="B315" s="4" t="e">
        <f t="shared" si="4"/>
        <v>#VALUE!</v>
      </c>
      <c r="C315" s="1" t="e">
        <f>SplineInterp(A315,Own_Spectrum_250cm!$U$2:$U$34,Own_Spectrum_250cm!$V$2:$V$34)*D315</f>
        <v>#VALUE!</v>
      </c>
      <c r="D315" s="13">
        <f>Place_data_here!B315</f>
        <v>0</v>
      </c>
    </row>
    <row r="316" spans="1:4" x14ac:dyDescent="0.25">
      <c r="A316" s="16">
        <f>Place_data_here!A316</f>
        <v>0</v>
      </c>
      <c r="B316" s="4" t="e">
        <f t="shared" si="4"/>
        <v>#VALUE!</v>
      </c>
      <c r="C316" s="1" t="e">
        <f>SplineInterp(A316,Own_Spectrum_250cm!$U$2:$U$34,Own_Spectrum_250cm!$V$2:$V$34)*D316</f>
        <v>#VALUE!</v>
      </c>
      <c r="D316" s="13">
        <f>Place_data_here!B316</f>
        <v>0</v>
      </c>
    </row>
    <row r="317" spans="1:4" x14ac:dyDescent="0.25">
      <c r="A317" s="16">
        <f>Place_data_here!A317</f>
        <v>0</v>
      </c>
      <c r="B317" s="4" t="e">
        <f t="shared" si="4"/>
        <v>#VALUE!</v>
      </c>
      <c r="C317" s="1" t="e">
        <f>SplineInterp(A317,Own_Spectrum_250cm!$U$2:$U$34,Own_Spectrum_250cm!$V$2:$V$34)*D317</f>
        <v>#VALUE!</v>
      </c>
      <c r="D317" s="13">
        <f>Place_data_here!B317</f>
        <v>0</v>
      </c>
    </row>
    <row r="318" spans="1:4" x14ac:dyDescent="0.25">
      <c r="A318" s="16">
        <f>Place_data_here!A318</f>
        <v>0</v>
      </c>
      <c r="B318" s="4" t="e">
        <f t="shared" si="4"/>
        <v>#VALUE!</v>
      </c>
      <c r="C318" s="1" t="e">
        <f>SplineInterp(A318,Own_Spectrum_250cm!$U$2:$U$34,Own_Spectrum_250cm!$V$2:$V$34)*D318</f>
        <v>#VALUE!</v>
      </c>
      <c r="D318" s="13">
        <f>Place_data_here!B318</f>
        <v>0</v>
      </c>
    </row>
    <row r="319" spans="1:4" x14ac:dyDescent="0.25">
      <c r="A319" s="16">
        <f>Place_data_here!A319</f>
        <v>0</v>
      </c>
      <c r="B319" s="4" t="e">
        <f t="shared" si="4"/>
        <v>#VALUE!</v>
      </c>
      <c r="C319" s="1" t="e">
        <f>SplineInterp(A319,Own_Spectrum_250cm!$U$2:$U$34,Own_Spectrum_250cm!$V$2:$V$34)*D319</f>
        <v>#VALUE!</v>
      </c>
      <c r="D319" s="13">
        <f>Place_data_here!B319</f>
        <v>0</v>
      </c>
    </row>
    <row r="320" spans="1:4" x14ac:dyDescent="0.25">
      <c r="A320" s="16">
        <f>Place_data_here!A320</f>
        <v>0</v>
      </c>
      <c r="B320" s="4" t="e">
        <f t="shared" si="4"/>
        <v>#VALUE!</v>
      </c>
      <c r="C320" s="1" t="e">
        <f>SplineInterp(A320,Own_Spectrum_250cm!$U$2:$U$34,Own_Spectrum_250cm!$V$2:$V$34)*D320</f>
        <v>#VALUE!</v>
      </c>
      <c r="D320" s="13">
        <f>Place_data_here!B320</f>
        <v>0</v>
      </c>
    </row>
    <row r="321" spans="1:4" x14ac:dyDescent="0.25">
      <c r="A321" s="16">
        <f>Place_data_here!A321</f>
        <v>0</v>
      </c>
      <c r="B321" s="4" t="e">
        <f t="shared" si="4"/>
        <v>#VALUE!</v>
      </c>
      <c r="C321" s="1" t="e">
        <f>SplineInterp(A321,Own_Spectrum_250cm!$U$2:$U$34,Own_Spectrum_250cm!$V$2:$V$34)*D321</f>
        <v>#VALUE!</v>
      </c>
      <c r="D321" s="13">
        <f>Place_data_here!B321</f>
        <v>0</v>
      </c>
    </row>
    <row r="322" spans="1:4" x14ac:dyDescent="0.25">
      <c r="A322" s="16">
        <f>Place_data_here!A322</f>
        <v>0</v>
      </c>
      <c r="B322" s="4" t="e">
        <f t="shared" si="4"/>
        <v>#VALUE!</v>
      </c>
      <c r="C322" s="1" t="e">
        <f>SplineInterp(A322,Own_Spectrum_250cm!$U$2:$U$34,Own_Spectrum_250cm!$V$2:$V$34)*D322</f>
        <v>#VALUE!</v>
      </c>
      <c r="D322" s="13">
        <f>Place_data_here!B322</f>
        <v>0</v>
      </c>
    </row>
    <row r="323" spans="1:4" x14ac:dyDescent="0.25">
      <c r="A323" s="16">
        <f>Place_data_here!A323</f>
        <v>0</v>
      </c>
      <c r="B323" s="4" t="e">
        <f t="shared" ref="B323:B386" si="5">C323/$C$1028</f>
        <v>#VALUE!</v>
      </c>
      <c r="C323" s="1" t="e">
        <f>SplineInterp(A323,Own_Spectrum_250cm!$U$2:$U$34,Own_Spectrum_250cm!$V$2:$V$34)*D323</f>
        <v>#VALUE!</v>
      </c>
      <c r="D323" s="13">
        <f>Place_data_here!B323</f>
        <v>0</v>
      </c>
    </row>
    <row r="324" spans="1:4" x14ac:dyDescent="0.25">
      <c r="A324" s="16">
        <f>Place_data_here!A324</f>
        <v>0</v>
      </c>
      <c r="B324" s="4" t="e">
        <f t="shared" si="5"/>
        <v>#VALUE!</v>
      </c>
      <c r="C324" s="1" t="e">
        <f>SplineInterp(A324,Own_Spectrum_250cm!$U$2:$U$34,Own_Spectrum_250cm!$V$2:$V$34)*D324</f>
        <v>#VALUE!</v>
      </c>
      <c r="D324" s="13">
        <f>Place_data_here!B324</f>
        <v>0</v>
      </c>
    </row>
    <row r="325" spans="1:4" x14ac:dyDescent="0.25">
      <c r="A325" s="16">
        <f>Place_data_here!A325</f>
        <v>0</v>
      </c>
      <c r="B325" s="4" t="e">
        <f t="shared" si="5"/>
        <v>#VALUE!</v>
      </c>
      <c r="C325" s="1" t="e">
        <f>SplineInterp(A325,Own_Spectrum_250cm!$U$2:$U$34,Own_Spectrum_250cm!$V$2:$V$34)*D325</f>
        <v>#VALUE!</v>
      </c>
      <c r="D325" s="13">
        <f>Place_data_here!B325</f>
        <v>0</v>
      </c>
    </row>
    <row r="326" spans="1:4" x14ac:dyDescent="0.25">
      <c r="A326" s="16">
        <f>Place_data_here!A326</f>
        <v>0</v>
      </c>
      <c r="B326" s="4" t="e">
        <f t="shared" si="5"/>
        <v>#VALUE!</v>
      </c>
      <c r="C326" s="1" t="e">
        <f>SplineInterp(A326,Own_Spectrum_250cm!$U$2:$U$34,Own_Spectrum_250cm!$V$2:$V$34)*D326</f>
        <v>#VALUE!</v>
      </c>
      <c r="D326" s="13">
        <f>Place_data_here!B326</f>
        <v>0</v>
      </c>
    </row>
    <row r="327" spans="1:4" x14ac:dyDescent="0.25">
      <c r="A327" s="16">
        <f>Place_data_here!A327</f>
        <v>0</v>
      </c>
      <c r="B327" s="4" t="e">
        <f t="shared" si="5"/>
        <v>#VALUE!</v>
      </c>
      <c r="C327" s="1" t="e">
        <f>SplineInterp(A327,Own_Spectrum_250cm!$U$2:$U$34,Own_Spectrum_250cm!$V$2:$V$34)*D327</f>
        <v>#VALUE!</v>
      </c>
      <c r="D327" s="13">
        <f>Place_data_here!B327</f>
        <v>0</v>
      </c>
    </row>
    <row r="328" spans="1:4" x14ac:dyDescent="0.25">
      <c r="A328" s="16">
        <f>Place_data_here!A328</f>
        <v>0</v>
      </c>
      <c r="B328" s="4" t="e">
        <f t="shared" si="5"/>
        <v>#VALUE!</v>
      </c>
      <c r="C328" s="1" t="e">
        <f>SplineInterp(A328,Own_Spectrum_250cm!$U$2:$U$34,Own_Spectrum_250cm!$V$2:$V$34)*D328</f>
        <v>#VALUE!</v>
      </c>
      <c r="D328" s="13">
        <f>Place_data_here!B328</f>
        <v>0</v>
      </c>
    </row>
    <row r="329" spans="1:4" x14ac:dyDescent="0.25">
      <c r="A329" s="16">
        <f>Place_data_here!A329</f>
        <v>0</v>
      </c>
      <c r="B329" s="4" t="e">
        <f t="shared" si="5"/>
        <v>#VALUE!</v>
      </c>
      <c r="C329" s="1" t="e">
        <f>SplineInterp(A329,Own_Spectrum_250cm!$U$2:$U$34,Own_Spectrum_250cm!$V$2:$V$34)*D329</f>
        <v>#VALUE!</v>
      </c>
      <c r="D329" s="13">
        <f>Place_data_here!B329</f>
        <v>0</v>
      </c>
    </row>
    <row r="330" spans="1:4" x14ac:dyDescent="0.25">
      <c r="A330" s="16">
        <f>Place_data_here!A330</f>
        <v>0</v>
      </c>
      <c r="B330" s="4" t="e">
        <f t="shared" si="5"/>
        <v>#VALUE!</v>
      </c>
      <c r="C330" s="1" t="e">
        <f>SplineInterp(A330,Own_Spectrum_250cm!$U$2:$U$34,Own_Spectrum_250cm!$V$2:$V$34)*D330</f>
        <v>#VALUE!</v>
      </c>
      <c r="D330" s="13">
        <f>Place_data_here!B330</f>
        <v>0</v>
      </c>
    </row>
    <row r="331" spans="1:4" x14ac:dyDescent="0.25">
      <c r="A331" s="16">
        <f>Place_data_here!A331</f>
        <v>0</v>
      </c>
      <c r="B331" s="4" t="e">
        <f t="shared" si="5"/>
        <v>#VALUE!</v>
      </c>
      <c r="C331" s="1" t="e">
        <f>SplineInterp(A331,Own_Spectrum_250cm!$U$2:$U$34,Own_Spectrum_250cm!$V$2:$V$34)*D331</f>
        <v>#VALUE!</v>
      </c>
      <c r="D331" s="13">
        <f>Place_data_here!B331</f>
        <v>0</v>
      </c>
    </row>
    <row r="332" spans="1:4" x14ac:dyDescent="0.25">
      <c r="A332" s="16">
        <f>Place_data_here!A332</f>
        <v>0</v>
      </c>
      <c r="B332" s="4" t="e">
        <f t="shared" si="5"/>
        <v>#VALUE!</v>
      </c>
      <c r="C332" s="1" t="e">
        <f>SplineInterp(A332,Own_Spectrum_250cm!$U$2:$U$34,Own_Spectrum_250cm!$V$2:$V$34)*D332</f>
        <v>#VALUE!</v>
      </c>
      <c r="D332" s="13">
        <f>Place_data_here!B332</f>
        <v>0</v>
      </c>
    </row>
    <row r="333" spans="1:4" x14ac:dyDescent="0.25">
      <c r="A333" s="16">
        <f>Place_data_here!A333</f>
        <v>0</v>
      </c>
      <c r="B333" s="4" t="e">
        <f t="shared" si="5"/>
        <v>#VALUE!</v>
      </c>
      <c r="C333" s="1" t="e">
        <f>SplineInterp(A333,Own_Spectrum_250cm!$U$2:$U$34,Own_Spectrum_250cm!$V$2:$V$34)*D333</f>
        <v>#VALUE!</v>
      </c>
      <c r="D333" s="13">
        <f>Place_data_here!B333</f>
        <v>0</v>
      </c>
    </row>
    <row r="334" spans="1:4" x14ac:dyDescent="0.25">
      <c r="A334" s="16">
        <f>Place_data_here!A334</f>
        <v>0</v>
      </c>
      <c r="B334" s="4" t="e">
        <f t="shared" si="5"/>
        <v>#VALUE!</v>
      </c>
      <c r="C334" s="1" t="e">
        <f>SplineInterp(A334,Own_Spectrum_250cm!$U$2:$U$34,Own_Spectrum_250cm!$V$2:$V$34)*D334</f>
        <v>#VALUE!</v>
      </c>
      <c r="D334" s="13">
        <f>Place_data_here!B334</f>
        <v>0</v>
      </c>
    </row>
    <row r="335" spans="1:4" x14ac:dyDescent="0.25">
      <c r="A335" s="16">
        <f>Place_data_here!A335</f>
        <v>0</v>
      </c>
      <c r="B335" s="4" t="e">
        <f t="shared" si="5"/>
        <v>#VALUE!</v>
      </c>
      <c r="C335" s="1" t="e">
        <f>SplineInterp(A335,Own_Spectrum_250cm!$U$2:$U$34,Own_Spectrum_250cm!$V$2:$V$34)*D335</f>
        <v>#VALUE!</v>
      </c>
      <c r="D335" s="13">
        <f>Place_data_here!B335</f>
        <v>0</v>
      </c>
    </row>
    <row r="336" spans="1:4" x14ac:dyDescent="0.25">
      <c r="A336" s="16">
        <f>Place_data_here!A336</f>
        <v>0</v>
      </c>
      <c r="B336" s="4" t="e">
        <f t="shared" si="5"/>
        <v>#VALUE!</v>
      </c>
      <c r="C336" s="1" t="e">
        <f>SplineInterp(A336,Own_Spectrum_250cm!$U$2:$U$34,Own_Spectrum_250cm!$V$2:$V$34)*D336</f>
        <v>#VALUE!</v>
      </c>
      <c r="D336" s="13">
        <f>Place_data_here!B336</f>
        <v>0</v>
      </c>
    </row>
    <row r="337" spans="1:4" x14ac:dyDescent="0.25">
      <c r="A337" s="16">
        <f>Place_data_here!A337</f>
        <v>0</v>
      </c>
      <c r="B337" s="4" t="e">
        <f t="shared" si="5"/>
        <v>#VALUE!</v>
      </c>
      <c r="C337" s="1" t="e">
        <f>SplineInterp(A337,Own_Spectrum_250cm!$U$2:$U$34,Own_Spectrum_250cm!$V$2:$V$34)*D337</f>
        <v>#VALUE!</v>
      </c>
      <c r="D337" s="13">
        <f>Place_data_here!B337</f>
        <v>0</v>
      </c>
    </row>
    <row r="338" spans="1:4" x14ac:dyDescent="0.25">
      <c r="A338" s="16">
        <f>Place_data_here!A338</f>
        <v>0</v>
      </c>
      <c r="B338" s="4" t="e">
        <f t="shared" si="5"/>
        <v>#VALUE!</v>
      </c>
      <c r="C338" s="1" t="e">
        <f>SplineInterp(A338,Own_Spectrum_250cm!$U$2:$U$34,Own_Spectrum_250cm!$V$2:$V$34)*D338</f>
        <v>#VALUE!</v>
      </c>
      <c r="D338" s="13">
        <f>Place_data_here!B338</f>
        <v>0</v>
      </c>
    </row>
    <row r="339" spans="1:4" x14ac:dyDescent="0.25">
      <c r="A339" s="16">
        <f>Place_data_here!A339</f>
        <v>0</v>
      </c>
      <c r="B339" s="4" t="e">
        <f t="shared" si="5"/>
        <v>#VALUE!</v>
      </c>
      <c r="C339" s="1" t="e">
        <f>SplineInterp(A339,Own_Spectrum_250cm!$U$2:$U$34,Own_Spectrum_250cm!$V$2:$V$34)*D339</f>
        <v>#VALUE!</v>
      </c>
      <c r="D339" s="13">
        <f>Place_data_here!B339</f>
        <v>0</v>
      </c>
    </row>
    <row r="340" spans="1:4" x14ac:dyDescent="0.25">
      <c r="A340" s="16">
        <f>Place_data_here!A340</f>
        <v>0</v>
      </c>
      <c r="B340" s="4" t="e">
        <f t="shared" si="5"/>
        <v>#VALUE!</v>
      </c>
      <c r="C340" s="1" t="e">
        <f>SplineInterp(A340,Own_Spectrum_250cm!$U$2:$U$34,Own_Spectrum_250cm!$V$2:$V$34)*D340</f>
        <v>#VALUE!</v>
      </c>
      <c r="D340" s="13">
        <f>Place_data_here!B340</f>
        <v>0</v>
      </c>
    </row>
    <row r="341" spans="1:4" x14ac:dyDescent="0.25">
      <c r="A341" s="16">
        <f>Place_data_here!A341</f>
        <v>0</v>
      </c>
      <c r="B341" s="4" t="e">
        <f t="shared" si="5"/>
        <v>#VALUE!</v>
      </c>
      <c r="C341" s="1" t="e">
        <f>SplineInterp(A341,Own_Spectrum_250cm!$U$2:$U$34,Own_Spectrum_250cm!$V$2:$V$34)*D341</f>
        <v>#VALUE!</v>
      </c>
      <c r="D341" s="13">
        <f>Place_data_here!B341</f>
        <v>0</v>
      </c>
    </row>
    <row r="342" spans="1:4" x14ac:dyDescent="0.25">
      <c r="A342" s="16">
        <f>Place_data_here!A342</f>
        <v>0</v>
      </c>
      <c r="B342" s="4" t="e">
        <f t="shared" si="5"/>
        <v>#VALUE!</v>
      </c>
      <c r="C342" s="1" t="e">
        <f>SplineInterp(A342,Own_Spectrum_250cm!$U$2:$U$34,Own_Spectrum_250cm!$V$2:$V$34)*D342</f>
        <v>#VALUE!</v>
      </c>
      <c r="D342" s="13">
        <f>Place_data_here!B342</f>
        <v>0</v>
      </c>
    </row>
    <row r="343" spans="1:4" x14ac:dyDescent="0.25">
      <c r="A343" s="16">
        <f>Place_data_here!A343</f>
        <v>0</v>
      </c>
      <c r="B343" s="4" t="e">
        <f t="shared" si="5"/>
        <v>#VALUE!</v>
      </c>
      <c r="C343" s="1" t="e">
        <f>SplineInterp(A343,Own_Spectrum_250cm!$U$2:$U$34,Own_Spectrum_250cm!$V$2:$V$34)*D343</f>
        <v>#VALUE!</v>
      </c>
      <c r="D343" s="13">
        <f>Place_data_here!B343</f>
        <v>0</v>
      </c>
    </row>
    <row r="344" spans="1:4" x14ac:dyDescent="0.25">
      <c r="A344" s="16">
        <f>Place_data_here!A344</f>
        <v>0</v>
      </c>
      <c r="B344" s="4" t="e">
        <f t="shared" si="5"/>
        <v>#VALUE!</v>
      </c>
      <c r="C344" s="1" t="e">
        <f>SplineInterp(A344,Own_Spectrum_250cm!$U$2:$U$34,Own_Spectrum_250cm!$V$2:$V$34)*D344</f>
        <v>#VALUE!</v>
      </c>
      <c r="D344" s="13">
        <f>Place_data_here!B344</f>
        <v>0</v>
      </c>
    </row>
    <row r="345" spans="1:4" x14ac:dyDescent="0.25">
      <c r="A345" s="16">
        <f>Place_data_here!A345</f>
        <v>0</v>
      </c>
      <c r="B345" s="4" t="e">
        <f t="shared" si="5"/>
        <v>#VALUE!</v>
      </c>
      <c r="C345" s="1" t="e">
        <f>SplineInterp(A345,Own_Spectrum_250cm!$U$2:$U$34,Own_Spectrum_250cm!$V$2:$V$34)*D345</f>
        <v>#VALUE!</v>
      </c>
      <c r="D345" s="13">
        <f>Place_data_here!B345</f>
        <v>0</v>
      </c>
    </row>
    <row r="346" spans="1:4" x14ac:dyDescent="0.25">
      <c r="A346" s="16">
        <f>Place_data_here!A346</f>
        <v>0</v>
      </c>
      <c r="B346" s="4" t="e">
        <f t="shared" si="5"/>
        <v>#VALUE!</v>
      </c>
      <c r="C346" s="1" t="e">
        <f>SplineInterp(A346,Own_Spectrum_250cm!$U$2:$U$34,Own_Spectrum_250cm!$V$2:$V$34)*D346</f>
        <v>#VALUE!</v>
      </c>
      <c r="D346" s="13">
        <f>Place_data_here!B346</f>
        <v>0</v>
      </c>
    </row>
    <row r="347" spans="1:4" x14ac:dyDescent="0.25">
      <c r="A347" s="16">
        <f>Place_data_here!A347</f>
        <v>0</v>
      </c>
      <c r="B347" s="4" t="e">
        <f t="shared" si="5"/>
        <v>#VALUE!</v>
      </c>
      <c r="C347" s="1" t="e">
        <f>SplineInterp(A347,Own_Spectrum_250cm!$U$2:$U$34,Own_Spectrum_250cm!$V$2:$V$34)*D347</f>
        <v>#VALUE!</v>
      </c>
      <c r="D347" s="13">
        <f>Place_data_here!B347</f>
        <v>0</v>
      </c>
    </row>
    <row r="348" spans="1:4" x14ac:dyDescent="0.25">
      <c r="A348" s="16">
        <f>Place_data_here!A348</f>
        <v>0</v>
      </c>
      <c r="B348" s="4" t="e">
        <f t="shared" si="5"/>
        <v>#VALUE!</v>
      </c>
      <c r="C348" s="1" t="e">
        <f>SplineInterp(A348,Own_Spectrum_250cm!$U$2:$U$34,Own_Spectrum_250cm!$V$2:$V$34)*D348</f>
        <v>#VALUE!</v>
      </c>
      <c r="D348" s="13">
        <f>Place_data_here!B348</f>
        <v>0</v>
      </c>
    </row>
    <row r="349" spans="1:4" x14ac:dyDescent="0.25">
      <c r="A349" s="16">
        <f>Place_data_here!A349</f>
        <v>0</v>
      </c>
      <c r="B349" s="4" t="e">
        <f t="shared" si="5"/>
        <v>#VALUE!</v>
      </c>
      <c r="C349" s="1" t="e">
        <f>SplineInterp(A349,Own_Spectrum_250cm!$U$2:$U$34,Own_Spectrum_250cm!$V$2:$V$34)*D349</f>
        <v>#VALUE!</v>
      </c>
      <c r="D349" s="13">
        <f>Place_data_here!B349</f>
        <v>0</v>
      </c>
    </row>
    <row r="350" spans="1:4" x14ac:dyDescent="0.25">
      <c r="A350" s="16">
        <f>Place_data_here!A350</f>
        <v>0</v>
      </c>
      <c r="B350" s="4" t="e">
        <f t="shared" si="5"/>
        <v>#VALUE!</v>
      </c>
      <c r="C350" s="1" t="e">
        <f>SplineInterp(A350,Own_Spectrum_250cm!$U$2:$U$34,Own_Spectrum_250cm!$V$2:$V$34)*D350</f>
        <v>#VALUE!</v>
      </c>
      <c r="D350" s="13">
        <f>Place_data_here!B350</f>
        <v>0</v>
      </c>
    </row>
    <row r="351" spans="1:4" x14ac:dyDescent="0.25">
      <c r="A351" s="16">
        <f>Place_data_here!A351</f>
        <v>0</v>
      </c>
      <c r="B351" s="4" t="e">
        <f t="shared" si="5"/>
        <v>#VALUE!</v>
      </c>
      <c r="C351" s="1" t="e">
        <f>SplineInterp(A351,Own_Spectrum_250cm!$U$2:$U$34,Own_Spectrum_250cm!$V$2:$V$34)*D351</f>
        <v>#VALUE!</v>
      </c>
      <c r="D351" s="13">
        <f>Place_data_here!B351</f>
        <v>0</v>
      </c>
    </row>
    <row r="352" spans="1:4" x14ac:dyDescent="0.25">
      <c r="A352" s="16">
        <f>Place_data_here!A352</f>
        <v>0</v>
      </c>
      <c r="B352" s="4" t="e">
        <f t="shared" si="5"/>
        <v>#VALUE!</v>
      </c>
      <c r="C352" s="1" t="e">
        <f>SplineInterp(A352,Own_Spectrum_250cm!$U$2:$U$34,Own_Spectrum_250cm!$V$2:$V$34)*D352</f>
        <v>#VALUE!</v>
      </c>
      <c r="D352" s="13">
        <f>Place_data_here!B352</f>
        <v>0</v>
      </c>
    </row>
    <row r="353" spans="1:4" x14ac:dyDescent="0.25">
      <c r="A353" s="16">
        <f>Place_data_here!A353</f>
        <v>0</v>
      </c>
      <c r="B353" s="4" t="e">
        <f t="shared" si="5"/>
        <v>#VALUE!</v>
      </c>
      <c r="C353" s="1" t="e">
        <f>SplineInterp(A353,Own_Spectrum_250cm!$U$2:$U$34,Own_Spectrum_250cm!$V$2:$V$34)*D353</f>
        <v>#VALUE!</v>
      </c>
      <c r="D353" s="13">
        <f>Place_data_here!B353</f>
        <v>0</v>
      </c>
    </row>
    <row r="354" spans="1:4" x14ac:dyDescent="0.25">
      <c r="A354" s="16">
        <f>Place_data_here!A354</f>
        <v>0</v>
      </c>
      <c r="B354" s="4" t="e">
        <f t="shared" si="5"/>
        <v>#VALUE!</v>
      </c>
      <c r="C354" s="1" t="e">
        <f>SplineInterp(A354,Own_Spectrum_250cm!$U$2:$U$34,Own_Spectrum_250cm!$V$2:$V$34)*D354</f>
        <v>#VALUE!</v>
      </c>
      <c r="D354" s="13">
        <f>Place_data_here!B354</f>
        <v>0</v>
      </c>
    </row>
    <row r="355" spans="1:4" x14ac:dyDescent="0.25">
      <c r="A355" s="16">
        <f>Place_data_here!A355</f>
        <v>0</v>
      </c>
      <c r="B355" s="4" t="e">
        <f t="shared" si="5"/>
        <v>#VALUE!</v>
      </c>
      <c r="C355" s="1" t="e">
        <f>SplineInterp(A355,Own_Spectrum_250cm!$U$2:$U$34,Own_Spectrum_250cm!$V$2:$V$34)*D355</f>
        <v>#VALUE!</v>
      </c>
      <c r="D355" s="13">
        <f>Place_data_here!B355</f>
        <v>0</v>
      </c>
    </row>
    <row r="356" spans="1:4" x14ac:dyDescent="0.25">
      <c r="A356" s="16">
        <f>Place_data_here!A356</f>
        <v>0</v>
      </c>
      <c r="B356" s="4" t="e">
        <f t="shared" si="5"/>
        <v>#VALUE!</v>
      </c>
      <c r="C356" s="1" t="e">
        <f>SplineInterp(A356,Own_Spectrum_250cm!$U$2:$U$34,Own_Spectrum_250cm!$V$2:$V$34)*D356</f>
        <v>#VALUE!</v>
      </c>
      <c r="D356" s="13">
        <f>Place_data_here!B356</f>
        <v>0</v>
      </c>
    </row>
    <row r="357" spans="1:4" x14ac:dyDescent="0.25">
      <c r="A357" s="16">
        <f>Place_data_here!A357</f>
        <v>0</v>
      </c>
      <c r="B357" s="4" t="e">
        <f t="shared" si="5"/>
        <v>#VALUE!</v>
      </c>
      <c r="C357" s="1" t="e">
        <f>SplineInterp(A357,Own_Spectrum_250cm!$U$2:$U$34,Own_Spectrum_250cm!$V$2:$V$34)*D357</f>
        <v>#VALUE!</v>
      </c>
      <c r="D357" s="13">
        <f>Place_data_here!B357</f>
        <v>0</v>
      </c>
    </row>
    <row r="358" spans="1:4" x14ac:dyDescent="0.25">
      <c r="A358" s="16">
        <f>Place_data_here!A358</f>
        <v>0</v>
      </c>
      <c r="B358" s="4" t="e">
        <f t="shared" si="5"/>
        <v>#VALUE!</v>
      </c>
      <c r="C358" s="1" t="e">
        <f>SplineInterp(A358,Own_Spectrum_250cm!$U$2:$U$34,Own_Spectrum_250cm!$V$2:$V$34)*D358</f>
        <v>#VALUE!</v>
      </c>
      <c r="D358" s="13">
        <f>Place_data_here!B358</f>
        <v>0</v>
      </c>
    </row>
    <row r="359" spans="1:4" x14ac:dyDescent="0.25">
      <c r="A359" s="16">
        <f>Place_data_here!A359</f>
        <v>0</v>
      </c>
      <c r="B359" s="4" t="e">
        <f t="shared" si="5"/>
        <v>#VALUE!</v>
      </c>
      <c r="C359" s="1" t="e">
        <f>SplineInterp(A359,Own_Spectrum_250cm!$U$2:$U$34,Own_Spectrum_250cm!$V$2:$V$34)*D359</f>
        <v>#VALUE!</v>
      </c>
      <c r="D359" s="13">
        <f>Place_data_here!B359</f>
        <v>0</v>
      </c>
    </row>
    <row r="360" spans="1:4" x14ac:dyDescent="0.25">
      <c r="A360" s="16">
        <f>Place_data_here!A360</f>
        <v>0</v>
      </c>
      <c r="B360" s="4" t="e">
        <f t="shared" si="5"/>
        <v>#VALUE!</v>
      </c>
      <c r="C360" s="1" t="e">
        <f>SplineInterp(A360,Own_Spectrum_250cm!$U$2:$U$34,Own_Spectrum_250cm!$V$2:$V$34)*D360</f>
        <v>#VALUE!</v>
      </c>
      <c r="D360" s="13">
        <f>Place_data_here!B360</f>
        <v>0</v>
      </c>
    </row>
    <row r="361" spans="1:4" x14ac:dyDescent="0.25">
      <c r="A361" s="16">
        <f>Place_data_here!A361</f>
        <v>0</v>
      </c>
      <c r="B361" s="4" t="e">
        <f t="shared" si="5"/>
        <v>#VALUE!</v>
      </c>
      <c r="C361" s="1" t="e">
        <f>SplineInterp(A361,Own_Spectrum_250cm!$U$2:$U$34,Own_Spectrum_250cm!$V$2:$V$34)*D361</f>
        <v>#VALUE!</v>
      </c>
      <c r="D361" s="13">
        <f>Place_data_here!B361</f>
        <v>0</v>
      </c>
    </row>
    <row r="362" spans="1:4" x14ac:dyDescent="0.25">
      <c r="A362" s="16">
        <f>Place_data_here!A362</f>
        <v>0</v>
      </c>
      <c r="B362" s="4" t="e">
        <f t="shared" si="5"/>
        <v>#VALUE!</v>
      </c>
      <c r="C362" s="1" t="e">
        <f>SplineInterp(A362,Own_Spectrum_250cm!$U$2:$U$34,Own_Spectrum_250cm!$V$2:$V$34)*D362</f>
        <v>#VALUE!</v>
      </c>
      <c r="D362" s="13">
        <f>Place_data_here!B362</f>
        <v>0</v>
      </c>
    </row>
    <row r="363" spans="1:4" x14ac:dyDescent="0.25">
      <c r="A363" s="16">
        <f>Place_data_here!A363</f>
        <v>0</v>
      </c>
      <c r="B363" s="4" t="e">
        <f t="shared" si="5"/>
        <v>#VALUE!</v>
      </c>
      <c r="C363" s="1" t="e">
        <f>SplineInterp(A363,Own_Spectrum_250cm!$U$2:$U$34,Own_Spectrum_250cm!$V$2:$V$34)*D363</f>
        <v>#VALUE!</v>
      </c>
      <c r="D363" s="13">
        <f>Place_data_here!B363</f>
        <v>0</v>
      </c>
    </row>
    <row r="364" spans="1:4" x14ac:dyDescent="0.25">
      <c r="A364" s="16">
        <f>Place_data_here!A364</f>
        <v>0</v>
      </c>
      <c r="B364" s="4" t="e">
        <f t="shared" si="5"/>
        <v>#VALUE!</v>
      </c>
      <c r="C364" s="1" t="e">
        <f>SplineInterp(A364,Own_Spectrum_250cm!$U$2:$U$34,Own_Spectrum_250cm!$V$2:$V$34)*D364</f>
        <v>#VALUE!</v>
      </c>
      <c r="D364" s="13">
        <f>Place_data_here!B364</f>
        <v>0</v>
      </c>
    </row>
    <row r="365" spans="1:4" x14ac:dyDescent="0.25">
      <c r="A365" s="16">
        <f>Place_data_here!A365</f>
        <v>0</v>
      </c>
      <c r="B365" s="4" t="e">
        <f t="shared" si="5"/>
        <v>#VALUE!</v>
      </c>
      <c r="C365" s="1" t="e">
        <f>SplineInterp(A365,Own_Spectrum_250cm!$U$2:$U$34,Own_Spectrum_250cm!$V$2:$V$34)*D365</f>
        <v>#VALUE!</v>
      </c>
      <c r="D365" s="13">
        <f>Place_data_here!B365</f>
        <v>0</v>
      </c>
    </row>
    <row r="366" spans="1:4" x14ac:dyDescent="0.25">
      <c r="A366" s="16">
        <f>Place_data_here!A366</f>
        <v>0</v>
      </c>
      <c r="B366" s="4" t="e">
        <f t="shared" si="5"/>
        <v>#VALUE!</v>
      </c>
      <c r="C366" s="1" t="e">
        <f>SplineInterp(A366,Own_Spectrum_250cm!$U$2:$U$34,Own_Spectrum_250cm!$V$2:$V$34)*D366</f>
        <v>#VALUE!</v>
      </c>
      <c r="D366" s="13">
        <f>Place_data_here!B366</f>
        <v>0</v>
      </c>
    </row>
    <row r="367" spans="1:4" x14ac:dyDescent="0.25">
      <c r="A367" s="16">
        <f>Place_data_here!A367</f>
        <v>0</v>
      </c>
      <c r="B367" s="4" t="e">
        <f t="shared" si="5"/>
        <v>#VALUE!</v>
      </c>
      <c r="C367" s="1" t="e">
        <f>SplineInterp(A367,Own_Spectrum_250cm!$U$2:$U$34,Own_Spectrum_250cm!$V$2:$V$34)*D367</f>
        <v>#VALUE!</v>
      </c>
      <c r="D367" s="13">
        <f>Place_data_here!B367</f>
        <v>0</v>
      </c>
    </row>
    <row r="368" spans="1:4" x14ac:dyDescent="0.25">
      <c r="A368" s="16">
        <f>Place_data_here!A368</f>
        <v>0</v>
      </c>
      <c r="B368" s="4" t="e">
        <f t="shared" si="5"/>
        <v>#VALUE!</v>
      </c>
      <c r="C368" s="1" t="e">
        <f>SplineInterp(A368,Own_Spectrum_250cm!$U$2:$U$34,Own_Spectrum_250cm!$V$2:$V$34)*D368</f>
        <v>#VALUE!</v>
      </c>
      <c r="D368" s="13">
        <f>Place_data_here!B368</f>
        <v>0</v>
      </c>
    </row>
    <row r="369" spans="1:4" x14ac:dyDescent="0.25">
      <c r="A369" s="16">
        <f>Place_data_here!A369</f>
        <v>0</v>
      </c>
      <c r="B369" s="4" t="e">
        <f t="shared" si="5"/>
        <v>#VALUE!</v>
      </c>
      <c r="C369" s="1" t="e">
        <f>SplineInterp(A369,Own_Spectrum_250cm!$U$2:$U$34,Own_Spectrum_250cm!$V$2:$V$34)*D369</f>
        <v>#VALUE!</v>
      </c>
      <c r="D369" s="13">
        <f>Place_data_here!B369</f>
        <v>0</v>
      </c>
    </row>
    <row r="370" spans="1:4" x14ac:dyDescent="0.25">
      <c r="A370" s="16">
        <f>Place_data_here!A370</f>
        <v>0</v>
      </c>
      <c r="B370" s="4" t="e">
        <f t="shared" si="5"/>
        <v>#VALUE!</v>
      </c>
      <c r="C370" s="1" t="e">
        <f>SplineInterp(A370,Own_Spectrum_250cm!$U$2:$U$34,Own_Spectrum_250cm!$V$2:$V$34)*D370</f>
        <v>#VALUE!</v>
      </c>
      <c r="D370" s="13">
        <f>Place_data_here!B370</f>
        <v>0</v>
      </c>
    </row>
    <row r="371" spans="1:4" x14ac:dyDescent="0.25">
      <c r="A371" s="16">
        <f>Place_data_here!A371</f>
        <v>0</v>
      </c>
      <c r="B371" s="4" t="e">
        <f t="shared" si="5"/>
        <v>#VALUE!</v>
      </c>
      <c r="C371" s="1" t="e">
        <f>SplineInterp(A371,Own_Spectrum_250cm!$U$2:$U$34,Own_Spectrum_250cm!$V$2:$V$34)*D371</f>
        <v>#VALUE!</v>
      </c>
      <c r="D371" s="13">
        <f>Place_data_here!B371</f>
        <v>0</v>
      </c>
    </row>
    <row r="372" spans="1:4" x14ac:dyDescent="0.25">
      <c r="A372" s="16">
        <f>Place_data_here!A372</f>
        <v>0</v>
      </c>
      <c r="B372" s="4" t="e">
        <f t="shared" si="5"/>
        <v>#VALUE!</v>
      </c>
      <c r="C372" s="1" t="e">
        <f>SplineInterp(A372,Own_Spectrum_250cm!$U$2:$U$34,Own_Spectrum_250cm!$V$2:$V$34)*D372</f>
        <v>#VALUE!</v>
      </c>
      <c r="D372" s="13">
        <f>Place_data_here!B372</f>
        <v>0</v>
      </c>
    </row>
    <row r="373" spans="1:4" x14ac:dyDescent="0.25">
      <c r="A373" s="16">
        <f>Place_data_here!A373</f>
        <v>0</v>
      </c>
      <c r="B373" s="4" t="e">
        <f t="shared" si="5"/>
        <v>#VALUE!</v>
      </c>
      <c r="C373" s="1" t="e">
        <f>SplineInterp(A373,Own_Spectrum_250cm!$U$2:$U$34,Own_Spectrum_250cm!$V$2:$V$34)*D373</f>
        <v>#VALUE!</v>
      </c>
      <c r="D373" s="13">
        <f>Place_data_here!B373</f>
        <v>0</v>
      </c>
    </row>
    <row r="374" spans="1:4" x14ac:dyDescent="0.25">
      <c r="A374" s="16">
        <f>Place_data_here!A374</f>
        <v>0</v>
      </c>
      <c r="B374" s="4" t="e">
        <f t="shared" si="5"/>
        <v>#VALUE!</v>
      </c>
      <c r="C374" s="1" t="e">
        <f>SplineInterp(A374,Own_Spectrum_250cm!$U$2:$U$34,Own_Spectrum_250cm!$V$2:$V$34)*D374</f>
        <v>#VALUE!</v>
      </c>
      <c r="D374" s="13">
        <f>Place_data_here!B374</f>
        <v>0</v>
      </c>
    </row>
    <row r="375" spans="1:4" x14ac:dyDescent="0.25">
      <c r="A375" s="16">
        <f>Place_data_here!A375</f>
        <v>0</v>
      </c>
      <c r="B375" s="4" t="e">
        <f t="shared" si="5"/>
        <v>#VALUE!</v>
      </c>
      <c r="C375" s="1" t="e">
        <f>SplineInterp(A375,Own_Spectrum_250cm!$U$2:$U$34,Own_Spectrum_250cm!$V$2:$V$34)*D375</f>
        <v>#VALUE!</v>
      </c>
      <c r="D375" s="13">
        <f>Place_data_here!B375</f>
        <v>0</v>
      </c>
    </row>
    <row r="376" spans="1:4" x14ac:dyDescent="0.25">
      <c r="A376" s="16">
        <f>Place_data_here!A376</f>
        <v>0</v>
      </c>
      <c r="B376" s="4" t="e">
        <f t="shared" si="5"/>
        <v>#VALUE!</v>
      </c>
      <c r="C376" s="1" t="e">
        <f>SplineInterp(A376,Own_Spectrum_250cm!$U$2:$U$34,Own_Spectrum_250cm!$V$2:$V$34)*D376</f>
        <v>#VALUE!</v>
      </c>
      <c r="D376" s="13">
        <f>Place_data_here!B376</f>
        <v>0</v>
      </c>
    </row>
    <row r="377" spans="1:4" x14ac:dyDescent="0.25">
      <c r="A377" s="16">
        <f>Place_data_here!A377</f>
        <v>0</v>
      </c>
      <c r="B377" s="4" t="e">
        <f t="shared" si="5"/>
        <v>#VALUE!</v>
      </c>
      <c r="C377" s="1" t="e">
        <f>SplineInterp(A377,Own_Spectrum_250cm!$U$2:$U$34,Own_Spectrum_250cm!$V$2:$V$34)*D377</f>
        <v>#VALUE!</v>
      </c>
      <c r="D377" s="13">
        <f>Place_data_here!B377</f>
        <v>0</v>
      </c>
    </row>
    <row r="378" spans="1:4" x14ac:dyDescent="0.25">
      <c r="A378" s="16">
        <f>Place_data_here!A378</f>
        <v>0</v>
      </c>
      <c r="B378" s="4" t="e">
        <f t="shared" si="5"/>
        <v>#VALUE!</v>
      </c>
      <c r="C378" s="1" t="e">
        <f>SplineInterp(A378,Own_Spectrum_250cm!$U$2:$U$34,Own_Spectrum_250cm!$V$2:$V$34)*D378</f>
        <v>#VALUE!</v>
      </c>
      <c r="D378" s="13">
        <f>Place_data_here!B378</f>
        <v>0</v>
      </c>
    </row>
    <row r="379" spans="1:4" x14ac:dyDescent="0.25">
      <c r="A379" s="16">
        <f>Place_data_here!A379</f>
        <v>0</v>
      </c>
      <c r="B379" s="4" t="e">
        <f t="shared" si="5"/>
        <v>#VALUE!</v>
      </c>
      <c r="C379" s="1" t="e">
        <f>SplineInterp(A379,Own_Spectrum_250cm!$U$2:$U$34,Own_Spectrum_250cm!$V$2:$V$34)*D379</f>
        <v>#VALUE!</v>
      </c>
      <c r="D379" s="13">
        <f>Place_data_here!B379</f>
        <v>0</v>
      </c>
    </row>
    <row r="380" spans="1:4" x14ac:dyDescent="0.25">
      <c r="A380" s="16">
        <f>Place_data_here!A380</f>
        <v>0</v>
      </c>
      <c r="B380" s="4" t="e">
        <f t="shared" si="5"/>
        <v>#VALUE!</v>
      </c>
      <c r="C380" s="1" t="e">
        <f>SplineInterp(A380,Own_Spectrum_250cm!$U$2:$U$34,Own_Spectrum_250cm!$V$2:$V$34)*D380</f>
        <v>#VALUE!</v>
      </c>
      <c r="D380" s="13">
        <f>Place_data_here!B380</f>
        <v>0</v>
      </c>
    </row>
    <row r="381" spans="1:4" x14ac:dyDescent="0.25">
      <c r="A381" s="16">
        <f>Place_data_here!A381</f>
        <v>0</v>
      </c>
      <c r="B381" s="4" t="e">
        <f t="shared" si="5"/>
        <v>#VALUE!</v>
      </c>
      <c r="C381" s="1" t="e">
        <f>SplineInterp(A381,Own_Spectrum_250cm!$U$2:$U$34,Own_Spectrum_250cm!$V$2:$V$34)*D381</f>
        <v>#VALUE!</v>
      </c>
      <c r="D381" s="13">
        <f>Place_data_here!B381</f>
        <v>0</v>
      </c>
    </row>
    <row r="382" spans="1:4" x14ac:dyDescent="0.25">
      <c r="A382" s="16">
        <f>Place_data_here!A382</f>
        <v>0</v>
      </c>
      <c r="B382" s="4" t="e">
        <f t="shared" si="5"/>
        <v>#VALUE!</v>
      </c>
      <c r="C382" s="1" t="e">
        <f>SplineInterp(A382,Own_Spectrum_250cm!$U$2:$U$34,Own_Spectrum_250cm!$V$2:$V$34)*D382</f>
        <v>#VALUE!</v>
      </c>
      <c r="D382" s="13">
        <f>Place_data_here!B382</f>
        <v>0</v>
      </c>
    </row>
    <row r="383" spans="1:4" x14ac:dyDescent="0.25">
      <c r="A383" s="16">
        <f>Place_data_here!A383</f>
        <v>0</v>
      </c>
      <c r="B383" s="4" t="e">
        <f t="shared" si="5"/>
        <v>#VALUE!</v>
      </c>
      <c r="C383" s="1" t="e">
        <f>SplineInterp(A383,Own_Spectrum_250cm!$U$2:$U$34,Own_Spectrum_250cm!$V$2:$V$34)*D383</f>
        <v>#VALUE!</v>
      </c>
      <c r="D383" s="13">
        <f>Place_data_here!B383</f>
        <v>0</v>
      </c>
    </row>
    <row r="384" spans="1:4" x14ac:dyDescent="0.25">
      <c r="A384" s="16">
        <f>Place_data_here!A384</f>
        <v>0</v>
      </c>
      <c r="B384" s="4" t="e">
        <f t="shared" si="5"/>
        <v>#VALUE!</v>
      </c>
      <c r="C384" s="1" t="e">
        <f>SplineInterp(A384,Own_Spectrum_250cm!$U$2:$U$34,Own_Spectrum_250cm!$V$2:$V$34)*D384</f>
        <v>#VALUE!</v>
      </c>
      <c r="D384" s="13">
        <f>Place_data_here!B384</f>
        <v>0</v>
      </c>
    </row>
    <row r="385" spans="1:4" x14ac:dyDescent="0.25">
      <c r="A385" s="16">
        <f>Place_data_here!A385</f>
        <v>0</v>
      </c>
      <c r="B385" s="4" t="e">
        <f t="shared" si="5"/>
        <v>#VALUE!</v>
      </c>
      <c r="C385" s="1" t="e">
        <f>SplineInterp(A385,Own_Spectrum_250cm!$U$2:$U$34,Own_Spectrum_250cm!$V$2:$V$34)*D385</f>
        <v>#VALUE!</v>
      </c>
      <c r="D385" s="13">
        <f>Place_data_here!B385</f>
        <v>0</v>
      </c>
    </row>
    <row r="386" spans="1:4" x14ac:dyDescent="0.25">
      <c r="A386" s="16">
        <f>Place_data_here!A386</f>
        <v>0</v>
      </c>
      <c r="B386" s="4" t="e">
        <f t="shared" si="5"/>
        <v>#VALUE!</v>
      </c>
      <c r="C386" s="1" t="e">
        <f>SplineInterp(A386,Own_Spectrum_250cm!$U$2:$U$34,Own_Spectrum_250cm!$V$2:$V$34)*D386</f>
        <v>#VALUE!</v>
      </c>
      <c r="D386" s="13">
        <f>Place_data_here!B386</f>
        <v>0</v>
      </c>
    </row>
    <row r="387" spans="1:4" x14ac:dyDescent="0.25">
      <c r="A387" s="16">
        <f>Place_data_here!A387</f>
        <v>0</v>
      </c>
      <c r="B387" s="4" t="e">
        <f t="shared" ref="B387:B450" si="6">C387/$C$1028</f>
        <v>#VALUE!</v>
      </c>
      <c r="C387" s="1" t="e">
        <f>SplineInterp(A387,Own_Spectrum_250cm!$U$2:$U$34,Own_Spectrum_250cm!$V$2:$V$34)*D387</f>
        <v>#VALUE!</v>
      </c>
      <c r="D387" s="13">
        <f>Place_data_here!B387</f>
        <v>0</v>
      </c>
    </row>
    <row r="388" spans="1:4" x14ac:dyDescent="0.25">
      <c r="A388" s="16">
        <f>Place_data_here!A388</f>
        <v>0</v>
      </c>
      <c r="B388" s="4" t="e">
        <f t="shared" si="6"/>
        <v>#VALUE!</v>
      </c>
      <c r="C388" s="1" t="e">
        <f>SplineInterp(A388,Own_Spectrum_250cm!$U$2:$U$34,Own_Spectrum_250cm!$V$2:$V$34)*D388</f>
        <v>#VALUE!</v>
      </c>
      <c r="D388" s="13">
        <f>Place_data_here!B388</f>
        <v>0</v>
      </c>
    </row>
    <row r="389" spans="1:4" x14ac:dyDescent="0.25">
      <c r="A389" s="16">
        <f>Place_data_here!A389</f>
        <v>0</v>
      </c>
      <c r="B389" s="4" t="e">
        <f t="shared" si="6"/>
        <v>#VALUE!</v>
      </c>
      <c r="C389" s="1" t="e">
        <f>SplineInterp(A389,Own_Spectrum_250cm!$U$2:$U$34,Own_Spectrum_250cm!$V$2:$V$34)*D389</f>
        <v>#VALUE!</v>
      </c>
      <c r="D389" s="13">
        <f>Place_data_here!B389</f>
        <v>0</v>
      </c>
    </row>
    <row r="390" spans="1:4" x14ac:dyDescent="0.25">
      <c r="A390" s="16">
        <f>Place_data_here!A390</f>
        <v>0</v>
      </c>
      <c r="B390" s="4" t="e">
        <f t="shared" si="6"/>
        <v>#VALUE!</v>
      </c>
      <c r="C390" s="1" t="e">
        <f>SplineInterp(A390,Own_Spectrum_250cm!$U$2:$U$34,Own_Spectrum_250cm!$V$2:$V$34)*D390</f>
        <v>#VALUE!</v>
      </c>
      <c r="D390" s="13">
        <f>Place_data_here!B390</f>
        <v>0</v>
      </c>
    </row>
    <row r="391" spans="1:4" x14ac:dyDescent="0.25">
      <c r="A391" s="16">
        <f>Place_data_here!A391</f>
        <v>0</v>
      </c>
      <c r="B391" s="4" t="e">
        <f t="shared" si="6"/>
        <v>#VALUE!</v>
      </c>
      <c r="C391" s="1" t="e">
        <f>SplineInterp(A391,Own_Spectrum_250cm!$U$2:$U$34,Own_Spectrum_250cm!$V$2:$V$34)*D391</f>
        <v>#VALUE!</v>
      </c>
      <c r="D391" s="13">
        <f>Place_data_here!B391</f>
        <v>0</v>
      </c>
    </row>
    <row r="392" spans="1:4" x14ac:dyDescent="0.25">
      <c r="A392" s="16">
        <f>Place_data_here!A392</f>
        <v>0</v>
      </c>
      <c r="B392" s="4" t="e">
        <f t="shared" si="6"/>
        <v>#VALUE!</v>
      </c>
      <c r="C392" s="1" t="e">
        <f>SplineInterp(A392,Own_Spectrum_250cm!$U$2:$U$34,Own_Spectrum_250cm!$V$2:$V$34)*D392</f>
        <v>#VALUE!</v>
      </c>
      <c r="D392" s="13">
        <f>Place_data_here!B392</f>
        <v>0</v>
      </c>
    </row>
    <row r="393" spans="1:4" x14ac:dyDescent="0.25">
      <c r="A393" s="16">
        <f>Place_data_here!A393</f>
        <v>0</v>
      </c>
      <c r="B393" s="4" t="e">
        <f t="shared" si="6"/>
        <v>#VALUE!</v>
      </c>
      <c r="C393" s="1" t="e">
        <f>SplineInterp(A393,Own_Spectrum_250cm!$U$2:$U$34,Own_Spectrum_250cm!$V$2:$V$34)*D393</f>
        <v>#VALUE!</v>
      </c>
      <c r="D393" s="13">
        <f>Place_data_here!B393</f>
        <v>0</v>
      </c>
    </row>
    <row r="394" spans="1:4" x14ac:dyDescent="0.25">
      <c r="A394" s="16">
        <f>Place_data_here!A394</f>
        <v>0</v>
      </c>
      <c r="B394" s="4" t="e">
        <f t="shared" si="6"/>
        <v>#VALUE!</v>
      </c>
      <c r="C394" s="1" t="e">
        <f>SplineInterp(A394,Own_Spectrum_250cm!$U$2:$U$34,Own_Spectrum_250cm!$V$2:$V$34)*D394</f>
        <v>#VALUE!</v>
      </c>
      <c r="D394" s="13">
        <f>Place_data_here!B394</f>
        <v>0</v>
      </c>
    </row>
    <row r="395" spans="1:4" x14ac:dyDescent="0.25">
      <c r="A395" s="16">
        <f>Place_data_here!A395</f>
        <v>0</v>
      </c>
      <c r="B395" s="4" t="e">
        <f t="shared" si="6"/>
        <v>#VALUE!</v>
      </c>
      <c r="C395" s="1" t="e">
        <f>SplineInterp(A395,Own_Spectrum_250cm!$U$2:$U$34,Own_Spectrum_250cm!$V$2:$V$34)*D395</f>
        <v>#VALUE!</v>
      </c>
      <c r="D395" s="13">
        <f>Place_data_here!B395</f>
        <v>0</v>
      </c>
    </row>
    <row r="396" spans="1:4" x14ac:dyDescent="0.25">
      <c r="A396" s="16">
        <f>Place_data_here!A396</f>
        <v>0</v>
      </c>
      <c r="B396" s="4" t="e">
        <f t="shared" si="6"/>
        <v>#VALUE!</v>
      </c>
      <c r="C396" s="1" t="e">
        <f>SplineInterp(A396,Own_Spectrum_250cm!$U$2:$U$34,Own_Spectrum_250cm!$V$2:$V$34)*D396</f>
        <v>#VALUE!</v>
      </c>
      <c r="D396" s="13">
        <f>Place_data_here!B396</f>
        <v>0</v>
      </c>
    </row>
    <row r="397" spans="1:4" x14ac:dyDescent="0.25">
      <c r="A397" s="16">
        <f>Place_data_here!A397</f>
        <v>0</v>
      </c>
      <c r="B397" s="4" t="e">
        <f t="shared" si="6"/>
        <v>#VALUE!</v>
      </c>
      <c r="C397" s="1" t="e">
        <f>SplineInterp(A397,Own_Spectrum_250cm!$U$2:$U$34,Own_Spectrum_250cm!$V$2:$V$34)*D397</f>
        <v>#VALUE!</v>
      </c>
      <c r="D397" s="13">
        <f>Place_data_here!B397</f>
        <v>0</v>
      </c>
    </row>
    <row r="398" spans="1:4" x14ac:dyDescent="0.25">
      <c r="A398" s="16">
        <f>Place_data_here!A398</f>
        <v>0</v>
      </c>
      <c r="B398" s="4" t="e">
        <f t="shared" si="6"/>
        <v>#VALUE!</v>
      </c>
      <c r="C398" s="1" t="e">
        <f>SplineInterp(A398,Own_Spectrum_250cm!$U$2:$U$34,Own_Spectrum_250cm!$V$2:$V$34)*D398</f>
        <v>#VALUE!</v>
      </c>
      <c r="D398" s="13">
        <f>Place_data_here!B398</f>
        <v>0</v>
      </c>
    </row>
    <row r="399" spans="1:4" x14ac:dyDescent="0.25">
      <c r="A399" s="16">
        <f>Place_data_here!A399</f>
        <v>0</v>
      </c>
      <c r="B399" s="4" t="e">
        <f t="shared" si="6"/>
        <v>#VALUE!</v>
      </c>
      <c r="C399" s="1" t="e">
        <f>SplineInterp(A399,Own_Spectrum_250cm!$U$2:$U$34,Own_Spectrum_250cm!$V$2:$V$34)*D399</f>
        <v>#VALUE!</v>
      </c>
      <c r="D399" s="13">
        <f>Place_data_here!B399</f>
        <v>0</v>
      </c>
    </row>
    <row r="400" spans="1:4" x14ac:dyDescent="0.25">
      <c r="A400" s="16">
        <f>Place_data_here!A400</f>
        <v>0</v>
      </c>
      <c r="B400" s="4" t="e">
        <f t="shared" si="6"/>
        <v>#VALUE!</v>
      </c>
      <c r="C400" s="1" t="e">
        <f>SplineInterp(A400,Own_Spectrum_250cm!$U$2:$U$34,Own_Spectrum_250cm!$V$2:$V$34)*D400</f>
        <v>#VALUE!</v>
      </c>
      <c r="D400" s="13">
        <f>Place_data_here!B400</f>
        <v>0</v>
      </c>
    </row>
    <row r="401" spans="1:4" x14ac:dyDescent="0.25">
      <c r="A401" s="16">
        <f>Place_data_here!A401</f>
        <v>0</v>
      </c>
      <c r="B401" s="4" t="e">
        <f t="shared" si="6"/>
        <v>#VALUE!</v>
      </c>
      <c r="C401" s="1" t="e">
        <f>SplineInterp(A401,Own_Spectrum_250cm!$U$2:$U$34,Own_Spectrum_250cm!$V$2:$V$34)*D401</f>
        <v>#VALUE!</v>
      </c>
      <c r="D401" s="13">
        <f>Place_data_here!B401</f>
        <v>0</v>
      </c>
    </row>
    <row r="402" spans="1:4" x14ac:dyDescent="0.25">
      <c r="A402" s="16">
        <f>Place_data_here!A402</f>
        <v>0</v>
      </c>
      <c r="B402" s="4" t="e">
        <f t="shared" si="6"/>
        <v>#VALUE!</v>
      </c>
      <c r="C402" s="1" t="e">
        <f>SplineInterp(A402,Own_Spectrum_250cm!$U$2:$U$34,Own_Spectrum_250cm!$V$2:$V$34)*D402</f>
        <v>#VALUE!</v>
      </c>
      <c r="D402" s="13">
        <f>Place_data_here!B402</f>
        <v>0</v>
      </c>
    </row>
    <row r="403" spans="1:4" x14ac:dyDescent="0.25">
      <c r="A403" s="16">
        <f>Place_data_here!A403</f>
        <v>0</v>
      </c>
      <c r="B403" s="4" t="e">
        <f t="shared" si="6"/>
        <v>#VALUE!</v>
      </c>
      <c r="C403" s="1" t="e">
        <f>SplineInterp(A403,Own_Spectrum_250cm!$U$2:$U$34,Own_Spectrum_250cm!$V$2:$V$34)*D403</f>
        <v>#VALUE!</v>
      </c>
      <c r="D403" s="13">
        <f>Place_data_here!B403</f>
        <v>0</v>
      </c>
    </row>
    <row r="404" spans="1:4" x14ac:dyDescent="0.25">
      <c r="A404" s="16">
        <f>Place_data_here!A404</f>
        <v>0</v>
      </c>
      <c r="B404" s="4" t="e">
        <f t="shared" si="6"/>
        <v>#VALUE!</v>
      </c>
      <c r="C404" s="1" t="e">
        <f>SplineInterp(A404,Own_Spectrum_250cm!$U$2:$U$34,Own_Spectrum_250cm!$V$2:$V$34)*D404</f>
        <v>#VALUE!</v>
      </c>
      <c r="D404" s="13">
        <f>Place_data_here!B404</f>
        <v>0</v>
      </c>
    </row>
    <row r="405" spans="1:4" x14ac:dyDescent="0.25">
      <c r="A405" s="16">
        <f>Place_data_here!A405</f>
        <v>0</v>
      </c>
      <c r="B405" s="4" t="e">
        <f t="shared" si="6"/>
        <v>#VALUE!</v>
      </c>
      <c r="C405" s="1" t="e">
        <f>SplineInterp(A405,Own_Spectrum_250cm!$U$2:$U$34,Own_Spectrum_250cm!$V$2:$V$34)*D405</f>
        <v>#VALUE!</v>
      </c>
      <c r="D405" s="13">
        <f>Place_data_here!B405</f>
        <v>0</v>
      </c>
    </row>
    <row r="406" spans="1:4" x14ac:dyDescent="0.25">
      <c r="A406" s="16">
        <f>Place_data_here!A406</f>
        <v>0</v>
      </c>
      <c r="B406" s="4" t="e">
        <f t="shared" si="6"/>
        <v>#VALUE!</v>
      </c>
      <c r="C406" s="1" t="e">
        <f>SplineInterp(A406,Own_Spectrum_250cm!$U$2:$U$34,Own_Spectrum_250cm!$V$2:$V$34)*D406</f>
        <v>#VALUE!</v>
      </c>
      <c r="D406" s="13">
        <f>Place_data_here!B406</f>
        <v>0</v>
      </c>
    </row>
    <row r="407" spans="1:4" x14ac:dyDescent="0.25">
      <c r="A407" s="16">
        <f>Place_data_here!A407</f>
        <v>0</v>
      </c>
      <c r="B407" s="4" t="e">
        <f t="shared" si="6"/>
        <v>#VALUE!</v>
      </c>
      <c r="C407" s="1" t="e">
        <f>SplineInterp(A407,Own_Spectrum_250cm!$U$2:$U$34,Own_Spectrum_250cm!$V$2:$V$34)*D407</f>
        <v>#VALUE!</v>
      </c>
      <c r="D407" s="13">
        <f>Place_data_here!B407</f>
        <v>0</v>
      </c>
    </row>
    <row r="408" spans="1:4" x14ac:dyDescent="0.25">
      <c r="A408" s="16">
        <f>Place_data_here!A408</f>
        <v>0</v>
      </c>
      <c r="B408" s="4" t="e">
        <f t="shared" si="6"/>
        <v>#VALUE!</v>
      </c>
      <c r="C408" s="1" t="e">
        <f>SplineInterp(A408,Own_Spectrum_250cm!$U$2:$U$34,Own_Spectrum_250cm!$V$2:$V$34)*D408</f>
        <v>#VALUE!</v>
      </c>
      <c r="D408" s="13">
        <f>Place_data_here!B408</f>
        <v>0</v>
      </c>
    </row>
    <row r="409" spans="1:4" x14ac:dyDescent="0.25">
      <c r="A409" s="16">
        <f>Place_data_here!A409</f>
        <v>0</v>
      </c>
      <c r="B409" s="4" t="e">
        <f t="shared" si="6"/>
        <v>#VALUE!</v>
      </c>
      <c r="C409" s="1" t="e">
        <f>SplineInterp(A409,Own_Spectrum_250cm!$U$2:$U$34,Own_Spectrum_250cm!$V$2:$V$34)*D409</f>
        <v>#VALUE!</v>
      </c>
      <c r="D409" s="13">
        <f>Place_data_here!B409</f>
        <v>0</v>
      </c>
    </row>
    <row r="410" spans="1:4" x14ac:dyDescent="0.25">
      <c r="A410" s="16">
        <f>Place_data_here!A410</f>
        <v>0</v>
      </c>
      <c r="B410" s="4" t="e">
        <f t="shared" si="6"/>
        <v>#VALUE!</v>
      </c>
      <c r="C410" s="1" t="e">
        <f>SplineInterp(A410,Own_Spectrum_250cm!$U$2:$U$34,Own_Spectrum_250cm!$V$2:$V$34)*D410</f>
        <v>#VALUE!</v>
      </c>
      <c r="D410" s="13">
        <f>Place_data_here!B410</f>
        <v>0</v>
      </c>
    </row>
    <row r="411" spans="1:4" x14ac:dyDescent="0.25">
      <c r="A411" s="16">
        <f>Place_data_here!A411</f>
        <v>0</v>
      </c>
      <c r="B411" s="4" t="e">
        <f t="shared" si="6"/>
        <v>#VALUE!</v>
      </c>
      <c r="C411" s="1" t="e">
        <f>SplineInterp(A411,Own_Spectrum_250cm!$U$2:$U$34,Own_Spectrum_250cm!$V$2:$V$34)*D411</f>
        <v>#VALUE!</v>
      </c>
      <c r="D411" s="13">
        <f>Place_data_here!B411</f>
        <v>0</v>
      </c>
    </row>
    <row r="412" spans="1:4" x14ac:dyDescent="0.25">
      <c r="A412" s="16">
        <f>Place_data_here!A412</f>
        <v>0</v>
      </c>
      <c r="B412" s="4" t="e">
        <f t="shared" si="6"/>
        <v>#VALUE!</v>
      </c>
      <c r="C412" s="1" t="e">
        <f>SplineInterp(A412,Own_Spectrum_250cm!$U$2:$U$34,Own_Spectrum_250cm!$V$2:$V$34)*D412</f>
        <v>#VALUE!</v>
      </c>
      <c r="D412" s="13">
        <f>Place_data_here!B412</f>
        <v>0</v>
      </c>
    </row>
    <row r="413" spans="1:4" x14ac:dyDescent="0.25">
      <c r="A413" s="16">
        <f>Place_data_here!A413</f>
        <v>0</v>
      </c>
      <c r="B413" s="4" t="e">
        <f t="shared" si="6"/>
        <v>#VALUE!</v>
      </c>
      <c r="C413" s="1" t="e">
        <f>SplineInterp(A413,Own_Spectrum_250cm!$U$2:$U$34,Own_Spectrum_250cm!$V$2:$V$34)*D413</f>
        <v>#VALUE!</v>
      </c>
      <c r="D413" s="13">
        <f>Place_data_here!B413</f>
        <v>0</v>
      </c>
    </row>
    <row r="414" spans="1:4" x14ac:dyDescent="0.25">
      <c r="A414" s="16">
        <f>Place_data_here!A414</f>
        <v>0</v>
      </c>
      <c r="B414" s="4" t="e">
        <f t="shared" si="6"/>
        <v>#VALUE!</v>
      </c>
      <c r="C414" s="1" t="e">
        <f>SplineInterp(A414,Own_Spectrum_250cm!$U$2:$U$34,Own_Spectrum_250cm!$V$2:$V$34)*D414</f>
        <v>#VALUE!</v>
      </c>
      <c r="D414" s="13">
        <f>Place_data_here!B414</f>
        <v>0</v>
      </c>
    </row>
    <row r="415" spans="1:4" x14ac:dyDescent="0.25">
      <c r="A415" s="16">
        <f>Place_data_here!A415</f>
        <v>0</v>
      </c>
      <c r="B415" s="4" t="e">
        <f t="shared" si="6"/>
        <v>#VALUE!</v>
      </c>
      <c r="C415" s="1" t="e">
        <f>SplineInterp(A415,Own_Spectrum_250cm!$U$2:$U$34,Own_Spectrum_250cm!$V$2:$V$34)*D415</f>
        <v>#VALUE!</v>
      </c>
      <c r="D415" s="13">
        <f>Place_data_here!B415</f>
        <v>0</v>
      </c>
    </row>
    <row r="416" spans="1:4" x14ac:dyDescent="0.25">
      <c r="A416" s="16">
        <f>Place_data_here!A416</f>
        <v>0</v>
      </c>
      <c r="B416" s="4" t="e">
        <f t="shared" si="6"/>
        <v>#VALUE!</v>
      </c>
      <c r="C416" s="1" t="e">
        <f>SplineInterp(A416,Own_Spectrum_250cm!$U$2:$U$34,Own_Spectrum_250cm!$V$2:$V$34)*D416</f>
        <v>#VALUE!</v>
      </c>
      <c r="D416" s="13">
        <f>Place_data_here!B416</f>
        <v>0</v>
      </c>
    </row>
    <row r="417" spans="1:4" x14ac:dyDescent="0.25">
      <c r="A417" s="16">
        <f>Place_data_here!A417</f>
        <v>0</v>
      </c>
      <c r="B417" s="4" t="e">
        <f t="shared" si="6"/>
        <v>#VALUE!</v>
      </c>
      <c r="C417" s="1" t="e">
        <f>SplineInterp(A417,Own_Spectrum_250cm!$U$2:$U$34,Own_Spectrum_250cm!$V$2:$V$34)*D417</f>
        <v>#VALUE!</v>
      </c>
      <c r="D417" s="13">
        <f>Place_data_here!B417</f>
        <v>0</v>
      </c>
    </row>
    <row r="418" spans="1:4" x14ac:dyDescent="0.25">
      <c r="A418" s="16">
        <f>Place_data_here!A418</f>
        <v>0</v>
      </c>
      <c r="B418" s="4" t="e">
        <f t="shared" si="6"/>
        <v>#VALUE!</v>
      </c>
      <c r="C418" s="1" t="e">
        <f>SplineInterp(A418,Own_Spectrum_250cm!$U$2:$U$34,Own_Spectrum_250cm!$V$2:$V$34)*D418</f>
        <v>#VALUE!</v>
      </c>
      <c r="D418" s="13">
        <f>Place_data_here!B418</f>
        <v>0</v>
      </c>
    </row>
    <row r="419" spans="1:4" x14ac:dyDescent="0.25">
      <c r="A419" s="16">
        <f>Place_data_here!A419</f>
        <v>0</v>
      </c>
      <c r="B419" s="4" t="e">
        <f t="shared" si="6"/>
        <v>#VALUE!</v>
      </c>
      <c r="C419" s="1" t="e">
        <f>SplineInterp(A419,Own_Spectrum_250cm!$U$2:$U$34,Own_Spectrum_250cm!$V$2:$V$34)*D419</f>
        <v>#VALUE!</v>
      </c>
      <c r="D419" s="13">
        <f>Place_data_here!B419</f>
        <v>0</v>
      </c>
    </row>
    <row r="420" spans="1:4" x14ac:dyDescent="0.25">
      <c r="A420" s="16">
        <f>Place_data_here!A420</f>
        <v>0</v>
      </c>
      <c r="B420" s="4" t="e">
        <f t="shared" si="6"/>
        <v>#VALUE!</v>
      </c>
      <c r="C420" s="1" t="e">
        <f>SplineInterp(A420,Own_Spectrum_250cm!$U$2:$U$34,Own_Spectrum_250cm!$V$2:$V$34)*D420</f>
        <v>#VALUE!</v>
      </c>
      <c r="D420" s="13">
        <f>Place_data_here!B420</f>
        <v>0</v>
      </c>
    </row>
    <row r="421" spans="1:4" x14ac:dyDescent="0.25">
      <c r="A421" s="16">
        <f>Place_data_here!A421</f>
        <v>0</v>
      </c>
      <c r="B421" s="4" t="e">
        <f t="shared" si="6"/>
        <v>#VALUE!</v>
      </c>
      <c r="C421" s="1" t="e">
        <f>SplineInterp(A421,Own_Spectrum_250cm!$U$2:$U$34,Own_Spectrum_250cm!$V$2:$V$34)*D421</f>
        <v>#VALUE!</v>
      </c>
      <c r="D421" s="13">
        <f>Place_data_here!B421</f>
        <v>0</v>
      </c>
    </row>
    <row r="422" spans="1:4" x14ac:dyDescent="0.25">
      <c r="A422" s="16">
        <f>Place_data_here!A422</f>
        <v>0</v>
      </c>
      <c r="B422" s="4" t="e">
        <f t="shared" si="6"/>
        <v>#VALUE!</v>
      </c>
      <c r="C422" s="1" t="e">
        <f>SplineInterp(A422,Own_Spectrum_250cm!$U$2:$U$34,Own_Spectrum_250cm!$V$2:$V$34)*D422</f>
        <v>#VALUE!</v>
      </c>
      <c r="D422" s="13">
        <f>Place_data_here!B422</f>
        <v>0</v>
      </c>
    </row>
    <row r="423" spans="1:4" x14ac:dyDescent="0.25">
      <c r="A423" s="16">
        <f>Place_data_here!A423</f>
        <v>0</v>
      </c>
      <c r="B423" s="4" t="e">
        <f t="shared" si="6"/>
        <v>#VALUE!</v>
      </c>
      <c r="C423" s="1" t="e">
        <f>SplineInterp(A423,Own_Spectrum_250cm!$U$2:$U$34,Own_Spectrum_250cm!$V$2:$V$34)*D423</f>
        <v>#VALUE!</v>
      </c>
      <c r="D423" s="13">
        <f>Place_data_here!B423</f>
        <v>0</v>
      </c>
    </row>
    <row r="424" spans="1:4" x14ac:dyDescent="0.25">
      <c r="A424" s="16">
        <f>Place_data_here!A424</f>
        <v>0</v>
      </c>
      <c r="B424" s="4" t="e">
        <f t="shared" si="6"/>
        <v>#VALUE!</v>
      </c>
      <c r="C424" s="1" t="e">
        <f>SplineInterp(A424,Own_Spectrum_250cm!$U$2:$U$34,Own_Spectrum_250cm!$V$2:$V$34)*D424</f>
        <v>#VALUE!</v>
      </c>
      <c r="D424" s="13">
        <f>Place_data_here!B424</f>
        <v>0</v>
      </c>
    </row>
    <row r="425" spans="1:4" x14ac:dyDescent="0.25">
      <c r="A425" s="16">
        <f>Place_data_here!A425</f>
        <v>0</v>
      </c>
      <c r="B425" s="4" t="e">
        <f t="shared" si="6"/>
        <v>#VALUE!</v>
      </c>
      <c r="C425" s="1" t="e">
        <f>SplineInterp(A425,Own_Spectrum_250cm!$U$2:$U$34,Own_Spectrum_250cm!$V$2:$V$34)*D425</f>
        <v>#VALUE!</v>
      </c>
      <c r="D425" s="13">
        <f>Place_data_here!B425</f>
        <v>0</v>
      </c>
    </row>
    <row r="426" spans="1:4" x14ac:dyDescent="0.25">
      <c r="A426" s="16">
        <f>Place_data_here!A426</f>
        <v>0</v>
      </c>
      <c r="B426" s="4" t="e">
        <f t="shared" si="6"/>
        <v>#VALUE!</v>
      </c>
      <c r="C426" s="1" t="e">
        <f>SplineInterp(A426,Own_Spectrum_250cm!$U$2:$U$34,Own_Spectrum_250cm!$V$2:$V$34)*D426</f>
        <v>#VALUE!</v>
      </c>
      <c r="D426" s="13">
        <f>Place_data_here!B426</f>
        <v>0</v>
      </c>
    </row>
    <row r="427" spans="1:4" x14ac:dyDescent="0.25">
      <c r="A427" s="16">
        <f>Place_data_here!A427</f>
        <v>0</v>
      </c>
      <c r="B427" s="4" t="e">
        <f t="shared" si="6"/>
        <v>#VALUE!</v>
      </c>
      <c r="C427" s="1" t="e">
        <f>SplineInterp(A427,Own_Spectrum_250cm!$U$2:$U$34,Own_Spectrum_250cm!$V$2:$V$34)*D427</f>
        <v>#VALUE!</v>
      </c>
      <c r="D427" s="13">
        <f>Place_data_here!B427</f>
        <v>0</v>
      </c>
    </row>
    <row r="428" spans="1:4" x14ac:dyDescent="0.25">
      <c r="A428" s="16">
        <f>Place_data_here!A428</f>
        <v>0</v>
      </c>
      <c r="B428" s="4" t="e">
        <f t="shared" si="6"/>
        <v>#VALUE!</v>
      </c>
      <c r="C428" s="1" t="e">
        <f>SplineInterp(A428,Own_Spectrum_250cm!$U$2:$U$34,Own_Spectrum_250cm!$V$2:$V$34)*D428</f>
        <v>#VALUE!</v>
      </c>
      <c r="D428" s="13">
        <f>Place_data_here!B428</f>
        <v>0</v>
      </c>
    </row>
    <row r="429" spans="1:4" x14ac:dyDescent="0.25">
      <c r="A429" s="16">
        <f>Place_data_here!A429</f>
        <v>0</v>
      </c>
      <c r="B429" s="4" t="e">
        <f t="shared" si="6"/>
        <v>#VALUE!</v>
      </c>
      <c r="C429" s="1" t="e">
        <f>SplineInterp(A429,Own_Spectrum_250cm!$U$2:$U$34,Own_Spectrum_250cm!$V$2:$V$34)*D429</f>
        <v>#VALUE!</v>
      </c>
      <c r="D429" s="13">
        <f>Place_data_here!B429</f>
        <v>0</v>
      </c>
    </row>
    <row r="430" spans="1:4" x14ac:dyDescent="0.25">
      <c r="A430" s="16">
        <f>Place_data_here!A430</f>
        <v>0</v>
      </c>
      <c r="B430" s="4" t="e">
        <f t="shared" si="6"/>
        <v>#VALUE!</v>
      </c>
      <c r="C430" s="1" t="e">
        <f>SplineInterp(A430,Own_Spectrum_250cm!$U$2:$U$34,Own_Spectrum_250cm!$V$2:$V$34)*D430</f>
        <v>#VALUE!</v>
      </c>
      <c r="D430" s="13">
        <f>Place_data_here!B430</f>
        <v>0</v>
      </c>
    </row>
    <row r="431" spans="1:4" x14ac:dyDescent="0.25">
      <c r="A431" s="16">
        <f>Place_data_here!A431</f>
        <v>0</v>
      </c>
      <c r="B431" s="4" t="e">
        <f t="shared" si="6"/>
        <v>#VALUE!</v>
      </c>
      <c r="C431" s="1" t="e">
        <f>SplineInterp(A431,Own_Spectrum_250cm!$U$2:$U$34,Own_Spectrum_250cm!$V$2:$V$34)*D431</f>
        <v>#VALUE!</v>
      </c>
      <c r="D431" s="13">
        <f>Place_data_here!B431</f>
        <v>0</v>
      </c>
    </row>
    <row r="432" spans="1:4" x14ac:dyDescent="0.25">
      <c r="A432" s="16">
        <f>Place_data_here!A432</f>
        <v>0</v>
      </c>
      <c r="B432" s="4" t="e">
        <f t="shared" si="6"/>
        <v>#VALUE!</v>
      </c>
      <c r="C432" s="1" t="e">
        <f>SplineInterp(A432,Own_Spectrum_250cm!$U$2:$U$34,Own_Spectrum_250cm!$V$2:$V$34)*D432</f>
        <v>#VALUE!</v>
      </c>
      <c r="D432" s="13">
        <f>Place_data_here!B432</f>
        <v>0</v>
      </c>
    </row>
    <row r="433" spans="1:4" x14ac:dyDescent="0.25">
      <c r="A433" s="16">
        <f>Place_data_here!A433</f>
        <v>0</v>
      </c>
      <c r="B433" s="4" t="e">
        <f t="shared" si="6"/>
        <v>#VALUE!</v>
      </c>
      <c r="C433" s="1" t="e">
        <f>SplineInterp(A433,Own_Spectrum_250cm!$U$2:$U$34,Own_Spectrum_250cm!$V$2:$V$34)*D433</f>
        <v>#VALUE!</v>
      </c>
      <c r="D433" s="13">
        <f>Place_data_here!B433</f>
        <v>0</v>
      </c>
    </row>
    <row r="434" spans="1:4" x14ac:dyDescent="0.25">
      <c r="A434" s="16">
        <f>Place_data_here!A434</f>
        <v>0</v>
      </c>
      <c r="B434" s="4" t="e">
        <f t="shared" si="6"/>
        <v>#VALUE!</v>
      </c>
      <c r="C434" s="1" t="e">
        <f>SplineInterp(A434,Own_Spectrum_250cm!$U$2:$U$34,Own_Spectrum_250cm!$V$2:$V$34)*D434</f>
        <v>#VALUE!</v>
      </c>
      <c r="D434" s="13">
        <f>Place_data_here!B434</f>
        <v>0</v>
      </c>
    </row>
    <row r="435" spans="1:4" x14ac:dyDescent="0.25">
      <c r="A435" s="16">
        <f>Place_data_here!A435</f>
        <v>0</v>
      </c>
      <c r="B435" s="4" t="e">
        <f t="shared" si="6"/>
        <v>#VALUE!</v>
      </c>
      <c r="C435" s="1" t="e">
        <f>SplineInterp(A435,Own_Spectrum_250cm!$U$2:$U$34,Own_Spectrum_250cm!$V$2:$V$34)*D435</f>
        <v>#VALUE!</v>
      </c>
      <c r="D435" s="13">
        <f>Place_data_here!B435</f>
        <v>0</v>
      </c>
    </row>
    <row r="436" spans="1:4" x14ac:dyDescent="0.25">
      <c r="A436" s="16">
        <f>Place_data_here!A436</f>
        <v>0</v>
      </c>
      <c r="B436" s="4" t="e">
        <f t="shared" si="6"/>
        <v>#VALUE!</v>
      </c>
      <c r="C436" s="1" t="e">
        <f>SplineInterp(A436,Own_Spectrum_250cm!$U$2:$U$34,Own_Spectrum_250cm!$V$2:$V$34)*D436</f>
        <v>#VALUE!</v>
      </c>
      <c r="D436" s="13">
        <f>Place_data_here!B436</f>
        <v>0</v>
      </c>
    </row>
    <row r="437" spans="1:4" x14ac:dyDescent="0.25">
      <c r="A437" s="16">
        <f>Place_data_here!A437</f>
        <v>0</v>
      </c>
      <c r="B437" s="4" t="e">
        <f t="shared" si="6"/>
        <v>#VALUE!</v>
      </c>
      <c r="C437" s="1" t="e">
        <f>SplineInterp(A437,Own_Spectrum_250cm!$U$2:$U$34,Own_Spectrum_250cm!$V$2:$V$34)*D437</f>
        <v>#VALUE!</v>
      </c>
      <c r="D437" s="13">
        <f>Place_data_here!B437</f>
        <v>0</v>
      </c>
    </row>
    <row r="438" spans="1:4" x14ac:dyDescent="0.25">
      <c r="A438" s="16">
        <f>Place_data_here!A438</f>
        <v>0</v>
      </c>
      <c r="B438" s="4" t="e">
        <f t="shared" si="6"/>
        <v>#VALUE!</v>
      </c>
      <c r="C438" s="1" t="e">
        <f>SplineInterp(A438,Own_Spectrum_250cm!$U$2:$U$34,Own_Spectrum_250cm!$V$2:$V$34)*D438</f>
        <v>#VALUE!</v>
      </c>
      <c r="D438" s="13">
        <f>Place_data_here!B438</f>
        <v>0</v>
      </c>
    </row>
    <row r="439" spans="1:4" x14ac:dyDescent="0.25">
      <c r="A439" s="16">
        <f>Place_data_here!A439</f>
        <v>0</v>
      </c>
      <c r="B439" s="4" t="e">
        <f t="shared" si="6"/>
        <v>#VALUE!</v>
      </c>
      <c r="C439" s="1" t="e">
        <f>SplineInterp(A439,Own_Spectrum_250cm!$U$2:$U$34,Own_Spectrum_250cm!$V$2:$V$34)*D439</f>
        <v>#VALUE!</v>
      </c>
      <c r="D439" s="13">
        <f>Place_data_here!B439</f>
        <v>0</v>
      </c>
    </row>
    <row r="440" spans="1:4" x14ac:dyDescent="0.25">
      <c r="A440" s="16">
        <f>Place_data_here!A440</f>
        <v>0</v>
      </c>
      <c r="B440" s="4" t="e">
        <f t="shared" si="6"/>
        <v>#VALUE!</v>
      </c>
      <c r="C440" s="1" t="e">
        <f>SplineInterp(A440,Own_Spectrum_250cm!$U$2:$U$34,Own_Spectrum_250cm!$V$2:$V$34)*D440</f>
        <v>#VALUE!</v>
      </c>
      <c r="D440" s="13">
        <f>Place_data_here!B440</f>
        <v>0</v>
      </c>
    </row>
    <row r="441" spans="1:4" x14ac:dyDescent="0.25">
      <c r="A441" s="16">
        <f>Place_data_here!A441</f>
        <v>0</v>
      </c>
      <c r="B441" s="4" t="e">
        <f t="shared" si="6"/>
        <v>#VALUE!</v>
      </c>
      <c r="C441" s="1" t="e">
        <f>SplineInterp(A441,Own_Spectrum_250cm!$U$2:$U$34,Own_Spectrum_250cm!$V$2:$V$34)*D441</f>
        <v>#VALUE!</v>
      </c>
      <c r="D441" s="13">
        <f>Place_data_here!B441</f>
        <v>0</v>
      </c>
    </row>
    <row r="442" spans="1:4" x14ac:dyDescent="0.25">
      <c r="A442" s="16">
        <f>Place_data_here!A442</f>
        <v>0</v>
      </c>
      <c r="B442" s="4" t="e">
        <f t="shared" si="6"/>
        <v>#VALUE!</v>
      </c>
      <c r="C442" s="1" t="e">
        <f>SplineInterp(A442,Own_Spectrum_250cm!$U$2:$U$34,Own_Spectrum_250cm!$V$2:$V$34)*D442</f>
        <v>#VALUE!</v>
      </c>
      <c r="D442" s="13">
        <f>Place_data_here!B442</f>
        <v>0</v>
      </c>
    </row>
    <row r="443" spans="1:4" x14ac:dyDescent="0.25">
      <c r="A443" s="16">
        <f>Place_data_here!A443</f>
        <v>0</v>
      </c>
      <c r="B443" s="4" t="e">
        <f t="shared" si="6"/>
        <v>#VALUE!</v>
      </c>
      <c r="C443" s="1" t="e">
        <f>SplineInterp(A443,Own_Spectrum_250cm!$U$2:$U$34,Own_Spectrum_250cm!$V$2:$V$34)*D443</f>
        <v>#VALUE!</v>
      </c>
      <c r="D443" s="13">
        <f>Place_data_here!B443</f>
        <v>0</v>
      </c>
    </row>
    <row r="444" spans="1:4" x14ac:dyDescent="0.25">
      <c r="A444" s="16">
        <f>Place_data_here!A444</f>
        <v>0</v>
      </c>
      <c r="B444" s="4" t="e">
        <f t="shared" si="6"/>
        <v>#VALUE!</v>
      </c>
      <c r="C444" s="1" t="e">
        <f>SplineInterp(A444,Own_Spectrum_250cm!$U$2:$U$34,Own_Spectrum_250cm!$V$2:$V$34)*D444</f>
        <v>#VALUE!</v>
      </c>
      <c r="D444" s="13">
        <f>Place_data_here!B444</f>
        <v>0</v>
      </c>
    </row>
    <row r="445" spans="1:4" x14ac:dyDescent="0.25">
      <c r="A445" s="16">
        <f>Place_data_here!A445</f>
        <v>0</v>
      </c>
      <c r="B445" s="4" t="e">
        <f t="shared" si="6"/>
        <v>#VALUE!</v>
      </c>
      <c r="C445" s="1" t="e">
        <f>SplineInterp(A445,Own_Spectrum_250cm!$U$2:$U$34,Own_Spectrum_250cm!$V$2:$V$34)*D445</f>
        <v>#VALUE!</v>
      </c>
      <c r="D445" s="13">
        <f>Place_data_here!B445</f>
        <v>0</v>
      </c>
    </row>
    <row r="446" spans="1:4" x14ac:dyDescent="0.25">
      <c r="A446" s="16">
        <f>Place_data_here!A446</f>
        <v>0</v>
      </c>
      <c r="B446" s="4" t="e">
        <f t="shared" si="6"/>
        <v>#VALUE!</v>
      </c>
      <c r="C446" s="1" t="e">
        <f>SplineInterp(A446,Own_Spectrum_250cm!$U$2:$U$34,Own_Spectrum_250cm!$V$2:$V$34)*D446</f>
        <v>#VALUE!</v>
      </c>
      <c r="D446" s="13">
        <f>Place_data_here!B446</f>
        <v>0</v>
      </c>
    </row>
    <row r="447" spans="1:4" x14ac:dyDescent="0.25">
      <c r="A447" s="16">
        <f>Place_data_here!A447</f>
        <v>0</v>
      </c>
      <c r="B447" s="4" t="e">
        <f t="shared" si="6"/>
        <v>#VALUE!</v>
      </c>
      <c r="C447" s="1" t="e">
        <f>SplineInterp(A447,Own_Spectrum_250cm!$U$2:$U$34,Own_Spectrum_250cm!$V$2:$V$34)*D447</f>
        <v>#VALUE!</v>
      </c>
      <c r="D447" s="13">
        <f>Place_data_here!B447</f>
        <v>0</v>
      </c>
    </row>
    <row r="448" spans="1:4" x14ac:dyDescent="0.25">
      <c r="A448" s="16">
        <f>Place_data_here!A448</f>
        <v>0</v>
      </c>
      <c r="B448" s="4" t="e">
        <f t="shared" si="6"/>
        <v>#VALUE!</v>
      </c>
      <c r="C448" s="1" t="e">
        <f>SplineInterp(A448,Own_Spectrum_250cm!$U$2:$U$34,Own_Spectrum_250cm!$V$2:$V$34)*D448</f>
        <v>#VALUE!</v>
      </c>
      <c r="D448" s="13">
        <f>Place_data_here!B448</f>
        <v>0</v>
      </c>
    </row>
    <row r="449" spans="1:4" x14ac:dyDescent="0.25">
      <c r="A449" s="16">
        <f>Place_data_here!A449</f>
        <v>0</v>
      </c>
      <c r="B449" s="4" t="e">
        <f t="shared" si="6"/>
        <v>#VALUE!</v>
      </c>
      <c r="C449" s="1" t="e">
        <f>SplineInterp(A449,Own_Spectrum_250cm!$U$2:$U$34,Own_Spectrum_250cm!$V$2:$V$34)*D449</f>
        <v>#VALUE!</v>
      </c>
      <c r="D449" s="13">
        <f>Place_data_here!B449</f>
        <v>0</v>
      </c>
    </row>
    <row r="450" spans="1:4" x14ac:dyDescent="0.25">
      <c r="A450" s="16">
        <f>Place_data_here!A450</f>
        <v>0</v>
      </c>
      <c r="B450" s="4" t="e">
        <f t="shared" si="6"/>
        <v>#VALUE!</v>
      </c>
      <c r="C450" s="1" t="e">
        <f>SplineInterp(A450,Own_Spectrum_250cm!$U$2:$U$34,Own_Spectrum_250cm!$V$2:$V$34)*D450</f>
        <v>#VALUE!</v>
      </c>
      <c r="D450" s="13">
        <f>Place_data_here!B450</f>
        <v>0</v>
      </c>
    </row>
    <row r="451" spans="1:4" x14ac:dyDescent="0.25">
      <c r="A451" s="16">
        <f>Place_data_here!A451</f>
        <v>0</v>
      </c>
      <c r="B451" s="4" t="e">
        <f t="shared" ref="B451:B514" si="7">C451/$C$1028</f>
        <v>#VALUE!</v>
      </c>
      <c r="C451" s="1" t="e">
        <f>SplineInterp(A451,Own_Spectrum_250cm!$U$2:$U$34,Own_Spectrum_250cm!$V$2:$V$34)*D451</f>
        <v>#VALUE!</v>
      </c>
      <c r="D451" s="13">
        <f>Place_data_here!B451</f>
        <v>0</v>
      </c>
    </row>
    <row r="452" spans="1:4" x14ac:dyDescent="0.25">
      <c r="A452" s="16">
        <f>Place_data_here!A452</f>
        <v>0</v>
      </c>
      <c r="B452" s="4" t="e">
        <f t="shared" si="7"/>
        <v>#VALUE!</v>
      </c>
      <c r="C452" s="1" t="e">
        <f>SplineInterp(A452,Own_Spectrum_250cm!$U$2:$U$34,Own_Spectrum_250cm!$V$2:$V$34)*D452</f>
        <v>#VALUE!</v>
      </c>
      <c r="D452" s="13">
        <f>Place_data_here!B452</f>
        <v>0</v>
      </c>
    </row>
    <row r="453" spans="1:4" x14ac:dyDescent="0.25">
      <c r="A453" s="16">
        <f>Place_data_here!A453</f>
        <v>0</v>
      </c>
      <c r="B453" s="4" t="e">
        <f t="shared" si="7"/>
        <v>#VALUE!</v>
      </c>
      <c r="C453" s="1" t="e">
        <f>SplineInterp(A453,Own_Spectrum_250cm!$U$2:$U$34,Own_Spectrum_250cm!$V$2:$V$34)*D453</f>
        <v>#VALUE!</v>
      </c>
      <c r="D453" s="13">
        <f>Place_data_here!B453</f>
        <v>0</v>
      </c>
    </row>
    <row r="454" spans="1:4" x14ac:dyDescent="0.25">
      <c r="A454" s="16">
        <f>Place_data_here!A454</f>
        <v>0</v>
      </c>
      <c r="B454" s="4" t="e">
        <f t="shared" si="7"/>
        <v>#VALUE!</v>
      </c>
      <c r="C454" s="1" t="e">
        <f>SplineInterp(A454,Own_Spectrum_250cm!$U$2:$U$34,Own_Spectrum_250cm!$V$2:$V$34)*D454</f>
        <v>#VALUE!</v>
      </c>
      <c r="D454" s="13">
        <f>Place_data_here!B454</f>
        <v>0</v>
      </c>
    </row>
    <row r="455" spans="1:4" x14ac:dyDescent="0.25">
      <c r="A455" s="16">
        <f>Place_data_here!A455</f>
        <v>0</v>
      </c>
      <c r="B455" s="4" t="e">
        <f t="shared" si="7"/>
        <v>#VALUE!</v>
      </c>
      <c r="C455" s="1" t="e">
        <f>SplineInterp(A455,Own_Spectrum_250cm!$U$2:$U$34,Own_Spectrum_250cm!$V$2:$V$34)*D455</f>
        <v>#VALUE!</v>
      </c>
      <c r="D455" s="13">
        <f>Place_data_here!B455</f>
        <v>0</v>
      </c>
    </row>
    <row r="456" spans="1:4" x14ac:dyDescent="0.25">
      <c r="A456" s="16">
        <f>Place_data_here!A456</f>
        <v>0</v>
      </c>
      <c r="B456" s="4" t="e">
        <f t="shared" si="7"/>
        <v>#VALUE!</v>
      </c>
      <c r="C456" s="1" t="e">
        <f>SplineInterp(A456,Own_Spectrum_250cm!$U$2:$U$34,Own_Spectrum_250cm!$V$2:$V$34)*D456</f>
        <v>#VALUE!</v>
      </c>
      <c r="D456" s="13">
        <f>Place_data_here!B456</f>
        <v>0</v>
      </c>
    </row>
    <row r="457" spans="1:4" x14ac:dyDescent="0.25">
      <c r="A457" s="16">
        <f>Place_data_here!A457</f>
        <v>0</v>
      </c>
      <c r="B457" s="4" t="e">
        <f t="shared" si="7"/>
        <v>#VALUE!</v>
      </c>
      <c r="C457" s="1" t="e">
        <f>SplineInterp(A457,Own_Spectrum_250cm!$U$2:$U$34,Own_Spectrum_250cm!$V$2:$V$34)*D457</f>
        <v>#VALUE!</v>
      </c>
      <c r="D457" s="13">
        <f>Place_data_here!B457</f>
        <v>0</v>
      </c>
    </row>
    <row r="458" spans="1:4" x14ac:dyDescent="0.25">
      <c r="A458" s="16">
        <f>Place_data_here!A458</f>
        <v>0</v>
      </c>
      <c r="B458" s="4" t="e">
        <f t="shared" si="7"/>
        <v>#VALUE!</v>
      </c>
      <c r="C458" s="1" t="e">
        <f>SplineInterp(A458,Own_Spectrum_250cm!$U$2:$U$34,Own_Spectrum_250cm!$V$2:$V$34)*D458</f>
        <v>#VALUE!</v>
      </c>
      <c r="D458" s="13">
        <f>Place_data_here!B458</f>
        <v>0</v>
      </c>
    </row>
    <row r="459" spans="1:4" x14ac:dyDescent="0.25">
      <c r="A459" s="16">
        <f>Place_data_here!A459</f>
        <v>0</v>
      </c>
      <c r="B459" s="4" t="e">
        <f t="shared" si="7"/>
        <v>#VALUE!</v>
      </c>
      <c r="C459" s="1" t="e">
        <f>SplineInterp(A459,Own_Spectrum_250cm!$U$2:$U$34,Own_Spectrum_250cm!$V$2:$V$34)*D459</f>
        <v>#VALUE!</v>
      </c>
      <c r="D459" s="13">
        <f>Place_data_here!B459</f>
        <v>0</v>
      </c>
    </row>
    <row r="460" spans="1:4" x14ac:dyDescent="0.25">
      <c r="A460" s="16">
        <f>Place_data_here!A460</f>
        <v>0</v>
      </c>
      <c r="B460" s="4" t="e">
        <f t="shared" si="7"/>
        <v>#VALUE!</v>
      </c>
      <c r="C460" s="1" t="e">
        <f>SplineInterp(A460,Own_Spectrum_250cm!$U$2:$U$34,Own_Spectrum_250cm!$V$2:$V$34)*D460</f>
        <v>#VALUE!</v>
      </c>
      <c r="D460" s="13">
        <f>Place_data_here!B460</f>
        <v>0</v>
      </c>
    </row>
    <row r="461" spans="1:4" x14ac:dyDescent="0.25">
      <c r="A461" s="16">
        <f>Place_data_here!A461</f>
        <v>0</v>
      </c>
      <c r="B461" s="4" t="e">
        <f t="shared" si="7"/>
        <v>#VALUE!</v>
      </c>
      <c r="C461" s="1" t="e">
        <f>SplineInterp(A461,Own_Spectrum_250cm!$U$2:$U$34,Own_Spectrum_250cm!$V$2:$V$34)*D461</f>
        <v>#VALUE!</v>
      </c>
      <c r="D461" s="13">
        <f>Place_data_here!B461</f>
        <v>0</v>
      </c>
    </row>
    <row r="462" spans="1:4" x14ac:dyDescent="0.25">
      <c r="A462" s="16">
        <f>Place_data_here!A462</f>
        <v>0</v>
      </c>
      <c r="B462" s="4" t="e">
        <f t="shared" si="7"/>
        <v>#VALUE!</v>
      </c>
      <c r="C462" s="1" t="e">
        <f>SplineInterp(A462,Own_Spectrum_250cm!$U$2:$U$34,Own_Spectrum_250cm!$V$2:$V$34)*D462</f>
        <v>#VALUE!</v>
      </c>
      <c r="D462" s="13">
        <f>Place_data_here!B462</f>
        <v>0</v>
      </c>
    </row>
    <row r="463" spans="1:4" x14ac:dyDescent="0.25">
      <c r="A463" s="16">
        <f>Place_data_here!A463</f>
        <v>0</v>
      </c>
      <c r="B463" s="4" t="e">
        <f t="shared" si="7"/>
        <v>#VALUE!</v>
      </c>
      <c r="C463" s="1" t="e">
        <f>SplineInterp(A463,Own_Spectrum_250cm!$U$2:$U$34,Own_Spectrum_250cm!$V$2:$V$34)*D463</f>
        <v>#VALUE!</v>
      </c>
      <c r="D463" s="13">
        <f>Place_data_here!B463</f>
        <v>0</v>
      </c>
    </row>
    <row r="464" spans="1:4" x14ac:dyDescent="0.25">
      <c r="A464" s="16">
        <f>Place_data_here!A464</f>
        <v>0</v>
      </c>
      <c r="B464" s="4" t="e">
        <f t="shared" si="7"/>
        <v>#VALUE!</v>
      </c>
      <c r="C464" s="1" t="e">
        <f>SplineInterp(A464,Own_Spectrum_250cm!$U$2:$U$34,Own_Spectrum_250cm!$V$2:$V$34)*D464</f>
        <v>#VALUE!</v>
      </c>
      <c r="D464" s="13">
        <f>Place_data_here!B464</f>
        <v>0</v>
      </c>
    </row>
    <row r="465" spans="1:4" x14ac:dyDescent="0.25">
      <c r="A465" s="16">
        <f>Place_data_here!A465</f>
        <v>0</v>
      </c>
      <c r="B465" s="4" t="e">
        <f t="shared" si="7"/>
        <v>#VALUE!</v>
      </c>
      <c r="C465" s="1" t="e">
        <f>SplineInterp(A465,Own_Spectrum_250cm!$U$2:$U$34,Own_Spectrum_250cm!$V$2:$V$34)*D465</f>
        <v>#VALUE!</v>
      </c>
      <c r="D465" s="13">
        <f>Place_data_here!B465</f>
        <v>0</v>
      </c>
    </row>
    <row r="466" spans="1:4" x14ac:dyDescent="0.25">
      <c r="A466" s="16">
        <f>Place_data_here!A466</f>
        <v>0</v>
      </c>
      <c r="B466" s="4" t="e">
        <f t="shared" si="7"/>
        <v>#VALUE!</v>
      </c>
      <c r="C466" s="1" t="e">
        <f>SplineInterp(A466,Own_Spectrum_250cm!$U$2:$U$34,Own_Spectrum_250cm!$V$2:$V$34)*D466</f>
        <v>#VALUE!</v>
      </c>
      <c r="D466" s="13">
        <f>Place_data_here!B466</f>
        <v>0</v>
      </c>
    </row>
    <row r="467" spans="1:4" x14ac:dyDescent="0.25">
      <c r="A467" s="16">
        <f>Place_data_here!A467</f>
        <v>0</v>
      </c>
      <c r="B467" s="4" t="e">
        <f t="shared" si="7"/>
        <v>#VALUE!</v>
      </c>
      <c r="C467" s="1" t="e">
        <f>SplineInterp(A467,Own_Spectrum_250cm!$U$2:$U$34,Own_Spectrum_250cm!$V$2:$V$34)*D467</f>
        <v>#VALUE!</v>
      </c>
      <c r="D467" s="13">
        <f>Place_data_here!B467</f>
        <v>0</v>
      </c>
    </row>
    <row r="468" spans="1:4" x14ac:dyDescent="0.25">
      <c r="A468" s="16">
        <f>Place_data_here!A468</f>
        <v>0</v>
      </c>
      <c r="B468" s="4" t="e">
        <f t="shared" si="7"/>
        <v>#VALUE!</v>
      </c>
      <c r="C468" s="1" t="e">
        <f>SplineInterp(A468,Own_Spectrum_250cm!$U$2:$U$34,Own_Spectrum_250cm!$V$2:$V$34)*D468</f>
        <v>#VALUE!</v>
      </c>
      <c r="D468" s="13">
        <f>Place_data_here!B468</f>
        <v>0</v>
      </c>
    </row>
    <row r="469" spans="1:4" x14ac:dyDescent="0.25">
      <c r="A469" s="16">
        <f>Place_data_here!A469</f>
        <v>0</v>
      </c>
      <c r="B469" s="4" t="e">
        <f t="shared" si="7"/>
        <v>#VALUE!</v>
      </c>
      <c r="C469" s="1" t="e">
        <f>SplineInterp(A469,Own_Spectrum_250cm!$U$2:$U$34,Own_Spectrum_250cm!$V$2:$V$34)*D469</f>
        <v>#VALUE!</v>
      </c>
      <c r="D469" s="13">
        <f>Place_data_here!B469</f>
        <v>0</v>
      </c>
    </row>
    <row r="470" spans="1:4" x14ac:dyDescent="0.25">
      <c r="A470" s="16">
        <f>Place_data_here!A470</f>
        <v>0</v>
      </c>
      <c r="B470" s="4" t="e">
        <f t="shared" si="7"/>
        <v>#VALUE!</v>
      </c>
      <c r="C470" s="1" t="e">
        <f>SplineInterp(A470,Own_Spectrum_250cm!$U$2:$U$34,Own_Spectrum_250cm!$V$2:$V$34)*D470</f>
        <v>#VALUE!</v>
      </c>
      <c r="D470" s="13">
        <f>Place_data_here!B470</f>
        <v>0</v>
      </c>
    </row>
    <row r="471" spans="1:4" x14ac:dyDescent="0.25">
      <c r="A471" s="16">
        <f>Place_data_here!A471</f>
        <v>0</v>
      </c>
      <c r="B471" s="4" t="e">
        <f t="shared" si="7"/>
        <v>#VALUE!</v>
      </c>
      <c r="C471" s="1" t="e">
        <f>SplineInterp(A471,Own_Spectrum_250cm!$U$2:$U$34,Own_Spectrum_250cm!$V$2:$V$34)*D471</f>
        <v>#VALUE!</v>
      </c>
      <c r="D471" s="13">
        <f>Place_data_here!B471</f>
        <v>0</v>
      </c>
    </row>
    <row r="472" spans="1:4" x14ac:dyDescent="0.25">
      <c r="A472" s="16">
        <f>Place_data_here!A472</f>
        <v>0</v>
      </c>
      <c r="B472" s="4" t="e">
        <f t="shared" si="7"/>
        <v>#VALUE!</v>
      </c>
      <c r="C472" s="1" t="e">
        <f>SplineInterp(A472,Own_Spectrum_250cm!$U$2:$U$34,Own_Spectrum_250cm!$V$2:$V$34)*D472</f>
        <v>#VALUE!</v>
      </c>
      <c r="D472" s="13">
        <f>Place_data_here!B472</f>
        <v>0</v>
      </c>
    </row>
    <row r="473" spans="1:4" x14ac:dyDescent="0.25">
      <c r="A473" s="16">
        <f>Place_data_here!A473</f>
        <v>0</v>
      </c>
      <c r="B473" s="4" t="e">
        <f t="shared" si="7"/>
        <v>#VALUE!</v>
      </c>
      <c r="C473" s="1" t="e">
        <f>SplineInterp(A473,Own_Spectrum_250cm!$U$2:$U$34,Own_Spectrum_250cm!$V$2:$V$34)*D473</f>
        <v>#VALUE!</v>
      </c>
      <c r="D473" s="13">
        <f>Place_data_here!B473</f>
        <v>0</v>
      </c>
    </row>
    <row r="474" spans="1:4" x14ac:dyDescent="0.25">
      <c r="A474" s="16">
        <f>Place_data_here!A474</f>
        <v>0</v>
      </c>
      <c r="B474" s="4" t="e">
        <f t="shared" si="7"/>
        <v>#VALUE!</v>
      </c>
      <c r="C474" s="1" t="e">
        <f>SplineInterp(A474,Own_Spectrum_250cm!$U$2:$U$34,Own_Spectrum_250cm!$V$2:$V$34)*D474</f>
        <v>#VALUE!</v>
      </c>
      <c r="D474" s="13">
        <f>Place_data_here!B474</f>
        <v>0</v>
      </c>
    </row>
    <row r="475" spans="1:4" x14ac:dyDescent="0.25">
      <c r="A475" s="16">
        <f>Place_data_here!A475</f>
        <v>0</v>
      </c>
      <c r="B475" s="4" t="e">
        <f t="shared" si="7"/>
        <v>#VALUE!</v>
      </c>
      <c r="C475" s="1" t="e">
        <f>SplineInterp(A475,Own_Spectrum_250cm!$U$2:$U$34,Own_Spectrum_250cm!$V$2:$V$34)*D475</f>
        <v>#VALUE!</v>
      </c>
      <c r="D475" s="13">
        <f>Place_data_here!B475</f>
        <v>0</v>
      </c>
    </row>
    <row r="476" spans="1:4" x14ac:dyDescent="0.25">
      <c r="A476" s="16">
        <f>Place_data_here!A476</f>
        <v>0</v>
      </c>
      <c r="B476" s="4" t="e">
        <f t="shared" si="7"/>
        <v>#VALUE!</v>
      </c>
      <c r="C476" s="1" t="e">
        <f>SplineInterp(A476,Own_Spectrum_250cm!$U$2:$U$34,Own_Spectrum_250cm!$V$2:$V$34)*D476</f>
        <v>#VALUE!</v>
      </c>
      <c r="D476" s="13">
        <f>Place_data_here!B476</f>
        <v>0</v>
      </c>
    </row>
    <row r="477" spans="1:4" x14ac:dyDescent="0.25">
      <c r="A477" s="16">
        <f>Place_data_here!A477</f>
        <v>0</v>
      </c>
      <c r="B477" s="4" t="e">
        <f t="shared" si="7"/>
        <v>#VALUE!</v>
      </c>
      <c r="C477" s="1" t="e">
        <f>SplineInterp(A477,Own_Spectrum_250cm!$U$2:$U$34,Own_Spectrum_250cm!$V$2:$V$34)*D477</f>
        <v>#VALUE!</v>
      </c>
      <c r="D477" s="13">
        <f>Place_data_here!B477</f>
        <v>0</v>
      </c>
    </row>
    <row r="478" spans="1:4" x14ac:dyDescent="0.25">
      <c r="A478" s="16">
        <f>Place_data_here!A478</f>
        <v>0</v>
      </c>
      <c r="B478" s="4" t="e">
        <f t="shared" si="7"/>
        <v>#VALUE!</v>
      </c>
      <c r="C478" s="1" t="e">
        <f>SplineInterp(A478,Own_Spectrum_250cm!$U$2:$U$34,Own_Spectrum_250cm!$V$2:$V$34)*D478</f>
        <v>#VALUE!</v>
      </c>
      <c r="D478" s="13">
        <f>Place_data_here!B478</f>
        <v>0</v>
      </c>
    </row>
    <row r="479" spans="1:4" x14ac:dyDescent="0.25">
      <c r="A479" s="16">
        <f>Place_data_here!A479</f>
        <v>0</v>
      </c>
      <c r="B479" s="4" t="e">
        <f t="shared" si="7"/>
        <v>#VALUE!</v>
      </c>
      <c r="C479" s="1" t="e">
        <f>SplineInterp(A479,Own_Spectrum_250cm!$U$2:$U$34,Own_Spectrum_250cm!$V$2:$V$34)*D479</f>
        <v>#VALUE!</v>
      </c>
      <c r="D479" s="13">
        <f>Place_data_here!B479</f>
        <v>0</v>
      </c>
    </row>
    <row r="480" spans="1:4" x14ac:dyDescent="0.25">
      <c r="A480" s="16">
        <f>Place_data_here!A480</f>
        <v>0</v>
      </c>
      <c r="B480" s="4" t="e">
        <f t="shared" si="7"/>
        <v>#VALUE!</v>
      </c>
      <c r="C480" s="1" t="e">
        <f>SplineInterp(A480,Own_Spectrum_250cm!$U$2:$U$34,Own_Spectrum_250cm!$V$2:$V$34)*D480</f>
        <v>#VALUE!</v>
      </c>
      <c r="D480" s="13">
        <f>Place_data_here!B480</f>
        <v>0</v>
      </c>
    </row>
    <row r="481" spans="1:4" x14ac:dyDescent="0.25">
      <c r="A481" s="16">
        <f>Place_data_here!A481</f>
        <v>0</v>
      </c>
      <c r="B481" s="4" t="e">
        <f t="shared" si="7"/>
        <v>#VALUE!</v>
      </c>
      <c r="C481" s="1" t="e">
        <f>SplineInterp(A481,Own_Spectrum_250cm!$U$2:$U$34,Own_Spectrum_250cm!$V$2:$V$34)*D481</f>
        <v>#VALUE!</v>
      </c>
      <c r="D481" s="13">
        <f>Place_data_here!B481</f>
        <v>0</v>
      </c>
    </row>
    <row r="482" spans="1:4" x14ac:dyDescent="0.25">
      <c r="A482" s="16">
        <f>Place_data_here!A482</f>
        <v>0</v>
      </c>
      <c r="B482" s="4" t="e">
        <f t="shared" si="7"/>
        <v>#VALUE!</v>
      </c>
      <c r="C482" s="1" t="e">
        <f>SplineInterp(A482,Own_Spectrum_250cm!$U$2:$U$34,Own_Spectrum_250cm!$V$2:$V$34)*D482</f>
        <v>#VALUE!</v>
      </c>
      <c r="D482" s="13">
        <f>Place_data_here!B482</f>
        <v>0</v>
      </c>
    </row>
    <row r="483" spans="1:4" x14ac:dyDescent="0.25">
      <c r="A483" s="16">
        <f>Place_data_here!A483</f>
        <v>0</v>
      </c>
      <c r="B483" s="4" t="e">
        <f t="shared" si="7"/>
        <v>#VALUE!</v>
      </c>
      <c r="C483" s="1" t="e">
        <f>SplineInterp(A483,Own_Spectrum_250cm!$U$2:$U$34,Own_Spectrum_250cm!$V$2:$V$34)*D483</f>
        <v>#VALUE!</v>
      </c>
      <c r="D483" s="13">
        <f>Place_data_here!B483</f>
        <v>0</v>
      </c>
    </row>
    <row r="484" spans="1:4" x14ac:dyDescent="0.25">
      <c r="A484" s="16">
        <f>Place_data_here!A484</f>
        <v>0</v>
      </c>
      <c r="B484" s="4" t="e">
        <f t="shared" si="7"/>
        <v>#VALUE!</v>
      </c>
      <c r="C484" s="1" t="e">
        <f>SplineInterp(A484,Own_Spectrum_250cm!$U$2:$U$34,Own_Spectrum_250cm!$V$2:$V$34)*D484</f>
        <v>#VALUE!</v>
      </c>
      <c r="D484" s="13">
        <f>Place_data_here!B484</f>
        <v>0</v>
      </c>
    </row>
    <row r="485" spans="1:4" x14ac:dyDescent="0.25">
      <c r="A485" s="16">
        <f>Place_data_here!A485</f>
        <v>0</v>
      </c>
      <c r="B485" s="4" t="e">
        <f t="shared" si="7"/>
        <v>#VALUE!</v>
      </c>
      <c r="C485" s="1" t="e">
        <f>SplineInterp(A485,Own_Spectrum_250cm!$U$2:$U$34,Own_Spectrum_250cm!$V$2:$V$34)*D485</f>
        <v>#VALUE!</v>
      </c>
      <c r="D485" s="13">
        <f>Place_data_here!B485</f>
        <v>0</v>
      </c>
    </row>
    <row r="486" spans="1:4" x14ac:dyDescent="0.25">
      <c r="A486" s="16">
        <f>Place_data_here!A486</f>
        <v>0</v>
      </c>
      <c r="B486" s="4" t="e">
        <f t="shared" si="7"/>
        <v>#VALUE!</v>
      </c>
      <c r="C486" s="1" t="e">
        <f>SplineInterp(A486,Own_Spectrum_250cm!$U$2:$U$34,Own_Spectrum_250cm!$V$2:$V$34)*D486</f>
        <v>#VALUE!</v>
      </c>
      <c r="D486" s="13">
        <f>Place_data_here!B486</f>
        <v>0</v>
      </c>
    </row>
    <row r="487" spans="1:4" x14ac:dyDescent="0.25">
      <c r="A487" s="16">
        <f>Place_data_here!A487</f>
        <v>0</v>
      </c>
      <c r="B487" s="4" t="e">
        <f t="shared" si="7"/>
        <v>#VALUE!</v>
      </c>
      <c r="C487" s="1" t="e">
        <f>SplineInterp(A487,Own_Spectrum_250cm!$U$2:$U$34,Own_Spectrum_250cm!$V$2:$V$34)*D487</f>
        <v>#VALUE!</v>
      </c>
      <c r="D487" s="13">
        <f>Place_data_here!B487</f>
        <v>0</v>
      </c>
    </row>
    <row r="488" spans="1:4" x14ac:dyDescent="0.25">
      <c r="A488" s="16">
        <f>Place_data_here!A488</f>
        <v>0</v>
      </c>
      <c r="B488" s="4" t="e">
        <f t="shared" si="7"/>
        <v>#VALUE!</v>
      </c>
      <c r="C488" s="1" t="e">
        <f>SplineInterp(A488,Own_Spectrum_250cm!$U$2:$U$34,Own_Spectrum_250cm!$V$2:$V$34)*D488</f>
        <v>#VALUE!</v>
      </c>
      <c r="D488" s="13">
        <f>Place_data_here!B488</f>
        <v>0</v>
      </c>
    </row>
    <row r="489" spans="1:4" x14ac:dyDescent="0.25">
      <c r="A489" s="16">
        <f>Place_data_here!A489</f>
        <v>0</v>
      </c>
      <c r="B489" s="4" t="e">
        <f t="shared" si="7"/>
        <v>#VALUE!</v>
      </c>
      <c r="C489" s="1" t="e">
        <f>SplineInterp(A489,Own_Spectrum_250cm!$U$2:$U$34,Own_Spectrum_250cm!$V$2:$V$34)*D489</f>
        <v>#VALUE!</v>
      </c>
      <c r="D489" s="13">
        <f>Place_data_here!B489</f>
        <v>0</v>
      </c>
    </row>
    <row r="490" spans="1:4" x14ac:dyDescent="0.25">
      <c r="A490" s="16">
        <f>Place_data_here!A490</f>
        <v>0</v>
      </c>
      <c r="B490" s="4" t="e">
        <f t="shared" si="7"/>
        <v>#VALUE!</v>
      </c>
      <c r="C490" s="1" t="e">
        <f>SplineInterp(A490,Own_Spectrum_250cm!$U$2:$U$34,Own_Spectrum_250cm!$V$2:$V$34)*D490</f>
        <v>#VALUE!</v>
      </c>
      <c r="D490" s="13">
        <f>Place_data_here!B490</f>
        <v>0</v>
      </c>
    </row>
    <row r="491" spans="1:4" x14ac:dyDescent="0.25">
      <c r="A491" s="16">
        <f>Place_data_here!A491</f>
        <v>0</v>
      </c>
      <c r="B491" s="4" t="e">
        <f t="shared" si="7"/>
        <v>#VALUE!</v>
      </c>
      <c r="C491" s="1" t="e">
        <f>SplineInterp(A491,Own_Spectrum_250cm!$U$2:$U$34,Own_Spectrum_250cm!$V$2:$V$34)*D491</f>
        <v>#VALUE!</v>
      </c>
      <c r="D491" s="13">
        <f>Place_data_here!B491</f>
        <v>0</v>
      </c>
    </row>
    <row r="492" spans="1:4" x14ac:dyDescent="0.25">
      <c r="A492" s="16">
        <f>Place_data_here!A492</f>
        <v>0</v>
      </c>
      <c r="B492" s="4" t="e">
        <f t="shared" si="7"/>
        <v>#VALUE!</v>
      </c>
      <c r="C492" s="1" t="e">
        <f>SplineInterp(A492,Own_Spectrum_250cm!$U$2:$U$34,Own_Spectrum_250cm!$V$2:$V$34)*D492</f>
        <v>#VALUE!</v>
      </c>
      <c r="D492" s="13">
        <f>Place_data_here!B492</f>
        <v>0</v>
      </c>
    </row>
    <row r="493" spans="1:4" x14ac:dyDescent="0.25">
      <c r="A493" s="16">
        <f>Place_data_here!A493</f>
        <v>0</v>
      </c>
      <c r="B493" s="4" t="e">
        <f t="shared" si="7"/>
        <v>#VALUE!</v>
      </c>
      <c r="C493" s="1" t="e">
        <f>SplineInterp(A493,Own_Spectrum_250cm!$U$2:$U$34,Own_Spectrum_250cm!$V$2:$V$34)*D493</f>
        <v>#VALUE!</v>
      </c>
      <c r="D493" s="13">
        <f>Place_data_here!B493</f>
        <v>0</v>
      </c>
    </row>
    <row r="494" spans="1:4" x14ac:dyDescent="0.25">
      <c r="A494" s="16">
        <f>Place_data_here!A494</f>
        <v>0</v>
      </c>
      <c r="B494" s="4" t="e">
        <f t="shared" si="7"/>
        <v>#VALUE!</v>
      </c>
      <c r="C494" s="1" t="e">
        <f>SplineInterp(A494,Own_Spectrum_250cm!$U$2:$U$34,Own_Spectrum_250cm!$V$2:$V$34)*D494</f>
        <v>#VALUE!</v>
      </c>
      <c r="D494" s="13">
        <f>Place_data_here!B494</f>
        <v>0</v>
      </c>
    </row>
    <row r="495" spans="1:4" x14ac:dyDescent="0.25">
      <c r="A495" s="16">
        <f>Place_data_here!A495</f>
        <v>0</v>
      </c>
      <c r="B495" s="4" t="e">
        <f t="shared" si="7"/>
        <v>#VALUE!</v>
      </c>
      <c r="C495" s="1" t="e">
        <f>SplineInterp(A495,Own_Spectrum_250cm!$U$2:$U$34,Own_Spectrum_250cm!$V$2:$V$34)*D495</f>
        <v>#VALUE!</v>
      </c>
      <c r="D495" s="13">
        <f>Place_data_here!B495</f>
        <v>0</v>
      </c>
    </row>
    <row r="496" spans="1:4" x14ac:dyDescent="0.25">
      <c r="A496" s="16">
        <f>Place_data_here!A496</f>
        <v>0</v>
      </c>
      <c r="B496" s="4" t="e">
        <f t="shared" si="7"/>
        <v>#VALUE!</v>
      </c>
      <c r="C496" s="1" t="e">
        <f>SplineInterp(A496,Own_Spectrum_250cm!$U$2:$U$34,Own_Spectrum_250cm!$V$2:$V$34)*D496</f>
        <v>#VALUE!</v>
      </c>
      <c r="D496" s="13">
        <f>Place_data_here!B496</f>
        <v>0</v>
      </c>
    </row>
    <row r="497" spans="1:4" x14ac:dyDescent="0.25">
      <c r="A497" s="16">
        <f>Place_data_here!A497</f>
        <v>0</v>
      </c>
      <c r="B497" s="4" t="e">
        <f t="shared" si="7"/>
        <v>#VALUE!</v>
      </c>
      <c r="C497" s="1" t="e">
        <f>SplineInterp(A497,Own_Spectrum_250cm!$U$2:$U$34,Own_Spectrum_250cm!$V$2:$V$34)*D497</f>
        <v>#VALUE!</v>
      </c>
      <c r="D497" s="13">
        <f>Place_data_here!B497</f>
        <v>0</v>
      </c>
    </row>
    <row r="498" spans="1:4" x14ac:dyDescent="0.25">
      <c r="A498" s="16">
        <f>Place_data_here!A498</f>
        <v>0</v>
      </c>
      <c r="B498" s="4" t="e">
        <f t="shared" si="7"/>
        <v>#VALUE!</v>
      </c>
      <c r="C498" s="1" t="e">
        <f>SplineInterp(A498,Own_Spectrum_250cm!$U$2:$U$34,Own_Spectrum_250cm!$V$2:$V$34)*D498</f>
        <v>#VALUE!</v>
      </c>
      <c r="D498" s="13">
        <f>Place_data_here!B498</f>
        <v>0</v>
      </c>
    </row>
    <row r="499" spans="1:4" x14ac:dyDescent="0.25">
      <c r="A499" s="16">
        <f>Place_data_here!A499</f>
        <v>0</v>
      </c>
      <c r="B499" s="4" t="e">
        <f t="shared" si="7"/>
        <v>#VALUE!</v>
      </c>
      <c r="C499" s="1" t="e">
        <f>SplineInterp(A499,Own_Spectrum_250cm!$U$2:$U$34,Own_Spectrum_250cm!$V$2:$V$34)*D499</f>
        <v>#VALUE!</v>
      </c>
      <c r="D499" s="13">
        <f>Place_data_here!B499</f>
        <v>0</v>
      </c>
    </row>
    <row r="500" spans="1:4" x14ac:dyDescent="0.25">
      <c r="A500" s="16">
        <f>Place_data_here!A500</f>
        <v>0</v>
      </c>
      <c r="B500" s="4" t="e">
        <f t="shared" si="7"/>
        <v>#VALUE!</v>
      </c>
      <c r="C500" s="1" t="e">
        <f>SplineInterp(A500,Own_Spectrum_250cm!$U$2:$U$34,Own_Spectrum_250cm!$V$2:$V$34)*D500</f>
        <v>#VALUE!</v>
      </c>
      <c r="D500" s="13">
        <f>Place_data_here!B500</f>
        <v>0</v>
      </c>
    </row>
    <row r="501" spans="1:4" x14ac:dyDescent="0.25">
      <c r="A501" s="16">
        <f>Place_data_here!A501</f>
        <v>0</v>
      </c>
      <c r="B501" s="4" t="e">
        <f t="shared" si="7"/>
        <v>#VALUE!</v>
      </c>
      <c r="C501" s="1" t="e">
        <f>SplineInterp(A501,Own_Spectrum_250cm!$U$2:$U$34,Own_Spectrum_250cm!$V$2:$V$34)*D501</f>
        <v>#VALUE!</v>
      </c>
      <c r="D501" s="13">
        <f>Place_data_here!B501</f>
        <v>0</v>
      </c>
    </row>
    <row r="502" spans="1:4" x14ac:dyDescent="0.25">
      <c r="A502" s="16">
        <f>Place_data_here!A502</f>
        <v>0</v>
      </c>
      <c r="B502" s="4" t="e">
        <f t="shared" si="7"/>
        <v>#VALUE!</v>
      </c>
      <c r="C502" s="1" t="e">
        <f>SplineInterp(A502,Own_Spectrum_250cm!$U$2:$U$34,Own_Spectrum_250cm!$V$2:$V$34)*D502</f>
        <v>#VALUE!</v>
      </c>
      <c r="D502" s="13">
        <f>Place_data_here!B502</f>
        <v>0</v>
      </c>
    </row>
    <row r="503" spans="1:4" x14ac:dyDescent="0.25">
      <c r="A503" s="16">
        <f>Place_data_here!A503</f>
        <v>0</v>
      </c>
      <c r="B503" s="4" t="e">
        <f t="shared" si="7"/>
        <v>#VALUE!</v>
      </c>
      <c r="C503" s="1" t="e">
        <f>SplineInterp(A503,Own_Spectrum_250cm!$U$2:$U$34,Own_Spectrum_250cm!$V$2:$V$34)*D503</f>
        <v>#VALUE!</v>
      </c>
      <c r="D503" s="13">
        <f>Place_data_here!B503</f>
        <v>0</v>
      </c>
    </row>
    <row r="504" spans="1:4" x14ac:dyDescent="0.25">
      <c r="A504" s="16">
        <f>Place_data_here!A504</f>
        <v>0</v>
      </c>
      <c r="B504" s="4" t="e">
        <f t="shared" si="7"/>
        <v>#VALUE!</v>
      </c>
      <c r="C504" s="1" t="e">
        <f>SplineInterp(A504,Own_Spectrum_250cm!$U$2:$U$34,Own_Spectrum_250cm!$V$2:$V$34)*D504</f>
        <v>#VALUE!</v>
      </c>
      <c r="D504" s="13">
        <f>Place_data_here!B504</f>
        <v>0</v>
      </c>
    </row>
    <row r="505" spans="1:4" x14ac:dyDescent="0.25">
      <c r="A505" s="16">
        <f>Place_data_here!A505</f>
        <v>0</v>
      </c>
      <c r="B505" s="4" t="e">
        <f t="shared" si="7"/>
        <v>#VALUE!</v>
      </c>
      <c r="C505" s="1" t="e">
        <f>SplineInterp(A505,Own_Spectrum_250cm!$U$2:$U$34,Own_Spectrum_250cm!$V$2:$V$34)*D505</f>
        <v>#VALUE!</v>
      </c>
      <c r="D505" s="13">
        <f>Place_data_here!B505</f>
        <v>0</v>
      </c>
    </row>
    <row r="506" spans="1:4" x14ac:dyDescent="0.25">
      <c r="A506" s="16">
        <f>Place_data_here!A506</f>
        <v>0</v>
      </c>
      <c r="B506" s="4" t="e">
        <f t="shared" si="7"/>
        <v>#VALUE!</v>
      </c>
      <c r="C506" s="1" t="e">
        <f>SplineInterp(A506,Own_Spectrum_250cm!$U$2:$U$34,Own_Spectrum_250cm!$V$2:$V$34)*D506</f>
        <v>#VALUE!</v>
      </c>
      <c r="D506" s="13">
        <f>Place_data_here!B506</f>
        <v>0</v>
      </c>
    </row>
    <row r="507" spans="1:4" x14ac:dyDescent="0.25">
      <c r="A507" s="16">
        <f>Place_data_here!A507</f>
        <v>0</v>
      </c>
      <c r="B507" s="4" t="e">
        <f t="shared" si="7"/>
        <v>#VALUE!</v>
      </c>
      <c r="C507" s="1" t="e">
        <f>SplineInterp(A507,Own_Spectrum_250cm!$U$2:$U$34,Own_Spectrum_250cm!$V$2:$V$34)*D507</f>
        <v>#VALUE!</v>
      </c>
      <c r="D507" s="13">
        <f>Place_data_here!B507</f>
        <v>0</v>
      </c>
    </row>
    <row r="508" spans="1:4" x14ac:dyDescent="0.25">
      <c r="A508" s="16">
        <f>Place_data_here!A508</f>
        <v>0</v>
      </c>
      <c r="B508" s="4" t="e">
        <f t="shared" si="7"/>
        <v>#VALUE!</v>
      </c>
      <c r="C508" s="1" t="e">
        <f>SplineInterp(A508,Own_Spectrum_250cm!$U$2:$U$34,Own_Spectrum_250cm!$V$2:$V$34)*D508</f>
        <v>#VALUE!</v>
      </c>
      <c r="D508" s="13">
        <f>Place_data_here!B508</f>
        <v>0</v>
      </c>
    </row>
    <row r="509" spans="1:4" x14ac:dyDescent="0.25">
      <c r="A509" s="16">
        <f>Place_data_here!A509</f>
        <v>0</v>
      </c>
      <c r="B509" s="4" t="e">
        <f t="shared" si="7"/>
        <v>#VALUE!</v>
      </c>
      <c r="C509" s="1" t="e">
        <f>SplineInterp(A509,Own_Spectrum_250cm!$U$2:$U$34,Own_Spectrum_250cm!$V$2:$V$34)*D509</f>
        <v>#VALUE!</v>
      </c>
      <c r="D509" s="13">
        <f>Place_data_here!B509</f>
        <v>0</v>
      </c>
    </row>
    <row r="510" spans="1:4" x14ac:dyDescent="0.25">
      <c r="A510" s="16">
        <f>Place_data_here!A510</f>
        <v>0</v>
      </c>
      <c r="B510" s="4" t="e">
        <f t="shared" si="7"/>
        <v>#VALUE!</v>
      </c>
      <c r="C510" s="1" t="e">
        <f>SplineInterp(A510,Own_Spectrum_250cm!$U$2:$U$34,Own_Spectrum_250cm!$V$2:$V$34)*D510</f>
        <v>#VALUE!</v>
      </c>
      <c r="D510" s="13">
        <f>Place_data_here!B510</f>
        <v>0</v>
      </c>
    </row>
    <row r="511" spans="1:4" x14ac:dyDescent="0.25">
      <c r="A511" s="16">
        <f>Place_data_here!A511</f>
        <v>0</v>
      </c>
      <c r="B511" s="4" t="e">
        <f t="shared" si="7"/>
        <v>#VALUE!</v>
      </c>
      <c r="C511" s="1" t="e">
        <f>SplineInterp(A511,Own_Spectrum_250cm!$U$2:$U$34,Own_Spectrum_250cm!$V$2:$V$34)*D511</f>
        <v>#VALUE!</v>
      </c>
      <c r="D511" s="13">
        <f>Place_data_here!B511</f>
        <v>0</v>
      </c>
    </row>
    <row r="512" spans="1:4" x14ac:dyDescent="0.25">
      <c r="A512" s="16">
        <f>Place_data_here!A512</f>
        <v>0</v>
      </c>
      <c r="B512" s="4" t="e">
        <f t="shared" si="7"/>
        <v>#VALUE!</v>
      </c>
      <c r="C512" s="1" t="e">
        <f>SplineInterp(A512,Own_Spectrum_250cm!$U$2:$U$34,Own_Spectrum_250cm!$V$2:$V$34)*D512</f>
        <v>#VALUE!</v>
      </c>
      <c r="D512" s="13">
        <f>Place_data_here!B512</f>
        <v>0</v>
      </c>
    </row>
    <row r="513" spans="1:4" x14ac:dyDescent="0.25">
      <c r="A513" s="16">
        <f>Place_data_here!A513</f>
        <v>0</v>
      </c>
      <c r="B513" s="4" t="e">
        <f t="shared" si="7"/>
        <v>#VALUE!</v>
      </c>
      <c r="C513" s="1" t="e">
        <f>SplineInterp(A513,Own_Spectrum_250cm!$U$2:$U$34,Own_Spectrum_250cm!$V$2:$V$34)*D513</f>
        <v>#VALUE!</v>
      </c>
      <c r="D513" s="13">
        <f>Place_data_here!B513</f>
        <v>0</v>
      </c>
    </row>
    <row r="514" spans="1:4" x14ac:dyDescent="0.25">
      <c r="A514" s="16">
        <f>Place_data_here!A514</f>
        <v>0</v>
      </c>
      <c r="B514" s="4" t="e">
        <f t="shared" si="7"/>
        <v>#VALUE!</v>
      </c>
      <c r="C514" s="1" t="e">
        <f>SplineInterp(A514,Own_Spectrum_250cm!$U$2:$U$34,Own_Spectrum_250cm!$V$2:$V$34)*D514</f>
        <v>#VALUE!</v>
      </c>
      <c r="D514" s="13">
        <f>Place_data_here!B514</f>
        <v>0</v>
      </c>
    </row>
    <row r="515" spans="1:4" x14ac:dyDescent="0.25">
      <c r="A515" s="16">
        <f>Place_data_here!A515</f>
        <v>0</v>
      </c>
      <c r="B515" s="4" t="e">
        <f t="shared" ref="B515:B578" si="8">C515/$C$1028</f>
        <v>#VALUE!</v>
      </c>
      <c r="C515" s="1" t="e">
        <f>SplineInterp(A515,Own_Spectrum_250cm!$U$2:$U$34,Own_Spectrum_250cm!$V$2:$V$34)*D515</f>
        <v>#VALUE!</v>
      </c>
      <c r="D515" s="13">
        <f>Place_data_here!B515</f>
        <v>0</v>
      </c>
    </row>
    <row r="516" spans="1:4" x14ac:dyDescent="0.25">
      <c r="A516" s="16">
        <f>Place_data_here!A516</f>
        <v>0</v>
      </c>
      <c r="B516" s="4" t="e">
        <f t="shared" si="8"/>
        <v>#VALUE!</v>
      </c>
      <c r="C516" s="1" t="e">
        <f>SplineInterp(A516,Own_Spectrum_250cm!$U$2:$U$34,Own_Spectrum_250cm!$V$2:$V$34)*D516</f>
        <v>#VALUE!</v>
      </c>
      <c r="D516" s="13">
        <f>Place_data_here!B516</f>
        <v>0</v>
      </c>
    </row>
    <row r="517" spans="1:4" x14ac:dyDescent="0.25">
      <c r="A517" s="16">
        <f>Place_data_here!A517</f>
        <v>0</v>
      </c>
      <c r="B517" s="4" t="e">
        <f t="shared" si="8"/>
        <v>#VALUE!</v>
      </c>
      <c r="C517" s="1" t="e">
        <f>SplineInterp(A517,Own_Spectrum_250cm!$U$2:$U$34,Own_Spectrum_250cm!$V$2:$V$34)*D517</f>
        <v>#VALUE!</v>
      </c>
      <c r="D517" s="13">
        <f>Place_data_here!B517</f>
        <v>0</v>
      </c>
    </row>
    <row r="518" spans="1:4" x14ac:dyDescent="0.25">
      <c r="A518" s="16">
        <f>Place_data_here!A518</f>
        <v>0</v>
      </c>
      <c r="B518" s="4" t="e">
        <f t="shared" si="8"/>
        <v>#VALUE!</v>
      </c>
      <c r="C518" s="1" t="e">
        <f>SplineInterp(A518,Own_Spectrum_250cm!$U$2:$U$34,Own_Spectrum_250cm!$V$2:$V$34)*D518</f>
        <v>#VALUE!</v>
      </c>
      <c r="D518" s="13">
        <f>Place_data_here!B518</f>
        <v>0</v>
      </c>
    </row>
    <row r="519" spans="1:4" x14ac:dyDescent="0.25">
      <c r="A519" s="16">
        <f>Place_data_here!A519</f>
        <v>0</v>
      </c>
      <c r="B519" s="4" t="e">
        <f t="shared" si="8"/>
        <v>#VALUE!</v>
      </c>
      <c r="C519" s="1" t="e">
        <f>SplineInterp(A519,Own_Spectrum_250cm!$U$2:$U$34,Own_Spectrum_250cm!$V$2:$V$34)*D519</f>
        <v>#VALUE!</v>
      </c>
      <c r="D519" s="13">
        <f>Place_data_here!B519</f>
        <v>0</v>
      </c>
    </row>
    <row r="520" spans="1:4" x14ac:dyDescent="0.25">
      <c r="A520" s="16">
        <f>Place_data_here!A520</f>
        <v>0</v>
      </c>
      <c r="B520" s="4" t="e">
        <f t="shared" si="8"/>
        <v>#VALUE!</v>
      </c>
      <c r="C520" s="1" t="e">
        <f>SplineInterp(A520,Own_Spectrum_250cm!$U$2:$U$34,Own_Spectrum_250cm!$V$2:$V$34)*D520</f>
        <v>#VALUE!</v>
      </c>
      <c r="D520" s="13">
        <f>Place_data_here!B520</f>
        <v>0</v>
      </c>
    </row>
    <row r="521" spans="1:4" x14ac:dyDescent="0.25">
      <c r="A521" s="16">
        <f>Place_data_here!A521</f>
        <v>0</v>
      </c>
      <c r="B521" s="4" t="e">
        <f t="shared" si="8"/>
        <v>#VALUE!</v>
      </c>
      <c r="C521" s="1" t="e">
        <f>SplineInterp(A521,Own_Spectrum_250cm!$U$2:$U$34,Own_Spectrum_250cm!$V$2:$V$34)*D521</f>
        <v>#VALUE!</v>
      </c>
      <c r="D521" s="13">
        <f>Place_data_here!B521</f>
        <v>0</v>
      </c>
    </row>
    <row r="522" spans="1:4" x14ac:dyDescent="0.25">
      <c r="A522" s="16">
        <f>Place_data_here!A522</f>
        <v>0</v>
      </c>
      <c r="B522" s="4" t="e">
        <f t="shared" si="8"/>
        <v>#VALUE!</v>
      </c>
      <c r="C522" s="1" t="e">
        <f>SplineInterp(A522,Own_Spectrum_250cm!$U$2:$U$34,Own_Spectrum_250cm!$V$2:$V$34)*D522</f>
        <v>#VALUE!</v>
      </c>
      <c r="D522" s="13">
        <f>Place_data_here!B522</f>
        <v>0</v>
      </c>
    </row>
    <row r="523" spans="1:4" x14ac:dyDescent="0.25">
      <c r="A523" s="16">
        <f>Place_data_here!A523</f>
        <v>0</v>
      </c>
      <c r="B523" s="4" t="e">
        <f t="shared" si="8"/>
        <v>#VALUE!</v>
      </c>
      <c r="C523" s="1" t="e">
        <f>SplineInterp(A523,Own_Spectrum_250cm!$U$2:$U$34,Own_Spectrum_250cm!$V$2:$V$34)*D523</f>
        <v>#VALUE!</v>
      </c>
      <c r="D523" s="13">
        <f>Place_data_here!B523</f>
        <v>0</v>
      </c>
    </row>
    <row r="524" spans="1:4" x14ac:dyDescent="0.25">
      <c r="A524" s="16">
        <f>Place_data_here!A524</f>
        <v>0</v>
      </c>
      <c r="B524" s="4" t="e">
        <f t="shared" si="8"/>
        <v>#VALUE!</v>
      </c>
      <c r="C524" s="1" t="e">
        <f>SplineInterp(A524,Own_Spectrum_250cm!$U$2:$U$34,Own_Spectrum_250cm!$V$2:$V$34)*D524</f>
        <v>#VALUE!</v>
      </c>
      <c r="D524" s="13">
        <f>Place_data_here!B524</f>
        <v>0</v>
      </c>
    </row>
    <row r="525" spans="1:4" x14ac:dyDescent="0.25">
      <c r="A525" s="16">
        <f>Place_data_here!A525</f>
        <v>0</v>
      </c>
      <c r="B525" s="4" t="e">
        <f t="shared" si="8"/>
        <v>#VALUE!</v>
      </c>
      <c r="C525" s="1" t="e">
        <f>SplineInterp(A525,Own_Spectrum_250cm!$U$2:$U$34,Own_Spectrum_250cm!$V$2:$V$34)*D525</f>
        <v>#VALUE!</v>
      </c>
      <c r="D525" s="13">
        <f>Place_data_here!B525</f>
        <v>0</v>
      </c>
    </row>
    <row r="526" spans="1:4" x14ac:dyDescent="0.25">
      <c r="A526" s="16">
        <f>Place_data_here!A526</f>
        <v>0</v>
      </c>
      <c r="B526" s="4" t="e">
        <f t="shared" si="8"/>
        <v>#VALUE!</v>
      </c>
      <c r="C526" s="1" t="e">
        <f>SplineInterp(A526,Own_Spectrum_250cm!$U$2:$U$34,Own_Spectrum_250cm!$V$2:$V$34)*D526</f>
        <v>#VALUE!</v>
      </c>
      <c r="D526" s="13">
        <f>Place_data_here!B526</f>
        <v>0</v>
      </c>
    </row>
    <row r="527" spans="1:4" x14ac:dyDescent="0.25">
      <c r="A527" s="16">
        <f>Place_data_here!A527</f>
        <v>0</v>
      </c>
      <c r="B527" s="4" t="e">
        <f t="shared" si="8"/>
        <v>#VALUE!</v>
      </c>
      <c r="C527" s="1" t="e">
        <f>SplineInterp(A527,Own_Spectrum_250cm!$U$2:$U$34,Own_Spectrum_250cm!$V$2:$V$34)*D527</f>
        <v>#VALUE!</v>
      </c>
      <c r="D527" s="13">
        <f>Place_data_here!B527</f>
        <v>0</v>
      </c>
    </row>
    <row r="528" spans="1:4" x14ac:dyDescent="0.25">
      <c r="A528" s="16">
        <f>Place_data_here!A528</f>
        <v>0</v>
      </c>
      <c r="B528" s="4" t="e">
        <f t="shared" si="8"/>
        <v>#VALUE!</v>
      </c>
      <c r="C528" s="1" t="e">
        <f>SplineInterp(A528,Own_Spectrum_250cm!$U$2:$U$34,Own_Spectrum_250cm!$V$2:$V$34)*D528</f>
        <v>#VALUE!</v>
      </c>
      <c r="D528" s="13">
        <f>Place_data_here!B528</f>
        <v>0</v>
      </c>
    </row>
    <row r="529" spans="1:4" x14ac:dyDescent="0.25">
      <c r="A529" s="16">
        <f>Place_data_here!A529</f>
        <v>0</v>
      </c>
      <c r="B529" s="4" t="e">
        <f t="shared" si="8"/>
        <v>#VALUE!</v>
      </c>
      <c r="C529" s="1" t="e">
        <f>SplineInterp(A529,Own_Spectrum_250cm!$U$2:$U$34,Own_Spectrum_250cm!$V$2:$V$34)*D529</f>
        <v>#VALUE!</v>
      </c>
      <c r="D529" s="13">
        <f>Place_data_here!B529</f>
        <v>0</v>
      </c>
    </row>
    <row r="530" spans="1:4" x14ac:dyDescent="0.25">
      <c r="A530" s="16">
        <f>Place_data_here!A530</f>
        <v>0</v>
      </c>
      <c r="B530" s="4" t="e">
        <f t="shared" si="8"/>
        <v>#VALUE!</v>
      </c>
      <c r="C530" s="1" t="e">
        <f>SplineInterp(A530,Own_Spectrum_250cm!$U$2:$U$34,Own_Spectrum_250cm!$V$2:$V$34)*D530</f>
        <v>#VALUE!</v>
      </c>
      <c r="D530" s="13">
        <f>Place_data_here!B530</f>
        <v>0</v>
      </c>
    </row>
    <row r="531" spans="1:4" x14ac:dyDescent="0.25">
      <c r="A531" s="16">
        <f>Place_data_here!A531</f>
        <v>0</v>
      </c>
      <c r="B531" s="4" t="e">
        <f t="shared" si="8"/>
        <v>#VALUE!</v>
      </c>
      <c r="C531" s="1" t="e">
        <f>SplineInterp(A531,Own_Spectrum_250cm!$U$2:$U$34,Own_Spectrum_250cm!$V$2:$V$34)*D531</f>
        <v>#VALUE!</v>
      </c>
      <c r="D531" s="13">
        <f>Place_data_here!B531</f>
        <v>0</v>
      </c>
    </row>
    <row r="532" spans="1:4" x14ac:dyDescent="0.25">
      <c r="A532" s="16">
        <f>Place_data_here!A532</f>
        <v>0</v>
      </c>
      <c r="B532" s="4" t="e">
        <f t="shared" si="8"/>
        <v>#VALUE!</v>
      </c>
      <c r="C532" s="1" t="e">
        <f>SplineInterp(A532,Own_Spectrum_250cm!$U$2:$U$34,Own_Spectrum_250cm!$V$2:$V$34)*D532</f>
        <v>#VALUE!</v>
      </c>
      <c r="D532" s="13">
        <f>Place_data_here!B532</f>
        <v>0</v>
      </c>
    </row>
    <row r="533" spans="1:4" x14ac:dyDescent="0.25">
      <c r="A533" s="16">
        <f>Place_data_here!A533</f>
        <v>0</v>
      </c>
      <c r="B533" s="4" t="e">
        <f t="shared" si="8"/>
        <v>#VALUE!</v>
      </c>
      <c r="C533" s="1" t="e">
        <f>SplineInterp(A533,Own_Spectrum_250cm!$U$2:$U$34,Own_Spectrum_250cm!$V$2:$V$34)*D533</f>
        <v>#VALUE!</v>
      </c>
      <c r="D533" s="13">
        <f>Place_data_here!B533</f>
        <v>0</v>
      </c>
    </row>
    <row r="534" spans="1:4" x14ac:dyDescent="0.25">
      <c r="A534" s="16">
        <f>Place_data_here!A534</f>
        <v>0</v>
      </c>
      <c r="B534" s="4" t="e">
        <f t="shared" si="8"/>
        <v>#VALUE!</v>
      </c>
      <c r="C534" s="1" t="e">
        <f>SplineInterp(A534,Own_Spectrum_250cm!$U$2:$U$34,Own_Spectrum_250cm!$V$2:$V$34)*D534</f>
        <v>#VALUE!</v>
      </c>
      <c r="D534" s="13">
        <f>Place_data_here!B534</f>
        <v>0</v>
      </c>
    </row>
    <row r="535" spans="1:4" x14ac:dyDescent="0.25">
      <c r="A535" s="16">
        <f>Place_data_here!A535</f>
        <v>0</v>
      </c>
      <c r="B535" s="4" t="e">
        <f t="shared" si="8"/>
        <v>#VALUE!</v>
      </c>
      <c r="C535" s="1" t="e">
        <f>SplineInterp(A535,Own_Spectrum_250cm!$U$2:$U$34,Own_Spectrum_250cm!$V$2:$V$34)*D535</f>
        <v>#VALUE!</v>
      </c>
      <c r="D535" s="13">
        <f>Place_data_here!B535</f>
        <v>0</v>
      </c>
    </row>
    <row r="536" spans="1:4" x14ac:dyDescent="0.25">
      <c r="A536" s="16">
        <f>Place_data_here!A536</f>
        <v>0</v>
      </c>
      <c r="B536" s="4" t="e">
        <f t="shared" si="8"/>
        <v>#VALUE!</v>
      </c>
      <c r="C536" s="1" t="e">
        <f>SplineInterp(A536,Own_Spectrum_250cm!$U$2:$U$34,Own_Spectrum_250cm!$V$2:$V$34)*D536</f>
        <v>#VALUE!</v>
      </c>
      <c r="D536" s="13">
        <f>Place_data_here!B536</f>
        <v>0</v>
      </c>
    </row>
    <row r="537" spans="1:4" x14ac:dyDescent="0.25">
      <c r="A537" s="16">
        <f>Place_data_here!A537</f>
        <v>0</v>
      </c>
      <c r="B537" s="4" t="e">
        <f t="shared" si="8"/>
        <v>#VALUE!</v>
      </c>
      <c r="C537" s="1" t="e">
        <f>SplineInterp(A537,Own_Spectrum_250cm!$U$2:$U$34,Own_Spectrum_250cm!$V$2:$V$34)*D537</f>
        <v>#VALUE!</v>
      </c>
      <c r="D537" s="13">
        <f>Place_data_here!B537</f>
        <v>0</v>
      </c>
    </row>
    <row r="538" spans="1:4" x14ac:dyDescent="0.25">
      <c r="A538" s="16">
        <f>Place_data_here!A538</f>
        <v>0</v>
      </c>
      <c r="B538" s="4" t="e">
        <f t="shared" si="8"/>
        <v>#VALUE!</v>
      </c>
      <c r="C538" s="1" t="e">
        <f>SplineInterp(A538,Own_Spectrum_250cm!$U$2:$U$34,Own_Spectrum_250cm!$V$2:$V$34)*D538</f>
        <v>#VALUE!</v>
      </c>
      <c r="D538" s="13">
        <f>Place_data_here!B538</f>
        <v>0</v>
      </c>
    </row>
    <row r="539" spans="1:4" x14ac:dyDescent="0.25">
      <c r="A539" s="16">
        <f>Place_data_here!A539</f>
        <v>0</v>
      </c>
      <c r="B539" s="4" t="e">
        <f t="shared" si="8"/>
        <v>#VALUE!</v>
      </c>
      <c r="C539" s="1" t="e">
        <f>SplineInterp(A539,Own_Spectrum_250cm!$U$2:$U$34,Own_Spectrum_250cm!$V$2:$V$34)*D539</f>
        <v>#VALUE!</v>
      </c>
      <c r="D539" s="13">
        <f>Place_data_here!B539</f>
        <v>0</v>
      </c>
    </row>
    <row r="540" spans="1:4" x14ac:dyDescent="0.25">
      <c r="A540" s="16">
        <f>Place_data_here!A540</f>
        <v>0</v>
      </c>
      <c r="B540" s="4" t="e">
        <f t="shared" si="8"/>
        <v>#VALUE!</v>
      </c>
      <c r="C540" s="1" t="e">
        <f>SplineInterp(A540,Own_Spectrum_250cm!$U$2:$U$34,Own_Spectrum_250cm!$V$2:$V$34)*D540</f>
        <v>#VALUE!</v>
      </c>
      <c r="D540" s="13">
        <f>Place_data_here!B540</f>
        <v>0</v>
      </c>
    </row>
    <row r="541" spans="1:4" x14ac:dyDescent="0.25">
      <c r="A541" s="16">
        <f>Place_data_here!A541</f>
        <v>0</v>
      </c>
      <c r="B541" s="4" t="e">
        <f t="shared" si="8"/>
        <v>#VALUE!</v>
      </c>
      <c r="C541" s="1" t="e">
        <f>SplineInterp(A541,Own_Spectrum_250cm!$U$2:$U$34,Own_Spectrum_250cm!$V$2:$V$34)*D541</f>
        <v>#VALUE!</v>
      </c>
      <c r="D541" s="13">
        <f>Place_data_here!B541</f>
        <v>0</v>
      </c>
    </row>
    <row r="542" spans="1:4" x14ac:dyDescent="0.25">
      <c r="A542" s="16">
        <f>Place_data_here!A542</f>
        <v>0</v>
      </c>
      <c r="B542" s="4" t="e">
        <f t="shared" si="8"/>
        <v>#VALUE!</v>
      </c>
      <c r="C542" s="1" t="e">
        <f>SplineInterp(A542,Own_Spectrum_250cm!$U$2:$U$34,Own_Spectrum_250cm!$V$2:$V$34)*D542</f>
        <v>#VALUE!</v>
      </c>
      <c r="D542" s="13">
        <f>Place_data_here!B542</f>
        <v>0</v>
      </c>
    </row>
    <row r="543" spans="1:4" x14ac:dyDescent="0.25">
      <c r="A543" s="16">
        <f>Place_data_here!A543</f>
        <v>0</v>
      </c>
      <c r="B543" s="4" t="e">
        <f t="shared" si="8"/>
        <v>#VALUE!</v>
      </c>
      <c r="C543" s="1" t="e">
        <f>SplineInterp(A543,Own_Spectrum_250cm!$U$2:$U$34,Own_Spectrum_250cm!$V$2:$V$34)*D543</f>
        <v>#VALUE!</v>
      </c>
      <c r="D543" s="13">
        <f>Place_data_here!B543</f>
        <v>0</v>
      </c>
    </row>
    <row r="544" spans="1:4" x14ac:dyDescent="0.25">
      <c r="A544" s="16">
        <f>Place_data_here!A544</f>
        <v>0</v>
      </c>
      <c r="B544" s="4" t="e">
        <f t="shared" si="8"/>
        <v>#VALUE!</v>
      </c>
      <c r="C544" s="1" t="e">
        <f>SplineInterp(A544,Own_Spectrum_250cm!$U$2:$U$34,Own_Spectrum_250cm!$V$2:$V$34)*D544</f>
        <v>#VALUE!</v>
      </c>
      <c r="D544" s="13">
        <f>Place_data_here!B544</f>
        <v>0</v>
      </c>
    </row>
    <row r="545" spans="1:4" x14ac:dyDescent="0.25">
      <c r="A545" s="16">
        <f>Place_data_here!A545</f>
        <v>0</v>
      </c>
      <c r="B545" s="4" t="e">
        <f t="shared" si="8"/>
        <v>#VALUE!</v>
      </c>
      <c r="C545" s="1" t="e">
        <f>SplineInterp(A545,Own_Spectrum_250cm!$U$2:$U$34,Own_Spectrum_250cm!$V$2:$V$34)*D545</f>
        <v>#VALUE!</v>
      </c>
      <c r="D545" s="13">
        <f>Place_data_here!B545</f>
        <v>0</v>
      </c>
    </row>
    <row r="546" spans="1:4" x14ac:dyDescent="0.25">
      <c r="A546" s="16">
        <f>Place_data_here!A546</f>
        <v>0</v>
      </c>
      <c r="B546" s="4" t="e">
        <f t="shared" si="8"/>
        <v>#VALUE!</v>
      </c>
      <c r="C546" s="1" t="e">
        <f>SplineInterp(A546,Own_Spectrum_250cm!$U$2:$U$34,Own_Spectrum_250cm!$V$2:$V$34)*D546</f>
        <v>#VALUE!</v>
      </c>
      <c r="D546" s="13">
        <f>Place_data_here!B546</f>
        <v>0</v>
      </c>
    </row>
    <row r="547" spans="1:4" x14ac:dyDescent="0.25">
      <c r="A547" s="16">
        <f>Place_data_here!A547</f>
        <v>0</v>
      </c>
      <c r="B547" s="4" t="e">
        <f t="shared" si="8"/>
        <v>#VALUE!</v>
      </c>
      <c r="C547" s="1" t="e">
        <f>SplineInterp(A547,Own_Spectrum_250cm!$U$2:$U$34,Own_Spectrum_250cm!$V$2:$V$34)*D547</f>
        <v>#VALUE!</v>
      </c>
      <c r="D547" s="13">
        <f>Place_data_here!B547</f>
        <v>0</v>
      </c>
    </row>
    <row r="548" spans="1:4" x14ac:dyDescent="0.25">
      <c r="A548" s="16">
        <f>Place_data_here!A548</f>
        <v>0</v>
      </c>
      <c r="B548" s="4" t="e">
        <f t="shared" si="8"/>
        <v>#VALUE!</v>
      </c>
      <c r="C548" s="1" t="e">
        <f>SplineInterp(A548,Own_Spectrum_250cm!$U$2:$U$34,Own_Spectrum_250cm!$V$2:$V$34)*D548</f>
        <v>#VALUE!</v>
      </c>
      <c r="D548" s="13">
        <f>Place_data_here!B548</f>
        <v>0</v>
      </c>
    </row>
    <row r="549" spans="1:4" x14ac:dyDescent="0.25">
      <c r="A549" s="16">
        <f>Place_data_here!A549</f>
        <v>0</v>
      </c>
      <c r="B549" s="4" t="e">
        <f t="shared" si="8"/>
        <v>#VALUE!</v>
      </c>
      <c r="C549" s="1" t="e">
        <f>SplineInterp(A549,Own_Spectrum_250cm!$U$2:$U$34,Own_Spectrum_250cm!$V$2:$V$34)*D549</f>
        <v>#VALUE!</v>
      </c>
      <c r="D549" s="13">
        <f>Place_data_here!B549</f>
        <v>0</v>
      </c>
    </row>
    <row r="550" spans="1:4" x14ac:dyDescent="0.25">
      <c r="A550" s="16">
        <f>Place_data_here!A550</f>
        <v>0</v>
      </c>
      <c r="B550" s="4" t="e">
        <f t="shared" si="8"/>
        <v>#VALUE!</v>
      </c>
      <c r="C550" s="1" t="e">
        <f>SplineInterp(A550,Own_Spectrum_250cm!$U$2:$U$34,Own_Spectrum_250cm!$V$2:$V$34)*D550</f>
        <v>#VALUE!</v>
      </c>
      <c r="D550" s="13">
        <f>Place_data_here!B550</f>
        <v>0</v>
      </c>
    </row>
    <row r="551" spans="1:4" x14ac:dyDescent="0.25">
      <c r="A551" s="16">
        <f>Place_data_here!A551</f>
        <v>0</v>
      </c>
      <c r="B551" s="4" t="e">
        <f t="shared" si="8"/>
        <v>#VALUE!</v>
      </c>
      <c r="C551" s="1" t="e">
        <f>SplineInterp(A551,Own_Spectrum_250cm!$U$2:$U$34,Own_Spectrum_250cm!$V$2:$V$34)*D551</f>
        <v>#VALUE!</v>
      </c>
      <c r="D551" s="13">
        <f>Place_data_here!B551</f>
        <v>0</v>
      </c>
    </row>
    <row r="552" spans="1:4" x14ac:dyDescent="0.25">
      <c r="A552" s="16">
        <f>Place_data_here!A552</f>
        <v>0</v>
      </c>
      <c r="B552" s="4" t="e">
        <f t="shared" si="8"/>
        <v>#VALUE!</v>
      </c>
      <c r="C552" s="1" t="e">
        <f>SplineInterp(A552,Own_Spectrum_250cm!$U$2:$U$34,Own_Spectrum_250cm!$V$2:$V$34)*D552</f>
        <v>#VALUE!</v>
      </c>
      <c r="D552" s="13">
        <f>Place_data_here!B552</f>
        <v>0</v>
      </c>
    </row>
    <row r="553" spans="1:4" x14ac:dyDescent="0.25">
      <c r="A553" s="16">
        <f>Place_data_here!A553</f>
        <v>0</v>
      </c>
      <c r="B553" s="4" t="e">
        <f t="shared" si="8"/>
        <v>#VALUE!</v>
      </c>
      <c r="C553" s="1" t="e">
        <f>SplineInterp(A553,Own_Spectrum_250cm!$U$2:$U$34,Own_Spectrum_250cm!$V$2:$V$34)*D553</f>
        <v>#VALUE!</v>
      </c>
      <c r="D553" s="13">
        <f>Place_data_here!B553</f>
        <v>0</v>
      </c>
    </row>
    <row r="554" spans="1:4" x14ac:dyDescent="0.25">
      <c r="A554" s="16">
        <f>Place_data_here!A554</f>
        <v>0</v>
      </c>
      <c r="B554" s="4" t="e">
        <f t="shared" si="8"/>
        <v>#VALUE!</v>
      </c>
      <c r="C554" s="1" t="e">
        <f>SplineInterp(A554,Own_Spectrum_250cm!$U$2:$U$34,Own_Spectrum_250cm!$V$2:$V$34)*D554</f>
        <v>#VALUE!</v>
      </c>
      <c r="D554" s="13">
        <f>Place_data_here!B554</f>
        <v>0</v>
      </c>
    </row>
    <row r="555" spans="1:4" x14ac:dyDescent="0.25">
      <c r="A555" s="16">
        <f>Place_data_here!A555</f>
        <v>0</v>
      </c>
      <c r="B555" s="4" t="e">
        <f t="shared" si="8"/>
        <v>#VALUE!</v>
      </c>
      <c r="C555" s="1" t="e">
        <f>SplineInterp(A555,Own_Spectrum_250cm!$U$2:$U$34,Own_Spectrum_250cm!$V$2:$V$34)*D555</f>
        <v>#VALUE!</v>
      </c>
      <c r="D555" s="13">
        <f>Place_data_here!B555</f>
        <v>0</v>
      </c>
    </row>
    <row r="556" spans="1:4" x14ac:dyDescent="0.25">
      <c r="A556" s="16">
        <f>Place_data_here!A556</f>
        <v>0</v>
      </c>
      <c r="B556" s="4" t="e">
        <f t="shared" si="8"/>
        <v>#VALUE!</v>
      </c>
      <c r="C556" s="1" t="e">
        <f>SplineInterp(A556,Own_Spectrum_250cm!$U$2:$U$34,Own_Spectrum_250cm!$V$2:$V$34)*D556</f>
        <v>#VALUE!</v>
      </c>
      <c r="D556" s="13">
        <f>Place_data_here!B556</f>
        <v>0</v>
      </c>
    </row>
    <row r="557" spans="1:4" x14ac:dyDescent="0.25">
      <c r="A557" s="16">
        <f>Place_data_here!A557</f>
        <v>0</v>
      </c>
      <c r="B557" s="4" t="e">
        <f t="shared" si="8"/>
        <v>#VALUE!</v>
      </c>
      <c r="C557" s="1" t="e">
        <f>SplineInterp(A557,Own_Spectrum_250cm!$U$2:$U$34,Own_Spectrum_250cm!$V$2:$V$34)*D557</f>
        <v>#VALUE!</v>
      </c>
      <c r="D557" s="13">
        <f>Place_data_here!B557</f>
        <v>0</v>
      </c>
    </row>
    <row r="558" spans="1:4" x14ac:dyDescent="0.25">
      <c r="A558" s="16">
        <f>Place_data_here!A558</f>
        <v>0</v>
      </c>
      <c r="B558" s="4" t="e">
        <f t="shared" si="8"/>
        <v>#VALUE!</v>
      </c>
      <c r="C558" s="1" t="e">
        <f>SplineInterp(A558,Own_Spectrum_250cm!$U$2:$U$34,Own_Spectrum_250cm!$V$2:$V$34)*D558</f>
        <v>#VALUE!</v>
      </c>
      <c r="D558" s="13">
        <f>Place_data_here!B558</f>
        <v>0</v>
      </c>
    </row>
    <row r="559" spans="1:4" x14ac:dyDescent="0.25">
      <c r="A559" s="16">
        <f>Place_data_here!A559</f>
        <v>0</v>
      </c>
      <c r="B559" s="4" t="e">
        <f t="shared" si="8"/>
        <v>#VALUE!</v>
      </c>
      <c r="C559" s="1" t="e">
        <f>SplineInterp(A559,Own_Spectrum_250cm!$U$2:$U$34,Own_Spectrum_250cm!$V$2:$V$34)*D559</f>
        <v>#VALUE!</v>
      </c>
      <c r="D559" s="13">
        <f>Place_data_here!B559</f>
        <v>0</v>
      </c>
    </row>
    <row r="560" spans="1:4" x14ac:dyDescent="0.25">
      <c r="A560" s="16">
        <f>Place_data_here!A560</f>
        <v>0</v>
      </c>
      <c r="B560" s="4" t="e">
        <f t="shared" si="8"/>
        <v>#VALUE!</v>
      </c>
      <c r="C560" s="1" t="e">
        <f>SplineInterp(A560,Own_Spectrum_250cm!$U$2:$U$34,Own_Spectrum_250cm!$V$2:$V$34)*D560</f>
        <v>#VALUE!</v>
      </c>
      <c r="D560" s="13">
        <f>Place_data_here!B560</f>
        <v>0</v>
      </c>
    </row>
    <row r="561" spans="1:4" x14ac:dyDescent="0.25">
      <c r="A561" s="16">
        <f>Place_data_here!A561</f>
        <v>0</v>
      </c>
      <c r="B561" s="4" t="e">
        <f t="shared" si="8"/>
        <v>#VALUE!</v>
      </c>
      <c r="C561" s="1" t="e">
        <f>SplineInterp(A561,Own_Spectrum_250cm!$U$2:$U$34,Own_Spectrum_250cm!$V$2:$V$34)*D561</f>
        <v>#VALUE!</v>
      </c>
      <c r="D561" s="13">
        <f>Place_data_here!B561</f>
        <v>0</v>
      </c>
    </row>
    <row r="562" spans="1:4" x14ac:dyDescent="0.25">
      <c r="A562" s="16">
        <f>Place_data_here!A562</f>
        <v>0</v>
      </c>
      <c r="B562" s="4" t="e">
        <f t="shared" si="8"/>
        <v>#VALUE!</v>
      </c>
      <c r="C562" s="1" t="e">
        <f>SplineInterp(A562,Own_Spectrum_250cm!$U$2:$U$34,Own_Spectrum_250cm!$V$2:$V$34)*D562</f>
        <v>#VALUE!</v>
      </c>
      <c r="D562" s="13">
        <f>Place_data_here!B562</f>
        <v>0</v>
      </c>
    </row>
    <row r="563" spans="1:4" x14ac:dyDescent="0.25">
      <c r="A563" s="16">
        <f>Place_data_here!A563</f>
        <v>0</v>
      </c>
      <c r="B563" s="4" t="e">
        <f t="shared" si="8"/>
        <v>#VALUE!</v>
      </c>
      <c r="C563" s="1" t="e">
        <f>SplineInterp(A563,Own_Spectrum_250cm!$U$2:$U$34,Own_Spectrum_250cm!$V$2:$V$34)*D563</f>
        <v>#VALUE!</v>
      </c>
      <c r="D563" s="13">
        <f>Place_data_here!B563</f>
        <v>0</v>
      </c>
    </row>
    <row r="564" spans="1:4" x14ac:dyDescent="0.25">
      <c r="A564" s="16">
        <f>Place_data_here!A564</f>
        <v>0</v>
      </c>
      <c r="B564" s="4" t="e">
        <f t="shared" si="8"/>
        <v>#VALUE!</v>
      </c>
      <c r="C564" s="1" t="e">
        <f>SplineInterp(A564,Own_Spectrum_250cm!$U$2:$U$34,Own_Spectrum_250cm!$V$2:$V$34)*D564</f>
        <v>#VALUE!</v>
      </c>
      <c r="D564" s="13">
        <f>Place_data_here!B564</f>
        <v>0</v>
      </c>
    </row>
    <row r="565" spans="1:4" x14ac:dyDescent="0.25">
      <c r="A565" s="16">
        <f>Place_data_here!A565</f>
        <v>0</v>
      </c>
      <c r="B565" s="4" t="e">
        <f t="shared" si="8"/>
        <v>#VALUE!</v>
      </c>
      <c r="C565" s="1" t="e">
        <f>SplineInterp(A565,Own_Spectrum_250cm!$U$2:$U$34,Own_Spectrum_250cm!$V$2:$V$34)*D565</f>
        <v>#VALUE!</v>
      </c>
      <c r="D565" s="13">
        <f>Place_data_here!B565</f>
        <v>0</v>
      </c>
    </row>
    <row r="566" spans="1:4" x14ac:dyDescent="0.25">
      <c r="A566" s="16">
        <f>Place_data_here!A566</f>
        <v>0</v>
      </c>
      <c r="B566" s="4" t="e">
        <f t="shared" si="8"/>
        <v>#VALUE!</v>
      </c>
      <c r="C566" s="1" t="e">
        <f>SplineInterp(A566,Own_Spectrum_250cm!$U$2:$U$34,Own_Spectrum_250cm!$V$2:$V$34)*D566</f>
        <v>#VALUE!</v>
      </c>
      <c r="D566" s="13">
        <f>Place_data_here!B566</f>
        <v>0</v>
      </c>
    </row>
    <row r="567" spans="1:4" x14ac:dyDescent="0.25">
      <c r="A567" s="16">
        <f>Place_data_here!A567</f>
        <v>0</v>
      </c>
      <c r="B567" s="4" t="e">
        <f t="shared" si="8"/>
        <v>#VALUE!</v>
      </c>
      <c r="C567" s="1" t="e">
        <f>SplineInterp(A567,Own_Spectrum_250cm!$U$2:$U$34,Own_Spectrum_250cm!$V$2:$V$34)*D567</f>
        <v>#VALUE!</v>
      </c>
      <c r="D567" s="13">
        <f>Place_data_here!B567</f>
        <v>0</v>
      </c>
    </row>
    <row r="568" spans="1:4" x14ac:dyDescent="0.25">
      <c r="A568" s="16">
        <f>Place_data_here!A568</f>
        <v>0</v>
      </c>
      <c r="B568" s="4" t="e">
        <f t="shared" si="8"/>
        <v>#VALUE!</v>
      </c>
      <c r="C568" s="1" t="e">
        <f>SplineInterp(A568,Own_Spectrum_250cm!$U$2:$U$34,Own_Spectrum_250cm!$V$2:$V$34)*D568</f>
        <v>#VALUE!</v>
      </c>
      <c r="D568" s="13">
        <f>Place_data_here!B568</f>
        <v>0</v>
      </c>
    </row>
    <row r="569" spans="1:4" x14ac:dyDescent="0.25">
      <c r="A569" s="16">
        <f>Place_data_here!A569</f>
        <v>0</v>
      </c>
      <c r="B569" s="4" t="e">
        <f t="shared" si="8"/>
        <v>#VALUE!</v>
      </c>
      <c r="C569" s="1" t="e">
        <f>SplineInterp(A569,Own_Spectrum_250cm!$U$2:$U$34,Own_Spectrum_250cm!$V$2:$V$34)*D569</f>
        <v>#VALUE!</v>
      </c>
      <c r="D569" s="13">
        <f>Place_data_here!B569</f>
        <v>0</v>
      </c>
    </row>
    <row r="570" spans="1:4" x14ac:dyDescent="0.25">
      <c r="A570" s="16">
        <f>Place_data_here!A570</f>
        <v>0</v>
      </c>
      <c r="B570" s="4" t="e">
        <f t="shared" si="8"/>
        <v>#VALUE!</v>
      </c>
      <c r="C570" s="1" t="e">
        <f>SplineInterp(A570,Own_Spectrum_250cm!$U$2:$U$34,Own_Spectrum_250cm!$V$2:$V$34)*D570</f>
        <v>#VALUE!</v>
      </c>
      <c r="D570" s="13">
        <f>Place_data_here!B570</f>
        <v>0</v>
      </c>
    </row>
    <row r="571" spans="1:4" x14ac:dyDescent="0.25">
      <c r="A571" s="16">
        <f>Place_data_here!A571</f>
        <v>0</v>
      </c>
      <c r="B571" s="4" t="e">
        <f t="shared" si="8"/>
        <v>#VALUE!</v>
      </c>
      <c r="C571" s="1" t="e">
        <f>SplineInterp(A571,Own_Spectrum_250cm!$U$2:$U$34,Own_Spectrum_250cm!$V$2:$V$34)*D571</f>
        <v>#VALUE!</v>
      </c>
      <c r="D571" s="13">
        <f>Place_data_here!B571</f>
        <v>0</v>
      </c>
    </row>
    <row r="572" spans="1:4" x14ac:dyDescent="0.25">
      <c r="A572" s="16">
        <f>Place_data_here!A572</f>
        <v>0</v>
      </c>
      <c r="B572" s="4" t="e">
        <f t="shared" si="8"/>
        <v>#VALUE!</v>
      </c>
      <c r="C572" s="1" t="e">
        <f>SplineInterp(A572,Own_Spectrum_250cm!$U$2:$U$34,Own_Spectrum_250cm!$V$2:$V$34)*D572</f>
        <v>#VALUE!</v>
      </c>
      <c r="D572" s="13">
        <f>Place_data_here!B572</f>
        <v>0</v>
      </c>
    </row>
    <row r="573" spans="1:4" x14ac:dyDescent="0.25">
      <c r="A573" s="16">
        <f>Place_data_here!A573</f>
        <v>0</v>
      </c>
      <c r="B573" s="4" t="e">
        <f t="shared" si="8"/>
        <v>#VALUE!</v>
      </c>
      <c r="C573" s="1" t="e">
        <f>SplineInterp(A573,Own_Spectrum_250cm!$U$2:$U$34,Own_Spectrum_250cm!$V$2:$V$34)*D573</f>
        <v>#VALUE!</v>
      </c>
      <c r="D573" s="13">
        <f>Place_data_here!B573</f>
        <v>0</v>
      </c>
    </row>
    <row r="574" spans="1:4" x14ac:dyDescent="0.25">
      <c r="A574" s="16">
        <f>Place_data_here!A574</f>
        <v>0</v>
      </c>
      <c r="B574" s="4" t="e">
        <f t="shared" si="8"/>
        <v>#VALUE!</v>
      </c>
      <c r="C574" s="1" t="e">
        <f>SplineInterp(A574,Own_Spectrum_250cm!$U$2:$U$34,Own_Spectrum_250cm!$V$2:$V$34)*D574</f>
        <v>#VALUE!</v>
      </c>
      <c r="D574" s="13">
        <f>Place_data_here!B574</f>
        <v>0</v>
      </c>
    </row>
    <row r="575" spans="1:4" x14ac:dyDescent="0.25">
      <c r="A575" s="16">
        <f>Place_data_here!A575</f>
        <v>0</v>
      </c>
      <c r="B575" s="4" t="e">
        <f t="shared" si="8"/>
        <v>#VALUE!</v>
      </c>
      <c r="C575" s="1" t="e">
        <f>SplineInterp(A575,Own_Spectrum_250cm!$U$2:$U$34,Own_Spectrum_250cm!$V$2:$V$34)*D575</f>
        <v>#VALUE!</v>
      </c>
      <c r="D575" s="13">
        <f>Place_data_here!B575</f>
        <v>0</v>
      </c>
    </row>
    <row r="576" spans="1:4" x14ac:dyDescent="0.25">
      <c r="A576" s="16">
        <f>Place_data_here!A576</f>
        <v>0</v>
      </c>
      <c r="B576" s="4" t="e">
        <f t="shared" si="8"/>
        <v>#VALUE!</v>
      </c>
      <c r="C576" s="1" t="e">
        <f>SplineInterp(A576,Own_Spectrum_250cm!$U$2:$U$34,Own_Spectrum_250cm!$V$2:$V$34)*D576</f>
        <v>#VALUE!</v>
      </c>
      <c r="D576" s="13">
        <f>Place_data_here!B576</f>
        <v>0</v>
      </c>
    </row>
    <row r="577" spans="1:4" x14ac:dyDescent="0.25">
      <c r="A577" s="16">
        <f>Place_data_here!A577</f>
        <v>0</v>
      </c>
      <c r="B577" s="4" t="e">
        <f t="shared" si="8"/>
        <v>#VALUE!</v>
      </c>
      <c r="C577" s="1" t="e">
        <f>SplineInterp(A577,Own_Spectrum_250cm!$U$2:$U$34,Own_Spectrum_250cm!$V$2:$V$34)*D577</f>
        <v>#VALUE!</v>
      </c>
      <c r="D577" s="13">
        <f>Place_data_here!B577</f>
        <v>0</v>
      </c>
    </row>
    <row r="578" spans="1:4" x14ac:dyDescent="0.25">
      <c r="A578" s="16">
        <f>Place_data_here!A578</f>
        <v>0</v>
      </c>
      <c r="B578" s="4" t="e">
        <f t="shared" si="8"/>
        <v>#VALUE!</v>
      </c>
      <c r="C578" s="1" t="e">
        <f>SplineInterp(A578,Own_Spectrum_250cm!$U$2:$U$34,Own_Spectrum_250cm!$V$2:$V$34)*D578</f>
        <v>#VALUE!</v>
      </c>
      <c r="D578" s="13">
        <f>Place_data_here!B578</f>
        <v>0</v>
      </c>
    </row>
    <row r="579" spans="1:4" x14ac:dyDescent="0.25">
      <c r="A579" s="16">
        <f>Place_data_here!A579</f>
        <v>0</v>
      </c>
      <c r="B579" s="4" t="e">
        <f t="shared" ref="B579:B642" si="9">C579/$C$1028</f>
        <v>#VALUE!</v>
      </c>
      <c r="C579" s="1" t="e">
        <f>SplineInterp(A579,Own_Spectrum_250cm!$U$2:$U$34,Own_Spectrum_250cm!$V$2:$V$34)*D579</f>
        <v>#VALUE!</v>
      </c>
      <c r="D579" s="13">
        <f>Place_data_here!B579</f>
        <v>0</v>
      </c>
    </row>
    <row r="580" spans="1:4" x14ac:dyDescent="0.25">
      <c r="A580" s="16">
        <f>Place_data_here!A580</f>
        <v>0</v>
      </c>
      <c r="B580" s="4" t="e">
        <f t="shared" si="9"/>
        <v>#VALUE!</v>
      </c>
      <c r="C580" s="1" t="e">
        <f>SplineInterp(A580,Own_Spectrum_250cm!$U$2:$U$34,Own_Spectrum_250cm!$V$2:$V$34)*D580</f>
        <v>#VALUE!</v>
      </c>
      <c r="D580" s="13">
        <f>Place_data_here!B580</f>
        <v>0</v>
      </c>
    </row>
    <row r="581" spans="1:4" x14ac:dyDescent="0.25">
      <c r="A581" s="16">
        <f>Place_data_here!A581</f>
        <v>0</v>
      </c>
      <c r="B581" s="4" t="e">
        <f t="shared" si="9"/>
        <v>#VALUE!</v>
      </c>
      <c r="C581" s="1" t="e">
        <f>SplineInterp(A581,Own_Spectrum_250cm!$U$2:$U$34,Own_Spectrum_250cm!$V$2:$V$34)*D581</f>
        <v>#VALUE!</v>
      </c>
      <c r="D581" s="13">
        <f>Place_data_here!B581</f>
        <v>0</v>
      </c>
    </row>
    <row r="582" spans="1:4" x14ac:dyDescent="0.25">
      <c r="A582" s="16">
        <f>Place_data_here!A582</f>
        <v>0</v>
      </c>
      <c r="B582" s="4" t="e">
        <f t="shared" si="9"/>
        <v>#VALUE!</v>
      </c>
      <c r="C582" s="1" t="e">
        <f>SplineInterp(A582,Own_Spectrum_250cm!$U$2:$U$34,Own_Spectrum_250cm!$V$2:$V$34)*D582</f>
        <v>#VALUE!</v>
      </c>
      <c r="D582" s="13">
        <f>Place_data_here!B582</f>
        <v>0</v>
      </c>
    </row>
    <row r="583" spans="1:4" x14ac:dyDescent="0.25">
      <c r="A583" s="16">
        <f>Place_data_here!A583</f>
        <v>0</v>
      </c>
      <c r="B583" s="4" t="e">
        <f t="shared" si="9"/>
        <v>#VALUE!</v>
      </c>
      <c r="C583" s="1" t="e">
        <f>SplineInterp(A583,Own_Spectrum_250cm!$U$2:$U$34,Own_Spectrum_250cm!$V$2:$V$34)*D583</f>
        <v>#VALUE!</v>
      </c>
      <c r="D583" s="13">
        <f>Place_data_here!B583</f>
        <v>0</v>
      </c>
    </row>
    <row r="584" spans="1:4" x14ac:dyDescent="0.25">
      <c r="A584" s="16">
        <f>Place_data_here!A584</f>
        <v>0</v>
      </c>
      <c r="B584" s="4" t="e">
        <f t="shared" si="9"/>
        <v>#VALUE!</v>
      </c>
      <c r="C584" s="1" t="e">
        <f>SplineInterp(A584,Own_Spectrum_250cm!$U$2:$U$34,Own_Spectrum_250cm!$V$2:$V$34)*D584</f>
        <v>#VALUE!</v>
      </c>
      <c r="D584" s="13">
        <f>Place_data_here!B584</f>
        <v>0</v>
      </c>
    </row>
    <row r="585" spans="1:4" x14ac:dyDescent="0.25">
      <c r="A585" s="16">
        <f>Place_data_here!A585</f>
        <v>0</v>
      </c>
      <c r="B585" s="4" t="e">
        <f t="shared" si="9"/>
        <v>#VALUE!</v>
      </c>
      <c r="C585" s="1" t="e">
        <f>SplineInterp(A585,Own_Spectrum_250cm!$U$2:$U$34,Own_Spectrum_250cm!$V$2:$V$34)*D585</f>
        <v>#VALUE!</v>
      </c>
      <c r="D585" s="13">
        <f>Place_data_here!B585</f>
        <v>0</v>
      </c>
    </row>
    <row r="586" spans="1:4" x14ac:dyDescent="0.25">
      <c r="A586" s="16">
        <f>Place_data_here!A586</f>
        <v>0</v>
      </c>
      <c r="B586" s="4" t="e">
        <f t="shared" si="9"/>
        <v>#VALUE!</v>
      </c>
      <c r="C586" s="1" t="e">
        <f>SplineInterp(A586,Own_Spectrum_250cm!$U$2:$U$34,Own_Spectrum_250cm!$V$2:$V$34)*D586</f>
        <v>#VALUE!</v>
      </c>
      <c r="D586" s="13">
        <f>Place_data_here!B586</f>
        <v>0</v>
      </c>
    </row>
    <row r="587" spans="1:4" x14ac:dyDescent="0.25">
      <c r="A587" s="16">
        <f>Place_data_here!A587</f>
        <v>0</v>
      </c>
      <c r="B587" s="4" t="e">
        <f t="shared" si="9"/>
        <v>#VALUE!</v>
      </c>
      <c r="C587" s="1" t="e">
        <f>SplineInterp(A587,Own_Spectrum_250cm!$U$2:$U$34,Own_Spectrum_250cm!$V$2:$V$34)*D587</f>
        <v>#VALUE!</v>
      </c>
      <c r="D587" s="13">
        <f>Place_data_here!B587</f>
        <v>0</v>
      </c>
    </row>
    <row r="588" spans="1:4" x14ac:dyDescent="0.25">
      <c r="A588" s="16">
        <f>Place_data_here!A588</f>
        <v>0</v>
      </c>
      <c r="B588" s="4" t="e">
        <f t="shared" si="9"/>
        <v>#VALUE!</v>
      </c>
      <c r="C588" s="1" t="e">
        <f>SplineInterp(A588,Own_Spectrum_250cm!$U$2:$U$34,Own_Spectrum_250cm!$V$2:$V$34)*D588</f>
        <v>#VALUE!</v>
      </c>
      <c r="D588" s="13">
        <f>Place_data_here!B588</f>
        <v>0</v>
      </c>
    </row>
    <row r="589" spans="1:4" x14ac:dyDescent="0.25">
      <c r="A589" s="16">
        <f>Place_data_here!A589</f>
        <v>0</v>
      </c>
      <c r="B589" s="4" t="e">
        <f t="shared" si="9"/>
        <v>#VALUE!</v>
      </c>
      <c r="C589" s="1" t="e">
        <f>SplineInterp(A589,Own_Spectrum_250cm!$U$2:$U$34,Own_Spectrum_250cm!$V$2:$V$34)*D589</f>
        <v>#VALUE!</v>
      </c>
      <c r="D589" s="13">
        <f>Place_data_here!B589</f>
        <v>0</v>
      </c>
    </row>
    <row r="590" spans="1:4" x14ac:dyDescent="0.25">
      <c r="A590" s="16">
        <f>Place_data_here!A590</f>
        <v>0</v>
      </c>
      <c r="B590" s="4" t="e">
        <f t="shared" si="9"/>
        <v>#VALUE!</v>
      </c>
      <c r="C590" s="1" t="e">
        <f>SplineInterp(A590,Own_Spectrum_250cm!$U$2:$U$34,Own_Spectrum_250cm!$V$2:$V$34)*D590</f>
        <v>#VALUE!</v>
      </c>
      <c r="D590" s="13">
        <f>Place_data_here!B590</f>
        <v>0</v>
      </c>
    </row>
    <row r="591" spans="1:4" x14ac:dyDescent="0.25">
      <c r="A591" s="16">
        <f>Place_data_here!A591</f>
        <v>0</v>
      </c>
      <c r="B591" s="4" t="e">
        <f t="shared" si="9"/>
        <v>#VALUE!</v>
      </c>
      <c r="C591" s="1" t="e">
        <f>SplineInterp(A591,Own_Spectrum_250cm!$U$2:$U$34,Own_Spectrum_250cm!$V$2:$V$34)*D591</f>
        <v>#VALUE!</v>
      </c>
      <c r="D591" s="13">
        <f>Place_data_here!B591</f>
        <v>0</v>
      </c>
    </row>
    <row r="592" spans="1:4" x14ac:dyDescent="0.25">
      <c r="A592" s="16">
        <f>Place_data_here!A592</f>
        <v>0</v>
      </c>
      <c r="B592" s="4" t="e">
        <f t="shared" si="9"/>
        <v>#VALUE!</v>
      </c>
      <c r="C592" s="1" t="e">
        <f>SplineInterp(A592,Own_Spectrum_250cm!$U$2:$U$34,Own_Spectrum_250cm!$V$2:$V$34)*D592</f>
        <v>#VALUE!</v>
      </c>
      <c r="D592" s="13">
        <f>Place_data_here!B592</f>
        <v>0</v>
      </c>
    </row>
    <row r="593" spans="1:4" x14ac:dyDescent="0.25">
      <c r="A593" s="16">
        <f>Place_data_here!A593</f>
        <v>0</v>
      </c>
      <c r="B593" s="4" t="e">
        <f t="shared" si="9"/>
        <v>#VALUE!</v>
      </c>
      <c r="C593" s="1" t="e">
        <f>SplineInterp(A593,Own_Spectrum_250cm!$U$2:$U$34,Own_Spectrum_250cm!$V$2:$V$34)*D593</f>
        <v>#VALUE!</v>
      </c>
      <c r="D593" s="13">
        <f>Place_data_here!B593</f>
        <v>0</v>
      </c>
    </row>
    <row r="594" spans="1:4" x14ac:dyDescent="0.25">
      <c r="A594" s="16">
        <f>Place_data_here!A594</f>
        <v>0</v>
      </c>
      <c r="B594" s="4" t="e">
        <f t="shared" si="9"/>
        <v>#VALUE!</v>
      </c>
      <c r="C594" s="1" t="e">
        <f>SplineInterp(A594,Own_Spectrum_250cm!$U$2:$U$34,Own_Spectrum_250cm!$V$2:$V$34)*D594</f>
        <v>#VALUE!</v>
      </c>
      <c r="D594" s="13">
        <f>Place_data_here!B594</f>
        <v>0</v>
      </c>
    </row>
    <row r="595" spans="1:4" x14ac:dyDescent="0.25">
      <c r="A595" s="16">
        <f>Place_data_here!A595</f>
        <v>0</v>
      </c>
      <c r="B595" s="4" t="e">
        <f t="shared" si="9"/>
        <v>#VALUE!</v>
      </c>
      <c r="C595" s="1" t="e">
        <f>SplineInterp(A595,Own_Spectrum_250cm!$U$2:$U$34,Own_Spectrum_250cm!$V$2:$V$34)*D595</f>
        <v>#VALUE!</v>
      </c>
      <c r="D595" s="13">
        <f>Place_data_here!B595</f>
        <v>0</v>
      </c>
    </row>
    <row r="596" spans="1:4" x14ac:dyDescent="0.25">
      <c r="A596" s="16">
        <f>Place_data_here!A596</f>
        <v>0</v>
      </c>
      <c r="B596" s="4" t="e">
        <f t="shared" si="9"/>
        <v>#VALUE!</v>
      </c>
      <c r="C596" s="1" t="e">
        <f>SplineInterp(A596,Own_Spectrum_250cm!$U$2:$U$34,Own_Spectrum_250cm!$V$2:$V$34)*D596</f>
        <v>#VALUE!</v>
      </c>
      <c r="D596" s="13">
        <f>Place_data_here!B596</f>
        <v>0</v>
      </c>
    </row>
    <row r="597" spans="1:4" x14ac:dyDescent="0.25">
      <c r="A597" s="16">
        <f>Place_data_here!A597</f>
        <v>0</v>
      </c>
      <c r="B597" s="4" t="e">
        <f t="shared" si="9"/>
        <v>#VALUE!</v>
      </c>
      <c r="C597" s="1" t="e">
        <f>SplineInterp(A597,Own_Spectrum_250cm!$U$2:$U$34,Own_Spectrum_250cm!$V$2:$V$34)*D597</f>
        <v>#VALUE!</v>
      </c>
      <c r="D597" s="13">
        <f>Place_data_here!B597</f>
        <v>0</v>
      </c>
    </row>
    <row r="598" spans="1:4" x14ac:dyDescent="0.25">
      <c r="A598" s="16">
        <f>Place_data_here!A598</f>
        <v>0</v>
      </c>
      <c r="B598" s="4" t="e">
        <f t="shared" si="9"/>
        <v>#VALUE!</v>
      </c>
      <c r="C598" s="1" t="e">
        <f>SplineInterp(A598,Own_Spectrum_250cm!$U$2:$U$34,Own_Spectrum_250cm!$V$2:$V$34)*D598</f>
        <v>#VALUE!</v>
      </c>
      <c r="D598" s="13">
        <f>Place_data_here!B598</f>
        <v>0</v>
      </c>
    </row>
    <row r="599" spans="1:4" x14ac:dyDescent="0.25">
      <c r="A599" s="16">
        <f>Place_data_here!A599</f>
        <v>0</v>
      </c>
      <c r="B599" s="4" t="e">
        <f t="shared" si="9"/>
        <v>#VALUE!</v>
      </c>
      <c r="C599" s="1" t="e">
        <f>SplineInterp(A599,Own_Spectrum_250cm!$U$2:$U$34,Own_Spectrum_250cm!$V$2:$V$34)*D599</f>
        <v>#VALUE!</v>
      </c>
      <c r="D599" s="13">
        <f>Place_data_here!B599</f>
        <v>0</v>
      </c>
    </row>
    <row r="600" spans="1:4" x14ac:dyDescent="0.25">
      <c r="A600" s="16">
        <f>Place_data_here!A600</f>
        <v>0</v>
      </c>
      <c r="B600" s="4" t="e">
        <f t="shared" si="9"/>
        <v>#VALUE!</v>
      </c>
      <c r="C600" s="1" t="e">
        <f>SplineInterp(A600,Own_Spectrum_250cm!$U$2:$U$34,Own_Spectrum_250cm!$V$2:$V$34)*D600</f>
        <v>#VALUE!</v>
      </c>
      <c r="D600" s="13">
        <f>Place_data_here!B600</f>
        <v>0</v>
      </c>
    </row>
    <row r="601" spans="1:4" x14ac:dyDescent="0.25">
      <c r="A601" s="16">
        <f>Place_data_here!A601</f>
        <v>0</v>
      </c>
      <c r="B601" s="4" t="e">
        <f t="shared" si="9"/>
        <v>#VALUE!</v>
      </c>
      <c r="C601" s="1" t="e">
        <f>SplineInterp(A601,Own_Spectrum_250cm!$U$2:$U$34,Own_Spectrum_250cm!$V$2:$V$34)*D601</f>
        <v>#VALUE!</v>
      </c>
      <c r="D601" s="13">
        <f>Place_data_here!B601</f>
        <v>0</v>
      </c>
    </row>
    <row r="602" spans="1:4" x14ac:dyDescent="0.25">
      <c r="A602" s="16">
        <f>Place_data_here!A602</f>
        <v>0</v>
      </c>
      <c r="B602" s="4" t="e">
        <f t="shared" si="9"/>
        <v>#VALUE!</v>
      </c>
      <c r="C602" s="1" t="e">
        <f>SplineInterp(A602,Own_Spectrum_250cm!$U$2:$U$34,Own_Spectrum_250cm!$V$2:$V$34)*D602</f>
        <v>#VALUE!</v>
      </c>
      <c r="D602" s="13">
        <f>Place_data_here!B602</f>
        <v>0</v>
      </c>
    </row>
    <row r="603" spans="1:4" x14ac:dyDescent="0.25">
      <c r="A603" s="16">
        <f>Place_data_here!A603</f>
        <v>0</v>
      </c>
      <c r="B603" s="4" t="e">
        <f t="shared" si="9"/>
        <v>#VALUE!</v>
      </c>
      <c r="C603" s="1" t="e">
        <f>SplineInterp(A603,Own_Spectrum_250cm!$U$2:$U$34,Own_Spectrum_250cm!$V$2:$V$34)*D603</f>
        <v>#VALUE!</v>
      </c>
      <c r="D603" s="13">
        <f>Place_data_here!B603</f>
        <v>0</v>
      </c>
    </row>
    <row r="604" spans="1:4" x14ac:dyDescent="0.25">
      <c r="A604" s="16">
        <f>Place_data_here!A604</f>
        <v>0</v>
      </c>
      <c r="B604" s="4" t="e">
        <f t="shared" si="9"/>
        <v>#VALUE!</v>
      </c>
      <c r="C604" s="1" t="e">
        <f>SplineInterp(A604,Own_Spectrum_250cm!$U$2:$U$34,Own_Spectrum_250cm!$V$2:$V$34)*D604</f>
        <v>#VALUE!</v>
      </c>
      <c r="D604" s="13">
        <f>Place_data_here!B604</f>
        <v>0</v>
      </c>
    </row>
    <row r="605" spans="1:4" x14ac:dyDescent="0.25">
      <c r="A605" s="16">
        <f>Place_data_here!A605</f>
        <v>0</v>
      </c>
      <c r="B605" s="4" t="e">
        <f t="shared" si="9"/>
        <v>#VALUE!</v>
      </c>
      <c r="C605" s="1" t="e">
        <f>SplineInterp(A605,Own_Spectrum_250cm!$U$2:$U$34,Own_Spectrum_250cm!$V$2:$V$34)*D605</f>
        <v>#VALUE!</v>
      </c>
      <c r="D605" s="13">
        <f>Place_data_here!B605</f>
        <v>0</v>
      </c>
    </row>
    <row r="606" spans="1:4" x14ac:dyDescent="0.25">
      <c r="A606" s="16">
        <f>Place_data_here!A606</f>
        <v>0</v>
      </c>
      <c r="B606" s="4" t="e">
        <f t="shared" si="9"/>
        <v>#VALUE!</v>
      </c>
      <c r="C606" s="1" t="e">
        <f>SplineInterp(A606,Own_Spectrum_250cm!$U$2:$U$34,Own_Spectrum_250cm!$V$2:$V$34)*D606</f>
        <v>#VALUE!</v>
      </c>
      <c r="D606" s="13">
        <f>Place_data_here!B606</f>
        <v>0</v>
      </c>
    </row>
    <row r="607" spans="1:4" x14ac:dyDescent="0.25">
      <c r="A607" s="16">
        <f>Place_data_here!A607</f>
        <v>0</v>
      </c>
      <c r="B607" s="4" t="e">
        <f t="shared" si="9"/>
        <v>#VALUE!</v>
      </c>
      <c r="C607" s="1" t="e">
        <f>SplineInterp(A607,Own_Spectrum_250cm!$U$2:$U$34,Own_Spectrum_250cm!$V$2:$V$34)*D607</f>
        <v>#VALUE!</v>
      </c>
      <c r="D607" s="13">
        <f>Place_data_here!B607</f>
        <v>0</v>
      </c>
    </row>
    <row r="608" spans="1:4" x14ac:dyDescent="0.25">
      <c r="A608" s="16">
        <f>Place_data_here!A608</f>
        <v>0</v>
      </c>
      <c r="B608" s="4" t="e">
        <f t="shared" si="9"/>
        <v>#VALUE!</v>
      </c>
      <c r="C608" s="1" t="e">
        <f>SplineInterp(A608,Own_Spectrum_250cm!$U$2:$U$34,Own_Spectrum_250cm!$V$2:$V$34)*D608</f>
        <v>#VALUE!</v>
      </c>
      <c r="D608" s="13">
        <f>Place_data_here!B608</f>
        <v>0</v>
      </c>
    </row>
    <row r="609" spans="1:4" x14ac:dyDescent="0.25">
      <c r="A609" s="16">
        <f>Place_data_here!A609</f>
        <v>0</v>
      </c>
      <c r="B609" s="4" t="e">
        <f t="shared" si="9"/>
        <v>#VALUE!</v>
      </c>
      <c r="C609" s="1" t="e">
        <f>SplineInterp(A609,Own_Spectrum_250cm!$U$2:$U$34,Own_Spectrum_250cm!$V$2:$V$34)*D609</f>
        <v>#VALUE!</v>
      </c>
      <c r="D609" s="13">
        <f>Place_data_here!B609</f>
        <v>0</v>
      </c>
    </row>
    <row r="610" spans="1:4" x14ac:dyDescent="0.25">
      <c r="A610" s="16">
        <f>Place_data_here!A610</f>
        <v>0</v>
      </c>
      <c r="B610" s="4" t="e">
        <f t="shared" si="9"/>
        <v>#VALUE!</v>
      </c>
      <c r="C610" s="1" t="e">
        <f>SplineInterp(A610,Own_Spectrum_250cm!$U$2:$U$34,Own_Spectrum_250cm!$V$2:$V$34)*D610</f>
        <v>#VALUE!</v>
      </c>
      <c r="D610" s="13">
        <f>Place_data_here!B610</f>
        <v>0</v>
      </c>
    </row>
    <row r="611" spans="1:4" x14ac:dyDescent="0.25">
      <c r="A611" s="16">
        <f>Place_data_here!A611</f>
        <v>0</v>
      </c>
      <c r="B611" s="4" t="e">
        <f t="shared" si="9"/>
        <v>#VALUE!</v>
      </c>
      <c r="C611" s="1" t="e">
        <f>SplineInterp(A611,Own_Spectrum_250cm!$U$2:$U$34,Own_Spectrum_250cm!$V$2:$V$34)*D611</f>
        <v>#VALUE!</v>
      </c>
      <c r="D611" s="13">
        <f>Place_data_here!B611</f>
        <v>0</v>
      </c>
    </row>
    <row r="612" spans="1:4" x14ac:dyDescent="0.25">
      <c r="A612" s="16">
        <f>Place_data_here!A612</f>
        <v>0</v>
      </c>
      <c r="B612" s="4" t="e">
        <f t="shared" si="9"/>
        <v>#VALUE!</v>
      </c>
      <c r="C612" s="1" t="e">
        <f>SplineInterp(A612,Own_Spectrum_250cm!$U$2:$U$34,Own_Spectrum_250cm!$V$2:$V$34)*D612</f>
        <v>#VALUE!</v>
      </c>
      <c r="D612" s="13">
        <f>Place_data_here!B612</f>
        <v>0</v>
      </c>
    </row>
    <row r="613" spans="1:4" x14ac:dyDescent="0.25">
      <c r="A613" s="16">
        <f>Place_data_here!A613</f>
        <v>0</v>
      </c>
      <c r="B613" s="4" t="e">
        <f t="shared" si="9"/>
        <v>#VALUE!</v>
      </c>
      <c r="C613" s="1" t="e">
        <f>SplineInterp(A613,Own_Spectrum_250cm!$U$2:$U$34,Own_Spectrum_250cm!$V$2:$V$34)*D613</f>
        <v>#VALUE!</v>
      </c>
      <c r="D613" s="13">
        <f>Place_data_here!B613</f>
        <v>0</v>
      </c>
    </row>
    <row r="614" spans="1:4" x14ac:dyDescent="0.25">
      <c r="A614" s="16">
        <f>Place_data_here!A614</f>
        <v>0</v>
      </c>
      <c r="B614" s="4" t="e">
        <f t="shared" si="9"/>
        <v>#VALUE!</v>
      </c>
      <c r="C614" s="1" t="e">
        <f>SplineInterp(A614,Own_Spectrum_250cm!$U$2:$U$34,Own_Spectrum_250cm!$V$2:$V$34)*D614</f>
        <v>#VALUE!</v>
      </c>
      <c r="D614" s="13">
        <f>Place_data_here!B614</f>
        <v>0</v>
      </c>
    </row>
    <row r="615" spans="1:4" x14ac:dyDescent="0.25">
      <c r="A615" s="16">
        <f>Place_data_here!A615</f>
        <v>0</v>
      </c>
      <c r="B615" s="4" t="e">
        <f t="shared" si="9"/>
        <v>#VALUE!</v>
      </c>
      <c r="C615" s="1" t="e">
        <f>SplineInterp(A615,Own_Spectrum_250cm!$U$2:$U$34,Own_Spectrum_250cm!$V$2:$V$34)*D615</f>
        <v>#VALUE!</v>
      </c>
      <c r="D615" s="13">
        <f>Place_data_here!B615</f>
        <v>0</v>
      </c>
    </row>
    <row r="616" spans="1:4" x14ac:dyDescent="0.25">
      <c r="A616" s="16">
        <f>Place_data_here!A616</f>
        <v>0</v>
      </c>
      <c r="B616" s="4" t="e">
        <f t="shared" si="9"/>
        <v>#VALUE!</v>
      </c>
      <c r="C616" s="1" t="e">
        <f>SplineInterp(A616,Own_Spectrum_250cm!$U$2:$U$34,Own_Spectrum_250cm!$V$2:$V$34)*D616</f>
        <v>#VALUE!</v>
      </c>
      <c r="D616" s="13">
        <f>Place_data_here!B616</f>
        <v>0</v>
      </c>
    </row>
    <row r="617" spans="1:4" x14ac:dyDescent="0.25">
      <c r="A617" s="16">
        <f>Place_data_here!A617</f>
        <v>0</v>
      </c>
      <c r="B617" s="4" t="e">
        <f t="shared" si="9"/>
        <v>#VALUE!</v>
      </c>
      <c r="C617" s="1" t="e">
        <f>SplineInterp(A617,Own_Spectrum_250cm!$U$2:$U$34,Own_Spectrum_250cm!$V$2:$V$34)*D617</f>
        <v>#VALUE!</v>
      </c>
      <c r="D617" s="13">
        <f>Place_data_here!B617</f>
        <v>0</v>
      </c>
    </row>
    <row r="618" spans="1:4" x14ac:dyDescent="0.25">
      <c r="A618" s="16">
        <f>Place_data_here!A618</f>
        <v>0</v>
      </c>
      <c r="B618" s="4" t="e">
        <f t="shared" si="9"/>
        <v>#VALUE!</v>
      </c>
      <c r="C618" s="1" t="e">
        <f>SplineInterp(A618,Own_Spectrum_250cm!$U$2:$U$34,Own_Spectrum_250cm!$V$2:$V$34)*D618</f>
        <v>#VALUE!</v>
      </c>
      <c r="D618" s="13">
        <f>Place_data_here!B618</f>
        <v>0</v>
      </c>
    </row>
    <row r="619" spans="1:4" x14ac:dyDescent="0.25">
      <c r="A619" s="16">
        <f>Place_data_here!A619</f>
        <v>0</v>
      </c>
      <c r="B619" s="4" t="e">
        <f t="shared" si="9"/>
        <v>#VALUE!</v>
      </c>
      <c r="C619" s="1" t="e">
        <f>SplineInterp(A619,Own_Spectrum_250cm!$U$2:$U$34,Own_Spectrum_250cm!$V$2:$V$34)*D619</f>
        <v>#VALUE!</v>
      </c>
      <c r="D619" s="13">
        <f>Place_data_here!B619</f>
        <v>0</v>
      </c>
    </row>
    <row r="620" spans="1:4" x14ac:dyDescent="0.25">
      <c r="A620" s="16">
        <f>Place_data_here!A620</f>
        <v>0</v>
      </c>
      <c r="B620" s="4" t="e">
        <f t="shared" si="9"/>
        <v>#VALUE!</v>
      </c>
      <c r="C620" s="1" t="e">
        <f>SplineInterp(A620,Own_Spectrum_250cm!$U$2:$U$34,Own_Spectrum_250cm!$V$2:$V$34)*D620</f>
        <v>#VALUE!</v>
      </c>
      <c r="D620" s="13">
        <f>Place_data_here!B620</f>
        <v>0</v>
      </c>
    </row>
    <row r="621" spans="1:4" x14ac:dyDescent="0.25">
      <c r="A621" s="16">
        <f>Place_data_here!A621</f>
        <v>0</v>
      </c>
      <c r="B621" s="4" t="e">
        <f t="shared" si="9"/>
        <v>#VALUE!</v>
      </c>
      <c r="C621" s="1" t="e">
        <f>SplineInterp(A621,Own_Spectrum_250cm!$U$2:$U$34,Own_Spectrum_250cm!$V$2:$V$34)*D621</f>
        <v>#VALUE!</v>
      </c>
      <c r="D621" s="13">
        <f>Place_data_here!B621</f>
        <v>0</v>
      </c>
    </row>
    <row r="622" spans="1:4" x14ac:dyDescent="0.25">
      <c r="A622" s="16">
        <f>Place_data_here!A622</f>
        <v>0</v>
      </c>
      <c r="B622" s="4" t="e">
        <f t="shared" si="9"/>
        <v>#VALUE!</v>
      </c>
      <c r="C622" s="1" t="e">
        <f>SplineInterp(A622,Own_Spectrum_250cm!$U$2:$U$34,Own_Spectrum_250cm!$V$2:$V$34)*D622</f>
        <v>#VALUE!</v>
      </c>
      <c r="D622" s="13">
        <f>Place_data_here!B622</f>
        <v>0</v>
      </c>
    </row>
    <row r="623" spans="1:4" x14ac:dyDescent="0.25">
      <c r="A623" s="16">
        <f>Place_data_here!A623</f>
        <v>0</v>
      </c>
      <c r="B623" s="4" t="e">
        <f t="shared" si="9"/>
        <v>#VALUE!</v>
      </c>
      <c r="C623" s="1" t="e">
        <f>SplineInterp(A623,Own_Spectrum_250cm!$U$2:$U$34,Own_Spectrum_250cm!$V$2:$V$34)*D623</f>
        <v>#VALUE!</v>
      </c>
      <c r="D623" s="13">
        <f>Place_data_here!B623</f>
        <v>0</v>
      </c>
    </row>
    <row r="624" spans="1:4" x14ac:dyDescent="0.25">
      <c r="A624" s="16">
        <f>Place_data_here!A624</f>
        <v>0</v>
      </c>
      <c r="B624" s="4" t="e">
        <f t="shared" si="9"/>
        <v>#VALUE!</v>
      </c>
      <c r="C624" s="1" t="e">
        <f>SplineInterp(A624,Own_Spectrum_250cm!$U$2:$U$34,Own_Spectrum_250cm!$V$2:$V$34)*D624</f>
        <v>#VALUE!</v>
      </c>
      <c r="D624" s="13">
        <f>Place_data_here!B624</f>
        <v>0</v>
      </c>
    </row>
    <row r="625" spans="1:4" x14ac:dyDescent="0.25">
      <c r="A625" s="16">
        <f>Place_data_here!A625</f>
        <v>0</v>
      </c>
      <c r="B625" s="4" t="e">
        <f t="shared" si="9"/>
        <v>#VALUE!</v>
      </c>
      <c r="C625" s="1" t="e">
        <f>SplineInterp(A625,Own_Spectrum_250cm!$U$2:$U$34,Own_Spectrum_250cm!$V$2:$V$34)*D625</f>
        <v>#VALUE!</v>
      </c>
      <c r="D625" s="13">
        <f>Place_data_here!B625</f>
        <v>0</v>
      </c>
    </row>
    <row r="626" spans="1:4" x14ac:dyDescent="0.25">
      <c r="A626" s="16">
        <f>Place_data_here!A626</f>
        <v>0</v>
      </c>
      <c r="B626" s="4" t="e">
        <f t="shared" si="9"/>
        <v>#VALUE!</v>
      </c>
      <c r="C626" s="1" t="e">
        <f>SplineInterp(A626,Own_Spectrum_250cm!$U$2:$U$34,Own_Spectrum_250cm!$V$2:$V$34)*D626</f>
        <v>#VALUE!</v>
      </c>
      <c r="D626" s="13">
        <f>Place_data_here!B626</f>
        <v>0</v>
      </c>
    </row>
    <row r="627" spans="1:4" x14ac:dyDescent="0.25">
      <c r="A627" s="16">
        <f>Place_data_here!A627</f>
        <v>0</v>
      </c>
      <c r="B627" s="4" t="e">
        <f t="shared" si="9"/>
        <v>#VALUE!</v>
      </c>
      <c r="C627" s="1" t="e">
        <f>SplineInterp(A627,Own_Spectrum_250cm!$U$2:$U$34,Own_Spectrum_250cm!$V$2:$V$34)*D627</f>
        <v>#VALUE!</v>
      </c>
      <c r="D627" s="13">
        <f>Place_data_here!B627</f>
        <v>0</v>
      </c>
    </row>
    <row r="628" spans="1:4" x14ac:dyDescent="0.25">
      <c r="A628" s="16">
        <f>Place_data_here!A628</f>
        <v>0</v>
      </c>
      <c r="B628" s="4" t="e">
        <f t="shared" si="9"/>
        <v>#VALUE!</v>
      </c>
      <c r="C628" s="1" t="e">
        <f>SplineInterp(A628,Own_Spectrum_250cm!$U$2:$U$34,Own_Spectrum_250cm!$V$2:$V$34)*D628</f>
        <v>#VALUE!</v>
      </c>
      <c r="D628" s="13">
        <f>Place_data_here!B628</f>
        <v>0</v>
      </c>
    </row>
    <row r="629" spans="1:4" x14ac:dyDescent="0.25">
      <c r="A629" s="16">
        <f>Place_data_here!A629</f>
        <v>0</v>
      </c>
      <c r="B629" s="4" t="e">
        <f t="shared" si="9"/>
        <v>#VALUE!</v>
      </c>
      <c r="C629" s="1" t="e">
        <f>SplineInterp(A629,Own_Spectrum_250cm!$U$2:$U$34,Own_Spectrum_250cm!$V$2:$V$34)*D629</f>
        <v>#VALUE!</v>
      </c>
      <c r="D629" s="13">
        <f>Place_data_here!B629</f>
        <v>0</v>
      </c>
    </row>
    <row r="630" spans="1:4" x14ac:dyDescent="0.25">
      <c r="A630" s="16">
        <f>Place_data_here!A630</f>
        <v>0</v>
      </c>
      <c r="B630" s="4" t="e">
        <f t="shared" si="9"/>
        <v>#VALUE!</v>
      </c>
      <c r="C630" s="1" t="e">
        <f>SplineInterp(A630,Own_Spectrum_250cm!$U$2:$U$34,Own_Spectrum_250cm!$V$2:$V$34)*D630</f>
        <v>#VALUE!</v>
      </c>
      <c r="D630" s="13">
        <f>Place_data_here!B630</f>
        <v>0</v>
      </c>
    </row>
    <row r="631" spans="1:4" x14ac:dyDescent="0.25">
      <c r="A631" s="16">
        <f>Place_data_here!A631</f>
        <v>0</v>
      </c>
      <c r="B631" s="4" t="e">
        <f t="shared" si="9"/>
        <v>#VALUE!</v>
      </c>
      <c r="C631" s="1" t="e">
        <f>SplineInterp(A631,Own_Spectrum_250cm!$U$2:$U$34,Own_Spectrum_250cm!$V$2:$V$34)*D631</f>
        <v>#VALUE!</v>
      </c>
      <c r="D631" s="13">
        <f>Place_data_here!B631</f>
        <v>0</v>
      </c>
    </row>
    <row r="632" spans="1:4" x14ac:dyDescent="0.25">
      <c r="A632" s="16">
        <f>Place_data_here!A632</f>
        <v>0</v>
      </c>
      <c r="B632" s="4" t="e">
        <f t="shared" si="9"/>
        <v>#VALUE!</v>
      </c>
      <c r="C632" s="1" t="e">
        <f>SplineInterp(A632,Own_Spectrum_250cm!$U$2:$U$34,Own_Spectrum_250cm!$V$2:$V$34)*D632</f>
        <v>#VALUE!</v>
      </c>
      <c r="D632" s="13">
        <f>Place_data_here!B632</f>
        <v>0</v>
      </c>
    </row>
    <row r="633" spans="1:4" x14ac:dyDescent="0.25">
      <c r="A633" s="16">
        <f>Place_data_here!A633</f>
        <v>0</v>
      </c>
      <c r="B633" s="4" t="e">
        <f t="shared" si="9"/>
        <v>#VALUE!</v>
      </c>
      <c r="C633" s="1" t="e">
        <f>SplineInterp(A633,Own_Spectrum_250cm!$U$2:$U$34,Own_Spectrum_250cm!$V$2:$V$34)*D633</f>
        <v>#VALUE!</v>
      </c>
      <c r="D633" s="13">
        <f>Place_data_here!B633</f>
        <v>0</v>
      </c>
    </row>
    <row r="634" spans="1:4" x14ac:dyDescent="0.25">
      <c r="A634" s="16">
        <f>Place_data_here!A634</f>
        <v>0</v>
      </c>
      <c r="B634" s="4" t="e">
        <f t="shared" si="9"/>
        <v>#VALUE!</v>
      </c>
      <c r="C634" s="1" t="e">
        <f>SplineInterp(A634,Own_Spectrum_250cm!$U$2:$U$34,Own_Spectrum_250cm!$V$2:$V$34)*D634</f>
        <v>#VALUE!</v>
      </c>
      <c r="D634" s="13">
        <f>Place_data_here!B634</f>
        <v>0</v>
      </c>
    </row>
    <row r="635" spans="1:4" x14ac:dyDescent="0.25">
      <c r="A635" s="16">
        <f>Place_data_here!A635</f>
        <v>0</v>
      </c>
      <c r="B635" s="4" t="e">
        <f t="shared" si="9"/>
        <v>#VALUE!</v>
      </c>
      <c r="C635" s="1" t="e">
        <f>SplineInterp(A635,Own_Spectrum_250cm!$U$2:$U$34,Own_Spectrum_250cm!$V$2:$V$34)*D635</f>
        <v>#VALUE!</v>
      </c>
      <c r="D635" s="13">
        <f>Place_data_here!B635</f>
        <v>0</v>
      </c>
    </row>
    <row r="636" spans="1:4" x14ac:dyDescent="0.25">
      <c r="A636" s="16">
        <f>Place_data_here!A636</f>
        <v>0</v>
      </c>
      <c r="B636" s="4" t="e">
        <f t="shared" si="9"/>
        <v>#VALUE!</v>
      </c>
      <c r="C636" s="1" t="e">
        <f>SplineInterp(A636,Own_Spectrum_250cm!$U$2:$U$34,Own_Spectrum_250cm!$V$2:$V$34)*D636</f>
        <v>#VALUE!</v>
      </c>
      <c r="D636" s="13">
        <f>Place_data_here!B636</f>
        <v>0</v>
      </c>
    </row>
    <row r="637" spans="1:4" x14ac:dyDescent="0.25">
      <c r="A637" s="16">
        <f>Place_data_here!A637</f>
        <v>0</v>
      </c>
      <c r="B637" s="4" t="e">
        <f t="shared" si="9"/>
        <v>#VALUE!</v>
      </c>
      <c r="C637" s="1" t="e">
        <f>SplineInterp(A637,Own_Spectrum_250cm!$U$2:$U$34,Own_Spectrum_250cm!$V$2:$V$34)*D637</f>
        <v>#VALUE!</v>
      </c>
      <c r="D637" s="13">
        <f>Place_data_here!B637</f>
        <v>0</v>
      </c>
    </row>
    <row r="638" spans="1:4" x14ac:dyDescent="0.25">
      <c r="A638" s="16">
        <f>Place_data_here!A638</f>
        <v>0</v>
      </c>
      <c r="B638" s="4" t="e">
        <f t="shared" si="9"/>
        <v>#VALUE!</v>
      </c>
      <c r="C638" s="1" t="e">
        <f>SplineInterp(A638,Own_Spectrum_250cm!$U$2:$U$34,Own_Spectrum_250cm!$V$2:$V$34)*D638</f>
        <v>#VALUE!</v>
      </c>
      <c r="D638" s="13">
        <f>Place_data_here!B638</f>
        <v>0</v>
      </c>
    </row>
    <row r="639" spans="1:4" x14ac:dyDescent="0.25">
      <c r="A639" s="16">
        <f>Place_data_here!A639</f>
        <v>0</v>
      </c>
      <c r="B639" s="4" t="e">
        <f t="shared" si="9"/>
        <v>#VALUE!</v>
      </c>
      <c r="C639" s="1" t="e">
        <f>SplineInterp(A639,Own_Spectrum_250cm!$U$2:$U$34,Own_Spectrum_250cm!$V$2:$V$34)*D639</f>
        <v>#VALUE!</v>
      </c>
      <c r="D639" s="13">
        <f>Place_data_here!B639</f>
        <v>0</v>
      </c>
    </row>
    <row r="640" spans="1:4" x14ac:dyDescent="0.25">
      <c r="A640" s="16">
        <f>Place_data_here!A640</f>
        <v>0</v>
      </c>
      <c r="B640" s="4" t="e">
        <f t="shared" si="9"/>
        <v>#VALUE!</v>
      </c>
      <c r="C640" s="1" t="e">
        <f>SplineInterp(A640,Own_Spectrum_250cm!$U$2:$U$34,Own_Spectrum_250cm!$V$2:$V$34)*D640</f>
        <v>#VALUE!</v>
      </c>
      <c r="D640" s="13">
        <f>Place_data_here!B640</f>
        <v>0</v>
      </c>
    </row>
    <row r="641" spans="1:4" x14ac:dyDescent="0.25">
      <c r="A641" s="16">
        <f>Place_data_here!A641</f>
        <v>0</v>
      </c>
      <c r="B641" s="4" t="e">
        <f t="shared" si="9"/>
        <v>#VALUE!</v>
      </c>
      <c r="C641" s="1" t="e">
        <f>SplineInterp(A641,Own_Spectrum_250cm!$U$2:$U$34,Own_Spectrum_250cm!$V$2:$V$34)*D641</f>
        <v>#VALUE!</v>
      </c>
      <c r="D641" s="13">
        <f>Place_data_here!B641</f>
        <v>0</v>
      </c>
    </row>
    <row r="642" spans="1:4" x14ac:dyDescent="0.25">
      <c r="A642" s="16">
        <f>Place_data_here!A642</f>
        <v>0</v>
      </c>
      <c r="B642" s="4" t="e">
        <f t="shared" si="9"/>
        <v>#VALUE!</v>
      </c>
      <c r="C642" s="1" t="e">
        <f>SplineInterp(A642,Own_Spectrum_250cm!$U$2:$U$34,Own_Spectrum_250cm!$V$2:$V$34)*D642</f>
        <v>#VALUE!</v>
      </c>
      <c r="D642" s="13">
        <f>Place_data_here!B642</f>
        <v>0</v>
      </c>
    </row>
    <row r="643" spans="1:4" x14ac:dyDescent="0.25">
      <c r="A643" s="16">
        <f>Place_data_here!A643</f>
        <v>0</v>
      </c>
      <c r="B643" s="4" t="e">
        <f t="shared" ref="B643:B706" si="10">C643/$C$1028</f>
        <v>#VALUE!</v>
      </c>
      <c r="C643" s="1" t="e">
        <f>SplineInterp(A643,Own_Spectrum_250cm!$U$2:$U$34,Own_Spectrum_250cm!$V$2:$V$34)*D643</f>
        <v>#VALUE!</v>
      </c>
      <c r="D643" s="13">
        <f>Place_data_here!B643</f>
        <v>0</v>
      </c>
    </row>
    <row r="644" spans="1:4" x14ac:dyDescent="0.25">
      <c r="A644" s="16">
        <f>Place_data_here!A644</f>
        <v>0</v>
      </c>
      <c r="B644" s="4" t="e">
        <f t="shared" si="10"/>
        <v>#VALUE!</v>
      </c>
      <c r="C644" s="1" t="e">
        <f>SplineInterp(A644,Own_Spectrum_250cm!$U$2:$U$34,Own_Spectrum_250cm!$V$2:$V$34)*D644</f>
        <v>#VALUE!</v>
      </c>
      <c r="D644" s="13">
        <f>Place_data_here!B644</f>
        <v>0</v>
      </c>
    </row>
    <row r="645" spans="1:4" x14ac:dyDescent="0.25">
      <c r="A645" s="16">
        <f>Place_data_here!A645</f>
        <v>0</v>
      </c>
      <c r="B645" s="4" t="e">
        <f t="shared" si="10"/>
        <v>#VALUE!</v>
      </c>
      <c r="C645" s="1" t="e">
        <f>SplineInterp(A645,Own_Spectrum_250cm!$U$2:$U$34,Own_Spectrum_250cm!$V$2:$V$34)*D645</f>
        <v>#VALUE!</v>
      </c>
      <c r="D645" s="13">
        <f>Place_data_here!B645</f>
        <v>0</v>
      </c>
    </row>
    <row r="646" spans="1:4" x14ac:dyDescent="0.25">
      <c r="A646" s="16">
        <f>Place_data_here!A646</f>
        <v>0</v>
      </c>
      <c r="B646" s="4" t="e">
        <f t="shared" si="10"/>
        <v>#VALUE!</v>
      </c>
      <c r="C646" s="1" t="e">
        <f>SplineInterp(A646,Own_Spectrum_250cm!$U$2:$U$34,Own_Spectrum_250cm!$V$2:$V$34)*D646</f>
        <v>#VALUE!</v>
      </c>
      <c r="D646" s="13">
        <f>Place_data_here!B646</f>
        <v>0</v>
      </c>
    </row>
    <row r="647" spans="1:4" x14ac:dyDescent="0.25">
      <c r="A647" s="16">
        <f>Place_data_here!A647</f>
        <v>0</v>
      </c>
      <c r="B647" s="4" t="e">
        <f t="shared" si="10"/>
        <v>#VALUE!</v>
      </c>
      <c r="C647" s="1" t="e">
        <f>SplineInterp(A647,Own_Spectrum_250cm!$U$2:$U$34,Own_Spectrum_250cm!$V$2:$V$34)*D647</f>
        <v>#VALUE!</v>
      </c>
      <c r="D647" s="13">
        <f>Place_data_here!B647</f>
        <v>0</v>
      </c>
    </row>
    <row r="648" spans="1:4" x14ac:dyDescent="0.25">
      <c r="A648" s="16">
        <f>Place_data_here!A648</f>
        <v>0</v>
      </c>
      <c r="B648" s="4" t="e">
        <f t="shared" si="10"/>
        <v>#VALUE!</v>
      </c>
      <c r="C648" s="1" t="e">
        <f>SplineInterp(A648,Own_Spectrum_250cm!$U$2:$U$34,Own_Spectrum_250cm!$V$2:$V$34)*D648</f>
        <v>#VALUE!</v>
      </c>
      <c r="D648" s="13">
        <f>Place_data_here!B648</f>
        <v>0</v>
      </c>
    </row>
    <row r="649" spans="1:4" x14ac:dyDescent="0.25">
      <c r="A649" s="16">
        <f>Place_data_here!A649</f>
        <v>0</v>
      </c>
      <c r="B649" s="4" t="e">
        <f t="shared" si="10"/>
        <v>#VALUE!</v>
      </c>
      <c r="C649" s="1" t="e">
        <f>SplineInterp(A649,Own_Spectrum_250cm!$U$2:$U$34,Own_Spectrum_250cm!$V$2:$V$34)*D649</f>
        <v>#VALUE!</v>
      </c>
      <c r="D649" s="13">
        <f>Place_data_here!B649</f>
        <v>0</v>
      </c>
    </row>
    <row r="650" spans="1:4" x14ac:dyDescent="0.25">
      <c r="A650" s="16">
        <f>Place_data_here!A650</f>
        <v>0</v>
      </c>
      <c r="B650" s="4" t="e">
        <f t="shared" si="10"/>
        <v>#VALUE!</v>
      </c>
      <c r="C650" s="1" t="e">
        <f>SplineInterp(A650,Own_Spectrum_250cm!$U$2:$U$34,Own_Spectrum_250cm!$V$2:$V$34)*D650</f>
        <v>#VALUE!</v>
      </c>
      <c r="D650" s="13">
        <f>Place_data_here!B650</f>
        <v>0</v>
      </c>
    </row>
    <row r="651" spans="1:4" x14ac:dyDescent="0.25">
      <c r="A651" s="16">
        <f>Place_data_here!A651</f>
        <v>0</v>
      </c>
      <c r="B651" s="4" t="e">
        <f t="shared" si="10"/>
        <v>#VALUE!</v>
      </c>
      <c r="C651" s="1" t="e">
        <f>SplineInterp(A651,Own_Spectrum_250cm!$U$2:$U$34,Own_Spectrum_250cm!$V$2:$V$34)*D651</f>
        <v>#VALUE!</v>
      </c>
      <c r="D651" s="13">
        <f>Place_data_here!B651</f>
        <v>0</v>
      </c>
    </row>
    <row r="652" spans="1:4" x14ac:dyDescent="0.25">
      <c r="A652" s="16">
        <f>Place_data_here!A652</f>
        <v>0</v>
      </c>
      <c r="B652" s="4" t="e">
        <f t="shared" si="10"/>
        <v>#VALUE!</v>
      </c>
      <c r="C652" s="1" t="e">
        <f>SplineInterp(A652,Own_Spectrum_250cm!$U$2:$U$34,Own_Spectrum_250cm!$V$2:$V$34)*D652</f>
        <v>#VALUE!</v>
      </c>
      <c r="D652" s="13">
        <f>Place_data_here!B652</f>
        <v>0</v>
      </c>
    </row>
    <row r="653" spans="1:4" x14ac:dyDescent="0.25">
      <c r="A653" s="16">
        <f>Place_data_here!A653</f>
        <v>0</v>
      </c>
      <c r="B653" s="4" t="e">
        <f t="shared" si="10"/>
        <v>#VALUE!</v>
      </c>
      <c r="C653" s="1" t="e">
        <f>SplineInterp(A653,Own_Spectrum_250cm!$U$2:$U$34,Own_Spectrum_250cm!$V$2:$V$34)*D653</f>
        <v>#VALUE!</v>
      </c>
      <c r="D653" s="13">
        <f>Place_data_here!B653</f>
        <v>0</v>
      </c>
    </row>
    <row r="654" spans="1:4" x14ac:dyDescent="0.25">
      <c r="A654" s="16">
        <f>Place_data_here!A654</f>
        <v>0</v>
      </c>
      <c r="B654" s="4" t="e">
        <f t="shared" si="10"/>
        <v>#VALUE!</v>
      </c>
      <c r="C654" s="1" t="e">
        <f>SplineInterp(A654,Own_Spectrum_250cm!$U$2:$U$34,Own_Spectrum_250cm!$V$2:$V$34)*D654</f>
        <v>#VALUE!</v>
      </c>
      <c r="D654" s="13">
        <f>Place_data_here!B654</f>
        <v>0</v>
      </c>
    </row>
    <row r="655" spans="1:4" x14ac:dyDescent="0.25">
      <c r="A655" s="16">
        <f>Place_data_here!A655</f>
        <v>0</v>
      </c>
      <c r="B655" s="4" t="e">
        <f t="shared" si="10"/>
        <v>#VALUE!</v>
      </c>
      <c r="C655" s="1" t="e">
        <f>SplineInterp(A655,Own_Spectrum_250cm!$U$2:$U$34,Own_Spectrum_250cm!$V$2:$V$34)*D655</f>
        <v>#VALUE!</v>
      </c>
      <c r="D655" s="13">
        <f>Place_data_here!B655</f>
        <v>0</v>
      </c>
    </row>
    <row r="656" spans="1:4" x14ac:dyDescent="0.25">
      <c r="A656" s="16">
        <f>Place_data_here!A656</f>
        <v>0</v>
      </c>
      <c r="B656" s="4" t="e">
        <f t="shared" si="10"/>
        <v>#VALUE!</v>
      </c>
      <c r="C656" s="1" t="e">
        <f>SplineInterp(A656,Own_Spectrum_250cm!$U$2:$U$34,Own_Spectrum_250cm!$V$2:$V$34)*D656</f>
        <v>#VALUE!</v>
      </c>
      <c r="D656" s="13">
        <f>Place_data_here!B656</f>
        <v>0</v>
      </c>
    </row>
    <row r="657" spans="1:4" x14ac:dyDescent="0.25">
      <c r="A657" s="16">
        <f>Place_data_here!A657</f>
        <v>0</v>
      </c>
      <c r="B657" s="4" t="e">
        <f t="shared" si="10"/>
        <v>#VALUE!</v>
      </c>
      <c r="C657" s="1" t="e">
        <f>SplineInterp(A657,Own_Spectrum_250cm!$U$2:$U$34,Own_Spectrum_250cm!$V$2:$V$34)*D657</f>
        <v>#VALUE!</v>
      </c>
      <c r="D657" s="13">
        <f>Place_data_here!B657</f>
        <v>0</v>
      </c>
    </row>
    <row r="658" spans="1:4" x14ac:dyDescent="0.25">
      <c r="A658" s="16">
        <f>Place_data_here!A658</f>
        <v>0</v>
      </c>
      <c r="B658" s="4" t="e">
        <f t="shared" si="10"/>
        <v>#VALUE!</v>
      </c>
      <c r="C658" s="1" t="e">
        <f>SplineInterp(A658,Own_Spectrum_250cm!$U$2:$U$34,Own_Spectrum_250cm!$V$2:$V$34)*D658</f>
        <v>#VALUE!</v>
      </c>
      <c r="D658" s="13">
        <f>Place_data_here!B658</f>
        <v>0</v>
      </c>
    </row>
    <row r="659" spans="1:4" x14ac:dyDescent="0.25">
      <c r="A659" s="16">
        <f>Place_data_here!A659</f>
        <v>0</v>
      </c>
      <c r="B659" s="4" t="e">
        <f t="shared" si="10"/>
        <v>#VALUE!</v>
      </c>
      <c r="C659" s="1" t="e">
        <f>SplineInterp(A659,Own_Spectrum_250cm!$U$2:$U$34,Own_Spectrum_250cm!$V$2:$V$34)*D659</f>
        <v>#VALUE!</v>
      </c>
      <c r="D659" s="13">
        <f>Place_data_here!B659</f>
        <v>0</v>
      </c>
    </row>
    <row r="660" spans="1:4" x14ac:dyDescent="0.25">
      <c r="A660" s="16">
        <f>Place_data_here!A660</f>
        <v>0</v>
      </c>
      <c r="B660" s="4" t="e">
        <f t="shared" si="10"/>
        <v>#VALUE!</v>
      </c>
      <c r="C660" s="1" t="e">
        <f>SplineInterp(A660,Own_Spectrum_250cm!$U$2:$U$34,Own_Spectrum_250cm!$V$2:$V$34)*D660</f>
        <v>#VALUE!</v>
      </c>
      <c r="D660" s="13">
        <f>Place_data_here!B660</f>
        <v>0</v>
      </c>
    </row>
    <row r="661" spans="1:4" x14ac:dyDescent="0.25">
      <c r="A661" s="16">
        <f>Place_data_here!A661</f>
        <v>0</v>
      </c>
      <c r="B661" s="4" t="e">
        <f t="shared" si="10"/>
        <v>#VALUE!</v>
      </c>
      <c r="C661" s="1" t="e">
        <f>SplineInterp(A661,Own_Spectrum_250cm!$U$2:$U$34,Own_Spectrum_250cm!$V$2:$V$34)*D661</f>
        <v>#VALUE!</v>
      </c>
      <c r="D661" s="13">
        <f>Place_data_here!B661</f>
        <v>0</v>
      </c>
    </row>
    <row r="662" spans="1:4" x14ac:dyDescent="0.25">
      <c r="A662" s="16">
        <f>Place_data_here!A662</f>
        <v>0</v>
      </c>
      <c r="B662" s="4" t="e">
        <f t="shared" si="10"/>
        <v>#VALUE!</v>
      </c>
      <c r="C662" s="1" t="e">
        <f>SplineInterp(A662,Own_Spectrum_250cm!$U$2:$U$34,Own_Spectrum_250cm!$V$2:$V$34)*D662</f>
        <v>#VALUE!</v>
      </c>
      <c r="D662" s="13">
        <f>Place_data_here!B662</f>
        <v>0</v>
      </c>
    </row>
    <row r="663" spans="1:4" x14ac:dyDescent="0.25">
      <c r="A663" s="16">
        <f>Place_data_here!A663</f>
        <v>0</v>
      </c>
      <c r="B663" s="4" t="e">
        <f t="shared" si="10"/>
        <v>#VALUE!</v>
      </c>
      <c r="C663" s="1" t="e">
        <f>SplineInterp(A663,Own_Spectrum_250cm!$U$2:$U$34,Own_Spectrum_250cm!$V$2:$V$34)*D663</f>
        <v>#VALUE!</v>
      </c>
      <c r="D663" s="13">
        <f>Place_data_here!B663</f>
        <v>0</v>
      </c>
    </row>
    <row r="664" spans="1:4" x14ac:dyDescent="0.25">
      <c r="A664" s="16">
        <f>Place_data_here!A664</f>
        <v>0</v>
      </c>
      <c r="B664" s="4" t="e">
        <f t="shared" si="10"/>
        <v>#VALUE!</v>
      </c>
      <c r="C664" s="1" t="e">
        <f>SplineInterp(A664,Own_Spectrum_250cm!$U$2:$U$34,Own_Spectrum_250cm!$V$2:$V$34)*D664</f>
        <v>#VALUE!</v>
      </c>
      <c r="D664" s="13">
        <f>Place_data_here!B664</f>
        <v>0</v>
      </c>
    </row>
    <row r="665" spans="1:4" x14ac:dyDescent="0.25">
      <c r="A665" s="16">
        <f>Place_data_here!A665</f>
        <v>0</v>
      </c>
      <c r="B665" s="4" t="e">
        <f t="shared" si="10"/>
        <v>#VALUE!</v>
      </c>
      <c r="C665" s="1" t="e">
        <f>SplineInterp(A665,Own_Spectrum_250cm!$U$2:$U$34,Own_Spectrum_250cm!$V$2:$V$34)*D665</f>
        <v>#VALUE!</v>
      </c>
      <c r="D665" s="13">
        <f>Place_data_here!B665</f>
        <v>0</v>
      </c>
    </row>
    <row r="666" spans="1:4" x14ac:dyDescent="0.25">
      <c r="A666" s="16">
        <f>Place_data_here!A666</f>
        <v>0</v>
      </c>
      <c r="B666" s="4" t="e">
        <f t="shared" si="10"/>
        <v>#VALUE!</v>
      </c>
      <c r="C666" s="1" t="e">
        <f>SplineInterp(A666,Own_Spectrum_250cm!$U$2:$U$34,Own_Spectrum_250cm!$V$2:$V$34)*D666</f>
        <v>#VALUE!</v>
      </c>
      <c r="D666" s="13">
        <f>Place_data_here!B666</f>
        <v>0</v>
      </c>
    </row>
    <row r="667" spans="1:4" x14ac:dyDescent="0.25">
      <c r="A667" s="16">
        <f>Place_data_here!A667</f>
        <v>0</v>
      </c>
      <c r="B667" s="4" t="e">
        <f t="shared" si="10"/>
        <v>#VALUE!</v>
      </c>
      <c r="C667" s="1" t="e">
        <f>SplineInterp(A667,Own_Spectrum_250cm!$U$2:$U$34,Own_Spectrum_250cm!$V$2:$V$34)*D667</f>
        <v>#VALUE!</v>
      </c>
      <c r="D667" s="13">
        <f>Place_data_here!B667</f>
        <v>0</v>
      </c>
    </row>
    <row r="668" spans="1:4" x14ac:dyDescent="0.25">
      <c r="A668" s="16">
        <f>Place_data_here!A668</f>
        <v>0</v>
      </c>
      <c r="B668" s="4" t="e">
        <f t="shared" si="10"/>
        <v>#VALUE!</v>
      </c>
      <c r="C668" s="1" t="e">
        <f>SplineInterp(A668,Own_Spectrum_250cm!$U$2:$U$34,Own_Spectrum_250cm!$V$2:$V$34)*D668</f>
        <v>#VALUE!</v>
      </c>
      <c r="D668" s="13">
        <f>Place_data_here!B668</f>
        <v>0</v>
      </c>
    </row>
    <row r="669" spans="1:4" x14ac:dyDescent="0.25">
      <c r="A669" s="16">
        <f>Place_data_here!A669</f>
        <v>0</v>
      </c>
      <c r="B669" s="4" t="e">
        <f t="shared" si="10"/>
        <v>#VALUE!</v>
      </c>
      <c r="C669" s="1" t="e">
        <f>SplineInterp(A669,Own_Spectrum_250cm!$U$2:$U$34,Own_Spectrum_250cm!$V$2:$V$34)*D669</f>
        <v>#VALUE!</v>
      </c>
      <c r="D669" s="13">
        <f>Place_data_here!B669</f>
        <v>0</v>
      </c>
    </row>
    <row r="670" spans="1:4" x14ac:dyDescent="0.25">
      <c r="A670" s="16">
        <f>Place_data_here!A670</f>
        <v>0</v>
      </c>
      <c r="B670" s="4" t="e">
        <f t="shared" si="10"/>
        <v>#VALUE!</v>
      </c>
      <c r="C670" s="1" t="e">
        <f>SplineInterp(A670,Own_Spectrum_250cm!$U$2:$U$34,Own_Spectrum_250cm!$V$2:$V$34)*D670</f>
        <v>#VALUE!</v>
      </c>
      <c r="D670" s="13">
        <f>Place_data_here!B670</f>
        <v>0</v>
      </c>
    </row>
    <row r="671" spans="1:4" x14ac:dyDescent="0.25">
      <c r="A671" s="16">
        <f>Place_data_here!A671</f>
        <v>0</v>
      </c>
      <c r="B671" s="4" t="e">
        <f t="shared" si="10"/>
        <v>#VALUE!</v>
      </c>
      <c r="C671" s="1" t="e">
        <f>SplineInterp(A671,Own_Spectrum_250cm!$U$2:$U$34,Own_Spectrum_250cm!$V$2:$V$34)*D671</f>
        <v>#VALUE!</v>
      </c>
      <c r="D671" s="13">
        <f>Place_data_here!B671</f>
        <v>0</v>
      </c>
    </row>
    <row r="672" spans="1:4" x14ac:dyDescent="0.25">
      <c r="A672" s="16">
        <f>Place_data_here!A672</f>
        <v>0</v>
      </c>
      <c r="B672" s="4" t="e">
        <f t="shared" si="10"/>
        <v>#VALUE!</v>
      </c>
      <c r="C672" s="1" t="e">
        <f>SplineInterp(A672,Own_Spectrum_250cm!$U$2:$U$34,Own_Spectrum_250cm!$V$2:$V$34)*D672</f>
        <v>#VALUE!</v>
      </c>
      <c r="D672" s="13">
        <f>Place_data_here!B672</f>
        <v>0</v>
      </c>
    </row>
    <row r="673" spans="1:4" x14ac:dyDescent="0.25">
      <c r="A673" s="16">
        <f>Place_data_here!A673</f>
        <v>0</v>
      </c>
      <c r="B673" s="4" t="e">
        <f t="shared" si="10"/>
        <v>#VALUE!</v>
      </c>
      <c r="C673" s="1" t="e">
        <f>SplineInterp(A673,Own_Spectrum_250cm!$U$2:$U$34,Own_Spectrum_250cm!$V$2:$V$34)*D673</f>
        <v>#VALUE!</v>
      </c>
      <c r="D673" s="13">
        <f>Place_data_here!B673</f>
        <v>0</v>
      </c>
    </row>
    <row r="674" spans="1:4" x14ac:dyDescent="0.25">
      <c r="A674" s="16">
        <f>Place_data_here!A674</f>
        <v>0</v>
      </c>
      <c r="B674" s="4" t="e">
        <f t="shared" si="10"/>
        <v>#VALUE!</v>
      </c>
      <c r="C674" s="1" t="e">
        <f>SplineInterp(A674,Own_Spectrum_250cm!$U$2:$U$34,Own_Spectrum_250cm!$V$2:$V$34)*D674</f>
        <v>#VALUE!</v>
      </c>
      <c r="D674" s="13">
        <f>Place_data_here!B674</f>
        <v>0</v>
      </c>
    </row>
    <row r="675" spans="1:4" x14ac:dyDescent="0.25">
      <c r="A675" s="16">
        <f>Place_data_here!A675</f>
        <v>0</v>
      </c>
      <c r="B675" s="4" t="e">
        <f t="shared" si="10"/>
        <v>#VALUE!</v>
      </c>
      <c r="C675" s="1" t="e">
        <f>SplineInterp(A675,Own_Spectrum_250cm!$U$2:$U$34,Own_Spectrum_250cm!$V$2:$V$34)*D675</f>
        <v>#VALUE!</v>
      </c>
      <c r="D675" s="13">
        <f>Place_data_here!B675</f>
        <v>0</v>
      </c>
    </row>
    <row r="676" spans="1:4" x14ac:dyDescent="0.25">
      <c r="A676" s="16">
        <f>Place_data_here!A676</f>
        <v>0</v>
      </c>
      <c r="B676" s="4" t="e">
        <f t="shared" si="10"/>
        <v>#VALUE!</v>
      </c>
      <c r="C676" s="1" t="e">
        <f>SplineInterp(A676,Own_Spectrum_250cm!$U$2:$U$34,Own_Spectrum_250cm!$V$2:$V$34)*D676</f>
        <v>#VALUE!</v>
      </c>
      <c r="D676" s="13">
        <f>Place_data_here!B676</f>
        <v>0</v>
      </c>
    </row>
    <row r="677" spans="1:4" x14ac:dyDescent="0.25">
      <c r="A677" s="16">
        <f>Place_data_here!A677</f>
        <v>0</v>
      </c>
      <c r="B677" s="4" t="e">
        <f t="shared" si="10"/>
        <v>#VALUE!</v>
      </c>
      <c r="C677" s="1" t="e">
        <f>SplineInterp(A677,Own_Spectrum_250cm!$U$2:$U$34,Own_Spectrum_250cm!$V$2:$V$34)*D677</f>
        <v>#VALUE!</v>
      </c>
      <c r="D677" s="13">
        <f>Place_data_here!B677</f>
        <v>0</v>
      </c>
    </row>
    <row r="678" spans="1:4" x14ac:dyDescent="0.25">
      <c r="A678" s="16">
        <f>Place_data_here!A678</f>
        <v>0</v>
      </c>
      <c r="B678" s="4" t="e">
        <f t="shared" si="10"/>
        <v>#VALUE!</v>
      </c>
      <c r="C678" s="1" t="e">
        <f>SplineInterp(A678,Own_Spectrum_250cm!$U$2:$U$34,Own_Spectrum_250cm!$V$2:$V$34)*D678</f>
        <v>#VALUE!</v>
      </c>
      <c r="D678" s="13">
        <f>Place_data_here!B678</f>
        <v>0</v>
      </c>
    </row>
    <row r="679" spans="1:4" x14ac:dyDescent="0.25">
      <c r="A679" s="16">
        <f>Place_data_here!A679</f>
        <v>0</v>
      </c>
      <c r="B679" s="4" t="e">
        <f t="shared" si="10"/>
        <v>#VALUE!</v>
      </c>
      <c r="C679" s="1" t="e">
        <f>SplineInterp(A679,Own_Spectrum_250cm!$U$2:$U$34,Own_Spectrum_250cm!$V$2:$V$34)*D679</f>
        <v>#VALUE!</v>
      </c>
      <c r="D679" s="13">
        <f>Place_data_here!B679</f>
        <v>0</v>
      </c>
    </row>
    <row r="680" spans="1:4" x14ac:dyDescent="0.25">
      <c r="A680" s="16">
        <f>Place_data_here!A680</f>
        <v>0</v>
      </c>
      <c r="B680" s="4" t="e">
        <f t="shared" si="10"/>
        <v>#VALUE!</v>
      </c>
      <c r="C680" s="1" t="e">
        <f>SplineInterp(A680,Own_Spectrum_250cm!$U$2:$U$34,Own_Spectrum_250cm!$V$2:$V$34)*D680</f>
        <v>#VALUE!</v>
      </c>
      <c r="D680" s="13">
        <f>Place_data_here!B680</f>
        <v>0</v>
      </c>
    </row>
    <row r="681" spans="1:4" x14ac:dyDescent="0.25">
      <c r="A681" s="16">
        <f>Place_data_here!A681</f>
        <v>0</v>
      </c>
      <c r="B681" s="4" t="e">
        <f t="shared" si="10"/>
        <v>#VALUE!</v>
      </c>
      <c r="C681" s="1" t="e">
        <f>SplineInterp(A681,Own_Spectrum_250cm!$U$2:$U$34,Own_Spectrum_250cm!$V$2:$V$34)*D681</f>
        <v>#VALUE!</v>
      </c>
      <c r="D681" s="13">
        <f>Place_data_here!B681</f>
        <v>0</v>
      </c>
    </row>
    <row r="682" spans="1:4" x14ac:dyDescent="0.25">
      <c r="A682" s="16">
        <f>Place_data_here!A682</f>
        <v>0</v>
      </c>
      <c r="B682" s="4" t="e">
        <f t="shared" si="10"/>
        <v>#VALUE!</v>
      </c>
      <c r="C682" s="1" t="e">
        <f>SplineInterp(A682,Own_Spectrum_250cm!$U$2:$U$34,Own_Spectrum_250cm!$V$2:$V$34)*D682</f>
        <v>#VALUE!</v>
      </c>
      <c r="D682" s="13">
        <f>Place_data_here!B682</f>
        <v>0</v>
      </c>
    </row>
    <row r="683" spans="1:4" x14ac:dyDescent="0.25">
      <c r="A683" s="16">
        <f>Place_data_here!A683</f>
        <v>0</v>
      </c>
      <c r="B683" s="4" t="e">
        <f t="shared" si="10"/>
        <v>#VALUE!</v>
      </c>
      <c r="C683" s="1" t="e">
        <f>SplineInterp(A683,Own_Spectrum_250cm!$U$2:$U$34,Own_Spectrum_250cm!$V$2:$V$34)*D683</f>
        <v>#VALUE!</v>
      </c>
      <c r="D683" s="13">
        <f>Place_data_here!B683</f>
        <v>0</v>
      </c>
    </row>
    <row r="684" spans="1:4" x14ac:dyDescent="0.25">
      <c r="A684" s="16">
        <f>Place_data_here!A684</f>
        <v>0</v>
      </c>
      <c r="B684" s="4" t="e">
        <f t="shared" si="10"/>
        <v>#VALUE!</v>
      </c>
      <c r="C684" s="1" t="e">
        <f>SplineInterp(A684,Own_Spectrum_250cm!$U$2:$U$34,Own_Spectrum_250cm!$V$2:$V$34)*D684</f>
        <v>#VALUE!</v>
      </c>
      <c r="D684" s="13">
        <f>Place_data_here!B684</f>
        <v>0</v>
      </c>
    </row>
    <row r="685" spans="1:4" x14ac:dyDescent="0.25">
      <c r="A685" s="16">
        <f>Place_data_here!A685</f>
        <v>0</v>
      </c>
      <c r="B685" s="4" t="e">
        <f t="shared" si="10"/>
        <v>#VALUE!</v>
      </c>
      <c r="C685" s="1" t="e">
        <f>SplineInterp(A685,Own_Spectrum_250cm!$U$2:$U$34,Own_Spectrum_250cm!$V$2:$V$34)*D685</f>
        <v>#VALUE!</v>
      </c>
      <c r="D685" s="13">
        <f>Place_data_here!B685</f>
        <v>0</v>
      </c>
    </row>
    <row r="686" spans="1:4" x14ac:dyDescent="0.25">
      <c r="A686" s="16">
        <f>Place_data_here!A686</f>
        <v>0</v>
      </c>
      <c r="B686" s="4" t="e">
        <f t="shared" si="10"/>
        <v>#VALUE!</v>
      </c>
      <c r="C686" s="1" t="e">
        <f>SplineInterp(A686,Own_Spectrum_250cm!$U$2:$U$34,Own_Spectrum_250cm!$V$2:$V$34)*D686</f>
        <v>#VALUE!</v>
      </c>
      <c r="D686" s="13">
        <f>Place_data_here!B686</f>
        <v>0</v>
      </c>
    </row>
    <row r="687" spans="1:4" x14ac:dyDescent="0.25">
      <c r="A687" s="16">
        <f>Place_data_here!A687</f>
        <v>0</v>
      </c>
      <c r="B687" s="4" t="e">
        <f t="shared" si="10"/>
        <v>#VALUE!</v>
      </c>
      <c r="C687" s="1" t="e">
        <f>SplineInterp(A687,Own_Spectrum_250cm!$U$2:$U$34,Own_Spectrum_250cm!$V$2:$V$34)*D687</f>
        <v>#VALUE!</v>
      </c>
      <c r="D687" s="13">
        <f>Place_data_here!B687</f>
        <v>0</v>
      </c>
    </row>
    <row r="688" spans="1:4" x14ac:dyDescent="0.25">
      <c r="A688" s="16">
        <f>Place_data_here!A688</f>
        <v>0</v>
      </c>
      <c r="B688" s="4" t="e">
        <f t="shared" si="10"/>
        <v>#VALUE!</v>
      </c>
      <c r="C688" s="1" t="e">
        <f>SplineInterp(A688,Own_Spectrum_250cm!$U$2:$U$34,Own_Spectrum_250cm!$V$2:$V$34)*D688</f>
        <v>#VALUE!</v>
      </c>
      <c r="D688" s="13">
        <f>Place_data_here!B688</f>
        <v>0</v>
      </c>
    </row>
    <row r="689" spans="1:4" x14ac:dyDescent="0.25">
      <c r="A689" s="16">
        <f>Place_data_here!A689</f>
        <v>0</v>
      </c>
      <c r="B689" s="4" t="e">
        <f t="shared" si="10"/>
        <v>#VALUE!</v>
      </c>
      <c r="C689" s="1" t="e">
        <f>SplineInterp(A689,Own_Spectrum_250cm!$U$2:$U$34,Own_Spectrum_250cm!$V$2:$V$34)*D689</f>
        <v>#VALUE!</v>
      </c>
      <c r="D689" s="13">
        <f>Place_data_here!B689</f>
        <v>0</v>
      </c>
    </row>
    <row r="690" spans="1:4" x14ac:dyDescent="0.25">
      <c r="A690" s="16">
        <f>Place_data_here!A690</f>
        <v>0</v>
      </c>
      <c r="B690" s="4" t="e">
        <f t="shared" si="10"/>
        <v>#VALUE!</v>
      </c>
      <c r="C690" s="1" t="e">
        <f>SplineInterp(A690,Own_Spectrum_250cm!$U$2:$U$34,Own_Spectrum_250cm!$V$2:$V$34)*D690</f>
        <v>#VALUE!</v>
      </c>
      <c r="D690" s="13">
        <f>Place_data_here!B690</f>
        <v>0</v>
      </c>
    </row>
    <row r="691" spans="1:4" x14ac:dyDescent="0.25">
      <c r="A691" s="16">
        <f>Place_data_here!A691</f>
        <v>0</v>
      </c>
      <c r="B691" s="4" t="e">
        <f t="shared" si="10"/>
        <v>#VALUE!</v>
      </c>
      <c r="C691" s="1" t="e">
        <f>SplineInterp(A691,Own_Spectrum_250cm!$U$2:$U$34,Own_Spectrum_250cm!$V$2:$V$34)*D691</f>
        <v>#VALUE!</v>
      </c>
      <c r="D691" s="13">
        <f>Place_data_here!B691</f>
        <v>0</v>
      </c>
    </row>
    <row r="692" spans="1:4" x14ac:dyDescent="0.25">
      <c r="A692" s="16">
        <f>Place_data_here!A692</f>
        <v>0</v>
      </c>
      <c r="B692" s="4" t="e">
        <f t="shared" si="10"/>
        <v>#VALUE!</v>
      </c>
      <c r="C692" s="1" t="e">
        <f>SplineInterp(A692,Own_Spectrum_250cm!$U$2:$U$34,Own_Spectrum_250cm!$V$2:$V$34)*D692</f>
        <v>#VALUE!</v>
      </c>
      <c r="D692" s="13">
        <f>Place_data_here!B692</f>
        <v>0</v>
      </c>
    </row>
    <row r="693" spans="1:4" x14ac:dyDescent="0.25">
      <c r="A693" s="16">
        <f>Place_data_here!A693</f>
        <v>0</v>
      </c>
      <c r="B693" s="4" t="e">
        <f t="shared" si="10"/>
        <v>#VALUE!</v>
      </c>
      <c r="C693" s="1" t="e">
        <f>SplineInterp(A693,Own_Spectrum_250cm!$U$2:$U$34,Own_Spectrum_250cm!$V$2:$V$34)*D693</f>
        <v>#VALUE!</v>
      </c>
      <c r="D693" s="13">
        <f>Place_data_here!B693</f>
        <v>0</v>
      </c>
    </row>
    <row r="694" spans="1:4" x14ac:dyDescent="0.25">
      <c r="A694" s="16">
        <f>Place_data_here!A694</f>
        <v>0</v>
      </c>
      <c r="B694" s="4" t="e">
        <f t="shared" si="10"/>
        <v>#VALUE!</v>
      </c>
      <c r="C694" s="1" t="e">
        <f>SplineInterp(A694,Own_Spectrum_250cm!$U$2:$U$34,Own_Spectrum_250cm!$V$2:$V$34)*D694</f>
        <v>#VALUE!</v>
      </c>
      <c r="D694" s="13">
        <f>Place_data_here!B694</f>
        <v>0</v>
      </c>
    </row>
    <row r="695" spans="1:4" x14ac:dyDescent="0.25">
      <c r="A695" s="16">
        <f>Place_data_here!A695</f>
        <v>0</v>
      </c>
      <c r="B695" s="4" t="e">
        <f t="shared" si="10"/>
        <v>#VALUE!</v>
      </c>
      <c r="C695" s="1" t="e">
        <f>SplineInterp(A695,Own_Spectrum_250cm!$U$2:$U$34,Own_Spectrum_250cm!$V$2:$V$34)*D695</f>
        <v>#VALUE!</v>
      </c>
      <c r="D695" s="13">
        <f>Place_data_here!B695</f>
        <v>0</v>
      </c>
    </row>
    <row r="696" spans="1:4" x14ac:dyDescent="0.25">
      <c r="A696" s="16">
        <f>Place_data_here!A696</f>
        <v>0</v>
      </c>
      <c r="B696" s="4" t="e">
        <f t="shared" si="10"/>
        <v>#VALUE!</v>
      </c>
      <c r="C696" s="1" t="e">
        <f>SplineInterp(A696,Own_Spectrum_250cm!$U$2:$U$34,Own_Spectrum_250cm!$V$2:$V$34)*D696</f>
        <v>#VALUE!</v>
      </c>
      <c r="D696" s="13">
        <f>Place_data_here!B696</f>
        <v>0</v>
      </c>
    </row>
    <row r="697" spans="1:4" x14ac:dyDescent="0.25">
      <c r="A697" s="16">
        <f>Place_data_here!A697</f>
        <v>0</v>
      </c>
      <c r="B697" s="4" t="e">
        <f t="shared" si="10"/>
        <v>#VALUE!</v>
      </c>
      <c r="C697" s="1" t="e">
        <f>SplineInterp(A697,Own_Spectrum_250cm!$U$2:$U$34,Own_Spectrum_250cm!$V$2:$V$34)*D697</f>
        <v>#VALUE!</v>
      </c>
      <c r="D697" s="13">
        <f>Place_data_here!B697</f>
        <v>0</v>
      </c>
    </row>
    <row r="698" spans="1:4" x14ac:dyDescent="0.25">
      <c r="A698" s="16">
        <f>Place_data_here!A698</f>
        <v>0</v>
      </c>
      <c r="B698" s="4" t="e">
        <f t="shared" si="10"/>
        <v>#VALUE!</v>
      </c>
      <c r="C698" s="1" t="e">
        <f>SplineInterp(A698,Own_Spectrum_250cm!$U$2:$U$34,Own_Spectrum_250cm!$V$2:$V$34)*D698</f>
        <v>#VALUE!</v>
      </c>
      <c r="D698" s="13">
        <f>Place_data_here!B698</f>
        <v>0</v>
      </c>
    </row>
    <row r="699" spans="1:4" x14ac:dyDescent="0.25">
      <c r="A699" s="16">
        <f>Place_data_here!A699</f>
        <v>0</v>
      </c>
      <c r="B699" s="4" t="e">
        <f t="shared" si="10"/>
        <v>#VALUE!</v>
      </c>
      <c r="C699" s="1" t="e">
        <f>SplineInterp(A699,Own_Spectrum_250cm!$U$2:$U$34,Own_Spectrum_250cm!$V$2:$V$34)*D699</f>
        <v>#VALUE!</v>
      </c>
      <c r="D699" s="13">
        <f>Place_data_here!B699</f>
        <v>0</v>
      </c>
    </row>
    <row r="700" spans="1:4" x14ac:dyDescent="0.25">
      <c r="A700" s="16">
        <f>Place_data_here!A700</f>
        <v>0</v>
      </c>
      <c r="B700" s="4" t="e">
        <f t="shared" si="10"/>
        <v>#VALUE!</v>
      </c>
      <c r="C700" s="1" t="e">
        <f>SplineInterp(A700,Own_Spectrum_250cm!$U$2:$U$34,Own_Spectrum_250cm!$V$2:$V$34)*D700</f>
        <v>#VALUE!</v>
      </c>
      <c r="D700" s="13">
        <f>Place_data_here!B700</f>
        <v>0</v>
      </c>
    </row>
    <row r="701" spans="1:4" x14ac:dyDescent="0.25">
      <c r="A701" s="16">
        <f>Place_data_here!A701</f>
        <v>0</v>
      </c>
      <c r="B701" s="4" t="e">
        <f t="shared" si="10"/>
        <v>#VALUE!</v>
      </c>
      <c r="C701" s="1" t="e">
        <f>SplineInterp(A701,Own_Spectrum_250cm!$U$2:$U$34,Own_Spectrum_250cm!$V$2:$V$34)*D701</f>
        <v>#VALUE!</v>
      </c>
      <c r="D701" s="13">
        <f>Place_data_here!B701</f>
        <v>0</v>
      </c>
    </row>
    <row r="702" spans="1:4" x14ac:dyDescent="0.25">
      <c r="A702" s="16">
        <f>Place_data_here!A702</f>
        <v>0</v>
      </c>
      <c r="B702" s="4" t="e">
        <f t="shared" si="10"/>
        <v>#VALUE!</v>
      </c>
      <c r="C702" s="1" t="e">
        <f>SplineInterp(A702,Own_Spectrum_250cm!$U$2:$U$34,Own_Spectrum_250cm!$V$2:$V$34)*D702</f>
        <v>#VALUE!</v>
      </c>
      <c r="D702" s="13">
        <f>Place_data_here!B702</f>
        <v>0</v>
      </c>
    </row>
    <row r="703" spans="1:4" x14ac:dyDescent="0.25">
      <c r="A703" s="16">
        <f>Place_data_here!A703</f>
        <v>0</v>
      </c>
      <c r="B703" s="4" t="e">
        <f t="shared" si="10"/>
        <v>#VALUE!</v>
      </c>
      <c r="C703" s="1" t="e">
        <f>SplineInterp(A703,Own_Spectrum_250cm!$U$2:$U$34,Own_Spectrum_250cm!$V$2:$V$34)*D703</f>
        <v>#VALUE!</v>
      </c>
      <c r="D703" s="13">
        <f>Place_data_here!B703</f>
        <v>0</v>
      </c>
    </row>
    <row r="704" spans="1:4" x14ac:dyDescent="0.25">
      <c r="A704" s="16">
        <f>Place_data_here!A704</f>
        <v>0</v>
      </c>
      <c r="B704" s="4" t="e">
        <f t="shared" si="10"/>
        <v>#VALUE!</v>
      </c>
      <c r="C704" s="1" t="e">
        <f>SplineInterp(A704,Own_Spectrum_250cm!$U$2:$U$34,Own_Spectrum_250cm!$V$2:$V$34)*D704</f>
        <v>#VALUE!</v>
      </c>
      <c r="D704" s="13">
        <f>Place_data_here!B704</f>
        <v>0</v>
      </c>
    </row>
    <row r="705" spans="1:4" x14ac:dyDescent="0.25">
      <c r="A705" s="16">
        <f>Place_data_here!A705</f>
        <v>0</v>
      </c>
      <c r="B705" s="4" t="e">
        <f t="shared" si="10"/>
        <v>#VALUE!</v>
      </c>
      <c r="C705" s="1" t="e">
        <f>SplineInterp(A705,Own_Spectrum_250cm!$U$2:$U$34,Own_Spectrum_250cm!$V$2:$V$34)*D705</f>
        <v>#VALUE!</v>
      </c>
      <c r="D705" s="13">
        <f>Place_data_here!B705</f>
        <v>0</v>
      </c>
    </row>
    <row r="706" spans="1:4" x14ac:dyDescent="0.25">
      <c r="A706" s="16">
        <f>Place_data_here!A706</f>
        <v>0</v>
      </c>
      <c r="B706" s="4" t="e">
        <f t="shared" si="10"/>
        <v>#VALUE!</v>
      </c>
      <c r="C706" s="1" t="e">
        <f>SplineInterp(A706,Own_Spectrum_250cm!$U$2:$U$34,Own_Spectrum_250cm!$V$2:$V$34)*D706</f>
        <v>#VALUE!</v>
      </c>
      <c r="D706" s="13">
        <f>Place_data_here!B706</f>
        <v>0</v>
      </c>
    </row>
    <row r="707" spans="1:4" x14ac:dyDescent="0.25">
      <c r="A707" s="16">
        <f>Place_data_here!A707</f>
        <v>0</v>
      </c>
      <c r="B707" s="4" t="e">
        <f t="shared" ref="B707:B770" si="11">C707/$C$1028</f>
        <v>#VALUE!</v>
      </c>
      <c r="C707" s="1" t="e">
        <f>SplineInterp(A707,Own_Spectrum_250cm!$U$2:$U$34,Own_Spectrum_250cm!$V$2:$V$34)*D707</f>
        <v>#VALUE!</v>
      </c>
      <c r="D707" s="13">
        <f>Place_data_here!B707</f>
        <v>0</v>
      </c>
    </row>
    <row r="708" spans="1:4" x14ac:dyDescent="0.25">
      <c r="A708" s="16">
        <f>Place_data_here!A708</f>
        <v>0</v>
      </c>
      <c r="B708" s="4" t="e">
        <f t="shared" si="11"/>
        <v>#VALUE!</v>
      </c>
      <c r="C708" s="1" t="e">
        <f>SplineInterp(A708,Own_Spectrum_250cm!$U$2:$U$34,Own_Spectrum_250cm!$V$2:$V$34)*D708</f>
        <v>#VALUE!</v>
      </c>
      <c r="D708" s="13">
        <f>Place_data_here!B708</f>
        <v>0</v>
      </c>
    </row>
    <row r="709" spans="1:4" x14ac:dyDescent="0.25">
      <c r="A709" s="16">
        <f>Place_data_here!A709</f>
        <v>0</v>
      </c>
      <c r="B709" s="4" t="e">
        <f t="shared" si="11"/>
        <v>#VALUE!</v>
      </c>
      <c r="C709" s="1" t="e">
        <f>SplineInterp(A709,Own_Spectrum_250cm!$U$2:$U$34,Own_Spectrum_250cm!$V$2:$V$34)*D709</f>
        <v>#VALUE!</v>
      </c>
      <c r="D709" s="13">
        <f>Place_data_here!B709</f>
        <v>0</v>
      </c>
    </row>
    <row r="710" spans="1:4" x14ac:dyDescent="0.25">
      <c r="A710" s="16">
        <f>Place_data_here!A710</f>
        <v>0</v>
      </c>
      <c r="B710" s="4" t="e">
        <f t="shared" si="11"/>
        <v>#VALUE!</v>
      </c>
      <c r="C710" s="1" t="e">
        <f>SplineInterp(A710,Own_Spectrum_250cm!$U$2:$U$34,Own_Spectrum_250cm!$V$2:$V$34)*D710</f>
        <v>#VALUE!</v>
      </c>
      <c r="D710" s="13">
        <f>Place_data_here!B710</f>
        <v>0</v>
      </c>
    </row>
    <row r="711" spans="1:4" x14ac:dyDescent="0.25">
      <c r="A711" s="16">
        <f>Place_data_here!A711</f>
        <v>0</v>
      </c>
      <c r="B711" s="4" t="e">
        <f t="shared" si="11"/>
        <v>#VALUE!</v>
      </c>
      <c r="C711" s="1" t="e">
        <f>SplineInterp(A711,Own_Spectrum_250cm!$U$2:$U$34,Own_Spectrum_250cm!$V$2:$V$34)*D711</f>
        <v>#VALUE!</v>
      </c>
      <c r="D711" s="13">
        <f>Place_data_here!B711</f>
        <v>0</v>
      </c>
    </row>
    <row r="712" spans="1:4" x14ac:dyDescent="0.25">
      <c r="A712" s="16">
        <f>Place_data_here!A712</f>
        <v>0</v>
      </c>
      <c r="B712" s="4" t="e">
        <f t="shared" si="11"/>
        <v>#VALUE!</v>
      </c>
      <c r="C712" s="1" t="e">
        <f>SplineInterp(A712,Own_Spectrum_250cm!$U$2:$U$34,Own_Spectrum_250cm!$V$2:$V$34)*D712</f>
        <v>#VALUE!</v>
      </c>
      <c r="D712" s="13">
        <f>Place_data_here!B712</f>
        <v>0</v>
      </c>
    </row>
    <row r="713" spans="1:4" x14ac:dyDescent="0.25">
      <c r="A713" s="16">
        <f>Place_data_here!A713</f>
        <v>0</v>
      </c>
      <c r="B713" s="4" t="e">
        <f t="shared" si="11"/>
        <v>#VALUE!</v>
      </c>
      <c r="C713" s="1" t="e">
        <f>SplineInterp(A713,Own_Spectrum_250cm!$U$2:$U$34,Own_Spectrum_250cm!$V$2:$V$34)*D713</f>
        <v>#VALUE!</v>
      </c>
      <c r="D713" s="13">
        <f>Place_data_here!B713</f>
        <v>0</v>
      </c>
    </row>
    <row r="714" spans="1:4" x14ac:dyDescent="0.25">
      <c r="A714" s="16">
        <f>Place_data_here!A714</f>
        <v>0</v>
      </c>
      <c r="B714" s="4" t="e">
        <f t="shared" si="11"/>
        <v>#VALUE!</v>
      </c>
      <c r="C714" s="1" t="e">
        <f>SplineInterp(A714,Own_Spectrum_250cm!$U$2:$U$34,Own_Spectrum_250cm!$V$2:$V$34)*D714</f>
        <v>#VALUE!</v>
      </c>
      <c r="D714" s="13">
        <f>Place_data_here!B714</f>
        <v>0</v>
      </c>
    </row>
    <row r="715" spans="1:4" x14ac:dyDescent="0.25">
      <c r="A715" s="16">
        <f>Place_data_here!A715</f>
        <v>0</v>
      </c>
      <c r="B715" s="4" t="e">
        <f t="shared" si="11"/>
        <v>#VALUE!</v>
      </c>
      <c r="C715" s="1" t="e">
        <f>SplineInterp(A715,Own_Spectrum_250cm!$U$2:$U$34,Own_Spectrum_250cm!$V$2:$V$34)*D715</f>
        <v>#VALUE!</v>
      </c>
      <c r="D715" s="13">
        <f>Place_data_here!B715</f>
        <v>0</v>
      </c>
    </row>
    <row r="716" spans="1:4" x14ac:dyDescent="0.25">
      <c r="A716" s="16">
        <f>Place_data_here!A716</f>
        <v>0</v>
      </c>
      <c r="B716" s="4" t="e">
        <f t="shared" si="11"/>
        <v>#VALUE!</v>
      </c>
      <c r="C716" s="1" t="e">
        <f>SplineInterp(A716,Own_Spectrum_250cm!$U$2:$U$34,Own_Spectrum_250cm!$V$2:$V$34)*D716</f>
        <v>#VALUE!</v>
      </c>
      <c r="D716" s="13">
        <f>Place_data_here!B716</f>
        <v>0</v>
      </c>
    </row>
    <row r="717" spans="1:4" x14ac:dyDescent="0.25">
      <c r="A717" s="16">
        <f>Place_data_here!A717</f>
        <v>0</v>
      </c>
      <c r="B717" s="4" t="e">
        <f t="shared" si="11"/>
        <v>#VALUE!</v>
      </c>
      <c r="C717" s="1" t="e">
        <f>SplineInterp(A717,Own_Spectrum_250cm!$U$2:$U$34,Own_Spectrum_250cm!$V$2:$V$34)*D717</f>
        <v>#VALUE!</v>
      </c>
      <c r="D717" s="13">
        <f>Place_data_here!B717</f>
        <v>0</v>
      </c>
    </row>
    <row r="718" spans="1:4" x14ac:dyDescent="0.25">
      <c r="A718" s="16">
        <f>Place_data_here!A718</f>
        <v>0</v>
      </c>
      <c r="B718" s="4" t="e">
        <f t="shared" si="11"/>
        <v>#VALUE!</v>
      </c>
      <c r="C718" s="1" t="e">
        <f>SplineInterp(A718,Own_Spectrum_250cm!$U$2:$U$34,Own_Spectrum_250cm!$V$2:$V$34)*D718</f>
        <v>#VALUE!</v>
      </c>
      <c r="D718" s="13">
        <f>Place_data_here!B718</f>
        <v>0</v>
      </c>
    </row>
    <row r="719" spans="1:4" x14ac:dyDescent="0.25">
      <c r="A719" s="16">
        <f>Place_data_here!A719</f>
        <v>0</v>
      </c>
      <c r="B719" s="4" t="e">
        <f t="shared" si="11"/>
        <v>#VALUE!</v>
      </c>
      <c r="C719" s="1" t="e">
        <f>SplineInterp(A719,Own_Spectrum_250cm!$U$2:$U$34,Own_Spectrum_250cm!$V$2:$V$34)*D719</f>
        <v>#VALUE!</v>
      </c>
      <c r="D719" s="13">
        <f>Place_data_here!B719</f>
        <v>0</v>
      </c>
    </row>
    <row r="720" spans="1:4" x14ac:dyDescent="0.25">
      <c r="A720" s="16">
        <f>Place_data_here!A720</f>
        <v>0</v>
      </c>
      <c r="B720" s="4" t="e">
        <f t="shared" si="11"/>
        <v>#VALUE!</v>
      </c>
      <c r="C720" s="1" t="e">
        <f>SplineInterp(A720,Own_Spectrum_250cm!$U$2:$U$34,Own_Spectrum_250cm!$V$2:$V$34)*D720</f>
        <v>#VALUE!</v>
      </c>
      <c r="D720" s="13">
        <f>Place_data_here!B720</f>
        <v>0</v>
      </c>
    </row>
    <row r="721" spans="1:4" x14ac:dyDescent="0.25">
      <c r="A721" s="16">
        <f>Place_data_here!A721</f>
        <v>0</v>
      </c>
      <c r="B721" s="4" t="e">
        <f t="shared" si="11"/>
        <v>#VALUE!</v>
      </c>
      <c r="C721" s="1" t="e">
        <f>SplineInterp(A721,Own_Spectrum_250cm!$U$2:$U$34,Own_Spectrum_250cm!$V$2:$V$34)*D721</f>
        <v>#VALUE!</v>
      </c>
      <c r="D721" s="13">
        <f>Place_data_here!B721</f>
        <v>0</v>
      </c>
    </row>
    <row r="722" spans="1:4" x14ac:dyDescent="0.25">
      <c r="A722" s="16">
        <f>Place_data_here!A722</f>
        <v>0</v>
      </c>
      <c r="B722" s="4" t="e">
        <f t="shared" si="11"/>
        <v>#VALUE!</v>
      </c>
      <c r="C722" s="1" t="e">
        <f>SplineInterp(A722,Own_Spectrum_250cm!$U$2:$U$34,Own_Spectrum_250cm!$V$2:$V$34)*D722</f>
        <v>#VALUE!</v>
      </c>
      <c r="D722" s="13">
        <f>Place_data_here!B722</f>
        <v>0</v>
      </c>
    </row>
    <row r="723" spans="1:4" x14ac:dyDescent="0.25">
      <c r="A723" s="16">
        <f>Place_data_here!A723</f>
        <v>0</v>
      </c>
      <c r="B723" s="4" t="e">
        <f t="shared" si="11"/>
        <v>#VALUE!</v>
      </c>
      <c r="C723" s="1" t="e">
        <f>SplineInterp(A723,Own_Spectrum_250cm!$U$2:$U$34,Own_Spectrum_250cm!$V$2:$V$34)*D723</f>
        <v>#VALUE!</v>
      </c>
      <c r="D723" s="13">
        <f>Place_data_here!B723</f>
        <v>0</v>
      </c>
    </row>
    <row r="724" spans="1:4" x14ac:dyDescent="0.25">
      <c r="A724" s="16">
        <f>Place_data_here!A724</f>
        <v>0</v>
      </c>
      <c r="B724" s="4" t="e">
        <f t="shared" si="11"/>
        <v>#VALUE!</v>
      </c>
      <c r="C724" s="1" t="e">
        <f>SplineInterp(A724,Own_Spectrum_250cm!$U$2:$U$34,Own_Spectrum_250cm!$V$2:$V$34)*D724</f>
        <v>#VALUE!</v>
      </c>
      <c r="D724" s="13">
        <f>Place_data_here!B724</f>
        <v>0</v>
      </c>
    </row>
    <row r="725" spans="1:4" x14ac:dyDescent="0.25">
      <c r="A725" s="16">
        <f>Place_data_here!A725</f>
        <v>0</v>
      </c>
      <c r="B725" s="4" t="e">
        <f t="shared" si="11"/>
        <v>#VALUE!</v>
      </c>
      <c r="C725" s="1" t="e">
        <f>SplineInterp(A725,Own_Spectrum_250cm!$U$2:$U$34,Own_Spectrum_250cm!$V$2:$V$34)*D725</f>
        <v>#VALUE!</v>
      </c>
      <c r="D725" s="13">
        <f>Place_data_here!B725</f>
        <v>0</v>
      </c>
    </row>
    <row r="726" spans="1:4" x14ac:dyDescent="0.25">
      <c r="A726" s="16">
        <f>Place_data_here!A726</f>
        <v>0</v>
      </c>
      <c r="B726" s="4" t="e">
        <f t="shared" si="11"/>
        <v>#VALUE!</v>
      </c>
      <c r="C726" s="1" t="e">
        <f>SplineInterp(A726,Own_Spectrum_250cm!$U$2:$U$34,Own_Spectrum_250cm!$V$2:$V$34)*D726</f>
        <v>#VALUE!</v>
      </c>
      <c r="D726" s="13">
        <f>Place_data_here!B726</f>
        <v>0</v>
      </c>
    </row>
    <row r="727" spans="1:4" x14ac:dyDescent="0.25">
      <c r="A727" s="16">
        <f>Place_data_here!A727</f>
        <v>0</v>
      </c>
      <c r="B727" s="4" t="e">
        <f t="shared" si="11"/>
        <v>#VALUE!</v>
      </c>
      <c r="C727" s="1" t="e">
        <f>SplineInterp(A727,Own_Spectrum_250cm!$U$2:$U$34,Own_Spectrum_250cm!$V$2:$V$34)*D727</f>
        <v>#VALUE!</v>
      </c>
      <c r="D727" s="13">
        <f>Place_data_here!B727</f>
        <v>0</v>
      </c>
    </row>
    <row r="728" spans="1:4" x14ac:dyDescent="0.25">
      <c r="A728" s="16">
        <f>Place_data_here!A728</f>
        <v>0</v>
      </c>
      <c r="B728" s="4" t="e">
        <f t="shared" si="11"/>
        <v>#VALUE!</v>
      </c>
      <c r="C728" s="1" t="e">
        <f>SplineInterp(A728,Own_Spectrum_250cm!$U$2:$U$34,Own_Spectrum_250cm!$V$2:$V$34)*D728</f>
        <v>#VALUE!</v>
      </c>
      <c r="D728" s="13">
        <f>Place_data_here!B728</f>
        <v>0</v>
      </c>
    </row>
    <row r="729" spans="1:4" x14ac:dyDescent="0.25">
      <c r="A729" s="16">
        <f>Place_data_here!A729</f>
        <v>0</v>
      </c>
      <c r="B729" s="4" t="e">
        <f t="shared" si="11"/>
        <v>#VALUE!</v>
      </c>
      <c r="C729" s="1" t="e">
        <f>SplineInterp(A729,Own_Spectrum_250cm!$U$2:$U$34,Own_Spectrum_250cm!$V$2:$V$34)*D729</f>
        <v>#VALUE!</v>
      </c>
      <c r="D729" s="13">
        <f>Place_data_here!B729</f>
        <v>0</v>
      </c>
    </row>
    <row r="730" spans="1:4" x14ac:dyDescent="0.25">
      <c r="A730" s="16">
        <f>Place_data_here!A730</f>
        <v>0</v>
      </c>
      <c r="B730" s="4" t="e">
        <f t="shared" si="11"/>
        <v>#VALUE!</v>
      </c>
      <c r="C730" s="1" t="e">
        <f>SplineInterp(A730,Own_Spectrum_250cm!$U$2:$U$34,Own_Spectrum_250cm!$V$2:$V$34)*D730</f>
        <v>#VALUE!</v>
      </c>
      <c r="D730" s="13">
        <f>Place_data_here!B730</f>
        <v>0</v>
      </c>
    </row>
    <row r="731" spans="1:4" x14ac:dyDescent="0.25">
      <c r="A731" s="16">
        <f>Place_data_here!A731</f>
        <v>0</v>
      </c>
      <c r="B731" s="4" t="e">
        <f t="shared" si="11"/>
        <v>#VALUE!</v>
      </c>
      <c r="C731" s="1" t="e">
        <f>SplineInterp(A731,Own_Spectrum_250cm!$U$2:$U$34,Own_Spectrum_250cm!$V$2:$V$34)*D731</f>
        <v>#VALUE!</v>
      </c>
      <c r="D731" s="13">
        <f>Place_data_here!B731</f>
        <v>0</v>
      </c>
    </row>
    <row r="732" spans="1:4" x14ac:dyDescent="0.25">
      <c r="A732" s="16">
        <f>Place_data_here!A732</f>
        <v>0</v>
      </c>
      <c r="B732" s="4" t="e">
        <f t="shared" si="11"/>
        <v>#VALUE!</v>
      </c>
      <c r="C732" s="1" t="e">
        <f>SplineInterp(A732,Own_Spectrum_250cm!$U$2:$U$34,Own_Spectrum_250cm!$V$2:$V$34)*D732</f>
        <v>#VALUE!</v>
      </c>
      <c r="D732" s="13">
        <f>Place_data_here!B732</f>
        <v>0</v>
      </c>
    </row>
    <row r="733" spans="1:4" x14ac:dyDescent="0.25">
      <c r="A733" s="16">
        <f>Place_data_here!A733</f>
        <v>0</v>
      </c>
      <c r="B733" s="4" t="e">
        <f t="shared" si="11"/>
        <v>#VALUE!</v>
      </c>
      <c r="C733" s="1" t="e">
        <f>SplineInterp(A733,Own_Spectrum_250cm!$U$2:$U$34,Own_Spectrum_250cm!$V$2:$V$34)*D733</f>
        <v>#VALUE!</v>
      </c>
      <c r="D733" s="13">
        <f>Place_data_here!B733</f>
        <v>0</v>
      </c>
    </row>
    <row r="734" spans="1:4" x14ac:dyDescent="0.25">
      <c r="A734" s="16">
        <f>Place_data_here!A734</f>
        <v>0</v>
      </c>
      <c r="B734" s="4" t="e">
        <f t="shared" si="11"/>
        <v>#VALUE!</v>
      </c>
      <c r="C734" s="1" t="e">
        <f>SplineInterp(A734,Own_Spectrum_250cm!$U$2:$U$34,Own_Spectrum_250cm!$V$2:$V$34)*D734</f>
        <v>#VALUE!</v>
      </c>
      <c r="D734" s="13">
        <f>Place_data_here!B734</f>
        <v>0</v>
      </c>
    </row>
    <row r="735" spans="1:4" x14ac:dyDescent="0.25">
      <c r="A735" s="16">
        <f>Place_data_here!A735</f>
        <v>0</v>
      </c>
      <c r="B735" s="4" t="e">
        <f t="shared" si="11"/>
        <v>#VALUE!</v>
      </c>
      <c r="C735" s="1" t="e">
        <f>SplineInterp(A735,Own_Spectrum_250cm!$U$2:$U$34,Own_Spectrum_250cm!$V$2:$V$34)*D735</f>
        <v>#VALUE!</v>
      </c>
      <c r="D735" s="13">
        <f>Place_data_here!B735</f>
        <v>0</v>
      </c>
    </row>
    <row r="736" spans="1:4" x14ac:dyDescent="0.25">
      <c r="A736" s="16">
        <f>Place_data_here!A736</f>
        <v>0</v>
      </c>
      <c r="B736" s="4" t="e">
        <f t="shared" si="11"/>
        <v>#VALUE!</v>
      </c>
      <c r="C736" s="1" t="e">
        <f>SplineInterp(A736,Own_Spectrum_250cm!$U$2:$U$34,Own_Spectrum_250cm!$V$2:$V$34)*D736</f>
        <v>#VALUE!</v>
      </c>
      <c r="D736" s="13">
        <f>Place_data_here!B736</f>
        <v>0</v>
      </c>
    </row>
    <row r="737" spans="1:4" x14ac:dyDescent="0.25">
      <c r="A737" s="16">
        <f>Place_data_here!A737</f>
        <v>0</v>
      </c>
      <c r="B737" s="4" t="e">
        <f t="shared" si="11"/>
        <v>#VALUE!</v>
      </c>
      <c r="C737" s="1" t="e">
        <f>SplineInterp(A737,Own_Spectrum_250cm!$U$2:$U$34,Own_Spectrum_250cm!$V$2:$V$34)*D737</f>
        <v>#VALUE!</v>
      </c>
      <c r="D737" s="13">
        <f>Place_data_here!B737</f>
        <v>0</v>
      </c>
    </row>
    <row r="738" spans="1:4" x14ac:dyDescent="0.25">
      <c r="A738" s="16">
        <f>Place_data_here!A738</f>
        <v>0</v>
      </c>
      <c r="B738" s="4" t="e">
        <f t="shared" si="11"/>
        <v>#VALUE!</v>
      </c>
      <c r="C738" s="1" t="e">
        <f>SplineInterp(A738,Own_Spectrum_250cm!$U$2:$U$34,Own_Spectrum_250cm!$V$2:$V$34)*D738</f>
        <v>#VALUE!</v>
      </c>
      <c r="D738" s="13">
        <f>Place_data_here!B738</f>
        <v>0</v>
      </c>
    </row>
    <row r="739" spans="1:4" x14ac:dyDescent="0.25">
      <c r="A739" s="16">
        <f>Place_data_here!A739</f>
        <v>0</v>
      </c>
      <c r="B739" s="4" t="e">
        <f t="shared" si="11"/>
        <v>#VALUE!</v>
      </c>
      <c r="C739" s="1" t="e">
        <f>SplineInterp(A739,Own_Spectrum_250cm!$U$2:$U$34,Own_Spectrum_250cm!$V$2:$V$34)*D739</f>
        <v>#VALUE!</v>
      </c>
      <c r="D739" s="13">
        <f>Place_data_here!B739</f>
        <v>0</v>
      </c>
    </row>
    <row r="740" spans="1:4" x14ac:dyDescent="0.25">
      <c r="A740" s="16">
        <f>Place_data_here!A740</f>
        <v>0</v>
      </c>
      <c r="B740" s="4" t="e">
        <f t="shared" si="11"/>
        <v>#VALUE!</v>
      </c>
      <c r="C740" s="1" t="e">
        <f>SplineInterp(A740,Own_Spectrum_250cm!$U$2:$U$34,Own_Spectrum_250cm!$V$2:$V$34)*D740</f>
        <v>#VALUE!</v>
      </c>
      <c r="D740" s="13">
        <f>Place_data_here!B740</f>
        <v>0</v>
      </c>
    </row>
    <row r="741" spans="1:4" x14ac:dyDescent="0.25">
      <c r="A741" s="16">
        <f>Place_data_here!A741</f>
        <v>0</v>
      </c>
      <c r="B741" s="4" t="e">
        <f t="shared" si="11"/>
        <v>#VALUE!</v>
      </c>
      <c r="C741" s="1" t="e">
        <f>SplineInterp(A741,Own_Spectrum_250cm!$U$2:$U$34,Own_Spectrum_250cm!$V$2:$V$34)*D741</f>
        <v>#VALUE!</v>
      </c>
      <c r="D741" s="13">
        <f>Place_data_here!B741</f>
        <v>0</v>
      </c>
    </row>
    <row r="742" spans="1:4" x14ac:dyDescent="0.25">
      <c r="A742" s="16">
        <f>Place_data_here!A742</f>
        <v>0</v>
      </c>
      <c r="B742" s="4" t="e">
        <f t="shared" si="11"/>
        <v>#VALUE!</v>
      </c>
      <c r="C742" s="1" t="e">
        <f>SplineInterp(A742,Own_Spectrum_250cm!$U$2:$U$34,Own_Spectrum_250cm!$V$2:$V$34)*D742</f>
        <v>#VALUE!</v>
      </c>
      <c r="D742" s="13">
        <f>Place_data_here!B742</f>
        <v>0</v>
      </c>
    </row>
    <row r="743" spans="1:4" x14ac:dyDescent="0.25">
      <c r="A743" s="16">
        <f>Place_data_here!A743</f>
        <v>0</v>
      </c>
      <c r="B743" s="4" t="e">
        <f t="shared" si="11"/>
        <v>#VALUE!</v>
      </c>
      <c r="C743" s="1" t="e">
        <f>SplineInterp(A743,Own_Spectrum_250cm!$U$2:$U$34,Own_Spectrum_250cm!$V$2:$V$34)*D743</f>
        <v>#VALUE!</v>
      </c>
      <c r="D743" s="13">
        <f>Place_data_here!B743</f>
        <v>0</v>
      </c>
    </row>
    <row r="744" spans="1:4" x14ac:dyDescent="0.25">
      <c r="A744" s="16">
        <f>Place_data_here!A744</f>
        <v>0</v>
      </c>
      <c r="B744" s="4" t="e">
        <f t="shared" si="11"/>
        <v>#VALUE!</v>
      </c>
      <c r="C744" s="1" t="e">
        <f>SplineInterp(A744,Own_Spectrum_250cm!$U$2:$U$34,Own_Spectrum_250cm!$V$2:$V$34)*D744</f>
        <v>#VALUE!</v>
      </c>
      <c r="D744" s="13">
        <f>Place_data_here!B744</f>
        <v>0</v>
      </c>
    </row>
    <row r="745" spans="1:4" x14ac:dyDescent="0.25">
      <c r="A745" s="16">
        <f>Place_data_here!A745</f>
        <v>0</v>
      </c>
      <c r="B745" s="4" t="e">
        <f t="shared" si="11"/>
        <v>#VALUE!</v>
      </c>
      <c r="C745" s="1" t="e">
        <f>SplineInterp(A745,Own_Spectrum_250cm!$U$2:$U$34,Own_Spectrum_250cm!$V$2:$V$34)*D745</f>
        <v>#VALUE!</v>
      </c>
      <c r="D745" s="13">
        <f>Place_data_here!B745</f>
        <v>0</v>
      </c>
    </row>
    <row r="746" spans="1:4" x14ac:dyDescent="0.25">
      <c r="A746" s="16">
        <f>Place_data_here!A746</f>
        <v>0</v>
      </c>
      <c r="B746" s="4" t="e">
        <f t="shared" si="11"/>
        <v>#VALUE!</v>
      </c>
      <c r="C746" s="1" t="e">
        <f>SplineInterp(A746,Own_Spectrum_250cm!$U$2:$U$34,Own_Spectrum_250cm!$V$2:$V$34)*D746</f>
        <v>#VALUE!</v>
      </c>
      <c r="D746" s="13">
        <f>Place_data_here!B746</f>
        <v>0</v>
      </c>
    </row>
    <row r="747" spans="1:4" x14ac:dyDescent="0.25">
      <c r="A747" s="16">
        <f>Place_data_here!A747</f>
        <v>0</v>
      </c>
      <c r="B747" s="4" t="e">
        <f t="shared" si="11"/>
        <v>#VALUE!</v>
      </c>
      <c r="C747" s="1" t="e">
        <f>SplineInterp(A747,Own_Spectrum_250cm!$U$2:$U$34,Own_Spectrum_250cm!$V$2:$V$34)*D747</f>
        <v>#VALUE!</v>
      </c>
      <c r="D747" s="13">
        <f>Place_data_here!B747</f>
        <v>0</v>
      </c>
    </row>
    <row r="748" spans="1:4" x14ac:dyDescent="0.25">
      <c r="A748" s="16">
        <f>Place_data_here!A748</f>
        <v>0</v>
      </c>
      <c r="B748" s="4" t="e">
        <f t="shared" si="11"/>
        <v>#VALUE!</v>
      </c>
      <c r="C748" s="1" t="e">
        <f>SplineInterp(A748,Own_Spectrum_250cm!$U$2:$U$34,Own_Spectrum_250cm!$V$2:$V$34)*D748</f>
        <v>#VALUE!</v>
      </c>
      <c r="D748" s="13">
        <f>Place_data_here!B748</f>
        <v>0</v>
      </c>
    </row>
    <row r="749" spans="1:4" x14ac:dyDescent="0.25">
      <c r="A749" s="16">
        <f>Place_data_here!A749</f>
        <v>0</v>
      </c>
      <c r="B749" s="4" t="e">
        <f t="shared" si="11"/>
        <v>#VALUE!</v>
      </c>
      <c r="C749" s="1" t="e">
        <f>SplineInterp(A749,Own_Spectrum_250cm!$U$2:$U$34,Own_Spectrum_250cm!$V$2:$V$34)*D749</f>
        <v>#VALUE!</v>
      </c>
      <c r="D749" s="13">
        <f>Place_data_here!B749</f>
        <v>0</v>
      </c>
    </row>
    <row r="750" spans="1:4" x14ac:dyDescent="0.25">
      <c r="A750" s="16">
        <f>Place_data_here!A750</f>
        <v>0</v>
      </c>
      <c r="B750" s="4" t="e">
        <f t="shared" si="11"/>
        <v>#VALUE!</v>
      </c>
      <c r="C750" s="1" t="e">
        <f>SplineInterp(A750,Own_Spectrum_250cm!$U$2:$U$34,Own_Spectrum_250cm!$V$2:$V$34)*D750</f>
        <v>#VALUE!</v>
      </c>
      <c r="D750" s="13">
        <f>Place_data_here!B750</f>
        <v>0</v>
      </c>
    </row>
    <row r="751" spans="1:4" x14ac:dyDescent="0.25">
      <c r="A751" s="16">
        <f>Place_data_here!A751</f>
        <v>0</v>
      </c>
      <c r="B751" s="4" t="e">
        <f t="shared" si="11"/>
        <v>#VALUE!</v>
      </c>
      <c r="C751" s="1" t="e">
        <f>SplineInterp(A751,Own_Spectrum_250cm!$U$2:$U$34,Own_Spectrum_250cm!$V$2:$V$34)*D751</f>
        <v>#VALUE!</v>
      </c>
      <c r="D751" s="13">
        <f>Place_data_here!B751</f>
        <v>0</v>
      </c>
    </row>
    <row r="752" spans="1:4" x14ac:dyDescent="0.25">
      <c r="A752" s="16">
        <f>Place_data_here!A752</f>
        <v>0</v>
      </c>
      <c r="B752" s="4" t="e">
        <f t="shared" si="11"/>
        <v>#VALUE!</v>
      </c>
      <c r="C752" s="1" t="e">
        <f>SplineInterp(A752,Own_Spectrum_250cm!$U$2:$U$34,Own_Spectrum_250cm!$V$2:$V$34)*D752</f>
        <v>#VALUE!</v>
      </c>
      <c r="D752" s="13">
        <f>Place_data_here!B752</f>
        <v>0</v>
      </c>
    </row>
    <row r="753" spans="1:4" x14ac:dyDescent="0.25">
      <c r="A753" s="16">
        <f>Place_data_here!A753</f>
        <v>0</v>
      </c>
      <c r="B753" s="4" t="e">
        <f t="shared" si="11"/>
        <v>#VALUE!</v>
      </c>
      <c r="C753" s="1" t="e">
        <f>SplineInterp(A753,Own_Spectrum_250cm!$U$2:$U$34,Own_Spectrum_250cm!$V$2:$V$34)*D753</f>
        <v>#VALUE!</v>
      </c>
      <c r="D753" s="13">
        <f>Place_data_here!B753</f>
        <v>0</v>
      </c>
    </row>
    <row r="754" spans="1:4" x14ac:dyDescent="0.25">
      <c r="A754" s="16">
        <f>Place_data_here!A754</f>
        <v>0</v>
      </c>
      <c r="B754" s="4" t="e">
        <f t="shared" si="11"/>
        <v>#VALUE!</v>
      </c>
      <c r="C754" s="1" t="e">
        <f>SplineInterp(A754,Own_Spectrum_250cm!$U$2:$U$34,Own_Spectrum_250cm!$V$2:$V$34)*D754</f>
        <v>#VALUE!</v>
      </c>
      <c r="D754" s="13">
        <f>Place_data_here!B754</f>
        <v>0</v>
      </c>
    </row>
    <row r="755" spans="1:4" x14ac:dyDescent="0.25">
      <c r="A755" s="16">
        <f>Place_data_here!A755</f>
        <v>0</v>
      </c>
      <c r="B755" s="4" t="e">
        <f t="shared" si="11"/>
        <v>#VALUE!</v>
      </c>
      <c r="C755" s="1" t="e">
        <f>SplineInterp(A755,Own_Spectrum_250cm!$U$2:$U$34,Own_Spectrum_250cm!$V$2:$V$34)*D755</f>
        <v>#VALUE!</v>
      </c>
      <c r="D755" s="13">
        <f>Place_data_here!B755</f>
        <v>0</v>
      </c>
    </row>
    <row r="756" spans="1:4" x14ac:dyDescent="0.25">
      <c r="A756" s="16">
        <f>Place_data_here!A756</f>
        <v>0</v>
      </c>
      <c r="B756" s="4" t="e">
        <f t="shared" si="11"/>
        <v>#VALUE!</v>
      </c>
      <c r="C756" s="1" t="e">
        <f>SplineInterp(A756,Own_Spectrum_250cm!$U$2:$U$34,Own_Spectrum_250cm!$V$2:$V$34)*D756</f>
        <v>#VALUE!</v>
      </c>
      <c r="D756" s="13">
        <f>Place_data_here!B756</f>
        <v>0</v>
      </c>
    </row>
    <row r="757" spans="1:4" x14ac:dyDescent="0.25">
      <c r="A757" s="16">
        <f>Place_data_here!A757</f>
        <v>0</v>
      </c>
      <c r="B757" s="4" t="e">
        <f t="shared" si="11"/>
        <v>#VALUE!</v>
      </c>
      <c r="C757" s="1" t="e">
        <f>SplineInterp(A757,Own_Spectrum_250cm!$U$2:$U$34,Own_Spectrum_250cm!$V$2:$V$34)*D757</f>
        <v>#VALUE!</v>
      </c>
      <c r="D757" s="13">
        <f>Place_data_here!B757</f>
        <v>0</v>
      </c>
    </row>
    <row r="758" spans="1:4" x14ac:dyDescent="0.25">
      <c r="A758" s="16">
        <f>Place_data_here!A758</f>
        <v>0</v>
      </c>
      <c r="B758" s="4" t="e">
        <f t="shared" si="11"/>
        <v>#VALUE!</v>
      </c>
      <c r="C758" s="1" t="e">
        <f>SplineInterp(A758,Own_Spectrum_250cm!$U$2:$U$34,Own_Spectrum_250cm!$V$2:$V$34)*D758</f>
        <v>#VALUE!</v>
      </c>
      <c r="D758" s="13">
        <f>Place_data_here!B758</f>
        <v>0</v>
      </c>
    </row>
    <row r="759" spans="1:4" x14ac:dyDescent="0.25">
      <c r="A759" s="16">
        <f>Place_data_here!A759</f>
        <v>0</v>
      </c>
      <c r="B759" s="4" t="e">
        <f t="shared" si="11"/>
        <v>#VALUE!</v>
      </c>
      <c r="C759" s="1" t="e">
        <f>SplineInterp(A759,Own_Spectrum_250cm!$U$2:$U$34,Own_Spectrum_250cm!$V$2:$V$34)*D759</f>
        <v>#VALUE!</v>
      </c>
      <c r="D759" s="13">
        <f>Place_data_here!B759</f>
        <v>0</v>
      </c>
    </row>
    <row r="760" spans="1:4" x14ac:dyDescent="0.25">
      <c r="A760" s="16">
        <f>Place_data_here!A760</f>
        <v>0</v>
      </c>
      <c r="B760" s="4" t="e">
        <f t="shared" si="11"/>
        <v>#VALUE!</v>
      </c>
      <c r="C760" s="1" t="e">
        <f>SplineInterp(A760,Own_Spectrum_250cm!$U$2:$U$34,Own_Spectrum_250cm!$V$2:$V$34)*D760</f>
        <v>#VALUE!</v>
      </c>
      <c r="D760" s="13">
        <f>Place_data_here!B760</f>
        <v>0</v>
      </c>
    </row>
    <row r="761" spans="1:4" x14ac:dyDescent="0.25">
      <c r="A761" s="16">
        <f>Place_data_here!A761</f>
        <v>0</v>
      </c>
      <c r="B761" s="4" t="e">
        <f t="shared" si="11"/>
        <v>#VALUE!</v>
      </c>
      <c r="C761" s="1" t="e">
        <f>SplineInterp(A761,Own_Spectrum_250cm!$U$2:$U$34,Own_Spectrum_250cm!$V$2:$V$34)*D761</f>
        <v>#VALUE!</v>
      </c>
      <c r="D761" s="13">
        <f>Place_data_here!B761</f>
        <v>0</v>
      </c>
    </row>
    <row r="762" spans="1:4" x14ac:dyDescent="0.25">
      <c r="A762" s="16">
        <f>Place_data_here!A762</f>
        <v>0</v>
      </c>
      <c r="B762" s="4" t="e">
        <f t="shared" si="11"/>
        <v>#VALUE!</v>
      </c>
      <c r="C762" s="1" t="e">
        <f>SplineInterp(A762,Own_Spectrum_250cm!$U$2:$U$34,Own_Spectrum_250cm!$V$2:$V$34)*D762</f>
        <v>#VALUE!</v>
      </c>
      <c r="D762" s="13">
        <f>Place_data_here!B762</f>
        <v>0</v>
      </c>
    </row>
    <row r="763" spans="1:4" x14ac:dyDescent="0.25">
      <c r="A763" s="16">
        <f>Place_data_here!A763</f>
        <v>0</v>
      </c>
      <c r="B763" s="4" t="e">
        <f t="shared" si="11"/>
        <v>#VALUE!</v>
      </c>
      <c r="C763" s="1" t="e">
        <f>SplineInterp(A763,Own_Spectrum_250cm!$U$2:$U$34,Own_Spectrum_250cm!$V$2:$V$34)*D763</f>
        <v>#VALUE!</v>
      </c>
      <c r="D763" s="13">
        <f>Place_data_here!B763</f>
        <v>0</v>
      </c>
    </row>
    <row r="764" spans="1:4" x14ac:dyDescent="0.25">
      <c r="A764" s="16">
        <f>Place_data_here!A764</f>
        <v>0</v>
      </c>
      <c r="B764" s="4" t="e">
        <f t="shared" si="11"/>
        <v>#VALUE!</v>
      </c>
      <c r="C764" s="1" t="e">
        <f>SplineInterp(A764,Own_Spectrum_250cm!$U$2:$U$34,Own_Spectrum_250cm!$V$2:$V$34)*D764</f>
        <v>#VALUE!</v>
      </c>
      <c r="D764" s="13">
        <f>Place_data_here!B764</f>
        <v>0</v>
      </c>
    </row>
    <row r="765" spans="1:4" x14ac:dyDescent="0.25">
      <c r="A765" s="16">
        <f>Place_data_here!A765</f>
        <v>0</v>
      </c>
      <c r="B765" s="4" t="e">
        <f t="shared" si="11"/>
        <v>#VALUE!</v>
      </c>
      <c r="C765" s="1" t="e">
        <f>SplineInterp(A765,Own_Spectrum_250cm!$U$2:$U$34,Own_Spectrum_250cm!$V$2:$V$34)*D765</f>
        <v>#VALUE!</v>
      </c>
      <c r="D765" s="13">
        <f>Place_data_here!B765</f>
        <v>0</v>
      </c>
    </row>
    <row r="766" spans="1:4" x14ac:dyDescent="0.25">
      <c r="A766" s="16">
        <f>Place_data_here!A766</f>
        <v>0</v>
      </c>
      <c r="B766" s="4" t="e">
        <f t="shared" si="11"/>
        <v>#VALUE!</v>
      </c>
      <c r="C766" s="1" t="e">
        <f>SplineInterp(A766,Own_Spectrum_250cm!$U$2:$U$34,Own_Spectrum_250cm!$V$2:$V$34)*D766</f>
        <v>#VALUE!</v>
      </c>
      <c r="D766" s="13">
        <f>Place_data_here!B766</f>
        <v>0</v>
      </c>
    </row>
    <row r="767" spans="1:4" x14ac:dyDescent="0.25">
      <c r="A767" s="16">
        <f>Place_data_here!A767</f>
        <v>0</v>
      </c>
      <c r="B767" s="4" t="e">
        <f t="shared" si="11"/>
        <v>#VALUE!</v>
      </c>
      <c r="C767" s="1" t="e">
        <f>SplineInterp(A767,Own_Spectrum_250cm!$U$2:$U$34,Own_Spectrum_250cm!$V$2:$V$34)*D767</f>
        <v>#VALUE!</v>
      </c>
      <c r="D767" s="13">
        <f>Place_data_here!B767</f>
        <v>0</v>
      </c>
    </row>
    <row r="768" spans="1:4" x14ac:dyDescent="0.25">
      <c r="A768" s="16">
        <f>Place_data_here!A768</f>
        <v>0</v>
      </c>
      <c r="B768" s="4" t="e">
        <f t="shared" si="11"/>
        <v>#VALUE!</v>
      </c>
      <c r="C768" s="1" t="e">
        <f>SplineInterp(A768,Own_Spectrum_250cm!$U$2:$U$34,Own_Spectrum_250cm!$V$2:$V$34)*D768</f>
        <v>#VALUE!</v>
      </c>
      <c r="D768" s="13">
        <f>Place_data_here!B768</f>
        <v>0</v>
      </c>
    </row>
    <row r="769" spans="1:4" x14ac:dyDescent="0.25">
      <c r="A769" s="16">
        <f>Place_data_here!A769</f>
        <v>0</v>
      </c>
      <c r="B769" s="4" t="e">
        <f t="shared" si="11"/>
        <v>#VALUE!</v>
      </c>
      <c r="C769" s="1" t="e">
        <f>SplineInterp(A769,Own_Spectrum_250cm!$U$2:$U$34,Own_Spectrum_250cm!$V$2:$V$34)*D769</f>
        <v>#VALUE!</v>
      </c>
      <c r="D769" s="13">
        <f>Place_data_here!B769</f>
        <v>0</v>
      </c>
    </row>
    <row r="770" spans="1:4" x14ac:dyDescent="0.25">
      <c r="A770" s="16">
        <f>Place_data_here!A770</f>
        <v>0</v>
      </c>
      <c r="B770" s="4" t="e">
        <f t="shared" si="11"/>
        <v>#VALUE!</v>
      </c>
      <c r="C770" s="1" t="e">
        <f>SplineInterp(A770,Own_Spectrum_250cm!$U$2:$U$34,Own_Spectrum_250cm!$V$2:$V$34)*D770</f>
        <v>#VALUE!</v>
      </c>
      <c r="D770" s="13">
        <f>Place_data_here!B770</f>
        <v>0</v>
      </c>
    </row>
    <row r="771" spans="1:4" x14ac:dyDescent="0.25">
      <c r="A771" s="16">
        <f>Place_data_here!A771</f>
        <v>0</v>
      </c>
      <c r="B771" s="4" t="e">
        <f t="shared" ref="B771:B834" si="12">C771/$C$1028</f>
        <v>#VALUE!</v>
      </c>
      <c r="C771" s="1" t="e">
        <f>SplineInterp(A771,Own_Spectrum_250cm!$U$2:$U$34,Own_Spectrum_250cm!$V$2:$V$34)*D771</f>
        <v>#VALUE!</v>
      </c>
      <c r="D771" s="13">
        <f>Place_data_here!B771</f>
        <v>0</v>
      </c>
    </row>
    <row r="772" spans="1:4" x14ac:dyDescent="0.25">
      <c r="A772" s="16">
        <f>Place_data_here!A772</f>
        <v>0</v>
      </c>
      <c r="B772" s="4" t="e">
        <f t="shared" si="12"/>
        <v>#VALUE!</v>
      </c>
      <c r="C772" s="1" t="e">
        <f>SplineInterp(A772,Own_Spectrum_250cm!$U$2:$U$34,Own_Spectrum_250cm!$V$2:$V$34)*D772</f>
        <v>#VALUE!</v>
      </c>
      <c r="D772" s="13">
        <f>Place_data_here!B772</f>
        <v>0</v>
      </c>
    </row>
    <row r="773" spans="1:4" x14ac:dyDescent="0.25">
      <c r="A773" s="16">
        <f>Place_data_here!A773</f>
        <v>0</v>
      </c>
      <c r="B773" s="4" t="e">
        <f t="shared" si="12"/>
        <v>#VALUE!</v>
      </c>
      <c r="C773" s="1" t="e">
        <f>SplineInterp(A773,Own_Spectrum_250cm!$U$2:$U$34,Own_Spectrum_250cm!$V$2:$V$34)*D773</f>
        <v>#VALUE!</v>
      </c>
      <c r="D773" s="13">
        <f>Place_data_here!B773</f>
        <v>0</v>
      </c>
    </row>
    <row r="774" spans="1:4" x14ac:dyDescent="0.25">
      <c r="A774" s="16">
        <f>Place_data_here!A774</f>
        <v>0</v>
      </c>
      <c r="B774" s="4" t="e">
        <f t="shared" si="12"/>
        <v>#VALUE!</v>
      </c>
      <c r="C774" s="1" t="e">
        <f>SplineInterp(A774,Own_Spectrum_250cm!$U$2:$U$34,Own_Spectrum_250cm!$V$2:$V$34)*D774</f>
        <v>#VALUE!</v>
      </c>
      <c r="D774" s="13">
        <f>Place_data_here!B774</f>
        <v>0</v>
      </c>
    </row>
    <row r="775" spans="1:4" x14ac:dyDescent="0.25">
      <c r="A775" s="16">
        <f>Place_data_here!A775</f>
        <v>0</v>
      </c>
      <c r="B775" s="4" t="e">
        <f t="shared" si="12"/>
        <v>#VALUE!</v>
      </c>
      <c r="C775" s="1" t="e">
        <f>SplineInterp(A775,Own_Spectrum_250cm!$U$2:$U$34,Own_Spectrum_250cm!$V$2:$V$34)*D775</f>
        <v>#VALUE!</v>
      </c>
      <c r="D775" s="13">
        <f>Place_data_here!B775</f>
        <v>0</v>
      </c>
    </row>
    <row r="776" spans="1:4" x14ac:dyDescent="0.25">
      <c r="A776" s="16">
        <f>Place_data_here!A776</f>
        <v>0</v>
      </c>
      <c r="B776" s="4" t="e">
        <f t="shared" si="12"/>
        <v>#VALUE!</v>
      </c>
      <c r="C776" s="1" t="e">
        <f>SplineInterp(A776,Own_Spectrum_250cm!$U$2:$U$34,Own_Spectrum_250cm!$V$2:$V$34)*D776</f>
        <v>#VALUE!</v>
      </c>
      <c r="D776" s="13">
        <f>Place_data_here!B776</f>
        <v>0</v>
      </c>
    </row>
    <row r="777" spans="1:4" x14ac:dyDescent="0.25">
      <c r="A777" s="16">
        <f>Place_data_here!A777</f>
        <v>0</v>
      </c>
      <c r="B777" s="4" t="e">
        <f t="shared" si="12"/>
        <v>#VALUE!</v>
      </c>
      <c r="C777" s="1" t="e">
        <f>SplineInterp(A777,Own_Spectrum_250cm!$U$2:$U$34,Own_Spectrum_250cm!$V$2:$V$34)*D777</f>
        <v>#VALUE!</v>
      </c>
      <c r="D777" s="13">
        <f>Place_data_here!B777</f>
        <v>0</v>
      </c>
    </row>
    <row r="778" spans="1:4" x14ac:dyDescent="0.25">
      <c r="A778" s="16">
        <f>Place_data_here!A778</f>
        <v>0</v>
      </c>
      <c r="B778" s="4" t="e">
        <f t="shared" si="12"/>
        <v>#VALUE!</v>
      </c>
      <c r="C778" s="1" t="e">
        <f>SplineInterp(A778,Own_Spectrum_250cm!$U$2:$U$34,Own_Spectrum_250cm!$V$2:$V$34)*D778</f>
        <v>#VALUE!</v>
      </c>
      <c r="D778" s="13">
        <f>Place_data_here!B778</f>
        <v>0</v>
      </c>
    </row>
    <row r="779" spans="1:4" x14ac:dyDescent="0.25">
      <c r="A779" s="16">
        <f>Place_data_here!A779</f>
        <v>0</v>
      </c>
      <c r="B779" s="4" t="e">
        <f t="shared" si="12"/>
        <v>#VALUE!</v>
      </c>
      <c r="C779" s="1" t="e">
        <f>SplineInterp(A779,Own_Spectrum_250cm!$U$2:$U$34,Own_Spectrum_250cm!$V$2:$V$34)*D779</f>
        <v>#VALUE!</v>
      </c>
      <c r="D779" s="13">
        <f>Place_data_here!B779</f>
        <v>0</v>
      </c>
    </row>
    <row r="780" spans="1:4" x14ac:dyDescent="0.25">
      <c r="A780" s="16">
        <f>Place_data_here!A780</f>
        <v>0</v>
      </c>
      <c r="B780" s="4" t="e">
        <f t="shared" si="12"/>
        <v>#VALUE!</v>
      </c>
      <c r="C780" s="1" t="e">
        <f>SplineInterp(A780,Own_Spectrum_250cm!$U$2:$U$34,Own_Spectrum_250cm!$V$2:$V$34)*D780</f>
        <v>#VALUE!</v>
      </c>
      <c r="D780" s="13">
        <f>Place_data_here!B780</f>
        <v>0</v>
      </c>
    </row>
    <row r="781" spans="1:4" x14ac:dyDescent="0.25">
      <c r="A781" s="16">
        <f>Place_data_here!A781</f>
        <v>0</v>
      </c>
      <c r="B781" s="4" t="e">
        <f t="shared" si="12"/>
        <v>#VALUE!</v>
      </c>
      <c r="C781" s="1" t="e">
        <f>SplineInterp(A781,Own_Spectrum_250cm!$U$2:$U$34,Own_Spectrum_250cm!$V$2:$V$34)*D781</f>
        <v>#VALUE!</v>
      </c>
      <c r="D781" s="13">
        <f>Place_data_here!B781</f>
        <v>0</v>
      </c>
    </row>
    <row r="782" spans="1:4" x14ac:dyDescent="0.25">
      <c r="A782" s="16">
        <f>Place_data_here!A782</f>
        <v>0</v>
      </c>
      <c r="B782" s="4" t="e">
        <f t="shared" si="12"/>
        <v>#VALUE!</v>
      </c>
      <c r="C782" s="1" t="e">
        <f>SplineInterp(A782,Own_Spectrum_250cm!$U$2:$U$34,Own_Spectrum_250cm!$V$2:$V$34)*D782</f>
        <v>#VALUE!</v>
      </c>
      <c r="D782" s="13">
        <f>Place_data_here!B782</f>
        <v>0</v>
      </c>
    </row>
    <row r="783" spans="1:4" x14ac:dyDescent="0.25">
      <c r="A783" s="16">
        <f>Place_data_here!A783</f>
        <v>0</v>
      </c>
      <c r="B783" s="4" t="e">
        <f t="shared" si="12"/>
        <v>#VALUE!</v>
      </c>
      <c r="C783" s="1" t="e">
        <f>SplineInterp(A783,Own_Spectrum_250cm!$U$2:$U$34,Own_Spectrum_250cm!$V$2:$V$34)*D783</f>
        <v>#VALUE!</v>
      </c>
      <c r="D783" s="13">
        <f>Place_data_here!B783</f>
        <v>0</v>
      </c>
    </row>
    <row r="784" spans="1:4" x14ac:dyDescent="0.25">
      <c r="A784" s="16">
        <f>Place_data_here!A784</f>
        <v>0</v>
      </c>
      <c r="B784" s="4" t="e">
        <f t="shared" si="12"/>
        <v>#VALUE!</v>
      </c>
      <c r="C784" s="1" t="e">
        <f>SplineInterp(A784,Own_Spectrum_250cm!$U$2:$U$34,Own_Spectrum_250cm!$V$2:$V$34)*D784</f>
        <v>#VALUE!</v>
      </c>
      <c r="D784" s="13">
        <f>Place_data_here!B784</f>
        <v>0</v>
      </c>
    </row>
    <row r="785" spans="1:4" x14ac:dyDescent="0.25">
      <c r="A785" s="16">
        <f>Place_data_here!A785</f>
        <v>0</v>
      </c>
      <c r="B785" s="4" t="e">
        <f t="shared" si="12"/>
        <v>#VALUE!</v>
      </c>
      <c r="C785" s="1" t="e">
        <f>SplineInterp(A785,Own_Spectrum_250cm!$U$2:$U$34,Own_Spectrum_250cm!$V$2:$V$34)*D785</f>
        <v>#VALUE!</v>
      </c>
      <c r="D785" s="13">
        <f>Place_data_here!B785</f>
        <v>0</v>
      </c>
    </row>
    <row r="786" spans="1:4" x14ac:dyDescent="0.25">
      <c r="A786" s="16">
        <f>Place_data_here!A786</f>
        <v>0</v>
      </c>
      <c r="B786" s="4" t="e">
        <f t="shared" si="12"/>
        <v>#VALUE!</v>
      </c>
      <c r="C786" s="1" t="e">
        <f>SplineInterp(A786,Own_Spectrum_250cm!$U$2:$U$34,Own_Spectrum_250cm!$V$2:$V$34)*D786</f>
        <v>#VALUE!</v>
      </c>
      <c r="D786" s="13">
        <f>Place_data_here!B786</f>
        <v>0</v>
      </c>
    </row>
    <row r="787" spans="1:4" x14ac:dyDescent="0.25">
      <c r="A787" s="16">
        <f>Place_data_here!A787</f>
        <v>0</v>
      </c>
      <c r="B787" s="4" t="e">
        <f t="shared" si="12"/>
        <v>#VALUE!</v>
      </c>
      <c r="C787" s="1" t="e">
        <f>SplineInterp(A787,Own_Spectrum_250cm!$U$2:$U$34,Own_Spectrum_250cm!$V$2:$V$34)*D787</f>
        <v>#VALUE!</v>
      </c>
      <c r="D787" s="13">
        <f>Place_data_here!B787</f>
        <v>0</v>
      </c>
    </row>
    <row r="788" spans="1:4" x14ac:dyDescent="0.25">
      <c r="A788" s="16">
        <f>Place_data_here!A788</f>
        <v>0</v>
      </c>
      <c r="B788" s="4" t="e">
        <f t="shared" si="12"/>
        <v>#VALUE!</v>
      </c>
      <c r="C788" s="1" t="e">
        <f>SplineInterp(A788,Own_Spectrum_250cm!$U$2:$U$34,Own_Spectrum_250cm!$V$2:$V$34)*D788</f>
        <v>#VALUE!</v>
      </c>
      <c r="D788" s="13">
        <f>Place_data_here!B788</f>
        <v>0</v>
      </c>
    </row>
    <row r="789" spans="1:4" x14ac:dyDescent="0.25">
      <c r="A789" s="16">
        <f>Place_data_here!A789</f>
        <v>0</v>
      </c>
      <c r="B789" s="4" t="e">
        <f t="shared" si="12"/>
        <v>#VALUE!</v>
      </c>
      <c r="C789" s="1" t="e">
        <f>SplineInterp(A789,Own_Spectrum_250cm!$U$2:$U$34,Own_Spectrum_250cm!$V$2:$V$34)*D789</f>
        <v>#VALUE!</v>
      </c>
      <c r="D789" s="13">
        <f>Place_data_here!B789</f>
        <v>0</v>
      </c>
    </row>
    <row r="790" spans="1:4" x14ac:dyDescent="0.25">
      <c r="A790" s="16">
        <f>Place_data_here!A790</f>
        <v>0</v>
      </c>
      <c r="B790" s="4" t="e">
        <f t="shared" si="12"/>
        <v>#VALUE!</v>
      </c>
      <c r="C790" s="1" t="e">
        <f>SplineInterp(A790,Own_Spectrum_250cm!$U$2:$U$34,Own_Spectrum_250cm!$V$2:$V$34)*D790</f>
        <v>#VALUE!</v>
      </c>
      <c r="D790" s="13">
        <f>Place_data_here!B790</f>
        <v>0</v>
      </c>
    </row>
    <row r="791" spans="1:4" x14ac:dyDescent="0.25">
      <c r="A791" s="16">
        <f>Place_data_here!A791</f>
        <v>0</v>
      </c>
      <c r="B791" s="4" t="e">
        <f t="shared" si="12"/>
        <v>#VALUE!</v>
      </c>
      <c r="C791" s="1" t="e">
        <f>SplineInterp(A791,Own_Spectrum_250cm!$U$2:$U$34,Own_Spectrum_250cm!$V$2:$V$34)*D791</f>
        <v>#VALUE!</v>
      </c>
      <c r="D791" s="13">
        <f>Place_data_here!B791</f>
        <v>0</v>
      </c>
    </row>
    <row r="792" spans="1:4" x14ac:dyDescent="0.25">
      <c r="A792" s="16">
        <f>Place_data_here!A792</f>
        <v>0</v>
      </c>
      <c r="B792" s="4" t="e">
        <f t="shared" si="12"/>
        <v>#VALUE!</v>
      </c>
      <c r="C792" s="1" t="e">
        <f>SplineInterp(A792,Own_Spectrum_250cm!$U$2:$U$34,Own_Spectrum_250cm!$V$2:$V$34)*D792</f>
        <v>#VALUE!</v>
      </c>
      <c r="D792" s="13">
        <f>Place_data_here!B792</f>
        <v>0</v>
      </c>
    </row>
    <row r="793" spans="1:4" x14ac:dyDescent="0.25">
      <c r="A793" s="16">
        <f>Place_data_here!A793</f>
        <v>0</v>
      </c>
      <c r="B793" s="4" t="e">
        <f t="shared" si="12"/>
        <v>#VALUE!</v>
      </c>
      <c r="C793" s="1" t="e">
        <f>SplineInterp(A793,Own_Spectrum_250cm!$U$2:$U$34,Own_Spectrum_250cm!$V$2:$V$34)*D793</f>
        <v>#VALUE!</v>
      </c>
      <c r="D793" s="13">
        <f>Place_data_here!B793</f>
        <v>0</v>
      </c>
    </row>
    <row r="794" spans="1:4" x14ac:dyDescent="0.25">
      <c r="A794" s="16">
        <f>Place_data_here!A794</f>
        <v>0</v>
      </c>
      <c r="B794" s="4" t="e">
        <f t="shared" si="12"/>
        <v>#VALUE!</v>
      </c>
      <c r="C794" s="1" t="e">
        <f>SplineInterp(A794,Own_Spectrum_250cm!$U$2:$U$34,Own_Spectrum_250cm!$V$2:$V$34)*D794</f>
        <v>#VALUE!</v>
      </c>
      <c r="D794" s="13">
        <f>Place_data_here!B794</f>
        <v>0</v>
      </c>
    </row>
    <row r="795" spans="1:4" x14ac:dyDescent="0.25">
      <c r="A795" s="16">
        <f>Place_data_here!A795</f>
        <v>0</v>
      </c>
      <c r="B795" s="4" t="e">
        <f t="shared" si="12"/>
        <v>#VALUE!</v>
      </c>
      <c r="C795" s="1" t="e">
        <f>SplineInterp(A795,Own_Spectrum_250cm!$U$2:$U$34,Own_Spectrum_250cm!$V$2:$V$34)*D795</f>
        <v>#VALUE!</v>
      </c>
      <c r="D795" s="13">
        <f>Place_data_here!B795</f>
        <v>0</v>
      </c>
    </row>
    <row r="796" spans="1:4" x14ac:dyDescent="0.25">
      <c r="A796" s="16">
        <f>Place_data_here!A796</f>
        <v>0</v>
      </c>
      <c r="B796" s="4" t="e">
        <f t="shared" si="12"/>
        <v>#VALUE!</v>
      </c>
      <c r="C796" s="1" t="e">
        <f>SplineInterp(A796,Own_Spectrum_250cm!$U$2:$U$34,Own_Spectrum_250cm!$V$2:$V$34)*D796</f>
        <v>#VALUE!</v>
      </c>
      <c r="D796" s="13">
        <f>Place_data_here!B796</f>
        <v>0</v>
      </c>
    </row>
    <row r="797" spans="1:4" x14ac:dyDescent="0.25">
      <c r="A797" s="16">
        <f>Place_data_here!A797</f>
        <v>0</v>
      </c>
      <c r="B797" s="4" t="e">
        <f t="shared" si="12"/>
        <v>#VALUE!</v>
      </c>
      <c r="C797" s="1" t="e">
        <f>SplineInterp(A797,Own_Spectrum_250cm!$U$2:$U$34,Own_Spectrum_250cm!$V$2:$V$34)*D797</f>
        <v>#VALUE!</v>
      </c>
      <c r="D797" s="13">
        <f>Place_data_here!B797</f>
        <v>0</v>
      </c>
    </row>
    <row r="798" spans="1:4" x14ac:dyDescent="0.25">
      <c r="A798" s="16">
        <f>Place_data_here!A798</f>
        <v>0</v>
      </c>
      <c r="B798" s="4" t="e">
        <f t="shared" si="12"/>
        <v>#VALUE!</v>
      </c>
      <c r="C798" s="1" t="e">
        <f>SplineInterp(A798,Own_Spectrum_250cm!$U$2:$U$34,Own_Spectrum_250cm!$V$2:$V$34)*D798</f>
        <v>#VALUE!</v>
      </c>
      <c r="D798" s="13">
        <f>Place_data_here!B798</f>
        <v>0</v>
      </c>
    </row>
    <row r="799" spans="1:4" x14ac:dyDescent="0.25">
      <c r="A799" s="16">
        <f>Place_data_here!A799</f>
        <v>0</v>
      </c>
      <c r="B799" s="4" t="e">
        <f t="shared" si="12"/>
        <v>#VALUE!</v>
      </c>
      <c r="C799" s="1" t="e">
        <f>SplineInterp(A799,Own_Spectrum_250cm!$U$2:$U$34,Own_Spectrum_250cm!$V$2:$V$34)*D799</f>
        <v>#VALUE!</v>
      </c>
      <c r="D799" s="13">
        <f>Place_data_here!B799</f>
        <v>0</v>
      </c>
    </row>
    <row r="800" spans="1:4" x14ac:dyDescent="0.25">
      <c r="A800" s="16">
        <f>Place_data_here!A800</f>
        <v>0</v>
      </c>
      <c r="B800" s="4" t="e">
        <f t="shared" si="12"/>
        <v>#VALUE!</v>
      </c>
      <c r="C800" s="1" t="e">
        <f>SplineInterp(A800,Own_Spectrum_250cm!$U$2:$U$34,Own_Spectrum_250cm!$V$2:$V$34)*D800</f>
        <v>#VALUE!</v>
      </c>
      <c r="D800" s="13">
        <f>Place_data_here!B800</f>
        <v>0</v>
      </c>
    </row>
    <row r="801" spans="1:4" x14ac:dyDescent="0.25">
      <c r="A801" s="16">
        <f>Place_data_here!A801</f>
        <v>0</v>
      </c>
      <c r="B801" s="4" t="e">
        <f t="shared" si="12"/>
        <v>#VALUE!</v>
      </c>
      <c r="C801" s="1" t="e">
        <f>SplineInterp(A801,Own_Spectrum_250cm!$U$2:$U$34,Own_Spectrum_250cm!$V$2:$V$34)*D801</f>
        <v>#VALUE!</v>
      </c>
      <c r="D801" s="13">
        <f>Place_data_here!B801</f>
        <v>0</v>
      </c>
    </row>
    <row r="802" spans="1:4" x14ac:dyDescent="0.25">
      <c r="A802" s="16">
        <f>Place_data_here!A802</f>
        <v>0</v>
      </c>
      <c r="B802" s="4" t="e">
        <f t="shared" si="12"/>
        <v>#VALUE!</v>
      </c>
      <c r="C802" s="1" t="e">
        <f>SplineInterp(A802,Own_Spectrum_250cm!$U$2:$U$34,Own_Spectrum_250cm!$V$2:$V$34)*D802</f>
        <v>#VALUE!</v>
      </c>
      <c r="D802" s="13">
        <f>Place_data_here!B802</f>
        <v>0</v>
      </c>
    </row>
    <row r="803" spans="1:4" x14ac:dyDescent="0.25">
      <c r="A803" s="16">
        <f>Place_data_here!A803</f>
        <v>0</v>
      </c>
      <c r="B803" s="4" t="e">
        <f t="shared" si="12"/>
        <v>#VALUE!</v>
      </c>
      <c r="C803" s="1" t="e">
        <f>SplineInterp(A803,Own_Spectrum_250cm!$U$2:$U$34,Own_Spectrum_250cm!$V$2:$V$34)*D803</f>
        <v>#VALUE!</v>
      </c>
      <c r="D803" s="13">
        <f>Place_data_here!B803</f>
        <v>0</v>
      </c>
    </row>
    <row r="804" spans="1:4" x14ac:dyDescent="0.25">
      <c r="A804" s="16">
        <f>Place_data_here!A804</f>
        <v>0</v>
      </c>
      <c r="B804" s="4" t="e">
        <f t="shared" si="12"/>
        <v>#VALUE!</v>
      </c>
      <c r="C804" s="1" t="e">
        <f>SplineInterp(A804,Own_Spectrum_250cm!$U$2:$U$34,Own_Spectrum_250cm!$V$2:$V$34)*D804</f>
        <v>#VALUE!</v>
      </c>
      <c r="D804" s="13">
        <f>Place_data_here!B804</f>
        <v>0</v>
      </c>
    </row>
    <row r="805" spans="1:4" x14ac:dyDescent="0.25">
      <c r="A805" s="16">
        <f>Place_data_here!A805</f>
        <v>0</v>
      </c>
      <c r="B805" s="4" t="e">
        <f t="shared" si="12"/>
        <v>#VALUE!</v>
      </c>
      <c r="C805" s="1" t="e">
        <f>SplineInterp(A805,Own_Spectrum_250cm!$U$2:$U$34,Own_Spectrum_250cm!$V$2:$V$34)*D805</f>
        <v>#VALUE!</v>
      </c>
      <c r="D805" s="13">
        <f>Place_data_here!B805</f>
        <v>0</v>
      </c>
    </row>
    <row r="806" spans="1:4" x14ac:dyDescent="0.25">
      <c r="A806" s="16">
        <f>Place_data_here!A806</f>
        <v>0</v>
      </c>
      <c r="B806" s="4" t="e">
        <f t="shared" si="12"/>
        <v>#VALUE!</v>
      </c>
      <c r="C806" s="1" t="e">
        <f>SplineInterp(A806,Own_Spectrum_250cm!$U$2:$U$34,Own_Spectrum_250cm!$V$2:$V$34)*D806</f>
        <v>#VALUE!</v>
      </c>
      <c r="D806" s="13">
        <f>Place_data_here!B806</f>
        <v>0</v>
      </c>
    </row>
    <row r="807" spans="1:4" x14ac:dyDescent="0.25">
      <c r="A807" s="16">
        <f>Place_data_here!A807</f>
        <v>0</v>
      </c>
      <c r="B807" s="4" t="e">
        <f t="shared" si="12"/>
        <v>#VALUE!</v>
      </c>
      <c r="C807" s="1" t="e">
        <f>SplineInterp(A807,Own_Spectrum_250cm!$U$2:$U$34,Own_Spectrum_250cm!$V$2:$V$34)*D807</f>
        <v>#VALUE!</v>
      </c>
      <c r="D807" s="13">
        <f>Place_data_here!B807</f>
        <v>0</v>
      </c>
    </row>
    <row r="808" spans="1:4" x14ac:dyDescent="0.25">
      <c r="A808" s="16">
        <f>Place_data_here!A808</f>
        <v>0</v>
      </c>
      <c r="B808" s="4" t="e">
        <f t="shared" si="12"/>
        <v>#VALUE!</v>
      </c>
      <c r="C808" s="1" t="e">
        <f>SplineInterp(A808,Own_Spectrum_250cm!$U$2:$U$34,Own_Spectrum_250cm!$V$2:$V$34)*D808</f>
        <v>#VALUE!</v>
      </c>
      <c r="D808" s="13">
        <f>Place_data_here!B808</f>
        <v>0</v>
      </c>
    </row>
    <row r="809" spans="1:4" x14ac:dyDescent="0.25">
      <c r="A809" s="16">
        <f>Place_data_here!A809</f>
        <v>0</v>
      </c>
      <c r="B809" s="4" t="e">
        <f t="shared" si="12"/>
        <v>#VALUE!</v>
      </c>
      <c r="C809" s="1" t="e">
        <f>SplineInterp(A809,Own_Spectrum_250cm!$U$2:$U$34,Own_Spectrum_250cm!$V$2:$V$34)*D809</f>
        <v>#VALUE!</v>
      </c>
      <c r="D809" s="13">
        <f>Place_data_here!B809</f>
        <v>0</v>
      </c>
    </row>
    <row r="810" spans="1:4" x14ac:dyDescent="0.25">
      <c r="A810" s="16">
        <f>Place_data_here!A810</f>
        <v>0</v>
      </c>
      <c r="B810" s="4" t="e">
        <f t="shared" si="12"/>
        <v>#VALUE!</v>
      </c>
      <c r="C810" s="1" t="e">
        <f>SplineInterp(A810,Own_Spectrum_250cm!$U$2:$U$34,Own_Spectrum_250cm!$V$2:$V$34)*D810</f>
        <v>#VALUE!</v>
      </c>
      <c r="D810" s="13">
        <f>Place_data_here!B810</f>
        <v>0</v>
      </c>
    </row>
    <row r="811" spans="1:4" x14ac:dyDescent="0.25">
      <c r="A811" s="16">
        <f>Place_data_here!A811</f>
        <v>0</v>
      </c>
      <c r="B811" s="4" t="e">
        <f t="shared" si="12"/>
        <v>#VALUE!</v>
      </c>
      <c r="C811" s="1" t="e">
        <f>SplineInterp(A811,Own_Spectrum_250cm!$U$2:$U$34,Own_Spectrum_250cm!$V$2:$V$34)*D811</f>
        <v>#VALUE!</v>
      </c>
      <c r="D811" s="13">
        <f>Place_data_here!B811</f>
        <v>0</v>
      </c>
    </row>
    <row r="812" spans="1:4" x14ac:dyDescent="0.25">
      <c r="A812" s="16">
        <f>Place_data_here!A812</f>
        <v>0</v>
      </c>
      <c r="B812" s="4" t="e">
        <f t="shared" si="12"/>
        <v>#VALUE!</v>
      </c>
      <c r="C812" s="1" t="e">
        <f>SplineInterp(A812,Own_Spectrum_250cm!$U$2:$U$34,Own_Spectrum_250cm!$V$2:$V$34)*D812</f>
        <v>#VALUE!</v>
      </c>
      <c r="D812" s="13">
        <f>Place_data_here!B812</f>
        <v>0</v>
      </c>
    </row>
    <row r="813" spans="1:4" x14ac:dyDescent="0.25">
      <c r="A813" s="16">
        <f>Place_data_here!A813</f>
        <v>0</v>
      </c>
      <c r="B813" s="4" t="e">
        <f t="shared" si="12"/>
        <v>#VALUE!</v>
      </c>
      <c r="C813" s="1" t="e">
        <f>SplineInterp(A813,Own_Spectrum_250cm!$U$2:$U$34,Own_Spectrum_250cm!$V$2:$V$34)*D813</f>
        <v>#VALUE!</v>
      </c>
      <c r="D813" s="13">
        <f>Place_data_here!B813</f>
        <v>0</v>
      </c>
    </row>
    <row r="814" spans="1:4" x14ac:dyDescent="0.25">
      <c r="A814" s="16">
        <f>Place_data_here!A814</f>
        <v>0</v>
      </c>
      <c r="B814" s="4" t="e">
        <f t="shared" si="12"/>
        <v>#VALUE!</v>
      </c>
      <c r="C814" s="1" t="e">
        <f>SplineInterp(A814,Own_Spectrum_250cm!$U$2:$U$34,Own_Spectrum_250cm!$V$2:$V$34)*D814</f>
        <v>#VALUE!</v>
      </c>
      <c r="D814" s="13">
        <f>Place_data_here!B814</f>
        <v>0</v>
      </c>
    </row>
    <row r="815" spans="1:4" x14ac:dyDescent="0.25">
      <c r="A815" s="16">
        <f>Place_data_here!A815</f>
        <v>0</v>
      </c>
      <c r="B815" s="4" t="e">
        <f t="shared" si="12"/>
        <v>#VALUE!</v>
      </c>
      <c r="C815" s="1" t="e">
        <f>SplineInterp(A815,Own_Spectrum_250cm!$U$2:$U$34,Own_Spectrum_250cm!$V$2:$V$34)*D815</f>
        <v>#VALUE!</v>
      </c>
      <c r="D815" s="13">
        <f>Place_data_here!B815</f>
        <v>0</v>
      </c>
    </row>
    <row r="816" spans="1:4" x14ac:dyDescent="0.25">
      <c r="A816" s="16">
        <f>Place_data_here!A816</f>
        <v>0</v>
      </c>
      <c r="B816" s="4" t="e">
        <f t="shared" si="12"/>
        <v>#VALUE!</v>
      </c>
      <c r="C816" s="1" t="e">
        <f>SplineInterp(A816,Own_Spectrum_250cm!$U$2:$U$34,Own_Spectrum_250cm!$V$2:$V$34)*D816</f>
        <v>#VALUE!</v>
      </c>
      <c r="D816" s="13">
        <f>Place_data_here!B816</f>
        <v>0</v>
      </c>
    </row>
    <row r="817" spans="1:4" x14ac:dyDescent="0.25">
      <c r="A817" s="16">
        <f>Place_data_here!A817</f>
        <v>0</v>
      </c>
      <c r="B817" s="4" t="e">
        <f t="shared" si="12"/>
        <v>#VALUE!</v>
      </c>
      <c r="C817" s="1" t="e">
        <f>SplineInterp(A817,Own_Spectrum_250cm!$U$2:$U$34,Own_Spectrum_250cm!$V$2:$V$34)*D817</f>
        <v>#VALUE!</v>
      </c>
      <c r="D817" s="13">
        <f>Place_data_here!B817</f>
        <v>0</v>
      </c>
    </row>
    <row r="818" spans="1:4" x14ac:dyDescent="0.25">
      <c r="A818" s="16">
        <f>Place_data_here!A818</f>
        <v>0</v>
      </c>
      <c r="B818" s="4" t="e">
        <f t="shared" si="12"/>
        <v>#VALUE!</v>
      </c>
      <c r="C818" s="1" t="e">
        <f>SplineInterp(A818,Own_Spectrum_250cm!$U$2:$U$34,Own_Spectrum_250cm!$V$2:$V$34)*D818</f>
        <v>#VALUE!</v>
      </c>
      <c r="D818" s="13">
        <f>Place_data_here!B818</f>
        <v>0</v>
      </c>
    </row>
    <row r="819" spans="1:4" x14ac:dyDescent="0.25">
      <c r="A819" s="16">
        <f>Place_data_here!A819</f>
        <v>0</v>
      </c>
      <c r="B819" s="4" t="e">
        <f t="shared" si="12"/>
        <v>#VALUE!</v>
      </c>
      <c r="C819" s="1" t="e">
        <f>SplineInterp(A819,Own_Spectrum_250cm!$U$2:$U$34,Own_Spectrum_250cm!$V$2:$V$34)*D819</f>
        <v>#VALUE!</v>
      </c>
      <c r="D819" s="13">
        <f>Place_data_here!B819</f>
        <v>0</v>
      </c>
    </row>
    <row r="820" spans="1:4" x14ac:dyDescent="0.25">
      <c r="A820" s="16">
        <f>Place_data_here!A820</f>
        <v>0</v>
      </c>
      <c r="B820" s="4" t="e">
        <f t="shared" si="12"/>
        <v>#VALUE!</v>
      </c>
      <c r="C820" s="1" t="e">
        <f>SplineInterp(A820,Own_Spectrum_250cm!$U$2:$U$34,Own_Spectrum_250cm!$V$2:$V$34)*D820</f>
        <v>#VALUE!</v>
      </c>
      <c r="D820" s="13">
        <f>Place_data_here!B820</f>
        <v>0</v>
      </c>
    </row>
    <row r="821" spans="1:4" x14ac:dyDescent="0.25">
      <c r="A821" s="16">
        <f>Place_data_here!A821</f>
        <v>0</v>
      </c>
      <c r="B821" s="4" t="e">
        <f t="shared" si="12"/>
        <v>#VALUE!</v>
      </c>
      <c r="C821" s="1" t="e">
        <f>SplineInterp(A821,Own_Spectrum_250cm!$U$2:$U$34,Own_Spectrum_250cm!$V$2:$V$34)*D821</f>
        <v>#VALUE!</v>
      </c>
      <c r="D821" s="13">
        <f>Place_data_here!B821</f>
        <v>0</v>
      </c>
    </row>
    <row r="822" spans="1:4" x14ac:dyDescent="0.25">
      <c r="A822" s="16">
        <f>Place_data_here!A822</f>
        <v>0</v>
      </c>
      <c r="B822" s="4" t="e">
        <f t="shared" si="12"/>
        <v>#VALUE!</v>
      </c>
      <c r="C822" s="1" t="e">
        <f>SplineInterp(A822,Own_Spectrum_250cm!$U$2:$U$34,Own_Spectrum_250cm!$V$2:$V$34)*D822</f>
        <v>#VALUE!</v>
      </c>
      <c r="D822" s="13">
        <f>Place_data_here!B822</f>
        <v>0</v>
      </c>
    </row>
    <row r="823" spans="1:4" x14ac:dyDescent="0.25">
      <c r="A823" s="16">
        <f>Place_data_here!A823</f>
        <v>0</v>
      </c>
      <c r="B823" s="4" t="e">
        <f t="shared" si="12"/>
        <v>#VALUE!</v>
      </c>
      <c r="C823" s="1" t="e">
        <f>SplineInterp(A823,Own_Spectrum_250cm!$U$2:$U$34,Own_Spectrum_250cm!$V$2:$V$34)*D823</f>
        <v>#VALUE!</v>
      </c>
      <c r="D823" s="13">
        <f>Place_data_here!B823</f>
        <v>0</v>
      </c>
    </row>
    <row r="824" spans="1:4" x14ac:dyDescent="0.25">
      <c r="A824" s="16">
        <f>Place_data_here!A824</f>
        <v>0</v>
      </c>
      <c r="B824" s="4" t="e">
        <f t="shared" si="12"/>
        <v>#VALUE!</v>
      </c>
      <c r="C824" s="1" t="e">
        <f>SplineInterp(A824,Own_Spectrum_250cm!$U$2:$U$34,Own_Spectrum_250cm!$V$2:$V$34)*D824</f>
        <v>#VALUE!</v>
      </c>
      <c r="D824" s="13">
        <f>Place_data_here!B824</f>
        <v>0</v>
      </c>
    </row>
    <row r="825" spans="1:4" x14ac:dyDescent="0.25">
      <c r="A825" s="16">
        <f>Place_data_here!A825</f>
        <v>0</v>
      </c>
      <c r="B825" s="4" t="e">
        <f t="shared" si="12"/>
        <v>#VALUE!</v>
      </c>
      <c r="C825" s="1" t="e">
        <f>SplineInterp(A825,Own_Spectrum_250cm!$U$2:$U$34,Own_Spectrum_250cm!$V$2:$V$34)*D825</f>
        <v>#VALUE!</v>
      </c>
      <c r="D825" s="13">
        <f>Place_data_here!B825</f>
        <v>0</v>
      </c>
    </row>
    <row r="826" spans="1:4" x14ac:dyDescent="0.25">
      <c r="A826" s="16">
        <f>Place_data_here!A826</f>
        <v>0</v>
      </c>
      <c r="B826" s="4" t="e">
        <f t="shared" si="12"/>
        <v>#VALUE!</v>
      </c>
      <c r="C826" s="1" t="e">
        <f>SplineInterp(A826,Own_Spectrum_250cm!$U$2:$U$34,Own_Spectrum_250cm!$V$2:$V$34)*D826</f>
        <v>#VALUE!</v>
      </c>
      <c r="D826" s="13">
        <f>Place_data_here!B826</f>
        <v>0</v>
      </c>
    </row>
    <row r="827" spans="1:4" x14ac:dyDescent="0.25">
      <c r="A827" s="16">
        <f>Place_data_here!A827</f>
        <v>0</v>
      </c>
      <c r="B827" s="4" t="e">
        <f t="shared" si="12"/>
        <v>#VALUE!</v>
      </c>
      <c r="C827" s="1" t="e">
        <f>SplineInterp(A827,Own_Spectrum_250cm!$U$2:$U$34,Own_Spectrum_250cm!$V$2:$V$34)*D827</f>
        <v>#VALUE!</v>
      </c>
      <c r="D827" s="13">
        <f>Place_data_here!B827</f>
        <v>0</v>
      </c>
    </row>
    <row r="828" spans="1:4" x14ac:dyDescent="0.25">
      <c r="A828" s="16">
        <f>Place_data_here!A828</f>
        <v>0</v>
      </c>
      <c r="B828" s="4" t="e">
        <f t="shared" si="12"/>
        <v>#VALUE!</v>
      </c>
      <c r="C828" s="1" t="e">
        <f>SplineInterp(A828,Own_Spectrum_250cm!$U$2:$U$34,Own_Spectrum_250cm!$V$2:$V$34)*D828</f>
        <v>#VALUE!</v>
      </c>
      <c r="D828" s="13">
        <f>Place_data_here!B828</f>
        <v>0</v>
      </c>
    </row>
    <row r="829" spans="1:4" x14ac:dyDescent="0.25">
      <c r="A829" s="16">
        <f>Place_data_here!A829</f>
        <v>0</v>
      </c>
      <c r="B829" s="4" t="e">
        <f t="shared" si="12"/>
        <v>#VALUE!</v>
      </c>
      <c r="C829" s="1" t="e">
        <f>SplineInterp(A829,Own_Spectrum_250cm!$U$2:$U$34,Own_Spectrum_250cm!$V$2:$V$34)*D829</f>
        <v>#VALUE!</v>
      </c>
      <c r="D829" s="13">
        <f>Place_data_here!B829</f>
        <v>0</v>
      </c>
    </row>
    <row r="830" spans="1:4" x14ac:dyDescent="0.25">
      <c r="A830" s="16">
        <f>Place_data_here!A830</f>
        <v>0</v>
      </c>
      <c r="B830" s="4" t="e">
        <f t="shared" si="12"/>
        <v>#VALUE!</v>
      </c>
      <c r="C830" s="1" t="e">
        <f>SplineInterp(A830,Own_Spectrum_250cm!$U$2:$U$34,Own_Spectrum_250cm!$V$2:$V$34)*D830</f>
        <v>#VALUE!</v>
      </c>
      <c r="D830" s="13">
        <f>Place_data_here!B830</f>
        <v>0</v>
      </c>
    </row>
    <row r="831" spans="1:4" x14ac:dyDescent="0.25">
      <c r="A831" s="16">
        <f>Place_data_here!A831</f>
        <v>0</v>
      </c>
      <c r="B831" s="4" t="e">
        <f t="shared" si="12"/>
        <v>#VALUE!</v>
      </c>
      <c r="C831" s="1" t="e">
        <f>SplineInterp(A831,Own_Spectrum_250cm!$U$2:$U$34,Own_Spectrum_250cm!$V$2:$V$34)*D831</f>
        <v>#VALUE!</v>
      </c>
      <c r="D831" s="13">
        <f>Place_data_here!B831</f>
        <v>0</v>
      </c>
    </row>
    <row r="832" spans="1:4" x14ac:dyDescent="0.25">
      <c r="A832" s="16">
        <f>Place_data_here!A832</f>
        <v>0</v>
      </c>
      <c r="B832" s="4" t="e">
        <f t="shared" si="12"/>
        <v>#VALUE!</v>
      </c>
      <c r="C832" s="1" t="e">
        <f>SplineInterp(A832,Own_Spectrum_250cm!$U$2:$U$34,Own_Spectrum_250cm!$V$2:$V$34)*D832</f>
        <v>#VALUE!</v>
      </c>
      <c r="D832" s="13">
        <f>Place_data_here!B832</f>
        <v>0</v>
      </c>
    </row>
    <row r="833" spans="1:4" x14ac:dyDescent="0.25">
      <c r="A833" s="16">
        <f>Place_data_here!A833</f>
        <v>0</v>
      </c>
      <c r="B833" s="4" t="e">
        <f t="shared" si="12"/>
        <v>#VALUE!</v>
      </c>
      <c r="C833" s="1" t="e">
        <f>SplineInterp(A833,Own_Spectrum_250cm!$U$2:$U$34,Own_Spectrum_250cm!$V$2:$V$34)*D833</f>
        <v>#VALUE!</v>
      </c>
      <c r="D833" s="13">
        <f>Place_data_here!B833</f>
        <v>0</v>
      </c>
    </row>
    <row r="834" spans="1:4" x14ac:dyDescent="0.25">
      <c r="A834" s="16">
        <f>Place_data_here!A834</f>
        <v>0</v>
      </c>
      <c r="B834" s="4" t="e">
        <f t="shared" si="12"/>
        <v>#VALUE!</v>
      </c>
      <c r="C834" s="1" t="e">
        <f>SplineInterp(A834,Own_Spectrum_250cm!$U$2:$U$34,Own_Spectrum_250cm!$V$2:$V$34)*D834</f>
        <v>#VALUE!</v>
      </c>
      <c r="D834" s="13">
        <f>Place_data_here!B834</f>
        <v>0</v>
      </c>
    </row>
    <row r="835" spans="1:4" x14ac:dyDescent="0.25">
      <c r="A835" s="16">
        <f>Place_data_here!A835</f>
        <v>0</v>
      </c>
      <c r="B835" s="4" t="e">
        <f t="shared" ref="B835:B898" si="13">C835/$C$1028</f>
        <v>#VALUE!</v>
      </c>
      <c r="C835" s="1" t="e">
        <f>SplineInterp(A835,Own_Spectrum_250cm!$U$2:$U$34,Own_Spectrum_250cm!$V$2:$V$34)*D835</f>
        <v>#VALUE!</v>
      </c>
      <c r="D835" s="13">
        <f>Place_data_here!B835</f>
        <v>0</v>
      </c>
    </row>
    <row r="836" spans="1:4" x14ac:dyDescent="0.25">
      <c r="A836" s="16">
        <f>Place_data_here!A836</f>
        <v>0</v>
      </c>
      <c r="B836" s="4" t="e">
        <f t="shared" si="13"/>
        <v>#VALUE!</v>
      </c>
      <c r="C836" s="1" t="e">
        <f>SplineInterp(A836,Own_Spectrum_250cm!$U$2:$U$34,Own_Spectrum_250cm!$V$2:$V$34)*D836</f>
        <v>#VALUE!</v>
      </c>
      <c r="D836" s="13">
        <f>Place_data_here!B836</f>
        <v>0</v>
      </c>
    </row>
    <row r="837" spans="1:4" x14ac:dyDescent="0.25">
      <c r="A837" s="16">
        <f>Place_data_here!A837</f>
        <v>0</v>
      </c>
      <c r="B837" s="4" t="e">
        <f t="shared" si="13"/>
        <v>#VALUE!</v>
      </c>
      <c r="C837" s="1" t="e">
        <f>SplineInterp(A837,Own_Spectrum_250cm!$U$2:$U$34,Own_Spectrum_250cm!$V$2:$V$34)*D837</f>
        <v>#VALUE!</v>
      </c>
      <c r="D837" s="13">
        <f>Place_data_here!B837</f>
        <v>0</v>
      </c>
    </row>
    <row r="838" spans="1:4" x14ac:dyDescent="0.25">
      <c r="A838" s="16">
        <f>Place_data_here!A838</f>
        <v>0</v>
      </c>
      <c r="B838" s="4" t="e">
        <f t="shared" si="13"/>
        <v>#VALUE!</v>
      </c>
      <c r="C838" s="1" t="e">
        <f>SplineInterp(A838,Own_Spectrum_250cm!$U$2:$U$34,Own_Spectrum_250cm!$V$2:$V$34)*D838</f>
        <v>#VALUE!</v>
      </c>
      <c r="D838" s="13">
        <f>Place_data_here!B838</f>
        <v>0</v>
      </c>
    </row>
    <row r="839" spans="1:4" x14ac:dyDescent="0.25">
      <c r="A839" s="16">
        <f>Place_data_here!A839</f>
        <v>0</v>
      </c>
      <c r="B839" s="4" t="e">
        <f t="shared" si="13"/>
        <v>#VALUE!</v>
      </c>
      <c r="C839" s="1" t="e">
        <f>SplineInterp(A839,Own_Spectrum_250cm!$U$2:$U$34,Own_Spectrum_250cm!$V$2:$V$34)*D839</f>
        <v>#VALUE!</v>
      </c>
      <c r="D839" s="13">
        <f>Place_data_here!B839</f>
        <v>0</v>
      </c>
    </row>
    <row r="840" spans="1:4" x14ac:dyDescent="0.25">
      <c r="A840" s="16">
        <f>Place_data_here!A840</f>
        <v>0</v>
      </c>
      <c r="B840" s="4" t="e">
        <f t="shared" si="13"/>
        <v>#VALUE!</v>
      </c>
      <c r="C840" s="1" t="e">
        <f>SplineInterp(A840,Own_Spectrum_250cm!$U$2:$U$34,Own_Spectrum_250cm!$V$2:$V$34)*D840</f>
        <v>#VALUE!</v>
      </c>
      <c r="D840" s="13">
        <f>Place_data_here!B840</f>
        <v>0</v>
      </c>
    </row>
    <row r="841" spans="1:4" x14ac:dyDescent="0.25">
      <c r="A841" s="16">
        <f>Place_data_here!A841</f>
        <v>0</v>
      </c>
      <c r="B841" s="4" t="e">
        <f t="shared" si="13"/>
        <v>#VALUE!</v>
      </c>
      <c r="C841" s="1" t="e">
        <f>SplineInterp(A841,Own_Spectrum_250cm!$U$2:$U$34,Own_Spectrum_250cm!$V$2:$V$34)*D841</f>
        <v>#VALUE!</v>
      </c>
      <c r="D841" s="13">
        <f>Place_data_here!B841</f>
        <v>0</v>
      </c>
    </row>
    <row r="842" spans="1:4" x14ac:dyDescent="0.25">
      <c r="A842" s="16">
        <f>Place_data_here!A842</f>
        <v>0</v>
      </c>
      <c r="B842" s="4" t="e">
        <f t="shared" si="13"/>
        <v>#VALUE!</v>
      </c>
      <c r="C842" s="1" t="e">
        <f>SplineInterp(A842,Own_Spectrum_250cm!$U$2:$U$34,Own_Spectrum_250cm!$V$2:$V$34)*D842</f>
        <v>#VALUE!</v>
      </c>
      <c r="D842" s="13">
        <f>Place_data_here!B842</f>
        <v>0</v>
      </c>
    </row>
    <row r="843" spans="1:4" x14ac:dyDescent="0.25">
      <c r="A843" s="16">
        <f>Place_data_here!A843</f>
        <v>0</v>
      </c>
      <c r="B843" s="4" t="e">
        <f t="shared" si="13"/>
        <v>#VALUE!</v>
      </c>
      <c r="C843" s="1" t="e">
        <f>SplineInterp(A843,Own_Spectrum_250cm!$U$2:$U$34,Own_Spectrum_250cm!$V$2:$V$34)*D843</f>
        <v>#VALUE!</v>
      </c>
      <c r="D843" s="13">
        <f>Place_data_here!B843</f>
        <v>0</v>
      </c>
    </row>
    <row r="844" spans="1:4" x14ac:dyDescent="0.25">
      <c r="A844" s="16">
        <f>Place_data_here!A844</f>
        <v>0</v>
      </c>
      <c r="B844" s="4" t="e">
        <f t="shared" si="13"/>
        <v>#VALUE!</v>
      </c>
      <c r="C844" s="1" t="e">
        <f>SplineInterp(A844,Own_Spectrum_250cm!$U$2:$U$34,Own_Spectrum_250cm!$V$2:$V$34)*D844</f>
        <v>#VALUE!</v>
      </c>
      <c r="D844" s="13">
        <f>Place_data_here!B844</f>
        <v>0</v>
      </c>
    </row>
    <row r="845" spans="1:4" x14ac:dyDescent="0.25">
      <c r="A845" s="16">
        <f>Place_data_here!A845</f>
        <v>0</v>
      </c>
      <c r="B845" s="4" t="e">
        <f t="shared" si="13"/>
        <v>#VALUE!</v>
      </c>
      <c r="C845" s="1" t="e">
        <f>SplineInterp(A845,Own_Spectrum_250cm!$U$2:$U$34,Own_Spectrum_250cm!$V$2:$V$34)*D845</f>
        <v>#VALUE!</v>
      </c>
      <c r="D845" s="13">
        <f>Place_data_here!B845</f>
        <v>0</v>
      </c>
    </row>
    <row r="846" spans="1:4" x14ac:dyDescent="0.25">
      <c r="A846" s="16">
        <f>Place_data_here!A846</f>
        <v>0</v>
      </c>
      <c r="B846" s="4" t="e">
        <f t="shared" si="13"/>
        <v>#VALUE!</v>
      </c>
      <c r="C846" s="1" t="e">
        <f>SplineInterp(A846,Own_Spectrum_250cm!$U$2:$U$34,Own_Spectrum_250cm!$V$2:$V$34)*D846</f>
        <v>#VALUE!</v>
      </c>
      <c r="D846" s="13">
        <f>Place_data_here!B846</f>
        <v>0</v>
      </c>
    </row>
    <row r="847" spans="1:4" x14ac:dyDescent="0.25">
      <c r="A847" s="16">
        <f>Place_data_here!A847</f>
        <v>0</v>
      </c>
      <c r="B847" s="4" t="e">
        <f t="shared" si="13"/>
        <v>#VALUE!</v>
      </c>
      <c r="C847" s="1" t="e">
        <f>SplineInterp(A847,Own_Spectrum_250cm!$U$2:$U$34,Own_Spectrum_250cm!$V$2:$V$34)*D847</f>
        <v>#VALUE!</v>
      </c>
      <c r="D847" s="13">
        <f>Place_data_here!B847</f>
        <v>0</v>
      </c>
    </row>
    <row r="848" spans="1:4" x14ac:dyDescent="0.25">
      <c r="A848" s="16">
        <f>Place_data_here!A848</f>
        <v>0</v>
      </c>
      <c r="B848" s="4" t="e">
        <f t="shared" si="13"/>
        <v>#VALUE!</v>
      </c>
      <c r="C848" s="1" t="e">
        <f>SplineInterp(A848,Own_Spectrum_250cm!$U$2:$U$34,Own_Spectrum_250cm!$V$2:$V$34)*D848</f>
        <v>#VALUE!</v>
      </c>
      <c r="D848" s="13">
        <f>Place_data_here!B848</f>
        <v>0</v>
      </c>
    </row>
    <row r="849" spans="1:4" x14ac:dyDescent="0.25">
      <c r="A849" s="16">
        <f>Place_data_here!A849</f>
        <v>0</v>
      </c>
      <c r="B849" s="4" t="e">
        <f t="shared" si="13"/>
        <v>#VALUE!</v>
      </c>
      <c r="C849" s="1" t="e">
        <f>SplineInterp(A849,Own_Spectrum_250cm!$U$2:$U$34,Own_Spectrum_250cm!$V$2:$V$34)*D849</f>
        <v>#VALUE!</v>
      </c>
      <c r="D849" s="13">
        <f>Place_data_here!B849</f>
        <v>0</v>
      </c>
    </row>
    <row r="850" spans="1:4" x14ac:dyDescent="0.25">
      <c r="A850" s="16">
        <f>Place_data_here!A850</f>
        <v>0</v>
      </c>
      <c r="B850" s="4" t="e">
        <f t="shared" si="13"/>
        <v>#VALUE!</v>
      </c>
      <c r="C850" s="1" t="e">
        <f>SplineInterp(A850,Own_Spectrum_250cm!$U$2:$U$34,Own_Spectrum_250cm!$V$2:$V$34)*D850</f>
        <v>#VALUE!</v>
      </c>
      <c r="D850" s="13">
        <f>Place_data_here!B850</f>
        <v>0</v>
      </c>
    </row>
    <row r="851" spans="1:4" x14ac:dyDescent="0.25">
      <c r="A851" s="16">
        <f>Place_data_here!A851</f>
        <v>0</v>
      </c>
      <c r="B851" s="4" t="e">
        <f t="shared" si="13"/>
        <v>#VALUE!</v>
      </c>
      <c r="C851" s="1" t="e">
        <f>SplineInterp(A851,Own_Spectrum_250cm!$U$2:$U$34,Own_Spectrum_250cm!$V$2:$V$34)*D851</f>
        <v>#VALUE!</v>
      </c>
      <c r="D851" s="13">
        <f>Place_data_here!B851</f>
        <v>0</v>
      </c>
    </row>
    <row r="852" spans="1:4" x14ac:dyDescent="0.25">
      <c r="A852" s="16">
        <f>Place_data_here!A852</f>
        <v>0</v>
      </c>
      <c r="B852" s="4" t="e">
        <f t="shared" si="13"/>
        <v>#VALUE!</v>
      </c>
      <c r="C852" s="1" t="e">
        <f>SplineInterp(A852,Own_Spectrum_250cm!$U$2:$U$34,Own_Spectrum_250cm!$V$2:$V$34)*D852</f>
        <v>#VALUE!</v>
      </c>
      <c r="D852" s="13">
        <f>Place_data_here!B852</f>
        <v>0</v>
      </c>
    </row>
    <row r="853" spans="1:4" x14ac:dyDescent="0.25">
      <c r="A853" s="16">
        <f>Place_data_here!A853</f>
        <v>0</v>
      </c>
      <c r="B853" s="4" t="e">
        <f t="shared" si="13"/>
        <v>#VALUE!</v>
      </c>
      <c r="C853" s="1" t="e">
        <f>SplineInterp(A853,Own_Spectrum_250cm!$U$2:$U$34,Own_Spectrum_250cm!$V$2:$V$34)*D853</f>
        <v>#VALUE!</v>
      </c>
      <c r="D853" s="13">
        <f>Place_data_here!B853</f>
        <v>0</v>
      </c>
    </row>
    <row r="854" spans="1:4" x14ac:dyDescent="0.25">
      <c r="A854" s="16">
        <f>Place_data_here!A854</f>
        <v>0</v>
      </c>
      <c r="B854" s="4" t="e">
        <f t="shared" si="13"/>
        <v>#VALUE!</v>
      </c>
      <c r="C854" s="1" t="e">
        <f>SplineInterp(A854,Own_Spectrum_250cm!$U$2:$U$34,Own_Spectrum_250cm!$V$2:$V$34)*D854</f>
        <v>#VALUE!</v>
      </c>
      <c r="D854" s="13">
        <f>Place_data_here!B854</f>
        <v>0</v>
      </c>
    </row>
    <row r="855" spans="1:4" x14ac:dyDescent="0.25">
      <c r="A855" s="16">
        <f>Place_data_here!A855</f>
        <v>0</v>
      </c>
      <c r="B855" s="4" t="e">
        <f t="shared" si="13"/>
        <v>#VALUE!</v>
      </c>
      <c r="C855" s="1" t="e">
        <f>SplineInterp(A855,Own_Spectrum_250cm!$U$2:$U$34,Own_Spectrum_250cm!$V$2:$V$34)*D855</f>
        <v>#VALUE!</v>
      </c>
      <c r="D855" s="13">
        <f>Place_data_here!B855</f>
        <v>0</v>
      </c>
    </row>
    <row r="856" spans="1:4" x14ac:dyDescent="0.25">
      <c r="A856" s="16">
        <f>Place_data_here!A856</f>
        <v>0</v>
      </c>
      <c r="B856" s="4" t="e">
        <f t="shared" si="13"/>
        <v>#VALUE!</v>
      </c>
      <c r="C856" s="1" t="e">
        <f>SplineInterp(A856,Own_Spectrum_250cm!$U$2:$U$34,Own_Spectrum_250cm!$V$2:$V$34)*D856</f>
        <v>#VALUE!</v>
      </c>
      <c r="D856" s="13">
        <f>Place_data_here!B856</f>
        <v>0</v>
      </c>
    </row>
    <row r="857" spans="1:4" x14ac:dyDescent="0.25">
      <c r="A857" s="16">
        <f>Place_data_here!A857</f>
        <v>0</v>
      </c>
      <c r="B857" s="4" t="e">
        <f t="shared" si="13"/>
        <v>#VALUE!</v>
      </c>
      <c r="C857" s="1" t="e">
        <f>SplineInterp(A857,Own_Spectrum_250cm!$U$2:$U$34,Own_Spectrum_250cm!$V$2:$V$34)*D857</f>
        <v>#VALUE!</v>
      </c>
      <c r="D857" s="13">
        <f>Place_data_here!B857</f>
        <v>0</v>
      </c>
    </row>
    <row r="858" spans="1:4" x14ac:dyDescent="0.25">
      <c r="A858" s="16">
        <f>Place_data_here!A858</f>
        <v>0</v>
      </c>
      <c r="B858" s="4" t="e">
        <f t="shared" si="13"/>
        <v>#VALUE!</v>
      </c>
      <c r="C858" s="1" t="e">
        <f>SplineInterp(A858,Own_Spectrum_250cm!$U$2:$U$34,Own_Spectrum_250cm!$V$2:$V$34)*D858</f>
        <v>#VALUE!</v>
      </c>
      <c r="D858" s="13">
        <f>Place_data_here!B858</f>
        <v>0</v>
      </c>
    </row>
    <row r="859" spans="1:4" x14ac:dyDescent="0.25">
      <c r="A859" s="16">
        <f>Place_data_here!A859</f>
        <v>0</v>
      </c>
      <c r="B859" s="4" t="e">
        <f t="shared" si="13"/>
        <v>#VALUE!</v>
      </c>
      <c r="C859" s="1" t="e">
        <f>SplineInterp(A859,Own_Spectrum_250cm!$U$2:$U$34,Own_Spectrum_250cm!$V$2:$V$34)*D859</f>
        <v>#VALUE!</v>
      </c>
      <c r="D859" s="13">
        <f>Place_data_here!B859</f>
        <v>0</v>
      </c>
    </row>
    <row r="860" spans="1:4" x14ac:dyDescent="0.25">
      <c r="A860" s="16">
        <f>Place_data_here!A860</f>
        <v>0</v>
      </c>
      <c r="B860" s="4" t="e">
        <f t="shared" si="13"/>
        <v>#VALUE!</v>
      </c>
      <c r="C860" s="1" t="e">
        <f>SplineInterp(A860,Own_Spectrum_250cm!$U$2:$U$34,Own_Spectrum_250cm!$V$2:$V$34)*D860</f>
        <v>#VALUE!</v>
      </c>
      <c r="D860" s="13">
        <f>Place_data_here!B860</f>
        <v>0</v>
      </c>
    </row>
    <row r="861" spans="1:4" x14ac:dyDescent="0.25">
      <c r="A861" s="16">
        <f>Place_data_here!A861</f>
        <v>0</v>
      </c>
      <c r="B861" s="4" t="e">
        <f t="shared" si="13"/>
        <v>#VALUE!</v>
      </c>
      <c r="C861" s="1" t="e">
        <f>SplineInterp(A861,Own_Spectrum_250cm!$U$2:$U$34,Own_Spectrum_250cm!$V$2:$V$34)*D861</f>
        <v>#VALUE!</v>
      </c>
      <c r="D861" s="13">
        <f>Place_data_here!B861</f>
        <v>0</v>
      </c>
    </row>
    <row r="862" spans="1:4" x14ac:dyDescent="0.25">
      <c r="A862" s="16">
        <f>Place_data_here!A862</f>
        <v>0</v>
      </c>
      <c r="B862" s="4" t="e">
        <f t="shared" si="13"/>
        <v>#VALUE!</v>
      </c>
      <c r="C862" s="1" t="e">
        <f>SplineInterp(A862,Own_Spectrum_250cm!$U$2:$U$34,Own_Spectrum_250cm!$V$2:$V$34)*D862</f>
        <v>#VALUE!</v>
      </c>
      <c r="D862" s="13">
        <f>Place_data_here!B862</f>
        <v>0</v>
      </c>
    </row>
    <row r="863" spans="1:4" x14ac:dyDescent="0.25">
      <c r="A863" s="16">
        <f>Place_data_here!A863</f>
        <v>0</v>
      </c>
      <c r="B863" s="4" t="e">
        <f t="shared" si="13"/>
        <v>#VALUE!</v>
      </c>
      <c r="C863" s="1" t="e">
        <f>SplineInterp(A863,Own_Spectrum_250cm!$U$2:$U$34,Own_Spectrum_250cm!$V$2:$V$34)*D863</f>
        <v>#VALUE!</v>
      </c>
      <c r="D863" s="13">
        <f>Place_data_here!B863</f>
        <v>0</v>
      </c>
    </row>
    <row r="864" spans="1:4" x14ac:dyDescent="0.25">
      <c r="A864" s="16">
        <f>Place_data_here!A864</f>
        <v>0</v>
      </c>
      <c r="B864" s="4" t="e">
        <f t="shared" si="13"/>
        <v>#VALUE!</v>
      </c>
      <c r="C864" s="1" t="e">
        <f>SplineInterp(A864,Own_Spectrum_250cm!$U$2:$U$34,Own_Spectrum_250cm!$V$2:$V$34)*D864</f>
        <v>#VALUE!</v>
      </c>
      <c r="D864" s="13">
        <f>Place_data_here!B864</f>
        <v>0</v>
      </c>
    </row>
    <row r="865" spans="1:4" x14ac:dyDescent="0.25">
      <c r="A865" s="16">
        <f>Place_data_here!A865</f>
        <v>0</v>
      </c>
      <c r="B865" s="4" t="e">
        <f t="shared" si="13"/>
        <v>#VALUE!</v>
      </c>
      <c r="C865" s="1" t="e">
        <f>SplineInterp(A865,Own_Spectrum_250cm!$U$2:$U$34,Own_Spectrum_250cm!$V$2:$V$34)*D865</f>
        <v>#VALUE!</v>
      </c>
      <c r="D865" s="13">
        <f>Place_data_here!B865</f>
        <v>0</v>
      </c>
    </row>
    <row r="866" spans="1:4" x14ac:dyDescent="0.25">
      <c r="A866" s="16">
        <f>Place_data_here!A866</f>
        <v>0</v>
      </c>
      <c r="B866" s="4" t="e">
        <f t="shared" si="13"/>
        <v>#VALUE!</v>
      </c>
      <c r="C866" s="1" t="e">
        <f>SplineInterp(A866,Own_Spectrum_250cm!$U$2:$U$34,Own_Spectrum_250cm!$V$2:$V$34)*D866</f>
        <v>#VALUE!</v>
      </c>
      <c r="D866" s="13">
        <f>Place_data_here!B866</f>
        <v>0</v>
      </c>
    </row>
    <row r="867" spans="1:4" x14ac:dyDescent="0.25">
      <c r="A867" s="16">
        <f>Place_data_here!A867</f>
        <v>0</v>
      </c>
      <c r="B867" s="4" t="e">
        <f t="shared" si="13"/>
        <v>#VALUE!</v>
      </c>
      <c r="C867" s="1" t="e">
        <f>SplineInterp(A867,Own_Spectrum_250cm!$U$2:$U$34,Own_Spectrum_250cm!$V$2:$V$34)*D867</f>
        <v>#VALUE!</v>
      </c>
      <c r="D867" s="13">
        <f>Place_data_here!B867</f>
        <v>0</v>
      </c>
    </row>
    <row r="868" spans="1:4" x14ac:dyDescent="0.25">
      <c r="A868" s="16">
        <f>Place_data_here!A868</f>
        <v>0</v>
      </c>
      <c r="B868" s="4" t="e">
        <f t="shared" si="13"/>
        <v>#VALUE!</v>
      </c>
      <c r="C868" s="1" t="e">
        <f>SplineInterp(A868,Own_Spectrum_250cm!$U$2:$U$34,Own_Spectrum_250cm!$V$2:$V$34)*D868</f>
        <v>#VALUE!</v>
      </c>
      <c r="D868" s="13">
        <f>Place_data_here!B868</f>
        <v>0</v>
      </c>
    </row>
    <row r="869" spans="1:4" x14ac:dyDescent="0.25">
      <c r="A869" s="16">
        <f>Place_data_here!A869</f>
        <v>0</v>
      </c>
      <c r="B869" s="4" t="e">
        <f t="shared" si="13"/>
        <v>#VALUE!</v>
      </c>
      <c r="C869" s="1" t="e">
        <f>SplineInterp(A869,Own_Spectrum_250cm!$U$2:$U$34,Own_Spectrum_250cm!$V$2:$V$34)*D869</f>
        <v>#VALUE!</v>
      </c>
      <c r="D869" s="13">
        <f>Place_data_here!B869</f>
        <v>0</v>
      </c>
    </row>
    <row r="870" spans="1:4" x14ac:dyDescent="0.25">
      <c r="A870" s="16">
        <f>Place_data_here!A870</f>
        <v>0</v>
      </c>
      <c r="B870" s="4" t="e">
        <f t="shared" si="13"/>
        <v>#VALUE!</v>
      </c>
      <c r="C870" s="1" t="e">
        <f>SplineInterp(A870,Own_Spectrum_250cm!$U$2:$U$34,Own_Spectrum_250cm!$V$2:$V$34)*D870</f>
        <v>#VALUE!</v>
      </c>
      <c r="D870" s="13">
        <f>Place_data_here!B870</f>
        <v>0</v>
      </c>
    </row>
    <row r="871" spans="1:4" x14ac:dyDescent="0.25">
      <c r="A871" s="16">
        <f>Place_data_here!A871</f>
        <v>0</v>
      </c>
      <c r="B871" s="4" t="e">
        <f t="shared" si="13"/>
        <v>#VALUE!</v>
      </c>
      <c r="C871" s="1" t="e">
        <f>SplineInterp(A871,Own_Spectrum_250cm!$U$2:$U$34,Own_Spectrum_250cm!$V$2:$V$34)*D871</f>
        <v>#VALUE!</v>
      </c>
      <c r="D871" s="13">
        <f>Place_data_here!B871</f>
        <v>0</v>
      </c>
    </row>
    <row r="872" spans="1:4" x14ac:dyDescent="0.25">
      <c r="A872" s="16">
        <f>Place_data_here!A872</f>
        <v>0</v>
      </c>
      <c r="B872" s="4" t="e">
        <f t="shared" si="13"/>
        <v>#VALUE!</v>
      </c>
      <c r="C872" s="1" t="e">
        <f>SplineInterp(A872,Own_Spectrum_250cm!$U$2:$U$34,Own_Spectrum_250cm!$V$2:$V$34)*D872</f>
        <v>#VALUE!</v>
      </c>
      <c r="D872" s="13">
        <f>Place_data_here!B872</f>
        <v>0</v>
      </c>
    </row>
    <row r="873" spans="1:4" x14ac:dyDescent="0.25">
      <c r="A873" s="16">
        <f>Place_data_here!A873</f>
        <v>0</v>
      </c>
      <c r="B873" s="4" t="e">
        <f t="shared" si="13"/>
        <v>#VALUE!</v>
      </c>
      <c r="C873" s="1" t="e">
        <f>SplineInterp(A873,Own_Spectrum_250cm!$U$2:$U$34,Own_Spectrum_250cm!$V$2:$V$34)*D873</f>
        <v>#VALUE!</v>
      </c>
      <c r="D873" s="13">
        <f>Place_data_here!B873</f>
        <v>0</v>
      </c>
    </row>
    <row r="874" spans="1:4" x14ac:dyDescent="0.25">
      <c r="A874" s="16">
        <f>Place_data_here!A874</f>
        <v>0</v>
      </c>
      <c r="B874" s="4" t="e">
        <f t="shared" si="13"/>
        <v>#VALUE!</v>
      </c>
      <c r="C874" s="1" t="e">
        <f>SplineInterp(A874,Own_Spectrum_250cm!$U$2:$U$34,Own_Spectrum_250cm!$V$2:$V$34)*D874</f>
        <v>#VALUE!</v>
      </c>
      <c r="D874" s="13">
        <f>Place_data_here!B874</f>
        <v>0</v>
      </c>
    </row>
    <row r="875" spans="1:4" x14ac:dyDescent="0.25">
      <c r="A875" s="16">
        <f>Place_data_here!A875</f>
        <v>0</v>
      </c>
      <c r="B875" s="4" t="e">
        <f t="shared" si="13"/>
        <v>#VALUE!</v>
      </c>
      <c r="C875" s="1" t="e">
        <f>SplineInterp(A875,Own_Spectrum_250cm!$U$2:$U$34,Own_Spectrum_250cm!$V$2:$V$34)*D875</f>
        <v>#VALUE!</v>
      </c>
      <c r="D875" s="13">
        <f>Place_data_here!B875</f>
        <v>0</v>
      </c>
    </row>
    <row r="876" spans="1:4" x14ac:dyDescent="0.25">
      <c r="A876" s="16">
        <f>Place_data_here!A876</f>
        <v>0</v>
      </c>
      <c r="B876" s="4" t="e">
        <f t="shared" si="13"/>
        <v>#VALUE!</v>
      </c>
      <c r="C876" s="1" t="e">
        <f>SplineInterp(A876,Own_Spectrum_250cm!$U$2:$U$34,Own_Spectrum_250cm!$V$2:$V$34)*D876</f>
        <v>#VALUE!</v>
      </c>
      <c r="D876" s="13">
        <f>Place_data_here!B876</f>
        <v>0</v>
      </c>
    </row>
    <row r="877" spans="1:4" x14ac:dyDescent="0.25">
      <c r="A877" s="16">
        <f>Place_data_here!A877</f>
        <v>0</v>
      </c>
      <c r="B877" s="4" t="e">
        <f t="shared" si="13"/>
        <v>#VALUE!</v>
      </c>
      <c r="C877" s="1" t="e">
        <f>SplineInterp(A877,Own_Spectrum_250cm!$U$2:$U$34,Own_Spectrum_250cm!$V$2:$V$34)*D877</f>
        <v>#VALUE!</v>
      </c>
      <c r="D877" s="13">
        <f>Place_data_here!B877</f>
        <v>0</v>
      </c>
    </row>
    <row r="878" spans="1:4" x14ac:dyDescent="0.25">
      <c r="A878" s="16">
        <f>Place_data_here!A878</f>
        <v>0</v>
      </c>
      <c r="B878" s="4" t="e">
        <f t="shared" si="13"/>
        <v>#VALUE!</v>
      </c>
      <c r="C878" s="1" t="e">
        <f>SplineInterp(A878,Own_Spectrum_250cm!$U$2:$U$34,Own_Spectrum_250cm!$V$2:$V$34)*D878</f>
        <v>#VALUE!</v>
      </c>
      <c r="D878" s="13">
        <f>Place_data_here!B878</f>
        <v>0</v>
      </c>
    </row>
    <row r="879" spans="1:4" x14ac:dyDescent="0.25">
      <c r="A879" s="16">
        <f>Place_data_here!A879</f>
        <v>0</v>
      </c>
      <c r="B879" s="4" t="e">
        <f t="shared" si="13"/>
        <v>#VALUE!</v>
      </c>
      <c r="C879" s="1" t="e">
        <f>SplineInterp(A879,Own_Spectrum_250cm!$U$2:$U$34,Own_Spectrum_250cm!$V$2:$V$34)*D879</f>
        <v>#VALUE!</v>
      </c>
      <c r="D879" s="13">
        <f>Place_data_here!B879</f>
        <v>0</v>
      </c>
    </row>
    <row r="880" spans="1:4" x14ac:dyDescent="0.25">
      <c r="A880" s="16">
        <f>Place_data_here!A880</f>
        <v>0</v>
      </c>
      <c r="B880" s="4" t="e">
        <f t="shared" si="13"/>
        <v>#VALUE!</v>
      </c>
      <c r="C880" s="1" t="e">
        <f>SplineInterp(A880,Own_Spectrum_250cm!$U$2:$U$34,Own_Spectrum_250cm!$V$2:$V$34)*D880</f>
        <v>#VALUE!</v>
      </c>
      <c r="D880" s="13">
        <f>Place_data_here!B880</f>
        <v>0</v>
      </c>
    </row>
    <row r="881" spans="1:4" x14ac:dyDescent="0.25">
      <c r="A881" s="16">
        <f>Place_data_here!A881</f>
        <v>0</v>
      </c>
      <c r="B881" s="4" t="e">
        <f t="shared" si="13"/>
        <v>#VALUE!</v>
      </c>
      <c r="C881" s="1" t="e">
        <f>SplineInterp(A881,Own_Spectrum_250cm!$U$2:$U$34,Own_Spectrum_250cm!$V$2:$V$34)*D881</f>
        <v>#VALUE!</v>
      </c>
      <c r="D881" s="13">
        <f>Place_data_here!B881</f>
        <v>0</v>
      </c>
    </row>
    <row r="882" spans="1:4" x14ac:dyDescent="0.25">
      <c r="A882" s="16">
        <f>Place_data_here!A882</f>
        <v>0</v>
      </c>
      <c r="B882" s="4" t="e">
        <f t="shared" si="13"/>
        <v>#VALUE!</v>
      </c>
      <c r="C882" s="1" t="e">
        <f>SplineInterp(A882,Own_Spectrum_250cm!$U$2:$U$34,Own_Spectrum_250cm!$V$2:$V$34)*D882</f>
        <v>#VALUE!</v>
      </c>
      <c r="D882" s="13">
        <f>Place_data_here!B882</f>
        <v>0</v>
      </c>
    </row>
    <row r="883" spans="1:4" x14ac:dyDescent="0.25">
      <c r="A883" s="16">
        <f>Place_data_here!A883</f>
        <v>0</v>
      </c>
      <c r="B883" s="4" t="e">
        <f t="shared" si="13"/>
        <v>#VALUE!</v>
      </c>
      <c r="C883" s="1" t="e">
        <f>SplineInterp(A883,Own_Spectrum_250cm!$U$2:$U$34,Own_Spectrum_250cm!$V$2:$V$34)*D883</f>
        <v>#VALUE!</v>
      </c>
      <c r="D883" s="13">
        <f>Place_data_here!B883</f>
        <v>0</v>
      </c>
    </row>
    <row r="884" spans="1:4" x14ac:dyDescent="0.25">
      <c r="A884" s="16">
        <f>Place_data_here!A884</f>
        <v>0</v>
      </c>
      <c r="B884" s="4" t="e">
        <f t="shared" si="13"/>
        <v>#VALUE!</v>
      </c>
      <c r="C884" s="1" t="e">
        <f>SplineInterp(A884,Own_Spectrum_250cm!$U$2:$U$34,Own_Spectrum_250cm!$V$2:$V$34)*D884</f>
        <v>#VALUE!</v>
      </c>
      <c r="D884" s="13">
        <f>Place_data_here!B884</f>
        <v>0</v>
      </c>
    </row>
    <row r="885" spans="1:4" x14ac:dyDescent="0.25">
      <c r="A885" s="16">
        <f>Place_data_here!A885</f>
        <v>0</v>
      </c>
      <c r="B885" s="4" t="e">
        <f t="shared" si="13"/>
        <v>#VALUE!</v>
      </c>
      <c r="C885" s="1" t="e">
        <f>SplineInterp(A885,Own_Spectrum_250cm!$U$2:$U$34,Own_Spectrum_250cm!$V$2:$V$34)*D885</f>
        <v>#VALUE!</v>
      </c>
      <c r="D885" s="13">
        <f>Place_data_here!B885</f>
        <v>0</v>
      </c>
    </row>
    <row r="886" spans="1:4" x14ac:dyDescent="0.25">
      <c r="A886" s="16">
        <f>Place_data_here!A886</f>
        <v>0</v>
      </c>
      <c r="B886" s="4" t="e">
        <f t="shared" si="13"/>
        <v>#VALUE!</v>
      </c>
      <c r="C886" s="1" t="e">
        <f>SplineInterp(A886,Own_Spectrum_250cm!$U$2:$U$34,Own_Spectrum_250cm!$V$2:$V$34)*D886</f>
        <v>#VALUE!</v>
      </c>
      <c r="D886" s="13">
        <f>Place_data_here!B886</f>
        <v>0</v>
      </c>
    </row>
    <row r="887" spans="1:4" x14ac:dyDescent="0.25">
      <c r="A887" s="16">
        <f>Place_data_here!A887</f>
        <v>0</v>
      </c>
      <c r="B887" s="4" t="e">
        <f t="shared" si="13"/>
        <v>#VALUE!</v>
      </c>
      <c r="C887" s="1" t="e">
        <f>SplineInterp(A887,Own_Spectrum_250cm!$U$2:$U$34,Own_Spectrum_250cm!$V$2:$V$34)*D887</f>
        <v>#VALUE!</v>
      </c>
      <c r="D887" s="13">
        <f>Place_data_here!B887</f>
        <v>0</v>
      </c>
    </row>
    <row r="888" spans="1:4" x14ac:dyDescent="0.25">
      <c r="A888" s="16">
        <f>Place_data_here!A888</f>
        <v>0</v>
      </c>
      <c r="B888" s="4" t="e">
        <f t="shared" si="13"/>
        <v>#VALUE!</v>
      </c>
      <c r="C888" s="1" t="e">
        <f>SplineInterp(A888,Own_Spectrum_250cm!$U$2:$U$34,Own_Spectrum_250cm!$V$2:$V$34)*D888</f>
        <v>#VALUE!</v>
      </c>
      <c r="D888" s="13">
        <f>Place_data_here!B888</f>
        <v>0</v>
      </c>
    </row>
    <row r="889" spans="1:4" x14ac:dyDescent="0.25">
      <c r="A889" s="16">
        <f>Place_data_here!A889</f>
        <v>0</v>
      </c>
      <c r="B889" s="4" t="e">
        <f t="shared" si="13"/>
        <v>#VALUE!</v>
      </c>
      <c r="C889" s="1" t="e">
        <f>SplineInterp(A889,Own_Spectrum_250cm!$U$2:$U$34,Own_Spectrum_250cm!$V$2:$V$34)*D889</f>
        <v>#VALUE!</v>
      </c>
      <c r="D889" s="13">
        <f>Place_data_here!B889</f>
        <v>0</v>
      </c>
    </row>
    <row r="890" spans="1:4" x14ac:dyDescent="0.25">
      <c r="A890" s="16">
        <f>Place_data_here!A890</f>
        <v>0</v>
      </c>
      <c r="B890" s="4" t="e">
        <f t="shared" si="13"/>
        <v>#VALUE!</v>
      </c>
      <c r="C890" s="1" t="e">
        <f>SplineInterp(A890,Own_Spectrum_250cm!$U$2:$U$34,Own_Spectrum_250cm!$V$2:$V$34)*D890</f>
        <v>#VALUE!</v>
      </c>
      <c r="D890" s="13">
        <f>Place_data_here!B890</f>
        <v>0</v>
      </c>
    </row>
    <row r="891" spans="1:4" x14ac:dyDescent="0.25">
      <c r="A891" s="16">
        <f>Place_data_here!A891</f>
        <v>0</v>
      </c>
      <c r="B891" s="4" t="e">
        <f t="shared" si="13"/>
        <v>#VALUE!</v>
      </c>
      <c r="C891" s="1" t="e">
        <f>SplineInterp(A891,Own_Spectrum_250cm!$U$2:$U$34,Own_Spectrum_250cm!$V$2:$V$34)*D891</f>
        <v>#VALUE!</v>
      </c>
      <c r="D891" s="13">
        <f>Place_data_here!B891</f>
        <v>0</v>
      </c>
    </row>
    <row r="892" spans="1:4" x14ac:dyDescent="0.25">
      <c r="A892" s="16">
        <f>Place_data_here!A892</f>
        <v>0</v>
      </c>
      <c r="B892" s="4" t="e">
        <f t="shared" si="13"/>
        <v>#VALUE!</v>
      </c>
      <c r="C892" s="1" t="e">
        <f>SplineInterp(A892,Own_Spectrum_250cm!$U$2:$U$34,Own_Spectrum_250cm!$V$2:$V$34)*D892</f>
        <v>#VALUE!</v>
      </c>
      <c r="D892" s="13">
        <f>Place_data_here!B892</f>
        <v>0</v>
      </c>
    </row>
    <row r="893" spans="1:4" x14ac:dyDescent="0.25">
      <c r="A893" s="16">
        <f>Place_data_here!A893</f>
        <v>0</v>
      </c>
      <c r="B893" s="4" t="e">
        <f t="shared" si="13"/>
        <v>#VALUE!</v>
      </c>
      <c r="C893" s="1" t="e">
        <f>SplineInterp(A893,Own_Spectrum_250cm!$U$2:$U$34,Own_Spectrum_250cm!$V$2:$V$34)*D893</f>
        <v>#VALUE!</v>
      </c>
      <c r="D893" s="13">
        <f>Place_data_here!B893</f>
        <v>0</v>
      </c>
    </row>
    <row r="894" spans="1:4" x14ac:dyDescent="0.25">
      <c r="A894" s="16">
        <f>Place_data_here!A894</f>
        <v>0</v>
      </c>
      <c r="B894" s="4" t="e">
        <f t="shared" si="13"/>
        <v>#VALUE!</v>
      </c>
      <c r="C894" s="1" t="e">
        <f>SplineInterp(A894,Own_Spectrum_250cm!$U$2:$U$34,Own_Spectrum_250cm!$V$2:$V$34)*D894</f>
        <v>#VALUE!</v>
      </c>
      <c r="D894" s="13">
        <f>Place_data_here!B894</f>
        <v>0</v>
      </c>
    </row>
    <row r="895" spans="1:4" x14ac:dyDescent="0.25">
      <c r="A895" s="16">
        <f>Place_data_here!A895</f>
        <v>0</v>
      </c>
      <c r="B895" s="4" t="e">
        <f t="shared" si="13"/>
        <v>#VALUE!</v>
      </c>
      <c r="C895" s="1" t="e">
        <f>SplineInterp(A895,Own_Spectrum_250cm!$U$2:$U$34,Own_Spectrum_250cm!$V$2:$V$34)*D895</f>
        <v>#VALUE!</v>
      </c>
      <c r="D895" s="13">
        <f>Place_data_here!B895</f>
        <v>0</v>
      </c>
    </row>
    <row r="896" spans="1:4" x14ac:dyDescent="0.25">
      <c r="A896" s="16">
        <f>Place_data_here!A896</f>
        <v>0</v>
      </c>
      <c r="B896" s="4" t="e">
        <f t="shared" si="13"/>
        <v>#VALUE!</v>
      </c>
      <c r="C896" s="1" t="e">
        <f>SplineInterp(A896,Own_Spectrum_250cm!$U$2:$U$34,Own_Spectrum_250cm!$V$2:$V$34)*D896</f>
        <v>#VALUE!</v>
      </c>
      <c r="D896" s="13">
        <f>Place_data_here!B896</f>
        <v>0</v>
      </c>
    </row>
    <row r="897" spans="1:4" x14ac:dyDescent="0.25">
      <c r="A897" s="16">
        <f>Place_data_here!A897</f>
        <v>0</v>
      </c>
      <c r="B897" s="4" t="e">
        <f t="shared" si="13"/>
        <v>#VALUE!</v>
      </c>
      <c r="C897" s="1" t="e">
        <f>SplineInterp(A897,Own_Spectrum_250cm!$U$2:$U$34,Own_Spectrum_250cm!$V$2:$V$34)*D897</f>
        <v>#VALUE!</v>
      </c>
      <c r="D897" s="13">
        <f>Place_data_here!B897</f>
        <v>0</v>
      </c>
    </row>
    <row r="898" spans="1:4" x14ac:dyDescent="0.25">
      <c r="A898" s="16">
        <f>Place_data_here!A898</f>
        <v>0</v>
      </c>
      <c r="B898" s="4" t="e">
        <f t="shared" si="13"/>
        <v>#VALUE!</v>
      </c>
      <c r="C898" s="1" t="e">
        <f>SplineInterp(A898,Own_Spectrum_250cm!$U$2:$U$34,Own_Spectrum_250cm!$V$2:$V$34)*D898</f>
        <v>#VALUE!</v>
      </c>
      <c r="D898" s="13">
        <f>Place_data_here!B898</f>
        <v>0</v>
      </c>
    </row>
    <row r="899" spans="1:4" x14ac:dyDescent="0.25">
      <c r="A899" s="16">
        <f>Place_data_here!A899</f>
        <v>0</v>
      </c>
      <c r="B899" s="4" t="e">
        <f t="shared" ref="B899:B962" si="14">C899/$C$1028</f>
        <v>#VALUE!</v>
      </c>
      <c r="C899" s="1" t="e">
        <f>SplineInterp(A899,Own_Spectrum_250cm!$U$2:$U$34,Own_Spectrum_250cm!$V$2:$V$34)*D899</f>
        <v>#VALUE!</v>
      </c>
      <c r="D899" s="13">
        <f>Place_data_here!B899</f>
        <v>0</v>
      </c>
    </row>
    <row r="900" spans="1:4" x14ac:dyDescent="0.25">
      <c r="A900" s="16">
        <f>Place_data_here!A900</f>
        <v>0</v>
      </c>
      <c r="B900" s="4" t="e">
        <f t="shared" si="14"/>
        <v>#VALUE!</v>
      </c>
      <c r="C900" s="1" t="e">
        <f>SplineInterp(A900,Own_Spectrum_250cm!$U$2:$U$34,Own_Spectrum_250cm!$V$2:$V$34)*D900</f>
        <v>#VALUE!</v>
      </c>
      <c r="D900" s="13">
        <f>Place_data_here!B900</f>
        <v>0</v>
      </c>
    </row>
    <row r="901" spans="1:4" x14ac:dyDescent="0.25">
      <c r="A901" s="16">
        <f>Place_data_here!A901</f>
        <v>0</v>
      </c>
      <c r="B901" s="4" t="e">
        <f t="shared" si="14"/>
        <v>#VALUE!</v>
      </c>
      <c r="C901" s="1" t="e">
        <f>SplineInterp(A901,Own_Spectrum_250cm!$U$2:$U$34,Own_Spectrum_250cm!$V$2:$V$34)*D901</f>
        <v>#VALUE!</v>
      </c>
      <c r="D901" s="13">
        <f>Place_data_here!B901</f>
        <v>0</v>
      </c>
    </row>
    <row r="902" spans="1:4" x14ac:dyDescent="0.25">
      <c r="A902" s="16">
        <f>Place_data_here!A902</f>
        <v>0</v>
      </c>
      <c r="B902" s="4" t="e">
        <f t="shared" si="14"/>
        <v>#VALUE!</v>
      </c>
      <c r="C902" s="1" t="e">
        <f>SplineInterp(A902,Own_Spectrum_250cm!$U$2:$U$34,Own_Spectrum_250cm!$V$2:$V$34)*D902</f>
        <v>#VALUE!</v>
      </c>
      <c r="D902" s="13">
        <f>Place_data_here!B902</f>
        <v>0</v>
      </c>
    </row>
    <row r="903" spans="1:4" x14ac:dyDescent="0.25">
      <c r="A903" s="16">
        <f>Place_data_here!A903</f>
        <v>0</v>
      </c>
      <c r="B903" s="4" t="e">
        <f t="shared" si="14"/>
        <v>#VALUE!</v>
      </c>
      <c r="C903" s="1" t="e">
        <f>SplineInterp(A903,Own_Spectrum_250cm!$U$2:$U$34,Own_Spectrum_250cm!$V$2:$V$34)*D903</f>
        <v>#VALUE!</v>
      </c>
      <c r="D903" s="13">
        <f>Place_data_here!B903</f>
        <v>0</v>
      </c>
    </row>
    <row r="904" spans="1:4" x14ac:dyDescent="0.25">
      <c r="A904" s="16">
        <f>Place_data_here!A904</f>
        <v>0</v>
      </c>
      <c r="B904" s="4" t="e">
        <f t="shared" si="14"/>
        <v>#VALUE!</v>
      </c>
      <c r="C904" s="1" t="e">
        <f>SplineInterp(A904,Own_Spectrum_250cm!$U$2:$U$34,Own_Spectrum_250cm!$V$2:$V$34)*D904</f>
        <v>#VALUE!</v>
      </c>
      <c r="D904" s="13">
        <f>Place_data_here!B904</f>
        <v>0</v>
      </c>
    </row>
    <row r="905" spans="1:4" x14ac:dyDescent="0.25">
      <c r="A905" s="16">
        <f>Place_data_here!A905</f>
        <v>0</v>
      </c>
      <c r="B905" s="4" t="e">
        <f t="shared" si="14"/>
        <v>#VALUE!</v>
      </c>
      <c r="C905" s="1" t="e">
        <f>SplineInterp(A905,Own_Spectrum_250cm!$U$2:$U$34,Own_Spectrum_250cm!$V$2:$V$34)*D905</f>
        <v>#VALUE!</v>
      </c>
      <c r="D905" s="13">
        <f>Place_data_here!B905</f>
        <v>0</v>
      </c>
    </row>
    <row r="906" spans="1:4" x14ac:dyDescent="0.25">
      <c r="A906" s="16">
        <f>Place_data_here!A906</f>
        <v>0</v>
      </c>
      <c r="B906" s="4" t="e">
        <f t="shared" si="14"/>
        <v>#VALUE!</v>
      </c>
      <c r="C906" s="1" t="e">
        <f>SplineInterp(A906,Own_Spectrum_250cm!$U$2:$U$34,Own_Spectrum_250cm!$V$2:$V$34)*D906</f>
        <v>#VALUE!</v>
      </c>
      <c r="D906" s="13">
        <f>Place_data_here!B906</f>
        <v>0</v>
      </c>
    </row>
    <row r="907" spans="1:4" x14ac:dyDescent="0.25">
      <c r="A907" s="16">
        <f>Place_data_here!A907</f>
        <v>0</v>
      </c>
      <c r="B907" s="4" t="e">
        <f t="shared" si="14"/>
        <v>#VALUE!</v>
      </c>
      <c r="C907" s="1" t="e">
        <f>SplineInterp(A907,Own_Spectrum_250cm!$U$2:$U$34,Own_Spectrum_250cm!$V$2:$V$34)*D907</f>
        <v>#VALUE!</v>
      </c>
      <c r="D907" s="13">
        <f>Place_data_here!B907</f>
        <v>0</v>
      </c>
    </row>
    <row r="908" spans="1:4" x14ac:dyDescent="0.25">
      <c r="A908" s="16">
        <f>Place_data_here!A908</f>
        <v>0</v>
      </c>
      <c r="B908" s="4" t="e">
        <f t="shared" si="14"/>
        <v>#VALUE!</v>
      </c>
      <c r="C908" s="1" t="e">
        <f>SplineInterp(A908,Own_Spectrum_250cm!$U$2:$U$34,Own_Spectrum_250cm!$V$2:$V$34)*D908</f>
        <v>#VALUE!</v>
      </c>
      <c r="D908" s="13">
        <f>Place_data_here!B908</f>
        <v>0</v>
      </c>
    </row>
    <row r="909" spans="1:4" x14ac:dyDescent="0.25">
      <c r="A909" s="16">
        <f>Place_data_here!A909</f>
        <v>0</v>
      </c>
      <c r="B909" s="4" t="e">
        <f t="shared" si="14"/>
        <v>#VALUE!</v>
      </c>
      <c r="C909" s="1" t="e">
        <f>SplineInterp(A909,Own_Spectrum_250cm!$U$2:$U$34,Own_Spectrum_250cm!$V$2:$V$34)*D909</f>
        <v>#VALUE!</v>
      </c>
      <c r="D909" s="13">
        <f>Place_data_here!B909</f>
        <v>0</v>
      </c>
    </row>
    <row r="910" spans="1:4" x14ac:dyDescent="0.25">
      <c r="A910" s="16">
        <f>Place_data_here!A910</f>
        <v>0</v>
      </c>
      <c r="B910" s="4" t="e">
        <f t="shared" si="14"/>
        <v>#VALUE!</v>
      </c>
      <c r="C910" s="1" t="e">
        <f>SplineInterp(A910,Own_Spectrum_250cm!$U$2:$U$34,Own_Spectrum_250cm!$V$2:$V$34)*D910</f>
        <v>#VALUE!</v>
      </c>
      <c r="D910" s="13">
        <f>Place_data_here!B910</f>
        <v>0</v>
      </c>
    </row>
    <row r="911" spans="1:4" x14ac:dyDescent="0.25">
      <c r="A911" s="16">
        <f>Place_data_here!A911</f>
        <v>0</v>
      </c>
      <c r="B911" s="4" t="e">
        <f t="shared" si="14"/>
        <v>#VALUE!</v>
      </c>
      <c r="C911" s="1" t="e">
        <f>SplineInterp(A911,Own_Spectrum_250cm!$U$2:$U$34,Own_Spectrum_250cm!$V$2:$V$34)*D911</f>
        <v>#VALUE!</v>
      </c>
      <c r="D911" s="13">
        <f>Place_data_here!B911</f>
        <v>0</v>
      </c>
    </row>
    <row r="912" spans="1:4" x14ac:dyDescent="0.25">
      <c r="A912" s="16">
        <f>Place_data_here!A912</f>
        <v>0</v>
      </c>
      <c r="B912" s="4" t="e">
        <f t="shared" si="14"/>
        <v>#VALUE!</v>
      </c>
      <c r="C912" s="1" t="e">
        <f>SplineInterp(A912,Own_Spectrum_250cm!$U$2:$U$34,Own_Spectrum_250cm!$V$2:$V$34)*D912</f>
        <v>#VALUE!</v>
      </c>
      <c r="D912" s="13">
        <f>Place_data_here!B912</f>
        <v>0</v>
      </c>
    </row>
    <row r="913" spans="1:4" x14ac:dyDescent="0.25">
      <c r="A913" s="16">
        <f>Place_data_here!A913</f>
        <v>0</v>
      </c>
      <c r="B913" s="4" t="e">
        <f t="shared" si="14"/>
        <v>#VALUE!</v>
      </c>
      <c r="C913" s="1" t="e">
        <f>SplineInterp(A913,Own_Spectrum_250cm!$U$2:$U$34,Own_Spectrum_250cm!$V$2:$V$34)*D913</f>
        <v>#VALUE!</v>
      </c>
      <c r="D913" s="13">
        <f>Place_data_here!B913</f>
        <v>0</v>
      </c>
    </row>
    <row r="914" spans="1:4" x14ac:dyDescent="0.25">
      <c r="A914" s="16">
        <f>Place_data_here!A914</f>
        <v>0</v>
      </c>
      <c r="B914" s="4" t="e">
        <f t="shared" si="14"/>
        <v>#VALUE!</v>
      </c>
      <c r="C914" s="1" t="e">
        <f>SplineInterp(A914,Own_Spectrum_250cm!$U$2:$U$34,Own_Spectrum_250cm!$V$2:$V$34)*D914</f>
        <v>#VALUE!</v>
      </c>
      <c r="D914" s="13">
        <f>Place_data_here!B914</f>
        <v>0</v>
      </c>
    </row>
    <row r="915" spans="1:4" x14ac:dyDescent="0.25">
      <c r="A915" s="16">
        <f>Place_data_here!A915</f>
        <v>0</v>
      </c>
      <c r="B915" s="4" t="e">
        <f t="shared" si="14"/>
        <v>#VALUE!</v>
      </c>
      <c r="C915" s="1" t="e">
        <f>SplineInterp(A915,Own_Spectrum_250cm!$U$2:$U$34,Own_Spectrum_250cm!$V$2:$V$34)*D915</f>
        <v>#VALUE!</v>
      </c>
      <c r="D915" s="13">
        <f>Place_data_here!B915</f>
        <v>0</v>
      </c>
    </row>
    <row r="916" spans="1:4" x14ac:dyDescent="0.25">
      <c r="A916" s="16">
        <f>Place_data_here!A916</f>
        <v>0</v>
      </c>
      <c r="B916" s="4" t="e">
        <f t="shared" si="14"/>
        <v>#VALUE!</v>
      </c>
      <c r="C916" s="1" t="e">
        <f>SplineInterp(A916,Own_Spectrum_250cm!$U$2:$U$34,Own_Spectrum_250cm!$V$2:$V$34)*D916</f>
        <v>#VALUE!</v>
      </c>
      <c r="D916" s="13">
        <f>Place_data_here!B916</f>
        <v>0</v>
      </c>
    </row>
    <row r="917" spans="1:4" x14ac:dyDescent="0.25">
      <c r="A917" s="16">
        <f>Place_data_here!A917</f>
        <v>0</v>
      </c>
      <c r="B917" s="4" t="e">
        <f t="shared" si="14"/>
        <v>#VALUE!</v>
      </c>
      <c r="C917" s="1" t="e">
        <f>SplineInterp(A917,Own_Spectrum_250cm!$U$2:$U$34,Own_Spectrum_250cm!$V$2:$V$34)*D917</f>
        <v>#VALUE!</v>
      </c>
      <c r="D917" s="13">
        <f>Place_data_here!B917</f>
        <v>0</v>
      </c>
    </row>
    <row r="918" spans="1:4" x14ac:dyDescent="0.25">
      <c r="A918" s="16">
        <f>Place_data_here!A918</f>
        <v>0</v>
      </c>
      <c r="B918" s="4" t="e">
        <f t="shared" si="14"/>
        <v>#VALUE!</v>
      </c>
      <c r="C918" s="1" t="e">
        <f>SplineInterp(A918,Own_Spectrum_250cm!$U$2:$U$34,Own_Spectrum_250cm!$V$2:$V$34)*D918</f>
        <v>#VALUE!</v>
      </c>
      <c r="D918" s="13">
        <f>Place_data_here!B918</f>
        <v>0</v>
      </c>
    </row>
    <row r="919" spans="1:4" x14ac:dyDescent="0.25">
      <c r="A919" s="16">
        <f>Place_data_here!A919</f>
        <v>0</v>
      </c>
      <c r="B919" s="4" t="e">
        <f t="shared" si="14"/>
        <v>#VALUE!</v>
      </c>
      <c r="C919" s="1" t="e">
        <f>SplineInterp(A919,Own_Spectrum_250cm!$U$2:$U$34,Own_Spectrum_250cm!$V$2:$V$34)*D919</f>
        <v>#VALUE!</v>
      </c>
      <c r="D919" s="13">
        <f>Place_data_here!B919</f>
        <v>0</v>
      </c>
    </row>
    <row r="920" spans="1:4" x14ac:dyDescent="0.25">
      <c r="A920" s="16">
        <f>Place_data_here!A920</f>
        <v>0</v>
      </c>
      <c r="B920" s="4" t="e">
        <f t="shared" si="14"/>
        <v>#VALUE!</v>
      </c>
      <c r="C920" s="1" t="e">
        <f>SplineInterp(A920,Own_Spectrum_250cm!$U$2:$U$34,Own_Spectrum_250cm!$V$2:$V$34)*D920</f>
        <v>#VALUE!</v>
      </c>
      <c r="D920" s="13">
        <f>Place_data_here!B920</f>
        <v>0</v>
      </c>
    </row>
    <row r="921" spans="1:4" x14ac:dyDescent="0.25">
      <c r="A921" s="16">
        <f>Place_data_here!A921</f>
        <v>0</v>
      </c>
      <c r="B921" s="4" t="e">
        <f t="shared" si="14"/>
        <v>#VALUE!</v>
      </c>
      <c r="C921" s="1" t="e">
        <f>SplineInterp(A921,Own_Spectrum_250cm!$U$2:$U$34,Own_Spectrum_250cm!$V$2:$V$34)*D921</f>
        <v>#VALUE!</v>
      </c>
      <c r="D921" s="13">
        <f>Place_data_here!B921</f>
        <v>0</v>
      </c>
    </row>
    <row r="922" spans="1:4" x14ac:dyDescent="0.25">
      <c r="A922" s="16">
        <f>Place_data_here!A922</f>
        <v>0</v>
      </c>
      <c r="B922" s="4" t="e">
        <f t="shared" si="14"/>
        <v>#VALUE!</v>
      </c>
      <c r="C922" s="1" t="e">
        <f>SplineInterp(A922,Own_Spectrum_250cm!$U$2:$U$34,Own_Spectrum_250cm!$V$2:$V$34)*D922</f>
        <v>#VALUE!</v>
      </c>
      <c r="D922" s="13">
        <f>Place_data_here!B922</f>
        <v>0</v>
      </c>
    </row>
    <row r="923" spans="1:4" x14ac:dyDescent="0.25">
      <c r="A923" s="16">
        <f>Place_data_here!A923</f>
        <v>0</v>
      </c>
      <c r="B923" s="4" t="e">
        <f t="shared" si="14"/>
        <v>#VALUE!</v>
      </c>
      <c r="C923" s="1" t="e">
        <f>SplineInterp(A923,Own_Spectrum_250cm!$U$2:$U$34,Own_Spectrum_250cm!$V$2:$V$34)*D923</f>
        <v>#VALUE!</v>
      </c>
      <c r="D923" s="13">
        <f>Place_data_here!B923</f>
        <v>0</v>
      </c>
    </row>
    <row r="924" spans="1:4" x14ac:dyDescent="0.25">
      <c r="A924" s="16">
        <f>Place_data_here!A924</f>
        <v>0</v>
      </c>
      <c r="B924" s="4" t="e">
        <f t="shared" si="14"/>
        <v>#VALUE!</v>
      </c>
      <c r="C924" s="1" t="e">
        <f>SplineInterp(A924,Own_Spectrum_250cm!$U$2:$U$34,Own_Spectrum_250cm!$V$2:$V$34)*D924</f>
        <v>#VALUE!</v>
      </c>
      <c r="D924" s="13">
        <f>Place_data_here!B924</f>
        <v>0</v>
      </c>
    </row>
    <row r="925" spans="1:4" x14ac:dyDescent="0.25">
      <c r="A925" s="16">
        <f>Place_data_here!A925</f>
        <v>0</v>
      </c>
      <c r="B925" s="4" t="e">
        <f t="shared" si="14"/>
        <v>#VALUE!</v>
      </c>
      <c r="C925" s="1" t="e">
        <f>SplineInterp(A925,Own_Spectrum_250cm!$U$2:$U$34,Own_Spectrum_250cm!$V$2:$V$34)*D925</f>
        <v>#VALUE!</v>
      </c>
      <c r="D925" s="13">
        <f>Place_data_here!B925</f>
        <v>0</v>
      </c>
    </row>
    <row r="926" spans="1:4" x14ac:dyDescent="0.25">
      <c r="A926" s="16">
        <f>Place_data_here!A926</f>
        <v>0</v>
      </c>
      <c r="B926" s="4" t="e">
        <f t="shared" si="14"/>
        <v>#VALUE!</v>
      </c>
      <c r="C926" s="1" t="e">
        <f>SplineInterp(A926,Own_Spectrum_250cm!$U$2:$U$34,Own_Spectrum_250cm!$V$2:$V$34)*D926</f>
        <v>#VALUE!</v>
      </c>
      <c r="D926" s="13">
        <f>Place_data_here!B926</f>
        <v>0</v>
      </c>
    </row>
    <row r="927" spans="1:4" x14ac:dyDescent="0.25">
      <c r="A927" s="16">
        <f>Place_data_here!A927</f>
        <v>0</v>
      </c>
      <c r="B927" s="4" t="e">
        <f t="shared" si="14"/>
        <v>#VALUE!</v>
      </c>
      <c r="C927" s="1" t="e">
        <f>SplineInterp(A927,Own_Spectrum_250cm!$U$2:$U$34,Own_Spectrum_250cm!$V$2:$V$34)*D927</f>
        <v>#VALUE!</v>
      </c>
      <c r="D927" s="13">
        <f>Place_data_here!B927</f>
        <v>0</v>
      </c>
    </row>
    <row r="928" spans="1:4" x14ac:dyDescent="0.25">
      <c r="A928" s="16">
        <f>Place_data_here!A928</f>
        <v>0</v>
      </c>
      <c r="B928" s="4" t="e">
        <f t="shared" si="14"/>
        <v>#VALUE!</v>
      </c>
      <c r="C928" s="1" t="e">
        <f>SplineInterp(A928,Own_Spectrum_250cm!$U$2:$U$34,Own_Spectrum_250cm!$V$2:$V$34)*D928</f>
        <v>#VALUE!</v>
      </c>
      <c r="D928" s="13">
        <f>Place_data_here!B928</f>
        <v>0</v>
      </c>
    </row>
    <row r="929" spans="1:4" x14ac:dyDescent="0.25">
      <c r="A929" s="16">
        <f>Place_data_here!A929</f>
        <v>0</v>
      </c>
      <c r="B929" s="4" t="e">
        <f t="shared" si="14"/>
        <v>#VALUE!</v>
      </c>
      <c r="C929" s="1" t="e">
        <f>SplineInterp(A929,Own_Spectrum_250cm!$U$2:$U$34,Own_Spectrum_250cm!$V$2:$V$34)*D929</f>
        <v>#VALUE!</v>
      </c>
      <c r="D929" s="13">
        <f>Place_data_here!B929</f>
        <v>0</v>
      </c>
    </row>
    <row r="930" spans="1:4" x14ac:dyDescent="0.25">
      <c r="A930" s="16">
        <f>Place_data_here!A930</f>
        <v>0</v>
      </c>
      <c r="B930" s="4" t="e">
        <f t="shared" si="14"/>
        <v>#VALUE!</v>
      </c>
      <c r="C930" s="1" t="e">
        <f>SplineInterp(A930,Own_Spectrum_250cm!$U$2:$U$34,Own_Spectrum_250cm!$V$2:$V$34)*D930</f>
        <v>#VALUE!</v>
      </c>
      <c r="D930" s="13">
        <f>Place_data_here!B930</f>
        <v>0</v>
      </c>
    </row>
    <row r="931" spans="1:4" x14ac:dyDescent="0.25">
      <c r="A931" s="16">
        <f>Place_data_here!A931</f>
        <v>0</v>
      </c>
      <c r="B931" s="4" t="e">
        <f t="shared" si="14"/>
        <v>#VALUE!</v>
      </c>
      <c r="C931" s="1" t="e">
        <f>SplineInterp(A931,Own_Spectrum_250cm!$U$2:$U$34,Own_Spectrum_250cm!$V$2:$V$34)*D931</f>
        <v>#VALUE!</v>
      </c>
      <c r="D931" s="13">
        <f>Place_data_here!B931</f>
        <v>0</v>
      </c>
    </row>
    <row r="932" spans="1:4" x14ac:dyDescent="0.25">
      <c r="A932" s="16">
        <f>Place_data_here!A932</f>
        <v>0</v>
      </c>
      <c r="B932" s="4" t="e">
        <f t="shared" si="14"/>
        <v>#VALUE!</v>
      </c>
      <c r="C932" s="1" t="e">
        <f>SplineInterp(A932,Own_Spectrum_250cm!$U$2:$U$34,Own_Spectrum_250cm!$V$2:$V$34)*D932</f>
        <v>#VALUE!</v>
      </c>
      <c r="D932" s="13">
        <f>Place_data_here!B932</f>
        <v>0</v>
      </c>
    </row>
    <row r="933" spans="1:4" x14ac:dyDescent="0.25">
      <c r="A933" s="16">
        <f>Place_data_here!A933</f>
        <v>0</v>
      </c>
      <c r="B933" s="4" t="e">
        <f t="shared" si="14"/>
        <v>#VALUE!</v>
      </c>
      <c r="C933" s="1" t="e">
        <f>SplineInterp(A933,Own_Spectrum_250cm!$U$2:$U$34,Own_Spectrum_250cm!$V$2:$V$34)*D933</f>
        <v>#VALUE!</v>
      </c>
      <c r="D933" s="13">
        <f>Place_data_here!B933</f>
        <v>0</v>
      </c>
    </row>
    <row r="934" spans="1:4" x14ac:dyDescent="0.25">
      <c r="A934" s="16">
        <f>Place_data_here!A934</f>
        <v>0</v>
      </c>
      <c r="B934" s="4" t="e">
        <f t="shared" si="14"/>
        <v>#VALUE!</v>
      </c>
      <c r="C934" s="1" t="e">
        <f>SplineInterp(A934,Own_Spectrum_250cm!$U$2:$U$34,Own_Spectrum_250cm!$V$2:$V$34)*D934</f>
        <v>#VALUE!</v>
      </c>
      <c r="D934" s="13">
        <f>Place_data_here!B934</f>
        <v>0</v>
      </c>
    </row>
    <row r="935" spans="1:4" x14ac:dyDescent="0.25">
      <c r="A935" s="16">
        <f>Place_data_here!A935</f>
        <v>0</v>
      </c>
      <c r="B935" s="4" t="e">
        <f t="shared" si="14"/>
        <v>#VALUE!</v>
      </c>
      <c r="C935" s="1" t="e">
        <f>SplineInterp(A935,Own_Spectrum_250cm!$U$2:$U$34,Own_Spectrum_250cm!$V$2:$V$34)*D935</f>
        <v>#VALUE!</v>
      </c>
      <c r="D935" s="13">
        <f>Place_data_here!B935</f>
        <v>0</v>
      </c>
    </row>
    <row r="936" spans="1:4" x14ac:dyDescent="0.25">
      <c r="A936" s="16">
        <f>Place_data_here!A936</f>
        <v>0</v>
      </c>
      <c r="B936" s="4" t="e">
        <f t="shared" si="14"/>
        <v>#VALUE!</v>
      </c>
      <c r="C936" s="1" t="e">
        <f>SplineInterp(A936,Own_Spectrum_250cm!$U$2:$U$34,Own_Spectrum_250cm!$V$2:$V$34)*D936</f>
        <v>#VALUE!</v>
      </c>
      <c r="D936" s="13">
        <f>Place_data_here!B936</f>
        <v>0</v>
      </c>
    </row>
    <row r="937" spans="1:4" x14ac:dyDescent="0.25">
      <c r="A937" s="16">
        <f>Place_data_here!A937</f>
        <v>0</v>
      </c>
      <c r="B937" s="4" t="e">
        <f t="shared" si="14"/>
        <v>#VALUE!</v>
      </c>
      <c r="C937" s="1" t="e">
        <f>SplineInterp(A937,Own_Spectrum_250cm!$U$2:$U$34,Own_Spectrum_250cm!$V$2:$V$34)*D937</f>
        <v>#VALUE!</v>
      </c>
      <c r="D937" s="13">
        <f>Place_data_here!B937</f>
        <v>0</v>
      </c>
    </row>
    <row r="938" spans="1:4" x14ac:dyDescent="0.25">
      <c r="A938" s="16">
        <f>Place_data_here!A938</f>
        <v>0</v>
      </c>
      <c r="B938" s="4" t="e">
        <f t="shared" si="14"/>
        <v>#VALUE!</v>
      </c>
      <c r="C938" s="1" t="e">
        <f>SplineInterp(A938,Own_Spectrum_250cm!$U$2:$U$34,Own_Spectrum_250cm!$V$2:$V$34)*D938</f>
        <v>#VALUE!</v>
      </c>
      <c r="D938" s="13">
        <f>Place_data_here!B938</f>
        <v>0</v>
      </c>
    </row>
    <row r="939" spans="1:4" x14ac:dyDescent="0.25">
      <c r="A939" s="16">
        <f>Place_data_here!A939</f>
        <v>0</v>
      </c>
      <c r="B939" s="4" t="e">
        <f t="shared" si="14"/>
        <v>#VALUE!</v>
      </c>
      <c r="C939" s="1" t="e">
        <f>SplineInterp(A939,Own_Spectrum_250cm!$U$2:$U$34,Own_Spectrum_250cm!$V$2:$V$34)*D939</f>
        <v>#VALUE!</v>
      </c>
      <c r="D939" s="13">
        <f>Place_data_here!B939</f>
        <v>0</v>
      </c>
    </row>
    <row r="940" spans="1:4" x14ac:dyDescent="0.25">
      <c r="A940" s="16">
        <f>Place_data_here!A940</f>
        <v>0</v>
      </c>
      <c r="B940" s="4" t="e">
        <f t="shared" si="14"/>
        <v>#VALUE!</v>
      </c>
      <c r="C940" s="1" t="e">
        <f>SplineInterp(A940,Own_Spectrum_250cm!$U$2:$U$34,Own_Spectrum_250cm!$V$2:$V$34)*D940</f>
        <v>#VALUE!</v>
      </c>
      <c r="D940" s="13">
        <f>Place_data_here!B940</f>
        <v>0</v>
      </c>
    </row>
    <row r="941" spans="1:4" x14ac:dyDescent="0.25">
      <c r="A941" s="16">
        <f>Place_data_here!A941</f>
        <v>0</v>
      </c>
      <c r="B941" s="4" t="e">
        <f t="shared" si="14"/>
        <v>#VALUE!</v>
      </c>
      <c r="C941" s="1" t="e">
        <f>SplineInterp(A941,Own_Spectrum_250cm!$U$2:$U$34,Own_Spectrum_250cm!$V$2:$V$34)*D941</f>
        <v>#VALUE!</v>
      </c>
      <c r="D941" s="13">
        <f>Place_data_here!B941</f>
        <v>0</v>
      </c>
    </row>
    <row r="942" spans="1:4" x14ac:dyDescent="0.25">
      <c r="A942" s="16">
        <f>Place_data_here!A942</f>
        <v>0</v>
      </c>
      <c r="B942" s="4" t="e">
        <f t="shared" si="14"/>
        <v>#VALUE!</v>
      </c>
      <c r="C942" s="1" t="e">
        <f>SplineInterp(A942,Own_Spectrum_250cm!$U$2:$U$34,Own_Spectrum_250cm!$V$2:$V$34)*D942</f>
        <v>#VALUE!</v>
      </c>
      <c r="D942" s="13">
        <f>Place_data_here!B942</f>
        <v>0</v>
      </c>
    </row>
    <row r="943" spans="1:4" x14ac:dyDescent="0.25">
      <c r="A943" s="16">
        <f>Place_data_here!A943</f>
        <v>0</v>
      </c>
      <c r="B943" s="4" t="e">
        <f t="shared" si="14"/>
        <v>#VALUE!</v>
      </c>
      <c r="C943" s="1" t="e">
        <f>SplineInterp(A943,Own_Spectrum_250cm!$U$2:$U$34,Own_Spectrum_250cm!$V$2:$V$34)*D943</f>
        <v>#VALUE!</v>
      </c>
      <c r="D943" s="13">
        <f>Place_data_here!B943</f>
        <v>0</v>
      </c>
    </row>
    <row r="944" spans="1:4" x14ac:dyDescent="0.25">
      <c r="A944" s="16">
        <f>Place_data_here!A944</f>
        <v>0</v>
      </c>
      <c r="B944" s="4" t="e">
        <f t="shared" si="14"/>
        <v>#VALUE!</v>
      </c>
      <c r="C944" s="1" t="e">
        <f>SplineInterp(A944,Own_Spectrum_250cm!$U$2:$U$34,Own_Spectrum_250cm!$V$2:$V$34)*D944</f>
        <v>#VALUE!</v>
      </c>
      <c r="D944" s="13">
        <f>Place_data_here!B944</f>
        <v>0</v>
      </c>
    </row>
    <row r="945" spans="1:4" x14ac:dyDescent="0.25">
      <c r="A945" s="16">
        <f>Place_data_here!A945</f>
        <v>0</v>
      </c>
      <c r="B945" s="4" t="e">
        <f t="shared" si="14"/>
        <v>#VALUE!</v>
      </c>
      <c r="C945" s="1" t="e">
        <f>SplineInterp(A945,Own_Spectrum_250cm!$U$2:$U$34,Own_Spectrum_250cm!$V$2:$V$34)*D945</f>
        <v>#VALUE!</v>
      </c>
      <c r="D945" s="13">
        <f>Place_data_here!B945</f>
        <v>0</v>
      </c>
    </row>
    <row r="946" spans="1:4" x14ac:dyDescent="0.25">
      <c r="A946" s="16">
        <f>Place_data_here!A946</f>
        <v>0</v>
      </c>
      <c r="B946" s="4" t="e">
        <f t="shared" si="14"/>
        <v>#VALUE!</v>
      </c>
      <c r="C946" s="1" t="e">
        <f>SplineInterp(A946,Own_Spectrum_250cm!$U$2:$U$34,Own_Spectrum_250cm!$V$2:$V$34)*D946</f>
        <v>#VALUE!</v>
      </c>
      <c r="D946" s="13">
        <f>Place_data_here!B946</f>
        <v>0</v>
      </c>
    </row>
    <row r="947" spans="1:4" x14ac:dyDescent="0.25">
      <c r="A947" s="16">
        <f>Place_data_here!A947</f>
        <v>0</v>
      </c>
      <c r="B947" s="4" t="e">
        <f t="shared" si="14"/>
        <v>#VALUE!</v>
      </c>
      <c r="C947" s="1" t="e">
        <f>SplineInterp(A947,Own_Spectrum_250cm!$U$2:$U$34,Own_Spectrum_250cm!$V$2:$V$34)*D947</f>
        <v>#VALUE!</v>
      </c>
      <c r="D947" s="13">
        <f>Place_data_here!B947</f>
        <v>0</v>
      </c>
    </row>
    <row r="948" spans="1:4" x14ac:dyDescent="0.25">
      <c r="A948" s="16">
        <f>Place_data_here!A948</f>
        <v>0</v>
      </c>
      <c r="B948" s="4" t="e">
        <f t="shared" si="14"/>
        <v>#VALUE!</v>
      </c>
      <c r="C948" s="1" t="e">
        <f>SplineInterp(A948,Own_Spectrum_250cm!$U$2:$U$34,Own_Spectrum_250cm!$V$2:$V$34)*D948</f>
        <v>#VALUE!</v>
      </c>
      <c r="D948" s="13">
        <f>Place_data_here!B948</f>
        <v>0</v>
      </c>
    </row>
    <row r="949" spans="1:4" x14ac:dyDescent="0.25">
      <c r="A949" s="16">
        <f>Place_data_here!A949</f>
        <v>0</v>
      </c>
      <c r="B949" s="4" t="e">
        <f t="shared" si="14"/>
        <v>#VALUE!</v>
      </c>
      <c r="C949" s="1" t="e">
        <f>SplineInterp(A949,Own_Spectrum_250cm!$U$2:$U$34,Own_Spectrum_250cm!$V$2:$V$34)*D949</f>
        <v>#VALUE!</v>
      </c>
      <c r="D949" s="13">
        <f>Place_data_here!B949</f>
        <v>0</v>
      </c>
    </row>
    <row r="950" spans="1:4" x14ac:dyDescent="0.25">
      <c r="A950" s="16">
        <f>Place_data_here!A950</f>
        <v>0</v>
      </c>
      <c r="B950" s="4" t="e">
        <f t="shared" si="14"/>
        <v>#VALUE!</v>
      </c>
      <c r="C950" s="1" t="e">
        <f>SplineInterp(A950,Own_Spectrum_250cm!$U$2:$U$34,Own_Spectrum_250cm!$V$2:$V$34)*D950</f>
        <v>#VALUE!</v>
      </c>
      <c r="D950" s="13">
        <f>Place_data_here!B950</f>
        <v>0</v>
      </c>
    </row>
    <row r="951" spans="1:4" x14ac:dyDescent="0.25">
      <c r="A951" s="16">
        <f>Place_data_here!A951</f>
        <v>0</v>
      </c>
      <c r="B951" s="4" t="e">
        <f t="shared" si="14"/>
        <v>#VALUE!</v>
      </c>
      <c r="C951" s="1" t="e">
        <f>SplineInterp(A951,Own_Spectrum_250cm!$U$2:$U$34,Own_Spectrum_250cm!$V$2:$V$34)*D951</f>
        <v>#VALUE!</v>
      </c>
      <c r="D951" s="13">
        <f>Place_data_here!B951</f>
        <v>0</v>
      </c>
    </row>
    <row r="952" spans="1:4" x14ac:dyDescent="0.25">
      <c r="A952" s="16">
        <f>Place_data_here!A952</f>
        <v>0</v>
      </c>
      <c r="B952" s="4" t="e">
        <f t="shared" si="14"/>
        <v>#VALUE!</v>
      </c>
      <c r="C952" s="1" t="e">
        <f>SplineInterp(A952,Own_Spectrum_250cm!$U$2:$U$34,Own_Spectrum_250cm!$V$2:$V$34)*D952</f>
        <v>#VALUE!</v>
      </c>
      <c r="D952" s="13">
        <f>Place_data_here!B952</f>
        <v>0</v>
      </c>
    </row>
    <row r="953" spans="1:4" x14ac:dyDescent="0.25">
      <c r="A953" s="16">
        <f>Place_data_here!A953</f>
        <v>0</v>
      </c>
      <c r="B953" s="4" t="e">
        <f t="shared" si="14"/>
        <v>#VALUE!</v>
      </c>
      <c r="C953" s="1" t="e">
        <f>SplineInterp(A953,Own_Spectrum_250cm!$U$2:$U$34,Own_Spectrum_250cm!$V$2:$V$34)*D953</f>
        <v>#VALUE!</v>
      </c>
      <c r="D953" s="13">
        <f>Place_data_here!B953</f>
        <v>0</v>
      </c>
    </row>
    <row r="954" spans="1:4" x14ac:dyDescent="0.25">
      <c r="A954" s="16">
        <f>Place_data_here!A954</f>
        <v>0</v>
      </c>
      <c r="B954" s="4" t="e">
        <f t="shared" si="14"/>
        <v>#VALUE!</v>
      </c>
      <c r="C954" s="1" t="e">
        <f>SplineInterp(A954,Own_Spectrum_250cm!$U$2:$U$34,Own_Spectrum_250cm!$V$2:$V$34)*D954</f>
        <v>#VALUE!</v>
      </c>
      <c r="D954" s="13">
        <f>Place_data_here!B954</f>
        <v>0</v>
      </c>
    </row>
    <row r="955" spans="1:4" x14ac:dyDescent="0.25">
      <c r="A955" s="16">
        <f>Place_data_here!A955</f>
        <v>0</v>
      </c>
      <c r="B955" s="4" t="e">
        <f t="shared" si="14"/>
        <v>#VALUE!</v>
      </c>
      <c r="C955" s="1" t="e">
        <f>SplineInterp(A955,Own_Spectrum_250cm!$U$2:$U$34,Own_Spectrum_250cm!$V$2:$V$34)*D955</f>
        <v>#VALUE!</v>
      </c>
      <c r="D955" s="13">
        <f>Place_data_here!B955</f>
        <v>0</v>
      </c>
    </row>
    <row r="956" spans="1:4" x14ac:dyDescent="0.25">
      <c r="A956" s="16">
        <f>Place_data_here!A956</f>
        <v>0</v>
      </c>
      <c r="B956" s="4" t="e">
        <f t="shared" si="14"/>
        <v>#VALUE!</v>
      </c>
      <c r="C956" s="1" t="e">
        <f>SplineInterp(A956,Own_Spectrum_250cm!$U$2:$U$34,Own_Spectrum_250cm!$V$2:$V$34)*D956</f>
        <v>#VALUE!</v>
      </c>
      <c r="D956" s="13">
        <f>Place_data_here!B956</f>
        <v>0</v>
      </c>
    </row>
    <row r="957" spans="1:4" x14ac:dyDescent="0.25">
      <c r="A957" s="16">
        <f>Place_data_here!A957</f>
        <v>0</v>
      </c>
      <c r="B957" s="4" t="e">
        <f t="shared" si="14"/>
        <v>#VALUE!</v>
      </c>
      <c r="C957" s="1" t="e">
        <f>SplineInterp(A957,Own_Spectrum_250cm!$U$2:$U$34,Own_Spectrum_250cm!$V$2:$V$34)*D957</f>
        <v>#VALUE!</v>
      </c>
      <c r="D957" s="13">
        <f>Place_data_here!B957</f>
        <v>0</v>
      </c>
    </row>
    <row r="958" spans="1:4" x14ac:dyDescent="0.25">
      <c r="A958" s="16">
        <f>Place_data_here!A958</f>
        <v>0</v>
      </c>
      <c r="B958" s="4" t="e">
        <f t="shared" si="14"/>
        <v>#VALUE!</v>
      </c>
      <c r="C958" s="1" t="e">
        <f>SplineInterp(A958,Own_Spectrum_250cm!$U$2:$U$34,Own_Spectrum_250cm!$V$2:$V$34)*D958</f>
        <v>#VALUE!</v>
      </c>
      <c r="D958" s="13">
        <f>Place_data_here!B958</f>
        <v>0</v>
      </c>
    </row>
    <row r="959" spans="1:4" x14ac:dyDescent="0.25">
      <c r="A959" s="16">
        <f>Place_data_here!A959</f>
        <v>0</v>
      </c>
      <c r="B959" s="4" t="e">
        <f t="shared" si="14"/>
        <v>#VALUE!</v>
      </c>
      <c r="C959" s="1" t="e">
        <f>SplineInterp(A959,Own_Spectrum_250cm!$U$2:$U$34,Own_Spectrum_250cm!$V$2:$V$34)*D959</f>
        <v>#VALUE!</v>
      </c>
      <c r="D959" s="13">
        <f>Place_data_here!B959</f>
        <v>0</v>
      </c>
    </row>
    <row r="960" spans="1:4" x14ac:dyDescent="0.25">
      <c r="A960" s="16">
        <f>Place_data_here!A960</f>
        <v>0</v>
      </c>
      <c r="B960" s="4" t="e">
        <f t="shared" si="14"/>
        <v>#VALUE!</v>
      </c>
      <c r="C960" s="1" t="e">
        <f>SplineInterp(A960,Own_Spectrum_250cm!$U$2:$U$34,Own_Spectrum_250cm!$V$2:$V$34)*D960</f>
        <v>#VALUE!</v>
      </c>
      <c r="D960" s="13">
        <f>Place_data_here!B960</f>
        <v>0</v>
      </c>
    </row>
    <row r="961" spans="1:4" x14ac:dyDescent="0.25">
      <c r="A961" s="16">
        <f>Place_data_here!A961</f>
        <v>0</v>
      </c>
      <c r="B961" s="4" t="e">
        <f t="shared" si="14"/>
        <v>#VALUE!</v>
      </c>
      <c r="C961" s="1" t="e">
        <f>SplineInterp(A961,Own_Spectrum_250cm!$U$2:$U$34,Own_Spectrum_250cm!$V$2:$V$34)*D961</f>
        <v>#VALUE!</v>
      </c>
      <c r="D961" s="13">
        <f>Place_data_here!B961</f>
        <v>0</v>
      </c>
    </row>
    <row r="962" spans="1:4" x14ac:dyDescent="0.25">
      <c r="A962" s="16">
        <f>Place_data_here!A962</f>
        <v>0</v>
      </c>
      <c r="B962" s="4" t="e">
        <f t="shared" si="14"/>
        <v>#VALUE!</v>
      </c>
      <c r="C962" s="1" t="e">
        <f>SplineInterp(A962,Own_Spectrum_250cm!$U$2:$U$34,Own_Spectrum_250cm!$V$2:$V$34)*D962</f>
        <v>#VALUE!</v>
      </c>
      <c r="D962" s="13">
        <f>Place_data_here!B962</f>
        <v>0</v>
      </c>
    </row>
    <row r="963" spans="1:4" x14ac:dyDescent="0.25">
      <c r="A963" s="16">
        <f>Place_data_here!A963</f>
        <v>0</v>
      </c>
      <c r="B963" s="4" t="e">
        <f t="shared" ref="B963:B1026" si="15">C963/$C$1028</f>
        <v>#VALUE!</v>
      </c>
      <c r="C963" s="1" t="e">
        <f>SplineInterp(A963,Own_Spectrum_250cm!$U$2:$U$34,Own_Spectrum_250cm!$V$2:$V$34)*D963</f>
        <v>#VALUE!</v>
      </c>
      <c r="D963" s="13">
        <f>Place_data_here!B963</f>
        <v>0</v>
      </c>
    </row>
    <row r="964" spans="1:4" x14ac:dyDescent="0.25">
      <c r="A964" s="16">
        <f>Place_data_here!A964</f>
        <v>0</v>
      </c>
      <c r="B964" s="4" t="e">
        <f t="shared" si="15"/>
        <v>#VALUE!</v>
      </c>
      <c r="C964" s="1" t="e">
        <f>SplineInterp(A964,Own_Spectrum_250cm!$U$2:$U$34,Own_Spectrum_250cm!$V$2:$V$34)*D964</f>
        <v>#VALUE!</v>
      </c>
      <c r="D964" s="13">
        <f>Place_data_here!B964</f>
        <v>0</v>
      </c>
    </row>
    <row r="965" spans="1:4" x14ac:dyDescent="0.25">
      <c r="A965" s="16">
        <f>Place_data_here!A965</f>
        <v>0</v>
      </c>
      <c r="B965" s="4" t="e">
        <f t="shared" si="15"/>
        <v>#VALUE!</v>
      </c>
      <c r="C965" s="1" t="e">
        <f>SplineInterp(A965,Own_Spectrum_250cm!$U$2:$U$34,Own_Spectrum_250cm!$V$2:$V$34)*D965</f>
        <v>#VALUE!</v>
      </c>
      <c r="D965" s="13">
        <f>Place_data_here!B965</f>
        <v>0</v>
      </c>
    </row>
    <row r="966" spans="1:4" x14ac:dyDescent="0.25">
      <c r="A966" s="16">
        <f>Place_data_here!A966</f>
        <v>0</v>
      </c>
      <c r="B966" s="4" t="e">
        <f t="shared" si="15"/>
        <v>#VALUE!</v>
      </c>
      <c r="C966" s="1" t="e">
        <f>SplineInterp(A966,Own_Spectrum_250cm!$U$2:$U$34,Own_Spectrum_250cm!$V$2:$V$34)*D966</f>
        <v>#VALUE!</v>
      </c>
      <c r="D966" s="13">
        <f>Place_data_here!B966</f>
        <v>0</v>
      </c>
    </row>
    <row r="967" spans="1:4" x14ac:dyDescent="0.25">
      <c r="A967" s="16">
        <f>Place_data_here!A967</f>
        <v>0</v>
      </c>
      <c r="B967" s="4" t="e">
        <f t="shared" si="15"/>
        <v>#VALUE!</v>
      </c>
      <c r="C967" s="1" t="e">
        <f>SplineInterp(A967,Own_Spectrum_250cm!$U$2:$U$34,Own_Spectrum_250cm!$V$2:$V$34)*D967</f>
        <v>#VALUE!</v>
      </c>
      <c r="D967" s="13">
        <f>Place_data_here!B967</f>
        <v>0</v>
      </c>
    </row>
    <row r="968" spans="1:4" x14ac:dyDescent="0.25">
      <c r="A968" s="16">
        <f>Place_data_here!A968</f>
        <v>0</v>
      </c>
      <c r="B968" s="4" t="e">
        <f t="shared" si="15"/>
        <v>#VALUE!</v>
      </c>
      <c r="C968" s="1" t="e">
        <f>SplineInterp(A968,Own_Spectrum_250cm!$U$2:$U$34,Own_Spectrum_250cm!$V$2:$V$34)*D968</f>
        <v>#VALUE!</v>
      </c>
      <c r="D968" s="13">
        <f>Place_data_here!B968</f>
        <v>0</v>
      </c>
    </row>
    <row r="969" spans="1:4" x14ac:dyDescent="0.25">
      <c r="A969" s="16">
        <f>Place_data_here!A969</f>
        <v>0</v>
      </c>
      <c r="B969" s="4" t="e">
        <f t="shared" si="15"/>
        <v>#VALUE!</v>
      </c>
      <c r="C969" s="1" t="e">
        <f>SplineInterp(A969,Own_Spectrum_250cm!$U$2:$U$34,Own_Spectrum_250cm!$V$2:$V$34)*D969</f>
        <v>#VALUE!</v>
      </c>
      <c r="D969" s="13">
        <f>Place_data_here!B969</f>
        <v>0</v>
      </c>
    </row>
    <row r="970" spans="1:4" x14ac:dyDescent="0.25">
      <c r="A970" s="16">
        <f>Place_data_here!A970</f>
        <v>0</v>
      </c>
      <c r="B970" s="4" t="e">
        <f t="shared" si="15"/>
        <v>#VALUE!</v>
      </c>
      <c r="C970" s="1" t="e">
        <f>SplineInterp(A970,Own_Spectrum_250cm!$U$2:$U$34,Own_Spectrum_250cm!$V$2:$V$34)*D970</f>
        <v>#VALUE!</v>
      </c>
      <c r="D970" s="13">
        <f>Place_data_here!B970</f>
        <v>0</v>
      </c>
    </row>
    <row r="971" spans="1:4" x14ac:dyDescent="0.25">
      <c r="A971" s="16">
        <f>Place_data_here!A971</f>
        <v>0</v>
      </c>
      <c r="B971" s="4" t="e">
        <f t="shared" si="15"/>
        <v>#VALUE!</v>
      </c>
      <c r="C971" s="1" t="e">
        <f>SplineInterp(A971,Own_Spectrum_250cm!$U$2:$U$34,Own_Spectrum_250cm!$V$2:$V$34)*D971</f>
        <v>#VALUE!</v>
      </c>
      <c r="D971" s="13">
        <f>Place_data_here!B971</f>
        <v>0</v>
      </c>
    </row>
    <row r="972" spans="1:4" x14ac:dyDescent="0.25">
      <c r="A972" s="16">
        <f>Place_data_here!A972</f>
        <v>0</v>
      </c>
      <c r="B972" s="4" t="e">
        <f t="shared" si="15"/>
        <v>#VALUE!</v>
      </c>
      <c r="C972" s="1" t="e">
        <f>SplineInterp(A972,Own_Spectrum_250cm!$U$2:$U$34,Own_Spectrum_250cm!$V$2:$V$34)*D972</f>
        <v>#VALUE!</v>
      </c>
      <c r="D972" s="13">
        <f>Place_data_here!B972</f>
        <v>0</v>
      </c>
    </row>
    <row r="973" spans="1:4" x14ac:dyDescent="0.25">
      <c r="A973" s="16">
        <f>Place_data_here!A973</f>
        <v>0</v>
      </c>
      <c r="B973" s="4" t="e">
        <f t="shared" si="15"/>
        <v>#VALUE!</v>
      </c>
      <c r="C973" s="1" t="e">
        <f>SplineInterp(A973,Own_Spectrum_250cm!$U$2:$U$34,Own_Spectrum_250cm!$V$2:$V$34)*D973</f>
        <v>#VALUE!</v>
      </c>
      <c r="D973" s="13">
        <f>Place_data_here!B973</f>
        <v>0</v>
      </c>
    </row>
    <row r="974" spans="1:4" x14ac:dyDescent="0.25">
      <c r="A974" s="16">
        <f>Place_data_here!A974</f>
        <v>0</v>
      </c>
      <c r="B974" s="4" t="e">
        <f t="shared" si="15"/>
        <v>#VALUE!</v>
      </c>
      <c r="C974" s="1" t="e">
        <f>SplineInterp(A974,Own_Spectrum_250cm!$U$2:$U$34,Own_Spectrum_250cm!$V$2:$V$34)*D974</f>
        <v>#VALUE!</v>
      </c>
      <c r="D974" s="13">
        <f>Place_data_here!B974</f>
        <v>0</v>
      </c>
    </row>
    <row r="975" spans="1:4" x14ac:dyDescent="0.25">
      <c r="A975" s="16">
        <f>Place_data_here!A975</f>
        <v>0</v>
      </c>
      <c r="B975" s="4" t="e">
        <f t="shared" si="15"/>
        <v>#VALUE!</v>
      </c>
      <c r="C975" s="1" t="e">
        <f>SplineInterp(A975,Own_Spectrum_250cm!$U$2:$U$34,Own_Spectrum_250cm!$V$2:$V$34)*D975</f>
        <v>#VALUE!</v>
      </c>
      <c r="D975" s="13">
        <f>Place_data_here!B975</f>
        <v>0</v>
      </c>
    </row>
    <row r="976" spans="1:4" x14ac:dyDescent="0.25">
      <c r="A976" s="16">
        <f>Place_data_here!A976</f>
        <v>0</v>
      </c>
      <c r="B976" s="4" t="e">
        <f t="shared" si="15"/>
        <v>#VALUE!</v>
      </c>
      <c r="C976" s="1" t="e">
        <f>SplineInterp(A976,Own_Spectrum_250cm!$U$2:$U$34,Own_Spectrum_250cm!$V$2:$V$34)*D976</f>
        <v>#VALUE!</v>
      </c>
      <c r="D976" s="13">
        <f>Place_data_here!B976</f>
        <v>0</v>
      </c>
    </row>
    <row r="977" spans="1:4" x14ac:dyDescent="0.25">
      <c r="A977" s="16">
        <f>Place_data_here!A977</f>
        <v>0</v>
      </c>
      <c r="B977" s="4" t="e">
        <f t="shared" si="15"/>
        <v>#VALUE!</v>
      </c>
      <c r="C977" s="1" t="e">
        <f>SplineInterp(A977,Own_Spectrum_250cm!$U$2:$U$34,Own_Spectrum_250cm!$V$2:$V$34)*D977</f>
        <v>#VALUE!</v>
      </c>
      <c r="D977" s="13">
        <f>Place_data_here!B977</f>
        <v>0</v>
      </c>
    </row>
    <row r="978" spans="1:4" x14ac:dyDescent="0.25">
      <c r="A978" s="16">
        <f>Place_data_here!A978</f>
        <v>0</v>
      </c>
      <c r="B978" s="4" t="e">
        <f t="shared" si="15"/>
        <v>#VALUE!</v>
      </c>
      <c r="C978" s="1" t="e">
        <f>SplineInterp(A978,Own_Spectrum_250cm!$U$2:$U$34,Own_Spectrum_250cm!$V$2:$V$34)*D978</f>
        <v>#VALUE!</v>
      </c>
      <c r="D978" s="13">
        <f>Place_data_here!B978</f>
        <v>0</v>
      </c>
    </row>
    <row r="979" spans="1:4" x14ac:dyDescent="0.25">
      <c r="A979" s="16">
        <f>Place_data_here!A979</f>
        <v>0</v>
      </c>
      <c r="B979" s="4" t="e">
        <f t="shared" si="15"/>
        <v>#VALUE!</v>
      </c>
      <c r="C979" s="1" t="e">
        <f>SplineInterp(A979,Own_Spectrum_250cm!$U$2:$U$34,Own_Spectrum_250cm!$V$2:$V$34)*D979</f>
        <v>#VALUE!</v>
      </c>
      <c r="D979" s="13">
        <f>Place_data_here!B979</f>
        <v>0</v>
      </c>
    </row>
    <row r="980" spans="1:4" x14ac:dyDescent="0.25">
      <c r="A980" s="16">
        <f>Place_data_here!A980</f>
        <v>0</v>
      </c>
      <c r="B980" s="4" t="e">
        <f t="shared" si="15"/>
        <v>#VALUE!</v>
      </c>
      <c r="C980" s="1" t="e">
        <f>SplineInterp(A980,Own_Spectrum_250cm!$U$2:$U$34,Own_Spectrum_250cm!$V$2:$V$34)*D980</f>
        <v>#VALUE!</v>
      </c>
      <c r="D980" s="13">
        <f>Place_data_here!B980</f>
        <v>0</v>
      </c>
    </row>
    <row r="981" spans="1:4" x14ac:dyDescent="0.25">
      <c r="A981" s="16">
        <f>Place_data_here!A981</f>
        <v>0</v>
      </c>
      <c r="B981" s="4" t="e">
        <f t="shared" si="15"/>
        <v>#VALUE!</v>
      </c>
      <c r="C981" s="1" t="e">
        <f>SplineInterp(A981,Own_Spectrum_250cm!$U$2:$U$34,Own_Spectrum_250cm!$V$2:$V$34)*D981</f>
        <v>#VALUE!</v>
      </c>
      <c r="D981" s="13">
        <f>Place_data_here!B981</f>
        <v>0</v>
      </c>
    </row>
    <row r="982" spans="1:4" x14ac:dyDescent="0.25">
      <c r="A982" s="16">
        <f>Place_data_here!A982</f>
        <v>0</v>
      </c>
      <c r="B982" s="4" t="e">
        <f t="shared" si="15"/>
        <v>#VALUE!</v>
      </c>
      <c r="C982" s="1" t="e">
        <f>SplineInterp(A982,Own_Spectrum_250cm!$U$2:$U$34,Own_Spectrum_250cm!$V$2:$V$34)*D982</f>
        <v>#VALUE!</v>
      </c>
      <c r="D982" s="13">
        <f>Place_data_here!B982</f>
        <v>0</v>
      </c>
    </row>
    <row r="983" spans="1:4" x14ac:dyDescent="0.25">
      <c r="A983" s="16">
        <f>Place_data_here!A983</f>
        <v>0</v>
      </c>
      <c r="B983" s="4" t="e">
        <f t="shared" si="15"/>
        <v>#VALUE!</v>
      </c>
      <c r="C983" s="1" t="e">
        <f>SplineInterp(A983,Own_Spectrum_250cm!$U$2:$U$34,Own_Spectrum_250cm!$V$2:$V$34)*D983</f>
        <v>#VALUE!</v>
      </c>
      <c r="D983" s="13">
        <f>Place_data_here!B983</f>
        <v>0</v>
      </c>
    </row>
    <row r="984" spans="1:4" x14ac:dyDescent="0.25">
      <c r="A984" s="16">
        <f>Place_data_here!A984</f>
        <v>0</v>
      </c>
      <c r="B984" s="4" t="e">
        <f t="shared" si="15"/>
        <v>#VALUE!</v>
      </c>
      <c r="C984" s="1" t="e">
        <f>SplineInterp(A984,Own_Spectrum_250cm!$U$2:$U$34,Own_Spectrum_250cm!$V$2:$V$34)*D984</f>
        <v>#VALUE!</v>
      </c>
      <c r="D984" s="13">
        <f>Place_data_here!B984</f>
        <v>0</v>
      </c>
    </row>
    <row r="985" spans="1:4" x14ac:dyDescent="0.25">
      <c r="A985" s="16">
        <f>Place_data_here!A985</f>
        <v>0</v>
      </c>
      <c r="B985" s="4" t="e">
        <f t="shared" si="15"/>
        <v>#VALUE!</v>
      </c>
      <c r="C985" s="1" t="e">
        <f>SplineInterp(A985,Own_Spectrum_250cm!$U$2:$U$34,Own_Spectrum_250cm!$V$2:$V$34)*D985</f>
        <v>#VALUE!</v>
      </c>
      <c r="D985" s="13">
        <f>Place_data_here!B985</f>
        <v>0</v>
      </c>
    </row>
    <row r="986" spans="1:4" x14ac:dyDescent="0.25">
      <c r="A986" s="16">
        <f>Place_data_here!A986</f>
        <v>0</v>
      </c>
      <c r="B986" s="4" t="e">
        <f t="shared" si="15"/>
        <v>#VALUE!</v>
      </c>
      <c r="C986" s="1" t="e">
        <f>SplineInterp(A986,Own_Spectrum_250cm!$U$2:$U$34,Own_Spectrum_250cm!$V$2:$V$34)*D986</f>
        <v>#VALUE!</v>
      </c>
      <c r="D986" s="13">
        <f>Place_data_here!B986</f>
        <v>0</v>
      </c>
    </row>
    <row r="987" spans="1:4" x14ac:dyDescent="0.25">
      <c r="A987" s="16">
        <f>Place_data_here!A987</f>
        <v>0</v>
      </c>
      <c r="B987" s="4" t="e">
        <f t="shared" si="15"/>
        <v>#VALUE!</v>
      </c>
      <c r="C987" s="1" t="e">
        <f>SplineInterp(A987,Own_Spectrum_250cm!$U$2:$U$34,Own_Spectrum_250cm!$V$2:$V$34)*D987</f>
        <v>#VALUE!</v>
      </c>
      <c r="D987" s="13">
        <f>Place_data_here!B987</f>
        <v>0</v>
      </c>
    </row>
    <row r="988" spans="1:4" x14ac:dyDescent="0.25">
      <c r="A988" s="16">
        <f>Place_data_here!A988</f>
        <v>0</v>
      </c>
      <c r="B988" s="4" t="e">
        <f t="shared" si="15"/>
        <v>#VALUE!</v>
      </c>
      <c r="C988" s="1" t="e">
        <f>SplineInterp(A988,Own_Spectrum_250cm!$U$2:$U$34,Own_Spectrum_250cm!$V$2:$V$34)*D988</f>
        <v>#VALUE!</v>
      </c>
      <c r="D988" s="13">
        <f>Place_data_here!B988</f>
        <v>0</v>
      </c>
    </row>
    <row r="989" spans="1:4" x14ac:dyDescent="0.25">
      <c r="A989" s="16">
        <f>Place_data_here!A989</f>
        <v>0</v>
      </c>
      <c r="B989" s="4" t="e">
        <f t="shared" si="15"/>
        <v>#VALUE!</v>
      </c>
      <c r="C989" s="1" t="e">
        <f>SplineInterp(A989,Own_Spectrum_250cm!$U$2:$U$34,Own_Spectrum_250cm!$V$2:$V$34)*D989</f>
        <v>#VALUE!</v>
      </c>
      <c r="D989" s="13">
        <f>Place_data_here!B989</f>
        <v>0</v>
      </c>
    </row>
    <row r="990" spans="1:4" x14ac:dyDescent="0.25">
      <c r="A990" s="16">
        <f>Place_data_here!A990</f>
        <v>0</v>
      </c>
      <c r="B990" s="4" t="e">
        <f t="shared" si="15"/>
        <v>#VALUE!</v>
      </c>
      <c r="C990" s="1" t="e">
        <f>SplineInterp(A990,Own_Spectrum_250cm!$U$2:$U$34,Own_Spectrum_250cm!$V$2:$V$34)*D990</f>
        <v>#VALUE!</v>
      </c>
      <c r="D990" s="13">
        <f>Place_data_here!B990</f>
        <v>0</v>
      </c>
    </row>
    <row r="991" spans="1:4" x14ac:dyDescent="0.25">
      <c r="A991" s="16">
        <f>Place_data_here!A991</f>
        <v>0</v>
      </c>
      <c r="B991" s="4" t="e">
        <f t="shared" si="15"/>
        <v>#VALUE!</v>
      </c>
      <c r="C991" s="1" t="e">
        <f>SplineInterp(A991,Own_Spectrum_250cm!$U$2:$U$34,Own_Spectrum_250cm!$V$2:$V$34)*D991</f>
        <v>#VALUE!</v>
      </c>
      <c r="D991" s="13">
        <f>Place_data_here!B991</f>
        <v>0</v>
      </c>
    </row>
    <row r="992" spans="1:4" x14ac:dyDescent="0.25">
      <c r="A992" s="16">
        <f>Place_data_here!A992</f>
        <v>0</v>
      </c>
      <c r="B992" s="4" t="e">
        <f t="shared" si="15"/>
        <v>#VALUE!</v>
      </c>
      <c r="C992" s="1" t="e">
        <f>SplineInterp(A992,Own_Spectrum_250cm!$U$2:$U$34,Own_Spectrum_250cm!$V$2:$V$34)*D992</f>
        <v>#VALUE!</v>
      </c>
      <c r="D992" s="13">
        <f>Place_data_here!B992</f>
        <v>0</v>
      </c>
    </row>
    <row r="993" spans="1:4" x14ac:dyDescent="0.25">
      <c r="A993" s="16">
        <f>Place_data_here!A993</f>
        <v>0</v>
      </c>
      <c r="B993" s="4" t="e">
        <f t="shared" si="15"/>
        <v>#VALUE!</v>
      </c>
      <c r="C993" s="1" t="e">
        <f>SplineInterp(A993,Own_Spectrum_250cm!$U$2:$U$34,Own_Spectrum_250cm!$V$2:$V$34)*D993</f>
        <v>#VALUE!</v>
      </c>
      <c r="D993" s="13">
        <f>Place_data_here!B993</f>
        <v>0</v>
      </c>
    </row>
    <row r="994" spans="1:4" x14ac:dyDescent="0.25">
      <c r="A994" s="16">
        <f>Place_data_here!A994</f>
        <v>0</v>
      </c>
      <c r="B994" s="4" t="e">
        <f t="shared" si="15"/>
        <v>#VALUE!</v>
      </c>
      <c r="C994" s="1" t="e">
        <f>SplineInterp(A994,Own_Spectrum_250cm!$U$2:$U$34,Own_Spectrum_250cm!$V$2:$V$34)*D994</f>
        <v>#VALUE!</v>
      </c>
      <c r="D994" s="13">
        <f>Place_data_here!B994</f>
        <v>0</v>
      </c>
    </row>
    <row r="995" spans="1:4" x14ac:dyDescent="0.25">
      <c r="A995" s="16">
        <f>Place_data_here!A995</f>
        <v>0</v>
      </c>
      <c r="B995" s="4" t="e">
        <f t="shared" si="15"/>
        <v>#VALUE!</v>
      </c>
      <c r="C995" s="1" t="e">
        <f>SplineInterp(A995,Own_Spectrum_250cm!$U$2:$U$34,Own_Spectrum_250cm!$V$2:$V$34)*D995</f>
        <v>#VALUE!</v>
      </c>
      <c r="D995" s="13">
        <f>Place_data_here!B995</f>
        <v>0</v>
      </c>
    </row>
    <row r="996" spans="1:4" x14ac:dyDescent="0.25">
      <c r="A996" s="16">
        <f>Place_data_here!A996</f>
        <v>0</v>
      </c>
      <c r="B996" s="4" t="e">
        <f t="shared" si="15"/>
        <v>#VALUE!</v>
      </c>
      <c r="C996" s="1" t="e">
        <f>SplineInterp(A996,Own_Spectrum_250cm!$U$2:$U$34,Own_Spectrum_250cm!$V$2:$V$34)*D996</f>
        <v>#VALUE!</v>
      </c>
      <c r="D996" s="13">
        <f>Place_data_here!B996</f>
        <v>0</v>
      </c>
    </row>
    <row r="997" spans="1:4" x14ac:dyDescent="0.25">
      <c r="A997" s="16">
        <f>Place_data_here!A997</f>
        <v>0</v>
      </c>
      <c r="B997" s="4" t="e">
        <f t="shared" si="15"/>
        <v>#VALUE!</v>
      </c>
      <c r="C997" s="1" t="e">
        <f>SplineInterp(A997,Own_Spectrum_250cm!$U$2:$U$34,Own_Spectrum_250cm!$V$2:$V$34)*D997</f>
        <v>#VALUE!</v>
      </c>
      <c r="D997" s="13">
        <f>Place_data_here!B997</f>
        <v>0</v>
      </c>
    </row>
    <row r="998" spans="1:4" x14ac:dyDescent="0.25">
      <c r="A998" s="16">
        <f>Place_data_here!A998</f>
        <v>0</v>
      </c>
      <c r="B998" s="4" t="e">
        <f t="shared" si="15"/>
        <v>#VALUE!</v>
      </c>
      <c r="C998" s="1" t="e">
        <f>SplineInterp(A998,Own_Spectrum_250cm!$U$2:$U$34,Own_Spectrum_250cm!$V$2:$V$34)*D998</f>
        <v>#VALUE!</v>
      </c>
      <c r="D998" s="13">
        <f>Place_data_here!B998</f>
        <v>0</v>
      </c>
    </row>
    <row r="999" spans="1:4" x14ac:dyDescent="0.25">
      <c r="A999" s="16">
        <f>Place_data_here!A999</f>
        <v>0</v>
      </c>
      <c r="B999" s="4" t="e">
        <f t="shared" si="15"/>
        <v>#VALUE!</v>
      </c>
      <c r="C999" s="1" t="e">
        <f>SplineInterp(A999,Own_Spectrum_250cm!$U$2:$U$34,Own_Spectrum_250cm!$V$2:$V$34)*D999</f>
        <v>#VALUE!</v>
      </c>
      <c r="D999" s="13">
        <f>Place_data_here!B999</f>
        <v>0</v>
      </c>
    </row>
    <row r="1000" spans="1:4" x14ac:dyDescent="0.25">
      <c r="A1000" s="16">
        <f>Place_data_here!A1000</f>
        <v>0</v>
      </c>
      <c r="B1000" s="4" t="e">
        <f t="shared" si="15"/>
        <v>#VALUE!</v>
      </c>
      <c r="C1000" s="1" t="e">
        <f>SplineInterp(A1000,Own_Spectrum_250cm!$U$2:$U$34,Own_Spectrum_250cm!$V$2:$V$34)*D1000</f>
        <v>#VALUE!</v>
      </c>
      <c r="D1000" s="13">
        <f>Place_data_here!B1000</f>
        <v>0</v>
      </c>
    </row>
    <row r="1001" spans="1:4" x14ac:dyDescent="0.25">
      <c r="A1001" s="16">
        <f>Place_data_here!A1001</f>
        <v>0</v>
      </c>
      <c r="B1001" s="4" t="e">
        <f t="shared" si="15"/>
        <v>#VALUE!</v>
      </c>
      <c r="C1001" s="1" t="e">
        <f>SplineInterp(A1001,Own_Spectrum_250cm!$U$2:$U$34,Own_Spectrum_250cm!$V$2:$V$34)*D1001</f>
        <v>#VALUE!</v>
      </c>
      <c r="D1001" s="13">
        <f>Place_data_here!B1001</f>
        <v>0</v>
      </c>
    </row>
    <row r="1002" spans="1:4" x14ac:dyDescent="0.25">
      <c r="A1002" s="16">
        <f>Place_data_here!A1002</f>
        <v>0</v>
      </c>
      <c r="B1002" s="4" t="e">
        <f t="shared" si="15"/>
        <v>#VALUE!</v>
      </c>
      <c r="C1002" s="1" t="e">
        <f>SplineInterp(A1002,Own_Spectrum_250cm!$U$2:$U$34,Own_Spectrum_250cm!$V$2:$V$34)*D1002</f>
        <v>#VALUE!</v>
      </c>
      <c r="D1002" s="13">
        <f>Place_data_here!B1002</f>
        <v>0</v>
      </c>
    </row>
    <row r="1003" spans="1:4" x14ac:dyDescent="0.25">
      <c r="A1003" s="16">
        <f>Place_data_here!A1003</f>
        <v>0</v>
      </c>
      <c r="B1003" s="4" t="e">
        <f t="shared" si="15"/>
        <v>#VALUE!</v>
      </c>
      <c r="C1003" s="1" t="e">
        <f>SplineInterp(A1003,Own_Spectrum_250cm!$U$2:$U$34,Own_Spectrum_250cm!$V$2:$V$34)*D1003</f>
        <v>#VALUE!</v>
      </c>
      <c r="D1003" s="13">
        <f>Place_data_here!B1003</f>
        <v>0</v>
      </c>
    </row>
    <row r="1004" spans="1:4" x14ac:dyDescent="0.25">
      <c r="A1004" s="16">
        <f>Place_data_here!A1004</f>
        <v>0</v>
      </c>
      <c r="B1004" s="4" t="e">
        <f t="shared" si="15"/>
        <v>#VALUE!</v>
      </c>
      <c r="C1004" s="1" t="e">
        <f>SplineInterp(A1004,Own_Spectrum_250cm!$U$2:$U$34,Own_Spectrum_250cm!$V$2:$V$34)*D1004</f>
        <v>#VALUE!</v>
      </c>
      <c r="D1004" s="13">
        <f>Place_data_here!B1004</f>
        <v>0</v>
      </c>
    </row>
    <row r="1005" spans="1:4" x14ac:dyDescent="0.25">
      <c r="A1005" s="16">
        <f>Place_data_here!A1005</f>
        <v>0</v>
      </c>
      <c r="B1005" s="4" t="e">
        <f t="shared" si="15"/>
        <v>#VALUE!</v>
      </c>
      <c r="C1005" s="1" t="e">
        <f>SplineInterp(A1005,Own_Spectrum_250cm!$U$2:$U$34,Own_Spectrum_250cm!$V$2:$V$34)*D1005</f>
        <v>#VALUE!</v>
      </c>
      <c r="D1005" s="13">
        <f>Place_data_here!B1005</f>
        <v>0</v>
      </c>
    </row>
    <row r="1006" spans="1:4" x14ac:dyDescent="0.25">
      <c r="A1006" s="16">
        <f>Place_data_here!A1006</f>
        <v>0</v>
      </c>
      <c r="B1006" s="4" t="e">
        <f t="shared" si="15"/>
        <v>#VALUE!</v>
      </c>
      <c r="C1006" s="1" t="e">
        <f>SplineInterp(A1006,Own_Spectrum_250cm!$U$2:$U$34,Own_Spectrum_250cm!$V$2:$V$34)*D1006</f>
        <v>#VALUE!</v>
      </c>
      <c r="D1006" s="13">
        <f>Place_data_here!B1006</f>
        <v>0</v>
      </c>
    </row>
    <row r="1007" spans="1:4" x14ac:dyDescent="0.25">
      <c r="A1007" s="16">
        <f>Place_data_here!A1007</f>
        <v>0</v>
      </c>
      <c r="B1007" s="4" t="e">
        <f t="shared" si="15"/>
        <v>#VALUE!</v>
      </c>
      <c r="C1007" s="1" t="e">
        <f>SplineInterp(A1007,Own_Spectrum_250cm!$U$2:$U$34,Own_Spectrum_250cm!$V$2:$V$34)*D1007</f>
        <v>#VALUE!</v>
      </c>
      <c r="D1007" s="13">
        <f>Place_data_here!B1007</f>
        <v>0</v>
      </c>
    </row>
    <row r="1008" spans="1:4" x14ac:dyDescent="0.25">
      <c r="A1008" s="16">
        <f>Place_data_here!A1008</f>
        <v>0</v>
      </c>
      <c r="B1008" s="4" t="e">
        <f t="shared" si="15"/>
        <v>#VALUE!</v>
      </c>
      <c r="C1008" s="1" t="e">
        <f>SplineInterp(A1008,Own_Spectrum_250cm!$U$2:$U$34,Own_Spectrum_250cm!$V$2:$V$34)*D1008</f>
        <v>#VALUE!</v>
      </c>
      <c r="D1008" s="13">
        <f>Place_data_here!B1008</f>
        <v>0</v>
      </c>
    </row>
    <row r="1009" spans="1:4" x14ac:dyDescent="0.25">
      <c r="A1009" s="16">
        <f>Place_data_here!A1009</f>
        <v>0</v>
      </c>
      <c r="B1009" s="4" t="e">
        <f t="shared" si="15"/>
        <v>#VALUE!</v>
      </c>
      <c r="C1009" s="1" t="e">
        <f>SplineInterp(A1009,Own_Spectrum_250cm!$U$2:$U$34,Own_Spectrum_250cm!$V$2:$V$34)*D1009</f>
        <v>#VALUE!</v>
      </c>
      <c r="D1009" s="13">
        <f>Place_data_here!B1009</f>
        <v>0</v>
      </c>
    </row>
    <row r="1010" spans="1:4" x14ac:dyDescent="0.25">
      <c r="A1010" s="16">
        <f>Place_data_here!A1010</f>
        <v>0</v>
      </c>
      <c r="B1010" s="4" t="e">
        <f t="shared" si="15"/>
        <v>#VALUE!</v>
      </c>
      <c r="C1010" s="1" t="e">
        <f>SplineInterp(A1010,Own_Spectrum_250cm!$U$2:$U$34,Own_Spectrum_250cm!$V$2:$V$34)*D1010</f>
        <v>#VALUE!</v>
      </c>
      <c r="D1010" s="13">
        <f>Place_data_here!B1010</f>
        <v>0</v>
      </c>
    </row>
    <row r="1011" spans="1:4" x14ac:dyDescent="0.25">
      <c r="A1011" s="16">
        <f>Place_data_here!A1011</f>
        <v>0</v>
      </c>
      <c r="B1011" s="4" t="e">
        <f t="shared" si="15"/>
        <v>#VALUE!</v>
      </c>
      <c r="C1011" s="1" t="e">
        <f>SplineInterp(A1011,Own_Spectrum_250cm!$U$2:$U$34,Own_Spectrum_250cm!$V$2:$V$34)*D1011</f>
        <v>#VALUE!</v>
      </c>
      <c r="D1011" s="13">
        <f>Place_data_here!B1011</f>
        <v>0</v>
      </c>
    </row>
    <row r="1012" spans="1:4" x14ac:dyDescent="0.25">
      <c r="A1012" s="16">
        <f>Place_data_here!A1012</f>
        <v>0</v>
      </c>
      <c r="B1012" s="4" t="e">
        <f t="shared" si="15"/>
        <v>#VALUE!</v>
      </c>
      <c r="C1012" s="1" t="e">
        <f>SplineInterp(A1012,Own_Spectrum_250cm!$U$2:$U$34,Own_Spectrum_250cm!$V$2:$V$34)*D1012</f>
        <v>#VALUE!</v>
      </c>
      <c r="D1012" s="13">
        <f>Place_data_here!B1012</f>
        <v>0</v>
      </c>
    </row>
    <row r="1013" spans="1:4" x14ac:dyDescent="0.25">
      <c r="A1013" s="16">
        <f>Place_data_here!A1013</f>
        <v>0</v>
      </c>
      <c r="B1013" s="4" t="e">
        <f t="shared" si="15"/>
        <v>#VALUE!</v>
      </c>
      <c r="C1013" s="1" t="e">
        <f>SplineInterp(A1013,Own_Spectrum_250cm!$U$2:$U$34,Own_Spectrum_250cm!$V$2:$V$34)*D1013</f>
        <v>#VALUE!</v>
      </c>
      <c r="D1013" s="13">
        <f>Place_data_here!B1013</f>
        <v>0</v>
      </c>
    </row>
    <row r="1014" spans="1:4" x14ac:dyDescent="0.25">
      <c r="A1014" s="16">
        <f>Place_data_here!A1014</f>
        <v>0</v>
      </c>
      <c r="B1014" s="4" t="e">
        <f t="shared" si="15"/>
        <v>#VALUE!</v>
      </c>
      <c r="C1014" s="1" t="e">
        <f>SplineInterp(A1014,Own_Spectrum_250cm!$U$2:$U$34,Own_Spectrum_250cm!$V$2:$V$34)*D1014</f>
        <v>#VALUE!</v>
      </c>
      <c r="D1014" s="13">
        <f>Place_data_here!B1014</f>
        <v>0</v>
      </c>
    </row>
    <row r="1015" spans="1:4" x14ac:dyDescent="0.25">
      <c r="A1015" s="16">
        <f>Place_data_here!A1015</f>
        <v>0</v>
      </c>
      <c r="B1015" s="4" t="e">
        <f t="shared" si="15"/>
        <v>#VALUE!</v>
      </c>
      <c r="C1015" s="1" t="e">
        <f>SplineInterp(A1015,Own_Spectrum_250cm!$U$2:$U$34,Own_Spectrum_250cm!$V$2:$V$34)*D1015</f>
        <v>#VALUE!</v>
      </c>
      <c r="D1015" s="13">
        <f>Place_data_here!B1015</f>
        <v>0</v>
      </c>
    </row>
    <row r="1016" spans="1:4" x14ac:dyDescent="0.25">
      <c r="A1016" s="16">
        <f>Place_data_here!A1016</f>
        <v>0</v>
      </c>
      <c r="B1016" s="4" t="e">
        <f t="shared" si="15"/>
        <v>#VALUE!</v>
      </c>
      <c r="C1016" s="1" t="e">
        <f>SplineInterp(A1016,Own_Spectrum_250cm!$U$2:$U$34,Own_Spectrum_250cm!$V$2:$V$34)*D1016</f>
        <v>#VALUE!</v>
      </c>
      <c r="D1016" s="13">
        <f>Place_data_here!B1016</f>
        <v>0</v>
      </c>
    </row>
    <row r="1017" spans="1:4" x14ac:dyDescent="0.25">
      <c r="A1017" s="16">
        <f>Place_data_here!A1017</f>
        <v>0</v>
      </c>
      <c r="B1017" s="4" t="e">
        <f t="shared" si="15"/>
        <v>#VALUE!</v>
      </c>
      <c r="C1017" s="1" t="e">
        <f>SplineInterp(A1017,Own_Spectrum_250cm!$U$2:$U$34,Own_Spectrum_250cm!$V$2:$V$34)*D1017</f>
        <v>#VALUE!</v>
      </c>
      <c r="D1017" s="13">
        <f>Place_data_here!B1017</f>
        <v>0</v>
      </c>
    </row>
    <row r="1018" spans="1:4" x14ac:dyDescent="0.25">
      <c r="A1018" s="16">
        <f>Place_data_here!A1018</f>
        <v>0</v>
      </c>
      <c r="B1018" s="4" t="e">
        <f t="shared" si="15"/>
        <v>#VALUE!</v>
      </c>
      <c r="C1018" s="1" t="e">
        <f>SplineInterp(A1018,Own_Spectrum_250cm!$U$2:$U$34,Own_Spectrum_250cm!$V$2:$V$34)*D1018</f>
        <v>#VALUE!</v>
      </c>
      <c r="D1018" s="13">
        <f>Place_data_here!B1018</f>
        <v>0</v>
      </c>
    </row>
    <row r="1019" spans="1:4" x14ac:dyDescent="0.25">
      <c r="A1019" s="16">
        <f>Place_data_here!A1019</f>
        <v>0</v>
      </c>
      <c r="B1019" s="4" t="e">
        <f t="shared" si="15"/>
        <v>#VALUE!</v>
      </c>
      <c r="C1019" s="1" t="e">
        <f>SplineInterp(A1019,Own_Spectrum_250cm!$U$2:$U$34,Own_Spectrum_250cm!$V$2:$V$34)*D1019</f>
        <v>#VALUE!</v>
      </c>
      <c r="D1019" s="13">
        <f>Place_data_here!B1019</f>
        <v>0</v>
      </c>
    </row>
    <row r="1020" spans="1:4" x14ac:dyDescent="0.25">
      <c r="A1020" s="16">
        <f>Place_data_here!A1020</f>
        <v>0</v>
      </c>
      <c r="B1020" s="4" t="e">
        <f t="shared" si="15"/>
        <v>#VALUE!</v>
      </c>
      <c r="C1020" s="1" t="e">
        <f>SplineInterp(A1020,Own_Spectrum_250cm!$U$2:$U$34,Own_Spectrum_250cm!$V$2:$V$34)*D1020</f>
        <v>#VALUE!</v>
      </c>
      <c r="D1020" s="13">
        <f>Place_data_here!B1020</f>
        <v>0</v>
      </c>
    </row>
    <row r="1021" spans="1:4" x14ac:dyDescent="0.25">
      <c r="A1021" s="16">
        <f>Place_data_here!A1021</f>
        <v>0</v>
      </c>
      <c r="B1021" s="4" t="e">
        <f t="shared" si="15"/>
        <v>#VALUE!</v>
      </c>
      <c r="C1021" s="1" t="e">
        <f>SplineInterp(A1021,Own_Spectrum_250cm!$U$2:$U$34,Own_Spectrum_250cm!$V$2:$V$34)*D1021</f>
        <v>#VALUE!</v>
      </c>
      <c r="D1021" s="13">
        <f>Place_data_here!B1021</f>
        <v>0</v>
      </c>
    </row>
    <row r="1022" spans="1:4" x14ac:dyDescent="0.25">
      <c r="A1022" s="16">
        <f>Place_data_here!A1022</f>
        <v>0</v>
      </c>
      <c r="B1022" s="4" t="e">
        <f t="shared" si="15"/>
        <v>#VALUE!</v>
      </c>
      <c r="C1022" s="1" t="e">
        <f>SplineInterp(A1022,Own_Spectrum_250cm!$U$2:$U$34,Own_Spectrum_250cm!$V$2:$V$34)*D1022</f>
        <v>#VALUE!</v>
      </c>
      <c r="D1022" s="13">
        <f>Place_data_here!B1022</f>
        <v>0</v>
      </c>
    </row>
    <row r="1023" spans="1:4" x14ac:dyDescent="0.25">
      <c r="A1023" s="16">
        <f>Place_data_here!A1023</f>
        <v>0</v>
      </c>
      <c r="B1023" s="4" t="e">
        <f t="shared" si="15"/>
        <v>#VALUE!</v>
      </c>
      <c r="C1023" s="1" t="e">
        <f>SplineInterp(A1023,Own_Spectrum_250cm!$U$2:$U$34,Own_Spectrum_250cm!$V$2:$V$34)*D1023</f>
        <v>#VALUE!</v>
      </c>
      <c r="D1023" s="13">
        <f>Place_data_here!B1023</f>
        <v>0</v>
      </c>
    </row>
    <row r="1024" spans="1:4" x14ac:dyDescent="0.25">
      <c r="A1024" s="16">
        <f>Place_data_here!A1024</f>
        <v>0</v>
      </c>
      <c r="B1024" s="4" t="e">
        <f t="shared" si="15"/>
        <v>#VALUE!</v>
      </c>
      <c r="C1024" s="1" t="e">
        <f>SplineInterp(A1024,Own_Spectrum_250cm!$U$2:$U$34,Own_Spectrum_250cm!$V$2:$V$34)*D1024</f>
        <v>#VALUE!</v>
      </c>
      <c r="D1024" s="13">
        <f>Place_data_here!B1024</f>
        <v>0</v>
      </c>
    </row>
    <row r="1025" spans="1:4" x14ac:dyDescent="0.25">
      <c r="A1025" s="16">
        <f>Place_data_here!A1025</f>
        <v>0</v>
      </c>
      <c r="B1025" s="4" t="e">
        <f t="shared" si="15"/>
        <v>#VALUE!</v>
      </c>
      <c r="C1025" s="1" t="e">
        <f>SplineInterp(A1025,Own_Spectrum_250cm!$U$2:$U$34,Own_Spectrum_250cm!$V$2:$V$34)*D1025</f>
        <v>#VALUE!</v>
      </c>
      <c r="D1025" s="13">
        <f>Place_data_here!B1025</f>
        <v>0</v>
      </c>
    </row>
    <row r="1026" spans="1:4" x14ac:dyDescent="0.25">
      <c r="A1026" s="16">
        <f>Place_data_here!A1026</f>
        <v>0</v>
      </c>
      <c r="B1026" s="4" t="e">
        <f t="shared" si="15"/>
        <v>#VALUE!</v>
      </c>
      <c r="C1026" s="1" t="e">
        <f>SplineInterp(A1026,Own_Spectrum_250cm!$U$2:$U$34,Own_Spectrum_250cm!$V$2:$V$34)*D1026</f>
        <v>#VALUE!</v>
      </c>
      <c r="D1026" s="13">
        <f>Place_data_here!B1026</f>
        <v>0</v>
      </c>
    </row>
    <row r="1028" spans="1:4" x14ac:dyDescent="0.25">
      <c r="B1028" s="4" t="s">
        <v>20</v>
      </c>
      <c r="C1028" s="1">
        <f>_xlfn.AGGREGATE(9,6,C2:C1026)</f>
        <v>3.0145339063884629E-6</v>
      </c>
    </row>
  </sheetData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26"/>
  <dimension ref="A1:V1028"/>
  <sheetViews>
    <sheetView topLeftCell="B1" workbookViewId="0">
      <selection activeCell="R8" sqref="R8"/>
    </sheetView>
  </sheetViews>
  <sheetFormatPr defaultRowHeight="15" x14ac:dyDescent="0.25"/>
  <cols>
    <col min="1" max="1" width="14.85546875" style="4" customWidth="1"/>
    <col min="2" max="2" width="20" style="4" customWidth="1"/>
    <col min="3" max="3" width="13.140625" style="1" customWidth="1"/>
    <col min="4" max="4" width="16.85546875" style="1" customWidth="1"/>
    <col min="5" max="20" width="9.140625" style="1"/>
    <col min="21" max="21" width="13.28515625" style="1" customWidth="1"/>
    <col min="22" max="22" width="19.7109375" style="1" customWidth="1"/>
    <col min="23" max="16384" width="9.140625" style="1"/>
  </cols>
  <sheetData>
    <row r="1" spans="1:22" x14ac:dyDescent="0.25">
      <c r="A1" s="3" t="s">
        <v>15</v>
      </c>
      <c r="B1" s="3" t="s">
        <v>12</v>
      </c>
      <c r="C1" s="2" t="s">
        <v>19</v>
      </c>
      <c r="D1" s="2" t="s">
        <v>18</v>
      </c>
      <c r="U1" s="4" t="s">
        <v>15</v>
      </c>
      <c r="V1" s="4" t="s">
        <v>201</v>
      </c>
    </row>
    <row r="2" spans="1:22" x14ac:dyDescent="0.25">
      <c r="A2" s="16">
        <f>Place_data_here!A2</f>
        <v>15.625</v>
      </c>
      <c r="B2" s="4">
        <f>C2/$C$1028</f>
        <v>4.6248973098195149E-3</v>
      </c>
      <c r="C2" s="1">
        <f>SplineInterp(A2,Own_Spectrum_100cm!$U$2:$U$34,Own_Spectrum_100cm!$V$2:$V$34)*D2</f>
        <v>1.3941909754015716E-8</v>
      </c>
      <c r="D2" s="13">
        <f>Place_data_here!B2</f>
        <v>4.7500000000000003E-9</v>
      </c>
      <c r="U2" s="16">
        <v>2</v>
      </c>
      <c r="V2" s="16">
        <v>45.19</v>
      </c>
    </row>
    <row r="3" spans="1:22" x14ac:dyDescent="0.25">
      <c r="A3" s="16">
        <f>Place_data_here!A3</f>
        <v>46.875</v>
      </c>
      <c r="B3" s="4">
        <f t="shared" ref="B3:B66" si="0">C3/$C$1028</f>
        <v>5.4780847849770727E-4</v>
      </c>
      <c r="C3" s="1">
        <f>SplineInterp(A3,Own_Spectrum_100cm!$U$2:$U$34,Own_Spectrum_100cm!$V$2:$V$34)*D3</f>
        <v>1.6513872326384138E-9</v>
      </c>
      <c r="D3" s="13">
        <f>Place_data_here!B3</f>
        <v>4.6999999999999999E-9</v>
      </c>
      <c r="U3" s="16">
        <v>2.5</v>
      </c>
      <c r="V3" s="16">
        <v>54.8</v>
      </c>
    </row>
    <row r="4" spans="1:22" x14ac:dyDescent="0.25">
      <c r="A4" s="16">
        <f>Place_data_here!A4</f>
        <v>78.125</v>
      </c>
      <c r="B4" s="4">
        <f t="shared" si="0"/>
        <v>3.8089873996245394E-3</v>
      </c>
      <c r="C4" s="1">
        <f>SplineInterp(A4,Own_Spectrum_100cm!$U$2:$U$34,Own_Spectrum_100cm!$V$2:$V$34)*D4</f>
        <v>1.1482321665174596E-8</v>
      </c>
      <c r="D4" s="13">
        <f>Place_data_here!B4</f>
        <v>3.77E-8</v>
      </c>
      <c r="U4" s="16">
        <v>3</v>
      </c>
      <c r="V4" s="16">
        <v>51.3</v>
      </c>
    </row>
    <row r="5" spans="1:22" x14ac:dyDescent="0.25">
      <c r="A5" s="16">
        <f>Place_data_here!A5</f>
        <v>109.375</v>
      </c>
      <c r="B5" s="4">
        <f t="shared" si="0"/>
        <v>2.0540292808120555E-2</v>
      </c>
      <c r="C5" s="1">
        <f>SplineInterp(A5,Own_Spectrum_100cm!$U$2:$U$34,Own_Spectrum_100cm!$V$2:$V$34)*D5</f>
        <v>6.1919409117226503E-8</v>
      </c>
      <c r="D5" s="13">
        <f>Place_data_here!B5</f>
        <v>1.5099999999999999E-7</v>
      </c>
      <c r="U5" s="16">
        <v>4</v>
      </c>
      <c r="V5" s="16">
        <v>40.15</v>
      </c>
    </row>
    <row r="6" spans="1:22" x14ac:dyDescent="0.25">
      <c r="A6" s="16">
        <f>Place_data_here!A6</f>
        <v>140.65</v>
      </c>
      <c r="B6" s="4">
        <f t="shared" si="0"/>
        <v>6.1234048203411065E-3</v>
      </c>
      <c r="C6" s="1">
        <f>SplineInterp(A6,Own_Spectrum_100cm!$U$2:$U$34,Own_Spectrum_100cm!$V$2:$V$34)*D6</f>
        <v>1.845921145346082E-8</v>
      </c>
      <c r="D6" s="13">
        <f>Place_data_here!B6</f>
        <v>3.3400000000000001E-8</v>
      </c>
      <c r="U6" s="16">
        <v>5</v>
      </c>
      <c r="V6" s="16">
        <v>28.47</v>
      </c>
    </row>
    <row r="7" spans="1:22" x14ac:dyDescent="0.25">
      <c r="A7" s="16">
        <f>Place_data_here!A7</f>
        <v>171.9</v>
      </c>
      <c r="B7" s="4">
        <f t="shared" si="0"/>
        <v>8.5085707151157063E-3</v>
      </c>
      <c r="C7" s="1">
        <f>SplineInterp(A7,Own_Spectrum_100cm!$U$2:$U$34,Own_Spectrum_100cm!$V$2:$V$34)*D7</f>
        <v>2.564937491562023E-8</v>
      </c>
      <c r="D7" s="13">
        <f>Place_data_here!B7</f>
        <v>3.6099999999999999E-8</v>
      </c>
      <c r="U7" s="16">
        <v>6</v>
      </c>
      <c r="V7" s="16">
        <v>20.59</v>
      </c>
    </row>
    <row r="8" spans="1:22" x14ac:dyDescent="0.25">
      <c r="A8" s="16">
        <f>Place_data_here!A8</f>
        <v>203.15</v>
      </c>
      <c r="B8" s="4">
        <f t="shared" si="0"/>
        <v>1.2836617492625898E-2</v>
      </c>
      <c r="C8" s="1">
        <f>SplineInterp(A8,Own_Spectrum_100cm!$U$2:$U$34,Own_Spectrum_100cm!$V$2:$V$34)*D8</f>
        <v>3.8696418674860026E-8</v>
      </c>
      <c r="D8" s="13">
        <f>Place_data_here!B8</f>
        <v>4.43E-8</v>
      </c>
      <c r="U8" s="16">
        <v>7</v>
      </c>
      <c r="V8" s="16">
        <v>15.39</v>
      </c>
    </row>
    <row r="9" spans="1:22" x14ac:dyDescent="0.25">
      <c r="A9" s="16">
        <f>Place_data_here!A9</f>
        <v>234.4</v>
      </c>
      <c r="B9" s="4">
        <f t="shared" si="0"/>
        <v>1.6104404621346637E-2</v>
      </c>
      <c r="C9" s="1">
        <f>SplineInterp(A9,Own_Spectrum_100cm!$U$2:$U$34,Own_Spectrum_100cm!$V$2:$V$34)*D9</f>
        <v>4.8547273773248492E-8</v>
      </c>
      <c r="D9" s="13">
        <f>Place_data_here!B9</f>
        <v>4.6800000000000002E-8</v>
      </c>
      <c r="U9" s="16">
        <v>10</v>
      </c>
      <c r="V9" s="16">
        <v>7.5149999999999997</v>
      </c>
    </row>
    <row r="10" spans="1:22" x14ac:dyDescent="0.25">
      <c r="A10" s="16">
        <f>Place_data_here!A10</f>
        <v>265.64999999999998</v>
      </c>
      <c r="B10" s="4">
        <f t="shared" si="0"/>
        <v>2.2468907182878535E-2</v>
      </c>
      <c r="C10" s="1">
        <f>SplineInterp(A10,Own_Spectrum_100cm!$U$2:$U$34,Own_Spectrum_100cm!$V$2:$V$34)*D10</f>
        <v>6.7733282542282622E-8</v>
      </c>
      <c r="D10" s="13">
        <f>Place_data_here!B10</f>
        <v>5.6400000000000002E-8</v>
      </c>
      <c r="U10" s="16">
        <v>15</v>
      </c>
      <c r="V10" s="16">
        <v>3.198</v>
      </c>
    </row>
    <row r="11" spans="1:22" x14ac:dyDescent="0.25">
      <c r="A11" s="16">
        <f>Place_data_here!A11</f>
        <v>296.89999999999998</v>
      </c>
      <c r="B11" s="4">
        <f t="shared" si="0"/>
        <v>2.592468958279211E-2</v>
      </c>
      <c r="C11" s="1">
        <f>SplineInterp(A11,Own_Spectrum_100cm!$U$2:$U$34,Own_Spectrum_100cm!$V$2:$V$34)*D11</f>
        <v>7.8150855759922596E-8</v>
      </c>
      <c r="D11" s="13">
        <f>Place_data_here!B11</f>
        <v>5.7299999999999997E-8</v>
      </c>
      <c r="U11" s="16">
        <v>20</v>
      </c>
      <c r="V11" s="16">
        <v>1.728</v>
      </c>
    </row>
    <row r="12" spans="1:22" x14ac:dyDescent="0.25">
      <c r="A12" s="16">
        <f>Place_data_here!A12</f>
        <v>328.15</v>
      </c>
      <c r="B12" s="4">
        <f t="shared" si="0"/>
        <v>2.9962324963615887E-2</v>
      </c>
      <c r="C12" s="1">
        <f>SplineInterp(A12,Own_Spectrum_100cm!$U$2:$U$34,Own_Spectrum_100cm!$V$2:$V$34)*D12</f>
        <v>9.032244451704956E-8</v>
      </c>
      <c r="D12" s="13">
        <f>Place_data_here!B12</f>
        <v>5.9200000000000001E-8</v>
      </c>
      <c r="U12" s="16">
        <v>30</v>
      </c>
      <c r="V12" s="16">
        <v>0.74</v>
      </c>
    </row>
    <row r="13" spans="1:22" x14ac:dyDescent="0.25">
      <c r="A13" s="16">
        <f>Place_data_here!A13</f>
        <v>359.4</v>
      </c>
      <c r="B13" s="4">
        <f t="shared" si="0"/>
        <v>3.338883500730494E-2</v>
      </c>
      <c r="C13" s="1">
        <f>SplineInterp(A13,Own_Spectrum_100cm!$U$2:$U$34,Own_Spectrum_100cm!$V$2:$V$34)*D13</f>
        <v>1.0065177522433082E-7</v>
      </c>
      <c r="D13" s="13">
        <f>Place_data_here!B13</f>
        <v>5.9699999999999999E-8</v>
      </c>
      <c r="U13" s="16">
        <v>40</v>
      </c>
      <c r="V13" s="16">
        <v>0.439</v>
      </c>
    </row>
    <row r="14" spans="1:22" x14ac:dyDescent="0.25">
      <c r="A14" s="16">
        <f>Place_data_here!A14</f>
        <v>390.65</v>
      </c>
      <c r="B14" s="4">
        <f t="shared" si="0"/>
        <v>3.8295578317280234E-2</v>
      </c>
      <c r="C14" s="1">
        <f>SplineInterp(A14,Own_Spectrum_100cm!$U$2:$U$34,Own_Spectrum_100cm!$V$2:$V$34)*D14</f>
        <v>1.1544331930219611E-7</v>
      </c>
      <c r="D14" s="13">
        <f>Place_data_here!B14</f>
        <v>6.2600000000000005E-8</v>
      </c>
      <c r="U14" s="16">
        <v>50</v>
      </c>
      <c r="V14" s="16">
        <v>0.32900000000000001</v>
      </c>
    </row>
    <row r="15" spans="1:22" x14ac:dyDescent="0.25">
      <c r="A15" s="16">
        <f>Place_data_here!A15</f>
        <v>421.9</v>
      </c>
      <c r="B15" s="4">
        <f t="shared" si="0"/>
        <v>3.7282820195275963E-2</v>
      </c>
      <c r="C15" s="1">
        <f>SplineInterp(A15,Own_Spectrum_100cm!$U$2:$U$34,Own_Spectrum_100cm!$V$2:$V$34)*D15</f>
        <v>1.1239032560444392E-7</v>
      </c>
      <c r="D15" s="13">
        <f>Place_data_here!B15</f>
        <v>5.62E-8</v>
      </c>
      <c r="U15" s="16">
        <v>60</v>
      </c>
      <c r="V15" s="16">
        <v>0.29299999999999998</v>
      </c>
    </row>
    <row r="16" spans="1:22" x14ac:dyDescent="0.25">
      <c r="A16" s="16">
        <f>Place_data_here!A16</f>
        <v>453.15</v>
      </c>
      <c r="B16" s="4">
        <f t="shared" si="0"/>
        <v>3.7209197904930019E-2</v>
      </c>
      <c r="C16" s="1">
        <f>SplineInterp(A16,Own_Spectrum_100cm!$U$2:$U$34,Own_Spectrum_100cm!$V$2:$V$34)*D16</f>
        <v>1.121683887139301E-7</v>
      </c>
      <c r="D16" s="13">
        <f>Place_data_here!B16</f>
        <v>5.2100000000000003E-8</v>
      </c>
      <c r="U16" s="16">
        <v>80</v>
      </c>
      <c r="V16" s="16">
        <v>0.309</v>
      </c>
    </row>
    <row r="17" spans="1:22" x14ac:dyDescent="0.25">
      <c r="A17" s="16">
        <f>Place_data_here!A17</f>
        <v>484.4</v>
      </c>
      <c r="B17" s="4">
        <f t="shared" si="0"/>
        <v>3.6145547761225805E-2</v>
      </c>
      <c r="C17" s="1">
        <f>SplineInterp(A17,Own_Spectrum_100cm!$U$2:$U$34,Own_Spectrum_100cm!$V$2:$V$34)*D17</f>
        <v>1.0896197929119879E-7</v>
      </c>
      <c r="D17" s="13">
        <f>Place_data_here!B17</f>
        <v>4.73E-8</v>
      </c>
      <c r="U17" s="16">
        <v>100</v>
      </c>
      <c r="V17" s="16">
        <v>0.373</v>
      </c>
    </row>
    <row r="18" spans="1:22" x14ac:dyDescent="0.25">
      <c r="A18" s="16">
        <f>Place_data_here!A18</f>
        <v>515.65</v>
      </c>
      <c r="B18" s="4">
        <f t="shared" si="0"/>
        <v>3.9124911992813032E-2</v>
      </c>
      <c r="C18" s="1">
        <f>SplineInterp(A18,Own_Spectrum_100cm!$U$2:$U$34,Own_Spectrum_100cm!$V$2:$V$34)*D18</f>
        <v>1.1794337378679948E-7</v>
      </c>
      <c r="D18" s="13">
        <f>Place_data_here!B18</f>
        <v>4.8100000000000001E-8</v>
      </c>
      <c r="U18" s="16">
        <v>150</v>
      </c>
      <c r="V18" s="16">
        <v>0.59899999999999998</v>
      </c>
    </row>
    <row r="19" spans="1:22" x14ac:dyDescent="0.25">
      <c r="A19" s="16">
        <f>Place_data_here!A19</f>
        <v>546.9</v>
      </c>
      <c r="B19" s="4">
        <f t="shared" si="0"/>
        <v>3.8612538524666722E-2</v>
      </c>
      <c r="C19" s="1">
        <f>SplineInterp(A19,Own_Spectrum_100cm!$U$2:$U$34,Own_Spectrum_100cm!$V$2:$V$34)*D19</f>
        <v>1.1639880659433858E-7</v>
      </c>
      <c r="D19" s="13">
        <f>Place_data_here!B19</f>
        <v>4.4799999999999997E-8</v>
      </c>
      <c r="U19" s="16">
        <v>200</v>
      </c>
      <c r="V19" s="16">
        <v>0.85699999999999998</v>
      </c>
    </row>
    <row r="20" spans="1:22" x14ac:dyDescent="0.25">
      <c r="A20" s="16">
        <f>Place_data_here!A20</f>
        <v>578.15</v>
      </c>
      <c r="B20" s="4">
        <f t="shared" si="0"/>
        <v>3.9566633718633719E-2</v>
      </c>
      <c r="C20" s="1">
        <f>SplineInterp(A20,Own_Spectrum_100cm!$U$2:$U$34,Own_Spectrum_100cm!$V$2:$V$34)*D20</f>
        <v>1.1927495890647438E-7</v>
      </c>
      <c r="D20" s="13">
        <f>Place_data_here!B20</f>
        <v>4.3499999999999999E-8</v>
      </c>
      <c r="U20" s="16">
        <v>300</v>
      </c>
      <c r="V20" s="16">
        <v>1.38</v>
      </c>
    </row>
    <row r="21" spans="1:22" x14ac:dyDescent="0.25">
      <c r="A21" s="16">
        <f>Place_data_here!A21</f>
        <v>609.4</v>
      </c>
      <c r="B21" s="4">
        <f t="shared" si="0"/>
        <v>3.7970759750083127E-2</v>
      </c>
      <c r="C21" s="1">
        <f>SplineInterp(A21,Own_Spectrum_100cm!$U$2:$U$34,Own_Spectrum_100cm!$V$2:$V$34)*D21</f>
        <v>1.1446414271795591E-7</v>
      </c>
      <c r="D21" s="13">
        <f>Place_data_here!B21</f>
        <v>3.9699999999999998E-8</v>
      </c>
      <c r="U21" s="16">
        <v>400</v>
      </c>
      <c r="V21" s="16">
        <v>1.891</v>
      </c>
    </row>
    <row r="22" spans="1:22" x14ac:dyDescent="0.25">
      <c r="A22" s="16">
        <f>Place_data_here!A22</f>
        <v>640.65</v>
      </c>
      <c r="B22" s="4">
        <f t="shared" si="0"/>
        <v>4.1703696986512329E-2</v>
      </c>
      <c r="C22" s="1">
        <f>SplineInterp(A22,Own_Spectrum_100cm!$U$2:$U$34,Own_Spectrum_100cm!$V$2:$V$34)*D22</f>
        <v>1.2571720858759178E-7</v>
      </c>
      <c r="D22" s="13">
        <f>Place_data_here!B22</f>
        <v>4.1600000000000002E-8</v>
      </c>
      <c r="U22" s="16">
        <v>500</v>
      </c>
      <c r="V22" s="16">
        <v>2.3780000000000001</v>
      </c>
    </row>
    <row r="23" spans="1:22" x14ac:dyDescent="0.25">
      <c r="A23" s="16">
        <f>Place_data_here!A23</f>
        <v>671.9</v>
      </c>
      <c r="B23" s="4">
        <f t="shared" si="0"/>
        <v>4.034127898318797E-2</v>
      </c>
      <c r="C23" s="1">
        <f>SplineInterp(A23,Own_Spectrum_100cm!$U$2:$U$34,Own_Spectrum_100cm!$V$2:$V$34)*D23</f>
        <v>1.2161015332189644E-7</v>
      </c>
      <c r="D23" s="13">
        <f>Place_data_here!B23</f>
        <v>3.8500000000000001E-8</v>
      </c>
      <c r="U23" s="16">
        <v>600</v>
      </c>
      <c r="V23" s="16">
        <v>2.8410000000000002</v>
      </c>
    </row>
    <row r="24" spans="1:22" x14ac:dyDescent="0.25">
      <c r="A24" s="16">
        <f>Place_data_here!A24</f>
        <v>703.15</v>
      </c>
      <c r="B24" s="4">
        <f t="shared" si="0"/>
        <v>2.884318764680463E-2</v>
      </c>
      <c r="C24" s="1">
        <f>SplineInterp(A24,Own_Spectrum_100cm!$U$2:$U$34,Own_Spectrum_100cm!$V$2:$V$34)*D24</f>
        <v>8.6948767129617424E-8</v>
      </c>
      <c r="D24" s="13">
        <f>Place_data_here!B24</f>
        <v>2.6400000000000001E-8</v>
      </c>
      <c r="U24" s="16">
        <v>700</v>
      </c>
      <c r="V24" s="16">
        <v>3.28</v>
      </c>
    </row>
    <row r="25" spans="1:22" x14ac:dyDescent="0.25">
      <c r="A25" s="16">
        <f>Place_data_here!A25</f>
        <v>734.4</v>
      </c>
      <c r="B25" s="4">
        <f t="shared" si="0"/>
        <v>3.398780434049669E-2</v>
      </c>
      <c r="C25" s="1">
        <f>SplineInterp(A25,Own_Spectrum_100cm!$U$2:$U$34,Own_Spectrum_100cm!$V$2:$V$34)*D25</f>
        <v>1.0245738858812424E-7</v>
      </c>
      <c r="D25" s="13">
        <f>Place_data_here!B25</f>
        <v>2.9900000000000003E-8</v>
      </c>
      <c r="U25" s="16">
        <v>800</v>
      </c>
      <c r="V25" s="16">
        <v>3.7</v>
      </c>
    </row>
    <row r="26" spans="1:22" x14ac:dyDescent="0.25">
      <c r="A26" s="16">
        <f>Place_data_here!A26</f>
        <v>765.65</v>
      </c>
      <c r="B26" s="4">
        <f t="shared" si="0"/>
        <v>3.4110200666017297E-2</v>
      </c>
      <c r="C26" s="1">
        <f>SplineInterp(A26,Own_Spectrum_100cm!$U$2:$U$34,Own_Spectrum_100cm!$V$2:$V$34)*D26</f>
        <v>1.0282635646142348E-7</v>
      </c>
      <c r="D26" s="13">
        <f>Place_data_here!B26</f>
        <v>2.8900000000000001E-8</v>
      </c>
      <c r="U26" s="16">
        <v>1000</v>
      </c>
      <c r="V26" s="16">
        <v>4.476</v>
      </c>
    </row>
    <row r="27" spans="1:22" x14ac:dyDescent="0.25">
      <c r="A27" s="16">
        <f>Place_data_here!A27</f>
        <v>796.9</v>
      </c>
      <c r="B27" s="4">
        <f t="shared" si="0"/>
        <v>2.8377601243286917E-2</v>
      </c>
      <c r="C27" s="1">
        <f>SplineInterp(A27,Own_Spectrum_100cm!$U$2:$U$34,Own_Spectrum_100cm!$V$2:$V$34)*D27</f>
        <v>8.5545241129859816E-8</v>
      </c>
      <c r="D27" s="13">
        <f>Place_data_here!B27</f>
        <v>2.3199999999999999E-8</v>
      </c>
      <c r="U27" s="16">
        <v>1500</v>
      </c>
      <c r="V27" s="16">
        <v>6.1360000000000001</v>
      </c>
    </row>
    <row r="28" spans="1:22" x14ac:dyDescent="0.25">
      <c r="A28" s="16">
        <f>Place_data_here!A28</f>
        <v>828.15</v>
      </c>
      <c r="B28" s="4">
        <f t="shared" si="0"/>
        <v>2.9608462202376746E-2</v>
      </c>
      <c r="C28" s="1">
        <f>SplineInterp(A28,Own_Spectrum_100cm!$U$2:$U$34,Own_Spectrum_100cm!$V$2:$V$34)*D28</f>
        <v>8.9255713225085923E-8</v>
      </c>
      <c r="D28" s="13">
        <f>Place_data_here!B28</f>
        <v>2.3400000000000001E-8</v>
      </c>
      <c r="U28" s="16">
        <v>2000</v>
      </c>
      <c r="V28" s="16">
        <v>7.5449999999999999</v>
      </c>
    </row>
    <row r="29" spans="1:22" x14ac:dyDescent="0.25">
      <c r="A29" s="16">
        <f>Place_data_here!A29</f>
        <v>859.4</v>
      </c>
      <c r="B29" s="4">
        <f t="shared" si="0"/>
        <v>2.5219903319348369E-2</v>
      </c>
      <c r="C29" s="1">
        <f>SplineInterp(A29,Own_Spectrum_100cm!$U$2:$U$34,Own_Spectrum_100cm!$V$2:$V$34)*D29</f>
        <v>7.6026253672014606E-8</v>
      </c>
      <c r="D29" s="13">
        <f>Place_data_here!B29</f>
        <v>1.9300000000000001E-8</v>
      </c>
      <c r="U29" s="16">
        <v>3000</v>
      </c>
      <c r="V29" s="16">
        <v>9.9550000000000001</v>
      </c>
    </row>
    <row r="30" spans="1:22" x14ac:dyDescent="0.25">
      <c r="A30" s="16">
        <f>Place_data_here!A30</f>
        <v>890.65</v>
      </c>
      <c r="B30" s="4">
        <f t="shared" si="0"/>
        <v>2.6409813356925653E-2</v>
      </c>
      <c r="C30" s="1">
        <f>SplineInterp(A30,Own_Spectrum_100cm!$U$2:$U$34,Own_Spectrum_100cm!$V$2:$V$34)*D30</f>
        <v>7.9613277825843292E-8</v>
      </c>
      <c r="D30" s="13">
        <f>Place_data_here!B30</f>
        <v>1.96E-8</v>
      </c>
      <c r="U30" s="16">
        <v>4000</v>
      </c>
      <c r="V30" s="16">
        <v>12.11</v>
      </c>
    </row>
    <row r="31" spans="1:22" x14ac:dyDescent="0.25">
      <c r="A31" s="16">
        <f>Place_data_here!A31</f>
        <v>921.9</v>
      </c>
      <c r="B31" s="4">
        <f t="shared" si="0"/>
        <v>1.5678484637799521E-2</v>
      </c>
      <c r="C31" s="1">
        <f>SplineInterp(A31,Own_Spectrum_100cm!$U$2:$U$34,Own_Spectrum_100cm!$V$2:$V$34)*D31</f>
        <v>4.7263323541437295E-8</v>
      </c>
      <c r="D31" s="13">
        <f>Place_data_here!B31</f>
        <v>1.13E-8</v>
      </c>
      <c r="U31" s="16">
        <v>5000</v>
      </c>
      <c r="V31" s="16">
        <v>14.15</v>
      </c>
    </row>
    <row r="32" spans="1:22" x14ac:dyDescent="0.25">
      <c r="A32" s="16">
        <f>Place_data_here!A32</f>
        <v>953.15</v>
      </c>
      <c r="B32" s="4">
        <f t="shared" si="0"/>
        <v>2.2401912297807636E-2</v>
      </c>
      <c r="C32" s="1">
        <f>SplineInterp(A32,Own_Spectrum_100cm!$U$2:$U$34,Own_Spectrum_100cm!$V$2:$V$34)*D32</f>
        <v>6.75313241896818E-8</v>
      </c>
      <c r="D32" s="13">
        <f>Place_data_here!B32</f>
        <v>1.5700000000000002E-8</v>
      </c>
      <c r="U32" s="16">
        <v>6000</v>
      </c>
      <c r="V32" s="16">
        <v>16.13</v>
      </c>
    </row>
    <row r="33" spans="1:22" x14ac:dyDescent="0.25">
      <c r="A33" s="16">
        <f>Place_data_here!A33</f>
        <v>984.4</v>
      </c>
      <c r="B33" s="4">
        <f t="shared" si="0"/>
        <v>2.6088775863258005E-2</v>
      </c>
      <c r="C33" s="1">
        <f>SplineInterp(A33,Own_Spectrum_100cm!$U$2:$U$34,Own_Spectrum_100cm!$V$2:$V$34)*D33</f>
        <v>7.8645499415960196E-8</v>
      </c>
      <c r="D33" s="13">
        <f>Place_data_here!B33</f>
        <v>1.7800000000000001E-8</v>
      </c>
      <c r="U33" s="16">
        <v>8000</v>
      </c>
      <c r="V33" s="16">
        <v>20.09</v>
      </c>
    </row>
    <row r="34" spans="1:22" x14ac:dyDescent="0.25">
      <c r="A34" s="16">
        <f>Place_data_here!A34</f>
        <v>1015.5</v>
      </c>
      <c r="B34" s="4">
        <f t="shared" si="0"/>
        <v>1.5187270125839581E-2</v>
      </c>
      <c r="C34" s="1">
        <f>SplineInterp(A34,Own_Spectrum_100cm!$U$2:$U$34,Own_Spectrum_100cm!$V$2:$V$34)*D34</f>
        <v>4.5782540739823993E-8</v>
      </c>
      <c r="D34" s="13">
        <f>Place_data_here!B34</f>
        <v>1.0099999999999999E-8</v>
      </c>
      <c r="U34" s="16">
        <v>10000</v>
      </c>
      <c r="V34" s="16">
        <v>24.08</v>
      </c>
    </row>
    <row r="35" spans="1:22" x14ac:dyDescent="0.25">
      <c r="A35" s="16">
        <f>Place_data_here!A35</f>
        <v>1047</v>
      </c>
      <c r="B35" s="4">
        <f t="shared" si="0"/>
        <v>1.7728961257415334E-2</v>
      </c>
      <c r="C35" s="1">
        <f>SplineInterp(A35,Own_Spectrum_100cm!$U$2:$U$34,Own_Spectrum_100cm!$V$2:$V$34)*D35</f>
        <v>5.3444554835525962E-8</v>
      </c>
      <c r="D35" s="13">
        <f>Place_data_here!B35</f>
        <v>1.15E-8</v>
      </c>
    </row>
    <row r="36" spans="1:22" x14ac:dyDescent="0.25">
      <c r="A36" s="16">
        <f>Place_data_here!A36</f>
        <v>1078.5</v>
      </c>
      <c r="B36" s="4">
        <f t="shared" si="0"/>
        <v>1.6580150801682628E-2</v>
      </c>
      <c r="C36" s="1">
        <f>SplineInterp(A36,Own_Spectrum_100cm!$U$2:$U$34,Own_Spectrum_100cm!$V$2:$V$34)*D36</f>
        <v>4.9981426764706142E-8</v>
      </c>
      <c r="D36" s="13">
        <f>Place_data_here!B36</f>
        <v>1.05E-8</v>
      </c>
    </row>
    <row r="37" spans="1:22" x14ac:dyDescent="0.25">
      <c r="A37" s="16">
        <f>Place_data_here!A37</f>
        <v>1109.5</v>
      </c>
      <c r="B37" s="4">
        <f t="shared" si="0"/>
        <v>1.227677390662202E-2</v>
      </c>
      <c r="C37" s="1">
        <f>SplineInterp(A37,Own_Spectrum_100cm!$U$2:$U$34,Own_Spectrum_100cm!$V$2:$V$34)*D37</f>
        <v>3.7008751202577228E-8</v>
      </c>
      <c r="D37" s="13">
        <f>Place_data_here!B37</f>
        <v>7.6000000000000002E-9</v>
      </c>
    </row>
    <row r="38" spans="1:22" x14ac:dyDescent="0.25">
      <c r="A38" s="16">
        <f>Place_data_here!A38</f>
        <v>1140.5</v>
      </c>
      <c r="B38" s="4">
        <f t="shared" si="0"/>
        <v>9.0649336596062332E-3</v>
      </c>
      <c r="C38" s="1">
        <f>SplineInterp(A38,Own_Spectrum_100cm!$U$2:$U$34,Own_Spectrum_100cm!$V$2:$V$34)*D38</f>
        <v>2.7326549876045042E-8</v>
      </c>
      <c r="D38" s="13">
        <f>Place_data_here!B38</f>
        <v>5.4899999999999999E-9</v>
      </c>
    </row>
    <row r="39" spans="1:22" x14ac:dyDescent="0.25">
      <c r="A39" s="16">
        <f>Place_data_here!A39</f>
        <v>1172</v>
      </c>
      <c r="B39" s="4">
        <f t="shared" si="0"/>
        <v>1.0594765720505765E-2</v>
      </c>
      <c r="C39" s="1">
        <f>SplineInterp(A39,Own_Spectrum_100cm!$U$2:$U$34,Own_Spectrum_100cm!$V$2:$V$34)*D39</f>
        <v>3.1938280494706821E-8</v>
      </c>
      <c r="D39" s="13">
        <f>Place_data_here!B39</f>
        <v>6.2799999999999998E-9</v>
      </c>
    </row>
    <row r="40" spans="1:22" x14ac:dyDescent="0.25">
      <c r="A40" s="16">
        <f>Place_data_here!A40</f>
        <v>1203.5</v>
      </c>
      <c r="B40" s="4">
        <f t="shared" si="0"/>
        <v>8.9568874776089404E-3</v>
      </c>
      <c r="C40" s="1">
        <f>SplineInterp(A40,Own_Spectrum_100cm!$U$2:$U$34,Own_Spectrum_100cm!$V$2:$V$34)*D40</f>
        <v>2.7000840996958384E-8</v>
      </c>
      <c r="D40" s="13">
        <f>Place_data_here!B40</f>
        <v>5.2000000000000002E-9</v>
      </c>
    </row>
    <row r="41" spans="1:22" x14ac:dyDescent="0.25">
      <c r="A41" s="16">
        <f>Place_data_here!A41</f>
        <v>1234.5</v>
      </c>
      <c r="B41" s="4">
        <f t="shared" si="0"/>
        <v>1.3246865120188054E-2</v>
      </c>
      <c r="C41" s="1">
        <f>SplineInterp(A41,Own_Spectrum_100cm!$U$2:$U$34,Own_Spectrum_100cm!$V$2:$V$34)*D41</f>
        <v>3.9933124058161568E-8</v>
      </c>
      <c r="D41" s="13">
        <f>Place_data_here!B41</f>
        <v>7.54E-9</v>
      </c>
    </row>
    <row r="42" spans="1:22" x14ac:dyDescent="0.25">
      <c r="A42" s="16">
        <f>Place_data_here!A42</f>
        <v>1265.5</v>
      </c>
      <c r="B42" s="4">
        <f t="shared" si="0"/>
        <v>5.7307114142265267E-3</v>
      </c>
      <c r="C42" s="1">
        <f>SplineInterp(A42,Own_Spectrum_100cm!$U$2:$U$34,Own_Spectrum_100cm!$V$2:$V$34)*D42</f>
        <v>1.7275423865913245E-8</v>
      </c>
      <c r="D42" s="13">
        <f>Place_data_here!B42</f>
        <v>3.2000000000000001E-9</v>
      </c>
    </row>
    <row r="43" spans="1:22" x14ac:dyDescent="0.25">
      <c r="A43" s="16">
        <f>Place_data_here!A43</f>
        <v>1297</v>
      </c>
      <c r="B43" s="4">
        <f t="shared" si="0"/>
        <v>5.4748145022727518E-3</v>
      </c>
      <c r="C43" s="1">
        <f>SplineInterp(A43,Own_Spectrum_100cm!$U$2:$U$34,Own_Spectrum_100cm!$V$2:$V$34)*D43</f>
        <v>1.6504013948288488E-8</v>
      </c>
      <c r="D43" s="13">
        <f>Place_data_here!B43</f>
        <v>3E-9</v>
      </c>
    </row>
    <row r="44" spans="1:22" x14ac:dyDescent="0.25">
      <c r="A44" s="16">
        <f>Place_data_here!A44</f>
        <v>1328.5</v>
      </c>
      <c r="B44" s="4">
        <f t="shared" si="0"/>
        <v>4.6465415268760199E-3</v>
      </c>
      <c r="C44" s="1">
        <f>SplineInterp(A44,Own_Spectrum_100cm!$U$2:$U$34,Own_Spectrum_100cm!$V$2:$V$34)*D44</f>
        <v>1.4007156980209781E-8</v>
      </c>
      <c r="D44" s="13">
        <f>Place_data_here!B44</f>
        <v>2.5000000000000001E-9</v>
      </c>
    </row>
    <row r="45" spans="1:22" x14ac:dyDescent="0.25">
      <c r="A45" s="16">
        <f>Place_data_here!A45</f>
        <v>1359.5</v>
      </c>
      <c r="B45" s="4">
        <f t="shared" si="0"/>
        <v>7.2250491527570968E-3</v>
      </c>
      <c r="C45" s="1">
        <f>SplineInterp(A45,Own_Spectrum_100cm!$U$2:$U$34,Own_Spectrum_100cm!$V$2:$V$34)*D45</f>
        <v>2.1780155646309505E-8</v>
      </c>
      <c r="D45" s="13">
        <f>Place_data_here!B45</f>
        <v>3.8199999999999996E-9</v>
      </c>
    </row>
    <row r="46" spans="1:22" x14ac:dyDescent="0.25">
      <c r="A46" s="16">
        <f>Place_data_here!A46</f>
        <v>1390.5</v>
      </c>
      <c r="B46" s="4">
        <f t="shared" si="0"/>
        <v>3.4820136500006097E-3</v>
      </c>
      <c r="C46" s="1">
        <f>SplineInterp(A46,Own_Spectrum_100cm!$U$2:$U$34,Own_Spectrum_100cm!$V$2:$V$34)*D46</f>
        <v>1.0496648210434288E-8</v>
      </c>
      <c r="D46" s="13">
        <f>Place_data_here!B46</f>
        <v>1.81E-9</v>
      </c>
    </row>
    <row r="47" spans="1:22" x14ac:dyDescent="0.25">
      <c r="A47" s="16">
        <f>Place_data_here!A47</f>
        <v>1422</v>
      </c>
      <c r="B47" s="4">
        <f t="shared" si="0"/>
        <v>2.5823391500698245E-3</v>
      </c>
      <c r="C47" s="1">
        <f>SplineInterp(A47,Own_Spectrum_100cm!$U$2:$U$34,Own_Spectrum_100cm!$V$2:$V$34)*D47</f>
        <v>7.7845489256798519E-9</v>
      </c>
      <c r="D47" s="13">
        <f>Place_data_here!B47</f>
        <v>1.32E-9</v>
      </c>
    </row>
    <row r="48" spans="1:22" x14ac:dyDescent="0.25">
      <c r="A48" s="16">
        <f>Place_data_here!A48</f>
        <v>1453.5</v>
      </c>
      <c r="B48" s="4">
        <f t="shared" si="0"/>
        <v>2.6447379525088646E-3</v>
      </c>
      <c r="C48" s="1">
        <f>SplineInterp(A48,Own_Spectrum_100cm!$U$2:$U$34,Own_Spectrum_100cm!$V$2:$V$34)*D48</f>
        <v>7.9726522313503732E-9</v>
      </c>
      <c r="D48" s="13">
        <f>Place_data_here!B48</f>
        <v>1.33E-9</v>
      </c>
    </row>
    <row r="49" spans="1:4" x14ac:dyDescent="0.25">
      <c r="A49" s="16">
        <f>Place_data_here!A49</f>
        <v>1484.5</v>
      </c>
      <c r="B49" s="4">
        <f t="shared" si="0"/>
        <v>1.0927655839036625E-3</v>
      </c>
      <c r="C49" s="1">
        <f>SplineInterp(A49,Own_Spectrum_100cm!$U$2:$U$34,Own_Spectrum_100cm!$V$2:$V$34)*D49</f>
        <v>3.2941789044119774E-9</v>
      </c>
      <c r="D49" s="13">
        <f>Place_data_here!B49</f>
        <v>5.4099999999999999E-10</v>
      </c>
    </row>
    <row r="50" spans="1:4" x14ac:dyDescent="0.25">
      <c r="A50" s="16">
        <f>Place_data_here!A50</f>
        <v>1515.5</v>
      </c>
      <c r="B50" s="4">
        <f t="shared" si="0"/>
        <v>3.261044094494315E-3</v>
      </c>
      <c r="C50" s="1">
        <f>SplineInterp(A50,Own_Spectrum_100cm!$U$2:$U$34,Own_Spectrum_100cm!$V$2:$V$34)*D50</f>
        <v>9.8305279930809755E-9</v>
      </c>
      <c r="D50" s="13">
        <f>Place_data_here!B50</f>
        <v>1.5900000000000001E-9</v>
      </c>
    </row>
    <row r="51" spans="1:4" x14ac:dyDescent="0.25">
      <c r="A51" s="16">
        <f>Place_data_here!A51</f>
        <v>1547</v>
      </c>
      <c r="B51" s="4">
        <f t="shared" si="0"/>
        <v>2.9567883124601842E-3</v>
      </c>
      <c r="C51" s="1">
        <f>SplineInterp(A51,Own_Spectrum_100cm!$U$2:$U$34,Own_Spectrum_100cm!$V$2:$V$34)*D51</f>
        <v>8.9133386219243499E-9</v>
      </c>
      <c r="D51" s="13">
        <f>Place_data_here!B51</f>
        <v>1.4200000000000001E-9</v>
      </c>
    </row>
    <row r="52" spans="1:4" x14ac:dyDescent="0.25">
      <c r="A52" s="16">
        <f>Place_data_here!A52</f>
        <v>1578.5</v>
      </c>
      <c r="B52" s="4">
        <f t="shared" si="0"/>
        <v>3.7192767156432002E-3</v>
      </c>
      <c r="C52" s="1">
        <f>SplineInterp(A52,Own_Spectrum_100cm!$U$2:$U$34,Own_Spectrum_100cm!$V$2:$V$34)*D52</f>
        <v>1.1211885766547549E-8</v>
      </c>
      <c r="D52" s="13">
        <f>Place_data_here!B52</f>
        <v>1.7599999999999999E-9</v>
      </c>
    </row>
    <row r="53" spans="1:4" x14ac:dyDescent="0.25">
      <c r="A53" s="16">
        <f>Place_data_here!A53</f>
        <v>1609.5</v>
      </c>
      <c r="B53" s="4">
        <f t="shared" si="0"/>
        <v>2.936503732799218E-3</v>
      </c>
      <c r="C53" s="1">
        <f>SplineInterp(A53,Own_Spectrum_100cm!$U$2:$U$34,Own_Spectrum_100cm!$V$2:$V$34)*D53</f>
        <v>8.8521900687595305E-9</v>
      </c>
      <c r="D53" s="13">
        <f>Place_data_here!B53</f>
        <v>1.37E-9</v>
      </c>
    </row>
    <row r="54" spans="1:4" x14ac:dyDescent="0.25">
      <c r="A54" s="16">
        <f>Place_data_here!A54</f>
        <v>1640.5</v>
      </c>
      <c r="B54" s="4">
        <f t="shared" si="0"/>
        <v>1.7756431315250408E-3</v>
      </c>
      <c r="C54" s="1">
        <f>SplineInterp(A54,Own_Spectrum_100cm!$U$2:$U$34,Own_Spectrum_100cm!$V$2:$V$34)*D54</f>
        <v>5.3527364256280244E-9</v>
      </c>
      <c r="D54" s="13">
        <f>Place_data_here!B54</f>
        <v>8.1699999999999997E-10</v>
      </c>
    </row>
    <row r="55" spans="1:4" x14ac:dyDescent="0.25">
      <c r="A55" s="16">
        <f>Place_data_here!A55</f>
        <v>1672</v>
      </c>
      <c r="B55" s="4">
        <f t="shared" si="0"/>
        <v>1.2692261839357293E-3</v>
      </c>
      <c r="C55" s="1">
        <f>SplineInterp(A55,Own_Spectrum_100cm!$U$2:$U$34,Own_Spectrum_100cm!$V$2:$V$34)*D55</f>
        <v>3.8261253663502961E-9</v>
      </c>
      <c r="D55" s="13">
        <f>Place_data_here!B55</f>
        <v>5.7599999999999998E-10</v>
      </c>
    </row>
    <row r="56" spans="1:4" x14ac:dyDescent="0.25">
      <c r="A56" s="16">
        <f>Place_data_here!A56</f>
        <v>1703.5</v>
      </c>
      <c r="B56" s="4">
        <f t="shared" si="0"/>
        <v>0</v>
      </c>
      <c r="C56" s="1">
        <f>SplineInterp(A56,Own_Spectrum_100cm!$U$2:$U$34,Own_Spectrum_100cm!$V$2:$V$34)*D56</f>
        <v>0</v>
      </c>
      <c r="D56" s="13">
        <f>Place_data_here!B56</f>
        <v>0</v>
      </c>
    </row>
    <row r="57" spans="1:4" x14ac:dyDescent="0.25">
      <c r="A57" s="16">
        <f>Place_data_here!A57</f>
        <v>1734.5</v>
      </c>
      <c r="B57" s="4">
        <f t="shared" si="0"/>
        <v>6.4935241883487419E-4</v>
      </c>
      <c r="C57" s="1">
        <f>SplineInterp(A57,Own_Spectrum_100cm!$U$2:$U$34,Own_Spectrum_100cm!$V$2:$V$34)*D57</f>
        <v>1.9574948837730907E-9</v>
      </c>
      <c r="D57" s="13">
        <f>Place_data_here!B57</f>
        <v>2.8699999999999999E-10</v>
      </c>
    </row>
    <row r="58" spans="1:4" x14ac:dyDescent="0.25">
      <c r="A58" s="16">
        <f>Place_data_here!A58</f>
        <v>1765.5</v>
      </c>
      <c r="B58" s="4">
        <f t="shared" si="0"/>
        <v>1.1411471016932371E-3</v>
      </c>
      <c r="C58" s="1">
        <f>SplineInterp(A58,Own_Spectrum_100cm!$U$2:$U$34,Own_Spectrum_100cm!$V$2:$V$34)*D58</f>
        <v>3.4400266302311865E-9</v>
      </c>
      <c r="D58" s="13">
        <f>Place_data_here!B58</f>
        <v>4.9800000000000004E-10</v>
      </c>
    </row>
    <row r="59" spans="1:4" x14ac:dyDescent="0.25">
      <c r="A59" s="16">
        <f>Place_data_here!A59</f>
        <v>1797</v>
      </c>
      <c r="B59" s="4">
        <f t="shared" si="0"/>
        <v>1.8611132452062045E-3</v>
      </c>
      <c r="C59" s="1">
        <f>SplineInterp(A59,Own_Spectrum_100cm!$U$2:$U$34,Own_Spectrum_100cm!$V$2:$V$34)*D59</f>
        <v>5.6103889813027686E-9</v>
      </c>
      <c r="D59" s="13">
        <f>Place_data_here!B59</f>
        <v>8.0200000000000002E-10</v>
      </c>
    </row>
    <row r="60" spans="1:4" x14ac:dyDescent="0.25">
      <c r="A60" s="16">
        <f>Place_data_here!A60</f>
        <v>1828.5</v>
      </c>
      <c r="B60" s="4">
        <f t="shared" si="0"/>
        <v>5.9441862533057322E-4</v>
      </c>
      <c r="C60" s="1">
        <f>SplineInterp(A60,Own_Spectrum_100cm!$U$2:$U$34,Own_Spectrum_100cm!$V$2:$V$34)*D60</f>
        <v>1.791895100647833E-9</v>
      </c>
      <c r="D60" s="13">
        <f>Place_data_here!B60</f>
        <v>2.5300000000000001E-10</v>
      </c>
    </row>
    <row r="61" spans="1:4" x14ac:dyDescent="0.25">
      <c r="A61" s="16">
        <f>Place_data_here!A61</f>
        <v>1859.5</v>
      </c>
      <c r="B61" s="4">
        <f t="shared" si="0"/>
        <v>0</v>
      </c>
      <c r="C61" s="1">
        <f>SplineInterp(A61,Own_Spectrum_100cm!$U$2:$U$34,Own_Spectrum_100cm!$V$2:$V$34)*D61</f>
        <v>0</v>
      </c>
      <c r="D61" s="13">
        <f>Place_data_here!B61</f>
        <v>0</v>
      </c>
    </row>
    <row r="62" spans="1:4" x14ac:dyDescent="0.25">
      <c r="A62" s="16">
        <f>Place_data_here!A62</f>
        <v>1890.5</v>
      </c>
      <c r="B62" s="4">
        <f t="shared" si="0"/>
        <v>6.783995607909665E-4</v>
      </c>
      <c r="C62" s="1">
        <f>SplineInterp(A62,Own_Spectrum_100cm!$U$2:$U$34,Own_Spectrum_100cm!$V$2:$V$34)*D62</f>
        <v>2.0450584780834099E-9</v>
      </c>
      <c r="D62" s="13">
        <f>Place_data_here!B62</f>
        <v>2.8200000000000001E-10</v>
      </c>
    </row>
    <row r="63" spans="1:4" x14ac:dyDescent="0.25">
      <c r="A63" s="16">
        <f>Place_data_here!A63</f>
        <v>1922</v>
      </c>
      <c r="B63" s="4">
        <f t="shared" si="0"/>
        <v>8.226557843892256E-4</v>
      </c>
      <c r="C63" s="1">
        <f>SplineInterp(A63,Own_Spectrum_100cm!$U$2:$U$34,Own_Spectrum_100cm!$V$2:$V$34)*D63</f>
        <v>2.4799237553279173E-9</v>
      </c>
      <c r="D63" s="13">
        <f>Place_data_here!B63</f>
        <v>3.3800000000000002E-10</v>
      </c>
    </row>
    <row r="64" spans="1:4" x14ac:dyDescent="0.25">
      <c r="A64" s="16">
        <f>Place_data_here!A64</f>
        <v>1953.5</v>
      </c>
      <c r="B64" s="4">
        <f t="shared" si="0"/>
        <v>0</v>
      </c>
      <c r="C64" s="1">
        <f>SplineInterp(A64,Own_Spectrum_100cm!$U$2:$U$34,Own_Spectrum_100cm!$V$2:$V$34)*D64</f>
        <v>0</v>
      </c>
      <c r="D64" s="13">
        <f>Place_data_here!B64</f>
        <v>0</v>
      </c>
    </row>
    <row r="65" spans="1:4" x14ac:dyDescent="0.25">
      <c r="A65" s="16">
        <f>Place_data_here!A65</f>
        <v>1984.5</v>
      </c>
      <c r="B65" s="4">
        <f t="shared" si="0"/>
        <v>0</v>
      </c>
      <c r="C65" s="1">
        <f>SplineInterp(A65,Own_Spectrum_100cm!$U$2:$U$34,Own_Spectrum_100cm!$V$2:$V$34)*D65</f>
        <v>0</v>
      </c>
      <c r="D65" s="13">
        <f>Place_data_here!B65</f>
        <v>0</v>
      </c>
    </row>
    <row r="66" spans="1:4" x14ac:dyDescent="0.25">
      <c r="A66" s="16">
        <f>Place_data_here!A66</f>
        <v>2015.5</v>
      </c>
      <c r="B66" s="4">
        <f t="shared" si="0"/>
        <v>0</v>
      </c>
      <c r="C66" s="1">
        <f>SplineInterp(A66,Own_Spectrum_100cm!$U$2:$U$34,Own_Spectrum_100cm!$V$2:$V$34)*D66</f>
        <v>0</v>
      </c>
      <c r="D66" s="13">
        <f>Place_data_here!B66</f>
        <v>0</v>
      </c>
    </row>
    <row r="67" spans="1:4" x14ac:dyDescent="0.25">
      <c r="A67" s="16">
        <f>Place_data_here!A67</f>
        <v>2046.5</v>
      </c>
      <c r="B67" s="4">
        <f t="shared" ref="B67:B130" si="1">C67/$C$1028</f>
        <v>0</v>
      </c>
      <c r="C67" s="1">
        <f>SplineInterp(A67,Own_Spectrum_100cm!$U$2:$U$34,Own_Spectrum_100cm!$V$2:$V$34)*D67</f>
        <v>0</v>
      </c>
      <c r="D67" s="13">
        <f>Place_data_here!B67</f>
        <v>0</v>
      </c>
    </row>
    <row r="68" spans="1:4" x14ac:dyDescent="0.25">
      <c r="A68" s="16">
        <f>Place_data_here!A68</f>
        <v>2078</v>
      </c>
      <c r="B68" s="4">
        <f t="shared" si="1"/>
        <v>0</v>
      </c>
      <c r="C68" s="1">
        <f>SplineInterp(A68,Own_Spectrum_100cm!$U$2:$U$34,Own_Spectrum_100cm!$V$2:$V$34)*D68</f>
        <v>0</v>
      </c>
      <c r="D68" s="13">
        <f>Place_data_here!B68</f>
        <v>0</v>
      </c>
    </row>
    <row r="69" spans="1:4" x14ac:dyDescent="0.25">
      <c r="A69" s="16">
        <f>Place_data_here!A69</f>
        <v>2109.5</v>
      </c>
      <c r="B69" s="4">
        <f t="shared" si="1"/>
        <v>0</v>
      </c>
      <c r="C69" s="1">
        <f>SplineInterp(A69,Own_Spectrum_100cm!$U$2:$U$34,Own_Spectrum_100cm!$V$2:$V$34)*D69</f>
        <v>0</v>
      </c>
      <c r="D69" s="13">
        <f>Place_data_here!B69</f>
        <v>0</v>
      </c>
    </row>
    <row r="70" spans="1:4" x14ac:dyDescent="0.25">
      <c r="A70" s="16">
        <f>Place_data_here!A70</f>
        <v>2140.5</v>
      </c>
      <c r="B70" s="4">
        <f t="shared" si="1"/>
        <v>0</v>
      </c>
      <c r="C70" s="1">
        <f>SplineInterp(A70,Own_Spectrum_100cm!$U$2:$U$34,Own_Spectrum_100cm!$V$2:$V$34)*D70</f>
        <v>0</v>
      </c>
      <c r="D70" s="13">
        <f>Place_data_here!B70</f>
        <v>0</v>
      </c>
    </row>
    <row r="71" spans="1:4" x14ac:dyDescent="0.25">
      <c r="A71" s="16">
        <f>Place_data_here!A71</f>
        <v>2172</v>
      </c>
      <c r="B71" s="4">
        <f t="shared" si="1"/>
        <v>0</v>
      </c>
      <c r="C71" s="1">
        <f>SplineInterp(A71,Own_Spectrum_100cm!$U$2:$U$34,Own_Spectrum_100cm!$V$2:$V$34)*D71</f>
        <v>0</v>
      </c>
      <c r="D71" s="13">
        <f>Place_data_here!B71</f>
        <v>0</v>
      </c>
    </row>
    <row r="72" spans="1:4" x14ac:dyDescent="0.25">
      <c r="A72" s="16">
        <f>Place_data_here!A72</f>
        <v>2203.5</v>
      </c>
      <c r="B72" s="4">
        <f t="shared" si="1"/>
        <v>0</v>
      </c>
      <c r="C72" s="1">
        <f>SplineInterp(A72,Own_Spectrum_100cm!$U$2:$U$34,Own_Spectrum_100cm!$V$2:$V$34)*D72</f>
        <v>0</v>
      </c>
      <c r="D72" s="13">
        <f>Place_data_here!B72</f>
        <v>0</v>
      </c>
    </row>
    <row r="73" spans="1:4" x14ac:dyDescent="0.25">
      <c r="A73" s="16">
        <f>Place_data_here!A73</f>
        <v>2234.5</v>
      </c>
      <c r="B73" s="4">
        <f t="shared" si="1"/>
        <v>0</v>
      </c>
      <c r="C73" s="1">
        <f>SplineInterp(A73,Own_Spectrum_100cm!$U$2:$U$34,Own_Spectrum_100cm!$V$2:$V$34)*D73</f>
        <v>0</v>
      </c>
      <c r="D73" s="13">
        <f>Place_data_here!B73</f>
        <v>0</v>
      </c>
    </row>
    <row r="74" spans="1:4" x14ac:dyDescent="0.25">
      <c r="A74" s="16">
        <f>Place_data_here!A74</f>
        <v>2265.5</v>
      </c>
      <c r="B74" s="4">
        <f t="shared" si="1"/>
        <v>0</v>
      </c>
      <c r="C74" s="1">
        <f>SplineInterp(A74,Own_Spectrum_100cm!$U$2:$U$34,Own_Spectrum_100cm!$V$2:$V$34)*D74</f>
        <v>0</v>
      </c>
      <c r="D74" s="13">
        <f>Place_data_here!B74</f>
        <v>0</v>
      </c>
    </row>
    <row r="75" spans="1:4" x14ac:dyDescent="0.25">
      <c r="A75" s="16">
        <f>Place_data_here!A75</f>
        <v>2297</v>
      </c>
      <c r="B75" s="4">
        <f t="shared" si="1"/>
        <v>0</v>
      </c>
      <c r="C75" s="1">
        <f>SplineInterp(A75,Own_Spectrum_100cm!$U$2:$U$34,Own_Spectrum_100cm!$V$2:$V$34)*D75</f>
        <v>0</v>
      </c>
      <c r="D75" s="13">
        <f>Place_data_here!B75</f>
        <v>0</v>
      </c>
    </row>
    <row r="76" spans="1:4" x14ac:dyDescent="0.25">
      <c r="A76" s="16">
        <f>Place_data_here!A76</f>
        <v>2328.5</v>
      </c>
      <c r="B76" s="4">
        <f t="shared" si="1"/>
        <v>0</v>
      </c>
      <c r="C76" s="1">
        <f>SplineInterp(A76,Own_Spectrum_100cm!$U$2:$U$34,Own_Spectrum_100cm!$V$2:$V$34)*D76</f>
        <v>0</v>
      </c>
      <c r="D76" s="13">
        <f>Place_data_here!B76</f>
        <v>0</v>
      </c>
    </row>
    <row r="77" spans="1:4" x14ac:dyDescent="0.25">
      <c r="A77" s="16">
        <f>Place_data_here!A77</f>
        <v>2359.5</v>
      </c>
      <c r="B77" s="4">
        <f t="shared" si="1"/>
        <v>0</v>
      </c>
      <c r="C77" s="1">
        <f>SplineInterp(A77,Own_Spectrum_100cm!$U$2:$U$34,Own_Spectrum_100cm!$V$2:$V$34)*D77</f>
        <v>0</v>
      </c>
      <c r="D77" s="13">
        <f>Place_data_here!B77</f>
        <v>0</v>
      </c>
    </row>
    <row r="78" spans="1:4" x14ac:dyDescent="0.25">
      <c r="A78" s="16">
        <f>Place_data_here!A78</f>
        <v>2390.5</v>
      </c>
      <c r="B78" s="4">
        <f t="shared" si="1"/>
        <v>0</v>
      </c>
      <c r="C78" s="1">
        <f>SplineInterp(A78,Own_Spectrum_100cm!$U$2:$U$34,Own_Spectrum_100cm!$V$2:$V$34)*D78</f>
        <v>0</v>
      </c>
      <c r="D78" s="13">
        <f>Place_data_here!B78</f>
        <v>0</v>
      </c>
    </row>
    <row r="79" spans="1:4" x14ac:dyDescent="0.25">
      <c r="A79" s="16">
        <f>Place_data_here!A79</f>
        <v>2422</v>
      </c>
      <c r="B79" s="4">
        <f t="shared" si="1"/>
        <v>0</v>
      </c>
      <c r="C79" s="1">
        <f>SplineInterp(A79,Own_Spectrum_100cm!$U$2:$U$34,Own_Spectrum_100cm!$V$2:$V$34)*D79</f>
        <v>0</v>
      </c>
      <c r="D79" s="13">
        <f>Place_data_here!B79</f>
        <v>0</v>
      </c>
    </row>
    <row r="80" spans="1:4" x14ac:dyDescent="0.25">
      <c r="A80" s="16">
        <f>Place_data_here!A80</f>
        <v>2453.5</v>
      </c>
      <c r="B80" s="4">
        <f t="shared" si="1"/>
        <v>0</v>
      </c>
      <c r="C80" s="1">
        <f>SplineInterp(A80,Own_Spectrum_100cm!$U$2:$U$34,Own_Spectrum_100cm!$V$2:$V$34)*D80</f>
        <v>0</v>
      </c>
      <c r="D80" s="13">
        <f>Place_data_here!B80</f>
        <v>0</v>
      </c>
    </row>
    <row r="81" spans="1:4" x14ac:dyDescent="0.25">
      <c r="A81" s="16">
        <f>Place_data_here!A81</f>
        <v>2484.5</v>
      </c>
      <c r="B81" s="4">
        <f t="shared" si="1"/>
        <v>0</v>
      </c>
      <c r="C81" s="1">
        <f>SplineInterp(A81,Own_Spectrum_100cm!$U$2:$U$34,Own_Spectrum_100cm!$V$2:$V$34)*D81</f>
        <v>0</v>
      </c>
      <c r="D81" s="13">
        <f>Place_data_here!B81</f>
        <v>0</v>
      </c>
    </row>
    <row r="82" spans="1:4" x14ac:dyDescent="0.25">
      <c r="A82" s="16">
        <f>Place_data_here!A82</f>
        <v>0</v>
      </c>
      <c r="B82" s="4" t="e">
        <f t="shared" si="1"/>
        <v>#VALUE!</v>
      </c>
      <c r="C82" s="1" t="e">
        <f>SplineInterp(A82,Own_Spectrum_100cm!$U$2:$U$34,Own_Spectrum_100cm!$V$2:$V$34)*D82</f>
        <v>#VALUE!</v>
      </c>
      <c r="D82" s="13">
        <f>Place_data_here!B82</f>
        <v>0</v>
      </c>
    </row>
    <row r="83" spans="1:4" x14ac:dyDescent="0.25">
      <c r="A83" s="16">
        <f>Place_data_here!A83</f>
        <v>0</v>
      </c>
      <c r="B83" s="4" t="e">
        <f t="shared" si="1"/>
        <v>#VALUE!</v>
      </c>
      <c r="C83" s="1" t="e">
        <f>SplineInterp(A83,Own_Spectrum_100cm!$U$2:$U$34,Own_Spectrum_100cm!$V$2:$V$34)*D83</f>
        <v>#VALUE!</v>
      </c>
      <c r="D83" s="13">
        <f>Place_data_here!B83</f>
        <v>0</v>
      </c>
    </row>
    <row r="84" spans="1:4" x14ac:dyDescent="0.25">
      <c r="A84" s="16">
        <f>Place_data_here!A84</f>
        <v>0</v>
      </c>
      <c r="B84" s="4" t="e">
        <f t="shared" si="1"/>
        <v>#VALUE!</v>
      </c>
      <c r="C84" s="1" t="e">
        <f>SplineInterp(A84,Own_Spectrum_100cm!$U$2:$U$34,Own_Spectrum_100cm!$V$2:$V$34)*D84</f>
        <v>#VALUE!</v>
      </c>
      <c r="D84" s="13">
        <f>Place_data_here!B84</f>
        <v>0</v>
      </c>
    </row>
    <row r="85" spans="1:4" x14ac:dyDescent="0.25">
      <c r="A85" s="16">
        <f>Place_data_here!A85</f>
        <v>0</v>
      </c>
      <c r="B85" s="4" t="e">
        <f t="shared" si="1"/>
        <v>#VALUE!</v>
      </c>
      <c r="C85" s="1" t="e">
        <f>SplineInterp(A85,Own_Spectrum_100cm!$U$2:$U$34,Own_Spectrum_100cm!$V$2:$V$34)*D85</f>
        <v>#VALUE!</v>
      </c>
      <c r="D85" s="13">
        <f>Place_data_here!B85</f>
        <v>0</v>
      </c>
    </row>
    <row r="86" spans="1:4" x14ac:dyDescent="0.25">
      <c r="A86" s="16">
        <f>Place_data_here!A86</f>
        <v>0</v>
      </c>
      <c r="B86" s="4" t="e">
        <f t="shared" si="1"/>
        <v>#VALUE!</v>
      </c>
      <c r="C86" s="1" t="e">
        <f>SplineInterp(A86,Own_Spectrum_100cm!$U$2:$U$34,Own_Spectrum_100cm!$V$2:$V$34)*D86</f>
        <v>#VALUE!</v>
      </c>
      <c r="D86" s="13">
        <f>Place_data_here!B86</f>
        <v>0</v>
      </c>
    </row>
    <row r="87" spans="1:4" x14ac:dyDescent="0.25">
      <c r="A87" s="16">
        <f>Place_data_here!A87</f>
        <v>0</v>
      </c>
      <c r="B87" s="4" t="e">
        <f t="shared" si="1"/>
        <v>#VALUE!</v>
      </c>
      <c r="C87" s="1" t="e">
        <f>SplineInterp(A87,Own_Spectrum_100cm!$U$2:$U$34,Own_Spectrum_100cm!$V$2:$V$34)*D87</f>
        <v>#VALUE!</v>
      </c>
      <c r="D87" s="13">
        <f>Place_data_here!B87</f>
        <v>0</v>
      </c>
    </row>
    <row r="88" spans="1:4" x14ac:dyDescent="0.25">
      <c r="A88" s="16">
        <f>Place_data_here!A88</f>
        <v>0</v>
      </c>
      <c r="B88" s="4" t="e">
        <f t="shared" si="1"/>
        <v>#VALUE!</v>
      </c>
      <c r="C88" s="1" t="e">
        <f>SplineInterp(A88,Own_Spectrum_100cm!$U$2:$U$34,Own_Spectrum_100cm!$V$2:$V$34)*D88</f>
        <v>#VALUE!</v>
      </c>
      <c r="D88" s="13">
        <f>Place_data_here!B88</f>
        <v>0</v>
      </c>
    </row>
    <row r="89" spans="1:4" x14ac:dyDescent="0.25">
      <c r="A89" s="16">
        <f>Place_data_here!A89</f>
        <v>0</v>
      </c>
      <c r="B89" s="4" t="e">
        <f t="shared" si="1"/>
        <v>#VALUE!</v>
      </c>
      <c r="C89" s="1" t="e">
        <f>SplineInterp(A89,Own_Spectrum_100cm!$U$2:$U$34,Own_Spectrum_100cm!$V$2:$V$34)*D89</f>
        <v>#VALUE!</v>
      </c>
      <c r="D89" s="13">
        <f>Place_data_here!B89</f>
        <v>0</v>
      </c>
    </row>
    <row r="90" spans="1:4" x14ac:dyDescent="0.25">
      <c r="A90" s="16">
        <f>Place_data_here!A90</f>
        <v>0</v>
      </c>
      <c r="B90" s="4" t="e">
        <f t="shared" si="1"/>
        <v>#VALUE!</v>
      </c>
      <c r="C90" s="1" t="e">
        <f>SplineInterp(A90,Own_Spectrum_100cm!$U$2:$U$34,Own_Spectrum_100cm!$V$2:$V$34)*D90</f>
        <v>#VALUE!</v>
      </c>
      <c r="D90" s="13">
        <f>Place_data_here!B90</f>
        <v>0</v>
      </c>
    </row>
    <row r="91" spans="1:4" x14ac:dyDescent="0.25">
      <c r="A91" s="16">
        <f>Place_data_here!A91</f>
        <v>0</v>
      </c>
      <c r="B91" s="4" t="e">
        <f t="shared" si="1"/>
        <v>#VALUE!</v>
      </c>
      <c r="C91" s="1" t="e">
        <f>SplineInterp(A91,Own_Spectrum_100cm!$U$2:$U$34,Own_Spectrum_100cm!$V$2:$V$34)*D91</f>
        <v>#VALUE!</v>
      </c>
      <c r="D91" s="13">
        <f>Place_data_here!B91</f>
        <v>0</v>
      </c>
    </row>
    <row r="92" spans="1:4" x14ac:dyDescent="0.25">
      <c r="A92" s="16">
        <f>Place_data_here!A92</f>
        <v>0</v>
      </c>
      <c r="B92" s="4" t="e">
        <f t="shared" si="1"/>
        <v>#VALUE!</v>
      </c>
      <c r="C92" s="1" t="e">
        <f>SplineInterp(A92,Own_Spectrum_100cm!$U$2:$U$34,Own_Spectrum_100cm!$V$2:$V$34)*D92</f>
        <v>#VALUE!</v>
      </c>
      <c r="D92" s="13">
        <f>Place_data_here!B92</f>
        <v>0</v>
      </c>
    </row>
    <row r="93" spans="1:4" x14ac:dyDescent="0.25">
      <c r="A93" s="16">
        <f>Place_data_here!A93</f>
        <v>0</v>
      </c>
      <c r="B93" s="4" t="e">
        <f t="shared" si="1"/>
        <v>#VALUE!</v>
      </c>
      <c r="C93" s="1" t="e">
        <f>SplineInterp(A93,Own_Spectrum_100cm!$U$2:$U$34,Own_Spectrum_100cm!$V$2:$V$34)*D93</f>
        <v>#VALUE!</v>
      </c>
      <c r="D93" s="13">
        <f>Place_data_here!B93</f>
        <v>0</v>
      </c>
    </row>
    <row r="94" spans="1:4" x14ac:dyDescent="0.25">
      <c r="A94" s="16">
        <f>Place_data_here!A94</f>
        <v>0</v>
      </c>
      <c r="B94" s="4" t="e">
        <f t="shared" si="1"/>
        <v>#VALUE!</v>
      </c>
      <c r="C94" s="1" t="e">
        <f>SplineInterp(A94,Own_Spectrum_100cm!$U$2:$U$34,Own_Spectrum_100cm!$V$2:$V$34)*D94</f>
        <v>#VALUE!</v>
      </c>
      <c r="D94" s="13">
        <f>Place_data_here!B94</f>
        <v>0</v>
      </c>
    </row>
    <row r="95" spans="1:4" x14ac:dyDescent="0.25">
      <c r="A95" s="16">
        <f>Place_data_here!A95</f>
        <v>0</v>
      </c>
      <c r="B95" s="4" t="e">
        <f t="shared" si="1"/>
        <v>#VALUE!</v>
      </c>
      <c r="C95" s="1" t="e">
        <f>SplineInterp(A95,Own_Spectrum_100cm!$U$2:$U$34,Own_Spectrum_100cm!$V$2:$V$34)*D95</f>
        <v>#VALUE!</v>
      </c>
      <c r="D95" s="13">
        <f>Place_data_here!B95</f>
        <v>0</v>
      </c>
    </row>
    <row r="96" spans="1:4" x14ac:dyDescent="0.25">
      <c r="A96" s="16">
        <f>Place_data_here!A96</f>
        <v>0</v>
      </c>
      <c r="B96" s="4" t="e">
        <f t="shared" si="1"/>
        <v>#VALUE!</v>
      </c>
      <c r="C96" s="1" t="e">
        <f>SplineInterp(A96,Own_Spectrum_100cm!$U$2:$U$34,Own_Spectrum_100cm!$V$2:$V$34)*D96</f>
        <v>#VALUE!</v>
      </c>
      <c r="D96" s="13">
        <f>Place_data_here!B96</f>
        <v>0</v>
      </c>
    </row>
    <row r="97" spans="1:4" x14ac:dyDescent="0.25">
      <c r="A97" s="16">
        <f>Place_data_here!A97</f>
        <v>0</v>
      </c>
      <c r="B97" s="4" t="e">
        <f t="shared" si="1"/>
        <v>#VALUE!</v>
      </c>
      <c r="C97" s="1" t="e">
        <f>SplineInterp(A97,Own_Spectrum_100cm!$U$2:$U$34,Own_Spectrum_100cm!$V$2:$V$34)*D97</f>
        <v>#VALUE!</v>
      </c>
      <c r="D97" s="13">
        <f>Place_data_here!B97</f>
        <v>0</v>
      </c>
    </row>
    <row r="98" spans="1:4" x14ac:dyDescent="0.25">
      <c r="A98" s="16">
        <f>Place_data_here!A98</f>
        <v>0</v>
      </c>
      <c r="B98" s="4" t="e">
        <f t="shared" si="1"/>
        <v>#VALUE!</v>
      </c>
      <c r="C98" s="1" t="e">
        <f>SplineInterp(A98,Own_Spectrum_100cm!$U$2:$U$34,Own_Spectrum_100cm!$V$2:$V$34)*D98</f>
        <v>#VALUE!</v>
      </c>
      <c r="D98" s="13">
        <f>Place_data_here!B98</f>
        <v>0</v>
      </c>
    </row>
    <row r="99" spans="1:4" x14ac:dyDescent="0.25">
      <c r="A99" s="16">
        <f>Place_data_here!A99</f>
        <v>0</v>
      </c>
      <c r="B99" s="4" t="e">
        <f t="shared" si="1"/>
        <v>#VALUE!</v>
      </c>
      <c r="C99" s="1" t="e">
        <f>SplineInterp(A99,Own_Spectrum_100cm!$U$2:$U$34,Own_Spectrum_100cm!$V$2:$V$34)*D99</f>
        <v>#VALUE!</v>
      </c>
      <c r="D99" s="13">
        <f>Place_data_here!B99</f>
        <v>0</v>
      </c>
    </row>
    <row r="100" spans="1:4" x14ac:dyDescent="0.25">
      <c r="A100" s="16">
        <f>Place_data_here!A100</f>
        <v>0</v>
      </c>
      <c r="B100" s="4" t="e">
        <f t="shared" si="1"/>
        <v>#VALUE!</v>
      </c>
      <c r="C100" s="1" t="e">
        <f>SplineInterp(A100,Own_Spectrum_100cm!$U$2:$U$34,Own_Spectrum_100cm!$V$2:$V$34)*D100</f>
        <v>#VALUE!</v>
      </c>
      <c r="D100" s="13">
        <f>Place_data_here!B100</f>
        <v>0</v>
      </c>
    </row>
    <row r="101" spans="1:4" x14ac:dyDescent="0.25">
      <c r="A101" s="16">
        <f>Place_data_here!A101</f>
        <v>0</v>
      </c>
      <c r="B101" s="4" t="e">
        <f t="shared" si="1"/>
        <v>#VALUE!</v>
      </c>
      <c r="C101" s="1" t="e">
        <f>SplineInterp(A101,Own_Spectrum_100cm!$U$2:$U$34,Own_Spectrum_100cm!$V$2:$V$34)*D101</f>
        <v>#VALUE!</v>
      </c>
      <c r="D101" s="13">
        <f>Place_data_here!B101</f>
        <v>0</v>
      </c>
    </row>
    <row r="102" spans="1:4" x14ac:dyDescent="0.25">
      <c r="A102" s="16">
        <f>Place_data_here!A102</f>
        <v>0</v>
      </c>
      <c r="B102" s="4" t="e">
        <f t="shared" si="1"/>
        <v>#VALUE!</v>
      </c>
      <c r="C102" s="1" t="e">
        <f>SplineInterp(A102,Own_Spectrum_100cm!$U$2:$U$34,Own_Spectrum_100cm!$V$2:$V$34)*D102</f>
        <v>#VALUE!</v>
      </c>
      <c r="D102" s="13">
        <f>Place_data_here!B102</f>
        <v>0</v>
      </c>
    </row>
    <row r="103" spans="1:4" x14ac:dyDescent="0.25">
      <c r="A103" s="16">
        <f>Place_data_here!A103</f>
        <v>0</v>
      </c>
      <c r="B103" s="4" t="e">
        <f t="shared" si="1"/>
        <v>#VALUE!</v>
      </c>
      <c r="C103" s="1" t="e">
        <f>SplineInterp(A103,Own_Spectrum_100cm!$U$2:$U$34,Own_Spectrum_100cm!$V$2:$V$34)*D103</f>
        <v>#VALUE!</v>
      </c>
      <c r="D103" s="13">
        <f>Place_data_here!B103</f>
        <v>0</v>
      </c>
    </row>
    <row r="104" spans="1:4" x14ac:dyDescent="0.25">
      <c r="A104" s="16">
        <f>Place_data_here!A104</f>
        <v>0</v>
      </c>
      <c r="B104" s="4" t="e">
        <f t="shared" si="1"/>
        <v>#VALUE!</v>
      </c>
      <c r="C104" s="1" t="e">
        <f>SplineInterp(A104,Own_Spectrum_100cm!$U$2:$U$34,Own_Spectrum_100cm!$V$2:$V$34)*D104</f>
        <v>#VALUE!</v>
      </c>
      <c r="D104" s="13">
        <f>Place_data_here!B104</f>
        <v>0</v>
      </c>
    </row>
    <row r="105" spans="1:4" x14ac:dyDescent="0.25">
      <c r="A105" s="16">
        <f>Place_data_here!A105</f>
        <v>0</v>
      </c>
      <c r="B105" s="4" t="e">
        <f t="shared" si="1"/>
        <v>#VALUE!</v>
      </c>
      <c r="C105" s="1" t="e">
        <f>SplineInterp(A105,Own_Spectrum_100cm!$U$2:$U$34,Own_Spectrum_100cm!$V$2:$V$34)*D105</f>
        <v>#VALUE!</v>
      </c>
      <c r="D105" s="13">
        <f>Place_data_here!B105</f>
        <v>0</v>
      </c>
    </row>
    <row r="106" spans="1:4" x14ac:dyDescent="0.25">
      <c r="A106" s="16">
        <f>Place_data_here!A106</f>
        <v>0</v>
      </c>
      <c r="B106" s="4" t="e">
        <f t="shared" si="1"/>
        <v>#VALUE!</v>
      </c>
      <c r="C106" s="1" t="e">
        <f>SplineInterp(A106,Own_Spectrum_100cm!$U$2:$U$34,Own_Spectrum_100cm!$V$2:$V$34)*D106</f>
        <v>#VALUE!</v>
      </c>
      <c r="D106" s="13">
        <f>Place_data_here!B106</f>
        <v>0</v>
      </c>
    </row>
    <row r="107" spans="1:4" x14ac:dyDescent="0.25">
      <c r="A107" s="16">
        <f>Place_data_here!A107</f>
        <v>0</v>
      </c>
      <c r="B107" s="4" t="e">
        <f t="shared" si="1"/>
        <v>#VALUE!</v>
      </c>
      <c r="C107" s="1" t="e">
        <f>SplineInterp(A107,Own_Spectrum_100cm!$U$2:$U$34,Own_Spectrum_100cm!$V$2:$V$34)*D107</f>
        <v>#VALUE!</v>
      </c>
      <c r="D107" s="13">
        <f>Place_data_here!B107</f>
        <v>0</v>
      </c>
    </row>
    <row r="108" spans="1:4" x14ac:dyDescent="0.25">
      <c r="A108" s="16">
        <f>Place_data_here!A108</f>
        <v>0</v>
      </c>
      <c r="B108" s="4" t="e">
        <f t="shared" si="1"/>
        <v>#VALUE!</v>
      </c>
      <c r="C108" s="1" t="e">
        <f>SplineInterp(A108,Own_Spectrum_100cm!$U$2:$U$34,Own_Spectrum_100cm!$V$2:$V$34)*D108</f>
        <v>#VALUE!</v>
      </c>
      <c r="D108" s="13">
        <f>Place_data_here!B108</f>
        <v>0</v>
      </c>
    </row>
    <row r="109" spans="1:4" x14ac:dyDescent="0.25">
      <c r="A109" s="16">
        <f>Place_data_here!A109</f>
        <v>0</v>
      </c>
      <c r="B109" s="4" t="e">
        <f t="shared" si="1"/>
        <v>#VALUE!</v>
      </c>
      <c r="C109" s="1" t="e">
        <f>SplineInterp(A109,Own_Spectrum_100cm!$U$2:$U$34,Own_Spectrum_100cm!$V$2:$V$34)*D109</f>
        <v>#VALUE!</v>
      </c>
      <c r="D109" s="13">
        <f>Place_data_here!B109</f>
        <v>0</v>
      </c>
    </row>
    <row r="110" spans="1:4" x14ac:dyDescent="0.25">
      <c r="A110" s="16">
        <f>Place_data_here!A110</f>
        <v>0</v>
      </c>
      <c r="B110" s="4" t="e">
        <f t="shared" si="1"/>
        <v>#VALUE!</v>
      </c>
      <c r="C110" s="1" t="e">
        <f>SplineInterp(A110,Own_Spectrum_100cm!$U$2:$U$34,Own_Spectrum_100cm!$V$2:$V$34)*D110</f>
        <v>#VALUE!</v>
      </c>
      <c r="D110" s="13">
        <f>Place_data_here!B110</f>
        <v>0</v>
      </c>
    </row>
    <row r="111" spans="1:4" x14ac:dyDescent="0.25">
      <c r="A111" s="16">
        <f>Place_data_here!A111</f>
        <v>0</v>
      </c>
      <c r="B111" s="4" t="e">
        <f t="shared" si="1"/>
        <v>#VALUE!</v>
      </c>
      <c r="C111" s="1" t="e">
        <f>SplineInterp(A111,Own_Spectrum_100cm!$U$2:$U$34,Own_Spectrum_100cm!$V$2:$V$34)*D111</f>
        <v>#VALUE!</v>
      </c>
      <c r="D111" s="13">
        <f>Place_data_here!B111</f>
        <v>0</v>
      </c>
    </row>
    <row r="112" spans="1:4" x14ac:dyDescent="0.25">
      <c r="A112" s="16">
        <f>Place_data_here!A112</f>
        <v>0</v>
      </c>
      <c r="B112" s="4" t="e">
        <f t="shared" si="1"/>
        <v>#VALUE!</v>
      </c>
      <c r="C112" s="1" t="e">
        <f>SplineInterp(A112,Own_Spectrum_100cm!$U$2:$U$34,Own_Spectrum_100cm!$V$2:$V$34)*D112</f>
        <v>#VALUE!</v>
      </c>
      <c r="D112" s="13">
        <f>Place_data_here!B112</f>
        <v>0</v>
      </c>
    </row>
    <row r="113" spans="1:4" x14ac:dyDescent="0.25">
      <c r="A113" s="16">
        <f>Place_data_here!A113</f>
        <v>0</v>
      </c>
      <c r="B113" s="4" t="e">
        <f t="shared" si="1"/>
        <v>#VALUE!</v>
      </c>
      <c r="C113" s="1" t="e">
        <f>SplineInterp(A113,Own_Spectrum_100cm!$U$2:$U$34,Own_Spectrum_100cm!$V$2:$V$34)*D113</f>
        <v>#VALUE!</v>
      </c>
      <c r="D113" s="13">
        <f>Place_data_here!B113</f>
        <v>0</v>
      </c>
    </row>
    <row r="114" spans="1:4" x14ac:dyDescent="0.25">
      <c r="A114" s="16">
        <f>Place_data_here!A114</f>
        <v>0</v>
      </c>
      <c r="B114" s="4" t="e">
        <f t="shared" si="1"/>
        <v>#VALUE!</v>
      </c>
      <c r="C114" s="1" t="e">
        <f>SplineInterp(A114,Own_Spectrum_100cm!$U$2:$U$34,Own_Spectrum_100cm!$V$2:$V$34)*D114</f>
        <v>#VALUE!</v>
      </c>
      <c r="D114" s="13">
        <f>Place_data_here!B114</f>
        <v>0</v>
      </c>
    </row>
    <row r="115" spans="1:4" x14ac:dyDescent="0.25">
      <c r="A115" s="16">
        <f>Place_data_here!A115</f>
        <v>0</v>
      </c>
      <c r="B115" s="4" t="e">
        <f t="shared" si="1"/>
        <v>#VALUE!</v>
      </c>
      <c r="C115" s="1" t="e">
        <f>SplineInterp(A115,Own_Spectrum_100cm!$U$2:$U$34,Own_Spectrum_100cm!$V$2:$V$34)*D115</f>
        <v>#VALUE!</v>
      </c>
      <c r="D115" s="13">
        <f>Place_data_here!B115</f>
        <v>0</v>
      </c>
    </row>
    <row r="116" spans="1:4" x14ac:dyDescent="0.25">
      <c r="A116" s="16">
        <f>Place_data_here!A116</f>
        <v>0</v>
      </c>
      <c r="B116" s="4" t="e">
        <f t="shared" si="1"/>
        <v>#VALUE!</v>
      </c>
      <c r="C116" s="1" t="e">
        <f>SplineInterp(A116,Own_Spectrum_100cm!$U$2:$U$34,Own_Spectrum_100cm!$V$2:$V$34)*D116</f>
        <v>#VALUE!</v>
      </c>
      <c r="D116" s="13">
        <f>Place_data_here!B116</f>
        <v>0</v>
      </c>
    </row>
    <row r="117" spans="1:4" x14ac:dyDescent="0.25">
      <c r="A117" s="16">
        <f>Place_data_here!A117</f>
        <v>0</v>
      </c>
      <c r="B117" s="4" t="e">
        <f t="shared" si="1"/>
        <v>#VALUE!</v>
      </c>
      <c r="C117" s="1" t="e">
        <f>SplineInterp(A117,Own_Spectrum_100cm!$U$2:$U$34,Own_Spectrum_100cm!$V$2:$V$34)*D117</f>
        <v>#VALUE!</v>
      </c>
      <c r="D117" s="13">
        <f>Place_data_here!B117</f>
        <v>0</v>
      </c>
    </row>
    <row r="118" spans="1:4" x14ac:dyDescent="0.25">
      <c r="A118" s="16">
        <f>Place_data_here!A118</f>
        <v>0</v>
      </c>
      <c r="B118" s="4" t="e">
        <f t="shared" si="1"/>
        <v>#VALUE!</v>
      </c>
      <c r="C118" s="1" t="e">
        <f>SplineInterp(A118,Own_Spectrum_100cm!$U$2:$U$34,Own_Spectrum_100cm!$V$2:$V$34)*D118</f>
        <v>#VALUE!</v>
      </c>
      <c r="D118" s="13">
        <f>Place_data_here!B118</f>
        <v>0</v>
      </c>
    </row>
    <row r="119" spans="1:4" x14ac:dyDescent="0.25">
      <c r="A119" s="16">
        <f>Place_data_here!A119</f>
        <v>0</v>
      </c>
      <c r="B119" s="4" t="e">
        <f t="shared" si="1"/>
        <v>#VALUE!</v>
      </c>
      <c r="C119" s="1" t="e">
        <f>SplineInterp(A119,Own_Spectrum_100cm!$U$2:$U$34,Own_Spectrum_100cm!$V$2:$V$34)*D119</f>
        <v>#VALUE!</v>
      </c>
      <c r="D119" s="13">
        <f>Place_data_here!B119</f>
        <v>0</v>
      </c>
    </row>
    <row r="120" spans="1:4" x14ac:dyDescent="0.25">
      <c r="A120" s="16">
        <f>Place_data_here!A120</f>
        <v>0</v>
      </c>
      <c r="B120" s="4" t="e">
        <f t="shared" si="1"/>
        <v>#VALUE!</v>
      </c>
      <c r="C120" s="1" t="e">
        <f>SplineInterp(A120,Own_Spectrum_100cm!$U$2:$U$34,Own_Spectrum_100cm!$V$2:$V$34)*D120</f>
        <v>#VALUE!</v>
      </c>
      <c r="D120" s="13">
        <f>Place_data_here!B120</f>
        <v>0</v>
      </c>
    </row>
    <row r="121" spans="1:4" x14ac:dyDescent="0.25">
      <c r="A121" s="16">
        <f>Place_data_here!A121</f>
        <v>0</v>
      </c>
      <c r="B121" s="4" t="e">
        <f t="shared" si="1"/>
        <v>#VALUE!</v>
      </c>
      <c r="C121" s="1" t="e">
        <f>SplineInterp(A121,Own_Spectrum_100cm!$U$2:$U$34,Own_Spectrum_100cm!$V$2:$V$34)*D121</f>
        <v>#VALUE!</v>
      </c>
      <c r="D121" s="13">
        <f>Place_data_here!B121</f>
        <v>0</v>
      </c>
    </row>
    <row r="122" spans="1:4" x14ac:dyDescent="0.25">
      <c r="A122" s="16">
        <f>Place_data_here!A122</f>
        <v>0</v>
      </c>
      <c r="B122" s="4" t="e">
        <f t="shared" si="1"/>
        <v>#VALUE!</v>
      </c>
      <c r="C122" s="1" t="e">
        <f>SplineInterp(A122,Own_Spectrum_100cm!$U$2:$U$34,Own_Spectrum_100cm!$V$2:$V$34)*D122</f>
        <v>#VALUE!</v>
      </c>
      <c r="D122" s="13">
        <f>Place_data_here!B122</f>
        <v>0</v>
      </c>
    </row>
    <row r="123" spans="1:4" x14ac:dyDescent="0.25">
      <c r="A123" s="16">
        <f>Place_data_here!A123</f>
        <v>0</v>
      </c>
      <c r="B123" s="4" t="e">
        <f t="shared" si="1"/>
        <v>#VALUE!</v>
      </c>
      <c r="C123" s="1" t="e">
        <f>SplineInterp(A123,Own_Spectrum_100cm!$U$2:$U$34,Own_Spectrum_100cm!$V$2:$V$34)*D123</f>
        <v>#VALUE!</v>
      </c>
      <c r="D123" s="13">
        <f>Place_data_here!B123</f>
        <v>0</v>
      </c>
    </row>
    <row r="124" spans="1:4" x14ac:dyDescent="0.25">
      <c r="A124" s="16">
        <f>Place_data_here!A124</f>
        <v>0</v>
      </c>
      <c r="B124" s="4" t="e">
        <f t="shared" si="1"/>
        <v>#VALUE!</v>
      </c>
      <c r="C124" s="1" t="e">
        <f>SplineInterp(A124,Own_Spectrum_100cm!$U$2:$U$34,Own_Spectrum_100cm!$V$2:$V$34)*D124</f>
        <v>#VALUE!</v>
      </c>
      <c r="D124" s="13">
        <f>Place_data_here!B124</f>
        <v>0</v>
      </c>
    </row>
    <row r="125" spans="1:4" x14ac:dyDescent="0.25">
      <c r="A125" s="16">
        <f>Place_data_here!A125</f>
        <v>0</v>
      </c>
      <c r="B125" s="4" t="e">
        <f t="shared" si="1"/>
        <v>#VALUE!</v>
      </c>
      <c r="C125" s="1" t="e">
        <f>SplineInterp(A125,Own_Spectrum_100cm!$U$2:$U$34,Own_Spectrum_100cm!$V$2:$V$34)*D125</f>
        <v>#VALUE!</v>
      </c>
      <c r="D125" s="13">
        <f>Place_data_here!B125</f>
        <v>0</v>
      </c>
    </row>
    <row r="126" spans="1:4" x14ac:dyDescent="0.25">
      <c r="A126" s="16">
        <f>Place_data_here!A126</f>
        <v>0</v>
      </c>
      <c r="B126" s="4" t="e">
        <f t="shared" si="1"/>
        <v>#VALUE!</v>
      </c>
      <c r="C126" s="1" t="e">
        <f>SplineInterp(A126,Own_Spectrum_100cm!$U$2:$U$34,Own_Spectrum_100cm!$V$2:$V$34)*D126</f>
        <v>#VALUE!</v>
      </c>
      <c r="D126" s="13">
        <f>Place_data_here!B126</f>
        <v>0</v>
      </c>
    </row>
    <row r="127" spans="1:4" x14ac:dyDescent="0.25">
      <c r="A127" s="16">
        <f>Place_data_here!A127</f>
        <v>0</v>
      </c>
      <c r="B127" s="4" t="e">
        <f t="shared" si="1"/>
        <v>#VALUE!</v>
      </c>
      <c r="C127" s="1" t="e">
        <f>SplineInterp(A127,Own_Spectrum_100cm!$U$2:$U$34,Own_Spectrum_100cm!$V$2:$V$34)*D127</f>
        <v>#VALUE!</v>
      </c>
      <c r="D127" s="13">
        <f>Place_data_here!B127</f>
        <v>0</v>
      </c>
    </row>
    <row r="128" spans="1:4" x14ac:dyDescent="0.25">
      <c r="A128" s="16">
        <f>Place_data_here!A128</f>
        <v>0</v>
      </c>
      <c r="B128" s="4" t="e">
        <f t="shared" si="1"/>
        <v>#VALUE!</v>
      </c>
      <c r="C128" s="1" t="e">
        <f>SplineInterp(A128,Own_Spectrum_100cm!$U$2:$U$34,Own_Spectrum_100cm!$V$2:$V$34)*D128</f>
        <v>#VALUE!</v>
      </c>
      <c r="D128" s="13">
        <f>Place_data_here!B128</f>
        <v>0</v>
      </c>
    </row>
    <row r="129" spans="1:4" x14ac:dyDescent="0.25">
      <c r="A129" s="16">
        <f>Place_data_here!A129</f>
        <v>0</v>
      </c>
      <c r="B129" s="4" t="e">
        <f t="shared" si="1"/>
        <v>#VALUE!</v>
      </c>
      <c r="C129" s="1" t="e">
        <f>SplineInterp(A129,Own_Spectrum_100cm!$U$2:$U$34,Own_Spectrum_100cm!$V$2:$V$34)*D129</f>
        <v>#VALUE!</v>
      </c>
      <c r="D129" s="13">
        <f>Place_data_here!B129</f>
        <v>0</v>
      </c>
    </row>
    <row r="130" spans="1:4" x14ac:dyDescent="0.25">
      <c r="A130" s="16">
        <f>Place_data_here!A130</f>
        <v>0</v>
      </c>
      <c r="B130" s="4" t="e">
        <f t="shared" si="1"/>
        <v>#VALUE!</v>
      </c>
      <c r="C130" s="1" t="e">
        <f>SplineInterp(A130,Own_Spectrum_100cm!$U$2:$U$34,Own_Spectrum_100cm!$V$2:$V$34)*D130</f>
        <v>#VALUE!</v>
      </c>
      <c r="D130" s="13">
        <f>Place_data_here!B130</f>
        <v>0</v>
      </c>
    </row>
    <row r="131" spans="1:4" x14ac:dyDescent="0.25">
      <c r="A131" s="16">
        <f>Place_data_here!A131</f>
        <v>0</v>
      </c>
      <c r="B131" s="4" t="e">
        <f t="shared" ref="B131:B194" si="2">C131/$C$1028</f>
        <v>#VALUE!</v>
      </c>
      <c r="C131" s="1" t="e">
        <f>SplineInterp(A131,Own_Spectrum_100cm!$U$2:$U$34,Own_Spectrum_100cm!$V$2:$V$34)*D131</f>
        <v>#VALUE!</v>
      </c>
      <c r="D131" s="13">
        <f>Place_data_here!B131</f>
        <v>0</v>
      </c>
    </row>
    <row r="132" spans="1:4" x14ac:dyDescent="0.25">
      <c r="A132" s="16">
        <f>Place_data_here!A132</f>
        <v>0</v>
      </c>
      <c r="B132" s="4" t="e">
        <f t="shared" si="2"/>
        <v>#VALUE!</v>
      </c>
      <c r="C132" s="1" t="e">
        <f>SplineInterp(A132,Own_Spectrum_100cm!$U$2:$U$34,Own_Spectrum_100cm!$V$2:$V$34)*D132</f>
        <v>#VALUE!</v>
      </c>
      <c r="D132" s="13">
        <f>Place_data_here!B132</f>
        <v>0</v>
      </c>
    </row>
    <row r="133" spans="1:4" x14ac:dyDescent="0.25">
      <c r="A133" s="16">
        <f>Place_data_here!A133</f>
        <v>0</v>
      </c>
      <c r="B133" s="4" t="e">
        <f t="shared" si="2"/>
        <v>#VALUE!</v>
      </c>
      <c r="C133" s="1" t="e">
        <f>SplineInterp(A133,Own_Spectrum_100cm!$U$2:$U$34,Own_Spectrum_100cm!$V$2:$V$34)*D133</f>
        <v>#VALUE!</v>
      </c>
      <c r="D133" s="13">
        <f>Place_data_here!B133</f>
        <v>0</v>
      </c>
    </row>
    <row r="134" spans="1:4" x14ac:dyDescent="0.25">
      <c r="A134" s="16">
        <f>Place_data_here!A134</f>
        <v>0</v>
      </c>
      <c r="B134" s="4" t="e">
        <f t="shared" si="2"/>
        <v>#VALUE!</v>
      </c>
      <c r="C134" s="1" t="e">
        <f>SplineInterp(A134,Own_Spectrum_100cm!$U$2:$U$34,Own_Spectrum_100cm!$V$2:$V$34)*D134</f>
        <v>#VALUE!</v>
      </c>
      <c r="D134" s="13">
        <f>Place_data_here!B134</f>
        <v>0</v>
      </c>
    </row>
    <row r="135" spans="1:4" x14ac:dyDescent="0.25">
      <c r="A135" s="16">
        <f>Place_data_here!A135</f>
        <v>0</v>
      </c>
      <c r="B135" s="4" t="e">
        <f t="shared" si="2"/>
        <v>#VALUE!</v>
      </c>
      <c r="C135" s="1" t="e">
        <f>SplineInterp(A135,Own_Spectrum_100cm!$U$2:$U$34,Own_Spectrum_100cm!$V$2:$V$34)*D135</f>
        <v>#VALUE!</v>
      </c>
      <c r="D135" s="13">
        <f>Place_data_here!B135</f>
        <v>0</v>
      </c>
    </row>
    <row r="136" spans="1:4" x14ac:dyDescent="0.25">
      <c r="A136" s="16">
        <f>Place_data_here!A136</f>
        <v>0</v>
      </c>
      <c r="B136" s="4" t="e">
        <f t="shared" si="2"/>
        <v>#VALUE!</v>
      </c>
      <c r="C136" s="1" t="e">
        <f>SplineInterp(A136,Own_Spectrum_100cm!$U$2:$U$34,Own_Spectrum_100cm!$V$2:$V$34)*D136</f>
        <v>#VALUE!</v>
      </c>
      <c r="D136" s="13">
        <f>Place_data_here!B136</f>
        <v>0</v>
      </c>
    </row>
    <row r="137" spans="1:4" x14ac:dyDescent="0.25">
      <c r="A137" s="16">
        <f>Place_data_here!A137</f>
        <v>0</v>
      </c>
      <c r="B137" s="4" t="e">
        <f t="shared" si="2"/>
        <v>#VALUE!</v>
      </c>
      <c r="C137" s="1" t="e">
        <f>SplineInterp(A137,Own_Spectrum_100cm!$U$2:$U$34,Own_Spectrum_100cm!$V$2:$V$34)*D137</f>
        <v>#VALUE!</v>
      </c>
      <c r="D137" s="13">
        <f>Place_data_here!B137</f>
        <v>0</v>
      </c>
    </row>
    <row r="138" spans="1:4" x14ac:dyDescent="0.25">
      <c r="A138" s="16">
        <f>Place_data_here!A138</f>
        <v>0</v>
      </c>
      <c r="B138" s="4" t="e">
        <f t="shared" si="2"/>
        <v>#VALUE!</v>
      </c>
      <c r="C138" s="1" t="e">
        <f>SplineInterp(A138,Own_Spectrum_100cm!$U$2:$U$34,Own_Spectrum_100cm!$V$2:$V$34)*D138</f>
        <v>#VALUE!</v>
      </c>
      <c r="D138" s="13">
        <f>Place_data_here!B138</f>
        <v>0</v>
      </c>
    </row>
    <row r="139" spans="1:4" x14ac:dyDescent="0.25">
      <c r="A139" s="16">
        <f>Place_data_here!A139</f>
        <v>0</v>
      </c>
      <c r="B139" s="4" t="e">
        <f t="shared" si="2"/>
        <v>#VALUE!</v>
      </c>
      <c r="C139" s="1" t="e">
        <f>SplineInterp(A139,Own_Spectrum_100cm!$U$2:$U$34,Own_Spectrum_100cm!$V$2:$V$34)*D139</f>
        <v>#VALUE!</v>
      </c>
      <c r="D139" s="13">
        <f>Place_data_here!B139</f>
        <v>0</v>
      </c>
    </row>
    <row r="140" spans="1:4" x14ac:dyDescent="0.25">
      <c r="A140" s="16">
        <f>Place_data_here!A140</f>
        <v>0</v>
      </c>
      <c r="B140" s="4" t="e">
        <f t="shared" si="2"/>
        <v>#VALUE!</v>
      </c>
      <c r="C140" s="1" t="e">
        <f>SplineInterp(A140,Own_Spectrum_100cm!$U$2:$U$34,Own_Spectrum_100cm!$V$2:$V$34)*D140</f>
        <v>#VALUE!</v>
      </c>
      <c r="D140" s="13">
        <f>Place_data_here!B140</f>
        <v>0</v>
      </c>
    </row>
    <row r="141" spans="1:4" x14ac:dyDescent="0.25">
      <c r="A141" s="16">
        <f>Place_data_here!A141</f>
        <v>0</v>
      </c>
      <c r="B141" s="4" t="e">
        <f t="shared" si="2"/>
        <v>#VALUE!</v>
      </c>
      <c r="C141" s="1" t="e">
        <f>SplineInterp(A141,Own_Spectrum_100cm!$U$2:$U$34,Own_Spectrum_100cm!$V$2:$V$34)*D141</f>
        <v>#VALUE!</v>
      </c>
      <c r="D141" s="13">
        <f>Place_data_here!B141</f>
        <v>0</v>
      </c>
    </row>
    <row r="142" spans="1:4" x14ac:dyDescent="0.25">
      <c r="A142" s="16">
        <f>Place_data_here!A142</f>
        <v>0</v>
      </c>
      <c r="B142" s="4" t="e">
        <f t="shared" si="2"/>
        <v>#VALUE!</v>
      </c>
      <c r="C142" s="1" t="e">
        <f>SplineInterp(A142,Own_Spectrum_100cm!$U$2:$U$34,Own_Spectrum_100cm!$V$2:$V$34)*D142</f>
        <v>#VALUE!</v>
      </c>
      <c r="D142" s="13">
        <f>Place_data_here!B142</f>
        <v>0</v>
      </c>
    </row>
    <row r="143" spans="1:4" x14ac:dyDescent="0.25">
      <c r="A143" s="16">
        <f>Place_data_here!A143</f>
        <v>0</v>
      </c>
      <c r="B143" s="4" t="e">
        <f t="shared" si="2"/>
        <v>#VALUE!</v>
      </c>
      <c r="C143" s="1" t="e">
        <f>SplineInterp(A143,Own_Spectrum_100cm!$U$2:$U$34,Own_Spectrum_100cm!$V$2:$V$34)*D143</f>
        <v>#VALUE!</v>
      </c>
      <c r="D143" s="13">
        <f>Place_data_here!B143</f>
        <v>0</v>
      </c>
    </row>
    <row r="144" spans="1:4" x14ac:dyDescent="0.25">
      <c r="A144" s="16">
        <f>Place_data_here!A144</f>
        <v>0</v>
      </c>
      <c r="B144" s="4" t="e">
        <f t="shared" si="2"/>
        <v>#VALUE!</v>
      </c>
      <c r="C144" s="1" t="e">
        <f>SplineInterp(A144,Own_Spectrum_100cm!$U$2:$U$34,Own_Spectrum_100cm!$V$2:$V$34)*D144</f>
        <v>#VALUE!</v>
      </c>
      <c r="D144" s="13">
        <f>Place_data_here!B144</f>
        <v>0</v>
      </c>
    </row>
    <row r="145" spans="1:4" x14ac:dyDescent="0.25">
      <c r="A145" s="16">
        <f>Place_data_here!A145</f>
        <v>0</v>
      </c>
      <c r="B145" s="4" t="e">
        <f t="shared" si="2"/>
        <v>#VALUE!</v>
      </c>
      <c r="C145" s="1" t="e">
        <f>SplineInterp(A145,Own_Spectrum_100cm!$U$2:$U$34,Own_Spectrum_100cm!$V$2:$V$34)*D145</f>
        <v>#VALUE!</v>
      </c>
      <c r="D145" s="13">
        <f>Place_data_here!B145</f>
        <v>0</v>
      </c>
    </row>
    <row r="146" spans="1:4" x14ac:dyDescent="0.25">
      <c r="A146" s="16">
        <f>Place_data_here!A146</f>
        <v>0</v>
      </c>
      <c r="B146" s="4" t="e">
        <f t="shared" si="2"/>
        <v>#VALUE!</v>
      </c>
      <c r="C146" s="1" t="e">
        <f>SplineInterp(A146,Own_Spectrum_100cm!$U$2:$U$34,Own_Spectrum_100cm!$V$2:$V$34)*D146</f>
        <v>#VALUE!</v>
      </c>
      <c r="D146" s="13">
        <f>Place_data_here!B146</f>
        <v>0</v>
      </c>
    </row>
    <row r="147" spans="1:4" x14ac:dyDescent="0.25">
      <c r="A147" s="16">
        <f>Place_data_here!A147</f>
        <v>0</v>
      </c>
      <c r="B147" s="4" t="e">
        <f t="shared" si="2"/>
        <v>#VALUE!</v>
      </c>
      <c r="C147" s="1" t="e">
        <f>SplineInterp(A147,Own_Spectrum_100cm!$U$2:$U$34,Own_Spectrum_100cm!$V$2:$V$34)*D147</f>
        <v>#VALUE!</v>
      </c>
      <c r="D147" s="13">
        <f>Place_data_here!B147</f>
        <v>0</v>
      </c>
    </row>
    <row r="148" spans="1:4" x14ac:dyDescent="0.25">
      <c r="A148" s="16">
        <f>Place_data_here!A148</f>
        <v>0</v>
      </c>
      <c r="B148" s="4" t="e">
        <f t="shared" si="2"/>
        <v>#VALUE!</v>
      </c>
      <c r="C148" s="1" t="e">
        <f>SplineInterp(A148,Own_Spectrum_100cm!$U$2:$U$34,Own_Spectrum_100cm!$V$2:$V$34)*D148</f>
        <v>#VALUE!</v>
      </c>
      <c r="D148" s="13">
        <f>Place_data_here!B148</f>
        <v>0</v>
      </c>
    </row>
    <row r="149" spans="1:4" x14ac:dyDescent="0.25">
      <c r="A149" s="16">
        <f>Place_data_here!A149</f>
        <v>0</v>
      </c>
      <c r="B149" s="4" t="e">
        <f t="shared" si="2"/>
        <v>#VALUE!</v>
      </c>
      <c r="C149" s="1" t="e">
        <f>SplineInterp(A149,Own_Spectrum_100cm!$U$2:$U$34,Own_Spectrum_100cm!$V$2:$V$34)*D149</f>
        <v>#VALUE!</v>
      </c>
      <c r="D149" s="13">
        <f>Place_data_here!B149</f>
        <v>0</v>
      </c>
    </row>
    <row r="150" spans="1:4" x14ac:dyDescent="0.25">
      <c r="A150" s="16">
        <f>Place_data_here!A150</f>
        <v>0</v>
      </c>
      <c r="B150" s="4" t="e">
        <f t="shared" si="2"/>
        <v>#VALUE!</v>
      </c>
      <c r="C150" s="1" t="e">
        <f>SplineInterp(A150,Own_Spectrum_100cm!$U$2:$U$34,Own_Spectrum_100cm!$V$2:$V$34)*D150</f>
        <v>#VALUE!</v>
      </c>
      <c r="D150" s="13">
        <f>Place_data_here!B150</f>
        <v>0</v>
      </c>
    </row>
    <row r="151" spans="1:4" x14ac:dyDescent="0.25">
      <c r="A151" s="16">
        <f>Place_data_here!A151</f>
        <v>0</v>
      </c>
      <c r="B151" s="4" t="e">
        <f t="shared" si="2"/>
        <v>#VALUE!</v>
      </c>
      <c r="C151" s="1" t="e">
        <f>SplineInterp(A151,Own_Spectrum_100cm!$U$2:$U$34,Own_Spectrum_100cm!$V$2:$V$34)*D151</f>
        <v>#VALUE!</v>
      </c>
      <c r="D151" s="13">
        <f>Place_data_here!B151</f>
        <v>0</v>
      </c>
    </row>
    <row r="152" spans="1:4" x14ac:dyDescent="0.25">
      <c r="A152" s="16">
        <f>Place_data_here!A152</f>
        <v>0</v>
      </c>
      <c r="B152" s="4" t="e">
        <f t="shared" si="2"/>
        <v>#VALUE!</v>
      </c>
      <c r="C152" s="1" t="e">
        <f>SplineInterp(A152,Own_Spectrum_100cm!$U$2:$U$34,Own_Spectrum_100cm!$V$2:$V$34)*D152</f>
        <v>#VALUE!</v>
      </c>
      <c r="D152" s="13">
        <f>Place_data_here!B152</f>
        <v>0</v>
      </c>
    </row>
    <row r="153" spans="1:4" x14ac:dyDescent="0.25">
      <c r="A153" s="16">
        <f>Place_data_here!A153</f>
        <v>0</v>
      </c>
      <c r="B153" s="4" t="e">
        <f t="shared" si="2"/>
        <v>#VALUE!</v>
      </c>
      <c r="C153" s="1" t="e">
        <f>SplineInterp(A153,Own_Spectrum_100cm!$U$2:$U$34,Own_Spectrum_100cm!$V$2:$V$34)*D153</f>
        <v>#VALUE!</v>
      </c>
      <c r="D153" s="13">
        <f>Place_data_here!B153</f>
        <v>0</v>
      </c>
    </row>
    <row r="154" spans="1:4" x14ac:dyDescent="0.25">
      <c r="A154" s="16">
        <f>Place_data_here!A154</f>
        <v>0</v>
      </c>
      <c r="B154" s="4" t="e">
        <f t="shared" si="2"/>
        <v>#VALUE!</v>
      </c>
      <c r="C154" s="1" t="e">
        <f>SplineInterp(A154,Own_Spectrum_100cm!$U$2:$U$34,Own_Spectrum_100cm!$V$2:$V$34)*D154</f>
        <v>#VALUE!</v>
      </c>
      <c r="D154" s="13">
        <f>Place_data_here!B154</f>
        <v>0</v>
      </c>
    </row>
    <row r="155" spans="1:4" x14ac:dyDescent="0.25">
      <c r="A155" s="16">
        <f>Place_data_here!A155</f>
        <v>0</v>
      </c>
      <c r="B155" s="4" t="e">
        <f t="shared" si="2"/>
        <v>#VALUE!</v>
      </c>
      <c r="C155" s="1" t="e">
        <f>SplineInterp(A155,Own_Spectrum_100cm!$U$2:$U$34,Own_Spectrum_100cm!$V$2:$V$34)*D155</f>
        <v>#VALUE!</v>
      </c>
      <c r="D155" s="13">
        <f>Place_data_here!B155</f>
        <v>0</v>
      </c>
    </row>
    <row r="156" spans="1:4" x14ac:dyDescent="0.25">
      <c r="A156" s="16">
        <f>Place_data_here!A156</f>
        <v>0</v>
      </c>
      <c r="B156" s="4" t="e">
        <f t="shared" si="2"/>
        <v>#VALUE!</v>
      </c>
      <c r="C156" s="1" t="e">
        <f>SplineInterp(A156,Own_Spectrum_100cm!$U$2:$U$34,Own_Spectrum_100cm!$V$2:$V$34)*D156</f>
        <v>#VALUE!</v>
      </c>
      <c r="D156" s="13">
        <f>Place_data_here!B156</f>
        <v>0</v>
      </c>
    </row>
    <row r="157" spans="1:4" x14ac:dyDescent="0.25">
      <c r="A157" s="16">
        <f>Place_data_here!A157</f>
        <v>0</v>
      </c>
      <c r="B157" s="4" t="e">
        <f t="shared" si="2"/>
        <v>#VALUE!</v>
      </c>
      <c r="C157" s="1" t="e">
        <f>SplineInterp(A157,Own_Spectrum_100cm!$U$2:$U$34,Own_Spectrum_100cm!$V$2:$V$34)*D157</f>
        <v>#VALUE!</v>
      </c>
      <c r="D157" s="13">
        <f>Place_data_here!B157</f>
        <v>0</v>
      </c>
    </row>
    <row r="158" spans="1:4" x14ac:dyDescent="0.25">
      <c r="A158" s="16">
        <f>Place_data_here!A158</f>
        <v>0</v>
      </c>
      <c r="B158" s="4" t="e">
        <f t="shared" si="2"/>
        <v>#VALUE!</v>
      </c>
      <c r="C158" s="1" t="e">
        <f>SplineInterp(A158,Own_Spectrum_100cm!$U$2:$U$34,Own_Spectrum_100cm!$V$2:$V$34)*D158</f>
        <v>#VALUE!</v>
      </c>
      <c r="D158" s="13">
        <f>Place_data_here!B158</f>
        <v>0</v>
      </c>
    </row>
    <row r="159" spans="1:4" x14ac:dyDescent="0.25">
      <c r="A159" s="16">
        <f>Place_data_here!A159</f>
        <v>0</v>
      </c>
      <c r="B159" s="4" t="e">
        <f t="shared" si="2"/>
        <v>#VALUE!</v>
      </c>
      <c r="C159" s="1" t="e">
        <f>SplineInterp(A159,Own_Spectrum_100cm!$U$2:$U$34,Own_Spectrum_100cm!$V$2:$V$34)*D159</f>
        <v>#VALUE!</v>
      </c>
      <c r="D159" s="13">
        <f>Place_data_here!B159</f>
        <v>0</v>
      </c>
    </row>
    <row r="160" spans="1:4" x14ac:dyDescent="0.25">
      <c r="A160" s="16">
        <f>Place_data_here!A160</f>
        <v>0</v>
      </c>
      <c r="B160" s="4" t="e">
        <f t="shared" si="2"/>
        <v>#VALUE!</v>
      </c>
      <c r="C160" s="1" t="e">
        <f>SplineInterp(A160,Own_Spectrum_100cm!$U$2:$U$34,Own_Spectrum_100cm!$V$2:$V$34)*D160</f>
        <v>#VALUE!</v>
      </c>
      <c r="D160" s="13">
        <f>Place_data_here!B160</f>
        <v>0</v>
      </c>
    </row>
    <row r="161" spans="1:4" x14ac:dyDescent="0.25">
      <c r="A161" s="16">
        <f>Place_data_here!A161</f>
        <v>0</v>
      </c>
      <c r="B161" s="4" t="e">
        <f t="shared" si="2"/>
        <v>#VALUE!</v>
      </c>
      <c r="C161" s="1" t="e">
        <f>SplineInterp(A161,Own_Spectrum_100cm!$U$2:$U$34,Own_Spectrum_100cm!$V$2:$V$34)*D161</f>
        <v>#VALUE!</v>
      </c>
      <c r="D161" s="13">
        <f>Place_data_here!B161</f>
        <v>0</v>
      </c>
    </row>
    <row r="162" spans="1:4" x14ac:dyDescent="0.25">
      <c r="A162" s="16">
        <f>Place_data_here!A162</f>
        <v>0</v>
      </c>
      <c r="B162" s="4" t="e">
        <f t="shared" si="2"/>
        <v>#VALUE!</v>
      </c>
      <c r="C162" s="1" t="e">
        <f>SplineInterp(A162,Own_Spectrum_100cm!$U$2:$U$34,Own_Spectrum_100cm!$V$2:$V$34)*D162</f>
        <v>#VALUE!</v>
      </c>
      <c r="D162" s="13">
        <f>Place_data_here!B162</f>
        <v>0</v>
      </c>
    </row>
    <row r="163" spans="1:4" x14ac:dyDescent="0.25">
      <c r="A163" s="16">
        <f>Place_data_here!A163</f>
        <v>0</v>
      </c>
      <c r="B163" s="4" t="e">
        <f t="shared" si="2"/>
        <v>#VALUE!</v>
      </c>
      <c r="C163" s="1" t="e">
        <f>SplineInterp(A163,Own_Spectrum_100cm!$U$2:$U$34,Own_Spectrum_100cm!$V$2:$V$34)*D163</f>
        <v>#VALUE!</v>
      </c>
      <c r="D163" s="13">
        <f>Place_data_here!B163</f>
        <v>0</v>
      </c>
    </row>
    <row r="164" spans="1:4" x14ac:dyDescent="0.25">
      <c r="A164" s="16">
        <f>Place_data_here!A164</f>
        <v>0</v>
      </c>
      <c r="B164" s="4" t="e">
        <f t="shared" si="2"/>
        <v>#VALUE!</v>
      </c>
      <c r="C164" s="1" t="e">
        <f>SplineInterp(A164,Own_Spectrum_100cm!$U$2:$U$34,Own_Spectrum_100cm!$V$2:$V$34)*D164</f>
        <v>#VALUE!</v>
      </c>
      <c r="D164" s="13">
        <f>Place_data_here!B164</f>
        <v>0</v>
      </c>
    </row>
    <row r="165" spans="1:4" x14ac:dyDescent="0.25">
      <c r="A165" s="16">
        <f>Place_data_here!A165</f>
        <v>0</v>
      </c>
      <c r="B165" s="4" t="e">
        <f t="shared" si="2"/>
        <v>#VALUE!</v>
      </c>
      <c r="C165" s="1" t="e">
        <f>SplineInterp(A165,Own_Spectrum_100cm!$U$2:$U$34,Own_Spectrum_100cm!$V$2:$V$34)*D165</f>
        <v>#VALUE!</v>
      </c>
      <c r="D165" s="13">
        <f>Place_data_here!B165</f>
        <v>0</v>
      </c>
    </row>
    <row r="166" spans="1:4" x14ac:dyDescent="0.25">
      <c r="A166" s="16">
        <f>Place_data_here!A166</f>
        <v>0</v>
      </c>
      <c r="B166" s="4" t="e">
        <f t="shared" si="2"/>
        <v>#VALUE!</v>
      </c>
      <c r="C166" s="1" t="e">
        <f>SplineInterp(A166,Own_Spectrum_100cm!$U$2:$U$34,Own_Spectrum_100cm!$V$2:$V$34)*D166</f>
        <v>#VALUE!</v>
      </c>
      <c r="D166" s="13">
        <f>Place_data_here!B166</f>
        <v>0</v>
      </c>
    </row>
    <row r="167" spans="1:4" x14ac:dyDescent="0.25">
      <c r="A167" s="16">
        <f>Place_data_here!A167</f>
        <v>0</v>
      </c>
      <c r="B167" s="4" t="e">
        <f t="shared" si="2"/>
        <v>#VALUE!</v>
      </c>
      <c r="C167" s="1" t="e">
        <f>SplineInterp(A167,Own_Spectrum_100cm!$U$2:$U$34,Own_Spectrum_100cm!$V$2:$V$34)*D167</f>
        <v>#VALUE!</v>
      </c>
      <c r="D167" s="13">
        <f>Place_data_here!B167</f>
        <v>0</v>
      </c>
    </row>
    <row r="168" spans="1:4" x14ac:dyDescent="0.25">
      <c r="A168" s="16">
        <f>Place_data_here!A168</f>
        <v>0</v>
      </c>
      <c r="B168" s="4" t="e">
        <f t="shared" si="2"/>
        <v>#VALUE!</v>
      </c>
      <c r="C168" s="1" t="e">
        <f>SplineInterp(A168,Own_Spectrum_100cm!$U$2:$U$34,Own_Spectrum_100cm!$V$2:$V$34)*D168</f>
        <v>#VALUE!</v>
      </c>
      <c r="D168" s="13">
        <f>Place_data_here!B168</f>
        <v>0</v>
      </c>
    </row>
    <row r="169" spans="1:4" x14ac:dyDescent="0.25">
      <c r="A169" s="16">
        <f>Place_data_here!A169</f>
        <v>0</v>
      </c>
      <c r="B169" s="4" t="e">
        <f t="shared" si="2"/>
        <v>#VALUE!</v>
      </c>
      <c r="C169" s="1" t="e">
        <f>SplineInterp(A169,Own_Spectrum_100cm!$U$2:$U$34,Own_Spectrum_100cm!$V$2:$V$34)*D169</f>
        <v>#VALUE!</v>
      </c>
      <c r="D169" s="13">
        <f>Place_data_here!B169</f>
        <v>0</v>
      </c>
    </row>
    <row r="170" spans="1:4" x14ac:dyDescent="0.25">
      <c r="A170" s="16">
        <f>Place_data_here!A170</f>
        <v>0</v>
      </c>
      <c r="B170" s="4" t="e">
        <f t="shared" si="2"/>
        <v>#VALUE!</v>
      </c>
      <c r="C170" s="1" t="e">
        <f>SplineInterp(A170,Own_Spectrum_100cm!$U$2:$U$34,Own_Spectrum_100cm!$V$2:$V$34)*D170</f>
        <v>#VALUE!</v>
      </c>
      <c r="D170" s="13">
        <f>Place_data_here!B170</f>
        <v>0</v>
      </c>
    </row>
    <row r="171" spans="1:4" x14ac:dyDescent="0.25">
      <c r="A171" s="16">
        <f>Place_data_here!A171</f>
        <v>0</v>
      </c>
      <c r="B171" s="4" t="e">
        <f t="shared" si="2"/>
        <v>#VALUE!</v>
      </c>
      <c r="C171" s="1" t="e">
        <f>SplineInterp(A171,Own_Spectrum_100cm!$U$2:$U$34,Own_Spectrum_100cm!$V$2:$V$34)*D171</f>
        <v>#VALUE!</v>
      </c>
      <c r="D171" s="13">
        <f>Place_data_here!B171</f>
        <v>0</v>
      </c>
    </row>
    <row r="172" spans="1:4" x14ac:dyDescent="0.25">
      <c r="A172" s="16">
        <f>Place_data_here!A172</f>
        <v>0</v>
      </c>
      <c r="B172" s="4" t="e">
        <f t="shared" si="2"/>
        <v>#VALUE!</v>
      </c>
      <c r="C172" s="1" t="e">
        <f>SplineInterp(A172,Own_Spectrum_100cm!$U$2:$U$34,Own_Spectrum_100cm!$V$2:$V$34)*D172</f>
        <v>#VALUE!</v>
      </c>
      <c r="D172" s="13">
        <f>Place_data_here!B172</f>
        <v>0</v>
      </c>
    </row>
    <row r="173" spans="1:4" x14ac:dyDescent="0.25">
      <c r="A173" s="16">
        <f>Place_data_here!A173</f>
        <v>0</v>
      </c>
      <c r="B173" s="4" t="e">
        <f t="shared" si="2"/>
        <v>#VALUE!</v>
      </c>
      <c r="C173" s="1" t="e">
        <f>SplineInterp(A173,Own_Spectrum_100cm!$U$2:$U$34,Own_Spectrum_100cm!$V$2:$V$34)*D173</f>
        <v>#VALUE!</v>
      </c>
      <c r="D173" s="13">
        <f>Place_data_here!B173</f>
        <v>0</v>
      </c>
    </row>
    <row r="174" spans="1:4" x14ac:dyDescent="0.25">
      <c r="A174" s="16">
        <f>Place_data_here!A174</f>
        <v>0</v>
      </c>
      <c r="B174" s="4" t="e">
        <f t="shared" si="2"/>
        <v>#VALUE!</v>
      </c>
      <c r="C174" s="1" t="e">
        <f>SplineInterp(A174,Own_Spectrum_100cm!$U$2:$U$34,Own_Spectrum_100cm!$V$2:$V$34)*D174</f>
        <v>#VALUE!</v>
      </c>
      <c r="D174" s="13">
        <f>Place_data_here!B174</f>
        <v>0</v>
      </c>
    </row>
    <row r="175" spans="1:4" x14ac:dyDescent="0.25">
      <c r="A175" s="16">
        <f>Place_data_here!A175</f>
        <v>0</v>
      </c>
      <c r="B175" s="4" t="e">
        <f t="shared" si="2"/>
        <v>#VALUE!</v>
      </c>
      <c r="C175" s="1" t="e">
        <f>SplineInterp(A175,Own_Spectrum_100cm!$U$2:$U$34,Own_Spectrum_100cm!$V$2:$V$34)*D175</f>
        <v>#VALUE!</v>
      </c>
      <c r="D175" s="13">
        <f>Place_data_here!B175</f>
        <v>0</v>
      </c>
    </row>
    <row r="176" spans="1:4" x14ac:dyDescent="0.25">
      <c r="A176" s="16">
        <f>Place_data_here!A176</f>
        <v>0</v>
      </c>
      <c r="B176" s="4" t="e">
        <f t="shared" si="2"/>
        <v>#VALUE!</v>
      </c>
      <c r="C176" s="1" t="e">
        <f>SplineInterp(A176,Own_Spectrum_100cm!$U$2:$U$34,Own_Spectrum_100cm!$V$2:$V$34)*D176</f>
        <v>#VALUE!</v>
      </c>
      <c r="D176" s="13">
        <f>Place_data_here!B176</f>
        <v>0</v>
      </c>
    </row>
    <row r="177" spans="1:4" x14ac:dyDescent="0.25">
      <c r="A177" s="16">
        <f>Place_data_here!A177</f>
        <v>0</v>
      </c>
      <c r="B177" s="4" t="e">
        <f t="shared" si="2"/>
        <v>#VALUE!</v>
      </c>
      <c r="C177" s="1" t="e">
        <f>SplineInterp(A177,Own_Spectrum_100cm!$U$2:$U$34,Own_Spectrum_100cm!$V$2:$V$34)*D177</f>
        <v>#VALUE!</v>
      </c>
      <c r="D177" s="13">
        <f>Place_data_here!B177</f>
        <v>0</v>
      </c>
    </row>
    <row r="178" spans="1:4" x14ac:dyDescent="0.25">
      <c r="A178" s="16">
        <f>Place_data_here!A178</f>
        <v>0</v>
      </c>
      <c r="B178" s="4" t="e">
        <f t="shared" si="2"/>
        <v>#VALUE!</v>
      </c>
      <c r="C178" s="1" t="e">
        <f>SplineInterp(A178,Own_Spectrum_100cm!$U$2:$U$34,Own_Spectrum_100cm!$V$2:$V$34)*D178</f>
        <v>#VALUE!</v>
      </c>
      <c r="D178" s="13">
        <f>Place_data_here!B178</f>
        <v>0</v>
      </c>
    </row>
    <row r="179" spans="1:4" x14ac:dyDescent="0.25">
      <c r="A179" s="16">
        <f>Place_data_here!A179</f>
        <v>0</v>
      </c>
      <c r="B179" s="4" t="e">
        <f t="shared" si="2"/>
        <v>#VALUE!</v>
      </c>
      <c r="C179" s="1" t="e">
        <f>SplineInterp(A179,Own_Spectrum_100cm!$U$2:$U$34,Own_Spectrum_100cm!$V$2:$V$34)*D179</f>
        <v>#VALUE!</v>
      </c>
      <c r="D179" s="13">
        <f>Place_data_here!B179</f>
        <v>0</v>
      </c>
    </row>
    <row r="180" spans="1:4" x14ac:dyDescent="0.25">
      <c r="A180" s="16">
        <f>Place_data_here!A180</f>
        <v>0</v>
      </c>
      <c r="B180" s="4" t="e">
        <f t="shared" si="2"/>
        <v>#VALUE!</v>
      </c>
      <c r="C180" s="1" t="e">
        <f>SplineInterp(A180,Own_Spectrum_100cm!$U$2:$U$34,Own_Spectrum_100cm!$V$2:$V$34)*D180</f>
        <v>#VALUE!</v>
      </c>
      <c r="D180" s="13">
        <f>Place_data_here!B180</f>
        <v>0</v>
      </c>
    </row>
    <row r="181" spans="1:4" x14ac:dyDescent="0.25">
      <c r="A181" s="16">
        <f>Place_data_here!A181</f>
        <v>0</v>
      </c>
      <c r="B181" s="4" t="e">
        <f t="shared" si="2"/>
        <v>#VALUE!</v>
      </c>
      <c r="C181" s="1" t="e">
        <f>SplineInterp(A181,Own_Spectrum_100cm!$U$2:$U$34,Own_Spectrum_100cm!$V$2:$V$34)*D181</f>
        <v>#VALUE!</v>
      </c>
      <c r="D181" s="13">
        <f>Place_data_here!B181</f>
        <v>0</v>
      </c>
    </row>
    <row r="182" spans="1:4" x14ac:dyDescent="0.25">
      <c r="A182" s="16">
        <f>Place_data_here!A182</f>
        <v>0</v>
      </c>
      <c r="B182" s="4" t="e">
        <f t="shared" si="2"/>
        <v>#VALUE!</v>
      </c>
      <c r="C182" s="1" t="e">
        <f>SplineInterp(A182,Own_Spectrum_100cm!$U$2:$U$34,Own_Spectrum_100cm!$V$2:$V$34)*D182</f>
        <v>#VALUE!</v>
      </c>
      <c r="D182" s="13">
        <f>Place_data_here!B182</f>
        <v>0</v>
      </c>
    </row>
    <row r="183" spans="1:4" x14ac:dyDescent="0.25">
      <c r="A183" s="16">
        <f>Place_data_here!A183</f>
        <v>0</v>
      </c>
      <c r="B183" s="4" t="e">
        <f t="shared" si="2"/>
        <v>#VALUE!</v>
      </c>
      <c r="C183" s="1" t="e">
        <f>SplineInterp(A183,Own_Spectrum_100cm!$U$2:$U$34,Own_Spectrum_100cm!$V$2:$V$34)*D183</f>
        <v>#VALUE!</v>
      </c>
      <c r="D183" s="13">
        <f>Place_data_here!B183</f>
        <v>0</v>
      </c>
    </row>
    <row r="184" spans="1:4" x14ac:dyDescent="0.25">
      <c r="A184" s="16">
        <f>Place_data_here!A184</f>
        <v>0</v>
      </c>
      <c r="B184" s="4" t="e">
        <f t="shared" si="2"/>
        <v>#VALUE!</v>
      </c>
      <c r="C184" s="1" t="e">
        <f>SplineInterp(A184,Own_Spectrum_100cm!$U$2:$U$34,Own_Spectrum_100cm!$V$2:$V$34)*D184</f>
        <v>#VALUE!</v>
      </c>
      <c r="D184" s="13">
        <f>Place_data_here!B184</f>
        <v>0</v>
      </c>
    </row>
    <row r="185" spans="1:4" x14ac:dyDescent="0.25">
      <c r="A185" s="16">
        <f>Place_data_here!A185</f>
        <v>0</v>
      </c>
      <c r="B185" s="4" t="e">
        <f t="shared" si="2"/>
        <v>#VALUE!</v>
      </c>
      <c r="C185" s="1" t="e">
        <f>SplineInterp(A185,Own_Spectrum_100cm!$U$2:$U$34,Own_Spectrum_100cm!$V$2:$V$34)*D185</f>
        <v>#VALUE!</v>
      </c>
      <c r="D185" s="13">
        <f>Place_data_here!B185</f>
        <v>0</v>
      </c>
    </row>
    <row r="186" spans="1:4" x14ac:dyDescent="0.25">
      <c r="A186" s="16">
        <f>Place_data_here!A186</f>
        <v>0</v>
      </c>
      <c r="B186" s="4" t="e">
        <f t="shared" si="2"/>
        <v>#VALUE!</v>
      </c>
      <c r="C186" s="1" t="e">
        <f>SplineInterp(A186,Own_Spectrum_100cm!$U$2:$U$34,Own_Spectrum_100cm!$V$2:$V$34)*D186</f>
        <v>#VALUE!</v>
      </c>
      <c r="D186" s="13">
        <f>Place_data_here!B186</f>
        <v>0</v>
      </c>
    </row>
    <row r="187" spans="1:4" x14ac:dyDescent="0.25">
      <c r="A187" s="16">
        <f>Place_data_here!A187</f>
        <v>0</v>
      </c>
      <c r="B187" s="4" t="e">
        <f t="shared" si="2"/>
        <v>#VALUE!</v>
      </c>
      <c r="C187" s="1" t="e">
        <f>SplineInterp(A187,Own_Spectrum_100cm!$U$2:$U$34,Own_Spectrum_100cm!$V$2:$V$34)*D187</f>
        <v>#VALUE!</v>
      </c>
      <c r="D187" s="13">
        <f>Place_data_here!B187</f>
        <v>0</v>
      </c>
    </row>
    <row r="188" spans="1:4" x14ac:dyDescent="0.25">
      <c r="A188" s="16">
        <f>Place_data_here!A188</f>
        <v>0</v>
      </c>
      <c r="B188" s="4" t="e">
        <f t="shared" si="2"/>
        <v>#VALUE!</v>
      </c>
      <c r="C188" s="1" t="e">
        <f>SplineInterp(A188,Own_Spectrum_100cm!$U$2:$U$34,Own_Spectrum_100cm!$V$2:$V$34)*D188</f>
        <v>#VALUE!</v>
      </c>
      <c r="D188" s="13">
        <f>Place_data_here!B188</f>
        <v>0</v>
      </c>
    </row>
    <row r="189" spans="1:4" x14ac:dyDescent="0.25">
      <c r="A189" s="16">
        <f>Place_data_here!A189</f>
        <v>0</v>
      </c>
      <c r="B189" s="4" t="e">
        <f t="shared" si="2"/>
        <v>#VALUE!</v>
      </c>
      <c r="C189" s="1" t="e">
        <f>SplineInterp(A189,Own_Spectrum_100cm!$U$2:$U$34,Own_Spectrum_100cm!$V$2:$V$34)*D189</f>
        <v>#VALUE!</v>
      </c>
      <c r="D189" s="13">
        <f>Place_data_here!B189</f>
        <v>0</v>
      </c>
    </row>
    <row r="190" spans="1:4" x14ac:dyDescent="0.25">
      <c r="A190" s="16">
        <f>Place_data_here!A190</f>
        <v>0</v>
      </c>
      <c r="B190" s="4" t="e">
        <f t="shared" si="2"/>
        <v>#VALUE!</v>
      </c>
      <c r="C190" s="1" t="e">
        <f>SplineInterp(A190,Own_Spectrum_100cm!$U$2:$U$34,Own_Spectrum_100cm!$V$2:$V$34)*D190</f>
        <v>#VALUE!</v>
      </c>
      <c r="D190" s="13">
        <f>Place_data_here!B190</f>
        <v>0</v>
      </c>
    </row>
    <row r="191" spans="1:4" x14ac:dyDescent="0.25">
      <c r="A191" s="16">
        <f>Place_data_here!A191</f>
        <v>0</v>
      </c>
      <c r="B191" s="4" t="e">
        <f t="shared" si="2"/>
        <v>#VALUE!</v>
      </c>
      <c r="C191" s="1" t="e">
        <f>SplineInterp(A191,Own_Spectrum_100cm!$U$2:$U$34,Own_Spectrum_100cm!$V$2:$V$34)*D191</f>
        <v>#VALUE!</v>
      </c>
      <c r="D191" s="13">
        <f>Place_data_here!B191</f>
        <v>0</v>
      </c>
    </row>
    <row r="192" spans="1:4" x14ac:dyDescent="0.25">
      <c r="A192" s="16">
        <f>Place_data_here!A192</f>
        <v>0</v>
      </c>
      <c r="B192" s="4" t="e">
        <f t="shared" si="2"/>
        <v>#VALUE!</v>
      </c>
      <c r="C192" s="1" t="e">
        <f>SplineInterp(A192,Own_Spectrum_100cm!$U$2:$U$34,Own_Spectrum_100cm!$V$2:$V$34)*D192</f>
        <v>#VALUE!</v>
      </c>
      <c r="D192" s="13">
        <f>Place_data_here!B192</f>
        <v>0</v>
      </c>
    </row>
    <row r="193" spans="1:4" x14ac:dyDescent="0.25">
      <c r="A193" s="16">
        <f>Place_data_here!A193</f>
        <v>0</v>
      </c>
      <c r="B193" s="4" t="e">
        <f t="shared" si="2"/>
        <v>#VALUE!</v>
      </c>
      <c r="C193" s="1" t="e">
        <f>SplineInterp(A193,Own_Spectrum_100cm!$U$2:$U$34,Own_Spectrum_100cm!$V$2:$V$34)*D193</f>
        <v>#VALUE!</v>
      </c>
      <c r="D193" s="13">
        <f>Place_data_here!B193</f>
        <v>0</v>
      </c>
    </row>
    <row r="194" spans="1:4" x14ac:dyDescent="0.25">
      <c r="A194" s="16">
        <f>Place_data_here!A194</f>
        <v>0</v>
      </c>
      <c r="B194" s="4" t="e">
        <f t="shared" si="2"/>
        <v>#VALUE!</v>
      </c>
      <c r="C194" s="1" t="e">
        <f>SplineInterp(A194,Own_Spectrum_100cm!$U$2:$U$34,Own_Spectrum_100cm!$V$2:$V$34)*D194</f>
        <v>#VALUE!</v>
      </c>
      <c r="D194" s="13">
        <f>Place_data_here!B194</f>
        <v>0</v>
      </c>
    </row>
    <row r="195" spans="1:4" x14ac:dyDescent="0.25">
      <c r="A195" s="16">
        <f>Place_data_here!A195</f>
        <v>0</v>
      </c>
      <c r="B195" s="4" t="e">
        <f t="shared" ref="B195:B258" si="3">C195/$C$1028</f>
        <v>#VALUE!</v>
      </c>
      <c r="C195" s="1" t="e">
        <f>SplineInterp(A195,Own_Spectrum_100cm!$U$2:$U$34,Own_Spectrum_100cm!$V$2:$V$34)*D195</f>
        <v>#VALUE!</v>
      </c>
      <c r="D195" s="13">
        <f>Place_data_here!B195</f>
        <v>0</v>
      </c>
    </row>
    <row r="196" spans="1:4" x14ac:dyDescent="0.25">
      <c r="A196" s="16">
        <f>Place_data_here!A196</f>
        <v>0</v>
      </c>
      <c r="B196" s="4" t="e">
        <f t="shared" si="3"/>
        <v>#VALUE!</v>
      </c>
      <c r="C196" s="1" t="e">
        <f>SplineInterp(A196,Own_Spectrum_100cm!$U$2:$U$34,Own_Spectrum_100cm!$V$2:$V$34)*D196</f>
        <v>#VALUE!</v>
      </c>
      <c r="D196" s="13">
        <f>Place_data_here!B196</f>
        <v>0</v>
      </c>
    </row>
    <row r="197" spans="1:4" x14ac:dyDescent="0.25">
      <c r="A197" s="16">
        <f>Place_data_here!A197</f>
        <v>0</v>
      </c>
      <c r="B197" s="4" t="e">
        <f t="shared" si="3"/>
        <v>#VALUE!</v>
      </c>
      <c r="C197" s="1" t="e">
        <f>SplineInterp(A197,Own_Spectrum_100cm!$U$2:$U$34,Own_Spectrum_100cm!$V$2:$V$34)*D197</f>
        <v>#VALUE!</v>
      </c>
      <c r="D197" s="13">
        <f>Place_data_here!B197</f>
        <v>0</v>
      </c>
    </row>
    <row r="198" spans="1:4" x14ac:dyDescent="0.25">
      <c r="A198" s="16">
        <f>Place_data_here!A198</f>
        <v>0</v>
      </c>
      <c r="B198" s="4" t="e">
        <f t="shared" si="3"/>
        <v>#VALUE!</v>
      </c>
      <c r="C198" s="1" t="e">
        <f>SplineInterp(A198,Own_Spectrum_100cm!$U$2:$U$34,Own_Spectrum_100cm!$V$2:$V$34)*D198</f>
        <v>#VALUE!</v>
      </c>
      <c r="D198" s="13">
        <f>Place_data_here!B198</f>
        <v>0</v>
      </c>
    </row>
    <row r="199" spans="1:4" x14ac:dyDescent="0.25">
      <c r="A199" s="16">
        <f>Place_data_here!A199</f>
        <v>0</v>
      </c>
      <c r="B199" s="4" t="e">
        <f t="shared" si="3"/>
        <v>#VALUE!</v>
      </c>
      <c r="C199" s="1" t="e">
        <f>SplineInterp(A199,Own_Spectrum_100cm!$U$2:$U$34,Own_Spectrum_100cm!$V$2:$V$34)*D199</f>
        <v>#VALUE!</v>
      </c>
      <c r="D199" s="13">
        <f>Place_data_here!B199</f>
        <v>0</v>
      </c>
    </row>
    <row r="200" spans="1:4" x14ac:dyDescent="0.25">
      <c r="A200" s="16">
        <f>Place_data_here!A200</f>
        <v>0</v>
      </c>
      <c r="B200" s="4" t="e">
        <f t="shared" si="3"/>
        <v>#VALUE!</v>
      </c>
      <c r="C200" s="1" t="e">
        <f>SplineInterp(A200,Own_Spectrum_100cm!$U$2:$U$34,Own_Spectrum_100cm!$V$2:$V$34)*D200</f>
        <v>#VALUE!</v>
      </c>
      <c r="D200" s="13">
        <f>Place_data_here!B200</f>
        <v>0</v>
      </c>
    </row>
    <row r="201" spans="1:4" x14ac:dyDescent="0.25">
      <c r="A201" s="16">
        <f>Place_data_here!A201</f>
        <v>0</v>
      </c>
      <c r="B201" s="4" t="e">
        <f t="shared" si="3"/>
        <v>#VALUE!</v>
      </c>
      <c r="C201" s="1" t="e">
        <f>SplineInterp(A201,Own_Spectrum_100cm!$U$2:$U$34,Own_Spectrum_100cm!$V$2:$V$34)*D201</f>
        <v>#VALUE!</v>
      </c>
      <c r="D201" s="13">
        <f>Place_data_here!B201</f>
        <v>0</v>
      </c>
    </row>
    <row r="202" spans="1:4" x14ac:dyDescent="0.25">
      <c r="A202" s="16">
        <f>Place_data_here!A202</f>
        <v>0</v>
      </c>
      <c r="B202" s="4" t="e">
        <f t="shared" si="3"/>
        <v>#VALUE!</v>
      </c>
      <c r="C202" s="1" t="e">
        <f>SplineInterp(A202,Own_Spectrum_100cm!$U$2:$U$34,Own_Spectrum_100cm!$V$2:$V$34)*D202</f>
        <v>#VALUE!</v>
      </c>
      <c r="D202" s="13">
        <f>Place_data_here!B202</f>
        <v>0</v>
      </c>
    </row>
    <row r="203" spans="1:4" x14ac:dyDescent="0.25">
      <c r="A203" s="16">
        <f>Place_data_here!A203</f>
        <v>0</v>
      </c>
      <c r="B203" s="4" t="e">
        <f t="shared" si="3"/>
        <v>#VALUE!</v>
      </c>
      <c r="C203" s="1" t="e">
        <f>SplineInterp(A203,Own_Spectrum_100cm!$U$2:$U$34,Own_Spectrum_100cm!$V$2:$V$34)*D203</f>
        <v>#VALUE!</v>
      </c>
      <c r="D203" s="13">
        <f>Place_data_here!B203</f>
        <v>0</v>
      </c>
    </row>
    <row r="204" spans="1:4" x14ac:dyDescent="0.25">
      <c r="A204" s="16">
        <f>Place_data_here!A204</f>
        <v>0</v>
      </c>
      <c r="B204" s="4" t="e">
        <f t="shared" si="3"/>
        <v>#VALUE!</v>
      </c>
      <c r="C204" s="1" t="e">
        <f>SplineInterp(A204,Own_Spectrum_100cm!$U$2:$U$34,Own_Spectrum_100cm!$V$2:$V$34)*D204</f>
        <v>#VALUE!</v>
      </c>
      <c r="D204" s="13">
        <f>Place_data_here!B204</f>
        <v>0</v>
      </c>
    </row>
    <row r="205" spans="1:4" x14ac:dyDescent="0.25">
      <c r="A205" s="16">
        <f>Place_data_here!A205</f>
        <v>0</v>
      </c>
      <c r="B205" s="4" t="e">
        <f t="shared" si="3"/>
        <v>#VALUE!</v>
      </c>
      <c r="C205" s="1" t="e">
        <f>SplineInterp(A205,Own_Spectrum_100cm!$U$2:$U$34,Own_Spectrum_100cm!$V$2:$V$34)*D205</f>
        <v>#VALUE!</v>
      </c>
      <c r="D205" s="13">
        <f>Place_data_here!B205</f>
        <v>0</v>
      </c>
    </row>
    <row r="206" spans="1:4" x14ac:dyDescent="0.25">
      <c r="A206" s="16">
        <f>Place_data_here!A206</f>
        <v>0</v>
      </c>
      <c r="B206" s="4" t="e">
        <f t="shared" si="3"/>
        <v>#VALUE!</v>
      </c>
      <c r="C206" s="1" t="e">
        <f>SplineInterp(A206,Own_Spectrum_100cm!$U$2:$U$34,Own_Spectrum_100cm!$V$2:$V$34)*D206</f>
        <v>#VALUE!</v>
      </c>
      <c r="D206" s="13">
        <f>Place_data_here!B206</f>
        <v>0</v>
      </c>
    </row>
    <row r="207" spans="1:4" x14ac:dyDescent="0.25">
      <c r="A207" s="16">
        <f>Place_data_here!A207</f>
        <v>0</v>
      </c>
      <c r="B207" s="4" t="e">
        <f t="shared" si="3"/>
        <v>#VALUE!</v>
      </c>
      <c r="C207" s="1" t="e">
        <f>SplineInterp(A207,Own_Spectrum_100cm!$U$2:$U$34,Own_Spectrum_100cm!$V$2:$V$34)*D207</f>
        <v>#VALUE!</v>
      </c>
      <c r="D207" s="13">
        <f>Place_data_here!B207</f>
        <v>0</v>
      </c>
    </row>
    <row r="208" spans="1:4" x14ac:dyDescent="0.25">
      <c r="A208" s="16">
        <f>Place_data_here!A208</f>
        <v>0</v>
      </c>
      <c r="B208" s="4" t="e">
        <f t="shared" si="3"/>
        <v>#VALUE!</v>
      </c>
      <c r="C208" s="1" t="e">
        <f>SplineInterp(A208,Own_Spectrum_100cm!$U$2:$U$34,Own_Spectrum_100cm!$V$2:$V$34)*D208</f>
        <v>#VALUE!</v>
      </c>
      <c r="D208" s="13">
        <f>Place_data_here!B208</f>
        <v>0</v>
      </c>
    </row>
    <row r="209" spans="1:4" x14ac:dyDescent="0.25">
      <c r="A209" s="16">
        <f>Place_data_here!A209</f>
        <v>0</v>
      </c>
      <c r="B209" s="4" t="e">
        <f t="shared" si="3"/>
        <v>#VALUE!</v>
      </c>
      <c r="C209" s="1" t="e">
        <f>SplineInterp(A209,Own_Spectrum_100cm!$U$2:$U$34,Own_Spectrum_100cm!$V$2:$V$34)*D209</f>
        <v>#VALUE!</v>
      </c>
      <c r="D209" s="13">
        <f>Place_data_here!B209</f>
        <v>0</v>
      </c>
    </row>
    <row r="210" spans="1:4" x14ac:dyDescent="0.25">
      <c r="A210" s="16">
        <f>Place_data_here!A210</f>
        <v>0</v>
      </c>
      <c r="B210" s="4" t="e">
        <f t="shared" si="3"/>
        <v>#VALUE!</v>
      </c>
      <c r="C210" s="1" t="e">
        <f>SplineInterp(A210,Own_Spectrum_100cm!$U$2:$U$34,Own_Spectrum_100cm!$V$2:$V$34)*D210</f>
        <v>#VALUE!</v>
      </c>
      <c r="D210" s="13">
        <f>Place_data_here!B210</f>
        <v>0</v>
      </c>
    </row>
    <row r="211" spans="1:4" x14ac:dyDescent="0.25">
      <c r="A211" s="16">
        <f>Place_data_here!A211</f>
        <v>0</v>
      </c>
      <c r="B211" s="4" t="e">
        <f t="shared" si="3"/>
        <v>#VALUE!</v>
      </c>
      <c r="C211" s="1" t="e">
        <f>SplineInterp(A211,Own_Spectrum_100cm!$U$2:$U$34,Own_Spectrum_100cm!$V$2:$V$34)*D211</f>
        <v>#VALUE!</v>
      </c>
      <c r="D211" s="13">
        <f>Place_data_here!B211</f>
        <v>0</v>
      </c>
    </row>
    <row r="212" spans="1:4" x14ac:dyDescent="0.25">
      <c r="A212" s="16">
        <f>Place_data_here!A212</f>
        <v>0</v>
      </c>
      <c r="B212" s="4" t="e">
        <f t="shared" si="3"/>
        <v>#VALUE!</v>
      </c>
      <c r="C212" s="1" t="e">
        <f>SplineInterp(A212,Own_Spectrum_100cm!$U$2:$U$34,Own_Spectrum_100cm!$V$2:$V$34)*D212</f>
        <v>#VALUE!</v>
      </c>
      <c r="D212" s="13">
        <f>Place_data_here!B212</f>
        <v>0</v>
      </c>
    </row>
    <row r="213" spans="1:4" x14ac:dyDescent="0.25">
      <c r="A213" s="16">
        <f>Place_data_here!A213</f>
        <v>0</v>
      </c>
      <c r="B213" s="4" t="e">
        <f t="shared" si="3"/>
        <v>#VALUE!</v>
      </c>
      <c r="C213" s="1" t="e">
        <f>SplineInterp(A213,Own_Spectrum_100cm!$U$2:$U$34,Own_Spectrum_100cm!$V$2:$V$34)*D213</f>
        <v>#VALUE!</v>
      </c>
      <c r="D213" s="13">
        <f>Place_data_here!B213</f>
        <v>0</v>
      </c>
    </row>
    <row r="214" spans="1:4" x14ac:dyDescent="0.25">
      <c r="A214" s="16">
        <f>Place_data_here!A214</f>
        <v>0</v>
      </c>
      <c r="B214" s="4" t="e">
        <f t="shared" si="3"/>
        <v>#VALUE!</v>
      </c>
      <c r="C214" s="1" t="e">
        <f>SplineInterp(A214,Own_Spectrum_100cm!$U$2:$U$34,Own_Spectrum_100cm!$V$2:$V$34)*D214</f>
        <v>#VALUE!</v>
      </c>
      <c r="D214" s="13">
        <f>Place_data_here!B214</f>
        <v>0</v>
      </c>
    </row>
    <row r="215" spans="1:4" x14ac:dyDescent="0.25">
      <c r="A215" s="16">
        <f>Place_data_here!A215</f>
        <v>0</v>
      </c>
      <c r="B215" s="4" t="e">
        <f t="shared" si="3"/>
        <v>#VALUE!</v>
      </c>
      <c r="C215" s="1" t="e">
        <f>SplineInterp(A215,Own_Spectrum_100cm!$U$2:$U$34,Own_Spectrum_100cm!$V$2:$V$34)*D215</f>
        <v>#VALUE!</v>
      </c>
      <c r="D215" s="13">
        <f>Place_data_here!B215</f>
        <v>0</v>
      </c>
    </row>
    <row r="216" spans="1:4" x14ac:dyDescent="0.25">
      <c r="A216" s="16">
        <f>Place_data_here!A216</f>
        <v>0</v>
      </c>
      <c r="B216" s="4" t="e">
        <f t="shared" si="3"/>
        <v>#VALUE!</v>
      </c>
      <c r="C216" s="1" t="e">
        <f>SplineInterp(A216,Own_Spectrum_100cm!$U$2:$U$34,Own_Spectrum_100cm!$V$2:$V$34)*D216</f>
        <v>#VALUE!</v>
      </c>
      <c r="D216" s="13">
        <f>Place_data_here!B216</f>
        <v>0</v>
      </c>
    </row>
    <row r="217" spans="1:4" x14ac:dyDescent="0.25">
      <c r="A217" s="16">
        <f>Place_data_here!A217</f>
        <v>0</v>
      </c>
      <c r="B217" s="4" t="e">
        <f t="shared" si="3"/>
        <v>#VALUE!</v>
      </c>
      <c r="C217" s="1" t="e">
        <f>SplineInterp(A217,Own_Spectrum_100cm!$U$2:$U$34,Own_Spectrum_100cm!$V$2:$V$34)*D217</f>
        <v>#VALUE!</v>
      </c>
      <c r="D217" s="13">
        <f>Place_data_here!B217</f>
        <v>0</v>
      </c>
    </row>
    <row r="218" spans="1:4" x14ac:dyDescent="0.25">
      <c r="A218" s="16">
        <f>Place_data_here!A218</f>
        <v>0</v>
      </c>
      <c r="B218" s="4" t="e">
        <f t="shared" si="3"/>
        <v>#VALUE!</v>
      </c>
      <c r="C218" s="1" t="e">
        <f>SplineInterp(A218,Own_Spectrum_100cm!$U$2:$U$34,Own_Spectrum_100cm!$V$2:$V$34)*D218</f>
        <v>#VALUE!</v>
      </c>
      <c r="D218" s="13">
        <f>Place_data_here!B218</f>
        <v>0</v>
      </c>
    </row>
    <row r="219" spans="1:4" x14ac:dyDescent="0.25">
      <c r="A219" s="16">
        <f>Place_data_here!A219</f>
        <v>0</v>
      </c>
      <c r="B219" s="4" t="e">
        <f t="shared" si="3"/>
        <v>#VALUE!</v>
      </c>
      <c r="C219" s="1" t="e">
        <f>SplineInterp(A219,Own_Spectrum_100cm!$U$2:$U$34,Own_Spectrum_100cm!$V$2:$V$34)*D219</f>
        <v>#VALUE!</v>
      </c>
      <c r="D219" s="13">
        <f>Place_data_here!B219</f>
        <v>0</v>
      </c>
    </row>
    <row r="220" spans="1:4" x14ac:dyDescent="0.25">
      <c r="A220" s="16">
        <f>Place_data_here!A220</f>
        <v>0</v>
      </c>
      <c r="B220" s="4" t="e">
        <f t="shared" si="3"/>
        <v>#VALUE!</v>
      </c>
      <c r="C220" s="1" t="e">
        <f>SplineInterp(A220,Own_Spectrum_100cm!$U$2:$U$34,Own_Spectrum_100cm!$V$2:$V$34)*D220</f>
        <v>#VALUE!</v>
      </c>
      <c r="D220" s="13">
        <f>Place_data_here!B220</f>
        <v>0</v>
      </c>
    </row>
    <row r="221" spans="1:4" x14ac:dyDescent="0.25">
      <c r="A221" s="16">
        <f>Place_data_here!A221</f>
        <v>0</v>
      </c>
      <c r="B221" s="4" t="e">
        <f t="shared" si="3"/>
        <v>#VALUE!</v>
      </c>
      <c r="C221" s="1" t="e">
        <f>SplineInterp(A221,Own_Spectrum_100cm!$U$2:$U$34,Own_Spectrum_100cm!$V$2:$V$34)*D221</f>
        <v>#VALUE!</v>
      </c>
      <c r="D221" s="13">
        <f>Place_data_here!B221</f>
        <v>0</v>
      </c>
    </row>
    <row r="222" spans="1:4" x14ac:dyDescent="0.25">
      <c r="A222" s="16">
        <f>Place_data_here!A222</f>
        <v>0</v>
      </c>
      <c r="B222" s="4" t="e">
        <f t="shared" si="3"/>
        <v>#VALUE!</v>
      </c>
      <c r="C222" s="1" t="e">
        <f>SplineInterp(A222,Own_Spectrum_100cm!$U$2:$U$34,Own_Spectrum_100cm!$V$2:$V$34)*D222</f>
        <v>#VALUE!</v>
      </c>
      <c r="D222" s="13">
        <f>Place_data_here!B222</f>
        <v>0</v>
      </c>
    </row>
    <row r="223" spans="1:4" x14ac:dyDescent="0.25">
      <c r="A223" s="16">
        <f>Place_data_here!A223</f>
        <v>0</v>
      </c>
      <c r="B223" s="4" t="e">
        <f t="shared" si="3"/>
        <v>#VALUE!</v>
      </c>
      <c r="C223" s="1" t="e">
        <f>SplineInterp(A223,Own_Spectrum_100cm!$U$2:$U$34,Own_Spectrum_100cm!$V$2:$V$34)*D223</f>
        <v>#VALUE!</v>
      </c>
      <c r="D223" s="13">
        <f>Place_data_here!B223</f>
        <v>0</v>
      </c>
    </row>
    <row r="224" spans="1:4" x14ac:dyDescent="0.25">
      <c r="A224" s="16">
        <f>Place_data_here!A224</f>
        <v>0</v>
      </c>
      <c r="B224" s="4" t="e">
        <f t="shared" si="3"/>
        <v>#VALUE!</v>
      </c>
      <c r="C224" s="1" t="e">
        <f>SplineInterp(A224,Own_Spectrum_100cm!$U$2:$U$34,Own_Spectrum_100cm!$V$2:$V$34)*D224</f>
        <v>#VALUE!</v>
      </c>
      <c r="D224" s="13">
        <f>Place_data_here!B224</f>
        <v>0</v>
      </c>
    </row>
    <row r="225" spans="1:4" x14ac:dyDescent="0.25">
      <c r="A225" s="16">
        <f>Place_data_here!A225</f>
        <v>0</v>
      </c>
      <c r="B225" s="4" t="e">
        <f t="shared" si="3"/>
        <v>#VALUE!</v>
      </c>
      <c r="C225" s="1" t="e">
        <f>SplineInterp(A225,Own_Spectrum_100cm!$U$2:$U$34,Own_Spectrum_100cm!$V$2:$V$34)*D225</f>
        <v>#VALUE!</v>
      </c>
      <c r="D225" s="13">
        <f>Place_data_here!B225</f>
        <v>0</v>
      </c>
    </row>
    <row r="226" spans="1:4" x14ac:dyDescent="0.25">
      <c r="A226" s="16">
        <f>Place_data_here!A226</f>
        <v>0</v>
      </c>
      <c r="B226" s="4" t="e">
        <f t="shared" si="3"/>
        <v>#VALUE!</v>
      </c>
      <c r="C226" s="1" t="e">
        <f>SplineInterp(A226,Own_Spectrum_100cm!$U$2:$U$34,Own_Spectrum_100cm!$V$2:$V$34)*D226</f>
        <v>#VALUE!</v>
      </c>
      <c r="D226" s="13">
        <f>Place_data_here!B226</f>
        <v>0</v>
      </c>
    </row>
    <row r="227" spans="1:4" x14ac:dyDescent="0.25">
      <c r="A227" s="16">
        <f>Place_data_here!A227</f>
        <v>0</v>
      </c>
      <c r="B227" s="4" t="e">
        <f t="shared" si="3"/>
        <v>#VALUE!</v>
      </c>
      <c r="C227" s="1" t="e">
        <f>SplineInterp(A227,Own_Spectrum_100cm!$U$2:$U$34,Own_Spectrum_100cm!$V$2:$V$34)*D227</f>
        <v>#VALUE!</v>
      </c>
      <c r="D227" s="13">
        <f>Place_data_here!B227</f>
        <v>0</v>
      </c>
    </row>
    <row r="228" spans="1:4" x14ac:dyDescent="0.25">
      <c r="A228" s="16">
        <f>Place_data_here!A228</f>
        <v>0</v>
      </c>
      <c r="B228" s="4" t="e">
        <f t="shared" si="3"/>
        <v>#VALUE!</v>
      </c>
      <c r="C228" s="1" t="e">
        <f>SplineInterp(A228,Own_Spectrum_100cm!$U$2:$U$34,Own_Spectrum_100cm!$V$2:$V$34)*D228</f>
        <v>#VALUE!</v>
      </c>
      <c r="D228" s="13">
        <f>Place_data_here!B228</f>
        <v>0</v>
      </c>
    </row>
    <row r="229" spans="1:4" x14ac:dyDescent="0.25">
      <c r="A229" s="16">
        <f>Place_data_here!A229</f>
        <v>0</v>
      </c>
      <c r="B229" s="4" t="e">
        <f t="shared" si="3"/>
        <v>#VALUE!</v>
      </c>
      <c r="C229" s="1" t="e">
        <f>SplineInterp(A229,Own_Spectrum_100cm!$U$2:$U$34,Own_Spectrum_100cm!$V$2:$V$34)*D229</f>
        <v>#VALUE!</v>
      </c>
      <c r="D229" s="13">
        <f>Place_data_here!B229</f>
        <v>0</v>
      </c>
    </row>
    <row r="230" spans="1:4" x14ac:dyDescent="0.25">
      <c r="A230" s="16">
        <f>Place_data_here!A230</f>
        <v>0</v>
      </c>
      <c r="B230" s="4" t="e">
        <f t="shared" si="3"/>
        <v>#VALUE!</v>
      </c>
      <c r="C230" s="1" t="e">
        <f>SplineInterp(A230,Own_Spectrum_100cm!$U$2:$U$34,Own_Spectrum_100cm!$V$2:$V$34)*D230</f>
        <v>#VALUE!</v>
      </c>
      <c r="D230" s="13">
        <f>Place_data_here!B230</f>
        <v>0</v>
      </c>
    </row>
    <row r="231" spans="1:4" x14ac:dyDescent="0.25">
      <c r="A231" s="16">
        <f>Place_data_here!A231</f>
        <v>0</v>
      </c>
      <c r="B231" s="4" t="e">
        <f t="shared" si="3"/>
        <v>#VALUE!</v>
      </c>
      <c r="C231" s="1" t="e">
        <f>SplineInterp(A231,Own_Spectrum_100cm!$U$2:$U$34,Own_Spectrum_100cm!$V$2:$V$34)*D231</f>
        <v>#VALUE!</v>
      </c>
      <c r="D231" s="13">
        <f>Place_data_here!B231</f>
        <v>0</v>
      </c>
    </row>
    <row r="232" spans="1:4" x14ac:dyDescent="0.25">
      <c r="A232" s="16">
        <f>Place_data_here!A232</f>
        <v>0</v>
      </c>
      <c r="B232" s="4" t="e">
        <f t="shared" si="3"/>
        <v>#VALUE!</v>
      </c>
      <c r="C232" s="1" t="e">
        <f>SplineInterp(A232,Own_Spectrum_100cm!$U$2:$U$34,Own_Spectrum_100cm!$V$2:$V$34)*D232</f>
        <v>#VALUE!</v>
      </c>
      <c r="D232" s="13">
        <f>Place_data_here!B232</f>
        <v>0</v>
      </c>
    </row>
    <row r="233" spans="1:4" x14ac:dyDescent="0.25">
      <c r="A233" s="16">
        <f>Place_data_here!A233</f>
        <v>0</v>
      </c>
      <c r="B233" s="4" t="e">
        <f t="shared" si="3"/>
        <v>#VALUE!</v>
      </c>
      <c r="C233" s="1" t="e">
        <f>SplineInterp(A233,Own_Spectrum_100cm!$U$2:$U$34,Own_Spectrum_100cm!$V$2:$V$34)*D233</f>
        <v>#VALUE!</v>
      </c>
      <c r="D233" s="13">
        <f>Place_data_here!B233</f>
        <v>0</v>
      </c>
    </row>
    <row r="234" spans="1:4" x14ac:dyDescent="0.25">
      <c r="A234" s="16">
        <f>Place_data_here!A234</f>
        <v>0</v>
      </c>
      <c r="B234" s="4" t="e">
        <f t="shared" si="3"/>
        <v>#VALUE!</v>
      </c>
      <c r="C234" s="1" t="e">
        <f>SplineInterp(A234,Own_Spectrum_100cm!$U$2:$U$34,Own_Spectrum_100cm!$V$2:$V$34)*D234</f>
        <v>#VALUE!</v>
      </c>
      <c r="D234" s="13">
        <f>Place_data_here!B234</f>
        <v>0</v>
      </c>
    </row>
    <row r="235" spans="1:4" x14ac:dyDescent="0.25">
      <c r="A235" s="16">
        <f>Place_data_here!A235</f>
        <v>0</v>
      </c>
      <c r="B235" s="4" t="e">
        <f t="shared" si="3"/>
        <v>#VALUE!</v>
      </c>
      <c r="C235" s="1" t="e">
        <f>SplineInterp(A235,Own_Spectrum_100cm!$U$2:$U$34,Own_Spectrum_100cm!$V$2:$V$34)*D235</f>
        <v>#VALUE!</v>
      </c>
      <c r="D235" s="13">
        <f>Place_data_here!B235</f>
        <v>0</v>
      </c>
    </row>
    <row r="236" spans="1:4" x14ac:dyDescent="0.25">
      <c r="A236" s="16">
        <f>Place_data_here!A236</f>
        <v>0</v>
      </c>
      <c r="B236" s="4" t="e">
        <f t="shared" si="3"/>
        <v>#VALUE!</v>
      </c>
      <c r="C236" s="1" t="e">
        <f>SplineInterp(A236,Own_Spectrum_100cm!$U$2:$U$34,Own_Spectrum_100cm!$V$2:$V$34)*D236</f>
        <v>#VALUE!</v>
      </c>
      <c r="D236" s="13">
        <f>Place_data_here!B236</f>
        <v>0</v>
      </c>
    </row>
    <row r="237" spans="1:4" x14ac:dyDescent="0.25">
      <c r="A237" s="16">
        <f>Place_data_here!A237</f>
        <v>0</v>
      </c>
      <c r="B237" s="4" t="e">
        <f t="shared" si="3"/>
        <v>#VALUE!</v>
      </c>
      <c r="C237" s="1" t="e">
        <f>SplineInterp(A237,Own_Spectrum_100cm!$U$2:$U$34,Own_Spectrum_100cm!$V$2:$V$34)*D237</f>
        <v>#VALUE!</v>
      </c>
      <c r="D237" s="13">
        <f>Place_data_here!B237</f>
        <v>0</v>
      </c>
    </row>
    <row r="238" spans="1:4" x14ac:dyDescent="0.25">
      <c r="A238" s="16">
        <f>Place_data_here!A238</f>
        <v>0</v>
      </c>
      <c r="B238" s="4" t="e">
        <f t="shared" si="3"/>
        <v>#VALUE!</v>
      </c>
      <c r="C238" s="1" t="e">
        <f>SplineInterp(A238,Own_Spectrum_100cm!$U$2:$U$34,Own_Spectrum_100cm!$V$2:$V$34)*D238</f>
        <v>#VALUE!</v>
      </c>
      <c r="D238" s="13">
        <f>Place_data_here!B238</f>
        <v>0</v>
      </c>
    </row>
    <row r="239" spans="1:4" x14ac:dyDescent="0.25">
      <c r="A239" s="16">
        <f>Place_data_here!A239</f>
        <v>0</v>
      </c>
      <c r="B239" s="4" t="e">
        <f t="shared" si="3"/>
        <v>#VALUE!</v>
      </c>
      <c r="C239" s="1" t="e">
        <f>SplineInterp(A239,Own_Spectrum_100cm!$U$2:$U$34,Own_Spectrum_100cm!$V$2:$V$34)*D239</f>
        <v>#VALUE!</v>
      </c>
      <c r="D239" s="13">
        <f>Place_data_here!B239</f>
        <v>0</v>
      </c>
    </row>
    <row r="240" spans="1:4" x14ac:dyDescent="0.25">
      <c r="A240" s="16">
        <f>Place_data_here!A240</f>
        <v>0</v>
      </c>
      <c r="B240" s="4" t="e">
        <f t="shared" si="3"/>
        <v>#VALUE!</v>
      </c>
      <c r="C240" s="1" t="e">
        <f>SplineInterp(A240,Own_Spectrum_100cm!$U$2:$U$34,Own_Spectrum_100cm!$V$2:$V$34)*D240</f>
        <v>#VALUE!</v>
      </c>
      <c r="D240" s="13">
        <f>Place_data_here!B240</f>
        <v>0</v>
      </c>
    </row>
    <row r="241" spans="1:4" x14ac:dyDescent="0.25">
      <c r="A241" s="16">
        <f>Place_data_here!A241</f>
        <v>0</v>
      </c>
      <c r="B241" s="4" t="e">
        <f t="shared" si="3"/>
        <v>#VALUE!</v>
      </c>
      <c r="C241" s="1" t="e">
        <f>SplineInterp(A241,Own_Spectrum_100cm!$U$2:$U$34,Own_Spectrum_100cm!$V$2:$V$34)*D241</f>
        <v>#VALUE!</v>
      </c>
      <c r="D241" s="13">
        <f>Place_data_here!B241</f>
        <v>0</v>
      </c>
    </row>
    <row r="242" spans="1:4" x14ac:dyDescent="0.25">
      <c r="A242" s="16">
        <f>Place_data_here!A242</f>
        <v>0</v>
      </c>
      <c r="B242" s="4" t="e">
        <f t="shared" si="3"/>
        <v>#VALUE!</v>
      </c>
      <c r="C242" s="1" t="e">
        <f>SplineInterp(A242,Own_Spectrum_100cm!$U$2:$U$34,Own_Spectrum_100cm!$V$2:$V$34)*D242</f>
        <v>#VALUE!</v>
      </c>
      <c r="D242" s="13">
        <f>Place_data_here!B242</f>
        <v>0</v>
      </c>
    </row>
    <row r="243" spans="1:4" x14ac:dyDescent="0.25">
      <c r="A243" s="16">
        <f>Place_data_here!A243</f>
        <v>0</v>
      </c>
      <c r="B243" s="4" t="e">
        <f t="shared" si="3"/>
        <v>#VALUE!</v>
      </c>
      <c r="C243" s="1" t="e">
        <f>SplineInterp(A243,Own_Spectrum_100cm!$U$2:$U$34,Own_Spectrum_100cm!$V$2:$V$34)*D243</f>
        <v>#VALUE!</v>
      </c>
      <c r="D243" s="13">
        <f>Place_data_here!B243</f>
        <v>0</v>
      </c>
    </row>
    <row r="244" spans="1:4" x14ac:dyDescent="0.25">
      <c r="A244" s="16">
        <f>Place_data_here!A244</f>
        <v>0</v>
      </c>
      <c r="B244" s="4" t="e">
        <f t="shared" si="3"/>
        <v>#VALUE!</v>
      </c>
      <c r="C244" s="1" t="e">
        <f>SplineInterp(A244,Own_Spectrum_100cm!$U$2:$U$34,Own_Spectrum_100cm!$V$2:$V$34)*D244</f>
        <v>#VALUE!</v>
      </c>
      <c r="D244" s="13">
        <f>Place_data_here!B244</f>
        <v>0</v>
      </c>
    </row>
    <row r="245" spans="1:4" x14ac:dyDescent="0.25">
      <c r="A245" s="16">
        <f>Place_data_here!A245</f>
        <v>0</v>
      </c>
      <c r="B245" s="4" t="e">
        <f t="shared" si="3"/>
        <v>#VALUE!</v>
      </c>
      <c r="C245" s="1" t="e">
        <f>SplineInterp(A245,Own_Spectrum_100cm!$U$2:$U$34,Own_Spectrum_100cm!$V$2:$V$34)*D245</f>
        <v>#VALUE!</v>
      </c>
      <c r="D245" s="13">
        <f>Place_data_here!B245</f>
        <v>0</v>
      </c>
    </row>
    <row r="246" spans="1:4" x14ac:dyDescent="0.25">
      <c r="A246" s="16">
        <f>Place_data_here!A246</f>
        <v>0</v>
      </c>
      <c r="B246" s="4" t="e">
        <f t="shared" si="3"/>
        <v>#VALUE!</v>
      </c>
      <c r="C246" s="1" t="e">
        <f>SplineInterp(A246,Own_Spectrum_100cm!$U$2:$U$34,Own_Spectrum_100cm!$V$2:$V$34)*D246</f>
        <v>#VALUE!</v>
      </c>
      <c r="D246" s="13">
        <f>Place_data_here!B246</f>
        <v>0</v>
      </c>
    </row>
    <row r="247" spans="1:4" x14ac:dyDescent="0.25">
      <c r="A247" s="16">
        <f>Place_data_here!A247</f>
        <v>0</v>
      </c>
      <c r="B247" s="4" t="e">
        <f t="shared" si="3"/>
        <v>#VALUE!</v>
      </c>
      <c r="C247" s="1" t="e">
        <f>SplineInterp(A247,Own_Spectrum_100cm!$U$2:$U$34,Own_Spectrum_100cm!$V$2:$V$34)*D247</f>
        <v>#VALUE!</v>
      </c>
      <c r="D247" s="13">
        <f>Place_data_here!B247</f>
        <v>0</v>
      </c>
    </row>
    <row r="248" spans="1:4" x14ac:dyDescent="0.25">
      <c r="A248" s="16">
        <f>Place_data_here!A248</f>
        <v>0</v>
      </c>
      <c r="B248" s="4" t="e">
        <f t="shared" si="3"/>
        <v>#VALUE!</v>
      </c>
      <c r="C248" s="1" t="e">
        <f>SplineInterp(A248,Own_Spectrum_100cm!$U$2:$U$34,Own_Spectrum_100cm!$V$2:$V$34)*D248</f>
        <v>#VALUE!</v>
      </c>
      <c r="D248" s="13">
        <f>Place_data_here!B248</f>
        <v>0</v>
      </c>
    </row>
    <row r="249" spans="1:4" x14ac:dyDescent="0.25">
      <c r="A249" s="16">
        <f>Place_data_here!A249</f>
        <v>0</v>
      </c>
      <c r="B249" s="4" t="e">
        <f t="shared" si="3"/>
        <v>#VALUE!</v>
      </c>
      <c r="C249" s="1" t="e">
        <f>SplineInterp(A249,Own_Spectrum_100cm!$U$2:$U$34,Own_Spectrum_100cm!$V$2:$V$34)*D249</f>
        <v>#VALUE!</v>
      </c>
      <c r="D249" s="13">
        <f>Place_data_here!B249</f>
        <v>0</v>
      </c>
    </row>
    <row r="250" spans="1:4" x14ac:dyDescent="0.25">
      <c r="A250" s="16">
        <f>Place_data_here!A250</f>
        <v>0</v>
      </c>
      <c r="B250" s="4" t="e">
        <f t="shared" si="3"/>
        <v>#VALUE!</v>
      </c>
      <c r="C250" s="1" t="e">
        <f>SplineInterp(A250,Own_Spectrum_100cm!$U$2:$U$34,Own_Spectrum_100cm!$V$2:$V$34)*D250</f>
        <v>#VALUE!</v>
      </c>
      <c r="D250" s="13">
        <f>Place_data_here!B250</f>
        <v>0</v>
      </c>
    </row>
    <row r="251" spans="1:4" x14ac:dyDescent="0.25">
      <c r="A251" s="16">
        <f>Place_data_here!A251</f>
        <v>0</v>
      </c>
      <c r="B251" s="4" t="e">
        <f t="shared" si="3"/>
        <v>#VALUE!</v>
      </c>
      <c r="C251" s="1" t="e">
        <f>SplineInterp(A251,Own_Spectrum_100cm!$U$2:$U$34,Own_Spectrum_100cm!$V$2:$V$34)*D251</f>
        <v>#VALUE!</v>
      </c>
      <c r="D251" s="13">
        <f>Place_data_here!B251</f>
        <v>0</v>
      </c>
    </row>
    <row r="252" spans="1:4" x14ac:dyDescent="0.25">
      <c r="A252" s="16">
        <f>Place_data_here!A252</f>
        <v>0</v>
      </c>
      <c r="B252" s="4" t="e">
        <f t="shared" si="3"/>
        <v>#VALUE!</v>
      </c>
      <c r="C252" s="1" t="e">
        <f>SplineInterp(A252,Own_Spectrum_100cm!$U$2:$U$34,Own_Spectrum_100cm!$V$2:$V$34)*D252</f>
        <v>#VALUE!</v>
      </c>
      <c r="D252" s="13">
        <f>Place_data_here!B252</f>
        <v>0</v>
      </c>
    </row>
    <row r="253" spans="1:4" x14ac:dyDescent="0.25">
      <c r="A253" s="16">
        <f>Place_data_here!A253</f>
        <v>0</v>
      </c>
      <c r="B253" s="4" t="e">
        <f t="shared" si="3"/>
        <v>#VALUE!</v>
      </c>
      <c r="C253" s="1" t="e">
        <f>SplineInterp(A253,Own_Spectrum_100cm!$U$2:$U$34,Own_Spectrum_100cm!$V$2:$V$34)*D253</f>
        <v>#VALUE!</v>
      </c>
      <c r="D253" s="13">
        <f>Place_data_here!B253</f>
        <v>0</v>
      </c>
    </row>
    <row r="254" spans="1:4" x14ac:dyDescent="0.25">
      <c r="A254" s="16">
        <f>Place_data_here!A254</f>
        <v>0</v>
      </c>
      <c r="B254" s="4" t="e">
        <f t="shared" si="3"/>
        <v>#VALUE!</v>
      </c>
      <c r="C254" s="1" t="e">
        <f>SplineInterp(A254,Own_Spectrum_100cm!$U$2:$U$34,Own_Spectrum_100cm!$V$2:$V$34)*D254</f>
        <v>#VALUE!</v>
      </c>
      <c r="D254" s="13">
        <f>Place_data_here!B254</f>
        <v>0</v>
      </c>
    </row>
    <row r="255" spans="1:4" x14ac:dyDescent="0.25">
      <c r="A255" s="16">
        <f>Place_data_here!A255</f>
        <v>0</v>
      </c>
      <c r="B255" s="4" t="e">
        <f t="shared" si="3"/>
        <v>#VALUE!</v>
      </c>
      <c r="C255" s="1" t="e">
        <f>SplineInterp(A255,Own_Spectrum_100cm!$U$2:$U$34,Own_Spectrum_100cm!$V$2:$V$34)*D255</f>
        <v>#VALUE!</v>
      </c>
      <c r="D255" s="13">
        <f>Place_data_here!B255</f>
        <v>0</v>
      </c>
    </row>
    <row r="256" spans="1:4" x14ac:dyDescent="0.25">
      <c r="A256" s="16">
        <f>Place_data_here!A256</f>
        <v>0</v>
      </c>
      <c r="B256" s="4" t="e">
        <f t="shared" si="3"/>
        <v>#VALUE!</v>
      </c>
      <c r="C256" s="1" t="e">
        <f>SplineInterp(A256,Own_Spectrum_100cm!$U$2:$U$34,Own_Spectrum_100cm!$V$2:$V$34)*D256</f>
        <v>#VALUE!</v>
      </c>
      <c r="D256" s="13">
        <f>Place_data_here!B256</f>
        <v>0</v>
      </c>
    </row>
    <row r="257" spans="1:4" x14ac:dyDescent="0.25">
      <c r="A257" s="16">
        <f>Place_data_here!A257</f>
        <v>0</v>
      </c>
      <c r="B257" s="4" t="e">
        <f t="shared" si="3"/>
        <v>#VALUE!</v>
      </c>
      <c r="C257" s="1" t="e">
        <f>SplineInterp(A257,Own_Spectrum_100cm!$U$2:$U$34,Own_Spectrum_100cm!$V$2:$V$34)*D257</f>
        <v>#VALUE!</v>
      </c>
      <c r="D257" s="13">
        <f>Place_data_here!B257</f>
        <v>0</v>
      </c>
    </row>
    <row r="258" spans="1:4" x14ac:dyDescent="0.25">
      <c r="A258" s="16">
        <f>Place_data_here!A258</f>
        <v>0</v>
      </c>
      <c r="B258" s="4" t="e">
        <f t="shared" si="3"/>
        <v>#VALUE!</v>
      </c>
      <c r="C258" s="1" t="e">
        <f>SplineInterp(A258,Own_Spectrum_100cm!$U$2:$U$34,Own_Spectrum_100cm!$V$2:$V$34)*D258</f>
        <v>#VALUE!</v>
      </c>
      <c r="D258" s="13">
        <f>Place_data_here!B258</f>
        <v>0</v>
      </c>
    </row>
    <row r="259" spans="1:4" x14ac:dyDescent="0.25">
      <c r="A259" s="16">
        <f>Place_data_here!A259</f>
        <v>0</v>
      </c>
      <c r="B259" s="4" t="e">
        <f t="shared" ref="B259:B322" si="4">C259/$C$1028</f>
        <v>#VALUE!</v>
      </c>
      <c r="C259" s="1" t="e">
        <f>SplineInterp(A259,Own_Spectrum_100cm!$U$2:$U$34,Own_Spectrum_100cm!$V$2:$V$34)*D259</f>
        <v>#VALUE!</v>
      </c>
      <c r="D259" s="13">
        <f>Place_data_here!B259</f>
        <v>0</v>
      </c>
    </row>
    <row r="260" spans="1:4" x14ac:dyDescent="0.25">
      <c r="A260" s="16">
        <f>Place_data_here!A260</f>
        <v>0</v>
      </c>
      <c r="B260" s="4" t="e">
        <f t="shared" si="4"/>
        <v>#VALUE!</v>
      </c>
      <c r="C260" s="1" t="e">
        <f>SplineInterp(A260,Own_Spectrum_100cm!$U$2:$U$34,Own_Spectrum_100cm!$V$2:$V$34)*D260</f>
        <v>#VALUE!</v>
      </c>
      <c r="D260" s="13">
        <f>Place_data_here!B260</f>
        <v>0</v>
      </c>
    </row>
    <row r="261" spans="1:4" x14ac:dyDescent="0.25">
      <c r="A261" s="16">
        <f>Place_data_here!A261</f>
        <v>0</v>
      </c>
      <c r="B261" s="4" t="e">
        <f t="shared" si="4"/>
        <v>#VALUE!</v>
      </c>
      <c r="C261" s="1" t="e">
        <f>SplineInterp(A261,Own_Spectrum_100cm!$U$2:$U$34,Own_Spectrum_100cm!$V$2:$V$34)*D261</f>
        <v>#VALUE!</v>
      </c>
      <c r="D261" s="13">
        <f>Place_data_here!B261</f>
        <v>0</v>
      </c>
    </row>
    <row r="262" spans="1:4" x14ac:dyDescent="0.25">
      <c r="A262" s="16">
        <f>Place_data_here!A262</f>
        <v>0</v>
      </c>
      <c r="B262" s="4" t="e">
        <f t="shared" si="4"/>
        <v>#VALUE!</v>
      </c>
      <c r="C262" s="1" t="e">
        <f>SplineInterp(A262,Own_Spectrum_100cm!$U$2:$U$34,Own_Spectrum_100cm!$V$2:$V$34)*D262</f>
        <v>#VALUE!</v>
      </c>
      <c r="D262" s="13">
        <f>Place_data_here!B262</f>
        <v>0</v>
      </c>
    </row>
    <row r="263" spans="1:4" x14ac:dyDescent="0.25">
      <c r="A263" s="16">
        <f>Place_data_here!A263</f>
        <v>0</v>
      </c>
      <c r="B263" s="4" t="e">
        <f t="shared" si="4"/>
        <v>#VALUE!</v>
      </c>
      <c r="C263" s="1" t="e">
        <f>SplineInterp(A263,Own_Spectrum_100cm!$U$2:$U$34,Own_Spectrum_100cm!$V$2:$V$34)*D263</f>
        <v>#VALUE!</v>
      </c>
      <c r="D263" s="13">
        <f>Place_data_here!B263</f>
        <v>0</v>
      </c>
    </row>
    <row r="264" spans="1:4" x14ac:dyDescent="0.25">
      <c r="A264" s="16">
        <f>Place_data_here!A264</f>
        <v>0</v>
      </c>
      <c r="B264" s="4" t="e">
        <f t="shared" si="4"/>
        <v>#VALUE!</v>
      </c>
      <c r="C264" s="1" t="e">
        <f>SplineInterp(A264,Own_Spectrum_100cm!$U$2:$U$34,Own_Spectrum_100cm!$V$2:$V$34)*D264</f>
        <v>#VALUE!</v>
      </c>
      <c r="D264" s="13">
        <f>Place_data_here!B264</f>
        <v>0</v>
      </c>
    </row>
    <row r="265" spans="1:4" x14ac:dyDescent="0.25">
      <c r="A265" s="16">
        <f>Place_data_here!A265</f>
        <v>0</v>
      </c>
      <c r="B265" s="4" t="e">
        <f t="shared" si="4"/>
        <v>#VALUE!</v>
      </c>
      <c r="C265" s="1" t="e">
        <f>SplineInterp(A265,Own_Spectrum_100cm!$U$2:$U$34,Own_Spectrum_100cm!$V$2:$V$34)*D265</f>
        <v>#VALUE!</v>
      </c>
      <c r="D265" s="13">
        <f>Place_data_here!B265</f>
        <v>0</v>
      </c>
    </row>
    <row r="266" spans="1:4" x14ac:dyDescent="0.25">
      <c r="A266" s="16">
        <f>Place_data_here!A266</f>
        <v>0</v>
      </c>
      <c r="B266" s="4" t="e">
        <f t="shared" si="4"/>
        <v>#VALUE!</v>
      </c>
      <c r="C266" s="1" t="e">
        <f>SplineInterp(A266,Own_Spectrum_100cm!$U$2:$U$34,Own_Spectrum_100cm!$V$2:$V$34)*D266</f>
        <v>#VALUE!</v>
      </c>
      <c r="D266" s="13">
        <f>Place_data_here!B266</f>
        <v>0</v>
      </c>
    </row>
    <row r="267" spans="1:4" x14ac:dyDescent="0.25">
      <c r="A267" s="16">
        <f>Place_data_here!A267</f>
        <v>0</v>
      </c>
      <c r="B267" s="4" t="e">
        <f t="shared" si="4"/>
        <v>#VALUE!</v>
      </c>
      <c r="C267" s="1" t="e">
        <f>SplineInterp(A267,Own_Spectrum_100cm!$U$2:$U$34,Own_Spectrum_100cm!$V$2:$V$34)*D267</f>
        <v>#VALUE!</v>
      </c>
      <c r="D267" s="13">
        <f>Place_data_here!B267</f>
        <v>0</v>
      </c>
    </row>
    <row r="268" spans="1:4" x14ac:dyDescent="0.25">
      <c r="A268" s="16">
        <f>Place_data_here!A268</f>
        <v>0</v>
      </c>
      <c r="B268" s="4" t="e">
        <f t="shared" si="4"/>
        <v>#VALUE!</v>
      </c>
      <c r="C268" s="1" t="e">
        <f>SplineInterp(A268,Own_Spectrum_100cm!$U$2:$U$34,Own_Spectrum_100cm!$V$2:$V$34)*D268</f>
        <v>#VALUE!</v>
      </c>
      <c r="D268" s="13">
        <f>Place_data_here!B268</f>
        <v>0</v>
      </c>
    </row>
    <row r="269" spans="1:4" x14ac:dyDescent="0.25">
      <c r="A269" s="16">
        <f>Place_data_here!A269</f>
        <v>0</v>
      </c>
      <c r="B269" s="4" t="e">
        <f t="shared" si="4"/>
        <v>#VALUE!</v>
      </c>
      <c r="C269" s="1" t="e">
        <f>SplineInterp(A269,Own_Spectrum_100cm!$U$2:$U$34,Own_Spectrum_100cm!$V$2:$V$34)*D269</f>
        <v>#VALUE!</v>
      </c>
      <c r="D269" s="13">
        <f>Place_data_here!B269</f>
        <v>0</v>
      </c>
    </row>
    <row r="270" spans="1:4" x14ac:dyDescent="0.25">
      <c r="A270" s="16">
        <f>Place_data_here!A270</f>
        <v>0</v>
      </c>
      <c r="B270" s="4" t="e">
        <f t="shared" si="4"/>
        <v>#VALUE!</v>
      </c>
      <c r="C270" s="1" t="e">
        <f>SplineInterp(A270,Own_Spectrum_100cm!$U$2:$U$34,Own_Spectrum_100cm!$V$2:$V$34)*D270</f>
        <v>#VALUE!</v>
      </c>
      <c r="D270" s="13">
        <f>Place_data_here!B270</f>
        <v>0</v>
      </c>
    </row>
    <row r="271" spans="1:4" x14ac:dyDescent="0.25">
      <c r="A271" s="16">
        <f>Place_data_here!A271</f>
        <v>0</v>
      </c>
      <c r="B271" s="4" t="e">
        <f t="shared" si="4"/>
        <v>#VALUE!</v>
      </c>
      <c r="C271" s="1" t="e">
        <f>SplineInterp(A271,Own_Spectrum_100cm!$U$2:$U$34,Own_Spectrum_100cm!$V$2:$V$34)*D271</f>
        <v>#VALUE!</v>
      </c>
      <c r="D271" s="13">
        <f>Place_data_here!B271</f>
        <v>0</v>
      </c>
    </row>
    <row r="272" spans="1:4" x14ac:dyDescent="0.25">
      <c r="A272" s="16">
        <f>Place_data_here!A272</f>
        <v>0</v>
      </c>
      <c r="B272" s="4" t="e">
        <f t="shared" si="4"/>
        <v>#VALUE!</v>
      </c>
      <c r="C272" s="1" t="e">
        <f>SplineInterp(A272,Own_Spectrum_100cm!$U$2:$U$34,Own_Spectrum_100cm!$V$2:$V$34)*D272</f>
        <v>#VALUE!</v>
      </c>
      <c r="D272" s="13">
        <f>Place_data_here!B272</f>
        <v>0</v>
      </c>
    </row>
    <row r="273" spans="1:4" x14ac:dyDescent="0.25">
      <c r="A273" s="16">
        <f>Place_data_here!A273</f>
        <v>0</v>
      </c>
      <c r="B273" s="4" t="e">
        <f t="shared" si="4"/>
        <v>#VALUE!</v>
      </c>
      <c r="C273" s="1" t="e">
        <f>SplineInterp(A273,Own_Spectrum_100cm!$U$2:$U$34,Own_Spectrum_100cm!$V$2:$V$34)*D273</f>
        <v>#VALUE!</v>
      </c>
      <c r="D273" s="13">
        <f>Place_data_here!B273</f>
        <v>0</v>
      </c>
    </row>
    <row r="274" spans="1:4" x14ac:dyDescent="0.25">
      <c r="A274" s="16">
        <f>Place_data_here!A274</f>
        <v>0</v>
      </c>
      <c r="B274" s="4" t="e">
        <f t="shared" si="4"/>
        <v>#VALUE!</v>
      </c>
      <c r="C274" s="1" t="e">
        <f>SplineInterp(A274,Own_Spectrum_100cm!$U$2:$U$34,Own_Spectrum_100cm!$V$2:$V$34)*D274</f>
        <v>#VALUE!</v>
      </c>
      <c r="D274" s="13">
        <f>Place_data_here!B274</f>
        <v>0</v>
      </c>
    </row>
    <row r="275" spans="1:4" x14ac:dyDescent="0.25">
      <c r="A275" s="16">
        <f>Place_data_here!A275</f>
        <v>0</v>
      </c>
      <c r="B275" s="4" t="e">
        <f t="shared" si="4"/>
        <v>#VALUE!</v>
      </c>
      <c r="C275" s="1" t="e">
        <f>SplineInterp(A275,Own_Spectrum_100cm!$U$2:$U$34,Own_Spectrum_100cm!$V$2:$V$34)*D275</f>
        <v>#VALUE!</v>
      </c>
      <c r="D275" s="13">
        <f>Place_data_here!B275</f>
        <v>0</v>
      </c>
    </row>
    <row r="276" spans="1:4" x14ac:dyDescent="0.25">
      <c r="A276" s="16">
        <f>Place_data_here!A276</f>
        <v>0</v>
      </c>
      <c r="B276" s="4" t="e">
        <f t="shared" si="4"/>
        <v>#VALUE!</v>
      </c>
      <c r="C276" s="1" t="e">
        <f>SplineInterp(A276,Own_Spectrum_100cm!$U$2:$U$34,Own_Spectrum_100cm!$V$2:$V$34)*D276</f>
        <v>#VALUE!</v>
      </c>
      <c r="D276" s="13">
        <f>Place_data_here!B276</f>
        <v>0</v>
      </c>
    </row>
    <row r="277" spans="1:4" x14ac:dyDescent="0.25">
      <c r="A277" s="16">
        <f>Place_data_here!A277</f>
        <v>0</v>
      </c>
      <c r="B277" s="4" t="e">
        <f t="shared" si="4"/>
        <v>#VALUE!</v>
      </c>
      <c r="C277" s="1" t="e">
        <f>SplineInterp(A277,Own_Spectrum_100cm!$U$2:$U$34,Own_Spectrum_100cm!$V$2:$V$34)*D277</f>
        <v>#VALUE!</v>
      </c>
      <c r="D277" s="13">
        <f>Place_data_here!B277</f>
        <v>0</v>
      </c>
    </row>
    <row r="278" spans="1:4" x14ac:dyDescent="0.25">
      <c r="A278" s="16">
        <f>Place_data_here!A278</f>
        <v>0</v>
      </c>
      <c r="B278" s="4" t="e">
        <f t="shared" si="4"/>
        <v>#VALUE!</v>
      </c>
      <c r="C278" s="1" t="e">
        <f>SplineInterp(A278,Own_Spectrum_100cm!$U$2:$U$34,Own_Spectrum_100cm!$V$2:$V$34)*D278</f>
        <v>#VALUE!</v>
      </c>
      <c r="D278" s="13">
        <f>Place_data_here!B278</f>
        <v>0</v>
      </c>
    </row>
    <row r="279" spans="1:4" x14ac:dyDescent="0.25">
      <c r="A279" s="16">
        <f>Place_data_here!A279</f>
        <v>0</v>
      </c>
      <c r="B279" s="4" t="e">
        <f t="shared" si="4"/>
        <v>#VALUE!</v>
      </c>
      <c r="C279" s="1" t="e">
        <f>SplineInterp(A279,Own_Spectrum_100cm!$U$2:$U$34,Own_Spectrum_100cm!$V$2:$V$34)*D279</f>
        <v>#VALUE!</v>
      </c>
      <c r="D279" s="13">
        <f>Place_data_here!B279</f>
        <v>0</v>
      </c>
    </row>
    <row r="280" spans="1:4" x14ac:dyDescent="0.25">
      <c r="A280" s="16">
        <f>Place_data_here!A280</f>
        <v>0</v>
      </c>
      <c r="B280" s="4" t="e">
        <f t="shared" si="4"/>
        <v>#VALUE!</v>
      </c>
      <c r="C280" s="1" t="e">
        <f>SplineInterp(A280,Own_Spectrum_100cm!$U$2:$U$34,Own_Spectrum_100cm!$V$2:$V$34)*D280</f>
        <v>#VALUE!</v>
      </c>
      <c r="D280" s="13">
        <f>Place_data_here!B280</f>
        <v>0</v>
      </c>
    </row>
    <row r="281" spans="1:4" x14ac:dyDescent="0.25">
      <c r="A281" s="16">
        <f>Place_data_here!A281</f>
        <v>0</v>
      </c>
      <c r="B281" s="4" t="e">
        <f t="shared" si="4"/>
        <v>#VALUE!</v>
      </c>
      <c r="C281" s="1" t="e">
        <f>SplineInterp(A281,Own_Spectrum_100cm!$U$2:$U$34,Own_Spectrum_100cm!$V$2:$V$34)*D281</f>
        <v>#VALUE!</v>
      </c>
      <c r="D281" s="13">
        <f>Place_data_here!B281</f>
        <v>0</v>
      </c>
    </row>
    <row r="282" spans="1:4" x14ac:dyDescent="0.25">
      <c r="A282" s="16">
        <f>Place_data_here!A282</f>
        <v>0</v>
      </c>
      <c r="B282" s="4" t="e">
        <f t="shared" si="4"/>
        <v>#VALUE!</v>
      </c>
      <c r="C282" s="1" t="e">
        <f>SplineInterp(A282,Own_Spectrum_100cm!$U$2:$U$34,Own_Spectrum_100cm!$V$2:$V$34)*D282</f>
        <v>#VALUE!</v>
      </c>
      <c r="D282" s="13">
        <f>Place_data_here!B282</f>
        <v>0</v>
      </c>
    </row>
    <row r="283" spans="1:4" x14ac:dyDescent="0.25">
      <c r="A283" s="16">
        <f>Place_data_here!A283</f>
        <v>0</v>
      </c>
      <c r="B283" s="4" t="e">
        <f t="shared" si="4"/>
        <v>#VALUE!</v>
      </c>
      <c r="C283" s="1" t="e">
        <f>SplineInterp(A283,Own_Spectrum_100cm!$U$2:$U$34,Own_Spectrum_100cm!$V$2:$V$34)*D283</f>
        <v>#VALUE!</v>
      </c>
      <c r="D283" s="13">
        <f>Place_data_here!B283</f>
        <v>0</v>
      </c>
    </row>
    <row r="284" spans="1:4" x14ac:dyDescent="0.25">
      <c r="A284" s="16">
        <f>Place_data_here!A284</f>
        <v>0</v>
      </c>
      <c r="B284" s="4" t="e">
        <f t="shared" si="4"/>
        <v>#VALUE!</v>
      </c>
      <c r="C284" s="1" t="e">
        <f>SplineInterp(A284,Own_Spectrum_100cm!$U$2:$U$34,Own_Spectrum_100cm!$V$2:$V$34)*D284</f>
        <v>#VALUE!</v>
      </c>
      <c r="D284" s="13">
        <f>Place_data_here!B284</f>
        <v>0</v>
      </c>
    </row>
    <row r="285" spans="1:4" x14ac:dyDescent="0.25">
      <c r="A285" s="16">
        <f>Place_data_here!A285</f>
        <v>0</v>
      </c>
      <c r="B285" s="4" t="e">
        <f t="shared" si="4"/>
        <v>#VALUE!</v>
      </c>
      <c r="C285" s="1" t="e">
        <f>SplineInterp(A285,Own_Spectrum_100cm!$U$2:$U$34,Own_Spectrum_100cm!$V$2:$V$34)*D285</f>
        <v>#VALUE!</v>
      </c>
      <c r="D285" s="13">
        <f>Place_data_here!B285</f>
        <v>0</v>
      </c>
    </row>
    <row r="286" spans="1:4" x14ac:dyDescent="0.25">
      <c r="A286" s="16">
        <f>Place_data_here!A286</f>
        <v>0</v>
      </c>
      <c r="B286" s="4" t="e">
        <f t="shared" si="4"/>
        <v>#VALUE!</v>
      </c>
      <c r="C286" s="1" t="e">
        <f>SplineInterp(A286,Own_Spectrum_100cm!$U$2:$U$34,Own_Spectrum_100cm!$V$2:$V$34)*D286</f>
        <v>#VALUE!</v>
      </c>
      <c r="D286" s="13">
        <f>Place_data_here!B286</f>
        <v>0</v>
      </c>
    </row>
    <row r="287" spans="1:4" x14ac:dyDescent="0.25">
      <c r="A287" s="16">
        <f>Place_data_here!A287</f>
        <v>0</v>
      </c>
      <c r="B287" s="4" t="e">
        <f t="shared" si="4"/>
        <v>#VALUE!</v>
      </c>
      <c r="C287" s="1" t="e">
        <f>SplineInterp(A287,Own_Spectrum_100cm!$U$2:$U$34,Own_Spectrum_100cm!$V$2:$V$34)*D287</f>
        <v>#VALUE!</v>
      </c>
      <c r="D287" s="13">
        <f>Place_data_here!B287</f>
        <v>0</v>
      </c>
    </row>
    <row r="288" spans="1:4" x14ac:dyDescent="0.25">
      <c r="A288" s="16">
        <f>Place_data_here!A288</f>
        <v>0</v>
      </c>
      <c r="B288" s="4" t="e">
        <f t="shared" si="4"/>
        <v>#VALUE!</v>
      </c>
      <c r="C288" s="1" t="e">
        <f>SplineInterp(A288,Own_Spectrum_100cm!$U$2:$U$34,Own_Spectrum_100cm!$V$2:$V$34)*D288</f>
        <v>#VALUE!</v>
      </c>
      <c r="D288" s="13">
        <f>Place_data_here!B288</f>
        <v>0</v>
      </c>
    </row>
    <row r="289" spans="1:4" x14ac:dyDescent="0.25">
      <c r="A289" s="16">
        <f>Place_data_here!A289</f>
        <v>0</v>
      </c>
      <c r="B289" s="4" t="e">
        <f t="shared" si="4"/>
        <v>#VALUE!</v>
      </c>
      <c r="C289" s="1" t="e">
        <f>SplineInterp(A289,Own_Spectrum_100cm!$U$2:$U$34,Own_Spectrum_100cm!$V$2:$V$34)*D289</f>
        <v>#VALUE!</v>
      </c>
      <c r="D289" s="13">
        <f>Place_data_here!B289</f>
        <v>0</v>
      </c>
    </row>
    <row r="290" spans="1:4" x14ac:dyDescent="0.25">
      <c r="A290" s="16">
        <f>Place_data_here!A290</f>
        <v>0</v>
      </c>
      <c r="B290" s="4" t="e">
        <f t="shared" si="4"/>
        <v>#VALUE!</v>
      </c>
      <c r="C290" s="1" t="e">
        <f>SplineInterp(A290,Own_Spectrum_100cm!$U$2:$U$34,Own_Spectrum_100cm!$V$2:$V$34)*D290</f>
        <v>#VALUE!</v>
      </c>
      <c r="D290" s="13">
        <f>Place_data_here!B290</f>
        <v>0</v>
      </c>
    </row>
    <row r="291" spans="1:4" x14ac:dyDescent="0.25">
      <c r="A291" s="16">
        <f>Place_data_here!A291</f>
        <v>0</v>
      </c>
      <c r="B291" s="4" t="e">
        <f t="shared" si="4"/>
        <v>#VALUE!</v>
      </c>
      <c r="C291" s="1" t="e">
        <f>SplineInterp(A291,Own_Spectrum_100cm!$U$2:$U$34,Own_Spectrum_100cm!$V$2:$V$34)*D291</f>
        <v>#VALUE!</v>
      </c>
      <c r="D291" s="13">
        <f>Place_data_here!B291</f>
        <v>0</v>
      </c>
    </row>
    <row r="292" spans="1:4" x14ac:dyDescent="0.25">
      <c r="A292" s="16">
        <f>Place_data_here!A292</f>
        <v>0</v>
      </c>
      <c r="B292" s="4" t="e">
        <f t="shared" si="4"/>
        <v>#VALUE!</v>
      </c>
      <c r="C292" s="1" t="e">
        <f>SplineInterp(A292,Own_Spectrum_100cm!$U$2:$U$34,Own_Spectrum_100cm!$V$2:$V$34)*D292</f>
        <v>#VALUE!</v>
      </c>
      <c r="D292" s="13">
        <f>Place_data_here!B292</f>
        <v>0</v>
      </c>
    </row>
    <row r="293" spans="1:4" x14ac:dyDescent="0.25">
      <c r="A293" s="16">
        <f>Place_data_here!A293</f>
        <v>0</v>
      </c>
      <c r="B293" s="4" t="e">
        <f t="shared" si="4"/>
        <v>#VALUE!</v>
      </c>
      <c r="C293" s="1" t="e">
        <f>SplineInterp(A293,Own_Spectrum_100cm!$U$2:$U$34,Own_Spectrum_100cm!$V$2:$V$34)*D293</f>
        <v>#VALUE!</v>
      </c>
      <c r="D293" s="13">
        <f>Place_data_here!B293</f>
        <v>0</v>
      </c>
    </row>
    <row r="294" spans="1:4" x14ac:dyDescent="0.25">
      <c r="A294" s="16">
        <f>Place_data_here!A294</f>
        <v>0</v>
      </c>
      <c r="B294" s="4" t="e">
        <f t="shared" si="4"/>
        <v>#VALUE!</v>
      </c>
      <c r="C294" s="1" t="e">
        <f>SplineInterp(A294,Own_Spectrum_100cm!$U$2:$U$34,Own_Spectrum_100cm!$V$2:$V$34)*D294</f>
        <v>#VALUE!</v>
      </c>
      <c r="D294" s="13">
        <f>Place_data_here!B294</f>
        <v>0</v>
      </c>
    </row>
    <row r="295" spans="1:4" x14ac:dyDescent="0.25">
      <c r="A295" s="16">
        <f>Place_data_here!A295</f>
        <v>0</v>
      </c>
      <c r="B295" s="4" t="e">
        <f t="shared" si="4"/>
        <v>#VALUE!</v>
      </c>
      <c r="C295" s="1" t="e">
        <f>SplineInterp(A295,Own_Spectrum_100cm!$U$2:$U$34,Own_Spectrum_100cm!$V$2:$V$34)*D295</f>
        <v>#VALUE!</v>
      </c>
      <c r="D295" s="13">
        <f>Place_data_here!B295</f>
        <v>0</v>
      </c>
    </row>
    <row r="296" spans="1:4" x14ac:dyDescent="0.25">
      <c r="A296" s="16">
        <f>Place_data_here!A296</f>
        <v>0</v>
      </c>
      <c r="B296" s="4" t="e">
        <f t="shared" si="4"/>
        <v>#VALUE!</v>
      </c>
      <c r="C296" s="1" t="e">
        <f>SplineInterp(A296,Own_Spectrum_100cm!$U$2:$U$34,Own_Spectrum_100cm!$V$2:$V$34)*D296</f>
        <v>#VALUE!</v>
      </c>
      <c r="D296" s="13">
        <f>Place_data_here!B296</f>
        <v>0</v>
      </c>
    </row>
    <row r="297" spans="1:4" x14ac:dyDescent="0.25">
      <c r="A297" s="16">
        <f>Place_data_here!A297</f>
        <v>0</v>
      </c>
      <c r="B297" s="4" t="e">
        <f t="shared" si="4"/>
        <v>#VALUE!</v>
      </c>
      <c r="C297" s="1" t="e">
        <f>SplineInterp(A297,Own_Spectrum_100cm!$U$2:$U$34,Own_Spectrum_100cm!$V$2:$V$34)*D297</f>
        <v>#VALUE!</v>
      </c>
      <c r="D297" s="13">
        <f>Place_data_here!B297</f>
        <v>0</v>
      </c>
    </row>
    <row r="298" spans="1:4" x14ac:dyDescent="0.25">
      <c r="A298" s="16">
        <f>Place_data_here!A298</f>
        <v>0</v>
      </c>
      <c r="B298" s="4" t="e">
        <f t="shared" si="4"/>
        <v>#VALUE!</v>
      </c>
      <c r="C298" s="1" t="e">
        <f>SplineInterp(A298,Own_Spectrum_100cm!$U$2:$U$34,Own_Spectrum_100cm!$V$2:$V$34)*D298</f>
        <v>#VALUE!</v>
      </c>
      <c r="D298" s="13">
        <f>Place_data_here!B298</f>
        <v>0</v>
      </c>
    </row>
    <row r="299" spans="1:4" x14ac:dyDescent="0.25">
      <c r="A299" s="16">
        <f>Place_data_here!A299</f>
        <v>0</v>
      </c>
      <c r="B299" s="4" t="e">
        <f t="shared" si="4"/>
        <v>#VALUE!</v>
      </c>
      <c r="C299" s="1" t="e">
        <f>SplineInterp(A299,Own_Spectrum_100cm!$U$2:$U$34,Own_Spectrum_100cm!$V$2:$V$34)*D299</f>
        <v>#VALUE!</v>
      </c>
      <c r="D299" s="13">
        <f>Place_data_here!B299</f>
        <v>0</v>
      </c>
    </row>
    <row r="300" spans="1:4" x14ac:dyDescent="0.25">
      <c r="A300" s="16">
        <f>Place_data_here!A300</f>
        <v>0</v>
      </c>
      <c r="B300" s="4" t="e">
        <f t="shared" si="4"/>
        <v>#VALUE!</v>
      </c>
      <c r="C300" s="1" t="e">
        <f>SplineInterp(A300,Own_Spectrum_100cm!$U$2:$U$34,Own_Spectrum_100cm!$V$2:$V$34)*D300</f>
        <v>#VALUE!</v>
      </c>
      <c r="D300" s="13">
        <f>Place_data_here!B300</f>
        <v>0</v>
      </c>
    </row>
    <row r="301" spans="1:4" x14ac:dyDescent="0.25">
      <c r="A301" s="16">
        <f>Place_data_here!A301</f>
        <v>0</v>
      </c>
      <c r="B301" s="4" t="e">
        <f t="shared" si="4"/>
        <v>#VALUE!</v>
      </c>
      <c r="C301" s="1" t="e">
        <f>SplineInterp(A301,Own_Spectrum_100cm!$U$2:$U$34,Own_Spectrum_100cm!$V$2:$V$34)*D301</f>
        <v>#VALUE!</v>
      </c>
      <c r="D301" s="13">
        <f>Place_data_here!B301</f>
        <v>0</v>
      </c>
    </row>
    <row r="302" spans="1:4" x14ac:dyDescent="0.25">
      <c r="A302" s="16">
        <f>Place_data_here!A302</f>
        <v>0</v>
      </c>
      <c r="B302" s="4" t="e">
        <f t="shared" si="4"/>
        <v>#VALUE!</v>
      </c>
      <c r="C302" s="1" t="e">
        <f>SplineInterp(A302,Own_Spectrum_100cm!$U$2:$U$34,Own_Spectrum_100cm!$V$2:$V$34)*D302</f>
        <v>#VALUE!</v>
      </c>
      <c r="D302" s="13">
        <f>Place_data_here!B302</f>
        <v>0</v>
      </c>
    </row>
    <row r="303" spans="1:4" x14ac:dyDescent="0.25">
      <c r="A303" s="16">
        <f>Place_data_here!A303</f>
        <v>0</v>
      </c>
      <c r="B303" s="4" t="e">
        <f t="shared" si="4"/>
        <v>#VALUE!</v>
      </c>
      <c r="C303" s="1" t="e">
        <f>SplineInterp(A303,Own_Spectrum_100cm!$U$2:$U$34,Own_Spectrum_100cm!$V$2:$V$34)*D303</f>
        <v>#VALUE!</v>
      </c>
      <c r="D303" s="13">
        <f>Place_data_here!B303</f>
        <v>0</v>
      </c>
    </row>
    <row r="304" spans="1:4" x14ac:dyDescent="0.25">
      <c r="A304" s="16">
        <f>Place_data_here!A304</f>
        <v>0</v>
      </c>
      <c r="B304" s="4" t="e">
        <f t="shared" si="4"/>
        <v>#VALUE!</v>
      </c>
      <c r="C304" s="1" t="e">
        <f>SplineInterp(A304,Own_Spectrum_100cm!$U$2:$U$34,Own_Spectrum_100cm!$V$2:$V$34)*D304</f>
        <v>#VALUE!</v>
      </c>
      <c r="D304" s="13">
        <f>Place_data_here!B304</f>
        <v>0</v>
      </c>
    </row>
    <row r="305" spans="1:4" x14ac:dyDescent="0.25">
      <c r="A305" s="16">
        <f>Place_data_here!A305</f>
        <v>0</v>
      </c>
      <c r="B305" s="4" t="e">
        <f t="shared" si="4"/>
        <v>#VALUE!</v>
      </c>
      <c r="C305" s="1" t="e">
        <f>SplineInterp(A305,Own_Spectrum_100cm!$U$2:$U$34,Own_Spectrum_100cm!$V$2:$V$34)*D305</f>
        <v>#VALUE!</v>
      </c>
      <c r="D305" s="13">
        <f>Place_data_here!B305</f>
        <v>0</v>
      </c>
    </row>
    <row r="306" spans="1:4" x14ac:dyDescent="0.25">
      <c r="A306" s="16">
        <f>Place_data_here!A306</f>
        <v>0</v>
      </c>
      <c r="B306" s="4" t="e">
        <f t="shared" si="4"/>
        <v>#VALUE!</v>
      </c>
      <c r="C306" s="1" t="e">
        <f>SplineInterp(A306,Own_Spectrum_100cm!$U$2:$U$34,Own_Spectrum_100cm!$V$2:$V$34)*D306</f>
        <v>#VALUE!</v>
      </c>
      <c r="D306" s="13">
        <f>Place_data_here!B306</f>
        <v>0</v>
      </c>
    </row>
    <row r="307" spans="1:4" x14ac:dyDescent="0.25">
      <c r="A307" s="16">
        <f>Place_data_here!A307</f>
        <v>0</v>
      </c>
      <c r="B307" s="4" t="e">
        <f t="shared" si="4"/>
        <v>#VALUE!</v>
      </c>
      <c r="C307" s="1" t="e">
        <f>SplineInterp(A307,Own_Spectrum_100cm!$U$2:$U$34,Own_Spectrum_100cm!$V$2:$V$34)*D307</f>
        <v>#VALUE!</v>
      </c>
      <c r="D307" s="13">
        <f>Place_data_here!B307</f>
        <v>0</v>
      </c>
    </row>
    <row r="308" spans="1:4" x14ac:dyDescent="0.25">
      <c r="A308" s="16">
        <f>Place_data_here!A308</f>
        <v>0</v>
      </c>
      <c r="B308" s="4" t="e">
        <f t="shared" si="4"/>
        <v>#VALUE!</v>
      </c>
      <c r="C308" s="1" t="e">
        <f>SplineInterp(A308,Own_Spectrum_100cm!$U$2:$U$34,Own_Spectrum_100cm!$V$2:$V$34)*D308</f>
        <v>#VALUE!</v>
      </c>
      <c r="D308" s="13">
        <f>Place_data_here!B308</f>
        <v>0</v>
      </c>
    </row>
    <row r="309" spans="1:4" x14ac:dyDescent="0.25">
      <c r="A309" s="16">
        <f>Place_data_here!A309</f>
        <v>0</v>
      </c>
      <c r="B309" s="4" t="e">
        <f t="shared" si="4"/>
        <v>#VALUE!</v>
      </c>
      <c r="C309" s="1" t="e">
        <f>SplineInterp(A309,Own_Spectrum_100cm!$U$2:$U$34,Own_Spectrum_100cm!$V$2:$V$34)*D309</f>
        <v>#VALUE!</v>
      </c>
      <c r="D309" s="13">
        <f>Place_data_here!B309</f>
        <v>0</v>
      </c>
    </row>
    <row r="310" spans="1:4" x14ac:dyDescent="0.25">
      <c r="A310" s="16">
        <f>Place_data_here!A310</f>
        <v>0</v>
      </c>
      <c r="B310" s="4" t="e">
        <f t="shared" si="4"/>
        <v>#VALUE!</v>
      </c>
      <c r="C310" s="1" t="e">
        <f>SplineInterp(A310,Own_Spectrum_100cm!$U$2:$U$34,Own_Spectrum_100cm!$V$2:$V$34)*D310</f>
        <v>#VALUE!</v>
      </c>
      <c r="D310" s="13">
        <f>Place_data_here!B310</f>
        <v>0</v>
      </c>
    </row>
    <row r="311" spans="1:4" x14ac:dyDescent="0.25">
      <c r="A311" s="16">
        <f>Place_data_here!A311</f>
        <v>0</v>
      </c>
      <c r="B311" s="4" t="e">
        <f t="shared" si="4"/>
        <v>#VALUE!</v>
      </c>
      <c r="C311" s="1" t="e">
        <f>SplineInterp(A311,Own_Spectrum_100cm!$U$2:$U$34,Own_Spectrum_100cm!$V$2:$V$34)*D311</f>
        <v>#VALUE!</v>
      </c>
      <c r="D311" s="13">
        <f>Place_data_here!B311</f>
        <v>0</v>
      </c>
    </row>
    <row r="312" spans="1:4" x14ac:dyDescent="0.25">
      <c r="A312" s="16">
        <f>Place_data_here!A312</f>
        <v>0</v>
      </c>
      <c r="B312" s="4" t="e">
        <f t="shared" si="4"/>
        <v>#VALUE!</v>
      </c>
      <c r="C312" s="1" t="e">
        <f>SplineInterp(A312,Own_Spectrum_100cm!$U$2:$U$34,Own_Spectrum_100cm!$V$2:$V$34)*D312</f>
        <v>#VALUE!</v>
      </c>
      <c r="D312" s="13">
        <f>Place_data_here!B312</f>
        <v>0</v>
      </c>
    </row>
    <row r="313" spans="1:4" x14ac:dyDescent="0.25">
      <c r="A313" s="16">
        <f>Place_data_here!A313</f>
        <v>0</v>
      </c>
      <c r="B313" s="4" t="e">
        <f t="shared" si="4"/>
        <v>#VALUE!</v>
      </c>
      <c r="C313" s="1" t="e">
        <f>SplineInterp(A313,Own_Spectrum_100cm!$U$2:$U$34,Own_Spectrum_100cm!$V$2:$V$34)*D313</f>
        <v>#VALUE!</v>
      </c>
      <c r="D313" s="13">
        <f>Place_data_here!B313</f>
        <v>0</v>
      </c>
    </row>
    <row r="314" spans="1:4" x14ac:dyDescent="0.25">
      <c r="A314" s="16">
        <f>Place_data_here!A314</f>
        <v>0</v>
      </c>
      <c r="B314" s="4" t="e">
        <f t="shared" si="4"/>
        <v>#VALUE!</v>
      </c>
      <c r="C314" s="1" t="e">
        <f>SplineInterp(A314,Own_Spectrum_100cm!$U$2:$U$34,Own_Spectrum_100cm!$V$2:$V$34)*D314</f>
        <v>#VALUE!</v>
      </c>
      <c r="D314" s="13">
        <f>Place_data_here!B314</f>
        <v>0</v>
      </c>
    </row>
    <row r="315" spans="1:4" x14ac:dyDescent="0.25">
      <c r="A315" s="16">
        <f>Place_data_here!A315</f>
        <v>0</v>
      </c>
      <c r="B315" s="4" t="e">
        <f t="shared" si="4"/>
        <v>#VALUE!</v>
      </c>
      <c r="C315" s="1" t="e">
        <f>SplineInterp(A315,Own_Spectrum_100cm!$U$2:$U$34,Own_Spectrum_100cm!$V$2:$V$34)*D315</f>
        <v>#VALUE!</v>
      </c>
      <c r="D315" s="13">
        <f>Place_data_here!B315</f>
        <v>0</v>
      </c>
    </row>
    <row r="316" spans="1:4" x14ac:dyDescent="0.25">
      <c r="A316" s="16">
        <f>Place_data_here!A316</f>
        <v>0</v>
      </c>
      <c r="B316" s="4" t="e">
        <f t="shared" si="4"/>
        <v>#VALUE!</v>
      </c>
      <c r="C316" s="1" t="e">
        <f>SplineInterp(A316,Own_Spectrum_100cm!$U$2:$U$34,Own_Spectrum_100cm!$V$2:$V$34)*D316</f>
        <v>#VALUE!</v>
      </c>
      <c r="D316" s="13">
        <f>Place_data_here!B316</f>
        <v>0</v>
      </c>
    </row>
    <row r="317" spans="1:4" x14ac:dyDescent="0.25">
      <c r="A317" s="16">
        <f>Place_data_here!A317</f>
        <v>0</v>
      </c>
      <c r="B317" s="4" t="e">
        <f t="shared" si="4"/>
        <v>#VALUE!</v>
      </c>
      <c r="C317" s="1" t="e">
        <f>SplineInterp(A317,Own_Spectrum_100cm!$U$2:$U$34,Own_Spectrum_100cm!$V$2:$V$34)*D317</f>
        <v>#VALUE!</v>
      </c>
      <c r="D317" s="13">
        <f>Place_data_here!B317</f>
        <v>0</v>
      </c>
    </row>
    <row r="318" spans="1:4" x14ac:dyDescent="0.25">
      <c r="A318" s="16">
        <f>Place_data_here!A318</f>
        <v>0</v>
      </c>
      <c r="B318" s="4" t="e">
        <f t="shared" si="4"/>
        <v>#VALUE!</v>
      </c>
      <c r="C318" s="1" t="e">
        <f>SplineInterp(A318,Own_Spectrum_100cm!$U$2:$U$34,Own_Spectrum_100cm!$V$2:$V$34)*D318</f>
        <v>#VALUE!</v>
      </c>
      <c r="D318" s="13">
        <f>Place_data_here!B318</f>
        <v>0</v>
      </c>
    </row>
    <row r="319" spans="1:4" x14ac:dyDescent="0.25">
      <c r="A319" s="16">
        <f>Place_data_here!A319</f>
        <v>0</v>
      </c>
      <c r="B319" s="4" t="e">
        <f t="shared" si="4"/>
        <v>#VALUE!</v>
      </c>
      <c r="C319" s="1" t="e">
        <f>SplineInterp(A319,Own_Spectrum_100cm!$U$2:$U$34,Own_Spectrum_100cm!$V$2:$V$34)*D319</f>
        <v>#VALUE!</v>
      </c>
      <c r="D319" s="13">
        <f>Place_data_here!B319</f>
        <v>0</v>
      </c>
    </row>
    <row r="320" spans="1:4" x14ac:dyDescent="0.25">
      <c r="A320" s="16">
        <f>Place_data_here!A320</f>
        <v>0</v>
      </c>
      <c r="B320" s="4" t="e">
        <f t="shared" si="4"/>
        <v>#VALUE!</v>
      </c>
      <c r="C320" s="1" t="e">
        <f>SplineInterp(A320,Own_Spectrum_100cm!$U$2:$U$34,Own_Spectrum_100cm!$V$2:$V$34)*D320</f>
        <v>#VALUE!</v>
      </c>
      <c r="D320" s="13">
        <f>Place_data_here!B320</f>
        <v>0</v>
      </c>
    </row>
    <row r="321" spans="1:4" x14ac:dyDescent="0.25">
      <c r="A321" s="16">
        <f>Place_data_here!A321</f>
        <v>0</v>
      </c>
      <c r="B321" s="4" t="e">
        <f t="shared" si="4"/>
        <v>#VALUE!</v>
      </c>
      <c r="C321" s="1" t="e">
        <f>SplineInterp(A321,Own_Spectrum_100cm!$U$2:$U$34,Own_Spectrum_100cm!$V$2:$V$34)*D321</f>
        <v>#VALUE!</v>
      </c>
      <c r="D321" s="13">
        <f>Place_data_here!B321</f>
        <v>0</v>
      </c>
    </row>
    <row r="322" spans="1:4" x14ac:dyDescent="0.25">
      <c r="A322" s="16">
        <f>Place_data_here!A322</f>
        <v>0</v>
      </c>
      <c r="B322" s="4" t="e">
        <f t="shared" si="4"/>
        <v>#VALUE!</v>
      </c>
      <c r="C322" s="1" t="e">
        <f>SplineInterp(A322,Own_Spectrum_100cm!$U$2:$U$34,Own_Spectrum_100cm!$V$2:$V$34)*D322</f>
        <v>#VALUE!</v>
      </c>
      <c r="D322" s="13">
        <f>Place_data_here!B322</f>
        <v>0</v>
      </c>
    </row>
    <row r="323" spans="1:4" x14ac:dyDescent="0.25">
      <c r="A323" s="16">
        <f>Place_data_here!A323</f>
        <v>0</v>
      </c>
      <c r="B323" s="4" t="e">
        <f t="shared" ref="B323:B386" si="5">C323/$C$1028</f>
        <v>#VALUE!</v>
      </c>
      <c r="C323" s="1" t="e">
        <f>SplineInterp(A323,Own_Spectrum_100cm!$U$2:$U$34,Own_Spectrum_100cm!$V$2:$V$34)*D323</f>
        <v>#VALUE!</v>
      </c>
      <c r="D323" s="13">
        <f>Place_data_here!B323</f>
        <v>0</v>
      </c>
    </row>
    <row r="324" spans="1:4" x14ac:dyDescent="0.25">
      <c r="A324" s="16">
        <f>Place_data_here!A324</f>
        <v>0</v>
      </c>
      <c r="B324" s="4" t="e">
        <f t="shared" si="5"/>
        <v>#VALUE!</v>
      </c>
      <c r="C324" s="1" t="e">
        <f>SplineInterp(A324,Own_Spectrum_100cm!$U$2:$U$34,Own_Spectrum_100cm!$V$2:$V$34)*D324</f>
        <v>#VALUE!</v>
      </c>
      <c r="D324" s="13">
        <f>Place_data_here!B324</f>
        <v>0</v>
      </c>
    </row>
    <row r="325" spans="1:4" x14ac:dyDescent="0.25">
      <c r="A325" s="16">
        <f>Place_data_here!A325</f>
        <v>0</v>
      </c>
      <c r="B325" s="4" t="e">
        <f t="shared" si="5"/>
        <v>#VALUE!</v>
      </c>
      <c r="C325" s="1" t="e">
        <f>SplineInterp(A325,Own_Spectrum_100cm!$U$2:$U$34,Own_Spectrum_100cm!$V$2:$V$34)*D325</f>
        <v>#VALUE!</v>
      </c>
      <c r="D325" s="13">
        <f>Place_data_here!B325</f>
        <v>0</v>
      </c>
    </row>
    <row r="326" spans="1:4" x14ac:dyDescent="0.25">
      <c r="A326" s="16">
        <f>Place_data_here!A326</f>
        <v>0</v>
      </c>
      <c r="B326" s="4" t="e">
        <f t="shared" si="5"/>
        <v>#VALUE!</v>
      </c>
      <c r="C326" s="1" t="e">
        <f>SplineInterp(A326,Own_Spectrum_100cm!$U$2:$U$34,Own_Spectrum_100cm!$V$2:$V$34)*D326</f>
        <v>#VALUE!</v>
      </c>
      <c r="D326" s="13">
        <f>Place_data_here!B326</f>
        <v>0</v>
      </c>
    </row>
    <row r="327" spans="1:4" x14ac:dyDescent="0.25">
      <c r="A327" s="16">
        <f>Place_data_here!A327</f>
        <v>0</v>
      </c>
      <c r="B327" s="4" t="e">
        <f t="shared" si="5"/>
        <v>#VALUE!</v>
      </c>
      <c r="C327" s="1" t="e">
        <f>SplineInterp(A327,Own_Spectrum_100cm!$U$2:$U$34,Own_Spectrum_100cm!$V$2:$V$34)*D327</f>
        <v>#VALUE!</v>
      </c>
      <c r="D327" s="13">
        <f>Place_data_here!B327</f>
        <v>0</v>
      </c>
    </row>
    <row r="328" spans="1:4" x14ac:dyDescent="0.25">
      <c r="A328" s="16">
        <f>Place_data_here!A328</f>
        <v>0</v>
      </c>
      <c r="B328" s="4" t="e">
        <f t="shared" si="5"/>
        <v>#VALUE!</v>
      </c>
      <c r="C328" s="1" t="e">
        <f>SplineInterp(A328,Own_Spectrum_100cm!$U$2:$U$34,Own_Spectrum_100cm!$V$2:$V$34)*D328</f>
        <v>#VALUE!</v>
      </c>
      <c r="D328" s="13">
        <f>Place_data_here!B328</f>
        <v>0</v>
      </c>
    </row>
    <row r="329" spans="1:4" x14ac:dyDescent="0.25">
      <c r="A329" s="16">
        <f>Place_data_here!A329</f>
        <v>0</v>
      </c>
      <c r="B329" s="4" t="e">
        <f t="shared" si="5"/>
        <v>#VALUE!</v>
      </c>
      <c r="C329" s="1" t="e">
        <f>SplineInterp(A329,Own_Spectrum_100cm!$U$2:$U$34,Own_Spectrum_100cm!$V$2:$V$34)*D329</f>
        <v>#VALUE!</v>
      </c>
      <c r="D329" s="13">
        <f>Place_data_here!B329</f>
        <v>0</v>
      </c>
    </row>
    <row r="330" spans="1:4" x14ac:dyDescent="0.25">
      <c r="A330" s="16">
        <f>Place_data_here!A330</f>
        <v>0</v>
      </c>
      <c r="B330" s="4" t="e">
        <f t="shared" si="5"/>
        <v>#VALUE!</v>
      </c>
      <c r="C330" s="1" t="e">
        <f>SplineInterp(A330,Own_Spectrum_100cm!$U$2:$U$34,Own_Spectrum_100cm!$V$2:$V$34)*D330</f>
        <v>#VALUE!</v>
      </c>
      <c r="D330" s="13">
        <f>Place_data_here!B330</f>
        <v>0</v>
      </c>
    </row>
    <row r="331" spans="1:4" x14ac:dyDescent="0.25">
      <c r="A331" s="16">
        <f>Place_data_here!A331</f>
        <v>0</v>
      </c>
      <c r="B331" s="4" t="e">
        <f t="shared" si="5"/>
        <v>#VALUE!</v>
      </c>
      <c r="C331" s="1" t="e">
        <f>SplineInterp(A331,Own_Spectrum_100cm!$U$2:$U$34,Own_Spectrum_100cm!$V$2:$V$34)*D331</f>
        <v>#VALUE!</v>
      </c>
      <c r="D331" s="13">
        <f>Place_data_here!B331</f>
        <v>0</v>
      </c>
    </row>
    <row r="332" spans="1:4" x14ac:dyDescent="0.25">
      <c r="A332" s="16">
        <f>Place_data_here!A332</f>
        <v>0</v>
      </c>
      <c r="B332" s="4" t="e">
        <f t="shared" si="5"/>
        <v>#VALUE!</v>
      </c>
      <c r="C332" s="1" t="e">
        <f>SplineInterp(A332,Own_Spectrum_100cm!$U$2:$U$34,Own_Spectrum_100cm!$V$2:$V$34)*D332</f>
        <v>#VALUE!</v>
      </c>
      <c r="D332" s="13">
        <f>Place_data_here!B332</f>
        <v>0</v>
      </c>
    </row>
    <row r="333" spans="1:4" x14ac:dyDescent="0.25">
      <c r="A333" s="16">
        <f>Place_data_here!A333</f>
        <v>0</v>
      </c>
      <c r="B333" s="4" t="e">
        <f t="shared" si="5"/>
        <v>#VALUE!</v>
      </c>
      <c r="C333" s="1" t="e">
        <f>SplineInterp(A333,Own_Spectrum_100cm!$U$2:$U$34,Own_Spectrum_100cm!$V$2:$V$34)*D333</f>
        <v>#VALUE!</v>
      </c>
      <c r="D333" s="13">
        <f>Place_data_here!B333</f>
        <v>0</v>
      </c>
    </row>
    <row r="334" spans="1:4" x14ac:dyDescent="0.25">
      <c r="A334" s="16">
        <f>Place_data_here!A334</f>
        <v>0</v>
      </c>
      <c r="B334" s="4" t="e">
        <f t="shared" si="5"/>
        <v>#VALUE!</v>
      </c>
      <c r="C334" s="1" t="e">
        <f>SplineInterp(A334,Own_Spectrum_100cm!$U$2:$U$34,Own_Spectrum_100cm!$V$2:$V$34)*D334</f>
        <v>#VALUE!</v>
      </c>
      <c r="D334" s="13">
        <f>Place_data_here!B334</f>
        <v>0</v>
      </c>
    </row>
    <row r="335" spans="1:4" x14ac:dyDescent="0.25">
      <c r="A335" s="16">
        <f>Place_data_here!A335</f>
        <v>0</v>
      </c>
      <c r="B335" s="4" t="e">
        <f t="shared" si="5"/>
        <v>#VALUE!</v>
      </c>
      <c r="C335" s="1" t="e">
        <f>SplineInterp(A335,Own_Spectrum_100cm!$U$2:$U$34,Own_Spectrum_100cm!$V$2:$V$34)*D335</f>
        <v>#VALUE!</v>
      </c>
      <c r="D335" s="13">
        <f>Place_data_here!B335</f>
        <v>0</v>
      </c>
    </row>
    <row r="336" spans="1:4" x14ac:dyDescent="0.25">
      <c r="A336" s="16">
        <f>Place_data_here!A336</f>
        <v>0</v>
      </c>
      <c r="B336" s="4" t="e">
        <f t="shared" si="5"/>
        <v>#VALUE!</v>
      </c>
      <c r="C336" s="1" t="e">
        <f>SplineInterp(A336,Own_Spectrum_100cm!$U$2:$U$34,Own_Spectrum_100cm!$V$2:$V$34)*D336</f>
        <v>#VALUE!</v>
      </c>
      <c r="D336" s="13">
        <f>Place_data_here!B336</f>
        <v>0</v>
      </c>
    </row>
    <row r="337" spans="1:4" x14ac:dyDescent="0.25">
      <c r="A337" s="16">
        <f>Place_data_here!A337</f>
        <v>0</v>
      </c>
      <c r="B337" s="4" t="e">
        <f t="shared" si="5"/>
        <v>#VALUE!</v>
      </c>
      <c r="C337" s="1" t="e">
        <f>SplineInterp(A337,Own_Spectrum_100cm!$U$2:$U$34,Own_Spectrum_100cm!$V$2:$V$34)*D337</f>
        <v>#VALUE!</v>
      </c>
      <c r="D337" s="13">
        <f>Place_data_here!B337</f>
        <v>0</v>
      </c>
    </row>
    <row r="338" spans="1:4" x14ac:dyDescent="0.25">
      <c r="A338" s="16">
        <f>Place_data_here!A338</f>
        <v>0</v>
      </c>
      <c r="B338" s="4" t="e">
        <f t="shared" si="5"/>
        <v>#VALUE!</v>
      </c>
      <c r="C338" s="1" t="e">
        <f>SplineInterp(A338,Own_Spectrum_100cm!$U$2:$U$34,Own_Spectrum_100cm!$V$2:$V$34)*D338</f>
        <v>#VALUE!</v>
      </c>
      <c r="D338" s="13">
        <f>Place_data_here!B338</f>
        <v>0</v>
      </c>
    </row>
    <row r="339" spans="1:4" x14ac:dyDescent="0.25">
      <c r="A339" s="16">
        <f>Place_data_here!A339</f>
        <v>0</v>
      </c>
      <c r="B339" s="4" t="e">
        <f t="shared" si="5"/>
        <v>#VALUE!</v>
      </c>
      <c r="C339" s="1" t="e">
        <f>SplineInterp(A339,Own_Spectrum_100cm!$U$2:$U$34,Own_Spectrum_100cm!$V$2:$V$34)*D339</f>
        <v>#VALUE!</v>
      </c>
      <c r="D339" s="13">
        <f>Place_data_here!B339</f>
        <v>0</v>
      </c>
    </row>
    <row r="340" spans="1:4" x14ac:dyDescent="0.25">
      <c r="A340" s="16">
        <f>Place_data_here!A340</f>
        <v>0</v>
      </c>
      <c r="B340" s="4" t="e">
        <f t="shared" si="5"/>
        <v>#VALUE!</v>
      </c>
      <c r="C340" s="1" t="e">
        <f>SplineInterp(A340,Own_Spectrum_100cm!$U$2:$U$34,Own_Spectrum_100cm!$V$2:$V$34)*D340</f>
        <v>#VALUE!</v>
      </c>
      <c r="D340" s="13">
        <f>Place_data_here!B340</f>
        <v>0</v>
      </c>
    </row>
    <row r="341" spans="1:4" x14ac:dyDescent="0.25">
      <c r="A341" s="16">
        <f>Place_data_here!A341</f>
        <v>0</v>
      </c>
      <c r="B341" s="4" t="e">
        <f t="shared" si="5"/>
        <v>#VALUE!</v>
      </c>
      <c r="C341" s="1" t="e">
        <f>SplineInterp(A341,Own_Spectrum_100cm!$U$2:$U$34,Own_Spectrum_100cm!$V$2:$V$34)*D341</f>
        <v>#VALUE!</v>
      </c>
      <c r="D341" s="13">
        <f>Place_data_here!B341</f>
        <v>0</v>
      </c>
    </row>
    <row r="342" spans="1:4" x14ac:dyDescent="0.25">
      <c r="A342" s="16">
        <f>Place_data_here!A342</f>
        <v>0</v>
      </c>
      <c r="B342" s="4" t="e">
        <f t="shared" si="5"/>
        <v>#VALUE!</v>
      </c>
      <c r="C342" s="1" t="e">
        <f>SplineInterp(A342,Own_Spectrum_100cm!$U$2:$U$34,Own_Spectrum_100cm!$V$2:$V$34)*D342</f>
        <v>#VALUE!</v>
      </c>
      <c r="D342" s="13">
        <f>Place_data_here!B342</f>
        <v>0</v>
      </c>
    </row>
    <row r="343" spans="1:4" x14ac:dyDescent="0.25">
      <c r="A343" s="16">
        <f>Place_data_here!A343</f>
        <v>0</v>
      </c>
      <c r="B343" s="4" t="e">
        <f t="shared" si="5"/>
        <v>#VALUE!</v>
      </c>
      <c r="C343" s="1" t="e">
        <f>SplineInterp(A343,Own_Spectrum_100cm!$U$2:$U$34,Own_Spectrum_100cm!$V$2:$V$34)*D343</f>
        <v>#VALUE!</v>
      </c>
      <c r="D343" s="13">
        <f>Place_data_here!B343</f>
        <v>0</v>
      </c>
    </row>
    <row r="344" spans="1:4" x14ac:dyDescent="0.25">
      <c r="A344" s="16">
        <f>Place_data_here!A344</f>
        <v>0</v>
      </c>
      <c r="B344" s="4" t="e">
        <f t="shared" si="5"/>
        <v>#VALUE!</v>
      </c>
      <c r="C344" s="1" t="e">
        <f>SplineInterp(A344,Own_Spectrum_100cm!$U$2:$U$34,Own_Spectrum_100cm!$V$2:$V$34)*D344</f>
        <v>#VALUE!</v>
      </c>
      <c r="D344" s="13">
        <f>Place_data_here!B344</f>
        <v>0</v>
      </c>
    </row>
    <row r="345" spans="1:4" x14ac:dyDescent="0.25">
      <c r="A345" s="16">
        <f>Place_data_here!A345</f>
        <v>0</v>
      </c>
      <c r="B345" s="4" t="e">
        <f t="shared" si="5"/>
        <v>#VALUE!</v>
      </c>
      <c r="C345" s="1" t="e">
        <f>SplineInterp(A345,Own_Spectrum_100cm!$U$2:$U$34,Own_Spectrum_100cm!$V$2:$V$34)*D345</f>
        <v>#VALUE!</v>
      </c>
      <c r="D345" s="13">
        <f>Place_data_here!B345</f>
        <v>0</v>
      </c>
    </row>
    <row r="346" spans="1:4" x14ac:dyDescent="0.25">
      <c r="A346" s="16">
        <f>Place_data_here!A346</f>
        <v>0</v>
      </c>
      <c r="B346" s="4" t="e">
        <f t="shared" si="5"/>
        <v>#VALUE!</v>
      </c>
      <c r="C346" s="1" t="e">
        <f>SplineInterp(A346,Own_Spectrum_100cm!$U$2:$U$34,Own_Spectrum_100cm!$V$2:$V$34)*D346</f>
        <v>#VALUE!</v>
      </c>
      <c r="D346" s="13">
        <f>Place_data_here!B346</f>
        <v>0</v>
      </c>
    </row>
    <row r="347" spans="1:4" x14ac:dyDescent="0.25">
      <c r="A347" s="16">
        <f>Place_data_here!A347</f>
        <v>0</v>
      </c>
      <c r="B347" s="4" t="e">
        <f t="shared" si="5"/>
        <v>#VALUE!</v>
      </c>
      <c r="C347" s="1" t="e">
        <f>SplineInterp(A347,Own_Spectrum_100cm!$U$2:$U$34,Own_Spectrum_100cm!$V$2:$V$34)*D347</f>
        <v>#VALUE!</v>
      </c>
      <c r="D347" s="13">
        <f>Place_data_here!B347</f>
        <v>0</v>
      </c>
    </row>
    <row r="348" spans="1:4" x14ac:dyDescent="0.25">
      <c r="A348" s="16">
        <f>Place_data_here!A348</f>
        <v>0</v>
      </c>
      <c r="B348" s="4" t="e">
        <f t="shared" si="5"/>
        <v>#VALUE!</v>
      </c>
      <c r="C348" s="1" t="e">
        <f>SplineInterp(A348,Own_Spectrum_100cm!$U$2:$U$34,Own_Spectrum_100cm!$V$2:$V$34)*D348</f>
        <v>#VALUE!</v>
      </c>
      <c r="D348" s="13">
        <f>Place_data_here!B348</f>
        <v>0</v>
      </c>
    </row>
    <row r="349" spans="1:4" x14ac:dyDescent="0.25">
      <c r="A349" s="16">
        <f>Place_data_here!A349</f>
        <v>0</v>
      </c>
      <c r="B349" s="4" t="e">
        <f t="shared" si="5"/>
        <v>#VALUE!</v>
      </c>
      <c r="C349" s="1" t="e">
        <f>SplineInterp(A349,Own_Spectrum_100cm!$U$2:$U$34,Own_Spectrum_100cm!$V$2:$V$34)*D349</f>
        <v>#VALUE!</v>
      </c>
      <c r="D349" s="13">
        <f>Place_data_here!B349</f>
        <v>0</v>
      </c>
    </row>
    <row r="350" spans="1:4" x14ac:dyDescent="0.25">
      <c r="A350" s="16">
        <f>Place_data_here!A350</f>
        <v>0</v>
      </c>
      <c r="B350" s="4" t="e">
        <f t="shared" si="5"/>
        <v>#VALUE!</v>
      </c>
      <c r="C350" s="1" t="e">
        <f>SplineInterp(A350,Own_Spectrum_100cm!$U$2:$U$34,Own_Spectrum_100cm!$V$2:$V$34)*D350</f>
        <v>#VALUE!</v>
      </c>
      <c r="D350" s="13">
        <f>Place_data_here!B350</f>
        <v>0</v>
      </c>
    </row>
    <row r="351" spans="1:4" x14ac:dyDescent="0.25">
      <c r="A351" s="16">
        <f>Place_data_here!A351</f>
        <v>0</v>
      </c>
      <c r="B351" s="4" t="e">
        <f t="shared" si="5"/>
        <v>#VALUE!</v>
      </c>
      <c r="C351" s="1" t="e">
        <f>SplineInterp(A351,Own_Spectrum_100cm!$U$2:$U$34,Own_Spectrum_100cm!$V$2:$V$34)*D351</f>
        <v>#VALUE!</v>
      </c>
      <c r="D351" s="13">
        <f>Place_data_here!B351</f>
        <v>0</v>
      </c>
    </row>
    <row r="352" spans="1:4" x14ac:dyDescent="0.25">
      <c r="A352" s="16">
        <f>Place_data_here!A352</f>
        <v>0</v>
      </c>
      <c r="B352" s="4" t="e">
        <f t="shared" si="5"/>
        <v>#VALUE!</v>
      </c>
      <c r="C352" s="1" t="e">
        <f>SplineInterp(A352,Own_Spectrum_100cm!$U$2:$U$34,Own_Spectrum_100cm!$V$2:$V$34)*D352</f>
        <v>#VALUE!</v>
      </c>
      <c r="D352" s="13">
        <f>Place_data_here!B352</f>
        <v>0</v>
      </c>
    </row>
    <row r="353" spans="1:4" x14ac:dyDescent="0.25">
      <c r="A353" s="16">
        <f>Place_data_here!A353</f>
        <v>0</v>
      </c>
      <c r="B353" s="4" t="e">
        <f t="shared" si="5"/>
        <v>#VALUE!</v>
      </c>
      <c r="C353" s="1" t="e">
        <f>SplineInterp(A353,Own_Spectrum_100cm!$U$2:$U$34,Own_Spectrum_100cm!$V$2:$V$34)*D353</f>
        <v>#VALUE!</v>
      </c>
      <c r="D353" s="13">
        <f>Place_data_here!B353</f>
        <v>0</v>
      </c>
    </row>
    <row r="354" spans="1:4" x14ac:dyDescent="0.25">
      <c r="A354" s="16">
        <f>Place_data_here!A354</f>
        <v>0</v>
      </c>
      <c r="B354" s="4" t="e">
        <f t="shared" si="5"/>
        <v>#VALUE!</v>
      </c>
      <c r="C354" s="1" t="e">
        <f>SplineInterp(A354,Own_Spectrum_100cm!$U$2:$U$34,Own_Spectrum_100cm!$V$2:$V$34)*D354</f>
        <v>#VALUE!</v>
      </c>
      <c r="D354" s="13">
        <f>Place_data_here!B354</f>
        <v>0</v>
      </c>
    </row>
    <row r="355" spans="1:4" x14ac:dyDescent="0.25">
      <c r="A355" s="16">
        <f>Place_data_here!A355</f>
        <v>0</v>
      </c>
      <c r="B355" s="4" t="e">
        <f t="shared" si="5"/>
        <v>#VALUE!</v>
      </c>
      <c r="C355" s="1" t="e">
        <f>SplineInterp(A355,Own_Spectrum_100cm!$U$2:$U$34,Own_Spectrum_100cm!$V$2:$V$34)*D355</f>
        <v>#VALUE!</v>
      </c>
      <c r="D355" s="13">
        <f>Place_data_here!B355</f>
        <v>0</v>
      </c>
    </row>
    <row r="356" spans="1:4" x14ac:dyDescent="0.25">
      <c r="A356" s="16">
        <f>Place_data_here!A356</f>
        <v>0</v>
      </c>
      <c r="B356" s="4" t="e">
        <f t="shared" si="5"/>
        <v>#VALUE!</v>
      </c>
      <c r="C356" s="1" t="e">
        <f>SplineInterp(A356,Own_Spectrum_100cm!$U$2:$U$34,Own_Spectrum_100cm!$V$2:$V$34)*D356</f>
        <v>#VALUE!</v>
      </c>
      <c r="D356" s="13">
        <f>Place_data_here!B356</f>
        <v>0</v>
      </c>
    </row>
    <row r="357" spans="1:4" x14ac:dyDescent="0.25">
      <c r="A357" s="16">
        <f>Place_data_here!A357</f>
        <v>0</v>
      </c>
      <c r="B357" s="4" t="e">
        <f t="shared" si="5"/>
        <v>#VALUE!</v>
      </c>
      <c r="C357" s="1" t="e">
        <f>SplineInterp(A357,Own_Spectrum_100cm!$U$2:$U$34,Own_Spectrum_100cm!$V$2:$V$34)*D357</f>
        <v>#VALUE!</v>
      </c>
      <c r="D357" s="13">
        <f>Place_data_here!B357</f>
        <v>0</v>
      </c>
    </row>
    <row r="358" spans="1:4" x14ac:dyDescent="0.25">
      <c r="A358" s="16">
        <f>Place_data_here!A358</f>
        <v>0</v>
      </c>
      <c r="B358" s="4" t="e">
        <f t="shared" si="5"/>
        <v>#VALUE!</v>
      </c>
      <c r="C358" s="1" t="e">
        <f>SplineInterp(A358,Own_Spectrum_100cm!$U$2:$U$34,Own_Spectrum_100cm!$V$2:$V$34)*D358</f>
        <v>#VALUE!</v>
      </c>
      <c r="D358" s="13">
        <f>Place_data_here!B358</f>
        <v>0</v>
      </c>
    </row>
    <row r="359" spans="1:4" x14ac:dyDescent="0.25">
      <c r="A359" s="16">
        <f>Place_data_here!A359</f>
        <v>0</v>
      </c>
      <c r="B359" s="4" t="e">
        <f t="shared" si="5"/>
        <v>#VALUE!</v>
      </c>
      <c r="C359" s="1" t="e">
        <f>SplineInterp(A359,Own_Spectrum_100cm!$U$2:$U$34,Own_Spectrum_100cm!$V$2:$V$34)*D359</f>
        <v>#VALUE!</v>
      </c>
      <c r="D359" s="13">
        <f>Place_data_here!B359</f>
        <v>0</v>
      </c>
    </row>
    <row r="360" spans="1:4" x14ac:dyDescent="0.25">
      <c r="A360" s="16">
        <f>Place_data_here!A360</f>
        <v>0</v>
      </c>
      <c r="B360" s="4" t="e">
        <f t="shared" si="5"/>
        <v>#VALUE!</v>
      </c>
      <c r="C360" s="1" t="e">
        <f>SplineInterp(A360,Own_Spectrum_100cm!$U$2:$U$34,Own_Spectrum_100cm!$V$2:$V$34)*D360</f>
        <v>#VALUE!</v>
      </c>
      <c r="D360" s="13">
        <f>Place_data_here!B360</f>
        <v>0</v>
      </c>
    </row>
    <row r="361" spans="1:4" x14ac:dyDescent="0.25">
      <c r="A361" s="16">
        <f>Place_data_here!A361</f>
        <v>0</v>
      </c>
      <c r="B361" s="4" t="e">
        <f t="shared" si="5"/>
        <v>#VALUE!</v>
      </c>
      <c r="C361" s="1" t="e">
        <f>SplineInterp(A361,Own_Spectrum_100cm!$U$2:$U$34,Own_Spectrum_100cm!$V$2:$V$34)*D361</f>
        <v>#VALUE!</v>
      </c>
      <c r="D361" s="13">
        <f>Place_data_here!B361</f>
        <v>0</v>
      </c>
    </row>
    <row r="362" spans="1:4" x14ac:dyDescent="0.25">
      <c r="A362" s="16">
        <f>Place_data_here!A362</f>
        <v>0</v>
      </c>
      <c r="B362" s="4" t="e">
        <f t="shared" si="5"/>
        <v>#VALUE!</v>
      </c>
      <c r="C362" s="1" t="e">
        <f>SplineInterp(A362,Own_Spectrum_100cm!$U$2:$U$34,Own_Spectrum_100cm!$V$2:$V$34)*D362</f>
        <v>#VALUE!</v>
      </c>
      <c r="D362" s="13">
        <f>Place_data_here!B362</f>
        <v>0</v>
      </c>
    </row>
    <row r="363" spans="1:4" x14ac:dyDescent="0.25">
      <c r="A363" s="16">
        <f>Place_data_here!A363</f>
        <v>0</v>
      </c>
      <c r="B363" s="4" t="e">
        <f t="shared" si="5"/>
        <v>#VALUE!</v>
      </c>
      <c r="C363" s="1" t="e">
        <f>SplineInterp(A363,Own_Spectrum_100cm!$U$2:$U$34,Own_Spectrum_100cm!$V$2:$V$34)*D363</f>
        <v>#VALUE!</v>
      </c>
      <c r="D363" s="13">
        <f>Place_data_here!B363</f>
        <v>0</v>
      </c>
    </row>
    <row r="364" spans="1:4" x14ac:dyDescent="0.25">
      <c r="A364" s="16">
        <f>Place_data_here!A364</f>
        <v>0</v>
      </c>
      <c r="B364" s="4" t="e">
        <f t="shared" si="5"/>
        <v>#VALUE!</v>
      </c>
      <c r="C364" s="1" t="e">
        <f>SplineInterp(A364,Own_Spectrum_100cm!$U$2:$U$34,Own_Spectrum_100cm!$V$2:$V$34)*D364</f>
        <v>#VALUE!</v>
      </c>
      <c r="D364" s="13">
        <f>Place_data_here!B364</f>
        <v>0</v>
      </c>
    </row>
    <row r="365" spans="1:4" x14ac:dyDescent="0.25">
      <c r="A365" s="16">
        <f>Place_data_here!A365</f>
        <v>0</v>
      </c>
      <c r="B365" s="4" t="e">
        <f t="shared" si="5"/>
        <v>#VALUE!</v>
      </c>
      <c r="C365" s="1" t="e">
        <f>SplineInterp(A365,Own_Spectrum_100cm!$U$2:$U$34,Own_Spectrum_100cm!$V$2:$V$34)*D365</f>
        <v>#VALUE!</v>
      </c>
      <c r="D365" s="13">
        <f>Place_data_here!B365</f>
        <v>0</v>
      </c>
    </row>
    <row r="366" spans="1:4" x14ac:dyDescent="0.25">
      <c r="A366" s="16">
        <f>Place_data_here!A366</f>
        <v>0</v>
      </c>
      <c r="B366" s="4" t="e">
        <f t="shared" si="5"/>
        <v>#VALUE!</v>
      </c>
      <c r="C366" s="1" t="e">
        <f>SplineInterp(A366,Own_Spectrum_100cm!$U$2:$U$34,Own_Spectrum_100cm!$V$2:$V$34)*D366</f>
        <v>#VALUE!</v>
      </c>
      <c r="D366" s="13">
        <f>Place_data_here!B366</f>
        <v>0</v>
      </c>
    </row>
    <row r="367" spans="1:4" x14ac:dyDescent="0.25">
      <c r="A367" s="16">
        <f>Place_data_here!A367</f>
        <v>0</v>
      </c>
      <c r="B367" s="4" t="e">
        <f t="shared" si="5"/>
        <v>#VALUE!</v>
      </c>
      <c r="C367" s="1" t="e">
        <f>SplineInterp(A367,Own_Spectrum_100cm!$U$2:$U$34,Own_Spectrum_100cm!$V$2:$V$34)*D367</f>
        <v>#VALUE!</v>
      </c>
      <c r="D367" s="13">
        <f>Place_data_here!B367</f>
        <v>0</v>
      </c>
    </row>
    <row r="368" spans="1:4" x14ac:dyDescent="0.25">
      <c r="A368" s="16">
        <f>Place_data_here!A368</f>
        <v>0</v>
      </c>
      <c r="B368" s="4" t="e">
        <f t="shared" si="5"/>
        <v>#VALUE!</v>
      </c>
      <c r="C368" s="1" t="e">
        <f>SplineInterp(A368,Own_Spectrum_100cm!$U$2:$U$34,Own_Spectrum_100cm!$V$2:$V$34)*D368</f>
        <v>#VALUE!</v>
      </c>
      <c r="D368" s="13">
        <f>Place_data_here!B368</f>
        <v>0</v>
      </c>
    </row>
    <row r="369" spans="1:4" x14ac:dyDescent="0.25">
      <c r="A369" s="16">
        <f>Place_data_here!A369</f>
        <v>0</v>
      </c>
      <c r="B369" s="4" t="e">
        <f t="shared" si="5"/>
        <v>#VALUE!</v>
      </c>
      <c r="C369" s="1" t="e">
        <f>SplineInterp(A369,Own_Spectrum_100cm!$U$2:$U$34,Own_Spectrum_100cm!$V$2:$V$34)*D369</f>
        <v>#VALUE!</v>
      </c>
      <c r="D369" s="13">
        <f>Place_data_here!B369</f>
        <v>0</v>
      </c>
    </row>
    <row r="370" spans="1:4" x14ac:dyDescent="0.25">
      <c r="A370" s="16">
        <f>Place_data_here!A370</f>
        <v>0</v>
      </c>
      <c r="B370" s="4" t="e">
        <f t="shared" si="5"/>
        <v>#VALUE!</v>
      </c>
      <c r="C370" s="1" t="e">
        <f>SplineInterp(A370,Own_Spectrum_100cm!$U$2:$U$34,Own_Spectrum_100cm!$V$2:$V$34)*D370</f>
        <v>#VALUE!</v>
      </c>
      <c r="D370" s="13">
        <f>Place_data_here!B370</f>
        <v>0</v>
      </c>
    </row>
    <row r="371" spans="1:4" x14ac:dyDescent="0.25">
      <c r="A371" s="16">
        <f>Place_data_here!A371</f>
        <v>0</v>
      </c>
      <c r="B371" s="4" t="e">
        <f t="shared" si="5"/>
        <v>#VALUE!</v>
      </c>
      <c r="C371" s="1" t="e">
        <f>SplineInterp(A371,Own_Spectrum_100cm!$U$2:$U$34,Own_Spectrum_100cm!$V$2:$V$34)*D371</f>
        <v>#VALUE!</v>
      </c>
      <c r="D371" s="13">
        <f>Place_data_here!B371</f>
        <v>0</v>
      </c>
    </row>
    <row r="372" spans="1:4" x14ac:dyDescent="0.25">
      <c r="A372" s="16">
        <f>Place_data_here!A372</f>
        <v>0</v>
      </c>
      <c r="B372" s="4" t="e">
        <f t="shared" si="5"/>
        <v>#VALUE!</v>
      </c>
      <c r="C372" s="1" t="e">
        <f>SplineInterp(A372,Own_Spectrum_100cm!$U$2:$U$34,Own_Spectrum_100cm!$V$2:$V$34)*D372</f>
        <v>#VALUE!</v>
      </c>
      <c r="D372" s="13">
        <f>Place_data_here!B372</f>
        <v>0</v>
      </c>
    </row>
    <row r="373" spans="1:4" x14ac:dyDescent="0.25">
      <c r="A373" s="16">
        <f>Place_data_here!A373</f>
        <v>0</v>
      </c>
      <c r="B373" s="4" t="e">
        <f t="shared" si="5"/>
        <v>#VALUE!</v>
      </c>
      <c r="C373" s="1" t="e">
        <f>SplineInterp(A373,Own_Spectrum_100cm!$U$2:$U$34,Own_Spectrum_100cm!$V$2:$V$34)*D373</f>
        <v>#VALUE!</v>
      </c>
      <c r="D373" s="13">
        <f>Place_data_here!B373</f>
        <v>0</v>
      </c>
    </row>
    <row r="374" spans="1:4" x14ac:dyDescent="0.25">
      <c r="A374" s="16">
        <f>Place_data_here!A374</f>
        <v>0</v>
      </c>
      <c r="B374" s="4" t="e">
        <f t="shared" si="5"/>
        <v>#VALUE!</v>
      </c>
      <c r="C374" s="1" t="e">
        <f>SplineInterp(A374,Own_Spectrum_100cm!$U$2:$U$34,Own_Spectrum_100cm!$V$2:$V$34)*D374</f>
        <v>#VALUE!</v>
      </c>
      <c r="D374" s="13">
        <f>Place_data_here!B374</f>
        <v>0</v>
      </c>
    </row>
    <row r="375" spans="1:4" x14ac:dyDescent="0.25">
      <c r="A375" s="16">
        <f>Place_data_here!A375</f>
        <v>0</v>
      </c>
      <c r="B375" s="4" t="e">
        <f t="shared" si="5"/>
        <v>#VALUE!</v>
      </c>
      <c r="C375" s="1" t="e">
        <f>SplineInterp(A375,Own_Spectrum_100cm!$U$2:$U$34,Own_Spectrum_100cm!$V$2:$V$34)*D375</f>
        <v>#VALUE!</v>
      </c>
      <c r="D375" s="13">
        <f>Place_data_here!B375</f>
        <v>0</v>
      </c>
    </row>
    <row r="376" spans="1:4" x14ac:dyDescent="0.25">
      <c r="A376" s="16">
        <f>Place_data_here!A376</f>
        <v>0</v>
      </c>
      <c r="B376" s="4" t="e">
        <f t="shared" si="5"/>
        <v>#VALUE!</v>
      </c>
      <c r="C376" s="1" t="e">
        <f>SplineInterp(A376,Own_Spectrum_100cm!$U$2:$U$34,Own_Spectrum_100cm!$V$2:$V$34)*D376</f>
        <v>#VALUE!</v>
      </c>
      <c r="D376" s="13">
        <f>Place_data_here!B376</f>
        <v>0</v>
      </c>
    </row>
    <row r="377" spans="1:4" x14ac:dyDescent="0.25">
      <c r="A377" s="16">
        <f>Place_data_here!A377</f>
        <v>0</v>
      </c>
      <c r="B377" s="4" t="e">
        <f t="shared" si="5"/>
        <v>#VALUE!</v>
      </c>
      <c r="C377" s="1" t="e">
        <f>SplineInterp(A377,Own_Spectrum_100cm!$U$2:$U$34,Own_Spectrum_100cm!$V$2:$V$34)*D377</f>
        <v>#VALUE!</v>
      </c>
      <c r="D377" s="13">
        <f>Place_data_here!B377</f>
        <v>0</v>
      </c>
    </row>
    <row r="378" spans="1:4" x14ac:dyDescent="0.25">
      <c r="A378" s="16">
        <f>Place_data_here!A378</f>
        <v>0</v>
      </c>
      <c r="B378" s="4" t="e">
        <f t="shared" si="5"/>
        <v>#VALUE!</v>
      </c>
      <c r="C378" s="1" t="e">
        <f>SplineInterp(A378,Own_Spectrum_100cm!$U$2:$U$34,Own_Spectrum_100cm!$V$2:$V$34)*D378</f>
        <v>#VALUE!</v>
      </c>
      <c r="D378" s="13">
        <f>Place_data_here!B378</f>
        <v>0</v>
      </c>
    </row>
    <row r="379" spans="1:4" x14ac:dyDescent="0.25">
      <c r="A379" s="16">
        <f>Place_data_here!A379</f>
        <v>0</v>
      </c>
      <c r="B379" s="4" t="e">
        <f t="shared" si="5"/>
        <v>#VALUE!</v>
      </c>
      <c r="C379" s="1" t="e">
        <f>SplineInterp(A379,Own_Spectrum_100cm!$U$2:$U$34,Own_Spectrum_100cm!$V$2:$V$34)*D379</f>
        <v>#VALUE!</v>
      </c>
      <c r="D379" s="13">
        <f>Place_data_here!B379</f>
        <v>0</v>
      </c>
    </row>
    <row r="380" spans="1:4" x14ac:dyDescent="0.25">
      <c r="A380" s="16">
        <f>Place_data_here!A380</f>
        <v>0</v>
      </c>
      <c r="B380" s="4" t="e">
        <f t="shared" si="5"/>
        <v>#VALUE!</v>
      </c>
      <c r="C380" s="1" t="e">
        <f>SplineInterp(A380,Own_Spectrum_100cm!$U$2:$U$34,Own_Spectrum_100cm!$V$2:$V$34)*D380</f>
        <v>#VALUE!</v>
      </c>
      <c r="D380" s="13">
        <f>Place_data_here!B380</f>
        <v>0</v>
      </c>
    </row>
    <row r="381" spans="1:4" x14ac:dyDescent="0.25">
      <c r="A381" s="16">
        <f>Place_data_here!A381</f>
        <v>0</v>
      </c>
      <c r="B381" s="4" t="e">
        <f t="shared" si="5"/>
        <v>#VALUE!</v>
      </c>
      <c r="C381" s="1" t="e">
        <f>SplineInterp(A381,Own_Spectrum_100cm!$U$2:$U$34,Own_Spectrum_100cm!$V$2:$V$34)*D381</f>
        <v>#VALUE!</v>
      </c>
      <c r="D381" s="13">
        <f>Place_data_here!B381</f>
        <v>0</v>
      </c>
    </row>
    <row r="382" spans="1:4" x14ac:dyDescent="0.25">
      <c r="A382" s="16">
        <f>Place_data_here!A382</f>
        <v>0</v>
      </c>
      <c r="B382" s="4" t="e">
        <f t="shared" si="5"/>
        <v>#VALUE!</v>
      </c>
      <c r="C382" s="1" t="e">
        <f>SplineInterp(A382,Own_Spectrum_100cm!$U$2:$U$34,Own_Spectrum_100cm!$V$2:$V$34)*D382</f>
        <v>#VALUE!</v>
      </c>
      <c r="D382" s="13">
        <f>Place_data_here!B382</f>
        <v>0</v>
      </c>
    </row>
    <row r="383" spans="1:4" x14ac:dyDescent="0.25">
      <c r="A383" s="16">
        <f>Place_data_here!A383</f>
        <v>0</v>
      </c>
      <c r="B383" s="4" t="e">
        <f t="shared" si="5"/>
        <v>#VALUE!</v>
      </c>
      <c r="C383" s="1" t="e">
        <f>SplineInterp(A383,Own_Spectrum_100cm!$U$2:$U$34,Own_Spectrum_100cm!$V$2:$V$34)*D383</f>
        <v>#VALUE!</v>
      </c>
      <c r="D383" s="13">
        <f>Place_data_here!B383</f>
        <v>0</v>
      </c>
    </row>
    <row r="384" spans="1:4" x14ac:dyDescent="0.25">
      <c r="A384" s="16">
        <f>Place_data_here!A384</f>
        <v>0</v>
      </c>
      <c r="B384" s="4" t="e">
        <f t="shared" si="5"/>
        <v>#VALUE!</v>
      </c>
      <c r="C384" s="1" t="e">
        <f>SplineInterp(A384,Own_Spectrum_100cm!$U$2:$U$34,Own_Spectrum_100cm!$V$2:$V$34)*D384</f>
        <v>#VALUE!</v>
      </c>
      <c r="D384" s="13">
        <f>Place_data_here!B384</f>
        <v>0</v>
      </c>
    </row>
    <row r="385" spans="1:4" x14ac:dyDescent="0.25">
      <c r="A385" s="16">
        <f>Place_data_here!A385</f>
        <v>0</v>
      </c>
      <c r="B385" s="4" t="e">
        <f t="shared" si="5"/>
        <v>#VALUE!</v>
      </c>
      <c r="C385" s="1" t="e">
        <f>SplineInterp(A385,Own_Spectrum_100cm!$U$2:$U$34,Own_Spectrum_100cm!$V$2:$V$34)*D385</f>
        <v>#VALUE!</v>
      </c>
      <c r="D385" s="13">
        <f>Place_data_here!B385</f>
        <v>0</v>
      </c>
    </row>
    <row r="386" spans="1:4" x14ac:dyDescent="0.25">
      <c r="A386" s="16">
        <f>Place_data_here!A386</f>
        <v>0</v>
      </c>
      <c r="B386" s="4" t="e">
        <f t="shared" si="5"/>
        <v>#VALUE!</v>
      </c>
      <c r="C386" s="1" t="e">
        <f>SplineInterp(A386,Own_Spectrum_100cm!$U$2:$U$34,Own_Spectrum_100cm!$V$2:$V$34)*D386</f>
        <v>#VALUE!</v>
      </c>
      <c r="D386" s="13">
        <f>Place_data_here!B386</f>
        <v>0</v>
      </c>
    </row>
    <row r="387" spans="1:4" x14ac:dyDescent="0.25">
      <c r="A387" s="16">
        <f>Place_data_here!A387</f>
        <v>0</v>
      </c>
      <c r="B387" s="4" t="e">
        <f t="shared" ref="B387:B450" si="6">C387/$C$1028</f>
        <v>#VALUE!</v>
      </c>
      <c r="C387" s="1" t="e">
        <f>SplineInterp(A387,Own_Spectrum_100cm!$U$2:$U$34,Own_Spectrum_100cm!$V$2:$V$34)*D387</f>
        <v>#VALUE!</v>
      </c>
      <c r="D387" s="13">
        <f>Place_data_here!B387</f>
        <v>0</v>
      </c>
    </row>
    <row r="388" spans="1:4" x14ac:dyDescent="0.25">
      <c r="A388" s="16">
        <f>Place_data_here!A388</f>
        <v>0</v>
      </c>
      <c r="B388" s="4" t="e">
        <f t="shared" si="6"/>
        <v>#VALUE!</v>
      </c>
      <c r="C388" s="1" t="e">
        <f>SplineInterp(A388,Own_Spectrum_100cm!$U$2:$U$34,Own_Spectrum_100cm!$V$2:$V$34)*D388</f>
        <v>#VALUE!</v>
      </c>
      <c r="D388" s="13">
        <f>Place_data_here!B388</f>
        <v>0</v>
      </c>
    </row>
    <row r="389" spans="1:4" x14ac:dyDescent="0.25">
      <c r="A389" s="16">
        <f>Place_data_here!A389</f>
        <v>0</v>
      </c>
      <c r="B389" s="4" t="e">
        <f t="shared" si="6"/>
        <v>#VALUE!</v>
      </c>
      <c r="C389" s="1" t="e">
        <f>SplineInterp(A389,Own_Spectrum_100cm!$U$2:$U$34,Own_Spectrum_100cm!$V$2:$V$34)*D389</f>
        <v>#VALUE!</v>
      </c>
      <c r="D389" s="13">
        <f>Place_data_here!B389</f>
        <v>0</v>
      </c>
    </row>
    <row r="390" spans="1:4" x14ac:dyDescent="0.25">
      <c r="A390" s="16">
        <f>Place_data_here!A390</f>
        <v>0</v>
      </c>
      <c r="B390" s="4" t="e">
        <f t="shared" si="6"/>
        <v>#VALUE!</v>
      </c>
      <c r="C390" s="1" t="e">
        <f>SplineInterp(A390,Own_Spectrum_100cm!$U$2:$U$34,Own_Spectrum_100cm!$V$2:$V$34)*D390</f>
        <v>#VALUE!</v>
      </c>
      <c r="D390" s="13">
        <f>Place_data_here!B390</f>
        <v>0</v>
      </c>
    </row>
    <row r="391" spans="1:4" x14ac:dyDescent="0.25">
      <c r="A391" s="16">
        <f>Place_data_here!A391</f>
        <v>0</v>
      </c>
      <c r="B391" s="4" t="e">
        <f t="shared" si="6"/>
        <v>#VALUE!</v>
      </c>
      <c r="C391" s="1" t="e">
        <f>SplineInterp(A391,Own_Spectrum_100cm!$U$2:$U$34,Own_Spectrum_100cm!$V$2:$V$34)*D391</f>
        <v>#VALUE!</v>
      </c>
      <c r="D391" s="13">
        <f>Place_data_here!B391</f>
        <v>0</v>
      </c>
    </row>
    <row r="392" spans="1:4" x14ac:dyDescent="0.25">
      <c r="A392" s="16">
        <f>Place_data_here!A392</f>
        <v>0</v>
      </c>
      <c r="B392" s="4" t="e">
        <f t="shared" si="6"/>
        <v>#VALUE!</v>
      </c>
      <c r="C392" s="1" t="e">
        <f>SplineInterp(A392,Own_Spectrum_100cm!$U$2:$U$34,Own_Spectrum_100cm!$V$2:$V$34)*D392</f>
        <v>#VALUE!</v>
      </c>
      <c r="D392" s="13">
        <f>Place_data_here!B392</f>
        <v>0</v>
      </c>
    </row>
    <row r="393" spans="1:4" x14ac:dyDescent="0.25">
      <c r="A393" s="16">
        <f>Place_data_here!A393</f>
        <v>0</v>
      </c>
      <c r="B393" s="4" t="e">
        <f t="shared" si="6"/>
        <v>#VALUE!</v>
      </c>
      <c r="C393" s="1" t="e">
        <f>SplineInterp(A393,Own_Spectrum_100cm!$U$2:$U$34,Own_Spectrum_100cm!$V$2:$V$34)*D393</f>
        <v>#VALUE!</v>
      </c>
      <c r="D393" s="13">
        <f>Place_data_here!B393</f>
        <v>0</v>
      </c>
    </row>
    <row r="394" spans="1:4" x14ac:dyDescent="0.25">
      <c r="A394" s="16">
        <f>Place_data_here!A394</f>
        <v>0</v>
      </c>
      <c r="B394" s="4" t="e">
        <f t="shared" si="6"/>
        <v>#VALUE!</v>
      </c>
      <c r="C394" s="1" t="e">
        <f>SplineInterp(A394,Own_Spectrum_100cm!$U$2:$U$34,Own_Spectrum_100cm!$V$2:$V$34)*D394</f>
        <v>#VALUE!</v>
      </c>
      <c r="D394" s="13">
        <f>Place_data_here!B394</f>
        <v>0</v>
      </c>
    </row>
    <row r="395" spans="1:4" x14ac:dyDescent="0.25">
      <c r="A395" s="16">
        <f>Place_data_here!A395</f>
        <v>0</v>
      </c>
      <c r="B395" s="4" t="e">
        <f t="shared" si="6"/>
        <v>#VALUE!</v>
      </c>
      <c r="C395" s="1" t="e">
        <f>SplineInterp(A395,Own_Spectrum_100cm!$U$2:$U$34,Own_Spectrum_100cm!$V$2:$V$34)*D395</f>
        <v>#VALUE!</v>
      </c>
      <c r="D395" s="13">
        <f>Place_data_here!B395</f>
        <v>0</v>
      </c>
    </row>
    <row r="396" spans="1:4" x14ac:dyDescent="0.25">
      <c r="A396" s="16">
        <f>Place_data_here!A396</f>
        <v>0</v>
      </c>
      <c r="B396" s="4" t="e">
        <f t="shared" si="6"/>
        <v>#VALUE!</v>
      </c>
      <c r="C396" s="1" t="e">
        <f>SplineInterp(A396,Own_Spectrum_100cm!$U$2:$U$34,Own_Spectrum_100cm!$V$2:$V$34)*D396</f>
        <v>#VALUE!</v>
      </c>
      <c r="D396" s="13">
        <f>Place_data_here!B396</f>
        <v>0</v>
      </c>
    </row>
    <row r="397" spans="1:4" x14ac:dyDescent="0.25">
      <c r="A397" s="16">
        <f>Place_data_here!A397</f>
        <v>0</v>
      </c>
      <c r="B397" s="4" t="e">
        <f t="shared" si="6"/>
        <v>#VALUE!</v>
      </c>
      <c r="C397" s="1" t="e">
        <f>SplineInterp(A397,Own_Spectrum_100cm!$U$2:$U$34,Own_Spectrum_100cm!$V$2:$V$34)*D397</f>
        <v>#VALUE!</v>
      </c>
      <c r="D397" s="13">
        <f>Place_data_here!B397</f>
        <v>0</v>
      </c>
    </row>
    <row r="398" spans="1:4" x14ac:dyDescent="0.25">
      <c r="A398" s="16">
        <f>Place_data_here!A398</f>
        <v>0</v>
      </c>
      <c r="B398" s="4" t="e">
        <f t="shared" si="6"/>
        <v>#VALUE!</v>
      </c>
      <c r="C398" s="1" t="e">
        <f>SplineInterp(A398,Own_Spectrum_100cm!$U$2:$U$34,Own_Spectrum_100cm!$V$2:$V$34)*D398</f>
        <v>#VALUE!</v>
      </c>
      <c r="D398" s="13">
        <f>Place_data_here!B398</f>
        <v>0</v>
      </c>
    </row>
    <row r="399" spans="1:4" x14ac:dyDescent="0.25">
      <c r="A399" s="16">
        <f>Place_data_here!A399</f>
        <v>0</v>
      </c>
      <c r="B399" s="4" t="e">
        <f t="shared" si="6"/>
        <v>#VALUE!</v>
      </c>
      <c r="C399" s="1" t="e">
        <f>SplineInterp(A399,Own_Spectrum_100cm!$U$2:$U$34,Own_Spectrum_100cm!$V$2:$V$34)*D399</f>
        <v>#VALUE!</v>
      </c>
      <c r="D399" s="13">
        <f>Place_data_here!B399</f>
        <v>0</v>
      </c>
    </row>
    <row r="400" spans="1:4" x14ac:dyDescent="0.25">
      <c r="A400" s="16">
        <f>Place_data_here!A400</f>
        <v>0</v>
      </c>
      <c r="B400" s="4" t="e">
        <f t="shared" si="6"/>
        <v>#VALUE!</v>
      </c>
      <c r="C400" s="1" t="e">
        <f>SplineInterp(A400,Own_Spectrum_100cm!$U$2:$U$34,Own_Spectrum_100cm!$V$2:$V$34)*D400</f>
        <v>#VALUE!</v>
      </c>
      <c r="D400" s="13">
        <f>Place_data_here!B400</f>
        <v>0</v>
      </c>
    </row>
    <row r="401" spans="1:4" x14ac:dyDescent="0.25">
      <c r="A401" s="16">
        <f>Place_data_here!A401</f>
        <v>0</v>
      </c>
      <c r="B401" s="4" t="e">
        <f t="shared" si="6"/>
        <v>#VALUE!</v>
      </c>
      <c r="C401" s="1" t="e">
        <f>SplineInterp(A401,Own_Spectrum_100cm!$U$2:$U$34,Own_Spectrum_100cm!$V$2:$V$34)*D401</f>
        <v>#VALUE!</v>
      </c>
      <c r="D401" s="13">
        <f>Place_data_here!B401</f>
        <v>0</v>
      </c>
    </row>
    <row r="402" spans="1:4" x14ac:dyDescent="0.25">
      <c r="A402" s="16">
        <f>Place_data_here!A402</f>
        <v>0</v>
      </c>
      <c r="B402" s="4" t="e">
        <f t="shared" si="6"/>
        <v>#VALUE!</v>
      </c>
      <c r="C402" s="1" t="e">
        <f>SplineInterp(A402,Own_Spectrum_100cm!$U$2:$U$34,Own_Spectrum_100cm!$V$2:$V$34)*D402</f>
        <v>#VALUE!</v>
      </c>
      <c r="D402" s="13">
        <f>Place_data_here!B402</f>
        <v>0</v>
      </c>
    </row>
    <row r="403" spans="1:4" x14ac:dyDescent="0.25">
      <c r="A403" s="16">
        <f>Place_data_here!A403</f>
        <v>0</v>
      </c>
      <c r="B403" s="4" t="e">
        <f t="shared" si="6"/>
        <v>#VALUE!</v>
      </c>
      <c r="C403" s="1" t="e">
        <f>SplineInterp(A403,Own_Spectrum_100cm!$U$2:$U$34,Own_Spectrum_100cm!$V$2:$V$34)*D403</f>
        <v>#VALUE!</v>
      </c>
      <c r="D403" s="13">
        <f>Place_data_here!B403</f>
        <v>0</v>
      </c>
    </row>
    <row r="404" spans="1:4" x14ac:dyDescent="0.25">
      <c r="A404" s="16">
        <f>Place_data_here!A404</f>
        <v>0</v>
      </c>
      <c r="B404" s="4" t="e">
        <f t="shared" si="6"/>
        <v>#VALUE!</v>
      </c>
      <c r="C404" s="1" t="e">
        <f>SplineInterp(A404,Own_Spectrum_100cm!$U$2:$U$34,Own_Spectrum_100cm!$V$2:$V$34)*D404</f>
        <v>#VALUE!</v>
      </c>
      <c r="D404" s="13">
        <f>Place_data_here!B404</f>
        <v>0</v>
      </c>
    </row>
    <row r="405" spans="1:4" x14ac:dyDescent="0.25">
      <c r="A405" s="16">
        <f>Place_data_here!A405</f>
        <v>0</v>
      </c>
      <c r="B405" s="4" t="e">
        <f t="shared" si="6"/>
        <v>#VALUE!</v>
      </c>
      <c r="C405" s="1" t="e">
        <f>SplineInterp(A405,Own_Spectrum_100cm!$U$2:$U$34,Own_Spectrum_100cm!$V$2:$V$34)*D405</f>
        <v>#VALUE!</v>
      </c>
      <c r="D405" s="13">
        <f>Place_data_here!B405</f>
        <v>0</v>
      </c>
    </row>
    <row r="406" spans="1:4" x14ac:dyDescent="0.25">
      <c r="A406" s="16">
        <f>Place_data_here!A406</f>
        <v>0</v>
      </c>
      <c r="B406" s="4" t="e">
        <f t="shared" si="6"/>
        <v>#VALUE!</v>
      </c>
      <c r="C406" s="1" t="e">
        <f>SplineInterp(A406,Own_Spectrum_100cm!$U$2:$U$34,Own_Spectrum_100cm!$V$2:$V$34)*D406</f>
        <v>#VALUE!</v>
      </c>
      <c r="D406" s="13">
        <f>Place_data_here!B406</f>
        <v>0</v>
      </c>
    </row>
    <row r="407" spans="1:4" x14ac:dyDescent="0.25">
      <c r="A407" s="16">
        <f>Place_data_here!A407</f>
        <v>0</v>
      </c>
      <c r="B407" s="4" t="e">
        <f t="shared" si="6"/>
        <v>#VALUE!</v>
      </c>
      <c r="C407" s="1" t="e">
        <f>SplineInterp(A407,Own_Spectrum_100cm!$U$2:$U$34,Own_Spectrum_100cm!$V$2:$V$34)*D407</f>
        <v>#VALUE!</v>
      </c>
      <c r="D407" s="13">
        <f>Place_data_here!B407</f>
        <v>0</v>
      </c>
    </row>
    <row r="408" spans="1:4" x14ac:dyDescent="0.25">
      <c r="A408" s="16">
        <f>Place_data_here!A408</f>
        <v>0</v>
      </c>
      <c r="B408" s="4" t="e">
        <f t="shared" si="6"/>
        <v>#VALUE!</v>
      </c>
      <c r="C408" s="1" t="e">
        <f>SplineInterp(A408,Own_Spectrum_100cm!$U$2:$U$34,Own_Spectrum_100cm!$V$2:$V$34)*D408</f>
        <v>#VALUE!</v>
      </c>
      <c r="D408" s="13">
        <f>Place_data_here!B408</f>
        <v>0</v>
      </c>
    </row>
    <row r="409" spans="1:4" x14ac:dyDescent="0.25">
      <c r="A409" s="16">
        <f>Place_data_here!A409</f>
        <v>0</v>
      </c>
      <c r="B409" s="4" t="e">
        <f t="shared" si="6"/>
        <v>#VALUE!</v>
      </c>
      <c r="C409" s="1" t="e">
        <f>SplineInterp(A409,Own_Spectrum_100cm!$U$2:$U$34,Own_Spectrum_100cm!$V$2:$V$34)*D409</f>
        <v>#VALUE!</v>
      </c>
      <c r="D409" s="13">
        <f>Place_data_here!B409</f>
        <v>0</v>
      </c>
    </row>
    <row r="410" spans="1:4" x14ac:dyDescent="0.25">
      <c r="A410" s="16">
        <f>Place_data_here!A410</f>
        <v>0</v>
      </c>
      <c r="B410" s="4" t="e">
        <f t="shared" si="6"/>
        <v>#VALUE!</v>
      </c>
      <c r="C410" s="1" t="e">
        <f>SplineInterp(A410,Own_Spectrum_100cm!$U$2:$U$34,Own_Spectrum_100cm!$V$2:$V$34)*D410</f>
        <v>#VALUE!</v>
      </c>
      <c r="D410" s="13">
        <f>Place_data_here!B410</f>
        <v>0</v>
      </c>
    </row>
    <row r="411" spans="1:4" x14ac:dyDescent="0.25">
      <c r="A411" s="16">
        <f>Place_data_here!A411</f>
        <v>0</v>
      </c>
      <c r="B411" s="4" t="e">
        <f t="shared" si="6"/>
        <v>#VALUE!</v>
      </c>
      <c r="C411" s="1" t="e">
        <f>SplineInterp(A411,Own_Spectrum_100cm!$U$2:$U$34,Own_Spectrum_100cm!$V$2:$V$34)*D411</f>
        <v>#VALUE!</v>
      </c>
      <c r="D411" s="13">
        <f>Place_data_here!B411</f>
        <v>0</v>
      </c>
    </row>
    <row r="412" spans="1:4" x14ac:dyDescent="0.25">
      <c r="A412" s="16">
        <f>Place_data_here!A412</f>
        <v>0</v>
      </c>
      <c r="B412" s="4" t="e">
        <f t="shared" si="6"/>
        <v>#VALUE!</v>
      </c>
      <c r="C412" s="1" t="e">
        <f>SplineInterp(A412,Own_Spectrum_100cm!$U$2:$U$34,Own_Spectrum_100cm!$V$2:$V$34)*D412</f>
        <v>#VALUE!</v>
      </c>
      <c r="D412" s="13">
        <f>Place_data_here!B412</f>
        <v>0</v>
      </c>
    </row>
    <row r="413" spans="1:4" x14ac:dyDescent="0.25">
      <c r="A413" s="16">
        <f>Place_data_here!A413</f>
        <v>0</v>
      </c>
      <c r="B413" s="4" t="e">
        <f t="shared" si="6"/>
        <v>#VALUE!</v>
      </c>
      <c r="C413" s="1" t="e">
        <f>SplineInterp(A413,Own_Spectrum_100cm!$U$2:$U$34,Own_Spectrum_100cm!$V$2:$V$34)*D413</f>
        <v>#VALUE!</v>
      </c>
      <c r="D413" s="13">
        <f>Place_data_here!B413</f>
        <v>0</v>
      </c>
    </row>
    <row r="414" spans="1:4" x14ac:dyDescent="0.25">
      <c r="A414" s="16">
        <f>Place_data_here!A414</f>
        <v>0</v>
      </c>
      <c r="B414" s="4" t="e">
        <f t="shared" si="6"/>
        <v>#VALUE!</v>
      </c>
      <c r="C414" s="1" t="e">
        <f>SplineInterp(A414,Own_Spectrum_100cm!$U$2:$U$34,Own_Spectrum_100cm!$V$2:$V$34)*D414</f>
        <v>#VALUE!</v>
      </c>
      <c r="D414" s="13">
        <f>Place_data_here!B414</f>
        <v>0</v>
      </c>
    </row>
    <row r="415" spans="1:4" x14ac:dyDescent="0.25">
      <c r="A415" s="16">
        <f>Place_data_here!A415</f>
        <v>0</v>
      </c>
      <c r="B415" s="4" t="e">
        <f t="shared" si="6"/>
        <v>#VALUE!</v>
      </c>
      <c r="C415" s="1" t="e">
        <f>SplineInterp(A415,Own_Spectrum_100cm!$U$2:$U$34,Own_Spectrum_100cm!$V$2:$V$34)*D415</f>
        <v>#VALUE!</v>
      </c>
      <c r="D415" s="13">
        <f>Place_data_here!B415</f>
        <v>0</v>
      </c>
    </row>
    <row r="416" spans="1:4" x14ac:dyDescent="0.25">
      <c r="A416" s="16">
        <f>Place_data_here!A416</f>
        <v>0</v>
      </c>
      <c r="B416" s="4" t="e">
        <f t="shared" si="6"/>
        <v>#VALUE!</v>
      </c>
      <c r="C416" s="1" t="e">
        <f>SplineInterp(A416,Own_Spectrum_100cm!$U$2:$U$34,Own_Spectrum_100cm!$V$2:$V$34)*D416</f>
        <v>#VALUE!</v>
      </c>
      <c r="D416" s="13">
        <f>Place_data_here!B416</f>
        <v>0</v>
      </c>
    </row>
    <row r="417" spans="1:4" x14ac:dyDescent="0.25">
      <c r="A417" s="16">
        <f>Place_data_here!A417</f>
        <v>0</v>
      </c>
      <c r="B417" s="4" t="e">
        <f t="shared" si="6"/>
        <v>#VALUE!</v>
      </c>
      <c r="C417" s="1" t="e">
        <f>SplineInterp(A417,Own_Spectrum_100cm!$U$2:$U$34,Own_Spectrum_100cm!$V$2:$V$34)*D417</f>
        <v>#VALUE!</v>
      </c>
      <c r="D417" s="13">
        <f>Place_data_here!B417</f>
        <v>0</v>
      </c>
    </row>
    <row r="418" spans="1:4" x14ac:dyDescent="0.25">
      <c r="A418" s="16">
        <f>Place_data_here!A418</f>
        <v>0</v>
      </c>
      <c r="B418" s="4" t="e">
        <f t="shared" si="6"/>
        <v>#VALUE!</v>
      </c>
      <c r="C418" s="1" t="e">
        <f>SplineInterp(A418,Own_Spectrum_100cm!$U$2:$U$34,Own_Spectrum_100cm!$V$2:$V$34)*D418</f>
        <v>#VALUE!</v>
      </c>
      <c r="D418" s="13">
        <f>Place_data_here!B418</f>
        <v>0</v>
      </c>
    </row>
    <row r="419" spans="1:4" x14ac:dyDescent="0.25">
      <c r="A419" s="16">
        <f>Place_data_here!A419</f>
        <v>0</v>
      </c>
      <c r="B419" s="4" t="e">
        <f t="shared" si="6"/>
        <v>#VALUE!</v>
      </c>
      <c r="C419" s="1" t="e">
        <f>SplineInterp(A419,Own_Spectrum_100cm!$U$2:$U$34,Own_Spectrum_100cm!$V$2:$V$34)*D419</f>
        <v>#VALUE!</v>
      </c>
      <c r="D419" s="13">
        <f>Place_data_here!B419</f>
        <v>0</v>
      </c>
    </row>
    <row r="420" spans="1:4" x14ac:dyDescent="0.25">
      <c r="A420" s="16">
        <f>Place_data_here!A420</f>
        <v>0</v>
      </c>
      <c r="B420" s="4" t="e">
        <f t="shared" si="6"/>
        <v>#VALUE!</v>
      </c>
      <c r="C420" s="1" t="e">
        <f>SplineInterp(A420,Own_Spectrum_100cm!$U$2:$U$34,Own_Spectrum_100cm!$V$2:$V$34)*D420</f>
        <v>#VALUE!</v>
      </c>
      <c r="D420" s="13">
        <f>Place_data_here!B420</f>
        <v>0</v>
      </c>
    </row>
    <row r="421" spans="1:4" x14ac:dyDescent="0.25">
      <c r="A421" s="16">
        <f>Place_data_here!A421</f>
        <v>0</v>
      </c>
      <c r="B421" s="4" t="e">
        <f t="shared" si="6"/>
        <v>#VALUE!</v>
      </c>
      <c r="C421" s="1" t="e">
        <f>SplineInterp(A421,Own_Spectrum_100cm!$U$2:$U$34,Own_Spectrum_100cm!$V$2:$V$34)*D421</f>
        <v>#VALUE!</v>
      </c>
      <c r="D421" s="13">
        <f>Place_data_here!B421</f>
        <v>0</v>
      </c>
    </row>
    <row r="422" spans="1:4" x14ac:dyDescent="0.25">
      <c r="A422" s="16">
        <f>Place_data_here!A422</f>
        <v>0</v>
      </c>
      <c r="B422" s="4" t="e">
        <f t="shared" si="6"/>
        <v>#VALUE!</v>
      </c>
      <c r="C422" s="1" t="e">
        <f>SplineInterp(A422,Own_Spectrum_100cm!$U$2:$U$34,Own_Spectrum_100cm!$V$2:$V$34)*D422</f>
        <v>#VALUE!</v>
      </c>
      <c r="D422" s="13">
        <f>Place_data_here!B422</f>
        <v>0</v>
      </c>
    </row>
    <row r="423" spans="1:4" x14ac:dyDescent="0.25">
      <c r="A423" s="16">
        <f>Place_data_here!A423</f>
        <v>0</v>
      </c>
      <c r="B423" s="4" t="e">
        <f t="shared" si="6"/>
        <v>#VALUE!</v>
      </c>
      <c r="C423" s="1" t="e">
        <f>SplineInterp(A423,Own_Spectrum_100cm!$U$2:$U$34,Own_Spectrum_100cm!$V$2:$V$34)*D423</f>
        <v>#VALUE!</v>
      </c>
      <c r="D423" s="13">
        <f>Place_data_here!B423</f>
        <v>0</v>
      </c>
    </row>
    <row r="424" spans="1:4" x14ac:dyDescent="0.25">
      <c r="A424" s="16">
        <f>Place_data_here!A424</f>
        <v>0</v>
      </c>
      <c r="B424" s="4" t="e">
        <f t="shared" si="6"/>
        <v>#VALUE!</v>
      </c>
      <c r="C424" s="1" t="e">
        <f>SplineInterp(A424,Own_Spectrum_100cm!$U$2:$U$34,Own_Spectrum_100cm!$V$2:$V$34)*D424</f>
        <v>#VALUE!</v>
      </c>
      <c r="D424" s="13">
        <f>Place_data_here!B424</f>
        <v>0</v>
      </c>
    </row>
    <row r="425" spans="1:4" x14ac:dyDescent="0.25">
      <c r="A425" s="16">
        <f>Place_data_here!A425</f>
        <v>0</v>
      </c>
      <c r="B425" s="4" t="e">
        <f t="shared" si="6"/>
        <v>#VALUE!</v>
      </c>
      <c r="C425" s="1" t="e">
        <f>SplineInterp(A425,Own_Spectrum_100cm!$U$2:$U$34,Own_Spectrum_100cm!$V$2:$V$34)*D425</f>
        <v>#VALUE!</v>
      </c>
      <c r="D425" s="13">
        <f>Place_data_here!B425</f>
        <v>0</v>
      </c>
    </row>
    <row r="426" spans="1:4" x14ac:dyDescent="0.25">
      <c r="A426" s="16">
        <f>Place_data_here!A426</f>
        <v>0</v>
      </c>
      <c r="B426" s="4" t="e">
        <f t="shared" si="6"/>
        <v>#VALUE!</v>
      </c>
      <c r="C426" s="1" t="e">
        <f>SplineInterp(A426,Own_Spectrum_100cm!$U$2:$U$34,Own_Spectrum_100cm!$V$2:$V$34)*D426</f>
        <v>#VALUE!</v>
      </c>
      <c r="D426" s="13">
        <f>Place_data_here!B426</f>
        <v>0</v>
      </c>
    </row>
    <row r="427" spans="1:4" x14ac:dyDescent="0.25">
      <c r="A427" s="16">
        <f>Place_data_here!A427</f>
        <v>0</v>
      </c>
      <c r="B427" s="4" t="e">
        <f t="shared" si="6"/>
        <v>#VALUE!</v>
      </c>
      <c r="C427" s="1" t="e">
        <f>SplineInterp(A427,Own_Spectrum_100cm!$U$2:$U$34,Own_Spectrum_100cm!$V$2:$V$34)*D427</f>
        <v>#VALUE!</v>
      </c>
      <c r="D427" s="13">
        <f>Place_data_here!B427</f>
        <v>0</v>
      </c>
    </row>
    <row r="428" spans="1:4" x14ac:dyDescent="0.25">
      <c r="A428" s="16">
        <f>Place_data_here!A428</f>
        <v>0</v>
      </c>
      <c r="B428" s="4" t="e">
        <f t="shared" si="6"/>
        <v>#VALUE!</v>
      </c>
      <c r="C428" s="1" t="e">
        <f>SplineInterp(A428,Own_Spectrum_100cm!$U$2:$U$34,Own_Spectrum_100cm!$V$2:$V$34)*D428</f>
        <v>#VALUE!</v>
      </c>
      <c r="D428" s="13">
        <f>Place_data_here!B428</f>
        <v>0</v>
      </c>
    </row>
    <row r="429" spans="1:4" x14ac:dyDescent="0.25">
      <c r="A429" s="16">
        <f>Place_data_here!A429</f>
        <v>0</v>
      </c>
      <c r="B429" s="4" t="e">
        <f t="shared" si="6"/>
        <v>#VALUE!</v>
      </c>
      <c r="C429" s="1" t="e">
        <f>SplineInterp(A429,Own_Spectrum_100cm!$U$2:$U$34,Own_Spectrum_100cm!$V$2:$V$34)*D429</f>
        <v>#VALUE!</v>
      </c>
      <c r="D429" s="13">
        <f>Place_data_here!B429</f>
        <v>0</v>
      </c>
    </row>
    <row r="430" spans="1:4" x14ac:dyDescent="0.25">
      <c r="A430" s="16">
        <f>Place_data_here!A430</f>
        <v>0</v>
      </c>
      <c r="B430" s="4" t="e">
        <f t="shared" si="6"/>
        <v>#VALUE!</v>
      </c>
      <c r="C430" s="1" t="e">
        <f>SplineInterp(A430,Own_Spectrum_100cm!$U$2:$U$34,Own_Spectrum_100cm!$V$2:$V$34)*D430</f>
        <v>#VALUE!</v>
      </c>
      <c r="D430" s="13">
        <f>Place_data_here!B430</f>
        <v>0</v>
      </c>
    </row>
    <row r="431" spans="1:4" x14ac:dyDescent="0.25">
      <c r="A431" s="16">
        <f>Place_data_here!A431</f>
        <v>0</v>
      </c>
      <c r="B431" s="4" t="e">
        <f t="shared" si="6"/>
        <v>#VALUE!</v>
      </c>
      <c r="C431" s="1" t="e">
        <f>SplineInterp(A431,Own_Spectrum_100cm!$U$2:$U$34,Own_Spectrum_100cm!$V$2:$V$34)*D431</f>
        <v>#VALUE!</v>
      </c>
      <c r="D431" s="13">
        <f>Place_data_here!B431</f>
        <v>0</v>
      </c>
    </row>
    <row r="432" spans="1:4" x14ac:dyDescent="0.25">
      <c r="A432" s="16">
        <f>Place_data_here!A432</f>
        <v>0</v>
      </c>
      <c r="B432" s="4" t="e">
        <f t="shared" si="6"/>
        <v>#VALUE!</v>
      </c>
      <c r="C432" s="1" t="e">
        <f>SplineInterp(A432,Own_Spectrum_100cm!$U$2:$U$34,Own_Spectrum_100cm!$V$2:$V$34)*D432</f>
        <v>#VALUE!</v>
      </c>
      <c r="D432" s="13">
        <f>Place_data_here!B432</f>
        <v>0</v>
      </c>
    </row>
    <row r="433" spans="1:4" x14ac:dyDescent="0.25">
      <c r="A433" s="16">
        <f>Place_data_here!A433</f>
        <v>0</v>
      </c>
      <c r="B433" s="4" t="e">
        <f t="shared" si="6"/>
        <v>#VALUE!</v>
      </c>
      <c r="C433" s="1" t="e">
        <f>SplineInterp(A433,Own_Spectrum_100cm!$U$2:$U$34,Own_Spectrum_100cm!$V$2:$V$34)*D433</f>
        <v>#VALUE!</v>
      </c>
      <c r="D433" s="13">
        <f>Place_data_here!B433</f>
        <v>0</v>
      </c>
    </row>
    <row r="434" spans="1:4" x14ac:dyDescent="0.25">
      <c r="A434" s="16">
        <f>Place_data_here!A434</f>
        <v>0</v>
      </c>
      <c r="B434" s="4" t="e">
        <f t="shared" si="6"/>
        <v>#VALUE!</v>
      </c>
      <c r="C434" s="1" t="e">
        <f>SplineInterp(A434,Own_Spectrum_100cm!$U$2:$U$34,Own_Spectrum_100cm!$V$2:$V$34)*D434</f>
        <v>#VALUE!</v>
      </c>
      <c r="D434" s="13">
        <f>Place_data_here!B434</f>
        <v>0</v>
      </c>
    </row>
    <row r="435" spans="1:4" x14ac:dyDescent="0.25">
      <c r="A435" s="16">
        <f>Place_data_here!A435</f>
        <v>0</v>
      </c>
      <c r="B435" s="4" t="e">
        <f t="shared" si="6"/>
        <v>#VALUE!</v>
      </c>
      <c r="C435" s="1" t="e">
        <f>SplineInterp(A435,Own_Spectrum_100cm!$U$2:$U$34,Own_Spectrum_100cm!$V$2:$V$34)*D435</f>
        <v>#VALUE!</v>
      </c>
      <c r="D435" s="13">
        <f>Place_data_here!B435</f>
        <v>0</v>
      </c>
    </row>
    <row r="436" spans="1:4" x14ac:dyDescent="0.25">
      <c r="A436" s="16">
        <f>Place_data_here!A436</f>
        <v>0</v>
      </c>
      <c r="B436" s="4" t="e">
        <f t="shared" si="6"/>
        <v>#VALUE!</v>
      </c>
      <c r="C436" s="1" t="e">
        <f>SplineInterp(A436,Own_Spectrum_100cm!$U$2:$U$34,Own_Spectrum_100cm!$V$2:$V$34)*D436</f>
        <v>#VALUE!</v>
      </c>
      <c r="D436" s="13">
        <f>Place_data_here!B436</f>
        <v>0</v>
      </c>
    </row>
    <row r="437" spans="1:4" x14ac:dyDescent="0.25">
      <c r="A437" s="16">
        <f>Place_data_here!A437</f>
        <v>0</v>
      </c>
      <c r="B437" s="4" t="e">
        <f t="shared" si="6"/>
        <v>#VALUE!</v>
      </c>
      <c r="C437" s="1" t="e">
        <f>SplineInterp(A437,Own_Spectrum_100cm!$U$2:$U$34,Own_Spectrum_100cm!$V$2:$V$34)*D437</f>
        <v>#VALUE!</v>
      </c>
      <c r="D437" s="13">
        <f>Place_data_here!B437</f>
        <v>0</v>
      </c>
    </row>
    <row r="438" spans="1:4" x14ac:dyDescent="0.25">
      <c r="A438" s="16">
        <f>Place_data_here!A438</f>
        <v>0</v>
      </c>
      <c r="B438" s="4" t="e">
        <f t="shared" si="6"/>
        <v>#VALUE!</v>
      </c>
      <c r="C438" s="1" t="e">
        <f>SplineInterp(A438,Own_Spectrum_100cm!$U$2:$U$34,Own_Spectrum_100cm!$V$2:$V$34)*D438</f>
        <v>#VALUE!</v>
      </c>
      <c r="D438" s="13">
        <f>Place_data_here!B438</f>
        <v>0</v>
      </c>
    </row>
    <row r="439" spans="1:4" x14ac:dyDescent="0.25">
      <c r="A439" s="16">
        <f>Place_data_here!A439</f>
        <v>0</v>
      </c>
      <c r="B439" s="4" t="e">
        <f t="shared" si="6"/>
        <v>#VALUE!</v>
      </c>
      <c r="C439" s="1" t="e">
        <f>SplineInterp(A439,Own_Spectrum_100cm!$U$2:$U$34,Own_Spectrum_100cm!$V$2:$V$34)*D439</f>
        <v>#VALUE!</v>
      </c>
      <c r="D439" s="13">
        <f>Place_data_here!B439</f>
        <v>0</v>
      </c>
    </row>
    <row r="440" spans="1:4" x14ac:dyDescent="0.25">
      <c r="A440" s="16">
        <f>Place_data_here!A440</f>
        <v>0</v>
      </c>
      <c r="B440" s="4" t="e">
        <f t="shared" si="6"/>
        <v>#VALUE!</v>
      </c>
      <c r="C440" s="1" t="e">
        <f>SplineInterp(A440,Own_Spectrum_100cm!$U$2:$U$34,Own_Spectrum_100cm!$V$2:$V$34)*D440</f>
        <v>#VALUE!</v>
      </c>
      <c r="D440" s="13">
        <f>Place_data_here!B440</f>
        <v>0</v>
      </c>
    </row>
    <row r="441" spans="1:4" x14ac:dyDescent="0.25">
      <c r="A441" s="16">
        <f>Place_data_here!A441</f>
        <v>0</v>
      </c>
      <c r="B441" s="4" t="e">
        <f t="shared" si="6"/>
        <v>#VALUE!</v>
      </c>
      <c r="C441" s="1" t="e">
        <f>SplineInterp(A441,Own_Spectrum_100cm!$U$2:$U$34,Own_Spectrum_100cm!$V$2:$V$34)*D441</f>
        <v>#VALUE!</v>
      </c>
      <c r="D441" s="13">
        <f>Place_data_here!B441</f>
        <v>0</v>
      </c>
    </row>
    <row r="442" spans="1:4" x14ac:dyDescent="0.25">
      <c r="A442" s="16">
        <f>Place_data_here!A442</f>
        <v>0</v>
      </c>
      <c r="B442" s="4" t="e">
        <f t="shared" si="6"/>
        <v>#VALUE!</v>
      </c>
      <c r="C442" s="1" t="e">
        <f>SplineInterp(A442,Own_Spectrum_100cm!$U$2:$U$34,Own_Spectrum_100cm!$V$2:$V$34)*D442</f>
        <v>#VALUE!</v>
      </c>
      <c r="D442" s="13">
        <f>Place_data_here!B442</f>
        <v>0</v>
      </c>
    </row>
    <row r="443" spans="1:4" x14ac:dyDescent="0.25">
      <c r="A443" s="16">
        <f>Place_data_here!A443</f>
        <v>0</v>
      </c>
      <c r="B443" s="4" t="e">
        <f t="shared" si="6"/>
        <v>#VALUE!</v>
      </c>
      <c r="C443" s="1" t="e">
        <f>SplineInterp(A443,Own_Spectrum_100cm!$U$2:$U$34,Own_Spectrum_100cm!$V$2:$V$34)*D443</f>
        <v>#VALUE!</v>
      </c>
      <c r="D443" s="13">
        <f>Place_data_here!B443</f>
        <v>0</v>
      </c>
    </row>
    <row r="444" spans="1:4" x14ac:dyDescent="0.25">
      <c r="A444" s="16">
        <f>Place_data_here!A444</f>
        <v>0</v>
      </c>
      <c r="B444" s="4" t="e">
        <f t="shared" si="6"/>
        <v>#VALUE!</v>
      </c>
      <c r="C444" s="1" t="e">
        <f>SplineInterp(A444,Own_Spectrum_100cm!$U$2:$U$34,Own_Spectrum_100cm!$V$2:$V$34)*D444</f>
        <v>#VALUE!</v>
      </c>
      <c r="D444" s="13">
        <f>Place_data_here!B444</f>
        <v>0</v>
      </c>
    </row>
    <row r="445" spans="1:4" x14ac:dyDescent="0.25">
      <c r="A445" s="16">
        <f>Place_data_here!A445</f>
        <v>0</v>
      </c>
      <c r="B445" s="4" t="e">
        <f t="shared" si="6"/>
        <v>#VALUE!</v>
      </c>
      <c r="C445" s="1" t="e">
        <f>SplineInterp(A445,Own_Spectrum_100cm!$U$2:$U$34,Own_Spectrum_100cm!$V$2:$V$34)*D445</f>
        <v>#VALUE!</v>
      </c>
      <c r="D445" s="13">
        <f>Place_data_here!B445</f>
        <v>0</v>
      </c>
    </row>
    <row r="446" spans="1:4" x14ac:dyDescent="0.25">
      <c r="A446" s="16">
        <f>Place_data_here!A446</f>
        <v>0</v>
      </c>
      <c r="B446" s="4" t="e">
        <f t="shared" si="6"/>
        <v>#VALUE!</v>
      </c>
      <c r="C446" s="1" t="e">
        <f>SplineInterp(A446,Own_Spectrum_100cm!$U$2:$U$34,Own_Spectrum_100cm!$V$2:$V$34)*D446</f>
        <v>#VALUE!</v>
      </c>
      <c r="D446" s="13">
        <f>Place_data_here!B446</f>
        <v>0</v>
      </c>
    </row>
    <row r="447" spans="1:4" x14ac:dyDescent="0.25">
      <c r="A447" s="16">
        <f>Place_data_here!A447</f>
        <v>0</v>
      </c>
      <c r="B447" s="4" t="e">
        <f t="shared" si="6"/>
        <v>#VALUE!</v>
      </c>
      <c r="C447" s="1" t="e">
        <f>SplineInterp(A447,Own_Spectrum_100cm!$U$2:$U$34,Own_Spectrum_100cm!$V$2:$V$34)*D447</f>
        <v>#VALUE!</v>
      </c>
      <c r="D447" s="13">
        <f>Place_data_here!B447</f>
        <v>0</v>
      </c>
    </row>
    <row r="448" spans="1:4" x14ac:dyDescent="0.25">
      <c r="A448" s="16">
        <f>Place_data_here!A448</f>
        <v>0</v>
      </c>
      <c r="B448" s="4" t="e">
        <f t="shared" si="6"/>
        <v>#VALUE!</v>
      </c>
      <c r="C448" s="1" t="e">
        <f>SplineInterp(A448,Own_Spectrum_100cm!$U$2:$U$34,Own_Spectrum_100cm!$V$2:$V$34)*D448</f>
        <v>#VALUE!</v>
      </c>
      <c r="D448" s="13">
        <f>Place_data_here!B448</f>
        <v>0</v>
      </c>
    </row>
    <row r="449" spans="1:4" x14ac:dyDescent="0.25">
      <c r="A449" s="16">
        <f>Place_data_here!A449</f>
        <v>0</v>
      </c>
      <c r="B449" s="4" t="e">
        <f t="shared" si="6"/>
        <v>#VALUE!</v>
      </c>
      <c r="C449" s="1" t="e">
        <f>SplineInterp(A449,Own_Spectrum_100cm!$U$2:$U$34,Own_Spectrum_100cm!$V$2:$V$34)*D449</f>
        <v>#VALUE!</v>
      </c>
      <c r="D449" s="13">
        <f>Place_data_here!B449</f>
        <v>0</v>
      </c>
    </row>
    <row r="450" spans="1:4" x14ac:dyDescent="0.25">
      <c r="A450" s="16">
        <f>Place_data_here!A450</f>
        <v>0</v>
      </c>
      <c r="B450" s="4" t="e">
        <f t="shared" si="6"/>
        <v>#VALUE!</v>
      </c>
      <c r="C450" s="1" t="e">
        <f>SplineInterp(A450,Own_Spectrum_100cm!$U$2:$U$34,Own_Spectrum_100cm!$V$2:$V$34)*D450</f>
        <v>#VALUE!</v>
      </c>
      <c r="D450" s="13">
        <f>Place_data_here!B450</f>
        <v>0</v>
      </c>
    </row>
    <row r="451" spans="1:4" x14ac:dyDescent="0.25">
      <c r="A451" s="16">
        <f>Place_data_here!A451</f>
        <v>0</v>
      </c>
      <c r="B451" s="4" t="e">
        <f t="shared" ref="B451:B514" si="7">C451/$C$1028</f>
        <v>#VALUE!</v>
      </c>
      <c r="C451" s="1" t="e">
        <f>SplineInterp(A451,Own_Spectrum_100cm!$U$2:$U$34,Own_Spectrum_100cm!$V$2:$V$34)*D451</f>
        <v>#VALUE!</v>
      </c>
      <c r="D451" s="13">
        <f>Place_data_here!B451</f>
        <v>0</v>
      </c>
    </row>
    <row r="452" spans="1:4" x14ac:dyDescent="0.25">
      <c r="A452" s="16">
        <f>Place_data_here!A452</f>
        <v>0</v>
      </c>
      <c r="B452" s="4" t="e">
        <f t="shared" si="7"/>
        <v>#VALUE!</v>
      </c>
      <c r="C452" s="1" t="e">
        <f>SplineInterp(A452,Own_Spectrum_100cm!$U$2:$U$34,Own_Spectrum_100cm!$V$2:$V$34)*D452</f>
        <v>#VALUE!</v>
      </c>
      <c r="D452" s="13">
        <f>Place_data_here!B452</f>
        <v>0</v>
      </c>
    </row>
    <row r="453" spans="1:4" x14ac:dyDescent="0.25">
      <c r="A453" s="16">
        <f>Place_data_here!A453</f>
        <v>0</v>
      </c>
      <c r="B453" s="4" t="e">
        <f t="shared" si="7"/>
        <v>#VALUE!</v>
      </c>
      <c r="C453" s="1" t="e">
        <f>SplineInterp(A453,Own_Spectrum_100cm!$U$2:$U$34,Own_Spectrum_100cm!$V$2:$V$34)*D453</f>
        <v>#VALUE!</v>
      </c>
      <c r="D453" s="13">
        <f>Place_data_here!B453</f>
        <v>0</v>
      </c>
    </row>
    <row r="454" spans="1:4" x14ac:dyDescent="0.25">
      <c r="A454" s="16">
        <f>Place_data_here!A454</f>
        <v>0</v>
      </c>
      <c r="B454" s="4" t="e">
        <f t="shared" si="7"/>
        <v>#VALUE!</v>
      </c>
      <c r="C454" s="1" t="e">
        <f>SplineInterp(A454,Own_Spectrum_100cm!$U$2:$U$34,Own_Spectrum_100cm!$V$2:$V$34)*D454</f>
        <v>#VALUE!</v>
      </c>
      <c r="D454" s="13">
        <f>Place_data_here!B454</f>
        <v>0</v>
      </c>
    </row>
    <row r="455" spans="1:4" x14ac:dyDescent="0.25">
      <c r="A455" s="16">
        <f>Place_data_here!A455</f>
        <v>0</v>
      </c>
      <c r="B455" s="4" t="e">
        <f t="shared" si="7"/>
        <v>#VALUE!</v>
      </c>
      <c r="C455" s="1" t="e">
        <f>SplineInterp(A455,Own_Spectrum_100cm!$U$2:$U$34,Own_Spectrum_100cm!$V$2:$V$34)*D455</f>
        <v>#VALUE!</v>
      </c>
      <c r="D455" s="13">
        <f>Place_data_here!B455</f>
        <v>0</v>
      </c>
    </row>
    <row r="456" spans="1:4" x14ac:dyDescent="0.25">
      <c r="A456" s="16">
        <f>Place_data_here!A456</f>
        <v>0</v>
      </c>
      <c r="B456" s="4" t="e">
        <f t="shared" si="7"/>
        <v>#VALUE!</v>
      </c>
      <c r="C456" s="1" t="e">
        <f>SplineInterp(A456,Own_Spectrum_100cm!$U$2:$U$34,Own_Spectrum_100cm!$V$2:$V$34)*D456</f>
        <v>#VALUE!</v>
      </c>
      <c r="D456" s="13">
        <f>Place_data_here!B456</f>
        <v>0</v>
      </c>
    </row>
    <row r="457" spans="1:4" x14ac:dyDescent="0.25">
      <c r="A457" s="16">
        <f>Place_data_here!A457</f>
        <v>0</v>
      </c>
      <c r="B457" s="4" t="e">
        <f t="shared" si="7"/>
        <v>#VALUE!</v>
      </c>
      <c r="C457" s="1" t="e">
        <f>SplineInterp(A457,Own_Spectrum_100cm!$U$2:$U$34,Own_Spectrum_100cm!$V$2:$V$34)*D457</f>
        <v>#VALUE!</v>
      </c>
      <c r="D457" s="13">
        <f>Place_data_here!B457</f>
        <v>0</v>
      </c>
    </row>
    <row r="458" spans="1:4" x14ac:dyDescent="0.25">
      <c r="A458" s="16">
        <f>Place_data_here!A458</f>
        <v>0</v>
      </c>
      <c r="B458" s="4" t="e">
        <f t="shared" si="7"/>
        <v>#VALUE!</v>
      </c>
      <c r="C458" s="1" t="e">
        <f>SplineInterp(A458,Own_Spectrum_100cm!$U$2:$U$34,Own_Spectrum_100cm!$V$2:$V$34)*D458</f>
        <v>#VALUE!</v>
      </c>
      <c r="D458" s="13">
        <f>Place_data_here!B458</f>
        <v>0</v>
      </c>
    </row>
    <row r="459" spans="1:4" x14ac:dyDescent="0.25">
      <c r="A459" s="16">
        <f>Place_data_here!A459</f>
        <v>0</v>
      </c>
      <c r="B459" s="4" t="e">
        <f t="shared" si="7"/>
        <v>#VALUE!</v>
      </c>
      <c r="C459" s="1" t="e">
        <f>SplineInterp(A459,Own_Spectrum_100cm!$U$2:$U$34,Own_Spectrum_100cm!$V$2:$V$34)*D459</f>
        <v>#VALUE!</v>
      </c>
      <c r="D459" s="13">
        <f>Place_data_here!B459</f>
        <v>0</v>
      </c>
    </row>
    <row r="460" spans="1:4" x14ac:dyDescent="0.25">
      <c r="A460" s="16">
        <f>Place_data_here!A460</f>
        <v>0</v>
      </c>
      <c r="B460" s="4" t="e">
        <f t="shared" si="7"/>
        <v>#VALUE!</v>
      </c>
      <c r="C460" s="1" t="e">
        <f>SplineInterp(A460,Own_Spectrum_100cm!$U$2:$U$34,Own_Spectrum_100cm!$V$2:$V$34)*D460</f>
        <v>#VALUE!</v>
      </c>
      <c r="D460" s="13">
        <f>Place_data_here!B460</f>
        <v>0</v>
      </c>
    </row>
    <row r="461" spans="1:4" x14ac:dyDescent="0.25">
      <c r="A461" s="16">
        <f>Place_data_here!A461</f>
        <v>0</v>
      </c>
      <c r="B461" s="4" t="e">
        <f t="shared" si="7"/>
        <v>#VALUE!</v>
      </c>
      <c r="C461" s="1" t="e">
        <f>SplineInterp(A461,Own_Spectrum_100cm!$U$2:$U$34,Own_Spectrum_100cm!$V$2:$V$34)*D461</f>
        <v>#VALUE!</v>
      </c>
      <c r="D461" s="13">
        <f>Place_data_here!B461</f>
        <v>0</v>
      </c>
    </row>
    <row r="462" spans="1:4" x14ac:dyDescent="0.25">
      <c r="A462" s="16">
        <f>Place_data_here!A462</f>
        <v>0</v>
      </c>
      <c r="B462" s="4" t="e">
        <f t="shared" si="7"/>
        <v>#VALUE!</v>
      </c>
      <c r="C462" s="1" t="e">
        <f>SplineInterp(A462,Own_Spectrum_100cm!$U$2:$U$34,Own_Spectrum_100cm!$V$2:$V$34)*D462</f>
        <v>#VALUE!</v>
      </c>
      <c r="D462" s="13">
        <f>Place_data_here!B462</f>
        <v>0</v>
      </c>
    </row>
    <row r="463" spans="1:4" x14ac:dyDescent="0.25">
      <c r="A463" s="16">
        <f>Place_data_here!A463</f>
        <v>0</v>
      </c>
      <c r="B463" s="4" t="e">
        <f t="shared" si="7"/>
        <v>#VALUE!</v>
      </c>
      <c r="C463" s="1" t="e">
        <f>SplineInterp(A463,Own_Spectrum_100cm!$U$2:$U$34,Own_Spectrum_100cm!$V$2:$V$34)*D463</f>
        <v>#VALUE!</v>
      </c>
      <c r="D463" s="13">
        <f>Place_data_here!B463</f>
        <v>0</v>
      </c>
    </row>
    <row r="464" spans="1:4" x14ac:dyDescent="0.25">
      <c r="A464" s="16">
        <f>Place_data_here!A464</f>
        <v>0</v>
      </c>
      <c r="B464" s="4" t="e">
        <f t="shared" si="7"/>
        <v>#VALUE!</v>
      </c>
      <c r="C464" s="1" t="e">
        <f>SplineInterp(A464,Own_Spectrum_100cm!$U$2:$U$34,Own_Spectrum_100cm!$V$2:$V$34)*D464</f>
        <v>#VALUE!</v>
      </c>
      <c r="D464" s="13">
        <f>Place_data_here!B464</f>
        <v>0</v>
      </c>
    </row>
    <row r="465" spans="1:4" x14ac:dyDescent="0.25">
      <c r="A465" s="16">
        <f>Place_data_here!A465</f>
        <v>0</v>
      </c>
      <c r="B465" s="4" t="e">
        <f t="shared" si="7"/>
        <v>#VALUE!</v>
      </c>
      <c r="C465" s="1" t="e">
        <f>SplineInterp(A465,Own_Spectrum_100cm!$U$2:$U$34,Own_Spectrum_100cm!$V$2:$V$34)*D465</f>
        <v>#VALUE!</v>
      </c>
      <c r="D465" s="13">
        <f>Place_data_here!B465</f>
        <v>0</v>
      </c>
    </row>
    <row r="466" spans="1:4" x14ac:dyDescent="0.25">
      <c r="A466" s="16">
        <f>Place_data_here!A466</f>
        <v>0</v>
      </c>
      <c r="B466" s="4" t="e">
        <f t="shared" si="7"/>
        <v>#VALUE!</v>
      </c>
      <c r="C466" s="1" t="e">
        <f>SplineInterp(A466,Own_Spectrum_100cm!$U$2:$U$34,Own_Spectrum_100cm!$V$2:$V$34)*D466</f>
        <v>#VALUE!</v>
      </c>
      <c r="D466" s="13">
        <f>Place_data_here!B466</f>
        <v>0</v>
      </c>
    </row>
    <row r="467" spans="1:4" x14ac:dyDescent="0.25">
      <c r="A467" s="16">
        <f>Place_data_here!A467</f>
        <v>0</v>
      </c>
      <c r="B467" s="4" t="e">
        <f t="shared" si="7"/>
        <v>#VALUE!</v>
      </c>
      <c r="C467" s="1" t="e">
        <f>SplineInterp(A467,Own_Spectrum_100cm!$U$2:$U$34,Own_Spectrum_100cm!$V$2:$V$34)*D467</f>
        <v>#VALUE!</v>
      </c>
      <c r="D467" s="13">
        <f>Place_data_here!B467</f>
        <v>0</v>
      </c>
    </row>
    <row r="468" spans="1:4" x14ac:dyDescent="0.25">
      <c r="A468" s="16">
        <f>Place_data_here!A468</f>
        <v>0</v>
      </c>
      <c r="B468" s="4" t="e">
        <f t="shared" si="7"/>
        <v>#VALUE!</v>
      </c>
      <c r="C468" s="1" t="e">
        <f>SplineInterp(A468,Own_Spectrum_100cm!$U$2:$U$34,Own_Spectrum_100cm!$V$2:$V$34)*D468</f>
        <v>#VALUE!</v>
      </c>
      <c r="D468" s="13">
        <f>Place_data_here!B468</f>
        <v>0</v>
      </c>
    </row>
    <row r="469" spans="1:4" x14ac:dyDescent="0.25">
      <c r="A469" s="16">
        <f>Place_data_here!A469</f>
        <v>0</v>
      </c>
      <c r="B469" s="4" t="e">
        <f t="shared" si="7"/>
        <v>#VALUE!</v>
      </c>
      <c r="C469" s="1" t="e">
        <f>SplineInterp(A469,Own_Spectrum_100cm!$U$2:$U$34,Own_Spectrum_100cm!$V$2:$V$34)*D469</f>
        <v>#VALUE!</v>
      </c>
      <c r="D469" s="13">
        <f>Place_data_here!B469</f>
        <v>0</v>
      </c>
    </row>
    <row r="470" spans="1:4" x14ac:dyDescent="0.25">
      <c r="A470" s="16">
        <f>Place_data_here!A470</f>
        <v>0</v>
      </c>
      <c r="B470" s="4" t="e">
        <f t="shared" si="7"/>
        <v>#VALUE!</v>
      </c>
      <c r="C470" s="1" t="e">
        <f>SplineInterp(A470,Own_Spectrum_100cm!$U$2:$U$34,Own_Spectrum_100cm!$V$2:$V$34)*D470</f>
        <v>#VALUE!</v>
      </c>
      <c r="D470" s="13">
        <f>Place_data_here!B470</f>
        <v>0</v>
      </c>
    </row>
    <row r="471" spans="1:4" x14ac:dyDescent="0.25">
      <c r="A471" s="16">
        <f>Place_data_here!A471</f>
        <v>0</v>
      </c>
      <c r="B471" s="4" t="e">
        <f t="shared" si="7"/>
        <v>#VALUE!</v>
      </c>
      <c r="C471" s="1" t="e">
        <f>SplineInterp(A471,Own_Spectrum_100cm!$U$2:$U$34,Own_Spectrum_100cm!$V$2:$V$34)*D471</f>
        <v>#VALUE!</v>
      </c>
      <c r="D471" s="13">
        <f>Place_data_here!B471</f>
        <v>0</v>
      </c>
    </row>
    <row r="472" spans="1:4" x14ac:dyDescent="0.25">
      <c r="A472" s="16">
        <f>Place_data_here!A472</f>
        <v>0</v>
      </c>
      <c r="B472" s="4" t="e">
        <f t="shared" si="7"/>
        <v>#VALUE!</v>
      </c>
      <c r="C472" s="1" t="e">
        <f>SplineInterp(A472,Own_Spectrum_100cm!$U$2:$U$34,Own_Spectrum_100cm!$V$2:$V$34)*D472</f>
        <v>#VALUE!</v>
      </c>
      <c r="D472" s="13">
        <f>Place_data_here!B472</f>
        <v>0</v>
      </c>
    </row>
    <row r="473" spans="1:4" x14ac:dyDescent="0.25">
      <c r="A473" s="16">
        <f>Place_data_here!A473</f>
        <v>0</v>
      </c>
      <c r="B473" s="4" t="e">
        <f t="shared" si="7"/>
        <v>#VALUE!</v>
      </c>
      <c r="C473" s="1" t="e">
        <f>SplineInterp(A473,Own_Spectrum_100cm!$U$2:$U$34,Own_Spectrum_100cm!$V$2:$V$34)*D473</f>
        <v>#VALUE!</v>
      </c>
      <c r="D473" s="13">
        <f>Place_data_here!B473</f>
        <v>0</v>
      </c>
    </row>
    <row r="474" spans="1:4" x14ac:dyDescent="0.25">
      <c r="A474" s="16">
        <f>Place_data_here!A474</f>
        <v>0</v>
      </c>
      <c r="B474" s="4" t="e">
        <f t="shared" si="7"/>
        <v>#VALUE!</v>
      </c>
      <c r="C474" s="1" t="e">
        <f>SplineInterp(A474,Own_Spectrum_100cm!$U$2:$U$34,Own_Spectrum_100cm!$V$2:$V$34)*D474</f>
        <v>#VALUE!</v>
      </c>
      <c r="D474" s="13">
        <f>Place_data_here!B474</f>
        <v>0</v>
      </c>
    </row>
    <row r="475" spans="1:4" x14ac:dyDescent="0.25">
      <c r="A475" s="16">
        <f>Place_data_here!A475</f>
        <v>0</v>
      </c>
      <c r="B475" s="4" t="e">
        <f t="shared" si="7"/>
        <v>#VALUE!</v>
      </c>
      <c r="C475" s="1" t="e">
        <f>SplineInterp(A475,Own_Spectrum_100cm!$U$2:$U$34,Own_Spectrum_100cm!$V$2:$V$34)*D475</f>
        <v>#VALUE!</v>
      </c>
      <c r="D475" s="13">
        <f>Place_data_here!B475</f>
        <v>0</v>
      </c>
    </row>
    <row r="476" spans="1:4" x14ac:dyDescent="0.25">
      <c r="A476" s="16">
        <f>Place_data_here!A476</f>
        <v>0</v>
      </c>
      <c r="B476" s="4" t="e">
        <f t="shared" si="7"/>
        <v>#VALUE!</v>
      </c>
      <c r="C476" s="1" t="e">
        <f>SplineInterp(A476,Own_Spectrum_100cm!$U$2:$U$34,Own_Spectrum_100cm!$V$2:$V$34)*D476</f>
        <v>#VALUE!</v>
      </c>
      <c r="D476" s="13">
        <f>Place_data_here!B476</f>
        <v>0</v>
      </c>
    </row>
    <row r="477" spans="1:4" x14ac:dyDescent="0.25">
      <c r="A477" s="16">
        <f>Place_data_here!A477</f>
        <v>0</v>
      </c>
      <c r="B477" s="4" t="e">
        <f t="shared" si="7"/>
        <v>#VALUE!</v>
      </c>
      <c r="C477" s="1" t="e">
        <f>SplineInterp(A477,Own_Spectrum_100cm!$U$2:$U$34,Own_Spectrum_100cm!$V$2:$V$34)*D477</f>
        <v>#VALUE!</v>
      </c>
      <c r="D477" s="13">
        <f>Place_data_here!B477</f>
        <v>0</v>
      </c>
    </row>
    <row r="478" spans="1:4" x14ac:dyDescent="0.25">
      <c r="A478" s="16">
        <f>Place_data_here!A478</f>
        <v>0</v>
      </c>
      <c r="B478" s="4" t="e">
        <f t="shared" si="7"/>
        <v>#VALUE!</v>
      </c>
      <c r="C478" s="1" t="e">
        <f>SplineInterp(A478,Own_Spectrum_100cm!$U$2:$U$34,Own_Spectrum_100cm!$V$2:$V$34)*D478</f>
        <v>#VALUE!</v>
      </c>
      <c r="D478" s="13">
        <f>Place_data_here!B478</f>
        <v>0</v>
      </c>
    </row>
    <row r="479" spans="1:4" x14ac:dyDescent="0.25">
      <c r="A479" s="16">
        <f>Place_data_here!A479</f>
        <v>0</v>
      </c>
      <c r="B479" s="4" t="e">
        <f t="shared" si="7"/>
        <v>#VALUE!</v>
      </c>
      <c r="C479" s="1" t="e">
        <f>SplineInterp(A479,Own_Spectrum_100cm!$U$2:$U$34,Own_Spectrum_100cm!$V$2:$V$34)*D479</f>
        <v>#VALUE!</v>
      </c>
      <c r="D479" s="13">
        <f>Place_data_here!B479</f>
        <v>0</v>
      </c>
    </row>
    <row r="480" spans="1:4" x14ac:dyDescent="0.25">
      <c r="A480" s="16">
        <f>Place_data_here!A480</f>
        <v>0</v>
      </c>
      <c r="B480" s="4" t="e">
        <f t="shared" si="7"/>
        <v>#VALUE!</v>
      </c>
      <c r="C480" s="1" t="e">
        <f>SplineInterp(A480,Own_Spectrum_100cm!$U$2:$U$34,Own_Spectrum_100cm!$V$2:$V$34)*D480</f>
        <v>#VALUE!</v>
      </c>
      <c r="D480" s="13">
        <f>Place_data_here!B480</f>
        <v>0</v>
      </c>
    </row>
    <row r="481" spans="1:4" x14ac:dyDescent="0.25">
      <c r="A481" s="16">
        <f>Place_data_here!A481</f>
        <v>0</v>
      </c>
      <c r="B481" s="4" t="e">
        <f t="shared" si="7"/>
        <v>#VALUE!</v>
      </c>
      <c r="C481" s="1" t="e">
        <f>SplineInterp(A481,Own_Spectrum_100cm!$U$2:$U$34,Own_Spectrum_100cm!$V$2:$V$34)*D481</f>
        <v>#VALUE!</v>
      </c>
      <c r="D481" s="13">
        <f>Place_data_here!B481</f>
        <v>0</v>
      </c>
    </row>
    <row r="482" spans="1:4" x14ac:dyDescent="0.25">
      <c r="A482" s="16">
        <f>Place_data_here!A482</f>
        <v>0</v>
      </c>
      <c r="B482" s="4" t="e">
        <f t="shared" si="7"/>
        <v>#VALUE!</v>
      </c>
      <c r="C482" s="1" t="e">
        <f>SplineInterp(A482,Own_Spectrum_100cm!$U$2:$U$34,Own_Spectrum_100cm!$V$2:$V$34)*D482</f>
        <v>#VALUE!</v>
      </c>
      <c r="D482" s="13">
        <f>Place_data_here!B482</f>
        <v>0</v>
      </c>
    </row>
    <row r="483" spans="1:4" x14ac:dyDescent="0.25">
      <c r="A483" s="16">
        <f>Place_data_here!A483</f>
        <v>0</v>
      </c>
      <c r="B483" s="4" t="e">
        <f t="shared" si="7"/>
        <v>#VALUE!</v>
      </c>
      <c r="C483" s="1" t="e">
        <f>SplineInterp(A483,Own_Spectrum_100cm!$U$2:$U$34,Own_Spectrum_100cm!$V$2:$V$34)*D483</f>
        <v>#VALUE!</v>
      </c>
      <c r="D483" s="13">
        <f>Place_data_here!B483</f>
        <v>0</v>
      </c>
    </row>
    <row r="484" spans="1:4" x14ac:dyDescent="0.25">
      <c r="A484" s="16">
        <f>Place_data_here!A484</f>
        <v>0</v>
      </c>
      <c r="B484" s="4" t="e">
        <f t="shared" si="7"/>
        <v>#VALUE!</v>
      </c>
      <c r="C484" s="1" t="e">
        <f>SplineInterp(A484,Own_Spectrum_100cm!$U$2:$U$34,Own_Spectrum_100cm!$V$2:$V$34)*D484</f>
        <v>#VALUE!</v>
      </c>
      <c r="D484" s="13">
        <f>Place_data_here!B484</f>
        <v>0</v>
      </c>
    </row>
    <row r="485" spans="1:4" x14ac:dyDescent="0.25">
      <c r="A485" s="16">
        <f>Place_data_here!A485</f>
        <v>0</v>
      </c>
      <c r="B485" s="4" t="e">
        <f t="shared" si="7"/>
        <v>#VALUE!</v>
      </c>
      <c r="C485" s="1" t="e">
        <f>SplineInterp(A485,Own_Spectrum_100cm!$U$2:$U$34,Own_Spectrum_100cm!$V$2:$V$34)*D485</f>
        <v>#VALUE!</v>
      </c>
      <c r="D485" s="13">
        <f>Place_data_here!B485</f>
        <v>0</v>
      </c>
    </row>
    <row r="486" spans="1:4" x14ac:dyDescent="0.25">
      <c r="A486" s="16">
        <f>Place_data_here!A486</f>
        <v>0</v>
      </c>
      <c r="B486" s="4" t="e">
        <f t="shared" si="7"/>
        <v>#VALUE!</v>
      </c>
      <c r="C486" s="1" t="e">
        <f>SplineInterp(A486,Own_Spectrum_100cm!$U$2:$U$34,Own_Spectrum_100cm!$V$2:$V$34)*D486</f>
        <v>#VALUE!</v>
      </c>
      <c r="D486" s="13">
        <f>Place_data_here!B486</f>
        <v>0</v>
      </c>
    </row>
    <row r="487" spans="1:4" x14ac:dyDescent="0.25">
      <c r="A487" s="16">
        <f>Place_data_here!A487</f>
        <v>0</v>
      </c>
      <c r="B487" s="4" t="e">
        <f t="shared" si="7"/>
        <v>#VALUE!</v>
      </c>
      <c r="C487" s="1" t="e">
        <f>SplineInterp(A487,Own_Spectrum_100cm!$U$2:$U$34,Own_Spectrum_100cm!$V$2:$V$34)*D487</f>
        <v>#VALUE!</v>
      </c>
      <c r="D487" s="13">
        <f>Place_data_here!B487</f>
        <v>0</v>
      </c>
    </row>
    <row r="488" spans="1:4" x14ac:dyDescent="0.25">
      <c r="A488" s="16">
        <f>Place_data_here!A488</f>
        <v>0</v>
      </c>
      <c r="B488" s="4" t="e">
        <f t="shared" si="7"/>
        <v>#VALUE!</v>
      </c>
      <c r="C488" s="1" t="e">
        <f>SplineInterp(A488,Own_Spectrum_100cm!$U$2:$U$34,Own_Spectrum_100cm!$V$2:$V$34)*D488</f>
        <v>#VALUE!</v>
      </c>
      <c r="D488" s="13">
        <f>Place_data_here!B488</f>
        <v>0</v>
      </c>
    </row>
    <row r="489" spans="1:4" x14ac:dyDescent="0.25">
      <c r="A489" s="16">
        <f>Place_data_here!A489</f>
        <v>0</v>
      </c>
      <c r="B489" s="4" t="e">
        <f t="shared" si="7"/>
        <v>#VALUE!</v>
      </c>
      <c r="C489" s="1" t="e">
        <f>SplineInterp(A489,Own_Spectrum_100cm!$U$2:$U$34,Own_Spectrum_100cm!$V$2:$V$34)*D489</f>
        <v>#VALUE!</v>
      </c>
      <c r="D489" s="13">
        <f>Place_data_here!B489</f>
        <v>0</v>
      </c>
    </row>
    <row r="490" spans="1:4" x14ac:dyDescent="0.25">
      <c r="A490" s="16">
        <f>Place_data_here!A490</f>
        <v>0</v>
      </c>
      <c r="B490" s="4" t="e">
        <f t="shared" si="7"/>
        <v>#VALUE!</v>
      </c>
      <c r="C490" s="1" t="e">
        <f>SplineInterp(A490,Own_Spectrum_100cm!$U$2:$U$34,Own_Spectrum_100cm!$V$2:$V$34)*D490</f>
        <v>#VALUE!</v>
      </c>
      <c r="D490" s="13">
        <f>Place_data_here!B490</f>
        <v>0</v>
      </c>
    </row>
    <row r="491" spans="1:4" x14ac:dyDescent="0.25">
      <c r="A491" s="16">
        <f>Place_data_here!A491</f>
        <v>0</v>
      </c>
      <c r="B491" s="4" t="e">
        <f t="shared" si="7"/>
        <v>#VALUE!</v>
      </c>
      <c r="C491" s="1" t="e">
        <f>SplineInterp(A491,Own_Spectrum_100cm!$U$2:$U$34,Own_Spectrum_100cm!$V$2:$V$34)*D491</f>
        <v>#VALUE!</v>
      </c>
      <c r="D491" s="13">
        <f>Place_data_here!B491</f>
        <v>0</v>
      </c>
    </row>
    <row r="492" spans="1:4" x14ac:dyDescent="0.25">
      <c r="A492" s="16">
        <f>Place_data_here!A492</f>
        <v>0</v>
      </c>
      <c r="B492" s="4" t="e">
        <f t="shared" si="7"/>
        <v>#VALUE!</v>
      </c>
      <c r="C492" s="1" t="e">
        <f>SplineInterp(A492,Own_Spectrum_100cm!$U$2:$U$34,Own_Spectrum_100cm!$V$2:$V$34)*D492</f>
        <v>#VALUE!</v>
      </c>
      <c r="D492" s="13">
        <f>Place_data_here!B492</f>
        <v>0</v>
      </c>
    </row>
    <row r="493" spans="1:4" x14ac:dyDescent="0.25">
      <c r="A493" s="16">
        <f>Place_data_here!A493</f>
        <v>0</v>
      </c>
      <c r="B493" s="4" t="e">
        <f t="shared" si="7"/>
        <v>#VALUE!</v>
      </c>
      <c r="C493" s="1" t="e">
        <f>SplineInterp(A493,Own_Spectrum_100cm!$U$2:$U$34,Own_Spectrum_100cm!$V$2:$V$34)*D493</f>
        <v>#VALUE!</v>
      </c>
      <c r="D493" s="13">
        <f>Place_data_here!B493</f>
        <v>0</v>
      </c>
    </row>
    <row r="494" spans="1:4" x14ac:dyDescent="0.25">
      <c r="A494" s="16">
        <f>Place_data_here!A494</f>
        <v>0</v>
      </c>
      <c r="B494" s="4" t="e">
        <f t="shared" si="7"/>
        <v>#VALUE!</v>
      </c>
      <c r="C494" s="1" t="e">
        <f>SplineInterp(A494,Own_Spectrum_100cm!$U$2:$U$34,Own_Spectrum_100cm!$V$2:$V$34)*D494</f>
        <v>#VALUE!</v>
      </c>
      <c r="D494" s="13">
        <f>Place_data_here!B494</f>
        <v>0</v>
      </c>
    </row>
    <row r="495" spans="1:4" x14ac:dyDescent="0.25">
      <c r="A495" s="16">
        <f>Place_data_here!A495</f>
        <v>0</v>
      </c>
      <c r="B495" s="4" t="e">
        <f t="shared" si="7"/>
        <v>#VALUE!</v>
      </c>
      <c r="C495" s="1" t="e">
        <f>SplineInterp(A495,Own_Spectrum_100cm!$U$2:$U$34,Own_Spectrum_100cm!$V$2:$V$34)*D495</f>
        <v>#VALUE!</v>
      </c>
      <c r="D495" s="13">
        <f>Place_data_here!B495</f>
        <v>0</v>
      </c>
    </row>
    <row r="496" spans="1:4" x14ac:dyDescent="0.25">
      <c r="A496" s="16">
        <f>Place_data_here!A496</f>
        <v>0</v>
      </c>
      <c r="B496" s="4" t="e">
        <f t="shared" si="7"/>
        <v>#VALUE!</v>
      </c>
      <c r="C496" s="1" t="e">
        <f>SplineInterp(A496,Own_Spectrum_100cm!$U$2:$U$34,Own_Spectrum_100cm!$V$2:$V$34)*D496</f>
        <v>#VALUE!</v>
      </c>
      <c r="D496" s="13">
        <f>Place_data_here!B496</f>
        <v>0</v>
      </c>
    </row>
    <row r="497" spans="1:4" x14ac:dyDescent="0.25">
      <c r="A497" s="16">
        <f>Place_data_here!A497</f>
        <v>0</v>
      </c>
      <c r="B497" s="4" t="e">
        <f t="shared" si="7"/>
        <v>#VALUE!</v>
      </c>
      <c r="C497" s="1" t="e">
        <f>SplineInterp(A497,Own_Spectrum_100cm!$U$2:$U$34,Own_Spectrum_100cm!$V$2:$V$34)*D497</f>
        <v>#VALUE!</v>
      </c>
      <c r="D497" s="13">
        <f>Place_data_here!B497</f>
        <v>0</v>
      </c>
    </row>
    <row r="498" spans="1:4" x14ac:dyDescent="0.25">
      <c r="A498" s="16">
        <f>Place_data_here!A498</f>
        <v>0</v>
      </c>
      <c r="B498" s="4" t="e">
        <f t="shared" si="7"/>
        <v>#VALUE!</v>
      </c>
      <c r="C498" s="1" t="e">
        <f>SplineInterp(A498,Own_Spectrum_100cm!$U$2:$U$34,Own_Spectrum_100cm!$V$2:$V$34)*D498</f>
        <v>#VALUE!</v>
      </c>
      <c r="D498" s="13">
        <f>Place_data_here!B498</f>
        <v>0</v>
      </c>
    </row>
    <row r="499" spans="1:4" x14ac:dyDescent="0.25">
      <c r="A499" s="16">
        <f>Place_data_here!A499</f>
        <v>0</v>
      </c>
      <c r="B499" s="4" t="e">
        <f t="shared" si="7"/>
        <v>#VALUE!</v>
      </c>
      <c r="C499" s="1" t="e">
        <f>SplineInterp(A499,Own_Spectrum_100cm!$U$2:$U$34,Own_Spectrum_100cm!$V$2:$V$34)*D499</f>
        <v>#VALUE!</v>
      </c>
      <c r="D499" s="13">
        <f>Place_data_here!B499</f>
        <v>0</v>
      </c>
    </row>
    <row r="500" spans="1:4" x14ac:dyDescent="0.25">
      <c r="A500" s="16">
        <f>Place_data_here!A500</f>
        <v>0</v>
      </c>
      <c r="B500" s="4" t="e">
        <f t="shared" si="7"/>
        <v>#VALUE!</v>
      </c>
      <c r="C500" s="1" t="e">
        <f>SplineInterp(A500,Own_Spectrum_100cm!$U$2:$U$34,Own_Spectrum_100cm!$V$2:$V$34)*D500</f>
        <v>#VALUE!</v>
      </c>
      <c r="D500" s="13">
        <f>Place_data_here!B500</f>
        <v>0</v>
      </c>
    </row>
    <row r="501" spans="1:4" x14ac:dyDescent="0.25">
      <c r="A501" s="16">
        <f>Place_data_here!A501</f>
        <v>0</v>
      </c>
      <c r="B501" s="4" t="e">
        <f t="shared" si="7"/>
        <v>#VALUE!</v>
      </c>
      <c r="C501" s="1" t="e">
        <f>SplineInterp(A501,Own_Spectrum_100cm!$U$2:$U$34,Own_Spectrum_100cm!$V$2:$V$34)*D501</f>
        <v>#VALUE!</v>
      </c>
      <c r="D501" s="13">
        <f>Place_data_here!B501</f>
        <v>0</v>
      </c>
    </row>
    <row r="502" spans="1:4" x14ac:dyDescent="0.25">
      <c r="A502" s="16">
        <f>Place_data_here!A502</f>
        <v>0</v>
      </c>
      <c r="B502" s="4" t="e">
        <f t="shared" si="7"/>
        <v>#VALUE!</v>
      </c>
      <c r="C502" s="1" t="e">
        <f>SplineInterp(A502,Own_Spectrum_100cm!$U$2:$U$34,Own_Spectrum_100cm!$V$2:$V$34)*D502</f>
        <v>#VALUE!</v>
      </c>
      <c r="D502" s="13">
        <f>Place_data_here!B502</f>
        <v>0</v>
      </c>
    </row>
    <row r="503" spans="1:4" x14ac:dyDescent="0.25">
      <c r="A503" s="16">
        <f>Place_data_here!A503</f>
        <v>0</v>
      </c>
      <c r="B503" s="4" t="e">
        <f t="shared" si="7"/>
        <v>#VALUE!</v>
      </c>
      <c r="C503" s="1" t="e">
        <f>SplineInterp(A503,Own_Spectrum_100cm!$U$2:$U$34,Own_Spectrum_100cm!$V$2:$V$34)*D503</f>
        <v>#VALUE!</v>
      </c>
      <c r="D503" s="13">
        <f>Place_data_here!B503</f>
        <v>0</v>
      </c>
    </row>
    <row r="504" spans="1:4" x14ac:dyDescent="0.25">
      <c r="A504" s="16">
        <f>Place_data_here!A504</f>
        <v>0</v>
      </c>
      <c r="B504" s="4" t="e">
        <f t="shared" si="7"/>
        <v>#VALUE!</v>
      </c>
      <c r="C504" s="1" t="e">
        <f>SplineInterp(A504,Own_Spectrum_100cm!$U$2:$U$34,Own_Spectrum_100cm!$V$2:$V$34)*D504</f>
        <v>#VALUE!</v>
      </c>
      <c r="D504" s="13">
        <f>Place_data_here!B504</f>
        <v>0</v>
      </c>
    </row>
    <row r="505" spans="1:4" x14ac:dyDescent="0.25">
      <c r="A505" s="16">
        <f>Place_data_here!A505</f>
        <v>0</v>
      </c>
      <c r="B505" s="4" t="e">
        <f t="shared" si="7"/>
        <v>#VALUE!</v>
      </c>
      <c r="C505" s="1" t="e">
        <f>SplineInterp(A505,Own_Spectrum_100cm!$U$2:$U$34,Own_Spectrum_100cm!$V$2:$V$34)*D505</f>
        <v>#VALUE!</v>
      </c>
      <c r="D505" s="13">
        <f>Place_data_here!B505</f>
        <v>0</v>
      </c>
    </row>
    <row r="506" spans="1:4" x14ac:dyDescent="0.25">
      <c r="A506" s="16">
        <f>Place_data_here!A506</f>
        <v>0</v>
      </c>
      <c r="B506" s="4" t="e">
        <f t="shared" si="7"/>
        <v>#VALUE!</v>
      </c>
      <c r="C506" s="1" t="e">
        <f>SplineInterp(A506,Own_Spectrum_100cm!$U$2:$U$34,Own_Spectrum_100cm!$V$2:$V$34)*D506</f>
        <v>#VALUE!</v>
      </c>
      <c r="D506" s="13">
        <f>Place_data_here!B506</f>
        <v>0</v>
      </c>
    </row>
    <row r="507" spans="1:4" x14ac:dyDescent="0.25">
      <c r="A507" s="16">
        <f>Place_data_here!A507</f>
        <v>0</v>
      </c>
      <c r="B507" s="4" t="e">
        <f t="shared" si="7"/>
        <v>#VALUE!</v>
      </c>
      <c r="C507" s="1" t="e">
        <f>SplineInterp(A507,Own_Spectrum_100cm!$U$2:$U$34,Own_Spectrum_100cm!$V$2:$V$34)*D507</f>
        <v>#VALUE!</v>
      </c>
      <c r="D507" s="13">
        <f>Place_data_here!B507</f>
        <v>0</v>
      </c>
    </row>
    <row r="508" spans="1:4" x14ac:dyDescent="0.25">
      <c r="A508" s="16">
        <f>Place_data_here!A508</f>
        <v>0</v>
      </c>
      <c r="B508" s="4" t="e">
        <f t="shared" si="7"/>
        <v>#VALUE!</v>
      </c>
      <c r="C508" s="1" t="e">
        <f>SplineInterp(A508,Own_Spectrum_100cm!$U$2:$U$34,Own_Spectrum_100cm!$V$2:$V$34)*D508</f>
        <v>#VALUE!</v>
      </c>
      <c r="D508" s="13">
        <f>Place_data_here!B508</f>
        <v>0</v>
      </c>
    </row>
    <row r="509" spans="1:4" x14ac:dyDescent="0.25">
      <c r="A509" s="16">
        <f>Place_data_here!A509</f>
        <v>0</v>
      </c>
      <c r="B509" s="4" t="e">
        <f t="shared" si="7"/>
        <v>#VALUE!</v>
      </c>
      <c r="C509" s="1" t="e">
        <f>SplineInterp(A509,Own_Spectrum_100cm!$U$2:$U$34,Own_Spectrum_100cm!$V$2:$V$34)*D509</f>
        <v>#VALUE!</v>
      </c>
      <c r="D509" s="13">
        <f>Place_data_here!B509</f>
        <v>0</v>
      </c>
    </row>
    <row r="510" spans="1:4" x14ac:dyDescent="0.25">
      <c r="A510" s="16">
        <f>Place_data_here!A510</f>
        <v>0</v>
      </c>
      <c r="B510" s="4" t="e">
        <f t="shared" si="7"/>
        <v>#VALUE!</v>
      </c>
      <c r="C510" s="1" t="e">
        <f>SplineInterp(A510,Own_Spectrum_100cm!$U$2:$U$34,Own_Spectrum_100cm!$V$2:$V$34)*D510</f>
        <v>#VALUE!</v>
      </c>
      <c r="D510" s="13">
        <f>Place_data_here!B510</f>
        <v>0</v>
      </c>
    </row>
    <row r="511" spans="1:4" x14ac:dyDescent="0.25">
      <c r="A511" s="16">
        <f>Place_data_here!A511</f>
        <v>0</v>
      </c>
      <c r="B511" s="4" t="e">
        <f t="shared" si="7"/>
        <v>#VALUE!</v>
      </c>
      <c r="C511" s="1" t="e">
        <f>SplineInterp(A511,Own_Spectrum_100cm!$U$2:$U$34,Own_Spectrum_100cm!$V$2:$V$34)*D511</f>
        <v>#VALUE!</v>
      </c>
      <c r="D511" s="13">
        <f>Place_data_here!B511</f>
        <v>0</v>
      </c>
    </row>
    <row r="512" spans="1:4" x14ac:dyDescent="0.25">
      <c r="A512" s="16">
        <f>Place_data_here!A512</f>
        <v>0</v>
      </c>
      <c r="B512" s="4" t="e">
        <f t="shared" si="7"/>
        <v>#VALUE!</v>
      </c>
      <c r="C512" s="1" t="e">
        <f>SplineInterp(A512,Own_Spectrum_100cm!$U$2:$U$34,Own_Spectrum_100cm!$V$2:$V$34)*D512</f>
        <v>#VALUE!</v>
      </c>
      <c r="D512" s="13">
        <f>Place_data_here!B512</f>
        <v>0</v>
      </c>
    </row>
    <row r="513" spans="1:4" x14ac:dyDescent="0.25">
      <c r="A513" s="16">
        <f>Place_data_here!A513</f>
        <v>0</v>
      </c>
      <c r="B513" s="4" t="e">
        <f t="shared" si="7"/>
        <v>#VALUE!</v>
      </c>
      <c r="C513" s="1" t="e">
        <f>SplineInterp(A513,Own_Spectrum_100cm!$U$2:$U$34,Own_Spectrum_100cm!$V$2:$V$34)*D513</f>
        <v>#VALUE!</v>
      </c>
      <c r="D513" s="13">
        <f>Place_data_here!B513</f>
        <v>0</v>
      </c>
    </row>
    <row r="514" spans="1:4" x14ac:dyDescent="0.25">
      <c r="A514" s="16">
        <f>Place_data_here!A514</f>
        <v>0</v>
      </c>
      <c r="B514" s="4" t="e">
        <f t="shared" si="7"/>
        <v>#VALUE!</v>
      </c>
      <c r="C514" s="1" t="e">
        <f>SplineInterp(A514,Own_Spectrum_100cm!$U$2:$U$34,Own_Spectrum_100cm!$V$2:$V$34)*D514</f>
        <v>#VALUE!</v>
      </c>
      <c r="D514" s="13">
        <f>Place_data_here!B514</f>
        <v>0</v>
      </c>
    </row>
    <row r="515" spans="1:4" x14ac:dyDescent="0.25">
      <c r="A515" s="16">
        <f>Place_data_here!A515</f>
        <v>0</v>
      </c>
      <c r="B515" s="4" t="e">
        <f t="shared" ref="B515:B578" si="8">C515/$C$1028</f>
        <v>#VALUE!</v>
      </c>
      <c r="C515" s="1" t="e">
        <f>SplineInterp(A515,Own_Spectrum_100cm!$U$2:$U$34,Own_Spectrum_100cm!$V$2:$V$34)*D515</f>
        <v>#VALUE!</v>
      </c>
      <c r="D515" s="13">
        <f>Place_data_here!B515</f>
        <v>0</v>
      </c>
    </row>
    <row r="516" spans="1:4" x14ac:dyDescent="0.25">
      <c r="A516" s="16">
        <f>Place_data_here!A516</f>
        <v>0</v>
      </c>
      <c r="B516" s="4" t="e">
        <f t="shared" si="8"/>
        <v>#VALUE!</v>
      </c>
      <c r="C516" s="1" t="e">
        <f>SplineInterp(A516,Own_Spectrum_100cm!$U$2:$U$34,Own_Spectrum_100cm!$V$2:$V$34)*D516</f>
        <v>#VALUE!</v>
      </c>
      <c r="D516" s="13">
        <f>Place_data_here!B516</f>
        <v>0</v>
      </c>
    </row>
    <row r="517" spans="1:4" x14ac:dyDescent="0.25">
      <c r="A517" s="16">
        <f>Place_data_here!A517</f>
        <v>0</v>
      </c>
      <c r="B517" s="4" t="e">
        <f t="shared" si="8"/>
        <v>#VALUE!</v>
      </c>
      <c r="C517" s="1" t="e">
        <f>SplineInterp(A517,Own_Spectrum_100cm!$U$2:$U$34,Own_Spectrum_100cm!$V$2:$V$34)*D517</f>
        <v>#VALUE!</v>
      </c>
      <c r="D517" s="13">
        <f>Place_data_here!B517</f>
        <v>0</v>
      </c>
    </row>
    <row r="518" spans="1:4" x14ac:dyDescent="0.25">
      <c r="A518" s="16">
        <f>Place_data_here!A518</f>
        <v>0</v>
      </c>
      <c r="B518" s="4" t="e">
        <f t="shared" si="8"/>
        <v>#VALUE!</v>
      </c>
      <c r="C518" s="1" t="e">
        <f>SplineInterp(A518,Own_Spectrum_100cm!$U$2:$U$34,Own_Spectrum_100cm!$V$2:$V$34)*D518</f>
        <v>#VALUE!</v>
      </c>
      <c r="D518" s="13">
        <f>Place_data_here!B518</f>
        <v>0</v>
      </c>
    </row>
    <row r="519" spans="1:4" x14ac:dyDescent="0.25">
      <c r="A519" s="16">
        <f>Place_data_here!A519</f>
        <v>0</v>
      </c>
      <c r="B519" s="4" t="e">
        <f t="shared" si="8"/>
        <v>#VALUE!</v>
      </c>
      <c r="C519" s="1" t="e">
        <f>SplineInterp(A519,Own_Spectrum_100cm!$U$2:$U$34,Own_Spectrum_100cm!$V$2:$V$34)*D519</f>
        <v>#VALUE!</v>
      </c>
      <c r="D519" s="13">
        <f>Place_data_here!B519</f>
        <v>0</v>
      </c>
    </row>
    <row r="520" spans="1:4" x14ac:dyDescent="0.25">
      <c r="A520" s="16">
        <f>Place_data_here!A520</f>
        <v>0</v>
      </c>
      <c r="B520" s="4" t="e">
        <f t="shared" si="8"/>
        <v>#VALUE!</v>
      </c>
      <c r="C520" s="1" t="e">
        <f>SplineInterp(A520,Own_Spectrum_100cm!$U$2:$U$34,Own_Spectrum_100cm!$V$2:$V$34)*D520</f>
        <v>#VALUE!</v>
      </c>
      <c r="D520" s="13">
        <f>Place_data_here!B520</f>
        <v>0</v>
      </c>
    </row>
    <row r="521" spans="1:4" x14ac:dyDescent="0.25">
      <c r="A521" s="16">
        <f>Place_data_here!A521</f>
        <v>0</v>
      </c>
      <c r="B521" s="4" t="e">
        <f t="shared" si="8"/>
        <v>#VALUE!</v>
      </c>
      <c r="C521" s="1" t="e">
        <f>SplineInterp(A521,Own_Spectrum_100cm!$U$2:$U$34,Own_Spectrum_100cm!$V$2:$V$34)*D521</f>
        <v>#VALUE!</v>
      </c>
      <c r="D521" s="13">
        <f>Place_data_here!B521</f>
        <v>0</v>
      </c>
    </row>
    <row r="522" spans="1:4" x14ac:dyDescent="0.25">
      <c r="A522" s="16">
        <f>Place_data_here!A522</f>
        <v>0</v>
      </c>
      <c r="B522" s="4" t="e">
        <f t="shared" si="8"/>
        <v>#VALUE!</v>
      </c>
      <c r="C522" s="1" t="e">
        <f>SplineInterp(A522,Own_Spectrum_100cm!$U$2:$U$34,Own_Spectrum_100cm!$V$2:$V$34)*D522</f>
        <v>#VALUE!</v>
      </c>
      <c r="D522" s="13">
        <f>Place_data_here!B522</f>
        <v>0</v>
      </c>
    </row>
    <row r="523" spans="1:4" x14ac:dyDescent="0.25">
      <c r="A523" s="16">
        <f>Place_data_here!A523</f>
        <v>0</v>
      </c>
      <c r="B523" s="4" t="e">
        <f t="shared" si="8"/>
        <v>#VALUE!</v>
      </c>
      <c r="C523" s="1" t="e">
        <f>SplineInterp(A523,Own_Spectrum_100cm!$U$2:$U$34,Own_Spectrum_100cm!$V$2:$V$34)*D523</f>
        <v>#VALUE!</v>
      </c>
      <c r="D523" s="13">
        <f>Place_data_here!B523</f>
        <v>0</v>
      </c>
    </row>
    <row r="524" spans="1:4" x14ac:dyDescent="0.25">
      <c r="A524" s="16">
        <f>Place_data_here!A524</f>
        <v>0</v>
      </c>
      <c r="B524" s="4" t="e">
        <f t="shared" si="8"/>
        <v>#VALUE!</v>
      </c>
      <c r="C524" s="1" t="e">
        <f>SplineInterp(A524,Own_Spectrum_100cm!$U$2:$U$34,Own_Spectrum_100cm!$V$2:$V$34)*D524</f>
        <v>#VALUE!</v>
      </c>
      <c r="D524" s="13">
        <f>Place_data_here!B524</f>
        <v>0</v>
      </c>
    </row>
    <row r="525" spans="1:4" x14ac:dyDescent="0.25">
      <c r="A525" s="16">
        <f>Place_data_here!A525</f>
        <v>0</v>
      </c>
      <c r="B525" s="4" t="e">
        <f t="shared" si="8"/>
        <v>#VALUE!</v>
      </c>
      <c r="C525" s="1" t="e">
        <f>SplineInterp(A525,Own_Spectrum_100cm!$U$2:$U$34,Own_Spectrum_100cm!$V$2:$V$34)*D525</f>
        <v>#VALUE!</v>
      </c>
      <c r="D525" s="13">
        <f>Place_data_here!B525</f>
        <v>0</v>
      </c>
    </row>
    <row r="526" spans="1:4" x14ac:dyDescent="0.25">
      <c r="A526" s="16">
        <f>Place_data_here!A526</f>
        <v>0</v>
      </c>
      <c r="B526" s="4" t="e">
        <f t="shared" si="8"/>
        <v>#VALUE!</v>
      </c>
      <c r="C526" s="1" t="e">
        <f>SplineInterp(A526,Own_Spectrum_100cm!$U$2:$U$34,Own_Spectrum_100cm!$V$2:$V$34)*D526</f>
        <v>#VALUE!</v>
      </c>
      <c r="D526" s="13">
        <f>Place_data_here!B526</f>
        <v>0</v>
      </c>
    </row>
    <row r="527" spans="1:4" x14ac:dyDescent="0.25">
      <c r="A527" s="16">
        <f>Place_data_here!A527</f>
        <v>0</v>
      </c>
      <c r="B527" s="4" t="e">
        <f t="shared" si="8"/>
        <v>#VALUE!</v>
      </c>
      <c r="C527" s="1" t="e">
        <f>SplineInterp(A527,Own_Spectrum_100cm!$U$2:$U$34,Own_Spectrum_100cm!$V$2:$V$34)*D527</f>
        <v>#VALUE!</v>
      </c>
      <c r="D527" s="13">
        <f>Place_data_here!B527</f>
        <v>0</v>
      </c>
    </row>
    <row r="528" spans="1:4" x14ac:dyDescent="0.25">
      <c r="A528" s="16">
        <f>Place_data_here!A528</f>
        <v>0</v>
      </c>
      <c r="B528" s="4" t="e">
        <f t="shared" si="8"/>
        <v>#VALUE!</v>
      </c>
      <c r="C528" s="1" t="e">
        <f>SplineInterp(A528,Own_Spectrum_100cm!$U$2:$U$34,Own_Spectrum_100cm!$V$2:$V$34)*D528</f>
        <v>#VALUE!</v>
      </c>
      <c r="D528" s="13">
        <f>Place_data_here!B528</f>
        <v>0</v>
      </c>
    </row>
    <row r="529" spans="1:4" x14ac:dyDescent="0.25">
      <c r="A529" s="16">
        <f>Place_data_here!A529</f>
        <v>0</v>
      </c>
      <c r="B529" s="4" t="e">
        <f t="shared" si="8"/>
        <v>#VALUE!</v>
      </c>
      <c r="C529" s="1" t="e">
        <f>SplineInterp(A529,Own_Spectrum_100cm!$U$2:$U$34,Own_Spectrum_100cm!$V$2:$V$34)*D529</f>
        <v>#VALUE!</v>
      </c>
      <c r="D529" s="13">
        <f>Place_data_here!B529</f>
        <v>0</v>
      </c>
    </row>
    <row r="530" spans="1:4" x14ac:dyDescent="0.25">
      <c r="A530" s="16">
        <f>Place_data_here!A530</f>
        <v>0</v>
      </c>
      <c r="B530" s="4" t="e">
        <f t="shared" si="8"/>
        <v>#VALUE!</v>
      </c>
      <c r="C530" s="1" t="e">
        <f>SplineInterp(A530,Own_Spectrum_100cm!$U$2:$U$34,Own_Spectrum_100cm!$V$2:$V$34)*D530</f>
        <v>#VALUE!</v>
      </c>
      <c r="D530" s="13">
        <f>Place_data_here!B530</f>
        <v>0</v>
      </c>
    </row>
    <row r="531" spans="1:4" x14ac:dyDescent="0.25">
      <c r="A531" s="16">
        <f>Place_data_here!A531</f>
        <v>0</v>
      </c>
      <c r="B531" s="4" t="e">
        <f t="shared" si="8"/>
        <v>#VALUE!</v>
      </c>
      <c r="C531" s="1" t="e">
        <f>SplineInterp(A531,Own_Spectrum_100cm!$U$2:$U$34,Own_Spectrum_100cm!$V$2:$V$34)*D531</f>
        <v>#VALUE!</v>
      </c>
      <c r="D531" s="13">
        <f>Place_data_here!B531</f>
        <v>0</v>
      </c>
    </row>
    <row r="532" spans="1:4" x14ac:dyDescent="0.25">
      <c r="A532" s="16">
        <f>Place_data_here!A532</f>
        <v>0</v>
      </c>
      <c r="B532" s="4" t="e">
        <f t="shared" si="8"/>
        <v>#VALUE!</v>
      </c>
      <c r="C532" s="1" t="e">
        <f>SplineInterp(A532,Own_Spectrum_100cm!$U$2:$U$34,Own_Spectrum_100cm!$V$2:$V$34)*D532</f>
        <v>#VALUE!</v>
      </c>
      <c r="D532" s="13">
        <f>Place_data_here!B532</f>
        <v>0</v>
      </c>
    </row>
    <row r="533" spans="1:4" x14ac:dyDescent="0.25">
      <c r="A533" s="16">
        <f>Place_data_here!A533</f>
        <v>0</v>
      </c>
      <c r="B533" s="4" t="e">
        <f t="shared" si="8"/>
        <v>#VALUE!</v>
      </c>
      <c r="C533" s="1" t="e">
        <f>SplineInterp(A533,Own_Spectrum_100cm!$U$2:$U$34,Own_Spectrum_100cm!$V$2:$V$34)*D533</f>
        <v>#VALUE!</v>
      </c>
      <c r="D533" s="13">
        <f>Place_data_here!B533</f>
        <v>0</v>
      </c>
    </row>
    <row r="534" spans="1:4" x14ac:dyDescent="0.25">
      <c r="A534" s="16">
        <f>Place_data_here!A534</f>
        <v>0</v>
      </c>
      <c r="B534" s="4" t="e">
        <f t="shared" si="8"/>
        <v>#VALUE!</v>
      </c>
      <c r="C534" s="1" t="e">
        <f>SplineInterp(A534,Own_Spectrum_100cm!$U$2:$U$34,Own_Spectrum_100cm!$V$2:$V$34)*D534</f>
        <v>#VALUE!</v>
      </c>
      <c r="D534" s="13">
        <f>Place_data_here!B534</f>
        <v>0</v>
      </c>
    </row>
    <row r="535" spans="1:4" x14ac:dyDescent="0.25">
      <c r="A535" s="16">
        <f>Place_data_here!A535</f>
        <v>0</v>
      </c>
      <c r="B535" s="4" t="e">
        <f t="shared" si="8"/>
        <v>#VALUE!</v>
      </c>
      <c r="C535" s="1" t="e">
        <f>SplineInterp(A535,Own_Spectrum_100cm!$U$2:$U$34,Own_Spectrum_100cm!$V$2:$V$34)*D535</f>
        <v>#VALUE!</v>
      </c>
      <c r="D535" s="13">
        <f>Place_data_here!B535</f>
        <v>0</v>
      </c>
    </row>
    <row r="536" spans="1:4" x14ac:dyDescent="0.25">
      <c r="A536" s="16">
        <f>Place_data_here!A536</f>
        <v>0</v>
      </c>
      <c r="B536" s="4" t="e">
        <f t="shared" si="8"/>
        <v>#VALUE!</v>
      </c>
      <c r="C536" s="1" t="e">
        <f>SplineInterp(A536,Own_Spectrum_100cm!$U$2:$U$34,Own_Spectrum_100cm!$V$2:$V$34)*D536</f>
        <v>#VALUE!</v>
      </c>
      <c r="D536" s="13">
        <f>Place_data_here!B536</f>
        <v>0</v>
      </c>
    </row>
    <row r="537" spans="1:4" x14ac:dyDescent="0.25">
      <c r="A537" s="16">
        <f>Place_data_here!A537</f>
        <v>0</v>
      </c>
      <c r="B537" s="4" t="e">
        <f t="shared" si="8"/>
        <v>#VALUE!</v>
      </c>
      <c r="C537" s="1" t="e">
        <f>SplineInterp(A537,Own_Spectrum_100cm!$U$2:$U$34,Own_Spectrum_100cm!$V$2:$V$34)*D537</f>
        <v>#VALUE!</v>
      </c>
      <c r="D537" s="13">
        <f>Place_data_here!B537</f>
        <v>0</v>
      </c>
    </row>
    <row r="538" spans="1:4" x14ac:dyDescent="0.25">
      <c r="A538" s="16">
        <f>Place_data_here!A538</f>
        <v>0</v>
      </c>
      <c r="B538" s="4" t="e">
        <f t="shared" si="8"/>
        <v>#VALUE!</v>
      </c>
      <c r="C538" s="1" t="e">
        <f>SplineInterp(A538,Own_Spectrum_100cm!$U$2:$U$34,Own_Spectrum_100cm!$V$2:$V$34)*D538</f>
        <v>#VALUE!</v>
      </c>
      <c r="D538" s="13">
        <f>Place_data_here!B538</f>
        <v>0</v>
      </c>
    </row>
    <row r="539" spans="1:4" x14ac:dyDescent="0.25">
      <c r="A539" s="16">
        <f>Place_data_here!A539</f>
        <v>0</v>
      </c>
      <c r="B539" s="4" t="e">
        <f t="shared" si="8"/>
        <v>#VALUE!</v>
      </c>
      <c r="C539" s="1" t="e">
        <f>SplineInterp(A539,Own_Spectrum_100cm!$U$2:$U$34,Own_Spectrum_100cm!$V$2:$V$34)*D539</f>
        <v>#VALUE!</v>
      </c>
      <c r="D539" s="13">
        <f>Place_data_here!B539</f>
        <v>0</v>
      </c>
    </row>
    <row r="540" spans="1:4" x14ac:dyDescent="0.25">
      <c r="A540" s="16">
        <f>Place_data_here!A540</f>
        <v>0</v>
      </c>
      <c r="B540" s="4" t="e">
        <f t="shared" si="8"/>
        <v>#VALUE!</v>
      </c>
      <c r="C540" s="1" t="e">
        <f>SplineInterp(A540,Own_Spectrum_100cm!$U$2:$U$34,Own_Spectrum_100cm!$V$2:$V$34)*D540</f>
        <v>#VALUE!</v>
      </c>
      <c r="D540" s="13">
        <f>Place_data_here!B540</f>
        <v>0</v>
      </c>
    </row>
    <row r="541" spans="1:4" x14ac:dyDescent="0.25">
      <c r="A541" s="16">
        <f>Place_data_here!A541</f>
        <v>0</v>
      </c>
      <c r="B541" s="4" t="e">
        <f t="shared" si="8"/>
        <v>#VALUE!</v>
      </c>
      <c r="C541" s="1" t="e">
        <f>SplineInterp(A541,Own_Spectrum_100cm!$U$2:$U$34,Own_Spectrum_100cm!$V$2:$V$34)*D541</f>
        <v>#VALUE!</v>
      </c>
      <c r="D541" s="13">
        <f>Place_data_here!B541</f>
        <v>0</v>
      </c>
    </row>
    <row r="542" spans="1:4" x14ac:dyDescent="0.25">
      <c r="A542" s="16">
        <f>Place_data_here!A542</f>
        <v>0</v>
      </c>
      <c r="B542" s="4" t="e">
        <f t="shared" si="8"/>
        <v>#VALUE!</v>
      </c>
      <c r="C542" s="1" t="e">
        <f>SplineInterp(A542,Own_Spectrum_100cm!$U$2:$U$34,Own_Spectrum_100cm!$V$2:$V$34)*D542</f>
        <v>#VALUE!</v>
      </c>
      <c r="D542" s="13">
        <f>Place_data_here!B542</f>
        <v>0</v>
      </c>
    </row>
    <row r="543" spans="1:4" x14ac:dyDescent="0.25">
      <c r="A543" s="16">
        <f>Place_data_here!A543</f>
        <v>0</v>
      </c>
      <c r="B543" s="4" t="e">
        <f t="shared" si="8"/>
        <v>#VALUE!</v>
      </c>
      <c r="C543" s="1" t="e">
        <f>SplineInterp(A543,Own_Spectrum_100cm!$U$2:$U$34,Own_Spectrum_100cm!$V$2:$V$34)*D543</f>
        <v>#VALUE!</v>
      </c>
      <c r="D543" s="13">
        <f>Place_data_here!B543</f>
        <v>0</v>
      </c>
    </row>
    <row r="544" spans="1:4" x14ac:dyDescent="0.25">
      <c r="A544" s="16">
        <f>Place_data_here!A544</f>
        <v>0</v>
      </c>
      <c r="B544" s="4" t="e">
        <f t="shared" si="8"/>
        <v>#VALUE!</v>
      </c>
      <c r="C544" s="1" t="e">
        <f>SplineInterp(A544,Own_Spectrum_100cm!$U$2:$U$34,Own_Spectrum_100cm!$V$2:$V$34)*D544</f>
        <v>#VALUE!</v>
      </c>
      <c r="D544" s="13">
        <f>Place_data_here!B544</f>
        <v>0</v>
      </c>
    </row>
    <row r="545" spans="1:4" x14ac:dyDescent="0.25">
      <c r="A545" s="16">
        <f>Place_data_here!A545</f>
        <v>0</v>
      </c>
      <c r="B545" s="4" t="e">
        <f t="shared" si="8"/>
        <v>#VALUE!</v>
      </c>
      <c r="C545" s="1" t="e">
        <f>SplineInterp(A545,Own_Spectrum_100cm!$U$2:$U$34,Own_Spectrum_100cm!$V$2:$V$34)*D545</f>
        <v>#VALUE!</v>
      </c>
      <c r="D545" s="13">
        <f>Place_data_here!B545</f>
        <v>0</v>
      </c>
    </row>
    <row r="546" spans="1:4" x14ac:dyDescent="0.25">
      <c r="A546" s="16">
        <f>Place_data_here!A546</f>
        <v>0</v>
      </c>
      <c r="B546" s="4" t="e">
        <f t="shared" si="8"/>
        <v>#VALUE!</v>
      </c>
      <c r="C546" s="1" t="e">
        <f>SplineInterp(A546,Own_Spectrum_100cm!$U$2:$U$34,Own_Spectrum_100cm!$V$2:$V$34)*D546</f>
        <v>#VALUE!</v>
      </c>
      <c r="D546" s="13">
        <f>Place_data_here!B546</f>
        <v>0</v>
      </c>
    </row>
    <row r="547" spans="1:4" x14ac:dyDescent="0.25">
      <c r="A547" s="16">
        <f>Place_data_here!A547</f>
        <v>0</v>
      </c>
      <c r="B547" s="4" t="e">
        <f t="shared" si="8"/>
        <v>#VALUE!</v>
      </c>
      <c r="C547" s="1" t="e">
        <f>SplineInterp(A547,Own_Spectrum_100cm!$U$2:$U$34,Own_Spectrum_100cm!$V$2:$V$34)*D547</f>
        <v>#VALUE!</v>
      </c>
      <c r="D547" s="13">
        <f>Place_data_here!B547</f>
        <v>0</v>
      </c>
    </row>
    <row r="548" spans="1:4" x14ac:dyDescent="0.25">
      <c r="A548" s="16">
        <f>Place_data_here!A548</f>
        <v>0</v>
      </c>
      <c r="B548" s="4" t="e">
        <f t="shared" si="8"/>
        <v>#VALUE!</v>
      </c>
      <c r="C548" s="1" t="e">
        <f>SplineInterp(A548,Own_Spectrum_100cm!$U$2:$U$34,Own_Spectrum_100cm!$V$2:$V$34)*D548</f>
        <v>#VALUE!</v>
      </c>
      <c r="D548" s="13">
        <f>Place_data_here!B548</f>
        <v>0</v>
      </c>
    </row>
    <row r="549" spans="1:4" x14ac:dyDescent="0.25">
      <c r="A549" s="16">
        <f>Place_data_here!A549</f>
        <v>0</v>
      </c>
      <c r="B549" s="4" t="e">
        <f t="shared" si="8"/>
        <v>#VALUE!</v>
      </c>
      <c r="C549" s="1" t="e">
        <f>SplineInterp(A549,Own_Spectrum_100cm!$U$2:$U$34,Own_Spectrum_100cm!$V$2:$V$34)*D549</f>
        <v>#VALUE!</v>
      </c>
      <c r="D549" s="13">
        <f>Place_data_here!B549</f>
        <v>0</v>
      </c>
    </row>
    <row r="550" spans="1:4" x14ac:dyDescent="0.25">
      <c r="A550" s="16">
        <f>Place_data_here!A550</f>
        <v>0</v>
      </c>
      <c r="B550" s="4" t="e">
        <f t="shared" si="8"/>
        <v>#VALUE!</v>
      </c>
      <c r="C550" s="1" t="e">
        <f>SplineInterp(A550,Own_Spectrum_100cm!$U$2:$U$34,Own_Spectrum_100cm!$V$2:$V$34)*D550</f>
        <v>#VALUE!</v>
      </c>
      <c r="D550" s="13">
        <f>Place_data_here!B550</f>
        <v>0</v>
      </c>
    </row>
    <row r="551" spans="1:4" x14ac:dyDescent="0.25">
      <c r="A551" s="16">
        <f>Place_data_here!A551</f>
        <v>0</v>
      </c>
      <c r="B551" s="4" t="e">
        <f t="shared" si="8"/>
        <v>#VALUE!</v>
      </c>
      <c r="C551" s="1" t="e">
        <f>SplineInterp(A551,Own_Spectrum_100cm!$U$2:$U$34,Own_Spectrum_100cm!$V$2:$V$34)*D551</f>
        <v>#VALUE!</v>
      </c>
      <c r="D551" s="13">
        <f>Place_data_here!B551</f>
        <v>0</v>
      </c>
    </row>
    <row r="552" spans="1:4" x14ac:dyDescent="0.25">
      <c r="A552" s="16">
        <f>Place_data_here!A552</f>
        <v>0</v>
      </c>
      <c r="B552" s="4" t="e">
        <f t="shared" si="8"/>
        <v>#VALUE!</v>
      </c>
      <c r="C552" s="1" t="e">
        <f>SplineInterp(A552,Own_Spectrum_100cm!$U$2:$U$34,Own_Spectrum_100cm!$V$2:$V$34)*D552</f>
        <v>#VALUE!</v>
      </c>
      <c r="D552" s="13">
        <f>Place_data_here!B552</f>
        <v>0</v>
      </c>
    </row>
    <row r="553" spans="1:4" x14ac:dyDescent="0.25">
      <c r="A553" s="16">
        <f>Place_data_here!A553</f>
        <v>0</v>
      </c>
      <c r="B553" s="4" t="e">
        <f t="shared" si="8"/>
        <v>#VALUE!</v>
      </c>
      <c r="C553" s="1" t="e">
        <f>SplineInterp(A553,Own_Spectrum_100cm!$U$2:$U$34,Own_Spectrum_100cm!$V$2:$V$34)*D553</f>
        <v>#VALUE!</v>
      </c>
      <c r="D553" s="13">
        <f>Place_data_here!B553</f>
        <v>0</v>
      </c>
    </row>
    <row r="554" spans="1:4" x14ac:dyDescent="0.25">
      <c r="A554" s="16">
        <f>Place_data_here!A554</f>
        <v>0</v>
      </c>
      <c r="B554" s="4" t="e">
        <f t="shared" si="8"/>
        <v>#VALUE!</v>
      </c>
      <c r="C554" s="1" t="e">
        <f>SplineInterp(A554,Own_Spectrum_100cm!$U$2:$U$34,Own_Spectrum_100cm!$V$2:$V$34)*D554</f>
        <v>#VALUE!</v>
      </c>
      <c r="D554" s="13">
        <f>Place_data_here!B554</f>
        <v>0</v>
      </c>
    </row>
    <row r="555" spans="1:4" x14ac:dyDescent="0.25">
      <c r="A555" s="16">
        <f>Place_data_here!A555</f>
        <v>0</v>
      </c>
      <c r="B555" s="4" t="e">
        <f t="shared" si="8"/>
        <v>#VALUE!</v>
      </c>
      <c r="C555" s="1" t="e">
        <f>SplineInterp(A555,Own_Spectrum_100cm!$U$2:$U$34,Own_Spectrum_100cm!$V$2:$V$34)*D555</f>
        <v>#VALUE!</v>
      </c>
      <c r="D555" s="13">
        <f>Place_data_here!B555</f>
        <v>0</v>
      </c>
    </row>
    <row r="556" spans="1:4" x14ac:dyDescent="0.25">
      <c r="A556" s="16">
        <f>Place_data_here!A556</f>
        <v>0</v>
      </c>
      <c r="B556" s="4" t="e">
        <f t="shared" si="8"/>
        <v>#VALUE!</v>
      </c>
      <c r="C556" s="1" t="e">
        <f>SplineInterp(A556,Own_Spectrum_100cm!$U$2:$U$34,Own_Spectrum_100cm!$V$2:$V$34)*D556</f>
        <v>#VALUE!</v>
      </c>
      <c r="D556" s="13">
        <f>Place_data_here!B556</f>
        <v>0</v>
      </c>
    </row>
    <row r="557" spans="1:4" x14ac:dyDescent="0.25">
      <c r="A557" s="16">
        <f>Place_data_here!A557</f>
        <v>0</v>
      </c>
      <c r="B557" s="4" t="e">
        <f t="shared" si="8"/>
        <v>#VALUE!</v>
      </c>
      <c r="C557" s="1" t="e">
        <f>SplineInterp(A557,Own_Spectrum_100cm!$U$2:$U$34,Own_Spectrum_100cm!$V$2:$V$34)*D557</f>
        <v>#VALUE!</v>
      </c>
      <c r="D557" s="13">
        <f>Place_data_here!B557</f>
        <v>0</v>
      </c>
    </row>
    <row r="558" spans="1:4" x14ac:dyDescent="0.25">
      <c r="A558" s="16">
        <f>Place_data_here!A558</f>
        <v>0</v>
      </c>
      <c r="B558" s="4" t="e">
        <f t="shared" si="8"/>
        <v>#VALUE!</v>
      </c>
      <c r="C558" s="1" t="e">
        <f>SplineInterp(A558,Own_Spectrum_100cm!$U$2:$U$34,Own_Spectrum_100cm!$V$2:$V$34)*D558</f>
        <v>#VALUE!</v>
      </c>
      <c r="D558" s="13">
        <f>Place_data_here!B558</f>
        <v>0</v>
      </c>
    </row>
    <row r="559" spans="1:4" x14ac:dyDescent="0.25">
      <c r="A559" s="16">
        <f>Place_data_here!A559</f>
        <v>0</v>
      </c>
      <c r="B559" s="4" t="e">
        <f t="shared" si="8"/>
        <v>#VALUE!</v>
      </c>
      <c r="C559" s="1" t="e">
        <f>SplineInterp(A559,Own_Spectrum_100cm!$U$2:$U$34,Own_Spectrum_100cm!$V$2:$V$34)*D559</f>
        <v>#VALUE!</v>
      </c>
      <c r="D559" s="13">
        <f>Place_data_here!B559</f>
        <v>0</v>
      </c>
    </row>
    <row r="560" spans="1:4" x14ac:dyDescent="0.25">
      <c r="A560" s="16">
        <f>Place_data_here!A560</f>
        <v>0</v>
      </c>
      <c r="B560" s="4" t="e">
        <f t="shared" si="8"/>
        <v>#VALUE!</v>
      </c>
      <c r="C560" s="1" t="e">
        <f>SplineInterp(A560,Own_Spectrum_100cm!$U$2:$U$34,Own_Spectrum_100cm!$V$2:$V$34)*D560</f>
        <v>#VALUE!</v>
      </c>
      <c r="D560" s="13">
        <f>Place_data_here!B560</f>
        <v>0</v>
      </c>
    </row>
    <row r="561" spans="1:4" x14ac:dyDescent="0.25">
      <c r="A561" s="16">
        <f>Place_data_here!A561</f>
        <v>0</v>
      </c>
      <c r="B561" s="4" t="e">
        <f t="shared" si="8"/>
        <v>#VALUE!</v>
      </c>
      <c r="C561" s="1" t="e">
        <f>SplineInterp(A561,Own_Spectrum_100cm!$U$2:$U$34,Own_Spectrum_100cm!$V$2:$V$34)*D561</f>
        <v>#VALUE!</v>
      </c>
      <c r="D561" s="13">
        <f>Place_data_here!B561</f>
        <v>0</v>
      </c>
    </row>
    <row r="562" spans="1:4" x14ac:dyDescent="0.25">
      <c r="A562" s="16">
        <f>Place_data_here!A562</f>
        <v>0</v>
      </c>
      <c r="B562" s="4" t="e">
        <f t="shared" si="8"/>
        <v>#VALUE!</v>
      </c>
      <c r="C562" s="1" t="e">
        <f>SplineInterp(A562,Own_Spectrum_100cm!$U$2:$U$34,Own_Spectrum_100cm!$V$2:$V$34)*D562</f>
        <v>#VALUE!</v>
      </c>
      <c r="D562" s="13">
        <f>Place_data_here!B562</f>
        <v>0</v>
      </c>
    </row>
    <row r="563" spans="1:4" x14ac:dyDescent="0.25">
      <c r="A563" s="16">
        <f>Place_data_here!A563</f>
        <v>0</v>
      </c>
      <c r="B563" s="4" t="e">
        <f t="shared" si="8"/>
        <v>#VALUE!</v>
      </c>
      <c r="C563" s="1" t="e">
        <f>SplineInterp(A563,Own_Spectrum_100cm!$U$2:$U$34,Own_Spectrum_100cm!$V$2:$V$34)*D563</f>
        <v>#VALUE!</v>
      </c>
      <c r="D563" s="13">
        <f>Place_data_here!B563</f>
        <v>0</v>
      </c>
    </row>
    <row r="564" spans="1:4" x14ac:dyDescent="0.25">
      <c r="A564" s="16">
        <f>Place_data_here!A564</f>
        <v>0</v>
      </c>
      <c r="B564" s="4" t="e">
        <f t="shared" si="8"/>
        <v>#VALUE!</v>
      </c>
      <c r="C564" s="1" t="e">
        <f>SplineInterp(A564,Own_Spectrum_100cm!$U$2:$U$34,Own_Spectrum_100cm!$V$2:$V$34)*D564</f>
        <v>#VALUE!</v>
      </c>
      <c r="D564" s="13">
        <f>Place_data_here!B564</f>
        <v>0</v>
      </c>
    </row>
    <row r="565" spans="1:4" x14ac:dyDescent="0.25">
      <c r="A565" s="16">
        <f>Place_data_here!A565</f>
        <v>0</v>
      </c>
      <c r="B565" s="4" t="e">
        <f t="shared" si="8"/>
        <v>#VALUE!</v>
      </c>
      <c r="C565" s="1" t="e">
        <f>SplineInterp(A565,Own_Spectrum_100cm!$U$2:$U$34,Own_Spectrum_100cm!$V$2:$V$34)*D565</f>
        <v>#VALUE!</v>
      </c>
      <c r="D565" s="13">
        <f>Place_data_here!B565</f>
        <v>0</v>
      </c>
    </row>
    <row r="566" spans="1:4" x14ac:dyDescent="0.25">
      <c r="A566" s="16">
        <f>Place_data_here!A566</f>
        <v>0</v>
      </c>
      <c r="B566" s="4" t="e">
        <f t="shared" si="8"/>
        <v>#VALUE!</v>
      </c>
      <c r="C566" s="1" t="e">
        <f>SplineInterp(A566,Own_Spectrum_100cm!$U$2:$U$34,Own_Spectrum_100cm!$V$2:$V$34)*D566</f>
        <v>#VALUE!</v>
      </c>
      <c r="D566" s="13">
        <f>Place_data_here!B566</f>
        <v>0</v>
      </c>
    </row>
    <row r="567" spans="1:4" x14ac:dyDescent="0.25">
      <c r="A567" s="16">
        <f>Place_data_here!A567</f>
        <v>0</v>
      </c>
      <c r="B567" s="4" t="e">
        <f t="shared" si="8"/>
        <v>#VALUE!</v>
      </c>
      <c r="C567" s="1" t="e">
        <f>SplineInterp(A567,Own_Spectrum_100cm!$U$2:$U$34,Own_Spectrum_100cm!$V$2:$V$34)*D567</f>
        <v>#VALUE!</v>
      </c>
      <c r="D567" s="13">
        <f>Place_data_here!B567</f>
        <v>0</v>
      </c>
    </row>
    <row r="568" spans="1:4" x14ac:dyDescent="0.25">
      <c r="A568" s="16">
        <f>Place_data_here!A568</f>
        <v>0</v>
      </c>
      <c r="B568" s="4" t="e">
        <f t="shared" si="8"/>
        <v>#VALUE!</v>
      </c>
      <c r="C568" s="1" t="e">
        <f>SplineInterp(A568,Own_Spectrum_100cm!$U$2:$U$34,Own_Spectrum_100cm!$V$2:$V$34)*D568</f>
        <v>#VALUE!</v>
      </c>
      <c r="D568" s="13">
        <f>Place_data_here!B568</f>
        <v>0</v>
      </c>
    </row>
    <row r="569" spans="1:4" x14ac:dyDescent="0.25">
      <c r="A569" s="16">
        <f>Place_data_here!A569</f>
        <v>0</v>
      </c>
      <c r="B569" s="4" t="e">
        <f t="shared" si="8"/>
        <v>#VALUE!</v>
      </c>
      <c r="C569" s="1" t="e">
        <f>SplineInterp(A569,Own_Spectrum_100cm!$U$2:$U$34,Own_Spectrum_100cm!$V$2:$V$34)*D569</f>
        <v>#VALUE!</v>
      </c>
      <c r="D569" s="13">
        <f>Place_data_here!B569</f>
        <v>0</v>
      </c>
    </row>
    <row r="570" spans="1:4" x14ac:dyDescent="0.25">
      <c r="A570" s="16">
        <f>Place_data_here!A570</f>
        <v>0</v>
      </c>
      <c r="B570" s="4" t="e">
        <f t="shared" si="8"/>
        <v>#VALUE!</v>
      </c>
      <c r="C570" s="1" t="e">
        <f>SplineInterp(A570,Own_Spectrum_100cm!$U$2:$U$34,Own_Spectrum_100cm!$V$2:$V$34)*D570</f>
        <v>#VALUE!</v>
      </c>
      <c r="D570" s="13">
        <f>Place_data_here!B570</f>
        <v>0</v>
      </c>
    </row>
    <row r="571" spans="1:4" x14ac:dyDescent="0.25">
      <c r="A571" s="16">
        <f>Place_data_here!A571</f>
        <v>0</v>
      </c>
      <c r="B571" s="4" t="e">
        <f t="shared" si="8"/>
        <v>#VALUE!</v>
      </c>
      <c r="C571" s="1" t="e">
        <f>SplineInterp(A571,Own_Spectrum_100cm!$U$2:$U$34,Own_Spectrum_100cm!$V$2:$V$34)*D571</f>
        <v>#VALUE!</v>
      </c>
      <c r="D571" s="13">
        <f>Place_data_here!B571</f>
        <v>0</v>
      </c>
    </row>
    <row r="572" spans="1:4" x14ac:dyDescent="0.25">
      <c r="A572" s="16">
        <f>Place_data_here!A572</f>
        <v>0</v>
      </c>
      <c r="B572" s="4" t="e">
        <f t="shared" si="8"/>
        <v>#VALUE!</v>
      </c>
      <c r="C572" s="1" t="e">
        <f>SplineInterp(A572,Own_Spectrum_100cm!$U$2:$U$34,Own_Spectrum_100cm!$V$2:$V$34)*D572</f>
        <v>#VALUE!</v>
      </c>
      <c r="D572" s="13">
        <f>Place_data_here!B572</f>
        <v>0</v>
      </c>
    </row>
    <row r="573" spans="1:4" x14ac:dyDescent="0.25">
      <c r="A573" s="16">
        <f>Place_data_here!A573</f>
        <v>0</v>
      </c>
      <c r="B573" s="4" t="e">
        <f t="shared" si="8"/>
        <v>#VALUE!</v>
      </c>
      <c r="C573" s="1" t="e">
        <f>SplineInterp(A573,Own_Spectrum_100cm!$U$2:$U$34,Own_Spectrum_100cm!$V$2:$V$34)*D573</f>
        <v>#VALUE!</v>
      </c>
      <c r="D573" s="13">
        <f>Place_data_here!B573</f>
        <v>0</v>
      </c>
    </row>
    <row r="574" spans="1:4" x14ac:dyDescent="0.25">
      <c r="A574" s="16">
        <f>Place_data_here!A574</f>
        <v>0</v>
      </c>
      <c r="B574" s="4" t="e">
        <f t="shared" si="8"/>
        <v>#VALUE!</v>
      </c>
      <c r="C574" s="1" t="e">
        <f>SplineInterp(A574,Own_Spectrum_100cm!$U$2:$U$34,Own_Spectrum_100cm!$V$2:$V$34)*D574</f>
        <v>#VALUE!</v>
      </c>
      <c r="D574" s="13">
        <f>Place_data_here!B574</f>
        <v>0</v>
      </c>
    </row>
    <row r="575" spans="1:4" x14ac:dyDescent="0.25">
      <c r="A575" s="16">
        <f>Place_data_here!A575</f>
        <v>0</v>
      </c>
      <c r="B575" s="4" t="e">
        <f t="shared" si="8"/>
        <v>#VALUE!</v>
      </c>
      <c r="C575" s="1" t="e">
        <f>SplineInterp(A575,Own_Spectrum_100cm!$U$2:$U$34,Own_Spectrum_100cm!$V$2:$V$34)*D575</f>
        <v>#VALUE!</v>
      </c>
      <c r="D575" s="13">
        <f>Place_data_here!B575</f>
        <v>0</v>
      </c>
    </row>
    <row r="576" spans="1:4" x14ac:dyDescent="0.25">
      <c r="A576" s="16">
        <f>Place_data_here!A576</f>
        <v>0</v>
      </c>
      <c r="B576" s="4" t="e">
        <f t="shared" si="8"/>
        <v>#VALUE!</v>
      </c>
      <c r="C576" s="1" t="e">
        <f>SplineInterp(A576,Own_Spectrum_100cm!$U$2:$U$34,Own_Spectrum_100cm!$V$2:$V$34)*D576</f>
        <v>#VALUE!</v>
      </c>
      <c r="D576" s="13">
        <f>Place_data_here!B576</f>
        <v>0</v>
      </c>
    </row>
    <row r="577" spans="1:4" x14ac:dyDescent="0.25">
      <c r="A577" s="16">
        <f>Place_data_here!A577</f>
        <v>0</v>
      </c>
      <c r="B577" s="4" t="e">
        <f t="shared" si="8"/>
        <v>#VALUE!</v>
      </c>
      <c r="C577" s="1" t="e">
        <f>SplineInterp(A577,Own_Spectrum_100cm!$U$2:$U$34,Own_Spectrum_100cm!$V$2:$V$34)*D577</f>
        <v>#VALUE!</v>
      </c>
      <c r="D577" s="13">
        <f>Place_data_here!B577</f>
        <v>0</v>
      </c>
    </row>
    <row r="578" spans="1:4" x14ac:dyDescent="0.25">
      <c r="A578" s="16">
        <f>Place_data_here!A578</f>
        <v>0</v>
      </c>
      <c r="B578" s="4" t="e">
        <f t="shared" si="8"/>
        <v>#VALUE!</v>
      </c>
      <c r="C578" s="1" t="e">
        <f>SplineInterp(A578,Own_Spectrum_100cm!$U$2:$U$34,Own_Spectrum_100cm!$V$2:$V$34)*D578</f>
        <v>#VALUE!</v>
      </c>
      <c r="D578" s="13">
        <f>Place_data_here!B578</f>
        <v>0</v>
      </c>
    </row>
    <row r="579" spans="1:4" x14ac:dyDescent="0.25">
      <c r="A579" s="16">
        <f>Place_data_here!A579</f>
        <v>0</v>
      </c>
      <c r="B579" s="4" t="e">
        <f t="shared" ref="B579:B642" si="9">C579/$C$1028</f>
        <v>#VALUE!</v>
      </c>
      <c r="C579" s="1" t="e">
        <f>SplineInterp(A579,Own_Spectrum_100cm!$U$2:$U$34,Own_Spectrum_100cm!$V$2:$V$34)*D579</f>
        <v>#VALUE!</v>
      </c>
      <c r="D579" s="13">
        <f>Place_data_here!B579</f>
        <v>0</v>
      </c>
    </row>
    <row r="580" spans="1:4" x14ac:dyDescent="0.25">
      <c r="A580" s="16">
        <f>Place_data_here!A580</f>
        <v>0</v>
      </c>
      <c r="B580" s="4" t="e">
        <f t="shared" si="9"/>
        <v>#VALUE!</v>
      </c>
      <c r="C580" s="1" t="e">
        <f>SplineInterp(A580,Own_Spectrum_100cm!$U$2:$U$34,Own_Spectrum_100cm!$V$2:$V$34)*D580</f>
        <v>#VALUE!</v>
      </c>
      <c r="D580" s="13">
        <f>Place_data_here!B580</f>
        <v>0</v>
      </c>
    </row>
    <row r="581" spans="1:4" x14ac:dyDescent="0.25">
      <c r="A581" s="16">
        <f>Place_data_here!A581</f>
        <v>0</v>
      </c>
      <c r="B581" s="4" t="e">
        <f t="shared" si="9"/>
        <v>#VALUE!</v>
      </c>
      <c r="C581" s="1" t="e">
        <f>SplineInterp(A581,Own_Spectrum_100cm!$U$2:$U$34,Own_Spectrum_100cm!$V$2:$V$34)*D581</f>
        <v>#VALUE!</v>
      </c>
      <c r="D581" s="13">
        <f>Place_data_here!B581</f>
        <v>0</v>
      </c>
    </row>
    <row r="582" spans="1:4" x14ac:dyDescent="0.25">
      <c r="A582" s="16">
        <f>Place_data_here!A582</f>
        <v>0</v>
      </c>
      <c r="B582" s="4" t="e">
        <f t="shared" si="9"/>
        <v>#VALUE!</v>
      </c>
      <c r="C582" s="1" t="e">
        <f>SplineInterp(A582,Own_Spectrum_100cm!$U$2:$U$34,Own_Spectrum_100cm!$V$2:$V$34)*D582</f>
        <v>#VALUE!</v>
      </c>
      <c r="D582" s="13">
        <f>Place_data_here!B582</f>
        <v>0</v>
      </c>
    </row>
    <row r="583" spans="1:4" x14ac:dyDescent="0.25">
      <c r="A583" s="16">
        <f>Place_data_here!A583</f>
        <v>0</v>
      </c>
      <c r="B583" s="4" t="e">
        <f t="shared" si="9"/>
        <v>#VALUE!</v>
      </c>
      <c r="C583" s="1" t="e">
        <f>SplineInterp(A583,Own_Spectrum_100cm!$U$2:$U$34,Own_Spectrum_100cm!$V$2:$V$34)*D583</f>
        <v>#VALUE!</v>
      </c>
      <c r="D583" s="13">
        <f>Place_data_here!B583</f>
        <v>0</v>
      </c>
    </row>
    <row r="584" spans="1:4" x14ac:dyDescent="0.25">
      <c r="A584" s="16">
        <f>Place_data_here!A584</f>
        <v>0</v>
      </c>
      <c r="B584" s="4" t="e">
        <f t="shared" si="9"/>
        <v>#VALUE!</v>
      </c>
      <c r="C584" s="1" t="e">
        <f>SplineInterp(A584,Own_Spectrum_100cm!$U$2:$U$34,Own_Spectrum_100cm!$V$2:$V$34)*D584</f>
        <v>#VALUE!</v>
      </c>
      <c r="D584" s="13">
        <f>Place_data_here!B584</f>
        <v>0</v>
      </c>
    </row>
    <row r="585" spans="1:4" x14ac:dyDescent="0.25">
      <c r="A585" s="16">
        <f>Place_data_here!A585</f>
        <v>0</v>
      </c>
      <c r="B585" s="4" t="e">
        <f t="shared" si="9"/>
        <v>#VALUE!</v>
      </c>
      <c r="C585" s="1" t="e">
        <f>SplineInterp(A585,Own_Spectrum_100cm!$U$2:$U$34,Own_Spectrum_100cm!$V$2:$V$34)*D585</f>
        <v>#VALUE!</v>
      </c>
      <c r="D585" s="13">
        <f>Place_data_here!B585</f>
        <v>0</v>
      </c>
    </row>
    <row r="586" spans="1:4" x14ac:dyDescent="0.25">
      <c r="A586" s="16">
        <f>Place_data_here!A586</f>
        <v>0</v>
      </c>
      <c r="B586" s="4" t="e">
        <f t="shared" si="9"/>
        <v>#VALUE!</v>
      </c>
      <c r="C586" s="1" t="e">
        <f>SplineInterp(A586,Own_Spectrum_100cm!$U$2:$U$34,Own_Spectrum_100cm!$V$2:$V$34)*D586</f>
        <v>#VALUE!</v>
      </c>
      <c r="D586" s="13">
        <f>Place_data_here!B586</f>
        <v>0</v>
      </c>
    </row>
    <row r="587" spans="1:4" x14ac:dyDescent="0.25">
      <c r="A587" s="16">
        <f>Place_data_here!A587</f>
        <v>0</v>
      </c>
      <c r="B587" s="4" t="e">
        <f t="shared" si="9"/>
        <v>#VALUE!</v>
      </c>
      <c r="C587" s="1" t="e">
        <f>SplineInterp(A587,Own_Spectrum_100cm!$U$2:$U$34,Own_Spectrum_100cm!$V$2:$V$34)*D587</f>
        <v>#VALUE!</v>
      </c>
      <c r="D587" s="13">
        <f>Place_data_here!B587</f>
        <v>0</v>
      </c>
    </row>
    <row r="588" spans="1:4" x14ac:dyDescent="0.25">
      <c r="A588" s="16">
        <f>Place_data_here!A588</f>
        <v>0</v>
      </c>
      <c r="B588" s="4" t="e">
        <f t="shared" si="9"/>
        <v>#VALUE!</v>
      </c>
      <c r="C588" s="1" t="e">
        <f>SplineInterp(A588,Own_Spectrum_100cm!$U$2:$U$34,Own_Spectrum_100cm!$V$2:$V$34)*D588</f>
        <v>#VALUE!</v>
      </c>
      <c r="D588" s="13">
        <f>Place_data_here!B588</f>
        <v>0</v>
      </c>
    </row>
    <row r="589" spans="1:4" x14ac:dyDescent="0.25">
      <c r="A589" s="16">
        <f>Place_data_here!A589</f>
        <v>0</v>
      </c>
      <c r="B589" s="4" t="e">
        <f t="shared" si="9"/>
        <v>#VALUE!</v>
      </c>
      <c r="C589" s="1" t="e">
        <f>SplineInterp(A589,Own_Spectrum_100cm!$U$2:$U$34,Own_Spectrum_100cm!$V$2:$V$34)*D589</f>
        <v>#VALUE!</v>
      </c>
      <c r="D589" s="13">
        <f>Place_data_here!B589</f>
        <v>0</v>
      </c>
    </row>
    <row r="590" spans="1:4" x14ac:dyDescent="0.25">
      <c r="A590" s="16">
        <f>Place_data_here!A590</f>
        <v>0</v>
      </c>
      <c r="B590" s="4" t="e">
        <f t="shared" si="9"/>
        <v>#VALUE!</v>
      </c>
      <c r="C590" s="1" t="e">
        <f>SplineInterp(A590,Own_Spectrum_100cm!$U$2:$U$34,Own_Spectrum_100cm!$V$2:$V$34)*D590</f>
        <v>#VALUE!</v>
      </c>
      <c r="D590" s="13">
        <f>Place_data_here!B590</f>
        <v>0</v>
      </c>
    </row>
    <row r="591" spans="1:4" x14ac:dyDescent="0.25">
      <c r="A591" s="16">
        <f>Place_data_here!A591</f>
        <v>0</v>
      </c>
      <c r="B591" s="4" t="e">
        <f t="shared" si="9"/>
        <v>#VALUE!</v>
      </c>
      <c r="C591" s="1" t="e">
        <f>SplineInterp(A591,Own_Spectrum_100cm!$U$2:$U$34,Own_Spectrum_100cm!$V$2:$V$34)*D591</f>
        <v>#VALUE!</v>
      </c>
      <c r="D591" s="13">
        <f>Place_data_here!B591</f>
        <v>0</v>
      </c>
    </row>
    <row r="592" spans="1:4" x14ac:dyDescent="0.25">
      <c r="A592" s="16">
        <f>Place_data_here!A592</f>
        <v>0</v>
      </c>
      <c r="B592" s="4" t="e">
        <f t="shared" si="9"/>
        <v>#VALUE!</v>
      </c>
      <c r="C592" s="1" t="e">
        <f>SplineInterp(A592,Own_Spectrum_100cm!$U$2:$U$34,Own_Spectrum_100cm!$V$2:$V$34)*D592</f>
        <v>#VALUE!</v>
      </c>
      <c r="D592" s="13">
        <f>Place_data_here!B592</f>
        <v>0</v>
      </c>
    </row>
    <row r="593" spans="1:4" x14ac:dyDescent="0.25">
      <c r="A593" s="16">
        <f>Place_data_here!A593</f>
        <v>0</v>
      </c>
      <c r="B593" s="4" t="e">
        <f t="shared" si="9"/>
        <v>#VALUE!</v>
      </c>
      <c r="C593" s="1" t="e">
        <f>SplineInterp(A593,Own_Spectrum_100cm!$U$2:$U$34,Own_Spectrum_100cm!$V$2:$V$34)*D593</f>
        <v>#VALUE!</v>
      </c>
      <c r="D593" s="13">
        <f>Place_data_here!B593</f>
        <v>0</v>
      </c>
    </row>
    <row r="594" spans="1:4" x14ac:dyDescent="0.25">
      <c r="A594" s="16">
        <f>Place_data_here!A594</f>
        <v>0</v>
      </c>
      <c r="B594" s="4" t="e">
        <f t="shared" si="9"/>
        <v>#VALUE!</v>
      </c>
      <c r="C594" s="1" t="e">
        <f>SplineInterp(A594,Own_Spectrum_100cm!$U$2:$U$34,Own_Spectrum_100cm!$V$2:$V$34)*D594</f>
        <v>#VALUE!</v>
      </c>
      <c r="D594" s="13">
        <f>Place_data_here!B594</f>
        <v>0</v>
      </c>
    </row>
    <row r="595" spans="1:4" x14ac:dyDescent="0.25">
      <c r="A595" s="16">
        <f>Place_data_here!A595</f>
        <v>0</v>
      </c>
      <c r="B595" s="4" t="e">
        <f t="shared" si="9"/>
        <v>#VALUE!</v>
      </c>
      <c r="C595" s="1" t="e">
        <f>SplineInterp(A595,Own_Spectrum_100cm!$U$2:$U$34,Own_Spectrum_100cm!$V$2:$V$34)*D595</f>
        <v>#VALUE!</v>
      </c>
      <c r="D595" s="13">
        <f>Place_data_here!B595</f>
        <v>0</v>
      </c>
    </row>
    <row r="596" spans="1:4" x14ac:dyDescent="0.25">
      <c r="A596" s="16">
        <f>Place_data_here!A596</f>
        <v>0</v>
      </c>
      <c r="B596" s="4" t="e">
        <f t="shared" si="9"/>
        <v>#VALUE!</v>
      </c>
      <c r="C596" s="1" t="e">
        <f>SplineInterp(A596,Own_Spectrum_100cm!$U$2:$U$34,Own_Spectrum_100cm!$V$2:$V$34)*D596</f>
        <v>#VALUE!</v>
      </c>
      <c r="D596" s="13">
        <f>Place_data_here!B596</f>
        <v>0</v>
      </c>
    </row>
    <row r="597" spans="1:4" x14ac:dyDescent="0.25">
      <c r="A597" s="16">
        <f>Place_data_here!A597</f>
        <v>0</v>
      </c>
      <c r="B597" s="4" t="e">
        <f t="shared" si="9"/>
        <v>#VALUE!</v>
      </c>
      <c r="C597" s="1" t="e">
        <f>SplineInterp(A597,Own_Spectrum_100cm!$U$2:$U$34,Own_Spectrum_100cm!$V$2:$V$34)*D597</f>
        <v>#VALUE!</v>
      </c>
      <c r="D597" s="13">
        <f>Place_data_here!B597</f>
        <v>0</v>
      </c>
    </row>
    <row r="598" spans="1:4" x14ac:dyDescent="0.25">
      <c r="A598" s="16">
        <f>Place_data_here!A598</f>
        <v>0</v>
      </c>
      <c r="B598" s="4" t="e">
        <f t="shared" si="9"/>
        <v>#VALUE!</v>
      </c>
      <c r="C598" s="1" t="e">
        <f>SplineInterp(A598,Own_Spectrum_100cm!$U$2:$U$34,Own_Spectrum_100cm!$V$2:$V$34)*D598</f>
        <v>#VALUE!</v>
      </c>
      <c r="D598" s="13">
        <f>Place_data_here!B598</f>
        <v>0</v>
      </c>
    </row>
    <row r="599" spans="1:4" x14ac:dyDescent="0.25">
      <c r="A599" s="16">
        <f>Place_data_here!A599</f>
        <v>0</v>
      </c>
      <c r="B599" s="4" t="e">
        <f t="shared" si="9"/>
        <v>#VALUE!</v>
      </c>
      <c r="C599" s="1" t="e">
        <f>SplineInterp(A599,Own_Spectrum_100cm!$U$2:$U$34,Own_Spectrum_100cm!$V$2:$V$34)*D599</f>
        <v>#VALUE!</v>
      </c>
      <c r="D599" s="13">
        <f>Place_data_here!B599</f>
        <v>0</v>
      </c>
    </row>
    <row r="600" spans="1:4" x14ac:dyDescent="0.25">
      <c r="A600" s="16">
        <f>Place_data_here!A600</f>
        <v>0</v>
      </c>
      <c r="B600" s="4" t="e">
        <f t="shared" si="9"/>
        <v>#VALUE!</v>
      </c>
      <c r="C600" s="1" t="e">
        <f>SplineInterp(A600,Own_Spectrum_100cm!$U$2:$U$34,Own_Spectrum_100cm!$V$2:$V$34)*D600</f>
        <v>#VALUE!</v>
      </c>
      <c r="D600" s="13">
        <f>Place_data_here!B600</f>
        <v>0</v>
      </c>
    </row>
    <row r="601" spans="1:4" x14ac:dyDescent="0.25">
      <c r="A601" s="16">
        <f>Place_data_here!A601</f>
        <v>0</v>
      </c>
      <c r="B601" s="4" t="e">
        <f t="shared" si="9"/>
        <v>#VALUE!</v>
      </c>
      <c r="C601" s="1" t="e">
        <f>SplineInterp(A601,Own_Spectrum_100cm!$U$2:$U$34,Own_Spectrum_100cm!$V$2:$V$34)*D601</f>
        <v>#VALUE!</v>
      </c>
      <c r="D601" s="13">
        <f>Place_data_here!B601</f>
        <v>0</v>
      </c>
    </row>
    <row r="602" spans="1:4" x14ac:dyDescent="0.25">
      <c r="A602" s="16">
        <f>Place_data_here!A602</f>
        <v>0</v>
      </c>
      <c r="B602" s="4" t="e">
        <f t="shared" si="9"/>
        <v>#VALUE!</v>
      </c>
      <c r="C602" s="1" t="e">
        <f>SplineInterp(A602,Own_Spectrum_100cm!$U$2:$U$34,Own_Spectrum_100cm!$V$2:$V$34)*D602</f>
        <v>#VALUE!</v>
      </c>
      <c r="D602" s="13">
        <f>Place_data_here!B602</f>
        <v>0</v>
      </c>
    </row>
    <row r="603" spans="1:4" x14ac:dyDescent="0.25">
      <c r="A603" s="16">
        <f>Place_data_here!A603</f>
        <v>0</v>
      </c>
      <c r="B603" s="4" t="e">
        <f t="shared" si="9"/>
        <v>#VALUE!</v>
      </c>
      <c r="C603" s="1" t="e">
        <f>SplineInterp(A603,Own_Spectrum_100cm!$U$2:$U$34,Own_Spectrum_100cm!$V$2:$V$34)*D603</f>
        <v>#VALUE!</v>
      </c>
      <c r="D603" s="13">
        <f>Place_data_here!B603</f>
        <v>0</v>
      </c>
    </row>
    <row r="604" spans="1:4" x14ac:dyDescent="0.25">
      <c r="A604" s="16">
        <f>Place_data_here!A604</f>
        <v>0</v>
      </c>
      <c r="B604" s="4" t="e">
        <f t="shared" si="9"/>
        <v>#VALUE!</v>
      </c>
      <c r="C604" s="1" t="e">
        <f>SplineInterp(A604,Own_Spectrum_100cm!$U$2:$U$34,Own_Spectrum_100cm!$V$2:$V$34)*D604</f>
        <v>#VALUE!</v>
      </c>
      <c r="D604" s="13">
        <f>Place_data_here!B604</f>
        <v>0</v>
      </c>
    </row>
    <row r="605" spans="1:4" x14ac:dyDescent="0.25">
      <c r="A605" s="16">
        <f>Place_data_here!A605</f>
        <v>0</v>
      </c>
      <c r="B605" s="4" t="e">
        <f t="shared" si="9"/>
        <v>#VALUE!</v>
      </c>
      <c r="C605" s="1" t="e">
        <f>SplineInterp(A605,Own_Spectrum_100cm!$U$2:$U$34,Own_Spectrum_100cm!$V$2:$V$34)*D605</f>
        <v>#VALUE!</v>
      </c>
      <c r="D605" s="13">
        <f>Place_data_here!B605</f>
        <v>0</v>
      </c>
    </row>
    <row r="606" spans="1:4" x14ac:dyDescent="0.25">
      <c r="A606" s="16">
        <f>Place_data_here!A606</f>
        <v>0</v>
      </c>
      <c r="B606" s="4" t="e">
        <f t="shared" si="9"/>
        <v>#VALUE!</v>
      </c>
      <c r="C606" s="1" t="e">
        <f>SplineInterp(A606,Own_Spectrum_100cm!$U$2:$U$34,Own_Spectrum_100cm!$V$2:$V$34)*D606</f>
        <v>#VALUE!</v>
      </c>
      <c r="D606" s="13">
        <f>Place_data_here!B606</f>
        <v>0</v>
      </c>
    </row>
    <row r="607" spans="1:4" x14ac:dyDescent="0.25">
      <c r="A607" s="16">
        <f>Place_data_here!A607</f>
        <v>0</v>
      </c>
      <c r="B607" s="4" t="e">
        <f t="shared" si="9"/>
        <v>#VALUE!</v>
      </c>
      <c r="C607" s="1" t="e">
        <f>SplineInterp(A607,Own_Spectrum_100cm!$U$2:$U$34,Own_Spectrum_100cm!$V$2:$V$34)*D607</f>
        <v>#VALUE!</v>
      </c>
      <c r="D607" s="13">
        <f>Place_data_here!B607</f>
        <v>0</v>
      </c>
    </row>
    <row r="608" spans="1:4" x14ac:dyDescent="0.25">
      <c r="A608" s="16">
        <f>Place_data_here!A608</f>
        <v>0</v>
      </c>
      <c r="B608" s="4" t="e">
        <f t="shared" si="9"/>
        <v>#VALUE!</v>
      </c>
      <c r="C608" s="1" t="e">
        <f>SplineInterp(A608,Own_Spectrum_100cm!$U$2:$U$34,Own_Spectrum_100cm!$V$2:$V$34)*D608</f>
        <v>#VALUE!</v>
      </c>
      <c r="D608" s="13">
        <f>Place_data_here!B608</f>
        <v>0</v>
      </c>
    </row>
    <row r="609" spans="1:4" x14ac:dyDescent="0.25">
      <c r="A609" s="16">
        <f>Place_data_here!A609</f>
        <v>0</v>
      </c>
      <c r="B609" s="4" t="e">
        <f t="shared" si="9"/>
        <v>#VALUE!</v>
      </c>
      <c r="C609" s="1" t="e">
        <f>SplineInterp(A609,Own_Spectrum_100cm!$U$2:$U$34,Own_Spectrum_100cm!$V$2:$V$34)*D609</f>
        <v>#VALUE!</v>
      </c>
      <c r="D609" s="13">
        <f>Place_data_here!B609</f>
        <v>0</v>
      </c>
    </row>
    <row r="610" spans="1:4" x14ac:dyDescent="0.25">
      <c r="A610" s="16">
        <f>Place_data_here!A610</f>
        <v>0</v>
      </c>
      <c r="B610" s="4" t="e">
        <f t="shared" si="9"/>
        <v>#VALUE!</v>
      </c>
      <c r="C610" s="1" t="e">
        <f>SplineInterp(A610,Own_Spectrum_100cm!$U$2:$U$34,Own_Spectrum_100cm!$V$2:$V$34)*D610</f>
        <v>#VALUE!</v>
      </c>
      <c r="D610" s="13">
        <f>Place_data_here!B610</f>
        <v>0</v>
      </c>
    </row>
    <row r="611" spans="1:4" x14ac:dyDescent="0.25">
      <c r="A611" s="16">
        <f>Place_data_here!A611</f>
        <v>0</v>
      </c>
      <c r="B611" s="4" t="e">
        <f t="shared" si="9"/>
        <v>#VALUE!</v>
      </c>
      <c r="C611" s="1" t="e">
        <f>SplineInterp(A611,Own_Spectrum_100cm!$U$2:$U$34,Own_Spectrum_100cm!$V$2:$V$34)*D611</f>
        <v>#VALUE!</v>
      </c>
      <c r="D611" s="13">
        <f>Place_data_here!B611</f>
        <v>0</v>
      </c>
    </row>
    <row r="612" spans="1:4" x14ac:dyDescent="0.25">
      <c r="A612" s="16">
        <f>Place_data_here!A612</f>
        <v>0</v>
      </c>
      <c r="B612" s="4" t="e">
        <f t="shared" si="9"/>
        <v>#VALUE!</v>
      </c>
      <c r="C612" s="1" t="e">
        <f>SplineInterp(A612,Own_Spectrum_100cm!$U$2:$U$34,Own_Spectrum_100cm!$V$2:$V$34)*D612</f>
        <v>#VALUE!</v>
      </c>
      <c r="D612" s="13">
        <f>Place_data_here!B612</f>
        <v>0</v>
      </c>
    </row>
    <row r="613" spans="1:4" x14ac:dyDescent="0.25">
      <c r="A613" s="16">
        <f>Place_data_here!A613</f>
        <v>0</v>
      </c>
      <c r="B613" s="4" t="e">
        <f t="shared" si="9"/>
        <v>#VALUE!</v>
      </c>
      <c r="C613" s="1" t="e">
        <f>SplineInterp(A613,Own_Spectrum_100cm!$U$2:$U$34,Own_Spectrum_100cm!$V$2:$V$34)*D613</f>
        <v>#VALUE!</v>
      </c>
      <c r="D613" s="13">
        <f>Place_data_here!B613</f>
        <v>0</v>
      </c>
    </row>
    <row r="614" spans="1:4" x14ac:dyDescent="0.25">
      <c r="A614" s="16">
        <f>Place_data_here!A614</f>
        <v>0</v>
      </c>
      <c r="B614" s="4" t="e">
        <f t="shared" si="9"/>
        <v>#VALUE!</v>
      </c>
      <c r="C614" s="1" t="e">
        <f>SplineInterp(A614,Own_Spectrum_100cm!$U$2:$U$34,Own_Spectrum_100cm!$V$2:$V$34)*D614</f>
        <v>#VALUE!</v>
      </c>
      <c r="D614" s="13">
        <f>Place_data_here!B614</f>
        <v>0</v>
      </c>
    </row>
    <row r="615" spans="1:4" x14ac:dyDescent="0.25">
      <c r="A615" s="16">
        <f>Place_data_here!A615</f>
        <v>0</v>
      </c>
      <c r="B615" s="4" t="e">
        <f t="shared" si="9"/>
        <v>#VALUE!</v>
      </c>
      <c r="C615" s="1" t="e">
        <f>SplineInterp(A615,Own_Spectrum_100cm!$U$2:$U$34,Own_Spectrum_100cm!$V$2:$V$34)*D615</f>
        <v>#VALUE!</v>
      </c>
      <c r="D615" s="13">
        <f>Place_data_here!B615</f>
        <v>0</v>
      </c>
    </row>
    <row r="616" spans="1:4" x14ac:dyDescent="0.25">
      <c r="A616" s="16">
        <f>Place_data_here!A616</f>
        <v>0</v>
      </c>
      <c r="B616" s="4" t="e">
        <f t="shared" si="9"/>
        <v>#VALUE!</v>
      </c>
      <c r="C616" s="1" t="e">
        <f>SplineInterp(A616,Own_Spectrum_100cm!$U$2:$U$34,Own_Spectrum_100cm!$V$2:$V$34)*D616</f>
        <v>#VALUE!</v>
      </c>
      <c r="D616" s="13">
        <f>Place_data_here!B616</f>
        <v>0</v>
      </c>
    </row>
    <row r="617" spans="1:4" x14ac:dyDescent="0.25">
      <c r="A617" s="16">
        <f>Place_data_here!A617</f>
        <v>0</v>
      </c>
      <c r="B617" s="4" t="e">
        <f t="shared" si="9"/>
        <v>#VALUE!</v>
      </c>
      <c r="C617" s="1" t="e">
        <f>SplineInterp(A617,Own_Spectrum_100cm!$U$2:$U$34,Own_Spectrum_100cm!$V$2:$V$34)*D617</f>
        <v>#VALUE!</v>
      </c>
      <c r="D617" s="13">
        <f>Place_data_here!B617</f>
        <v>0</v>
      </c>
    </row>
    <row r="618" spans="1:4" x14ac:dyDescent="0.25">
      <c r="A618" s="16">
        <f>Place_data_here!A618</f>
        <v>0</v>
      </c>
      <c r="B618" s="4" t="e">
        <f t="shared" si="9"/>
        <v>#VALUE!</v>
      </c>
      <c r="C618" s="1" t="e">
        <f>SplineInterp(A618,Own_Spectrum_100cm!$U$2:$U$34,Own_Spectrum_100cm!$V$2:$V$34)*D618</f>
        <v>#VALUE!</v>
      </c>
      <c r="D618" s="13">
        <f>Place_data_here!B618</f>
        <v>0</v>
      </c>
    </row>
    <row r="619" spans="1:4" x14ac:dyDescent="0.25">
      <c r="A619" s="16">
        <f>Place_data_here!A619</f>
        <v>0</v>
      </c>
      <c r="B619" s="4" t="e">
        <f t="shared" si="9"/>
        <v>#VALUE!</v>
      </c>
      <c r="C619" s="1" t="e">
        <f>SplineInterp(A619,Own_Spectrum_100cm!$U$2:$U$34,Own_Spectrum_100cm!$V$2:$V$34)*D619</f>
        <v>#VALUE!</v>
      </c>
      <c r="D619" s="13">
        <f>Place_data_here!B619</f>
        <v>0</v>
      </c>
    </row>
    <row r="620" spans="1:4" x14ac:dyDescent="0.25">
      <c r="A620" s="16">
        <f>Place_data_here!A620</f>
        <v>0</v>
      </c>
      <c r="B620" s="4" t="e">
        <f t="shared" si="9"/>
        <v>#VALUE!</v>
      </c>
      <c r="C620" s="1" t="e">
        <f>SplineInterp(A620,Own_Spectrum_100cm!$U$2:$U$34,Own_Spectrum_100cm!$V$2:$V$34)*D620</f>
        <v>#VALUE!</v>
      </c>
      <c r="D620" s="13">
        <f>Place_data_here!B620</f>
        <v>0</v>
      </c>
    </row>
    <row r="621" spans="1:4" x14ac:dyDescent="0.25">
      <c r="A621" s="16">
        <f>Place_data_here!A621</f>
        <v>0</v>
      </c>
      <c r="B621" s="4" t="e">
        <f t="shared" si="9"/>
        <v>#VALUE!</v>
      </c>
      <c r="C621" s="1" t="e">
        <f>SplineInterp(A621,Own_Spectrum_100cm!$U$2:$U$34,Own_Spectrum_100cm!$V$2:$V$34)*D621</f>
        <v>#VALUE!</v>
      </c>
      <c r="D621" s="13">
        <f>Place_data_here!B621</f>
        <v>0</v>
      </c>
    </row>
    <row r="622" spans="1:4" x14ac:dyDescent="0.25">
      <c r="A622" s="16">
        <f>Place_data_here!A622</f>
        <v>0</v>
      </c>
      <c r="B622" s="4" t="e">
        <f t="shared" si="9"/>
        <v>#VALUE!</v>
      </c>
      <c r="C622" s="1" t="e">
        <f>SplineInterp(A622,Own_Spectrum_100cm!$U$2:$U$34,Own_Spectrum_100cm!$V$2:$V$34)*D622</f>
        <v>#VALUE!</v>
      </c>
      <c r="D622" s="13">
        <f>Place_data_here!B622</f>
        <v>0</v>
      </c>
    </row>
    <row r="623" spans="1:4" x14ac:dyDescent="0.25">
      <c r="A623" s="16">
        <f>Place_data_here!A623</f>
        <v>0</v>
      </c>
      <c r="B623" s="4" t="e">
        <f t="shared" si="9"/>
        <v>#VALUE!</v>
      </c>
      <c r="C623" s="1" t="e">
        <f>SplineInterp(A623,Own_Spectrum_100cm!$U$2:$U$34,Own_Spectrum_100cm!$V$2:$V$34)*D623</f>
        <v>#VALUE!</v>
      </c>
      <c r="D623" s="13">
        <f>Place_data_here!B623</f>
        <v>0</v>
      </c>
    </row>
    <row r="624" spans="1:4" x14ac:dyDescent="0.25">
      <c r="A624" s="16">
        <f>Place_data_here!A624</f>
        <v>0</v>
      </c>
      <c r="B624" s="4" t="e">
        <f t="shared" si="9"/>
        <v>#VALUE!</v>
      </c>
      <c r="C624" s="1" t="e">
        <f>SplineInterp(A624,Own_Spectrum_100cm!$U$2:$U$34,Own_Spectrum_100cm!$V$2:$V$34)*D624</f>
        <v>#VALUE!</v>
      </c>
      <c r="D624" s="13">
        <f>Place_data_here!B624</f>
        <v>0</v>
      </c>
    </row>
    <row r="625" spans="1:4" x14ac:dyDescent="0.25">
      <c r="A625" s="16">
        <f>Place_data_here!A625</f>
        <v>0</v>
      </c>
      <c r="B625" s="4" t="e">
        <f t="shared" si="9"/>
        <v>#VALUE!</v>
      </c>
      <c r="C625" s="1" t="e">
        <f>SplineInterp(A625,Own_Spectrum_100cm!$U$2:$U$34,Own_Spectrum_100cm!$V$2:$V$34)*D625</f>
        <v>#VALUE!</v>
      </c>
      <c r="D625" s="13">
        <f>Place_data_here!B625</f>
        <v>0</v>
      </c>
    </row>
    <row r="626" spans="1:4" x14ac:dyDescent="0.25">
      <c r="A626" s="16">
        <f>Place_data_here!A626</f>
        <v>0</v>
      </c>
      <c r="B626" s="4" t="e">
        <f t="shared" si="9"/>
        <v>#VALUE!</v>
      </c>
      <c r="C626" s="1" t="e">
        <f>SplineInterp(A626,Own_Spectrum_100cm!$U$2:$U$34,Own_Spectrum_100cm!$V$2:$V$34)*D626</f>
        <v>#VALUE!</v>
      </c>
      <c r="D626" s="13">
        <f>Place_data_here!B626</f>
        <v>0</v>
      </c>
    </row>
    <row r="627" spans="1:4" x14ac:dyDescent="0.25">
      <c r="A627" s="16">
        <f>Place_data_here!A627</f>
        <v>0</v>
      </c>
      <c r="B627" s="4" t="e">
        <f t="shared" si="9"/>
        <v>#VALUE!</v>
      </c>
      <c r="C627" s="1" t="e">
        <f>SplineInterp(A627,Own_Spectrum_100cm!$U$2:$U$34,Own_Spectrum_100cm!$V$2:$V$34)*D627</f>
        <v>#VALUE!</v>
      </c>
      <c r="D627" s="13">
        <f>Place_data_here!B627</f>
        <v>0</v>
      </c>
    </row>
    <row r="628" spans="1:4" x14ac:dyDescent="0.25">
      <c r="A628" s="16">
        <f>Place_data_here!A628</f>
        <v>0</v>
      </c>
      <c r="B628" s="4" t="e">
        <f t="shared" si="9"/>
        <v>#VALUE!</v>
      </c>
      <c r="C628" s="1" t="e">
        <f>SplineInterp(A628,Own_Spectrum_100cm!$U$2:$U$34,Own_Spectrum_100cm!$V$2:$V$34)*D628</f>
        <v>#VALUE!</v>
      </c>
      <c r="D628" s="13">
        <f>Place_data_here!B628</f>
        <v>0</v>
      </c>
    </row>
    <row r="629" spans="1:4" x14ac:dyDescent="0.25">
      <c r="A629" s="16">
        <f>Place_data_here!A629</f>
        <v>0</v>
      </c>
      <c r="B629" s="4" t="e">
        <f t="shared" si="9"/>
        <v>#VALUE!</v>
      </c>
      <c r="C629" s="1" t="e">
        <f>SplineInterp(A629,Own_Spectrum_100cm!$U$2:$U$34,Own_Spectrum_100cm!$V$2:$V$34)*D629</f>
        <v>#VALUE!</v>
      </c>
      <c r="D629" s="13">
        <f>Place_data_here!B629</f>
        <v>0</v>
      </c>
    </row>
    <row r="630" spans="1:4" x14ac:dyDescent="0.25">
      <c r="A630" s="16">
        <f>Place_data_here!A630</f>
        <v>0</v>
      </c>
      <c r="B630" s="4" t="e">
        <f t="shared" si="9"/>
        <v>#VALUE!</v>
      </c>
      <c r="C630" s="1" t="e">
        <f>SplineInterp(A630,Own_Spectrum_100cm!$U$2:$U$34,Own_Spectrum_100cm!$V$2:$V$34)*D630</f>
        <v>#VALUE!</v>
      </c>
      <c r="D630" s="13">
        <f>Place_data_here!B630</f>
        <v>0</v>
      </c>
    </row>
    <row r="631" spans="1:4" x14ac:dyDescent="0.25">
      <c r="A631" s="16">
        <f>Place_data_here!A631</f>
        <v>0</v>
      </c>
      <c r="B631" s="4" t="e">
        <f t="shared" si="9"/>
        <v>#VALUE!</v>
      </c>
      <c r="C631" s="1" t="e">
        <f>SplineInterp(A631,Own_Spectrum_100cm!$U$2:$U$34,Own_Spectrum_100cm!$V$2:$V$34)*D631</f>
        <v>#VALUE!</v>
      </c>
      <c r="D631" s="13">
        <f>Place_data_here!B631</f>
        <v>0</v>
      </c>
    </row>
    <row r="632" spans="1:4" x14ac:dyDescent="0.25">
      <c r="A632" s="16">
        <f>Place_data_here!A632</f>
        <v>0</v>
      </c>
      <c r="B632" s="4" t="e">
        <f t="shared" si="9"/>
        <v>#VALUE!</v>
      </c>
      <c r="C632" s="1" t="e">
        <f>SplineInterp(A632,Own_Spectrum_100cm!$U$2:$U$34,Own_Spectrum_100cm!$V$2:$V$34)*D632</f>
        <v>#VALUE!</v>
      </c>
      <c r="D632" s="13">
        <f>Place_data_here!B632</f>
        <v>0</v>
      </c>
    </row>
    <row r="633" spans="1:4" x14ac:dyDescent="0.25">
      <c r="A633" s="16">
        <f>Place_data_here!A633</f>
        <v>0</v>
      </c>
      <c r="B633" s="4" t="e">
        <f t="shared" si="9"/>
        <v>#VALUE!</v>
      </c>
      <c r="C633" s="1" t="e">
        <f>SplineInterp(A633,Own_Spectrum_100cm!$U$2:$U$34,Own_Spectrum_100cm!$V$2:$V$34)*D633</f>
        <v>#VALUE!</v>
      </c>
      <c r="D633" s="13">
        <f>Place_data_here!B633</f>
        <v>0</v>
      </c>
    </row>
    <row r="634" spans="1:4" x14ac:dyDescent="0.25">
      <c r="A634" s="16">
        <f>Place_data_here!A634</f>
        <v>0</v>
      </c>
      <c r="B634" s="4" t="e">
        <f t="shared" si="9"/>
        <v>#VALUE!</v>
      </c>
      <c r="C634" s="1" t="e">
        <f>SplineInterp(A634,Own_Spectrum_100cm!$U$2:$U$34,Own_Spectrum_100cm!$V$2:$V$34)*D634</f>
        <v>#VALUE!</v>
      </c>
      <c r="D634" s="13">
        <f>Place_data_here!B634</f>
        <v>0</v>
      </c>
    </row>
    <row r="635" spans="1:4" x14ac:dyDescent="0.25">
      <c r="A635" s="16">
        <f>Place_data_here!A635</f>
        <v>0</v>
      </c>
      <c r="B635" s="4" t="e">
        <f t="shared" si="9"/>
        <v>#VALUE!</v>
      </c>
      <c r="C635" s="1" t="e">
        <f>SplineInterp(A635,Own_Spectrum_100cm!$U$2:$U$34,Own_Spectrum_100cm!$V$2:$V$34)*D635</f>
        <v>#VALUE!</v>
      </c>
      <c r="D635" s="13">
        <f>Place_data_here!B635</f>
        <v>0</v>
      </c>
    </row>
    <row r="636" spans="1:4" x14ac:dyDescent="0.25">
      <c r="A636" s="16">
        <f>Place_data_here!A636</f>
        <v>0</v>
      </c>
      <c r="B636" s="4" t="e">
        <f t="shared" si="9"/>
        <v>#VALUE!</v>
      </c>
      <c r="C636" s="1" t="e">
        <f>SplineInterp(A636,Own_Spectrum_100cm!$U$2:$U$34,Own_Spectrum_100cm!$V$2:$V$34)*D636</f>
        <v>#VALUE!</v>
      </c>
      <c r="D636" s="13">
        <f>Place_data_here!B636</f>
        <v>0</v>
      </c>
    </row>
    <row r="637" spans="1:4" x14ac:dyDescent="0.25">
      <c r="A637" s="16">
        <f>Place_data_here!A637</f>
        <v>0</v>
      </c>
      <c r="B637" s="4" t="e">
        <f t="shared" si="9"/>
        <v>#VALUE!</v>
      </c>
      <c r="C637" s="1" t="e">
        <f>SplineInterp(A637,Own_Spectrum_100cm!$U$2:$U$34,Own_Spectrum_100cm!$V$2:$V$34)*D637</f>
        <v>#VALUE!</v>
      </c>
      <c r="D637" s="13">
        <f>Place_data_here!B637</f>
        <v>0</v>
      </c>
    </row>
    <row r="638" spans="1:4" x14ac:dyDescent="0.25">
      <c r="A638" s="16">
        <f>Place_data_here!A638</f>
        <v>0</v>
      </c>
      <c r="B638" s="4" t="e">
        <f t="shared" si="9"/>
        <v>#VALUE!</v>
      </c>
      <c r="C638" s="1" t="e">
        <f>SplineInterp(A638,Own_Spectrum_100cm!$U$2:$U$34,Own_Spectrum_100cm!$V$2:$V$34)*D638</f>
        <v>#VALUE!</v>
      </c>
      <c r="D638" s="13">
        <f>Place_data_here!B638</f>
        <v>0</v>
      </c>
    </row>
    <row r="639" spans="1:4" x14ac:dyDescent="0.25">
      <c r="A639" s="16">
        <f>Place_data_here!A639</f>
        <v>0</v>
      </c>
      <c r="B639" s="4" t="e">
        <f t="shared" si="9"/>
        <v>#VALUE!</v>
      </c>
      <c r="C639" s="1" t="e">
        <f>SplineInterp(A639,Own_Spectrum_100cm!$U$2:$U$34,Own_Spectrum_100cm!$V$2:$V$34)*D639</f>
        <v>#VALUE!</v>
      </c>
      <c r="D639" s="13">
        <f>Place_data_here!B639</f>
        <v>0</v>
      </c>
    </row>
    <row r="640" spans="1:4" x14ac:dyDescent="0.25">
      <c r="A640" s="16">
        <f>Place_data_here!A640</f>
        <v>0</v>
      </c>
      <c r="B640" s="4" t="e">
        <f t="shared" si="9"/>
        <v>#VALUE!</v>
      </c>
      <c r="C640" s="1" t="e">
        <f>SplineInterp(A640,Own_Spectrum_100cm!$U$2:$U$34,Own_Spectrum_100cm!$V$2:$V$34)*D640</f>
        <v>#VALUE!</v>
      </c>
      <c r="D640" s="13">
        <f>Place_data_here!B640</f>
        <v>0</v>
      </c>
    </row>
    <row r="641" spans="1:4" x14ac:dyDescent="0.25">
      <c r="A641" s="16">
        <f>Place_data_here!A641</f>
        <v>0</v>
      </c>
      <c r="B641" s="4" t="e">
        <f t="shared" si="9"/>
        <v>#VALUE!</v>
      </c>
      <c r="C641" s="1" t="e">
        <f>SplineInterp(A641,Own_Spectrum_100cm!$U$2:$U$34,Own_Spectrum_100cm!$V$2:$V$34)*D641</f>
        <v>#VALUE!</v>
      </c>
      <c r="D641" s="13">
        <f>Place_data_here!B641</f>
        <v>0</v>
      </c>
    </row>
    <row r="642" spans="1:4" x14ac:dyDescent="0.25">
      <c r="A642" s="16">
        <f>Place_data_here!A642</f>
        <v>0</v>
      </c>
      <c r="B642" s="4" t="e">
        <f t="shared" si="9"/>
        <v>#VALUE!</v>
      </c>
      <c r="C642" s="1" t="e">
        <f>SplineInterp(A642,Own_Spectrum_100cm!$U$2:$U$34,Own_Spectrum_100cm!$V$2:$V$34)*D642</f>
        <v>#VALUE!</v>
      </c>
      <c r="D642" s="13">
        <f>Place_data_here!B642</f>
        <v>0</v>
      </c>
    </row>
    <row r="643" spans="1:4" x14ac:dyDescent="0.25">
      <c r="A643" s="16">
        <f>Place_data_here!A643</f>
        <v>0</v>
      </c>
      <c r="B643" s="4" t="e">
        <f t="shared" ref="B643:B706" si="10">C643/$C$1028</f>
        <v>#VALUE!</v>
      </c>
      <c r="C643" s="1" t="e">
        <f>SplineInterp(A643,Own_Spectrum_100cm!$U$2:$U$34,Own_Spectrum_100cm!$V$2:$V$34)*D643</f>
        <v>#VALUE!</v>
      </c>
      <c r="D643" s="13">
        <f>Place_data_here!B643</f>
        <v>0</v>
      </c>
    </row>
    <row r="644" spans="1:4" x14ac:dyDescent="0.25">
      <c r="A644" s="16">
        <f>Place_data_here!A644</f>
        <v>0</v>
      </c>
      <c r="B644" s="4" t="e">
        <f t="shared" si="10"/>
        <v>#VALUE!</v>
      </c>
      <c r="C644" s="1" t="e">
        <f>SplineInterp(A644,Own_Spectrum_100cm!$U$2:$U$34,Own_Spectrum_100cm!$V$2:$V$34)*D644</f>
        <v>#VALUE!</v>
      </c>
      <c r="D644" s="13">
        <f>Place_data_here!B644</f>
        <v>0</v>
      </c>
    </row>
    <row r="645" spans="1:4" x14ac:dyDescent="0.25">
      <c r="A645" s="16">
        <f>Place_data_here!A645</f>
        <v>0</v>
      </c>
      <c r="B645" s="4" t="e">
        <f t="shared" si="10"/>
        <v>#VALUE!</v>
      </c>
      <c r="C645" s="1" t="e">
        <f>SplineInterp(A645,Own_Spectrum_100cm!$U$2:$U$34,Own_Spectrum_100cm!$V$2:$V$34)*D645</f>
        <v>#VALUE!</v>
      </c>
      <c r="D645" s="13">
        <f>Place_data_here!B645</f>
        <v>0</v>
      </c>
    </row>
    <row r="646" spans="1:4" x14ac:dyDescent="0.25">
      <c r="A646" s="16">
        <f>Place_data_here!A646</f>
        <v>0</v>
      </c>
      <c r="B646" s="4" t="e">
        <f t="shared" si="10"/>
        <v>#VALUE!</v>
      </c>
      <c r="C646" s="1" t="e">
        <f>SplineInterp(A646,Own_Spectrum_100cm!$U$2:$U$34,Own_Spectrum_100cm!$V$2:$V$34)*D646</f>
        <v>#VALUE!</v>
      </c>
      <c r="D646" s="13">
        <f>Place_data_here!B646</f>
        <v>0</v>
      </c>
    </row>
    <row r="647" spans="1:4" x14ac:dyDescent="0.25">
      <c r="A647" s="16">
        <f>Place_data_here!A647</f>
        <v>0</v>
      </c>
      <c r="B647" s="4" t="e">
        <f t="shared" si="10"/>
        <v>#VALUE!</v>
      </c>
      <c r="C647" s="1" t="e">
        <f>SplineInterp(A647,Own_Spectrum_100cm!$U$2:$U$34,Own_Spectrum_100cm!$V$2:$V$34)*D647</f>
        <v>#VALUE!</v>
      </c>
      <c r="D647" s="13">
        <f>Place_data_here!B647</f>
        <v>0</v>
      </c>
    </row>
    <row r="648" spans="1:4" x14ac:dyDescent="0.25">
      <c r="A648" s="16">
        <f>Place_data_here!A648</f>
        <v>0</v>
      </c>
      <c r="B648" s="4" t="e">
        <f t="shared" si="10"/>
        <v>#VALUE!</v>
      </c>
      <c r="C648" s="1" t="e">
        <f>SplineInterp(A648,Own_Spectrum_100cm!$U$2:$U$34,Own_Spectrum_100cm!$V$2:$V$34)*D648</f>
        <v>#VALUE!</v>
      </c>
      <c r="D648" s="13">
        <f>Place_data_here!B648</f>
        <v>0</v>
      </c>
    </row>
    <row r="649" spans="1:4" x14ac:dyDescent="0.25">
      <c r="A649" s="16">
        <f>Place_data_here!A649</f>
        <v>0</v>
      </c>
      <c r="B649" s="4" t="e">
        <f t="shared" si="10"/>
        <v>#VALUE!</v>
      </c>
      <c r="C649" s="1" t="e">
        <f>SplineInterp(A649,Own_Spectrum_100cm!$U$2:$U$34,Own_Spectrum_100cm!$V$2:$V$34)*D649</f>
        <v>#VALUE!</v>
      </c>
      <c r="D649" s="13">
        <f>Place_data_here!B649</f>
        <v>0</v>
      </c>
    </row>
    <row r="650" spans="1:4" x14ac:dyDescent="0.25">
      <c r="A650" s="16">
        <f>Place_data_here!A650</f>
        <v>0</v>
      </c>
      <c r="B650" s="4" t="e">
        <f t="shared" si="10"/>
        <v>#VALUE!</v>
      </c>
      <c r="C650" s="1" t="e">
        <f>SplineInterp(A650,Own_Spectrum_100cm!$U$2:$U$34,Own_Spectrum_100cm!$V$2:$V$34)*D650</f>
        <v>#VALUE!</v>
      </c>
      <c r="D650" s="13">
        <f>Place_data_here!B650</f>
        <v>0</v>
      </c>
    </row>
    <row r="651" spans="1:4" x14ac:dyDescent="0.25">
      <c r="A651" s="16">
        <f>Place_data_here!A651</f>
        <v>0</v>
      </c>
      <c r="B651" s="4" t="e">
        <f t="shared" si="10"/>
        <v>#VALUE!</v>
      </c>
      <c r="C651" s="1" t="e">
        <f>SplineInterp(A651,Own_Spectrum_100cm!$U$2:$U$34,Own_Spectrum_100cm!$V$2:$V$34)*D651</f>
        <v>#VALUE!</v>
      </c>
      <c r="D651" s="13">
        <f>Place_data_here!B651</f>
        <v>0</v>
      </c>
    </row>
    <row r="652" spans="1:4" x14ac:dyDescent="0.25">
      <c r="A652" s="16">
        <f>Place_data_here!A652</f>
        <v>0</v>
      </c>
      <c r="B652" s="4" t="e">
        <f t="shared" si="10"/>
        <v>#VALUE!</v>
      </c>
      <c r="C652" s="1" t="e">
        <f>SplineInterp(A652,Own_Spectrum_100cm!$U$2:$U$34,Own_Spectrum_100cm!$V$2:$V$34)*D652</f>
        <v>#VALUE!</v>
      </c>
      <c r="D652" s="13">
        <f>Place_data_here!B652</f>
        <v>0</v>
      </c>
    </row>
    <row r="653" spans="1:4" x14ac:dyDescent="0.25">
      <c r="A653" s="16">
        <f>Place_data_here!A653</f>
        <v>0</v>
      </c>
      <c r="B653" s="4" t="e">
        <f t="shared" si="10"/>
        <v>#VALUE!</v>
      </c>
      <c r="C653" s="1" t="e">
        <f>SplineInterp(A653,Own_Spectrum_100cm!$U$2:$U$34,Own_Spectrum_100cm!$V$2:$V$34)*D653</f>
        <v>#VALUE!</v>
      </c>
      <c r="D653" s="13">
        <f>Place_data_here!B653</f>
        <v>0</v>
      </c>
    </row>
    <row r="654" spans="1:4" x14ac:dyDescent="0.25">
      <c r="A654" s="16">
        <f>Place_data_here!A654</f>
        <v>0</v>
      </c>
      <c r="B654" s="4" t="e">
        <f t="shared" si="10"/>
        <v>#VALUE!</v>
      </c>
      <c r="C654" s="1" t="e">
        <f>SplineInterp(A654,Own_Spectrum_100cm!$U$2:$U$34,Own_Spectrum_100cm!$V$2:$V$34)*D654</f>
        <v>#VALUE!</v>
      </c>
      <c r="D654" s="13">
        <f>Place_data_here!B654</f>
        <v>0</v>
      </c>
    </row>
    <row r="655" spans="1:4" x14ac:dyDescent="0.25">
      <c r="A655" s="16">
        <f>Place_data_here!A655</f>
        <v>0</v>
      </c>
      <c r="B655" s="4" t="e">
        <f t="shared" si="10"/>
        <v>#VALUE!</v>
      </c>
      <c r="C655" s="1" t="e">
        <f>SplineInterp(A655,Own_Spectrum_100cm!$U$2:$U$34,Own_Spectrum_100cm!$V$2:$V$34)*D655</f>
        <v>#VALUE!</v>
      </c>
      <c r="D655" s="13">
        <f>Place_data_here!B655</f>
        <v>0</v>
      </c>
    </row>
    <row r="656" spans="1:4" x14ac:dyDescent="0.25">
      <c r="A656" s="16">
        <f>Place_data_here!A656</f>
        <v>0</v>
      </c>
      <c r="B656" s="4" t="e">
        <f t="shared" si="10"/>
        <v>#VALUE!</v>
      </c>
      <c r="C656" s="1" t="e">
        <f>SplineInterp(A656,Own_Spectrum_100cm!$U$2:$U$34,Own_Spectrum_100cm!$V$2:$V$34)*D656</f>
        <v>#VALUE!</v>
      </c>
      <c r="D656" s="13">
        <f>Place_data_here!B656</f>
        <v>0</v>
      </c>
    </row>
    <row r="657" spans="1:4" x14ac:dyDescent="0.25">
      <c r="A657" s="16">
        <f>Place_data_here!A657</f>
        <v>0</v>
      </c>
      <c r="B657" s="4" t="e">
        <f t="shared" si="10"/>
        <v>#VALUE!</v>
      </c>
      <c r="C657" s="1" t="e">
        <f>SplineInterp(A657,Own_Spectrum_100cm!$U$2:$U$34,Own_Spectrum_100cm!$V$2:$V$34)*D657</f>
        <v>#VALUE!</v>
      </c>
      <c r="D657" s="13">
        <f>Place_data_here!B657</f>
        <v>0</v>
      </c>
    </row>
    <row r="658" spans="1:4" x14ac:dyDescent="0.25">
      <c r="A658" s="16">
        <f>Place_data_here!A658</f>
        <v>0</v>
      </c>
      <c r="B658" s="4" t="e">
        <f t="shared" si="10"/>
        <v>#VALUE!</v>
      </c>
      <c r="C658" s="1" t="e">
        <f>SplineInterp(A658,Own_Spectrum_100cm!$U$2:$U$34,Own_Spectrum_100cm!$V$2:$V$34)*D658</f>
        <v>#VALUE!</v>
      </c>
      <c r="D658" s="13">
        <f>Place_data_here!B658</f>
        <v>0</v>
      </c>
    </row>
    <row r="659" spans="1:4" x14ac:dyDescent="0.25">
      <c r="A659" s="16">
        <f>Place_data_here!A659</f>
        <v>0</v>
      </c>
      <c r="B659" s="4" t="e">
        <f t="shared" si="10"/>
        <v>#VALUE!</v>
      </c>
      <c r="C659" s="1" t="e">
        <f>SplineInterp(A659,Own_Spectrum_100cm!$U$2:$U$34,Own_Spectrum_100cm!$V$2:$V$34)*D659</f>
        <v>#VALUE!</v>
      </c>
      <c r="D659" s="13">
        <f>Place_data_here!B659</f>
        <v>0</v>
      </c>
    </row>
    <row r="660" spans="1:4" x14ac:dyDescent="0.25">
      <c r="A660" s="16">
        <f>Place_data_here!A660</f>
        <v>0</v>
      </c>
      <c r="B660" s="4" t="e">
        <f t="shared" si="10"/>
        <v>#VALUE!</v>
      </c>
      <c r="C660" s="1" t="e">
        <f>SplineInterp(A660,Own_Spectrum_100cm!$U$2:$U$34,Own_Spectrum_100cm!$V$2:$V$34)*D660</f>
        <v>#VALUE!</v>
      </c>
      <c r="D660" s="13">
        <f>Place_data_here!B660</f>
        <v>0</v>
      </c>
    </row>
    <row r="661" spans="1:4" x14ac:dyDescent="0.25">
      <c r="A661" s="16">
        <f>Place_data_here!A661</f>
        <v>0</v>
      </c>
      <c r="B661" s="4" t="e">
        <f t="shared" si="10"/>
        <v>#VALUE!</v>
      </c>
      <c r="C661" s="1" t="e">
        <f>SplineInterp(A661,Own_Spectrum_100cm!$U$2:$U$34,Own_Spectrum_100cm!$V$2:$V$34)*D661</f>
        <v>#VALUE!</v>
      </c>
      <c r="D661" s="13">
        <f>Place_data_here!B661</f>
        <v>0</v>
      </c>
    </row>
    <row r="662" spans="1:4" x14ac:dyDescent="0.25">
      <c r="A662" s="16">
        <f>Place_data_here!A662</f>
        <v>0</v>
      </c>
      <c r="B662" s="4" t="e">
        <f t="shared" si="10"/>
        <v>#VALUE!</v>
      </c>
      <c r="C662" s="1" t="e">
        <f>SplineInterp(A662,Own_Spectrum_100cm!$U$2:$U$34,Own_Spectrum_100cm!$V$2:$V$34)*D662</f>
        <v>#VALUE!</v>
      </c>
      <c r="D662" s="13">
        <f>Place_data_here!B662</f>
        <v>0</v>
      </c>
    </row>
    <row r="663" spans="1:4" x14ac:dyDescent="0.25">
      <c r="A663" s="16">
        <f>Place_data_here!A663</f>
        <v>0</v>
      </c>
      <c r="B663" s="4" t="e">
        <f t="shared" si="10"/>
        <v>#VALUE!</v>
      </c>
      <c r="C663" s="1" t="e">
        <f>SplineInterp(A663,Own_Spectrum_100cm!$U$2:$U$34,Own_Spectrum_100cm!$V$2:$V$34)*D663</f>
        <v>#VALUE!</v>
      </c>
      <c r="D663" s="13">
        <f>Place_data_here!B663</f>
        <v>0</v>
      </c>
    </row>
    <row r="664" spans="1:4" x14ac:dyDescent="0.25">
      <c r="A664" s="16">
        <f>Place_data_here!A664</f>
        <v>0</v>
      </c>
      <c r="B664" s="4" t="e">
        <f t="shared" si="10"/>
        <v>#VALUE!</v>
      </c>
      <c r="C664" s="1" t="e">
        <f>SplineInterp(A664,Own_Spectrum_100cm!$U$2:$U$34,Own_Spectrum_100cm!$V$2:$V$34)*D664</f>
        <v>#VALUE!</v>
      </c>
      <c r="D664" s="13">
        <f>Place_data_here!B664</f>
        <v>0</v>
      </c>
    </row>
    <row r="665" spans="1:4" x14ac:dyDescent="0.25">
      <c r="A665" s="16">
        <f>Place_data_here!A665</f>
        <v>0</v>
      </c>
      <c r="B665" s="4" t="e">
        <f t="shared" si="10"/>
        <v>#VALUE!</v>
      </c>
      <c r="C665" s="1" t="e">
        <f>SplineInterp(A665,Own_Spectrum_100cm!$U$2:$U$34,Own_Spectrum_100cm!$V$2:$V$34)*D665</f>
        <v>#VALUE!</v>
      </c>
      <c r="D665" s="13">
        <f>Place_data_here!B665</f>
        <v>0</v>
      </c>
    </row>
    <row r="666" spans="1:4" x14ac:dyDescent="0.25">
      <c r="A666" s="16">
        <f>Place_data_here!A666</f>
        <v>0</v>
      </c>
      <c r="B666" s="4" t="e">
        <f t="shared" si="10"/>
        <v>#VALUE!</v>
      </c>
      <c r="C666" s="1" t="e">
        <f>SplineInterp(A666,Own_Spectrum_100cm!$U$2:$U$34,Own_Spectrum_100cm!$V$2:$V$34)*D666</f>
        <v>#VALUE!</v>
      </c>
      <c r="D666" s="13">
        <f>Place_data_here!B666</f>
        <v>0</v>
      </c>
    </row>
    <row r="667" spans="1:4" x14ac:dyDescent="0.25">
      <c r="A667" s="16">
        <f>Place_data_here!A667</f>
        <v>0</v>
      </c>
      <c r="B667" s="4" t="e">
        <f t="shared" si="10"/>
        <v>#VALUE!</v>
      </c>
      <c r="C667" s="1" t="e">
        <f>SplineInterp(A667,Own_Spectrum_100cm!$U$2:$U$34,Own_Spectrum_100cm!$V$2:$V$34)*D667</f>
        <v>#VALUE!</v>
      </c>
      <c r="D667" s="13">
        <f>Place_data_here!B667</f>
        <v>0</v>
      </c>
    </row>
    <row r="668" spans="1:4" x14ac:dyDescent="0.25">
      <c r="A668" s="16">
        <f>Place_data_here!A668</f>
        <v>0</v>
      </c>
      <c r="B668" s="4" t="e">
        <f t="shared" si="10"/>
        <v>#VALUE!</v>
      </c>
      <c r="C668" s="1" t="e">
        <f>SplineInterp(A668,Own_Spectrum_100cm!$U$2:$U$34,Own_Spectrum_100cm!$V$2:$V$34)*D668</f>
        <v>#VALUE!</v>
      </c>
      <c r="D668" s="13">
        <f>Place_data_here!B668</f>
        <v>0</v>
      </c>
    </row>
    <row r="669" spans="1:4" x14ac:dyDescent="0.25">
      <c r="A669" s="16">
        <f>Place_data_here!A669</f>
        <v>0</v>
      </c>
      <c r="B669" s="4" t="e">
        <f t="shared" si="10"/>
        <v>#VALUE!</v>
      </c>
      <c r="C669" s="1" t="e">
        <f>SplineInterp(A669,Own_Spectrum_100cm!$U$2:$U$34,Own_Spectrum_100cm!$V$2:$V$34)*D669</f>
        <v>#VALUE!</v>
      </c>
      <c r="D669" s="13">
        <f>Place_data_here!B669</f>
        <v>0</v>
      </c>
    </row>
    <row r="670" spans="1:4" x14ac:dyDescent="0.25">
      <c r="A670" s="16">
        <f>Place_data_here!A670</f>
        <v>0</v>
      </c>
      <c r="B670" s="4" t="e">
        <f t="shared" si="10"/>
        <v>#VALUE!</v>
      </c>
      <c r="C670" s="1" t="e">
        <f>SplineInterp(A670,Own_Spectrum_100cm!$U$2:$U$34,Own_Spectrum_100cm!$V$2:$V$34)*D670</f>
        <v>#VALUE!</v>
      </c>
      <c r="D670" s="13">
        <f>Place_data_here!B670</f>
        <v>0</v>
      </c>
    </row>
    <row r="671" spans="1:4" x14ac:dyDescent="0.25">
      <c r="A671" s="16">
        <f>Place_data_here!A671</f>
        <v>0</v>
      </c>
      <c r="B671" s="4" t="e">
        <f t="shared" si="10"/>
        <v>#VALUE!</v>
      </c>
      <c r="C671" s="1" t="e">
        <f>SplineInterp(A671,Own_Spectrum_100cm!$U$2:$U$34,Own_Spectrum_100cm!$V$2:$V$34)*D671</f>
        <v>#VALUE!</v>
      </c>
      <c r="D671" s="13">
        <f>Place_data_here!B671</f>
        <v>0</v>
      </c>
    </row>
    <row r="672" spans="1:4" x14ac:dyDescent="0.25">
      <c r="A672" s="16">
        <f>Place_data_here!A672</f>
        <v>0</v>
      </c>
      <c r="B672" s="4" t="e">
        <f t="shared" si="10"/>
        <v>#VALUE!</v>
      </c>
      <c r="C672" s="1" t="e">
        <f>SplineInterp(A672,Own_Spectrum_100cm!$U$2:$U$34,Own_Spectrum_100cm!$V$2:$V$34)*D672</f>
        <v>#VALUE!</v>
      </c>
      <c r="D672" s="13">
        <f>Place_data_here!B672</f>
        <v>0</v>
      </c>
    </row>
    <row r="673" spans="1:4" x14ac:dyDescent="0.25">
      <c r="A673" s="16">
        <f>Place_data_here!A673</f>
        <v>0</v>
      </c>
      <c r="B673" s="4" t="e">
        <f t="shared" si="10"/>
        <v>#VALUE!</v>
      </c>
      <c r="C673" s="1" t="e">
        <f>SplineInterp(A673,Own_Spectrum_100cm!$U$2:$U$34,Own_Spectrum_100cm!$V$2:$V$34)*D673</f>
        <v>#VALUE!</v>
      </c>
      <c r="D673" s="13">
        <f>Place_data_here!B673</f>
        <v>0</v>
      </c>
    </row>
    <row r="674" spans="1:4" x14ac:dyDescent="0.25">
      <c r="A674" s="16">
        <f>Place_data_here!A674</f>
        <v>0</v>
      </c>
      <c r="B674" s="4" t="e">
        <f t="shared" si="10"/>
        <v>#VALUE!</v>
      </c>
      <c r="C674" s="1" t="e">
        <f>SplineInterp(A674,Own_Spectrum_100cm!$U$2:$U$34,Own_Spectrum_100cm!$V$2:$V$34)*D674</f>
        <v>#VALUE!</v>
      </c>
      <c r="D674" s="13">
        <f>Place_data_here!B674</f>
        <v>0</v>
      </c>
    </row>
    <row r="675" spans="1:4" x14ac:dyDescent="0.25">
      <c r="A675" s="16">
        <f>Place_data_here!A675</f>
        <v>0</v>
      </c>
      <c r="B675" s="4" t="e">
        <f t="shared" si="10"/>
        <v>#VALUE!</v>
      </c>
      <c r="C675" s="1" t="e">
        <f>SplineInterp(A675,Own_Spectrum_100cm!$U$2:$U$34,Own_Spectrum_100cm!$V$2:$V$34)*D675</f>
        <v>#VALUE!</v>
      </c>
      <c r="D675" s="13">
        <f>Place_data_here!B675</f>
        <v>0</v>
      </c>
    </row>
    <row r="676" spans="1:4" x14ac:dyDescent="0.25">
      <c r="A676" s="16">
        <f>Place_data_here!A676</f>
        <v>0</v>
      </c>
      <c r="B676" s="4" t="e">
        <f t="shared" si="10"/>
        <v>#VALUE!</v>
      </c>
      <c r="C676" s="1" t="e">
        <f>SplineInterp(A676,Own_Spectrum_100cm!$U$2:$U$34,Own_Spectrum_100cm!$V$2:$V$34)*D676</f>
        <v>#VALUE!</v>
      </c>
      <c r="D676" s="13">
        <f>Place_data_here!B676</f>
        <v>0</v>
      </c>
    </row>
    <row r="677" spans="1:4" x14ac:dyDescent="0.25">
      <c r="A677" s="16">
        <f>Place_data_here!A677</f>
        <v>0</v>
      </c>
      <c r="B677" s="4" t="e">
        <f t="shared" si="10"/>
        <v>#VALUE!</v>
      </c>
      <c r="C677" s="1" t="e">
        <f>SplineInterp(A677,Own_Spectrum_100cm!$U$2:$U$34,Own_Spectrum_100cm!$V$2:$V$34)*D677</f>
        <v>#VALUE!</v>
      </c>
      <c r="D677" s="13">
        <f>Place_data_here!B677</f>
        <v>0</v>
      </c>
    </row>
    <row r="678" spans="1:4" x14ac:dyDescent="0.25">
      <c r="A678" s="16">
        <f>Place_data_here!A678</f>
        <v>0</v>
      </c>
      <c r="B678" s="4" t="e">
        <f t="shared" si="10"/>
        <v>#VALUE!</v>
      </c>
      <c r="C678" s="1" t="e">
        <f>SplineInterp(A678,Own_Spectrum_100cm!$U$2:$U$34,Own_Spectrum_100cm!$V$2:$V$34)*D678</f>
        <v>#VALUE!</v>
      </c>
      <c r="D678" s="13">
        <f>Place_data_here!B678</f>
        <v>0</v>
      </c>
    </row>
    <row r="679" spans="1:4" x14ac:dyDescent="0.25">
      <c r="A679" s="16">
        <f>Place_data_here!A679</f>
        <v>0</v>
      </c>
      <c r="B679" s="4" t="e">
        <f t="shared" si="10"/>
        <v>#VALUE!</v>
      </c>
      <c r="C679" s="1" t="e">
        <f>SplineInterp(A679,Own_Spectrum_100cm!$U$2:$U$34,Own_Spectrum_100cm!$V$2:$V$34)*D679</f>
        <v>#VALUE!</v>
      </c>
      <c r="D679" s="13">
        <f>Place_data_here!B679</f>
        <v>0</v>
      </c>
    </row>
    <row r="680" spans="1:4" x14ac:dyDescent="0.25">
      <c r="A680" s="16">
        <f>Place_data_here!A680</f>
        <v>0</v>
      </c>
      <c r="B680" s="4" t="e">
        <f t="shared" si="10"/>
        <v>#VALUE!</v>
      </c>
      <c r="C680" s="1" t="e">
        <f>SplineInterp(A680,Own_Spectrum_100cm!$U$2:$U$34,Own_Spectrum_100cm!$V$2:$V$34)*D680</f>
        <v>#VALUE!</v>
      </c>
      <c r="D680" s="13">
        <f>Place_data_here!B680</f>
        <v>0</v>
      </c>
    </row>
    <row r="681" spans="1:4" x14ac:dyDescent="0.25">
      <c r="A681" s="16">
        <f>Place_data_here!A681</f>
        <v>0</v>
      </c>
      <c r="B681" s="4" t="e">
        <f t="shared" si="10"/>
        <v>#VALUE!</v>
      </c>
      <c r="C681" s="1" t="e">
        <f>SplineInterp(A681,Own_Spectrum_100cm!$U$2:$U$34,Own_Spectrum_100cm!$V$2:$V$34)*D681</f>
        <v>#VALUE!</v>
      </c>
      <c r="D681" s="13">
        <f>Place_data_here!B681</f>
        <v>0</v>
      </c>
    </row>
    <row r="682" spans="1:4" x14ac:dyDescent="0.25">
      <c r="A682" s="16">
        <f>Place_data_here!A682</f>
        <v>0</v>
      </c>
      <c r="B682" s="4" t="e">
        <f t="shared" si="10"/>
        <v>#VALUE!</v>
      </c>
      <c r="C682" s="1" t="e">
        <f>SplineInterp(A682,Own_Spectrum_100cm!$U$2:$U$34,Own_Spectrum_100cm!$V$2:$V$34)*D682</f>
        <v>#VALUE!</v>
      </c>
      <c r="D682" s="13">
        <f>Place_data_here!B682</f>
        <v>0</v>
      </c>
    </row>
    <row r="683" spans="1:4" x14ac:dyDescent="0.25">
      <c r="A683" s="16">
        <f>Place_data_here!A683</f>
        <v>0</v>
      </c>
      <c r="B683" s="4" t="e">
        <f t="shared" si="10"/>
        <v>#VALUE!</v>
      </c>
      <c r="C683" s="1" t="e">
        <f>SplineInterp(A683,Own_Spectrum_100cm!$U$2:$U$34,Own_Spectrum_100cm!$V$2:$V$34)*D683</f>
        <v>#VALUE!</v>
      </c>
      <c r="D683" s="13">
        <f>Place_data_here!B683</f>
        <v>0</v>
      </c>
    </row>
    <row r="684" spans="1:4" x14ac:dyDescent="0.25">
      <c r="A684" s="16">
        <f>Place_data_here!A684</f>
        <v>0</v>
      </c>
      <c r="B684" s="4" t="e">
        <f t="shared" si="10"/>
        <v>#VALUE!</v>
      </c>
      <c r="C684" s="1" t="e">
        <f>SplineInterp(A684,Own_Spectrum_100cm!$U$2:$U$34,Own_Spectrum_100cm!$V$2:$V$34)*D684</f>
        <v>#VALUE!</v>
      </c>
      <c r="D684" s="13">
        <f>Place_data_here!B684</f>
        <v>0</v>
      </c>
    </row>
    <row r="685" spans="1:4" x14ac:dyDescent="0.25">
      <c r="A685" s="16">
        <f>Place_data_here!A685</f>
        <v>0</v>
      </c>
      <c r="B685" s="4" t="e">
        <f t="shared" si="10"/>
        <v>#VALUE!</v>
      </c>
      <c r="C685" s="1" t="e">
        <f>SplineInterp(A685,Own_Spectrum_100cm!$U$2:$U$34,Own_Spectrum_100cm!$V$2:$V$34)*D685</f>
        <v>#VALUE!</v>
      </c>
      <c r="D685" s="13">
        <f>Place_data_here!B685</f>
        <v>0</v>
      </c>
    </row>
    <row r="686" spans="1:4" x14ac:dyDescent="0.25">
      <c r="A686" s="16">
        <f>Place_data_here!A686</f>
        <v>0</v>
      </c>
      <c r="B686" s="4" t="e">
        <f t="shared" si="10"/>
        <v>#VALUE!</v>
      </c>
      <c r="C686" s="1" t="e">
        <f>SplineInterp(A686,Own_Spectrum_100cm!$U$2:$U$34,Own_Spectrum_100cm!$V$2:$V$34)*D686</f>
        <v>#VALUE!</v>
      </c>
      <c r="D686" s="13">
        <f>Place_data_here!B686</f>
        <v>0</v>
      </c>
    </row>
    <row r="687" spans="1:4" x14ac:dyDescent="0.25">
      <c r="A687" s="16">
        <f>Place_data_here!A687</f>
        <v>0</v>
      </c>
      <c r="B687" s="4" t="e">
        <f t="shared" si="10"/>
        <v>#VALUE!</v>
      </c>
      <c r="C687" s="1" t="e">
        <f>SplineInterp(A687,Own_Spectrum_100cm!$U$2:$U$34,Own_Spectrum_100cm!$V$2:$V$34)*D687</f>
        <v>#VALUE!</v>
      </c>
      <c r="D687" s="13">
        <f>Place_data_here!B687</f>
        <v>0</v>
      </c>
    </row>
    <row r="688" spans="1:4" x14ac:dyDescent="0.25">
      <c r="A688" s="16">
        <f>Place_data_here!A688</f>
        <v>0</v>
      </c>
      <c r="B688" s="4" t="e">
        <f t="shared" si="10"/>
        <v>#VALUE!</v>
      </c>
      <c r="C688" s="1" t="e">
        <f>SplineInterp(A688,Own_Spectrum_100cm!$U$2:$U$34,Own_Spectrum_100cm!$V$2:$V$34)*D688</f>
        <v>#VALUE!</v>
      </c>
      <c r="D688" s="13">
        <f>Place_data_here!B688</f>
        <v>0</v>
      </c>
    </row>
    <row r="689" spans="1:4" x14ac:dyDescent="0.25">
      <c r="A689" s="16">
        <f>Place_data_here!A689</f>
        <v>0</v>
      </c>
      <c r="B689" s="4" t="e">
        <f t="shared" si="10"/>
        <v>#VALUE!</v>
      </c>
      <c r="C689" s="1" t="e">
        <f>SplineInterp(A689,Own_Spectrum_100cm!$U$2:$U$34,Own_Spectrum_100cm!$V$2:$V$34)*D689</f>
        <v>#VALUE!</v>
      </c>
      <c r="D689" s="13">
        <f>Place_data_here!B689</f>
        <v>0</v>
      </c>
    </row>
    <row r="690" spans="1:4" x14ac:dyDescent="0.25">
      <c r="A690" s="16">
        <f>Place_data_here!A690</f>
        <v>0</v>
      </c>
      <c r="B690" s="4" t="e">
        <f t="shared" si="10"/>
        <v>#VALUE!</v>
      </c>
      <c r="C690" s="1" t="e">
        <f>SplineInterp(A690,Own_Spectrum_100cm!$U$2:$U$34,Own_Spectrum_100cm!$V$2:$V$34)*D690</f>
        <v>#VALUE!</v>
      </c>
      <c r="D690" s="13">
        <f>Place_data_here!B690</f>
        <v>0</v>
      </c>
    </row>
    <row r="691" spans="1:4" x14ac:dyDescent="0.25">
      <c r="A691" s="16">
        <f>Place_data_here!A691</f>
        <v>0</v>
      </c>
      <c r="B691" s="4" t="e">
        <f t="shared" si="10"/>
        <v>#VALUE!</v>
      </c>
      <c r="C691" s="1" t="e">
        <f>SplineInterp(A691,Own_Spectrum_100cm!$U$2:$U$34,Own_Spectrum_100cm!$V$2:$V$34)*D691</f>
        <v>#VALUE!</v>
      </c>
      <c r="D691" s="13">
        <f>Place_data_here!B691</f>
        <v>0</v>
      </c>
    </row>
    <row r="692" spans="1:4" x14ac:dyDescent="0.25">
      <c r="A692" s="16">
        <f>Place_data_here!A692</f>
        <v>0</v>
      </c>
      <c r="B692" s="4" t="e">
        <f t="shared" si="10"/>
        <v>#VALUE!</v>
      </c>
      <c r="C692" s="1" t="e">
        <f>SplineInterp(A692,Own_Spectrum_100cm!$U$2:$U$34,Own_Spectrum_100cm!$V$2:$V$34)*D692</f>
        <v>#VALUE!</v>
      </c>
      <c r="D692" s="13">
        <f>Place_data_here!B692</f>
        <v>0</v>
      </c>
    </row>
    <row r="693" spans="1:4" x14ac:dyDescent="0.25">
      <c r="A693" s="16">
        <f>Place_data_here!A693</f>
        <v>0</v>
      </c>
      <c r="B693" s="4" t="e">
        <f t="shared" si="10"/>
        <v>#VALUE!</v>
      </c>
      <c r="C693" s="1" t="e">
        <f>SplineInterp(A693,Own_Spectrum_100cm!$U$2:$U$34,Own_Spectrum_100cm!$V$2:$V$34)*D693</f>
        <v>#VALUE!</v>
      </c>
      <c r="D693" s="13">
        <f>Place_data_here!B693</f>
        <v>0</v>
      </c>
    </row>
    <row r="694" spans="1:4" x14ac:dyDescent="0.25">
      <c r="A694" s="16">
        <f>Place_data_here!A694</f>
        <v>0</v>
      </c>
      <c r="B694" s="4" t="e">
        <f t="shared" si="10"/>
        <v>#VALUE!</v>
      </c>
      <c r="C694" s="1" t="e">
        <f>SplineInterp(A694,Own_Spectrum_100cm!$U$2:$U$34,Own_Spectrum_100cm!$V$2:$V$34)*D694</f>
        <v>#VALUE!</v>
      </c>
      <c r="D694" s="13">
        <f>Place_data_here!B694</f>
        <v>0</v>
      </c>
    </row>
    <row r="695" spans="1:4" x14ac:dyDescent="0.25">
      <c r="A695" s="16">
        <f>Place_data_here!A695</f>
        <v>0</v>
      </c>
      <c r="B695" s="4" t="e">
        <f t="shared" si="10"/>
        <v>#VALUE!</v>
      </c>
      <c r="C695" s="1" t="e">
        <f>SplineInterp(A695,Own_Spectrum_100cm!$U$2:$U$34,Own_Spectrum_100cm!$V$2:$V$34)*D695</f>
        <v>#VALUE!</v>
      </c>
      <c r="D695" s="13">
        <f>Place_data_here!B695</f>
        <v>0</v>
      </c>
    </row>
    <row r="696" spans="1:4" x14ac:dyDescent="0.25">
      <c r="A696" s="16">
        <f>Place_data_here!A696</f>
        <v>0</v>
      </c>
      <c r="B696" s="4" t="e">
        <f t="shared" si="10"/>
        <v>#VALUE!</v>
      </c>
      <c r="C696" s="1" t="e">
        <f>SplineInterp(A696,Own_Spectrum_100cm!$U$2:$U$34,Own_Spectrum_100cm!$V$2:$V$34)*D696</f>
        <v>#VALUE!</v>
      </c>
      <c r="D696" s="13">
        <f>Place_data_here!B696</f>
        <v>0</v>
      </c>
    </row>
    <row r="697" spans="1:4" x14ac:dyDescent="0.25">
      <c r="A697" s="16">
        <f>Place_data_here!A697</f>
        <v>0</v>
      </c>
      <c r="B697" s="4" t="e">
        <f t="shared" si="10"/>
        <v>#VALUE!</v>
      </c>
      <c r="C697" s="1" t="e">
        <f>SplineInterp(A697,Own_Spectrum_100cm!$U$2:$U$34,Own_Spectrum_100cm!$V$2:$V$34)*D697</f>
        <v>#VALUE!</v>
      </c>
      <c r="D697" s="13">
        <f>Place_data_here!B697</f>
        <v>0</v>
      </c>
    </row>
    <row r="698" spans="1:4" x14ac:dyDescent="0.25">
      <c r="A698" s="16">
        <f>Place_data_here!A698</f>
        <v>0</v>
      </c>
      <c r="B698" s="4" t="e">
        <f t="shared" si="10"/>
        <v>#VALUE!</v>
      </c>
      <c r="C698" s="1" t="e">
        <f>SplineInterp(A698,Own_Spectrum_100cm!$U$2:$U$34,Own_Spectrum_100cm!$V$2:$V$34)*D698</f>
        <v>#VALUE!</v>
      </c>
      <c r="D698" s="13">
        <f>Place_data_here!B698</f>
        <v>0</v>
      </c>
    </row>
    <row r="699" spans="1:4" x14ac:dyDescent="0.25">
      <c r="A699" s="16">
        <f>Place_data_here!A699</f>
        <v>0</v>
      </c>
      <c r="B699" s="4" t="e">
        <f t="shared" si="10"/>
        <v>#VALUE!</v>
      </c>
      <c r="C699" s="1" t="e">
        <f>SplineInterp(A699,Own_Spectrum_100cm!$U$2:$U$34,Own_Spectrum_100cm!$V$2:$V$34)*D699</f>
        <v>#VALUE!</v>
      </c>
      <c r="D699" s="13">
        <f>Place_data_here!B699</f>
        <v>0</v>
      </c>
    </row>
    <row r="700" spans="1:4" x14ac:dyDescent="0.25">
      <c r="A700" s="16">
        <f>Place_data_here!A700</f>
        <v>0</v>
      </c>
      <c r="B700" s="4" t="e">
        <f t="shared" si="10"/>
        <v>#VALUE!</v>
      </c>
      <c r="C700" s="1" t="e">
        <f>SplineInterp(A700,Own_Spectrum_100cm!$U$2:$U$34,Own_Spectrum_100cm!$V$2:$V$34)*D700</f>
        <v>#VALUE!</v>
      </c>
      <c r="D700" s="13">
        <f>Place_data_here!B700</f>
        <v>0</v>
      </c>
    </row>
    <row r="701" spans="1:4" x14ac:dyDescent="0.25">
      <c r="A701" s="16">
        <f>Place_data_here!A701</f>
        <v>0</v>
      </c>
      <c r="B701" s="4" t="e">
        <f t="shared" si="10"/>
        <v>#VALUE!</v>
      </c>
      <c r="C701" s="1" t="e">
        <f>SplineInterp(A701,Own_Spectrum_100cm!$U$2:$U$34,Own_Spectrum_100cm!$V$2:$V$34)*D701</f>
        <v>#VALUE!</v>
      </c>
      <c r="D701" s="13">
        <f>Place_data_here!B701</f>
        <v>0</v>
      </c>
    </row>
    <row r="702" spans="1:4" x14ac:dyDescent="0.25">
      <c r="A702" s="16">
        <f>Place_data_here!A702</f>
        <v>0</v>
      </c>
      <c r="B702" s="4" t="e">
        <f t="shared" si="10"/>
        <v>#VALUE!</v>
      </c>
      <c r="C702" s="1" t="e">
        <f>SplineInterp(A702,Own_Spectrum_100cm!$U$2:$U$34,Own_Spectrum_100cm!$V$2:$V$34)*D702</f>
        <v>#VALUE!</v>
      </c>
      <c r="D702" s="13">
        <f>Place_data_here!B702</f>
        <v>0</v>
      </c>
    </row>
    <row r="703" spans="1:4" x14ac:dyDescent="0.25">
      <c r="A703" s="16">
        <f>Place_data_here!A703</f>
        <v>0</v>
      </c>
      <c r="B703" s="4" t="e">
        <f t="shared" si="10"/>
        <v>#VALUE!</v>
      </c>
      <c r="C703" s="1" t="e">
        <f>SplineInterp(A703,Own_Spectrum_100cm!$U$2:$U$34,Own_Spectrum_100cm!$V$2:$V$34)*D703</f>
        <v>#VALUE!</v>
      </c>
      <c r="D703" s="13">
        <f>Place_data_here!B703</f>
        <v>0</v>
      </c>
    </row>
    <row r="704" spans="1:4" x14ac:dyDescent="0.25">
      <c r="A704" s="16">
        <f>Place_data_here!A704</f>
        <v>0</v>
      </c>
      <c r="B704" s="4" t="e">
        <f t="shared" si="10"/>
        <v>#VALUE!</v>
      </c>
      <c r="C704" s="1" t="e">
        <f>SplineInterp(A704,Own_Spectrum_100cm!$U$2:$U$34,Own_Spectrum_100cm!$V$2:$V$34)*D704</f>
        <v>#VALUE!</v>
      </c>
      <c r="D704" s="13">
        <f>Place_data_here!B704</f>
        <v>0</v>
      </c>
    </row>
    <row r="705" spans="1:4" x14ac:dyDescent="0.25">
      <c r="A705" s="16">
        <f>Place_data_here!A705</f>
        <v>0</v>
      </c>
      <c r="B705" s="4" t="e">
        <f t="shared" si="10"/>
        <v>#VALUE!</v>
      </c>
      <c r="C705" s="1" t="e">
        <f>SplineInterp(A705,Own_Spectrum_100cm!$U$2:$U$34,Own_Spectrum_100cm!$V$2:$V$34)*D705</f>
        <v>#VALUE!</v>
      </c>
      <c r="D705" s="13">
        <f>Place_data_here!B705</f>
        <v>0</v>
      </c>
    </row>
    <row r="706" spans="1:4" x14ac:dyDescent="0.25">
      <c r="A706" s="16">
        <f>Place_data_here!A706</f>
        <v>0</v>
      </c>
      <c r="B706" s="4" t="e">
        <f t="shared" si="10"/>
        <v>#VALUE!</v>
      </c>
      <c r="C706" s="1" t="e">
        <f>SplineInterp(A706,Own_Spectrum_100cm!$U$2:$U$34,Own_Spectrum_100cm!$V$2:$V$34)*D706</f>
        <v>#VALUE!</v>
      </c>
      <c r="D706" s="13">
        <f>Place_data_here!B706</f>
        <v>0</v>
      </c>
    </row>
    <row r="707" spans="1:4" x14ac:dyDescent="0.25">
      <c r="A707" s="16">
        <f>Place_data_here!A707</f>
        <v>0</v>
      </c>
      <c r="B707" s="4" t="e">
        <f t="shared" ref="B707:B770" si="11">C707/$C$1028</f>
        <v>#VALUE!</v>
      </c>
      <c r="C707" s="1" t="e">
        <f>SplineInterp(A707,Own_Spectrum_100cm!$U$2:$U$34,Own_Spectrum_100cm!$V$2:$V$34)*D707</f>
        <v>#VALUE!</v>
      </c>
      <c r="D707" s="13">
        <f>Place_data_here!B707</f>
        <v>0</v>
      </c>
    </row>
    <row r="708" spans="1:4" x14ac:dyDescent="0.25">
      <c r="A708" s="16">
        <f>Place_data_here!A708</f>
        <v>0</v>
      </c>
      <c r="B708" s="4" t="e">
        <f t="shared" si="11"/>
        <v>#VALUE!</v>
      </c>
      <c r="C708" s="1" t="e">
        <f>SplineInterp(A708,Own_Spectrum_100cm!$U$2:$U$34,Own_Spectrum_100cm!$V$2:$V$34)*D708</f>
        <v>#VALUE!</v>
      </c>
      <c r="D708" s="13">
        <f>Place_data_here!B708</f>
        <v>0</v>
      </c>
    </row>
    <row r="709" spans="1:4" x14ac:dyDescent="0.25">
      <c r="A709" s="16">
        <f>Place_data_here!A709</f>
        <v>0</v>
      </c>
      <c r="B709" s="4" t="e">
        <f t="shared" si="11"/>
        <v>#VALUE!</v>
      </c>
      <c r="C709" s="1" t="e">
        <f>SplineInterp(A709,Own_Spectrum_100cm!$U$2:$U$34,Own_Spectrum_100cm!$V$2:$V$34)*D709</f>
        <v>#VALUE!</v>
      </c>
      <c r="D709" s="13">
        <f>Place_data_here!B709</f>
        <v>0</v>
      </c>
    </row>
    <row r="710" spans="1:4" x14ac:dyDescent="0.25">
      <c r="A710" s="16">
        <f>Place_data_here!A710</f>
        <v>0</v>
      </c>
      <c r="B710" s="4" t="e">
        <f t="shared" si="11"/>
        <v>#VALUE!</v>
      </c>
      <c r="C710" s="1" t="e">
        <f>SplineInterp(A710,Own_Spectrum_100cm!$U$2:$U$34,Own_Spectrum_100cm!$V$2:$V$34)*D710</f>
        <v>#VALUE!</v>
      </c>
      <c r="D710" s="13">
        <f>Place_data_here!B710</f>
        <v>0</v>
      </c>
    </row>
    <row r="711" spans="1:4" x14ac:dyDescent="0.25">
      <c r="A711" s="16">
        <f>Place_data_here!A711</f>
        <v>0</v>
      </c>
      <c r="B711" s="4" t="e">
        <f t="shared" si="11"/>
        <v>#VALUE!</v>
      </c>
      <c r="C711" s="1" t="e">
        <f>SplineInterp(A711,Own_Spectrum_100cm!$U$2:$U$34,Own_Spectrum_100cm!$V$2:$V$34)*D711</f>
        <v>#VALUE!</v>
      </c>
      <c r="D711" s="13">
        <f>Place_data_here!B711</f>
        <v>0</v>
      </c>
    </row>
    <row r="712" spans="1:4" x14ac:dyDescent="0.25">
      <c r="A712" s="16">
        <f>Place_data_here!A712</f>
        <v>0</v>
      </c>
      <c r="B712" s="4" t="e">
        <f t="shared" si="11"/>
        <v>#VALUE!</v>
      </c>
      <c r="C712" s="1" t="e">
        <f>SplineInterp(A712,Own_Spectrum_100cm!$U$2:$U$34,Own_Spectrum_100cm!$V$2:$V$34)*D712</f>
        <v>#VALUE!</v>
      </c>
      <c r="D712" s="13">
        <f>Place_data_here!B712</f>
        <v>0</v>
      </c>
    </row>
    <row r="713" spans="1:4" x14ac:dyDescent="0.25">
      <c r="A713" s="16">
        <f>Place_data_here!A713</f>
        <v>0</v>
      </c>
      <c r="B713" s="4" t="e">
        <f t="shared" si="11"/>
        <v>#VALUE!</v>
      </c>
      <c r="C713" s="1" t="e">
        <f>SplineInterp(A713,Own_Spectrum_100cm!$U$2:$U$34,Own_Spectrum_100cm!$V$2:$V$34)*D713</f>
        <v>#VALUE!</v>
      </c>
      <c r="D713" s="13">
        <f>Place_data_here!B713</f>
        <v>0</v>
      </c>
    </row>
    <row r="714" spans="1:4" x14ac:dyDescent="0.25">
      <c r="A714" s="16">
        <f>Place_data_here!A714</f>
        <v>0</v>
      </c>
      <c r="B714" s="4" t="e">
        <f t="shared" si="11"/>
        <v>#VALUE!</v>
      </c>
      <c r="C714" s="1" t="e">
        <f>SplineInterp(A714,Own_Spectrum_100cm!$U$2:$U$34,Own_Spectrum_100cm!$V$2:$V$34)*D714</f>
        <v>#VALUE!</v>
      </c>
      <c r="D714" s="13">
        <f>Place_data_here!B714</f>
        <v>0</v>
      </c>
    </row>
    <row r="715" spans="1:4" x14ac:dyDescent="0.25">
      <c r="A715" s="16">
        <f>Place_data_here!A715</f>
        <v>0</v>
      </c>
      <c r="B715" s="4" t="e">
        <f t="shared" si="11"/>
        <v>#VALUE!</v>
      </c>
      <c r="C715" s="1" t="e">
        <f>SplineInterp(A715,Own_Spectrum_100cm!$U$2:$U$34,Own_Spectrum_100cm!$V$2:$V$34)*D715</f>
        <v>#VALUE!</v>
      </c>
      <c r="D715" s="13">
        <f>Place_data_here!B715</f>
        <v>0</v>
      </c>
    </row>
    <row r="716" spans="1:4" x14ac:dyDescent="0.25">
      <c r="A716" s="16">
        <f>Place_data_here!A716</f>
        <v>0</v>
      </c>
      <c r="B716" s="4" t="e">
        <f t="shared" si="11"/>
        <v>#VALUE!</v>
      </c>
      <c r="C716" s="1" t="e">
        <f>SplineInterp(A716,Own_Spectrum_100cm!$U$2:$U$34,Own_Spectrum_100cm!$V$2:$V$34)*D716</f>
        <v>#VALUE!</v>
      </c>
      <c r="D716" s="13">
        <f>Place_data_here!B716</f>
        <v>0</v>
      </c>
    </row>
    <row r="717" spans="1:4" x14ac:dyDescent="0.25">
      <c r="A717" s="16">
        <f>Place_data_here!A717</f>
        <v>0</v>
      </c>
      <c r="B717" s="4" t="e">
        <f t="shared" si="11"/>
        <v>#VALUE!</v>
      </c>
      <c r="C717" s="1" t="e">
        <f>SplineInterp(A717,Own_Spectrum_100cm!$U$2:$U$34,Own_Spectrum_100cm!$V$2:$V$34)*D717</f>
        <v>#VALUE!</v>
      </c>
      <c r="D717" s="13">
        <f>Place_data_here!B717</f>
        <v>0</v>
      </c>
    </row>
    <row r="718" spans="1:4" x14ac:dyDescent="0.25">
      <c r="A718" s="16">
        <f>Place_data_here!A718</f>
        <v>0</v>
      </c>
      <c r="B718" s="4" t="e">
        <f t="shared" si="11"/>
        <v>#VALUE!</v>
      </c>
      <c r="C718" s="1" t="e">
        <f>SplineInterp(A718,Own_Spectrum_100cm!$U$2:$U$34,Own_Spectrum_100cm!$V$2:$V$34)*D718</f>
        <v>#VALUE!</v>
      </c>
      <c r="D718" s="13">
        <f>Place_data_here!B718</f>
        <v>0</v>
      </c>
    </row>
    <row r="719" spans="1:4" x14ac:dyDescent="0.25">
      <c r="A719" s="16">
        <f>Place_data_here!A719</f>
        <v>0</v>
      </c>
      <c r="B719" s="4" t="e">
        <f t="shared" si="11"/>
        <v>#VALUE!</v>
      </c>
      <c r="C719" s="1" t="e">
        <f>SplineInterp(A719,Own_Spectrum_100cm!$U$2:$U$34,Own_Spectrum_100cm!$V$2:$V$34)*D719</f>
        <v>#VALUE!</v>
      </c>
      <c r="D719" s="13">
        <f>Place_data_here!B719</f>
        <v>0</v>
      </c>
    </row>
    <row r="720" spans="1:4" x14ac:dyDescent="0.25">
      <c r="A720" s="16">
        <f>Place_data_here!A720</f>
        <v>0</v>
      </c>
      <c r="B720" s="4" t="e">
        <f t="shared" si="11"/>
        <v>#VALUE!</v>
      </c>
      <c r="C720" s="1" t="e">
        <f>SplineInterp(A720,Own_Spectrum_100cm!$U$2:$U$34,Own_Spectrum_100cm!$V$2:$V$34)*D720</f>
        <v>#VALUE!</v>
      </c>
      <c r="D720" s="13">
        <f>Place_data_here!B720</f>
        <v>0</v>
      </c>
    </row>
    <row r="721" spans="1:4" x14ac:dyDescent="0.25">
      <c r="A721" s="16">
        <f>Place_data_here!A721</f>
        <v>0</v>
      </c>
      <c r="B721" s="4" t="e">
        <f t="shared" si="11"/>
        <v>#VALUE!</v>
      </c>
      <c r="C721" s="1" t="e">
        <f>SplineInterp(A721,Own_Spectrum_100cm!$U$2:$U$34,Own_Spectrum_100cm!$V$2:$V$34)*D721</f>
        <v>#VALUE!</v>
      </c>
      <c r="D721" s="13">
        <f>Place_data_here!B721</f>
        <v>0</v>
      </c>
    </row>
    <row r="722" spans="1:4" x14ac:dyDescent="0.25">
      <c r="A722" s="16">
        <f>Place_data_here!A722</f>
        <v>0</v>
      </c>
      <c r="B722" s="4" t="e">
        <f t="shared" si="11"/>
        <v>#VALUE!</v>
      </c>
      <c r="C722" s="1" t="e">
        <f>SplineInterp(A722,Own_Spectrum_100cm!$U$2:$U$34,Own_Spectrum_100cm!$V$2:$V$34)*D722</f>
        <v>#VALUE!</v>
      </c>
      <c r="D722" s="13">
        <f>Place_data_here!B722</f>
        <v>0</v>
      </c>
    </row>
    <row r="723" spans="1:4" x14ac:dyDescent="0.25">
      <c r="A723" s="16">
        <f>Place_data_here!A723</f>
        <v>0</v>
      </c>
      <c r="B723" s="4" t="e">
        <f t="shared" si="11"/>
        <v>#VALUE!</v>
      </c>
      <c r="C723" s="1" t="e">
        <f>SplineInterp(A723,Own_Spectrum_100cm!$U$2:$U$34,Own_Spectrum_100cm!$V$2:$V$34)*D723</f>
        <v>#VALUE!</v>
      </c>
      <c r="D723" s="13">
        <f>Place_data_here!B723</f>
        <v>0</v>
      </c>
    </row>
    <row r="724" spans="1:4" x14ac:dyDescent="0.25">
      <c r="A724" s="16">
        <f>Place_data_here!A724</f>
        <v>0</v>
      </c>
      <c r="B724" s="4" t="e">
        <f t="shared" si="11"/>
        <v>#VALUE!</v>
      </c>
      <c r="C724" s="1" t="e">
        <f>SplineInterp(A724,Own_Spectrum_100cm!$U$2:$U$34,Own_Spectrum_100cm!$V$2:$V$34)*D724</f>
        <v>#VALUE!</v>
      </c>
      <c r="D724" s="13">
        <f>Place_data_here!B724</f>
        <v>0</v>
      </c>
    </row>
    <row r="725" spans="1:4" x14ac:dyDescent="0.25">
      <c r="A725" s="16">
        <f>Place_data_here!A725</f>
        <v>0</v>
      </c>
      <c r="B725" s="4" t="e">
        <f t="shared" si="11"/>
        <v>#VALUE!</v>
      </c>
      <c r="C725" s="1" t="e">
        <f>SplineInterp(A725,Own_Spectrum_100cm!$U$2:$U$34,Own_Spectrum_100cm!$V$2:$V$34)*D725</f>
        <v>#VALUE!</v>
      </c>
      <c r="D725" s="13">
        <f>Place_data_here!B725</f>
        <v>0</v>
      </c>
    </row>
    <row r="726" spans="1:4" x14ac:dyDescent="0.25">
      <c r="A726" s="16">
        <f>Place_data_here!A726</f>
        <v>0</v>
      </c>
      <c r="B726" s="4" t="e">
        <f t="shared" si="11"/>
        <v>#VALUE!</v>
      </c>
      <c r="C726" s="1" t="e">
        <f>SplineInterp(A726,Own_Spectrum_100cm!$U$2:$U$34,Own_Spectrum_100cm!$V$2:$V$34)*D726</f>
        <v>#VALUE!</v>
      </c>
      <c r="D726" s="13">
        <f>Place_data_here!B726</f>
        <v>0</v>
      </c>
    </row>
    <row r="727" spans="1:4" x14ac:dyDescent="0.25">
      <c r="A727" s="16">
        <f>Place_data_here!A727</f>
        <v>0</v>
      </c>
      <c r="B727" s="4" t="e">
        <f t="shared" si="11"/>
        <v>#VALUE!</v>
      </c>
      <c r="C727" s="1" t="e">
        <f>SplineInterp(A727,Own_Spectrum_100cm!$U$2:$U$34,Own_Spectrum_100cm!$V$2:$V$34)*D727</f>
        <v>#VALUE!</v>
      </c>
      <c r="D727" s="13">
        <f>Place_data_here!B727</f>
        <v>0</v>
      </c>
    </row>
    <row r="728" spans="1:4" x14ac:dyDescent="0.25">
      <c r="A728" s="16">
        <f>Place_data_here!A728</f>
        <v>0</v>
      </c>
      <c r="B728" s="4" t="e">
        <f t="shared" si="11"/>
        <v>#VALUE!</v>
      </c>
      <c r="C728" s="1" t="e">
        <f>SplineInterp(A728,Own_Spectrum_100cm!$U$2:$U$34,Own_Spectrum_100cm!$V$2:$V$34)*D728</f>
        <v>#VALUE!</v>
      </c>
      <c r="D728" s="13">
        <f>Place_data_here!B728</f>
        <v>0</v>
      </c>
    </row>
    <row r="729" spans="1:4" x14ac:dyDescent="0.25">
      <c r="A729" s="16">
        <f>Place_data_here!A729</f>
        <v>0</v>
      </c>
      <c r="B729" s="4" t="e">
        <f t="shared" si="11"/>
        <v>#VALUE!</v>
      </c>
      <c r="C729" s="1" t="e">
        <f>SplineInterp(A729,Own_Spectrum_100cm!$U$2:$U$34,Own_Spectrum_100cm!$V$2:$V$34)*D729</f>
        <v>#VALUE!</v>
      </c>
      <c r="D729" s="13">
        <f>Place_data_here!B729</f>
        <v>0</v>
      </c>
    </row>
    <row r="730" spans="1:4" x14ac:dyDescent="0.25">
      <c r="A730" s="16">
        <f>Place_data_here!A730</f>
        <v>0</v>
      </c>
      <c r="B730" s="4" t="e">
        <f t="shared" si="11"/>
        <v>#VALUE!</v>
      </c>
      <c r="C730" s="1" t="e">
        <f>SplineInterp(A730,Own_Spectrum_100cm!$U$2:$U$34,Own_Spectrum_100cm!$V$2:$V$34)*D730</f>
        <v>#VALUE!</v>
      </c>
      <c r="D730" s="13">
        <f>Place_data_here!B730</f>
        <v>0</v>
      </c>
    </row>
    <row r="731" spans="1:4" x14ac:dyDescent="0.25">
      <c r="A731" s="16">
        <f>Place_data_here!A731</f>
        <v>0</v>
      </c>
      <c r="B731" s="4" t="e">
        <f t="shared" si="11"/>
        <v>#VALUE!</v>
      </c>
      <c r="C731" s="1" t="e">
        <f>SplineInterp(A731,Own_Spectrum_100cm!$U$2:$U$34,Own_Spectrum_100cm!$V$2:$V$34)*D731</f>
        <v>#VALUE!</v>
      </c>
      <c r="D731" s="13">
        <f>Place_data_here!B731</f>
        <v>0</v>
      </c>
    </row>
    <row r="732" spans="1:4" x14ac:dyDescent="0.25">
      <c r="A732" s="16">
        <f>Place_data_here!A732</f>
        <v>0</v>
      </c>
      <c r="B732" s="4" t="e">
        <f t="shared" si="11"/>
        <v>#VALUE!</v>
      </c>
      <c r="C732" s="1" t="e">
        <f>SplineInterp(A732,Own_Spectrum_100cm!$U$2:$U$34,Own_Spectrum_100cm!$V$2:$V$34)*D732</f>
        <v>#VALUE!</v>
      </c>
      <c r="D732" s="13">
        <f>Place_data_here!B732</f>
        <v>0</v>
      </c>
    </row>
    <row r="733" spans="1:4" x14ac:dyDescent="0.25">
      <c r="A733" s="16">
        <f>Place_data_here!A733</f>
        <v>0</v>
      </c>
      <c r="B733" s="4" t="e">
        <f t="shared" si="11"/>
        <v>#VALUE!</v>
      </c>
      <c r="C733" s="1" t="e">
        <f>SplineInterp(A733,Own_Spectrum_100cm!$U$2:$U$34,Own_Spectrum_100cm!$V$2:$V$34)*D733</f>
        <v>#VALUE!</v>
      </c>
      <c r="D733" s="13">
        <f>Place_data_here!B733</f>
        <v>0</v>
      </c>
    </row>
    <row r="734" spans="1:4" x14ac:dyDescent="0.25">
      <c r="A734" s="16">
        <f>Place_data_here!A734</f>
        <v>0</v>
      </c>
      <c r="B734" s="4" t="e">
        <f t="shared" si="11"/>
        <v>#VALUE!</v>
      </c>
      <c r="C734" s="1" t="e">
        <f>SplineInterp(A734,Own_Spectrum_100cm!$U$2:$U$34,Own_Spectrum_100cm!$V$2:$V$34)*D734</f>
        <v>#VALUE!</v>
      </c>
      <c r="D734" s="13">
        <f>Place_data_here!B734</f>
        <v>0</v>
      </c>
    </row>
    <row r="735" spans="1:4" x14ac:dyDescent="0.25">
      <c r="A735" s="16">
        <f>Place_data_here!A735</f>
        <v>0</v>
      </c>
      <c r="B735" s="4" t="e">
        <f t="shared" si="11"/>
        <v>#VALUE!</v>
      </c>
      <c r="C735" s="1" t="e">
        <f>SplineInterp(A735,Own_Spectrum_100cm!$U$2:$U$34,Own_Spectrum_100cm!$V$2:$V$34)*D735</f>
        <v>#VALUE!</v>
      </c>
      <c r="D735" s="13">
        <f>Place_data_here!B735</f>
        <v>0</v>
      </c>
    </row>
    <row r="736" spans="1:4" x14ac:dyDescent="0.25">
      <c r="A736" s="16">
        <f>Place_data_here!A736</f>
        <v>0</v>
      </c>
      <c r="B736" s="4" t="e">
        <f t="shared" si="11"/>
        <v>#VALUE!</v>
      </c>
      <c r="C736" s="1" t="e">
        <f>SplineInterp(A736,Own_Spectrum_100cm!$U$2:$U$34,Own_Spectrum_100cm!$V$2:$V$34)*D736</f>
        <v>#VALUE!</v>
      </c>
      <c r="D736" s="13">
        <f>Place_data_here!B736</f>
        <v>0</v>
      </c>
    </row>
    <row r="737" spans="1:4" x14ac:dyDescent="0.25">
      <c r="A737" s="16">
        <f>Place_data_here!A737</f>
        <v>0</v>
      </c>
      <c r="B737" s="4" t="e">
        <f t="shared" si="11"/>
        <v>#VALUE!</v>
      </c>
      <c r="C737" s="1" t="e">
        <f>SplineInterp(A737,Own_Spectrum_100cm!$U$2:$U$34,Own_Spectrum_100cm!$V$2:$V$34)*D737</f>
        <v>#VALUE!</v>
      </c>
      <c r="D737" s="13">
        <f>Place_data_here!B737</f>
        <v>0</v>
      </c>
    </row>
    <row r="738" spans="1:4" x14ac:dyDescent="0.25">
      <c r="A738" s="16">
        <f>Place_data_here!A738</f>
        <v>0</v>
      </c>
      <c r="B738" s="4" t="e">
        <f t="shared" si="11"/>
        <v>#VALUE!</v>
      </c>
      <c r="C738" s="1" t="e">
        <f>SplineInterp(A738,Own_Spectrum_100cm!$U$2:$U$34,Own_Spectrum_100cm!$V$2:$V$34)*D738</f>
        <v>#VALUE!</v>
      </c>
      <c r="D738" s="13">
        <f>Place_data_here!B738</f>
        <v>0</v>
      </c>
    </row>
    <row r="739" spans="1:4" x14ac:dyDescent="0.25">
      <c r="A739" s="16">
        <f>Place_data_here!A739</f>
        <v>0</v>
      </c>
      <c r="B739" s="4" t="e">
        <f t="shared" si="11"/>
        <v>#VALUE!</v>
      </c>
      <c r="C739" s="1" t="e">
        <f>SplineInterp(A739,Own_Spectrum_100cm!$U$2:$U$34,Own_Spectrum_100cm!$V$2:$V$34)*D739</f>
        <v>#VALUE!</v>
      </c>
      <c r="D739" s="13">
        <f>Place_data_here!B739</f>
        <v>0</v>
      </c>
    </row>
    <row r="740" spans="1:4" x14ac:dyDescent="0.25">
      <c r="A740" s="16">
        <f>Place_data_here!A740</f>
        <v>0</v>
      </c>
      <c r="B740" s="4" t="e">
        <f t="shared" si="11"/>
        <v>#VALUE!</v>
      </c>
      <c r="C740" s="1" t="e">
        <f>SplineInterp(A740,Own_Spectrum_100cm!$U$2:$U$34,Own_Spectrum_100cm!$V$2:$V$34)*D740</f>
        <v>#VALUE!</v>
      </c>
      <c r="D740" s="13">
        <f>Place_data_here!B740</f>
        <v>0</v>
      </c>
    </row>
    <row r="741" spans="1:4" x14ac:dyDescent="0.25">
      <c r="A741" s="16">
        <f>Place_data_here!A741</f>
        <v>0</v>
      </c>
      <c r="B741" s="4" t="e">
        <f t="shared" si="11"/>
        <v>#VALUE!</v>
      </c>
      <c r="C741" s="1" t="e">
        <f>SplineInterp(A741,Own_Spectrum_100cm!$U$2:$U$34,Own_Spectrum_100cm!$V$2:$V$34)*D741</f>
        <v>#VALUE!</v>
      </c>
      <c r="D741" s="13">
        <f>Place_data_here!B741</f>
        <v>0</v>
      </c>
    </row>
    <row r="742" spans="1:4" x14ac:dyDescent="0.25">
      <c r="A742" s="16">
        <f>Place_data_here!A742</f>
        <v>0</v>
      </c>
      <c r="B742" s="4" t="e">
        <f t="shared" si="11"/>
        <v>#VALUE!</v>
      </c>
      <c r="C742" s="1" t="e">
        <f>SplineInterp(A742,Own_Spectrum_100cm!$U$2:$U$34,Own_Spectrum_100cm!$V$2:$V$34)*D742</f>
        <v>#VALUE!</v>
      </c>
      <c r="D742" s="13">
        <f>Place_data_here!B742</f>
        <v>0</v>
      </c>
    </row>
    <row r="743" spans="1:4" x14ac:dyDescent="0.25">
      <c r="A743" s="16">
        <f>Place_data_here!A743</f>
        <v>0</v>
      </c>
      <c r="B743" s="4" t="e">
        <f t="shared" si="11"/>
        <v>#VALUE!</v>
      </c>
      <c r="C743" s="1" t="e">
        <f>SplineInterp(A743,Own_Spectrum_100cm!$U$2:$U$34,Own_Spectrum_100cm!$V$2:$V$34)*D743</f>
        <v>#VALUE!</v>
      </c>
      <c r="D743" s="13">
        <f>Place_data_here!B743</f>
        <v>0</v>
      </c>
    </row>
    <row r="744" spans="1:4" x14ac:dyDescent="0.25">
      <c r="A744" s="16">
        <f>Place_data_here!A744</f>
        <v>0</v>
      </c>
      <c r="B744" s="4" t="e">
        <f t="shared" si="11"/>
        <v>#VALUE!</v>
      </c>
      <c r="C744" s="1" t="e">
        <f>SplineInterp(A744,Own_Spectrum_100cm!$U$2:$U$34,Own_Spectrum_100cm!$V$2:$V$34)*D744</f>
        <v>#VALUE!</v>
      </c>
      <c r="D744" s="13">
        <f>Place_data_here!B744</f>
        <v>0</v>
      </c>
    </row>
    <row r="745" spans="1:4" x14ac:dyDescent="0.25">
      <c r="A745" s="16">
        <f>Place_data_here!A745</f>
        <v>0</v>
      </c>
      <c r="B745" s="4" t="e">
        <f t="shared" si="11"/>
        <v>#VALUE!</v>
      </c>
      <c r="C745" s="1" t="e">
        <f>SplineInterp(A745,Own_Spectrum_100cm!$U$2:$U$34,Own_Spectrum_100cm!$V$2:$V$34)*D745</f>
        <v>#VALUE!</v>
      </c>
      <c r="D745" s="13">
        <f>Place_data_here!B745</f>
        <v>0</v>
      </c>
    </row>
    <row r="746" spans="1:4" x14ac:dyDescent="0.25">
      <c r="A746" s="16">
        <f>Place_data_here!A746</f>
        <v>0</v>
      </c>
      <c r="B746" s="4" t="e">
        <f t="shared" si="11"/>
        <v>#VALUE!</v>
      </c>
      <c r="C746" s="1" t="e">
        <f>SplineInterp(A746,Own_Spectrum_100cm!$U$2:$U$34,Own_Spectrum_100cm!$V$2:$V$34)*D746</f>
        <v>#VALUE!</v>
      </c>
      <c r="D746" s="13">
        <f>Place_data_here!B746</f>
        <v>0</v>
      </c>
    </row>
    <row r="747" spans="1:4" x14ac:dyDescent="0.25">
      <c r="A747" s="16">
        <f>Place_data_here!A747</f>
        <v>0</v>
      </c>
      <c r="B747" s="4" t="e">
        <f t="shared" si="11"/>
        <v>#VALUE!</v>
      </c>
      <c r="C747" s="1" t="e">
        <f>SplineInterp(A747,Own_Spectrum_100cm!$U$2:$U$34,Own_Spectrum_100cm!$V$2:$V$34)*D747</f>
        <v>#VALUE!</v>
      </c>
      <c r="D747" s="13">
        <f>Place_data_here!B747</f>
        <v>0</v>
      </c>
    </row>
    <row r="748" spans="1:4" x14ac:dyDescent="0.25">
      <c r="A748" s="16">
        <f>Place_data_here!A748</f>
        <v>0</v>
      </c>
      <c r="B748" s="4" t="e">
        <f t="shared" si="11"/>
        <v>#VALUE!</v>
      </c>
      <c r="C748" s="1" t="e">
        <f>SplineInterp(A748,Own_Spectrum_100cm!$U$2:$U$34,Own_Spectrum_100cm!$V$2:$V$34)*D748</f>
        <v>#VALUE!</v>
      </c>
      <c r="D748" s="13">
        <f>Place_data_here!B748</f>
        <v>0</v>
      </c>
    </row>
    <row r="749" spans="1:4" x14ac:dyDescent="0.25">
      <c r="A749" s="16">
        <f>Place_data_here!A749</f>
        <v>0</v>
      </c>
      <c r="B749" s="4" t="e">
        <f t="shared" si="11"/>
        <v>#VALUE!</v>
      </c>
      <c r="C749" s="1" t="e">
        <f>SplineInterp(A749,Own_Spectrum_100cm!$U$2:$U$34,Own_Spectrum_100cm!$V$2:$V$34)*D749</f>
        <v>#VALUE!</v>
      </c>
      <c r="D749" s="13">
        <f>Place_data_here!B749</f>
        <v>0</v>
      </c>
    </row>
    <row r="750" spans="1:4" x14ac:dyDescent="0.25">
      <c r="A750" s="16">
        <f>Place_data_here!A750</f>
        <v>0</v>
      </c>
      <c r="B750" s="4" t="e">
        <f t="shared" si="11"/>
        <v>#VALUE!</v>
      </c>
      <c r="C750" s="1" t="e">
        <f>SplineInterp(A750,Own_Spectrum_100cm!$U$2:$U$34,Own_Spectrum_100cm!$V$2:$V$34)*D750</f>
        <v>#VALUE!</v>
      </c>
      <c r="D750" s="13">
        <f>Place_data_here!B750</f>
        <v>0</v>
      </c>
    </row>
    <row r="751" spans="1:4" x14ac:dyDescent="0.25">
      <c r="A751" s="16">
        <f>Place_data_here!A751</f>
        <v>0</v>
      </c>
      <c r="B751" s="4" t="e">
        <f t="shared" si="11"/>
        <v>#VALUE!</v>
      </c>
      <c r="C751" s="1" t="e">
        <f>SplineInterp(A751,Own_Spectrum_100cm!$U$2:$U$34,Own_Spectrum_100cm!$V$2:$V$34)*D751</f>
        <v>#VALUE!</v>
      </c>
      <c r="D751" s="13">
        <f>Place_data_here!B751</f>
        <v>0</v>
      </c>
    </row>
    <row r="752" spans="1:4" x14ac:dyDescent="0.25">
      <c r="A752" s="16">
        <f>Place_data_here!A752</f>
        <v>0</v>
      </c>
      <c r="B752" s="4" t="e">
        <f t="shared" si="11"/>
        <v>#VALUE!</v>
      </c>
      <c r="C752" s="1" t="e">
        <f>SplineInterp(A752,Own_Spectrum_100cm!$U$2:$U$34,Own_Spectrum_100cm!$V$2:$V$34)*D752</f>
        <v>#VALUE!</v>
      </c>
      <c r="D752" s="13">
        <f>Place_data_here!B752</f>
        <v>0</v>
      </c>
    </row>
    <row r="753" spans="1:4" x14ac:dyDescent="0.25">
      <c r="A753" s="16">
        <f>Place_data_here!A753</f>
        <v>0</v>
      </c>
      <c r="B753" s="4" t="e">
        <f t="shared" si="11"/>
        <v>#VALUE!</v>
      </c>
      <c r="C753" s="1" t="e">
        <f>SplineInterp(A753,Own_Spectrum_100cm!$U$2:$U$34,Own_Spectrum_100cm!$V$2:$V$34)*D753</f>
        <v>#VALUE!</v>
      </c>
      <c r="D753" s="13">
        <f>Place_data_here!B753</f>
        <v>0</v>
      </c>
    </row>
    <row r="754" spans="1:4" x14ac:dyDescent="0.25">
      <c r="A754" s="16">
        <f>Place_data_here!A754</f>
        <v>0</v>
      </c>
      <c r="B754" s="4" t="e">
        <f t="shared" si="11"/>
        <v>#VALUE!</v>
      </c>
      <c r="C754" s="1" t="e">
        <f>SplineInterp(A754,Own_Spectrum_100cm!$U$2:$U$34,Own_Spectrum_100cm!$V$2:$V$34)*D754</f>
        <v>#VALUE!</v>
      </c>
      <c r="D754" s="13">
        <f>Place_data_here!B754</f>
        <v>0</v>
      </c>
    </row>
    <row r="755" spans="1:4" x14ac:dyDescent="0.25">
      <c r="A755" s="16">
        <f>Place_data_here!A755</f>
        <v>0</v>
      </c>
      <c r="B755" s="4" t="e">
        <f t="shared" si="11"/>
        <v>#VALUE!</v>
      </c>
      <c r="C755" s="1" t="e">
        <f>SplineInterp(A755,Own_Spectrum_100cm!$U$2:$U$34,Own_Spectrum_100cm!$V$2:$V$34)*D755</f>
        <v>#VALUE!</v>
      </c>
      <c r="D755" s="13">
        <f>Place_data_here!B755</f>
        <v>0</v>
      </c>
    </row>
    <row r="756" spans="1:4" x14ac:dyDescent="0.25">
      <c r="A756" s="16">
        <f>Place_data_here!A756</f>
        <v>0</v>
      </c>
      <c r="B756" s="4" t="e">
        <f t="shared" si="11"/>
        <v>#VALUE!</v>
      </c>
      <c r="C756" s="1" t="e">
        <f>SplineInterp(A756,Own_Spectrum_100cm!$U$2:$U$34,Own_Spectrum_100cm!$V$2:$V$34)*D756</f>
        <v>#VALUE!</v>
      </c>
      <c r="D756" s="13">
        <f>Place_data_here!B756</f>
        <v>0</v>
      </c>
    </row>
    <row r="757" spans="1:4" x14ac:dyDescent="0.25">
      <c r="A757" s="16">
        <f>Place_data_here!A757</f>
        <v>0</v>
      </c>
      <c r="B757" s="4" t="e">
        <f t="shared" si="11"/>
        <v>#VALUE!</v>
      </c>
      <c r="C757" s="1" t="e">
        <f>SplineInterp(A757,Own_Spectrum_100cm!$U$2:$U$34,Own_Spectrum_100cm!$V$2:$V$34)*D757</f>
        <v>#VALUE!</v>
      </c>
      <c r="D757" s="13">
        <f>Place_data_here!B757</f>
        <v>0</v>
      </c>
    </row>
    <row r="758" spans="1:4" x14ac:dyDescent="0.25">
      <c r="A758" s="16">
        <f>Place_data_here!A758</f>
        <v>0</v>
      </c>
      <c r="B758" s="4" t="e">
        <f t="shared" si="11"/>
        <v>#VALUE!</v>
      </c>
      <c r="C758" s="1" t="e">
        <f>SplineInterp(A758,Own_Spectrum_100cm!$U$2:$U$34,Own_Spectrum_100cm!$V$2:$V$34)*D758</f>
        <v>#VALUE!</v>
      </c>
      <c r="D758" s="13">
        <f>Place_data_here!B758</f>
        <v>0</v>
      </c>
    </row>
    <row r="759" spans="1:4" x14ac:dyDescent="0.25">
      <c r="A759" s="16">
        <f>Place_data_here!A759</f>
        <v>0</v>
      </c>
      <c r="B759" s="4" t="e">
        <f t="shared" si="11"/>
        <v>#VALUE!</v>
      </c>
      <c r="C759" s="1" t="e">
        <f>SplineInterp(A759,Own_Spectrum_100cm!$U$2:$U$34,Own_Spectrum_100cm!$V$2:$V$34)*D759</f>
        <v>#VALUE!</v>
      </c>
      <c r="D759" s="13">
        <f>Place_data_here!B759</f>
        <v>0</v>
      </c>
    </row>
    <row r="760" spans="1:4" x14ac:dyDescent="0.25">
      <c r="A760" s="16">
        <f>Place_data_here!A760</f>
        <v>0</v>
      </c>
      <c r="B760" s="4" t="e">
        <f t="shared" si="11"/>
        <v>#VALUE!</v>
      </c>
      <c r="C760" s="1" t="e">
        <f>SplineInterp(A760,Own_Spectrum_100cm!$U$2:$U$34,Own_Spectrum_100cm!$V$2:$V$34)*D760</f>
        <v>#VALUE!</v>
      </c>
      <c r="D760" s="13">
        <f>Place_data_here!B760</f>
        <v>0</v>
      </c>
    </row>
    <row r="761" spans="1:4" x14ac:dyDescent="0.25">
      <c r="A761" s="16">
        <f>Place_data_here!A761</f>
        <v>0</v>
      </c>
      <c r="B761" s="4" t="e">
        <f t="shared" si="11"/>
        <v>#VALUE!</v>
      </c>
      <c r="C761" s="1" t="e">
        <f>SplineInterp(A761,Own_Spectrum_100cm!$U$2:$U$34,Own_Spectrum_100cm!$V$2:$V$34)*D761</f>
        <v>#VALUE!</v>
      </c>
      <c r="D761" s="13">
        <f>Place_data_here!B761</f>
        <v>0</v>
      </c>
    </row>
    <row r="762" spans="1:4" x14ac:dyDescent="0.25">
      <c r="A762" s="16">
        <f>Place_data_here!A762</f>
        <v>0</v>
      </c>
      <c r="B762" s="4" t="e">
        <f t="shared" si="11"/>
        <v>#VALUE!</v>
      </c>
      <c r="C762" s="1" t="e">
        <f>SplineInterp(A762,Own_Spectrum_100cm!$U$2:$U$34,Own_Spectrum_100cm!$V$2:$V$34)*D762</f>
        <v>#VALUE!</v>
      </c>
      <c r="D762" s="13">
        <f>Place_data_here!B762</f>
        <v>0</v>
      </c>
    </row>
    <row r="763" spans="1:4" x14ac:dyDescent="0.25">
      <c r="A763" s="16">
        <f>Place_data_here!A763</f>
        <v>0</v>
      </c>
      <c r="B763" s="4" t="e">
        <f t="shared" si="11"/>
        <v>#VALUE!</v>
      </c>
      <c r="C763" s="1" t="e">
        <f>SplineInterp(A763,Own_Spectrum_100cm!$U$2:$U$34,Own_Spectrum_100cm!$V$2:$V$34)*D763</f>
        <v>#VALUE!</v>
      </c>
      <c r="D763" s="13">
        <f>Place_data_here!B763</f>
        <v>0</v>
      </c>
    </row>
    <row r="764" spans="1:4" x14ac:dyDescent="0.25">
      <c r="A764" s="16">
        <f>Place_data_here!A764</f>
        <v>0</v>
      </c>
      <c r="B764" s="4" t="e">
        <f t="shared" si="11"/>
        <v>#VALUE!</v>
      </c>
      <c r="C764" s="1" t="e">
        <f>SplineInterp(A764,Own_Spectrum_100cm!$U$2:$U$34,Own_Spectrum_100cm!$V$2:$V$34)*D764</f>
        <v>#VALUE!</v>
      </c>
      <c r="D764" s="13">
        <f>Place_data_here!B764</f>
        <v>0</v>
      </c>
    </row>
    <row r="765" spans="1:4" x14ac:dyDescent="0.25">
      <c r="A765" s="16">
        <f>Place_data_here!A765</f>
        <v>0</v>
      </c>
      <c r="B765" s="4" t="e">
        <f t="shared" si="11"/>
        <v>#VALUE!</v>
      </c>
      <c r="C765" s="1" t="e">
        <f>SplineInterp(A765,Own_Spectrum_100cm!$U$2:$U$34,Own_Spectrum_100cm!$V$2:$V$34)*D765</f>
        <v>#VALUE!</v>
      </c>
      <c r="D765" s="13">
        <f>Place_data_here!B765</f>
        <v>0</v>
      </c>
    </row>
    <row r="766" spans="1:4" x14ac:dyDescent="0.25">
      <c r="A766" s="16">
        <f>Place_data_here!A766</f>
        <v>0</v>
      </c>
      <c r="B766" s="4" t="e">
        <f t="shared" si="11"/>
        <v>#VALUE!</v>
      </c>
      <c r="C766" s="1" t="e">
        <f>SplineInterp(A766,Own_Spectrum_100cm!$U$2:$U$34,Own_Spectrum_100cm!$V$2:$V$34)*D766</f>
        <v>#VALUE!</v>
      </c>
      <c r="D766" s="13">
        <f>Place_data_here!B766</f>
        <v>0</v>
      </c>
    </row>
    <row r="767" spans="1:4" x14ac:dyDescent="0.25">
      <c r="A767" s="16">
        <f>Place_data_here!A767</f>
        <v>0</v>
      </c>
      <c r="B767" s="4" t="e">
        <f t="shared" si="11"/>
        <v>#VALUE!</v>
      </c>
      <c r="C767" s="1" t="e">
        <f>SplineInterp(A767,Own_Spectrum_100cm!$U$2:$U$34,Own_Spectrum_100cm!$V$2:$V$34)*D767</f>
        <v>#VALUE!</v>
      </c>
      <c r="D767" s="13">
        <f>Place_data_here!B767</f>
        <v>0</v>
      </c>
    </row>
    <row r="768" spans="1:4" x14ac:dyDescent="0.25">
      <c r="A768" s="16">
        <f>Place_data_here!A768</f>
        <v>0</v>
      </c>
      <c r="B768" s="4" t="e">
        <f t="shared" si="11"/>
        <v>#VALUE!</v>
      </c>
      <c r="C768" s="1" t="e">
        <f>SplineInterp(A768,Own_Spectrum_100cm!$U$2:$U$34,Own_Spectrum_100cm!$V$2:$V$34)*D768</f>
        <v>#VALUE!</v>
      </c>
      <c r="D768" s="13">
        <f>Place_data_here!B768</f>
        <v>0</v>
      </c>
    </row>
    <row r="769" spans="1:4" x14ac:dyDescent="0.25">
      <c r="A769" s="16">
        <f>Place_data_here!A769</f>
        <v>0</v>
      </c>
      <c r="B769" s="4" t="e">
        <f t="shared" si="11"/>
        <v>#VALUE!</v>
      </c>
      <c r="C769" s="1" t="e">
        <f>SplineInterp(A769,Own_Spectrum_100cm!$U$2:$U$34,Own_Spectrum_100cm!$V$2:$V$34)*D769</f>
        <v>#VALUE!</v>
      </c>
      <c r="D769" s="13">
        <f>Place_data_here!B769</f>
        <v>0</v>
      </c>
    </row>
    <row r="770" spans="1:4" x14ac:dyDescent="0.25">
      <c r="A770" s="16">
        <f>Place_data_here!A770</f>
        <v>0</v>
      </c>
      <c r="B770" s="4" t="e">
        <f t="shared" si="11"/>
        <v>#VALUE!</v>
      </c>
      <c r="C770" s="1" t="e">
        <f>SplineInterp(A770,Own_Spectrum_100cm!$U$2:$U$34,Own_Spectrum_100cm!$V$2:$V$34)*D770</f>
        <v>#VALUE!</v>
      </c>
      <c r="D770" s="13">
        <f>Place_data_here!B770</f>
        <v>0</v>
      </c>
    </row>
    <row r="771" spans="1:4" x14ac:dyDescent="0.25">
      <c r="A771" s="16">
        <f>Place_data_here!A771</f>
        <v>0</v>
      </c>
      <c r="B771" s="4" t="e">
        <f t="shared" ref="B771:B834" si="12">C771/$C$1028</f>
        <v>#VALUE!</v>
      </c>
      <c r="C771" s="1" t="e">
        <f>SplineInterp(A771,Own_Spectrum_100cm!$U$2:$U$34,Own_Spectrum_100cm!$V$2:$V$34)*D771</f>
        <v>#VALUE!</v>
      </c>
      <c r="D771" s="13">
        <f>Place_data_here!B771</f>
        <v>0</v>
      </c>
    </row>
    <row r="772" spans="1:4" x14ac:dyDescent="0.25">
      <c r="A772" s="16">
        <f>Place_data_here!A772</f>
        <v>0</v>
      </c>
      <c r="B772" s="4" t="e">
        <f t="shared" si="12"/>
        <v>#VALUE!</v>
      </c>
      <c r="C772" s="1" t="e">
        <f>SplineInterp(A772,Own_Spectrum_100cm!$U$2:$U$34,Own_Spectrum_100cm!$V$2:$V$34)*D772</f>
        <v>#VALUE!</v>
      </c>
      <c r="D772" s="13">
        <f>Place_data_here!B772</f>
        <v>0</v>
      </c>
    </row>
    <row r="773" spans="1:4" x14ac:dyDescent="0.25">
      <c r="A773" s="16">
        <f>Place_data_here!A773</f>
        <v>0</v>
      </c>
      <c r="B773" s="4" t="e">
        <f t="shared" si="12"/>
        <v>#VALUE!</v>
      </c>
      <c r="C773" s="1" t="e">
        <f>SplineInterp(A773,Own_Spectrum_100cm!$U$2:$U$34,Own_Spectrum_100cm!$V$2:$V$34)*D773</f>
        <v>#VALUE!</v>
      </c>
      <c r="D773" s="13">
        <f>Place_data_here!B773</f>
        <v>0</v>
      </c>
    </row>
    <row r="774" spans="1:4" x14ac:dyDescent="0.25">
      <c r="A774" s="16">
        <f>Place_data_here!A774</f>
        <v>0</v>
      </c>
      <c r="B774" s="4" t="e">
        <f t="shared" si="12"/>
        <v>#VALUE!</v>
      </c>
      <c r="C774" s="1" t="e">
        <f>SplineInterp(A774,Own_Spectrum_100cm!$U$2:$U$34,Own_Spectrum_100cm!$V$2:$V$34)*D774</f>
        <v>#VALUE!</v>
      </c>
      <c r="D774" s="13">
        <f>Place_data_here!B774</f>
        <v>0</v>
      </c>
    </row>
    <row r="775" spans="1:4" x14ac:dyDescent="0.25">
      <c r="A775" s="16">
        <f>Place_data_here!A775</f>
        <v>0</v>
      </c>
      <c r="B775" s="4" t="e">
        <f t="shared" si="12"/>
        <v>#VALUE!</v>
      </c>
      <c r="C775" s="1" t="e">
        <f>SplineInterp(A775,Own_Spectrum_100cm!$U$2:$U$34,Own_Spectrum_100cm!$V$2:$V$34)*D775</f>
        <v>#VALUE!</v>
      </c>
      <c r="D775" s="13">
        <f>Place_data_here!B775</f>
        <v>0</v>
      </c>
    </row>
    <row r="776" spans="1:4" x14ac:dyDescent="0.25">
      <c r="A776" s="16">
        <f>Place_data_here!A776</f>
        <v>0</v>
      </c>
      <c r="B776" s="4" t="e">
        <f t="shared" si="12"/>
        <v>#VALUE!</v>
      </c>
      <c r="C776" s="1" t="e">
        <f>SplineInterp(A776,Own_Spectrum_100cm!$U$2:$U$34,Own_Spectrum_100cm!$V$2:$V$34)*D776</f>
        <v>#VALUE!</v>
      </c>
      <c r="D776" s="13">
        <f>Place_data_here!B776</f>
        <v>0</v>
      </c>
    </row>
    <row r="777" spans="1:4" x14ac:dyDescent="0.25">
      <c r="A777" s="16">
        <f>Place_data_here!A777</f>
        <v>0</v>
      </c>
      <c r="B777" s="4" t="e">
        <f t="shared" si="12"/>
        <v>#VALUE!</v>
      </c>
      <c r="C777" s="1" t="e">
        <f>SplineInterp(A777,Own_Spectrum_100cm!$U$2:$U$34,Own_Spectrum_100cm!$V$2:$V$34)*D777</f>
        <v>#VALUE!</v>
      </c>
      <c r="D777" s="13">
        <f>Place_data_here!B777</f>
        <v>0</v>
      </c>
    </row>
    <row r="778" spans="1:4" x14ac:dyDescent="0.25">
      <c r="A778" s="16">
        <f>Place_data_here!A778</f>
        <v>0</v>
      </c>
      <c r="B778" s="4" t="e">
        <f t="shared" si="12"/>
        <v>#VALUE!</v>
      </c>
      <c r="C778" s="1" t="e">
        <f>SplineInterp(A778,Own_Spectrum_100cm!$U$2:$U$34,Own_Spectrum_100cm!$V$2:$V$34)*D778</f>
        <v>#VALUE!</v>
      </c>
      <c r="D778" s="13">
        <f>Place_data_here!B778</f>
        <v>0</v>
      </c>
    </row>
    <row r="779" spans="1:4" x14ac:dyDescent="0.25">
      <c r="A779" s="16">
        <f>Place_data_here!A779</f>
        <v>0</v>
      </c>
      <c r="B779" s="4" t="e">
        <f t="shared" si="12"/>
        <v>#VALUE!</v>
      </c>
      <c r="C779" s="1" t="e">
        <f>SplineInterp(A779,Own_Spectrum_100cm!$U$2:$U$34,Own_Spectrum_100cm!$V$2:$V$34)*D779</f>
        <v>#VALUE!</v>
      </c>
      <c r="D779" s="13">
        <f>Place_data_here!B779</f>
        <v>0</v>
      </c>
    </row>
    <row r="780" spans="1:4" x14ac:dyDescent="0.25">
      <c r="A780" s="16">
        <f>Place_data_here!A780</f>
        <v>0</v>
      </c>
      <c r="B780" s="4" t="e">
        <f t="shared" si="12"/>
        <v>#VALUE!</v>
      </c>
      <c r="C780" s="1" t="e">
        <f>SplineInterp(A780,Own_Spectrum_100cm!$U$2:$U$34,Own_Spectrum_100cm!$V$2:$V$34)*D780</f>
        <v>#VALUE!</v>
      </c>
      <c r="D780" s="13">
        <f>Place_data_here!B780</f>
        <v>0</v>
      </c>
    </row>
    <row r="781" spans="1:4" x14ac:dyDescent="0.25">
      <c r="A781" s="16">
        <f>Place_data_here!A781</f>
        <v>0</v>
      </c>
      <c r="B781" s="4" t="e">
        <f t="shared" si="12"/>
        <v>#VALUE!</v>
      </c>
      <c r="C781" s="1" t="e">
        <f>SplineInterp(A781,Own_Spectrum_100cm!$U$2:$U$34,Own_Spectrum_100cm!$V$2:$V$34)*D781</f>
        <v>#VALUE!</v>
      </c>
      <c r="D781" s="13">
        <f>Place_data_here!B781</f>
        <v>0</v>
      </c>
    </row>
    <row r="782" spans="1:4" x14ac:dyDescent="0.25">
      <c r="A782" s="16">
        <f>Place_data_here!A782</f>
        <v>0</v>
      </c>
      <c r="B782" s="4" t="e">
        <f t="shared" si="12"/>
        <v>#VALUE!</v>
      </c>
      <c r="C782" s="1" t="e">
        <f>SplineInterp(A782,Own_Spectrum_100cm!$U$2:$U$34,Own_Spectrum_100cm!$V$2:$V$34)*D782</f>
        <v>#VALUE!</v>
      </c>
      <c r="D782" s="13">
        <f>Place_data_here!B782</f>
        <v>0</v>
      </c>
    </row>
    <row r="783" spans="1:4" x14ac:dyDescent="0.25">
      <c r="A783" s="16">
        <f>Place_data_here!A783</f>
        <v>0</v>
      </c>
      <c r="B783" s="4" t="e">
        <f t="shared" si="12"/>
        <v>#VALUE!</v>
      </c>
      <c r="C783" s="1" t="e">
        <f>SplineInterp(A783,Own_Spectrum_100cm!$U$2:$U$34,Own_Spectrum_100cm!$V$2:$V$34)*D783</f>
        <v>#VALUE!</v>
      </c>
      <c r="D783" s="13">
        <f>Place_data_here!B783</f>
        <v>0</v>
      </c>
    </row>
    <row r="784" spans="1:4" x14ac:dyDescent="0.25">
      <c r="A784" s="16">
        <f>Place_data_here!A784</f>
        <v>0</v>
      </c>
      <c r="B784" s="4" t="e">
        <f t="shared" si="12"/>
        <v>#VALUE!</v>
      </c>
      <c r="C784" s="1" t="e">
        <f>SplineInterp(A784,Own_Spectrum_100cm!$U$2:$U$34,Own_Spectrum_100cm!$V$2:$V$34)*D784</f>
        <v>#VALUE!</v>
      </c>
      <c r="D784" s="13">
        <f>Place_data_here!B784</f>
        <v>0</v>
      </c>
    </row>
    <row r="785" spans="1:4" x14ac:dyDescent="0.25">
      <c r="A785" s="16">
        <f>Place_data_here!A785</f>
        <v>0</v>
      </c>
      <c r="B785" s="4" t="e">
        <f t="shared" si="12"/>
        <v>#VALUE!</v>
      </c>
      <c r="C785" s="1" t="e">
        <f>SplineInterp(A785,Own_Spectrum_100cm!$U$2:$U$34,Own_Spectrum_100cm!$V$2:$V$34)*D785</f>
        <v>#VALUE!</v>
      </c>
      <c r="D785" s="13">
        <f>Place_data_here!B785</f>
        <v>0</v>
      </c>
    </row>
    <row r="786" spans="1:4" x14ac:dyDescent="0.25">
      <c r="A786" s="16">
        <f>Place_data_here!A786</f>
        <v>0</v>
      </c>
      <c r="B786" s="4" t="e">
        <f t="shared" si="12"/>
        <v>#VALUE!</v>
      </c>
      <c r="C786" s="1" t="e">
        <f>SplineInterp(A786,Own_Spectrum_100cm!$U$2:$U$34,Own_Spectrum_100cm!$V$2:$V$34)*D786</f>
        <v>#VALUE!</v>
      </c>
      <c r="D786" s="13">
        <f>Place_data_here!B786</f>
        <v>0</v>
      </c>
    </row>
    <row r="787" spans="1:4" x14ac:dyDescent="0.25">
      <c r="A787" s="16">
        <f>Place_data_here!A787</f>
        <v>0</v>
      </c>
      <c r="B787" s="4" t="e">
        <f t="shared" si="12"/>
        <v>#VALUE!</v>
      </c>
      <c r="C787" s="1" t="e">
        <f>SplineInterp(A787,Own_Spectrum_100cm!$U$2:$U$34,Own_Spectrum_100cm!$V$2:$V$34)*D787</f>
        <v>#VALUE!</v>
      </c>
      <c r="D787" s="13">
        <f>Place_data_here!B787</f>
        <v>0</v>
      </c>
    </row>
    <row r="788" spans="1:4" x14ac:dyDescent="0.25">
      <c r="A788" s="16">
        <f>Place_data_here!A788</f>
        <v>0</v>
      </c>
      <c r="B788" s="4" t="e">
        <f t="shared" si="12"/>
        <v>#VALUE!</v>
      </c>
      <c r="C788" s="1" t="e">
        <f>SplineInterp(A788,Own_Spectrum_100cm!$U$2:$U$34,Own_Spectrum_100cm!$V$2:$V$34)*D788</f>
        <v>#VALUE!</v>
      </c>
      <c r="D788" s="13">
        <f>Place_data_here!B788</f>
        <v>0</v>
      </c>
    </row>
    <row r="789" spans="1:4" x14ac:dyDescent="0.25">
      <c r="A789" s="16">
        <f>Place_data_here!A789</f>
        <v>0</v>
      </c>
      <c r="B789" s="4" t="e">
        <f t="shared" si="12"/>
        <v>#VALUE!</v>
      </c>
      <c r="C789" s="1" t="e">
        <f>SplineInterp(A789,Own_Spectrum_100cm!$U$2:$U$34,Own_Spectrum_100cm!$V$2:$V$34)*D789</f>
        <v>#VALUE!</v>
      </c>
      <c r="D789" s="13">
        <f>Place_data_here!B789</f>
        <v>0</v>
      </c>
    </row>
    <row r="790" spans="1:4" x14ac:dyDescent="0.25">
      <c r="A790" s="16">
        <f>Place_data_here!A790</f>
        <v>0</v>
      </c>
      <c r="B790" s="4" t="e">
        <f t="shared" si="12"/>
        <v>#VALUE!</v>
      </c>
      <c r="C790" s="1" t="e">
        <f>SplineInterp(A790,Own_Spectrum_100cm!$U$2:$U$34,Own_Spectrum_100cm!$V$2:$V$34)*D790</f>
        <v>#VALUE!</v>
      </c>
      <c r="D790" s="13">
        <f>Place_data_here!B790</f>
        <v>0</v>
      </c>
    </row>
    <row r="791" spans="1:4" x14ac:dyDescent="0.25">
      <c r="A791" s="16">
        <f>Place_data_here!A791</f>
        <v>0</v>
      </c>
      <c r="B791" s="4" t="e">
        <f t="shared" si="12"/>
        <v>#VALUE!</v>
      </c>
      <c r="C791" s="1" t="e">
        <f>SplineInterp(A791,Own_Spectrum_100cm!$U$2:$U$34,Own_Spectrum_100cm!$V$2:$V$34)*D791</f>
        <v>#VALUE!</v>
      </c>
      <c r="D791" s="13">
        <f>Place_data_here!B791</f>
        <v>0</v>
      </c>
    </row>
    <row r="792" spans="1:4" x14ac:dyDescent="0.25">
      <c r="A792" s="16">
        <f>Place_data_here!A792</f>
        <v>0</v>
      </c>
      <c r="B792" s="4" t="e">
        <f t="shared" si="12"/>
        <v>#VALUE!</v>
      </c>
      <c r="C792" s="1" t="e">
        <f>SplineInterp(A792,Own_Spectrum_100cm!$U$2:$U$34,Own_Spectrum_100cm!$V$2:$V$34)*D792</f>
        <v>#VALUE!</v>
      </c>
      <c r="D792" s="13">
        <f>Place_data_here!B792</f>
        <v>0</v>
      </c>
    </row>
    <row r="793" spans="1:4" x14ac:dyDescent="0.25">
      <c r="A793" s="16">
        <f>Place_data_here!A793</f>
        <v>0</v>
      </c>
      <c r="B793" s="4" t="e">
        <f t="shared" si="12"/>
        <v>#VALUE!</v>
      </c>
      <c r="C793" s="1" t="e">
        <f>SplineInterp(A793,Own_Spectrum_100cm!$U$2:$U$34,Own_Spectrum_100cm!$V$2:$V$34)*D793</f>
        <v>#VALUE!</v>
      </c>
      <c r="D793" s="13">
        <f>Place_data_here!B793</f>
        <v>0</v>
      </c>
    </row>
    <row r="794" spans="1:4" x14ac:dyDescent="0.25">
      <c r="A794" s="16">
        <f>Place_data_here!A794</f>
        <v>0</v>
      </c>
      <c r="B794" s="4" t="e">
        <f t="shared" si="12"/>
        <v>#VALUE!</v>
      </c>
      <c r="C794" s="1" t="e">
        <f>SplineInterp(A794,Own_Spectrum_100cm!$U$2:$U$34,Own_Spectrum_100cm!$V$2:$V$34)*D794</f>
        <v>#VALUE!</v>
      </c>
      <c r="D794" s="13">
        <f>Place_data_here!B794</f>
        <v>0</v>
      </c>
    </row>
    <row r="795" spans="1:4" x14ac:dyDescent="0.25">
      <c r="A795" s="16">
        <f>Place_data_here!A795</f>
        <v>0</v>
      </c>
      <c r="B795" s="4" t="e">
        <f t="shared" si="12"/>
        <v>#VALUE!</v>
      </c>
      <c r="C795" s="1" t="e">
        <f>SplineInterp(A795,Own_Spectrum_100cm!$U$2:$U$34,Own_Spectrum_100cm!$V$2:$V$34)*D795</f>
        <v>#VALUE!</v>
      </c>
      <c r="D795" s="13">
        <f>Place_data_here!B795</f>
        <v>0</v>
      </c>
    </row>
    <row r="796" spans="1:4" x14ac:dyDescent="0.25">
      <c r="A796" s="16">
        <f>Place_data_here!A796</f>
        <v>0</v>
      </c>
      <c r="B796" s="4" t="e">
        <f t="shared" si="12"/>
        <v>#VALUE!</v>
      </c>
      <c r="C796" s="1" t="e">
        <f>SplineInterp(A796,Own_Spectrum_100cm!$U$2:$U$34,Own_Spectrum_100cm!$V$2:$V$34)*D796</f>
        <v>#VALUE!</v>
      </c>
      <c r="D796" s="13">
        <f>Place_data_here!B796</f>
        <v>0</v>
      </c>
    </row>
    <row r="797" spans="1:4" x14ac:dyDescent="0.25">
      <c r="A797" s="16">
        <f>Place_data_here!A797</f>
        <v>0</v>
      </c>
      <c r="B797" s="4" t="e">
        <f t="shared" si="12"/>
        <v>#VALUE!</v>
      </c>
      <c r="C797" s="1" t="e">
        <f>SplineInterp(A797,Own_Spectrum_100cm!$U$2:$U$34,Own_Spectrum_100cm!$V$2:$V$34)*D797</f>
        <v>#VALUE!</v>
      </c>
      <c r="D797" s="13">
        <f>Place_data_here!B797</f>
        <v>0</v>
      </c>
    </row>
    <row r="798" spans="1:4" x14ac:dyDescent="0.25">
      <c r="A798" s="16">
        <f>Place_data_here!A798</f>
        <v>0</v>
      </c>
      <c r="B798" s="4" t="e">
        <f t="shared" si="12"/>
        <v>#VALUE!</v>
      </c>
      <c r="C798" s="1" t="e">
        <f>SplineInterp(A798,Own_Spectrum_100cm!$U$2:$U$34,Own_Spectrum_100cm!$V$2:$V$34)*D798</f>
        <v>#VALUE!</v>
      </c>
      <c r="D798" s="13">
        <f>Place_data_here!B798</f>
        <v>0</v>
      </c>
    </row>
    <row r="799" spans="1:4" x14ac:dyDescent="0.25">
      <c r="A799" s="16">
        <f>Place_data_here!A799</f>
        <v>0</v>
      </c>
      <c r="B799" s="4" t="e">
        <f t="shared" si="12"/>
        <v>#VALUE!</v>
      </c>
      <c r="C799" s="1" t="e">
        <f>SplineInterp(A799,Own_Spectrum_100cm!$U$2:$U$34,Own_Spectrum_100cm!$V$2:$V$34)*D799</f>
        <v>#VALUE!</v>
      </c>
      <c r="D799" s="13">
        <f>Place_data_here!B799</f>
        <v>0</v>
      </c>
    </row>
    <row r="800" spans="1:4" x14ac:dyDescent="0.25">
      <c r="A800" s="16">
        <f>Place_data_here!A800</f>
        <v>0</v>
      </c>
      <c r="B800" s="4" t="e">
        <f t="shared" si="12"/>
        <v>#VALUE!</v>
      </c>
      <c r="C800" s="1" t="e">
        <f>SplineInterp(A800,Own_Spectrum_100cm!$U$2:$U$34,Own_Spectrum_100cm!$V$2:$V$34)*D800</f>
        <v>#VALUE!</v>
      </c>
      <c r="D800" s="13">
        <f>Place_data_here!B800</f>
        <v>0</v>
      </c>
    </row>
    <row r="801" spans="1:4" x14ac:dyDescent="0.25">
      <c r="A801" s="16">
        <f>Place_data_here!A801</f>
        <v>0</v>
      </c>
      <c r="B801" s="4" t="e">
        <f t="shared" si="12"/>
        <v>#VALUE!</v>
      </c>
      <c r="C801" s="1" t="e">
        <f>SplineInterp(A801,Own_Spectrum_100cm!$U$2:$U$34,Own_Spectrum_100cm!$V$2:$V$34)*D801</f>
        <v>#VALUE!</v>
      </c>
      <c r="D801" s="13">
        <f>Place_data_here!B801</f>
        <v>0</v>
      </c>
    </row>
    <row r="802" spans="1:4" x14ac:dyDescent="0.25">
      <c r="A802" s="16">
        <f>Place_data_here!A802</f>
        <v>0</v>
      </c>
      <c r="B802" s="4" t="e">
        <f t="shared" si="12"/>
        <v>#VALUE!</v>
      </c>
      <c r="C802" s="1" t="e">
        <f>SplineInterp(A802,Own_Spectrum_100cm!$U$2:$U$34,Own_Spectrum_100cm!$V$2:$V$34)*D802</f>
        <v>#VALUE!</v>
      </c>
      <c r="D802" s="13">
        <f>Place_data_here!B802</f>
        <v>0</v>
      </c>
    </row>
    <row r="803" spans="1:4" x14ac:dyDescent="0.25">
      <c r="A803" s="16">
        <f>Place_data_here!A803</f>
        <v>0</v>
      </c>
      <c r="B803" s="4" t="e">
        <f t="shared" si="12"/>
        <v>#VALUE!</v>
      </c>
      <c r="C803" s="1" t="e">
        <f>SplineInterp(A803,Own_Spectrum_100cm!$U$2:$U$34,Own_Spectrum_100cm!$V$2:$V$34)*D803</f>
        <v>#VALUE!</v>
      </c>
      <c r="D803" s="13">
        <f>Place_data_here!B803</f>
        <v>0</v>
      </c>
    </row>
    <row r="804" spans="1:4" x14ac:dyDescent="0.25">
      <c r="A804" s="16">
        <f>Place_data_here!A804</f>
        <v>0</v>
      </c>
      <c r="B804" s="4" t="e">
        <f t="shared" si="12"/>
        <v>#VALUE!</v>
      </c>
      <c r="C804" s="1" t="e">
        <f>SplineInterp(A804,Own_Spectrum_100cm!$U$2:$U$34,Own_Spectrum_100cm!$V$2:$V$34)*D804</f>
        <v>#VALUE!</v>
      </c>
      <c r="D804" s="13">
        <f>Place_data_here!B804</f>
        <v>0</v>
      </c>
    </row>
    <row r="805" spans="1:4" x14ac:dyDescent="0.25">
      <c r="A805" s="16">
        <f>Place_data_here!A805</f>
        <v>0</v>
      </c>
      <c r="B805" s="4" t="e">
        <f t="shared" si="12"/>
        <v>#VALUE!</v>
      </c>
      <c r="C805" s="1" t="e">
        <f>SplineInterp(A805,Own_Spectrum_100cm!$U$2:$U$34,Own_Spectrum_100cm!$V$2:$V$34)*D805</f>
        <v>#VALUE!</v>
      </c>
      <c r="D805" s="13">
        <f>Place_data_here!B805</f>
        <v>0</v>
      </c>
    </row>
    <row r="806" spans="1:4" x14ac:dyDescent="0.25">
      <c r="A806" s="16">
        <f>Place_data_here!A806</f>
        <v>0</v>
      </c>
      <c r="B806" s="4" t="e">
        <f t="shared" si="12"/>
        <v>#VALUE!</v>
      </c>
      <c r="C806" s="1" t="e">
        <f>SplineInterp(A806,Own_Spectrum_100cm!$U$2:$U$34,Own_Spectrum_100cm!$V$2:$V$34)*D806</f>
        <v>#VALUE!</v>
      </c>
      <c r="D806" s="13">
        <f>Place_data_here!B806</f>
        <v>0</v>
      </c>
    </row>
    <row r="807" spans="1:4" x14ac:dyDescent="0.25">
      <c r="A807" s="16">
        <f>Place_data_here!A807</f>
        <v>0</v>
      </c>
      <c r="B807" s="4" t="e">
        <f t="shared" si="12"/>
        <v>#VALUE!</v>
      </c>
      <c r="C807" s="1" t="e">
        <f>SplineInterp(A807,Own_Spectrum_100cm!$U$2:$U$34,Own_Spectrum_100cm!$V$2:$V$34)*D807</f>
        <v>#VALUE!</v>
      </c>
      <c r="D807" s="13">
        <f>Place_data_here!B807</f>
        <v>0</v>
      </c>
    </row>
    <row r="808" spans="1:4" x14ac:dyDescent="0.25">
      <c r="A808" s="16">
        <f>Place_data_here!A808</f>
        <v>0</v>
      </c>
      <c r="B808" s="4" t="e">
        <f t="shared" si="12"/>
        <v>#VALUE!</v>
      </c>
      <c r="C808" s="1" t="e">
        <f>SplineInterp(A808,Own_Spectrum_100cm!$U$2:$U$34,Own_Spectrum_100cm!$V$2:$V$34)*D808</f>
        <v>#VALUE!</v>
      </c>
      <c r="D808" s="13">
        <f>Place_data_here!B808</f>
        <v>0</v>
      </c>
    </row>
    <row r="809" spans="1:4" x14ac:dyDescent="0.25">
      <c r="A809" s="16">
        <f>Place_data_here!A809</f>
        <v>0</v>
      </c>
      <c r="B809" s="4" t="e">
        <f t="shared" si="12"/>
        <v>#VALUE!</v>
      </c>
      <c r="C809" s="1" t="e">
        <f>SplineInterp(A809,Own_Spectrum_100cm!$U$2:$U$34,Own_Spectrum_100cm!$V$2:$V$34)*D809</f>
        <v>#VALUE!</v>
      </c>
      <c r="D809" s="13">
        <f>Place_data_here!B809</f>
        <v>0</v>
      </c>
    </row>
    <row r="810" spans="1:4" x14ac:dyDescent="0.25">
      <c r="A810" s="16">
        <f>Place_data_here!A810</f>
        <v>0</v>
      </c>
      <c r="B810" s="4" t="e">
        <f t="shared" si="12"/>
        <v>#VALUE!</v>
      </c>
      <c r="C810" s="1" t="e">
        <f>SplineInterp(A810,Own_Spectrum_100cm!$U$2:$U$34,Own_Spectrum_100cm!$V$2:$V$34)*D810</f>
        <v>#VALUE!</v>
      </c>
      <c r="D810" s="13">
        <f>Place_data_here!B810</f>
        <v>0</v>
      </c>
    </row>
    <row r="811" spans="1:4" x14ac:dyDescent="0.25">
      <c r="A811" s="16">
        <f>Place_data_here!A811</f>
        <v>0</v>
      </c>
      <c r="B811" s="4" t="e">
        <f t="shared" si="12"/>
        <v>#VALUE!</v>
      </c>
      <c r="C811" s="1" t="e">
        <f>SplineInterp(A811,Own_Spectrum_100cm!$U$2:$U$34,Own_Spectrum_100cm!$V$2:$V$34)*D811</f>
        <v>#VALUE!</v>
      </c>
      <c r="D811" s="13">
        <f>Place_data_here!B811</f>
        <v>0</v>
      </c>
    </row>
    <row r="812" spans="1:4" x14ac:dyDescent="0.25">
      <c r="A812" s="16">
        <f>Place_data_here!A812</f>
        <v>0</v>
      </c>
      <c r="B812" s="4" t="e">
        <f t="shared" si="12"/>
        <v>#VALUE!</v>
      </c>
      <c r="C812" s="1" t="e">
        <f>SplineInterp(A812,Own_Spectrum_100cm!$U$2:$U$34,Own_Spectrum_100cm!$V$2:$V$34)*D812</f>
        <v>#VALUE!</v>
      </c>
      <c r="D812" s="13">
        <f>Place_data_here!B812</f>
        <v>0</v>
      </c>
    </row>
    <row r="813" spans="1:4" x14ac:dyDescent="0.25">
      <c r="A813" s="16">
        <f>Place_data_here!A813</f>
        <v>0</v>
      </c>
      <c r="B813" s="4" t="e">
        <f t="shared" si="12"/>
        <v>#VALUE!</v>
      </c>
      <c r="C813" s="1" t="e">
        <f>SplineInterp(A813,Own_Spectrum_100cm!$U$2:$U$34,Own_Spectrum_100cm!$V$2:$V$34)*D813</f>
        <v>#VALUE!</v>
      </c>
      <c r="D813" s="13">
        <f>Place_data_here!B813</f>
        <v>0</v>
      </c>
    </row>
    <row r="814" spans="1:4" x14ac:dyDescent="0.25">
      <c r="A814" s="16">
        <f>Place_data_here!A814</f>
        <v>0</v>
      </c>
      <c r="B814" s="4" t="e">
        <f t="shared" si="12"/>
        <v>#VALUE!</v>
      </c>
      <c r="C814" s="1" t="e">
        <f>SplineInterp(A814,Own_Spectrum_100cm!$U$2:$U$34,Own_Spectrum_100cm!$V$2:$V$34)*D814</f>
        <v>#VALUE!</v>
      </c>
      <c r="D814" s="13">
        <f>Place_data_here!B814</f>
        <v>0</v>
      </c>
    </row>
    <row r="815" spans="1:4" x14ac:dyDescent="0.25">
      <c r="A815" s="16">
        <f>Place_data_here!A815</f>
        <v>0</v>
      </c>
      <c r="B815" s="4" t="e">
        <f t="shared" si="12"/>
        <v>#VALUE!</v>
      </c>
      <c r="C815" s="1" t="e">
        <f>SplineInterp(A815,Own_Spectrum_100cm!$U$2:$U$34,Own_Spectrum_100cm!$V$2:$V$34)*D815</f>
        <v>#VALUE!</v>
      </c>
      <c r="D815" s="13">
        <f>Place_data_here!B815</f>
        <v>0</v>
      </c>
    </row>
    <row r="816" spans="1:4" x14ac:dyDescent="0.25">
      <c r="A816" s="16">
        <f>Place_data_here!A816</f>
        <v>0</v>
      </c>
      <c r="B816" s="4" t="e">
        <f t="shared" si="12"/>
        <v>#VALUE!</v>
      </c>
      <c r="C816" s="1" t="e">
        <f>SplineInterp(A816,Own_Spectrum_100cm!$U$2:$U$34,Own_Spectrum_100cm!$V$2:$V$34)*D816</f>
        <v>#VALUE!</v>
      </c>
      <c r="D816" s="13">
        <f>Place_data_here!B816</f>
        <v>0</v>
      </c>
    </row>
    <row r="817" spans="1:4" x14ac:dyDescent="0.25">
      <c r="A817" s="16">
        <f>Place_data_here!A817</f>
        <v>0</v>
      </c>
      <c r="B817" s="4" t="e">
        <f t="shared" si="12"/>
        <v>#VALUE!</v>
      </c>
      <c r="C817" s="1" t="e">
        <f>SplineInterp(A817,Own_Spectrum_100cm!$U$2:$U$34,Own_Spectrum_100cm!$V$2:$V$34)*D817</f>
        <v>#VALUE!</v>
      </c>
      <c r="D817" s="13">
        <f>Place_data_here!B817</f>
        <v>0</v>
      </c>
    </row>
    <row r="818" spans="1:4" x14ac:dyDescent="0.25">
      <c r="A818" s="16">
        <f>Place_data_here!A818</f>
        <v>0</v>
      </c>
      <c r="B818" s="4" t="e">
        <f t="shared" si="12"/>
        <v>#VALUE!</v>
      </c>
      <c r="C818" s="1" t="e">
        <f>SplineInterp(A818,Own_Spectrum_100cm!$U$2:$U$34,Own_Spectrum_100cm!$V$2:$V$34)*D818</f>
        <v>#VALUE!</v>
      </c>
      <c r="D818" s="13">
        <f>Place_data_here!B818</f>
        <v>0</v>
      </c>
    </row>
    <row r="819" spans="1:4" x14ac:dyDescent="0.25">
      <c r="A819" s="16">
        <f>Place_data_here!A819</f>
        <v>0</v>
      </c>
      <c r="B819" s="4" t="e">
        <f t="shared" si="12"/>
        <v>#VALUE!</v>
      </c>
      <c r="C819" s="1" t="e">
        <f>SplineInterp(A819,Own_Spectrum_100cm!$U$2:$U$34,Own_Spectrum_100cm!$V$2:$V$34)*D819</f>
        <v>#VALUE!</v>
      </c>
      <c r="D819" s="13">
        <f>Place_data_here!B819</f>
        <v>0</v>
      </c>
    </row>
    <row r="820" spans="1:4" x14ac:dyDescent="0.25">
      <c r="A820" s="16">
        <f>Place_data_here!A820</f>
        <v>0</v>
      </c>
      <c r="B820" s="4" t="e">
        <f t="shared" si="12"/>
        <v>#VALUE!</v>
      </c>
      <c r="C820" s="1" t="e">
        <f>SplineInterp(A820,Own_Spectrum_100cm!$U$2:$U$34,Own_Spectrum_100cm!$V$2:$V$34)*D820</f>
        <v>#VALUE!</v>
      </c>
      <c r="D820" s="13">
        <f>Place_data_here!B820</f>
        <v>0</v>
      </c>
    </row>
    <row r="821" spans="1:4" x14ac:dyDescent="0.25">
      <c r="A821" s="16">
        <f>Place_data_here!A821</f>
        <v>0</v>
      </c>
      <c r="B821" s="4" t="e">
        <f t="shared" si="12"/>
        <v>#VALUE!</v>
      </c>
      <c r="C821" s="1" t="e">
        <f>SplineInterp(A821,Own_Spectrum_100cm!$U$2:$U$34,Own_Spectrum_100cm!$V$2:$V$34)*D821</f>
        <v>#VALUE!</v>
      </c>
      <c r="D821" s="13">
        <f>Place_data_here!B821</f>
        <v>0</v>
      </c>
    </row>
    <row r="822" spans="1:4" x14ac:dyDescent="0.25">
      <c r="A822" s="16">
        <f>Place_data_here!A822</f>
        <v>0</v>
      </c>
      <c r="B822" s="4" t="e">
        <f t="shared" si="12"/>
        <v>#VALUE!</v>
      </c>
      <c r="C822" s="1" t="e">
        <f>SplineInterp(A822,Own_Spectrum_100cm!$U$2:$U$34,Own_Spectrum_100cm!$V$2:$V$34)*D822</f>
        <v>#VALUE!</v>
      </c>
      <c r="D822" s="13">
        <f>Place_data_here!B822</f>
        <v>0</v>
      </c>
    </row>
    <row r="823" spans="1:4" x14ac:dyDescent="0.25">
      <c r="A823" s="16">
        <f>Place_data_here!A823</f>
        <v>0</v>
      </c>
      <c r="B823" s="4" t="e">
        <f t="shared" si="12"/>
        <v>#VALUE!</v>
      </c>
      <c r="C823" s="1" t="e">
        <f>SplineInterp(A823,Own_Spectrum_100cm!$U$2:$U$34,Own_Spectrum_100cm!$V$2:$V$34)*D823</f>
        <v>#VALUE!</v>
      </c>
      <c r="D823" s="13">
        <f>Place_data_here!B823</f>
        <v>0</v>
      </c>
    </row>
    <row r="824" spans="1:4" x14ac:dyDescent="0.25">
      <c r="A824" s="16">
        <f>Place_data_here!A824</f>
        <v>0</v>
      </c>
      <c r="B824" s="4" t="e">
        <f t="shared" si="12"/>
        <v>#VALUE!</v>
      </c>
      <c r="C824" s="1" t="e">
        <f>SplineInterp(A824,Own_Spectrum_100cm!$U$2:$U$34,Own_Spectrum_100cm!$V$2:$V$34)*D824</f>
        <v>#VALUE!</v>
      </c>
      <c r="D824" s="13">
        <f>Place_data_here!B824</f>
        <v>0</v>
      </c>
    </row>
    <row r="825" spans="1:4" x14ac:dyDescent="0.25">
      <c r="A825" s="16">
        <f>Place_data_here!A825</f>
        <v>0</v>
      </c>
      <c r="B825" s="4" t="e">
        <f t="shared" si="12"/>
        <v>#VALUE!</v>
      </c>
      <c r="C825" s="1" t="e">
        <f>SplineInterp(A825,Own_Spectrum_100cm!$U$2:$U$34,Own_Spectrum_100cm!$V$2:$V$34)*D825</f>
        <v>#VALUE!</v>
      </c>
      <c r="D825" s="13">
        <f>Place_data_here!B825</f>
        <v>0</v>
      </c>
    </row>
    <row r="826" spans="1:4" x14ac:dyDescent="0.25">
      <c r="A826" s="16">
        <f>Place_data_here!A826</f>
        <v>0</v>
      </c>
      <c r="B826" s="4" t="e">
        <f t="shared" si="12"/>
        <v>#VALUE!</v>
      </c>
      <c r="C826" s="1" t="e">
        <f>SplineInterp(A826,Own_Spectrum_100cm!$U$2:$U$34,Own_Spectrum_100cm!$V$2:$V$34)*D826</f>
        <v>#VALUE!</v>
      </c>
      <c r="D826" s="13">
        <f>Place_data_here!B826</f>
        <v>0</v>
      </c>
    </row>
    <row r="827" spans="1:4" x14ac:dyDescent="0.25">
      <c r="A827" s="16">
        <f>Place_data_here!A827</f>
        <v>0</v>
      </c>
      <c r="B827" s="4" t="e">
        <f t="shared" si="12"/>
        <v>#VALUE!</v>
      </c>
      <c r="C827" s="1" t="e">
        <f>SplineInterp(A827,Own_Spectrum_100cm!$U$2:$U$34,Own_Spectrum_100cm!$V$2:$V$34)*D827</f>
        <v>#VALUE!</v>
      </c>
      <c r="D827" s="13">
        <f>Place_data_here!B827</f>
        <v>0</v>
      </c>
    </row>
    <row r="828" spans="1:4" x14ac:dyDescent="0.25">
      <c r="A828" s="16">
        <f>Place_data_here!A828</f>
        <v>0</v>
      </c>
      <c r="B828" s="4" t="e">
        <f t="shared" si="12"/>
        <v>#VALUE!</v>
      </c>
      <c r="C828" s="1" t="e">
        <f>SplineInterp(A828,Own_Spectrum_100cm!$U$2:$U$34,Own_Spectrum_100cm!$V$2:$V$34)*D828</f>
        <v>#VALUE!</v>
      </c>
      <c r="D828" s="13">
        <f>Place_data_here!B828</f>
        <v>0</v>
      </c>
    </row>
    <row r="829" spans="1:4" x14ac:dyDescent="0.25">
      <c r="A829" s="16">
        <f>Place_data_here!A829</f>
        <v>0</v>
      </c>
      <c r="B829" s="4" t="e">
        <f t="shared" si="12"/>
        <v>#VALUE!</v>
      </c>
      <c r="C829" s="1" t="e">
        <f>SplineInterp(A829,Own_Spectrum_100cm!$U$2:$U$34,Own_Spectrum_100cm!$V$2:$V$34)*D829</f>
        <v>#VALUE!</v>
      </c>
      <c r="D829" s="13">
        <f>Place_data_here!B829</f>
        <v>0</v>
      </c>
    </row>
    <row r="830" spans="1:4" x14ac:dyDescent="0.25">
      <c r="A830" s="16">
        <f>Place_data_here!A830</f>
        <v>0</v>
      </c>
      <c r="B830" s="4" t="e">
        <f t="shared" si="12"/>
        <v>#VALUE!</v>
      </c>
      <c r="C830" s="1" t="e">
        <f>SplineInterp(A830,Own_Spectrum_100cm!$U$2:$U$34,Own_Spectrum_100cm!$V$2:$V$34)*D830</f>
        <v>#VALUE!</v>
      </c>
      <c r="D830" s="13">
        <f>Place_data_here!B830</f>
        <v>0</v>
      </c>
    </row>
    <row r="831" spans="1:4" x14ac:dyDescent="0.25">
      <c r="A831" s="16">
        <f>Place_data_here!A831</f>
        <v>0</v>
      </c>
      <c r="B831" s="4" t="e">
        <f t="shared" si="12"/>
        <v>#VALUE!</v>
      </c>
      <c r="C831" s="1" t="e">
        <f>SplineInterp(A831,Own_Spectrum_100cm!$U$2:$U$34,Own_Spectrum_100cm!$V$2:$V$34)*D831</f>
        <v>#VALUE!</v>
      </c>
      <c r="D831" s="13">
        <f>Place_data_here!B831</f>
        <v>0</v>
      </c>
    </row>
    <row r="832" spans="1:4" x14ac:dyDescent="0.25">
      <c r="A832" s="16">
        <f>Place_data_here!A832</f>
        <v>0</v>
      </c>
      <c r="B832" s="4" t="e">
        <f t="shared" si="12"/>
        <v>#VALUE!</v>
      </c>
      <c r="C832" s="1" t="e">
        <f>SplineInterp(A832,Own_Spectrum_100cm!$U$2:$U$34,Own_Spectrum_100cm!$V$2:$V$34)*D832</f>
        <v>#VALUE!</v>
      </c>
      <c r="D832" s="13">
        <f>Place_data_here!B832</f>
        <v>0</v>
      </c>
    </row>
    <row r="833" spans="1:4" x14ac:dyDescent="0.25">
      <c r="A833" s="16">
        <f>Place_data_here!A833</f>
        <v>0</v>
      </c>
      <c r="B833" s="4" t="e">
        <f t="shared" si="12"/>
        <v>#VALUE!</v>
      </c>
      <c r="C833" s="1" t="e">
        <f>SplineInterp(A833,Own_Spectrum_100cm!$U$2:$U$34,Own_Spectrum_100cm!$V$2:$V$34)*D833</f>
        <v>#VALUE!</v>
      </c>
      <c r="D833" s="13">
        <f>Place_data_here!B833</f>
        <v>0</v>
      </c>
    </row>
    <row r="834" spans="1:4" x14ac:dyDescent="0.25">
      <c r="A834" s="16">
        <f>Place_data_here!A834</f>
        <v>0</v>
      </c>
      <c r="B834" s="4" t="e">
        <f t="shared" si="12"/>
        <v>#VALUE!</v>
      </c>
      <c r="C834" s="1" t="e">
        <f>SplineInterp(A834,Own_Spectrum_100cm!$U$2:$U$34,Own_Spectrum_100cm!$V$2:$V$34)*D834</f>
        <v>#VALUE!</v>
      </c>
      <c r="D834" s="13">
        <f>Place_data_here!B834</f>
        <v>0</v>
      </c>
    </row>
    <row r="835" spans="1:4" x14ac:dyDescent="0.25">
      <c r="A835" s="16">
        <f>Place_data_here!A835</f>
        <v>0</v>
      </c>
      <c r="B835" s="4" t="e">
        <f t="shared" ref="B835:B898" si="13">C835/$C$1028</f>
        <v>#VALUE!</v>
      </c>
      <c r="C835" s="1" t="e">
        <f>SplineInterp(A835,Own_Spectrum_100cm!$U$2:$U$34,Own_Spectrum_100cm!$V$2:$V$34)*D835</f>
        <v>#VALUE!</v>
      </c>
      <c r="D835" s="13">
        <f>Place_data_here!B835</f>
        <v>0</v>
      </c>
    </row>
    <row r="836" spans="1:4" x14ac:dyDescent="0.25">
      <c r="A836" s="16">
        <f>Place_data_here!A836</f>
        <v>0</v>
      </c>
      <c r="B836" s="4" t="e">
        <f t="shared" si="13"/>
        <v>#VALUE!</v>
      </c>
      <c r="C836" s="1" t="e">
        <f>SplineInterp(A836,Own_Spectrum_100cm!$U$2:$U$34,Own_Spectrum_100cm!$V$2:$V$34)*D836</f>
        <v>#VALUE!</v>
      </c>
      <c r="D836" s="13">
        <f>Place_data_here!B836</f>
        <v>0</v>
      </c>
    </row>
    <row r="837" spans="1:4" x14ac:dyDescent="0.25">
      <c r="A837" s="16">
        <f>Place_data_here!A837</f>
        <v>0</v>
      </c>
      <c r="B837" s="4" t="e">
        <f t="shared" si="13"/>
        <v>#VALUE!</v>
      </c>
      <c r="C837" s="1" t="e">
        <f>SplineInterp(A837,Own_Spectrum_100cm!$U$2:$U$34,Own_Spectrum_100cm!$V$2:$V$34)*D837</f>
        <v>#VALUE!</v>
      </c>
      <c r="D837" s="13">
        <f>Place_data_here!B837</f>
        <v>0</v>
      </c>
    </row>
    <row r="838" spans="1:4" x14ac:dyDescent="0.25">
      <c r="A838" s="16">
        <f>Place_data_here!A838</f>
        <v>0</v>
      </c>
      <c r="B838" s="4" t="e">
        <f t="shared" si="13"/>
        <v>#VALUE!</v>
      </c>
      <c r="C838" s="1" t="e">
        <f>SplineInterp(A838,Own_Spectrum_100cm!$U$2:$U$34,Own_Spectrum_100cm!$V$2:$V$34)*D838</f>
        <v>#VALUE!</v>
      </c>
      <c r="D838" s="13">
        <f>Place_data_here!B838</f>
        <v>0</v>
      </c>
    </row>
    <row r="839" spans="1:4" x14ac:dyDescent="0.25">
      <c r="A839" s="16">
        <f>Place_data_here!A839</f>
        <v>0</v>
      </c>
      <c r="B839" s="4" t="e">
        <f t="shared" si="13"/>
        <v>#VALUE!</v>
      </c>
      <c r="C839" s="1" t="e">
        <f>SplineInterp(A839,Own_Spectrum_100cm!$U$2:$U$34,Own_Spectrum_100cm!$V$2:$V$34)*D839</f>
        <v>#VALUE!</v>
      </c>
      <c r="D839" s="13">
        <f>Place_data_here!B839</f>
        <v>0</v>
      </c>
    </row>
    <row r="840" spans="1:4" x14ac:dyDescent="0.25">
      <c r="A840" s="16">
        <f>Place_data_here!A840</f>
        <v>0</v>
      </c>
      <c r="B840" s="4" t="e">
        <f t="shared" si="13"/>
        <v>#VALUE!</v>
      </c>
      <c r="C840" s="1" t="e">
        <f>SplineInterp(A840,Own_Spectrum_100cm!$U$2:$U$34,Own_Spectrum_100cm!$V$2:$V$34)*D840</f>
        <v>#VALUE!</v>
      </c>
      <c r="D840" s="13">
        <f>Place_data_here!B840</f>
        <v>0</v>
      </c>
    </row>
    <row r="841" spans="1:4" x14ac:dyDescent="0.25">
      <c r="A841" s="16">
        <f>Place_data_here!A841</f>
        <v>0</v>
      </c>
      <c r="B841" s="4" t="e">
        <f t="shared" si="13"/>
        <v>#VALUE!</v>
      </c>
      <c r="C841" s="1" t="e">
        <f>SplineInterp(A841,Own_Spectrum_100cm!$U$2:$U$34,Own_Spectrum_100cm!$V$2:$V$34)*D841</f>
        <v>#VALUE!</v>
      </c>
      <c r="D841" s="13">
        <f>Place_data_here!B841</f>
        <v>0</v>
      </c>
    </row>
    <row r="842" spans="1:4" x14ac:dyDescent="0.25">
      <c r="A842" s="16">
        <f>Place_data_here!A842</f>
        <v>0</v>
      </c>
      <c r="B842" s="4" t="e">
        <f t="shared" si="13"/>
        <v>#VALUE!</v>
      </c>
      <c r="C842" s="1" t="e">
        <f>SplineInterp(A842,Own_Spectrum_100cm!$U$2:$U$34,Own_Spectrum_100cm!$V$2:$V$34)*D842</f>
        <v>#VALUE!</v>
      </c>
      <c r="D842" s="13">
        <f>Place_data_here!B842</f>
        <v>0</v>
      </c>
    </row>
    <row r="843" spans="1:4" x14ac:dyDescent="0.25">
      <c r="A843" s="16">
        <f>Place_data_here!A843</f>
        <v>0</v>
      </c>
      <c r="B843" s="4" t="e">
        <f t="shared" si="13"/>
        <v>#VALUE!</v>
      </c>
      <c r="C843" s="1" t="e">
        <f>SplineInterp(A843,Own_Spectrum_100cm!$U$2:$U$34,Own_Spectrum_100cm!$V$2:$V$34)*D843</f>
        <v>#VALUE!</v>
      </c>
      <c r="D843" s="13">
        <f>Place_data_here!B843</f>
        <v>0</v>
      </c>
    </row>
    <row r="844" spans="1:4" x14ac:dyDescent="0.25">
      <c r="A844" s="16">
        <f>Place_data_here!A844</f>
        <v>0</v>
      </c>
      <c r="B844" s="4" t="e">
        <f t="shared" si="13"/>
        <v>#VALUE!</v>
      </c>
      <c r="C844" s="1" t="e">
        <f>SplineInterp(A844,Own_Spectrum_100cm!$U$2:$U$34,Own_Spectrum_100cm!$V$2:$V$34)*D844</f>
        <v>#VALUE!</v>
      </c>
      <c r="D844" s="13">
        <f>Place_data_here!B844</f>
        <v>0</v>
      </c>
    </row>
    <row r="845" spans="1:4" x14ac:dyDescent="0.25">
      <c r="A845" s="16">
        <f>Place_data_here!A845</f>
        <v>0</v>
      </c>
      <c r="B845" s="4" t="e">
        <f t="shared" si="13"/>
        <v>#VALUE!</v>
      </c>
      <c r="C845" s="1" t="e">
        <f>SplineInterp(A845,Own_Spectrum_100cm!$U$2:$U$34,Own_Spectrum_100cm!$V$2:$V$34)*D845</f>
        <v>#VALUE!</v>
      </c>
      <c r="D845" s="13">
        <f>Place_data_here!B845</f>
        <v>0</v>
      </c>
    </row>
    <row r="846" spans="1:4" x14ac:dyDescent="0.25">
      <c r="A846" s="16">
        <f>Place_data_here!A846</f>
        <v>0</v>
      </c>
      <c r="B846" s="4" t="e">
        <f t="shared" si="13"/>
        <v>#VALUE!</v>
      </c>
      <c r="C846" s="1" t="e">
        <f>SplineInterp(A846,Own_Spectrum_100cm!$U$2:$U$34,Own_Spectrum_100cm!$V$2:$V$34)*D846</f>
        <v>#VALUE!</v>
      </c>
      <c r="D846" s="13">
        <f>Place_data_here!B846</f>
        <v>0</v>
      </c>
    </row>
    <row r="847" spans="1:4" x14ac:dyDescent="0.25">
      <c r="A847" s="16">
        <f>Place_data_here!A847</f>
        <v>0</v>
      </c>
      <c r="B847" s="4" t="e">
        <f t="shared" si="13"/>
        <v>#VALUE!</v>
      </c>
      <c r="C847" s="1" t="e">
        <f>SplineInterp(A847,Own_Spectrum_100cm!$U$2:$U$34,Own_Spectrum_100cm!$V$2:$V$34)*D847</f>
        <v>#VALUE!</v>
      </c>
      <c r="D847" s="13">
        <f>Place_data_here!B847</f>
        <v>0</v>
      </c>
    </row>
    <row r="848" spans="1:4" x14ac:dyDescent="0.25">
      <c r="A848" s="16">
        <f>Place_data_here!A848</f>
        <v>0</v>
      </c>
      <c r="B848" s="4" t="e">
        <f t="shared" si="13"/>
        <v>#VALUE!</v>
      </c>
      <c r="C848" s="1" t="e">
        <f>SplineInterp(A848,Own_Spectrum_100cm!$U$2:$U$34,Own_Spectrum_100cm!$V$2:$V$34)*D848</f>
        <v>#VALUE!</v>
      </c>
      <c r="D848" s="13">
        <f>Place_data_here!B848</f>
        <v>0</v>
      </c>
    </row>
    <row r="849" spans="1:4" x14ac:dyDescent="0.25">
      <c r="A849" s="16">
        <f>Place_data_here!A849</f>
        <v>0</v>
      </c>
      <c r="B849" s="4" t="e">
        <f t="shared" si="13"/>
        <v>#VALUE!</v>
      </c>
      <c r="C849" s="1" t="e">
        <f>SplineInterp(A849,Own_Spectrum_100cm!$U$2:$U$34,Own_Spectrum_100cm!$V$2:$V$34)*D849</f>
        <v>#VALUE!</v>
      </c>
      <c r="D849" s="13">
        <f>Place_data_here!B849</f>
        <v>0</v>
      </c>
    </row>
    <row r="850" spans="1:4" x14ac:dyDescent="0.25">
      <c r="A850" s="16">
        <f>Place_data_here!A850</f>
        <v>0</v>
      </c>
      <c r="B850" s="4" t="e">
        <f t="shared" si="13"/>
        <v>#VALUE!</v>
      </c>
      <c r="C850" s="1" t="e">
        <f>SplineInterp(A850,Own_Spectrum_100cm!$U$2:$U$34,Own_Spectrum_100cm!$V$2:$V$34)*D850</f>
        <v>#VALUE!</v>
      </c>
      <c r="D850" s="13">
        <f>Place_data_here!B850</f>
        <v>0</v>
      </c>
    </row>
    <row r="851" spans="1:4" x14ac:dyDescent="0.25">
      <c r="A851" s="16">
        <f>Place_data_here!A851</f>
        <v>0</v>
      </c>
      <c r="B851" s="4" t="e">
        <f t="shared" si="13"/>
        <v>#VALUE!</v>
      </c>
      <c r="C851" s="1" t="e">
        <f>SplineInterp(A851,Own_Spectrum_100cm!$U$2:$U$34,Own_Spectrum_100cm!$V$2:$V$34)*D851</f>
        <v>#VALUE!</v>
      </c>
      <c r="D851" s="13">
        <f>Place_data_here!B851</f>
        <v>0</v>
      </c>
    </row>
    <row r="852" spans="1:4" x14ac:dyDescent="0.25">
      <c r="A852" s="16">
        <f>Place_data_here!A852</f>
        <v>0</v>
      </c>
      <c r="B852" s="4" t="e">
        <f t="shared" si="13"/>
        <v>#VALUE!</v>
      </c>
      <c r="C852" s="1" t="e">
        <f>SplineInterp(A852,Own_Spectrum_100cm!$U$2:$U$34,Own_Spectrum_100cm!$V$2:$V$34)*D852</f>
        <v>#VALUE!</v>
      </c>
      <c r="D852" s="13">
        <f>Place_data_here!B852</f>
        <v>0</v>
      </c>
    </row>
    <row r="853" spans="1:4" x14ac:dyDescent="0.25">
      <c r="A853" s="16">
        <f>Place_data_here!A853</f>
        <v>0</v>
      </c>
      <c r="B853" s="4" t="e">
        <f t="shared" si="13"/>
        <v>#VALUE!</v>
      </c>
      <c r="C853" s="1" t="e">
        <f>SplineInterp(A853,Own_Spectrum_100cm!$U$2:$U$34,Own_Spectrum_100cm!$V$2:$V$34)*D853</f>
        <v>#VALUE!</v>
      </c>
      <c r="D853" s="13">
        <f>Place_data_here!B853</f>
        <v>0</v>
      </c>
    </row>
    <row r="854" spans="1:4" x14ac:dyDescent="0.25">
      <c r="A854" s="16">
        <f>Place_data_here!A854</f>
        <v>0</v>
      </c>
      <c r="B854" s="4" t="e">
        <f t="shared" si="13"/>
        <v>#VALUE!</v>
      </c>
      <c r="C854" s="1" t="e">
        <f>SplineInterp(A854,Own_Spectrum_100cm!$U$2:$U$34,Own_Spectrum_100cm!$V$2:$V$34)*D854</f>
        <v>#VALUE!</v>
      </c>
      <c r="D854" s="13">
        <f>Place_data_here!B854</f>
        <v>0</v>
      </c>
    </row>
    <row r="855" spans="1:4" x14ac:dyDescent="0.25">
      <c r="A855" s="16">
        <f>Place_data_here!A855</f>
        <v>0</v>
      </c>
      <c r="B855" s="4" t="e">
        <f t="shared" si="13"/>
        <v>#VALUE!</v>
      </c>
      <c r="C855" s="1" t="e">
        <f>SplineInterp(A855,Own_Spectrum_100cm!$U$2:$U$34,Own_Spectrum_100cm!$V$2:$V$34)*D855</f>
        <v>#VALUE!</v>
      </c>
      <c r="D855" s="13">
        <f>Place_data_here!B855</f>
        <v>0</v>
      </c>
    </row>
    <row r="856" spans="1:4" x14ac:dyDescent="0.25">
      <c r="A856" s="16">
        <f>Place_data_here!A856</f>
        <v>0</v>
      </c>
      <c r="B856" s="4" t="e">
        <f t="shared" si="13"/>
        <v>#VALUE!</v>
      </c>
      <c r="C856" s="1" t="e">
        <f>SplineInterp(A856,Own_Spectrum_100cm!$U$2:$U$34,Own_Spectrum_100cm!$V$2:$V$34)*D856</f>
        <v>#VALUE!</v>
      </c>
      <c r="D856" s="13">
        <f>Place_data_here!B856</f>
        <v>0</v>
      </c>
    </row>
    <row r="857" spans="1:4" x14ac:dyDescent="0.25">
      <c r="A857" s="16">
        <f>Place_data_here!A857</f>
        <v>0</v>
      </c>
      <c r="B857" s="4" t="e">
        <f t="shared" si="13"/>
        <v>#VALUE!</v>
      </c>
      <c r="C857" s="1" t="e">
        <f>SplineInterp(A857,Own_Spectrum_100cm!$U$2:$U$34,Own_Spectrum_100cm!$V$2:$V$34)*D857</f>
        <v>#VALUE!</v>
      </c>
      <c r="D857" s="13">
        <f>Place_data_here!B857</f>
        <v>0</v>
      </c>
    </row>
    <row r="858" spans="1:4" x14ac:dyDescent="0.25">
      <c r="A858" s="16">
        <f>Place_data_here!A858</f>
        <v>0</v>
      </c>
      <c r="B858" s="4" t="e">
        <f t="shared" si="13"/>
        <v>#VALUE!</v>
      </c>
      <c r="C858" s="1" t="e">
        <f>SplineInterp(A858,Own_Spectrum_100cm!$U$2:$U$34,Own_Spectrum_100cm!$V$2:$V$34)*D858</f>
        <v>#VALUE!</v>
      </c>
      <c r="D858" s="13">
        <f>Place_data_here!B858</f>
        <v>0</v>
      </c>
    </row>
    <row r="859" spans="1:4" x14ac:dyDescent="0.25">
      <c r="A859" s="16">
        <f>Place_data_here!A859</f>
        <v>0</v>
      </c>
      <c r="B859" s="4" t="e">
        <f t="shared" si="13"/>
        <v>#VALUE!</v>
      </c>
      <c r="C859" s="1" t="e">
        <f>SplineInterp(A859,Own_Spectrum_100cm!$U$2:$U$34,Own_Spectrum_100cm!$V$2:$V$34)*D859</f>
        <v>#VALUE!</v>
      </c>
      <c r="D859" s="13">
        <f>Place_data_here!B859</f>
        <v>0</v>
      </c>
    </row>
    <row r="860" spans="1:4" x14ac:dyDescent="0.25">
      <c r="A860" s="16">
        <f>Place_data_here!A860</f>
        <v>0</v>
      </c>
      <c r="B860" s="4" t="e">
        <f t="shared" si="13"/>
        <v>#VALUE!</v>
      </c>
      <c r="C860" s="1" t="e">
        <f>SplineInterp(A860,Own_Spectrum_100cm!$U$2:$U$34,Own_Spectrum_100cm!$V$2:$V$34)*D860</f>
        <v>#VALUE!</v>
      </c>
      <c r="D860" s="13">
        <f>Place_data_here!B860</f>
        <v>0</v>
      </c>
    </row>
    <row r="861" spans="1:4" x14ac:dyDescent="0.25">
      <c r="A861" s="16">
        <f>Place_data_here!A861</f>
        <v>0</v>
      </c>
      <c r="B861" s="4" t="e">
        <f t="shared" si="13"/>
        <v>#VALUE!</v>
      </c>
      <c r="C861" s="1" t="e">
        <f>SplineInterp(A861,Own_Spectrum_100cm!$U$2:$U$34,Own_Spectrum_100cm!$V$2:$V$34)*D861</f>
        <v>#VALUE!</v>
      </c>
      <c r="D861" s="13">
        <f>Place_data_here!B861</f>
        <v>0</v>
      </c>
    </row>
    <row r="862" spans="1:4" x14ac:dyDescent="0.25">
      <c r="A862" s="16">
        <f>Place_data_here!A862</f>
        <v>0</v>
      </c>
      <c r="B862" s="4" t="e">
        <f t="shared" si="13"/>
        <v>#VALUE!</v>
      </c>
      <c r="C862" s="1" t="e">
        <f>SplineInterp(A862,Own_Spectrum_100cm!$U$2:$U$34,Own_Spectrum_100cm!$V$2:$V$34)*D862</f>
        <v>#VALUE!</v>
      </c>
      <c r="D862" s="13">
        <f>Place_data_here!B862</f>
        <v>0</v>
      </c>
    </row>
    <row r="863" spans="1:4" x14ac:dyDescent="0.25">
      <c r="A863" s="16">
        <f>Place_data_here!A863</f>
        <v>0</v>
      </c>
      <c r="B863" s="4" t="e">
        <f t="shared" si="13"/>
        <v>#VALUE!</v>
      </c>
      <c r="C863" s="1" t="e">
        <f>SplineInterp(A863,Own_Spectrum_100cm!$U$2:$U$34,Own_Spectrum_100cm!$V$2:$V$34)*D863</f>
        <v>#VALUE!</v>
      </c>
      <c r="D863" s="13">
        <f>Place_data_here!B863</f>
        <v>0</v>
      </c>
    </row>
    <row r="864" spans="1:4" x14ac:dyDescent="0.25">
      <c r="A864" s="16">
        <f>Place_data_here!A864</f>
        <v>0</v>
      </c>
      <c r="B864" s="4" t="e">
        <f t="shared" si="13"/>
        <v>#VALUE!</v>
      </c>
      <c r="C864" s="1" t="e">
        <f>SplineInterp(A864,Own_Spectrum_100cm!$U$2:$U$34,Own_Spectrum_100cm!$V$2:$V$34)*D864</f>
        <v>#VALUE!</v>
      </c>
      <c r="D864" s="13">
        <f>Place_data_here!B864</f>
        <v>0</v>
      </c>
    </row>
    <row r="865" spans="1:4" x14ac:dyDescent="0.25">
      <c r="A865" s="16">
        <f>Place_data_here!A865</f>
        <v>0</v>
      </c>
      <c r="B865" s="4" t="e">
        <f t="shared" si="13"/>
        <v>#VALUE!</v>
      </c>
      <c r="C865" s="1" t="e">
        <f>SplineInterp(A865,Own_Spectrum_100cm!$U$2:$U$34,Own_Spectrum_100cm!$V$2:$V$34)*D865</f>
        <v>#VALUE!</v>
      </c>
      <c r="D865" s="13">
        <f>Place_data_here!B865</f>
        <v>0</v>
      </c>
    </row>
    <row r="866" spans="1:4" x14ac:dyDescent="0.25">
      <c r="A866" s="16">
        <f>Place_data_here!A866</f>
        <v>0</v>
      </c>
      <c r="B866" s="4" t="e">
        <f t="shared" si="13"/>
        <v>#VALUE!</v>
      </c>
      <c r="C866" s="1" t="e">
        <f>SplineInterp(A866,Own_Spectrum_100cm!$U$2:$U$34,Own_Spectrum_100cm!$V$2:$V$34)*D866</f>
        <v>#VALUE!</v>
      </c>
      <c r="D866" s="13">
        <f>Place_data_here!B866</f>
        <v>0</v>
      </c>
    </row>
    <row r="867" spans="1:4" x14ac:dyDescent="0.25">
      <c r="A867" s="16">
        <f>Place_data_here!A867</f>
        <v>0</v>
      </c>
      <c r="B867" s="4" t="e">
        <f t="shared" si="13"/>
        <v>#VALUE!</v>
      </c>
      <c r="C867" s="1" t="e">
        <f>SplineInterp(A867,Own_Spectrum_100cm!$U$2:$U$34,Own_Spectrum_100cm!$V$2:$V$34)*D867</f>
        <v>#VALUE!</v>
      </c>
      <c r="D867" s="13">
        <f>Place_data_here!B867</f>
        <v>0</v>
      </c>
    </row>
    <row r="868" spans="1:4" x14ac:dyDescent="0.25">
      <c r="A868" s="16">
        <f>Place_data_here!A868</f>
        <v>0</v>
      </c>
      <c r="B868" s="4" t="e">
        <f t="shared" si="13"/>
        <v>#VALUE!</v>
      </c>
      <c r="C868" s="1" t="e">
        <f>SplineInterp(A868,Own_Spectrum_100cm!$U$2:$U$34,Own_Spectrum_100cm!$V$2:$V$34)*D868</f>
        <v>#VALUE!</v>
      </c>
      <c r="D868" s="13">
        <f>Place_data_here!B868</f>
        <v>0</v>
      </c>
    </row>
    <row r="869" spans="1:4" x14ac:dyDescent="0.25">
      <c r="A869" s="16">
        <f>Place_data_here!A869</f>
        <v>0</v>
      </c>
      <c r="B869" s="4" t="e">
        <f t="shared" si="13"/>
        <v>#VALUE!</v>
      </c>
      <c r="C869" s="1" t="e">
        <f>SplineInterp(A869,Own_Spectrum_100cm!$U$2:$U$34,Own_Spectrum_100cm!$V$2:$V$34)*D869</f>
        <v>#VALUE!</v>
      </c>
      <c r="D869" s="13">
        <f>Place_data_here!B869</f>
        <v>0</v>
      </c>
    </row>
    <row r="870" spans="1:4" x14ac:dyDescent="0.25">
      <c r="A870" s="16">
        <f>Place_data_here!A870</f>
        <v>0</v>
      </c>
      <c r="B870" s="4" t="e">
        <f t="shared" si="13"/>
        <v>#VALUE!</v>
      </c>
      <c r="C870" s="1" t="e">
        <f>SplineInterp(A870,Own_Spectrum_100cm!$U$2:$U$34,Own_Spectrum_100cm!$V$2:$V$34)*D870</f>
        <v>#VALUE!</v>
      </c>
      <c r="D870" s="13">
        <f>Place_data_here!B870</f>
        <v>0</v>
      </c>
    </row>
    <row r="871" spans="1:4" x14ac:dyDescent="0.25">
      <c r="A871" s="16">
        <f>Place_data_here!A871</f>
        <v>0</v>
      </c>
      <c r="B871" s="4" t="e">
        <f t="shared" si="13"/>
        <v>#VALUE!</v>
      </c>
      <c r="C871" s="1" t="e">
        <f>SplineInterp(A871,Own_Spectrum_100cm!$U$2:$U$34,Own_Spectrum_100cm!$V$2:$V$34)*D871</f>
        <v>#VALUE!</v>
      </c>
      <c r="D871" s="13">
        <f>Place_data_here!B871</f>
        <v>0</v>
      </c>
    </row>
    <row r="872" spans="1:4" x14ac:dyDescent="0.25">
      <c r="A872" s="16">
        <f>Place_data_here!A872</f>
        <v>0</v>
      </c>
      <c r="B872" s="4" t="e">
        <f t="shared" si="13"/>
        <v>#VALUE!</v>
      </c>
      <c r="C872" s="1" t="e">
        <f>SplineInterp(A872,Own_Spectrum_100cm!$U$2:$U$34,Own_Spectrum_100cm!$V$2:$V$34)*D872</f>
        <v>#VALUE!</v>
      </c>
      <c r="D872" s="13">
        <f>Place_data_here!B872</f>
        <v>0</v>
      </c>
    </row>
    <row r="873" spans="1:4" x14ac:dyDescent="0.25">
      <c r="A873" s="16">
        <f>Place_data_here!A873</f>
        <v>0</v>
      </c>
      <c r="B873" s="4" t="e">
        <f t="shared" si="13"/>
        <v>#VALUE!</v>
      </c>
      <c r="C873" s="1" t="e">
        <f>SplineInterp(A873,Own_Spectrum_100cm!$U$2:$U$34,Own_Spectrum_100cm!$V$2:$V$34)*D873</f>
        <v>#VALUE!</v>
      </c>
      <c r="D873" s="13">
        <f>Place_data_here!B873</f>
        <v>0</v>
      </c>
    </row>
    <row r="874" spans="1:4" x14ac:dyDescent="0.25">
      <c r="A874" s="16">
        <f>Place_data_here!A874</f>
        <v>0</v>
      </c>
      <c r="B874" s="4" t="e">
        <f t="shared" si="13"/>
        <v>#VALUE!</v>
      </c>
      <c r="C874" s="1" t="e">
        <f>SplineInterp(A874,Own_Spectrum_100cm!$U$2:$U$34,Own_Spectrum_100cm!$V$2:$V$34)*D874</f>
        <v>#VALUE!</v>
      </c>
      <c r="D874" s="13">
        <f>Place_data_here!B874</f>
        <v>0</v>
      </c>
    </row>
    <row r="875" spans="1:4" x14ac:dyDescent="0.25">
      <c r="A875" s="16">
        <f>Place_data_here!A875</f>
        <v>0</v>
      </c>
      <c r="B875" s="4" t="e">
        <f t="shared" si="13"/>
        <v>#VALUE!</v>
      </c>
      <c r="C875" s="1" t="e">
        <f>SplineInterp(A875,Own_Spectrum_100cm!$U$2:$U$34,Own_Spectrum_100cm!$V$2:$V$34)*D875</f>
        <v>#VALUE!</v>
      </c>
      <c r="D875" s="13">
        <f>Place_data_here!B875</f>
        <v>0</v>
      </c>
    </row>
    <row r="876" spans="1:4" x14ac:dyDescent="0.25">
      <c r="A876" s="16">
        <f>Place_data_here!A876</f>
        <v>0</v>
      </c>
      <c r="B876" s="4" t="e">
        <f t="shared" si="13"/>
        <v>#VALUE!</v>
      </c>
      <c r="C876" s="1" t="e">
        <f>SplineInterp(A876,Own_Spectrum_100cm!$U$2:$U$34,Own_Spectrum_100cm!$V$2:$V$34)*D876</f>
        <v>#VALUE!</v>
      </c>
      <c r="D876" s="13">
        <f>Place_data_here!B876</f>
        <v>0</v>
      </c>
    </row>
    <row r="877" spans="1:4" x14ac:dyDescent="0.25">
      <c r="A877" s="16">
        <f>Place_data_here!A877</f>
        <v>0</v>
      </c>
      <c r="B877" s="4" t="e">
        <f t="shared" si="13"/>
        <v>#VALUE!</v>
      </c>
      <c r="C877" s="1" t="e">
        <f>SplineInterp(A877,Own_Spectrum_100cm!$U$2:$U$34,Own_Spectrum_100cm!$V$2:$V$34)*D877</f>
        <v>#VALUE!</v>
      </c>
      <c r="D877" s="13">
        <f>Place_data_here!B877</f>
        <v>0</v>
      </c>
    </row>
    <row r="878" spans="1:4" x14ac:dyDescent="0.25">
      <c r="A878" s="16">
        <f>Place_data_here!A878</f>
        <v>0</v>
      </c>
      <c r="B878" s="4" t="e">
        <f t="shared" si="13"/>
        <v>#VALUE!</v>
      </c>
      <c r="C878" s="1" t="e">
        <f>SplineInterp(A878,Own_Spectrum_100cm!$U$2:$U$34,Own_Spectrum_100cm!$V$2:$V$34)*D878</f>
        <v>#VALUE!</v>
      </c>
      <c r="D878" s="13">
        <f>Place_data_here!B878</f>
        <v>0</v>
      </c>
    </row>
    <row r="879" spans="1:4" x14ac:dyDescent="0.25">
      <c r="A879" s="16">
        <f>Place_data_here!A879</f>
        <v>0</v>
      </c>
      <c r="B879" s="4" t="e">
        <f t="shared" si="13"/>
        <v>#VALUE!</v>
      </c>
      <c r="C879" s="1" t="e">
        <f>SplineInterp(A879,Own_Spectrum_100cm!$U$2:$U$34,Own_Spectrum_100cm!$V$2:$V$34)*D879</f>
        <v>#VALUE!</v>
      </c>
      <c r="D879" s="13">
        <f>Place_data_here!B879</f>
        <v>0</v>
      </c>
    </row>
    <row r="880" spans="1:4" x14ac:dyDescent="0.25">
      <c r="A880" s="16">
        <f>Place_data_here!A880</f>
        <v>0</v>
      </c>
      <c r="B880" s="4" t="e">
        <f t="shared" si="13"/>
        <v>#VALUE!</v>
      </c>
      <c r="C880" s="1" t="e">
        <f>SplineInterp(A880,Own_Spectrum_100cm!$U$2:$U$34,Own_Spectrum_100cm!$V$2:$V$34)*D880</f>
        <v>#VALUE!</v>
      </c>
      <c r="D880" s="13">
        <f>Place_data_here!B880</f>
        <v>0</v>
      </c>
    </row>
    <row r="881" spans="1:4" x14ac:dyDescent="0.25">
      <c r="A881" s="16">
        <f>Place_data_here!A881</f>
        <v>0</v>
      </c>
      <c r="B881" s="4" t="e">
        <f t="shared" si="13"/>
        <v>#VALUE!</v>
      </c>
      <c r="C881" s="1" t="e">
        <f>SplineInterp(A881,Own_Spectrum_100cm!$U$2:$U$34,Own_Spectrum_100cm!$V$2:$V$34)*D881</f>
        <v>#VALUE!</v>
      </c>
      <c r="D881" s="13">
        <f>Place_data_here!B881</f>
        <v>0</v>
      </c>
    </row>
    <row r="882" spans="1:4" x14ac:dyDescent="0.25">
      <c r="A882" s="16">
        <f>Place_data_here!A882</f>
        <v>0</v>
      </c>
      <c r="B882" s="4" t="e">
        <f t="shared" si="13"/>
        <v>#VALUE!</v>
      </c>
      <c r="C882" s="1" t="e">
        <f>SplineInterp(A882,Own_Spectrum_100cm!$U$2:$U$34,Own_Spectrum_100cm!$V$2:$V$34)*D882</f>
        <v>#VALUE!</v>
      </c>
      <c r="D882" s="13">
        <f>Place_data_here!B882</f>
        <v>0</v>
      </c>
    </row>
    <row r="883" spans="1:4" x14ac:dyDescent="0.25">
      <c r="A883" s="16">
        <f>Place_data_here!A883</f>
        <v>0</v>
      </c>
      <c r="B883" s="4" t="e">
        <f t="shared" si="13"/>
        <v>#VALUE!</v>
      </c>
      <c r="C883" s="1" t="e">
        <f>SplineInterp(A883,Own_Spectrum_100cm!$U$2:$U$34,Own_Spectrum_100cm!$V$2:$V$34)*D883</f>
        <v>#VALUE!</v>
      </c>
      <c r="D883" s="13">
        <f>Place_data_here!B883</f>
        <v>0</v>
      </c>
    </row>
    <row r="884" spans="1:4" x14ac:dyDescent="0.25">
      <c r="A884" s="16">
        <f>Place_data_here!A884</f>
        <v>0</v>
      </c>
      <c r="B884" s="4" t="e">
        <f t="shared" si="13"/>
        <v>#VALUE!</v>
      </c>
      <c r="C884" s="1" t="e">
        <f>SplineInterp(A884,Own_Spectrum_100cm!$U$2:$U$34,Own_Spectrum_100cm!$V$2:$V$34)*D884</f>
        <v>#VALUE!</v>
      </c>
      <c r="D884" s="13">
        <f>Place_data_here!B884</f>
        <v>0</v>
      </c>
    </row>
    <row r="885" spans="1:4" x14ac:dyDescent="0.25">
      <c r="A885" s="16">
        <f>Place_data_here!A885</f>
        <v>0</v>
      </c>
      <c r="B885" s="4" t="e">
        <f t="shared" si="13"/>
        <v>#VALUE!</v>
      </c>
      <c r="C885" s="1" t="e">
        <f>SplineInterp(A885,Own_Spectrum_100cm!$U$2:$U$34,Own_Spectrum_100cm!$V$2:$V$34)*D885</f>
        <v>#VALUE!</v>
      </c>
      <c r="D885" s="13">
        <f>Place_data_here!B885</f>
        <v>0</v>
      </c>
    </row>
    <row r="886" spans="1:4" x14ac:dyDescent="0.25">
      <c r="A886" s="16">
        <f>Place_data_here!A886</f>
        <v>0</v>
      </c>
      <c r="B886" s="4" t="e">
        <f t="shared" si="13"/>
        <v>#VALUE!</v>
      </c>
      <c r="C886" s="1" t="e">
        <f>SplineInterp(A886,Own_Spectrum_100cm!$U$2:$U$34,Own_Spectrum_100cm!$V$2:$V$34)*D886</f>
        <v>#VALUE!</v>
      </c>
      <c r="D886" s="13">
        <f>Place_data_here!B886</f>
        <v>0</v>
      </c>
    </row>
    <row r="887" spans="1:4" x14ac:dyDescent="0.25">
      <c r="A887" s="16">
        <f>Place_data_here!A887</f>
        <v>0</v>
      </c>
      <c r="B887" s="4" t="e">
        <f t="shared" si="13"/>
        <v>#VALUE!</v>
      </c>
      <c r="C887" s="1" t="e">
        <f>SplineInterp(A887,Own_Spectrum_100cm!$U$2:$U$34,Own_Spectrum_100cm!$V$2:$V$34)*D887</f>
        <v>#VALUE!</v>
      </c>
      <c r="D887" s="13">
        <f>Place_data_here!B887</f>
        <v>0</v>
      </c>
    </row>
    <row r="888" spans="1:4" x14ac:dyDescent="0.25">
      <c r="A888" s="16">
        <f>Place_data_here!A888</f>
        <v>0</v>
      </c>
      <c r="B888" s="4" t="e">
        <f t="shared" si="13"/>
        <v>#VALUE!</v>
      </c>
      <c r="C888" s="1" t="e">
        <f>SplineInterp(A888,Own_Spectrum_100cm!$U$2:$U$34,Own_Spectrum_100cm!$V$2:$V$34)*D888</f>
        <v>#VALUE!</v>
      </c>
      <c r="D888" s="13">
        <f>Place_data_here!B888</f>
        <v>0</v>
      </c>
    </row>
    <row r="889" spans="1:4" x14ac:dyDescent="0.25">
      <c r="A889" s="16">
        <f>Place_data_here!A889</f>
        <v>0</v>
      </c>
      <c r="B889" s="4" t="e">
        <f t="shared" si="13"/>
        <v>#VALUE!</v>
      </c>
      <c r="C889" s="1" t="e">
        <f>SplineInterp(A889,Own_Spectrum_100cm!$U$2:$U$34,Own_Spectrum_100cm!$V$2:$V$34)*D889</f>
        <v>#VALUE!</v>
      </c>
      <c r="D889" s="13">
        <f>Place_data_here!B889</f>
        <v>0</v>
      </c>
    </row>
    <row r="890" spans="1:4" x14ac:dyDescent="0.25">
      <c r="A890" s="16">
        <f>Place_data_here!A890</f>
        <v>0</v>
      </c>
      <c r="B890" s="4" t="e">
        <f t="shared" si="13"/>
        <v>#VALUE!</v>
      </c>
      <c r="C890" s="1" t="e">
        <f>SplineInterp(A890,Own_Spectrum_100cm!$U$2:$U$34,Own_Spectrum_100cm!$V$2:$V$34)*D890</f>
        <v>#VALUE!</v>
      </c>
      <c r="D890" s="13">
        <f>Place_data_here!B890</f>
        <v>0</v>
      </c>
    </row>
    <row r="891" spans="1:4" x14ac:dyDescent="0.25">
      <c r="A891" s="16">
        <f>Place_data_here!A891</f>
        <v>0</v>
      </c>
      <c r="B891" s="4" t="e">
        <f t="shared" si="13"/>
        <v>#VALUE!</v>
      </c>
      <c r="C891" s="1" t="e">
        <f>SplineInterp(A891,Own_Spectrum_100cm!$U$2:$U$34,Own_Spectrum_100cm!$V$2:$V$34)*D891</f>
        <v>#VALUE!</v>
      </c>
      <c r="D891" s="13">
        <f>Place_data_here!B891</f>
        <v>0</v>
      </c>
    </row>
    <row r="892" spans="1:4" x14ac:dyDescent="0.25">
      <c r="A892" s="16">
        <f>Place_data_here!A892</f>
        <v>0</v>
      </c>
      <c r="B892" s="4" t="e">
        <f t="shared" si="13"/>
        <v>#VALUE!</v>
      </c>
      <c r="C892" s="1" t="e">
        <f>SplineInterp(A892,Own_Spectrum_100cm!$U$2:$U$34,Own_Spectrum_100cm!$V$2:$V$34)*D892</f>
        <v>#VALUE!</v>
      </c>
      <c r="D892" s="13">
        <f>Place_data_here!B892</f>
        <v>0</v>
      </c>
    </row>
    <row r="893" spans="1:4" x14ac:dyDescent="0.25">
      <c r="A893" s="16">
        <f>Place_data_here!A893</f>
        <v>0</v>
      </c>
      <c r="B893" s="4" t="e">
        <f t="shared" si="13"/>
        <v>#VALUE!</v>
      </c>
      <c r="C893" s="1" t="e">
        <f>SplineInterp(A893,Own_Spectrum_100cm!$U$2:$U$34,Own_Spectrum_100cm!$V$2:$V$34)*D893</f>
        <v>#VALUE!</v>
      </c>
      <c r="D893" s="13">
        <f>Place_data_here!B893</f>
        <v>0</v>
      </c>
    </row>
    <row r="894" spans="1:4" x14ac:dyDescent="0.25">
      <c r="A894" s="16">
        <f>Place_data_here!A894</f>
        <v>0</v>
      </c>
      <c r="B894" s="4" t="e">
        <f t="shared" si="13"/>
        <v>#VALUE!</v>
      </c>
      <c r="C894" s="1" t="e">
        <f>SplineInterp(A894,Own_Spectrum_100cm!$U$2:$U$34,Own_Spectrum_100cm!$V$2:$V$34)*D894</f>
        <v>#VALUE!</v>
      </c>
      <c r="D894" s="13">
        <f>Place_data_here!B894</f>
        <v>0</v>
      </c>
    </row>
    <row r="895" spans="1:4" x14ac:dyDescent="0.25">
      <c r="A895" s="16">
        <f>Place_data_here!A895</f>
        <v>0</v>
      </c>
      <c r="B895" s="4" t="e">
        <f t="shared" si="13"/>
        <v>#VALUE!</v>
      </c>
      <c r="C895" s="1" t="e">
        <f>SplineInterp(A895,Own_Spectrum_100cm!$U$2:$U$34,Own_Spectrum_100cm!$V$2:$V$34)*D895</f>
        <v>#VALUE!</v>
      </c>
      <c r="D895" s="13">
        <f>Place_data_here!B895</f>
        <v>0</v>
      </c>
    </row>
    <row r="896" spans="1:4" x14ac:dyDescent="0.25">
      <c r="A896" s="16">
        <f>Place_data_here!A896</f>
        <v>0</v>
      </c>
      <c r="B896" s="4" t="e">
        <f t="shared" si="13"/>
        <v>#VALUE!</v>
      </c>
      <c r="C896" s="1" t="e">
        <f>SplineInterp(A896,Own_Spectrum_100cm!$U$2:$U$34,Own_Spectrum_100cm!$V$2:$V$34)*D896</f>
        <v>#VALUE!</v>
      </c>
      <c r="D896" s="13">
        <f>Place_data_here!B896</f>
        <v>0</v>
      </c>
    </row>
    <row r="897" spans="1:4" x14ac:dyDescent="0.25">
      <c r="A897" s="16">
        <f>Place_data_here!A897</f>
        <v>0</v>
      </c>
      <c r="B897" s="4" t="e">
        <f t="shared" si="13"/>
        <v>#VALUE!</v>
      </c>
      <c r="C897" s="1" t="e">
        <f>SplineInterp(A897,Own_Spectrum_100cm!$U$2:$U$34,Own_Spectrum_100cm!$V$2:$V$34)*D897</f>
        <v>#VALUE!</v>
      </c>
      <c r="D897" s="13">
        <f>Place_data_here!B897</f>
        <v>0</v>
      </c>
    </row>
    <row r="898" spans="1:4" x14ac:dyDescent="0.25">
      <c r="A898" s="16">
        <f>Place_data_here!A898</f>
        <v>0</v>
      </c>
      <c r="B898" s="4" t="e">
        <f t="shared" si="13"/>
        <v>#VALUE!</v>
      </c>
      <c r="C898" s="1" t="e">
        <f>SplineInterp(A898,Own_Spectrum_100cm!$U$2:$U$34,Own_Spectrum_100cm!$V$2:$V$34)*D898</f>
        <v>#VALUE!</v>
      </c>
      <c r="D898" s="13">
        <f>Place_data_here!B898</f>
        <v>0</v>
      </c>
    </row>
    <row r="899" spans="1:4" x14ac:dyDescent="0.25">
      <c r="A899" s="16">
        <f>Place_data_here!A899</f>
        <v>0</v>
      </c>
      <c r="B899" s="4" t="e">
        <f t="shared" ref="B899:B962" si="14">C899/$C$1028</f>
        <v>#VALUE!</v>
      </c>
      <c r="C899" s="1" t="e">
        <f>SplineInterp(A899,Own_Spectrum_100cm!$U$2:$U$34,Own_Spectrum_100cm!$V$2:$V$34)*D899</f>
        <v>#VALUE!</v>
      </c>
      <c r="D899" s="13">
        <f>Place_data_here!B899</f>
        <v>0</v>
      </c>
    </row>
    <row r="900" spans="1:4" x14ac:dyDescent="0.25">
      <c r="A900" s="16">
        <f>Place_data_here!A900</f>
        <v>0</v>
      </c>
      <c r="B900" s="4" t="e">
        <f t="shared" si="14"/>
        <v>#VALUE!</v>
      </c>
      <c r="C900" s="1" t="e">
        <f>SplineInterp(A900,Own_Spectrum_100cm!$U$2:$U$34,Own_Spectrum_100cm!$V$2:$V$34)*D900</f>
        <v>#VALUE!</v>
      </c>
      <c r="D900" s="13">
        <f>Place_data_here!B900</f>
        <v>0</v>
      </c>
    </row>
    <row r="901" spans="1:4" x14ac:dyDescent="0.25">
      <c r="A901" s="16">
        <f>Place_data_here!A901</f>
        <v>0</v>
      </c>
      <c r="B901" s="4" t="e">
        <f t="shared" si="14"/>
        <v>#VALUE!</v>
      </c>
      <c r="C901" s="1" t="e">
        <f>SplineInterp(A901,Own_Spectrum_100cm!$U$2:$U$34,Own_Spectrum_100cm!$V$2:$V$34)*D901</f>
        <v>#VALUE!</v>
      </c>
      <c r="D901" s="13">
        <f>Place_data_here!B901</f>
        <v>0</v>
      </c>
    </row>
    <row r="902" spans="1:4" x14ac:dyDescent="0.25">
      <c r="A902" s="16">
        <f>Place_data_here!A902</f>
        <v>0</v>
      </c>
      <c r="B902" s="4" t="e">
        <f t="shared" si="14"/>
        <v>#VALUE!</v>
      </c>
      <c r="C902" s="1" t="e">
        <f>SplineInterp(A902,Own_Spectrum_100cm!$U$2:$U$34,Own_Spectrum_100cm!$V$2:$V$34)*D902</f>
        <v>#VALUE!</v>
      </c>
      <c r="D902" s="13">
        <f>Place_data_here!B902</f>
        <v>0</v>
      </c>
    </row>
    <row r="903" spans="1:4" x14ac:dyDescent="0.25">
      <c r="A903" s="16">
        <f>Place_data_here!A903</f>
        <v>0</v>
      </c>
      <c r="B903" s="4" t="e">
        <f t="shared" si="14"/>
        <v>#VALUE!</v>
      </c>
      <c r="C903" s="1" t="e">
        <f>SplineInterp(A903,Own_Spectrum_100cm!$U$2:$U$34,Own_Spectrum_100cm!$V$2:$V$34)*D903</f>
        <v>#VALUE!</v>
      </c>
      <c r="D903" s="13">
        <f>Place_data_here!B903</f>
        <v>0</v>
      </c>
    </row>
    <row r="904" spans="1:4" x14ac:dyDescent="0.25">
      <c r="A904" s="16">
        <f>Place_data_here!A904</f>
        <v>0</v>
      </c>
      <c r="B904" s="4" t="e">
        <f t="shared" si="14"/>
        <v>#VALUE!</v>
      </c>
      <c r="C904" s="1" t="e">
        <f>SplineInterp(A904,Own_Spectrum_100cm!$U$2:$U$34,Own_Spectrum_100cm!$V$2:$V$34)*D904</f>
        <v>#VALUE!</v>
      </c>
      <c r="D904" s="13">
        <f>Place_data_here!B904</f>
        <v>0</v>
      </c>
    </row>
    <row r="905" spans="1:4" x14ac:dyDescent="0.25">
      <c r="A905" s="16">
        <f>Place_data_here!A905</f>
        <v>0</v>
      </c>
      <c r="B905" s="4" t="e">
        <f t="shared" si="14"/>
        <v>#VALUE!</v>
      </c>
      <c r="C905" s="1" t="e">
        <f>SplineInterp(A905,Own_Spectrum_100cm!$U$2:$U$34,Own_Spectrum_100cm!$V$2:$V$34)*D905</f>
        <v>#VALUE!</v>
      </c>
      <c r="D905" s="13">
        <f>Place_data_here!B905</f>
        <v>0</v>
      </c>
    </row>
    <row r="906" spans="1:4" x14ac:dyDescent="0.25">
      <c r="A906" s="16">
        <f>Place_data_here!A906</f>
        <v>0</v>
      </c>
      <c r="B906" s="4" t="e">
        <f t="shared" si="14"/>
        <v>#VALUE!</v>
      </c>
      <c r="C906" s="1" t="e">
        <f>SplineInterp(A906,Own_Spectrum_100cm!$U$2:$U$34,Own_Spectrum_100cm!$V$2:$V$34)*D906</f>
        <v>#VALUE!</v>
      </c>
      <c r="D906" s="13">
        <f>Place_data_here!B906</f>
        <v>0</v>
      </c>
    </row>
    <row r="907" spans="1:4" x14ac:dyDescent="0.25">
      <c r="A907" s="16">
        <f>Place_data_here!A907</f>
        <v>0</v>
      </c>
      <c r="B907" s="4" t="e">
        <f t="shared" si="14"/>
        <v>#VALUE!</v>
      </c>
      <c r="C907" s="1" t="e">
        <f>SplineInterp(A907,Own_Spectrum_100cm!$U$2:$U$34,Own_Spectrum_100cm!$V$2:$V$34)*D907</f>
        <v>#VALUE!</v>
      </c>
      <c r="D907" s="13">
        <f>Place_data_here!B907</f>
        <v>0</v>
      </c>
    </row>
    <row r="908" spans="1:4" x14ac:dyDescent="0.25">
      <c r="A908" s="16">
        <f>Place_data_here!A908</f>
        <v>0</v>
      </c>
      <c r="B908" s="4" t="e">
        <f t="shared" si="14"/>
        <v>#VALUE!</v>
      </c>
      <c r="C908" s="1" t="e">
        <f>SplineInterp(A908,Own_Spectrum_100cm!$U$2:$U$34,Own_Spectrum_100cm!$V$2:$V$34)*D908</f>
        <v>#VALUE!</v>
      </c>
      <c r="D908" s="13">
        <f>Place_data_here!B908</f>
        <v>0</v>
      </c>
    </row>
    <row r="909" spans="1:4" x14ac:dyDescent="0.25">
      <c r="A909" s="16">
        <f>Place_data_here!A909</f>
        <v>0</v>
      </c>
      <c r="B909" s="4" t="e">
        <f t="shared" si="14"/>
        <v>#VALUE!</v>
      </c>
      <c r="C909" s="1" t="e">
        <f>SplineInterp(A909,Own_Spectrum_100cm!$U$2:$U$34,Own_Spectrum_100cm!$V$2:$V$34)*D909</f>
        <v>#VALUE!</v>
      </c>
      <c r="D909" s="13">
        <f>Place_data_here!B909</f>
        <v>0</v>
      </c>
    </row>
    <row r="910" spans="1:4" x14ac:dyDescent="0.25">
      <c r="A910" s="16">
        <f>Place_data_here!A910</f>
        <v>0</v>
      </c>
      <c r="B910" s="4" t="e">
        <f t="shared" si="14"/>
        <v>#VALUE!</v>
      </c>
      <c r="C910" s="1" t="e">
        <f>SplineInterp(A910,Own_Spectrum_100cm!$U$2:$U$34,Own_Spectrum_100cm!$V$2:$V$34)*D910</f>
        <v>#VALUE!</v>
      </c>
      <c r="D910" s="13">
        <f>Place_data_here!B910</f>
        <v>0</v>
      </c>
    </row>
    <row r="911" spans="1:4" x14ac:dyDescent="0.25">
      <c r="A911" s="16">
        <f>Place_data_here!A911</f>
        <v>0</v>
      </c>
      <c r="B911" s="4" t="e">
        <f t="shared" si="14"/>
        <v>#VALUE!</v>
      </c>
      <c r="C911" s="1" t="e">
        <f>SplineInterp(A911,Own_Spectrum_100cm!$U$2:$U$34,Own_Spectrum_100cm!$V$2:$V$34)*D911</f>
        <v>#VALUE!</v>
      </c>
      <c r="D911" s="13">
        <f>Place_data_here!B911</f>
        <v>0</v>
      </c>
    </row>
    <row r="912" spans="1:4" x14ac:dyDescent="0.25">
      <c r="A912" s="16">
        <f>Place_data_here!A912</f>
        <v>0</v>
      </c>
      <c r="B912" s="4" t="e">
        <f t="shared" si="14"/>
        <v>#VALUE!</v>
      </c>
      <c r="C912" s="1" t="e">
        <f>SplineInterp(A912,Own_Spectrum_100cm!$U$2:$U$34,Own_Spectrum_100cm!$V$2:$V$34)*D912</f>
        <v>#VALUE!</v>
      </c>
      <c r="D912" s="13">
        <f>Place_data_here!B912</f>
        <v>0</v>
      </c>
    </row>
    <row r="913" spans="1:4" x14ac:dyDescent="0.25">
      <c r="A913" s="16">
        <f>Place_data_here!A913</f>
        <v>0</v>
      </c>
      <c r="B913" s="4" t="e">
        <f t="shared" si="14"/>
        <v>#VALUE!</v>
      </c>
      <c r="C913" s="1" t="e">
        <f>SplineInterp(A913,Own_Spectrum_100cm!$U$2:$U$34,Own_Spectrum_100cm!$V$2:$V$34)*D913</f>
        <v>#VALUE!</v>
      </c>
      <c r="D913" s="13">
        <f>Place_data_here!B913</f>
        <v>0</v>
      </c>
    </row>
    <row r="914" spans="1:4" x14ac:dyDescent="0.25">
      <c r="A914" s="16">
        <f>Place_data_here!A914</f>
        <v>0</v>
      </c>
      <c r="B914" s="4" t="e">
        <f t="shared" si="14"/>
        <v>#VALUE!</v>
      </c>
      <c r="C914" s="1" t="e">
        <f>SplineInterp(A914,Own_Spectrum_100cm!$U$2:$U$34,Own_Spectrum_100cm!$V$2:$V$34)*D914</f>
        <v>#VALUE!</v>
      </c>
      <c r="D914" s="13">
        <f>Place_data_here!B914</f>
        <v>0</v>
      </c>
    </row>
    <row r="915" spans="1:4" x14ac:dyDescent="0.25">
      <c r="A915" s="16">
        <f>Place_data_here!A915</f>
        <v>0</v>
      </c>
      <c r="B915" s="4" t="e">
        <f t="shared" si="14"/>
        <v>#VALUE!</v>
      </c>
      <c r="C915" s="1" t="e">
        <f>SplineInterp(A915,Own_Spectrum_100cm!$U$2:$U$34,Own_Spectrum_100cm!$V$2:$V$34)*D915</f>
        <v>#VALUE!</v>
      </c>
      <c r="D915" s="13">
        <f>Place_data_here!B915</f>
        <v>0</v>
      </c>
    </row>
    <row r="916" spans="1:4" x14ac:dyDescent="0.25">
      <c r="A916" s="16">
        <f>Place_data_here!A916</f>
        <v>0</v>
      </c>
      <c r="B916" s="4" t="e">
        <f t="shared" si="14"/>
        <v>#VALUE!</v>
      </c>
      <c r="C916" s="1" t="e">
        <f>SplineInterp(A916,Own_Spectrum_100cm!$U$2:$U$34,Own_Spectrum_100cm!$V$2:$V$34)*D916</f>
        <v>#VALUE!</v>
      </c>
      <c r="D916" s="13">
        <f>Place_data_here!B916</f>
        <v>0</v>
      </c>
    </row>
    <row r="917" spans="1:4" x14ac:dyDescent="0.25">
      <c r="A917" s="16">
        <f>Place_data_here!A917</f>
        <v>0</v>
      </c>
      <c r="B917" s="4" t="e">
        <f t="shared" si="14"/>
        <v>#VALUE!</v>
      </c>
      <c r="C917" s="1" t="e">
        <f>SplineInterp(A917,Own_Spectrum_100cm!$U$2:$U$34,Own_Spectrum_100cm!$V$2:$V$34)*D917</f>
        <v>#VALUE!</v>
      </c>
      <c r="D917" s="13">
        <f>Place_data_here!B917</f>
        <v>0</v>
      </c>
    </row>
    <row r="918" spans="1:4" x14ac:dyDescent="0.25">
      <c r="A918" s="16">
        <f>Place_data_here!A918</f>
        <v>0</v>
      </c>
      <c r="B918" s="4" t="e">
        <f t="shared" si="14"/>
        <v>#VALUE!</v>
      </c>
      <c r="C918" s="1" t="e">
        <f>SplineInterp(A918,Own_Spectrum_100cm!$U$2:$U$34,Own_Spectrum_100cm!$V$2:$V$34)*D918</f>
        <v>#VALUE!</v>
      </c>
      <c r="D918" s="13">
        <f>Place_data_here!B918</f>
        <v>0</v>
      </c>
    </row>
    <row r="919" spans="1:4" x14ac:dyDescent="0.25">
      <c r="A919" s="16">
        <f>Place_data_here!A919</f>
        <v>0</v>
      </c>
      <c r="B919" s="4" t="e">
        <f t="shared" si="14"/>
        <v>#VALUE!</v>
      </c>
      <c r="C919" s="1" t="e">
        <f>SplineInterp(A919,Own_Spectrum_100cm!$U$2:$U$34,Own_Spectrum_100cm!$V$2:$V$34)*D919</f>
        <v>#VALUE!</v>
      </c>
      <c r="D919" s="13">
        <f>Place_data_here!B919</f>
        <v>0</v>
      </c>
    </row>
    <row r="920" spans="1:4" x14ac:dyDescent="0.25">
      <c r="A920" s="16">
        <f>Place_data_here!A920</f>
        <v>0</v>
      </c>
      <c r="B920" s="4" t="e">
        <f t="shared" si="14"/>
        <v>#VALUE!</v>
      </c>
      <c r="C920" s="1" t="e">
        <f>SplineInterp(A920,Own_Spectrum_100cm!$U$2:$U$34,Own_Spectrum_100cm!$V$2:$V$34)*D920</f>
        <v>#VALUE!</v>
      </c>
      <c r="D920" s="13">
        <f>Place_data_here!B920</f>
        <v>0</v>
      </c>
    </row>
    <row r="921" spans="1:4" x14ac:dyDescent="0.25">
      <c r="A921" s="16">
        <f>Place_data_here!A921</f>
        <v>0</v>
      </c>
      <c r="B921" s="4" t="e">
        <f t="shared" si="14"/>
        <v>#VALUE!</v>
      </c>
      <c r="C921" s="1" t="e">
        <f>SplineInterp(A921,Own_Spectrum_100cm!$U$2:$U$34,Own_Spectrum_100cm!$V$2:$V$34)*D921</f>
        <v>#VALUE!</v>
      </c>
      <c r="D921" s="13">
        <f>Place_data_here!B921</f>
        <v>0</v>
      </c>
    </row>
    <row r="922" spans="1:4" x14ac:dyDescent="0.25">
      <c r="A922" s="16">
        <f>Place_data_here!A922</f>
        <v>0</v>
      </c>
      <c r="B922" s="4" t="e">
        <f t="shared" si="14"/>
        <v>#VALUE!</v>
      </c>
      <c r="C922" s="1" t="e">
        <f>SplineInterp(A922,Own_Spectrum_100cm!$U$2:$U$34,Own_Spectrum_100cm!$V$2:$V$34)*D922</f>
        <v>#VALUE!</v>
      </c>
      <c r="D922" s="13">
        <f>Place_data_here!B922</f>
        <v>0</v>
      </c>
    </row>
    <row r="923" spans="1:4" x14ac:dyDescent="0.25">
      <c r="A923" s="16">
        <f>Place_data_here!A923</f>
        <v>0</v>
      </c>
      <c r="B923" s="4" t="e">
        <f t="shared" si="14"/>
        <v>#VALUE!</v>
      </c>
      <c r="C923" s="1" t="e">
        <f>SplineInterp(A923,Own_Spectrum_100cm!$U$2:$U$34,Own_Spectrum_100cm!$V$2:$V$34)*D923</f>
        <v>#VALUE!</v>
      </c>
      <c r="D923" s="13">
        <f>Place_data_here!B923</f>
        <v>0</v>
      </c>
    </row>
    <row r="924" spans="1:4" x14ac:dyDescent="0.25">
      <c r="A924" s="16">
        <f>Place_data_here!A924</f>
        <v>0</v>
      </c>
      <c r="B924" s="4" t="e">
        <f t="shared" si="14"/>
        <v>#VALUE!</v>
      </c>
      <c r="C924" s="1" t="e">
        <f>SplineInterp(A924,Own_Spectrum_100cm!$U$2:$U$34,Own_Spectrum_100cm!$V$2:$V$34)*D924</f>
        <v>#VALUE!</v>
      </c>
      <c r="D924" s="13">
        <f>Place_data_here!B924</f>
        <v>0</v>
      </c>
    </row>
    <row r="925" spans="1:4" x14ac:dyDescent="0.25">
      <c r="A925" s="16">
        <f>Place_data_here!A925</f>
        <v>0</v>
      </c>
      <c r="B925" s="4" t="e">
        <f t="shared" si="14"/>
        <v>#VALUE!</v>
      </c>
      <c r="C925" s="1" t="e">
        <f>SplineInterp(A925,Own_Spectrum_100cm!$U$2:$U$34,Own_Spectrum_100cm!$V$2:$V$34)*D925</f>
        <v>#VALUE!</v>
      </c>
      <c r="D925" s="13">
        <f>Place_data_here!B925</f>
        <v>0</v>
      </c>
    </row>
    <row r="926" spans="1:4" x14ac:dyDescent="0.25">
      <c r="A926" s="16">
        <f>Place_data_here!A926</f>
        <v>0</v>
      </c>
      <c r="B926" s="4" t="e">
        <f t="shared" si="14"/>
        <v>#VALUE!</v>
      </c>
      <c r="C926" s="1" t="e">
        <f>SplineInterp(A926,Own_Spectrum_100cm!$U$2:$U$34,Own_Spectrum_100cm!$V$2:$V$34)*D926</f>
        <v>#VALUE!</v>
      </c>
      <c r="D926" s="13">
        <f>Place_data_here!B926</f>
        <v>0</v>
      </c>
    </row>
    <row r="927" spans="1:4" x14ac:dyDescent="0.25">
      <c r="A927" s="16">
        <f>Place_data_here!A927</f>
        <v>0</v>
      </c>
      <c r="B927" s="4" t="e">
        <f t="shared" si="14"/>
        <v>#VALUE!</v>
      </c>
      <c r="C927" s="1" t="e">
        <f>SplineInterp(A927,Own_Spectrum_100cm!$U$2:$U$34,Own_Spectrum_100cm!$V$2:$V$34)*D927</f>
        <v>#VALUE!</v>
      </c>
      <c r="D927" s="13">
        <f>Place_data_here!B927</f>
        <v>0</v>
      </c>
    </row>
    <row r="928" spans="1:4" x14ac:dyDescent="0.25">
      <c r="A928" s="16">
        <f>Place_data_here!A928</f>
        <v>0</v>
      </c>
      <c r="B928" s="4" t="e">
        <f t="shared" si="14"/>
        <v>#VALUE!</v>
      </c>
      <c r="C928" s="1" t="e">
        <f>SplineInterp(A928,Own_Spectrum_100cm!$U$2:$U$34,Own_Spectrum_100cm!$V$2:$V$34)*D928</f>
        <v>#VALUE!</v>
      </c>
      <c r="D928" s="13">
        <f>Place_data_here!B928</f>
        <v>0</v>
      </c>
    </row>
    <row r="929" spans="1:4" x14ac:dyDescent="0.25">
      <c r="A929" s="16">
        <f>Place_data_here!A929</f>
        <v>0</v>
      </c>
      <c r="B929" s="4" t="e">
        <f t="shared" si="14"/>
        <v>#VALUE!</v>
      </c>
      <c r="C929" s="1" t="e">
        <f>SplineInterp(A929,Own_Spectrum_100cm!$U$2:$U$34,Own_Spectrum_100cm!$V$2:$V$34)*D929</f>
        <v>#VALUE!</v>
      </c>
      <c r="D929" s="13">
        <f>Place_data_here!B929</f>
        <v>0</v>
      </c>
    </row>
    <row r="930" spans="1:4" x14ac:dyDescent="0.25">
      <c r="A930" s="16">
        <f>Place_data_here!A930</f>
        <v>0</v>
      </c>
      <c r="B930" s="4" t="e">
        <f t="shared" si="14"/>
        <v>#VALUE!</v>
      </c>
      <c r="C930" s="1" t="e">
        <f>SplineInterp(A930,Own_Spectrum_100cm!$U$2:$U$34,Own_Spectrum_100cm!$V$2:$V$34)*D930</f>
        <v>#VALUE!</v>
      </c>
      <c r="D930" s="13">
        <f>Place_data_here!B930</f>
        <v>0</v>
      </c>
    </row>
    <row r="931" spans="1:4" x14ac:dyDescent="0.25">
      <c r="A931" s="16">
        <f>Place_data_here!A931</f>
        <v>0</v>
      </c>
      <c r="B931" s="4" t="e">
        <f t="shared" si="14"/>
        <v>#VALUE!</v>
      </c>
      <c r="C931" s="1" t="e">
        <f>SplineInterp(A931,Own_Spectrum_100cm!$U$2:$U$34,Own_Spectrum_100cm!$V$2:$V$34)*D931</f>
        <v>#VALUE!</v>
      </c>
      <c r="D931" s="13">
        <f>Place_data_here!B931</f>
        <v>0</v>
      </c>
    </row>
    <row r="932" spans="1:4" x14ac:dyDescent="0.25">
      <c r="A932" s="16">
        <f>Place_data_here!A932</f>
        <v>0</v>
      </c>
      <c r="B932" s="4" t="e">
        <f t="shared" si="14"/>
        <v>#VALUE!</v>
      </c>
      <c r="C932" s="1" t="e">
        <f>SplineInterp(A932,Own_Spectrum_100cm!$U$2:$U$34,Own_Spectrum_100cm!$V$2:$V$34)*D932</f>
        <v>#VALUE!</v>
      </c>
      <c r="D932" s="13">
        <f>Place_data_here!B932</f>
        <v>0</v>
      </c>
    </row>
    <row r="933" spans="1:4" x14ac:dyDescent="0.25">
      <c r="A933" s="16">
        <f>Place_data_here!A933</f>
        <v>0</v>
      </c>
      <c r="B933" s="4" t="e">
        <f t="shared" si="14"/>
        <v>#VALUE!</v>
      </c>
      <c r="C933" s="1" t="e">
        <f>SplineInterp(A933,Own_Spectrum_100cm!$U$2:$U$34,Own_Spectrum_100cm!$V$2:$V$34)*D933</f>
        <v>#VALUE!</v>
      </c>
      <c r="D933" s="13">
        <f>Place_data_here!B933</f>
        <v>0</v>
      </c>
    </row>
    <row r="934" spans="1:4" x14ac:dyDescent="0.25">
      <c r="A934" s="16">
        <f>Place_data_here!A934</f>
        <v>0</v>
      </c>
      <c r="B934" s="4" t="e">
        <f t="shared" si="14"/>
        <v>#VALUE!</v>
      </c>
      <c r="C934" s="1" t="e">
        <f>SplineInterp(A934,Own_Spectrum_100cm!$U$2:$U$34,Own_Spectrum_100cm!$V$2:$V$34)*D934</f>
        <v>#VALUE!</v>
      </c>
      <c r="D934" s="13">
        <f>Place_data_here!B934</f>
        <v>0</v>
      </c>
    </row>
    <row r="935" spans="1:4" x14ac:dyDescent="0.25">
      <c r="A935" s="16">
        <f>Place_data_here!A935</f>
        <v>0</v>
      </c>
      <c r="B935" s="4" t="e">
        <f t="shared" si="14"/>
        <v>#VALUE!</v>
      </c>
      <c r="C935" s="1" t="e">
        <f>SplineInterp(A935,Own_Spectrum_100cm!$U$2:$U$34,Own_Spectrum_100cm!$V$2:$V$34)*D935</f>
        <v>#VALUE!</v>
      </c>
      <c r="D935" s="13">
        <f>Place_data_here!B935</f>
        <v>0</v>
      </c>
    </row>
    <row r="936" spans="1:4" x14ac:dyDescent="0.25">
      <c r="A936" s="16">
        <f>Place_data_here!A936</f>
        <v>0</v>
      </c>
      <c r="B936" s="4" t="e">
        <f t="shared" si="14"/>
        <v>#VALUE!</v>
      </c>
      <c r="C936" s="1" t="e">
        <f>SplineInterp(A936,Own_Spectrum_100cm!$U$2:$U$34,Own_Spectrum_100cm!$V$2:$V$34)*D936</f>
        <v>#VALUE!</v>
      </c>
      <c r="D936" s="13">
        <f>Place_data_here!B936</f>
        <v>0</v>
      </c>
    </row>
    <row r="937" spans="1:4" x14ac:dyDescent="0.25">
      <c r="A937" s="16">
        <f>Place_data_here!A937</f>
        <v>0</v>
      </c>
      <c r="B937" s="4" t="e">
        <f t="shared" si="14"/>
        <v>#VALUE!</v>
      </c>
      <c r="C937" s="1" t="e">
        <f>SplineInterp(A937,Own_Spectrum_100cm!$U$2:$U$34,Own_Spectrum_100cm!$V$2:$V$34)*D937</f>
        <v>#VALUE!</v>
      </c>
      <c r="D937" s="13">
        <f>Place_data_here!B937</f>
        <v>0</v>
      </c>
    </row>
    <row r="938" spans="1:4" x14ac:dyDescent="0.25">
      <c r="A938" s="16">
        <f>Place_data_here!A938</f>
        <v>0</v>
      </c>
      <c r="B938" s="4" t="e">
        <f t="shared" si="14"/>
        <v>#VALUE!</v>
      </c>
      <c r="C938" s="1" t="e">
        <f>SplineInterp(A938,Own_Spectrum_100cm!$U$2:$U$34,Own_Spectrum_100cm!$V$2:$V$34)*D938</f>
        <v>#VALUE!</v>
      </c>
      <c r="D938" s="13">
        <f>Place_data_here!B938</f>
        <v>0</v>
      </c>
    </row>
    <row r="939" spans="1:4" x14ac:dyDescent="0.25">
      <c r="A939" s="16">
        <f>Place_data_here!A939</f>
        <v>0</v>
      </c>
      <c r="B939" s="4" t="e">
        <f t="shared" si="14"/>
        <v>#VALUE!</v>
      </c>
      <c r="C939" s="1" t="e">
        <f>SplineInterp(A939,Own_Spectrum_100cm!$U$2:$U$34,Own_Spectrum_100cm!$V$2:$V$34)*D939</f>
        <v>#VALUE!</v>
      </c>
      <c r="D939" s="13">
        <f>Place_data_here!B939</f>
        <v>0</v>
      </c>
    </row>
    <row r="940" spans="1:4" x14ac:dyDescent="0.25">
      <c r="A940" s="16">
        <f>Place_data_here!A940</f>
        <v>0</v>
      </c>
      <c r="B940" s="4" t="e">
        <f t="shared" si="14"/>
        <v>#VALUE!</v>
      </c>
      <c r="C940" s="1" t="e">
        <f>SplineInterp(A940,Own_Spectrum_100cm!$U$2:$U$34,Own_Spectrum_100cm!$V$2:$V$34)*D940</f>
        <v>#VALUE!</v>
      </c>
      <c r="D940" s="13">
        <f>Place_data_here!B940</f>
        <v>0</v>
      </c>
    </row>
    <row r="941" spans="1:4" x14ac:dyDescent="0.25">
      <c r="A941" s="16">
        <f>Place_data_here!A941</f>
        <v>0</v>
      </c>
      <c r="B941" s="4" t="e">
        <f t="shared" si="14"/>
        <v>#VALUE!</v>
      </c>
      <c r="C941" s="1" t="e">
        <f>SplineInterp(A941,Own_Spectrum_100cm!$U$2:$U$34,Own_Spectrum_100cm!$V$2:$V$34)*D941</f>
        <v>#VALUE!</v>
      </c>
      <c r="D941" s="13">
        <f>Place_data_here!B941</f>
        <v>0</v>
      </c>
    </row>
    <row r="942" spans="1:4" x14ac:dyDescent="0.25">
      <c r="A942" s="16">
        <f>Place_data_here!A942</f>
        <v>0</v>
      </c>
      <c r="B942" s="4" t="e">
        <f t="shared" si="14"/>
        <v>#VALUE!</v>
      </c>
      <c r="C942" s="1" t="e">
        <f>SplineInterp(A942,Own_Spectrum_100cm!$U$2:$U$34,Own_Spectrum_100cm!$V$2:$V$34)*D942</f>
        <v>#VALUE!</v>
      </c>
      <c r="D942" s="13">
        <f>Place_data_here!B942</f>
        <v>0</v>
      </c>
    </row>
    <row r="943" spans="1:4" x14ac:dyDescent="0.25">
      <c r="A943" s="16">
        <f>Place_data_here!A943</f>
        <v>0</v>
      </c>
      <c r="B943" s="4" t="e">
        <f t="shared" si="14"/>
        <v>#VALUE!</v>
      </c>
      <c r="C943" s="1" t="e">
        <f>SplineInterp(A943,Own_Spectrum_100cm!$U$2:$U$34,Own_Spectrum_100cm!$V$2:$V$34)*D943</f>
        <v>#VALUE!</v>
      </c>
      <c r="D943" s="13">
        <f>Place_data_here!B943</f>
        <v>0</v>
      </c>
    </row>
    <row r="944" spans="1:4" x14ac:dyDescent="0.25">
      <c r="A944" s="16">
        <f>Place_data_here!A944</f>
        <v>0</v>
      </c>
      <c r="B944" s="4" t="e">
        <f t="shared" si="14"/>
        <v>#VALUE!</v>
      </c>
      <c r="C944" s="1" t="e">
        <f>SplineInterp(A944,Own_Spectrum_100cm!$U$2:$U$34,Own_Spectrum_100cm!$V$2:$V$34)*D944</f>
        <v>#VALUE!</v>
      </c>
      <c r="D944" s="13">
        <f>Place_data_here!B944</f>
        <v>0</v>
      </c>
    </row>
    <row r="945" spans="1:4" x14ac:dyDescent="0.25">
      <c r="A945" s="16">
        <f>Place_data_here!A945</f>
        <v>0</v>
      </c>
      <c r="B945" s="4" t="e">
        <f t="shared" si="14"/>
        <v>#VALUE!</v>
      </c>
      <c r="C945" s="1" t="e">
        <f>SplineInterp(A945,Own_Spectrum_100cm!$U$2:$U$34,Own_Spectrum_100cm!$V$2:$V$34)*D945</f>
        <v>#VALUE!</v>
      </c>
      <c r="D945" s="13">
        <f>Place_data_here!B945</f>
        <v>0</v>
      </c>
    </row>
    <row r="946" spans="1:4" x14ac:dyDescent="0.25">
      <c r="A946" s="16">
        <f>Place_data_here!A946</f>
        <v>0</v>
      </c>
      <c r="B946" s="4" t="e">
        <f t="shared" si="14"/>
        <v>#VALUE!</v>
      </c>
      <c r="C946" s="1" t="e">
        <f>SplineInterp(A946,Own_Spectrum_100cm!$U$2:$U$34,Own_Spectrum_100cm!$V$2:$V$34)*D946</f>
        <v>#VALUE!</v>
      </c>
      <c r="D946" s="13">
        <f>Place_data_here!B946</f>
        <v>0</v>
      </c>
    </row>
    <row r="947" spans="1:4" x14ac:dyDescent="0.25">
      <c r="A947" s="16">
        <f>Place_data_here!A947</f>
        <v>0</v>
      </c>
      <c r="B947" s="4" t="e">
        <f t="shared" si="14"/>
        <v>#VALUE!</v>
      </c>
      <c r="C947" s="1" t="e">
        <f>SplineInterp(A947,Own_Spectrum_100cm!$U$2:$U$34,Own_Spectrum_100cm!$V$2:$V$34)*D947</f>
        <v>#VALUE!</v>
      </c>
      <c r="D947" s="13">
        <f>Place_data_here!B947</f>
        <v>0</v>
      </c>
    </row>
    <row r="948" spans="1:4" x14ac:dyDescent="0.25">
      <c r="A948" s="16">
        <f>Place_data_here!A948</f>
        <v>0</v>
      </c>
      <c r="B948" s="4" t="e">
        <f t="shared" si="14"/>
        <v>#VALUE!</v>
      </c>
      <c r="C948" s="1" t="e">
        <f>SplineInterp(A948,Own_Spectrum_100cm!$U$2:$U$34,Own_Spectrum_100cm!$V$2:$V$34)*D948</f>
        <v>#VALUE!</v>
      </c>
      <c r="D948" s="13">
        <f>Place_data_here!B948</f>
        <v>0</v>
      </c>
    </row>
    <row r="949" spans="1:4" x14ac:dyDescent="0.25">
      <c r="A949" s="16">
        <f>Place_data_here!A949</f>
        <v>0</v>
      </c>
      <c r="B949" s="4" t="e">
        <f t="shared" si="14"/>
        <v>#VALUE!</v>
      </c>
      <c r="C949" s="1" t="e">
        <f>SplineInterp(A949,Own_Spectrum_100cm!$U$2:$U$34,Own_Spectrum_100cm!$V$2:$V$34)*D949</f>
        <v>#VALUE!</v>
      </c>
      <c r="D949" s="13">
        <f>Place_data_here!B949</f>
        <v>0</v>
      </c>
    </row>
    <row r="950" spans="1:4" x14ac:dyDescent="0.25">
      <c r="A950" s="16">
        <f>Place_data_here!A950</f>
        <v>0</v>
      </c>
      <c r="B950" s="4" t="e">
        <f t="shared" si="14"/>
        <v>#VALUE!</v>
      </c>
      <c r="C950" s="1" t="e">
        <f>SplineInterp(A950,Own_Spectrum_100cm!$U$2:$U$34,Own_Spectrum_100cm!$V$2:$V$34)*D950</f>
        <v>#VALUE!</v>
      </c>
      <c r="D950" s="13">
        <f>Place_data_here!B950</f>
        <v>0</v>
      </c>
    </row>
    <row r="951" spans="1:4" x14ac:dyDescent="0.25">
      <c r="A951" s="16">
        <f>Place_data_here!A951</f>
        <v>0</v>
      </c>
      <c r="B951" s="4" t="e">
        <f t="shared" si="14"/>
        <v>#VALUE!</v>
      </c>
      <c r="C951" s="1" t="e">
        <f>SplineInterp(A951,Own_Spectrum_100cm!$U$2:$U$34,Own_Spectrum_100cm!$V$2:$V$34)*D951</f>
        <v>#VALUE!</v>
      </c>
      <c r="D951" s="13">
        <f>Place_data_here!B951</f>
        <v>0</v>
      </c>
    </row>
    <row r="952" spans="1:4" x14ac:dyDescent="0.25">
      <c r="A952" s="16">
        <f>Place_data_here!A952</f>
        <v>0</v>
      </c>
      <c r="B952" s="4" t="e">
        <f t="shared" si="14"/>
        <v>#VALUE!</v>
      </c>
      <c r="C952" s="1" t="e">
        <f>SplineInterp(A952,Own_Spectrum_100cm!$U$2:$U$34,Own_Spectrum_100cm!$V$2:$V$34)*D952</f>
        <v>#VALUE!</v>
      </c>
      <c r="D952" s="13">
        <f>Place_data_here!B952</f>
        <v>0</v>
      </c>
    </row>
    <row r="953" spans="1:4" x14ac:dyDescent="0.25">
      <c r="A953" s="16">
        <f>Place_data_here!A953</f>
        <v>0</v>
      </c>
      <c r="B953" s="4" t="e">
        <f t="shared" si="14"/>
        <v>#VALUE!</v>
      </c>
      <c r="C953" s="1" t="e">
        <f>SplineInterp(A953,Own_Spectrum_100cm!$U$2:$U$34,Own_Spectrum_100cm!$V$2:$V$34)*D953</f>
        <v>#VALUE!</v>
      </c>
      <c r="D953" s="13">
        <f>Place_data_here!B953</f>
        <v>0</v>
      </c>
    </row>
    <row r="954" spans="1:4" x14ac:dyDescent="0.25">
      <c r="A954" s="16">
        <f>Place_data_here!A954</f>
        <v>0</v>
      </c>
      <c r="B954" s="4" t="e">
        <f t="shared" si="14"/>
        <v>#VALUE!</v>
      </c>
      <c r="C954" s="1" t="e">
        <f>SplineInterp(A954,Own_Spectrum_100cm!$U$2:$U$34,Own_Spectrum_100cm!$V$2:$V$34)*D954</f>
        <v>#VALUE!</v>
      </c>
      <c r="D954" s="13">
        <f>Place_data_here!B954</f>
        <v>0</v>
      </c>
    </row>
    <row r="955" spans="1:4" x14ac:dyDescent="0.25">
      <c r="A955" s="16">
        <f>Place_data_here!A955</f>
        <v>0</v>
      </c>
      <c r="B955" s="4" t="e">
        <f t="shared" si="14"/>
        <v>#VALUE!</v>
      </c>
      <c r="C955" s="1" t="e">
        <f>SplineInterp(A955,Own_Spectrum_100cm!$U$2:$U$34,Own_Spectrum_100cm!$V$2:$V$34)*D955</f>
        <v>#VALUE!</v>
      </c>
      <c r="D955" s="13">
        <f>Place_data_here!B955</f>
        <v>0</v>
      </c>
    </row>
    <row r="956" spans="1:4" x14ac:dyDescent="0.25">
      <c r="A956" s="16">
        <f>Place_data_here!A956</f>
        <v>0</v>
      </c>
      <c r="B956" s="4" t="e">
        <f t="shared" si="14"/>
        <v>#VALUE!</v>
      </c>
      <c r="C956" s="1" t="e">
        <f>SplineInterp(A956,Own_Spectrum_100cm!$U$2:$U$34,Own_Spectrum_100cm!$V$2:$V$34)*D956</f>
        <v>#VALUE!</v>
      </c>
      <c r="D956" s="13">
        <f>Place_data_here!B956</f>
        <v>0</v>
      </c>
    </row>
    <row r="957" spans="1:4" x14ac:dyDescent="0.25">
      <c r="A957" s="16">
        <f>Place_data_here!A957</f>
        <v>0</v>
      </c>
      <c r="B957" s="4" t="e">
        <f t="shared" si="14"/>
        <v>#VALUE!</v>
      </c>
      <c r="C957" s="1" t="e">
        <f>SplineInterp(A957,Own_Spectrum_100cm!$U$2:$U$34,Own_Spectrum_100cm!$V$2:$V$34)*D957</f>
        <v>#VALUE!</v>
      </c>
      <c r="D957" s="13">
        <f>Place_data_here!B957</f>
        <v>0</v>
      </c>
    </row>
    <row r="958" spans="1:4" x14ac:dyDescent="0.25">
      <c r="A958" s="16">
        <f>Place_data_here!A958</f>
        <v>0</v>
      </c>
      <c r="B958" s="4" t="e">
        <f t="shared" si="14"/>
        <v>#VALUE!</v>
      </c>
      <c r="C958" s="1" t="e">
        <f>SplineInterp(A958,Own_Spectrum_100cm!$U$2:$U$34,Own_Spectrum_100cm!$V$2:$V$34)*D958</f>
        <v>#VALUE!</v>
      </c>
      <c r="D958" s="13">
        <f>Place_data_here!B958</f>
        <v>0</v>
      </c>
    </row>
    <row r="959" spans="1:4" x14ac:dyDescent="0.25">
      <c r="A959" s="16">
        <f>Place_data_here!A959</f>
        <v>0</v>
      </c>
      <c r="B959" s="4" t="e">
        <f t="shared" si="14"/>
        <v>#VALUE!</v>
      </c>
      <c r="C959" s="1" t="e">
        <f>SplineInterp(A959,Own_Spectrum_100cm!$U$2:$U$34,Own_Spectrum_100cm!$V$2:$V$34)*D959</f>
        <v>#VALUE!</v>
      </c>
      <c r="D959" s="13">
        <f>Place_data_here!B959</f>
        <v>0</v>
      </c>
    </row>
    <row r="960" spans="1:4" x14ac:dyDescent="0.25">
      <c r="A960" s="16">
        <f>Place_data_here!A960</f>
        <v>0</v>
      </c>
      <c r="B960" s="4" t="e">
        <f t="shared" si="14"/>
        <v>#VALUE!</v>
      </c>
      <c r="C960" s="1" t="e">
        <f>SplineInterp(A960,Own_Spectrum_100cm!$U$2:$U$34,Own_Spectrum_100cm!$V$2:$V$34)*D960</f>
        <v>#VALUE!</v>
      </c>
      <c r="D960" s="13">
        <f>Place_data_here!B960</f>
        <v>0</v>
      </c>
    </row>
    <row r="961" spans="1:4" x14ac:dyDescent="0.25">
      <c r="A961" s="16">
        <f>Place_data_here!A961</f>
        <v>0</v>
      </c>
      <c r="B961" s="4" t="e">
        <f t="shared" si="14"/>
        <v>#VALUE!</v>
      </c>
      <c r="C961" s="1" t="e">
        <f>SplineInterp(A961,Own_Spectrum_100cm!$U$2:$U$34,Own_Spectrum_100cm!$V$2:$V$34)*D961</f>
        <v>#VALUE!</v>
      </c>
      <c r="D961" s="13">
        <f>Place_data_here!B961</f>
        <v>0</v>
      </c>
    </row>
    <row r="962" spans="1:4" x14ac:dyDescent="0.25">
      <c r="A962" s="16">
        <f>Place_data_here!A962</f>
        <v>0</v>
      </c>
      <c r="B962" s="4" t="e">
        <f t="shared" si="14"/>
        <v>#VALUE!</v>
      </c>
      <c r="C962" s="1" t="e">
        <f>SplineInterp(A962,Own_Spectrum_100cm!$U$2:$U$34,Own_Spectrum_100cm!$V$2:$V$34)*D962</f>
        <v>#VALUE!</v>
      </c>
      <c r="D962" s="13">
        <f>Place_data_here!B962</f>
        <v>0</v>
      </c>
    </row>
    <row r="963" spans="1:4" x14ac:dyDescent="0.25">
      <c r="A963" s="16">
        <f>Place_data_here!A963</f>
        <v>0</v>
      </c>
      <c r="B963" s="4" t="e">
        <f t="shared" ref="B963:B1026" si="15">C963/$C$1028</f>
        <v>#VALUE!</v>
      </c>
      <c r="C963" s="1" t="e">
        <f>SplineInterp(A963,Own_Spectrum_100cm!$U$2:$U$34,Own_Spectrum_100cm!$V$2:$V$34)*D963</f>
        <v>#VALUE!</v>
      </c>
      <c r="D963" s="13">
        <f>Place_data_here!B963</f>
        <v>0</v>
      </c>
    </row>
    <row r="964" spans="1:4" x14ac:dyDescent="0.25">
      <c r="A964" s="16">
        <f>Place_data_here!A964</f>
        <v>0</v>
      </c>
      <c r="B964" s="4" t="e">
        <f t="shared" si="15"/>
        <v>#VALUE!</v>
      </c>
      <c r="C964" s="1" t="e">
        <f>SplineInterp(A964,Own_Spectrum_100cm!$U$2:$U$34,Own_Spectrum_100cm!$V$2:$V$34)*D964</f>
        <v>#VALUE!</v>
      </c>
      <c r="D964" s="13">
        <f>Place_data_here!B964</f>
        <v>0</v>
      </c>
    </row>
    <row r="965" spans="1:4" x14ac:dyDescent="0.25">
      <c r="A965" s="16">
        <f>Place_data_here!A965</f>
        <v>0</v>
      </c>
      <c r="B965" s="4" t="e">
        <f t="shared" si="15"/>
        <v>#VALUE!</v>
      </c>
      <c r="C965" s="1" t="e">
        <f>SplineInterp(A965,Own_Spectrum_100cm!$U$2:$U$34,Own_Spectrum_100cm!$V$2:$V$34)*D965</f>
        <v>#VALUE!</v>
      </c>
      <c r="D965" s="13">
        <f>Place_data_here!B965</f>
        <v>0</v>
      </c>
    </row>
    <row r="966" spans="1:4" x14ac:dyDescent="0.25">
      <c r="A966" s="16">
        <f>Place_data_here!A966</f>
        <v>0</v>
      </c>
      <c r="B966" s="4" t="e">
        <f t="shared" si="15"/>
        <v>#VALUE!</v>
      </c>
      <c r="C966" s="1" t="e">
        <f>SplineInterp(A966,Own_Spectrum_100cm!$U$2:$U$34,Own_Spectrum_100cm!$V$2:$V$34)*D966</f>
        <v>#VALUE!</v>
      </c>
      <c r="D966" s="13">
        <f>Place_data_here!B966</f>
        <v>0</v>
      </c>
    </row>
    <row r="967" spans="1:4" x14ac:dyDescent="0.25">
      <c r="A967" s="16">
        <f>Place_data_here!A967</f>
        <v>0</v>
      </c>
      <c r="B967" s="4" t="e">
        <f t="shared" si="15"/>
        <v>#VALUE!</v>
      </c>
      <c r="C967" s="1" t="e">
        <f>SplineInterp(A967,Own_Spectrum_100cm!$U$2:$U$34,Own_Spectrum_100cm!$V$2:$V$34)*D967</f>
        <v>#VALUE!</v>
      </c>
      <c r="D967" s="13">
        <f>Place_data_here!B967</f>
        <v>0</v>
      </c>
    </row>
    <row r="968" spans="1:4" x14ac:dyDescent="0.25">
      <c r="A968" s="16">
        <f>Place_data_here!A968</f>
        <v>0</v>
      </c>
      <c r="B968" s="4" t="e">
        <f t="shared" si="15"/>
        <v>#VALUE!</v>
      </c>
      <c r="C968" s="1" t="e">
        <f>SplineInterp(A968,Own_Spectrum_100cm!$U$2:$U$34,Own_Spectrum_100cm!$V$2:$V$34)*D968</f>
        <v>#VALUE!</v>
      </c>
      <c r="D968" s="13">
        <f>Place_data_here!B968</f>
        <v>0</v>
      </c>
    </row>
    <row r="969" spans="1:4" x14ac:dyDescent="0.25">
      <c r="A969" s="16">
        <f>Place_data_here!A969</f>
        <v>0</v>
      </c>
      <c r="B969" s="4" t="e">
        <f t="shared" si="15"/>
        <v>#VALUE!</v>
      </c>
      <c r="C969" s="1" t="e">
        <f>SplineInterp(A969,Own_Spectrum_100cm!$U$2:$U$34,Own_Spectrum_100cm!$V$2:$V$34)*D969</f>
        <v>#VALUE!</v>
      </c>
      <c r="D969" s="13">
        <f>Place_data_here!B969</f>
        <v>0</v>
      </c>
    </row>
    <row r="970" spans="1:4" x14ac:dyDescent="0.25">
      <c r="A970" s="16">
        <f>Place_data_here!A970</f>
        <v>0</v>
      </c>
      <c r="B970" s="4" t="e">
        <f t="shared" si="15"/>
        <v>#VALUE!</v>
      </c>
      <c r="C970" s="1" t="e">
        <f>SplineInterp(A970,Own_Spectrum_100cm!$U$2:$U$34,Own_Spectrum_100cm!$V$2:$V$34)*D970</f>
        <v>#VALUE!</v>
      </c>
      <c r="D970" s="13">
        <f>Place_data_here!B970</f>
        <v>0</v>
      </c>
    </row>
    <row r="971" spans="1:4" x14ac:dyDescent="0.25">
      <c r="A971" s="16">
        <f>Place_data_here!A971</f>
        <v>0</v>
      </c>
      <c r="B971" s="4" t="e">
        <f t="shared" si="15"/>
        <v>#VALUE!</v>
      </c>
      <c r="C971" s="1" t="e">
        <f>SplineInterp(A971,Own_Spectrum_100cm!$U$2:$U$34,Own_Spectrum_100cm!$V$2:$V$34)*D971</f>
        <v>#VALUE!</v>
      </c>
      <c r="D971" s="13">
        <f>Place_data_here!B971</f>
        <v>0</v>
      </c>
    </row>
    <row r="972" spans="1:4" x14ac:dyDescent="0.25">
      <c r="A972" s="16">
        <f>Place_data_here!A972</f>
        <v>0</v>
      </c>
      <c r="B972" s="4" t="e">
        <f t="shared" si="15"/>
        <v>#VALUE!</v>
      </c>
      <c r="C972" s="1" t="e">
        <f>SplineInterp(A972,Own_Spectrum_100cm!$U$2:$U$34,Own_Spectrum_100cm!$V$2:$V$34)*D972</f>
        <v>#VALUE!</v>
      </c>
      <c r="D972" s="13">
        <f>Place_data_here!B972</f>
        <v>0</v>
      </c>
    </row>
    <row r="973" spans="1:4" x14ac:dyDescent="0.25">
      <c r="A973" s="16">
        <f>Place_data_here!A973</f>
        <v>0</v>
      </c>
      <c r="B973" s="4" t="e">
        <f t="shared" si="15"/>
        <v>#VALUE!</v>
      </c>
      <c r="C973" s="1" t="e">
        <f>SplineInterp(A973,Own_Spectrum_100cm!$U$2:$U$34,Own_Spectrum_100cm!$V$2:$V$34)*D973</f>
        <v>#VALUE!</v>
      </c>
      <c r="D973" s="13">
        <f>Place_data_here!B973</f>
        <v>0</v>
      </c>
    </row>
    <row r="974" spans="1:4" x14ac:dyDescent="0.25">
      <c r="A974" s="16">
        <f>Place_data_here!A974</f>
        <v>0</v>
      </c>
      <c r="B974" s="4" t="e">
        <f t="shared" si="15"/>
        <v>#VALUE!</v>
      </c>
      <c r="C974" s="1" t="e">
        <f>SplineInterp(A974,Own_Spectrum_100cm!$U$2:$U$34,Own_Spectrum_100cm!$V$2:$V$34)*D974</f>
        <v>#VALUE!</v>
      </c>
      <c r="D974" s="13">
        <f>Place_data_here!B974</f>
        <v>0</v>
      </c>
    </row>
    <row r="975" spans="1:4" x14ac:dyDescent="0.25">
      <c r="A975" s="16">
        <f>Place_data_here!A975</f>
        <v>0</v>
      </c>
      <c r="B975" s="4" t="e">
        <f t="shared" si="15"/>
        <v>#VALUE!</v>
      </c>
      <c r="C975" s="1" t="e">
        <f>SplineInterp(A975,Own_Spectrum_100cm!$U$2:$U$34,Own_Spectrum_100cm!$V$2:$V$34)*D975</f>
        <v>#VALUE!</v>
      </c>
      <c r="D975" s="13">
        <f>Place_data_here!B975</f>
        <v>0</v>
      </c>
    </row>
    <row r="976" spans="1:4" x14ac:dyDescent="0.25">
      <c r="A976" s="16">
        <f>Place_data_here!A976</f>
        <v>0</v>
      </c>
      <c r="B976" s="4" t="e">
        <f t="shared" si="15"/>
        <v>#VALUE!</v>
      </c>
      <c r="C976" s="1" t="e">
        <f>SplineInterp(A976,Own_Spectrum_100cm!$U$2:$U$34,Own_Spectrum_100cm!$V$2:$V$34)*D976</f>
        <v>#VALUE!</v>
      </c>
      <c r="D976" s="13">
        <f>Place_data_here!B976</f>
        <v>0</v>
      </c>
    </row>
    <row r="977" spans="1:4" x14ac:dyDescent="0.25">
      <c r="A977" s="16">
        <f>Place_data_here!A977</f>
        <v>0</v>
      </c>
      <c r="B977" s="4" t="e">
        <f t="shared" si="15"/>
        <v>#VALUE!</v>
      </c>
      <c r="C977" s="1" t="e">
        <f>SplineInterp(A977,Own_Spectrum_100cm!$U$2:$U$34,Own_Spectrum_100cm!$V$2:$V$34)*D977</f>
        <v>#VALUE!</v>
      </c>
      <c r="D977" s="13">
        <f>Place_data_here!B977</f>
        <v>0</v>
      </c>
    </row>
    <row r="978" spans="1:4" x14ac:dyDescent="0.25">
      <c r="A978" s="16">
        <f>Place_data_here!A978</f>
        <v>0</v>
      </c>
      <c r="B978" s="4" t="e">
        <f t="shared" si="15"/>
        <v>#VALUE!</v>
      </c>
      <c r="C978" s="1" t="e">
        <f>SplineInterp(A978,Own_Spectrum_100cm!$U$2:$U$34,Own_Spectrum_100cm!$V$2:$V$34)*D978</f>
        <v>#VALUE!</v>
      </c>
      <c r="D978" s="13">
        <f>Place_data_here!B978</f>
        <v>0</v>
      </c>
    </row>
    <row r="979" spans="1:4" x14ac:dyDescent="0.25">
      <c r="A979" s="16">
        <f>Place_data_here!A979</f>
        <v>0</v>
      </c>
      <c r="B979" s="4" t="e">
        <f t="shared" si="15"/>
        <v>#VALUE!</v>
      </c>
      <c r="C979" s="1" t="e">
        <f>SplineInterp(A979,Own_Spectrum_100cm!$U$2:$U$34,Own_Spectrum_100cm!$V$2:$V$34)*D979</f>
        <v>#VALUE!</v>
      </c>
      <c r="D979" s="13">
        <f>Place_data_here!B979</f>
        <v>0</v>
      </c>
    </row>
    <row r="980" spans="1:4" x14ac:dyDescent="0.25">
      <c r="A980" s="16">
        <f>Place_data_here!A980</f>
        <v>0</v>
      </c>
      <c r="B980" s="4" t="e">
        <f t="shared" si="15"/>
        <v>#VALUE!</v>
      </c>
      <c r="C980" s="1" t="e">
        <f>SplineInterp(A980,Own_Spectrum_100cm!$U$2:$U$34,Own_Spectrum_100cm!$V$2:$V$34)*D980</f>
        <v>#VALUE!</v>
      </c>
      <c r="D980" s="13">
        <f>Place_data_here!B980</f>
        <v>0</v>
      </c>
    </row>
    <row r="981" spans="1:4" x14ac:dyDescent="0.25">
      <c r="A981" s="16">
        <f>Place_data_here!A981</f>
        <v>0</v>
      </c>
      <c r="B981" s="4" t="e">
        <f t="shared" si="15"/>
        <v>#VALUE!</v>
      </c>
      <c r="C981" s="1" t="e">
        <f>SplineInterp(A981,Own_Spectrum_100cm!$U$2:$U$34,Own_Spectrum_100cm!$V$2:$V$34)*D981</f>
        <v>#VALUE!</v>
      </c>
      <c r="D981" s="13">
        <f>Place_data_here!B981</f>
        <v>0</v>
      </c>
    </row>
    <row r="982" spans="1:4" x14ac:dyDescent="0.25">
      <c r="A982" s="16">
        <f>Place_data_here!A982</f>
        <v>0</v>
      </c>
      <c r="B982" s="4" t="e">
        <f t="shared" si="15"/>
        <v>#VALUE!</v>
      </c>
      <c r="C982" s="1" t="e">
        <f>SplineInterp(A982,Own_Spectrum_100cm!$U$2:$U$34,Own_Spectrum_100cm!$V$2:$V$34)*D982</f>
        <v>#VALUE!</v>
      </c>
      <c r="D982" s="13">
        <f>Place_data_here!B982</f>
        <v>0</v>
      </c>
    </row>
    <row r="983" spans="1:4" x14ac:dyDescent="0.25">
      <c r="A983" s="16">
        <f>Place_data_here!A983</f>
        <v>0</v>
      </c>
      <c r="B983" s="4" t="e">
        <f t="shared" si="15"/>
        <v>#VALUE!</v>
      </c>
      <c r="C983" s="1" t="e">
        <f>SplineInterp(A983,Own_Spectrum_100cm!$U$2:$U$34,Own_Spectrum_100cm!$V$2:$V$34)*D983</f>
        <v>#VALUE!</v>
      </c>
      <c r="D983" s="13">
        <f>Place_data_here!B983</f>
        <v>0</v>
      </c>
    </row>
    <row r="984" spans="1:4" x14ac:dyDescent="0.25">
      <c r="A984" s="16">
        <f>Place_data_here!A984</f>
        <v>0</v>
      </c>
      <c r="B984" s="4" t="e">
        <f t="shared" si="15"/>
        <v>#VALUE!</v>
      </c>
      <c r="C984" s="1" t="e">
        <f>SplineInterp(A984,Own_Spectrum_100cm!$U$2:$U$34,Own_Spectrum_100cm!$V$2:$V$34)*D984</f>
        <v>#VALUE!</v>
      </c>
      <c r="D984" s="13">
        <f>Place_data_here!B984</f>
        <v>0</v>
      </c>
    </row>
    <row r="985" spans="1:4" x14ac:dyDescent="0.25">
      <c r="A985" s="16">
        <f>Place_data_here!A985</f>
        <v>0</v>
      </c>
      <c r="B985" s="4" t="e">
        <f t="shared" si="15"/>
        <v>#VALUE!</v>
      </c>
      <c r="C985" s="1" t="e">
        <f>SplineInterp(A985,Own_Spectrum_100cm!$U$2:$U$34,Own_Spectrum_100cm!$V$2:$V$34)*D985</f>
        <v>#VALUE!</v>
      </c>
      <c r="D985" s="13">
        <f>Place_data_here!B985</f>
        <v>0</v>
      </c>
    </row>
    <row r="986" spans="1:4" x14ac:dyDescent="0.25">
      <c r="A986" s="16">
        <f>Place_data_here!A986</f>
        <v>0</v>
      </c>
      <c r="B986" s="4" t="e">
        <f t="shared" si="15"/>
        <v>#VALUE!</v>
      </c>
      <c r="C986" s="1" t="e">
        <f>SplineInterp(A986,Own_Spectrum_100cm!$U$2:$U$34,Own_Spectrum_100cm!$V$2:$V$34)*D986</f>
        <v>#VALUE!</v>
      </c>
      <c r="D986" s="13">
        <f>Place_data_here!B986</f>
        <v>0</v>
      </c>
    </row>
    <row r="987" spans="1:4" x14ac:dyDescent="0.25">
      <c r="A987" s="16">
        <f>Place_data_here!A987</f>
        <v>0</v>
      </c>
      <c r="B987" s="4" t="e">
        <f t="shared" si="15"/>
        <v>#VALUE!</v>
      </c>
      <c r="C987" s="1" t="e">
        <f>SplineInterp(A987,Own_Spectrum_100cm!$U$2:$U$34,Own_Spectrum_100cm!$V$2:$V$34)*D987</f>
        <v>#VALUE!</v>
      </c>
      <c r="D987" s="13">
        <f>Place_data_here!B987</f>
        <v>0</v>
      </c>
    </row>
    <row r="988" spans="1:4" x14ac:dyDescent="0.25">
      <c r="A988" s="16">
        <f>Place_data_here!A988</f>
        <v>0</v>
      </c>
      <c r="B988" s="4" t="e">
        <f t="shared" si="15"/>
        <v>#VALUE!</v>
      </c>
      <c r="C988" s="1" t="e">
        <f>SplineInterp(A988,Own_Spectrum_100cm!$U$2:$U$34,Own_Spectrum_100cm!$V$2:$V$34)*D988</f>
        <v>#VALUE!</v>
      </c>
      <c r="D988" s="13">
        <f>Place_data_here!B988</f>
        <v>0</v>
      </c>
    </row>
    <row r="989" spans="1:4" x14ac:dyDescent="0.25">
      <c r="A989" s="16">
        <f>Place_data_here!A989</f>
        <v>0</v>
      </c>
      <c r="B989" s="4" t="e">
        <f t="shared" si="15"/>
        <v>#VALUE!</v>
      </c>
      <c r="C989" s="1" t="e">
        <f>SplineInterp(A989,Own_Spectrum_100cm!$U$2:$U$34,Own_Spectrum_100cm!$V$2:$V$34)*D989</f>
        <v>#VALUE!</v>
      </c>
      <c r="D989" s="13">
        <f>Place_data_here!B989</f>
        <v>0</v>
      </c>
    </row>
    <row r="990" spans="1:4" x14ac:dyDescent="0.25">
      <c r="A990" s="16">
        <f>Place_data_here!A990</f>
        <v>0</v>
      </c>
      <c r="B990" s="4" t="e">
        <f t="shared" si="15"/>
        <v>#VALUE!</v>
      </c>
      <c r="C990" s="1" t="e">
        <f>SplineInterp(A990,Own_Spectrum_100cm!$U$2:$U$34,Own_Spectrum_100cm!$V$2:$V$34)*D990</f>
        <v>#VALUE!</v>
      </c>
      <c r="D990" s="13">
        <f>Place_data_here!B990</f>
        <v>0</v>
      </c>
    </row>
    <row r="991" spans="1:4" x14ac:dyDescent="0.25">
      <c r="A991" s="16">
        <f>Place_data_here!A991</f>
        <v>0</v>
      </c>
      <c r="B991" s="4" t="e">
        <f t="shared" si="15"/>
        <v>#VALUE!</v>
      </c>
      <c r="C991" s="1" t="e">
        <f>SplineInterp(A991,Own_Spectrum_100cm!$U$2:$U$34,Own_Spectrum_100cm!$V$2:$V$34)*D991</f>
        <v>#VALUE!</v>
      </c>
      <c r="D991" s="13">
        <f>Place_data_here!B991</f>
        <v>0</v>
      </c>
    </row>
    <row r="992" spans="1:4" x14ac:dyDescent="0.25">
      <c r="A992" s="16">
        <f>Place_data_here!A992</f>
        <v>0</v>
      </c>
      <c r="B992" s="4" t="e">
        <f t="shared" si="15"/>
        <v>#VALUE!</v>
      </c>
      <c r="C992" s="1" t="e">
        <f>SplineInterp(A992,Own_Spectrum_100cm!$U$2:$U$34,Own_Spectrum_100cm!$V$2:$V$34)*D992</f>
        <v>#VALUE!</v>
      </c>
      <c r="D992" s="13">
        <f>Place_data_here!B992</f>
        <v>0</v>
      </c>
    </row>
    <row r="993" spans="1:4" x14ac:dyDescent="0.25">
      <c r="A993" s="16">
        <f>Place_data_here!A993</f>
        <v>0</v>
      </c>
      <c r="B993" s="4" t="e">
        <f t="shared" si="15"/>
        <v>#VALUE!</v>
      </c>
      <c r="C993" s="1" t="e">
        <f>SplineInterp(A993,Own_Spectrum_100cm!$U$2:$U$34,Own_Spectrum_100cm!$V$2:$V$34)*D993</f>
        <v>#VALUE!</v>
      </c>
      <c r="D993" s="13">
        <f>Place_data_here!B993</f>
        <v>0</v>
      </c>
    </row>
    <row r="994" spans="1:4" x14ac:dyDescent="0.25">
      <c r="A994" s="16">
        <f>Place_data_here!A994</f>
        <v>0</v>
      </c>
      <c r="B994" s="4" t="e">
        <f t="shared" si="15"/>
        <v>#VALUE!</v>
      </c>
      <c r="C994" s="1" t="e">
        <f>SplineInterp(A994,Own_Spectrum_100cm!$U$2:$U$34,Own_Spectrum_100cm!$V$2:$V$34)*D994</f>
        <v>#VALUE!</v>
      </c>
      <c r="D994" s="13">
        <f>Place_data_here!B994</f>
        <v>0</v>
      </c>
    </row>
    <row r="995" spans="1:4" x14ac:dyDescent="0.25">
      <c r="A995" s="16">
        <f>Place_data_here!A995</f>
        <v>0</v>
      </c>
      <c r="B995" s="4" t="e">
        <f t="shared" si="15"/>
        <v>#VALUE!</v>
      </c>
      <c r="C995" s="1" t="e">
        <f>SplineInterp(A995,Own_Spectrum_100cm!$U$2:$U$34,Own_Spectrum_100cm!$V$2:$V$34)*D995</f>
        <v>#VALUE!</v>
      </c>
      <c r="D995" s="13">
        <f>Place_data_here!B995</f>
        <v>0</v>
      </c>
    </row>
    <row r="996" spans="1:4" x14ac:dyDescent="0.25">
      <c r="A996" s="16">
        <f>Place_data_here!A996</f>
        <v>0</v>
      </c>
      <c r="B996" s="4" t="e">
        <f t="shared" si="15"/>
        <v>#VALUE!</v>
      </c>
      <c r="C996" s="1" t="e">
        <f>SplineInterp(A996,Own_Spectrum_100cm!$U$2:$U$34,Own_Spectrum_100cm!$V$2:$V$34)*D996</f>
        <v>#VALUE!</v>
      </c>
      <c r="D996" s="13">
        <f>Place_data_here!B996</f>
        <v>0</v>
      </c>
    </row>
    <row r="997" spans="1:4" x14ac:dyDescent="0.25">
      <c r="A997" s="16">
        <f>Place_data_here!A997</f>
        <v>0</v>
      </c>
      <c r="B997" s="4" t="e">
        <f t="shared" si="15"/>
        <v>#VALUE!</v>
      </c>
      <c r="C997" s="1" t="e">
        <f>SplineInterp(A997,Own_Spectrum_100cm!$U$2:$U$34,Own_Spectrum_100cm!$V$2:$V$34)*D997</f>
        <v>#VALUE!</v>
      </c>
      <c r="D997" s="13">
        <f>Place_data_here!B997</f>
        <v>0</v>
      </c>
    </row>
    <row r="998" spans="1:4" x14ac:dyDescent="0.25">
      <c r="A998" s="16">
        <f>Place_data_here!A998</f>
        <v>0</v>
      </c>
      <c r="B998" s="4" t="e">
        <f t="shared" si="15"/>
        <v>#VALUE!</v>
      </c>
      <c r="C998" s="1" t="e">
        <f>SplineInterp(A998,Own_Spectrum_100cm!$U$2:$U$34,Own_Spectrum_100cm!$V$2:$V$34)*D998</f>
        <v>#VALUE!</v>
      </c>
      <c r="D998" s="13">
        <f>Place_data_here!B998</f>
        <v>0</v>
      </c>
    </row>
    <row r="999" spans="1:4" x14ac:dyDescent="0.25">
      <c r="A999" s="16">
        <f>Place_data_here!A999</f>
        <v>0</v>
      </c>
      <c r="B999" s="4" t="e">
        <f t="shared" si="15"/>
        <v>#VALUE!</v>
      </c>
      <c r="C999" s="1" t="e">
        <f>SplineInterp(A999,Own_Spectrum_100cm!$U$2:$U$34,Own_Spectrum_100cm!$V$2:$V$34)*D999</f>
        <v>#VALUE!</v>
      </c>
      <c r="D999" s="13">
        <f>Place_data_here!B999</f>
        <v>0</v>
      </c>
    </row>
    <row r="1000" spans="1:4" x14ac:dyDescent="0.25">
      <c r="A1000" s="16">
        <f>Place_data_here!A1000</f>
        <v>0</v>
      </c>
      <c r="B1000" s="4" t="e">
        <f t="shared" si="15"/>
        <v>#VALUE!</v>
      </c>
      <c r="C1000" s="1" t="e">
        <f>SplineInterp(A1000,Own_Spectrum_100cm!$U$2:$U$34,Own_Spectrum_100cm!$V$2:$V$34)*D1000</f>
        <v>#VALUE!</v>
      </c>
      <c r="D1000" s="13">
        <f>Place_data_here!B1000</f>
        <v>0</v>
      </c>
    </row>
    <row r="1001" spans="1:4" x14ac:dyDescent="0.25">
      <c r="A1001" s="16">
        <f>Place_data_here!A1001</f>
        <v>0</v>
      </c>
      <c r="B1001" s="4" t="e">
        <f t="shared" si="15"/>
        <v>#VALUE!</v>
      </c>
      <c r="C1001" s="1" t="e">
        <f>SplineInterp(A1001,Own_Spectrum_100cm!$U$2:$U$34,Own_Spectrum_100cm!$V$2:$V$34)*D1001</f>
        <v>#VALUE!</v>
      </c>
      <c r="D1001" s="13">
        <f>Place_data_here!B1001</f>
        <v>0</v>
      </c>
    </row>
    <row r="1002" spans="1:4" x14ac:dyDescent="0.25">
      <c r="A1002" s="16">
        <f>Place_data_here!A1002</f>
        <v>0</v>
      </c>
      <c r="B1002" s="4" t="e">
        <f t="shared" si="15"/>
        <v>#VALUE!</v>
      </c>
      <c r="C1002" s="1" t="e">
        <f>SplineInterp(A1002,Own_Spectrum_100cm!$U$2:$U$34,Own_Spectrum_100cm!$V$2:$V$34)*D1002</f>
        <v>#VALUE!</v>
      </c>
      <c r="D1002" s="13">
        <f>Place_data_here!B1002</f>
        <v>0</v>
      </c>
    </row>
    <row r="1003" spans="1:4" x14ac:dyDescent="0.25">
      <c r="A1003" s="16">
        <f>Place_data_here!A1003</f>
        <v>0</v>
      </c>
      <c r="B1003" s="4" t="e">
        <f t="shared" si="15"/>
        <v>#VALUE!</v>
      </c>
      <c r="C1003" s="1" t="e">
        <f>SplineInterp(A1003,Own_Spectrum_100cm!$U$2:$U$34,Own_Spectrum_100cm!$V$2:$V$34)*D1003</f>
        <v>#VALUE!</v>
      </c>
      <c r="D1003" s="13">
        <f>Place_data_here!B1003</f>
        <v>0</v>
      </c>
    </row>
    <row r="1004" spans="1:4" x14ac:dyDescent="0.25">
      <c r="A1004" s="16">
        <f>Place_data_here!A1004</f>
        <v>0</v>
      </c>
      <c r="B1004" s="4" t="e">
        <f t="shared" si="15"/>
        <v>#VALUE!</v>
      </c>
      <c r="C1004" s="1" t="e">
        <f>SplineInterp(A1004,Own_Spectrum_100cm!$U$2:$U$34,Own_Spectrum_100cm!$V$2:$V$34)*D1004</f>
        <v>#VALUE!</v>
      </c>
      <c r="D1004" s="13">
        <f>Place_data_here!B1004</f>
        <v>0</v>
      </c>
    </row>
    <row r="1005" spans="1:4" x14ac:dyDescent="0.25">
      <c r="A1005" s="16">
        <f>Place_data_here!A1005</f>
        <v>0</v>
      </c>
      <c r="B1005" s="4" t="e">
        <f t="shared" si="15"/>
        <v>#VALUE!</v>
      </c>
      <c r="C1005" s="1" t="e">
        <f>SplineInterp(A1005,Own_Spectrum_100cm!$U$2:$U$34,Own_Spectrum_100cm!$V$2:$V$34)*D1005</f>
        <v>#VALUE!</v>
      </c>
      <c r="D1005" s="13">
        <f>Place_data_here!B1005</f>
        <v>0</v>
      </c>
    </row>
    <row r="1006" spans="1:4" x14ac:dyDescent="0.25">
      <c r="A1006" s="16">
        <f>Place_data_here!A1006</f>
        <v>0</v>
      </c>
      <c r="B1006" s="4" t="e">
        <f t="shared" si="15"/>
        <v>#VALUE!</v>
      </c>
      <c r="C1006" s="1" t="e">
        <f>SplineInterp(A1006,Own_Spectrum_100cm!$U$2:$U$34,Own_Spectrum_100cm!$V$2:$V$34)*D1006</f>
        <v>#VALUE!</v>
      </c>
      <c r="D1006" s="13">
        <f>Place_data_here!B1006</f>
        <v>0</v>
      </c>
    </row>
    <row r="1007" spans="1:4" x14ac:dyDescent="0.25">
      <c r="A1007" s="16">
        <f>Place_data_here!A1007</f>
        <v>0</v>
      </c>
      <c r="B1007" s="4" t="e">
        <f t="shared" si="15"/>
        <v>#VALUE!</v>
      </c>
      <c r="C1007" s="1" t="e">
        <f>SplineInterp(A1007,Own_Spectrum_100cm!$U$2:$U$34,Own_Spectrum_100cm!$V$2:$V$34)*D1007</f>
        <v>#VALUE!</v>
      </c>
      <c r="D1007" s="13">
        <f>Place_data_here!B1007</f>
        <v>0</v>
      </c>
    </row>
    <row r="1008" spans="1:4" x14ac:dyDescent="0.25">
      <c r="A1008" s="16">
        <f>Place_data_here!A1008</f>
        <v>0</v>
      </c>
      <c r="B1008" s="4" t="e">
        <f t="shared" si="15"/>
        <v>#VALUE!</v>
      </c>
      <c r="C1008" s="1" t="e">
        <f>SplineInterp(A1008,Own_Spectrum_100cm!$U$2:$U$34,Own_Spectrum_100cm!$V$2:$V$34)*D1008</f>
        <v>#VALUE!</v>
      </c>
      <c r="D1008" s="13">
        <f>Place_data_here!B1008</f>
        <v>0</v>
      </c>
    </row>
    <row r="1009" spans="1:4" x14ac:dyDescent="0.25">
      <c r="A1009" s="16">
        <f>Place_data_here!A1009</f>
        <v>0</v>
      </c>
      <c r="B1009" s="4" t="e">
        <f t="shared" si="15"/>
        <v>#VALUE!</v>
      </c>
      <c r="C1009" s="1" t="e">
        <f>SplineInterp(A1009,Own_Spectrum_100cm!$U$2:$U$34,Own_Spectrum_100cm!$V$2:$V$34)*D1009</f>
        <v>#VALUE!</v>
      </c>
      <c r="D1009" s="13">
        <f>Place_data_here!B1009</f>
        <v>0</v>
      </c>
    </row>
    <row r="1010" spans="1:4" x14ac:dyDescent="0.25">
      <c r="A1010" s="16">
        <f>Place_data_here!A1010</f>
        <v>0</v>
      </c>
      <c r="B1010" s="4" t="e">
        <f t="shared" si="15"/>
        <v>#VALUE!</v>
      </c>
      <c r="C1010" s="1" t="e">
        <f>SplineInterp(A1010,Own_Spectrum_100cm!$U$2:$U$34,Own_Spectrum_100cm!$V$2:$V$34)*D1010</f>
        <v>#VALUE!</v>
      </c>
      <c r="D1010" s="13">
        <f>Place_data_here!B1010</f>
        <v>0</v>
      </c>
    </row>
    <row r="1011" spans="1:4" x14ac:dyDescent="0.25">
      <c r="A1011" s="16">
        <f>Place_data_here!A1011</f>
        <v>0</v>
      </c>
      <c r="B1011" s="4" t="e">
        <f t="shared" si="15"/>
        <v>#VALUE!</v>
      </c>
      <c r="C1011" s="1" t="e">
        <f>SplineInterp(A1011,Own_Spectrum_100cm!$U$2:$U$34,Own_Spectrum_100cm!$V$2:$V$34)*D1011</f>
        <v>#VALUE!</v>
      </c>
      <c r="D1011" s="13">
        <f>Place_data_here!B1011</f>
        <v>0</v>
      </c>
    </row>
    <row r="1012" spans="1:4" x14ac:dyDescent="0.25">
      <c r="A1012" s="16">
        <f>Place_data_here!A1012</f>
        <v>0</v>
      </c>
      <c r="B1012" s="4" t="e">
        <f t="shared" si="15"/>
        <v>#VALUE!</v>
      </c>
      <c r="C1012" s="1" t="e">
        <f>SplineInterp(A1012,Own_Spectrum_100cm!$U$2:$U$34,Own_Spectrum_100cm!$V$2:$V$34)*D1012</f>
        <v>#VALUE!</v>
      </c>
      <c r="D1012" s="13">
        <f>Place_data_here!B1012</f>
        <v>0</v>
      </c>
    </row>
    <row r="1013" spans="1:4" x14ac:dyDescent="0.25">
      <c r="A1013" s="16">
        <f>Place_data_here!A1013</f>
        <v>0</v>
      </c>
      <c r="B1013" s="4" t="e">
        <f t="shared" si="15"/>
        <v>#VALUE!</v>
      </c>
      <c r="C1013" s="1" t="e">
        <f>SplineInterp(A1013,Own_Spectrum_100cm!$U$2:$U$34,Own_Spectrum_100cm!$V$2:$V$34)*D1013</f>
        <v>#VALUE!</v>
      </c>
      <c r="D1013" s="13">
        <f>Place_data_here!B1013</f>
        <v>0</v>
      </c>
    </row>
    <row r="1014" spans="1:4" x14ac:dyDescent="0.25">
      <c r="A1014" s="16">
        <f>Place_data_here!A1014</f>
        <v>0</v>
      </c>
      <c r="B1014" s="4" t="e">
        <f t="shared" si="15"/>
        <v>#VALUE!</v>
      </c>
      <c r="C1014" s="1" t="e">
        <f>SplineInterp(A1014,Own_Spectrum_100cm!$U$2:$U$34,Own_Spectrum_100cm!$V$2:$V$34)*D1014</f>
        <v>#VALUE!</v>
      </c>
      <c r="D1014" s="13">
        <f>Place_data_here!B1014</f>
        <v>0</v>
      </c>
    </row>
    <row r="1015" spans="1:4" x14ac:dyDescent="0.25">
      <c r="A1015" s="16">
        <f>Place_data_here!A1015</f>
        <v>0</v>
      </c>
      <c r="B1015" s="4" t="e">
        <f t="shared" si="15"/>
        <v>#VALUE!</v>
      </c>
      <c r="C1015" s="1" t="e">
        <f>SplineInterp(A1015,Own_Spectrum_100cm!$U$2:$U$34,Own_Spectrum_100cm!$V$2:$V$34)*D1015</f>
        <v>#VALUE!</v>
      </c>
      <c r="D1015" s="13">
        <f>Place_data_here!B1015</f>
        <v>0</v>
      </c>
    </row>
    <row r="1016" spans="1:4" x14ac:dyDescent="0.25">
      <c r="A1016" s="16">
        <f>Place_data_here!A1016</f>
        <v>0</v>
      </c>
      <c r="B1016" s="4" t="e">
        <f t="shared" si="15"/>
        <v>#VALUE!</v>
      </c>
      <c r="C1016" s="1" t="e">
        <f>SplineInterp(A1016,Own_Spectrum_100cm!$U$2:$U$34,Own_Spectrum_100cm!$V$2:$V$34)*D1016</f>
        <v>#VALUE!</v>
      </c>
      <c r="D1016" s="13">
        <f>Place_data_here!B1016</f>
        <v>0</v>
      </c>
    </row>
    <row r="1017" spans="1:4" x14ac:dyDescent="0.25">
      <c r="A1017" s="16">
        <f>Place_data_here!A1017</f>
        <v>0</v>
      </c>
      <c r="B1017" s="4" t="e">
        <f t="shared" si="15"/>
        <v>#VALUE!</v>
      </c>
      <c r="C1017" s="1" t="e">
        <f>SplineInterp(A1017,Own_Spectrum_100cm!$U$2:$U$34,Own_Spectrum_100cm!$V$2:$V$34)*D1017</f>
        <v>#VALUE!</v>
      </c>
      <c r="D1017" s="13">
        <f>Place_data_here!B1017</f>
        <v>0</v>
      </c>
    </row>
    <row r="1018" spans="1:4" x14ac:dyDescent="0.25">
      <c r="A1018" s="16">
        <f>Place_data_here!A1018</f>
        <v>0</v>
      </c>
      <c r="B1018" s="4" t="e">
        <f t="shared" si="15"/>
        <v>#VALUE!</v>
      </c>
      <c r="C1018" s="1" t="e">
        <f>SplineInterp(A1018,Own_Spectrum_100cm!$U$2:$U$34,Own_Spectrum_100cm!$V$2:$V$34)*D1018</f>
        <v>#VALUE!</v>
      </c>
      <c r="D1018" s="13">
        <f>Place_data_here!B1018</f>
        <v>0</v>
      </c>
    </row>
    <row r="1019" spans="1:4" x14ac:dyDescent="0.25">
      <c r="A1019" s="16">
        <f>Place_data_here!A1019</f>
        <v>0</v>
      </c>
      <c r="B1019" s="4" t="e">
        <f t="shared" si="15"/>
        <v>#VALUE!</v>
      </c>
      <c r="C1019" s="1" t="e">
        <f>SplineInterp(A1019,Own_Spectrum_100cm!$U$2:$U$34,Own_Spectrum_100cm!$V$2:$V$34)*D1019</f>
        <v>#VALUE!</v>
      </c>
      <c r="D1019" s="13">
        <f>Place_data_here!B1019</f>
        <v>0</v>
      </c>
    </row>
    <row r="1020" spans="1:4" x14ac:dyDescent="0.25">
      <c r="A1020" s="16">
        <f>Place_data_here!A1020</f>
        <v>0</v>
      </c>
      <c r="B1020" s="4" t="e">
        <f t="shared" si="15"/>
        <v>#VALUE!</v>
      </c>
      <c r="C1020" s="1" t="e">
        <f>SplineInterp(A1020,Own_Spectrum_100cm!$U$2:$U$34,Own_Spectrum_100cm!$V$2:$V$34)*D1020</f>
        <v>#VALUE!</v>
      </c>
      <c r="D1020" s="13">
        <f>Place_data_here!B1020</f>
        <v>0</v>
      </c>
    </row>
    <row r="1021" spans="1:4" x14ac:dyDescent="0.25">
      <c r="A1021" s="16">
        <f>Place_data_here!A1021</f>
        <v>0</v>
      </c>
      <c r="B1021" s="4" t="e">
        <f t="shared" si="15"/>
        <v>#VALUE!</v>
      </c>
      <c r="C1021" s="1" t="e">
        <f>SplineInterp(A1021,Own_Spectrum_100cm!$U$2:$U$34,Own_Spectrum_100cm!$V$2:$V$34)*D1021</f>
        <v>#VALUE!</v>
      </c>
      <c r="D1021" s="13">
        <f>Place_data_here!B1021</f>
        <v>0</v>
      </c>
    </row>
    <row r="1022" spans="1:4" x14ac:dyDescent="0.25">
      <c r="A1022" s="16">
        <f>Place_data_here!A1022</f>
        <v>0</v>
      </c>
      <c r="B1022" s="4" t="e">
        <f t="shared" si="15"/>
        <v>#VALUE!</v>
      </c>
      <c r="C1022" s="1" t="e">
        <f>SplineInterp(A1022,Own_Spectrum_100cm!$U$2:$U$34,Own_Spectrum_100cm!$V$2:$V$34)*D1022</f>
        <v>#VALUE!</v>
      </c>
      <c r="D1022" s="13">
        <f>Place_data_here!B1022</f>
        <v>0</v>
      </c>
    </row>
    <row r="1023" spans="1:4" x14ac:dyDescent="0.25">
      <c r="A1023" s="16">
        <f>Place_data_here!A1023</f>
        <v>0</v>
      </c>
      <c r="B1023" s="4" t="e">
        <f t="shared" si="15"/>
        <v>#VALUE!</v>
      </c>
      <c r="C1023" s="1" t="e">
        <f>SplineInterp(A1023,Own_Spectrum_100cm!$U$2:$U$34,Own_Spectrum_100cm!$V$2:$V$34)*D1023</f>
        <v>#VALUE!</v>
      </c>
      <c r="D1023" s="13">
        <f>Place_data_here!B1023</f>
        <v>0</v>
      </c>
    </row>
    <row r="1024" spans="1:4" x14ac:dyDescent="0.25">
      <c r="A1024" s="16">
        <f>Place_data_here!A1024</f>
        <v>0</v>
      </c>
      <c r="B1024" s="4" t="e">
        <f t="shared" si="15"/>
        <v>#VALUE!</v>
      </c>
      <c r="C1024" s="1" t="e">
        <f>SplineInterp(A1024,Own_Spectrum_100cm!$U$2:$U$34,Own_Spectrum_100cm!$V$2:$V$34)*D1024</f>
        <v>#VALUE!</v>
      </c>
      <c r="D1024" s="13">
        <f>Place_data_here!B1024</f>
        <v>0</v>
      </c>
    </row>
    <row r="1025" spans="1:4" x14ac:dyDescent="0.25">
      <c r="A1025" s="16">
        <f>Place_data_here!A1025</f>
        <v>0</v>
      </c>
      <c r="B1025" s="4" t="e">
        <f t="shared" si="15"/>
        <v>#VALUE!</v>
      </c>
      <c r="C1025" s="1" t="e">
        <f>SplineInterp(A1025,Own_Spectrum_100cm!$U$2:$U$34,Own_Spectrum_100cm!$V$2:$V$34)*D1025</f>
        <v>#VALUE!</v>
      </c>
      <c r="D1025" s="13">
        <f>Place_data_here!B1025</f>
        <v>0</v>
      </c>
    </row>
    <row r="1026" spans="1:4" x14ac:dyDescent="0.25">
      <c r="A1026" s="16">
        <f>Place_data_here!A1026</f>
        <v>0</v>
      </c>
      <c r="B1026" s="4" t="e">
        <f t="shared" si="15"/>
        <v>#VALUE!</v>
      </c>
      <c r="C1026" s="1" t="e">
        <f>SplineInterp(A1026,Own_Spectrum_100cm!$U$2:$U$34,Own_Spectrum_100cm!$V$2:$V$34)*D1026</f>
        <v>#VALUE!</v>
      </c>
      <c r="D1026" s="13">
        <f>Place_data_here!B1026</f>
        <v>0</v>
      </c>
    </row>
    <row r="1028" spans="1:4" x14ac:dyDescent="0.25">
      <c r="B1028" s="4" t="s">
        <v>20</v>
      </c>
      <c r="C1028" s="1">
        <f>_xlfn.AGGREGATE(9,6,C2:C1026)</f>
        <v>3.0145339063884629E-6</v>
      </c>
    </row>
  </sheetData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27"/>
  <dimension ref="A1:B77"/>
  <sheetViews>
    <sheetView workbookViewId="0">
      <selection activeCell="L31" sqref="L31"/>
    </sheetView>
  </sheetViews>
  <sheetFormatPr defaultRowHeight="15" x14ac:dyDescent="0.25"/>
  <cols>
    <col min="1" max="1" width="14.28515625" style="4" customWidth="1"/>
    <col min="2" max="2" width="18.7109375" style="4" customWidth="1"/>
    <col min="3" max="16384" width="9.140625" style="4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7</v>
      </c>
      <c r="B2" s="14">
        <v>1.23E-3</v>
      </c>
    </row>
    <row r="3" spans="1:2" x14ac:dyDescent="0.25">
      <c r="A3" s="14">
        <v>7.2</v>
      </c>
      <c r="B3" s="14">
        <v>1.09E-3</v>
      </c>
    </row>
    <row r="4" spans="1:2" x14ac:dyDescent="0.25">
      <c r="A4" s="14">
        <v>7.4</v>
      </c>
      <c r="B4" s="14">
        <v>2.0300000000000001E-3</v>
      </c>
    </row>
    <row r="5" spans="1:2" x14ac:dyDescent="0.25">
      <c r="A5" s="14">
        <v>7.6</v>
      </c>
      <c r="B5" s="14">
        <v>1.74E-4</v>
      </c>
    </row>
    <row r="6" spans="1:2" x14ac:dyDescent="0.25">
      <c r="A6" s="14">
        <v>7.8</v>
      </c>
      <c r="B6" s="14">
        <v>7.5500000000000003E-4</v>
      </c>
    </row>
    <row r="7" spans="1:2" x14ac:dyDescent="0.25">
      <c r="A7" s="14">
        <v>8</v>
      </c>
      <c r="B7" s="14">
        <v>1.5299999999999999E-3</v>
      </c>
    </row>
    <row r="8" spans="1:2" x14ac:dyDescent="0.25">
      <c r="A8" s="14">
        <v>8.1999999999999993</v>
      </c>
      <c r="B8" s="14">
        <v>5.31E-4</v>
      </c>
    </row>
    <row r="9" spans="1:2" x14ac:dyDescent="0.25">
      <c r="A9" s="14">
        <v>8.4</v>
      </c>
      <c r="B9" s="14">
        <v>8.2799999999999996E-4</v>
      </c>
    </row>
    <row r="10" spans="1:2" x14ac:dyDescent="0.25">
      <c r="A10" s="14">
        <v>8.6</v>
      </c>
      <c r="B10" s="14">
        <v>1.14E-3</v>
      </c>
    </row>
    <row r="11" spans="1:2" x14ac:dyDescent="0.25">
      <c r="A11" s="14">
        <v>8.8000000000000007</v>
      </c>
      <c r="B11" s="14">
        <v>1.1100000000000001E-3</v>
      </c>
    </row>
    <row r="12" spans="1:2" x14ac:dyDescent="0.25">
      <c r="A12" s="14">
        <v>9</v>
      </c>
      <c r="B12" s="14">
        <v>4.37E-4</v>
      </c>
    </row>
    <row r="13" spans="1:2" x14ac:dyDescent="0.25">
      <c r="A13" s="14">
        <v>9.1999999999999993</v>
      </c>
      <c r="B13" s="14">
        <v>9.4300000000000004E-4</v>
      </c>
    </row>
    <row r="14" spans="1:2" x14ac:dyDescent="0.25">
      <c r="A14" s="14">
        <v>9.4</v>
      </c>
      <c r="B14" s="14">
        <v>8.4699999999999999E-4</v>
      </c>
    </row>
    <row r="15" spans="1:2" x14ac:dyDescent="0.25">
      <c r="A15" s="14">
        <v>9.6</v>
      </c>
      <c r="B15" s="14">
        <v>1.82E-3</v>
      </c>
    </row>
    <row r="16" spans="1:2" x14ac:dyDescent="0.25">
      <c r="A16" s="14">
        <v>9.8000000000000007</v>
      </c>
      <c r="B16" s="14">
        <v>3.3300000000000001E-3</v>
      </c>
    </row>
    <row r="17" spans="1:2" x14ac:dyDescent="0.25">
      <c r="A17" s="14">
        <v>10</v>
      </c>
      <c r="B17" s="14">
        <v>3.7200000000000002E-3</v>
      </c>
    </row>
    <row r="18" spans="1:2" x14ac:dyDescent="0.25">
      <c r="A18" s="14">
        <v>10.199999999999999</v>
      </c>
      <c r="B18" s="14">
        <v>2.1099999999999999E-3</v>
      </c>
    </row>
    <row r="19" spans="1:2" x14ac:dyDescent="0.25">
      <c r="A19" s="14">
        <v>10.4</v>
      </c>
      <c r="B19" s="14">
        <v>1.74E-3</v>
      </c>
    </row>
    <row r="20" spans="1:2" x14ac:dyDescent="0.25">
      <c r="A20" s="14">
        <v>10.6</v>
      </c>
      <c r="B20" s="14">
        <v>2.0500000000000002E-3</v>
      </c>
    </row>
    <row r="21" spans="1:2" x14ac:dyDescent="0.25">
      <c r="A21" s="14">
        <v>10.8</v>
      </c>
      <c r="B21" s="14">
        <v>2.7299999999999998E-3</v>
      </c>
    </row>
    <row r="22" spans="1:2" x14ac:dyDescent="0.25">
      <c r="A22" s="14">
        <v>11</v>
      </c>
      <c r="B22" s="14">
        <v>3.3899999999999998E-3</v>
      </c>
    </row>
    <row r="23" spans="1:2" x14ac:dyDescent="0.25">
      <c r="A23" s="14">
        <v>11.2</v>
      </c>
      <c r="B23" s="14">
        <v>6.45E-3</v>
      </c>
    </row>
    <row r="24" spans="1:2" x14ac:dyDescent="0.25">
      <c r="A24" s="14">
        <v>11.4</v>
      </c>
      <c r="B24" s="14">
        <v>8.8699999999999994E-3</v>
      </c>
    </row>
    <row r="25" spans="1:2" x14ac:dyDescent="0.25">
      <c r="A25" s="14">
        <v>11.6</v>
      </c>
      <c r="B25" s="14">
        <v>8.1799999999999998E-3</v>
      </c>
    </row>
    <row r="26" spans="1:2" x14ac:dyDescent="0.25">
      <c r="A26" s="14">
        <v>11.8</v>
      </c>
      <c r="B26" s="14">
        <v>8.1499999999999993E-3</v>
      </c>
    </row>
    <row r="27" spans="1:2" x14ac:dyDescent="0.25">
      <c r="A27" s="14">
        <v>12</v>
      </c>
      <c r="B27" s="14">
        <v>9.5399999999999999E-3</v>
      </c>
    </row>
    <row r="28" spans="1:2" x14ac:dyDescent="0.25">
      <c r="A28" s="14">
        <v>12.2</v>
      </c>
      <c r="B28" s="14">
        <v>1.0500000000000001E-2</v>
      </c>
    </row>
    <row r="29" spans="1:2" x14ac:dyDescent="0.25">
      <c r="A29" s="14">
        <v>12.4</v>
      </c>
      <c r="B29" s="14">
        <v>1.12E-2</v>
      </c>
    </row>
    <row r="30" spans="1:2" x14ac:dyDescent="0.25">
      <c r="A30" s="14">
        <v>12.6</v>
      </c>
      <c r="B30" s="14">
        <v>1.34E-2</v>
      </c>
    </row>
    <row r="31" spans="1:2" x14ac:dyDescent="0.25">
      <c r="A31" s="14">
        <v>12.8</v>
      </c>
      <c r="B31" s="14">
        <v>1.4500000000000001E-2</v>
      </c>
    </row>
    <row r="32" spans="1:2" x14ac:dyDescent="0.25">
      <c r="A32" s="14">
        <v>13</v>
      </c>
      <c r="B32" s="14">
        <v>1.7000000000000001E-2</v>
      </c>
    </row>
    <row r="33" spans="1:2" x14ac:dyDescent="0.25">
      <c r="A33" s="14">
        <v>13.2</v>
      </c>
      <c r="B33" s="14">
        <v>1.78E-2</v>
      </c>
    </row>
    <row r="34" spans="1:2" x14ac:dyDescent="0.25">
      <c r="A34" s="14">
        <v>13.4</v>
      </c>
      <c r="B34" s="14">
        <v>1.9699999999999999E-2</v>
      </c>
    </row>
    <row r="35" spans="1:2" x14ac:dyDescent="0.25">
      <c r="A35" s="14">
        <v>13.6</v>
      </c>
      <c r="B35" s="14">
        <v>2.18E-2</v>
      </c>
    </row>
    <row r="36" spans="1:2" x14ac:dyDescent="0.25">
      <c r="A36" s="14">
        <v>13.8</v>
      </c>
      <c r="B36" s="14">
        <v>2.2800000000000001E-2</v>
      </c>
    </row>
    <row r="37" spans="1:2" x14ac:dyDescent="0.25">
      <c r="A37" s="14">
        <v>14</v>
      </c>
      <c r="B37" s="14">
        <v>2.47E-2</v>
      </c>
    </row>
    <row r="38" spans="1:2" x14ac:dyDescent="0.25">
      <c r="A38" s="14">
        <v>14.2</v>
      </c>
      <c r="B38" s="14">
        <v>2.6700000000000002E-2</v>
      </c>
    </row>
    <row r="39" spans="1:2" x14ac:dyDescent="0.25">
      <c r="A39" s="14">
        <v>14.4</v>
      </c>
      <c r="B39" s="14">
        <v>2.7300000000000001E-2</v>
      </c>
    </row>
    <row r="40" spans="1:2" x14ac:dyDescent="0.25">
      <c r="A40" s="14">
        <v>14.6</v>
      </c>
      <c r="B40" s="14">
        <v>2.8799999999999999E-2</v>
      </c>
    </row>
    <row r="41" spans="1:2" x14ac:dyDescent="0.25">
      <c r="A41" s="14">
        <v>14.8</v>
      </c>
      <c r="B41" s="14">
        <v>2.9700000000000001E-2</v>
      </c>
    </row>
    <row r="42" spans="1:2" x14ac:dyDescent="0.25">
      <c r="A42" s="14">
        <v>15</v>
      </c>
      <c r="B42" s="14">
        <v>3.1E-2</v>
      </c>
    </row>
    <row r="43" spans="1:2" x14ac:dyDescent="0.25">
      <c r="A43" s="14">
        <v>15.2</v>
      </c>
      <c r="B43" s="14">
        <v>3.1199999999999999E-2</v>
      </c>
    </row>
    <row r="44" spans="1:2" x14ac:dyDescent="0.25">
      <c r="A44" s="14">
        <v>15.4</v>
      </c>
      <c r="B44" s="14">
        <v>3.1699999999999999E-2</v>
      </c>
    </row>
    <row r="45" spans="1:2" x14ac:dyDescent="0.25">
      <c r="A45" s="14">
        <v>15.6</v>
      </c>
      <c r="B45" s="14">
        <v>3.2800000000000003E-2</v>
      </c>
    </row>
    <row r="46" spans="1:2" x14ac:dyDescent="0.25">
      <c r="A46" s="14">
        <v>15.8</v>
      </c>
      <c r="B46" s="14">
        <v>3.2399999999999998E-2</v>
      </c>
    </row>
    <row r="47" spans="1:2" x14ac:dyDescent="0.25">
      <c r="A47" s="14">
        <v>16</v>
      </c>
      <c r="B47" s="14">
        <v>3.27E-2</v>
      </c>
    </row>
    <row r="48" spans="1:2" x14ac:dyDescent="0.25">
      <c r="A48" s="14">
        <v>16.2</v>
      </c>
      <c r="B48" s="14">
        <v>3.2399999999999998E-2</v>
      </c>
    </row>
    <row r="49" spans="1:2" x14ac:dyDescent="0.25">
      <c r="A49" s="14">
        <v>16.399999999999999</v>
      </c>
      <c r="B49" s="14">
        <v>3.2599999999999997E-2</v>
      </c>
    </row>
    <row r="50" spans="1:2" x14ac:dyDescent="0.25">
      <c r="A50" s="14">
        <v>16.600000000000001</v>
      </c>
      <c r="B50" s="14">
        <v>3.2199999999999999E-2</v>
      </c>
    </row>
    <row r="51" spans="1:2" x14ac:dyDescent="0.25">
      <c r="A51" s="14">
        <v>16.8</v>
      </c>
      <c r="B51" s="14">
        <v>3.2199999999999999E-2</v>
      </c>
    </row>
    <row r="52" spans="1:2" x14ac:dyDescent="0.25">
      <c r="A52" s="14">
        <v>17</v>
      </c>
      <c r="B52" s="14">
        <v>3.1E-2</v>
      </c>
    </row>
    <row r="53" spans="1:2" x14ac:dyDescent="0.25">
      <c r="A53" s="14">
        <v>17.2</v>
      </c>
      <c r="B53" s="14">
        <v>3.0200000000000001E-2</v>
      </c>
    </row>
    <row r="54" spans="1:2" x14ac:dyDescent="0.25">
      <c r="A54" s="14">
        <v>17.399999999999999</v>
      </c>
      <c r="B54" s="14">
        <v>2.9100000000000001E-2</v>
      </c>
    </row>
    <row r="55" spans="1:2" x14ac:dyDescent="0.25">
      <c r="A55" s="14">
        <v>17.600000000000001</v>
      </c>
      <c r="B55" s="14">
        <v>2.7799999999999998E-2</v>
      </c>
    </row>
    <row r="56" spans="1:2" x14ac:dyDescent="0.25">
      <c r="A56" s="14">
        <v>17.8</v>
      </c>
      <c r="B56" s="14">
        <v>2.69E-2</v>
      </c>
    </row>
    <row r="57" spans="1:2" x14ac:dyDescent="0.25">
      <c r="A57" s="14">
        <v>18</v>
      </c>
      <c r="B57" s="14">
        <v>2.5499999999999998E-2</v>
      </c>
    </row>
    <row r="58" spans="1:2" x14ac:dyDescent="0.25">
      <c r="A58" s="14">
        <v>18.2</v>
      </c>
      <c r="B58" s="14">
        <v>2.41E-2</v>
      </c>
    </row>
    <row r="59" spans="1:2" x14ac:dyDescent="0.25">
      <c r="A59" s="14">
        <v>18.399999999999999</v>
      </c>
      <c r="B59" s="14">
        <v>2.2499999999999999E-2</v>
      </c>
    </row>
    <row r="60" spans="1:2" x14ac:dyDescent="0.25">
      <c r="A60" s="14">
        <v>18.600000000000001</v>
      </c>
      <c r="B60" s="14">
        <v>2.0400000000000001E-2</v>
      </c>
    </row>
    <row r="61" spans="1:2" x14ac:dyDescent="0.25">
      <c r="A61" s="14">
        <v>18.8</v>
      </c>
      <c r="B61" s="14">
        <v>1.9099999999999999E-2</v>
      </c>
    </row>
    <row r="62" spans="1:2" x14ac:dyDescent="0.25">
      <c r="A62" s="14">
        <v>19</v>
      </c>
      <c r="B62" s="14">
        <v>1.66E-2</v>
      </c>
    </row>
    <row r="63" spans="1:2" x14ac:dyDescent="0.25">
      <c r="A63" s="14">
        <v>19.2</v>
      </c>
      <c r="B63" s="14">
        <v>1.47E-2</v>
      </c>
    </row>
    <row r="64" spans="1:2" x14ac:dyDescent="0.25">
      <c r="A64" s="14">
        <v>19.399999999999999</v>
      </c>
      <c r="B64" s="14">
        <v>1.2E-2</v>
      </c>
    </row>
    <row r="65" spans="1:2" x14ac:dyDescent="0.25">
      <c r="A65" s="14">
        <v>19.600000000000001</v>
      </c>
      <c r="B65" s="14">
        <v>9.5099999999999994E-3</v>
      </c>
    </row>
    <row r="66" spans="1:2" x14ac:dyDescent="0.25">
      <c r="A66" s="14">
        <v>19.8</v>
      </c>
      <c r="B66" s="14">
        <v>6.3200000000000001E-3</v>
      </c>
    </row>
    <row r="67" spans="1:2" x14ac:dyDescent="0.25">
      <c r="A67" s="14">
        <v>20</v>
      </c>
      <c r="B67" s="14">
        <v>2.2200000000000002E-3</v>
      </c>
    </row>
    <row r="68" spans="1:2" x14ac:dyDescent="0.25">
      <c r="A68" s="14">
        <v>20.2</v>
      </c>
      <c r="B68" s="14">
        <v>3.4E-5</v>
      </c>
    </row>
    <row r="69" spans="1:2" x14ac:dyDescent="0.25">
      <c r="A69" s="14">
        <v>20.399999999999999</v>
      </c>
      <c r="B69" s="14">
        <v>2.4000000000000001E-5</v>
      </c>
    </row>
    <row r="70" spans="1:2" x14ac:dyDescent="0.25">
      <c r="A70" s="14">
        <v>20.6</v>
      </c>
      <c r="B70" s="14">
        <v>1.8500000000000001E-6</v>
      </c>
    </row>
    <row r="71" spans="1:2" x14ac:dyDescent="0.25">
      <c r="A71" s="14">
        <v>20.8</v>
      </c>
      <c r="B71" s="14">
        <v>1.1600000000000001E-5</v>
      </c>
    </row>
    <row r="72" spans="1:2" x14ac:dyDescent="0.25">
      <c r="A72" s="14">
        <v>21</v>
      </c>
      <c r="B72" s="14">
        <v>4.4299999999999998E-7</v>
      </c>
    </row>
    <row r="73" spans="1:2" x14ac:dyDescent="0.25">
      <c r="A73" s="14">
        <v>21.2</v>
      </c>
      <c r="B73" s="14">
        <v>9.5799999999999998E-6</v>
      </c>
    </row>
    <row r="74" spans="1:2" x14ac:dyDescent="0.25">
      <c r="A74" s="14">
        <v>21.4</v>
      </c>
      <c r="B74" s="14">
        <v>3.6399999999999999E-6</v>
      </c>
    </row>
    <row r="75" spans="1:2" x14ac:dyDescent="0.25">
      <c r="A75" s="14">
        <v>21.6</v>
      </c>
      <c r="B75" s="14">
        <v>2.5500000000000001E-6</v>
      </c>
    </row>
    <row r="76" spans="1:2" x14ac:dyDescent="0.25">
      <c r="A76" s="14">
        <v>21.8</v>
      </c>
      <c r="B76" s="14">
        <v>1.3400000000000001E-6</v>
      </c>
    </row>
    <row r="77" spans="1:2" x14ac:dyDescent="0.25">
      <c r="A77" s="14">
        <v>22</v>
      </c>
      <c r="B77" s="14">
        <v>6.0299999999999999E-6</v>
      </c>
    </row>
  </sheetData>
  <dataConsolidate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28"/>
  <dimension ref="A1:B87"/>
  <sheetViews>
    <sheetView workbookViewId="0">
      <selection activeCell="L32" sqref="L32"/>
    </sheetView>
  </sheetViews>
  <sheetFormatPr defaultRowHeight="15" x14ac:dyDescent="0.25"/>
  <cols>
    <col min="1" max="1" width="16" customWidth="1"/>
    <col min="2" max="2" width="18.85546875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10</v>
      </c>
      <c r="B2" s="14">
        <v>6.8599999999999998E-4</v>
      </c>
    </row>
    <row r="3" spans="1:2" x14ac:dyDescent="0.25">
      <c r="A3" s="14">
        <v>10.199999999999999</v>
      </c>
      <c r="B3" s="14">
        <v>2.4399999999999999E-4</v>
      </c>
    </row>
    <row r="4" spans="1:2" x14ac:dyDescent="0.25">
      <c r="A4" s="14">
        <v>10.4</v>
      </c>
      <c r="B4" s="14">
        <v>7.0799999999999997E-4</v>
      </c>
    </row>
    <row r="5" spans="1:2" x14ac:dyDescent="0.25">
      <c r="A5" s="14">
        <v>10.6</v>
      </c>
      <c r="B5" s="14">
        <v>4.4299999999999998E-4</v>
      </c>
    </row>
    <row r="6" spans="1:2" x14ac:dyDescent="0.25">
      <c r="A6" s="14">
        <v>10.8</v>
      </c>
      <c r="B6" s="14">
        <v>6.6399999999999999E-4</v>
      </c>
    </row>
    <row r="7" spans="1:2" x14ac:dyDescent="0.25">
      <c r="A7" s="14">
        <v>11</v>
      </c>
      <c r="B7" s="14">
        <v>2.7099999999999997E-4</v>
      </c>
    </row>
    <row r="8" spans="1:2" x14ac:dyDescent="0.25">
      <c r="A8" s="14">
        <v>11.2</v>
      </c>
      <c r="B8" s="14">
        <v>6.5300000000000004E-4</v>
      </c>
    </row>
    <row r="9" spans="1:2" x14ac:dyDescent="0.25">
      <c r="A9" s="14">
        <v>11.4</v>
      </c>
      <c r="B9" s="14">
        <v>8.7900000000000001E-4</v>
      </c>
    </row>
    <row r="10" spans="1:2" x14ac:dyDescent="0.25">
      <c r="A10" s="14">
        <v>11.6</v>
      </c>
      <c r="B10" s="14">
        <v>1.05E-4</v>
      </c>
    </row>
    <row r="11" spans="1:2" x14ac:dyDescent="0.25">
      <c r="A11" s="14">
        <v>11.8</v>
      </c>
      <c r="B11" s="14">
        <v>8.4400000000000002E-4</v>
      </c>
    </row>
    <row r="12" spans="1:2" x14ac:dyDescent="0.25">
      <c r="A12" s="14">
        <v>12</v>
      </c>
      <c r="B12" s="14">
        <v>5.53E-4</v>
      </c>
    </row>
    <row r="13" spans="1:2" x14ac:dyDescent="0.25">
      <c r="A13" s="14">
        <v>12.2</v>
      </c>
      <c r="B13" s="14">
        <v>7.7200000000000001E-4</v>
      </c>
    </row>
    <row r="14" spans="1:2" x14ac:dyDescent="0.25">
      <c r="A14" s="14">
        <v>12.4</v>
      </c>
      <c r="B14" s="14">
        <v>7.1199999999999996E-4</v>
      </c>
    </row>
    <row r="15" spans="1:2" x14ac:dyDescent="0.25">
      <c r="A15" s="14">
        <v>12.6</v>
      </c>
      <c r="B15" s="14">
        <v>1.07E-3</v>
      </c>
    </row>
    <row r="16" spans="1:2" x14ac:dyDescent="0.25">
      <c r="A16" s="14">
        <v>12.8</v>
      </c>
      <c r="B16" s="14">
        <v>1.0399999999999999E-3</v>
      </c>
    </row>
    <row r="17" spans="1:2" x14ac:dyDescent="0.25">
      <c r="A17" s="14">
        <v>13</v>
      </c>
      <c r="B17" s="14">
        <v>1.72E-3</v>
      </c>
    </row>
    <row r="18" spans="1:2" x14ac:dyDescent="0.25">
      <c r="A18" s="14">
        <v>13.2</v>
      </c>
      <c r="B18" s="14">
        <v>1.8600000000000001E-3</v>
      </c>
    </row>
    <row r="19" spans="1:2" x14ac:dyDescent="0.25">
      <c r="A19" s="14">
        <v>13.4</v>
      </c>
      <c r="B19" s="14">
        <v>2.4399999999999999E-3</v>
      </c>
    </row>
    <row r="20" spans="1:2" x14ac:dyDescent="0.25">
      <c r="A20" s="14">
        <v>13.6</v>
      </c>
      <c r="B20" s="14">
        <v>2.4199999999999998E-3</v>
      </c>
    </row>
    <row r="21" spans="1:2" x14ac:dyDescent="0.25">
      <c r="A21" s="14">
        <v>13.8</v>
      </c>
      <c r="B21" s="14">
        <v>3.2499999999999999E-3</v>
      </c>
    </row>
    <row r="22" spans="1:2" x14ac:dyDescent="0.25">
      <c r="A22" s="14">
        <v>14</v>
      </c>
      <c r="B22" s="14">
        <v>4.0099999999999997E-3</v>
      </c>
    </row>
    <row r="23" spans="1:2" x14ac:dyDescent="0.25">
      <c r="A23" s="14">
        <v>14.2</v>
      </c>
      <c r="B23" s="14">
        <v>4.7400000000000003E-3</v>
      </c>
    </row>
    <row r="24" spans="1:2" x14ac:dyDescent="0.25">
      <c r="A24" s="14">
        <v>14.4</v>
      </c>
      <c r="B24" s="14">
        <v>5.0000000000000001E-3</v>
      </c>
    </row>
    <row r="25" spans="1:2" x14ac:dyDescent="0.25">
      <c r="A25" s="14">
        <v>14.6</v>
      </c>
      <c r="B25" s="14">
        <v>6.1900000000000002E-3</v>
      </c>
    </row>
    <row r="26" spans="1:2" x14ac:dyDescent="0.25">
      <c r="A26" s="14">
        <v>14.8</v>
      </c>
      <c r="B26" s="14">
        <v>7.0600000000000003E-3</v>
      </c>
    </row>
    <row r="27" spans="1:2" x14ac:dyDescent="0.25">
      <c r="A27" s="14">
        <v>15</v>
      </c>
      <c r="B27" s="14">
        <v>8.2900000000000005E-3</v>
      </c>
    </row>
    <row r="28" spans="1:2" x14ac:dyDescent="0.25">
      <c r="A28" s="14">
        <v>15.2</v>
      </c>
      <c r="B28" s="14">
        <v>8.77E-3</v>
      </c>
    </row>
    <row r="29" spans="1:2" x14ac:dyDescent="0.25">
      <c r="A29" s="14">
        <v>15.4</v>
      </c>
      <c r="B29" s="14">
        <v>9.8799999999999999E-3</v>
      </c>
    </row>
    <row r="30" spans="1:2" x14ac:dyDescent="0.25">
      <c r="A30" s="14">
        <v>15.6</v>
      </c>
      <c r="B30" s="14">
        <v>1.0999999999999999E-2</v>
      </c>
    </row>
    <row r="31" spans="1:2" x14ac:dyDescent="0.25">
      <c r="A31" s="14">
        <v>15.8</v>
      </c>
      <c r="B31" s="14">
        <v>1.2E-2</v>
      </c>
    </row>
    <row r="32" spans="1:2" x14ac:dyDescent="0.25">
      <c r="A32" s="14">
        <v>16</v>
      </c>
      <c r="B32" s="14">
        <v>1.2999999999999999E-2</v>
      </c>
    </row>
    <row r="33" spans="1:2" x14ac:dyDescent="0.25">
      <c r="A33" s="14">
        <v>16.2</v>
      </c>
      <c r="B33" s="14">
        <v>1.4500000000000001E-2</v>
      </c>
    </row>
    <row r="34" spans="1:2" x14ac:dyDescent="0.25">
      <c r="A34" s="14">
        <v>16.399999999999999</v>
      </c>
      <c r="B34" s="14">
        <v>1.52E-2</v>
      </c>
    </row>
    <row r="35" spans="1:2" x14ac:dyDescent="0.25">
      <c r="A35" s="14">
        <v>16.600000000000001</v>
      </c>
      <c r="B35" s="14">
        <v>1.66E-2</v>
      </c>
    </row>
    <row r="36" spans="1:2" x14ac:dyDescent="0.25">
      <c r="A36" s="14">
        <v>16.8</v>
      </c>
      <c r="B36" s="14">
        <v>1.7500000000000002E-2</v>
      </c>
    </row>
    <row r="37" spans="1:2" x14ac:dyDescent="0.25">
      <c r="A37" s="14">
        <v>17</v>
      </c>
      <c r="B37" s="14">
        <v>1.84E-2</v>
      </c>
    </row>
    <row r="38" spans="1:2" x14ac:dyDescent="0.25">
      <c r="A38" s="14">
        <v>17.2</v>
      </c>
      <c r="B38" s="14">
        <v>1.9400000000000001E-2</v>
      </c>
    </row>
    <row r="39" spans="1:2" x14ac:dyDescent="0.25">
      <c r="A39" s="14">
        <v>17.399999999999999</v>
      </c>
      <c r="B39" s="14">
        <v>2.0799999999999999E-2</v>
      </c>
    </row>
    <row r="40" spans="1:2" x14ac:dyDescent="0.25">
      <c r="A40" s="14">
        <v>17.600000000000001</v>
      </c>
      <c r="B40" s="14">
        <v>2.1000000000000001E-2</v>
      </c>
    </row>
    <row r="41" spans="1:2" x14ac:dyDescent="0.25">
      <c r="A41" s="14">
        <v>17.8</v>
      </c>
      <c r="B41" s="14">
        <v>2.2700000000000001E-2</v>
      </c>
    </row>
    <row r="42" spans="1:2" x14ac:dyDescent="0.25">
      <c r="A42" s="14">
        <v>18</v>
      </c>
      <c r="B42" s="14">
        <v>2.2599999999999999E-2</v>
      </c>
    </row>
    <row r="43" spans="1:2" x14ac:dyDescent="0.25">
      <c r="A43" s="14">
        <v>18.2</v>
      </c>
      <c r="B43" s="14">
        <v>2.3599999999999999E-2</v>
      </c>
    </row>
    <row r="44" spans="1:2" x14ac:dyDescent="0.25">
      <c r="A44" s="14">
        <v>18.399999999999999</v>
      </c>
      <c r="B44" s="14">
        <v>2.41E-2</v>
      </c>
    </row>
    <row r="45" spans="1:2" x14ac:dyDescent="0.25">
      <c r="A45" s="14">
        <v>18.600000000000001</v>
      </c>
      <c r="B45" s="14">
        <v>2.5000000000000001E-2</v>
      </c>
    </row>
    <row r="46" spans="1:2" x14ac:dyDescent="0.25">
      <c r="A46" s="14">
        <v>18.8</v>
      </c>
      <c r="B46" s="14">
        <v>2.5499999999999998E-2</v>
      </c>
    </row>
    <row r="47" spans="1:2" x14ac:dyDescent="0.25">
      <c r="A47" s="14">
        <v>19</v>
      </c>
      <c r="B47" s="14">
        <v>2.58E-2</v>
      </c>
    </row>
    <row r="48" spans="1:2" x14ac:dyDescent="0.25">
      <c r="A48" s="14">
        <v>19.2</v>
      </c>
      <c r="B48" s="14">
        <v>2.5899999999999999E-2</v>
      </c>
    </row>
    <row r="49" spans="1:2" x14ac:dyDescent="0.25">
      <c r="A49" s="14">
        <v>19.399999999999999</v>
      </c>
      <c r="B49" s="14">
        <v>2.6499999999999999E-2</v>
      </c>
    </row>
    <row r="50" spans="1:2" x14ac:dyDescent="0.25">
      <c r="A50" s="14">
        <v>19.600000000000001</v>
      </c>
      <c r="B50" s="14">
        <v>2.64E-2</v>
      </c>
    </row>
    <row r="51" spans="1:2" x14ac:dyDescent="0.25">
      <c r="A51" s="14">
        <v>19.8</v>
      </c>
      <c r="B51" s="14">
        <v>2.6800000000000001E-2</v>
      </c>
    </row>
    <row r="52" spans="1:2" x14ac:dyDescent="0.25">
      <c r="A52" s="14">
        <v>20</v>
      </c>
      <c r="B52" s="14">
        <v>2.6499999999999999E-2</v>
      </c>
    </row>
    <row r="53" spans="1:2" x14ac:dyDescent="0.25">
      <c r="A53" s="14">
        <v>20.2</v>
      </c>
      <c r="B53" s="14">
        <v>2.6499999999999999E-2</v>
      </c>
    </row>
    <row r="54" spans="1:2" x14ac:dyDescent="0.25">
      <c r="A54" s="14">
        <v>20.399999999999999</v>
      </c>
      <c r="B54" s="14">
        <v>2.6200000000000001E-2</v>
      </c>
    </row>
    <row r="55" spans="1:2" x14ac:dyDescent="0.25">
      <c r="A55" s="14">
        <v>20.6</v>
      </c>
      <c r="B55" s="14">
        <v>2.6100000000000002E-2</v>
      </c>
    </row>
    <row r="56" spans="1:2" x14ac:dyDescent="0.25">
      <c r="A56" s="14">
        <v>20.8</v>
      </c>
      <c r="B56" s="14">
        <v>2.5600000000000001E-2</v>
      </c>
    </row>
    <row r="57" spans="1:2" x14ac:dyDescent="0.25">
      <c r="A57" s="14">
        <v>21</v>
      </c>
      <c r="B57" s="14">
        <v>2.5499999999999998E-2</v>
      </c>
    </row>
    <row r="58" spans="1:2" x14ac:dyDescent="0.25">
      <c r="A58" s="14">
        <v>21.2</v>
      </c>
      <c r="B58" s="14">
        <v>2.4899999999999999E-2</v>
      </c>
    </row>
    <row r="59" spans="1:2" x14ac:dyDescent="0.25">
      <c r="A59" s="14">
        <v>21.4</v>
      </c>
      <c r="B59" s="14">
        <v>2.4400000000000002E-2</v>
      </c>
    </row>
    <row r="60" spans="1:2" x14ac:dyDescent="0.25">
      <c r="A60" s="14">
        <v>21.6</v>
      </c>
      <c r="B60" s="14">
        <v>2.3699999999999999E-2</v>
      </c>
    </row>
    <row r="61" spans="1:2" x14ac:dyDescent="0.25">
      <c r="A61" s="14">
        <v>21.8</v>
      </c>
      <c r="B61" s="14">
        <v>2.29E-2</v>
      </c>
    </row>
    <row r="62" spans="1:2" x14ac:dyDescent="0.25">
      <c r="A62" s="14">
        <v>22</v>
      </c>
      <c r="B62" s="14">
        <v>2.2100000000000002E-2</v>
      </c>
    </row>
    <row r="63" spans="1:2" x14ac:dyDescent="0.25">
      <c r="A63" s="14">
        <v>22.2</v>
      </c>
      <c r="B63" s="14">
        <v>2.1399999999999999E-2</v>
      </c>
    </row>
    <row r="64" spans="1:2" x14ac:dyDescent="0.25">
      <c r="A64" s="14">
        <v>22.4</v>
      </c>
      <c r="B64" s="14">
        <v>2.06E-2</v>
      </c>
    </row>
    <row r="65" spans="1:2" x14ac:dyDescent="0.25">
      <c r="A65" s="14">
        <v>22.6</v>
      </c>
      <c r="B65" s="14">
        <v>1.9599999999999999E-2</v>
      </c>
    </row>
    <row r="66" spans="1:2" x14ac:dyDescent="0.25">
      <c r="A66" s="14">
        <v>22.8</v>
      </c>
      <c r="B66" s="14">
        <v>1.8599999999999998E-2</v>
      </c>
    </row>
    <row r="67" spans="1:2" x14ac:dyDescent="0.25">
      <c r="A67" s="14">
        <v>23</v>
      </c>
      <c r="B67" s="14">
        <v>1.7399999999999999E-2</v>
      </c>
    </row>
    <row r="68" spans="1:2" x14ac:dyDescent="0.25">
      <c r="A68" s="14">
        <v>23.2</v>
      </c>
      <c r="B68" s="14">
        <v>1.66E-2</v>
      </c>
    </row>
    <row r="69" spans="1:2" x14ac:dyDescent="0.25">
      <c r="A69" s="14">
        <v>23.4</v>
      </c>
      <c r="B69" s="14">
        <v>1.5100000000000001E-2</v>
      </c>
    </row>
    <row r="70" spans="1:2" x14ac:dyDescent="0.25">
      <c r="A70" s="14">
        <v>23.6</v>
      </c>
      <c r="B70" s="14">
        <v>1.4E-2</v>
      </c>
    </row>
    <row r="71" spans="1:2" x14ac:dyDescent="0.25">
      <c r="A71" s="14">
        <v>23.8</v>
      </c>
      <c r="B71" s="14">
        <v>1.2500000000000001E-2</v>
      </c>
    </row>
    <row r="72" spans="1:2" x14ac:dyDescent="0.25">
      <c r="A72" s="14">
        <v>24</v>
      </c>
      <c r="B72" s="14">
        <v>1.0999999999999999E-2</v>
      </c>
    </row>
    <row r="73" spans="1:2" x14ac:dyDescent="0.25">
      <c r="A73" s="14">
        <v>24.2</v>
      </c>
      <c r="B73" s="14">
        <v>9.4900000000000002E-3</v>
      </c>
    </row>
    <row r="74" spans="1:2" x14ac:dyDescent="0.25">
      <c r="A74" s="14">
        <v>24.4</v>
      </c>
      <c r="B74" s="14">
        <v>8.1399999999999997E-3</v>
      </c>
    </row>
    <row r="75" spans="1:2" x14ac:dyDescent="0.25">
      <c r="A75" s="14">
        <v>24.6</v>
      </c>
      <c r="B75" s="14">
        <v>6.1700000000000001E-3</v>
      </c>
    </row>
    <row r="76" spans="1:2" x14ac:dyDescent="0.25">
      <c r="A76" s="14">
        <v>24.8</v>
      </c>
      <c r="B76" s="14">
        <v>4.1700000000000001E-3</v>
      </c>
    </row>
    <row r="77" spans="1:2" x14ac:dyDescent="0.25">
      <c r="A77" s="14">
        <v>25</v>
      </c>
      <c r="B77" s="14">
        <v>1.33E-3</v>
      </c>
    </row>
    <row r="78" spans="1:2" x14ac:dyDescent="0.25">
      <c r="A78" s="14">
        <v>25.2</v>
      </c>
      <c r="B78" s="14">
        <v>4.1999999999999998E-5</v>
      </c>
    </row>
    <row r="79" spans="1:2" x14ac:dyDescent="0.25">
      <c r="A79" s="14">
        <v>25.4</v>
      </c>
      <c r="B79" s="14">
        <v>5.9599999999999997E-6</v>
      </c>
    </row>
    <row r="80" spans="1:2" x14ac:dyDescent="0.25">
      <c r="A80" s="14">
        <v>25.6</v>
      </c>
      <c r="B80" s="14">
        <v>2.5000000000000002E-6</v>
      </c>
    </row>
    <row r="81" spans="1:2" x14ac:dyDescent="0.25">
      <c r="A81" s="14">
        <v>25.8</v>
      </c>
      <c r="B81" s="14">
        <v>4.6999999999999999E-6</v>
      </c>
    </row>
    <row r="82" spans="1:2" x14ac:dyDescent="0.25">
      <c r="A82" s="14">
        <v>26</v>
      </c>
      <c r="B82" s="14">
        <v>7.8000000000000005E-7</v>
      </c>
    </row>
    <row r="83" spans="1:2" x14ac:dyDescent="0.25">
      <c r="A83" s="14">
        <v>26.2</v>
      </c>
      <c r="B83" s="14">
        <v>3.4300000000000002E-6</v>
      </c>
    </row>
    <row r="84" spans="1:2" x14ac:dyDescent="0.25">
      <c r="A84" s="14">
        <v>26.4</v>
      </c>
      <c r="B84" s="14">
        <v>1.33E-6</v>
      </c>
    </row>
    <row r="85" spans="1:2" x14ac:dyDescent="0.25">
      <c r="A85" s="14">
        <v>26.6</v>
      </c>
      <c r="B85" s="14">
        <v>1.3599999999999999E-6</v>
      </c>
    </row>
    <row r="86" spans="1:2" x14ac:dyDescent="0.25">
      <c r="A86" s="14">
        <v>26.8</v>
      </c>
      <c r="B86" s="14">
        <v>2.4899999999999999E-6</v>
      </c>
    </row>
    <row r="87" spans="1:2" x14ac:dyDescent="0.25">
      <c r="A87" s="14">
        <v>27</v>
      </c>
      <c r="B87" s="14">
        <v>2.1500000000000002E-6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29"/>
  <dimension ref="A1:B97"/>
  <sheetViews>
    <sheetView workbookViewId="0">
      <selection activeCell="B2" sqref="B2:B39"/>
    </sheetView>
  </sheetViews>
  <sheetFormatPr defaultRowHeight="15" x14ac:dyDescent="0.25"/>
  <cols>
    <col min="1" max="1" width="11.85546875" bestFit="1" customWidth="1"/>
    <col min="2" max="2" width="17.7109375" style="1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8">
        <v>13</v>
      </c>
      <c r="B2" s="13">
        <v>4.5800000000000002E-4</v>
      </c>
    </row>
    <row r="3" spans="1:2" x14ac:dyDescent="0.25">
      <c r="A3" s="18">
        <v>13.2</v>
      </c>
      <c r="B3" s="13">
        <v>4.5499999999999996E-6</v>
      </c>
    </row>
    <row r="4" spans="1:2" x14ac:dyDescent="0.25">
      <c r="A4" s="18">
        <v>13.4</v>
      </c>
      <c r="B4" s="13">
        <v>5.2800000000000004E-4</v>
      </c>
    </row>
    <row r="5" spans="1:2" x14ac:dyDescent="0.25">
      <c r="A5" s="18">
        <v>13.6</v>
      </c>
      <c r="B5" s="13">
        <v>1.8000000000000001E-4</v>
      </c>
    </row>
    <row r="6" spans="1:2" x14ac:dyDescent="0.25">
      <c r="A6" s="18">
        <v>13.8</v>
      </c>
      <c r="B6" s="13">
        <v>5.2999999999999998E-4</v>
      </c>
    </row>
    <row r="7" spans="1:2" x14ac:dyDescent="0.25">
      <c r="A7" s="18">
        <v>14</v>
      </c>
      <c r="B7" s="13">
        <v>3.9599999999999998E-4</v>
      </c>
    </row>
    <row r="8" spans="1:2" x14ac:dyDescent="0.25">
      <c r="A8" s="18">
        <v>14.2</v>
      </c>
      <c r="B8" s="13">
        <v>3.5100000000000002E-4</v>
      </c>
    </row>
    <row r="9" spans="1:2" x14ac:dyDescent="0.25">
      <c r="A9" s="18">
        <v>14.4</v>
      </c>
      <c r="B9" s="13">
        <v>5.9500000000000003E-5</v>
      </c>
    </row>
    <row r="10" spans="1:2" x14ac:dyDescent="0.25">
      <c r="A10" s="18">
        <v>14.6</v>
      </c>
      <c r="B10" s="13">
        <v>5.8399999999999999E-4</v>
      </c>
    </row>
    <row r="11" spans="1:2" x14ac:dyDescent="0.25">
      <c r="A11" s="18">
        <v>14.8</v>
      </c>
      <c r="B11" s="13">
        <v>5.6800000000000004E-4</v>
      </c>
    </row>
    <row r="12" spans="1:2" x14ac:dyDescent="0.25">
      <c r="A12" s="18">
        <v>15</v>
      </c>
      <c r="B12" s="13">
        <v>6.0099999999999997E-4</v>
      </c>
    </row>
    <row r="13" spans="1:2" x14ac:dyDescent="0.25">
      <c r="A13" s="18">
        <v>15.2</v>
      </c>
      <c r="B13" s="13">
        <v>5.6899999999999995E-4</v>
      </c>
    </row>
    <row r="14" spans="1:2" x14ac:dyDescent="0.25">
      <c r="A14" s="18">
        <v>15.4</v>
      </c>
      <c r="B14" s="13">
        <v>7.67E-4</v>
      </c>
    </row>
    <row r="15" spans="1:2" x14ac:dyDescent="0.25">
      <c r="A15" s="18">
        <v>15.6</v>
      </c>
      <c r="B15" s="13">
        <v>7.4600000000000003E-4</v>
      </c>
    </row>
    <row r="16" spans="1:2" x14ac:dyDescent="0.25">
      <c r="A16" s="18">
        <v>15.8</v>
      </c>
      <c r="B16" s="13">
        <v>1.0399999999999999E-3</v>
      </c>
    </row>
    <row r="17" spans="1:2" x14ac:dyDescent="0.25">
      <c r="A17" s="18">
        <v>16</v>
      </c>
      <c r="B17" s="13">
        <v>8.3199999999999995E-4</v>
      </c>
    </row>
    <row r="18" spans="1:2" x14ac:dyDescent="0.25">
      <c r="A18" s="18">
        <v>16.2</v>
      </c>
      <c r="B18" s="13">
        <v>1.2700000000000001E-3</v>
      </c>
    </row>
    <row r="19" spans="1:2" x14ac:dyDescent="0.25">
      <c r="A19" s="18">
        <v>16.399999999999999</v>
      </c>
      <c r="B19" s="13">
        <v>1.65E-3</v>
      </c>
    </row>
    <row r="20" spans="1:2" x14ac:dyDescent="0.25">
      <c r="A20" s="18">
        <v>16.600000000000001</v>
      </c>
      <c r="B20" s="13">
        <v>2.16E-3</v>
      </c>
    </row>
    <row r="21" spans="1:2" x14ac:dyDescent="0.25">
      <c r="A21" s="18">
        <v>16.8</v>
      </c>
      <c r="B21" s="13">
        <v>2.0600000000000002E-3</v>
      </c>
    </row>
    <row r="22" spans="1:2" x14ac:dyDescent="0.25">
      <c r="A22" s="18">
        <v>17</v>
      </c>
      <c r="B22" s="13">
        <v>2.5100000000000001E-3</v>
      </c>
    </row>
    <row r="23" spans="1:2" x14ac:dyDescent="0.25">
      <c r="A23" s="18">
        <v>17.2</v>
      </c>
      <c r="B23" s="13">
        <v>3.31E-3</v>
      </c>
    </row>
    <row r="24" spans="1:2" x14ac:dyDescent="0.25">
      <c r="A24" s="18">
        <v>17.399999999999999</v>
      </c>
      <c r="B24" s="13">
        <v>3.0899999999999999E-3</v>
      </c>
    </row>
    <row r="25" spans="1:2" x14ac:dyDescent="0.25">
      <c r="A25" s="18">
        <v>17.600000000000001</v>
      </c>
      <c r="B25" s="13">
        <v>4.3899999999999998E-3</v>
      </c>
    </row>
    <row r="26" spans="1:2" x14ac:dyDescent="0.25">
      <c r="A26" s="18">
        <v>17.8</v>
      </c>
      <c r="B26" s="13">
        <v>4.3600000000000002E-3</v>
      </c>
    </row>
    <row r="27" spans="1:2" x14ac:dyDescent="0.25">
      <c r="A27" s="18">
        <v>18</v>
      </c>
      <c r="B27" s="13">
        <v>5.4900000000000001E-3</v>
      </c>
    </row>
    <row r="28" spans="1:2" x14ac:dyDescent="0.25">
      <c r="A28" s="18">
        <v>18.2</v>
      </c>
      <c r="B28" s="13">
        <v>5.4999999999999997E-3</v>
      </c>
    </row>
    <row r="29" spans="1:2" x14ac:dyDescent="0.25">
      <c r="A29" s="18">
        <v>18.399999999999999</v>
      </c>
      <c r="B29" s="13">
        <v>6.28E-3</v>
      </c>
    </row>
    <row r="30" spans="1:2" x14ac:dyDescent="0.25">
      <c r="A30" s="18">
        <v>18.600000000000001</v>
      </c>
      <c r="B30" s="13">
        <v>7.2100000000000003E-3</v>
      </c>
    </row>
    <row r="31" spans="1:2" x14ac:dyDescent="0.25">
      <c r="A31" s="18">
        <v>18.8</v>
      </c>
      <c r="B31" s="13">
        <v>8.0599999999999995E-3</v>
      </c>
    </row>
    <row r="32" spans="1:2" x14ac:dyDescent="0.25">
      <c r="A32" s="18">
        <v>19</v>
      </c>
      <c r="B32" s="13">
        <v>8.43E-3</v>
      </c>
    </row>
    <row r="33" spans="1:2" x14ac:dyDescent="0.25">
      <c r="A33" s="18">
        <v>19.2</v>
      </c>
      <c r="B33" s="13">
        <v>9.4299999999999991E-3</v>
      </c>
    </row>
    <row r="34" spans="1:2" x14ac:dyDescent="0.25">
      <c r="A34" s="18">
        <v>19.399999999999999</v>
      </c>
      <c r="B34" s="13">
        <v>1.0200000000000001E-2</v>
      </c>
    </row>
    <row r="35" spans="1:2" x14ac:dyDescent="0.25">
      <c r="A35" s="18">
        <v>19.600000000000001</v>
      </c>
      <c r="B35" s="13">
        <v>1.0800000000000001E-2</v>
      </c>
    </row>
    <row r="36" spans="1:2" x14ac:dyDescent="0.25">
      <c r="A36" s="18">
        <v>19.8</v>
      </c>
      <c r="B36" s="13">
        <v>1.17E-2</v>
      </c>
    </row>
    <row r="37" spans="1:2" x14ac:dyDescent="0.25">
      <c r="A37" s="18">
        <v>20</v>
      </c>
      <c r="B37" s="13">
        <v>1.2800000000000001E-2</v>
      </c>
    </row>
    <row r="38" spans="1:2" x14ac:dyDescent="0.25">
      <c r="A38" s="18">
        <v>20.2</v>
      </c>
      <c r="B38" s="13">
        <v>1.35E-2</v>
      </c>
    </row>
    <row r="39" spans="1:2" x14ac:dyDescent="0.25">
      <c r="A39" s="18">
        <v>20.399999999999999</v>
      </c>
      <c r="B39" s="13">
        <v>1.4200000000000001E-2</v>
      </c>
    </row>
    <row r="40" spans="1:2" x14ac:dyDescent="0.25">
      <c r="A40" s="18">
        <v>20.6</v>
      </c>
      <c r="B40" s="13">
        <v>1.49E-2</v>
      </c>
    </row>
    <row r="41" spans="1:2" x14ac:dyDescent="0.25">
      <c r="A41" s="18">
        <v>20.8</v>
      </c>
      <c r="B41" s="13">
        <v>1.55E-2</v>
      </c>
    </row>
    <row r="42" spans="1:2" x14ac:dyDescent="0.25">
      <c r="A42" s="18">
        <v>21</v>
      </c>
      <c r="B42" s="13">
        <v>1.6400000000000001E-2</v>
      </c>
    </row>
    <row r="43" spans="1:2" x14ac:dyDescent="0.25">
      <c r="A43" s="18">
        <v>21.2</v>
      </c>
      <c r="B43" s="13">
        <v>1.72E-2</v>
      </c>
    </row>
    <row r="44" spans="1:2" x14ac:dyDescent="0.25">
      <c r="A44" s="18">
        <v>21.4</v>
      </c>
      <c r="B44" s="13">
        <v>1.7899999999999999E-2</v>
      </c>
    </row>
    <row r="45" spans="1:2" x14ac:dyDescent="0.25">
      <c r="A45" s="18">
        <v>21.6</v>
      </c>
      <c r="B45" s="13">
        <v>1.8599999999999998E-2</v>
      </c>
    </row>
    <row r="46" spans="1:2" x14ac:dyDescent="0.25">
      <c r="A46" s="18">
        <v>21.8</v>
      </c>
      <c r="B46" s="13">
        <v>1.95E-2</v>
      </c>
    </row>
    <row r="47" spans="1:2" x14ac:dyDescent="0.25">
      <c r="A47" s="18">
        <v>22</v>
      </c>
      <c r="B47" s="13">
        <v>1.9199999999999998E-2</v>
      </c>
    </row>
    <row r="48" spans="1:2" x14ac:dyDescent="0.25">
      <c r="A48" s="18">
        <v>22.2</v>
      </c>
      <c r="B48" s="13">
        <v>2.0799999999999999E-2</v>
      </c>
    </row>
    <row r="49" spans="1:2" x14ac:dyDescent="0.25">
      <c r="A49" s="18">
        <v>22.4</v>
      </c>
      <c r="B49" s="13">
        <v>2.0799999999999999E-2</v>
      </c>
    </row>
    <row r="50" spans="1:2" x14ac:dyDescent="0.25">
      <c r="A50" s="18">
        <v>22.6</v>
      </c>
      <c r="B50" s="13">
        <v>2.1100000000000001E-2</v>
      </c>
    </row>
    <row r="51" spans="1:2" x14ac:dyDescent="0.25">
      <c r="A51" s="18">
        <v>22.8</v>
      </c>
      <c r="B51" s="13">
        <v>2.18E-2</v>
      </c>
    </row>
    <row r="52" spans="1:2" x14ac:dyDescent="0.25">
      <c r="A52" s="18">
        <v>23</v>
      </c>
      <c r="B52" s="13">
        <v>2.1899999999999999E-2</v>
      </c>
    </row>
    <row r="53" spans="1:2" x14ac:dyDescent="0.25">
      <c r="A53" s="18">
        <v>23.2</v>
      </c>
      <c r="B53" s="13">
        <v>2.2599999999999999E-2</v>
      </c>
    </row>
    <row r="54" spans="1:2" x14ac:dyDescent="0.25">
      <c r="A54" s="18">
        <v>23.4</v>
      </c>
      <c r="B54" s="13">
        <v>2.1999999999999999E-2</v>
      </c>
    </row>
    <row r="55" spans="1:2" x14ac:dyDescent="0.25">
      <c r="A55" s="18">
        <v>23.6</v>
      </c>
      <c r="B55" s="13">
        <v>2.3099999999999999E-2</v>
      </c>
    </row>
    <row r="56" spans="1:2" x14ac:dyDescent="0.25">
      <c r="A56" s="18">
        <v>23.8</v>
      </c>
      <c r="B56" s="13">
        <v>2.29E-2</v>
      </c>
    </row>
    <row r="57" spans="1:2" x14ac:dyDescent="0.25">
      <c r="A57" s="18">
        <v>24</v>
      </c>
      <c r="B57" s="13">
        <v>2.3300000000000001E-2</v>
      </c>
    </row>
    <row r="58" spans="1:2" x14ac:dyDescent="0.25">
      <c r="A58" s="18">
        <v>24.2</v>
      </c>
      <c r="B58" s="13">
        <v>2.29E-2</v>
      </c>
    </row>
    <row r="59" spans="1:2" x14ac:dyDescent="0.25">
      <c r="A59" s="18">
        <v>24.4</v>
      </c>
      <c r="B59" s="13">
        <v>2.3199999999999998E-2</v>
      </c>
    </row>
    <row r="60" spans="1:2" x14ac:dyDescent="0.25">
      <c r="A60" s="18">
        <v>24.6</v>
      </c>
      <c r="B60" s="13">
        <v>2.3099999999999999E-2</v>
      </c>
    </row>
    <row r="61" spans="1:2" x14ac:dyDescent="0.25">
      <c r="A61" s="18">
        <v>24.8</v>
      </c>
      <c r="B61" s="13">
        <v>2.3199999999999998E-2</v>
      </c>
    </row>
    <row r="62" spans="1:2" x14ac:dyDescent="0.25">
      <c r="A62" s="18">
        <v>25</v>
      </c>
      <c r="B62" s="13">
        <v>2.29E-2</v>
      </c>
    </row>
    <row r="63" spans="1:2" x14ac:dyDescent="0.25">
      <c r="A63" s="18">
        <v>25.2</v>
      </c>
      <c r="B63" s="13">
        <v>2.2800000000000001E-2</v>
      </c>
    </row>
    <row r="64" spans="1:2" x14ac:dyDescent="0.25">
      <c r="A64" s="18">
        <v>25.4</v>
      </c>
      <c r="B64" s="13">
        <v>2.2200000000000001E-2</v>
      </c>
    </row>
    <row r="65" spans="1:2" x14ac:dyDescent="0.25">
      <c r="A65" s="18">
        <v>25.6</v>
      </c>
      <c r="B65" s="13">
        <v>2.1999999999999999E-2</v>
      </c>
    </row>
    <row r="66" spans="1:2" x14ac:dyDescent="0.25">
      <c r="A66" s="18">
        <v>25.8</v>
      </c>
      <c r="B66" s="13">
        <v>2.18E-2</v>
      </c>
    </row>
    <row r="67" spans="1:2" x14ac:dyDescent="0.25">
      <c r="A67" s="18">
        <v>26</v>
      </c>
      <c r="B67" s="13">
        <v>2.07E-2</v>
      </c>
    </row>
    <row r="68" spans="1:2" x14ac:dyDescent="0.25">
      <c r="A68" s="18">
        <v>26.2</v>
      </c>
      <c r="B68" s="13">
        <v>2.1000000000000001E-2</v>
      </c>
    </row>
    <row r="69" spans="1:2" x14ac:dyDescent="0.25">
      <c r="A69" s="18">
        <v>26.4</v>
      </c>
      <c r="B69" s="13">
        <v>2.0199999999999999E-2</v>
      </c>
    </row>
    <row r="70" spans="1:2" x14ac:dyDescent="0.25">
      <c r="A70" s="18">
        <v>26.6</v>
      </c>
      <c r="B70" s="13">
        <v>1.9400000000000001E-2</v>
      </c>
    </row>
    <row r="71" spans="1:2" x14ac:dyDescent="0.25">
      <c r="A71" s="18">
        <v>26.8</v>
      </c>
      <c r="B71" s="13">
        <v>1.9E-2</v>
      </c>
    </row>
    <row r="72" spans="1:2" x14ac:dyDescent="0.25">
      <c r="A72" s="18">
        <v>27</v>
      </c>
      <c r="B72" s="13">
        <v>1.84E-2</v>
      </c>
    </row>
    <row r="73" spans="1:2" x14ac:dyDescent="0.25">
      <c r="A73" s="18">
        <v>27.2</v>
      </c>
      <c r="B73" s="13">
        <v>1.77E-2</v>
      </c>
    </row>
    <row r="74" spans="1:2" x14ac:dyDescent="0.25">
      <c r="A74" s="18">
        <v>27.4</v>
      </c>
      <c r="B74" s="13">
        <v>1.7000000000000001E-2</v>
      </c>
    </row>
    <row r="75" spans="1:2" x14ac:dyDescent="0.25">
      <c r="A75" s="18">
        <v>27.6</v>
      </c>
      <c r="B75" s="13">
        <v>1.5900000000000001E-2</v>
      </c>
    </row>
    <row r="76" spans="1:2" x14ac:dyDescent="0.25">
      <c r="A76" s="18">
        <v>27.8</v>
      </c>
      <c r="B76" s="13">
        <v>1.5699999999999999E-2</v>
      </c>
    </row>
    <row r="77" spans="1:2" x14ac:dyDescent="0.25">
      <c r="A77" s="18">
        <v>28</v>
      </c>
      <c r="B77" s="13">
        <v>1.41E-2</v>
      </c>
    </row>
    <row r="78" spans="1:2" x14ac:dyDescent="0.25">
      <c r="A78" s="18">
        <v>28.2</v>
      </c>
      <c r="B78" s="13">
        <v>1.3299999999999999E-2</v>
      </c>
    </row>
    <row r="79" spans="1:2" x14ac:dyDescent="0.25">
      <c r="A79" s="18">
        <v>28.4</v>
      </c>
      <c r="B79" s="13">
        <v>1.2800000000000001E-2</v>
      </c>
    </row>
    <row r="80" spans="1:2" x14ac:dyDescent="0.25">
      <c r="A80" s="18">
        <v>28.6</v>
      </c>
      <c r="B80" s="13">
        <v>1.1299999999999999E-2</v>
      </c>
    </row>
    <row r="81" spans="1:2" x14ac:dyDescent="0.25">
      <c r="A81" s="18">
        <v>28.8</v>
      </c>
      <c r="B81" s="13">
        <v>1.0500000000000001E-2</v>
      </c>
    </row>
    <row r="82" spans="1:2" x14ac:dyDescent="0.25">
      <c r="A82" s="18">
        <v>29</v>
      </c>
      <c r="B82" s="13">
        <v>8.9700000000000005E-3</v>
      </c>
    </row>
    <row r="83" spans="1:2" x14ac:dyDescent="0.25">
      <c r="A83" s="18">
        <v>29.2</v>
      </c>
      <c r="B83" s="13">
        <v>7.8200000000000006E-3</v>
      </c>
    </row>
    <row r="84" spans="1:2" x14ac:dyDescent="0.25">
      <c r="A84" s="18">
        <v>29.4</v>
      </c>
      <c r="B84" s="13">
        <v>6.5399999999999998E-3</v>
      </c>
    </row>
    <row r="85" spans="1:2" x14ac:dyDescent="0.25">
      <c r="A85" s="18">
        <v>29.6</v>
      </c>
      <c r="B85" s="13">
        <v>4.9100000000000003E-3</v>
      </c>
    </row>
    <row r="86" spans="1:2" x14ac:dyDescent="0.25">
      <c r="A86" s="18">
        <v>29.8</v>
      </c>
      <c r="B86" s="13">
        <v>3.3800000000000002E-3</v>
      </c>
    </row>
    <row r="87" spans="1:2" x14ac:dyDescent="0.25">
      <c r="A87" s="18">
        <v>30</v>
      </c>
      <c r="B87" s="13">
        <v>1.15E-3</v>
      </c>
    </row>
    <row r="88" spans="1:2" x14ac:dyDescent="0.25">
      <c r="A88" s="18">
        <v>30.2</v>
      </c>
      <c r="B88" s="13">
        <v>4.5200000000000001E-5</v>
      </c>
    </row>
    <row r="89" spans="1:2" x14ac:dyDescent="0.25">
      <c r="A89" s="18">
        <v>30.4</v>
      </c>
      <c r="B89" s="13">
        <v>1.5800000000000001E-5</v>
      </c>
    </row>
    <row r="90" spans="1:2" x14ac:dyDescent="0.25">
      <c r="A90" s="18">
        <v>30.6</v>
      </c>
      <c r="B90" s="13">
        <v>3.0400000000000001E-6</v>
      </c>
    </row>
    <row r="91" spans="1:2" x14ac:dyDescent="0.25">
      <c r="A91" s="18">
        <v>30.8</v>
      </c>
      <c r="B91" s="13">
        <v>2.1600000000000001E-6</v>
      </c>
    </row>
    <row r="92" spans="1:2" x14ac:dyDescent="0.25">
      <c r="A92" s="18">
        <v>31</v>
      </c>
      <c r="B92" s="13">
        <v>2.7199999999999998E-6</v>
      </c>
    </row>
    <row r="93" spans="1:2" x14ac:dyDescent="0.25">
      <c r="A93" s="18">
        <v>31.2</v>
      </c>
      <c r="B93" s="13">
        <v>2.04E-6</v>
      </c>
    </row>
    <row r="94" spans="1:2" x14ac:dyDescent="0.25">
      <c r="A94" s="18">
        <v>31.4</v>
      </c>
      <c r="B94" s="13">
        <v>3.0699999999999998E-6</v>
      </c>
    </row>
    <row r="95" spans="1:2" x14ac:dyDescent="0.25">
      <c r="A95" s="18">
        <v>31.6</v>
      </c>
      <c r="B95" s="13">
        <v>3.4800000000000001E-6</v>
      </c>
    </row>
    <row r="96" spans="1:2" x14ac:dyDescent="0.25">
      <c r="A96" s="18">
        <v>31.8</v>
      </c>
      <c r="B96" s="13">
        <v>1.33E-6</v>
      </c>
    </row>
    <row r="97" spans="1:2" x14ac:dyDescent="0.25">
      <c r="A97" s="18">
        <v>32</v>
      </c>
      <c r="B97" s="13">
        <v>1.06E-6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30"/>
  <dimension ref="A1:B122"/>
  <sheetViews>
    <sheetView workbookViewId="0">
      <selection activeCell="G31" sqref="G31"/>
    </sheetView>
  </sheetViews>
  <sheetFormatPr defaultRowHeight="15" x14ac:dyDescent="0.25"/>
  <cols>
    <col min="1" max="1" width="13.5703125" style="4" customWidth="1"/>
    <col min="2" max="2" width="20.7109375" style="4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18</v>
      </c>
      <c r="B2" s="14">
        <v>1.03E-4</v>
      </c>
    </row>
    <row r="3" spans="1:2" x14ac:dyDescent="0.25">
      <c r="A3" s="14">
        <v>18.2</v>
      </c>
      <c r="B3" s="14">
        <v>5.4400000000000001E-5</v>
      </c>
    </row>
    <row r="4" spans="1:2" x14ac:dyDescent="0.25">
      <c r="A4" s="14">
        <v>18.399999999999999</v>
      </c>
      <c r="B4" s="14">
        <v>1.3799999999999999E-4</v>
      </c>
    </row>
    <row r="5" spans="1:2" x14ac:dyDescent="0.25">
      <c r="A5" s="14">
        <v>18.600000000000001</v>
      </c>
      <c r="B5" s="14">
        <v>2.41E-4</v>
      </c>
    </row>
    <row r="6" spans="1:2" x14ac:dyDescent="0.25">
      <c r="A6" s="14">
        <v>18.8</v>
      </c>
      <c r="B6" s="14">
        <v>5.8100000000000003E-5</v>
      </c>
    </row>
    <row r="7" spans="1:2" x14ac:dyDescent="0.25">
      <c r="A7" s="14">
        <v>19</v>
      </c>
      <c r="B7" s="14">
        <v>4.06E-4</v>
      </c>
    </row>
    <row r="8" spans="1:2" x14ac:dyDescent="0.25">
      <c r="A8" s="14">
        <v>19.2</v>
      </c>
      <c r="B8" s="14">
        <v>1.9E-6</v>
      </c>
    </row>
    <row r="9" spans="1:2" x14ac:dyDescent="0.25">
      <c r="A9" s="14">
        <v>19.399999999999999</v>
      </c>
      <c r="B9" s="14">
        <v>3.1300000000000002E-5</v>
      </c>
    </row>
    <row r="10" spans="1:2" x14ac:dyDescent="0.25">
      <c r="A10" s="14">
        <v>19.600000000000001</v>
      </c>
      <c r="B10" s="14">
        <v>1.8200000000000001E-4</v>
      </c>
    </row>
    <row r="11" spans="1:2" x14ac:dyDescent="0.25">
      <c r="A11" s="14">
        <v>19.8</v>
      </c>
      <c r="B11" s="14">
        <v>4.57E-5</v>
      </c>
    </row>
    <row r="12" spans="1:2" x14ac:dyDescent="0.25">
      <c r="A12" s="14">
        <v>20</v>
      </c>
      <c r="B12" s="14">
        <v>1.6100000000000001E-4</v>
      </c>
    </row>
    <row r="13" spans="1:2" x14ac:dyDescent="0.25">
      <c r="A13" s="14">
        <v>20.2</v>
      </c>
      <c r="B13" s="14">
        <v>2.0599999999999999E-4</v>
      </c>
    </row>
    <row r="14" spans="1:2" x14ac:dyDescent="0.25">
      <c r="A14" s="14">
        <v>20.399999999999999</v>
      </c>
      <c r="B14" s="14">
        <v>1.7799999999999999E-4</v>
      </c>
    </row>
    <row r="15" spans="1:2" x14ac:dyDescent="0.25">
      <c r="A15" s="14">
        <v>20.6</v>
      </c>
      <c r="B15" s="14">
        <v>3.48E-4</v>
      </c>
    </row>
    <row r="16" spans="1:2" x14ac:dyDescent="0.25">
      <c r="A16" s="14">
        <v>20.8</v>
      </c>
      <c r="B16" s="14">
        <v>2.7099999999999997E-4</v>
      </c>
    </row>
    <row r="17" spans="1:2" x14ac:dyDescent="0.25">
      <c r="A17" s="14">
        <v>21</v>
      </c>
      <c r="B17" s="14">
        <v>2.52E-4</v>
      </c>
    </row>
    <row r="18" spans="1:2" x14ac:dyDescent="0.25">
      <c r="A18" s="14">
        <v>21.2</v>
      </c>
      <c r="B18" s="14">
        <v>3.6000000000000002E-4</v>
      </c>
    </row>
    <row r="19" spans="1:2" x14ac:dyDescent="0.25">
      <c r="A19" s="14">
        <v>21.4</v>
      </c>
      <c r="B19" s="14">
        <v>5.5199999999999997E-4</v>
      </c>
    </row>
    <row r="20" spans="1:2" x14ac:dyDescent="0.25">
      <c r="A20" s="14">
        <v>21.6</v>
      </c>
      <c r="B20" s="14">
        <v>3.3799999999999998E-4</v>
      </c>
    </row>
    <row r="21" spans="1:2" x14ac:dyDescent="0.25">
      <c r="A21" s="14">
        <v>21.8</v>
      </c>
      <c r="B21" s="14">
        <v>7.4600000000000003E-4</v>
      </c>
    </row>
    <row r="22" spans="1:2" x14ac:dyDescent="0.25">
      <c r="A22" s="14">
        <v>22</v>
      </c>
      <c r="B22" s="14">
        <v>7.76E-4</v>
      </c>
    </row>
    <row r="23" spans="1:2" x14ac:dyDescent="0.25">
      <c r="A23" s="14">
        <v>22.2</v>
      </c>
      <c r="B23" s="14">
        <v>8.0500000000000005E-4</v>
      </c>
    </row>
    <row r="24" spans="1:2" x14ac:dyDescent="0.25">
      <c r="A24" s="14">
        <v>22.4</v>
      </c>
      <c r="B24" s="14">
        <v>9.7000000000000005E-4</v>
      </c>
    </row>
    <row r="25" spans="1:2" x14ac:dyDescent="0.25">
      <c r="A25" s="14">
        <v>22.6</v>
      </c>
      <c r="B25" s="14">
        <v>1.1999999999999999E-3</v>
      </c>
    </row>
    <row r="26" spans="1:2" x14ac:dyDescent="0.25">
      <c r="A26" s="14">
        <v>22.8</v>
      </c>
      <c r="B26" s="14">
        <v>1.2099999999999999E-3</v>
      </c>
    </row>
    <row r="27" spans="1:2" x14ac:dyDescent="0.25">
      <c r="A27" s="14">
        <v>23</v>
      </c>
      <c r="B27" s="14">
        <v>1.5399999999999999E-3</v>
      </c>
    </row>
    <row r="28" spans="1:2" x14ac:dyDescent="0.25">
      <c r="A28" s="14">
        <v>23.2</v>
      </c>
      <c r="B28" s="14">
        <v>1.4499999999999999E-3</v>
      </c>
    </row>
    <row r="29" spans="1:2" x14ac:dyDescent="0.25">
      <c r="A29" s="14">
        <v>23.4</v>
      </c>
      <c r="B29" s="14">
        <v>1.8699999999999999E-3</v>
      </c>
    </row>
    <row r="30" spans="1:2" x14ac:dyDescent="0.25">
      <c r="A30" s="14">
        <v>23.6</v>
      </c>
      <c r="B30" s="14">
        <v>2.1800000000000001E-3</v>
      </c>
    </row>
    <row r="31" spans="1:2" x14ac:dyDescent="0.25">
      <c r="A31" s="14">
        <v>23.8</v>
      </c>
      <c r="B31" s="14">
        <v>2.3400000000000001E-3</v>
      </c>
    </row>
    <row r="32" spans="1:2" x14ac:dyDescent="0.25">
      <c r="A32" s="14">
        <v>24</v>
      </c>
      <c r="B32" s="14">
        <v>2.6700000000000001E-3</v>
      </c>
    </row>
    <row r="33" spans="1:2" x14ac:dyDescent="0.25">
      <c r="A33" s="14">
        <v>24.2</v>
      </c>
      <c r="B33" s="14">
        <v>2.9299999999999999E-3</v>
      </c>
    </row>
    <row r="34" spans="1:2" x14ac:dyDescent="0.25">
      <c r="A34" s="14">
        <v>24.4</v>
      </c>
      <c r="B34" s="14">
        <v>3.2599999999999999E-3</v>
      </c>
    </row>
    <row r="35" spans="1:2" x14ac:dyDescent="0.25">
      <c r="A35" s="14">
        <v>24.6</v>
      </c>
      <c r="B35" s="14">
        <v>3.3600000000000001E-3</v>
      </c>
    </row>
    <row r="36" spans="1:2" x14ac:dyDescent="0.25">
      <c r="A36" s="14">
        <v>24.8</v>
      </c>
      <c r="B36" s="14">
        <v>3.98E-3</v>
      </c>
    </row>
    <row r="37" spans="1:2" x14ac:dyDescent="0.25">
      <c r="A37" s="14">
        <v>25</v>
      </c>
      <c r="B37" s="14">
        <v>4.0099999999999997E-3</v>
      </c>
    </row>
    <row r="38" spans="1:2" x14ac:dyDescent="0.25">
      <c r="A38" s="14">
        <v>25.2</v>
      </c>
      <c r="B38" s="14">
        <v>4.45E-3</v>
      </c>
    </row>
    <row r="39" spans="1:2" x14ac:dyDescent="0.25">
      <c r="A39" s="14">
        <v>25.4</v>
      </c>
      <c r="B39" s="14">
        <v>4.79E-3</v>
      </c>
    </row>
    <row r="40" spans="1:2" x14ac:dyDescent="0.25">
      <c r="A40" s="14">
        <v>25.6</v>
      </c>
      <c r="B40" s="14">
        <v>5.4000000000000003E-3</v>
      </c>
    </row>
    <row r="41" spans="1:2" x14ac:dyDescent="0.25">
      <c r="A41" s="14">
        <v>25.8</v>
      </c>
      <c r="B41" s="14">
        <v>5.5900000000000004E-3</v>
      </c>
    </row>
    <row r="42" spans="1:2" x14ac:dyDescent="0.25">
      <c r="A42" s="14">
        <v>26</v>
      </c>
      <c r="B42" s="14">
        <v>5.9800000000000001E-3</v>
      </c>
    </row>
    <row r="43" spans="1:2" x14ac:dyDescent="0.25">
      <c r="A43" s="14">
        <v>26.2</v>
      </c>
      <c r="B43" s="14">
        <v>6.4099999999999999E-3</v>
      </c>
    </row>
    <row r="44" spans="1:2" x14ac:dyDescent="0.25">
      <c r="A44" s="14">
        <v>26.4</v>
      </c>
      <c r="B44" s="14">
        <v>7.0699999999999999E-3</v>
      </c>
    </row>
    <row r="45" spans="1:2" x14ac:dyDescent="0.25">
      <c r="A45" s="14">
        <v>26.6</v>
      </c>
      <c r="B45" s="14">
        <v>7.3099999999999997E-3</v>
      </c>
    </row>
    <row r="46" spans="1:2" x14ac:dyDescent="0.25">
      <c r="A46" s="14">
        <v>26.8</v>
      </c>
      <c r="B46" s="14">
        <v>7.9399999999999991E-3</v>
      </c>
    </row>
    <row r="47" spans="1:2" x14ac:dyDescent="0.25">
      <c r="A47" s="14">
        <v>27</v>
      </c>
      <c r="B47" s="14">
        <v>8.3199999999999993E-3</v>
      </c>
    </row>
    <row r="48" spans="1:2" x14ac:dyDescent="0.25">
      <c r="A48" s="14">
        <v>27.2</v>
      </c>
      <c r="B48" s="14">
        <v>8.7799999999999996E-3</v>
      </c>
    </row>
    <row r="49" spans="1:2" x14ac:dyDescent="0.25">
      <c r="A49" s="14">
        <v>27.4</v>
      </c>
      <c r="B49" s="14">
        <v>9.3600000000000003E-3</v>
      </c>
    </row>
    <row r="50" spans="1:2" x14ac:dyDescent="0.25">
      <c r="A50" s="14">
        <v>27.6</v>
      </c>
      <c r="B50" s="14">
        <v>9.5399999999999999E-3</v>
      </c>
    </row>
    <row r="51" spans="1:2" x14ac:dyDescent="0.25">
      <c r="A51" s="14">
        <v>27.8</v>
      </c>
      <c r="B51" s="14">
        <v>1.03E-2</v>
      </c>
    </row>
    <row r="52" spans="1:2" x14ac:dyDescent="0.25">
      <c r="A52" s="14">
        <v>28</v>
      </c>
      <c r="B52" s="14">
        <v>1.0699999999999999E-2</v>
      </c>
    </row>
    <row r="53" spans="1:2" x14ac:dyDescent="0.25">
      <c r="A53" s="14">
        <v>28.2</v>
      </c>
      <c r="B53" s="14">
        <v>1.09E-2</v>
      </c>
    </row>
    <row r="54" spans="1:2" x14ac:dyDescent="0.25">
      <c r="A54" s="14">
        <v>28.4</v>
      </c>
      <c r="B54" s="14">
        <v>1.18E-2</v>
      </c>
    </row>
    <row r="55" spans="1:2" x14ac:dyDescent="0.25">
      <c r="A55" s="14">
        <v>28.6</v>
      </c>
      <c r="B55" s="14">
        <v>1.17E-2</v>
      </c>
    </row>
    <row r="56" spans="1:2" x14ac:dyDescent="0.25">
      <c r="A56" s="14">
        <v>28.8</v>
      </c>
      <c r="B56" s="14">
        <v>1.26E-2</v>
      </c>
    </row>
    <row r="57" spans="1:2" x14ac:dyDescent="0.25">
      <c r="A57" s="14">
        <v>29</v>
      </c>
      <c r="B57" s="14">
        <v>1.2699999999999999E-2</v>
      </c>
    </row>
    <row r="58" spans="1:2" x14ac:dyDescent="0.25">
      <c r="A58" s="14">
        <v>29.2</v>
      </c>
      <c r="B58" s="14">
        <v>1.32E-2</v>
      </c>
    </row>
    <row r="59" spans="1:2" x14ac:dyDescent="0.25">
      <c r="A59" s="14">
        <v>29.4</v>
      </c>
      <c r="B59" s="14">
        <v>1.4E-2</v>
      </c>
    </row>
    <row r="60" spans="1:2" x14ac:dyDescent="0.25">
      <c r="A60" s="14">
        <v>29.6</v>
      </c>
      <c r="B60" s="14">
        <v>1.3299999999999999E-2</v>
      </c>
    </row>
    <row r="61" spans="1:2" x14ac:dyDescent="0.25">
      <c r="A61" s="14">
        <v>29.8</v>
      </c>
      <c r="B61" s="14">
        <v>1.52E-2</v>
      </c>
    </row>
    <row r="62" spans="1:2" x14ac:dyDescent="0.25">
      <c r="A62" s="14">
        <v>30</v>
      </c>
      <c r="B62" s="14">
        <v>1.46E-2</v>
      </c>
    </row>
    <row r="63" spans="1:2" x14ac:dyDescent="0.25">
      <c r="A63" s="14">
        <v>30.2</v>
      </c>
      <c r="B63" s="14">
        <v>1.5299999999999999E-2</v>
      </c>
    </row>
    <row r="64" spans="1:2" x14ac:dyDescent="0.25">
      <c r="A64" s="14">
        <v>30.4</v>
      </c>
      <c r="B64" s="14">
        <v>1.5900000000000001E-2</v>
      </c>
    </row>
    <row r="65" spans="1:2" x14ac:dyDescent="0.25">
      <c r="A65" s="14">
        <v>30.6</v>
      </c>
      <c r="B65" s="14">
        <v>1.5599999999999999E-2</v>
      </c>
    </row>
    <row r="66" spans="1:2" x14ac:dyDescent="0.25">
      <c r="A66" s="14">
        <v>30.8</v>
      </c>
      <c r="B66" s="14">
        <v>1.6400000000000001E-2</v>
      </c>
    </row>
    <row r="67" spans="1:2" x14ac:dyDescent="0.25">
      <c r="A67" s="14">
        <v>31</v>
      </c>
      <c r="B67" s="14">
        <v>1.6500000000000001E-2</v>
      </c>
    </row>
    <row r="68" spans="1:2" x14ac:dyDescent="0.25">
      <c r="A68" s="14">
        <v>31.2</v>
      </c>
      <c r="B68" s="14">
        <v>1.7000000000000001E-2</v>
      </c>
    </row>
    <row r="69" spans="1:2" x14ac:dyDescent="0.25">
      <c r="A69" s="14">
        <v>31.4</v>
      </c>
      <c r="B69" s="14">
        <v>1.72E-2</v>
      </c>
    </row>
    <row r="70" spans="1:2" x14ac:dyDescent="0.25">
      <c r="A70" s="14">
        <v>31.6</v>
      </c>
      <c r="B70" s="14">
        <v>1.7500000000000002E-2</v>
      </c>
    </row>
    <row r="71" spans="1:2" x14ac:dyDescent="0.25">
      <c r="A71" s="14">
        <v>31.8</v>
      </c>
      <c r="B71" s="14">
        <v>1.78E-2</v>
      </c>
    </row>
    <row r="72" spans="1:2" x14ac:dyDescent="0.25">
      <c r="A72" s="14">
        <v>32</v>
      </c>
      <c r="B72" s="14">
        <v>1.7500000000000002E-2</v>
      </c>
    </row>
    <row r="73" spans="1:2" x14ac:dyDescent="0.25">
      <c r="A73" s="14">
        <v>32.200000000000003</v>
      </c>
      <c r="B73" s="14">
        <v>1.8200000000000001E-2</v>
      </c>
    </row>
    <row r="74" spans="1:2" x14ac:dyDescent="0.25">
      <c r="A74" s="14">
        <v>32.4</v>
      </c>
      <c r="B74" s="14">
        <v>1.7899999999999999E-2</v>
      </c>
    </row>
    <row r="75" spans="1:2" x14ac:dyDescent="0.25">
      <c r="A75" s="14">
        <v>32.6</v>
      </c>
      <c r="B75" s="14">
        <v>1.84E-2</v>
      </c>
    </row>
    <row r="76" spans="1:2" x14ac:dyDescent="0.25">
      <c r="A76" s="14">
        <v>32.799999999999997</v>
      </c>
      <c r="B76" s="14">
        <v>1.8200000000000001E-2</v>
      </c>
    </row>
    <row r="77" spans="1:2" x14ac:dyDescent="0.25">
      <c r="A77" s="14">
        <v>33</v>
      </c>
      <c r="B77" s="14">
        <v>1.84E-2</v>
      </c>
    </row>
    <row r="78" spans="1:2" x14ac:dyDescent="0.25">
      <c r="A78" s="14">
        <v>33.200000000000003</v>
      </c>
      <c r="B78" s="14">
        <v>1.83E-2</v>
      </c>
    </row>
    <row r="79" spans="1:2" x14ac:dyDescent="0.25">
      <c r="A79" s="14">
        <v>33.4</v>
      </c>
      <c r="B79" s="14">
        <v>1.89E-2</v>
      </c>
    </row>
    <row r="80" spans="1:2" x14ac:dyDescent="0.25">
      <c r="A80" s="14">
        <v>33.6</v>
      </c>
      <c r="B80" s="14">
        <v>1.83E-2</v>
      </c>
    </row>
    <row r="81" spans="1:2" x14ac:dyDescent="0.25">
      <c r="A81" s="14">
        <v>33.799999999999997</v>
      </c>
      <c r="B81" s="14">
        <v>1.8599999999999998E-2</v>
      </c>
    </row>
    <row r="82" spans="1:2" x14ac:dyDescent="0.25">
      <c r="A82" s="14">
        <v>34</v>
      </c>
      <c r="B82" s="14">
        <v>1.8200000000000001E-2</v>
      </c>
    </row>
    <row r="83" spans="1:2" x14ac:dyDescent="0.25">
      <c r="A83" s="14">
        <v>34.200000000000003</v>
      </c>
      <c r="B83" s="14">
        <v>1.8100000000000002E-2</v>
      </c>
    </row>
    <row r="84" spans="1:2" x14ac:dyDescent="0.25">
      <c r="A84" s="14">
        <v>34.4</v>
      </c>
      <c r="B84" s="14">
        <v>1.8200000000000001E-2</v>
      </c>
    </row>
    <row r="85" spans="1:2" x14ac:dyDescent="0.25">
      <c r="A85" s="14">
        <v>34.6</v>
      </c>
      <c r="B85" s="14">
        <v>1.78E-2</v>
      </c>
    </row>
    <row r="86" spans="1:2" x14ac:dyDescent="0.25">
      <c r="A86" s="14">
        <v>34.799999999999997</v>
      </c>
      <c r="B86" s="14">
        <v>1.8100000000000002E-2</v>
      </c>
    </row>
    <row r="87" spans="1:2" x14ac:dyDescent="0.25">
      <c r="A87" s="14">
        <v>35</v>
      </c>
      <c r="B87" s="14">
        <v>1.77E-2</v>
      </c>
    </row>
    <row r="88" spans="1:2" x14ac:dyDescent="0.25">
      <c r="A88" s="14">
        <v>35.200000000000003</v>
      </c>
      <c r="B88" s="14">
        <v>1.72E-2</v>
      </c>
    </row>
    <row r="89" spans="1:2" x14ac:dyDescent="0.25">
      <c r="A89" s="14">
        <v>35.4</v>
      </c>
      <c r="B89" s="14">
        <v>1.7299999999999999E-2</v>
      </c>
    </row>
    <row r="90" spans="1:2" x14ac:dyDescent="0.25">
      <c r="A90" s="14">
        <v>35.6</v>
      </c>
      <c r="B90" s="14">
        <v>1.67E-2</v>
      </c>
    </row>
    <row r="91" spans="1:2" x14ac:dyDescent="0.25">
      <c r="A91" s="14">
        <v>35.799999999999997</v>
      </c>
      <c r="B91" s="14">
        <v>1.66E-2</v>
      </c>
    </row>
    <row r="92" spans="1:2" x14ac:dyDescent="0.25">
      <c r="A92" s="14">
        <v>36</v>
      </c>
      <c r="B92" s="14">
        <v>1.6E-2</v>
      </c>
    </row>
    <row r="93" spans="1:2" x14ac:dyDescent="0.25">
      <c r="A93" s="14">
        <v>36.200000000000003</v>
      </c>
      <c r="B93" s="14">
        <v>1.5699999999999999E-2</v>
      </c>
    </row>
    <row r="94" spans="1:2" x14ac:dyDescent="0.25">
      <c r="A94" s="14">
        <v>36.4</v>
      </c>
      <c r="B94" s="14">
        <v>1.54E-2</v>
      </c>
    </row>
    <row r="95" spans="1:2" x14ac:dyDescent="0.25">
      <c r="A95" s="14">
        <v>36.6</v>
      </c>
      <c r="B95" s="14">
        <v>1.47E-2</v>
      </c>
    </row>
    <row r="96" spans="1:2" x14ac:dyDescent="0.25">
      <c r="A96" s="14">
        <v>36.799999999999997</v>
      </c>
      <c r="B96" s="14">
        <v>1.44E-2</v>
      </c>
    </row>
    <row r="97" spans="1:2" x14ac:dyDescent="0.25">
      <c r="A97" s="14">
        <v>37</v>
      </c>
      <c r="B97" s="14">
        <v>1.3599999999999999E-2</v>
      </c>
    </row>
    <row r="98" spans="1:2" x14ac:dyDescent="0.25">
      <c r="A98" s="14">
        <v>37.200000000000003</v>
      </c>
      <c r="B98" s="14">
        <v>1.3599999999999999E-2</v>
      </c>
    </row>
    <row r="99" spans="1:2" x14ac:dyDescent="0.25">
      <c r="A99" s="14">
        <v>37.4</v>
      </c>
      <c r="B99" s="14">
        <v>1.2699999999999999E-2</v>
      </c>
    </row>
    <row r="100" spans="1:2" x14ac:dyDescent="0.25">
      <c r="A100" s="14">
        <v>37.6</v>
      </c>
      <c r="B100" s="14">
        <v>1.2200000000000001E-2</v>
      </c>
    </row>
    <row r="101" spans="1:2" x14ac:dyDescent="0.25">
      <c r="A101" s="14">
        <v>37.799999999999997</v>
      </c>
      <c r="B101" s="14">
        <v>1.15E-2</v>
      </c>
    </row>
    <row r="102" spans="1:2" x14ac:dyDescent="0.25">
      <c r="A102" s="14">
        <v>38</v>
      </c>
      <c r="B102" s="14">
        <v>1.09E-2</v>
      </c>
    </row>
    <row r="103" spans="1:2" x14ac:dyDescent="0.25">
      <c r="A103" s="14">
        <v>38.200000000000003</v>
      </c>
      <c r="B103" s="14">
        <v>1.0200000000000001E-2</v>
      </c>
    </row>
    <row r="104" spans="1:2" x14ac:dyDescent="0.25">
      <c r="A104" s="14">
        <v>38.4</v>
      </c>
      <c r="B104" s="14">
        <v>9.2499999999999995E-3</v>
      </c>
    </row>
    <row r="105" spans="1:2" x14ac:dyDescent="0.25">
      <c r="A105" s="14">
        <v>38.6</v>
      </c>
      <c r="B105" s="14">
        <v>8.7500000000000008E-3</v>
      </c>
    </row>
    <row r="106" spans="1:2" x14ac:dyDescent="0.25">
      <c r="A106" s="14">
        <v>38.799999999999997</v>
      </c>
      <c r="B106" s="14">
        <v>7.5399999999999998E-3</v>
      </c>
    </row>
    <row r="107" spans="1:2" x14ac:dyDescent="0.25">
      <c r="A107" s="14">
        <v>39</v>
      </c>
      <c r="B107" s="14">
        <v>7.0800000000000004E-3</v>
      </c>
    </row>
    <row r="108" spans="1:2" x14ac:dyDescent="0.25">
      <c r="A108" s="14">
        <v>39.200000000000003</v>
      </c>
      <c r="B108" s="14">
        <v>5.7800000000000004E-3</v>
      </c>
    </row>
    <row r="109" spans="1:2" x14ac:dyDescent="0.25">
      <c r="A109" s="14">
        <v>39.4</v>
      </c>
      <c r="B109" s="14">
        <v>4.9300000000000004E-3</v>
      </c>
    </row>
    <row r="110" spans="1:2" x14ac:dyDescent="0.25">
      <c r="A110" s="14">
        <v>39.6</v>
      </c>
      <c r="B110" s="14">
        <v>3.7299999999999998E-3</v>
      </c>
    </row>
    <row r="111" spans="1:2" x14ac:dyDescent="0.25">
      <c r="A111" s="14">
        <v>39.799999999999997</v>
      </c>
      <c r="B111" s="14">
        <v>2.3500000000000001E-3</v>
      </c>
    </row>
    <row r="112" spans="1:2" x14ac:dyDescent="0.25">
      <c r="A112" s="14">
        <v>40</v>
      </c>
      <c r="B112" s="14">
        <v>6.9399999999999996E-4</v>
      </c>
    </row>
    <row r="113" spans="1:2" x14ac:dyDescent="0.25">
      <c r="A113" s="14">
        <v>40.200000000000003</v>
      </c>
      <c r="B113" s="14">
        <v>2.8600000000000001E-5</v>
      </c>
    </row>
    <row r="114" spans="1:2" x14ac:dyDescent="0.25">
      <c r="A114" s="14">
        <v>40.4</v>
      </c>
      <c r="B114" s="14">
        <v>1.7900000000000001E-5</v>
      </c>
    </row>
    <row r="115" spans="1:2" x14ac:dyDescent="0.25">
      <c r="A115" s="14">
        <v>40.6</v>
      </c>
      <c r="B115" s="14">
        <v>8.6500000000000002E-6</v>
      </c>
    </row>
    <row r="116" spans="1:2" x14ac:dyDescent="0.25">
      <c r="A116" s="14">
        <v>40.799999999999997</v>
      </c>
      <c r="B116" s="14">
        <v>2.4700000000000001E-6</v>
      </c>
    </row>
    <row r="117" spans="1:2" x14ac:dyDescent="0.25">
      <c r="A117" s="14">
        <v>41</v>
      </c>
      <c r="B117" s="14">
        <v>3.1300000000000001E-6</v>
      </c>
    </row>
    <row r="118" spans="1:2" x14ac:dyDescent="0.25">
      <c r="A118" s="14">
        <v>41.2</v>
      </c>
      <c r="B118" s="14">
        <v>2.08E-6</v>
      </c>
    </row>
    <row r="119" spans="1:2" x14ac:dyDescent="0.25">
      <c r="A119" s="14">
        <v>41.4</v>
      </c>
      <c r="B119" s="14">
        <v>1.0499999999999999E-6</v>
      </c>
    </row>
    <row r="120" spans="1:2" x14ac:dyDescent="0.25">
      <c r="A120" s="14">
        <v>41.6</v>
      </c>
      <c r="B120" s="14">
        <v>8.6899999999999996E-7</v>
      </c>
    </row>
    <row r="121" spans="1:2" x14ac:dyDescent="0.25">
      <c r="A121" s="14">
        <v>41.8</v>
      </c>
      <c r="B121" s="14">
        <v>1.4499999999999999E-7</v>
      </c>
    </row>
    <row r="122" spans="1:2" x14ac:dyDescent="0.25">
      <c r="A122" s="14">
        <v>42</v>
      </c>
      <c r="B122" s="14">
        <v>6.7800000000000001E-7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31"/>
  <dimension ref="A1:B78"/>
  <sheetViews>
    <sheetView workbookViewId="0">
      <selection activeCell="I30" sqref="I30"/>
    </sheetView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24</v>
      </c>
      <c r="B2" s="14">
        <v>5.8799999999999999E-5</v>
      </c>
    </row>
    <row r="3" spans="1:2" x14ac:dyDescent="0.25">
      <c r="A3" s="14">
        <v>24.5</v>
      </c>
      <c r="B3" s="14">
        <v>3.8000000000000002E-5</v>
      </c>
    </row>
    <row r="4" spans="1:2" x14ac:dyDescent="0.25">
      <c r="A4" s="14">
        <v>25</v>
      </c>
      <c r="B4" s="14">
        <v>6.5900000000000003E-5</v>
      </c>
    </row>
    <row r="5" spans="1:2" x14ac:dyDescent="0.25">
      <c r="A5" s="14">
        <v>25.5</v>
      </c>
      <c r="B5" s="14">
        <v>1.11E-4</v>
      </c>
    </row>
    <row r="6" spans="1:2" x14ac:dyDescent="0.25">
      <c r="A6" s="14">
        <v>26</v>
      </c>
      <c r="B6" s="14">
        <v>1.0399999999999999E-4</v>
      </c>
    </row>
    <row r="7" spans="1:2" x14ac:dyDescent="0.25">
      <c r="A7" s="14">
        <v>26.5</v>
      </c>
      <c r="B7" s="14">
        <v>1.4300000000000001E-4</v>
      </c>
    </row>
    <row r="8" spans="1:2" x14ac:dyDescent="0.25">
      <c r="A8" s="14">
        <v>27</v>
      </c>
      <c r="B8" s="14">
        <v>1.76E-4</v>
      </c>
    </row>
    <row r="9" spans="1:2" x14ac:dyDescent="0.25">
      <c r="A9" s="14">
        <v>27.5</v>
      </c>
      <c r="B9" s="14">
        <v>2.7399999999999999E-4</v>
      </c>
    </row>
    <row r="10" spans="1:2" x14ac:dyDescent="0.25">
      <c r="A10" s="14">
        <v>28</v>
      </c>
      <c r="B10" s="14">
        <v>3.77E-4</v>
      </c>
    </row>
    <row r="11" spans="1:2" x14ac:dyDescent="0.25">
      <c r="A11" s="14">
        <v>28.5</v>
      </c>
      <c r="B11" s="14">
        <v>5.1199999999999998E-4</v>
      </c>
    </row>
    <row r="12" spans="1:2" x14ac:dyDescent="0.25">
      <c r="A12" s="14">
        <v>29</v>
      </c>
      <c r="B12" s="14">
        <v>6.7699999999999998E-4</v>
      </c>
    </row>
    <row r="13" spans="1:2" x14ac:dyDescent="0.25">
      <c r="A13" s="14">
        <v>29.5</v>
      </c>
      <c r="B13" s="14">
        <v>9.0700000000000004E-4</v>
      </c>
    </row>
    <row r="14" spans="1:2" x14ac:dyDescent="0.25">
      <c r="A14" s="14">
        <v>30</v>
      </c>
      <c r="B14" s="14">
        <v>1.1199999999999999E-3</v>
      </c>
    </row>
    <row r="15" spans="1:2" x14ac:dyDescent="0.25">
      <c r="A15" s="14">
        <v>30.5</v>
      </c>
      <c r="B15" s="14">
        <v>1.5100000000000001E-3</v>
      </c>
    </row>
    <row r="16" spans="1:2" x14ac:dyDescent="0.25">
      <c r="A16" s="14">
        <v>31</v>
      </c>
      <c r="B16" s="14">
        <v>1.8699999999999999E-3</v>
      </c>
    </row>
    <row r="17" spans="1:2" x14ac:dyDescent="0.25">
      <c r="A17" s="14">
        <v>31.5</v>
      </c>
      <c r="B17" s="14">
        <v>2.3500000000000001E-3</v>
      </c>
    </row>
    <row r="18" spans="1:2" x14ac:dyDescent="0.25">
      <c r="A18" s="14">
        <v>32</v>
      </c>
      <c r="B18" s="14">
        <v>2.8400000000000001E-3</v>
      </c>
    </row>
    <row r="19" spans="1:2" x14ac:dyDescent="0.25">
      <c r="A19" s="14">
        <v>32.5</v>
      </c>
      <c r="B19" s="14">
        <v>3.5100000000000001E-3</v>
      </c>
    </row>
    <row r="20" spans="1:2" x14ac:dyDescent="0.25">
      <c r="A20" s="14">
        <v>33</v>
      </c>
      <c r="B20" s="14">
        <v>4.1900000000000001E-3</v>
      </c>
    </row>
    <row r="21" spans="1:2" x14ac:dyDescent="0.25">
      <c r="A21" s="14">
        <v>33.5</v>
      </c>
      <c r="B21" s="14">
        <v>4.9399999999999999E-3</v>
      </c>
    </row>
    <row r="22" spans="1:2" x14ac:dyDescent="0.25">
      <c r="A22" s="14">
        <v>34</v>
      </c>
      <c r="B22" s="14">
        <v>5.64E-3</v>
      </c>
    </row>
    <row r="23" spans="1:2" x14ac:dyDescent="0.25">
      <c r="A23" s="14">
        <v>34.5</v>
      </c>
      <c r="B23" s="14">
        <v>6.6100000000000004E-3</v>
      </c>
    </row>
    <row r="24" spans="1:2" x14ac:dyDescent="0.25">
      <c r="A24" s="14">
        <v>35</v>
      </c>
      <c r="B24" s="14">
        <v>7.4900000000000001E-3</v>
      </c>
    </row>
    <row r="25" spans="1:2" x14ac:dyDescent="0.25">
      <c r="A25" s="14">
        <v>35.5</v>
      </c>
      <c r="B25" s="14">
        <v>8.4200000000000004E-3</v>
      </c>
    </row>
    <row r="26" spans="1:2" x14ac:dyDescent="0.25">
      <c r="A26" s="14">
        <v>36</v>
      </c>
      <c r="B26" s="14">
        <v>9.4000000000000004E-3</v>
      </c>
    </row>
    <row r="27" spans="1:2" x14ac:dyDescent="0.25">
      <c r="A27" s="14">
        <v>36.5</v>
      </c>
      <c r="B27" s="14">
        <v>1.04E-2</v>
      </c>
    </row>
    <row r="28" spans="1:2" x14ac:dyDescent="0.25">
      <c r="A28" s="14">
        <v>37</v>
      </c>
      <c r="B28" s="14">
        <v>1.14E-2</v>
      </c>
    </row>
    <row r="29" spans="1:2" x14ac:dyDescent="0.25">
      <c r="A29" s="14">
        <v>37.5</v>
      </c>
      <c r="B29" s="14">
        <v>1.2500000000000001E-2</v>
      </c>
    </row>
    <row r="30" spans="1:2" x14ac:dyDescent="0.25">
      <c r="A30" s="14">
        <v>38</v>
      </c>
      <c r="B30" s="14">
        <v>1.34E-2</v>
      </c>
    </row>
    <row r="31" spans="1:2" x14ac:dyDescent="0.25">
      <c r="A31" s="14">
        <v>38.5</v>
      </c>
      <c r="B31" s="14">
        <v>1.46E-2</v>
      </c>
    </row>
    <row r="32" spans="1:2" x14ac:dyDescent="0.25">
      <c r="A32" s="14">
        <v>39</v>
      </c>
      <c r="B32" s="14">
        <v>1.5599999999999999E-2</v>
      </c>
    </row>
    <row r="33" spans="1:2" x14ac:dyDescent="0.25">
      <c r="A33" s="14">
        <v>39.5</v>
      </c>
      <c r="B33" s="14">
        <v>1.6799999999999999E-2</v>
      </c>
    </row>
    <row r="34" spans="1:2" x14ac:dyDescent="0.25">
      <c r="A34" s="14">
        <v>40</v>
      </c>
      <c r="B34" s="14">
        <v>1.78E-2</v>
      </c>
    </row>
    <row r="35" spans="1:2" x14ac:dyDescent="0.25">
      <c r="A35" s="14">
        <v>40.5</v>
      </c>
      <c r="B35" s="14">
        <v>1.8700000000000001E-2</v>
      </c>
    </row>
    <row r="36" spans="1:2" x14ac:dyDescent="0.25">
      <c r="A36" s="14">
        <v>41</v>
      </c>
      <c r="B36" s="14">
        <v>1.9800000000000002E-2</v>
      </c>
    </row>
    <row r="37" spans="1:2" x14ac:dyDescent="0.25">
      <c r="A37" s="14">
        <v>41.5</v>
      </c>
      <c r="B37" s="14">
        <v>2.06E-2</v>
      </c>
    </row>
    <row r="38" spans="1:2" x14ac:dyDescent="0.25">
      <c r="A38" s="14">
        <v>42</v>
      </c>
      <c r="B38" s="14">
        <v>2.1600000000000001E-2</v>
      </c>
    </row>
    <row r="39" spans="1:2" x14ac:dyDescent="0.25">
      <c r="A39" s="14">
        <v>42.5</v>
      </c>
      <c r="B39" s="14">
        <v>2.2499999999999999E-2</v>
      </c>
    </row>
    <row r="40" spans="1:2" x14ac:dyDescent="0.25">
      <c r="A40" s="14">
        <v>43</v>
      </c>
      <c r="B40" s="14">
        <v>2.3199999999999998E-2</v>
      </c>
    </row>
    <row r="41" spans="1:2" x14ac:dyDescent="0.25">
      <c r="A41" s="14">
        <v>43.5</v>
      </c>
      <c r="B41" s="14">
        <v>2.4E-2</v>
      </c>
    </row>
    <row r="42" spans="1:2" x14ac:dyDescent="0.25">
      <c r="A42" s="14">
        <v>44</v>
      </c>
      <c r="B42" s="14">
        <v>2.46E-2</v>
      </c>
    </row>
    <row r="43" spans="1:2" x14ac:dyDescent="0.25">
      <c r="A43" s="14">
        <v>44.5</v>
      </c>
      <c r="B43" s="14">
        <v>2.5100000000000001E-2</v>
      </c>
    </row>
    <row r="44" spans="1:2" x14ac:dyDescent="0.25">
      <c r="A44" s="14">
        <v>45</v>
      </c>
      <c r="B44" s="14">
        <v>2.58E-2</v>
      </c>
    </row>
    <row r="45" spans="1:2" x14ac:dyDescent="0.25">
      <c r="A45" s="14">
        <v>45.5</v>
      </c>
      <c r="B45" s="14">
        <v>2.5899999999999999E-2</v>
      </c>
    </row>
    <row r="46" spans="1:2" x14ac:dyDescent="0.25">
      <c r="A46" s="14">
        <v>46</v>
      </c>
      <c r="B46" s="14">
        <v>2.6499999999999999E-2</v>
      </c>
    </row>
    <row r="47" spans="1:2" x14ac:dyDescent="0.25">
      <c r="A47" s="14">
        <v>46.5</v>
      </c>
      <c r="B47" s="14">
        <v>2.6700000000000002E-2</v>
      </c>
    </row>
    <row r="48" spans="1:2" x14ac:dyDescent="0.25">
      <c r="A48" s="14">
        <v>47</v>
      </c>
      <c r="B48" s="14">
        <v>2.69E-2</v>
      </c>
    </row>
    <row r="49" spans="1:2" x14ac:dyDescent="0.25">
      <c r="A49" s="14">
        <v>47.5</v>
      </c>
      <c r="B49" s="14">
        <v>2.69E-2</v>
      </c>
    </row>
    <row r="50" spans="1:2" x14ac:dyDescent="0.25">
      <c r="A50" s="14">
        <v>48</v>
      </c>
      <c r="B50" s="14">
        <v>2.69E-2</v>
      </c>
    </row>
    <row r="51" spans="1:2" x14ac:dyDescent="0.25">
      <c r="A51" s="14">
        <v>48.5</v>
      </c>
      <c r="B51" s="14">
        <v>2.69E-2</v>
      </c>
    </row>
    <row r="52" spans="1:2" x14ac:dyDescent="0.25">
      <c r="A52" s="14">
        <v>49</v>
      </c>
      <c r="B52" s="14">
        <v>2.63E-2</v>
      </c>
    </row>
    <row r="53" spans="1:2" x14ac:dyDescent="0.25">
      <c r="A53" s="14">
        <v>49.5</v>
      </c>
      <c r="B53" s="14">
        <v>2.64E-2</v>
      </c>
    </row>
    <row r="54" spans="1:2" x14ac:dyDescent="0.25">
      <c r="A54" s="14">
        <v>50</v>
      </c>
      <c r="B54" s="14">
        <v>2.5999999999999999E-2</v>
      </c>
    </row>
    <row r="55" spans="1:2" x14ac:dyDescent="0.25">
      <c r="A55" s="14">
        <v>50.5</v>
      </c>
      <c r="B55" s="14">
        <v>2.58E-2</v>
      </c>
    </row>
    <row r="56" spans="1:2" x14ac:dyDescent="0.25">
      <c r="A56" s="14">
        <v>51</v>
      </c>
      <c r="B56" s="14">
        <v>2.53E-2</v>
      </c>
    </row>
    <row r="57" spans="1:2" x14ac:dyDescent="0.25">
      <c r="A57" s="14">
        <v>51.5</v>
      </c>
      <c r="B57" s="14">
        <v>2.47E-2</v>
      </c>
    </row>
    <row r="58" spans="1:2" x14ac:dyDescent="0.25">
      <c r="A58" s="14">
        <v>52</v>
      </c>
      <c r="B58" s="14">
        <v>2.4299999999999999E-2</v>
      </c>
    </row>
    <row r="59" spans="1:2" x14ac:dyDescent="0.25">
      <c r="A59" s="14">
        <v>52.5</v>
      </c>
      <c r="B59" s="14">
        <v>2.3599999999999999E-2</v>
      </c>
    </row>
    <row r="60" spans="1:2" x14ac:dyDescent="0.25">
      <c r="A60" s="14">
        <v>53</v>
      </c>
      <c r="B60" s="14">
        <v>2.29E-2</v>
      </c>
    </row>
    <row r="61" spans="1:2" x14ac:dyDescent="0.25">
      <c r="A61" s="14">
        <v>53.5</v>
      </c>
      <c r="B61" s="14">
        <v>2.2100000000000002E-2</v>
      </c>
    </row>
    <row r="62" spans="1:2" x14ac:dyDescent="0.25">
      <c r="A62" s="14">
        <v>54</v>
      </c>
      <c r="B62" s="14">
        <v>2.1100000000000001E-2</v>
      </c>
    </row>
    <row r="63" spans="1:2" x14ac:dyDescent="0.25">
      <c r="A63" s="14">
        <v>54.5</v>
      </c>
      <c r="B63" s="14">
        <v>0.02</v>
      </c>
    </row>
    <row r="64" spans="1:2" x14ac:dyDescent="0.25">
      <c r="A64" s="14">
        <v>55</v>
      </c>
      <c r="B64" s="14">
        <v>1.89E-2</v>
      </c>
    </row>
    <row r="65" spans="1:2" x14ac:dyDescent="0.25">
      <c r="A65" s="14">
        <v>55.5</v>
      </c>
      <c r="B65" s="14">
        <v>1.78E-2</v>
      </c>
    </row>
    <row r="66" spans="1:2" x14ac:dyDescent="0.25">
      <c r="A66" s="14">
        <v>56</v>
      </c>
      <c r="B66" s="14">
        <v>1.6400000000000001E-2</v>
      </c>
    </row>
    <row r="67" spans="1:2" x14ac:dyDescent="0.25">
      <c r="A67" s="14">
        <v>56.5</v>
      </c>
      <c r="B67" s="14">
        <v>1.5100000000000001E-2</v>
      </c>
    </row>
    <row r="68" spans="1:2" x14ac:dyDescent="0.25">
      <c r="A68" s="14">
        <v>57</v>
      </c>
      <c r="B68" s="14">
        <v>1.3599999999999999E-2</v>
      </c>
    </row>
    <row r="69" spans="1:2" x14ac:dyDescent="0.25">
      <c r="A69" s="14">
        <v>57.5</v>
      </c>
      <c r="B69" s="14">
        <v>1.2E-2</v>
      </c>
    </row>
    <row r="70" spans="1:2" x14ac:dyDescent="0.25">
      <c r="A70" s="14">
        <v>58</v>
      </c>
      <c r="B70" s="14">
        <v>1.0200000000000001E-2</v>
      </c>
    </row>
    <row r="71" spans="1:2" x14ac:dyDescent="0.25">
      <c r="A71" s="14">
        <v>58.5</v>
      </c>
      <c r="B71" s="14">
        <v>8.2799999999999992E-3</v>
      </c>
    </row>
    <row r="72" spans="1:2" x14ac:dyDescent="0.25">
      <c r="A72" s="14">
        <v>59</v>
      </c>
      <c r="B72" s="14">
        <v>6.1500000000000001E-3</v>
      </c>
    </row>
    <row r="73" spans="1:2" x14ac:dyDescent="0.25">
      <c r="A73" s="14">
        <v>59.5</v>
      </c>
      <c r="B73" s="14">
        <v>3.7000000000000002E-3</v>
      </c>
    </row>
    <row r="74" spans="1:2" x14ac:dyDescent="0.25">
      <c r="A74" s="14">
        <v>60</v>
      </c>
      <c r="B74" s="14">
        <v>8.8400000000000002E-4</v>
      </c>
    </row>
    <row r="75" spans="1:2" x14ac:dyDescent="0.25">
      <c r="A75" s="14">
        <v>60.5</v>
      </c>
      <c r="B75" s="14">
        <v>5.1900000000000003E-7</v>
      </c>
    </row>
    <row r="76" spans="1:2" x14ac:dyDescent="0.25">
      <c r="A76" s="14">
        <v>61</v>
      </c>
      <c r="B76" s="14">
        <v>3.5900000000000003E-7</v>
      </c>
    </row>
    <row r="77" spans="1:2" x14ac:dyDescent="0.25">
      <c r="A77" s="14">
        <v>61.5</v>
      </c>
      <c r="B77" s="14">
        <v>1.0100000000000001E-6</v>
      </c>
    </row>
    <row r="78" spans="1:2" x14ac:dyDescent="0.25">
      <c r="A78" s="14">
        <v>62</v>
      </c>
      <c r="B78" s="14">
        <v>1.6899999999999999E-6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33"/>
  <dimension ref="A1:B94"/>
  <sheetViews>
    <sheetView workbookViewId="0">
      <selection activeCell="M34" sqref="M34"/>
    </sheetView>
  </sheetViews>
  <sheetFormatPr defaultRowHeight="15" x14ac:dyDescent="0.25"/>
  <cols>
    <col min="1" max="1" width="11.85546875" style="1" bestFit="1" customWidth="1"/>
    <col min="2" max="2" width="17.7109375" style="1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36</v>
      </c>
      <c r="B2" s="13">
        <v>8.1599999999999998E-6</v>
      </c>
    </row>
    <row r="3" spans="1:2" x14ac:dyDescent="0.25">
      <c r="A3" s="13">
        <v>36.5</v>
      </c>
      <c r="B3" s="13">
        <v>3.8800000000000001E-5</v>
      </c>
    </row>
    <row r="4" spans="1:2" x14ac:dyDescent="0.25">
      <c r="A4" s="13">
        <v>37</v>
      </c>
      <c r="B4" s="13">
        <v>4.0899999999999998E-5</v>
      </c>
    </row>
    <row r="5" spans="1:2" x14ac:dyDescent="0.25">
      <c r="A5" s="13">
        <v>37.5</v>
      </c>
      <c r="B5" s="13">
        <v>3.18E-5</v>
      </c>
    </row>
    <row r="6" spans="1:2" x14ac:dyDescent="0.25">
      <c r="A6" s="13">
        <v>38</v>
      </c>
      <c r="B6" s="13">
        <v>4.6400000000000003E-5</v>
      </c>
    </row>
    <row r="7" spans="1:2" x14ac:dyDescent="0.25">
      <c r="A7" s="13">
        <v>38.5</v>
      </c>
      <c r="B7" s="13">
        <v>7.4999999999999993E-5</v>
      </c>
    </row>
    <row r="8" spans="1:2" x14ac:dyDescent="0.25">
      <c r="A8" s="13">
        <v>39</v>
      </c>
      <c r="B8" s="13">
        <v>6.8399999999999996E-5</v>
      </c>
    </row>
    <row r="9" spans="1:2" x14ac:dyDescent="0.25">
      <c r="A9" s="13">
        <v>39.5</v>
      </c>
      <c r="B9" s="13">
        <v>9.3900000000000006E-5</v>
      </c>
    </row>
    <row r="10" spans="1:2" x14ac:dyDescent="0.25">
      <c r="A10" s="13">
        <v>40</v>
      </c>
      <c r="B10" s="13">
        <v>1.7100000000000001E-4</v>
      </c>
    </row>
    <row r="11" spans="1:2" x14ac:dyDescent="0.25">
      <c r="A11" s="13">
        <v>40.5</v>
      </c>
      <c r="B11" s="13">
        <v>1.85E-4</v>
      </c>
    </row>
    <row r="12" spans="1:2" x14ac:dyDescent="0.25">
      <c r="A12" s="13">
        <v>41</v>
      </c>
      <c r="B12" s="13">
        <v>2.31E-4</v>
      </c>
    </row>
    <row r="13" spans="1:2" x14ac:dyDescent="0.25">
      <c r="A13" s="13">
        <v>41.5</v>
      </c>
      <c r="B13" s="13">
        <v>3.1300000000000002E-4</v>
      </c>
    </row>
    <row r="14" spans="1:2" x14ac:dyDescent="0.25">
      <c r="A14" s="13">
        <v>42</v>
      </c>
      <c r="B14" s="13">
        <v>3.7800000000000003E-4</v>
      </c>
    </row>
    <row r="15" spans="1:2" x14ac:dyDescent="0.25">
      <c r="A15" s="13">
        <v>42.5</v>
      </c>
      <c r="B15" s="13">
        <v>5.13E-4</v>
      </c>
    </row>
    <row r="16" spans="1:2" x14ac:dyDescent="0.25">
      <c r="A16" s="13">
        <v>43</v>
      </c>
      <c r="B16" s="13">
        <v>5.8399999999999999E-4</v>
      </c>
    </row>
    <row r="17" spans="1:2" x14ac:dyDescent="0.25">
      <c r="A17" s="13">
        <v>43.5</v>
      </c>
      <c r="B17" s="13">
        <v>7.1100000000000004E-4</v>
      </c>
    </row>
    <row r="18" spans="1:2" x14ac:dyDescent="0.25">
      <c r="A18" s="13">
        <v>44</v>
      </c>
      <c r="B18" s="13">
        <v>8.6700000000000004E-4</v>
      </c>
    </row>
    <row r="19" spans="1:2" x14ac:dyDescent="0.25">
      <c r="A19" s="13">
        <v>44.5</v>
      </c>
      <c r="B19" s="13">
        <v>1.1000000000000001E-3</v>
      </c>
    </row>
    <row r="20" spans="1:2" x14ac:dyDescent="0.25">
      <c r="A20" s="13">
        <v>45</v>
      </c>
      <c r="B20" s="13">
        <v>1.2700000000000001E-3</v>
      </c>
    </row>
    <row r="21" spans="1:2" x14ac:dyDescent="0.25">
      <c r="A21" s="13">
        <v>45.5</v>
      </c>
      <c r="B21" s="13">
        <v>1.4400000000000001E-3</v>
      </c>
    </row>
    <row r="22" spans="1:2" x14ac:dyDescent="0.25">
      <c r="A22" s="13">
        <v>46</v>
      </c>
      <c r="B22" s="13">
        <v>1.6900000000000001E-3</v>
      </c>
    </row>
    <row r="23" spans="1:2" x14ac:dyDescent="0.25">
      <c r="A23" s="13">
        <v>46.5</v>
      </c>
      <c r="B23" s="13">
        <v>1.8799999999999999E-3</v>
      </c>
    </row>
    <row r="24" spans="1:2" x14ac:dyDescent="0.25">
      <c r="A24" s="13">
        <v>47</v>
      </c>
      <c r="B24" s="13">
        <v>2.2799999999999999E-3</v>
      </c>
    </row>
    <row r="25" spans="1:2" x14ac:dyDescent="0.25">
      <c r="A25" s="13">
        <v>47.5</v>
      </c>
      <c r="B25" s="13">
        <v>2.5200000000000001E-3</v>
      </c>
    </row>
    <row r="26" spans="1:2" x14ac:dyDescent="0.25">
      <c r="A26" s="13">
        <v>48</v>
      </c>
      <c r="B26" s="13">
        <v>2.8999999999999998E-3</v>
      </c>
    </row>
    <row r="27" spans="1:2" x14ac:dyDescent="0.25">
      <c r="A27" s="13">
        <v>48.5</v>
      </c>
      <c r="B27" s="13">
        <v>3.2699999999999999E-3</v>
      </c>
    </row>
    <row r="28" spans="1:2" x14ac:dyDescent="0.25">
      <c r="A28" s="13">
        <v>49</v>
      </c>
      <c r="B28" s="13">
        <v>3.5999999999999999E-3</v>
      </c>
    </row>
    <row r="29" spans="1:2" x14ac:dyDescent="0.25">
      <c r="A29" s="13">
        <v>49.5</v>
      </c>
      <c r="B29" s="13">
        <v>4.1200000000000004E-3</v>
      </c>
    </row>
    <row r="30" spans="1:2" x14ac:dyDescent="0.25">
      <c r="A30" s="13">
        <v>50</v>
      </c>
      <c r="B30" s="13">
        <v>4.5100000000000001E-3</v>
      </c>
    </row>
    <row r="31" spans="1:2" x14ac:dyDescent="0.25">
      <c r="A31" s="13">
        <v>50.5</v>
      </c>
      <c r="B31" s="13">
        <v>4.9899999999999996E-3</v>
      </c>
    </row>
    <row r="32" spans="1:2" x14ac:dyDescent="0.25">
      <c r="A32" s="13">
        <v>51</v>
      </c>
      <c r="B32" s="13">
        <v>5.5100000000000001E-3</v>
      </c>
    </row>
    <row r="33" spans="1:2" x14ac:dyDescent="0.25">
      <c r="A33" s="13">
        <v>51.5</v>
      </c>
      <c r="B33" s="13">
        <v>6.0499999999999998E-3</v>
      </c>
    </row>
    <row r="34" spans="1:2" x14ac:dyDescent="0.25">
      <c r="A34" s="13">
        <v>52</v>
      </c>
      <c r="B34" s="13">
        <v>6.6899999999999998E-3</v>
      </c>
    </row>
    <row r="35" spans="1:2" x14ac:dyDescent="0.25">
      <c r="A35" s="13">
        <v>52.5</v>
      </c>
      <c r="B35" s="13">
        <v>7.1399999999999996E-3</v>
      </c>
    </row>
    <row r="36" spans="1:2" x14ac:dyDescent="0.25">
      <c r="A36" s="13">
        <v>53</v>
      </c>
      <c r="B36" s="13">
        <v>7.8200000000000006E-3</v>
      </c>
    </row>
    <row r="37" spans="1:2" x14ac:dyDescent="0.25">
      <c r="A37" s="13">
        <v>53.5</v>
      </c>
      <c r="B37" s="13">
        <v>8.4100000000000008E-3</v>
      </c>
    </row>
    <row r="38" spans="1:2" x14ac:dyDescent="0.25">
      <c r="A38" s="13">
        <v>54</v>
      </c>
      <c r="B38" s="13">
        <v>8.9599999999999992E-3</v>
      </c>
    </row>
    <row r="39" spans="1:2" x14ac:dyDescent="0.25">
      <c r="A39" s="13">
        <v>54.5</v>
      </c>
      <c r="B39" s="13">
        <v>9.5899999999999996E-3</v>
      </c>
    </row>
    <row r="40" spans="1:2" x14ac:dyDescent="0.25">
      <c r="A40" s="13">
        <v>55</v>
      </c>
      <c r="B40" s="13">
        <v>1.0200000000000001E-2</v>
      </c>
    </row>
    <row r="41" spans="1:2" x14ac:dyDescent="0.25">
      <c r="A41" s="13">
        <v>55.5</v>
      </c>
      <c r="B41" s="13">
        <v>1.11E-2</v>
      </c>
    </row>
    <row r="42" spans="1:2" x14ac:dyDescent="0.25">
      <c r="A42" s="13">
        <v>56</v>
      </c>
      <c r="B42" s="13">
        <v>1.15E-2</v>
      </c>
    </row>
    <row r="43" spans="1:2" x14ac:dyDescent="0.25">
      <c r="A43" s="13">
        <v>56.5</v>
      </c>
      <c r="B43" s="13">
        <v>1.2200000000000001E-2</v>
      </c>
    </row>
    <row r="44" spans="1:2" x14ac:dyDescent="0.25">
      <c r="A44" s="13">
        <v>57</v>
      </c>
      <c r="B44" s="13">
        <v>1.29E-2</v>
      </c>
    </row>
    <row r="45" spans="1:2" x14ac:dyDescent="0.25">
      <c r="A45" s="13">
        <v>57.5</v>
      </c>
      <c r="B45" s="13">
        <v>1.47E-2</v>
      </c>
    </row>
    <row r="46" spans="1:2" x14ac:dyDescent="0.25">
      <c r="A46" s="13">
        <v>58</v>
      </c>
      <c r="B46" s="13">
        <v>2.24E-2</v>
      </c>
    </row>
    <row r="47" spans="1:2" x14ac:dyDescent="0.25">
      <c r="A47" s="13">
        <v>58.5</v>
      </c>
      <c r="B47" s="13">
        <v>1.55E-2</v>
      </c>
    </row>
    <row r="48" spans="1:2" x14ac:dyDescent="0.25">
      <c r="A48" s="13">
        <v>59</v>
      </c>
      <c r="B48" s="13">
        <v>2.35E-2</v>
      </c>
    </row>
    <row r="49" spans="1:2" x14ac:dyDescent="0.25">
      <c r="A49" s="13">
        <v>59.5</v>
      </c>
      <c r="B49" s="13">
        <v>2.9000000000000001E-2</v>
      </c>
    </row>
    <row r="50" spans="1:2" x14ac:dyDescent="0.25">
      <c r="A50" s="13">
        <v>60</v>
      </c>
      <c r="B50" s="13">
        <v>1.67E-2</v>
      </c>
    </row>
    <row r="51" spans="1:2" x14ac:dyDescent="0.25">
      <c r="A51" s="13">
        <v>60.5</v>
      </c>
      <c r="B51" s="13">
        <v>1.7000000000000001E-2</v>
      </c>
    </row>
    <row r="52" spans="1:2" x14ac:dyDescent="0.25">
      <c r="A52" s="13">
        <v>61</v>
      </c>
      <c r="B52" s="13">
        <v>1.77E-2</v>
      </c>
    </row>
    <row r="53" spans="1:2" x14ac:dyDescent="0.25">
      <c r="A53" s="13">
        <v>61.5</v>
      </c>
      <c r="B53" s="13">
        <v>1.8200000000000001E-2</v>
      </c>
    </row>
    <row r="54" spans="1:2" x14ac:dyDescent="0.25">
      <c r="A54" s="13">
        <v>62</v>
      </c>
      <c r="B54" s="13">
        <v>1.8700000000000001E-2</v>
      </c>
    </row>
    <row r="55" spans="1:2" x14ac:dyDescent="0.25">
      <c r="A55" s="13">
        <v>62.5</v>
      </c>
      <c r="B55" s="13">
        <v>1.9300000000000001E-2</v>
      </c>
    </row>
    <row r="56" spans="1:2" x14ac:dyDescent="0.25">
      <c r="A56" s="13">
        <v>63</v>
      </c>
      <c r="B56" s="13">
        <v>1.9699999999999999E-2</v>
      </c>
    </row>
    <row r="57" spans="1:2" x14ac:dyDescent="0.25">
      <c r="A57" s="13">
        <v>63.5</v>
      </c>
      <c r="B57" s="13">
        <v>2.0299999999999999E-2</v>
      </c>
    </row>
    <row r="58" spans="1:2" x14ac:dyDescent="0.25">
      <c r="A58" s="13">
        <v>64</v>
      </c>
      <c r="B58" s="13">
        <v>2.0799999999999999E-2</v>
      </c>
    </row>
    <row r="59" spans="1:2" x14ac:dyDescent="0.25">
      <c r="A59" s="13">
        <v>64.5</v>
      </c>
      <c r="B59" s="13">
        <v>2.1100000000000001E-2</v>
      </c>
    </row>
    <row r="60" spans="1:2" x14ac:dyDescent="0.25">
      <c r="A60" s="13">
        <v>65</v>
      </c>
      <c r="B60" s="13">
        <v>2.1499999999999998E-2</v>
      </c>
    </row>
    <row r="61" spans="1:2" x14ac:dyDescent="0.25">
      <c r="A61" s="13">
        <v>65.5</v>
      </c>
      <c r="B61" s="13">
        <v>2.1899999999999999E-2</v>
      </c>
    </row>
    <row r="62" spans="1:2" x14ac:dyDescent="0.25">
      <c r="A62" s="13">
        <v>66</v>
      </c>
      <c r="B62" s="13">
        <v>2.2100000000000002E-2</v>
      </c>
    </row>
    <row r="63" spans="1:2" x14ac:dyDescent="0.25">
      <c r="A63" s="13">
        <v>66.5</v>
      </c>
      <c r="B63" s="13">
        <v>2.3400000000000001E-2</v>
      </c>
    </row>
    <row r="64" spans="1:2" x14ac:dyDescent="0.25">
      <c r="A64" s="13">
        <v>67</v>
      </c>
      <c r="B64" s="13">
        <v>3.3700000000000001E-2</v>
      </c>
    </row>
    <row r="65" spans="1:2" x14ac:dyDescent="0.25">
      <c r="A65" s="13">
        <v>67.5</v>
      </c>
      <c r="B65" s="13">
        <v>2.8500000000000001E-2</v>
      </c>
    </row>
    <row r="66" spans="1:2" x14ac:dyDescent="0.25">
      <c r="A66" s="13">
        <v>68</v>
      </c>
      <c r="B66" s="13">
        <v>2.2800000000000001E-2</v>
      </c>
    </row>
    <row r="67" spans="1:2" x14ac:dyDescent="0.25">
      <c r="A67" s="13">
        <v>68.5</v>
      </c>
      <c r="B67" s="13">
        <v>2.3E-2</v>
      </c>
    </row>
    <row r="68" spans="1:2" x14ac:dyDescent="0.25">
      <c r="A68" s="13">
        <v>69</v>
      </c>
      <c r="B68" s="13">
        <v>2.6499999999999999E-2</v>
      </c>
    </row>
    <row r="69" spans="1:2" x14ac:dyDescent="0.25">
      <c r="A69" s="13">
        <v>69.5</v>
      </c>
      <c r="B69" s="13">
        <v>2.3099999999999999E-2</v>
      </c>
    </row>
    <row r="70" spans="1:2" x14ac:dyDescent="0.25">
      <c r="A70" s="13">
        <v>70</v>
      </c>
      <c r="B70" s="13">
        <v>2.12E-2</v>
      </c>
    </row>
    <row r="71" spans="1:2" x14ac:dyDescent="0.25">
      <c r="A71" s="13">
        <v>70.5</v>
      </c>
      <c r="B71" s="13">
        <v>2.1000000000000001E-2</v>
      </c>
    </row>
    <row r="72" spans="1:2" x14ac:dyDescent="0.25">
      <c r="A72" s="13">
        <v>71</v>
      </c>
      <c r="B72" s="13">
        <v>2.0899999999999998E-2</v>
      </c>
    </row>
    <row r="73" spans="1:2" x14ac:dyDescent="0.25">
      <c r="A73" s="13">
        <v>71.5</v>
      </c>
      <c r="B73" s="13">
        <v>2.0500000000000001E-2</v>
      </c>
    </row>
    <row r="74" spans="1:2" x14ac:dyDescent="0.25">
      <c r="A74" s="13">
        <v>72</v>
      </c>
      <c r="B74" s="13">
        <v>0.02</v>
      </c>
    </row>
    <row r="75" spans="1:2" x14ac:dyDescent="0.25">
      <c r="A75" s="13">
        <v>72.5</v>
      </c>
      <c r="B75" s="13">
        <v>1.95E-2</v>
      </c>
    </row>
    <row r="76" spans="1:2" x14ac:dyDescent="0.25">
      <c r="A76" s="13">
        <v>73</v>
      </c>
      <c r="B76" s="13">
        <v>1.9E-2</v>
      </c>
    </row>
    <row r="77" spans="1:2" x14ac:dyDescent="0.25">
      <c r="A77" s="13">
        <v>73.5</v>
      </c>
      <c r="B77" s="13">
        <v>1.8499999999999999E-2</v>
      </c>
    </row>
    <row r="78" spans="1:2" x14ac:dyDescent="0.25">
      <c r="A78" s="13">
        <v>74</v>
      </c>
      <c r="B78" s="13">
        <v>1.78E-2</v>
      </c>
    </row>
    <row r="79" spans="1:2" x14ac:dyDescent="0.25">
      <c r="A79" s="13">
        <v>74.5</v>
      </c>
      <c r="B79" s="13">
        <v>1.72E-2</v>
      </c>
    </row>
    <row r="80" spans="1:2" x14ac:dyDescent="0.25">
      <c r="A80" s="13">
        <v>75</v>
      </c>
      <c r="B80" s="13">
        <v>1.61E-2</v>
      </c>
    </row>
    <row r="81" spans="1:2" x14ac:dyDescent="0.25">
      <c r="A81" s="13">
        <v>75.5</v>
      </c>
      <c r="B81" s="13">
        <v>1.5100000000000001E-2</v>
      </c>
    </row>
    <row r="82" spans="1:2" x14ac:dyDescent="0.25">
      <c r="A82" s="13">
        <v>76</v>
      </c>
      <c r="B82" s="13">
        <v>1.41E-2</v>
      </c>
    </row>
    <row r="83" spans="1:2" x14ac:dyDescent="0.25">
      <c r="A83" s="13">
        <v>76.5</v>
      </c>
      <c r="B83" s="13">
        <v>1.29E-2</v>
      </c>
    </row>
    <row r="84" spans="1:2" x14ac:dyDescent="0.25">
      <c r="A84" s="13">
        <v>77</v>
      </c>
      <c r="B84" s="13">
        <v>1.1900000000000001E-2</v>
      </c>
    </row>
    <row r="85" spans="1:2" x14ac:dyDescent="0.25">
      <c r="A85" s="13">
        <v>77.5</v>
      </c>
      <c r="B85" s="13">
        <v>1.04E-2</v>
      </c>
    </row>
    <row r="86" spans="1:2" x14ac:dyDescent="0.25">
      <c r="A86" s="13">
        <v>78</v>
      </c>
      <c r="B86" s="13">
        <v>8.8000000000000005E-3</v>
      </c>
    </row>
    <row r="87" spans="1:2" x14ac:dyDescent="0.25">
      <c r="A87" s="13">
        <v>78.5</v>
      </c>
      <c r="B87" s="13">
        <v>7.11E-3</v>
      </c>
    </row>
    <row r="88" spans="1:2" x14ac:dyDescent="0.25">
      <c r="A88" s="13">
        <v>79</v>
      </c>
      <c r="B88" s="13">
        <v>5.2500000000000003E-3</v>
      </c>
    </row>
    <row r="89" spans="1:2" x14ac:dyDescent="0.25">
      <c r="A89" s="13">
        <v>79.5</v>
      </c>
      <c r="B89" s="13">
        <v>3.14E-3</v>
      </c>
    </row>
    <row r="90" spans="1:2" x14ac:dyDescent="0.25">
      <c r="A90" s="13">
        <v>80</v>
      </c>
      <c r="B90" s="13">
        <v>6.9399999999999996E-4</v>
      </c>
    </row>
    <row r="91" spans="1:2" x14ac:dyDescent="0.25">
      <c r="A91" s="13">
        <v>80.5</v>
      </c>
      <c r="B91" s="13">
        <v>8.7900000000000005E-6</v>
      </c>
    </row>
    <row r="92" spans="1:2" x14ac:dyDescent="0.25">
      <c r="A92" s="13">
        <v>81</v>
      </c>
      <c r="B92" s="13">
        <v>3.1E-6</v>
      </c>
    </row>
    <row r="93" spans="1:2" x14ac:dyDescent="0.25">
      <c r="A93" s="13">
        <v>81.5</v>
      </c>
      <c r="B93" s="13">
        <v>3.54E-6</v>
      </c>
    </row>
    <row r="94" spans="1:2" x14ac:dyDescent="0.25">
      <c r="A94" s="13">
        <v>82</v>
      </c>
      <c r="B94" s="13">
        <v>2.5600000000000001E-6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34"/>
  <dimension ref="A1:B126"/>
  <sheetViews>
    <sheetView workbookViewId="0">
      <selection activeCell="M34" sqref="M34"/>
    </sheetView>
  </sheetViews>
  <sheetFormatPr defaultRowHeight="15" x14ac:dyDescent="0.25"/>
  <cols>
    <col min="1" max="1" width="14.28515625" style="1" customWidth="1"/>
    <col min="2" max="2" width="23.5703125" style="1" customWidth="1"/>
  </cols>
  <sheetData>
    <row r="1" spans="1:2" x14ac:dyDescent="0.25">
      <c r="A1" s="2" t="s">
        <v>15</v>
      </c>
      <c r="B1" s="2" t="s">
        <v>12</v>
      </c>
    </row>
    <row r="2" spans="1:2" x14ac:dyDescent="0.25">
      <c r="A2" s="13">
        <v>40</v>
      </c>
      <c r="B2" s="13">
        <v>2.2600000000000001E-7</v>
      </c>
    </row>
    <row r="3" spans="1:2" x14ac:dyDescent="0.25">
      <c r="A3" s="13">
        <v>40.5</v>
      </c>
      <c r="B3" s="13">
        <v>1.84E-6</v>
      </c>
    </row>
    <row r="4" spans="1:2" x14ac:dyDescent="0.25">
      <c r="A4" s="13">
        <v>41</v>
      </c>
      <c r="B4" s="13">
        <v>4.2400000000000001E-6</v>
      </c>
    </row>
    <row r="5" spans="1:2" x14ac:dyDescent="0.25">
      <c r="A5" s="13">
        <v>41.5</v>
      </c>
      <c r="B5" s="13">
        <v>2.3599999999999999E-6</v>
      </c>
    </row>
    <row r="6" spans="1:2" x14ac:dyDescent="0.25">
      <c r="A6" s="13">
        <v>42</v>
      </c>
      <c r="B6" s="13">
        <v>3.1999999999999999E-6</v>
      </c>
    </row>
    <row r="7" spans="1:2" x14ac:dyDescent="0.25">
      <c r="A7" s="13">
        <v>42.5</v>
      </c>
      <c r="B7" s="13">
        <v>8.8100000000000004E-6</v>
      </c>
    </row>
    <row r="8" spans="1:2" x14ac:dyDescent="0.25">
      <c r="A8" s="13">
        <v>43</v>
      </c>
      <c r="B8" s="13">
        <v>4.0199999999999996E-6</v>
      </c>
    </row>
    <row r="9" spans="1:2" x14ac:dyDescent="0.25">
      <c r="A9" s="13">
        <v>43.5</v>
      </c>
      <c r="B9" s="13">
        <v>5.6699999999999999E-6</v>
      </c>
    </row>
    <row r="10" spans="1:2" x14ac:dyDescent="0.25">
      <c r="A10" s="13">
        <v>44</v>
      </c>
      <c r="B10" s="13">
        <v>9.3300000000000005E-6</v>
      </c>
    </row>
    <row r="11" spans="1:2" x14ac:dyDescent="0.25">
      <c r="A11" s="13">
        <v>44.5</v>
      </c>
      <c r="B11" s="13">
        <v>1.39E-6</v>
      </c>
    </row>
    <row r="12" spans="1:2" x14ac:dyDescent="0.25">
      <c r="A12" s="13">
        <v>45</v>
      </c>
      <c r="B12" s="13">
        <v>1.1600000000000001E-5</v>
      </c>
    </row>
    <row r="13" spans="1:2" x14ac:dyDescent="0.25">
      <c r="A13" s="13">
        <v>45.5</v>
      </c>
      <c r="B13" s="13">
        <v>7.9999999999999996E-6</v>
      </c>
    </row>
    <row r="14" spans="1:2" x14ac:dyDescent="0.25">
      <c r="A14" s="13">
        <v>46</v>
      </c>
      <c r="B14" s="13">
        <v>5.22E-6</v>
      </c>
    </row>
    <row r="15" spans="1:2" x14ac:dyDescent="0.25">
      <c r="A15" s="13">
        <v>46.5</v>
      </c>
      <c r="B15" s="13">
        <v>1.7400000000000001E-6</v>
      </c>
    </row>
    <row r="16" spans="1:2" x14ac:dyDescent="0.25">
      <c r="A16" s="13">
        <v>47</v>
      </c>
      <c r="B16" s="13">
        <v>1.1999999999999999E-6</v>
      </c>
    </row>
    <row r="17" spans="1:2" x14ac:dyDescent="0.25">
      <c r="A17" s="13">
        <v>47.5</v>
      </c>
      <c r="B17" s="13">
        <v>3.3400000000000002E-6</v>
      </c>
    </row>
    <row r="18" spans="1:2" x14ac:dyDescent="0.25">
      <c r="A18" s="13">
        <v>48</v>
      </c>
      <c r="B18" s="13">
        <v>9.6500000000000008E-6</v>
      </c>
    </row>
    <row r="19" spans="1:2" x14ac:dyDescent="0.25">
      <c r="A19" s="13">
        <v>48.5</v>
      </c>
      <c r="B19" s="13">
        <v>1.26E-5</v>
      </c>
    </row>
    <row r="20" spans="1:2" x14ac:dyDescent="0.25">
      <c r="A20" s="13">
        <v>49</v>
      </c>
      <c r="B20" s="13">
        <v>1.2E-5</v>
      </c>
    </row>
    <row r="21" spans="1:2" x14ac:dyDescent="0.25">
      <c r="A21" s="13">
        <v>49.5</v>
      </c>
      <c r="B21" s="13">
        <v>1.47E-5</v>
      </c>
    </row>
    <row r="22" spans="1:2" x14ac:dyDescent="0.25">
      <c r="A22" s="13">
        <v>50</v>
      </c>
      <c r="B22" s="13">
        <v>1.5999999999999999E-5</v>
      </c>
    </row>
    <row r="23" spans="1:2" x14ac:dyDescent="0.25">
      <c r="A23" s="13">
        <v>50.5</v>
      </c>
      <c r="B23" s="13">
        <v>2.3099999999999999E-5</v>
      </c>
    </row>
    <row r="24" spans="1:2" x14ac:dyDescent="0.25">
      <c r="A24" s="13">
        <v>51</v>
      </c>
      <c r="B24" s="13">
        <v>2.3900000000000002E-5</v>
      </c>
    </row>
    <row r="25" spans="1:2" x14ac:dyDescent="0.25">
      <c r="A25" s="13">
        <v>51.5</v>
      </c>
      <c r="B25" s="13">
        <v>4.2799999999999997E-5</v>
      </c>
    </row>
    <row r="26" spans="1:2" x14ac:dyDescent="0.25">
      <c r="A26" s="13">
        <v>52</v>
      </c>
      <c r="B26" s="13">
        <v>3.7100000000000001E-5</v>
      </c>
    </row>
    <row r="27" spans="1:2" x14ac:dyDescent="0.25">
      <c r="A27" s="13">
        <v>52.5</v>
      </c>
      <c r="B27" s="13">
        <v>5.13E-5</v>
      </c>
    </row>
    <row r="28" spans="1:2" x14ac:dyDescent="0.25">
      <c r="A28" s="13">
        <v>53</v>
      </c>
      <c r="B28" s="13">
        <v>7.8200000000000003E-5</v>
      </c>
    </row>
    <row r="29" spans="1:2" x14ac:dyDescent="0.25">
      <c r="A29" s="13">
        <v>53.5</v>
      </c>
      <c r="B29" s="13">
        <v>1.01E-4</v>
      </c>
    </row>
    <row r="30" spans="1:2" x14ac:dyDescent="0.25">
      <c r="A30" s="13">
        <v>54</v>
      </c>
      <c r="B30" s="13">
        <v>1.0900000000000001E-4</v>
      </c>
    </row>
    <row r="31" spans="1:2" x14ac:dyDescent="0.25">
      <c r="A31" s="13">
        <v>54.5</v>
      </c>
      <c r="B31" s="13">
        <v>1.4100000000000001E-4</v>
      </c>
    </row>
    <row r="32" spans="1:2" x14ac:dyDescent="0.25">
      <c r="A32" s="13">
        <v>55</v>
      </c>
      <c r="B32" s="13">
        <v>1.8000000000000001E-4</v>
      </c>
    </row>
    <row r="33" spans="1:2" x14ac:dyDescent="0.25">
      <c r="A33" s="13">
        <v>55.5</v>
      </c>
      <c r="B33" s="13">
        <v>1.9699999999999999E-4</v>
      </c>
    </row>
    <row r="34" spans="1:2" x14ac:dyDescent="0.25">
      <c r="A34" s="13">
        <v>56</v>
      </c>
      <c r="B34" s="13">
        <v>2.8899999999999998E-4</v>
      </c>
    </row>
    <row r="35" spans="1:2" x14ac:dyDescent="0.25">
      <c r="A35" s="13">
        <v>56.5</v>
      </c>
      <c r="B35" s="13">
        <v>3.1700000000000001E-4</v>
      </c>
    </row>
    <row r="36" spans="1:2" x14ac:dyDescent="0.25">
      <c r="A36" s="13">
        <v>57</v>
      </c>
      <c r="B36" s="13">
        <v>3.8200000000000002E-4</v>
      </c>
    </row>
    <row r="37" spans="1:2" x14ac:dyDescent="0.25">
      <c r="A37" s="13">
        <v>57.5</v>
      </c>
      <c r="B37" s="13">
        <v>5.8600000000000004E-4</v>
      </c>
    </row>
    <row r="38" spans="1:2" x14ac:dyDescent="0.25">
      <c r="A38" s="13">
        <v>58</v>
      </c>
      <c r="B38" s="13">
        <v>1.5399999999999999E-3</v>
      </c>
    </row>
    <row r="39" spans="1:2" x14ac:dyDescent="0.25">
      <c r="A39" s="13">
        <v>58.5</v>
      </c>
      <c r="B39" s="13">
        <v>7.2999999999999996E-4</v>
      </c>
    </row>
    <row r="40" spans="1:2" x14ac:dyDescent="0.25">
      <c r="A40" s="13">
        <v>59</v>
      </c>
      <c r="B40" s="13">
        <v>1.98E-3</v>
      </c>
    </row>
    <row r="41" spans="1:2" x14ac:dyDescent="0.25">
      <c r="A41" s="13">
        <v>59.5</v>
      </c>
      <c r="B41" s="13">
        <v>2.8600000000000001E-3</v>
      </c>
    </row>
    <row r="42" spans="1:2" x14ac:dyDescent="0.25">
      <c r="A42" s="13">
        <v>60</v>
      </c>
      <c r="B42" s="13">
        <v>9.7999999999999997E-4</v>
      </c>
    </row>
    <row r="43" spans="1:2" x14ac:dyDescent="0.25">
      <c r="A43" s="13">
        <v>60.5</v>
      </c>
      <c r="B43" s="13">
        <v>1.06E-3</v>
      </c>
    </row>
    <row r="44" spans="1:2" x14ac:dyDescent="0.25">
      <c r="A44" s="13">
        <v>61</v>
      </c>
      <c r="B44" s="13">
        <v>1.1900000000000001E-3</v>
      </c>
    </row>
    <row r="45" spans="1:2" x14ac:dyDescent="0.25">
      <c r="A45" s="13">
        <v>61.5</v>
      </c>
      <c r="B45" s="13">
        <v>1.3600000000000001E-3</v>
      </c>
    </row>
    <row r="46" spans="1:2" x14ac:dyDescent="0.25">
      <c r="A46" s="13">
        <v>62</v>
      </c>
      <c r="B46" s="13">
        <v>1.56E-3</v>
      </c>
    </row>
    <row r="47" spans="1:2" x14ac:dyDescent="0.25">
      <c r="A47" s="13">
        <v>62.5</v>
      </c>
      <c r="B47" s="13">
        <v>1.6999999999999999E-3</v>
      </c>
    </row>
    <row r="48" spans="1:2" x14ac:dyDescent="0.25">
      <c r="A48" s="13">
        <v>63</v>
      </c>
      <c r="B48" s="13">
        <v>1.9499999999999999E-3</v>
      </c>
    </row>
    <row r="49" spans="1:2" x14ac:dyDescent="0.25">
      <c r="A49" s="13">
        <v>63.5</v>
      </c>
      <c r="B49" s="13">
        <v>2.2200000000000002E-3</v>
      </c>
    </row>
    <row r="50" spans="1:2" x14ac:dyDescent="0.25">
      <c r="A50" s="13">
        <v>64</v>
      </c>
      <c r="B50" s="13">
        <v>2.4599999999999999E-3</v>
      </c>
    </row>
    <row r="51" spans="1:2" x14ac:dyDescent="0.25">
      <c r="A51" s="13">
        <v>64.5</v>
      </c>
      <c r="B51" s="13">
        <v>2.7399999999999998E-3</v>
      </c>
    </row>
    <row r="52" spans="1:2" x14ac:dyDescent="0.25">
      <c r="A52" s="13">
        <v>65</v>
      </c>
      <c r="B52" s="13">
        <v>3.0000000000000001E-3</v>
      </c>
    </row>
    <row r="53" spans="1:2" x14ac:dyDescent="0.25">
      <c r="A53" s="13">
        <v>65.5</v>
      </c>
      <c r="B53" s="13">
        <v>3.31E-3</v>
      </c>
    </row>
    <row r="54" spans="1:2" x14ac:dyDescent="0.25">
      <c r="A54" s="13">
        <v>66</v>
      </c>
      <c r="B54" s="13">
        <v>3.5899999999999999E-3</v>
      </c>
    </row>
    <row r="55" spans="1:2" x14ac:dyDescent="0.25">
      <c r="A55" s="13">
        <v>66.5</v>
      </c>
      <c r="B55" s="13">
        <v>4.4999999999999997E-3</v>
      </c>
    </row>
    <row r="56" spans="1:2" x14ac:dyDescent="0.25">
      <c r="A56" s="13">
        <v>67</v>
      </c>
      <c r="B56" s="13">
        <v>1.0200000000000001E-2</v>
      </c>
    </row>
    <row r="57" spans="1:2" x14ac:dyDescent="0.25">
      <c r="A57" s="13">
        <v>67.5</v>
      </c>
      <c r="B57" s="13">
        <v>8.0300000000000007E-3</v>
      </c>
    </row>
    <row r="58" spans="1:2" x14ac:dyDescent="0.25">
      <c r="A58" s="13">
        <v>68</v>
      </c>
      <c r="B58" s="13">
        <v>5.2199999999999998E-3</v>
      </c>
    </row>
    <row r="59" spans="1:2" x14ac:dyDescent="0.25">
      <c r="A59" s="13">
        <v>68.5</v>
      </c>
      <c r="B59" s="13">
        <v>5.7400000000000003E-3</v>
      </c>
    </row>
    <row r="60" spans="1:2" x14ac:dyDescent="0.25">
      <c r="A60" s="13">
        <v>69</v>
      </c>
      <c r="B60" s="13">
        <v>8.5500000000000003E-3</v>
      </c>
    </row>
    <row r="61" spans="1:2" x14ac:dyDescent="0.25">
      <c r="A61" s="13">
        <v>69.5</v>
      </c>
      <c r="B61" s="13">
        <v>7.0600000000000003E-3</v>
      </c>
    </row>
    <row r="62" spans="1:2" x14ac:dyDescent="0.25">
      <c r="A62" s="13">
        <v>70</v>
      </c>
      <c r="B62" s="13">
        <v>6.2399999999999999E-3</v>
      </c>
    </row>
    <row r="63" spans="1:2" x14ac:dyDescent="0.25">
      <c r="A63" s="13">
        <v>70.5</v>
      </c>
      <c r="B63" s="13">
        <v>6.7600000000000004E-3</v>
      </c>
    </row>
    <row r="64" spans="1:2" x14ac:dyDescent="0.25">
      <c r="A64" s="13">
        <v>71</v>
      </c>
      <c r="B64" s="13">
        <v>7.2500000000000004E-3</v>
      </c>
    </row>
    <row r="65" spans="1:2" x14ac:dyDescent="0.25">
      <c r="A65" s="13">
        <v>71.5</v>
      </c>
      <c r="B65" s="13">
        <v>7.8200000000000006E-3</v>
      </c>
    </row>
    <row r="66" spans="1:2" x14ac:dyDescent="0.25">
      <c r="A66" s="13">
        <v>72</v>
      </c>
      <c r="B66" s="13">
        <v>8.1600000000000006E-3</v>
      </c>
    </row>
    <row r="67" spans="1:2" x14ac:dyDescent="0.25">
      <c r="A67" s="13">
        <v>72.5</v>
      </c>
      <c r="B67" s="13">
        <v>8.7399999999999995E-3</v>
      </c>
    </row>
    <row r="68" spans="1:2" x14ac:dyDescent="0.25">
      <c r="A68" s="13">
        <v>73</v>
      </c>
      <c r="B68" s="13">
        <v>9.1599999999999997E-3</v>
      </c>
    </row>
    <row r="69" spans="1:2" x14ac:dyDescent="0.25">
      <c r="A69" s="13">
        <v>73.5</v>
      </c>
      <c r="B69" s="13">
        <v>9.6299999999999997E-3</v>
      </c>
    </row>
    <row r="70" spans="1:2" x14ac:dyDescent="0.25">
      <c r="A70" s="13">
        <v>74</v>
      </c>
      <c r="B70" s="13">
        <v>1.0200000000000001E-2</v>
      </c>
    </row>
    <row r="71" spans="1:2" x14ac:dyDescent="0.25">
      <c r="A71" s="13">
        <v>74.5</v>
      </c>
      <c r="B71" s="13">
        <v>1.0800000000000001E-2</v>
      </c>
    </row>
    <row r="72" spans="1:2" x14ac:dyDescent="0.25">
      <c r="A72" s="13">
        <v>75</v>
      </c>
      <c r="B72" s="13">
        <v>1.1299999999999999E-2</v>
      </c>
    </row>
    <row r="73" spans="1:2" x14ac:dyDescent="0.25">
      <c r="A73" s="13">
        <v>75.5</v>
      </c>
      <c r="B73" s="13">
        <v>1.2E-2</v>
      </c>
    </row>
    <row r="74" spans="1:2" x14ac:dyDescent="0.25">
      <c r="A74" s="13">
        <v>76</v>
      </c>
      <c r="B74" s="13">
        <v>1.2500000000000001E-2</v>
      </c>
    </row>
    <row r="75" spans="1:2" x14ac:dyDescent="0.25">
      <c r="A75" s="13">
        <v>76.5</v>
      </c>
      <c r="B75" s="13">
        <v>1.2999999999999999E-2</v>
      </c>
    </row>
    <row r="76" spans="1:2" x14ac:dyDescent="0.25">
      <c r="A76" s="13">
        <v>77</v>
      </c>
      <c r="B76" s="13">
        <v>1.35E-2</v>
      </c>
    </row>
    <row r="77" spans="1:2" x14ac:dyDescent="0.25">
      <c r="A77" s="13">
        <v>77.5</v>
      </c>
      <c r="B77" s="13">
        <v>1.38E-2</v>
      </c>
    </row>
    <row r="78" spans="1:2" x14ac:dyDescent="0.25">
      <c r="A78" s="13">
        <v>78</v>
      </c>
      <c r="B78" s="13">
        <v>1.44E-2</v>
      </c>
    </row>
    <row r="79" spans="1:2" x14ac:dyDescent="0.25">
      <c r="A79" s="13">
        <v>78.5</v>
      </c>
      <c r="B79" s="13">
        <v>1.4999999999999999E-2</v>
      </c>
    </row>
    <row r="80" spans="1:2" x14ac:dyDescent="0.25">
      <c r="A80" s="13">
        <v>79</v>
      </c>
      <c r="B80" s="13">
        <v>1.55E-2</v>
      </c>
    </row>
    <row r="81" spans="1:2" x14ac:dyDescent="0.25">
      <c r="A81" s="13">
        <v>79.5</v>
      </c>
      <c r="B81" s="13">
        <v>1.5800000000000002E-2</v>
      </c>
    </row>
    <row r="82" spans="1:2" x14ac:dyDescent="0.25">
      <c r="A82" s="13">
        <v>80</v>
      </c>
      <c r="B82" s="13">
        <v>1.6400000000000001E-2</v>
      </c>
    </row>
    <row r="83" spans="1:2" x14ac:dyDescent="0.25">
      <c r="A83" s="13">
        <v>80.5</v>
      </c>
      <c r="B83" s="13">
        <v>1.67E-2</v>
      </c>
    </row>
    <row r="84" spans="1:2" x14ac:dyDescent="0.25">
      <c r="A84" s="13">
        <v>81</v>
      </c>
      <c r="B84" s="13">
        <v>1.7399999999999999E-2</v>
      </c>
    </row>
    <row r="85" spans="1:2" x14ac:dyDescent="0.25">
      <c r="A85" s="13">
        <v>81.5</v>
      </c>
      <c r="B85" s="13">
        <v>1.78E-2</v>
      </c>
    </row>
    <row r="86" spans="1:2" x14ac:dyDescent="0.25">
      <c r="A86" s="13">
        <v>82</v>
      </c>
      <c r="B86" s="13">
        <v>1.8200000000000001E-2</v>
      </c>
    </row>
    <row r="87" spans="1:2" x14ac:dyDescent="0.25">
      <c r="A87" s="13">
        <v>82.5</v>
      </c>
      <c r="B87" s="13">
        <v>1.8499999999999999E-2</v>
      </c>
    </row>
    <row r="88" spans="1:2" x14ac:dyDescent="0.25">
      <c r="A88" s="13">
        <v>83</v>
      </c>
      <c r="B88" s="13">
        <v>1.9400000000000001E-2</v>
      </c>
    </row>
    <row r="89" spans="1:2" x14ac:dyDescent="0.25">
      <c r="A89" s="13">
        <v>83.5</v>
      </c>
      <c r="B89" s="13">
        <v>1.95E-2</v>
      </c>
    </row>
    <row r="90" spans="1:2" x14ac:dyDescent="0.25">
      <c r="A90" s="13">
        <v>84</v>
      </c>
      <c r="B90" s="13">
        <v>1.9900000000000001E-2</v>
      </c>
    </row>
    <row r="91" spans="1:2" x14ac:dyDescent="0.25">
      <c r="A91" s="13">
        <v>84.5</v>
      </c>
      <c r="B91" s="13">
        <v>2.0299999999999999E-2</v>
      </c>
    </row>
    <row r="92" spans="1:2" x14ac:dyDescent="0.25">
      <c r="A92" s="13">
        <v>85</v>
      </c>
      <c r="B92" s="13">
        <v>2.07E-2</v>
      </c>
    </row>
    <row r="93" spans="1:2" x14ac:dyDescent="0.25">
      <c r="A93" s="13">
        <v>85.5</v>
      </c>
      <c r="B93" s="13">
        <v>2.0899999999999998E-2</v>
      </c>
    </row>
    <row r="94" spans="1:2" x14ac:dyDescent="0.25">
      <c r="A94" s="13">
        <v>86</v>
      </c>
      <c r="B94" s="13">
        <v>2.0899999999999998E-2</v>
      </c>
    </row>
    <row r="95" spans="1:2" x14ac:dyDescent="0.25">
      <c r="A95" s="13">
        <v>86.5</v>
      </c>
      <c r="B95" s="13">
        <v>2.12E-2</v>
      </c>
    </row>
    <row r="96" spans="1:2" x14ac:dyDescent="0.25">
      <c r="A96" s="13">
        <v>87</v>
      </c>
      <c r="B96" s="13">
        <v>2.1600000000000001E-2</v>
      </c>
    </row>
    <row r="97" spans="1:2" x14ac:dyDescent="0.25">
      <c r="A97" s="13">
        <v>87.5</v>
      </c>
      <c r="B97" s="13">
        <v>2.1499999999999998E-2</v>
      </c>
    </row>
    <row r="98" spans="1:2" x14ac:dyDescent="0.25">
      <c r="A98" s="13">
        <v>88</v>
      </c>
      <c r="B98" s="13">
        <v>2.1600000000000001E-2</v>
      </c>
    </row>
    <row r="99" spans="1:2" x14ac:dyDescent="0.25">
      <c r="A99" s="13">
        <v>88.5</v>
      </c>
      <c r="B99" s="13">
        <v>2.1299999999999999E-2</v>
      </c>
    </row>
    <row r="100" spans="1:2" x14ac:dyDescent="0.25">
      <c r="A100" s="13">
        <v>89</v>
      </c>
      <c r="B100" s="13">
        <v>2.1299999999999999E-2</v>
      </c>
    </row>
    <row r="101" spans="1:2" x14ac:dyDescent="0.25">
      <c r="A101" s="13">
        <v>89.5</v>
      </c>
      <c r="B101" s="13">
        <v>2.12E-2</v>
      </c>
    </row>
    <row r="102" spans="1:2" x14ac:dyDescent="0.25">
      <c r="A102" s="13">
        <v>90</v>
      </c>
      <c r="B102" s="13">
        <v>2.0899999999999998E-2</v>
      </c>
    </row>
    <row r="103" spans="1:2" x14ac:dyDescent="0.25">
      <c r="A103" s="13">
        <v>90.5</v>
      </c>
      <c r="B103" s="13">
        <v>2.0799999999999999E-2</v>
      </c>
    </row>
    <row r="104" spans="1:2" x14ac:dyDescent="0.25">
      <c r="A104" s="13">
        <v>91</v>
      </c>
      <c r="B104" s="13">
        <v>2.0400000000000001E-2</v>
      </c>
    </row>
    <row r="105" spans="1:2" x14ac:dyDescent="0.25">
      <c r="A105" s="13">
        <v>91.5</v>
      </c>
      <c r="B105" s="13">
        <v>2.01E-2</v>
      </c>
    </row>
    <row r="106" spans="1:2" x14ac:dyDescent="0.25">
      <c r="A106" s="13">
        <v>92</v>
      </c>
      <c r="B106" s="13">
        <v>1.9699999999999999E-2</v>
      </c>
    </row>
    <row r="107" spans="1:2" x14ac:dyDescent="0.25">
      <c r="A107" s="13">
        <v>92.5</v>
      </c>
      <c r="B107" s="13">
        <v>1.9300000000000001E-2</v>
      </c>
    </row>
    <row r="108" spans="1:2" x14ac:dyDescent="0.25">
      <c r="A108" s="13">
        <v>93</v>
      </c>
      <c r="B108" s="13">
        <v>1.8800000000000001E-2</v>
      </c>
    </row>
    <row r="109" spans="1:2" x14ac:dyDescent="0.25">
      <c r="A109" s="13">
        <v>93.5</v>
      </c>
      <c r="B109" s="13">
        <v>1.7999999999999999E-2</v>
      </c>
    </row>
    <row r="110" spans="1:2" x14ac:dyDescent="0.25">
      <c r="A110" s="13">
        <v>94</v>
      </c>
      <c r="B110" s="13">
        <v>1.7500000000000002E-2</v>
      </c>
    </row>
    <row r="111" spans="1:2" x14ac:dyDescent="0.25">
      <c r="A111" s="13">
        <v>94.5</v>
      </c>
      <c r="B111" s="13">
        <v>1.6899999999999998E-2</v>
      </c>
    </row>
    <row r="112" spans="1:2" x14ac:dyDescent="0.25">
      <c r="A112" s="13">
        <v>95</v>
      </c>
      <c r="B112" s="13">
        <v>1.5900000000000001E-2</v>
      </c>
    </row>
    <row r="113" spans="1:2" x14ac:dyDescent="0.25">
      <c r="A113" s="13">
        <v>95.5</v>
      </c>
      <c r="B113" s="13">
        <v>1.4999999999999999E-2</v>
      </c>
    </row>
    <row r="114" spans="1:2" x14ac:dyDescent="0.25">
      <c r="A114" s="13">
        <v>96</v>
      </c>
      <c r="B114" s="13">
        <v>1.4E-2</v>
      </c>
    </row>
    <row r="115" spans="1:2" x14ac:dyDescent="0.25">
      <c r="A115" s="13">
        <v>96.5</v>
      </c>
      <c r="B115" s="13">
        <v>1.2800000000000001E-2</v>
      </c>
    </row>
    <row r="116" spans="1:2" x14ac:dyDescent="0.25">
      <c r="A116" s="13">
        <v>97</v>
      </c>
      <c r="B116" s="13">
        <v>1.15E-2</v>
      </c>
    </row>
    <row r="117" spans="1:2" x14ac:dyDescent="0.25">
      <c r="A117" s="13">
        <v>97.5</v>
      </c>
      <c r="B117" s="13">
        <v>1.01E-2</v>
      </c>
    </row>
    <row r="118" spans="1:2" x14ac:dyDescent="0.25">
      <c r="A118" s="13">
        <v>98</v>
      </c>
      <c r="B118" s="13">
        <v>8.6800000000000002E-3</v>
      </c>
    </row>
    <row r="119" spans="1:2" x14ac:dyDescent="0.25">
      <c r="A119" s="13">
        <v>98.5</v>
      </c>
      <c r="B119" s="13">
        <v>6.8900000000000003E-3</v>
      </c>
    </row>
    <row r="120" spans="1:2" x14ac:dyDescent="0.25">
      <c r="A120" s="13">
        <v>99</v>
      </c>
      <c r="B120" s="13">
        <v>5.13E-3</v>
      </c>
    </row>
    <row r="121" spans="1:2" x14ac:dyDescent="0.25">
      <c r="A121" s="13">
        <v>99.5</v>
      </c>
      <c r="B121" s="13">
        <v>3.0400000000000002E-3</v>
      </c>
    </row>
    <row r="122" spans="1:2" x14ac:dyDescent="0.25">
      <c r="A122" s="13">
        <v>100</v>
      </c>
      <c r="B122" s="13">
        <v>7.1100000000000004E-4</v>
      </c>
    </row>
    <row r="123" spans="1:2" x14ac:dyDescent="0.25">
      <c r="A123" s="13">
        <v>101</v>
      </c>
      <c r="B123" s="13">
        <v>1.8600000000000001E-5</v>
      </c>
    </row>
    <row r="124" spans="1:2" x14ac:dyDescent="0.25">
      <c r="A124" s="13">
        <v>101</v>
      </c>
      <c r="B124" s="13">
        <v>4.5199999999999999E-6</v>
      </c>
    </row>
    <row r="125" spans="1:2" x14ac:dyDescent="0.25">
      <c r="A125" s="13">
        <v>102</v>
      </c>
      <c r="B125" s="13">
        <v>5.4399999999999996E-6</v>
      </c>
    </row>
    <row r="126" spans="1:2" x14ac:dyDescent="0.25">
      <c r="A126" s="13">
        <v>102</v>
      </c>
      <c r="B126" s="13">
        <v>8.1800000000000005E-7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35"/>
  <dimension ref="A1:B146"/>
  <sheetViews>
    <sheetView workbookViewId="0">
      <selection activeCell="K30" sqref="K30"/>
    </sheetView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50</v>
      </c>
      <c r="B2" s="14">
        <v>1.5E-5</v>
      </c>
    </row>
    <row r="3" spans="1:2" x14ac:dyDescent="0.25">
      <c r="A3" s="14">
        <v>50.5</v>
      </c>
      <c r="B3" s="14">
        <v>6.6599999999999998E-6</v>
      </c>
    </row>
    <row r="4" spans="1:2" x14ac:dyDescent="0.25">
      <c r="A4" s="14">
        <v>51</v>
      </c>
      <c r="B4" s="14">
        <v>1.49E-5</v>
      </c>
    </row>
    <row r="5" spans="1:2" x14ac:dyDescent="0.25">
      <c r="A5" s="14">
        <v>51.5</v>
      </c>
      <c r="B5" s="14">
        <v>1.47E-5</v>
      </c>
    </row>
    <row r="6" spans="1:2" x14ac:dyDescent="0.25">
      <c r="A6" s="14">
        <v>52</v>
      </c>
      <c r="B6" s="14">
        <v>7.34E-6</v>
      </c>
    </row>
    <row r="7" spans="1:2" x14ac:dyDescent="0.25">
      <c r="A7" s="14">
        <v>52.5</v>
      </c>
      <c r="B7" s="14">
        <v>7.1099999999999997E-6</v>
      </c>
    </row>
    <row r="8" spans="1:2" x14ac:dyDescent="0.25">
      <c r="A8" s="14">
        <v>53</v>
      </c>
      <c r="B8" s="14">
        <v>9.02E-6</v>
      </c>
    </row>
    <row r="9" spans="1:2" x14ac:dyDescent="0.25">
      <c r="A9" s="14">
        <v>53.5</v>
      </c>
      <c r="B9" s="14">
        <v>1.1600000000000001E-5</v>
      </c>
    </row>
    <row r="10" spans="1:2" x14ac:dyDescent="0.25">
      <c r="A10" s="14">
        <v>54</v>
      </c>
      <c r="B10" s="14">
        <v>5.93E-6</v>
      </c>
    </row>
    <row r="11" spans="1:2" x14ac:dyDescent="0.25">
      <c r="A11" s="14">
        <v>54.5</v>
      </c>
      <c r="B11" s="14">
        <v>1.04E-5</v>
      </c>
    </row>
    <row r="12" spans="1:2" x14ac:dyDescent="0.25">
      <c r="A12" s="14">
        <v>55</v>
      </c>
      <c r="B12" s="14">
        <v>4.7899999999999999E-6</v>
      </c>
    </row>
    <row r="13" spans="1:2" x14ac:dyDescent="0.25">
      <c r="A13" s="14">
        <v>55.5</v>
      </c>
      <c r="B13" s="14">
        <v>9.38E-6</v>
      </c>
    </row>
    <row r="14" spans="1:2" x14ac:dyDescent="0.25">
      <c r="A14" s="14">
        <v>56</v>
      </c>
      <c r="B14" s="14">
        <v>1.7099999999999999E-5</v>
      </c>
    </row>
    <row r="15" spans="1:2" x14ac:dyDescent="0.25">
      <c r="A15" s="14">
        <v>56.5</v>
      </c>
      <c r="B15" s="14">
        <v>1.0499999999999999E-5</v>
      </c>
    </row>
    <row r="16" spans="1:2" x14ac:dyDescent="0.25">
      <c r="A16" s="14">
        <v>57</v>
      </c>
      <c r="B16" s="14">
        <v>8.7499999999999992E-6</v>
      </c>
    </row>
    <row r="17" spans="1:2" x14ac:dyDescent="0.25">
      <c r="A17" s="14">
        <v>57.5</v>
      </c>
      <c r="B17" s="14">
        <v>1.7600000000000001E-5</v>
      </c>
    </row>
    <row r="18" spans="1:2" x14ac:dyDescent="0.25">
      <c r="A18" s="14">
        <v>58</v>
      </c>
      <c r="B18" s="14">
        <v>2.65E-5</v>
      </c>
    </row>
    <row r="19" spans="1:2" x14ac:dyDescent="0.25">
      <c r="A19" s="14">
        <v>58.5</v>
      </c>
      <c r="B19" s="14">
        <v>1.5999999999999999E-5</v>
      </c>
    </row>
    <row r="20" spans="1:2" x14ac:dyDescent="0.25">
      <c r="A20" s="14">
        <v>59</v>
      </c>
      <c r="B20" s="14">
        <v>2.8600000000000001E-5</v>
      </c>
    </row>
    <row r="21" spans="1:2" x14ac:dyDescent="0.25">
      <c r="A21" s="14">
        <v>59.5</v>
      </c>
      <c r="B21" s="14">
        <v>4.2400000000000001E-5</v>
      </c>
    </row>
    <row r="22" spans="1:2" x14ac:dyDescent="0.25">
      <c r="A22" s="14">
        <v>60</v>
      </c>
      <c r="B22" s="14">
        <v>1.7399999999999999E-5</v>
      </c>
    </row>
    <row r="23" spans="1:2" x14ac:dyDescent="0.25">
      <c r="A23" s="14">
        <v>60.5</v>
      </c>
      <c r="B23" s="14">
        <v>1.9400000000000001E-5</v>
      </c>
    </row>
    <row r="24" spans="1:2" x14ac:dyDescent="0.25">
      <c r="A24" s="14">
        <v>61</v>
      </c>
      <c r="B24" s="14">
        <v>3.2400000000000001E-5</v>
      </c>
    </row>
    <row r="25" spans="1:2" x14ac:dyDescent="0.25">
      <c r="A25" s="14">
        <v>61.5</v>
      </c>
      <c r="B25" s="14">
        <v>2.6800000000000001E-5</v>
      </c>
    </row>
    <row r="26" spans="1:2" x14ac:dyDescent="0.25">
      <c r="A26" s="14">
        <v>62</v>
      </c>
      <c r="B26" s="14">
        <v>2.1299999999999999E-5</v>
      </c>
    </row>
    <row r="27" spans="1:2" x14ac:dyDescent="0.25">
      <c r="A27" s="14">
        <v>62.5</v>
      </c>
      <c r="B27" s="14">
        <v>3.6900000000000002E-5</v>
      </c>
    </row>
    <row r="28" spans="1:2" x14ac:dyDescent="0.25">
      <c r="A28" s="14">
        <v>63</v>
      </c>
      <c r="B28" s="14">
        <v>3.7200000000000003E-5</v>
      </c>
    </row>
    <row r="29" spans="1:2" x14ac:dyDescent="0.25">
      <c r="A29" s="14">
        <v>63.5</v>
      </c>
      <c r="B29" s="14">
        <v>5.4799999999999997E-5</v>
      </c>
    </row>
    <row r="30" spans="1:2" x14ac:dyDescent="0.25">
      <c r="A30" s="14">
        <v>64</v>
      </c>
      <c r="B30" s="14">
        <v>7.0599999999999995E-5</v>
      </c>
    </row>
    <row r="31" spans="1:2" x14ac:dyDescent="0.25">
      <c r="A31" s="14">
        <v>64.5</v>
      </c>
      <c r="B31" s="14">
        <v>7.6799999999999997E-5</v>
      </c>
    </row>
    <row r="32" spans="1:2" x14ac:dyDescent="0.25">
      <c r="A32" s="14">
        <v>65</v>
      </c>
      <c r="B32" s="14">
        <v>8.9599999999999996E-5</v>
      </c>
    </row>
    <row r="33" spans="1:2" x14ac:dyDescent="0.25">
      <c r="A33" s="14">
        <v>65.5</v>
      </c>
      <c r="B33" s="14">
        <v>9.7800000000000006E-5</v>
      </c>
    </row>
    <row r="34" spans="1:2" x14ac:dyDescent="0.25">
      <c r="A34" s="14">
        <v>66</v>
      </c>
      <c r="B34" s="14">
        <v>1.3799999999999999E-4</v>
      </c>
    </row>
    <row r="35" spans="1:2" x14ac:dyDescent="0.25">
      <c r="A35" s="14">
        <v>66.5</v>
      </c>
      <c r="B35" s="14">
        <v>1.95E-4</v>
      </c>
    </row>
    <row r="36" spans="1:2" x14ac:dyDescent="0.25">
      <c r="A36" s="14">
        <v>67</v>
      </c>
      <c r="B36" s="14">
        <v>5.3700000000000004E-4</v>
      </c>
    </row>
    <row r="37" spans="1:2" x14ac:dyDescent="0.25">
      <c r="A37" s="14">
        <v>67.5</v>
      </c>
      <c r="B37" s="14">
        <v>3.9399999999999998E-4</v>
      </c>
    </row>
    <row r="38" spans="1:2" x14ac:dyDescent="0.25">
      <c r="A38" s="14">
        <v>68</v>
      </c>
      <c r="B38" s="14">
        <v>2.7500000000000002E-4</v>
      </c>
    </row>
    <row r="39" spans="1:2" x14ac:dyDescent="0.25">
      <c r="A39" s="14">
        <v>68.5</v>
      </c>
      <c r="B39" s="14">
        <v>2.9300000000000002E-4</v>
      </c>
    </row>
    <row r="40" spans="1:2" x14ac:dyDescent="0.25">
      <c r="A40" s="14">
        <v>69</v>
      </c>
      <c r="B40" s="14">
        <v>5.3399999999999997E-4</v>
      </c>
    </row>
    <row r="41" spans="1:2" x14ac:dyDescent="0.25">
      <c r="A41" s="14">
        <v>69.5</v>
      </c>
      <c r="B41" s="14">
        <v>4.2200000000000001E-4</v>
      </c>
    </row>
    <row r="42" spans="1:2" x14ac:dyDescent="0.25">
      <c r="A42" s="14">
        <v>70</v>
      </c>
      <c r="B42" s="14">
        <v>3.6999999999999999E-4</v>
      </c>
    </row>
    <row r="43" spans="1:2" x14ac:dyDescent="0.25">
      <c r="A43" s="14">
        <v>70.5</v>
      </c>
      <c r="B43" s="14">
        <v>4.0200000000000001E-4</v>
      </c>
    </row>
    <row r="44" spans="1:2" x14ac:dyDescent="0.25">
      <c r="A44" s="14">
        <v>71</v>
      </c>
      <c r="B44" s="14">
        <v>5.1199999999999998E-4</v>
      </c>
    </row>
    <row r="45" spans="1:2" x14ac:dyDescent="0.25">
      <c r="A45" s="14">
        <v>71.5</v>
      </c>
      <c r="B45" s="14">
        <v>5.4299999999999997E-4</v>
      </c>
    </row>
    <row r="46" spans="1:2" x14ac:dyDescent="0.25">
      <c r="A46" s="14">
        <v>72</v>
      </c>
      <c r="B46" s="14">
        <v>6.1600000000000001E-4</v>
      </c>
    </row>
    <row r="47" spans="1:2" x14ac:dyDescent="0.25">
      <c r="A47" s="14">
        <v>72.5</v>
      </c>
      <c r="B47" s="14">
        <v>6.7199999999999996E-4</v>
      </c>
    </row>
    <row r="48" spans="1:2" x14ac:dyDescent="0.25">
      <c r="A48" s="14">
        <v>73</v>
      </c>
      <c r="B48" s="14">
        <v>7.6800000000000002E-4</v>
      </c>
    </row>
    <row r="49" spans="1:2" x14ac:dyDescent="0.25">
      <c r="A49" s="14">
        <v>73.5</v>
      </c>
      <c r="B49" s="14">
        <v>8.2600000000000002E-4</v>
      </c>
    </row>
    <row r="50" spans="1:2" x14ac:dyDescent="0.25">
      <c r="A50" s="14">
        <v>74</v>
      </c>
      <c r="B50" s="14">
        <v>9.2800000000000001E-4</v>
      </c>
    </row>
    <row r="51" spans="1:2" x14ac:dyDescent="0.25">
      <c r="A51" s="14">
        <v>74.5</v>
      </c>
      <c r="B51" s="14">
        <v>1.09E-3</v>
      </c>
    </row>
    <row r="52" spans="1:2" x14ac:dyDescent="0.25">
      <c r="A52" s="14">
        <v>75</v>
      </c>
      <c r="B52" s="14">
        <v>1.25E-3</v>
      </c>
    </row>
    <row r="53" spans="1:2" x14ac:dyDescent="0.25">
      <c r="A53" s="14">
        <v>75.5</v>
      </c>
      <c r="B53" s="14">
        <v>1.2800000000000001E-3</v>
      </c>
    </row>
    <row r="54" spans="1:2" x14ac:dyDescent="0.25">
      <c r="A54" s="14">
        <v>76</v>
      </c>
      <c r="B54" s="14">
        <v>1.4400000000000001E-3</v>
      </c>
    </row>
    <row r="55" spans="1:2" x14ac:dyDescent="0.25">
      <c r="A55" s="14">
        <v>76.5</v>
      </c>
      <c r="B55" s="14">
        <v>1.64E-3</v>
      </c>
    </row>
    <row r="56" spans="1:2" x14ac:dyDescent="0.25">
      <c r="A56" s="14">
        <v>77</v>
      </c>
      <c r="B56" s="14">
        <v>1.72E-3</v>
      </c>
    </row>
    <row r="57" spans="1:2" x14ac:dyDescent="0.25">
      <c r="A57" s="14">
        <v>77.5</v>
      </c>
      <c r="B57" s="14">
        <v>1.89E-3</v>
      </c>
    </row>
    <row r="58" spans="1:2" x14ac:dyDescent="0.25">
      <c r="A58" s="14">
        <v>78</v>
      </c>
      <c r="B58" s="14">
        <v>2.0300000000000001E-3</v>
      </c>
    </row>
    <row r="59" spans="1:2" x14ac:dyDescent="0.25">
      <c r="A59" s="14">
        <v>78.5</v>
      </c>
      <c r="B59" s="14">
        <v>2.2899999999999999E-3</v>
      </c>
    </row>
    <row r="60" spans="1:2" x14ac:dyDescent="0.25">
      <c r="A60" s="14">
        <v>79</v>
      </c>
      <c r="B60" s="14">
        <v>2.4599999999999999E-3</v>
      </c>
    </row>
    <row r="61" spans="1:2" x14ac:dyDescent="0.25">
      <c r="A61" s="14">
        <v>79.5</v>
      </c>
      <c r="B61" s="14">
        <v>2.7100000000000002E-3</v>
      </c>
    </row>
    <row r="62" spans="1:2" x14ac:dyDescent="0.25">
      <c r="A62" s="14">
        <v>80</v>
      </c>
      <c r="B62" s="14">
        <v>2.8600000000000001E-3</v>
      </c>
    </row>
    <row r="63" spans="1:2" x14ac:dyDescent="0.25">
      <c r="A63" s="14">
        <v>80.5</v>
      </c>
      <c r="B63" s="14">
        <v>3.1700000000000001E-3</v>
      </c>
    </row>
    <row r="64" spans="1:2" x14ac:dyDescent="0.25">
      <c r="A64" s="14">
        <v>81</v>
      </c>
      <c r="B64" s="14">
        <v>3.29E-3</v>
      </c>
    </row>
    <row r="65" spans="1:2" x14ac:dyDescent="0.25">
      <c r="A65" s="14">
        <v>81.5</v>
      </c>
      <c r="B65" s="14">
        <v>3.5699999999999998E-3</v>
      </c>
    </row>
    <row r="66" spans="1:2" x14ac:dyDescent="0.25">
      <c r="A66" s="14">
        <v>82</v>
      </c>
      <c r="B66" s="14">
        <v>3.8800000000000002E-3</v>
      </c>
    </row>
    <row r="67" spans="1:2" x14ac:dyDescent="0.25">
      <c r="A67" s="14">
        <v>82.5</v>
      </c>
      <c r="B67" s="14">
        <v>4.0499999999999998E-3</v>
      </c>
    </row>
    <row r="68" spans="1:2" x14ac:dyDescent="0.25">
      <c r="A68" s="14">
        <v>83</v>
      </c>
      <c r="B68" s="14">
        <v>4.4299999999999999E-3</v>
      </c>
    </row>
    <row r="69" spans="1:2" x14ac:dyDescent="0.25">
      <c r="A69" s="14">
        <v>83.5</v>
      </c>
      <c r="B69" s="14">
        <v>4.81E-3</v>
      </c>
    </row>
    <row r="70" spans="1:2" x14ac:dyDescent="0.25">
      <c r="A70" s="14">
        <v>84</v>
      </c>
      <c r="B70" s="14">
        <v>5.0200000000000002E-3</v>
      </c>
    </row>
    <row r="71" spans="1:2" x14ac:dyDescent="0.25">
      <c r="A71" s="14">
        <v>84.5</v>
      </c>
      <c r="B71" s="14">
        <v>5.3499999999999997E-3</v>
      </c>
    </row>
    <row r="72" spans="1:2" x14ac:dyDescent="0.25">
      <c r="A72" s="14">
        <v>85</v>
      </c>
      <c r="B72" s="14">
        <v>5.79E-3</v>
      </c>
    </row>
    <row r="73" spans="1:2" x14ac:dyDescent="0.25">
      <c r="A73" s="14">
        <v>85.5</v>
      </c>
      <c r="B73" s="14">
        <v>6.0899999999999999E-3</v>
      </c>
    </row>
    <row r="74" spans="1:2" x14ac:dyDescent="0.25">
      <c r="A74" s="14">
        <v>86</v>
      </c>
      <c r="B74" s="14">
        <v>6.28E-3</v>
      </c>
    </row>
    <row r="75" spans="1:2" x14ac:dyDescent="0.25">
      <c r="A75" s="14">
        <v>86.5</v>
      </c>
      <c r="B75" s="14">
        <v>6.7499999999999999E-3</v>
      </c>
    </row>
    <row r="76" spans="1:2" x14ac:dyDescent="0.25">
      <c r="A76" s="14">
        <v>87</v>
      </c>
      <c r="B76" s="14">
        <v>7.0600000000000003E-3</v>
      </c>
    </row>
    <row r="77" spans="1:2" x14ac:dyDescent="0.25">
      <c r="A77" s="14">
        <v>87.5</v>
      </c>
      <c r="B77" s="14">
        <v>7.4200000000000004E-3</v>
      </c>
    </row>
    <row r="78" spans="1:2" x14ac:dyDescent="0.25">
      <c r="A78" s="14">
        <v>88</v>
      </c>
      <c r="B78" s="14">
        <v>7.77E-3</v>
      </c>
    </row>
    <row r="79" spans="1:2" x14ac:dyDescent="0.25">
      <c r="A79" s="14">
        <v>88.5</v>
      </c>
      <c r="B79" s="14">
        <v>7.9699999999999997E-3</v>
      </c>
    </row>
    <row r="80" spans="1:2" x14ac:dyDescent="0.25">
      <c r="A80" s="14">
        <v>89</v>
      </c>
      <c r="B80" s="14">
        <v>8.3700000000000007E-3</v>
      </c>
    </row>
    <row r="81" spans="1:2" x14ac:dyDescent="0.25">
      <c r="A81" s="14">
        <v>89.5</v>
      </c>
      <c r="B81" s="14">
        <v>8.6499999999999997E-3</v>
      </c>
    </row>
    <row r="82" spans="1:2" x14ac:dyDescent="0.25">
      <c r="A82" s="14">
        <v>90</v>
      </c>
      <c r="B82" s="14">
        <v>9.2399999999999999E-3</v>
      </c>
    </row>
    <row r="83" spans="1:2" x14ac:dyDescent="0.25">
      <c r="A83" s="14">
        <v>90.5</v>
      </c>
      <c r="B83" s="14">
        <v>9.5899999999999996E-3</v>
      </c>
    </row>
    <row r="84" spans="1:2" x14ac:dyDescent="0.25">
      <c r="A84" s="14">
        <v>91</v>
      </c>
      <c r="B84" s="14">
        <v>9.8200000000000006E-3</v>
      </c>
    </row>
    <row r="85" spans="1:2" x14ac:dyDescent="0.25">
      <c r="A85" s="14">
        <v>91.5</v>
      </c>
      <c r="B85" s="14">
        <v>1.03E-2</v>
      </c>
    </row>
    <row r="86" spans="1:2" x14ac:dyDescent="0.25">
      <c r="A86" s="14">
        <v>92</v>
      </c>
      <c r="B86" s="14">
        <v>1.0800000000000001E-2</v>
      </c>
    </row>
    <row r="87" spans="1:2" x14ac:dyDescent="0.25">
      <c r="A87" s="14">
        <v>92.5</v>
      </c>
      <c r="B87" s="14">
        <v>1.11E-2</v>
      </c>
    </row>
    <row r="88" spans="1:2" x14ac:dyDescent="0.25">
      <c r="A88" s="14">
        <v>93</v>
      </c>
      <c r="B88" s="14">
        <v>1.1599999999999999E-2</v>
      </c>
    </row>
    <row r="89" spans="1:2" x14ac:dyDescent="0.25">
      <c r="A89" s="14">
        <v>93.5</v>
      </c>
      <c r="B89" s="14">
        <v>1.2E-2</v>
      </c>
    </row>
    <row r="90" spans="1:2" x14ac:dyDescent="0.25">
      <c r="A90" s="14">
        <v>94</v>
      </c>
      <c r="B90" s="14">
        <v>1.24E-2</v>
      </c>
    </row>
    <row r="91" spans="1:2" x14ac:dyDescent="0.25">
      <c r="A91" s="14">
        <v>94.5</v>
      </c>
      <c r="B91" s="14">
        <v>1.29E-2</v>
      </c>
    </row>
    <row r="92" spans="1:2" x14ac:dyDescent="0.25">
      <c r="A92" s="14">
        <v>95</v>
      </c>
      <c r="B92" s="14">
        <v>1.32E-2</v>
      </c>
    </row>
    <row r="93" spans="1:2" x14ac:dyDescent="0.25">
      <c r="A93" s="14">
        <v>95.5</v>
      </c>
      <c r="B93" s="14">
        <v>1.3599999999999999E-2</v>
      </c>
    </row>
    <row r="94" spans="1:2" x14ac:dyDescent="0.25">
      <c r="A94" s="14">
        <v>96</v>
      </c>
      <c r="B94" s="14">
        <v>1.3899999999999999E-2</v>
      </c>
    </row>
    <row r="95" spans="1:2" x14ac:dyDescent="0.25">
      <c r="A95" s="14">
        <v>96.5</v>
      </c>
      <c r="B95" s="14">
        <v>1.4200000000000001E-2</v>
      </c>
    </row>
    <row r="96" spans="1:2" x14ac:dyDescent="0.25">
      <c r="A96" s="14">
        <v>97</v>
      </c>
      <c r="B96" s="14">
        <v>1.46E-2</v>
      </c>
    </row>
    <row r="97" spans="1:2" x14ac:dyDescent="0.25">
      <c r="A97" s="14">
        <v>97.5</v>
      </c>
      <c r="B97" s="14">
        <v>1.52E-2</v>
      </c>
    </row>
    <row r="98" spans="1:2" x14ac:dyDescent="0.25">
      <c r="A98" s="14">
        <v>98</v>
      </c>
      <c r="B98" s="14">
        <v>1.5299999999999999E-2</v>
      </c>
    </row>
    <row r="99" spans="1:2" x14ac:dyDescent="0.25">
      <c r="A99" s="14">
        <v>98.5</v>
      </c>
      <c r="B99" s="14">
        <v>1.55E-2</v>
      </c>
    </row>
    <row r="100" spans="1:2" x14ac:dyDescent="0.25">
      <c r="A100" s="14">
        <v>99</v>
      </c>
      <c r="B100" s="14">
        <v>1.61E-2</v>
      </c>
    </row>
    <row r="101" spans="1:2" x14ac:dyDescent="0.25">
      <c r="A101" s="14">
        <v>99.5</v>
      </c>
      <c r="B101" s="14">
        <v>1.6299999999999999E-2</v>
      </c>
    </row>
    <row r="102" spans="1:2" x14ac:dyDescent="0.25">
      <c r="A102" s="14">
        <v>100</v>
      </c>
      <c r="B102" s="14">
        <v>1.6299999999999999E-2</v>
      </c>
    </row>
    <row r="103" spans="1:2" x14ac:dyDescent="0.25">
      <c r="A103" s="14">
        <v>101</v>
      </c>
      <c r="B103" s="14">
        <v>1.6899999999999998E-2</v>
      </c>
    </row>
    <row r="104" spans="1:2" x14ac:dyDescent="0.25">
      <c r="A104" s="14">
        <v>101</v>
      </c>
      <c r="B104" s="14">
        <v>1.7100000000000001E-2</v>
      </c>
    </row>
    <row r="105" spans="1:2" x14ac:dyDescent="0.25">
      <c r="A105" s="14">
        <v>102</v>
      </c>
      <c r="B105" s="14">
        <v>1.7100000000000001E-2</v>
      </c>
    </row>
    <row r="106" spans="1:2" x14ac:dyDescent="0.25">
      <c r="A106" s="14">
        <v>102</v>
      </c>
      <c r="B106" s="14">
        <v>1.7500000000000002E-2</v>
      </c>
    </row>
    <row r="107" spans="1:2" x14ac:dyDescent="0.25">
      <c r="A107" s="14">
        <v>103</v>
      </c>
      <c r="B107" s="14">
        <v>1.78E-2</v>
      </c>
    </row>
    <row r="108" spans="1:2" x14ac:dyDescent="0.25">
      <c r="A108" s="14">
        <v>103</v>
      </c>
      <c r="B108" s="14">
        <v>1.7999999999999999E-2</v>
      </c>
    </row>
    <row r="109" spans="1:2" x14ac:dyDescent="0.25">
      <c r="A109" s="14">
        <v>104</v>
      </c>
      <c r="B109" s="14">
        <v>1.8100000000000002E-2</v>
      </c>
    </row>
    <row r="110" spans="1:2" x14ac:dyDescent="0.25">
      <c r="A110" s="14">
        <v>104</v>
      </c>
      <c r="B110" s="14">
        <v>1.84E-2</v>
      </c>
    </row>
    <row r="111" spans="1:2" x14ac:dyDescent="0.25">
      <c r="A111" s="14">
        <v>105</v>
      </c>
      <c r="B111" s="14">
        <v>1.84E-2</v>
      </c>
    </row>
    <row r="112" spans="1:2" x14ac:dyDescent="0.25">
      <c r="A112" s="14">
        <v>105</v>
      </c>
      <c r="B112" s="14">
        <v>1.8599999999999998E-2</v>
      </c>
    </row>
    <row r="113" spans="1:2" x14ac:dyDescent="0.25">
      <c r="A113" s="14">
        <v>106</v>
      </c>
      <c r="B113" s="14">
        <v>1.8499999999999999E-2</v>
      </c>
    </row>
    <row r="114" spans="1:2" x14ac:dyDescent="0.25">
      <c r="A114" s="14">
        <v>106</v>
      </c>
      <c r="B114" s="14">
        <v>1.8599999999999998E-2</v>
      </c>
    </row>
    <row r="115" spans="1:2" x14ac:dyDescent="0.25">
      <c r="A115" s="14">
        <v>107</v>
      </c>
      <c r="B115" s="14">
        <v>1.8700000000000001E-2</v>
      </c>
    </row>
    <row r="116" spans="1:2" x14ac:dyDescent="0.25">
      <c r="A116" s="14">
        <v>107</v>
      </c>
      <c r="B116" s="14">
        <v>1.8599999999999998E-2</v>
      </c>
    </row>
    <row r="117" spans="1:2" x14ac:dyDescent="0.25">
      <c r="A117" s="14">
        <v>108</v>
      </c>
      <c r="B117" s="14">
        <v>1.8700000000000001E-2</v>
      </c>
    </row>
    <row r="118" spans="1:2" x14ac:dyDescent="0.25">
      <c r="A118" s="14">
        <v>108</v>
      </c>
      <c r="B118" s="14">
        <v>1.8499999999999999E-2</v>
      </c>
    </row>
    <row r="119" spans="1:2" x14ac:dyDescent="0.25">
      <c r="A119" s="14">
        <v>109</v>
      </c>
      <c r="B119" s="14">
        <v>1.84E-2</v>
      </c>
    </row>
    <row r="120" spans="1:2" x14ac:dyDescent="0.25">
      <c r="A120" s="14">
        <v>109</v>
      </c>
      <c r="B120" s="14">
        <v>1.8200000000000001E-2</v>
      </c>
    </row>
    <row r="121" spans="1:2" x14ac:dyDescent="0.25">
      <c r="A121" s="14">
        <v>110</v>
      </c>
      <c r="B121" s="14">
        <v>1.7999999999999999E-2</v>
      </c>
    </row>
    <row r="122" spans="1:2" x14ac:dyDescent="0.25">
      <c r="A122" s="14">
        <v>110</v>
      </c>
      <c r="B122" s="14">
        <v>1.78E-2</v>
      </c>
    </row>
    <row r="123" spans="1:2" x14ac:dyDescent="0.25">
      <c r="A123" s="14">
        <v>111</v>
      </c>
      <c r="B123" s="14">
        <v>1.7500000000000002E-2</v>
      </c>
    </row>
    <row r="124" spans="1:2" x14ac:dyDescent="0.25">
      <c r="A124" s="14">
        <v>111</v>
      </c>
      <c r="B124" s="14">
        <v>1.7000000000000001E-2</v>
      </c>
    </row>
    <row r="125" spans="1:2" x14ac:dyDescent="0.25">
      <c r="A125" s="14">
        <v>112</v>
      </c>
      <c r="B125" s="14">
        <v>1.6799999999999999E-2</v>
      </c>
    </row>
    <row r="126" spans="1:2" x14ac:dyDescent="0.25">
      <c r="A126" s="14">
        <v>112</v>
      </c>
      <c r="B126" s="14">
        <v>1.6199999999999999E-2</v>
      </c>
    </row>
    <row r="127" spans="1:2" x14ac:dyDescent="0.25">
      <c r="A127" s="14">
        <v>113</v>
      </c>
      <c r="B127" s="14">
        <v>1.5599999999999999E-2</v>
      </c>
    </row>
    <row r="128" spans="1:2" x14ac:dyDescent="0.25">
      <c r="A128" s="14">
        <v>113</v>
      </c>
      <c r="B128" s="14">
        <v>1.5599999999999999E-2</v>
      </c>
    </row>
    <row r="129" spans="1:2" x14ac:dyDescent="0.25">
      <c r="A129" s="14">
        <v>114</v>
      </c>
      <c r="B129" s="14">
        <v>1.47E-2</v>
      </c>
    </row>
    <row r="130" spans="1:2" x14ac:dyDescent="0.25">
      <c r="A130" s="14">
        <v>114</v>
      </c>
      <c r="B130" s="14">
        <v>1.41E-2</v>
      </c>
    </row>
    <row r="131" spans="1:2" x14ac:dyDescent="0.25">
      <c r="A131" s="14">
        <v>115</v>
      </c>
      <c r="B131" s="14">
        <v>1.35E-2</v>
      </c>
    </row>
    <row r="132" spans="1:2" x14ac:dyDescent="0.25">
      <c r="A132" s="14">
        <v>115</v>
      </c>
      <c r="B132" s="14">
        <v>1.26E-2</v>
      </c>
    </row>
    <row r="133" spans="1:2" x14ac:dyDescent="0.25">
      <c r="A133" s="14">
        <v>116</v>
      </c>
      <c r="B133" s="14">
        <v>1.21E-2</v>
      </c>
    </row>
    <row r="134" spans="1:2" x14ac:dyDescent="0.25">
      <c r="A134" s="14">
        <v>116</v>
      </c>
      <c r="B134" s="14">
        <v>1.0999999999999999E-2</v>
      </c>
    </row>
    <row r="135" spans="1:2" x14ac:dyDescent="0.25">
      <c r="A135" s="14">
        <v>117</v>
      </c>
      <c r="B135" s="14">
        <v>1.01E-2</v>
      </c>
    </row>
    <row r="136" spans="1:2" x14ac:dyDescent="0.25">
      <c r="A136" s="14">
        <v>117</v>
      </c>
      <c r="B136" s="14">
        <v>8.8699999999999994E-3</v>
      </c>
    </row>
    <row r="137" spans="1:2" x14ac:dyDescent="0.25">
      <c r="A137" s="14">
        <v>118</v>
      </c>
      <c r="B137" s="14">
        <v>7.7999999999999996E-3</v>
      </c>
    </row>
    <row r="138" spans="1:2" x14ac:dyDescent="0.25">
      <c r="A138" s="14">
        <v>118</v>
      </c>
      <c r="B138" s="14">
        <v>6.6699999999999997E-3</v>
      </c>
    </row>
    <row r="139" spans="1:2" x14ac:dyDescent="0.25">
      <c r="A139" s="14">
        <v>119</v>
      </c>
      <c r="B139" s="14">
        <v>5.3499999999999997E-3</v>
      </c>
    </row>
    <row r="140" spans="1:2" x14ac:dyDescent="0.25">
      <c r="A140" s="14">
        <v>119</v>
      </c>
      <c r="B140" s="14">
        <v>3.96E-3</v>
      </c>
    </row>
    <row r="141" spans="1:2" x14ac:dyDescent="0.25">
      <c r="A141" s="14">
        <v>120</v>
      </c>
      <c r="B141" s="14">
        <v>2.2699999999999999E-3</v>
      </c>
    </row>
    <row r="142" spans="1:2" x14ac:dyDescent="0.25">
      <c r="A142" s="14">
        <v>120</v>
      </c>
      <c r="B142" s="14">
        <v>5.8399999999999999E-4</v>
      </c>
    </row>
    <row r="143" spans="1:2" x14ac:dyDescent="0.25">
      <c r="A143" s="14">
        <v>121</v>
      </c>
      <c r="B143" s="14">
        <v>2.5700000000000001E-5</v>
      </c>
    </row>
    <row r="144" spans="1:2" x14ac:dyDescent="0.25">
      <c r="A144" s="14">
        <v>121</v>
      </c>
      <c r="B144" s="14">
        <v>3.6399999999999999E-6</v>
      </c>
    </row>
    <row r="145" spans="1:2" x14ac:dyDescent="0.25">
      <c r="A145" s="14">
        <v>122</v>
      </c>
      <c r="B145" s="14">
        <v>2.5100000000000001E-6</v>
      </c>
    </row>
    <row r="146" spans="1:2" x14ac:dyDescent="0.25">
      <c r="A146" s="14">
        <v>122</v>
      </c>
      <c r="B146" s="14">
        <v>1.03E-5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36"/>
  <dimension ref="A1:B112"/>
  <sheetViews>
    <sheetView workbookViewId="0"/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42</v>
      </c>
      <c r="B2" s="14">
        <v>9.0500000000000004E-5</v>
      </c>
    </row>
    <row r="3" spans="1:2" x14ac:dyDescent="0.25">
      <c r="A3" s="14">
        <v>43</v>
      </c>
      <c r="B3" s="14">
        <v>1.15E-4</v>
      </c>
    </row>
    <row r="4" spans="1:2" x14ac:dyDescent="0.25">
      <c r="A4" s="14">
        <v>44</v>
      </c>
      <c r="B4" s="14">
        <v>1.07E-4</v>
      </c>
    </row>
    <row r="5" spans="1:2" x14ac:dyDescent="0.25">
      <c r="A5" s="14">
        <v>45</v>
      </c>
      <c r="B5" s="14">
        <v>9.7999999999999997E-5</v>
      </c>
    </row>
    <row r="6" spans="1:2" x14ac:dyDescent="0.25">
      <c r="A6" s="14">
        <v>46</v>
      </c>
      <c r="B6" s="14">
        <v>7.8200000000000003E-5</v>
      </c>
    </row>
    <row r="7" spans="1:2" x14ac:dyDescent="0.25">
      <c r="A7" s="14">
        <v>47</v>
      </c>
      <c r="B7" s="14">
        <v>1.01E-4</v>
      </c>
    </row>
    <row r="8" spans="1:2" x14ac:dyDescent="0.25">
      <c r="A8" s="14">
        <v>48</v>
      </c>
      <c r="B8" s="14">
        <v>9.6399999999999999E-5</v>
      </c>
    </row>
    <row r="9" spans="1:2" x14ac:dyDescent="0.25">
      <c r="A9" s="14">
        <v>49</v>
      </c>
      <c r="B9" s="14">
        <v>7.0699999999999997E-5</v>
      </c>
    </row>
    <row r="10" spans="1:2" x14ac:dyDescent="0.25">
      <c r="A10" s="14">
        <v>50</v>
      </c>
      <c r="B10" s="14">
        <v>7.1000000000000005E-5</v>
      </c>
    </row>
    <row r="11" spans="1:2" x14ac:dyDescent="0.25">
      <c r="A11" s="14">
        <v>51</v>
      </c>
      <c r="B11" s="14">
        <v>8.0900000000000001E-5</v>
      </c>
    </row>
    <row r="12" spans="1:2" x14ac:dyDescent="0.25">
      <c r="A12" s="14">
        <v>52</v>
      </c>
      <c r="B12" s="14">
        <v>6.1199999999999997E-5</v>
      </c>
    </row>
    <row r="13" spans="1:2" x14ac:dyDescent="0.25">
      <c r="A13" s="14">
        <v>53</v>
      </c>
      <c r="B13" s="14">
        <v>4.7899999999999999E-5</v>
      </c>
    </row>
    <row r="14" spans="1:2" x14ac:dyDescent="0.25">
      <c r="A14" s="14">
        <v>54</v>
      </c>
      <c r="B14" s="14">
        <v>5.4500000000000003E-5</v>
      </c>
    </row>
    <row r="15" spans="1:2" x14ac:dyDescent="0.25">
      <c r="A15" s="14">
        <v>55</v>
      </c>
      <c r="B15" s="14">
        <v>4.9200000000000003E-5</v>
      </c>
    </row>
    <row r="16" spans="1:2" x14ac:dyDescent="0.25">
      <c r="A16" s="14">
        <v>56</v>
      </c>
      <c r="B16" s="14">
        <v>3.9900000000000001E-5</v>
      </c>
    </row>
    <row r="17" spans="1:2" x14ac:dyDescent="0.25">
      <c r="A17" s="14">
        <v>57</v>
      </c>
      <c r="B17" s="14">
        <v>3.7599999999999999E-5</v>
      </c>
    </row>
    <row r="18" spans="1:2" x14ac:dyDescent="0.25">
      <c r="A18" s="14">
        <v>58</v>
      </c>
      <c r="B18" s="14">
        <v>4.6E-5</v>
      </c>
    </row>
    <row r="19" spans="1:2" x14ac:dyDescent="0.25">
      <c r="A19" s="14">
        <v>59</v>
      </c>
      <c r="B19" s="14">
        <v>4.6199999999999998E-5</v>
      </c>
    </row>
    <row r="20" spans="1:2" x14ac:dyDescent="0.25">
      <c r="A20" s="14">
        <v>60</v>
      </c>
      <c r="B20" s="14">
        <v>3.7700000000000002E-5</v>
      </c>
    </row>
    <row r="21" spans="1:2" x14ac:dyDescent="0.25">
      <c r="A21" s="14">
        <v>61</v>
      </c>
      <c r="B21" s="14">
        <v>3.2199999999999997E-5</v>
      </c>
    </row>
    <row r="22" spans="1:2" x14ac:dyDescent="0.25">
      <c r="A22" s="14">
        <v>62</v>
      </c>
      <c r="B22" s="14">
        <v>3.9199999999999997E-5</v>
      </c>
    </row>
    <row r="23" spans="1:2" x14ac:dyDescent="0.25">
      <c r="A23" s="14">
        <v>63</v>
      </c>
      <c r="B23" s="14">
        <v>4.0599999999999998E-5</v>
      </c>
    </row>
    <row r="24" spans="1:2" x14ac:dyDescent="0.25">
      <c r="A24" s="14">
        <v>64</v>
      </c>
      <c r="B24" s="14">
        <v>4.32E-5</v>
      </c>
    </row>
    <row r="25" spans="1:2" x14ac:dyDescent="0.25">
      <c r="A25" s="14">
        <v>65</v>
      </c>
      <c r="B25" s="14">
        <v>4.8600000000000002E-5</v>
      </c>
    </row>
    <row r="26" spans="1:2" x14ac:dyDescent="0.25">
      <c r="A26" s="14">
        <v>66</v>
      </c>
      <c r="B26" s="14">
        <v>6.0999999999999999E-5</v>
      </c>
    </row>
    <row r="27" spans="1:2" x14ac:dyDescent="0.25">
      <c r="A27" s="14">
        <v>67</v>
      </c>
      <c r="B27" s="14">
        <v>1.83E-4</v>
      </c>
    </row>
    <row r="28" spans="1:2" x14ac:dyDescent="0.25">
      <c r="A28" s="14">
        <v>68</v>
      </c>
      <c r="B28" s="14">
        <v>1.22E-4</v>
      </c>
    </row>
    <row r="29" spans="1:2" x14ac:dyDescent="0.25">
      <c r="A29" s="14">
        <v>69</v>
      </c>
      <c r="B29" s="14">
        <v>1.9000000000000001E-4</v>
      </c>
    </row>
    <row r="30" spans="1:2" x14ac:dyDescent="0.25">
      <c r="A30" s="14">
        <v>70</v>
      </c>
      <c r="B30" s="14">
        <v>1.4799999999999999E-4</v>
      </c>
    </row>
    <row r="31" spans="1:2" x14ac:dyDescent="0.25">
      <c r="A31" s="14">
        <v>71</v>
      </c>
      <c r="B31" s="14">
        <v>1.7899999999999999E-4</v>
      </c>
    </row>
    <row r="32" spans="1:2" x14ac:dyDescent="0.25">
      <c r="A32" s="14">
        <v>72</v>
      </c>
      <c r="B32" s="14">
        <v>2.2599999999999999E-4</v>
      </c>
    </row>
    <row r="33" spans="1:2" x14ac:dyDescent="0.25">
      <c r="A33" s="14">
        <v>73</v>
      </c>
      <c r="B33" s="14">
        <v>2.9300000000000002E-4</v>
      </c>
    </row>
    <row r="34" spans="1:2" x14ac:dyDescent="0.25">
      <c r="A34" s="14">
        <v>74</v>
      </c>
      <c r="B34" s="14">
        <v>3.4099999999999999E-4</v>
      </c>
    </row>
    <row r="35" spans="1:2" x14ac:dyDescent="0.25">
      <c r="A35" s="14">
        <v>75</v>
      </c>
      <c r="B35" s="14">
        <v>4.75E-4</v>
      </c>
    </row>
    <row r="36" spans="1:2" x14ac:dyDescent="0.25">
      <c r="A36" s="14">
        <v>76</v>
      </c>
      <c r="B36" s="14">
        <v>5.2800000000000004E-4</v>
      </c>
    </row>
    <row r="37" spans="1:2" x14ac:dyDescent="0.25">
      <c r="A37" s="14">
        <v>77</v>
      </c>
      <c r="B37" s="14">
        <v>6.3100000000000005E-4</v>
      </c>
    </row>
    <row r="38" spans="1:2" x14ac:dyDescent="0.25">
      <c r="A38" s="14">
        <v>78</v>
      </c>
      <c r="B38" s="14">
        <v>7.7300000000000003E-4</v>
      </c>
    </row>
    <row r="39" spans="1:2" x14ac:dyDescent="0.25">
      <c r="A39" s="14">
        <v>79</v>
      </c>
      <c r="B39" s="14">
        <v>9.3199999999999999E-4</v>
      </c>
    </row>
    <row r="40" spans="1:2" x14ac:dyDescent="0.25">
      <c r="A40" s="14">
        <v>80</v>
      </c>
      <c r="B40" s="14">
        <v>1.1299999999999999E-3</v>
      </c>
    </row>
    <row r="41" spans="1:2" x14ac:dyDescent="0.25">
      <c r="A41" s="14">
        <v>81</v>
      </c>
      <c r="B41" s="14">
        <v>1.2999999999999999E-3</v>
      </c>
    </row>
    <row r="42" spans="1:2" x14ac:dyDescent="0.25">
      <c r="A42" s="14">
        <v>82</v>
      </c>
      <c r="B42" s="14">
        <v>1.5299999999999999E-3</v>
      </c>
    </row>
    <row r="43" spans="1:2" x14ac:dyDescent="0.25">
      <c r="A43" s="14">
        <v>83</v>
      </c>
      <c r="B43" s="14">
        <v>1.8500000000000001E-3</v>
      </c>
    </row>
    <row r="44" spans="1:2" x14ac:dyDescent="0.25">
      <c r="A44" s="14">
        <v>84</v>
      </c>
      <c r="B44" s="14">
        <v>2.1099999999999999E-3</v>
      </c>
    </row>
    <row r="45" spans="1:2" x14ac:dyDescent="0.25">
      <c r="A45" s="14">
        <v>85</v>
      </c>
      <c r="B45" s="14">
        <v>2.48E-3</v>
      </c>
    </row>
    <row r="46" spans="1:2" x14ac:dyDescent="0.25">
      <c r="A46" s="14">
        <v>86</v>
      </c>
      <c r="B46" s="14">
        <v>2.7799999999999999E-3</v>
      </c>
    </row>
    <row r="47" spans="1:2" x14ac:dyDescent="0.25">
      <c r="A47" s="14">
        <v>87</v>
      </c>
      <c r="B47" s="14">
        <v>3.1800000000000001E-3</v>
      </c>
    </row>
    <row r="48" spans="1:2" x14ac:dyDescent="0.25">
      <c r="A48" s="14">
        <v>88</v>
      </c>
      <c r="B48" s="14">
        <v>3.6099999999999999E-3</v>
      </c>
    </row>
    <row r="49" spans="1:2" x14ac:dyDescent="0.25">
      <c r="A49" s="14">
        <v>89</v>
      </c>
      <c r="B49" s="14">
        <v>3.98E-3</v>
      </c>
    </row>
    <row r="50" spans="1:2" x14ac:dyDescent="0.25">
      <c r="A50" s="14">
        <v>90</v>
      </c>
      <c r="B50" s="14">
        <v>4.3800000000000002E-3</v>
      </c>
    </row>
    <row r="51" spans="1:2" x14ac:dyDescent="0.25">
      <c r="A51" s="14">
        <v>91</v>
      </c>
      <c r="B51" s="14">
        <v>4.96E-3</v>
      </c>
    </row>
    <row r="52" spans="1:2" x14ac:dyDescent="0.25">
      <c r="A52" s="14">
        <v>92</v>
      </c>
      <c r="B52" s="14">
        <v>5.47E-3</v>
      </c>
    </row>
    <row r="53" spans="1:2" x14ac:dyDescent="0.25">
      <c r="A53" s="14">
        <v>93</v>
      </c>
      <c r="B53" s="14">
        <v>6.0000000000000001E-3</v>
      </c>
    </row>
    <row r="54" spans="1:2" x14ac:dyDescent="0.25">
      <c r="A54" s="14">
        <v>94</v>
      </c>
      <c r="B54" s="14">
        <v>6.5700000000000003E-3</v>
      </c>
    </row>
    <row r="55" spans="1:2" x14ac:dyDescent="0.25">
      <c r="A55" s="14">
        <v>95</v>
      </c>
      <c r="B55" s="14">
        <v>7.2700000000000004E-3</v>
      </c>
    </row>
    <row r="56" spans="1:2" x14ac:dyDescent="0.25">
      <c r="A56" s="14">
        <v>96</v>
      </c>
      <c r="B56" s="14">
        <v>7.8700000000000003E-3</v>
      </c>
    </row>
    <row r="57" spans="1:2" x14ac:dyDescent="0.25">
      <c r="A57" s="14">
        <v>97</v>
      </c>
      <c r="B57" s="14">
        <v>8.5400000000000007E-3</v>
      </c>
    </row>
    <row r="58" spans="1:2" x14ac:dyDescent="0.25">
      <c r="A58" s="14">
        <v>98</v>
      </c>
      <c r="B58" s="14">
        <v>9.1699999999999993E-3</v>
      </c>
    </row>
    <row r="59" spans="1:2" x14ac:dyDescent="0.25">
      <c r="A59" s="14">
        <v>99</v>
      </c>
      <c r="B59" s="14">
        <v>9.8899999999999995E-3</v>
      </c>
    </row>
    <row r="60" spans="1:2" x14ac:dyDescent="0.25">
      <c r="A60" s="14">
        <v>100</v>
      </c>
      <c r="B60" s="14">
        <v>1.04E-2</v>
      </c>
    </row>
    <row r="61" spans="1:2" x14ac:dyDescent="0.25">
      <c r="A61" s="14">
        <v>101</v>
      </c>
      <c r="B61" s="14">
        <v>1.11E-2</v>
      </c>
    </row>
    <row r="62" spans="1:2" x14ac:dyDescent="0.25">
      <c r="A62" s="14">
        <v>102</v>
      </c>
      <c r="B62" s="14">
        <v>1.1900000000000001E-2</v>
      </c>
    </row>
    <row r="63" spans="1:2" x14ac:dyDescent="0.25">
      <c r="A63" s="14">
        <v>103</v>
      </c>
      <c r="B63" s="14">
        <v>1.2699999999999999E-2</v>
      </c>
    </row>
    <row r="64" spans="1:2" x14ac:dyDescent="0.25">
      <c r="A64" s="14">
        <v>104</v>
      </c>
      <c r="B64" s="14">
        <v>1.34E-2</v>
      </c>
    </row>
    <row r="65" spans="1:2" x14ac:dyDescent="0.25">
      <c r="A65" s="14">
        <v>105</v>
      </c>
      <c r="B65" s="14">
        <v>1.41E-2</v>
      </c>
    </row>
    <row r="66" spans="1:2" x14ac:dyDescent="0.25">
      <c r="A66" s="14">
        <v>106</v>
      </c>
      <c r="B66" s="14">
        <v>1.49E-2</v>
      </c>
    </row>
    <row r="67" spans="1:2" x14ac:dyDescent="0.25">
      <c r="A67" s="14">
        <v>107</v>
      </c>
      <c r="B67" s="14">
        <v>1.55E-2</v>
      </c>
    </row>
    <row r="68" spans="1:2" x14ac:dyDescent="0.25">
      <c r="A68" s="14">
        <v>108</v>
      </c>
      <c r="B68" s="14">
        <v>1.6299999999999999E-2</v>
      </c>
    </row>
    <row r="69" spans="1:2" x14ac:dyDescent="0.25">
      <c r="A69" s="14">
        <v>109</v>
      </c>
      <c r="B69" s="14">
        <v>1.7000000000000001E-2</v>
      </c>
    </row>
    <row r="70" spans="1:2" x14ac:dyDescent="0.25">
      <c r="A70" s="14">
        <v>110</v>
      </c>
      <c r="B70" s="14">
        <v>1.7600000000000001E-2</v>
      </c>
    </row>
    <row r="71" spans="1:2" x14ac:dyDescent="0.25">
      <c r="A71" s="14">
        <v>111</v>
      </c>
      <c r="B71" s="14">
        <v>1.8499999999999999E-2</v>
      </c>
    </row>
    <row r="72" spans="1:2" x14ac:dyDescent="0.25">
      <c r="A72" s="14">
        <v>112</v>
      </c>
      <c r="B72" s="14">
        <v>1.9E-2</v>
      </c>
    </row>
    <row r="73" spans="1:2" x14ac:dyDescent="0.25">
      <c r="A73" s="14">
        <v>113</v>
      </c>
      <c r="B73" s="14">
        <v>1.9599999999999999E-2</v>
      </c>
    </row>
    <row r="74" spans="1:2" x14ac:dyDescent="0.25">
      <c r="A74" s="14">
        <v>114</v>
      </c>
      <c r="B74" s="14">
        <v>2.0199999999999999E-2</v>
      </c>
    </row>
    <row r="75" spans="1:2" x14ac:dyDescent="0.25">
      <c r="A75" s="14">
        <v>115</v>
      </c>
      <c r="B75" s="14">
        <v>2.07E-2</v>
      </c>
    </row>
    <row r="76" spans="1:2" x14ac:dyDescent="0.25">
      <c r="A76" s="14">
        <v>116</v>
      </c>
      <c r="B76" s="14">
        <v>2.12E-2</v>
      </c>
    </row>
    <row r="77" spans="1:2" x14ac:dyDescent="0.25">
      <c r="A77" s="14">
        <v>117</v>
      </c>
      <c r="B77" s="14">
        <v>2.1700000000000001E-2</v>
      </c>
    </row>
    <row r="78" spans="1:2" x14ac:dyDescent="0.25">
      <c r="A78" s="14">
        <v>118</v>
      </c>
      <c r="B78" s="14">
        <v>2.2200000000000001E-2</v>
      </c>
    </row>
    <row r="79" spans="1:2" x14ac:dyDescent="0.25">
      <c r="A79" s="14">
        <v>119</v>
      </c>
      <c r="B79" s="14">
        <v>2.2599999999999999E-2</v>
      </c>
    </row>
    <row r="80" spans="1:2" x14ac:dyDescent="0.25">
      <c r="A80" s="14">
        <v>120</v>
      </c>
      <c r="B80" s="14">
        <v>2.3099999999999999E-2</v>
      </c>
    </row>
    <row r="81" spans="1:2" x14ac:dyDescent="0.25">
      <c r="A81" s="14">
        <v>121</v>
      </c>
      <c r="B81" s="14">
        <v>2.3199999999999998E-2</v>
      </c>
    </row>
    <row r="82" spans="1:2" x14ac:dyDescent="0.25">
      <c r="A82" s="14">
        <v>122</v>
      </c>
      <c r="B82" s="14">
        <v>2.35E-2</v>
      </c>
    </row>
    <row r="83" spans="1:2" x14ac:dyDescent="0.25">
      <c r="A83" s="14">
        <v>123</v>
      </c>
      <c r="B83" s="14">
        <v>2.3699999999999999E-2</v>
      </c>
    </row>
    <row r="84" spans="1:2" x14ac:dyDescent="0.25">
      <c r="A84" s="14">
        <v>124</v>
      </c>
      <c r="B84" s="14">
        <v>2.3900000000000001E-2</v>
      </c>
    </row>
    <row r="85" spans="1:2" x14ac:dyDescent="0.25">
      <c r="A85" s="14">
        <v>125</v>
      </c>
      <c r="B85" s="14">
        <v>2.3800000000000002E-2</v>
      </c>
    </row>
    <row r="86" spans="1:2" x14ac:dyDescent="0.25">
      <c r="A86" s="14">
        <v>126</v>
      </c>
      <c r="B86" s="14">
        <v>2.4E-2</v>
      </c>
    </row>
    <row r="87" spans="1:2" x14ac:dyDescent="0.25">
      <c r="A87" s="14">
        <v>127</v>
      </c>
      <c r="B87" s="14">
        <v>2.4E-2</v>
      </c>
    </row>
    <row r="88" spans="1:2" x14ac:dyDescent="0.25">
      <c r="A88" s="14">
        <v>128</v>
      </c>
      <c r="B88" s="14">
        <v>2.3900000000000001E-2</v>
      </c>
    </row>
    <row r="89" spans="1:2" x14ac:dyDescent="0.25">
      <c r="A89" s="14">
        <v>129</v>
      </c>
      <c r="B89" s="14">
        <v>2.3699999999999999E-2</v>
      </c>
    </row>
    <row r="90" spans="1:2" x14ac:dyDescent="0.25">
      <c r="A90" s="14">
        <v>130</v>
      </c>
      <c r="B90" s="14">
        <v>2.35E-2</v>
      </c>
    </row>
    <row r="91" spans="1:2" x14ac:dyDescent="0.25">
      <c r="A91" s="14">
        <v>131</v>
      </c>
      <c r="B91" s="14">
        <v>2.3199999999999998E-2</v>
      </c>
    </row>
    <row r="92" spans="1:2" x14ac:dyDescent="0.25">
      <c r="A92" s="14">
        <v>132</v>
      </c>
      <c r="B92" s="14">
        <v>2.3099999999999999E-2</v>
      </c>
    </row>
    <row r="93" spans="1:2" x14ac:dyDescent="0.25">
      <c r="A93" s="14">
        <v>133</v>
      </c>
      <c r="B93" s="14">
        <v>2.2599999999999999E-2</v>
      </c>
    </row>
    <row r="94" spans="1:2" x14ac:dyDescent="0.25">
      <c r="A94" s="14">
        <v>134</v>
      </c>
      <c r="B94" s="14">
        <v>2.1899999999999999E-2</v>
      </c>
    </row>
    <row r="95" spans="1:2" x14ac:dyDescent="0.25">
      <c r="A95" s="14">
        <v>135</v>
      </c>
      <c r="B95" s="14">
        <v>2.1399999999999999E-2</v>
      </c>
    </row>
    <row r="96" spans="1:2" x14ac:dyDescent="0.25">
      <c r="A96" s="14">
        <v>136</v>
      </c>
      <c r="B96" s="14">
        <v>2.0799999999999999E-2</v>
      </c>
    </row>
    <row r="97" spans="1:2" x14ac:dyDescent="0.25">
      <c r="A97" s="14">
        <v>137</v>
      </c>
      <c r="B97" s="14">
        <v>0.02</v>
      </c>
    </row>
    <row r="98" spans="1:2" x14ac:dyDescent="0.25">
      <c r="A98" s="14">
        <v>138</v>
      </c>
      <c r="B98" s="14">
        <v>1.9099999999999999E-2</v>
      </c>
    </row>
    <row r="99" spans="1:2" x14ac:dyDescent="0.25">
      <c r="A99" s="14">
        <v>139</v>
      </c>
      <c r="B99" s="14">
        <v>1.8100000000000002E-2</v>
      </c>
    </row>
    <row r="100" spans="1:2" x14ac:dyDescent="0.25">
      <c r="A100" s="14">
        <v>140</v>
      </c>
      <c r="B100" s="14">
        <v>1.72E-2</v>
      </c>
    </row>
    <row r="101" spans="1:2" x14ac:dyDescent="0.25">
      <c r="A101" s="14">
        <v>141</v>
      </c>
      <c r="B101" s="14">
        <v>1.5900000000000001E-2</v>
      </c>
    </row>
    <row r="102" spans="1:2" x14ac:dyDescent="0.25">
      <c r="A102" s="14">
        <v>142</v>
      </c>
      <c r="B102" s="14">
        <v>1.49E-2</v>
      </c>
    </row>
    <row r="103" spans="1:2" x14ac:dyDescent="0.25">
      <c r="A103" s="14">
        <v>143</v>
      </c>
      <c r="B103" s="14">
        <v>1.34E-2</v>
      </c>
    </row>
    <row r="104" spans="1:2" x14ac:dyDescent="0.25">
      <c r="A104" s="14">
        <v>144</v>
      </c>
      <c r="B104" s="14">
        <v>1.2E-2</v>
      </c>
    </row>
    <row r="105" spans="1:2" x14ac:dyDescent="0.25">
      <c r="A105" s="14">
        <v>145</v>
      </c>
      <c r="B105" s="14">
        <v>1.0500000000000001E-2</v>
      </c>
    </row>
    <row r="106" spans="1:2" x14ac:dyDescent="0.25">
      <c r="A106" s="14">
        <v>146</v>
      </c>
      <c r="B106" s="14">
        <v>8.7299999999999999E-3</v>
      </c>
    </row>
    <row r="107" spans="1:2" x14ac:dyDescent="0.25">
      <c r="A107" s="14">
        <v>147</v>
      </c>
      <c r="B107" s="14">
        <v>6.9199999999999999E-3</v>
      </c>
    </row>
    <row r="108" spans="1:2" x14ac:dyDescent="0.25">
      <c r="A108" s="14">
        <v>148</v>
      </c>
      <c r="B108" s="14">
        <v>5.0899999999999999E-3</v>
      </c>
    </row>
    <row r="109" spans="1:2" x14ac:dyDescent="0.25">
      <c r="A109" s="14">
        <v>149</v>
      </c>
      <c r="B109" s="14">
        <v>2.9499999999999999E-3</v>
      </c>
    </row>
    <row r="110" spans="1:2" x14ac:dyDescent="0.25">
      <c r="A110" s="14">
        <v>150</v>
      </c>
      <c r="B110" s="14">
        <v>6.9300000000000004E-4</v>
      </c>
    </row>
    <row r="111" spans="1:2" x14ac:dyDescent="0.25">
      <c r="A111" s="14">
        <v>151</v>
      </c>
      <c r="B111" s="14">
        <v>2.7300000000000001E-6</v>
      </c>
    </row>
    <row r="112" spans="1:2" x14ac:dyDescent="0.25">
      <c r="A112" s="14">
        <v>152</v>
      </c>
      <c r="B112" s="14">
        <v>1.68E-6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37"/>
  <dimension ref="A1:B154"/>
  <sheetViews>
    <sheetView workbookViewId="0">
      <selection sqref="A1:B1"/>
    </sheetView>
  </sheetViews>
  <sheetFormatPr defaultRowHeight="15" x14ac:dyDescent="0.25"/>
  <cols>
    <col min="1" max="1" width="11.85546875" style="1" bestFit="1" customWidth="1"/>
    <col min="2" max="2" width="17.7109375" style="1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3">
        <v>50</v>
      </c>
      <c r="B2" s="13">
        <v>6.9599999999999998E-5</v>
      </c>
    </row>
    <row r="3" spans="1:2" x14ac:dyDescent="0.25">
      <c r="A3" s="13">
        <v>51</v>
      </c>
      <c r="B3" s="13">
        <v>9.0199999999999997E-5</v>
      </c>
    </row>
    <row r="4" spans="1:2" x14ac:dyDescent="0.25">
      <c r="A4" s="13">
        <v>52</v>
      </c>
      <c r="B4" s="13">
        <v>7.1199999999999996E-5</v>
      </c>
    </row>
    <row r="5" spans="1:2" x14ac:dyDescent="0.25">
      <c r="A5" s="13">
        <v>53</v>
      </c>
      <c r="B5" s="13">
        <v>6.4900000000000005E-5</v>
      </c>
    </row>
    <row r="6" spans="1:2" x14ac:dyDescent="0.25">
      <c r="A6" s="13">
        <v>54</v>
      </c>
      <c r="B6" s="13">
        <v>7.5900000000000002E-5</v>
      </c>
    </row>
    <row r="7" spans="1:2" x14ac:dyDescent="0.25">
      <c r="A7" s="13">
        <v>55</v>
      </c>
      <c r="B7" s="13">
        <v>6.1699999999999995E-5</v>
      </c>
    </row>
    <row r="8" spans="1:2" x14ac:dyDescent="0.25">
      <c r="A8" s="13">
        <v>56</v>
      </c>
      <c r="B8" s="13">
        <v>7.2000000000000002E-5</v>
      </c>
    </row>
    <row r="9" spans="1:2" x14ac:dyDescent="0.25">
      <c r="A9" s="13">
        <v>57</v>
      </c>
      <c r="B9" s="13">
        <v>7.4800000000000002E-5</v>
      </c>
    </row>
    <row r="10" spans="1:2" x14ac:dyDescent="0.25">
      <c r="A10" s="13">
        <v>58</v>
      </c>
      <c r="B10" s="13">
        <v>4.5800000000000002E-5</v>
      </c>
    </row>
    <row r="11" spans="1:2" x14ac:dyDescent="0.25">
      <c r="A11" s="13">
        <v>59</v>
      </c>
      <c r="B11" s="13">
        <v>4.4100000000000001E-5</v>
      </c>
    </row>
    <row r="12" spans="1:2" x14ac:dyDescent="0.25">
      <c r="A12" s="13">
        <v>60</v>
      </c>
      <c r="B12" s="13">
        <v>5.9700000000000001E-5</v>
      </c>
    </row>
    <row r="13" spans="1:2" x14ac:dyDescent="0.25">
      <c r="A13" s="13">
        <v>61</v>
      </c>
      <c r="B13" s="13">
        <v>6.6199999999999996E-5</v>
      </c>
    </row>
    <row r="14" spans="1:2" x14ac:dyDescent="0.25">
      <c r="A14" s="13">
        <v>62</v>
      </c>
      <c r="B14" s="13">
        <v>8.1000000000000004E-5</v>
      </c>
    </row>
    <row r="15" spans="1:2" x14ac:dyDescent="0.25">
      <c r="A15" s="13">
        <v>63</v>
      </c>
      <c r="B15" s="13">
        <v>6.5099999999999997E-5</v>
      </c>
    </row>
    <row r="16" spans="1:2" x14ac:dyDescent="0.25">
      <c r="A16" s="13">
        <v>64</v>
      </c>
      <c r="B16" s="13">
        <v>7.3399999999999995E-5</v>
      </c>
    </row>
    <row r="17" spans="1:2" x14ac:dyDescent="0.25">
      <c r="A17" s="13">
        <v>65</v>
      </c>
      <c r="B17" s="13">
        <v>7.0400000000000004E-5</v>
      </c>
    </row>
    <row r="18" spans="1:2" x14ac:dyDescent="0.25">
      <c r="A18" s="13">
        <v>66</v>
      </c>
      <c r="B18" s="13">
        <v>7.6899999999999999E-5</v>
      </c>
    </row>
    <row r="19" spans="1:2" x14ac:dyDescent="0.25">
      <c r="A19" s="13">
        <v>67</v>
      </c>
      <c r="B19" s="13">
        <v>5.8999999999999998E-5</v>
      </c>
    </row>
    <row r="20" spans="1:2" x14ac:dyDescent="0.25">
      <c r="A20" s="13">
        <v>68</v>
      </c>
      <c r="B20" s="13">
        <v>6.2899999999999997E-5</v>
      </c>
    </row>
    <row r="21" spans="1:2" x14ac:dyDescent="0.25">
      <c r="A21" s="13">
        <v>69</v>
      </c>
      <c r="B21" s="13">
        <v>6.3100000000000002E-5</v>
      </c>
    </row>
    <row r="22" spans="1:2" x14ac:dyDescent="0.25">
      <c r="A22" s="13">
        <v>70</v>
      </c>
      <c r="B22" s="13">
        <v>6.4499999999999996E-5</v>
      </c>
    </row>
    <row r="23" spans="1:2" x14ac:dyDescent="0.25">
      <c r="A23" s="13">
        <v>71</v>
      </c>
      <c r="B23" s="13">
        <v>6.41E-5</v>
      </c>
    </row>
    <row r="24" spans="1:2" x14ac:dyDescent="0.25">
      <c r="A24" s="13">
        <v>72</v>
      </c>
      <c r="B24" s="13">
        <v>6.0099999999999997E-5</v>
      </c>
    </row>
    <row r="25" spans="1:2" x14ac:dyDescent="0.25">
      <c r="A25" s="13">
        <v>73</v>
      </c>
      <c r="B25" s="13">
        <v>7.6899999999999999E-5</v>
      </c>
    </row>
    <row r="26" spans="1:2" x14ac:dyDescent="0.25">
      <c r="A26" s="13">
        <v>74</v>
      </c>
      <c r="B26" s="13">
        <v>6.0300000000000002E-5</v>
      </c>
    </row>
    <row r="27" spans="1:2" x14ac:dyDescent="0.25">
      <c r="A27" s="13">
        <v>75</v>
      </c>
      <c r="B27" s="13">
        <v>1E-4</v>
      </c>
    </row>
    <row r="28" spans="1:2" x14ac:dyDescent="0.25">
      <c r="A28" s="13">
        <v>76</v>
      </c>
      <c r="B28" s="13">
        <v>5.4500000000000003E-5</v>
      </c>
    </row>
    <row r="29" spans="1:2" x14ac:dyDescent="0.25">
      <c r="A29" s="13">
        <v>77</v>
      </c>
      <c r="B29" s="13">
        <v>6.5900000000000003E-5</v>
      </c>
    </row>
    <row r="30" spans="1:2" x14ac:dyDescent="0.25">
      <c r="A30" s="13">
        <v>78</v>
      </c>
      <c r="B30" s="13">
        <v>7.1500000000000003E-5</v>
      </c>
    </row>
    <row r="31" spans="1:2" x14ac:dyDescent="0.25">
      <c r="A31" s="13">
        <v>79</v>
      </c>
      <c r="B31" s="13">
        <v>7.6500000000000003E-5</v>
      </c>
    </row>
    <row r="32" spans="1:2" x14ac:dyDescent="0.25">
      <c r="A32" s="13">
        <v>80</v>
      </c>
      <c r="B32" s="13">
        <v>7.9300000000000003E-5</v>
      </c>
    </row>
    <row r="33" spans="1:2" x14ac:dyDescent="0.25">
      <c r="A33" s="13">
        <v>81</v>
      </c>
      <c r="B33" s="13">
        <v>8.3999999999999995E-5</v>
      </c>
    </row>
    <row r="34" spans="1:2" x14ac:dyDescent="0.25">
      <c r="A34" s="13">
        <v>82</v>
      </c>
      <c r="B34" s="13">
        <v>9.5400000000000001E-5</v>
      </c>
    </row>
    <row r="35" spans="1:2" x14ac:dyDescent="0.25">
      <c r="A35" s="13">
        <v>83</v>
      </c>
      <c r="B35" s="13">
        <v>1.13E-4</v>
      </c>
    </row>
    <row r="36" spans="1:2" x14ac:dyDescent="0.25">
      <c r="A36" s="13">
        <v>84</v>
      </c>
      <c r="B36" s="13">
        <v>1.36E-4</v>
      </c>
    </row>
    <row r="37" spans="1:2" x14ac:dyDescent="0.25">
      <c r="A37" s="13">
        <v>85</v>
      </c>
      <c r="B37" s="13">
        <v>1.75E-4</v>
      </c>
    </row>
    <row r="38" spans="1:2" x14ac:dyDescent="0.25">
      <c r="A38" s="13">
        <v>86</v>
      </c>
      <c r="B38" s="13">
        <v>1.9799999999999999E-4</v>
      </c>
    </row>
    <row r="39" spans="1:2" x14ac:dyDescent="0.25">
      <c r="A39" s="13">
        <v>87</v>
      </c>
      <c r="B39" s="13">
        <v>2.42E-4</v>
      </c>
    </row>
    <row r="40" spans="1:2" x14ac:dyDescent="0.25">
      <c r="A40" s="13">
        <v>88</v>
      </c>
      <c r="B40" s="13">
        <v>1.2300000000000001E-4</v>
      </c>
    </row>
    <row r="41" spans="1:2" x14ac:dyDescent="0.25">
      <c r="A41" s="13">
        <v>89</v>
      </c>
      <c r="B41" s="13">
        <v>5.2800000000000003E-6</v>
      </c>
    </row>
    <row r="42" spans="1:2" x14ac:dyDescent="0.25">
      <c r="A42" s="13">
        <v>90</v>
      </c>
      <c r="B42" s="13">
        <v>3.1999999999999999E-6</v>
      </c>
    </row>
    <row r="43" spans="1:2" x14ac:dyDescent="0.25">
      <c r="A43" s="13">
        <v>91</v>
      </c>
      <c r="B43" s="13">
        <v>1.2099999999999999E-5</v>
      </c>
    </row>
    <row r="44" spans="1:2" x14ac:dyDescent="0.25">
      <c r="A44" s="13">
        <v>92</v>
      </c>
      <c r="B44" s="13">
        <v>1.0499999999999999E-5</v>
      </c>
    </row>
    <row r="45" spans="1:2" x14ac:dyDescent="0.25">
      <c r="A45" s="13">
        <v>93</v>
      </c>
      <c r="B45" s="13">
        <v>2.9E-5</v>
      </c>
    </row>
    <row r="46" spans="1:2" x14ac:dyDescent="0.25">
      <c r="A46" s="13">
        <v>94</v>
      </c>
      <c r="B46" s="13">
        <v>3.5099999999999999E-5</v>
      </c>
    </row>
    <row r="47" spans="1:2" x14ac:dyDescent="0.25">
      <c r="A47" s="13">
        <v>95</v>
      </c>
      <c r="B47" s="13">
        <v>2.83E-5</v>
      </c>
    </row>
    <row r="48" spans="1:2" x14ac:dyDescent="0.25">
      <c r="A48" s="13">
        <v>96</v>
      </c>
      <c r="B48" s="13">
        <v>4.9299999999999999E-5</v>
      </c>
    </row>
    <row r="49" spans="1:2" x14ac:dyDescent="0.25">
      <c r="A49" s="13">
        <v>97</v>
      </c>
      <c r="B49" s="13">
        <v>5.3999999999999998E-5</v>
      </c>
    </row>
    <row r="50" spans="1:2" x14ac:dyDescent="0.25">
      <c r="A50" s="13">
        <v>98</v>
      </c>
      <c r="B50" s="13">
        <v>6.4399999999999993E-5</v>
      </c>
    </row>
    <row r="51" spans="1:2" x14ac:dyDescent="0.25">
      <c r="A51" s="13">
        <v>99</v>
      </c>
      <c r="B51" s="13">
        <v>5.8600000000000001E-5</v>
      </c>
    </row>
    <row r="52" spans="1:2" x14ac:dyDescent="0.25">
      <c r="A52" s="13">
        <v>100</v>
      </c>
      <c r="B52" s="13">
        <v>5.7500000000000002E-5</v>
      </c>
    </row>
    <row r="53" spans="1:2" x14ac:dyDescent="0.25">
      <c r="A53" s="13">
        <v>101</v>
      </c>
      <c r="B53" s="13">
        <v>7.9800000000000002E-5</v>
      </c>
    </row>
    <row r="54" spans="1:2" x14ac:dyDescent="0.25">
      <c r="A54" s="13">
        <v>102</v>
      </c>
      <c r="B54" s="13">
        <v>6.02E-5</v>
      </c>
    </row>
    <row r="55" spans="1:2" x14ac:dyDescent="0.25">
      <c r="A55" s="13">
        <v>103</v>
      </c>
      <c r="B55" s="13">
        <v>5.91E-5</v>
      </c>
    </row>
    <row r="56" spans="1:2" x14ac:dyDescent="0.25">
      <c r="A56" s="13">
        <v>104</v>
      </c>
      <c r="B56" s="13">
        <v>5.0399999999999999E-5</v>
      </c>
    </row>
    <row r="57" spans="1:2" x14ac:dyDescent="0.25">
      <c r="A57" s="13">
        <v>105</v>
      </c>
      <c r="B57" s="13">
        <v>3.8000000000000002E-5</v>
      </c>
    </row>
    <row r="58" spans="1:2" x14ac:dyDescent="0.25">
      <c r="A58" s="13">
        <v>106</v>
      </c>
      <c r="B58" s="13">
        <v>1.5299999999999999E-5</v>
      </c>
    </row>
    <row r="59" spans="1:2" x14ac:dyDescent="0.25">
      <c r="A59" s="13">
        <v>107</v>
      </c>
      <c r="B59" s="13">
        <v>1.2300000000000001E-5</v>
      </c>
    </row>
    <row r="60" spans="1:2" x14ac:dyDescent="0.25">
      <c r="A60" s="13">
        <v>108</v>
      </c>
      <c r="B60" s="13">
        <v>3.6000000000000001E-5</v>
      </c>
    </row>
    <row r="61" spans="1:2" x14ac:dyDescent="0.25">
      <c r="A61" s="13">
        <v>109</v>
      </c>
      <c r="B61" s="13">
        <v>7.6699999999999994E-5</v>
      </c>
    </row>
    <row r="62" spans="1:2" x14ac:dyDescent="0.25">
      <c r="A62" s="13">
        <v>110</v>
      </c>
      <c r="B62" s="13">
        <v>1.2400000000000001E-4</v>
      </c>
    </row>
    <row r="63" spans="1:2" x14ac:dyDescent="0.25">
      <c r="A63" s="13">
        <v>111</v>
      </c>
      <c r="B63" s="13">
        <v>1.9100000000000001E-4</v>
      </c>
    </row>
    <row r="64" spans="1:2" x14ac:dyDescent="0.25">
      <c r="A64" s="13">
        <v>112</v>
      </c>
      <c r="B64" s="13">
        <v>2.5300000000000002E-4</v>
      </c>
    </row>
    <row r="65" spans="1:2" x14ac:dyDescent="0.25">
      <c r="A65" s="13">
        <v>113</v>
      </c>
      <c r="B65" s="13">
        <v>3.19E-4</v>
      </c>
    </row>
    <row r="66" spans="1:2" x14ac:dyDescent="0.25">
      <c r="A66" s="13">
        <v>114</v>
      </c>
      <c r="B66" s="13">
        <v>3.88E-4</v>
      </c>
    </row>
    <row r="67" spans="1:2" x14ac:dyDescent="0.25">
      <c r="A67" s="13">
        <v>115</v>
      </c>
      <c r="B67" s="13">
        <v>4.75E-4</v>
      </c>
    </row>
    <row r="68" spans="1:2" x14ac:dyDescent="0.25">
      <c r="A68" s="13">
        <v>116</v>
      </c>
      <c r="B68" s="13">
        <v>5.8799999999999998E-4</v>
      </c>
    </row>
    <row r="69" spans="1:2" x14ac:dyDescent="0.25">
      <c r="A69" s="13">
        <v>117</v>
      </c>
      <c r="B69" s="13">
        <v>6.7699999999999998E-4</v>
      </c>
    </row>
    <row r="70" spans="1:2" x14ac:dyDescent="0.25">
      <c r="A70" s="13">
        <v>118</v>
      </c>
      <c r="B70" s="13">
        <v>7.8899999999999999E-4</v>
      </c>
    </row>
    <row r="71" spans="1:2" x14ac:dyDescent="0.25">
      <c r="A71" s="13">
        <v>119</v>
      </c>
      <c r="B71" s="13">
        <v>9.1399999999999999E-4</v>
      </c>
    </row>
    <row r="72" spans="1:2" x14ac:dyDescent="0.25">
      <c r="A72" s="13">
        <v>120</v>
      </c>
      <c r="B72" s="13">
        <v>1.06E-3</v>
      </c>
    </row>
    <row r="73" spans="1:2" x14ac:dyDescent="0.25">
      <c r="A73" s="13">
        <v>121</v>
      </c>
      <c r="B73" s="13">
        <v>1.1800000000000001E-3</v>
      </c>
    </row>
    <row r="74" spans="1:2" x14ac:dyDescent="0.25">
      <c r="A74" s="13">
        <v>122</v>
      </c>
      <c r="B74" s="13">
        <v>1.32E-3</v>
      </c>
    </row>
    <row r="75" spans="1:2" x14ac:dyDescent="0.25">
      <c r="A75" s="13">
        <v>123</v>
      </c>
      <c r="B75" s="13">
        <v>1.49E-3</v>
      </c>
    </row>
    <row r="76" spans="1:2" x14ac:dyDescent="0.25">
      <c r="A76" s="13">
        <v>124</v>
      </c>
      <c r="B76" s="13">
        <v>1.6800000000000001E-3</v>
      </c>
    </row>
    <row r="77" spans="1:2" x14ac:dyDescent="0.25">
      <c r="A77" s="13">
        <v>125</v>
      </c>
      <c r="B77" s="13">
        <v>1.89E-3</v>
      </c>
    </row>
    <row r="78" spans="1:2" x14ac:dyDescent="0.25">
      <c r="A78" s="13">
        <v>126</v>
      </c>
      <c r="B78" s="13">
        <v>2.0799999999999998E-3</v>
      </c>
    </row>
    <row r="79" spans="1:2" x14ac:dyDescent="0.25">
      <c r="A79" s="13">
        <v>127</v>
      </c>
      <c r="B79" s="13">
        <v>2.3E-3</v>
      </c>
    </row>
    <row r="80" spans="1:2" x14ac:dyDescent="0.25">
      <c r="A80" s="13">
        <v>128</v>
      </c>
      <c r="B80" s="13">
        <v>2.5500000000000002E-3</v>
      </c>
    </row>
    <row r="81" spans="1:2" x14ac:dyDescent="0.25">
      <c r="A81" s="13">
        <v>129</v>
      </c>
      <c r="B81" s="13">
        <v>2.81E-3</v>
      </c>
    </row>
    <row r="82" spans="1:2" x14ac:dyDescent="0.25">
      <c r="A82" s="13">
        <v>130</v>
      </c>
      <c r="B82" s="13">
        <v>3.0599999999999998E-3</v>
      </c>
    </row>
    <row r="83" spans="1:2" x14ac:dyDescent="0.25">
      <c r="A83" s="13">
        <v>131</v>
      </c>
      <c r="B83" s="13">
        <v>3.3500000000000001E-3</v>
      </c>
    </row>
    <row r="84" spans="1:2" x14ac:dyDescent="0.25">
      <c r="A84" s="13">
        <v>132</v>
      </c>
      <c r="B84" s="13">
        <v>3.6600000000000001E-3</v>
      </c>
    </row>
    <row r="85" spans="1:2" x14ac:dyDescent="0.25">
      <c r="A85" s="13">
        <v>133</v>
      </c>
      <c r="B85" s="13">
        <v>3.9399999999999999E-3</v>
      </c>
    </row>
    <row r="86" spans="1:2" x14ac:dyDescent="0.25">
      <c r="A86" s="13">
        <v>134</v>
      </c>
      <c r="B86" s="13">
        <v>4.3299999999999996E-3</v>
      </c>
    </row>
    <row r="87" spans="1:2" x14ac:dyDescent="0.25">
      <c r="A87" s="13">
        <v>135</v>
      </c>
      <c r="B87" s="13">
        <v>4.64E-3</v>
      </c>
    </row>
    <row r="88" spans="1:2" x14ac:dyDescent="0.25">
      <c r="A88" s="13">
        <v>136</v>
      </c>
      <c r="B88" s="13">
        <v>5.0099999999999997E-3</v>
      </c>
    </row>
    <row r="89" spans="1:2" x14ac:dyDescent="0.25">
      <c r="A89" s="13">
        <v>137</v>
      </c>
      <c r="B89" s="13">
        <v>5.47E-3</v>
      </c>
    </row>
    <row r="90" spans="1:2" x14ac:dyDescent="0.25">
      <c r="A90" s="13">
        <v>138</v>
      </c>
      <c r="B90" s="13">
        <v>5.8300000000000001E-3</v>
      </c>
    </row>
    <row r="91" spans="1:2" x14ac:dyDescent="0.25">
      <c r="A91" s="13">
        <v>139</v>
      </c>
      <c r="B91" s="13">
        <v>6.28E-3</v>
      </c>
    </row>
    <row r="92" spans="1:2" x14ac:dyDescent="0.25">
      <c r="A92" s="13">
        <v>140</v>
      </c>
      <c r="B92" s="13">
        <v>6.6800000000000002E-3</v>
      </c>
    </row>
    <row r="93" spans="1:2" x14ac:dyDescent="0.25">
      <c r="A93" s="13">
        <v>141</v>
      </c>
      <c r="B93" s="13">
        <v>7.2100000000000003E-3</v>
      </c>
    </row>
    <row r="94" spans="1:2" x14ac:dyDescent="0.25">
      <c r="A94" s="13">
        <v>142</v>
      </c>
      <c r="B94" s="13">
        <v>7.7299999999999999E-3</v>
      </c>
    </row>
    <row r="95" spans="1:2" x14ac:dyDescent="0.25">
      <c r="A95" s="13">
        <v>143</v>
      </c>
      <c r="B95" s="13">
        <v>8.1499999999999993E-3</v>
      </c>
    </row>
    <row r="96" spans="1:2" x14ac:dyDescent="0.25">
      <c r="A96" s="13">
        <v>144</v>
      </c>
      <c r="B96" s="13">
        <v>8.6800000000000002E-3</v>
      </c>
    </row>
    <row r="97" spans="1:2" x14ac:dyDescent="0.25">
      <c r="A97" s="13">
        <v>145</v>
      </c>
      <c r="B97" s="13">
        <v>9.2300000000000004E-3</v>
      </c>
    </row>
    <row r="98" spans="1:2" x14ac:dyDescent="0.25">
      <c r="A98" s="13">
        <v>146</v>
      </c>
      <c r="B98" s="13">
        <v>9.8300000000000002E-3</v>
      </c>
    </row>
    <row r="99" spans="1:2" x14ac:dyDescent="0.25">
      <c r="A99" s="13">
        <v>147</v>
      </c>
      <c r="B99" s="13">
        <v>1.03E-2</v>
      </c>
    </row>
    <row r="100" spans="1:2" x14ac:dyDescent="0.25">
      <c r="A100" s="13">
        <v>148</v>
      </c>
      <c r="B100" s="13">
        <v>1.09E-2</v>
      </c>
    </row>
    <row r="101" spans="1:2" x14ac:dyDescent="0.25">
      <c r="A101" s="13">
        <v>149</v>
      </c>
      <c r="B101" s="13">
        <v>1.15E-2</v>
      </c>
    </row>
    <row r="102" spans="1:2" x14ac:dyDescent="0.25">
      <c r="A102" s="13">
        <v>150</v>
      </c>
      <c r="B102" s="13">
        <v>1.2E-2</v>
      </c>
    </row>
    <row r="103" spans="1:2" x14ac:dyDescent="0.25">
      <c r="A103" s="13">
        <v>151</v>
      </c>
      <c r="B103" s="13">
        <v>1.24E-2</v>
      </c>
    </row>
    <row r="104" spans="1:2" x14ac:dyDescent="0.25">
      <c r="A104" s="13">
        <v>152</v>
      </c>
      <c r="B104" s="13">
        <v>1.3100000000000001E-2</v>
      </c>
    </row>
    <row r="105" spans="1:2" x14ac:dyDescent="0.25">
      <c r="A105" s="13">
        <v>153</v>
      </c>
      <c r="B105" s="13">
        <v>1.35E-2</v>
      </c>
    </row>
    <row r="106" spans="1:2" x14ac:dyDescent="0.25">
      <c r="A106" s="13">
        <v>154</v>
      </c>
      <c r="B106" s="13">
        <v>1.4200000000000001E-2</v>
      </c>
    </row>
    <row r="107" spans="1:2" x14ac:dyDescent="0.25">
      <c r="A107" s="13">
        <v>155</v>
      </c>
      <c r="B107" s="13">
        <v>1.46E-2</v>
      </c>
    </row>
    <row r="108" spans="1:2" x14ac:dyDescent="0.25">
      <c r="A108" s="13">
        <v>156</v>
      </c>
      <c r="B108" s="13">
        <v>1.5299999999999999E-2</v>
      </c>
    </row>
    <row r="109" spans="1:2" x14ac:dyDescent="0.25">
      <c r="A109" s="13">
        <v>157</v>
      </c>
      <c r="B109" s="13">
        <v>1.5900000000000001E-2</v>
      </c>
    </row>
    <row r="110" spans="1:2" x14ac:dyDescent="0.25">
      <c r="A110" s="13">
        <v>158</v>
      </c>
      <c r="B110" s="13">
        <v>1.6299999999999999E-2</v>
      </c>
    </row>
    <row r="111" spans="1:2" x14ac:dyDescent="0.25">
      <c r="A111" s="13">
        <v>159</v>
      </c>
      <c r="B111" s="13">
        <v>1.6799999999999999E-2</v>
      </c>
    </row>
    <row r="112" spans="1:2" x14ac:dyDescent="0.25">
      <c r="A112" s="13">
        <v>160</v>
      </c>
      <c r="B112" s="13">
        <v>1.72E-2</v>
      </c>
    </row>
    <row r="113" spans="1:2" x14ac:dyDescent="0.25">
      <c r="A113" s="13">
        <v>161</v>
      </c>
      <c r="B113" s="13">
        <v>1.7899999999999999E-2</v>
      </c>
    </row>
    <row r="114" spans="1:2" x14ac:dyDescent="0.25">
      <c r="A114" s="13">
        <v>162</v>
      </c>
      <c r="B114" s="13">
        <v>1.83E-2</v>
      </c>
    </row>
    <row r="115" spans="1:2" x14ac:dyDescent="0.25">
      <c r="A115" s="13">
        <v>163</v>
      </c>
      <c r="B115" s="13">
        <v>1.8700000000000001E-2</v>
      </c>
    </row>
    <row r="116" spans="1:2" x14ac:dyDescent="0.25">
      <c r="A116" s="13">
        <v>164</v>
      </c>
      <c r="B116" s="13">
        <v>1.9400000000000001E-2</v>
      </c>
    </row>
    <row r="117" spans="1:2" x14ac:dyDescent="0.25">
      <c r="A117" s="13">
        <v>165</v>
      </c>
      <c r="B117" s="13">
        <v>1.9699999999999999E-2</v>
      </c>
    </row>
    <row r="118" spans="1:2" x14ac:dyDescent="0.25">
      <c r="A118" s="13">
        <v>166</v>
      </c>
      <c r="B118" s="13">
        <v>0.02</v>
      </c>
    </row>
    <row r="119" spans="1:2" x14ac:dyDescent="0.25">
      <c r="A119" s="13">
        <v>167</v>
      </c>
      <c r="B119" s="13">
        <v>2.0400000000000001E-2</v>
      </c>
    </row>
    <row r="120" spans="1:2" x14ac:dyDescent="0.25">
      <c r="A120" s="13">
        <v>168</v>
      </c>
      <c r="B120" s="13">
        <v>2.06E-2</v>
      </c>
    </row>
    <row r="121" spans="1:2" x14ac:dyDescent="0.25">
      <c r="A121" s="13">
        <v>169</v>
      </c>
      <c r="B121" s="13">
        <v>2.0899999999999998E-2</v>
      </c>
    </row>
    <row r="122" spans="1:2" x14ac:dyDescent="0.25">
      <c r="A122" s="13">
        <v>170</v>
      </c>
      <c r="B122" s="13">
        <v>2.1299999999999999E-2</v>
      </c>
    </row>
    <row r="123" spans="1:2" x14ac:dyDescent="0.25">
      <c r="A123" s="13">
        <v>171</v>
      </c>
      <c r="B123" s="13">
        <v>2.1499999999999998E-2</v>
      </c>
    </row>
    <row r="124" spans="1:2" x14ac:dyDescent="0.25">
      <c r="A124" s="13">
        <v>172</v>
      </c>
      <c r="B124" s="13">
        <v>2.1600000000000001E-2</v>
      </c>
    </row>
    <row r="125" spans="1:2" x14ac:dyDescent="0.25">
      <c r="A125" s="13">
        <v>173</v>
      </c>
      <c r="B125" s="13">
        <v>2.1899999999999999E-2</v>
      </c>
    </row>
    <row r="126" spans="1:2" x14ac:dyDescent="0.25">
      <c r="A126" s="13">
        <v>174</v>
      </c>
      <c r="B126" s="13">
        <v>2.18E-2</v>
      </c>
    </row>
    <row r="127" spans="1:2" x14ac:dyDescent="0.25">
      <c r="A127" s="13">
        <v>175</v>
      </c>
      <c r="B127" s="13">
        <v>2.18E-2</v>
      </c>
    </row>
    <row r="128" spans="1:2" x14ac:dyDescent="0.25">
      <c r="A128" s="13">
        <v>176</v>
      </c>
      <c r="B128" s="13">
        <v>2.1999999999999999E-2</v>
      </c>
    </row>
    <row r="129" spans="1:2" x14ac:dyDescent="0.25">
      <c r="A129" s="13">
        <v>177</v>
      </c>
      <c r="B129" s="13">
        <v>2.1700000000000001E-2</v>
      </c>
    </row>
    <row r="130" spans="1:2" x14ac:dyDescent="0.25">
      <c r="A130" s="13">
        <v>178</v>
      </c>
      <c r="B130" s="13">
        <v>2.1600000000000001E-2</v>
      </c>
    </row>
    <row r="131" spans="1:2" x14ac:dyDescent="0.25">
      <c r="A131" s="13">
        <v>179</v>
      </c>
      <c r="B131" s="13">
        <v>2.1600000000000001E-2</v>
      </c>
    </row>
    <row r="132" spans="1:2" x14ac:dyDescent="0.25">
      <c r="A132" s="13">
        <v>180</v>
      </c>
      <c r="B132" s="13">
        <v>2.12E-2</v>
      </c>
    </row>
    <row r="133" spans="1:2" x14ac:dyDescent="0.25">
      <c r="A133" s="13">
        <v>181</v>
      </c>
      <c r="B133" s="13">
        <v>2.1000000000000001E-2</v>
      </c>
    </row>
    <row r="134" spans="1:2" x14ac:dyDescent="0.25">
      <c r="A134" s="13">
        <v>182</v>
      </c>
      <c r="B134" s="13">
        <v>2.06E-2</v>
      </c>
    </row>
    <row r="135" spans="1:2" x14ac:dyDescent="0.25">
      <c r="A135" s="13">
        <v>183</v>
      </c>
      <c r="B135" s="13">
        <v>2.0199999999999999E-2</v>
      </c>
    </row>
    <row r="136" spans="1:2" x14ac:dyDescent="0.25">
      <c r="A136" s="13">
        <v>184</v>
      </c>
      <c r="B136" s="13">
        <v>1.9699999999999999E-2</v>
      </c>
    </row>
    <row r="137" spans="1:2" x14ac:dyDescent="0.25">
      <c r="A137" s="13">
        <v>185</v>
      </c>
      <c r="B137" s="13">
        <v>1.9099999999999999E-2</v>
      </c>
    </row>
    <row r="138" spans="1:2" x14ac:dyDescent="0.25">
      <c r="A138" s="13">
        <v>186</v>
      </c>
      <c r="B138" s="13">
        <v>1.84E-2</v>
      </c>
    </row>
    <row r="139" spans="1:2" x14ac:dyDescent="0.25">
      <c r="A139" s="13">
        <v>187</v>
      </c>
      <c r="B139" s="13">
        <v>1.77E-2</v>
      </c>
    </row>
    <row r="140" spans="1:2" x14ac:dyDescent="0.25">
      <c r="A140" s="13">
        <v>188</v>
      </c>
      <c r="B140" s="13">
        <v>1.6899999999999998E-2</v>
      </c>
    </row>
    <row r="141" spans="1:2" x14ac:dyDescent="0.25">
      <c r="A141" s="13">
        <v>189</v>
      </c>
      <c r="B141" s="13">
        <v>1.61E-2</v>
      </c>
    </row>
    <row r="142" spans="1:2" x14ac:dyDescent="0.25">
      <c r="A142" s="13">
        <v>190</v>
      </c>
      <c r="B142" s="13">
        <v>1.49E-2</v>
      </c>
    </row>
    <row r="143" spans="1:2" x14ac:dyDescent="0.25">
      <c r="A143" s="13">
        <v>191</v>
      </c>
      <c r="B143" s="13">
        <v>1.41E-2</v>
      </c>
    </row>
    <row r="144" spans="1:2" x14ac:dyDescent="0.25">
      <c r="A144" s="13">
        <v>192</v>
      </c>
      <c r="B144" s="13">
        <v>1.2999999999999999E-2</v>
      </c>
    </row>
    <row r="145" spans="1:2" x14ac:dyDescent="0.25">
      <c r="A145" s="13">
        <v>193</v>
      </c>
      <c r="B145" s="13">
        <v>1.15E-2</v>
      </c>
    </row>
    <row r="146" spans="1:2" x14ac:dyDescent="0.25">
      <c r="A146" s="13">
        <v>194</v>
      </c>
      <c r="B146" s="13">
        <v>1.0200000000000001E-2</v>
      </c>
    </row>
    <row r="147" spans="1:2" x14ac:dyDescent="0.25">
      <c r="A147" s="13">
        <v>195</v>
      </c>
      <c r="B147" s="13">
        <v>8.7500000000000008E-3</v>
      </c>
    </row>
    <row r="148" spans="1:2" x14ac:dyDescent="0.25">
      <c r="A148" s="13">
        <v>196</v>
      </c>
      <c r="B148" s="13">
        <v>7.2700000000000004E-3</v>
      </c>
    </row>
    <row r="149" spans="1:2" x14ac:dyDescent="0.25">
      <c r="A149" s="13">
        <v>197</v>
      </c>
      <c r="B149" s="13">
        <v>5.6699999999999997E-3</v>
      </c>
    </row>
    <row r="150" spans="1:2" x14ac:dyDescent="0.25">
      <c r="A150" s="13">
        <v>198</v>
      </c>
      <c r="B150" s="13">
        <v>4.0499999999999998E-3</v>
      </c>
    </row>
    <row r="151" spans="1:2" x14ac:dyDescent="0.25">
      <c r="A151" s="13">
        <v>199</v>
      </c>
      <c r="B151" s="13">
        <v>2.16E-3</v>
      </c>
    </row>
    <row r="152" spans="1:2" x14ac:dyDescent="0.25">
      <c r="A152" s="13">
        <v>200</v>
      </c>
      <c r="B152" s="13">
        <v>4.2400000000000001E-4</v>
      </c>
    </row>
    <row r="153" spans="1:2" x14ac:dyDescent="0.25">
      <c r="A153" s="13">
        <v>201</v>
      </c>
      <c r="B153" s="13">
        <v>3.8E-6</v>
      </c>
    </row>
    <row r="154" spans="1:2" x14ac:dyDescent="0.25">
      <c r="A154" s="13">
        <v>202</v>
      </c>
      <c r="B154" s="13">
        <v>3.01E-6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38"/>
  <dimension ref="A1:B204"/>
  <sheetViews>
    <sheetView workbookViewId="0">
      <selection sqref="A1:B1"/>
    </sheetView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50</v>
      </c>
      <c r="B2" s="14">
        <v>5.5399999999999998E-5</v>
      </c>
    </row>
    <row r="3" spans="1:2" x14ac:dyDescent="0.25">
      <c r="A3" s="14">
        <v>51</v>
      </c>
      <c r="B3" s="14">
        <v>5.7299999999999997E-5</v>
      </c>
    </row>
    <row r="4" spans="1:2" x14ac:dyDescent="0.25">
      <c r="A4" s="14">
        <v>52</v>
      </c>
      <c r="B4" s="14">
        <v>6.0699999999999998E-5</v>
      </c>
    </row>
    <row r="5" spans="1:2" x14ac:dyDescent="0.25">
      <c r="A5" s="14">
        <v>53</v>
      </c>
      <c r="B5" s="14">
        <v>5.1900000000000001E-5</v>
      </c>
    </row>
    <row r="6" spans="1:2" x14ac:dyDescent="0.25">
      <c r="A6" s="14">
        <v>54</v>
      </c>
      <c r="B6" s="14">
        <v>5.2599999999999998E-5</v>
      </c>
    </row>
    <row r="7" spans="1:2" x14ac:dyDescent="0.25">
      <c r="A7" s="14">
        <v>55</v>
      </c>
      <c r="B7" s="14">
        <v>4.7500000000000003E-5</v>
      </c>
    </row>
    <row r="8" spans="1:2" x14ac:dyDescent="0.25">
      <c r="A8" s="14">
        <v>56</v>
      </c>
      <c r="B8" s="14">
        <v>5.1E-5</v>
      </c>
    </row>
    <row r="9" spans="1:2" x14ac:dyDescent="0.25">
      <c r="A9" s="14">
        <v>57</v>
      </c>
      <c r="B9" s="14">
        <v>4.3000000000000002E-5</v>
      </c>
    </row>
    <row r="10" spans="1:2" x14ac:dyDescent="0.25">
      <c r="A10" s="14">
        <v>58</v>
      </c>
      <c r="B10" s="14">
        <v>5.1999999999999997E-5</v>
      </c>
    </row>
    <row r="11" spans="1:2" x14ac:dyDescent="0.25">
      <c r="A11" s="14">
        <v>59</v>
      </c>
      <c r="B11" s="14">
        <v>4.5500000000000001E-5</v>
      </c>
    </row>
    <row r="12" spans="1:2" x14ac:dyDescent="0.25">
      <c r="A12" s="14">
        <v>60</v>
      </c>
      <c r="B12" s="14">
        <v>6.58E-5</v>
      </c>
    </row>
    <row r="13" spans="1:2" x14ac:dyDescent="0.25">
      <c r="A13" s="14">
        <v>61</v>
      </c>
      <c r="B13" s="14">
        <v>4.4499999999999997E-5</v>
      </c>
    </row>
    <row r="14" spans="1:2" x14ac:dyDescent="0.25">
      <c r="A14" s="14">
        <v>62</v>
      </c>
      <c r="B14" s="14">
        <v>5.9700000000000001E-5</v>
      </c>
    </row>
    <row r="15" spans="1:2" x14ac:dyDescent="0.25">
      <c r="A15" s="14">
        <v>63</v>
      </c>
      <c r="B15" s="14">
        <v>3.9700000000000003E-5</v>
      </c>
    </row>
    <row r="16" spans="1:2" x14ac:dyDescent="0.25">
      <c r="A16" s="14">
        <v>64</v>
      </c>
      <c r="B16" s="14">
        <v>4.4400000000000002E-5</v>
      </c>
    </row>
    <row r="17" spans="1:2" x14ac:dyDescent="0.25">
      <c r="A17" s="14">
        <v>65</v>
      </c>
      <c r="B17" s="14">
        <v>4.32E-5</v>
      </c>
    </row>
    <row r="18" spans="1:2" x14ac:dyDescent="0.25">
      <c r="A18" s="14">
        <v>66</v>
      </c>
      <c r="B18" s="14">
        <v>3.1600000000000002E-5</v>
      </c>
    </row>
    <row r="19" spans="1:2" x14ac:dyDescent="0.25">
      <c r="A19" s="14">
        <v>67</v>
      </c>
      <c r="B19" s="14">
        <v>3.65E-5</v>
      </c>
    </row>
    <row r="20" spans="1:2" x14ac:dyDescent="0.25">
      <c r="A20" s="14">
        <v>68</v>
      </c>
      <c r="B20" s="14">
        <v>4.2200000000000003E-5</v>
      </c>
    </row>
    <row r="21" spans="1:2" x14ac:dyDescent="0.25">
      <c r="A21" s="14">
        <v>69</v>
      </c>
      <c r="B21" s="14">
        <v>4.9200000000000003E-5</v>
      </c>
    </row>
    <row r="22" spans="1:2" x14ac:dyDescent="0.25">
      <c r="A22" s="14">
        <v>70</v>
      </c>
      <c r="B22" s="14">
        <v>3.96E-5</v>
      </c>
    </row>
    <row r="23" spans="1:2" x14ac:dyDescent="0.25">
      <c r="A23" s="14">
        <v>71</v>
      </c>
      <c r="B23" s="14">
        <v>3.9499999999999998E-5</v>
      </c>
    </row>
    <row r="24" spans="1:2" x14ac:dyDescent="0.25">
      <c r="A24" s="14">
        <v>72</v>
      </c>
      <c r="B24" s="14">
        <v>5.4400000000000001E-5</v>
      </c>
    </row>
    <row r="25" spans="1:2" x14ac:dyDescent="0.25">
      <c r="A25" s="14">
        <v>73</v>
      </c>
      <c r="B25" s="14">
        <v>6.2000000000000003E-5</v>
      </c>
    </row>
    <row r="26" spans="1:2" x14ac:dyDescent="0.25">
      <c r="A26" s="14">
        <v>74</v>
      </c>
      <c r="B26" s="14">
        <v>4.1100000000000003E-5</v>
      </c>
    </row>
    <row r="27" spans="1:2" x14ac:dyDescent="0.25">
      <c r="A27" s="14">
        <v>75</v>
      </c>
      <c r="B27" s="14">
        <v>8.8499999999999996E-5</v>
      </c>
    </row>
    <row r="28" spans="1:2" x14ac:dyDescent="0.25">
      <c r="A28" s="14">
        <v>76</v>
      </c>
      <c r="B28" s="14">
        <v>4.1199999999999999E-5</v>
      </c>
    </row>
    <row r="29" spans="1:2" x14ac:dyDescent="0.25">
      <c r="A29" s="14">
        <v>77</v>
      </c>
      <c r="B29" s="14">
        <v>5.7399999999999999E-5</v>
      </c>
    </row>
    <row r="30" spans="1:2" x14ac:dyDescent="0.25">
      <c r="A30" s="14">
        <v>78</v>
      </c>
      <c r="B30" s="14">
        <v>6.4300000000000004E-5</v>
      </c>
    </row>
    <row r="31" spans="1:2" x14ac:dyDescent="0.25">
      <c r="A31" s="14">
        <v>79</v>
      </c>
      <c r="B31" s="14">
        <v>5.7399999999999999E-5</v>
      </c>
    </row>
    <row r="32" spans="1:2" x14ac:dyDescent="0.25">
      <c r="A32" s="14">
        <v>80</v>
      </c>
      <c r="B32" s="14">
        <v>5.91E-5</v>
      </c>
    </row>
    <row r="33" spans="1:2" x14ac:dyDescent="0.25">
      <c r="A33" s="14">
        <v>81</v>
      </c>
      <c r="B33" s="14">
        <v>6.02E-5</v>
      </c>
    </row>
    <row r="34" spans="1:2" x14ac:dyDescent="0.25">
      <c r="A34" s="14">
        <v>82</v>
      </c>
      <c r="B34" s="14">
        <v>6.4499999999999996E-5</v>
      </c>
    </row>
    <row r="35" spans="1:2" x14ac:dyDescent="0.25">
      <c r="A35" s="14">
        <v>83</v>
      </c>
      <c r="B35" s="14">
        <v>8.4699999999999999E-5</v>
      </c>
    </row>
    <row r="36" spans="1:2" x14ac:dyDescent="0.25">
      <c r="A36" s="14">
        <v>84</v>
      </c>
      <c r="B36" s="14">
        <v>1E-4</v>
      </c>
    </row>
    <row r="37" spans="1:2" x14ac:dyDescent="0.25">
      <c r="A37" s="14">
        <v>85</v>
      </c>
      <c r="B37" s="14">
        <v>1.02E-4</v>
      </c>
    </row>
    <row r="38" spans="1:2" x14ac:dyDescent="0.25">
      <c r="A38" s="14">
        <v>86</v>
      </c>
      <c r="B38" s="14">
        <v>1.08E-4</v>
      </c>
    </row>
    <row r="39" spans="1:2" x14ac:dyDescent="0.25">
      <c r="A39" s="14">
        <v>87</v>
      </c>
      <c r="B39" s="14">
        <v>1.17E-4</v>
      </c>
    </row>
    <row r="40" spans="1:2" x14ac:dyDescent="0.25">
      <c r="A40" s="14">
        <v>88</v>
      </c>
      <c r="B40" s="14">
        <v>7.3100000000000001E-5</v>
      </c>
    </row>
    <row r="41" spans="1:2" x14ac:dyDescent="0.25">
      <c r="A41" s="14">
        <v>89</v>
      </c>
      <c r="B41" s="14">
        <v>5.6700000000000003E-5</v>
      </c>
    </row>
    <row r="42" spans="1:2" x14ac:dyDescent="0.25">
      <c r="A42" s="14">
        <v>90</v>
      </c>
      <c r="B42" s="14">
        <v>6.0999999999999999E-5</v>
      </c>
    </row>
    <row r="43" spans="1:2" x14ac:dyDescent="0.25">
      <c r="A43" s="14">
        <v>91</v>
      </c>
      <c r="B43" s="14">
        <v>4.3300000000000002E-5</v>
      </c>
    </row>
    <row r="44" spans="1:2" x14ac:dyDescent="0.25">
      <c r="A44" s="14">
        <v>92</v>
      </c>
      <c r="B44" s="14">
        <v>4.5200000000000001E-5</v>
      </c>
    </row>
    <row r="45" spans="1:2" x14ac:dyDescent="0.25">
      <c r="A45" s="14">
        <v>93</v>
      </c>
      <c r="B45" s="14">
        <v>3.8999999999999999E-5</v>
      </c>
    </row>
    <row r="46" spans="1:2" x14ac:dyDescent="0.25">
      <c r="A46" s="14">
        <v>94</v>
      </c>
      <c r="B46" s="14">
        <v>4.5300000000000003E-5</v>
      </c>
    </row>
    <row r="47" spans="1:2" x14ac:dyDescent="0.25">
      <c r="A47" s="14">
        <v>95</v>
      </c>
      <c r="B47" s="14">
        <v>4.6300000000000001E-5</v>
      </c>
    </row>
    <row r="48" spans="1:2" x14ac:dyDescent="0.25">
      <c r="A48" s="14">
        <v>96</v>
      </c>
      <c r="B48" s="14">
        <v>5.2200000000000002E-5</v>
      </c>
    </row>
    <row r="49" spans="1:2" x14ac:dyDescent="0.25">
      <c r="A49" s="14">
        <v>97</v>
      </c>
      <c r="B49" s="14">
        <v>2.4199999999999999E-5</v>
      </c>
    </row>
    <row r="50" spans="1:2" x14ac:dyDescent="0.25">
      <c r="A50" s="14">
        <v>98</v>
      </c>
      <c r="B50" s="14">
        <v>3.0899999999999999E-5</v>
      </c>
    </row>
    <row r="51" spans="1:2" x14ac:dyDescent="0.25">
      <c r="A51" s="14">
        <v>99</v>
      </c>
      <c r="B51" s="14">
        <v>3.0700000000000001E-5</v>
      </c>
    </row>
    <row r="52" spans="1:2" x14ac:dyDescent="0.25">
      <c r="A52" s="14">
        <v>100</v>
      </c>
      <c r="B52" s="14">
        <v>2.7100000000000001E-5</v>
      </c>
    </row>
    <row r="53" spans="1:2" x14ac:dyDescent="0.25">
      <c r="A53" s="14">
        <v>101</v>
      </c>
      <c r="B53" s="14">
        <v>4.0299999999999997E-5</v>
      </c>
    </row>
    <row r="54" spans="1:2" x14ac:dyDescent="0.25">
      <c r="A54" s="14">
        <v>102</v>
      </c>
      <c r="B54" s="14">
        <v>3.8399999999999998E-5</v>
      </c>
    </row>
    <row r="55" spans="1:2" x14ac:dyDescent="0.25">
      <c r="A55" s="14">
        <v>103</v>
      </c>
      <c r="B55" s="14">
        <v>1.91E-5</v>
      </c>
    </row>
    <row r="56" spans="1:2" x14ac:dyDescent="0.25">
      <c r="A56" s="14">
        <v>104</v>
      </c>
      <c r="B56" s="14">
        <v>1.26E-5</v>
      </c>
    </row>
    <row r="57" spans="1:2" x14ac:dyDescent="0.25">
      <c r="A57" s="14">
        <v>105</v>
      </c>
      <c r="B57" s="14">
        <v>1.1600000000000001E-5</v>
      </c>
    </row>
    <row r="58" spans="1:2" x14ac:dyDescent="0.25">
      <c r="A58" s="14">
        <v>106</v>
      </c>
      <c r="B58" s="14">
        <v>1.15E-5</v>
      </c>
    </row>
    <row r="59" spans="1:2" x14ac:dyDescent="0.25">
      <c r="A59" s="14">
        <v>107</v>
      </c>
      <c r="B59" s="14">
        <v>1.2799999999999999E-5</v>
      </c>
    </row>
    <row r="60" spans="1:2" x14ac:dyDescent="0.25">
      <c r="A60" s="14">
        <v>108</v>
      </c>
      <c r="B60" s="14">
        <v>4.3100000000000002E-6</v>
      </c>
    </row>
    <row r="61" spans="1:2" x14ac:dyDescent="0.25">
      <c r="A61" s="14">
        <v>109</v>
      </c>
      <c r="B61" s="14">
        <v>1.9899999999999999E-5</v>
      </c>
    </row>
    <row r="62" spans="1:2" x14ac:dyDescent="0.25">
      <c r="A62" s="14">
        <v>110</v>
      </c>
      <c r="B62" s="14">
        <v>1.7E-5</v>
      </c>
    </row>
    <row r="63" spans="1:2" x14ac:dyDescent="0.25">
      <c r="A63" s="14">
        <v>111</v>
      </c>
      <c r="B63" s="14">
        <v>3.8999999999999999E-5</v>
      </c>
    </row>
    <row r="64" spans="1:2" x14ac:dyDescent="0.25">
      <c r="A64" s="14">
        <v>112</v>
      </c>
      <c r="B64" s="14">
        <v>5.0300000000000003E-5</v>
      </c>
    </row>
    <row r="65" spans="1:2" x14ac:dyDescent="0.25">
      <c r="A65" s="14">
        <v>113</v>
      </c>
      <c r="B65" s="14">
        <v>6.8700000000000003E-5</v>
      </c>
    </row>
    <row r="66" spans="1:2" x14ac:dyDescent="0.25">
      <c r="A66" s="14">
        <v>114</v>
      </c>
      <c r="B66" s="14">
        <v>3.9900000000000001E-5</v>
      </c>
    </row>
    <row r="67" spans="1:2" x14ac:dyDescent="0.25">
      <c r="A67" s="14">
        <v>115</v>
      </c>
      <c r="B67" s="14">
        <v>7.0500000000000006E-5</v>
      </c>
    </row>
    <row r="68" spans="1:2" x14ac:dyDescent="0.25">
      <c r="A68" s="14">
        <v>116</v>
      </c>
      <c r="B68" s="14">
        <v>7.6699999999999994E-5</v>
      </c>
    </row>
    <row r="69" spans="1:2" x14ac:dyDescent="0.25">
      <c r="A69" s="14">
        <v>117</v>
      </c>
      <c r="B69" s="14">
        <v>7.2399999999999998E-5</v>
      </c>
    </row>
    <row r="70" spans="1:2" x14ac:dyDescent="0.25">
      <c r="A70" s="14">
        <v>118</v>
      </c>
      <c r="B70" s="14">
        <v>7.2100000000000004E-5</v>
      </c>
    </row>
    <row r="71" spans="1:2" x14ac:dyDescent="0.25">
      <c r="A71" s="14">
        <v>119</v>
      </c>
      <c r="B71" s="14">
        <v>9.5199999999999997E-5</v>
      </c>
    </row>
    <row r="72" spans="1:2" x14ac:dyDescent="0.25">
      <c r="A72" s="14">
        <v>120</v>
      </c>
      <c r="B72" s="14">
        <v>9.1399999999999999E-5</v>
      </c>
    </row>
    <row r="73" spans="1:2" x14ac:dyDescent="0.25">
      <c r="A73" s="14">
        <v>121</v>
      </c>
      <c r="B73" s="14">
        <v>9.2899999999999995E-5</v>
      </c>
    </row>
    <row r="74" spans="1:2" x14ac:dyDescent="0.25">
      <c r="A74" s="14">
        <v>122</v>
      </c>
      <c r="B74" s="14">
        <v>7.64E-5</v>
      </c>
    </row>
    <row r="75" spans="1:2" x14ac:dyDescent="0.25">
      <c r="A75" s="14">
        <v>123</v>
      </c>
      <c r="B75" s="14">
        <v>7.7899999999999996E-5</v>
      </c>
    </row>
    <row r="76" spans="1:2" x14ac:dyDescent="0.25">
      <c r="A76" s="14">
        <v>124</v>
      </c>
      <c r="B76" s="14">
        <v>6.7100000000000005E-5</v>
      </c>
    </row>
    <row r="77" spans="1:2" x14ac:dyDescent="0.25">
      <c r="A77" s="14">
        <v>125</v>
      </c>
      <c r="B77" s="14">
        <v>5.6100000000000002E-5</v>
      </c>
    </row>
    <row r="78" spans="1:2" x14ac:dyDescent="0.25">
      <c r="A78" s="14">
        <v>126</v>
      </c>
      <c r="B78" s="14">
        <v>2.5899999999999999E-5</v>
      </c>
    </row>
    <row r="79" spans="1:2" x14ac:dyDescent="0.25">
      <c r="A79" s="14">
        <v>127</v>
      </c>
      <c r="B79" s="14">
        <v>6.46E-6</v>
      </c>
    </row>
    <row r="80" spans="1:2" x14ac:dyDescent="0.25">
      <c r="A80" s="14">
        <v>128</v>
      </c>
      <c r="B80" s="14">
        <v>1.4E-5</v>
      </c>
    </row>
    <row r="81" spans="1:2" x14ac:dyDescent="0.25">
      <c r="A81" s="14">
        <v>129</v>
      </c>
      <c r="B81" s="14">
        <v>1.6399999999999999E-5</v>
      </c>
    </row>
    <row r="82" spans="1:2" x14ac:dyDescent="0.25">
      <c r="A82" s="14">
        <v>130</v>
      </c>
      <c r="B82" s="14">
        <v>2.9200000000000002E-5</v>
      </c>
    </row>
    <row r="83" spans="1:2" x14ac:dyDescent="0.25">
      <c r="A83" s="14">
        <v>131</v>
      </c>
      <c r="B83" s="14">
        <v>4.4700000000000002E-5</v>
      </c>
    </row>
    <row r="84" spans="1:2" x14ac:dyDescent="0.25">
      <c r="A84" s="14">
        <v>132</v>
      </c>
      <c r="B84" s="14">
        <v>8.92E-5</v>
      </c>
    </row>
    <row r="85" spans="1:2" x14ac:dyDescent="0.25">
      <c r="A85" s="14">
        <v>133</v>
      </c>
      <c r="B85" s="14">
        <v>5.8E-5</v>
      </c>
    </row>
    <row r="86" spans="1:2" x14ac:dyDescent="0.25">
      <c r="A86" s="14">
        <v>134</v>
      </c>
      <c r="B86" s="14">
        <v>8.6700000000000007E-5</v>
      </c>
    </row>
    <row r="87" spans="1:2" x14ac:dyDescent="0.25">
      <c r="A87" s="14">
        <v>135</v>
      </c>
      <c r="B87" s="14">
        <v>9.59E-5</v>
      </c>
    </row>
    <row r="88" spans="1:2" x14ac:dyDescent="0.25">
      <c r="A88" s="14">
        <v>136</v>
      </c>
      <c r="B88" s="14">
        <v>1.2300000000000001E-4</v>
      </c>
    </row>
    <row r="89" spans="1:2" x14ac:dyDescent="0.25">
      <c r="A89" s="14">
        <v>137</v>
      </c>
      <c r="B89" s="14">
        <v>1.4300000000000001E-4</v>
      </c>
    </row>
    <row r="90" spans="1:2" x14ac:dyDescent="0.25">
      <c r="A90" s="14">
        <v>138</v>
      </c>
      <c r="B90" s="14">
        <v>1.5699999999999999E-4</v>
      </c>
    </row>
    <row r="91" spans="1:2" x14ac:dyDescent="0.25">
      <c r="A91" s="14">
        <v>139</v>
      </c>
      <c r="B91" s="14">
        <v>1.7200000000000001E-4</v>
      </c>
    </row>
    <row r="92" spans="1:2" x14ac:dyDescent="0.25">
      <c r="A92" s="14">
        <v>140</v>
      </c>
      <c r="B92" s="14">
        <v>1.94E-4</v>
      </c>
    </row>
    <row r="93" spans="1:2" x14ac:dyDescent="0.25">
      <c r="A93" s="14">
        <v>141</v>
      </c>
      <c r="B93" s="14">
        <v>2.1800000000000001E-4</v>
      </c>
    </row>
    <row r="94" spans="1:2" x14ac:dyDescent="0.25">
      <c r="A94" s="14">
        <v>142</v>
      </c>
      <c r="B94" s="14">
        <v>2.4800000000000001E-4</v>
      </c>
    </row>
    <row r="95" spans="1:2" x14ac:dyDescent="0.25">
      <c r="A95" s="14">
        <v>143</v>
      </c>
      <c r="B95" s="14">
        <v>2.7599999999999999E-4</v>
      </c>
    </row>
    <row r="96" spans="1:2" x14ac:dyDescent="0.25">
      <c r="A96" s="14">
        <v>144</v>
      </c>
      <c r="B96" s="14">
        <v>3.0600000000000001E-4</v>
      </c>
    </row>
    <row r="97" spans="1:2" x14ac:dyDescent="0.25">
      <c r="A97" s="14">
        <v>145</v>
      </c>
      <c r="B97" s="14">
        <v>3.48E-4</v>
      </c>
    </row>
    <row r="98" spans="1:2" x14ac:dyDescent="0.25">
      <c r="A98" s="14">
        <v>146</v>
      </c>
      <c r="B98" s="14">
        <v>3.77E-4</v>
      </c>
    </row>
    <row r="99" spans="1:2" x14ac:dyDescent="0.25">
      <c r="A99" s="14">
        <v>147</v>
      </c>
      <c r="B99" s="14">
        <v>4.2099999999999999E-4</v>
      </c>
    </row>
    <row r="100" spans="1:2" x14ac:dyDescent="0.25">
      <c r="A100" s="14">
        <v>148</v>
      </c>
      <c r="B100" s="14">
        <v>4.9100000000000001E-4</v>
      </c>
    </row>
    <row r="101" spans="1:2" x14ac:dyDescent="0.25">
      <c r="A101" s="14">
        <v>149</v>
      </c>
      <c r="B101" s="14">
        <v>5.3499999999999999E-4</v>
      </c>
    </row>
    <row r="102" spans="1:2" x14ac:dyDescent="0.25">
      <c r="A102" s="14">
        <v>150</v>
      </c>
      <c r="B102" s="14">
        <v>5.9500000000000004E-4</v>
      </c>
    </row>
    <row r="103" spans="1:2" x14ac:dyDescent="0.25">
      <c r="A103" s="14">
        <v>151</v>
      </c>
      <c r="B103" s="14">
        <v>6.6799999999999997E-4</v>
      </c>
    </row>
    <row r="104" spans="1:2" x14ac:dyDescent="0.25">
      <c r="A104" s="14">
        <v>152</v>
      </c>
      <c r="B104" s="14">
        <v>7.4200000000000004E-4</v>
      </c>
    </row>
    <row r="105" spans="1:2" x14ac:dyDescent="0.25">
      <c r="A105" s="14">
        <v>153</v>
      </c>
      <c r="B105" s="14">
        <v>7.9299999999999998E-4</v>
      </c>
    </row>
    <row r="106" spans="1:2" x14ac:dyDescent="0.25">
      <c r="A106" s="14">
        <v>154</v>
      </c>
      <c r="B106" s="14">
        <v>8.9300000000000002E-4</v>
      </c>
    </row>
    <row r="107" spans="1:2" x14ac:dyDescent="0.25">
      <c r="A107" s="14">
        <v>155</v>
      </c>
      <c r="B107" s="14">
        <v>9.990000000000001E-4</v>
      </c>
    </row>
    <row r="108" spans="1:2" x14ac:dyDescent="0.25">
      <c r="A108" s="14">
        <v>156</v>
      </c>
      <c r="B108" s="14">
        <v>1.09E-3</v>
      </c>
    </row>
    <row r="109" spans="1:2" x14ac:dyDescent="0.25">
      <c r="A109" s="14">
        <v>157</v>
      </c>
      <c r="B109" s="14">
        <v>1.1900000000000001E-3</v>
      </c>
    </row>
    <row r="110" spans="1:2" x14ac:dyDescent="0.25">
      <c r="A110" s="14">
        <v>158</v>
      </c>
      <c r="B110" s="14">
        <v>1.32E-3</v>
      </c>
    </row>
    <row r="111" spans="1:2" x14ac:dyDescent="0.25">
      <c r="A111" s="14">
        <v>159</v>
      </c>
      <c r="B111" s="14">
        <v>1.4499999999999999E-3</v>
      </c>
    </row>
    <row r="112" spans="1:2" x14ac:dyDescent="0.25">
      <c r="A112" s="14">
        <v>160</v>
      </c>
      <c r="B112" s="14">
        <v>1.57E-3</v>
      </c>
    </row>
    <row r="113" spans="1:2" x14ac:dyDescent="0.25">
      <c r="A113" s="14">
        <v>161</v>
      </c>
      <c r="B113" s="14">
        <v>1.7099999999999999E-3</v>
      </c>
    </row>
    <row r="114" spans="1:2" x14ac:dyDescent="0.25">
      <c r="A114" s="14">
        <v>162</v>
      </c>
      <c r="B114" s="14">
        <v>1.8400000000000001E-3</v>
      </c>
    </row>
    <row r="115" spans="1:2" x14ac:dyDescent="0.25">
      <c r="A115" s="14">
        <v>163</v>
      </c>
      <c r="B115" s="14">
        <v>2.0200000000000001E-3</v>
      </c>
    </row>
    <row r="116" spans="1:2" x14ac:dyDescent="0.25">
      <c r="A116" s="14">
        <v>164</v>
      </c>
      <c r="B116" s="14">
        <v>2.2000000000000001E-3</v>
      </c>
    </row>
    <row r="117" spans="1:2" x14ac:dyDescent="0.25">
      <c r="A117" s="14">
        <v>165</v>
      </c>
      <c r="B117" s="14">
        <v>2.33E-3</v>
      </c>
    </row>
    <row r="118" spans="1:2" x14ac:dyDescent="0.25">
      <c r="A118" s="14">
        <v>166</v>
      </c>
      <c r="B118" s="14">
        <v>2.5500000000000002E-3</v>
      </c>
    </row>
    <row r="119" spans="1:2" x14ac:dyDescent="0.25">
      <c r="A119" s="14">
        <v>167</v>
      </c>
      <c r="B119" s="14">
        <v>2.7399999999999998E-3</v>
      </c>
    </row>
    <row r="120" spans="1:2" x14ac:dyDescent="0.25">
      <c r="A120" s="14">
        <v>168</v>
      </c>
      <c r="B120" s="14">
        <v>2.9299999999999999E-3</v>
      </c>
    </row>
    <row r="121" spans="1:2" x14ac:dyDescent="0.25">
      <c r="A121" s="14">
        <v>169</v>
      </c>
      <c r="B121" s="14">
        <v>3.1800000000000001E-3</v>
      </c>
    </row>
    <row r="122" spans="1:2" x14ac:dyDescent="0.25">
      <c r="A122" s="14">
        <v>170</v>
      </c>
      <c r="B122" s="14">
        <v>3.3899999999999998E-3</v>
      </c>
    </row>
    <row r="123" spans="1:2" x14ac:dyDescent="0.25">
      <c r="A123" s="14">
        <v>171</v>
      </c>
      <c r="B123" s="14">
        <v>3.5799999999999998E-3</v>
      </c>
    </row>
    <row r="124" spans="1:2" x14ac:dyDescent="0.25">
      <c r="A124" s="14">
        <v>172</v>
      </c>
      <c r="B124" s="14">
        <v>3.8800000000000002E-3</v>
      </c>
    </row>
    <row r="125" spans="1:2" x14ac:dyDescent="0.25">
      <c r="A125" s="14">
        <v>173</v>
      </c>
      <c r="B125" s="14">
        <v>4.1000000000000003E-3</v>
      </c>
    </row>
    <row r="126" spans="1:2" x14ac:dyDescent="0.25">
      <c r="A126" s="14">
        <v>174</v>
      </c>
      <c r="B126" s="14">
        <v>4.3699999999999998E-3</v>
      </c>
    </row>
    <row r="127" spans="1:2" x14ac:dyDescent="0.25">
      <c r="A127" s="14">
        <v>175</v>
      </c>
      <c r="B127" s="14">
        <v>4.7200000000000002E-3</v>
      </c>
    </row>
    <row r="128" spans="1:2" x14ac:dyDescent="0.25">
      <c r="A128" s="14">
        <v>176</v>
      </c>
      <c r="B128" s="14">
        <v>4.9800000000000001E-3</v>
      </c>
    </row>
    <row r="129" spans="1:2" x14ac:dyDescent="0.25">
      <c r="A129" s="14">
        <v>177</v>
      </c>
      <c r="B129" s="14">
        <v>5.3400000000000001E-3</v>
      </c>
    </row>
    <row r="130" spans="1:2" x14ac:dyDescent="0.25">
      <c r="A130" s="14">
        <v>178</v>
      </c>
      <c r="B130" s="14">
        <v>5.6100000000000004E-3</v>
      </c>
    </row>
    <row r="131" spans="1:2" x14ac:dyDescent="0.25">
      <c r="A131" s="14">
        <v>179</v>
      </c>
      <c r="B131" s="14">
        <v>5.7999999999999996E-3</v>
      </c>
    </row>
    <row r="132" spans="1:2" x14ac:dyDescent="0.25">
      <c r="A132" s="14">
        <v>180</v>
      </c>
      <c r="B132" s="14">
        <v>6.1999999999999998E-3</v>
      </c>
    </row>
    <row r="133" spans="1:2" x14ac:dyDescent="0.25">
      <c r="A133" s="14">
        <v>181</v>
      </c>
      <c r="B133" s="14">
        <v>6.6299999999999996E-3</v>
      </c>
    </row>
    <row r="134" spans="1:2" x14ac:dyDescent="0.25">
      <c r="A134" s="14">
        <v>182</v>
      </c>
      <c r="B134" s="14">
        <v>6.9100000000000003E-3</v>
      </c>
    </row>
    <row r="135" spans="1:2" x14ac:dyDescent="0.25">
      <c r="A135" s="14">
        <v>183</v>
      </c>
      <c r="B135" s="14">
        <v>7.3000000000000001E-3</v>
      </c>
    </row>
    <row r="136" spans="1:2" x14ac:dyDescent="0.25">
      <c r="A136" s="14">
        <v>184</v>
      </c>
      <c r="B136" s="14">
        <v>7.6600000000000001E-3</v>
      </c>
    </row>
    <row r="137" spans="1:2" x14ac:dyDescent="0.25">
      <c r="A137" s="14">
        <v>185</v>
      </c>
      <c r="B137" s="14">
        <v>7.9799999999999992E-3</v>
      </c>
    </row>
    <row r="138" spans="1:2" x14ac:dyDescent="0.25">
      <c r="A138" s="14">
        <v>186</v>
      </c>
      <c r="B138" s="14">
        <v>8.4700000000000001E-3</v>
      </c>
    </row>
    <row r="139" spans="1:2" x14ac:dyDescent="0.25">
      <c r="A139" s="14">
        <v>187</v>
      </c>
      <c r="B139" s="14">
        <v>8.8800000000000007E-3</v>
      </c>
    </row>
    <row r="140" spans="1:2" x14ac:dyDescent="0.25">
      <c r="A140" s="14">
        <v>188</v>
      </c>
      <c r="B140" s="14">
        <v>9.0600000000000003E-3</v>
      </c>
    </row>
    <row r="141" spans="1:2" x14ac:dyDescent="0.25">
      <c r="A141" s="14">
        <v>189</v>
      </c>
      <c r="B141" s="14">
        <v>9.5999999999999992E-3</v>
      </c>
    </row>
    <row r="142" spans="1:2" x14ac:dyDescent="0.25">
      <c r="A142" s="14">
        <v>190</v>
      </c>
      <c r="B142" s="14">
        <v>9.8799999999999999E-3</v>
      </c>
    </row>
    <row r="143" spans="1:2" x14ac:dyDescent="0.25">
      <c r="A143" s="14">
        <v>191</v>
      </c>
      <c r="B143" s="14">
        <v>1.03E-2</v>
      </c>
    </row>
    <row r="144" spans="1:2" x14ac:dyDescent="0.25">
      <c r="A144" s="14">
        <v>192</v>
      </c>
      <c r="B144" s="14">
        <v>1.0699999999999999E-2</v>
      </c>
    </row>
    <row r="145" spans="1:2" x14ac:dyDescent="0.25">
      <c r="A145" s="14">
        <v>193</v>
      </c>
      <c r="B145" s="14">
        <v>1.12E-2</v>
      </c>
    </row>
    <row r="146" spans="1:2" x14ac:dyDescent="0.25">
      <c r="A146" s="14">
        <v>194</v>
      </c>
      <c r="B146" s="14">
        <v>1.15E-2</v>
      </c>
    </row>
    <row r="147" spans="1:2" x14ac:dyDescent="0.25">
      <c r="A147" s="14">
        <v>195</v>
      </c>
      <c r="B147" s="14">
        <v>1.1900000000000001E-2</v>
      </c>
    </row>
    <row r="148" spans="1:2" x14ac:dyDescent="0.25">
      <c r="A148" s="14">
        <v>196</v>
      </c>
      <c r="B148" s="14">
        <v>1.23E-2</v>
      </c>
    </row>
    <row r="149" spans="1:2" x14ac:dyDescent="0.25">
      <c r="A149" s="14">
        <v>197</v>
      </c>
      <c r="B149" s="14">
        <v>1.2699999999999999E-2</v>
      </c>
    </row>
    <row r="150" spans="1:2" x14ac:dyDescent="0.25">
      <c r="A150" s="14">
        <v>198</v>
      </c>
      <c r="B150" s="14">
        <v>1.2999999999999999E-2</v>
      </c>
    </row>
    <row r="151" spans="1:2" x14ac:dyDescent="0.25">
      <c r="A151" s="14">
        <v>199</v>
      </c>
      <c r="B151" s="14">
        <v>1.35E-2</v>
      </c>
    </row>
    <row r="152" spans="1:2" x14ac:dyDescent="0.25">
      <c r="A152" s="14">
        <v>200</v>
      </c>
      <c r="B152" s="14">
        <v>1.38E-2</v>
      </c>
    </row>
    <row r="153" spans="1:2" x14ac:dyDescent="0.25">
      <c r="A153" s="14">
        <v>201</v>
      </c>
      <c r="B153" s="14">
        <v>1.41E-2</v>
      </c>
    </row>
    <row r="154" spans="1:2" x14ac:dyDescent="0.25">
      <c r="A154" s="14">
        <v>202</v>
      </c>
      <c r="B154" s="14">
        <v>1.47E-2</v>
      </c>
    </row>
    <row r="155" spans="1:2" x14ac:dyDescent="0.25">
      <c r="A155" s="14">
        <v>203</v>
      </c>
      <c r="B155" s="14">
        <v>1.49E-2</v>
      </c>
    </row>
    <row r="156" spans="1:2" x14ac:dyDescent="0.25">
      <c r="A156" s="14">
        <v>204</v>
      </c>
      <c r="B156" s="14">
        <v>1.5299999999999999E-2</v>
      </c>
    </row>
    <row r="157" spans="1:2" x14ac:dyDescent="0.25">
      <c r="A157" s="14">
        <v>205</v>
      </c>
      <c r="B157" s="14">
        <v>1.5599999999999999E-2</v>
      </c>
    </row>
    <row r="158" spans="1:2" x14ac:dyDescent="0.25">
      <c r="A158" s="14">
        <v>206</v>
      </c>
      <c r="B158" s="14">
        <v>1.5800000000000002E-2</v>
      </c>
    </row>
    <row r="159" spans="1:2" x14ac:dyDescent="0.25">
      <c r="A159" s="14">
        <v>207</v>
      </c>
      <c r="B159" s="14">
        <v>1.6400000000000001E-2</v>
      </c>
    </row>
    <row r="160" spans="1:2" x14ac:dyDescent="0.25">
      <c r="A160" s="14">
        <v>208</v>
      </c>
      <c r="B160" s="14">
        <v>1.67E-2</v>
      </c>
    </row>
    <row r="161" spans="1:2" x14ac:dyDescent="0.25">
      <c r="A161" s="14">
        <v>209</v>
      </c>
      <c r="B161" s="14">
        <v>1.6799999999999999E-2</v>
      </c>
    </row>
    <row r="162" spans="1:2" x14ac:dyDescent="0.25">
      <c r="A162" s="14">
        <v>210</v>
      </c>
      <c r="B162" s="14">
        <v>1.72E-2</v>
      </c>
    </row>
    <row r="163" spans="1:2" x14ac:dyDescent="0.25">
      <c r="A163" s="14">
        <v>211</v>
      </c>
      <c r="B163" s="14">
        <v>1.7500000000000002E-2</v>
      </c>
    </row>
    <row r="164" spans="1:2" x14ac:dyDescent="0.25">
      <c r="A164" s="14">
        <v>212</v>
      </c>
      <c r="B164" s="14">
        <v>1.7600000000000001E-2</v>
      </c>
    </row>
    <row r="165" spans="1:2" x14ac:dyDescent="0.25">
      <c r="A165" s="14">
        <v>213</v>
      </c>
      <c r="B165" s="14">
        <v>1.77E-2</v>
      </c>
    </row>
    <row r="166" spans="1:2" x14ac:dyDescent="0.25">
      <c r="A166" s="14">
        <v>214</v>
      </c>
      <c r="B166" s="14">
        <v>1.7899999999999999E-2</v>
      </c>
    </row>
    <row r="167" spans="1:2" x14ac:dyDescent="0.25">
      <c r="A167" s="14">
        <v>215</v>
      </c>
      <c r="B167" s="14">
        <v>1.83E-2</v>
      </c>
    </row>
    <row r="168" spans="1:2" x14ac:dyDescent="0.25">
      <c r="A168" s="14">
        <v>216</v>
      </c>
      <c r="B168" s="14">
        <v>1.83E-2</v>
      </c>
    </row>
    <row r="169" spans="1:2" x14ac:dyDescent="0.25">
      <c r="A169" s="14">
        <v>217</v>
      </c>
      <c r="B169" s="14">
        <v>1.84E-2</v>
      </c>
    </row>
    <row r="170" spans="1:2" x14ac:dyDescent="0.25">
      <c r="A170" s="14">
        <v>218</v>
      </c>
      <c r="B170" s="14">
        <v>1.84E-2</v>
      </c>
    </row>
    <row r="171" spans="1:2" x14ac:dyDescent="0.25">
      <c r="A171" s="14">
        <v>219</v>
      </c>
      <c r="B171" s="14">
        <v>1.8499999999999999E-2</v>
      </c>
    </row>
    <row r="172" spans="1:2" x14ac:dyDescent="0.25">
      <c r="A172" s="14">
        <v>220</v>
      </c>
      <c r="B172" s="14">
        <v>1.84E-2</v>
      </c>
    </row>
    <row r="173" spans="1:2" x14ac:dyDescent="0.25">
      <c r="A173" s="14">
        <v>221</v>
      </c>
      <c r="B173" s="14">
        <v>1.84E-2</v>
      </c>
    </row>
    <row r="174" spans="1:2" x14ac:dyDescent="0.25">
      <c r="A174" s="14">
        <v>222</v>
      </c>
      <c r="B174" s="14">
        <v>1.84E-2</v>
      </c>
    </row>
    <row r="175" spans="1:2" x14ac:dyDescent="0.25">
      <c r="A175" s="14">
        <v>223</v>
      </c>
      <c r="B175" s="14">
        <v>1.83E-2</v>
      </c>
    </row>
    <row r="176" spans="1:2" x14ac:dyDescent="0.25">
      <c r="A176" s="14">
        <v>224</v>
      </c>
      <c r="B176" s="14">
        <v>1.83E-2</v>
      </c>
    </row>
    <row r="177" spans="1:2" x14ac:dyDescent="0.25">
      <c r="A177" s="14">
        <v>225</v>
      </c>
      <c r="B177" s="14">
        <v>1.7999999999999999E-2</v>
      </c>
    </row>
    <row r="178" spans="1:2" x14ac:dyDescent="0.25">
      <c r="A178" s="14">
        <v>226</v>
      </c>
      <c r="B178" s="14">
        <v>1.7899999999999999E-2</v>
      </c>
    </row>
    <row r="179" spans="1:2" x14ac:dyDescent="0.25">
      <c r="A179" s="14">
        <v>227</v>
      </c>
      <c r="B179" s="14">
        <v>1.78E-2</v>
      </c>
    </row>
    <row r="180" spans="1:2" x14ac:dyDescent="0.25">
      <c r="A180" s="14">
        <v>228</v>
      </c>
      <c r="B180" s="14">
        <v>1.7399999999999999E-2</v>
      </c>
    </row>
    <row r="181" spans="1:2" x14ac:dyDescent="0.25">
      <c r="A181" s="14">
        <v>229</v>
      </c>
      <c r="B181" s="14">
        <v>1.7299999999999999E-2</v>
      </c>
    </row>
    <row r="182" spans="1:2" x14ac:dyDescent="0.25">
      <c r="A182" s="14">
        <v>230</v>
      </c>
      <c r="B182" s="14">
        <v>1.6799999999999999E-2</v>
      </c>
    </row>
    <row r="183" spans="1:2" x14ac:dyDescent="0.25">
      <c r="A183" s="14">
        <v>231</v>
      </c>
      <c r="B183" s="14">
        <v>1.6400000000000001E-2</v>
      </c>
    </row>
    <row r="184" spans="1:2" x14ac:dyDescent="0.25">
      <c r="A184" s="14">
        <v>232</v>
      </c>
      <c r="B184" s="14">
        <v>1.61E-2</v>
      </c>
    </row>
    <row r="185" spans="1:2" x14ac:dyDescent="0.25">
      <c r="A185" s="14">
        <v>233</v>
      </c>
      <c r="B185" s="14">
        <v>1.54E-2</v>
      </c>
    </row>
    <row r="186" spans="1:2" x14ac:dyDescent="0.25">
      <c r="A186" s="14">
        <v>234</v>
      </c>
      <c r="B186" s="14">
        <v>1.49E-2</v>
      </c>
    </row>
    <row r="187" spans="1:2" x14ac:dyDescent="0.25">
      <c r="A187" s="14">
        <v>235</v>
      </c>
      <c r="B187" s="14">
        <v>1.4200000000000001E-2</v>
      </c>
    </row>
    <row r="188" spans="1:2" x14ac:dyDescent="0.25">
      <c r="A188" s="14">
        <v>236</v>
      </c>
      <c r="B188" s="14">
        <v>1.38E-2</v>
      </c>
    </row>
    <row r="189" spans="1:2" x14ac:dyDescent="0.25">
      <c r="A189" s="14">
        <v>237</v>
      </c>
      <c r="B189" s="14">
        <v>1.2999999999999999E-2</v>
      </c>
    </row>
    <row r="190" spans="1:2" x14ac:dyDescent="0.25">
      <c r="A190" s="14">
        <v>238</v>
      </c>
      <c r="B190" s="14">
        <v>1.2E-2</v>
      </c>
    </row>
    <row r="191" spans="1:2" x14ac:dyDescent="0.25">
      <c r="A191" s="14">
        <v>239</v>
      </c>
      <c r="B191" s="14">
        <v>1.15E-2</v>
      </c>
    </row>
    <row r="192" spans="1:2" x14ac:dyDescent="0.25">
      <c r="A192" s="14">
        <v>240</v>
      </c>
      <c r="B192" s="14">
        <v>1.04E-2</v>
      </c>
    </row>
    <row r="193" spans="1:2" x14ac:dyDescent="0.25">
      <c r="A193" s="14">
        <v>241</v>
      </c>
      <c r="B193" s="14">
        <v>9.7199999999999995E-3</v>
      </c>
    </row>
    <row r="194" spans="1:2" x14ac:dyDescent="0.25">
      <c r="A194" s="14">
        <v>242</v>
      </c>
      <c r="B194" s="14">
        <v>8.8000000000000005E-3</v>
      </c>
    </row>
    <row r="195" spans="1:2" x14ac:dyDescent="0.25">
      <c r="A195" s="14">
        <v>243</v>
      </c>
      <c r="B195" s="14">
        <v>7.8200000000000006E-3</v>
      </c>
    </row>
    <row r="196" spans="1:2" x14ac:dyDescent="0.25">
      <c r="A196" s="14">
        <v>244</v>
      </c>
      <c r="B196" s="14">
        <v>6.5599999999999999E-3</v>
      </c>
    </row>
    <row r="197" spans="1:2" x14ac:dyDescent="0.25">
      <c r="A197" s="14">
        <v>245</v>
      </c>
      <c r="B197" s="14">
        <v>5.5300000000000002E-3</v>
      </c>
    </row>
    <row r="198" spans="1:2" x14ac:dyDescent="0.25">
      <c r="A198" s="14">
        <v>246</v>
      </c>
      <c r="B198" s="14">
        <v>4.3800000000000002E-3</v>
      </c>
    </row>
    <row r="199" spans="1:2" x14ac:dyDescent="0.25">
      <c r="A199" s="14">
        <v>247</v>
      </c>
      <c r="B199" s="14">
        <v>3.13E-3</v>
      </c>
    </row>
    <row r="200" spans="1:2" x14ac:dyDescent="0.25">
      <c r="A200" s="14">
        <v>248</v>
      </c>
      <c r="B200" s="14">
        <v>1.9499999999999999E-3</v>
      </c>
    </row>
    <row r="201" spans="1:2" x14ac:dyDescent="0.25">
      <c r="A201" s="14">
        <v>249</v>
      </c>
      <c r="B201" s="14">
        <v>7.4399999999999998E-4</v>
      </c>
    </row>
    <row r="202" spans="1:2" x14ac:dyDescent="0.25">
      <c r="A202" s="14">
        <v>250</v>
      </c>
      <c r="B202" s="14">
        <v>3.9900000000000001E-5</v>
      </c>
    </row>
    <row r="203" spans="1:2" x14ac:dyDescent="0.25">
      <c r="A203" s="14">
        <v>251</v>
      </c>
      <c r="B203" s="14">
        <v>2.7499999999999999E-6</v>
      </c>
    </row>
    <row r="204" spans="1:2" x14ac:dyDescent="0.25">
      <c r="A204" s="14">
        <v>252</v>
      </c>
      <c r="B204" s="14">
        <v>8.1799999999999996E-6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39"/>
  <dimension ref="A1:B244"/>
  <sheetViews>
    <sheetView workbookViewId="0">
      <selection activeCell="P27" sqref="P27"/>
    </sheetView>
  </sheetViews>
  <sheetFormatPr defaultRowHeight="15" x14ac:dyDescent="0.25"/>
  <cols>
    <col min="1" max="1" width="11.85546875" style="4" bestFit="1" customWidth="1"/>
    <col min="2" max="2" width="17.7109375" style="4" bestFit="1" customWidth="1"/>
  </cols>
  <sheetData>
    <row r="1" spans="1:2" x14ac:dyDescent="0.25">
      <c r="A1" s="3" t="s">
        <v>15</v>
      </c>
      <c r="B1" s="3" t="s">
        <v>12</v>
      </c>
    </row>
    <row r="2" spans="1:2" x14ac:dyDescent="0.25">
      <c r="A2" s="14">
        <v>60</v>
      </c>
      <c r="B2" s="14">
        <v>2.6400000000000001E-5</v>
      </c>
    </row>
    <row r="3" spans="1:2" x14ac:dyDescent="0.25">
      <c r="A3" s="14">
        <v>61</v>
      </c>
      <c r="B3" s="14">
        <v>3.3200000000000001E-5</v>
      </c>
    </row>
    <row r="4" spans="1:2" x14ac:dyDescent="0.25">
      <c r="A4" s="14">
        <v>62</v>
      </c>
      <c r="B4" s="14">
        <v>3.6100000000000003E-5</v>
      </c>
    </row>
    <row r="5" spans="1:2" x14ac:dyDescent="0.25">
      <c r="A5" s="14">
        <v>63</v>
      </c>
      <c r="B5" s="14">
        <v>2.5899999999999999E-5</v>
      </c>
    </row>
    <row r="6" spans="1:2" x14ac:dyDescent="0.25">
      <c r="A6" s="14">
        <v>64</v>
      </c>
      <c r="B6" s="14">
        <v>3.1699999999999998E-5</v>
      </c>
    </row>
    <row r="7" spans="1:2" x14ac:dyDescent="0.25">
      <c r="A7" s="14">
        <v>65</v>
      </c>
      <c r="B7" s="14">
        <v>2.65E-5</v>
      </c>
    </row>
    <row r="8" spans="1:2" x14ac:dyDescent="0.25">
      <c r="A8" s="14">
        <v>66</v>
      </c>
      <c r="B8" s="14">
        <v>4.0299999999999997E-5</v>
      </c>
    </row>
    <row r="9" spans="1:2" x14ac:dyDescent="0.25">
      <c r="A9" s="14">
        <v>67</v>
      </c>
      <c r="B9" s="14">
        <v>3.68E-5</v>
      </c>
    </row>
    <row r="10" spans="1:2" x14ac:dyDescent="0.25">
      <c r="A10" s="14">
        <v>68</v>
      </c>
      <c r="B10" s="14">
        <v>1.7600000000000001E-5</v>
      </c>
    </row>
    <row r="11" spans="1:2" x14ac:dyDescent="0.25">
      <c r="A11" s="14">
        <v>69</v>
      </c>
      <c r="B11" s="14">
        <v>3.6100000000000003E-5</v>
      </c>
    </row>
    <row r="12" spans="1:2" x14ac:dyDescent="0.25">
      <c r="A12" s="14">
        <v>70</v>
      </c>
      <c r="B12" s="14">
        <v>3.5500000000000002E-5</v>
      </c>
    </row>
    <row r="13" spans="1:2" x14ac:dyDescent="0.25">
      <c r="A13" s="14">
        <v>71</v>
      </c>
      <c r="B13" s="14">
        <v>4.3099999999999997E-5</v>
      </c>
    </row>
    <row r="14" spans="1:2" x14ac:dyDescent="0.25">
      <c r="A14" s="14">
        <v>72</v>
      </c>
      <c r="B14" s="14">
        <v>3.1300000000000002E-5</v>
      </c>
    </row>
    <row r="15" spans="1:2" x14ac:dyDescent="0.25">
      <c r="A15" s="14">
        <v>73</v>
      </c>
      <c r="B15" s="14">
        <v>5.8300000000000001E-5</v>
      </c>
    </row>
    <row r="16" spans="1:2" x14ac:dyDescent="0.25">
      <c r="A16" s="14">
        <v>74</v>
      </c>
      <c r="B16" s="14">
        <v>3.3000000000000003E-5</v>
      </c>
    </row>
    <row r="17" spans="1:2" x14ac:dyDescent="0.25">
      <c r="A17" s="14">
        <v>75</v>
      </c>
      <c r="B17" s="14">
        <v>7.08E-5</v>
      </c>
    </row>
    <row r="18" spans="1:2" x14ac:dyDescent="0.25">
      <c r="A18" s="14">
        <v>76</v>
      </c>
      <c r="B18" s="14">
        <v>2.4899999999999999E-5</v>
      </c>
    </row>
    <row r="19" spans="1:2" x14ac:dyDescent="0.25">
      <c r="A19" s="14">
        <v>77</v>
      </c>
      <c r="B19" s="14">
        <v>1.6900000000000001E-5</v>
      </c>
    </row>
    <row r="20" spans="1:2" x14ac:dyDescent="0.25">
      <c r="A20" s="14">
        <v>78</v>
      </c>
      <c r="B20" s="14">
        <v>2.69E-5</v>
      </c>
    </row>
    <row r="21" spans="1:2" x14ac:dyDescent="0.25">
      <c r="A21" s="14">
        <v>79</v>
      </c>
      <c r="B21" s="14">
        <v>3.18E-5</v>
      </c>
    </row>
    <row r="22" spans="1:2" x14ac:dyDescent="0.25">
      <c r="A22" s="14">
        <v>80</v>
      </c>
      <c r="B22" s="14">
        <v>1.9300000000000002E-5</v>
      </c>
    </row>
    <row r="23" spans="1:2" x14ac:dyDescent="0.25">
      <c r="A23" s="14">
        <v>81</v>
      </c>
      <c r="B23" s="14">
        <v>3.1000000000000001E-5</v>
      </c>
    </row>
    <row r="24" spans="1:2" x14ac:dyDescent="0.25">
      <c r="A24" s="14">
        <v>82</v>
      </c>
      <c r="B24" s="14">
        <v>4.2899999999999999E-5</v>
      </c>
    </row>
    <row r="25" spans="1:2" x14ac:dyDescent="0.25">
      <c r="A25" s="14">
        <v>83</v>
      </c>
      <c r="B25" s="14">
        <v>2.6800000000000001E-5</v>
      </c>
    </row>
    <row r="26" spans="1:2" x14ac:dyDescent="0.25">
      <c r="A26" s="14">
        <v>84</v>
      </c>
      <c r="B26" s="14">
        <v>3.2199999999999997E-5</v>
      </c>
    </row>
    <row r="27" spans="1:2" x14ac:dyDescent="0.25">
      <c r="A27" s="14">
        <v>85</v>
      </c>
      <c r="B27" s="14">
        <v>5.66E-5</v>
      </c>
    </row>
    <row r="28" spans="1:2" x14ac:dyDescent="0.25">
      <c r="A28" s="14">
        <v>86</v>
      </c>
      <c r="B28" s="14">
        <v>2.9499999999999999E-5</v>
      </c>
    </row>
    <row r="29" spans="1:2" x14ac:dyDescent="0.25">
      <c r="A29" s="14">
        <v>87</v>
      </c>
      <c r="B29" s="14">
        <v>3.1300000000000002E-5</v>
      </c>
    </row>
    <row r="30" spans="1:2" x14ac:dyDescent="0.25">
      <c r="A30" s="14">
        <v>88</v>
      </c>
      <c r="B30" s="14">
        <v>3.6900000000000002E-5</v>
      </c>
    </row>
    <row r="31" spans="1:2" x14ac:dyDescent="0.25">
      <c r="A31" s="14">
        <v>89</v>
      </c>
      <c r="B31" s="14">
        <v>3.4799999999999999E-5</v>
      </c>
    </row>
    <row r="32" spans="1:2" x14ac:dyDescent="0.25">
      <c r="A32" s="14">
        <v>90</v>
      </c>
      <c r="B32" s="14">
        <v>3.65E-5</v>
      </c>
    </row>
    <row r="33" spans="1:2" x14ac:dyDescent="0.25">
      <c r="A33" s="14">
        <v>91</v>
      </c>
      <c r="B33" s="14">
        <v>2.3099999999999999E-5</v>
      </c>
    </row>
    <row r="34" spans="1:2" x14ac:dyDescent="0.25">
      <c r="A34" s="14">
        <v>92</v>
      </c>
      <c r="B34" s="14">
        <v>4.1399999999999997E-5</v>
      </c>
    </row>
    <row r="35" spans="1:2" x14ac:dyDescent="0.25">
      <c r="A35" s="14">
        <v>93</v>
      </c>
      <c r="B35" s="14">
        <v>3.1300000000000002E-5</v>
      </c>
    </row>
    <row r="36" spans="1:2" x14ac:dyDescent="0.25">
      <c r="A36" s="14">
        <v>94</v>
      </c>
      <c r="B36" s="14">
        <v>4.3600000000000003E-5</v>
      </c>
    </row>
    <row r="37" spans="1:2" x14ac:dyDescent="0.25">
      <c r="A37" s="14">
        <v>95</v>
      </c>
      <c r="B37" s="14">
        <v>4.1699999999999997E-5</v>
      </c>
    </row>
    <row r="38" spans="1:2" x14ac:dyDescent="0.25">
      <c r="A38" s="14">
        <v>96</v>
      </c>
      <c r="B38" s="14">
        <v>2.9899999999999998E-5</v>
      </c>
    </row>
    <row r="39" spans="1:2" x14ac:dyDescent="0.25">
      <c r="A39" s="14">
        <v>97</v>
      </c>
      <c r="B39" s="14">
        <v>3.68E-5</v>
      </c>
    </row>
    <row r="40" spans="1:2" x14ac:dyDescent="0.25">
      <c r="A40" s="14">
        <v>98</v>
      </c>
      <c r="B40" s="14">
        <v>3.1399999999999998E-5</v>
      </c>
    </row>
    <row r="41" spans="1:2" x14ac:dyDescent="0.25">
      <c r="A41" s="14">
        <v>99</v>
      </c>
      <c r="B41" s="14">
        <v>3.9900000000000001E-5</v>
      </c>
    </row>
    <row r="42" spans="1:2" x14ac:dyDescent="0.25">
      <c r="A42" s="14">
        <v>100</v>
      </c>
      <c r="B42" s="14">
        <v>4.9400000000000001E-5</v>
      </c>
    </row>
    <row r="43" spans="1:2" x14ac:dyDescent="0.25">
      <c r="A43" s="14">
        <v>101</v>
      </c>
      <c r="B43" s="14">
        <v>3.3300000000000003E-5</v>
      </c>
    </row>
    <row r="44" spans="1:2" x14ac:dyDescent="0.25">
      <c r="A44" s="14">
        <v>102</v>
      </c>
      <c r="B44" s="14">
        <v>3.1399999999999998E-5</v>
      </c>
    </row>
    <row r="45" spans="1:2" x14ac:dyDescent="0.25">
      <c r="A45" s="14">
        <v>103</v>
      </c>
      <c r="B45" s="14">
        <v>2.7900000000000001E-5</v>
      </c>
    </row>
    <row r="46" spans="1:2" x14ac:dyDescent="0.25">
      <c r="A46" s="14">
        <v>104</v>
      </c>
      <c r="B46" s="14">
        <v>3.18E-5</v>
      </c>
    </row>
    <row r="47" spans="1:2" x14ac:dyDescent="0.25">
      <c r="A47" s="14">
        <v>105</v>
      </c>
      <c r="B47" s="14">
        <v>1.63E-5</v>
      </c>
    </row>
    <row r="48" spans="1:2" x14ac:dyDescent="0.25">
      <c r="A48" s="14">
        <v>106</v>
      </c>
      <c r="B48" s="14">
        <v>4.1E-5</v>
      </c>
    </row>
    <row r="49" spans="1:2" x14ac:dyDescent="0.25">
      <c r="A49" s="14">
        <v>107</v>
      </c>
      <c r="B49" s="14">
        <v>3.4900000000000001E-5</v>
      </c>
    </row>
    <row r="50" spans="1:2" x14ac:dyDescent="0.25">
      <c r="A50" s="14">
        <v>108</v>
      </c>
      <c r="B50" s="14">
        <v>4.3600000000000003E-5</v>
      </c>
    </row>
    <row r="51" spans="1:2" x14ac:dyDescent="0.25">
      <c r="A51" s="14">
        <v>109</v>
      </c>
      <c r="B51" s="14">
        <v>3.3800000000000002E-5</v>
      </c>
    </row>
    <row r="52" spans="1:2" x14ac:dyDescent="0.25">
      <c r="A52" s="14">
        <v>110</v>
      </c>
      <c r="B52" s="14">
        <v>2.1299999999999999E-5</v>
      </c>
    </row>
    <row r="53" spans="1:2" x14ac:dyDescent="0.25">
      <c r="A53" s="14">
        <v>111</v>
      </c>
      <c r="B53" s="14">
        <v>2.0800000000000001E-5</v>
      </c>
    </row>
    <row r="54" spans="1:2" x14ac:dyDescent="0.25">
      <c r="A54" s="14">
        <v>112</v>
      </c>
      <c r="B54" s="14">
        <v>2.9600000000000001E-5</v>
      </c>
    </row>
    <row r="55" spans="1:2" x14ac:dyDescent="0.25">
      <c r="A55" s="14">
        <v>113</v>
      </c>
      <c r="B55" s="14">
        <v>1.0499999999999999E-5</v>
      </c>
    </row>
    <row r="56" spans="1:2" x14ac:dyDescent="0.25">
      <c r="A56" s="14">
        <v>114</v>
      </c>
      <c r="B56" s="14">
        <v>1.84E-5</v>
      </c>
    </row>
    <row r="57" spans="1:2" x14ac:dyDescent="0.25">
      <c r="A57" s="14">
        <v>115</v>
      </c>
      <c r="B57" s="14">
        <v>4.2400000000000001E-6</v>
      </c>
    </row>
    <row r="58" spans="1:2" x14ac:dyDescent="0.25">
      <c r="A58" s="14">
        <v>116</v>
      </c>
      <c r="B58" s="14">
        <v>3.3699999999999999E-6</v>
      </c>
    </row>
    <row r="59" spans="1:2" x14ac:dyDescent="0.25">
      <c r="A59" s="14">
        <v>117</v>
      </c>
      <c r="B59" s="14">
        <v>6.0100000000000001E-6</v>
      </c>
    </row>
    <row r="60" spans="1:2" x14ac:dyDescent="0.25">
      <c r="A60" s="14">
        <v>118</v>
      </c>
      <c r="B60" s="14">
        <v>1.5699999999999999E-5</v>
      </c>
    </row>
    <row r="61" spans="1:2" x14ac:dyDescent="0.25">
      <c r="A61" s="14">
        <v>119</v>
      </c>
      <c r="B61" s="14">
        <v>5.9100000000000002E-6</v>
      </c>
    </row>
    <row r="62" spans="1:2" x14ac:dyDescent="0.25">
      <c r="A62" s="14">
        <v>120</v>
      </c>
      <c r="B62" s="14">
        <v>9.5300000000000002E-6</v>
      </c>
    </row>
    <row r="63" spans="1:2" x14ac:dyDescent="0.25">
      <c r="A63" s="14">
        <v>121</v>
      </c>
      <c r="B63" s="14">
        <v>2.7900000000000001E-5</v>
      </c>
    </row>
    <row r="64" spans="1:2" x14ac:dyDescent="0.25">
      <c r="A64" s="14">
        <v>122</v>
      </c>
      <c r="B64" s="14">
        <v>3.3500000000000001E-5</v>
      </c>
    </row>
    <row r="65" spans="1:2" x14ac:dyDescent="0.25">
      <c r="A65" s="14">
        <v>123</v>
      </c>
      <c r="B65" s="14">
        <v>2.9099999999999999E-5</v>
      </c>
    </row>
    <row r="66" spans="1:2" x14ac:dyDescent="0.25">
      <c r="A66" s="14">
        <v>124</v>
      </c>
      <c r="B66" s="14">
        <v>4.3699999999999998E-5</v>
      </c>
    </row>
    <row r="67" spans="1:2" x14ac:dyDescent="0.25">
      <c r="A67" s="14">
        <v>125</v>
      </c>
      <c r="B67" s="14">
        <v>5.3399999999999997E-5</v>
      </c>
    </row>
    <row r="68" spans="1:2" x14ac:dyDescent="0.25">
      <c r="A68" s="14">
        <v>126</v>
      </c>
      <c r="B68" s="14">
        <v>5.8600000000000001E-5</v>
      </c>
    </row>
    <row r="69" spans="1:2" x14ac:dyDescent="0.25">
      <c r="A69" s="14">
        <v>127</v>
      </c>
      <c r="B69" s="14">
        <v>3.0700000000000001E-5</v>
      </c>
    </row>
    <row r="70" spans="1:2" x14ac:dyDescent="0.25">
      <c r="A70" s="14">
        <v>128</v>
      </c>
      <c r="B70" s="14">
        <v>5.3900000000000002E-5</v>
      </c>
    </row>
    <row r="71" spans="1:2" x14ac:dyDescent="0.25">
      <c r="A71" s="14">
        <v>129</v>
      </c>
      <c r="B71" s="14">
        <v>4.5500000000000001E-5</v>
      </c>
    </row>
    <row r="72" spans="1:2" x14ac:dyDescent="0.25">
      <c r="A72" s="14">
        <v>130</v>
      </c>
      <c r="B72" s="14">
        <v>6.8300000000000007E-5</v>
      </c>
    </row>
    <row r="73" spans="1:2" x14ac:dyDescent="0.25">
      <c r="A73" s="14">
        <v>131</v>
      </c>
      <c r="B73" s="14">
        <v>6.5099999999999997E-5</v>
      </c>
    </row>
    <row r="74" spans="1:2" x14ac:dyDescent="0.25">
      <c r="A74" s="14">
        <v>132</v>
      </c>
      <c r="B74" s="14">
        <v>7.3200000000000004E-5</v>
      </c>
    </row>
    <row r="75" spans="1:2" x14ac:dyDescent="0.25">
      <c r="A75" s="14">
        <v>133</v>
      </c>
      <c r="B75" s="14">
        <v>2.3499999999999999E-5</v>
      </c>
    </row>
    <row r="76" spans="1:2" x14ac:dyDescent="0.25">
      <c r="A76" s="14">
        <v>134</v>
      </c>
      <c r="B76" s="14">
        <v>5.1E-5</v>
      </c>
    </row>
    <row r="77" spans="1:2" x14ac:dyDescent="0.25">
      <c r="A77" s="14">
        <v>135</v>
      </c>
      <c r="B77" s="14">
        <v>4.0599999999999998E-5</v>
      </c>
    </row>
    <row r="78" spans="1:2" x14ac:dyDescent="0.25">
      <c r="A78" s="14">
        <v>136</v>
      </c>
      <c r="B78" s="14">
        <v>1.0499999999999999E-5</v>
      </c>
    </row>
    <row r="79" spans="1:2" x14ac:dyDescent="0.25">
      <c r="A79" s="14">
        <v>137</v>
      </c>
      <c r="B79" s="14">
        <v>7.1600000000000001E-7</v>
      </c>
    </row>
    <row r="80" spans="1:2" x14ac:dyDescent="0.25">
      <c r="A80" s="14">
        <v>138</v>
      </c>
      <c r="B80" s="14">
        <v>2.7199999999999998E-6</v>
      </c>
    </row>
    <row r="81" spans="1:2" x14ac:dyDescent="0.25">
      <c r="A81" s="14">
        <v>139</v>
      </c>
      <c r="B81" s="14">
        <v>6.5200000000000003E-6</v>
      </c>
    </row>
    <row r="82" spans="1:2" x14ac:dyDescent="0.25">
      <c r="A82" s="14">
        <v>140</v>
      </c>
      <c r="B82" s="14">
        <v>2.48E-6</v>
      </c>
    </row>
    <row r="83" spans="1:2" x14ac:dyDescent="0.25">
      <c r="A83" s="14">
        <v>141</v>
      </c>
      <c r="B83" s="14">
        <v>3.7599999999999999E-5</v>
      </c>
    </row>
    <row r="84" spans="1:2" x14ac:dyDescent="0.25">
      <c r="A84" s="14">
        <v>142</v>
      </c>
      <c r="B84" s="14">
        <v>2.94E-5</v>
      </c>
    </row>
    <row r="85" spans="1:2" x14ac:dyDescent="0.25">
      <c r="A85" s="14">
        <v>143</v>
      </c>
      <c r="B85" s="14">
        <v>3.43E-5</v>
      </c>
    </row>
    <row r="86" spans="1:2" x14ac:dyDescent="0.25">
      <c r="A86" s="14">
        <v>144</v>
      </c>
      <c r="B86" s="14">
        <v>5.13E-5</v>
      </c>
    </row>
    <row r="87" spans="1:2" x14ac:dyDescent="0.25">
      <c r="A87" s="14">
        <v>145</v>
      </c>
      <c r="B87" s="14">
        <v>4.4199999999999997E-5</v>
      </c>
    </row>
    <row r="88" spans="1:2" x14ac:dyDescent="0.25">
      <c r="A88" s="14">
        <v>146</v>
      </c>
      <c r="B88" s="14">
        <v>8.8300000000000005E-5</v>
      </c>
    </row>
    <row r="89" spans="1:2" x14ac:dyDescent="0.25">
      <c r="A89" s="14">
        <v>147</v>
      </c>
      <c r="B89" s="14">
        <v>6.97E-5</v>
      </c>
    </row>
    <row r="90" spans="1:2" x14ac:dyDescent="0.25">
      <c r="A90" s="14">
        <v>148</v>
      </c>
      <c r="B90" s="14">
        <v>6.8899999999999994E-5</v>
      </c>
    </row>
    <row r="91" spans="1:2" x14ac:dyDescent="0.25">
      <c r="A91" s="14">
        <v>149</v>
      </c>
      <c r="B91" s="14">
        <v>7.2000000000000002E-5</v>
      </c>
    </row>
    <row r="92" spans="1:2" x14ac:dyDescent="0.25">
      <c r="A92" s="14">
        <v>150</v>
      </c>
      <c r="B92" s="14">
        <v>6.8100000000000002E-5</v>
      </c>
    </row>
    <row r="93" spans="1:2" x14ac:dyDescent="0.25">
      <c r="A93" s="14">
        <v>151</v>
      </c>
      <c r="B93" s="14">
        <v>8.2200000000000006E-5</v>
      </c>
    </row>
    <row r="94" spans="1:2" x14ac:dyDescent="0.25">
      <c r="A94" s="14">
        <v>152</v>
      </c>
      <c r="B94" s="14">
        <v>8.6199999999999995E-5</v>
      </c>
    </row>
    <row r="95" spans="1:2" x14ac:dyDescent="0.25">
      <c r="A95" s="14">
        <v>153</v>
      </c>
      <c r="B95" s="14">
        <v>8.7299999999999994E-5</v>
      </c>
    </row>
    <row r="96" spans="1:2" x14ac:dyDescent="0.25">
      <c r="A96" s="14">
        <v>154</v>
      </c>
      <c r="B96" s="14">
        <v>8.7499999999999999E-5</v>
      </c>
    </row>
    <row r="97" spans="1:2" x14ac:dyDescent="0.25">
      <c r="A97" s="14">
        <v>155</v>
      </c>
      <c r="B97" s="14">
        <v>9.2600000000000001E-5</v>
      </c>
    </row>
    <row r="98" spans="1:2" x14ac:dyDescent="0.25">
      <c r="A98" s="14">
        <v>156</v>
      </c>
      <c r="B98" s="14">
        <v>9.8800000000000003E-5</v>
      </c>
    </row>
    <row r="99" spans="1:2" x14ac:dyDescent="0.25">
      <c r="A99" s="14">
        <v>157</v>
      </c>
      <c r="B99" s="14">
        <v>8.3999999999999995E-5</v>
      </c>
    </row>
    <row r="100" spans="1:2" x14ac:dyDescent="0.25">
      <c r="A100" s="14">
        <v>158</v>
      </c>
      <c r="B100" s="14">
        <v>9.1600000000000004E-5</v>
      </c>
    </row>
    <row r="101" spans="1:2" x14ac:dyDescent="0.25">
      <c r="A101" s="14">
        <v>159</v>
      </c>
      <c r="B101" s="14">
        <v>1E-4</v>
      </c>
    </row>
    <row r="102" spans="1:2" x14ac:dyDescent="0.25">
      <c r="A102" s="14">
        <v>160</v>
      </c>
      <c r="B102" s="14">
        <v>9.2800000000000006E-5</v>
      </c>
    </row>
    <row r="103" spans="1:2" x14ac:dyDescent="0.25">
      <c r="A103" s="14">
        <v>161</v>
      </c>
      <c r="B103" s="14">
        <v>1.13E-4</v>
      </c>
    </row>
    <row r="104" spans="1:2" x14ac:dyDescent="0.25">
      <c r="A104" s="14">
        <v>162</v>
      </c>
      <c r="B104" s="14">
        <v>1.13E-4</v>
      </c>
    </row>
    <row r="105" spans="1:2" x14ac:dyDescent="0.25">
      <c r="A105" s="14">
        <v>163</v>
      </c>
      <c r="B105" s="14">
        <v>1.3300000000000001E-4</v>
      </c>
    </row>
    <row r="106" spans="1:2" x14ac:dyDescent="0.25">
      <c r="A106" s="14">
        <v>164</v>
      </c>
      <c r="B106" s="14">
        <v>1.3999999999999999E-4</v>
      </c>
    </row>
    <row r="107" spans="1:2" x14ac:dyDescent="0.25">
      <c r="A107" s="14">
        <v>165</v>
      </c>
      <c r="B107" s="14">
        <v>1.45E-4</v>
      </c>
    </row>
    <row r="108" spans="1:2" x14ac:dyDescent="0.25">
      <c r="A108" s="14">
        <v>166</v>
      </c>
      <c r="B108" s="14">
        <v>1.5100000000000001E-4</v>
      </c>
    </row>
    <row r="109" spans="1:2" x14ac:dyDescent="0.25">
      <c r="A109" s="14">
        <v>167</v>
      </c>
      <c r="B109" s="14">
        <v>1.6799999999999999E-4</v>
      </c>
    </row>
    <row r="110" spans="1:2" x14ac:dyDescent="0.25">
      <c r="A110" s="14">
        <v>168</v>
      </c>
      <c r="B110" s="14">
        <v>1.9699999999999999E-4</v>
      </c>
    </row>
    <row r="111" spans="1:2" x14ac:dyDescent="0.25">
      <c r="A111" s="14">
        <v>169</v>
      </c>
      <c r="B111" s="14">
        <v>1.9100000000000001E-4</v>
      </c>
    </row>
    <row r="112" spans="1:2" x14ac:dyDescent="0.25">
      <c r="A112" s="14">
        <v>170</v>
      </c>
      <c r="B112" s="14">
        <v>2.22E-4</v>
      </c>
    </row>
    <row r="113" spans="1:2" x14ac:dyDescent="0.25">
      <c r="A113" s="14">
        <v>171</v>
      </c>
      <c r="B113" s="14">
        <v>2.3000000000000001E-4</v>
      </c>
    </row>
    <row r="114" spans="1:2" x14ac:dyDescent="0.25">
      <c r="A114" s="14">
        <v>172</v>
      </c>
      <c r="B114" s="14">
        <v>2.52E-4</v>
      </c>
    </row>
    <row r="115" spans="1:2" x14ac:dyDescent="0.25">
      <c r="A115" s="14">
        <v>173</v>
      </c>
      <c r="B115" s="14">
        <v>2.9300000000000002E-4</v>
      </c>
    </row>
    <row r="116" spans="1:2" x14ac:dyDescent="0.25">
      <c r="A116" s="14">
        <v>174</v>
      </c>
      <c r="B116" s="14">
        <v>3.0499999999999999E-4</v>
      </c>
    </row>
    <row r="117" spans="1:2" x14ac:dyDescent="0.25">
      <c r="A117" s="14">
        <v>175</v>
      </c>
      <c r="B117" s="14">
        <v>3.3E-4</v>
      </c>
    </row>
    <row r="118" spans="1:2" x14ac:dyDescent="0.25">
      <c r="A118" s="14">
        <v>176</v>
      </c>
      <c r="B118" s="14">
        <v>3.48E-4</v>
      </c>
    </row>
    <row r="119" spans="1:2" x14ac:dyDescent="0.25">
      <c r="A119" s="14">
        <v>177</v>
      </c>
      <c r="B119" s="14">
        <v>3.9599999999999998E-4</v>
      </c>
    </row>
    <row r="120" spans="1:2" x14ac:dyDescent="0.25">
      <c r="A120" s="14">
        <v>178</v>
      </c>
      <c r="B120" s="14">
        <v>4.2900000000000002E-4</v>
      </c>
    </row>
    <row r="121" spans="1:2" x14ac:dyDescent="0.25">
      <c r="A121" s="14">
        <v>179</v>
      </c>
      <c r="B121" s="14">
        <v>4.8799999999999999E-4</v>
      </c>
    </row>
    <row r="122" spans="1:2" x14ac:dyDescent="0.25">
      <c r="A122" s="14">
        <v>180</v>
      </c>
      <c r="B122" s="14">
        <v>5.13E-4</v>
      </c>
    </row>
    <row r="123" spans="1:2" x14ac:dyDescent="0.25">
      <c r="A123" s="14">
        <v>181</v>
      </c>
      <c r="B123" s="14">
        <v>5.8200000000000005E-4</v>
      </c>
    </row>
    <row r="124" spans="1:2" x14ac:dyDescent="0.25">
      <c r="A124" s="14">
        <v>182</v>
      </c>
      <c r="B124" s="14">
        <v>6.2399999999999999E-4</v>
      </c>
    </row>
    <row r="125" spans="1:2" x14ac:dyDescent="0.25">
      <c r="A125" s="14">
        <v>183</v>
      </c>
      <c r="B125" s="14">
        <v>6.9200000000000002E-4</v>
      </c>
    </row>
    <row r="126" spans="1:2" x14ac:dyDescent="0.25">
      <c r="A126" s="14">
        <v>184</v>
      </c>
      <c r="B126" s="14">
        <v>7.3200000000000001E-4</v>
      </c>
    </row>
    <row r="127" spans="1:2" x14ac:dyDescent="0.25">
      <c r="A127" s="14">
        <v>185</v>
      </c>
      <c r="B127" s="14">
        <v>7.8100000000000001E-4</v>
      </c>
    </row>
    <row r="128" spans="1:2" x14ac:dyDescent="0.25">
      <c r="A128" s="14">
        <v>186</v>
      </c>
      <c r="B128" s="14">
        <v>8.5499999999999997E-4</v>
      </c>
    </row>
    <row r="129" spans="1:2" x14ac:dyDescent="0.25">
      <c r="A129" s="14">
        <v>187</v>
      </c>
      <c r="B129" s="14">
        <v>9.2599999999999996E-4</v>
      </c>
    </row>
    <row r="130" spans="1:2" x14ac:dyDescent="0.25">
      <c r="A130" s="14">
        <v>188</v>
      </c>
      <c r="B130" s="14">
        <v>1.0399999999999999E-3</v>
      </c>
    </row>
    <row r="131" spans="1:2" x14ac:dyDescent="0.25">
      <c r="A131" s="14">
        <v>189</v>
      </c>
      <c r="B131" s="14">
        <v>1.09E-3</v>
      </c>
    </row>
    <row r="132" spans="1:2" x14ac:dyDescent="0.25">
      <c r="A132" s="14">
        <v>190</v>
      </c>
      <c r="B132" s="14">
        <v>1.15E-3</v>
      </c>
    </row>
    <row r="133" spans="1:2" x14ac:dyDescent="0.25">
      <c r="A133" s="14">
        <v>191</v>
      </c>
      <c r="B133" s="14">
        <v>1.2999999999999999E-3</v>
      </c>
    </row>
    <row r="134" spans="1:2" x14ac:dyDescent="0.25">
      <c r="A134" s="14">
        <v>192</v>
      </c>
      <c r="B134" s="14">
        <v>1.34E-3</v>
      </c>
    </row>
    <row r="135" spans="1:2" x14ac:dyDescent="0.25">
      <c r="A135" s="14">
        <v>193</v>
      </c>
      <c r="B135" s="14">
        <v>1.47E-3</v>
      </c>
    </row>
    <row r="136" spans="1:2" x14ac:dyDescent="0.25">
      <c r="A136" s="14">
        <v>194</v>
      </c>
      <c r="B136" s="14">
        <v>1.57E-3</v>
      </c>
    </row>
    <row r="137" spans="1:2" x14ac:dyDescent="0.25">
      <c r="A137" s="14">
        <v>195</v>
      </c>
      <c r="B137" s="14">
        <v>1.6800000000000001E-3</v>
      </c>
    </row>
    <row r="138" spans="1:2" x14ac:dyDescent="0.25">
      <c r="A138" s="14">
        <v>196</v>
      </c>
      <c r="B138" s="14">
        <v>1.81E-3</v>
      </c>
    </row>
    <row r="139" spans="1:2" x14ac:dyDescent="0.25">
      <c r="A139" s="14">
        <v>197</v>
      </c>
      <c r="B139" s="14">
        <v>1.9400000000000001E-3</v>
      </c>
    </row>
    <row r="140" spans="1:2" x14ac:dyDescent="0.25">
      <c r="A140" s="14">
        <v>198</v>
      </c>
      <c r="B140" s="14">
        <v>2.0500000000000002E-3</v>
      </c>
    </row>
    <row r="141" spans="1:2" x14ac:dyDescent="0.25">
      <c r="A141" s="14">
        <v>199</v>
      </c>
      <c r="B141" s="14">
        <v>2.1700000000000001E-3</v>
      </c>
    </row>
    <row r="142" spans="1:2" x14ac:dyDescent="0.25">
      <c r="A142" s="14">
        <v>200</v>
      </c>
      <c r="B142" s="14">
        <v>2.33E-3</v>
      </c>
    </row>
    <row r="143" spans="1:2" x14ac:dyDescent="0.25">
      <c r="A143" s="14">
        <v>201</v>
      </c>
      <c r="B143" s="14">
        <v>2.5100000000000001E-3</v>
      </c>
    </row>
    <row r="144" spans="1:2" x14ac:dyDescent="0.25">
      <c r="A144" s="14">
        <v>202</v>
      </c>
      <c r="B144" s="14">
        <v>2.7000000000000001E-3</v>
      </c>
    </row>
    <row r="145" spans="1:2" x14ac:dyDescent="0.25">
      <c r="A145" s="14">
        <v>203</v>
      </c>
      <c r="B145" s="14">
        <v>2.7499999999999998E-3</v>
      </c>
    </row>
    <row r="146" spans="1:2" x14ac:dyDescent="0.25">
      <c r="A146" s="14">
        <v>204</v>
      </c>
      <c r="B146" s="14">
        <v>3.0200000000000001E-3</v>
      </c>
    </row>
    <row r="147" spans="1:2" x14ac:dyDescent="0.25">
      <c r="A147" s="14">
        <v>205</v>
      </c>
      <c r="B147" s="14">
        <v>3.2299999999999998E-3</v>
      </c>
    </row>
    <row r="148" spans="1:2" x14ac:dyDescent="0.25">
      <c r="A148" s="14">
        <v>206</v>
      </c>
      <c r="B148" s="14">
        <v>3.3800000000000002E-3</v>
      </c>
    </row>
    <row r="149" spans="1:2" x14ac:dyDescent="0.25">
      <c r="A149" s="14">
        <v>207</v>
      </c>
      <c r="B149" s="14">
        <v>3.5000000000000001E-3</v>
      </c>
    </row>
    <row r="150" spans="1:2" x14ac:dyDescent="0.25">
      <c r="A150" s="14">
        <v>208</v>
      </c>
      <c r="B150" s="14">
        <v>3.7299999999999998E-3</v>
      </c>
    </row>
    <row r="151" spans="1:2" x14ac:dyDescent="0.25">
      <c r="A151" s="14">
        <v>209</v>
      </c>
      <c r="B151" s="14">
        <v>3.9100000000000003E-3</v>
      </c>
    </row>
    <row r="152" spans="1:2" x14ac:dyDescent="0.25">
      <c r="A152" s="14">
        <v>210</v>
      </c>
      <c r="B152" s="14">
        <v>4.0899999999999999E-3</v>
      </c>
    </row>
    <row r="153" spans="1:2" x14ac:dyDescent="0.25">
      <c r="A153" s="14">
        <v>211</v>
      </c>
      <c r="B153" s="14">
        <v>4.3099999999999996E-3</v>
      </c>
    </row>
    <row r="154" spans="1:2" x14ac:dyDescent="0.25">
      <c r="A154" s="14">
        <v>212</v>
      </c>
      <c r="B154" s="14">
        <v>4.5700000000000003E-3</v>
      </c>
    </row>
    <row r="155" spans="1:2" x14ac:dyDescent="0.25">
      <c r="A155" s="14">
        <v>213</v>
      </c>
      <c r="B155" s="14">
        <v>4.7099999999999998E-3</v>
      </c>
    </row>
    <row r="156" spans="1:2" x14ac:dyDescent="0.25">
      <c r="A156" s="14">
        <v>214</v>
      </c>
      <c r="B156" s="14">
        <v>4.96E-3</v>
      </c>
    </row>
    <row r="157" spans="1:2" x14ac:dyDescent="0.25">
      <c r="A157" s="14">
        <v>215</v>
      </c>
      <c r="B157" s="14">
        <v>5.1799999999999997E-3</v>
      </c>
    </row>
    <row r="158" spans="1:2" x14ac:dyDescent="0.25">
      <c r="A158" s="14">
        <v>216</v>
      </c>
      <c r="B158" s="14">
        <v>5.47E-3</v>
      </c>
    </row>
    <row r="159" spans="1:2" x14ac:dyDescent="0.25">
      <c r="A159" s="14">
        <v>217</v>
      </c>
      <c r="B159" s="14">
        <v>5.6699999999999997E-3</v>
      </c>
    </row>
    <row r="160" spans="1:2" x14ac:dyDescent="0.25">
      <c r="A160" s="14">
        <v>218</v>
      </c>
      <c r="B160" s="14">
        <v>5.9300000000000004E-3</v>
      </c>
    </row>
    <row r="161" spans="1:2" x14ac:dyDescent="0.25">
      <c r="A161" s="14">
        <v>219</v>
      </c>
      <c r="B161" s="14">
        <v>6.0899999999999999E-3</v>
      </c>
    </row>
    <row r="162" spans="1:2" x14ac:dyDescent="0.25">
      <c r="A162" s="14">
        <v>220</v>
      </c>
      <c r="B162" s="14">
        <v>6.3200000000000001E-3</v>
      </c>
    </row>
    <row r="163" spans="1:2" x14ac:dyDescent="0.25">
      <c r="A163" s="14">
        <v>221</v>
      </c>
      <c r="B163" s="14">
        <v>6.7000000000000002E-3</v>
      </c>
    </row>
    <row r="164" spans="1:2" x14ac:dyDescent="0.25">
      <c r="A164" s="14">
        <v>222</v>
      </c>
      <c r="B164" s="14">
        <v>6.8799999999999998E-3</v>
      </c>
    </row>
    <row r="165" spans="1:2" x14ac:dyDescent="0.25">
      <c r="A165" s="14">
        <v>223</v>
      </c>
      <c r="B165" s="14">
        <v>7.1000000000000004E-3</v>
      </c>
    </row>
    <row r="166" spans="1:2" x14ac:dyDescent="0.25">
      <c r="A166" s="14">
        <v>224</v>
      </c>
      <c r="B166" s="14">
        <v>7.3000000000000001E-3</v>
      </c>
    </row>
    <row r="167" spans="1:2" x14ac:dyDescent="0.25">
      <c r="A167" s="14">
        <v>225</v>
      </c>
      <c r="B167" s="14">
        <v>7.6499999999999997E-3</v>
      </c>
    </row>
    <row r="168" spans="1:2" x14ac:dyDescent="0.25">
      <c r="A168" s="14">
        <v>226</v>
      </c>
      <c r="B168" s="14">
        <v>7.8300000000000002E-3</v>
      </c>
    </row>
    <row r="169" spans="1:2" x14ac:dyDescent="0.25">
      <c r="A169" s="14">
        <v>227</v>
      </c>
      <c r="B169" s="14">
        <v>8.1300000000000001E-3</v>
      </c>
    </row>
    <row r="170" spans="1:2" x14ac:dyDescent="0.25">
      <c r="A170" s="14">
        <v>228</v>
      </c>
      <c r="B170" s="14">
        <v>8.3999999999999995E-3</v>
      </c>
    </row>
    <row r="171" spans="1:2" x14ac:dyDescent="0.25">
      <c r="A171" s="14">
        <v>229</v>
      </c>
      <c r="B171" s="14">
        <v>8.6400000000000001E-3</v>
      </c>
    </row>
    <row r="172" spans="1:2" x14ac:dyDescent="0.25">
      <c r="A172" s="14">
        <v>230</v>
      </c>
      <c r="B172" s="14">
        <v>8.8400000000000006E-3</v>
      </c>
    </row>
    <row r="173" spans="1:2" x14ac:dyDescent="0.25">
      <c r="A173" s="14">
        <v>231</v>
      </c>
      <c r="B173" s="14">
        <v>9.1599999999999997E-3</v>
      </c>
    </row>
    <row r="174" spans="1:2" x14ac:dyDescent="0.25">
      <c r="A174" s="14">
        <v>232</v>
      </c>
      <c r="B174" s="14">
        <v>9.4599999999999997E-3</v>
      </c>
    </row>
    <row r="175" spans="1:2" x14ac:dyDescent="0.25">
      <c r="A175" s="14">
        <v>233</v>
      </c>
      <c r="B175" s="14">
        <v>9.6799999999999994E-3</v>
      </c>
    </row>
    <row r="176" spans="1:2" x14ac:dyDescent="0.25">
      <c r="A176" s="14">
        <v>234</v>
      </c>
      <c r="B176" s="14">
        <v>9.9600000000000001E-3</v>
      </c>
    </row>
    <row r="177" spans="1:2" x14ac:dyDescent="0.25">
      <c r="A177" s="14">
        <v>235</v>
      </c>
      <c r="B177" s="14">
        <v>1.0200000000000001E-2</v>
      </c>
    </row>
    <row r="178" spans="1:2" x14ac:dyDescent="0.25">
      <c r="A178" s="14">
        <v>236</v>
      </c>
      <c r="B178" s="14">
        <v>1.04E-2</v>
      </c>
    </row>
    <row r="179" spans="1:2" x14ac:dyDescent="0.25">
      <c r="A179" s="14">
        <v>237</v>
      </c>
      <c r="B179" s="14">
        <v>1.0699999999999999E-2</v>
      </c>
    </row>
    <row r="180" spans="1:2" x14ac:dyDescent="0.25">
      <c r="A180" s="14">
        <v>238</v>
      </c>
      <c r="B180" s="14">
        <v>1.09E-2</v>
      </c>
    </row>
    <row r="181" spans="1:2" x14ac:dyDescent="0.25">
      <c r="A181" s="14">
        <v>239</v>
      </c>
      <c r="B181" s="14">
        <v>1.11E-2</v>
      </c>
    </row>
    <row r="182" spans="1:2" x14ac:dyDescent="0.25">
      <c r="A182" s="14">
        <v>240</v>
      </c>
      <c r="B182" s="14">
        <v>1.15E-2</v>
      </c>
    </row>
    <row r="183" spans="1:2" x14ac:dyDescent="0.25">
      <c r="A183" s="14">
        <v>241</v>
      </c>
      <c r="B183" s="14">
        <v>1.1599999999999999E-2</v>
      </c>
    </row>
    <row r="184" spans="1:2" x14ac:dyDescent="0.25">
      <c r="A184" s="14">
        <v>242</v>
      </c>
      <c r="B184" s="14">
        <v>1.2E-2</v>
      </c>
    </row>
    <row r="185" spans="1:2" x14ac:dyDescent="0.25">
      <c r="A185" s="14">
        <v>243</v>
      </c>
      <c r="B185" s="14">
        <v>1.2200000000000001E-2</v>
      </c>
    </row>
    <row r="186" spans="1:2" x14ac:dyDescent="0.25">
      <c r="A186" s="14">
        <v>244</v>
      </c>
      <c r="B186" s="14">
        <v>1.24E-2</v>
      </c>
    </row>
    <row r="187" spans="1:2" x14ac:dyDescent="0.25">
      <c r="A187" s="14">
        <v>245</v>
      </c>
      <c r="B187" s="14">
        <v>1.2699999999999999E-2</v>
      </c>
    </row>
    <row r="188" spans="1:2" x14ac:dyDescent="0.25">
      <c r="A188" s="14">
        <v>246</v>
      </c>
      <c r="B188" s="14">
        <v>1.2800000000000001E-2</v>
      </c>
    </row>
    <row r="189" spans="1:2" x14ac:dyDescent="0.25">
      <c r="A189" s="14">
        <v>247</v>
      </c>
      <c r="B189" s="14">
        <v>1.2999999999999999E-2</v>
      </c>
    </row>
    <row r="190" spans="1:2" x14ac:dyDescent="0.25">
      <c r="A190" s="14">
        <v>248</v>
      </c>
      <c r="B190" s="14">
        <v>1.34E-2</v>
      </c>
    </row>
    <row r="191" spans="1:2" x14ac:dyDescent="0.25">
      <c r="A191" s="14">
        <v>249</v>
      </c>
      <c r="B191" s="14">
        <v>1.3599999999999999E-2</v>
      </c>
    </row>
    <row r="192" spans="1:2" x14ac:dyDescent="0.25">
      <c r="A192" s="14">
        <v>250</v>
      </c>
      <c r="B192" s="14">
        <v>1.3599999999999999E-2</v>
      </c>
    </row>
    <row r="193" spans="1:2" x14ac:dyDescent="0.25">
      <c r="A193" s="14">
        <v>251</v>
      </c>
      <c r="B193" s="14">
        <v>1.38E-2</v>
      </c>
    </row>
    <row r="194" spans="1:2" x14ac:dyDescent="0.25">
      <c r="A194" s="14">
        <v>252</v>
      </c>
      <c r="B194" s="14">
        <v>1.41E-2</v>
      </c>
    </row>
    <row r="195" spans="1:2" x14ac:dyDescent="0.25">
      <c r="A195" s="14">
        <v>253</v>
      </c>
      <c r="B195" s="14">
        <v>1.4200000000000001E-2</v>
      </c>
    </row>
    <row r="196" spans="1:2" x14ac:dyDescent="0.25">
      <c r="A196" s="14">
        <v>254</v>
      </c>
      <c r="B196" s="14">
        <v>1.43E-2</v>
      </c>
    </row>
    <row r="197" spans="1:2" x14ac:dyDescent="0.25">
      <c r="A197" s="14">
        <v>255</v>
      </c>
      <c r="B197" s="14">
        <v>1.44E-2</v>
      </c>
    </row>
    <row r="198" spans="1:2" x14ac:dyDescent="0.25">
      <c r="A198" s="14">
        <v>256</v>
      </c>
      <c r="B198" s="14">
        <v>1.46E-2</v>
      </c>
    </row>
    <row r="199" spans="1:2" x14ac:dyDescent="0.25">
      <c r="A199" s="14">
        <v>257</v>
      </c>
      <c r="B199" s="14">
        <v>1.4999999999999999E-2</v>
      </c>
    </row>
    <row r="200" spans="1:2" x14ac:dyDescent="0.25">
      <c r="A200" s="14">
        <v>258</v>
      </c>
      <c r="B200" s="14">
        <v>1.49E-2</v>
      </c>
    </row>
    <row r="201" spans="1:2" x14ac:dyDescent="0.25">
      <c r="A201" s="14">
        <v>259</v>
      </c>
      <c r="B201" s="14">
        <v>1.5100000000000001E-2</v>
      </c>
    </row>
    <row r="202" spans="1:2" x14ac:dyDescent="0.25">
      <c r="A202" s="14">
        <v>260</v>
      </c>
      <c r="B202" s="14">
        <v>1.5100000000000001E-2</v>
      </c>
    </row>
    <row r="203" spans="1:2" x14ac:dyDescent="0.25">
      <c r="A203" s="14">
        <v>261</v>
      </c>
      <c r="B203" s="14">
        <v>1.52E-2</v>
      </c>
    </row>
    <row r="204" spans="1:2" x14ac:dyDescent="0.25">
      <c r="A204" s="14">
        <v>262</v>
      </c>
      <c r="B204" s="14">
        <v>1.4999999999999999E-2</v>
      </c>
    </row>
    <row r="205" spans="1:2" x14ac:dyDescent="0.25">
      <c r="A205" s="14">
        <v>263</v>
      </c>
      <c r="B205" s="14">
        <v>1.5299999999999999E-2</v>
      </c>
    </row>
    <row r="206" spans="1:2" x14ac:dyDescent="0.25">
      <c r="A206" s="14">
        <v>264</v>
      </c>
      <c r="B206" s="14">
        <v>1.5299999999999999E-2</v>
      </c>
    </row>
    <row r="207" spans="1:2" x14ac:dyDescent="0.25">
      <c r="A207" s="14">
        <v>265</v>
      </c>
      <c r="B207" s="14">
        <v>1.5100000000000001E-2</v>
      </c>
    </row>
    <row r="208" spans="1:2" x14ac:dyDescent="0.25">
      <c r="A208" s="14">
        <v>266</v>
      </c>
      <c r="B208" s="14">
        <v>1.52E-2</v>
      </c>
    </row>
    <row r="209" spans="1:2" x14ac:dyDescent="0.25">
      <c r="A209" s="14">
        <v>267</v>
      </c>
      <c r="B209" s="14">
        <v>1.5100000000000001E-2</v>
      </c>
    </row>
    <row r="210" spans="1:2" x14ac:dyDescent="0.25">
      <c r="A210" s="14">
        <v>268</v>
      </c>
      <c r="B210" s="14">
        <v>1.5100000000000001E-2</v>
      </c>
    </row>
    <row r="211" spans="1:2" x14ac:dyDescent="0.25">
      <c r="A211" s="14">
        <v>269</v>
      </c>
      <c r="B211" s="14">
        <v>1.4999999999999999E-2</v>
      </c>
    </row>
    <row r="212" spans="1:2" x14ac:dyDescent="0.25">
      <c r="A212" s="14">
        <v>270</v>
      </c>
      <c r="B212" s="14">
        <v>1.49E-2</v>
      </c>
    </row>
    <row r="213" spans="1:2" x14ac:dyDescent="0.25">
      <c r="A213" s="14">
        <v>271</v>
      </c>
      <c r="B213" s="14">
        <v>1.47E-2</v>
      </c>
    </row>
    <row r="214" spans="1:2" x14ac:dyDescent="0.25">
      <c r="A214" s="14">
        <v>272</v>
      </c>
      <c r="B214" s="14">
        <v>1.49E-2</v>
      </c>
    </row>
    <row r="215" spans="1:2" x14ac:dyDescent="0.25">
      <c r="A215" s="14">
        <v>273</v>
      </c>
      <c r="B215" s="14">
        <v>1.4500000000000001E-2</v>
      </c>
    </row>
    <row r="216" spans="1:2" x14ac:dyDescent="0.25">
      <c r="A216" s="14">
        <v>274</v>
      </c>
      <c r="B216" s="14">
        <v>1.43E-2</v>
      </c>
    </row>
    <row r="217" spans="1:2" x14ac:dyDescent="0.25">
      <c r="A217" s="14">
        <v>275</v>
      </c>
      <c r="B217" s="14">
        <v>1.4200000000000001E-2</v>
      </c>
    </row>
    <row r="218" spans="1:2" x14ac:dyDescent="0.25">
      <c r="A218" s="14">
        <v>276</v>
      </c>
      <c r="B218" s="14">
        <v>1.37E-2</v>
      </c>
    </row>
    <row r="219" spans="1:2" x14ac:dyDescent="0.25">
      <c r="A219" s="14">
        <v>277</v>
      </c>
      <c r="B219" s="14">
        <v>1.38E-2</v>
      </c>
    </row>
    <row r="220" spans="1:2" x14ac:dyDescent="0.25">
      <c r="A220" s="14">
        <v>278</v>
      </c>
      <c r="B220" s="14">
        <v>1.35E-2</v>
      </c>
    </row>
    <row r="221" spans="1:2" x14ac:dyDescent="0.25">
      <c r="A221" s="14">
        <v>279</v>
      </c>
      <c r="B221" s="14">
        <v>1.2999999999999999E-2</v>
      </c>
    </row>
    <row r="222" spans="1:2" x14ac:dyDescent="0.25">
      <c r="A222" s="14">
        <v>280</v>
      </c>
      <c r="B222" s="14">
        <v>1.26E-2</v>
      </c>
    </row>
    <row r="223" spans="1:2" x14ac:dyDescent="0.25">
      <c r="A223" s="14">
        <v>281</v>
      </c>
      <c r="B223" s="14">
        <v>1.24E-2</v>
      </c>
    </row>
    <row r="224" spans="1:2" x14ac:dyDescent="0.25">
      <c r="A224" s="14">
        <v>282</v>
      </c>
      <c r="B224" s="14">
        <v>1.18E-2</v>
      </c>
    </row>
    <row r="225" spans="1:2" x14ac:dyDescent="0.25">
      <c r="A225" s="14">
        <v>283</v>
      </c>
      <c r="B225" s="14">
        <v>1.15E-2</v>
      </c>
    </row>
    <row r="226" spans="1:2" x14ac:dyDescent="0.25">
      <c r="A226" s="14">
        <v>284</v>
      </c>
      <c r="B226" s="14">
        <v>1.0999999999999999E-2</v>
      </c>
    </row>
    <row r="227" spans="1:2" x14ac:dyDescent="0.25">
      <c r="A227" s="14">
        <v>285</v>
      </c>
      <c r="B227" s="14">
        <v>1.0500000000000001E-2</v>
      </c>
    </row>
    <row r="228" spans="1:2" x14ac:dyDescent="0.25">
      <c r="A228" s="14">
        <v>286</v>
      </c>
      <c r="B228" s="14">
        <v>0.01</v>
      </c>
    </row>
    <row r="229" spans="1:2" x14ac:dyDescent="0.25">
      <c r="A229" s="14">
        <v>287</v>
      </c>
      <c r="B229" s="14">
        <v>9.2499999999999995E-3</v>
      </c>
    </row>
    <row r="230" spans="1:2" x14ac:dyDescent="0.25">
      <c r="A230" s="14">
        <v>288</v>
      </c>
      <c r="B230" s="14">
        <v>8.6499999999999997E-3</v>
      </c>
    </row>
    <row r="231" spans="1:2" x14ac:dyDescent="0.25">
      <c r="A231" s="14">
        <v>289</v>
      </c>
      <c r="B231" s="14">
        <v>8.1200000000000005E-3</v>
      </c>
    </row>
    <row r="232" spans="1:2" x14ac:dyDescent="0.25">
      <c r="A232" s="14">
        <v>290</v>
      </c>
      <c r="B232" s="14">
        <v>7.4400000000000004E-3</v>
      </c>
    </row>
    <row r="233" spans="1:2" x14ac:dyDescent="0.25">
      <c r="A233" s="14">
        <v>291</v>
      </c>
      <c r="B233" s="14">
        <v>6.7999999999999996E-3</v>
      </c>
    </row>
    <row r="234" spans="1:2" x14ac:dyDescent="0.25">
      <c r="A234" s="14">
        <v>292</v>
      </c>
      <c r="B234" s="14">
        <v>6.1700000000000001E-3</v>
      </c>
    </row>
    <row r="235" spans="1:2" x14ac:dyDescent="0.25">
      <c r="A235" s="14">
        <v>293</v>
      </c>
      <c r="B235" s="14">
        <v>5.2599999999999999E-3</v>
      </c>
    </row>
    <row r="236" spans="1:2" x14ac:dyDescent="0.25">
      <c r="A236" s="14">
        <v>294</v>
      </c>
      <c r="B236" s="14">
        <v>4.6100000000000004E-3</v>
      </c>
    </row>
    <row r="237" spans="1:2" x14ac:dyDescent="0.25">
      <c r="A237" s="14">
        <v>295</v>
      </c>
      <c r="B237" s="14">
        <v>3.79E-3</v>
      </c>
    </row>
    <row r="238" spans="1:2" x14ac:dyDescent="0.25">
      <c r="A238" s="14">
        <v>296</v>
      </c>
      <c r="B238" s="14">
        <v>3.1199999999999999E-3</v>
      </c>
    </row>
    <row r="239" spans="1:2" x14ac:dyDescent="0.25">
      <c r="A239" s="14">
        <v>297</v>
      </c>
      <c r="B239" s="14">
        <v>2.1800000000000001E-3</v>
      </c>
    </row>
    <row r="240" spans="1:2" x14ac:dyDescent="0.25">
      <c r="A240" s="14">
        <v>298</v>
      </c>
      <c r="B240" s="14">
        <v>1.42E-3</v>
      </c>
    </row>
    <row r="241" spans="1:2" x14ac:dyDescent="0.25">
      <c r="A241" s="14">
        <v>299</v>
      </c>
      <c r="B241" s="14">
        <v>6.7100000000000005E-4</v>
      </c>
    </row>
    <row r="242" spans="1:2" x14ac:dyDescent="0.25">
      <c r="A242" s="14">
        <v>300</v>
      </c>
      <c r="B242" s="14">
        <v>8.6600000000000004E-5</v>
      </c>
    </row>
    <row r="243" spans="1:2" x14ac:dyDescent="0.25">
      <c r="A243" s="14">
        <v>301</v>
      </c>
      <c r="B243" s="14">
        <v>3.7799999999999998E-6</v>
      </c>
    </row>
    <row r="244" spans="1:2" x14ac:dyDescent="0.25">
      <c r="A244" s="14">
        <v>302</v>
      </c>
      <c r="B244" s="14">
        <v>8.8999999999999995E-6</v>
      </c>
    </row>
  </sheetData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12"/>
  <dimension ref="A3:P22"/>
  <sheetViews>
    <sheetView zoomScale="80" zoomScaleNormal="80" workbookViewId="0">
      <selection activeCell="L50" sqref="L50"/>
    </sheetView>
  </sheetViews>
  <sheetFormatPr defaultRowHeight="15" x14ac:dyDescent="0.25"/>
  <cols>
    <col min="1" max="1" width="36.5703125" style="4" customWidth="1"/>
    <col min="2" max="2" width="28.42578125" style="29" customWidth="1"/>
    <col min="3" max="3" width="23.5703125" style="29" customWidth="1"/>
    <col min="4" max="4" width="16.85546875" style="4" customWidth="1"/>
    <col min="5" max="5" width="17.28515625" style="4" customWidth="1"/>
    <col min="6" max="6" width="27" style="4" customWidth="1"/>
    <col min="7" max="7" width="22.5703125" style="4" customWidth="1"/>
    <col min="8" max="8" width="24.85546875" style="4" customWidth="1"/>
    <col min="9" max="9" width="25.7109375" style="4" customWidth="1"/>
    <col min="10" max="10" width="15.42578125" style="4" customWidth="1"/>
    <col min="11" max="11" width="18.85546875" style="4" customWidth="1"/>
    <col min="12" max="12" width="35.28515625" style="4" customWidth="1"/>
    <col min="13" max="13" width="20.7109375" style="4" customWidth="1"/>
    <col min="14" max="14" width="23.5703125" style="4" customWidth="1"/>
    <col min="15" max="15" width="21.28515625" style="4" customWidth="1"/>
    <col min="16" max="16" width="24.85546875" style="4" customWidth="1"/>
    <col min="17" max="16384" width="9.140625" style="4"/>
  </cols>
  <sheetData>
    <row r="3" spans="1:16" s="3" customFormat="1" x14ac:dyDescent="0.25">
      <c r="A3" s="3" t="s">
        <v>46</v>
      </c>
      <c r="B3" s="3" t="s">
        <v>47</v>
      </c>
      <c r="C3" s="3" t="s">
        <v>49</v>
      </c>
      <c r="D3" s="3" t="s">
        <v>51</v>
      </c>
      <c r="E3" s="3" t="s">
        <v>52</v>
      </c>
      <c r="F3" s="3" t="s">
        <v>53</v>
      </c>
      <c r="G3" s="3" t="s">
        <v>100</v>
      </c>
      <c r="H3" s="3" t="s">
        <v>54</v>
      </c>
      <c r="I3" s="3" t="s">
        <v>55</v>
      </c>
      <c r="J3" s="3" t="s">
        <v>56</v>
      </c>
      <c r="K3" s="3" t="s">
        <v>83</v>
      </c>
      <c r="L3" s="3" t="s">
        <v>142</v>
      </c>
      <c r="M3" s="3" t="s">
        <v>120</v>
      </c>
      <c r="N3" s="3" t="s">
        <v>128</v>
      </c>
      <c r="O3" s="3" t="s">
        <v>141</v>
      </c>
      <c r="P3" s="3" t="s">
        <v>139</v>
      </c>
    </row>
    <row r="4" spans="1:16" x14ac:dyDescent="0.25">
      <c r="A4" s="4" t="s">
        <v>131</v>
      </c>
      <c r="B4" s="29" t="s">
        <v>57</v>
      </c>
      <c r="C4" s="29" t="s">
        <v>57</v>
      </c>
      <c r="D4" s="4" t="s">
        <v>23</v>
      </c>
      <c r="E4" s="4" t="s">
        <v>35</v>
      </c>
      <c r="F4" s="4" t="s">
        <v>63</v>
      </c>
      <c r="G4" s="4" t="s">
        <v>74</v>
      </c>
      <c r="H4" s="4" t="s">
        <v>101</v>
      </c>
      <c r="I4" s="4" t="s">
        <v>132</v>
      </c>
      <c r="J4" s="4" t="s">
        <v>57</v>
      </c>
      <c r="K4" s="4" t="s">
        <v>85</v>
      </c>
      <c r="L4" s="4" t="s">
        <v>146</v>
      </c>
      <c r="M4" s="4" t="s">
        <v>121</v>
      </c>
      <c r="N4" s="29" t="s">
        <v>120</v>
      </c>
      <c r="O4" s="4" t="s">
        <v>157</v>
      </c>
      <c r="P4" s="29" t="s">
        <v>143</v>
      </c>
    </row>
    <row r="5" spans="1:16" x14ac:dyDescent="0.25">
      <c r="A5" s="4" t="s">
        <v>129</v>
      </c>
      <c r="B5" s="29" t="s">
        <v>58</v>
      </c>
      <c r="C5" s="29" t="s">
        <v>58</v>
      </c>
      <c r="D5" s="4" t="s">
        <v>21</v>
      </c>
      <c r="E5" s="4" t="s">
        <v>36</v>
      </c>
      <c r="F5" s="4" t="s">
        <v>64</v>
      </c>
      <c r="G5" s="4" t="s">
        <v>75</v>
      </c>
      <c r="H5" s="4" t="s">
        <v>102</v>
      </c>
      <c r="I5" s="4" t="s">
        <v>133</v>
      </c>
      <c r="K5" s="4" t="s">
        <v>86</v>
      </c>
      <c r="L5" s="4" t="s">
        <v>147</v>
      </c>
      <c r="M5" s="4" t="s">
        <v>122</v>
      </c>
      <c r="O5" s="4" t="s">
        <v>156</v>
      </c>
      <c r="P5" s="29" t="s">
        <v>142</v>
      </c>
    </row>
    <row r="6" spans="1:16" x14ac:dyDescent="0.25">
      <c r="A6" s="4" t="s">
        <v>130</v>
      </c>
      <c r="B6" s="29" t="s">
        <v>59</v>
      </c>
      <c r="C6" s="29" t="s">
        <v>59</v>
      </c>
      <c r="D6" s="4" t="s">
        <v>22</v>
      </c>
      <c r="E6" s="4" t="s">
        <v>37</v>
      </c>
      <c r="F6" s="4" t="s">
        <v>65</v>
      </c>
      <c r="G6" s="4" t="s">
        <v>76</v>
      </c>
      <c r="H6" s="4" t="s">
        <v>103</v>
      </c>
      <c r="I6" s="4" t="s">
        <v>134</v>
      </c>
      <c r="K6" s="4" t="s">
        <v>87</v>
      </c>
      <c r="L6" s="4" t="s">
        <v>148</v>
      </c>
      <c r="M6" s="4" t="s">
        <v>123</v>
      </c>
      <c r="O6" s="4" t="s">
        <v>138</v>
      </c>
    </row>
    <row r="7" spans="1:16" x14ac:dyDescent="0.25">
      <c r="B7" s="29" t="s">
        <v>60</v>
      </c>
      <c r="C7" s="29" t="s">
        <v>60</v>
      </c>
      <c r="D7" s="4" t="s">
        <v>24</v>
      </c>
      <c r="E7" s="4" t="s">
        <v>38</v>
      </c>
      <c r="F7" s="4" t="s">
        <v>66</v>
      </c>
      <c r="G7" s="4" t="s">
        <v>77</v>
      </c>
      <c r="H7" s="4" t="s">
        <v>104</v>
      </c>
      <c r="I7" s="4" t="s">
        <v>135</v>
      </c>
      <c r="K7" s="4" t="s">
        <v>88</v>
      </c>
      <c r="L7" s="4" t="s">
        <v>144</v>
      </c>
      <c r="M7" s="4" t="s">
        <v>124</v>
      </c>
    </row>
    <row r="8" spans="1:16" x14ac:dyDescent="0.25">
      <c r="B8" s="29" t="s">
        <v>99</v>
      </c>
      <c r="C8" s="29" t="s">
        <v>99</v>
      </c>
      <c r="D8" s="4" t="s">
        <v>25</v>
      </c>
      <c r="E8" s="4" t="s">
        <v>39</v>
      </c>
      <c r="F8" s="4" t="s">
        <v>67</v>
      </c>
      <c r="G8" s="4" t="s">
        <v>78</v>
      </c>
      <c r="H8" s="4" t="s">
        <v>105</v>
      </c>
      <c r="I8" s="4" t="s">
        <v>136</v>
      </c>
      <c r="K8" s="4" t="s">
        <v>89</v>
      </c>
      <c r="L8" s="4" t="s">
        <v>145</v>
      </c>
      <c r="M8" s="4" t="s">
        <v>125</v>
      </c>
    </row>
    <row r="9" spans="1:16" x14ac:dyDescent="0.25">
      <c r="B9" s="29" t="s">
        <v>83</v>
      </c>
      <c r="C9" s="29" t="s">
        <v>83</v>
      </c>
      <c r="D9" s="4" t="s">
        <v>26</v>
      </c>
      <c r="E9" s="4" t="s">
        <v>40</v>
      </c>
      <c r="F9" s="4" t="s">
        <v>68</v>
      </c>
      <c r="G9" s="4" t="s">
        <v>79</v>
      </c>
      <c r="H9" s="4" t="s">
        <v>106</v>
      </c>
      <c r="I9" s="4" t="s">
        <v>137</v>
      </c>
      <c r="K9" s="4" t="s">
        <v>90</v>
      </c>
      <c r="L9" s="4" t="s">
        <v>162</v>
      </c>
      <c r="M9" s="4" t="s">
        <v>126</v>
      </c>
    </row>
    <row r="10" spans="1:16" x14ac:dyDescent="0.25">
      <c r="B10" s="29" t="s">
        <v>61</v>
      </c>
      <c r="D10" s="4" t="s">
        <v>27</v>
      </c>
      <c r="E10" s="4" t="s">
        <v>41</v>
      </c>
      <c r="F10" s="4" t="s">
        <v>69</v>
      </c>
      <c r="G10" s="4" t="s">
        <v>80</v>
      </c>
      <c r="H10" s="4" t="s">
        <v>107</v>
      </c>
      <c r="K10" s="4" t="s">
        <v>91</v>
      </c>
      <c r="L10" s="4" t="s">
        <v>158</v>
      </c>
      <c r="M10" s="4" t="s">
        <v>127</v>
      </c>
    </row>
    <row r="11" spans="1:16" x14ac:dyDescent="0.25">
      <c r="B11" s="29" t="s">
        <v>62</v>
      </c>
      <c r="D11" s="4" t="s">
        <v>28</v>
      </c>
      <c r="E11" s="4" t="s">
        <v>42</v>
      </c>
      <c r="F11" s="4" t="s">
        <v>70</v>
      </c>
      <c r="G11" s="4" t="s">
        <v>81</v>
      </c>
      <c r="H11" s="4" t="s">
        <v>108</v>
      </c>
      <c r="K11" s="4" t="s">
        <v>92</v>
      </c>
      <c r="L11" s="4" t="s">
        <v>161</v>
      </c>
    </row>
    <row r="12" spans="1:16" x14ac:dyDescent="0.25">
      <c r="D12" s="4" t="s">
        <v>29</v>
      </c>
      <c r="E12" s="4" t="s">
        <v>43</v>
      </c>
      <c r="F12" s="4" t="s">
        <v>71</v>
      </c>
      <c r="G12" s="4" t="s">
        <v>82</v>
      </c>
      <c r="H12" s="4" t="s">
        <v>109</v>
      </c>
      <c r="K12" s="4" t="s">
        <v>93</v>
      </c>
      <c r="L12" s="4" t="s">
        <v>163</v>
      </c>
    </row>
    <row r="13" spans="1:16" x14ac:dyDescent="0.25">
      <c r="D13" s="4" t="s">
        <v>30</v>
      </c>
      <c r="E13" s="4" t="s">
        <v>45</v>
      </c>
      <c r="F13" s="4" t="s">
        <v>72</v>
      </c>
      <c r="H13" s="4" t="s">
        <v>110</v>
      </c>
      <c r="K13" s="4" t="s">
        <v>94</v>
      </c>
      <c r="L13" s="4" t="s">
        <v>165</v>
      </c>
    </row>
    <row r="14" spans="1:16" x14ac:dyDescent="0.25">
      <c r="D14" s="4" t="s">
        <v>31</v>
      </c>
      <c r="E14" s="4" t="s">
        <v>44</v>
      </c>
      <c r="F14" s="4" t="s">
        <v>73</v>
      </c>
      <c r="H14" s="4" t="s">
        <v>111</v>
      </c>
      <c r="K14" s="4" t="s">
        <v>95</v>
      </c>
    </row>
    <row r="15" spans="1:16" x14ac:dyDescent="0.25">
      <c r="D15" s="4" t="s">
        <v>32</v>
      </c>
      <c r="H15" s="4" t="s">
        <v>112</v>
      </c>
      <c r="K15" s="4" t="s">
        <v>96</v>
      </c>
    </row>
    <row r="16" spans="1:16" x14ac:dyDescent="0.25">
      <c r="D16" s="4" t="s">
        <v>33</v>
      </c>
      <c r="H16" s="4" t="s">
        <v>113</v>
      </c>
      <c r="K16" s="4" t="s">
        <v>97</v>
      </c>
    </row>
    <row r="17" spans="4:11" x14ac:dyDescent="0.25">
      <c r="D17" s="4" t="s">
        <v>34</v>
      </c>
      <c r="H17" s="4" t="s">
        <v>114</v>
      </c>
      <c r="K17" s="4" t="s">
        <v>98</v>
      </c>
    </row>
    <row r="18" spans="4:11" x14ac:dyDescent="0.25">
      <c r="H18" s="4" t="s">
        <v>115</v>
      </c>
      <c r="K18" s="4" t="s">
        <v>84</v>
      </c>
    </row>
    <row r="19" spans="4:11" x14ac:dyDescent="0.25">
      <c r="H19" s="4" t="s">
        <v>116</v>
      </c>
    </row>
    <row r="20" spans="4:11" x14ac:dyDescent="0.25">
      <c r="H20" s="4" t="s">
        <v>117</v>
      </c>
    </row>
    <row r="21" spans="4:11" x14ac:dyDescent="0.25">
      <c r="H21" s="4" t="s">
        <v>118</v>
      </c>
    </row>
    <row r="22" spans="4:11" x14ac:dyDescent="0.25">
      <c r="H22" s="4" t="s">
        <v>119</v>
      </c>
    </row>
  </sheetData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1:B61"/>
  <sheetViews>
    <sheetView workbookViewId="0">
      <selection activeCell="E1" sqref="E1:E1048576"/>
    </sheetView>
  </sheetViews>
  <sheetFormatPr defaultRowHeight="15" x14ac:dyDescent="0.25"/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2.0699999999999998E-3</v>
      </c>
    </row>
    <row r="3" spans="1:2" x14ac:dyDescent="0.25">
      <c r="A3" s="18">
        <v>5.2</v>
      </c>
      <c r="B3" s="18">
        <v>1.09E-3</v>
      </c>
    </row>
    <row r="4" spans="1:2" x14ac:dyDescent="0.25">
      <c r="A4" s="18">
        <v>5.4</v>
      </c>
      <c r="B4" s="18">
        <v>6.4300000000000002E-4</v>
      </c>
    </row>
    <row r="5" spans="1:2" x14ac:dyDescent="0.25">
      <c r="A5" s="18">
        <v>5.6</v>
      </c>
      <c r="B5" s="18">
        <v>5.04E-4</v>
      </c>
    </row>
    <row r="6" spans="1:2" x14ac:dyDescent="0.25">
      <c r="A6" s="18">
        <v>5.8</v>
      </c>
      <c r="B6" s="18">
        <v>5.3799999999999996E-4</v>
      </c>
    </row>
    <row r="7" spans="1:2" x14ac:dyDescent="0.25">
      <c r="A7" s="18">
        <v>6</v>
      </c>
      <c r="B7" s="18">
        <v>6.3199999999999997E-4</v>
      </c>
    </row>
    <row r="8" spans="1:2" x14ac:dyDescent="0.25">
      <c r="A8" s="18">
        <v>6.2</v>
      </c>
      <c r="B8" s="18">
        <v>9.0399999999999996E-4</v>
      </c>
    </row>
    <row r="9" spans="1:2" x14ac:dyDescent="0.25">
      <c r="A9" s="18">
        <v>6.4</v>
      </c>
      <c r="B9" s="18">
        <v>1.64E-3</v>
      </c>
    </row>
    <row r="10" spans="1:2" x14ac:dyDescent="0.25">
      <c r="A10" s="18">
        <v>6.6</v>
      </c>
      <c r="B10" s="18">
        <v>2.2100000000000002E-3</v>
      </c>
    </row>
    <row r="11" spans="1:2" x14ac:dyDescent="0.25">
      <c r="A11" s="18">
        <v>6.8</v>
      </c>
      <c r="B11" s="18">
        <v>2.8900000000000002E-3</v>
      </c>
    </row>
    <row r="12" spans="1:2" x14ac:dyDescent="0.25">
      <c r="A12" s="18">
        <v>7</v>
      </c>
      <c r="B12" s="18">
        <v>4.1200000000000004E-3</v>
      </c>
    </row>
    <row r="13" spans="1:2" x14ac:dyDescent="0.25">
      <c r="A13" s="18">
        <v>7.2</v>
      </c>
      <c r="B13" s="18">
        <v>5.79E-3</v>
      </c>
    </row>
    <row r="14" spans="1:2" x14ac:dyDescent="0.25">
      <c r="A14" s="18">
        <v>7.4</v>
      </c>
      <c r="B14" s="18">
        <v>8.3899999999999999E-3</v>
      </c>
    </row>
    <row r="15" spans="1:2" x14ac:dyDescent="0.25">
      <c r="A15" s="18">
        <v>7.6</v>
      </c>
      <c r="B15" s="18">
        <v>9.1800000000000007E-3</v>
      </c>
    </row>
    <row r="16" spans="1:2" x14ac:dyDescent="0.25">
      <c r="A16" s="18">
        <v>7.8</v>
      </c>
      <c r="B16" s="18">
        <v>1.15E-2</v>
      </c>
    </row>
    <row r="17" spans="1:2" x14ac:dyDescent="0.25">
      <c r="A17" s="18">
        <v>8</v>
      </c>
      <c r="B17" s="18">
        <v>1.1900000000000001E-2</v>
      </c>
    </row>
    <row r="18" spans="1:2" x14ac:dyDescent="0.25">
      <c r="A18" s="18">
        <v>8.1999999999999993</v>
      </c>
      <c r="B18" s="18">
        <v>2.7900000000000001E-2</v>
      </c>
    </row>
    <row r="19" spans="1:2" x14ac:dyDescent="0.25">
      <c r="A19" s="18">
        <v>8.4</v>
      </c>
      <c r="B19" s="18">
        <v>8.7400000000000005E-2</v>
      </c>
    </row>
    <row r="20" spans="1:2" x14ac:dyDescent="0.25">
      <c r="A20" s="18">
        <v>8.6</v>
      </c>
      <c r="B20" s="18">
        <v>4.8599999999999997E-2</v>
      </c>
    </row>
    <row r="21" spans="1:2" x14ac:dyDescent="0.25">
      <c r="A21" s="18">
        <v>8.8000000000000007</v>
      </c>
      <c r="B21" s="18">
        <v>2.0400000000000001E-2</v>
      </c>
    </row>
    <row r="22" spans="1:2" x14ac:dyDescent="0.25">
      <c r="A22" s="18">
        <v>9</v>
      </c>
      <c r="B22" s="18">
        <v>2.47E-2</v>
      </c>
    </row>
    <row r="23" spans="1:2" x14ac:dyDescent="0.25">
      <c r="A23" s="18">
        <v>9.1999999999999993</v>
      </c>
      <c r="B23" s="18">
        <v>2.4899999999999999E-2</v>
      </c>
    </row>
    <row r="24" spans="1:2" x14ac:dyDescent="0.25">
      <c r="A24" s="18">
        <v>9.4</v>
      </c>
      <c r="B24" s="18">
        <v>2.8000000000000001E-2</v>
      </c>
    </row>
    <row r="25" spans="1:2" x14ac:dyDescent="0.25">
      <c r="A25" s="18">
        <v>9.6</v>
      </c>
      <c r="B25" s="18">
        <v>5.9799999999999999E-2</v>
      </c>
    </row>
    <row r="26" spans="1:2" x14ac:dyDescent="0.25">
      <c r="A26" s="18">
        <v>9.8000000000000007</v>
      </c>
      <c r="B26" s="18">
        <v>7.2700000000000001E-2</v>
      </c>
    </row>
    <row r="27" spans="1:2" x14ac:dyDescent="0.25">
      <c r="A27" s="18">
        <v>10</v>
      </c>
      <c r="B27" s="18">
        <v>6.3299999999999995E-2</v>
      </c>
    </row>
    <row r="28" spans="1:2" x14ac:dyDescent="0.25">
      <c r="A28" s="18">
        <v>10.199999999999999</v>
      </c>
      <c r="B28" s="18">
        <v>3.78E-2</v>
      </c>
    </row>
    <row r="29" spans="1:2" x14ac:dyDescent="0.25">
      <c r="A29" s="18">
        <v>10.4</v>
      </c>
      <c r="B29" s="18">
        <v>2.6700000000000002E-2</v>
      </c>
    </row>
    <row r="30" spans="1:2" x14ac:dyDescent="0.25">
      <c r="A30" s="18">
        <v>10.6</v>
      </c>
      <c r="B30" s="18">
        <v>2.7799999999999998E-2</v>
      </c>
    </row>
    <row r="31" spans="1:2" x14ac:dyDescent="0.25">
      <c r="A31" s="18">
        <v>10.8</v>
      </c>
      <c r="B31" s="18">
        <v>2.7300000000000001E-2</v>
      </c>
    </row>
    <row r="32" spans="1:2" x14ac:dyDescent="0.25">
      <c r="A32" s="18">
        <v>11</v>
      </c>
      <c r="B32" s="18">
        <v>2.7099999999999999E-2</v>
      </c>
    </row>
    <row r="33" spans="1:2" x14ac:dyDescent="0.25">
      <c r="A33" s="18">
        <v>11.2</v>
      </c>
      <c r="B33" s="18">
        <v>3.2099999999999997E-2</v>
      </c>
    </row>
    <row r="34" spans="1:2" x14ac:dyDescent="0.25">
      <c r="A34" s="18">
        <v>11.4</v>
      </c>
      <c r="B34" s="18">
        <v>3.5099999999999999E-2</v>
      </c>
    </row>
    <row r="35" spans="1:2" x14ac:dyDescent="0.25">
      <c r="A35" s="18">
        <v>11.6</v>
      </c>
      <c r="B35" s="18">
        <v>2.75E-2</v>
      </c>
    </row>
    <row r="36" spans="1:2" x14ac:dyDescent="0.25">
      <c r="A36" s="18">
        <v>11.8</v>
      </c>
      <c r="B36" s="18">
        <v>2.5000000000000001E-2</v>
      </c>
    </row>
    <row r="37" spans="1:2" x14ac:dyDescent="0.25">
      <c r="A37" s="18">
        <v>12</v>
      </c>
      <c r="B37" s="18">
        <v>2.3199999999999998E-2</v>
      </c>
    </row>
    <row r="38" spans="1:2" x14ac:dyDescent="0.25">
      <c r="A38" s="18">
        <v>12.2</v>
      </c>
      <c r="B38" s="18">
        <v>2.1399999999999999E-2</v>
      </c>
    </row>
    <row r="39" spans="1:2" x14ac:dyDescent="0.25">
      <c r="A39" s="18">
        <v>12.4</v>
      </c>
      <c r="B39" s="18">
        <v>2.0799999999999999E-2</v>
      </c>
    </row>
    <row r="40" spans="1:2" x14ac:dyDescent="0.25">
      <c r="A40" s="18">
        <v>12.6</v>
      </c>
      <c r="B40" s="18">
        <v>1.95E-2</v>
      </c>
    </row>
    <row r="41" spans="1:2" x14ac:dyDescent="0.25">
      <c r="A41" s="18">
        <v>12.8</v>
      </c>
      <c r="B41" s="18">
        <v>1.8100000000000002E-2</v>
      </c>
    </row>
    <row r="42" spans="1:2" x14ac:dyDescent="0.25">
      <c r="A42" s="18">
        <v>13</v>
      </c>
      <c r="B42" s="18">
        <v>1.72E-2</v>
      </c>
    </row>
    <row r="43" spans="1:2" x14ac:dyDescent="0.25">
      <c r="A43" s="18">
        <v>13.2</v>
      </c>
      <c r="B43" s="18">
        <v>1.55E-2</v>
      </c>
    </row>
    <row r="44" spans="1:2" x14ac:dyDescent="0.25">
      <c r="A44" s="18">
        <v>13.4</v>
      </c>
      <c r="B44" s="18">
        <v>1.4500000000000001E-2</v>
      </c>
    </row>
    <row r="45" spans="1:2" x14ac:dyDescent="0.25">
      <c r="A45" s="18">
        <v>13.6</v>
      </c>
      <c r="B45" s="18">
        <v>1.2999999999999999E-2</v>
      </c>
    </row>
    <row r="46" spans="1:2" x14ac:dyDescent="0.25">
      <c r="A46" s="18">
        <v>13.8</v>
      </c>
      <c r="B46" s="18">
        <v>1.1599999999999999E-2</v>
      </c>
    </row>
    <row r="47" spans="1:2" x14ac:dyDescent="0.25">
      <c r="A47" s="18">
        <v>14</v>
      </c>
      <c r="B47" s="18">
        <v>1.03E-2</v>
      </c>
    </row>
    <row r="48" spans="1:2" x14ac:dyDescent="0.25">
      <c r="A48" s="18">
        <v>14.2</v>
      </c>
      <c r="B48" s="18">
        <v>8.6099999999999996E-3</v>
      </c>
    </row>
    <row r="49" spans="1:2" x14ac:dyDescent="0.25">
      <c r="A49" s="18">
        <v>14.4</v>
      </c>
      <c r="B49" s="18">
        <v>7.3800000000000003E-3</v>
      </c>
    </row>
    <row r="50" spans="1:2" x14ac:dyDescent="0.25">
      <c r="A50" s="18">
        <v>14.6</v>
      </c>
      <c r="B50" s="18">
        <v>5.45E-3</v>
      </c>
    </row>
    <row r="51" spans="1:2" x14ac:dyDescent="0.25">
      <c r="A51" s="18">
        <v>14.8</v>
      </c>
      <c r="B51" s="18">
        <v>3.82E-3</v>
      </c>
    </row>
    <row r="52" spans="1:2" x14ac:dyDescent="0.25">
      <c r="A52" s="18">
        <v>15</v>
      </c>
      <c r="B52" s="18">
        <v>1.31E-3</v>
      </c>
    </row>
    <row r="53" spans="1:2" x14ac:dyDescent="0.25">
      <c r="A53" s="18">
        <v>15.2</v>
      </c>
      <c r="B53" s="18">
        <v>9.31E-5</v>
      </c>
    </row>
    <row r="54" spans="1:2" x14ac:dyDescent="0.25">
      <c r="A54" s="18">
        <v>15.4</v>
      </c>
      <c r="B54" s="18">
        <v>5.8300000000000001E-6</v>
      </c>
    </row>
    <row r="55" spans="1:2" x14ac:dyDescent="0.25">
      <c r="A55" s="18">
        <v>15.6</v>
      </c>
      <c r="B55" s="18">
        <v>1.0000000000000001E-5</v>
      </c>
    </row>
    <row r="56" spans="1:2" x14ac:dyDescent="0.25">
      <c r="A56" s="18">
        <v>15.8</v>
      </c>
      <c r="B56" s="18">
        <v>7.2099999999999996E-6</v>
      </c>
    </row>
    <row r="57" spans="1:2" x14ac:dyDescent="0.25">
      <c r="A57" s="18">
        <v>16</v>
      </c>
      <c r="B57" s="18">
        <v>9.7100000000000002E-6</v>
      </c>
    </row>
    <row r="58" spans="1:2" x14ac:dyDescent="0.25">
      <c r="A58" s="18">
        <v>16.2</v>
      </c>
      <c r="B58" s="18">
        <v>1.15E-5</v>
      </c>
    </row>
    <row r="59" spans="1:2" x14ac:dyDescent="0.25">
      <c r="A59" s="18">
        <v>16.399999999999999</v>
      </c>
      <c r="B59" s="18">
        <v>9.0999999999999993E-6</v>
      </c>
    </row>
    <row r="60" spans="1:2" x14ac:dyDescent="0.25">
      <c r="A60" s="18">
        <v>16.600000000000001</v>
      </c>
      <c r="B60" s="18">
        <v>3.2399999999999999E-6</v>
      </c>
    </row>
    <row r="61" spans="1:2" x14ac:dyDescent="0.25">
      <c r="A61" s="18">
        <v>16.8</v>
      </c>
      <c r="B61" s="18">
        <v>2.9299999999999999E-6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:B87"/>
  <sheetViews>
    <sheetView workbookViewId="0">
      <selection activeCell="E1" sqref="E1:E1048576"/>
    </sheetView>
  </sheetViews>
  <sheetFormatPr defaultRowHeight="15" x14ac:dyDescent="0.25"/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8.8599999999999996E-4</v>
      </c>
    </row>
    <row r="3" spans="1:2" x14ac:dyDescent="0.25">
      <c r="A3" s="18">
        <v>5.2</v>
      </c>
      <c r="B3" s="18">
        <v>1.25E-3</v>
      </c>
    </row>
    <row r="4" spans="1:2" x14ac:dyDescent="0.25">
      <c r="A4" s="18">
        <v>5.4</v>
      </c>
      <c r="B4" s="18">
        <v>1.1800000000000001E-3</v>
      </c>
    </row>
    <row r="5" spans="1:2" x14ac:dyDescent="0.25">
      <c r="A5" s="18">
        <v>5.6</v>
      </c>
      <c r="B5" s="18">
        <v>9.0799999999999995E-4</v>
      </c>
    </row>
    <row r="6" spans="1:2" x14ac:dyDescent="0.25">
      <c r="A6" s="18">
        <v>5.8</v>
      </c>
      <c r="B6" s="18">
        <v>8.4599999999999996E-4</v>
      </c>
    </row>
    <row r="7" spans="1:2" x14ac:dyDescent="0.25">
      <c r="A7" s="18">
        <v>6</v>
      </c>
      <c r="B7" s="18">
        <v>1.16E-3</v>
      </c>
    </row>
    <row r="8" spans="1:2" x14ac:dyDescent="0.25">
      <c r="A8" s="18">
        <v>6.2</v>
      </c>
      <c r="B8" s="18">
        <v>9.0399999999999996E-4</v>
      </c>
    </row>
    <row r="9" spans="1:2" x14ac:dyDescent="0.25">
      <c r="A9" s="18">
        <v>6.4</v>
      </c>
      <c r="B9" s="18">
        <v>1.4300000000000001E-3</v>
      </c>
    </row>
    <row r="10" spans="1:2" x14ac:dyDescent="0.25">
      <c r="A10" s="18">
        <v>6.6</v>
      </c>
      <c r="B10" s="18">
        <v>1.64E-3</v>
      </c>
    </row>
    <row r="11" spans="1:2" x14ac:dyDescent="0.25">
      <c r="A11" s="18">
        <v>6.8</v>
      </c>
      <c r="B11" s="18">
        <v>2.1299999999999999E-3</v>
      </c>
    </row>
    <row r="12" spans="1:2" x14ac:dyDescent="0.25">
      <c r="A12" s="18">
        <v>7</v>
      </c>
      <c r="B12" s="18">
        <v>2.64E-3</v>
      </c>
    </row>
    <row r="13" spans="1:2" x14ac:dyDescent="0.25">
      <c r="A13" s="18">
        <v>7.2</v>
      </c>
      <c r="B13" s="18">
        <v>3.29E-3</v>
      </c>
    </row>
    <row r="14" spans="1:2" x14ac:dyDescent="0.25">
      <c r="A14" s="18">
        <v>7.4</v>
      </c>
      <c r="B14" s="18">
        <v>5.5999999999999999E-3</v>
      </c>
    </row>
    <row r="15" spans="1:2" x14ac:dyDescent="0.25">
      <c r="A15" s="18">
        <v>7.6</v>
      </c>
      <c r="B15" s="18">
        <v>5.3600000000000002E-3</v>
      </c>
    </row>
    <row r="16" spans="1:2" x14ac:dyDescent="0.25">
      <c r="A16" s="18">
        <v>7.8</v>
      </c>
      <c r="B16" s="18">
        <v>7.0699999999999999E-3</v>
      </c>
    </row>
    <row r="17" spans="1:2" x14ac:dyDescent="0.25">
      <c r="A17" s="18">
        <v>8</v>
      </c>
      <c r="B17" s="18">
        <v>5.8999999999999999E-3</v>
      </c>
    </row>
    <row r="18" spans="1:2" x14ac:dyDescent="0.25">
      <c r="A18" s="18">
        <v>8.1999999999999993</v>
      </c>
      <c r="B18" s="18">
        <v>2.18E-2</v>
      </c>
    </row>
    <row r="19" spans="1:2" x14ac:dyDescent="0.25">
      <c r="A19" s="18">
        <v>8.4</v>
      </c>
      <c r="B19" s="18">
        <v>8.6400000000000005E-2</v>
      </c>
    </row>
    <row r="20" spans="1:2" x14ac:dyDescent="0.25">
      <c r="A20" s="18">
        <v>8.6</v>
      </c>
      <c r="B20" s="18">
        <v>4.2500000000000003E-2</v>
      </c>
    </row>
    <row r="21" spans="1:2" x14ac:dyDescent="0.25">
      <c r="A21" s="18">
        <v>8.8000000000000007</v>
      </c>
      <c r="B21" s="18">
        <v>1.17E-2</v>
      </c>
    </row>
    <row r="22" spans="1:2" x14ac:dyDescent="0.25">
      <c r="A22" s="18">
        <v>9</v>
      </c>
      <c r="B22" s="18">
        <v>1.5100000000000001E-2</v>
      </c>
    </row>
    <row r="23" spans="1:2" x14ac:dyDescent="0.25">
      <c r="A23" s="18">
        <v>9.1999999999999993</v>
      </c>
      <c r="B23" s="18">
        <v>1.55E-2</v>
      </c>
    </row>
    <row r="24" spans="1:2" x14ac:dyDescent="0.25">
      <c r="A24" s="18">
        <v>9.4</v>
      </c>
      <c r="B24" s="18">
        <v>1.8100000000000002E-2</v>
      </c>
    </row>
    <row r="25" spans="1:2" x14ac:dyDescent="0.25">
      <c r="A25" s="18">
        <v>9.6</v>
      </c>
      <c r="B25" s="18">
        <v>6.54E-2</v>
      </c>
    </row>
    <row r="26" spans="1:2" x14ac:dyDescent="0.25">
      <c r="A26" s="18">
        <v>9.8000000000000007</v>
      </c>
      <c r="B26" s="18">
        <v>8.2400000000000001E-2</v>
      </c>
    </row>
    <row r="27" spans="1:2" x14ac:dyDescent="0.25">
      <c r="A27" s="18">
        <v>10</v>
      </c>
      <c r="B27" s="18">
        <v>5.7299999999999997E-2</v>
      </c>
    </row>
    <row r="28" spans="1:2" x14ac:dyDescent="0.25">
      <c r="A28" s="18">
        <v>10.199999999999999</v>
      </c>
      <c r="B28" s="18">
        <v>2.8000000000000001E-2</v>
      </c>
    </row>
    <row r="29" spans="1:2" x14ac:dyDescent="0.25">
      <c r="A29" s="18">
        <v>10.4</v>
      </c>
      <c r="B29" s="18">
        <v>1.6899999999999998E-2</v>
      </c>
    </row>
    <row r="30" spans="1:2" x14ac:dyDescent="0.25">
      <c r="A30" s="18">
        <v>10.6</v>
      </c>
      <c r="B30" s="18">
        <v>1.7500000000000002E-2</v>
      </c>
    </row>
    <row r="31" spans="1:2" x14ac:dyDescent="0.25">
      <c r="A31" s="18">
        <v>10.8</v>
      </c>
      <c r="B31" s="18">
        <v>1.8200000000000001E-2</v>
      </c>
    </row>
    <row r="32" spans="1:2" x14ac:dyDescent="0.25">
      <c r="A32" s="18">
        <v>11</v>
      </c>
      <c r="B32" s="18">
        <v>1.7999999999999999E-2</v>
      </c>
    </row>
    <row r="33" spans="1:2" x14ac:dyDescent="0.25">
      <c r="A33" s="18">
        <v>11.2</v>
      </c>
      <c r="B33" s="18">
        <v>2.64E-2</v>
      </c>
    </row>
    <row r="34" spans="1:2" x14ac:dyDescent="0.25">
      <c r="A34" s="18">
        <v>11.4</v>
      </c>
      <c r="B34" s="18">
        <v>3.0300000000000001E-2</v>
      </c>
    </row>
    <row r="35" spans="1:2" x14ac:dyDescent="0.25">
      <c r="A35" s="18">
        <v>11.6</v>
      </c>
      <c r="B35" s="18">
        <v>2.23E-2</v>
      </c>
    </row>
    <row r="36" spans="1:2" x14ac:dyDescent="0.25">
      <c r="A36" s="18">
        <v>11.8</v>
      </c>
      <c r="B36" s="18">
        <v>2.0199999999999999E-2</v>
      </c>
    </row>
    <row r="37" spans="1:2" x14ac:dyDescent="0.25">
      <c r="A37" s="18">
        <v>12</v>
      </c>
      <c r="B37" s="18">
        <v>1.7100000000000001E-2</v>
      </c>
    </row>
    <row r="38" spans="1:2" x14ac:dyDescent="0.25">
      <c r="A38" s="18">
        <v>12.2</v>
      </c>
      <c r="B38" s="18">
        <v>1.67E-2</v>
      </c>
    </row>
    <row r="39" spans="1:2" x14ac:dyDescent="0.25">
      <c r="A39" s="18">
        <v>12.4</v>
      </c>
      <c r="B39" s="18">
        <v>1.5699999999999999E-2</v>
      </c>
    </row>
    <row r="40" spans="1:2" x14ac:dyDescent="0.25">
      <c r="A40" s="18">
        <v>12.6</v>
      </c>
      <c r="B40" s="18">
        <v>1.5800000000000002E-2</v>
      </c>
    </row>
    <row r="41" spans="1:2" x14ac:dyDescent="0.25">
      <c r="A41" s="18">
        <v>12.8</v>
      </c>
      <c r="B41" s="18">
        <v>1.4999999999999999E-2</v>
      </c>
    </row>
    <row r="42" spans="1:2" x14ac:dyDescent="0.25">
      <c r="A42" s="18">
        <v>13</v>
      </c>
      <c r="B42" s="18">
        <v>1.49E-2</v>
      </c>
    </row>
    <row r="43" spans="1:2" x14ac:dyDescent="0.25">
      <c r="A43" s="18">
        <v>13.2</v>
      </c>
      <c r="B43" s="18">
        <v>1.46E-2</v>
      </c>
    </row>
    <row r="44" spans="1:2" x14ac:dyDescent="0.25">
      <c r="A44" s="18">
        <v>13.4</v>
      </c>
      <c r="B44" s="18">
        <v>1.38E-2</v>
      </c>
    </row>
    <row r="45" spans="1:2" x14ac:dyDescent="0.25">
      <c r="A45" s="18">
        <v>13.6</v>
      </c>
      <c r="B45" s="18">
        <v>1.35E-2</v>
      </c>
    </row>
    <row r="46" spans="1:2" x14ac:dyDescent="0.25">
      <c r="A46" s="18">
        <v>13.8</v>
      </c>
      <c r="B46" s="18">
        <v>1.32E-2</v>
      </c>
    </row>
    <row r="47" spans="1:2" x14ac:dyDescent="0.25">
      <c r="A47" s="18">
        <v>14</v>
      </c>
      <c r="B47" s="18">
        <v>1.2800000000000001E-2</v>
      </c>
    </row>
    <row r="48" spans="1:2" x14ac:dyDescent="0.25">
      <c r="A48" s="18">
        <v>14.2</v>
      </c>
      <c r="B48" s="18">
        <v>1.2200000000000001E-2</v>
      </c>
    </row>
    <row r="49" spans="1:2" x14ac:dyDescent="0.25">
      <c r="A49" s="18">
        <v>14.4</v>
      </c>
      <c r="B49" s="18">
        <v>1.18E-2</v>
      </c>
    </row>
    <row r="50" spans="1:2" x14ac:dyDescent="0.25">
      <c r="A50" s="18">
        <v>14.6</v>
      </c>
      <c r="B50" s="18">
        <v>1.14E-2</v>
      </c>
    </row>
    <row r="51" spans="1:2" x14ac:dyDescent="0.25">
      <c r="A51" s="18">
        <v>14.8</v>
      </c>
      <c r="B51" s="18">
        <v>1.09E-2</v>
      </c>
    </row>
    <row r="52" spans="1:2" x14ac:dyDescent="0.25">
      <c r="A52" s="18">
        <v>15</v>
      </c>
      <c r="B52" s="18">
        <v>1.0500000000000001E-2</v>
      </c>
    </row>
    <row r="53" spans="1:2" x14ac:dyDescent="0.25">
      <c r="A53" s="18">
        <v>15.2</v>
      </c>
      <c r="B53" s="18">
        <v>9.9299999999999996E-3</v>
      </c>
    </row>
    <row r="54" spans="1:2" x14ac:dyDescent="0.25">
      <c r="A54" s="18">
        <v>15.4</v>
      </c>
      <c r="B54" s="18">
        <v>9.4800000000000006E-3</v>
      </c>
    </row>
    <row r="55" spans="1:2" x14ac:dyDescent="0.25">
      <c r="A55" s="18">
        <v>15.6</v>
      </c>
      <c r="B55" s="18">
        <v>9.0100000000000006E-3</v>
      </c>
    </row>
    <row r="56" spans="1:2" x14ac:dyDescent="0.25">
      <c r="A56" s="18">
        <v>15.8</v>
      </c>
      <c r="B56" s="18">
        <v>8.6400000000000001E-3</v>
      </c>
    </row>
    <row r="57" spans="1:2" x14ac:dyDescent="0.25">
      <c r="A57" s="18">
        <v>16</v>
      </c>
      <c r="B57" s="18">
        <v>8.2100000000000003E-3</v>
      </c>
    </row>
    <row r="58" spans="1:2" x14ac:dyDescent="0.25">
      <c r="A58" s="18">
        <v>16.2</v>
      </c>
      <c r="B58" s="18">
        <v>7.5799999999999999E-3</v>
      </c>
    </row>
    <row r="59" spans="1:2" x14ac:dyDescent="0.25">
      <c r="A59" s="18">
        <v>16.399999999999999</v>
      </c>
      <c r="B59" s="18">
        <v>7.3099999999999997E-3</v>
      </c>
    </row>
    <row r="60" spans="1:2" x14ac:dyDescent="0.25">
      <c r="A60" s="18">
        <v>16.600000000000001</v>
      </c>
      <c r="B60" s="18">
        <v>6.6899999999999998E-3</v>
      </c>
    </row>
    <row r="61" spans="1:2" x14ac:dyDescent="0.25">
      <c r="A61" s="18">
        <v>16.8</v>
      </c>
      <c r="B61" s="18">
        <v>6.6299999999999996E-3</v>
      </c>
    </row>
    <row r="62" spans="1:2" x14ac:dyDescent="0.25">
      <c r="A62" s="18">
        <v>17</v>
      </c>
      <c r="B62" s="18">
        <v>5.7800000000000004E-3</v>
      </c>
    </row>
    <row r="63" spans="1:2" x14ac:dyDescent="0.25">
      <c r="A63" s="18">
        <v>17.2</v>
      </c>
      <c r="B63" s="18">
        <v>5.7200000000000003E-3</v>
      </c>
    </row>
    <row r="64" spans="1:2" x14ac:dyDescent="0.25">
      <c r="A64" s="18">
        <v>17.399999999999999</v>
      </c>
      <c r="B64" s="18">
        <v>5.0800000000000003E-3</v>
      </c>
    </row>
    <row r="65" spans="1:2" x14ac:dyDescent="0.25">
      <c r="A65" s="18">
        <v>17.600000000000001</v>
      </c>
      <c r="B65" s="18">
        <v>4.8799999999999998E-3</v>
      </c>
    </row>
    <row r="66" spans="1:2" x14ac:dyDescent="0.25">
      <c r="A66" s="18">
        <v>17.8</v>
      </c>
      <c r="B66" s="18">
        <v>4.3600000000000002E-3</v>
      </c>
    </row>
    <row r="67" spans="1:2" x14ac:dyDescent="0.25">
      <c r="A67" s="18">
        <v>18</v>
      </c>
      <c r="B67" s="18">
        <v>4.0800000000000003E-3</v>
      </c>
    </row>
    <row r="68" spans="1:2" x14ac:dyDescent="0.25">
      <c r="A68" s="18">
        <v>18.2</v>
      </c>
      <c r="B68" s="18">
        <v>3.7000000000000002E-3</v>
      </c>
    </row>
    <row r="69" spans="1:2" x14ac:dyDescent="0.25">
      <c r="A69" s="18">
        <v>18.399999999999999</v>
      </c>
      <c r="B69" s="18">
        <v>3.2299999999999998E-3</v>
      </c>
    </row>
    <row r="70" spans="1:2" x14ac:dyDescent="0.25">
      <c r="A70" s="18">
        <v>18.600000000000001</v>
      </c>
      <c r="B70" s="18">
        <v>2.96E-3</v>
      </c>
    </row>
    <row r="71" spans="1:2" x14ac:dyDescent="0.25">
      <c r="A71" s="18">
        <v>18.8</v>
      </c>
      <c r="B71" s="18">
        <v>2.6199999999999999E-3</v>
      </c>
    </row>
    <row r="72" spans="1:2" x14ac:dyDescent="0.25">
      <c r="A72" s="18">
        <v>19</v>
      </c>
      <c r="B72" s="18">
        <v>2.2799999999999999E-3</v>
      </c>
    </row>
    <row r="73" spans="1:2" x14ac:dyDescent="0.25">
      <c r="A73" s="18">
        <v>19.2</v>
      </c>
      <c r="B73" s="18">
        <v>1.8699999999999999E-3</v>
      </c>
    </row>
    <row r="74" spans="1:2" x14ac:dyDescent="0.25">
      <c r="A74" s="18">
        <v>19.399999999999999</v>
      </c>
      <c r="B74" s="18">
        <v>1.6100000000000001E-3</v>
      </c>
    </row>
    <row r="75" spans="1:2" x14ac:dyDescent="0.25">
      <c r="A75" s="18">
        <v>19.600000000000001</v>
      </c>
      <c r="B75" s="18">
        <v>1.16E-3</v>
      </c>
    </row>
    <row r="76" spans="1:2" x14ac:dyDescent="0.25">
      <c r="A76" s="18">
        <v>19.8</v>
      </c>
      <c r="B76" s="18">
        <v>7.9500000000000003E-4</v>
      </c>
    </row>
    <row r="77" spans="1:2" x14ac:dyDescent="0.25">
      <c r="A77" s="18">
        <v>20</v>
      </c>
      <c r="B77" s="18">
        <v>2.7599999999999999E-4</v>
      </c>
    </row>
    <row r="78" spans="1:2" x14ac:dyDescent="0.25">
      <c r="A78" s="18">
        <v>20.2</v>
      </c>
      <c r="B78" s="18">
        <v>1.77E-5</v>
      </c>
    </row>
    <row r="79" spans="1:2" x14ac:dyDescent="0.25">
      <c r="A79" s="18">
        <v>20.399999999999999</v>
      </c>
      <c r="B79" s="18">
        <v>2.21E-6</v>
      </c>
    </row>
    <row r="80" spans="1:2" x14ac:dyDescent="0.25">
      <c r="A80" s="18">
        <v>20.6</v>
      </c>
      <c r="B80" s="18">
        <v>2.7999999999999999E-6</v>
      </c>
    </row>
    <row r="81" spans="1:2" x14ac:dyDescent="0.25">
      <c r="A81" s="18">
        <v>20.8</v>
      </c>
      <c r="B81" s="18">
        <v>6.7899999999999998E-7</v>
      </c>
    </row>
    <row r="82" spans="1:2" x14ac:dyDescent="0.25">
      <c r="A82" s="18">
        <v>21</v>
      </c>
      <c r="B82" s="18">
        <v>7.1999999999999999E-7</v>
      </c>
    </row>
    <row r="83" spans="1:2" x14ac:dyDescent="0.25">
      <c r="A83" s="18">
        <v>21.2</v>
      </c>
      <c r="B83" s="18">
        <v>7.3499999999999995E-7</v>
      </c>
    </row>
    <row r="84" spans="1:2" x14ac:dyDescent="0.25">
      <c r="A84" s="18">
        <v>21.4</v>
      </c>
      <c r="B84" s="18">
        <v>9.4200000000000004E-7</v>
      </c>
    </row>
    <row r="85" spans="1:2" x14ac:dyDescent="0.25">
      <c r="A85" s="18">
        <v>21.6</v>
      </c>
      <c r="B85" s="18">
        <v>8.8400000000000003E-7</v>
      </c>
    </row>
    <row r="86" spans="1:2" x14ac:dyDescent="0.25">
      <c r="A86" s="18">
        <v>21.8</v>
      </c>
      <c r="B86" s="18">
        <v>1.7099999999999999E-6</v>
      </c>
    </row>
    <row r="87" spans="1:2" x14ac:dyDescent="0.25">
      <c r="A87" s="18">
        <v>22</v>
      </c>
      <c r="B87" s="18">
        <v>6.6500000000000007E-8</v>
      </c>
    </row>
  </sheetData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1:B112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1.6900000000000001E-3</v>
      </c>
    </row>
    <row r="3" spans="1:2" x14ac:dyDescent="0.25">
      <c r="A3" s="18">
        <v>5.2</v>
      </c>
      <c r="B3" s="18">
        <v>1.09E-3</v>
      </c>
    </row>
    <row r="4" spans="1:2" x14ac:dyDescent="0.25">
      <c r="A4" s="18">
        <v>5.4</v>
      </c>
      <c r="B4" s="18">
        <v>9.9099999999999991E-4</v>
      </c>
    </row>
    <row r="5" spans="1:2" x14ac:dyDescent="0.25">
      <c r="A5" s="18">
        <v>5.6</v>
      </c>
      <c r="B5" s="18">
        <v>1.2199999999999999E-3</v>
      </c>
    </row>
    <row r="6" spans="1:2" x14ac:dyDescent="0.25">
      <c r="A6" s="18">
        <v>5.8</v>
      </c>
      <c r="B6" s="18">
        <v>2.52E-4</v>
      </c>
    </row>
    <row r="7" spans="1:2" x14ac:dyDescent="0.25">
      <c r="A7" s="18">
        <v>6</v>
      </c>
      <c r="B7" s="18">
        <v>1.24E-3</v>
      </c>
    </row>
    <row r="8" spans="1:2" x14ac:dyDescent="0.25">
      <c r="A8" s="18">
        <v>6.2</v>
      </c>
      <c r="B8" s="18">
        <v>1.0499999999999999E-3</v>
      </c>
    </row>
    <row r="9" spans="1:2" x14ac:dyDescent="0.25">
      <c r="A9" s="18">
        <v>6.4</v>
      </c>
      <c r="B9" s="18">
        <v>8.83E-4</v>
      </c>
    </row>
    <row r="10" spans="1:2" x14ac:dyDescent="0.25">
      <c r="A10" s="18">
        <v>6.6</v>
      </c>
      <c r="B10" s="18">
        <v>1.6199999999999999E-3</v>
      </c>
    </row>
    <row r="11" spans="1:2" x14ac:dyDescent="0.25">
      <c r="A11" s="18">
        <v>6.8</v>
      </c>
      <c r="B11" s="18">
        <v>1.49E-3</v>
      </c>
    </row>
    <row r="12" spans="1:2" x14ac:dyDescent="0.25">
      <c r="A12" s="18">
        <v>7</v>
      </c>
      <c r="B12" s="18">
        <v>2.15E-3</v>
      </c>
    </row>
    <row r="13" spans="1:2" x14ac:dyDescent="0.25">
      <c r="A13" s="18">
        <v>7.2</v>
      </c>
      <c r="B13" s="18">
        <v>2.8600000000000001E-3</v>
      </c>
    </row>
    <row r="14" spans="1:2" x14ac:dyDescent="0.25">
      <c r="A14" s="18">
        <v>7.4</v>
      </c>
      <c r="B14" s="18">
        <v>4.1799999999999997E-3</v>
      </c>
    </row>
    <row r="15" spans="1:2" x14ac:dyDescent="0.25">
      <c r="A15" s="18">
        <v>7.6</v>
      </c>
      <c r="B15" s="18">
        <v>4.45E-3</v>
      </c>
    </row>
    <row r="16" spans="1:2" x14ac:dyDescent="0.25">
      <c r="A16" s="18">
        <v>7.8</v>
      </c>
      <c r="B16" s="18">
        <v>5.2199999999999998E-3</v>
      </c>
    </row>
    <row r="17" spans="1:2" x14ac:dyDescent="0.25">
      <c r="A17" s="18">
        <v>8</v>
      </c>
      <c r="B17" s="18">
        <v>4.7499999999999999E-3</v>
      </c>
    </row>
    <row r="18" spans="1:2" x14ac:dyDescent="0.25">
      <c r="A18" s="18">
        <v>8.1999999999999993</v>
      </c>
      <c r="B18" s="18">
        <v>1.9699999999999999E-2</v>
      </c>
    </row>
    <row r="19" spans="1:2" x14ac:dyDescent="0.25">
      <c r="A19" s="18">
        <v>8.4</v>
      </c>
      <c r="B19" s="18">
        <v>8.6099999999999996E-2</v>
      </c>
    </row>
    <row r="20" spans="1:2" x14ac:dyDescent="0.25">
      <c r="A20" s="18">
        <v>8.6</v>
      </c>
      <c r="B20" s="18">
        <v>4.0899999999999999E-2</v>
      </c>
    </row>
    <row r="21" spans="1:2" x14ac:dyDescent="0.25">
      <c r="A21" s="18">
        <v>8.8000000000000007</v>
      </c>
      <c r="B21" s="18">
        <v>8.5500000000000003E-3</v>
      </c>
    </row>
    <row r="22" spans="1:2" x14ac:dyDescent="0.25">
      <c r="A22" s="18">
        <v>9</v>
      </c>
      <c r="B22" s="18">
        <v>1.23E-2</v>
      </c>
    </row>
    <row r="23" spans="1:2" x14ac:dyDescent="0.25">
      <c r="A23" s="18">
        <v>9.1999999999999993</v>
      </c>
      <c r="B23" s="18">
        <v>1.21E-2</v>
      </c>
    </row>
    <row r="24" spans="1:2" x14ac:dyDescent="0.25">
      <c r="A24" s="18">
        <v>9.4</v>
      </c>
      <c r="B24" s="18">
        <v>1.5299999999999999E-2</v>
      </c>
    </row>
    <row r="25" spans="1:2" x14ac:dyDescent="0.25">
      <c r="A25" s="18">
        <v>9.6</v>
      </c>
      <c r="B25" s="18">
        <v>6.83E-2</v>
      </c>
    </row>
    <row r="26" spans="1:2" x14ac:dyDescent="0.25">
      <c r="A26" s="18">
        <v>9.8000000000000007</v>
      </c>
      <c r="B26" s="18">
        <v>8.5999999999999993E-2</v>
      </c>
    </row>
    <row r="27" spans="1:2" x14ac:dyDescent="0.25">
      <c r="A27" s="18">
        <v>10</v>
      </c>
      <c r="B27" s="18">
        <v>5.6800000000000003E-2</v>
      </c>
    </row>
    <row r="28" spans="1:2" x14ac:dyDescent="0.25">
      <c r="A28" s="18">
        <v>10.199999999999999</v>
      </c>
      <c r="B28" s="18">
        <v>2.46E-2</v>
      </c>
    </row>
    <row r="29" spans="1:2" x14ac:dyDescent="0.25">
      <c r="A29" s="18">
        <v>10.4</v>
      </c>
      <c r="B29" s="18">
        <v>1.34E-2</v>
      </c>
    </row>
    <row r="30" spans="1:2" x14ac:dyDescent="0.25">
      <c r="A30" s="18">
        <v>10.6</v>
      </c>
      <c r="B30" s="18">
        <v>1.4E-2</v>
      </c>
    </row>
    <row r="31" spans="1:2" x14ac:dyDescent="0.25">
      <c r="A31" s="18">
        <v>10.8</v>
      </c>
      <c r="B31" s="18">
        <v>1.4200000000000001E-2</v>
      </c>
    </row>
    <row r="32" spans="1:2" x14ac:dyDescent="0.25">
      <c r="A32" s="18">
        <v>11</v>
      </c>
      <c r="B32" s="18">
        <v>1.43E-2</v>
      </c>
    </row>
    <row r="33" spans="1:2" x14ac:dyDescent="0.25">
      <c r="A33" s="18">
        <v>11.2</v>
      </c>
      <c r="B33" s="18">
        <v>2.35E-2</v>
      </c>
    </row>
    <row r="34" spans="1:2" x14ac:dyDescent="0.25">
      <c r="A34" s="18">
        <v>11.4</v>
      </c>
      <c r="B34" s="18">
        <v>2.8899999999999999E-2</v>
      </c>
    </row>
    <row r="35" spans="1:2" x14ac:dyDescent="0.25">
      <c r="A35" s="18">
        <v>11.6</v>
      </c>
      <c r="B35" s="18">
        <v>1.9699999999999999E-2</v>
      </c>
    </row>
    <row r="36" spans="1:2" x14ac:dyDescent="0.25">
      <c r="A36" s="18">
        <v>11.8</v>
      </c>
      <c r="B36" s="18">
        <v>1.72E-2</v>
      </c>
    </row>
    <row r="37" spans="1:2" x14ac:dyDescent="0.25">
      <c r="A37" s="18">
        <v>12</v>
      </c>
      <c r="B37" s="18">
        <v>1.43E-2</v>
      </c>
    </row>
    <row r="38" spans="1:2" x14ac:dyDescent="0.25">
      <c r="A38" s="18">
        <v>12.2</v>
      </c>
      <c r="B38" s="18">
        <v>1.37E-2</v>
      </c>
    </row>
    <row r="39" spans="1:2" x14ac:dyDescent="0.25">
      <c r="A39" s="18">
        <v>12.4</v>
      </c>
      <c r="B39" s="18">
        <v>1.2800000000000001E-2</v>
      </c>
    </row>
    <row r="40" spans="1:2" x14ac:dyDescent="0.25">
      <c r="A40" s="18">
        <v>12.6</v>
      </c>
      <c r="B40" s="18">
        <v>1.2999999999999999E-2</v>
      </c>
    </row>
    <row r="41" spans="1:2" x14ac:dyDescent="0.25">
      <c r="A41" s="18">
        <v>12.8</v>
      </c>
      <c r="B41" s="18">
        <v>1.2500000000000001E-2</v>
      </c>
    </row>
    <row r="42" spans="1:2" x14ac:dyDescent="0.25">
      <c r="A42" s="18">
        <v>13</v>
      </c>
      <c r="B42" s="18">
        <v>1.26E-2</v>
      </c>
    </row>
    <row r="43" spans="1:2" x14ac:dyDescent="0.25">
      <c r="A43" s="18">
        <v>13.2</v>
      </c>
      <c r="B43" s="18">
        <v>1.2200000000000001E-2</v>
      </c>
    </row>
    <row r="44" spans="1:2" x14ac:dyDescent="0.25">
      <c r="A44" s="18">
        <v>13.4</v>
      </c>
      <c r="B44" s="18">
        <v>1.2200000000000001E-2</v>
      </c>
    </row>
    <row r="45" spans="1:2" x14ac:dyDescent="0.25">
      <c r="A45" s="18">
        <v>13.6</v>
      </c>
      <c r="B45" s="18">
        <v>1.18E-2</v>
      </c>
    </row>
    <row r="46" spans="1:2" x14ac:dyDescent="0.25">
      <c r="A46" s="18">
        <v>13.8</v>
      </c>
      <c r="B46" s="18">
        <v>1.17E-2</v>
      </c>
    </row>
    <row r="47" spans="1:2" x14ac:dyDescent="0.25">
      <c r="A47" s="18">
        <v>14</v>
      </c>
      <c r="B47" s="18">
        <v>1.12E-2</v>
      </c>
    </row>
    <row r="48" spans="1:2" x14ac:dyDescent="0.25">
      <c r="A48" s="18">
        <v>14.2</v>
      </c>
      <c r="B48" s="18">
        <v>1.12E-2</v>
      </c>
    </row>
    <row r="49" spans="1:2" x14ac:dyDescent="0.25">
      <c r="A49" s="18">
        <v>14.4</v>
      </c>
      <c r="B49" s="18">
        <v>1.06E-2</v>
      </c>
    </row>
    <row r="50" spans="1:2" x14ac:dyDescent="0.25">
      <c r="A50" s="18">
        <v>14.6</v>
      </c>
      <c r="B50" s="18">
        <v>1.0500000000000001E-2</v>
      </c>
    </row>
    <row r="51" spans="1:2" x14ac:dyDescent="0.25">
      <c r="A51" s="18">
        <v>14.8</v>
      </c>
      <c r="B51" s="18">
        <v>1.0200000000000001E-2</v>
      </c>
    </row>
    <row r="52" spans="1:2" x14ac:dyDescent="0.25">
      <c r="A52" s="18">
        <v>15</v>
      </c>
      <c r="B52" s="18">
        <v>9.8799999999999999E-3</v>
      </c>
    </row>
    <row r="53" spans="1:2" x14ac:dyDescent="0.25">
      <c r="A53" s="18">
        <v>15.2</v>
      </c>
      <c r="B53" s="18">
        <v>9.5999999999999992E-3</v>
      </c>
    </row>
    <row r="54" spans="1:2" x14ac:dyDescent="0.25">
      <c r="A54" s="18">
        <v>15.4</v>
      </c>
      <c r="B54" s="18">
        <v>9.41E-3</v>
      </c>
    </row>
    <row r="55" spans="1:2" x14ac:dyDescent="0.25">
      <c r="A55" s="18">
        <v>15.6</v>
      </c>
      <c r="B55" s="18">
        <v>8.8400000000000006E-3</v>
      </c>
    </row>
    <row r="56" spans="1:2" x14ac:dyDescent="0.25">
      <c r="A56" s="18">
        <v>15.8</v>
      </c>
      <c r="B56" s="18">
        <v>8.7500000000000008E-3</v>
      </c>
    </row>
    <row r="57" spans="1:2" x14ac:dyDescent="0.25">
      <c r="A57" s="18">
        <v>16</v>
      </c>
      <c r="B57" s="18">
        <v>8.3400000000000002E-3</v>
      </c>
    </row>
    <row r="58" spans="1:2" x14ac:dyDescent="0.25">
      <c r="A58" s="18">
        <v>16.2</v>
      </c>
      <c r="B58" s="18">
        <v>8.09E-3</v>
      </c>
    </row>
    <row r="59" spans="1:2" x14ac:dyDescent="0.25">
      <c r="A59" s="18">
        <v>16.399999999999999</v>
      </c>
      <c r="B59" s="18">
        <v>7.8700000000000003E-3</v>
      </c>
    </row>
    <row r="60" spans="1:2" x14ac:dyDescent="0.25">
      <c r="A60" s="18">
        <v>16.600000000000001</v>
      </c>
      <c r="B60" s="18">
        <v>7.3499999999999998E-3</v>
      </c>
    </row>
    <row r="61" spans="1:2" x14ac:dyDescent="0.25">
      <c r="A61" s="18">
        <v>16.8</v>
      </c>
      <c r="B61" s="18">
        <v>7.3099999999999997E-3</v>
      </c>
    </row>
    <row r="62" spans="1:2" x14ac:dyDescent="0.25">
      <c r="A62" s="18">
        <v>17</v>
      </c>
      <c r="B62" s="18">
        <v>7.0000000000000001E-3</v>
      </c>
    </row>
    <row r="63" spans="1:2" x14ac:dyDescent="0.25">
      <c r="A63" s="18">
        <v>17.2</v>
      </c>
      <c r="B63" s="18">
        <v>6.6899999999999998E-3</v>
      </c>
    </row>
    <row r="64" spans="1:2" x14ac:dyDescent="0.25">
      <c r="A64" s="18">
        <v>17.399999999999999</v>
      </c>
      <c r="B64" s="18">
        <v>6.4200000000000004E-3</v>
      </c>
    </row>
    <row r="65" spans="1:2" x14ac:dyDescent="0.25">
      <c r="A65" s="18">
        <v>17.600000000000001</v>
      </c>
      <c r="B65" s="18">
        <v>6.1000000000000004E-3</v>
      </c>
    </row>
    <row r="66" spans="1:2" x14ac:dyDescent="0.25">
      <c r="A66" s="18">
        <v>17.8</v>
      </c>
      <c r="B66" s="18">
        <v>5.9699999999999996E-3</v>
      </c>
    </row>
    <row r="67" spans="1:2" x14ac:dyDescent="0.25">
      <c r="A67" s="18">
        <v>18</v>
      </c>
      <c r="B67" s="18">
        <v>5.5999999999999999E-3</v>
      </c>
    </row>
    <row r="68" spans="1:2" x14ac:dyDescent="0.25">
      <c r="A68" s="18">
        <v>18.2</v>
      </c>
      <c r="B68" s="18">
        <v>5.3899999999999998E-3</v>
      </c>
    </row>
    <row r="69" spans="1:2" x14ac:dyDescent="0.25">
      <c r="A69" s="18">
        <v>18.399999999999999</v>
      </c>
      <c r="B69" s="18">
        <v>5.1599999999999997E-3</v>
      </c>
    </row>
    <row r="70" spans="1:2" x14ac:dyDescent="0.25">
      <c r="A70" s="18">
        <v>18.600000000000001</v>
      </c>
      <c r="B70" s="18">
        <v>4.96E-3</v>
      </c>
    </row>
    <row r="71" spans="1:2" x14ac:dyDescent="0.25">
      <c r="A71" s="18">
        <v>18.8</v>
      </c>
      <c r="B71" s="18">
        <v>4.7699999999999999E-3</v>
      </c>
    </row>
    <row r="72" spans="1:2" x14ac:dyDescent="0.25">
      <c r="A72" s="18">
        <v>19</v>
      </c>
      <c r="B72" s="18">
        <v>4.47E-3</v>
      </c>
    </row>
    <row r="73" spans="1:2" x14ac:dyDescent="0.25">
      <c r="A73" s="18">
        <v>19.2</v>
      </c>
      <c r="B73" s="18">
        <v>4.3699999999999998E-3</v>
      </c>
    </row>
    <row r="74" spans="1:2" x14ac:dyDescent="0.25">
      <c r="A74" s="18">
        <v>19.399999999999999</v>
      </c>
      <c r="B74" s="18">
        <v>4.0600000000000002E-3</v>
      </c>
    </row>
    <row r="75" spans="1:2" x14ac:dyDescent="0.25">
      <c r="A75" s="18">
        <v>19.600000000000001</v>
      </c>
      <c r="B75" s="18">
        <v>3.9500000000000004E-3</v>
      </c>
    </row>
    <row r="76" spans="1:2" x14ac:dyDescent="0.25">
      <c r="A76" s="18">
        <v>19.8</v>
      </c>
      <c r="B76" s="18">
        <v>3.7399999999999998E-3</v>
      </c>
    </row>
    <row r="77" spans="1:2" x14ac:dyDescent="0.25">
      <c r="A77" s="18">
        <v>20</v>
      </c>
      <c r="B77" s="18">
        <v>3.49E-3</v>
      </c>
    </row>
    <row r="78" spans="1:2" x14ac:dyDescent="0.25">
      <c r="A78" s="18">
        <v>20.2</v>
      </c>
      <c r="B78" s="18">
        <v>3.4099999999999998E-3</v>
      </c>
    </row>
    <row r="79" spans="1:2" x14ac:dyDescent="0.25">
      <c r="A79" s="18">
        <v>20.399999999999999</v>
      </c>
      <c r="B79" s="18">
        <v>3.1199999999999999E-3</v>
      </c>
    </row>
    <row r="80" spans="1:2" x14ac:dyDescent="0.25">
      <c r="A80" s="18">
        <v>20.6</v>
      </c>
      <c r="B80" s="18">
        <v>3.0699999999999998E-3</v>
      </c>
    </row>
    <row r="81" spans="1:2" x14ac:dyDescent="0.25">
      <c r="A81" s="18">
        <v>20.8</v>
      </c>
      <c r="B81" s="18">
        <v>2.82E-3</v>
      </c>
    </row>
    <row r="82" spans="1:2" x14ac:dyDescent="0.25">
      <c r="A82" s="18">
        <v>21</v>
      </c>
      <c r="B82" s="18">
        <v>2.7200000000000002E-3</v>
      </c>
    </row>
    <row r="83" spans="1:2" x14ac:dyDescent="0.25">
      <c r="A83" s="18">
        <v>21.2</v>
      </c>
      <c r="B83" s="18">
        <v>2.5699999999999998E-3</v>
      </c>
    </row>
    <row r="84" spans="1:2" x14ac:dyDescent="0.25">
      <c r="A84" s="18">
        <v>21.4</v>
      </c>
      <c r="B84" s="18">
        <v>2.3800000000000002E-3</v>
      </c>
    </row>
    <row r="85" spans="1:2" x14ac:dyDescent="0.25">
      <c r="A85" s="18">
        <v>21.6</v>
      </c>
      <c r="B85" s="18">
        <v>2.2699999999999999E-3</v>
      </c>
    </row>
    <row r="86" spans="1:2" x14ac:dyDescent="0.25">
      <c r="A86" s="18">
        <v>21.8</v>
      </c>
      <c r="B86" s="18">
        <v>2.0500000000000002E-3</v>
      </c>
    </row>
    <row r="87" spans="1:2" x14ac:dyDescent="0.25">
      <c r="A87" s="18">
        <v>22</v>
      </c>
      <c r="B87" s="18">
        <v>2.0600000000000002E-3</v>
      </c>
    </row>
    <row r="88" spans="1:2" x14ac:dyDescent="0.25">
      <c r="A88" s="18">
        <v>22.2</v>
      </c>
      <c r="B88" s="18">
        <v>1.7899999999999999E-3</v>
      </c>
    </row>
    <row r="89" spans="1:2" x14ac:dyDescent="0.25">
      <c r="A89" s="18">
        <v>22.4</v>
      </c>
      <c r="B89" s="18">
        <v>1.6999999999999999E-3</v>
      </c>
    </row>
    <row r="90" spans="1:2" x14ac:dyDescent="0.25">
      <c r="A90" s="18">
        <v>22.6</v>
      </c>
      <c r="B90" s="18">
        <v>1.6000000000000001E-3</v>
      </c>
    </row>
    <row r="91" spans="1:2" x14ac:dyDescent="0.25">
      <c r="A91" s="18">
        <v>22.8</v>
      </c>
      <c r="B91" s="18">
        <v>1.4300000000000001E-3</v>
      </c>
    </row>
    <row r="92" spans="1:2" x14ac:dyDescent="0.25">
      <c r="A92" s="18">
        <v>23</v>
      </c>
      <c r="B92" s="18">
        <v>1.3600000000000001E-3</v>
      </c>
    </row>
    <row r="93" spans="1:2" x14ac:dyDescent="0.25">
      <c r="A93" s="18">
        <v>23.2</v>
      </c>
      <c r="B93" s="18">
        <v>1.1900000000000001E-3</v>
      </c>
    </row>
    <row r="94" spans="1:2" x14ac:dyDescent="0.25">
      <c r="A94" s="18">
        <v>23.4</v>
      </c>
      <c r="B94" s="18">
        <v>1.1000000000000001E-3</v>
      </c>
    </row>
    <row r="95" spans="1:2" x14ac:dyDescent="0.25">
      <c r="A95" s="18">
        <v>23.6</v>
      </c>
      <c r="B95" s="18">
        <v>9.9799999999999997E-4</v>
      </c>
    </row>
    <row r="96" spans="1:2" x14ac:dyDescent="0.25">
      <c r="A96" s="18">
        <v>23.8</v>
      </c>
      <c r="B96" s="18">
        <v>8.2700000000000004E-4</v>
      </c>
    </row>
    <row r="97" spans="1:2" x14ac:dyDescent="0.25">
      <c r="A97" s="18">
        <v>24</v>
      </c>
      <c r="B97" s="18">
        <v>7.4600000000000003E-4</v>
      </c>
    </row>
    <row r="98" spans="1:2" x14ac:dyDescent="0.25">
      <c r="A98" s="18">
        <v>24.2</v>
      </c>
      <c r="B98" s="18">
        <v>6.3100000000000005E-4</v>
      </c>
    </row>
    <row r="99" spans="1:2" x14ac:dyDescent="0.25">
      <c r="A99" s="18">
        <v>24.4</v>
      </c>
      <c r="B99" s="18">
        <v>5.1500000000000005E-4</v>
      </c>
    </row>
    <row r="100" spans="1:2" x14ac:dyDescent="0.25">
      <c r="A100" s="18">
        <v>24.6</v>
      </c>
      <c r="B100" s="18">
        <v>3.6200000000000002E-4</v>
      </c>
    </row>
    <row r="101" spans="1:2" x14ac:dyDescent="0.25">
      <c r="A101" s="18">
        <v>24.8</v>
      </c>
      <c r="B101" s="18">
        <v>2.5399999999999999E-4</v>
      </c>
    </row>
    <row r="102" spans="1:2" x14ac:dyDescent="0.25">
      <c r="A102" s="18">
        <v>25</v>
      </c>
      <c r="B102" s="18">
        <v>8.7899999999999995E-5</v>
      </c>
    </row>
    <row r="103" spans="1:2" x14ac:dyDescent="0.25">
      <c r="A103" s="18">
        <v>25.2</v>
      </c>
      <c r="B103" s="18">
        <v>7.7700000000000001E-6</v>
      </c>
    </row>
    <row r="104" spans="1:2" x14ac:dyDescent="0.25">
      <c r="A104" s="18">
        <v>25.4</v>
      </c>
      <c r="B104" s="18">
        <v>2.8000000000000002E-7</v>
      </c>
    </row>
    <row r="105" spans="1:2" x14ac:dyDescent="0.25">
      <c r="A105" s="18">
        <v>25.6</v>
      </c>
      <c r="B105" s="18">
        <v>5.37E-7</v>
      </c>
    </row>
    <row r="106" spans="1:2" x14ac:dyDescent="0.25">
      <c r="A106" s="18">
        <v>25.8</v>
      </c>
      <c r="B106" s="18">
        <v>2.2699999999999999E-6</v>
      </c>
    </row>
    <row r="107" spans="1:2" x14ac:dyDescent="0.25">
      <c r="A107" s="18">
        <v>26</v>
      </c>
      <c r="B107" s="18">
        <v>6.1200000000000003E-7</v>
      </c>
    </row>
    <row r="108" spans="1:2" x14ac:dyDescent="0.25">
      <c r="A108" s="18">
        <v>26.2</v>
      </c>
      <c r="B108" s="18">
        <v>8.1299999999999999E-7</v>
      </c>
    </row>
    <row r="109" spans="1:2" x14ac:dyDescent="0.25">
      <c r="A109" s="18">
        <v>26.4</v>
      </c>
      <c r="B109" s="18">
        <v>4.7700000000000005E-7</v>
      </c>
    </row>
    <row r="110" spans="1:2" x14ac:dyDescent="0.25">
      <c r="A110" s="18">
        <v>26.6</v>
      </c>
      <c r="B110" s="18">
        <v>7.6899999999999996E-7</v>
      </c>
    </row>
    <row r="111" spans="1:2" x14ac:dyDescent="0.25">
      <c r="A111" s="18">
        <v>26.8</v>
      </c>
      <c r="B111" s="18">
        <v>3.0899999999999997E-7</v>
      </c>
    </row>
    <row r="112" spans="1:2" x14ac:dyDescent="0.25">
      <c r="A112" s="18">
        <v>27</v>
      </c>
      <c r="B112" s="18">
        <v>7.7499999999999999E-7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1:B137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1.4300000000000001E-3</v>
      </c>
    </row>
    <row r="3" spans="1:2" x14ac:dyDescent="0.25">
      <c r="A3" s="18">
        <v>5.2</v>
      </c>
      <c r="B3" s="18">
        <v>8.9300000000000002E-4</v>
      </c>
    </row>
    <row r="4" spans="1:2" x14ac:dyDescent="0.25">
      <c r="A4" s="18">
        <v>5.4</v>
      </c>
      <c r="B4" s="18">
        <v>1.16E-3</v>
      </c>
    </row>
    <row r="5" spans="1:2" x14ac:dyDescent="0.25">
      <c r="A5" s="18">
        <v>5.6</v>
      </c>
      <c r="B5" s="18">
        <v>1.4599999999999999E-3</v>
      </c>
    </row>
    <row r="6" spans="1:2" x14ac:dyDescent="0.25">
      <c r="A6" s="18">
        <v>5.8</v>
      </c>
      <c r="B6" s="18">
        <v>4.0200000000000001E-4</v>
      </c>
    </row>
    <row r="7" spans="1:2" x14ac:dyDescent="0.25">
      <c r="A7" s="18">
        <v>6</v>
      </c>
      <c r="B7" s="18">
        <v>1.47E-3</v>
      </c>
    </row>
    <row r="8" spans="1:2" x14ac:dyDescent="0.25">
      <c r="A8" s="18">
        <v>6.2</v>
      </c>
      <c r="B8" s="18">
        <v>4.9600000000000002E-4</v>
      </c>
    </row>
    <row r="9" spans="1:2" x14ac:dyDescent="0.25">
      <c r="A9" s="18">
        <v>6.4</v>
      </c>
      <c r="B9" s="18">
        <v>9.3499999999999996E-4</v>
      </c>
    </row>
    <row r="10" spans="1:2" x14ac:dyDescent="0.25">
      <c r="A10" s="18">
        <v>6.6</v>
      </c>
      <c r="B10" s="18">
        <v>1.33E-3</v>
      </c>
    </row>
    <row r="11" spans="1:2" x14ac:dyDescent="0.25">
      <c r="A11" s="18">
        <v>6.8</v>
      </c>
      <c r="B11" s="18">
        <v>1.58E-3</v>
      </c>
    </row>
    <row r="12" spans="1:2" x14ac:dyDescent="0.25">
      <c r="A12" s="18">
        <v>7</v>
      </c>
      <c r="B12" s="18">
        <v>1.39E-3</v>
      </c>
    </row>
    <row r="13" spans="1:2" x14ac:dyDescent="0.25">
      <c r="A13" s="18">
        <v>7.2</v>
      </c>
      <c r="B13" s="18">
        <v>2.5200000000000001E-3</v>
      </c>
    </row>
    <row r="14" spans="1:2" x14ac:dyDescent="0.25">
      <c r="A14" s="18">
        <v>7.4</v>
      </c>
      <c r="B14" s="18">
        <v>3.8800000000000002E-3</v>
      </c>
    </row>
    <row r="15" spans="1:2" x14ac:dyDescent="0.25">
      <c r="A15" s="18">
        <v>7.6</v>
      </c>
      <c r="B15" s="18">
        <v>3.9500000000000004E-3</v>
      </c>
    </row>
    <row r="16" spans="1:2" x14ac:dyDescent="0.25">
      <c r="A16" s="18">
        <v>7.8</v>
      </c>
      <c r="B16" s="18">
        <v>4.5199999999999997E-3</v>
      </c>
    </row>
    <row r="17" spans="1:2" x14ac:dyDescent="0.25">
      <c r="A17" s="18">
        <v>8</v>
      </c>
      <c r="B17" s="18">
        <v>3.5500000000000002E-3</v>
      </c>
    </row>
    <row r="18" spans="1:2" x14ac:dyDescent="0.25">
      <c r="A18" s="18">
        <v>8.1999999999999993</v>
      </c>
      <c r="B18" s="18">
        <v>1.89E-2</v>
      </c>
    </row>
    <row r="19" spans="1:2" x14ac:dyDescent="0.25">
      <c r="A19" s="18">
        <v>8.4</v>
      </c>
      <c r="B19" s="18">
        <v>8.5800000000000001E-2</v>
      </c>
    </row>
    <row r="20" spans="1:2" x14ac:dyDescent="0.25">
      <c r="A20" s="18">
        <v>8.6</v>
      </c>
      <c r="B20" s="18">
        <v>4.0399999999999998E-2</v>
      </c>
    </row>
    <row r="21" spans="1:2" x14ac:dyDescent="0.25">
      <c r="A21" s="18">
        <v>8.8000000000000007</v>
      </c>
      <c r="B21" s="18">
        <v>7.3099999999999997E-3</v>
      </c>
    </row>
    <row r="22" spans="1:2" x14ac:dyDescent="0.25">
      <c r="A22" s="18">
        <v>9</v>
      </c>
      <c r="B22" s="18">
        <v>1.04E-2</v>
      </c>
    </row>
    <row r="23" spans="1:2" x14ac:dyDescent="0.25">
      <c r="A23" s="18">
        <v>9.1999999999999993</v>
      </c>
      <c r="B23" s="18">
        <v>1.0699999999999999E-2</v>
      </c>
    </row>
    <row r="24" spans="1:2" x14ac:dyDescent="0.25">
      <c r="A24" s="18">
        <v>9.4</v>
      </c>
      <c r="B24" s="18">
        <v>1.37E-2</v>
      </c>
    </row>
    <row r="25" spans="1:2" x14ac:dyDescent="0.25">
      <c r="A25" s="18">
        <v>9.6</v>
      </c>
      <c r="B25" s="18">
        <v>7.1300000000000002E-2</v>
      </c>
    </row>
    <row r="26" spans="1:2" x14ac:dyDescent="0.25">
      <c r="A26" s="18">
        <v>9.8000000000000007</v>
      </c>
      <c r="B26" s="18">
        <v>8.9599999999999999E-2</v>
      </c>
    </row>
    <row r="27" spans="1:2" x14ac:dyDescent="0.25">
      <c r="A27" s="18">
        <v>10</v>
      </c>
      <c r="B27" s="18">
        <v>5.62E-2</v>
      </c>
    </row>
    <row r="28" spans="1:2" x14ac:dyDescent="0.25">
      <c r="A28" s="18">
        <v>10.199999999999999</v>
      </c>
      <c r="B28" s="18">
        <v>2.3800000000000002E-2</v>
      </c>
    </row>
    <row r="29" spans="1:2" x14ac:dyDescent="0.25">
      <c r="A29" s="18">
        <v>10.4</v>
      </c>
      <c r="B29" s="18">
        <v>1.12E-2</v>
      </c>
    </row>
    <row r="30" spans="1:2" x14ac:dyDescent="0.25">
      <c r="A30" s="18">
        <v>10.6</v>
      </c>
      <c r="B30" s="18">
        <v>1.1900000000000001E-2</v>
      </c>
    </row>
    <row r="31" spans="1:2" x14ac:dyDescent="0.25">
      <c r="A31" s="18">
        <v>10.8</v>
      </c>
      <c r="B31" s="18">
        <v>1.2200000000000001E-2</v>
      </c>
    </row>
    <row r="32" spans="1:2" x14ac:dyDescent="0.25">
      <c r="A32" s="18">
        <v>11</v>
      </c>
      <c r="B32" s="18">
        <v>1.24E-2</v>
      </c>
    </row>
    <row r="33" spans="1:2" x14ac:dyDescent="0.25">
      <c r="A33" s="18">
        <v>11.2</v>
      </c>
      <c r="B33" s="18">
        <v>2.2200000000000001E-2</v>
      </c>
    </row>
    <row r="34" spans="1:2" x14ac:dyDescent="0.25">
      <c r="A34" s="18">
        <v>11.4</v>
      </c>
      <c r="B34" s="18">
        <v>2.75E-2</v>
      </c>
    </row>
    <row r="35" spans="1:2" x14ac:dyDescent="0.25">
      <c r="A35" s="18">
        <v>11.6</v>
      </c>
      <c r="B35" s="18">
        <v>1.8599999999999998E-2</v>
      </c>
    </row>
    <row r="36" spans="1:2" x14ac:dyDescent="0.25">
      <c r="A36" s="18">
        <v>11.8</v>
      </c>
      <c r="B36" s="18">
        <v>1.5299999999999999E-2</v>
      </c>
    </row>
    <row r="37" spans="1:2" x14ac:dyDescent="0.25">
      <c r="A37" s="18">
        <v>12</v>
      </c>
      <c r="B37" s="18">
        <v>1.2699999999999999E-2</v>
      </c>
    </row>
    <row r="38" spans="1:2" x14ac:dyDescent="0.25">
      <c r="A38" s="18">
        <v>12.2</v>
      </c>
      <c r="B38" s="18">
        <v>1.2E-2</v>
      </c>
    </row>
    <row r="39" spans="1:2" x14ac:dyDescent="0.25">
      <c r="A39" s="18">
        <v>12.4</v>
      </c>
      <c r="B39" s="18">
        <v>1.09E-2</v>
      </c>
    </row>
    <row r="40" spans="1:2" x14ac:dyDescent="0.25">
      <c r="A40" s="18">
        <v>12.6</v>
      </c>
      <c r="B40" s="18">
        <v>1.12E-2</v>
      </c>
    </row>
    <row r="41" spans="1:2" x14ac:dyDescent="0.25">
      <c r="A41" s="18">
        <v>12.8</v>
      </c>
      <c r="B41" s="18">
        <v>1.09E-2</v>
      </c>
    </row>
    <row r="42" spans="1:2" x14ac:dyDescent="0.25">
      <c r="A42" s="18">
        <v>13</v>
      </c>
      <c r="B42" s="18">
        <v>1.0999999999999999E-2</v>
      </c>
    </row>
    <row r="43" spans="1:2" x14ac:dyDescent="0.25">
      <c r="A43" s="18">
        <v>13.2</v>
      </c>
      <c r="B43" s="18">
        <v>1.09E-2</v>
      </c>
    </row>
    <row r="44" spans="1:2" x14ac:dyDescent="0.25">
      <c r="A44" s="18">
        <v>13.4</v>
      </c>
      <c r="B44" s="18">
        <v>1.0699999999999999E-2</v>
      </c>
    </row>
    <row r="45" spans="1:2" x14ac:dyDescent="0.25">
      <c r="A45" s="18">
        <v>13.6</v>
      </c>
      <c r="B45" s="18">
        <v>1.0500000000000001E-2</v>
      </c>
    </row>
    <row r="46" spans="1:2" x14ac:dyDescent="0.25">
      <c r="A46" s="18">
        <v>13.8</v>
      </c>
      <c r="B46" s="18">
        <v>1.0500000000000001E-2</v>
      </c>
    </row>
    <row r="47" spans="1:2" x14ac:dyDescent="0.25">
      <c r="A47" s="18">
        <v>14</v>
      </c>
      <c r="B47" s="18">
        <v>1.0200000000000001E-2</v>
      </c>
    </row>
    <row r="48" spans="1:2" x14ac:dyDescent="0.25">
      <c r="A48" s="18">
        <v>14.2</v>
      </c>
      <c r="B48" s="18">
        <v>9.8799999999999999E-3</v>
      </c>
    </row>
    <row r="49" spans="1:2" x14ac:dyDescent="0.25">
      <c r="A49" s="18">
        <v>14.4</v>
      </c>
      <c r="B49" s="18">
        <v>9.8399999999999998E-3</v>
      </c>
    </row>
    <row r="50" spans="1:2" x14ac:dyDescent="0.25">
      <c r="A50" s="18">
        <v>14.6</v>
      </c>
      <c r="B50" s="18">
        <v>9.5999999999999992E-3</v>
      </c>
    </row>
    <row r="51" spans="1:2" x14ac:dyDescent="0.25">
      <c r="A51" s="18">
        <v>14.8</v>
      </c>
      <c r="B51" s="18">
        <v>9.4000000000000004E-3</v>
      </c>
    </row>
    <row r="52" spans="1:2" x14ac:dyDescent="0.25">
      <c r="A52" s="18">
        <v>15</v>
      </c>
      <c r="B52" s="18">
        <v>9.1500000000000001E-3</v>
      </c>
    </row>
    <row r="53" spans="1:2" x14ac:dyDescent="0.25">
      <c r="A53" s="18">
        <v>15.2</v>
      </c>
      <c r="B53" s="18">
        <v>8.94E-3</v>
      </c>
    </row>
    <row r="54" spans="1:2" x14ac:dyDescent="0.25">
      <c r="A54" s="18">
        <v>15.4</v>
      </c>
      <c r="B54" s="18">
        <v>8.7600000000000004E-3</v>
      </c>
    </row>
    <row r="55" spans="1:2" x14ac:dyDescent="0.25">
      <c r="A55" s="18">
        <v>15.6</v>
      </c>
      <c r="B55" s="18">
        <v>8.4700000000000001E-3</v>
      </c>
    </row>
    <row r="56" spans="1:2" x14ac:dyDescent="0.25">
      <c r="A56" s="18">
        <v>15.8</v>
      </c>
      <c r="B56" s="18">
        <v>8.3599999999999994E-3</v>
      </c>
    </row>
    <row r="57" spans="1:2" x14ac:dyDescent="0.25">
      <c r="A57" s="18">
        <v>16</v>
      </c>
      <c r="B57" s="18">
        <v>8.0099999999999998E-3</v>
      </c>
    </row>
    <row r="58" spans="1:2" x14ac:dyDescent="0.25">
      <c r="A58" s="18">
        <v>16.2</v>
      </c>
      <c r="B58" s="18">
        <v>7.6899999999999998E-3</v>
      </c>
    </row>
    <row r="59" spans="1:2" x14ac:dyDescent="0.25">
      <c r="A59" s="18">
        <v>16.399999999999999</v>
      </c>
      <c r="B59" s="18">
        <v>7.7099999999999998E-3</v>
      </c>
    </row>
    <row r="60" spans="1:2" x14ac:dyDescent="0.25">
      <c r="A60" s="18">
        <v>16.600000000000001</v>
      </c>
      <c r="B60" s="18">
        <v>7.3099999999999997E-3</v>
      </c>
    </row>
    <row r="61" spans="1:2" x14ac:dyDescent="0.25">
      <c r="A61" s="18">
        <v>16.8</v>
      </c>
      <c r="B61" s="18">
        <v>7.1000000000000004E-3</v>
      </c>
    </row>
    <row r="62" spans="1:2" x14ac:dyDescent="0.25">
      <c r="A62" s="18">
        <v>17</v>
      </c>
      <c r="B62" s="18">
        <v>6.9699999999999996E-3</v>
      </c>
    </row>
    <row r="63" spans="1:2" x14ac:dyDescent="0.25">
      <c r="A63" s="18">
        <v>17.2</v>
      </c>
      <c r="B63" s="18">
        <v>6.5900000000000004E-3</v>
      </c>
    </row>
    <row r="64" spans="1:2" x14ac:dyDescent="0.25">
      <c r="A64" s="18">
        <v>17.399999999999999</v>
      </c>
      <c r="B64" s="18">
        <v>6.5199999999999998E-3</v>
      </c>
    </row>
    <row r="65" spans="1:2" x14ac:dyDescent="0.25">
      <c r="A65" s="18">
        <v>17.600000000000001</v>
      </c>
      <c r="B65" s="18">
        <v>6.1799999999999997E-3</v>
      </c>
    </row>
    <row r="66" spans="1:2" x14ac:dyDescent="0.25">
      <c r="A66" s="18">
        <v>17.8</v>
      </c>
      <c r="B66" s="18">
        <v>6.1700000000000001E-3</v>
      </c>
    </row>
    <row r="67" spans="1:2" x14ac:dyDescent="0.25">
      <c r="A67" s="18">
        <v>18</v>
      </c>
      <c r="B67" s="18">
        <v>5.7200000000000003E-3</v>
      </c>
    </row>
    <row r="68" spans="1:2" x14ac:dyDescent="0.25">
      <c r="A68" s="18">
        <v>18.2</v>
      </c>
      <c r="B68" s="18">
        <v>5.7999999999999996E-3</v>
      </c>
    </row>
    <row r="69" spans="1:2" x14ac:dyDescent="0.25">
      <c r="A69" s="18">
        <v>18.399999999999999</v>
      </c>
      <c r="B69" s="18">
        <v>5.3400000000000001E-3</v>
      </c>
    </row>
    <row r="70" spans="1:2" x14ac:dyDescent="0.25">
      <c r="A70" s="18">
        <v>18.600000000000001</v>
      </c>
      <c r="B70" s="18">
        <v>5.3899999999999998E-3</v>
      </c>
    </row>
    <row r="71" spans="1:2" x14ac:dyDescent="0.25">
      <c r="A71" s="18">
        <v>18.8</v>
      </c>
      <c r="B71" s="18">
        <v>5.1399999999999996E-3</v>
      </c>
    </row>
    <row r="72" spans="1:2" x14ac:dyDescent="0.25">
      <c r="A72" s="18">
        <v>19</v>
      </c>
      <c r="B72" s="18">
        <v>4.8500000000000001E-3</v>
      </c>
    </row>
    <row r="73" spans="1:2" x14ac:dyDescent="0.25">
      <c r="A73" s="18">
        <v>19.2</v>
      </c>
      <c r="B73" s="18">
        <v>4.7000000000000002E-3</v>
      </c>
    </row>
    <row r="74" spans="1:2" x14ac:dyDescent="0.25">
      <c r="A74" s="18">
        <v>19.399999999999999</v>
      </c>
      <c r="B74" s="18">
        <v>4.6499999999999996E-3</v>
      </c>
    </row>
    <row r="75" spans="1:2" x14ac:dyDescent="0.25">
      <c r="A75" s="18">
        <v>19.600000000000001</v>
      </c>
      <c r="B75" s="18">
        <v>4.3400000000000001E-3</v>
      </c>
    </row>
    <row r="76" spans="1:2" x14ac:dyDescent="0.25">
      <c r="A76" s="18">
        <v>19.8</v>
      </c>
      <c r="B76" s="18">
        <v>4.3E-3</v>
      </c>
    </row>
    <row r="77" spans="1:2" x14ac:dyDescent="0.25">
      <c r="A77" s="18">
        <v>20</v>
      </c>
      <c r="B77" s="18">
        <v>4.1399999999999996E-3</v>
      </c>
    </row>
    <row r="78" spans="1:2" x14ac:dyDescent="0.25">
      <c r="A78" s="18">
        <v>20.2</v>
      </c>
      <c r="B78" s="18">
        <v>3.9399999999999999E-3</v>
      </c>
    </row>
    <row r="79" spans="1:2" x14ac:dyDescent="0.25">
      <c r="A79" s="18">
        <v>20.399999999999999</v>
      </c>
      <c r="B79" s="18">
        <v>3.7200000000000002E-3</v>
      </c>
    </row>
    <row r="80" spans="1:2" x14ac:dyDescent="0.25">
      <c r="A80" s="18">
        <v>20.6</v>
      </c>
      <c r="B80" s="18">
        <v>3.7299999999999998E-3</v>
      </c>
    </row>
    <row r="81" spans="1:2" x14ac:dyDescent="0.25">
      <c r="A81" s="18">
        <v>20.8</v>
      </c>
      <c r="B81" s="18">
        <v>3.5000000000000001E-3</v>
      </c>
    </row>
    <row r="82" spans="1:2" x14ac:dyDescent="0.25">
      <c r="A82" s="18">
        <v>21</v>
      </c>
      <c r="B82" s="18">
        <v>3.47E-3</v>
      </c>
    </row>
    <row r="83" spans="1:2" x14ac:dyDescent="0.25">
      <c r="A83" s="18">
        <v>21.2</v>
      </c>
      <c r="B83" s="18">
        <v>3.2499999999999999E-3</v>
      </c>
    </row>
    <row r="84" spans="1:2" x14ac:dyDescent="0.25">
      <c r="A84" s="18">
        <v>21.4</v>
      </c>
      <c r="B84" s="18">
        <v>3.15E-3</v>
      </c>
    </row>
    <row r="85" spans="1:2" x14ac:dyDescent="0.25">
      <c r="A85" s="18">
        <v>21.6</v>
      </c>
      <c r="B85" s="18">
        <v>3.0200000000000001E-3</v>
      </c>
    </row>
    <row r="86" spans="1:2" x14ac:dyDescent="0.25">
      <c r="A86" s="18">
        <v>21.8</v>
      </c>
      <c r="B86" s="18">
        <v>2.98E-3</v>
      </c>
    </row>
    <row r="87" spans="1:2" x14ac:dyDescent="0.25">
      <c r="A87" s="18">
        <v>22</v>
      </c>
      <c r="B87" s="18">
        <v>2.7699999999999999E-3</v>
      </c>
    </row>
    <row r="88" spans="1:2" x14ac:dyDescent="0.25">
      <c r="A88" s="18">
        <v>22.2</v>
      </c>
      <c r="B88" s="18">
        <v>2.7200000000000002E-3</v>
      </c>
    </row>
    <row r="89" spans="1:2" x14ac:dyDescent="0.25">
      <c r="A89" s="18">
        <v>22.4</v>
      </c>
      <c r="B89" s="18">
        <v>2.5699999999999998E-3</v>
      </c>
    </row>
    <row r="90" spans="1:2" x14ac:dyDescent="0.25">
      <c r="A90" s="18">
        <v>22.6</v>
      </c>
      <c r="B90" s="18">
        <v>2.4499999999999999E-3</v>
      </c>
    </row>
    <row r="91" spans="1:2" x14ac:dyDescent="0.25">
      <c r="A91" s="18">
        <v>22.8</v>
      </c>
      <c r="B91" s="18">
        <v>2.3900000000000002E-3</v>
      </c>
    </row>
    <row r="92" spans="1:2" x14ac:dyDescent="0.25">
      <c r="A92" s="18">
        <v>23</v>
      </c>
      <c r="B92" s="18">
        <v>2.32E-3</v>
      </c>
    </row>
    <row r="93" spans="1:2" x14ac:dyDescent="0.25">
      <c r="A93" s="18">
        <v>23.2</v>
      </c>
      <c r="B93" s="18">
        <v>2.2000000000000001E-3</v>
      </c>
    </row>
    <row r="94" spans="1:2" x14ac:dyDescent="0.25">
      <c r="A94" s="18">
        <v>23.4</v>
      </c>
      <c r="B94" s="18">
        <v>2.0999999999999999E-3</v>
      </c>
    </row>
    <row r="95" spans="1:2" x14ac:dyDescent="0.25">
      <c r="A95" s="18">
        <v>23.6</v>
      </c>
      <c r="B95" s="18">
        <v>1.9300000000000001E-3</v>
      </c>
    </row>
    <row r="96" spans="1:2" x14ac:dyDescent="0.25">
      <c r="A96" s="18">
        <v>23.8</v>
      </c>
      <c r="B96" s="18">
        <v>1.9599999999999999E-3</v>
      </c>
    </row>
    <row r="97" spans="1:2" x14ac:dyDescent="0.25">
      <c r="A97" s="18">
        <v>24</v>
      </c>
      <c r="B97" s="18">
        <v>1.7899999999999999E-3</v>
      </c>
    </row>
    <row r="98" spans="1:2" x14ac:dyDescent="0.25">
      <c r="A98" s="18">
        <v>24.2</v>
      </c>
      <c r="B98" s="18">
        <v>1.7799999999999999E-3</v>
      </c>
    </row>
    <row r="99" spans="1:2" x14ac:dyDescent="0.25">
      <c r="A99" s="18">
        <v>24.4</v>
      </c>
      <c r="B99" s="18">
        <v>1.6199999999999999E-3</v>
      </c>
    </row>
    <row r="100" spans="1:2" x14ac:dyDescent="0.25">
      <c r="A100" s="18">
        <v>24.6</v>
      </c>
      <c r="B100" s="18">
        <v>1.6199999999999999E-3</v>
      </c>
    </row>
    <row r="101" spans="1:2" x14ac:dyDescent="0.25">
      <c r="A101" s="18">
        <v>24.8</v>
      </c>
      <c r="B101" s="18">
        <v>1.47E-3</v>
      </c>
    </row>
    <row r="102" spans="1:2" x14ac:dyDescent="0.25">
      <c r="A102" s="18">
        <v>25</v>
      </c>
      <c r="B102" s="18">
        <v>1.48E-3</v>
      </c>
    </row>
    <row r="103" spans="1:2" x14ac:dyDescent="0.25">
      <c r="A103" s="18">
        <v>25.2</v>
      </c>
      <c r="B103" s="18">
        <v>1.3799999999999999E-3</v>
      </c>
    </row>
    <row r="104" spans="1:2" x14ac:dyDescent="0.25">
      <c r="A104" s="18">
        <v>25.4</v>
      </c>
      <c r="B104" s="18">
        <v>1.2800000000000001E-3</v>
      </c>
    </row>
    <row r="105" spans="1:2" x14ac:dyDescent="0.25">
      <c r="A105" s="18">
        <v>25.6</v>
      </c>
      <c r="B105" s="18">
        <v>1.2700000000000001E-3</v>
      </c>
    </row>
    <row r="106" spans="1:2" x14ac:dyDescent="0.25">
      <c r="A106" s="18">
        <v>25.8</v>
      </c>
      <c r="B106" s="18">
        <v>1.17E-3</v>
      </c>
    </row>
    <row r="107" spans="1:2" x14ac:dyDescent="0.25">
      <c r="A107" s="18">
        <v>26</v>
      </c>
      <c r="B107" s="18">
        <v>1.1199999999999999E-3</v>
      </c>
    </row>
    <row r="108" spans="1:2" x14ac:dyDescent="0.25">
      <c r="A108" s="18">
        <v>26.2</v>
      </c>
      <c r="B108" s="18">
        <v>1.0399999999999999E-3</v>
      </c>
    </row>
    <row r="109" spans="1:2" x14ac:dyDescent="0.25">
      <c r="A109" s="18">
        <v>26.4</v>
      </c>
      <c r="B109" s="18">
        <v>9.5799999999999998E-4</v>
      </c>
    </row>
    <row r="110" spans="1:2" x14ac:dyDescent="0.25">
      <c r="A110" s="18">
        <v>26.6</v>
      </c>
      <c r="B110" s="18">
        <v>9.2699999999999998E-4</v>
      </c>
    </row>
    <row r="111" spans="1:2" x14ac:dyDescent="0.25">
      <c r="A111" s="18">
        <v>26.8</v>
      </c>
      <c r="B111" s="18">
        <v>8.3699999999999996E-4</v>
      </c>
    </row>
    <row r="112" spans="1:2" x14ac:dyDescent="0.25">
      <c r="A112" s="18">
        <v>27</v>
      </c>
      <c r="B112" s="18">
        <v>8.1099999999999998E-4</v>
      </c>
    </row>
    <row r="113" spans="1:2" x14ac:dyDescent="0.25">
      <c r="A113" s="18">
        <v>27.2</v>
      </c>
      <c r="B113" s="18">
        <v>7.8399999999999997E-4</v>
      </c>
    </row>
    <row r="114" spans="1:2" x14ac:dyDescent="0.25">
      <c r="A114" s="18">
        <v>27.4</v>
      </c>
      <c r="B114" s="18">
        <v>6.5700000000000003E-4</v>
      </c>
    </row>
    <row r="115" spans="1:2" x14ac:dyDescent="0.25">
      <c r="A115" s="18">
        <v>27.6</v>
      </c>
      <c r="B115" s="18">
        <v>6.9700000000000003E-4</v>
      </c>
    </row>
    <row r="116" spans="1:2" x14ac:dyDescent="0.25">
      <c r="A116" s="18">
        <v>27.8</v>
      </c>
      <c r="B116" s="18">
        <v>5.6300000000000002E-4</v>
      </c>
    </row>
    <row r="117" spans="1:2" x14ac:dyDescent="0.25">
      <c r="A117" s="18">
        <v>28</v>
      </c>
      <c r="B117" s="18">
        <v>5.2999999999999998E-4</v>
      </c>
    </row>
    <row r="118" spans="1:2" x14ac:dyDescent="0.25">
      <c r="A118" s="18">
        <v>28.2</v>
      </c>
      <c r="B118" s="18">
        <v>5.0799999999999999E-4</v>
      </c>
    </row>
    <row r="119" spans="1:2" x14ac:dyDescent="0.25">
      <c r="A119" s="18">
        <v>28.4</v>
      </c>
      <c r="B119" s="18">
        <v>4.5100000000000001E-4</v>
      </c>
    </row>
    <row r="120" spans="1:2" x14ac:dyDescent="0.25">
      <c r="A120" s="18">
        <v>28.6</v>
      </c>
      <c r="B120" s="18">
        <v>4.1100000000000002E-4</v>
      </c>
    </row>
    <row r="121" spans="1:2" x14ac:dyDescent="0.25">
      <c r="A121" s="18">
        <v>28.8</v>
      </c>
      <c r="B121" s="18">
        <v>3.5500000000000001E-4</v>
      </c>
    </row>
    <row r="122" spans="1:2" x14ac:dyDescent="0.25">
      <c r="A122" s="18">
        <v>29</v>
      </c>
      <c r="B122" s="18">
        <v>3.0299999999999999E-4</v>
      </c>
    </row>
    <row r="123" spans="1:2" x14ac:dyDescent="0.25">
      <c r="A123" s="18">
        <v>29.2</v>
      </c>
      <c r="B123" s="18">
        <v>2.5399999999999999E-4</v>
      </c>
    </row>
    <row r="124" spans="1:2" x14ac:dyDescent="0.25">
      <c r="A124" s="18">
        <v>29.4</v>
      </c>
      <c r="B124" s="18">
        <v>2.34E-4</v>
      </c>
    </row>
    <row r="125" spans="1:2" x14ac:dyDescent="0.25">
      <c r="A125" s="18">
        <v>29.6</v>
      </c>
      <c r="B125" s="18">
        <v>1.6000000000000001E-4</v>
      </c>
    </row>
    <row r="126" spans="1:2" x14ac:dyDescent="0.25">
      <c r="A126" s="18">
        <v>29.8</v>
      </c>
      <c r="B126" s="18">
        <v>1.07E-4</v>
      </c>
    </row>
    <row r="127" spans="1:2" x14ac:dyDescent="0.25">
      <c r="A127" s="18">
        <v>30</v>
      </c>
      <c r="B127" s="18">
        <v>3.3099999999999998E-5</v>
      </c>
    </row>
    <row r="128" spans="1:2" x14ac:dyDescent="0.25">
      <c r="A128" s="18">
        <v>30.2</v>
      </c>
      <c r="B128" s="18">
        <v>3.2200000000000001E-6</v>
      </c>
    </row>
    <row r="129" spans="1:2" x14ac:dyDescent="0.25">
      <c r="A129" s="18">
        <v>30.4</v>
      </c>
      <c r="B129" s="18">
        <v>4.15E-7</v>
      </c>
    </row>
    <row r="130" spans="1:2" x14ac:dyDescent="0.25">
      <c r="A130" s="18">
        <v>30.6</v>
      </c>
      <c r="B130" s="18">
        <v>1.0499999999999999E-6</v>
      </c>
    </row>
    <row r="131" spans="1:2" x14ac:dyDescent="0.25">
      <c r="A131" s="18">
        <v>30.8</v>
      </c>
      <c r="B131" s="18">
        <v>9.0299999999999997E-7</v>
      </c>
    </row>
    <row r="132" spans="1:2" x14ac:dyDescent="0.25">
      <c r="A132" s="18">
        <v>31</v>
      </c>
      <c r="B132" s="18">
        <v>2.0699999999999999E-7</v>
      </c>
    </row>
    <row r="133" spans="1:2" x14ac:dyDescent="0.25">
      <c r="A133" s="18">
        <v>31.2</v>
      </c>
      <c r="B133" s="18">
        <v>9.9399999999999993E-7</v>
      </c>
    </row>
    <row r="134" spans="1:2" x14ac:dyDescent="0.25">
      <c r="A134" s="18">
        <v>31.4</v>
      </c>
      <c r="B134" s="18">
        <v>2.34E-7</v>
      </c>
    </row>
    <row r="135" spans="1:2" x14ac:dyDescent="0.25">
      <c r="A135" s="18">
        <v>31.6</v>
      </c>
      <c r="B135" s="18">
        <v>1.3599999999999999E-6</v>
      </c>
    </row>
    <row r="136" spans="1:2" x14ac:dyDescent="0.25">
      <c r="A136" s="18">
        <v>31.8</v>
      </c>
      <c r="B136" s="18">
        <v>1.0899999999999999E-6</v>
      </c>
    </row>
    <row r="137" spans="1:2" x14ac:dyDescent="0.25">
      <c r="A137" s="18">
        <v>32</v>
      </c>
      <c r="B137" s="18">
        <v>6.1399999999999997E-7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1:B162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7.8200000000000003E-4</v>
      </c>
    </row>
    <row r="3" spans="1:2" x14ac:dyDescent="0.25">
      <c r="A3" s="18">
        <v>5.2</v>
      </c>
      <c r="B3" s="18">
        <v>1.23E-3</v>
      </c>
    </row>
    <row r="4" spans="1:2" x14ac:dyDescent="0.25">
      <c r="A4" s="18">
        <v>5.4</v>
      </c>
      <c r="B4" s="18">
        <v>7.8200000000000003E-4</v>
      </c>
    </row>
    <row r="5" spans="1:2" x14ac:dyDescent="0.25">
      <c r="A5" s="18">
        <v>5.6</v>
      </c>
      <c r="B5" s="18">
        <v>1.07E-3</v>
      </c>
    </row>
    <row r="6" spans="1:2" x14ac:dyDescent="0.25">
      <c r="A6" s="18">
        <v>5.8</v>
      </c>
      <c r="B6" s="18">
        <v>9.3599999999999998E-4</v>
      </c>
    </row>
    <row r="7" spans="1:2" x14ac:dyDescent="0.25">
      <c r="A7" s="18">
        <v>6</v>
      </c>
      <c r="B7" s="18">
        <v>3.6000000000000002E-4</v>
      </c>
    </row>
    <row r="8" spans="1:2" x14ac:dyDescent="0.25">
      <c r="A8" s="18">
        <v>6.2</v>
      </c>
      <c r="B8" s="18">
        <v>7.5100000000000004E-4</v>
      </c>
    </row>
    <row r="9" spans="1:2" x14ac:dyDescent="0.25">
      <c r="A9" s="18">
        <v>6.4</v>
      </c>
      <c r="B9" s="18">
        <v>9.6400000000000001E-4</v>
      </c>
    </row>
    <row r="10" spans="1:2" x14ac:dyDescent="0.25">
      <c r="A10" s="18">
        <v>6.6</v>
      </c>
      <c r="B10" s="18">
        <v>1.1999999999999999E-3</v>
      </c>
    </row>
    <row r="11" spans="1:2" x14ac:dyDescent="0.25">
      <c r="A11" s="18">
        <v>6.8</v>
      </c>
      <c r="B11" s="18">
        <v>1.0200000000000001E-3</v>
      </c>
    </row>
    <row r="12" spans="1:2" x14ac:dyDescent="0.25">
      <c r="A12" s="18">
        <v>7</v>
      </c>
      <c r="B12" s="18">
        <v>1.6299999999999999E-3</v>
      </c>
    </row>
    <row r="13" spans="1:2" x14ac:dyDescent="0.25">
      <c r="A13" s="18">
        <v>7.2</v>
      </c>
      <c r="B13" s="18">
        <v>2.0699999999999998E-3</v>
      </c>
    </row>
    <row r="14" spans="1:2" x14ac:dyDescent="0.25">
      <c r="A14" s="18">
        <v>7.4</v>
      </c>
      <c r="B14" s="18">
        <v>3.7799999999999999E-3</v>
      </c>
    </row>
    <row r="15" spans="1:2" x14ac:dyDescent="0.25">
      <c r="A15" s="18">
        <v>7.6</v>
      </c>
      <c r="B15" s="18">
        <v>3.13E-3</v>
      </c>
    </row>
    <row r="16" spans="1:2" x14ac:dyDescent="0.25">
      <c r="A16" s="18">
        <v>7.8</v>
      </c>
      <c r="B16" s="18">
        <v>4.1700000000000001E-3</v>
      </c>
    </row>
    <row r="17" spans="1:2" x14ac:dyDescent="0.25">
      <c r="A17" s="18">
        <v>8</v>
      </c>
      <c r="B17" s="18">
        <v>3.0400000000000002E-3</v>
      </c>
    </row>
    <row r="18" spans="1:2" x14ac:dyDescent="0.25">
      <c r="A18" s="18">
        <v>8.1999999999999993</v>
      </c>
      <c r="B18" s="18">
        <v>1.8200000000000001E-2</v>
      </c>
    </row>
    <row r="19" spans="1:2" x14ac:dyDescent="0.25">
      <c r="A19" s="18">
        <v>8.4</v>
      </c>
      <c r="B19" s="18">
        <v>8.6999999999999994E-2</v>
      </c>
    </row>
    <row r="20" spans="1:2" x14ac:dyDescent="0.25">
      <c r="A20" s="18">
        <v>8.6</v>
      </c>
      <c r="B20" s="18">
        <v>3.8699999999999998E-2</v>
      </c>
    </row>
    <row r="21" spans="1:2" x14ac:dyDescent="0.25">
      <c r="A21" s="18">
        <v>8.8000000000000007</v>
      </c>
      <c r="B21" s="18">
        <v>6.7499999999999999E-3</v>
      </c>
    </row>
    <row r="22" spans="1:2" x14ac:dyDescent="0.25">
      <c r="A22" s="18">
        <v>9</v>
      </c>
      <c r="B22" s="18">
        <v>9.41E-3</v>
      </c>
    </row>
    <row r="23" spans="1:2" x14ac:dyDescent="0.25">
      <c r="A23" s="18">
        <v>9.1999999999999993</v>
      </c>
      <c r="B23" s="18">
        <v>9.6399999999999993E-3</v>
      </c>
    </row>
    <row r="24" spans="1:2" x14ac:dyDescent="0.25">
      <c r="A24" s="18">
        <v>9.4</v>
      </c>
      <c r="B24" s="18">
        <v>1.2999999999999999E-2</v>
      </c>
    </row>
    <row r="25" spans="1:2" x14ac:dyDescent="0.25">
      <c r="A25" s="18">
        <v>9.6</v>
      </c>
      <c r="B25" s="18">
        <v>7.3700000000000002E-2</v>
      </c>
    </row>
    <row r="26" spans="1:2" x14ac:dyDescent="0.25">
      <c r="A26" s="18">
        <v>9.8000000000000007</v>
      </c>
      <c r="B26" s="18">
        <v>9.2899999999999996E-2</v>
      </c>
    </row>
    <row r="27" spans="1:2" x14ac:dyDescent="0.25">
      <c r="A27" s="18">
        <v>10</v>
      </c>
      <c r="B27" s="18">
        <v>5.7099999999999998E-2</v>
      </c>
    </row>
    <row r="28" spans="1:2" x14ac:dyDescent="0.25">
      <c r="A28" s="18">
        <v>10.199999999999999</v>
      </c>
      <c r="B28" s="18">
        <v>2.2700000000000001E-2</v>
      </c>
    </row>
    <row r="29" spans="1:2" x14ac:dyDescent="0.25">
      <c r="A29" s="18">
        <v>10.4</v>
      </c>
      <c r="B29" s="18">
        <v>1.01E-2</v>
      </c>
    </row>
    <row r="30" spans="1:2" x14ac:dyDescent="0.25">
      <c r="A30" s="18">
        <v>10.6</v>
      </c>
      <c r="B30" s="18">
        <v>1.04E-2</v>
      </c>
    </row>
    <row r="31" spans="1:2" x14ac:dyDescent="0.25">
      <c r="A31" s="18">
        <v>10.8</v>
      </c>
      <c r="B31" s="18">
        <v>1.12E-2</v>
      </c>
    </row>
    <row r="32" spans="1:2" x14ac:dyDescent="0.25">
      <c r="A32" s="18">
        <v>11</v>
      </c>
      <c r="B32" s="18">
        <v>1.11E-2</v>
      </c>
    </row>
    <row r="33" spans="1:2" x14ac:dyDescent="0.25">
      <c r="A33" s="18">
        <v>11.2</v>
      </c>
      <c r="B33" s="18">
        <v>2.1600000000000001E-2</v>
      </c>
    </row>
    <row r="34" spans="1:2" x14ac:dyDescent="0.25">
      <c r="A34" s="18">
        <v>11.4</v>
      </c>
      <c r="B34" s="18">
        <v>2.64E-2</v>
      </c>
    </row>
    <row r="35" spans="1:2" x14ac:dyDescent="0.25">
      <c r="A35" s="18">
        <v>11.6</v>
      </c>
      <c r="B35" s="18">
        <v>1.7299999999999999E-2</v>
      </c>
    </row>
    <row r="36" spans="1:2" x14ac:dyDescent="0.25">
      <c r="A36" s="18">
        <v>11.8</v>
      </c>
      <c r="B36" s="18">
        <v>1.46E-2</v>
      </c>
    </row>
    <row r="37" spans="1:2" x14ac:dyDescent="0.25">
      <c r="A37" s="18">
        <v>12</v>
      </c>
      <c r="B37" s="18">
        <v>1.0999999999999999E-2</v>
      </c>
    </row>
    <row r="38" spans="1:2" x14ac:dyDescent="0.25">
      <c r="A38" s="18">
        <v>12.2</v>
      </c>
      <c r="B38" s="18">
        <v>1.0999999999999999E-2</v>
      </c>
    </row>
    <row r="39" spans="1:2" x14ac:dyDescent="0.25">
      <c r="A39" s="18">
        <v>12.4</v>
      </c>
      <c r="B39" s="18">
        <v>9.8300000000000002E-3</v>
      </c>
    </row>
    <row r="40" spans="1:2" x14ac:dyDescent="0.25">
      <c r="A40" s="18">
        <v>12.6</v>
      </c>
      <c r="B40" s="18">
        <v>9.9399999999999992E-3</v>
      </c>
    </row>
    <row r="41" spans="1:2" x14ac:dyDescent="0.25">
      <c r="A41" s="18">
        <v>12.8</v>
      </c>
      <c r="B41" s="18">
        <v>0.01</v>
      </c>
    </row>
    <row r="42" spans="1:2" x14ac:dyDescent="0.25">
      <c r="A42" s="18">
        <v>13</v>
      </c>
      <c r="B42" s="18">
        <v>9.9100000000000004E-3</v>
      </c>
    </row>
    <row r="43" spans="1:2" x14ac:dyDescent="0.25">
      <c r="A43" s="18">
        <v>13.2</v>
      </c>
      <c r="B43" s="18">
        <v>9.8799999999999999E-3</v>
      </c>
    </row>
    <row r="44" spans="1:2" x14ac:dyDescent="0.25">
      <c r="A44" s="18">
        <v>13.4</v>
      </c>
      <c r="B44" s="18">
        <v>9.7400000000000004E-3</v>
      </c>
    </row>
    <row r="45" spans="1:2" x14ac:dyDescent="0.25">
      <c r="A45" s="18">
        <v>13.6</v>
      </c>
      <c r="B45" s="18">
        <v>9.7099999999999999E-3</v>
      </c>
    </row>
    <row r="46" spans="1:2" x14ac:dyDescent="0.25">
      <c r="A46" s="18">
        <v>13.8</v>
      </c>
      <c r="B46" s="18">
        <v>9.6699999999999998E-3</v>
      </c>
    </row>
    <row r="47" spans="1:2" x14ac:dyDescent="0.25">
      <c r="A47" s="18">
        <v>14</v>
      </c>
      <c r="B47" s="18">
        <v>9.3200000000000002E-3</v>
      </c>
    </row>
    <row r="48" spans="1:2" x14ac:dyDescent="0.25">
      <c r="A48" s="18">
        <v>14.2</v>
      </c>
      <c r="B48" s="18">
        <v>9.1999999999999998E-3</v>
      </c>
    </row>
    <row r="49" spans="1:2" x14ac:dyDescent="0.25">
      <c r="A49" s="18">
        <v>14.4</v>
      </c>
      <c r="B49" s="18">
        <v>9.1299999999999992E-3</v>
      </c>
    </row>
    <row r="50" spans="1:2" x14ac:dyDescent="0.25">
      <c r="A50" s="18">
        <v>14.6</v>
      </c>
      <c r="B50" s="18">
        <v>9.0200000000000002E-3</v>
      </c>
    </row>
    <row r="51" spans="1:2" x14ac:dyDescent="0.25">
      <c r="A51" s="18">
        <v>14.8</v>
      </c>
      <c r="B51" s="18">
        <v>8.7899999999999992E-3</v>
      </c>
    </row>
    <row r="52" spans="1:2" x14ac:dyDescent="0.25">
      <c r="A52" s="18">
        <v>15</v>
      </c>
      <c r="B52" s="18">
        <v>8.7500000000000008E-3</v>
      </c>
    </row>
    <row r="53" spans="1:2" x14ac:dyDescent="0.25">
      <c r="A53" s="18">
        <v>15.2</v>
      </c>
      <c r="B53" s="18">
        <v>8.3400000000000002E-3</v>
      </c>
    </row>
    <row r="54" spans="1:2" x14ac:dyDescent="0.25">
      <c r="A54" s="18">
        <v>15.4</v>
      </c>
      <c r="B54" s="18">
        <v>8.3700000000000007E-3</v>
      </c>
    </row>
    <row r="55" spans="1:2" x14ac:dyDescent="0.25">
      <c r="A55" s="18">
        <v>15.6</v>
      </c>
      <c r="B55" s="18">
        <v>8.0700000000000008E-3</v>
      </c>
    </row>
    <row r="56" spans="1:2" x14ac:dyDescent="0.25">
      <c r="A56" s="18">
        <v>15.8</v>
      </c>
      <c r="B56" s="18">
        <v>7.7299999999999999E-3</v>
      </c>
    </row>
    <row r="57" spans="1:2" x14ac:dyDescent="0.25">
      <c r="A57" s="18">
        <v>16</v>
      </c>
      <c r="B57" s="18">
        <v>7.8700000000000003E-3</v>
      </c>
    </row>
    <row r="58" spans="1:2" x14ac:dyDescent="0.25">
      <c r="A58" s="18">
        <v>16.2</v>
      </c>
      <c r="B58" s="18">
        <v>7.4400000000000004E-3</v>
      </c>
    </row>
    <row r="59" spans="1:2" x14ac:dyDescent="0.25">
      <c r="A59" s="18">
        <v>16.399999999999999</v>
      </c>
      <c r="B59" s="18">
        <v>7.3600000000000002E-3</v>
      </c>
    </row>
    <row r="60" spans="1:2" x14ac:dyDescent="0.25">
      <c r="A60" s="18">
        <v>16.600000000000001</v>
      </c>
      <c r="B60" s="18">
        <v>7.0899999999999999E-3</v>
      </c>
    </row>
    <row r="61" spans="1:2" x14ac:dyDescent="0.25">
      <c r="A61" s="18">
        <v>16.8</v>
      </c>
      <c r="B61" s="18">
        <v>6.96E-3</v>
      </c>
    </row>
    <row r="62" spans="1:2" x14ac:dyDescent="0.25">
      <c r="A62" s="18">
        <v>17</v>
      </c>
      <c r="B62" s="18">
        <v>6.6499999999999997E-3</v>
      </c>
    </row>
    <row r="63" spans="1:2" x14ac:dyDescent="0.25">
      <c r="A63" s="18">
        <v>17.2</v>
      </c>
      <c r="B63" s="18">
        <v>6.6100000000000004E-3</v>
      </c>
    </row>
    <row r="64" spans="1:2" x14ac:dyDescent="0.25">
      <c r="A64" s="18">
        <v>17.399999999999999</v>
      </c>
      <c r="B64" s="18">
        <v>6.3400000000000001E-3</v>
      </c>
    </row>
    <row r="65" spans="1:2" x14ac:dyDescent="0.25">
      <c r="A65" s="18">
        <v>17.600000000000001</v>
      </c>
      <c r="B65" s="18">
        <v>6.2100000000000002E-3</v>
      </c>
    </row>
    <row r="66" spans="1:2" x14ac:dyDescent="0.25">
      <c r="A66" s="18">
        <v>17.8</v>
      </c>
      <c r="B66" s="18">
        <v>6.1000000000000004E-3</v>
      </c>
    </row>
    <row r="67" spans="1:2" x14ac:dyDescent="0.25">
      <c r="A67" s="18">
        <v>18</v>
      </c>
      <c r="B67" s="18">
        <v>5.77E-3</v>
      </c>
    </row>
    <row r="68" spans="1:2" x14ac:dyDescent="0.25">
      <c r="A68" s="18">
        <v>18.2</v>
      </c>
      <c r="B68" s="18">
        <v>5.7000000000000002E-3</v>
      </c>
    </row>
    <row r="69" spans="1:2" x14ac:dyDescent="0.25">
      <c r="A69" s="18">
        <v>18.399999999999999</v>
      </c>
      <c r="B69" s="18">
        <v>5.4400000000000004E-3</v>
      </c>
    </row>
    <row r="70" spans="1:2" x14ac:dyDescent="0.25">
      <c r="A70" s="18">
        <v>18.600000000000001</v>
      </c>
      <c r="B70" s="18">
        <v>5.4000000000000003E-3</v>
      </c>
    </row>
    <row r="71" spans="1:2" x14ac:dyDescent="0.25">
      <c r="A71" s="18">
        <v>18.8</v>
      </c>
      <c r="B71" s="18">
        <v>5.1399999999999996E-3</v>
      </c>
    </row>
    <row r="72" spans="1:2" x14ac:dyDescent="0.25">
      <c r="A72" s="18">
        <v>19</v>
      </c>
      <c r="B72" s="18">
        <v>5.0600000000000003E-3</v>
      </c>
    </row>
    <row r="73" spans="1:2" x14ac:dyDescent="0.25">
      <c r="A73" s="18">
        <v>19.2</v>
      </c>
      <c r="B73" s="18">
        <v>4.8599999999999997E-3</v>
      </c>
    </row>
    <row r="74" spans="1:2" x14ac:dyDescent="0.25">
      <c r="A74" s="18">
        <v>19.399999999999999</v>
      </c>
      <c r="B74" s="18">
        <v>4.7299999999999998E-3</v>
      </c>
    </row>
    <row r="75" spans="1:2" x14ac:dyDescent="0.25">
      <c r="A75" s="18">
        <v>19.600000000000001</v>
      </c>
      <c r="B75" s="18">
        <v>4.6100000000000004E-3</v>
      </c>
    </row>
    <row r="76" spans="1:2" x14ac:dyDescent="0.25">
      <c r="A76" s="18">
        <v>19.8</v>
      </c>
      <c r="B76" s="18">
        <v>4.4099999999999999E-3</v>
      </c>
    </row>
    <row r="77" spans="1:2" x14ac:dyDescent="0.25">
      <c r="A77" s="18">
        <v>20</v>
      </c>
      <c r="B77" s="18">
        <v>4.2900000000000004E-3</v>
      </c>
    </row>
    <row r="78" spans="1:2" x14ac:dyDescent="0.25">
      <c r="A78" s="18">
        <v>20.2</v>
      </c>
      <c r="B78" s="18">
        <v>4.1399999999999996E-3</v>
      </c>
    </row>
    <row r="79" spans="1:2" x14ac:dyDescent="0.25">
      <c r="A79" s="18">
        <v>20.399999999999999</v>
      </c>
      <c r="B79" s="18">
        <v>4.0400000000000002E-3</v>
      </c>
    </row>
    <row r="80" spans="1:2" x14ac:dyDescent="0.25">
      <c r="A80" s="18">
        <v>20.6</v>
      </c>
      <c r="B80" s="18">
        <v>3.9300000000000003E-3</v>
      </c>
    </row>
    <row r="81" spans="1:2" x14ac:dyDescent="0.25">
      <c r="A81" s="18">
        <v>20.8</v>
      </c>
      <c r="B81" s="18">
        <v>3.7699999999999999E-3</v>
      </c>
    </row>
    <row r="82" spans="1:2" x14ac:dyDescent="0.25">
      <c r="A82" s="18">
        <v>21</v>
      </c>
      <c r="B82" s="18">
        <v>3.6800000000000001E-3</v>
      </c>
    </row>
    <row r="83" spans="1:2" x14ac:dyDescent="0.25">
      <c r="A83" s="18">
        <v>21.2</v>
      </c>
      <c r="B83" s="18">
        <v>3.5799999999999998E-3</v>
      </c>
    </row>
    <row r="84" spans="1:2" x14ac:dyDescent="0.25">
      <c r="A84" s="18">
        <v>21.4</v>
      </c>
      <c r="B84" s="18">
        <v>3.4099999999999998E-3</v>
      </c>
    </row>
    <row r="85" spans="1:2" x14ac:dyDescent="0.25">
      <c r="A85" s="18">
        <v>21.6</v>
      </c>
      <c r="B85" s="18">
        <v>3.2499999999999999E-3</v>
      </c>
    </row>
    <row r="86" spans="1:2" x14ac:dyDescent="0.25">
      <c r="A86" s="18">
        <v>21.8</v>
      </c>
      <c r="B86" s="18">
        <v>3.2799999999999999E-3</v>
      </c>
    </row>
    <row r="87" spans="1:2" x14ac:dyDescent="0.25">
      <c r="A87" s="18">
        <v>22</v>
      </c>
      <c r="B87" s="18">
        <v>3.13E-3</v>
      </c>
    </row>
    <row r="88" spans="1:2" x14ac:dyDescent="0.25">
      <c r="A88" s="18">
        <v>22.2</v>
      </c>
      <c r="B88" s="18">
        <v>2.97E-3</v>
      </c>
    </row>
    <row r="89" spans="1:2" x14ac:dyDescent="0.25">
      <c r="A89" s="18">
        <v>22.4</v>
      </c>
      <c r="B89" s="18">
        <v>2.99E-3</v>
      </c>
    </row>
    <row r="90" spans="1:2" x14ac:dyDescent="0.25">
      <c r="A90" s="18">
        <v>22.6</v>
      </c>
      <c r="B90" s="18">
        <v>2.7799999999999999E-3</v>
      </c>
    </row>
    <row r="91" spans="1:2" x14ac:dyDescent="0.25">
      <c r="A91" s="18">
        <v>22.8</v>
      </c>
      <c r="B91" s="18">
        <v>2.6700000000000001E-3</v>
      </c>
    </row>
    <row r="92" spans="1:2" x14ac:dyDescent="0.25">
      <c r="A92" s="18">
        <v>23</v>
      </c>
      <c r="B92" s="18">
        <v>2.6700000000000001E-3</v>
      </c>
    </row>
    <row r="93" spans="1:2" x14ac:dyDescent="0.25">
      <c r="A93" s="18">
        <v>23.2</v>
      </c>
      <c r="B93" s="18">
        <v>2.5400000000000002E-3</v>
      </c>
    </row>
    <row r="94" spans="1:2" x14ac:dyDescent="0.25">
      <c r="A94" s="18">
        <v>23.4</v>
      </c>
      <c r="B94" s="18">
        <v>2.4399999999999999E-3</v>
      </c>
    </row>
    <row r="95" spans="1:2" x14ac:dyDescent="0.25">
      <c r="A95" s="18">
        <v>23.6</v>
      </c>
      <c r="B95" s="18">
        <v>2.3700000000000001E-3</v>
      </c>
    </row>
    <row r="96" spans="1:2" x14ac:dyDescent="0.25">
      <c r="A96" s="18">
        <v>23.8</v>
      </c>
      <c r="B96" s="18">
        <v>2.3E-3</v>
      </c>
    </row>
    <row r="97" spans="1:2" x14ac:dyDescent="0.25">
      <c r="A97" s="18">
        <v>24</v>
      </c>
      <c r="B97" s="18">
        <v>2.2300000000000002E-3</v>
      </c>
    </row>
    <row r="98" spans="1:2" x14ac:dyDescent="0.25">
      <c r="A98" s="18">
        <v>24.2</v>
      </c>
      <c r="B98" s="18">
        <v>2.14E-3</v>
      </c>
    </row>
    <row r="99" spans="1:2" x14ac:dyDescent="0.25">
      <c r="A99" s="18">
        <v>24.4</v>
      </c>
      <c r="B99" s="18">
        <v>2.0699999999999998E-3</v>
      </c>
    </row>
    <row r="100" spans="1:2" x14ac:dyDescent="0.25">
      <c r="A100" s="18">
        <v>24.6</v>
      </c>
      <c r="B100" s="18">
        <v>1.9499999999999999E-3</v>
      </c>
    </row>
    <row r="101" spans="1:2" x14ac:dyDescent="0.25">
      <c r="A101" s="18">
        <v>24.8</v>
      </c>
      <c r="B101" s="18">
        <v>1.97E-3</v>
      </c>
    </row>
    <row r="102" spans="1:2" x14ac:dyDescent="0.25">
      <c r="A102" s="18">
        <v>25</v>
      </c>
      <c r="B102" s="18">
        <v>1.8500000000000001E-3</v>
      </c>
    </row>
    <row r="103" spans="1:2" x14ac:dyDescent="0.25">
      <c r="A103" s="18">
        <v>25.2</v>
      </c>
      <c r="B103" s="18">
        <v>1.7700000000000001E-3</v>
      </c>
    </row>
    <row r="104" spans="1:2" x14ac:dyDescent="0.25">
      <c r="A104" s="18">
        <v>25.4</v>
      </c>
      <c r="B104" s="18">
        <v>1.7600000000000001E-3</v>
      </c>
    </row>
    <row r="105" spans="1:2" x14ac:dyDescent="0.25">
      <c r="A105" s="18">
        <v>25.6</v>
      </c>
      <c r="B105" s="18">
        <v>1.66E-3</v>
      </c>
    </row>
    <row r="106" spans="1:2" x14ac:dyDescent="0.25">
      <c r="A106" s="18">
        <v>25.8</v>
      </c>
      <c r="B106" s="18">
        <v>1.6299999999999999E-3</v>
      </c>
    </row>
    <row r="107" spans="1:2" x14ac:dyDescent="0.25">
      <c r="A107" s="18">
        <v>26</v>
      </c>
      <c r="B107" s="18">
        <v>1.5200000000000001E-3</v>
      </c>
    </row>
    <row r="108" spans="1:2" x14ac:dyDescent="0.25">
      <c r="A108" s="18">
        <v>26.2</v>
      </c>
      <c r="B108" s="18">
        <v>1.5100000000000001E-3</v>
      </c>
    </row>
    <row r="109" spans="1:2" x14ac:dyDescent="0.25">
      <c r="A109" s="18">
        <v>26.4</v>
      </c>
      <c r="B109" s="18">
        <v>1.42E-3</v>
      </c>
    </row>
    <row r="110" spans="1:2" x14ac:dyDescent="0.25">
      <c r="A110" s="18">
        <v>26.6</v>
      </c>
      <c r="B110" s="18">
        <v>1.3699999999999999E-3</v>
      </c>
    </row>
    <row r="111" spans="1:2" x14ac:dyDescent="0.25">
      <c r="A111" s="18">
        <v>26.8</v>
      </c>
      <c r="B111" s="18">
        <v>1.3500000000000001E-3</v>
      </c>
    </row>
    <row r="112" spans="1:2" x14ac:dyDescent="0.25">
      <c r="A112" s="18">
        <v>27</v>
      </c>
      <c r="B112" s="18">
        <v>1.2700000000000001E-3</v>
      </c>
    </row>
    <row r="113" spans="1:2" x14ac:dyDescent="0.25">
      <c r="A113" s="18">
        <v>27.2</v>
      </c>
      <c r="B113" s="18">
        <v>1.24E-3</v>
      </c>
    </row>
    <row r="114" spans="1:2" x14ac:dyDescent="0.25">
      <c r="A114" s="18">
        <v>27.4</v>
      </c>
      <c r="B114" s="18">
        <v>1.1900000000000001E-3</v>
      </c>
    </row>
    <row r="115" spans="1:2" x14ac:dyDescent="0.25">
      <c r="A115" s="18">
        <v>27.6</v>
      </c>
      <c r="B115" s="18">
        <v>1.1299999999999999E-3</v>
      </c>
    </row>
    <row r="116" spans="1:2" x14ac:dyDescent="0.25">
      <c r="A116" s="18">
        <v>27.8</v>
      </c>
      <c r="B116" s="18">
        <v>1.1000000000000001E-3</v>
      </c>
    </row>
    <row r="117" spans="1:2" x14ac:dyDescent="0.25">
      <c r="A117" s="18">
        <v>28</v>
      </c>
      <c r="B117" s="18">
        <v>1.0399999999999999E-3</v>
      </c>
    </row>
    <row r="118" spans="1:2" x14ac:dyDescent="0.25">
      <c r="A118" s="18">
        <v>28.2</v>
      </c>
      <c r="B118" s="18">
        <v>1.01E-3</v>
      </c>
    </row>
    <row r="119" spans="1:2" x14ac:dyDescent="0.25">
      <c r="A119" s="18">
        <v>28.4</v>
      </c>
      <c r="B119" s="18">
        <v>9.8499999999999998E-4</v>
      </c>
    </row>
    <row r="120" spans="1:2" x14ac:dyDescent="0.25">
      <c r="A120" s="18">
        <v>28.6</v>
      </c>
      <c r="B120" s="18">
        <v>9.2900000000000003E-4</v>
      </c>
    </row>
    <row r="121" spans="1:2" x14ac:dyDescent="0.25">
      <c r="A121" s="18">
        <v>28.8</v>
      </c>
      <c r="B121" s="18">
        <v>8.9300000000000002E-4</v>
      </c>
    </row>
    <row r="122" spans="1:2" x14ac:dyDescent="0.25">
      <c r="A122" s="18">
        <v>29</v>
      </c>
      <c r="B122" s="18">
        <v>8.4900000000000004E-4</v>
      </c>
    </row>
    <row r="123" spans="1:2" x14ac:dyDescent="0.25">
      <c r="A123" s="18">
        <v>29.2</v>
      </c>
      <c r="B123" s="18">
        <v>8.2799999999999996E-4</v>
      </c>
    </row>
    <row r="124" spans="1:2" x14ac:dyDescent="0.25">
      <c r="A124" s="18">
        <v>29.4</v>
      </c>
      <c r="B124" s="18">
        <v>7.8399999999999997E-4</v>
      </c>
    </row>
    <row r="125" spans="1:2" x14ac:dyDescent="0.25">
      <c r="A125" s="18">
        <v>29.6</v>
      </c>
      <c r="B125" s="18">
        <v>7.6400000000000003E-4</v>
      </c>
    </row>
    <row r="126" spans="1:2" x14ac:dyDescent="0.25">
      <c r="A126" s="18">
        <v>29.8</v>
      </c>
      <c r="B126" s="18">
        <v>7.0600000000000003E-4</v>
      </c>
    </row>
    <row r="127" spans="1:2" x14ac:dyDescent="0.25">
      <c r="A127" s="18">
        <v>30</v>
      </c>
      <c r="B127" s="18">
        <v>6.7000000000000002E-4</v>
      </c>
    </row>
    <row r="128" spans="1:2" x14ac:dyDescent="0.25">
      <c r="A128" s="18">
        <v>30.2</v>
      </c>
      <c r="B128" s="18">
        <v>6.4999999999999997E-4</v>
      </c>
    </row>
    <row r="129" spans="1:2" x14ac:dyDescent="0.25">
      <c r="A129" s="18">
        <v>30.4</v>
      </c>
      <c r="B129" s="18">
        <v>6.11E-4</v>
      </c>
    </row>
    <row r="130" spans="1:2" x14ac:dyDescent="0.25">
      <c r="A130" s="18">
        <v>30.6</v>
      </c>
      <c r="B130" s="18">
        <v>5.7499999999999999E-4</v>
      </c>
    </row>
    <row r="131" spans="1:2" x14ac:dyDescent="0.25">
      <c r="A131" s="18">
        <v>30.8</v>
      </c>
      <c r="B131" s="18">
        <v>5.7600000000000001E-4</v>
      </c>
    </row>
    <row r="132" spans="1:2" x14ac:dyDescent="0.25">
      <c r="A132" s="18">
        <v>31</v>
      </c>
      <c r="B132" s="18">
        <v>5.1800000000000001E-4</v>
      </c>
    </row>
    <row r="133" spans="1:2" x14ac:dyDescent="0.25">
      <c r="A133" s="18">
        <v>31.2</v>
      </c>
      <c r="B133" s="18">
        <v>5.0299999999999997E-4</v>
      </c>
    </row>
    <row r="134" spans="1:2" x14ac:dyDescent="0.25">
      <c r="A134" s="18">
        <v>31.4</v>
      </c>
      <c r="B134" s="18">
        <v>4.7600000000000002E-4</v>
      </c>
    </row>
    <row r="135" spans="1:2" x14ac:dyDescent="0.25">
      <c r="A135" s="18">
        <v>31.6</v>
      </c>
      <c r="B135" s="18">
        <v>4.5100000000000001E-4</v>
      </c>
    </row>
    <row r="136" spans="1:2" x14ac:dyDescent="0.25">
      <c r="A136" s="18">
        <v>31.8</v>
      </c>
      <c r="B136" s="18">
        <v>4.2000000000000002E-4</v>
      </c>
    </row>
    <row r="137" spans="1:2" x14ac:dyDescent="0.25">
      <c r="A137" s="18">
        <v>32</v>
      </c>
      <c r="B137" s="18">
        <v>3.9199999999999999E-4</v>
      </c>
    </row>
    <row r="138" spans="1:2" x14ac:dyDescent="0.25">
      <c r="A138" s="18">
        <v>32.200000000000003</v>
      </c>
      <c r="B138" s="18">
        <v>3.68E-4</v>
      </c>
    </row>
    <row r="139" spans="1:2" x14ac:dyDescent="0.25">
      <c r="A139" s="18">
        <v>32.4</v>
      </c>
      <c r="B139" s="18">
        <v>3.4499999999999998E-4</v>
      </c>
    </row>
    <row r="140" spans="1:2" x14ac:dyDescent="0.25">
      <c r="A140" s="18">
        <v>32.6</v>
      </c>
      <c r="B140" s="18">
        <v>3.1300000000000002E-4</v>
      </c>
    </row>
    <row r="141" spans="1:2" x14ac:dyDescent="0.25">
      <c r="A141" s="18">
        <v>32.799999999999997</v>
      </c>
      <c r="B141" s="18">
        <v>3.1700000000000001E-4</v>
      </c>
    </row>
    <row r="142" spans="1:2" x14ac:dyDescent="0.25">
      <c r="A142" s="18">
        <v>33</v>
      </c>
      <c r="B142" s="18">
        <v>2.6499999999999999E-4</v>
      </c>
    </row>
    <row r="143" spans="1:2" x14ac:dyDescent="0.25">
      <c r="A143" s="18">
        <v>33.200000000000003</v>
      </c>
      <c r="B143" s="18">
        <v>2.4800000000000001E-4</v>
      </c>
    </row>
    <row r="144" spans="1:2" x14ac:dyDescent="0.25">
      <c r="A144" s="18">
        <v>33.4</v>
      </c>
      <c r="B144" s="18">
        <v>2.33E-4</v>
      </c>
    </row>
    <row r="145" spans="1:2" x14ac:dyDescent="0.25">
      <c r="A145" s="18">
        <v>33.6</v>
      </c>
      <c r="B145" s="18">
        <v>1.9599999999999999E-4</v>
      </c>
    </row>
    <row r="146" spans="1:2" x14ac:dyDescent="0.25">
      <c r="A146" s="18">
        <v>33.799999999999997</v>
      </c>
      <c r="B146" s="18">
        <v>1.9599999999999999E-4</v>
      </c>
    </row>
    <row r="147" spans="1:2" x14ac:dyDescent="0.25">
      <c r="A147" s="18">
        <v>34</v>
      </c>
      <c r="B147" s="18">
        <v>1.4200000000000001E-4</v>
      </c>
    </row>
    <row r="148" spans="1:2" x14ac:dyDescent="0.25">
      <c r="A148" s="18">
        <v>34.200000000000003</v>
      </c>
      <c r="B148" s="18">
        <v>1.4799999999999999E-4</v>
      </c>
    </row>
    <row r="149" spans="1:2" x14ac:dyDescent="0.25">
      <c r="A149" s="18">
        <v>34.4</v>
      </c>
      <c r="B149" s="18">
        <v>9.9900000000000002E-5</v>
      </c>
    </row>
    <row r="150" spans="1:2" x14ac:dyDescent="0.25">
      <c r="A150" s="18">
        <v>34.6</v>
      </c>
      <c r="B150" s="18">
        <v>8.2000000000000001E-5</v>
      </c>
    </row>
    <row r="151" spans="1:2" x14ac:dyDescent="0.25">
      <c r="A151" s="18">
        <v>34.799999999999997</v>
      </c>
      <c r="B151" s="18">
        <v>5.3000000000000001E-5</v>
      </c>
    </row>
    <row r="152" spans="1:2" x14ac:dyDescent="0.25">
      <c r="A152" s="18">
        <v>35</v>
      </c>
      <c r="B152" s="18">
        <v>1.7900000000000001E-5</v>
      </c>
    </row>
    <row r="153" spans="1:2" x14ac:dyDescent="0.25">
      <c r="A153" s="18">
        <v>35.200000000000003</v>
      </c>
      <c r="B153" s="18">
        <v>2.1100000000000001E-6</v>
      </c>
    </row>
    <row r="154" spans="1:2" x14ac:dyDescent="0.25">
      <c r="A154" s="18">
        <v>35.4</v>
      </c>
      <c r="B154" s="18">
        <v>8.5100000000000001E-8</v>
      </c>
    </row>
    <row r="155" spans="1:2" x14ac:dyDescent="0.25">
      <c r="A155" s="18">
        <v>35.6</v>
      </c>
      <c r="B155" s="18">
        <v>8.0999999999999997E-7</v>
      </c>
    </row>
    <row r="156" spans="1:2" x14ac:dyDescent="0.25">
      <c r="A156" s="18">
        <v>35.799999999999997</v>
      </c>
      <c r="B156" s="18">
        <v>2.04E-7</v>
      </c>
    </row>
    <row r="157" spans="1:2" x14ac:dyDescent="0.25">
      <c r="A157" s="18">
        <v>36</v>
      </c>
      <c r="B157" s="18">
        <v>3.27E-7</v>
      </c>
    </row>
    <row r="158" spans="1:2" x14ac:dyDescent="0.25">
      <c r="A158" s="18">
        <v>36.200000000000003</v>
      </c>
      <c r="B158" s="18">
        <v>7.8000000000000005E-7</v>
      </c>
    </row>
    <row r="159" spans="1:2" x14ac:dyDescent="0.25">
      <c r="A159" s="18">
        <v>36.4</v>
      </c>
      <c r="B159" s="18">
        <v>3.5399999999999999E-8</v>
      </c>
    </row>
    <row r="160" spans="1:2" x14ac:dyDescent="0.25">
      <c r="A160" s="18">
        <v>36.6</v>
      </c>
      <c r="B160" s="18">
        <v>5.8800000000000002E-7</v>
      </c>
    </row>
    <row r="161" spans="1:2" x14ac:dyDescent="0.25">
      <c r="A161" s="18">
        <v>36.799999999999997</v>
      </c>
      <c r="B161" s="18">
        <v>1.8199999999999999E-7</v>
      </c>
    </row>
    <row r="162" spans="1:2" x14ac:dyDescent="0.25">
      <c r="A162" s="18">
        <v>37</v>
      </c>
      <c r="B162" s="18">
        <v>6.2099999999999996E-7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1:B187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1.2199999999999999E-3</v>
      </c>
    </row>
    <row r="3" spans="1:2" x14ac:dyDescent="0.25">
      <c r="A3" s="18">
        <v>5.2</v>
      </c>
      <c r="B3" s="18">
        <v>1.17E-3</v>
      </c>
    </row>
    <row r="4" spans="1:2" x14ac:dyDescent="0.25">
      <c r="A4" s="18">
        <v>5.4</v>
      </c>
      <c r="B4" s="18">
        <v>1.47E-3</v>
      </c>
    </row>
    <row r="5" spans="1:2" x14ac:dyDescent="0.25">
      <c r="A5" s="18">
        <v>5.6</v>
      </c>
      <c r="B5" s="18">
        <v>6.5099999999999999E-4</v>
      </c>
    </row>
    <row r="6" spans="1:2" x14ac:dyDescent="0.25">
      <c r="A6" s="18">
        <v>5.8</v>
      </c>
      <c r="B6" s="18">
        <v>7.6099999999999996E-4</v>
      </c>
    </row>
    <row r="7" spans="1:2" x14ac:dyDescent="0.25">
      <c r="A7" s="18">
        <v>6</v>
      </c>
      <c r="B7" s="18">
        <v>1.17E-3</v>
      </c>
    </row>
    <row r="8" spans="1:2" x14ac:dyDescent="0.25">
      <c r="A8" s="18">
        <v>6.2</v>
      </c>
      <c r="B8" s="18">
        <v>4.9599999999999999E-5</v>
      </c>
    </row>
    <row r="9" spans="1:2" x14ac:dyDescent="0.25">
      <c r="A9" s="18">
        <v>6.4</v>
      </c>
      <c r="B9" s="18">
        <v>1.33E-3</v>
      </c>
    </row>
    <row r="10" spans="1:2" x14ac:dyDescent="0.25">
      <c r="A10" s="18">
        <v>6.6</v>
      </c>
      <c r="B10" s="18">
        <v>9.4700000000000003E-4</v>
      </c>
    </row>
    <row r="11" spans="1:2" x14ac:dyDescent="0.25">
      <c r="A11" s="18">
        <v>6.8</v>
      </c>
      <c r="B11" s="18">
        <v>1.06E-3</v>
      </c>
    </row>
    <row r="12" spans="1:2" x14ac:dyDescent="0.25">
      <c r="A12" s="18">
        <v>7</v>
      </c>
      <c r="B12" s="18">
        <v>1.25E-3</v>
      </c>
    </row>
    <row r="13" spans="1:2" x14ac:dyDescent="0.25">
      <c r="A13" s="18">
        <v>7.2</v>
      </c>
      <c r="B13" s="18">
        <v>2.0500000000000002E-3</v>
      </c>
    </row>
    <row r="14" spans="1:2" x14ac:dyDescent="0.25">
      <c r="A14" s="18">
        <v>7.4</v>
      </c>
      <c r="B14" s="18">
        <v>3.2200000000000002E-3</v>
      </c>
    </row>
    <row r="15" spans="1:2" x14ac:dyDescent="0.25">
      <c r="A15" s="18">
        <v>7.6</v>
      </c>
      <c r="B15" s="18">
        <v>3.29E-3</v>
      </c>
    </row>
    <row r="16" spans="1:2" x14ac:dyDescent="0.25">
      <c r="A16" s="18">
        <v>7.8</v>
      </c>
      <c r="B16" s="18">
        <v>3.7299999999999998E-3</v>
      </c>
    </row>
    <row r="17" spans="1:2" x14ac:dyDescent="0.25">
      <c r="A17" s="18">
        <v>8</v>
      </c>
      <c r="B17" s="18">
        <v>2.5699999999999998E-3</v>
      </c>
    </row>
    <row r="18" spans="1:2" x14ac:dyDescent="0.25">
      <c r="A18" s="18">
        <v>8.1999999999999993</v>
      </c>
      <c r="B18" s="18">
        <v>1.8100000000000002E-2</v>
      </c>
    </row>
    <row r="19" spans="1:2" x14ac:dyDescent="0.25">
      <c r="A19" s="18">
        <v>8.4</v>
      </c>
      <c r="B19" s="18">
        <v>8.6300000000000002E-2</v>
      </c>
    </row>
    <row r="20" spans="1:2" x14ac:dyDescent="0.25">
      <c r="A20" s="18">
        <v>8.6</v>
      </c>
      <c r="B20" s="18">
        <v>3.9E-2</v>
      </c>
    </row>
    <row r="21" spans="1:2" x14ac:dyDescent="0.25">
      <c r="A21" s="18">
        <v>8.8000000000000007</v>
      </c>
      <c r="B21" s="18">
        <v>5.7499999999999999E-3</v>
      </c>
    </row>
    <row r="22" spans="1:2" x14ac:dyDescent="0.25">
      <c r="A22" s="18">
        <v>9</v>
      </c>
      <c r="B22" s="18">
        <v>9.1800000000000007E-3</v>
      </c>
    </row>
    <row r="23" spans="1:2" x14ac:dyDescent="0.25">
      <c r="A23" s="18">
        <v>9.1999999999999993</v>
      </c>
      <c r="B23" s="18">
        <v>9.0299999999999998E-3</v>
      </c>
    </row>
    <row r="24" spans="1:2" x14ac:dyDescent="0.25">
      <c r="A24" s="18">
        <v>9.4</v>
      </c>
      <c r="B24" s="18">
        <v>1.26E-2</v>
      </c>
    </row>
    <row r="25" spans="1:2" x14ac:dyDescent="0.25">
      <c r="A25" s="18">
        <v>9.6</v>
      </c>
      <c r="B25" s="18">
        <v>7.5200000000000003E-2</v>
      </c>
    </row>
    <row r="26" spans="1:2" x14ac:dyDescent="0.25">
      <c r="A26" s="18">
        <v>9.8000000000000007</v>
      </c>
      <c r="B26" s="18">
        <v>9.5200000000000007E-2</v>
      </c>
    </row>
    <row r="27" spans="1:2" x14ac:dyDescent="0.25">
      <c r="A27" s="18">
        <v>10</v>
      </c>
      <c r="B27" s="18">
        <v>5.8099999999999999E-2</v>
      </c>
    </row>
    <row r="28" spans="1:2" x14ac:dyDescent="0.25">
      <c r="A28" s="18">
        <v>10.199999999999999</v>
      </c>
      <c r="B28" s="18">
        <v>2.1499999999999998E-2</v>
      </c>
    </row>
    <row r="29" spans="1:2" x14ac:dyDescent="0.25">
      <c r="A29" s="18">
        <v>10.4</v>
      </c>
      <c r="B29" s="18">
        <v>9.1599999999999997E-3</v>
      </c>
    </row>
    <row r="30" spans="1:2" x14ac:dyDescent="0.25">
      <c r="A30" s="18">
        <v>10.6</v>
      </c>
      <c r="B30" s="18">
        <v>9.4500000000000001E-3</v>
      </c>
    </row>
    <row r="31" spans="1:2" x14ac:dyDescent="0.25">
      <c r="A31" s="18">
        <v>10.8</v>
      </c>
      <c r="B31" s="18">
        <v>9.9299999999999996E-3</v>
      </c>
    </row>
    <row r="32" spans="1:2" x14ac:dyDescent="0.25">
      <c r="A32" s="18">
        <v>11</v>
      </c>
      <c r="B32" s="18">
        <v>1.03E-2</v>
      </c>
    </row>
    <row r="33" spans="1:2" x14ac:dyDescent="0.25">
      <c r="A33" s="18">
        <v>11.2</v>
      </c>
      <c r="B33" s="18">
        <v>2.0799999999999999E-2</v>
      </c>
    </row>
    <row r="34" spans="1:2" x14ac:dyDescent="0.25">
      <c r="A34" s="18">
        <v>11.4</v>
      </c>
      <c r="B34" s="18">
        <v>2.5700000000000001E-2</v>
      </c>
    </row>
    <row r="35" spans="1:2" x14ac:dyDescent="0.25">
      <c r="A35" s="18">
        <v>11.6</v>
      </c>
      <c r="B35" s="18">
        <v>1.67E-2</v>
      </c>
    </row>
    <row r="36" spans="1:2" x14ac:dyDescent="0.25">
      <c r="A36" s="18">
        <v>11.8</v>
      </c>
      <c r="B36" s="18">
        <v>1.3299999999999999E-2</v>
      </c>
    </row>
    <row r="37" spans="1:2" x14ac:dyDescent="0.25">
      <c r="A37" s="18">
        <v>12</v>
      </c>
      <c r="B37" s="18">
        <v>1.03E-2</v>
      </c>
    </row>
    <row r="38" spans="1:2" x14ac:dyDescent="0.25">
      <c r="A38" s="18">
        <v>12.2</v>
      </c>
      <c r="B38" s="18">
        <v>0.01</v>
      </c>
    </row>
    <row r="39" spans="1:2" x14ac:dyDescent="0.25">
      <c r="A39" s="18">
        <v>12.4</v>
      </c>
      <c r="B39" s="18">
        <v>8.9599999999999992E-3</v>
      </c>
    </row>
    <row r="40" spans="1:2" x14ac:dyDescent="0.25">
      <c r="A40" s="18">
        <v>12.6</v>
      </c>
      <c r="B40" s="18">
        <v>8.9800000000000001E-3</v>
      </c>
    </row>
    <row r="41" spans="1:2" x14ac:dyDescent="0.25">
      <c r="A41" s="18">
        <v>12.8</v>
      </c>
      <c r="B41" s="18">
        <v>9.0900000000000009E-3</v>
      </c>
    </row>
    <row r="42" spans="1:2" x14ac:dyDescent="0.25">
      <c r="A42" s="18">
        <v>13</v>
      </c>
      <c r="B42" s="18">
        <v>9.1800000000000007E-3</v>
      </c>
    </row>
    <row r="43" spans="1:2" x14ac:dyDescent="0.25">
      <c r="A43" s="18">
        <v>13.2</v>
      </c>
      <c r="B43" s="18">
        <v>9.0900000000000009E-3</v>
      </c>
    </row>
    <row r="44" spans="1:2" x14ac:dyDescent="0.25">
      <c r="A44" s="18">
        <v>13.4</v>
      </c>
      <c r="B44" s="18">
        <v>8.9800000000000001E-3</v>
      </c>
    </row>
    <row r="45" spans="1:2" x14ac:dyDescent="0.25">
      <c r="A45" s="18">
        <v>13.6</v>
      </c>
      <c r="B45" s="18">
        <v>9.1299999999999992E-3</v>
      </c>
    </row>
    <row r="46" spans="1:2" x14ac:dyDescent="0.25">
      <c r="A46" s="18">
        <v>13.8</v>
      </c>
      <c r="B46" s="18">
        <v>8.8500000000000002E-3</v>
      </c>
    </row>
    <row r="47" spans="1:2" x14ac:dyDescent="0.25">
      <c r="A47" s="18">
        <v>14</v>
      </c>
      <c r="B47" s="18">
        <v>8.5299999999999994E-3</v>
      </c>
    </row>
    <row r="48" spans="1:2" x14ac:dyDescent="0.25">
      <c r="A48" s="18">
        <v>14.2</v>
      </c>
      <c r="B48" s="18">
        <v>8.9200000000000008E-3</v>
      </c>
    </row>
    <row r="49" spans="1:2" x14ac:dyDescent="0.25">
      <c r="A49" s="18">
        <v>14.4</v>
      </c>
      <c r="B49" s="18">
        <v>8.2900000000000005E-3</v>
      </c>
    </row>
    <row r="50" spans="1:2" x14ac:dyDescent="0.25">
      <c r="A50" s="18">
        <v>14.6</v>
      </c>
      <c r="B50" s="18">
        <v>8.7899999999999992E-3</v>
      </c>
    </row>
    <row r="51" spans="1:2" x14ac:dyDescent="0.25">
      <c r="A51" s="18">
        <v>14.8</v>
      </c>
      <c r="B51" s="18">
        <v>8.3800000000000003E-3</v>
      </c>
    </row>
    <row r="52" spans="1:2" x14ac:dyDescent="0.25">
      <c r="A52" s="18">
        <v>15</v>
      </c>
      <c r="B52" s="18">
        <v>8.1300000000000001E-3</v>
      </c>
    </row>
    <row r="53" spans="1:2" x14ac:dyDescent="0.25">
      <c r="A53" s="18">
        <v>15.2</v>
      </c>
      <c r="B53" s="18">
        <v>7.9500000000000005E-3</v>
      </c>
    </row>
    <row r="54" spans="1:2" x14ac:dyDescent="0.25">
      <c r="A54" s="18">
        <v>15.4</v>
      </c>
      <c r="B54" s="18">
        <v>7.92E-3</v>
      </c>
    </row>
    <row r="55" spans="1:2" x14ac:dyDescent="0.25">
      <c r="A55" s="18">
        <v>15.6</v>
      </c>
      <c r="B55" s="18">
        <v>7.8300000000000002E-3</v>
      </c>
    </row>
    <row r="56" spans="1:2" x14ac:dyDescent="0.25">
      <c r="A56" s="18">
        <v>15.8</v>
      </c>
      <c r="B56" s="18">
        <v>7.5900000000000004E-3</v>
      </c>
    </row>
    <row r="57" spans="1:2" x14ac:dyDescent="0.25">
      <c r="A57" s="18">
        <v>16</v>
      </c>
      <c r="B57" s="18">
        <v>7.3299999999999997E-3</v>
      </c>
    </row>
    <row r="58" spans="1:2" x14ac:dyDescent="0.25">
      <c r="A58" s="18">
        <v>16.2</v>
      </c>
      <c r="B58" s="18">
        <v>7.4999999999999997E-3</v>
      </c>
    </row>
    <row r="59" spans="1:2" x14ac:dyDescent="0.25">
      <c r="A59" s="18">
        <v>16.399999999999999</v>
      </c>
      <c r="B59" s="18">
        <v>6.96E-3</v>
      </c>
    </row>
    <row r="60" spans="1:2" x14ac:dyDescent="0.25">
      <c r="A60" s="18">
        <v>16.600000000000001</v>
      </c>
      <c r="B60" s="18">
        <v>6.8399999999999997E-3</v>
      </c>
    </row>
    <row r="61" spans="1:2" x14ac:dyDescent="0.25">
      <c r="A61" s="18">
        <v>16.8</v>
      </c>
      <c r="B61" s="18">
        <v>6.7999999999999996E-3</v>
      </c>
    </row>
    <row r="62" spans="1:2" x14ac:dyDescent="0.25">
      <c r="A62" s="18">
        <v>17</v>
      </c>
      <c r="B62" s="18">
        <v>6.5199999999999998E-3</v>
      </c>
    </row>
    <row r="63" spans="1:2" x14ac:dyDescent="0.25">
      <c r="A63" s="18">
        <v>17.2</v>
      </c>
      <c r="B63" s="18">
        <v>6.5100000000000002E-3</v>
      </c>
    </row>
    <row r="64" spans="1:2" x14ac:dyDescent="0.25">
      <c r="A64" s="18">
        <v>17.399999999999999</v>
      </c>
      <c r="B64" s="18">
        <v>6.2700000000000004E-3</v>
      </c>
    </row>
    <row r="65" spans="1:2" x14ac:dyDescent="0.25">
      <c r="A65" s="18">
        <v>17.600000000000001</v>
      </c>
      <c r="B65" s="18">
        <v>6.0699999999999999E-3</v>
      </c>
    </row>
    <row r="66" spans="1:2" x14ac:dyDescent="0.25">
      <c r="A66" s="18">
        <v>17.8</v>
      </c>
      <c r="B66" s="18">
        <v>5.9100000000000003E-3</v>
      </c>
    </row>
    <row r="67" spans="1:2" x14ac:dyDescent="0.25">
      <c r="A67" s="18">
        <v>18</v>
      </c>
      <c r="B67" s="18">
        <v>5.8399999999999997E-3</v>
      </c>
    </row>
    <row r="68" spans="1:2" x14ac:dyDescent="0.25">
      <c r="A68" s="18">
        <v>18.2</v>
      </c>
      <c r="B68" s="18">
        <v>5.6299999999999996E-3</v>
      </c>
    </row>
    <row r="69" spans="1:2" x14ac:dyDescent="0.25">
      <c r="A69" s="18">
        <v>18.399999999999999</v>
      </c>
      <c r="B69" s="18">
        <v>5.4200000000000003E-3</v>
      </c>
    </row>
    <row r="70" spans="1:2" x14ac:dyDescent="0.25">
      <c r="A70" s="18">
        <v>18.600000000000001</v>
      </c>
      <c r="B70" s="18">
        <v>5.3800000000000002E-3</v>
      </c>
    </row>
    <row r="71" spans="1:2" x14ac:dyDescent="0.25">
      <c r="A71" s="18">
        <v>18.8</v>
      </c>
      <c r="B71" s="18">
        <v>5.1700000000000001E-3</v>
      </c>
    </row>
    <row r="72" spans="1:2" x14ac:dyDescent="0.25">
      <c r="A72" s="18">
        <v>19</v>
      </c>
      <c r="B72" s="18">
        <v>5.0400000000000002E-3</v>
      </c>
    </row>
    <row r="73" spans="1:2" x14ac:dyDescent="0.25">
      <c r="A73" s="18">
        <v>19.2</v>
      </c>
      <c r="B73" s="18">
        <v>4.7999999999999996E-3</v>
      </c>
    </row>
    <row r="74" spans="1:2" x14ac:dyDescent="0.25">
      <c r="A74" s="18">
        <v>19.399999999999999</v>
      </c>
      <c r="B74" s="18">
        <v>4.7400000000000003E-3</v>
      </c>
    </row>
    <row r="75" spans="1:2" x14ac:dyDescent="0.25">
      <c r="A75" s="18">
        <v>19.600000000000001</v>
      </c>
      <c r="B75" s="18">
        <v>4.7999999999999996E-3</v>
      </c>
    </row>
    <row r="76" spans="1:2" x14ac:dyDescent="0.25">
      <c r="A76" s="18">
        <v>19.8</v>
      </c>
      <c r="B76" s="18">
        <v>4.3800000000000002E-3</v>
      </c>
    </row>
    <row r="77" spans="1:2" x14ac:dyDescent="0.25">
      <c r="A77" s="18">
        <v>20</v>
      </c>
      <c r="B77" s="18">
        <v>4.4600000000000004E-3</v>
      </c>
    </row>
    <row r="78" spans="1:2" x14ac:dyDescent="0.25">
      <c r="A78" s="18">
        <v>20.2</v>
      </c>
      <c r="B78" s="18">
        <v>4.1900000000000001E-3</v>
      </c>
    </row>
    <row r="79" spans="1:2" x14ac:dyDescent="0.25">
      <c r="A79" s="18">
        <v>20.399999999999999</v>
      </c>
      <c r="B79" s="18">
        <v>4.1999999999999997E-3</v>
      </c>
    </row>
    <row r="80" spans="1:2" x14ac:dyDescent="0.25">
      <c r="A80" s="18">
        <v>20.6</v>
      </c>
      <c r="B80" s="18">
        <v>3.96E-3</v>
      </c>
    </row>
    <row r="81" spans="1:2" x14ac:dyDescent="0.25">
      <c r="A81" s="18">
        <v>20.8</v>
      </c>
      <c r="B81" s="18">
        <v>3.8899999999999998E-3</v>
      </c>
    </row>
    <row r="82" spans="1:2" x14ac:dyDescent="0.25">
      <c r="A82" s="18">
        <v>21</v>
      </c>
      <c r="B82" s="18">
        <v>3.81E-3</v>
      </c>
    </row>
    <row r="83" spans="1:2" x14ac:dyDescent="0.25">
      <c r="A83" s="18">
        <v>21.2</v>
      </c>
      <c r="B83" s="18">
        <v>3.7100000000000002E-3</v>
      </c>
    </row>
    <row r="84" spans="1:2" x14ac:dyDescent="0.25">
      <c r="A84" s="18">
        <v>21.4</v>
      </c>
      <c r="B84" s="18">
        <v>3.5000000000000001E-3</v>
      </c>
    </row>
    <row r="85" spans="1:2" x14ac:dyDescent="0.25">
      <c r="A85" s="18">
        <v>21.6</v>
      </c>
      <c r="B85" s="18">
        <v>3.4499999999999999E-3</v>
      </c>
    </row>
    <row r="86" spans="1:2" x14ac:dyDescent="0.25">
      <c r="A86" s="18">
        <v>21.8</v>
      </c>
      <c r="B86" s="18">
        <v>3.3899999999999998E-3</v>
      </c>
    </row>
    <row r="87" spans="1:2" x14ac:dyDescent="0.25">
      <c r="A87" s="18">
        <v>22</v>
      </c>
      <c r="B87" s="18">
        <v>3.2200000000000002E-3</v>
      </c>
    </row>
    <row r="88" spans="1:2" x14ac:dyDescent="0.25">
      <c r="A88" s="18">
        <v>22.2</v>
      </c>
      <c r="B88" s="18">
        <v>3.15E-3</v>
      </c>
    </row>
    <row r="89" spans="1:2" x14ac:dyDescent="0.25">
      <c r="A89" s="18">
        <v>22.4</v>
      </c>
      <c r="B89" s="18">
        <v>3.0599999999999998E-3</v>
      </c>
    </row>
    <row r="90" spans="1:2" x14ac:dyDescent="0.25">
      <c r="A90" s="18">
        <v>22.6</v>
      </c>
      <c r="B90" s="18">
        <v>3.0599999999999998E-3</v>
      </c>
    </row>
    <row r="91" spans="1:2" x14ac:dyDescent="0.25">
      <c r="A91" s="18">
        <v>22.8</v>
      </c>
      <c r="B91" s="18">
        <v>2.8E-3</v>
      </c>
    </row>
    <row r="92" spans="1:2" x14ac:dyDescent="0.25">
      <c r="A92" s="18">
        <v>23</v>
      </c>
      <c r="B92" s="18">
        <v>2.7699999999999999E-3</v>
      </c>
    </row>
    <row r="93" spans="1:2" x14ac:dyDescent="0.25">
      <c r="A93" s="18">
        <v>23.2</v>
      </c>
      <c r="B93" s="18">
        <v>2.7499999999999998E-3</v>
      </c>
    </row>
    <row r="94" spans="1:2" x14ac:dyDescent="0.25">
      <c r="A94" s="18">
        <v>23.4</v>
      </c>
      <c r="B94" s="18">
        <v>2.6199999999999999E-3</v>
      </c>
    </row>
    <row r="95" spans="1:2" x14ac:dyDescent="0.25">
      <c r="A95" s="18">
        <v>23.6</v>
      </c>
      <c r="B95" s="18">
        <v>2.5699999999999998E-3</v>
      </c>
    </row>
    <row r="96" spans="1:2" x14ac:dyDescent="0.25">
      <c r="A96" s="18">
        <v>23.8</v>
      </c>
      <c r="B96" s="18">
        <v>2.5300000000000001E-3</v>
      </c>
    </row>
    <row r="97" spans="1:2" x14ac:dyDescent="0.25">
      <c r="A97" s="18">
        <v>24</v>
      </c>
      <c r="B97" s="18">
        <v>2.3800000000000002E-3</v>
      </c>
    </row>
    <row r="98" spans="1:2" x14ac:dyDescent="0.25">
      <c r="A98" s="18">
        <v>24.2</v>
      </c>
      <c r="B98" s="18">
        <v>2.3500000000000001E-3</v>
      </c>
    </row>
    <row r="99" spans="1:2" x14ac:dyDescent="0.25">
      <c r="A99" s="18">
        <v>24.4</v>
      </c>
      <c r="B99" s="18">
        <v>2.2799999999999999E-3</v>
      </c>
    </row>
    <row r="100" spans="1:2" x14ac:dyDescent="0.25">
      <c r="A100" s="18">
        <v>24.6</v>
      </c>
      <c r="B100" s="18">
        <v>2.2399999999999998E-3</v>
      </c>
    </row>
    <row r="101" spans="1:2" x14ac:dyDescent="0.25">
      <c r="A101" s="18">
        <v>24.8</v>
      </c>
      <c r="B101" s="18">
        <v>2.1299999999999999E-3</v>
      </c>
    </row>
    <row r="102" spans="1:2" x14ac:dyDescent="0.25">
      <c r="A102" s="18">
        <v>25</v>
      </c>
      <c r="B102" s="18">
        <v>2.0799999999999998E-3</v>
      </c>
    </row>
    <row r="103" spans="1:2" x14ac:dyDescent="0.25">
      <c r="A103" s="18">
        <v>25.2</v>
      </c>
      <c r="B103" s="18">
        <v>1.9300000000000001E-3</v>
      </c>
    </row>
    <row r="104" spans="1:2" x14ac:dyDescent="0.25">
      <c r="A104" s="18">
        <v>25.4</v>
      </c>
      <c r="B104" s="18">
        <v>2.0100000000000001E-3</v>
      </c>
    </row>
    <row r="105" spans="1:2" x14ac:dyDescent="0.25">
      <c r="A105" s="18">
        <v>25.6</v>
      </c>
      <c r="B105" s="18">
        <v>1.8500000000000001E-3</v>
      </c>
    </row>
    <row r="106" spans="1:2" x14ac:dyDescent="0.25">
      <c r="A106" s="18">
        <v>25.8</v>
      </c>
      <c r="B106" s="18">
        <v>1.8600000000000001E-3</v>
      </c>
    </row>
    <row r="107" spans="1:2" x14ac:dyDescent="0.25">
      <c r="A107" s="18">
        <v>26</v>
      </c>
      <c r="B107" s="18">
        <v>1.7799999999999999E-3</v>
      </c>
    </row>
    <row r="108" spans="1:2" x14ac:dyDescent="0.25">
      <c r="A108" s="18">
        <v>26.2</v>
      </c>
      <c r="B108" s="18">
        <v>1.6800000000000001E-3</v>
      </c>
    </row>
    <row r="109" spans="1:2" x14ac:dyDescent="0.25">
      <c r="A109" s="18">
        <v>26.4</v>
      </c>
      <c r="B109" s="18">
        <v>1.65E-3</v>
      </c>
    </row>
    <row r="110" spans="1:2" x14ac:dyDescent="0.25">
      <c r="A110" s="18">
        <v>26.6</v>
      </c>
      <c r="B110" s="18">
        <v>1.6100000000000001E-3</v>
      </c>
    </row>
    <row r="111" spans="1:2" x14ac:dyDescent="0.25">
      <c r="A111" s="18">
        <v>26.8</v>
      </c>
      <c r="B111" s="18">
        <v>1.5900000000000001E-3</v>
      </c>
    </row>
    <row r="112" spans="1:2" x14ac:dyDescent="0.25">
      <c r="A112" s="18">
        <v>27</v>
      </c>
      <c r="B112" s="18">
        <v>1.5299999999999999E-3</v>
      </c>
    </row>
    <row r="113" spans="1:2" x14ac:dyDescent="0.25">
      <c r="A113" s="18">
        <v>27.2</v>
      </c>
      <c r="B113" s="18">
        <v>1.4400000000000001E-3</v>
      </c>
    </row>
    <row r="114" spans="1:2" x14ac:dyDescent="0.25">
      <c r="A114" s="18">
        <v>27.4</v>
      </c>
      <c r="B114" s="18">
        <v>1.48E-3</v>
      </c>
    </row>
    <row r="115" spans="1:2" x14ac:dyDescent="0.25">
      <c r="A115" s="18">
        <v>27.6</v>
      </c>
      <c r="B115" s="18">
        <v>1.32E-3</v>
      </c>
    </row>
    <row r="116" spans="1:2" x14ac:dyDescent="0.25">
      <c r="A116" s="18">
        <v>27.8</v>
      </c>
      <c r="B116" s="18">
        <v>1.3799999999999999E-3</v>
      </c>
    </row>
    <row r="117" spans="1:2" x14ac:dyDescent="0.25">
      <c r="A117" s="18">
        <v>28</v>
      </c>
      <c r="B117" s="18">
        <v>1.2700000000000001E-3</v>
      </c>
    </row>
    <row r="118" spans="1:2" x14ac:dyDescent="0.25">
      <c r="A118" s="18">
        <v>28.2</v>
      </c>
      <c r="B118" s="18">
        <v>1.2800000000000001E-3</v>
      </c>
    </row>
    <row r="119" spans="1:2" x14ac:dyDescent="0.25">
      <c r="A119" s="18">
        <v>28.4</v>
      </c>
      <c r="B119" s="18">
        <v>1.1900000000000001E-3</v>
      </c>
    </row>
    <row r="120" spans="1:2" x14ac:dyDescent="0.25">
      <c r="A120" s="18">
        <v>28.6</v>
      </c>
      <c r="B120" s="18">
        <v>1.1800000000000001E-3</v>
      </c>
    </row>
    <row r="121" spans="1:2" x14ac:dyDescent="0.25">
      <c r="A121" s="18">
        <v>28.8</v>
      </c>
      <c r="B121" s="18">
        <v>1.16E-3</v>
      </c>
    </row>
    <row r="122" spans="1:2" x14ac:dyDescent="0.25">
      <c r="A122" s="18">
        <v>29</v>
      </c>
      <c r="B122" s="18">
        <v>1.09E-3</v>
      </c>
    </row>
    <row r="123" spans="1:2" x14ac:dyDescent="0.25">
      <c r="A123" s="18">
        <v>29.2</v>
      </c>
      <c r="B123" s="18">
        <v>1.09E-3</v>
      </c>
    </row>
    <row r="124" spans="1:2" x14ac:dyDescent="0.25">
      <c r="A124" s="18">
        <v>29.4</v>
      </c>
      <c r="B124" s="18">
        <v>9.9799999999999997E-4</v>
      </c>
    </row>
    <row r="125" spans="1:2" x14ac:dyDescent="0.25">
      <c r="A125" s="18">
        <v>29.6</v>
      </c>
      <c r="B125" s="18">
        <v>1.06E-3</v>
      </c>
    </row>
    <row r="126" spans="1:2" x14ac:dyDescent="0.25">
      <c r="A126" s="18">
        <v>29.8</v>
      </c>
      <c r="B126" s="18">
        <v>9.2900000000000003E-4</v>
      </c>
    </row>
    <row r="127" spans="1:2" x14ac:dyDescent="0.25">
      <c r="A127" s="18">
        <v>30</v>
      </c>
      <c r="B127" s="18">
        <v>9.4600000000000001E-4</v>
      </c>
    </row>
    <row r="128" spans="1:2" x14ac:dyDescent="0.25">
      <c r="A128" s="18">
        <v>30.2</v>
      </c>
      <c r="B128" s="18">
        <v>9.2500000000000004E-4</v>
      </c>
    </row>
    <row r="129" spans="1:2" x14ac:dyDescent="0.25">
      <c r="A129" s="18">
        <v>30.4</v>
      </c>
      <c r="B129" s="18">
        <v>8.3000000000000001E-4</v>
      </c>
    </row>
    <row r="130" spans="1:2" x14ac:dyDescent="0.25">
      <c r="A130" s="18">
        <v>30.6</v>
      </c>
      <c r="B130" s="18">
        <v>8.8999999999999995E-4</v>
      </c>
    </row>
    <row r="131" spans="1:2" x14ac:dyDescent="0.25">
      <c r="A131" s="18">
        <v>30.8</v>
      </c>
      <c r="B131" s="18">
        <v>8.0900000000000004E-4</v>
      </c>
    </row>
    <row r="132" spans="1:2" x14ac:dyDescent="0.25">
      <c r="A132" s="18">
        <v>31</v>
      </c>
      <c r="B132" s="18">
        <v>8.1300000000000003E-4</v>
      </c>
    </row>
    <row r="133" spans="1:2" x14ac:dyDescent="0.25">
      <c r="A133" s="18">
        <v>31.2</v>
      </c>
      <c r="B133" s="18">
        <v>7.6499999999999995E-4</v>
      </c>
    </row>
    <row r="134" spans="1:2" x14ac:dyDescent="0.25">
      <c r="A134" s="18">
        <v>31.4</v>
      </c>
      <c r="B134" s="18">
        <v>7.3899999999999997E-4</v>
      </c>
    </row>
    <row r="135" spans="1:2" x14ac:dyDescent="0.25">
      <c r="A135" s="18">
        <v>31.6</v>
      </c>
      <c r="B135" s="18">
        <v>7.27E-4</v>
      </c>
    </row>
    <row r="136" spans="1:2" x14ac:dyDescent="0.25">
      <c r="A136" s="18">
        <v>31.8</v>
      </c>
      <c r="B136" s="18">
        <v>6.8099999999999996E-4</v>
      </c>
    </row>
    <row r="137" spans="1:2" x14ac:dyDescent="0.25">
      <c r="A137" s="18">
        <v>32</v>
      </c>
      <c r="B137" s="18">
        <v>6.8199999999999999E-4</v>
      </c>
    </row>
    <row r="138" spans="1:2" x14ac:dyDescent="0.25">
      <c r="A138" s="18">
        <v>32.200000000000003</v>
      </c>
      <c r="B138" s="18">
        <v>6.6500000000000001E-4</v>
      </c>
    </row>
    <row r="139" spans="1:2" x14ac:dyDescent="0.25">
      <c r="A139" s="18">
        <v>32.4</v>
      </c>
      <c r="B139" s="18">
        <v>6.3599999999999996E-4</v>
      </c>
    </row>
    <row r="140" spans="1:2" x14ac:dyDescent="0.25">
      <c r="A140" s="18">
        <v>32.6</v>
      </c>
      <c r="B140" s="18">
        <v>5.9900000000000003E-4</v>
      </c>
    </row>
    <row r="141" spans="1:2" x14ac:dyDescent="0.25">
      <c r="A141" s="18">
        <v>32.799999999999997</v>
      </c>
      <c r="B141" s="18">
        <v>6.02E-4</v>
      </c>
    </row>
    <row r="142" spans="1:2" x14ac:dyDescent="0.25">
      <c r="A142" s="18">
        <v>33</v>
      </c>
      <c r="B142" s="18">
        <v>5.5800000000000001E-4</v>
      </c>
    </row>
    <row r="143" spans="1:2" x14ac:dyDescent="0.25">
      <c r="A143" s="18">
        <v>33.200000000000003</v>
      </c>
      <c r="B143" s="18">
        <v>5.6700000000000001E-4</v>
      </c>
    </row>
    <row r="144" spans="1:2" x14ac:dyDescent="0.25">
      <c r="A144" s="18">
        <v>33.4</v>
      </c>
      <c r="B144" s="18">
        <v>5.13E-4</v>
      </c>
    </row>
    <row r="145" spans="1:2" x14ac:dyDescent="0.25">
      <c r="A145" s="18">
        <v>33.6</v>
      </c>
      <c r="B145" s="18">
        <v>5.0199999999999995E-4</v>
      </c>
    </row>
    <row r="146" spans="1:2" x14ac:dyDescent="0.25">
      <c r="A146" s="18">
        <v>33.799999999999997</v>
      </c>
      <c r="B146" s="18">
        <v>4.8000000000000001E-4</v>
      </c>
    </row>
    <row r="147" spans="1:2" x14ac:dyDescent="0.25">
      <c r="A147" s="18">
        <v>34</v>
      </c>
      <c r="B147" s="18">
        <v>4.6500000000000003E-4</v>
      </c>
    </row>
    <row r="148" spans="1:2" x14ac:dyDescent="0.25">
      <c r="A148" s="18">
        <v>34.200000000000003</v>
      </c>
      <c r="B148" s="18">
        <v>4.5399999999999998E-4</v>
      </c>
    </row>
    <row r="149" spans="1:2" x14ac:dyDescent="0.25">
      <c r="A149" s="18">
        <v>34.4</v>
      </c>
      <c r="B149" s="18">
        <v>4.1599999999999997E-4</v>
      </c>
    </row>
    <row r="150" spans="1:2" x14ac:dyDescent="0.25">
      <c r="A150" s="18">
        <v>34.6</v>
      </c>
      <c r="B150" s="18">
        <v>3.9599999999999998E-4</v>
      </c>
    </row>
    <row r="151" spans="1:2" x14ac:dyDescent="0.25">
      <c r="A151" s="18">
        <v>34.799999999999997</v>
      </c>
      <c r="B151" s="18">
        <v>3.9399999999999998E-4</v>
      </c>
    </row>
    <row r="152" spans="1:2" x14ac:dyDescent="0.25">
      <c r="A152" s="18">
        <v>35</v>
      </c>
      <c r="B152" s="18">
        <v>3.9300000000000001E-4</v>
      </c>
    </row>
    <row r="153" spans="1:2" x14ac:dyDescent="0.25">
      <c r="A153" s="18">
        <v>35.200000000000003</v>
      </c>
      <c r="B153" s="18">
        <v>3.3799999999999998E-4</v>
      </c>
    </row>
    <row r="154" spans="1:2" x14ac:dyDescent="0.25">
      <c r="A154" s="18">
        <v>35.4</v>
      </c>
      <c r="B154" s="18">
        <v>3.7599999999999998E-4</v>
      </c>
    </row>
    <row r="155" spans="1:2" x14ac:dyDescent="0.25">
      <c r="A155" s="18">
        <v>35.6</v>
      </c>
      <c r="B155" s="18">
        <v>3.1E-4</v>
      </c>
    </row>
    <row r="156" spans="1:2" x14ac:dyDescent="0.25">
      <c r="A156" s="18">
        <v>35.799999999999997</v>
      </c>
      <c r="B156" s="18">
        <v>3.1799999999999998E-4</v>
      </c>
    </row>
    <row r="157" spans="1:2" x14ac:dyDescent="0.25">
      <c r="A157" s="18">
        <v>36</v>
      </c>
      <c r="B157" s="18">
        <v>2.9399999999999999E-4</v>
      </c>
    </row>
    <row r="158" spans="1:2" x14ac:dyDescent="0.25">
      <c r="A158" s="18">
        <v>36.200000000000003</v>
      </c>
      <c r="B158" s="18">
        <v>2.8299999999999999E-4</v>
      </c>
    </row>
    <row r="159" spans="1:2" x14ac:dyDescent="0.25">
      <c r="A159" s="18">
        <v>36.4</v>
      </c>
      <c r="B159" s="18">
        <v>2.7399999999999999E-4</v>
      </c>
    </row>
    <row r="160" spans="1:2" x14ac:dyDescent="0.25">
      <c r="A160" s="18">
        <v>36.6</v>
      </c>
      <c r="B160" s="18">
        <v>2.5300000000000002E-4</v>
      </c>
    </row>
    <row r="161" spans="1:2" x14ac:dyDescent="0.25">
      <c r="A161" s="18">
        <v>36.799999999999997</v>
      </c>
      <c r="B161" s="18">
        <v>2.32E-4</v>
      </c>
    </row>
    <row r="162" spans="1:2" x14ac:dyDescent="0.25">
      <c r="A162" s="18">
        <v>37</v>
      </c>
      <c r="B162" s="18">
        <v>2.3499999999999999E-4</v>
      </c>
    </row>
    <row r="163" spans="1:2" x14ac:dyDescent="0.25">
      <c r="A163" s="18">
        <v>37.200000000000003</v>
      </c>
      <c r="B163" s="18">
        <v>1.95E-4</v>
      </c>
    </row>
    <row r="164" spans="1:2" x14ac:dyDescent="0.25">
      <c r="A164" s="18">
        <v>37.4</v>
      </c>
      <c r="B164" s="18">
        <v>2.0000000000000001E-4</v>
      </c>
    </row>
    <row r="165" spans="1:2" x14ac:dyDescent="0.25">
      <c r="A165" s="18">
        <v>37.6</v>
      </c>
      <c r="B165" s="18">
        <v>1.76E-4</v>
      </c>
    </row>
    <row r="166" spans="1:2" x14ac:dyDescent="0.25">
      <c r="A166" s="18">
        <v>37.799999999999997</v>
      </c>
      <c r="B166" s="18">
        <v>1.74E-4</v>
      </c>
    </row>
    <row r="167" spans="1:2" x14ac:dyDescent="0.25">
      <c r="A167" s="18">
        <v>38</v>
      </c>
      <c r="B167" s="18">
        <v>1.46E-4</v>
      </c>
    </row>
    <row r="168" spans="1:2" x14ac:dyDescent="0.25">
      <c r="A168" s="18">
        <v>38.200000000000003</v>
      </c>
      <c r="B168" s="18">
        <v>1.45E-4</v>
      </c>
    </row>
    <row r="169" spans="1:2" x14ac:dyDescent="0.25">
      <c r="A169" s="18">
        <v>38.4</v>
      </c>
      <c r="B169" s="18">
        <v>1.2400000000000001E-4</v>
      </c>
    </row>
    <row r="170" spans="1:2" x14ac:dyDescent="0.25">
      <c r="A170" s="18">
        <v>38.6</v>
      </c>
      <c r="B170" s="18">
        <v>1.22E-4</v>
      </c>
    </row>
    <row r="171" spans="1:2" x14ac:dyDescent="0.25">
      <c r="A171" s="18">
        <v>38.799999999999997</v>
      </c>
      <c r="B171" s="18">
        <v>9.2299999999999994E-5</v>
      </c>
    </row>
    <row r="172" spans="1:2" x14ac:dyDescent="0.25">
      <c r="A172" s="18">
        <v>39</v>
      </c>
      <c r="B172" s="18">
        <v>8.7800000000000006E-5</v>
      </c>
    </row>
    <row r="173" spans="1:2" x14ac:dyDescent="0.25">
      <c r="A173" s="18">
        <v>39.200000000000003</v>
      </c>
      <c r="B173" s="18">
        <v>7.4300000000000004E-5</v>
      </c>
    </row>
    <row r="174" spans="1:2" x14ac:dyDescent="0.25">
      <c r="A174" s="18">
        <v>39.4</v>
      </c>
      <c r="B174" s="18">
        <v>6.0900000000000003E-5</v>
      </c>
    </row>
    <row r="175" spans="1:2" x14ac:dyDescent="0.25">
      <c r="A175" s="18">
        <v>39.6</v>
      </c>
      <c r="B175" s="18">
        <v>4.1499999999999999E-5</v>
      </c>
    </row>
    <row r="176" spans="1:2" x14ac:dyDescent="0.25">
      <c r="A176" s="18">
        <v>39.799999999999997</v>
      </c>
      <c r="B176" s="18">
        <v>3.3800000000000002E-5</v>
      </c>
    </row>
    <row r="177" spans="1:2" x14ac:dyDescent="0.25">
      <c r="A177" s="18">
        <v>40</v>
      </c>
      <c r="B177" s="18">
        <v>8.8300000000000002E-6</v>
      </c>
    </row>
    <row r="178" spans="1:2" x14ac:dyDescent="0.25">
      <c r="A178" s="18">
        <v>40.200000000000003</v>
      </c>
      <c r="B178" s="18">
        <v>2.9699999999999999E-6</v>
      </c>
    </row>
    <row r="179" spans="1:2" x14ac:dyDescent="0.25">
      <c r="A179" s="18">
        <v>40.4</v>
      </c>
      <c r="B179" s="18">
        <v>6.5400000000000001E-7</v>
      </c>
    </row>
    <row r="180" spans="1:2" x14ac:dyDescent="0.25">
      <c r="A180" s="18">
        <v>40.6</v>
      </c>
      <c r="B180" s="18">
        <v>2.6E-7</v>
      </c>
    </row>
    <row r="181" spans="1:2" x14ac:dyDescent="0.25">
      <c r="A181" s="18">
        <v>40.799999999999997</v>
      </c>
      <c r="B181" s="18">
        <v>1.73E-7</v>
      </c>
    </row>
    <row r="182" spans="1:2" x14ac:dyDescent="0.25">
      <c r="A182" s="18">
        <v>41</v>
      </c>
      <c r="B182" s="18">
        <v>3.3799999999999998E-8</v>
      </c>
    </row>
    <row r="183" spans="1:2" x14ac:dyDescent="0.25">
      <c r="A183" s="18">
        <v>41.2</v>
      </c>
      <c r="B183" s="18">
        <v>6.2399999999999998E-7</v>
      </c>
    </row>
    <row r="184" spans="1:2" x14ac:dyDescent="0.25">
      <c r="A184" s="18">
        <v>41.4</v>
      </c>
      <c r="B184" s="18">
        <v>1.31E-7</v>
      </c>
    </row>
    <row r="185" spans="1:2" x14ac:dyDescent="0.25">
      <c r="A185" s="18">
        <v>41.6</v>
      </c>
      <c r="B185" s="18">
        <v>1.88E-8</v>
      </c>
    </row>
    <row r="186" spans="1:2" x14ac:dyDescent="0.25">
      <c r="A186" s="18">
        <v>41.8</v>
      </c>
      <c r="B186" s="18">
        <v>6.8899999999999999E-7</v>
      </c>
    </row>
    <row r="187" spans="1:2" x14ac:dyDescent="0.25">
      <c r="A187" s="18">
        <v>42</v>
      </c>
      <c r="B187" s="18">
        <v>5.3000000000000001E-7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1:B237"/>
  <sheetViews>
    <sheetView workbookViewId="0">
      <selection activeCell="E1" sqref="E1:E1048576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1.48E-3</v>
      </c>
    </row>
    <row r="3" spans="1:2" x14ac:dyDescent="0.25">
      <c r="A3" s="18">
        <v>5.2</v>
      </c>
      <c r="B3" s="18">
        <v>7.6999999999999996E-4</v>
      </c>
    </row>
    <row r="4" spans="1:2" x14ac:dyDescent="0.25">
      <c r="A4" s="18">
        <v>5.4</v>
      </c>
      <c r="B4" s="18">
        <v>1.3600000000000001E-3</v>
      </c>
    </row>
    <row r="5" spans="1:2" x14ac:dyDescent="0.25">
      <c r="A5" s="18">
        <v>5.6</v>
      </c>
      <c r="B5" s="18">
        <v>1.0399999999999999E-4</v>
      </c>
    </row>
    <row r="6" spans="1:2" x14ac:dyDescent="0.25">
      <c r="A6" s="18">
        <v>5.8</v>
      </c>
      <c r="B6" s="18">
        <v>7.18E-4</v>
      </c>
    </row>
    <row r="7" spans="1:2" x14ac:dyDescent="0.25">
      <c r="A7" s="18">
        <v>6</v>
      </c>
      <c r="B7" s="18">
        <v>9.1100000000000003E-4</v>
      </c>
    </row>
    <row r="8" spans="1:2" x14ac:dyDescent="0.25">
      <c r="A8" s="18">
        <v>6.2</v>
      </c>
      <c r="B8" s="18">
        <v>5.8600000000000004E-4</v>
      </c>
    </row>
    <row r="9" spans="1:2" x14ac:dyDescent="0.25">
      <c r="A9" s="18">
        <v>6.4</v>
      </c>
      <c r="B9" s="18">
        <v>7.2000000000000005E-4</v>
      </c>
    </row>
    <row r="10" spans="1:2" x14ac:dyDescent="0.25">
      <c r="A10" s="18">
        <v>6.6</v>
      </c>
      <c r="B10" s="18">
        <v>9.4499999999999998E-4</v>
      </c>
    </row>
    <row r="11" spans="1:2" x14ac:dyDescent="0.25">
      <c r="A11" s="18">
        <v>6.8</v>
      </c>
      <c r="B11" s="18">
        <v>4.3600000000000003E-4</v>
      </c>
    </row>
    <row r="12" spans="1:2" x14ac:dyDescent="0.25">
      <c r="A12" s="18">
        <v>7</v>
      </c>
      <c r="B12" s="18">
        <v>1.24E-3</v>
      </c>
    </row>
    <row r="13" spans="1:2" x14ac:dyDescent="0.25">
      <c r="A13" s="18">
        <v>7.2</v>
      </c>
      <c r="B13" s="18">
        <v>1.56E-3</v>
      </c>
    </row>
    <row r="14" spans="1:2" x14ac:dyDescent="0.25">
      <c r="A14" s="18">
        <v>7.4</v>
      </c>
      <c r="B14" s="18">
        <v>2.7499999999999998E-3</v>
      </c>
    </row>
    <row r="15" spans="1:2" x14ac:dyDescent="0.25">
      <c r="A15" s="18">
        <v>7.6</v>
      </c>
      <c r="B15" s="18">
        <v>2.49E-3</v>
      </c>
    </row>
    <row r="16" spans="1:2" x14ac:dyDescent="0.25">
      <c r="A16" s="18">
        <v>7.8</v>
      </c>
      <c r="B16" s="18">
        <v>2.66E-3</v>
      </c>
    </row>
    <row r="17" spans="1:2" x14ac:dyDescent="0.25">
      <c r="A17" s="18">
        <v>8</v>
      </c>
      <c r="B17" s="18">
        <v>4.1799999999999997E-3</v>
      </c>
    </row>
    <row r="18" spans="1:2" x14ac:dyDescent="0.25">
      <c r="A18" s="18">
        <v>8.1999999999999993</v>
      </c>
      <c r="B18" s="18">
        <v>2.1800000000000001E-3</v>
      </c>
    </row>
    <row r="19" spans="1:2" x14ac:dyDescent="0.25">
      <c r="A19" s="18">
        <v>8.4</v>
      </c>
      <c r="B19" s="18">
        <v>9.0300000000000005E-2</v>
      </c>
    </row>
    <row r="20" spans="1:2" x14ac:dyDescent="0.25">
      <c r="A20" s="18">
        <v>8.6</v>
      </c>
      <c r="B20" s="18">
        <v>4.3499999999999997E-2</v>
      </c>
    </row>
    <row r="21" spans="1:2" x14ac:dyDescent="0.25">
      <c r="A21" s="18">
        <v>8.8000000000000007</v>
      </c>
      <c r="B21" s="18">
        <v>3.13E-3</v>
      </c>
    </row>
    <row r="22" spans="1:2" x14ac:dyDescent="0.25">
      <c r="A22" s="18">
        <v>9</v>
      </c>
      <c r="B22" s="18">
        <v>7.8700000000000003E-3</v>
      </c>
    </row>
    <row r="23" spans="1:2" x14ac:dyDescent="0.25">
      <c r="A23" s="18">
        <v>9.1999999999999993</v>
      </c>
      <c r="B23" s="18">
        <v>9.2200000000000008E-3</v>
      </c>
    </row>
    <row r="24" spans="1:2" x14ac:dyDescent="0.25">
      <c r="A24" s="18">
        <v>9.4</v>
      </c>
      <c r="B24" s="18">
        <v>4.2399999999999998E-3</v>
      </c>
    </row>
    <row r="25" spans="1:2" x14ac:dyDescent="0.25">
      <c r="A25" s="18">
        <v>9.6</v>
      </c>
      <c r="B25" s="18">
        <v>6.9900000000000004E-2</v>
      </c>
    </row>
    <row r="26" spans="1:2" x14ac:dyDescent="0.25">
      <c r="A26" s="18">
        <v>9.8000000000000007</v>
      </c>
      <c r="B26" s="18">
        <v>0.107</v>
      </c>
    </row>
    <row r="27" spans="1:2" x14ac:dyDescent="0.25">
      <c r="A27" s="18">
        <v>10</v>
      </c>
      <c r="B27" s="18">
        <v>6.25E-2</v>
      </c>
    </row>
    <row r="28" spans="1:2" x14ac:dyDescent="0.25">
      <c r="A28" s="18">
        <v>10.199999999999999</v>
      </c>
      <c r="B28" s="18">
        <v>2.1899999999999999E-2</v>
      </c>
    </row>
    <row r="29" spans="1:2" x14ac:dyDescent="0.25">
      <c r="A29" s="18">
        <v>10.4</v>
      </c>
      <c r="B29" s="18">
        <v>7.5599999999999999E-3</v>
      </c>
    </row>
    <row r="30" spans="1:2" x14ac:dyDescent="0.25">
      <c r="A30" s="18">
        <v>10.6</v>
      </c>
      <c r="B30" s="18">
        <v>8.2400000000000008E-3</v>
      </c>
    </row>
    <row r="31" spans="1:2" x14ac:dyDescent="0.25">
      <c r="A31" s="18">
        <v>10.8</v>
      </c>
      <c r="B31" s="18">
        <v>8.8100000000000001E-3</v>
      </c>
    </row>
    <row r="32" spans="1:2" x14ac:dyDescent="0.25">
      <c r="A32" s="18">
        <v>11</v>
      </c>
      <c r="B32" s="18">
        <v>8.5299999999999994E-3</v>
      </c>
    </row>
    <row r="33" spans="1:2" x14ac:dyDescent="0.25">
      <c r="A33" s="18">
        <v>11.2</v>
      </c>
      <c r="B33" s="18">
        <v>1.7899999999999999E-2</v>
      </c>
    </row>
    <row r="34" spans="1:2" x14ac:dyDescent="0.25">
      <c r="A34" s="18">
        <v>11.4</v>
      </c>
      <c r="B34" s="18">
        <v>2.7199999999999998E-2</v>
      </c>
    </row>
    <row r="35" spans="1:2" x14ac:dyDescent="0.25">
      <c r="A35" s="18">
        <v>11.6</v>
      </c>
      <c r="B35" s="18">
        <v>1.4200000000000001E-2</v>
      </c>
    </row>
    <row r="36" spans="1:2" x14ac:dyDescent="0.25">
      <c r="A36" s="18">
        <v>11.8</v>
      </c>
      <c r="B36" s="18">
        <v>1.3599999999999999E-2</v>
      </c>
    </row>
    <row r="37" spans="1:2" x14ac:dyDescent="0.25">
      <c r="A37" s="18">
        <v>12</v>
      </c>
      <c r="B37" s="18">
        <v>8.5199999999999998E-3</v>
      </c>
    </row>
    <row r="38" spans="1:2" x14ac:dyDescent="0.25">
      <c r="A38" s="18">
        <v>12.2</v>
      </c>
      <c r="B38" s="18">
        <v>9.2399999999999999E-3</v>
      </c>
    </row>
    <row r="39" spans="1:2" x14ac:dyDescent="0.25">
      <c r="A39" s="18">
        <v>12.4</v>
      </c>
      <c r="B39" s="18">
        <v>7.5799999999999999E-3</v>
      </c>
    </row>
    <row r="40" spans="1:2" x14ac:dyDescent="0.25">
      <c r="A40" s="18">
        <v>12.6</v>
      </c>
      <c r="B40" s="18">
        <v>7.8100000000000001E-3</v>
      </c>
    </row>
    <row r="41" spans="1:2" x14ac:dyDescent="0.25">
      <c r="A41" s="18">
        <v>12.8</v>
      </c>
      <c r="B41" s="18">
        <v>7.92E-3</v>
      </c>
    </row>
    <row r="42" spans="1:2" x14ac:dyDescent="0.25">
      <c r="A42" s="18">
        <v>13</v>
      </c>
      <c r="B42" s="18">
        <v>8.0800000000000004E-3</v>
      </c>
    </row>
    <row r="43" spans="1:2" x14ac:dyDescent="0.25">
      <c r="A43" s="18">
        <v>13.2</v>
      </c>
      <c r="B43" s="18">
        <v>8.0800000000000004E-3</v>
      </c>
    </row>
    <row r="44" spans="1:2" x14ac:dyDescent="0.25">
      <c r="A44" s="18">
        <v>13.4</v>
      </c>
      <c r="B44" s="18">
        <v>7.9900000000000006E-3</v>
      </c>
    </row>
    <row r="45" spans="1:2" x14ac:dyDescent="0.25">
      <c r="A45" s="18">
        <v>13.6</v>
      </c>
      <c r="B45" s="18">
        <v>7.9699999999999997E-3</v>
      </c>
    </row>
    <row r="46" spans="1:2" x14ac:dyDescent="0.25">
      <c r="A46" s="18">
        <v>13.8</v>
      </c>
      <c r="B46" s="18">
        <v>8.0000000000000002E-3</v>
      </c>
    </row>
    <row r="47" spans="1:2" x14ac:dyDescent="0.25">
      <c r="A47" s="18">
        <v>14</v>
      </c>
      <c r="B47" s="18">
        <v>7.8499999999999993E-3</v>
      </c>
    </row>
    <row r="48" spans="1:2" x14ac:dyDescent="0.25">
      <c r="A48" s="18">
        <v>14.2</v>
      </c>
      <c r="B48" s="18">
        <v>8.2400000000000008E-3</v>
      </c>
    </row>
    <row r="49" spans="1:2" x14ac:dyDescent="0.25">
      <c r="A49" s="18">
        <v>14.4</v>
      </c>
      <c r="B49" s="18">
        <v>7.5700000000000003E-3</v>
      </c>
    </row>
    <row r="50" spans="1:2" x14ac:dyDescent="0.25">
      <c r="A50" s="18">
        <v>14.6</v>
      </c>
      <c r="B50" s="18">
        <v>8.0999999999999996E-3</v>
      </c>
    </row>
    <row r="51" spans="1:2" x14ac:dyDescent="0.25">
      <c r="A51" s="18">
        <v>14.8</v>
      </c>
      <c r="B51" s="18">
        <v>7.6600000000000001E-3</v>
      </c>
    </row>
    <row r="52" spans="1:2" x14ac:dyDescent="0.25">
      <c r="A52" s="18">
        <v>15</v>
      </c>
      <c r="B52" s="18">
        <v>7.62E-3</v>
      </c>
    </row>
    <row r="53" spans="1:2" x14ac:dyDescent="0.25">
      <c r="A53" s="18">
        <v>15.2</v>
      </c>
      <c r="B53" s="18">
        <v>7.7099999999999998E-3</v>
      </c>
    </row>
    <row r="54" spans="1:2" x14ac:dyDescent="0.25">
      <c r="A54" s="18">
        <v>15.4</v>
      </c>
      <c r="B54" s="18">
        <v>7.3099999999999997E-3</v>
      </c>
    </row>
    <row r="55" spans="1:2" x14ac:dyDescent="0.25">
      <c r="A55" s="18">
        <v>15.6</v>
      </c>
      <c r="B55" s="18">
        <v>7.3400000000000002E-3</v>
      </c>
    </row>
    <row r="56" spans="1:2" x14ac:dyDescent="0.25">
      <c r="A56" s="18">
        <v>15.8</v>
      </c>
      <c r="B56" s="18">
        <v>7.1399999999999996E-3</v>
      </c>
    </row>
    <row r="57" spans="1:2" x14ac:dyDescent="0.25">
      <c r="A57" s="18">
        <v>16</v>
      </c>
      <c r="B57" s="18">
        <v>7.0499999999999998E-3</v>
      </c>
    </row>
    <row r="58" spans="1:2" x14ac:dyDescent="0.25">
      <c r="A58" s="18">
        <v>16.2</v>
      </c>
      <c r="B58" s="18">
        <v>6.96E-3</v>
      </c>
    </row>
    <row r="59" spans="1:2" x14ac:dyDescent="0.25">
      <c r="A59" s="18">
        <v>16.399999999999999</v>
      </c>
      <c r="B59" s="18">
        <v>6.8100000000000001E-3</v>
      </c>
    </row>
    <row r="60" spans="1:2" x14ac:dyDescent="0.25">
      <c r="A60" s="18">
        <v>16.600000000000001</v>
      </c>
      <c r="B60" s="18">
        <v>6.7200000000000003E-3</v>
      </c>
    </row>
    <row r="61" spans="1:2" x14ac:dyDescent="0.25">
      <c r="A61" s="18">
        <v>16.8</v>
      </c>
      <c r="B61" s="18">
        <v>6.4599999999999996E-3</v>
      </c>
    </row>
    <row r="62" spans="1:2" x14ac:dyDescent="0.25">
      <c r="A62" s="18">
        <v>17</v>
      </c>
      <c r="B62" s="18">
        <v>6.6800000000000002E-3</v>
      </c>
    </row>
    <row r="63" spans="1:2" x14ac:dyDescent="0.25">
      <c r="A63" s="18">
        <v>17.2</v>
      </c>
      <c r="B63" s="18">
        <v>6.0899999999999999E-3</v>
      </c>
    </row>
    <row r="64" spans="1:2" x14ac:dyDescent="0.25">
      <c r="A64" s="18">
        <v>17.399999999999999</v>
      </c>
      <c r="B64" s="18">
        <v>6.3899999999999998E-3</v>
      </c>
    </row>
    <row r="65" spans="1:2" x14ac:dyDescent="0.25">
      <c r="A65" s="18">
        <v>17.600000000000001</v>
      </c>
      <c r="B65" s="18">
        <v>5.96E-3</v>
      </c>
    </row>
    <row r="66" spans="1:2" x14ac:dyDescent="0.25">
      <c r="A66" s="18">
        <v>17.8</v>
      </c>
      <c r="B66" s="18">
        <v>5.9899999999999997E-3</v>
      </c>
    </row>
    <row r="67" spans="1:2" x14ac:dyDescent="0.25">
      <c r="A67" s="18">
        <v>18</v>
      </c>
      <c r="B67" s="18">
        <v>5.6899999999999997E-3</v>
      </c>
    </row>
    <row r="68" spans="1:2" x14ac:dyDescent="0.25">
      <c r="A68" s="18">
        <v>18.2</v>
      </c>
      <c r="B68" s="18">
        <v>5.8700000000000002E-3</v>
      </c>
    </row>
    <row r="69" spans="1:2" x14ac:dyDescent="0.25">
      <c r="A69" s="18">
        <v>18.399999999999999</v>
      </c>
      <c r="B69" s="18">
        <v>5.4299999999999999E-3</v>
      </c>
    </row>
    <row r="70" spans="1:2" x14ac:dyDescent="0.25">
      <c r="A70" s="18">
        <v>18.600000000000001</v>
      </c>
      <c r="B70" s="18">
        <v>5.3099999999999996E-3</v>
      </c>
    </row>
    <row r="71" spans="1:2" x14ac:dyDescent="0.25">
      <c r="A71" s="18">
        <v>18.8</v>
      </c>
      <c r="B71" s="18">
        <v>5.4200000000000003E-3</v>
      </c>
    </row>
    <row r="72" spans="1:2" x14ac:dyDescent="0.25">
      <c r="A72" s="18">
        <v>19</v>
      </c>
      <c r="B72" s="18">
        <v>5.2500000000000003E-3</v>
      </c>
    </row>
    <row r="73" spans="1:2" x14ac:dyDescent="0.25">
      <c r="A73" s="18">
        <v>19.2</v>
      </c>
      <c r="B73" s="18">
        <v>4.8900000000000002E-3</v>
      </c>
    </row>
    <row r="74" spans="1:2" x14ac:dyDescent="0.25">
      <c r="A74" s="18">
        <v>19.399999999999999</v>
      </c>
      <c r="B74" s="18">
        <v>5.1000000000000004E-3</v>
      </c>
    </row>
    <row r="75" spans="1:2" x14ac:dyDescent="0.25">
      <c r="A75" s="18">
        <v>19.600000000000001</v>
      </c>
      <c r="B75" s="18">
        <v>4.64E-3</v>
      </c>
    </row>
    <row r="76" spans="1:2" x14ac:dyDescent="0.25">
      <c r="A76" s="18">
        <v>19.8</v>
      </c>
      <c r="B76" s="18">
        <v>4.7200000000000002E-3</v>
      </c>
    </row>
    <row r="77" spans="1:2" x14ac:dyDescent="0.25">
      <c r="A77" s="18">
        <v>20</v>
      </c>
      <c r="B77" s="18">
        <v>4.5399999999999998E-3</v>
      </c>
    </row>
    <row r="78" spans="1:2" x14ac:dyDescent="0.25">
      <c r="A78" s="18">
        <v>20.2</v>
      </c>
      <c r="B78" s="18">
        <v>4.4600000000000004E-3</v>
      </c>
    </row>
    <row r="79" spans="1:2" x14ac:dyDescent="0.25">
      <c r="A79" s="18">
        <v>20.399999999999999</v>
      </c>
      <c r="B79" s="18">
        <v>4.3299999999999996E-3</v>
      </c>
    </row>
    <row r="80" spans="1:2" x14ac:dyDescent="0.25">
      <c r="A80" s="18">
        <v>20.6</v>
      </c>
      <c r="B80" s="18">
        <v>4.2399999999999998E-3</v>
      </c>
    </row>
    <row r="81" spans="1:2" x14ac:dyDescent="0.25">
      <c r="A81" s="18">
        <v>20.8</v>
      </c>
      <c r="B81" s="18">
        <v>4.1099999999999999E-3</v>
      </c>
    </row>
    <row r="82" spans="1:2" x14ac:dyDescent="0.25">
      <c r="A82" s="18">
        <v>21</v>
      </c>
      <c r="B82" s="18">
        <v>4.0299999999999997E-3</v>
      </c>
    </row>
    <row r="83" spans="1:2" x14ac:dyDescent="0.25">
      <c r="A83" s="18">
        <v>21.2</v>
      </c>
      <c r="B83" s="18">
        <v>3.8700000000000002E-3</v>
      </c>
    </row>
    <row r="84" spans="1:2" x14ac:dyDescent="0.25">
      <c r="A84" s="18">
        <v>21.4</v>
      </c>
      <c r="B84" s="18">
        <v>3.8700000000000002E-3</v>
      </c>
    </row>
    <row r="85" spans="1:2" x14ac:dyDescent="0.25">
      <c r="A85" s="18">
        <v>21.6</v>
      </c>
      <c r="B85" s="18">
        <v>3.7000000000000002E-3</v>
      </c>
    </row>
    <row r="86" spans="1:2" x14ac:dyDescent="0.25">
      <c r="A86" s="18">
        <v>21.8</v>
      </c>
      <c r="B86" s="18">
        <v>3.7000000000000002E-3</v>
      </c>
    </row>
    <row r="87" spans="1:2" x14ac:dyDescent="0.25">
      <c r="A87" s="18">
        <v>22</v>
      </c>
      <c r="B87" s="18">
        <v>3.4499999999999999E-3</v>
      </c>
    </row>
    <row r="88" spans="1:2" x14ac:dyDescent="0.25">
      <c r="A88" s="18">
        <v>22.2</v>
      </c>
      <c r="B88" s="18">
        <v>3.49E-3</v>
      </c>
    </row>
    <row r="89" spans="1:2" x14ac:dyDescent="0.25">
      <c r="A89" s="18">
        <v>22.4</v>
      </c>
      <c r="B89" s="18">
        <v>3.3300000000000001E-3</v>
      </c>
    </row>
    <row r="90" spans="1:2" x14ac:dyDescent="0.25">
      <c r="A90" s="18">
        <v>22.6</v>
      </c>
      <c r="B90" s="18">
        <v>3.2599999999999999E-3</v>
      </c>
    </row>
    <row r="91" spans="1:2" x14ac:dyDescent="0.25">
      <c r="A91" s="18">
        <v>22.8</v>
      </c>
      <c r="B91" s="18">
        <v>3.2699999999999999E-3</v>
      </c>
    </row>
    <row r="92" spans="1:2" x14ac:dyDescent="0.25">
      <c r="A92" s="18">
        <v>23</v>
      </c>
      <c r="B92" s="18">
        <v>3.0500000000000002E-3</v>
      </c>
    </row>
    <row r="93" spans="1:2" x14ac:dyDescent="0.25">
      <c r="A93" s="18">
        <v>23.2</v>
      </c>
      <c r="B93" s="18">
        <v>3.0500000000000002E-3</v>
      </c>
    </row>
    <row r="94" spans="1:2" x14ac:dyDescent="0.25">
      <c r="A94" s="18">
        <v>23.4</v>
      </c>
      <c r="B94" s="18">
        <v>2.97E-3</v>
      </c>
    </row>
    <row r="95" spans="1:2" x14ac:dyDescent="0.25">
      <c r="A95" s="18">
        <v>23.6</v>
      </c>
      <c r="B95" s="18">
        <v>2.8600000000000001E-3</v>
      </c>
    </row>
    <row r="96" spans="1:2" x14ac:dyDescent="0.25">
      <c r="A96" s="18">
        <v>23.8</v>
      </c>
      <c r="B96" s="18">
        <v>2.8700000000000002E-3</v>
      </c>
    </row>
    <row r="97" spans="1:2" x14ac:dyDescent="0.25">
      <c r="A97" s="18">
        <v>24</v>
      </c>
      <c r="B97" s="18">
        <v>2.7399999999999998E-3</v>
      </c>
    </row>
    <row r="98" spans="1:2" x14ac:dyDescent="0.25">
      <c r="A98" s="18">
        <v>24.2</v>
      </c>
      <c r="B98" s="18">
        <v>2.7200000000000002E-3</v>
      </c>
    </row>
    <row r="99" spans="1:2" x14ac:dyDescent="0.25">
      <c r="A99" s="18">
        <v>24.4</v>
      </c>
      <c r="B99" s="18">
        <v>2.6099999999999999E-3</v>
      </c>
    </row>
    <row r="100" spans="1:2" x14ac:dyDescent="0.25">
      <c r="A100" s="18">
        <v>24.6</v>
      </c>
      <c r="B100" s="18">
        <v>2.5400000000000002E-3</v>
      </c>
    </row>
    <row r="101" spans="1:2" x14ac:dyDescent="0.25">
      <c r="A101" s="18">
        <v>24.8</v>
      </c>
      <c r="B101" s="18">
        <v>2.49E-3</v>
      </c>
    </row>
    <row r="102" spans="1:2" x14ac:dyDescent="0.25">
      <c r="A102" s="18">
        <v>25</v>
      </c>
      <c r="B102" s="18">
        <v>2.3700000000000001E-3</v>
      </c>
    </row>
    <row r="103" spans="1:2" x14ac:dyDescent="0.25">
      <c r="A103" s="18">
        <v>25.2</v>
      </c>
      <c r="B103" s="18">
        <v>2.3400000000000001E-3</v>
      </c>
    </row>
    <row r="104" spans="1:2" x14ac:dyDescent="0.25">
      <c r="A104" s="18">
        <v>25.4</v>
      </c>
      <c r="B104" s="18">
        <v>2.2300000000000002E-3</v>
      </c>
    </row>
    <row r="105" spans="1:2" x14ac:dyDescent="0.25">
      <c r="A105" s="18">
        <v>25.6</v>
      </c>
      <c r="B105" s="18">
        <v>2.2200000000000002E-3</v>
      </c>
    </row>
    <row r="106" spans="1:2" x14ac:dyDescent="0.25">
      <c r="A106" s="18">
        <v>25.8</v>
      </c>
      <c r="B106" s="18">
        <v>2.16E-3</v>
      </c>
    </row>
    <row r="107" spans="1:2" x14ac:dyDescent="0.25">
      <c r="A107" s="18">
        <v>26</v>
      </c>
      <c r="B107" s="18">
        <v>2.0899999999999998E-3</v>
      </c>
    </row>
    <row r="108" spans="1:2" x14ac:dyDescent="0.25">
      <c r="A108" s="18">
        <v>26.2</v>
      </c>
      <c r="B108" s="18">
        <v>2.0400000000000001E-3</v>
      </c>
    </row>
    <row r="109" spans="1:2" x14ac:dyDescent="0.25">
      <c r="A109" s="18">
        <v>26.4</v>
      </c>
      <c r="B109" s="18">
        <v>2.0300000000000001E-3</v>
      </c>
    </row>
    <row r="110" spans="1:2" x14ac:dyDescent="0.25">
      <c r="A110" s="18">
        <v>26.6</v>
      </c>
      <c r="B110" s="18">
        <v>1.89E-3</v>
      </c>
    </row>
    <row r="111" spans="1:2" x14ac:dyDescent="0.25">
      <c r="A111" s="18">
        <v>26.8</v>
      </c>
      <c r="B111" s="18">
        <v>1.92E-3</v>
      </c>
    </row>
    <row r="112" spans="1:2" x14ac:dyDescent="0.25">
      <c r="A112" s="18">
        <v>27</v>
      </c>
      <c r="B112" s="18">
        <v>1.8E-3</v>
      </c>
    </row>
    <row r="113" spans="1:2" x14ac:dyDescent="0.25">
      <c r="A113" s="18">
        <v>27.2</v>
      </c>
      <c r="B113" s="18">
        <v>1.82E-3</v>
      </c>
    </row>
    <row r="114" spans="1:2" x14ac:dyDescent="0.25">
      <c r="A114" s="18">
        <v>27.4</v>
      </c>
      <c r="B114" s="18">
        <v>1.73E-3</v>
      </c>
    </row>
    <row r="115" spans="1:2" x14ac:dyDescent="0.25">
      <c r="A115" s="18">
        <v>27.6</v>
      </c>
      <c r="B115" s="18">
        <v>1.7099999999999999E-3</v>
      </c>
    </row>
    <row r="116" spans="1:2" x14ac:dyDescent="0.25">
      <c r="A116" s="18">
        <v>27.8</v>
      </c>
      <c r="B116" s="18">
        <v>1.65E-3</v>
      </c>
    </row>
    <row r="117" spans="1:2" x14ac:dyDescent="0.25">
      <c r="A117" s="18">
        <v>28</v>
      </c>
      <c r="B117" s="18">
        <v>1.6299999999999999E-3</v>
      </c>
    </row>
    <row r="118" spans="1:2" x14ac:dyDescent="0.25">
      <c r="A118" s="18">
        <v>28.2</v>
      </c>
      <c r="B118" s="18">
        <v>1.6100000000000001E-3</v>
      </c>
    </row>
    <row r="119" spans="1:2" x14ac:dyDescent="0.25">
      <c r="A119" s="18">
        <v>28.4</v>
      </c>
      <c r="B119" s="18">
        <v>1.48E-3</v>
      </c>
    </row>
    <row r="120" spans="1:2" x14ac:dyDescent="0.25">
      <c r="A120" s="18">
        <v>28.6</v>
      </c>
      <c r="B120" s="18">
        <v>1.5299999999999999E-3</v>
      </c>
    </row>
    <row r="121" spans="1:2" x14ac:dyDescent="0.25">
      <c r="A121" s="18">
        <v>28.8</v>
      </c>
      <c r="B121" s="18">
        <v>1.4499999999999999E-3</v>
      </c>
    </row>
    <row r="122" spans="1:2" x14ac:dyDescent="0.25">
      <c r="A122" s="18">
        <v>29</v>
      </c>
      <c r="B122" s="18">
        <v>1.4E-3</v>
      </c>
    </row>
    <row r="123" spans="1:2" x14ac:dyDescent="0.25">
      <c r="A123" s="18">
        <v>29.2</v>
      </c>
      <c r="B123" s="18">
        <v>1.3799999999999999E-3</v>
      </c>
    </row>
    <row r="124" spans="1:2" x14ac:dyDescent="0.25">
      <c r="A124" s="18">
        <v>29.4</v>
      </c>
      <c r="B124" s="18">
        <v>1.3600000000000001E-3</v>
      </c>
    </row>
    <row r="125" spans="1:2" x14ac:dyDescent="0.25">
      <c r="A125" s="18">
        <v>29.6</v>
      </c>
      <c r="B125" s="18">
        <v>1.2999999999999999E-3</v>
      </c>
    </row>
    <row r="126" spans="1:2" x14ac:dyDescent="0.25">
      <c r="A126" s="18">
        <v>29.8</v>
      </c>
      <c r="B126" s="18">
        <v>1.2800000000000001E-3</v>
      </c>
    </row>
    <row r="127" spans="1:2" x14ac:dyDescent="0.25">
      <c r="A127" s="18">
        <v>30</v>
      </c>
      <c r="B127" s="18">
        <v>1.23E-3</v>
      </c>
    </row>
    <row r="128" spans="1:2" x14ac:dyDescent="0.25">
      <c r="A128" s="18">
        <v>30.2</v>
      </c>
      <c r="B128" s="18">
        <v>1.1900000000000001E-3</v>
      </c>
    </row>
    <row r="129" spans="1:2" x14ac:dyDescent="0.25">
      <c r="A129" s="18">
        <v>30.4</v>
      </c>
      <c r="B129" s="18">
        <v>1.24E-3</v>
      </c>
    </row>
    <row r="130" spans="1:2" x14ac:dyDescent="0.25">
      <c r="A130" s="18">
        <v>30.6</v>
      </c>
      <c r="B130" s="18">
        <v>1.1199999999999999E-3</v>
      </c>
    </row>
    <row r="131" spans="1:2" x14ac:dyDescent="0.25">
      <c r="A131" s="18">
        <v>30.8</v>
      </c>
      <c r="B131" s="18">
        <v>1.14E-3</v>
      </c>
    </row>
    <row r="132" spans="1:2" x14ac:dyDescent="0.25">
      <c r="A132" s="18">
        <v>31</v>
      </c>
      <c r="B132" s="18">
        <v>1.08E-3</v>
      </c>
    </row>
    <row r="133" spans="1:2" x14ac:dyDescent="0.25">
      <c r="A133" s="18">
        <v>31.2</v>
      </c>
      <c r="B133" s="18">
        <v>1.1100000000000001E-3</v>
      </c>
    </row>
    <row r="134" spans="1:2" x14ac:dyDescent="0.25">
      <c r="A134" s="18">
        <v>31.4</v>
      </c>
      <c r="B134" s="18">
        <v>1.0300000000000001E-3</v>
      </c>
    </row>
    <row r="135" spans="1:2" x14ac:dyDescent="0.25">
      <c r="A135" s="18">
        <v>31.6</v>
      </c>
      <c r="B135" s="18">
        <v>1.0300000000000001E-3</v>
      </c>
    </row>
    <row r="136" spans="1:2" x14ac:dyDescent="0.25">
      <c r="A136" s="18">
        <v>31.8</v>
      </c>
      <c r="B136" s="18">
        <v>1.0200000000000001E-3</v>
      </c>
    </row>
    <row r="137" spans="1:2" x14ac:dyDescent="0.25">
      <c r="A137" s="18">
        <v>32</v>
      </c>
      <c r="B137" s="18">
        <v>9.5500000000000001E-4</v>
      </c>
    </row>
    <row r="138" spans="1:2" x14ac:dyDescent="0.25">
      <c r="A138" s="18">
        <v>32.200000000000003</v>
      </c>
      <c r="B138" s="18">
        <v>9.6199999999999996E-4</v>
      </c>
    </row>
    <row r="139" spans="1:2" x14ac:dyDescent="0.25">
      <c r="A139" s="18">
        <v>32.4</v>
      </c>
      <c r="B139" s="18">
        <v>9.1399999999999999E-4</v>
      </c>
    </row>
    <row r="140" spans="1:2" x14ac:dyDescent="0.25">
      <c r="A140" s="18">
        <v>32.6</v>
      </c>
      <c r="B140" s="18">
        <v>9.2400000000000002E-4</v>
      </c>
    </row>
    <row r="141" spans="1:2" x14ac:dyDescent="0.25">
      <c r="A141" s="18">
        <v>32.799999999999997</v>
      </c>
      <c r="B141" s="18">
        <v>8.5999999999999998E-4</v>
      </c>
    </row>
    <row r="142" spans="1:2" x14ac:dyDescent="0.25">
      <c r="A142" s="18">
        <v>33</v>
      </c>
      <c r="B142" s="18">
        <v>8.6300000000000005E-4</v>
      </c>
    </row>
    <row r="143" spans="1:2" x14ac:dyDescent="0.25">
      <c r="A143" s="18">
        <v>33.200000000000003</v>
      </c>
      <c r="B143" s="18">
        <v>8.4999999999999995E-4</v>
      </c>
    </row>
    <row r="144" spans="1:2" x14ac:dyDescent="0.25">
      <c r="A144" s="18">
        <v>33.4</v>
      </c>
      <c r="B144" s="18">
        <v>8.3299999999999997E-4</v>
      </c>
    </row>
    <row r="145" spans="1:2" x14ac:dyDescent="0.25">
      <c r="A145" s="18">
        <v>33.6</v>
      </c>
      <c r="B145" s="18">
        <v>7.9199999999999995E-4</v>
      </c>
    </row>
    <row r="146" spans="1:2" x14ac:dyDescent="0.25">
      <c r="A146" s="18">
        <v>33.799999999999997</v>
      </c>
      <c r="B146" s="18">
        <v>7.8899999999999999E-4</v>
      </c>
    </row>
    <row r="147" spans="1:2" x14ac:dyDescent="0.25">
      <c r="A147" s="18">
        <v>34</v>
      </c>
      <c r="B147" s="18">
        <v>7.6199999999999998E-4</v>
      </c>
    </row>
    <row r="148" spans="1:2" x14ac:dyDescent="0.25">
      <c r="A148" s="18">
        <v>34.200000000000003</v>
      </c>
      <c r="B148" s="18">
        <v>7.1900000000000002E-4</v>
      </c>
    </row>
    <row r="149" spans="1:2" x14ac:dyDescent="0.25">
      <c r="A149" s="18">
        <v>34.4</v>
      </c>
      <c r="B149" s="18">
        <v>7.2599999999999997E-4</v>
      </c>
    </row>
    <row r="150" spans="1:2" x14ac:dyDescent="0.25">
      <c r="A150" s="18">
        <v>34.6</v>
      </c>
      <c r="B150" s="18">
        <v>7.2999999999999996E-4</v>
      </c>
    </row>
    <row r="151" spans="1:2" x14ac:dyDescent="0.25">
      <c r="A151" s="18">
        <v>34.799999999999997</v>
      </c>
      <c r="B151" s="18">
        <v>6.9399999999999996E-4</v>
      </c>
    </row>
    <row r="152" spans="1:2" x14ac:dyDescent="0.25">
      <c r="A152" s="18">
        <v>35</v>
      </c>
      <c r="B152" s="18">
        <v>6.69E-4</v>
      </c>
    </row>
    <row r="153" spans="1:2" x14ac:dyDescent="0.25">
      <c r="A153" s="18">
        <v>35.200000000000003</v>
      </c>
      <c r="B153" s="18">
        <v>6.8499999999999995E-4</v>
      </c>
    </row>
    <row r="154" spans="1:2" x14ac:dyDescent="0.25">
      <c r="A154" s="18">
        <v>35.4</v>
      </c>
      <c r="B154" s="18">
        <v>6.4000000000000005E-4</v>
      </c>
    </row>
    <row r="155" spans="1:2" x14ac:dyDescent="0.25">
      <c r="A155" s="18">
        <v>35.6</v>
      </c>
      <c r="B155" s="18">
        <v>6.1799999999999995E-4</v>
      </c>
    </row>
    <row r="156" spans="1:2" x14ac:dyDescent="0.25">
      <c r="A156" s="18">
        <v>35.799999999999997</v>
      </c>
      <c r="B156" s="18">
        <v>6.0400000000000004E-4</v>
      </c>
    </row>
    <row r="157" spans="1:2" x14ac:dyDescent="0.25">
      <c r="A157" s="18">
        <v>36</v>
      </c>
      <c r="B157" s="18">
        <v>5.9699999999999998E-4</v>
      </c>
    </row>
    <row r="158" spans="1:2" x14ac:dyDescent="0.25">
      <c r="A158" s="18">
        <v>36.200000000000003</v>
      </c>
      <c r="B158" s="18">
        <v>5.5199999999999997E-4</v>
      </c>
    </row>
    <row r="159" spans="1:2" x14ac:dyDescent="0.25">
      <c r="A159" s="18">
        <v>36.4</v>
      </c>
      <c r="B159" s="18">
        <v>5.8299999999999997E-4</v>
      </c>
    </row>
    <row r="160" spans="1:2" x14ac:dyDescent="0.25">
      <c r="A160" s="18">
        <v>36.6</v>
      </c>
      <c r="B160" s="18">
        <v>5.5999999999999995E-4</v>
      </c>
    </row>
    <row r="161" spans="1:2" x14ac:dyDescent="0.25">
      <c r="A161" s="18">
        <v>36.799999999999997</v>
      </c>
      <c r="B161" s="18">
        <v>5.0900000000000001E-4</v>
      </c>
    </row>
    <row r="162" spans="1:2" x14ac:dyDescent="0.25">
      <c r="A162" s="18">
        <v>37</v>
      </c>
      <c r="B162" s="18">
        <v>5.53E-4</v>
      </c>
    </row>
    <row r="163" spans="1:2" x14ac:dyDescent="0.25">
      <c r="A163" s="18">
        <v>37.200000000000003</v>
      </c>
      <c r="B163" s="18">
        <v>5.0600000000000005E-4</v>
      </c>
    </row>
    <row r="164" spans="1:2" x14ac:dyDescent="0.25">
      <c r="A164" s="18">
        <v>37.4</v>
      </c>
      <c r="B164" s="18">
        <v>4.8200000000000001E-4</v>
      </c>
    </row>
    <row r="165" spans="1:2" x14ac:dyDescent="0.25">
      <c r="A165" s="18">
        <v>37.6</v>
      </c>
      <c r="B165" s="18">
        <v>5.0500000000000002E-4</v>
      </c>
    </row>
    <row r="166" spans="1:2" x14ac:dyDescent="0.25">
      <c r="A166" s="18">
        <v>37.799999999999997</v>
      </c>
      <c r="B166" s="18">
        <v>4.6900000000000002E-4</v>
      </c>
    </row>
    <row r="167" spans="1:2" x14ac:dyDescent="0.25">
      <c r="A167" s="18">
        <v>38</v>
      </c>
      <c r="B167" s="18">
        <v>4.73E-4</v>
      </c>
    </row>
    <row r="168" spans="1:2" x14ac:dyDescent="0.25">
      <c r="A168" s="18">
        <v>38.200000000000003</v>
      </c>
      <c r="B168" s="18">
        <v>4.4499999999999997E-4</v>
      </c>
    </row>
    <row r="169" spans="1:2" x14ac:dyDescent="0.25">
      <c r="A169" s="18">
        <v>38.4</v>
      </c>
      <c r="B169" s="18">
        <v>4.1399999999999998E-4</v>
      </c>
    </row>
    <row r="170" spans="1:2" x14ac:dyDescent="0.25">
      <c r="A170" s="18">
        <v>38.6</v>
      </c>
      <c r="B170" s="18">
        <v>4.3300000000000001E-4</v>
      </c>
    </row>
    <row r="171" spans="1:2" x14ac:dyDescent="0.25">
      <c r="A171" s="18">
        <v>38.799999999999997</v>
      </c>
      <c r="B171" s="18">
        <v>3.9800000000000002E-4</v>
      </c>
    </row>
    <row r="172" spans="1:2" x14ac:dyDescent="0.25">
      <c r="A172" s="18">
        <v>39</v>
      </c>
      <c r="B172" s="18">
        <v>4.1899999999999999E-4</v>
      </c>
    </row>
    <row r="173" spans="1:2" x14ac:dyDescent="0.25">
      <c r="A173" s="18">
        <v>39.200000000000003</v>
      </c>
      <c r="B173" s="18">
        <v>3.7300000000000001E-4</v>
      </c>
    </row>
    <row r="174" spans="1:2" x14ac:dyDescent="0.25">
      <c r="A174" s="18">
        <v>39.4</v>
      </c>
      <c r="B174" s="18">
        <v>3.9399999999999998E-4</v>
      </c>
    </row>
    <row r="175" spans="1:2" x14ac:dyDescent="0.25">
      <c r="A175" s="18">
        <v>39.6</v>
      </c>
      <c r="B175" s="18">
        <v>3.5E-4</v>
      </c>
    </row>
    <row r="176" spans="1:2" x14ac:dyDescent="0.25">
      <c r="A176" s="18">
        <v>39.799999999999997</v>
      </c>
      <c r="B176" s="18">
        <v>3.7100000000000002E-4</v>
      </c>
    </row>
    <row r="177" spans="1:2" x14ac:dyDescent="0.25">
      <c r="A177" s="18">
        <v>40</v>
      </c>
      <c r="B177" s="18">
        <v>3.39E-4</v>
      </c>
    </row>
    <row r="178" spans="1:2" x14ac:dyDescent="0.25">
      <c r="A178" s="18">
        <v>40.200000000000003</v>
      </c>
      <c r="B178" s="18">
        <v>3.5500000000000001E-4</v>
      </c>
    </row>
    <row r="179" spans="1:2" x14ac:dyDescent="0.25">
      <c r="A179" s="18">
        <v>40.4</v>
      </c>
      <c r="B179" s="18">
        <v>3.2499999999999999E-4</v>
      </c>
    </row>
    <row r="180" spans="1:2" x14ac:dyDescent="0.25">
      <c r="A180" s="18">
        <v>40.6</v>
      </c>
      <c r="B180" s="18">
        <v>3.1500000000000001E-4</v>
      </c>
    </row>
    <row r="181" spans="1:2" x14ac:dyDescent="0.25">
      <c r="A181" s="18">
        <v>40.799999999999997</v>
      </c>
      <c r="B181" s="18">
        <v>3.1799999999999998E-4</v>
      </c>
    </row>
    <row r="182" spans="1:2" x14ac:dyDescent="0.25">
      <c r="A182" s="18">
        <v>41</v>
      </c>
      <c r="B182" s="18">
        <v>3.1E-4</v>
      </c>
    </row>
    <row r="183" spans="1:2" x14ac:dyDescent="0.25">
      <c r="A183" s="18">
        <v>41.2</v>
      </c>
      <c r="B183" s="18">
        <v>2.8200000000000002E-4</v>
      </c>
    </row>
    <row r="184" spans="1:2" x14ac:dyDescent="0.25">
      <c r="A184" s="18">
        <v>41.4</v>
      </c>
      <c r="B184" s="18">
        <v>3.0800000000000001E-4</v>
      </c>
    </row>
    <row r="185" spans="1:2" x14ac:dyDescent="0.25">
      <c r="A185" s="18">
        <v>41.6</v>
      </c>
      <c r="B185" s="18">
        <v>2.7300000000000002E-4</v>
      </c>
    </row>
    <row r="186" spans="1:2" x14ac:dyDescent="0.25">
      <c r="A186" s="18">
        <v>41.8</v>
      </c>
      <c r="B186" s="18">
        <v>2.7500000000000002E-4</v>
      </c>
    </row>
    <row r="187" spans="1:2" x14ac:dyDescent="0.25">
      <c r="A187" s="18">
        <v>42</v>
      </c>
      <c r="B187" s="18">
        <v>2.6200000000000003E-4</v>
      </c>
    </row>
    <row r="188" spans="1:2" x14ac:dyDescent="0.25">
      <c r="A188" s="18">
        <v>42.2</v>
      </c>
      <c r="B188" s="18">
        <v>2.61E-4</v>
      </c>
    </row>
    <row r="189" spans="1:2" x14ac:dyDescent="0.25">
      <c r="A189" s="18">
        <v>42.4</v>
      </c>
      <c r="B189" s="18">
        <v>2.5300000000000002E-4</v>
      </c>
    </row>
    <row r="190" spans="1:2" x14ac:dyDescent="0.25">
      <c r="A190" s="18">
        <v>42.6</v>
      </c>
      <c r="B190" s="18">
        <v>2.33E-4</v>
      </c>
    </row>
    <row r="191" spans="1:2" x14ac:dyDescent="0.25">
      <c r="A191" s="18">
        <v>42.8</v>
      </c>
      <c r="B191" s="18">
        <v>2.4600000000000002E-4</v>
      </c>
    </row>
    <row r="192" spans="1:2" x14ac:dyDescent="0.25">
      <c r="A192" s="18">
        <v>43</v>
      </c>
      <c r="B192" s="18">
        <v>2.24E-4</v>
      </c>
    </row>
    <row r="193" spans="1:2" x14ac:dyDescent="0.25">
      <c r="A193" s="18">
        <v>43.2</v>
      </c>
      <c r="B193" s="18">
        <v>2.3000000000000001E-4</v>
      </c>
    </row>
    <row r="194" spans="1:2" x14ac:dyDescent="0.25">
      <c r="A194" s="18">
        <v>43.4</v>
      </c>
      <c r="B194" s="18">
        <v>1.95E-4</v>
      </c>
    </row>
    <row r="195" spans="1:2" x14ac:dyDescent="0.25">
      <c r="A195" s="18">
        <v>43.6</v>
      </c>
      <c r="B195" s="18">
        <v>2.22E-4</v>
      </c>
    </row>
    <row r="196" spans="1:2" x14ac:dyDescent="0.25">
      <c r="A196" s="18">
        <v>43.8</v>
      </c>
      <c r="B196" s="18">
        <v>1.93E-4</v>
      </c>
    </row>
    <row r="197" spans="1:2" x14ac:dyDescent="0.25">
      <c r="A197" s="18">
        <v>44</v>
      </c>
      <c r="B197" s="18">
        <v>1.9100000000000001E-4</v>
      </c>
    </row>
    <row r="198" spans="1:2" x14ac:dyDescent="0.25">
      <c r="A198" s="18">
        <v>44.2</v>
      </c>
      <c r="B198" s="18">
        <v>1.92E-4</v>
      </c>
    </row>
    <row r="199" spans="1:2" x14ac:dyDescent="0.25">
      <c r="A199" s="18">
        <v>44.4</v>
      </c>
      <c r="B199" s="18">
        <v>1.73E-4</v>
      </c>
    </row>
    <row r="200" spans="1:2" x14ac:dyDescent="0.25">
      <c r="A200" s="18">
        <v>44.6</v>
      </c>
      <c r="B200" s="18">
        <v>1.74E-4</v>
      </c>
    </row>
    <row r="201" spans="1:2" x14ac:dyDescent="0.25">
      <c r="A201" s="18">
        <v>44.8</v>
      </c>
      <c r="B201" s="18">
        <v>1.6699999999999999E-4</v>
      </c>
    </row>
    <row r="202" spans="1:2" x14ac:dyDescent="0.25">
      <c r="A202" s="18">
        <v>45</v>
      </c>
      <c r="B202" s="18">
        <v>1.5200000000000001E-4</v>
      </c>
    </row>
    <row r="203" spans="1:2" x14ac:dyDescent="0.25">
      <c r="A203" s="18">
        <v>45.2</v>
      </c>
      <c r="B203" s="18">
        <v>1.5200000000000001E-4</v>
      </c>
    </row>
    <row r="204" spans="1:2" x14ac:dyDescent="0.25">
      <c r="A204" s="18">
        <v>45.4</v>
      </c>
      <c r="B204" s="18">
        <v>1.6000000000000001E-4</v>
      </c>
    </row>
    <row r="205" spans="1:2" x14ac:dyDescent="0.25">
      <c r="A205" s="18">
        <v>45.6</v>
      </c>
      <c r="B205" s="18">
        <v>1.36E-4</v>
      </c>
    </row>
    <row r="206" spans="1:2" x14ac:dyDescent="0.25">
      <c r="A206" s="18">
        <v>45.8</v>
      </c>
      <c r="B206" s="18">
        <v>1.3300000000000001E-4</v>
      </c>
    </row>
    <row r="207" spans="1:2" x14ac:dyDescent="0.25">
      <c r="A207" s="18">
        <v>46</v>
      </c>
      <c r="B207" s="18">
        <v>1.3200000000000001E-4</v>
      </c>
    </row>
    <row r="208" spans="1:2" x14ac:dyDescent="0.25">
      <c r="A208" s="18">
        <v>46.2</v>
      </c>
      <c r="B208" s="18">
        <v>1.12E-4</v>
      </c>
    </row>
    <row r="209" spans="1:2" x14ac:dyDescent="0.25">
      <c r="A209" s="18">
        <v>46.4</v>
      </c>
      <c r="B209" s="18">
        <v>1.2400000000000001E-4</v>
      </c>
    </row>
    <row r="210" spans="1:2" x14ac:dyDescent="0.25">
      <c r="A210" s="18">
        <v>46.6</v>
      </c>
      <c r="B210" s="18">
        <v>1.11E-4</v>
      </c>
    </row>
    <row r="211" spans="1:2" x14ac:dyDescent="0.25">
      <c r="A211" s="18">
        <v>46.8</v>
      </c>
      <c r="B211" s="18">
        <v>9.5600000000000006E-5</v>
      </c>
    </row>
    <row r="212" spans="1:2" x14ac:dyDescent="0.25">
      <c r="A212" s="18">
        <v>47</v>
      </c>
      <c r="B212" s="18">
        <v>1.08E-4</v>
      </c>
    </row>
    <row r="213" spans="1:2" x14ac:dyDescent="0.25">
      <c r="A213" s="18">
        <v>47.2</v>
      </c>
      <c r="B213" s="18">
        <v>8.6799999999999996E-5</v>
      </c>
    </row>
    <row r="214" spans="1:2" x14ac:dyDescent="0.25">
      <c r="A214" s="18">
        <v>47.4</v>
      </c>
      <c r="B214" s="18">
        <v>8.9099999999999997E-5</v>
      </c>
    </row>
    <row r="215" spans="1:2" x14ac:dyDescent="0.25">
      <c r="A215" s="18">
        <v>47.6</v>
      </c>
      <c r="B215" s="18">
        <v>8.7700000000000004E-5</v>
      </c>
    </row>
    <row r="216" spans="1:2" x14ac:dyDescent="0.25">
      <c r="A216" s="18">
        <v>47.8</v>
      </c>
      <c r="B216" s="18">
        <v>7.7299999999999995E-5</v>
      </c>
    </row>
    <row r="217" spans="1:2" x14ac:dyDescent="0.25">
      <c r="A217" s="18">
        <v>48</v>
      </c>
      <c r="B217" s="18">
        <v>6.58E-5</v>
      </c>
    </row>
    <row r="218" spans="1:2" x14ac:dyDescent="0.25">
      <c r="A218" s="18">
        <v>48.2</v>
      </c>
      <c r="B218" s="18">
        <v>6.4700000000000001E-5</v>
      </c>
    </row>
    <row r="219" spans="1:2" x14ac:dyDescent="0.25">
      <c r="A219" s="18">
        <v>48.4</v>
      </c>
      <c r="B219" s="18">
        <v>6.05E-5</v>
      </c>
    </row>
    <row r="220" spans="1:2" x14ac:dyDescent="0.25">
      <c r="A220" s="18">
        <v>48.6</v>
      </c>
      <c r="B220" s="18">
        <v>5.3399999999999997E-5</v>
      </c>
    </row>
    <row r="221" spans="1:2" x14ac:dyDescent="0.25">
      <c r="A221" s="18">
        <v>48.8</v>
      </c>
      <c r="B221" s="18">
        <v>4.2500000000000003E-5</v>
      </c>
    </row>
    <row r="222" spans="1:2" x14ac:dyDescent="0.25">
      <c r="A222" s="18">
        <v>49</v>
      </c>
      <c r="B222" s="18">
        <v>3.9900000000000001E-5</v>
      </c>
    </row>
    <row r="223" spans="1:2" x14ac:dyDescent="0.25">
      <c r="A223" s="18">
        <v>49.2</v>
      </c>
      <c r="B223" s="18">
        <v>3.4E-5</v>
      </c>
    </row>
    <row r="224" spans="1:2" x14ac:dyDescent="0.25">
      <c r="A224" s="18">
        <v>49.4</v>
      </c>
      <c r="B224" s="18">
        <v>2.27E-5</v>
      </c>
    </row>
    <row r="225" spans="1:2" x14ac:dyDescent="0.25">
      <c r="A225" s="18">
        <v>49.6</v>
      </c>
      <c r="B225" s="18">
        <v>2.6100000000000001E-5</v>
      </c>
    </row>
    <row r="226" spans="1:2" x14ac:dyDescent="0.25">
      <c r="A226" s="18">
        <v>49.8</v>
      </c>
      <c r="B226" s="18">
        <v>9.5100000000000004E-6</v>
      </c>
    </row>
    <row r="227" spans="1:2" x14ac:dyDescent="0.25">
      <c r="A227" s="18">
        <v>50</v>
      </c>
      <c r="B227" s="18">
        <v>5.3499999999999996E-6</v>
      </c>
    </row>
    <row r="228" spans="1:2" x14ac:dyDescent="0.25">
      <c r="A228" s="18">
        <v>50.2</v>
      </c>
      <c r="B228" s="18">
        <v>3.8500000000000002E-7</v>
      </c>
    </row>
    <row r="229" spans="1:2" x14ac:dyDescent="0.25">
      <c r="A229" s="18">
        <v>50.4</v>
      </c>
      <c r="B229" s="18">
        <v>2.6600000000000003E-7</v>
      </c>
    </row>
    <row r="230" spans="1:2" x14ac:dyDescent="0.25">
      <c r="A230" s="18">
        <v>50.6</v>
      </c>
      <c r="B230" s="18">
        <v>1.04E-6</v>
      </c>
    </row>
    <row r="231" spans="1:2" x14ac:dyDescent="0.25">
      <c r="A231" s="18">
        <v>50.8</v>
      </c>
      <c r="B231" s="18">
        <v>7.5199999999999998E-8</v>
      </c>
    </row>
    <row r="232" spans="1:2" x14ac:dyDescent="0.25">
      <c r="A232" s="18">
        <v>51</v>
      </c>
      <c r="B232" s="18">
        <v>1.04E-6</v>
      </c>
    </row>
    <row r="233" spans="1:2" x14ac:dyDescent="0.25">
      <c r="A233" s="18">
        <v>51.2</v>
      </c>
      <c r="B233" s="18">
        <v>4.9100000000000004E-7</v>
      </c>
    </row>
    <row r="234" spans="1:2" x14ac:dyDescent="0.25">
      <c r="A234" s="18">
        <v>51.4</v>
      </c>
      <c r="B234" s="18">
        <v>5.7199999999999999E-7</v>
      </c>
    </row>
    <row r="235" spans="1:2" x14ac:dyDescent="0.25">
      <c r="A235" s="18">
        <v>51.6</v>
      </c>
      <c r="B235" s="18">
        <v>2.41E-7</v>
      </c>
    </row>
    <row r="236" spans="1:2" x14ac:dyDescent="0.25">
      <c r="A236" s="18">
        <v>51.8</v>
      </c>
      <c r="B236" s="18">
        <v>1.91E-7</v>
      </c>
    </row>
    <row r="237" spans="1:2" x14ac:dyDescent="0.25">
      <c r="A237" s="18">
        <v>52</v>
      </c>
      <c r="B237" s="18">
        <v>1.97E-7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1:B259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5.6</v>
      </c>
      <c r="B2" s="18">
        <v>7.5199999999999996E-4</v>
      </c>
    </row>
    <row r="3" spans="1:2" x14ac:dyDescent="0.25">
      <c r="A3" s="18">
        <v>5.8</v>
      </c>
      <c r="B3" s="18">
        <v>4.6500000000000003E-4</v>
      </c>
    </row>
    <row r="4" spans="1:2" x14ac:dyDescent="0.25">
      <c r="A4" s="18">
        <v>6</v>
      </c>
      <c r="B4" s="18">
        <v>7.2800000000000002E-4</v>
      </c>
    </row>
    <row r="5" spans="1:2" x14ac:dyDescent="0.25">
      <c r="A5" s="18">
        <v>6.2</v>
      </c>
      <c r="B5" s="18">
        <v>6.7199999999999996E-4</v>
      </c>
    </row>
    <row r="6" spans="1:2" x14ac:dyDescent="0.25">
      <c r="A6" s="18">
        <v>6.4</v>
      </c>
      <c r="B6" s="18">
        <v>4.55E-4</v>
      </c>
    </row>
    <row r="7" spans="1:2" x14ac:dyDescent="0.25">
      <c r="A7" s="18">
        <v>6.6</v>
      </c>
      <c r="B7" s="18">
        <v>1.2800000000000001E-3</v>
      </c>
    </row>
    <row r="8" spans="1:2" x14ac:dyDescent="0.25">
      <c r="A8" s="18">
        <v>6.8</v>
      </c>
      <c r="B8" s="18">
        <v>6.6E-4</v>
      </c>
    </row>
    <row r="9" spans="1:2" x14ac:dyDescent="0.25">
      <c r="A9" s="18">
        <v>7</v>
      </c>
      <c r="B9" s="18">
        <v>1.3500000000000001E-3</v>
      </c>
    </row>
    <row r="10" spans="1:2" x14ac:dyDescent="0.25">
      <c r="A10" s="18">
        <v>7.2</v>
      </c>
      <c r="B10" s="18">
        <v>1.7099999999999999E-3</v>
      </c>
    </row>
    <row r="11" spans="1:2" x14ac:dyDescent="0.25">
      <c r="A11" s="18">
        <v>7.4</v>
      </c>
      <c r="B11" s="18">
        <v>2.8999999999999998E-3</v>
      </c>
    </row>
    <row r="12" spans="1:2" x14ac:dyDescent="0.25">
      <c r="A12" s="18">
        <v>7.6</v>
      </c>
      <c r="B12" s="18">
        <v>2.5899999999999999E-3</v>
      </c>
    </row>
    <row r="13" spans="1:2" x14ac:dyDescent="0.25">
      <c r="A13" s="18">
        <v>7.8</v>
      </c>
      <c r="B13" s="18">
        <v>3.1700000000000001E-3</v>
      </c>
    </row>
    <row r="14" spans="1:2" x14ac:dyDescent="0.25">
      <c r="A14" s="18">
        <v>8</v>
      </c>
      <c r="B14" s="18">
        <v>1.89E-3</v>
      </c>
    </row>
    <row r="15" spans="1:2" x14ac:dyDescent="0.25">
      <c r="A15" s="18">
        <v>8.1999999999999993</v>
      </c>
      <c r="B15" s="18">
        <v>1.8700000000000001E-2</v>
      </c>
    </row>
    <row r="16" spans="1:2" x14ac:dyDescent="0.25">
      <c r="A16" s="18">
        <v>8.4</v>
      </c>
      <c r="B16" s="18">
        <v>8.1199999999999994E-2</v>
      </c>
    </row>
    <row r="17" spans="1:2" x14ac:dyDescent="0.25">
      <c r="A17" s="18">
        <v>8.6</v>
      </c>
      <c r="B17" s="18">
        <v>3.8600000000000002E-2</v>
      </c>
    </row>
    <row r="18" spans="1:2" x14ac:dyDescent="0.25">
      <c r="A18" s="18">
        <v>8.8000000000000007</v>
      </c>
      <c r="B18" s="18">
        <v>4.8300000000000001E-3</v>
      </c>
    </row>
    <row r="19" spans="1:2" x14ac:dyDescent="0.25">
      <c r="A19" s="18">
        <v>9</v>
      </c>
      <c r="B19" s="18">
        <v>8.3199999999999993E-3</v>
      </c>
    </row>
    <row r="20" spans="1:2" x14ac:dyDescent="0.25">
      <c r="A20" s="18">
        <v>9.1999999999999993</v>
      </c>
      <c r="B20" s="18">
        <v>7.9699999999999997E-3</v>
      </c>
    </row>
    <row r="21" spans="1:2" x14ac:dyDescent="0.25">
      <c r="A21" s="18">
        <v>9.4</v>
      </c>
      <c r="B21" s="18">
        <v>1.29E-2</v>
      </c>
    </row>
    <row r="22" spans="1:2" x14ac:dyDescent="0.25">
      <c r="A22" s="18">
        <v>9.6</v>
      </c>
      <c r="B22" s="18">
        <v>7.85E-2</v>
      </c>
    </row>
    <row r="23" spans="1:2" x14ac:dyDescent="0.25">
      <c r="A23" s="18">
        <v>9.8000000000000007</v>
      </c>
      <c r="B23" s="18">
        <v>9.9599999999999994E-2</v>
      </c>
    </row>
    <row r="24" spans="1:2" x14ac:dyDescent="0.25">
      <c r="A24" s="18">
        <v>10</v>
      </c>
      <c r="B24" s="18">
        <v>5.9400000000000001E-2</v>
      </c>
    </row>
    <row r="25" spans="1:2" x14ac:dyDescent="0.25">
      <c r="A25" s="18">
        <v>10.199999999999999</v>
      </c>
      <c r="B25" s="18">
        <v>2.1399999999999999E-2</v>
      </c>
    </row>
    <row r="26" spans="1:2" x14ac:dyDescent="0.25">
      <c r="A26" s="18">
        <v>10.4</v>
      </c>
      <c r="B26" s="18">
        <v>7.1700000000000002E-3</v>
      </c>
    </row>
    <row r="27" spans="1:2" x14ac:dyDescent="0.25">
      <c r="A27" s="18">
        <v>10.6</v>
      </c>
      <c r="B27" s="18">
        <v>7.9500000000000005E-3</v>
      </c>
    </row>
    <row r="28" spans="1:2" x14ac:dyDescent="0.25">
      <c r="A28" s="18">
        <v>10.8</v>
      </c>
      <c r="B28" s="18">
        <v>8.1799999999999998E-3</v>
      </c>
    </row>
    <row r="29" spans="1:2" x14ac:dyDescent="0.25">
      <c r="A29" s="18">
        <v>11</v>
      </c>
      <c r="B29" s="18">
        <v>8.4899999999999993E-3</v>
      </c>
    </row>
    <row r="30" spans="1:2" x14ac:dyDescent="0.25">
      <c r="A30" s="18">
        <v>11.2</v>
      </c>
      <c r="B30" s="18">
        <v>1.89E-2</v>
      </c>
    </row>
    <row r="31" spans="1:2" x14ac:dyDescent="0.25">
      <c r="A31" s="18">
        <v>11.4</v>
      </c>
      <c r="B31" s="18">
        <v>2.4199999999999999E-2</v>
      </c>
    </row>
    <row r="32" spans="1:2" x14ac:dyDescent="0.25">
      <c r="A32" s="18">
        <v>11.6</v>
      </c>
      <c r="B32" s="18">
        <v>1.41E-2</v>
      </c>
    </row>
    <row r="33" spans="1:2" x14ac:dyDescent="0.25">
      <c r="A33" s="18">
        <v>11.8</v>
      </c>
      <c r="B33" s="18">
        <v>1.1900000000000001E-2</v>
      </c>
    </row>
    <row r="34" spans="1:2" x14ac:dyDescent="0.25">
      <c r="A34" s="18">
        <v>12</v>
      </c>
      <c r="B34" s="18">
        <v>8.4799999999999997E-3</v>
      </c>
    </row>
    <row r="35" spans="1:2" x14ac:dyDescent="0.25">
      <c r="A35" s="18">
        <v>12.2</v>
      </c>
      <c r="B35" s="18">
        <v>8.1700000000000002E-3</v>
      </c>
    </row>
    <row r="36" spans="1:2" x14ac:dyDescent="0.25">
      <c r="A36" s="18">
        <v>12.4</v>
      </c>
      <c r="B36" s="18">
        <v>7.3899999999999999E-3</v>
      </c>
    </row>
    <row r="37" spans="1:2" x14ac:dyDescent="0.25">
      <c r="A37" s="18">
        <v>12.6</v>
      </c>
      <c r="B37" s="18">
        <v>7.3699999999999998E-3</v>
      </c>
    </row>
    <row r="38" spans="1:2" x14ac:dyDescent="0.25">
      <c r="A38" s="18">
        <v>12.8</v>
      </c>
      <c r="B38" s="18">
        <v>7.4900000000000001E-3</v>
      </c>
    </row>
    <row r="39" spans="1:2" x14ac:dyDescent="0.25">
      <c r="A39" s="18">
        <v>13</v>
      </c>
      <c r="B39" s="18">
        <v>7.5500000000000003E-3</v>
      </c>
    </row>
    <row r="40" spans="1:2" x14ac:dyDescent="0.25">
      <c r="A40" s="18">
        <v>13.2</v>
      </c>
      <c r="B40" s="18">
        <v>7.5799999999999999E-3</v>
      </c>
    </row>
    <row r="41" spans="1:2" x14ac:dyDescent="0.25">
      <c r="A41" s="18">
        <v>13.4</v>
      </c>
      <c r="B41" s="18">
        <v>7.6600000000000001E-3</v>
      </c>
    </row>
    <row r="42" spans="1:2" x14ac:dyDescent="0.25">
      <c r="A42" s="18">
        <v>13.6</v>
      </c>
      <c r="B42" s="18">
        <v>7.5599999999999999E-3</v>
      </c>
    </row>
    <row r="43" spans="1:2" x14ac:dyDescent="0.25">
      <c r="A43" s="18">
        <v>13.8</v>
      </c>
      <c r="B43" s="18">
        <v>7.5399999999999998E-3</v>
      </c>
    </row>
    <row r="44" spans="1:2" x14ac:dyDescent="0.25">
      <c r="A44" s="18">
        <v>14</v>
      </c>
      <c r="B44" s="18">
        <v>7.6099999999999996E-3</v>
      </c>
    </row>
    <row r="45" spans="1:2" x14ac:dyDescent="0.25">
      <c r="A45" s="18">
        <v>14.2</v>
      </c>
      <c r="B45" s="18">
        <v>7.6299999999999996E-3</v>
      </c>
    </row>
    <row r="46" spans="1:2" x14ac:dyDescent="0.25">
      <c r="A46" s="18">
        <v>14.4</v>
      </c>
      <c r="B46" s="18">
        <v>7.3499999999999998E-3</v>
      </c>
    </row>
    <row r="47" spans="1:2" x14ac:dyDescent="0.25">
      <c r="A47" s="18">
        <v>14.6</v>
      </c>
      <c r="B47" s="18">
        <v>7.4799999999999997E-3</v>
      </c>
    </row>
    <row r="48" spans="1:2" x14ac:dyDescent="0.25">
      <c r="A48" s="18">
        <v>14.8</v>
      </c>
      <c r="B48" s="18">
        <v>7.45E-3</v>
      </c>
    </row>
    <row r="49" spans="1:2" x14ac:dyDescent="0.25">
      <c r="A49" s="18">
        <v>15</v>
      </c>
      <c r="B49" s="18">
        <v>7.1999999999999998E-3</v>
      </c>
    </row>
    <row r="50" spans="1:2" x14ac:dyDescent="0.25">
      <c r="A50" s="18">
        <v>15.2</v>
      </c>
      <c r="B50" s="18">
        <v>7.3899999999999999E-3</v>
      </c>
    </row>
    <row r="51" spans="1:2" x14ac:dyDescent="0.25">
      <c r="A51" s="18">
        <v>15.4</v>
      </c>
      <c r="B51" s="18">
        <v>7.1500000000000001E-3</v>
      </c>
    </row>
    <row r="52" spans="1:2" x14ac:dyDescent="0.25">
      <c r="A52" s="18">
        <v>15.6</v>
      </c>
      <c r="B52" s="18">
        <v>7.0099999999999997E-3</v>
      </c>
    </row>
    <row r="53" spans="1:2" x14ac:dyDescent="0.25">
      <c r="A53" s="18">
        <v>15.8</v>
      </c>
      <c r="B53" s="18">
        <v>6.9699999999999996E-3</v>
      </c>
    </row>
    <row r="54" spans="1:2" x14ac:dyDescent="0.25">
      <c r="A54" s="18">
        <v>16</v>
      </c>
      <c r="B54" s="18">
        <v>6.8399999999999997E-3</v>
      </c>
    </row>
    <row r="55" spans="1:2" x14ac:dyDescent="0.25">
      <c r="A55" s="18">
        <v>16.2</v>
      </c>
      <c r="B55" s="18">
        <v>6.62E-3</v>
      </c>
    </row>
    <row r="56" spans="1:2" x14ac:dyDescent="0.25">
      <c r="A56" s="18">
        <v>16.399999999999999</v>
      </c>
      <c r="B56" s="18">
        <v>6.6600000000000001E-3</v>
      </c>
    </row>
    <row r="57" spans="1:2" x14ac:dyDescent="0.25">
      <c r="A57" s="18">
        <v>16.600000000000001</v>
      </c>
      <c r="B57" s="18">
        <v>6.4000000000000003E-3</v>
      </c>
    </row>
    <row r="58" spans="1:2" x14ac:dyDescent="0.25">
      <c r="A58" s="18">
        <v>16.8</v>
      </c>
      <c r="B58" s="18">
        <v>6.4700000000000001E-3</v>
      </c>
    </row>
    <row r="59" spans="1:2" x14ac:dyDescent="0.25">
      <c r="A59" s="18">
        <v>17</v>
      </c>
      <c r="B59" s="18">
        <v>6.2399999999999999E-3</v>
      </c>
    </row>
    <row r="60" spans="1:2" x14ac:dyDescent="0.25">
      <c r="A60" s="18">
        <v>17.2</v>
      </c>
      <c r="B60" s="18">
        <v>6.0699999999999999E-3</v>
      </c>
    </row>
    <row r="61" spans="1:2" x14ac:dyDescent="0.25">
      <c r="A61" s="18">
        <v>17.399999999999999</v>
      </c>
      <c r="B61" s="18">
        <v>6.0000000000000001E-3</v>
      </c>
    </row>
    <row r="62" spans="1:2" x14ac:dyDescent="0.25">
      <c r="A62" s="18">
        <v>17.600000000000001</v>
      </c>
      <c r="B62" s="18">
        <v>5.94E-3</v>
      </c>
    </row>
    <row r="63" spans="1:2" x14ac:dyDescent="0.25">
      <c r="A63" s="18">
        <v>17.8</v>
      </c>
      <c r="B63" s="18">
        <v>5.7999999999999996E-3</v>
      </c>
    </row>
    <row r="64" spans="1:2" x14ac:dyDescent="0.25">
      <c r="A64" s="18">
        <v>18</v>
      </c>
      <c r="B64" s="18">
        <v>5.6699999999999997E-3</v>
      </c>
    </row>
    <row r="65" spans="1:2" x14ac:dyDescent="0.25">
      <c r="A65" s="18">
        <v>18.2</v>
      </c>
      <c r="B65" s="18">
        <v>5.5100000000000001E-3</v>
      </c>
    </row>
    <row r="66" spans="1:2" x14ac:dyDescent="0.25">
      <c r="A66" s="18">
        <v>18.399999999999999</v>
      </c>
      <c r="B66" s="18">
        <v>5.45E-3</v>
      </c>
    </row>
    <row r="67" spans="1:2" x14ac:dyDescent="0.25">
      <c r="A67" s="18">
        <v>18.600000000000001</v>
      </c>
      <c r="B67" s="18">
        <v>5.2900000000000004E-3</v>
      </c>
    </row>
    <row r="68" spans="1:2" x14ac:dyDescent="0.25">
      <c r="A68" s="18">
        <v>18.8</v>
      </c>
      <c r="B68" s="18">
        <v>5.2300000000000003E-3</v>
      </c>
    </row>
    <row r="69" spans="1:2" x14ac:dyDescent="0.25">
      <c r="A69" s="18">
        <v>19</v>
      </c>
      <c r="B69" s="18">
        <v>5.0000000000000001E-3</v>
      </c>
    </row>
    <row r="70" spans="1:2" x14ac:dyDescent="0.25">
      <c r="A70" s="18">
        <v>19.2</v>
      </c>
      <c r="B70" s="18">
        <v>4.96E-3</v>
      </c>
    </row>
    <row r="71" spans="1:2" x14ac:dyDescent="0.25">
      <c r="A71" s="18">
        <v>19.399999999999999</v>
      </c>
      <c r="B71" s="18">
        <v>4.8700000000000002E-3</v>
      </c>
    </row>
    <row r="72" spans="1:2" x14ac:dyDescent="0.25">
      <c r="A72" s="18">
        <v>19.600000000000001</v>
      </c>
      <c r="B72" s="18">
        <v>4.6299999999999996E-3</v>
      </c>
    </row>
    <row r="73" spans="1:2" x14ac:dyDescent="0.25">
      <c r="A73" s="18">
        <v>19.8</v>
      </c>
      <c r="B73" s="18">
        <v>4.6299999999999996E-3</v>
      </c>
    </row>
    <row r="74" spans="1:2" x14ac:dyDescent="0.25">
      <c r="A74" s="18">
        <v>20</v>
      </c>
      <c r="B74" s="18">
        <v>4.4600000000000004E-3</v>
      </c>
    </row>
    <row r="75" spans="1:2" x14ac:dyDescent="0.25">
      <c r="A75" s="18">
        <v>20.2</v>
      </c>
      <c r="B75" s="18">
        <v>4.4099999999999999E-3</v>
      </c>
    </row>
    <row r="76" spans="1:2" x14ac:dyDescent="0.25">
      <c r="A76" s="18">
        <v>20.399999999999999</v>
      </c>
      <c r="B76" s="18">
        <v>4.2900000000000004E-3</v>
      </c>
    </row>
    <row r="77" spans="1:2" x14ac:dyDescent="0.25">
      <c r="A77" s="18">
        <v>20.6</v>
      </c>
      <c r="B77" s="18">
        <v>4.1999999999999997E-3</v>
      </c>
    </row>
    <row r="78" spans="1:2" x14ac:dyDescent="0.25">
      <c r="A78" s="18">
        <v>20.8</v>
      </c>
      <c r="B78" s="18">
        <v>4.1099999999999999E-3</v>
      </c>
    </row>
    <row r="79" spans="1:2" x14ac:dyDescent="0.25">
      <c r="A79" s="18">
        <v>21</v>
      </c>
      <c r="B79" s="18">
        <v>3.9199999999999999E-3</v>
      </c>
    </row>
    <row r="80" spans="1:2" x14ac:dyDescent="0.25">
      <c r="A80" s="18">
        <v>21.2</v>
      </c>
      <c r="B80" s="18">
        <v>4.0200000000000001E-3</v>
      </c>
    </row>
    <row r="81" spans="1:2" x14ac:dyDescent="0.25">
      <c r="A81" s="18">
        <v>21.4</v>
      </c>
      <c r="B81" s="18">
        <v>3.7299999999999998E-3</v>
      </c>
    </row>
    <row r="82" spans="1:2" x14ac:dyDescent="0.25">
      <c r="A82" s="18">
        <v>21.6</v>
      </c>
      <c r="B82" s="18">
        <v>3.7699999999999999E-3</v>
      </c>
    </row>
    <row r="83" spans="1:2" x14ac:dyDescent="0.25">
      <c r="A83" s="18">
        <v>21.8</v>
      </c>
      <c r="B83" s="18">
        <v>3.62E-3</v>
      </c>
    </row>
    <row r="84" spans="1:2" x14ac:dyDescent="0.25">
      <c r="A84" s="18">
        <v>22</v>
      </c>
      <c r="B84" s="18">
        <v>3.5000000000000001E-3</v>
      </c>
    </row>
    <row r="85" spans="1:2" x14ac:dyDescent="0.25">
      <c r="A85" s="18">
        <v>22.2</v>
      </c>
      <c r="B85" s="18">
        <v>3.46E-3</v>
      </c>
    </row>
    <row r="86" spans="1:2" x14ac:dyDescent="0.25">
      <c r="A86" s="18">
        <v>22.4</v>
      </c>
      <c r="B86" s="18">
        <v>3.3500000000000001E-3</v>
      </c>
    </row>
    <row r="87" spans="1:2" x14ac:dyDescent="0.25">
      <c r="A87" s="18">
        <v>22.6</v>
      </c>
      <c r="B87" s="18">
        <v>3.31E-3</v>
      </c>
    </row>
    <row r="88" spans="1:2" x14ac:dyDescent="0.25">
      <c r="A88" s="18">
        <v>22.8</v>
      </c>
      <c r="B88" s="18">
        <v>3.2000000000000002E-3</v>
      </c>
    </row>
    <row r="89" spans="1:2" x14ac:dyDescent="0.25">
      <c r="A89" s="18">
        <v>23</v>
      </c>
      <c r="B89" s="18">
        <v>3.13E-3</v>
      </c>
    </row>
    <row r="90" spans="1:2" x14ac:dyDescent="0.25">
      <c r="A90" s="18">
        <v>23.2</v>
      </c>
      <c r="B90" s="18">
        <v>3.0300000000000001E-3</v>
      </c>
    </row>
    <row r="91" spans="1:2" x14ac:dyDescent="0.25">
      <c r="A91" s="18">
        <v>23.4</v>
      </c>
      <c r="B91" s="18">
        <v>2.8999999999999998E-3</v>
      </c>
    </row>
    <row r="92" spans="1:2" x14ac:dyDescent="0.25">
      <c r="A92" s="18">
        <v>23.6</v>
      </c>
      <c r="B92" s="18">
        <v>3.0000000000000001E-3</v>
      </c>
    </row>
    <row r="93" spans="1:2" x14ac:dyDescent="0.25">
      <c r="A93" s="18">
        <v>23.8</v>
      </c>
      <c r="B93" s="18">
        <v>2.7799999999999999E-3</v>
      </c>
    </row>
    <row r="94" spans="1:2" x14ac:dyDescent="0.25">
      <c r="A94" s="18">
        <v>24</v>
      </c>
      <c r="B94" s="18">
        <v>2.7899999999999999E-3</v>
      </c>
    </row>
    <row r="95" spans="1:2" x14ac:dyDescent="0.25">
      <c r="A95" s="18">
        <v>24.2</v>
      </c>
      <c r="B95" s="18">
        <v>2.7000000000000001E-3</v>
      </c>
    </row>
    <row r="96" spans="1:2" x14ac:dyDescent="0.25">
      <c r="A96" s="18">
        <v>24.4</v>
      </c>
      <c r="B96" s="18">
        <v>2.65E-3</v>
      </c>
    </row>
    <row r="97" spans="1:2" x14ac:dyDescent="0.25">
      <c r="A97" s="18">
        <v>24.6</v>
      </c>
      <c r="B97" s="18">
        <v>2.5300000000000001E-3</v>
      </c>
    </row>
    <row r="98" spans="1:2" x14ac:dyDescent="0.25">
      <c r="A98" s="18">
        <v>24.8</v>
      </c>
      <c r="B98" s="18">
        <v>2.5200000000000001E-3</v>
      </c>
    </row>
    <row r="99" spans="1:2" x14ac:dyDescent="0.25">
      <c r="A99" s="18">
        <v>25</v>
      </c>
      <c r="B99" s="18">
        <v>2.3800000000000002E-3</v>
      </c>
    </row>
    <row r="100" spans="1:2" x14ac:dyDescent="0.25">
      <c r="A100" s="18">
        <v>25.2</v>
      </c>
      <c r="B100" s="18">
        <v>2.3900000000000002E-3</v>
      </c>
    </row>
    <row r="101" spans="1:2" x14ac:dyDescent="0.25">
      <c r="A101" s="18">
        <v>25.4</v>
      </c>
      <c r="B101" s="18">
        <v>2.3E-3</v>
      </c>
    </row>
    <row r="102" spans="1:2" x14ac:dyDescent="0.25">
      <c r="A102" s="18">
        <v>25.6</v>
      </c>
      <c r="B102" s="18">
        <v>2.2799999999999999E-3</v>
      </c>
    </row>
    <row r="103" spans="1:2" x14ac:dyDescent="0.25">
      <c r="A103" s="18">
        <v>25.8</v>
      </c>
      <c r="B103" s="18">
        <v>2.2000000000000001E-3</v>
      </c>
    </row>
    <row r="104" spans="1:2" x14ac:dyDescent="0.25">
      <c r="A104" s="18">
        <v>26</v>
      </c>
      <c r="B104" s="18">
        <v>2.16E-3</v>
      </c>
    </row>
    <row r="105" spans="1:2" x14ac:dyDescent="0.25">
      <c r="A105" s="18">
        <v>26.2</v>
      </c>
      <c r="B105" s="18">
        <v>2.0799999999999998E-3</v>
      </c>
    </row>
    <row r="106" spans="1:2" x14ac:dyDescent="0.25">
      <c r="A106" s="18">
        <v>26.4</v>
      </c>
      <c r="B106" s="18">
        <v>2.0500000000000002E-3</v>
      </c>
    </row>
    <row r="107" spans="1:2" x14ac:dyDescent="0.25">
      <c r="A107" s="18">
        <v>26.6</v>
      </c>
      <c r="B107" s="18">
        <v>2.0100000000000001E-3</v>
      </c>
    </row>
    <row r="108" spans="1:2" x14ac:dyDescent="0.25">
      <c r="A108" s="18">
        <v>26.8</v>
      </c>
      <c r="B108" s="18">
        <v>1.9300000000000001E-3</v>
      </c>
    </row>
    <row r="109" spans="1:2" x14ac:dyDescent="0.25">
      <c r="A109" s="18">
        <v>27</v>
      </c>
      <c r="B109" s="18">
        <v>1.92E-3</v>
      </c>
    </row>
    <row r="110" spans="1:2" x14ac:dyDescent="0.25">
      <c r="A110" s="18">
        <v>27.2</v>
      </c>
      <c r="B110" s="18">
        <v>1.8400000000000001E-3</v>
      </c>
    </row>
    <row r="111" spans="1:2" x14ac:dyDescent="0.25">
      <c r="A111" s="18">
        <v>27.4</v>
      </c>
      <c r="B111" s="18">
        <v>1.8E-3</v>
      </c>
    </row>
    <row r="112" spans="1:2" x14ac:dyDescent="0.25">
      <c r="A112" s="18">
        <v>27.6</v>
      </c>
      <c r="B112" s="18">
        <v>1.74E-3</v>
      </c>
    </row>
    <row r="113" spans="1:2" x14ac:dyDescent="0.25">
      <c r="A113" s="18">
        <v>27.8</v>
      </c>
      <c r="B113" s="18">
        <v>1.72E-3</v>
      </c>
    </row>
    <row r="114" spans="1:2" x14ac:dyDescent="0.25">
      <c r="A114" s="18">
        <v>28</v>
      </c>
      <c r="B114" s="18">
        <v>1.66E-3</v>
      </c>
    </row>
    <row r="115" spans="1:2" x14ac:dyDescent="0.25">
      <c r="A115" s="18">
        <v>28.2</v>
      </c>
      <c r="B115" s="18">
        <v>1.64E-3</v>
      </c>
    </row>
    <row r="116" spans="1:2" x14ac:dyDescent="0.25">
      <c r="A116" s="18">
        <v>28.4</v>
      </c>
      <c r="B116" s="18">
        <v>1.6100000000000001E-3</v>
      </c>
    </row>
    <row r="117" spans="1:2" x14ac:dyDescent="0.25">
      <c r="A117" s="18">
        <v>28.6</v>
      </c>
      <c r="B117" s="18">
        <v>1.5499999999999999E-3</v>
      </c>
    </row>
    <row r="118" spans="1:2" x14ac:dyDescent="0.25">
      <c r="A118" s="18">
        <v>28.8</v>
      </c>
      <c r="B118" s="18">
        <v>1.5299999999999999E-3</v>
      </c>
    </row>
    <row r="119" spans="1:2" x14ac:dyDescent="0.25">
      <c r="A119" s="18">
        <v>29</v>
      </c>
      <c r="B119" s="18">
        <v>1.47E-3</v>
      </c>
    </row>
    <row r="120" spans="1:2" x14ac:dyDescent="0.25">
      <c r="A120" s="18">
        <v>29.2</v>
      </c>
      <c r="B120" s="18">
        <v>1.4400000000000001E-3</v>
      </c>
    </row>
    <row r="121" spans="1:2" x14ac:dyDescent="0.25">
      <c r="A121" s="18">
        <v>29.4</v>
      </c>
      <c r="B121" s="18">
        <v>1.42E-3</v>
      </c>
    </row>
    <row r="122" spans="1:2" x14ac:dyDescent="0.25">
      <c r="A122" s="18">
        <v>29.6</v>
      </c>
      <c r="B122" s="18">
        <v>1.39E-3</v>
      </c>
    </row>
    <row r="123" spans="1:2" x14ac:dyDescent="0.25">
      <c r="A123" s="18">
        <v>29.8</v>
      </c>
      <c r="B123" s="18">
        <v>1.3500000000000001E-3</v>
      </c>
    </row>
    <row r="124" spans="1:2" x14ac:dyDescent="0.25">
      <c r="A124" s="18">
        <v>30</v>
      </c>
      <c r="B124" s="18">
        <v>1.2899999999999999E-3</v>
      </c>
    </row>
    <row r="125" spans="1:2" x14ac:dyDescent="0.25">
      <c r="A125" s="18">
        <v>30.2</v>
      </c>
      <c r="B125" s="18">
        <v>1.2899999999999999E-3</v>
      </c>
    </row>
    <row r="126" spans="1:2" x14ac:dyDescent="0.25">
      <c r="A126" s="18">
        <v>30.4</v>
      </c>
      <c r="B126" s="18">
        <v>1.25E-3</v>
      </c>
    </row>
    <row r="127" spans="1:2" x14ac:dyDescent="0.25">
      <c r="A127" s="18">
        <v>30.6</v>
      </c>
      <c r="B127" s="18">
        <v>1.2199999999999999E-3</v>
      </c>
    </row>
    <row r="128" spans="1:2" x14ac:dyDescent="0.25">
      <c r="A128" s="18">
        <v>30.8</v>
      </c>
      <c r="B128" s="18">
        <v>1.1999999999999999E-3</v>
      </c>
    </row>
    <row r="129" spans="1:2" x14ac:dyDescent="0.25">
      <c r="A129" s="18">
        <v>31</v>
      </c>
      <c r="B129" s="18">
        <v>1.17E-3</v>
      </c>
    </row>
    <row r="130" spans="1:2" x14ac:dyDescent="0.25">
      <c r="A130" s="18">
        <v>31.2</v>
      </c>
      <c r="B130" s="18">
        <v>1.14E-3</v>
      </c>
    </row>
    <row r="131" spans="1:2" x14ac:dyDescent="0.25">
      <c r="A131" s="18">
        <v>31.4</v>
      </c>
      <c r="B131" s="18">
        <v>1.1199999999999999E-3</v>
      </c>
    </row>
    <row r="132" spans="1:2" x14ac:dyDescent="0.25">
      <c r="A132" s="18">
        <v>31.6</v>
      </c>
      <c r="B132" s="18">
        <v>1.08E-3</v>
      </c>
    </row>
    <row r="133" spans="1:2" x14ac:dyDescent="0.25">
      <c r="A133" s="18">
        <v>31.8</v>
      </c>
      <c r="B133" s="18">
        <v>1.06E-3</v>
      </c>
    </row>
    <row r="134" spans="1:2" x14ac:dyDescent="0.25">
      <c r="A134" s="18">
        <v>32</v>
      </c>
      <c r="B134" s="18">
        <v>1.0499999999999999E-3</v>
      </c>
    </row>
    <row r="135" spans="1:2" x14ac:dyDescent="0.25">
      <c r="A135" s="18">
        <v>32.200000000000003</v>
      </c>
      <c r="B135" s="18">
        <v>1.0200000000000001E-3</v>
      </c>
    </row>
    <row r="136" spans="1:2" x14ac:dyDescent="0.25">
      <c r="A136" s="18">
        <v>32.4</v>
      </c>
      <c r="B136" s="18">
        <v>9.9500000000000001E-4</v>
      </c>
    </row>
    <row r="137" spans="1:2" x14ac:dyDescent="0.25">
      <c r="A137" s="18">
        <v>32.6</v>
      </c>
      <c r="B137" s="18">
        <v>9.810000000000001E-4</v>
      </c>
    </row>
    <row r="138" spans="1:2" x14ac:dyDescent="0.25">
      <c r="A138" s="18">
        <v>32.799999999999997</v>
      </c>
      <c r="B138" s="18">
        <v>9.4600000000000001E-4</v>
      </c>
    </row>
    <row r="139" spans="1:2" x14ac:dyDescent="0.25">
      <c r="A139" s="18">
        <v>33</v>
      </c>
      <c r="B139" s="18">
        <v>9.6199999999999996E-4</v>
      </c>
    </row>
    <row r="140" spans="1:2" x14ac:dyDescent="0.25">
      <c r="A140" s="18">
        <v>33.200000000000003</v>
      </c>
      <c r="B140" s="18">
        <v>8.9800000000000004E-4</v>
      </c>
    </row>
    <row r="141" spans="1:2" x14ac:dyDescent="0.25">
      <c r="A141" s="18">
        <v>33.4</v>
      </c>
      <c r="B141" s="18">
        <v>8.8800000000000001E-4</v>
      </c>
    </row>
    <row r="142" spans="1:2" x14ac:dyDescent="0.25">
      <c r="A142" s="18">
        <v>33.6</v>
      </c>
      <c r="B142" s="18">
        <v>8.7900000000000001E-4</v>
      </c>
    </row>
    <row r="143" spans="1:2" x14ac:dyDescent="0.25">
      <c r="A143" s="18">
        <v>33.799999999999997</v>
      </c>
      <c r="B143" s="18">
        <v>8.1899999999999996E-4</v>
      </c>
    </row>
    <row r="144" spans="1:2" x14ac:dyDescent="0.25">
      <c r="A144" s="18">
        <v>34</v>
      </c>
      <c r="B144" s="18">
        <v>8.5099999999999998E-4</v>
      </c>
    </row>
    <row r="145" spans="1:2" x14ac:dyDescent="0.25">
      <c r="A145" s="18">
        <v>34.200000000000003</v>
      </c>
      <c r="B145" s="18">
        <v>8.0400000000000003E-4</v>
      </c>
    </row>
    <row r="146" spans="1:2" x14ac:dyDescent="0.25">
      <c r="A146" s="18">
        <v>34.4</v>
      </c>
      <c r="B146" s="18">
        <v>7.9699999999999997E-4</v>
      </c>
    </row>
    <row r="147" spans="1:2" x14ac:dyDescent="0.25">
      <c r="A147" s="18">
        <v>34.6</v>
      </c>
      <c r="B147" s="18">
        <v>7.8799999999999996E-4</v>
      </c>
    </row>
    <row r="148" spans="1:2" x14ac:dyDescent="0.25">
      <c r="A148" s="18">
        <v>34.799999999999997</v>
      </c>
      <c r="B148" s="18">
        <v>7.4600000000000003E-4</v>
      </c>
    </row>
    <row r="149" spans="1:2" x14ac:dyDescent="0.25">
      <c r="A149" s="18">
        <v>35</v>
      </c>
      <c r="B149" s="18">
        <v>7.5100000000000004E-4</v>
      </c>
    </row>
    <row r="150" spans="1:2" x14ac:dyDescent="0.25">
      <c r="A150" s="18">
        <v>35.200000000000003</v>
      </c>
      <c r="B150" s="18">
        <v>7.3300000000000004E-4</v>
      </c>
    </row>
    <row r="151" spans="1:2" x14ac:dyDescent="0.25">
      <c r="A151" s="18">
        <v>35.4</v>
      </c>
      <c r="B151" s="18">
        <v>6.9499999999999998E-4</v>
      </c>
    </row>
    <row r="152" spans="1:2" x14ac:dyDescent="0.25">
      <c r="A152" s="18">
        <v>35.6</v>
      </c>
      <c r="B152" s="18">
        <v>7.2599999999999997E-4</v>
      </c>
    </row>
    <row r="153" spans="1:2" x14ac:dyDescent="0.25">
      <c r="A153" s="18">
        <v>35.799999999999997</v>
      </c>
      <c r="B153" s="18">
        <v>6.3599999999999996E-4</v>
      </c>
    </row>
    <row r="154" spans="1:2" x14ac:dyDescent="0.25">
      <c r="A154" s="18">
        <v>36</v>
      </c>
      <c r="B154" s="18">
        <v>6.9800000000000005E-4</v>
      </c>
    </row>
    <row r="155" spans="1:2" x14ac:dyDescent="0.25">
      <c r="A155" s="18">
        <v>36.200000000000003</v>
      </c>
      <c r="B155" s="18">
        <v>6.4999999999999997E-4</v>
      </c>
    </row>
    <row r="156" spans="1:2" x14ac:dyDescent="0.25">
      <c r="A156" s="18">
        <v>36.4</v>
      </c>
      <c r="B156" s="18">
        <v>6.2500000000000001E-4</v>
      </c>
    </row>
    <row r="157" spans="1:2" x14ac:dyDescent="0.25">
      <c r="A157" s="18">
        <v>36.6</v>
      </c>
      <c r="B157" s="18">
        <v>6.1799999999999995E-4</v>
      </c>
    </row>
    <row r="158" spans="1:2" x14ac:dyDescent="0.25">
      <c r="A158" s="18">
        <v>36.799999999999997</v>
      </c>
      <c r="B158" s="18">
        <v>6.1600000000000001E-4</v>
      </c>
    </row>
    <row r="159" spans="1:2" x14ac:dyDescent="0.25">
      <c r="A159" s="18">
        <v>37</v>
      </c>
      <c r="B159" s="18">
        <v>5.7399999999999997E-4</v>
      </c>
    </row>
    <row r="160" spans="1:2" x14ac:dyDescent="0.25">
      <c r="A160" s="18">
        <v>37.200000000000003</v>
      </c>
      <c r="B160" s="18">
        <v>6.0300000000000002E-4</v>
      </c>
    </row>
    <row r="161" spans="1:2" x14ac:dyDescent="0.25">
      <c r="A161" s="18">
        <v>37.4</v>
      </c>
      <c r="B161" s="18">
        <v>5.62E-4</v>
      </c>
    </row>
    <row r="162" spans="1:2" x14ac:dyDescent="0.25">
      <c r="A162" s="18">
        <v>37.6</v>
      </c>
      <c r="B162" s="18">
        <v>5.4500000000000002E-4</v>
      </c>
    </row>
    <row r="163" spans="1:2" x14ac:dyDescent="0.25">
      <c r="A163" s="18">
        <v>37.799999999999997</v>
      </c>
      <c r="B163" s="18">
        <v>5.5999999999999995E-4</v>
      </c>
    </row>
    <row r="164" spans="1:2" x14ac:dyDescent="0.25">
      <c r="A164" s="18">
        <v>38</v>
      </c>
      <c r="B164" s="18">
        <v>5.0199999999999995E-4</v>
      </c>
    </row>
    <row r="165" spans="1:2" x14ac:dyDescent="0.25">
      <c r="A165" s="18">
        <v>38.200000000000003</v>
      </c>
      <c r="B165" s="18">
        <v>5.2999999999999998E-4</v>
      </c>
    </row>
    <row r="166" spans="1:2" x14ac:dyDescent="0.25">
      <c r="A166" s="18">
        <v>38.4</v>
      </c>
      <c r="B166" s="18">
        <v>4.8999999999999998E-4</v>
      </c>
    </row>
    <row r="167" spans="1:2" x14ac:dyDescent="0.25">
      <c r="A167" s="18">
        <v>38.6</v>
      </c>
      <c r="B167" s="18">
        <v>4.8999999999999998E-4</v>
      </c>
    </row>
    <row r="168" spans="1:2" x14ac:dyDescent="0.25">
      <c r="A168" s="18">
        <v>38.799999999999997</v>
      </c>
      <c r="B168" s="18">
        <v>4.7800000000000002E-4</v>
      </c>
    </row>
    <row r="169" spans="1:2" x14ac:dyDescent="0.25">
      <c r="A169" s="18">
        <v>39</v>
      </c>
      <c r="B169" s="18">
        <v>4.6700000000000002E-4</v>
      </c>
    </row>
    <row r="170" spans="1:2" x14ac:dyDescent="0.25">
      <c r="A170" s="18">
        <v>39.200000000000003</v>
      </c>
      <c r="B170" s="18">
        <v>4.6099999999999998E-4</v>
      </c>
    </row>
    <row r="171" spans="1:2" x14ac:dyDescent="0.25">
      <c r="A171" s="18">
        <v>39.4</v>
      </c>
      <c r="B171" s="18">
        <v>4.5800000000000002E-4</v>
      </c>
    </row>
    <row r="172" spans="1:2" x14ac:dyDescent="0.25">
      <c r="A172" s="18">
        <v>39.6</v>
      </c>
      <c r="B172" s="18">
        <v>4.26E-4</v>
      </c>
    </row>
    <row r="173" spans="1:2" x14ac:dyDescent="0.25">
      <c r="A173" s="18">
        <v>39.799999999999997</v>
      </c>
      <c r="B173" s="18">
        <v>4.3399999999999998E-4</v>
      </c>
    </row>
    <row r="174" spans="1:2" x14ac:dyDescent="0.25">
      <c r="A174" s="18">
        <v>40</v>
      </c>
      <c r="B174" s="18">
        <v>4.2000000000000002E-4</v>
      </c>
    </row>
    <row r="175" spans="1:2" x14ac:dyDescent="0.25">
      <c r="A175" s="18">
        <v>40.200000000000003</v>
      </c>
      <c r="B175" s="18">
        <v>4.0400000000000001E-4</v>
      </c>
    </row>
    <row r="176" spans="1:2" x14ac:dyDescent="0.25">
      <c r="A176" s="18">
        <v>40.4</v>
      </c>
      <c r="B176" s="18">
        <v>4.0299999999999998E-4</v>
      </c>
    </row>
    <row r="177" spans="1:2" x14ac:dyDescent="0.25">
      <c r="A177" s="18">
        <v>40.6</v>
      </c>
      <c r="B177" s="18">
        <v>3.97E-4</v>
      </c>
    </row>
    <row r="178" spans="1:2" x14ac:dyDescent="0.25">
      <c r="A178" s="18">
        <v>40.799999999999997</v>
      </c>
      <c r="B178" s="18">
        <v>3.7300000000000001E-4</v>
      </c>
    </row>
    <row r="179" spans="1:2" x14ac:dyDescent="0.25">
      <c r="A179" s="18">
        <v>41</v>
      </c>
      <c r="B179" s="18">
        <v>3.8699999999999997E-4</v>
      </c>
    </row>
    <row r="180" spans="1:2" x14ac:dyDescent="0.25">
      <c r="A180" s="18">
        <v>41.2</v>
      </c>
      <c r="B180" s="18">
        <v>3.6499999999999998E-4</v>
      </c>
    </row>
    <row r="181" spans="1:2" x14ac:dyDescent="0.25">
      <c r="A181" s="18">
        <v>41.4</v>
      </c>
      <c r="B181" s="18">
        <v>3.5799999999999997E-4</v>
      </c>
    </row>
    <row r="182" spans="1:2" x14ac:dyDescent="0.25">
      <c r="A182" s="18">
        <v>41.6</v>
      </c>
      <c r="B182" s="18">
        <v>3.5799999999999997E-4</v>
      </c>
    </row>
    <row r="183" spans="1:2" x14ac:dyDescent="0.25">
      <c r="A183" s="18">
        <v>41.8</v>
      </c>
      <c r="B183" s="18">
        <v>3.4400000000000001E-4</v>
      </c>
    </row>
    <row r="184" spans="1:2" x14ac:dyDescent="0.25">
      <c r="A184" s="18">
        <v>42</v>
      </c>
      <c r="B184" s="18">
        <v>3.3500000000000001E-4</v>
      </c>
    </row>
    <row r="185" spans="1:2" x14ac:dyDescent="0.25">
      <c r="A185" s="18">
        <v>42.2</v>
      </c>
      <c r="B185" s="18">
        <v>3.21E-4</v>
      </c>
    </row>
    <row r="186" spans="1:2" x14ac:dyDescent="0.25">
      <c r="A186" s="18">
        <v>42.4</v>
      </c>
      <c r="B186" s="18">
        <v>3.2499999999999999E-4</v>
      </c>
    </row>
    <row r="187" spans="1:2" x14ac:dyDescent="0.25">
      <c r="A187" s="18">
        <v>42.6</v>
      </c>
      <c r="B187" s="18">
        <v>3.21E-4</v>
      </c>
    </row>
    <row r="188" spans="1:2" x14ac:dyDescent="0.25">
      <c r="A188" s="18">
        <v>42.8</v>
      </c>
      <c r="B188" s="18">
        <v>2.9599999999999998E-4</v>
      </c>
    </row>
    <row r="189" spans="1:2" x14ac:dyDescent="0.25">
      <c r="A189" s="18">
        <v>43</v>
      </c>
      <c r="B189" s="18">
        <v>3.1199999999999999E-4</v>
      </c>
    </row>
    <row r="190" spans="1:2" x14ac:dyDescent="0.25">
      <c r="A190" s="18">
        <v>43.2</v>
      </c>
      <c r="B190" s="18">
        <v>2.9799999999999998E-4</v>
      </c>
    </row>
    <row r="191" spans="1:2" x14ac:dyDescent="0.25">
      <c r="A191" s="18">
        <v>43.4</v>
      </c>
      <c r="B191" s="18">
        <v>2.8699999999999998E-4</v>
      </c>
    </row>
    <row r="192" spans="1:2" x14ac:dyDescent="0.25">
      <c r="A192" s="18">
        <v>43.6</v>
      </c>
      <c r="B192" s="18">
        <v>2.92E-4</v>
      </c>
    </row>
    <row r="193" spans="1:2" x14ac:dyDescent="0.25">
      <c r="A193" s="18">
        <v>43.8</v>
      </c>
      <c r="B193" s="18">
        <v>2.6800000000000001E-4</v>
      </c>
    </row>
    <row r="194" spans="1:2" x14ac:dyDescent="0.25">
      <c r="A194" s="18">
        <v>44</v>
      </c>
      <c r="B194" s="18">
        <v>2.7799999999999998E-4</v>
      </c>
    </row>
    <row r="195" spans="1:2" x14ac:dyDescent="0.25">
      <c r="A195" s="18">
        <v>44.2</v>
      </c>
      <c r="B195" s="18">
        <v>2.5999999999999998E-4</v>
      </c>
    </row>
    <row r="196" spans="1:2" x14ac:dyDescent="0.25">
      <c r="A196" s="18">
        <v>44.4</v>
      </c>
      <c r="B196" s="18">
        <v>2.61E-4</v>
      </c>
    </row>
    <row r="197" spans="1:2" x14ac:dyDescent="0.25">
      <c r="A197" s="18">
        <v>44.6</v>
      </c>
      <c r="B197" s="18">
        <v>2.3800000000000001E-4</v>
      </c>
    </row>
    <row r="198" spans="1:2" x14ac:dyDescent="0.25">
      <c r="A198" s="18">
        <v>44.8</v>
      </c>
      <c r="B198" s="18">
        <v>2.5399999999999999E-4</v>
      </c>
    </row>
    <row r="199" spans="1:2" x14ac:dyDescent="0.25">
      <c r="A199" s="18">
        <v>45</v>
      </c>
      <c r="B199" s="18">
        <v>2.31E-4</v>
      </c>
    </row>
    <row r="200" spans="1:2" x14ac:dyDescent="0.25">
      <c r="A200" s="18">
        <v>45.2</v>
      </c>
      <c r="B200" s="18">
        <v>2.33E-4</v>
      </c>
    </row>
    <row r="201" spans="1:2" x14ac:dyDescent="0.25">
      <c r="A201" s="18">
        <v>45.4</v>
      </c>
      <c r="B201" s="18">
        <v>2.2499999999999999E-4</v>
      </c>
    </row>
    <row r="202" spans="1:2" x14ac:dyDescent="0.25">
      <c r="A202" s="18">
        <v>45.6</v>
      </c>
      <c r="B202" s="18">
        <v>2.1699999999999999E-4</v>
      </c>
    </row>
    <row r="203" spans="1:2" x14ac:dyDescent="0.25">
      <c r="A203" s="18">
        <v>45.8</v>
      </c>
      <c r="B203" s="18">
        <v>2.2800000000000001E-4</v>
      </c>
    </row>
    <row r="204" spans="1:2" x14ac:dyDescent="0.25">
      <c r="A204" s="18">
        <v>46</v>
      </c>
      <c r="B204" s="18">
        <v>1.9900000000000001E-4</v>
      </c>
    </row>
    <row r="205" spans="1:2" x14ac:dyDescent="0.25">
      <c r="A205" s="18">
        <v>46.2</v>
      </c>
      <c r="B205" s="18">
        <v>2.0900000000000001E-4</v>
      </c>
    </row>
    <row r="206" spans="1:2" x14ac:dyDescent="0.25">
      <c r="A206" s="18">
        <v>46.4</v>
      </c>
      <c r="B206" s="18">
        <v>1.8799999999999999E-4</v>
      </c>
    </row>
    <row r="207" spans="1:2" x14ac:dyDescent="0.25">
      <c r="A207" s="18">
        <v>46.6</v>
      </c>
      <c r="B207" s="18">
        <v>2.0000000000000001E-4</v>
      </c>
    </row>
    <row r="208" spans="1:2" x14ac:dyDescent="0.25">
      <c r="A208" s="18">
        <v>46.8</v>
      </c>
      <c r="B208" s="18">
        <v>1.8699999999999999E-4</v>
      </c>
    </row>
    <row r="209" spans="1:2" x14ac:dyDescent="0.25">
      <c r="A209" s="18">
        <v>47</v>
      </c>
      <c r="B209" s="18">
        <v>1.7899999999999999E-4</v>
      </c>
    </row>
    <row r="210" spans="1:2" x14ac:dyDescent="0.25">
      <c r="A210" s="18">
        <v>47.2</v>
      </c>
      <c r="B210" s="18">
        <v>1.7899999999999999E-4</v>
      </c>
    </row>
    <row r="211" spans="1:2" x14ac:dyDescent="0.25">
      <c r="A211" s="18">
        <v>47.4</v>
      </c>
      <c r="B211" s="18">
        <v>1.76E-4</v>
      </c>
    </row>
    <row r="212" spans="1:2" x14ac:dyDescent="0.25">
      <c r="A212" s="18">
        <v>47.6</v>
      </c>
      <c r="B212" s="18">
        <v>1.6799999999999999E-4</v>
      </c>
    </row>
    <row r="213" spans="1:2" x14ac:dyDescent="0.25">
      <c r="A213" s="18">
        <v>47.8</v>
      </c>
      <c r="B213" s="18">
        <v>1.5799999999999999E-4</v>
      </c>
    </row>
    <row r="214" spans="1:2" x14ac:dyDescent="0.25">
      <c r="A214" s="18">
        <v>48</v>
      </c>
      <c r="B214" s="18">
        <v>1.5899999999999999E-4</v>
      </c>
    </row>
    <row r="215" spans="1:2" x14ac:dyDescent="0.25">
      <c r="A215" s="18">
        <v>48.2</v>
      </c>
      <c r="B215" s="18">
        <v>1.5100000000000001E-4</v>
      </c>
    </row>
    <row r="216" spans="1:2" x14ac:dyDescent="0.25">
      <c r="A216" s="18">
        <v>48.4</v>
      </c>
      <c r="B216" s="18">
        <v>1.47E-4</v>
      </c>
    </row>
    <row r="217" spans="1:2" x14ac:dyDescent="0.25">
      <c r="A217" s="18">
        <v>48.6</v>
      </c>
      <c r="B217" s="18">
        <v>1.47E-4</v>
      </c>
    </row>
    <row r="218" spans="1:2" x14ac:dyDescent="0.25">
      <c r="A218" s="18">
        <v>48.8</v>
      </c>
      <c r="B218" s="18">
        <v>1.36E-4</v>
      </c>
    </row>
    <row r="219" spans="1:2" x14ac:dyDescent="0.25">
      <c r="A219" s="18">
        <v>49</v>
      </c>
      <c r="B219" s="18">
        <v>1.36E-4</v>
      </c>
    </row>
    <row r="220" spans="1:2" x14ac:dyDescent="0.25">
      <c r="A220" s="18">
        <v>49.2</v>
      </c>
      <c r="B220" s="18">
        <v>1.27E-4</v>
      </c>
    </row>
    <row r="221" spans="1:2" x14ac:dyDescent="0.25">
      <c r="A221" s="18">
        <v>49.4</v>
      </c>
      <c r="B221" s="18">
        <v>1.21E-4</v>
      </c>
    </row>
    <row r="222" spans="1:2" x14ac:dyDescent="0.25">
      <c r="A222" s="18">
        <v>49.6</v>
      </c>
      <c r="B222" s="18">
        <v>1.27E-4</v>
      </c>
    </row>
    <row r="223" spans="1:2" x14ac:dyDescent="0.25">
      <c r="A223" s="18">
        <v>49.8</v>
      </c>
      <c r="B223" s="18">
        <v>1.07E-4</v>
      </c>
    </row>
    <row r="224" spans="1:2" x14ac:dyDescent="0.25">
      <c r="A224" s="18">
        <v>50</v>
      </c>
      <c r="B224" s="18">
        <v>1.1900000000000001E-4</v>
      </c>
    </row>
    <row r="225" spans="1:2" x14ac:dyDescent="0.25">
      <c r="A225" s="18">
        <v>50.2</v>
      </c>
      <c r="B225" s="18">
        <v>1.02E-4</v>
      </c>
    </row>
    <row r="226" spans="1:2" x14ac:dyDescent="0.25">
      <c r="A226" s="18">
        <v>50.4</v>
      </c>
      <c r="B226" s="18">
        <v>1.03E-4</v>
      </c>
    </row>
    <row r="227" spans="1:2" x14ac:dyDescent="0.25">
      <c r="A227" s="18">
        <v>50.6</v>
      </c>
      <c r="B227" s="18">
        <v>9.5699999999999995E-5</v>
      </c>
    </row>
    <row r="228" spans="1:2" x14ac:dyDescent="0.25">
      <c r="A228" s="18">
        <v>50.8</v>
      </c>
      <c r="B228" s="18">
        <v>9.6700000000000006E-5</v>
      </c>
    </row>
    <row r="229" spans="1:2" x14ac:dyDescent="0.25">
      <c r="A229" s="18">
        <v>51</v>
      </c>
      <c r="B229" s="18">
        <v>9.4300000000000002E-5</v>
      </c>
    </row>
    <row r="230" spans="1:2" x14ac:dyDescent="0.25">
      <c r="A230" s="18">
        <v>51.2</v>
      </c>
      <c r="B230" s="18">
        <v>8.25E-5</v>
      </c>
    </row>
    <row r="231" spans="1:2" x14ac:dyDescent="0.25">
      <c r="A231" s="18">
        <v>51.4</v>
      </c>
      <c r="B231" s="18">
        <v>8.6700000000000007E-5</v>
      </c>
    </row>
    <row r="232" spans="1:2" x14ac:dyDescent="0.25">
      <c r="A232" s="18">
        <v>51.6</v>
      </c>
      <c r="B232" s="18">
        <v>7.9400000000000006E-5</v>
      </c>
    </row>
    <row r="233" spans="1:2" x14ac:dyDescent="0.25">
      <c r="A233" s="18">
        <v>51.8</v>
      </c>
      <c r="B233" s="18">
        <v>7.7299999999999995E-5</v>
      </c>
    </row>
    <row r="234" spans="1:2" x14ac:dyDescent="0.25">
      <c r="A234" s="18">
        <v>52</v>
      </c>
      <c r="B234" s="18">
        <v>7.1600000000000006E-5</v>
      </c>
    </row>
    <row r="235" spans="1:2" x14ac:dyDescent="0.25">
      <c r="A235" s="18">
        <v>52.2</v>
      </c>
      <c r="B235" s="18">
        <v>6.4399999999999993E-5</v>
      </c>
    </row>
    <row r="236" spans="1:2" x14ac:dyDescent="0.25">
      <c r="A236" s="18">
        <v>52.4</v>
      </c>
      <c r="B236" s="18">
        <v>6.4999999999999994E-5</v>
      </c>
    </row>
    <row r="237" spans="1:2" x14ac:dyDescent="0.25">
      <c r="A237" s="18">
        <v>52.6</v>
      </c>
      <c r="B237" s="18">
        <v>5.5600000000000003E-5</v>
      </c>
    </row>
    <row r="238" spans="1:2" x14ac:dyDescent="0.25">
      <c r="A238" s="18">
        <v>52.8</v>
      </c>
      <c r="B238" s="18">
        <v>5.6499999999999998E-5</v>
      </c>
    </row>
    <row r="239" spans="1:2" x14ac:dyDescent="0.25">
      <c r="A239" s="18">
        <v>53</v>
      </c>
      <c r="B239" s="18">
        <v>4.3800000000000001E-5</v>
      </c>
    </row>
    <row r="240" spans="1:2" x14ac:dyDescent="0.25">
      <c r="A240" s="18">
        <v>53.2</v>
      </c>
      <c r="B240" s="18">
        <v>5.24E-5</v>
      </c>
    </row>
    <row r="241" spans="1:2" x14ac:dyDescent="0.25">
      <c r="A241" s="18">
        <v>53.4</v>
      </c>
      <c r="B241" s="18">
        <v>3.6199999999999999E-5</v>
      </c>
    </row>
    <row r="242" spans="1:2" x14ac:dyDescent="0.25">
      <c r="A242" s="18">
        <v>53.6</v>
      </c>
      <c r="B242" s="18">
        <v>4.3999999999999999E-5</v>
      </c>
    </row>
    <row r="243" spans="1:2" x14ac:dyDescent="0.25">
      <c r="A243" s="18">
        <v>53.8</v>
      </c>
      <c r="B243" s="18">
        <v>2.7500000000000001E-5</v>
      </c>
    </row>
    <row r="244" spans="1:2" x14ac:dyDescent="0.25">
      <c r="A244" s="18">
        <v>54</v>
      </c>
      <c r="B244" s="18">
        <v>3.5099999999999999E-5</v>
      </c>
    </row>
    <row r="245" spans="1:2" x14ac:dyDescent="0.25">
      <c r="A245" s="18">
        <v>54.2</v>
      </c>
      <c r="B245" s="18">
        <v>2.0299999999999999E-5</v>
      </c>
    </row>
    <row r="246" spans="1:2" x14ac:dyDescent="0.25">
      <c r="A246" s="18">
        <v>54.4</v>
      </c>
      <c r="B246" s="18">
        <v>2.4600000000000002E-5</v>
      </c>
    </row>
    <row r="247" spans="1:2" x14ac:dyDescent="0.25">
      <c r="A247" s="18">
        <v>54.6</v>
      </c>
      <c r="B247" s="18">
        <v>1.34E-5</v>
      </c>
    </row>
    <row r="248" spans="1:2" x14ac:dyDescent="0.25">
      <c r="A248" s="18">
        <v>54.8</v>
      </c>
      <c r="B248" s="18">
        <v>7.3499999999999999E-6</v>
      </c>
    </row>
    <row r="249" spans="1:2" x14ac:dyDescent="0.25">
      <c r="A249" s="18">
        <v>55</v>
      </c>
      <c r="B249" s="18">
        <v>4.9899999999999997E-6</v>
      </c>
    </row>
    <row r="250" spans="1:2" x14ac:dyDescent="0.25">
      <c r="A250" s="18">
        <v>55.2</v>
      </c>
      <c r="B250" s="18">
        <v>5.1200000000000003E-7</v>
      </c>
    </row>
    <row r="251" spans="1:2" x14ac:dyDescent="0.25">
      <c r="A251" s="18">
        <v>55.4</v>
      </c>
      <c r="B251" s="18">
        <v>4.0400000000000002E-7</v>
      </c>
    </row>
    <row r="252" spans="1:2" x14ac:dyDescent="0.25">
      <c r="A252" s="18">
        <v>55.6</v>
      </c>
      <c r="B252" s="18">
        <v>2.5800000000000001E-7</v>
      </c>
    </row>
    <row r="253" spans="1:2" x14ac:dyDescent="0.25">
      <c r="A253" s="18">
        <v>55.8</v>
      </c>
      <c r="B253" s="18">
        <v>5.5700000000000002E-7</v>
      </c>
    </row>
    <row r="254" spans="1:2" x14ac:dyDescent="0.25">
      <c r="A254" s="18">
        <v>56</v>
      </c>
      <c r="B254" s="18">
        <v>3.6300000000000001E-7</v>
      </c>
    </row>
    <row r="255" spans="1:2" x14ac:dyDescent="0.25">
      <c r="A255" s="18">
        <v>56.2</v>
      </c>
      <c r="B255" s="18">
        <v>4.9299999999999998E-7</v>
      </c>
    </row>
    <row r="256" spans="1:2" x14ac:dyDescent="0.25">
      <c r="A256" s="18">
        <v>56.4</v>
      </c>
      <c r="B256" s="18">
        <v>1.18E-7</v>
      </c>
    </row>
    <row r="257" spans="1:2" x14ac:dyDescent="0.25">
      <c r="A257" s="18">
        <v>56.6</v>
      </c>
      <c r="B257" s="18">
        <v>3.3700000000000001E-7</v>
      </c>
    </row>
    <row r="258" spans="1:2" x14ac:dyDescent="0.25">
      <c r="A258" s="18">
        <v>56.8</v>
      </c>
      <c r="B258" s="18">
        <v>1.08E-7</v>
      </c>
    </row>
    <row r="259" spans="1:2" x14ac:dyDescent="0.25">
      <c r="A259" s="18">
        <v>57</v>
      </c>
      <c r="B259" s="18">
        <v>3.2000000000000001E-7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1:B115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5.5</v>
      </c>
      <c r="B2" s="18">
        <v>1.2899999999999999E-3</v>
      </c>
    </row>
    <row r="3" spans="1:2" x14ac:dyDescent="0.25">
      <c r="A3" s="18">
        <v>6</v>
      </c>
      <c r="B3" s="18">
        <v>1.08E-3</v>
      </c>
    </row>
    <row r="4" spans="1:2" x14ac:dyDescent="0.25">
      <c r="A4" s="18">
        <v>6.5</v>
      </c>
      <c r="B4" s="18">
        <v>1.81E-3</v>
      </c>
    </row>
    <row r="5" spans="1:2" x14ac:dyDescent="0.25">
      <c r="A5" s="18">
        <v>7</v>
      </c>
      <c r="B5" s="18">
        <v>2.8800000000000002E-3</v>
      </c>
    </row>
    <row r="6" spans="1:2" x14ac:dyDescent="0.25">
      <c r="A6" s="18">
        <v>7.5</v>
      </c>
      <c r="B6" s="18">
        <v>6.1000000000000004E-3</v>
      </c>
    </row>
    <row r="7" spans="1:2" x14ac:dyDescent="0.25">
      <c r="A7" s="18">
        <v>8</v>
      </c>
      <c r="B7" s="18">
        <v>2.23E-2</v>
      </c>
    </row>
    <row r="8" spans="1:2" x14ac:dyDescent="0.25">
      <c r="A8" s="18">
        <v>8.5</v>
      </c>
      <c r="B8" s="18">
        <v>0.11799999999999999</v>
      </c>
    </row>
    <row r="9" spans="1:2" x14ac:dyDescent="0.25">
      <c r="A9" s="18">
        <v>9</v>
      </c>
      <c r="B9" s="18">
        <v>1.8700000000000001E-2</v>
      </c>
    </row>
    <row r="10" spans="1:2" x14ac:dyDescent="0.25">
      <c r="A10" s="18">
        <v>9.5</v>
      </c>
      <c r="B10" s="18">
        <v>0.126</v>
      </c>
    </row>
    <row r="11" spans="1:2" x14ac:dyDescent="0.25">
      <c r="A11" s="18">
        <v>10</v>
      </c>
      <c r="B11" s="18">
        <v>0.14499999999999999</v>
      </c>
    </row>
    <row r="12" spans="1:2" x14ac:dyDescent="0.25">
      <c r="A12" s="18">
        <v>10.5</v>
      </c>
      <c r="B12" s="18">
        <v>2.1999999999999999E-2</v>
      </c>
    </row>
    <row r="13" spans="1:2" x14ac:dyDescent="0.25">
      <c r="A13" s="18">
        <v>11</v>
      </c>
      <c r="B13" s="18">
        <v>2.5600000000000001E-2</v>
      </c>
    </row>
    <row r="14" spans="1:2" x14ac:dyDescent="0.25">
      <c r="A14" s="18">
        <v>11.5</v>
      </c>
      <c r="B14" s="18">
        <v>4.5100000000000001E-2</v>
      </c>
    </row>
    <row r="15" spans="1:2" x14ac:dyDescent="0.25">
      <c r="A15" s="18">
        <v>12</v>
      </c>
      <c r="B15" s="18">
        <v>2.24E-2</v>
      </c>
    </row>
    <row r="16" spans="1:2" x14ac:dyDescent="0.25">
      <c r="A16" s="18">
        <v>12.5</v>
      </c>
      <c r="B16" s="18">
        <v>1.7500000000000002E-2</v>
      </c>
    </row>
    <row r="17" spans="1:2" x14ac:dyDescent="0.25">
      <c r="A17" s="18">
        <v>13</v>
      </c>
      <c r="B17" s="18">
        <v>1.78E-2</v>
      </c>
    </row>
    <row r="18" spans="1:2" x14ac:dyDescent="0.25">
      <c r="A18" s="18">
        <v>13.5</v>
      </c>
      <c r="B18" s="18">
        <v>1.7999999999999999E-2</v>
      </c>
    </row>
    <row r="19" spans="1:2" x14ac:dyDescent="0.25">
      <c r="A19" s="18">
        <v>14</v>
      </c>
      <c r="B19" s="18">
        <v>1.8100000000000002E-2</v>
      </c>
    </row>
    <row r="20" spans="1:2" x14ac:dyDescent="0.25">
      <c r="A20" s="18">
        <v>14.5</v>
      </c>
      <c r="B20" s="18">
        <v>1.7999999999999999E-2</v>
      </c>
    </row>
    <row r="21" spans="1:2" x14ac:dyDescent="0.25">
      <c r="A21" s="18">
        <v>15</v>
      </c>
      <c r="B21" s="18">
        <v>1.78E-2</v>
      </c>
    </row>
    <row r="22" spans="1:2" x14ac:dyDescent="0.25">
      <c r="A22" s="18">
        <v>15.5</v>
      </c>
      <c r="B22" s="18">
        <v>1.7299999999999999E-2</v>
      </c>
    </row>
    <row r="23" spans="1:2" x14ac:dyDescent="0.25">
      <c r="A23" s="18">
        <v>16</v>
      </c>
      <c r="B23" s="18">
        <v>1.67E-2</v>
      </c>
    </row>
    <row r="24" spans="1:2" x14ac:dyDescent="0.25">
      <c r="A24" s="18">
        <v>16.5</v>
      </c>
      <c r="B24" s="18">
        <v>1.61E-2</v>
      </c>
    </row>
    <row r="25" spans="1:2" x14ac:dyDescent="0.25">
      <c r="A25" s="18">
        <v>17</v>
      </c>
      <c r="B25" s="18">
        <v>1.55E-2</v>
      </c>
    </row>
    <row r="26" spans="1:2" x14ac:dyDescent="0.25">
      <c r="A26" s="18">
        <v>17.5</v>
      </c>
      <c r="B26" s="18">
        <v>1.47E-2</v>
      </c>
    </row>
    <row r="27" spans="1:2" x14ac:dyDescent="0.25">
      <c r="A27" s="18">
        <v>18</v>
      </c>
      <c r="B27" s="18">
        <v>1.41E-2</v>
      </c>
    </row>
    <row r="28" spans="1:2" x14ac:dyDescent="0.25">
      <c r="A28" s="18">
        <v>18.5</v>
      </c>
      <c r="B28" s="18">
        <v>1.34E-2</v>
      </c>
    </row>
    <row r="29" spans="1:2" x14ac:dyDescent="0.25">
      <c r="A29" s="18">
        <v>19</v>
      </c>
      <c r="B29" s="18">
        <v>1.2699999999999999E-2</v>
      </c>
    </row>
    <row r="30" spans="1:2" x14ac:dyDescent="0.25">
      <c r="A30" s="18">
        <v>19.5</v>
      </c>
      <c r="B30" s="18">
        <v>1.21E-2</v>
      </c>
    </row>
    <row r="31" spans="1:2" x14ac:dyDescent="0.25">
      <c r="A31" s="18">
        <v>20</v>
      </c>
      <c r="B31" s="18">
        <v>1.14E-2</v>
      </c>
    </row>
    <row r="32" spans="1:2" x14ac:dyDescent="0.25">
      <c r="A32" s="18">
        <v>20.5</v>
      </c>
      <c r="B32" s="18">
        <v>1.0699999999999999E-2</v>
      </c>
    </row>
    <row r="33" spans="1:2" x14ac:dyDescent="0.25">
      <c r="A33" s="18">
        <v>21</v>
      </c>
      <c r="B33" s="18">
        <v>1.0200000000000001E-2</v>
      </c>
    </row>
    <row r="34" spans="1:2" x14ac:dyDescent="0.25">
      <c r="A34" s="18">
        <v>21.5</v>
      </c>
      <c r="B34" s="18">
        <v>9.5999999999999992E-3</v>
      </c>
    </row>
    <row r="35" spans="1:2" x14ac:dyDescent="0.25">
      <c r="A35" s="18">
        <v>22</v>
      </c>
      <c r="B35" s="18">
        <v>8.9800000000000001E-3</v>
      </c>
    </row>
    <row r="36" spans="1:2" x14ac:dyDescent="0.25">
      <c r="A36" s="18">
        <v>22.5</v>
      </c>
      <c r="B36" s="18">
        <v>8.4799999999999997E-3</v>
      </c>
    </row>
    <row r="37" spans="1:2" x14ac:dyDescent="0.25">
      <c r="A37" s="18">
        <v>23</v>
      </c>
      <c r="B37" s="18">
        <v>8.0000000000000002E-3</v>
      </c>
    </row>
    <row r="38" spans="1:2" x14ac:dyDescent="0.25">
      <c r="A38" s="18">
        <v>23.5</v>
      </c>
      <c r="B38" s="18">
        <v>7.6099999999999996E-3</v>
      </c>
    </row>
    <row r="39" spans="1:2" x14ac:dyDescent="0.25">
      <c r="A39" s="18">
        <v>24</v>
      </c>
      <c r="B39" s="18">
        <v>7.1500000000000001E-3</v>
      </c>
    </row>
    <row r="40" spans="1:2" x14ac:dyDescent="0.25">
      <c r="A40" s="18">
        <v>24.5</v>
      </c>
      <c r="B40" s="18">
        <v>6.7400000000000003E-3</v>
      </c>
    </row>
    <row r="41" spans="1:2" x14ac:dyDescent="0.25">
      <c r="A41" s="18">
        <v>25</v>
      </c>
      <c r="B41" s="18">
        <v>6.3200000000000001E-3</v>
      </c>
    </row>
    <row r="42" spans="1:2" x14ac:dyDescent="0.25">
      <c r="A42" s="18">
        <v>25.5</v>
      </c>
      <c r="B42" s="18">
        <v>5.94E-3</v>
      </c>
    </row>
    <row r="43" spans="1:2" x14ac:dyDescent="0.25">
      <c r="A43" s="18">
        <v>26</v>
      </c>
      <c r="B43" s="18">
        <v>5.6100000000000004E-3</v>
      </c>
    </row>
    <row r="44" spans="1:2" x14ac:dyDescent="0.25">
      <c r="A44" s="18">
        <v>26.5</v>
      </c>
      <c r="B44" s="18">
        <v>5.3099999999999996E-3</v>
      </c>
    </row>
    <row r="45" spans="1:2" x14ac:dyDescent="0.25">
      <c r="A45" s="18">
        <v>27</v>
      </c>
      <c r="B45" s="18">
        <v>4.96E-3</v>
      </c>
    </row>
    <row r="46" spans="1:2" x14ac:dyDescent="0.25">
      <c r="A46" s="18">
        <v>27.5</v>
      </c>
      <c r="B46" s="18">
        <v>4.7299999999999998E-3</v>
      </c>
    </row>
    <row r="47" spans="1:2" x14ac:dyDescent="0.25">
      <c r="A47" s="18">
        <v>28</v>
      </c>
      <c r="B47" s="18">
        <v>4.4299999999999999E-3</v>
      </c>
    </row>
    <row r="48" spans="1:2" x14ac:dyDescent="0.25">
      <c r="A48" s="18">
        <v>28.5</v>
      </c>
      <c r="B48" s="18">
        <v>4.1599999999999996E-3</v>
      </c>
    </row>
    <row r="49" spans="1:2" x14ac:dyDescent="0.25">
      <c r="A49" s="18">
        <v>29</v>
      </c>
      <c r="B49" s="18">
        <v>3.9399999999999999E-3</v>
      </c>
    </row>
    <row r="50" spans="1:2" x14ac:dyDescent="0.25">
      <c r="A50" s="18">
        <v>29.5</v>
      </c>
      <c r="B50" s="18">
        <v>3.6800000000000001E-3</v>
      </c>
    </row>
    <row r="51" spans="1:2" x14ac:dyDescent="0.25">
      <c r="A51" s="18">
        <v>30</v>
      </c>
      <c r="B51" s="18">
        <v>3.49E-3</v>
      </c>
    </row>
    <row r="52" spans="1:2" x14ac:dyDescent="0.25">
      <c r="A52" s="18">
        <v>30.5</v>
      </c>
      <c r="B52" s="18">
        <v>3.32E-3</v>
      </c>
    </row>
    <row r="53" spans="1:2" x14ac:dyDescent="0.25">
      <c r="A53" s="18">
        <v>31</v>
      </c>
      <c r="B53" s="18">
        <v>3.14E-3</v>
      </c>
    </row>
    <row r="54" spans="1:2" x14ac:dyDescent="0.25">
      <c r="A54" s="18">
        <v>31.5</v>
      </c>
      <c r="B54" s="18">
        <v>2.98E-3</v>
      </c>
    </row>
    <row r="55" spans="1:2" x14ac:dyDescent="0.25">
      <c r="A55" s="18">
        <v>32</v>
      </c>
      <c r="B55" s="18">
        <v>2.8300000000000001E-3</v>
      </c>
    </row>
    <row r="56" spans="1:2" x14ac:dyDescent="0.25">
      <c r="A56" s="18">
        <v>32.5</v>
      </c>
      <c r="B56" s="18">
        <v>2.6700000000000001E-3</v>
      </c>
    </row>
    <row r="57" spans="1:2" x14ac:dyDescent="0.25">
      <c r="A57" s="18">
        <v>33</v>
      </c>
      <c r="B57" s="18">
        <v>2.5300000000000001E-3</v>
      </c>
    </row>
    <row r="58" spans="1:2" x14ac:dyDescent="0.25">
      <c r="A58" s="18">
        <v>33.5</v>
      </c>
      <c r="B58" s="18">
        <v>2.3999999999999998E-3</v>
      </c>
    </row>
    <row r="59" spans="1:2" x14ac:dyDescent="0.25">
      <c r="A59" s="18">
        <v>34</v>
      </c>
      <c r="B59" s="18">
        <v>2.2799999999999999E-3</v>
      </c>
    </row>
    <row r="60" spans="1:2" x14ac:dyDescent="0.25">
      <c r="A60" s="18">
        <v>34.5</v>
      </c>
      <c r="B60" s="18">
        <v>2.1700000000000001E-3</v>
      </c>
    </row>
    <row r="61" spans="1:2" x14ac:dyDescent="0.25">
      <c r="A61" s="18">
        <v>35</v>
      </c>
      <c r="B61" s="18">
        <v>2.0500000000000002E-3</v>
      </c>
    </row>
    <row r="62" spans="1:2" x14ac:dyDescent="0.25">
      <c r="A62" s="18">
        <v>35.5</v>
      </c>
      <c r="B62" s="18">
        <v>1.9400000000000001E-3</v>
      </c>
    </row>
    <row r="63" spans="1:2" x14ac:dyDescent="0.25">
      <c r="A63" s="18">
        <v>36</v>
      </c>
      <c r="B63" s="18">
        <v>1.83E-3</v>
      </c>
    </row>
    <row r="64" spans="1:2" x14ac:dyDescent="0.25">
      <c r="A64" s="18">
        <v>36.5</v>
      </c>
      <c r="B64" s="18">
        <v>1.7600000000000001E-3</v>
      </c>
    </row>
    <row r="65" spans="1:2" x14ac:dyDescent="0.25">
      <c r="A65" s="18">
        <v>37</v>
      </c>
      <c r="B65" s="18">
        <v>1.66E-3</v>
      </c>
    </row>
    <row r="66" spans="1:2" x14ac:dyDescent="0.25">
      <c r="A66" s="18">
        <v>37.5</v>
      </c>
      <c r="B66" s="18">
        <v>1.56E-3</v>
      </c>
    </row>
    <row r="67" spans="1:2" x14ac:dyDescent="0.25">
      <c r="A67" s="18">
        <v>38</v>
      </c>
      <c r="B67" s="18">
        <v>1.5E-3</v>
      </c>
    </row>
    <row r="68" spans="1:2" x14ac:dyDescent="0.25">
      <c r="A68" s="18">
        <v>38.5</v>
      </c>
      <c r="B68" s="18">
        <v>1.42E-3</v>
      </c>
    </row>
    <row r="69" spans="1:2" x14ac:dyDescent="0.25">
      <c r="A69" s="18">
        <v>39</v>
      </c>
      <c r="B69" s="18">
        <v>1.34E-3</v>
      </c>
    </row>
    <row r="70" spans="1:2" x14ac:dyDescent="0.25">
      <c r="A70" s="18">
        <v>39.5</v>
      </c>
      <c r="B70" s="18">
        <v>1.2800000000000001E-3</v>
      </c>
    </row>
    <row r="71" spans="1:2" x14ac:dyDescent="0.25">
      <c r="A71" s="18">
        <v>40</v>
      </c>
      <c r="B71" s="18">
        <v>1.2099999999999999E-3</v>
      </c>
    </row>
    <row r="72" spans="1:2" x14ac:dyDescent="0.25">
      <c r="A72" s="18">
        <v>40.5</v>
      </c>
      <c r="B72" s="18">
        <v>1.16E-3</v>
      </c>
    </row>
    <row r="73" spans="1:2" x14ac:dyDescent="0.25">
      <c r="A73" s="18">
        <v>41</v>
      </c>
      <c r="B73" s="18">
        <v>1.1000000000000001E-3</v>
      </c>
    </row>
    <row r="74" spans="1:2" x14ac:dyDescent="0.25">
      <c r="A74" s="18">
        <v>41.5</v>
      </c>
      <c r="B74" s="18">
        <v>1.0499999999999999E-3</v>
      </c>
    </row>
    <row r="75" spans="1:2" x14ac:dyDescent="0.25">
      <c r="A75" s="18">
        <v>42</v>
      </c>
      <c r="B75" s="18">
        <v>9.9700000000000006E-4</v>
      </c>
    </row>
    <row r="76" spans="1:2" x14ac:dyDescent="0.25">
      <c r="A76" s="18">
        <v>42.5</v>
      </c>
      <c r="B76" s="18">
        <v>9.5600000000000004E-4</v>
      </c>
    </row>
    <row r="77" spans="1:2" x14ac:dyDescent="0.25">
      <c r="A77" s="18">
        <v>43</v>
      </c>
      <c r="B77" s="18">
        <v>9.0600000000000001E-4</v>
      </c>
    </row>
    <row r="78" spans="1:2" x14ac:dyDescent="0.25">
      <c r="A78" s="18">
        <v>43.5</v>
      </c>
      <c r="B78" s="18">
        <v>8.6300000000000005E-4</v>
      </c>
    </row>
    <row r="79" spans="1:2" x14ac:dyDescent="0.25">
      <c r="A79" s="18">
        <v>44</v>
      </c>
      <c r="B79" s="18">
        <v>8.2600000000000002E-4</v>
      </c>
    </row>
    <row r="80" spans="1:2" x14ac:dyDescent="0.25">
      <c r="A80" s="18">
        <v>44.5</v>
      </c>
      <c r="B80" s="18">
        <v>7.8799999999999996E-4</v>
      </c>
    </row>
    <row r="81" spans="1:2" x14ac:dyDescent="0.25">
      <c r="A81" s="18">
        <v>45</v>
      </c>
      <c r="B81" s="18">
        <v>7.5100000000000004E-4</v>
      </c>
    </row>
    <row r="82" spans="1:2" x14ac:dyDescent="0.25">
      <c r="A82" s="18">
        <v>45.5</v>
      </c>
      <c r="B82" s="18">
        <v>7.18E-4</v>
      </c>
    </row>
    <row r="83" spans="1:2" x14ac:dyDescent="0.25">
      <c r="A83" s="18">
        <v>46</v>
      </c>
      <c r="B83" s="18">
        <v>6.7900000000000002E-4</v>
      </c>
    </row>
    <row r="84" spans="1:2" x14ac:dyDescent="0.25">
      <c r="A84" s="18">
        <v>46.5</v>
      </c>
      <c r="B84" s="18">
        <v>6.4099999999999997E-4</v>
      </c>
    </row>
    <row r="85" spans="1:2" x14ac:dyDescent="0.25">
      <c r="A85" s="18">
        <v>47</v>
      </c>
      <c r="B85" s="18">
        <v>6.0499999999999996E-4</v>
      </c>
    </row>
    <row r="86" spans="1:2" x14ac:dyDescent="0.25">
      <c r="A86" s="18">
        <v>47.5</v>
      </c>
      <c r="B86" s="18">
        <v>5.7899999999999998E-4</v>
      </c>
    </row>
    <row r="87" spans="1:2" x14ac:dyDescent="0.25">
      <c r="A87" s="18">
        <v>48</v>
      </c>
      <c r="B87" s="18">
        <v>5.5099999999999995E-4</v>
      </c>
    </row>
    <row r="88" spans="1:2" x14ac:dyDescent="0.25">
      <c r="A88" s="18">
        <v>48.5</v>
      </c>
      <c r="B88" s="18">
        <v>5.1599999999999997E-4</v>
      </c>
    </row>
    <row r="89" spans="1:2" x14ac:dyDescent="0.25">
      <c r="A89" s="18">
        <v>49</v>
      </c>
      <c r="B89" s="18">
        <v>4.8799999999999999E-4</v>
      </c>
    </row>
    <row r="90" spans="1:2" x14ac:dyDescent="0.25">
      <c r="A90" s="18">
        <v>49.5</v>
      </c>
      <c r="B90" s="18">
        <v>4.6799999999999999E-4</v>
      </c>
    </row>
    <row r="91" spans="1:2" x14ac:dyDescent="0.25">
      <c r="A91" s="18">
        <v>50</v>
      </c>
      <c r="B91" s="18">
        <v>4.3399999999999998E-4</v>
      </c>
    </row>
    <row r="92" spans="1:2" x14ac:dyDescent="0.25">
      <c r="A92" s="18">
        <v>50.5</v>
      </c>
      <c r="B92" s="18">
        <v>4.06E-4</v>
      </c>
    </row>
    <row r="93" spans="1:2" x14ac:dyDescent="0.25">
      <c r="A93" s="18">
        <v>51</v>
      </c>
      <c r="B93" s="18">
        <v>3.9300000000000001E-4</v>
      </c>
    </row>
    <row r="94" spans="1:2" x14ac:dyDescent="0.25">
      <c r="A94" s="18">
        <v>51.5</v>
      </c>
      <c r="B94" s="18">
        <v>3.6400000000000001E-4</v>
      </c>
    </row>
    <row r="95" spans="1:2" x14ac:dyDescent="0.25">
      <c r="A95" s="18">
        <v>52</v>
      </c>
      <c r="B95" s="18">
        <v>3.4200000000000002E-4</v>
      </c>
    </row>
    <row r="96" spans="1:2" x14ac:dyDescent="0.25">
      <c r="A96" s="18">
        <v>52.5</v>
      </c>
      <c r="B96" s="18">
        <v>3.2000000000000003E-4</v>
      </c>
    </row>
    <row r="97" spans="1:2" x14ac:dyDescent="0.25">
      <c r="A97" s="18">
        <v>53</v>
      </c>
      <c r="B97" s="18">
        <v>2.99E-4</v>
      </c>
    </row>
    <row r="98" spans="1:2" x14ac:dyDescent="0.25">
      <c r="A98" s="18">
        <v>53.5</v>
      </c>
      <c r="B98" s="18">
        <v>2.7799999999999998E-4</v>
      </c>
    </row>
    <row r="99" spans="1:2" x14ac:dyDescent="0.25">
      <c r="A99" s="18">
        <v>54</v>
      </c>
      <c r="B99" s="18">
        <v>2.5999999999999998E-4</v>
      </c>
    </row>
    <row r="100" spans="1:2" x14ac:dyDescent="0.25">
      <c r="A100" s="18">
        <v>54.5</v>
      </c>
      <c r="B100" s="18">
        <v>2.4399999999999999E-4</v>
      </c>
    </row>
    <row r="101" spans="1:2" x14ac:dyDescent="0.25">
      <c r="A101" s="18">
        <v>55</v>
      </c>
      <c r="B101" s="18">
        <v>2.24E-4</v>
      </c>
    </row>
    <row r="102" spans="1:2" x14ac:dyDescent="0.25">
      <c r="A102" s="18">
        <v>55.5</v>
      </c>
      <c r="B102" s="18">
        <v>2.0000000000000001E-4</v>
      </c>
    </row>
    <row r="103" spans="1:2" x14ac:dyDescent="0.25">
      <c r="A103" s="18">
        <v>56</v>
      </c>
      <c r="B103" s="18">
        <v>1.75E-4</v>
      </c>
    </row>
    <row r="104" spans="1:2" x14ac:dyDescent="0.25">
      <c r="A104" s="18">
        <v>56.5</v>
      </c>
      <c r="B104" s="18">
        <v>1.6200000000000001E-4</v>
      </c>
    </row>
    <row r="105" spans="1:2" x14ac:dyDescent="0.25">
      <c r="A105" s="18">
        <v>57</v>
      </c>
      <c r="B105" s="18">
        <v>1.4200000000000001E-4</v>
      </c>
    </row>
    <row r="106" spans="1:2" x14ac:dyDescent="0.25">
      <c r="A106" s="18">
        <v>57.5</v>
      </c>
      <c r="B106" s="18">
        <v>1.2E-4</v>
      </c>
    </row>
    <row r="107" spans="1:2" x14ac:dyDescent="0.25">
      <c r="A107" s="18">
        <v>58</v>
      </c>
      <c r="B107" s="18">
        <v>9.9500000000000006E-5</v>
      </c>
    </row>
    <row r="108" spans="1:2" x14ac:dyDescent="0.25">
      <c r="A108" s="18">
        <v>58.5</v>
      </c>
      <c r="B108" s="18">
        <v>8.1000000000000004E-5</v>
      </c>
    </row>
    <row r="109" spans="1:2" x14ac:dyDescent="0.25">
      <c r="A109" s="18">
        <v>59</v>
      </c>
      <c r="B109" s="18">
        <v>5.7500000000000002E-5</v>
      </c>
    </row>
    <row r="110" spans="1:2" x14ac:dyDescent="0.25">
      <c r="A110" s="18">
        <v>59.5</v>
      </c>
      <c r="B110" s="18">
        <v>3.4600000000000001E-5</v>
      </c>
    </row>
    <row r="111" spans="1:2" x14ac:dyDescent="0.25">
      <c r="A111" s="18">
        <v>60</v>
      </c>
      <c r="B111" s="18">
        <v>1.01E-5</v>
      </c>
    </row>
    <row r="112" spans="1:2" x14ac:dyDescent="0.25">
      <c r="A112" s="18">
        <v>60.5</v>
      </c>
      <c r="B112" s="18">
        <v>3.4900000000000001E-7</v>
      </c>
    </row>
    <row r="113" spans="1:2" x14ac:dyDescent="0.25">
      <c r="A113" s="18">
        <v>61</v>
      </c>
      <c r="B113" s="18">
        <v>3.6199999999999999E-7</v>
      </c>
    </row>
    <row r="114" spans="1:2" x14ac:dyDescent="0.25">
      <c r="A114" s="18">
        <v>61.5</v>
      </c>
      <c r="B114" s="18">
        <v>3.39E-7</v>
      </c>
    </row>
    <row r="115" spans="1:2" x14ac:dyDescent="0.25">
      <c r="A115" s="18">
        <v>62</v>
      </c>
      <c r="B115" s="18">
        <v>3.1100000000000002E-7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1:B135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5.5</v>
      </c>
      <c r="B2" s="18">
        <v>1.1999999999999999E-3</v>
      </c>
    </row>
    <row r="3" spans="1:2" x14ac:dyDescent="0.25">
      <c r="A3" s="18">
        <v>6</v>
      </c>
      <c r="B3" s="18">
        <v>1.2899999999999999E-3</v>
      </c>
    </row>
    <row r="4" spans="1:2" x14ac:dyDescent="0.25">
      <c r="A4" s="18">
        <v>6.5</v>
      </c>
      <c r="B4" s="18">
        <v>1.81E-3</v>
      </c>
    </row>
    <row r="5" spans="1:2" x14ac:dyDescent="0.25">
      <c r="A5" s="18">
        <v>7</v>
      </c>
      <c r="B5" s="18">
        <v>2.7599999999999999E-3</v>
      </c>
    </row>
    <row r="6" spans="1:2" x14ac:dyDescent="0.25">
      <c r="A6" s="18">
        <v>7.5</v>
      </c>
      <c r="B6" s="18">
        <v>5.1000000000000004E-3</v>
      </c>
    </row>
    <row r="7" spans="1:2" x14ac:dyDescent="0.25">
      <c r="A7" s="18">
        <v>8</v>
      </c>
      <c r="B7" s="18">
        <v>2.12E-2</v>
      </c>
    </row>
    <row r="8" spans="1:2" x14ac:dyDescent="0.25">
      <c r="A8" s="18">
        <v>8.5</v>
      </c>
      <c r="B8" s="18">
        <v>0.113</v>
      </c>
    </row>
    <row r="9" spans="1:2" x14ac:dyDescent="0.25">
      <c r="A9" s="18">
        <v>9</v>
      </c>
      <c r="B9" s="18">
        <v>1.7500000000000002E-2</v>
      </c>
    </row>
    <row r="10" spans="1:2" x14ac:dyDescent="0.25">
      <c r="A10" s="18">
        <v>9.5</v>
      </c>
      <c r="B10" s="18">
        <v>0.127</v>
      </c>
    </row>
    <row r="11" spans="1:2" x14ac:dyDescent="0.25">
      <c r="A11" s="18">
        <v>10</v>
      </c>
      <c r="B11" s="18">
        <v>0.14499999999999999</v>
      </c>
    </row>
    <row r="12" spans="1:2" x14ac:dyDescent="0.25">
      <c r="A12" s="18">
        <v>10.5</v>
      </c>
      <c r="B12" s="18">
        <v>2.0400000000000001E-2</v>
      </c>
    </row>
    <row r="13" spans="1:2" x14ac:dyDescent="0.25">
      <c r="A13" s="18">
        <v>11</v>
      </c>
      <c r="B13" s="18">
        <v>2.3800000000000002E-2</v>
      </c>
    </row>
    <row r="14" spans="1:2" x14ac:dyDescent="0.25">
      <c r="A14" s="18">
        <v>11.5</v>
      </c>
      <c r="B14" s="18">
        <v>4.2799999999999998E-2</v>
      </c>
    </row>
    <row r="15" spans="1:2" x14ac:dyDescent="0.25">
      <c r="A15" s="18">
        <v>12</v>
      </c>
      <c r="B15" s="18">
        <v>2.0500000000000001E-2</v>
      </c>
    </row>
    <row r="16" spans="1:2" x14ac:dyDescent="0.25">
      <c r="A16" s="18">
        <v>12.5</v>
      </c>
      <c r="B16" s="18">
        <v>1.5800000000000002E-2</v>
      </c>
    </row>
    <row r="17" spans="1:2" x14ac:dyDescent="0.25">
      <c r="A17" s="18">
        <v>13</v>
      </c>
      <c r="B17" s="18">
        <v>1.6199999999999999E-2</v>
      </c>
    </row>
    <row r="18" spans="1:2" x14ac:dyDescent="0.25">
      <c r="A18" s="18">
        <v>13.5</v>
      </c>
      <c r="B18" s="18">
        <v>1.6500000000000001E-2</v>
      </c>
    </row>
    <row r="19" spans="1:2" x14ac:dyDescent="0.25">
      <c r="A19" s="18">
        <v>14</v>
      </c>
      <c r="B19" s="18">
        <v>1.6799999999999999E-2</v>
      </c>
    </row>
    <row r="20" spans="1:2" x14ac:dyDescent="0.25">
      <c r="A20" s="18">
        <v>14.5</v>
      </c>
      <c r="B20" s="18">
        <v>1.6799999999999999E-2</v>
      </c>
    </row>
    <row r="21" spans="1:2" x14ac:dyDescent="0.25">
      <c r="A21" s="18">
        <v>15</v>
      </c>
      <c r="B21" s="18">
        <v>1.6799999999999999E-2</v>
      </c>
    </row>
    <row r="22" spans="1:2" x14ac:dyDescent="0.25">
      <c r="A22" s="18">
        <v>15.5</v>
      </c>
      <c r="B22" s="18">
        <v>1.6400000000000001E-2</v>
      </c>
    </row>
    <row r="23" spans="1:2" x14ac:dyDescent="0.25">
      <c r="A23" s="18">
        <v>16</v>
      </c>
      <c r="B23" s="18">
        <v>1.6E-2</v>
      </c>
    </row>
    <row r="24" spans="1:2" x14ac:dyDescent="0.25">
      <c r="A24" s="18">
        <v>16.5</v>
      </c>
      <c r="B24" s="18">
        <v>1.5599999999999999E-2</v>
      </c>
    </row>
    <row r="25" spans="1:2" x14ac:dyDescent="0.25">
      <c r="A25" s="18">
        <v>17</v>
      </c>
      <c r="B25" s="18">
        <v>1.5100000000000001E-2</v>
      </c>
    </row>
    <row r="26" spans="1:2" x14ac:dyDescent="0.25">
      <c r="A26" s="18">
        <v>17.5</v>
      </c>
      <c r="B26" s="18">
        <v>1.4500000000000001E-2</v>
      </c>
    </row>
    <row r="27" spans="1:2" x14ac:dyDescent="0.25">
      <c r="A27" s="18">
        <v>18</v>
      </c>
      <c r="B27" s="18">
        <v>1.4E-2</v>
      </c>
    </row>
    <row r="28" spans="1:2" x14ac:dyDescent="0.25">
      <c r="A28" s="18">
        <v>18.5</v>
      </c>
      <c r="B28" s="18">
        <v>1.34E-2</v>
      </c>
    </row>
    <row r="29" spans="1:2" x14ac:dyDescent="0.25">
      <c r="A29" s="18">
        <v>19</v>
      </c>
      <c r="B29" s="18">
        <v>1.26E-2</v>
      </c>
    </row>
    <row r="30" spans="1:2" x14ac:dyDescent="0.25">
      <c r="A30" s="18">
        <v>19.5</v>
      </c>
      <c r="B30" s="18">
        <v>1.21E-2</v>
      </c>
    </row>
    <row r="31" spans="1:2" x14ac:dyDescent="0.25">
      <c r="A31" s="18">
        <v>20</v>
      </c>
      <c r="B31" s="18">
        <v>1.15E-2</v>
      </c>
    </row>
    <row r="32" spans="1:2" x14ac:dyDescent="0.25">
      <c r="A32" s="18">
        <v>20.5</v>
      </c>
      <c r="B32" s="18">
        <v>1.09E-2</v>
      </c>
    </row>
    <row r="33" spans="1:2" x14ac:dyDescent="0.25">
      <c r="A33" s="18">
        <v>21</v>
      </c>
      <c r="B33" s="18">
        <v>1.03E-2</v>
      </c>
    </row>
    <row r="34" spans="1:2" x14ac:dyDescent="0.25">
      <c r="A34" s="18">
        <v>21.5</v>
      </c>
      <c r="B34" s="18">
        <v>9.8600000000000007E-3</v>
      </c>
    </row>
    <row r="35" spans="1:2" x14ac:dyDescent="0.25">
      <c r="A35" s="18">
        <v>22</v>
      </c>
      <c r="B35" s="18">
        <v>9.3399999999999993E-3</v>
      </c>
    </row>
    <row r="36" spans="1:2" x14ac:dyDescent="0.25">
      <c r="A36" s="18">
        <v>22.5</v>
      </c>
      <c r="B36" s="18">
        <v>8.8599999999999998E-3</v>
      </c>
    </row>
    <row r="37" spans="1:2" x14ac:dyDescent="0.25">
      <c r="A37" s="18">
        <v>23</v>
      </c>
      <c r="B37" s="18">
        <v>8.3300000000000006E-3</v>
      </c>
    </row>
    <row r="38" spans="1:2" x14ac:dyDescent="0.25">
      <c r="A38" s="18">
        <v>23.5</v>
      </c>
      <c r="B38" s="18">
        <v>7.9600000000000001E-3</v>
      </c>
    </row>
    <row r="39" spans="1:2" x14ac:dyDescent="0.25">
      <c r="A39" s="18">
        <v>24</v>
      </c>
      <c r="B39" s="18">
        <v>7.5100000000000002E-3</v>
      </c>
    </row>
    <row r="40" spans="1:2" x14ac:dyDescent="0.25">
      <c r="A40" s="18">
        <v>24.5</v>
      </c>
      <c r="B40" s="18">
        <v>7.0899999999999999E-3</v>
      </c>
    </row>
    <row r="41" spans="1:2" x14ac:dyDescent="0.25">
      <c r="A41" s="18">
        <v>25</v>
      </c>
      <c r="B41" s="18">
        <v>6.7200000000000003E-3</v>
      </c>
    </row>
    <row r="42" spans="1:2" x14ac:dyDescent="0.25">
      <c r="A42" s="18">
        <v>25.5</v>
      </c>
      <c r="B42" s="18">
        <v>6.3400000000000001E-3</v>
      </c>
    </row>
    <row r="43" spans="1:2" x14ac:dyDescent="0.25">
      <c r="A43" s="18">
        <v>26</v>
      </c>
      <c r="B43" s="18">
        <v>6.0099999999999997E-3</v>
      </c>
    </row>
    <row r="44" spans="1:2" x14ac:dyDescent="0.25">
      <c r="A44" s="18">
        <v>26.5</v>
      </c>
      <c r="B44" s="18">
        <v>5.6499999999999996E-3</v>
      </c>
    </row>
    <row r="45" spans="1:2" x14ac:dyDescent="0.25">
      <c r="A45" s="18">
        <v>27</v>
      </c>
      <c r="B45" s="18">
        <v>5.3800000000000002E-3</v>
      </c>
    </row>
    <row r="46" spans="1:2" x14ac:dyDescent="0.25">
      <c r="A46" s="18">
        <v>27.5</v>
      </c>
      <c r="B46" s="18">
        <v>5.0800000000000003E-3</v>
      </c>
    </row>
    <row r="47" spans="1:2" x14ac:dyDescent="0.25">
      <c r="A47" s="18">
        <v>28</v>
      </c>
      <c r="B47" s="18">
        <v>4.8199999999999996E-3</v>
      </c>
    </row>
    <row r="48" spans="1:2" x14ac:dyDescent="0.25">
      <c r="A48" s="18">
        <v>28.5</v>
      </c>
      <c r="B48" s="18">
        <v>4.5199999999999997E-3</v>
      </c>
    </row>
    <row r="49" spans="1:2" x14ac:dyDescent="0.25">
      <c r="A49" s="18">
        <v>29</v>
      </c>
      <c r="B49" s="18">
        <v>4.2900000000000004E-3</v>
      </c>
    </row>
    <row r="50" spans="1:2" x14ac:dyDescent="0.25">
      <c r="A50" s="18">
        <v>29.5</v>
      </c>
      <c r="B50" s="18">
        <v>4.0800000000000003E-3</v>
      </c>
    </row>
    <row r="51" spans="1:2" x14ac:dyDescent="0.25">
      <c r="A51" s="18">
        <v>30</v>
      </c>
      <c r="B51" s="18">
        <v>3.8400000000000001E-3</v>
      </c>
    </row>
    <row r="52" spans="1:2" x14ac:dyDescent="0.25">
      <c r="A52" s="18">
        <v>30.5</v>
      </c>
      <c r="B52" s="18">
        <v>3.65E-3</v>
      </c>
    </row>
    <row r="53" spans="1:2" x14ac:dyDescent="0.25">
      <c r="A53" s="18">
        <v>31</v>
      </c>
      <c r="B53" s="18">
        <v>3.5000000000000001E-3</v>
      </c>
    </row>
    <row r="54" spans="1:2" x14ac:dyDescent="0.25">
      <c r="A54" s="18">
        <v>31.5</v>
      </c>
      <c r="B54" s="18">
        <v>3.3400000000000001E-3</v>
      </c>
    </row>
    <row r="55" spans="1:2" x14ac:dyDescent="0.25">
      <c r="A55" s="18">
        <v>32</v>
      </c>
      <c r="B55" s="18">
        <v>3.16E-3</v>
      </c>
    </row>
    <row r="56" spans="1:2" x14ac:dyDescent="0.25">
      <c r="A56" s="18">
        <v>32.5</v>
      </c>
      <c r="B56" s="18">
        <v>3.0100000000000001E-3</v>
      </c>
    </row>
    <row r="57" spans="1:2" x14ac:dyDescent="0.25">
      <c r="A57" s="18">
        <v>33</v>
      </c>
      <c r="B57" s="18">
        <v>2.8700000000000002E-3</v>
      </c>
    </row>
    <row r="58" spans="1:2" x14ac:dyDescent="0.25">
      <c r="A58" s="18">
        <v>33.5</v>
      </c>
      <c r="B58" s="18">
        <v>2.7499999999999998E-3</v>
      </c>
    </row>
    <row r="59" spans="1:2" x14ac:dyDescent="0.25">
      <c r="A59" s="18">
        <v>34</v>
      </c>
      <c r="B59" s="18">
        <v>2.6099999999999999E-3</v>
      </c>
    </row>
    <row r="60" spans="1:2" x14ac:dyDescent="0.25">
      <c r="A60" s="18">
        <v>34.5</v>
      </c>
      <c r="B60" s="18">
        <v>2.47E-3</v>
      </c>
    </row>
    <row r="61" spans="1:2" x14ac:dyDescent="0.25">
      <c r="A61" s="18">
        <v>35</v>
      </c>
      <c r="B61" s="18">
        <v>2.3600000000000001E-3</v>
      </c>
    </row>
    <row r="62" spans="1:2" x14ac:dyDescent="0.25">
      <c r="A62" s="18">
        <v>35.5</v>
      </c>
      <c r="B62" s="18">
        <v>2.2399999999999998E-3</v>
      </c>
    </row>
    <row r="63" spans="1:2" x14ac:dyDescent="0.25">
      <c r="A63" s="18">
        <v>36</v>
      </c>
      <c r="B63" s="18">
        <v>2.15E-3</v>
      </c>
    </row>
    <row r="64" spans="1:2" x14ac:dyDescent="0.25">
      <c r="A64" s="18">
        <v>36.5</v>
      </c>
      <c r="B64" s="18">
        <v>2.0300000000000001E-3</v>
      </c>
    </row>
    <row r="65" spans="1:2" x14ac:dyDescent="0.25">
      <c r="A65" s="18">
        <v>37</v>
      </c>
      <c r="B65" s="18">
        <v>1.9499999999999999E-3</v>
      </c>
    </row>
    <row r="66" spans="1:2" x14ac:dyDescent="0.25">
      <c r="A66" s="18">
        <v>37.5</v>
      </c>
      <c r="B66" s="18">
        <v>1.8600000000000001E-3</v>
      </c>
    </row>
    <row r="67" spans="1:2" x14ac:dyDescent="0.25">
      <c r="A67" s="18">
        <v>38</v>
      </c>
      <c r="B67" s="18">
        <v>1.7899999999999999E-3</v>
      </c>
    </row>
    <row r="68" spans="1:2" x14ac:dyDescent="0.25">
      <c r="A68" s="18">
        <v>38.5</v>
      </c>
      <c r="B68" s="18">
        <v>1.6900000000000001E-3</v>
      </c>
    </row>
    <row r="69" spans="1:2" x14ac:dyDescent="0.25">
      <c r="A69" s="18">
        <v>39</v>
      </c>
      <c r="B69" s="18">
        <v>1.6199999999999999E-3</v>
      </c>
    </row>
    <row r="70" spans="1:2" x14ac:dyDescent="0.25">
      <c r="A70" s="18">
        <v>39.5</v>
      </c>
      <c r="B70" s="18">
        <v>1.5499999999999999E-3</v>
      </c>
    </row>
    <row r="71" spans="1:2" x14ac:dyDescent="0.25">
      <c r="A71" s="18">
        <v>40</v>
      </c>
      <c r="B71" s="18">
        <v>1.47E-3</v>
      </c>
    </row>
    <row r="72" spans="1:2" x14ac:dyDescent="0.25">
      <c r="A72" s="18">
        <v>40.5</v>
      </c>
      <c r="B72" s="18">
        <v>1.4E-3</v>
      </c>
    </row>
    <row r="73" spans="1:2" x14ac:dyDescent="0.25">
      <c r="A73" s="18">
        <v>41</v>
      </c>
      <c r="B73" s="18">
        <v>1.3600000000000001E-3</v>
      </c>
    </row>
    <row r="74" spans="1:2" x14ac:dyDescent="0.25">
      <c r="A74" s="18">
        <v>41.5</v>
      </c>
      <c r="B74" s="18">
        <v>1.2999999999999999E-3</v>
      </c>
    </row>
    <row r="75" spans="1:2" x14ac:dyDescent="0.25">
      <c r="A75" s="18">
        <v>42</v>
      </c>
      <c r="B75" s="18">
        <v>1.2600000000000001E-3</v>
      </c>
    </row>
    <row r="76" spans="1:2" x14ac:dyDescent="0.25">
      <c r="A76" s="18">
        <v>42.5</v>
      </c>
      <c r="B76" s="18">
        <v>1.1999999999999999E-3</v>
      </c>
    </row>
    <row r="77" spans="1:2" x14ac:dyDescent="0.25">
      <c r="A77" s="18">
        <v>43</v>
      </c>
      <c r="B77" s="18">
        <v>1.16E-3</v>
      </c>
    </row>
    <row r="78" spans="1:2" x14ac:dyDescent="0.25">
      <c r="A78" s="18">
        <v>43.5</v>
      </c>
      <c r="B78" s="18">
        <v>1.1199999999999999E-3</v>
      </c>
    </row>
    <row r="79" spans="1:2" x14ac:dyDescent="0.25">
      <c r="A79" s="18">
        <v>44</v>
      </c>
      <c r="B79" s="18">
        <v>1.08E-3</v>
      </c>
    </row>
    <row r="80" spans="1:2" x14ac:dyDescent="0.25">
      <c r="A80" s="18">
        <v>44.5</v>
      </c>
      <c r="B80" s="18">
        <v>1.0300000000000001E-3</v>
      </c>
    </row>
    <row r="81" spans="1:2" x14ac:dyDescent="0.25">
      <c r="A81" s="18">
        <v>45</v>
      </c>
      <c r="B81" s="18">
        <v>1.01E-3</v>
      </c>
    </row>
    <row r="82" spans="1:2" x14ac:dyDescent="0.25">
      <c r="A82" s="18">
        <v>45.5</v>
      </c>
      <c r="B82" s="18">
        <v>9.4300000000000004E-4</v>
      </c>
    </row>
    <row r="83" spans="1:2" x14ac:dyDescent="0.25">
      <c r="A83" s="18">
        <v>46</v>
      </c>
      <c r="B83" s="18">
        <v>9.0600000000000001E-4</v>
      </c>
    </row>
    <row r="84" spans="1:2" x14ac:dyDescent="0.25">
      <c r="A84" s="18">
        <v>46.5</v>
      </c>
      <c r="B84" s="18">
        <v>8.8400000000000002E-4</v>
      </c>
    </row>
    <row r="85" spans="1:2" x14ac:dyDescent="0.25">
      <c r="A85" s="18">
        <v>47</v>
      </c>
      <c r="B85" s="18">
        <v>8.4199999999999998E-4</v>
      </c>
    </row>
    <row r="86" spans="1:2" x14ac:dyDescent="0.25">
      <c r="A86" s="18">
        <v>47.5</v>
      </c>
      <c r="B86" s="18">
        <v>8.0900000000000004E-4</v>
      </c>
    </row>
    <row r="87" spans="1:2" x14ac:dyDescent="0.25">
      <c r="A87" s="18">
        <v>48</v>
      </c>
      <c r="B87" s="18">
        <v>7.7399999999999995E-4</v>
      </c>
    </row>
    <row r="88" spans="1:2" x14ac:dyDescent="0.25">
      <c r="A88" s="18">
        <v>48.5</v>
      </c>
      <c r="B88" s="18">
        <v>7.3899999999999997E-4</v>
      </c>
    </row>
    <row r="89" spans="1:2" x14ac:dyDescent="0.25">
      <c r="A89" s="18">
        <v>49</v>
      </c>
      <c r="B89" s="18">
        <v>7.0500000000000001E-4</v>
      </c>
    </row>
    <row r="90" spans="1:2" x14ac:dyDescent="0.25">
      <c r="A90" s="18">
        <v>49.5</v>
      </c>
      <c r="B90" s="18">
        <v>6.8099999999999996E-4</v>
      </c>
    </row>
    <row r="91" spans="1:2" x14ac:dyDescent="0.25">
      <c r="A91" s="18">
        <v>50</v>
      </c>
      <c r="B91" s="18">
        <v>6.6100000000000002E-4</v>
      </c>
    </row>
    <row r="92" spans="1:2" x14ac:dyDescent="0.25">
      <c r="A92" s="18">
        <v>50.5</v>
      </c>
      <c r="B92" s="18">
        <v>6.3100000000000005E-4</v>
      </c>
    </row>
    <row r="93" spans="1:2" x14ac:dyDescent="0.25">
      <c r="A93" s="18">
        <v>51</v>
      </c>
      <c r="B93" s="18">
        <v>6.11E-4</v>
      </c>
    </row>
    <row r="94" spans="1:2" x14ac:dyDescent="0.25">
      <c r="A94" s="18">
        <v>51.5</v>
      </c>
      <c r="B94" s="18">
        <v>5.8399999999999999E-4</v>
      </c>
    </row>
    <row r="95" spans="1:2" x14ac:dyDescent="0.25">
      <c r="A95" s="18">
        <v>52</v>
      </c>
      <c r="B95" s="18">
        <v>5.6700000000000001E-4</v>
      </c>
    </row>
    <row r="96" spans="1:2" x14ac:dyDescent="0.25">
      <c r="A96" s="18">
        <v>52.5</v>
      </c>
      <c r="B96" s="18">
        <v>5.4500000000000002E-4</v>
      </c>
    </row>
    <row r="97" spans="1:2" x14ac:dyDescent="0.25">
      <c r="A97" s="18">
        <v>53</v>
      </c>
      <c r="B97" s="18">
        <v>5.2800000000000004E-4</v>
      </c>
    </row>
    <row r="98" spans="1:2" x14ac:dyDescent="0.25">
      <c r="A98" s="18">
        <v>53.5</v>
      </c>
      <c r="B98" s="18">
        <v>5.0799999999999999E-4</v>
      </c>
    </row>
    <row r="99" spans="1:2" x14ac:dyDescent="0.25">
      <c r="A99" s="18">
        <v>54</v>
      </c>
      <c r="B99" s="18">
        <v>4.8999999999999998E-4</v>
      </c>
    </row>
    <row r="100" spans="1:2" x14ac:dyDescent="0.25">
      <c r="A100" s="18">
        <v>54.5</v>
      </c>
      <c r="B100" s="18">
        <v>4.6700000000000002E-4</v>
      </c>
    </row>
    <row r="101" spans="1:2" x14ac:dyDescent="0.25">
      <c r="A101" s="18">
        <v>55</v>
      </c>
      <c r="B101" s="18">
        <v>4.5199999999999998E-4</v>
      </c>
    </row>
    <row r="102" spans="1:2" x14ac:dyDescent="0.25">
      <c r="A102" s="18">
        <v>55.5</v>
      </c>
      <c r="B102" s="18">
        <v>4.3300000000000001E-4</v>
      </c>
    </row>
    <row r="103" spans="1:2" x14ac:dyDescent="0.25">
      <c r="A103" s="18">
        <v>56</v>
      </c>
      <c r="B103" s="18">
        <v>4.1100000000000002E-4</v>
      </c>
    </row>
    <row r="104" spans="1:2" x14ac:dyDescent="0.25">
      <c r="A104" s="18">
        <v>56.5</v>
      </c>
      <c r="B104" s="18">
        <v>3.9399999999999998E-4</v>
      </c>
    </row>
    <row r="105" spans="1:2" x14ac:dyDescent="0.25">
      <c r="A105" s="18">
        <v>57</v>
      </c>
      <c r="B105" s="18">
        <v>3.77E-4</v>
      </c>
    </row>
    <row r="106" spans="1:2" x14ac:dyDescent="0.25">
      <c r="A106" s="18">
        <v>57.5</v>
      </c>
      <c r="B106" s="18">
        <v>3.6499999999999998E-4</v>
      </c>
    </row>
    <row r="107" spans="1:2" x14ac:dyDescent="0.25">
      <c r="A107" s="18">
        <v>58</v>
      </c>
      <c r="B107" s="18">
        <v>3.48E-4</v>
      </c>
    </row>
    <row r="108" spans="1:2" x14ac:dyDescent="0.25">
      <c r="A108" s="18">
        <v>58.5</v>
      </c>
      <c r="B108" s="18">
        <v>3.3199999999999999E-4</v>
      </c>
    </row>
    <row r="109" spans="1:2" x14ac:dyDescent="0.25">
      <c r="A109" s="18">
        <v>59</v>
      </c>
      <c r="B109" s="18">
        <v>3.2000000000000003E-4</v>
      </c>
    </row>
    <row r="110" spans="1:2" x14ac:dyDescent="0.25">
      <c r="A110" s="18">
        <v>59.5</v>
      </c>
      <c r="B110" s="18">
        <v>3.0299999999999999E-4</v>
      </c>
    </row>
    <row r="111" spans="1:2" x14ac:dyDescent="0.25">
      <c r="A111" s="18">
        <v>60</v>
      </c>
      <c r="B111" s="18">
        <v>2.8499999999999999E-4</v>
      </c>
    </row>
    <row r="112" spans="1:2" x14ac:dyDescent="0.25">
      <c r="A112" s="18">
        <v>60.5</v>
      </c>
      <c r="B112" s="18">
        <v>2.72E-4</v>
      </c>
    </row>
    <row r="113" spans="1:2" x14ac:dyDescent="0.25">
      <c r="A113" s="18">
        <v>61</v>
      </c>
      <c r="B113" s="18">
        <v>2.5900000000000001E-4</v>
      </c>
    </row>
    <row r="114" spans="1:2" x14ac:dyDescent="0.25">
      <c r="A114" s="18">
        <v>61.5</v>
      </c>
      <c r="B114" s="18">
        <v>2.5099999999999998E-4</v>
      </c>
    </row>
    <row r="115" spans="1:2" x14ac:dyDescent="0.25">
      <c r="A115" s="18">
        <v>62</v>
      </c>
      <c r="B115" s="18">
        <v>2.3599999999999999E-4</v>
      </c>
    </row>
    <row r="116" spans="1:2" x14ac:dyDescent="0.25">
      <c r="A116" s="18">
        <v>62.5</v>
      </c>
      <c r="B116" s="18">
        <v>2.2000000000000001E-4</v>
      </c>
    </row>
    <row r="117" spans="1:2" x14ac:dyDescent="0.25">
      <c r="A117" s="18">
        <v>63</v>
      </c>
      <c r="B117" s="18">
        <v>2.1000000000000001E-4</v>
      </c>
    </row>
    <row r="118" spans="1:2" x14ac:dyDescent="0.25">
      <c r="A118" s="18">
        <v>63.5</v>
      </c>
      <c r="B118" s="18">
        <v>1.95E-4</v>
      </c>
    </row>
    <row r="119" spans="1:2" x14ac:dyDescent="0.25">
      <c r="A119" s="18">
        <v>64</v>
      </c>
      <c r="B119" s="18">
        <v>1.8100000000000001E-4</v>
      </c>
    </row>
    <row r="120" spans="1:2" x14ac:dyDescent="0.25">
      <c r="A120" s="18">
        <v>64.5</v>
      </c>
      <c r="B120" s="18">
        <v>1.7100000000000001E-4</v>
      </c>
    </row>
    <row r="121" spans="1:2" x14ac:dyDescent="0.25">
      <c r="A121" s="18">
        <v>65</v>
      </c>
      <c r="B121" s="18">
        <v>1.55E-4</v>
      </c>
    </row>
    <row r="122" spans="1:2" x14ac:dyDescent="0.25">
      <c r="A122" s="18">
        <v>65.5</v>
      </c>
      <c r="B122" s="18">
        <v>1.4300000000000001E-4</v>
      </c>
    </row>
    <row r="123" spans="1:2" x14ac:dyDescent="0.25">
      <c r="A123" s="18">
        <v>66</v>
      </c>
      <c r="B123" s="18">
        <v>1.2899999999999999E-4</v>
      </c>
    </row>
    <row r="124" spans="1:2" x14ac:dyDescent="0.25">
      <c r="A124" s="18">
        <v>66.5</v>
      </c>
      <c r="B124" s="18">
        <v>1.13E-4</v>
      </c>
    </row>
    <row r="125" spans="1:2" x14ac:dyDescent="0.25">
      <c r="A125" s="18">
        <v>67</v>
      </c>
      <c r="B125" s="18">
        <v>1.06E-4</v>
      </c>
    </row>
    <row r="126" spans="1:2" x14ac:dyDescent="0.25">
      <c r="A126" s="18">
        <v>67.5</v>
      </c>
      <c r="B126" s="18">
        <v>8.7800000000000006E-5</v>
      </c>
    </row>
    <row r="127" spans="1:2" x14ac:dyDescent="0.25">
      <c r="A127" s="18">
        <v>68</v>
      </c>
      <c r="B127" s="18">
        <v>7.1799999999999997E-5</v>
      </c>
    </row>
    <row r="128" spans="1:2" x14ac:dyDescent="0.25">
      <c r="A128" s="18">
        <v>68.5</v>
      </c>
      <c r="B128" s="18">
        <v>5.8300000000000001E-5</v>
      </c>
    </row>
    <row r="129" spans="1:2" x14ac:dyDescent="0.25">
      <c r="A129" s="18">
        <v>69</v>
      </c>
      <c r="B129" s="18">
        <v>4.3600000000000003E-5</v>
      </c>
    </row>
    <row r="130" spans="1:2" x14ac:dyDescent="0.25">
      <c r="A130" s="18">
        <v>69.5</v>
      </c>
      <c r="B130" s="18">
        <v>2.6400000000000001E-5</v>
      </c>
    </row>
    <row r="131" spans="1:2" x14ac:dyDescent="0.25">
      <c r="A131" s="18">
        <v>70</v>
      </c>
      <c r="B131" s="18">
        <v>6.1800000000000001E-6</v>
      </c>
    </row>
    <row r="132" spans="1:2" x14ac:dyDescent="0.25">
      <c r="A132" s="18">
        <v>70.5</v>
      </c>
      <c r="B132" s="18">
        <v>5.1699999999999998E-7</v>
      </c>
    </row>
    <row r="133" spans="1:2" x14ac:dyDescent="0.25">
      <c r="A133" s="18">
        <v>71</v>
      </c>
      <c r="B133" s="18">
        <v>4.7700000000000005E-7</v>
      </c>
    </row>
    <row r="134" spans="1:2" x14ac:dyDescent="0.25">
      <c r="A134" s="18">
        <v>71.5</v>
      </c>
      <c r="B134" s="18">
        <v>2.1299999999999999E-7</v>
      </c>
    </row>
    <row r="135" spans="1:2" x14ac:dyDescent="0.25">
      <c r="A135" s="18">
        <v>72</v>
      </c>
      <c r="B135" s="18">
        <v>3.7899999999999999E-7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1:B15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1.75E-3</v>
      </c>
    </row>
    <row r="3" spans="1:2" x14ac:dyDescent="0.25">
      <c r="A3" s="18">
        <v>5.5</v>
      </c>
      <c r="B3" s="18">
        <v>1.1900000000000001E-3</v>
      </c>
    </row>
    <row r="4" spans="1:2" x14ac:dyDescent="0.25">
      <c r="A4" s="18">
        <v>6</v>
      </c>
      <c r="B4" s="18">
        <v>9.0600000000000001E-4</v>
      </c>
    </row>
    <row r="5" spans="1:2" x14ac:dyDescent="0.25">
      <c r="A5" s="18">
        <v>6.5</v>
      </c>
      <c r="B5" s="18">
        <v>1.82E-3</v>
      </c>
    </row>
    <row r="6" spans="1:2" x14ac:dyDescent="0.25">
      <c r="A6" s="18">
        <v>7</v>
      </c>
      <c r="B6" s="18">
        <v>2.2799999999999999E-3</v>
      </c>
    </row>
    <row r="7" spans="1:2" x14ac:dyDescent="0.25">
      <c r="A7" s="18">
        <v>7.5</v>
      </c>
      <c r="B7" s="18">
        <v>4.9500000000000004E-3</v>
      </c>
    </row>
    <row r="8" spans="1:2" x14ac:dyDescent="0.25">
      <c r="A8" s="18">
        <v>8</v>
      </c>
      <c r="B8" s="18">
        <v>2.06E-2</v>
      </c>
    </row>
    <row r="9" spans="1:2" x14ac:dyDescent="0.25">
      <c r="A9" s="18">
        <v>8.5</v>
      </c>
      <c r="B9" s="18">
        <v>0.109</v>
      </c>
    </row>
    <row r="10" spans="1:2" x14ac:dyDescent="0.25">
      <c r="A10" s="18">
        <v>9</v>
      </c>
      <c r="B10" s="18">
        <v>1.6799999999999999E-2</v>
      </c>
    </row>
    <row r="11" spans="1:2" x14ac:dyDescent="0.25">
      <c r="A11" s="18">
        <v>9.5</v>
      </c>
      <c r="B11" s="18">
        <v>0.126</v>
      </c>
    </row>
    <row r="12" spans="1:2" x14ac:dyDescent="0.25">
      <c r="A12" s="18">
        <v>10</v>
      </c>
      <c r="B12" s="18">
        <v>0.14499999999999999</v>
      </c>
    </row>
    <row r="13" spans="1:2" x14ac:dyDescent="0.25">
      <c r="A13" s="18">
        <v>10.5</v>
      </c>
      <c r="B13" s="18">
        <v>1.9099999999999999E-2</v>
      </c>
    </row>
    <row r="14" spans="1:2" x14ac:dyDescent="0.25">
      <c r="A14" s="18">
        <v>11</v>
      </c>
      <c r="B14" s="18">
        <v>2.2100000000000002E-2</v>
      </c>
    </row>
    <row r="15" spans="1:2" x14ac:dyDescent="0.25">
      <c r="A15" s="18">
        <v>11.5</v>
      </c>
      <c r="B15" s="18">
        <v>3.9899999999999998E-2</v>
      </c>
    </row>
    <row r="16" spans="1:2" x14ac:dyDescent="0.25">
      <c r="A16" s="18">
        <v>12</v>
      </c>
      <c r="B16" s="18">
        <v>1.8599999999999998E-2</v>
      </c>
    </row>
    <row r="17" spans="1:2" x14ac:dyDescent="0.25">
      <c r="A17" s="18">
        <v>12.5</v>
      </c>
      <c r="B17" s="18">
        <v>1.43E-2</v>
      </c>
    </row>
    <row r="18" spans="1:2" x14ac:dyDescent="0.25">
      <c r="A18" s="18">
        <v>13</v>
      </c>
      <c r="B18" s="18">
        <v>1.4800000000000001E-2</v>
      </c>
    </row>
    <row r="19" spans="1:2" x14ac:dyDescent="0.25">
      <c r="A19" s="18">
        <v>13.5</v>
      </c>
      <c r="B19" s="18">
        <v>1.5100000000000001E-2</v>
      </c>
    </row>
    <row r="20" spans="1:2" x14ac:dyDescent="0.25">
      <c r="A20" s="18">
        <v>14</v>
      </c>
      <c r="B20" s="18">
        <v>1.5699999999999999E-2</v>
      </c>
    </row>
    <row r="21" spans="1:2" x14ac:dyDescent="0.25">
      <c r="A21" s="18">
        <v>14.5</v>
      </c>
      <c r="B21" s="18">
        <v>1.5800000000000002E-2</v>
      </c>
    </row>
    <row r="22" spans="1:2" x14ac:dyDescent="0.25">
      <c r="A22" s="18">
        <v>15</v>
      </c>
      <c r="B22" s="18">
        <v>1.5699999999999999E-2</v>
      </c>
    </row>
    <row r="23" spans="1:2" x14ac:dyDescent="0.25">
      <c r="A23" s="18">
        <v>15.5</v>
      </c>
      <c r="B23" s="18">
        <v>1.55E-2</v>
      </c>
    </row>
    <row r="24" spans="1:2" x14ac:dyDescent="0.25">
      <c r="A24" s="18">
        <v>16</v>
      </c>
      <c r="B24" s="18">
        <v>1.54E-2</v>
      </c>
    </row>
    <row r="25" spans="1:2" x14ac:dyDescent="0.25">
      <c r="A25" s="18">
        <v>16.5</v>
      </c>
      <c r="B25" s="18">
        <v>1.49E-2</v>
      </c>
    </row>
    <row r="26" spans="1:2" x14ac:dyDescent="0.25">
      <c r="A26" s="18">
        <v>17</v>
      </c>
      <c r="B26" s="18">
        <v>1.46E-2</v>
      </c>
    </row>
    <row r="27" spans="1:2" x14ac:dyDescent="0.25">
      <c r="A27" s="18">
        <v>17.5</v>
      </c>
      <c r="B27" s="18">
        <v>1.41E-2</v>
      </c>
    </row>
    <row r="28" spans="1:2" x14ac:dyDescent="0.25">
      <c r="A28" s="18">
        <v>18</v>
      </c>
      <c r="B28" s="18">
        <v>1.35E-2</v>
      </c>
    </row>
    <row r="29" spans="1:2" x14ac:dyDescent="0.25">
      <c r="A29" s="18">
        <v>18.5</v>
      </c>
      <c r="B29" s="18">
        <v>1.2999999999999999E-2</v>
      </c>
    </row>
    <row r="30" spans="1:2" x14ac:dyDescent="0.25">
      <c r="A30" s="18">
        <v>19</v>
      </c>
      <c r="B30" s="18">
        <v>1.26E-2</v>
      </c>
    </row>
    <row r="31" spans="1:2" x14ac:dyDescent="0.25">
      <c r="A31" s="18">
        <v>19.5</v>
      </c>
      <c r="B31" s="18">
        <v>1.2E-2</v>
      </c>
    </row>
    <row r="32" spans="1:2" x14ac:dyDescent="0.25">
      <c r="A32" s="18">
        <v>20</v>
      </c>
      <c r="B32" s="18">
        <v>1.15E-2</v>
      </c>
    </row>
    <row r="33" spans="1:2" x14ac:dyDescent="0.25">
      <c r="A33" s="18">
        <v>20.5</v>
      </c>
      <c r="B33" s="18">
        <v>1.0999999999999999E-2</v>
      </c>
    </row>
    <row r="34" spans="1:2" x14ac:dyDescent="0.25">
      <c r="A34" s="18">
        <v>21</v>
      </c>
      <c r="B34" s="18">
        <v>1.04E-2</v>
      </c>
    </row>
    <row r="35" spans="1:2" x14ac:dyDescent="0.25">
      <c r="A35" s="18">
        <v>21.5</v>
      </c>
      <c r="B35" s="18">
        <v>0.01</v>
      </c>
    </row>
    <row r="36" spans="1:2" x14ac:dyDescent="0.25">
      <c r="A36" s="18">
        <v>22</v>
      </c>
      <c r="B36" s="18">
        <v>9.5300000000000003E-3</v>
      </c>
    </row>
    <row r="37" spans="1:2" x14ac:dyDescent="0.25">
      <c r="A37" s="18">
        <v>22.5</v>
      </c>
      <c r="B37" s="18">
        <v>9.0500000000000008E-3</v>
      </c>
    </row>
    <row r="38" spans="1:2" x14ac:dyDescent="0.25">
      <c r="A38" s="18">
        <v>23</v>
      </c>
      <c r="B38" s="18">
        <v>8.5900000000000004E-3</v>
      </c>
    </row>
    <row r="39" spans="1:2" x14ac:dyDescent="0.25">
      <c r="A39" s="18">
        <v>23.5</v>
      </c>
      <c r="B39" s="18">
        <v>8.2199999999999999E-3</v>
      </c>
    </row>
    <row r="40" spans="1:2" x14ac:dyDescent="0.25">
      <c r="A40" s="18">
        <v>24</v>
      </c>
      <c r="B40" s="18">
        <v>7.7799999999999996E-3</v>
      </c>
    </row>
    <row r="41" spans="1:2" x14ac:dyDescent="0.25">
      <c r="A41" s="18">
        <v>24.5</v>
      </c>
      <c r="B41" s="18">
        <v>7.45E-3</v>
      </c>
    </row>
    <row r="42" spans="1:2" x14ac:dyDescent="0.25">
      <c r="A42" s="18">
        <v>25</v>
      </c>
      <c r="B42" s="18">
        <v>7.0099999999999997E-3</v>
      </c>
    </row>
    <row r="43" spans="1:2" x14ac:dyDescent="0.25">
      <c r="A43" s="18">
        <v>25.5</v>
      </c>
      <c r="B43" s="18">
        <v>6.6299999999999996E-3</v>
      </c>
    </row>
    <row r="44" spans="1:2" x14ac:dyDescent="0.25">
      <c r="A44" s="18">
        <v>26</v>
      </c>
      <c r="B44" s="18">
        <v>6.3499999999999997E-3</v>
      </c>
    </row>
    <row r="45" spans="1:2" x14ac:dyDescent="0.25">
      <c r="A45" s="18">
        <v>26.5</v>
      </c>
      <c r="B45" s="18">
        <v>6.0400000000000002E-3</v>
      </c>
    </row>
    <row r="46" spans="1:2" x14ac:dyDescent="0.25">
      <c r="A46" s="18">
        <v>27</v>
      </c>
      <c r="B46" s="18">
        <v>5.7200000000000003E-3</v>
      </c>
    </row>
    <row r="47" spans="1:2" x14ac:dyDescent="0.25">
      <c r="A47" s="18">
        <v>27.5</v>
      </c>
      <c r="B47" s="18">
        <v>5.3899999999999998E-3</v>
      </c>
    </row>
    <row r="48" spans="1:2" x14ac:dyDescent="0.25">
      <c r="A48" s="18">
        <v>28</v>
      </c>
      <c r="B48" s="18">
        <v>5.1599999999999997E-3</v>
      </c>
    </row>
    <row r="49" spans="1:2" x14ac:dyDescent="0.25">
      <c r="A49" s="18">
        <v>28.5</v>
      </c>
      <c r="B49" s="18">
        <v>4.8599999999999997E-3</v>
      </c>
    </row>
    <row r="50" spans="1:2" x14ac:dyDescent="0.25">
      <c r="A50" s="18">
        <v>29</v>
      </c>
      <c r="B50" s="18">
        <v>4.6100000000000004E-3</v>
      </c>
    </row>
    <row r="51" spans="1:2" x14ac:dyDescent="0.25">
      <c r="A51" s="18">
        <v>29.5</v>
      </c>
      <c r="B51" s="18">
        <v>4.3899999999999998E-3</v>
      </c>
    </row>
    <row r="52" spans="1:2" x14ac:dyDescent="0.25">
      <c r="A52" s="18">
        <v>30</v>
      </c>
      <c r="B52" s="18">
        <v>4.1700000000000001E-3</v>
      </c>
    </row>
    <row r="53" spans="1:2" x14ac:dyDescent="0.25">
      <c r="A53" s="18">
        <v>30.5</v>
      </c>
      <c r="B53" s="18">
        <v>3.9899999999999996E-3</v>
      </c>
    </row>
    <row r="54" spans="1:2" x14ac:dyDescent="0.25">
      <c r="A54" s="18">
        <v>31</v>
      </c>
      <c r="B54" s="18">
        <v>3.79E-3</v>
      </c>
    </row>
    <row r="55" spans="1:2" x14ac:dyDescent="0.25">
      <c r="A55" s="18">
        <v>31.5</v>
      </c>
      <c r="B55" s="18">
        <v>3.6099999999999999E-3</v>
      </c>
    </row>
    <row r="56" spans="1:2" x14ac:dyDescent="0.25">
      <c r="A56" s="18">
        <v>32</v>
      </c>
      <c r="B56" s="18">
        <v>3.4499999999999999E-3</v>
      </c>
    </row>
    <row r="57" spans="1:2" x14ac:dyDescent="0.25">
      <c r="A57" s="18">
        <v>32.5</v>
      </c>
      <c r="B57" s="18">
        <v>3.29E-3</v>
      </c>
    </row>
    <row r="58" spans="1:2" x14ac:dyDescent="0.25">
      <c r="A58" s="18">
        <v>33</v>
      </c>
      <c r="B58" s="18">
        <v>3.16E-3</v>
      </c>
    </row>
    <row r="59" spans="1:2" x14ac:dyDescent="0.25">
      <c r="A59" s="18">
        <v>33.5</v>
      </c>
      <c r="B59" s="18">
        <v>3.0100000000000001E-3</v>
      </c>
    </row>
    <row r="60" spans="1:2" x14ac:dyDescent="0.25">
      <c r="A60" s="18">
        <v>34</v>
      </c>
      <c r="B60" s="18">
        <v>2.8800000000000002E-3</v>
      </c>
    </row>
    <row r="61" spans="1:2" x14ac:dyDescent="0.25">
      <c r="A61" s="18">
        <v>34.5</v>
      </c>
      <c r="B61" s="18">
        <v>2.7499999999999998E-3</v>
      </c>
    </row>
    <row r="62" spans="1:2" x14ac:dyDescent="0.25">
      <c r="A62" s="18">
        <v>35</v>
      </c>
      <c r="B62" s="18">
        <v>2.63E-3</v>
      </c>
    </row>
    <row r="63" spans="1:2" x14ac:dyDescent="0.25">
      <c r="A63" s="18">
        <v>35.5</v>
      </c>
      <c r="B63" s="18">
        <v>2.5300000000000001E-3</v>
      </c>
    </row>
    <row r="64" spans="1:2" x14ac:dyDescent="0.25">
      <c r="A64" s="18">
        <v>36</v>
      </c>
      <c r="B64" s="18">
        <v>2.3999999999999998E-3</v>
      </c>
    </row>
    <row r="65" spans="1:2" x14ac:dyDescent="0.25">
      <c r="A65" s="18">
        <v>36.5</v>
      </c>
      <c r="B65" s="18">
        <v>2.2899999999999999E-3</v>
      </c>
    </row>
    <row r="66" spans="1:2" x14ac:dyDescent="0.25">
      <c r="A66" s="18">
        <v>37</v>
      </c>
      <c r="B66" s="18">
        <v>2.1900000000000001E-3</v>
      </c>
    </row>
    <row r="67" spans="1:2" x14ac:dyDescent="0.25">
      <c r="A67" s="18">
        <v>37.5</v>
      </c>
      <c r="B67" s="18">
        <v>2.1099999999999999E-3</v>
      </c>
    </row>
    <row r="68" spans="1:2" x14ac:dyDescent="0.25">
      <c r="A68" s="18">
        <v>38</v>
      </c>
      <c r="B68" s="18">
        <v>2.0100000000000001E-3</v>
      </c>
    </row>
    <row r="69" spans="1:2" x14ac:dyDescent="0.25">
      <c r="A69" s="18">
        <v>38.5</v>
      </c>
      <c r="B69" s="18">
        <v>1.92E-3</v>
      </c>
    </row>
    <row r="70" spans="1:2" x14ac:dyDescent="0.25">
      <c r="A70" s="18">
        <v>39</v>
      </c>
      <c r="B70" s="18">
        <v>1.8400000000000001E-3</v>
      </c>
    </row>
    <row r="71" spans="1:2" x14ac:dyDescent="0.25">
      <c r="A71" s="18">
        <v>39.5</v>
      </c>
      <c r="B71" s="18">
        <v>1.7600000000000001E-3</v>
      </c>
    </row>
    <row r="72" spans="1:2" x14ac:dyDescent="0.25">
      <c r="A72" s="18">
        <v>40</v>
      </c>
      <c r="B72" s="18">
        <v>1.6800000000000001E-3</v>
      </c>
    </row>
    <row r="73" spans="1:2" x14ac:dyDescent="0.25">
      <c r="A73" s="18">
        <v>40.5</v>
      </c>
      <c r="B73" s="18">
        <v>1.6199999999999999E-3</v>
      </c>
    </row>
    <row r="74" spans="1:2" x14ac:dyDescent="0.25">
      <c r="A74" s="18">
        <v>41</v>
      </c>
      <c r="B74" s="18">
        <v>1.58E-3</v>
      </c>
    </row>
    <row r="75" spans="1:2" x14ac:dyDescent="0.25">
      <c r="A75" s="18">
        <v>41.5</v>
      </c>
      <c r="B75" s="18">
        <v>1.5100000000000001E-3</v>
      </c>
    </row>
    <row r="76" spans="1:2" x14ac:dyDescent="0.25">
      <c r="A76" s="18">
        <v>42</v>
      </c>
      <c r="B76" s="18">
        <v>1.4599999999999999E-3</v>
      </c>
    </row>
    <row r="77" spans="1:2" x14ac:dyDescent="0.25">
      <c r="A77" s="18">
        <v>42.5</v>
      </c>
      <c r="B77" s="18">
        <v>1.41E-3</v>
      </c>
    </row>
    <row r="78" spans="1:2" x14ac:dyDescent="0.25">
      <c r="A78" s="18">
        <v>43</v>
      </c>
      <c r="B78" s="18">
        <v>1.3500000000000001E-3</v>
      </c>
    </row>
    <row r="79" spans="1:2" x14ac:dyDescent="0.25">
      <c r="A79" s="18">
        <v>43.5</v>
      </c>
      <c r="B79" s="18">
        <v>1.32E-3</v>
      </c>
    </row>
    <row r="80" spans="1:2" x14ac:dyDescent="0.25">
      <c r="A80" s="18">
        <v>44</v>
      </c>
      <c r="B80" s="18">
        <v>1.2600000000000001E-3</v>
      </c>
    </row>
    <row r="81" spans="1:2" x14ac:dyDescent="0.25">
      <c r="A81" s="18">
        <v>44.5</v>
      </c>
      <c r="B81" s="18">
        <v>1.2099999999999999E-3</v>
      </c>
    </row>
    <row r="82" spans="1:2" x14ac:dyDescent="0.25">
      <c r="A82" s="18">
        <v>45</v>
      </c>
      <c r="B82" s="18">
        <v>1.16E-3</v>
      </c>
    </row>
    <row r="83" spans="1:2" x14ac:dyDescent="0.25">
      <c r="A83" s="18">
        <v>45.5</v>
      </c>
      <c r="B83" s="18">
        <v>1.14E-3</v>
      </c>
    </row>
    <row r="84" spans="1:2" x14ac:dyDescent="0.25">
      <c r="A84" s="18">
        <v>46</v>
      </c>
      <c r="B84" s="18">
        <v>1.1000000000000001E-3</v>
      </c>
    </row>
    <row r="85" spans="1:2" x14ac:dyDescent="0.25">
      <c r="A85" s="18">
        <v>46.5</v>
      </c>
      <c r="B85" s="18">
        <v>1.0499999999999999E-3</v>
      </c>
    </row>
    <row r="86" spans="1:2" x14ac:dyDescent="0.25">
      <c r="A86" s="18">
        <v>47</v>
      </c>
      <c r="B86" s="18">
        <v>1.0200000000000001E-3</v>
      </c>
    </row>
    <row r="87" spans="1:2" x14ac:dyDescent="0.25">
      <c r="A87" s="18">
        <v>47.5</v>
      </c>
      <c r="B87" s="18">
        <v>9.8700000000000003E-4</v>
      </c>
    </row>
    <row r="88" spans="1:2" x14ac:dyDescent="0.25">
      <c r="A88" s="18">
        <v>48</v>
      </c>
      <c r="B88" s="18">
        <v>9.4600000000000001E-4</v>
      </c>
    </row>
    <row r="89" spans="1:2" x14ac:dyDescent="0.25">
      <c r="A89" s="18">
        <v>48.5</v>
      </c>
      <c r="B89" s="18">
        <v>9.1500000000000001E-4</v>
      </c>
    </row>
    <row r="90" spans="1:2" x14ac:dyDescent="0.25">
      <c r="A90" s="18">
        <v>49</v>
      </c>
      <c r="B90" s="18">
        <v>8.83E-4</v>
      </c>
    </row>
    <row r="91" spans="1:2" x14ac:dyDescent="0.25">
      <c r="A91" s="18">
        <v>49.5</v>
      </c>
      <c r="B91" s="18">
        <v>8.4999999999999995E-4</v>
      </c>
    </row>
    <row r="92" spans="1:2" x14ac:dyDescent="0.25">
      <c r="A92" s="18">
        <v>50</v>
      </c>
      <c r="B92" s="18">
        <v>8.2399999999999997E-4</v>
      </c>
    </row>
    <row r="93" spans="1:2" x14ac:dyDescent="0.25">
      <c r="A93" s="18">
        <v>50.5</v>
      </c>
      <c r="B93" s="18">
        <v>8.0199999999999998E-4</v>
      </c>
    </row>
    <row r="94" spans="1:2" x14ac:dyDescent="0.25">
      <c r="A94" s="18">
        <v>51</v>
      </c>
      <c r="B94" s="18">
        <v>7.7700000000000002E-4</v>
      </c>
    </row>
    <row r="95" spans="1:2" x14ac:dyDescent="0.25">
      <c r="A95" s="18">
        <v>51.5</v>
      </c>
      <c r="B95" s="18">
        <v>7.5199999999999996E-4</v>
      </c>
    </row>
    <row r="96" spans="1:2" x14ac:dyDescent="0.25">
      <c r="A96" s="18">
        <v>52</v>
      </c>
      <c r="B96" s="18">
        <v>7.3499999999999998E-4</v>
      </c>
    </row>
    <row r="97" spans="1:2" x14ac:dyDescent="0.25">
      <c r="A97" s="18">
        <v>52.5</v>
      </c>
      <c r="B97" s="18">
        <v>7.0299999999999996E-4</v>
      </c>
    </row>
    <row r="98" spans="1:2" x14ac:dyDescent="0.25">
      <c r="A98" s="18">
        <v>53</v>
      </c>
      <c r="B98" s="18">
        <v>6.87E-4</v>
      </c>
    </row>
    <row r="99" spans="1:2" x14ac:dyDescent="0.25">
      <c r="A99" s="18">
        <v>53.5</v>
      </c>
      <c r="B99" s="18">
        <v>6.6600000000000003E-4</v>
      </c>
    </row>
    <row r="100" spans="1:2" x14ac:dyDescent="0.25">
      <c r="A100" s="18">
        <v>54</v>
      </c>
      <c r="B100" s="18">
        <v>6.5300000000000004E-4</v>
      </c>
    </row>
    <row r="101" spans="1:2" x14ac:dyDescent="0.25">
      <c r="A101" s="18">
        <v>54.5</v>
      </c>
      <c r="B101" s="18">
        <v>6.2799999999999998E-4</v>
      </c>
    </row>
    <row r="102" spans="1:2" x14ac:dyDescent="0.25">
      <c r="A102" s="18">
        <v>55</v>
      </c>
      <c r="B102" s="18">
        <v>6.1399999999999996E-4</v>
      </c>
    </row>
    <row r="103" spans="1:2" x14ac:dyDescent="0.25">
      <c r="A103" s="18">
        <v>55.5</v>
      </c>
      <c r="B103" s="18">
        <v>5.9500000000000004E-4</v>
      </c>
    </row>
    <row r="104" spans="1:2" x14ac:dyDescent="0.25">
      <c r="A104" s="18">
        <v>56</v>
      </c>
      <c r="B104" s="18">
        <v>5.7499999999999999E-4</v>
      </c>
    </row>
    <row r="105" spans="1:2" x14ac:dyDescent="0.25">
      <c r="A105" s="18">
        <v>56.5</v>
      </c>
      <c r="B105" s="18">
        <v>5.5099999999999995E-4</v>
      </c>
    </row>
    <row r="106" spans="1:2" x14ac:dyDescent="0.25">
      <c r="A106" s="18">
        <v>57</v>
      </c>
      <c r="B106" s="18">
        <v>5.3700000000000004E-4</v>
      </c>
    </row>
    <row r="107" spans="1:2" x14ac:dyDescent="0.25">
      <c r="A107" s="18">
        <v>57.5</v>
      </c>
      <c r="B107" s="18">
        <v>5.7200000000000003E-4</v>
      </c>
    </row>
    <row r="108" spans="1:2" x14ac:dyDescent="0.25">
      <c r="A108" s="18">
        <v>58</v>
      </c>
      <c r="B108" s="18">
        <v>8.0900000000000004E-4</v>
      </c>
    </row>
    <row r="109" spans="1:2" x14ac:dyDescent="0.25">
      <c r="A109" s="18">
        <v>58.5</v>
      </c>
      <c r="B109" s="18">
        <v>5.2400000000000005E-4</v>
      </c>
    </row>
    <row r="110" spans="1:2" x14ac:dyDescent="0.25">
      <c r="A110" s="18">
        <v>59</v>
      </c>
      <c r="B110" s="18">
        <v>7.1100000000000004E-4</v>
      </c>
    </row>
    <row r="111" spans="1:2" x14ac:dyDescent="0.25">
      <c r="A111" s="18">
        <v>59.5</v>
      </c>
      <c r="B111" s="18">
        <v>8.5599999999999999E-4</v>
      </c>
    </row>
    <row r="112" spans="1:2" x14ac:dyDescent="0.25">
      <c r="A112" s="18">
        <v>60</v>
      </c>
      <c r="B112" s="18">
        <v>4.6000000000000001E-4</v>
      </c>
    </row>
    <row r="113" spans="1:2" x14ac:dyDescent="0.25">
      <c r="A113" s="18">
        <v>60.5</v>
      </c>
      <c r="B113" s="18">
        <v>4.3300000000000001E-4</v>
      </c>
    </row>
    <row r="114" spans="1:2" x14ac:dyDescent="0.25">
      <c r="A114" s="18">
        <v>61</v>
      </c>
      <c r="B114" s="18">
        <v>4.2499999999999998E-4</v>
      </c>
    </row>
    <row r="115" spans="1:2" x14ac:dyDescent="0.25">
      <c r="A115" s="18">
        <v>61.5</v>
      </c>
      <c r="B115" s="18">
        <v>4.0200000000000001E-4</v>
      </c>
    </row>
    <row r="116" spans="1:2" x14ac:dyDescent="0.25">
      <c r="A116" s="18">
        <v>62</v>
      </c>
      <c r="B116" s="18">
        <v>4.0000000000000002E-4</v>
      </c>
    </row>
    <row r="117" spans="1:2" x14ac:dyDescent="0.25">
      <c r="A117" s="18">
        <v>62.5</v>
      </c>
      <c r="B117" s="18">
        <v>3.9100000000000002E-4</v>
      </c>
    </row>
    <row r="118" spans="1:2" x14ac:dyDescent="0.25">
      <c r="A118" s="18">
        <v>63</v>
      </c>
      <c r="B118" s="18">
        <v>3.7399999999999998E-4</v>
      </c>
    </row>
    <row r="119" spans="1:2" x14ac:dyDescent="0.25">
      <c r="A119" s="18">
        <v>63.5</v>
      </c>
      <c r="B119" s="18">
        <v>3.6999999999999999E-4</v>
      </c>
    </row>
    <row r="120" spans="1:2" x14ac:dyDescent="0.25">
      <c r="A120" s="18">
        <v>64</v>
      </c>
      <c r="B120" s="18">
        <v>3.5599999999999998E-4</v>
      </c>
    </row>
    <row r="121" spans="1:2" x14ac:dyDescent="0.25">
      <c r="A121" s="18">
        <v>64.5</v>
      </c>
      <c r="B121" s="18">
        <v>3.39E-4</v>
      </c>
    </row>
    <row r="122" spans="1:2" x14ac:dyDescent="0.25">
      <c r="A122" s="18">
        <v>65</v>
      </c>
      <c r="B122" s="18">
        <v>3.3100000000000002E-4</v>
      </c>
    </row>
    <row r="123" spans="1:2" x14ac:dyDescent="0.25">
      <c r="A123" s="18">
        <v>65.5</v>
      </c>
      <c r="B123" s="18">
        <v>3.1799999999999998E-4</v>
      </c>
    </row>
    <row r="124" spans="1:2" x14ac:dyDescent="0.25">
      <c r="A124" s="18">
        <v>66</v>
      </c>
      <c r="B124" s="18">
        <v>3.1599999999999998E-4</v>
      </c>
    </row>
    <row r="125" spans="1:2" x14ac:dyDescent="0.25">
      <c r="A125" s="18">
        <v>66.5</v>
      </c>
      <c r="B125" s="18">
        <v>3.1199999999999999E-4</v>
      </c>
    </row>
    <row r="126" spans="1:2" x14ac:dyDescent="0.25">
      <c r="A126" s="18">
        <v>67</v>
      </c>
      <c r="B126" s="18">
        <v>4.2400000000000001E-4</v>
      </c>
    </row>
    <row r="127" spans="1:2" x14ac:dyDescent="0.25">
      <c r="A127" s="18">
        <v>67.5</v>
      </c>
      <c r="B127" s="18">
        <v>3.5500000000000001E-4</v>
      </c>
    </row>
    <row r="128" spans="1:2" x14ac:dyDescent="0.25">
      <c r="A128" s="18">
        <v>68</v>
      </c>
      <c r="B128" s="18">
        <v>2.6800000000000001E-4</v>
      </c>
    </row>
    <row r="129" spans="1:2" x14ac:dyDescent="0.25">
      <c r="A129" s="18">
        <v>68.5</v>
      </c>
      <c r="B129" s="18">
        <v>2.5900000000000001E-4</v>
      </c>
    </row>
    <row r="130" spans="1:2" x14ac:dyDescent="0.25">
      <c r="A130" s="18">
        <v>69</v>
      </c>
      <c r="B130" s="18">
        <v>2.8299999999999999E-4</v>
      </c>
    </row>
    <row r="131" spans="1:2" x14ac:dyDescent="0.25">
      <c r="A131" s="18">
        <v>69.5</v>
      </c>
      <c r="B131" s="18">
        <v>2.4499999999999999E-4</v>
      </c>
    </row>
    <row r="132" spans="1:2" x14ac:dyDescent="0.25">
      <c r="A132" s="18">
        <v>70</v>
      </c>
      <c r="B132" s="18">
        <v>2.1100000000000001E-4</v>
      </c>
    </row>
    <row r="133" spans="1:2" x14ac:dyDescent="0.25">
      <c r="A133" s="18">
        <v>70.5</v>
      </c>
      <c r="B133" s="18">
        <v>2.0900000000000001E-4</v>
      </c>
    </row>
    <row r="134" spans="1:2" x14ac:dyDescent="0.25">
      <c r="A134" s="18">
        <v>71</v>
      </c>
      <c r="B134" s="18">
        <v>1.95E-4</v>
      </c>
    </row>
    <row r="135" spans="1:2" x14ac:dyDescent="0.25">
      <c r="A135" s="18">
        <v>71.5</v>
      </c>
      <c r="B135" s="18">
        <v>1.9000000000000001E-4</v>
      </c>
    </row>
    <row r="136" spans="1:2" x14ac:dyDescent="0.25">
      <c r="A136" s="18">
        <v>72</v>
      </c>
      <c r="B136" s="18">
        <v>1.7799999999999999E-4</v>
      </c>
    </row>
    <row r="137" spans="1:2" x14ac:dyDescent="0.25">
      <c r="A137" s="18">
        <v>72.5</v>
      </c>
      <c r="B137" s="18">
        <v>1.7000000000000001E-4</v>
      </c>
    </row>
    <row r="138" spans="1:2" x14ac:dyDescent="0.25">
      <c r="A138" s="18">
        <v>73</v>
      </c>
      <c r="B138" s="18">
        <v>1.5899999999999999E-4</v>
      </c>
    </row>
    <row r="139" spans="1:2" x14ac:dyDescent="0.25">
      <c r="A139" s="18">
        <v>73.5</v>
      </c>
      <c r="B139" s="18">
        <v>1.4799999999999999E-4</v>
      </c>
    </row>
    <row r="140" spans="1:2" x14ac:dyDescent="0.25">
      <c r="A140" s="18">
        <v>74</v>
      </c>
      <c r="B140" s="18">
        <v>1.3799999999999999E-4</v>
      </c>
    </row>
    <row r="141" spans="1:2" x14ac:dyDescent="0.25">
      <c r="A141" s="18">
        <v>74.5</v>
      </c>
      <c r="B141" s="18">
        <v>1.2999999999999999E-4</v>
      </c>
    </row>
    <row r="142" spans="1:2" x14ac:dyDescent="0.25">
      <c r="A142" s="18">
        <v>75</v>
      </c>
      <c r="B142" s="18">
        <v>1.21E-4</v>
      </c>
    </row>
    <row r="143" spans="1:2" x14ac:dyDescent="0.25">
      <c r="A143" s="18">
        <v>75.5</v>
      </c>
      <c r="B143" s="18">
        <v>1.07E-4</v>
      </c>
    </row>
    <row r="144" spans="1:2" x14ac:dyDescent="0.25">
      <c r="A144" s="18">
        <v>76</v>
      </c>
      <c r="B144" s="18">
        <v>9.8800000000000003E-5</v>
      </c>
    </row>
    <row r="145" spans="1:2" x14ac:dyDescent="0.25">
      <c r="A145" s="18">
        <v>76.5</v>
      </c>
      <c r="B145" s="18">
        <v>8.8800000000000004E-5</v>
      </c>
    </row>
    <row r="146" spans="1:2" x14ac:dyDescent="0.25">
      <c r="A146" s="18">
        <v>77</v>
      </c>
      <c r="B146" s="18">
        <v>8.0199999999999998E-5</v>
      </c>
    </row>
    <row r="147" spans="1:2" x14ac:dyDescent="0.25">
      <c r="A147" s="18">
        <v>77.5</v>
      </c>
      <c r="B147" s="18">
        <v>6.7999999999999999E-5</v>
      </c>
    </row>
    <row r="148" spans="1:2" x14ac:dyDescent="0.25">
      <c r="A148" s="18">
        <v>78</v>
      </c>
      <c r="B148" s="18">
        <v>5.6700000000000003E-5</v>
      </c>
    </row>
    <row r="149" spans="1:2" x14ac:dyDescent="0.25">
      <c r="A149" s="18">
        <v>78.5</v>
      </c>
      <c r="B149" s="18">
        <v>4.46E-5</v>
      </c>
    </row>
    <row r="150" spans="1:2" x14ac:dyDescent="0.25">
      <c r="A150" s="18">
        <v>79</v>
      </c>
      <c r="B150" s="18">
        <v>3.2100000000000001E-5</v>
      </c>
    </row>
    <row r="151" spans="1:2" x14ac:dyDescent="0.25">
      <c r="A151" s="18">
        <v>79.5</v>
      </c>
      <c r="B151" s="18">
        <v>2.0000000000000002E-5</v>
      </c>
    </row>
    <row r="152" spans="1:2" x14ac:dyDescent="0.25">
      <c r="A152" s="18">
        <v>80</v>
      </c>
      <c r="B152" s="18">
        <v>4.3599999999999998E-6</v>
      </c>
    </row>
    <row r="153" spans="1:2" x14ac:dyDescent="0.25">
      <c r="A153" s="18">
        <v>80.5</v>
      </c>
      <c r="B153" s="18">
        <v>4.8299999999999997E-7</v>
      </c>
    </row>
    <row r="154" spans="1:2" x14ac:dyDescent="0.25">
      <c r="A154" s="18">
        <v>81</v>
      </c>
      <c r="B154" s="18">
        <v>4.1300000000000001E-7</v>
      </c>
    </row>
    <row r="155" spans="1:2" x14ac:dyDescent="0.25">
      <c r="A155" s="18">
        <v>81.5</v>
      </c>
      <c r="B155" s="18">
        <v>2.6399999999999998E-7</v>
      </c>
    </row>
    <row r="156" spans="1:2" x14ac:dyDescent="0.25">
      <c r="A156" s="18">
        <v>82</v>
      </c>
      <c r="B156" s="18">
        <v>4.9299999999999998E-7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:B17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2.1700000000000001E-3</v>
      </c>
    </row>
    <row r="3" spans="1:2" x14ac:dyDescent="0.25">
      <c r="A3" s="18">
        <v>5.5</v>
      </c>
      <c r="B3" s="18">
        <v>2.4599999999999999E-3</v>
      </c>
    </row>
    <row r="4" spans="1:2" x14ac:dyDescent="0.25">
      <c r="A4" s="18">
        <v>6</v>
      </c>
      <c r="B4" s="18">
        <v>1.3699999999999999E-3</v>
      </c>
    </row>
    <row r="5" spans="1:2" x14ac:dyDescent="0.25">
      <c r="A5" s="18">
        <v>6.5</v>
      </c>
      <c r="B5" s="18">
        <v>1.8E-3</v>
      </c>
    </row>
    <row r="6" spans="1:2" x14ac:dyDescent="0.25">
      <c r="A6" s="18">
        <v>7</v>
      </c>
      <c r="B6" s="18">
        <v>2.5699999999999998E-3</v>
      </c>
    </row>
    <row r="7" spans="1:2" x14ac:dyDescent="0.25">
      <c r="A7" s="18">
        <v>7.5</v>
      </c>
      <c r="B7" s="18">
        <v>4.81E-3</v>
      </c>
    </row>
    <row r="8" spans="1:2" x14ac:dyDescent="0.25">
      <c r="A8" s="18">
        <v>8</v>
      </c>
      <c r="B8" s="18">
        <v>1.2200000000000001E-2</v>
      </c>
    </row>
    <row r="9" spans="1:2" x14ac:dyDescent="0.25">
      <c r="A9" s="18">
        <v>8.5</v>
      </c>
      <c r="B9" s="18">
        <v>0.11</v>
      </c>
    </row>
    <row r="10" spans="1:2" x14ac:dyDescent="0.25">
      <c r="A10" s="18">
        <v>9</v>
      </c>
      <c r="B10" s="18">
        <v>1.49E-2</v>
      </c>
    </row>
    <row r="11" spans="1:2" x14ac:dyDescent="0.25">
      <c r="A11" s="18">
        <v>9.5</v>
      </c>
      <c r="B11" s="18">
        <v>0.114</v>
      </c>
    </row>
    <row r="12" spans="1:2" x14ac:dyDescent="0.25">
      <c r="A12" s="18">
        <v>10</v>
      </c>
      <c r="B12" s="18">
        <v>0.153</v>
      </c>
    </row>
    <row r="13" spans="1:2" x14ac:dyDescent="0.25">
      <c r="A13" s="18">
        <v>10.5</v>
      </c>
      <c r="B13" s="18">
        <v>1.77E-2</v>
      </c>
    </row>
    <row r="14" spans="1:2" x14ac:dyDescent="0.25">
      <c r="A14" s="18">
        <v>11</v>
      </c>
      <c r="B14" s="18">
        <v>1.9E-2</v>
      </c>
    </row>
    <row r="15" spans="1:2" x14ac:dyDescent="0.25">
      <c r="A15" s="18">
        <v>11.5</v>
      </c>
      <c r="B15" s="18">
        <v>3.9399999999999998E-2</v>
      </c>
    </row>
    <row r="16" spans="1:2" x14ac:dyDescent="0.25">
      <c r="A16" s="18">
        <v>12</v>
      </c>
      <c r="B16" s="18">
        <v>1.7299999999999999E-2</v>
      </c>
    </row>
    <row r="17" spans="1:2" x14ac:dyDescent="0.25">
      <c r="A17" s="18">
        <v>12.5</v>
      </c>
      <c r="B17" s="18">
        <v>1.2800000000000001E-2</v>
      </c>
    </row>
    <row r="18" spans="1:2" x14ac:dyDescent="0.25">
      <c r="A18" s="18">
        <v>13</v>
      </c>
      <c r="B18" s="18">
        <v>1.35E-2</v>
      </c>
    </row>
    <row r="19" spans="1:2" x14ac:dyDescent="0.25">
      <c r="A19" s="18">
        <v>13.5</v>
      </c>
      <c r="B19" s="18">
        <v>1.4200000000000001E-2</v>
      </c>
    </row>
    <row r="20" spans="1:2" x14ac:dyDescent="0.25">
      <c r="A20" s="18">
        <v>14</v>
      </c>
      <c r="B20" s="18">
        <v>1.46E-2</v>
      </c>
    </row>
    <row r="21" spans="1:2" x14ac:dyDescent="0.25">
      <c r="A21" s="18">
        <v>14.5</v>
      </c>
      <c r="B21" s="18">
        <v>1.47E-2</v>
      </c>
    </row>
    <row r="22" spans="1:2" x14ac:dyDescent="0.25">
      <c r="A22" s="18">
        <v>15</v>
      </c>
      <c r="B22" s="18">
        <v>1.4800000000000001E-2</v>
      </c>
    </row>
    <row r="23" spans="1:2" x14ac:dyDescent="0.25">
      <c r="A23" s="18">
        <v>15.5</v>
      </c>
      <c r="B23" s="18">
        <v>1.4800000000000001E-2</v>
      </c>
    </row>
    <row r="24" spans="1:2" x14ac:dyDescent="0.25">
      <c r="A24" s="18">
        <v>16</v>
      </c>
      <c r="B24" s="18">
        <v>1.4800000000000001E-2</v>
      </c>
    </row>
    <row r="25" spans="1:2" x14ac:dyDescent="0.25">
      <c r="A25" s="18">
        <v>16.5</v>
      </c>
      <c r="B25" s="18">
        <v>1.43E-2</v>
      </c>
    </row>
    <row r="26" spans="1:2" x14ac:dyDescent="0.25">
      <c r="A26" s="18">
        <v>17</v>
      </c>
      <c r="B26" s="18">
        <v>1.41E-2</v>
      </c>
    </row>
    <row r="27" spans="1:2" x14ac:dyDescent="0.25">
      <c r="A27" s="18">
        <v>17.5</v>
      </c>
      <c r="B27" s="18">
        <v>1.37E-2</v>
      </c>
    </row>
    <row r="28" spans="1:2" x14ac:dyDescent="0.25">
      <c r="A28" s="18">
        <v>18</v>
      </c>
      <c r="B28" s="18">
        <v>1.3299999999999999E-2</v>
      </c>
    </row>
    <row r="29" spans="1:2" x14ac:dyDescent="0.25">
      <c r="A29" s="18">
        <v>18.5</v>
      </c>
      <c r="B29" s="18">
        <v>1.2999999999999999E-2</v>
      </c>
    </row>
    <row r="30" spans="1:2" x14ac:dyDescent="0.25">
      <c r="A30" s="18">
        <v>19</v>
      </c>
      <c r="B30" s="18">
        <v>1.2500000000000001E-2</v>
      </c>
    </row>
    <row r="31" spans="1:2" x14ac:dyDescent="0.25">
      <c r="A31" s="18">
        <v>19.5</v>
      </c>
      <c r="B31" s="18">
        <v>1.21E-2</v>
      </c>
    </row>
    <row r="32" spans="1:2" x14ac:dyDescent="0.25">
      <c r="A32" s="18">
        <v>20</v>
      </c>
      <c r="B32" s="18">
        <v>1.1599999999999999E-2</v>
      </c>
    </row>
    <row r="33" spans="1:2" x14ac:dyDescent="0.25">
      <c r="A33" s="18">
        <v>20.5</v>
      </c>
      <c r="B33" s="18">
        <v>1.11E-2</v>
      </c>
    </row>
    <row r="34" spans="1:2" x14ac:dyDescent="0.25">
      <c r="A34" s="18">
        <v>21</v>
      </c>
      <c r="B34" s="18">
        <v>1.0699999999999999E-2</v>
      </c>
    </row>
    <row r="35" spans="1:2" x14ac:dyDescent="0.25">
      <c r="A35" s="18">
        <v>21.5</v>
      </c>
      <c r="B35" s="18">
        <v>1.0200000000000001E-2</v>
      </c>
    </row>
    <row r="36" spans="1:2" x14ac:dyDescent="0.25">
      <c r="A36" s="18">
        <v>22</v>
      </c>
      <c r="B36" s="18">
        <v>9.6699999999999998E-3</v>
      </c>
    </row>
    <row r="37" spans="1:2" x14ac:dyDescent="0.25">
      <c r="A37" s="18">
        <v>22.5</v>
      </c>
      <c r="B37" s="18">
        <v>9.3200000000000002E-3</v>
      </c>
    </row>
    <row r="38" spans="1:2" x14ac:dyDescent="0.25">
      <c r="A38" s="18">
        <v>23</v>
      </c>
      <c r="B38" s="18">
        <v>8.9499999999999996E-3</v>
      </c>
    </row>
    <row r="39" spans="1:2" x14ac:dyDescent="0.25">
      <c r="A39" s="18">
        <v>23.5</v>
      </c>
      <c r="B39" s="18">
        <v>8.5599999999999999E-3</v>
      </c>
    </row>
    <row r="40" spans="1:2" x14ac:dyDescent="0.25">
      <c r="A40" s="18">
        <v>24</v>
      </c>
      <c r="B40" s="18">
        <v>8.0499999999999999E-3</v>
      </c>
    </row>
    <row r="41" spans="1:2" x14ac:dyDescent="0.25">
      <c r="A41" s="18">
        <v>24.5</v>
      </c>
      <c r="B41" s="18">
        <v>7.7200000000000003E-3</v>
      </c>
    </row>
    <row r="42" spans="1:2" x14ac:dyDescent="0.25">
      <c r="A42" s="18">
        <v>25</v>
      </c>
      <c r="B42" s="18">
        <v>7.3499999999999998E-3</v>
      </c>
    </row>
    <row r="43" spans="1:2" x14ac:dyDescent="0.25">
      <c r="A43" s="18">
        <v>25.5</v>
      </c>
      <c r="B43" s="18">
        <v>6.94E-3</v>
      </c>
    </row>
    <row r="44" spans="1:2" x14ac:dyDescent="0.25">
      <c r="A44" s="18">
        <v>26</v>
      </c>
      <c r="B44" s="18">
        <v>6.6299999999999996E-3</v>
      </c>
    </row>
    <row r="45" spans="1:2" x14ac:dyDescent="0.25">
      <c r="A45" s="18">
        <v>26.5</v>
      </c>
      <c r="B45" s="18">
        <v>6.3499999999999997E-3</v>
      </c>
    </row>
    <row r="46" spans="1:2" x14ac:dyDescent="0.25">
      <c r="A46" s="18">
        <v>27</v>
      </c>
      <c r="B46" s="18">
        <v>6.0400000000000002E-3</v>
      </c>
    </row>
    <row r="47" spans="1:2" x14ac:dyDescent="0.25">
      <c r="A47" s="18">
        <v>27.5</v>
      </c>
      <c r="B47" s="18">
        <v>5.6899999999999997E-3</v>
      </c>
    </row>
    <row r="48" spans="1:2" x14ac:dyDescent="0.25">
      <c r="A48" s="18">
        <v>28</v>
      </c>
      <c r="B48" s="18">
        <v>5.4900000000000001E-3</v>
      </c>
    </row>
    <row r="49" spans="1:2" x14ac:dyDescent="0.25">
      <c r="A49" s="18">
        <v>28.5</v>
      </c>
      <c r="B49" s="18">
        <v>5.1900000000000002E-3</v>
      </c>
    </row>
    <row r="50" spans="1:2" x14ac:dyDescent="0.25">
      <c r="A50" s="18">
        <v>29</v>
      </c>
      <c r="B50" s="18">
        <v>4.9199999999999999E-3</v>
      </c>
    </row>
    <row r="51" spans="1:2" x14ac:dyDescent="0.25">
      <c r="A51" s="18">
        <v>29.5</v>
      </c>
      <c r="B51" s="18">
        <v>4.7400000000000003E-3</v>
      </c>
    </row>
    <row r="52" spans="1:2" x14ac:dyDescent="0.25">
      <c r="A52" s="18">
        <v>30</v>
      </c>
      <c r="B52" s="18">
        <v>4.47E-3</v>
      </c>
    </row>
    <row r="53" spans="1:2" x14ac:dyDescent="0.25">
      <c r="A53" s="18">
        <v>30.5</v>
      </c>
      <c r="B53" s="18">
        <v>4.2700000000000004E-3</v>
      </c>
    </row>
    <row r="54" spans="1:2" x14ac:dyDescent="0.25">
      <c r="A54" s="18">
        <v>31</v>
      </c>
      <c r="B54" s="18">
        <v>4.1099999999999999E-3</v>
      </c>
    </row>
    <row r="55" spans="1:2" x14ac:dyDescent="0.25">
      <c r="A55" s="18">
        <v>31.5</v>
      </c>
      <c r="B55" s="18">
        <v>3.9300000000000003E-3</v>
      </c>
    </row>
    <row r="56" spans="1:2" x14ac:dyDescent="0.25">
      <c r="A56" s="18">
        <v>32</v>
      </c>
      <c r="B56" s="18">
        <v>3.7599999999999999E-3</v>
      </c>
    </row>
    <row r="57" spans="1:2" x14ac:dyDescent="0.25">
      <c r="A57" s="18">
        <v>32.5</v>
      </c>
      <c r="B57" s="18">
        <v>3.5899999999999999E-3</v>
      </c>
    </row>
    <row r="58" spans="1:2" x14ac:dyDescent="0.25">
      <c r="A58" s="18">
        <v>33</v>
      </c>
      <c r="B58" s="18">
        <v>3.4399999999999999E-3</v>
      </c>
    </row>
    <row r="59" spans="1:2" x14ac:dyDescent="0.25">
      <c r="A59" s="18">
        <v>33.5</v>
      </c>
      <c r="B59" s="18">
        <v>3.3E-3</v>
      </c>
    </row>
    <row r="60" spans="1:2" x14ac:dyDescent="0.25">
      <c r="A60" s="18">
        <v>34</v>
      </c>
      <c r="B60" s="18">
        <v>3.15E-3</v>
      </c>
    </row>
    <row r="61" spans="1:2" x14ac:dyDescent="0.25">
      <c r="A61" s="18">
        <v>34.5</v>
      </c>
      <c r="B61" s="18">
        <v>3.0100000000000001E-3</v>
      </c>
    </row>
    <row r="62" spans="1:2" x14ac:dyDescent="0.25">
      <c r="A62" s="18">
        <v>35</v>
      </c>
      <c r="B62" s="18">
        <v>2.8800000000000002E-3</v>
      </c>
    </row>
    <row r="63" spans="1:2" x14ac:dyDescent="0.25">
      <c r="A63" s="18">
        <v>35.5</v>
      </c>
      <c r="B63" s="18">
        <v>2.7799999999999999E-3</v>
      </c>
    </row>
    <row r="64" spans="1:2" x14ac:dyDescent="0.25">
      <c r="A64" s="18">
        <v>36</v>
      </c>
      <c r="B64" s="18">
        <v>2.66E-3</v>
      </c>
    </row>
    <row r="65" spans="1:2" x14ac:dyDescent="0.25">
      <c r="A65" s="18">
        <v>36.5</v>
      </c>
      <c r="B65" s="18">
        <v>2.5400000000000002E-3</v>
      </c>
    </row>
    <row r="66" spans="1:2" x14ac:dyDescent="0.25">
      <c r="A66" s="18">
        <v>37</v>
      </c>
      <c r="B66" s="18">
        <v>2.4299999999999999E-3</v>
      </c>
    </row>
    <row r="67" spans="1:2" x14ac:dyDescent="0.25">
      <c r="A67" s="18">
        <v>37.5</v>
      </c>
      <c r="B67" s="18">
        <v>2.3400000000000001E-3</v>
      </c>
    </row>
    <row r="68" spans="1:2" x14ac:dyDescent="0.25">
      <c r="A68" s="18">
        <v>38</v>
      </c>
      <c r="B68" s="18">
        <v>2.2499999999999998E-3</v>
      </c>
    </row>
    <row r="69" spans="1:2" x14ac:dyDescent="0.25">
      <c r="A69" s="18">
        <v>38.5</v>
      </c>
      <c r="B69" s="18">
        <v>2.16E-3</v>
      </c>
    </row>
    <row r="70" spans="1:2" x14ac:dyDescent="0.25">
      <c r="A70" s="18">
        <v>39</v>
      </c>
      <c r="B70" s="18">
        <v>2.0799999999999998E-3</v>
      </c>
    </row>
    <row r="71" spans="1:2" x14ac:dyDescent="0.25">
      <c r="A71" s="18">
        <v>39.5</v>
      </c>
      <c r="B71" s="18">
        <v>2.0100000000000001E-3</v>
      </c>
    </row>
    <row r="72" spans="1:2" x14ac:dyDescent="0.25">
      <c r="A72" s="18">
        <v>40</v>
      </c>
      <c r="B72" s="18">
        <v>1.9E-3</v>
      </c>
    </row>
    <row r="73" spans="1:2" x14ac:dyDescent="0.25">
      <c r="A73" s="18">
        <v>40.5</v>
      </c>
      <c r="B73" s="18">
        <v>1.8400000000000001E-3</v>
      </c>
    </row>
    <row r="74" spans="1:2" x14ac:dyDescent="0.25">
      <c r="A74" s="18">
        <v>41</v>
      </c>
      <c r="B74" s="18">
        <v>1.7799999999999999E-3</v>
      </c>
    </row>
    <row r="75" spans="1:2" x14ac:dyDescent="0.25">
      <c r="A75" s="18">
        <v>41.5</v>
      </c>
      <c r="B75" s="18">
        <v>1.73E-3</v>
      </c>
    </row>
    <row r="76" spans="1:2" x14ac:dyDescent="0.25">
      <c r="A76" s="18">
        <v>42</v>
      </c>
      <c r="B76" s="18">
        <v>1.65E-3</v>
      </c>
    </row>
    <row r="77" spans="1:2" x14ac:dyDescent="0.25">
      <c r="A77" s="18">
        <v>42.5</v>
      </c>
      <c r="B77" s="18">
        <v>1.6100000000000001E-3</v>
      </c>
    </row>
    <row r="78" spans="1:2" x14ac:dyDescent="0.25">
      <c r="A78" s="18">
        <v>43</v>
      </c>
      <c r="B78" s="18">
        <v>1.5499999999999999E-3</v>
      </c>
    </row>
    <row r="79" spans="1:2" x14ac:dyDescent="0.25">
      <c r="A79" s="18">
        <v>43.5</v>
      </c>
      <c r="B79" s="18">
        <v>1.5E-3</v>
      </c>
    </row>
    <row r="80" spans="1:2" x14ac:dyDescent="0.25">
      <c r="A80" s="18">
        <v>44</v>
      </c>
      <c r="B80" s="18">
        <v>1.4499999999999999E-3</v>
      </c>
    </row>
    <row r="81" spans="1:2" x14ac:dyDescent="0.25">
      <c r="A81" s="18">
        <v>44.5</v>
      </c>
      <c r="B81" s="18">
        <v>1.39E-3</v>
      </c>
    </row>
    <row r="82" spans="1:2" x14ac:dyDescent="0.25">
      <c r="A82" s="18">
        <v>45</v>
      </c>
      <c r="B82" s="18">
        <v>1.3500000000000001E-3</v>
      </c>
    </row>
    <row r="83" spans="1:2" x14ac:dyDescent="0.25">
      <c r="A83" s="18">
        <v>45.5</v>
      </c>
      <c r="B83" s="18">
        <v>1.31E-3</v>
      </c>
    </row>
    <row r="84" spans="1:2" x14ac:dyDescent="0.25">
      <c r="A84" s="18">
        <v>46</v>
      </c>
      <c r="B84" s="18">
        <v>1.2600000000000001E-3</v>
      </c>
    </row>
    <row r="85" spans="1:2" x14ac:dyDescent="0.25">
      <c r="A85" s="18">
        <v>46.5</v>
      </c>
      <c r="B85" s="18">
        <v>1.24E-3</v>
      </c>
    </row>
    <row r="86" spans="1:2" x14ac:dyDescent="0.25">
      <c r="A86" s="18">
        <v>47</v>
      </c>
      <c r="B86" s="18">
        <v>1.1900000000000001E-3</v>
      </c>
    </row>
    <row r="87" spans="1:2" x14ac:dyDescent="0.25">
      <c r="A87" s="18">
        <v>47.5</v>
      </c>
      <c r="B87" s="18">
        <v>1.16E-3</v>
      </c>
    </row>
    <row r="88" spans="1:2" x14ac:dyDescent="0.25">
      <c r="A88" s="18">
        <v>48</v>
      </c>
      <c r="B88" s="18">
        <v>1.1199999999999999E-3</v>
      </c>
    </row>
    <row r="89" spans="1:2" x14ac:dyDescent="0.25">
      <c r="A89" s="18">
        <v>48.5</v>
      </c>
      <c r="B89" s="18">
        <v>1.07E-3</v>
      </c>
    </row>
    <row r="90" spans="1:2" x14ac:dyDescent="0.25">
      <c r="A90" s="18">
        <v>49</v>
      </c>
      <c r="B90" s="18">
        <v>1.0399999999999999E-3</v>
      </c>
    </row>
    <row r="91" spans="1:2" x14ac:dyDescent="0.25">
      <c r="A91" s="18">
        <v>49.5</v>
      </c>
      <c r="B91" s="18">
        <v>1.01E-3</v>
      </c>
    </row>
    <row r="92" spans="1:2" x14ac:dyDescent="0.25">
      <c r="A92" s="18">
        <v>50</v>
      </c>
      <c r="B92" s="18">
        <v>9.8400000000000007E-4</v>
      </c>
    </row>
    <row r="93" spans="1:2" x14ac:dyDescent="0.25">
      <c r="A93" s="18">
        <v>50.5</v>
      </c>
      <c r="B93" s="18">
        <v>9.5799999999999998E-4</v>
      </c>
    </row>
    <row r="94" spans="1:2" x14ac:dyDescent="0.25">
      <c r="A94" s="18">
        <v>51</v>
      </c>
      <c r="B94" s="18">
        <v>9.2500000000000004E-4</v>
      </c>
    </row>
    <row r="95" spans="1:2" x14ac:dyDescent="0.25">
      <c r="A95" s="18">
        <v>51.5</v>
      </c>
      <c r="B95" s="18">
        <v>9.2000000000000003E-4</v>
      </c>
    </row>
    <row r="96" spans="1:2" x14ac:dyDescent="0.25">
      <c r="A96" s="18">
        <v>52</v>
      </c>
      <c r="B96" s="18">
        <v>8.7900000000000001E-4</v>
      </c>
    </row>
    <row r="97" spans="1:2" x14ac:dyDescent="0.25">
      <c r="A97" s="18">
        <v>52.5</v>
      </c>
      <c r="B97" s="18">
        <v>8.5800000000000004E-4</v>
      </c>
    </row>
    <row r="98" spans="1:2" x14ac:dyDescent="0.25">
      <c r="A98" s="18">
        <v>53</v>
      </c>
      <c r="B98" s="18">
        <v>8.4199999999999998E-4</v>
      </c>
    </row>
    <row r="99" spans="1:2" x14ac:dyDescent="0.25">
      <c r="A99" s="18">
        <v>53.5</v>
      </c>
      <c r="B99" s="18">
        <v>8.1099999999999998E-4</v>
      </c>
    </row>
    <row r="100" spans="1:2" x14ac:dyDescent="0.25">
      <c r="A100" s="18">
        <v>54</v>
      </c>
      <c r="B100" s="18">
        <v>7.9199999999999995E-4</v>
      </c>
    </row>
    <row r="101" spans="1:2" x14ac:dyDescent="0.25">
      <c r="A101" s="18">
        <v>54.5</v>
      </c>
      <c r="B101" s="18">
        <v>7.7999999999999999E-4</v>
      </c>
    </row>
    <row r="102" spans="1:2" x14ac:dyDescent="0.25">
      <c r="A102" s="18">
        <v>55</v>
      </c>
      <c r="B102" s="18">
        <v>7.5299999999999998E-4</v>
      </c>
    </row>
    <row r="103" spans="1:2" x14ac:dyDescent="0.25">
      <c r="A103" s="18">
        <v>55.5</v>
      </c>
      <c r="B103" s="18">
        <v>7.2999999999999996E-4</v>
      </c>
    </row>
    <row r="104" spans="1:2" x14ac:dyDescent="0.25">
      <c r="A104" s="18">
        <v>56</v>
      </c>
      <c r="B104" s="18">
        <v>7.2800000000000002E-4</v>
      </c>
    </row>
    <row r="105" spans="1:2" x14ac:dyDescent="0.25">
      <c r="A105" s="18">
        <v>56.5</v>
      </c>
      <c r="B105" s="18">
        <v>7.0100000000000002E-4</v>
      </c>
    </row>
    <row r="106" spans="1:2" x14ac:dyDescent="0.25">
      <c r="A106" s="18">
        <v>57</v>
      </c>
      <c r="B106" s="18">
        <v>6.8499999999999995E-4</v>
      </c>
    </row>
    <row r="107" spans="1:2" x14ac:dyDescent="0.25">
      <c r="A107" s="18">
        <v>57.5</v>
      </c>
      <c r="B107" s="18">
        <v>7.8100000000000001E-4</v>
      </c>
    </row>
    <row r="108" spans="1:2" x14ac:dyDescent="0.25">
      <c r="A108" s="18">
        <v>58</v>
      </c>
      <c r="B108" s="18">
        <v>1.5100000000000001E-3</v>
      </c>
    </row>
    <row r="109" spans="1:2" x14ac:dyDescent="0.25">
      <c r="A109" s="18">
        <v>58.5</v>
      </c>
      <c r="B109" s="18">
        <v>7.1400000000000001E-4</v>
      </c>
    </row>
    <row r="110" spans="1:2" x14ac:dyDescent="0.25">
      <c r="A110" s="18">
        <v>59</v>
      </c>
      <c r="B110" s="18">
        <v>1.2700000000000001E-3</v>
      </c>
    </row>
    <row r="111" spans="1:2" x14ac:dyDescent="0.25">
      <c r="A111" s="18">
        <v>59.5</v>
      </c>
      <c r="B111" s="18">
        <v>1.73E-3</v>
      </c>
    </row>
    <row r="112" spans="1:2" x14ac:dyDescent="0.25">
      <c r="A112" s="18">
        <v>60</v>
      </c>
      <c r="B112" s="18">
        <v>6.0400000000000004E-4</v>
      </c>
    </row>
    <row r="113" spans="1:2" x14ac:dyDescent="0.25">
      <c r="A113" s="18">
        <v>60.5</v>
      </c>
      <c r="B113" s="18">
        <v>5.7300000000000005E-4</v>
      </c>
    </row>
    <row r="114" spans="1:2" x14ac:dyDescent="0.25">
      <c r="A114" s="18">
        <v>61</v>
      </c>
      <c r="B114" s="18">
        <v>5.5400000000000002E-4</v>
      </c>
    </row>
    <row r="115" spans="1:2" x14ac:dyDescent="0.25">
      <c r="A115" s="18">
        <v>61.5</v>
      </c>
      <c r="B115" s="18">
        <v>5.4799999999999998E-4</v>
      </c>
    </row>
    <row r="116" spans="1:2" x14ac:dyDescent="0.25">
      <c r="A116" s="18">
        <v>62</v>
      </c>
      <c r="B116" s="18">
        <v>5.31E-4</v>
      </c>
    </row>
    <row r="117" spans="1:2" x14ac:dyDescent="0.25">
      <c r="A117" s="18">
        <v>62.5</v>
      </c>
      <c r="B117" s="18">
        <v>5.1800000000000001E-4</v>
      </c>
    </row>
    <row r="118" spans="1:2" x14ac:dyDescent="0.25">
      <c r="A118" s="18">
        <v>63</v>
      </c>
      <c r="B118" s="18">
        <v>5.1400000000000003E-4</v>
      </c>
    </row>
    <row r="119" spans="1:2" x14ac:dyDescent="0.25">
      <c r="A119" s="18">
        <v>63.5</v>
      </c>
      <c r="B119" s="18">
        <v>5.04E-4</v>
      </c>
    </row>
    <row r="120" spans="1:2" x14ac:dyDescent="0.25">
      <c r="A120" s="18">
        <v>64</v>
      </c>
      <c r="B120" s="18">
        <v>4.9299999999999995E-4</v>
      </c>
    </row>
    <row r="121" spans="1:2" x14ac:dyDescent="0.25">
      <c r="A121" s="18">
        <v>64.5</v>
      </c>
      <c r="B121" s="18">
        <v>4.7399999999999997E-4</v>
      </c>
    </row>
    <row r="122" spans="1:2" x14ac:dyDescent="0.25">
      <c r="A122" s="18">
        <v>65</v>
      </c>
      <c r="B122" s="18">
        <v>4.6799999999999999E-4</v>
      </c>
    </row>
    <row r="123" spans="1:2" x14ac:dyDescent="0.25">
      <c r="A123" s="18">
        <v>65.5</v>
      </c>
      <c r="B123" s="18">
        <v>4.5399999999999998E-4</v>
      </c>
    </row>
    <row r="124" spans="1:2" x14ac:dyDescent="0.25">
      <c r="A124" s="18">
        <v>66</v>
      </c>
      <c r="B124" s="18">
        <v>4.4799999999999999E-4</v>
      </c>
    </row>
    <row r="125" spans="1:2" x14ac:dyDescent="0.25">
      <c r="A125" s="18">
        <v>66.5</v>
      </c>
      <c r="B125" s="18">
        <v>4.6999999999999999E-4</v>
      </c>
    </row>
    <row r="126" spans="1:2" x14ac:dyDescent="0.25">
      <c r="A126" s="18">
        <v>67</v>
      </c>
      <c r="B126" s="18">
        <v>8.2799999999999996E-4</v>
      </c>
    </row>
    <row r="127" spans="1:2" x14ac:dyDescent="0.25">
      <c r="A127" s="18">
        <v>67.5</v>
      </c>
      <c r="B127" s="18">
        <v>6.2100000000000002E-4</v>
      </c>
    </row>
    <row r="128" spans="1:2" x14ac:dyDescent="0.25">
      <c r="A128" s="18">
        <v>68</v>
      </c>
      <c r="B128" s="18">
        <v>4.0499999999999998E-4</v>
      </c>
    </row>
    <row r="129" spans="1:2" x14ac:dyDescent="0.25">
      <c r="A129" s="18">
        <v>68.5</v>
      </c>
      <c r="B129" s="18">
        <v>4.0999999999999999E-4</v>
      </c>
    </row>
    <row r="130" spans="1:2" x14ac:dyDescent="0.25">
      <c r="A130" s="18">
        <v>69</v>
      </c>
      <c r="B130" s="18">
        <v>5.0799999999999999E-4</v>
      </c>
    </row>
    <row r="131" spans="1:2" x14ac:dyDescent="0.25">
      <c r="A131" s="18">
        <v>69.5</v>
      </c>
      <c r="B131" s="18">
        <v>4.0999999999999999E-4</v>
      </c>
    </row>
    <row r="132" spans="1:2" x14ac:dyDescent="0.25">
      <c r="A132" s="18">
        <v>70</v>
      </c>
      <c r="B132" s="18">
        <v>3.48E-4</v>
      </c>
    </row>
    <row r="133" spans="1:2" x14ac:dyDescent="0.25">
      <c r="A133" s="18">
        <v>70.5</v>
      </c>
      <c r="B133" s="18">
        <v>3.3700000000000001E-4</v>
      </c>
    </row>
    <row r="134" spans="1:2" x14ac:dyDescent="0.25">
      <c r="A134" s="18">
        <v>71</v>
      </c>
      <c r="B134" s="18">
        <v>3.2899999999999997E-4</v>
      </c>
    </row>
    <row r="135" spans="1:2" x14ac:dyDescent="0.25">
      <c r="A135" s="18">
        <v>71.5</v>
      </c>
      <c r="B135" s="18">
        <v>3.1599999999999998E-4</v>
      </c>
    </row>
    <row r="136" spans="1:2" x14ac:dyDescent="0.25">
      <c r="A136" s="18">
        <v>72</v>
      </c>
      <c r="B136" s="18">
        <v>3.0699999999999998E-4</v>
      </c>
    </row>
    <row r="137" spans="1:2" x14ac:dyDescent="0.25">
      <c r="A137" s="18">
        <v>72.5</v>
      </c>
      <c r="B137" s="18">
        <v>3.0200000000000002E-4</v>
      </c>
    </row>
    <row r="138" spans="1:2" x14ac:dyDescent="0.25">
      <c r="A138" s="18">
        <v>73</v>
      </c>
      <c r="B138" s="18">
        <v>2.9500000000000001E-4</v>
      </c>
    </row>
    <row r="139" spans="1:2" x14ac:dyDescent="0.25">
      <c r="A139" s="18">
        <v>73.5</v>
      </c>
      <c r="B139" s="18">
        <v>2.92E-4</v>
      </c>
    </row>
    <row r="140" spans="1:2" x14ac:dyDescent="0.25">
      <c r="A140" s="18">
        <v>74</v>
      </c>
      <c r="B140" s="18">
        <v>2.7799999999999998E-4</v>
      </c>
    </row>
    <row r="141" spans="1:2" x14ac:dyDescent="0.25">
      <c r="A141" s="18">
        <v>74.5</v>
      </c>
      <c r="B141" s="18">
        <v>2.6899999999999998E-4</v>
      </c>
    </row>
    <row r="142" spans="1:2" x14ac:dyDescent="0.25">
      <c r="A142" s="18">
        <v>75</v>
      </c>
      <c r="B142" s="18">
        <v>2.6600000000000001E-4</v>
      </c>
    </row>
    <row r="143" spans="1:2" x14ac:dyDescent="0.25">
      <c r="A143" s="18">
        <v>75.5</v>
      </c>
      <c r="B143" s="18">
        <v>2.5399999999999999E-4</v>
      </c>
    </row>
    <row r="144" spans="1:2" x14ac:dyDescent="0.25">
      <c r="A144" s="18">
        <v>76</v>
      </c>
      <c r="B144" s="18">
        <v>2.4600000000000002E-4</v>
      </c>
    </row>
    <row r="145" spans="1:2" x14ac:dyDescent="0.25">
      <c r="A145" s="18">
        <v>76.5</v>
      </c>
      <c r="B145" s="18">
        <v>2.43E-4</v>
      </c>
    </row>
    <row r="146" spans="1:2" x14ac:dyDescent="0.25">
      <c r="A146" s="18">
        <v>77</v>
      </c>
      <c r="B146" s="18">
        <v>2.32E-4</v>
      </c>
    </row>
    <row r="147" spans="1:2" x14ac:dyDescent="0.25">
      <c r="A147" s="18">
        <v>77.5</v>
      </c>
      <c r="B147" s="18">
        <v>2.24E-4</v>
      </c>
    </row>
    <row r="148" spans="1:2" x14ac:dyDescent="0.25">
      <c r="A148" s="18">
        <v>78</v>
      </c>
      <c r="B148" s="18">
        <v>2.12E-4</v>
      </c>
    </row>
    <row r="149" spans="1:2" x14ac:dyDescent="0.25">
      <c r="A149" s="18">
        <v>78.5</v>
      </c>
      <c r="B149" s="18">
        <v>2.0699999999999999E-4</v>
      </c>
    </row>
    <row r="150" spans="1:2" x14ac:dyDescent="0.25">
      <c r="A150" s="18">
        <v>79</v>
      </c>
      <c r="B150" s="18">
        <v>2.04E-4</v>
      </c>
    </row>
    <row r="151" spans="1:2" x14ac:dyDescent="0.25">
      <c r="A151" s="18">
        <v>79.5</v>
      </c>
      <c r="B151" s="18">
        <v>1.8599999999999999E-4</v>
      </c>
    </row>
    <row r="152" spans="1:2" x14ac:dyDescent="0.25">
      <c r="A152" s="18">
        <v>80</v>
      </c>
      <c r="B152" s="18">
        <v>1.8000000000000001E-4</v>
      </c>
    </row>
    <row r="153" spans="1:2" x14ac:dyDescent="0.25">
      <c r="A153" s="18">
        <v>80.5</v>
      </c>
      <c r="B153" s="18">
        <v>1.73E-4</v>
      </c>
    </row>
    <row r="154" spans="1:2" x14ac:dyDescent="0.25">
      <c r="A154" s="18">
        <v>81</v>
      </c>
      <c r="B154" s="18">
        <v>1.7100000000000001E-4</v>
      </c>
    </row>
    <row r="155" spans="1:2" x14ac:dyDescent="0.25">
      <c r="A155" s="18">
        <v>81.5</v>
      </c>
      <c r="B155" s="18">
        <v>1.56E-4</v>
      </c>
    </row>
    <row r="156" spans="1:2" x14ac:dyDescent="0.25">
      <c r="A156" s="18">
        <v>82</v>
      </c>
      <c r="B156" s="18">
        <v>1.5300000000000001E-4</v>
      </c>
    </row>
    <row r="157" spans="1:2" x14ac:dyDescent="0.25">
      <c r="A157" s="18">
        <v>82.5</v>
      </c>
      <c r="B157" s="18">
        <v>1.4300000000000001E-4</v>
      </c>
    </row>
    <row r="158" spans="1:2" x14ac:dyDescent="0.25">
      <c r="A158" s="18">
        <v>83</v>
      </c>
      <c r="B158" s="18">
        <v>1.36E-4</v>
      </c>
    </row>
    <row r="159" spans="1:2" x14ac:dyDescent="0.25">
      <c r="A159" s="18">
        <v>83.5</v>
      </c>
      <c r="B159" s="18">
        <v>1.3200000000000001E-4</v>
      </c>
    </row>
    <row r="160" spans="1:2" x14ac:dyDescent="0.25">
      <c r="A160" s="18">
        <v>84</v>
      </c>
      <c r="B160" s="18">
        <v>1.2E-4</v>
      </c>
    </row>
    <row r="161" spans="1:2" x14ac:dyDescent="0.25">
      <c r="A161" s="18">
        <v>84.5</v>
      </c>
      <c r="B161" s="18">
        <v>1.13E-4</v>
      </c>
    </row>
    <row r="162" spans="1:2" x14ac:dyDescent="0.25">
      <c r="A162" s="18">
        <v>85</v>
      </c>
      <c r="B162" s="18">
        <v>1.01E-4</v>
      </c>
    </row>
    <row r="163" spans="1:2" x14ac:dyDescent="0.25">
      <c r="A163" s="18">
        <v>85.5</v>
      </c>
      <c r="B163" s="18">
        <v>9.98E-5</v>
      </c>
    </row>
    <row r="164" spans="1:2" x14ac:dyDescent="0.25">
      <c r="A164" s="18">
        <v>86</v>
      </c>
      <c r="B164" s="18">
        <v>8.4800000000000001E-5</v>
      </c>
    </row>
    <row r="165" spans="1:2" x14ac:dyDescent="0.25">
      <c r="A165" s="18">
        <v>86.5</v>
      </c>
      <c r="B165" s="18">
        <v>7.5900000000000002E-5</v>
      </c>
    </row>
    <row r="166" spans="1:2" x14ac:dyDescent="0.25">
      <c r="A166" s="18">
        <v>87</v>
      </c>
      <c r="B166" s="18">
        <v>6.3E-5</v>
      </c>
    </row>
    <row r="167" spans="1:2" x14ac:dyDescent="0.25">
      <c r="A167" s="18">
        <v>87.5</v>
      </c>
      <c r="B167" s="18">
        <v>6.02E-5</v>
      </c>
    </row>
    <row r="168" spans="1:2" x14ac:dyDescent="0.25">
      <c r="A168" s="18">
        <v>88</v>
      </c>
      <c r="B168" s="18">
        <v>4.6799999999999999E-5</v>
      </c>
    </row>
    <row r="169" spans="1:2" x14ac:dyDescent="0.25">
      <c r="A169" s="18">
        <v>88.5</v>
      </c>
      <c r="B169" s="18">
        <v>3.6900000000000002E-5</v>
      </c>
    </row>
    <row r="170" spans="1:2" x14ac:dyDescent="0.25">
      <c r="A170" s="18">
        <v>89</v>
      </c>
      <c r="B170" s="18">
        <v>2.6400000000000001E-5</v>
      </c>
    </row>
    <row r="171" spans="1:2" x14ac:dyDescent="0.25">
      <c r="A171" s="18">
        <v>89.5</v>
      </c>
      <c r="B171" s="18">
        <v>1.6099999999999998E-5</v>
      </c>
    </row>
    <row r="172" spans="1:2" x14ac:dyDescent="0.25">
      <c r="A172" s="18">
        <v>90</v>
      </c>
      <c r="B172" s="18">
        <v>2.6000000000000001E-6</v>
      </c>
    </row>
    <row r="173" spans="1:2" x14ac:dyDescent="0.25">
      <c r="A173" s="18">
        <v>90.5</v>
      </c>
      <c r="B173" s="18">
        <v>2.9799999999999999E-7</v>
      </c>
    </row>
    <row r="174" spans="1:2" x14ac:dyDescent="0.25">
      <c r="A174" s="18">
        <v>91</v>
      </c>
      <c r="B174" s="18">
        <v>5.8999999999999999E-8</v>
      </c>
    </row>
    <row r="175" spans="1:2" x14ac:dyDescent="0.25">
      <c r="A175" s="18">
        <v>91.5</v>
      </c>
      <c r="B175" s="18">
        <v>3.2899999999999999E-7</v>
      </c>
    </row>
    <row r="176" spans="1:2" x14ac:dyDescent="0.25">
      <c r="A176" s="18">
        <v>92</v>
      </c>
      <c r="B176" s="18">
        <v>3.0400000000000002E-7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1:B19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1.39E-3</v>
      </c>
    </row>
    <row r="3" spans="1:2" x14ac:dyDescent="0.25">
      <c r="A3" s="18">
        <v>5.5</v>
      </c>
      <c r="B3" s="18">
        <v>1.4599999999999999E-3</v>
      </c>
    </row>
    <row r="4" spans="1:2" x14ac:dyDescent="0.25">
      <c r="A4" s="18">
        <v>6</v>
      </c>
      <c r="B4" s="18">
        <v>1.08E-3</v>
      </c>
    </row>
    <row r="5" spans="1:2" x14ac:dyDescent="0.25">
      <c r="A5" s="18">
        <v>6.5</v>
      </c>
      <c r="B5" s="18">
        <v>1.56E-3</v>
      </c>
    </row>
    <row r="6" spans="1:2" x14ac:dyDescent="0.25">
      <c r="A6" s="18">
        <v>7</v>
      </c>
      <c r="B6" s="18">
        <v>2.0899999999999998E-3</v>
      </c>
    </row>
    <row r="7" spans="1:2" x14ac:dyDescent="0.25">
      <c r="A7" s="18">
        <v>7.5</v>
      </c>
      <c r="B7" s="18">
        <v>4.2700000000000004E-3</v>
      </c>
    </row>
    <row r="8" spans="1:2" x14ac:dyDescent="0.25">
      <c r="A8" s="18">
        <v>8</v>
      </c>
      <c r="B8" s="18">
        <v>1.8700000000000001E-2</v>
      </c>
    </row>
    <row r="9" spans="1:2" x14ac:dyDescent="0.25">
      <c r="A9" s="18">
        <v>8.5</v>
      </c>
      <c r="B9" s="18">
        <v>0.10100000000000001</v>
      </c>
    </row>
    <row r="10" spans="1:2" x14ac:dyDescent="0.25">
      <c r="A10" s="18">
        <v>9</v>
      </c>
      <c r="B10" s="18">
        <v>1.4999999999999999E-2</v>
      </c>
    </row>
    <row r="11" spans="1:2" x14ac:dyDescent="0.25">
      <c r="A11" s="18">
        <v>9.5</v>
      </c>
      <c r="B11" s="18">
        <v>0.124</v>
      </c>
    </row>
    <row r="12" spans="1:2" x14ac:dyDescent="0.25">
      <c r="A12" s="18">
        <v>10</v>
      </c>
      <c r="B12" s="18">
        <v>0.14099999999999999</v>
      </c>
    </row>
    <row r="13" spans="1:2" x14ac:dyDescent="0.25">
      <c r="A13" s="18">
        <v>10.5</v>
      </c>
      <c r="B13" s="18">
        <v>1.66E-2</v>
      </c>
    </row>
    <row r="14" spans="1:2" x14ac:dyDescent="0.25">
      <c r="A14" s="18">
        <v>11</v>
      </c>
      <c r="B14" s="18">
        <v>1.9400000000000001E-2</v>
      </c>
    </row>
    <row r="15" spans="1:2" x14ac:dyDescent="0.25">
      <c r="A15" s="18">
        <v>11.5</v>
      </c>
      <c r="B15" s="18">
        <v>3.5499999999999997E-2</v>
      </c>
    </row>
    <row r="16" spans="1:2" x14ac:dyDescent="0.25">
      <c r="A16" s="18">
        <v>12</v>
      </c>
      <c r="B16" s="18">
        <v>1.5900000000000001E-2</v>
      </c>
    </row>
    <row r="17" spans="1:2" x14ac:dyDescent="0.25">
      <c r="A17" s="18">
        <v>12.5</v>
      </c>
      <c r="B17" s="18">
        <v>1.21E-2</v>
      </c>
    </row>
    <row r="18" spans="1:2" x14ac:dyDescent="0.25">
      <c r="A18" s="18">
        <v>13</v>
      </c>
      <c r="B18" s="18">
        <v>1.2699999999999999E-2</v>
      </c>
    </row>
    <row r="19" spans="1:2" x14ac:dyDescent="0.25">
      <c r="A19" s="18">
        <v>13.5</v>
      </c>
      <c r="B19" s="18">
        <v>1.3100000000000001E-2</v>
      </c>
    </row>
    <row r="20" spans="1:2" x14ac:dyDescent="0.25">
      <c r="A20" s="18">
        <v>14</v>
      </c>
      <c r="B20" s="18">
        <v>1.37E-2</v>
      </c>
    </row>
    <row r="21" spans="1:2" x14ac:dyDescent="0.25">
      <c r="A21" s="18">
        <v>14.5</v>
      </c>
      <c r="B21" s="18">
        <v>1.38E-2</v>
      </c>
    </row>
    <row r="22" spans="1:2" x14ac:dyDescent="0.25">
      <c r="A22" s="18">
        <v>15</v>
      </c>
      <c r="B22" s="18">
        <v>1.4E-2</v>
      </c>
    </row>
    <row r="23" spans="1:2" x14ac:dyDescent="0.25">
      <c r="A23" s="18">
        <v>15.5</v>
      </c>
      <c r="B23" s="18">
        <v>1.41E-2</v>
      </c>
    </row>
    <row r="24" spans="1:2" x14ac:dyDescent="0.25">
      <c r="A24" s="18">
        <v>16</v>
      </c>
      <c r="B24" s="18">
        <v>1.41E-2</v>
      </c>
    </row>
    <row r="25" spans="1:2" x14ac:dyDescent="0.25">
      <c r="A25" s="18">
        <v>16.5</v>
      </c>
      <c r="B25" s="18">
        <v>1.38E-2</v>
      </c>
    </row>
    <row r="26" spans="1:2" x14ac:dyDescent="0.25">
      <c r="A26" s="18">
        <v>17</v>
      </c>
      <c r="B26" s="18">
        <v>1.37E-2</v>
      </c>
    </row>
    <row r="27" spans="1:2" x14ac:dyDescent="0.25">
      <c r="A27" s="18">
        <v>17.5</v>
      </c>
      <c r="B27" s="18">
        <v>1.3299999999999999E-2</v>
      </c>
    </row>
    <row r="28" spans="1:2" x14ac:dyDescent="0.25">
      <c r="A28" s="18">
        <v>18</v>
      </c>
      <c r="B28" s="18">
        <v>1.2999999999999999E-2</v>
      </c>
    </row>
    <row r="29" spans="1:2" x14ac:dyDescent="0.25">
      <c r="A29" s="18">
        <v>18.5</v>
      </c>
      <c r="B29" s="18">
        <v>1.2699999999999999E-2</v>
      </c>
    </row>
    <row r="30" spans="1:2" x14ac:dyDescent="0.25">
      <c r="A30" s="18">
        <v>19</v>
      </c>
      <c r="B30" s="18">
        <v>1.2200000000000001E-2</v>
      </c>
    </row>
    <row r="31" spans="1:2" x14ac:dyDescent="0.25">
      <c r="A31" s="18">
        <v>19.5</v>
      </c>
      <c r="B31" s="18">
        <v>1.18E-2</v>
      </c>
    </row>
    <row r="32" spans="1:2" x14ac:dyDescent="0.25">
      <c r="A32" s="18">
        <v>20</v>
      </c>
      <c r="B32" s="18">
        <v>1.15E-2</v>
      </c>
    </row>
    <row r="33" spans="1:2" x14ac:dyDescent="0.25">
      <c r="A33" s="18">
        <v>20.5</v>
      </c>
      <c r="B33" s="18">
        <v>1.11E-2</v>
      </c>
    </row>
    <row r="34" spans="1:2" x14ac:dyDescent="0.25">
      <c r="A34" s="18">
        <v>21</v>
      </c>
      <c r="B34" s="18">
        <v>1.06E-2</v>
      </c>
    </row>
    <row r="35" spans="1:2" x14ac:dyDescent="0.25">
      <c r="A35" s="18">
        <v>21.5</v>
      </c>
      <c r="B35" s="18">
        <v>1.0200000000000001E-2</v>
      </c>
    </row>
    <row r="36" spans="1:2" x14ac:dyDescent="0.25">
      <c r="A36" s="18">
        <v>22</v>
      </c>
      <c r="B36" s="18">
        <v>9.7999999999999997E-3</v>
      </c>
    </row>
    <row r="37" spans="1:2" x14ac:dyDescent="0.25">
      <c r="A37" s="18">
        <v>22.5</v>
      </c>
      <c r="B37" s="18">
        <v>9.3600000000000003E-3</v>
      </c>
    </row>
    <row r="38" spans="1:2" x14ac:dyDescent="0.25">
      <c r="A38" s="18">
        <v>23</v>
      </c>
      <c r="B38" s="18">
        <v>8.9499999999999996E-3</v>
      </c>
    </row>
    <row r="39" spans="1:2" x14ac:dyDescent="0.25">
      <c r="A39" s="18">
        <v>23.5</v>
      </c>
      <c r="B39" s="18">
        <v>8.6300000000000005E-3</v>
      </c>
    </row>
    <row r="40" spans="1:2" x14ac:dyDescent="0.25">
      <c r="A40" s="18">
        <v>24</v>
      </c>
      <c r="B40" s="18">
        <v>8.2100000000000003E-3</v>
      </c>
    </row>
    <row r="41" spans="1:2" x14ac:dyDescent="0.25">
      <c r="A41" s="18">
        <v>24.5</v>
      </c>
      <c r="B41" s="18">
        <v>7.8600000000000007E-3</v>
      </c>
    </row>
    <row r="42" spans="1:2" x14ac:dyDescent="0.25">
      <c r="A42" s="18">
        <v>25</v>
      </c>
      <c r="B42" s="18">
        <v>7.4900000000000001E-3</v>
      </c>
    </row>
    <row r="43" spans="1:2" x14ac:dyDescent="0.25">
      <c r="A43" s="18">
        <v>25.5</v>
      </c>
      <c r="B43" s="18">
        <v>7.1300000000000001E-3</v>
      </c>
    </row>
    <row r="44" spans="1:2" x14ac:dyDescent="0.25">
      <c r="A44" s="18">
        <v>26</v>
      </c>
      <c r="B44" s="18">
        <v>6.8300000000000001E-3</v>
      </c>
    </row>
    <row r="45" spans="1:2" x14ac:dyDescent="0.25">
      <c r="A45" s="18">
        <v>26.5</v>
      </c>
      <c r="B45" s="18">
        <v>6.4900000000000001E-3</v>
      </c>
    </row>
    <row r="46" spans="1:2" x14ac:dyDescent="0.25">
      <c r="A46" s="18">
        <v>27</v>
      </c>
      <c r="B46" s="18">
        <v>6.2100000000000002E-3</v>
      </c>
    </row>
    <row r="47" spans="1:2" x14ac:dyDescent="0.25">
      <c r="A47" s="18">
        <v>27.5</v>
      </c>
      <c r="B47" s="18">
        <v>5.94E-3</v>
      </c>
    </row>
    <row r="48" spans="1:2" x14ac:dyDescent="0.25">
      <c r="A48" s="18">
        <v>28</v>
      </c>
      <c r="B48" s="18">
        <v>5.6800000000000002E-3</v>
      </c>
    </row>
    <row r="49" spans="1:2" x14ac:dyDescent="0.25">
      <c r="A49" s="18">
        <v>28.5</v>
      </c>
      <c r="B49" s="18">
        <v>5.3800000000000002E-3</v>
      </c>
    </row>
    <row r="50" spans="1:2" x14ac:dyDescent="0.25">
      <c r="A50" s="18">
        <v>29</v>
      </c>
      <c r="B50" s="18">
        <v>5.1500000000000001E-3</v>
      </c>
    </row>
    <row r="51" spans="1:2" x14ac:dyDescent="0.25">
      <c r="A51" s="18">
        <v>29.5</v>
      </c>
      <c r="B51" s="18">
        <v>4.9500000000000004E-3</v>
      </c>
    </row>
    <row r="52" spans="1:2" x14ac:dyDescent="0.25">
      <c r="A52" s="18">
        <v>30</v>
      </c>
      <c r="B52" s="18">
        <v>4.6899999999999997E-3</v>
      </c>
    </row>
    <row r="53" spans="1:2" x14ac:dyDescent="0.25">
      <c r="A53" s="18">
        <v>30.5</v>
      </c>
      <c r="B53" s="18">
        <v>4.4900000000000001E-3</v>
      </c>
    </row>
    <row r="54" spans="1:2" x14ac:dyDescent="0.25">
      <c r="A54" s="18">
        <v>31</v>
      </c>
      <c r="B54" s="18">
        <v>4.3299999999999996E-3</v>
      </c>
    </row>
    <row r="55" spans="1:2" x14ac:dyDescent="0.25">
      <c r="A55" s="18">
        <v>31.5</v>
      </c>
      <c r="B55" s="18">
        <v>4.1399999999999996E-3</v>
      </c>
    </row>
    <row r="56" spans="1:2" x14ac:dyDescent="0.25">
      <c r="A56" s="18">
        <v>32</v>
      </c>
      <c r="B56" s="18">
        <v>3.96E-3</v>
      </c>
    </row>
    <row r="57" spans="1:2" x14ac:dyDescent="0.25">
      <c r="A57" s="18">
        <v>32.5</v>
      </c>
      <c r="B57" s="18">
        <v>3.79E-3</v>
      </c>
    </row>
    <row r="58" spans="1:2" x14ac:dyDescent="0.25">
      <c r="A58" s="18">
        <v>33</v>
      </c>
      <c r="B58" s="18">
        <v>3.64E-3</v>
      </c>
    </row>
    <row r="59" spans="1:2" x14ac:dyDescent="0.25">
      <c r="A59" s="18">
        <v>33.5</v>
      </c>
      <c r="B59" s="18">
        <v>3.5000000000000001E-3</v>
      </c>
    </row>
    <row r="60" spans="1:2" x14ac:dyDescent="0.25">
      <c r="A60" s="18">
        <v>34</v>
      </c>
      <c r="B60" s="18">
        <v>3.3300000000000001E-3</v>
      </c>
    </row>
    <row r="61" spans="1:2" x14ac:dyDescent="0.25">
      <c r="A61" s="18">
        <v>34.5</v>
      </c>
      <c r="B61" s="18">
        <v>3.2299999999999998E-3</v>
      </c>
    </row>
    <row r="62" spans="1:2" x14ac:dyDescent="0.25">
      <c r="A62" s="18">
        <v>35</v>
      </c>
      <c r="B62" s="18">
        <v>3.0799999999999998E-3</v>
      </c>
    </row>
    <row r="63" spans="1:2" x14ac:dyDescent="0.25">
      <c r="A63" s="18">
        <v>35.5</v>
      </c>
      <c r="B63" s="18">
        <v>2.9499999999999999E-3</v>
      </c>
    </row>
    <row r="64" spans="1:2" x14ac:dyDescent="0.25">
      <c r="A64" s="18">
        <v>36</v>
      </c>
      <c r="B64" s="18">
        <v>2.8300000000000001E-3</v>
      </c>
    </row>
    <row r="65" spans="1:2" x14ac:dyDescent="0.25">
      <c r="A65" s="18">
        <v>36.5</v>
      </c>
      <c r="B65" s="18">
        <v>2.7100000000000002E-3</v>
      </c>
    </row>
    <row r="66" spans="1:2" x14ac:dyDescent="0.25">
      <c r="A66" s="18">
        <v>37</v>
      </c>
      <c r="B66" s="18">
        <v>2.5999999999999999E-3</v>
      </c>
    </row>
    <row r="67" spans="1:2" x14ac:dyDescent="0.25">
      <c r="A67" s="18">
        <v>37.5</v>
      </c>
      <c r="B67" s="18">
        <v>2.5000000000000001E-3</v>
      </c>
    </row>
    <row r="68" spans="1:2" x14ac:dyDescent="0.25">
      <c r="A68" s="18">
        <v>38</v>
      </c>
      <c r="B68" s="18">
        <v>2.4099999999999998E-3</v>
      </c>
    </row>
    <row r="69" spans="1:2" x14ac:dyDescent="0.25">
      <c r="A69" s="18">
        <v>38.5</v>
      </c>
      <c r="B69" s="18">
        <v>2.32E-3</v>
      </c>
    </row>
    <row r="70" spans="1:2" x14ac:dyDescent="0.25">
      <c r="A70" s="18">
        <v>39</v>
      </c>
      <c r="B70" s="18">
        <v>2.2399999999999998E-3</v>
      </c>
    </row>
    <row r="71" spans="1:2" x14ac:dyDescent="0.25">
      <c r="A71" s="18">
        <v>39.5</v>
      </c>
      <c r="B71" s="18">
        <v>2.15E-3</v>
      </c>
    </row>
    <row r="72" spans="1:2" x14ac:dyDescent="0.25">
      <c r="A72" s="18">
        <v>40</v>
      </c>
      <c r="B72" s="18">
        <v>2.0600000000000002E-3</v>
      </c>
    </row>
    <row r="73" spans="1:2" x14ac:dyDescent="0.25">
      <c r="A73" s="18">
        <v>40.5</v>
      </c>
      <c r="B73" s="18">
        <v>2E-3</v>
      </c>
    </row>
    <row r="74" spans="1:2" x14ac:dyDescent="0.25">
      <c r="A74" s="18">
        <v>41</v>
      </c>
      <c r="B74" s="18">
        <v>1.9300000000000001E-3</v>
      </c>
    </row>
    <row r="75" spans="1:2" x14ac:dyDescent="0.25">
      <c r="A75" s="18">
        <v>41.5</v>
      </c>
      <c r="B75" s="18">
        <v>1.8799999999999999E-3</v>
      </c>
    </row>
    <row r="76" spans="1:2" x14ac:dyDescent="0.25">
      <c r="A76" s="18">
        <v>42</v>
      </c>
      <c r="B76" s="18">
        <v>1.8E-3</v>
      </c>
    </row>
    <row r="77" spans="1:2" x14ac:dyDescent="0.25">
      <c r="A77" s="18">
        <v>42.5</v>
      </c>
      <c r="B77" s="18">
        <v>1.75E-3</v>
      </c>
    </row>
    <row r="78" spans="1:2" x14ac:dyDescent="0.25">
      <c r="A78" s="18">
        <v>43</v>
      </c>
      <c r="B78" s="18">
        <v>1.6999999999999999E-3</v>
      </c>
    </row>
    <row r="79" spans="1:2" x14ac:dyDescent="0.25">
      <c r="A79" s="18">
        <v>43.5</v>
      </c>
      <c r="B79" s="18">
        <v>1.64E-3</v>
      </c>
    </row>
    <row r="80" spans="1:2" x14ac:dyDescent="0.25">
      <c r="A80" s="18">
        <v>44</v>
      </c>
      <c r="B80" s="18">
        <v>1.58E-3</v>
      </c>
    </row>
    <row r="81" spans="1:2" x14ac:dyDescent="0.25">
      <c r="A81" s="18">
        <v>44.5</v>
      </c>
      <c r="B81" s="18">
        <v>1.5399999999999999E-3</v>
      </c>
    </row>
    <row r="82" spans="1:2" x14ac:dyDescent="0.25">
      <c r="A82" s="18">
        <v>45</v>
      </c>
      <c r="B82" s="18">
        <v>1.49E-3</v>
      </c>
    </row>
    <row r="83" spans="1:2" x14ac:dyDescent="0.25">
      <c r="A83" s="18">
        <v>45.5</v>
      </c>
      <c r="B83" s="18">
        <v>1.4400000000000001E-3</v>
      </c>
    </row>
    <row r="84" spans="1:2" x14ac:dyDescent="0.25">
      <c r="A84" s="18">
        <v>46</v>
      </c>
      <c r="B84" s="18">
        <v>1.4E-3</v>
      </c>
    </row>
    <row r="85" spans="1:2" x14ac:dyDescent="0.25">
      <c r="A85" s="18">
        <v>46.5</v>
      </c>
      <c r="B85" s="18">
        <v>1.3600000000000001E-3</v>
      </c>
    </row>
    <row r="86" spans="1:2" x14ac:dyDescent="0.25">
      <c r="A86" s="18">
        <v>47</v>
      </c>
      <c r="B86" s="18">
        <v>1.33E-3</v>
      </c>
    </row>
    <row r="87" spans="1:2" x14ac:dyDescent="0.25">
      <c r="A87" s="18">
        <v>47.5</v>
      </c>
      <c r="B87" s="18">
        <v>1.2899999999999999E-3</v>
      </c>
    </row>
    <row r="88" spans="1:2" x14ac:dyDescent="0.25">
      <c r="A88" s="18">
        <v>48</v>
      </c>
      <c r="B88" s="18">
        <v>1.24E-3</v>
      </c>
    </row>
    <row r="89" spans="1:2" x14ac:dyDescent="0.25">
      <c r="A89" s="18">
        <v>48.5</v>
      </c>
      <c r="B89" s="18">
        <v>1.2099999999999999E-3</v>
      </c>
    </row>
    <row r="90" spans="1:2" x14ac:dyDescent="0.25">
      <c r="A90" s="18">
        <v>49</v>
      </c>
      <c r="B90" s="18">
        <v>1.16E-3</v>
      </c>
    </row>
    <row r="91" spans="1:2" x14ac:dyDescent="0.25">
      <c r="A91" s="18">
        <v>49.5</v>
      </c>
      <c r="B91" s="18">
        <v>1.14E-3</v>
      </c>
    </row>
    <row r="92" spans="1:2" x14ac:dyDescent="0.25">
      <c r="A92" s="18">
        <v>50</v>
      </c>
      <c r="B92" s="18">
        <v>1.1000000000000001E-3</v>
      </c>
    </row>
    <row r="93" spans="1:2" x14ac:dyDescent="0.25">
      <c r="A93" s="18">
        <v>50.5</v>
      </c>
      <c r="B93" s="18">
        <v>1.07E-3</v>
      </c>
    </row>
    <row r="94" spans="1:2" x14ac:dyDescent="0.25">
      <c r="A94" s="18">
        <v>51</v>
      </c>
      <c r="B94" s="18">
        <v>1.0499999999999999E-3</v>
      </c>
    </row>
    <row r="95" spans="1:2" x14ac:dyDescent="0.25">
      <c r="A95" s="18">
        <v>51.5</v>
      </c>
      <c r="B95" s="18">
        <v>1.0300000000000001E-3</v>
      </c>
    </row>
    <row r="96" spans="1:2" x14ac:dyDescent="0.25">
      <c r="A96" s="18">
        <v>52</v>
      </c>
      <c r="B96" s="18">
        <v>1E-3</v>
      </c>
    </row>
    <row r="97" spans="1:2" x14ac:dyDescent="0.25">
      <c r="A97" s="18">
        <v>52.5</v>
      </c>
      <c r="B97" s="18">
        <v>9.6900000000000003E-4</v>
      </c>
    </row>
    <row r="98" spans="1:2" x14ac:dyDescent="0.25">
      <c r="A98" s="18">
        <v>53</v>
      </c>
      <c r="B98" s="18">
        <v>9.4300000000000004E-4</v>
      </c>
    </row>
    <row r="99" spans="1:2" x14ac:dyDescent="0.25">
      <c r="A99" s="18">
        <v>53.5</v>
      </c>
      <c r="B99" s="18">
        <v>9.2900000000000003E-4</v>
      </c>
    </row>
    <row r="100" spans="1:2" x14ac:dyDescent="0.25">
      <c r="A100" s="18">
        <v>54</v>
      </c>
      <c r="B100" s="18">
        <v>9.0499999999999999E-4</v>
      </c>
    </row>
    <row r="101" spans="1:2" x14ac:dyDescent="0.25">
      <c r="A101" s="18">
        <v>54.5</v>
      </c>
      <c r="B101" s="18">
        <v>8.8900000000000003E-4</v>
      </c>
    </row>
    <row r="102" spans="1:2" x14ac:dyDescent="0.25">
      <c r="A102" s="18">
        <v>55</v>
      </c>
      <c r="B102" s="18">
        <v>8.6799999999999996E-4</v>
      </c>
    </row>
    <row r="103" spans="1:2" x14ac:dyDescent="0.25">
      <c r="A103" s="18">
        <v>55.5</v>
      </c>
      <c r="B103" s="18">
        <v>8.43E-4</v>
      </c>
    </row>
    <row r="104" spans="1:2" x14ac:dyDescent="0.25">
      <c r="A104" s="18">
        <v>56</v>
      </c>
      <c r="B104" s="18">
        <v>8.3100000000000003E-4</v>
      </c>
    </row>
    <row r="105" spans="1:2" x14ac:dyDescent="0.25">
      <c r="A105" s="18">
        <v>56.5</v>
      </c>
      <c r="B105" s="18">
        <v>8.0999999999999996E-4</v>
      </c>
    </row>
    <row r="106" spans="1:2" x14ac:dyDescent="0.25">
      <c r="A106" s="18">
        <v>57</v>
      </c>
      <c r="B106" s="18">
        <v>7.9500000000000003E-4</v>
      </c>
    </row>
    <row r="107" spans="1:2" x14ac:dyDescent="0.25">
      <c r="A107" s="18">
        <v>57.5</v>
      </c>
      <c r="B107" s="18">
        <v>1E-3</v>
      </c>
    </row>
    <row r="108" spans="1:2" x14ac:dyDescent="0.25">
      <c r="A108" s="18">
        <v>58</v>
      </c>
      <c r="B108" s="18">
        <v>2.2200000000000002E-3</v>
      </c>
    </row>
    <row r="109" spans="1:2" x14ac:dyDescent="0.25">
      <c r="A109" s="18">
        <v>58.5</v>
      </c>
      <c r="B109" s="18">
        <v>9.0799999999999995E-4</v>
      </c>
    </row>
    <row r="110" spans="1:2" x14ac:dyDescent="0.25">
      <c r="A110" s="18">
        <v>59</v>
      </c>
      <c r="B110" s="18">
        <v>1.8799999999999999E-3</v>
      </c>
    </row>
    <row r="111" spans="1:2" x14ac:dyDescent="0.25">
      <c r="A111" s="18">
        <v>59.5</v>
      </c>
      <c r="B111" s="18">
        <v>2.6800000000000001E-3</v>
      </c>
    </row>
    <row r="112" spans="1:2" x14ac:dyDescent="0.25">
      <c r="A112" s="18">
        <v>60</v>
      </c>
      <c r="B112" s="18">
        <v>7.36E-4</v>
      </c>
    </row>
    <row r="113" spans="1:2" x14ac:dyDescent="0.25">
      <c r="A113" s="18">
        <v>60.5</v>
      </c>
      <c r="B113" s="18">
        <v>6.8099999999999996E-4</v>
      </c>
    </row>
    <row r="114" spans="1:2" x14ac:dyDescent="0.25">
      <c r="A114" s="18">
        <v>61</v>
      </c>
      <c r="B114" s="18">
        <v>6.6E-4</v>
      </c>
    </row>
    <row r="115" spans="1:2" x14ac:dyDescent="0.25">
      <c r="A115" s="18">
        <v>61.5</v>
      </c>
      <c r="B115" s="18">
        <v>6.4700000000000001E-4</v>
      </c>
    </row>
    <row r="116" spans="1:2" x14ac:dyDescent="0.25">
      <c r="A116" s="18">
        <v>62</v>
      </c>
      <c r="B116" s="18">
        <v>6.3699999999999998E-4</v>
      </c>
    </row>
    <row r="117" spans="1:2" x14ac:dyDescent="0.25">
      <c r="A117" s="18">
        <v>62.5</v>
      </c>
      <c r="B117" s="18">
        <v>6.2100000000000002E-4</v>
      </c>
    </row>
    <row r="118" spans="1:2" x14ac:dyDescent="0.25">
      <c r="A118" s="18">
        <v>63</v>
      </c>
      <c r="B118" s="18">
        <v>6.1200000000000002E-4</v>
      </c>
    </row>
    <row r="119" spans="1:2" x14ac:dyDescent="0.25">
      <c r="A119" s="18">
        <v>63.5</v>
      </c>
      <c r="B119" s="18">
        <v>5.9999999999999995E-4</v>
      </c>
    </row>
    <row r="120" spans="1:2" x14ac:dyDescent="0.25">
      <c r="A120" s="18">
        <v>64</v>
      </c>
      <c r="B120" s="18">
        <v>5.9199999999999997E-4</v>
      </c>
    </row>
    <row r="121" spans="1:2" x14ac:dyDescent="0.25">
      <c r="A121" s="18">
        <v>64.5</v>
      </c>
      <c r="B121" s="18">
        <v>5.8299999999999997E-4</v>
      </c>
    </row>
    <row r="122" spans="1:2" x14ac:dyDescent="0.25">
      <c r="A122" s="18">
        <v>65</v>
      </c>
      <c r="B122" s="18">
        <v>5.6700000000000001E-4</v>
      </c>
    </row>
    <row r="123" spans="1:2" x14ac:dyDescent="0.25">
      <c r="A123" s="18">
        <v>65.5</v>
      </c>
      <c r="B123" s="18">
        <v>5.5999999999999995E-4</v>
      </c>
    </row>
    <row r="124" spans="1:2" x14ac:dyDescent="0.25">
      <c r="A124" s="18">
        <v>66</v>
      </c>
      <c r="B124" s="18">
        <v>5.53E-4</v>
      </c>
    </row>
    <row r="125" spans="1:2" x14ac:dyDescent="0.25">
      <c r="A125" s="18">
        <v>66.5</v>
      </c>
      <c r="B125" s="18">
        <v>6.1200000000000002E-4</v>
      </c>
    </row>
    <row r="126" spans="1:2" x14ac:dyDescent="0.25">
      <c r="A126" s="18">
        <v>67</v>
      </c>
      <c r="B126" s="18">
        <v>1.2099999999999999E-3</v>
      </c>
    </row>
    <row r="127" spans="1:2" x14ac:dyDescent="0.25">
      <c r="A127" s="18">
        <v>67.5</v>
      </c>
      <c r="B127" s="18">
        <v>9.19E-4</v>
      </c>
    </row>
    <row r="128" spans="1:2" x14ac:dyDescent="0.25">
      <c r="A128" s="18">
        <v>68</v>
      </c>
      <c r="B128" s="18">
        <v>5.1699999999999999E-4</v>
      </c>
    </row>
    <row r="129" spans="1:2" x14ac:dyDescent="0.25">
      <c r="A129" s="18">
        <v>68.5</v>
      </c>
      <c r="B129" s="18">
        <v>5.1800000000000001E-4</v>
      </c>
    </row>
    <row r="130" spans="1:2" x14ac:dyDescent="0.25">
      <c r="A130" s="18">
        <v>69</v>
      </c>
      <c r="B130" s="18">
        <v>6.9899999999999997E-4</v>
      </c>
    </row>
    <row r="131" spans="1:2" x14ac:dyDescent="0.25">
      <c r="A131" s="18">
        <v>69.5</v>
      </c>
      <c r="B131" s="18">
        <v>5.44E-4</v>
      </c>
    </row>
    <row r="132" spans="1:2" x14ac:dyDescent="0.25">
      <c r="A132" s="18">
        <v>70</v>
      </c>
      <c r="B132" s="18">
        <v>4.3399999999999998E-4</v>
      </c>
    </row>
    <row r="133" spans="1:2" x14ac:dyDescent="0.25">
      <c r="A133" s="18">
        <v>70.5</v>
      </c>
      <c r="B133" s="18">
        <v>4.2700000000000002E-4</v>
      </c>
    </row>
    <row r="134" spans="1:2" x14ac:dyDescent="0.25">
      <c r="A134" s="18">
        <v>71</v>
      </c>
      <c r="B134" s="18">
        <v>4.17E-4</v>
      </c>
    </row>
    <row r="135" spans="1:2" x14ac:dyDescent="0.25">
      <c r="A135" s="18">
        <v>71.5</v>
      </c>
      <c r="B135" s="18">
        <v>4.1300000000000001E-4</v>
      </c>
    </row>
    <row r="136" spans="1:2" x14ac:dyDescent="0.25">
      <c r="A136" s="18">
        <v>72</v>
      </c>
      <c r="B136" s="18">
        <v>3.9899999999999999E-4</v>
      </c>
    </row>
    <row r="137" spans="1:2" x14ac:dyDescent="0.25">
      <c r="A137" s="18">
        <v>72.5</v>
      </c>
      <c r="B137" s="18">
        <v>3.9599999999999998E-4</v>
      </c>
    </row>
    <row r="138" spans="1:2" x14ac:dyDescent="0.25">
      <c r="A138" s="18">
        <v>73</v>
      </c>
      <c r="B138" s="18">
        <v>3.8699999999999997E-4</v>
      </c>
    </row>
    <row r="139" spans="1:2" x14ac:dyDescent="0.25">
      <c r="A139" s="18">
        <v>73.5</v>
      </c>
      <c r="B139" s="18">
        <v>3.8299999999999999E-4</v>
      </c>
    </row>
    <row r="140" spans="1:2" x14ac:dyDescent="0.25">
      <c r="A140" s="18">
        <v>74</v>
      </c>
      <c r="B140" s="18">
        <v>3.7199999999999999E-4</v>
      </c>
    </row>
    <row r="141" spans="1:2" x14ac:dyDescent="0.25">
      <c r="A141" s="18">
        <v>74.5</v>
      </c>
      <c r="B141" s="18">
        <v>3.6900000000000002E-4</v>
      </c>
    </row>
    <row r="142" spans="1:2" x14ac:dyDescent="0.25">
      <c r="A142" s="18">
        <v>75</v>
      </c>
      <c r="B142" s="18">
        <v>3.6000000000000002E-4</v>
      </c>
    </row>
    <row r="143" spans="1:2" x14ac:dyDescent="0.25">
      <c r="A143" s="18">
        <v>75.5</v>
      </c>
      <c r="B143" s="18">
        <v>3.5100000000000002E-4</v>
      </c>
    </row>
    <row r="144" spans="1:2" x14ac:dyDescent="0.25">
      <c r="A144" s="18">
        <v>76</v>
      </c>
      <c r="B144" s="18">
        <v>3.4699999999999998E-4</v>
      </c>
    </row>
    <row r="145" spans="1:2" x14ac:dyDescent="0.25">
      <c r="A145" s="18">
        <v>76.5</v>
      </c>
      <c r="B145" s="18">
        <v>3.3799999999999998E-4</v>
      </c>
    </row>
    <row r="146" spans="1:2" x14ac:dyDescent="0.25">
      <c r="A146" s="18">
        <v>77</v>
      </c>
      <c r="B146" s="18">
        <v>3.3E-4</v>
      </c>
    </row>
    <row r="147" spans="1:2" x14ac:dyDescent="0.25">
      <c r="A147" s="18">
        <v>77.5</v>
      </c>
      <c r="B147" s="18">
        <v>3.2400000000000001E-4</v>
      </c>
    </row>
    <row r="148" spans="1:2" x14ac:dyDescent="0.25">
      <c r="A148" s="18">
        <v>78</v>
      </c>
      <c r="B148" s="18">
        <v>3.1300000000000002E-4</v>
      </c>
    </row>
    <row r="149" spans="1:2" x14ac:dyDescent="0.25">
      <c r="A149" s="18">
        <v>78.5</v>
      </c>
      <c r="B149" s="18">
        <v>3.0899999999999998E-4</v>
      </c>
    </row>
    <row r="150" spans="1:2" x14ac:dyDescent="0.25">
      <c r="A150" s="18">
        <v>79</v>
      </c>
      <c r="B150" s="18">
        <v>3.0400000000000002E-4</v>
      </c>
    </row>
    <row r="151" spans="1:2" x14ac:dyDescent="0.25">
      <c r="A151" s="18">
        <v>79.5</v>
      </c>
      <c r="B151" s="18">
        <v>2.9599999999999998E-4</v>
      </c>
    </row>
    <row r="152" spans="1:2" x14ac:dyDescent="0.25">
      <c r="A152" s="18">
        <v>80</v>
      </c>
      <c r="B152" s="18">
        <v>2.9100000000000003E-4</v>
      </c>
    </row>
    <row r="153" spans="1:2" x14ac:dyDescent="0.25">
      <c r="A153" s="18">
        <v>80.5</v>
      </c>
      <c r="B153" s="18">
        <v>2.7900000000000001E-4</v>
      </c>
    </row>
    <row r="154" spans="1:2" x14ac:dyDescent="0.25">
      <c r="A154" s="18">
        <v>81</v>
      </c>
      <c r="B154" s="18">
        <v>2.7300000000000002E-4</v>
      </c>
    </row>
    <row r="155" spans="1:2" x14ac:dyDescent="0.25">
      <c r="A155" s="18">
        <v>81.5</v>
      </c>
      <c r="B155" s="18">
        <v>2.7399999999999999E-4</v>
      </c>
    </row>
    <row r="156" spans="1:2" x14ac:dyDescent="0.25">
      <c r="A156" s="18">
        <v>82</v>
      </c>
      <c r="B156" s="18">
        <v>2.6200000000000003E-4</v>
      </c>
    </row>
    <row r="157" spans="1:2" x14ac:dyDescent="0.25">
      <c r="A157" s="18">
        <v>82.5</v>
      </c>
      <c r="B157" s="18">
        <v>2.5700000000000001E-4</v>
      </c>
    </row>
    <row r="158" spans="1:2" x14ac:dyDescent="0.25">
      <c r="A158" s="18">
        <v>83</v>
      </c>
      <c r="B158" s="18">
        <v>2.52E-4</v>
      </c>
    </row>
    <row r="159" spans="1:2" x14ac:dyDescent="0.25">
      <c r="A159" s="18">
        <v>83.5</v>
      </c>
      <c r="B159" s="18">
        <v>2.4600000000000002E-4</v>
      </c>
    </row>
    <row r="160" spans="1:2" x14ac:dyDescent="0.25">
      <c r="A160" s="18">
        <v>84</v>
      </c>
      <c r="B160" s="18">
        <v>2.43E-4</v>
      </c>
    </row>
    <row r="161" spans="1:2" x14ac:dyDescent="0.25">
      <c r="A161" s="18">
        <v>84.5</v>
      </c>
      <c r="B161" s="18">
        <v>2.33E-4</v>
      </c>
    </row>
    <row r="162" spans="1:2" x14ac:dyDescent="0.25">
      <c r="A162" s="18">
        <v>85</v>
      </c>
      <c r="B162" s="18">
        <v>2.2800000000000001E-4</v>
      </c>
    </row>
    <row r="163" spans="1:2" x14ac:dyDescent="0.25">
      <c r="A163" s="18">
        <v>85.5</v>
      </c>
      <c r="B163" s="18">
        <v>2.2599999999999999E-4</v>
      </c>
    </row>
    <row r="164" spans="1:2" x14ac:dyDescent="0.25">
      <c r="A164" s="18">
        <v>86</v>
      </c>
      <c r="B164" s="18">
        <v>2.1599999999999999E-4</v>
      </c>
    </row>
    <row r="165" spans="1:2" x14ac:dyDescent="0.25">
      <c r="A165" s="18">
        <v>86.5</v>
      </c>
      <c r="B165" s="18">
        <v>2.0799999999999999E-4</v>
      </c>
    </row>
    <row r="166" spans="1:2" x14ac:dyDescent="0.25">
      <c r="A166" s="18">
        <v>87</v>
      </c>
      <c r="B166" s="18">
        <v>2.0599999999999999E-4</v>
      </c>
    </row>
    <row r="167" spans="1:2" x14ac:dyDescent="0.25">
      <c r="A167" s="18">
        <v>87.5</v>
      </c>
      <c r="B167" s="18">
        <v>1.9699999999999999E-4</v>
      </c>
    </row>
    <row r="168" spans="1:2" x14ac:dyDescent="0.25">
      <c r="A168" s="18">
        <v>88</v>
      </c>
      <c r="B168" s="18">
        <v>1.8900000000000001E-4</v>
      </c>
    </row>
    <row r="169" spans="1:2" x14ac:dyDescent="0.25">
      <c r="A169" s="18">
        <v>88.5</v>
      </c>
      <c r="B169" s="18">
        <v>1.83E-4</v>
      </c>
    </row>
    <row r="170" spans="1:2" x14ac:dyDescent="0.25">
      <c r="A170" s="18">
        <v>89</v>
      </c>
      <c r="B170" s="18">
        <v>1.73E-4</v>
      </c>
    </row>
    <row r="171" spans="1:2" x14ac:dyDescent="0.25">
      <c r="A171" s="18">
        <v>89.5</v>
      </c>
      <c r="B171" s="18">
        <v>1.7100000000000001E-4</v>
      </c>
    </row>
    <row r="172" spans="1:2" x14ac:dyDescent="0.25">
      <c r="A172" s="18">
        <v>90</v>
      </c>
      <c r="B172" s="18">
        <v>1.6100000000000001E-4</v>
      </c>
    </row>
    <row r="173" spans="1:2" x14ac:dyDescent="0.25">
      <c r="A173" s="18">
        <v>90.5</v>
      </c>
      <c r="B173" s="18">
        <v>1.56E-4</v>
      </c>
    </row>
    <row r="174" spans="1:2" x14ac:dyDescent="0.25">
      <c r="A174" s="18">
        <v>91</v>
      </c>
      <c r="B174" s="18">
        <v>1.4899999999999999E-4</v>
      </c>
    </row>
    <row r="175" spans="1:2" x14ac:dyDescent="0.25">
      <c r="A175" s="18">
        <v>91.5</v>
      </c>
      <c r="B175" s="18">
        <v>1.3899999999999999E-4</v>
      </c>
    </row>
    <row r="176" spans="1:2" x14ac:dyDescent="0.25">
      <c r="A176" s="18">
        <v>92</v>
      </c>
      <c r="B176" s="18">
        <v>1.35E-4</v>
      </c>
    </row>
    <row r="177" spans="1:2" x14ac:dyDescent="0.25">
      <c r="A177" s="18">
        <v>92.5</v>
      </c>
      <c r="B177" s="18">
        <v>1.25E-4</v>
      </c>
    </row>
    <row r="178" spans="1:2" x14ac:dyDescent="0.25">
      <c r="A178" s="18">
        <v>93</v>
      </c>
      <c r="B178" s="18">
        <v>1.1900000000000001E-4</v>
      </c>
    </row>
    <row r="179" spans="1:2" x14ac:dyDescent="0.25">
      <c r="A179" s="18">
        <v>93.5</v>
      </c>
      <c r="B179" s="18">
        <v>1.1400000000000001E-4</v>
      </c>
    </row>
    <row r="180" spans="1:2" x14ac:dyDescent="0.25">
      <c r="A180" s="18">
        <v>94</v>
      </c>
      <c r="B180" s="18">
        <v>1.0399999999999999E-4</v>
      </c>
    </row>
    <row r="181" spans="1:2" x14ac:dyDescent="0.25">
      <c r="A181" s="18">
        <v>94.5</v>
      </c>
      <c r="B181" s="18">
        <v>9.7999999999999997E-5</v>
      </c>
    </row>
    <row r="182" spans="1:2" x14ac:dyDescent="0.25">
      <c r="A182" s="18">
        <v>95</v>
      </c>
      <c r="B182" s="18">
        <v>9.2899999999999995E-5</v>
      </c>
    </row>
    <row r="183" spans="1:2" x14ac:dyDescent="0.25">
      <c r="A183" s="18">
        <v>95.5</v>
      </c>
      <c r="B183" s="18">
        <v>8.1600000000000005E-5</v>
      </c>
    </row>
    <row r="184" spans="1:2" x14ac:dyDescent="0.25">
      <c r="A184" s="18">
        <v>96</v>
      </c>
      <c r="B184" s="18">
        <v>7.6000000000000004E-5</v>
      </c>
    </row>
    <row r="185" spans="1:2" x14ac:dyDescent="0.25">
      <c r="A185" s="18">
        <v>96.5</v>
      </c>
      <c r="B185" s="18">
        <v>6.69E-5</v>
      </c>
    </row>
    <row r="186" spans="1:2" x14ac:dyDescent="0.25">
      <c r="A186" s="18">
        <v>97</v>
      </c>
      <c r="B186" s="18">
        <v>6.2199999999999994E-5</v>
      </c>
    </row>
    <row r="187" spans="1:2" x14ac:dyDescent="0.25">
      <c r="A187" s="18">
        <v>97.5</v>
      </c>
      <c r="B187" s="18">
        <v>5.1499999999999998E-5</v>
      </c>
    </row>
    <row r="188" spans="1:2" x14ac:dyDescent="0.25">
      <c r="A188" s="18">
        <v>98</v>
      </c>
      <c r="B188" s="18">
        <v>4.5200000000000001E-5</v>
      </c>
    </row>
    <row r="189" spans="1:2" x14ac:dyDescent="0.25">
      <c r="A189" s="18">
        <v>98.5</v>
      </c>
      <c r="B189" s="18">
        <v>3.3500000000000001E-5</v>
      </c>
    </row>
    <row r="190" spans="1:2" x14ac:dyDescent="0.25">
      <c r="A190" s="18">
        <v>99</v>
      </c>
      <c r="B190" s="18">
        <v>2.4499999999999999E-5</v>
      </c>
    </row>
    <row r="191" spans="1:2" x14ac:dyDescent="0.25">
      <c r="A191" s="18">
        <v>99.5</v>
      </c>
      <c r="B191" s="18">
        <v>1.42E-5</v>
      </c>
    </row>
    <row r="192" spans="1:2" x14ac:dyDescent="0.25">
      <c r="A192" s="18">
        <v>100</v>
      </c>
      <c r="B192" s="18">
        <v>3.7799999999999998E-6</v>
      </c>
    </row>
    <row r="193" spans="1:2" x14ac:dyDescent="0.25">
      <c r="A193" s="18">
        <v>101</v>
      </c>
      <c r="B193" s="18">
        <v>4.3599999999999999E-7</v>
      </c>
    </row>
    <row r="194" spans="1:2" x14ac:dyDescent="0.25">
      <c r="A194" s="18">
        <v>101</v>
      </c>
      <c r="B194" s="18">
        <v>5.5000000000000003E-7</v>
      </c>
    </row>
    <row r="195" spans="1:2" x14ac:dyDescent="0.25">
      <c r="A195" s="18">
        <v>102</v>
      </c>
      <c r="B195" s="18">
        <v>3.3500000000000002E-7</v>
      </c>
    </row>
    <row r="196" spans="1:2" x14ac:dyDescent="0.25">
      <c r="A196" s="18">
        <v>102</v>
      </c>
      <c r="B196" s="18">
        <v>3.2300000000000002E-7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:B21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1.99E-3</v>
      </c>
    </row>
    <row r="3" spans="1:2" x14ac:dyDescent="0.25">
      <c r="A3" s="18">
        <v>5.5</v>
      </c>
      <c r="B3" s="18">
        <v>1.73E-3</v>
      </c>
    </row>
    <row r="4" spans="1:2" x14ac:dyDescent="0.25">
      <c r="A4" s="18">
        <v>6</v>
      </c>
      <c r="B4" s="18">
        <v>1.4499999999999999E-3</v>
      </c>
    </row>
    <row r="5" spans="1:2" x14ac:dyDescent="0.25">
      <c r="A5" s="18">
        <v>6.5</v>
      </c>
      <c r="B5" s="18">
        <v>1.5499999999999999E-3</v>
      </c>
    </row>
    <row r="6" spans="1:2" x14ac:dyDescent="0.25">
      <c r="A6" s="18">
        <v>7</v>
      </c>
      <c r="B6" s="18">
        <v>2.0200000000000001E-3</v>
      </c>
    </row>
    <row r="7" spans="1:2" x14ac:dyDescent="0.25">
      <c r="A7" s="18">
        <v>7.5</v>
      </c>
      <c r="B7" s="18">
        <v>4.0699999999999998E-3</v>
      </c>
    </row>
    <row r="8" spans="1:2" x14ac:dyDescent="0.25">
      <c r="A8" s="18">
        <v>8</v>
      </c>
      <c r="B8" s="18">
        <v>1.0699999999999999E-2</v>
      </c>
    </row>
    <row r="9" spans="1:2" x14ac:dyDescent="0.25">
      <c r="A9" s="18">
        <v>8.5</v>
      </c>
      <c r="B9" s="18">
        <v>9.8199999999999996E-2</v>
      </c>
    </row>
    <row r="10" spans="1:2" x14ac:dyDescent="0.25">
      <c r="A10" s="18">
        <v>9</v>
      </c>
      <c r="B10" s="18">
        <v>1.35E-2</v>
      </c>
    </row>
    <row r="11" spans="1:2" x14ac:dyDescent="0.25">
      <c r="A11" s="18">
        <v>9.5</v>
      </c>
      <c r="B11" s="18">
        <v>0.11</v>
      </c>
    </row>
    <row r="12" spans="1:2" x14ac:dyDescent="0.25">
      <c r="A12" s="18">
        <v>10</v>
      </c>
      <c r="B12" s="18">
        <v>0.14599999999999999</v>
      </c>
    </row>
    <row r="13" spans="1:2" x14ac:dyDescent="0.25">
      <c r="A13" s="18">
        <v>10.5</v>
      </c>
      <c r="B13" s="18">
        <v>1.5599999999999999E-2</v>
      </c>
    </row>
    <row r="14" spans="1:2" x14ac:dyDescent="0.25">
      <c r="A14" s="18">
        <v>11</v>
      </c>
      <c r="B14" s="18">
        <v>1.7000000000000001E-2</v>
      </c>
    </row>
    <row r="15" spans="1:2" x14ac:dyDescent="0.25">
      <c r="A15" s="18">
        <v>11.5</v>
      </c>
      <c r="B15" s="18">
        <v>3.5200000000000002E-2</v>
      </c>
    </row>
    <row r="16" spans="1:2" x14ac:dyDescent="0.25">
      <c r="A16" s="18">
        <v>12</v>
      </c>
      <c r="B16" s="18">
        <v>1.52E-2</v>
      </c>
    </row>
    <row r="17" spans="1:2" x14ac:dyDescent="0.25">
      <c r="A17" s="18">
        <v>12.5</v>
      </c>
      <c r="B17" s="18">
        <v>1.1299999999999999E-2</v>
      </c>
    </row>
    <row r="18" spans="1:2" x14ac:dyDescent="0.25">
      <c r="A18" s="18">
        <v>13</v>
      </c>
      <c r="B18" s="18">
        <v>1.1900000000000001E-2</v>
      </c>
    </row>
    <row r="19" spans="1:2" x14ac:dyDescent="0.25">
      <c r="A19" s="18">
        <v>13.5</v>
      </c>
      <c r="B19" s="18">
        <v>1.23E-2</v>
      </c>
    </row>
    <row r="20" spans="1:2" x14ac:dyDescent="0.25">
      <c r="A20" s="18">
        <v>14</v>
      </c>
      <c r="B20" s="18">
        <v>1.29E-2</v>
      </c>
    </row>
    <row r="21" spans="1:2" x14ac:dyDescent="0.25">
      <c r="A21" s="18">
        <v>14.5</v>
      </c>
      <c r="B21" s="18">
        <v>1.3299999999999999E-2</v>
      </c>
    </row>
    <row r="22" spans="1:2" x14ac:dyDescent="0.25">
      <c r="A22" s="18">
        <v>15</v>
      </c>
      <c r="B22" s="18">
        <v>1.34E-2</v>
      </c>
    </row>
    <row r="23" spans="1:2" x14ac:dyDescent="0.25">
      <c r="A23" s="18">
        <v>15.5</v>
      </c>
      <c r="B23" s="18">
        <v>1.35E-2</v>
      </c>
    </row>
    <row r="24" spans="1:2" x14ac:dyDescent="0.25">
      <c r="A24" s="18">
        <v>16</v>
      </c>
      <c r="B24" s="18">
        <v>1.35E-2</v>
      </c>
    </row>
    <row r="25" spans="1:2" x14ac:dyDescent="0.25">
      <c r="A25" s="18">
        <v>16.5</v>
      </c>
      <c r="B25" s="18">
        <v>1.34E-2</v>
      </c>
    </row>
    <row r="26" spans="1:2" x14ac:dyDescent="0.25">
      <c r="A26" s="18">
        <v>17</v>
      </c>
      <c r="B26" s="18">
        <v>1.3299999999999999E-2</v>
      </c>
    </row>
    <row r="27" spans="1:2" x14ac:dyDescent="0.25">
      <c r="A27" s="18">
        <v>17.5</v>
      </c>
      <c r="B27" s="18">
        <v>1.3100000000000001E-2</v>
      </c>
    </row>
    <row r="28" spans="1:2" x14ac:dyDescent="0.25">
      <c r="A28" s="18">
        <v>18</v>
      </c>
      <c r="B28" s="18">
        <v>1.2800000000000001E-2</v>
      </c>
    </row>
    <row r="29" spans="1:2" x14ac:dyDescent="0.25">
      <c r="A29" s="18">
        <v>18.5</v>
      </c>
      <c r="B29" s="18">
        <v>1.2500000000000001E-2</v>
      </c>
    </row>
    <row r="30" spans="1:2" x14ac:dyDescent="0.25">
      <c r="A30" s="18">
        <v>19</v>
      </c>
      <c r="B30" s="18">
        <v>1.2200000000000001E-2</v>
      </c>
    </row>
    <row r="31" spans="1:2" x14ac:dyDescent="0.25">
      <c r="A31" s="18">
        <v>19.5</v>
      </c>
      <c r="B31" s="18">
        <v>1.1900000000000001E-2</v>
      </c>
    </row>
    <row r="32" spans="1:2" x14ac:dyDescent="0.25">
      <c r="A32" s="18">
        <v>20</v>
      </c>
      <c r="B32" s="18">
        <v>1.15E-2</v>
      </c>
    </row>
    <row r="33" spans="1:2" x14ac:dyDescent="0.25">
      <c r="A33" s="18">
        <v>20.5</v>
      </c>
      <c r="B33" s="18">
        <v>1.12E-2</v>
      </c>
    </row>
    <row r="34" spans="1:2" x14ac:dyDescent="0.25">
      <c r="A34" s="18">
        <v>21</v>
      </c>
      <c r="B34" s="18">
        <v>1.0800000000000001E-2</v>
      </c>
    </row>
    <row r="35" spans="1:2" x14ac:dyDescent="0.25">
      <c r="A35" s="18">
        <v>21.5</v>
      </c>
      <c r="B35" s="18">
        <v>1.04E-2</v>
      </c>
    </row>
    <row r="36" spans="1:2" x14ac:dyDescent="0.25">
      <c r="A36" s="18">
        <v>22</v>
      </c>
      <c r="B36" s="18">
        <v>9.9799999999999993E-3</v>
      </c>
    </row>
    <row r="37" spans="1:2" x14ac:dyDescent="0.25">
      <c r="A37" s="18">
        <v>22.5</v>
      </c>
      <c r="B37" s="18">
        <v>9.6200000000000001E-3</v>
      </c>
    </row>
    <row r="38" spans="1:2" x14ac:dyDescent="0.25">
      <c r="A38" s="18">
        <v>23</v>
      </c>
      <c r="B38" s="18">
        <v>9.2200000000000008E-3</v>
      </c>
    </row>
    <row r="39" spans="1:2" x14ac:dyDescent="0.25">
      <c r="A39" s="18">
        <v>23.5</v>
      </c>
      <c r="B39" s="18">
        <v>8.8800000000000007E-3</v>
      </c>
    </row>
    <row r="40" spans="1:2" x14ac:dyDescent="0.25">
      <c r="A40" s="18">
        <v>24</v>
      </c>
      <c r="B40" s="18">
        <v>8.4899999999999993E-3</v>
      </c>
    </row>
    <row r="41" spans="1:2" x14ac:dyDescent="0.25">
      <c r="A41" s="18">
        <v>24.5</v>
      </c>
      <c r="B41" s="18">
        <v>8.1899999999999994E-3</v>
      </c>
    </row>
    <row r="42" spans="1:2" x14ac:dyDescent="0.25">
      <c r="A42" s="18">
        <v>25</v>
      </c>
      <c r="B42" s="18">
        <v>7.8300000000000002E-3</v>
      </c>
    </row>
    <row r="43" spans="1:2" x14ac:dyDescent="0.25">
      <c r="A43" s="18">
        <v>25.5</v>
      </c>
      <c r="B43" s="18">
        <v>7.5199999999999998E-3</v>
      </c>
    </row>
    <row r="44" spans="1:2" x14ac:dyDescent="0.25">
      <c r="A44" s="18">
        <v>26</v>
      </c>
      <c r="B44" s="18">
        <v>7.1999999999999998E-3</v>
      </c>
    </row>
    <row r="45" spans="1:2" x14ac:dyDescent="0.25">
      <c r="A45" s="18">
        <v>26.5</v>
      </c>
      <c r="B45" s="18">
        <v>6.9100000000000003E-3</v>
      </c>
    </row>
    <row r="46" spans="1:2" x14ac:dyDescent="0.25">
      <c r="A46" s="18">
        <v>27</v>
      </c>
      <c r="B46" s="18">
        <v>6.5500000000000003E-3</v>
      </c>
    </row>
    <row r="47" spans="1:2" x14ac:dyDescent="0.25">
      <c r="A47" s="18">
        <v>27.5</v>
      </c>
      <c r="B47" s="18">
        <v>6.3E-3</v>
      </c>
    </row>
    <row r="48" spans="1:2" x14ac:dyDescent="0.25">
      <c r="A48" s="18">
        <v>28</v>
      </c>
      <c r="B48" s="18">
        <v>6.0600000000000003E-3</v>
      </c>
    </row>
    <row r="49" spans="1:2" x14ac:dyDescent="0.25">
      <c r="A49" s="18">
        <v>28.5</v>
      </c>
      <c r="B49" s="18">
        <v>5.7499999999999999E-3</v>
      </c>
    </row>
    <row r="50" spans="1:2" x14ac:dyDescent="0.25">
      <c r="A50" s="18">
        <v>29</v>
      </c>
      <c r="B50" s="18">
        <v>5.4900000000000001E-3</v>
      </c>
    </row>
    <row r="51" spans="1:2" x14ac:dyDescent="0.25">
      <c r="A51" s="18">
        <v>29.5</v>
      </c>
      <c r="B51" s="18">
        <v>5.2500000000000003E-3</v>
      </c>
    </row>
    <row r="52" spans="1:2" x14ac:dyDescent="0.25">
      <c r="A52" s="18">
        <v>30</v>
      </c>
      <c r="B52" s="18">
        <v>5.0299999999999997E-3</v>
      </c>
    </row>
    <row r="53" spans="1:2" x14ac:dyDescent="0.25">
      <c r="A53" s="18">
        <v>30.5</v>
      </c>
      <c r="B53" s="18">
        <v>4.8799999999999998E-3</v>
      </c>
    </row>
    <row r="54" spans="1:2" x14ac:dyDescent="0.25">
      <c r="A54" s="18">
        <v>31</v>
      </c>
      <c r="B54" s="18">
        <v>4.64E-3</v>
      </c>
    </row>
    <row r="55" spans="1:2" x14ac:dyDescent="0.25">
      <c r="A55" s="18">
        <v>31.5</v>
      </c>
      <c r="B55" s="18">
        <v>4.47E-3</v>
      </c>
    </row>
    <row r="56" spans="1:2" x14ac:dyDescent="0.25">
      <c r="A56" s="18">
        <v>32</v>
      </c>
      <c r="B56" s="18">
        <v>4.2700000000000004E-3</v>
      </c>
    </row>
    <row r="57" spans="1:2" x14ac:dyDescent="0.25">
      <c r="A57" s="18">
        <v>32.5</v>
      </c>
      <c r="B57" s="18">
        <v>4.0800000000000003E-3</v>
      </c>
    </row>
    <row r="58" spans="1:2" x14ac:dyDescent="0.25">
      <c r="A58" s="18">
        <v>33</v>
      </c>
      <c r="B58" s="18">
        <v>3.9399999999999999E-3</v>
      </c>
    </row>
    <row r="59" spans="1:2" x14ac:dyDescent="0.25">
      <c r="A59" s="18">
        <v>33.5</v>
      </c>
      <c r="B59" s="18">
        <v>3.81E-3</v>
      </c>
    </row>
    <row r="60" spans="1:2" x14ac:dyDescent="0.25">
      <c r="A60" s="18">
        <v>34</v>
      </c>
      <c r="B60" s="18">
        <v>3.6600000000000001E-3</v>
      </c>
    </row>
    <row r="61" spans="1:2" x14ac:dyDescent="0.25">
      <c r="A61" s="18">
        <v>34.5</v>
      </c>
      <c r="B61" s="18">
        <v>3.5100000000000001E-3</v>
      </c>
    </row>
    <row r="62" spans="1:2" x14ac:dyDescent="0.25">
      <c r="A62" s="18">
        <v>35</v>
      </c>
      <c r="B62" s="18">
        <v>3.3600000000000001E-3</v>
      </c>
    </row>
    <row r="63" spans="1:2" x14ac:dyDescent="0.25">
      <c r="A63" s="18">
        <v>35.5</v>
      </c>
      <c r="B63" s="18">
        <v>3.2399999999999998E-3</v>
      </c>
    </row>
    <row r="64" spans="1:2" x14ac:dyDescent="0.25">
      <c r="A64" s="18">
        <v>36</v>
      </c>
      <c r="B64" s="18">
        <v>3.1099999999999999E-3</v>
      </c>
    </row>
    <row r="65" spans="1:2" x14ac:dyDescent="0.25">
      <c r="A65" s="18">
        <v>36.5</v>
      </c>
      <c r="B65" s="18">
        <v>2.98E-3</v>
      </c>
    </row>
    <row r="66" spans="1:2" x14ac:dyDescent="0.25">
      <c r="A66" s="18">
        <v>37</v>
      </c>
      <c r="B66" s="18">
        <v>2.8700000000000002E-3</v>
      </c>
    </row>
    <row r="67" spans="1:2" x14ac:dyDescent="0.25">
      <c r="A67" s="18">
        <v>37.5</v>
      </c>
      <c r="B67" s="18">
        <v>2.7599999999999999E-3</v>
      </c>
    </row>
    <row r="68" spans="1:2" x14ac:dyDescent="0.25">
      <c r="A68" s="18">
        <v>38</v>
      </c>
      <c r="B68" s="18">
        <v>2.66E-3</v>
      </c>
    </row>
    <row r="69" spans="1:2" x14ac:dyDescent="0.25">
      <c r="A69" s="18">
        <v>38.5</v>
      </c>
      <c r="B69" s="18">
        <v>2.5500000000000002E-3</v>
      </c>
    </row>
    <row r="70" spans="1:2" x14ac:dyDescent="0.25">
      <c r="A70" s="18">
        <v>39</v>
      </c>
      <c r="B70" s="18">
        <v>2.47E-3</v>
      </c>
    </row>
    <row r="71" spans="1:2" x14ac:dyDescent="0.25">
      <c r="A71" s="18">
        <v>39.5</v>
      </c>
      <c r="B71" s="18">
        <v>2.3600000000000001E-3</v>
      </c>
    </row>
    <row r="72" spans="1:2" x14ac:dyDescent="0.25">
      <c r="A72" s="18">
        <v>40</v>
      </c>
      <c r="B72" s="18">
        <v>2.2799999999999999E-3</v>
      </c>
    </row>
    <row r="73" spans="1:2" x14ac:dyDescent="0.25">
      <c r="A73" s="18">
        <v>40.5</v>
      </c>
      <c r="B73" s="18">
        <v>2.1900000000000001E-3</v>
      </c>
    </row>
    <row r="74" spans="1:2" x14ac:dyDescent="0.25">
      <c r="A74" s="18">
        <v>41</v>
      </c>
      <c r="B74" s="18">
        <v>2.15E-3</v>
      </c>
    </row>
    <row r="75" spans="1:2" x14ac:dyDescent="0.25">
      <c r="A75" s="18">
        <v>41.5</v>
      </c>
      <c r="B75" s="18">
        <v>2.0899999999999998E-3</v>
      </c>
    </row>
    <row r="76" spans="1:2" x14ac:dyDescent="0.25">
      <c r="A76" s="18">
        <v>42</v>
      </c>
      <c r="B76" s="18">
        <v>2.0200000000000001E-3</v>
      </c>
    </row>
    <row r="77" spans="1:2" x14ac:dyDescent="0.25">
      <c r="A77" s="18">
        <v>42.5</v>
      </c>
      <c r="B77" s="18">
        <v>1.9499999999999999E-3</v>
      </c>
    </row>
    <row r="78" spans="1:2" x14ac:dyDescent="0.25">
      <c r="A78" s="18">
        <v>43</v>
      </c>
      <c r="B78" s="18">
        <v>1.89E-3</v>
      </c>
    </row>
    <row r="79" spans="1:2" x14ac:dyDescent="0.25">
      <c r="A79" s="18">
        <v>43.5</v>
      </c>
      <c r="B79" s="18">
        <v>1.8400000000000001E-3</v>
      </c>
    </row>
    <row r="80" spans="1:2" x14ac:dyDescent="0.25">
      <c r="A80" s="18">
        <v>44</v>
      </c>
      <c r="B80" s="18">
        <v>1.7899999999999999E-3</v>
      </c>
    </row>
    <row r="81" spans="1:2" x14ac:dyDescent="0.25">
      <c r="A81" s="18">
        <v>44.5</v>
      </c>
      <c r="B81" s="18">
        <v>1.7099999999999999E-3</v>
      </c>
    </row>
    <row r="82" spans="1:2" x14ac:dyDescent="0.25">
      <c r="A82" s="18">
        <v>45</v>
      </c>
      <c r="B82" s="18">
        <v>1.6800000000000001E-3</v>
      </c>
    </row>
    <row r="83" spans="1:2" x14ac:dyDescent="0.25">
      <c r="A83" s="18">
        <v>45.5</v>
      </c>
      <c r="B83" s="18">
        <v>1.6299999999999999E-3</v>
      </c>
    </row>
    <row r="84" spans="1:2" x14ac:dyDescent="0.25">
      <c r="A84" s="18">
        <v>46</v>
      </c>
      <c r="B84" s="18">
        <v>1.58E-3</v>
      </c>
    </row>
    <row r="85" spans="1:2" x14ac:dyDescent="0.25">
      <c r="A85" s="18">
        <v>46.5</v>
      </c>
      <c r="B85" s="18">
        <v>1.5200000000000001E-3</v>
      </c>
    </row>
    <row r="86" spans="1:2" x14ac:dyDescent="0.25">
      <c r="A86" s="18">
        <v>47</v>
      </c>
      <c r="B86" s="18">
        <v>1.49E-3</v>
      </c>
    </row>
    <row r="87" spans="1:2" x14ac:dyDescent="0.25">
      <c r="A87" s="18">
        <v>47.5</v>
      </c>
      <c r="B87" s="18">
        <v>1.4400000000000001E-3</v>
      </c>
    </row>
    <row r="88" spans="1:2" x14ac:dyDescent="0.25">
      <c r="A88" s="18">
        <v>48</v>
      </c>
      <c r="B88" s="18">
        <v>1.41E-3</v>
      </c>
    </row>
    <row r="89" spans="1:2" x14ac:dyDescent="0.25">
      <c r="A89" s="18">
        <v>48.5</v>
      </c>
      <c r="B89" s="18">
        <v>1.3699999999999999E-3</v>
      </c>
    </row>
    <row r="90" spans="1:2" x14ac:dyDescent="0.25">
      <c r="A90" s="18">
        <v>49</v>
      </c>
      <c r="B90" s="18">
        <v>1.32E-3</v>
      </c>
    </row>
    <row r="91" spans="1:2" x14ac:dyDescent="0.25">
      <c r="A91" s="18">
        <v>49.5</v>
      </c>
      <c r="B91" s="18">
        <v>1.2800000000000001E-3</v>
      </c>
    </row>
    <row r="92" spans="1:2" x14ac:dyDescent="0.25">
      <c r="A92" s="18">
        <v>50</v>
      </c>
      <c r="B92" s="18">
        <v>1.25E-3</v>
      </c>
    </row>
    <row r="93" spans="1:2" x14ac:dyDescent="0.25">
      <c r="A93" s="18">
        <v>50.5</v>
      </c>
      <c r="B93" s="18">
        <v>1.23E-3</v>
      </c>
    </row>
    <row r="94" spans="1:2" x14ac:dyDescent="0.25">
      <c r="A94" s="18">
        <v>51</v>
      </c>
      <c r="B94" s="18">
        <v>1.1999999999999999E-3</v>
      </c>
    </row>
    <row r="95" spans="1:2" x14ac:dyDescent="0.25">
      <c r="A95" s="18">
        <v>51.5</v>
      </c>
      <c r="B95" s="18">
        <v>1.17E-3</v>
      </c>
    </row>
    <row r="96" spans="1:2" x14ac:dyDescent="0.25">
      <c r="A96" s="18">
        <v>52</v>
      </c>
      <c r="B96" s="18">
        <v>1.14E-3</v>
      </c>
    </row>
    <row r="97" spans="1:2" x14ac:dyDescent="0.25">
      <c r="A97" s="18">
        <v>52.5</v>
      </c>
      <c r="B97" s="18">
        <v>1.1100000000000001E-3</v>
      </c>
    </row>
    <row r="98" spans="1:2" x14ac:dyDescent="0.25">
      <c r="A98" s="18">
        <v>53</v>
      </c>
      <c r="B98" s="18">
        <v>1.09E-3</v>
      </c>
    </row>
    <row r="99" spans="1:2" x14ac:dyDescent="0.25">
      <c r="A99" s="18">
        <v>53.5</v>
      </c>
      <c r="B99" s="18">
        <v>1.07E-3</v>
      </c>
    </row>
    <row r="100" spans="1:2" x14ac:dyDescent="0.25">
      <c r="A100" s="18">
        <v>54</v>
      </c>
      <c r="B100" s="18">
        <v>1.0499999999999999E-3</v>
      </c>
    </row>
    <row r="101" spans="1:2" x14ac:dyDescent="0.25">
      <c r="A101" s="18">
        <v>54.5</v>
      </c>
      <c r="B101" s="18">
        <v>1.0300000000000001E-3</v>
      </c>
    </row>
    <row r="102" spans="1:2" x14ac:dyDescent="0.25">
      <c r="A102" s="18">
        <v>55</v>
      </c>
      <c r="B102" s="18">
        <v>1E-3</v>
      </c>
    </row>
    <row r="103" spans="1:2" x14ac:dyDescent="0.25">
      <c r="A103" s="18">
        <v>55.5</v>
      </c>
      <c r="B103" s="18">
        <v>9.8999999999999999E-4</v>
      </c>
    </row>
    <row r="104" spans="1:2" x14ac:dyDescent="0.25">
      <c r="A104" s="18">
        <v>56</v>
      </c>
      <c r="B104" s="18">
        <v>9.68E-4</v>
      </c>
    </row>
    <row r="105" spans="1:2" x14ac:dyDescent="0.25">
      <c r="A105" s="18">
        <v>56.5</v>
      </c>
      <c r="B105" s="18">
        <v>9.5200000000000005E-4</v>
      </c>
    </row>
    <row r="106" spans="1:2" x14ac:dyDescent="0.25">
      <c r="A106" s="18">
        <v>57</v>
      </c>
      <c r="B106" s="18">
        <v>9.3400000000000004E-4</v>
      </c>
    </row>
    <row r="107" spans="1:2" x14ac:dyDescent="0.25">
      <c r="A107" s="18">
        <v>57.5</v>
      </c>
      <c r="B107" s="18">
        <v>1.24E-3</v>
      </c>
    </row>
    <row r="108" spans="1:2" x14ac:dyDescent="0.25">
      <c r="A108" s="18">
        <v>58</v>
      </c>
      <c r="B108" s="18">
        <v>3.1800000000000001E-3</v>
      </c>
    </row>
    <row r="109" spans="1:2" x14ac:dyDescent="0.25">
      <c r="A109" s="18">
        <v>58.5</v>
      </c>
      <c r="B109" s="18">
        <v>1.08E-3</v>
      </c>
    </row>
    <row r="110" spans="1:2" x14ac:dyDescent="0.25">
      <c r="A110" s="18">
        <v>59</v>
      </c>
      <c r="B110" s="18">
        <v>2.6900000000000001E-3</v>
      </c>
    </row>
    <row r="111" spans="1:2" x14ac:dyDescent="0.25">
      <c r="A111" s="18">
        <v>59.5</v>
      </c>
      <c r="B111" s="18">
        <v>3.8300000000000001E-3</v>
      </c>
    </row>
    <row r="112" spans="1:2" x14ac:dyDescent="0.25">
      <c r="A112" s="18">
        <v>60</v>
      </c>
      <c r="B112" s="18">
        <v>8.6499999999999999E-4</v>
      </c>
    </row>
    <row r="113" spans="1:2" x14ac:dyDescent="0.25">
      <c r="A113" s="18">
        <v>60.5</v>
      </c>
      <c r="B113" s="18">
        <v>7.9500000000000003E-4</v>
      </c>
    </row>
    <row r="114" spans="1:2" x14ac:dyDescent="0.25">
      <c r="A114" s="18">
        <v>61</v>
      </c>
      <c r="B114" s="18">
        <v>7.8399999999999997E-4</v>
      </c>
    </row>
    <row r="115" spans="1:2" x14ac:dyDescent="0.25">
      <c r="A115" s="18">
        <v>61.5</v>
      </c>
      <c r="B115" s="18">
        <v>7.6800000000000002E-4</v>
      </c>
    </row>
    <row r="116" spans="1:2" x14ac:dyDescent="0.25">
      <c r="A116" s="18">
        <v>62</v>
      </c>
      <c r="B116" s="18">
        <v>7.54E-4</v>
      </c>
    </row>
    <row r="117" spans="1:2" x14ac:dyDescent="0.25">
      <c r="A117" s="18">
        <v>62.5</v>
      </c>
      <c r="B117" s="18">
        <v>7.4700000000000005E-4</v>
      </c>
    </row>
    <row r="118" spans="1:2" x14ac:dyDescent="0.25">
      <c r="A118" s="18">
        <v>63</v>
      </c>
      <c r="B118" s="18">
        <v>7.3099999999999999E-4</v>
      </c>
    </row>
    <row r="119" spans="1:2" x14ac:dyDescent="0.25">
      <c r="A119" s="18">
        <v>63.5</v>
      </c>
      <c r="B119" s="18">
        <v>7.2400000000000003E-4</v>
      </c>
    </row>
    <row r="120" spans="1:2" x14ac:dyDescent="0.25">
      <c r="A120" s="18">
        <v>64</v>
      </c>
      <c r="B120" s="18">
        <v>7.1400000000000001E-4</v>
      </c>
    </row>
    <row r="121" spans="1:2" x14ac:dyDescent="0.25">
      <c r="A121" s="18">
        <v>64.5</v>
      </c>
      <c r="B121" s="18">
        <v>6.9899999999999997E-4</v>
      </c>
    </row>
    <row r="122" spans="1:2" x14ac:dyDescent="0.25">
      <c r="A122" s="18">
        <v>65</v>
      </c>
      <c r="B122" s="18">
        <v>6.8999999999999997E-4</v>
      </c>
    </row>
    <row r="123" spans="1:2" x14ac:dyDescent="0.25">
      <c r="A123" s="18">
        <v>65.5</v>
      </c>
      <c r="B123" s="18">
        <v>6.7900000000000002E-4</v>
      </c>
    </row>
    <row r="124" spans="1:2" x14ac:dyDescent="0.25">
      <c r="A124" s="18">
        <v>66</v>
      </c>
      <c r="B124" s="18">
        <v>6.6799999999999997E-4</v>
      </c>
    </row>
    <row r="125" spans="1:2" x14ac:dyDescent="0.25">
      <c r="A125" s="18">
        <v>66.5</v>
      </c>
      <c r="B125" s="18">
        <v>7.6499999999999995E-4</v>
      </c>
    </row>
    <row r="126" spans="1:2" x14ac:dyDescent="0.25">
      <c r="A126" s="18">
        <v>67</v>
      </c>
      <c r="B126" s="18">
        <v>1.74E-3</v>
      </c>
    </row>
    <row r="127" spans="1:2" x14ac:dyDescent="0.25">
      <c r="A127" s="18">
        <v>67.5</v>
      </c>
      <c r="B127" s="18">
        <v>1.1900000000000001E-3</v>
      </c>
    </row>
    <row r="128" spans="1:2" x14ac:dyDescent="0.25">
      <c r="A128" s="18">
        <v>68</v>
      </c>
      <c r="B128" s="18">
        <v>6.3900000000000003E-4</v>
      </c>
    </row>
    <row r="129" spans="1:2" x14ac:dyDescent="0.25">
      <c r="A129" s="18">
        <v>68.5</v>
      </c>
      <c r="B129" s="18">
        <v>6.4300000000000002E-4</v>
      </c>
    </row>
    <row r="130" spans="1:2" x14ac:dyDescent="0.25">
      <c r="A130" s="18">
        <v>69</v>
      </c>
      <c r="B130" s="18">
        <v>9.3499999999999996E-4</v>
      </c>
    </row>
    <row r="131" spans="1:2" x14ac:dyDescent="0.25">
      <c r="A131" s="18">
        <v>69.5</v>
      </c>
      <c r="B131" s="18">
        <v>6.7599999999999995E-4</v>
      </c>
    </row>
    <row r="132" spans="1:2" x14ac:dyDescent="0.25">
      <c r="A132" s="18">
        <v>70</v>
      </c>
      <c r="B132" s="18">
        <v>5.2800000000000004E-4</v>
      </c>
    </row>
    <row r="133" spans="1:2" x14ac:dyDescent="0.25">
      <c r="A133" s="18">
        <v>70.5</v>
      </c>
      <c r="B133" s="18">
        <v>5.1599999999999997E-4</v>
      </c>
    </row>
    <row r="134" spans="1:2" x14ac:dyDescent="0.25">
      <c r="A134" s="18">
        <v>71</v>
      </c>
      <c r="B134" s="18">
        <v>5.1199999999999998E-4</v>
      </c>
    </row>
    <row r="135" spans="1:2" x14ac:dyDescent="0.25">
      <c r="A135" s="18">
        <v>71.5</v>
      </c>
      <c r="B135" s="18">
        <v>5.0299999999999997E-4</v>
      </c>
    </row>
    <row r="136" spans="1:2" x14ac:dyDescent="0.25">
      <c r="A136" s="18">
        <v>72</v>
      </c>
      <c r="B136" s="18">
        <v>5.0299999999999997E-4</v>
      </c>
    </row>
    <row r="137" spans="1:2" x14ac:dyDescent="0.25">
      <c r="A137" s="18">
        <v>72.5</v>
      </c>
      <c r="B137" s="18">
        <v>4.8999999999999998E-4</v>
      </c>
    </row>
    <row r="138" spans="1:2" x14ac:dyDescent="0.25">
      <c r="A138" s="18">
        <v>73</v>
      </c>
      <c r="B138" s="18">
        <v>4.84E-4</v>
      </c>
    </row>
    <row r="139" spans="1:2" x14ac:dyDescent="0.25">
      <c r="A139" s="18">
        <v>73.5</v>
      </c>
      <c r="B139" s="18">
        <v>4.8299999999999998E-4</v>
      </c>
    </row>
    <row r="140" spans="1:2" x14ac:dyDescent="0.25">
      <c r="A140" s="18">
        <v>74</v>
      </c>
      <c r="B140" s="18">
        <v>4.6700000000000002E-4</v>
      </c>
    </row>
    <row r="141" spans="1:2" x14ac:dyDescent="0.25">
      <c r="A141" s="18">
        <v>74.5</v>
      </c>
      <c r="B141" s="18">
        <v>4.6200000000000001E-4</v>
      </c>
    </row>
    <row r="142" spans="1:2" x14ac:dyDescent="0.25">
      <c r="A142" s="18">
        <v>75</v>
      </c>
      <c r="B142" s="18">
        <v>4.5100000000000001E-4</v>
      </c>
    </row>
    <row r="143" spans="1:2" x14ac:dyDescent="0.25">
      <c r="A143" s="18">
        <v>75.5</v>
      </c>
      <c r="B143" s="18">
        <v>4.5399999999999998E-4</v>
      </c>
    </row>
    <row r="144" spans="1:2" x14ac:dyDescent="0.25">
      <c r="A144" s="18">
        <v>76</v>
      </c>
      <c r="B144" s="18">
        <v>4.4000000000000002E-4</v>
      </c>
    </row>
    <row r="145" spans="1:2" x14ac:dyDescent="0.25">
      <c r="A145" s="18">
        <v>76.5</v>
      </c>
      <c r="B145" s="18">
        <v>4.3399999999999998E-4</v>
      </c>
    </row>
    <row r="146" spans="1:2" x14ac:dyDescent="0.25">
      <c r="A146" s="18">
        <v>77</v>
      </c>
      <c r="B146" s="18">
        <v>4.2499999999999998E-4</v>
      </c>
    </row>
    <row r="147" spans="1:2" x14ac:dyDescent="0.25">
      <c r="A147" s="18">
        <v>77.5</v>
      </c>
      <c r="B147" s="18">
        <v>4.1800000000000002E-4</v>
      </c>
    </row>
    <row r="148" spans="1:2" x14ac:dyDescent="0.25">
      <c r="A148" s="18">
        <v>78</v>
      </c>
      <c r="B148" s="18">
        <v>4.0999999999999999E-4</v>
      </c>
    </row>
    <row r="149" spans="1:2" x14ac:dyDescent="0.25">
      <c r="A149" s="18">
        <v>78.5</v>
      </c>
      <c r="B149" s="18">
        <v>3.9899999999999999E-4</v>
      </c>
    </row>
    <row r="150" spans="1:2" x14ac:dyDescent="0.25">
      <c r="A150" s="18">
        <v>79</v>
      </c>
      <c r="B150" s="18">
        <v>3.9899999999999999E-4</v>
      </c>
    </row>
    <row r="151" spans="1:2" x14ac:dyDescent="0.25">
      <c r="A151" s="18">
        <v>79.5</v>
      </c>
      <c r="B151" s="18">
        <v>3.9100000000000002E-4</v>
      </c>
    </row>
    <row r="152" spans="1:2" x14ac:dyDescent="0.25">
      <c r="A152" s="18">
        <v>80</v>
      </c>
      <c r="B152" s="18">
        <v>3.8400000000000001E-4</v>
      </c>
    </row>
    <row r="153" spans="1:2" x14ac:dyDescent="0.25">
      <c r="A153" s="18">
        <v>80.5</v>
      </c>
      <c r="B153" s="18">
        <v>3.86E-4</v>
      </c>
    </row>
    <row r="154" spans="1:2" x14ac:dyDescent="0.25">
      <c r="A154" s="18">
        <v>81</v>
      </c>
      <c r="B154" s="18">
        <v>3.7800000000000003E-4</v>
      </c>
    </row>
    <row r="155" spans="1:2" x14ac:dyDescent="0.25">
      <c r="A155" s="18">
        <v>81.5</v>
      </c>
      <c r="B155" s="18">
        <v>3.7500000000000001E-4</v>
      </c>
    </row>
    <row r="156" spans="1:2" x14ac:dyDescent="0.25">
      <c r="A156" s="18">
        <v>82</v>
      </c>
      <c r="B156" s="18">
        <v>3.68E-4</v>
      </c>
    </row>
    <row r="157" spans="1:2" x14ac:dyDescent="0.25">
      <c r="A157" s="18">
        <v>82.5</v>
      </c>
      <c r="B157" s="18">
        <v>3.59E-4</v>
      </c>
    </row>
    <row r="158" spans="1:2" x14ac:dyDescent="0.25">
      <c r="A158" s="18">
        <v>83</v>
      </c>
      <c r="B158" s="18">
        <v>3.5300000000000002E-4</v>
      </c>
    </row>
    <row r="159" spans="1:2" x14ac:dyDescent="0.25">
      <c r="A159" s="18">
        <v>83.5</v>
      </c>
      <c r="B159" s="18">
        <v>3.4600000000000001E-4</v>
      </c>
    </row>
    <row r="160" spans="1:2" x14ac:dyDescent="0.25">
      <c r="A160" s="18">
        <v>84</v>
      </c>
      <c r="B160" s="18">
        <v>3.4000000000000002E-4</v>
      </c>
    </row>
    <row r="161" spans="1:2" x14ac:dyDescent="0.25">
      <c r="A161" s="18">
        <v>84.5</v>
      </c>
      <c r="B161" s="18">
        <v>3.3799999999999998E-4</v>
      </c>
    </row>
    <row r="162" spans="1:2" x14ac:dyDescent="0.25">
      <c r="A162" s="18">
        <v>85</v>
      </c>
      <c r="B162" s="18">
        <v>3.3399999999999999E-4</v>
      </c>
    </row>
    <row r="163" spans="1:2" x14ac:dyDescent="0.25">
      <c r="A163" s="18">
        <v>85.5</v>
      </c>
      <c r="B163" s="18">
        <v>3.28E-4</v>
      </c>
    </row>
    <row r="164" spans="1:2" x14ac:dyDescent="0.25">
      <c r="A164" s="18">
        <v>86</v>
      </c>
      <c r="B164" s="18">
        <v>3.28E-4</v>
      </c>
    </row>
    <row r="165" spans="1:2" x14ac:dyDescent="0.25">
      <c r="A165" s="18">
        <v>86.5</v>
      </c>
      <c r="B165" s="18">
        <v>3.1799999999999998E-4</v>
      </c>
    </row>
    <row r="166" spans="1:2" x14ac:dyDescent="0.25">
      <c r="A166" s="18">
        <v>87</v>
      </c>
      <c r="B166" s="18">
        <v>3.1E-4</v>
      </c>
    </row>
    <row r="167" spans="1:2" x14ac:dyDescent="0.25">
      <c r="A167" s="18">
        <v>87.5</v>
      </c>
      <c r="B167" s="18">
        <v>2.9999999999999997E-4</v>
      </c>
    </row>
    <row r="168" spans="1:2" x14ac:dyDescent="0.25">
      <c r="A168" s="18">
        <v>88</v>
      </c>
      <c r="B168" s="18">
        <v>2.92E-4</v>
      </c>
    </row>
    <row r="169" spans="1:2" x14ac:dyDescent="0.25">
      <c r="A169" s="18">
        <v>88.5</v>
      </c>
      <c r="B169" s="18">
        <v>2.8400000000000002E-4</v>
      </c>
    </row>
    <row r="170" spans="1:2" x14ac:dyDescent="0.25">
      <c r="A170" s="18">
        <v>89</v>
      </c>
      <c r="B170" s="18">
        <v>2.8200000000000002E-4</v>
      </c>
    </row>
    <row r="171" spans="1:2" x14ac:dyDescent="0.25">
      <c r="A171" s="18">
        <v>89.5</v>
      </c>
      <c r="B171" s="18">
        <v>2.7300000000000002E-4</v>
      </c>
    </row>
    <row r="172" spans="1:2" x14ac:dyDescent="0.25">
      <c r="A172" s="18">
        <v>90</v>
      </c>
      <c r="B172" s="18">
        <v>2.7099999999999997E-4</v>
      </c>
    </row>
    <row r="173" spans="1:2" x14ac:dyDescent="0.25">
      <c r="A173" s="18">
        <v>90.5</v>
      </c>
      <c r="B173" s="18">
        <v>2.6600000000000001E-4</v>
      </c>
    </row>
    <row r="174" spans="1:2" x14ac:dyDescent="0.25">
      <c r="A174" s="18">
        <v>91</v>
      </c>
      <c r="B174" s="18">
        <v>2.5999999999999998E-4</v>
      </c>
    </row>
    <row r="175" spans="1:2" x14ac:dyDescent="0.25">
      <c r="A175" s="18">
        <v>91.5</v>
      </c>
      <c r="B175" s="18">
        <v>2.5000000000000001E-4</v>
      </c>
    </row>
    <row r="176" spans="1:2" x14ac:dyDescent="0.25">
      <c r="A176" s="18">
        <v>92</v>
      </c>
      <c r="B176" s="18">
        <v>2.4499999999999999E-4</v>
      </c>
    </row>
    <row r="177" spans="1:2" x14ac:dyDescent="0.25">
      <c r="A177" s="18">
        <v>92.5</v>
      </c>
      <c r="B177" s="18">
        <v>2.4499999999999999E-4</v>
      </c>
    </row>
    <row r="178" spans="1:2" x14ac:dyDescent="0.25">
      <c r="A178" s="18">
        <v>93</v>
      </c>
      <c r="B178" s="18">
        <v>2.3800000000000001E-4</v>
      </c>
    </row>
    <row r="179" spans="1:2" x14ac:dyDescent="0.25">
      <c r="A179" s="18">
        <v>93.5</v>
      </c>
      <c r="B179" s="18">
        <v>2.2900000000000001E-4</v>
      </c>
    </row>
    <row r="180" spans="1:2" x14ac:dyDescent="0.25">
      <c r="A180" s="18">
        <v>94</v>
      </c>
      <c r="B180" s="18">
        <v>2.3000000000000001E-4</v>
      </c>
    </row>
    <row r="181" spans="1:2" x14ac:dyDescent="0.25">
      <c r="A181" s="18">
        <v>94.5</v>
      </c>
      <c r="B181" s="18">
        <v>2.1699999999999999E-4</v>
      </c>
    </row>
    <row r="182" spans="1:2" x14ac:dyDescent="0.25">
      <c r="A182" s="18">
        <v>95</v>
      </c>
      <c r="B182" s="18">
        <v>2.14E-4</v>
      </c>
    </row>
    <row r="183" spans="1:2" x14ac:dyDescent="0.25">
      <c r="A183" s="18">
        <v>95.5</v>
      </c>
      <c r="B183" s="18">
        <v>2.12E-4</v>
      </c>
    </row>
    <row r="184" spans="1:2" x14ac:dyDescent="0.25">
      <c r="A184" s="18">
        <v>96</v>
      </c>
      <c r="B184" s="18">
        <v>1.9900000000000001E-4</v>
      </c>
    </row>
    <row r="185" spans="1:2" x14ac:dyDescent="0.25">
      <c r="A185" s="18">
        <v>96.5</v>
      </c>
      <c r="B185" s="18">
        <v>1.9699999999999999E-4</v>
      </c>
    </row>
    <row r="186" spans="1:2" x14ac:dyDescent="0.25">
      <c r="A186" s="18">
        <v>97</v>
      </c>
      <c r="B186" s="18">
        <v>1.8799999999999999E-4</v>
      </c>
    </row>
    <row r="187" spans="1:2" x14ac:dyDescent="0.25">
      <c r="A187" s="18">
        <v>97.5</v>
      </c>
      <c r="B187" s="18">
        <v>1.83E-4</v>
      </c>
    </row>
    <row r="188" spans="1:2" x14ac:dyDescent="0.25">
      <c r="A188" s="18">
        <v>98</v>
      </c>
      <c r="B188" s="18">
        <v>1.76E-4</v>
      </c>
    </row>
    <row r="189" spans="1:2" x14ac:dyDescent="0.25">
      <c r="A189" s="18">
        <v>98.5</v>
      </c>
      <c r="B189" s="18">
        <v>1.7000000000000001E-4</v>
      </c>
    </row>
    <row r="190" spans="1:2" x14ac:dyDescent="0.25">
      <c r="A190" s="18">
        <v>99</v>
      </c>
      <c r="B190" s="18">
        <v>1.65E-4</v>
      </c>
    </row>
    <row r="191" spans="1:2" x14ac:dyDescent="0.25">
      <c r="A191" s="18">
        <v>99.5</v>
      </c>
      <c r="B191" s="18">
        <v>1.55E-4</v>
      </c>
    </row>
    <row r="192" spans="1:2" x14ac:dyDescent="0.25">
      <c r="A192" s="18">
        <v>100</v>
      </c>
      <c r="B192" s="18">
        <v>1.5300000000000001E-4</v>
      </c>
    </row>
    <row r="193" spans="1:2" x14ac:dyDescent="0.25">
      <c r="A193" s="18">
        <v>101</v>
      </c>
      <c r="B193" s="18">
        <v>1.47E-4</v>
      </c>
    </row>
    <row r="194" spans="1:2" x14ac:dyDescent="0.25">
      <c r="A194" s="18">
        <v>101</v>
      </c>
      <c r="B194" s="18">
        <v>1.3799999999999999E-4</v>
      </c>
    </row>
    <row r="195" spans="1:2" x14ac:dyDescent="0.25">
      <c r="A195" s="18">
        <v>102</v>
      </c>
      <c r="B195" s="18">
        <v>1.36E-4</v>
      </c>
    </row>
    <row r="196" spans="1:2" x14ac:dyDescent="0.25">
      <c r="A196" s="18">
        <v>102</v>
      </c>
      <c r="B196" s="18">
        <v>1.2899999999999999E-4</v>
      </c>
    </row>
    <row r="197" spans="1:2" x14ac:dyDescent="0.25">
      <c r="A197" s="18">
        <v>103</v>
      </c>
      <c r="B197" s="18">
        <v>1.22E-4</v>
      </c>
    </row>
    <row r="198" spans="1:2" x14ac:dyDescent="0.25">
      <c r="A198" s="18">
        <v>103</v>
      </c>
      <c r="B198" s="18">
        <v>1.15E-4</v>
      </c>
    </row>
    <row r="199" spans="1:2" x14ac:dyDescent="0.25">
      <c r="A199" s="18">
        <v>104</v>
      </c>
      <c r="B199" s="18">
        <v>1.06E-4</v>
      </c>
    </row>
    <row r="200" spans="1:2" x14ac:dyDescent="0.25">
      <c r="A200" s="18">
        <v>104</v>
      </c>
      <c r="B200" s="18">
        <v>9.9099999999999996E-5</v>
      </c>
    </row>
    <row r="201" spans="1:2" x14ac:dyDescent="0.25">
      <c r="A201" s="18">
        <v>105</v>
      </c>
      <c r="B201" s="18">
        <v>9.1399999999999999E-5</v>
      </c>
    </row>
    <row r="202" spans="1:2" x14ac:dyDescent="0.25">
      <c r="A202" s="18">
        <v>105</v>
      </c>
      <c r="B202" s="18">
        <v>8.6399999999999999E-5</v>
      </c>
    </row>
    <row r="203" spans="1:2" x14ac:dyDescent="0.25">
      <c r="A203" s="18">
        <v>106</v>
      </c>
      <c r="B203" s="18">
        <v>7.75E-5</v>
      </c>
    </row>
    <row r="204" spans="1:2" x14ac:dyDescent="0.25">
      <c r="A204" s="18">
        <v>106</v>
      </c>
      <c r="B204" s="18">
        <v>7.1799999999999997E-5</v>
      </c>
    </row>
    <row r="205" spans="1:2" x14ac:dyDescent="0.25">
      <c r="A205" s="18">
        <v>107</v>
      </c>
      <c r="B205" s="18">
        <v>6.3499999999999999E-5</v>
      </c>
    </row>
    <row r="206" spans="1:2" x14ac:dyDescent="0.25">
      <c r="A206" s="18">
        <v>107</v>
      </c>
      <c r="B206" s="18">
        <v>5.4799999999999997E-5</v>
      </c>
    </row>
    <row r="207" spans="1:2" x14ac:dyDescent="0.25">
      <c r="A207" s="18">
        <v>108</v>
      </c>
      <c r="B207" s="18">
        <v>4.9200000000000003E-5</v>
      </c>
    </row>
    <row r="208" spans="1:2" x14ac:dyDescent="0.25">
      <c r="A208" s="18">
        <v>108</v>
      </c>
      <c r="B208" s="18">
        <v>3.8800000000000001E-5</v>
      </c>
    </row>
    <row r="209" spans="1:2" x14ac:dyDescent="0.25">
      <c r="A209" s="18">
        <v>109</v>
      </c>
      <c r="B209" s="18">
        <v>3.1900000000000003E-5</v>
      </c>
    </row>
    <row r="210" spans="1:2" x14ac:dyDescent="0.25">
      <c r="A210" s="18">
        <v>109</v>
      </c>
      <c r="B210" s="18">
        <v>2.3E-5</v>
      </c>
    </row>
    <row r="211" spans="1:2" x14ac:dyDescent="0.25">
      <c r="A211" s="18">
        <v>110</v>
      </c>
      <c r="B211" s="18">
        <v>1.3499999999999999E-5</v>
      </c>
    </row>
    <row r="212" spans="1:2" x14ac:dyDescent="0.25">
      <c r="A212" s="18">
        <v>110</v>
      </c>
      <c r="B212" s="18">
        <v>2.8399999999999999E-6</v>
      </c>
    </row>
    <row r="213" spans="1:2" x14ac:dyDescent="0.25">
      <c r="A213" s="18">
        <v>111</v>
      </c>
      <c r="B213" s="18">
        <v>7.3499999999999995E-7</v>
      </c>
    </row>
    <row r="214" spans="1:2" x14ac:dyDescent="0.25">
      <c r="A214" s="18">
        <v>111</v>
      </c>
      <c r="B214" s="18">
        <v>9.5099999999999998E-7</v>
      </c>
    </row>
    <row r="215" spans="1:2" x14ac:dyDescent="0.25">
      <c r="A215" s="18">
        <v>112</v>
      </c>
      <c r="B215" s="18">
        <v>7.5499999999999997E-7</v>
      </c>
    </row>
    <row r="216" spans="1:2" x14ac:dyDescent="0.25">
      <c r="A216" s="18">
        <v>112</v>
      </c>
      <c r="B216" s="18">
        <v>5.7000000000000005E-7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1:B23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1.65E-3</v>
      </c>
    </row>
    <row r="3" spans="1:2" x14ac:dyDescent="0.25">
      <c r="A3" s="18">
        <v>5.5</v>
      </c>
      <c r="B3" s="18">
        <v>1.2999999999999999E-3</v>
      </c>
    </row>
    <row r="4" spans="1:2" x14ac:dyDescent="0.25">
      <c r="A4" s="18">
        <v>6</v>
      </c>
      <c r="B4" s="18">
        <v>8.2700000000000004E-4</v>
      </c>
    </row>
    <row r="5" spans="1:2" x14ac:dyDescent="0.25">
      <c r="A5" s="18">
        <v>6.5</v>
      </c>
      <c r="B5" s="18">
        <v>1.34E-3</v>
      </c>
    </row>
    <row r="6" spans="1:2" x14ac:dyDescent="0.25">
      <c r="A6" s="18">
        <v>7</v>
      </c>
      <c r="B6" s="18">
        <v>2.15E-3</v>
      </c>
    </row>
    <row r="7" spans="1:2" x14ac:dyDescent="0.25">
      <c r="A7" s="18">
        <v>7.5</v>
      </c>
      <c r="B7" s="18">
        <v>3.7100000000000002E-3</v>
      </c>
    </row>
    <row r="8" spans="1:2" x14ac:dyDescent="0.25">
      <c r="A8" s="18">
        <v>8</v>
      </c>
      <c r="B8" s="18">
        <v>1.7500000000000002E-2</v>
      </c>
    </row>
    <row r="9" spans="1:2" x14ac:dyDescent="0.25">
      <c r="A9" s="18">
        <v>8.5</v>
      </c>
      <c r="B9" s="18">
        <v>9.2499999999999999E-2</v>
      </c>
    </row>
    <row r="10" spans="1:2" x14ac:dyDescent="0.25">
      <c r="A10" s="18">
        <v>9</v>
      </c>
      <c r="B10" s="18">
        <v>1.37E-2</v>
      </c>
    </row>
    <row r="11" spans="1:2" x14ac:dyDescent="0.25">
      <c r="A11" s="18">
        <v>9.5</v>
      </c>
      <c r="B11" s="18">
        <v>0.11899999999999999</v>
      </c>
    </row>
    <row r="12" spans="1:2" x14ac:dyDescent="0.25">
      <c r="A12" s="18">
        <v>10</v>
      </c>
      <c r="B12" s="18">
        <v>0.13500000000000001</v>
      </c>
    </row>
    <row r="13" spans="1:2" x14ac:dyDescent="0.25">
      <c r="A13" s="18">
        <v>10.5</v>
      </c>
      <c r="B13" s="18">
        <v>1.4999999999999999E-2</v>
      </c>
    </row>
    <row r="14" spans="1:2" x14ac:dyDescent="0.25">
      <c r="A14" s="18">
        <v>11</v>
      </c>
      <c r="B14" s="18">
        <v>1.7500000000000002E-2</v>
      </c>
    </row>
    <row r="15" spans="1:2" x14ac:dyDescent="0.25">
      <c r="A15" s="18">
        <v>11.5</v>
      </c>
      <c r="B15" s="18">
        <v>3.1800000000000002E-2</v>
      </c>
    </row>
    <row r="16" spans="1:2" x14ac:dyDescent="0.25">
      <c r="A16" s="18">
        <v>12</v>
      </c>
      <c r="B16" s="18">
        <v>1.41E-2</v>
      </c>
    </row>
    <row r="17" spans="1:2" x14ac:dyDescent="0.25">
      <c r="A17" s="18">
        <v>12.5</v>
      </c>
      <c r="B17" s="18">
        <v>1.0500000000000001E-2</v>
      </c>
    </row>
    <row r="18" spans="1:2" x14ac:dyDescent="0.25">
      <c r="A18" s="18">
        <v>13</v>
      </c>
      <c r="B18" s="18">
        <v>1.11E-2</v>
      </c>
    </row>
    <row r="19" spans="1:2" x14ac:dyDescent="0.25">
      <c r="A19" s="18">
        <v>13.5</v>
      </c>
      <c r="B19" s="18">
        <v>1.1599999999999999E-2</v>
      </c>
    </row>
    <row r="20" spans="1:2" x14ac:dyDescent="0.25">
      <c r="A20" s="18">
        <v>14</v>
      </c>
      <c r="B20" s="18">
        <v>1.21E-2</v>
      </c>
    </row>
    <row r="21" spans="1:2" x14ac:dyDescent="0.25">
      <c r="A21" s="18">
        <v>14.5</v>
      </c>
      <c r="B21" s="18">
        <v>1.23E-2</v>
      </c>
    </row>
    <row r="22" spans="1:2" x14ac:dyDescent="0.25">
      <c r="A22" s="18">
        <v>15</v>
      </c>
      <c r="B22" s="18">
        <v>1.2699999999999999E-2</v>
      </c>
    </row>
    <row r="23" spans="1:2" x14ac:dyDescent="0.25">
      <c r="A23" s="18">
        <v>15.5</v>
      </c>
      <c r="B23" s="18">
        <v>1.2800000000000001E-2</v>
      </c>
    </row>
    <row r="24" spans="1:2" x14ac:dyDescent="0.25">
      <c r="A24" s="18">
        <v>16</v>
      </c>
      <c r="B24" s="18">
        <v>1.29E-2</v>
      </c>
    </row>
    <row r="25" spans="1:2" x14ac:dyDescent="0.25">
      <c r="A25" s="18">
        <v>16.5</v>
      </c>
      <c r="B25" s="18">
        <v>1.2800000000000001E-2</v>
      </c>
    </row>
    <row r="26" spans="1:2" x14ac:dyDescent="0.25">
      <c r="A26" s="18">
        <v>17</v>
      </c>
      <c r="B26" s="18">
        <v>1.2699999999999999E-2</v>
      </c>
    </row>
    <row r="27" spans="1:2" x14ac:dyDescent="0.25">
      <c r="A27" s="18">
        <v>17.5</v>
      </c>
      <c r="B27" s="18">
        <v>1.26E-2</v>
      </c>
    </row>
    <row r="28" spans="1:2" x14ac:dyDescent="0.25">
      <c r="A28" s="18">
        <v>18</v>
      </c>
      <c r="B28" s="18">
        <v>1.2200000000000001E-2</v>
      </c>
    </row>
    <row r="29" spans="1:2" x14ac:dyDescent="0.25">
      <c r="A29" s="18">
        <v>18.5</v>
      </c>
      <c r="B29" s="18">
        <v>1.21E-2</v>
      </c>
    </row>
    <row r="30" spans="1:2" x14ac:dyDescent="0.25">
      <c r="A30" s="18">
        <v>19</v>
      </c>
      <c r="B30" s="18">
        <v>1.18E-2</v>
      </c>
    </row>
    <row r="31" spans="1:2" x14ac:dyDescent="0.25">
      <c r="A31" s="18">
        <v>19.5</v>
      </c>
      <c r="B31" s="18">
        <v>1.15E-2</v>
      </c>
    </row>
    <row r="32" spans="1:2" x14ac:dyDescent="0.25">
      <c r="A32" s="18">
        <v>20</v>
      </c>
      <c r="B32" s="18">
        <v>1.12E-2</v>
      </c>
    </row>
    <row r="33" spans="1:2" x14ac:dyDescent="0.25">
      <c r="A33" s="18">
        <v>20.5</v>
      </c>
      <c r="B33" s="18">
        <v>1.09E-2</v>
      </c>
    </row>
    <row r="34" spans="1:2" x14ac:dyDescent="0.25">
      <c r="A34" s="18">
        <v>21</v>
      </c>
      <c r="B34" s="18">
        <v>1.0500000000000001E-2</v>
      </c>
    </row>
    <row r="35" spans="1:2" x14ac:dyDescent="0.25">
      <c r="A35" s="18">
        <v>21.5</v>
      </c>
      <c r="B35" s="18">
        <v>1.0200000000000001E-2</v>
      </c>
    </row>
    <row r="36" spans="1:2" x14ac:dyDescent="0.25">
      <c r="A36" s="18">
        <v>22</v>
      </c>
      <c r="B36" s="18">
        <v>9.7999999999999997E-3</v>
      </c>
    </row>
    <row r="37" spans="1:2" x14ac:dyDescent="0.25">
      <c r="A37" s="18">
        <v>22.5</v>
      </c>
      <c r="B37" s="18">
        <v>9.5200000000000007E-3</v>
      </c>
    </row>
    <row r="38" spans="1:2" x14ac:dyDescent="0.25">
      <c r="A38" s="18">
        <v>23</v>
      </c>
      <c r="B38" s="18">
        <v>9.1400000000000006E-3</v>
      </c>
    </row>
    <row r="39" spans="1:2" x14ac:dyDescent="0.25">
      <c r="A39" s="18">
        <v>23.5</v>
      </c>
      <c r="B39" s="18">
        <v>8.8599999999999998E-3</v>
      </c>
    </row>
    <row r="40" spans="1:2" x14ac:dyDescent="0.25">
      <c r="A40" s="18">
        <v>24</v>
      </c>
      <c r="B40" s="18">
        <v>8.4700000000000001E-3</v>
      </c>
    </row>
    <row r="41" spans="1:2" x14ac:dyDescent="0.25">
      <c r="A41" s="18">
        <v>24.5</v>
      </c>
      <c r="B41" s="18">
        <v>8.1600000000000006E-3</v>
      </c>
    </row>
    <row r="42" spans="1:2" x14ac:dyDescent="0.25">
      <c r="A42" s="18">
        <v>25</v>
      </c>
      <c r="B42" s="18">
        <v>7.7999999999999996E-3</v>
      </c>
    </row>
    <row r="43" spans="1:2" x14ac:dyDescent="0.25">
      <c r="A43" s="18">
        <v>25.5</v>
      </c>
      <c r="B43" s="18">
        <v>7.4999999999999997E-3</v>
      </c>
    </row>
    <row r="44" spans="1:2" x14ac:dyDescent="0.25">
      <c r="A44" s="18">
        <v>26</v>
      </c>
      <c r="B44" s="18">
        <v>7.1700000000000002E-3</v>
      </c>
    </row>
    <row r="45" spans="1:2" x14ac:dyDescent="0.25">
      <c r="A45" s="18">
        <v>26.5</v>
      </c>
      <c r="B45" s="18">
        <v>6.8999999999999999E-3</v>
      </c>
    </row>
    <row r="46" spans="1:2" x14ac:dyDescent="0.25">
      <c r="A46" s="18">
        <v>27</v>
      </c>
      <c r="B46" s="18">
        <v>6.62E-3</v>
      </c>
    </row>
    <row r="47" spans="1:2" x14ac:dyDescent="0.25">
      <c r="A47" s="18">
        <v>27.5</v>
      </c>
      <c r="B47" s="18">
        <v>6.3299999999999997E-3</v>
      </c>
    </row>
    <row r="48" spans="1:2" x14ac:dyDescent="0.25">
      <c r="A48" s="18">
        <v>28</v>
      </c>
      <c r="B48" s="18">
        <v>6.0800000000000003E-3</v>
      </c>
    </row>
    <row r="49" spans="1:2" x14ac:dyDescent="0.25">
      <c r="A49" s="18">
        <v>28.5</v>
      </c>
      <c r="B49" s="18">
        <v>5.8199999999999997E-3</v>
      </c>
    </row>
    <row r="50" spans="1:2" x14ac:dyDescent="0.25">
      <c r="A50" s="18">
        <v>29</v>
      </c>
      <c r="B50" s="18">
        <v>5.5900000000000004E-3</v>
      </c>
    </row>
    <row r="51" spans="1:2" x14ac:dyDescent="0.25">
      <c r="A51" s="18">
        <v>29.5</v>
      </c>
      <c r="B51" s="18">
        <v>5.3499999999999997E-3</v>
      </c>
    </row>
    <row r="52" spans="1:2" x14ac:dyDescent="0.25">
      <c r="A52" s="18">
        <v>30</v>
      </c>
      <c r="B52" s="18">
        <v>5.11E-3</v>
      </c>
    </row>
    <row r="53" spans="1:2" x14ac:dyDescent="0.25">
      <c r="A53" s="18">
        <v>30.5</v>
      </c>
      <c r="B53" s="18">
        <v>4.9300000000000004E-3</v>
      </c>
    </row>
    <row r="54" spans="1:2" x14ac:dyDescent="0.25">
      <c r="A54" s="18">
        <v>31</v>
      </c>
      <c r="B54" s="18">
        <v>4.7400000000000003E-3</v>
      </c>
    </row>
    <row r="55" spans="1:2" x14ac:dyDescent="0.25">
      <c r="A55" s="18">
        <v>31.5</v>
      </c>
      <c r="B55" s="18">
        <v>4.5399999999999998E-3</v>
      </c>
    </row>
    <row r="56" spans="1:2" x14ac:dyDescent="0.25">
      <c r="A56" s="18">
        <v>32</v>
      </c>
      <c r="B56" s="18">
        <v>4.3699999999999998E-3</v>
      </c>
    </row>
    <row r="57" spans="1:2" x14ac:dyDescent="0.25">
      <c r="A57" s="18">
        <v>32.5</v>
      </c>
      <c r="B57" s="18">
        <v>4.2199999999999998E-3</v>
      </c>
    </row>
    <row r="58" spans="1:2" x14ac:dyDescent="0.25">
      <c r="A58" s="18">
        <v>33</v>
      </c>
      <c r="B58" s="18">
        <v>4.0499999999999998E-3</v>
      </c>
    </row>
    <row r="59" spans="1:2" x14ac:dyDescent="0.25">
      <c r="A59" s="18">
        <v>33.5</v>
      </c>
      <c r="B59" s="18">
        <v>3.8800000000000002E-3</v>
      </c>
    </row>
    <row r="60" spans="1:2" x14ac:dyDescent="0.25">
      <c r="A60" s="18">
        <v>34</v>
      </c>
      <c r="B60" s="18">
        <v>3.7499999999999999E-3</v>
      </c>
    </row>
    <row r="61" spans="1:2" x14ac:dyDescent="0.25">
      <c r="A61" s="18">
        <v>34.5</v>
      </c>
      <c r="B61" s="18">
        <v>3.5999999999999999E-3</v>
      </c>
    </row>
    <row r="62" spans="1:2" x14ac:dyDescent="0.25">
      <c r="A62" s="18">
        <v>35</v>
      </c>
      <c r="B62" s="18">
        <v>3.48E-3</v>
      </c>
    </row>
    <row r="63" spans="1:2" x14ac:dyDescent="0.25">
      <c r="A63" s="18">
        <v>35.5</v>
      </c>
      <c r="B63" s="18">
        <v>3.3400000000000001E-3</v>
      </c>
    </row>
    <row r="64" spans="1:2" x14ac:dyDescent="0.25">
      <c r="A64" s="18">
        <v>36</v>
      </c>
      <c r="B64" s="18">
        <v>3.2200000000000002E-3</v>
      </c>
    </row>
    <row r="65" spans="1:2" x14ac:dyDescent="0.25">
      <c r="A65" s="18">
        <v>36.5</v>
      </c>
      <c r="B65" s="18">
        <v>3.0999999999999999E-3</v>
      </c>
    </row>
    <row r="66" spans="1:2" x14ac:dyDescent="0.25">
      <c r="A66" s="18">
        <v>37</v>
      </c>
      <c r="B66" s="18">
        <v>2.9499999999999999E-3</v>
      </c>
    </row>
    <row r="67" spans="1:2" x14ac:dyDescent="0.25">
      <c r="A67" s="18">
        <v>37.5</v>
      </c>
      <c r="B67" s="18">
        <v>2.8700000000000002E-3</v>
      </c>
    </row>
    <row r="68" spans="1:2" x14ac:dyDescent="0.25">
      <c r="A68" s="18">
        <v>38</v>
      </c>
      <c r="B68" s="18">
        <v>2.7499999999999998E-3</v>
      </c>
    </row>
    <row r="69" spans="1:2" x14ac:dyDescent="0.25">
      <c r="A69" s="18">
        <v>38.5</v>
      </c>
      <c r="B69" s="18">
        <v>2.66E-3</v>
      </c>
    </row>
    <row r="70" spans="1:2" x14ac:dyDescent="0.25">
      <c r="A70" s="18">
        <v>39</v>
      </c>
      <c r="B70" s="18">
        <v>2.5600000000000002E-3</v>
      </c>
    </row>
    <row r="71" spans="1:2" x14ac:dyDescent="0.25">
      <c r="A71" s="18">
        <v>39.5</v>
      </c>
      <c r="B71" s="18">
        <v>2.47E-3</v>
      </c>
    </row>
    <row r="72" spans="1:2" x14ac:dyDescent="0.25">
      <c r="A72" s="18">
        <v>40</v>
      </c>
      <c r="B72" s="18">
        <v>2.3700000000000001E-3</v>
      </c>
    </row>
    <row r="73" spans="1:2" x14ac:dyDescent="0.25">
      <c r="A73" s="18">
        <v>40.5</v>
      </c>
      <c r="B73" s="18">
        <v>2.32E-3</v>
      </c>
    </row>
    <row r="74" spans="1:2" x14ac:dyDescent="0.25">
      <c r="A74" s="18">
        <v>41</v>
      </c>
      <c r="B74" s="18">
        <v>2.2300000000000002E-3</v>
      </c>
    </row>
    <row r="75" spans="1:2" x14ac:dyDescent="0.25">
      <c r="A75" s="18">
        <v>41.5</v>
      </c>
      <c r="B75" s="18">
        <v>2.1800000000000001E-3</v>
      </c>
    </row>
    <row r="76" spans="1:2" x14ac:dyDescent="0.25">
      <c r="A76" s="18">
        <v>42</v>
      </c>
      <c r="B76" s="18">
        <v>2.1099999999999999E-3</v>
      </c>
    </row>
    <row r="77" spans="1:2" x14ac:dyDescent="0.25">
      <c r="A77" s="18">
        <v>42.5</v>
      </c>
      <c r="B77" s="18">
        <v>2.0500000000000002E-3</v>
      </c>
    </row>
    <row r="78" spans="1:2" x14ac:dyDescent="0.25">
      <c r="A78" s="18">
        <v>43</v>
      </c>
      <c r="B78" s="18">
        <v>1.99E-3</v>
      </c>
    </row>
    <row r="79" spans="1:2" x14ac:dyDescent="0.25">
      <c r="A79" s="18">
        <v>43.5</v>
      </c>
      <c r="B79" s="18">
        <v>1.9300000000000001E-3</v>
      </c>
    </row>
    <row r="80" spans="1:2" x14ac:dyDescent="0.25">
      <c r="A80" s="18">
        <v>44</v>
      </c>
      <c r="B80" s="18">
        <v>1.8699999999999999E-3</v>
      </c>
    </row>
    <row r="81" spans="1:2" x14ac:dyDescent="0.25">
      <c r="A81" s="18">
        <v>44.5</v>
      </c>
      <c r="B81" s="18">
        <v>1.82E-3</v>
      </c>
    </row>
    <row r="82" spans="1:2" x14ac:dyDescent="0.25">
      <c r="A82" s="18">
        <v>45</v>
      </c>
      <c r="B82" s="18">
        <v>1.7700000000000001E-3</v>
      </c>
    </row>
    <row r="83" spans="1:2" x14ac:dyDescent="0.25">
      <c r="A83" s="18">
        <v>45.5</v>
      </c>
      <c r="B83" s="18">
        <v>1.73E-3</v>
      </c>
    </row>
    <row r="84" spans="1:2" x14ac:dyDescent="0.25">
      <c r="A84" s="18">
        <v>46</v>
      </c>
      <c r="B84" s="18">
        <v>1.67E-3</v>
      </c>
    </row>
    <row r="85" spans="1:2" x14ac:dyDescent="0.25">
      <c r="A85" s="18">
        <v>46.5</v>
      </c>
      <c r="B85" s="18">
        <v>1.6199999999999999E-3</v>
      </c>
    </row>
    <row r="86" spans="1:2" x14ac:dyDescent="0.25">
      <c r="A86" s="18">
        <v>47</v>
      </c>
      <c r="B86" s="18">
        <v>1.58E-3</v>
      </c>
    </row>
    <row r="87" spans="1:2" x14ac:dyDescent="0.25">
      <c r="A87" s="18">
        <v>47.5</v>
      </c>
      <c r="B87" s="18">
        <v>1.5399999999999999E-3</v>
      </c>
    </row>
    <row r="88" spans="1:2" x14ac:dyDescent="0.25">
      <c r="A88" s="18">
        <v>48</v>
      </c>
      <c r="B88" s="18">
        <v>1.49E-3</v>
      </c>
    </row>
    <row r="89" spans="1:2" x14ac:dyDescent="0.25">
      <c r="A89" s="18">
        <v>48.5</v>
      </c>
      <c r="B89" s="18">
        <v>1.4499999999999999E-3</v>
      </c>
    </row>
    <row r="90" spans="1:2" x14ac:dyDescent="0.25">
      <c r="A90" s="18">
        <v>49</v>
      </c>
      <c r="B90" s="18">
        <v>1.41E-3</v>
      </c>
    </row>
    <row r="91" spans="1:2" x14ac:dyDescent="0.25">
      <c r="A91" s="18">
        <v>49.5</v>
      </c>
      <c r="B91" s="18">
        <v>1.3699999999999999E-3</v>
      </c>
    </row>
    <row r="92" spans="1:2" x14ac:dyDescent="0.25">
      <c r="A92" s="18">
        <v>50</v>
      </c>
      <c r="B92" s="18">
        <v>1.33E-3</v>
      </c>
    </row>
    <row r="93" spans="1:2" x14ac:dyDescent="0.25">
      <c r="A93" s="18">
        <v>50.5</v>
      </c>
      <c r="B93" s="18">
        <v>1.31E-3</v>
      </c>
    </row>
    <row r="94" spans="1:2" x14ac:dyDescent="0.25">
      <c r="A94" s="18">
        <v>51</v>
      </c>
      <c r="B94" s="18">
        <v>1.2700000000000001E-3</v>
      </c>
    </row>
    <row r="95" spans="1:2" x14ac:dyDescent="0.25">
      <c r="A95" s="18">
        <v>51.5</v>
      </c>
      <c r="B95" s="18">
        <v>1.25E-3</v>
      </c>
    </row>
    <row r="96" spans="1:2" x14ac:dyDescent="0.25">
      <c r="A96" s="18">
        <v>52</v>
      </c>
      <c r="B96" s="18">
        <v>1.23E-3</v>
      </c>
    </row>
    <row r="97" spans="1:2" x14ac:dyDescent="0.25">
      <c r="A97" s="18">
        <v>52.5</v>
      </c>
      <c r="B97" s="18">
        <v>1.1999999999999999E-3</v>
      </c>
    </row>
    <row r="98" spans="1:2" x14ac:dyDescent="0.25">
      <c r="A98" s="18">
        <v>53</v>
      </c>
      <c r="B98" s="18">
        <v>1.17E-3</v>
      </c>
    </row>
    <row r="99" spans="1:2" x14ac:dyDescent="0.25">
      <c r="A99" s="18">
        <v>53.5</v>
      </c>
      <c r="B99" s="18">
        <v>1.15E-3</v>
      </c>
    </row>
    <row r="100" spans="1:2" x14ac:dyDescent="0.25">
      <c r="A100" s="18">
        <v>54</v>
      </c>
      <c r="B100" s="18">
        <v>1.1299999999999999E-3</v>
      </c>
    </row>
    <row r="101" spans="1:2" x14ac:dyDescent="0.25">
      <c r="A101" s="18">
        <v>54.5</v>
      </c>
      <c r="B101" s="18">
        <v>1.1100000000000001E-3</v>
      </c>
    </row>
    <row r="102" spans="1:2" x14ac:dyDescent="0.25">
      <c r="A102" s="18">
        <v>55</v>
      </c>
      <c r="B102" s="18">
        <v>1.08E-3</v>
      </c>
    </row>
    <row r="103" spans="1:2" x14ac:dyDescent="0.25">
      <c r="A103" s="18">
        <v>55.5</v>
      </c>
      <c r="B103" s="18">
        <v>1.07E-3</v>
      </c>
    </row>
    <row r="104" spans="1:2" x14ac:dyDescent="0.25">
      <c r="A104" s="18">
        <v>56</v>
      </c>
      <c r="B104" s="18">
        <v>1.0399999999999999E-3</v>
      </c>
    </row>
    <row r="105" spans="1:2" x14ac:dyDescent="0.25">
      <c r="A105" s="18">
        <v>56.5</v>
      </c>
      <c r="B105" s="18">
        <v>1.0200000000000001E-3</v>
      </c>
    </row>
    <row r="106" spans="1:2" x14ac:dyDescent="0.25">
      <c r="A106" s="18">
        <v>57</v>
      </c>
      <c r="B106" s="18">
        <v>1.01E-3</v>
      </c>
    </row>
    <row r="107" spans="1:2" x14ac:dyDescent="0.25">
      <c r="A107" s="18">
        <v>57.5</v>
      </c>
      <c r="B107" s="18">
        <v>1.4300000000000001E-3</v>
      </c>
    </row>
    <row r="108" spans="1:2" x14ac:dyDescent="0.25">
      <c r="A108" s="18">
        <v>58</v>
      </c>
      <c r="B108" s="18">
        <v>3.8700000000000002E-3</v>
      </c>
    </row>
    <row r="109" spans="1:2" x14ac:dyDescent="0.25">
      <c r="A109" s="18">
        <v>58.5</v>
      </c>
      <c r="B109" s="18">
        <v>1.2899999999999999E-3</v>
      </c>
    </row>
    <row r="110" spans="1:2" x14ac:dyDescent="0.25">
      <c r="A110" s="18">
        <v>59</v>
      </c>
      <c r="B110" s="18">
        <v>3.2699999999999999E-3</v>
      </c>
    </row>
    <row r="111" spans="1:2" x14ac:dyDescent="0.25">
      <c r="A111" s="18">
        <v>59.5</v>
      </c>
      <c r="B111" s="18">
        <v>4.8500000000000001E-3</v>
      </c>
    </row>
    <row r="112" spans="1:2" x14ac:dyDescent="0.25">
      <c r="A112" s="18">
        <v>60</v>
      </c>
      <c r="B112" s="18">
        <v>9.859999999999999E-4</v>
      </c>
    </row>
    <row r="113" spans="1:2" x14ac:dyDescent="0.25">
      <c r="A113" s="18">
        <v>60.5</v>
      </c>
      <c r="B113" s="18">
        <v>8.7799999999999998E-4</v>
      </c>
    </row>
    <row r="114" spans="1:2" x14ac:dyDescent="0.25">
      <c r="A114" s="18">
        <v>61</v>
      </c>
      <c r="B114" s="18">
        <v>8.5599999999999999E-4</v>
      </c>
    </row>
    <row r="115" spans="1:2" x14ac:dyDescent="0.25">
      <c r="A115" s="18">
        <v>61.5</v>
      </c>
      <c r="B115" s="18">
        <v>8.4000000000000003E-4</v>
      </c>
    </row>
    <row r="116" spans="1:2" x14ac:dyDescent="0.25">
      <c r="A116" s="18">
        <v>62</v>
      </c>
      <c r="B116" s="18">
        <v>8.2899999999999998E-4</v>
      </c>
    </row>
    <row r="117" spans="1:2" x14ac:dyDescent="0.25">
      <c r="A117" s="18">
        <v>62.5</v>
      </c>
      <c r="B117" s="18">
        <v>8.1899999999999996E-4</v>
      </c>
    </row>
    <row r="118" spans="1:2" x14ac:dyDescent="0.25">
      <c r="A118" s="18">
        <v>63</v>
      </c>
      <c r="B118" s="18">
        <v>8.0199999999999998E-4</v>
      </c>
    </row>
    <row r="119" spans="1:2" x14ac:dyDescent="0.25">
      <c r="A119" s="18">
        <v>63.5</v>
      </c>
      <c r="B119" s="18">
        <v>7.9199999999999995E-4</v>
      </c>
    </row>
    <row r="120" spans="1:2" x14ac:dyDescent="0.25">
      <c r="A120" s="18">
        <v>64</v>
      </c>
      <c r="B120" s="18">
        <v>7.7999999999999999E-4</v>
      </c>
    </row>
    <row r="121" spans="1:2" x14ac:dyDescent="0.25">
      <c r="A121" s="18">
        <v>64.5</v>
      </c>
      <c r="B121" s="18">
        <v>7.67E-4</v>
      </c>
    </row>
    <row r="122" spans="1:2" x14ac:dyDescent="0.25">
      <c r="A122" s="18">
        <v>65</v>
      </c>
      <c r="B122" s="18">
        <v>7.5799999999999999E-4</v>
      </c>
    </row>
    <row r="123" spans="1:2" x14ac:dyDescent="0.25">
      <c r="A123" s="18">
        <v>65.5</v>
      </c>
      <c r="B123" s="18">
        <v>7.5299999999999998E-4</v>
      </c>
    </row>
    <row r="124" spans="1:2" x14ac:dyDescent="0.25">
      <c r="A124" s="18">
        <v>66</v>
      </c>
      <c r="B124" s="18">
        <v>7.4799999999999997E-4</v>
      </c>
    </row>
    <row r="125" spans="1:2" x14ac:dyDescent="0.25">
      <c r="A125" s="18">
        <v>66.5</v>
      </c>
      <c r="B125" s="18">
        <v>8.8199999999999997E-4</v>
      </c>
    </row>
    <row r="126" spans="1:2" x14ac:dyDescent="0.25">
      <c r="A126" s="18">
        <v>67</v>
      </c>
      <c r="B126" s="18">
        <v>2.0899999999999998E-3</v>
      </c>
    </row>
    <row r="127" spans="1:2" x14ac:dyDescent="0.25">
      <c r="A127" s="18">
        <v>67.5</v>
      </c>
      <c r="B127" s="18">
        <v>1.5100000000000001E-3</v>
      </c>
    </row>
    <row r="128" spans="1:2" x14ac:dyDescent="0.25">
      <c r="A128" s="18">
        <v>68</v>
      </c>
      <c r="B128" s="18">
        <v>7.2599999999999997E-4</v>
      </c>
    </row>
    <row r="129" spans="1:2" x14ac:dyDescent="0.25">
      <c r="A129" s="18">
        <v>68.5</v>
      </c>
      <c r="B129" s="18">
        <v>7.2400000000000003E-4</v>
      </c>
    </row>
    <row r="130" spans="1:2" x14ac:dyDescent="0.25">
      <c r="A130" s="18">
        <v>69</v>
      </c>
      <c r="B130" s="18">
        <v>1.1000000000000001E-3</v>
      </c>
    </row>
    <row r="131" spans="1:2" x14ac:dyDescent="0.25">
      <c r="A131" s="18">
        <v>69.5</v>
      </c>
      <c r="B131" s="18">
        <v>7.9699999999999997E-4</v>
      </c>
    </row>
    <row r="132" spans="1:2" x14ac:dyDescent="0.25">
      <c r="A132" s="18">
        <v>70</v>
      </c>
      <c r="B132" s="18">
        <v>5.8799999999999998E-4</v>
      </c>
    </row>
    <row r="133" spans="1:2" x14ac:dyDescent="0.25">
      <c r="A133" s="18">
        <v>70.5</v>
      </c>
      <c r="B133" s="18">
        <v>5.7799999999999995E-4</v>
      </c>
    </row>
    <row r="134" spans="1:2" x14ac:dyDescent="0.25">
      <c r="A134" s="18">
        <v>71</v>
      </c>
      <c r="B134" s="18">
        <v>5.6700000000000001E-4</v>
      </c>
    </row>
    <row r="135" spans="1:2" x14ac:dyDescent="0.25">
      <c r="A135" s="18">
        <v>71.5</v>
      </c>
      <c r="B135" s="18">
        <v>5.6300000000000002E-4</v>
      </c>
    </row>
    <row r="136" spans="1:2" x14ac:dyDescent="0.25">
      <c r="A136" s="18">
        <v>72</v>
      </c>
      <c r="B136" s="18">
        <v>5.5400000000000002E-4</v>
      </c>
    </row>
    <row r="137" spans="1:2" x14ac:dyDescent="0.25">
      <c r="A137" s="18">
        <v>72.5</v>
      </c>
      <c r="B137" s="18">
        <v>5.4900000000000001E-4</v>
      </c>
    </row>
    <row r="138" spans="1:2" x14ac:dyDescent="0.25">
      <c r="A138" s="18">
        <v>73</v>
      </c>
      <c r="B138" s="18">
        <v>5.4299999999999997E-4</v>
      </c>
    </row>
    <row r="139" spans="1:2" x14ac:dyDescent="0.25">
      <c r="A139" s="18">
        <v>73.5</v>
      </c>
      <c r="B139" s="18">
        <v>5.4100000000000003E-4</v>
      </c>
    </row>
    <row r="140" spans="1:2" x14ac:dyDescent="0.25">
      <c r="A140" s="18">
        <v>74</v>
      </c>
      <c r="B140" s="18">
        <v>5.2599999999999999E-4</v>
      </c>
    </row>
    <row r="141" spans="1:2" x14ac:dyDescent="0.25">
      <c r="A141" s="18">
        <v>74.5</v>
      </c>
      <c r="B141" s="18">
        <v>5.2599999999999999E-4</v>
      </c>
    </row>
    <row r="142" spans="1:2" x14ac:dyDescent="0.25">
      <c r="A142" s="18">
        <v>75</v>
      </c>
      <c r="B142" s="18">
        <v>5.1400000000000003E-4</v>
      </c>
    </row>
    <row r="143" spans="1:2" x14ac:dyDescent="0.25">
      <c r="A143" s="18">
        <v>75.5</v>
      </c>
      <c r="B143" s="18">
        <v>5.0699999999999996E-4</v>
      </c>
    </row>
    <row r="144" spans="1:2" x14ac:dyDescent="0.25">
      <c r="A144" s="18">
        <v>76</v>
      </c>
      <c r="B144" s="18">
        <v>5.0199999999999995E-4</v>
      </c>
    </row>
    <row r="145" spans="1:2" x14ac:dyDescent="0.25">
      <c r="A145" s="18">
        <v>76.5</v>
      </c>
      <c r="B145" s="18">
        <v>4.9799999999999996E-4</v>
      </c>
    </row>
    <row r="146" spans="1:2" x14ac:dyDescent="0.25">
      <c r="A146" s="18">
        <v>77</v>
      </c>
      <c r="B146" s="18">
        <v>4.9299999999999995E-4</v>
      </c>
    </row>
    <row r="147" spans="1:2" x14ac:dyDescent="0.25">
      <c r="A147" s="18">
        <v>77.5</v>
      </c>
      <c r="B147" s="18">
        <v>4.8700000000000002E-4</v>
      </c>
    </row>
    <row r="148" spans="1:2" x14ac:dyDescent="0.25">
      <c r="A148" s="18">
        <v>78</v>
      </c>
      <c r="B148" s="18">
        <v>4.7600000000000002E-4</v>
      </c>
    </row>
    <row r="149" spans="1:2" x14ac:dyDescent="0.25">
      <c r="A149" s="18">
        <v>78.5</v>
      </c>
      <c r="B149" s="18">
        <v>4.73E-4</v>
      </c>
    </row>
    <row r="150" spans="1:2" x14ac:dyDescent="0.25">
      <c r="A150" s="18">
        <v>79</v>
      </c>
      <c r="B150" s="18">
        <v>4.6500000000000003E-4</v>
      </c>
    </row>
    <row r="151" spans="1:2" x14ac:dyDescent="0.25">
      <c r="A151" s="18">
        <v>79.5</v>
      </c>
      <c r="B151" s="18">
        <v>4.5800000000000002E-4</v>
      </c>
    </row>
    <row r="152" spans="1:2" x14ac:dyDescent="0.25">
      <c r="A152" s="18">
        <v>80</v>
      </c>
      <c r="B152" s="18">
        <v>4.5199999999999998E-4</v>
      </c>
    </row>
    <row r="153" spans="1:2" x14ac:dyDescent="0.25">
      <c r="A153" s="18">
        <v>80.5</v>
      </c>
      <c r="B153" s="18">
        <v>4.4200000000000001E-4</v>
      </c>
    </row>
    <row r="154" spans="1:2" x14ac:dyDescent="0.25">
      <c r="A154" s="18">
        <v>81</v>
      </c>
      <c r="B154" s="18">
        <v>4.4299999999999998E-4</v>
      </c>
    </row>
    <row r="155" spans="1:2" x14ac:dyDescent="0.25">
      <c r="A155" s="18">
        <v>81.5</v>
      </c>
      <c r="B155" s="18">
        <v>4.3800000000000002E-4</v>
      </c>
    </row>
    <row r="156" spans="1:2" x14ac:dyDescent="0.25">
      <c r="A156" s="18">
        <v>82</v>
      </c>
      <c r="B156" s="18">
        <v>4.3199999999999998E-4</v>
      </c>
    </row>
    <row r="157" spans="1:2" x14ac:dyDescent="0.25">
      <c r="A157" s="18">
        <v>82.5</v>
      </c>
      <c r="B157" s="18">
        <v>4.28E-4</v>
      </c>
    </row>
    <row r="158" spans="1:2" x14ac:dyDescent="0.25">
      <c r="A158" s="18">
        <v>83</v>
      </c>
      <c r="B158" s="18">
        <v>4.2000000000000002E-4</v>
      </c>
    </row>
    <row r="159" spans="1:2" x14ac:dyDescent="0.25">
      <c r="A159" s="18">
        <v>83.5</v>
      </c>
      <c r="B159" s="18">
        <v>4.1599999999999997E-4</v>
      </c>
    </row>
    <row r="160" spans="1:2" x14ac:dyDescent="0.25">
      <c r="A160" s="18">
        <v>84</v>
      </c>
      <c r="B160" s="18">
        <v>4.17E-4</v>
      </c>
    </row>
    <row r="161" spans="1:2" x14ac:dyDescent="0.25">
      <c r="A161" s="18">
        <v>84.5</v>
      </c>
      <c r="B161" s="18">
        <v>4.0999999999999999E-4</v>
      </c>
    </row>
    <row r="162" spans="1:2" x14ac:dyDescent="0.25">
      <c r="A162" s="18">
        <v>85</v>
      </c>
      <c r="B162" s="18">
        <v>4.0499999999999998E-4</v>
      </c>
    </row>
    <row r="163" spans="1:2" x14ac:dyDescent="0.25">
      <c r="A163" s="18">
        <v>85.5</v>
      </c>
      <c r="B163" s="18">
        <v>3.9500000000000001E-4</v>
      </c>
    </row>
    <row r="164" spans="1:2" x14ac:dyDescent="0.25">
      <c r="A164" s="18">
        <v>86</v>
      </c>
      <c r="B164" s="18">
        <v>4.0200000000000001E-4</v>
      </c>
    </row>
    <row r="165" spans="1:2" x14ac:dyDescent="0.25">
      <c r="A165" s="18">
        <v>86.5</v>
      </c>
      <c r="B165" s="18">
        <v>3.9300000000000001E-4</v>
      </c>
    </row>
    <row r="166" spans="1:2" x14ac:dyDescent="0.25">
      <c r="A166" s="18">
        <v>87</v>
      </c>
      <c r="B166" s="18">
        <v>3.8699999999999997E-4</v>
      </c>
    </row>
    <row r="167" spans="1:2" x14ac:dyDescent="0.25">
      <c r="A167" s="18">
        <v>87.5</v>
      </c>
      <c r="B167" s="18">
        <v>3.7800000000000003E-4</v>
      </c>
    </row>
    <row r="168" spans="1:2" x14ac:dyDescent="0.25">
      <c r="A168" s="18">
        <v>88</v>
      </c>
      <c r="B168" s="18">
        <v>3.7199999999999999E-4</v>
      </c>
    </row>
    <row r="169" spans="1:2" x14ac:dyDescent="0.25">
      <c r="A169" s="18">
        <v>88.5</v>
      </c>
      <c r="B169" s="18">
        <v>3.6299999999999999E-4</v>
      </c>
    </row>
    <row r="170" spans="1:2" x14ac:dyDescent="0.25">
      <c r="A170" s="18">
        <v>89</v>
      </c>
      <c r="B170" s="18">
        <v>3.5799999999999997E-4</v>
      </c>
    </row>
    <row r="171" spans="1:2" x14ac:dyDescent="0.25">
      <c r="A171" s="18">
        <v>89.5</v>
      </c>
      <c r="B171" s="18">
        <v>3.5500000000000001E-4</v>
      </c>
    </row>
    <row r="172" spans="1:2" x14ac:dyDescent="0.25">
      <c r="A172" s="18">
        <v>90</v>
      </c>
      <c r="B172" s="18">
        <v>3.5E-4</v>
      </c>
    </row>
    <row r="173" spans="1:2" x14ac:dyDescent="0.25">
      <c r="A173" s="18">
        <v>90.5</v>
      </c>
      <c r="B173" s="18">
        <v>3.4499999999999998E-4</v>
      </c>
    </row>
    <row r="174" spans="1:2" x14ac:dyDescent="0.25">
      <c r="A174" s="18">
        <v>91</v>
      </c>
      <c r="B174" s="18">
        <v>3.4000000000000002E-4</v>
      </c>
    </row>
    <row r="175" spans="1:2" x14ac:dyDescent="0.25">
      <c r="A175" s="18">
        <v>91.5</v>
      </c>
      <c r="B175" s="18">
        <v>3.3399999999999999E-4</v>
      </c>
    </row>
    <row r="176" spans="1:2" x14ac:dyDescent="0.25">
      <c r="A176" s="18">
        <v>92</v>
      </c>
      <c r="B176" s="18">
        <v>3.3399999999999999E-4</v>
      </c>
    </row>
    <row r="177" spans="1:2" x14ac:dyDescent="0.25">
      <c r="A177" s="18">
        <v>92.5</v>
      </c>
      <c r="B177" s="18">
        <v>3.2299999999999999E-4</v>
      </c>
    </row>
    <row r="178" spans="1:2" x14ac:dyDescent="0.25">
      <c r="A178" s="18">
        <v>93</v>
      </c>
      <c r="B178" s="18">
        <v>3.2000000000000003E-4</v>
      </c>
    </row>
    <row r="179" spans="1:2" x14ac:dyDescent="0.25">
      <c r="A179" s="18">
        <v>93.5</v>
      </c>
      <c r="B179" s="18">
        <v>3.1300000000000002E-4</v>
      </c>
    </row>
    <row r="180" spans="1:2" x14ac:dyDescent="0.25">
      <c r="A180" s="18">
        <v>94</v>
      </c>
      <c r="B180" s="18">
        <v>3.1E-4</v>
      </c>
    </row>
    <row r="181" spans="1:2" x14ac:dyDescent="0.25">
      <c r="A181" s="18">
        <v>94.5</v>
      </c>
      <c r="B181" s="18">
        <v>3.0299999999999999E-4</v>
      </c>
    </row>
    <row r="182" spans="1:2" x14ac:dyDescent="0.25">
      <c r="A182" s="18">
        <v>95</v>
      </c>
      <c r="B182" s="18">
        <v>3.0200000000000002E-4</v>
      </c>
    </row>
    <row r="183" spans="1:2" x14ac:dyDescent="0.25">
      <c r="A183" s="18">
        <v>95.5</v>
      </c>
      <c r="B183" s="18">
        <v>2.92E-4</v>
      </c>
    </row>
    <row r="184" spans="1:2" x14ac:dyDescent="0.25">
      <c r="A184" s="18">
        <v>96</v>
      </c>
      <c r="B184" s="18">
        <v>2.9100000000000003E-4</v>
      </c>
    </row>
    <row r="185" spans="1:2" x14ac:dyDescent="0.25">
      <c r="A185" s="18">
        <v>96.5</v>
      </c>
      <c r="B185" s="18">
        <v>2.8200000000000002E-4</v>
      </c>
    </row>
    <row r="186" spans="1:2" x14ac:dyDescent="0.25">
      <c r="A186" s="18">
        <v>97</v>
      </c>
      <c r="B186" s="18">
        <v>2.7799999999999998E-4</v>
      </c>
    </row>
    <row r="187" spans="1:2" x14ac:dyDescent="0.25">
      <c r="A187" s="18">
        <v>97.5</v>
      </c>
      <c r="B187" s="18">
        <v>2.72E-4</v>
      </c>
    </row>
    <row r="188" spans="1:2" x14ac:dyDescent="0.25">
      <c r="A188" s="18">
        <v>98</v>
      </c>
      <c r="B188" s="18">
        <v>2.6800000000000001E-4</v>
      </c>
    </row>
    <row r="189" spans="1:2" x14ac:dyDescent="0.25">
      <c r="A189" s="18">
        <v>98.5</v>
      </c>
      <c r="B189" s="18">
        <v>2.6400000000000002E-4</v>
      </c>
    </row>
    <row r="190" spans="1:2" x14ac:dyDescent="0.25">
      <c r="A190" s="18">
        <v>99</v>
      </c>
      <c r="B190" s="18">
        <v>2.5999999999999998E-4</v>
      </c>
    </row>
    <row r="191" spans="1:2" x14ac:dyDescent="0.25">
      <c r="A191" s="18">
        <v>99.5</v>
      </c>
      <c r="B191" s="18">
        <v>2.52E-4</v>
      </c>
    </row>
    <row r="192" spans="1:2" x14ac:dyDescent="0.25">
      <c r="A192" s="18">
        <v>100</v>
      </c>
      <c r="B192" s="18">
        <v>2.5300000000000002E-4</v>
      </c>
    </row>
    <row r="193" spans="1:2" x14ac:dyDescent="0.25">
      <c r="A193" s="18">
        <v>101</v>
      </c>
      <c r="B193" s="18">
        <v>2.4399999999999999E-4</v>
      </c>
    </row>
    <row r="194" spans="1:2" x14ac:dyDescent="0.25">
      <c r="A194" s="18">
        <v>101</v>
      </c>
      <c r="B194" s="18">
        <v>2.3699999999999999E-4</v>
      </c>
    </row>
    <row r="195" spans="1:2" x14ac:dyDescent="0.25">
      <c r="A195" s="18">
        <v>102</v>
      </c>
      <c r="B195" s="18">
        <v>2.2900000000000001E-4</v>
      </c>
    </row>
    <row r="196" spans="1:2" x14ac:dyDescent="0.25">
      <c r="A196" s="18">
        <v>102</v>
      </c>
      <c r="B196" s="18">
        <v>2.31E-4</v>
      </c>
    </row>
    <row r="197" spans="1:2" x14ac:dyDescent="0.25">
      <c r="A197" s="18">
        <v>103</v>
      </c>
      <c r="B197" s="18">
        <v>2.22E-4</v>
      </c>
    </row>
    <row r="198" spans="1:2" x14ac:dyDescent="0.25">
      <c r="A198" s="18">
        <v>103</v>
      </c>
      <c r="B198" s="18">
        <v>2.2000000000000001E-4</v>
      </c>
    </row>
    <row r="199" spans="1:2" x14ac:dyDescent="0.25">
      <c r="A199" s="18">
        <v>104</v>
      </c>
      <c r="B199" s="18">
        <v>2.14E-4</v>
      </c>
    </row>
    <row r="200" spans="1:2" x14ac:dyDescent="0.25">
      <c r="A200" s="18">
        <v>104</v>
      </c>
      <c r="B200" s="18">
        <v>2.03E-4</v>
      </c>
    </row>
    <row r="201" spans="1:2" x14ac:dyDescent="0.25">
      <c r="A201" s="18">
        <v>105</v>
      </c>
      <c r="B201" s="18">
        <v>2.04E-4</v>
      </c>
    </row>
    <row r="202" spans="1:2" x14ac:dyDescent="0.25">
      <c r="A202" s="18">
        <v>105</v>
      </c>
      <c r="B202" s="18">
        <v>1.9900000000000001E-4</v>
      </c>
    </row>
    <row r="203" spans="1:2" x14ac:dyDescent="0.25">
      <c r="A203" s="18">
        <v>106</v>
      </c>
      <c r="B203" s="18">
        <v>1.8900000000000001E-4</v>
      </c>
    </row>
    <row r="204" spans="1:2" x14ac:dyDescent="0.25">
      <c r="A204" s="18">
        <v>106</v>
      </c>
      <c r="B204" s="18">
        <v>1.84E-4</v>
      </c>
    </row>
    <row r="205" spans="1:2" x14ac:dyDescent="0.25">
      <c r="A205" s="18">
        <v>107</v>
      </c>
      <c r="B205" s="18">
        <v>1.83E-4</v>
      </c>
    </row>
    <row r="206" spans="1:2" x14ac:dyDescent="0.25">
      <c r="A206" s="18">
        <v>107</v>
      </c>
      <c r="B206" s="18">
        <v>1.73E-4</v>
      </c>
    </row>
    <row r="207" spans="1:2" x14ac:dyDescent="0.25">
      <c r="A207" s="18">
        <v>108</v>
      </c>
      <c r="B207" s="18">
        <v>1.7100000000000001E-4</v>
      </c>
    </row>
    <row r="208" spans="1:2" x14ac:dyDescent="0.25">
      <c r="A208" s="18">
        <v>108</v>
      </c>
      <c r="B208" s="18">
        <v>1.66E-4</v>
      </c>
    </row>
    <row r="209" spans="1:2" x14ac:dyDescent="0.25">
      <c r="A209" s="18">
        <v>109</v>
      </c>
      <c r="B209" s="18">
        <v>1.5699999999999999E-4</v>
      </c>
    </row>
    <row r="210" spans="1:2" x14ac:dyDescent="0.25">
      <c r="A210" s="18">
        <v>109</v>
      </c>
      <c r="B210" s="18">
        <v>1.54E-4</v>
      </c>
    </row>
    <row r="211" spans="1:2" x14ac:dyDescent="0.25">
      <c r="A211" s="18">
        <v>110</v>
      </c>
      <c r="B211" s="18">
        <v>1.4899999999999999E-4</v>
      </c>
    </row>
    <row r="212" spans="1:2" x14ac:dyDescent="0.25">
      <c r="A212" s="18">
        <v>110</v>
      </c>
      <c r="B212" s="18">
        <v>1.4300000000000001E-4</v>
      </c>
    </row>
    <row r="213" spans="1:2" x14ac:dyDescent="0.25">
      <c r="A213" s="18">
        <v>111</v>
      </c>
      <c r="B213" s="18">
        <v>1.3899999999999999E-4</v>
      </c>
    </row>
    <row r="214" spans="1:2" x14ac:dyDescent="0.25">
      <c r="A214" s="18">
        <v>111</v>
      </c>
      <c r="B214" s="18">
        <v>1.2999999999999999E-4</v>
      </c>
    </row>
    <row r="215" spans="1:2" x14ac:dyDescent="0.25">
      <c r="A215" s="18">
        <v>112</v>
      </c>
      <c r="B215" s="18">
        <v>1.25E-4</v>
      </c>
    </row>
    <row r="216" spans="1:2" x14ac:dyDescent="0.25">
      <c r="A216" s="18">
        <v>112</v>
      </c>
      <c r="B216" s="18">
        <v>1.1900000000000001E-4</v>
      </c>
    </row>
    <row r="217" spans="1:2" x14ac:dyDescent="0.25">
      <c r="A217" s="18">
        <v>113</v>
      </c>
      <c r="B217" s="18">
        <v>1.15E-4</v>
      </c>
    </row>
    <row r="218" spans="1:2" x14ac:dyDescent="0.25">
      <c r="A218" s="18">
        <v>113</v>
      </c>
      <c r="B218" s="18">
        <v>1.05E-4</v>
      </c>
    </row>
    <row r="219" spans="1:2" x14ac:dyDescent="0.25">
      <c r="A219" s="18">
        <v>114</v>
      </c>
      <c r="B219" s="18">
        <v>9.9300000000000001E-5</v>
      </c>
    </row>
    <row r="220" spans="1:2" x14ac:dyDescent="0.25">
      <c r="A220" s="18">
        <v>114</v>
      </c>
      <c r="B220" s="18">
        <v>9.4300000000000002E-5</v>
      </c>
    </row>
    <row r="221" spans="1:2" x14ac:dyDescent="0.25">
      <c r="A221" s="18">
        <v>115</v>
      </c>
      <c r="B221" s="18">
        <v>8.6399999999999999E-5</v>
      </c>
    </row>
    <row r="222" spans="1:2" x14ac:dyDescent="0.25">
      <c r="A222" s="18">
        <v>115</v>
      </c>
      <c r="B222" s="18">
        <v>7.8700000000000002E-5</v>
      </c>
    </row>
    <row r="223" spans="1:2" x14ac:dyDescent="0.25">
      <c r="A223" s="18">
        <v>116</v>
      </c>
      <c r="B223" s="18">
        <v>7.2000000000000002E-5</v>
      </c>
    </row>
    <row r="224" spans="1:2" x14ac:dyDescent="0.25">
      <c r="A224" s="18">
        <v>116</v>
      </c>
      <c r="B224" s="18">
        <v>6.4200000000000002E-5</v>
      </c>
    </row>
    <row r="225" spans="1:2" x14ac:dyDescent="0.25">
      <c r="A225" s="18">
        <v>117</v>
      </c>
      <c r="B225" s="18">
        <v>6.1400000000000002E-5</v>
      </c>
    </row>
    <row r="226" spans="1:2" x14ac:dyDescent="0.25">
      <c r="A226" s="18">
        <v>117</v>
      </c>
      <c r="B226" s="18">
        <v>5.2599999999999998E-5</v>
      </c>
    </row>
    <row r="227" spans="1:2" x14ac:dyDescent="0.25">
      <c r="A227" s="18">
        <v>118</v>
      </c>
      <c r="B227" s="18">
        <v>4.3099999999999997E-5</v>
      </c>
    </row>
    <row r="228" spans="1:2" x14ac:dyDescent="0.25">
      <c r="A228" s="18">
        <v>118</v>
      </c>
      <c r="B228" s="18">
        <v>3.7299999999999999E-5</v>
      </c>
    </row>
    <row r="229" spans="1:2" x14ac:dyDescent="0.25">
      <c r="A229" s="18">
        <v>119</v>
      </c>
      <c r="B229" s="18">
        <v>2.9899999999999998E-5</v>
      </c>
    </row>
    <row r="230" spans="1:2" x14ac:dyDescent="0.25">
      <c r="A230" s="18">
        <v>119</v>
      </c>
      <c r="B230" s="18">
        <v>2.2200000000000001E-5</v>
      </c>
    </row>
    <row r="231" spans="1:2" x14ac:dyDescent="0.25">
      <c r="A231" s="18">
        <v>120</v>
      </c>
      <c r="B231" s="18">
        <v>1.31E-5</v>
      </c>
    </row>
    <row r="232" spans="1:2" x14ac:dyDescent="0.25">
      <c r="A232" s="18">
        <v>120</v>
      </c>
      <c r="B232" s="18">
        <v>3.72E-6</v>
      </c>
    </row>
    <row r="233" spans="1:2" x14ac:dyDescent="0.25">
      <c r="A233" s="18">
        <v>121</v>
      </c>
      <c r="B233" s="18">
        <v>1.3200000000000001E-6</v>
      </c>
    </row>
    <row r="234" spans="1:2" x14ac:dyDescent="0.25">
      <c r="A234" s="18">
        <v>121</v>
      </c>
      <c r="B234" s="18">
        <v>1.15E-6</v>
      </c>
    </row>
    <row r="235" spans="1:2" x14ac:dyDescent="0.25">
      <c r="A235" s="18">
        <v>122</v>
      </c>
      <c r="B235" s="18">
        <v>1.3E-6</v>
      </c>
    </row>
    <row r="236" spans="1:2" x14ac:dyDescent="0.25">
      <c r="A236" s="18">
        <v>122</v>
      </c>
      <c r="B236" s="18">
        <v>1.2500000000000001E-6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1:B245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5.5</v>
      </c>
      <c r="B2" s="18">
        <v>9.5E-4</v>
      </c>
    </row>
    <row r="3" spans="1:2" x14ac:dyDescent="0.25">
      <c r="A3" s="18">
        <v>6</v>
      </c>
      <c r="B3" s="18">
        <v>9.8900000000000008E-4</v>
      </c>
    </row>
    <row r="4" spans="1:2" x14ac:dyDescent="0.25">
      <c r="A4" s="18">
        <v>6.5</v>
      </c>
      <c r="B4" s="18">
        <v>1.39E-3</v>
      </c>
    </row>
    <row r="5" spans="1:2" x14ac:dyDescent="0.25">
      <c r="A5" s="18">
        <v>7</v>
      </c>
      <c r="B5" s="18">
        <v>1.39E-3</v>
      </c>
    </row>
    <row r="6" spans="1:2" x14ac:dyDescent="0.25">
      <c r="A6" s="18">
        <v>7.5</v>
      </c>
      <c r="B6" s="18">
        <v>1.9300000000000001E-3</v>
      </c>
    </row>
    <row r="7" spans="1:2" x14ac:dyDescent="0.25">
      <c r="A7" s="18">
        <v>8</v>
      </c>
      <c r="B7" s="18">
        <v>1.38E-2</v>
      </c>
    </row>
    <row r="8" spans="1:2" x14ac:dyDescent="0.25">
      <c r="A8" s="18">
        <v>8.5</v>
      </c>
      <c r="B8" s="18">
        <v>3.0499999999999999E-2</v>
      </c>
    </row>
    <row r="9" spans="1:2" x14ac:dyDescent="0.25">
      <c r="A9" s="18">
        <v>9</v>
      </c>
      <c r="B9" s="18">
        <v>1.44E-2</v>
      </c>
    </row>
    <row r="10" spans="1:2" x14ac:dyDescent="0.25">
      <c r="A10" s="18">
        <v>9.5</v>
      </c>
      <c r="B10" s="18">
        <v>6.5799999999999997E-2</v>
      </c>
    </row>
    <row r="11" spans="1:2" x14ac:dyDescent="0.25">
      <c r="A11" s="18">
        <v>10</v>
      </c>
      <c r="B11" s="18">
        <v>7.8E-2</v>
      </c>
    </row>
    <row r="12" spans="1:2" x14ac:dyDescent="0.25">
      <c r="A12" s="18">
        <v>10.5</v>
      </c>
      <c r="B12" s="18">
        <v>1.72E-2</v>
      </c>
    </row>
    <row r="13" spans="1:2" x14ac:dyDescent="0.25">
      <c r="A13" s="18">
        <v>11</v>
      </c>
      <c r="B13" s="18">
        <v>1.4500000000000001E-2</v>
      </c>
    </row>
    <row r="14" spans="1:2" x14ac:dyDescent="0.25">
      <c r="A14" s="18">
        <v>11.5</v>
      </c>
      <c r="B14" s="18">
        <v>2.4799999999999999E-2</v>
      </c>
    </row>
    <row r="15" spans="1:2" x14ac:dyDescent="0.25">
      <c r="A15" s="18">
        <v>12</v>
      </c>
      <c r="B15" s="18">
        <v>1.37E-2</v>
      </c>
    </row>
    <row r="16" spans="1:2" x14ac:dyDescent="0.25">
      <c r="A16" s="18">
        <v>12.5</v>
      </c>
      <c r="B16" s="18">
        <v>1.0699999999999999E-2</v>
      </c>
    </row>
    <row r="17" spans="1:2" x14ac:dyDescent="0.25">
      <c r="A17" s="18">
        <v>13</v>
      </c>
      <c r="B17" s="18">
        <v>1.12E-2</v>
      </c>
    </row>
    <row r="18" spans="1:2" x14ac:dyDescent="0.25">
      <c r="A18" s="18">
        <v>13.5</v>
      </c>
      <c r="B18" s="18">
        <v>1.21E-2</v>
      </c>
    </row>
    <row r="19" spans="1:2" x14ac:dyDescent="0.25">
      <c r="A19" s="18">
        <v>14</v>
      </c>
      <c r="B19" s="18">
        <v>1.3299999999999999E-2</v>
      </c>
    </row>
    <row r="20" spans="1:2" x14ac:dyDescent="0.25">
      <c r="A20" s="18">
        <v>14.5</v>
      </c>
      <c r="B20" s="18">
        <v>1.37E-2</v>
      </c>
    </row>
    <row r="21" spans="1:2" x14ac:dyDescent="0.25">
      <c r="A21" s="18">
        <v>15</v>
      </c>
      <c r="B21" s="18">
        <v>1.43E-2</v>
      </c>
    </row>
    <row r="22" spans="1:2" x14ac:dyDescent="0.25">
      <c r="A22" s="18">
        <v>15.5</v>
      </c>
      <c r="B22" s="18">
        <v>1.4999999999999999E-2</v>
      </c>
    </row>
    <row r="23" spans="1:2" x14ac:dyDescent="0.25">
      <c r="A23" s="18">
        <v>16</v>
      </c>
      <c r="B23" s="18">
        <v>1.5299999999999999E-2</v>
      </c>
    </row>
    <row r="24" spans="1:2" x14ac:dyDescent="0.25">
      <c r="A24" s="18">
        <v>16.5</v>
      </c>
      <c r="B24" s="18">
        <v>1.52E-2</v>
      </c>
    </row>
    <row r="25" spans="1:2" x14ac:dyDescent="0.25">
      <c r="A25" s="18">
        <v>17</v>
      </c>
      <c r="B25" s="18">
        <v>1.55E-2</v>
      </c>
    </row>
    <row r="26" spans="1:2" x14ac:dyDescent="0.25">
      <c r="A26" s="18">
        <v>17.5</v>
      </c>
      <c r="B26" s="18">
        <v>1.55E-2</v>
      </c>
    </row>
    <row r="27" spans="1:2" x14ac:dyDescent="0.25">
      <c r="A27" s="18">
        <v>18</v>
      </c>
      <c r="B27" s="18">
        <v>1.5299999999999999E-2</v>
      </c>
    </row>
    <row r="28" spans="1:2" x14ac:dyDescent="0.25">
      <c r="A28" s="18">
        <v>18.5</v>
      </c>
      <c r="B28" s="18">
        <v>1.5100000000000001E-2</v>
      </c>
    </row>
    <row r="29" spans="1:2" x14ac:dyDescent="0.25">
      <c r="A29" s="18">
        <v>19</v>
      </c>
      <c r="B29" s="18">
        <v>1.4800000000000001E-2</v>
      </c>
    </row>
    <row r="30" spans="1:2" x14ac:dyDescent="0.25">
      <c r="A30" s="18">
        <v>19.5</v>
      </c>
      <c r="B30" s="18">
        <v>1.4800000000000001E-2</v>
      </c>
    </row>
    <row r="31" spans="1:2" x14ac:dyDescent="0.25">
      <c r="A31" s="18">
        <v>20</v>
      </c>
      <c r="B31" s="18">
        <v>1.44E-2</v>
      </c>
    </row>
    <row r="32" spans="1:2" x14ac:dyDescent="0.25">
      <c r="A32" s="18">
        <v>20.5</v>
      </c>
      <c r="B32" s="18">
        <v>1.41E-2</v>
      </c>
    </row>
    <row r="33" spans="1:2" x14ac:dyDescent="0.25">
      <c r="A33" s="18">
        <v>21</v>
      </c>
      <c r="B33" s="18">
        <v>1.38E-2</v>
      </c>
    </row>
    <row r="34" spans="1:2" x14ac:dyDescent="0.25">
      <c r="A34" s="18">
        <v>21.5</v>
      </c>
      <c r="B34" s="18">
        <v>1.34E-2</v>
      </c>
    </row>
    <row r="35" spans="1:2" x14ac:dyDescent="0.25">
      <c r="A35" s="18">
        <v>22</v>
      </c>
      <c r="B35" s="18">
        <v>1.34E-2</v>
      </c>
    </row>
    <row r="36" spans="1:2" x14ac:dyDescent="0.25">
      <c r="A36" s="18">
        <v>22.5</v>
      </c>
      <c r="B36" s="18">
        <v>1.2800000000000001E-2</v>
      </c>
    </row>
    <row r="37" spans="1:2" x14ac:dyDescent="0.25">
      <c r="A37" s="18">
        <v>23</v>
      </c>
      <c r="B37" s="18">
        <v>1.2200000000000001E-2</v>
      </c>
    </row>
    <row r="38" spans="1:2" x14ac:dyDescent="0.25">
      <c r="A38" s="18">
        <v>23.5</v>
      </c>
      <c r="B38" s="18">
        <v>1.18E-2</v>
      </c>
    </row>
    <row r="39" spans="1:2" x14ac:dyDescent="0.25">
      <c r="A39" s="18">
        <v>24</v>
      </c>
      <c r="B39" s="18">
        <v>1.15E-2</v>
      </c>
    </row>
    <row r="40" spans="1:2" x14ac:dyDescent="0.25">
      <c r="A40" s="18">
        <v>24.5</v>
      </c>
      <c r="B40" s="18">
        <v>1.0999999999999999E-2</v>
      </c>
    </row>
    <row r="41" spans="1:2" x14ac:dyDescent="0.25">
      <c r="A41" s="18">
        <v>25</v>
      </c>
      <c r="B41" s="18">
        <v>1.0699999999999999E-2</v>
      </c>
    </row>
    <row r="42" spans="1:2" x14ac:dyDescent="0.25">
      <c r="A42" s="18">
        <v>25.5</v>
      </c>
      <c r="B42" s="18">
        <v>1.04E-2</v>
      </c>
    </row>
    <row r="43" spans="1:2" x14ac:dyDescent="0.25">
      <c r="A43" s="18">
        <v>26</v>
      </c>
      <c r="B43" s="18">
        <v>9.92E-3</v>
      </c>
    </row>
    <row r="44" spans="1:2" x14ac:dyDescent="0.25">
      <c r="A44" s="18">
        <v>26.5</v>
      </c>
      <c r="B44" s="18">
        <v>9.5099999999999994E-3</v>
      </c>
    </row>
    <row r="45" spans="1:2" x14ac:dyDescent="0.25">
      <c r="A45" s="18">
        <v>27</v>
      </c>
      <c r="B45" s="18">
        <v>9.2399999999999999E-3</v>
      </c>
    </row>
    <row r="46" spans="1:2" x14ac:dyDescent="0.25">
      <c r="A46" s="18">
        <v>27.5</v>
      </c>
      <c r="B46" s="18">
        <v>8.8199999999999997E-3</v>
      </c>
    </row>
    <row r="47" spans="1:2" x14ac:dyDescent="0.25">
      <c r="A47" s="18">
        <v>28</v>
      </c>
      <c r="B47" s="18">
        <v>8.5000000000000006E-3</v>
      </c>
    </row>
    <row r="48" spans="1:2" x14ac:dyDescent="0.25">
      <c r="A48" s="18">
        <v>28.5</v>
      </c>
      <c r="B48" s="18">
        <v>8.2400000000000008E-3</v>
      </c>
    </row>
    <row r="49" spans="1:2" x14ac:dyDescent="0.25">
      <c r="A49" s="18">
        <v>29</v>
      </c>
      <c r="B49" s="18">
        <v>7.8799999999999999E-3</v>
      </c>
    </row>
    <row r="50" spans="1:2" x14ac:dyDescent="0.25">
      <c r="A50" s="18">
        <v>29.5</v>
      </c>
      <c r="B50" s="18">
        <v>7.5900000000000004E-3</v>
      </c>
    </row>
    <row r="51" spans="1:2" x14ac:dyDescent="0.25">
      <c r="A51" s="18">
        <v>30</v>
      </c>
      <c r="B51" s="18">
        <v>7.2399999999999999E-3</v>
      </c>
    </row>
    <row r="52" spans="1:2" x14ac:dyDescent="0.25">
      <c r="A52" s="18">
        <v>30.5</v>
      </c>
      <c r="B52" s="18">
        <v>6.96E-3</v>
      </c>
    </row>
    <row r="53" spans="1:2" x14ac:dyDescent="0.25">
      <c r="A53" s="18">
        <v>31</v>
      </c>
      <c r="B53" s="18">
        <v>6.7499999999999999E-3</v>
      </c>
    </row>
    <row r="54" spans="1:2" x14ac:dyDescent="0.25">
      <c r="A54" s="18">
        <v>31.5</v>
      </c>
      <c r="B54" s="18">
        <v>6.5100000000000002E-3</v>
      </c>
    </row>
    <row r="55" spans="1:2" x14ac:dyDescent="0.25">
      <c r="A55" s="18">
        <v>32</v>
      </c>
      <c r="B55" s="18">
        <v>6.2500000000000003E-3</v>
      </c>
    </row>
    <row r="56" spans="1:2" x14ac:dyDescent="0.25">
      <c r="A56" s="18">
        <v>32.5</v>
      </c>
      <c r="B56" s="18">
        <v>6.0099999999999997E-3</v>
      </c>
    </row>
    <row r="57" spans="1:2" x14ac:dyDescent="0.25">
      <c r="A57" s="18">
        <v>33</v>
      </c>
      <c r="B57" s="18">
        <v>5.8199999999999997E-3</v>
      </c>
    </row>
    <row r="58" spans="1:2" x14ac:dyDescent="0.25">
      <c r="A58" s="18">
        <v>33.5</v>
      </c>
      <c r="B58" s="18">
        <v>5.5900000000000004E-3</v>
      </c>
    </row>
    <row r="59" spans="1:2" x14ac:dyDescent="0.25">
      <c r="A59" s="18">
        <v>34</v>
      </c>
      <c r="B59" s="18">
        <v>5.4299999999999999E-3</v>
      </c>
    </row>
    <row r="60" spans="1:2" x14ac:dyDescent="0.25">
      <c r="A60" s="18">
        <v>34.5</v>
      </c>
      <c r="B60" s="18">
        <v>5.1999999999999998E-3</v>
      </c>
    </row>
    <row r="61" spans="1:2" x14ac:dyDescent="0.25">
      <c r="A61" s="18">
        <v>35</v>
      </c>
      <c r="B61" s="18">
        <v>5.0000000000000001E-3</v>
      </c>
    </row>
    <row r="62" spans="1:2" x14ac:dyDescent="0.25">
      <c r="A62" s="18">
        <v>35.5</v>
      </c>
      <c r="B62" s="18">
        <v>4.8700000000000002E-3</v>
      </c>
    </row>
    <row r="63" spans="1:2" x14ac:dyDescent="0.25">
      <c r="A63" s="18">
        <v>36</v>
      </c>
      <c r="B63" s="18">
        <v>4.6699999999999997E-3</v>
      </c>
    </row>
    <row r="64" spans="1:2" x14ac:dyDescent="0.25">
      <c r="A64" s="18">
        <v>36.5</v>
      </c>
      <c r="B64" s="18">
        <v>4.5399999999999998E-3</v>
      </c>
    </row>
    <row r="65" spans="1:2" x14ac:dyDescent="0.25">
      <c r="A65" s="18">
        <v>37</v>
      </c>
      <c r="B65" s="18">
        <v>4.3299999999999996E-3</v>
      </c>
    </row>
    <row r="66" spans="1:2" x14ac:dyDescent="0.25">
      <c r="A66" s="18">
        <v>37.5</v>
      </c>
      <c r="B66" s="18">
        <v>4.1700000000000001E-3</v>
      </c>
    </row>
    <row r="67" spans="1:2" x14ac:dyDescent="0.25">
      <c r="A67" s="18">
        <v>38</v>
      </c>
      <c r="B67" s="18">
        <v>4.0099999999999997E-3</v>
      </c>
    </row>
    <row r="68" spans="1:2" x14ac:dyDescent="0.25">
      <c r="A68" s="18">
        <v>38.5</v>
      </c>
      <c r="B68" s="18">
        <v>3.8899999999999998E-3</v>
      </c>
    </row>
    <row r="69" spans="1:2" x14ac:dyDescent="0.25">
      <c r="A69" s="18">
        <v>39</v>
      </c>
      <c r="B69" s="18">
        <v>3.7499999999999999E-3</v>
      </c>
    </row>
    <row r="70" spans="1:2" x14ac:dyDescent="0.25">
      <c r="A70" s="18">
        <v>39.5</v>
      </c>
      <c r="B70" s="18">
        <v>3.5899999999999999E-3</v>
      </c>
    </row>
    <row r="71" spans="1:2" x14ac:dyDescent="0.25">
      <c r="A71" s="18">
        <v>40</v>
      </c>
      <c r="B71" s="18">
        <v>3.5000000000000001E-3</v>
      </c>
    </row>
    <row r="72" spans="1:2" x14ac:dyDescent="0.25">
      <c r="A72" s="18">
        <v>40.5</v>
      </c>
      <c r="B72" s="18">
        <v>3.3700000000000002E-3</v>
      </c>
    </row>
    <row r="73" spans="1:2" x14ac:dyDescent="0.25">
      <c r="A73" s="18">
        <v>41</v>
      </c>
      <c r="B73" s="18">
        <v>3.31E-3</v>
      </c>
    </row>
    <row r="74" spans="1:2" x14ac:dyDescent="0.25">
      <c r="A74" s="18">
        <v>41.5</v>
      </c>
      <c r="B74" s="18">
        <v>3.2000000000000002E-3</v>
      </c>
    </row>
    <row r="75" spans="1:2" x14ac:dyDescent="0.25">
      <c r="A75" s="18">
        <v>42</v>
      </c>
      <c r="B75" s="18">
        <v>3.1099999999999999E-3</v>
      </c>
    </row>
    <row r="76" spans="1:2" x14ac:dyDescent="0.25">
      <c r="A76" s="18">
        <v>42.5</v>
      </c>
      <c r="B76" s="18">
        <v>3.0400000000000002E-3</v>
      </c>
    </row>
    <row r="77" spans="1:2" x14ac:dyDescent="0.25">
      <c r="A77" s="18">
        <v>43</v>
      </c>
      <c r="B77" s="18">
        <v>2.96E-3</v>
      </c>
    </row>
    <row r="78" spans="1:2" x14ac:dyDescent="0.25">
      <c r="A78" s="18">
        <v>43.5</v>
      </c>
      <c r="B78" s="18">
        <v>2.8600000000000001E-3</v>
      </c>
    </row>
    <row r="79" spans="1:2" x14ac:dyDescent="0.25">
      <c r="A79" s="18">
        <v>44</v>
      </c>
      <c r="B79" s="18">
        <v>2.7599999999999999E-3</v>
      </c>
    </row>
    <row r="80" spans="1:2" x14ac:dyDescent="0.25">
      <c r="A80" s="18">
        <v>44.5</v>
      </c>
      <c r="B80" s="18">
        <v>2.7100000000000002E-3</v>
      </c>
    </row>
    <row r="81" spans="1:2" x14ac:dyDescent="0.25">
      <c r="A81" s="18">
        <v>45</v>
      </c>
      <c r="B81" s="18">
        <v>2.64E-3</v>
      </c>
    </row>
    <row r="82" spans="1:2" x14ac:dyDescent="0.25">
      <c r="A82" s="18">
        <v>45.5</v>
      </c>
      <c r="B82" s="18">
        <v>2.5600000000000002E-3</v>
      </c>
    </row>
    <row r="83" spans="1:2" x14ac:dyDescent="0.25">
      <c r="A83" s="18">
        <v>46</v>
      </c>
      <c r="B83" s="18">
        <v>2.49E-3</v>
      </c>
    </row>
    <row r="84" spans="1:2" x14ac:dyDescent="0.25">
      <c r="A84" s="18">
        <v>46.5</v>
      </c>
      <c r="B84" s="18">
        <v>2.4199999999999998E-3</v>
      </c>
    </row>
    <row r="85" spans="1:2" x14ac:dyDescent="0.25">
      <c r="A85" s="18">
        <v>47</v>
      </c>
      <c r="B85" s="18">
        <v>2.3600000000000001E-3</v>
      </c>
    </row>
    <row r="86" spans="1:2" x14ac:dyDescent="0.25">
      <c r="A86" s="18">
        <v>47.5</v>
      </c>
      <c r="B86" s="18">
        <v>2.2899999999999999E-3</v>
      </c>
    </row>
    <row r="87" spans="1:2" x14ac:dyDescent="0.25">
      <c r="A87" s="18">
        <v>48</v>
      </c>
      <c r="B87" s="18">
        <v>2.2399999999999998E-3</v>
      </c>
    </row>
    <row r="88" spans="1:2" x14ac:dyDescent="0.25">
      <c r="A88" s="18">
        <v>48.5</v>
      </c>
      <c r="B88" s="18">
        <v>2.1800000000000001E-3</v>
      </c>
    </row>
    <row r="89" spans="1:2" x14ac:dyDescent="0.25">
      <c r="A89" s="18">
        <v>49</v>
      </c>
      <c r="B89" s="18">
        <v>2.1099999999999999E-3</v>
      </c>
    </row>
    <row r="90" spans="1:2" x14ac:dyDescent="0.25">
      <c r="A90" s="18">
        <v>49.5</v>
      </c>
      <c r="B90" s="18">
        <v>2.0600000000000002E-3</v>
      </c>
    </row>
    <row r="91" spans="1:2" x14ac:dyDescent="0.25">
      <c r="A91" s="18">
        <v>50</v>
      </c>
      <c r="B91" s="18">
        <v>2E-3</v>
      </c>
    </row>
    <row r="92" spans="1:2" x14ac:dyDescent="0.25">
      <c r="A92" s="18">
        <v>50.5</v>
      </c>
      <c r="B92" s="18">
        <v>1.97E-3</v>
      </c>
    </row>
    <row r="93" spans="1:2" x14ac:dyDescent="0.25">
      <c r="A93" s="18">
        <v>51</v>
      </c>
      <c r="B93" s="18">
        <v>1.92E-3</v>
      </c>
    </row>
    <row r="94" spans="1:2" x14ac:dyDescent="0.25">
      <c r="A94" s="18">
        <v>51.5</v>
      </c>
      <c r="B94" s="18">
        <v>1.8600000000000001E-3</v>
      </c>
    </row>
    <row r="95" spans="1:2" x14ac:dyDescent="0.25">
      <c r="A95" s="18">
        <v>52</v>
      </c>
      <c r="B95" s="18">
        <v>1.8699999999999999E-3</v>
      </c>
    </row>
    <row r="96" spans="1:2" x14ac:dyDescent="0.25">
      <c r="A96" s="18">
        <v>52.5</v>
      </c>
      <c r="B96" s="18">
        <v>1.82E-3</v>
      </c>
    </row>
    <row r="97" spans="1:2" x14ac:dyDescent="0.25">
      <c r="A97" s="18">
        <v>53</v>
      </c>
      <c r="B97" s="18">
        <v>1.7899999999999999E-3</v>
      </c>
    </row>
    <row r="98" spans="1:2" x14ac:dyDescent="0.25">
      <c r="A98" s="18">
        <v>53.5</v>
      </c>
      <c r="B98" s="18">
        <v>1.73E-3</v>
      </c>
    </row>
    <row r="99" spans="1:2" x14ac:dyDescent="0.25">
      <c r="A99" s="18">
        <v>54</v>
      </c>
      <c r="B99" s="18">
        <v>1.6999999999999999E-3</v>
      </c>
    </row>
    <row r="100" spans="1:2" x14ac:dyDescent="0.25">
      <c r="A100" s="18">
        <v>54.5</v>
      </c>
      <c r="B100" s="18">
        <v>1.6900000000000001E-3</v>
      </c>
    </row>
    <row r="101" spans="1:2" x14ac:dyDescent="0.25">
      <c r="A101" s="18">
        <v>55</v>
      </c>
      <c r="B101" s="18">
        <v>1.65E-3</v>
      </c>
    </row>
    <row r="102" spans="1:2" x14ac:dyDescent="0.25">
      <c r="A102" s="18">
        <v>55.5</v>
      </c>
      <c r="B102" s="18">
        <v>1.6199999999999999E-3</v>
      </c>
    </row>
    <row r="103" spans="1:2" x14ac:dyDescent="0.25">
      <c r="A103" s="18">
        <v>56</v>
      </c>
      <c r="B103" s="18">
        <v>1.5900000000000001E-3</v>
      </c>
    </row>
    <row r="104" spans="1:2" x14ac:dyDescent="0.25">
      <c r="A104" s="18">
        <v>56.5</v>
      </c>
      <c r="B104" s="18">
        <v>1.57E-3</v>
      </c>
    </row>
    <row r="105" spans="1:2" x14ac:dyDescent="0.25">
      <c r="A105" s="18">
        <v>57</v>
      </c>
      <c r="B105" s="18">
        <v>1.57E-3</v>
      </c>
    </row>
    <row r="106" spans="1:2" x14ac:dyDescent="0.25">
      <c r="A106" s="18">
        <v>57.5</v>
      </c>
      <c r="B106" s="18">
        <v>2.2799999999999999E-3</v>
      </c>
    </row>
    <row r="107" spans="1:2" x14ac:dyDescent="0.25">
      <c r="A107" s="18">
        <v>58</v>
      </c>
      <c r="B107" s="18">
        <v>5.1700000000000001E-3</v>
      </c>
    </row>
    <row r="108" spans="1:2" x14ac:dyDescent="0.25">
      <c r="A108" s="18">
        <v>58.5</v>
      </c>
      <c r="B108" s="18">
        <v>3.0799999999999998E-3</v>
      </c>
    </row>
    <row r="109" spans="1:2" x14ac:dyDescent="0.25">
      <c r="A109" s="18">
        <v>59</v>
      </c>
      <c r="B109" s="18">
        <v>4.3499999999999997E-3</v>
      </c>
    </row>
    <row r="110" spans="1:2" x14ac:dyDescent="0.25">
      <c r="A110" s="18">
        <v>59.5</v>
      </c>
      <c r="B110" s="18">
        <v>7.6400000000000001E-3</v>
      </c>
    </row>
    <row r="111" spans="1:2" x14ac:dyDescent="0.25">
      <c r="A111" s="18">
        <v>60</v>
      </c>
      <c r="B111" s="18">
        <v>2.4599999999999999E-3</v>
      </c>
    </row>
    <row r="112" spans="1:2" x14ac:dyDescent="0.25">
      <c r="A112" s="18">
        <v>60.5</v>
      </c>
      <c r="B112" s="18">
        <v>1.3699999999999999E-3</v>
      </c>
    </row>
    <row r="113" spans="1:2" x14ac:dyDescent="0.25">
      <c r="A113" s="18">
        <v>61</v>
      </c>
      <c r="B113" s="18">
        <v>1.33E-3</v>
      </c>
    </row>
    <row r="114" spans="1:2" x14ac:dyDescent="0.25">
      <c r="A114" s="18">
        <v>61.5</v>
      </c>
      <c r="B114" s="18">
        <v>1.2999999999999999E-3</v>
      </c>
    </row>
    <row r="115" spans="1:2" x14ac:dyDescent="0.25">
      <c r="A115" s="18">
        <v>62</v>
      </c>
      <c r="B115" s="18">
        <v>1.2800000000000001E-3</v>
      </c>
    </row>
    <row r="116" spans="1:2" x14ac:dyDescent="0.25">
      <c r="A116" s="18">
        <v>62.5</v>
      </c>
      <c r="B116" s="18">
        <v>1.25E-3</v>
      </c>
    </row>
    <row r="117" spans="1:2" x14ac:dyDescent="0.25">
      <c r="A117" s="18">
        <v>63</v>
      </c>
      <c r="B117" s="18">
        <v>1.23E-3</v>
      </c>
    </row>
    <row r="118" spans="1:2" x14ac:dyDescent="0.25">
      <c r="A118" s="18">
        <v>63.5</v>
      </c>
      <c r="B118" s="18">
        <v>1.23E-3</v>
      </c>
    </row>
    <row r="119" spans="1:2" x14ac:dyDescent="0.25">
      <c r="A119" s="18">
        <v>64</v>
      </c>
      <c r="B119" s="18">
        <v>1.2099999999999999E-3</v>
      </c>
    </row>
    <row r="120" spans="1:2" x14ac:dyDescent="0.25">
      <c r="A120" s="18">
        <v>64.5</v>
      </c>
      <c r="B120" s="18">
        <v>1.1900000000000001E-3</v>
      </c>
    </row>
    <row r="121" spans="1:2" x14ac:dyDescent="0.25">
      <c r="A121" s="18">
        <v>65</v>
      </c>
      <c r="B121" s="18">
        <v>1.1800000000000001E-3</v>
      </c>
    </row>
    <row r="122" spans="1:2" x14ac:dyDescent="0.25">
      <c r="A122" s="18">
        <v>65.5</v>
      </c>
      <c r="B122" s="18">
        <v>1.17E-3</v>
      </c>
    </row>
    <row r="123" spans="1:2" x14ac:dyDescent="0.25">
      <c r="A123" s="18">
        <v>66</v>
      </c>
      <c r="B123" s="18">
        <v>1.1800000000000001E-3</v>
      </c>
    </row>
    <row r="124" spans="1:2" x14ac:dyDescent="0.25">
      <c r="A124" s="18">
        <v>66.5</v>
      </c>
      <c r="B124" s="18">
        <v>1.3699999999999999E-3</v>
      </c>
    </row>
    <row r="125" spans="1:2" x14ac:dyDescent="0.25">
      <c r="A125" s="18">
        <v>67</v>
      </c>
      <c r="B125" s="18">
        <v>2.8E-3</v>
      </c>
    </row>
    <row r="126" spans="1:2" x14ac:dyDescent="0.25">
      <c r="A126" s="18">
        <v>67.5</v>
      </c>
      <c r="B126" s="18">
        <v>2.7899999999999999E-3</v>
      </c>
    </row>
    <row r="127" spans="1:2" x14ac:dyDescent="0.25">
      <c r="A127" s="18">
        <v>68</v>
      </c>
      <c r="B127" s="18">
        <v>1.2899999999999999E-3</v>
      </c>
    </row>
    <row r="128" spans="1:2" x14ac:dyDescent="0.25">
      <c r="A128" s="18">
        <v>68.5</v>
      </c>
      <c r="B128" s="18">
        <v>1.15E-3</v>
      </c>
    </row>
    <row r="129" spans="1:2" x14ac:dyDescent="0.25">
      <c r="A129" s="18">
        <v>69</v>
      </c>
      <c r="B129" s="18">
        <v>1.5399999999999999E-3</v>
      </c>
    </row>
    <row r="130" spans="1:2" x14ac:dyDescent="0.25">
      <c r="A130" s="18">
        <v>69.5</v>
      </c>
      <c r="B130" s="18">
        <v>1.4E-3</v>
      </c>
    </row>
    <row r="131" spans="1:2" x14ac:dyDescent="0.25">
      <c r="A131" s="18">
        <v>70</v>
      </c>
      <c r="B131" s="18">
        <v>9.6199999999999996E-4</v>
      </c>
    </row>
    <row r="132" spans="1:2" x14ac:dyDescent="0.25">
      <c r="A132" s="18">
        <v>70.5</v>
      </c>
      <c r="B132" s="18">
        <v>8.9800000000000004E-4</v>
      </c>
    </row>
    <row r="133" spans="1:2" x14ac:dyDescent="0.25">
      <c r="A133" s="18">
        <v>71</v>
      </c>
      <c r="B133" s="18">
        <v>8.9800000000000004E-4</v>
      </c>
    </row>
    <row r="134" spans="1:2" x14ac:dyDescent="0.25">
      <c r="A134" s="18">
        <v>71.5</v>
      </c>
      <c r="B134" s="18">
        <v>8.7699999999999996E-4</v>
      </c>
    </row>
    <row r="135" spans="1:2" x14ac:dyDescent="0.25">
      <c r="A135" s="18">
        <v>72</v>
      </c>
      <c r="B135" s="18">
        <v>8.5700000000000001E-4</v>
      </c>
    </row>
    <row r="136" spans="1:2" x14ac:dyDescent="0.25">
      <c r="A136" s="18">
        <v>72.5</v>
      </c>
      <c r="B136" s="18">
        <v>8.5999999999999998E-4</v>
      </c>
    </row>
    <row r="137" spans="1:2" x14ac:dyDescent="0.25">
      <c r="A137" s="18">
        <v>73</v>
      </c>
      <c r="B137" s="18">
        <v>8.4500000000000005E-4</v>
      </c>
    </row>
    <row r="138" spans="1:2" x14ac:dyDescent="0.25">
      <c r="A138" s="18">
        <v>73.5</v>
      </c>
      <c r="B138" s="18">
        <v>8.3299999999999997E-4</v>
      </c>
    </row>
    <row r="139" spans="1:2" x14ac:dyDescent="0.25">
      <c r="A139" s="18">
        <v>74</v>
      </c>
      <c r="B139" s="18">
        <v>8.3799999999999999E-4</v>
      </c>
    </row>
    <row r="140" spans="1:2" x14ac:dyDescent="0.25">
      <c r="A140" s="18">
        <v>74.5</v>
      </c>
      <c r="B140" s="18">
        <v>8.2100000000000001E-4</v>
      </c>
    </row>
    <row r="141" spans="1:2" x14ac:dyDescent="0.25">
      <c r="A141" s="18">
        <v>75</v>
      </c>
      <c r="B141" s="18">
        <v>8.0400000000000003E-4</v>
      </c>
    </row>
    <row r="142" spans="1:2" x14ac:dyDescent="0.25">
      <c r="A142" s="18">
        <v>75.5</v>
      </c>
      <c r="B142" s="18">
        <v>8.0599999999999997E-4</v>
      </c>
    </row>
    <row r="143" spans="1:2" x14ac:dyDescent="0.25">
      <c r="A143" s="18">
        <v>76</v>
      </c>
      <c r="B143" s="18">
        <v>7.94E-4</v>
      </c>
    </row>
    <row r="144" spans="1:2" x14ac:dyDescent="0.25">
      <c r="A144" s="18">
        <v>76.5</v>
      </c>
      <c r="B144" s="18">
        <v>7.8600000000000002E-4</v>
      </c>
    </row>
    <row r="145" spans="1:2" x14ac:dyDescent="0.25">
      <c r="A145" s="18">
        <v>77</v>
      </c>
      <c r="B145" s="18">
        <v>7.6999999999999996E-4</v>
      </c>
    </row>
    <row r="146" spans="1:2" x14ac:dyDescent="0.25">
      <c r="A146" s="18">
        <v>77.5</v>
      </c>
      <c r="B146" s="18">
        <v>7.7499999999999997E-4</v>
      </c>
    </row>
    <row r="147" spans="1:2" x14ac:dyDescent="0.25">
      <c r="A147" s="18">
        <v>78</v>
      </c>
      <c r="B147" s="18">
        <v>7.5600000000000005E-4</v>
      </c>
    </row>
    <row r="148" spans="1:2" x14ac:dyDescent="0.25">
      <c r="A148" s="18">
        <v>78.5</v>
      </c>
      <c r="B148" s="18">
        <v>7.4899999999999999E-4</v>
      </c>
    </row>
    <row r="149" spans="1:2" x14ac:dyDescent="0.25">
      <c r="A149" s="18">
        <v>79</v>
      </c>
      <c r="B149" s="18">
        <v>7.4200000000000004E-4</v>
      </c>
    </row>
    <row r="150" spans="1:2" x14ac:dyDescent="0.25">
      <c r="A150" s="18">
        <v>79.5</v>
      </c>
      <c r="B150" s="18">
        <v>7.1599999999999995E-4</v>
      </c>
    </row>
    <row r="151" spans="1:2" x14ac:dyDescent="0.25">
      <c r="A151" s="18">
        <v>80</v>
      </c>
      <c r="B151" s="18">
        <v>7.2199999999999999E-4</v>
      </c>
    </row>
    <row r="152" spans="1:2" x14ac:dyDescent="0.25">
      <c r="A152" s="18">
        <v>80.5</v>
      </c>
      <c r="B152" s="18">
        <v>7.1199999999999996E-4</v>
      </c>
    </row>
    <row r="153" spans="1:2" x14ac:dyDescent="0.25">
      <c r="A153" s="18">
        <v>81</v>
      </c>
      <c r="B153" s="18">
        <v>7.0100000000000002E-4</v>
      </c>
    </row>
    <row r="154" spans="1:2" x14ac:dyDescent="0.25">
      <c r="A154" s="18">
        <v>81.5</v>
      </c>
      <c r="B154" s="18">
        <v>7.0200000000000004E-4</v>
      </c>
    </row>
    <row r="155" spans="1:2" x14ac:dyDescent="0.25">
      <c r="A155" s="18">
        <v>82</v>
      </c>
      <c r="B155" s="18">
        <v>6.9200000000000002E-4</v>
      </c>
    </row>
    <row r="156" spans="1:2" x14ac:dyDescent="0.25">
      <c r="A156" s="18">
        <v>82.5</v>
      </c>
      <c r="B156" s="18">
        <v>6.8099999999999996E-4</v>
      </c>
    </row>
    <row r="157" spans="1:2" x14ac:dyDescent="0.25">
      <c r="A157" s="18">
        <v>83</v>
      </c>
      <c r="B157" s="18">
        <v>6.78E-4</v>
      </c>
    </row>
    <row r="158" spans="1:2" x14ac:dyDescent="0.25">
      <c r="A158" s="18">
        <v>83.5</v>
      </c>
      <c r="B158" s="18">
        <v>6.8599999999999998E-4</v>
      </c>
    </row>
    <row r="159" spans="1:2" x14ac:dyDescent="0.25">
      <c r="A159" s="18">
        <v>84</v>
      </c>
      <c r="B159" s="18">
        <v>6.5300000000000004E-4</v>
      </c>
    </row>
    <row r="160" spans="1:2" x14ac:dyDescent="0.25">
      <c r="A160" s="18">
        <v>84.5</v>
      </c>
      <c r="B160" s="18">
        <v>6.6500000000000001E-4</v>
      </c>
    </row>
    <row r="161" spans="1:2" x14ac:dyDescent="0.25">
      <c r="A161" s="18">
        <v>85</v>
      </c>
      <c r="B161" s="18">
        <v>6.5399999999999996E-4</v>
      </c>
    </row>
    <row r="162" spans="1:2" x14ac:dyDescent="0.25">
      <c r="A162" s="18">
        <v>85.5</v>
      </c>
      <c r="B162" s="18">
        <v>6.5799999999999995E-4</v>
      </c>
    </row>
    <row r="163" spans="1:2" x14ac:dyDescent="0.25">
      <c r="A163" s="18">
        <v>86</v>
      </c>
      <c r="B163" s="18">
        <v>6.3699999999999998E-4</v>
      </c>
    </row>
    <row r="164" spans="1:2" x14ac:dyDescent="0.25">
      <c r="A164" s="18">
        <v>86.5</v>
      </c>
      <c r="B164" s="18">
        <v>6.29E-4</v>
      </c>
    </row>
    <row r="165" spans="1:2" x14ac:dyDescent="0.25">
      <c r="A165" s="18">
        <v>87</v>
      </c>
      <c r="B165" s="18">
        <v>6.3000000000000003E-4</v>
      </c>
    </row>
    <row r="166" spans="1:2" x14ac:dyDescent="0.25">
      <c r="A166" s="18">
        <v>87.5</v>
      </c>
      <c r="B166" s="18">
        <v>6.2100000000000002E-4</v>
      </c>
    </row>
    <row r="167" spans="1:2" x14ac:dyDescent="0.25">
      <c r="A167" s="18">
        <v>88</v>
      </c>
      <c r="B167" s="18">
        <v>6.11E-4</v>
      </c>
    </row>
    <row r="168" spans="1:2" x14ac:dyDescent="0.25">
      <c r="A168" s="18">
        <v>88.5</v>
      </c>
      <c r="B168" s="18">
        <v>6.0899999999999995E-4</v>
      </c>
    </row>
    <row r="169" spans="1:2" x14ac:dyDescent="0.25">
      <c r="A169" s="18">
        <v>89</v>
      </c>
      <c r="B169" s="18">
        <v>5.8100000000000003E-4</v>
      </c>
    </row>
    <row r="170" spans="1:2" x14ac:dyDescent="0.25">
      <c r="A170" s="18">
        <v>89.5</v>
      </c>
      <c r="B170" s="18">
        <v>5.7399999999999997E-4</v>
      </c>
    </row>
    <row r="171" spans="1:2" x14ac:dyDescent="0.25">
      <c r="A171" s="18">
        <v>90</v>
      </c>
      <c r="B171" s="18">
        <v>5.6800000000000004E-4</v>
      </c>
    </row>
    <row r="172" spans="1:2" x14ac:dyDescent="0.25">
      <c r="A172" s="18">
        <v>90.5</v>
      </c>
      <c r="B172" s="18">
        <v>5.6099999999999998E-4</v>
      </c>
    </row>
    <row r="173" spans="1:2" x14ac:dyDescent="0.25">
      <c r="A173" s="18">
        <v>91</v>
      </c>
      <c r="B173" s="18">
        <v>5.6599999999999999E-4</v>
      </c>
    </row>
    <row r="174" spans="1:2" x14ac:dyDescent="0.25">
      <c r="A174" s="18">
        <v>91.5</v>
      </c>
      <c r="B174" s="18">
        <v>5.5900000000000004E-4</v>
      </c>
    </row>
    <row r="175" spans="1:2" x14ac:dyDescent="0.25">
      <c r="A175" s="18">
        <v>92</v>
      </c>
      <c r="B175" s="18">
        <v>5.5999999999999995E-4</v>
      </c>
    </row>
    <row r="176" spans="1:2" x14ac:dyDescent="0.25">
      <c r="A176" s="18">
        <v>92.5</v>
      </c>
      <c r="B176" s="18">
        <v>5.3399999999999997E-4</v>
      </c>
    </row>
    <row r="177" spans="1:2" x14ac:dyDescent="0.25">
      <c r="A177" s="18">
        <v>93</v>
      </c>
      <c r="B177" s="18">
        <v>5.3600000000000002E-4</v>
      </c>
    </row>
    <row r="178" spans="1:2" x14ac:dyDescent="0.25">
      <c r="A178" s="18">
        <v>93.5</v>
      </c>
      <c r="B178" s="18">
        <v>5.2400000000000005E-4</v>
      </c>
    </row>
    <row r="179" spans="1:2" x14ac:dyDescent="0.25">
      <c r="A179" s="18">
        <v>94</v>
      </c>
      <c r="B179" s="18">
        <v>5.2899999999999996E-4</v>
      </c>
    </row>
    <row r="180" spans="1:2" x14ac:dyDescent="0.25">
      <c r="A180" s="18">
        <v>94.5</v>
      </c>
      <c r="B180" s="18">
        <v>5.1599999999999997E-4</v>
      </c>
    </row>
    <row r="181" spans="1:2" x14ac:dyDescent="0.25">
      <c r="A181" s="18">
        <v>95</v>
      </c>
      <c r="B181" s="18">
        <v>5.04E-4</v>
      </c>
    </row>
    <row r="182" spans="1:2" x14ac:dyDescent="0.25">
      <c r="A182" s="18">
        <v>95.5</v>
      </c>
      <c r="B182" s="18">
        <v>5.0500000000000002E-4</v>
      </c>
    </row>
    <row r="183" spans="1:2" x14ac:dyDescent="0.25">
      <c r="A183" s="18">
        <v>96</v>
      </c>
      <c r="B183" s="18">
        <v>4.9700000000000005E-4</v>
      </c>
    </row>
    <row r="184" spans="1:2" x14ac:dyDescent="0.25">
      <c r="A184" s="18">
        <v>96.5</v>
      </c>
      <c r="B184" s="18">
        <v>4.84E-4</v>
      </c>
    </row>
    <row r="185" spans="1:2" x14ac:dyDescent="0.25">
      <c r="A185" s="18">
        <v>97</v>
      </c>
      <c r="B185" s="18">
        <v>4.7399999999999997E-4</v>
      </c>
    </row>
    <row r="186" spans="1:2" x14ac:dyDescent="0.25">
      <c r="A186" s="18">
        <v>97.5</v>
      </c>
      <c r="B186" s="18">
        <v>4.6900000000000002E-4</v>
      </c>
    </row>
    <row r="187" spans="1:2" x14ac:dyDescent="0.25">
      <c r="A187" s="18">
        <v>98</v>
      </c>
      <c r="B187" s="18">
        <v>4.6700000000000002E-4</v>
      </c>
    </row>
    <row r="188" spans="1:2" x14ac:dyDescent="0.25">
      <c r="A188" s="18">
        <v>98.5</v>
      </c>
      <c r="B188" s="18">
        <v>4.5800000000000002E-4</v>
      </c>
    </row>
    <row r="189" spans="1:2" x14ac:dyDescent="0.25">
      <c r="A189" s="18">
        <v>99</v>
      </c>
      <c r="B189" s="18">
        <v>4.46E-4</v>
      </c>
    </row>
    <row r="190" spans="1:2" x14ac:dyDescent="0.25">
      <c r="A190" s="18">
        <v>99.5</v>
      </c>
      <c r="B190" s="18">
        <v>4.35E-4</v>
      </c>
    </row>
    <row r="191" spans="1:2" x14ac:dyDescent="0.25">
      <c r="A191" s="18">
        <v>100</v>
      </c>
      <c r="B191" s="18">
        <v>4.3899999999999999E-4</v>
      </c>
    </row>
    <row r="192" spans="1:2" x14ac:dyDescent="0.25">
      <c r="A192" s="18">
        <v>101</v>
      </c>
      <c r="B192" s="18">
        <v>4.2099999999999999E-4</v>
      </c>
    </row>
    <row r="193" spans="1:2" x14ac:dyDescent="0.25">
      <c r="A193" s="18">
        <v>101</v>
      </c>
      <c r="B193" s="18">
        <v>4.2700000000000002E-4</v>
      </c>
    </row>
    <row r="194" spans="1:2" x14ac:dyDescent="0.25">
      <c r="A194" s="18">
        <v>102</v>
      </c>
      <c r="B194" s="18">
        <v>4.06E-4</v>
      </c>
    </row>
    <row r="195" spans="1:2" x14ac:dyDescent="0.25">
      <c r="A195" s="18">
        <v>102</v>
      </c>
      <c r="B195" s="18">
        <v>4.1199999999999999E-4</v>
      </c>
    </row>
    <row r="196" spans="1:2" x14ac:dyDescent="0.25">
      <c r="A196" s="18">
        <v>103</v>
      </c>
      <c r="B196" s="18">
        <v>4.0499999999999998E-4</v>
      </c>
    </row>
    <row r="197" spans="1:2" x14ac:dyDescent="0.25">
      <c r="A197" s="18">
        <v>103</v>
      </c>
      <c r="B197" s="18">
        <v>3.9800000000000002E-4</v>
      </c>
    </row>
    <row r="198" spans="1:2" x14ac:dyDescent="0.25">
      <c r="A198" s="18">
        <v>104</v>
      </c>
      <c r="B198" s="18">
        <v>3.88E-4</v>
      </c>
    </row>
    <row r="199" spans="1:2" x14ac:dyDescent="0.25">
      <c r="A199" s="18">
        <v>104</v>
      </c>
      <c r="B199" s="18">
        <v>3.88E-4</v>
      </c>
    </row>
    <row r="200" spans="1:2" x14ac:dyDescent="0.25">
      <c r="A200" s="18">
        <v>105</v>
      </c>
      <c r="B200" s="18">
        <v>3.7399999999999998E-4</v>
      </c>
    </row>
    <row r="201" spans="1:2" x14ac:dyDescent="0.25">
      <c r="A201" s="18">
        <v>105</v>
      </c>
      <c r="B201" s="18">
        <v>3.6999999999999999E-4</v>
      </c>
    </row>
    <row r="202" spans="1:2" x14ac:dyDescent="0.25">
      <c r="A202" s="18">
        <v>106</v>
      </c>
      <c r="B202" s="18">
        <v>3.5599999999999998E-4</v>
      </c>
    </row>
    <row r="203" spans="1:2" x14ac:dyDescent="0.25">
      <c r="A203" s="18">
        <v>106</v>
      </c>
      <c r="B203" s="18">
        <v>3.5799999999999997E-4</v>
      </c>
    </row>
    <row r="204" spans="1:2" x14ac:dyDescent="0.25">
      <c r="A204" s="18">
        <v>107</v>
      </c>
      <c r="B204" s="18">
        <v>3.4699999999999998E-4</v>
      </c>
    </row>
    <row r="205" spans="1:2" x14ac:dyDescent="0.25">
      <c r="A205" s="18">
        <v>107</v>
      </c>
      <c r="B205" s="18">
        <v>3.4000000000000002E-4</v>
      </c>
    </row>
    <row r="206" spans="1:2" x14ac:dyDescent="0.25">
      <c r="A206" s="18">
        <v>108</v>
      </c>
      <c r="B206" s="18">
        <v>3.3100000000000002E-4</v>
      </c>
    </row>
    <row r="207" spans="1:2" x14ac:dyDescent="0.25">
      <c r="A207" s="18">
        <v>108</v>
      </c>
      <c r="B207" s="18">
        <v>3.28E-4</v>
      </c>
    </row>
    <row r="208" spans="1:2" x14ac:dyDescent="0.25">
      <c r="A208" s="18">
        <v>109</v>
      </c>
      <c r="B208" s="18">
        <v>3.19E-4</v>
      </c>
    </row>
    <row r="209" spans="1:2" x14ac:dyDescent="0.25">
      <c r="A209" s="18">
        <v>109</v>
      </c>
      <c r="B209" s="18">
        <v>3.0699999999999998E-4</v>
      </c>
    </row>
    <row r="210" spans="1:2" x14ac:dyDescent="0.25">
      <c r="A210" s="18">
        <v>110</v>
      </c>
      <c r="B210" s="18">
        <v>3.01E-4</v>
      </c>
    </row>
    <row r="211" spans="1:2" x14ac:dyDescent="0.25">
      <c r="A211" s="18">
        <v>110</v>
      </c>
      <c r="B211" s="18">
        <v>2.9700000000000001E-4</v>
      </c>
    </row>
    <row r="212" spans="1:2" x14ac:dyDescent="0.25">
      <c r="A212" s="18">
        <v>111</v>
      </c>
      <c r="B212" s="18">
        <v>2.8600000000000001E-4</v>
      </c>
    </row>
    <row r="213" spans="1:2" x14ac:dyDescent="0.25">
      <c r="A213" s="18">
        <v>111</v>
      </c>
      <c r="B213" s="18">
        <v>2.7999999999999998E-4</v>
      </c>
    </row>
    <row r="214" spans="1:2" x14ac:dyDescent="0.25">
      <c r="A214" s="18">
        <v>112</v>
      </c>
      <c r="B214" s="18">
        <v>2.7099999999999997E-4</v>
      </c>
    </row>
    <row r="215" spans="1:2" x14ac:dyDescent="0.25">
      <c r="A215" s="18">
        <v>112</v>
      </c>
      <c r="B215" s="18">
        <v>2.61E-4</v>
      </c>
    </row>
    <row r="216" spans="1:2" x14ac:dyDescent="0.25">
      <c r="A216" s="18">
        <v>113</v>
      </c>
      <c r="B216" s="18">
        <v>2.4800000000000001E-4</v>
      </c>
    </row>
    <row r="217" spans="1:2" x14ac:dyDescent="0.25">
      <c r="A217" s="18">
        <v>113</v>
      </c>
      <c r="B217" s="18">
        <v>2.4600000000000002E-4</v>
      </c>
    </row>
    <row r="218" spans="1:2" x14ac:dyDescent="0.25">
      <c r="A218" s="18">
        <v>114</v>
      </c>
      <c r="B218" s="18">
        <v>2.3699999999999999E-4</v>
      </c>
    </row>
    <row r="219" spans="1:2" x14ac:dyDescent="0.25">
      <c r="A219" s="18">
        <v>114</v>
      </c>
      <c r="B219" s="18">
        <v>2.31E-4</v>
      </c>
    </row>
    <row r="220" spans="1:2" x14ac:dyDescent="0.25">
      <c r="A220" s="18">
        <v>115</v>
      </c>
      <c r="B220" s="18">
        <v>2.2000000000000001E-4</v>
      </c>
    </row>
    <row r="221" spans="1:2" x14ac:dyDescent="0.25">
      <c r="A221" s="18">
        <v>115</v>
      </c>
      <c r="B221" s="18">
        <v>2.12E-4</v>
      </c>
    </row>
    <row r="222" spans="1:2" x14ac:dyDescent="0.25">
      <c r="A222" s="18">
        <v>116</v>
      </c>
      <c r="B222" s="18">
        <v>2.1100000000000001E-4</v>
      </c>
    </row>
    <row r="223" spans="1:2" x14ac:dyDescent="0.25">
      <c r="A223" s="18">
        <v>116</v>
      </c>
      <c r="B223" s="18">
        <v>1.9799999999999999E-4</v>
      </c>
    </row>
    <row r="224" spans="1:2" x14ac:dyDescent="0.25">
      <c r="A224" s="18">
        <v>117</v>
      </c>
      <c r="B224" s="18">
        <v>1.8599999999999999E-4</v>
      </c>
    </row>
    <row r="225" spans="1:2" x14ac:dyDescent="0.25">
      <c r="A225" s="18">
        <v>117</v>
      </c>
      <c r="B225" s="18">
        <v>1.73E-4</v>
      </c>
    </row>
    <row r="226" spans="1:2" x14ac:dyDescent="0.25">
      <c r="A226" s="18">
        <v>118</v>
      </c>
      <c r="B226" s="18">
        <v>1.6899999999999999E-4</v>
      </c>
    </row>
    <row r="227" spans="1:2" x14ac:dyDescent="0.25">
      <c r="A227" s="18">
        <v>118</v>
      </c>
      <c r="B227" s="18">
        <v>1.63E-4</v>
      </c>
    </row>
    <row r="228" spans="1:2" x14ac:dyDescent="0.25">
      <c r="A228" s="18">
        <v>119</v>
      </c>
      <c r="B228" s="18">
        <v>1.4999999999999999E-4</v>
      </c>
    </row>
    <row r="229" spans="1:2" x14ac:dyDescent="0.25">
      <c r="A229" s="18">
        <v>119</v>
      </c>
      <c r="B229" s="18">
        <v>1.4100000000000001E-4</v>
      </c>
    </row>
    <row r="230" spans="1:2" x14ac:dyDescent="0.25">
      <c r="A230" s="18">
        <v>120</v>
      </c>
      <c r="B230" s="18">
        <v>1.36E-4</v>
      </c>
    </row>
    <row r="231" spans="1:2" x14ac:dyDescent="0.25">
      <c r="A231" s="18">
        <v>120</v>
      </c>
      <c r="B231" s="18">
        <v>1.21E-4</v>
      </c>
    </row>
    <row r="232" spans="1:2" x14ac:dyDescent="0.25">
      <c r="A232" s="18">
        <v>121</v>
      </c>
      <c r="B232" s="18">
        <v>1.07E-4</v>
      </c>
    </row>
    <row r="233" spans="1:2" x14ac:dyDescent="0.25">
      <c r="A233" s="18">
        <v>121</v>
      </c>
      <c r="B233" s="18">
        <v>1.01E-4</v>
      </c>
    </row>
    <row r="234" spans="1:2" x14ac:dyDescent="0.25">
      <c r="A234" s="18">
        <v>122</v>
      </c>
      <c r="B234" s="18">
        <v>9.1299999999999997E-5</v>
      </c>
    </row>
    <row r="235" spans="1:2" x14ac:dyDescent="0.25">
      <c r="A235" s="18">
        <v>122</v>
      </c>
      <c r="B235" s="18">
        <v>8.1299999999999997E-5</v>
      </c>
    </row>
    <row r="236" spans="1:2" x14ac:dyDescent="0.25">
      <c r="A236" s="18">
        <v>123</v>
      </c>
      <c r="B236" s="18">
        <v>7.3800000000000005E-5</v>
      </c>
    </row>
    <row r="237" spans="1:2" x14ac:dyDescent="0.25">
      <c r="A237" s="18">
        <v>123</v>
      </c>
      <c r="B237" s="18">
        <v>6.0099999999999997E-5</v>
      </c>
    </row>
    <row r="238" spans="1:2" x14ac:dyDescent="0.25">
      <c r="A238" s="18">
        <v>124</v>
      </c>
      <c r="B238" s="18">
        <v>5.3100000000000003E-5</v>
      </c>
    </row>
    <row r="239" spans="1:2" x14ac:dyDescent="0.25">
      <c r="A239" s="18">
        <v>124</v>
      </c>
      <c r="B239" s="18">
        <v>3.4600000000000001E-5</v>
      </c>
    </row>
    <row r="240" spans="1:2" x14ac:dyDescent="0.25">
      <c r="A240" s="18">
        <v>125</v>
      </c>
      <c r="B240" s="18">
        <v>2.6800000000000001E-5</v>
      </c>
    </row>
    <row r="241" spans="1:2" x14ac:dyDescent="0.25">
      <c r="A241" s="18">
        <v>125</v>
      </c>
      <c r="B241" s="18">
        <v>1.1800000000000001E-5</v>
      </c>
    </row>
    <row r="242" spans="1:2" x14ac:dyDescent="0.25">
      <c r="A242" s="18">
        <v>126</v>
      </c>
      <c r="B242" s="18">
        <v>4.2400000000000001E-6</v>
      </c>
    </row>
    <row r="243" spans="1:2" x14ac:dyDescent="0.25">
      <c r="A243" s="18">
        <v>126</v>
      </c>
      <c r="B243" s="18">
        <v>2.61E-6</v>
      </c>
    </row>
    <row r="244" spans="1:2" x14ac:dyDescent="0.25">
      <c r="A244" s="18">
        <v>127</v>
      </c>
      <c r="B244" s="18">
        <v>2.92E-6</v>
      </c>
    </row>
    <row r="245" spans="1:2" x14ac:dyDescent="0.25">
      <c r="A245" s="18">
        <v>127</v>
      </c>
      <c r="B245" s="18">
        <v>1.9199999999999998E-6</v>
      </c>
    </row>
  </sheetData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1:B275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5.5</v>
      </c>
      <c r="B2" s="18">
        <v>1.1800000000000001E-3</v>
      </c>
    </row>
    <row r="3" spans="1:2" x14ac:dyDescent="0.25">
      <c r="A3" s="18">
        <v>6</v>
      </c>
      <c r="B3" s="18">
        <v>1.1100000000000001E-3</v>
      </c>
    </row>
    <row r="4" spans="1:2" x14ac:dyDescent="0.25">
      <c r="A4" s="18">
        <v>6.5</v>
      </c>
      <c r="B4" s="18">
        <v>6.6500000000000001E-4</v>
      </c>
    </row>
    <row r="5" spans="1:2" x14ac:dyDescent="0.25">
      <c r="A5" s="18">
        <v>7</v>
      </c>
      <c r="B5" s="18">
        <v>1.25E-3</v>
      </c>
    </row>
    <row r="6" spans="1:2" x14ac:dyDescent="0.25">
      <c r="A6" s="18">
        <v>7.5</v>
      </c>
      <c r="B6" s="18">
        <v>1.2899999999999999E-3</v>
      </c>
    </row>
    <row r="7" spans="1:2" x14ac:dyDescent="0.25">
      <c r="A7" s="18">
        <v>8</v>
      </c>
      <c r="B7" s="18">
        <v>6.8100000000000001E-3</v>
      </c>
    </row>
    <row r="8" spans="1:2" x14ac:dyDescent="0.25">
      <c r="A8" s="18">
        <v>8.5</v>
      </c>
      <c r="B8" s="18">
        <v>3.0599999999999999E-2</v>
      </c>
    </row>
    <row r="9" spans="1:2" x14ac:dyDescent="0.25">
      <c r="A9" s="18">
        <v>9</v>
      </c>
      <c r="B9" s="18">
        <v>1.2800000000000001E-2</v>
      </c>
    </row>
    <row r="10" spans="1:2" x14ac:dyDescent="0.25">
      <c r="A10" s="18">
        <v>9.5</v>
      </c>
      <c r="B10" s="18">
        <v>3.9E-2</v>
      </c>
    </row>
    <row r="11" spans="1:2" x14ac:dyDescent="0.25">
      <c r="A11" s="18">
        <v>10</v>
      </c>
      <c r="B11" s="18">
        <v>9.01E-2</v>
      </c>
    </row>
    <row r="12" spans="1:2" x14ac:dyDescent="0.25">
      <c r="A12" s="18">
        <v>10.5</v>
      </c>
      <c r="B12" s="18">
        <v>2.1899999999999999E-2</v>
      </c>
    </row>
    <row r="13" spans="1:2" x14ac:dyDescent="0.25">
      <c r="A13" s="18">
        <v>11</v>
      </c>
      <c r="B13" s="18">
        <v>1.03E-2</v>
      </c>
    </row>
    <row r="14" spans="1:2" x14ac:dyDescent="0.25">
      <c r="A14" s="18">
        <v>11.5</v>
      </c>
      <c r="B14" s="18">
        <v>2.5100000000000001E-2</v>
      </c>
    </row>
    <row r="15" spans="1:2" x14ac:dyDescent="0.25">
      <c r="A15" s="18">
        <v>12</v>
      </c>
      <c r="B15" s="18">
        <v>1.43E-2</v>
      </c>
    </row>
    <row r="16" spans="1:2" x14ac:dyDescent="0.25">
      <c r="A16" s="18">
        <v>12.5</v>
      </c>
      <c r="B16" s="18">
        <v>9.5999999999999992E-3</v>
      </c>
    </row>
    <row r="17" spans="1:2" x14ac:dyDescent="0.25">
      <c r="A17" s="18">
        <v>13</v>
      </c>
      <c r="B17" s="18">
        <v>1.01E-2</v>
      </c>
    </row>
    <row r="18" spans="1:2" x14ac:dyDescent="0.25">
      <c r="A18" s="18">
        <v>13.5</v>
      </c>
      <c r="B18" s="18">
        <v>1.03E-2</v>
      </c>
    </row>
    <row r="19" spans="1:2" x14ac:dyDescent="0.25">
      <c r="A19" s="18">
        <v>14</v>
      </c>
      <c r="B19" s="18">
        <v>1.1900000000000001E-2</v>
      </c>
    </row>
    <row r="20" spans="1:2" x14ac:dyDescent="0.25">
      <c r="A20" s="18">
        <v>14.5</v>
      </c>
      <c r="B20" s="18">
        <v>1.24E-2</v>
      </c>
    </row>
    <row r="21" spans="1:2" x14ac:dyDescent="0.25">
      <c r="A21" s="18">
        <v>15</v>
      </c>
      <c r="B21" s="18">
        <v>1.29E-2</v>
      </c>
    </row>
    <row r="22" spans="1:2" x14ac:dyDescent="0.25">
      <c r="A22" s="18">
        <v>15.5</v>
      </c>
      <c r="B22" s="18">
        <v>1.37E-2</v>
      </c>
    </row>
    <row r="23" spans="1:2" x14ac:dyDescent="0.25">
      <c r="A23" s="18">
        <v>16</v>
      </c>
      <c r="B23" s="18">
        <v>1.3899999999999999E-2</v>
      </c>
    </row>
    <row r="24" spans="1:2" x14ac:dyDescent="0.25">
      <c r="A24" s="18">
        <v>16.5</v>
      </c>
      <c r="B24" s="18">
        <v>1.41E-2</v>
      </c>
    </row>
    <row r="25" spans="1:2" x14ac:dyDescent="0.25">
      <c r="A25" s="18">
        <v>17</v>
      </c>
      <c r="B25" s="18">
        <v>1.4200000000000001E-2</v>
      </c>
    </row>
    <row r="26" spans="1:2" x14ac:dyDescent="0.25">
      <c r="A26" s="18">
        <v>17.5</v>
      </c>
      <c r="B26" s="18">
        <v>1.4200000000000001E-2</v>
      </c>
    </row>
    <row r="27" spans="1:2" x14ac:dyDescent="0.25">
      <c r="A27" s="18">
        <v>18</v>
      </c>
      <c r="B27" s="18">
        <v>1.43E-2</v>
      </c>
    </row>
    <row r="28" spans="1:2" x14ac:dyDescent="0.25">
      <c r="A28" s="18">
        <v>18.5</v>
      </c>
      <c r="B28" s="18">
        <v>1.4200000000000001E-2</v>
      </c>
    </row>
    <row r="29" spans="1:2" x14ac:dyDescent="0.25">
      <c r="A29" s="18">
        <v>19</v>
      </c>
      <c r="B29" s="18">
        <v>1.4E-2</v>
      </c>
    </row>
    <row r="30" spans="1:2" x14ac:dyDescent="0.25">
      <c r="A30" s="18">
        <v>19.5</v>
      </c>
      <c r="B30" s="18">
        <v>1.38E-2</v>
      </c>
    </row>
    <row r="31" spans="1:2" x14ac:dyDescent="0.25">
      <c r="A31" s="18">
        <v>20</v>
      </c>
      <c r="B31" s="18">
        <v>1.37E-2</v>
      </c>
    </row>
    <row r="32" spans="1:2" x14ac:dyDescent="0.25">
      <c r="A32" s="18">
        <v>20.5</v>
      </c>
      <c r="B32" s="18">
        <v>1.3599999999999999E-2</v>
      </c>
    </row>
    <row r="33" spans="1:2" x14ac:dyDescent="0.25">
      <c r="A33" s="18">
        <v>21</v>
      </c>
      <c r="B33" s="18">
        <v>1.32E-2</v>
      </c>
    </row>
    <row r="34" spans="1:2" x14ac:dyDescent="0.25">
      <c r="A34" s="18">
        <v>21.5</v>
      </c>
      <c r="B34" s="18">
        <v>1.29E-2</v>
      </c>
    </row>
    <row r="35" spans="1:2" x14ac:dyDescent="0.25">
      <c r="A35" s="18">
        <v>22</v>
      </c>
      <c r="B35" s="18">
        <v>1.2999999999999999E-2</v>
      </c>
    </row>
    <row r="36" spans="1:2" x14ac:dyDescent="0.25">
      <c r="A36" s="18">
        <v>22.5</v>
      </c>
      <c r="B36" s="18">
        <v>1.2500000000000001E-2</v>
      </c>
    </row>
    <row r="37" spans="1:2" x14ac:dyDescent="0.25">
      <c r="A37" s="18">
        <v>23</v>
      </c>
      <c r="B37" s="18">
        <v>1.2E-2</v>
      </c>
    </row>
    <row r="38" spans="1:2" x14ac:dyDescent="0.25">
      <c r="A38" s="18">
        <v>23.5</v>
      </c>
      <c r="B38" s="18">
        <v>1.17E-2</v>
      </c>
    </row>
    <row r="39" spans="1:2" x14ac:dyDescent="0.25">
      <c r="A39" s="18">
        <v>24</v>
      </c>
      <c r="B39" s="18">
        <v>1.1299999999999999E-2</v>
      </c>
    </row>
    <row r="40" spans="1:2" x14ac:dyDescent="0.25">
      <c r="A40" s="18">
        <v>24.5</v>
      </c>
      <c r="B40" s="18">
        <v>1.0999999999999999E-2</v>
      </c>
    </row>
    <row r="41" spans="1:2" x14ac:dyDescent="0.25">
      <c r="A41" s="18">
        <v>25</v>
      </c>
      <c r="B41" s="18">
        <v>1.06E-2</v>
      </c>
    </row>
    <row r="42" spans="1:2" x14ac:dyDescent="0.25">
      <c r="A42" s="18">
        <v>25.5</v>
      </c>
      <c r="B42" s="18">
        <v>1.03E-2</v>
      </c>
    </row>
    <row r="43" spans="1:2" x14ac:dyDescent="0.25">
      <c r="A43" s="18">
        <v>26</v>
      </c>
      <c r="B43" s="18">
        <v>9.9699999999999997E-3</v>
      </c>
    </row>
    <row r="44" spans="1:2" x14ac:dyDescent="0.25">
      <c r="A44" s="18">
        <v>26.5</v>
      </c>
      <c r="B44" s="18">
        <v>9.5600000000000008E-3</v>
      </c>
    </row>
    <row r="45" spans="1:2" x14ac:dyDescent="0.25">
      <c r="A45" s="18">
        <v>27</v>
      </c>
      <c r="B45" s="18">
        <v>9.2399999999999999E-3</v>
      </c>
    </row>
    <row r="46" spans="1:2" x14ac:dyDescent="0.25">
      <c r="A46" s="18">
        <v>27.5</v>
      </c>
      <c r="B46" s="18">
        <v>8.8900000000000003E-3</v>
      </c>
    </row>
    <row r="47" spans="1:2" x14ac:dyDescent="0.25">
      <c r="A47" s="18">
        <v>28</v>
      </c>
      <c r="B47" s="18">
        <v>8.6400000000000001E-3</v>
      </c>
    </row>
    <row r="48" spans="1:2" x14ac:dyDescent="0.25">
      <c r="A48" s="18">
        <v>28.5</v>
      </c>
      <c r="B48" s="18">
        <v>8.26E-3</v>
      </c>
    </row>
    <row r="49" spans="1:2" x14ac:dyDescent="0.25">
      <c r="A49" s="18">
        <v>29</v>
      </c>
      <c r="B49" s="18">
        <v>8.0700000000000008E-3</v>
      </c>
    </row>
    <row r="50" spans="1:2" x14ac:dyDescent="0.25">
      <c r="A50" s="18">
        <v>29.5</v>
      </c>
      <c r="B50" s="18">
        <v>7.7200000000000003E-3</v>
      </c>
    </row>
    <row r="51" spans="1:2" x14ac:dyDescent="0.25">
      <c r="A51" s="18">
        <v>30</v>
      </c>
      <c r="B51" s="18">
        <v>7.3899999999999999E-3</v>
      </c>
    </row>
    <row r="52" spans="1:2" x14ac:dyDescent="0.25">
      <c r="A52" s="18">
        <v>30.5</v>
      </c>
      <c r="B52" s="18">
        <v>7.11E-3</v>
      </c>
    </row>
    <row r="53" spans="1:2" x14ac:dyDescent="0.25">
      <c r="A53" s="18">
        <v>31</v>
      </c>
      <c r="B53" s="18">
        <v>6.8900000000000003E-3</v>
      </c>
    </row>
    <row r="54" spans="1:2" x14ac:dyDescent="0.25">
      <c r="A54" s="18">
        <v>31.5</v>
      </c>
      <c r="B54" s="18">
        <v>6.6600000000000001E-3</v>
      </c>
    </row>
    <row r="55" spans="1:2" x14ac:dyDescent="0.25">
      <c r="A55" s="18">
        <v>32</v>
      </c>
      <c r="B55" s="18">
        <v>6.5100000000000002E-3</v>
      </c>
    </row>
    <row r="56" spans="1:2" x14ac:dyDescent="0.25">
      <c r="A56" s="18">
        <v>32.5</v>
      </c>
      <c r="B56" s="18">
        <v>6.28E-3</v>
      </c>
    </row>
    <row r="57" spans="1:2" x14ac:dyDescent="0.25">
      <c r="A57" s="18">
        <v>33</v>
      </c>
      <c r="B57" s="18">
        <v>6.0400000000000002E-3</v>
      </c>
    </row>
    <row r="58" spans="1:2" x14ac:dyDescent="0.25">
      <c r="A58" s="18">
        <v>33.5</v>
      </c>
      <c r="B58" s="18">
        <v>5.8100000000000001E-3</v>
      </c>
    </row>
    <row r="59" spans="1:2" x14ac:dyDescent="0.25">
      <c r="A59" s="18">
        <v>34</v>
      </c>
      <c r="B59" s="18">
        <v>5.6899999999999997E-3</v>
      </c>
    </row>
    <row r="60" spans="1:2" x14ac:dyDescent="0.25">
      <c r="A60" s="18">
        <v>34.5</v>
      </c>
      <c r="B60" s="18">
        <v>5.4099999999999999E-3</v>
      </c>
    </row>
    <row r="61" spans="1:2" x14ac:dyDescent="0.25">
      <c r="A61" s="18">
        <v>35</v>
      </c>
      <c r="B61" s="18">
        <v>5.2199999999999998E-3</v>
      </c>
    </row>
    <row r="62" spans="1:2" x14ac:dyDescent="0.25">
      <c r="A62" s="18">
        <v>35.5</v>
      </c>
      <c r="B62" s="18">
        <v>5.0800000000000003E-3</v>
      </c>
    </row>
    <row r="63" spans="1:2" x14ac:dyDescent="0.25">
      <c r="A63" s="18">
        <v>36</v>
      </c>
      <c r="B63" s="18">
        <v>4.9500000000000004E-3</v>
      </c>
    </row>
    <row r="64" spans="1:2" x14ac:dyDescent="0.25">
      <c r="A64" s="18">
        <v>36.5</v>
      </c>
      <c r="B64" s="18">
        <v>4.7499999999999999E-3</v>
      </c>
    </row>
    <row r="65" spans="1:2" x14ac:dyDescent="0.25">
      <c r="A65" s="18">
        <v>37</v>
      </c>
      <c r="B65" s="18">
        <v>4.5500000000000002E-3</v>
      </c>
    </row>
    <row r="66" spans="1:2" x14ac:dyDescent="0.25">
      <c r="A66" s="18">
        <v>37.5</v>
      </c>
      <c r="B66" s="18">
        <v>4.4400000000000004E-3</v>
      </c>
    </row>
    <row r="67" spans="1:2" x14ac:dyDescent="0.25">
      <c r="A67" s="18">
        <v>38</v>
      </c>
      <c r="B67" s="18">
        <v>4.2300000000000003E-3</v>
      </c>
    </row>
    <row r="68" spans="1:2" x14ac:dyDescent="0.25">
      <c r="A68" s="18">
        <v>38.5</v>
      </c>
      <c r="B68" s="18">
        <v>4.1099999999999999E-3</v>
      </c>
    </row>
    <row r="69" spans="1:2" x14ac:dyDescent="0.25">
      <c r="A69" s="18">
        <v>39</v>
      </c>
      <c r="B69" s="18">
        <v>3.9300000000000003E-3</v>
      </c>
    </row>
    <row r="70" spans="1:2" x14ac:dyDescent="0.25">
      <c r="A70" s="18">
        <v>39.5</v>
      </c>
      <c r="B70" s="18">
        <v>3.8400000000000001E-3</v>
      </c>
    </row>
    <row r="71" spans="1:2" x14ac:dyDescent="0.25">
      <c r="A71" s="18">
        <v>40</v>
      </c>
      <c r="B71" s="18">
        <v>3.7100000000000002E-3</v>
      </c>
    </row>
    <row r="72" spans="1:2" x14ac:dyDescent="0.25">
      <c r="A72" s="18">
        <v>40.5</v>
      </c>
      <c r="B72" s="18">
        <v>3.6099999999999999E-3</v>
      </c>
    </row>
    <row r="73" spans="1:2" x14ac:dyDescent="0.25">
      <c r="A73" s="18">
        <v>41</v>
      </c>
      <c r="B73" s="18">
        <v>3.5300000000000002E-3</v>
      </c>
    </row>
    <row r="74" spans="1:2" x14ac:dyDescent="0.25">
      <c r="A74" s="18">
        <v>41.5</v>
      </c>
      <c r="B74" s="18">
        <v>3.4099999999999998E-3</v>
      </c>
    </row>
    <row r="75" spans="1:2" x14ac:dyDescent="0.25">
      <c r="A75" s="18">
        <v>42</v>
      </c>
      <c r="B75" s="18">
        <v>3.3600000000000001E-3</v>
      </c>
    </row>
    <row r="76" spans="1:2" x14ac:dyDescent="0.25">
      <c r="A76" s="18">
        <v>42.5</v>
      </c>
      <c r="B76" s="18">
        <v>3.2799999999999999E-3</v>
      </c>
    </row>
    <row r="77" spans="1:2" x14ac:dyDescent="0.25">
      <c r="A77" s="18">
        <v>43</v>
      </c>
      <c r="B77" s="18">
        <v>3.16E-3</v>
      </c>
    </row>
    <row r="78" spans="1:2" x14ac:dyDescent="0.25">
      <c r="A78" s="18">
        <v>43.5</v>
      </c>
      <c r="B78" s="18">
        <v>3.0699999999999998E-3</v>
      </c>
    </row>
    <row r="79" spans="1:2" x14ac:dyDescent="0.25">
      <c r="A79" s="18">
        <v>44</v>
      </c>
      <c r="B79" s="18">
        <v>3.0000000000000001E-3</v>
      </c>
    </row>
    <row r="80" spans="1:2" x14ac:dyDescent="0.25">
      <c r="A80" s="18">
        <v>44.5</v>
      </c>
      <c r="B80" s="18">
        <v>2.9099999999999998E-3</v>
      </c>
    </row>
    <row r="81" spans="1:2" x14ac:dyDescent="0.25">
      <c r="A81" s="18">
        <v>45</v>
      </c>
      <c r="B81" s="18">
        <v>2.8300000000000001E-3</v>
      </c>
    </row>
    <row r="82" spans="1:2" x14ac:dyDescent="0.25">
      <c r="A82" s="18">
        <v>45.5</v>
      </c>
      <c r="B82" s="18">
        <v>2.7499999999999998E-3</v>
      </c>
    </row>
    <row r="83" spans="1:2" x14ac:dyDescent="0.25">
      <c r="A83" s="18">
        <v>46</v>
      </c>
      <c r="B83" s="18">
        <v>2.6800000000000001E-3</v>
      </c>
    </row>
    <row r="84" spans="1:2" x14ac:dyDescent="0.25">
      <c r="A84" s="18">
        <v>46.5</v>
      </c>
      <c r="B84" s="18">
        <v>2.64E-3</v>
      </c>
    </row>
    <row r="85" spans="1:2" x14ac:dyDescent="0.25">
      <c r="A85" s="18">
        <v>47</v>
      </c>
      <c r="B85" s="18">
        <v>2.5500000000000002E-3</v>
      </c>
    </row>
    <row r="86" spans="1:2" x14ac:dyDescent="0.25">
      <c r="A86" s="18">
        <v>47.5</v>
      </c>
      <c r="B86" s="18">
        <v>2.5000000000000001E-3</v>
      </c>
    </row>
    <row r="87" spans="1:2" x14ac:dyDescent="0.25">
      <c r="A87" s="18">
        <v>48</v>
      </c>
      <c r="B87" s="18">
        <v>2.4099999999999998E-3</v>
      </c>
    </row>
    <row r="88" spans="1:2" x14ac:dyDescent="0.25">
      <c r="A88" s="18">
        <v>48.5</v>
      </c>
      <c r="B88" s="18">
        <v>2.3700000000000001E-3</v>
      </c>
    </row>
    <row r="89" spans="1:2" x14ac:dyDescent="0.25">
      <c r="A89" s="18">
        <v>49</v>
      </c>
      <c r="B89" s="18">
        <v>2.2899999999999999E-3</v>
      </c>
    </row>
    <row r="90" spans="1:2" x14ac:dyDescent="0.25">
      <c r="A90" s="18">
        <v>49.5</v>
      </c>
      <c r="B90" s="18">
        <v>2.2399999999999998E-3</v>
      </c>
    </row>
    <row r="91" spans="1:2" x14ac:dyDescent="0.25">
      <c r="A91" s="18">
        <v>50</v>
      </c>
      <c r="B91" s="18">
        <v>2.2100000000000002E-3</v>
      </c>
    </row>
    <row r="92" spans="1:2" x14ac:dyDescent="0.25">
      <c r="A92" s="18">
        <v>50.5</v>
      </c>
      <c r="B92" s="18">
        <v>2.1800000000000001E-3</v>
      </c>
    </row>
    <row r="93" spans="1:2" x14ac:dyDescent="0.25">
      <c r="A93" s="18">
        <v>51</v>
      </c>
      <c r="B93" s="18">
        <v>2.1199999999999999E-3</v>
      </c>
    </row>
    <row r="94" spans="1:2" x14ac:dyDescent="0.25">
      <c r="A94" s="18">
        <v>51.5</v>
      </c>
      <c r="B94" s="18">
        <v>2.0899999999999998E-3</v>
      </c>
    </row>
    <row r="95" spans="1:2" x14ac:dyDescent="0.25">
      <c r="A95" s="18">
        <v>52</v>
      </c>
      <c r="B95" s="18">
        <v>2.0300000000000001E-3</v>
      </c>
    </row>
    <row r="96" spans="1:2" x14ac:dyDescent="0.25">
      <c r="A96" s="18">
        <v>52.5</v>
      </c>
      <c r="B96" s="18">
        <v>2E-3</v>
      </c>
    </row>
    <row r="97" spans="1:2" x14ac:dyDescent="0.25">
      <c r="A97" s="18">
        <v>53</v>
      </c>
      <c r="B97" s="18">
        <v>1.9599999999999999E-3</v>
      </c>
    </row>
    <row r="98" spans="1:2" x14ac:dyDescent="0.25">
      <c r="A98" s="18">
        <v>53.5</v>
      </c>
      <c r="B98" s="18">
        <v>1.92E-3</v>
      </c>
    </row>
    <row r="99" spans="1:2" x14ac:dyDescent="0.25">
      <c r="A99" s="18">
        <v>54</v>
      </c>
      <c r="B99" s="18">
        <v>1.9E-3</v>
      </c>
    </row>
    <row r="100" spans="1:2" x14ac:dyDescent="0.25">
      <c r="A100" s="18">
        <v>54.5</v>
      </c>
      <c r="B100" s="18">
        <v>1.8699999999999999E-3</v>
      </c>
    </row>
    <row r="101" spans="1:2" x14ac:dyDescent="0.25">
      <c r="A101" s="18">
        <v>55</v>
      </c>
      <c r="B101" s="18">
        <v>1.83E-3</v>
      </c>
    </row>
    <row r="102" spans="1:2" x14ac:dyDescent="0.25">
      <c r="A102" s="18">
        <v>55.5</v>
      </c>
      <c r="B102" s="18">
        <v>1.8E-3</v>
      </c>
    </row>
    <row r="103" spans="1:2" x14ac:dyDescent="0.25">
      <c r="A103" s="18">
        <v>56</v>
      </c>
      <c r="B103" s="18">
        <v>1.8E-3</v>
      </c>
    </row>
    <row r="104" spans="1:2" x14ac:dyDescent="0.25">
      <c r="A104" s="18">
        <v>56.5</v>
      </c>
      <c r="B104" s="18">
        <v>1.75E-3</v>
      </c>
    </row>
    <row r="105" spans="1:2" x14ac:dyDescent="0.25">
      <c r="A105" s="18">
        <v>57</v>
      </c>
      <c r="B105" s="18">
        <v>1.7700000000000001E-3</v>
      </c>
    </row>
    <row r="106" spans="1:2" x14ac:dyDescent="0.25">
      <c r="A106" s="18">
        <v>57.5</v>
      </c>
      <c r="B106" s="18">
        <v>2.2399999999999998E-3</v>
      </c>
    </row>
    <row r="107" spans="1:2" x14ac:dyDescent="0.25">
      <c r="A107" s="18">
        <v>58</v>
      </c>
      <c r="B107" s="18">
        <v>6.5799999999999999E-3</v>
      </c>
    </row>
    <row r="108" spans="1:2" x14ac:dyDescent="0.25">
      <c r="A108" s="18">
        <v>58.5</v>
      </c>
      <c r="B108" s="18">
        <v>4.0600000000000002E-3</v>
      </c>
    </row>
    <row r="109" spans="1:2" x14ac:dyDescent="0.25">
      <c r="A109" s="18">
        <v>59</v>
      </c>
      <c r="B109" s="18">
        <v>4.3099999999999996E-3</v>
      </c>
    </row>
    <row r="110" spans="1:2" x14ac:dyDescent="0.25">
      <c r="A110" s="18">
        <v>59.5</v>
      </c>
      <c r="B110" s="18">
        <v>1.09E-2</v>
      </c>
    </row>
    <row r="111" spans="1:2" x14ac:dyDescent="0.25">
      <c r="A111" s="18">
        <v>60</v>
      </c>
      <c r="B111" s="18">
        <v>3.2000000000000002E-3</v>
      </c>
    </row>
    <row r="112" spans="1:2" x14ac:dyDescent="0.25">
      <c r="A112" s="18">
        <v>60.5</v>
      </c>
      <c r="B112" s="18">
        <v>1.5499999999999999E-3</v>
      </c>
    </row>
    <row r="113" spans="1:2" x14ac:dyDescent="0.25">
      <c r="A113" s="18">
        <v>61</v>
      </c>
      <c r="B113" s="18">
        <v>1.49E-3</v>
      </c>
    </row>
    <row r="114" spans="1:2" x14ac:dyDescent="0.25">
      <c r="A114" s="18">
        <v>61.5</v>
      </c>
      <c r="B114" s="18">
        <v>1.47E-3</v>
      </c>
    </row>
    <row r="115" spans="1:2" x14ac:dyDescent="0.25">
      <c r="A115" s="18">
        <v>62</v>
      </c>
      <c r="B115" s="18">
        <v>1.4300000000000001E-3</v>
      </c>
    </row>
    <row r="116" spans="1:2" x14ac:dyDescent="0.25">
      <c r="A116" s="18">
        <v>62.5</v>
      </c>
      <c r="B116" s="18">
        <v>1.4E-3</v>
      </c>
    </row>
    <row r="117" spans="1:2" x14ac:dyDescent="0.25">
      <c r="A117" s="18">
        <v>63</v>
      </c>
      <c r="B117" s="18">
        <v>1.41E-3</v>
      </c>
    </row>
    <row r="118" spans="1:2" x14ac:dyDescent="0.25">
      <c r="A118" s="18">
        <v>63.5</v>
      </c>
      <c r="B118" s="18">
        <v>1.41E-3</v>
      </c>
    </row>
    <row r="119" spans="1:2" x14ac:dyDescent="0.25">
      <c r="A119" s="18">
        <v>64</v>
      </c>
      <c r="B119" s="18">
        <v>1.33E-3</v>
      </c>
    </row>
    <row r="120" spans="1:2" x14ac:dyDescent="0.25">
      <c r="A120" s="18">
        <v>64.5</v>
      </c>
      <c r="B120" s="18">
        <v>1.3699999999999999E-3</v>
      </c>
    </row>
    <row r="121" spans="1:2" x14ac:dyDescent="0.25">
      <c r="A121" s="18">
        <v>65</v>
      </c>
      <c r="B121" s="18">
        <v>1.33E-3</v>
      </c>
    </row>
    <row r="122" spans="1:2" x14ac:dyDescent="0.25">
      <c r="A122" s="18">
        <v>65.5</v>
      </c>
      <c r="B122" s="18">
        <v>1.3500000000000001E-3</v>
      </c>
    </row>
    <row r="123" spans="1:2" x14ac:dyDescent="0.25">
      <c r="A123" s="18">
        <v>66</v>
      </c>
      <c r="B123" s="18">
        <v>1.32E-3</v>
      </c>
    </row>
    <row r="124" spans="1:2" x14ac:dyDescent="0.25">
      <c r="A124" s="18">
        <v>66.5</v>
      </c>
      <c r="B124" s="18">
        <v>1.48E-3</v>
      </c>
    </row>
    <row r="125" spans="1:2" x14ac:dyDescent="0.25">
      <c r="A125" s="18">
        <v>67</v>
      </c>
      <c r="B125" s="18">
        <v>3.3300000000000001E-3</v>
      </c>
    </row>
    <row r="126" spans="1:2" x14ac:dyDescent="0.25">
      <c r="A126" s="18">
        <v>67.5</v>
      </c>
      <c r="B126" s="18">
        <v>3.82E-3</v>
      </c>
    </row>
    <row r="127" spans="1:2" x14ac:dyDescent="0.25">
      <c r="A127" s="18">
        <v>68</v>
      </c>
      <c r="B127" s="18">
        <v>1.5399999999999999E-3</v>
      </c>
    </row>
    <row r="128" spans="1:2" x14ac:dyDescent="0.25">
      <c r="A128" s="18">
        <v>68.5</v>
      </c>
      <c r="B128" s="18">
        <v>1.2800000000000001E-3</v>
      </c>
    </row>
    <row r="129" spans="1:2" x14ac:dyDescent="0.25">
      <c r="A129" s="18">
        <v>69</v>
      </c>
      <c r="B129" s="18">
        <v>1.83E-3</v>
      </c>
    </row>
    <row r="130" spans="1:2" x14ac:dyDescent="0.25">
      <c r="A130" s="18">
        <v>69.5</v>
      </c>
      <c r="B130" s="18">
        <v>1.7799999999999999E-3</v>
      </c>
    </row>
    <row r="131" spans="1:2" x14ac:dyDescent="0.25">
      <c r="A131" s="18">
        <v>70</v>
      </c>
      <c r="B131" s="18">
        <v>1.1100000000000001E-3</v>
      </c>
    </row>
    <row r="132" spans="1:2" x14ac:dyDescent="0.25">
      <c r="A132" s="18">
        <v>70.5</v>
      </c>
      <c r="B132" s="18">
        <v>1.01E-3</v>
      </c>
    </row>
    <row r="133" spans="1:2" x14ac:dyDescent="0.25">
      <c r="A133" s="18">
        <v>71</v>
      </c>
      <c r="B133" s="18">
        <v>9.9700000000000006E-4</v>
      </c>
    </row>
    <row r="134" spans="1:2" x14ac:dyDescent="0.25">
      <c r="A134" s="18">
        <v>71.5</v>
      </c>
      <c r="B134" s="18">
        <v>9.9200000000000004E-4</v>
      </c>
    </row>
    <row r="135" spans="1:2" x14ac:dyDescent="0.25">
      <c r="A135" s="18">
        <v>72</v>
      </c>
      <c r="B135" s="18">
        <v>9.7099999999999997E-4</v>
      </c>
    </row>
    <row r="136" spans="1:2" x14ac:dyDescent="0.25">
      <c r="A136" s="18">
        <v>72.5</v>
      </c>
      <c r="B136" s="18">
        <v>9.7099999999999997E-4</v>
      </c>
    </row>
    <row r="137" spans="1:2" x14ac:dyDescent="0.25">
      <c r="A137" s="18">
        <v>73</v>
      </c>
      <c r="B137" s="18">
        <v>9.7199999999999999E-4</v>
      </c>
    </row>
    <row r="138" spans="1:2" x14ac:dyDescent="0.25">
      <c r="A138" s="18">
        <v>73.5</v>
      </c>
      <c r="B138" s="18">
        <v>9.59E-4</v>
      </c>
    </row>
    <row r="139" spans="1:2" x14ac:dyDescent="0.25">
      <c r="A139" s="18">
        <v>74</v>
      </c>
      <c r="B139" s="18">
        <v>9.4700000000000003E-4</v>
      </c>
    </row>
    <row r="140" spans="1:2" x14ac:dyDescent="0.25">
      <c r="A140" s="18">
        <v>74.5</v>
      </c>
      <c r="B140" s="18">
        <v>9.3899999999999995E-4</v>
      </c>
    </row>
    <row r="141" spans="1:2" x14ac:dyDescent="0.25">
      <c r="A141" s="18">
        <v>75</v>
      </c>
      <c r="B141" s="18">
        <v>9.4899999999999997E-4</v>
      </c>
    </row>
    <row r="142" spans="1:2" x14ac:dyDescent="0.25">
      <c r="A142" s="18">
        <v>75.5</v>
      </c>
      <c r="B142" s="18">
        <v>9.0600000000000001E-4</v>
      </c>
    </row>
    <row r="143" spans="1:2" x14ac:dyDescent="0.25">
      <c r="A143" s="18">
        <v>76</v>
      </c>
      <c r="B143" s="18">
        <v>9.0300000000000005E-4</v>
      </c>
    </row>
    <row r="144" spans="1:2" x14ac:dyDescent="0.25">
      <c r="A144" s="18">
        <v>76.5</v>
      </c>
      <c r="B144" s="18">
        <v>8.8500000000000004E-4</v>
      </c>
    </row>
    <row r="145" spans="1:2" x14ac:dyDescent="0.25">
      <c r="A145" s="18">
        <v>77</v>
      </c>
      <c r="B145" s="18">
        <v>8.8500000000000004E-4</v>
      </c>
    </row>
    <row r="146" spans="1:2" x14ac:dyDescent="0.25">
      <c r="A146" s="18">
        <v>77.5</v>
      </c>
      <c r="B146" s="18">
        <v>8.8800000000000001E-4</v>
      </c>
    </row>
    <row r="147" spans="1:2" x14ac:dyDescent="0.25">
      <c r="A147" s="18">
        <v>78</v>
      </c>
      <c r="B147" s="18">
        <v>8.5499999999999997E-4</v>
      </c>
    </row>
    <row r="148" spans="1:2" x14ac:dyDescent="0.25">
      <c r="A148" s="18">
        <v>78.5</v>
      </c>
      <c r="B148" s="18">
        <v>8.7000000000000001E-4</v>
      </c>
    </row>
    <row r="149" spans="1:2" x14ac:dyDescent="0.25">
      <c r="A149" s="18">
        <v>79</v>
      </c>
      <c r="B149" s="18">
        <v>8.5300000000000003E-4</v>
      </c>
    </row>
    <row r="150" spans="1:2" x14ac:dyDescent="0.25">
      <c r="A150" s="18">
        <v>79.5</v>
      </c>
      <c r="B150" s="18">
        <v>8.4800000000000001E-4</v>
      </c>
    </row>
    <row r="151" spans="1:2" x14ac:dyDescent="0.25">
      <c r="A151" s="18">
        <v>80</v>
      </c>
      <c r="B151" s="18">
        <v>8.43E-4</v>
      </c>
    </row>
    <row r="152" spans="1:2" x14ac:dyDescent="0.25">
      <c r="A152" s="18">
        <v>80.5</v>
      </c>
      <c r="B152" s="18">
        <v>8.4900000000000004E-4</v>
      </c>
    </row>
    <row r="153" spans="1:2" x14ac:dyDescent="0.25">
      <c r="A153" s="18">
        <v>81</v>
      </c>
      <c r="B153" s="18">
        <v>8.1899999999999996E-4</v>
      </c>
    </row>
    <row r="154" spans="1:2" x14ac:dyDescent="0.25">
      <c r="A154" s="18">
        <v>81.5</v>
      </c>
      <c r="B154" s="18">
        <v>8.2200000000000003E-4</v>
      </c>
    </row>
    <row r="155" spans="1:2" x14ac:dyDescent="0.25">
      <c r="A155" s="18">
        <v>82</v>
      </c>
      <c r="B155" s="18">
        <v>8.1999999999999998E-4</v>
      </c>
    </row>
    <row r="156" spans="1:2" x14ac:dyDescent="0.25">
      <c r="A156" s="18">
        <v>82.5</v>
      </c>
      <c r="B156" s="18">
        <v>8.0199999999999998E-4</v>
      </c>
    </row>
    <row r="157" spans="1:2" x14ac:dyDescent="0.25">
      <c r="A157" s="18">
        <v>83</v>
      </c>
      <c r="B157" s="18">
        <v>8.0199999999999998E-4</v>
      </c>
    </row>
    <row r="158" spans="1:2" x14ac:dyDescent="0.25">
      <c r="A158" s="18">
        <v>83.5</v>
      </c>
      <c r="B158" s="18">
        <v>8.0800000000000002E-4</v>
      </c>
    </row>
    <row r="159" spans="1:2" x14ac:dyDescent="0.25">
      <c r="A159" s="18">
        <v>84</v>
      </c>
      <c r="B159" s="18">
        <v>8.1800000000000004E-4</v>
      </c>
    </row>
    <row r="160" spans="1:2" x14ac:dyDescent="0.25">
      <c r="A160" s="18">
        <v>84.5</v>
      </c>
      <c r="B160" s="18">
        <v>7.9900000000000001E-4</v>
      </c>
    </row>
    <row r="161" spans="1:2" x14ac:dyDescent="0.25">
      <c r="A161" s="18">
        <v>85</v>
      </c>
      <c r="B161" s="18">
        <v>7.7700000000000002E-4</v>
      </c>
    </row>
    <row r="162" spans="1:2" x14ac:dyDescent="0.25">
      <c r="A162" s="18">
        <v>85.5</v>
      </c>
      <c r="B162" s="18">
        <v>7.6199999999999998E-4</v>
      </c>
    </row>
    <row r="163" spans="1:2" x14ac:dyDescent="0.25">
      <c r="A163" s="18">
        <v>86</v>
      </c>
      <c r="B163" s="18">
        <v>7.7200000000000001E-4</v>
      </c>
    </row>
    <row r="164" spans="1:2" x14ac:dyDescent="0.25">
      <c r="A164" s="18">
        <v>86.5</v>
      </c>
      <c r="B164" s="18">
        <v>7.6199999999999998E-4</v>
      </c>
    </row>
    <row r="165" spans="1:2" x14ac:dyDescent="0.25">
      <c r="A165" s="18">
        <v>87</v>
      </c>
      <c r="B165" s="18">
        <v>7.4200000000000004E-4</v>
      </c>
    </row>
    <row r="166" spans="1:2" x14ac:dyDescent="0.25">
      <c r="A166" s="18">
        <v>87.5</v>
      </c>
      <c r="B166" s="18">
        <v>7.6800000000000002E-4</v>
      </c>
    </row>
    <row r="167" spans="1:2" x14ac:dyDescent="0.25">
      <c r="A167" s="18">
        <v>88</v>
      </c>
      <c r="B167" s="18">
        <v>7.3800000000000005E-4</v>
      </c>
    </row>
    <row r="168" spans="1:2" x14ac:dyDescent="0.25">
      <c r="A168" s="18">
        <v>88.5</v>
      </c>
      <c r="B168" s="18">
        <v>7.1500000000000003E-4</v>
      </c>
    </row>
    <row r="169" spans="1:2" x14ac:dyDescent="0.25">
      <c r="A169" s="18">
        <v>89</v>
      </c>
      <c r="B169" s="18">
        <v>7.1100000000000004E-4</v>
      </c>
    </row>
    <row r="170" spans="1:2" x14ac:dyDescent="0.25">
      <c r="A170" s="18">
        <v>89.5</v>
      </c>
      <c r="B170" s="18">
        <v>7.2099999999999996E-4</v>
      </c>
    </row>
    <row r="171" spans="1:2" x14ac:dyDescent="0.25">
      <c r="A171" s="18">
        <v>90</v>
      </c>
      <c r="B171" s="18">
        <v>7.1699999999999997E-4</v>
      </c>
    </row>
    <row r="172" spans="1:2" x14ac:dyDescent="0.25">
      <c r="A172" s="18">
        <v>90.5</v>
      </c>
      <c r="B172" s="18">
        <v>7.0299999999999996E-4</v>
      </c>
    </row>
    <row r="173" spans="1:2" x14ac:dyDescent="0.25">
      <c r="A173" s="18">
        <v>91</v>
      </c>
      <c r="B173" s="18">
        <v>6.8800000000000003E-4</v>
      </c>
    </row>
    <row r="174" spans="1:2" x14ac:dyDescent="0.25">
      <c r="A174" s="18">
        <v>91.5</v>
      </c>
      <c r="B174" s="18">
        <v>6.9200000000000002E-4</v>
      </c>
    </row>
    <row r="175" spans="1:2" x14ac:dyDescent="0.25">
      <c r="A175" s="18">
        <v>92</v>
      </c>
      <c r="B175" s="18">
        <v>6.7599999999999995E-4</v>
      </c>
    </row>
    <row r="176" spans="1:2" x14ac:dyDescent="0.25">
      <c r="A176" s="18">
        <v>92.5</v>
      </c>
      <c r="B176" s="18">
        <v>6.6600000000000003E-4</v>
      </c>
    </row>
    <row r="177" spans="1:2" x14ac:dyDescent="0.25">
      <c r="A177" s="18">
        <v>93</v>
      </c>
      <c r="B177" s="18">
        <v>6.7299999999999999E-4</v>
      </c>
    </row>
    <row r="178" spans="1:2" x14ac:dyDescent="0.25">
      <c r="A178" s="18">
        <v>93.5</v>
      </c>
      <c r="B178" s="18">
        <v>6.6299999999999996E-4</v>
      </c>
    </row>
    <row r="179" spans="1:2" x14ac:dyDescent="0.25">
      <c r="A179" s="18">
        <v>94</v>
      </c>
      <c r="B179" s="18">
        <v>6.5099999999999999E-4</v>
      </c>
    </row>
    <row r="180" spans="1:2" x14ac:dyDescent="0.25">
      <c r="A180" s="18">
        <v>94.5</v>
      </c>
      <c r="B180" s="18">
        <v>6.4400000000000004E-4</v>
      </c>
    </row>
    <row r="181" spans="1:2" x14ac:dyDescent="0.25">
      <c r="A181" s="18">
        <v>95</v>
      </c>
      <c r="B181" s="18">
        <v>6.4800000000000003E-4</v>
      </c>
    </row>
    <row r="182" spans="1:2" x14ac:dyDescent="0.25">
      <c r="A182" s="18">
        <v>95.5</v>
      </c>
      <c r="B182" s="18">
        <v>6.4599999999999998E-4</v>
      </c>
    </row>
    <row r="183" spans="1:2" x14ac:dyDescent="0.25">
      <c r="A183" s="18">
        <v>96</v>
      </c>
      <c r="B183" s="18">
        <v>6.3199999999999997E-4</v>
      </c>
    </row>
    <row r="184" spans="1:2" x14ac:dyDescent="0.25">
      <c r="A184" s="18">
        <v>96.5</v>
      </c>
      <c r="B184" s="18">
        <v>6.4099999999999997E-4</v>
      </c>
    </row>
    <row r="185" spans="1:2" x14ac:dyDescent="0.25">
      <c r="A185" s="18">
        <v>97</v>
      </c>
      <c r="B185" s="18">
        <v>6.4300000000000002E-4</v>
      </c>
    </row>
    <row r="186" spans="1:2" x14ac:dyDescent="0.25">
      <c r="A186" s="18">
        <v>97.5</v>
      </c>
      <c r="B186" s="18">
        <v>6.1399999999999996E-4</v>
      </c>
    </row>
    <row r="187" spans="1:2" x14ac:dyDescent="0.25">
      <c r="A187" s="18">
        <v>98</v>
      </c>
      <c r="B187" s="18">
        <v>6.1300000000000005E-4</v>
      </c>
    </row>
    <row r="188" spans="1:2" x14ac:dyDescent="0.25">
      <c r="A188" s="18">
        <v>98.5</v>
      </c>
      <c r="B188" s="18">
        <v>5.9299999999999999E-4</v>
      </c>
    </row>
    <row r="189" spans="1:2" x14ac:dyDescent="0.25">
      <c r="A189" s="18">
        <v>99</v>
      </c>
      <c r="B189" s="18">
        <v>5.9500000000000004E-4</v>
      </c>
    </row>
    <row r="190" spans="1:2" x14ac:dyDescent="0.25">
      <c r="A190" s="18">
        <v>99.5</v>
      </c>
      <c r="B190" s="18">
        <v>6.0599999999999998E-4</v>
      </c>
    </row>
    <row r="191" spans="1:2" x14ac:dyDescent="0.25">
      <c r="A191" s="18">
        <v>100</v>
      </c>
      <c r="B191" s="18">
        <v>5.8799999999999998E-4</v>
      </c>
    </row>
    <row r="192" spans="1:2" x14ac:dyDescent="0.25">
      <c r="A192" s="18">
        <v>101</v>
      </c>
      <c r="B192" s="18">
        <v>5.8200000000000005E-4</v>
      </c>
    </row>
    <row r="193" spans="1:2" x14ac:dyDescent="0.25">
      <c r="A193" s="18">
        <v>101</v>
      </c>
      <c r="B193" s="18">
        <v>5.7200000000000003E-4</v>
      </c>
    </row>
    <row r="194" spans="1:2" x14ac:dyDescent="0.25">
      <c r="A194" s="18">
        <v>102</v>
      </c>
      <c r="B194" s="18">
        <v>5.6099999999999998E-4</v>
      </c>
    </row>
    <row r="195" spans="1:2" x14ac:dyDescent="0.25">
      <c r="A195" s="18">
        <v>102</v>
      </c>
      <c r="B195" s="18">
        <v>5.5900000000000004E-4</v>
      </c>
    </row>
    <row r="196" spans="1:2" x14ac:dyDescent="0.25">
      <c r="A196" s="18">
        <v>103</v>
      </c>
      <c r="B196" s="18">
        <v>5.7200000000000003E-4</v>
      </c>
    </row>
    <row r="197" spans="1:2" x14ac:dyDescent="0.25">
      <c r="A197" s="18">
        <v>103</v>
      </c>
      <c r="B197" s="18">
        <v>5.5400000000000002E-4</v>
      </c>
    </row>
    <row r="198" spans="1:2" x14ac:dyDescent="0.25">
      <c r="A198" s="18">
        <v>104</v>
      </c>
      <c r="B198" s="18">
        <v>5.5000000000000003E-4</v>
      </c>
    </row>
    <row r="199" spans="1:2" x14ac:dyDescent="0.25">
      <c r="A199" s="18">
        <v>104</v>
      </c>
      <c r="B199" s="18">
        <v>5.3399999999999997E-4</v>
      </c>
    </row>
    <row r="200" spans="1:2" x14ac:dyDescent="0.25">
      <c r="A200" s="18">
        <v>105</v>
      </c>
      <c r="B200" s="18">
        <v>5.3399999999999997E-4</v>
      </c>
    </row>
    <row r="201" spans="1:2" x14ac:dyDescent="0.25">
      <c r="A201" s="18">
        <v>105</v>
      </c>
      <c r="B201" s="18">
        <v>5.3899999999999998E-4</v>
      </c>
    </row>
    <row r="202" spans="1:2" x14ac:dyDescent="0.25">
      <c r="A202" s="18">
        <v>106</v>
      </c>
      <c r="B202" s="18">
        <v>5.1500000000000005E-4</v>
      </c>
    </row>
    <row r="203" spans="1:2" x14ac:dyDescent="0.25">
      <c r="A203" s="18">
        <v>106</v>
      </c>
      <c r="B203" s="18">
        <v>5.1099999999999995E-4</v>
      </c>
    </row>
    <row r="204" spans="1:2" x14ac:dyDescent="0.25">
      <c r="A204" s="18">
        <v>107</v>
      </c>
      <c r="B204" s="18">
        <v>5.0600000000000005E-4</v>
      </c>
    </row>
    <row r="205" spans="1:2" x14ac:dyDescent="0.25">
      <c r="A205" s="18">
        <v>107</v>
      </c>
      <c r="B205" s="18">
        <v>4.9700000000000005E-4</v>
      </c>
    </row>
    <row r="206" spans="1:2" x14ac:dyDescent="0.25">
      <c r="A206" s="18">
        <v>108</v>
      </c>
      <c r="B206" s="18">
        <v>4.9799999999999996E-4</v>
      </c>
    </row>
    <row r="207" spans="1:2" x14ac:dyDescent="0.25">
      <c r="A207" s="18">
        <v>108</v>
      </c>
      <c r="B207" s="18">
        <v>5.04E-4</v>
      </c>
    </row>
    <row r="208" spans="1:2" x14ac:dyDescent="0.25">
      <c r="A208" s="18">
        <v>109</v>
      </c>
      <c r="B208" s="18">
        <v>4.86E-4</v>
      </c>
    </row>
    <row r="209" spans="1:2" x14ac:dyDescent="0.25">
      <c r="A209" s="18">
        <v>109</v>
      </c>
      <c r="B209" s="18">
        <v>4.9200000000000003E-4</v>
      </c>
    </row>
    <row r="210" spans="1:2" x14ac:dyDescent="0.25">
      <c r="A210" s="18">
        <v>110</v>
      </c>
      <c r="B210" s="18">
        <v>5.0000000000000001E-4</v>
      </c>
    </row>
    <row r="211" spans="1:2" x14ac:dyDescent="0.25">
      <c r="A211" s="18">
        <v>110</v>
      </c>
      <c r="B211" s="18">
        <v>4.64E-4</v>
      </c>
    </row>
    <row r="212" spans="1:2" x14ac:dyDescent="0.25">
      <c r="A212" s="18">
        <v>111</v>
      </c>
      <c r="B212" s="18">
        <v>4.5800000000000002E-4</v>
      </c>
    </row>
    <row r="213" spans="1:2" x14ac:dyDescent="0.25">
      <c r="A213" s="18">
        <v>111</v>
      </c>
      <c r="B213" s="18">
        <v>4.5300000000000001E-4</v>
      </c>
    </row>
    <row r="214" spans="1:2" x14ac:dyDescent="0.25">
      <c r="A214" s="18">
        <v>112</v>
      </c>
      <c r="B214" s="18">
        <v>4.5100000000000001E-4</v>
      </c>
    </row>
    <row r="215" spans="1:2" x14ac:dyDescent="0.25">
      <c r="A215" s="18">
        <v>112</v>
      </c>
      <c r="B215" s="18">
        <v>4.4700000000000002E-4</v>
      </c>
    </row>
    <row r="216" spans="1:2" x14ac:dyDescent="0.25">
      <c r="A216" s="18">
        <v>113</v>
      </c>
      <c r="B216" s="18">
        <v>4.3899999999999999E-4</v>
      </c>
    </row>
    <row r="217" spans="1:2" x14ac:dyDescent="0.25">
      <c r="A217" s="18">
        <v>113</v>
      </c>
      <c r="B217" s="18">
        <v>4.2700000000000002E-4</v>
      </c>
    </row>
    <row r="218" spans="1:2" x14ac:dyDescent="0.25">
      <c r="A218" s="18">
        <v>114</v>
      </c>
      <c r="B218" s="18">
        <v>4.3300000000000001E-4</v>
      </c>
    </row>
    <row r="219" spans="1:2" x14ac:dyDescent="0.25">
      <c r="A219" s="18">
        <v>114</v>
      </c>
      <c r="B219" s="18">
        <v>4.2000000000000002E-4</v>
      </c>
    </row>
    <row r="220" spans="1:2" x14ac:dyDescent="0.25">
      <c r="A220" s="18">
        <v>115</v>
      </c>
      <c r="B220" s="18">
        <v>4.2400000000000001E-4</v>
      </c>
    </row>
    <row r="221" spans="1:2" x14ac:dyDescent="0.25">
      <c r="A221" s="18">
        <v>115</v>
      </c>
      <c r="B221" s="18">
        <v>4.1199999999999999E-4</v>
      </c>
    </row>
    <row r="222" spans="1:2" x14ac:dyDescent="0.25">
      <c r="A222" s="18">
        <v>116</v>
      </c>
      <c r="B222" s="18">
        <v>4.17E-4</v>
      </c>
    </row>
    <row r="223" spans="1:2" x14ac:dyDescent="0.25">
      <c r="A223" s="18">
        <v>116</v>
      </c>
      <c r="B223" s="18">
        <v>4.1100000000000002E-4</v>
      </c>
    </row>
    <row r="224" spans="1:2" x14ac:dyDescent="0.25">
      <c r="A224" s="18">
        <v>117</v>
      </c>
      <c r="B224" s="18">
        <v>3.97E-4</v>
      </c>
    </row>
    <row r="225" spans="1:2" x14ac:dyDescent="0.25">
      <c r="A225" s="18">
        <v>117</v>
      </c>
      <c r="B225" s="18">
        <v>3.8699999999999997E-4</v>
      </c>
    </row>
    <row r="226" spans="1:2" x14ac:dyDescent="0.25">
      <c r="A226" s="18">
        <v>118</v>
      </c>
      <c r="B226" s="18">
        <v>3.8000000000000002E-4</v>
      </c>
    </row>
    <row r="227" spans="1:2" x14ac:dyDescent="0.25">
      <c r="A227" s="18">
        <v>118</v>
      </c>
      <c r="B227" s="18">
        <v>3.8699999999999997E-4</v>
      </c>
    </row>
    <row r="228" spans="1:2" x14ac:dyDescent="0.25">
      <c r="A228" s="18">
        <v>119</v>
      </c>
      <c r="B228" s="18">
        <v>3.6400000000000001E-4</v>
      </c>
    </row>
    <row r="229" spans="1:2" x14ac:dyDescent="0.25">
      <c r="A229" s="18">
        <v>119</v>
      </c>
      <c r="B229" s="18">
        <v>3.6499999999999998E-4</v>
      </c>
    </row>
    <row r="230" spans="1:2" x14ac:dyDescent="0.25">
      <c r="A230" s="18">
        <v>120</v>
      </c>
      <c r="B230" s="18">
        <v>3.4699999999999998E-4</v>
      </c>
    </row>
    <row r="231" spans="1:2" x14ac:dyDescent="0.25">
      <c r="A231" s="18">
        <v>120</v>
      </c>
      <c r="B231" s="18">
        <v>3.5100000000000002E-4</v>
      </c>
    </row>
    <row r="232" spans="1:2" x14ac:dyDescent="0.25">
      <c r="A232" s="18">
        <v>121</v>
      </c>
      <c r="B232" s="18">
        <v>3.2600000000000001E-4</v>
      </c>
    </row>
    <row r="233" spans="1:2" x14ac:dyDescent="0.25">
      <c r="A233" s="18">
        <v>121</v>
      </c>
      <c r="B233" s="18">
        <v>3.4699999999999998E-4</v>
      </c>
    </row>
    <row r="234" spans="1:2" x14ac:dyDescent="0.25">
      <c r="A234" s="18">
        <v>122</v>
      </c>
      <c r="B234" s="18">
        <v>3.1799999999999998E-4</v>
      </c>
    </row>
    <row r="235" spans="1:2" x14ac:dyDescent="0.25">
      <c r="A235" s="18">
        <v>122</v>
      </c>
      <c r="B235" s="18">
        <v>3.3300000000000002E-4</v>
      </c>
    </row>
    <row r="236" spans="1:2" x14ac:dyDescent="0.25">
      <c r="A236" s="18">
        <v>123</v>
      </c>
      <c r="B236" s="18">
        <v>3.1100000000000002E-4</v>
      </c>
    </row>
    <row r="237" spans="1:2" x14ac:dyDescent="0.25">
      <c r="A237" s="18">
        <v>123</v>
      </c>
      <c r="B237" s="18">
        <v>3.0499999999999999E-4</v>
      </c>
    </row>
    <row r="238" spans="1:2" x14ac:dyDescent="0.25">
      <c r="A238" s="18">
        <v>124</v>
      </c>
      <c r="B238" s="18">
        <v>3.0299999999999999E-4</v>
      </c>
    </row>
    <row r="239" spans="1:2" x14ac:dyDescent="0.25">
      <c r="A239" s="18">
        <v>124</v>
      </c>
      <c r="B239" s="18">
        <v>2.92E-4</v>
      </c>
    </row>
    <row r="240" spans="1:2" x14ac:dyDescent="0.25">
      <c r="A240" s="18">
        <v>125</v>
      </c>
      <c r="B240" s="18">
        <v>2.8299999999999999E-4</v>
      </c>
    </row>
    <row r="241" spans="1:2" x14ac:dyDescent="0.25">
      <c r="A241" s="18">
        <v>125</v>
      </c>
      <c r="B241" s="18">
        <v>2.7099999999999997E-4</v>
      </c>
    </row>
    <row r="242" spans="1:2" x14ac:dyDescent="0.25">
      <c r="A242" s="18">
        <v>126</v>
      </c>
      <c r="B242" s="18">
        <v>2.6400000000000002E-4</v>
      </c>
    </row>
    <row r="243" spans="1:2" x14ac:dyDescent="0.25">
      <c r="A243" s="18">
        <v>126</v>
      </c>
      <c r="B243" s="18">
        <v>2.6600000000000001E-4</v>
      </c>
    </row>
    <row r="244" spans="1:2" x14ac:dyDescent="0.25">
      <c r="A244" s="18">
        <v>127</v>
      </c>
      <c r="B244" s="18">
        <v>2.5700000000000001E-4</v>
      </c>
    </row>
    <row r="245" spans="1:2" x14ac:dyDescent="0.25">
      <c r="A245" s="18">
        <v>127</v>
      </c>
      <c r="B245" s="18">
        <v>2.42E-4</v>
      </c>
    </row>
    <row r="246" spans="1:2" x14ac:dyDescent="0.25">
      <c r="A246" s="18">
        <v>128</v>
      </c>
      <c r="B246" s="18">
        <v>2.5500000000000002E-4</v>
      </c>
    </row>
    <row r="247" spans="1:2" x14ac:dyDescent="0.25">
      <c r="A247" s="18">
        <v>128</v>
      </c>
      <c r="B247" s="18">
        <v>2.2699999999999999E-4</v>
      </c>
    </row>
    <row r="248" spans="1:2" x14ac:dyDescent="0.25">
      <c r="A248" s="18">
        <v>129</v>
      </c>
      <c r="B248" s="18">
        <v>2.1900000000000001E-4</v>
      </c>
    </row>
    <row r="249" spans="1:2" x14ac:dyDescent="0.25">
      <c r="A249" s="18">
        <v>129</v>
      </c>
      <c r="B249" s="18">
        <v>2.1699999999999999E-4</v>
      </c>
    </row>
    <row r="250" spans="1:2" x14ac:dyDescent="0.25">
      <c r="A250" s="18">
        <v>130</v>
      </c>
      <c r="B250" s="18">
        <v>1.93E-4</v>
      </c>
    </row>
    <row r="251" spans="1:2" x14ac:dyDescent="0.25">
      <c r="A251" s="18">
        <v>130</v>
      </c>
      <c r="B251" s="18">
        <v>1.9100000000000001E-4</v>
      </c>
    </row>
    <row r="252" spans="1:2" x14ac:dyDescent="0.25">
      <c r="A252" s="18">
        <v>131</v>
      </c>
      <c r="B252" s="18">
        <v>1.8599999999999999E-4</v>
      </c>
    </row>
    <row r="253" spans="1:2" x14ac:dyDescent="0.25">
      <c r="A253" s="18">
        <v>131</v>
      </c>
      <c r="B253" s="18">
        <v>1.83E-4</v>
      </c>
    </row>
    <row r="254" spans="1:2" x14ac:dyDescent="0.25">
      <c r="A254" s="18">
        <v>132</v>
      </c>
      <c r="B254" s="18">
        <v>1.7200000000000001E-4</v>
      </c>
    </row>
    <row r="255" spans="1:2" x14ac:dyDescent="0.25">
      <c r="A255" s="18">
        <v>132</v>
      </c>
      <c r="B255" s="18">
        <v>1.7200000000000001E-4</v>
      </c>
    </row>
    <row r="256" spans="1:2" x14ac:dyDescent="0.25">
      <c r="A256" s="18">
        <v>133</v>
      </c>
      <c r="B256" s="18">
        <v>1.6200000000000001E-4</v>
      </c>
    </row>
    <row r="257" spans="1:2" x14ac:dyDescent="0.25">
      <c r="A257" s="18">
        <v>133</v>
      </c>
      <c r="B257" s="18">
        <v>1.4300000000000001E-4</v>
      </c>
    </row>
    <row r="258" spans="1:2" x14ac:dyDescent="0.25">
      <c r="A258" s="18">
        <v>134</v>
      </c>
      <c r="B258" s="18">
        <v>1.37E-4</v>
      </c>
    </row>
    <row r="259" spans="1:2" x14ac:dyDescent="0.25">
      <c r="A259" s="18">
        <v>134</v>
      </c>
      <c r="B259" s="18">
        <v>1.34E-4</v>
      </c>
    </row>
    <row r="260" spans="1:2" x14ac:dyDescent="0.25">
      <c r="A260" s="18">
        <v>135</v>
      </c>
      <c r="B260" s="18">
        <v>1.18E-4</v>
      </c>
    </row>
    <row r="261" spans="1:2" x14ac:dyDescent="0.25">
      <c r="A261" s="18">
        <v>135</v>
      </c>
      <c r="B261" s="18">
        <v>1.22E-4</v>
      </c>
    </row>
    <row r="262" spans="1:2" x14ac:dyDescent="0.25">
      <c r="A262" s="18">
        <v>136</v>
      </c>
      <c r="B262" s="18">
        <v>1.07E-4</v>
      </c>
    </row>
    <row r="263" spans="1:2" x14ac:dyDescent="0.25">
      <c r="A263" s="18">
        <v>136</v>
      </c>
      <c r="B263" s="18">
        <v>1.01E-4</v>
      </c>
    </row>
    <row r="264" spans="1:2" x14ac:dyDescent="0.25">
      <c r="A264" s="18">
        <v>137</v>
      </c>
      <c r="B264" s="18">
        <v>8.6199999999999995E-5</v>
      </c>
    </row>
    <row r="265" spans="1:2" x14ac:dyDescent="0.25">
      <c r="A265" s="18">
        <v>137</v>
      </c>
      <c r="B265" s="18">
        <v>6.3600000000000001E-5</v>
      </c>
    </row>
    <row r="266" spans="1:2" x14ac:dyDescent="0.25">
      <c r="A266" s="18">
        <v>138</v>
      </c>
      <c r="B266" s="18">
        <v>6.5199999999999999E-5</v>
      </c>
    </row>
    <row r="267" spans="1:2" x14ac:dyDescent="0.25">
      <c r="A267" s="18">
        <v>138</v>
      </c>
      <c r="B267" s="18">
        <v>5.77E-5</v>
      </c>
    </row>
    <row r="268" spans="1:2" x14ac:dyDescent="0.25">
      <c r="A268" s="18">
        <v>139</v>
      </c>
      <c r="B268" s="18">
        <v>4.2899999999999999E-5</v>
      </c>
    </row>
    <row r="269" spans="1:2" x14ac:dyDescent="0.25">
      <c r="A269" s="18">
        <v>139</v>
      </c>
      <c r="B269" s="18">
        <v>3.9100000000000002E-5</v>
      </c>
    </row>
    <row r="270" spans="1:2" x14ac:dyDescent="0.25">
      <c r="A270" s="18">
        <v>140</v>
      </c>
      <c r="B270" s="18">
        <v>1.8199999999999999E-5</v>
      </c>
    </row>
    <row r="271" spans="1:2" x14ac:dyDescent="0.25">
      <c r="A271" s="18">
        <v>140</v>
      </c>
      <c r="B271" s="18">
        <v>1.08E-5</v>
      </c>
    </row>
    <row r="272" spans="1:2" x14ac:dyDescent="0.25">
      <c r="A272" s="18">
        <v>141</v>
      </c>
      <c r="B272" s="18">
        <v>3.9400000000000004E-6</v>
      </c>
    </row>
    <row r="273" spans="1:2" x14ac:dyDescent="0.25">
      <c r="A273" s="18">
        <v>141</v>
      </c>
      <c r="B273" s="18">
        <v>4.6500000000000004E-6</v>
      </c>
    </row>
    <row r="274" spans="1:2" x14ac:dyDescent="0.25">
      <c r="A274" s="18">
        <v>142</v>
      </c>
      <c r="B274" s="18">
        <v>5.2499999999999997E-6</v>
      </c>
    </row>
    <row r="275" spans="1:2" x14ac:dyDescent="0.25">
      <c r="A275" s="18">
        <v>142</v>
      </c>
      <c r="B275" s="18">
        <v>2.8700000000000001E-6</v>
      </c>
    </row>
  </sheetData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1:B149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2.3900000000000002E-3</v>
      </c>
    </row>
    <row r="3" spans="1:2" x14ac:dyDescent="0.25">
      <c r="A3" s="18">
        <v>6</v>
      </c>
      <c r="B3" s="18">
        <v>2.4399999999999999E-3</v>
      </c>
    </row>
    <row r="4" spans="1:2" x14ac:dyDescent="0.25">
      <c r="A4" s="18">
        <v>7</v>
      </c>
      <c r="B4" s="18">
        <v>1.42E-3</v>
      </c>
    </row>
    <row r="5" spans="1:2" x14ac:dyDescent="0.25">
      <c r="A5" s="18">
        <v>8</v>
      </c>
      <c r="B5" s="18">
        <v>2.1700000000000001E-2</v>
      </c>
    </row>
    <row r="6" spans="1:2" x14ac:dyDescent="0.25">
      <c r="A6" s="18">
        <v>9</v>
      </c>
      <c r="B6" s="18">
        <v>3.5099999999999999E-2</v>
      </c>
    </row>
    <row r="7" spans="1:2" x14ac:dyDescent="0.25">
      <c r="A7" s="18">
        <v>10</v>
      </c>
      <c r="B7" s="18">
        <v>0.13</v>
      </c>
    </row>
    <row r="8" spans="1:2" x14ac:dyDescent="0.25">
      <c r="A8" s="18">
        <v>11</v>
      </c>
      <c r="B8" s="18">
        <v>2.5000000000000001E-2</v>
      </c>
    </row>
    <row r="9" spans="1:2" x14ac:dyDescent="0.25">
      <c r="A9" s="18">
        <v>12</v>
      </c>
      <c r="B9" s="18">
        <v>2.86E-2</v>
      </c>
    </row>
    <row r="10" spans="1:2" x14ac:dyDescent="0.25">
      <c r="A10" s="18">
        <v>13</v>
      </c>
      <c r="B10" s="18">
        <v>1.9300000000000001E-2</v>
      </c>
    </row>
    <row r="11" spans="1:2" x14ac:dyDescent="0.25">
      <c r="A11" s="18">
        <v>14</v>
      </c>
      <c r="B11" s="18">
        <v>2.1899999999999999E-2</v>
      </c>
    </row>
    <row r="12" spans="1:2" x14ac:dyDescent="0.25">
      <c r="A12" s="18">
        <v>15</v>
      </c>
      <c r="B12" s="18">
        <v>2.41E-2</v>
      </c>
    </row>
    <row r="13" spans="1:2" x14ac:dyDescent="0.25">
      <c r="A13" s="18">
        <v>16</v>
      </c>
      <c r="B13" s="18">
        <v>2.5999999999999999E-2</v>
      </c>
    </row>
    <row r="14" spans="1:2" x14ac:dyDescent="0.25">
      <c r="A14" s="18">
        <v>17</v>
      </c>
      <c r="B14" s="18">
        <v>2.69E-2</v>
      </c>
    </row>
    <row r="15" spans="1:2" x14ac:dyDescent="0.25">
      <c r="A15" s="18">
        <v>18</v>
      </c>
      <c r="B15" s="18">
        <v>2.7300000000000001E-2</v>
      </c>
    </row>
    <row r="16" spans="1:2" x14ac:dyDescent="0.25">
      <c r="A16" s="18">
        <v>19</v>
      </c>
      <c r="B16" s="18">
        <v>2.6700000000000002E-2</v>
      </c>
    </row>
    <row r="17" spans="1:2" x14ac:dyDescent="0.25">
      <c r="A17" s="18">
        <v>20</v>
      </c>
      <c r="B17" s="18">
        <v>2.6200000000000001E-2</v>
      </c>
    </row>
    <row r="18" spans="1:2" x14ac:dyDescent="0.25">
      <c r="A18" s="18">
        <v>21</v>
      </c>
      <c r="B18" s="18">
        <v>2.5700000000000001E-2</v>
      </c>
    </row>
    <row r="19" spans="1:2" x14ac:dyDescent="0.25">
      <c r="A19" s="18">
        <v>22</v>
      </c>
      <c r="B19" s="18">
        <v>2.5100000000000001E-2</v>
      </c>
    </row>
    <row r="20" spans="1:2" x14ac:dyDescent="0.25">
      <c r="A20" s="18">
        <v>23</v>
      </c>
      <c r="B20" s="18">
        <v>2.3400000000000001E-2</v>
      </c>
    </row>
    <row r="21" spans="1:2" x14ac:dyDescent="0.25">
      <c r="A21" s="18">
        <v>24</v>
      </c>
      <c r="B21" s="18">
        <v>2.23E-2</v>
      </c>
    </row>
    <row r="22" spans="1:2" x14ac:dyDescent="0.25">
      <c r="A22" s="18">
        <v>25</v>
      </c>
      <c r="B22" s="18">
        <v>2.0899999999999998E-2</v>
      </c>
    </row>
    <row r="23" spans="1:2" x14ac:dyDescent="0.25">
      <c r="A23" s="18">
        <v>26</v>
      </c>
      <c r="B23" s="18">
        <v>1.9699999999999999E-2</v>
      </c>
    </row>
    <row r="24" spans="1:2" x14ac:dyDescent="0.25">
      <c r="A24" s="18">
        <v>27</v>
      </c>
      <c r="B24" s="18">
        <v>1.84E-2</v>
      </c>
    </row>
    <row r="25" spans="1:2" x14ac:dyDescent="0.25">
      <c r="A25" s="18">
        <v>28</v>
      </c>
      <c r="B25" s="18">
        <v>1.72E-2</v>
      </c>
    </row>
    <row r="26" spans="1:2" x14ac:dyDescent="0.25">
      <c r="A26" s="18">
        <v>29</v>
      </c>
      <c r="B26" s="18">
        <v>1.61E-2</v>
      </c>
    </row>
    <row r="27" spans="1:2" x14ac:dyDescent="0.25">
      <c r="A27" s="18">
        <v>30</v>
      </c>
      <c r="B27" s="18">
        <v>1.4800000000000001E-2</v>
      </c>
    </row>
    <row r="28" spans="1:2" x14ac:dyDescent="0.25">
      <c r="A28" s="18">
        <v>31</v>
      </c>
      <c r="B28" s="18">
        <v>1.3899999999999999E-2</v>
      </c>
    </row>
    <row r="29" spans="1:2" x14ac:dyDescent="0.25">
      <c r="A29" s="18">
        <v>32</v>
      </c>
      <c r="B29" s="18">
        <v>1.2999999999999999E-2</v>
      </c>
    </row>
    <row r="30" spans="1:2" x14ac:dyDescent="0.25">
      <c r="A30" s="18">
        <v>33</v>
      </c>
      <c r="B30" s="18">
        <v>1.2200000000000001E-2</v>
      </c>
    </row>
    <row r="31" spans="1:2" x14ac:dyDescent="0.25">
      <c r="A31" s="18">
        <v>34</v>
      </c>
      <c r="B31" s="18">
        <v>1.15E-2</v>
      </c>
    </row>
    <row r="32" spans="1:2" x14ac:dyDescent="0.25">
      <c r="A32" s="18">
        <v>35</v>
      </c>
      <c r="B32" s="18">
        <v>1.0800000000000001E-2</v>
      </c>
    </row>
    <row r="33" spans="1:2" x14ac:dyDescent="0.25">
      <c r="A33" s="18">
        <v>36</v>
      </c>
      <c r="B33" s="18">
        <v>9.9500000000000005E-3</v>
      </c>
    </row>
    <row r="34" spans="1:2" x14ac:dyDescent="0.25">
      <c r="A34" s="18">
        <v>37</v>
      </c>
      <c r="B34" s="18">
        <v>9.3900000000000008E-3</v>
      </c>
    </row>
    <row r="35" spans="1:2" x14ac:dyDescent="0.25">
      <c r="A35" s="18">
        <v>38</v>
      </c>
      <c r="B35" s="18">
        <v>8.7600000000000004E-3</v>
      </c>
    </row>
    <row r="36" spans="1:2" x14ac:dyDescent="0.25">
      <c r="A36" s="18">
        <v>39</v>
      </c>
      <c r="B36" s="18">
        <v>8.2400000000000008E-3</v>
      </c>
    </row>
    <row r="37" spans="1:2" x14ac:dyDescent="0.25">
      <c r="A37" s="18">
        <v>40</v>
      </c>
      <c r="B37" s="18">
        <v>7.7099999999999998E-3</v>
      </c>
    </row>
    <row r="38" spans="1:2" x14ac:dyDescent="0.25">
      <c r="A38" s="18">
        <v>41</v>
      </c>
      <c r="B38" s="18">
        <v>7.26E-3</v>
      </c>
    </row>
    <row r="39" spans="1:2" x14ac:dyDescent="0.25">
      <c r="A39" s="18">
        <v>42</v>
      </c>
      <c r="B39" s="18">
        <v>6.9100000000000003E-3</v>
      </c>
    </row>
    <row r="40" spans="1:2" x14ac:dyDescent="0.25">
      <c r="A40" s="18">
        <v>43</v>
      </c>
      <c r="B40" s="18">
        <v>6.5799999999999999E-3</v>
      </c>
    </row>
    <row r="41" spans="1:2" x14ac:dyDescent="0.25">
      <c r="A41" s="18">
        <v>44</v>
      </c>
      <c r="B41" s="18">
        <v>6.2100000000000002E-3</v>
      </c>
    </row>
    <row r="42" spans="1:2" x14ac:dyDescent="0.25">
      <c r="A42" s="18">
        <v>45</v>
      </c>
      <c r="B42" s="18">
        <v>5.8999999999999999E-3</v>
      </c>
    </row>
    <row r="43" spans="1:2" x14ac:dyDescent="0.25">
      <c r="A43" s="18">
        <v>46</v>
      </c>
      <c r="B43" s="18">
        <v>5.64E-3</v>
      </c>
    </row>
    <row r="44" spans="1:2" x14ac:dyDescent="0.25">
      <c r="A44" s="18">
        <v>47</v>
      </c>
      <c r="B44" s="18">
        <v>5.3200000000000001E-3</v>
      </c>
    </row>
    <row r="45" spans="1:2" x14ac:dyDescent="0.25">
      <c r="A45" s="18">
        <v>48</v>
      </c>
      <c r="B45" s="18">
        <v>5.1200000000000004E-3</v>
      </c>
    </row>
    <row r="46" spans="1:2" x14ac:dyDescent="0.25">
      <c r="A46" s="18">
        <v>49</v>
      </c>
      <c r="B46" s="18">
        <v>4.81E-3</v>
      </c>
    </row>
    <row r="47" spans="1:2" x14ac:dyDescent="0.25">
      <c r="A47" s="18">
        <v>50</v>
      </c>
      <c r="B47" s="18">
        <v>4.6100000000000004E-3</v>
      </c>
    </row>
    <row r="48" spans="1:2" x14ac:dyDescent="0.25">
      <c r="A48" s="18">
        <v>51</v>
      </c>
      <c r="B48" s="18">
        <v>4.4000000000000003E-3</v>
      </c>
    </row>
    <row r="49" spans="1:2" x14ac:dyDescent="0.25">
      <c r="A49" s="18">
        <v>52</v>
      </c>
      <c r="B49" s="18">
        <v>4.3099999999999996E-3</v>
      </c>
    </row>
    <row r="50" spans="1:2" x14ac:dyDescent="0.25">
      <c r="A50" s="18">
        <v>53</v>
      </c>
      <c r="B50" s="18">
        <v>4.15E-3</v>
      </c>
    </row>
    <row r="51" spans="1:2" x14ac:dyDescent="0.25">
      <c r="A51" s="18">
        <v>54</v>
      </c>
      <c r="B51" s="18">
        <v>3.96E-3</v>
      </c>
    </row>
    <row r="52" spans="1:2" x14ac:dyDescent="0.25">
      <c r="A52" s="18">
        <v>55</v>
      </c>
      <c r="B52" s="18">
        <v>3.8700000000000002E-3</v>
      </c>
    </row>
    <row r="53" spans="1:2" x14ac:dyDescent="0.25">
      <c r="A53" s="18">
        <v>56</v>
      </c>
      <c r="B53" s="18">
        <v>3.7299999999999998E-3</v>
      </c>
    </row>
    <row r="54" spans="1:2" x14ac:dyDescent="0.25">
      <c r="A54" s="18">
        <v>57</v>
      </c>
      <c r="B54" s="18">
        <v>3.79E-3</v>
      </c>
    </row>
    <row r="55" spans="1:2" x14ac:dyDescent="0.25">
      <c r="A55" s="18">
        <v>58</v>
      </c>
      <c r="B55" s="18">
        <v>1.2E-2</v>
      </c>
    </row>
    <row r="56" spans="1:2" x14ac:dyDescent="0.25">
      <c r="A56" s="18">
        <v>59</v>
      </c>
      <c r="B56" s="18">
        <v>1.2999999999999999E-2</v>
      </c>
    </row>
    <row r="57" spans="1:2" x14ac:dyDescent="0.25">
      <c r="A57" s="18">
        <v>60</v>
      </c>
      <c r="B57" s="18">
        <v>1.03E-2</v>
      </c>
    </row>
    <row r="58" spans="1:2" x14ac:dyDescent="0.25">
      <c r="A58" s="18">
        <v>61</v>
      </c>
      <c r="B58" s="18">
        <v>3.15E-3</v>
      </c>
    </row>
    <row r="59" spans="1:2" x14ac:dyDescent="0.25">
      <c r="A59" s="18">
        <v>62</v>
      </c>
      <c r="B59" s="18">
        <v>3.0599999999999998E-3</v>
      </c>
    </row>
    <row r="60" spans="1:2" x14ac:dyDescent="0.25">
      <c r="A60" s="18">
        <v>63</v>
      </c>
      <c r="B60" s="18">
        <v>2.97E-3</v>
      </c>
    </row>
    <row r="61" spans="1:2" x14ac:dyDescent="0.25">
      <c r="A61" s="18">
        <v>64</v>
      </c>
      <c r="B61" s="18">
        <v>2.9099999999999998E-3</v>
      </c>
    </row>
    <row r="62" spans="1:2" x14ac:dyDescent="0.25">
      <c r="A62" s="18">
        <v>65</v>
      </c>
      <c r="B62" s="18">
        <v>2.8600000000000001E-3</v>
      </c>
    </row>
    <row r="63" spans="1:2" x14ac:dyDescent="0.25">
      <c r="A63" s="18">
        <v>66</v>
      </c>
      <c r="B63" s="18">
        <v>2.8700000000000002E-3</v>
      </c>
    </row>
    <row r="64" spans="1:2" x14ac:dyDescent="0.25">
      <c r="A64" s="18">
        <v>67</v>
      </c>
      <c r="B64" s="18">
        <v>7.1300000000000001E-3</v>
      </c>
    </row>
    <row r="65" spans="1:2" x14ac:dyDescent="0.25">
      <c r="A65" s="18">
        <v>68</v>
      </c>
      <c r="B65" s="18">
        <v>4.1399999999999996E-3</v>
      </c>
    </row>
    <row r="66" spans="1:2" x14ac:dyDescent="0.25">
      <c r="A66" s="18">
        <v>69</v>
      </c>
      <c r="B66" s="18">
        <v>3.8500000000000001E-3</v>
      </c>
    </row>
    <row r="67" spans="1:2" x14ac:dyDescent="0.25">
      <c r="A67" s="18">
        <v>70</v>
      </c>
      <c r="B67" s="18">
        <v>2.5600000000000002E-3</v>
      </c>
    </row>
    <row r="68" spans="1:2" x14ac:dyDescent="0.25">
      <c r="A68" s="18">
        <v>71</v>
      </c>
      <c r="B68" s="18">
        <v>2.1199999999999999E-3</v>
      </c>
    </row>
    <row r="69" spans="1:2" x14ac:dyDescent="0.25">
      <c r="A69" s="18">
        <v>72</v>
      </c>
      <c r="B69" s="18">
        <v>2.0600000000000002E-3</v>
      </c>
    </row>
    <row r="70" spans="1:2" x14ac:dyDescent="0.25">
      <c r="A70" s="18">
        <v>73</v>
      </c>
      <c r="B70" s="18">
        <v>2.0799999999999998E-3</v>
      </c>
    </row>
    <row r="71" spans="1:2" x14ac:dyDescent="0.25">
      <c r="A71" s="18">
        <v>74</v>
      </c>
      <c r="B71" s="18">
        <v>2.0300000000000001E-3</v>
      </c>
    </row>
    <row r="72" spans="1:2" x14ac:dyDescent="0.25">
      <c r="A72" s="18">
        <v>75</v>
      </c>
      <c r="B72" s="18">
        <v>2E-3</v>
      </c>
    </row>
    <row r="73" spans="1:2" x14ac:dyDescent="0.25">
      <c r="A73" s="18">
        <v>76</v>
      </c>
      <c r="B73" s="18">
        <v>1.9400000000000001E-3</v>
      </c>
    </row>
    <row r="74" spans="1:2" x14ac:dyDescent="0.25">
      <c r="A74" s="18">
        <v>77</v>
      </c>
      <c r="B74" s="18">
        <v>1.92E-3</v>
      </c>
    </row>
    <row r="75" spans="1:2" x14ac:dyDescent="0.25">
      <c r="A75" s="18">
        <v>78</v>
      </c>
      <c r="B75" s="18">
        <v>1.89E-3</v>
      </c>
    </row>
    <row r="76" spans="1:2" x14ac:dyDescent="0.25">
      <c r="A76" s="18">
        <v>79</v>
      </c>
      <c r="B76" s="18">
        <v>1.82E-3</v>
      </c>
    </row>
    <row r="77" spans="1:2" x14ac:dyDescent="0.25">
      <c r="A77" s="18">
        <v>80</v>
      </c>
      <c r="B77" s="18">
        <v>1.8E-3</v>
      </c>
    </row>
    <row r="78" spans="1:2" x14ac:dyDescent="0.25">
      <c r="A78" s="18">
        <v>81</v>
      </c>
      <c r="B78" s="18">
        <v>1.7799999999999999E-3</v>
      </c>
    </row>
    <row r="79" spans="1:2" x14ac:dyDescent="0.25">
      <c r="A79" s="18">
        <v>82</v>
      </c>
      <c r="B79" s="18">
        <v>1.7700000000000001E-3</v>
      </c>
    </row>
    <row r="80" spans="1:2" x14ac:dyDescent="0.25">
      <c r="A80" s="18">
        <v>83</v>
      </c>
      <c r="B80" s="18">
        <v>1.7600000000000001E-3</v>
      </c>
    </row>
    <row r="81" spans="1:2" x14ac:dyDescent="0.25">
      <c r="A81" s="18">
        <v>84</v>
      </c>
      <c r="B81" s="18">
        <v>1.74E-3</v>
      </c>
    </row>
    <row r="82" spans="1:2" x14ac:dyDescent="0.25">
      <c r="A82" s="18">
        <v>85</v>
      </c>
      <c r="B82" s="18">
        <v>1.73E-3</v>
      </c>
    </row>
    <row r="83" spans="1:2" x14ac:dyDescent="0.25">
      <c r="A83" s="18">
        <v>86</v>
      </c>
      <c r="B83" s="18">
        <v>1.6999999999999999E-3</v>
      </c>
    </row>
    <row r="84" spans="1:2" x14ac:dyDescent="0.25">
      <c r="A84" s="18">
        <v>87</v>
      </c>
      <c r="B84" s="18">
        <v>1.64E-3</v>
      </c>
    </row>
    <row r="85" spans="1:2" x14ac:dyDescent="0.25">
      <c r="A85" s="18">
        <v>88</v>
      </c>
      <c r="B85" s="18">
        <v>1.6199999999999999E-3</v>
      </c>
    </row>
    <row r="86" spans="1:2" x14ac:dyDescent="0.25">
      <c r="A86" s="18">
        <v>89</v>
      </c>
      <c r="B86" s="18">
        <v>1.57E-3</v>
      </c>
    </row>
    <row r="87" spans="1:2" x14ac:dyDescent="0.25">
      <c r="A87" s="18">
        <v>90</v>
      </c>
      <c r="B87" s="18">
        <v>1.58E-3</v>
      </c>
    </row>
    <row r="88" spans="1:2" x14ac:dyDescent="0.25">
      <c r="A88" s="18">
        <v>91</v>
      </c>
      <c r="B88" s="18">
        <v>1.5299999999999999E-3</v>
      </c>
    </row>
    <row r="89" spans="1:2" x14ac:dyDescent="0.25">
      <c r="A89" s="18">
        <v>92</v>
      </c>
      <c r="B89" s="18">
        <v>1.5200000000000001E-3</v>
      </c>
    </row>
    <row r="90" spans="1:2" x14ac:dyDescent="0.25">
      <c r="A90" s="18">
        <v>93</v>
      </c>
      <c r="B90" s="18">
        <v>1.5E-3</v>
      </c>
    </row>
    <row r="91" spans="1:2" x14ac:dyDescent="0.25">
      <c r="A91" s="18">
        <v>94</v>
      </c>
      <c r="B91" s="18">
        <v>1.49E-3</v>
      </c>
    </row>
    <row r="92" spans="1:2" x14ac:dyDescent="0.25">
      <c r="A92" s="18">
        <v>95</v>
      </c>
      <c r="B92" s="18">
        <v>1.4599999999999999E-3</v>
      </c>
    </row>
    <row r="93" spans="1:2" x14ac:dyDescent="0.25">
      <c r="A93" s="18">
        <v>96</v>
      </c>
      <c r="B93" s="18">
        <v>1.42E-3</v>
      </c>
    </row>
    <row r="94" spans="1:2" x14ac:dyDescent="0.25">
      <c r="A94" s="18">
        <v>97</v>
      </c>
      <c r="B94" s="18">
        <v>1.41E-3</v>
      </c>
    </row>
    <row r="95" spans="1:2" x14ac:dyDescent="0.25">
      <c r="A95" s="18">
        <v>98</v>
      </c>
      <c r="B95" s="18">
        <v>1.3699999999999999E-3</v>
      </c>
    </row>
    <row r="96" spans="1:2" x14ac:dyDescent="0.25">
      <c r="A96" s="18">
        <v>99</v>
      </c>
      <c r="B96" s="18">
        <v>1.3699999999999999E-3</v>
      </c>
    </row>
    <row r="97" spans="1:2" x14ac:dyDescent="0.25">
      <c r="A97" s="18">
        <v>100</v>
      </c>
      <c r="B97" s="18">
        <v>1.3500000000000001E-3</v>
      </c>
    </row>
    <row r="98" spans="1:2" x14ac:dyDescent="0.25">
      <c r="A98" s="18">
        <v>101</v>
      </c>
      <c r="B98" s="18">
        <v>1.32E-3</v>
      </c>
    </row>
    <row r="99" spans="1:2" x14ac:dyDescent="0.25">
      <c r="A99" s="18">
        <v>102</v>
      </c>
      <c r="B99" s="18">
        <v>1.2600000000000001E-3</v>
      </c>
    </row>
    <row r="100" spans="1:2" x14ac:dyDescent="0.25">
      <c r="A100" s="18">
        <v>103</v>
      </c>
      <c r="B100" s="18">
        <v>1.2999999999999999E-3</v>
      </c>
    </row>
    <row r="101" spans="1:2" x14ac:dyDescent="0.25">
      <c r="A101" s="18">
        <v>104</v>
      </c>
      <c r="B101" s="18">
        <v>1.2700000000000001E-3</v>
      </c>
    </row>
    <row r="102" spans="1:2" x14ac:dyDescent="0.25">
      <c r="A102" s="18">
        <v>105</v>
      </c>
      <c r="B102" s="18">
        <v>1.24E-3</v>
      </c>
    </row>
    <row r="103" spans="1:2" x14ac:dyDescent="0.25">
      <c r="A103" s="18">
        <v>106</v>
      </c>
      <c r="B103" s="18">
        <v>1.24E-3</v>
      </c>
    </row>
    <row r="104" spans="1:2" x14ac:dyDescent="0.25">
      <c r="A104" s="18">
        <v>107</v>
      </c>
      <c r="B104" s="18">
        <v>1.1999999999999999E-3</v>
      </c>
    </row>
    <row r="105" spans="1:2" x14ac:dyDescent="0.25">
      <c r="A105" s="18">
        <v>108</v>
      </c>
      <c r="B105" s="18">
        <v>1.17E-3</v>
      </c>
    </row>
    <row r="106" spans="1:2" x14ac:dyDescent="0.25">
      <c r="A106" s="18">
        <v>109</v>
      </c>
      <c r="B106" s="18">
        <v>1.16E-3</v>
      </c>
    </row>
    <row r="107" spans="1:2" x14ac:dyDescent="0.25">
      <c r="A107" s="18">
        <v>110</v>
      </c>
      <c r="B107" s="18">
        <v>1.14E-3</v>
      </c>
    </row>
    <row r="108" spans="1:2" x14ac:dyDescent="0.25">
      <c r="A108" s="18">
        <v>111</v>
      </c>
      <c r="B108" s="18">
        <v>1.14E-3</v>
      </c>
    </row>
    <row r="109" spans="1:2" x14ac:dyDescent="0.25">
      <c r="A109" s="18">
        <v>112</v>
      </c>
      <c r="B109" s="18">
        <v>1.09E-3</v>
      </c>
    </row>
    <row r="110" spans="1:2" x14ac:dyDescent="0.25">
      <c r="A110" s="18">
        <v>113</v>
      </c>
      <c r="B110" s="18">
        <v>1.07E-3</v>
      </c>
    </row>
    <row r="111" spans="1:2" x14ac:dyDescent="0.25">
      <c r="A111" s="18">
        <v>114</v>
      </c>
      <c r="B111" s="18">
        <v>1.0300000000000001E-3</v>
      </c>
    </row>
    <row r="112" spans="1:2" x14ac:dyDescent="0.25">
      <c r="A112" s="18">
        <v>115</v>
      </c>
      <c r="B112" s="18">
        <v>1.0200000000000001E-3</v>
      </c>
    </row>
    <row r="113" spans="1:2" x14ac:dyDescent="0.25">
      <c r="A113" s="18">
        <v>116</v>
      </c>
      <c r="B113" s="18">
        <v>9.8799999999999995E-4</v>
      </c>
    </row>
    <row r="114" spans="1:2" x14ac:dyDescent="0.25">
      <c r="A114" s="18">
        <v>117</v>
      </c>
      <c r="B114" s="18">
        <v>1.01E-3</v>
      </c>
    </row>
    <row r="115" spans="1:2" x14ac:dyDescent="0.25">
      <c r="A115" s="18">
        <v>118</v>
      </c>
      <c r="B115" s="18">
        <v>9.7199999999999999E-4</v>
      </c>
    </row>
    <row r="116" spans="1:2" x14ac:dyDescent="0.25">
      <c r="A116" s="18">
        <v>119</v>
      </c>
      <c r="B116" s="18">
        <v>9.4300000000000004E-4</v>
      </c>
    </row>
    <row r="117" spans="1:2" x14ac:dyDescent="0.25">
      <c r="A117" s="18">
        <v>120</v>
      </c>
      <c r="B117" s="18">
        <v>8.9800000000000004E-4</v>
      </c>
    </row>
    <row r="118" spans="1:2" x14ac:dyDescent="0.25">
      <c r="A118" s="18">
        <v>121</v>
      </c>
      <c r="B118" s="18">
        <v>8.9999999999999998E-4</v>
      </c>
    </row>
    <row r="119" spans="1:2" x14ac:dyDescent="0.25">
      <c r="A119" s="18">
        <v>122</v>
      </c>
      <c r="B119" s="18">
        <v>8.7699999999999996E-4</v>
      </c>
    </row>
    <row r="120" spans="1:2" x14ac:dyDescent="0.25">
      <c r="A120" s="18">
        <v>123</v>
      </c>
      <c r="B120" s="18">
        <v>8.5099999999999998E-4</v>
      </c>
    </row>
    <row r="121" spans="1:2" x14ac:dyDescent="0.25">
      <c r="A121" s="18">
        <v>124</v>
      </c>
      <c r="B121" s="18">
        <v>8.1400000000000005E-4</v>
      </c>
    </row>
    <row r="122" spans="1:2" x14ac:dyDescent="0.25">
      <c r="A122" s="18">
        <v>125</v>
      </c>
      <c r="B122" s="18">
        <v>7.9199999999999995E-4</v>
      </c>
    </row>
    <row r="123" spans="1:2" x14ac:dyDescent="0.25">
      <c r="A123" s="18">
        <v>126</v>
      </c>
      <c r="B123" s="18">
        <v>7.8600000000000002E-4</v>
      </c>
    </row>
    <row r="124" spans="1:2" x14ac:dyDescent="0.25">
      <c r="A124" s="18">
        <v>127</v>
      </c>
      <c r="B124" s="18">
        <v>7.5000000000000002E-4</v>
      </c>
    </row>
    <row r="125" spans="1:2" x14ac:dyDescent="0.25">
      <c r="A125" s="18">
        <v>128</v>
      </c>
      <c r="B125" s="18">
        <v>7.1500000000000003E-4</v>
      </c>
    </row>
    <row r="126" spans="1:2" x14ac:dyDescent="0.25">
      <c r="A126" s="18">
        <v>129</v>
      </c>
      <c r="B126" s="18">
        <v>6.9899999999999997E-4</v>
      </c>
    </row>
    <row r="127" spans="1:2" x14ac:dyDescent="0.25">
      <c r="A127" s="18">
        <v>130</v>
      </c>
      <c r="B127" s="18">
        <v>6.5300000000000004E-4</v>
      </c>
    </row>
    <row r="128" spans="1:2" x14ac:dyDescent="0.25">
      <c r="A128" s="18">
        <v>131</v>
      </c>
      <c r="B128" s="18">
        <v>6.3299999999999999E-4</v>
      </c>
    </row>
    <row r="129" spans="1:2" x14ac:dyDescent="0.25">
      <c r="A129" s="18">
        <v>132</v>
      </c>
      <c r="B129" s="18">
        <v>6.0499999999999996E-4</v>
      </c>
    </row>
    <row r="130" spans="1:2" x14ac:dyDescent="0.25">
      <c r="A130" s="18">
        <v>133</v>
      </c>
      <c r="B130" s="18">
        <v>5.7499999999999999E-4</v>
      </c>
    </row>
    <row r="131" spans="1:2" x14ac:dyDescent="0.25">
      <c r="A131" s="18">
        <v>134</v>
      </c>
      <c r="B131" s="18">
        <v>5.3600000000000002E-4</v>
      </c>
    </row>
    <row r="132" spans="1:2" x14ac:dyDescent="0.25">
      <c r="A132" s="18">
        <v>135</v>
      </c>
      <c r="B132" s="18">
        <v>5.2999999999999998E-4</v>
      </c>
    </row>
    <row r="133" spans="1:2" x14ac:dyDescent="0.25">
      <c r="A133" s="18">
        <v>136</v>
      </c>
      <c r="B133" s="18">
        <v>5.0799999999999999E-4</v>
      </c>
    </row>
    <row r="134" spans="1:2" x14ac:dyDescent="0.25">
      <c r="A134" s="18">
        <v>137</v>
      </c>
      <c r="B134" s="18">
        <v>4.6700000000000002E-4</v>
      </c>
    </row>
    <row r="135" spans="1:2" x14ac:dyDescent="0.25">
      <c r="A135" s="18">
        <v>138</v>
      </c>
      <c r="B135" s="18">
        <v>4.6200000000000001E-4</v>
      </c>
    </row>
    <row r="136" spans="1:2" x14ac:dyDescent="0.25">
      <c r="A136" s="18">
        <v>139</v>
      </c>
      <c r="B136" s="18">
        <v>4.17E-4</v>
      </c>
    </row>
    <row r="137" spans="1:2" x14ac:dyDescent="0.25">
      <c r="A137" s="18">
        <v>140</v>
      </c>
      <c r="B137" s="18">
        <v>3.7100000000000002E-4</v>
      </c>
    </row>
    <row r="138" spans="1:2" x14ac:dyDescent="0.25">
      <c r="A138" s="18">
        <v>141</v>
      </c>
      <c r="B138" s="18">
        <v>3.4000000000000002E-4</v>
      </c>
    </row>
    <row r="139" spans="1:2" x14ac:dyDescent="0.25">
      <c r="A139" s="18">
        <v>142</v>
      </c>
      <c r="B139" s="18">
        <v>2.9100000000000003E-4</v>
      </c>
    </row>
    <row r="140" spans="1:2" x14ac:dyDescent="0.25">
      <c r="A140" s="18">
        <v>143</v>
      </c>
      <c r="B140" s="18">
        <v>2.6400000000000002E-4</v>
      </c>
    </row>
    <row r="141" spans="1:2" x14ac:dyDescent="0.25">
      <c r="A141" s="18">
        <v>144</v>
      </c>
      <c r="B141" s="18">
        <v>2.5000000000000001E-4</v>
      </c>
    </row>
    <row r="142" spans="1:2" x14ac:dyDescent="0.25">
      <c r="A142" s="18">
        <v>145</v>
      </c>
      <c r="B142" s="18">
        <v>2.02E-4</v>
      </c>
    </row>
    <row r="143" spans="1:2" x14ac:dyDescent="0.25">
      <c r="A143" s="18">
        <v>146</v>
      </c>
      <c r="B143" s="18">
        <v>1.6799999999999999E-4</v>
      </c>
    </row>
    <row r="144" spans="1:2" x14ac:dyDescent="0.25">
      <c r="A144" s="18">
        <v>147</v>
      </c>
      <c r="B144" s="18">
        <v>1.4300000000000001E-4</v>
      </c>
    </row>
    <row r="145" spans="1:2" x14ac:dyDescent="0.25">
      <c r="A145" s="18">
        <v>148</v>
      </c>
      <c r="B145" s="18">
        <v>9.8099999999999999E-5</v>
      </c>
    </row>
    <row r="146" spans="1:2" x14ac:dyDescent="0.25">
      <c r="A146" s="18">
        <v>149</v>
      </c>
      <c r="B146" s="18">
        <v>6.58E-5</v>
      </c>
    </row>
    <row r="147" spans="1:2" x14ac:dyDescent="0.25">
      <c r="A147" s="18">
        <v>150</v>
      </c>
      <c r="B147" s="18">
        <v>2.6400000000000001E-5</v>
      </c>
    </row>
    <row r="148" spans="1:2" x14ac:dyDescent="0.25">
      <c r="A148" s="18">
        <v>151</v>
      </c>
      <c r="B148" s="18">
        <v>9.9299999999999998E-6</v>
      </c>
    </row>
    <row r="149" spans="1:2" x14ac:dyDescent="0.25">
      <c r="A149" s="18">
        <v>152</v>
      </c>
      <c r="B149" s="18">
        <v>7.7500000000000003E-6</v>
      </c>
    </row>
  </sheetData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1:B169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4.1399999999999996E-3</v>
      </c>
    </row>
    <row r="3" spans="1:2" x14ac:dyDescent="0.25">
      <c r="A3" s="18">
        <v>6</v>
      </c>
      <c r="B3" s="18">
        <v>3.0200000000000001E-3</v>
      </c>
    </row>
    <row r="4" spans="1:2" x14ac:dyDescent="0.25">
      <c r="A4" s="18">
        <v>7</v>
      </c>
      <c r="B4" s="18">
        <v>1.9400000000000001E-3</v>
      </c>
    </row>
    <row r="5" spans="1:2" x14ac:dyDescent="0.25">
      <c r="A5" s="18">
        <v>8</v>
      </c>
      <c r="B5" s="18">
        <v>2.01E-2</v>
      </c>
    </row>
    <row r="6" spans="1:2" x14ac:dyDescent="0.25">
      <c r="A6" s="18">
        <v>9</v>
      </c>
      <c r="B6" s="18">
        <v>3.1199999999999999E-2</v>
      </c>
    </row>
    <row r="7" spans="1:2" x14ac:dyDescent="0.25">
      <c r="A7" s="18">
        <v>10</v>
      </c>
      <c r="B7" s="18">
        <v>0.12</v>
      </c>
    </row>
    <row r="8" spans="1:2" x14ac:dyDescent="0.25">
      <c r="A8" s="18">
        <v>11</v>
      </c>
      <c r="B8" s="18">
        <v>2.18E-2</v>
      </c>
    </row>
    <row r="9" spans="1:2" x14ac:dyDescent="0.25">
      <c r="A9" s="18">
        <v>12</v>
      </c>
      <c r="B9" s="18">
        <v>2.5600000000000001E-2</v>
      </c>
    </row>
    <row r="10" spans="1:2" x14ac:dyDescent="0.25">
      <c r="A10" s="18">
        <v>13</v>
      </c>
      <c r="B10" s="18">
        <v>1.6899999999999998E-2</v>
      </c>
    </row>
    <row r="11" spans="1:2" x14ac:dyDescent="0.25">
      <c r="A11" s="18">
        <v>14</v>
      </c>
      <c r="B11" s="18">
        <v>1.9099999999999999E-2</v>
      </c>
    </row>
    <row r="12" spans="1:2" x14ac:dyDescent="0.25">
      <c r="A12" s="18">
        <v>15</v>
      </c>
      <c r="B12" s="18">
        <v>2.18E-2</v>
      </c>
    </row>
    <row r="13" spans="1:2" x14ac:dyDescent="0.25">
      <c r="A13" s="18">
        <v>16</v>
      </c>
      <c r="B13" s="18">
        <v>2.3E-2</v>
      </c>
    </row>
    <row r="14" spans="1:2" x14ac:dyDescent="0.25">
      <c r="A14" s="18">
        <v>17</v>
      </c>
      <c r="B14" s="18">
        <v>2.4299999999999999E-2</v>
      </c>
    </row>
    <row r="15" spans="1:2" x14ac:dyDescent="0.25">
      <c r="A15" s="18">
        <v>18</v>
      </c>
      <c r="B15" s="18">
        <v>2.47E-2</v>
      </c>
    </row>
    <row r="16" spans="1:2" x14ac:dyDescent="0.25">
      <c r="A16" s="18">
        <v>19</v>
      </c>
      <c r="B16" s="18">
        <v>2.4500000000000001E-2</v>
      </c>
    </row>
    <row r="17" spans="1:2" x14ac:dyDescent="0.25">
      <c r="A17" s="18">
        <v>20</v>
      </c>
      <c r="B17" s="18">
        <v>2.41E-2</v>
      </c>
    </row>
    <row r="18" spans="1:2" x14ac:dyDescent="0.25">
      <c r="A18" s="18">
        <v>21</v>
      </c>
      <c r="B18" s="18">
        <v>2.3699999999999999E-2</v>
      </c>
    </row>
    <row r="19" spans="1:2" x14ac:dyDescent="0.25">
      <c r="A19" s="18">
        <v>22</v>
      </c>
      <c r="B19" s="18">
        <v>2.35E-2</v>
      </c>
    </row>
    <row r="20" spans="1:2" x14ac:dyDescent="0.25">
      <c r="A20" s="18">
        <v>23</v>
      </c>
      <c r="B20" s="18">
        <v>2.18E-2</v>
      </c>
    </row>
    <row r="21" spans="1:2" x14ac:dyDescent="0.25">
      <c r="A21" s="18">
        <v>24</v>
      </c>
      <c r="B21" s="18">
        <v>2.1100000000000001E-2</v>
      </c>
    </row>
    <row r="22" spans="1:2" x14ac:dyDescent="0.25">
      <c r="A22" s="18">
        <v>25</v>
      </c>
      <c r="B22" s="18">
        <v>2.0199999999999999E-2</v>
      </c>
    </row>
    <row r="23" spans="1:2" x14ac:dyDescent="0.25">
      <c r="A23" s="18">
        <v>26</v>
      </c>
      <c r="B23" s="18">
        <v>1.89E-2</v>
      </c>
    </row>
    <row r="24" spans="1:2" x14ac:dyDescent="0.25">
      <c r="A24" s="18">
        <v>27</v>
      </c>
      <c r="B24" s="18">
        <v>1.78E-2</v>
      </c>
    </row>
    <row r="25" spans="1:2" x14ac:dyDescent="0.25">
      <c r="A25" s="18">
        <v>28</v>
      </c>
      <c r="B25" s="18">
        <v>1.6799999999999999E-2</v>
      </c>
    </row>
    <row r="26" spans="1:2" x14ac:dyDescent="0.25">
      <c r="A26" s="18">
        <v>29</v>
      </c>
      <c r="B26" s="18">
        <v>1.5699999999999999E-2</v>
      </c>
    </row>
    <row r="27" spans="1:2" x14ac:dyDescent="0.25">
      <c r="A27" s="18">
        <v>30</v>
      </c>
      <c r="B27" s="18">
        <v>1.4800000000000001E-2</v>
      </c>
    </row>
    <row r="28" spans="1:2" x14ac:dyDescent="0.25">
      <c r="A28" s="18">
        <v>31</v>
      </c>
      <c r="B28" s="18">
        <v>1.38E-2</v>
      </c>
    </row>
    <row r="29" spans="1:2" x14ac:dyDescent="0.25">
      <c r="A29" s="18">
        <v>32</v>
      </c>
      <c r="B29" s="18">
        <v>1.3100000000000001E-2</v>
      </c>
    </row>
    <row r="30" spans="1:2" x14ac:dyDescent="0.25">
      <c r="A30" s="18">
        <v>33</v>
      </c>
      <c r="B30" s="18">
        <v>1.23E-2</v>
      </c>
    </row>
    <row r="31" spans="1:2" x14ac:dyDescent="0.25">
      <c r="A31" s="18">
        <v>34</v>
      </c>
      <c r="B31" s="18">
        <v>1.15E-2</v>
      </c>
    </row>
    <row r="32" spans="1:2" x14ac:dyDescent="0.25">
      <c r="A32" s="18">
        <v>35</v>
      </c>
      <c r="B32" s="18">
        <v>1.09E-2</v>
      </c>
    </row>
    <row r="33" spans="1:2" x14ac:dyDescent="0.25">
      <c r="A33" s="18">
        <v>36</v>
      </c>
      <c r="B33" s="18">
        <v>1.0200000000000001E-2</v>
      </c>
    </row>
    <row r="34" spans="1:2" x14ac:dyDescent="0.25">
      <c r="A34" s="18">
        <v>37</v>
      </c>
      <c r="B34" s="18">
        <v>9.5700000000000004E-3</v>
      </c>
    </row>
    <row r="35" spans="1:2" x14ac:dyDescent="0.25">
      <c r="A35" s="18">
        <v>38</v>
      </c>
      <c r="B35" s="18">
        <v>8.9899999999999997E-3</v>
      </c>
    </row>
    <row r="36" spans="1:2" x14ac:dyDescent="0.25">
      <c r="A36" s="18">
        <v>39</v>
      </c>
      <c r="B36" s="18">
        <v>8.43E-3</v>
      </c>
    </row>
    <row r="37" spans="1:2" x14ac:dyDescent="0.25">
      <c r="A37" s="18">
        <v>40</v>
      </c>
      <c r="B37" s="18">
        <v>7.9600000000000001E-3</v>
      </c>
    </row>
    <row r="38" spans="1:2" x14ac:dyDescent="0.25">
      <c r="A38" s="18">
        <v>41</v>
      </c>
      <c r="B38" s="18">
        <v>7.4900000000000001E-3</v>
      </c>
    </row>
    <row r="39" spans="1:2" x14ac:dyDescent="0.25">
      <c r="A39" s="18">
        <v>42</v>
      </c>
      <c r="B39" s="18">
        <v>7.1900000000000002E-3</v>
      </c>
    </row>
    <row r="40" spans="1:2" x14ac:dyDescent="0.25">
      <c r="A40" s="18">
        <v>43</v>
      </c>
      <c r="B40" s="18">
        <v>6.8900000000000003E-3</v>
      </c>
    </row>
    <row r="41" spans="1:2" x14ac:dyDescent="0.25">
      <c r="A41" s="18">
        <v>44</v>
      </c>
      <c r="B41" s="18">
        <v>6.45E-3</v>
      </c>
    </row>
    <row r="42" spans="1:2" x14ac:dyDescent="0.25">
      <c r="A42" s="18">
        <v>45</v>
      </c>
      <c r="B42" s="18">
        <v>6.2300000000000003E-3</v>
      </c>
    </row>
    <row r="43" spans="1:2" x14ac:dyDescent="0.25">
      <c r="A43" s="18">
        <v>46</v>
      </c>
      <c r="B43" s="18">
        <v>5.9100000000000003E-3</v>
      </c>
    </row>
    <row r="44" spans="1:2" x14ac:dyDescent="0.25">
      <c r="A44" s="18">
        <v>47</v>
      </c>
      <c r="B44" s="18">
        <v>5.6299999999999996E-3</v>
      </c>
    </row>
    <row r="45" spans="1:2" x14ac:dyDescent="0.25">
      <c r="A45" s="18">
        <v>48</v>
      </c>
      <c r="B45" s="18">
        <v>5.3800000000000002E-3</v>
      </c>
    </row>
    <row r="46" spans="1:2" x14ac:dyDescent="0.25">
      <c r="A46" s="18">
        <v>49</v>
      </c>
      <c r="B46" s="18">
        <v>5.1399999999999996E-3</v>
      </c>
    </row>
    <row r="47" spans="1:2" x14ac:dyDescent="0.25">
      <c r="A47" s="18">
        <v>50</v>
      </c>
      <c r="B47" s="18">
        <v>4.8700000000000002E-3</v>
      </c>
    </row>
    <row r="48" spans="1:2" x14ac:dyDescent="0.25">
      <c r="A48" s="18">
        <v>51</v>
      </c>
      <c r="B48" s="18">
        <v>4.7200000000000002E-3</v>
      </c>
    </row>
    <row r="49" spans="1:2" x14ac:dyDescent="0.25">
      <c r="A49" s="18">
        <v>52</v>
      </c>
      <c r="B49" s="18">
        <v>4.5399999999999998E-3</v>
      </c>
    </row>
    <row r="50" spans="1:2" x14ac:dyDescent="0.25">
      <c r="A50" s="18">
        <v>53</v>
      </c>
      <c r="B50" s="18">
        <v>4.4099999999999999E-3</v>
      </c>
    </row>
    <row r="51" spans="1:2" x14ac:dyDescent="0.25">
      <c r="A51" s="18">
        <v>54</v>
      </c>
      <c r="B51" s="18">
        <v>4.28E-3</v>
      </c>
    </row>
    <row r="52" spans="1:2" x14ac:dyDescent="0.25">
      <c r="A52" s="18">
        <v>55</v>
      </c>
      <c r="B52" s="18">
        <v>4.1099999999999999E-3</v>
      </c>
    </row>
    <row r="53" spans="1:2" x14ac:dyDescent="0.25">
      <c r="A53" s="18">
        <v>56</v>
      </c>
      <c r="B53" s="18">
        <v>3.9899999999999996E-3</v>
      </c>
    </row>
    <row r="54" spans="1:2" x14ac:dyDescent="0.25">
      <c r="A54" s="18">
        <v>57</v>
      </c>
      <c r="B54" s="18">
        <v>4.0899999999999999E-3</v>
      </c>
    </row>
    <row r="55" spans="1:2" x14ac:dyDescent="0.25">
      <c r="A55" s="18">
        <v>58</v>
      </c>
      <c r="B55" s="18">
        <v>1.43E-2</v>
      </c>
    </row>
    <row r="56" spans="1:2" x14ac:dyDescent="0.25">
      <c r="A56" s="18">
        <v>59</v>
      </c>
      <c r="B56" s="18">
        <v>1.5599999999999999E-2</v>
      </c>
    </row>
    <row r="57" spans="1:2" x14ac:dyDescent="0.25">
      <c r="A57" s="18">
        <v>60</v>
      </c>
      <c r="B57" s="18">
        <v>1.23E-2</v>
      </c>
    </row>
    <row r="58" spans="1:2" x14ac:dyDescent="0.25">
      <c r="A58" s="18">
        <v>61</v>
      </c>
      <c r="B58" s="18">
        <v>3.47E-3</v>
      </c>
    </row>
    <row r="59" spans="1:2" x14ac:dyDescent="0.25">
      <c r="A59" s="18">
        <v>62</v>
      </c>
      <c r="B59" s="18">
        <v>3.3300000000000001E-3</v>
      </c>
    </row>
    <row r="60" spans="1:2" x14ac:dyDescent="0.25">
      <c r="A60" s="18">
        <v>63</v>
      </c>
      <c r="B60" s="18">
        <v>3.2299999999999998E-3</v>
      </c>
    </row>
    <row r="61" spans="1:2" x14ac:dyDescent="0.25">
      <c r="A61" s="18">
        <v>64</v>
      </c>
      <c r="B61" s="18">
        <v>3.1800000000000001E-3</v>
      </c>
    </row>
    <row r="62" spans="1:2" x14ac:dyDescent="0.25">
      <c r="A62" s="18">
        <v>65</v>
      </c>
      <c r="B62" s="18">
        <v>3.16E-3</v>
      </c>
    </row>
    <row r="63" spans="1:2" x14ac:dyDescent="0.25">
      <c r="A63" s="18">
        <v>66</v>
      </c>
      <c r="B63" s="18">
        <v>3.14E-3</v>
      </c>
    </row>
    <row r="64" spans="1:2" x14ac:dyDescent="0.25">
      <c r="A64" s="18">
        <v>67</v>
      </c>
      <c r="B64" s="18">
        <v>8.4899999999999993E-3</v>
      </c>
    </row>
    <row r="65" spans="1:2" x14ac:dyDescent="0.25">
      <c r="A65" s="18">
        <v>68</v>
      </c>
      <c r="B65" s="18">
        <v>4.7800000000000004E-3</v>
      </c>
    </row>
    <row r="66" spans="1:2" x14ac:dyDescent="0.25">
      <c r="A66" s="18">
        <v>69</v>
      </c>
      <c r="B66" s="18">
        <v>4.45E-3</v>
      </c>
    </row>
    <row r="67" spans="1:2" x14ac:dyDescent="0.25">
      <c r="A67" s="18">
        <v>70</v>
      </c>
      <c r="B67" s="18">
        <v>2.82E-3</v>
      </c>
    </row>
    <row r="68" spans="1:2" x14ac:dyDescent="0.25">
      <c r="A68" s="18">
        <v>71</v>
      </c>
      <c r="B68" s="18">
        <v>2.2599999999999999E-3</v>
      </c>
    </row>
    <row r="69" spans="1:2" x14ac:dyDescent="0.25">
      <c r="A69" s="18">
        <v>72</v>
      </c>
      <c r="B69" s="18">
        <v>2.2300000000000002E-3</v>
      </c>
    </row>
    <row r="70" spans="1:2" x14ac:dyDescent="0.25">
      <c r="A70" s="18">
        <v>73</v>
      </c>
      <c r="B70" s="18">
        <v>2.1900000000000001E-3</v>
      </c>
    </row>
    <row r="71" spans="1:2" x14ac:dyDescent="0.25">
      <c r="A71" s="18">
        <v>74</v>
      </c>
      <c r="B71" s="18">
        <v>2.1900000000000001E-3</v>
      </c>
    </row>
    <row r="72" spans="1:2" x14ac:dyDescent="0.25">
      <c r="A72" s="18">
        <v>75</v>
      </c>
      <c r="B72" s="18">
        <v>2.16E-3</v>
      </c>
    </row>
    <row r="73" spans="1:2" x14ac:dyDescent="0.25">
      <c r="A73" s="18">
        <v>76</v>
      </c>
      <c r="B73" s="18">
        <v>2.1099999999999999E-3</v>
      </c>
    </row>
    <row r="74" spans="1:2" x14ac:dyDescent="0.25">
      <c r="A74" s="18">
        <v>77</v>
      </c>
      <c r="B74" s="18">
        <v>2.0999999999999999E-3</v>
      </c>
    </row>
    <row r="75" spans="1:2" x14ac:dyDescent="0.25">
      <c r="A75" s="18">
        <v>78</v>
      </c>
      <c r="B75" s="18">
        <v>2.0200000000000001E-3</v>
      </c>
    </row>
    <row r="76" spans="1:2" x14ac:dyDescent="0.25">
      <c r="A76" s="18">
        <v>79</v>
      </c>
      <c r="B76" s="18">
        <v>2.0500000000000002E-3</v>
      </c>
    </row>
    <row r="77" spans="1:2" x14ac:dyDescent="0.25">
      <c r="A77" s="18">
        <v>80</v>
      </c>
      <c r="B77" s="18">
        <v>1.99E-3</v>
      </c>
    </row>
    <row r="78" spans="1:2" x14ac:dyDescent="0.25">
      <c r="A78" s="18">
        <v>81</v>
      </c>
      <c r="B78" s="18">
        <v>1.97E-3</v>
      </c>
    </row>
    <row r="79" spans="1:2" x14ac:dyDescent="0.25">
      <c r="A79" s="18">
        <v>82</v>
      </c>
      <c r="B79" s="18">
        <v>1.98E-3</v>
      </c>
    </row>
    <row r="80" spans="1:2" x14ac:dyDescent="0.25">
      <c r="A80" s="18">
        <v>83</v>
      </c>
      <c r="B80" s="18">
        <v>1.9599999999999999E-3</v>
      </c>
    </row>
    <row r="81" spans="1:2" x14ac:dyDescent="0.25">
      <c r="A81" s="18">
        <v>84</v>
      </c>
      <c r="B81" s="18">
        <v>1.9300000000000001E-3</v>
      </c>
    </row>
    <row r="82" spans="1:2" x14ac:dyDescent="0.25">
      <c r="A82" s="18">
        <v>85</v>
      </c>
      <c r="B82" s="18">
        <v>1.92E-3</v>
      </c>
    </row>
    <row r="83" spans="1:2" x14ac:dyDescent="0.25">
      <c r="A83" s="18">
        <v>86</v>
      </c>
      <c r="B83" s="18">
        <v>1.92E-3</v>
      </c>
    </row>
    <row r="84" spans="1:2" x14ac:dyDescent="0.25">
      <c r="A84" s="18">
        <v>87</v>
      </c>
      <c r="B84" s="18">
        <v>1.8799999999999999E-3</v>
      </c>
    </row>
    <row r="85" spans="1:2" x14ac:dyDescent="0.25">
      <c r="A85" s="18">
        <v>88</v>
      </c>
      <c r="B85" s="18">
        <v>1.8500000000000001E-3</v>
      </c>
    </row>
    <row r="86" spans="1:2" x14ac:dyDescent="0.25">
      <c r="A86" s="18">
        <v>89</v>
      </c>
      <c r="B86" s="18">
        <v>1.81E-3</v>
      </c>
    </row>
    <row r="87" spans="1:2" x14ac:dyDescent="0.25">
      <c r="A87" s="18">
        <v>90</v>
      </c>
      <c r="B87" s="18">
        <v>1.7799999999999999E-3</v>
      </c>
    </row>
    <row r="88" spans="1:2" x14ac:dyDescent="0.25">
      <c r="A88" s="18">
        <v>91</v>
      </c>
      <c r="B88" s="18">
        <v>1.7700000000000001E-3</v>
      </c>
    </row>
    <row r="89" spans="1:2" x14ac:dyDescent="0.25">
      <c r="A89" s="18">
        <v>92</v>
      </c>
      <c r="B89" s="18">
        <v>1.7600000000000001E-3</v>
      </c>
    </row>
    <row r="90" spans="1:2" x14ac:dyDescent="0.25">
      <c r="A90" s="18">
        <v>93</v>
      </c>
      <c r="B90" s="18">
        <v>1.75E-3</v>
      </c>
    </row>
    <row r="91" spans="1:2" x14ac:dyDescent="0.25">
      <c r="A91" s="18">
        <v>94</v>
      </c>
      <c r="B91" s="18">
        <v>1.6900000000000001E-3</v>
      </c>
    </row>
    <row r="92" spans="1:2" x14ac:dyDescent="0.25">
      <c r="A92" s="18">
        <v>95</v>
      </c>
      <c r="B92" s="18">
        <v>1.72E-3</v>
      </c>
    </row>
    <row r="93" spans="1:2" x14ac:dyDescent="0.25">
      <c r="A93" s="18">
        <v>96</v>
      </c>
      <c r="B93" s="18">
        <v>1.66E-3</v>
      </c>
    </row>
    <row r="94" spans="1:2" x14ac:dyDescent="0.25">
      <c r="A94" s="18">
        <v>97</v>
      </c>
      <c r="B94" s="18">
        <v>1.6800000000000001E-3</v>
      </c>
    </row>
    <row r="95" spans="1:2" x14ac:dyDescent="0.25">
      <c r="A95" s="18">
        <v>98</v>
      </c>
      <c r="B95" s="18">
        <v>1.6299999999999999E-3</v>
      </c>
    </row>
    <row r="96" spans="1:2" x14ac:dyDescent="0.25">
      <c r="A96" s="18">
        <v>99</v>
      </c>
      <c r="B96" s="18">
        <v>1.6199999999999999E-3</v>
      </c>
    </row>
    <row r="97" spans="1:2" x14ac:dyDescent="0.25">
      <c r="A97" s="18">
        <v>100</v>
      </c>
      <c r="B97" s="18">
        <v>1.58E-3</v>
      </c>
    </row>
    <row r="98" spans="1:2" x14ac:dyDescent="0.25">
      <c r="A98" s="18">
        <v>101</v>
      </c>
      <c r="B98" s="18">
        <v>1.58E-3</v>
      </c>
    </row>
    <row r="99" spans="1:2" x14ac:dyDescent="0.25">
      <c r="A99" s="18">
        <v>102</v>
      </c>
      <c r="B99" s="18">
        <v>1.58E-3</v>
      </c>
    </row>
    <row r="100" spans="1:2" x14ac:dyDescent="0.25">
      <c r="A100" s="18">
        <v>103</v>
      </c>
      <c r="B100" s="18">
        <v>1.5499999999999999E-3</v>
      </c>
    </row>
    <row r="101" spans="1:2" x14ac:dyDescent="0.25">
      <c r="A101" s="18">
        <v>104</v>
      </c>
      <c r="B101" s="18">
        <v>1.58E-3</v>
      </c>
    </row>
    <row r="102" spans="1:2" x14ac:dyDescent="0.25">
      <c r="A102" s="18">
        <v>105</v>
      </c>
      <c r="B102" s="18">
        <v>1.5299999999999999E-3</v>
      </c>
    </row>
    <row r="103" spans="1:2" x14ac:dyDescent="0.25">
      <c r="A103" s="18">
        <v>106</v>
      </c>
      <c r="B103" s="18">
        <v>1.5299999999999999E-3</v>
      </c>
    </row>
    <row r="104" spans="1:2" x14ac:dyDescent="0.25">
      <c r="A104" s="18">
        <v>107</v>
      </c>
      <c r="B104" s="18">
        <v>1.47E-3</v>
      </c>
    </row>
    <row r="105" spans="1:2" x14ac:dyDescent="0.25">
      <c r="A105" s="18">
        <v>108</v>
      </c>
      <c r="B105" s="18">
        <v>1.4599999999999999E-3</v>
      </c>
    </row>
    <row r="106" spans="1:2" x14ac:dyDescent="0.25">
      <c r="A106" s="18">
        <v>109</v>
      </c>
      <c r="B106" s="18">
        <v>1.4499999999999999E-3</v>
      </c>
    </row>
    <row r="107" spans="1:2" x14ac:dyDescent="0.25">
      <c r="A107" s="18">
        <v>110</v>
      </c>
      <c r="B107" s="18">
        <v>1.47E-3</v>
      </c>
    </row>
    <row r="108" spans="1:2" x14ac:dyDescent="0.25">
      <c r="A108" s="18">
        <v>111</v>
      </c>
      <c r="B108" s="18">
        <v>1.4300000000000001E-3</v>
      </c>
    </row>
    <row r="109" spans="1:2" x14ac:dyDescent="0.25">
      <c r="A109" s="18">
        <v>112</v>
      </c>
      <c r="B109" s="18">
        <v>1.41E-3</v>
      </c>
    </row>
    <row r="110" spans="1:2" x14ac:dyDescent="0.25">
      <c r="A110" s="18">
        <v>113</v>
      </c>
      <c r="B110" s="18">
        <v>1.3500000000000001E-3</v>
      </c>
    </row>
    <row r="111" spans="1:2" x14ac:dyDescent="0.25">
      <c r="A111" s="18">
        <v>114</v>
      </c>
      <c r="B111" s="18">
        <v>1.34E-3</v>
      </c>
    </row>
    <row r="112" spans="1:2" x14ac:dyDescent="0.25">
      <c r="A112" s="18">
        <v>115</v>
      </c>
      <c r="B112" s="18">
        <v>1.32E-3</v>
      </c>
    </row>
    <row r="113" spans="1:2" x14ac:dyDescent="0.25">
      <c r="A113" s="18">
        <v>116</v>
      </c>
      <c r="B113" s="18">
        <v>1.3500000000000001E-3</v>
      </c>
    </row>
    <row r="114" spans="1:2" x14ac:dyDescent="0.25">
      <c r="A114" s="18">
        <v>117</v>
      </c>
      <c r="B114" s="18">
        <v>1.2999999999999999E-3</v>
      </c>
    </row>
    <row r="115" spans="1:2" x14ac:dyDescent="0.25">
      <c r="A115" s="18">
        <v>118</v>
      </c>
      <c r="B115" s="18">
        <v>1.2700000000000001E-3</v>
      </c>
    </row>
    <row r="116" spans="1:2" x14ac:dyDescent="0.25">
      <c r="A116" s="18">
        <v>119</v>
      </c>
      <c r="B116" s="18">
        <v>1.2800000000000001E-3</v>
      </c>
    </row>
    <row r="117" spans="1:2" x14ac:dyDescent="0.25">
      <c r="A117" s="18">
        <v>120</v>
      </c>
      <c r="B117" s="18">
        <v>1.2600000000000001E-3</v>
      </c>
    </row>
    <row r="118" spans="1:2" x14ac:dyDescent="0.25">
      <c r="A118" s="18">
        <v>121</v>
      </c>
      <c r="B118" s="18">
        <v>1.2099999999999999E-3</v>
      </c>
    </row>
    <row r="119" spans="1:2" x14ac:dyDescent="0.25">
      <c r="A119" s="18">
        <v>122</v>
      </c>
      <c r="B119" s="18">
        <v>1.2099999999999999E-3</v>
      </c>
    </row>
    <row r="120" spans="1:2" x14ac:dyDescent="0.25">
      <c r="A120" s="18">
        <v>123</v>
      </c>
      <c r="B120" s="18">
        <v>1.16E-3</v>
      </c>
    </row>
    <row r="121" spans="1:2" x14ac:dyDescent="0.25">
      <c r="A121" s="18">
        <v>124</v>
      </c>
      <c r="B121" s="18">
        <v>1.1900000000000001E-3</v>
      </c>
    </row>
    <row r="122" spans="1:2" x14ac:dyDescent="0.25">
      <c r="A122" s="18">
        <v>125</v>
      </c>
      <c r="B122" s="18">
        <v>1.14E-3</v>
      </c>
    </row>
    <row r="123" spans="1:2" x14ac:dyDescent="0.25">
      <c r="A123" s="18">
        <v>126</v>
      </c>
      <c r="B123" s="18">
        <v>1.1199999999999999E-3</v>
      </c>
    </row>
    <row r="124" spans="1:2" x14ac:dyDescent="0.25">
      <c r="A124" s="18">
        <v>127</v>
      </c>
      <c r="B124" s="18">
        <v>1.1299999999999999E-3</v>
      </c>
    </row>
    <row r="125" spans="1:2" x14ac:dyDescent="0.25">
      <c r="A125" s="18">
        <v>128</v>
      </c>
      <c r="B125" s="18">
        <v>1.06E-3</v>
      </c>
    </row>
    <row r="126" spans="1:2" x14ac:dyDescent="0.25">
      <c r="A126" s="18">
        <v>129</v>
      </c>
      <c r="B126" s="18">
        <v>1.09E-3</v>
      </c>
    </row>
    <row r="127" spans="1:2" x14ac:dyDescent="0.25">
      <c r="A127" s="18">
        <v>130</v>
      </c>
      <c r="B127" s="18">
        <v>1.06E-3</v>
      </c>
    </row>
    <row r="128" spans="1:2" x14ac:dyDescent="0.25">
      <c r="A128" s="18">
        <v>131</v>
      </c>
      <c r="B128" s="18">
        <v>1.01E-3</v>
      </c>
    </row>
    <row r="129" spans="1:2" x14ac:dyDescent="0.25">
      <c r="A129" s="18">
        <v>132</v>
      </c>
      <c r="B129" s="18">
        <v>1E-3</v>
      </c>
    </row>
    <row r="130" spans="1:2" x14ac:dyDescent="0.25">
      <c r="A130" s="18">
        <v>133</v>
      </c>
      <c r="B130" s="18">
        <v>9.68E-4</v>
      </c>
    </row>
    <row r="131" spans="1:2" x14ac:dyDescent="0.25">
      <c r="A131" s="18">
        <v>134</v>
      </c>
      <c r="B131" s="18">
        <v>9.5500000000000001E-4</v>
      </c>
    </row>
    <row r="132" spans="1:2" x14ac:dyDescent="0.25">
      <c r="A132" s="18">
        <v>135</v>
      </c>
      <c r="B132" s="18">
        <v>9.5500000000000001E-4</v>
      </c>
    </row>
    <row r="133" spans="1:2" x14ac:dyDescent="0.25">
      <c r="A133" s="18">
        <v>136</v>
      </c>
      <c r="B133" s="18">
        <v>9.1399999999999999E-4</v>
      </c>
    </row>
    <row r="134" spans="1:2" x14ac:dyDescent="0.25">
      <c r="A134" s="18">
        <v>137</v>
      </c>
      <c r="B134" s="18">
        <v>9.1399999999999999E-4</v>
      </c>
    </row>
    <row r="135" spans="1:2" x14ac:dyDescent="0.25">
      <c r="A135" s="18">
        <v>138</v>
      </c>
      <c r="B135" s="18">
        <v>8.8199999999999997E-4</v>
      </c>
    </row>
    <row r="136" spans="1:2" x14ac:dyDescent="0.25">
      <c r="A136" s="18">
        <v>139</v>
      </c>
      <c r="B136" s="18">
        <v>8.5700000000000001E-4</v>
      </c>
    </row>
    <row r="137" spans="1:2" x14ac:dyDescent="0.25">
      <c r="A137" s="18">
        <v>140</v>
      </c>
      <c r="B137" s="18">
        <v>8.3500000000000002E-4</v>
      </c>
    </row>
    <row r="138" spans="1:2" x14ac:dyDescent="0.25">
      <c r="A138" s="18">
        <v>141</v>
      </c>
      <c r="B138" s="18">
        <v>8.1800000000000004E-4</v>
      </c>
    </row>
    <row r="139" spans="1:2" x14ac:dyDescent="0.25">
      <c r="A139" s="18">
        <v>142</v>
      </c>
      <c r="B139" s="18">
        <v>7.7200000000000001E-4</v>
      </c>
    </row>
    <row r="140" spans="1:2" x14ac:dyDescent="0.25">
      <c r="A140" s="18">
        <v>143</v>
      </c>
      <c r="B140" s="18">
        <v>7.6800000000000002E-4</v>
      </c>
    </row>
    <row r="141" spans="1:2" x14ac:dyDescent="0.25">
      <c r="A141" s="18">
        <v>144</v>
      </c>
      <c r="B141" s="18">
        <v>7.4100000000000001E-4</v>
      </c>
    </row>
    <row r="142" spans="1:2" x14ac:dyDescent="0.25">
      <c r="A142" s="18">
        <v>145</v>
      </c>
      <c r="B142" s="18">
        <v>7.0399999999999998E-4</v>
      </c>
    </row>
    <row r="143" spans="1:2" x14ac:dyDescent="0.25">
      <c r="A143" s="18">
        <v>146</v>
      </c>
      <c r="B143" s="18">
        <v>6.8199999999999999E-4</v>
      </c>
    </row>
    <row r="144" spans="1:2" x14ac:dyDescent="0.25">
      <c r="A144" s="18">
        <v>147</v>
      </c>
      <c r="B144" s="18">
        <v>7.0699999999999995E-4</v>
      </c>
    </row>
    <row r="145" spans="1:2" x14ac:dyDescent="0.25">
      <c r="A145" s="18">
        <v>148</v>
      </c>
      <c r="B145" s="18">
        <v>6.6699999999999995E-4</v>
      </c>
    </row>
    <row r="146" spans="1:2" x14ac:dyDescent="0.25">
      <c r="A146" s="18">
        <v>149</v>
      </c>
      <c r="B146" s="18">
        <v>6.2E-4</v>
      </c>
    </row>
    <row r="147" spans="1:2" x14ac:dyDescent="0.25">
      <c r="A147" s="18">
        <v>150</v>
      </c>
      <c r="B147" s="18">
        <v>5.8900000000000001E-4</v>
      </c>
    </row>
    <row r="148" spans="1:2" x14ac:dyDescent="0.25">
      <c r="A148" s="18">
        <v>151</v>
      </c>
      <c r="B148" s="18">
        <v>5.6499999999999996E-4</v>
      </c>
    </row>
    <row r="149" spans="1:2" x14ac:dyDescent="0.25">
      <c r="A149" s="18">
        <v>152</v>
      </c>
      <c r="B149" s="18">
        <v>5.4600000000000004E-4</v>
      </c>
    </row>
    <row r="150" spans="1:2" x14ac:dyDescent="0.25">
      <c r="A150" s="18">
        <v>153</v>
      </c>
      <c r="B150" s="18">
        <v>5.0199999999999995E-4</v>
      </c>
    </row>
    <row r="151" spans="1:2" x14ac:dyDescent="0.25">
      <c r="A151" s="18">
        <v>154</v>
      </c>
      <c r="B151" s="18">
        <v>5.0600000000000005E-4</v>
      </c>
    </row>
    <row r="152" spans="1:2" x14ac:dyDescent="0.25">
      <c r="A152" s="18">
        <v>155</v>
      </c>
      <c r="B152" s="18">
        <v>4.7699999999999999E-4</v>
      </c>
    </row>
    <row r="153" spans="1:2" x14ac:dyDescent="0.25">
      <c r="A153" s="18">
        <v>156</v>
      </c>
      <c r="B153" s="18">
        <v>4.2499999999999998E-4</v>
      </c>
    </row>
    <row r="154" spans="1:2" x14ac:dyDescent="0.25">
      <c r="A154" s="18">
        <v>157</v>
      </c>
      <c r="B154" s="18">
        <v>4.17E-4</v>
      </c>
    </row>
    <row r="155" spans="1:2" x14ac:dyDescent="0.25">
      <c r="A155" s="18">
        <v>158</v>
      </c>
      <c r="B155" s="18">
        <v>3.9899999999999999E-4</v>
      </c>
    </row>
    <row r="156" spans="1:2" x14ac:dyDescent="0.25">
      <c r="A156" s="18">
        <v>159</v>
      </c>
      <c r="B156" s="18">
        <v>3.4299999999999999E-4</v>
      </c>
    </row>
    <row r="157" spans="1:2" x14ac:dyDescent="0.25">
      <c r="A157" s="18">
        <v>160</v>
      </c>
      <c r="B157" s="18">
        <v>3.2200000000000002E-4</v>
      </c>
    </row>
    <row r="158" spans="1:2" x14ac:dyDescent="0.25">
      <c r="A158" s="18">
        <v>161</v>
      </c>
      <c r="B158" s="18">
        <v>2.9799999999999998E-4</v>
      </c>
    </row>
    <row r="159" spans="1:2" x14ac:dyDescent="0.25">
      <c r="A159" s="18">
        <v>162</v>
      </c>
      <c r="B159" s="18">
        <v>2.8499999999999999E-4</v>
      </c>
    </row>
    <row r="160" spans="1:2" x14ac:dyDescent="0.25">
      <c r="A160" s="18">
        <v>163</v>
      </c>
      <c r="B160" s="18">
        <v>2.34E-4</v>
      </c>
    </row>
    <row r="161" spans="1:2" x14ac:dyDescent="0.25">
      <c r="A161" s="18">
        <v>164</v>
      </c>
      <c r="B161" s="18">
        <v>2.0799999999999999E-4</v>
      </c>
    </row>
    <row r="162" spans="1:2" x14ac:dyDescent="0.25">
      <c r="A162" s="18">
        <v>165</v>
      </c>
      <c r="B162" s="18">
        <v>1.93E-4</v>
      </c>
    </row>
    <row r="163" spans="1:2" x14ac:dyDescent="0.25">
      <c r="A163" s="18">
        <v>166</v>
      </c>
      <c r="B163" s="18">
        <v>1.4999999999999999E-4</v>
      </c>
    </row>
    <row r="164" spans="1:2" x14ac:dyDescent="0.25">
      <c r="A164" s="18">
        <v>167</v>
      </c>
      <c r="B164" s="18">
        <v>1.3200000000000001E-4</v>
      </c>
    </row>
    <row r="165" spans="1:2" x14ac:dyDescent="0.25">
      <c r="A165" s="18">
        <v>168</v>
      </c>
      <c r="B165" s="18">
        <v>1E-4</v>
      </c>
    </row>
    <row r="166" spans="1:2" x14ac:dyDescent="0.25">
      <c r="A166" s="18">
        <v>169</v>
      </c>
      <c r="B166" s="18">
        <v>5.52E-5</v>
      </c>
    </row>
    <row r="167" spans="1:2" x14ac:dyDescent="0.25">
      <c r="A167" s="18">
        <v>170</v>
      </c>
      <c r="B167" s="18">
        <v>2.23E-5</v>
      </c>
    </row>
    <row r="168" spans="1:2" x14ac:dyDescent="0.25">
      <c r="A168" s="18">
        <v>171</v>
      </c>
      <c r="B168" s="18">
        <v>1.1800000000000001E-5</v>
      </c>
    </row>
    <row r="169" spans="1:2" x14ac:dyDescent="0.25">
      <c r="A169" s="18">
        <v>172</v>
      </c>
      <c r="B169" s="18">
        <v>1.04E-5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1:B209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4.6899999999999997E-3</v>
      </c>
    </row>
    <row r="3" spans="1:2" x14ac:dyDescent="0.25">
      <c r="A3" s="18">
        <v>6</v>
      </c>
      <c r="B3" s="18">
        <v>2.8500000000000001E-3</v>
      </c>
    </row>
    <row r="4" spans="1:2" x14ac:dyDescent="0.25">
      <c r="A4" s="18">
        <v>7</v>
      </c>
      <c r="B4" s="18">
        <v>1.8500000000000001E-3</v>
      </c>
    </row>
    <row r="5" spans="1:2" x14ac:dyDescent="0.25">
      <c r="A5" s="18">
        <v>8</v>
      </c>
      <c r="B5" s="18">
        <v>1.67E-2</v>
      </c>
    </row>
    <row r="6" spans="1:2" x14ac:dyDescent="0.25">
      <c r="A6" s="18">
        <v>9</v>
      </c>
      <c r="B6" s="18">
        <v>2.4899999999999999E-2</v>
      </c>
    </row>
    <row r="7" spans="1:2" x14ac:dyDescent="0.25">
      <c r="A7" s="18">
        <v>10</v>
      </c>
      <c r="B7" s="18">
        <v>9.3899999999999997E-2</v>
      </c>
    </row>
    <row r="8" spans="1:2" x14ac:dyDescent="0.25">
      <c r="A8" s="18">
        <v>11</v>
      </c>
      <c r="B8" s="18">
        <v>1.7999999999999999E-2</v>
      </c>
    </row>
    <row r="9" spans="1:2" x14ac:dyDescent="0.25">
      <c r="A9" s="18">
        <v>12</v>
      </c>
      <c r="B9" s="18">
        <v>2.01E-2</v>
      </c>
    </row>
    <row r="10" spans="1:2" x14ac:dyDescent="0.25">
      <c r="A10" s="18">
        <v>13</v>
      </c>
      <c r="B10" s="18">
        <v>1.3299999999999999E-2</v>
      </c>
    </row>
    <row r="11" spans="1:2" x14ac:dyDescent="0.25">
      <c r="A11" s="18">
        <v>14</v>
      </c>
      <c r="B11" s="18">
        <v>1.5699999999999999E-2</v>
      </c>
    </row>
    <row r="12" spans="1:2" x14ac:dyDescent="0.25">
      <c r="A12" s="18">
        <v>15</v>
      </c>
      <c r="B12" s="18">
        <v>1.7500000000000002E-2</v>
      </c>
    </row>
    <row r="13" spans="1:2" x14ac:dyDescent="0.25">
      <c r="A13" s="18">
        <v>16</v>
      </c>
      <c r="B13" s="18">
        <v>1.9E-2</v>
      </c>
    </row>
    <row r="14" spans="1:2" x14ac:dyDescent="0.25">
      <c r="A14" s="18">
        <v>17</v>
      </c>
      <c r="B14" s="18">
        <v>1.95E-2</v>
      </c>
    </row>
    <row r="15" spans="1:2" x14ac:dyDescent="0.25">
      <c r="A15" s="18">
        <v>18</v>
      </c>
      <c r="B15" s="18">
        <v>2.0199999999999999E-2</v>
      </c>
    </row>
    <row r="16" spans="1:2" x14ac:dyDescent="0.25">
      <c r="A16" s="18">
        <v>19</v>
      </c>
      <c r="B16" s="18">
        <v>2.07E-2</v>
      </c>
    </row>
    <row r="17" spans="1:2" x14ac:dyDescent="0.25">
      <c r="A17" s="18">
        <v>20</v>
      </c>
      <c r="B17" s="18">
        <v>2.0400000000000001E-2</v>
      </c>
    </row>
    <row r="18" spans="1:2" x14ac:dyDescent="0.25">
      <c r="A18" s="18">
        <v>21</v>
      </c>
      <c r="B18" s="18">
        <v>2.01E-2</v>
      </c>
    </row>
    <row r="19" spans="1:2" x14ac:dyDescent="0.25">
      <c r="A19" s="18">
        <v>22</v>
      </c>
      <c r="B19" s="18">
        <v>2.06E-2</v>
      </c>
    </row>
    <row r="20" spans="1:2" x14ac:dyDescent="0.25">
      <c r="A20" s="18">
        <v>23</v>
      </c>
      <c r="B20" s="18">
        <v>1.9300000000000001E-2</v>
      </c>
    </row>
    <row r="21" spans="1:2" x14ac:dyDescent="0.25">
      <c r="A21" s="18">
        <v>24</v>
      </c>
      <c r="B21" s="18">
        <v>1.8700000000000001E-2</v>
      </c>
    </row>
    <row r="22" spans="1:2" x14ac:dyDescent="0.25">
      <c r="A22" s="18">
        <v>25</v>
      </c>
      <c r="B22" s="18">
        <v>1.8200000000000001E-2</v>
      </c>
    </row>
    <row r="23" spans="1:2" x14ac:dyDescent="0.25">
      <c r="A23" s="18">
        <v>26</v>
      </c>
      <c r="B23" s="18">
        <v>1.7299999999999999E-2</v>
      </c>
    </row>
    <row r="24" spans="1:2" x14ac:dyDescent="0.25">
      <c r="A24" s="18">
        <v>27</v>
      </c>
      <c r="B24" s="18">
        <v>1.6500000000000001E-2</v>
      </c>
    </row>
    <row r="25" spans="1:2" x14ac:dyDescent="0.25">
      <c r="A25" s="18">
        <v>28</v>
      </c>
      <c r="B25" s="18">
        <v>1.5599999999999999E-2</v>
      </c>
    </row>
    <row r="26" spans="1:2" x14ac:dyDescent="0.25">
      <c r="A26" s="18">
        <v>29</v>
      </c>
      <c r="B26" s="18">
        <v>1.49E-2</v>
      </c>
    </row>
    <row r="27" spans="1:2" x14ac:dyDescent="0.25">
      <c r="A27" s="18">
        <v>30</v>
      </c>
      <c r="B27" s="18">
        <v>1.3899999999999999E-2</v>
      </c>
    </row>
    <row r="28" spans="1:2" x14ac:dyDescent="0.25">
      <c r="A28" s="18">
        <v>31</v>
      </c>
      <c r="B28" s="18">
        <v>1.3299999999999999E-2</v>
      </c>
    </row>
    <row r="29" spans="1:2" x14ac:dyDescent="0.25">
      <c r="A29" s="18">
        <v>32</v>
      </c>
      <c r="B29" s="18">
        <v>1.2699999999999999E-2</v>
      </c>
    </row>
    <row r="30" spans="1:2" x14ac:dyDescent="0.25">
      <c r="A30" s="18">
        <v>33</v>
      </c>
      <c r="B30" s="18">
        <v>1.21E-2</v>
      </c>
    </row>
    <row r="31" spans="1:2" x14ac:dyDescent="0.25">
      <c r="A31" s="18">
        <v>34</v>
      </c>
      <c r="B31" s="18">
        <v>1.14E-2</v>
      </c>
    </row>
    <row r="32" spans="1:2" x14ac:dyDescent="0.25">
      <c r="A32" s="18">
        <v>35</v>
      </c>
      <c r="B32" s="18">
        <v>1.09E-2</v>
      </c>
    </row>
    <row r="33" spans="1:2" x14ac:dyDescent="0.25">
      <c r="A33" s="18">
        <v>36</v>
      </c>
      <c r="B33" s="18">
        <v>1.0200000000000001E-2</v>
      </c>
    </row>
    <row r="34" spans="1:2" x14ac:dyDescent="0.25">
      <c r="A34" s="18">
        <v>37</v>
      </c>
      <c r="B34" s="18">
        <v>9.6600000000000002E-3</v>
      </c>
    </row>
    <row r="35" spans="1:2" x14ac:dyDescent="0.25">
      <c r="A35" s="18">
        <v>38</v>
      </c>
      <c r="B35" s="18">
        <v>9.1599999999999997E-3</v>
      </c>
    </row>
    <row r="36" spans="1:2" x14ac:dyDescent="0.25">
      <c r="A36" s="18">
        <v>39</v>
      </c>
      <c r="B36" s="18">
        <v>8.6199999999999992E-3</v>
      </c>
    </row>
    <row r="37" spans="1:2" x14ac:dyDescent="0.25">
      <c r="A37" s="18">
        <v>40</v>
      </c>
      <c r="B37" s="18">
        <v>8.1499999999999993E-3</v>
      </c>
    </row>
    <row r="38" spans="1:2" x14ac:dyDescent="0.25">
      <c r="A38" s="18">
        <v>41</v>
      </c>
      <c r="B38" s="18">
        <v>7.8700000000000003E-3</v>
      </c>
    </row>
    <row r="39" spans="1:2" x14ac:dyDescent="0.25">
      <c r="A39" s="18">
        <v>42</v>
      </c>
      <c r="B39" s="18">
        <v>7.4999999999999997E-3</v>
      </c>
    </row>
    <row r="40" spans="1:2" x14ac:dyDescent="0.25">
      <c r="A40" s="18">
        <v>43</v>
      </c>
      <c r="B40" s="18">
        <v>7.2199999999999999E-3</v>
      </c>
    </row>
    <row r="41" spans="1:2" x14ac:dyDescent="0.25">
      <c r="A41" s="18">
        <v>44</v>
      </c>
      <c r="B41" s="18">
        <v>6.8900000000000003E-3</v>
      </c>
    </row>
    <row r="42" spans="1:2" x14ac:dyDescent="0.25">
      <c r="A42" s="18">
        <v>45</v>
      </c>
      <c r="B42" s="18">
        <v>6.5199999999999998E-3</v>
      </c>
    </row>
    <row r="43" spans="1:2" x14ac:dyDescent="0.25">
      <c r="A43" s="18">
        <v>46</v>
      </c>
      <c r="B43" s="18">
        <v>6.28E-3</v>
      </c>
    </row>
    <row r="44" spans="1:2" x14ac:dyDescent="0.25">
      <c r="A44" s="18">
        <v>47</v>
      </c>
      <c r="B44" s="18">
        <v>6.0200000000000002E-3</v>
      </c>
    </row>
    <row r="45" spans="1:2" x14ac:dyDescent="0.25">
      <c r="A45" s="18">
        <v>48</v>
      </c>
      <c r="B45" s="18">
        <v>5.7800000000000004E-3</v>
      </c>
    </row>
    <row r="46" spans="1:2" x14ac:dyDescent="0.25">
      <c r="A46" s="18">
        <v>49</v>
      </c>
      <c r="B46" s="18">
        <v>5.5100000000000001E-3</v>
      </c>
    </row>
    <row r="47" spans="1:2" x14ac:dyDescent="0.25">
      <c r="A47" s="18">
        <v>50</v>
      </c>
      <c r="B47" s="18">
        <v>5.3600000000000002E-3</v>
      </c>
    </row>
    <row r="48" spans="1:2" x14ac:dyDescent="0.25">
      <c r="A48" s="18">
        <v>51</v>
      </c>
      <c r="B48" s="18">
        <v>5.1399999999999996E-3</v>
      </c>
    </row>
    <row r="49" spans="1:2" x14ac:dyDescent="0.25">
      <c r="A49" s="18">
        <v>52</v>
      </c>
      <c r="B49" s="18">
        <v>4.9500000000000004E-3</v>
      </c>
    </row>
    <row r="50" spans="1:2" x14ac:dyDescent="0.25">
      <c r="A50" s="18">
        <v>53</v>
      </c>
      <c r="B50" s="18">
        <v>4.8399999999999997E-3</v>
      </c>
    </row>
    <row r="51" spans="1:2" x14ac:dyDescent="0.25">
      <c r="A51" s="18">
        <v>54</v>
      </c>
      <c r="B51" s="18">
        <v>4.6699999999999997E-3</v>
      </c>
    </row>
    <row r="52" spans="1:2" x14ac:dyDescent="0.25">
      <c r="A52" s="18">
        <v>55</v>
      </c>
      <c r="B52" s="18">
        <v>4.5399999999999998E-3</v>
      </c>
    </row>
    <row r="53" spans="1:2" x14ac:dyDescent="0.25">
      <c r="A53" s="18">
        <v>56</v>
      </c>
      <c r="B53" s="18">
        <v>4.45E-3</v>
      </c>
    </row>
    <row r="54" spans="1:2" x14ac:dyDescent="0.25">
      <c r="A54" s="18">
        <v>57</v>
      </c>
      <c r="B54" s="18">
        <v>4.6699999999999997E-3</v>
      </c>
    </row>
    <row r="55" spans="1:2" x14ac:dyDescent="0.25">
      <c r="A55" s="18">
        <v>58</v>
      </c>
      <c r="B55" s="18">
        <v>1.84E-2</v>
      </c>
    </row>
    <row r="56" spans="1:2" x14ac:dyDescent="0.25">
      <c r="A56" s="18">
        <v>59</v>
      </c>
      <c r="B56" s="18">
        <v>2.0899999999999998E-2</v>
      </c>
    </row>
    <row r="57" spans="1:2" x14ac:dyDescent="0.25">
      <c r="A57" s="18">
        <v>60</v>
      </c>
      <c r="B57" s="18">
        <v>1.5299999999999999E-2</v>
      </c>
    </row>
    <row r="58" spans="1:2" x14ac:dyDescent="0.25">
      <c r="A58" s="18">
        <v>61</v>
      </c>
      <c r="B58" s="18">
        <v>3.9100000000000003E-3</v>
      </c>
    </row>
    <row r="59" spans="1:2" x14ac:dyDescent="0.25">
      <c r="A59" s="18">
        <v>62</v>
      </c>
      <c r="B59" s="18">
        <v>3.7699999999999999E-3</v>
      </c>
    </row>
    <row r="60" spans="1:2" x14ac:dyDescent="0.25">
      <c r="A60" s="18">
        <v>63</v>
      </c>
      <c r="B60" s="18">
        <v>3.6700000000000001E-3</v>
      </c>
    </row>
    <row r="61" spans="1:2" x14ac:dyDescent="0.25">
      <c r="A61" s="18">
        <v>64</v>
      </c>
      <c r="B61" s="18">
        <v>3.5999999999999999E-3</v>
      </c>
    </row>
    <row r="62" spans="1:2" x14ac:dyDescent="0.25">
      <c r="A62" s="18">
        <v>65</v>
      </c>
      <c r="B62" s="18">
        <v>3.5699999999999998E-3</v>
      </c>
    </row>
    <row r="63" spans="1:2" x14ac:dyDescent="0.25">
      <c r="A63" s="18">
        <v>66</v>
      </c>
      <c r="B63" s="18">
        <v>3.64E-3</v>
      </c>
    </row>
    <row r="64" spans="1:2" x14ac:dyDescent="0.25">
      <c r="A64" s="18">
        <v>67</v>
      </c>
      <c r="B64" s="18">
        <v>1.11E-2</v>
      </c>
    </row>
    <row r="65" spans="1:2" x14ac:dyDescent="0.25">
      <c r="A65" s="18">
        <v>68</v>
      </c>
      <c r="B65" s="18">
        <v>5.79E-3</v>
      </c>
    </row>
    <row r="66" spans="1:2" x14ac:dyDescent="0.25">
      <c r="A66" s="18">
        <v>69</v>
      </c>
      <c r="B66" s="18">
        <v>5.45E-3</v>
      </c>
    </row>
    <row r="67" spans="1:2" x14ac:dyDescent="0.25">
      <c r="A67" s="18">
        <v>70</v>
      </c>
      <c r="B67" s="18">
        <v>3.15E-3</v>
      </c>
    </row>
    <row r="68" spans="1:2" x14ac:dyDescent="0.25">
      <c r="A68" s="18">
        <v>71</v>
      </c>
      <c r="B68" s="18">
        <v>2.4499999999999999E-3</v>
      </c>
    </row>
    <row r="69" spans="1:2" x14ac:dyDescent="0.25">
      <c r="A69" s="18">
        <v>72</v>
      </c>
      <c r="B69" s="18">
        <v>2.4299999999999999E-3</v>
      </c>
    </row>
    <row r="70" spans="1:2" x14ac:dyDescent="0.25">
      <c r="A70" s="18">
        <v>73</v>
      </c>
      <c r="B70" s="18">
        <v>2.4399999999999999E-3</v>
      </c>
    </row>
    <row r="71" spans="1:2" x14ac:dyDescent="0.25">
      <c r="A71" s="18">
        <v>74</v>
      </c>
      <c r="B71" s="18">
        <v>2.3800000000000002E-3</v>
      </c>
    </row>
    <row r="72" spans="1:2" x14ac:dyDescent="0.25">
      <c r="A72" s="18">
        <v>75</v>
      </c>
      <c r="B72" s="18">
        <v>2.3800000000000002E-3</v>
      </c>
    </row>
    <row r="73" spans="1:2" x14ac:dyDescent="0.25">
      <c r="A73" s="18">
        <v>76</v>
      </c>
      <c r="B73" s="18">
        <v>2.3400000000000001E-3</v>
      </c>
    </row>
    <row r="74" spans="1:2" x14ac:dyDescent="0.25">
      <c r="A74" s="18">
        <v>77</v>
      </c>
      <c r="B74" s="18">
        <v>2.33E-3</v>
      </c>
    </row>
    <row r="75" spans="1:2" x14ac:dyDescent="0.25">
      <c r="A75" s="18">
        <v>78</v>
      </c>
      <c r="B75" s="18">
        <v>2.31E-3</v>
      </c>
    </row>
    <row r="76" spans="1:2" x14ac:dyDescent="0.25">
      <c r="A76" s="18">
        <v>79</v>
      </c>
      <c r="B76" s="18">
        <v>2.2899999999999999E-3</v>
      </c>
    </row>
    <row r="77" spans="1:2" x14ac:dyDescent="0.25">
      <c r="A77" s="18">
        <v>80</v>
      </c>
      <c r="B77" s="18">
        <v>2.2499999999999998E-3</v>
      </c>
    </row>
    <row r="78" spans="1:2" x14ac:dyDescent="0.25">
      <c r="A78" s="18">
        <v>81</v>
      </c>
      <c r="B78" s="18">
        <v>2.2499999999999998E-3</v>
      </c>
    </row>
    <row r="79" spans="1:2" x14ac:dyDescent="0.25">
      <c r="A79" s="18">
        <v>82</v>
      </c>
      <c r="B79" s="18">
        <v>2.2399999999999998E-3</v>
      </c>
    </row>
    <row r="80" spans="1:2" x14ac:dyDescent="0.25">
      <c r="A80" s="18">
        <v>83</v>
      </c>
      <c r="B80" s="18">
        <v>2.2399999999999998E-3</v>
      </c>
    </row>
    <row r="81" spans="1:2" x14ac:dyDescent="0.25">
      <c r="A81" s="18">
        <v>84</v>
      </c>
      <c r="B81" s="18">
        <v>2.2100000000000002E-3</v>
      </c>
    </row>
    <row r="82" spans="1:2" x14ac:dyDescent="0.25">
      <c r="A82" s="18">
        <v>85</v>
      </c>
      <c r="B82" s="18">
        <v>2.2100000000000002E-3</v>
      </c>
    </row>
    <row r="83" spans="1:2" x14ac:dyDescent="0.25">
      <c r="A83" s="18">
        <v>86</v>
      </c>
      <c r="B83" s="18">
        <v>2.2399999999999998E-3</v>
      </c>
    </row>
    <row r="84" spans="1:2" x14ac:dyDescent="0.25">
      <c r="A84" s="18">
        <v>87</v>
      </c>
      <c r="B84" s="18">
        <v>2.2000000000000001E-3</v>
      </c>
    </row>
    <row r="85" spans="1:2" x14ac:dyDescent="0.25">
      <c r="A85" s="18">
        <v>88</v>
      </c>
      <c r="B85" s="18">
        <v>2.16E-3</v>
      </c>
    </row>
    <row r="86" spans="1:2" x14ac:dyDescent="0.25">
      <c r="A86" s="18">
        <v>89</v>
      </c>
      <c r="B86" s="18">
        <v>2.1299999999999999E-3</v>
      </c>
    </row>
    <row r="87" spans="1:2" x14ac:dyDescent="0.25">
      <c r="A87" s="18">
        <v>90</v>
      </c>
      <c r="B87" s="18">
        <v>2.1199999999999999E-3</v>
      </c>
    </row>
    <row r="88" spans="1:2" x14ac:dyDescent="0.25">
      <c r="A88" s="18">
        <v>91</v>
      </c>
      <c r="B88" s="18">
        <v>2.0999999999999999E-3</v>
      </c>
    </row>
    <row r="89" spans="1:2" x14ac:dyDescent="0.25">
      <c r="A89" s="18">
        <v>92</v>
      </c>
      <c r="B89" s="18">
        <v>2.0799999999999998E-3</v>
      </c>
    </row>
    <row r="90" spans="1:2" x14ac:dyDescent="0.25">
      <c r="A90" s="18">
        <v>93</v>
      </c>
      <c r="B90" s="18">
        <v>2.0500000000000002E-3</v>
      </c>
    </row>
    <row r="91" spans="1:2" x14ac:dyDescent="0.25">
      <c r="A91" s="18">
        <v>94</v>
      </c>
      <c r="B91" s="18">
        <v>2.0100000000000001E-3</v>
      </c>
    </row>
    <row r="92" spans="1:2" x14ac:dyDescent="0.25">
      <c r="A92" s="18">
        <v>95</v>
      </c>
      <c r="B92" s="18">
        <v>2.0500000000000002E-3</v>
      </c>
    </row>
    <row r="93" spans="1:2" x14ac:dyDescent="0.25">
      <c r="A93" s="18">
        <v>96</v>
      </c>
      <c r="B93" s="18">
        <v>2.0500000000000002E-3</v>
      </c>
    </row>
    <row r="94" spans="1:2" x14ac:dyDescent="0.25">
      <c r="A94" s="18">
        <v>97</v>
      </c>
      <c r="B94" s="18">
        <v>2E-3</v>
      </c>
    </row>
    <row r="95" spans="1:2" x14ac:dyDescent="0.25">
      <c r="A95" s="18">
        <v>98</v>
      </c>
      <c r="B95" s="18">
        <v>1.99E-3</v>
      </c>
    </row>
    <row r="96" spans="1:2" x14ac:dyDescent="0.25">
      <c r="A96" s="18">
        <v>99</v>
      </c>
      <c r="B96" s="18">
        <v>1.98E-3</v>
      </c>
    </row>
    <row r="97" spans="1:2" x14ac:dyDescent="0.25">
      <c r="A97" s="18">
        <v>100</v>
      </c>
      <c r="B97" s="18">
        <v>1.9599999999999999E-3</v>
      </c>
    </row>
    <row r="98" spans="1:2" x14ac:dyDescent="0.25">
      <c r="A98" s="18">
        <v>101</v>
      </c>
      <c r="B98" s="18">
        <v>1.9499999999999999E-3</v>
      </c>
    </row>
    <row r="99" spans="1:2" x14ac:dyDescent="0.25">
      <c r="A99" s="18">
        <v>102</v>
      </c>
      <c r="B99" s="18">
        <v>1.9300000000000001E-3</v>
      </c>
    </row>
    <row r="100" spans="1:2" x14ac:dyDescent="0.25">
      <c r="A100" s="18">
        <v>103</v>
      </c>
      <c r="B100" s="18">
        <v>1.9300000000000001E-3</v>
      </c>
    </row>
    <row r="101" spans="1:2" x14ac:dyDescent="0.25">
      <c r="A101" s="18">
        <v>104</v>
      </c>
      <c r="B101" s="18">
        <v>1.91E-3</v>
      </c>
    </row>
    <row r="102" spans="1:2" x14ac:dyDescent="0.25">
      <c r="A102" s="18">
        <v>105</v>
      </c>
      <c r="B102" s="18">
        <v>1.91E-3</v>
      </c>
    </row>
    <row r="103" spans="1:2" x14ac:dyDescent="0.25">
      <c r="A103" s="18">
        <v>106</v>
      </c>
      <c r="B103" s="18">
        <v>1.89E-3</v>
      </c>
    </row>
    <row r="104" spans="1:2" x14ac:dyDescent="0.25">
      <c r="A104" s="18">
        <v>107</v>
      </c>
      <c r="B104" s="18">
        <v>1.89E-3</v>
      </c>
    </row>
    <row r="105" spans="1:2" x14ac:dyDescent="0.25">
      <c r="A105" s="18">
        <v>108</v>
      </c>
      <c r="B105" s="18">
        <v>1.89E-3</v>
      </c>
    </row>
    <row r="106" spans="1:2" x14ac:dyDescent="0.25">
      <c r="A106" s="18">
        <v>109</v>
      </c>
      <c r="B106" s="18">
        <v>1.9300000000000001E-3</v>
      </c>
    </row>
    <row r="107" spans="1:2" x14ac:dyDescent="0.25">
      <c r="A107" s="18">
        <v>110</v>
      </c>
      <c r="B107" s="18">
        <v>1.91E-3</v>
      </c>
    </row>
    <row r="108" spans="1:2" x14ac:dyDescent="0.25">
      <c r="A108" s="18">
        <v>111</v>
      </c>
      <c r="B108" s="18">
        <v>1.8600000000000001E-3</v>
      </c>
    </row>
    <row r="109" spans="1:2" x14ac:dyDescent="0.25">
      <c r="A109" s="18">
        <v>112</v>
      </c>
      <c r="B109" s="18">
        <v>1.83E-3</v>
      </c>
    </row>
    <row r="110" spans="1:2" x14ac:dyDescent="0.25">
      <c r="A110" s="18">
        <v>113</v>
      </c>
      <c r="B110" s="18">
        <v>1.8500000000000001E-3</v>
      </c>
    </row>
    <row r="111" spans="1:2" x14ac:dyDescent="0.25">
      <c r="A111" s="18">
        <v>114</v>
      </c>
      <c r="B111" s="18">
        <v>1.81E-3</v>
      </c>
    </row>
    <row r="112" spans="1:2" x14ac:dyDescent="0.25">
      <c r="A112" s="18">
        <v>115</v>
      </c>
      <c r="B112" s="18">
        <v>1.8E-3</v>
      </c>
    </row>
    <row r="113" spans="1:2" x14ac:dyDescent="0.25">
      <c r="A113" s="18">
        <v>116</v>
      </c>
      <c r="B113" s="18">
        <v>1.7899999999999999E-3</v>
      </c>
    </row>
    <row r="114" spans="1:2" x14ac:dyDescent="0.25">
      <c r="A114" s="18">
        <v>117</v>
      </c>
      <c r="B114" s="18">
        <v>1.81E-3</v>
      </c>
    </row>
    <row r="115" spans="1:2" x14ac:dyDescent="0.25">
      <c r="A115" s="18">
        <v>118</v>
      </c>
      <c r="B115" s="18">
        <v>1.7700000000000001E-3</v>
      </c>
    </row>
    <row r="116" spans="1:2" x14ac:dyDescent="0.25">
      <c r="A116" s="18">
        <v>119</v>
      </c>
      <c r="B116" s="18">
        <v>1.8E-3</v>
      </c>
    </row>
    <row r="117" spans="1:2" x14ac:dyDescent="0.25">
      <c r="A117" s="18">
        <v>120</v>
      </c>
      <c r="B117" s="18">
        <v>1.74E-3</v>
      </c>
    </row>
    <row r="118" spans="1:2" x14ac:dyDescent="0.25">
      <c r="A118" s="18">
        <v>121</v>
      </c>
      <c r="B118" s="18">
        <v>1.75E-3</v>
      </c>
    </row>
    <row r="119" spans="1:2" x14ac:dyDescent="0.25">
      <c r="A119" s="18">
        <v>122</v>
      </c>
      <c r="B119" s="18">
        <v>1.6999999999999999E-3</v>
      </c>
    </row>
    <row r="120" spans="1:2" x14ac:dyDescent="0.25">
      <c r="A120" s="18">
        <v>123</v>
      </c>
      <c r="B120" s="18">
        <v>1.6800000000000001E-3</v>
      </c>
    </row>
    <row r="121" spans="1:2" x14ac:dyDescent="0.25">
      <c r="A121" s="18">
        <v>124</v>
      </c>
      <c r="B121" s="18">
        <v>1.6299999999999999E-3</v>
      </c>
    </row>
    <row r="122" spans="1:2" x14ac:dyDescent="0.25">
      <c r="A122" s="18">
        <v>125</v>
      </c>
      <c r="B122" s="18">
        <v>1.6999999999999999E-3</v>
      </c>
    </row>
    <row r="123" spans="1:2" x14ac:dyDescent="0.25">
      <c r="A123" s="18">
        <v>126</v>
      </c>
      <c r="B123" s="18">
        <v>1.65E-3</v>
      </c>
    </row>
    <row r="124" spans="1:2" x14ac:dyDescent="0.25">
      <c r="A124" s="18">
        <v>127</v>
      </c>
      <c r="B124" s="18">
        <v>1.66E-3</v>
      </c>
    </row>
    <row r="125" spans="1:2" x14ac:dyDescent="0.25">
      <c r="A125" s="18">
        <v>128</v>
      </c>
      <c r="B125" s="18">
        <v>1.6199999999999999E-3</v>
      </c>
    </row>
    <row r="126" spans="1:2" x14ac:dyDescent="0.25">
      <c r="A126" s="18">
        <v>129</v>
      </c>
      <c r="B126" s="18">
        <v>1.6000000000000001E-3</v>
      </c>
    </row>
    <row r="127" spans="1:2" x14ac:dyDescent="0.25">
      <c r="A127" s="18">
        <v>130</v>
      </c>
      <c r="B127" s="18">
        <v>1.6000000000000001E-3</v>
      </c>
    </row>
    <row r="128" spans="1:2" x14ac:dyDescent="0.25">
      <c r="A128" s="18">
        <v>131</v>
      </c>
      <c r="B128" s="18">
        <v>1.56E-3</v>
      </c>
    </row>
    <row r="129" spans="1:2" x14ac:dyDescent="0.25">
      <c r="A129" s="18">
        <v>132</v>
      </c>
      <c r="B129" s="18">
        <v>1.5900000000000001E-3</v>
      </c>
    </row>
    <row r="130" spans="1:2" x14ac:dyDescent="0.25">
      <c r="A130" s="18">
        <v>133</v>
      </c>
      <c r="B130" s="18">
        <v>1.57E-3</v>
      </c>
    </row>
    <row r="131" spans="1:2" x14ac:dyDescent="0.25">
      <c r="A131" s="18">
        <v>134</v>
      </c>
      <c r="B131" s="18">
        <v>1.5299999999999999E-3</v>
      </c>
    </row>
    <row r="132" spans="1:2" x14ac:dyDescent="0.25">
      <c r="A132" s="18">
        <v>135</v>
      </c>
      <c r="B132" s="18">
        <v>1.5399999999999999E-3</v>
      </c>
    </row>
    <row r="133" spans="1:2" x14ac:dyDescent="0.25">
      <c r="A133" s="18">
        <v>136</v>
      </c>
      <c r="B133" s="18">
        <v>1.48E-3</v>
      </c>
    </row>
    <row r="134" spans="1:2" x14ac:dyDescent="0.25">
      <c r="A134" s="18">
        <v>137</v>
      </c>
      <c r="B134" s="18">
        <v>1.5100000000000001E-3</v>
      </c>
    </row>
    <row r="135" spans="1:2" x14ac:dyDescent="0.25">
      <c r="A135" s="18">
        <v>138</v>
      </c>
      <c r="B135" s="18">
        <v>1.4400000000000001E-3</v>
      </c>
    </row>
    <row r="136" spans="1:2" x14ac:dyDescent="0.25">
      <c r="A136" s="18">
        <v>139</v>
      </c>
      <c r="B136" s="18">
        <v>1.4499999999999999E-3</v>
      </c>
    </row>
    <row r="137" spans="1:2" x14ac:dyDescent="0.25">
      <c r="A137" s="18">
        <v>140</v>
      </c>
      <c r="B137" s="18">
        <v>1.41E-3</v>
      </c>
    </row>
    <row r="138" spans="1:2" x14ac:dyDescent="0.25">
      <c r="A138" s="18">
        <v>141</v>
      </c>
      <c r="B138" s="18">
        <v>1.4E-3</v>
      </c>
    </row>
    <row r="139" spans="1:2" x14ac:dyDescent="0.25">
      <c r="A139" s="18">
        <v>142</v>
      </c>
      <c r="B139" s="18">
        <v>1.4499999999999999E-3</v>
      </c>
    </row>
    <row r="140" spans="1:2" x14ac:dyDescent="0.25">
      <c r="A140" s="18">
        <v>143</v>
      </c>
      <c r="B140" s="18">
        <v>1.4E-3</v>
      </c>
    </row>
    <row r="141" spans="1:2" x14ac:dyDescent="0.25">
      <c r="A141" s="18">
        <v>144</v>
      </c>
      <c r="B141" s="18">
        <v>1.3500000000000001E-3</v>
      </c>
    </row>
    <row r="142" spans="1:2" x14ac:dyDescent="0.25">
      <c r="A142" s="18">
        <v>145</v>
      </c>
      <c r="B142" s="18">
        <v>1.31E-3</v>
      </c>
    </row>
    <row r="143" spans="1:2" x14ac:dyDescent="0.25">
      <c r="A143" s="18">
        <v>146</v>
      </c>
      <c r="B143" s="18">
        <v>1.31E-3</v>
      </c>
    </row>
    <row r="144" spans="1:2" x14ac:dyDescent="0.25">
      <c r="A144" s="18">
        <v>147</v>
      </c>
      <c r="B144" s="18">
        <v>1.2999999999999999E-3</v>
      </c>
    </row>
    <row r="145" spans="1:2" x14ac:dyDescent="0.25">
      <c r="A145" s="18">
        <v>148</v>
      </c>
      <c r="B145" s="18">
        <v>1.2999999999999999E-3</v>
      </c>
    </row>
    <row r="146" spans="1:2" x14ac:dyDescent="0.25">
      <c r="A146" s="18">
        <v>149</v>
      </c>
      <c r="B146" s="18">
        <v>1.25E-3</v>
      </c>
    </row>
    <row r="147" spans="1:2" x14ac:dyDescent="0.25">
      <c r="A147" s="18">
        <v>150</v>
      </c>
      <c r="B147" s="18">
        <v>1.25E-3</v>
      </c>
    </row>
    <row r="148" spans="1:2" x14ac:dyDescent="0.25">
      <c r="A148" s="18">
        <v>151</v>
      </c>
      <c r="B148" s="18">
        <v>1.25E-3</v>
      </c>
    </row>
    <row r="149" spans="1:2" x14ac:dyDescent="0.25">
      <c r="A149" s="18">
        <v>152</v>
      </c>
      <c r="B149" s="18">
        <v>1.2199999999999999E-3</v>
      </c>
    </row>
    <row r="150" spans="1:2" x14ac:dyDescent="0.25">
      <c r="A150" s="18">
        <v>153</v>
      </c>
      <c r="B150" s="18">
        <v>1.2199999999999999E-3</v>
      </c>
    </row>
    <row r="151" spans="1:2" x14ac:dyDescent="0.25">
      <c r="A151" s="18">
        <v>154</v>
      </c>
      <c r="B151" s="18">
        <v>1.1999999999999999E-3</v>
      </c>
    </row>
    <row r="152" spans="1:2" x14ac:dyDescent="0.25">
      <c r="A152" s="18">
        <v>155</v>
      </c>
      <c r="B152" s="18">
        <v>1.1900000000000001E-3</v>
      </c>
    </row>
    <row r="153" spans="1:2" x14ac:dyDescent="0.25">
      <c r="A153" s="18">
        <v>156</v>
      </c>
      <c r="B153" s="18">
        <v>1.16E-3</v>
      </c>
    </row>
    <row r="154" spans="1:2" x14ac:dyDescent="0.25">
      <c r="A154" s="18">
        <v>157</v>
      </c>
      <c r="B154" s="18">
        <v>1.16E-3</v>
      </c>
    </row>
    <row r="155" spans="1:2" x14ac:dyDescent="0.25">
      <c r="A155" s="18">
        <v>158</v>
      </c>
      <c r="B155" s="18">
        <v>1.14E-3</v>
      </c>
    </row>
    <row r="156" spans="1:2" x14ac:dyDescent="0.25">
      <c r="A156" s="18">
        <v>159</v>
      </c>
      <c r="B156" s="18">
        <v>1.14E-3</v>
      </c>
    </row>
    <row r="157" spans="1:2" x14ac:dyDescent="0.25">
      <c r="A157" s="18">
        <v>160</v>
      </c>
      <c r="B157" s="18">
        <v>1.1100000000000001E-3</v>
      </c>
    </row>
    <row r="158" spans="1:2" x14ac:dyDescent="0.25">
      <c r="A158" s="18">
        <v>161</v>
      </c>
      <c r="B158" s="18">
        <v>1.09E-3</v>
      </c>
    </row>
    <row r="159" spans="1:2" x14ac:dyDescent="0.25">
      <c r="A159" s="18">
        <v>162</v>
      </c>
      <c r="B159" s="18">
        <v>1.06E-3</v>
      </c>
    </row>
    <row r="160" spans="1:2" x14ac:dyDescent="0.25">
      <c r="A160" s="18">
        <v>163</v>
      </c>
      <c r="B160" s="18">
        <v>1.0200000000000001E-3</v>
      </c>
    </row>
    <row r="161" spans="1:2" x14ac:dyDescent="0.25">
      <c r="A161" s="18">
        <v>164</v>
      </c>
      <c r="B161" s="18">
        <v>1.0399999999999999E-3</v>
      </c>
    </row>
    <row r="162" spans="1:2" x14ac:dyDescent="0.25">
      <c r="A162" s="18">
        <v>165</v>
      </c>
      <c r="B162" s="18">
        <v>1.01E-3</v>
      </c>
    </row>
    <row r="163" spans="1:2" x14ac:dyDescent="0.25">
      <c r="A163" s="18">
        <v>166</v>
      </c>
      <c r="B163" s="18">
        <v>9.6500000000000004E-4</v>
      </c>
    </row>
    <row r="164" spans="1:2" x14ac:dyDescent="0.25">
      <c r="A164" s="18">
        <v>167</v>
      </c>
      <c r="B164" s="18">
        <v>9.7000000000000005E-4</v>
      </c>
    </row>
    <row r="165" spans="1:2" x14ac:dyDescent="0.25">
      <c r="A165" s="18">
        <v>168</v>
      </c>
      <c r="B165" s="18">
        <v>9.3999999999999997E-4</v>
      </c>
    </row>
    <row r="166" spans="1:2" x14ac:dyDescent="0.25">
      <c r="A166" s="18">
        <v>169</v>
      </c>
      <c r="B166" s="18">
        <v>9.4200000000000002E-4</v>
      </c>
    </row>
    <row r="167" spans="1:2" x14ac:dyDescent="0.25">
      <c r="A167" s="18">
        <v>170</v>
      </c>
      <c r="B167" s="18">
        <v>9.2599999999999996E-4</v>
      </c>
    </row>
    <row r="168" spans="1:2" x14ac:dyDescent="0.25">
      <c r="A168" s="18">
        <v>171</v>
      </c>
      <c r="B168" s="18">
        <v>9.0300000000000005E-4</v>
      </c>
    </row>
    <row r="169" spans="1:2" x14ac:dyDescent="0.25">
      <c r="A169" s="18">
        <v>172</v>
      </c>
      <c r="B169" s="18">
        <v>8.5400000000000005E-4</v>
      </c>
    </row>
    <row r="170" spans="1:2" x14ac:dyDescent="0.25">
      <c r="A170" s="18">
        <v>173</v>
      </c>
      <c r="B170" s="18">
        <v>8.5099999999999998E-4</v>
      </c>
    </row>
    <row r="171" spans="1:2" x14ac:dyDescent="0.25">
      <c r="A171" s="18">
        <v>174</v>
      </c>
      <c r="B171" s="18">
        <v>8.4500000000000005E-4</v>
      </c>
    </row>
    <row r="172" spans="1:2" x14ac:dyDescent="0.25">
      <c r="A172" s="18">
        <v>175</v>
      </c>
      <c r="B172" s="18">
        <v>8.0199999999999998E-4</v>
      </c>
    </row>
    <row r="173" spans="1:2" x14ac:dyDescent="0.25">
      <c r="A173" s="18">
        <v>176</v>
      </c>
      <c r="B173" s="18">
        <v>7.9100000000000004E-4</v>
      </c>
    </row>
    <row r="174" spans="1:2" x14ac:dyDescent="0.25">
      <c r="A174" s="18">
        <v>177</v>
      </c>
      <c r="B174" s="18">
        <v>7.7200000000000001E-4</v>
      </c>
    </row>
    <row r="175" spans="1:2" x14ac:dyDescent="0.25">
      <c r="A175" s="18">
        <v>178</v>
      </c>
      <c r="B175" s="18">
        <v>7.3300000000000004E-4</v>
      </c>
    </row>
    <row r="176" spans="1:2" x14ac:dyDescent="0.25">
      <c r="A176" s="18">
        <v>179</v>
      </c>
      <c r="B176" s="18">
        <v>6.8999999999999997E-4</v>
      </c>
    </row>
    <row r="177" spans="1:2" x14ac:dyDescent="0.25">
      <c r="A177" s="18">
        <v>180</v>
      </c>
      <c r="B177" s="18">
        <v>7.36E-4</v>
      </c>
    </row>
    <row r="178" spans="1:2" x14ac:dyDescent="0.25">
      <c r="A178" s="18">
        <v>181</v>
      </c>
      <c r="B178" s="18">
        <v>6.7299999999999999E-4</v>
      </c>
    </row>
    <row r="179" spans="1:2" x14ac:dyDescent="0.25">
      <c r="A179" s="18">
        <v>182</v>
      </c>
      <c r="B179" s="18">
        <v>6.3000000000000003E-4</v>
      </c>
    </row>
    <row r="180" spans="1:2" x14ac:dyDescent="0.25">
      <c r="A180" s="18">
        <v>183</v>
      </c>
      <c r="B180" s="18">
        <v>6.4099999999999997E-4</v>
      </c>
    </row>
    <row r="181" spans="1:2" x14ac:dyDescent="0.25">
      <c r="A181" s="18">
        <v>184</v>
      </c>
      <c r="B181" s="18">
        <v>6.3699999999999998E-4</v>
      </c>
    </row>
    <row r="182" spans="1:2" x14ac:dyDescent="0.25">
      <c r="A182" s="18">
        <v>185</v>
      </c>
      <c r="B182" s="18">
        <v>5.9599999999999996E-4</v>
      </c>
    </row>
    <row r="183" spans="1:2" x14ac:dyDescent="0.25">
      <c r="A183" s="18">
        <v>186</v>
      </c>
      <c r="B183" s="18">
        <v>5.6099999999999998E-4</v>
      </c>
    </row>
    <row r="184" spans="1:2" x14ac:dyDescent="0.25">
      <c r="A184" s="18">
        <v>187</v>
      </c>
      <c r="B184" s="18">
        <v>5.6099999999999998E-4</v>
      </c>
    </row>
    <row r="185" spans="1:2" x14ac:dyDescent="0.25">
      <c r="A185" s="18">
        <v>188</v>
      </c>
      <c r="B185" s="18">
        <v>5.4500000000000002E-4</v>
      </c>
    </row>
    <row r="186" spans="1:2" x14ac:dyDescent="0.25">
      <c r="A186" s="18">
        <v>189</v>
      </c>
      <c r="B186" s="18">
        <v>5.0699999999999996E-4</v>
      </c>
    </row>
    <row r="187" spans="1:2" x14ac:dyDescent="0.25">
      <c r="A187" s="18">
        <v>190</v>
      </c>
      <c r="B187" s="18">
        <v>5.0100000000000003E-4</v>
      </c>
    </row>
    <row r="188" spans="1:2" x14ac:dyDescent="0.25">
      <c r="A188" s="18">
        <v>191</v>
      </c>
      <c r="B188" s="18">
        <v>4.57E-4</v>
      </c>
    </row>
    <row r="189" spans="1:2" x14ac:dyDescent="0.25">
      <c r="A189" s="18">
        <v>192</v>
      </c>
      <c r="B189" s="18">
        <v>4.7399999999999997E-4</v>
      </c>
    </row>
    <row r="190" spans="1:2" x14ac:dyDescent="0.25">
      <c r="A190" s="18">
        <v>193</v>
      </c>
      <c r="B190" s="18">
        <v>4.1599999999999997E-4</v>
      </c>
    </row>
    <row r="191" spans="1:2" x14ac:dyDescent="0.25">
      <c r="A191" s="18">
        <v>194</v>
      </c>
      <c r="B191" s="18">
        <v>3.7800000000000003E-4</v>
      </c>
    </row>
    <row r="192" spans="1:2" x14ac:dyDescent="0.25">
      <c r="A192" s="18">
        <v>195</v>
      </c>
      <c r="B192" s="18">
        <v>4.0200000000000001E-4</v>
      </c>
    </row>
    <row r="193" spans="1:2" x14ac:dyDescent="0.25">
      <c r="A193" s="18">
        <v>196</v>
      </c>
      <c r="B193" s="18">
        <v>3.7300000000000001E-4</v>
      </c>
    </row>
    <row r="194" spans="1:2" x14ac:dyDescent="0.25">
      <c r="A194" s="18">
        <v>197</v>
      </c>
      <c r="B194" s="18">
        <v>3.2699999999999998E-4</v>
      </c>
    </row>
    <row r="195" spans="1:2" x14ac:dyDescent="0.25">
      <c r="A195" s="18">
        <v>198</v>
      </c>
      <c r="B195" s="18">
        <v>3.1300000000000002E-4</v>
      </c>
    </row>
    <row r="196" spans="1:2" x14ac:dyDescent="0.25">
      <c r="A196" s="18">
        <v>199</v>
      </c>
      <c r="B196" s="18">
        <v>2.8299999999999999E-4</v>
      </c>
    </row>
    <row r="197" spans="1:2" x14ac:dyDescent="0.25">
      <c r="A197" s="18">
        <v>200</v>
      </c>
      <c r="B197" s="18">
        <v>2.5900000000000001E-4</v>
      </c>
    </row>
    <row r="198" spans="1:2" x14ac:dyDescent="0.25">
      <c r="A198" s="18">
        <v>201</v>
      </c>
      <c r="B198" s="18">
        <v>2.5900000000000001E-4</v>
      </c>
    </row>
    <row r="199" spans="1:2" x14ac:dyDescent="0.25">
      <c r="A199" s="18">
        <v>202</v>
      </c>
      <c r="B199" s="18">
        <v>2.2800000000000001E-4</v>
      </c>
    </row>
    <row r="200" spans="1:2" x14ac:dyDescent="0.25">
      <c r="A200" s="18">
        <v>203</v>
      </c>
      <c r="B200" s="18">
        <v>1.9100000000000001E-4</v>
      </c>
    </row>
    <row r="201" spans="1:2" x14ac:dyDescent="0.25">
      <c r="A201" s="18">
        <v>204</v>
      </c>
      <c r="B201" s="18">
        <v>1.7000000000000001E-4</v>
      </c>
    </row>
    <row r="202" spans="1:2" x14ac:dyDescent="0.25">
      <c r="A202" s="18">
        <v>205</v>
      </c>
      <c r="B202" s="18">
        <v>1.47E-4</v>
      </c>
    </row>
    <row r="203" spans="1:2" x14ac:dyDescent="0.25">
      <c r="A203" s="18">
        <v>206</v>
      </c>
      <c r="B203" s="18">
        <v>1.2899999999999999E-4</v>
      </c>
    </row>
    <row r="204" spans="1:2" x14ac:dyDescent="0.25">
      <c r="A204" s="18">
        <v>207</v>
      </c>
      <c r="B204" s="18">
        <v>9.9199999999999999E-5</v>
      </c>
    </row>
    <row r="205" spans="1:2" x14ac:dyDescent="0.25">
      <c r="A205" s="18">
        <v>208</v>
      </c>
      <c r="B205" s="18">
        <v>6.4999999999999994E-5</v>
      </c>
    </row>
    <row r="206" spans="1:2" x14ac:dyDescent="0.25">
      <c r="A206" s="18">
        <v>209</v>
      </c>
      <c r="B206" s="18">
        <v>4.18E-5</v>
      </c>
    </row>
    <row r="207" spans="1:2" x14ac:dyDescent="0.25">
      <c r="A207" s="18">
        <v>210</v>
      </c>
      <c r="B207" s="18">
        <v>2.6400000000000001E-5</v>
      </c>
    </row>
    <row r="208" spans="1:2" x14ac:dyDescent="0.25">
      <c r="A208" s="18">
        <v>211</v>
      </c>
      <c r="B208" s="18">
        <v>2.4600000000000002E-5</v>
      </c>
    </row>
    <row r="209" spans="1:2" x14ac:dyDescent="0.25">
      <c r="A209" s="18">
        <v>212</v>
      </c>
      <c r="B209" s="18">
        <v>1.56E-5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1:B239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</v>
      </c>
      <c r="B2" s="18">
        <v>6.6E-3</v>
      </c>
    </row>
    <row r="3" spans="1:2" x14ac:dyDescent="0.25">
      <c r="A3" s="18">
        <v>6</v>
      </c>
      <c r="B3" s="18">
        <v>3.0000000000000001E-3</v>
      </c>
    </row>
    <row r="4" spans="1:2" x14ac:dyDescent="0.25">
      <c r="A4" s="18">
        <v>7</v>
      </c>
      <c r="B4" s="18">
        <v>1.8600000000000001E-3</v>
      </c>
    </row>
    <row r="5" spans="1:2" x14ac:dyDescent="0.25">
      <c r="A5" s="18">
        <v>8</v>
      </c>
      <c r="B5" s="18">
        <v>1.43E-2</v>
      </c>
    </row>
    <row r="6" spans="1:2" x14ac:dyDescent="0.25">
      <c r="A6" s="18">
        <v>9</v>
      </c>
      <c r="B6" s="18">
        <v>2.1299999999999999E-2</v>
      </c>
    </row>
    <row r="7" spans="1:2" x14ac:dyDescent="0.25">
      <c r="A7" s="18">
        <v>10</v>
      </c>
      <c r="B7" s="18">
        <v>8.1699999999999995E-2</v>
      </c>
    </row>
    <row r="8" spans="1:2" x14ac:dyDescent="0.25">
      <c r="A8" s="18">
        <v>11</v>
      </c>
      <c r="B8" s="18">
        <v>1.54E-2</v>
      </c>
    </row>
    <row r="9" spans="1:2" x14ac:dyDescent="0.25">
      <c r="A9" s="18">
        <v>12</v>
      </c>
      <c r="B9" s="18">
        <v>1.7299999999999999E-2</v>
      </c>
    </row>
    <row r="10" spans="1:2" x14ac:dyDescent="0.25">
      <c r="A10" s="18">
        <v>13</v>
      </c>
      <c r="B10" s="18">
        <v>1.18E-2</v>
      </c>
    </row>
    <row r="11" spans="1:2" x14ac:dyDescent="0.25">
      <c r="A11" s="18">
        <v>14</v>
      </c>
      <c r="B11" s="18">
        <v>1.3299999999999999E-2</v>
      </c>
    </row>
    <row r="12" spans="1:2" x14ac:dyDescent="0.25">
      <c r="A12" s="18">
        <v>15</v>
      </c>
      <c r="B12" s="18">
        <v>1.46E-2</v>
      </c>
    </row>
    <row r="13" spans="1:2" x14ac:dyDescent="0.25">
      <c r="A13" s="18">
        <v>16</v>
      </c>
      <c r="B13" s="18">
        <v>1.6400000000000001E-2</v>
      </c>
    </row>
    <row r="14" spans="1:2" x14ac:dyDescent="0.25">
      <c r="A14" s="18">
        <v>17</v>
      </c>
      <c r="B14" s="18">
        <v>1.6899999999999998E-2</v>
      </c>
    </row>
    <row r="15" spans="1:2" x14ac:dyDescent="0.25">
      <c r="A15" s="18">
        <v>18</v>
      </c>
      <c r="B15" s="18">
        <v>1.7500000000000002E-2</v>
      </c>
    </row>
    <row r="16" spans="1:2" x14ac:dyDescent="0.25">
      <c r="A16" s="18">
        <v>19</v>
      </c>
      <c r="B16" s="18">
        <v>1.78E-2</v>
      </c>
    </row>
    <row r="17" spans="1:2" x14ac:dyDescent="0.25">
      <c r="A17" s="18">
        <v>20</v>
      </c>
      <c r="B17" s="18">
        <v>1.7999999999999999E-2</v>
      </c>
    </row>
    <row r="18" spans="1:2" x14ac:dyDescent="0.25">
      <c r="A18" s="18">
        <v>21</v>
      </c>
      <c r="B18" s="18">
        <v>1.7899999999999999E-2</v>
      </c>
    </row>
    <row r="19" spans="1:2" x14ac:dyDescent="0.25">
      <c r="A19" s="18">
        <v>22</v>
      </c>
      <c r="B19" s="18">
        <v>1.8200000000000001E-2</v>
      </c>
    </row>
    <row r="20" spans="1:2" x14ac:dyDescent="0.25">
      <c r="A20" s="18">
        <v>23</v>
      </c>
      <c r="B20" s="18">
        <v>1.7100000000000001E-2</v>
      </c>
    </row>
    <row r="21" spans="1:2" x14ac:dyDescent="0.25">
      <c r="A21" s="18">
        <v>24</v>
      </c>
      <c r="B21" s="18">
        <v>1.67E-2</v>
      </c>
    </row>
    <row r="22" spans="1:2" x14ac:dyDescent="0.25">
      <c r="A22" s="18">
        <v>25</v>
      </c>
      <c r="B22" s="18">
        <v>1.6199999999999999E-2</v>
      </c>
    </row>
    <row r="23" spans="1:2" x14ac:dyDescent="0.25">
      <c r="A23" s="18">
        <v>26</v>
      </c>
      <c r="B23" s="18">
        <v>1.5699999999999999E-2</v>
      </c>
    </row>
    <row r="24" spans="1:2" x14ac:dyDescent="0.25">
      <c r="A24" s="18">
        <v>27</v>
      </c>
      <c r="B24" s="18">
        <v>1.4999999999999999E-2</v>
      </c>
    </row>
    <row r="25" spans="1:2" x14ac:dyDescent="0.25">
      <c r="A25" s="18">
        <v>28</v>
      </c>
      <c r="B25" s="18">
        <v>1.4500000000000001E-2</v>
      </c>
    </row>
    <row r="26" spans="1:2" x14ac:dyDescent="0.25">
      <c r="A26" s="18">
        <v>29</v>
      </c>
      <c r="B26" s="18">
        <v>1.38E-2</v>
      </c>
    </row>
    <row r="27" spans="1:2" x14ac:dyDescent="0.25">
      <c r="A27" s="18">
        <v>30</v>
      </c>
      <c r="B27" s="18">
        <v>1.3100000000000001E-2</v>
      </c>
    </row>
    <row r="28" spans="1:2" x14ac:dyDescent="0.25">
      <c r="A28" s="18">
        <v>31</v>
      </c>
      <c r="B28" s="18">
        <v>1.26E-2</v>
      </c>
    </row>
    <row r="29" spans="1:2" x14ac:dyDescent="0.25">
      <c r="A29" s="18">
        <v>32</v>
      </c>
      <c r="B29" s="18">
        <v>1.21E-2</v>
      </c>
    </row>
    <row r="30" spans="1:2" x14ac:dyDescent="0.25">
      <c r="A30" s="18">
        <v>33</v>
      </c>
      <c r="B30" s="18">
        <v>1.15E-2</v>
      </c>
    </row>
    <row r="31" spans="1:2" x14ac:dyDescent="0.25">
      <c r="A31" s="18">
        <v>34</v>
      </c>
      <c r="B31" s="18">
        <v>1.09E-2</v>
      </c>
    </row>
    <row r="32" spans="1:2" x14ac:dyDescent="0.25">
      <c r="A32" s="18">
        <v>35</v>
      </c>
      <c r="B32" s="18">
        <v>1.04E-2</v>
      </c>
    </row>
    <row r="33" spans="1:2" x14ac:dyDescent="0.25">
      <c r="A33" s="18">
        <v>36</v>
      </c>
      <c r="B33" s="18">
        <v>9.9399999999999992E-3</v>
      </c>
    </row>
    <row r="34" spans="1:2" x14ac:dyDescent="0.25">
      <c r="A34" s="18">
        <v>37</v>
      </c>
      <c r="B34" s="18">
        <v>9.3900000000000008E-3</v>
      </c>
    </row>
    <row r="35" spans="1:2" x14ac:dyDescent="0.25">
      <c r="A35" s="18">
        <v>38</v>
      </c>
      <c r="B35" s="18">
        <v>8.9599999999999992E-3</v>
      </c>
    </row>
    <row r="36" spans="1:2" x14ac:dyDescent="0.25">
      <c r="A36" s="18">
        <v>39</v>
      </c>
      <c r="B36" s="18">
        <v>8.4799999999999997E-3</v>
      </c>
    </row>
    <row r="37" spans="1:2" x14ac:dyDescent="0.25">
      <c r="A37" s="18">
        <v>40</v>
      </c>
      <c r="B37" s="18">
        <v>8.0499999999999999E-3</v>
      </c>
    </row>
    <row r="38" spans="1:2" x14ac:dyDescent="0.25">
      <c r="A38" s="18">
        <v>41</v>
      </c>
      <c r="B38" s="18">
        <v>7.8100000000000001E-3</v>
      </c>
    </row>
    <row r="39" spans="1:2" x14ac:dyDescent="0.25">
      <c r="A39" s="18">
        <v>42</v>
      </c>
      <c r="B39" s="18">
        <v>7.3899999999999999E-3</v>
      </c>
    </row>
    <row r="40" spans="1:2" x14ac:dyDescent="0.25">
      <c r="A40" s="18">
        <v>43</v>
      </c>
      <c r="B40" s="18">
        <v>7.1500000000000001E-3</v>
      </c>
    </row>
    <row r="41" spans="1:2" x14ac:dyDescent="0.25">
      <c r="A41" s="18">
        <v>44</v>
      </c>
      <c r="B41" s="18">
        <v>6.79E-3</v>
      </c>
    </row>
    <row r="42" spans="1:2" x14ac:dyDescent="0.25">
      <c r="A42" s="18">
        <v>45</v>
      </c>
      <c r="B42" s="18">
        <v>6.6400000000000001E-3</v>
      </c>
    </row>
    <row r="43" spans="1:2" x14ac:dyDescent="0.25">
      <c r="A43" s="18">
        <v>46</v>
      </c>
      <c r="B43" s="18">
        <v>6.28E-3</v>
      </c>
    </row>
    <row r="44" spans="1:2" x14ac:dyDescent="0.25">
      <c r="A44" s="18">
        <v>47</v>
      </c>
      <c r="B44" s="18">
        <v>6.11E-3</v>
      </c>
    </row>
    <row r="45" spans="1:2" x14ac:dyDescent="0.25">
      <c r="A45" s="18">
        <v>48</v>
      </c>
      <c r="B45" s="18">
        <v>5.8300000000000001E-3</v>
      </c>
    </row>
    <row r="46" spans="1:2" x14ac:dyDescent="0.25">
      <c r="A46" s="18">
        <v>49</v>
      </c>
      <c r="B46" s="18">
        <v>5.6299999999999996E-3</v>
      </c>
    </row>
    <row r="47" spans="1:2" x14ac:dyDescent="0.25">
      <c r="A47" s="18">
        <v>50</v>
      </c>
      <c r="B47" s="18">
        <v>5.4200000000000003E-3</v>
      </c>
    </row>
    <row r="48" spans="1:2" x14ac:dyDescent="0.25">
      <c r="A48" s="18">
        <v>51</v>
      </c>
      <c r="B48" s="18">
        <v>5.2599999999999999E-3</v>
      </c>
    </row>
    <row r="49" spans="1:2" x14ac:dyDescent="0.25">
      <c r="A49" s="18">
        <v>52</v>
      </c>
      <c r="B49" s="18">
        <v>5.11E-3</v>
      </c>
    </row>
    <row r="50" spans="1:2" x14ac:dyDescent="0.25">
      <c r="A50" s="18">
        <v>53</v>
      </c>
      <c r="B50" s="18">
        <v>4.9699999999999996E-3</v>
      </c>
    </row>
    <row r="51" spans="1:2" x14ac:dyDescent="0.25">
      <c r="A51" s="18">
        <v>54</v>
      </c>
      <c r="B51" s="18">
        <v>4.8399999999999997E-3</v>
      </c>
    </row>
    <row r="52" spans="1:2" x14ac:dyDescent="0.25">
      <c r="A52" s="18">
        <v>55</v>
      </c>
      <c r="B52" s="18">
        <v>4.6899999999999997E-3</v>
      </c>
    </row>
    <row r="53" spans="1:2" x14ac:dyDescent="0.25">
      <c r="A53" s="18">
        <v>56</v>
      </c>
      <c r="B53" s="18">
        <v>4.62E-3</v>
      </c>
    </row>
    <row r="54" spans="1:2" x14ac:dyDescent="0.25">
      <c r="A54" s="18">
        <v>57</v>
      </c>
      <c r="B54" s="18">
        <v>4.8300000000000001E-3</v>
      </c>
    </row>
    <row r="55" spans="1:2" x14ac:dyDescent="0.25">
      <c r="A55" s="18">
        <v>58</v>
      </c>
      <c r="B55" s="18">
        <v>2.07E-2</v>
      </c>
    </row>
    <row r="56" spans="1:2" x14ac:dyDescent="0.25">
      <c r="A56" s="18">
        <v>59</v>
      </c>
      <c r="B56" s="18">
        <v>2.3400000000000001E-2</v>
      </c>
    </row>
    <row r="57" spans="1:2" x14ac:dyDescent="0.25">
      <c r="A57" s="18">
        <v>60</v>
      </c>
      <c r="B57" s="18">
        <v>1.72E-2</v>
      </c>
    </row>
    <row r="58" spans="1:2" x14ac:dyDescent="0.25">
      <c r="A58" s="18">
        <v>61</v>
      </c>
      <c r="B58" s="18">
        <v>4.0699999999999998E-3</v>
      </c>
    </row>
    <row r="59" spans="1:2" x14ac:dyDescent="0.25">
      <c r="A59" s="18">
        <v>62</v>
      </c>
      <c r="B59" s="18">
        <v>3.96E-3</v>
      </c>
    </row>
    <row r="60" spans="1:2" x14ac:dyDescent="0.25">
      <c r="A60" s="18">
        <v>63</v>
      </c>
      <c r="B60" s="18">
        <v>3.8500000000000001E-3</v>
      </c>
    </row>
    <row r="61" spans="1:2" x14ac:dyDescent="0.25">
      <c r="A61" s="18">
        <v>64</v>
      </c>
      <c r="B61" s="18">
        <v>3.8300000000000001E-3</v>
      </c>
    </row>
    <row r="62" spans="1:2" x14ac:dyDescent="0.25">
      <c r="A62" s="18">
        <v>65</v>
      </c>
      <c r="B62" s="18">
        <v>3.7599999999999999E-3</v>
      </c>
    </row>
    <row r="63" spans="1:2" x14ac:dyDescent="0.25">
      <c r="A63" s="18">
        <v>66</v>
      </c>
      <c r="B63" s="18">
        <v>3.8300000000000001E-3</v>
      </c>
    </row>
    <row r="64" spans="1:2" x14ac:dyDescent="0.25">
      <c r="A64" s="18">
        <v>67</v>
      </c>
      <c r="B64" s="18">
        <v>1.2500000000000001E-2</v>
      </c>
    </row>
    <row r="65" spans="1:2" x14ac:dyDescent="0.25">
      <c r="A65" s="18">
        <v>68</v>
      </c>
      <c r="B65" s="18">
        <v>6.3800000000000003E-3</v>
      </c>
    </row>
    <row r="66" spans="1:2" x14ac:dyDescent="0.25">
      <c r="A66" s="18">
        <v>69</v>
      </c>
      <c r="B66" s="18">
        <v>5.9800000000000001E-3</v>
      </c>
    </row>
    <row r="67" spans="1:2" x14ac:dyDescent="0.25">
      <c r="A67" s="18">
        <v>70</v>
      </c>
      <c r="B67" s="18">
        <v>3.2799999999999999E-3</v>
      </c>
    </row>
    <row r="68" spans="1:2" x14ac:dyDescent="0.25">
      <c r="A68" s="18">
        <v>71</v>
      </c>
      <c r="B68" s="18">
        <v>2.4499999999999999E-3</v>
      </c>
    </row>
    <row r="69" spans="1:2" x14ac:dyDescent="0.25">
      <c r="A69" s="18">
        <v>72</v>
      </c>
      <c r="B69" s="18">
        <v>2.4599999999999999E-3</v>
      </c>
    </row>
    <row r="70" spans="1:2" x14ac:dyDescent="0.25">
      <c r="A70" s="18">
        <v>73</v>
      </c>
      <c r="B70" s="18">
        <v>2.4299999999999999E-3</v>
      </c>
    </row>
    <row r="71" spans="1:2" x14ac:dyDescent="0.25">
      <c r="A71" s="18">
        <v>74</v>
      </c>
      <c r="B71" s="18">
        <v>2.4599999999999999E-3</v>
      </c>
    </row>
    <row r="72" spans="1:2" x14ac:dyDescent="0.25">
      <c r="A72" s="18">
        <v>75</v>
      </c>
      <c r="B72" s="18">
        <v>2.4299999999999999E-3</v>
      </c>
    </row>
    <row r="73" spans="1:2" x14ac:dyDescent="0.25">
      <c r="A73" s="18">
        <v>76</v>
      </c>
      <c r="B73" s="18">
        <v>2.4299999999999999E-3</v>
      </c>
    </row>
    <row r="74" spans="1:2" x14ac:dyDescent="0.25">
      <c r="A74" s="18">
        <v>77</v>
      </c>
      <c r="B74" s="18">
        <v>2.3900000000000002E-3</v>
      </c>
    </row>
    <row r="75" spans="1:2" x14ac:dyDescent="0.25">
      <c r="A75" s="18">
        <v>78</v>
      </c>
      <c r="B75" s="18">
        <v>2.3999999999999998E-3</v>
      </c>
    </row>
    <row r="76" spans="1:2" x14ac:dyDescent="0.25">
      <c r="A76" s="18">
        <v>79</v>
      </c>
      <c r="B76" s="18">
        <v>2.3400000000000001E-3</v>
      </c>
    </row>
    <row r="77" spans="1:2" x14ac:dyDescent="0.25">
      <c r="A77" s="18">
        <v>80</v>
      </c>
      <c r="B77" s="18">
        <v>2.33E-3</v>
      </c>
    </row>
    <row r="78" spans="1:2" x14ac:dyDescent="0.25">
      <c r="A78" s="18">
        <v>81</v>
      </c>
      <c r="B78" s="18">
        <v>2.33E-3</v>
      </c>
    </row>
    <row r="79" spans="1:2" x14ac:dyDescent="0.25">
      <c r="A79" s="18">
        <v>82</v>
      </c>
      <c r="B79" s="18">
        <v>2.31E-3</v>
      </c>
    </row>
    <row r="80" spans="1:2" x14ac:dyDescent="0.25">
      <c r="A80" s="18">
        <v>83</v>
      </c>
      <c r="B80" s="18">
        <v>2.3E-3</v>
      </c>
    </row>
    <row r="81" spans="1:2" x14ac:dyDescent="0.25">
      <c r="A81" s="18">
        <v>84</v>
      </c>
      <c r="B81" s="18">
        <v>2.31E-3</v>
      </c>
    </row>
    <row r="82" spans="1:2" x14ac:dyDescent="0.25">
      <c r="A82" s="18">
        <v>85</v>
      </c>
      <c r="B82" s="18">
        <v>2.32E-3</v>
      </c>
    </row>
    <row r="83" spans="1:2" x14ac:dyDescent="0.25">
      <c r="A83" s="18">
        <v>86</v>
      </c>
      <c r="B83" s="18">
        <v>2.3E-3</v>
      </c>
    </row>
    <row r="84" spans="1:2" x14ac:dyDescent="0.25">
      <c r="A84" s="18">
        <v>87</v>
      </c>
      <c r="B84" s="18">
        <v>2.2899999999999999E-3</v>
      </c>
    </row>
    <row r="85" spans="1:2" x14ac:dyDescent="0.25">
      <c r="A85" s="18">
        <v>88</v>
      </c>
      <c r="B85" s="18">
        <v>2.2699999999999999E-3</v>
      </c>
    </row>
    <row r="86" spans="1:2" x14ac:dyDescent="0.25">
      <c r="A86" s="18">
        <v>89</v>
      </c>
      <c r="B86" s="18">
        <v>2.2399999999999998E-3</v>
      </c>
    </row>
    <row r="87" spans="1:2" x14ac:dyDescent="0.25">
      <c r="A87" s="18">
        <v>90</v>
      </c>
      <c r="B87" s="18">
        <v>2.2599999999999999E-3</v>
      </c>
    </row>
    <row r="88" spans="1:2" x14ac:dyDescent="0.25">
      <c r="A88" s="18">
        <v>91</v>
      </c>
      <c r="B88" s="18">
        <v>2.2300000000000002E-3</v>
      </c>
    </row>
    <row r="89" spans="1:2" x14ac:dyDescent="0.25">
      <c r="A89" s="18">
        <v>92</v>
      </c>
      <c r="B89" s="18">
        <v>2.2100000000000002E-3</v>
      </c>
    </row>
    <row r="90" spans="1:2" x14ac:dyDescent="0.25">
      <c r="A90" s="18">
        <v>93</v>
      </c>
      <c r="B90" s="18">
        <v>2.2100000000000002E-3</v>
      </c>
    </row>
    <row r="91" spans="1:2" x14ac:dyDescent="0.25">
      <c r="A91" s="18">
        <v>94</v>
      </c>
      <c r="B91" s="18">
        <v>2.1900000000000001E-3</v>
      </c>
    </row>
    <row r="92" spans="1:2" x14ac:dyDescent="0.25">
      <c r="A92" s="18">
        <v>95</v>
      </c>
      <c r="B92" s="18">
        <v>2.1800000000000001E-3</v>
      </c>
    </row>
    <row r="93" spans="1:2" x14ac:dyDescent="0.25">
      <c r="A93" s="18">
        <v>96</v>
      </c>
      <c r="B93" s="18">
        <v>2.1800000000000001E-3</v>
      </c>
    </row>
    <row r="94" spans="1:2" x14ac:dyDescent="0.25">
      <c r="A94" s="18">
        <v>97</v>
      </c>
      <c r="B94" s="18">
        <v>2.1800000000000001E-3</v>
      </c>
    </row>
    <row r="95" spans="1:2" x14ac:dyDescent="0.25">
      <c r="A95" s="18">
        <v>98</v>
      </c>
      <c r="B95" s="18">
        <v>2.1700000000000001E-3</v>
      </c>
    </row>
    <row r="96" spans="1:2" x14ac:dyDescent="0.25">
      <c r="A96" s="18">
        <v>99</v>
      </c>
      <c r="B96" s="18">
        <v>2.1700000000000001E-3</v>
      </c>
    </row>
    <row r="97" spans="1:2" x14ac:dyDescent="0.25">
      <c r="A97" s="18">
        <v>100</v>
      </c>
      <c r="B97" s="18">
        <v>2.14E-3</v>
      </c>
    </row>
    <row r="98" spans="1:2" x14ac:dyDescent="0.25">
      <c r="A98" s="18">
        <v>101</v>
      </c>
      <c r="B98" s="18">
        <v>2.14E-3</v>
      </c>
    </row>
    <row r="99" spans="1:2" x14ac:dyDescent="0.25">
      <c r="A99" s="18">
        <v>102</v>
      </c>
      <c r="B99" s="18">
        <v>2.1299999999999999E-3</v>
      </c>
    </row>
    <row r="100" spans="1:2" x14ac:dyDescent="0.25">
      <c r="A100" s="18">
        <v>103</v>
      </c>
      <c r="B100" s="18">
        <v>2.1099999999999999E-3</v>
      </c>
    </row>
    <row r="101" spans="1:2" x14ac:dyDescent="0.25">
      <c r="A101" s="18">
        <v>104</v>
      </c>
      <c r="B101" s="18">
        <v>2.1199999999999999E-3</v>
      </c>
    </row>
    <row r="102" spans="1:2" x14ac:dyDescent="0.25">
      <c r="A102" s="18">
        <v>105</v>
      </c>
      <c r="B102" s="18">
        <v>2.1099999999999999E-3</v>
      </c>
    </row>
    <row r="103" spans="1:2" x14ac:dyDescent="0.25">
      <c r="A103" s="18">
        <v>106</v>
      </c>
      <c r="B103" s="18">
        <v>2.0999999999999999E-3</v>
      </c>
    </row>
    <row r="104" spans="1:2" x14ac:dyDescent="0.25">
      <c r="A104" s="18">
        <v>107</v>
      </c>
      <c r="B104" s="18">
        <v>2.0999999999999999E-3</v>
      </c>
    </row>
    <row r="105" spans="1:2" x14ac:dyDescent="0.25">
      <c r="A105" s="18">
        <v>108</v>
      </c>
      <c r="B105" s="18">
        <v>2.0500000000000002E-3</v>
      </c>
    </row>
    <row r="106" spans="1:2" x14ac:dyDescent="0.25">
      <c r="A106" s="18">
        <v>109</v>
      </c>
      <c r="B106" s="18">
        <v>2.0799999999999998E-3</v>
      </c>
    </row>
    <row r="107" spans="1:2" x14ac:dyDescent="0.25">
      <c r="A107" s="18">
        <v>110</v>
      </c>
      <c r="B107" s="18">
        <v>2.0600000000000002E-3</v>
      </c>
    </row>
    <row r="108" spans="1:2" x14ac:dyDescent="0.25">
      <c r="A108" s="18">
        <v>111</v>
      </c>
      <c r="B108" s="18">
        <v>2.0400000000000001E-3</v>
      </c>
    </row>
    <row r="109" spans="1:2" x14ac:dyDescent="0.25">
      <c r="A109" s="18">
        <v>112</v>
      </c>
      <c r="B109" s="18">
        <v>2.0699999999999998E-3</v>
      </c>
    </row>
    <row r="110" spans="1:2" x14ac:dyDescent="0.25">
      <c r="A110" s="18">
        <v>113</v>
      </c>
      <c r="B110" s="18">
        <v>2.0500000000000002E-3</v>
      </c>
    </row>
    <row r="111" spans="1:2" x14ac:dyDescent="0.25">
      <c r="A111" s="18">
        <v>114</v>
      </c>
      <c r="B111" s="18">
        <v>2.0300000000000001E-3</v>
      </c>
    </row>
    <row r="112" spans="1:2" x14ac:dyDescent="0.25">
      <c r="A112" s="18">
        <v>115</v>
      </c>
      <c r="B112" s="18">
        <v>2.0200000000000001E-3</v>
      </c>
    </row>
    <row r="113" spans="1:2" x14ac:dyDescent="0.25">
      <c r="A113" s="18">
        <v>116</v>
      </c>
      <c r="B113" s="18">
        <v>2.0400000000000001E-3</v>
      </c>
    </row>
    <row r="114" spans="1:2" x14ac:dyDescent="0.25">
      <c r="A114" s="18">
        <v>117</v>
      </c>
      <c r="B114" s="18">
        <v>2.0200000000000001E-3</v>
      </c>
    </row>
    <row r="115" spans="1:2" x14ac:dyDescent="0.25">
      <c r="A115" s="18">
        <v>118</v>
      </c>
      <c r="B115" s="18">
        <v>1.99E-3</v>
      </c>
    </row>
    <row r="116" spans="1:2" x14ac:dyDescent="0.25">
      <c r="A116" s="18">
        <v>119</v>
      </c>
      <c r="B116" s="18">
        <v>2.0500000000000002E-3</v>
      </c>
    </row>
    <row r="117" spans="1:2" x14ac:dyDescent="0.25">
      <c r="A117" s="18">
        <v>120</v>
      </c>
      <c r="B117" s="18">
        <v>1.9599999999999999E-3</v>
      </c>
    </row>
    <row r="118" spans="1:2" x14ac:dyDescent="0.25">
      <c r="A118" s="18">
        <v>121</v>
      </c>
      <c r="B118" s="18">
        <v>1.99E-3</v>
      </c>
    </row>
    <row r="119" spans="1:2" x14ac:dyDescent="0.25">
      <c r="A119" s="18">
        <v>122</v>
      </c>
      <c r="B119" s="18">
        <v>1.9599999999999999E-3</v>
      </c>
    </row>
    <row r="120" spans="1:2" x14ac:dyDescent="0.25">
      <c r="A120" s="18">
        <v>123</v>
      </c>
      <c r="B120" s="18">
        <v>1.9499999999999999E-3</v>
      </c>
    </row>
    <row r="121" spans="1:2" x14ac:dyDescent="0.25">
      <c r="A121" s="18">
        <v>124</v>
      </c>
      <c r="B121" s="18">
        <v>1.9300000000000001E-3</v>
      </c>
    </row>
    <row r="122" spans="1:2" x14ac:dyDescent="0.25">
      <c r="A122" s="18">
        <v>125</v>
      </c>
      <c r="B122" s="18">
        <v>1.91E-3</v>
      </c>
    </row>
    <row r="123" spans="1:2" x14ac:dyDescent="0.25">
      <c r="A123" s="18">
        <v>126</v>
      </c>
      <c r="B123" s="18">
        <v>1.9E-3</v>
      </c>
    </row>
    <row r="124" spans="1:2" x14ac:dyDescent="0.25">
      <c r="A124" s="18">
        <v>127</v>
      </c>
      <c r="B124" s="18">
        <v>1.91E-3</v>
      </c>
    </row>
    <row r="125" spans="1:2" x14ac:dyDescent="0.25">
      <c r="A125" s="18">
        <v>128</v>
      </c>
      <c r="B125" s="18">
        <v>1.8699999999999999E-3</v>
      </c>
    </row>
    <row r="126" spans="1:2" x14ac:dyDescent="0.25">
      <c r="A126" s="18">
        <v>129</v>
      </c>
      <c r="B126" s="18">
        <v>1.8699999999999999E-3</v>
      </c>
    </row>
    <row r="127" spans="1:2" x14ac:dyDescent="0.25">
      <c r="A127" s="18">
        <v>130</v>
      </c>
      <c r="B127" s="18">
        <v>1.8699999999999999E-3</v>
      </c>
    </row>
    <row r="128" spans="1:2" x14ac:dyDescent="0.25">
      <c r="A128" s="18">
        <v>131</v>
      </c>
      <c r="B128" s="18">
        <v>1.8500000000000001E-3</v>
      </c>
    </row>
    <row r="129" spans="1:2" x14ac:dyDescent="0.25">
      <c r="A129" s="18">
        <v>132</v>
      </c>
      <c r="B129" s="18">
        <v>1.8400000000000001E-3</v>
      </c>
    </row>
    <row r="130" spans="1:2" x14ac:dyDescent="0.25">
      <c r="A130" s="18">
        <v>133</v>
      </c>
      <c r="B130" s="18">
        <v>1.82E-3</v>
      </c>
    </row>
    <row r="131" spans="1:2" x14ac:dyDescent="0.25">
      <c r="A131" s="18">
        <v>134</v>
      </c>
      <c r="B131" s="18">
        <v>1.82E-3</v>
      </c>
    </row>
    <row r="132" spans="1:2" x14ac:dyDescent="0.25">
      <c r="A132" s="18">
        <v>135</v>
      </c>
      <c r="B132" s="18">
        <v>1.7700000000000001E-3</v>
      </c>
    </row>
    <row r="133" spans="1:2" x14ac:dyDescent="0.25">
      <c r="A133" s="18">
        <v>136</v>
      </c>
      <c r="B133" s="18">
        <v>1.7799999999999999E-3</v>
      </c>
    </row>
    <row r="134" spans="1:2" x14ac:dyDescent="0.25">
      <c r="A134" s="18">
        <v>137</v>
      </c>
      <c r="B134" s="18">
        <v>1.81E-3</v>
      </c>
    </row>
    <row r="135" spans="1:2" x14ac:dyDescent="0.25">
      <c r="A135" s="18">
        <v>138</v>
      </c>
      <c r="B135" s="18">
        <v>1.7799999999999999E-3</v>
      </c>
    </row>
    <row r="136" spans="1:2" x14ac:dyDescent="0.25">
      <c r="A136" s="18">
        <v>139</v>
      </c>
      <c r="B136" s="18">
        <v>1.74E-3</v>
      </c>
    </row>
    <row r="137" spans="1:2" x14ac:dyDescent="0.25">
      <c r="A137" s="18">
        <v>140</v>
      </c>
      <c r="B137" s="18">
        <v>1.7099999999999999E-3</v>
      </c>
    </row>
    <row r="138" spans="1:2" x14ac:dyDescent="0.25">
      <c r="A138" s="18">
        <v>141</v>
      </c>
      <c r="B138" s="18">
        <v>1.7099999999999999E-3</v>
      </c>
    </row>
    <row r="139" spans="1:2" x14ac:dyDescent="0.25">
      <c r="A139" s="18">
        <v>142</v>
      </c>
      <c r="B139" s="18">
        <v>1.6800000000000001E-3</v>
      </c>
    </row>
    <row r="140" spans="1:2" x14ac:dyDescent="0.25">
      <c r="A140" s="18">
        <v>143</v>
      </c>
      <c r="B140" s="18">
        <v>1.64E-3</v>
      </c>
    </row>
    <row r="141" spans="1:2" x14ac:dyDescent="0.25">
      <c r="A141" s="18">
        <v>144</v>
      </c>
      <c r="B141" s="18">
        <v>1.67E-3</v>
      </c>
    </row>
    <row r="142" spans="1:2" x14ac:dyDescent="0.25">
      <c r="A142" s="18">
        <v>145</v>
      </c>
      <c r="B142" s="18">
        <v>1.67E-3</v>
      </c>
    </row>
    <row r="143" spans="1:2" x14ac:dyDescent="0.25">
      <c r="A143" s="18">
        <v>146</v>
      </c>
      <c r="B143" s="18">
        <v>1.64E-3</v>
      </c>
    </row>
    <row r="144" spans="1:2" x14ac:dyDescent="0.25">
      <c r="A144" s="18">
        <v>147</v>
      </c>
      <c r="B144" s="18">
        <v>1.6000000000000001E-3</v>
      </c>
    </row>
    <row r="145" spans="1:2" x14ac:dyDescent="0.25">
      <c r="A145" s="18">
        <v>148</v>
      </c>
      <c r="B145" s="18">
        <v>1.6100000000000001E-3</v>
      </c>
    </row>
    <row r="146" spans="1:2" x14ac:dyDescent="0.25">
      <c r="A146" s="18">
        <v>149</v>
      </c>
      <c r="B146" s="18">
        <v>1.58E-3</v>
      </c>
    </row>
    <row r="147" spans="1:2" x14ac:dyDescent="0.25">
      <c r="A147" s="18">
        <v>150</v>
      </c>
      <c r="B147" s="18">
        <v>1.6000000000000001E-3</v>
      </c>
    </row>
    <row r="148" spans="1:2" x14ac:dyDescent="0.25">
      <c r="A148" s="18">
        <v>151</v>
      </c>
      <c r="B148" s="18">
        <v>1.58E-3</v>
      </c>
    </row>
    <row r="149" spans="1:2" x14ac:dyDescent="0.25">
      <c r="A149" s="18">
        <v>152</v>
      </c>
      <c r="B149" s="18">
        <v>1.5399999999999999E-3</v>
      </c>
    </row>
    <row r="150" spans="1:2" x14ac:dyDescent="0.25">
      <c r="A150" s="18">
        <v>153</v>
      </c>
      <c r="B150" s="18">
        <v>1.5399999999999999E-3</v>
      </c>
    </row>
    <row r="151" spans="1:2" x14ac:dyDescent="0.25">
      <c r="A151" s="18">
        <v>154</v>
      </c>
      <c r="B151" s="18">
        <v>1.5200000000000001E-3</v>
      </c>
    </row>
    <row r="152" spans="1:2" x14ac:dyDescent="0.25">
      <c r="A152" s="18">
        <v>155</v>
      </c>
      <c r="B152" s="18">
        <v>1.5100000000000001E-3</v>
      </c>
    </row>
    <row r="153" spans="1:2" x14ac:dyDescent="0.25">
      <c r="A153" s="18">
        <v>156</v>
      </c>
      <c r="B153" s="18">
        <v>1.48E-3</v>
      </c>
    </row>
    <row r="154" spans="1:2" x14ac:dyDescent="0.25">
      <c r="A154" s="18">
        <v>157</v>
      </c>
      <c r="B154" s="18">
        <v>1.42E-3</v>
      </c>
    </row>
    <row r="155" spans="1:2" x14ac:dyDescent="0.25">
      <c r="A155" s="18">
        <v>158</v>
      </c>
      <c r="B155" s="18">
        <v>1.5E-3</v>
      </c>
    </row>
    <row r="156" spans="1:2" x14ac:dyDescent="0.25">
      <c r="A156" s="18">
        <v>159</v>
      </c>
      <c r="B156" s="18">
        <v>1.4499999999999999E-3</v>
      </c>
    </row>
    <row r="157" spans="1:2" x14ac:dyDescent="0.25">
      <c r="A157" s="18">
        <v>160</v>
      </c>
      <c r="B157" s="18">
        <v>1.4400000000000001E-3</v>
      </c>
    </row>
    <row r="158" spans="1:2" x14ac:dyDescent="0.25">
      <c r="A158" s="18">
        <v>161</v>
      </c>
      <c r="B158" s="18">
        <v>1.4499999999999999E-3</v>
      </c>
    </row>
    <row r="159" spans="1:2" x14ac:dyDescent="0.25">
      <c r="A159" s="18">
        <v>162</v>
      </c>
      <c r="B159" s="18">
        <v>1.41E-3</v>
      </c>
    </row>
    <row r="160" spans="1:2" x14ac:dyDescent="0.25">
      <c r="A160" s="18">
        <v>163</v>
      </c>
      <c r="B160" s="18">
        <v>1.42E-3</v>
      </c>
    </row>
    <row r="161" spans="1:2" x14ac:dyDescent="0.25">
      <c r="A161" s="18">
        <v>164</v>
      </c>
      <c r="B161" s="18">
        <v>1.3600000000000001E-3</v>
      </c>
    </row>
    <row r="162" spans="1:2" x14ac:dyDescent="0.25">
      <c r="A162" s="18">
        <v>165</v>
      </c>
      <c r="B162" s="18">
        <v>1.3500000000000001E-3</v>
      </c>
    </row>
    <row r="163" spans="1:2" x14ac:dyDescent="0.25">
      <c r="A163" s="18">
        <v>166</v>
      </c>
      <c r="B163" s="18">
        <v>1.32E-3</v>
      </c>
    </row>
    <row r="164" spans="1:2" x14ac:dyDescent="0.25">
      <c r="A164" s="18">
        <v>167</v>
      </c>
      <c r="B164" s="18">
        <v>1.2899999999999999E-3</v>
      </c>
    </row>
    <row r="165" spans="1:2" x14ac:dyDescent="0.25">
      <c r="A165" s="18">
        <v>168</v>
      </c>
      <c r="B165" s="18">
        <v>1.2899999999999999E-3</v>
      </c>
    </row>
    <row r="166" spans="1:2" x14ac:dyDescent="0.25">
      <c r="A166" s="18">
        <v>169</v>
      </c>
      <c r="B166" s="18">
        <v>1.2999999999999999E-3</v>
      </c>
    </row>
    <row r="167" spans="1:2" x14ac:dyDescent="0.25">
      <c r="A167" s="18">
        <v>170</v>
      </c>
      <c r="B167" s="18">
        <v>1.2800000000000001E-3</v>
      </c>
    </row>
    <row r="168" spans="1:2" x14ac:dyDescent="0.25">
      <c r="A168" s="18">
        <v>171</v>
      </c>
      <c r="B168" s="18">
        <v>1.2800000000000001E-3</v>
      </c>
    </row>
    <row r="169" spans="1:2" x14ac:dyDescent="0.25">
      <c r="A169" s="18">
        <v>172</v>
      </c>
      <c r="B169" s="18">
        <v>1.2600000000000001E-3</v>
      </c>
    </row>
    <row r="170" spans="1:2" x14ac:dyDescent="0.25">
      <c r="A170" s="18">
        <v>173</v>
      </c>
      <c r="B170" s="18">
        <v>1.2700000000000001E-3</v>
      </c>
    </row>
    <row r="171" spans="1:2" x14ac:dyDescent="0.25">
      <c r="A171" s="18">
        <v>174</v>
      </c>
      <c r="B171" s="18">
        <v>1.25E-3</v>
      </c>
    </row>
    <row r="172" spans="1:2" x14ac:dyDescent="0.25">
      <c r="A172" s="18">
        <v>175</v>
      </c>
      <c r="B172" s="18">
        <v>1.2199999999999999E-3</v>
      </c>
    </row>
    <row r="173" spans="1:2" x14ac:dyDescent="0.25">
      <c r="A173" s="18">
        <v>176</v>
      </c>
      <c r="B173" s="18">
        <v>1.17E-3</v>
      </c>
    </row>
    <row r="174" spans="1:2" x14ac:dyDescent="0.25">
      <c r="A174" s="18">
        <v>177</v>
      </c>
      <c r="B174" s="18">
        <v>1.1800000000000001E-3</v>
      </c>
    </row>
    <row r="175" spans="1:2" x14ac:dyDescent="0.25">
      <c r="A175" s="18">
        <v>178</v>
      </c>
      <c r="B175" s="18">
        <v>1.17E-3</v>
      </c>
    </row>
    <row r="176" spans="1:2" x14ac:dyDescent="0.25">
      <c r="A176" s="18">
        <v>179</v>
      </c>
      <c r="B176" s="18">
        <v>1.15E-3</v>
      </c>
    </row>
    <row r="177" spans="1:2" x14ac:dyDescent="0.25">
      <c r="A177" s="18">
        <v>180</v>
      </c>
      <c r="B177" s="18">
        <v>1.1299999999999999E-3</v>
      </c>
    </row>
    <row r="178" spans="1:2" x14ac:dyDescent="0.25">
      <c r="A178" s="18">
        <v>181</v>
      </c>
      <c r="B178" s="18">
        <v>1.1199999999999999E-3</v>
      </c>
    </row>
    <row r="179" spans="1:2" x14ac:dyDescent="0.25">
      <c r="A179" s="18">
        <v>182</v>
      </c>
      <c r="B179" s="18">
        <v>1.09E-3</v>
      </c>
    </row>
    <row r="180" spans="1:2" x14ac:dyDescent="0.25">
      <c r="A180" s="18">
        <v>183</v>
      </c>
      <c r="B180" s="18">
        <v>1.1100000000000001E-3</v>
      </c>
    </row>
    <row r="181" spans="1:2" x14ac:dyDescent="0.25">
      <c r="A181" s="18">
        <v>184</v>
      </c>
      <c r="B181" s="18">
        <v>1.0499999999999999E-3</v>
      </c>
    </row>
    <row r="182" spans="1:2" x14ac:dyDescent="0.25">
      <c r="A182" s="18">
        <v>185</v>
      </c>
      <c r="B182" s="18">
        <v>1.0300000000000001E-3</v>
      </c>
    </row>
    <row r="183" spans="1:2" x14ac:dyDescent="0.25">
      <c r="A183" s="18">
        <v>186</v>
      </c>
      <c r="B183" s="18">
        <v>9.8700000000000003E-4</v>
      </c>
    </row>
    <row r="184" spans="1:2" x14ac:dyDescent="0.25">
      <c r="A184" s="18">
        <v>187</v>
      </c>
      <c r="B184" s="18">
        <v>1.01E-3</v>
      </c>
    </row>
    <row r="185" spans="1:2" x14ac:dyDescent="0.25">
      <c r="A185" s="18">
        <v>188</v>
      </c>
      <c r="B185" s="18">
        <v>1.01E-3</v>
      </c>
    </row>
    <row r="186" spans="1:2" x14ac:dyDescent="0.25">
      <c r="A186" s="18">
        <v>189</v>
      </c>
      <c r="B186" s="18">
        <v>9.7400000000000004E-4</v>
      </c>
    </row>
    <row r="187" spans="1:2" x14ac:dyDescent="0.25">
      <c r="A187" s="18">
        <v>190</v>
      </c>
      <c r="B187" s="18">
        <v>9.6699999999999998E-4</v>
      </c>
    </row>
    <row r="188" spans="1:2" x14ac:dyDescent="0.25">
      <c r="A188" s="18">
        <v>191</v>
      </c>
      <c r="B188" s="18">
        <v>9.3599999999999998E-4</v>
      </c>
    </row>
    <row r="189" spans="1:2" x14ac:dyDescent="0.25">
      <c r="A189" s="18">
        <v>192</v>
      </c>
      <c r="B189" s="18">
        <v>9.6599999999999995E-4</v>
      </c>
    </row>
    <row r="190" spans="1:2" x14ac:dyDescent="0.25">
      <c r="A190" s="18">
        <v>193</v>
      </c>
      <c r="B190" s="18">
        <v>8.8900000000000003E-4</v>
      </c>
    </row>
    <row r="191" spans="1:2" x14ac:dyDescent="0.25">
      <c r="A191" s="18">
        <v>194</v>
      </c>
      <c r="B191" s="18">
        <v>9.2100000000000005E-4</v>
      </c>
    </row>
    <row r="192" spans="1:2" x14ac:dyDescent="0.25">
      <c r="A192" s="18">
        <v>195</v>
      </c>
      <c r="B192" s="18">
        <v>8.6899999999999998E-4</v>
      </c>
    </row>
    <row r="193" spans="1:2" x14ac:dyDescent="0.25">
      <c r="A193" s="18">
        <v>196</v>
      </c>
      <c r="B193" s="18">
        <v>8.5700000000000001E-4</v>
      </c>
    </row>
    <row r="194" spans="1:2" x14ac:dyDescent="0.25">
      <c r="A194" s="18">
        <v>197</v>
      </c>
      <c r="B194" s="18">
        <v>8.4400000000000002E-4</v>
      </c>
    </row>
    <row r="195" spans="1:2" x14ac:dyDescent="0.25">
      <c r="A195" s="18">
        <v>198</v>
      </c>
      <c r="B195" s="18">
        <v>8.8500000000000004E-4</v>
      </c>
    </row>
    <row r="196" spans="1:2" x14ac:dyDescent="0.25">
      <c r="A196" s="18">
        <v>199</v>
      </c>
      <c r="B196" s="18">
        <v>8.0400000000000003E-4</v>
      </c>
    </row>
    <row r="197" spans="1:2" x14ac:dyDescent="0.25">
      <c r="A197" s="18">
        <v>200</v>
      </c>
      <c r="B197" s="18">
        <v>7.4899999999999999E-4</v>
      </c>
    </row>
    <row r="198" spans="1:2" x14ac:dyDescent="0.25">
      <c r="A198" s="18">
        <v>201</v>
      </c>
      <c r="B198" s="18">
        <v>8.0800000000000002E-4</v>
      </c>
    </row>
    <row r="199" spans="1:2" x14ac:dyDescent="0.25">
      <c r="A199" s="18">
        <v>202</v>
      </c>
      <c r="B199" s="18">
        <v>7.5000000000000002E-4</v>
      </c>
    </row>
    <row r="200" spans="1:2" x14ac:dyDescent="0.25">
      <c r="A200" s="18">
        <v>203</v>
      </c>
      <c r="B200" s="18">
        <v>7.36E-4</v>
      </c>
    </row>
    <row r="201" spans="1:2" x14ac:dyDescent="0.25">
      <c r="A201" s="18">
        <v>204</v>
      </c>
      <c r="B201" s="18">
        <v>6.96E-4</v>
      </c>
    </row>
    <row r="202" spans="1:2" x14ac:dyDescent="0.25">
      <c r="A202" s="18">
        <v>205</v>
      </c>
      <c r="B202" s="18">
        <v>6.96E-4</v>
      </c>
    </row>
    <row r="203" spans="1:2" x14ac:dyDescent="0.25">
      <c r="A203" s="18">
        <v>206</v>
      </c>
      <c r="B203" s="18">
        <v>6.8400000000000004E-4</v>
      </c>
    </row>
    <row r="204" spans="1:2" x14ac:dyDescent="0.25">
      <c r="A204" s="18">
        <v>207</v>
      </c>
      <c r="B204" s="18">
        <v>6.5300000000000004E-4</v>
      </c>
    </row>
    <row r="205" spans="1:2" x14ac:dyDescent="0.25">
      <c r="A205" s="18">
        <v>208</v>
      </c>
      <c r="B205" s="18">
        <v>6.6600000000000003E-4</v>
      </c>
    </row>
    <row r="206" spans="1:2" x14ac:dyDescent="0.25">
      <c r="A206" s="18">
        <v>209</v>
      </c>
      <c r="B206" s="18">
        <v>6.5499999999999998E-4</v>
      </c>
    </row>
    <row r="207" spans="1:2" x14ac:dyDescent="0.25">
      <c r="A207" s="18">
        <v>210</v>
      </c>
      <c r="B207" s="18">
        <v>5.9000000000000003E-4</v>
      </c>
    </row>
    <row r="208" spans="1:2" x14ac:dyDescent="0.25">
      <c r="A208" s="18">
        <v>211</v>
      </c>
      <c r="B208" s="18">
        <v>5.7600000000000001E-4</v>
      </c>
    </row>
    <row r="209" spans="1:2" x14ac:dyDescent="0.25">
      <c r="A209" s="18">
        <v>212</v>
      </c>
      <c r="B209" s="18">
        <v>5.5900000000000004E-4</v>
      </c>
    </row>
    <row r="210" spans="1:2" x14ac:dyDescent="0.25">
      <c r="A210" s="18">
        <v>213</v>
      </c>
      <c r="B210" s="18">
        <v>5.6899999999999995E-4</v>
      </c>
    </row>
    <row r="211" spans="1:2" x14ac:dyDescent="0.25">
      <c r="A211" s="18">
        <v>214</v>
      </c>
      <c r="B211" s="18">
        <v>5.2499999999999997E-4</v>
      </c>
    </row>
    <row r="212" spans="1:2" x14ac:dyDescent="0.25">
      <c r="A212" s="18">
        <v>215</v>
      </c>
      <c r="B212" s="18">
        <v>5.0900000000000001E-4</v>
      </c>
    </row>
    <row r="213" spans="1:2" x14ac:dyDescent="0.25">
      <c r="A213" s="18">
        <v>216</v>
      </c>
      <c r="B213" s="18">
        <v>5.13E-4</v>
      </c>
    </row>
    <row r="214" spans="1:2" x14ac:dyDescent="0.25">
      <c r="A214" s="18">
        <v>217</v>
      </c>
      <c r="B214" s="18">
        <v>4.8899999999999996E-4</v>
      </c>
    </row>
    <row r="215" spans="1:2" x14ac:dyDescent="0.25">
      <c r="A215" s="18">
        <v>218</v>
      </c>
      <c r="B215" s="18">
        <v>4.44E-4</v>
      </c>
    </row>
    <row r="216" spans="1:2" x14ac:dyDescent="0.25">
      <c r="A216" s="18">
        <v>219</v>
      </c>
      <c r="B216" s="18">
        <v>4.2499999999999998E-4</v>
      </c>
    </row>
    <row r="217" spans="1:2" x14ac:dyDescent="0.25">
      <c r="A217" s="18">
        <v>220</v>
      </c>
      <c r="B217" s="18">
        <v>4.2200000000000001E-4</v>
      </c>
    </row>
    <row r="218" spans="1:2" x14ac:dyDescent="0.25">
      <c r="A218" s="18">
        <v>221</v>
      </c>
      <c r="B218" s="18">
        <v>4.08E-4</v>
      </c>
    </row>
    <row r="219" spans="1:2" x14ac:dyDescent="0.25">
      <c r="A219" s="18">
        <v>222</v>
      </c>
      <c r="B219" s="18">
        <v>3.88E-4</v>
      </c>
    </row>
    <row r="220" spans="1:2" x14ac:dyDescent="0.25">
      <c r="A220" s="18">
        <v>223</v>
      </c>
      <c r="B220" s="18">
        <v>3.8000000000000002E-4</v>
      </c>
    </row>
    <row r="221" spans="1:2" x14ac:dyDescent="0.25">
      <c r="A221" s="18">
        <v>224</v>
      </c>
      <c r="B221" s="18">
        <v>3.4200000000000002E-4</v>
      </c>
    </row>
    <row r="222" spans="1:2" x14ac:dyDescent="0.25">
      <c r="A222" s="18">
        <v>225</v>
      </c>
      <c r="B222" s="18">
        <v>3.1799999999999998E-4</v>
      </c>
    </row>
    <row r="223" spans="1:2" x14ac:dyDescent="0.25">
      <c r="A223" s="18">
        <v>226</v>
      </c>
      <c r="B223" s="18">
        <v>2.81E-4</v>
      </c>
    </row>
    <row r="224" spans="1:2" x14ac:dyDescent="0.25">
      <c r="A224" s="18">
        <v>227</v>
      </c>
      <c r="B224" s="18">
        <v>2.7700000000000001E-4</v>
      </c>
    </row>
    <row r="225" spans="1:2" x14ac:dyDescent="0.25">
      <c r="A225" s="18">
        <v>228</v>
      </c>
      <c r="B225" s="18">
        <v>2.5099999999999998E-4</v>
      </c>
    </row>
    <row r="226" spans="1:2" x14ac:dyDescent="0.25">
      <c r="A226" s="18">
        <v>229</v>
      </c>
      <c r="B226" s="18">
        <v>2.72E-4</v>
      </c>
    </row>
    <row r="227" spans="1:2" x14ac:dyDescent="0.25">
      <c r="A227" s="18">
        <v>230</v>
      </c>
      <c r="B227" s="18">
        <v>2.0900000000000001E-4</v>
      </c>
    </row>
    <row r="228" spans="1:2" x14ac:dyDescent="0.25">
      <c r="A228" s="18">
        <v>231</v>
      </c>
      <c r="B228" s="18">
        <v>2.1499999999999999E-4</v>
      </c>
    </row>
    <row r="229" spans="1:2" x14ac:dyDescent="0.25">
      <c r="A229" s="18">
        <v>232</v>
      </c>
      <c r="B229" s="18">
        <v>1.9000000000000001E-4</v>
      </c>
    </row>
    <row r="230" spans="1:2" x14ac:dyDescent="0.25">
      <c r="A230" s="18">
        <v>233</v>
      </c>
      <c r="B230" s="18">
        <v>1.66E-4</v>
      </c>
    </row>
    <row r="231" spans="1:2" x14ac:dyDescent="0.25">
      <c r="A231" s="18">
        <v>234</v>
      </c>
      <c r="B231" s="18">
        <v>1.4200000000000001E-4</v>
      </c>
    </row>
    <row r="232" spans="1:2" x14ac:dyDescent="0.25">
      <c r="A232" s="18">
        <v>235</v>
      </c>
      <c r="B232" s="18">
        <v>1.1400000000000001E-4</v>
      </c>
    </row>
    <row r="233" spans="1:2" x14ac:dyDescent="0.25">
      <c r="A233" s="18">
        <v>236</v>
      </c>
      <c r="B233" s="18">
        <v>9.6100000000000005E-5</v>
      </c>
    </row>
    <row r="234" spans="1:2" x14ac:dyDescent="0.25">
      <c r="A234" s="18">
        <v>237</v>
      </c>
      <c r="B234" s="18">
        <v>7.2600000000000003E-5</v>
      </c>
    </row>
    <row r="235" spans="1:2" x14ac:dyDescent="0.25">
      <c r="A235" s="18">
        <v>238</v>
      </c>
      <c r="B235" s="18">
        <v>5.0599999999999997E-5</v>
      </c>
    </row>
    <row r="236" spans="1:2" x14ac:dyDescent="0.25">
      <c r="A236" s="18">
        <v>239</v>
      </c>
      <c r="B236" s="18">
        <v>4.99E-5</v>
      </c>
    </row>
    <row r="237" spans="1:2" x14ac:dyDescent="0.25">
      <c r="A237" s="18">
        <v>240</v>
      </c>
      <c r="B237" s="18">
        <v>2.2099999999999998E-5</v>
      </c>
    </row>
    <row r="238" spans="1:2" x14ac:dyDescent="0.25">
      <c r="A238" s="18">
        <v>241</v>
      </c>
      <c r="B238" s="18">
        <v>1.7E-5</v>
      </c>
    </row>
    <row r="239" spans="1:2" x14ac:dyDescent="0.25">
      <c r="A239" s="18">
        <v>242</v>
      </c>
      <c r="B239" s="18">
        <v>1.7200000000000001E-5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1:B248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6</v>
      </c>
      <c r="B2" s="18">
        <v>2.0200000000000001E-3</v>
      </c>
    </row>
    <row r="3" spans="1:2" x14ac:dyDescent="0.25">
      <c r="A3" s="18">
        <v>7</v>
      </c>
      <c r="B3" s="18">
        <v>1.0399999999999999E-3</v>
      </c>
    </row>
    <row r="4" spans="1:2" x14ac:dyDescent="0.25">
      <c r="A4" s="18">
        <v>8</v>
      </c>
      <c r="B4" s="18">
        <v>1.3299999999999999E-2</v>
      </c>
    </row>
    <row r="5" spans="1:2" x14ac:dyDescent="0.25">
      <c r="A5" s="18">
        <v>9</v>
      </c>
      <c r="B5" s="18">
        <v>2.0299999999999999E-2</v>
      </c>
    </row>
    <row r="6" spans="1:2" x14ac:dyDescent="0.25">
      <c r="A6" s="18">
        <v>10</v>
      </c>
      <c r="B6" s="18">
        <v>7.7600000000000002E-2</v>
      </c>
    </row>
    <row r="7" spans="1:2" x14ac:dyDescent="0.25">
      <c r="A7" s="18">
        <v>11</v>
      </c>
      <c r="B7" s="18">
        <v>1.4999999999999999E-2</v>
      </c>
    </row>
    <row r="8" spans="1:2" x14ac:dyDescent="0.25">
      <c r="A8" s="18">
        <v>12</v>
      </c>
      <c r="B8" s="18">
        <v>1.67E-2</v>
      </c>
    </row>
    <row r="9" spans="1:2" x14ac:dyDescent="0.25">
      <c r="A9" s="18">
        <v>13</v>
      </c>
      <c r="B9" s="18">
        <v>1.0699999999999999E-2</v>
      </c>
    </row>
    <row r="10" spans="1:2" x14ac:dyDescent="0.25">
      <c r="A10" s="18">
        <v>14</v>
      </c>
      <c r="B10" s="18">
        <v>1.2800000000000001E-2</v>
      </c>
    </row>
    <row r="11" spans="1:2" x14ac:dyDescent="0.25">
      <c r="A11" s="18">
        <v>15</v>
      </c>
      <c r="B11" s="18">
        <v>1.43E-2</v>
      </c>
    </row>
    <row r="12" spans="1:2" x14ac:dyDescent="0.25">
      <c r="A12" s="18">
        <v>16</v>
      </c>
      <c r="B12" s="18">
        <v>1.5699999999999999E-2</v>
      </c>
    </row>
    <row r="13" spans="1:2" x14ac:dyDescent="0.25">
      <c r="A13" s="18">
        <v>17</v>
      </c>
      <c r="B13" s="18">
        <v>1.6299999999999999E-2</v>
      </c>
    </row>
    <row r="14" spans="1:2" x14ac:dyDescent="0.25">
      <c r="A14" s="18">
        <v>18</v>
      </c>
      <c r="B14" s="18">
        <v>1.6899999999999998E-2</v>
      </c>
    </row>
    <row r="15" spans="1:2" x14ac:dyDescent="0.25">
      <c r="A15" s="18">
        <v>19</v>
      </c>
      <c r="B15" s="18">
        <v>1.72E-2</v>
      </c>
    </row>
    <row r="16" spans="1:2" x14ac:dyDescent="0.25">
      <c r="A16" s="18">
        <v>20</v>
      </c>
      <c r="B16" s="18">
        <v>1.7399999999999999E-2</v>
      </c>
    </row>
    <row r="17" spans="1:2" x14ac:dyDescent="0.25">
      <c r="A17" s="18">
        <v>21</v>
      </c>
      <c r="B17" s="18">
        <v>1.72E-2</v>
      </c>
    </row>
    <row r="18" spans="1:2" x14ac:dyDescent="0.25">
      <c r="A18" s="18">
        <v>22</v>
      </c>
      <c r="B18" s="18">
        <v>1.77E-2</v>
      </c>
    </row>
    <row r="19" spans="1:2" x14ac:dyDescent="0.25">
      <c r="A19" s="18">
        <v>23</v>
      </c>
      <c r="B19" s="18">
        <v>1.6799999999999999E-2</v>
      </c>
    </row>
    <row r="20" spans="1:2" x14ac:dyDescent="0.25">
      <c r="A20" s="18">
        <v>24</v>
      </c>
      <c r="B20" s="18">
        <v>1.6500000000000001E-2</v>
      </c>
    </row>
    <row r="21" spans="1:2" x14ac:dyDescent="0.25">
      <c r="A21" s="18">
        <v>25</v>
      </c>
      <c r="B21" s="18">
        <v>1.5900000000000001E-2</v>
      </c>
    </row>
    <row r="22" spans="1:2" x14ac:dyDescent="0.25">
      <c r="A22" s="18">
        <v>26</v>
      </c>
      <c r="B22" s="18">
        <v>1.5299999999999999E-2</v>
      </c>
    </row>
    <row r="23" spans="1:2" x14ac:dyDescent="0.25">
      <c r="A23" s="18">
        <v>27</v>
      </c>
      <c r="B23" s="18">
        <v>1.47E-2</v>
      </c>
    </row>
    <row r="24" spans="1:2" x14ac:dyDescent="0.25">
      <c r="A24" s="18">
        <v>28</v>
      </c>
      <c r="B24" s="18">
        <v>1.4200000000000001E-2</v>
      </c>
    </row>
    <row r="25" spans="1:2" x14ac:dyDescent="0.25">
      <c r="A25" s="18">
        <v>29</v>
      </c>
      <c r="B25" s="18">
        <v>1.35E-2</v>
      </c>
    </row>
    <row r="26" spans="1:2" x14ac:dyDescent="0.25">
      <c r="A26" s="18">
        <v>30</v>
      </c>
      <c r="B26" s="18">
        <v>1.29E-2</v>
      </c>
    </row>
    <row r="27" spans="1:2" x14ac:dyDescent="0.25">
      <c r="A27" s="18">
        <v>31</v>
      </c>
      <c r="B27" s="18">
        <v>1.23E-2</v>
      </c>
    </row>
    <row r="28" spans="1:2" x14ac:dyDescent="0.25">
      <c r="A28" s="18">
        <v>32</v>
      </c>
      <c r="B28" s="18">
        <v>1.2E-2</v>
      </c>
    </row>
    <row r="29" spans="1:2" x14ac:dyDescent="0.25">
      <c r="A29" s="18">
        <v>33</v>
      </c>
      <c r="B29" s="18">
        <v>1.14E-2</v>
      </c>
    </row>
    <row r="30" spans="1:2" x14ac:dyDescent="0.25">
      <c r="A30" s="18">
        <v>34</v>
      </c>
      <c r="B30" s="18">
        <v>1.09E-2</v>
      </c>
    </row>
    <row r="31" spans="1:2" x14ac:dyDescent="0.25">
      <c r="A31" s="18">
        <v>35</v>
      </c>
      <c r="B31" s="18">
        <v>1.04E-2</v>
      </c>
    </row>
    <row r="32" spans="1:2" x14ac:dyDescent="0.25">
      <c r="A32" s="18">
        <v>36</v>
      </c>
      <c r="B32" s="18">
        <v>9.8499999999999994E-3</v>
      </c>
    </row>
    <row r="33" spans="1:2" x14ac:dyDescent="0.25">
      <c r="A33" s="18">
        <v>37</v>
      </c>
      <c r="B33" s="18">
        <v>9.4000000000000004E-3</v>
      </c>
    </row>
    <row r="34" spans="1:2" x14ac:dyDescent="0.25">
      <c r="A34" s="18">
        <v>38</v>
      </c>
      <c r="B34" s="18">
        <v>9.0299999999999998E-3</v>
      </c>
    </row>
    <row r="35" spans="1:2" x14ac:dyDescent="0.25">
      <c r="A35" s="18">
        <v>39</v>
      </c>
      <c r="B35" s="18">
        <v>8.5199999999999998E-3</v>
      </c>
    </row>
    <row r="36" spans="1:2" x14ac:dyDescent="0.25">
      <c r="A36" s="18">
        <v>40</v>
      </c>
      <c r="B36" s="18">
        <v>8.09E-3</v>
      </c>
    </row>
    <row r="37" spans="1:2" x14ac:dyDescent="0.25">
      <c r="A37" s="18">
        <v>41</v>
      </c>
      <c r="B37" s="18">
        <v>7.77E-3</v>
      </c>
    </row>
    <row r="38" spans="1:2" x14ac:dyDescent="0.25">
      <c r="A38" s="18">
        <v>42</v>
      </c>
      <c r="B38" s="18">
        <v>7.5100000000000002E-3</v>
      </c>
    </row>
    <row r="39" spans="1:2" x14ac:dyDescent="0.25">
      <c r="A39" s="18">
        <v>43</v>
      </c>
      <c r="B39" s="18">
        <v>7.2300000000000003E-3</v>
      </c>
    </row>
    <row r="40" spans="1:2" x14ac:dyDescent="0.25">
      <c r="A40" s="18">
        <v>44</v>
      </c>
      <c r="B40" s="18">
        <v>6.8999999999999999E-3</v>
      </c>
    </row>
    <row r="41" spans="1:2" x14ac:dyDescent="0.25">
      <c r="A41" s="18">
        <v>45</v>
      </c>
      <c r="B41" s="18">
        <v>6.62E-3</v>
      </c>
    </row>
    <row r="42" spans="1:2" x14ac:dyDescent="0.25">
      <c r="A42" s="18">
        <v>46</v>
      </c>
      <c r="B42" s="18">
        <v>6.3600000000000002E-3</v>
      </c>
    </row>
    <row r="43" spans="1:2" x14ac:dyDescent="0.25">
      <c r="A43" s="18">
        <v>47</v>
      </c>
      <c r="B43" s="18">
        <v>6.11E-3</v>
      </c>
    </row>
    <row r="44" spans="1:2" x14ac:dyDescent="0.25">
      <c r="A44" s="18">
        <v>48</v>
      </c>
      <c r="B44" s="18">
        <v>5.8700000000000002E-3</v>
      </c>
    </row>
    <row r="45" spans="1:2" x14ac:dyDescent="0.25">
      <c r="A45" s="18">
        <v>49</v>
      </c>
      <c r="B45" s="18">
        <v>5.6699999999999997E-3</v>
      </c>
    </row>
    <row r="46" spans="1:2" x14ac:dyDescent="0.25">
      <c r="A46" s="18">
        <v>50</v>
      </c>
      <c r="B46" s="18">
        <v>5.4999999999999997E-3</v>
      </c>
    </row>
    <row r="47" spans="1:2" x14ac:dyDescent="0.25">
      <c r="A47" s="18">
        <v>51</v>
      </c>
      <c r="B47" s="18">
        <v>5.2500000000000003E-3</v>
      </c>
    </row>
    <row r="48" spans="1:2" x14ac:dyDescent="0.25">
      <c r="A48" s="18">
        <v>52</v>
      </c>
      <c r="B48" s="18">
        <v>5.1700000000000001E-3</v>
      </c>
    </row>
    <row r="49" spans="1:2" x14ac:dyDescent="0.25">
      <c r="A49" s="18">
        <v>53</v>
      </c>
      <c r="B49" s="18">
        <v>5.0099999999999997E-3</v>
      </c>
    </row>
    <row r="50" spans="1:2" x14ac:dyDescent="0.25">
      <c r="A50" s="18">
        <v>54</v>
      </c>
      <c r="B50" s="18">
        <v>4.8799999999999998E-3</v>
      </c>
    </row>
    <row r="51" spans="1:2" x14ac:dyDescent="0.25">
      <c r="A51" s="18">
        <v>55</v>
      </c>
      <c r="B51" s="18">
        <v>4.81E-3</v>
      </c>
    </row>
    <row r="52" spans="1:2" x14ac:dyDescent="0.25">
      <c r="A52" s="18">
        <v>56</v>
      </c>
      <c r="B52" s="18">
        <v>4.7000000000000002E-3</v>
      </c>
    </row>
    <row r="53" spans="1:2" x14ac:dyDescent="0.25">
      <c r="A53" s="18">
        <v>57</v>
      </c>
      <c r="B53" s="18">
        <v>4.8900000000000002E-3</v>
      </c>
    </row>
    <row r="54" spans="1:2" x14ac:dyDescent="0.25">
      <c r="A54" s="18">
        <v>58</v>
      </c>
      <c r="B54" s="18">
        <v>2.1600000000000001E-2</v>
      </c>
    </row>
    <row r="55" spans="1:2" x14ac:dyDescent="0.25">
      <c r="A55" s="18">
        <v>59</v>
      </c>
      <c r="B55" s="18">
        <v>2.4400000000000002E-2</v>
      </c>
    </row>
    <row r="56" spans="1:2" x14ac:dyDescent="0.25">
      <c r="A56" s="18">
        <v>60</v>
      </c>
      <c r="B56" s="18">
        <v>1.7999999999999999E-2</v>
      </c>
    </row>
    <row r="57" spans="1:2" x14ac:dyDescent="0.25">
      <c r="A57" s="18">
        <v>61</v>
      </c>
      <c r="B57" s="18">
        <v>4.1700000000000001E-3</v>
      </c>
    </row>
    <row r="58" spans="1:2" x14ac:dyDescent="0.25">
      <c r="A58" s="18">
        <v>62</v>
      </c>
      <c r="B58" s="18">
        <v>4.0000000000000001E-3</v>
      </c>
    </row>
    <row r="59" spans="1:2" x14ac:dyDescent="0.25">
      <c r="A59" s="18">
        <v>63</v>
      </c>
      <c r="B59" s="18">
        <v>3.98E-3</v>
      </c>
    </row>
    <row r="60" spans="1:2" x14ac:dyDescent="0.25">
      <c r="A60" s="18">
        <v>64</v>
      </c>
      <c r="B60" s="18">
        <v>3.9100000000000003E-3</v>
      </c>
    </row>
    <row r="61" spans="1:2" x14ac:dyDescent="0.25">
      <c r="A61" s="18">
        <v>65</v>
      </c>
      <c r="B61" s="18">
        <v>3.8400000000000001E-3</v>
      </c>
    </row>
    <row r="62" spans="1:2" x14ac:dyDescent="0.25">
      <c r="A62" s="18">
        <v>66</v>
      </c>
      <c r="B62" s="18">
        <v>3.9500000000000004E-3</v>
      </c>
    </row>
    <row r="63" spans="1:2" x14ac:dyDescent="0.25">
      <c r="A63" s="18">
        <v>67</v>
      </c>
      <c r="B63" s="18">
        <v>1.29E-2</v>
      </c>
    </row>
    <row r="64" spans="1:2" x14ac:dyDescent="0.25">
      <c r="A64" s="18">
        <v>68</v>
      </c>
      <c r="B64" s="18">
        <v>6.5599999999999999E-3</v>
      </c>
    </row>
    <row r="65" spans="1:2" x14ac:dyDescent="0.25">
      <c r="A65" s="18">
        <v>69</v>
      </c>
      <c r="B65" s="18">
        <v>6.1399999999999996E-3</v>
      </c>
    </row>
    <row r="66" spans="1:2" x14ac:dyDescent="0.25">
      <c r="A66" s="18">
        <v>70</v>
      </c>
      <c r="B66" s="18">
        <v>3.31E-3</v>
      </c>
    </row>
    <row r="67" spans="1:2" x14ac:dyDescent="0.25">
      <c r="A67" s="18">
        <v>71</v>
      </c>
      <c r="B67" s="18">
        <v>2.5000000000000001E-3</v>
      </c>
    </row>
    <row r="68" spans="1:2" x14ac:dyDescent="0.25">
      <c r="A68" s="18">
        <v>72</v>
      </c>
      <c r="B68" s="18">
        <v>2.4499999999999999E-3</v>
      </c>
    </row>
    <row r="69" spans="1:2" x14ac:dyDescent="0.25">
      <c r="A69" s="18">
        <v>73</v>
      </c>
      <c r="B69" s="18">
        <v>2.4599999999999999E-3</v>
      </c>
    </row>
    <row r="70" spans="1:2" x14ac:dyDescent="0.25">
      <c r="A70" s="18">
        <v>74</v>
      </c>
      <c r="B70" s="18">
        <v>2.47E-3</v>
      </c>
    </row>
    <row r="71" spans="1:2" x14ac:dyDescent="0.25">
      <c r="A71" s="18">
        <v>75</v>
      </c>
      <c r="B71" s="18">
        <v>2.4199999999999998E-3</v>
      </c>
    </row>
    <row r="72" spans="1:2" x14ac:dyDescent="0.25">
      <c r="A72" s="18">
        <v>76</v>
      </c>
      <c r="B72" s="18">
        <v>2.4599999999999999E-3</v>
      </c>
    </row>
    <row r="73" spans="1:2" x14ac:dyDescent="0.25">
      <c r="A73" s="18">
        <v>77</v>
      </c>
      <c r="B73" s="18">
        <v>2.4299999999999999E-3</v>
      </c>
    </row>
    <row r="74" spans="1:2" x14ac:dyDescent="0.25">
      <c r="A74" s="18">
        <v>78</v>
      </c>
      <c r="B74" s="18">
        <v>2.4099999999999998E-3</v>
      </c>
    </row>
    <row r="75" spans="1:2" x14ac:dyDescent="0.25">
      <c r="A75" s="18">
        <v>79</v>
      </c>
      <c r="B75" s="18">
        <v>2.3900000000000002E-3</v>
      </c>
    </row>
    <row r="76" spans="1:2" x14ac:dyDescent="0.25">
      <c r="A76" s="18">
        <v>80</v>
      </c>
      <c r="B76" s="18">
        <v>2.3700000000000001E-3</v>
      </c>
    </row>
    <row r="77" spans="1:2" x14ac:dyDescent="0.25">
      <c r="A77" s="18">
        <v>81</v>
      </c>
      <c r="B77" s="18">
        <v>2.3999999999999998E-3</v>
      </c>
    </row>
    <row r="78" spans="1:2" x14ac:dyDescent="0.25">
      <c r="A78" s="18">
        <v>82</v>
      </c>
      <c r="B78" s="18">
        <v>2.33E-3</v>
      </c>
    </row>
    <row r="79" spans="1:2" x14ac:dyDescent="0.25">
      <c r="A79" s="18">
        <v>83</v>
      </c>
      <c r="B79" s="18">
        <v>2.3700000000000001E-3</v>
      </c>
    </row>
    <row r="80" spans="1:2" x14ac:dyDescent="0.25">
      <c r="A80" s="18">
        <v>84</v>
      </c>
      <c r="B80" s="18">
        <v>2.3600000000000001E-3</v>
      </c>
    </row>
    <row r="81" spans="1:2" x14ac:dyDescent="0.25">
      <c r="A81" s="18">
        <v>85</v>
      </c>
      <c r="B81" s="18">
        <v>2.3600000000000001E-3</v>
      </c>
    </row>
    <row r="82" spans="1:2" x14ac:dyDescent="0.25">
      <c r="A82" s="18">
        <v>86</v>
      </c>
      <c r="B82" s="18">
        <v>2.3700000000000001E-3</v>
      </c>
    </row>
    <row r="83" spans="1:2" x14ac:dyDescent="0.25">
      <c r="A83" s="18">
        <v>87</v>
      </c>
      <c r="B83" s="18">
        <v>2.3400000000000001E-3</v>
      </c>
    </row>
    <row r="84" spans="1:2" x14ac:dyDescent="0.25">
      <c r="A84" s="18">
        <v>88</v>
      </c>
      <c r="B84" s="18">
        <v>2.3400000000000001E-3</v>
      </c>
    </row>
    <row r="85" spans="1:2" x14ac:dyDescent="0.25">
      <c r="A85" s="18">
        <v>89</v>
      </c>
      <c r="B85" s="18">
        <v>2.3E-3</v>
      </c>
    </row>
    <row r="86" spans="1:2" x14ac:dyDescent="0.25">
      <c r="A86" s="18">
        <v>90</v>
      </c>
      <c r="B86" s="18">
        <v>2.2799999999999999E-3</v>
      </c>
    </row>
    <row r="87" spans="1:2" x14ac:dyDescent="0.25">
      <c r="A87" s="18">
        <v>91</v>
      </c>
      <c r="B87" s="18">
        <v>2.2599999999999999E-3</v>
      </c>
    </row>
    <row r="88" spans="1:2" x14ac:dyDescent="0.25">
      <c r="A88" s="18">
        <v>92</v>
      </c>
      <c r="B88" s="18">
        <v>2.2599999999999999E-3</v>
      </c>
    </row>
    <row r="89" spans="1:2" x14ac:dyDescent="0.25">
      <c r="A89" s="18">
        <v>93</v>
      </c>
      <c r="B89" s="18">
        <v>2.2499999999999998E-3</v>
      </c>
    </row>
    <row r="90" spans="1:2" x14ac:dyDescent="0.25">
      <c r="A90" s="18">
        <v>94</v>
      </c>
      <c r="B90" s="18">
        <v>2.2499999999999998E-3</v>
      </c>
    </row>
    <row r="91" spans="1:2" x14ac:dyDescent="0.25">
      <c r="A91" s="18">
        <v>95</v>
      </c>
      <c r="B91" s="18">
        <v>2.2300000000000002E-3</v>
      </c>
    </row>
    <row r="92" spans="1:2" x14ac:dyDescent="0.25">
      <c r="A92" s="18">
        <v>96</v>
      </c>
      <c r="B92" s="18">
        <v>2.2300000000000002E-3</v>
      </c>
    </row>
    <row r="93" spans="1:2" x14ac:dyDescent="0.25">
      <c r="A93" s="18">
        <v>97</v>
      </c>
      <c r="B93" s="18">
        <v>2.2300000000000002E-3</v>
      </c>
    </row>
    <row r="94" spans="1:2" x14ac:dyDescent="0.25">
      <c r="A94" s="18">
        <v>98</v>
      </c>
      <c r="B94" s="18">
        <v>2.2100000000000002E-3</v>
      </c>
    </row>
    <row r="95" spans="1:2" x14ac:dyDescent="0.25">
      <c r="A95" s="18">
        <v>99</v>
      </c>
      <c r="B95" s="18">
        <v>2.1900000000000001E-3</v>
      </c>
    </row>
    <row r="96" spans="1:2" x14ac:dyDescent="0.25">
      <c r="A96" s="18">
        <v>100</v>
      </c>
      <c r="B96" s="18">
        <v>2.1900000000000001E-3</v>
      </c>
    </row>
    <row r="97" spans="1:2" x14ac:dyDescent="0.25">
      <c r="A97" s="18">
        <v>101</v>
      </c>
      <c r="B97" s="18">
        <v>2.2000000000000001E-3</v>
      </c>
    </row>
    <row r="98" spans="1:2" x14ac:dyDescent="0.25">
      <c r="A98" s="18">
        <v>102</v>
      </c>
      <c r="B98" s="18">
        <v>2.1800000000000001E-3</v>
      </c>
    </row>
    <row r="99" spans="1:2" x14ac:dyDescent="0.25">
      <c r="A99" s="18">
        <v>103</v>
      </c>
      <c r="B99" s="18">
        <v>2.2000000000000001E-3</v>
      </c>
    </row>
    <row r="100" spans="1:2" x14ac:dyDescent="0.25">
      <c r="A100" s="18">
        <v>104</v>
      </c>
      <c r="B100" s="18">
        <v>2.16E-3</v>
      </c>
    </row>
    <row r="101" spans="1:2" x14ac:dyDescent="0.25">
      <c r="A101" s="18">
        <v>105</v>
      </c>
      <c r="B101" s="18">
        <v>2.1700000000000001E-3</v>
      </c>
    </row>
    <row r="102" spans="1:2" x14ac:dyDescent="0.25">
      <c r="A102" s="18">
        <v>106</v>
      </c>
      <c r="B102" s="18">
        <v>2.1800000000000001E-3</v>
      </c>
    </row>
    <row r="103" spans="1:2" x14ac:dyDescent="0.25">
      <c r="A103" s="18">
        <v>107</v>
      </c>
      <c r="B103" s="18">
        <v>2.1900000000000001E-3</v>
      </c>
    </row>
    <row r="104" spans="1:2" x14ac:dyDescent="0.25">
      <c r="A104" s="18">
        <v>108</v>
      </c>
      <c r="B104" s="18">
        <v>2.14E-3</v>
      </c>
    </row>
    <row r="105" spans="1:2" x14ac:dyDescent="0.25">
      <c r="A105" s="18">
        <v>109</v>
      </c>
      <c r="B105" s="18">
        <v>2.14E-3</v>
      </c>
    </row>
    <row r="106" spans="1:2" x14ac:dyDescent="0.25">
      <c r="A106" s="18">
        <v>110</v>
      </c>
      <c r="B106" s="18">
        <v>2.14E-3</v>
      </c>
    </row>
    <row r="107" spans="1:2" x14ac:dyDescent="0.25">
      <c r="A107" s="18">
        <v>111</v>
      </c>
      <c r="B107" s="18">
        <v>2.1099999999999999E-3</v>
      </c>
    </row>
    <row r="108" spans="1:2" x14ac:dyDescent="0.25">
      <c r="A108" s="18">
        <v>112</v>
      </c>
      <c r="B108" s="18">
        <v>2.1199999999999999E-3</v>
      </c>
    </row>
    <row r="109" spans="1:2" x14ac:dyDescent="0.25">
      <c r="A109" s="18">
        <v>113</v>
      </c>
      <c r="B109" s="18">
        <v>2.0999999999999999E-3</v>
      </c>
    </row>
    <row r="110" spans="1:2" x14ac:dyDescent="0.25">
      <c r="A110" s="18">
        <v>114</v>
      </c>
      <c r="B110" s="18">
        <v>2.1199999999999999E-3</v>
      </c>
    </row>
    <row r="111" spans="1:2" x14ac:dyDescent="0.25">
      <c r="A111" s="18">
        <v>115</v>
      </c>
      <c r="B111" s="18">
        <v>2.0600000000000002E-3</v>
      </c>
    </row>
    <row r="112" spans="1:2" x14ac:dyDescent="0.25">
      <c r="A112" s="18">
        <v>116</v>
      </c>
      <c r="B112" s="18">
        <v>2.0999999999999999E-3</v>
      </c>
    </row>
    <row r="113" spans="1:2" x14ac:dyDescent="0.25">
      <c r="A113" s="18">
        <v>117</v>
      </c>
      <c r="B113" s="18">
        <v>2.0799999999999998E-3</v>
      </c>
    </row>
    <row r="114" spans="1:2" x14ac:dyDescent="0.25">
      <c r="A114" s="18">
        <v>118</v>
      </c>
      <c r="B114" s="18">
        <v>2.0899999999999998E-3</v>
      </c>
    </row>
    <row r="115" spans="1:2" x14ac:dyDescent="0.25">
      <c r="A115" s="18">
        <v>119</v>
      </c>
      <c r="B115" s="18">
        <v>2.0899999999999998E-3</v>
      </c>
    </row>
    <row r="116" spans="1:2" x14ac:dyDescent="0.25">
      <c r="A116" s="18">
        <v>120</v>
      </c>
      <c r="B116" s="18">
        <v>2.0500000000000002E-3</v>
      </c>
    </row>
    <row r="117" spans="1:2" x14ac:dyDescent="0.25">
      <c r="A117" s="18">
        <v>121</v>
      </c>
      <c r="B117" s="18">
        <v>2.0699999999999998E-3</v>
      </c>
    </row>
    <row r="118" spans="1:2" x14ac:dyDescent="0.25">
      <c r="A118" s="18">
        <v>122</v>
      </c>
      <c r="B118" s="18">
        <v>2.0200000000000001E-3</v>
      </c>
    </row>
    <row r="119" spans="1:2" x14ac:dyDescent="0.25">
      <c r="A119" s="18">
        <v>123</v>
      </c>
      <c r="B119" s="18">
        <v>2.0100000000000001E-3</v>
      </c>
    </row>
    <row r="120" spans="1:2" x14ac:dyDescent="0.25">
      <c r="A120" s="18">
        <v>124</v>
      </c>
      <c r="B120" s="18">
        <v>2.0100000000000001E-3</v>
      </c>
    </row>
    <row r="121" spans="1:2" x14ac:dyDescent="0.25">
      <c r="A121" s="18">
        <v>125</v>
      </c>
      <c r="B121" s="18">
        <v>2E-3</v>
      </c>
    </row>
    <row r="122" spans="1:2" x14ac:dyDescent="0.25">
      <c r="A122" s="18">
        <v>126</v>
      </c>
      <c r="B122" s="18">
        <v>2.0100000000000001E-3</v>
      </c>
    </row>
    <row r="123" spans="1:2" x14ac:dyDescent="0.25">
      <c r="A123" s="18">
        <v>127</v>
      </c>
      <c r="B123" s="18">
        <v>1.99E-3</v>
      </c>
    </row>
    <row r="124" spans="1:2" x14ac:dyDescent="0.25">
      <c r="A124" s="18">
        <v>128</v>
      </c>
      <c r="B124" s="18">
        <v>1.97E-3</v>
      </c>
    </row>
    <row r="125" spans="1:2" x14ac:dyDescent="0.25">
      <c r="A125" s="18">
        <v>129</v>
      </c>
      <c r="B125" s="18">
        <v>1.9499999999999999E-3</v>
      </c>
    </row>
    <row r="126" spans="1:2" x14ac:dyDescent="0.25">
      <c r="A126" s="18">
        <v>130</v>
      </c>
      <c r="B126" s="18">
        <v>1.9599999999999999E-3</v>
      </c>
    </row>
    <row r="127" spans="1:2" x14ac:dyDescent="0.25">
      <c r="A127" s="18">
        <v>131</v>
      </c>
      <c r="B127" s="18">
        <v>1.9599999999999999E-3</v>
      </c>
    </row>
    <row r="128" spans="1:2" x14ac:dyDescent="0.25">
      <c r="A128" s="18">
        <v>132</v>
      </c>
      <c r="B128" s="18">
        <v>1.8699999999999999E-3</v>
      </c>
    </row>
    <row r="129" spans="1:2" x14ac:dyDescent="0.25">
      <c r="A129" s="18">
        <v>133</v>
      </c>
      <c r="B129" s="18">
        <v>1.92E-3</v>
      </c>
    </row>
    <row r="130" spans="1:2" x14ac:dyDescent="0.25">
      <c r="A130" s="18">
        <v>134</v>
      </c>
      <c r="B130" s="18">
        <v>1.9E-3</v>
      </c>
    </row>
    <row r="131" spans="1:2" x14ac:dyDescent="0.25">
      <c r="A131" s="18">
        <v>135</v>
      </c>
      <c r="B131" s="18">
        <v>1.8799999999999999E-3</v>
      </c>
    </row>
    <row r="132" spans="1:2" x14ac:dyDescent="0.25">
      <c r="A132" s="18">
        <v>136</v>
      </c>
      <c r="B132" s="18">
        <v>1.8799999999999999E-3</v>
      </c>
    </row>
    <row r="133" spans="1:2" x14ac:dyDescent="0.25">
      <c r="A133" s="18">
        <v>137</v>
      </c>
      <c r="B133" s="18">
        <v>1.8600000000000001E-3</v>
      </c>
    </row>
    <row r="134" spans="1:2" x14ac:dyDescent="0.25">
      <c r="A134" s="18">
        <v>138</v>
      </c>
      <c r="B134" s="18">
        <v>1.8500000000000001E-3</v>
      </c>
    </row>
    <row r="135" spans="1:2" x14ac:dyDescent="0.25">
      <c r="A135" s="18">
        <v>139</v>
      </c>
      <c r="B135" s="18">
        <v>1.82E-3</v>
      </c>
    </row>
    <row r="136" spans="1:2" x14ac:dyDescent="0.25">
      <c r="A136" s="18">
        <v>140</v>
      </c>
      <c r="B136" s="18">
        <v>1.8400000000000001E-3</v>
      </c>
    </row>
    <row r="137" spans="1:2" x14ac:dyDescent="0.25">
      <c r="A137" s="18">
        <v>141</v>
      </c>
      <c r="B137" s="18">
        <v>1.7700000000000001E-3</v>
      </c>
    </row>
    <row r="138" spans="1:2" x14ac:dyDescent="0.25">
      <c r="A138" s="18">
        <v>142</v>
      </c>
      <c r="B138" s="18">
        <v>1.7799999999999999E-3</v>
      </c>
    </row>
    <row r="139" spans="1:2" x14ac:dyDescent="0.25">
      <c r="A139" s="18">
        <v>143</v>
      </c>
      <c r="B139" s="18">
        <v>1.7700000000000001E-3</v>
      </c>
    </row>
    <row r="140" spans="1:2" x14ac:dyDescent="0.25">
      <c r="A140" s="18">
        <v>144</v>
      </c>
      <c r="B140" s="18">
        <v>1.75E-3</v>
      </c>
    </row>
    <row r="141" spans="1:2" x14ac:dyDescent="0.25">
      <c r="A141" s="18">
        <v>145</v>
      </c>
      <c r="B141" s="18">
        <v>1.7899999999999999E-3</v>
      </c>
    </row>
    <row r="142" spans="1:2" x14ac:dyDescent="0.25">
      <c r="A142" s="18">
        <v>146</v>
      </c>
      <c r="B142" s="18">
        <v>1.7600000000000001E-3</v>
      </c>
    </row>
    <row r="143" spans="1:2" x14ac:dyDescent="0.25">
      <c r="A143" s="18">
        <v>147</v>
      </c>
      <c r="B143" s="18">
        <v>1.6999999999999999E-3</v>
      </c>
    </row>
    <row r="144" spans="1:2" x14ac:dyDescent="0.25">
      <c r="A144" s="18">
        <v>148</v>
      </c>
      <c r="B144" s="18">
        <v>1.72E-3</v>
      </c>
    </row>
    <row r="145" spans="1:2" x14ac:dyDescent="0.25">
      <c r="A145" s="18">
        <v>149</v>
      </c>
      <c r="B145" s="18">
        <v>1.73E-3</v>
      </c>
    </row>
    <row r="146" spans="1:2" x14ac:dyDescent="0.25">
      <c r="A146" s="18">
        <v>150</v>
      </c>
      <c r="B146" s="18">
        <v>1.66E-3</v>
      </c>
    </row>
    <row r="147" spans="1:2" x14ac:dyDescent="0.25">
      <c r="A147" s="18">
        <v>151</v>
      </c>
      <c r="B147" s="18">
        <v>1.65E-3</v>
      </c>
    </row>
    <row r="148" spans="1:2" x14ac:dyDescent="0.25">
      <c r="A148" s="18">
        <v>152</v>
      </c>
      <c r="B148" s="18">
        <v>1.65E-3</v>
      </c>
    </row>
    <row r="149" spans="1:2" x14ac:dyDescent="0.25">
      <c r="A149" s="18">
        <v>153</v>
      </c>
      <c r="B149" s="18">
        <v>1.65E-3</v>
      </c>
    </row>
    <row r="150" spans="1:2" x14ac:dyDescent="0.25">
      <c r="A150" s="18">
        <v>154</v>
      </c>
      <c r="B150" s="18">
        <v>1.6100000000000001E-3</v>
      </c>
    </row>
    <row r="151" spans="1:2" x14ac:dyDescent="0.25">
      <c r="A151" s="18">
        <v>155</v>
      </c>
      <c r="B151" s="18">
        <v>1.64E-3</v>
      </c>
    </row>
    <row r="152" spans="1:2" x14ac:dyDescent="0.25">
      <c r="A152" s="18">
        <v>156</v>
      </c>
      <c r="B152" s="18">
        <v>1.5900000000000001E-3</v>
      </c>
    </row>
    <row r="153" spans="1:2" x14ac:dyDescent="0.25">
      <c r="A153" s="18">
        <v>157</v>
      </c>
      <c r="B153" s="18">
        <v>1.6000000000000001E-3</v>
      </c>
    </row>
    <row r="154" spans="1:2" x14ac:dyDescent="0.25">
      <c r="A154" s="18">
        <v>158</v>
      </c>
      <c r="B154" s="18">
        <v>1.58E-3</v>
      </c>
    </row>
    <row r="155" spans="1:2" x14ac:dyDescent="0.25">
      <c r="A155" s="18">
        <v>159</v>
      </c>
      <c r="B155" s="18">
        <v>1.5399999999999999E-3</v>
      </c>
    </row>
    <row r="156" spans="1:2" x14ac:dyDescent="0.25">
      <c r="A156" s="18">
        <v>160</v>
      </c>
      <c r="B156" s="18">
        <v>1.56E-3</v>
      </c>
    </row>
    <row r="157" spans="1:2" x14ac:dyDescent="0.25">
      <c r="A157" s="18">
        <v>161</v>
      </c>
      <c r="B157" s="18">
        <v>1.56E-3</v>
      </c>
    </row>
    <row r="158" spans="1:2" x14ac:dyDescent="0.25">
      <c r="A158" s="18">
        <v>162</v>
      </c>
      <c r="B158" s="18">
        <v>1.5E-3</v>
      </c>
    </row>
    <row r="159" spans="1:2" x14ac:dyDescent="0.25">
      <c r="A159" s="18">
        <v>163</v>
      </c>
      <c r="B159" s="18">
        <v>1.49E-3</v>
      </c>
    </row>
    <row r="160" spans="1:2" x14ac:dyDescent="0.25">
      <c r="A160" s="18">
        <v>164</v>
      </c>
      <c r="B160" s="18">
        <v>1.48E-3</v>
      </c>
    </row>
    <row r="161" spans="1:2" x14ac:dyDescent="0.25">
      <c r="A161" s="18">
        <v>165</v>
      </c>
      <c r="B161" s="18">
        <v>1.5100000000000001E-3</v>
      </c>
    </row>
    <row r="162" spans="1:2" x14ac:dyDescent="0.25">
      <c r="A162" s="18">
        <v>166</v>
      </c>
      <c r="B162" s="18">
        <v>1.5E-3</v>
      </c>
    </row>
    <row r="163" spans="1:2" x14ac:dyDescent="0.25">
      <c r="A163" s="18">
        <v>167</v>
      </c>
      <c r="B163" s="18">
        <v>1.4400000000000001E-3</v>
      </c>
    </row>
    <row r="164" spans="1:2" x14ac:dyDescent="0.25">
      <c r="A164" s="18">
        <v>168</v>
      </c>
      <c r="B164" s="18">
        <v>1.48E-3</v>
      </c>
    </row>
    <row r="165" spans="1:2" x14ac:dyDescent="0.25">
      <c r="A165" s="18">
        <v>169</v>
      </c>
      <c r="B165" s="18">
        <v>1.42E-3</v>
      </c>
    </row>
    <row r="166" spans="1:2" x14ac:dyDescent="0.25">
      <c r="A166" s="18">
        <v>170</v>
      </c>
      <c r="B166" s="18">
        <v>1.4E-3</v>
      </c>
    </row>
    <row r="167" spans="1:2" x14ac:dyDescent="0.25">
      <c r="A167" s="18">
        <v>171</v>
      </c>
      <c r="B167" s="18">
        <v>1.4E-3</v>
      </c>
    </row>
    <row r="168" spans="1:2" x14ac:dyDescent="0.25">
      <c r="A168" s="18">
        <v>172</v>
      </c>
      <c r="B168" s="18">
        <v>1.3600000000000001E-3</v>
      </c>
    </row>
    <row r="169" spans="1:2" x14ac:dyDescent="0.25">
      <c r="A169" s="18">
        <v>173</v>
      </c>
      <c r="B169" s="18">
        <v>1.3600000000000001E-3</v>
      </c>
    </row>
    <row r="170" spans="1:2" x14ac:dyDescent="0.25">
      <c r="A170" s="18">
        <v>174</v>
      </c>
      <c r="B170" s="18">
        <v>1.2999999999999999E-3</v>
      </c>
    </row>
    <row r="171" spans="1:2" x14ac:dyDescent="0.25">
      <c r="A171" s="18">
        <v>175</v>
      </c>
      <c r="B171" s="18">
        <v>1.3699999999999999E-3</v>
      </c>
    </row>
    <row r="172" spans="1:2" x14ac:dyDescent="0.25">
      <c r="A172" s="18">
        <v>176</v>
      </c>
      <c r="B172" s="18">
        <v>1.31E-3</v>
      </c>
    </row>
    <row r="173" spans="1:2" x14ac:dyDescent="0.25">
      <c r="A173" s="18">
        <v>177</v>
      </c>
      <c r="B173" s="18">
        <v>1.2800000000000001E-3</v>
      </c>
    </row>
    <row r="174" spans="1:2" x14ac:dyDescent="0.25">
      <c r="A174" s="18">
        <v>178</v>
      </c>
      <c r="B174" s="18">
        <v>1.2700000000000001E-3</v>
      </c>
    </row>
    <row r="175" spans="1:2" x14ac:dyDescent="0.25">
      <c r="A175" s="18">
        <v>179</v>
      </c>
      <c r="B175" s="18">
        <v>1.31E-3</v>
      </c>
    </row>
    <row r="176" spans="1:2" x14ac:dyDescent="0.25">
      <c r="A176" s="18">
        <v>180</v>
      </c>
      <c r="B176" s="18">
        <v>1.2600000000000001E-3</v>
      </c>
    </row>
    <row r="177" spans="1:2" x14ac:dyDescent="0.25">
      <c r="A177" s="18">
        <v>181</v>
      </c>
      <c r="B177" s="18">
        <v>1.24E-3</v>
      </c>
    </row>
    <row r="178" spans="1:2" x14ac:dyDescent="0.25">
      <c r="A178" s="18">
        <v>182</v>
      </c>
      <c r="B178" s="18">
        <v>1.2600000000000001E-3</v>
      </c>
    </row>
    <row r="179" spans="1:2" x14ac:dyDescent="0.25">
      <c r="A179" s="18">
        <v>183</v>
      </c>
      <c r="B179" s="18">
        <v>1.2199999999999999E-3</v>
      </c>
    </row>
    <row r="180" spans="1:2" x14ac:dyDescent="0.25">
      <c r="A180" s="18">
        <v>184</v>
      </c>
      <c r="B180" s="18">
        <v>1.1999999999999999E-3</v>
      </c>
    </row>
    <row r="181" spans="1:2" x14ac:dyDescent="0.25">
      <c r="A181" s="18">
        <v>185</v>
      </c>
      <c r="B181" s="18">
        <v>1.1800000000000001E-3</v>
      </c>
    </row>
    <row r="182" spans="1:2" x14ac:dyDescent="0.25">
      <c r="A182" s="18">
        <v>186</v>
      </c>
      <c r="B182" s="18">
        <v>1.1999999999999999E-3</v>
      </c>
    </row>
    <row r="183" spans="1:2" x14ac:dyDescent="0.25">
      <c r="A183" s="18">
        <v>187</v>
      </c>
      <c r="B183" s="18">
        <v>1.1199999999999999E-3</v>
      </c>
    </row>
    <row r="184" spans="1:2" x14ac:dyDescent="0.25">
      <c r="A184" s="18">
        <v>188</v>
      </c>
      <c r="B184" s="18">
        <v>1.15E-3</v>
      </c>
    </row>
    <row r="185" spans="1:2" x14ac:dyDescent="0.25">
      <c r="A185" s="18">
        <v>189</v>
      </c>
      <c r="B185" s="18">
        <v>1.1199999999999999E-3</v>
      </c>
    </row>
    <row r="186" spans="1:2" x14ac:dyDescent="0.25">
      <c r="A186" s="18">
        <v>190</v>
      </c>
      <c r="B186" s="18">
        <v>1.08E-3</v>
      </c>
    </row>
    <row r="187" spans="1:2" x14ac:dyDescent="0.25">
      <c r="A187" s="18">
        <v>191</v>
      </c>
      <c r="B187" s="18">
        <v>1.1000000000000001E-3</v>
      </c>
    </row>
    <row r="188" spans="1:2" x14ac:dyDescent="0.25">
      <c r="A188" s="18">
        <v>192</v>
      </c>
      <c r="B188" s="18">
        <v>1.06E-3</v>
      </c>
    </row>
    <row r="189" spans="1:2" x14ac:dyDescent="0.25">
      <c r="A189" s="18">
        <v>193</v>
      </c>
      <c r="B189" s="18">
        <v>1.0399999999999999E-3</v>
      </c>
    </row>
    <row r="190" spans="1:2" x14ac:dyDescent="0.25">
      <c r="A190" s="18">
        <v>194</v>
      </c>
      <c r="B190" s="18">
        <v>9.8700000000000003E-4</v>
      </c>
    </row>
    <row r="191" spans="1:2" x14ac:dyDescent="0.25">
      <c r="A191" s="18">
        <v>195</v>
      </c>
      <c r="B191" s="18">
        <v>1.0399999999999999E-3</v>
      </c>
    </row>
    <row r="192" spans="1:2" x14ac:dyDescent="0.25">
      <c r="A192" s="18">
        <v>196</v>
      </c>
      <c r="B192" s="18">
        <v>9.8499999999999998E-4</v>
      </c>
    </row>
    <row r="193" spans="1:2" x14ac:dyDescent="0.25">
      <c r="A193" s="18">
        <v>197</v>
      </c>
      <c r="B193" s="18">
        <v>9.9700000000000006E-4</v>
      </c>
    </row>
    <row r="194" spans="1:2" x14ac:dyDescent="0.25">
      <c r="A194" s="18">
        <v>198</v>
      </c>
      <c r="B194" s="18">
        <v>9.4799999999999995E-4</v>
      </c>
    </row>
    <row r="195" spans="1:2" x14ac:dyDescent="0.25">
      <c r="A195" s="18">
        <v>199</v>
      </c>
      <c r="B195" s="18">
        <v>9.6599999999999995E-4</v>
      </c>
    </row>
    <row r="196" spans="1:2" x14ac:dyDescent="0.25">
      <c r="A196" s="18">
        <v>200</v>
      </c>
      <c r="B196" s="18">
        <v>9.2599999999999996E-4</v>
      </c>
    </row>
    <row r="197" spans="1:2" x14ac:dyDescent="0.25">
      <c r="A197" s="18">
        <v>201</v>
      </c>
      <c r="B197" s="18">
        <v>9.3000000000000005E-4</v>
      </c>
    </row>
    <row r="198" spans="1:2" x14ac:dyDescent="0.25">
      <c r="A198" s="18">
        <v>202</v>
      </c>
      <c r="B198" s="18">
        <v>9.0700000000000004E-4</v>
      </c>
    </row>
    <row r="199" spans="1:2" x14ac:dyDescent="0.25">
      <c r="A199" s="18">
        <v>203</v>
      </c>
      <c r="B199" s="18">
        <v>8.8800000000000001E-4</v>
      </c>
    </row>
    <row r="200" spans="1:2" x14ac:dyDescent="0.25">
      <c r="A200" s="18">
        <v>204</v>
      </c>
      <c r="B200" s="18">
        <v>8.9300000000000002E-4</v>
      </c>
    </row>
    <row r="201" spans="1:2" x14ac:dyDescent="0.25">
      <c r="A201" s="18">
        <v>205</v>
      </c>
      <c r="B201" s="18">
        <v>8.2700000000000004E-4</v>
      </c>
    </row>
    <row r="202" spans="1:2" x14ac:dyDescent="0.25">
      <c r="A202" s="18">
        <v>206</v>
      </c>
      <c r="B202" s="18">
        <v>8.2100000000000001E-4</v>
      </c>
    </row>
    <row r="203" spans="1:2" x14ac:dyDescent="0.25">
      <c r="A203" s="18">
        <v>207</v>
      </c>
      <c r="B203" s="18">
        <v>7.8299999999999995E-4</v>
      </c>
    </row>
    <row r="204" spans="1:2" x14ac:dyDescent="0.25">
      <c r="A204" s="18">
        <v>208</v>
      </c>
      <c r="B204" s="18">
        <v>7.7999999999999999E-4</v>
      </c>
    </row>
    <row r="205" spans="1:2" x14ac:dyDescent="0.25">
      <c r="A205" s="18">
        <v>209</v>
      </c>
      <c r="B205" s="18">
        <v>7.6900000000000004E-4</v>
      </c>
    </row>
    <row r="206" spans="1:2" x14ac:dyDescent="0.25">
      <c r="A206" s="18">
        <v>210</v>
      </c>
      <c r="B206" s="18">
        <v>7.8299999999999995E-4</v>
      </c>
    </row>
    <row r="207" spans="1:2" x14ac:dyDescent="0.25">
      <c r="A207" s="18">
        <v>211</v>
      </c>
      <c r="B207" s="18">
        <v>7.4700000000000005E-4</v>
      </c>
    </row>
    <row r="208" spans="1:2" x14ac:dyDescent="0.25">
      <c r="A208" s="18">
        <v>212</v>
      </c>
      <c r="B208" s="18">
        <v>7.3899999999999997E-4</v>
      </c>
    </row>
    <row r="209" spans="1:2" x14ac:dyDescent="0.25">
      <c r="A209" s="18">
        <v>213</v>
      </c>
      <c r="B209" s="18">
        <v>7.2099999999999996E-4</v>
      </c>
    </row>
    <row r="210" spans="1:2" x14ac:dyDescent="0.25">
      <c r="A210" s="18">
        <v>214</v>
      </c>
      <c r="B210" s="18">
        <v>6.7599999999999995E-4</v>
      </c>
    </row>
    <row r="211" spans="1:2" x14ac:dyDescent="0.25">
      <c r="A211" s="18">
        <v>215</v>
      </c>
      <c r="B211" s="18">
        <v>6.87E-4</v>
      </c>
    </row>
    <row r="212" spans="1:2" x14ac:dyDescent="0.25">
      <c r="A212" s="18">
        <v>216</v>
      </c>
      <c r="B212" s="18">
        <v>5.8699999999999996E-4</v>
      </c>
    </row>
    <row r="213" spans="1:2" x14ac:dyDescent="0.25">
      <c r="A213" s="18">
        <v>217</v>
      </c>
      <c r="B213" s="18">
        <v>6.3000000000000003E-4</v>
      </c>
    </row>
    <row r="214" spans="1:2" x14ac:dyDescent="0.25">
      <c r="A214" s="18">
        <v>218</v>
      </c>
      <c r="B214" s="18">
        <v>6.0700000000000001E-4</v>
      </c>
    </row>
    <row r="215" spans="1:2" x14ac:dyDescent="0.25">
      <c r="A215" s="18">
        <v>219</v>
      </c>
      <c r="B215" s="18">
        <v>6.5200000000000002E-4</v>
      </c>
    </row>
    <row r="216" spans="1:2" x14ac:dyDescent="0.25">
      <c r="A216" s="18">
        <v>220</v>
      </c>
      <c r="B216" s="18">
        <v>6.0700000000000001E-4</v>
      </c>
    </row>
    <row r="217" spans="1:2" x14ac:dyDescent="0.25">
      <c r="A217" s="18">
        <v>221</v>
      </c>
      <c r="B217" s="18">
        <v>5.8299999999999997E-4</v>
      </c>
    </row>
    <row r="218" spans="1:2" x14ac:dyDescent="0.25">
      <c r="A218" s="18">
        <v>222</v>
      </c>
      <c r="B218" s="18">
        <v>5.5999999999999995E-4</v>
      </c>
    </row>
    <row r="219" spans="1:2" x14ac:dyDescent="0.25">
      <c r="A219" s="18">
        <v>223</v>
      </c>
      <c r="B219" s="18">
        <v>4.95E-4</v>
      </c>
    </row>
    <row r="220" spans="1:2" x14ac:dyDescent="0.25">
      <c r="A220" s="18">
        <v>224</v>
      </c>
      <c r="B220" s="18">
        <v>5.6499999999999996E-4</v>
      </c>
    </row>
    <row r="221" spans="1:2" x14ac:dyDescent="0.25">
      <c r="A221" s="18">
        <v>225</v>
      </c>
      <c r="B221" s="18">
        <v>5.0199999999999995E-4</v>
      </c>
    </row>
    <row r="222" spans="1:2" x14ac:dyDescent="0.25">
      <c r="A222" s="18">
        <v>226</v>
      </c>
      <c r="B222" s="18">
        <v>4.8099999999999998E-4</v>
      </c>
    </row>
    <row r="223" spans="1:2" x14ac:dyDescent="0.25">
      <c r="A223" s="18">
        <v>227</v>
      </c>
      <c r="B223" s="18">
        <v>4.7100000000000001E-4</v>
      </c>
    </row>
    <row r="224" spans="1:2" x14ac:dyDescent="0.25">
      <c r="A224" s="18">
        <v>228</v>
      </c>
      <c r="B224" s="18">
        <v>4.3300000000000001E-4</v>
      </c>
    </row>
    <row r="225" spans="1:2" x14ac:dyDescent="0.25">
      <c r="A225" s="18">
        <v>229</v>
      </c>
      <c r="B225" s="18">
        <v>4.4499999999999997E-4</v>
      </c>
    </row>
    <row r="226" spans="1:2" x14ac:dyDescent="0.25">
      <c r="A226" s="18">
        <v>230</v>
      </c>
      <c r="B226" s="18">
        <v>4.2200000000000001E-4</v>
      </c>
    </row>
    <row r="227" spans="1:2" x14ac:dyDescent="0.25">
      <c r="A227" s="18">
        <v>231</v>
      </c>
      <c r="B227" s="18">
        <v>3.7199999999999999E-4</v>
      </c>
    </row>
    <row r="228" spans="1:2" x14ac:dyDescent="0.25">
      <c r="A228" s="18">
        <v>232</v>
      </c>
      <c r="B228" s="18">
        <v>3.6299999999999999E-4</v>
      </c>
    </row>
    <row r="229" spans="1:2" x14ac:dyDescent="0.25">
      <c r="A229" s="18">
        <v>233</v>
      </c>
      <c r="B229" s="18">
        <v>3.4900000000000003E-4</v>
      </c>
    </row>
    <row r="230" spans="1:2" x14ac:dyDescent="0.25">
      <c r="A230" s="18">
        <v>234</v>
      </c>
      <c r="B230" s="18">
        <v>3.4600000000000001E-4</v>
      </c>
    </row>
    <row r="231" spans="1:2" x14ac:dyDescent="0.25">
      <c r="A231" s="18">
        <v>235</v>
      </c>
      <c r="B231" s="18">
        <v>3.4400000000000001E-4</v>
      </c>
    </row>
    <row r="232" spans="1:2" x14ac:dyDescent="0.25">
      <c r="A232" s="18">
        <v>236</v>
      </c>
      <c r="B232" s="18">
        <v>2.6899999999999998E-4</v>
      </c>
    </row>
    <row r="233" spans="1:2" x14ac:dyDescent="0.25">
      <c r="A233" s="18">
        <v>237</v>
      </c>
      <c r="B233" s="18">
        <v>2.4800000000000001E-4</v>
      </c>
    </row>
    <row r="234" spans="1:2" x14ac:dyDescent="0.25">
      <c r="A234" s="18">
        <v>238</v>
      </c>
      <c r="B234" s="18">
        <v>2.41E-4</v>
      </c>
    </row>
    <row r="235" spans="1:2" x14ac:dyDescent="0.25">
      <c r="A235" s="18">
        <v>239</v>
      </c>
      <c r="B235" s="18">
        <v>2.3900000000000001E-4</v>
      </c>
    </row>
    <row r="236" spans="1:2" x14ac:dyDescent="0.25">
      <c r="A236" s="18">
        <v>240</v>
      </c>
      <c r="B236" s="18">
        <v>2.2000000000000001E-4</v>
      </c>
    </row>
    <row r="237" spans="1:2" x14ac:dyDescent="0.25">
      <c r="A237" s="18">
        <v>241</v>
      </c>
      <c r="B237" s="18">
        <v>1.93E-4</v>
      </c>
    </row>
    <row r="238" spans="1:2" x14ac:dyDescent="0.25">
      <c r="A238" s="18">
        <v>242</v>
      </c>
      <c r="B238" s="18">
        <v>1.6699999999999999E-4</v>
      </c>
    </row>
    <row r="239" spans="1:2" x14ac:dyDescent="0.25">
      <c r="A239" s="18">
        <v>243</v>
      </c>
      <c r="B239" s="18">
        <v>1.6000000000000001E-4</v>
      </c>
    </row>
    <row r="240" spans="1:2" x14ac:dyDescent="0.25">
      <c r="A240" s="18">
        <v>244</v>
      </c>
      <c r="B240" s="18">
        <v>1.3200000000000001E-4</v>
      </c>
    </row>
    <row r="241" spans="1:2" x14ac:dyDescent="0.25">
      <c r="A241" s="18">
        <v>245</v>
      </c>
      <c r="B241" s="18">
        <v>1.06E-4</v>
      </c>
    </row>
    <row r="242" spans="1:2" x14ac:dyDescent="0.25">
      <c r="A242" s="18">
        <v>246</v>
      </c>
      <c r="B242" s="18">
        <v>1.16E-4</v>
      </c>
    </row>
    <row r="243" spans="1:2" x14ac:dyDescent="0.25">
      <c r="A243" s="18">
        <v>247</v>
      </c>
      <c r="B243" s="18">
        <v>7.1199999999999996E-5</v>
      </c>
    </row>
    <row r="244" spans="1:2" x14ac:dyDescent="0.25">
      <c r="A244" s="18">
        <v>248</v>
      </c>
      <c r="B244" s="18">
        <v>5.5300000000000002E-5</v>
      </c>
    </row>
    <row r="245" spans="1:2" x14ac:dyDescent="0.25">
      <c r="A245" s="18">
        <v>249</v>
      </c>
      <c r="B245" s="18">
        <v>3.9400000000000002E-5</v>
      </c>
    </row>
    <row r="246" spans="1:2" x14ac:dyDescent="0.25">
      <c r="A246" s="18">
        <v>250</v>
      </c>
      <c r="B246" s="18">
        <v>1.5699999999999999E-5</v>
      </c>
    </row>
    <row r="247" spans="1:2" x14ac:dyDescent="0.25">
      <c r="A247" s="18">
        <v>251</v>
      </c>
      <c r="B247" s="18">
        <v>2.19E-5</v>
      </c>
    </row>
    <row r="248" spans="1:2" x14ac:dyDescent="0.25">
      <c r="A248" s="18">
        <v>252</v>
      </c>
      <c r="B248" s="18">
        <v>2.3499999999999999E-5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1:B278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6</v>
      </c>
      <c r="B2" s="18">
        <v>3.82E-3</v>
      </c>
    </row>
    <row r="3" spans="1:2" x14ac:dyDescent="0.25">
      <c r="A3" s="18">
        <v>7</v>
      </c>
      <c r="B3" s="18">
        <v>2.1800000000000001E-3</v>
      </c>
    </row>
    <row r="4" spans="1:2" x14ac:dyDescent="0.25">
      <c r="A4" s="18">
        <v>8</v>
      </c>
      <c r="B4" s="18">
        <v>1.1900000000000001E-2</v>
      </c>
    </row>
    <row r="5" spans="1:2" x14ac:dyDescent="0.25">
      <c r="A5" s="18">
        <v>9</v>
      </c>
      <c r="B5" s="18">
        <v>1.7999999999999999E-2</v>
      </c>
    </row>
    <row r="6" spans="1:2" x14ac:dyDescent="0.25">
      <c r="A6" s="18">
        <v>10</v>
      </c>
      <c r="B6" s="18">
        <v>6.6600000000000006E-2</v>
      </c>
    </row>
    <row r="7" spans="1:2" x14ac:dyDescent="0.25">
      <c r="A7" s="18">
        <v>11</v>
      </c>
      <c r="B7" s="18">
        <v>1.2999999999999999E-2</v>
      </c>
    </row>
    <row r="8" spans="1:2" x14ac:dyDescent="0.25">
      <c r="A8" s="18">
        <v>12</v>
      </c>
      <c r="B8" s="18">
        <v>1.43E-2</v>
      </c>
    </row>
    <row r="9" spans="1:2" x14ac:dyDescent="0.25">
      <c r="A9" s="18">
        <v>13</v>
      </c>
      <c r="B9" s="18">
        <v>1.01E-2</v>
      </c>
    </row>
    <row r="10" spans="1:2" x14ac:dyDescent="0.25">
      <c r="A10" s="18">
        <v>14</v>
      </c>
      <c r="B10" s="18">
        <v>1.12E-2</v>
      </c>
    </row>
    <row r="11" spans="1:2" x14ac:dyDescent="0.25">
      <c r="A11" s="18">
        <v>15</v>
      </c>
      <c r="B11" s="18">
        <v>1.23E-2</v>
      </c>
    </row>
    <row r="12" spans="1:2" x14ac:dyDescent="0.25">
      <c r="A12" s="18">
        <v>16</v>
      </c>
      <c r="B12" s="18">
        <v>1.3599999999999999E-2</v>
      </c>
    </row>
    <row r="13" spans="1:2" x14ac:dyDescent="0.25">
      <c r="A13" s="18">
        <v>17</v>
      </c>
      <c r="B13" s="18">
        <v>1.43E-2</v>
      </c>
    </row>
    <row r="14" spans="1:2" x14ac:dyDescent="0.25">
      <c r="A14" s="18">
        <v>18</v>
      </c>
      <c r="B14" s="18">
        <v>1.46E-2</v>
      </c>
    </row>
    <row r="15" spans="1:2" x14ac:dyDescent="0.25">
      <c r="A15" s="18">
        <v>19</v>
      </c>
      <c r="B15" s="18">
        <v>1.4999999999999999E-2</v>
      </c>
    </row>
    <row r="16" spans="1:2" x14ac:dyDescent="0.25">
      <c r="A16" s="18">
        <v>20</v>
      </c>
      <c r="B16" s="18">
        <v>1.4999999999999999E-2</v>
      </c>
    </row>
    <row r="17" spans="1:2" x14ac:dyDescent="0.25">
      <c r="A17" s="18">
        <v>21</v>
      </c>
      <c r="B17" s="18">
        <v>1.5100000000000001E-2</v>
      </c>
    </row>
    <row r="18" spans="1:2" x14ac:dyDescent="0.25">
      <c r="A18" s="18">
        <v>22</v>
      </c>
      <c r="B18" s="18">
        <v>1.55E-2</v>
      </c>
    </row>
    <row r="19" spans="1:2" x14ac:dyDescent="0.25">
      <c r="A19" s="18">
        <v>23</v>
      </c>
      <c r="B19" s="18">
        <v>1.49E-2</v>
      </c>
    </row>
    <row r="20" spans="1:2" x14ac:dyDescent="0.25">
      <c r="A20" s="18">
        <v>24</v>
      </c>
      <c r="B20" s="18">
        <v>1.4500000000000001E-2</v>
      </c>
    </row>
    <row r="21" spans="1:2" x14ac:dyDescent="0.25">
      <c r="A21" s="18">
        <v>25</v>
      </c>
      <c r="B21" s="18">
        <v>1.41E-2</v>
      </c>
    </row>
    <row r="22" spans="1:2" x14ac:dyDescent="0.25">
      <c r="A22" s="18">
        <v>26</v>
      </c>
      <c r="B22" s="18">
        <v>1.38E-2</v>
      </c>
    </row>
    <row r="23" spans="1:2" x14ac:dyDescent="0.25">
      <c r="A23" s="18">
        <v>27</v>
      </c>
      <c r="B23" s="18">
        <v>1.34E-2</v>
      </c>
    </row>
    <row r="24" spans="1:2" x14ac:dyDescent="0.25">
      <c r="A24" s="18">
        <v>28</v>
      </c>
      <c r="B24" s="18">
        <v>1.2800000000000001E-2</v>
      </c>
    </row>
    <row r="25" spans="1:2" x14ac:dyDescent="0.25">
      <c r="A25" s="18">
        <v>29</v>
      </c>
      <c r="B25" s="18">
        <v>1.24E-2</v>
      </c>
    </row>
    <row r="26" spans="1:2" x14ac:dyDescent="0.25">
      <c r="A26" s="18">
        <v>30</v>
      </c>
      <c r="B26" s="18">
        <v>1.18E-2</v>
      </c>
    </row>
    <row r="27" spans="1:2" x14ac:dyDescent="0.25">
      <c r="A27" s="18">
        <v>31</v>
      </c>
      <c r="B27" s="18">
        <v>1.14E-2</v>
      </c>
    </row>
    <row r="28" spans="1:2" x14ac:dyDescent="0.25">
      <c r="A28" s="18">
        <v>32</v>
      </c>
      <c r="B28" s="18">
        <v>1.11E-2</v>
      </c>
    </row>
    <row r="29" spans="1:2" x14ac:dyDescent="0.25">
      <c r="A29" s="18">
        <v>33</v>
      </c>
      <c r="B29" s="18">
        <v>1.06E-2</v>
      </c>
    </row>
    <row r="30" spans="1:2" x14ac:dyDescent="0.25">
      <c r="A30" s="18">
        <v>34</v>
      </c>
      <c r="B30" s="18">
        <v>1.0200000000000001E-2</v>
      </c>
    </row>
    <row r="31" spans="1:2" x14ac:dyDescent="0.25">
      <c r="A31" s="18">
        <v>35</v>
      </c>
      <c r="B31" s="18">
        <v>9.7400000000000004E-3</v>
      </c>
    </row>
    <row r="32" spans="1:2" x14ac:dyDescent="0.25">
      <c r="A32" s="18">
        <v>36</v>
      </c>
      <c r="B32" s="18">
        <v>9.3900000000000008E-3</v>
      </c>
    </row>
    <row r="33" spans="1:2" x14ac:dyDescent="0.25">
      <c r="A33" s="18">
        <v>37</v>
      </c>
      <c r="B33" s="18">
        <v>8.9200000000000008E-3</v>
      </c>
    </row>
    <row r="34" spans="1:2" x14ac:dyDescent="0.25">
      <c r="A34" s="18">
        <v>38</v>
      </c>
      <c r="B34" s="18">
        <v>8.5299999999999994E-3</v>
      </c>
    </row>
    <row r="35" spans="1:2" x14ac:dyDescent="0.25">
      <c r="A35" s="18">
        <v>39</v>
      </c>
      <c r="B35" s="18">
        <v>8.1300000000000001E-3</v>
      </c>
    </row>
    <row r="36" spans="1:2" x14ac:dyDescent="0.25">
      <c r="A36" s="18">
        <v>40</v>
      </c>
      <c r="B36" s="18">
        <v>7.7099999999999998E-3</v>
      </c>
    </row>
    <row r="37" spans="1:2" x14ac:dyDescent="0.25">
      <c r="A37" s="18">
        <v>41</v>
      </c>
      <c r="B37" s="18">
        <v>7.4900000000000001E-3</v>
      </c>
    </row>
    <row r="38" spans="1:2" x14ac:dyDescent="0.25">
      <c r="A38" s="18">
        <v>42</v>
      </c>
      <c r="B38" s="18">
        <v>7.2300000000000003E-3</v>
      </c>
    </row>
    <row r="39" spans="1:2" x14ac:dyDescent="0.25">
      <c r="A39" s="18">
        <v>43</v>
      </c>
      <c r="B39" s="18">
        <v>6.9800000000000001E-3</v>
      </c>
    </row>
    <row r="40" spans="1:2" x14ac:dyDescent="0.25">
      <c r="A40" s="18">
        <v>44</v>
      </c>
      <c r="B40" s="18">
        <v>6.7499999999999999E-3</v>
      </c>
    </row>
    <row r="41" spans="1:2" x14ac:dyDescent="0.25">
      <c r="A41" s="18">
        <v>45</v>
      </c>
      <c r="B41" s="18">
        <v>6.5399999999999998E-3</v>
      </c>
    </row>
    <row r="42" spans="1:2" x14ac:dyDescent="0.25">
      <c r="A42" s="18">
        <v>46</v>
      </c>
      <c r="B42" s="18">
        <v>6.2899999999999996E-3</v>
      </c>
    </row>
    <row r="43" spans="1:2" x14ac:dyDescent="0.25">
      <c r="A43" s="18">
        <v>47</v>
      </c>
      <c r="B43" s="18">
        <v>6.0299999999999998E-3</v>
      </c>
    </row>
    <row r="44" spans="1:2" x14ac:dyDescent="0.25">
      <c r="A44" s="18">
        <v>48</v>
      </c>
      <c r="B44" s="18">
        <v>5.8399999999999997E-3</v>
      </c>
    </row>
    <row r="45" spans="1:2" x14ac:dyDescent="0.25">
      <c r="A45" s="18">
        <v>49</v>
      </c>
      <c r="B45" s="18">
        <v>5.5900000000000004E-3</v>
      </c>
    </row>
    <row r="46" spans="1:2" x14ac:dyDescent="0.25">
      <c r="A46" s="18">
        <v>50</v>
      </c>
      <c r="B46" s="18">
        <v>5.47E-3</v>
      </c>
    </row>
    <row r="47" spans="1:2" x14ac:dyDescent="0.25">
      <c r="A47" s="18">
        <v>51</v>
      </c>
      <c r="B47" s="18">
        <v>5.2399999999999999E-3</v>
      </c>
    </row>
    <row r="48" spans="1:2" x14ac:dyDescent="0.25">
      <c r="A48" s="18">
        <v>52</v>
      </c>
      <c r="B48" s="18">
        <v>5.1700000000000001E-3</v>
      </c>
    </row>
    <row r="49" spans="1:2" x14ac:dyDescent="0.25">
      <c r="A49" s="18">
        <v>53</v>
      </c>
      <c r="B49" s="18">
        <v>5.0600000000000003E-3</v>
      </c>
    </row>
    <row r="50" spans="1:2" x14ac:dyDescent="0.25">
      <c r="A50" s="18">
        <v>54</v>
      </c>
      <c r="B50" s="18">
        <v>4.8799999999999998E-3</v>
      </c>
    </row>
    <row r="51" spans="1:2" x14ac:dyDescent="0.25">
      <c r="A51" s="18">
        <v>55</v>
      </c>
      <c r="B51" s="18">
        <v>4.7999999999999996E-3</v>
      </c>
    </row>
    <row r="52" spans="1:2" x14ac:dyDescent="0.25">
      <c r="A52" s="18">
        <v>56</v>
      </c>
      <c r="B52" s="18">
        <v>4.6800000000000001E-3</v>
      </c>
    </row>
    <row r="53" spans="1:2" x14ac:dyDescent="0.25">
      <c r="A53" s="18">
        <v>57</v>
      </c>
      <c r="B53" s="18">
        <v>4.96E-3</v>
      </c>
    </row>
    <row r="54" spans="1:2" x14ac:dyDescent="0.25">
      <c r="A54" s="18">
        <v>58</v>
      </c>
      <c r="B54" s="18">
        <v>2.29E-2</v>
      </c>
    </row>
    <row r="55" spans="1:2" x14ac:dyDescent="0.25">
      <c r="A55" s="18">
        <v>59</v>
      </c>
      <c r="B55" s="18">
        <v>2.6100000000000002E-2</v>
      </c>
    </row>
    <row r="56" spans="1:2" x14ac:dyDescent="0.25">
      <c r="A56" s="18">
        <v>60</v>
      </c>
      <c r="B56" s="18">
        <v>1.9199999999999998E-2</v>
      </c>
    </row>
    <row r="57" spans="1:2" x14ac:dyDescent="0.25">
      <c r="A57" s="18">
        <v>61</v>
      </c>
      <c r="B57" s="18">
        <v>4.2399999999999998E-3</v>
      </c>
    </row>
    <row r="58" spans="1:2" x14ac:dyDescent="0.25">
      <c r="A58" s="18">
        <v>62</v>
      </c>
      <c r="B58" s="18">
        <v>4.1000000000000003E-3</v>
      </c>
    </row>
    <row r="59" spans="1:2" x14ac:dyDescent="0.25">
      <c r="A59" s="18">
        <v>63</v>
      </c>
      <c r="B59" s="18">
        <v>4.0099999999999997E-3</v>
      </c>
    </row>
    <row r="60" spans="1:2" x14ac:dyDescent="0.25">
      <c r="A60" s="18">
        <v>64</v>
      </c>
      <c r="B60" s="18">
        <v>3.9500000000000004E-3</v>
      </c>
    </row>
    <row r="61" spans="1:2" x14ac:dyDescent="0.25">
      <c r="A61" s="18">
        <v>65</v>
      </c>
      <c r="B61" s="18">
        <v>3.9300000000000003E-3</v>
      </c>
    </row>
    <row r="62" spans="1:2" x14ac:dyDescent="0.25">
      <c r="A62" s="18">
        <v>66</v>
      </c>
      <c r="B62" s="18">
        <v>4.0200000000000001E-3</v>
      </c>
    </row>
    <row r="63" spans="1:2" x14ac:dyDescent="0.25">
      <c r="A63" s="18">
        <v>67</v>
      </c>
      <c r="B63" s="18">
        <v>1.3899999999999999E-2</v>
      </c>
    </row>
    <row r="64" spans="1:2" x14ac:dyDescent="0.25">
      <c r="A64" s="18">
        <v>68</v>
      </c>
      <c r="B64" s="18">
        <v>6.9199999999999999E-3</v>
      </c>
    </row>
    <row r="65" spans="1:2" x14ac:dyDescent="0.25">
      <c r="A65" s="18">
        <v>69</v>
      </c>
      <c r="B65" s="18">
        <v>6.4799999999999996E-3</v>
      </c>
    </row>
    <row r="66" spans="1:2" x14ac:dyDescent="0.25">
      <c r="A66" s="18">
        <v>70</v>
      </c>
      <c r="B66" s="18">
        <v>3.3500000000000001E-3</v>
      </c>
    </row>
    <row r="67" spans="1:2" x14ac:dyDescent="0.25">
      <c r="A67" s="18">
        <v>71</v>
      </c>
      <c r="B67" s="18">
        <v>2.4099999999999998E-3</v>
      </c>
    </row>
    <row r="68" spans="1:2" x14ac:dyDescent="0.25">
      <c r="A68" s="18">
        <v>72</v>
      </c>
      <c r="B68" s="18">
        <v>2.4499999999999999E-3</v>
      </c>
    </row>
    <row r="69" spans="1:2" x14ac:dyDescent="0.25">
      <c r="A69" s="18">
        <v>73</v>
      </c>
      <c r="B69" s="18">
        <v>2.4399999999999999E-3</v>
      </c>
    </row>
    <row r="70" spans="1:2" x14ac:dyDescent="0.25">
      <c r="A70" s="18">
        <v>74</v>
      </c>
      <c r="B70" s="18">
        <v>2.4399999999999999E-3</v>
      </c>
    </row>
    <row r="71" spans="1:2" x14ac:dyDescent="0.25">
      <c r="A71" s="18">
        <v>75</v>
      </c>
      <c r="B71" s="18">
        <v>2.4199999999999998E-3</v>
      </c>
    </row>
    <row r="72" spans="1:2" x14ac:dyDescent="0.25">
      <c r="A72" s="18">
        <v>76</v>
      </c>
      <c r="B72" s="18">
        <v>2.4099999999999998E-3</v>
      </c>
    </row>
    <row r="73" spans="1:2" x14ac:dyDescent="0.25">
      <c r="A73" s="18">
        <v>77</v>
      </c>
      <c r="B73" s="18">
        <v>2.4099999999999998E-3</v>
      </c>
    </row>
    <row r="74" spans="1:2" x14ac:dyDescent="0.25">
      <c r="A74" s="18">
        <v>78</v>
      </c>
      <c r="B74" s="18">
        <v>2.3999999999999998E-3</v>
      </c>
    </row>
    <row r="75" spans="1:2" x14ac:dyDescent="0.25">
      <c r="A75" s="18">
        <v>79</v>
      </c>
      <c r="B75" s="18">
        <v>2.3600000000000001E-3</v>
      </c>
    </row>
    <row r="76" spans="1:2" x14ac:dyDescent="0.25">
      <c r="A76" s="18">
        <v>80</v>
      </c>
      <c r="B76" s="18">
        <v>2.3600000000000001E-3</v>
      </c>
    </row>
    <row r="77" spans="1:2" x14ac:dyDescent="0.25">
      <c r="A77" s="18">
        <v>81</v>
      </c>
      <c r="B77" s="18">
        <v>2.3500000000000001E-3</v>
      </c>
    </row>
    <row r="78" spans="1:2" x14ac:dyDescent="0.25">
      <c r="A78" s="18">
        <v>82</v>
      </c>
      <c r="B78" s="18">
        <v>2.3700000000000001E-3</v>
      </c>
    </row>
    <row r="79" spans="1:2" x14ac:dyDescent="0.25">
      <c r="A79" s="18">
        <v>83</v>
      </c>
      <c r="B79" s="18">
        <v>2.3700000000000001E-3</v>
      </c>
    </row>
    <row r="80" spans="1:2" x14ac:dyDescent="0.25">
      <c r="A80" s="18">
        <v>84</v>
      </c>
      <c r="B80" s="18">
        <v>2.3999999999999998E-3</v>
      </c>
    </row>
    <row r="81" spans="1:2" x14ac:dyDescent="0.25">
      <c r="A81" s="18">
        <v>85</v>
      </c>
      <c r="B81" s="18">
        <v>2.3600000000000001E-3</v>
      </c>
    </row>
    <row r="82" spans="1:2" x14ac:dyDescent="0.25">
      <c r="A82" s="18">
        <v>86</v>
      </c>
      <c r="B82" s="18">
        <v>2.3999999999999998E-3</v>
      </c>
    </row>
    <row r="83" spans="1:2" x14ac:dyDescent="0.25">
      <c r="A83" s="18">
        <v>87</v>
      </c>
      <c r="B83" s="18">
        <v>2.3900000000000002E-3</v>
      </c>
    </row>
    <row r="84" spans="1:2" x14ac:dyDescent="0.25">
      <c r="A84" s="18">
        <v>88</v>
      </c>
      <c r="B84" s="18">
        <v>2.3400000000000001E-3</v>
      </c>
    </row>
    <row r="85" spans="1:2" x14ac:dyDescent="0.25">
      <c r="A85" s="18">
        <v>89</v>
      </c>
      <c r="B85" s="18">
        <v>2.33E-3</v>
      </c>
    </row>
    <row r="86" spans="1:2" x14ac:dyDescent="0.25">
      <c r="A86" s="18">
        <v>90</v>
      </c>
      <c r="B86" s="18">
        <v>2.31E-3</v>
      </c>
    </row>
    <row r="87" spans="1:2" x14ac:dyDescent="0.25">
      <c r="A87" s="18">
        <v>91</v>
      </c>
      <c r="B87" s="18">
        <v>2.32E-3</v>
      </c>
    </row>
    <row r="88" spans="1:2" x14ac:dyDescent="0.25">
      <c r="A88" s="18">
        <v>92</v>
      </c>
      <c r="B88" s="18">
        <v>2.3E-3</v>
      </c>
    </row>
    <row r="89" spans="1:2" x14ac:dyDescent="0.25">
      <c r="A89" s="18">
        <v>93</v>
      </c>
      <c r="B89" s="18">
        <v>2.3E-3</v>
      </c>
    </row>
    <row r="90" spans="1:2" x14ac:dyDescent="0.25">
      <c r="A90" s="18">
        <v>94</v>
      </c>
      <c r="B90" s="18">
        <v>2.2799999999999999E-3</v>
      </c>
    </row>
    <row r="91" spans="1:2" x14ac:dyDescent="0.25">
      <c r="A91" s="18">
        <v>95</v>
      </c>
      <c r="B91" s="18">
        <v>2.31E-3</v>
      </c>
    </row>
    <row r="92" spans="1:2" x14ac:dyDescent="0.25">
      <c r="A92" s="18">
        <v>96</v>
      </c>
      <c r="B92" s="18">
        <v>2.3E-3</v>
      </c>
    </row>
    <row r="93" spans="1:2" x14ac:dyDescent="0.25">
      <c r="A93" s="18">
        <v>97</v>
      </c>
      <c r="B93" s="18">
        <v>2.2899999999999999E-3</v>
      </c>
    </row>
    <row r="94" spans="1:2" x14ac:dyDescent="0.25">
      <c r="A94" s="18">
        <v>98</v>
      </c>
      <c r="B94" s="18">
        <v>2.31E-3</v>
      </c>
    </row>
    <row r="95" spans="1:2" x14ac:dyDescent="0.25">
      <c r="A95" s="18">
        <v>99</v>
      </c>
      <c r="B95" s="18">
        <v>2.2599999999999999E-3</v>
      </c>
    </row>
    <row r="96" spans="1:2" x14ac:dyDescent="0.25">
      <c r="A96" s="18">
        <v>100</v>
      </c>
      <c r="B96" s="18">
        <v>2.2699999999999999E-3</v>
      </c>
    </row>
    <row r="97" spans="1:2" x14ac:dyDescent="0.25">
      <c r="A97" s="18">
        <v>101</v>
      </c>
      <c r="B97" s="18">
        <v>2.2499999999999998E-3</v>
      </c>
    </row>
    <row r="98" spans="1:2" x14ac:dyDescent="0.25">
      <c r="A98" s="18">
        <v>102</v>
      </c>
      <c r="B98" s="18">
        <v>2.2599999999999999E-3</v>
      </c>
    </row>
    <row r="99" spans="1:2" x14ac:dyDescent="0.25">
      <c r="A99" s="18">
        <v>103</v>
      </c>
      <c r="B99" s="18">
        <v>2.2699999999999999E-3</v>
      </c>
    </row>
    <row r="100" spans="1:2" x14ac:dyDescent="0.25">
      <c r="A100" s="18">
        <v>104</v>
      </c>
      <c r="B100" s="18">
        <v>2.2799999999999999E-3</v>
      </c>
    </row>
    <row r="101" spans="1:2" x14ac:dyDescent="0.25">
      <c r="A101" s="18">
        <v>105</v>
      </c>
      <c r="B101" s="18">
        <v>2.2599999999999999E-3</v>
      </c>
    </row>
    <row r="102" spans="1:2" x14ac:dyDescent="0.25">
      <c r="A102" s="18">
        <v>106</v>
      </c>
      <c r="B102" s="18">
        <v>2.2799999999999999E-3</v>
      </c>
    </row>
    <row r="103" spans="1:2" x14ac:dyDescent="0.25">
      <c r="A103" s="18">
        <v>107</v>
      </c>
      <c r="B103" s="18">
        <v>2.2599999999999999E-3</v>
      </c>
    </row>
    <row r="104" spans="1:2" x14ac:dyDescent="0.25">
      <c r="A104" s="18">
        <v>108</v>
      </c>
      <c r="B104" s="18">
        <v>2.2599999999999999E-3</v>
      </c>
    </row>
    <row r="105" spans="1:2" x14ac:dyDescent="0.25">
      <c r="A105" s="18">
        <v>109</v>
      </c>
      <c r="B105" s="18">
        <v>2.2699999999999999E-3</v>
      </c>
    </row>
    <row r="106" spans="1:2" x14ac:dyDescent="0.25">
      <c r="A106" s="18">
        <v>110</v>
      </c>
      <c r="B106" s="18">
        <v>2.2300000000000002E-3</v>
      </c>
    </row>
    <row r="107" spans="1:2" x14ac:dyDescent="0.25">
      <c r="A107" s="18">
        <v>111</v>
      </c>
      <c r="B107" s="18">
        <v>2.2399999999999998E-3</v>
      </c>
    </row>
    <row r="108" spans="1:2" x14ac:dyDescent="0.25">
      <c r="A108" s="18">
        <v>112</v>
      </c>
      <c r="B108" s="18">
        <v>2.2200000000000002E-3</v>
      </c>
    </row>
    <row r="109" spans="1:2" x14ac:dyDescent="0.25">
      <c r="A109" s="18">
        <v>113</v>
      </c>
      <c r="B109" s="18">
        <v>2.2300000000000002E-3</v>
      </c>
    </row>
    <row r="110" spans="1:2" x14ac:dyDescent="0.25">
      <c r="A110" s="18">
        <v>114</v>
      </c>
      <c r="B110" s="18">
        <v>2.2399999999999998E-3</v>
      </c>
    </row>
    <row r="111" spans="1:2" x14ac:dyDescent="0.25">
      <c r="A111" s="18">
        <v>115</v>
      </c>
      <c r="B111" s="18">
        <v>2.2200000000000002E-3</v>
      </c>
    </row>
    <row r="112" spans="1:2" x14ac:dyDescent="0.25">
      <c r="A112" s="18">
        <v>116</v>
      </c>
      <c r="B112" s="18">
        <v>2.2300000000000002E-3</v>
      </c>
    </row>
    <row r="113" spans="1:2" x14ac:dyDescent="0.25">
      <c r="A113" s="18">
        <v>117</v>
      </c>
      <c r="B113" s="18">
        <v>2.2200000000000002E-3</v>
      </c>
    </row>
    <row r="114" spans="1:2" x14ac:dyDescent="0.25">
      <c r="A114" s="18">
        <v>118</v>
      </c>
      <c r="B114" s="18">
        <v>2.2300000000000002E-3</v>
      </c>
    </row>
    <row r="115" spans="1:2" x14ac:dyDescent="0.25">
      <c r="A115" s="18">
        <v>119</v>
      </c>
      <c r="B115" s="18">
        <v>2.2100000000000002E-3</v>
      </c>
    </row>
    <row r="116" spans="1:2" x14ac:dyDescent="0.25">
      <c r="A116" s="18">
        <v>120</v>
      </c>
      <c r="B116" s="18">
        <v>2.1800000000000001E-3</v>
      </c>
    </row>
    <row r="117" spans="1:2" x14ac:dyDescent="0.25">
      <c r="A117" s="18">
        <v>121</v>
      </c>
      <c r="B117" s="18">
        <v>2.2200000000000002E-3</v>
      </c>
    </row>
    <row r="118" spans="1:2" x14ac:dyDescent="0.25">
      <c r="A118" s="18">
        <v>122</v>
      </c>
      <c r="B118" s="18">
        <v>2.16E-3</v>
      </c>
    </row>
    <row r="119" spans="1:2" x14ac:dyDescent="0.25">
      <c r="A119" s="18">
        <v>123</v>
      </c>
      <c r="B119" s="18">
        <v>2.1800000000000001E-3</v>
      </c>
    </row>
    <row r="120" spans="1:2" x14ac:dyDescent="0.25">
      <c r="A120" s="18">
        <v>124</v>
      </c>
      <c r="B120" s="18">
        <v>2.15E-3</v>
      </c>
    </row>
    <row r="121" spans="1:2" x14ac:dyDescent="0.25">
      <c r="A121" s="18">
        <v>125</v>
      </c>
      <c r="B121" s="18">
        <v>2.16E-3</v>
      </c>
    </row>
    <row r="122" spans="1:2" x14ac:dyDescent="0.25">
      <c r="A122" s="18">
        <v>126</v>
      </c>
      <c r="B122" s="18">
        <v>2.14E-3</v>
      </c>
    </row>
    <row r="123" spans="1:2" x14ac:dyDescent="0.25">
      <c r="A123" s="18">
        <v>127</v>
      </c>
      <c r="B123" s="18">
        <v>2.14E-3</v>
      </c>
    </row>
    <row r="124" spans="1:2" x14ac:dyDescent="0.25">
      <c r="A124" s="18">
        <v>128</v>
      </c>
      <c r="B124" s="18">
        <v>2.1199999999999999E-3</v>
      </c>
    </row>
    <row r="125" spans="1:2" x14ac:dyDescent="0.25">
      <c r="A125" s="18">
        <v>129</v>
      </c>
      <c r="B125" s="18">
        <v>2.1099999999999999E-3</v>
      </c>
    </row>
    <row r="126" spans="1:2" x14ac:dyDescent="0.25">
      <c r="A126" s="18">
        <v>130</v>
      </c>
      <c r="B126" s="18">
        <v>2.1199999999999999E-3</v>
      </c>
    </row>
    <row r="127" spans="1:2" x14ac:dyDescent="0.25">
      <c r="A127" s="18">
        <v>131</v>
      </c>
      <c r="B127" s="18">
        <v>2.1099999999999999E-3</v>
      </c>
    </row>
    <row r="128" spans="1:2" x14ac:dyDescent="0.25">
      <c r="A128" s="18">
        <v>132</v>
      </c>
      <c r="B128" s="18">
        <v>2.0999999999999999E-3</v>
      </c>
    </row>
    <row r="129" spans="1:2" x14ac:dyDescent="0.25">
      <c r="A129" s="18">
        <v>133</v>
      </c>
      <c r="B129" s="18">
        <v>2.0899999999999998E-3</v>
      </c>
    </row>
    <row r="130" spans="1:2" x14ac:dyDescent="0.25">
      <c r="A130" s="18">
        <v>134</v>
      </c>
      <c r="B130" s="18">
        <v>2.0600000000000002E-3</v>
      </c>
    </row>
    <row r="131" spans="1:2" x14ac:dyDescent="0.25">
      <c r="A131" s="18">
        <v>135</v>
      </c>
      <c r="B131" s="18">
        <v>2.0600000000000002E-3</v>
      </c>
    </row>
    <row r="132" spans="1:2" x14ac:dyDescent="0.25">
      <c r="A132" s="18">
        <v>136</v>
      </c>
      <c r="B132" s="18">
        <v>2.0699999999999998E-3</v>
      </c>
    </row>
    <row r="133" spans="1:2" x14ac:dyDescent="0.25">
      <c r="A133" s="18">
        <v>137</v>
      </c>
      <c r="B133" s="18">
        <v>2.0400000000000001E-3</v>
      </c>
    </row>
    <row r="134" spans="1:2" x14ac:dyDescent="0.25">
      <c r="A134" s="18">
        <v>138</v>
      </c>
      <c r="B134" s="18">
        <v>2.0400000000000001E-3</v>
      </c>
    </row>
    <row r="135" spans="1:2" x14ac:dyDescent="0.25">
      <c r="A135" s="18">
        <v>139</v>
      </c>
      <c r="B135" s="18">
        <v>2.0300000000000001E-3</v>
      </c>
    </row>
    <row r="136" spans="1:2" x14ac:dyDescent="0.25">
      <c r="A136" s="18">
        <v>140</v>
      </c>
      <c r="B136" s="18">
        <v>2E-3</v>
      </c>
    </row>
    <row r="137" spans="1:2" x14ac:dyDescent="0.25">
      <c r="A137" s="18">
        <v>141</v>
      </c>
      <c r="B137" s="18">
        <v>2.0400000000000001E-3</v>
      </c>
    </row>
    <row r="138" spans="1:2" x14ac:dyDescent="0.25">
      <c r="A138" s="18">
        <v>142</v>
      </c>
      <c r="B138" s="18">
        <v>2.0100000000000001E-3</v>
      </c>
    </row>
    <row r="139" spans="1:2" x14ac:dyDescent="0.25">
      <c r="A139" s="18">
        <v>143</v>
      </c>
      <c r="B139" s="18">
        <v>2E-3</v>
      </c>
    </row>
    <row r="140" spans="1:2" x14ac:dyDescent="0.25">
      <c r="A140" s="18">
        <v>144</v>
      </c>
      <c r="B140" s="18">
        <v>1.97E-3</v>
      </c>
    </row>
    <row r="141" spans="1:2" x14ac:dyDescent="0.25">
      <c r="A141" s="18">
        <v>145</v>
      </c>
      <c r="B141" s="18">
        <v>1.9300000000000001E-3</v>
      </c>
    </row>
    <row r="142" spans="1:2" x14ac:dyDescent="0.25">
      <c r="A142" s="18">
        <v>146</v>
      </c>
      <c r="B142" s="18">
        <v>1.97E-3</v>
      </c>
    </row>
    <row r="143" spans="1:2" x14ac:dyDescent="0.25">
      <c r="A143" s="18">
        <v>147</v>
      </c>
      <c r="B143" s="18">
        <v>1.9E-3</v>
      </c>
    </row>
    <row r="144" spans="1:2" x14ac:dyDescent="0.25">
      <c r="A144" s="18">
        <v>148</v>
      </c>
      <c r="B144" s="18">
        <v>1.91E-3</v>
      </c>
    </row>
    <row r="145" spans="1:2" x14ac:dyDescent="0.25">
      <c r="A145" s="18">
        <v>149</v>
      </c>
      <c r="B145" s="18">
        <v>1.9300000000000001E-3</v>
      </c>
    </row>
    <row r="146" spans="1:2" x14ac:dyDescent="0.25">
      <c r="A146" s="18">
        <v>150</v>
      </c>
      <c r="B146" s="18">
        <v>1.9E-3</v>
      </c>
    </row>
    <row r="147" spans="1:2" x14ac:dyDescent="0.25">
      <c r="A147" s="18">
        <v>151</v>
      </c>
      <c r="B147" s="18">
        <v>1.9E-3</v>
      </c>
    </row>
    <row r="148" spans="1:2" x14ac:dyDescent="0.25">
      <c r="A148" s="18">
        <v>152</v>
      </c>
      <c r="B148" s="18">
        <v>1.8699999999999999E-3</v>
      </c>
    </row>
    <row r="149" spans="1:2" x14ac:dyDescent="0.25">
      <c r="A149" s="18">
        <v>153</v>
      </c>
      <c r="B149" s="18">
        <v>1.8799999999999999E-3</v>
      </c>
    </row>
    <row r="150" spans="1:2" x14ac:dyDescent="0.25">
      <c r="A150" s="18">
        <v>154</v>
      </c>
      <c r="B150" s="18">
        <v>1.8500000000000001E-3</v>
      </c>
    </row>
    <row r="151" spans="1:2" x14ac:dyDescent="0.25">
      <c r="A151" s="18">
        <v>155</v>
      </c>
      <c r="B151" s="18">
        <v>1.82E-3</v>
      </c>
    </row>
    <row r="152" spans="1:2" x14ac:dyDescent="0.25">
      <c r="A152" s="18">
        <v>156</v>
      </c>
      <c r="B152" s="18">
        <v>1.83E-3</v>
      </c>
    </row>
    <row r="153" spans="1:2" x14ac:dyDescent="0.25">
      <c r="A153" s="18">
        <v>157</v>
      </c>
      <c r="B153" s="18">
        <v>1.7899999999999999E-3</v>
      </c>
    </row>
    <row r="154" spans="1:2" x14ac:dyDescent="0.25">
      <c r="A154" s="18">
        <v>158</v>
      </c>
      <c r="B154" s="18">
        <v>1.7899999999999999E-3</v>
      </c>
    </row>
    <row r="155" spans="1:2" x14ac:dyDescent="0.25">
      <c r="A155" s="18">
        <v>159</v>
      </c>
      <c r="B155" s="18">
        <v>1.8E-3</v>
      </c>
    </row>
    <row r="156" spans="1:2" x14ac:dyDescent="0.25">
      <c r="A156" s="18">
        <v>160</v>
      </c>
      <c r="B156" s="18">
        <v>1.81E-3</v>
      </c>
    </row>
    <row r="157" spans="1:2" x14ac:dyDescent="0.25">
      <c r="A157" s="18">
        <v>161</v>
      </c>
      <c r="B157" s="18">
        <v>1.7700000000000001E-3</v>
      </c>
    </row>
    <row r="158" spans="1:2" x14ac:dyDescent="0.25">
      <c r="A158" s="18">
        <v>162</v>
      </c>
      <c r="B158" s="18">
        <v>1.7799999999999999E-3</v>
      </c>
    </row>
    <row r="159" spans="1:2" x14ac:dyDescent="0.25">
      <c r="A159" s="18">
        <v>163</v>
      </c>
      <c r="B159" s="18">
        <v>1.7600000000000001E-3</v>
      </c>
    </row>
    <row r="160" spans="1:2" x14ac:dyDescent="0.25">
      <c r="A160" s="18">
        <v>164</v>
      </c>
      <c r="B160" s="18">
        <v>1.74E-3</v>
      </c>
    </row>
    <row r="161" spans="1:2" x14ac:dyDescent="0.25">
      <c r="A161" s="18">
        <v>165</v>
      </c>
      <c r="B161" s="18">
        <v>1.74E-3</v>
      </c>
    </row>
    <row r="162" spans="1:2" x14ac:dyDescent="0.25">
      <c r="A162" s="18">
        <v>166</v>
      </c>
      <c r="B162" s="18">
        <v>1.73E-3</v>
      </c>
    </row>
    <row r="163" spans="1:2" x14ac:dyDescent="0.25">
      <c r="A163" s="18">
        <v>167</v>
      </c>
      <c r="B163" s="18">
        <v>1.6900000000000001E-3</v>
      </c>
    </row>
    <row r="164" spans="1:2" x14ac:dyDescent="0.25">
      <c r="A164" s="18">
        <v>168</v>
      </c>
      <c r="B164" s="18">
        <v>1.66E-3</v>
      </c>
    </row>
    <row r="165" spans="1:2" x14ac:dyDescent="0.25">
      <c r="A165" s="18">
        <v>169</v>
      </c>
      <c r="B165" s="18">
        <v>1.67E-3</v>
      </c>
    </row>
    <row r="166" spans="1:2" x14ac:dyDescent="0.25">
      <c r="A166" s="18">
        <v>170</v>
      </c>
      <c r="B166" s="18">
        <v>1.67E-3</v>
      </c>
    </row>
    <row r="167" spans="1:2" x14ac:dyDescent="0.25">
      <c r="A167" s="18">
        <v>171</v>
      </c>
      <c r="B167" s="18">
        <v>1.65E-3</v>
      </c>
    </row>
    <row r="168" spans="1:2" x14ac:dyDescent="0.25">
      <c r="A168" s="18">
        <v>172</v>
      </c>
      <c r="B168" s="18">
        <v>1.65E-3</v>
      </c>
    </row>
    <row r="169" spans="1:2" x14ac:dyDescent="0.25">
      <c r="A169" s="18">
        <v>173</v>
      </c>
      <c r="B169" s="18">
        <v>1.66E-3</v>
      </c>
    </row>
    <row r="170" spans="1:2" x14ac:dyDescent="0.25">
      <c r="A170" s="18">
        <v>174</v>
      </c>
      <c r="B170" s="18">
        <v>1.6000000000000001E-3</v>
      </c>
    </row>
    <row r="171" spans="1:2" x14ac:dyDescent="0.25">
      <c r="A171" s="18">
        <v>175</v>
      </c>
      <c r="B171" s="18">
        <v>1.57E-3</v>
      </c>
    </row>
    <row r="172" spans="1:2" x14ac:dyDescent="0.25">
      <c r="A172" s="18">
        <v>176</v>
      </c>
      <c r="B172" s="18">
        <v>1.58E-3</v>
      </c>
    </row>
    <row r="173" spans="1:2" x14ac:dyDescent="0.25">
      <c r="A173" s="18">
        <v>177</v>
      </c>
      <c r="B173" s="18">
        <v>1.56E-3</v>
      </c>
    </row>
    <row r="174" spans="1:2" x14ac:dyDescent="0.25">
      <c r="A174" s="18">
        <v>178</v>
      </c>
      <c r="B174" s="18">
        <v>1.5499999999999999E-3</v>
      </c>
    </row>
    <row r="175" spans="1:2" x14ac:dyDescent="0.25">
      <c r="A175" s="18">
        <v>179</v>
      </c>
      <c r="B175" s="18">
        <v>1.5499999999999999E-3</v>
      </c>
    </row>
    <row r="176" spans="1:2" x14ac:dyDescent="0.25">
      <c r="A176" s="18">
        <v>180</v>
      </c>
      <c r="B176" s="18">
        <v>1.5299999999999999E-3</v>
      </c>
    </row>
    <row r="177" spans="1:2" x14ac:dyDescent="0.25">
      <c r="A177" s="18">
        <v>181</v>
      </c>
      <c r="B177" s="18">
        <v>1.5200000000000001E-3</v>
      </c>
    </row>
    <row r="178" spans="1:2" x14ac:dyDescent="0.25">
      <c r="A178" s="18">
        <v>182</v>
      </c>
      <c r="B178" s="18">
        <v>1.49E-3</v>
      </c>
    </row>
    <row r="179" spans="1:2" x14ac:dyDescent="0.25">
      <c r="A179" s="18">
        <v>183</v>
      </c>
      <c r="B179" s="18">
        <v>1.47E-3</v>
      </c>
    </row>
    <row r="180" spans="1:2" x14ac:dyDescent="0.25">
      <c r="A180" s="18">
        <v>184</v>
      </c>
      <c r="B180" s="18">
        <v>1.48E-3</v>
      </c>
    </row>
    <row r="181" spans="1:2" x14ac:dyDescent="0.25">
      <c r="A181" s="18">
        <v>185</v>
      </c>
      <c r="B181" s="18">
        <v>1.5E-3</v>
      </c>
    </row>
    <row r="182" spans="1:2" x14ac:dyDescent="0.25">
      <c r="A182" s="18">
        <v>186</v>
      </c>
      <c r="B182" s="18">
        <v>1.48E-3</v>
      </c>
    </row>
    <row r="183" spans="1:2" x14ac:dyDescent="0.25">
      <c r="A183" s="18">
        <v>187</v>
      </c>
      <c r="B183" s="18">
        <v>1.41E-3</v>
      </c>
    </row>
    <row r="184" spans="1:2" x14ac:dyDescent="0.25">
      <c r="A184" s="18">
        <v>188</v>
      </c>
      <c r="B184" s="18">
        <v>1.4E-3</v>
      </c>
    </row>
    <row r="185" spans="1:2" x14ac:dyDescent="0.25">
      <c r="A185" s="18">
        <v>189</v>
      </c>
      <c r="B185" s="18">
        <v>1.39E-3</v>
      </c>
    </row>
    <row r="186" spans="1:2" x14ac:dyDescent="0.25">
      <c r="A186" s="18">
        <v>190</v>
      </c>
      <c r="B186" s="18">
        <v>1.3799999999999999E-3</v>
      </c>
    </row>
    <row r="187" spans="1:2" x14ac:dyDescent="0.25">
      <c r="A187" s="18">
        <v>191</v>
      </c>
      <c r="B187" s="18">
        <v>1.3699999999999999E-3</v>
      </c>
    </row>
    <row r="188" spans="1:2" x14ac:dyDescent="0.25">
      <c r="A188" s="18">
        <v>192</v>
      </c>
      <c r="B188" s="18">
        <v>1.3500000000000001E-3</v>
      </c>
    </row>
    <row r="189" spans="1:2" x14ac:dyDescent="0.25">
      <c r="A189" s="18">
        <v>193</v>
      </c>
      <c r="B189" s="18">
        <v>1.3699999999999999E-3</v>
      </c>
    </row>
    <row r="190" spans="1:2" x14ac:dyDescent="0.25">
      <c r="A190" s="18">
        <v>194</v>
      </c>
      <c r="B190" s="18">
        <v>1.32E-3</v>
      </c>
    </row>
    <row r="191" spans="1:2" x14ac:dyDescent="0.25">
      <c r="A191" s="18">
        <v>195</v>
      </c>
      <c r="B191" s="18">
        <v>1.3699999999999999E-3</v>
      </c>
    </row>
    <row r="192" spans="1:2" x14ac:dyDescent="0.25">
      <c r="A192" s="18">
        <v>196</v>
      </c>
      <c r="B192" s="18">
        <v>1.2999999999999999E-3</v>
      </c>
    </row>
    <row r="193" spans="1:2" x14ac:dyDescent="0.25">
      <c r="A193" s="18">
        <v>197</v>
      </c>
      <c r="B193" s="18">
        <v>1.34E-3</v>
      </c>
    </row>
    <row r="194" spans="1:2" x14ac:dyDescent="0.25">
      <c r="A194" s="18">
        <v>198</v>
      </c>
      <c r="B194" s="18">
        <v>1.24E-3</v>
      </c>
    </row>
    <row r="195" spans="1:2" x14ac:dyDescent="0.25">
      <c r="A195" s="18">
        <v>199</v>
      </c>
      <c r="B195" s="18">
        <v>1.2800000000000001E-3</v>
      </c>
    </row>
    <row r="196" spans="1:2" x14ac:dyDescent="0.25">
      <c r="A196" s="18">
        <v>200</v>
      </c>
      <c r="B196" s="18">
        <v>1.24E-3</v>
      </c>
    </row>
    <row r="197" spans="1:2" x14ac:dyDescent="0.25">
      <c r="A197" s="18">
        <v>201</v>
      </c>
      <c r="B197" s="18">
        <v>1.24E-3</v>
      </c>
    </row>
    <row r="198" spans="1:2" x14ac:dyDescent="0.25">
      <c r="A198" s="18">
        <v>202</v>
      </c>
      <c r="B198" s="18">
        <v>1.2199999999999999E-3</v>
      </c>
    </row>
    <row r="199" spans="1:2" x14ac:dyDescent="0.25">
      <c r="A199" s="18">
        <v>203</v>
      </c>
      <c r="B199" s="18">
        <v>1.23E-3</v>
      </c>
    </row>
    <row r="200" spans="1:2" x14ac:dyDescent="0.25">
      <c r="A200" s="18">
        <v>204</v>
      </c>
      <c r="B200" s="18">
        <v>1.23E-3</v>
      </c>
    </row>
    <row r="201" spans="1:2" x14ac:dyDescent="0.25">
      <c r="A201" s="18">
        <v>205</v>
      </c>
      <c r="B201" s="18">
        <v>1.1900000000000001E-3</v>
      </c>
    </row>
    <row r="202" spans="1:2" x14ac:dyDescent="0.25">
      <c r="A202" s="18">
        <v>206</v>
      </c>
      <c r="B202" s="18">
        <v>1.17E-3</v>
      </c>
    </row>
    <row r="203" spans="1:2" x14ac:dyDescent="0.25">
      <c r="A203" s="18">
        <v>207</v>
      </c>
      <c r="B203" s="18">
        <v>1.1800000000000001E-3</v>
      </c>
    </row>
    <row r="204" spans="1:2" x14ac:dyDescent="0.25">
      <c r="A204" s="18">
        <v>208</v>
      </c>
      <c r="B204" s="18">
        <v>1.15E-3</v>
      </c>
    </row>
    <row r="205" spans="1:2" x14ac:dyDescent="0.25">
      <c r="A205" s="18">
        <v>209</v>
      </c>
      <c r="B205" s="18">
        <v>1.16E-3</v>
      </c>
    </row>
    <row r="206" spans="1:2" x14ac:dyDescent="0.25">
      <c r="A206" s="18">
        <v>210</v>
      </c>
      <c r="B206" s="18">
        <v>1.1299999999999999E-3</v>
      </c>
    </row>
    <row r="207" spans="1:2" x14ac:dyDescent="0.25">
      <c r="A207" s="18">
        <v>211</v>
      </c>
      <c r="B207" s="18">
        <v>1.1199999999999999E-3</v>
      </c>
    </row>
    <row r="208" spans="1:2" x14ac:dyDescent="0.25">
      <c r="A208" s="18">
        <v>212</v>
      </c>
      <c r="B208" s="18">
        <v>1.08E-3</v>
      </c>
    </row>
    <row r="209" spans="1:2" x14ac:dyDescent="0.25">
      <c r="A209" s="18">
        <v>213</v>
      </c>
      <c r="B209" s="18">
        <v>1.0300000000000001E-3</v>
      </c>
    </row>
    <row r="210" spans="1:2" x14ac:dyDescent="0.25">
      <c r="A210" s="18">
        <v>214</v>
      </c>
      <c r="B210" s="18">
        <v>1.09E-3</v>
      </c>
    </row>
    <row r="211" spans="1:2" x14ac:dyDescent="0.25">
      <c r="A211" s="18">
        <v>215</v>
      </c>
      <c r="B211" s="18">
        <v>1.0399999999999999E-3</v>
      </c>
    </row>
    <row r="212" spans="1:2" x14ac:dyDescent="0.25">
      <c r="A212" s="18">
        <v>216</v>
      </c>
      <c r="B212" s="18">
        <v>1.0200000000000001E-3</v>
      </c>
    </row>
    <row r="213" spans="1:2" x14ac:dyDescent="0.25">
      <c r="A213" s="18">
        <v>217</v>
      </c>
      <c r="B213" s="18">
        <v>1.0300000000000001E-3</v>
      </c>
    </row>
    <row r="214" spans="1:2" x14ac:dyDescent="0.25">
      <c r="A214" s="18">
        <v>218</v>
      </c>
      <c r="B214" s="18">
        <v>1.0200000000000001E-3</v>
      </c>
    </row>
    <row r="215" spans="1:2" x14ac:dyDescent="0.25">
      <c r="A215" s="18">
        <v>219</v>
      </c>
      <c r="B215" s="18">
        <v>9.7499999999999996E-4</v>
      </c>
    </row>
    <row r="216" spans="1:2" x14ac:dyDescent="0.25">
      <c r="A216" s="18">
        <v>220</v>
      </c>
      <c r="B216" s="18">
        <v>9.3499999999999996E-4</v>
      </c>
    </row>
    <row r="217" spans="1:2" x14ac:dyDescent="0.25">
      <c r="A217" s="18">
        <v>221</v>
      </c>
      <c r="B217" s="18">
        <v>9.6900000000000003E-4</v>
      </c>
    </row>
    <row r="218" spans="1:2" x14ac:dyDescent="0.25">
      <c r="A218" s="18">
        <v>222</v>
      </c>
      <c r="B218" s="18">
        <v>9.3899999999999995E-4</v>
      </c>
    </row>
    <row r="219" spans="1:2" x14ac:dyDescent="0.25">
      <c r="A219" s="18">
        <v>223</v>
      </c>
      <c r="B219" s="18">
        <v>9.0799999999999995E-4</v>
      </c>
    </row>
    <row r="220" spans="1:2" x14ac:dyDescent="0.25">
      <c r="A220" s="18">
        <v>224</v>
      </c>
      <c r="B220" s="18">
        <v>8.7600000000000004E-4</v>
      </c>
    </row>
    <row r="221" spans="1:2" x14ac:dyDescent="0.25">
      <c r="A221" s="18">
        <v>225</v>
      </c>
      <c r="B221" s="18">
        <v>8.52E-4</v>
      </c>
    </row>
    <row r="222" spans="1:2" x14ac:dyDescent="0.25">
      <c r="A222" s="18">
        <v>226</v>
      </c>
      <c r="B222" s="18">
        <v>8.6700000000000004E-4</v>
      </c>
    </row>
    <row r="223" spans="1:2" x14ac:dyDescent="0.25">
      <c r="A223" s="18">
        <v>227</v>
      </c>
      <c r="B223" s="18">
        <v>8.7200000000000005E-4</v>
      </c>
    </row>
    <row r="224" spans="1:2" x14ac:dyDescent="0.25">
      <c r="A224" s="18">
        <v>228</v>
      </c>
      <c r="B224" s="18">
        <v>8.6700000000000004E-4</v>
      </c>
    </row>
    <row r="225" spans="1:2" x14ac:dyDescent="0.25">
      <c r="A225" s="18">
        <v>229</v>
      </c>
      <c r="B225" s="18">
        <v>8.7000000000000001E-4</v>
      </c>
    </row>
    <row r="226" spans="1:2" x14ac:dyDescent="0.25">
      <c r="A226" s="18">
        <v>230</v>
      </c>
      <c r="B226" s="18">
        <v>8.25E-4</v>
      </c>
    </row>
    <row r="227" spans="1:2" x14ac:dyDescent="0.25">
      <c r="A227" s="18">
        <v>231</v>
      </c>
      <c r="B227" s="18">
        <v>8.4199999999999998E-4</v>
      </c>
    </row>
    <row r="228" spans="1:2" x14ac:dyDescent="0.25">
      <c r="A228" s="18">
        <v>232</v>
      </c>
      <c r="B228" s="18">
        <v>7.7399999999999995E-4</v>
      </c>
    </row>
    <row r="229" spans="1:2" x14ac:dyDescent="0.25">
      <c r="A229" s="18">
        <v>233</v>
      </c>
      <c r="B229" s="18">
        <v>7.5000000000000002E-4</v>
      </c>
    </row>
    <row r="230" spans="1:2" x14ac:dyDescent="0.25">
      <c r="A230" s="18">
        <v>234</v>
      </c>
      <c r="B230" s="18">
        <v>7.6199999999999998E-4</v>
      </c>
    </row>
    <row r="231" spans="1:2" x14ac:dyDescent="0.25">
      <c r="A231" s="18">
        <v>235</v>
      </c>
      <c r="B231" s="18">
        <v>7.1599999999999995E-4</v>
      </c>
    </row>
    <row r="232" spans="1:2" x14ac:dyDescent="0.25">
      <c r="A232" s="18">
        <v>236</v>
      </c>
      <c r="B232" s="18">
        <v>7.5500000000000003E-4</v>
      </c>
    </row>
    <row r="233" spans="1:2" x14ac:dyDescent="0.25">
      <c r="A233" s="18">
        <v>237</v>
      </c>
      <c r="B233" s="18">
        <v>7.1699999999999997E-4</v>
      </c>
    </row>
    <row r="234" spans="1:2" x14ac:dyDescent="0.25">
      <c r="A234" s="18">
        <v>238</v>
      </c>
      <c r="B234" s="18">
        <v>6.6500000000000001E-4</v>
      </c>
    </row>
    <row r="235" spans="1:2" x14ac:dyDescent="0.25">
      <c r="A235" s="18">
        <v>239</v>
      </c>
      <c r="B235" s="18">
        <v>6.9499999999999998E-4</v>
      </c>
    </row>
    <row r="236" spans="1:2" x14ac:dyDescent="0.25">
      <c r="A236" s="18">
        <v>240</v>
      </c>
      <c r="B236" s="18">
        <v>6.6200000000000005E-4</v>
      </c>
    </row>
    <row r="237" spans="1:2" x14ac:dyDescent="0.25">
      <c r="A237" s="18">
        <v>241</v>
      </c>
      <c r="B237" s="18">
        <v>6.11E-4</v>
      </c>
    </row>
    <row r="238" spans="1:2" x14ac:dyDescent="0.25">
      <c r="A238" s="18">
        <v>242</v>
      </c>
      <c r="B238" s="18">
        <v>6.7100000000000005E-4</v>
      </c>
    </row>
    <row r="239" spans="1:2" x14ac:dyDescent="0.25">
      <c r="A239" s="18">
        <v>243</v>
      </c>
      <c r="B239" s="18">
        <v>5.9599999999999996E-4</v>
      </c>
    </row>
    <row r="240" spans="1:2" x14ac:dyDescent="0.25">
      <c r="A240" s="18">
        <v>244</v>
      </c>
      <c r="B240" s="18">
        <v>5.8399999999999999E-4</v>
      </c>
    </row>
    <row r="241" spans="1:2" x14ac:dyDescent="0.25">
      <c r="A241" s="18">
        <v>245</v>
      </c>
      <c r="B241" s="18">
        <v>5.6899999999999995E-4</v>
      </c>
    </row>
    <row r="242" spans="1:2" x14ac:dyDescent="0.25">
      <c r="A242" s="18">
        <v>246</v>
      </c>
      <c r="B242" s="18">
        <v>5.8299999999999997E-4</v>
      </c>
    </row>
    <row r="243" spans="1:2" x14ac:dyDescent="0.25">
      <c r="A243" s="18">
        <v>247</v>
      </c>
      <c r="B243" s="18">
        <v>5.4900000000000001E-4</v>
      </c>
    </row>
    <row r="244" spans="1:2" x14ac:dyDescent="0.25">
      <c r="A244" s="18">
        <v>248</v>
      </c>
      <c r="B244" s="18">
        <v>5.4799999999999998E-4</v>
      </c>
    </row>
    <row r="245" spans="1:2" x14ac:dyDescent="0.25">
      <c r="A245" s="18">
        <v>249</v>
      </c>
      <c r="B245" s="18">
        <v>5.1699999999999999E-4</v>
      </c>
    </row>
    <row r="246" spans="1:2" x14ac:dyDescent="0.25">
      <c r="A246" s="18">
        <v>250</v>
      </c>
      <c r="B246" s="18">
        <v>5.0699999999999996E-4</v>
      </c>
    </row>
    <row r="247" spans="1:2" x14ac:dyDescent="0.25">
      <c r="A247" s="18">
        <v>251</v>
      </c>
      <c r="B247" s="18">
        <v>4.86E-4</v>
      </c>
    </row>
    <row r="248" spans="1:2" x14ac:dyDescent="0.25">
      <c r="A248" s="18">
        <v>252</v>
      </c>
      <c r="B248" s="18">
        <v>4.7600000000000002E-4</v>
      </c>
    </row>
    <row r="249" spans="1:2" x14ac:dyDescent="0.25">
      <c r="A249" s="18">
        <v>253</v>
      </c>
      <c r="B249" s="18">
        <v>4.4499999999999997E-4</v>
      </c>
    </row>
    <row r="250" spans="1:2" x14ac:dyDescent="0.25">
      <c r="A250" s="18">
        <v>254</v>
      </c>
      <c r="B250" s="18">
        <v>4.3600000000000003E-4</v>
      </c>
    </row>
    <row r="251" spans="1:2" x14ac:dyDescent="0.25">
      <c r="A251" s="18">
        <v>255</v>
      </c>
      <c r="B251" s="18">
        <v>4.2000000000000002E-4</v>
      </c>
    </row>
    <row r="252" spans="1:2" x14ac:dyDescent="0.25">
      <c r="A252" s="18">
        <v>256</v>
      </c>
      <c r="B252" s="18">
        <v>4.2299999999999998E-4</v>
      </c>
    </row>
    <row r="253" spans="1:2" x14ac:dyDescent="0.25">
      <c r="A253" s="18">
        <v>257</v>
      </c>
      <c r="B253" s="18">
        <v>3.7800000000000003E-4</v>
      </c>
    </row>
    <row r="254" spans="1:2" x14ac:dyDescent="0.25">
      <c r="A254" s="18">
        <v>258</v>
      </c>
      <c r="B254" s="18">
        <v>3.79E-4</v>
      </c>
    </row>
    <row r="255" spans="1:2" x14ac:dyDescent="0.25">
      <c r="A255" s="18">
        <v>259</v>
      </c>
      <c r="B255" s="18">
        <v>3.79E-4</v>
      </c>
    </row>
    <row r="256" spans="1:2" x14ac:dyDescent="0.25">
      <c r="A256" s="18">
        <v>260</v>
      </c>
      <c r="B256" s="18">
        <v>3.2299999999999999E-4</v>
      </c>
    </row>
    <row r="257" spans="1:2" x14ac:dyDescent="0.25">
      <c r="A257" s="18">
        <v>261</v>
      </c>
      <c r="B257" s="18">
        <v>3.4499999999999998E-4</v>
      </c>
    </row>
    <row r="258" spans="1:2" x14ac:dyDescent="0.25">
      <c r="A258" s="18">
        <v>262</v>
      </c>
      <c r="B258" s="18">
        <v>2.9700000000000001E-4</v>
      </c>
    </row>
    <row r="259" spans="1:2" x14ac:dyDescent="0.25">
      <c r="A259" s="18">
        <v>263</v>
      </c>
      <c r="B259" s="18">
        <v>2.9999999999999997E-4</v>
      </c>
    </row>
    <row r="260" spans="1:2" x14ac:dyDescent="0.25">
      <c r="A260" s="18">
        <v>264</v>
      </c>
      <c r="B260" s="18">
        <v>2.5099999999999998E-4</v>
      </c>
    </row>
    <row r="261" spans="1:2" x14ac:dyDescent="0.25">
      <c r="A261" s="18">
        <v>265</v>
      </c>
      <c r="B261" s="18">
        <v>2.7999999999999998E-4</v>
      </c>
    </row>
    <row r="262" spans="1:2" x14ac:dyDescent="0.25">
      <c r="A262" s="18">
        <v>266</v>
      </c>
      <c r="B262" s="18">
        <v>2.1599999999999999E-4</v>
      </c>
    </row>
    <row r="263" spans="1:2" x14ac:dyDescent="0.25">
      <c r="A263" s="18">
        <v>267</v>
      </c>
      <c r="B263" s="18">
        <v>2.43E-4</v>
      </c>
    </row>
    <row r="264" spans="1:2" x14ac:dyDescent="0.25">
      <c r="A264" s="18">
        <v>268</v>
      </c>
      <c r="B264" s="18">
        <v>2.14E-4</v>
      </c>
    </row>
    <row r="265" spans="1:2" x14ac:dyDescent="0.25">
      <c r="A265" s="18">
        <v>269</v>
      </c>
      <c r="B265" s="18">
        <v>1.73E-4</v>
      </c>
    </row>
    <row r="266" spans="1:2" x14ac:dyDescent="0.25">
      <c r="A266" s="18">
        <v>270</v>
      </c>
      <c r="B266" s="18">
        <v>1.7000000000000001E-4</v>
      </c>
    </row>
    <row r="267" spans="1:2" x14ac:dyDescent="0.25">
      <c r="A267" s="18">
        <v>271</v>
      </c>
      <c r="B267" s="18">
        <v>1.8799999999999999E-4</v>
      </c>
    </row>
    <row r="268" spans="1:2" x14ac:dyDescent="0.25">
      <c r="A268" s="18">
        <v>272</v>
      </c>
      <c r="B268" s="18">
        <v>1.47E-4</v>
      </c>
    </row>
    <row r="269" spans="1:2" x14ac:dyDescent="0.25">
      <c r="A269" s="18">
        <v>273</v>
      </c>
      <c r="B269" s="18">
        <v>1.07E-4</v>
      </c>
    </row>
    <row r="270" spans="1:2" x14ac:dyDescent="0.25">
      <c r="A270" s="18">
        <v>274</v>
      </c>
      <c r="B270" s="18">
        <v>1.18E-4</v>
      </c>
    </row>
    <row r="271" spans="1:2" x14ac:dyDescent="0.25">
      <c r="A271" s="18">
        <v>275</v>
      </c>
      <c r="B271" s="18">
        <v>9.2399999999999996E-5</v>
      </c>
    </row>
    <row r="272" spans="1:2" x14ac:dyDescent="0.25">
      <c r="A272" s="18">
        <v>276</v>
      </c>
      <c r="B272" s="18">
        <v>7.2200000000000007E-5</v>
      </c>
    </row>
    <row r="273" spans="1:2" x14ac:dyDescent="0.25">
      <c r="A273" s="18">
        <v>277</v>
      </c>
      <c r="B273" s="18">
        <v>7.2799999999999994E-5</v>
      </c>
    </row>
    <row r="274" spans="1:2" x14ac:dyDescent="0.25">
      <c r="A274" s="18">
        <v>278</v>
      </c>
      <c r="B274" s="18">
        <v>5.1E-5</v>
      </c>
    </row>
    <row r="275" spans="1:2" x14ac:dyDescent="0.25">
      <c r="A275" s="18">
        <v>279</v>
      </c>
      <c r="B275" s="18">
        <v>3.93E-5</v>
      </c>
    </row>
    <row r="276" spans="1:2" x14ac:dyDescent="0.25">
      <c r="A276" s="18">
        <v>280</v>
      </c>
      <c r="B276" s="18">
        <v>2.26E-5</v>
      </c>
    </row>
    <row r="277" spans="1:2" x14ac:dyDescent="0.25">
      <c r="A277" s="18">
        <v>281</v>
      </c>
      <c r="B277" s="18">
        <v>1.5999999999999999E-5</v>
      </c>
    </row>
    <row r="278" spans="1:2" x14ac:dyDescent="0.25">
      <c r="A278" s="18">
        <v>282</v>
      </c>
      <c r="B278" s="18">
        <v>1.77E-5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1:B298"/>
  <sheetViews>
    <sheetView workbookViewId="0">
      <selection activeCell="E8" sqref="E8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6</v>
      </c>
      <c r="B2" s="18">
        <v>3.7499999999999999E-3</v>
      </c>
    </row>
    <row r="3" spans="1:2" x14ac:dyDescent="0.25">
      <c r="A3" s="18">
        <v>7</v>
      </c>
      <c r="B3" s="18">
        <v>1.72E-3</v>
      </c>
    </row>
    <row r="4" spans="1:2" x14ac:dyDescent="0.25">
      <c r="A4" s="18">
        <v>8</v>
      </c>
      <c r="B4" s="18">
        <v>1.11E-2</v>
      </c>
    </row>
    <row r="5" spans="1:2" x14ac:dyDescent="0.25">
      <c r="A5" s="18">
        <v>9</v>
      </c>
      <c r="B5" s="18">
        <v>1.6299999999999999E-2</v>
      </c>
    </row>
    <row r="6" spans="1:2" x14ac:dyDescent="0.25">
      <c r="A6" s="18">
        <v>10</v>
      </c>
      <c r="B6" s="18">
        <v>6.0900000000000003E-2</v>
      </c>
    </row>
    <row r="7" spans="1:2" x14ac:dyDescent="0.25">
      <c r="A7" s="18">
        <v>11</v>
      </c>
      <c r="B7" s="18">
        <v>1.15E-2</v>
      </c>
    </row>
    <row r="8" spans="1:2" x14ac:dyDescent="0.25">
      <c r="A8" s="18">
        <v>12</v>
      </c>
      <c r="B8" s="18">
        <v>1.38E-2</v>
      </c>
    </row>
    <row r="9" spans="1:2" x14ac:dyDescent="0.25">
      <c r="A9" s="18">
        <v>13</v>
      </c>
      <c r="B9" s="18">
        <v>9.1199999999999996E-3</v>
      </c>
    </row>
    <row r="10" spans="1:2" x14ac:dyDescent="0.25">
      <c r="A10" s="18">
        <v>14</v>
      </c>
      <c r="B10" s="18">
        <v>1.04E-2</v>
      </c>
    </row>
    <row r="11" spans="1:2" x14ac:dyDescent="0.25">
      <c r="A11" s="18">
        <v>15</v>
      </c>
      <c r="B11" s="18">
        <v>1.17E-2</v>
      </c>
    </row>
    <row r="12" spans="1:2" x14ac:dyDescent="0.25">
      <c r="A12" s="18">
        <v>16</v>
      </c>
      <c r="B12" s="18">
        <v>1.23E-2</v>
      </c>
    </row>
    <row r="13" spans="1:2" x14ac:dyDescent="0.25">
      <c r="A13" s="18">
        <v>17</v>
      </c>
      <c r="B13" s="18">
        <v>1.3100000000000001E-2</v>
      </c>
    </row>
    <row r="14" spans="1:2" x14ac:dyDescent="0.25">
      <c r="A14" s="18">
        <v>18</v>
      </c>
      <c r="B14" s="18">
        <v>1.35E-2</v>
      </c>
    </row>
    <row r="15" spans="1:2" x14ac:dyDescent="0.25">
      <c r="A15" s="18">
        <v>19</v>
      </c>
      <c r="B15" s="18">
        <v>1.37E-2</v>
      </c>
    </row>
    <row r="16" spans="1:2" x14ac:dyDescent="0.25">
      <c r="A16" s="18">
        <v>20</v>
      </c>
      <c r="B16" s="18">
        <v>1.37E-2</v>
      </c>
    </row>
    <row r="17" spans="1:2" x14ac:dyDescent="0.25">
      <c r="A17" s="18">
        <v>21</v>
      </c>
      <c r="B17" s="18">
        <v>1.3899999999999999E-2</v>
      </c>
    </row>
    <row r="18" spans="1:2" x14ac:dyDescent="0.25">
      <c r="A18" s="18">
        <v>22</v>
      </c>
      <c r="B18" s="18">
        <v>1.43E-2</v>
      </c>
    </row>
    <row r="19" spans="1:2" x14ac:dyDescent="0.25">
      <c r="A19" s="18">
        <v>23</v>
      </c>
      <c r="B19" s="18">
        <v>1.38E-2</v>
      </c>
    </row>
    <row r="20" spans="1:2" x14ac:dyDescent="0.25">
      <c r="A20" s="18">
        <v>24</v>
      </c>
      <c r="B20" s="18">
        <v>1.34E-2</v>
      </c>
    </row>
    <row r="21" spans="1:2" x14ac:dyDescent="0.25">
      <c r="A21" s="18">
        <v>25</v>
      </c>
      <c r="B21" s="18">
        <v>1.3299999999999999E-2</v>
      </c>
    </row>
    <row r="22" spans="1:2" x14ac:dyDescent="0.25">
      <c r="A22" s="18">
        <v>26</v>
      </c>
      <c r="B22" s="18">
        <v>1.2800000000000001E-2</v>
      </c>
    </row>
    <row r="23" spans="1:2" x14ac:dyDescent="0.25">
      <c r="A23" s="18">
        <v>27</v>
      </c>
      <c r="B23" s="18">
        <v>1.24E-2</v>
      </c>
    </row>
    <row r="24" spans="1:2" x14ac:dyDescent="0.25">
      <c r="A24" s="18">
        <v>28</v>
      </c>
      <c r="B24" s="18">
        <v>1.2E-2</v>
      </c>
    </row>
    <row r="25" spans="1:2" x14ac:dyDescent="0.25">
      <c r="A25" s="18">
        <v>29</v>
      </c>
      <c r="B25" s="18">
        <v>1.17E-2</v>
      </c>
    </row>
    <row r="26" spans="1:2" x14ac:dyDescent="0.25">
      <c r="A26" s="18">
        <v>30</v>
      </c>
      <c r="B26" s="18">
        <v>1.12E-2</v>
      </c>
    </row>
    <row r="27" spans="1:2" x14ac:dyDescent="0.25">
      <c r="A27" s="18">
        <v>31</v>
      </c>
      <c r="B27" s="18">
        <v>1.0800000000000001E-2</v>
      </c>
    </row>
    <row r="28" spans="1:2" x14ac:dyDescent="0.25">
      <c r="A28" s="18">
        <v>32</v>
      </c>
      <c r="B28" s="18">
        <v>1.0500000000000001E-2</v>
      </c>
    </row>
    <row r="29" spans="1:2" x14ac:dyDescent="0.25">
      <c r="A29" s="18">
        <v>33</v>
      </c>
      <c r="B29" s="18">
        <v>1.01E-2</v>
      </c>
    </row>
    <row r="30" spans="1:2" x14ac:dyDescent="0.25">
      <c r="A30" s="18">
        <v>34</v>
      </c>
      <c r="B30" s="18">
        <v>9.7800000000000005E-3</v>
      </c>
    </row>
    <row r="31" spans="1:2" x14ac:dyDescent="0.25">
      <c r="A31" s="18">
        <v>35</v>
      </c>
      <c r="B31" s="18">
        <v>9.2999999999999992E-3</v>
      </c>
    </row>
    <row r="32" spans="1:2" x14ac:dyDescent="0.25">
      <c r="A32" s="18">
        <v>36</v>
      </c>
      <c r="B32" s="18">
        <v>8.9899999999999997E-3</v>
      </c>
    </row>
    <row r="33" spans="1:2" x14ac:dyDescent="0.25">
      <c r="A33" s="18">
        <v>37</v>
      </c>
      <c r="B33" s="18">
        <v>8.6199999999999992E-3</v>
      </c>
    </row>
    <row r="34" spans="1:2" x14ac:dyDescent="0.25">
      <c r="A34" s="18">
        <v>38</v>
      </c>
      <c r="B34" s="18">
        <v>8.2100000000000003E-3</v>
      </c>
    </row>
    <row r="35" spans="1:2" x14ac:dyDescent="0.25">
      <c r="A35" s="18">
        <v>39</v>
      </c>
      <c r="B35" s="18">
        <v>7.8399999999999997E-3</v>
      </c>
    </row>
    <row r="36" spans="1:2" x14ac:dyDescent="0.25">
      <c r="A36" s="18">
        <v>40</v>
      </c>
      <c r="B36" s="18">
        <v>7.5300000000000002E-3</v>
      </c>
    </row>
    <row r="37" spans="1:2" x14ac:dyDescent="0.25">
      <c r="A37" s="18">
        <v>41</v>
      </c>
      <c r="B37" s="18">
        <v>7.2899999999999996E-3</v>
      </c>
    </row>
    <row r="38" spans="1:2" x14ac:dyDescent="0.25">
      <c r="A38" s="18">
        <v>42</v>
      </c>
      <c r="B38" s="18">
        <v>7.0600000000000003E-3</v>
      </c>
    </row>
    <row r="39" spans="1:2" x14ac:dyDescent="0.25">
      <c r="A39" s="18">
        <v>43</v>
      </c>
      <c r="B39" s="18">
        <v>6.8199999999999997E-3</v>
      </c>
    </row>
    <row r="40" spans="1:2" x14ac:dyDescent="0.25">
      <c r="A40" s="18">
        <v>44</v>
      </c>
      <c r="B40" s="18">
        <v>6.6499999999999997E-3</v>
      </c>
    </row>
    <row r="41" spans="1:2" x14ac:dyDescent="0.25">
      <c r="A41" s="18">
        <v>45</v>
      </c>
      <c r="B41" s="18">
        <v>6.4000000000000003E-3</v>
      </c>
    </row>
    <row r="42" spans="1:2" x14ac:dyDescent="0.25">
      <c r="A42" s="18">
        <v>46</v>
      </c>
      <c r="B42" s="18">
        <v>6.1500000000000001E-3</v>
      </c>
    </row>
    <row r="43" spans="1:2" x14ac:dyDescent="0.25">
      <c r="A43" s="18">
        <v>47</v>
      </c>
      <c r="B43" s="18">
        <v>5.94E-3</v>
      </c>
    </row>
    <row r="44" spans="1:2" x14ac:dyDescent="0.25">
      <c r="A44" s="18">
        <v>48</v>
      </c>
      <c r="B44" s="18">
        <v>5.7600000000000004E-3</v>
      </c>
    </row>
    <row r="45" spans="1:2" x14ac:dyDescent="0.25">
      <c r="A45" s="18">
        <v>49</v>
      </c>
      <c r="B45" s="18">
        <v>5.5199999999999997E-3</v>
      </c>
    </row>
    <row r="46" spans="1:2" x14ac:dyDescent="0.25">
      <c r="A46" s="18">
        <v>50</v>
      </c>
      <c r="B46" s="18">
        <v>5.4099999999999999E-3</v>
      </c>
    </row>
    <row r="47" spans="1:2" x14ac:dyDescent="0.25">
      <c r="A47" s="18">
        <v>51</v>
      </c>
      <c r="B47" s="18">
        <v>5.2100000000000002E-3</v>
      </c>
    </row>
    <row r="48" spans="1:2" x14ac:dyDescent="0.25">
      <c r="A48" s="18">
        <v>52</v>
      </c>
      <c r="B48" s="18">
        <v>5.1200000000000004E-3</v>
      </c>
    </row>
    <row r="49" spans="1:2" x14ac:dyDescent="0.25">
      <c r="A49" s="18">
        <v>53</v>
      </c>
      <c r="B49" s="18">
        <v>5.0000000000000001E-3</v>
      </c>
    </row>
    <row r="50" spans="1:2" x14ac:dyDescent="0.25">
      <c r="A50" s="18">
        <v>54</v>
      </c>
      <c r="B50" s="18">
        <v>4.8999999999999998E-3</v>
      </c>
    </row>
    <row r="51" spans="1:2" x14ac:dyDescent="0.25">
      <c r="A51" s="18">
        <v>55</v>
      </c>
      <c r="B51" s="18">
        <v>4.7999999999999996E-3</v>
      </c>
    </row>
    <row r="52" spans="1:2" x14ac:dyDescent="0.25">
      <c r="A52" s="18">
        <v>56</v>
      </c>
      <c r="B52" s="18">
        <v>4.6899999999999997E-3</v>
      </c>
    </row>
    <row r="53" spans="1:2" x14ac:dyDescent="0.25">
      <c r="A53" s="18">
        <v>57</v>
      </c>
      <c r="B53" s="18">
        <v>5.0000000000000001E-3</v>
      </c>
    </row>
    <row r="54" spans="1:2" x14ac:dyDescent="0.25">
      <c r="A54" s="18">
        <v>58</v>
      </c>
      <c r="B54" s="18">
        <v>2.3699999999999999E-2</v>
      </c>
    </row>
    <row r="55" spans="1:2" x14ac:dyDescent="0.25">
      <c r="A55" s="18">
        <v>59</v>
      </c>
      <c r="B55" s="18">
        <v>2.7E-2</v>
      </c>
    </row>
    <row r="56" spans="1:2" x14ac:dyDescent="0.25">
      <c r="A56" s="18">
        <v>60</v>
      </c>
      <c r="B56" s="18">
        <v>1.9800000000000002E-2</v>
      </c>
    </row>
    <row r="57" spans="1:2" x14ac:dyDescent="0.25">
      <c r="A57" s="18">
        <v>61</v>
      </c>
      <c r="B57" s="18">
        <v>4.2500000000000003E-3</v>
      </c>
    </row>
    <row r="58" spans="1:2" x14ac:dyDescent="0.25">
      <c r="A58" s="18">
        <v>62</v>
      </c>
      <c r="B58" s="18">
        <v>4.0899999999999999E-3</v>
      </c>
    </row>
    <row r="59" spans="1:2" x14ac:dyDescent="0.25">
      <c r="A59" s="18">
        <v>63</v>
      </c>
      <c r="B59" s="18">
        <v>4.0099999999999997E-3</v>
      </c>
    </row>
    <row r="60" spans="1:2" x14ac:dyDescent="0.25">
      <c r="A60" s="18">
        <v>64</v>
      </c>
      <c r="B60" s="18">
        <v>3.96E-3</v>
      </c>
    </row>
    <row r="61" spans="1:2" x14ac:dyDescent="0.25">
      <c r="A61" s="18">
        <v>65</v>
      </c>
      <c r="B61" s="18">
        <v>3.9500000000000004E-3</v>
      </c>
    </row>
    <row r="62" spans="1:2" x14ac:dyDescent="0.25">
      <c r="A62" s="18">
        <v>66</v>
      </c>
      <c r="B62" s="18">
        <v>4.0499999999999998E-3</v>
      </c>
    </row>
    <row r="63" spans="1:2" x14ac:dyDescent="0.25">
      <c r="A63" s="18">
        <v>67</v>
      </c>
      <c r="B63" s="18">
        <v>1.44E-2</v>
      </c>
    </row>
    <row r="64" spans="1:2" x14ac:dyDescent="0.25">
      <c r="A64" s="18">
        <v>68</v>
      </c>
      <c r="B64" s="18">
        <v>7.0800000000000004E-3</v>
      </c>
    </row>
    <row r="65" spans="1:2" x14ac:dyDescent="0.25">
      <c r="A65" s="18">
        <v>69</v>
      </c>
      <c r="B65" s="18">
        <v>6.6499999999999997E-3</v>
      </c>
    </row>
    <row r="66" spans="1:2" x14ac:dyDescent="0.25">
      <c r="A66" s="18">
        <v>70</v>
      </c>
      <c r="B66" s="18">
        <v>3.3300000000000001E-3</v>
      </c>
    </row>
    <row r="67" spans="1:2" x14ac:dyDescent="0.25">
      <c r="A67" s="18">
        <v>71</v>
      </c>
      <c r="B67" s="18">
        <v>2.3999999999999998E-3</v>
      </c>
    </row>
    <row r="68" spans="1:2" x14ac:dyDescent="0.25">
      <c r="A68" s="18">
        <v>72</v>
      </c>
      <c r="B68" s="18">
        <v>2.3999999999999998E-3</v>
      </c>
    </row>
    <row r="69" spans="1:2" x14ac:dyDescent="0.25">
      <c r="A69" s="18">
        <v>73</v>
      </c>
      <c r="B69" s="18">
        <v>2.3999999999999998E-3</v>
      </c>
    </row>
    <row r="70" spans="1:2" x14ac:dyDescent="0.25">
      <c r="A70" s="18">
        <v>74</v>
      </c>
      <c r="B70" s="18">
        <v>2.3700000000000001E-3</v>
      </c>
    </row>
    <row r="71" spans="1:2" x14ac:dyDescent="0.25">
      <c r="A71" s="18">
        <v>75</v>
      </c>
      <c r="B71" s="18">
        <v>2.3999999999999998E-3</v>
      </c>
    </row>
    <row r="72" spans="1:2" x14ac:dyDescent="0.25">
      <c r="A72" s="18">
        <v>76</v>
      </c>
      <c r="B72" s="18">
        <v>2.3700000000000001E-3</v>
      </c>
    </row>
    <row r="73" spans="1:2" x14ac:dyDescent="0.25">
      <c r="A73" s="18">
        <v>77</v>
      </c>
      <c r="B73" s="18">
        <v>2.3900000000000002E-3</v>
      </c>
    </row>
    <row r="74" spans="1:2" x14ac:dyDescent="0.25">
      <c r="A74" s="18">
        <v>78</v>
      </c>
      <c r="B74" s="18">
        <v>2.3700000000000001E-3</v>
      </c>
    </row>
    <row r="75" spans="1:2" x14ac:dyDescent="0.25">
      <c r="A75" s="18">
        <v>79</v>
      </c>
      <c r="B75" s="18">
        <v>2.3500000000000001E-3</v>
      </c>
    </row>
    <row r="76" spans="1:2" x14ac:dyDescent="0.25">
      <c r="A76" s="18">
        <v>80</v>
      </c>
      <c r="B76" s="18">
        <v>2.3500000000000001E-3</v>
      </c>
    </row>
    <row r="77" spans="1:2" x14ac:dyDescent="0.25">
      <c r="A77" s="18">
        <v>81</v>
      </c>
      <c r="B77" s="18">
        <v>2.3400000000000001E-3</v>
      </c>
    </row>
    <row r="78" spans="1:2" x14ac:dyDescent="0.25">
      <c r="A78" s="18">
        <v>82</v>
      </c>
      <c r="B78" s="18">
        <v>2.3600000000000001E-3</v>
      </c>
    </row>
    <row r="79" spans="1:2" x14ac:dyDescent="0.25">
      <c r="A79" s="18">
        <v>83</v>
      </c>
      <c r="B79" s="18">
        <v>2.3800000000000002E-3</v>
      </c>
    </row>
    <row r="80" spans="1:2" x14ac:dyDescent="0.25">
      <c r="A80" s="18">
        <v>84</v>
      </c>
      <c r="B80" s="18">
        <v>2.3700000000000001E-3</v>
      </c>
    </row>
    <row r="81" spans="1:2" x14ac:dyDescent="0.25">
      <c r="A81" s="18">
        <v>85</v>
      </c>
      <c r="B81" s="18">
        <v>2.3800000000000002E-3</v>
      </c>
    </row>
    <row r="82" spans="1:2" x14ac:dyDescent="0.25">
      <c r="A82" s="18">
        <v>86</v>
      </c>
      <c r="B82" s="18">
        <v>2.3700000000000001E-3</v>
      </c>
    </row>
    <row r="83" spans="1:2" x14ac:dyDescent="0.25">
      <c r="A83" s="18">
        <v>87</v>
      </c>
      <c r="B83" s="18">
        <v>2.3800000000000002E-3</v>
      </c>
    </row>
    <row r="84" spans="1:2" x14ac:dyDescent="0.25">
      <c r="A84" s="18">
        <v>88</v>
      </c>
      <c r="B84" s="18">
        <v>2.3500000000000001E-3</v>
      </c>
    </row>
    <row r="85" spans="1:2" x14ac:dyDescent="0.25">
      <c r="A85" s="18">
        <v>89</v>
      </c>
      <c r="B85" s="18">
        <v>2.32E-3</v>
      </c>
    </row>
    <row r="86" spans="1:2" x14ac:dyDescent="0.25">
      <c r="A86" s="18">
        <v>90</v>
      </c>
      <c r="B86" s="18">
        <v>2.32E-3</v>
      </c>
    </row>
    <row r="87" spans="1:2" x14ac:dyDescent="0.25">
      <c r="A87" s="18">
        <v>91</v>
      </c>
      <c r="B87" s="18">
        <v>2.33E-3</v>
      </c>
    </row>
    <row r="88" spans="1:2" x14ac:dyDescent="0.25">
      <c r="A88" s="18">
        <v>92</v>
      </c>
      <c r="B88" s="18">
        <v>2.32E-3</v>
      </c>
    </row>
    <row r="89" spans="1:2" x14ac:dyDescent="0.25">
      <c r="A89" s="18">
        <v>93</v>
      </c>
      <c r="B89" s="18">
        <v>2.3400000000000001E-3</v>
      </c>
    </row>
    <row r="90" spans="1:2" x14ac:dyDescent="0.25">
      <c r="A90" s="18">
        <v>94</v>
      </c>
      <c r="B90" s="18">
        <v>2.31E-3</v>
      </c>
    </row>
    <row r="91" spans="1:2" x14ac:dyDescent="0.25">
      <c r="A91" s="18">
        <v>95</v>
      </c>
      <c r="B91" s="18">
        <v>2.32E-3</v>
      </c>
    </row>
    <row r="92" spans="1:2" x14ac:dyDescent="0.25">
      <c r="A92" s="18">
        <v>96</v>
      </c>
      <c r="B92" s="18">
        <v>2.31E-3</v>
      </c>
    </row>
    <row r="93" spans="1:2" x14ac:dyDescent="0.25">
      <c r="A93" s="18">
        <v>97</v>
      </c>
      <c r="B93" s="18">
        <v>2.3E-3</v>
      </c>
    </row>
    <row r="94" spans="1:2" x14ac:dyDescent="0.25">
      <c r="A94" s="18">
        <v>98</v>
      </c>
      <c r="B94" s="18">
        <v>2.31E-3</v>
      </c>
    </row>
    <row r="95" spans="1:2" x14ac:dyDescent="0.25">
      <c r="A95" s="18">
        <v>99</v>
      </c>
      <c r="B95" s="18">
        <v>2.32E-3</v>
      </c>
    </row>
    <row r="96" spans="1:2" x14ac:dyDescent="0.25">
      <c r="A96" s="18">
        <v>100</v>
      </c>
      <c r="B96" s="18">
        <v>2.2899999999999999E-3</v>
      </c>
    </row>
    <row r="97" spans="1:2" x14ac:dyDescent="0.25">
      <c r="A97" s="18">
        <v>101</v>
      </c>
      <c r="B97" s="18">
        <v>2.3E-3</v>
      </c>
    </row>
    <row r="98" spans="1:2" x14ac:dyDescent="0.25">
      <c r="A98" s="18">
        <v>102</v>
      </c>
      <c r="B98" s="18">
        <v>2.3E-3</v>
      </c>
    </row>
    <row r="99" spans="1:2" x14ac:dyDescent="0.25">
      <c r="A99" s="18">
        <v>103</v>
      </c>
      <c r="B99" s="18">
        <v>2.2899999999999999E-3</v>
      </c>
    </row>
    <row r="100" spans="1:2" x14ac:dyDescent="0.25">
      <c r="A100" s="18">
        <v>104</v>
      </c>
      <c r="B100" s="18">
        <v>2.31E-3</v>
      </c>
    </row>
    <row r="101" spans="1:2" x14ac:dyDescent="0.25">
      <c r="A101" s="18">
        <v>105</v>
      </c>
      <c r="B101" s="18">
        <v>2.2899999999999999E-3</v>
      </c>
    </row>
    <row r="102" spans="1:2" x14ac:dyDescent="0.25">
      <c r="A102" s="18">
        <v>106</v>
      </c>
      <c r="B102" s="18">
        <v>2.31E-3</v>
      </c>
    </row>
    <row r="103" spans="1:2" x14ac:dyDescent="0.25">
      <c r="A103" s="18">
        <v>107</v>
      </c>
      <c r="B103" s="18">
        <v>2.2899999999999999E-3</v>
      </c>
    </row>
    <row r="104" spans="1:2" x14ac:dyDescent="0.25">
      <c r="A104" s="18">
        <v>108</v>
      </c>
      <c r="B104" s="18">
        <v>2.2899999999999999E-3</v>
      </c>
    </row>
    <row r="105" spans="1:2" x14ac:dyDescent="0.25">
      <c r="A105" s="18">
        <v>109</v>
      </c>
      <c r="B105" s="18">
        <v>2.3E-3</v>
      </c>
    </row>
    <row r="106" spans="1:2" x14ac:dyDescent="0.25">
      <c r="A106" s="18">
        <v>110</v>
      </c>
      <c r="B106" s="18">
        <v>2.2799999999999999E-3</v>
      </c>
    </row>
    <row r="107" spans="1:2" x14ac:dyDescent="0.25">
      <c r="A107" s="18">
        <v>111</v>
      </c>
      <c r="B107" s="18">
        <v>2.31E-3</v>
      </c>
    </row>
    <row r="108" spans="1:2" x14ac:dyDescent="0.25">
      <c r="A108" s="18">
        <v>112</v>
      </c>
      <c r="B108" s="18">
        <v>2.2799999999999999E-3</v>
      </c>
    </row>
    <row r="109" spans="1:2" x14ac:dyDescent="0.25">
      <c r="A109" s="18">
        <v>113</v>
      </c>
      <c r="B109" s="18">
        <v>2.2799999999999999E-3</v>
      </c>
    </row>
    <row r="110" spans="1:2" x14ac:dyDescent="0.25">
      <c r="A110" s="18">
        <v>114</v>
      </c>
      <c r="B110" s="18">
        <v>2.2699999999999999E-3</v>
      </c>
    </row>
    <row r="111" spans="1:2" x14ac:dyDescent="0.25">
      <c r="A111" s="18">
        <v>115</v>
      </c>
      <c r="B111" s="18">
        <v>2.2799999999999999E-3</v>
      </c>
    </row>
    <row r="112" spans="1:2" x14ac:dyDescent="0.25">
      <c r="A112" s="18">
        <v>116</v>
      </c>
      <c r="B112" s="18">
        <v>2.2899999999999999E-3</v>
      </c>
    </row>
    <row r="113" spans="1:2" x14ac:dyDescent="0.25">
      <c r="A113" s="18">
        <v>117</v>
      </c>
      <c r="B113" s="18">
        <v>2.3E-3</v>
      </c>
    </row>
    <row r="114" spans="1:2" x14ac:dyDescent="0.25">
      <c r="A114" s="18">
        <v>118</v>
      </c>
      <c r="B114" s="18">
        <v>2.2799999999999999E-3</v>
      </c>
    </row>
    <row r="115" spans="1:2" x14ac:dyDescent="0.25">
      <c r="A115" s="18">
        <v>119</v>
      </c>
      <c r="B115" s="18">
        <v>2.2799999999999999E-3</v>
      </c>
    </row>
    <row r="116" spans="1:2" x14ac:dyDescent="0.25">
      <c r="A116" s="18">
        <v>120</v>
      </c>
      <c r="B116" s="18">
        <v>2.2399999999999998E-3</v>
      </c>
    </row>
    <row r="117" spans="1:2" x14ac:dyDescent="0.25">
      <c r="A117" s="18">
        <v>121</v>
      </c>
      <c r="B117" s="18">
        <v>2.2599999999999999E-3</v>
      </c>
    </row>
    <row r="118" spans="1:2" x14ac:dyDescent="0.25">
      <c r="A118" s="18">
        <v>122</v>
      </c>
      <c r="B118" s="18">
        <v>2.2300000000000002E-3</v>
      </c>
    </row>
    <row r="119" spans="1:2" x14ac:dyDescent="0.25">
      <c r="A119" s="18">
        <v>123</v>
      </c>
      <c r="B119" s="18">
        <v>2.2200000000000002E-3</v>
      </c>
    </row>
    <row r="120" spans="1:2" x14ac:dyDescent="0.25">
      <c r="A120" s="18">
        <v>124</v>
      </c>
      <c r="B120" s="18">
        <v>2.2100000000000002E-3</v>
      </c>
    </row>
    <row r="121" spans="1:2" x14ac:dyDescent="0.25">
      <c r="A121" s="18">
        <v>125</v>
      </c>
      <c r="B121" s="18">
        <v>2.2200000000000002E-3</v>
      </c>
    </row>
    <row r="122" spans="1:2" x14ac:dyDescent="0.25">
      <c r="A122" s="18">
        <v>126</v>
      </c>
      <c r="B122" s="18">
        <v>2.2399999999999998E-3</v>
      </c>
    </row>
    <row r="123" spans="1:2" x14ac:dyDescent="0.25">
      <c r="A123" s="18">
        <v>127</v>
      </c>
      <c r="B123" s="18">
        <v>2.2300000000000002E-3</v>
      </c>
    </row>
    <row r="124" spans="1:2" x14ac:dyDescent="0.25">
      <c r="A124" s="18">
        <v>128</v>
      </c>
      <c r="B124" s="18">
        <v>2.2000000000000001E-3</v>
      </c>
    </row>
    <row r="125" spans="1:2" x14ac:dyDescent="0.25">
      <c r="A125" s="18">
        <v>129</v>
      </c>
      <c r="B125" s="18">
        <v>2.2000000000000001E-3</v>
      </c>
    </row>
    <row r="126" spans="1:2" x14ac:dyDescent="0.25">
      <c r="A126" s="18">
        <v>130</v>
      </c>
      <c r="B126" s="18">
        <v>2.1800000000000001E-3</v>
      </c>
    </row>
    <row r="127" spans="1:2" x14ac:dyDescent="0.25">
      <c r="A127" s="18">
        <v>131</v>
      </c>
      <c r="B127" s="18">
        <v>2.1900000000000001E-3</v>
      </c>
    </row>
    <row r="128" spans="1:2" x14ac:dyDescent="0.25">
      <c r="A128" s="18">
        <v>132</v>
      </c>
      <c r="B128" s="18">
        <v>2.1700000000000001E-3</v>
      </c>
    </row>
    <row r="129" spans="1:2" x14ac:dyDescent="0.25">
      <c r="A129" s="18">
        <v>133</v>
      </c>
      <c r="B129" s="18">
        <v>2.1700000000000001E-3</v>
      </c>
    </row>
    <row r="130" spans="1:2" x14ac:dyDescent="0.25">
      <c r="A130" s="18">
        <v>134</v>
      </c>
      <c r="B130" s="18">
        <v>2.14E-3</v>
      </c>
    </row>
    <row r="131" spans="1:2" x14ac:dyDescent="0.25">
      <c r="A131" s="18">
        <v>135</v>
      </c>
      <c r="B131" s="18">
        <v>2.1299999999999999E-3</v>
      </c>
    </row>
    <row r="132" spans="1:2" x14ac:dyDescent="0.25">
      <c r="A132" s="18">
        <v>136</v>
      </c>
      <c r="B132" s="18">
        <v>2.14E-3</v>
      </c>
    </row>
    <row r="133" spans="1:2" x14ac:dyDescent="0.25">
      <c r="A133" s="18">
        <v>137</v>
      </c>
      <c r="B133" s="18">
        <v>2.14E-3</v>
      </c>
    </row>
    <row r="134" spans="1:2" x14ac:dyDescent="0.25">
      <c r="A134" s="18">
        <v>138</v>
      </c>
      <c r="B134" s="18">
        <v>2.14E-3</v>
      </c>
    </row>
    <row r="135" spans="1:2" x14ac:dyDescent="0.25">
      <c r="A135" s="18">
        <v>139</v>
      </c>
      <c r="B135" s="18">
        <v>2.0999999999999999E-3</v>
      </c>
    </row>
    <row r="136" spans="1:2" x14ac:dyDescent="0.25">
      <c r="A136" s="18">
        <v>140</v>
      </c>
      <c r="B136" s="18">
        <v>2.0799999999999998E-3</v>
      </c>
    </row>
    <row r="137" spans="1:2" x14ac:dyDescent="0.25">
      <c r="A137" s="18">
        <v>141</v>
      </c>
      <c r="B137" s="18">
        <v>2.0899999999999998E-3</v>
      </c>
    </row>
    <row r="138" spans="1:2" x14ac:dyDescent="0.25">
      <c r="A138" s="18">
        <v>142</v>
      </c>
      <c r="B138" s="18">
        <v>2.0799999999999998E-3</v>
      </c>
    </row>
    <row r="139" spans="1:2" x14ac:dyDescent="0.25">
      <c r="A139" s="18">
        <v>143</v>
      </c>
      <c r="B139" s="18">
        <v>2.0999999999999999E-3</v>
      </c>
    </row>
    <row r="140" spans="1:2" x14ac:dyDescent="0.25">
      <c r="A140" s="18">
        <v>144</v>
      </c>
      <c r="B140" s="18">
        <v>2.0500000000000002E-3</v>
      </c>
    </row>
    <row r="141" spans="1:2" x14ac:dyDescent="0.25">
      <c r="A141" s="18">
        <v>145</v>
      </c>
      <c r="B141" s="18">
        <v>2.0600000000000002E-3</v>
      </c>
    </row>
    <row r="142" spans="1:2" x14ac:dyDescent="0.25">
      <c r="A142" s="18">
        <v>146</v>
      </c>
      <c r="B142" s="18">
        <v>2.0600000000000002E-3</v>
      </c>
    </row>
    <row r="143" spans="1:2" x14ac:dyDescent="0.25">
      <c r="A143" s="18">
        <v>147</v>
      </c>
      <c r="B143" s="18">
        <v>2.0400000000000001E-3</v>
      </c>
    </row>
    <row r="144" spans="1:2" x14ac:dyDescent="0.25">
      <c r="A144" s="18">
        <v>148</v>
      </c>
      <c r="B144" s="18">
        <v>2.0500000000000002E-3</v>
      </c>
    </row>
    <row r="145" spans="1:2" x14ac:dyDescent="0.25">
      <c r="A145" s="18">
        <v>149</v>
      </c>
      <c r="B145" s="18">
        <v>2.0300000000000001E-3</v>
      </c>
    </row>
    <row r="146" spans="1:2" x14ac:dyDescent="0.25">
      <c r="A146" s="18">
        <v>150</v>
      </c>
      <c r="B146" s="18">
        <v>1.98E-3</v>
      </c>
    </row>
    <row r="147" spans="1:2" x14ac:dyDescent="0.25">
      <c r="A147" s="18">
        <v>151</v>
      </c>
      <c r="B147" s="18">
        <v>1.99E-3</v>
      </c>
    </row>
    <row r="148" spans="1:2" x14ac:dyDescent="0.25">
      <c r="A148" s="18">
        <v>152</v>
      </c>
      <c r="B148" s="18">
        <v>1.9599999999999999E-3</v>
      </c>
    </row>
    <row r="149" spans="1:2" x14ac:dyDescent="0.25">
      <c r="A149" s="18">
        <v>153</v>
      </c>
      <c r="B149" s="18">
        <v>1.9300000000000001E-3</v>
      </c>
    </row>
    <row r="150" spans="1:2" x14ac:dyDescent="0.25">
      <c r="A150" s="18">
        <v>154</v>
      </c>
      <c r="B150" s="18">
        <v>1.99E-3</v>
      </c>
    </row>
    <row r="151" spans="1:2" x14ac:dyDescent="0.25">
      <c r="A151" s="18">
        <v>155</v>
      </c>
      <c r="B151" s="18">
        <v>1.92E-3</v>
      </c>
    </row>
    <row r="152" spans="1:2" x14ac:dyDescent="0.25">
      <c r="A152" s="18">
        <v>156</v>
      </c>
      <c r="B152" s="18">
        <v>1.9300000000000001E-3</v>
      </c>
    </row>
    <row r="153" spans="1:2" x14ac:dyDescent="0.25">
      <c r="A153" s="18">
        <v>157</v>
      </c>
      <c r="B153" s="18">
        <v>1.9400000000000001E-3</v>
      </c>
    </row>
    <row r="154" spans="1:2" x14ac:dyDescent="0.25">
      <c r="A154" s="18">
        <v>158</v>
      </c>
      <c r="B154" s="18">
        <v>1.9300000000000001E-3</v>
      </c>
    </row>
    <row r="155" spans="1:2" x14ac:dyDescent="0.25">
      <c r="A155" s="18">
        <v>159</v>
      </c>
      <c r="B155" s="18">
        <v>1.91E-3</v>
      </c>
    </row>
    <row r="156" spans="1:2" x14ac:dyDescent="0.25">
      <c r="A156" s="18">
        <v>160</v>
      </c>
      <c r="B156" s="18">
        <v>1.89E-3</v>
      </c>
    </row>
    <row r="157" spans="1:2" x14ac:dyDescent="0.25">
      <c r="A157" s="18">
        <v>161</v>
      </c>
      <c r="B157" s="18">
        <v>1.8699999999999999E-3</v>
      </c>
    </row>
    <row r="158" spans="1:2" x14ac:dyDescent="0.25">
      <c r="A158" s="18">
        <v>162</v>
      </c>
      <c r="B158" s="18">
        <v>1.91E-3</v>
      </c>
    </row>
    <row r="159" spans="1:2" x14ac:dyDescent="0.25">
      <c r="A159" s="18">
        <v>163</v>
      </c>
      <c r="B159" s="18">
        <v>1.8699999999999999E-3</v>
      </c>
    </row>
    <row r="160" spans="1:2" x14ac:dyDescent="0.25">
      <c r="A160" s="18">
        <v>164</v>
      </c>
      <c r="B160" s="18">
        <v>1.8500000000000001E-3</v>
      </c>
    </row>
    <row r="161" spans="1:2" x14ac:dyDescent="0.25">
      <c r="A161" s="18">
        <v>165</v>
      </c>
      <c r="B161" s="18">
        <v>1.8600000000000001E-3</v>
      </c>
    </row>
    <row r="162" spans="1:2" x14ac:dyDescent="0.25">
      <c r="A162" s="18">
        <v>166</v>
      </c>
      <c r="B162" s="18">
        <v>1.8500000000000001E-3</v>
      </c>
    </row>
    <row r="163" spans="1:2" x14ac:dyDescent="0.25">
      <c r="A163" s="18">
        <v>167</v>
      </c>
      <c r="B163" s="18">
        <v>1.81E-3</v>
      </c>
    </row>
    <row r="164" spans="1:2" x14ac:dyDescent="0.25">
      <c r="A164" s="18">
        <v>168</v>
      </c>
      <c r="B164" s="18">
        <v>1.81E-3</v>
      </c>
    </row>
    <row r="165" spans="1:2" x14ac:dyDescent="0.25">
      <c r="A165" s="18">
        <v>169</v>
      </c>
      <c r="B165" s="18">
        <v>1.7899999999999999E-3</v>
      </c>
    </row>
    <row r="166" spans="1:2" x14ac:dyDescent="0.25">
      <c r="A166" s="18">
        <v>170</v>
      </c>
      <c r="B166" s="18">
        <v>1.7899999999999999E-3</v>
      </c>
    </row>
    <row r="167" spans="1:2" x14ac:dyDescent="0.25">
      <c r="A167" s="18">
        <v>171</v>
      </c>
      <c r="B167" s="18">
        <v>1.7700000000000001E-3</v>
      </c>
    </row>
    <row r="168" spans="1:2" x14ac:dyDescent="0.25">
      <c r="A168" s="18">
        <v>172</v>
      </c>
      <c r="B168" s="18">
        <v>1.7700000000000001E-3</v>
      </c>
    </row>
    <row r="169" spans="1:2" x14ac:dyDescent="0.25">
      <c r="A169" s="18">
        <v>173</v>
      </c>
      <c r="B169" s="18">
        <v>1.74E-3</v>
      </c>
    </row>
    <row r="170" spans="1:2" x14ac:dyDescent="0.25">
      <c r="A170" s="18">
        <v>174</v>
      </c>
      <c r="B170" s="18">
        <v>1.7899999999999999E-3</v>
      </c>
    </row>
    <row r="171" spans="1:2" x14ac:dyDescent="0.25">
      <c r="A171" s="18">
        <v>175</v>
      </c>
      <c r="B171" s="18">
        <v>1.74E-3</v>
      </c>
    </row>
    <row r="172" spans="1:2" x14ac:dyDescent="0.25">
      <c r="A172" s="18">
        <v>176</v>
      </c>
      <c r="B172" s="18">
        <v>1.7099999999999999E-3</v>
      </c>
    </row>
    <row r="173" spans="1:2" x14ac:dyDescent="0.25">
      <c r="A173" s="18">
        <v>177</v>
      </c>
      <c r="B173" s="18">
        <v>1.7099999999999999E-3</v>
      </c>
    </row>
    <row r="174" spans="1:2" x14ac:dyDescent="0.25">
      <c r="A174" s="18">
        <v>178</v>
      </c>
      <c r="B174" s="18">
        <v>1.6900000000000001E-3</v>
      </c>
    </row>
    <row r="175" spans="1:2" x14ac:dyDescent="0.25">
      <c r="A175" s="18">
        <v>179</v>
      </c>
      <c r="B175" s="18">
        <v>1.6800000000000001E-3</v>
      </c>
    </row>
    <row r="176" spans="1:2" x14ac:dyDescent="0.25">
      <c r="A176" s="18">
        <v>180</v>
      </c>
      <c r="B176" s="18">
        <v>1.67E-3</v>
      </c>
    </row>
    <row r="177" spans="1:2" x14ac:dyDescent="0.25">
      <c r="A177" s="18">
        <v>181</v>
      </c>
      <c r="B177" s="18">
        <v>1.67E-3</v>
      </c>
    </row>
    <row r="178" spans="1:2" x14ac:dyDescent="0.25">
      <c r="A178" s="18">
        <v>182</v>
      </c>
      <c r="B178" s="18">
        <v>1.65E-3</v>
      </c>
    </row>
    <row r="179" spans="1:2" x14ac:dyDescent="0.25">
      <c r="A179" s="18">
        <v>183</v>
      </c>
      <c r="B179" s="18">
        <v>1.65E-3</v>
      </c>
    </row>
    <row r="180" spans="1:2" x14ac:dyDescent="0.25">
      <c r="A180" s="18">
        <v>184</v>
      </c>
      <c r="B180" s="18">
        <v>1.6199999999999999E-3</v>
      </c>
    </row>
    <row r="181" spans="1:2" x14ac:dyDescent="0.25">
      <c r="A181" s="18">
        <v>185</v>
      </c>
      <c r="B181" s="18">
        <v>1.6000000000000001E-3</v>
      </c>
    </row>
    <row r="182" spans="1:2" x14ac:dyDescent="0.25">
      <c r="A182" s="18">
        <v>186</v>
      </c>
      <c r="B182" s="18">
        <v>1.6000000000000001E-3</v>
      </c>
    </row>
    <row r="183" spans="1:2" x14ac:dyDescent="0.25">
      <c r="A183" s="18">
        <v>187</v>
      </c>
      <c r="B183" s="18">
        <v>1.6000000000000001E-3</v>
      </c>
    </row>
    <row r="184" spans="1:2" x14ac:dyDescent="0.25">
      <c r="A184" s="18">
        <v>188</v>
      </c>
      <c r="B184" s="18">
        <v>1.5399999999999999E-3</v>
      </c>
    </row>
    <row r="185" spans="1:2" x14ac:dyDescent="0.25">
      <c r="A185" s="18">
        <v>189</v>
      </c>
      <c r="B185" s="18">
        <v>1.5499999999999999E-3</v>
      </c>
    </row>
    <row r="186" spans="1:2" x14ac:dyDescent="0.25">
      <c r="A186" s="18">
        <v>190</v>
      </c>
      <c r="B186" s="18">
        <v>1.5200000000000001E-3</v>
      </c>
    </row>
    <row r="187" spans="1:2" x14ac:dyDescent="0.25">
      <c r="A187" s="18">
        <v>191</v>
      </c>
      <c r="B187" s="18">
        <v>1.5499999999999999E-3</v>
      </c>
    </row>
    <row r="188" spans="1:2" x14ac:dyDescent="0.25">
      <c r="A188" s="18">
        <v>192</v>
      </c>
      <c r="B188" s="18">
        <v>1.5200000000000001E-3</v>
      </c>
    </row>
    <row r="189" spans="1:2" x14ac:dyDescent="0.25">
      <c r="A189" s="18">
        <v>193</v>
      </c>
      <c r="B189" s="18">
        <v>1.56E-3</v>
      </c>
    </row>
    <row r="190" spans="1:2" x14ac:dyDescent="0.25">
      <c r="A190" s="18">
        <v>194</v>
      </c>
      <c r="B190" s="18">
        <v>1.49E-3</v>
      </c>
    </row>
    <row r="191" spans="1:2" x14ac:dyDescent="0.25">
      <c r="A191" s="18">
        <v>195</v>
      </c>
      <c r="B191" s="18">
        <v>1.4599999999999999E-3</v>
      </c>
    </row>
    <row r="192" spans="1:2" x14ac:dyDescent="0.25">
      <c r="A192" s="18">
        <v>196</v>
      </c>
      <c r="B192" s="18">
        <v>1.4599999999999999E-3</v>
      </c>
    </row>
    <row r="193" spans="1:2" x14ac:dyDescent="0.25">
      <c r="A193" s="18">
        <v>197</v>
      </c>
      <c r="B193" s="18">
        <v>1.4499999999999999E-3</v>
      </c>
    </row>
    <row r="194" spans="1:2" x14ac:dyDescent="0.25">
      <c r="A194" s="18">
        <v>198</v>
      </c>
      <c r="B194" s="18">
        <v>1.41E-3</v>
      </c>
    </row>
    <row r="195" spans="1:2" x14ac:dyDescent="0.25">
      <c r="A195" s="18">
        <v>199</v>
      </c>
      <c r="B195" s="18">
        <v>1.4499999999999999E-3</v>
      </c>
    </row>
    <row r="196" spans="1:2" x14ac:dyDescent="0.25">
      <c r="A196" s="18">
        <v>200</v>
      </c>
      <c r="B196" s="18">
        <v>1.42E-3</v>
      </c>
    </row>
    <row r="197" spans="1:2" x14ac:dyDescent="0.25">
      <c r="A197" s="18">
        <v>201</v>
      </c>
      <c r="B197" s="18">
        <v>1.41E-3</v>
      </c>
    </row>
    <row r="198" spans="1:2" x14ac:dyDescent="0.25">
      <c r="A198" s="18">
        <v>202</v>
      </c>
      <c r="B198" s="18">
        <v>1.4E-3</v>
      </c>
    </row>
    <row r="199" spans="1:2" x14ac:dyDescent="0.25">
      <c r="A199" s="18">
        <v>203</v>
      </c>
      <c r="B199" s="18">
        <v>1.39E-3</v>
      </c>
    </row>
    <row r="200" spans="1:2" x14ac:dyDescent="0.25">
      <c r="A200" s="18">
        <v>204</v>
      </c>
      <c r="B200" s="18">
        <v>1.3600000000000001E-3</v>
      </c>
    </row>
    <row r="201" spans="1:2" x14ac:dyDescent="0.25">
      <c r="A201" s="18">
        <v>205</v>
      </c>
      <c r="B201" s="18">
        <v>1.3500000000000001E-3</v>
      </c>
    </row>
    <row r="202" spans="1:2" x14ac:dyDescent="0.25">
      <c r="A202" s="18">
        <v>206</v>
      </c>
      <c r="B202" s="18">
        <v>1.2999999999999999E-3</v>
      </c>
    </row>
    <row r="203" spans="1:2" x14ac:dyDescent="0.25">
      <c r="A203" s="18">
        <v>207</v>
      </c>
      <c r="B203" s="18">
        <v>1.31E-3</v>
      </c>
    </row>
    <row r="204" spans="1:2" x14ac:dyDescent="0.25">
      <c r="A204" s="18">
        <v>208</v>
      </c>
      <c r="B204" s="18">
        <v>1.2899999999999999E-3</v>
      </c>
    </row>
    <row r="205" spans="1:2" x14ac:dyDescent="0.25">
      <c r="A205" s="18">
        <v>209</v>
      </c>
      <c r="B205" s="18">
        <v>1.2899999999999999E-3</v>
      </c>
    </row>
    <row r="206" spans="1:2" x14ac:dyDescent="0.25">
      <c r="A206" s="18">
        <v>210</v>
      </c>
      <c r="B206" s="18">
        <v>1.2999999999999999E-3</v>
      </c>
    </row>
    <row r="207" spans="1:2" x14ac:dyDescent="0.25">
      <c r="A207" s="18">
        <v>211</v>
      </c>
      <c r="B207" s="18">
        <v>1.2800000000000001E-3</v>
      </c>
    </row>
    <row r="208" spans="1:2" x14ac:dyDescent="0.25">
      <c r="A208" s="18">
        <v>212</v>
      </c>
      <c r="B208" s="18">
        <v>1.25E-3</v>
      </c>
    </row>
    <row r="209" spans="1:2" x14ac:dyDescent="0.25">
      <c r="A209" s="18">
        <v>213</v>
      </c>
      <c r="B209" s="18">
        <v>1.2700000000000001E-3</v>
      </c>
    </row>
    <row r="210" spans="1:2" x14ac:dyDescent="0.25">
      <c r="A210" s="18">
        <v>214</v>
      </c>
      <c r="B210" s="18">
        <v>1.23E-3</v>
      </c>
    </row>
    <row r="211" spans="1:2" x14ac:dyDescent="0.25">
      <c r="A211" s="18">
        <v>215</v>
      </c>
      <c r="B211" s="18">
        <v>1.1999999999999999E-3</v>
      </c>
    </row>
    <row r="212" spans="1:2" x14ac:dyDescent="0.25">
      <c r="A212" s="18">
        <v>216</v>
      </c>
      <c r="B212" s="18">
        <v>1.1999999999999999E-3</v>
      </c>
    </row>
    <row r="213" spans="1:2" x14ac:dyDescent="0.25">
      <c r="A213" s="18">
        <v>217</v>
      </c>
      <c r="B213" s="18">
        <v>1.17E-3</v>
      </c>
    </row>
    <row r="214" spans="1:2" x14ac:dyDescent="0.25">
      <c r="A214" s="18">
        <v>218</v>
      </c>
      <c r="B214" s="18">
        <v>1.16E-3</v>
      </c>
    </row>
    <row r="215" spans="1:2" x14ac:dyDescent="0.25">
      <c r="A215" s="18">
        <v>219</v>
      </c>
      <c r="B215" s="18">
        <v>1.17E-3</v>
      </c>
    </row>
    <row r="216" spans="1:2" x14ac:dyDescent="0.25">
      <c r="A216" s="18">
        <v>220</v>
      </c>
      <c r="B216" s="18">
        <v>1.15E-3</v>
      </c>
    </row>
    <row r="217" spans="1:2" x14ac:dyDescent="0.25">
      <c r="A217" s="18">
        <v>221</v>
      </c>
      <c r="B217" s="18">
        <v>1.14E-3</v>
      </c>
    </row>
    <row r="218" spans="1:2" x14ac:dyDescent="0.25">
      <c r="A218" s="18">
        <v>222</v>
      </c>
      <c r="B218" s="18">
        <v>1.1299999999999999E-3</v>
      </c>
    </row>
    <row r="219" spans="1:2" x14ac:dyDescent="0.25">
      <c r="A219" s="18">
        <v>223</v>
      </c>
      <c r="B219" s="18">
        <v>1.1299999999999999E-3</v>
      </c>
    </row>
    <row r="220" spans="1:2" x14ac:dyDescent="0.25">
      <c r="A220" s="18">
        <v>224</v>
      </c>
      <c r="B220" s="18">
        <v>1.15E-3</v>
      </c>
    </row>
    <row r="221" spans="1:2" x14ac:dyDescent="0.25">
      <c r="A221" s="18">
        <v>225</v>
      </c>
      <c r="B221" s="18">
        <v>1.0399999999999999E-3</v>
      </c>
    </row>
    <row r="222" spans="1:2" x14ac:dyDescent="0.25">
      <c r="A222" s="18">
        <v>226</v>
      </c>
      <c r="B222" s="18">
        <v>1.07E-3</v>
      </c>
    </row>
    <row r="223" spans="1:2" x14ac:dyDescent="0.25">
      <c r="A223" s="18">
        <v>227</v>
      </c>
      <c r="B223" s="18">
        <v>1.08E-3</v>
      </c>
    </row>
    <row r="224" spans="1:2" x14ac:dyDescent="0.25">
      <c r="A224" s="18">
        <v>228</v>
      </c>
      <c r="B224" s="18">
        <v>1.09E-3</v>
      </c>
    </row>
    <row r="225" spans="1:2" x14ac:dyDescent="0.25">
      <c r="A225" s="18">
        <v>229</v>
      </c>
      <c r="B225" s="18">
        <v>1.06E-3</v>
      </c>
    </row>
    <row r="226" spans="1:2" x14ac:dyDescent="0.25">
      <c r="A226" s="18">
        <v>230</v>
      </c>
      <c r="B226" s="18">
        <v>1.0300000000000001E-3</v>
      </c>
    </row>
    <row r="227" spans="1:2" x14ac:dyDescent="0.25">
      <c r="A227" s="18">
        <v>231</v>
      </c>
      <c r="B227" s="18">
        <v>1.01E-3</v>
      </c>
    </row>
    <row r="228" spans="1:2" x14ac:dyDescent="0.25">
      <c r="A228" s="18">
        <v>232</v>
      </c>
      <c r="B228" s="18">
        <v>1.0200000000000001E-3</v>
      </c>
    </row>
    <row r="229" spans="1:2" x14ac:dyDescent="0.25">
      <c r="A229" s="18">
        <v>233</v>
      </c>
      <c r="B229" s="18">
        <v>9.4300000000000004E-4</v>
      </c>
    </row>
    <row r="230" spans="1:2" x14ac:dyDescent="0.25">
      <c r="A230" s="18">
        <v>234</v>
      </c>
      <c r="B230" s="18">
        <v>9.5E-4</v>
      </c>
    </row>
    <row r="231" spans="1:2" x14ac:dyDescent="0.25">
      <c r="A231" s="18">
        <v>235</v>
      </c>
      <c r="B231" s="18">
        <v>9.7799999999999992E-4</v>
      </c>
    </row>
    <row r="232" spans="1:2" x14ac:dyDescent="0.25">
      <c r="A232" s="18">
        <v>236</v>
      </c>
      <c r="B232" s="18">
        <v>9.2900000000000003E-4</v>
      </c>
    </row>
    <row r="233" spans="1:2" x14ac:dyDescent="0.25">
      <c r="A233" s="18">
        <v>237</v>
      </c>
      <c r="B233" s="18">
        <v>9.2500000000000004E-4</v>
      </c>
    </row>
    <row r="234" spans="1:2" x14ac:dyDescent="0.25">
      <c r="A234" s="18">
        <v>238</v>
      </c>
      <c r="B234" s="18">
        <v>9.0499999999999999E-4</v>
      </c>
    </row>
    <row r="235" spans="1:2" x14ac:dyDescent="0.25">
      <c r="A235" s="18">
        <v>239</v>
      </c>
      <c r="B235" s="18">
        <v>8.6499999999999999E-4</v>
      </c>
    </row>
    <row r="236" spans="1:2" x14ac:dyDescent="0.25">
      <c r="A236" s="18">
        <v>240</v>
      </c>
      <c r="B236" s="18">
        <v>9.01E-4</v>
      </c>
    </row>
    <row r="237" spans="1:2" x14ac:dyDescent="0.25">
      <c r="A237" s="18">
        <v>241</v>
      </c>
      <c r="B237" s="18">
        <v>8.8800000000000001E-4</v>
      </c>
    </row>
    <row r="238" spans="1:2" x14ac:dyDescent="0.25">
      <c r="A238" s="18">
        <v>242</v>
      </c>
      <c r="B238" s="18">
        <v>8.4599999999999996E-4</v>
      </c>
    </row>
    <row r="239" spans="1:2" x14ac:dyDescent="0.25">
      <c r="A239" s="18">
        <v>243</v>
      </c>
      <c r="B239" s="18">
        <v>8.2399999999999997E-4</v>
      </c>
    </row>
    <row r="240" spans="1:2" x14ac:dyDescent="0.25">
      <c r="A240" s="18">
        <v>244</v>
      </c>
      <c r="B240" s="18">
        <v>8.3699999999999996E-4</v>
      </c>
    </row>
    <row r="241" spans="1:2" x14ac:dyDescent="0.25">
      <c r="A241" s="18">
        <v>245</v>
      </c>
      <c r="B241" s="18">
        <v>8.52E-4</v>
      </c>
    </row>
    <row r="242" spans="1:2" x14ac:dyDescent="0.25">
      <c r="A242" s="18">
        <v>246</v>
      </c>
      <c r="B242" s="18">
        <v>7.8700000000000005E-4</v>
      </c>
    </row>
    <row r="243" spans="1:2" x14ac:dyDescent="0.25">
      <c r="A243" s="18">
        <v>247</v>
      </c>
      <c r="B243" s="18">
        <v>7.9699999999999997E-4</v>
      </c>
    </row>
    <row r="244" spans="1:2" x14ac:dyDescent="0.25">
      <c r="A244" s="18">
        <v>248</v>
      </c>
      <c r="B244" s="18">
        <v>7.4899999999999999E-4</v>
      </c>
    </row>
    <row r="245" spans="1:2" x14ac:dyDescent="0.25">
      <c r="A245" s="18">
        <v>249</v>
      </c>
      <c r="B245" s="18">
        <v>7.2300000000000001E-4</v>
      </c>
    </row>
    <row r="246" spans="1:2" x14ac:dyDescent="0.25">
      <c r="A246" s="18">
        <v>250</v>
      </c>
      <c r="B246" s="18">
        <v>7.8700000000000005E-4</v>
      </c>
    </row>
    <row r="247" spans="1:2" x14ac:dyDescent="0.25">
      <c r="A247" s="18">
        <v>251</v>
      </c>
      <c r="B247" s="18">
        <v>6.9700000000000003E-4</v>
      </c>
    </row>
    <row r="248" spans="1:2" x14ac:dyDescent="0.25">
      <c r="A248" s="18">
        <v>252</v>
      </c>
      <c r="B248" s="18">
        <v>7.0399999999999998E-4</v>
      </c>
    </row>
    <row r="249" spans="1:2" x14ac:dyDescent="0.25">
      <c r="A249" s="18">
        <v>253</v>
      </c>
      <c r="B249" s="18">
        <v>7.2400000000000003E-4</v>
      </c>
    </row>
    <row r="250" spans="1:2" x14ac:dyDescent="0.25">
      <c r="A250" s="18">
        <v>254</v>
      </c>
      <c r="B250" s="18">
        <v>6.6699999999999995E-4</v>
      </c>
    </row>
    <row r="251" spans="1:2" x14ac:dyDescent="0.25">
      <c r="A251" s="18">
        <v>255</v>
      </c>
      <c r="B251" s="18">
        <v>6.8599999999999998E-4</v>
      </c>
    </row>
    <row r="252" spans="1:2" x14ac:dyDescent="0.25">
      <c r="A252" s="18">
        <v>256</v>
      </c>
      <c r="B252" s="18">
        <v>6.4199999999999999E-4</v>
      </c>
    </row>
    <row r="253" spans="1:2" x14ac:dyDescent="0.25">
      <c r="A253" s="18">
        <v>257</v>
      </c>
      <c r="B253" s="18">
        <v>6.1499999999999999E-4</v>
      </c>
    </row>
    <row r="254" spans="1:2" x14ac:dyDescent="0.25">
      <c r="A254" s="18">
        <v>258</v>
      </c>
      <c r="B254" s="18">
        <v>6.4199999999999999E-4</v>
      </c>
    </row>
    <row r="255" spans="1:2" x14ac:dyDescent="0.25">
      <c r="A255" s="18">
        <v>259</v>
      </c>
      <c r="B255" s="18">
        <v>6.1799999999999995E-4</v>
      </c>
    </row>
    <row r="256" spans="1:2" x14ac:dyDescent="0.25">
      <c r="A256" s="18">
        <v>260</v>
      </c>
      <c r="B256" s="18">
        <v>6.1200000000000002E-4</v>
      </c>
    </row>
    <row r="257" spans="1:2" x14ac:dyDescent="0.25">
      <c r="A257" s="18">
        <v>261</v>
      </c>
      <c r="B257" s="18">
        <v>5.9699999999999998E-4</v>
      </c>
    </row>
    <row r="258" spans="1:2" x14ac:dyDescent="0.25">
      <c r="A258" s="18">
        <v>262</v>
      </c>
      <c r="B258" s="18">
        <v>5.9400000000000002E-4</v>
      </c>
    </row>
    <row r="259" spans="1:2" x14ac:dyDescent="0.25">
      <c r="A259" s="18">
        <v>263</v>
      </c>
      <c r="B259" s="18">
        <v>5.8200000000000005E-4</v>
      </c>
    </row>
    <row r="260" spans="1:2" x14ac:dyDescent="0.25">
      <c r="A260" s="18">
        <v>264</v>
      </c>
      <c r="B260" s="18">
        <v>5.3300000000000005E-4</v>
      </c>
    </row>
    <row r="261" spans="1:2" x14ac:dyDescent="0.25">
      <c r="A261" s="18">
        <v>265</v>
      </c>
      <c r="B261" s="18">
        <v>5.1699999999999999E-4</v>
      </c>
    </row>
    <row r="262" spans="1:2" x14ac:dyDescent="0.25">
      <c r="A262" s="18">
        <v>266</v>
      </c>
      <c r="B262" s="18">
        <v>4.8799999999999999E-4</v>
      </c>
    </row>
    <row r="263" spans="1:2" x14ac:dyDescent="0.25">
      <c r="A263" s="18">
        <v>267</v>
      </c>
      <c r="B263" s="18">
        <v>4.9200000000000003E-4</v>
      </c>
    </row>
    <row r="264" spans="1:2" x14ac:dyDescent="0.25">
      <c r="A264" s="18">
        <v>268</v>
      </c>
      <c r="B264" s="18">
        <v>4.8500000000000003E-4</v>
      </c>
    </row>
    <row r="265" spans="1:2" x14ac:dyDescent="0.25">
      <c r="A265" s="18">
        <v>269</v>
      </c>
      <c r="B265" s="18">
        <v>4.8500000000000003E-4</v>
      </c>
    </row>
    <row r="266" spans="1:2" x14ac:dyDescent="0.25">
      <c r="A266" s="18">
        <v>270</v>
      </c>
      <c r="B266" s="18">
        <v>4.2200000000000001E-4</v>
      </c>
    </row>
    <row r="267" spans="1:2" x14ac:dyDescent="0.25">
      <c r="A267" s="18">
        <v>271</v>
      </c>
      <c r="B267" s="18">
        <v>4.55E-4</v>
      </c>
    </row>
    <row r="268" spans="1:2" x14ac:dyDescent="0.25">
      <c r="A268" s="18">
        <v>272</v>
      </c>
      <c r="B268" s="18">
        <v>4.1800000000000002E-4</v>
      </c>
    </row>
    <row r="269" spans="1:2" x14ac:dyDescent="0.25">
      <c r="A269" s="18">
        <v>273</v>
      </c>
      <c r="B269" s="18">
        <v>4.2900000000000002E-4</v>
      </c>
    </row>
    <row r="270" spans="1:2" x14ac:dyDescent="0.25">
      <c r="A270" s="18">
        <v>274</v>
      </c>
      <c r="B270" s="18">
        <v>3.8999999999999999E-4</v>
      </c>
    </row>
    <row r="271" spans="1:2" x14ac:dyDescent="0.25">
      <c r="A271" s="18">
        <v>275</v>
      </c>
      <c r="B271" s="18">
        <v>4.0200000000000001E-4</v>
      </c>
    </row>
    <row r="272" spans="1:2" x14ac:dyDescent="0.25">
      <c r="A272" s="18">
        <v>276</v>
      </c>
      <c r="B272" s="18">
        <v>3.4000000000000002E-4</v>
      </c>
    </row>
    <row r="273" spans="1:2" x14ac:dyDescent="0.25">
      <c r="A273" s="18">
        <v>277</v>
      </c>
      <c r="B273" s="18">
        <v>3.8499999999999998E-4</v>
      </c>
    </row>
    <row r="274" spans="1:2" x14ac:dyDescent="0.25">
      <c r="A274" s="18">
        <v>278</v>
      </c>
      <c r="B274" s="18">
        <v>3.21E-4</v>
      </c>
    </row>
    <row r="275" spans="1:2" x14ac:dyDescent="0.25">
      <c r="A275" s="18">
        <v>279</v>
      </c>
      <c r="B275" s="18">
        <v>3.4400000000000001E-4</v>
      </c>
    </row>
    <row r="276" spans="1:2" x14ac:dyDescent="0.25">
      <c r="A276" s="18">
        <v>280</v>
      </c>
      <c r="B276" s="18">
        <v>3.3199999999999999E-4</v>
      </c>
    </row>
    <row r="277" spans="1:2" x14ac:dyDescent="0.25">
      <c r="A277" s="18">
        <v>281</v>
      </c>
      <c r="B277" s="18">
        <v>2.9599999999999998E-4</v>
      </c>
    </row>
    <row r="278" spans="1:2" x14ac:dyDescent="0.25">
      <c r="A278" s="18">
        <v>282</v>
      </c>
      <c r="B278" s="18">
        <v>3.1E-4</v>
      </c>
    </row>
    <row r="279" spans="1:2" x14ac:dyDescent="0.25">
      <c r="A279" s="18">
        <v>283</v>
      </c>
      <c r="B279" s="18">
        <v>2.5999999999999998E-4</v>
      </c>
    </row>
    <row r="280" spans="1:2" x14ac:dyDescent="0.25">
      <c r="A280" s="18">
        <v>284</v>
      </c>
      <c r="B280" s="18">
        <v>2.52E-4</v>
      </c>
    </row>
    <row r="281" spans="1:2" x14ac:dyDescent="0.25">
      <c r="A281" s="18">
        <v>285</v>
      </c>
      <c r="B281" s="18">
        <v>2.33E-4</v>
      </c>
    </row>
    <row r="282" spans="1:2" x14ac:dyDescent="0.25">
      <c r="A282" s="18">
        <v>286</v>
      </c>
      <c r="B282" s="18">
        <v>2.2800000000000001E-4</v>
      </c>
    </row>
    <row r="283" spans="1:2" x14ac:dyDescent="0.25">
      <c r="A283" s="18">
        <v>287</v>
      </c>
      <c r="B283" s="18">
        <v>2.13E-4</v>
      </c>
    </row>
    <row r="284" spans="1:2" x14ac:dyDescent="0.25">
      <c r="A284" s="18">
        <v>288</v>
      </c>
      <c r="B284" s="18">
        <v>2.14E-4</v>
      </c>
    </row>
    <row r="285" spans="1:2" x14ac:dyDescent="0.25">
      <c r="A285" s="18">
        <v>289</v>
      </c>
      <c r="B285" s="18">
        <v>1.73E-4</v>
      </c>
    </row>
    <row r="286" spans="1:2" x14ac:dyDescent="0.25">
      <c r="A286" s="18">
        <v>290</v>
      </c>
      <c r="B286" s="18">
        <v>1.6000000000000001E-4</v>
      </c>
    </row>
    <row r="287" spans="1:2" x14ac:dyDescent="0.25">
      <c r="A287" s="18">
        <v>291</v>
      </c>
      <c r="B287" s="18">
        <v>1.3300000000000001E-4</v>
      </c>
    </row>
    <row r="288" spans="1:2" x14ac:dyDescent="0.25">
      <c r="A288" s="18">
        <v>292</v>
      </c>
      <c r="B288" s="18">
        <v>1.25E-4</v>
      </c>
    </row>
    <row r="289" spans="1:2" x14ac:dyDescent="0.25">
      <c r="A289" s="18">
        <v>293</v>
      </c>
      <c r="B289" s="18">
        <v>1.15E-4</v>
      </c>
    </row>
    <row r="290" spans="1:2" x14ac:dyDescent="0.25">
      <c r="A290" s="18">
        <v>294</v>
      </c>
      <c r="B290" s="18">
        <v>1E-4</v>
      </c>
    </row>
    <row r="291" spans="1:2" x14ac:dyDescent="0.25">
      <c r="A291" s="18">
        <v>295</v>
      </c>
      <c r="B291" s="18">
        <v>8.1299999999999997E-5</v>
      </c>
    </row>
    <row r="292" spans="1:2" x14ac:dyDescent="0.25">
      <c r="A292" s="18">
        <v>296</v>
      </c>
      <c r="B292" s="18">
        <v>5.4500000000000003E-5</v>
      </c>
    </row>
    <row r="293" spans="1:2" x14ac:dyDescent="0.25">
      <c r="A293" s="18">
        <v>297</v>
      </c>
      <c r="B293" s="18">
        <v>4.8000000000000001E-5</v>
      </c>
    </row>
    <row r="294" spans="1:2" x14ac:dyDescent="0.25">
      <c r="A294" s="18">
        <v>298</v>
      </c>
      <c r="B294" s="18">
        <v>4.4499999999999997E-5</v>
      </c>
    </row>
    <row r="295" spans="1:2" x14ac:dyDescent="0.25">
      <c r="A295" s="18">
        <v>299</v>
      </c>
      <c r="B295" s="18">
        <v>2.5599999999999999E-5</v>
      </c>
    </row>
    <row r="296" spans="1:2" x14ac:dyDescent="0.25">
      <c r="A296" s="18">
        <v>300</v>
      </c>
      <c r="B296" s="18">
        <v>2.1999999999999999E-5</v>
      </c>
    </row>
    <row r="297" spans="1:2" x14ac:dyDescent="0.25">
      <c r="A297" s="18">
        <v>301</v>
      </c>
      <c r="B297" s="18">
        <v>2.34E-5</v>
      </c>
    </row>
    <row r="298" spans="1:2" x14ac:dyDescent="0.25">
      <c r="A298" s="18">
        <v>302</v>
      </c>
      <c r="B298" s="18">
        <v>1.24E-5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1:B250"/>
  <sheetViews>
    <sheetView workbookViewId="0">
      <selection activeCell="F5" sqref="F5"/>
    </sheetView>
  </sheetViews>
  <sheetFormatPr defaultRowHeight="15" x14ac:dyDescent="0.25"/>
  <cols>
    <col min="1" max="1" width="17.85546875" customWidth="1"/>
  </cols>
  <sheetData>
    <row r="1" spans="1:2" x14ac:dyDescent="0.25">
      <c r="A1" t="s">
        <v>15</v>
      </c>
      <c r="B1" t="s">
        <v>12</v>
      </c>
    </row>
    <row r="2" spans="1:2" x14ac:dyDescent="0.25">
      <c r="A2" s="18">
        <v>54</v>
      </c>
      <c r="B2" s="18">
        <v>3.2199999999999997E-5</v>
      </c>
    </row>
    <row r="3" spans="1:2" x14ac:dyDescent="0.25">
      <c r="A3" s="18">
        <v>55</v>
      </c>
      <c r="B3" s="18">
        <v>2.7100000000000001E-5</v>
      </c>
    </row>
    <row r="4" spans="1:2" x14ac:dyDescent="0.25">
      <c r="A4" s="18">
        <v>56</v>
      </c>
      <c r="B4" s="18">
        <v>3.3800000000000002E-5</v>
      </c>
    </row>
    <row r="5" spans="1:2" x14ac:dyDescent="0.25">
      <c r="A5" s="18">
        <v>57</v>
      </c>
      <c r="B5" s="18">
        <v>3.0700000000000001E-5</v>
      </c>
    </row>
    <row r="6" spans="1:2" x14ac:dyDescent="0.25">
      <c r="A6" s="18">
        <v>58</v>
      </c>
      <c r="B6" s="18">
        <v>2.1399999999999998E-5</v>
      </c>
    </row>
    <row r="7" spans="1:2" x14ac:dyDescent="0.25">
      <c r="A7" s="18">
        <v>59</v>
      </c>
      <c r="B7" s="18">
        <v>2.8799999999999999E-5</v>
      </c>
    </row>
    <row r="8" spans="1:2" x14ac:dyDescent="0.25">
      <c r="A8" s="18">
        <v>60</v>
      </c>
      <c r="B8" s="18">
        <v>2.73E-5</v>
      </c>
    </row>
    <row r="9" spans="1:2" x14ac:dyDescent="0.25">
      <c r="A9" s="18">
        <v>61</v>
      </c>
      <c r="B9" s="18">
        <v>2.9799999999999999E-5</v>
      </c>
    </row>
    <row r="10" spans="1:2" x14ac:dyDescent="0.25">
      <c r="A10" s="18">
        <v>62</v>
      </c>
      <c r="B10" s="18">
        <v>2.51E-5</v>
      </c>
    </row>
    <row r="11" spans="1:2" x14ac:dyDescent="0.25">
      <c r="A11" s="18">
        <v>63</v>
      </c>
      <c r="B11" s="18">
        <v>3.8600000000000003E-5</v>
      </c>
    </row>
    <row r="12" spans="1:2" x14ac:dyDescent="0.25">
      <c r="A12" s="18">
        <v>64</v>
      </c>
      <c r="B12" s="18">
        <v>4.2799999999999997E-5</v>
      </c>
    </row>
    <row r="13" spans="1:2" x14ac:dyDescent="0.25">
      <c r="A13" s="18">
        <v>65</v>
      </c>
      <c r="B13" s="18">
        <v>4.2500000000000003E-5</v>
      </c>
    </row>
    <row r="14" spans="1:2" x14ac:dyDescent="0.25">
      <c r="A14" s="18">
        <v>66</v>
      </c>
      <c r="B14" s="18">
        <v>2.4700000000000001E-5</v>
      </c>
    </row>
    <row r="15" spans="1:2" x14ac:dyDescent="0.25">
      <c r="A15" s="18">
        <v>67</v>
      </c>
      <c r="B15" s="18">
        <v>3.68E-5</v>
      </c>
    </row>
    <row r="16" spans="1:2" x14ac:dyDescent="0.25">
      <c r="A16" s="18">
        <v>68</v>
      </c>
      <c r="B16" s="18">
        <v>4.2700000000000001E-5</v>
      </c>
    </row>
    <row r="17" spans="1:2" x14ac:dyDescent="0.25">
      <c r="A17" s="18">
        <v>69</v>
      </c>
      <c r="B17" s="18">
        <v>6.3399999999999996E-5</v>
      </c>
    </row>
    <row r="18" spans="1:2" x14ac:dyDescent="0.25">
      <c r="A18" s="18">
        <v>70</v>
      </c>
      <c r="B18" s="18">
        <v>3.18E-5</v>
      </c>
    </row>
    <row r="19" spans="1:2" x14ac:dyDescent="0.25">
      <c r="A19" s="18">
        <v>71</v>
      </c>
      <c r="B19" s="18">
        <v>2.5400000000000001E-5</v>
      </c>
    </row>
    <row r="20" spans="1:2" x14ac:dyDescent="0.25">
      <c r="A20" s="18">
        <v>72</v>
      </c>
      <c r="B20" s="18">
        <v>4.4199999999999997E-5</v>
      </c>
    </row>
    <row r="21" spans="1:2" x14ac:dyDescent="0.25">
      <c r="A21" s="18">
        <v>73</v>
      </c>
      <c r="B21" s="18">
        <v>5.1600000000000001E-5</v>
      </c>
    </row>
    <row r="22" spans="1:2" x14ac:dyDescent="0.25">
      <c r="A22" s="18">
        <v>74</v>
      </c>
      <c r="B22" s="18">
        <v>2.6299999999999999E-5</v>
      </c>
    </row>
    <row r="23" spans="1:2" x14ac:dyDescent="0.25">
      <c r="A23" s="18">
        <v>75</v>
      </c>
      <c r="B23" s="18">
        <v>8.3200000000000003E-5</v>
      </c>
    </row>
    <row r="24" spans="1:2" x14ac:dyDescent="0.25">
      <c r="A24" s="18">
        <v>76</v>
      </c>
      <c r="B24" s="18">
        <v>2.7399999999999999E-5</v>
      </c>
    </row>
    <row r="25" spans="1:2" x14ac:dyDescent="0.25">
      <c r="A25" s="18">
        <v>77</v>
      </c>
      <c r="B25" s="18">
        <v>3.6600000000000002E-5</v>
      </c>
    </row>
    <row r="26" spans="1:2" x14ac:dyDescent="0.25">
      <c r="A26" s="18">
        <v>78</v>
      </c>
      <c r="B26" s="18">
        <v>4.49E-5</v>
      </c>
    </row>
    <row r="27" spans="1:2" x14ac:dyDescent="0.25">
      <c r="A27" s="18">
        <v>79</v>
      </c>
      <c r="B27" s="18">
        <v>3.6000000000000001E-5</v>
      </c>
    </row>
    <row r="28" spans="1:2" x14ac:dyDescent="0.25">
      <c r="A28" s="18">
        <v>80</v>
      </c>
      <c r="B28" s="18">
        <v>2.4700000000000001E-5</v>
      </c>
    </row>
    <row r="29" spans="1:2" x14ac:dyDescent="0.25">
      <c r="A29" s="18">
        <v>81</v>
      </c>
      <c r="B29" s="18">
        <v>2.9799999999999999E-5</v>
      </c>
    </row>
    <row r="30" spans="1:2" x14ac:dyDescent="0.25">
      <c r="A30" s="18">
        <v>82</v>
      </c>
      <c r="B30" s="18">
        <v>4.2599999999999999E-5</v>
      </c>
    </row>
    <row r="31" spans="1:2" x14ac:dyDescent="0.25">
      <c r="A31" s="18">
        <v>83</v>
      </c>
      <c r="B31" s="18">
        <v>3.3399999999999999E-5</v>
      </c>
    </row>
    <row r="32" spans="1:2" x14ac:dyDescent="0.25">
      <c r="A32" s="18">
        <v>84</v>
      </c>
      <c r="B32" s="18">
        <v>2.44E-5</v>
      </c>
    </row>
    <row r="33" spans="1:2" x14ac:dyDescent="0.25">
      <c r="A33" s="18">
        <v>85</v>
      </c>
      <c r="B33" s="18">
        <v>5.63E-5</v>
      </c>
    </row>
    <row r="34" spans="1:2" x14ac:dyDescent="0.25">
      <c r="A34" s="18">
        <v>86</v>
      </c>
      <c r="B34" s="18">
        <v>3.6699999999999998E-5</v>
      </c>
    </row>
    <row r="35" spans="1:2" x14ac:dyDescent="0.25">
      <c r="A35" s="18">
        <v>87</v>
      </c>
      <c r="B35" s="18">
        <v>3.6100000000000003E-5</v>
      </c>
    </row>
    <row r="36" spans="1:2" x14ac:dyDescent="0.25">
      <c r="A36" s="18">
        <v>88</v>
      </c>
      <c r="B36" s="18">
        <v>3.8899999999999997E-5</v>
      </c>
    </row>
    <row r="37" spans="1:2" x14ac:dyDescent="0.25">
      <c r="A37" s="18">
        <v>89</v>
      </c>
      <c r="B37" s="18">
        <v>4.0800000000000002E-5</v>
      </c>
    </row>
    <row r="38" spans="1:2" x14ac:dyDescent="0.25">
      <c r="A38" s="18">
        <v>90</v>
      </c>
      <c r="B38" s="18">
        <v>4.1300000000000001E-5</v>
      </c>
    </row>
    <row r="39" spans="1:2" x14ac:dyDescent="0.25">
      <c r="A39" s="18">
        <v>91</v>
      </c>
      <c r="B39" s="18">
        <v>2.2900000000000001E-5</v>
      </c>
    </row>
    <row r="40" spans="1:2" x14ac:dyDescent="0.25">
      <c r="A40" s="18">
        <v>92</v>
      </c>
      <c r="B40" s="18">
        <v>3.6999999999999998E-5</v>
      </c>
    </row>
    <row r="41" spans="1:2" x14ac:dyDescent="0.25">
      <c r="A41" s="18">
        <v>93</v>
      </c>
      <c r="B41" s="18">
        <v>1.5099999999999999E-5</v>
      </c>
    </row>
    <row r="42" spans="1:2" x14ac:dyDescent="0.25">
      <c r="A42" s="18">
        <v>94</v>
      </c>
      <c r="B42" s="18">
        <v>3.3500000000000001E-5</v>
      </c>
    </row>
    <row r="43" spans="1:2" x14ac:dyDescent="0.25">
      <c r="A43" s="18">
        <v>95</v>
      </c>
      <c r="B43" s="18">
        <v>3.15E-5</v>
      </c>
    </row>
    <row r="44" spans="1:2" x14ac:dyDescent="0.25">
      <c r="A44" s="18">
        <v>96</v>
      </c>
      <c r="B44" s="18">
        <v>2.8399999999999999E-5</v>
      </c>
    </row>
    <row r="45" spans="1:2" x14ac:dyDescent="0.25">
      <c r="A45" s="18">
        <v>97</v>
      </c>
      <c r="B45" s="18">
        <v>6.9700000000000002E-6</v>
      </c>
    </row>
    <row r="46" spans="1:2" x14ac:dyDescent="0.25">
      <c r="A46" s="18">
        <v>98</v>
      </c>
      <c r="B46" s="18">
        <v>3.54E-5</v>
      </c>
    </row>
    <row r="47" spans="1:2" x14ac:dyDescent="0.25">
      <c r="A47" s="18">
        <v>99</v>
      </c>
      <c r="B47" s="18">
        <v>3.6399999999999997E-5</v>
      </c>
    </row>
    <row r="48" spans="1:2" x14ac:dyDescent="0.25">
      <c r="A48" s="18">
        <v>100</v>
      </c>
      <c r="B48" s="18">
        <v>4.85E-5</v>
      </c>
    </row>
    <row r="49" spans="1:2" x14ac:dyDescent="0.25">
      <c r="A49" s="18">
        <v>101</v>
      </c>
      <c r="B49" s="18">
        <v>5.0599999999999997E-5</v>
      </c>
    </row>
    <row r="50" spans="1:2" x14ac:dyDescent="0.25">
      <c r="A50" s="18">
        <v>102</v>
      </c>
      <c r="B50" s="18">
        <v>5.8400000000000003E-5</v>
      </c>
    </row>
    <row r="51" spans="1:2" x14ac:dyDescent="0.25">
      <c r="A51" s="18">
        <v>103</v>
      </c>
      <c r="B51" s="18">
        <v>6.19E-5</v>
      </c>
    </row>
    <row r="52" spans="1:2" x14ac:dyDescent="0.25">
      <c r="A52" s="18">
        <v>104</v>
      </c>
      <c r="B52" s="18">
        <v>7.3700000000000002E-5</v>
      </c>
    </row>
    <row r="53" spans="1:2" x14ac:dyDescent="0.25">
      <c r="A53" s="18">
        <v>105</v>
      </c>
      <c r="B53" s="18">
        <v>7.2000000000000002E-5</v>
      </c>
    </row>
    <row r="54" spans="1:2" x14ac:dyDescent="0.25">
      <c r="A54" s="18">
        <v>106</v>
      </c>
      <c r="B54" s="18">
        <v>7.4200000000000001E-5</v>
      </c>
    </row>
    <row r="55" spans="1:2" x14ac:dyDescent="0.25">
      <c r="A55" s="18">
        <v>107</v>
      </c>
      <c r="B55" s="18">
        <v>1E-4</v>
      </c>
    </row>
    <row r="56" spans="1:2" x14ac:dyDescent="0.25">
      <c r="A56" s="18">
        <v>108</v>
      </c>
      <c r="B56" s="18">
        <v>1.2300000000000001E-4</v>
      </c>
    </row>
    <row r="57" spans="1:2" x14ac:dyDescent="0.25">
      <c r="A57" s="18">
        <v>109</v>
      </c>
      <c r="B57" s="18">
        <v>1.2E-4</v>
      </c>
    </row>
    <row r="58" spans="1:2" x14ac:dyDescent="0.25">
      <c r="A58" s="18">
        <v>110</v>
      </c>
      <c r="B58" s="18">
        <v>1.47E-4</v>
      </c>
    </row>
    <row r="59" spans="1:2" x14ac:dyDescent="0.25">
      <c r="A59" s="18">
        <v>111</v>
      </c>
      <c r="B59" s="18">
        <v>1.4999999999999999E-4</v>
      </c>
    </row>
    <row r="60" spans="1:2" x14ac:dyDescent="0.25">
      <c r="A60" s="18">
        <v>112</v>
      </c>
      <c r="B60" s="18">
        <v>1.8599999999999999E-4</v>
      </c>
    </row>
    <row r="61" spans="1:2" x14ac:dyDescent="0.25">
      <c r="A61" s="18">
        <v>113</v>
      </c>
      <c r="B61" s="18">
        <v>2.0000000000000001E-4</v>
      </c>
    </row>
    <row r="62" spans="1:2" x14ac:dyDescent="0.25">
      <c r="A62" s="18">
        <v>114</v>
      </c>
      <c r="B62" s="18">
        <v>2.3699999999999999E-4</v>
      </c>
    </row>
    <row r="63" spans="1:2" x14ac:dyDescent="0.25">
      <c r="A63" s="18">
        <v>115</v>
      </c>
      <c r="B63" s="18">
        <v>2.6499999999999999E-4</v>
      </c>
    </row>
    <row r="64" spans="1:2" x14ac:dyDescent="0.25">
      <c r="A64" s="18">
        <v>116</v>
      </c>
      <c r="B64" s="18">
        <v>2.9999999999999997E-4</v>
      </c>
    </row>
    <row r="65" spans="1:2" x14ac:dyDescent="0.25">
      <c r="A65" s="18">
        <v>117</v>
      </c>
      <c r="B65" s="18">
        <v>3.4299999999999999E-4</v>
      </c>
    </row>
    <row r="66" spans="1:2" x14ac:dyDescent="0.25">
      <c r="A66" s="18">
        <v>118</v>
      </c>
      <c r="B66" s="18">
        <v>3.6999999999999999E-4</v>
      </c>
    </row>
    <row r="67" spans="1:2" x14ac:dyDescent="0.25">
      <c r="A67" s="18">
        <v>119</v>
      </c>
      <c r="B67" s="18">
        <v>4.2099999999999999E-4</v>
      </c>
    </row>
    <row r="68" spans="1:2" x14ac:dyDescent="0.25">
      <c r="A68" s="18">
        <v>120</v>
      </c>
      <c r="B68" s="18">
        <v>4.4700000000000002E-4</v>
      </c>
    </row>
    <row r="69" spans="1:2" x14ac:dyDescent="0.25">
      <c r="A69" s="18">
        <v>121</v>
      </c>
      <c r="B69" s="18">
        <v>5.1699999999999999E-4</v>
      </c>
    </row>
    <row r="70" spans="1:2" x14ac:dyDescent="0.25">
      <c r="A70" s="18">
        <v>122</v>
      </c>
      <c r="B70" s="18">
        <v>5.7200000000000003E-4</v>
      </c>
    </row>
    <row r="71" spans="1:2" x14ac:dyDescent="0.25">
      <c r="A71" s="18">
        <v>123</v>
      </c>
      <c r="B71" s="18">
        <v>6.4099999999999997E-4</v>
      </c>
    </row>
    <row r="72" spans="1:2" x14ac:dyDescent="0.25">
      <c r="A72" s="18">
        <v>124</v>
      </c>
      <c r="B72" s="18">
        <v>6.7199999999999996E-4</v>
      </c>
    </row>
    <row r="73" spans="1:2" x14ac:dyDescent="0.25">
      <c r="A73" s="18">
        <v>125</v>
      </c>
      <c r="B73" s="18">
        <v>7.4600000000000003E-4</v>
      </c>
    </row>
    <row r="74" spans="1:2" x14ac:dyDescent="0.25">
      <c r="A74" s="18">
        <v>126</v>
      </c>
      <c r="B74" s="18">
        <v>7.8899999999999999E-4</v>
      </c>
    </row>
    <row r="75" spans="1:2" x14ac:dyDescent="0.25">
      <c r="A75" s="18">
        <v>127</v>
      </c>
      <c r="B75" s="18">
        <v>8.8099999999999995E-4</v>
      </c>
    </row>
    <row r="76" spans="1:2" x14ac:dyDescent="0.25">
      <c r="A76" s="18">
        <v>128</v>
      </c>
      <c r="B76" s="18">
        <v>9.6900000000000003E-4</v>
      </c>
    </row>
    <row r="77" spans="1:2" x14ac:dyDescent="0.25">
      <c r="A77" s="18">
        <v>129</v>
      </c>
      <c r="B77" s="18">
        <v>9.8900000000000008E-4</v>
      </c>
    </row>
    <row r="78" spans="1:2" x14ac:dyDescent="0.25">
      <c r="A78" s="18">
        <v>130</v>
      </c>
      <c r="B78" s="18">
        <v>1.07E-3</v>
      </c>
    </row>
    <row r="79" spans="1:2" x14ac:dyDescent="0.25">
      <c r="A79" s="18">
        <v>131</v>
      </c>
      <c r="B79" s="18">
        <v>1.16E-3</v>
      </c>
    </row>
    <row r="80" spans="1:2" x14ac:dyDescent="0.25">
      <c r="A80" s="18">
        <v>132</v>
      </c>
      <c r="B80" s="18">
        <v>1.2199999999999999E-3</v>
      </c>
    </row>
    <row r="81" spans="1:2" x14ac:dyDescent="0.25">
      <c r="A81" s="18">
        <v>133</v>
      </c>
      <c r="B81" s="18">
        <v>1.3500000000000001E-3</v>
      </c>
    </row>
    <row r="82" spans="1:2" x14ac:dyDescent="0.25">
      <c r="A82" s="18">
        <v>134</v>
      </c>
      <c r="B82" s="18">
        <v>1.42E-3</v>
      </c>
    </row>
    <row r="83" spans="1:2" x14ac:dyDescent="0.25">
      <c r="A83" s="18">
        <v>135</v>
      </c>
      <c r="B83" s="18">
        <v>1.5100000000000001E-3</v>
      </c>
    </row>
    <row r="84" spans="1:2" x14ac:dyDescent="0.25">
      <c r="A84" s="18">
        <v>136</v>
      </c>
      <c r="B84" s="18">
        <v>1.6000000000000001E-3</v>
      </c>
    </row>
    <row r="85" spans="1:2" x14ac:dyDescent="0.25">
      <c r="A85" s="18">
        <v>137</v>
      </c>
      <c r="B85" s="18">
        <v>1.67E-3</v>
      </c>
    </row>
    <row r="86" spans="1:2" x14ac:dyDescent="0.25">
      <c r="A86" s="18">
        <v>138</v>
      </c>
      <c r="B86" s="18">
        <v>1.81E-3</v>
      </c>
    </row>
    <row r="87" spans="1:2" x14ac:dyDescent="0.25">
      <c r="A87" s="18">
        <v>139</v>
      </c>
      <c r="B87" s="18">
        <v>1.92E-3</v>
      </c>
    </row>
    <row r="88" spans="1:2" x14ac:dyDescent="0.25">
      <c r="A88" s="18">
        <v>140</v>
      </c>
      <c r="B88" s="18">
        <v>2.0200000000000001E-3</v>
      </c>
    </row>
    <row r="89" spans="1:2" x14ac:dyDescent="0.25">
      <c r="A89" s="18">
        <v>141</v>
      </c>
      <c r="B89" s="18">
        <v>2.14E-3</v>
      </c>
    </row>
    <row r="90" spans="1:2" x14ac:dyDescent="0.25">
      <c r="A90" s="18">
        <v>142</v>
      </c>
      <c r="B90" s="18">
        <v>2.2200000000000002E-3</v>
      </c>
    </row>
    <row r="91" spans="1:2" x14ac:dyDescent="0.25">
      <c r="A91" s="18">
        <v>143</v>
      </c>
      <c r="B91" s="18">
        <v>2.33E-3</v>
      </c>
    </row>
    <row r="92" spans="1:2" x14ac:dyDescent="0.25">
      <c r="A92" s="18">
        <v>144</v>
      </c>
      <c r="B92" s="18">
        <v>2.4499999999999999E-3</v>
      </c>
    </row>
    <row r="93" spans="1:2" x14ac:dyDescent="0.25">
      <c r="A93" s="18">
        <v>145</v>
      </c>
      <c r="B93" s="18">
        <v>2.5999999999999999E-3</v>
      </c>
    </row>
    <row r="94" spans="1:2" x14ac:dyDescent="0.25">
      <c r="A94" s="18">
        <v>146</v>
      </c>
      <c r="B94" s="18">
        <v>2.65E-3</v>
      </c>
    </row>
    <row r="95" spans="1:2" x14ac:dyDescent="0.25">
      <c r="A95" s="18">
        <v>147</v>
      </c>
      <c r="B95" s="18">
        <v>2.7799999999999999E-3</v>
      </c>
    </row>
    <row r="96" spans="1:2" x14ac:dyDescent="0.25">
      <c r="A96" s="18">
        <v>148</v>
      </c>
      <c r="B96" s="18">
        <v>2.9199999999999999E-3</v>
      </c>
    </row>
    <row r="97" spans="1:2" x14ac:dyDescent="0.25">
      <c r="A97" s="18">
        <v>149</v>
      </c>
      <c r="B97" s="18">
        <v>3.0200000000000001E-3</v>
      </c>
    </row>
    <row r="98" spans="1:2" x14ac:dyDescent="0.25">
      <c r="A98" s="18">
        <v>150</v>
      </c>
      <c r="B98" s="18">
        <v>3.16E-3</v>
      </c>
    </row>
    <row r="99" spans="1:2" x14ac:dyDescent="0.25">
      <c r="A99" s="18">
        <v>151</v>
      </c>
      <c r="B99" s="18">
        <v>3.2599999999999999E-3</v>
      </c>
    </row>
    <row r="100" spans="1:2" x14ac:dyDescent="0.25">
      <c r="A100" s="18">
        <v>152</v>
      </c>
      <c r="B100" s="18">
        <v>3.4099999999999998E-3</v>
      </c>
    </row>
    <row r="101" spans="1:2" x14ac:dyDescent="0.25">
      <c r="A101" s="18">
        <v>153</v>
      </c>
      <c r="B101" s="18">
        <v>3.5200000000000001E-3</v>
      </c>
    </row>
    <row r="102" spans="1:2" x14ac:dyDescent="0.25">
      <c r="A102" s="18">
        <v>154</v>
      </c>
      <c r="B102" s="18">
        <v>3.6600000000000001E-3</v>
      </c>
    </row>
    <row r="103" spans="1:2" x14ac:dyDescent="0.25">
      <c r="A103" s="18">
        <v>155</v>
      </c>
      <c r="B103" s="18">
        <v>3.81E-3</v>
      </c>
    </row>
    <row r="104" spans="1:2" x14ac:dyDescent="0.25">
      <c r="A104" s="18">
        <v>156</v>
      </c>
      <c r="B104" s="18">
        <v>3.9300000000000003E-3</v>
      </c>
    </row>
    <row r="105" spans="1:2" x14ac:dyDescent="0.25">
      <c r="A105" s="18">
        <v>157</v>
      </c>
      <c r="B105" s="18">
        <v>4.0699999999999998E-3</v>
      </c>
    </row>
    <row r="106" spans="1:2" x14ac:dyDescent="0.25">
      <c r="A106" s="18">
        <v>158</v>
      </c>
      <c r="B106" s="18">
        <v>4.15E-3</v>
      </c>
    </row>
    <row r="107" spans="1:2" x14ac:dyDescent="0.25">
      <c r="A107" s="18">
        <v>159</v>
      </c>
      <c r="B107" s="18">
        <v>4.3099999999999996E-3</v>
      </c>
    </row>
    <row r="108" spans="1:2" x14ac:dyDescent="0.25">
      <c r="A108" s="18">
        <v>160</v>
      </c>
      <c r="B108" s="18">
        <v>4.3600000000000002E-3</v>
      </c>
    </row>
    <row r="109" spans="1:2" x14ac:dyDescent="0.25">
      <c r="A109" s="18">
        <v>161</v>
      </c>
      <c r="B109" s="18">
        <v>4.5999999999999999E-3</v>
      </c>
    </row>
    <row r="110" spans="1:2" x14ac:dyDescent="0.25">
      <c r="A110" s="18">
        <v>162</v>
      </c>
      <c r="B110" s="18">
        <v>4.7699999999999999E-3</v>
      </c>
    </row>
    <row r="111" spans="1:2" x14ac:dyDescent="0.25">
      <c r="A111" s="18">
        <v>163</v>
      </c>
      <c r="B111" s="18">
        <v>4.8700000000000002E-3</v>
      </c>
    </row>
    <row r="112" spans="1:2" x14ac:dyDescent="0.25">
      <c r="A112" s="18">
        <v>164</v>
      </c>
      <c r="B112" s="18">
        <v>4.9199999999999999E-3</v>
      </c>
    </row>
    <row r="113" spans="1:2" x14ac:dyDescent="0.25">
      <c r="A113" s="18">
        <v>165</v>
      </c>
      <c r="B113" s="18">
        <v>5.0800000000000003E-3</v>
      </c>
    </row>
    <row r="114" spans="1:2" x14ac:dyDescent="0.25">
      <c r="A114" s="18">
        <v>166</v>
      </c>
      <c r="B114" s="18">
        <v>5.2300000000000003E-3</v>
      </c>
    </row>
    <row r="115" spans="1:2" x14ac:dyDescent="0.25">
      <c r="A115" s="18">
        <v>167</v>
      </c>
      <c r="B115" s="18">
        <v>5.28E-3</v>
      </c>
    </row>
    <row r="116" spans="1:2" x14ac:dyDescent="0.25">
      <c r="A116" s="18">
        <v>168</v>
      </c>
      <c r="B116" s="18">
        <v>5.4200000000000003E-3</v>
      </c>
    </row>
    <row r="117" spans="1:2" x14ac:dyDescent="0.25">
      <c r="A117" s="18">
        <v>169</v>
      </c>
      <c r="B117" s="18">
        <v>5.6299999999999996E-3</v>
      </c>
    </row>
    <row r="118" spans="1:2" x14ac:dyDescent="0.25">
      <c r="A118" s="18">
        <v>170</v>
      </c>
      <c r="B118" s="18">
        <v>5.6600000000000001E-3</v>
      </c>
    </row>
    <row r="119" spans="1:2" x14ac:dyDescent="0.25">
      <c r="A119" s="18">
        <v>171</v>
      </c>
      <c r="B119" s="18">
        <v>5.8199999999999997E-3</v>
      </c>
    </row>
    <row r="120" spans="1:2" x14ac:dyDescent="0.25">
      <c r="A120" s="18">
        <v>172</v>
      </c>
      <c r="B120" s="18">
        <v>5.9899999999999997E-3</v>
      </c>
    </row>
    <row r="121" spans="1:2" x14ac:dyDescent="0.25">
      <c r="A121" s="18">
        <v>173</v>
      </c>
      <c r="B121" s="18">
        <v>6.0899999999999999E-3</v>
      </c>
    </row>
    <row r="122" spans="1:2" x14ac:dyDescent="0.25">
      <c r="A122" s="18">
        <v>174</v>
      </c>
      <c r="B122" s="18">
        <v>6.2100000000000002E-3</v>
      </c>
    </row>
    <row r="123" spans="1:2" x14ac:dyDescent="0.25">
      <c r="A123" s="18">
        <v>175</v>
      </c>
      <c r="B123" s="18">
        <v>6.2399999999999999E-3</v>
      </c>
    </row>
    <row r="124" spans="1:2" x14ac:dyDescent="0.25">
      <c r="A124" s="18">
        <v>176</v>
      </c>
      <c r="B124" s="18">
        <v>6.4599999999999996E-3</v>
      </c>
    </row>
    <row r="125" spans="1:2" x14ac:dyDescent="0.25">
      <c r="A125" s="18">
        <v>177</v>
      </c>
      <c r="B125" s="18">
        <v>6.6100000000000004E-3</v>
      </c>
    </row>
    <row r="126" spans="1:2" x14ac:dyDescent="0.25">
      <c r="A126" s="18">
        <v>178</v>
      </c>
      <c r="B126" s="18">
        <v>6.6100000000000004E-3</v>
      </c>
    </row>
    <row r="127" spans="1:2" x14ac:dyDescent="0.25">
      <c r="A127" s="18">
        <v>179</v>
      </c>
      <c r="B127" s="18">
        <v>6.7099999999999998E-3</v>
      </c>
    </row>
    <row r="128" spans="1:2" x14ac:dyDescent="0.25">
      <c r="A128" s="18">
        <v>180</v>
      </c>
      <c r="B128" s="18">
        <v>6.94E-3</v>
      </c>
    </row>
    <row r="129" spans="1:2" x14ac:dyDescent="0.25">
      <c r="A129" s="18">
        <v>181</v>
      </c>
      <c r="B129" s="18">
        <v>6.96E-3</v>
      </c>
    </row>
    <row r="130" spans="1:2" x14ac:dyDescent="0.25">
      <c r="A130" s="18">
        <v>182</v>
      </c>
      <c r="B130" s="18">
        <v>7.0099999999999997E-3</v>
      </c>
    </row>
    <row r="131" spans="1:2" x14ac:dyDescent="0.25">
      <c r="A131" s="18">
        <v>183</v>
      </c>
      <c r="B131" s="18">
        <v>7.2100000000000003E-3</v>
      </c>
    </row>
    <row r="132" spans="1:2" x14ac:dyDescent="0.25">
      <c r="A132" s="18">
        <v>184</v>
      </c>
      <c r="B132" s="18">
        <v>7.28E-3</v>
      </c>
    </row>
    <row r="133" spans="1:2" x14ac:dyDescent="0.25">
      <c r="A133" s="18">
        <v>185</v>
      </c>
      <c r="B133" s="18">
        <v>7.3400000000000002E-3</v>
      </c>
    </row>
    <row r="134" spans="1:2" x14ac:dyDescent="0.25">
      <c r="A134" s="18">
        <v>186</v>
      </c>
      <c r="B134" s="18">
        <v>7.4099999999999999E-3</v>
      </c>
    </row>
    <row r="135" spans="1:2" x14ac:dyDescent="0.25">
      <c r="A135" s="18">
        <v>187</v>
      </c>
      <c r="B135" s="18">
        <v>7.5599999999999999E-3</v>
      </c>
    </row>
    <row r="136" spans="1:2" x14ac:dyDescent="0.25">
      <c r="A136" s="18">
        <v>188</v>
      </c>
      <c r="B136" s="18">
        <v>7.62E-3</v>
      </c>
    </row>
    <row r="137" spans="1:2" x14ac:dyDescent="0.25">
      <c r="A137" s="18">
        <v>189</v>
      </c>
      <c r="B137" s="18">
        <v>7.6899999999999998E-3</v>
      </c>
    </row>
    <row r="138" spans="1:2" x14ac:dyDescent="0.25">
      <c r="A138" s="18">
        <v>190</v>
      </c>
      <c r="B138" s="18">
        <v>7.8300000000000002E-3</v>
      </c>
    </row>
    <row r="139" spans="1:2" x14ac:dyDescent="0.25">
      <c r="A139" s="18">
        <v>191</v>
      </c>
      <c r="B139" s="18">
        <v>7.9399999999999991E-3</v>
      </c>
    </row>
    <row r="140" spans="1:2" x14ac:dyDescent="0.25">
      <c r="A140" s="18">
        <v>192</v>
      </c>
      <c r="B140" s="18">
        <v>8.0099999999999998E-3</v>
      </c>
    </row>
    <row r="141" spans="1:2" x14ac:dyDescent="0.25">
      <c r="A141" s="18">
        <v>193</v>
      </c>
      <c r="B141" s="18">
        <v>8.1600000000000006E-3</v>
      </c>
    </row>
    <row r="142" spans="1:2" x14ac:dyDescent="0.25">
      <c r="A142" s="18">
        <v>194</v>
      </c>
      <c r="B142" s="18">
        <v>8.1799999999999998E-3</v>
      </c>
    </row>
    <row r="143" spans="1:2" x14ac:dyDescent="0.25">
      <c r="A143" s="18">
        <v>195</v>
      </c>
      <c r="B143" s="18">
        <v>8.26E-3</v>
      </c>
    </row>
    <row r="144" spans="1:2" x14ac:dyDescent="0.25">
      <c r="A144" s="18">
        <v>196</v>
      </c>
      <c r="B144" s="18">
        <v>8.3400000000000002E-3</v>
      </c>
    </row>
    <row r="145" spans="1:2" x14ac:dyDescent="0.25">
      <c r="A145" s="18">
        <v>197</v>
      </c>
      <c r="B145" s="18">
        <v>8.3499999999999998E-3</v>
      </c>
    </row>
    <row r="146" spans="1:2" x14ac:dyDescent="0.25">
      <c r="A146" s="18">
        <v>198</v>
      </c>
      <c r="B146" s="18">
        <v>8.3499999999999998E-3</v>
      </c>
    </row>
    <row r="147" spans="1:2" x14ac:dyDescent="0.25">
      <c r="A147" s="18">
        <v>199</v>
      </c>
      <c r="B147" s="18">
        <v>8.43E-3</v>
      </c>
    </row>
    <row r="148" spans="1:2" x14ac:dyDescent="0.25">
      <c r="A148" s="18">
        <v>200</v>
      </c>
      <c r="B148" s="18">
        <v>8.4799999999999997E-3</v>
      </c>
    </row>
    <row r="149" spans="1:2" x14ac:dyDescent="0.25">
      <c r="A149" s="18">
        <v>201</v>
      </c>
      <c r="B149" s="18">
        <v>8.7200000000000003E-3</v>
      </c>
    </row>
    <row r="150" spans="1:2" x14ac:dyDescent="0.25">
      <c r="A150" s="18">
        <v>202</v>
      </c>
      <c r="B150" s="18">
        <v>8.6099999999999996E-3</v>
      </c>
    </row>
    <row r="151" spans="1:2" x14ac:dyDescent="0.25">
      <c r="A151" s="18">
        <v>203</v>
      </c>
      <c r="B151" s="18">
        <v>8.6899999999999998E-3</v>
      </c>
    </row>
    <row r="152" spans="1:2" x14ac:dyDescent="0.25">
      <c r="A152" s="18">
        <v>204</v>
      </c>
      <c r="B152" s="18">
        <v>8.8000000000000005E-3</v>
      </c>
    </row>
    <row r="153" spans="1:2" x14ac:dyDescent="0.25">
      <c r="A153" s="18">
        <v>205</v>
      </c>
      <c r="B153" s="18">
        <v>8.7799999999999996E-3</v>
      </c>
    </row>
    <row r="154" spans="1:2" x14ac:dyDescent="0.25">
      <c r="A154" s="18">
        <v>206</v>
      </c>
      <c r="B154" s="18">
        <v>8.7600000000000004E-3</v>
      </c>
    </row>
    <row r="155" spans="1:2" x14ac:dyDescent="0.25">
      <c r="A155" s="18">
        <v>207</v>
      </c>
      <c r="B155" s="18">
        <v>8.8100000000000001E-3</v>
      </c>
    </row>
    <row r="156" spans="1:2" x14ac:dyDescent="0.25">
      <c r="A156" s="18">
        <v>208</v>
      </c>
      <c r="B156" s="18">
        <v>8.77E-3</v>
      </c>
    </row>
    <row r="157" spans="1:2" x14ac:dyDescent="0.25">
      <c r="A157" s="18">
        <v>209</v>
      </c>
      <c r="B157" s="18">
        <v>8.8299999999999993E-3</v>
      </c>
    </row>
    <row r="158" spans="1:2" x14ac:dyDescent="0.25">
      <c r="A158" s="18">
        <v>210</v>
      </c>
      <c r="B158" s="18">
        <v>8.8900000000000003E-3</v>
      </c>
    </row>
    <row r="159" spans="1:2" x14ac:dyDescent="0.25">
      <c r="A159" s="18">
        <v>211</v>
      </c>
      <c r="B159" s="18">
        <v>8.9200000000000008E-3</v>
      </c>
    </row>
    <row r="160" spans="1:2" x14ac:dyDescent="0.25">
      <c r="A160" s="18">
        <v>212</v>
      </c>
      <c r="B160" s="18">
        <v>8.9999999999999993E-3</v>
      </c>
    </row>
    <row r="161" spans="1:2" x14ac:dyDescent="0.25">
      <c r="A161" s="18">
        <v>213</v>
      </c>
      <c r="B161" s="18">
        <v>9.0100000000000006E-3</v>
      </c>
    </row>
    <row r="162" spans="1:2" x14ac:dyDescent="0.25">
      <c r="A162" s="18">
        <v>214</v>
      </c>
      <c r="B162" s="18">
        <v>9.0399999999999994E-3</v>
      </c>
    </row>
    <row r="163" spans="1:2" x14ac:dyDescent="0.25">
      <c r="A163" s="18">
        <v>215</v>
      </c>
      <c r="B163" s="18">
        <v>9.0600000000000003E-3</v>
      </c>
    </row>
    <row r="164" spans="1:2" x14ac:dyDescent="0.25">
      <c r="A164" s="18">
        <v>216</v>
      </c>
      <c r="B164" s="18">
        <v>9.0399999999999994E-3</v>
      </c>
    </row>
    <row r="165" spans="1:2" x14ac:dyDescent="0.25">
      <c r="A165" s="18">
        <v>217</v>
      </c>
      <c r="B165" s="18">
        <v>9.0699999999999999E-3</v>
      </c>
    </row>
    <row r="166" spans="1:2" x14ac:dyDescent="0.25">
      <c r="A166" s="18">
        <v>218</v>
      </c>
      <c r="B166" s="18">
        <v>9.0699999999999999E-3</v>
      </c>
    </row>
    <row r="167" spans="1:2" x14ac:dyDescent="0.25">
      <c r="A167" s="18">
        <v>219</v>
      </c>
      <c r="B167" s="18">
        <v>8.9499999999999996E-3</v>
      </c>
    </row>
    <row r="168" spans="1:2" x14ac:dyDescent="0.25">
      <c r="A168" s="18">
        <v>220</v>
      </c>
      <c r="B168" s="18">
        <v>9.0299999999999998E-3</v>
      </c>
    </row>
    <row r="169" spans="1:2" x14ac:dyDescent="0.25">
      <c r="A169" s="18">
        <v>221</v>
      </c>
      <c r="B169" s="18">
        <v>9.11E-3</v>
      </c>
    </row>
    <row r="170" spans="1:2" x14ac:dyDescent="0.25">
      <c r="A170" s="18">
        <v>222</v>
      </c>
      <c r="B170" s="18">
        <v>8.9899999999999997E-3</v>
      </c>
    </row>
    <row r="171" spans="1:2" x14ac:dyDescent="0.25">
      <c r="A171" s="18">
        <v>223</v>
      </c>
      <c r="B171" s="18">
        <v>9.0900000000000009E-3</v>
      </c>
    </row>
    <row r="172" spans="1:2" x14ac:dyDescent="0.25">
      <c r="A172" s="18">
        <v>224</v>
      </c>
      <c r="B172" s="18">
        <v>9.0500000000000008E-3</v>
      </c>
    </row>
    <row r="173" spans="1:2" x14ac:dyDescent="0.25">
      <c r="A173" s="18">
        <v>225</v>
      </c>
      <c r="B173" s="18">
        <v>8.8999999999999999E-3</v>
      </c>
    </row>
    <row r="174" spans="1:2" x14ac:dyDescent="0.25">
      <c r="A174" s="18">
        <v>226</v>
      </c>
      <c r="B174" s="18">
        <v>8.9499999999999996E-3</v>
      </c>
    </row>
    <row r="175" spans="1:2" x14ac:dyDescent="0.25">
      <c r="A175" s="18">
        <v>227</v>
      </c>
      <c r="B175" s="18">
        <v>9.1199999999999996E-3</v>
      </c>
    </row>
    <row r="176" spans="1:2" x14ac:dyDescent="0.25">
      <c r="A176" s="18">
        <v>228</v>
      </c>
      <c r="B176" s="18">
        <v>8.8199999999999997E-3</v>
      </c>
    </row>
    <row r="177" spans="1:2" x14ac:dyDescent="0.25">
      <c r="A177" s="18">
        <v>229</v>
      </c>
      <c r="B177" s="18">
        <v>8.9099999999999995E-3</v>
      </c>
    </row>
    <row r="178" spans="1:2" x14ac:dyDescent="0.25">
      <c r="A178" s="18">
        <v>230</v>
      </c>
      <c r="B178" s="18">
        <v>8.7399999999999995E-3</v>
      </c>
    </row>
    <row r="179" spans="1:2" x14ac:dyDescent="0.25">
      <c r="A179" s="18">
        <v>231</v>
      </c>
      <c r="B179" s="18">
        <v>8.8100000000000001E-3</v>
      </c>
    </row>
    <row r="180" spans="1:2" x14ac:dyDescent="0.25">
      <c r="A180" s="18">
        <v>232</v>
      </c>
      <c r="B180" s="18">
        <v>8.6999999999999994E-3</v>
      </c>
    </row>
    <row r="181" spans="1:2" x14ac:dyDescent="0.25">
      <c r="A181" s="18">
        <v>233</v>
      </c>
      <c r="B181" s="18">
        <v>8.5500000000000003E-3</v>
      </c>
    </row>
    <row r="182" spans="1:2" x14ac:dyDescent="0.25">
      <c r="A182" s="18">
        <v>234</v>
      </c>
      <c r="B182" s="18">
        <v>8.6800000000000002E-3</v>
      </c>
    </row>
    <row r="183" spans="1:2" x14ac:dyDescent="0.25">
      <c r="A183" s="18">
        <v>235</v>
      </c>
      <c r="B183" s="18">
        <v>8.5699999999999995E-3</v>
      </c>
    </row>
    <row r="184" spans="1:2" x14ac:dyDescent="0.25">
      <c r="A184" s="18">
        <v>236</v>
      </c>
      <c r="B184" s="18">
        <v>8.5699999999999995E-3</v>
      </c>
    </row>
    <row r="185" spans="1:2" x14ac:dyDescent="0.25">
      <c r="A185" s="18">
        <v>237</v>
      </c>
      <c r="B185" s="18">
        <v>8.3000000000000001E-3</v>
      </c>
    </row>
    <row r="186" spans="1:2" x14ac:dyDescent="0.25">
      <c r="A186" s="18">
        <v>238</v>
      </c>
      <c r="B186" s="18">
        <v>8.2900000000000005E-3</v>
      </c>
    </row>
    <row r="187" spans="1:2" x14ac:dyDescent="0.25">
      <c r="A187" s="18">
        <v>239</v>
      </c>
      <c r="B187" s="18">
        <v>8.3700000000000007E-3</v>
      </c>
    </row>
    <row r="188" spans="1:2" x14ac:dyDescent="0.25">
      <c r="A188" s="18">
        <v>240</v>
      </c>
      <c r="B188" s="18">
        <v>8.3700000000000007E-3</v>
      </c>
    </row>
    <row r="189" spans="1:2" x14ac:dyDescent="0.25">
      <c r="A189" s="18">
        <v>241</v>
      </c>
      <c r="B189" s="18">
        <v>8.1899999999999994E-3</v>
      </c>
    </row>
    <row r="190" spans="1:2" x14ac:dyDescent="0.25">
      <c r="A190" s="18">
        <v>242</v>
      </c>
      <c r="B190" s="18">
        <v>8.2000000000000007E-3</v>
      </c>
    </row>
    <row r="191" spans="1:2" x14ac:dyDescent="0.25">
      <c r="A191" s="18">
        <v>243</v>
      </c>
      <c r="B191" s="18">
        <v>8.0199999999999994E-3</v>
      </c>
    </row>
    <row r="192" spans="1:2" x14ac:dyDescent="0.25">
      <c r="A192" s="18">
        <v>244</v>
      </c>
      <c r="B192" s="18">
        <v>7.9299999999999995E-3</v>
      </c>
    </row>
    <row r="193" spans="1:2" x14ac:dyDescent="0.25">
      <c r="A193" s="18">
        <v>245</v>
      </c>
      <c r="B193" s="18">
        <v>7.9299999999999995E-3</v>
      </c>
    </row>
    <row r="194" spans="1:2" x14ac:dyDescent="0.25">
      <c r="A194" s="18">
        <v>246</v>
      </c>
      <c r="B194" s="18">
        <v>7.7200000000000003E-3</v>
      </c>
    </row>
    <row r="195" spans="1:2" x14ac:dyDescent="0.25">
      <c r="A195" s="18">
        <v>247</v>
      </c>
      <c r="B195" s="18">
        <v>7.5300000000000002E-3</v>
      </c>
    </row>
    <row r="196" spans="1:2" x14ac:dyDescent="0.25">
      <c r="A196" s="18">
        <v>248</v>
      </c>
      <c r="B196" s="18">
        <v>7.5500000000000003E-3</v>
      </c>
    </row>
    <row r="197" spans="1:2" x14ac:dyDescent="0.25">
      <c r="A197" s="18">
        <v>249</v>
      </c>
      <c r="B197" s="18">
        <v>7.6E-3</v>
      </c>
    </row>
    <row r="198" spans="1:2" x14ac:dyDescent="0.25">
      <c r="A198" s="18">
        <v>250</v>
      </c>
      <c r="B198" s="18">
        <v>7.4799999999999997E-3</v>
      </c>
    </row>
    <row r="199" spans="1:2" x14ac:dyDescent="0.25">
      <c r="A199" s="18">
        <v>251</v>
      </c>
      <c r="B199" s="18">
        <v>7.3200000000000001E-3</v>
      </c>
    </row>
    <row r="200" spans="1:2" x14ac:dyDescent="0.25">
      <c r="A200" s="18">
        <v>252</v>
      </c>
      <c r="B200" s="18">
        <v>7.1300000000000001E-3</v>
      </c>
    </row>
    <row r="201" spans="1:2" x14ac:dyDescent="0.25">
      <c r="A201" s="18">
        <v>253</v>
      </c>
      <c r="B201" s="18">
        <v>7.2899999999999996E-3</v>
      </c>
    </row>
    <row r="202" spans="1:2" x14ac:dyDescent="0.25">
      <c r="A202" s="18">
        <v>254</v>
      </c>
      <c r="B202" s="18">
        <v>7.1399999999999996E-3</v>
      </c>
    </row>
    <row r="203" spans="1:2" x14ac:dyDescent="0.25">
      <c r="A203" s="18">
        <v>255</v>
      </c>
      <c r="B203" s="18">
        <v>6.9499999999999996E-3</v>
      </c>
    </row>
    <row r="204" spans="1:2" x14ac:dyDescent="0.25">
      <c r="A204" s="18">
        <v>256</v>
      </c>
      <c r="B204" s="18">
        <v>6.7799999999999996E-3</v>
      </c>
    </row>
    <row r="205" spans="1:2" x14ac:dyDescent="0.25">
      <c r="A205" s="18">
        <v>257</v>
      </c>
      <c r="B205" s="18">
        <v>6.7600000000000004E-3</v>
      </c>
    </row>
    <row r="206" spans="1:2" x14ac:dyDescent="0.25">
      <c r="A206" s="18">
        <v>258</v>
      </c>
      <c r="B206" s="18">
        <v>6.5900000000000004E-3</v>
      </c>
    </row>
    <row r="207" spans="1:2" x14ac:dyDescent="0.25">
      <c r="A207" s="18">
        <v>259</v>
      </c>
      <c r="B207" s="18">
        <v>6.5100000000000002E-3</v>
      </c>
    </row>
    <row r="208" spans="1:2" x14ac:dyDescent="0.25">
      <c r="A208" s="18">
        <v>260</v>
      </c>
      <c r="B208" s="18">
        <v>6.45E-3</v>
      </c>
    </row>
    <row r="209" spans="1:2" x14ac:dyDescent="0.25">
      <c r="A209" s="18">
        <v>261</v>
      </c>
      <c r="B209" s="18">
        <v>6.3800000000000003E-3</v>
      </c>
    </row>
    <row r="210" spans="1:2" x14ac:dyDescent="0.25">
      <c r="A210" s="18">
        <v>262</v>
      </c>
      <c r="B210" s="18">
        <v>6.1199999999999996E-3</v>
      </c>
    </row>
    <row r="211" spans="1:2" x14ac:dyDescent="0.25">
      <c r="A211" s="18">
        <v>263</v>
      </c>
      <c r="B211" s="18">
        <v>6.2399999999999999E-3</v>
      </c>
    </row>
    <row r="212" spans="1:2" x14ac:dyDescent="0.25">
      <c r="A212" s="18">
        <v>264</v>
      </c>
      <c r="B212" s="18">
        <v>5.9500000000000004E-3</v>
      </c>
    </row>
    <row r="213" spans="1:2" x14ac:dyDescent="0.25">
      <c r="A213" s="18">
        <v>265</v>
      </c>
      <c r="B213" s="18">
        <v>5.77E-3</v>
      </c>
    </row>
    <row r="214" spans="1:2" x14ac:dyDescent="0.25">
      <c r="A214" s="18">
        <v>266</v>
      </c>
      <c r="B214" s="18">
        <v>5.6299999999999996E-3</v>
      </c>
    </row>
    <row r="215" spans="1:2" x14ac:dyDescent="0.25">
      <c r="A215" s="18">
        <v>267</v>
      </c>
      <c r="B215" s="18">
        <v>5.6299999999999996E-3</v>
      </c>
    </row>
    <row r="216" spans="1:2" x14ac:dyDescent="0.25">
      <c r="A216" s="18">
        <v>268</v>
      </c>
      <c r="B216" s="18">
        <v>5.3200000000000001E-3</v>
      </c>
    </row>
    <row r="217" spans="1:2" x14ac:dyDescent="0.25">
      <c r="A217" s="18">
        <v>269</v>
      </c>
      <c r="B217" s="18">
        <v>5.4099999999999999E-3</v>
      </c>
    </row>
    <row r="218" spans="1:2" x14ac:dyDescent="0.25">
      <c r="A218" s="18">
        <v>270</v>
      </c>
      <c r="B218" s="18">
        <v>5.0800000000000003E-3</v>
      </c>
    </row>
    <row r="219" spans="1:2" x14ac:dyDescent="0.25">
      <c r="A219" s="18">
        <v>271</v>
      </c>
      <c r="B219" s="18">
        <v>4.9300000000000004E-3</v>
      </c>
    </row>
    <row r="220" spans="1:2" x14ac:dyDescent="0.25">
      <c r="A220" s="18">
        <v>272</v>
      </c>
      <c r="B220" s="18">
        <v>4.8599999999999997E-3</v>
      </c>
    </row>
    <row r="221" spans="1:2" x14ac:dyDescent="0.25">
      <c r="A221" s="18">
        <v>273</v>
      </c>
      <c r="B221" s="18">
        <v>4.6800000000000001E-3</v>
      </c>
    </row>
    <row r="222" spans="1:2" x14ac:dyDescent="0.25">
      <c r="A222" s="18">
        <v>274</v>
      </c>
      <c r="B222" s="18">
        <v>4.6299999999999996E-3</v>
      </c>
    </row>
    <row r="223" spans="1:2" x14ac:dyDescent="0.25">
      <c r="A223" s="18">
        <v>275</v>
      </c>
      <c r="B223" s="18">
        <v>4.5199999999999997E-3</v>
      </c>
    </row>
    <row r="224" spans="1:2" x14ac:dyDescent="0.25">
      <c r="A224" s="18">
        <v>276</v>
      </c>
      <c r="B224" s="18">
        <v>4.2399999999999998E-3</v>
      </c>
    </row>
    <row r="225" spans="1:2" x14ac:dyDescent="0.25">
      <c r="A225" s="18">
        <v>277</v>
      </c>
      <c r="B225" s="18">
        <v>4.0499999999999998E-3</v>
      </c>
    </row>
    <row r="226" spans="1:2" x14ac:dyDescent="0.25">
      <c r="A226" s="18">
        <v>278</v>
      </c>
      <c r="B226" s="18">
        <v>3.9899999999999996E-3</v>
      </c>
    </row>
    <row r="227" spans="1:2" x14ac:dyDescent="0.25">
      <c r="A227" s="18">
        <v>279</v>
      </c>
      <c r="B227" s="18">
        <v>3.7200000000000002E-3</v>
      </c>
    </row>
    <row r="228" spans="1:2" x14ac:dyDescent="0.25">
      <c r="A228" s="18">
        <v>280</v>
      </c>
      <c r="B228" s="18">
        <v>3.5799999999999998E-3</v>
      </c>
    </row>
    <row r="229" spans="1:2" x14ac:dyDescent="0.25">
      <c r="A229" s="18">
        <v>281</v>
      </c>
      <c r="B229" s="18">
        <v>3.3899999999999998E-3</v>
      </c>
    </row>
    <row r="230" spans="1:2" x14ac:dyDescent="0.25">
      <c r="A230" s="18">
        <v>282</v>
      </c>
      <c r="B230" s="18">
        <v>3.2100000000000002E-3</v>
      </c>
    </row>
    <row r="231" spans="1:2" x14ac:dyDescent="0.25">
      <c r="A231" s="18">
        <v>283</v>
      </c>
      <c r="B231" s="18">
        <v>3.0500000000000002E-3</v>
      </c>
    </row>
    <row r="232" spans="1:2" x14ac:dyDescent="0.25">
      <c r="A232" s="18">
        <v>284</v>
      </c>
      <c r="B232" s="18">
        <v>2.8900000000000002E-3</v>
      </c>
    </row>
    <row r="233" spans="1:2" x14ac:dyDescent="0.25">
      <c r="A233" s="18">
        <v>285</v>
      </c>
      <c r="B233" s="18">
        <v>2.7299999999999998E-3</v>
      </c>
    </row>
    <row r="234" spans="1:2" x14ac:dyDescent="0.25">
      <c r="A234" s="18">
        <v>286</v>
      </c>
      <c r="B234" s="18">
        <v>2.64E-3</v>
      </c>
    </row>
    <row r="235" spans="1:2" x14ac:dyDescent="0.25">
      <c r="A235" s="18">
        <v>287</v>
      </c>
      <c r="B235" s="18">
        <v>2.4099999999999998E-3</v>
      </c>
    </row>
    <row r="236" spans="1:2" x14ac:dyDescent="0.25">
      <c r="A236" s="18">
        <v>288</v>
      </c>
      <c r="B236" s="18">
        <v>2.14E-3</v>
      </c>
    </row>
    <row r="237" spans="1:2" x14ac:dyDescent="0.25">
      <c r="A237" s="18">
        <v>289</v>
      </c>
      <c r="B237" s="18">
        <v>1.99E-3</v>
      </c>
    </row>
    <row r="238" spans="1:2" x14ac:dyDescent="0.25">
      <c r="A238" s="18">
        <v>290</v>
      </c>
      <c r="B238" s="18">
        <v>1.7799999999999999E-3</v>
      </c>
    </row>
    <row r="239" spans="1:2" x14ac:dyDescent="0.25">
      <c r="A239" s="18">
        <v>291</v>
      </c>
      <c r="B239" s="18">
        <v>1.66E-3</v>
      </c>
    </row>
    <row r="240" spans="1:2" x14ac:dyDescent="0.25">
      <c r="A240" s="18">
        <v>292</v>
      </c>
      <c r="B240" s="18">
        <v>1.3799999999999999E-3</v>
      </c>
    </row>
    <row r="241" spans="1:2" x14ac:dyDescent="0.25">
      <c r="A241" s="18">
        <v>293</v>
      </c>
      <c r="B241" s="18">
        <v>1.2199999999999999E-3</v>
      </c>
    </row>
    <row r="242" spans="1:2" x14ac:dyDescent="0.25">
      <c r="A242" s="18">
        <v>294</v>
      </c>
      <c r="B242" s="18">
        <v>9.990000000000001E-4</v>
      </c>
    </row>
    <row r="243" spans="1:2" x14ac:dyDescent="0.25">
      <c r="A243" s="18">
        <v>295</v>
      </c>
      <c r="B243" s="18">
        <v>8.7000000000000001E-4</v>
      </c>
    </row>
    <row r="244" spans="1:2" x14ac:dyDescent="0.25">
      <c r="A244" s="18">
        <v>296</v>
      </c>
      <c r="B244" s="18">
        <v>6.9999999999999999E-4</v>
      </c>
    </row>
    <row r="245" spans="1:2" x14ac:dyDescent="0.25">
      <c r="A245" s="18">
        <v>297</v>
      </c>
      <c r="B245" s="18">
        <v>5.04E-4</v>
      </c>
    </row>
    <row r="246" spans="1:2" x14ac:dyDescent="0.25">
      <c r="A246" s="18">
        <v>298</v>
      </c>
      <c r="B246" s="18">
        <v>3.4699999999999998E-4</v>
      </c>
    </row>
    <row r="247" spans="1:2" x14ac:dyDescent="0.25">
      <c r="A247" s="18">
        <v>299</v>
      </c>
      <c r="B247" s="18">
        <v>1.9699999999999999E-4</v>
      </c>
    </row>
    <row r="248" spans="1:2" x14ac:dyDescent="0.25">
      <c r="A248" s="18">
        <v>300</v>
      </c>
      <c r="B248" s="18">
        <v>5.2299999999999997E-5</v>
      </c>
    </row>
    <row r="249" spans="1:2" x14ac:dyDescent="0.25">
      <c r="A249" s="18">
        <v>301</v>
      </c>
      <c r="B249" s="18">
        <v>1.27E-5</v>
      </c>
    </row>
    <row r="250" spans="1:2" x14ac:dyDescent="0.25">
      <c r="A250" s="18">
        <v>302</v>
      </c>
      <c r="B250" s="18">
        <v>8.4800000000000001E-6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1:B117"/>
  <sheetViews>
    <sheetView workbookViewId="0">
      <selection sqref="A1:B1"/>
    </sheetView>
  </sheetViews>
  <sheetFormatPr defaultRowHeight="15" x14ac:dyDescent="0.25"/>
  <cols>
    <col min="1" max="1" width="13.7109375" customWidth="1"/>
  </cols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9</v>
      </c>
      <c r="B2" s="18">
        <v>9.1E-4</v>
      </c>
    </row>
    <row r="3" spans="1:2" x14ac:dyDescent="0.25">
      <c r="A3" s="18">
        <v>9.1999999999999993</v>
      </c>
      <c r="B3" s="18">
        <v>5.53E-4</v>
      </c>
    </row>
    <row r="4" spans="1:2" x14ac:dyDescent="0.25">
      <c r="A4" s="18">
        <v>9.4</v>
      </c>
      <c r="B4" s="18">
        <v>5.6599999999999999E-4</v>
      </c>
    </row>
    <row r="5" spans="1:2" x14ac:dyDescent="0.25">
      <c r="A5" s="18">
        <v>9.6</v>
      </c>
      <c r="B5" s="18">
        <v>2.9300000000000002E-4</v>
      </c>
    </row>
    <row r="6" spans="1:2" x14ac:dyDescent="0.25">
      <c r="A6" s="18">
        <v>9.8000000000000007</v>
      </c>
      <c r="B6" s="18">
        <v>4.2700000000000001E-5</v>
      </c>
    </row>
    <row r="7" spans="1:2" x14ac:dyDescent="0.25">
      <c r="A7" s="18">
        <v>10</v>
      </c>
      <c r="B7" s="18">
        <v>6.3699999999999998E-4</v>
      </c>
    </row>
    <row r="8" spans="1:2" x14ac:dyDescent="0.25">
      <c r="A8" s="18">
        <v>10.199999999999999</v>
      </c>
      <c r="B8" s="18">
        <v>2.6899999999999998E-4</v>
      </c>
    </row>
    <row r="9" spans="1:2" x14ac:dyDescent="0.25">
      <c r="A9" s="18">
        <v>10.4</v>
      </c>
      <c r="B9" s="18">
        <v>5.3499999999999999E-4</v>
      </c>
    </row>
    <row r="10" spans="1:2" x14ac:dyDescent="0.25">
      <c r="A10" s="18">
        <v>10.6</v>
      </c>
      <c r="B10" s="18">
        <v>3.7100000000000002E-4</v>
      </c>
    </row>
    <row r="11" spans="1:2" x14ac:dyDescent="0.25">
      <c r="A11" s="18">
        <v>10.8</v>
      </c>
      <c r="B11" s="18">
        <v>2.5900000000000001E-4</v>
      </c>
    </row>
    <row r="12" spans="1:2" x14ac:dyDescent="0.25">
      <c r="A12" s="18">
        <v>11</v>
      </c>
      <c r="B12" s="18">
        <v>7.3499999999999998E-4</v>
      </c>
    </row>
    <row r="13" spans="1:2" x14ac:dyDescent="0.25">
      <c r="A13" s="18">
        <v>11.2</v>
      </c>
      <c r="B13" s="18">
        <v>1.35E-4</v>
      </c>
    </row>
    <row r="14" spans="1:2" x14ac:dyDescent="0.25">
      <c r="A14" s="18">
        <v>11.4</v>
      </c>
      <c r="B14" s="18">
        <v>3.9599999999999998E-4</v>
      </c>
    </row>
    <row r="15" spans="1:2" x14ac:dyDescent="0.25">
      <c r="A15" s="18">
        <v>11.6</v>
      </c>
      <c r="B15" s="18">
        <v>5.7100000000000004E-6</v>
      </c>
    </row>
    <row r="16" spans="1:2" x14ac:dyDescent="0.25">
      <c r="A16" s="18">
        <v>11.8</v>
      </c>
      <c r="B16" s="18">
        <v>6.6200000000000005E-4</v>
      </c>
    </row>
    <row r="17" spans="1:2" x14ac:dyDescent="0.25">
      <c r="A17" s="18">
        <v>12</v>
      </c>
      <c r="B17" s="18">
        <v>4.6999999999999999E-4</v>
      </c>
    </row>
    <row r="18" spans="1:2" x14ac:dyDescent="0.25">
      <c r="A18" s="18">
        <v>12.2</v>
      </c>
      <c r="B18" s="18">
        <v>3.1599999999999998E-4</v>
      </c>
    </row>
    <row r="19" spans="1:2" x14ac:dyDescent="0.25">
      <c r="A19" s="18">
        <v>12.4</v>
      </c>
      <c r="B19" s="18">
        <v>7.6800000000000002E-4</v>
      </c>
    </row>
    <row r="20" spans="1:2" x14ac:dyDescent="0.25">
      <c r="A20" s="18">
        <v>12.6</v>
      </c>
      <c r="B20" s="18">
        <v>5.1500000000000005E-4</v>
      </c>
    </row>
    <row r="21" spans="1:2" x14ac:dyDescent="0.25">
      <c r="A21" s="18">
        <v>12.8</v>
      </c>
      <c r="B21" s="18">
        <v>7.2900000000000005E-4</v>
      </c>
    </row>
    <row r="22" spans="1:2" x14ac:dyDescent="0.25">
      <c r="A22" s="18">
        <v>13</v>
      </c>
      <c r="B22" s="18">
        <v>3.9199999999999999E-4</v>
      </c>
    </row>
    <row r="23" spans="1:2" x14ac:dyDescent="0.25">
      <c r="A23" s="18">
        <v>13.2</v>
      </c>
      <c r="B23" s="18">
        <v>1.2199999999999999E-3</v>
      </c>
    </row>
    <row r="24" spans="1:2" x14ac:dyDescent="0.25">
      <c r="A24" s="18">
        <v>13.4</v>
      </c>
      <c r="B24" s="18">
        <v>7.8700000000000005E-4</v>
      </c>
    </row>
    <row r="25" spans="1:2" x14ac:dyDescent="0.25">
      <c r="A25" s="18">
        <v>13.6</v>
      </c>
      <c r="B25" s="18">
        <v>1.41E-3</v>
      </c>
    </row>
    <row r="26" spans="1:2" x14ac:dyDescent="0.25">
      <c r="A26" s="18">
        <v>13.8</v>
      </c>
      <c r="B26" s="18">
        <v>1.67E-3</v>
      </c>
    </row>
    <row r="27" spans="1:2" x14ac:dyDescent="0.25">
      <c r="A27" s="18">
        <v>14</v>
      </c>
      <c r="B27" s="18">
        <v>1.48E-3</v>
      </c>
    </row>
    <row r="28" spans="1:2" x14ac:dyDescent="0.25">
      <c r="A28" s="18">
        <v>14.2</v>
      </c>
      <c r="B28" s="18">
        <v>2.2499999999999998E-3</v>
      </c>
    </row>
    <row r="29" spans="1:2" x14ac:dyDescent="0.25">
      <c r="A29" s="18">
        <v>14.4</v>
      </c>
      <c r="B29" s="18">
        <v>2.4399999999999999E-3</v>
      </c>
    </row>
    <row r="30" spans="1:2" x14ac:dyDescent="0.25">
      <c r="A30" s="18">
        <v>14.6</v>
      </c>
      <c r="B30" s="18">
        <v>2.98E-3</v>
      </c>
    </row>
    <row r="31" spans="1:2" x14ac:dyDescent="0.25">
      <c r="A31" s="18">
        <v>14.8</v>
      </c>
      <c r="B31" s="18">
        <v>3.2499999999999999E-3</v>
      </c>
    </row>
    <row r="32" spans="1:2" x14ac:dyDescent="0.25">
      <c r="A32" s="18">
        <v>15</v>
      </c>
      <c r="B32" s="18">
        <v>3.9699999999999996E-3</v>
      </c>
    </row>
    <row r="33" spans="1:2" x14ac:dyDescent="0.25">
      <c r="A33" s="18">
        <v>15.2</v>
      </c>
      <c r="B33" s="18">
        <v>4.4600000000000004E-3</v>
      </c>
    </row>
    <row r="34" spans="1:2" x14ac:dyDescent="0.25">
      <c r="A34" s="18">
        <v>15.4</v>
      </c>
      <c r="B34" s="18">
        <v>4.8599999999999997E-3</v>
      </c>
    </row>
    <row r="35" spans="1:2" x14ac:dyDescent="0.25">
      <c r="A35" s="18">
        <v>15.6</v>
      </c>
      <c r="B35" s="18">
        <v>5.7499999999999999E-3</v>
      </c>
    </row>
    <row r="36" spans="1:2" x14ac:dyDescent="0.25">
      <c r="A36" s="18">
        <v>15.8</v>
      </c>
      <c r="B36" s="18">
        <v>6.3899999999999998E-3</v>
      </c>
    </row>
    <row r="37" spans="1:2" x14ac:dyDescent="0.25">
      <c r="A37" s="18">
        <v>16</v>
      </c>
      <c r="B37" s="18">
        <v>6.96E-3</v>
      </c>
    </row>
    <row r="38" spans="1:2" x14ac:dyDescent="0.25">
      <c r="A38" s="18">
        <v>16.2</v>
      </c>
      <c r="B38" s="18">
        <v>7.5700000000000003E-3</v>
      </c>
    </row>
    <row r="39" spans="1:2" x14ac:dyDescent="0.25">
      <c r="A39" s="18">
        <v>16.399999999999999</v>
      </c>
      <c r="B39" s="18">
        <v>8.4600000000000005E-3</v>
      </c>
    </row>
    <row r="40" spans="1:2" x14ac:dyDescent="0.25">
      <c r="A40" s="18">
        <v>16.600000000000001</v>
      </c>
      <c r="B40" s="18">
        <v>8.7500000000000008E-3</v>
      </c>
    </row>
    <row r="41" spans="1:2" x14ac:dyDescent="0.25">
      <c r="A41" s="18">
        <v>16.8</v>
      </c>
      <c r="B41" s="18">
        <v>9.5600000000000008E-3</v>
      </c>
    </row>
    <row r="42" spans="1:2" x14ac:dyDescent="0.25">
      <c r="A42" s="18">
        <v>17</v>
      </c>
      <c r="B42" s="18">
        <v>1.03E-2</v>
      </c>
    </row>
    <row r="43" spans="1:2" x14ac:dyDescent="0.25">
      <c r="A43" s="18">
        <v>17.2</v>
      </c>
      <c r="B43" s="18">
        <v>1.11E-2</v>
      </c>
    </row>
    <row r="44" spans="1:2" x14ac:dyDescent="0.25">
      <c r="A44" s="18">
        <v>17.399999999999999</v>
      </c>
      <c r="B44" s="18">
        <v>1.18E-2</v>
      </c>
    </row>
    <row r="45" spans="1:2" x14ac:dyDescent="0.25">
      <c r="A45" s="18">
        <v>17.600000000000001</v>
      </c>
      <c r="B45" s="18">
        <v>1.2699999999999999E-2</v>
      </c>
    </row>
    <row r="46" spans="1:2" x14ac:dyDescent="0.25">
      <c r="A46" s="18">
        <v>17.8</v>
      </c>
      <c r="B46" s="18">
        <v>1.3100000000000001E-2</v>
      </c>
    </row>
    <row r="47" spans="1:2" x14ac:dyDescent="0.25">
      <c r="A47" s="18">
        <v>18</v>
      </c>
      <c r="B47" s="18">
        <v>1.38E-2</v>
      </c>
    </row>
    <row r="48" spans="1:2" x14ac:dyDescent="0.25">
      <c r="A48" s="18">
        <v>18.2</v>
      </c>
      <c r="B48" s="18">
        <v>1.43E-2</v>
      </c>
    </row>
    <row r="49" spans="1:2" x14ac:dyDescent="0.25">
      <c r="A49" s="18">
        <v>18.399999999999999</v>
      </c>
      <c r="B49" s="18">
        <v>1.4800000000000001E-2</v>
      </c>
    </row>
    <row r="50" spans="1:2" x14ac:dyDescent="0.25">
      <c r="A50" s="18">
        <v>18.600000000000001</v>
      </c>
      <c r="B50" s="18">
        <v>1.5699999999999999E-2</v>
      </c>
    </row>
    <row r="51" spans="1:2" x14ac:dyDescent="0.25">
      <c r="A51" s="18">
        <v>18.8</v>
      </c>
      <c r="B51" s="18">
        <v>1.5800000000000002E-2</v>
      </c>
    </row>
    <row r="52" spans="1:2" x14ac:dyDescent="0.25">
      <c r="A52" s="18">
        <v>19</v>
      </c>
      <c r="B52" s="18">
        <v>1.6199999999999999E-2</v>
      </c>
    </row>
    <row r="53" spans="1:2" x14ac:dyDescent="0.25">
      <c r="A53" s="18">
        <v>19.2</v>
      </c>
      <c r="B53" s="18">
        <v>1.7399999999999999E-2</v>
      </c>
    </row>
    <row r="54" spans="1:2" x14ac:dyDescent="0.25">
      <c r="A54" s="18">
        <v>19.399999999999999</v>
      </c>
      <c r="B54" s="18">
        <v>1.7600000000000001E-2</v>
      </c>
    </row>
    <row r="55" spans="1:2" x14ac:dyDescent="0.25">
      <c r="A55" s="18">
        <v>19.600000000000001</v>
      </c>
      <c r="B55" s="18">
        <v>1.7500000000000002E-2</v>
      </c>
    </row>
    <row r="56" spans="1:2" x14ac:dyDescent="0.25">
      <c r="A56" s="18">
        <v>19.8</v>
      </c>
      <c r="B56" s="18">
        <v>1.8100000000000002E-2</v>
      </c>
    </row>
    <row r="57" spans="1:2" x14ac:dyDescent="0.25">
      <c r="A57" s="18">
        <v>20</v>
      </c>
      <c r="B57" s="18">
        <v>1.8100000000000002E-2</v>
      </c>
    </row>
    <row r="58" spans="1:2" x14ac:dyDescent="0.25">
      <c r="A58" s="18">
        <v>20.2</v>
      </c>
      <c r="B58" s="18">
        <v>1.8700000000000001E-2</v>
      </c>
    </row>
    <row r="59" spans="1:2" x14ac:dyDescent="0.25">
      <c r="A59" s="18">
        <v>20.399999999999999</v>
      </c>
      <c r="B59" s="18">
        <v>1.9099999999999999E-2</v>
      </c>
    </row>
    <row r="60" spans="1:2" x14ac:dyDescent="0.25">
      <c r="A60" s="18">
        <v>20.6</v>
      </c>
      <c r="B60" s="18">
        <v>1.9300000000000001E-2</v>
      </c>
    </row>
    <row r="61" spans="1:2" x14ac:dyDescent="0.25">
      <c r="A61" s="18">
        <v>20.8</v>
      </c>
      <c r="B61" s="18">
        <v>1.9199999999999998E-2</v>
      </c>
    </row>
    <row r="62" spans="1:2" x14ac:dyDescent="0.25">
      <c r="A62" s="18">
        <v>21</v>
      </c>
      <c r="B62" s="18">
        <v>1.9300000000000001E-2</v>
      </c>
    </row>
    <row r="63" spans="1:2" x14ac:dyDescent="0.25">
      <c r="A63" s="18">
        <v>21.2</v>
      </c>
      <c r="B63" s="18">
        <v>1.9900000000000001E-2</v>
      </c>
    </row>
    <row r="64" spans="1:2" x14ac:dyDescent="0.25">
      <c r="A64" s="18">
        <v>21.4</v>
      </c>
      <c r="B64" s="18">
        <v>1.9099999999999999E-2</v>
      </c>
    </row>
    <row r="65" spans="1:2" x14ac:dyDescent="0.25">
      <c r="A65" s="18">
        <v>21.6</v>
      </c>
      <c r="B65" s="18">
        <v>1.9599999999999999E-2</v>
      </c>
    </row>
    <row r="66" spans="1:2" x14ac:dyDescent="0.25">
      <c r="A66" s="18">
        <v>21.8</v>
      </c>
      <c r="B66" s="18">
        <v>1.9300000000000001E-2</v>
      </c>
    </row>
    <row r="67" spans="1:2" x14ac:dyDescent="0.25">
      <c r="A67" s="18">
        <v>22</v>
      </c>
      <c r="B67" s="18">
        <v>1.9599999999999999E-2</v>
      </c>
    </row>
    <row r="68" spans="1:2" x14ac:dyDescent="0.25">
      <c r="A68" s="18">
        <v>22.2</v>
      </c>
      <c r="B68" s="18">
        <v>1.9300000000000001E-2</v>
      </c>
    </row>
    <row r="69" spans="1:2" x14ac:dyDescent="0.25">
      <c r="A69" s="18">
        <v>22.4</v>
      </c>
      <c r="B69" s="18">
        <v>1.89E-2</v>
      </c>
    </row>
    <row r="70" spans="1:2" x14ac:dyDescent="0.25">
      <c r="A70" s="18">
        <v>22.6</v>
      </c>
      <c r="B70" s="18">
        <v>1.9199999999999998E-2</v>
      </c>
    </row>
    <row r="71" spans="1:2" x14ac:dyDescent="0.25">
      <c r="A71" s="18">
        <v>22.8</v>
      </c>
      <c r="B71" s="18">
        <v>1.8800000000000001E-2</v>
      </c>
    </row>
    <row r="72" spans="1:2" x14ac:dyDescent="0.25">
      <c r="A72" s="18">
        <v>23</v>
      </c>
      <c r="B72" s="18">
        <v>1.8700000000000001E-2</v>
      </c>
    </row>
    <row r="73" spans="1:2" x14ac:dyDescent="0.25">
      <c r="A73" s="18">
        <v>23.2</v>
      </c>
      <c r="B73" s="18">
        <v>1.83E-2</v>
      </c>
    </row>
    <row r="74" spans="1:2" x14ac:dyDescent="0.25">
      <c r="A74" s="18">
        <v>23.4</v>
      </c>
      <c r="B74" s="18">
        <v>1.8100000000000002E-2</v>
      </c>
    </row>
    <row r="75" spans="1:2" x14ac:dyDescent="0.25">
      <c r="A75" s="18">
        <v>23.6</v>
      </c>
      <c r="B75" s="18">
        <v>1.77E-2</v>
      </c>
    </row>
    <row r="76" spans="1:2" x14ac:dyDescent="0.25">
      <c r="A76" s="18">
        <v>23.8</v>
      </c>
      <c r="B76" s="18">
        <v>1.7899999999999999E-2</v>
      </c>
    </row>
    <row r="77" spans="1:2" x14ac:dyDescent="0.25">
      <c r="A77" s="18">
        <v>24</v>
      </c>
      <c r="B77" s="18">
        <v>1.7100000000000001E-2</v>
      </c>
    </row>
    <row r="78" spans="1:2" x14ac:dyDescent="0.25">
      <c r="A78" s="18">
        <v>24.2</v>
      </c>
      <c r="B78" s="18">
        <v>1.6799999999999999E-2</v>
      </c>
    </row>
    <row r="79" spans="1:2" x14ac:dyDescent="0.25">
      <c r="A79" s="18">
        <v>24.4</v>
      </c>
      <c r="B79" s="18">
        <v>1.6199999999999999E-2</v>
      </c>
    </row>
    <row r="80" spans="1:2" x14ac:dyDescent="0.25">
      <c r="A80" s="18">
        <v>24.6</v>
      </c>
      <c r="B80" s="18">
        <v>1.5900000000000001E-2</v>
      </c>
    </row>
    <row r="81" spans="1:2" x14ac:dyDescent="0.25">
      <c r="A81" s="18">
        <v>24.8</v>
      </c>
      <c r="B81" s="18">
        <v>1.5800000000000002E-2</v>
      </c>
    </row>
    <row r="82" spans="1:2" x14ac:dyDescent="0.25">
      <c r="A82" s="18">
        <v>25</v>
      </c>
      <c r="B82" s="18">
        <v>1.52E-2</v>
      </c>
    </row>
    <row r="83" spans="1:2" x14ac:dyDescent="0.25">
      <c r="A83" s="18">
        <v>25.2</v>
      </c>
      <c r="B83" s="18">
        <v>1.4999999999999999E-2</v>
      </c>
    </row>
    <row r="84" spans="1:2" x14ac:dyDescent="0.25">
      <c r="A84" s="18">
        <v>25.4</v>
      </c>
      <c r="B84" s="18">
        <v>1.44E-2</v>
      </c>
    </row>
    <row r="85" spans="1:2" x14ac:dyDescent="0.25">
      <c r="A85" s="18">
        <v>25.6</v>
      </c>
      <c r="B85" s="18">
        <v>1.3599999999999999E-2</v>
      </c>
    </row>
    <row r="86" spans="1:2" x14ac:dyDescent="0.25">
      <c r="A86" s="18">
        <v>25.8</v>
      </c>
      <c r="B86" s="18">
        <v>1.3299999999999999E-2</v>
      </c>
    </row>
    <row r="87" spans="1:2" x14ac:dyDescent="0.25">
      <c r="A87" s="18">
        <v>26</v>
      </c>
      <c r="B87" s="18">
        <v>1.2800000000000001E-2</v>
      </c>
    </row>
    <row r="88" spans="1:2" x14ac:dyDescent="0.25">
      <c r="A88" s="18">
        <v>26.2</v>
      </c>
      <c r="B88" s="18">
        <v>1.2500000000000001E-2</v>
      </c>
    </row>
    <row r="89" spans="1:2" x14ac:dyDescent="0.25">
      <c r="A89" s="18">
        <v>26.4</v>
      </c>
      <c r="B89" s="18">
        <v>1.18E-2</v>
      </c>
    </row>
    <row r="90" spans="1:2" x14ac:dyDescent="0.25">
      <c r="A90" s="18">
        <v>26.6</v>
      </c>
      <c r="B90" s="18">
        <v>1.15E-2</v>
      </c>
    </row>
    <row r="91" spans="1:2" x14ac:dyDescent="0.25">
      <c r="A91" s="18">
        <v>26.8</v>
      </c>
      <c r="B91" s="18">
        <v>1.09E-2</v>
      </c>
    </row>
    <row r="92" spans="1:2" x14ac:dyDescent="0.25">
      <c r="A92" s="18">
        <v>27</v>
      </c>
      <c r="B92" s="18">
        <v>1.04E-2</v>
      </c>
    </row>
    <row r="93" spans="1:2" x14ac:dyDescent="0.25">
      <c r="A93" s="18">
        <v>27.2</v>
      </c>
      <c r="B93" s="18">
        <v>9.9699999999999997E-3</v>
      </c>
    </row>
    <row r="94" spans="1:2" x14ac:dyDescent="0.25">
      <c r="A94" s="18">
        <v>27.4</v>
      </c>
      <c r="B94" s="18">
        <v>9.2300000000000004E-3</v>
      </c>
    </row>
    <row r="95" spans="1:2" x14ac:dyDescent="0.25">
      <c r="A95" s="18">
        <v>27.6</v>
      </c>
      <c r="B95" s="18">
        <v>8.5299999999999994E-3</v>
      </c>
    </row>
    <row r="96" spans="1:2" x14ac:dyDescent="0.25">
      <c r="A96" s="18">
        <v>27.8</v>
      </c>
      <c r="B96" s="18">
        <v>8.2299999999999995E-3</v>
      </c>
    </row>
    <row r="97" spans="1:2" x14ac:dyDescent="0.25">
      <c r="A97" s="18">
        <v>28</v>
      </c>
      <c r="B97" s="18">
        <v>7.79E-3</v>
      </c>
    </row>
    <row r="98" spans="1:2" x14ac:dyDescent="0.25">
      <c r="A98" s="18">
        <v>28.2</v>
      </c>
      <c r="B98" s="18">
        <v>6.77E-3</v>
      </c>
    </row>
    <row r="99" spans="1:2" x14ac:dyDescent="0.25">
      <c r="A99" s="18">
        <v>28.4</v>
      </c>
      <c r="B99" s="18">
        <v>6.8100000000000001E-3</v>
      </c>
    </row>
    <row r="100" spans="1:2" x14ac:dyDescent="0.25">
      <c r="A100" s="18">
        <v>28.6</v>
      </c>
      <c r="B100" s="18">
        <v>5.5500000000000002E-3</v>
      </c>
    </row>
    <row r="101" spans="1:2" x14ac:dyDescent="0.25">
      <c r="A101" s="18">
        <v>28.8</v>
      </c>
      <c r="B101" s="18">
        <v>5.2199999999999998E-3</v>
      </c>
    </row>
    <row r="102" spans="1:2" x14ac:dyDescent="0.25">
      <c r="A102" s="18">
        <v>29</v>
      </c>
      <c r="B102" s="18">
        <v>4.5900000000000003E-3</v>
      </c>
    </row>
    <row r="103" spans="1:2" x14ac:dyDescent="0.25">
      <c r="A103" s="18">
        <v>29.2</v>
      </c>
      <c r="B103" s="18">
        <v>3.7799999999999999E-3</v>
      </c>
    </row>
    <row r="104" spans="1:2" x14ac:dyDescent="0.25">
      <c r="A104" s="18">
        <v>29.4</v>
      </c>
      <c r="B104" s="18">
        <v>3.2799999999999999E-3</v>
      </c>
    </row>
    <row r="105" spans="1:2" x14ac:dyDescent="0.25">
      <c r="A105" s="18">
        <v>29.6</v>
      </c>
      <c r="B105" s="18">
        <v>2.49E-3</v>
      </c>
    </row>
    <row r="106" spans="1:2" x14ac:dyDescent="0.25">
      <c r="A106" s="18">
        <v>29.8</v>
      </c>
      <c r="B106" s="18">
        <v>1.7899999999999999E-3</v>
      </c>
    </row>
    <row r="107" spans="1:2" x14ac:dyDescent="0.25">
      <c r="A107" s="18">
        <v>30</v>
      </c>
      <c r="B107" s="18">
        <v>6.1300000000000005E-4</v>
      </c>
    </row>
    <row r="108" spans="1:2" x14ac:dyDescent="0.25">
      <c r="A108" s="18">
        <v>30.2</v>
      </c>
      <c r="B108" s="18">
        <v>8.8999999999999995E-5</v>
      </c>
    </row>
    <row r="109" spans="1:2" x14ac:dyDescent="0.25">
      <c r="A109" s="18">
        <v>30.4</v>
      </c>
      <c r="B109" s="18">
        <v>1.66E-5</v>
      </c>
    </row>
    <row r="110" spans="1:2" x14ac:dyDescent="0.25">
      <c r="A110" s="18">
        <v>30.6</v>
      </c>
      <c r="B110" s="18">
        <v>7.0299999999999996E-6</v>
      </c>
    </row>
    <row r="111" spans="1:2" x14ac:dyDescent="0.25">
      <c r="A111" s="18">
        <v>30.8</v>
      </c>
      <c r="B111" s="18">
        <v>3.5499999999999999E-6</v>
      </c>
    </row>
    <row r="112" spans="1:2" x14ac:dyDescent="0.25">
      <c r="A112" s="18">
        <v>31</v>
      </c>
      <c r="B112" s="18">
        <v>2.3199999999999998E-6</v>
      </c>
    </row>
    <row r="113" spans="1:2" x14ac:dyDescent="0.25">
      <c r="A113" s="18">
        <v>31.2</v>
      </c>
      <c r="B113" s="18">
        <v>5.7700000000000004E-7</v>
      </c>
    </row>
    <row r="114" spans="1:2" x14ac:dyDescent="0.25">
      <c r="A114" s="18">
        <v>31.4</v>
      </c>
      <c r="B114" s="18">
        <v>2.4499999999999998E-6</v>
      </c>
    </row>
    <row r="115" spans="1:2" x14ac:dyDescent="0.25">
      <c r="A115" s="18">
        <v>31.6</v>
      </c>
      <c r="B115" s="18">
        <v>1.53E-6</v>
      </c>
    </row>
    <row r="116" spans="1:2" x14ac:dyDescent="0.25">
      <c r="A116" s="18">
        <v>31.8</v>
      </c>
      <c r="B116" s="18">
        <v>6.6499999999999999E-6</v>
      </c>
    </row>
    <row r="117" spans="1:2" x14ac:dyDescent="0.25">
      <c r="A117" s="18">
        <v>32</v>
      </c>
      <c r="B117" s="18">
        <v>4.0500000000000002E-6</v>
      </c>
    </row>
  </sheetData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1:B147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13</v>
      </c>
      <c r="B2" s="18">
        <v>4.8000000000000001E-5</v>
      </c>
    </row>
    <row r="3" spans="1:2" x14ac:dyDescent="0.25">
      <c r="A3" s="18">
        <v>13.2</v>
      </c>
      <c r="B3" s="18">
        <v>9.2899999999999995E-5</v>
      </c>
    </row>
    <row r="4" spans="1:2" x14ac:dyDescent="0.25">
      <c r="A4" s="18">
        <v>13.4</v>
      </c>
      <c r="B4" s="18">
        <v>3.0499999999999999E-4</v>
      </c>
    </row>
    <row r="5" spans="1:2" x14ac:dyDescent="0.25">
      <c r="A5" s="18">
        <v>13.6</v>
      </c>
      <c r="B5" s="18">
        <v>1.68E-7</v>
      </c>
    </row>
    <row r="6" spans="1:2" x14ac:dyDescent="0.25">
      <c r="A6" s="18">
        <v>13.8</v>
      </c>
      <c r="B6" s="18">
        <v>2.02E-4</v>
      </c>
    </row>
    <row r="7" spans="1:2" x14ac:dyDescent="0.25">
      <c r="A7" s="18">
        <v>14</v>
      </c>
      <c r="B7" s="18">
        <v>3.5500000000000001E-4</v>
      </c>
    </row>
    <row r="8" spans="1:2" x14ac:dyDescent="0.25">
      <c r="A8" s="18">
        <v>14.2</v>
      </c>
      <c r="B8" s="18">
        <v>1.25E-4</v>
      </c>
    </row>
    <row r="9" spans="1:2" x14ac:dyDescent="0.25">
      <c r="A9" s="18">
        <v>14.4</v>
      </c>
      <c r="B9" s="18">
        <v>1.7000000000000001E-4</v>
      </c>
    </row>
    <row r="10" spans="1:2" x14ac:dyDescent="0.25">
      <c r="A10" s="18">
        <v>14.6</v>
      </c>
      <c r="B10" s="18">
        <v>2.3E-5</v>
      </c>
    </row>
    <row r="11" spans="1:2" x14ac:dyDescent="0.25">
      <c r="A11" s="18">
        <v>14.8</v>
      </c>
      <c r="B11" s="18">
        <v>4.6000000000000001E-4</v>
      </c>
    </row>
    <row r="12" spans="1:2" x14ac:dyDescent="0.25">
      <c r="A12" s="18">
        <v>15</v>
      </c>
      <c r="B12" s="18">
        <v>1.2400000000000001E-4</v>
      </c>
    </row>
    <row r="13" spans="1:2" x14ac:dyDescent="0.25">
      <c r="A13" s="18">
        <v>15.2</v>
      </c>
      <c r="B13" s="18">
        <v>3.6499999999999998E-4</v>
      </c>
    </row>
    <row r="14" spans="1:2" x14ac:dyDescent="0.25">
      <c r="A14" s="18">
        <v>15.4</v>
      </c>
      <c r="B14" s="18">
        <v>2.9599999999999998E-4</v>
      </c>
    </row>
    <row r="15" spans="1:2" x14ac:dyDescent="0.25">
      <c r="A15" s="18">
        <v>15.6</v>
      </c>
      <c r="B15" s="18">
        <v>2.9799999999999998E-4</v>
      </c>
    </row>
    <row r="16" spans="1:2" x14ac:dyDescent="0.25">
      <c r="A16" s="18">
        <v>15.8</v>
      </c>
      <c r="B16" s="18">
        <v>4.95E-4</v>
      </c>
    </row>
    <row r="17" spans="1:2" x14ac:dyDescent="0.25">
      <c r="A17" s="18">
        <v>16</v>
      </c>
      <c r="B17" s="18">
        <v>3.48E-4</v>
      </c>
    </row>
    <row r="18" spans="1:2" x14ac:dyDescent="0.25">
      <c r="A18" s="18">
        <v>16.2</v>
      </c>
      <c r="B18" s="18">
        <v>6.8999999999999997E-4</v>
      </c>
    </row>
    <row r="19" spans="1:2" x14ac:dyDescent="0.25">
      <c r="A19" s="18">
        <v>16.399999999999999</v>
      </c>
      <c r="B19" s="18">
        <v>6.0499999999999996E-4</v>
      </c>
    </row>
    <row r="20" spans="1:2" x14ac:dyDescent="0.25">
      <c r="A20" s="18">
        <v>16.600000000000001</v>
      </c>
      <c r="B20" s="18">
        <v>5.1099999999999995E-4</v>
      </c>
    </row>
    <row r="21" spans="1:2" x14ac:dyDescent="0.25">
      <c r="A21" s="18">
        <v>16.8</v>
      </c>
      <c r="B21" s="18">
        <v>7.7800000000000005E-4</v>
      </c>
    </row>
    <row r="22" spans="1:2" x14ac:dyDescent="0.25">
      <c r="A22" s="18">
        <v>17</v>
      </c>
      <c r="B22" s="18">
        <v>8.9700000000000001E-4</v>
      </c>
    </row>
    <row r="23" spans="1:2" x14ac:dyDescent="0.25">
      <c r="A23" s="18">
        <v>17.2</v>
      </c>
      <c r="B23" s="18">
        <v>9.1699999999999995E-4</v>
      </c>
    </row>
    <row r="24" spans="1:2" x14ac:dyDescent="0.25">
      <c r="A24" s="18">
        <v>17.399999999999999</v>
      </c>
      <c r="B24" s="18">
        <v>1.67E-3</v>
      </c>
    </row>
    <row r="25" spans="1:2" x14ac:dyDescent="0.25">
      <c r="A25" s="18">
        <v>17.600000000000001</v>
      </c>
      <c r="B25" s="18">
        <v>1.14E-3</v>
      </c>
    </row>
    <row r="26" spans="1:2" x14ac:dyDescent="0.25">
      <c r="A26" s="18">
        <v>17.8</v>
      </c>
      <c r="B26" s="18">
        <v>1.75E-3</v>
      </c>
    </row>
    <row r="27" spans="1:2" x14ac:dyDescent="0.25">
      <c r="A27" s="18">
        <v>18</v>
      </c>
      <c r="B27" s="18">
        <v>2.0100000000000001E-3</v>
      </c>
    </row>
    <row r="28" spans="1:2" x14ac:dyDescent="0.25">
      <c r="A28" s="18">
        <v>18.2</v>
      </c>
      <c r="B28" s="18">
        <v>2.0899999999999998E-3</v>
      </c>
    </row>
    <row r="29" spans="1:2" x14ac:dyDescent="0.25">
      <c r="A29" s="18">
        <v>18.399999999999999</v>
      </c>
      <c r="B29" s="18">
        <v>2.4099999999999998E-3</v>
      </c>
    </row>
    <row r="30" spans="1:2" x14ac:dyDescent="0.25">
      <c r="A30" s="18">
        <v>18.600000000000001</v>
      </c>
      <c r="B30" s="18">
        <v>2.8400000000000001E-3</v>
      </c>
    </row>
    <row r="31" spans="1:2" x14ac:dyDescent="0.25">
      <c r="A31" s="18">
        <v>18.8</v>
      </c>
      <c r="B31" s="18">
        <v>3.0400000000000002E-3</v>
      </c>
    </row>
    <row r="32" spans="1:2" x14ac:dyDescent="0.25">
      <c r="A32" s="18">
        <v>19</v>
      </c>
      <c r="B32" s="18">
        <v>3.3999999999999998E-3</v>
      </c>
    </row>
    <row r="33" spans="1:2" x14ac:dyDescent="0.25">
      <c r="A33" s="18">
        <v>19.2</v>
      </c>
      <c r="B33" s="18">
        <v>3.2499999999999999E-3</v>
      </c>
    </row>
    <row r="34" spans="1:2" x14ac:dyDescent="0.25">
      <c r="A34" s="18">
        <v>19.399999999999999</v>
      </c>
      <c r="B34" s="18">
        <v>4.2199999999999998E-3</v>
      </c>
    </row>
    <row r="35" spans="1:2" x14ac:dyDescent="0.25">
      <c r="A35" s="18">
        <v>19.600000000000001</v>
      </c>
      <c r="B35" s="18">
        <v>4.1799999999999997E-3</v>
      </c>
    </row>
    <row r="36" spans="1:2" x14ac:dyDescent="0.25">
      <c r="A36" s="18">
        <v>19.8</v>
      </c>
      <c r="B36" s="18">
        <v>4.8900000000000002E-3</v>
      </c>
    </row>
    <row r="37" spans="1:2" x14ac:dyDescent="0.25">
      <c r="A37" s="18">
        <v>20</v>
      </c>
      <c r="B37" s="18">
        <v>5.2100000000000002E-3</v>
      </c>
    </row>
    <row r="38" spans="1:2" x14ac:dyDescent="0.25">
      <c r="A38" s="18">
        <v>20.2</v>
      </c>
      <c r="B38" s="18">
        <v>5.3200000000000001E-3</v>
      </c>
    </row>
    <row r="39" spans="1:2" x14ac:dyDescent="0.25">
      <c r="A39" s="18">
        <v>20.399999999999999</v>
      </c>
      <c r="B39" s="18">
        <v>6.1799999999999997E-3</v>
      </c>
    </row>
    <row r="40" spans="1:2" x14ac:dyDescent="0.25">
      <c r="A40" s="18">
        <v>20.6</v>
      </c>
      <c r="B40" s="18">
        <v>6.28E-3</v>
      </c>
    </row>
    <row r="41" spans="1:2" x14ac:dyDescent="0.25">
      <c r="A41" s="18">
        <v>20.8</v>
      </c>
      <c r="B41" s="18">
        <v>6.8700000000000002E-3</v>
      </c>
    </row>
    <row r="42" spans="1:2" x14ac:dyDescent="0.25">
      <c r="A42" s="18">
        <v>21</v>
      </c>
      <c r="B42" s="18">
        <v>7.2700000000000004E-3</v>
      </c>
    </row>
    <row r="43" spans="1:2" x14ac:dyDescent="0.25">
      <c r="A43" s="18">
        <v>21.2</v>
      </c>
      <c r="B43" s="18">
        <v>7.26E-3</v>
      </c>
    </row>
    <row r="44" spans="1:2" x14ac:dyDescent="0.25">
      <c r="A44" s="18">
        <v>21.4</v>
      </c>
      <c r="B44" s="18">
        <v>8.2400000000000008E-3</v>
      </c>
    </row>
    <row r="45" spans="1:2" x14ac:dyDescent="0.25">
      <c r="A45" s="18">
        <v>21.6</v>
      </c>
      <c r="B45" s="18">
        <v>8.1799999999999998E-3</v>
      </c>
    </row>
    <row r="46" spans="1:2" x14ac:dyDescent="0.25">
      <c r="A46" s="18">
        <v>21.8</v>
      </c>
      <c r="B46" s="18">
        <v>8.77E-3</v>
      </c>
    </row>
    <row r="47" spans="1:2" x14ac:dyDescent="0.25">
      <c r="A47" s="18">
        <v>22</v>
      </c>
      <c r="B47" s="18">
        <v>9.2599999999999991E-3</v>
      </c>
    </row>
    <row r="48" spans="1:2" x14ac:dyDescent="0.25">
      <c r="A48" s="18">
        <v>22.2</v>
      </c>
      <c r="B48" s="18">
        <v>9.5300000000000003E-3</v>
      </c>
    </row>
    <row r="49" spans="1:2" x14ac:dyDescent="0.25">
      <c r="A49" s="18">
        <v>22.4</v>
      </c>
      <c r="B49" s="18">
        <v>9.7999999999999997E-3</v>
      </c>
    </row>
    <row r="50" spans="1:2" x14ac:dyDescent="0.25">
      <c r="A50" s="18">
        <v>22.6</v>
      </c>
      <c r="B50" s="18">
        <v>1.0200000000000001E-2</v>
      </c>
    </row>
    <row r="51" spans="1:2" x14ac:dyDescent="0.25">
      <c r="A51" s="18">
        <v>22.8</v>
      </c>
      <c r="B51" s="18">
        <v>1.0500000000000001E-2</v>
      </c>
    </row>
    <row r="52" spans="1:2" x14ac:dyDescent="0.25">
      <c r="A52" s="18">
        <v>23</v>
      </c>
      <c r="B52" s="18">
        <v>1.0999999999999999E-2</v>
      </c>
    </row>
    <row r="53" spans="1:2" x14ac:dyDescent="0.25">
      <c r="A53" s="18">
        <v>23.2</v>
      </c>
      <c r="B53" s="18">
        <v>1.0999999999999999E-2</v>
      </c>
    </row>
    <row r="54" spans="1:2" x14ac:dyDescent="0.25">
      <c r="A54" s="18">
        <v>23.4</v>
      </c>
      <c r="B54" s="18">
        <v>1.1599999999999999E-2</v>
      </c>
    </row>
    <row r="55" spans="1:2" x14ac:dyDescent="0.25">
      <c r="A55" s="18">
        <v>23.6</v>
      </c>
      <c r="B55" s="18">
        <v>1.1900000000000001E-2</v>
      </c>
    </row>
    <row r="56" spans="1:2" x14ac:dyDescent="0.25">
      <c r="A56" s="18">
        <v>23.8</v>
      </c>
      <c r="B56" s="18">
        <v>1.21E-2</v>
      </c>
    </row>
    <row r="57" spans="1:2" x14ac:dyDescent="0.25">
      <c r="A57" s="18">
        <v>24</v>
      </c>
      <c r="B57" s="18">
        <v>1.26E-2</v>
      </c>
    </row>
    <row r="58" spans="1:2" x14ac:dyDescent="0.25">
      <c r="A58" s="18">
        <v>24.2</v>
      </c>
      <c r="B58" s="18">
        <v>1.26E-2</v>
      </c>
    </row>
    <row r="59" spans="1:2" x14ac:dyDescent="0.25">
      <c r="A59" s="18">
        <v>24.4</v>
      </c>
      <c r="B59" s="18">
        <v>1.2800000000000001E-2</v>
      </c>
    </row>
    <row r="60" spans="1:2" x14ac:dyDescent="0.25">
      <c r="A60" s="18">
        <v>24.6</v>
      </c>
      <c r="B60" s="18">
        <v>1.2999999999999999E-2</v>
      </c>
    </row>
    <row r="61" spans="1:2" x14ac:dyDescent="0.25">
      <c r="A61" s="18">
        <v>24.8</v>
      </c>
      <c r="B61" s="18">
        <v>1.3100000000000001E-2</v>
      </c>
    </row>
    <row r="62" spans="1:2" x14ac:dyDescent="0.25">
      <c r="A62" s="18">
        <v>25</v>
      </c>
      <c r="B62" s="18">
        <v>1.3299999999999999E-2</v>
      </c>
    </row>
    <row r="63" spans="1:2" x14ac:dyDescent="0.25">
      <c r="A63" s="18">
        <v>25.2</v>
      </c>
      <c r="B63" s="18">
        <v>1.3899999999999999E-2</v>
      </c>
    </row>
    <row r="64" spans="1:2" x14ac:dyDescent="0.25">
      <c r="A64" s="18">
        <v>25.4</v>
      </c>
      <c r="B64" s="18">
        <v>1.3100000000000001E-2</v>
      </c>
    </row>
    <row r="65" spans="1:2" x14ac:dyDescent="0.25">
      <c r="A65" s="18">
        <v>25.6</v>
      </c>
      <c r="B65" s="18">
        <v>1.43E-2</v>
      </c>
    </row>
    <row r="66" spans="1:2" x14ac:dyDescent="0.25">
      <c r="A66" s="18">
        <v>25.8</v>
      </c>
      <c r="B66" s="18">
        <v>1.3599999999999999E-2</v>
      </c>
    </row>
    <row r="67" spans="1:2" x14ac:dyDescent="0.25">
      <c r="A67" s="18">
        <v>26</v>
      </c>
      <c r="B67" s="18">
        <v>1.43E-2</v>
      </c>
    </row>
    <row r="68" spans="1:2" x14ac:dyDescent="0.25">
      <c r="A68" s="18">
        <v>26.2</v>
      </c>
      <c r="B68" s="18">
        <v>1.3899999999999999E-2</v>
      </c>
    </row>
    <row r="69" spans="1:2" x14ac:dyDescent="0.25">
      <c r="A69" s="18">
        <v>26.4</v>
      </c>
      <c r="B69" s="18">
        <v>1.4E-2</v>
      </c>
    </row>
    <row r="70" spans="1:2" x14ac:dyDescent="0.25">
      <c r="A70" s="18">
        <v>26.6</v>
      </c>
      <c r="B70" s="18">
        <v>1.4200000000000001E-2</v>
      </c>
    </row>
    <row r="71" spans="1:2" x14ac:dyDescent="0.25">
      <c r="A71" s="18">
        <v>26.8</v>
      </c>
      <c r="B71" s="18">
        <v>1.4E-2</v>
      </c>
    </row>
    <row r="72" spans="1:2" x14ac:dyDescent="0.25">
      <c r="A72" s="18">
        <v>27</v>
      </c>
      <c r="B72" s="18">
        <v>1.43E-2</v>
      </c>
    </row>
    <row r="73" spans="1:2" x14ac:dyDescent="0.25">
      <c r="A73" s="18">
        <v>27.2</v>
      </c>
      <c r="B73" s="18">
        <v>1.4E-2</v>
      </c>
    </row>
    <row r="74" spans="1:2" x14ac:dyDescent="0.25">
      <c r="A74" s="18">
        <v>27.4</v>
      </c>
      <c r="B74" s="18">
        <v>1.4200000000000001E-2</v>
      </c>
    </row>
    <row r="75" spans="1:2" x14ac:dyDescent="0.25">
      <c r="A75" s="18">
        <v>27.6</v>
      </c>
      <c r="B75" s="18">
        <v>1.4E-2</v>
      </c>
    </row>
    <row r="76" spans="1:2" x14ac:dyDescent="0.25">
      <c r="A76" s="18">
        <v>27.8</v>
      </c>
      <c r="B76" s="18">
        <v>1.41E-2</v>
      </c>
    </row>
    <row r="77" spans="1:2" x14ac:dyDescent="0.25">
      <c r="A77" s="18">
        <v>28</v>
      </c>
      <c r="B77" s="18">
        <v>1.3899999999999999E-2</v>
      </c>
    </row>
    <row r="78" spans="1:2" x14ac:dyDescent="0.25">
      <c r="A78" s="18">
        <v>28.2</v>
      </c>
      <c r="B78" s="18">
        <v>1.38E-2</v>
      </c>
    </row>
    <row r="79" spans="1:2" x14ac:dyDescent="0.25">
      <c r="A79" s="18">
        <v>28.4</v>
      </c>
      <c r="B79" s="18">
        <v>1.3599999999999999E-2</v>
      </c>
    </row>
    <row r="80" spans="1:2" x14ac:dyDescent="0.25">
      <c r="A80" s="18">
        <v>28.6</v>
      </c>
      <c r="B80" s="18">
        <v>1.3899999999999999E-2</v>
      </c>
    </row>
    <row r="81" spans="1:2" x14ac:dyDescent="0.25">
      <c r="A81" s="18">
        <v>28.8</v>
      </c>
      <c r="B81" s="18">
        <v>1.3599999999999999E-2</v>
      </c>
    </row>
    <row r="82" spans="1:2" x14ac:dyDescent="0.25">
      <c r="A82" s="18">
        <v>29</v>
      </c>
      <c r="B82" s="18">
        <v>1.37E-2</v>
      </c>
    </row>
    <row r="83" spans="1:2" x14ac:dyDescent="0.25">
      <c r="A83" s="18">
        <v>29.2</v>
      </c>
      <c r="B83" s="18">
        <v>1.34E-2</v>
      </c>
    </row>
    <row r="84" spans="1:2" x14ac:dyDescent="0.25">
      <c r="A84" s="18">
        <v>29.4</v>
      </c>
      <c r="B84" s="18">
        <v>1.3100000000000001E-2</v>
      </c>
    </row>
    <row r="85" spans="1:2" x14ac:dyDescent="0.25">
      <c r="A85" s="18">
        <v>29.6</v>
      </c>
      <c r="B85" s="18">
        <v>1.3299999999999999E-2</v>
      </c>
    </row>
    <row r="86" spans="1:2" x14ac:dyDescent="0.25">
      <c r="A86" s="18">
        <v>29.8</v>
      </c>
      <c r="B86" s="18">
        <v>1.2500000000000001E-2</v>
      </c>
    </row>
    <row r="87" spans="1:2" x14ac:dyDescent="0.25">
      <c r="A87" s="18">
        <v>30</v>
      </c>
      <c r="B87" s="18">
        <v>1.3100000000000001E-2</v>
      </c>
    </row>
    <row r="88" spans="1:2" x14ac:dyDescent="0.25">
      <c r="A88" s="18">
        <v>30.2</v>
      </c>
      <c r="B88" s="18">
        <v>1.24E-2</v>
      </c>
    </row>
    <row r="89" spans="1:2" x14ac:dyDescent="0.25">
      <c r="A89" s="18">
        <v>30.4</v>
      </c>
      <c r="B89" s="18">
        <v>1.29E-2</v>
      </c>
    </row>
    <row r="90" spans="1:2" x14ac:dyDescent="0.25">
      <c r="A90" s="18">
        <v>30.6</v>
      </c>
      <c r="B90" s="18">
        <v>1.21E-2</v>
      </c>
    </row>
    <row r="91" spans="1:2" x14ac:dyDescent="0.25">
      <c r="A91" s="18">
        <v>30.8</v>
      </c>
      <c r="B91" s="18">
        <v>1.2200000000000001E-2</v>
      </c>
    </row>
    <row r="92" spans="1:2" x14ac:dyDescent="0.25">
      <c r="A92" s="18">
        <v>31</v>
      </c>
      <c r="B92" s="18">
        <v>1.18E-2</v>
      </c>
    </row>
    <row r="93" spans="1:2" x14ac:dyDescent="0.25">
      <c r="A93" s="18">
        <v>31.2</v>
      </c>
      <c r="B93" s="18">
        <v>1.2200000000000001E-2</v>
      </c>
    </row>
    <row r="94" spans="1:2" x14ac:dyDescent="0.25">
      <c r="A94" s="18">
        <v>31.4</v>
      </c>
      <c r="B94" s="18">
        <v>1.1299999999999999E-2</v>
      </c>
    </row>
    <row r="95" spans="1:2" x14ac:dyDescent="0.25">
      <c r="A95" s="18">
        <v>31.6</v>
      </c>
      <c r="B95" s="18">
        <v>1.17E-2</v>
      </c>
    </row>
    <row r="96" spans="1:2" x14ac:dyDescent="0.25">
      <c r="A96" s="18">
        <v>31.8</v>
      </c>
      <c r="B96" s="18">
        <v>1.11E-2</v>
      </c>
    </row>
    <row r="97" spans="1:2" x14ac:dyDescent="0.25">
      <c r="A97" s="18">
        <v>32</v>
      </c>
      <c r="B97" s="18">
        <v>1.0999999999999999E-2</v>
      </c>
    </row>
    <row r="98" spans="1:2" x14ac:dyDescent="0.25">
      <c r="A98" s="18">
        <v>32.200000000000003</v>
      </c>
      <c r="B98" s="18">
        <v>1.09E-2</v>
      </c>
    </row>
    <row r="99" spans="1:2" x14ac:dyDescent="0.25">
      <c r="A99" s="18">
        <v>32.4</v>
      </c>
      <c r="B99" s="18">
        <v>1.06E-2</v>
      </c>
    </row>
    <row r="100" spans="1:2" x14ac:dyDescent="0.25">
      <c r="A100" s="18">
        <v>32.6</v>
      </c>
      <c r="B100" s="18">
        <v>0.01</v>
      </c>
    </row>
    <row r="101" spans="1:2" x14ac:dyDescent="0.25">
      <c r="A101" s="18">
        <v>32.799999999999997</v>
      </c>
      <c r="B101" s="18">
        <v>1.04E-2</v>
      </c>
    </row>
    <row r="102" spans="1:2" x14ac:dyDescent="0.25">
      <c r="A102" s="18">
        <v>33</v>
      </c>
      <c r="B102" s="18">
        <v>9.8600000000000007E-3</v>
      </c>
    </row>
    <row r="103" spans="1:2" x14ac:dyDescent="0.25">
      <c r="A103" s="18">
        <v>33.200000000000003</v>
      </c>
      <c r="B103" s="18">
        <v>9.7800000000000005E-3</v>
      </c>
    </row>
    <row r="104" spans="1:2" x14ac:dyDescent="0.25">
      <c r="A104" s="18">
        <v>33.4</v>
      </c>
      <c r="B104" s="18">
        <v>9.6200000000000001E-3</v>
      </c>
    </row>
    <row r="105" spans="1:2" x14ac:dyDescent="0.25">
      <c r="A105" s="18">
        <v>33.6</v>
      </c>
      <c r="B105" s="18">
        <v>9.1599999999999997E-3</v>
      </c>
    </row>
    <row r="106" spans="1:2" x14ac:dyDescent="0.25">
      <c r="A106" s="18">
        <v>33.799999999999997</v>
      </c>
      <c r="B106" s="18">
        <v>9.0600000000000003E-3</v>
      </c>
    </row>
    <row r="107" spans="1:2" x14ac:dyDescent="0.25">
      <c r="A107" s="18">
        <v>34</v>
      </c>
      <c r="B107" s="18">
        <v>8.6899999999999998E-3</v>
      </c>
    </row>
    <row r="108" spans="1:2" x14ac:dyDescent="0.25">
      <c r="A108" s="18">
        <v>34.200000000000003</v>
      </c>
      <c r="B108" s="18">
        <v>8.5000000000000006E-3</v>
      </c>
    </row>
    <row r="109" spans="1:2" x14ac:dyDescent="0.25">
      <c r="A109" s="18">
        <v>34.4</v>
      </c>
      <c r="B109" s="18">
        <v>8.3300000000000006E-3</v>
      </c>
    </row>
    <row r="110" spans="1:2" x14ac:dyDescent="0.25">
      <c r="A110" s="18">
        <v>34.6</v>
      </c>
      <c r="B110" s="18">
        <v>7.9799999999999992E-3</v>
      </c>
    </row>
    <row r="111" spans="1:2" x14ac:dyDescent="0.25">
      <c r="A111" s="18">
        <v>34.799999999999997</v>
      </c>
      <c r="B111" s="18">
        <v>7.8600000000000007E-3</v>
      </c>
    </row>
    <row r="112" spans="1:2" x14ac:dyDescent="0.25">
      <c r="A112" s="18">
        <v>35</v>
      </c>
      <c r="B112" s="18">
        <v>7.4999999999999997E-3</v>
      </c>
    </row>
    <row r="113" spans="1:2" x14ac:dyDescent="0.25">
      <c r="A113" s="18">
        <v>35.200000000000003</v>
      </c>
      <c r="B113" s="18">
        <v>7.2300000000000003E-3</v>
      </c>
    </row>
    <row r="114" spans="1:2" x14ac:dyDescent="0.25">
      <c r="A114" s="18">
        <v>35.4</v>
      </c>
      <c r="B114" s="18">
        <v>6.94E-3</v>
      </c>
    </row>
    <row r="115" spans="1:2" x14ac:dyDescent="0.25">
      <c r="A115" s="18">
        <v>35.6</v>
      </c>
      <c r="B115" s="18">
        <v>6.7799999999999996E-3</v>
      </c>
    </row>
    <row r="116" spans="1:2" x14ac:dyDescent="0.25">
      <c r="A116" s="18">
        <v>35.799999999999997</v>
      </c>
      <c r="B116" s="18">
        <v>6.5100000000000002E-3</v>
      </c>
    </row>
    <row r="117" spans="1:2" x14ac:dyDescent="0.25">
      <c r="A117" s="18">
        <v>36</v>
      </c>
      <c r="B117" s="18">
        <v>6.1799999999999997E-3</v>
      </c>
    </row>
    <row r="118" spans="1:2" x14ac:dyDescent="0.25">
      <c r="A118" s="18">
        <v>36.200000000000003</v>
      </c>
      <c r="B118" s="18">
        <v>5.9800000000000001E-3</v>
      </c>
    </row>
    <row r="119" spans="1:2" x14ac:dyDescent="0.25">
      <c r="A119" s="18">
        <v>36.4</v>
      </c>
      <c r="B119" s="18">
        <v>5.77E-3</v>
      </c>
    </row>
    <row r="120" spans="1:2" x14ac:dyDescent="0.25">
      <c r="A120" s="18">
        <v>36.6</v>
      </c>
      <c r="B120" s="18">
        <v>5.3699999999999998E-3</v>
      </c>
    </row>
    <row r="121" spans="1:2" x14ac:dyDescent="0.25">
      <c r="A121" s="18">
        <v>36.799999999999997</v>
      </c>
      <c r="B121" s="18">
        <v>5.3699999999999998E-3</v>
      </c>
    </row>
    <row r="122" spans="1:2" x14ac:dyDescent="0.25">
      <c r="A122" s="18">
        <v>37</v>
      </c>
      <c r="B122" s="18">
        <v>4.7699999999999999E-3</v>
      </c>
    </row>
    <row r="123" spans="1:2" x14ac:dyDescent="0.25">
      <c r="A123" s="18">
        <v>37.200000000000003</v>
      </c>
      <c r="B123" s="18">
        <v>4.7200000000000002E-3</v>
      </c>
    </row>
    <row r="124" spans="1:2" x14ac:dyDescent="0.25">
      <c r="A124" s="18">
        <v>37.4</v>
      </c>
      <c r="B124" s="18">
        <v>4.3499999999999997E-3</v>
      </c>
    </row>
    <row r="125" spans="1:2" x14ac:dyDescent="0.25">
      <c r="A125" s="18">
        <v>37.6</v>
      </c>
      <c r="B125" s="18">
        <v>4.1399999999999996E-3</v>
      </c>
    </row>
    <row r="126" spans="1:2" x14ac:dyDescent="0.25">
      <c r="A126" s="18">
        <v>37.799999999999997</v>
      </c>
      <c r="B126" s="18">
        <v>3.7299999999999998E-3</v>
      </c>
    </row>
    <row r="127" spans="1:2" x14ac:dyDescent="0.25">
      <c r="A127" s="18">
        <v>38</v>
      </c>
      <c r="B127" s="18">
        <v>3.63E-3</v>
      </c>
    </row>
    <row r="128" spans="1:2" x14ac:dyDescent="0.25">
      <c r="A128" s="18">
        <v>38.200000000000003</v>
      </c>
      <c r="B128" s="18">
        <v>3.2699999999999999E-3</v>
      </c>
    </row>
    <row r="129" spans="1:2" x14ac:dyDescent="0.25">
      <c r="A129" s="18">
        <v>38.4</v>
      </c>
      <c r="B129" s="18">
        <v>3.0999999999999999E-3</v>
      </c>
    </row>
    <row r="130" spans="1:2" x14ac:dyDescent="0.25">
      <c r="A130" s="18">
        <v>38.6</v>
      </c>
      <c r="B130" s="18">
        <v>2.7100000000000002E-3</v>
      </c>
    </row>
    <row r="131" spans="1:2" x14ac:dyDescent="0.25">
      <c r="A131" s="18">
        <v>38.799999999999997</v>
      </c>
      <c r="B131" s="18">
        <v>2.4399999999999999E-3</v>
      </c>
    </row>
    <row r="132" spans="1:2" x14ac:dyDescent="0.25">
      <c r="A132" s="18">
        <v>39</v>
      </c>
      <c r="B132" s="18">
        <v>2.0699999999999998E-3</v>
      </c>
    </row>
    <row r="133" spans="1:2" x14ac:dyDescent="0.25">
      <c r="A133" s="18">
        <v>39.200000000000003</v>
      </c>
      <c r="B133" s="18">
        <v>1.82E-3</v>
      </c>
    </row>
    <row r="134" spans="1:2" x14ac:dyDescent="0.25">
      <c r="A134" s="18">
        <v>39.4</v>
      </c>
      <c r="B134" s="18">
        <v>1.5499999999999999E-3</v>
      </c>
    </row>
    <row r="135" spans="1:2" x14ac:dyDescent="0.25">
      <c r="A135" s="18">
        <v>39.6</v>
      </c>
      <c r="B135" s="18">
        <v>1.1299999999999999E-3</v>
      </c>
    </row>
    <row r="136" spans="1:2" x14ac:dyDescent="0.25">
      <c r="A136" s="18">
        <v>39.799999999999997</v>
      </c>
      <c r="B136" s="18">
        <v>7.6400000000000003E-4</v>
      </c>
    </row>
    <row r="137" spans="1:2" x14ac:dyDescent="0.25">
      <c r="A137" s="18">
        <v>40</v>
      </c>
      <c r="B137" s="18">
        <v>2.6200000000000003E-4</v>
      </c>
    </row>
    <row r="138" spans="1:2" x14ac:dyDescent="0.25">
      <c r="A138" s="18">
        <v>40.200000000000003</v>
      </c>
      <c r="B138" s="18">
        <v>2.16E-5</v>
      </c>
    </row>
    <row r="139" spans="1:2" x14ac:dyDescent="0.25">
      <c r="A139" s="18">
        <v>40.4</v>
      </c>
      <c r="B139" s="18">
        <v>1.2500000000000001E-6</v>
      </c>
    </row>
    <row r="140" spans="1:2" x14ac:dyDescent="0.25">
      <c r="A140" s="18">
        <v>40.6</v>
      </c>
      <c r="B140" s="18">
        <v>1.7400000000000001E-6</v>
      </c>
    </row>
    <row r="141" spans="1:2" x14ac:dyDescent="0.25">
      <c r="A141" s="18">
        <v>40.799999999999997</v>
      </c>
      <c r="B141" s="18">
        <v>1.5099999999999999E-6</v>
      </c>
    </row>
    <row r="142" spans="1:2" x14ac:dyDescent="0.25">
      <c r="A142" s="18">
        <v>41</v>
      </c>
      <c r="B142" s="18">
        <v>5.54E-8</v>
      </c>
    </row>
    <row r="143" spans="1:2" x14ac:dyDescent="0.25">
      <c r="A143" s="18">
        <v>41.2</v>
      </c>
      <c r="B143" s="18">
        <v>1.53E-6</v>
      </c>
    </row>
    <row r="144" spans="1:2" x14ac:dyDescent="0.25">
      <c r="A144" s="18">
        <v>41.4</v>
      </c>
      <c r="B144" s="18">
        <v>4.89E-7</v>
      </c>
    </row>
    <row r="145" spans="1:2" x14ac:dyDescent="0.25">
      <c r="A145" s="18">
        <v>41.6</v>
      </c>
      <c r="B145" s="18">
        <v>1.37E-6</v>
      </c>
    </row>
    <row r="146" spans="1:2" x14ac:dyDescent="0.25">
      <c r="A146" s="18">
        <v>41.8</v>
      </c>
      <c r="B146" s="18">
        <v>5.0200000000000002E-7</v>
      </c>
    </row>
    <row r="147" spans="1:2" x14ac:dyDescent="0.25">
      <c r="A147" s="18">
        <v>42</v>
      </c>
      <c r="B147" s="18">
        <v>2.6000000000000001E-6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1:B89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18</v>
      </c>
      <c r="B2" s="18">
        <v>1.3999999999999999E-4</v>
      </c>
    </row>
    <row r="3" spans="1:2" x14ac:dyDescent="0.25">
      <c r="A3" s="18">
        <v>18.5</v>
      </c>
      <c r="B3" s="18">
        <v>6.6099999999999994E-5</v>
      </c>
    </row>
    <row r="4" spans="1:2" x14ac:dyDescent="0.25">
      <c r="A4" s="18">
        <v>19</v>
      </c>
      <c r="B4" s="18">
        <v>1.06E-4</v>
      </c>
    </row>
    <row r="5" spans="1:2" x14ac:dyDescent="0.25">
      <c r="A5" s="18">
        <v>19.5</v>
      </c>
      <c r="B5" s="18">
        <v>6.8999999999999997E-5</v>
      </c>
    </row>
    <row r="6" spans="1:2" x14ac:dyDescent="0.25">
      <c r="A6" s="18">
        <v>20</v>
      </c>
      <c r="B6" s="18">
        <v>1.27E-4</v>
      </c>
    </row>
    <row r="7" spans="1:2" x14ac:dyDescent="0.25">
      <c r="A7" s="18">
        <v>20.5</v>
      </c>
      <c r="B7" s="18">
        <v>1.12E-4</v>
      </c>
    </row>
    <row r="8" spans="1:2" x14ac:dyDescent="0.25">
      <c r="A8" s="18">
        <v>21</v>
      </c>
      <c r="B8" s="18">
        <v>1.26E-4</v>
      </c>
    </row>
    <row r="9" spans="1:2" x14ac:dyDescent="0.25">
      <c r="A9" s="18">
        <v>21.5</v>
      </c>
      <c r="B9" s="18">
        <v>1.37E-4</v>
      </c>
    </row>
    <row r="10" spans="1:2" x14ac:dyDescent="0.25">
      <c r="A10" s="18">
        <v>22</v>
      </c>
      <c r="B10" s="18">
        <v>1.37E-4</v>
      </c>
    </row>
    <row r="11" spans="1:2" x14ac:dyDescent="0.25">
      <c r="A11" s="18">
        <v>22.5</v>
      </c>
      <c r="B11" s="18">
        <v>1.85E-4</v>
      </c>
    </row>
    <row r="12" spans="1:2" x14ac:dyDescent="0.25">
      <c r="A12" s="18">
        <v>23</v>
      </c>
      <c r="B12" s="18">
        <v>2.6899999999999998E-4</v>
      </c>
    </row>
    <row r="13" spans="1:2" x14ac:dyDescent="0.25">
      <c r="A13" s="18">
        <v>23.5</v>
      </c>
      <c r="B13" s="18">
        <v>4.26E-4</v>
      </c>
    </row>
    <row r="14" spans="1:2" x14ac:dyDescent="0.25">
      <c r="A14" s="18">
        <v>24</v>
      </c>
      <c r="B14" s="18">
        <v>6.0899999999999995E-4</v>
      </c>
    </row>
    <row r="15" spans="1:2" x14ac:dyDescent="0.25">
      <c r="A15" s="18">
        <v>24.5</v>
      </c>
      <c r="B15" s="18">
        <v>7.5600000000000005E-4</v>
      </c>
    </row>
    <row r="16" spans="1:2" x14ac:dyDescent="0.25">
      <c r="A16" s="18">
        <v>25</v>
      </c>
      <c r="B16" s="18">
        <v>1.01E-3</v>
      </c>
    </row>
    <row r="17" spans="1:2" x14ac:dyDescent="0.25">
      <c r="A17" s="18">
        <v>25.5</v>
      </c>
      <c r="B17" s="18">
        <v>1.32E-3</v>
      </c>
    </row>
    <row r="18" spans="1:2" x14ac:dyDescent="0.25">
      <c r="A18" s="18">
        <v>26</v>
      </c>
      <c r="B18" s="18">
        <v>1.74E-3</v>
      </c>
    </row>
    <row r="19" spans="1:2" x14ac:dyDescent="0.25">
      <c r="A19" s="18">
        <v>26.5</v>
      </c>
      <c r="B19" s="18">
        <v>2.1700000000000001E-3</v>
      </c>
    </row>
    <row r="20" spans="1:2" x14ac:dyDescent="0.25">
      <c r="A20" s="18">
        <v>27</v>
      </c>
      <c r="B20" s="18">
        <v>2.7499999999999998E-3</v>
      </c>
    </row>
    <row r="21" spans="1:2" x14ac:dyDescent="0.25">
      <c r="A21" s="18">
        <v>27.5</v>
      </c>
      <c r="B21" s="18">
        <v>3.32E-3</v>
      </c>
    </row>
    <row r="22" spans="1:2" x14ac:dyDescent="0.25">
      <c r="A22" s="18">
        <v>28</v>
      </c>
      <c r="B22" s="18">
        <v>4.0400000000000002E-3</v>
      </c>
    </row>
    <row r="23" spans="1:2" x14ac:dyDescent="0.25">
      <c r="A23" s="18">
        <v>28.5</v>
      </c>
      <c r="B23" s="18">
        <v>4.7999999999999996E-3</v>
      </c>
    </row>
    <row r="24" spans="1:2" x14ac:dyDescent="0.25">
      <c r="A24" s="18">
        <v>29</v>
      </c>
      <c r="B24" s="18">
        <v>5.5900000000000004E-3</v>
      </c>
    </row>
    <row r="25" spans="1:2" x14ac:dyDescent="0.25">
      <c r="A25" s="18">
        <v>29.5</v>
      </c>
      <c r="B25" s="18">
        <v>6.5799999999999999E-3</v>
      </c>
    </row>
    <row r="26" spans="1:2" x14ac:dyDescent="0.25">
      <c r="A26" s="18">
        <v>30</v>
      </c>
      <c r="B26" s="18">
        <v>7.3800000000000003E-3</v>
      </c>
    </row>
    <row r="27" spans="1:2" x14ac:dyDescent="0.25">
      <c r="A27" s="18">
        <v>30.5</v>
      </c>
      <c r="B27" s="18">
        <v>8.4499999999999992E-3</v>
      </c>
    </row>
    <row r="28" spans="1:2" x14ac:dyDescent="0.25">
      <c r="A28" s="18">
        <v>31</v>
      </c>
      <c r="B28" s="18">
        <v>9.3900000000000008E-3</v>
      </c>
    </row>
    <row r="29" spans="1:2" x14ac:dyDescent="0.25">
      <c r="A29" s="18">
        <v>31.5</v>
      </c>
      <c r="B29" s="18">
        <v>1.04E-2</v>
      </c>
    </row>
    <row r="30" spans="1:2" x14ac:dyDescent="0.25">
      <c r="A30" s="18">
        <v>32</v>
      </c>
      <c r="B30" s="18">
        <v>1.15E-2</v>
      </c>
    </row>
    <row r="31" spans="1:2" x14ac:dyDescent="0.25">
      <c r="A31" s="18">
        <v>32.5</v>
      </c>
      <c r="B31" s="18">
        <v>1.2500000000000001E-2</v>
      </c>
    </row>
    <row r="32" spans="1:2" x14ac:dyDescent="0.25">
      <c r="A32" s="18">
        <v>33</v>
      </c>
      <c r="B32" s="18">
        <v>1.3299999999999999E-2</v>
      </c>
    </row>
    <row r="33" spans="1:2" x14ac:dyDescent="0.25">
      <c r="A33" s="18">
        <v>33.5</v>
      </c>
      <c r="B33" s="18">
        <v>1.43E-2</v>
      </c>
    </row>
    <row r="34" spans="1:2" x14ac:dyDescent="0.25">
      <c r="A34" s="18">
        <v>34</v>
      </c>
      <c r="B34" s="18">
        <v>1.54E-2</v>
      </c>
    </row>
    <row r="35" spans="1:2" x14ac:dyDescent="0.25">
      <c r="A35" s="18">
        <v>34.5</v>
      </c>
      <c r="B35" s="18">
        <v>1.61E-2</v>
      </c>
    </row>
    <row r="36" spans="1:2" x14ac:dyDescent="0.25">
      <c r="A36" s="18">
        <v>35</v>
      </c>
      <c r="B36" s="18">
        <v>1.7100000000000001E-2</v>
      </c>
    </row>
    <row r="37" spans="1:2" x14ac:dyDescent="0.25">
      <c r="A37" s="18">
        <v>35.5</v>
      </c>
      <c r="B37" s="18">
        <v>1.7899999999999999E-2</v>
      </c>
    </row>
    <row r="38" spans="1:2" x14ac:dyDescent="0.25">
      <c r="A38" s="18">
        <v>36</v>
      </c>
      <c r="B38" s="18">
        <v>1.8599999999999998E-2</v>
      </c>
    </row>
    <row r="39" spans="1:2" x14ac:dyDescent="0.25">
      <c r="A39" s="18">
        <v>36.5</v>
      </c>
      <c r="B39" s="18">
        <v>1.9199999999999998E-2</v>
      </c>
    </row>
    <row r="40" spans="1:2" x14ac:dyDescent="0.25">
      <c r="A40" s="18">
        <v>37</v>
      </c>
      <c r="B40" s="18">
        <v>1.9900000000000001E-2</v>
      </c>
    </row>
    <row r="41" spans="1:2" x14ac:dyDescent="0.25">
      <c r="A41" s="18">
        <v>37.5</v>
      </c>
      <c r="B41" s="18">
        <v>2.0500000000000001E-2</v>
      </c>
    </row>
    <row r="42" spans="1:2" x14ac:dyDescent="0.25">
      <c r="A42" s="18">
        <v>38</v>
      </c>
      <c r="B42" s="18">
        <v>2.1000000000000001E-2</v>
      </c>
    </row>
    <row r="43" spans="1:2" x14ac:dyDescent="0.25">
      <c r="A43" s="18">
        <v>38.5</v>
      </c>
      <c r="B43" s="18">
        <v>2.1299999999999999E-2</v>
      </c>
    </row>
    <row r="44" spans="1:2" x14ac:dyDescent="0.25">
      <c r="A44" s="18">
        <v>39</v>
      </c>
      <c r="B44" s="18">
        <v>2.1700000000000001E-2</v>
      </c>
    </row>
    <row r="45" spans="1:2" x14ac:dyDescent="0.25">
      <c r="A45" s="18">
        <v>39.5</v>
      </c>
      <c r="B45" s="18">
        <v>2.1899999999999999E-2</v>
      </c>
    </row>
    <row r="46" spans="1:2" x14ac:dyDescent="0.25">
      <c r="A46" s="18">
        <v>40</v>
      </c>
      <c r="B46" s="18">
        <v>2.2100000000000002E-2</v>
      </c>
    </row>
    <row r="47" spans="1:2" x14ac:dyDescent="0.25">
      <c r="A47" s="18">
        <v>40.5</v>
      </c>
      <c r="B47" s="18">
        <v>2.23E-2</v>
      </c>
    </row>
    <row r="48" spans="1:2" x14ac:dyDescent="0.25">
      <c r="A48" s="18">
        <v>41</v>
      </c>
      <c r="B48" s="18">
        <v>2.2599999999999999E-2</v>
      </c>
    </row>
    <row r="49" spans="1:2" x14ac:dyDescent="0.25">
      <c r="A49" s="18">
        <v>41.5</v>
      </c>
      <c r="B49" s="18">
        <v>2.2800000000000001E-2</v>
      </c>
    </row>
    <row r="50" spans="1:2" x14ac:dyDescent="0.25">
      <c r="A50" s="18">
        <v>42</v>
      </c>
      <c r="B50" s="18">
        <v>2.29E-2</v>
      </c>
    </row>
    <row r="51" spans="1:2" x14ac:dyDescent="0.25">
      <c r="A51" s="18">
        <v>42.5</v>
      </c>
      <c r="B51" s="18">
        <v>2.2800000000000001E-2</v>
      </c>
    </row>
    <row r="52" spans="1:2" x14ac:dyDescent="0.25">
      <c r="A52" s="18">
        <v>43</v>
      </c>
      <c r="B52" s="18">
        <v>2.2800000000000001E-2</v>
      </c>
    </row>
    <row r="53" spans="1:2" x14ac:dyDescent="0.25">
      <c r="A53" s="18">
        <v>43.5</v>
      </c>
      <c r="B53" s="18">
        <v>2.2800000000000001E-2</v>
      </c>
    </row>
    <row r="54" spans="1:2" x14ac:dyDescent="0.25">
      <c r="A54" s="18">
        <v>44</v>
      </c>
      <c r="B54" s="18">
        <v>2.2700000000000001E-2</v>
      </c>
    </row>
    <row r="55" spans="1:2" x14ac:dyDescent="0.25">
      <c r="A55" s="18">
        <v>44.5</v>
      </c>
      <c r="B55" s="18">
        <v>2.24E-2</v>
      </c>
    </row>
    <row r="56" spans="1:2" x14ac:dyDescent="0.25">
      <c r="A56" s="18">
        <v>45</v>
      </c>
      <c r="B56" s="18">
        <v>2.2100000000000002E-2</v>
      </c>
    </row>
    <row r="57" spans="1:2" x14ac:dyDescent="0.25">
      <c r="A57" s="18">
        <v>45.5</v>
      </c>
      <c r="B57" s="18">
        <v>2.18E-2</v>
      </c>
    </row>
    <row r="58" spans="1:2" x14ac:dyDescent="0.25">
      <c r="A58" s="18">
        <v>46</v>
      </c>
      <c r="B58" s="18">
        <v>2.1499999999999998E-2</v>
      </c>
    </row>
    <row r="59" spans="1:2" x14ac:dyDescent="0.25">
      <c r="A59" s="18">
        <v>46.5</v>
      </c>
      <c r="B59" s="18">
        <v>2.1000000000000001E-2</v>
      </c>
    </row>
    <row r="60" spans="1:2" x14ac:dyDescent="0.25">
      <c r="A60" s="18">
        <v>47</v>
      </c>
      <c r="B60" s="18">
        <v>2.0799999999999999E-2</v>
      </c>
    </row>
    <row r="61" spans="1:2" x14ac:dyDescent="0.25">
      <c r="A61" s="18">
        <v>47.5</v>
      </c>
      <c r="B61" s="18">
        <v>2.0199999999999999E-2</v>
      </c>
    </row>
    <row r="62" spans="1:2" x14ac:dyDescent="0.25">
      <c r="A62" s="18">
        <v>48</v>
      </c>
      <c r="B62" s="18">
        <v>1.9699999999999999E-2</v>
      </c>
    </row>
    <row r="63" spans="1:2" x14ac:dyDescent="0.25">
      <c r="A63" s="18">
        <v>48.5</v>
      </c>
      <c r="B63" s="18">
        <v>1.9199999999999998E-2</v>
      </c>
    </row>
    <row r="64" spans="1:2" x14ac:dyDescent="0.25">
      <c r="A64" s="18">
        <v>49</v>
      </c>
      <c r="B64" s="18">
        <v>1.8599999999999998E-2</v>
      </c>
    </row>
    <row r="65" spans="1:2" x14ac:dyDescent="0.25">
      <c r="A65" s="18">
        <v>49.5</v>
      </c>
      <c r="B65" s="18">
        <v>1.8100000000000002E-2</v>
      </c>
    </row>
    <row r="66" spans="1:2" x14ac:dyDescent="0.25">
      <c r="A66" s="18">
        <v>50</v>
      </c>
      <c r="B66" s="18">
        <v>1.77E-2</v>
      </c>
    </row>
    <row r="67" spans="1:2" x14ac:dyDescent="0.25">
      <c r="A67" s="18">
        <v>50.5</v>
      </c>
      <c r="B67" s="18">
        <v>1.6899999999999998E-2</v>
      </c>
    </row>
    <row r="68" spans="1:2" x14ac:dyDescent="0.25">
      <c r="A68" s="18">
        <v>51</v>
      </c>
      <c r="B68" s="18">
        <v>1.6400000000000001E-2</v>
      </c>
    </row>
    <row r="69" spans="1:2" x14ac:dyDescent="0.25">
      <c r="A69" s="18">
        <v>51.5</v>
      </c>
      <c r="B69" s="18">
        <v>1.5900000000000001E-2</v>
      </c>
    </row>
    <row r="70" spans="1:2" x14ac:dyDescent="0.25">
      <c r="A70" s="18">
        <v>52</v>
      </c>
      <c r="B70" s="18">
        <v>1.5299999999999999E-2</v>
      </c>
    </row>
    <row r="71" spans="1:2" x14ac:dyDescent="0.25">
      <c r="A71" s="18">
        <v>52.5</v>
      </c>
      <c r="B71" s="18">
        <v>1.46E-2</v>
      </c>
    </row>
    <row r="72" spans="1:2" x14ac:dyDescent="0.25">
      <c r="A72" s="18">
        <v>53</v>
      </c>
      <c r="B72" s="18">
        <v>1.3899999999999999E-2</v>
      </c>
    </row>
    <row r="73" spans="1:2" x14ac:dyDescent="0.25">
      <c r="A73" s="18">
        <v>53.5</v>
      </c>
      <c r="B73" s="18">
        <v>1.32E-2</v>
      </c>
    </row>
    <row r="74" spans="1:2" x14ac:dyDescent="0.25">
      <c r="A74" s="18">
        <v>54</v>
      </c>
      <c r="B74" s="18">
        <v>1.2500000000000001E-2</v>
      </c>
    </row>
    <row r="75" spans="1:2" x14ac:dyDescent="0.25">
      <c r="A75" s="18">
        <v>54.5</v>
      </c>
      <c r="B75" s="18">
        <v>1.17E-2</v>
      </c>
    </row>
    <row r="76" spans="1:2" x14ac:dyDescent="0.25">
      <c r="A76" s="18">
        <v>55</v>
      </c>
      <c r="B76" s="18">
        <v>1.09E-2</v>
      </c>
    </row>
    <row r="77" spans="1:2" x14ac:dyDescent="0.25">
      <c r="A77" s="18">
        <v>55.5</v>
      </c>
      <c r="B77" s="18">
        <v>1.01E-2</v>
      </c>
    </row>
    <row r="78" spans="1:2" x14ac:dyDescent="0.25">
      <c r="A78" s="18">
        <v>56</v>
      </c>
      <c r="B78" s="18">
        <v>9.2499999999999995E-3</v>
      </c>
    </row>
    <row r="79" spans="1:2" x14ac:dyDescent="0.25">
      <c r="A79" s="18">
        <v>56.5</v>
      </c>
      <c r="B79" s="18">
        <v>8.3999999999999995E-3</v>
      </c>
    </row>
    <row r="80" spans="1:2" x14ac:dyDescent="0.25">
      <c r="A80" s="18">
        <v>57</v>
      </c>
      <c r="B80" s="18">
        <v>7.4400000000000004E-3</v>
      </c>
    </row>
    <row r="81" spans="1:2" x14ac:dyDescent="0.25">
      <c r="A81" s="18">
        <v>57.5</v>
      </c>
      <c r="B81" s="18">
        <v>6.5100000000000002E-3</v>
      </c>
    </row>
    <row r="82" spans="1:2" x14ac:dyDescent="0.25">
      <c r="A82" s="18">
        <v>58</v>
      </c>
      <c r="B82" s="18">
        <v>5.4900000000000001E-3</v>
      </c>
    </row>
    <row r="83" spans="1:2" x14ac:dyDescent="0.25">
      <c r="A83" s="18">
        <v>58.5</v>
      </c>
      <c r="B83" s="18">
        <v>4.4400000000000004E-3</v>
      </c>
    </row>
    <row r="84" spans="1:2" x14ac:dyDescent="0.25">
      <c r="A84" s="18">
        <v>59</v>
      </c>
      <c r="B84" s="18">
        <v>3.2499999999999999E-3</v>
      </c>
    </row>
    <row r="85" spans="1:2" x14ac:dyDescent="0.25">
      <c r="A85" s="18">
        <v>59.5</v>
      </c>
      <c r="B85" s="18">
        <v>2E-3</v>
      </c>
    </row>
    <row r="86" spans="1:2" x14ac:dyDescent="0.25">
      <c r="A86" s="18">
        <v>60</v>
      </c>
      <c r="B86" s="18">
        <v>5.2400000000000005E-4</v>
      </c>
    </row>
    <row r="87" spans="1:2" x14ac:dyDescent="0.25">
      <c r="A87" s="18">
        <v>60.5</v>
      </c>
      <c r="B87" s="18">
        <v>6.3600000000000001E-6</v>
      </c>
    </row>
    <row r="88" spans="1:2" x14ac:dyDescent="0.25">
      <c r="A88" s="18">
        <v>61</v>
      </c>
      <c r="B88" s="18">
        <v>6.2999999999999995E-8</v>
      </c>
    </row>
    <row r="89" spans="1:2" x14ac:dyDescent="0.25">
      <c r="A89" s="18">
        <v>61.5</v>
      </c>
      <c r="B89" s="18">
        <v>2.16E-7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1:B12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20</v>
      </c>
      <c r="B2" s="18">
        <v>9.3300000000000005E-5</v>
      </c>
    </row>
    <row r="3" spans="1:2" x14ac:dyDescent="0.25">
      <c r="A3" s="18">
        <v>20.5</v>
      </c>
      <c r="B3" s="18">
        <v>7.3800000000000005E-5</v>
      </c>
    </row>
    <row r="4" spans="1:2" x14ac:dyDescent="0.25">
      <c r="A4" s="18">
        <v>21</v>
      </c>
      <c r="B4" s="18">
        <v>8.3399999999999994E-5</v>
      </c>
    </row>
    <row r="5" spans="1:2" x14ac:dyDescent="0.25">
      <c r="A5" s="18">
        <v>21.5</v>
      </c>
      <c r="B5" s="18">
        <v>6.7999999999999999E-5</v>
      </c>
    </row>
    <row r="6" spans="1:2" x14ac:dyDescent="0.25">
      <c r="A6" s="18">
        <v>22</v>
      </c>
      <c r="B6" s="18">
        <v>4.0599999999999998E-5</v>
      </c>
    </row>
    <row r="7" spans="1:2" x14ac:dyDescent="0.25">
      <c r="A7" s="18">
        <v>22.5</v>
      </c>
      <c r="B7" s="18">
        <v>4.74E-5</v>
      </c>
    </row>
    <row r="8" spans="1:2" x14ac:dyDescent="0.25">
      <c r="A8" s="18">
        <v>23</v>
      </c>
      <c r="B8" s="18">
        <v>4.8600000000000002E-5</v>
      </c>
    </row>
    <row r="9" spans="1:2" x14ac:dyDescent="0.25">
      <c r="A9" s="18">
        <v>23.5</v>
      </c>
      <c r="B9" s="18">
        <v>6.3499999999999999E-5</v>
      </c>
    </row>
    <row r="10" spans="1:2" x14ac:dyDescent="0.25">
      <c r="A10" s="18">
        <v>24</v>
      </c>
      <c r="B10" s="18">
        <v>6.6199999999999996E-5</v>
      </c>
    </row>
    <row r="11" spans="1:2" x14ac:dyDescent="0.25">
      <c r="A11" s="18">
        <v>24.5</v>
      </c>
      <c r="B11" s="18">
        <v>7.25E-5</v>
      </c>
    </row>
    <row r="12" spans="1:2" x14ac:dyDescent="0.25">
      <c r="A12" s="18">
        <v>25</v>
      </c>
      <c r="B12" s="18">
        <v>5.7299999999999997E-5</v>
      </c>
    </row>
    <row r="13" spans="1:2" x14ac:dyDescent="0.25">
      <c r="A13" s="18">
        <v>25.5</v>
      </c>
      <c r="B13" s="18">
        <v>8.8300000000000005E-5</v>
      </c>
    </row>
    <row r="14" spans="1:2" x14ac:dyDescent="0.25">
      <c r="A14" s="18">
        <v>26</v>
      </c>
      <c r="B14" s="18">
        <v>1.6799999999999999E-4</v>
      </c>
    </row>
    <row r="15" spans="1:2" x14ac:dyDescent="0.25">
      <c r="A15" s="18">
        <v>26.5</v>
      </c>
      <c r="B15" s="18">
        <v>1.3899999999999999E-4</v>
      </c>
    </row>
    <row r="16" spans="1:2" x14ac:dyDescent="0.25">
      <c r="A16" s="18">
        <v>27</v>
      </c>
      <c r="B16" s="18">
        <v>1.7699999999999999E-4</v>
      </c>
    </row>
    <row r="17" spans="1:2" x14ac:dyDescent="0.25">
      <c r="A17" s="18">
        <v>27.5</v>
      </c>
      <c r="B17" s="18">
        <v>2.4499999999999999E-4</v>
      </c>
    </row>
    <row r="18" spans="1:2" x14ac:dyDescent="0.25">
      <c r="A18" s="18">
        <v>28</v>
      </c>
      <c r="B18" s="18">
        <v>3.0899999999999998E-4</v>
      </c>
    </row>
    <row r="19" spans="1:2" x14ac:dyDescent="0.25">
      <c r="A19" s="18">
        <v>28.5</v>
      </c>
      <c r="B19" s="18">
        <v>4.2499999999999998E-4</v>
      </c>
    </row>
    <row r="20" spans="1:2" x14ac:dyDescent="0.25">
      <c r="A20" s="18">
        <v>29</v>
      </c>
      <c r="B20" s="18">
        <v>5.3499999999999999E-4</v>
      </c>
    </row>
    <row r="21" spans="1:2" x14ac:dyDescent="0.25">
      <c r="A21" s="18">
        <v>29.5</v>
      </c>
      <c r="B21" s="18">
        <v>7.8399999999999997E-4</v>
      </c>
    </row>
    <row r="22" spans="1:2" x14ac:dyDescent="0.25">
      <c r="A22" s="18">
        <v>30</v>
      </c>
      <c r="B22" s="18">
        <v>9.3099999999999997E-4</v>
      </c>
    </row>
    <row r="23" spans="1:2" x14ac:dyDescent="0.25">
      <c r="A23" s="18">
        <v>30.5</v>
      </c>
      <c r="B23" s="18">
        <v>1.1000000000000001E-3</v>
      </c>
    </row>
    <row r="24" spans="1:2" x14ac:dyDescent="0.25">
      <c r="A24" s="18">
        <v>31</v>
      </c>
      <c r="B24" s="18">
        <v>1.2899999999999999E-3</v>
      </c>
    </row>
    <row r="25" spans="1:2" x14ac:dyDescent="0.25">
      <c r="A25" s="18">
        <v>31.5</v>
      </c>
      <c r="B25" s="18">
        <v>1.6299999999999999E-3</v>
      </c>
    </row>
    <row r="26" spans="1:2" x14ac:dyDescent="0.25">
      <c r="A26" s="18">
        <v>32</v>
      </c>
      <c r="B26" s="18">
        <v>1.9300000000000001E-3</v>
      </c>
    </row>
    <row r="27" spans="1:2" x14ac:dyDescent="0.25">
      <c r="A27" s="18">
        <v>32.5</v>
      </c>
      <c r="B27" s="18">
        <v>2.2799999999999999E-3</v>
      </c>
    </row>
    <row r="28" spans="1:2" x14ac:dyDescent="0.25">
      <c r="A28" s="18">
        <v>33</v>
      </c>
      <c r="B28" s="18">
        <v>2.6099999999999999E-3</v>
      </c>
    </row>
    <row r="29" spans="1:2" x14ac:dyDescent="0.25">
      <c r="A29" s="18">
        <v>33.5</v>
      </c>
      <c r="B29" s="18">
        <v>3.0300000000000001E-3</v>
      </c>
    </row>
    <row r="30" spans="1:2" x14ac:dyDescent="0.25">
      <c r="A30" s="18">
        <v>34</v>
      </c>
      <c r="B30" s="18">
        <v>3.47E-3</v>
      </c>
    </row>
    <row r="31" spans="1:2" x14ac:dyDescent="0.25">
      <c r="A31" s="18">
        <v>34.5</v>
      </c>
      <c r="B31" s="18">
        <v>3.8E-3</v>
      </c>
    </row>
    <row r="32" spans="1:2" x14ac:dyDescent="0.25">
      <c r="A32" s="18">
        <v>35</v>
      </c>
      <c r="B32" s="18">
        <v>4.28E-3</v>
      </c>
    </row>
    <row r="33" spans="1:2" x14ac:dyDescent="0.25">
      <c r="A33" s="18">
        <v>35.5</v>
      </c>
      <c r="B33" s="18">
        <v>4.7499999999999999E-3</v>
      </c>
    </row>
    <row r="34" spans="1:2" x14ac:dyDescent="0.25">
      <c r="A34" s="18">
        <v>36</v>
      </c>
      <c r="B34" s="18">
        <v>5.1999999999999998E-3</v>
      </c>
    </row>
    <row r="35" spans="1:2" x14ac:dyDescent="0.25">
      <c r="A35" s="18">
        <v>36.5</v>
      </c>
      <c r="B35" s="18">
        <v>5.7299999999999999E-3</v>
      </c>
    </row>
    <row r="36" spans="1:2" x14ac:dyDescent="0.25">
      <c r="A36" s="18">
        <v>37</v>
      </c>
      <c r="B36" s="18">
        <v>6.2399999999999999E-3</v>
      </c>
    </row>
    <row r="37" spans="1:2" x14ac:dyDescent="0.25">
      <c r="A37" s="18">
        <v>37.5</v>
      </c>
      <c r="B37" s="18">
        <v>6.6400000000000001E-3</v>
      </c>
    </row>
    <row r="38" spans="1:2" x14ac:dyDescent="0.25">
      <c r="A38" s="18">
        <v>38</v>
      </c>
      <c r="B38" s="18">
        <v>7.0400000000000003E-3</v>
      </c>
    </row>
    <row r="39" spans="1:2" x14ac:dyDescent="0.25">
      <c r="A39" s="18">
        <v>38.5</v>
      </c>
      <c r="B39" s="18">
        <v>7.5599999999999999E-3</v>
      </c>
    </row>
    <row r="40" spans="1:2" x14ac:dyDescent="0.25">
      <c r="A40" s="18">
        <v>39</v>
      </c>
      <c r="B40" s="18">
        <v>8.0400000000000003E-3</v>
      </c>
    </row>
    <row r="41" spans="1:2" x14ac:dyDescent="0.25">
      <c r="A41" s="18">
        <v>39.5</v>
      </c>
      <c r="B41" s="18">
        <v>8.4600000000000005E-3</v>
      </c>
    </row>
    <row r="42" spans="1:2" x14ac:dyDescent="0.25">
      <c r="A42" s="18">
        <v>40</v>
      </c>
      <c r="B42" s="18">
        <v>8.8999999999999999E-3</v>
      </c>
    </row>
    <row r="43" spans="1:2" x14ac:dyDescent="0.25">
      <c r="A43" s="18">
        <v>40.5</v>
      </c>
      <c r="B43" s="18">
        <v>9.4599999999999997E-3</v>
      </c>
    </row>
    <row r="44" spans="1:2" x14ac:dyDescent="0.25">
      <c r="A44" s="18">
        <v>41</v>
      </c>
      <c r="B44" s="18">
        <v>9.8600000000000007E-3</v>
      </c>
    </row>
    <row r="45" spans="1:2" x14ac:dyDescent="0.25">
      <c r="A45" s="18">
        <v>41.5</v>
      </c>
      <c r="B45" s="18">
        <v>1.03E-2</v>
      </c>
    </row>
    <row r="46" spans="1:2" x14ac:dyDescent="0.25">
      <c r="A46" s="18">
        <v>42</v>
      </c>
      <c r="B46" s="18">
        <v>1.0699999999999999E-2</v>
      </c>
    </row>
    <row r="47" spans="1:2" x14ac:dyDescent="0.25">
      <c r="A47" s="18">
        <v>42.5</v>
      </c>
      <c r="B47" s="18">
        <v>1.11E-2</v>
      </c>
    </row>
    <row r="48" spans="1:2" x14ac:dyDescent="0.25">
      <c r="A48" s="18">
        <v>43</v>
      </c>
      <c r="B48" s="18">
        <v>1.15E-2</v>
      </c>
    </row>
    <row r="49" spans="1:2" x14ac:dyDescent="0.25">
      <c r="A49" s="18">
        <v>43.5</v>
      </c>
      <c r="B49" s="18">
        <v>1.18E-2</v>
      </c>
    </row>
    <row r="50" spans="1:2" x14ac:dyDescent="0.25">
      <c r="A50" s="18">
        <v>44</v>
      </c>
      <c r="B50" s="18">
        <v>1.2200000000000001E-2</v>
      </c>
    </row>
    <row r="51" spans="1:2" x14ac:dyDescent="0.25">
      <c r="A51" s="18">
        <v>44.5</v>
      </c>
      <c r="B51" s="18">
        <v>1.26E-2</v>
      </c>
    </row>
    <row r="52" spans="1:2" x14ac:dyDescent="0.25">
      <c r="A52" s="18">
        <v>45</v>
      </c>
      <c r="B52" s="18">
        <v>1.2800000000000001E-2</v>
      </c>
    </row>
    <row r="53" spans="1:2" x14ac:dyDescent="0.25">
      <c r="A53" s="18">
        <v>45.5</v>
      </c>
      <c r="B53" s="18">
        <v>1.3100000000000001E-2</v>
      </c>
    </row>
    <row r="54" spans="1:2" x14ac:dyDescent="0.25">
      <c r="A54" s="18">
        <v>46</v>
      </c>
      <c r="B54" s="18">
        <v>1.34E-2</v>
      </c>
    </row>
    <row r="55" spans="1:2" x14ac:dyDescent="0.25">
      <c r="A55" s="18">
        <v>46.5</v>
      </c>
      <c r="B55" s="18">
        <v>1.35E-2</v>
      </c>
    </row>
    <row r="56" spans="1:2" x14ac:dyDescent="0.25">
      <c r="A56" s="18">
        <v>47</v>
      </c>
      <c r="B56" s="18">
        <v>1.38E-2</v>
      </c>
    </row>
    <row r="57" spans="1:2" x14ac:dyDescent="0.25">
      <c r="A57" s="18">
        <v>47.5</v>
      </c>
      <c r="B57" s="18">
        <v>1.38E-2</v>
      </c>
    </row>
    <row r="58" spans="1:2" x14ac:dyDescent="0.25">
      <c r="A58" s="18">
        <v>48</v>
      </c>
      <c r="B58" s="18">
        <v>1.41E-2</v>
      </c>
    </row>
    <row r="59" spans="1:2" x14ac:dyDescent="0.25">
      <c r="A59" s="18">
        <v>48.5</v>
      </c>
      <c r="B59" s="18">
        <v>1.43E-2</v>
      </c>
    </row>
    <row r="60" spans="1:2" x14ac:dyDescent="0.25">
      <c r="A60" s="18">
        <v>49</v>
      </c>
      <c r="B60" s="18">
        <v>1.44E-2</v>
      </c>
    </row>
    <row r="61" spans="1:2" x14ac:dyDescent="0.25">
      <c r="A61" s="18">
        <v>49.5</v>
      </c>
      <c r="B61" s="18">
        <v>1.43E-2</v>
      </c>
    </row>
    <row r="62" spans="1:2" x14ac:dyDescent="0.25">
      <c r="A62" s="18">
        <v>50</v>
      </c>
      <c r="B62" s="18">
        <v>1.4500000000000001E-2</v>
      </c>
    </row>
    <row r="63" spans="1:2" x14ac:dyDescent="0.25">
      <c r="A63" s="18">
        <v>50.5</v>
      </c>
      <c r="B63" s="18">
        <v>1.4500000000000001E-2</v>
      </c>
    </row>
    <row r="64" spans="1:2" x14ac:dyDescent="0.25">
      <c r="A64" s="18">
        <v>51</v>
      </c>
      <c r="B64" s="18">
        <v>1.46E-2</v>
      </c>
    </row>
    <row r="65" spans="1:2" x14ac:dyDescent="0.25">
      <c r="A65" s="18">
        <v>51.5</v>
      </c>
      <c r="B65" s="18">
        <v>1.47E-2</v>
      </c>
    </row>
    <row r="66" spans="1:2" x14ac:dyDescent="0.25">
      <c r="A66" s="18">
        <v>52</v>
      </c>
      <c r="B66" s="18">
        <v>1.4800000000000001E-2</v>
      </c>
    </row>
    <row r="67" spans="1:2" x14ac:dyDescent="0.25">
      <c r="A67" s="18">
        <v>52.5</v>
      </c>
      <c r="B67" s="18">
        <v>1.47E-2</v>
      </c>
    </row>
    <row r="68" spans="1:2" x14ac:dyDescent="0.25">
      <c r="A68" s="18">
        <v>53</v>
      </c>
      <c r="B68" s="18">
        <v>1.47E-2</v>
      </c>
    </row>
    <row r="69" spans="1:2" x14ac:dyDescent="0.25">
      <c r="A69" s="18">
        <v>53.5</v>
      </c>
      <c r="B69" s="18">
        <v>1.4800000000000001E-2</v>
      </c>
    </row>
    <row r="70" spans="1:2" x14ac:dyDescent="0.25">
      <c r="A70" s="18">
        <v>54</v>
      </c>
      <c r="B70" s="18">
        <v>1.4800000000000001E-2</v>
      </c>
    </row>
    <row r="71" spans="1:2" x14ac:dyDescent="0.25">
      <c r="A71" s="18">
        <v>54.5</v>
      </c>
      <c r="B71" s="18">
        <v>1.4800000000000001E-2</v>
      </c>
    </row>
    <row r="72" spans="1:2" x14ac:dyDescent="0.25">
      <c r="A72" s="18">
        <v>55</v>
      </c>
      <c r="B72" s="18">
        <v>1.47E-2</v>
      </c>
    </row>
    <row r="73" spans="1:2" x14ac:dyDescent="0.25">
      <c r="A73" s="18">
        <v>55.5</v>
      </c>
      <c r="B73" s="18">
        <v>1.46E-2</v>
      </c>
    </row>
    <row r="74" spans="1:2" x14ac:dyDescent="0.25">
      <c r="A74" s="18">
        <v>56</v>
      </c>
      <c r="B74" s="18">
        <v>1.46E-2</v>
      </c>
    </row>
    <row r="75" spans="1:2" x14ac:dyDescent="0.25">
      <c r="A75" s="18">
        <v>56.5</v>
      </c>
      <c r="B75" s="18">
        <v>1.44E-2</v>
      </c>
    </row>
    <row r="76" spans="1:2" x14ac:dyDescent="0.25">
      <c r="A76" s="18">
        <v>57</v>
      </c>
      <c r="B76" s="18">
        <v>1.44E-2</v>
      </c>
    </row>
    <row r="77" spans="1:2" x14ac:dyDescent="0.25">
      <c r="A77" s="18">
        <v>57.5</v>
      </c>
      <c r="B77" s="18">
        <v>1.55E-2</v>
      </c>
    </row>
    <row r="78" spans="1:2" x14ac:dyDescent="0.25">
      <c r="A78" s="18">
        <v>58</v>
      </c>
      <c r="B78" s="18">
        <v>2.2200000000000001E-2</v>
      </c>
    </row>
    <row r="79" spans="1:2" x14ac:dyDescent="0.25">
      <c r="A79" s="18">
        <v>58.5</v>
      </c>
      <c r="B79" s="18">
        <v>1.49E-2</v>
      </c>
    </row>
    <row r="80" spans="1:2" x14ac:dyDescent="0.25">
      <c r="A80" s="18">
        <v>59</v>
      </c>
      <c r="B80" s="18">
        <v>2.0500000000000001E-2</v>
      </c>
    </row>
    <row r="81" spans="1:2" x14ac:dyDescent="0.25">
      <c r="A81" s="18">
        <v>59.5</v>
      </c>
      <c r="B81" s="18">
        <v>2.5399999999999999E-2</v>
      </c>
    </row>
    <row r="82" spans="1:2" x14ac:dyDescent="0.25">
      <c r="A82" s="18">
        <v>60</v>
      </c>
      <c r="B82" s="18">
        <v>1.3599999999999999E-2</v>
      </c>
    </row>
    <row r="83" spans="1:2" x14ac:dyDescent="0.25">
      <c r="A83" s="18">
        <v>60.5</v>
      </c>
      <c r="B83" s="18">
        <v>1.32E-2</v>
      </c>
    </row>
    <row r="84" spans="1:2" x14ac:dyDescent="0.25">
      <c r="A84" s="18">
        <v>61</v>
      </c>
      <c r="B84" s="18">
        <v>1.3100000000000001E-2</v>
      </c>
    </row>
    <row r="85" spans="1:2" x14ac:dyDescent="0.25">
      <c r="A85" s="18">
        <v>61.5</v>
      </c>
      <c r="B85" s="18">
        <v>1.2999999999999999E-2</v>
      </c>
    </row>
    <row r="86" spans="1:2" x14ac:dyDescent="0.25">
      <c r="A86" s="18">
        <v>62</v>
      </c>
      <c r="B86" s="18">
        <v>1.29E-2</v>
      </c>
    </row>
    <row r="87" spans="1:2" x14ac:dyDescent="0.25">
      <c r="A87" s="18">
        <v>62.5</v>
      </c>
      <c r="B87" s="18">
        <v>1.2699999999999999E-2</v>
      </c>
    </row>
    <row r="88" spans="1:2" x14ac:dyDescent="0.25">
      <c r="A88" s="18">
        <v>63</v>
      </c>
      <c r="B88" s="18">
        <v>1.2500000000000001E-2</v>
      </c>
    </row>
    <row r="89" spans="1:2" x14ac:dyDescent="0.25">
      <c r="A89" s="18">
        <v>63.5</v>
      </c>
      <c r="B89" s="18">
        <v>1.2200000000000001E-2</v>
      </c>
    </row>
    <row r="90" spans="1:2" x14ac:dyDescent="0.25">
      <c r="A90" s="18">
        <v>64</v>
      </c>
      <c r="B90" s="18">
        <v>1.21E-2</v>
      </c>
    </row>
    <row r="91" spans="1:2" x14ac:dyDescent="0.25">
      <c r="A91" s="18">
        <v>64.5</v>
      </c>
      <c r="B91" s="18">
        <v>1.1900000000000001E-2</v>
      </c>
    </row>
    <row r="92" spans="1:2" x14ac:dyDescent="0.25">
      <c r="A92" s="18">
        <v>65</v>
      </c>
      <c r="B92" s="18">
        <v>1.1599999999999999E-2</v>
      </c>
    </row>
    <row r="93" spans="1:2" x14ac:dyDescent="0.25">
      <c r="A93" s="18">
        <v>65.5</v>
      </c>
      <c r="B93" s="18">
        <v>1.15E-2</v>
      </c>
    </row>
    <row r="94" spans="1:2" x14ac:dyDescent="0.25">
      <c r="A94" s="18">
        <v>66</v>
      </c>
      <c r="B94" s="18">
        <v>1.12E-2</v>
      </c>
    </row>
    <row r="95" spans="1:2" x14ac:dyDescent="0.25">
      <c r="A95" s="18">
        <v>66.5</v>
      </c>
      <c r="B95" s="18">
        <v>1.1599999999999999E-2</v>
      </c>
    </row>
    <row r="96" spans="1:2" x14ac:dyDescent="0.25">
      <c r="A96" s="18">
        <v>67</v>
      </c>
      <c r="B96" s="18">
        <v>1.5699999999999999E-2</v>
      </c>
    </row>
    <row r="97" spans="1:2" x14ac:dyDescent="0.25">
      <c r="A97" s="18">
        <v>67.5</v>
      </c>
      <c r="B97" s="18">
        <v>1.34E-2</v>
      </c>
    </row>
    <row r="98" spans="1:2" x14ac:dyDescent="0.25">
      <c r="A98" s="18">
        <v>68</v>
      </c>
      <c r="B98" s="18">
        <v>1.03E-2</v>
      </c>
    </row>
    <row r="99" spans="1:2" x14ac:dyDescent="0.25">
      <c r="A99" s="18">
        <v>68.5</v>
      </c>
      <c r="B99" s="18">
        <v>9.9699999999999997E-3</v>
      </c>
    </row>
    <row r="100" spans="1:2" x14ac:dyDescent="0.25">
      <c r="A100" s="18">
        <v>69</v>
      </c>
      <c r="B100" s="18">
        <v>1.11E-2</v>
      </c>
    </row>
    <row r="101" spans="1:2" x14ac:dyDescent="0.25">
      <c r="A101" s="18">
        <v>69.5</v>
      </c>
      <c r="B101" s="18">
        <v>9.7300000000000008E-3</v>
      </c>
    </row>
    <row r="102" spans="1:2" x14ac:dyDescent="0.25">
      <c r="A102" s="18">
        <v>70</v>
      </c>
      <c r="B102" s="18">
        <v>8.5599999999999999E-3</v>
      </c>
    </row>
    <row r="103" spans="1:2" x14ac:dyDescent="0.25">
      <c r="A103" s="18">
        <v>70.5</v>
      </c>
      <c r="B103" s="18">
        <v>8.2500000000000004E-3</v>
      </c>
    </row>
    <row r="104" spans="1:2" x14ac:dyDescent="0.25">
      <c r="A104" s="18">
        <v>71</v>
      </c>
      <c r="B104" s="18">
        <v>7.9500000000000005E-3</v>
      </c>
    </row>
    <row r="105" spans="1:2" x14ac:dyDescent="0.25">
      <c r="A105" s="18">
        <v>71.5</v>
      </c>
      <c r="B105" s="18">
        <v>7.6499999999999997E-3</v>
      </c>
    </row>
    <row r="106" spans="1:2" x14ac:dyDescent="0.25">
      <c r="A106" s="18">
        <v>72</v>
      </c>
      <c r="B106" s="18">
        <v>7.3800000000000003E-3</v>
      </c>
    </row>
    <row r="107" spans="1:2" x14ac:dyDescent="0.25">
      <c r="A107" s="18">
        <v>72.5</v>
      </c>
      <c r="B107" s="18">
        <v>7.0099999999999997E-3</v>
      </c>
    </row>
    <row r="108" spans="1:2" x14ac:dyDescent="0.25">
      <c r="A108" s="18">
        <v>73</v>
      </c>
      <c r="B108" s="18">
        <v>6.7000000000000002E-3</v>
      </c>
    </row>
    <row r="109" spans="1:2" x14ac:dyDescent="0.25">
      <c r="A109" s="18">
        <v>73.5</v>
      </c>
      <c r="B109" s="18">
        <v>6.2399999999999999E-3</v>
      </c>
    </row>
    <row r="110" spans="1:2" x14ac:dyDescent="0.25">
      <c r="A110" s="18">
        <v>74</v>
      </c>
      <c r="B110" s="18">
        <v>5.9199999999999999E-3</v>
      </c>
    </row>
    <row r="111" spans="1:2" x14ac:dyDescent="0.25">
      <c r="A111" s="18">
        <v>74.5</v>
      </c>
      <c r="B111" s="18">
        <v>5.5900000000000004E-3</v>
      </c>
    </row>
    <row r="112" spans="1:2" x14ac:dyDescent="0.25">
      <c r="A112" s="18">
        <v>75</v>
      </c>
      <c r="B112" s="18">
        <v>5.1599999999999997E-3</v>
      </c>
    </row>
    <row r="113" spans="1:2" x14ac:dyDescent="0.25">
      <c r="A113" s="18">
        <v>75.5</v>
      </c>
      <c r="B113" s="18">
        <v>4.8199999999999996E-3</v>
      </c>
    </row>
    <row r="114" spans="1:2" x14ac:dyDescent="0.25">
      <c r="A114" s="18">
        <v>76</v>
      </c>
      <c r="B114" s="18">
        <v>4.3800000000000002E-3</v>
      </c>
    </row>
    <row r="115" spans="1:2" x14ac:dyDescent="0.25">
      <c r="A115" s="18">
        <v>76.5</v>
      </c>
      <c r="B115" s="18">
        <v>3.9199999999999999E-3</v>
      </c>
    </row>
    <row r="116" spans="1:2" x14ac:dyDescent="0.25">
      <c r="A116" s="18">
        <v>77</v>
      </c>
      <c r="B116" s="18">
        <v>3.5300000000000002E-3</v>
      </c>
    </row>
    <row r="117" spans="1:2" x14ac:dyDescent="0.25">
      <c r="A117" s="18">
        <v>77.5</v>
      </c>
      <c r="B117" s="18">
        <v>3.0300000000000001E-3</v>
      </c>
    </row>
    <row r="118" spans="1:2" x14ac:dyDescent="0.25">
      <c r="A118" s="18">
        <v>78</v>
      </c>
      <c r="B118" s="18">
        <v>2.5300000000000001E-3</v>
      </c>
    </row>
    <row r="119" spans="1:2" x14ac:dyDescent="0.25">
      <c r="A119" s="18">
        <v>78.5</v>
      </c>
      <c r="B119" s="18">
        <v>2E-3</v>
      </c>
    </row>
    <row r="120" spans="1:2" x14ac:dyDescent="0.25">
      <c r="A120" s="18">
        <v>79</v>
      </c>
      <c r="B120" s="18">
        <v>1.48E-3</v>
      </c>
    </row>
    <row r="121" spans="1:2" x14ac:dyDescent="0.25">
      <c r="A121" s="18">
        <v>79.5</v>
      </c>
      <c r="B121" s="18">
        <v>8.9599999999999999E-4</v>
      </c>
    </row>
    <row r="122" spans="1:2" x14ac:dyDescent="0.25">
      <c r="A122" s="18">
        <v>80</v>
      </c>
      <c r="B122" s="18">
        <v>2.1800000000000001E-4</v>
      </c>
    </row>
    <row r="123" spans="1:2" x14ac:dyDescent="0.25">
      <c r="A123" s="18">
        <v>80.5</v>
      </c>
      <c r="B123" s="18">
        <v>5.4799999999999998E-7</v>
      </c>
    </row>
    <row r="124" spans="1:2" x14ac:dyDescent="0.25">
      <c r="A124" s="18">
        <v>81</v>
      </c>
      <c r="B124" s="18">
        <v>2.2600000000000001E-7</v>
      </c>
    </row>
    <row r="125" spans="1:2" x14ac:dyDescent="0.25">
      <c r="A125" s="18">
        <v>81.5</v>
      </c>
      <c r="B125" s="18">
        <v>1.24E-6</v>
      </c>
    </row>
    <row r="126" spans="1:2" x14ac:dyDescent="0.25">
      <c r="A126" s="18">
        <v>82</v>
      </c>
      <c r="B126" s="18">
        <v>3.8700000000000001E-7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1:B158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34</v>
      </c>
      <c r="B2" s="18">
        <v>1.5400000000000002E-5</v>
      </c>
    </row>
    <row r="3" spans="1:2" x14ac:dyDescent="0.25">
      <c r="A3" s="18">
        <v>34.5</v>
      </c>
      <c r="B3" s="18">
        <v>1.7499999999999998E-5</v>
      </c>
    </row>
    <row r="4" spans="1:2" x14ac:dyDescent="0.25">
      <c r="A4" s="18">
        <v>35</v>
      </c>
      <c r="B4" s="18">
        <v>1.7600000000000001E-5</v>
      </c>
    </row>
    <row r="5" spans="1:2" x14ac:dyDescent="0.25">
      <c r="A5" s="18">
        <v>35.5</v>
      </c>
      <c r="B5" s="18">
        <v>1.2799999999999999E-5</v>
      </c>
    </row>
    <row r="6" spans="1:2" x14ac:dyDescent="0.25">
      <c r="A6" s="18">
        <v>36</v>
      </c>
      <c r="B6" s="18">
        <v>1.7600000000000001E-5</v>
      </c>
    </row>
    <row r="7" spans="1:2" x14ac:dyDescent="0.25">
      <c r="A7" s="18">
        <v>36.5</v>
      </c>
      <c r="B7" s="18">
        <v>1.56E-5</v>
      </c>
    </row>
    <row r="8" spans="1:2" x14ac:dyDescent="0.25">
      <c r="A8" s="18">
        <v>37</v>
      </c>
      <c r="B8" s="18">
        <v>1.4E-5</v>
      </c>
    </row>
    <row r="9" spans="1:2" x14ac:dyDescent="0.25">
      <c r="A9" s="18">
        <v>37.5</v>
      </c>
      <c r="B9" s="18">
        <v>1.8E-5</v>
      </c>
    </row>
    <row r="10" spans="1:2" x14ac:dyDescent="0.25">
      <c r="A10" s="18">
        <v>38</v>
      </c>
      <c r="B10" s="18">
        <v>2.37E-5</v>
      </c>
    </row>
    <row r="11" spans="1:2" x14ac:dyDescent="0.25">
      <c r="A11" s="18">
        <v>38.5</v>
      </c>
      <c r="B11" s="18">
        <v>2.3499999999999999E-5</v>
      </c>
    </row>
    <row r="12" spans="1:2" x14ac:dyDescent="0.25">
      <c r="A12" s="18">
        <v>39</v>
      </c>
      <c r="B12" s="18">
        <v>2.7699999999999999E-5</v>
      </c>
    </row>
    <row r="13" spans="1:2" x14ac:dyDescent="0.25">
      <c r="A13" s="18">
        <v>39.5</v>
      </c>
      <c r="B13" s="18">
        <v>3.5200000000000002E-5</v>
      </c>
    </row>
    <row r="14" spans="1:2" x14ac:dyDescent="0.25">
      <c r="A14" s="18">
        <v>40</v>
      </c>
      <c r="B14" s="18">
        <v>3.93E-5</v>
      </c>
    </row>
    <row r="15" spans="1:2" x14ac:dyDescent="0.25">
      <c r="A15" s="18">
        <v>40.5</v>
      </c>
      <c r="B15" s="18">
        <v>4.5000000000000003E-5</v>
      </c>
    </row>
    <row r="16" spans="1:2" x14ac:dyDescent="0.25">
      <c r="A16" s="18">
        <v>41</v>
      </c>
      <c r="B16" s="18">
        <v>6.8499999999999998E-5</v>
      </c>
    </row>
    <row r="17" spans="1:2" x14ac:dyDescent="0.25">
      <c r="A17" s="18">
        <v>41.5</v>
      </c>
      <c r="B17" s="18">
        <v>8.2600000000000002E-5</v>
      </c>
    </row>
    <row r="18" spans="1:2" x14ac:dyDescent="0.25">
      <c r="A18" s="18">
        <v>42</v>
      </c>
      <c r="B18" s="18">
        <v>9.7200000000000004E-5</v>
      </c>
    </row>
    <row r="19" spans="1:2" x14ac:dyDescent="0.25">
      <c r="A19" s="18">
        <v>42.5</v>
      </c>
      <c r="B19" s="18">
        <v>1.2300000000000001E-4</v>
      </c>
    </row>
    <row r="20" spans="1:2" x14ac:dyDescent="0.25">
      <c r="A20" s="18">
        <v>43</v>
      </c>
      <c r="B20" s="18">
        <v>1.46E-4</v>
      </c>
    </row>
    <row r="21" spans="1:2" x14ac:dyDescent="0.25">
      <c r="A21" s="18">
        <v>43.5</v>
      </c>
      <c r="B21" s="18">
        <v>1.8599999999999999E-4</v>
      </c>
    </row>
    <row r="22" spans="1:2" x14ac:dyDescent="0.25">
      <c r="A22" s="18">
        <v>44</v>
      </c>
      <c r="B22" s="18">
        <v>2.1699999999999999E-4</v>
      </c>
    </row>
    <row r="23" spans="1:2" x14ac:dyDescent="0.25">
      <c r="A23" s="18">
        <v>44.5</v>
      </c>
      <c r="B23" s="18">
        <v>2.5399999999999999E-4</v>
      </c>
    </row>
    <row r="24" spans="1:2" x14ac:dyDescent="0.25">
      <c r="A24" s="18">
        <v>45</v>
      </c>
      <c r="B24" s="18">
        <v>3.0400000000000002E-4</v>
      </c>
    </row>
    <row r="25" spans="1:2" x14ac:dyDescent="0.25">
      <c r="A25" s="18">
        <v>45.5</v>
      </c>
      <c r="B25" s="18">
        <v>3.6000000000000002E-4</v>
      </c>
    </row>
    <row r="26" spans="1:2" x14ac:dyDescent="0.25">
      <c r="A26" s="18">
        <v>46</v>
      </c>
      <c r="B26" s="18">
        <v>4.1399999999999998E-4</v>
      </c>
    </row>
    <row r="27" spans="1:2" x14ac:dyDescent="0.25">
      <c r="A27" s="18">
        <v>46.5</v>
      </c>
      <c r="B27" s="18">
        <v>4.7100000000000001E-4</v>
      </c>
    </row>
    <row r="28" spans="1:2" x14ac:dyDescent="0.25">
      <c r="A28" s="18">
        <v>47</v>
      </c>
      <c r="B28" s="18">
        <v>5.53E-4</v>
      </c>
    </row>
    <row r="29" spans="1:2" x14ac:dyDescent="0.25">
      <c r="A29" s="18">
        <v>47.5</v>
      </c>
      <c r="B29" s="18">
        <v>6.1200000000000002E-4</v>
      </c>
    </row>
    <row r="30" spans="1:2" x14ac:dyDescent="0.25">
      <c r="A30" s="18">
        <v>48</v>
      </c>
      <c r="B30" s="18">
        <v>7.0399999999999998E-4</v>
      </c>
    </row>
    <row r="31" spans="1:2" x14ac:dyDescent="0.25">
      <c r="A31" s="18">
        <v>48.5</v>
      </c>
      <c r="B31" s="18">
        <v>8.3799999999999999E-4</v>
      </c>
    </row>
    <row r="32" spans="1:2" x14ac:dyDescent="0.25">
      <c r="A32" s="18">
        <v>49</v>
      </c>
      <c r="B32" s="18">
        <v>9.01E-4</v>
      </c>
    </row>
    <row r="33" spans="1:2" x14ac:dyDescent="0.25">
      <c r="A33" s="18">
        <v>49.5</v>
      </c>
      <c r="B33" s="18">
        <v>1.08E-3</v>
      </c>
    </row>
    <row r="34" spans="1:2" x14ac:dyDescent="0.25">
      <c r="A34" s="18">
        <v>50</v>
      </c>
      <c r="B34" s="18">
        <v>1.1299999999999999E-3</v>
      </c>
    </row>
    <row r="35" spans="1:2" x14ac:dyDescent="0.25">
      <c r="A35" s="18">
        <v>50.5</v>
      </c>
      <c r="B35" s="18">
        <v>1.24E-3</v>
      </c>
    </row>
    <row r="36" spans="1:2" x14ac:dyDescent="0.25">
      <c r="A36" s="18">
        <v>51</v>
      </c>
      <c r="B36" s="18">
        <v>1.39E-3</v>
      </c>
    </row>
    <row r="37" spans="1:2" x14ac:dyDescent="0.25">
      <c r="A37" s="18">
        <v>51.5</v>
      </c>
      <c r="B37" s="18">
        <v>1.5499999999999999E-3</v>
      </c>
    </row>
    <row r="38" spans="1:2" x14ac:dyDescent="0.25">
      <c r="A38" s="18">
        <v>52</v>
      </c>
      <c r="B38" s="18">
        <v>1.6999999999999999E-3</v>
      </c>
    </row>
    <row r="39" spans="1:2" x14ac:dyDescent="0.25">
      <c r="A39" s="18">
        <v>52.5</v>
      </c>
      <c r="B39" s="18">
        <v>1.89E-3</v>
      </c>
    </row>
    <row r="40" spans="1:2" x14ac:dyDescent="0.25">
      <c r="A40" s="18">
        <v>53</v>
      </c>
      <c r="B40" s="18">
        <v>2.0699999999999998E-3</v>
      </c>
    </row>
    <row r="41" spans="1:2" x14ac:dyDescent="0.25">
      <c r="A41" s="18">
        <v>53.5</v>
      </c>
      <c r="B41" s="18">
        <v>2.2300000000000002E-3</v>
      </c>
    </row>
    <row r="42" spans="1:2" x14ac:dyDescent="0.25">
      <c r="A42" s="18">
        <v>54</v>
      </c>
      <c r="B42" s="18">
        <v>2.3999999999999998E-3</v>
      </c>
    </row>
    <row r="43" spans="1:2" x14ac:dyDescent="0.25">
      <c r="A43" s="18">
        <v>54.5</v>
      </c>
      <c r="B43" s="18">
        <v>2.5999999999999999E-3</v>
      </c>
    </row>
    <row r="44" spans="1:2" x14ac:dyDescent="0.25">
      <c r="A44" s="18">
        <v>55</v>
      </c>
      <c r="B44" s="18">
        <v>2.8E-3</v>
      </c>
    </row>
    <row r="45" spans="1:2" x14ac:dyDescent="0.25">
      <c r="A45" s="18">
        <v>55.5</v>
      </c>
      <c r="B45" s="18">
        <v>2.96E-3</v>
      </c>
    </row>
    <row r="46" spans="1:2" x14ac:dyDescent="0.25">
      <c r="A46" s="18">
        <v>56</v>
      </c>
      <c r="B46" s="18">
        <v>3.1700000000000001E-3</v>
      </c>
    </row>
    <row r="47" spans="1:2" x14ac:dyDescent="0.25">
      <c r="A47" s="18">
        <v>56.5</v>
      </c>
      <c r="B47" s="18">
        <v>3.47E-3</v>
      </c>
    </row>
    <row r="48" spans="1:2" x14ac:dyDescent="0.25">
      <c r="A48" s="18">
        <v>57</v>
      </c>
      <c r="B48" s="18">
        <v>3.6600000000000001E-3</v>
      </c>
    </row>
    <row r="49" spans="1:2" x14ac:dyDescent="0.25">
      <c r="A49" s="18">
        <v>57.5</v>
      </c>
      <c r="B49" s="18">
        <v>5.6299999999999996E-3</v>
      </c>
    </row>
    <row r="50" spans="1:2" x14ac:dyDescent="0.25">
      <c r="A50" s="18">
        <v>58</v>
      </c>
      <c r="B50" s="18">
        <v>1.4200000000000001E-2</v>
      </c>
    </row>
    <row r="51" spans="1:2" x14ac:dyDescent="0.25">
      <c r="A51" s="18">
        <v>58.5</v>
      </c>
      <c r="B51" s="18">
        <v>5.4400000000000004E-3</v>
      </c>
    </row>
    <row r="52" spans="1:2" x14ac:dyDescent="0.25">
      <c r="A52" s="18">
        <v>59</v>
      </c>
      <c r="B52" s="18">
        <v>1.52E-2</v>
      </c>
    </row>
    <row r="53" spans="1:2" x14ac:dyDescent="0.25">
      <c r="A53" s="18">
        <v>59.5</v>
      </c>
      <c r="B53" s="18">
        <v>2.0799999999999999E-2</v>
      </c>
    </row>
    <row r="54" spans="1:2" x14ac:dyDescent="0.25">
      <c r="A54" s="18">
        <v>60</v>
      </c>
      <c r="B54" s="18">
        <v>5.3400000000000001E-3</v>
      </c>
    </row>
    <row r="55" spans="1:2" x14ac:dyDescent="0.25">
      <c r="A55" s="18">
        <v>60.5</v>
      </c>
      <c r="B55" s="18">
        <v>5.2300000000000003E-3</v>
      </c>
    </row>
    <row r="56" spans="1:2" x14ac:dyDescent="0.25">
      <c r="A56" s="18">
        <v>61</v>
      </c>
      <c r="B56" s="18">
        <v>5.4099999999999999E-3</v>
      </c>
    </row>
    <row r="57" spans="1:2" x14ac:dyDescent="0.25">
      <c r="A57" s="18">
        <v>61.5</v>
      </c>
      <c r="B57" s="18">
        <v>5.6899999999999997E-3</v>
      </c>
    </row>
    <row r="58" spans="1:2" x14ac:dyDescent="0.25">
      <c r="A58" s="18">
        <v>62</v>
      </c>
      <c r="B58" s="18">
        <v>5.8900000000000003E-3</v>
      </c>
    </row>
    <row r="59" spans="1:2" x14ac:dyDescent="0.25">
      <c r="A59" s="18">
        <v>62.5</v>
      </c>
      <c r="B59" s="18">
        <v>6.1500000000000001E-3</v>
      </c>
    </row>
    <row r="60" spans="1:2" x14ac:dyDescent="0.25">
      <c r="A60" s="18">
        <v>63</v>
      </c>
      <c r="B60" s="18">
        <v>6.4099999999999999E-3</v>
      </c>
    </row>
    <row r="61" spans="1:2" x14ac:dyDescent="0.25">
      <c r="A61" s="18">
        <v>63.5</v>
      </c>
      <c r="B61" s="18">
        <v>6.6400000000000001E-3</v>
      </c>
    </row>
    <row r="62" spans="1:2" x14ac:dyDescent="0.25">
      <c r="A62" s="18">
        <v>64</v>
      </c>
      <c r="B62" s="18">
        <v>6.96E-3</v>
      </c>
    </row>
    <row r="63" spans="1:2" x14ac:dyDescent="0.25">
      <c r="A63" s="18">
        <v>64.5</v>
      </c>
      <c r="B63" s="18">
        <v>7.1300000000000001E-3</v>
      </c>
    </row>
    <row r="64" spans="1:2" x14ac:dyDescent="0.25">
      <c r="A64" s="18">
        <v>65</v>
      </c>
      <c r="B64" s="18">
        <v>7.4200000000000004E-3</v>
      </c>
    </row>
    <row r="65" spans="1:2" x14ac:dyDescent="0.25">
      <c r="A65" s="18">
        <v>65.5</v>
      </c>
      <c r="B65" s="18">
        <v>7.6099999999999996E-3</v>
      </c>
    </row>
    <row r="66" spans="1:2" x14ac:dyDescent="0.25">
      <c r="A66" s="18">
        <v>66</v>
      </c>
      <c r="B66" s="18">
        <v>7.9600000000000001E-3</v>
      </c>
    </row>
    <row r="67" spans="1:2" x14ac:dyDescent="0.25">
      <c r="A67" s="18">
        <v>66.5</v>
      </c>
      <c r="B67" s="18">
        <v>9.7300000000000008E-3</v>
      </c>
    </row>
    <row r="68" spans="1:2" x14ac:dyDescent="0.25">
      <c r="A68" s="18">
        <v>67</v>
      </c>
      <c r="B68" s="18">
        <v>2.23E-2</v>
      </c>
    </row>
    <row r="69" spans="1:2" x14ac:dyDescent="0.25">
      <c r="A69" s="18">
        <v>67.5</v>
      </c>
      <c r="B69" s="18">
        <v>1.5900000000000001E-2</v>
      </c>
    </row>
    <row r="70" spans="1:2" x14ac:dyDescent="0.25">
      <c r="A70" s="18">
        <v>68</v>
      </c>
      <c r="B70" s="18">
        <v>8.9800000000000001E-3</v>
      </c>
    </row>
    <row r="71" spans="1:2" x14ac:dyDescent="0.25">
      <c r="A71" s="18">
        <v>68.5</v>
      </c>
      <c r="B71" s="18">
        <v>9.41E-3</v>
      </c>
    </row>
    <row r="72" spans="1:2" x14ac:dyDescent="0.25">
      <c r="A72" s="18">
        <v>69</v>
      </c>
      <c r="B72" s="18">
        <v>1.4200000000000001E-2</v>
      </c>
    </row>
    <row r="73" spans="1:2" x14ac:dyDescent="0.25">
      <c r="A73" s="18">
        <v>69.5</v>
      </c>
      <c r="B73" s="18">
        <v>1.0800000000000001E-2</v>
      </c>
    </row>
    <row r="74" spans="1:2" x14ac:dyDescent="0.25">
      <c r="A74" s="18">
        <v>70</v>
      </c>
      <c r="B74" s="18">
        <v>8.6899999999999998E-3</v>
      </c>
    </row>
    <row r="75" spans="1:2" x14ac:dyDescent="0.25">
      <c r="A75" s="18">
        <v>70.5</v>
      </c>
      <c r="B75" s="18">
        <v>8.8199999999999997E-3</v>
      </c>
    </row>
    <row r="76" spans="1:2" x14ac:dyDescent="0.25">
      <c r="A76" s="18">
        <v>71</v>
      </c>
      <c r="B76" s="18">
        <v>9.0299999999999998E-3</v>
      </c>
    </row>
    <row r="77" spans="1:2" x14ac:dyDescent="0.25">
      <c r="A77" s="18">
        <v>71.5</v>
      </c>
      <c r="B77" s="18">
        <v>9.1000000000000004E-3</v>
      </c>
    </row>
    <row r="78" spans="1:2" x14ac:dyDescent="0.25">
      <c r="A78" s="18">
        <v>72</v>
      </c>
      <c r="B78" s="18">
        <v>9.4299999999999991E-3</v>
      </c>
    </row>
    <row r="79" spans="1:2" x14ac:dyDescent="0.25">
      <c r="A79" s="18">
        <v>72.5</v>
      </c>
      <c r="B79" s="18">
        <v>9.5399999999999999E-3</v>
      </c>
    </row>
    <row r="80" spans="1:2" x14ac:dyDescent="0.25">
      <c r="A80" s="18">
        <v>73</v>
      </c>
      <c r="B80" s="18">
        <v>9.7000000000000003E-3</v>
      </c>
    </row>
    <row r="81" spans="1:2" x14ac:dyDescent="0.25">
      <c r="A81" s="18">
        <v>73.5</v>
      </c>
      <c r="B81" s="18">
        <v>9.8600000000000007E-3</v>
      </c>
    </row>
    <row r="82" spans="1:2" x14ac:dyDescent="0.25">
      <c r="A82" s="18">
        <v>74</v>
      </c>
      <c r="B82" s="18">
        <v>1.01E-2</v>
      </c>
    </row>
    <row r="83" spans="1:2" x14ac:dyDescent="0.25">
      <c r="A83" s="18">
        <v>74.5</v>
      </c>
      <c r="B83" s="18">
        <v>1.01E-2</v>
      </c>
    </row>
    <row r="84" spans="1:2" x14ac:dyDescent="0.25">
      <c r="A84" s="18">
        <v>75</v>
      </c>
      <c r="B84" s="18">
        <v>1.0200000000000001E-2</v>
      </c>
    </row>
    <row r="85" spans="1:2" x14ac:dyDescent="0.25">
      <c r="A85" s="18">
        <v>75.5</v>
      </c>
      <c r="B85" s="18">
        <v>1.0500000000000001E-2</v>
      </c>
    </row>
    <row r="86" spans="1:2" x14ac:dyDescent="0.25">
      <c r="A86" s="18">
        <v>76</v>
      </c>
      <c r="B86" s="18">
        <v>1.06E-2</v>
      </c>
    </row>
    <row r="87" spans="1:2" x14ac:dyDescent="0.25">
      <c r="A87" s="18">
        <v>76.5</v>
      </c>
      <c r="B87" s="18">
        <v>1.0500000000000001E-2</v>
      </c>
    </row>
    <row r="88" spans="1:2" x14ac:dyDescent="0.25">
      <c r="A88" s="18">
        <v>77</v>
      </c>
      <c r="B88" s="18">
        <v>1.0699999999999999E-2</v>
      </c>
    </row>
    <row r="89" spans="1:2" x14ac:dyDescent="0.25">
      <c r="A89" s="18">
        <v>77.5</v>
      </c>
      <c r="B89" s="18">
        <v>1.0800000000000001E-2</v>
      </c>
    </row>
    <row r="90" spans="1:2" x14ac:dyDescent="0.25">
      <c r="A90" s="18">
        <v>78</v>
      </c>
      <c r="B90" s="18">
        <v>1.09E-2</v>
      </c>
    </row>
    <row r="91" spans="1:2" x14ac:dyDescent="0.25">
      <c r="A91" s="18">
        <v>78.5</v>
      </c>
      <c r="B91" s="18">
        <v>1.0999999999999999E-2</v>
      </c>
    </row>
    <row r="92" spans="1:2" x14ac:dyDescent="0.25">
      <c r="A92" s="18">
        <v>79</v>
      </c>
      <c r="B92" s="18">
        <v>1.0999999999999999E-2</v>
      </c>
    </row>
    <row r="93" spans="1:2" x14ac:dyDescent="0.25">
      <c r="A93" s="18">
        <v>79.5</v>
      </c>
      <c r="B93" s="18">
        <v>1.11E-2</v>
      </c>
    </row>
    <row r="94" spans="1:2" x14ac:dyDescent="0.25">
      <c r="A94" s="18">
        <v>80</v>
      </c>
      <c r="B94" s="18">
        <v>1.11E-2</v>
      </c>
    </row>
    <row r="95" spans="1:2" x14ac:dyDescent="0.25">
      <c r="A95" s="18">
        <v>80.5</v>
      </c>
      <c r="B95" s="18">
        <v>1.12E-2</v>
      </c>
    </row>
    <row r="96" spans="1:2" x14ac:dyDescent="0.25">
      <c r="A96" s="18">
        <v>81</v>
      </c>
      <c r="B96" s="18">
        <v>1.1299999999999999E-2</v>
      </c>
    </row>
    <row r="97" spans="1:2" x14ac:dyDescent="0.25">
      <c r="A97" s="18">
        <v>81.5</v>
      </c>
      <c r="B97" s="18">
        <v>1.14E-2</v>
      </c>
    </row>
    <row r="98" spans="1:2" x14ac:dyDescent="0.25">
      <c r="A98" s="18">
        <v>82</v>
      </c>
      <c r="B98" s="18">
        <v>1.14E-2</v>
      </c>
    </row>
    <row r="99" spans="1:2" x14ac:dyDescent="0.25">
      <c r="A99" s="18">
        <v>82.5</v>
      </c>
      <c r="B99" s="18">
        <v>1.1599999999999999E-2</v>
      </c>
    </row>
    <row r="100" spans="1:2" x14ac:dyDescent="0.25">
      <c r="A100" s="18">
        <v>83</v>
      </c>
      <c r="B100" s="18">
        <v>1.15E-2</v>
      </c>
    </row>
    <row r="101" spans="1:2" x14ac:dyDescent="0.25">
      <c r="A101" s="18">
        <v>83.5</v>
      </c>
      <c r="B101" s="18">
        <v>1.15E-2</v>
      </c>
    </row>
    <row r="102" spans="1:2" x14ac:dyDescent="0.25">
      <c r="A102" s="18">
        <v>84</v>
      </c>
      <c r="B102" s="18">
        <v>1.1599999999999999E-2</v>
      </c>
    </row>
    <row r="103" spans="1:2" x14ac:dyDescent="0.25">
      <c r="A103" s="18">
        <v>84.5</v>
      </c>
      <c r="B103" s="18">
        <v>1.17E-2</v>
      </c>
    </row>
    <row r="104" spans="1:2" x14ac:dyDescent="0.25">
      <c r="A104" s="18">
        <v>85</v>
      </c>
      <c r="B104" s="18">
        <v>1.1599999999999999E-2</v>
      </c>
    </row>
    <row r="105" spans="1:2" x14ac:dyDescent="0.25">
      <c r="A105" s="18">
        <v>85.5</v>
      </c>
      <c r="B105" s="18">
        <v>1.1599999999999999E-2</v>
      </c>
    </row>
    <row r="106" spans="1:2" x14ac:dyDescent="0.25">
      <c r="A106" s="18">
        <v>86</v>
      </c>
      <c r="B106" s="18">
        <v>1.1599999999999999E-2</v>
      </c>
    </row>
    <row r="107" spans="1:2" x14ac:dyDescent="0.25">
      <c r="A107" s="18">
        <v>86.5</v>
      </c>
      <c r="B107" s="18">
        <v>1.17E-2</v>
      </c>
    </row>
    <row r="108" spans="1:2" x14ac:dyDescent="0.25">
      <c r="A108" s="18">
        <v>87</v>
      </c>
      <c r="B108" s="18">
        <v>1.17E-2</v>
      </c>
    </row>
    <row r="109" spans="1:2" x14ac:dyDescent="0.25">
      <c r="A109" s="18">
        <v>87.5</v>
      </c>
      <c r="B109" s="18">
        <v>1.1599999999999999E-2</v>
      </c>
    </row>
    <row r="110" spans="1:2" x14ac:dyDescent="0.25">
      <c r="A110" s="18">
        <v>88</v>
      </c>
      <c r="B110" s="18">
        <v>1.1299999999999999E-2</v>
      </c>
    </row>
    <row r="111" spans="1:2" x14ac:dyDescent="0.25">
      <c r="A111" s="18">
        <v>88.5</v>
      </c>
      <c r="B111" s="18">
        <v>1.1299999999999999E-2</v>
      </c>
    </row>
    <row r="112" spans="1:2" x14ac:dyDescent="0.25">
      <c r="A112" s="18">
        <v>89</v>
      </c>
      <c r="B112" s="18">
        <v>1.1299999999999999E-2</v>
      </c>
    </row>
    <row r="113" spans="1:2" x14ac:dyDescent="0.25">
      <c r="A113" s="18">
        <v>89.5</v>
      </c>
      <c r="B113" s="18">
        <v>1.12E-2</v>
      </c>
    </row>
    <row r="114" spans="1:2" x14ac:dyDescent="0.25">
      <c r="A114" s="18">
        <v>90</v>
      </c>
      <c r="B114" s="18">
        <v>1.11E-2</v>
      </c>
    </row>
    <row r="115" spans="1:2" x14ac:dyDescent="0.25">
      <c r="A115" s="18">
        <v>90.5</v>
      </c>
      <c r="B115" s="18">
        <v>1.0999999999999999E-2</v>
      </c>
    </row>
    <row r="116" spans="1:2" x14ac:dyDescent="0.25">
      <c r="A116" s="18">
        <v>91</v>
      </c>
      <c r="B116" s="18">
        <v>1.09E-2</v>
      </c>
    </row>
    <row r="117" spans="1:2" x14ac:dyDescent="0.25">
      <c r="A117" s="18">
        <v>91.5</v>
      </c>
      <c r="B117" s="18">
        <v>1.09E-2</v>
      </c>
    </row>
    <row r="118" spans="1:2" x14ac:dyDescent="0.25">
      <c r="A118" s="18">
        <v>92</v>
      </c>
      <c r="B118" s="18">
        <v>1.0800000000000001E-2</v>
      </c>
    </row>
    <row r="119" spans="1:2" x14ac:dyDescent="0.25">
      <c r="A119" s="18">
        <v>92.5</v>
      </c>
      <c r="B119" s="18">
        <v>1.06E-2</v>
      </c>
    </row>
    <row r="120" spans="1:2" x14ac:dyDescent="0.25">
      <c r="A120" s="18">
        <v>93</v>
      </c>
      <c r="B120" s="18">
        <v>1.0500000000000001E-2</v>
      </c>
    </row>
    <row r="121" spans="1:2" x14ac:dyDescent="0.25">
      <c r="A121" s="18">
        <v>93.5</v>
      </c>
      <c r="B121" s="18">
        <v>1.0200000000000001E-2</v>
      </c>
    </row>
    <row r="122" spans="1:2" x14ac:dyDescent="0.25">
      <c r="A122" s="18">
        <v>94</v>
      </c>
      <c r="B122" s="18">
        <v>1.0200000000000001E-2</v>
      </c>
    </row>
    <row r="123" spans="1:2" x14ac:dyDescent="0.25">
      <c r="A123" s="18">
        <v>94.5</v>
      </c>
      <c r="B123" s="18">
        <v>0.01</v>
      </c>
    </row>
    <row r="124" spans="1:2" x14ac:dyDescent="0.25">
      <c r="A124" s="18">
        <v>95</v>
      </c>
      <c r="B124" s="18">
        <v>9.8300000000000002E-3</v>
      </c>
    </row>
    <row r="125" spans="1:2" x14ac:dyDescent="0.25">
      <c r="A125" s="18">
        <v>95.5</v>
      </c>
      <c r="B125" s="18">
        <v>9.6900000000000007E-3</v>
      </c>
    </row>
    <row r="126" spans="1:2" x14ac:dyDescent="0.25">
      <c r="A126" s="18">
        <v>96</v>
      </c>
      <c r="B126" s="18">
        <v>9.58E-3</v>
      </c>
    </row>
    <row r="127" spans="1:2" x14ac:dyDescent="0.25">
      <c r="A127" s="18">
        <v>96.5</v>
      </c>
      <c r="B127" s="18">
        <v>9.3200000000000002E-3</v>
      </c>
    </row>
    <row r="128" spans="1:2" x14ac:dyDescent="0.25">
      <c r="A128" s="18">
        <v>97</v>
      </c>
      <c r="B128" s="18">
        <v>9.0900000000000009E-3</v>
      </c>
    </row>
    <row r="129" spans="1:2" x14ac:dyDescent="0.25">
      <c r="A129" s="18">
        <v>97.5</v>
      </c>
      <c r="B129" s="18">
        <v>8.9599999999999992E-3</v>
      </c>
    </row>
    <row r="130" spans="1:2" x14ac:dyDescent="0.25">
      <c r="A130" s="18">
        <v>98</v>
      </c>
      <c r="B130" s="18">
        <v>8.6899999999999998E-3</v>
      </c>
    </row>
    <row r="131" spans="1:2" x14ac:dyDescent="0.25">
      <c r="A131" s="18">
        <v>98.5</v>
      </c>
      <c r="B131" s="18">
        <v>8.4700000000000001E-3</v>
      </c>
    </row>
    <row r="132" spans="1:2" x14ac:dyDescent="0.25">
      <c r="A132" s="18">
        <v>99</v>
      </c>
      <c r="B132" s="18">
        <v>8.2500000000000004E-3</v>
      </c>
    </row>
    <row r="133" spans="1:2" x14ac:dyDescent="0.25">
      <c r="A133" s="18">
        <v>99.5</v>
      </c>
      <c r="B133" s="18">
        <v>8.09E-3</v>
      </c>
    </row>
    <row r="134" spans="1:2" x14ac:dyDescent="0.25">
      <c r="A134" s="18">
        <v>100</v>
      </c>
      <c r="B134" s="18">
        <v>7.8200000000000006E-3</v>
      </c>
    </row>
    <row r="135" spans="1:2" x14ac:dyDescent="0.25">
      <c r="A135" s="18">
        <v>101</v>
      </c>
      <c r="B135" s="18">
        <v>7.5199999999999998E-3</v>
      </c>
    </row>
    <row r="136" spans="1:2" x14ac:dyDescent="0.25">
      <c r="A136" s="18">
        <v>101</v>
      </c>
      <c r="B136" s="18">
        <v>7.3200000000000001E-3</v>
      </c>
    </row>
    <row r="137" spans="1:2" x14ac:dyDescent="0.25">
      <c r="A137" s="18">
        <v>102</v>
      </c>
      <c r="B137" s="18">
        <v>7.0200000000000002E-3</v>
      </c>
    </row>
    <row r="138" spans="1:2" x14ac:dyDescent="0.25">
      <c r="A138" s="18">
        <v>102</v>
      </c>
      <c r="B138" s="18">
        <v>6.7200000000000003E-3</v>
      </c>
    </row>
    <row r="139" spans="1:2" x14ac:dyDescent="0.25">
      <c r="A139" s="18">
        <v>103</v>
      </c>
      <c r="B139" s="18">
        <v>6.3600000000000002E-3</v>
      </c>
    </row>
    <row r="140" spans="1:2" x14ac:dyDescent="0.25">
      <c r="A140" s="18">
        <v>103</v>
      </c>
      <c r="B140" s="18">
        <v>6.1399999999999996E-3</v>
      </c>
    </row>
    <row r="141" spans="1:2" x14ac:dyDescent="0.25">
      <c r="A141" s="18">
        <v>104</v>
      </c>
      <c r="B141" s="18">
        <v>5.7999999999999996E-3</v>
      </c>
    </row>
    <row r="142" spans="1:2" x14ac:dyDescent="0.25">
      <c r="A142" s="18">
        <v>104</v>
      </c>
      <c r="B142" s="18">
        <v>5.4999999999999997E-3</v>
      </c>
    </row>
    <row r="143" spans="1:2" x14ac:dyDescent="0.25">
      <c r="A143" s="18">
        <v>105</v>
      </c>
      <c r="B143" s="18">
        <v>5.0899999999999999E-3</v>
      </c>
    </row>
    <row r="144" spans="1:2" x14ac:dyDescent="0.25">
      <c r="A144" s="18">
        <v>105</v>
      </c>
      <c r="B144" s="18">
        <v>4.7400000000000003E-3</v>
      </c>
    </row>
    <row r="145" spans="1:2" x14ac:dyDescent="0.25">
      <c r="A145" s="18">
        <v>106</v>
      </c>
      <c r="B145" s="18">
        <v>4.45E-3</v>
      </c>
    </row>
    <row r="146" spans="1:2" x14ac:dyDescent="0.25">
      <c r="A146" s="18">
        <v>106</v>
      </c>
      <c r="B146" s="18">
        <v>3.98E-3</v>
      </c>
    </row>
    <row r="147" spans="1:2" x14ac:dyDescent="0.25">
      <c r="A147" s="18">
        <v>107</v>
      </c>
      <c r="B147" s="18">
        <v>3.62E-3</v>
      </c>
    </row>
    <row r="148" spans="1:2" x14ac:dyDescent="0.25">
      <c r="A148" s="18">
        <v>107</v>
      </c>
      <c r="B148" s="18">
        <v>3.2399999999999998E-3</v>
      </c>
    </row>
    <row r="149" spans="1:2" x14ac:dyDescent="0.25">
      <c r="A149" s="18">
        <v>108</v>
      </c>
      <c r="B149" s="18">
        <v>2.7899999999999999E-3</v>
      </c>
    </row>
    <row r="150" spans="1:2" x14ac:dyDescent="0.25">
      <c r="A150" s="18">
        <v>108</v>
      </c>
      <c r="B150" s="18">
        <v>2.3700000000000001E-3</v>
      </c>
    </row>
    <row r="151" spans="1:2" x14ac:dyDescent="0.25">
      <c r="A151" s="18">
        <v>109</v>
      </c>
      <c r="B151" s="18">
        <v>1.81E-3</v>
      </c>
    </row>
    <row r="152" spans="1:2" x14ac:dyDescent="0.25">
      <c r="A152" s="18">
        <v>109</v>
      </c>
      <c r="B152" s="18">
        <v>1.31E-3</v>
      </c>
    </row>
    <row r="153" spans="1:2" x14ac:dyDescent="0.25">
      <c r="A153" s="18">
        <v>110</v>
      </c>
      <c r="B153" s="18">
        <v>7.5000000000000002E-4</v>
      </c>
    </row>
    <row r="154" spans="1:2" x14ac:dyDescent="0.25">
      <c r="A154" s="18">
        <v>110</v>
      </c>
      <c r="B154" s="18">
        <v>1.7899999999999999E-4</v>
      </c>
    </row>
    <row r="155" spans="1:2" x14ac:dyDescent="0.25">
      <c r="A155" s="18">
        <v>111</v>
      </c>
      <c r="B155" s="18">
        <v>1.4699999999999999E-6</v>
      </c>
    </row>
    <row r="156" spans="1:2" x14ac:dyDescent="0.25">
      <c r="A156" s="18">
        <v>111</v>
      </c>
      <c r="B156" s="18">
        <v>1.6299999999999999E-7</v>
      </c>
    </row>
    <row r="157" spans="1:2" x14ac:dyDescent="0.25">
      <c r="A157" s="18">
        <v>112</v>
      </c>
      <c r="B157" s="18">
        <v>6.6899999999999997E-7</v>
      </c>
    </row>
    <row r="158" spans="1:2" x14ac:dyDescent="0.25">
      <c r="A158" s="18">
        <v>112</v>
      </c>
      <c r="B158" s="18">
        <v>1.1799999999999999E-6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1:B13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18</v>
      </c>
      <c r="B2" s="18">
        <v>2.33E-4</v>
      </c>
    </row>
    <row r="3" spans="1:2" x14ac:dyDescent="0.25">
      <c r="A3" s="18">
        <v>19</v>
      </c>
      <c r="B3" s="18">
        <v>2.7900000000000001E-4</v>
      </c>
    </row>
    <row r="4" spans="1:2" x14ac:dyDescent="0.25">
      <c r="A4" s="18">
        <v>20</v>
      </c>
      <c r="B4" s="18">
        <v>2.31E-4</v>
      </c>
    </row>
    <row r="5" spans="1:2" x14ac:dyDescent="0.25">
      <c r="A5" s="18">
        <v>21</v>
      </c>
      <c r="B5" s="18">
        <v>2.33E-4</v>
      </c>
    </row>
    <row r="6" spans="1:2" x14ac:dyDescent="0.25">
      <c r="A6" s="18">
        <v>22</v>
      </c>
      <c r="B6" s="18">
        <v>3.9800000000000002E-4</v>
      </c>
    </row>
    <row r="7" spans="1:2" x14ac:dyDescent="0.25">
      <c r="A7" s="18">
        <v>23</v>
      </c>
      <c r="B7" s="18">
        <v>2.4800000000000001E-4</v>
      </c>
    </row>
    <row r="8" spans="1:2" x14ac:dyDescent="0.25">
      <c r="A8" s="18">
        <v>24</v>
      </c>
      <c r="B8" s="18">
        <v>1.6000000000000001E-4</v>
      </c>
    </row>
    <row r="9" spans="1:2" x14ac:dyDescent="0.25">
      <c r="A9" s="18">
        <v>25</v>
      </c>
      <c r="B9" s="18">
        <v>2.24E-4</v>
      </c>
    </row>
    <row r="10" spans="1:2" x14ac:dyDescent="0.25">
      <c r="A10" s="18">
        <v>26</v>
      </c>
      <c r="B10" s="18">
        <v>2.4499999999999999E-4</v>
      </c>
    </row>
    <row r="11" spans="1:2" x14ac:dyDescent="0.25">
      <c r="A11" s="18">
        <v>27</v>
      </c>
      <c r="B11" s="18">
        <v>3.4200000000000002E-4</v>
      </c>
    </row>
    <row r="12" spans="1:2" x14ac:dyDescent="0.25">
      <c r="A12" s="18">
        <v>28</v>
      </c>
      <c r="B12" s="18">
        <v>5.7799999999999995E-4</v>
      </c>
    </row>
    <row r="13" spans="1:2" x14ac:dyDescent="0.25">
      <c r="A13" s="18">
        <v>29</v>
      </c>
      <c r="B13" s="18">
        <v>6.8800000000000003E-4</v>
      </c>
    </row>
    <row r="14" spans="1:2" x14ac:dyDescent="0.25">
      <c r="A14" s="18">
        <v>30</v>
      </c>
      <c r="B14" s="18">
        <v>1.7100000000000001E-4</v>
      </c>
    </row>
    <row r="15" spans="1:2" x14ac:dyDescent="0.25">
      <c r="A15" s="18">
        <v>31</v>
      </c>
      <c r="B15" s="18">
        <v>1.13E-4</v>
      </c>
    </row>
    <row r="16" spans="1:2" x14ac:dyDescent="0.25">
      <c r="A16" s="18">
        <v>32</v>
      </c>
      <c r="B16" s="18">
        <v>1.44E-4</v>
      </c>
    </row>
    <row r="17" spans="1:2" x14ac:dyDescent="0.25">
      <c r="A17" s="18">
        <v>33</v>
      </c>
      <c r="B17" s="18">
        <v>1.5699999999999999E-4</v>
      </c>
    </row>
    <row r="18" spans="1:2" x14ac:dyDescent="0.25">
      <c r="A18" s="18">
        <v>34</v>
      </c>
      <c r="B18" s="18">
        <v>1.34E-4</v>
      </c>
    </row>
    <row r="19" spans="1:2" x14ac:dyDescent="0.25">
      <c r="A19" s="18">
        <v>35</v>
      </c>
      <c r="B19" s="18">
        <v>1.22E-4</v>
      </c>
    </row>
    <row r="20" spans="1:2" x14ac:dyDescent="0.25">
      <c r="A20" s="18">
        <v>36</v>
      </c>
      <c r="B20" s="18">
        <v>1.27E-4</v>
      </c>
    </row>
    <row r="21" spans="1:2" x14ac:dyDescent="0.25">
      <c r="A21" s="18">
        <v>37</v>
      </c>
      <c r="B21" s="18">
        <v>1.2400000000000001E-4</v>
      </c>
    </row>
    <row r="22" spans="1:2" x14ac:dyDescent="0.25">
      <c r="A22" s="18">
        <v>38</v>
      </c>
      <c r="B22" s="18">
        <v>1.22E-4</v>
      </c>
    </row>
    <row r="23" spans="1:2" x14ac:dyDescent="0.25">
      <c r="A23" s="18">
        <v>39</v>
      </c>
      <c r="B23" s="18">
        <v>9.6100000000000005E-5</v>
      </c>
    </row>
    <row r="24" spans="1:2" x14ac:dyDescent="0.25">
      <c r="A24" s="18">
        <v>40</v>
      </c>
      <c r="B24" s="18">
        <v>1.05E-4</v>
      </c>
    </row>
    <row r="25" spans="1:2" x14ac:dyDescent="0.25">
      <c r="A25" s="18">
        <v>41</v>
      </c>
      <c r="B25" s="18">
        <v>1.11E-4</v>
      </c>
    </row>
    <row r="26" spans="1:2" x14ac:dyDescent="0.25">
      <c r="A26" s="18">
        <v>42</v>
      </c>
      <c r="B26" s="18">
        <v>7.1899999999999999E-5</v>
      </c>
    </row>
    <row r="27" spans="1:2" x14ac:dyDescent="0.25">
      <c r="A27" s="18">
        <v>43</v>
      </c>
      <c r="B27" s="18">
        <v>9.5400000000000001E-5</v>
      </c>
    </row>
    <row r="28" spans="1:2" x14ac:dyDescent="0.25">
      <c r="A28" s="18">
        <v>44</v>
      </c>
      <c r="B28" s="18">
        <v>6.5599999999999995E-5</v>
      </c>
    </row>
    <row r="29" spans="1:2" x14ac:dyDescent="0.25">
      <c r="A29" s="18">
        <v>45</v>
      </c>
      <c r="B29" s="18">
        <v>8.2000000000000001E-5</v>
      </c>
    </row>
    <row r="30" spans="1:2" x14ac:dyDescent="0.25">
      <c r="A30" s="18">
        <v>46</v>
      </c>
      <c r="B30" s="18">
        <v>6.0999999999999999E-5</v>
      </c>
    </row>
    <row r="31" spans="1:2" x14ac:dyDescent="0.25">
      <c r="A31" s="18">
        <v>47</v>
      </c>
      <c r="B31" s="18">
        <v>8.3800000000000004E-5</v>
      </c>
    </row>
    <row r="32" spans="1:2" x14ac:dyDescent="0.25">
      <c r="A32" s="18">
        <v>48</v>
      </c>
      <c r="B32" s="18">
        <v>8.2100000000000003E-5</v>
      </c>
    </row>
    <row r="33" spans="1:2" x14ac:dyDescent="0.25">
      <c r="A33" s="18">
        <v>49</v>
      </c>
      <c r="B33" s="18">
        <v>8.7000000000000001E-5</v>
      </c>
    </row>
    <row r="34" spans="1:2" x14ac:dyDescent="0.25">
      <c r="A34" s="18">
        <v>50</v>
      </c>
      <c r="B34" s="18">
        <v>1.06E-4</v>
      </c>
    </row>
    <row r="35" spans="1:2" x14ac:dyDescent="0.25">
      <c r="A35" s="18">
        <v>51</v>
      </c>
      <c r="B35" s="18">
        <v>1.35E-4</v>
      </c>
    </row>
    <row r="36" spans="1:2" x14ac:dyDescent="0.25">
      <c r="A36" s="18">
        <v>52</v>
      </c>
      <c r="B36" s="18">
        <v>1.6000000000000001E-4</v>
      </c>
    </row>
    <row r="37" spans="1:2" x14ac:dyDescent="0.25">
      <c r="A37" s="18">
        <v>53</v>
      </c>
      <c r="B37" s="18">
        <v>1.94E-4</v>
      </c>
    </row>
    <row r="38" spans="1:2" x14ac:dyDescent="0.25">
      <c r="A38" s="18">
        <v>54</v>
      </c>
      <c r="B38" s="18">
        <v>2.6800000000000001E-4</v>
      </c>
    </row>
    <row r="39" spans="1:2" x14ac:dyDescent="0.25">
      <c r="A39" s="18">
        <v>55</v>
      </c>
      <c r="B39" s="18">
        <v>3.28E-4</v>
      </c>
    </row>
    <row r="40" spans="1:2" x14ac:dyDescent="0.25">
      <c r="A40" s="18">
        <v>56</v>
      </c>
      <c r="B40" s="18">
        <v>4.2000000000000002E-4</v>
      </c>
    </row>
    <row r="41" spans="1:2" x14ac:dyDescent="0.25">
      <c r="A41" s="18">
        <v>57</v>
      </c>
      <c r="B41" s="18">
        <v>5.1599999999999997E-4</v>
      </c>
    </row>
    <row r="42" spans="1:2" x14ac:dyDescent="0.25">
      <c r="A42" s="18">
        <v>58</v>
      </c>
      <c r="B42" s="18">
        <v>2.2499999999999998E-3</v>
      </c>
    </row>
    <row r="43" spans="1:2" x14ac:dyDescent="0.25">
      <c r="A43" s="18">
        <v>59</v>
      </c>
      <c r="B43" s="18">
        <v>3.29E-3</v>
      </c>
    </row>
    <row r="44" spans="1:2" x14ac:dyDescent="0.25">
      <c r="A44" s="18">
        <v>60</v>
      </c>
      <c r="B44" s="18">
        <v>2.5999999999999999E-3</v>
      </c>
    </row>
    <row r="45" spans="1:2" x14ac:dyDescent="0.25">
      <c r="A45" s="18">
        <v>61</v>
      </c>
      <c r="B45" s="18">
        <v>1.16E-3</v>
      </c>
    </row>
    <row r="46" spans="1:2" x14ac:dyDescent="0.25">
      <c r="A46" s="18">
        <v>62</v>
      </c>
      <c r="B46" s="18">
        <v>1.3600000000000001E-3</v>
      </c>
    </row>
    <row r="47" spans="1:2" x14ac:dyDescent="0.25">
      <c r="A47" s="18">
        <v>63</v>
      </c>
      <c r="B47" s="18">
        <v>1.57E-3</v>
      </c>
    </row>
    <row r="48" spans="1:2" x14ac:dyDescent="0.25">
      <c r="A48" s="18">
        <v>64</v>
      </c>
      <c r="B48" s="18">
        <v>1.8699999999999999E-3</v>
      </c>
    </row>
    <row r="49" spans="1:2" x14ac:dyDescent="0.25">
      <c r="A49" s="18">
        <v>65</v>
      </c>
      <c r="B49" s="18">
        <v>2.1800000000000001E-3</v>
      </c>
    </row>
    <row r="50" spans="1:2" x14ac:dyDescent="0.25">
      <c r="A50" s="18">
        <v>66</v>
      </c>
      <c r="B50" s="18">
        <v>2.5899999999999999E-3</v>
      </c>
    </row>
    <row r="51" spans="1:2" x14ac:dyDescent="0.25">
      <c r="A51" s="18">
        <v>67</v>
      </c>
      <c r="B51" s="18">
        <v>7.77E-3</v>
      </c>
    </row>
    <row r="52" spans="1:2" x14ac:dyDescent="0.25">
      <c r="A52" s="18">
        <v>68</v>
      </c>
      <c r="B52" s="18">
        <v>4.6299999999999996E-3</v>
      </c>
    </row>
    <row r="53" spans="1:2" x14ac:dyDescent="0.25">
      <c r="A53" s="18">
        <v>69</v>
      </c>
      <c r="B53" s="18">
        <v>5.3400000000000001E-3</v>
      </c>
    </row>
    <row r="54" spans="1:2" x14ac:dyDescent="0.25">
      <c r="A54" s="18">
        <v>70</v>
      </c>
      <c r="B54" s="18">
        <v>3.8700000000000002E-3</v>
      </c>
    </row>
    <row r="55" spans="1:2" x14ac:dyDescent="0.25">
      <c r="A55" s="18">
        <v>71</v>
      </c>
      <c r="B55" s="18">
        <v>3.6700000000000001E-3</v>
      </c>
    </row>
    <row r="56" spans="1:2" x14ac:dyDescent="0.25">
      <c r="A56" s="18">
        <v>72</v>
      </c>
      <c r="B56" s="18">
        <v>4.13E-3</v>
      </c>
    </row>
    <row r="57" spans="1:2" x14ac:dyDescent="0.25">
      <c r="A57" s="18">
        <v>73</v>
      </c>
      <c r="B57" s="18">
        <v>4.5100000000000001E-3</v>
      </c>
    </row>
    <row r="58" spans="1:2" x14ac:dyDescent="0.25">
      <c r="A58" s="18">
        <v>74</v>
      </c>
      <c r="B58" s="18">
        <v>4.9500000000000004E-3</v>
      </c>
    </row>
    <row r="59" spans="1:2" x14ac:dyDescent="0.25">
      <c r="A59" s="18">
        <v>75</v>
      </c>
      <c r="B59" s="18">
        <v>5.3800000000000002E-3</v>
      </c>
    </row>
    <row r="60" spans="1:2" x14ac:dyDescent="0.25">
      <c r="A60" s="18">
        <v>76</v>
      </c>
      <c r="B60" s="18">
        <v>5.77E-3</v>
      </c>
    </row>
    <row r="61" spans="1:2" x14ac:dyDescent="0.25">
      <c r="A61" s="18">
        <v>77</v>
      </c>
      <c r="B61" s="18">
        <v>6.1500000000000001E-3</v>
      </c>
    </row>
    <row r="62" spans="1:2" x14ac:dyDescent="0.25">
      <c r="A62" s="18">
        <v>78</v>
      </c>
      <c r="B62" s="18">
        <v>6.7200000000000003E-3</v>
      </c>
    </row>
    <row r="63" spans="1:2" x14ac:dyDescent="0.25">
      <c r="A63" s="18">
        <v>79</v>
      </c>
      <c r="B63" s="18">
        <v>7.0000000000000001E-3</v>
      </c>
    </row>
    <row r="64" spans="1:2" x14ac:dyDescent="0.25">
      <c r="A64" s="18">
        <v>80</v>
      </c>
      <c r="B64" s="18">
        <v>7.4900000000000001E-3</v>
      </c>
    </row>
    <row r="65" spans="1:2" x14ac:dyDescent="0.25">
      <c r="A65" s="18">
        <v>81</v>
      </c>
      <c r="B65" s="18">
        <v>8.0199999999999994E-3</v>
      </c>
    </row>
    <row r="66" spans="1:2" x14ac:dyDescent="0.25">
      <c r="A66" s="18">
        <v>82</v>
      </c>
      <c r="B66" s="18">
        <v>8.5000000000000006E-3</v>
      </c>
    </row>
    <row r="67" spans="1:2" x14ac:dyDescent="0.25">
      <c r="A67" s="18">
        <v>83</v>
      </c>
      <c r="B67" s="18">
        <v>9.0299999999999998E-3</v>
      </c>
    </row>
    <row r="68" spans="1:2" x14ac:dyDescent="0.25">
      <c r="A68" s="18">
        <v>84</v>
      </c>
      <c r="B68" s="18">
        <v>9.6699999999999998E-3</v>
      </c>
    </row>
    <row r="69" spans="1:2" x14ac:dyDescent="0.25">
      <c r="A69" s="18">
        <v>85</v>
      </c>
      <c r="B69" s="18">
        <v>9.92E-3</v>
      </c>
    </row>
    <row r="70" spans="1:2" x14ac:dyDescent="0.25">
      <c r="A70" s="18">
        <v>86</v>
      </c>
      <c r="B70" s="18">
        <v>1.0500000000000001E-2</v>
      </c>
    </row>
    <row r="71" spans="1:2" x14ac:dyDescent="0.25">
      <c r="A71" s="18">
        <v>87</v>
      </c>
      <c r="B71" s="18">
        <v>1.0999999999999999E-2</v>
      </c>
    </row>
    <row r="72" spans="1:2" x14ac:dyDescent="0.25">
      <c r="A72" s="18">
        <v>88</v>
      </c>
      <c r="B72" s="18">
        <v>1.1299999999999999E-2</v>
      </c>
    </row>
    <row r="73" spans="1:2" x14ac:dyDescent="0.25">
      <c r="A73" s="18">
        <v>89</v>
      </c>
      <c r="B73" s="18">
        <v>1.1599999999999999E-2</v>
      </c>
    </row>
    <row r="74" spans="1:2" x14ac:dyDescent="0.25">
      <c r="A74" s="18">
        <v>90</v>
      </c>
      <c r="B74" s="18">
        <v>1.2E-2</v>
      </c>
    </row>
    <row r="75" spans="1:2" x14ac:dyDescent="0.25">
      <c r="A75" s="18">
        <v>91</v>
      </c>
      <c r="B75" s="18">
        <v>1.2500000000000001E-2</v>
      </c>
    </row>
    <row r="76" spans="1:2" x14ac:dyDescent="0.25">
      <c r="A76" s="18">
        <v>92</v>
      </c>
      <c r="B76" s="18">
        <v>1.29E-2</v>
      </c>
    </row>
    <row r="77" spans="1:2" x14ac:dyDescent="0.25">
      <c r="A77" s="18">
        <v>93</v>
      </c>
      <c r="B77" s="18">
        <v>1.3299999999999999E-2</v>
      </c>
    </row>
    <row r="78" spans="1:2" x14ac:dyDescent="0.25">
      <c r="A78" s="18">
        <v>94</v>
      </c>
      <c r="B78" s="18">
        <v>1.3599999999999999E-2</v>
      </c>
    </row>
    <row r="79" spans="1:2" x14ac:dyDescent="0.25">
      <c r="A79" s="18">
        <v>95</v>
      </c>
      <c r="B79" s="18">
        <v>1.3899999999999999E-2</v>
      </c>
    </row>
    <row r="80" spans="1:2" x14ac:dyDescent="0.25">
      <c r="A80" s="18">
        <v>96</v>
      </c>
      <c r="B80" s="18">
        <v>1.43E-2</v>
      </c>
    </row>
    <row r="81" spans="1:2" x14ac:dyDescent="0.25">
      <c r="A81" s="18">
        <v>97</v>
      </c>
      <c r="B81" s="18">
        <v>1.46E-2</v>
      </c>
    </row>
    <row r="82" spans="1:2" x14ac:dyDescent="0.25">
      <c r="A82" s="18">
        <v>98</v>
      </c>
      <c r="B82" s="18">
        <v>1.49E-2</v>
      </c>
    </row>
    <row r="83" spans="1:2" x14ac:dyDescent="0.25">
      <c r="A83" s="18">
        <v>99</v>
      </c>
      <c r="B83" s="18">
        <v>1.52E-2</v>
      </c>
    </row>
    <row r="84" spans="1:2" x14ac:dyDescent="0.25">
      <c r="A84" s="18">
        <v>100</v>
      </c>
      <c r="B84" s="18">
        <v>1.54E-2</v>
      </c>
    </row>
    <row r="85" spans="1:2" x14ac:dyDescent="0.25">
      <c r="A85" s="18">
        <v>101</v>
      </c>
      <c r="B85" s="18">
        <v>1.5699999999999999E-2</v>
      </c>
    </row>
    <row r="86" spans="1:2" x14ac:dyDescent="0.25">
      <c r="A86" s="18">
        <v>102</v>
      </c>
      <c r="B86" s="18">
        <v>1.5900000000000001E-2</v>
      </c>
    </row>
    <row r="87" spans="1:2" x14ac:dyDescent="0.25">
      <c r="A87" s="18">
        <v>103</v>
      </c>
      <c r="B87" s="18">
        <v>1.6199999999999999E-2</v>
      </c>
    </row>
    <row r="88" spans="1:2" x14ac:dyDescent="0.25">
      <c r="A88" s="18">
        <v>104</v>
      </c>
      <c r="B88" s="18">
        <v>1.6400000000000001E-2</v>
      </c>
    </row>
    <row r="89" spans="1:2" x14ac:dyDescent="0.25">
      <c r="A89" s="18">
        <v>105</v>
      </c>
      <c r="B89" s="18">
        <v>1.6799999999999999E-2</v>
      </c>
    </row>
    <row r="90" spans="1:2" x14ac:dyDescent="0.25">
      <c r="A90" s="18">
        <v>106</v>
      </c>
      <c r="B90" s="18">
        <v>1.6799999999999999E-2</v>
      </c>
    </row>
    <row r="91" spans="1:2" x14ac:dyDescent="0.25">
      <c r="A91" s="18">
        <v>107</v>
      </c>
      <c r="B91" s="18">
        <v>1.7100000000000001E-2</v>
      </c>
    </row>
    <row r="92" spans="1:2" x14ac:dyDescent="0.25">
      <c r="A92" s="18">
        <v>108</v>
      </c>
      <c r="B92" s="18">
        <v>1.7100000000000001E-2</v>
      </c>
    </row>
    <row r="93" spans="1:2" x14ac:dyDescent="0.25">
      <c r="A93" s="18">
        <v>109</v>
      </c>
      <c r="B93" s="18">
        <v>1.72E-2</v>
      </c>
    </row>
    <row r="94" spans="1:2" x14ac:dyDescent="0.25">
      <c r="A94" s="18">
        <v>110</v>
      </c>
      <c r="B94" s="18">
        <v>1.7399999999999999E-2</v>
      </c>
    </row>
    <row r="95" spans="1:2" x14ac:dyDescent="0.25">
      <c r="A95" s="18">
        <v>111</v>
      </c>
      <c r="B95" s="18">
        <v>1.7399999999999999E-2</v>
      </c>
    </row>
    <row r="96" spans="1:2" x14ac:dyDescent="0.25">
      <c r="A96" s="18">
        <v>112</v>
      </c>
      <c r="B96" s="18">
        <v>1.7299999999999999E-2</v>
      </c>
    </row>
    <row r="97" spans="1:2" x14ac:dyDescent="0.25">
      <c r="A97" s="18">
        <v>113</v>
      </c>
      <c r="B97" s="18">
        <v>1.7600000000000001E-2</v>
      </c>
    </row>
    <row r="98" spans="1:2" x14ac:dyDescent="0.25">
      <c r="A98" s="18">
        <v>114</v>
      </c>
      <c r="B98" s="18">
        <v>1.7500000000000002E-2</v>
      </c>
    </row>
    <row r="99" spans="1:2" x14ac:dyDescent="0.25">
      <c r="A99" s="18">
        <v>115</v>
      </c>
      <c r="B99" s="18">
        <v>1.7399999999999999E-2</v>
      </c>
    </row>
    <row r="100" spans="1:2" x14ac:dyDescent="0.25">
      <c r="A100" s="18">
        <v>116</v>
      </c>
      <c r="B100" s="18">
        <v>1.7299999999999999E-2</v>
      </c>
    </row>
    <row r="101" spans="1:2" x14ac:dyDescent="0.25">
      <c r="A101" s="18">
        <v>117</v>
      </c>
      <c r="B101" s="18">
        <v>1.7299999999999999E-2</v>
      </c>
    </row>
    <row r="102" spans="1:2" x14ac:dyDescent="0.25">
      <c r="A102" s="18">
        <v>118</v>
      </c>
      <c r="B102" s="18">
        <v>1.7100000000000001E-2</v>
      </c>
    </row>
    <row r="103" spans="1:2" x14ac:dyDescent="0.25">
      <c r="A103" s="18">
        <v>119</v>
      </c>
      <c r="B103" s="18">
        <v>1.7100000000000001E-2</v>
      </c>
    </row>
    <row r="104" spans="1:2" x14ac:dyDescent="0.25">
      <c r="A104" s="18">
        <v>120</v>
      </c>
      <c r="B104" s="18">
        <v>1.6899999999999998E-2</v>
      </c>
    </row>
    <row r="105" spans="1:2" x14ac:dyDescent="0.25">
      <c r="A105" s="18">
        <v>121</v>
      </c>
      <c r="B105" s="18">
        <v>1.6799999999999999E-2</v>
      </c>
    </row>
    <row r="106" spans="1:2" x14ac:dyDescent="0.25">
      <c r="A106" s="18">
        <v>122</v>
      </c>
      <c r="B106" s="18">
        <v>1.6500000000000001E-2</v>
      </c>
    </row>
    <row r="107" spans="1:2" x14ac:dyDescent="0.25">
      <c r="A107" s="18">
        <v>123</v>
      </c>
      <c r="B107" s="18">
        <v>1.6299999999999999E-2</v>
      </c>
    </row>
    <row r="108" spans="1:2" x14ac:dyDescent="0.25">
      <c r="A108" s="18">
        <v>124</v>
      </c>
      <c r="B108" s="18">
        <v>1.6199999999999999E-2</v>
      </c>
    </row>
    <row r="109" spans="1:2" x14ac:dyDescent="0.25">
      <c r="A109" s="18">
        <v>125</v>
      </c>
      <c r="B109" s="18">
        <v>1.5900000000000001E-2</v>
      </c>
    </row>
    <row r="110" spans="1:2" x14ac:dyDescent="0.25">
      <c r="A110" s="18">
        <v>126</v>
      </c>
      <c r="B110" s="18">
        <v>1.55E-2</v>
      </c>
    </row>
    <row r="111" spans="1:2" x14ac:dyDescent="0.25">
      <c r="A111" s="18">
        <v>127</v>
      </c>
      <c r="B111" s="18">
        <v>1.52E-2</v>
      </c>
    </row>
    <row r="112" spans="1:2" x14ac:dyDescent="0.25">
      <c r="A112" s="18">
        <v>128</v>
      </c>
      <c r="B112" s="18">
        <v>1.4999999999999999E-2</v>
      </c>
    </row>
    <row r="113" spans="1:2" x14ac:dyDescent="0.25">
      <c r="A113" s="18">
        <v>129</v>
      </c>
      <c r="B113" s="18">
        <v>1.43E-2</v>
      </c>
    </row>
    <row r="114" spans="1:2" x14ac:dyDescent="0.25">
      <c r="A114" s="18">
        <v>130</v>
      </c>
      <c r="B114" s="18">
        <v>1.4E-2</v>
      </c>
    </row>
    <row r="115" spans="1:2" x14ac:dyDescent="0.25">
      <c r="A115" s="18">
        <v>131</v>
      </c>
      <c r="B115" s="18">
        <v>1.3599999999999999E-2</v>
      </c>
    </row>
    <row r="116" spans="1:2" x14ac:dyDescent="0.25">
      <c r="A116" s="18">
        <v>132</v>
      </c>
      <c r="B116" s="18">
        <v>1.32E-2</v>
      </c>
    </row>
    <row r="117" spans="1:2" x14ac:dyDescent="0.25">
      <c r="A117" s="18">
        <v>133</v>
      </c>
      <c r="B117" s="18">
        <v>1.2699999999999999E-2</v>
      </c>
    </row>
    <row r="118" spans="1:2" x14ac:dyDescent="0.25">
      <c r="A118" s="18">
        <v>134</v>
      </c>
      <c r="B118" s="18">
        <v>1.2200000000000001E-2</v>
      </c>
    </row>
    <row r="119" spans="1:2" x14ac:dyDescent="0.25">
      <c r="A119" s="18">
        <v>135</v>
      </c>
      <c r="B119" s="18">
        <v>1.1599999999999999E-2</v>
      </c>
    </row>
    <row r="120" spans="1:2" x14ac:dyDescent="0.25">
      <c r="A120" s="18">
        <v>136</v>
      </c>
      <c r="B120" s="18">
        <v>1.12E-2</v>
      </c>
    </row>
    <row r="121" spans="1:2" x14ac:dyDescent="0.25">
      <c r="A121" s="18">
        <v>137</v>
      </c>
      <c r="B121" s="18">
        <v>1.0699999999999999E-2</v>
      </c>
    </row>
    <row r="122" spans="1:2" x14ac:dyDescent="0.25">
      <c r="A122" s="18">
        <v>138</v>
      </c>
      <c r="B122" s="18">
        <v>0.01</v>
      </c>
    </row>
    <row r="123" spans="1:2" x14ac:dyDescent="0.25">
      <c r="A123" s="18">
        <v>139</v>
      </c>
      <c r="B123" s="18">
        <v>9.4800000000000006E-3</v>
      </c>
    </row>
    <row r="124" spans="1:2" x14ac:dyDescent="0.25">
      <c r="A124" s="18">
        <v>140</v>
      </c>
      <c r="B124" s="18">
        <v>8.6499999999999997E-3</v>
      </c>
    </row>
    <row r="125" spans="1:2" x14ac:dyDescent="0.25">
      <c r="A125" s="18">
        <v>141</v>
      </c>
      <c r="B125" s="18">
        <v>8.0700000000000008E-3</v>
      </c>
    </row>
    <row r="126" spans="1:2" x14ac:dyDescent="0.25">
      <c r="A126" s="18">
        <v>142</v>
      </c>
      <c r="B126" s="18">
        <v>7.3099999999999997E-3</v>
      </c>
    </row>
    <row r="127" spans="1:2" x14ac:dyDescent="0.25">
      <c r="A127" s="18">
        <v>143</v>
      </c>
      <c r="B127" s="18">
        <v>6.6100000000000004E-3</v>
      </c>
    </row>
    <row r="128" spans="1:2" x14ac:dyDescent="0.25">
      <c r="A128" s="18">
        <v>144</v>
      </c>
      <c r="B128" s="18">
        <v>5.9500000000000004E-3</v>
      </c>
    </row>
    <row r="129" spans="1:2" x14ac:dyDescent="0.25">
      <c r="A129" s="18">
        <v>145</v>
      </c>
      <c r="B129" s="18">
        <v>4.9699999999999996E-3</v>
      </c>
    </row>
    <row r="130" spans="1:2" x14ac:dyDescent="0.25">
      <c r="A130" s="18">
        <v>146</v>
      </c>
      <c r="B130" s="18">
        <v>4.1799999999999997E-3</v>
      </c>
    </row>
    <row r="131" spans="1:2" x14ac:dyDescent="0.25">
      <c r="A131" s="18">
        <v>147</v>
      </c>
      <c r="B131" s="18">
        <v>3.3300000000000001E-3</v>
      </c>
    </row>
    <row r="132" spans="1:2" x14ac:dyDescent="0.25">
      <c r="A132" s="18">
        <v>148</v>
      </c>
      <c r="B132" s="18">
        <v>2.4099999999999998E-3</v>
      </c>
    </row>
    <row r="133" spans="1:2" x14ac:dyDescent="0.25">
      <c r="A133" s="18">
        <v>149</v>
      </c>
      <c r="B133" s="18">
        <v>1.5100000000000001E-3</v>
      </c>
    </row>
    <row r="134" spans="1:2" x14ac:dyDescent="0.25">
      <c r="A134" s="18">
        <v>150</v>
      </c>
      <c r="B134" s="18">
        <v>4.3300000000000001E-4</v>
      </c>
    </row>
    <row r="135" spans="1:2" x14ac:dyDescent="0.25">
      <c r="A135" s="18">
        <v>151</v>
      </c>
      <c r="B135" s="18">
        <v>7.25E-6</v>
      </c>
    </row>
    <row r="136" spans="1:2" x14ac:dyDescent="0.25">
      <c r="A136" s="18">
        <v>152</v>
      </c>
      <c r="B136" s="18">
        <v>3.58E-6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1:B16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40</v>
      </c>
      <c r="B2" s="18">
        <v>7.7100000000000004E-5</v>
      </c>
    </row>
    <row r="3" spans="1:2" x14ac:dyDescent="0.25">
      <c r="A3" s="18">
        <v>41</v>
      </c>
      <c r="B3" s="18">
        <v>9.48E-5</v>
      </c>
    </row>
    <row r="4" spans="1:2" x14ac:dyDescent="0.25">
      <c r="A4" s="18">
        <v>42</v>
      </c>
      <c r="B4" s="18">
        <v>7.2700000000000005E-5</v>
      </c>
    </row>
    <row r="5" spans="1:2" x14ac:dyDescent="0.25">
      <c r="A5" s="18">
        <v>43</v>
      </c>
      <c r="B5" s="18">
        <v>8.6600000000000004E-5</v>
      </c>
    </row>
    <row r="6" spans="1:2" x14ac:dyDescent="0.25">
      <c r="A6" s="18">
        <v>44</v>
      </c>
      <c r="B6" s="18">
        <v>7.5099999999999996E-5</v>
      </c>
    </row>
    <row r="7" spans="1:2" x14ac:dyDescent="0.25">
      <c r="A7" s="18">
        <v>45</v>
      </c>
      <c r="B7" s="18">
        <v>7.5400000000000003E-5</v>
      </c>
    </row>
    <row r="8" spans="1:2" x14ac:dyDescent="0.25">
      <c r="A8" s="18">
        <v>46</v>
      </c>
      <c r="B8" s="18">
        <v>6.6099999999999994E-5</v>
      </c>
    </row>
    <row r="9" spans="1:2" x14ac:dyDescent="0.25">
      <c r="A9" s="18">
        <v>47</v>
      </c>
      <c r="B9" s="18">
        <v>8.14E-5</v>
      </c>
    </row>
    <row r="10" spans="1:2" x14ac:dyDescent="0.25">
      <c r="A10" s="18">
        <v>48</v>
      </c>
      <c r="B10" s="18">
        <v>6.5500000000000006E-5</v>
      </c>
    </row>
    <row r="11" spans="1:2" x14ac:dyDescent="0.25">
      <c r="A11" s="18">
        <v>49</v>
      </c>
      <c r="B11" s="18">
        <v>6.8399999999999996E-5</v>
      </c>
    </row>
    <row r="12" spans="1:2" x14ac:dyDescent="0.25">
      <c r="A12" s="18">
        <v>50</v>
      </c>
      <c r="B12" s="18">
        <v>5.7899999999999998E-5</v>
      </c>
    </row>
    <row r="13" spans="1:2" x14ac:dyDescent="0.25">
      <c r="A13" s="18">
        <v>51</v>
      </c>
      <c r="B13" s="18">
        <v>6.7199999999999994E-5</v>
      </c>
    </row>
    <row r="14" spans="1:2" x14ac:dyDescent="0.25">
      <c r="A14" s="18">
        <v>52</v>
      </c>
      <c r="B14" s="18">
        <v>5.9899999999999999E-5</v>
      </c>
    </row>
    <row r="15" spans="1:2" x14ac:dyDescent="0.25">
      <c r="A15" s="18">
        <v>53</v>
      </c>
      <c r="B15" s="18">
        <v>6.3E-5</v>
      </c>
    </row>
    <row r="16" spans="1:2" x14ac:dyDescent="0.25">
      <c r="A16" s="18">
        <v>54</v>
      </c>
      <c r="B16" s="18">
        <v>5.0500000000000001E-5</v>
      </c>
    </row>
    <row r="17" spans="1:2" x14ac:dyDescent="0.25">
      <c r="A17" s="18">
        <v>55</v>
      </c>
      <c r="B17" s="18">
        <v>6.6699999999999995E-5</v>
      </c>
    </row>
    <row r="18" spans="1:2" x14ac:dyDescent="0.25">
      <c r="A18" s="18">
        <v>56</v>
      </c>
      <c r="B18" s="18">
        <v>4.18E-5</v>
      </c>
    </row>
    <row r="19" spans="1:2" x14ac:dyDescent="0.25">
      <c r="A19" s="18">
        <v>57</v>
      </c>
      <c r="B19" s="18">
        <v>5.9299999999999998E-5</v>
      </c>
    </row>
    <row r="20" spans="1:2" x14ac:dyDescent="0.25">
      <c r="A20" s="18">
        <v>58</v>
      </c>
      <c r="B20" s="18">
        <v>5.6700000000000003E-5</v>
      </c>
    </row>
    <row r="21" spans="1:2" x14ac:dyDescent="0.25">
      <c r="A21" s="18">
        <v>59</v>
      </c>
      <c r="B21" s="18">
        <v>8.0699999999999996E-5</v>
      </c>
    </row>
    <row r="22" spans="1:2" x14ac:dyDescent="0.25">
      <c r="A22" s="18">
        <v>60</v>
      </c>
      <c r="B22" s="18">
        <v>7.08E-5</v>
      </c>
    </row>
    <row r="23" spans="1:2" x14ac:dyDescent="0.25">
      <c r="A23" s="18">
        <v>61</v>
      </c>
      <c r="B23" s="18">
        <v>5.2599999999999998E-5</v>
      </c>
    </row>
    <row r="24" spans="1:2" x14ac:dyDescent="0.25">
      <c r="A24" s="18">
        <v>62</v>
      </c>
      <c r="B24" s="18">
        <v>7.2600000000000003E-5</v>
      </c>
    </row>
    <row r="25" spans="1:2" x14ac:dyDescent="0.25">
      <c r="A25" s="18">
        <v>63</v>
      </c>
      <c r="B25" s="18">
        <v>6.2399999999999999E-5</v>
      </c>
    </row>
    <row r="26" spans="1:2" x14ac:dyDescent="0.25">
      <c r="A26" s="18">
        <v>64</v>
      </c>
      <c r="B26" s="18">
        <v>6.7299999999999996E-5</v>
      </c>
    </row>
    <row r="27" spans="1:2" x14ac:dyDescent="0.25">
      <c r="A27" s="18">
        <v>65</v>
      </c>
      <c r="B27" s="18">
        <v>7.1500000000000003E-5</v>
      </c>
    </row>
    <row r="28" spans="1:2" x14ac:dyDescent="0.25">
      <c r="A28" s="18">
        <v>66</v>
      </c>
      <c r="B28" s="18">
        <v>1.02E-4</v>
      </c>
    </row>
    <row r="29" spans="1:2" x14ac:dyDescent="0.25">
      <c r="A29" s="18">
        <v>67</v>
      </c>
      <c r="B29" s="18">
        <v>2.6600000000000001E-4</v>
      </c>
    </row>
    <row r="30" spans="1:2" x14ac:dyDescent="0.25">
      <c r="A30" s="18">
        <v>68</v>
      </c>
      <c r="B30" s="18">
        <v>1.76E-4</v>
      </c>
    </row>
    <row r="31" spans="1:2" x14ac:dyDescent="0.25">
      <c r="A31" s="18">
        <v>69</v>
      </c>
      <c r="B31" s="18">
        <v>2.3900000000000001E-4</v>
      </c>
    </row>
    <row r="32" spans="1:2" x14ac:dyDescent="0.25">
      <c r="A32" s="18">
        <v>70</v>
      </c>
      <c r="B32" s="18">
        <v>1.7000000000000001E-4</v>
      </c>
    </row>
    <row r="33" spans="1:2" x14ac:dyDescent="0.25">
      <c r="A33" s="18">
        <v>71</v>
      </c>
      <c r="B33" s="18">
        <v>1.75E-4</v>
      </c>
    </row>
    <row r="34" spans="1:2" x14ac:dyDescent="0.25">
      <c r="A34" s="18">
        <v>72</v>
      </c>
      <c r="B34" s="18">
        <v>2.05E-4</v>
      </c>
    </row>
    <row r="35" spans="1:2" x14ac:dyDescent="0.25">
      <c r="A35" s="18">
        <v>73</v>
      </c>
      <c r="B35" s="18">
        <v>2.5799999999999998E-4</v>
      </c>
    </row>
    <row r="36" spans="1:2" x14ac:dyDescent="0.25">
      <c r="A36" s="18">
        <v>74</v>
      </c>
      <c r="B36" s="18">
        <v>2.9700000000000001E-4</v>
      </c>
    </row>
    <row r="37" spans="1:2" x14ac:dyDescent="0.25">
      <c r="A37" s="18">
        <v>75</v>
      </c>
      <c r="B37" s="18">
        <v>3.6600000000000001E-4</v>
      </c>
    </row>
    <row r="38" spans="1:2" x14ac:dyDescent="0.25">
      <c r="A38" s="18">
        <v>76</v>
      </c>
      <c r="B38" s="18">
        <v>3.9800000000000002E-4</v>
      </c>
    </row>
    <row r="39" spans="1:2" x14ac:dyDescent="0.25">
      <c r="A39" s="18">
        <v>77</v>
      </c>
      <c r="B39" s="18">
        <v>4.5100000000000001E-4</v>
      </c>
    </row>
    <row r="40" spans="1:2" x14ac:dyDescent="0.25">
      <c r="A40" s="18">
        <v>78</v>
      </c>
      <c r="B40" s="18">
        <v>5.5199999999999997E-4</v>
      </c>
    </row>
    <row r="41" spans="1:2" x14ac:dyDescent="0.25">
      <c r="A41" s="18">
        <v>79</v>
      </c>
      <c r="B41" s="18">
        <v>6.0999999999999997E-4</v>
      </c>
    </row>
    <row r="42" spans="1:2" x14ac:dyDescent="0.25">
      <c r="A42" s="18">
        <v>80</v>
      </c>
      <c r="B42" s="18">
        <v>7.0399999999999998E-4</v>
      </c>
    </row>
    <row r="43" spans="1:2" x14ac:dyDescent="0.25">
      <c r="A43" s="18">
        <v>81</v>
      </c>
      <c r="B43" s="18">
        <v>8.03E-4</v>
      </c>
    </row>
    <row r="44" spans="1:2" x14ac:dyDescent="0.25">
      <c r="A44" s="18">
        <v>82</v>
      </c>
      <c r="B44" s="18">
        <v>9.0600000000000001E-4</v>
      </c>
    </row>
    <row r="45" spans="1:2" x14ac:dyDescent="0.25">
      <c r="A45" s="18">
        <v>83</v>
      </c>
      <c r="B45" s="18">
        <v>1.0300000000000001E-3</v>
      </c>
    </row>
    <row r="46" spans="1:2" x14ac:dyDescent="0.25">
      <c r="A46" s="18">
        <v>84</v>
      </c>
      <c r="B46" s="18">
        <v>1.16E-3</v>
      </c>
    </row>
    <row r="47" spans="1:2" x14ac:dyDescent="0.25">
      <c r="A47" s="18">
        <v>85</v>
      </c>
      <c r="B47" s="18">
        <v>1.32E-3</v>
      </c>
    </row>
    <row r="48" spans="1:2" x14ac:dyDescent="0.25">
      <c r="A48" s="18">
        <v>86</v>
      </c>
      <c r="B48" s="18">
        <v>1.4499999999999999E-3</v>
      </c>
    </row>
    <row r="49" spans="1:2" x14ac:dyDescent="0.25">
      <c r="A49" s="18">
        <v>87</v>
      </c>
      <c r="B49" s="18">
        <v>1.66E-3</v>
      </c>
    </row>
    <row r="50" spans="1:2" x14ac:dyDescent="0.25">
      <c r="A50" s="18">
        <v>88</v>
      </c>
      <c r="B50" s="18">
        <v>1.8E-3</v>
      </c>
    </row>
    <row r="51" spans="1:2" x14ac:dyDescent="0.25">
      <c r="A51" s="18">
        <v>89</v>
      </c>
      <c r="B51" s="18">
        <v>1.97E-3</v>
      </c>
    </row>
    <row r="52" spans="1:2" x14ac:dyDescent="0.25">
      <c r="A52" s="18">
        <v>90</v>
      </c>
      <c r="B52" s="18">
        <v>2.16E-3</v>
      </c>
    </row>
    <row r="53" spans="1:2" x14ac:dyDescent="0.25">
      <c r="A53" s="18">
        <v>91</v>
      </c>
      <c r="B53" s="18">
        <v>2.32E-3</v>
      </c>
    </row>
    <row r="54" spans="1:2" x14ac:dyDescent="0.25">
      <c r="A54" s="18">
        <v>92</v>
      </c>
      <c r="B54" s="18">
        <v>2.5400000000000002E-3</v>
      </c>
    </row>
    <row r="55" spans="1:2" x14ac:dyDescent="0.25">
      <c r="A55" s="18">
        <v>93</v>
      </c>
      <c r="B55" s="18">
        <v>2.7399999999999998E-3</v>
      </c>
    </row>
    <row r="56" spans="1:2" x14ac:dyDescent="0.25">
      <c r="A56" s="18">
        <v>94</v>
      </c>
      <c r="B56" s="18">
        <v>3.0200000000000001E-3</v>
      </c>
    </row>
    <row r="57" spans="1:2" x14ac:dyDescent="0.25">
      <c r="A57" s="18">
        <v>95</v>
      </c>
      <c r="B57" s="18">
        <v>3.2399999999999998E-3</v>
      </c>
    </row>
    <row r="58" spans="1:2" x14ac:dyDescent="0.25">
      <c r="A58" s="18">
        <v>96</v>
      </c>
      <c r="B58" s="18">
        <v>3.46E-3</v>
      </c>
    </row>
    <row r="59" spans="1:2" x14ac:dyDescent="0.25">
      <c r="A59" s="18">
        <v>97</v>
      </c>
      <c r="B59" s="18">
        <v>3.6900000000000001E-3</v>
      </c>
    </row>
    <row r="60" spans="1:2" x14ac:dyDescent="0.25">
      <c r="A60" s="18">
        <v>98</v>
      </c>
      <c r="B60" s="18">
        <v>3.96E-3</v>
      </c>
    </row>
    <row r="61" spans="1:2" x14ac:dyDescent="0.25">
      <c r="A61" s="18">
        <v>99</v>
      </c>
      <c r="B61" s="18">
        <v>4.2199999999999998E-3</v>
      </c>
    </row>
    <row r="62" spans="1:2" x14ac:dyDescent="0.25">
      <c r="A62" s="18">
        <v>100</v>
      </c>
      <c r="B62" s="18">
        <v>4.5199999999999997E-3</v>
      </c>
    </row>
    <row r="63" spans="1:2" x14ac:dyDescent="0.25">
      <c r="A63" s="18">
        <v>101</v>
      </c>
      <c r="B63" s="18">
        <v>4.7699999999999999E-3</v>
      </c>
    </row>
    <row r="64" spans="1:2" x14ac:dyDescent="0.25">
      <c r="A64" s="18">
        <v>102</v>
      </c>
      <c r="B64" s="18">
        <v>4.9899999999999996E-3</v>
      </c>
    </row>
    <row r="65" spans="1:2" x14ac:dyDescent="0.25">
      <c r="A65" s="18">
        <v>103</v>
      </c>
      <c r="B65" s="18">
        <v>5.2700000000000004E-3</v>
      </c>
    </row>
    <row r="66" spans="1:2" x14ac:dyDescent="0.25">
      <c r="A66" s="18">
        <v>104</v>
      </c>
      <c r="B66" s="18">
        <v>5.6100000000000004E-3</v>
      </c>
    </row>
    <row r="67" spans="1:2" x14ac:dyDescent="0.25">
      <c r="A67" s="18">
        <v>105</v>
      </c>
      <c r="B67" s="18">
        <v>5.8900000000000003E-3</v>
      </c>
    </row>
    <row r="68" spans="1:2" x14ac:dyDescent="0.25">
      <c r="A68" s="18">
        <v>106</v>
      </c>
      <c r="B68" s="18">
        <v>6.13E-3</v>
      </c>
    </row>
    <row r="69" spans="1:2" x14ac:dyDescent="0.25">
      <c r="A69" s="18">
        <v>107</v>
      </c>
      <c r="B69" s="18">
        <v>6.4400000000000004E-3</v>
      </c>
    </row>
    <row r="70" spans="1:2" x14ac:dyDescent="0.25">
      <c r="A70" s="18">
        <v>108</v>
      </c>
      <c r="B70" s="18">
        <v>6.6699999999999997E-3</v>
      </c>
    </row>
    <row r="71" spans="1:2" x14ac:dyDescent="0.25">
      <c r="A71" s="18">
        <v>109</v>
      </c>
      <c r="B71" s="18">
        <v>6.9899999999999997E-3</v>
      </c>
    </row>
    <row r="72" spans="1:2" x14ac:dyDescent="0.25">
      <c r="A72" s="18">
        <v>110</v>
      </c>
      <c r="B72" s="18">
        <v>7.3699999999999998E-3</v>
      </c>
    </row>
    <row r="73" spans="1:2" x14ac:dyDescent="0.25">
      <c r="A73" s="18">
        <v>111</v>
      </c>
      <c r="B73" s="18">
        <v>7.6299999999999996E-3</v>
      </c>
    </row>
    <row r="74" spans="1:2" x14ac:dyDescent="0.25">
      <c r="A74" s="18">
        <v>112</v>
      </c>
      <c r="B74" s="18">
        <v>7.9299999999999995E-3</v>
      </c>
    </row>
    <row r="75" spans="1:2" x14ac:dyDescent="0.25">
      <c r="A75" s="18">
        <v>113</v>
      </c>
      <c r="B75" s="18">
        <v>8.1300000000000001E-3</v>
      </c>
    </row>
    <row r="76" spans="1:2" x14ac:dyDescent="0.25">
      <c r="A76" s="18">
        <v>114</v>
      </c>
      <c r="B76" s="18">
        <v>8.4600000000000005E-3</v>
      </c>
    </row>
    <row r="77" spans="1:2" x14ac:dyDescent="0.25">
      <c r="A77" s="18">
        <v>115</v>
      </c>
      <c r="B77" s="18">
        <v>8.7399999999999995E-3</v>
      </c>
    </row>
    <row r="78" spans="1:2" x14ac:dyDescent="0.25">
      <c r="A78" s="18">
        <v>116</v>
      </c>
      <c r="B78" s="18">
        <v>9.0200000000000002E-3</v>
      </c>
    </row>
    <row r="79" spans="1:2" x14ac:dyDescent="0.25">
      <c r="A79" s="18">
        <v>117</v>
      </c>
      <c r="B79" s="18">
        <v>9.1699999999999993E-3</v>
      </c>
    </row>
    <row r="80" spans="1:2" x14ac:dyDescent="0.25">
      <c r="A80" s="18">
        <v>118</v>
      </c>
      <c r="B80" s="18">
        <v>9.5499999999999995E-3</v>
      </c>
    </row>
    <row r="81" spans="1:2" x14ac:dyDescent="0.25">
      <c r="A81" s="18">
        <v>119</v>
      </c>
      <c r="B81" s="18">
        <v>9.75E-3</v>
      </c>
    </row>
    <row r="82" spans="1:2" x14ac:dyDescent="0.25">
      <c r="A82" s="18">
        <v>120</v>
      </c>
      <c r="B82" s="18">
        <v>0.01</v>
      </c>
    </row>
    <row r="83" spans="1:2" x14ac:dyDescent="0.25">
      <c r="A83" s="18">
        <v>121</v>
      </c>
      <c r="B83" s="18">
        <v>1.0200000000000001E-2</v>
      </c>
    </row>
    <row r="84" spans="1:2" x14ac:dyDescent="0.25">
      <c r="A84" s="18">
        <v>122</v>
      </c>
      <c r="B84" s="18">
        <v>1.0500000000000001E-2</v>
      </c>
    </row>
    <row r="85" spans="1:2" x14ac:dyDescent="0.25">
      <c r="A85" s="18">
        <v>123</v>
      </c>
      <c r="B85" s="18">
        <v>1.06E-2</v>
      </c>
    </row>
    <row r="86" spans="1:2" x14ac:dyDescent="0.25">
      <c r="A86" s="18">
        <v>124</v>
      </c>
      <c r="B86" s="18">
        <v>1.0800000000000001E-2</v>
      </c>
    </row>
    <row r="87" spans="1:2" x14ac:dyDescent="0.25">
      <c r="A87" s="18">
        <v>125</v>
      </c>
      <c r="B87" s="18">
        <v>1.0999999999999999E-2</v>
      </c>
    </row>
    <row r="88" spans="1:2" x14ac:dyDescent="0.25">
      <c r="A88" s="18">
        <v>126</v>
      </c>
      <c r="B88" s="18">
        <v>1.1299999999999999E-2</v>
      </c>
    </row>
    <row r="89" spans="1:2" x14ac:dyDescent="0.25">
      <c r="A89" s="18">
        <v>127</v>
      </c>
      <c r="B89" s="18">
        <v>1.15E-2</v>
      </c>
    </row>
    <row r="90" spans="1:2" x14ac:dyDescent="0.25">
      <c r="A90" s="18">
        <v>128</v>
      </c>
      <c r="B90" s="18">
        <v>1.15E-2</v>
      </c>
    </row>
    <row r="91" spans="1:2" x14ac:dyDescent="0.25">
      <c r="A91" s="18">
        <v>129</v>
      </c>
      <c r="B91" s="18">
        <v>1.18E-2</v>
      </c>
    </row>
    <row r="92" spans="1:2" x14ac:dyDescent="0.25">
      <c r="A92" s="18">
        <v>130</v>
      </c>
      <c r="B92" s="18">
        <v>1.1900000000000001E-2</v>
      </c>
    </row>
    <row r="93" spans="1:2" x14ac:dyDescent="0.25">
      <c r="A93" s="18">
        <v>131</v>
      </c>
      <c r="B93" s="18">
        <v>1.2200000000000001E-2</v>
      </c>
    </row>
    <row r="94" spans="1:2" x14ac:dyDescent="0.25">
      <c r="A94" s="18">
        <v>132</v>
      </c>
      <c r="B94" s="18">
        <v>1.23E-2</v>
      </c>
    </row>
    <row r="95" spans="1:2" x14ac:dyDescent="0.25">
      <c r="A95" s="18">
        <v>133</v>
      </c>
      <c r="B95" s="18">
        <v>1.24E-2</v>
      </c>
    </row>
    <row r="96" spans="1:2" x14ac:dyDescent="0.25">
      <c r="A96" s="18">
        <v>134</v>
      </c>
      <c r="B96" s="18">
        <v>1.2500000000000001E-2</v>
      </c>
    </row>
    <row r="97" spans="1:2" x14ac:dyDescent="0.25">
      <c r="A97" s="18">
        <v>135</v>
      </c>
      <c r="B97" s="18">
        <v>1.26E-2</v>
      </c>
    </row>
    <row r="98" spans="1:2" x14ac:dyDescent="0.25">
      <c r="A98" s="18">
        <v>136</v>
      </c>
      <c r="B98" s="18">
        <v>1.2800000000000001E-2</v>
      </c>
    </row>
    <row r="99" spans="1:2" x14ac:dyDescent="0.25">
      <c r="A99" s="18">
        <v>137</v>
      </c>
      <c r="B99" s="18">
        <v>1.2800000000000001E-2</v>
      </c>
    </row>
    <row r="100" spans="1:2" x14ac:dyDescent="0.25">
      <c r="A100" s="18">
        <v>138</v>
      </c>
      <c r="B100" s="18">
        <v>1.2999999999999999E-2</v>
      </c>
    </row>
    <row r="101" spans="1:2" x14ac:dyDescent="0.25">
      <c r="A101" s="18">
        <v>139</v>
      </c>
      <c r="B101" s="18">
        <v>1.3100000000000001E-2</v>
      </c>
    </row>
    <row r="102" spans="1:2" x14ac:dyDescent="0.25">
      <c r="A102" s="18">
        <v>140</v>
      </c>
      <c r="B102" s="18">
        <v>1.32E-2</v>
      </c>
    </row>
    <row r="103" spans="1:2" x14ac:dyDescent="0.25">
      <c r="A103" s="18">
        <v>141</v>
      </c>
      <c r="B103" s="18">
        <v>1.32E-2</v>
      </c>
    </row>
    <row r="104" spans="1:2" x14ac:dyDescent="0.25">
      <c r="A104" s="18">
        <v>142</v>
      </c>
      <c r="B104" s="18">
        <v>1.32E-2</v>
      </c>
    </row>
    <row r="105" spans="1:2" x14ac:dyDescent="0.25">
      <c r="A105" s="18">
        <v>143</v>
      </c>
      <c r="B105" s="18">
        <v>1.32E-2</v>
      </c>
    </row>
    <row r="106" spans="1:2" x14ac:dyDescent="0.25">
      <c r="A106" s="18">
        <v>144</v>
      </c>
      <c r="B106" s="18">
        <v>1.3299999999999999E-2</v>
      </c>
    </row>
    <row r="107" spans="1:2" x14ac:dyDescent="0.25">
      <c r="A107" s="18">
        <v>145</v>
      </c>
      <c r="B107" s="18">
        <v>1.32E-2</v>
      </c>
    </row>
    <row r="108" spans="1:2" x14ac:dyDescent="0.25">
      <c r="A108" s="18">
        <v>146</v>
      </c>
      <c r="B108" s="18">
        <v>1.3299999999999999E-2</v>
      </c>
    </row>
    <row r="109" spans="1:2" x14ac:dyDescent="0.25">
      <c r="A109" s="18">
        <v>147</v>
      </c>
      <c r="B109" s="18">
        <v>1.3100000000000001E-2</v>
      </c>
    </row>
    <row r="110" spans="1:2" x14ac:dyDescent="0.25">
      <c r="A110" s="18">
        <v>148</v>
      </c>
      <c r="B110" s="18">
        <v>1.3299999999999999E-2</v>
      </c>
    </row>
    <row r="111" spans="1:2" x14ac:dyDescent="0.25">
      <c r="A111" s="18">
        <v>149</v>
      </c>
      <c r="B111" s="18">
        <v>1.3299999999999999E-2</v>
      </c>
    </row>
    <row r="112" spans="1:2" x14ac:dyDescent="0.25">
      <c r="A112" s="18">
        <v>150</v>
      </c>
      <c r="B112" s="18">
        <v>1.3299999999999999E-2</v>
      </c>
    </row>
    <row r="113" spans="1:2" x14ac:dyDescent="0.25">
      <c r="A113" s="18">
        <v>151</v>
      </c>
      <c r="B113" s="18">
        <v>1.3299999999999999E-2</v>
      </c>
    </row>
    <row r="114" spans="1:2" x14ac:dyDescent="0.25">
      <c r="A114" s="18">
        <v>152</v>
      </c>
      <c r="B114" s="18">
        <v>1.3100000000000001E-2</v>
      </c>
    </row>
    <row r="115" spans="1:2" x14ac:dyDescent="0.25">
      <c r="A115" s="18">
        <v>153</v>
      </c>
      <c r="B115" s="18">
        <v>1.3100000000000001E-2</v>
      </c>
    </row>
    <row r="116" spans="1:2" x14ac:dyDescent="0.25">
      <c r="A116" s="18">
        <v>154</v>
      </c>
      <c r="B116" s="18">
        <v>1.3100000000000001E-2</v>
      </c>
    </row>
    <row r="117" spans="1:2" x14ac:dyDescent="0.25">
      <c r="A117" s="18">
        <v>155</v>
      </c>
      <c r="B117" s="18">
        <v>1.2999999999999999E-2</v>
      </c>
    </row>
    <row r="118" spans="1:2" x14ac:dyDescent="0.25">
      <c r="A118" s="18">
        <v>156</v>
      </c>
      <c r="B118" s="18">
        <v>1.29E-2</v>
      </c>
    </row>
    <row r="119" spans="1:2" x14ac:dyDescent="0.25">
      <c r="A119" s="18">
        <v>157</v>
      </c>
      <c r="B119" s="18">
        <v>1.29E-2</v>
      </c>
    </row>
    <row r="120" spans="1:2" x14ac:dyDescent="0.25">
      <c r="A120" s="18">
        <v>158</v>
      </c>
      <c r="B120" s="18">
        <v>1.2800000000000001E-2</v>
      </c>
    </row>
    <row r="121" spans="1:2" x14ac:dyDescent="0.25">
      <c r="A121" s="18">
        <v>159</v>
      </c>
      <c r="B121" s="18">
        <v>1.26E-2</v>
      </c>
    </row>
    <row r="122" spans="1:2" x14ac:dyDescent="0.25">
      <c r="A122" s="18">
        <v>160</v>
      </c>
      <c r="B122" s="18">
        <v>1.2500000000000001E-2</v>
      </c>
    </row>
    <row r="123" spans="1:2" x14ac:dyDescent="0.25">
      <c r="A123" s="18">
        <v>161</v>
      </c>
      <c r="B123" s="18">
        <v>1.2500000000000001E-2</v>
      </c>
    </row>
    <row r="124" spans="1:2" x14ac:dyDescent="0.25">
      <c r="A124" s="18">
        <v>162</v>
      </c>
      <c r="B124" s="18">
        <v>1.2200000000000001E-2</v>
      </c>
    </row>
    <row r="125" spans="1:2" x14ac:dyDescent="0.25">
      <c r="A125" s="18">
        <v>163</v>
      </c>
      <c r="B125" s="18">
        <v>1.2200000000000001E-2</v>
      </c>
    </row>
    <row r="126" spans="1:2" x14ac:dyDescent="0.25">
      <c r="A126" s="18">
        <v>164</v>
      </c>
      <c r="B126" s="18">
        <v>1.2E-2</v>
      </c>
    </row>
    <row r="127" spans="1:2" x14ac:dyDescent="0.25">
      <c r="A127" s="18">
        <v>165</v>
      </c>
      <c r="B127" s="18">
        <v>1.18E-2</v>
      </c>
    </row>
    <row r="128" spans="1:2" x14ac:dyDescent="0.25">
      <c r="A128" s="18">
        <v>166</v>
      </c>
      <c r="B128" s="18">
        <v>1.1599999999999999E-2</v>
      </c>
    </row>
    <row r="129" spans="1:2" x14ac:dyDescent="0.25">
      <c r="A129" s="18">
        <v>167</v>
      </c>
      <c r="B129" s="18">
        <v>1.14E-2</v>
      </c>
    </row>
    <row r="130" spans="1:2" x14ac:dyDescent="0.25">
      <c r="A130" s="18">
        <v>168</v>
      </c>
      <c r="B130" s="18">
        <v>1.12E-2</v>
      </c>
    </row>
    <row r="131" spans="1:2" x14ac:dyDescent="0.25">
      <c r="A131" s="18">
        <v>169</v>
      </c>
      <c r="B131" s="18">
        <v>1.0999999999999999E-2</v>
      </c>
    </row>
    <row r="132" spans="1:2" x14ac:dyDescent="0.25">
      <c r="A132" s="18">
        <v>170</v>
      </c>
      <c r="B132" s="18">
        <v>1.0800000000000001E-2</v>
      </c>
    </row>
    <row r="133" spans="1:2" x14ac:dyDescent="0.25">
      <c r="A133" s="18">
        <v>171</v>
      </c>
      <c r="B133" s="18">
        <v>1.0800000000000001E-2</v>
      </c>
    </row>
    <row r="134" spans="1:2" x14ac:dyDescent="0.25">
      <c r="A134" s="18">
        <v>172</v>
      </c>
      <c r="B134" s="18">
        <v>1.04E-2</v>
      </c>
    </row>
    <row r="135" spans="1:2" x14ac:dyDescent="0.25">
      <c r="A135" s="18">
        <v>173</v>
      </c>
      <c r="B135" s="18">
        <v>1.0200000000000001E-2</v>
      </c>
    </row>
    <row r="136" spans="1:2" x14ac:dyDescent="0.25">
      <c r="A136" s="18">
        <v>174</v>
      </c>
      <c r="B136" s="18">
        <v>9.9699999999999997E-3</v>
      </c>
    </row>
    <row r="137" spans="1:2" x14ac:dyDescent="0.25">
      <c r="A137" s="18">
        <v>175</v>
      </c>
      <c r="B137" s="18">
        <v>9.5899999999999996E-3</v>
      </c>
    </row>
    <row r="138" spans="1:2" x14ac:dyDescent="0.25">
      <c r="A138" s="18">
        <v>176</v>
      </c>
      <c r="B138" s="18">
        <v>9.3500000000000007E-3</v>
      </c>
    </row>
    <row r="139" spans="1:2" x14ac:dyDescent="0.25">
      <c r="A139" s="18">
        <v>177</v>
      </c>
      <c r="B139" s="18">
        <v>9.1000000000000004E-3</v>
      </c>
    </row>
    <row r="140" spans="1:2" x14ac:dyDescent="0.25">
      <c r="A140" s="18">
        <v>178</v>
      </c>
      <c r="B140" s="18">
        <v>8.7600000000000004E-3</v>
      </c>
    </row>
    <row r="141" spans="1:2" x14ac:dyDescent="0.25">
      <c r="A141" s="18">
        <v>179</v>
      </c>
      <c r="B141" s="18">
        <v>8.2799999999999992E-3</v>
      </c>
    </row>
    <row r="142" spans="1:2" x14ac:dyDescent="0.25">
      <c r="A142" s="18">
        <v>180</v>
      </c>
      <c r="B142" s="18">
        <v>8.2500000000000004E-3</v>
      </c>
    </row>
    <row r="143" spans="1:2" x14ac:dyDescent="0.25">
      <c r="A143" s="18">
        <v>181</v>
      </c>
      <c r="B143" s="18">
        <v>7.8399999999999997E-3</v>
      </c>
    </row>
    <row r="144" spans="1:2" x14ac:dyDescent="0.25">
      <c r="A144" s="18">
        <v>182</v>
      </c>
      <c r="B144" s="18">
        <v>7.4999999999999997E-3</v>
      </c>
    </row>
    <row r="145" spans="1:2" x14ac:dyDescent="0.25">
      <c r="A145" s="18">
        <v>183</v>
      </c>
      <c r="B145" s="18">
        <v>7.1900000000000002E-3</v>
      </c>
    </row>
    <row r="146" spans="1:2" x14ac:dyDescent="0.25">
      <c r="A146" s="18">
        <v>184</v>
      </c>
      <c r="B146" s="18">
        <v>6.9499999999999996E-3</v>
      </c>
    </row>
    <row r="147" spans="1:2" x14ac:dyDescent="0.25">
      <c r="A147" s="18">
        <v>185</v>
      </c>
      <c r="B147" s="18">
        <v>6.5799999999999999E-3</v>
      </c>
    </row>
    <row r="148" spans="1:2" x14ac:dyDescent="0.25">
      <c r="A148" s="18">
        <v>186</v>
      </c>
      <c r="B148" s="18">
        <v>6.1700000000000001E-3</v>
      </c>
    </row>
    <row r="149" spans="1:2" x14ac:dyDescent="0.25">
      <c r="A149" s="18">
        <v>187</v>
      </c>
      <c r="B149" s="18">
        <v>5.7800000000000004E-3</v>
      </c>
    </row>
    <row r="150" spans="1:2" x14ac:dyDescent="0.25">
      <c r="A150" s="18">
        <v>188</v>
      </c>
      <c r="B150" s="18">
        <v>5.3600000000000002E-3</v>
      </c>
    </row>
    <row r="151" spans="1:2" x14ac:dyDescent="0.25">
      <c r="A151" s="18">
        <v>189</v>
      </c>
      <c r="B151" s="18">
        <v>5.1000000000000004E-3</v>
      </c>
    </row>
    <row r="152" spans="1:2" x14ac:dyDescent="0.25">
      <c r="A152" s="18">
        <v>190</v>
      </c>
      <c r="B152" s="18">
        <v>4.5999999999999999E-3</v>
      </c>
    </row>
    <row r="153" spans="1:2" x14ac:dyDescent="0.25">
      <c r="A153" s="18">
        <v>191</v>
      </c>
      <c r="B153" s="18">
        <v>4.2700000000000004E-3</v>
      </c>
    </row>
    <row r="154" spans="1:2" x14ac:dyDescent="0.25">
      <c r="A154" s="18">
        <v>192</v>
      </c>
      <c r="B154" s="18">
        <v>3.6900000000000001E-3</v>
      </c>
    </row>
    <row r="155" spans="1:2" x14ac:dyDescent="0.25">
      <c r="A155" s="18">
        <v>193</v>
      </c>
      <c r="B155" s="18">
        <v>3.3400000000000001E-3</v>
      </c>
    </row>
    <row r="156" spans="1:2" x14ac:dyDescent="0.25">
      <c r="A156" s="18">
        <v>194</v>
      </c>
      <c r="B156" s="18">
        <v>3.0100000000000001E-3</v>
      </c>
    </row>
    <row r="157" spans="1:2" x14ac:dyDescent="0.25">
      <c r="A157" s="18">
        <v>195</v>
      </c>
      <c r="B157" s="18">
        <v>2.49E-3</v>
      </c>
    </row>
    <row r="158" spans="1:2" x14ac:dyDescent="0.25">
      <c r="A158" s="18">
        <v>196</v>
      </c>
      <c r="B158" s="18">
        <v>2.0400000000000001E-3</v>
      </c>
    </row>
    <row r="159" spans="1:2" x14ac:dyDescent="0.25">
      <c r="A159" s="18">
        <v>197</v>
      </c>
      <c r="B159" s="18">
        <v>1.5499999999999999E-3</v>
      </c>
    </row>
    <row r="160" spans="1:2" x14ac:dyDescent="0.25">
      <c r="A160" s="18">
        <v>198</v>
      </c>
      <c r="B160" s="18">
        <v>1.1299999999999999E-3</v>
      </c>
    </row>
    <row r="161" spans="1:2" x14ac:dyDescent="0.25">
      <c r="A161" s="18">
        <v>199</v>
      </c>
      <c r="B161" s="18">
        <v>6.4999999999999997E-4</v>
      </c>
    </row>
    <row r="162" spans="1:2" x14ac:dyDescent="0.25">
      <c r="A162" s="18">
        <v>200</v>
      </c>
      <c r="B162" s="18">
        <v>1.73E-4</v>
      </c>
    </row>
    <row r="163" spans="1:2" x14ac:dyDescent="0.25">
      <c r="A163" s="18">
        <v>201</v>
      </c>
      <c r="B163" s="18">
        <v>4.7500000000000003E-6</v>
      </c>
    </row>
    <row r="164" spans="1:2" x14ac:dyDescent="0.25">
      <c r="A164" s="18">
        <v>202</v>
      </c>
      <c r="B164" s="18">
        <v>5.0499999999999999E-6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1:B210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44</v>
      </c>
      <c r="B2" s="18">
        <v>4.6199999999999998E-5</v>
      </c>
    </row>
    <row r="3" spans="1:2" x14ac:dyDescent="0.25">
      <c r="A3" s="18">
        <v>45</v>
      </c>
      <c r="B3" s="18">
        <v>7.5300000000000001E-5</v>
      </c>
    </row>
    <row r="4" spans="1:2" x14ac:dyDescent="0.25">
      <c r="A4" s="18">
        <v>46</v>
      </c>
      <c r="B4" s="18">
        <v>4.85E-5</v>
      </c>
    </row>
    <row r="5" spans="1:2" x14ac:dyDescent="0.25">
      <c r="A5" s="18">
        <v>47</v>
      </c>
      <c r="B5" s="18">
        <v>5.6199999999999997E-5</v>
      </c>
    </row>
    <row r="6" spans="1:2" x14ac:dyDescent="0.25">
      <c r="A6" s="18">
        <v>48</v>
      </c>
      <c r="B6" s="18">
        <v>4.2400000000000001E-5</v>
      </c>
    </row>
    <row r="7" spans="1:2" x14ac:dyDescent="0.25">
      <c r="A7" s="18">
        <v>49</v>
      </c>
      <c r="B7" s="18">
        <v>3.3300000000000003E-5</v>
      </c>
    </row>
    <row r="8" spans="1:2" x14ac:dyDescent="0.25">
      <c r="A8" s="18">
        <v>50</v>
      </c>
      <c r="B8" s="18">
        <v>5.38E-5</v>
      </c>
    </row>
    <row r="9" spans="1:2" x14ac:dyDescent="0.25">
      <c r="A9" s="18">
        <v>51</v>
      </c>
      <c r="B9" s="18">
        <v>3.1199999999999999E-5</v>
      </c>
    </row>
    <row r="10" spans="1:2" x14ac:dyDescent="0.25">
      <c r="A10" s="18">
        <v>52</v>
      </c>
      <c r="B10" s="18">
        <v>4.1999999999999998E-5</v>
      </c>
    </row>
    <row r="11" spans="1:2" x14ac:dyDescent="0.25">
      <c r="A11" s="18">
        <v>53</v>
      </c>
      <c r="B11" s="18">
        <v>4.3000000000000002E-5</v>
      </c>
    </row>
    <row r="12" spans="1:2" x14ac:dyDescent="0.25">
      <c r="A12" s="18">
        <v>54</v>
      </c>
      <c r="B12" s="18">
        <v>4.5899999999999998E-5</v>
      </c>
    </row>
    <row r="13" spans="1:2" x14ac:dyDescent="0.25">
      <c r="A13" s="18">
        <v>55</v>
      </c>
      <c r="B13" s="18">
        <v>2.02E-5</v>
      </c>
    </row>
    <row r="14" spans="1:2" x14ac:dyDescent="0.25">
      <c r="A14" s="18">
        <v>56</v>
      </c>
      <c r="B14" s="18">
        <v>4.6799999999999999E-5</v>
      </c>
    </row>
    <row r="15" spans="1:2" x14ac:dyDescent="0.25">
      <c r="A15" s="18">
        <v>57</v>
      </c>
      <c r="B15" s="18">
        <v>4.8099999999999997E-5</v>
      </c>
    </row>
    <row r="16" spans="1:2" x14ac:dyDescent="0.25">
      <c r="A16" s="18">
        <v>58</v>
      </c>
      <c r="B16" s="18">
        <v>2.7500000000000001E-5</v>
      </c>
    </row>
    <row r="17" spans="1:2" x14ac:dyDescent="0.25">
      <c r="A17" s="18">
        <v>59</v>
      </c>
      <c r="B17" s="18">
        <v>4.0899999999999998E-5</v>
      </c>
    </row>
    <row r="18" spans="1:2" x14ac:dyDescent="0.25">
      <c r="A18" s="18">
        <v>60</v>
      </c>
      <c r="B18" s="18">
        <v>3.0300000000000001E-5</v>
      </c>
    </row>
    <row r="19" spans="1:2" x14ac:dyDescent="0.25">
      <c r="A19" s="18">
        <v>61</v>
      </c>
      <c r="B19" s="18">
        <v>3.2299999999999999E-5</v>
      </c>
    </row>
    <row r="20" spans="1:2" x14ac:dyDescent="0.25">
      <c r="A20" s="18">
        <v>62</v>
      </c>
      <c r="B20" s="18">
        <v>4.2299999999999998E-5</v>
      </c>
    </row>
    <row r="21" spans="1:2" x14ac:dyDescent="0.25">
      <c r="A21" s="18">
        <v>63</v>
      </c>
      <c r="B21" s="18">
        <v>4.0399999999999999E-5</v>
      </c>
    </row>
    <row r="22" spans="1:2" x14ac:dyDescent="0.25">
      <c r="A22" s="18">
        <v>64</v>
      </c>
      <c r="B22" s="18">
        <v>3.8300000000000003E-5</v>
      </c>
    </row>
    <row r="23" spans="1:2" x14ac:dyDescent="0.25">
      <c r="A23" s="18">
        <v>65</v>
      </c>
      <c r="B23" s="18">
        <v>4.3999999999999999E-5</v>
      </c>
    </row>
    <row r="24" spans="1:2" x14ac:dyDescent="0.25">
      <c r="A24" s="18">
        <v>66</v>
      </c>
      <c r="B24" s="18">
        <v>5.0000000000000002E-5</v>
      </c>
    </row>
    <row r="25" spans="1:2" x14ac:dyDescent="0.25">
      <c r="A25" s="18">
        <v>67</v>
      </c>
      <c r="B25" s="18">
        <v>6.1600000000000007E-5</v>
      </c>
    </row>
    <row r="26" spans="1:2" x14ac:dyDescent="0.25">
      <c r="A26" s="18">
        <v>68</v>
      </c>
      <c r="B26" s="18">
        <v>2.5400000000000001E-5</v>
      </c>
    </row>
    <row r="27" spans="1:2" x14ac:dyDescent="0.25">
      <c r="A27" s="18">
        <v>69</v>
      </c>
      <c r="B27" s="18">
        <v>6.4999999999999994E-5</v>
      </c>
    </row>
    <row r="28" spans="1:2" x14ac:dyDescent="0.25">
      <c r="A28" s="18">
        <v>70</v>
      </c>
      <c r="B28" s="18">
        <v>3.68E-5</v>
      </c>
    </row>
    <row r="29" spans="1:2" x14ac:dyDescent="0.25">
      <c r="A29" s="18">
        <v>71</v>
      </c>
      <c r="B29" s="18">
        <v>3.26E-5</v>
      </c>
    </row>
    <row r="30" spans="1:2" x14ac:dyDescent="0.25">
      <c r="A30" s="18">
        <v>72</v>
      </c>
      <c r="B30" s="18">
        <v>3.7100000000000001E-5</v>
      </c>
    </row>
    <row r="31" spans="1:2" x14ac:dyDescent="0.25">
      <c r="A31" s="18">
        <v>73</v>
      </c>
      <c r="B31" s="18">
        <v>6.97E-5</v>
      </c>
    </row>
    <row r="32" spans="1:2" x14ac:dyDescent="0.25">
      <c r="A32" s="18">
        <v>74</v>
      </c>
      <c r="B32" s="18">
        <v>4.8199999999999999E-5</v>
      </c>
    </row>
    <row r="33" spans="1:2" x14ac:dyDescent="0.25">
      <c r="A33" s="18">
        <v>75</v>
      </c>
      <c r="B33" s="18">
        <v>1.0900000000000001E-4</v>
      </c>
    </row>
    <row r="34" spans="1:2" x14ac:dyDescent="0.25">
      <c r="A34" s="18">
        <v>76</v>
      </c>
      <c r="B34" s="18">
        <v>4.1499999999999999E-5</v>
      </c>
    </row>
    <row r="35" spans="1:2" x14ac:dyDescent="0.25">
      <c r="A35" s="18">
        <v>77</v>
      </c>
      <c r="B35" s="18">
        <v>4.4499999999999997E-5</v>
      </c>
    </row>
    <row r="36" spans="1:2" x14ac:dyDescent="0.25">
      <c r="A36" s="18">
        <v>78</v>
      </c>
      <c r="B36" s="18">
        <v>5.8499999999999999E-5</v>
      </c>
    </row>
    <row r="37" spans="1:2" x14ac:dyDescent="0.25">
      <c r="A37" s="18">
        <v>79</v>
      </c>
      <c r="B37" s="18">
        <v>4.3300000000000002E-5</v>
      </c>
    </row>
    <row r="38" spans="1:2" x14ac:dyDescent="0.25">
      <c r="A38" s="18">
        <v>80</v>
      </c>
      <c r="B38" s="18">
        <v>4.21E-5</v>
      </c>
    </row>
    <row r="39" spans="1:2" x14ac:dyDescent="0.25">
      <c r="A39" s="18">
        <v>81</v>
      </c>
      <c r="B39" s="18">
        <v>5.0399999999999999E-5</v>
      </c>
    </row>
    <row r="40" spans="1:2" x14ac:dyDescent="0.25">
      <c r="A40" s="18">
        <v>82</v>
      </c>
      <c r="B40" s="18">
        <v>4.8000000000000001E-5</v>
      </c>
    </row>
    <row r="41" spans="1:2" x14ac:dyDescent="0.25">
      <c r="A41" s="18">
        <v>83</v>
      </c>
      <c r="B41" s="18">
        <v>5.4200000000000003E-5</v>
      </c>
    </row>
    <row r="42" spans="1:2" x14ac:dyDescent="0.25">
      <c r="A42" s="18">
        <v>84</v>
      </c>
      <c r="B42" s="18">
        <v>5.6799999999999998E-5</v>
      </c>
    </row>
    <row r="43" spans="1:2" x14ac:dyDescent="0.25">
      <c r="A43" s="18">
        <v>85</v>
      </c>
      <c r="B43" s="18">
        <v>7.3499999999999998E-5</v>
      </c>
    </row>
    <row r="44" spans="1:2" x14ac:dyDescent="0.25">
      <c r="A44" s="18">
        <v>86</v>
      </c>
      <c r="B44" s="18">
        <v>6.3399999999999996E-5</v>
      </c>
    </row>
    <row r="45" spans="1:2" x14ac:dyDescent="0.25">
      <c r="A45" s="18">
        <v>87</v>
      </c>
      <c r="B45" s="18">
        <v>7.8700000000000002E-5</v>
      </c>
    </row>
    <row r="46" spans="1:2" x14ac:dyDescent="0.25">
      <c r="A46" s="18">
        <v>88</v>
      </c>
      <c r="B46" s="18">
        <v>9.0600000000000007E-5</v>
      </c>
    </row>
    <row r="47" spans="1:2" x14ac:dyDescent="0.25">
      <c r="A47" s="18">
        <v>89</v>
      </c>
      <c r="B47" s="18">
        <v>1.01E-4</v>
      </c>
    </row>
    <row r="48" spans="1:2" x14ac:dyDescent="0.25">
      <c r="A48" s="18">
        <v>90</v>
      </c>
      <c r="B48" s="18">
        <v>1.0900000000000001E-4</v>
      </c>
    </row>
    <row r="49" spans="1:2" x14ac:dyDescent="0.25">
      <c r="A49" s="18">
        <v>91</v>
      </c>
      <c r="B49" s="18">
        <v>1.1900000000000001E-4</v>
      </c>
    </row>
    <row r="50" spans="1:2" x14ac:dyDescent="0.25">
      <c r="A50" s="18">
        <v>92</v>
      </c>
      <c r="B50" s="18">
        <v>1.6200000000000001E-4</v>
      </c>
    </row>
    <row r="51" spans="1:2" x14ac:dyDescent="0.25">
      <c r="A51" s="18">
        <v>93</v>
      </c>
      <c r="B51" s="18">
        <v>1.7799999999999999E-4</v>
      </c>
    </row>
    <row r="52" spans="1:2" x14ac:dyDescent="0.25">
      <c r="A52" s="18">
        <v>94</v>
      </c>
      <c r="B52" s="18">
        <v>1.9900000000000001E-4</v>
      </c>
    </row>
    <row r="53" spans="1:2" x14ac:dyDescent="0.25">
      <c r="A53" s="18">
        <v>95</v>
      </c>
      <c r="B53" s="18">
        <v>2.4800000000000001E-4</v>
      </c>
    </row>
    <row r="54" spans="1:2" x14ac:dyDescent="0.25">
      <c r="A54" s="18">
        <v>96</v>
      </c>
      <c r="B54" s="18">
        <v>2.8400000000000002E-4</v>
      </c>
    </row>
    <row r="55" spans="1:2" x14ac:dyDescent="0.25">
      <c r="A55" s="18">
        <v>97</v>
      </c>
      <c r="B55" s="18">
        <v>3.1E-4</v>
      </c>
    </row>
    <row r="56" spans="1:2" x14ac:dyDescent="0.25">
      <c r="A56" s="18">
        <v>98</v>
      </c>
      <c r="B56" s="18">
        <v>3.4400000000000001E-4</v>
      </c>
    </row>
    <row r="57" spans="1:2" x14ac:dyDescent="0.25">
      <c r="A57" s="18">
        <v>99</v>
      </c>
      <c r="B57" s="18">
        <v>3.8400000000000001E-4</v>
      </c>
    </row>
    <row r="58" spans="1:2" x14ac:dyDescent="0.25">
      <c r="A58" s="18">
        <v>100</v>
      </c>
      <c r="B58" s="18">
        <v>4.3899999999999999E-4</v>
      </c>
    </row>
    <row r="59" spans="1:2" x14ac:dyDescent="0.25">
      <c r="A59" s="18">
        <v>101</v>
      </c>
      <c r="B59" s="18">
        <v>4.9100000000000001E-4</v>
      </c>
    </row>
    <row r="60" spans="1:2" x14ac:dyDescent="0.25">
      <c r="A60" s="18">
        <v>102</v>
      </c>
      <c r="B60" s="18">
        <v>5.8299999999999997E-4</v>
      </c>
    </row>
    <row r="61" spans="1:2" x14ac:dyDescent="0.25">
      <c r="A61" s="18">
        <v>103</v>
      </c>
      <c r="B61" s="18">
        <v>6.2399999999999999E-4</v>
      </c>
    </row>
    <row r="62" spans="1:2" x14ac:dyDescent="0.25">
      <c r="A62" s="18">
        <v>104</v>
      </c>
      <c r="B62" s="18">
        <v>7.18E-4</v>
      </c>
    </row>
    <row r="63" spans="1:2" x14ac:dyDescent="0.25">
      <c r="A63" s="18">
        <v>105</v>
      </c>
      <c r="B63" s="18">
        <v>7.6800000000000002E-4</v>
      </c>
    </row>
    <row r="64" spans="1:2" x14ac:dyDescent="0.25">
      <c r="A64" s="18">
        <v>106</v>
      </c>
      <c r="B64" s="18">
        <v>8.9700000000000001E-4</v>
      </c>
    </row>
    <row r="65" spans="1:2" x14ac:dyDescent="0.25">
      <c r="A65" s="18">
        <v>107</v>
      </c>
      <c r="B65" s="18">
        <v>9.6299999999999999E-4</v>
      </c>
    </row>
    <row r="66" spans="1:2" x14ac:dyDescent="0.25">
      <c r="A66" s="18">
        <v>108</v>
      </c>
      <c r="B66" s="18">
        <v>1.07E-3</v>
      </c>
    </row>
    <row r="67" spans="1:2" x14ac:dyDescent="0.25">
      <c r="A67" s="18">
        <v>109</v>
      </c>
      <c r="B67" s="18">
        <v>1.16E-3</v>
      </c>
    </row>
    <row r="68" spans="1:2" x14ac:dyDescent="0.25">
      <c r="A68" s="18">
        <v>110</v>
      </c>
      <c r="B68" s="18">
        <v>1.2999999999999999E-3</v>
      </c>
    </row>
    <row r="69" spans="1:2" x14ac:dyDescent="0.25">
      <c r="A69" s="18">
        <v>111</v>
      </c>
      <c r="B69" s="18">
        <v>1.4E-3</v>
      </c>
    </row>
    <row r="70" spans="1:2" x14ac:dyDescent="0.25">
      <c r="A70" s="18">
        <v>112</v>
      </c>
      <c r="B70" s="18">
        <v>1.5299999999999999E-3</v>
      </c>
    </row>
    <row r="71" spans="1:2" x14ac:dyDescent="0.25">
      <c r="A71" s="18">
        <v>113</v>
      </c>
      <c r="B71" s="18">
        <v>1.66E-3</v>
      </c>
    </row>
    <row r="72" spans="1:2" x14ac:dyDescent="0.25">
      <c r="A72" s="18">
        <v>114</v>
      </c>
      <c r="B72" s="18">
        <v>1.8E-3</v>
      </c>
    </row>
    <row r="73" spans="1:2" x14ac:dyDescent="0.25">
      <c r="A73" s="18">
        <v>115</v>
      </c>
      <c r="B73" s="18">
        <v>1.9400000000000001E-3</v>
      </c>
    </row>
    <row r="74" spans="1:2" x14ac:dyDescent="0.25">
      <c r="A74" s="18">
        <v>116</v>
      </c>
      <c r="B74" s="18">
        <v>2.0400000000000001E-3</v>
      </c>
    </row>
    <row r="75" spans="1:2" x14ac:dyDescent="0.25">
      <c r="A75" s="18">
        <v>117</v>
      </c>
      <c r="B75" s="18">
        <v>2.1800000000000001E-3</v>
      </c>
    </row>
    <row r="76" spans="1:2" x14ac:dyDescent="0.25">
      <c r="A76" s="18">
        <v>118</v>
      </c>
      <c r="B76" s="18">
        <v>2.3400000000000001E-3</v>
      </c>
    </row>
    <row r="77" spans="1:2" x14ac:dyDescent="0.25">
      <c r="A77" s="18">
        <v>119</v>
      </c>
      <c r="B77" s="18">
        <v>2.5400000000000002E-3</v>
      </c>
    </row>
    <row r="78" spans="1:2" x14ac:dyDescent="0.25">
      <c r="A78" s="18">
        <v>120</v>
      </c>
      <c r="B78" s="18">
        <v>2.7000000000000001E-3</v>
      </c>
    </row>
    <row r="79" spans="1:2" x14ac:dyDescent="0.25">
      <c r="A79" s="18">
        <v>121</v>
      </c>
      <c r="B79" s="18">
        <v>2.8800000000000002E-3</v>
      </c>
    </row>
    <row r="80" spans="1:2" x14ac:dyDescent="0.25">
      <c r="A80" s="18">
        <v>122</v>
      </c>
      <c r="B80" s="18">
        <v>3.0100000000000001E-3</v>
      </c>
    </row>
    <row r="81" spans="1:2" x14ac:dyDescent="0.25">
      <c r="A81" s="18">
        <v>123</v>
      </c>
      <c r="B81" s="18">
        <v>3.1700000000000001E-3</v>
      </c>
    </row>
    <row r="82" spans="1:2" x14ac:dyDescent="0.25">
      <c r="A82" s="18">
        <v>124</v>
      </c>
      <c r="B82" s="18">
        <v>3.3300000000000001E-3</v>
      </c>
    </row>
    <row r="83" spans="1:2" x14ac:dyDescent="0.25">
      <c r="A83" s="18">
        <v>125</v>
      </c>
      <c r="B83" s="18">
        <v>3.5200000000000001E-3</v>
      </c>
    </row>
    <row r="84" spans="1:2" x14ac:dyDescent="0.25">
      <c r="A84" s="18">
        <v>126</v>
      </c>
      <c r="B84" s="18">
        <v>3.6800000000000001E-3</v>
      </c>
    </row>
    <row r="85" spans="1:2" x14ac:dyDescent="0.25">
      <c r="A85" s="18">
        <v>127</v>
      </c>
      <c r="B85" s="18">
        <v>3.9300000000000003E-3</v>
      </c>
    </row>
    <row r="86" spans="1:2" x14ac:dyDescent="0.25">
      <c r="A86" s="18">
        <v>128</v>
      </c>
      <c r="B86" s="18">
        <v>4.0699999999999998E-3</v>
      </c>
    </row>
    <row r="87" spans="1:2" x14ac:dyDescent="0.25">
      <c r="A87" s="18">
        <v>129</v>
      </c>
      <c r="B87" s="18">
        <v>4.2900000000000004E-3</v>
      </c>
    </row>
    <row r="88" spans="1:2" x14ac:dyDescent="0.25">
      <c r="A88" s="18">
        <v>130</v>
      </c>
      <c r="B88" s="18">
        <v>4.4299999999999999E-3</v>
      </c>
    </row>
    <row r="89" spans="1:2" x14ac:dyDescent="0.25">
      <c r="A89" s="18">
        <v>131</v>
      </c>
      <c r="B89" s="18">
        <v>4.6299999999999996E-3</v>
      </c>
    </row>
    <row r="90" spans="1:2" x14ac:dyDescent="0.25">
      <c r="A90" s="18">
        <v>132</v>
      </c>
      <c r="B90" s="18">
        <v>4.8300000000000001E-3</v>
      </c>
    </row>
    <row r="91" spans="1:2" x14ac:dyDescent="0.25">
      <c r="A91" s="18">
        <v>133</v>
      </c>
      <c r="B91" s="18">
        <v>5.0400000000000002E-3</v>
      </c>
    </row>
    <row r="92" spans="1:2" x14ac:dyDescent="0.25">
      <c r="A92" s="18">
        <v>134</v>
      </c>
      <c r="B92" s="18">
        <v>5.1999999999999998E-3</v>
      </c>
    </row>
    <row r="93" spans="1:2" x14ac:dyDescent="0.25">
      <c r="A93" s="18">
        <v>135</v>
      </c>
      <c r="B93" s="18">
        <v>5.4000000000000003E-3</v>
      </c>
    </row>
    <row r="94" spans="1:2" x14ac:dyDescent="0.25">
      <c r="A94" s="18">
        <v>136</v>
      </c>
      <c r="B94" s="18">
        <v>5.5100000000000001E-3</v>
      </c>
    </row>
    <row r="95" spans="1:2" x14ac:dyDescent="0.25">
      <c r="A95" s="18">
        <v>137</v>
      </c>
      <c r="B95" s="18">
        <v>5.6899999999999997E-3</v>
      </c>
    </row>
    <row r="96" spans="1:2" x14ac:dyDescent="0.25">
      <c r="A96" s="18">
        <v>138</v>
      </c>
      <c r="B96" s="18">
        <v>5.9800000000000001E-3</v>
      </c>
    </row>
    <row r="97" spans="1:2" x14ac:dyDescent="0.25">
      <c r="A97" s="18">
        <v>139</v>
      </c>
      <c r="B97" s="18">
        <v>6.1399999999999996E-3</v>
      </c>
    </row>
    <row r="98" spans="1:2" x14ac:dyDescent="0.25">
      <c r="A98" s="18">
        <v>140</v>
      </c>
      <c r="B98" s="18">
        <v>6.2199999999999998E-3</v>
      </c>
    </row>
    <row r="99" spans="1:2" x14ac:dyDescent="0.25">
      <c r="A99" s="18">
        <v>141</v>
      </c>
      <c r="B99" s="18">
        <v>6.4799999999999996E-3</v>
      </c>
    </row>
    <row r="100" spans="1:2" x14ac:dyDescent="0.25">
      <c r="A100" s="18">
        <v>142</v>
      </c>
      <c r="B100" s="18">
        <v>6.6400000000000001E-3</v>
      </c>
    </row>
    <row r="101" spans="1:2" x14ac:dyDescent="0.25">
      <c r="A101" s="18">
        <v>143</v>
      </c>
      <c r="B101" s="18">
        <v>6.79E-3</v>
      </c>
    </row>
    <row r="102" spans="1:2" x14ac:dyDescent="0.25">
      <c r="A102" s="18">
        <v>144</v>
      </c>
      <c r="B102" s="18">
        <v>7.0200000000000002E-3</v>
      </c>
    </row>
    <row r="103" spans="1:2" x14ac:dyDescent="0.25">
      <c r="A103" s="18">
        <v>145</v>
      </c>
      <c r="B103" s="18">
        <v>7.2399999999999999E-3</v>
      </c>
    </row>
    <row r="104" spans="1:2" x14ac:dyDescent="0.25">
      <c r="A104" s="18">
        <v>146</v>
      </c>
      <c r="B104" s="18">
        <v>7.3400000000000002E-3</v>
      </c>
    </row>
    <row r="105" spans="1:2" x14ac:dyDescent="0.25">
      <c r="A105" s="18">
        <v>147</v>
      </c>
      <c r="B105" s="18">
        <v>7.45E-3</v>
      </c>
    </row>
    <row r="106" spans="1:2" x14ac:dyDescent="0.25">
      <c r="A106" s="18">
        <v>148</v>
      </c>
      <c r="B106" s="18">
        <v>7.7000000000000002E-3</v>
      </c>
    </row>
    <row r="107" spans="1:2" x14ac:dyDescent="0.25">
      <c r="A107" s="18">
        <v>149</v>
      </c>
      <c r="B107" s="18">
        <v>7.79E-3</v>
      </c>
    </row>
    <row r="108" spans="1:2" x14ac:dyDescent="0.25">
      <c r="A108" s="18">
        <v>150</v>
      </c>
      <c r="B108" s="18">
        <v>8.0700000000000008E-3</v>
      </c>
    </row>
    <row r="109" spans="1:2" x14ac:dyDescent="0.25">
      <c r="A109" s="18">
        <v>151</v>
      </c>
      <c r="B109" s="18">
        <v>8.1700000000000002E-3</v>
      </c>
    </row>
    <row r="110" spans="1:2" x14ac:dyDescent="0.25">
      <c r="A110" s="18">
        <v>152</v>
      </c>
      <c r="B110" s="18">
        <v>8.3199999999999993E-3</v>
      </c>
    </row>
    <row r="111" spans="1:2" x14ac:dyDescent="0.25">
      <c r="A111" s="18">
        <v>153</v>
      </c>
      <c r="B111" s="18">
        <v>8.43E-3</v>
      </c>
    </row>
    <row r="112" spans="1:2" x14ac:dyDescent="0.25">
      <c r="A112" s="18">
        <v>154</v>
      </c>
      <c r="B112" s="18">
        <v>8.5299999999999994E-3</v>
      </c>
    </row>
    <row r="113" spans="1:2" x14ac:dyDescent="0.25">
      <c r="A113" s="18">
        <v>155</v>
      </c>
      <c r="B113" s="18">
        <v>8.7299999999999999E-3</v>
      </c>
    </row>
    <row r="114" spans="1:2" x14ac:dyDescent="0.25">
      <c r="A114" s="18">
        <v>156</v>
      </c>
      <c r="B114" s="18">
        <v>8.8400000000000006E-3</v>
      </c>
    </row>
    <row r="115" spans="1:2" x14ac:dyDescent="0.25">
      <c r="A115" s="18">
        <v>157</v>
      </c>
      <c r="B115" s="18">
        <v>9.0100000000000006E-3</v>
      </c>
    </row>
    <row r="116" spans="1:2" x14ac:dyDescent="0.25">
      <c r="A116" s="18">
        <v>158</v>
      </c>
      <c r="B116" s="18">
        <v>9.1900000000000003E-3</v>
      </c>
    </row>
    <row r="117" spans="1:2" x14ac:dyDescent="0.25">
      <c r="A117" s="18">
        <v>159</v>
      </c>
      <c r="B117" s="18">
        <v>9.2200000000000008E-3</v>
      </c>
    </row>
    <row r="118" spans="1:2" x14ac:dyDescent="0.25">
      <c r="A118" s="18">
        <v>160</v>
      </c>
      <c r="B118" s="18">
        <v>9.4299999999999991E-3</v>
      </c>
    </row>
    <row r="119" spans="1:2" x14ac:dyDescent="0.25">
      <c r="A119" s="18">
        <v>161</v>
      </c>
      <c r="B119" s="18">
        <v>9.5499999999999995E-3</v>
      </c>
    </row>
    <row r="120" spans="1:2" x14ac:dyDescent="0.25">
      <c r="A120" s="18">
        <v>162</v>
      </c>
      <c r="B120" s="18">
        <v>9.6600000000000002E-3</v>
      </c>
    </row>
    <row r="121" spans="1:2" x14ac:dyDescent="0.25">
      <c r="A121" s="18">
        <v>163</v>
      </c>
      <c r="B121" s="18">
        <v>9.7599999999999996E-3</v>
      </c>
    </row>
    <row r="122" spans="1:2" x14ac:dyDescent="0.25">
      <c r="A122" s="18">
        <v>164</v>
      </c>
      <c r="B122" s="18">
        <v>9.92E-3</v>
      </c>
    </row>
    <row r="123" spans="1:2" x14ac:dyDescent="0.25">
      <c r="A123" s="18">
        <v>165</v>
      </c>
      <c r="B123" s="18">
        <v>9.9299999999999996E-3</v>
      </c>
    </row>
    <row r="124" spans="1:2" x14ac:dyDescent="0.25">
      <c r="A124" s="18">
        <v>166</v>
      </c>
      <c r="B124" s="18">
        <v>1.01E-2</v>
      </c>
    </row>
    <row r="125" spans="1:2" x14ac:dyDescent="0.25">
      <c r="A125" s="18">
        <v>167</v>
      </c>
      <c r="B125" s="18">
        <v>1.01E-2</v>
      </c>
    </row>
    <row r="126" spans="1:2" x14ac:dyDescent="0.25">
      <c r="A126" s="18">
        <v>168</v>
      </c>
      <c r="B126" s="18">
        <v>1.01E-2</v>
      </c>
    </row>
    <row r="127" spans="1:2" x14ac:dyDescent="0.25">
      <c r="A127" s="18">
        <v>169</v>
      </c>
      <c r="B127" s="18">
        <v>1.0200000000000001E-2</v>
      </c>
    </row>
    <row r="128" spans="1:2" x14ac:dyDescent="0.25">
      <c r="A128" s="18">
        <v>170</v>
      </c>
      <c r="B128" s="18">
        <v>1.0500000000000001E-2</v>
      </c>
    </row>
    <row r="129" spans="1:2" x14ac:dyDescent="0.25">
      <c r="A129" s="18">
        <v>171</v>
      </c>
      <c r="B129" s="18">
        <v>1.04E-2</v>
      </c>
    </row>
    <row r="130" spans="1:2" x14ac:dyDescent="0.25">
      <c r="A130" s="18">
        <v>172</v>
      </c>
      <c r="B130" s="18">
        <v>1.0500000000000001E-2</v>
      </c>
    </row>
    <row r="131" spans="1:2" x14ac:dyDescent="0.25">
      <c r="A131" s="18">
        <v>173</v>
      </c>
      <c r="B131" s="18">
        <v>1.06E-2</v>
      </c>
    </row>
    <row r="132" spans="1:2" x14ac:dyDescent="0.25">
      <c r="A132" s="18">
        <v>174</v>
      </c>
      <c r="B132" s="18">
        <v>1.0500000000000001E-2</v>
      </c>
    </row>
    <row r="133" spans="1:2" x14ac:dyDescent="0.25">
      <c r="A133" s="18">
        <v>175</v>
      </c>
      <c r="B133" s="18">
        <v>1.0699999999999999E-2</v>
      </c>
    </row>
    <row r="134" spans="1:2" x14ac:dyDescent="0.25">
      <c r="A134" s="18">
        <v>176</v>
      </c>
      <c r="B134" s="18">
        <v>1.0699999999999999E-2</v>
      </c>
    </row>
    <row r="135" spans="1:2" x14ac:dyDescent="0.25">
      <c r="A135" s="18">
        <v>177</v>
      </c>
      <c r="B135" s="18">
        <v>1.0699999999999999E-2</v>
      </c>
    </row>
    <row r="136" spans="1:2" x14ac:dyDescent="0.25">
      <c r="A136" s="18">
        <v>178</v>
      </c>
      <c r="B136" s="18">
        <v>1.0699999999999999E-2</v>
      </c>
    </row>
    <row r="137" spans="1:2" x14ac:dyDescent="0.25">
      <c r="A137" s="18">
        <v>179</v>
      </c>
      <c r="B137" s="18">
        <v>1.0800000000000001E-2</v>
      </c>
    </row>
    <row r="138" spans="1:2" x14ac:dyDescent="0.25">
      <c r="A138" s="18">
        <v>180</v>
      </c>
      <c r="B138" s="18">
        <v>1.09E-2</v>
      </c>
    </row>
    <row r="139" spans="1:2" x14ac:dyDescent="0.25">
      <c r="A139" s="18">
        <v>181</v>
      </c>
      <c r="B139" s="18">
        <v>1.09E-2</v>
      </c>
    </row>
    <row r="140" spans="1:2" x14ac:dyDescent="0.25">
      <c r="A140" s="18">
        <v>182</v>
      </c>
      <c r="B140" s="18">
        <v>1.0699999999999999E-2</v>
      </c>
    </row>
    <row r="141" spans="1:2" x14ac:dyDescent="0.25">
      <c r="A141" s="18">
        <v>183</v>
      </c>
      <c r="B141" s="18">
        <v>1.0800000000000001E-2</v>
      </c>
    </row>
    <row r="142" spans="1:2" x14ac:dyDescent="0.25">
      <c r="A142" s="18">
        <v>184</v>
      </c>
      <c r="B142" s="18">
        <v>1.09E-2</v>
      </c>
    </row>
    <row r="143" spans="1:2" x14ac:dyDescent="0.25">
      <c r="A143" s="18">
        <v>185</v>
      </c>
      <c r="B143" s="18">
        <v>1.09E-2</v>
      </c>
    </row>
    <row r="144" spans="1:2" x14ac:dyDescent="0.25">
      <c r="A144" s="18">
        <v>186</v>
      </c>
      <c r="B144" s="18">
        <v>1.09E-2</v>
      </c>
    </row>
    <row r="145" spans="1:2" x14ac:dyDescent="0.25">
      <c r="A145" s="18">
        <v>187</v>
      </c>
      <c r="B145" s="18">
        <v>1.0800000000000001E-2</v>
      </c>
    </row>
    <row r="146" spans="1:2" x14ac:dyDescent="0.25">
      <c r="A146" s="18">
        <v>188</v>
      </c>
      <c r="B146" s="18">
        <v>1.0800000000000001E-2</v>
      </c>
    </row>
    <row r="147" spans="1:2" x14ac:dyDescent="0.25">
      <c r="A147" s="18">
        <v>189</v>
      </c>
      <c r="B147" s="18">
        <v>1.0699999999999999E-2</v>
      </c>
    </row>
    <row r="148" spans="1:2" x14ac:dyDescent="0.25">
      <c r="A148" s="18">
        <v>190</v>
      </c>
      <c r="B148" s="18">
        <v>1.0800000000000001E-2</v>
      </c>
    </row>
    <row r="149" spans="1:2" x14ac:dyDescent="0.25">
      <c r="A149" s="18">
        <v>191</v>
      </c>
      <c r="B149" s="18">
        <v>1.0699999999999999E-2</v>
      </c>
    </row>
    <row r="150" spans="1:2" x14ac:dyDescent="0.25">
      <c r="A150" s="18">
        <v>192</v>
      </c>
      <c r="B150" s="18">
        <v>1.0800000000000001E-2</v>
      </c>
    </row>
    <row r="151" spans="1:2" x14ac:dyDescent="0.25">
      <c r="A151" s="18">
        <v>193</v>
      </c>
      <c r="B151" s="18">
        <v>1.0699999999999999E-2</v>
      </c>
    </row>
    <row r="152" spans="1:2" x14ac:dyDescent="0.25">
      <c r="A152" s="18">
        <v>194</v>
      </c>
      <c r="B152" s="18">
        <v>1.06E-2</v>
      </c>
    </row>
    <row r="153" spans="1:2" x14ac:dyDescent="0.25">
      <c r="A153" s="18">
        <v>195</v>
      </c>
      <c r="B153" s="18">
        <v>1.0500000000000001E-2</v>
      </c>
    </row>
    <row r="154" spans="1:2" x14ac:dyDescent="0.25">
      <c r="A154" s="18">
        <v>196</v>
      </c>
      <c r="B154" s="18">
        <v>1.04E-2</v>
      </c>
    </row>
    <row r="155" spans="1:2" x14ac:dyDescent="0.25">
      <c r="A155" s="18">
        <v>197</v>
      </c>
      <c r="B155" s="18">
        <v>1.04E-2</v>
      </c>
    </row>
    <row r="156" spans="1:2" x14ac:dyDescent="0.25">
      <c r="A156" s="18">
        <v>198</v>
      </c>
      <c r="B156" s="18">
        <v>1.03E-2</v>
      </c>
    </row>
    <row r="157" spans="1:2" x14ac:dyDescent="0.25">
      <c r="A157" s="18">
        <v>199</v>
      </c>
      <c r="B157" s="18">
        <v>1.0200000000000001E-2</v>
      </c>
    </row>
    <row r="158" spans="1:2" x14ac:dyDescent="0.25">
      <c r="A158" s="18">
        <v>200</v>
      </c>
      <c r="B158" s="18">
        <v>1.03E-2</v>
      </c>
    </row>
    <row r="159" spans="1:2" x14ac:dyDescent="0.25">
      <c r="A159" s="18">
        <v>201</v>
      </c>
      <c r="B159" s="18">
        <v>1.0200000000000001E-2</v>
      </c>
    </row>
    <row r="160" spans="1:2" x14ac:dyDescent="0.25">
      <c r="A160" s="18">
        <v>202</v>
      </c>
      <c r="B160" s="18">
        <v>9.9900000000000006E-3</v>
      </c>
    </row>
    <row r="161" spans="1:2" x14ac:dyDescent="0.25">
      <c r="A161" s="18">
        <v>203</v>
      </c>
      <c r="B161" s="18">
        <v>9.9299999999999996E-3</v>
      </c>
    </row>
    <row r="162" spans="1:2" x14ac:dyDescent="0.25">
      <c r="A162" s="18">
        <v>204</v>
      </c>
      <c r="B162" s="18">
        <v>9.7599999999999996E-3</v>
      </c>
    </row>
    <row r="163" spans="1:2" x14ac:dyDescent="0.25">
      <c r="A163" s="18">
        <v>205</v>
      </c>
      <c r="B163" s="18">
        <v>9.7800000000000005E-3</v>
      </c>
    </row>
    <row r="164" spans="1:2" x14ac:dyDescent="0.25">
      <c r="A164" s="18">
        <v>206</v>
      </c>
      <c r="B164" s="18">
        <v>9.6100000000000005E-3</v>
      </c>
    </row>
    <row r="165" spans="1:2" x14ac:dyDescent="0.25">
      <c r="A165" s="18">
        <v>207</v>
      </c>
      <c r="B165" s="18">
        <v>9.3200000000000002E-3</v>
      </c>
    </row>
    <row r="166" spans="1:2" x14ac:dyDescent="0.25">
      <c r="A166" s="18">
        <v>208</v>
      </c>
      <c r="B166" s="18">
        <v>9.2599999999999991E-3</v>
      </c>
    </row>
    <row r="167" spans="1:2" x14ac:dyDescent="0.25">
      <c r="A167" s="18">
        <v>209</v>
      </c>
      <c r="B167" s="18">
        <v>9.1800000000000007E-3</v>
      </c>
    </row>
    <row r="168" spans="1:2" x14ac:dyDescent="0.25">
      <c r="A168" s="18">
        <v>210</v>
      </c>
      <c r="B168" s="18">
        <v>8.9800000000000001E-3</v>
      </c>
    </row>
    <row r="169" spans="1:2" x14ac:dyDescent="0.25">
      <c r="A169" s="18">
        <v>211</v>
      </c>
      <c r="B169" s="18">
        <v>8.9300000000000004E-3</v>
      </c>
    </row>
    <row r="170" spans="1:2" x14ac:dyDescent="0.25">
      <c r="A170" s="18">
        <v>212</v>
      </c>
      <c r="B170" s="18">
        <v>8.7200000000000003E-3</v>
      </c>
    </row>
    <row r="171" spans="1:2" x14ac:dyDescent="0.25">
      <c r="A171" s="18">
        <v>213</v>
      </c>
      <c r="B171" s="18">
        <v>8.6300000000000005E-3</v>
      </c>
    </row>
    <row r="172" spans="1:2" x14ac:dyDescent="0.25">
      <c r="A172" s="18">
        <v>214</v>
      </c>
      <c r="B172" s="18">
        <v>8.43E-3</v>
      </c>
    </row>
    <row r="173" spans="1:2" x14ac:dyDescent="0.25">
      <c r="A173" s="18">
        <v>215</v>
      </c>
      <c r="B173" s="18">
        <v>8.3800000000000003E-3</v>
      </c>
    </row>
    <row r="174" spans="1:2" x14ac:dyDescent="0.25">
      <c r="A174" s="18">
        <v>216</v>
      </c>
      <c r="B174" s="18">
        <v>8.1899999999999994E-3</v>
      </c>
    </row>
    <row r="175" spans="1:2" x14ac:dyDescent="0.25">
      <c r="A175" s="18">
        <v>217</v>
      </c>
      <c r="B175" s="18">
        <v>7.9600000000000001E-3</v>
      </c>
    </row>
    <row r="176" spans="1:2" x14ac:dyDescent="0.25">
      <c r="A176" s="18">
        <v>218</v>
      </c>
      <c r="B176" s="18">
        <v>7.8399999999999997E-3</v>
      </c>
    </row>
    <row r="177" spans="1:2" x14ac:dyDescent="0.25">
      <c r="A177" s="18">
        <v>219</v>
      </c>
      <c r="B177" s="18">
        <v>7.5900000000000004E-3</v>
      </c>
    </row>
    <row r="178" spans="1:2" x14ac:dyDescent="0.25">
      <c r="A178" s="18">
        <v>220</v>
      </c>
      <c r="B178" s="18">
        <v>7.3699999999999998E-3</v>
      </c>
    </row>
    <row r="179" spans="1:2" x14ac:dyDescent="0.25">
      <c r="A179" s="18">
        <v>221</v>
      </c>
      <c r="B179" s="18">
        <v>7.2899999999999996E-3</v>
      </c>
    </row>
    <row r="180" spans="1:2" x14ac:dyDescent="0.25">
      <c r="A180" s="18">
        <v>222</v>
      </c>
      <c r="B180" s="18">
        <v>7.0899999999999999E-3</v>
      </c>
    </row>
    <row r="181" spans="1:2" x14ac:dyDescent="0.25">
      <c r="A181" s="18">
        <v>223</v>
      </c>
      <c r="B181" s="18">
        <v>6.9899999999999997E-3</v>
      </c>
    </row>
    <row r="182" spans="1:2" x14ac:dyDescent="0.25">
      <c r="A182" s="18">
        <v>224</v>
      </c>
      <c r="B182" s="18">
        <v>6.6400000000000001E-3</v>
      </c>
    </row>
    <row r="183" spans="1:2" x14ac:dyDescent="0.25">
      <c r="A183" s="18">
        <v>225</v>
      </c>
      <c r="B183" s="18">
        <v>6.3400000000000001E-3</v>
      </c>
    </row>
    <row r="184" spans="1:2" x14ac:dyDescent="0.25">
      <c r="A184" s="18">
        <v>226</v>
      </c>
      <c r="B184" s="18">
        <v>6.2700000000000004E-3</v>
      </c>
    </row>
    <row r="185" spans="1:2" x14ac:dyDescent="0.25">
      <c r="A185" s="18">
        <v>227</v>
      </c>
      <c r="B185" s="18">
        <v>6.0699999999999999E-3</v>
      </c>
    </row>
    <row r="186" spans="1:2" x14ac:dyDescent="0.25">
      <c r="A186" s="18">
        <v>228</v>
      </c>
      <c r="B186" s="18">
        <v>5.7200000000000003E-3</v>
      </c>
    </row>
    <row r="187" spans="1:2" x14ac:dyDescent="0.25">
      <c r="A187" s="18">
        <v>229</v>
      </c>
      <c r="B187" s="18">
        <v>5.7000000000000002E-3</v>
      </c>
    </row>
    <row r="188" spans="1:2" x14ac:dyDescent="0.25">
      <c r="A188" s="18">
        <v>230</v>
      </c>
      <c r="B188" s="18">
        <v>5.3499999999999997E-3</v>
      </c>
    </row>
    <row r="189" spans="1:2" x14ac:dyDescent="0.25">
      <c r="A189" s="18">
        <v>231</v>
      </c>
      <c r="B189" s="18">
        <v>5.2300000000000003E-3</v>
      </c>
    </row>
    <row r="190" spans="1:2" x14ac:dyDescent="0.25">
      <c r="A190" s="18">
        <v>232</v>
      </c>
      <c r="B190" s="18">
        <v>4.9399999999999999E-3</v>
      </c>
    </row>
    <row r="191" spans="1:2" x14ac:dyDescent="0.25">
      <c r="A191" s="18">
        <v>233</v>
      </c>
      <c r="B191" s="18">
        <v>4.7400000000000003E-3</v>
      </c>
    </row>
    <row r="192" spans="1:2" x14ac:dyDescent="0.25">
      <c r="A192" s="18">
        <v>234</v>
      </c>
      <c r="B192" s="18">
        <v>4.5199999999999997E-3</v>
      </c>
    </row>
    <row r="193" spans="1:2" x14ac:dyDescent="0.25">
      <c r="A193" s="18">
        <v>235</v>
      </c>
      <c r="B193" s="18">
        <v>4.2199999999999998E-3</v>
      </c>
    </row>
    <row r="194" spans="1:2" x14ac:dyDescent="0.25">
      <c r="A194" s="18">
        <v>236</v>
      </c>
      <c r="B194" s="18">
        <v>4.0299999999999997E-3</v>
      </c>
    </row>
    <row r="195" spans="1:2" x14ac:dyDescent="0.25">
      <c r="A195" s="18">
        <v>237</v>
      </c>
      <c r="B195" s="18">
        <v>3.6700000000000001E-3</v>
      </c>
    </row>
    <row r="196" spans="1:2" x14ac:dyDescent="0.25">
      <c r="A196" s="18">
        <v>238</v>
      </c>
      <c r="B196" s="18">
        <v>3.3700000000000002E-3</v>
      </c>
    </row>
    <row r="197" spans="1:2" x14ac:dyDescent="0.25">
      <c r="A197" s="18">
        <v>239</v>
      </c>
      <c r="B197" s="18">
        <v>3.0699999999999998E-3</v>
      </c>
    </row>
    <row r="198" spans="1:2" x14ac:dyDescent="0.25">
      <c r="A198" s="18">
        <v>240</v>
      </c>
      <c r="B198" s="18">
        <v>2.8500000000000001E-3</v>
      </c>
    </row>
    <row r="199" spans="1:2" x14ac:dyDescent="0.25">
      <c r="A199" s="18">
        <v>241</v>
      </c>
      <c r="B199" s="18">
        <v>2.5100000000000001E-3</v>
      </c>
    </row>
    <row r="200" spans="1:2" x14ac:dyDescent="0.25">
      <c r="A200" s="18">
        <v>242</v>
      </c>
      <c r="B200" s="18">
        <v>2.31E-3</v>
      </c>
    </row>
    <row r="201" spans="1:2" x14ac:dyDescent="0.25">
      <c r="A201" s="18">
        <v>243</v>
      </c>
      <c r="B201" s="18">
        <v>2E-3</v>
      </c>
    </row>
    <row r="202" spans="1:2" x14ac:dyDescent="0.25">
      <c r="A202" s="18">
        <v>244</v>
      </c>
      <c r="B202" s="18">
        <v>1.6999999999999999E-3</v>
      </c>
    </row>
    <row r="203" spans="1:2" x14ac:dyDescent="0.25">
      <c r="A203" s="18">
        <v>245</v>
      </c>
      <c r="B203" s="18">
        <v>1.4300000000000001E-3</v>
      </c>
    </row>
    <row r="204" spans="1:2" x14ac:dyDescent="0.25">
      <c r="A204" s="18">
        <v>246</v>
      </c>
      <c r="B204" s="18">
        <v>1.15E-3</v>
      </c>
    </row>
    <row r="205" spans="1:2" x14ac:dyDescent="0.25">
      <c r="A205" s="18">
        <v>247</v>
      </c>
      <c r="B205" s="18">
        <v>9.6400000000000001E-4</v>
      </c>
    </row>
    <row r="206" spans="1:2" x14ac:dyDescent="0.25">
      <c r="A206" s="18">
        <v>248</v>
      </c>
      <c r="B206" s="18">
        <v>6.2299999999999996E-4</v>
      </c>
    </row>
    <row r="207" spans="1:2" x14ac:dyDescent="0.25">
      <c r="A207" s="18">
        <v>249</v>
      </c>
      <c r="B207" s="18">
        <v>3.9199999999999999E-4</v>
      </c>
    </row>
    <row r="208" spans="1:2" x14ac:dyDescent="0.25">
      <c r="A208" s="18">
        <v>250</v>
      </c>
      <c r="B208" s="18">
        <v>8.9300000000000002E-5</v>
      </c>
    </row>
    <row r="209" spans="1:2" x14ac:dyDescent="0.25">
      <c r="A209" s="18">
        <v>251</v>
      </c>
      <c r="B209" s="18">
        <v>5.8000000000000004E-6</v>
      </c>
    </row>
    <row r="210" spans="1:2" x14ac:dyDescent="0.25">
      <c r="A210" s="18">
        <v>252</v>
      </c>
      <c r="B210" s="18">
        <v>7.4900000000000003E-6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dimension ref="A1:B102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32</v>
      </c>
      <c r="B2" s="18">
        <v>1.02E-6</v>
      </c>
    </row>
    <row r="3" spans="1:2" x14ac:dyDescent="0.25">
      <c r="A3" s="18">
        <v>32.5</v>
      </c>
      <c r="B3" s="18">
        <v>1.52E-5</v>
      </c>
    </row>
    <row r="4" spans="1:2" x14ac:dyDescent="0.25">
      <c r="A4" s="18">
        <v>33</v>
      </c>
      <c r="B4" s="18">
        <v>1.34E-5</v>
      </c>
    </row>
    <row r="5" spans="1:2" x14ac:dyDescent="0.25">
      <c r="A5" s="18">
        <v>33.5</v>
      </c>
      <c r="B5" s="18">
        <v>1.0499999999999999E-5</v>
      </c>
    </row>
    <row r="6" spans="1:2" x14ac:dyDescent="0.25">
      <c r="A6" s="18">
        <v>34</v>
      </c>
      <c r="B6" s="18">
        <v>1.2E-5</v>
      </c>
    </row>
    <row r="7" spans="1:2" x14ac:dyDescent="0.25">
      <c r="A7" s="18">
        <v>34.5</v>
      </c>
      <c r="B7" s="18">
        <v>1.4800000000000001E-5</v>
      </c>
    </row>
    <row r="8" spans="1:2" x14ac:dyDescent="0.25">
      <c r="A8" s="18">
        <v>35</v>
      </c>
      <c r="B8" s="18">
        <v>1.0699999999999999E-5</v>
      </c>
    </row>
    <row r="9" spans="1:2" x14ac:dyDescent="0.25">
      <c r="A9" s="18">
        <v>35.5</v>
      </c>
      <c r="B9" s="18">
        <v>1.8499999999999999E-5</v>
      </c>
    </row>
    <row r="10" spans="1:2" x14ac:dyDescent="0.25">
      <c r="A10" s="18">
        <v>36</v>
      </c>
      <c r="B10" s="18">
        <v>2.3900000000000002E-5</v>
      </c>
    </row>
    <row r="11" spans="1:2" x14ac:dyDescent="0.25">
      <c r="A11" s="18">
        <v>36.5</v>
      </c>
      <c r="B11" s="18">
        <v>1.7499999999999998E-5</v>
      </c>
    </row>
    <row r="12" spans="1:2" x14ac:dyDescent="0.25">
      <c r="A12" s="18">
        <v>37</v>
      </c>
      <c r="B12" s="18">
        <v>2.44E-5</v>
      </c>
    </row>
    <row r="13" spans="1:2" x14ac:dyDescent="0.25">
      <c r="A13" s="18">
        <v>37.5</v>
      </c>
      <c r="B13" s="18">
        <v>4.3999999999999999E-5</v>
      </c>
    </row>
    <row r="14" spans="1:2" x14ac:dyDescent="0.25">
      <c r="A14" s="18">
        <v>38</v>
      </c>
      <c r="B14" s="18">
        <v>4.7700000000000001E-5</v>
      </c>
    </row>
    <row r="15" spans="1:2" x14ac:dyDescent="0.25">
      <c r="A15" s="18">
        <v>38.5</v>
      </c>
      <c r="B15" s="18">
        <v>5.8499999999999999E-5</v>
      </c>
    </row>
    <row r="16" spans="1:2" x14ac:dyDescent="0.25">
      <c r="A16" s="18">
        <v>39</v>
      </c>
      <c r="B16" s="18">
        <v>8.6100000000000006E-5</v>
      </c>
    </row>
    <row r="17" spans="1:2" x14ac:dyDescent="0.25">
      <c r="A17" s="18">
        <v>39.5</v>
      </c>
      <c r="B17" s="18">
        <v>1.08E-4</v>
      </c>
    </row>
    <row r="18" spans="1:2" x14ac:dyDescent="0.25">
      <c r="A18" s="18">
        <v>40</v>
      </c>
      <c r="B18" s="18">
        <v>1.47E-4</v>
      </c>
    </row>
    <row r="19" spans="1:2" x14ac:dyDescent="0.25">
      <c r="A19" s="18">
        <v>40.5</v>
      </c>
      <c r="B19" s="18">
        <v>2.0000000000000001E-4</v>
      </c>
    </row>
    <row r="20" spans="1:2" x14ac:dyDescent="0.25">
      <c r="A20" s="18">
        <v>41</v>
      </c>
      <c r="B20" s="18">
        <v>2.34E-4</v>
      </c>
    </row>
    <row r="21" spans="1:2" x14ac:dyDescent="0.25">
      <c r="A21" s="18">
        <v>41.5</v>
      </c>
      <c r="B21" s="18">
        <v>3.0200000000000002E-4</v>
      </c>
    </row>
    <row r="22" spans="1:2" x14ac:dyDescent="0.25">
      <c r="A22" s="18">
        <v>42</v>
      </c>
      <c r="B22" s="18">
        <v>3.97E-4</v>
      </c>
    </row>
    <row r="23" spans="1:2" x14ac:dyDescent="0.25">
      <c r="A23" s="18">
        <v>42.5</v>
      </c>
      <c r="B23" s="18">
        <v>4.5100000000000001E-4</v>
      </c>
    </row>
    <row r="24" spans="1:2" x14ac:dyDescent="0.25">
      <c r="A24" s="18">
        <v>43</v>
      </c>
      <c r="B24" s="18">
        <v>6.0400000000000004E-4</v>
      </c>
    </row>
    <row r="25" spans="1:2" x14ac:dyDescent="0.25">
      <c r="A25" s="18">
        <v>43.5</v>
      </c>
      <c r="B25" s="18">
        <v>7.0600000000000003E-4</v>
      </c>
    </row>
    <row r="26" spans="1:2" x14ac:dyDescent="0.25">
      <c r="A26" s="18">
        <v>44</v>
      </c>
      <c r="B26" s="18">
        <v>8.5300000000000003E-4</v>
      </c>
    </row>
    <row r="27" spans="1:2" x14ac:dyDescent="0.25">
      <c r="A27" s="18">
        <v>44.5</v>
      </c>
      <c r="B27" s="18">
        <v>9.8700000000000003E-4</v>
      </c>
    </row>
    <row r="28" spans="1:2" x14ac:dyDescent="0.25">
      <c r="A28" s="18">
        <v>45</v>
      </c>
      <c r="B28" s="18">
        <v>1.1999999999999999E-3</v>
      </c>
    </row>
    <row r="29" spans="1:2" x14ac:dyDescent="0.25">
      <c r="A29" s="18">
        <v>45.5</v>
      </c>
      <c r="B29" s="18">
        <v>1.4E-3</v>
      </c>
    </row>
    <row r="30" spans="1:2" x14ac:dyDescent="0.25">
      <c r="A30" s="18">
        <v>46</v>
      </c>
      <c r="B30" s="18">
        <v>1.6100000000000001E-3</v>
      </c>
    </row>
    <row r="31" spans="1:2" x14ac:dyDescent="0.25">
      <c r="A31" s="18">
        <v>46.5</v>
      </c>
      <c r="B31" s="18">
        <v>1.89E-3</v>
      </c>
    </row>
    <row r="32" spans="1:2" x14ac:dyDescent="0.25">
      <c r="A32" s="18">
        <v>47</v>
      </c>
      <c r="B32" s="18">
        <v>2.2200000000000002E-3</v>
      </c>
    </row>
    <row r="33" spans="1:2" x14ac:dyDescent="0.25">
      <c r="A33" s="18">
        <v>47.5</v>
      </c>
      <c r="B33" s="18">
        <v>2.5200000000000001E-3</v>
      </c>
    </row>
    <row r="34" spans="1:2" x14ac:dyDescent="0.25">
      <c r="A34" s="18">
        <v>48</v>
      </c>
      <c r="B34" s="18">
        <v>2.8300000000000001E-3</v>
      </c>
    </row>
    <row r="35" spans="1:2" x14ac:dyDescent="0.25">
      <c r="A35" s="18">
        <v>48.5</v>
      </c>
      <c r="B35" s="18">
        <v>3.2699999999999999E-3</v>
      </c>
    </row>
    <row r="36" spans="1:2" x14ac:dyDescent="0.25">
      <c r="A36" s="18">
        <v>49</v>
      </c>
      <c r="B36" s="18">
        <v>3.5400000000000002E-3</v>
      </c>
    </row>
    <row r="37" spans="1:2" x14ac:dyDescent="0.25">
      <c r="A37" s="18">
        <v>49.5</v>
      </c>
      <c r="B37" s="18">
        <v>4.0299999999999997E-3</v>
      </c>
    </row>
    <row r="38" spans="1:2" x14ac:dyDescent="0.25">
      <c r="A38" s="18">
        <v>50</v>
      </c>
      <c r="B38" s="18">
        <v>4.4200000000000003E-3</v>
      </c>
    </row>
    <row r="39" spans="1:2" x14ac:dyDescent="0.25">
      <c r="A39" s="18">
        <v>50.5</v>
      </c>
      <c r="B39" s="18">
        <v>4.9500000000000004E-3</v>
      </c>
    </row>
    <row r="40" spans="1:2" x14ac:dyDescent="0.25">
      <c r="A40" s="18">
        <v>51</v>
      </c>
      <c r="B40" s="18">
        <v>5.3899999999999998E-3</v>
      </c>
    </row>
    <row r="41" spans="1:2" x14ac:dyDescent="0.25">
      <c r="A41" s="18">
        <v>51.5</v>
      </c>
      <c r="B41" s="18">
        <v>5.8999999999999999E-3</v>
      </c>
    </row>
    <row r="42" spans="1:2" x14ac:dyDescent="0.25">
      <c r="A42" s="18">
        <v>52</v>
      </c>
      <c r="B42" s="18">
        <v>6.5199999999999998E-3</v>
      </c>
    </row>
    <row r="43" spans="1:2" x14ac:dyDescent="0.25">
      <c r="A43" s="18">
        <v>52.5</v>
      </c>
      <c r="B43" s="18">
        <v>7.0499999999999998E-3</v>
      </c>
    </row>
    <row r="44" spans="1:2" x14ac:dyDescent="0.25">
      <c r="A44" s="18">
        <v>53</v>
      </c>
      <c r="B44" s="18">
        <v>7.6E-3</v>
      </c>
    </row>
    <row r="45" spans="1:2" x14ac:dyDescent="0.25">
      <c r="A45" s="18">
        <v>53.5</v>
      </c>
      <c r="B45" s="18">
        <v>8.2199999999999999E-3</v>
      </c>
    </row>
    <row r="46" spans="1:2" x14ac:dyDescent="0.25">
      <c r="A46" s="18">
        <v>54</v>
      </c>
      <c r="B46" s="18">
        <v>8.8999999999999999E-3</v>
      </c>
    </row>
    <row r="47" spans="1:2" x14ac:dyDescent="0.25">
      <c r="A47" s="18">
        <v>54.5</v>
      </c>
      <c r="B47" s="18">
        <v>9.5600000000000008E-3</v>
      </c>
    </row>
    <row r="48" spans="1:2" x14ac:dyDescent="0.25">
      <c r="A48" s="18">
        <v>55</v>
      </c>
      <c r="B48" s="18">
        <v>1.0200000000000001E-2</v>
      </c>
    </row>
    <row r="49" spans="1:2" x14ac:dyDescent="0.25">
      <c r="A49" s="18">
        <v>55.5</v>
      </c>
      <c r="B49" s="18">
        <v>1.0800000000000001E-2</v>
      </c>
    </row>
    <row r="50" spans="1:2" x14ac:dyDescent="0.25">
      <c r="A50" s="18">
        <v>56</v>
      </c>
      <c r="B50" s="18">
        <v>1.14E-2</v>
      </c>
    </row>
    <row r="51" spans="1:2" x14ac:dyDescent="0.25">
      <c r="A51" s="18">
        <v>56.5</v>
      </c>
      <c r="B51" s="18">
        <v>1.21E-2</v>
      </c>
    </row>
    <row r="52" spans="1:2" x14ac:dyDescent="0.25">
      <c r="A52" s="18">
        <v>57</v>
      </c>
      <c r="B52" s="18">
        <v>1.2800000000000001E-2</v>
      </c>
    </row>
    <row r="53" spans="1:2" x14ac:dyDescent="0.25">
      <c r="A53" s="18">
        <v>57.5</v>
      </c>
      <c r="B53" s="18">
        <v>1.4200000000000001E-2</v>
      </c>
    </row>
    <row r="54" spans="1:2" x14ac:dyDescent="0.25">
      <c r="A54" s="18">
        <v>58</v>
      </c>
      <c r="B54" s="18">
        <v>2.24E-2</v>
      </c>
    </row>
    <row r="55" spans="1:2" x14ac:dyDescent="0.25">
      <c r="A55" s="18">
        <v>58.5</v>
      </c>
      <c r="B55" s="18">
        <v>1.5800000000000002E-2</v>
      </c>
    </row>
    <row r="56" spans="1:2" x14ac:dyDescent="0.25">
      <c r="A56" s="18">
        <v>59</v>
      </c>
      <c r="B56" s="18">
        <v>2.1600000000000001E-2</v>
      </c>
    </row>
    <row r="57" spans="1:2" x14ac:dyDescent="0.25">
      <c r="A57" s="18">
        <v>59.5</v>
      </c>
      <c r="B57" s="18">
        <v>3.0599999999999999E-2</v>
      </c>
    </row>
    <row r="58" spans="1:2" x14ac:dyDescent="0.25">
      <c r="A58" s="18">
        <v>60</v>
      </c>
      <c r="B58" s="18">
        <v>1.66E-2</v>
      </c>
    </row>
    <row r="59" spans="1:2" x14ac:dyDescent="0.25">
      <c r="A59" s="18">
        <v>60.5</v>
      </c>
      <c r="B59" s="18">
        <v>1.7000000000000001E-2</v>
      </c>
    </row>
    <row r="60" spans="1:2" x14ac:dyDescent="0.25">
      <c r="A60" s="18">
        <v>61</v>
      </c>
      <c r="B60" s="18">
        <v>1.7600000000000001E-2</v>
      </c>
    </row>
    <row r="61" spans="1:2" x14ac:dyDescent="0.25">
      <c r="A61" s="18">
        <v>61.5</v>
      </c>
      <c r="B61" s="18">
        <v>1.8200000000000001E-2</v>
      </c>
    </row>
    <row r="62" spans="1:2" x14ac:dyDescent="0.25">
      <c r="A62" s="18">
        <v>62</v>
      </c>
      <c r="B62" s="18">
        <v>1.8599999999999998E-2</v>
      </c>
    </row>
    <row r="63" spans="1:2" x14ac:dyDescent="0.25">
      <c r="A63" s="18">
        <v>62.5</v>
      </c>
      <c r="B63" s="18">
        <v>1.9300000000000001E-2</v>
      </c>
    </row>
    <row r="64" spans="1:2" x14ac:dyDescent="0.25">
      <c r="A64" s="18">
        <v>63</v>
      </c>
      <c r="B64" s="18">
        <v>1.9800000000000002E-2</v>
      </c>
    </row>
    <row r="65" spans="1:2" x14ac:dyDescent="0.25">
      <c r="A65" s="18">
        <v>63.5</v>
      </c>
      <c r="B65" s="18">
        <v>2.0199999999999999E-2</v>
      </c>
    </row>
    <row r="66" spans="1:2" x14ac:dyDescent="0.25">
      <c r="A66" s="18">
        <v>64</v>
      </c>
      <c r="B66" s="18">
        <v>2.07E-2</v>
      </c>
    </row>
    <row r="67" spans="1:2" x14ac:dyDescent="0.25">
      <c r="A67" s="18">
        <v>64.5</v>
      </c>
      <c r="B67" s="18">
        <v>2.1100000000000001E-2</v>
      </c>
    </row>
    <row r="68" spans="1:2" x14ac:dyDescent="0.25">
      <c r="A68" s="18">
        <v>65</v>
      </c>
      <c r="B68" s="18">
        <v>2.1399999999999999E-2</v>
      </c>
    </row>
    <row r="69" spans="1:2" x14ac:dyDescent="0.25">
      <c r="A69" s="18">
        <v>65.5</v>
      </c>
      <c r="B69" s="18">
        <v>2.1700000000000001E-2</v>
      </c>
    </row>
    <row r="70" spans="1:2" x14ac:dyDescent="0.25">
      <c r="A70" s="18">
        <v>66</v>
      </c>
      <c r="B70" s="18">
        <v>2.1999999999999999E-2</v>
      </c>
    </row>
    <row r="71" spans="1:2" x14ac:dyDescent="0.25">
      <c r="A71" s="18">
        <v>66.5</v>
      </c>
      <c r="B71" s="18">
        <v>2.29E-2</v>
      </c>
    </row>
    <row r="72" spans="1:2" x14ac:dyDescent="0.25">
      <c r="A72" s="18">
        <v>67</v>
      </c>
      <c r="B72" s="18">
        <v>3.2599999999999997E-2</v>
      </c>
    </row>
    <row r="73" spans="1:2" x14ac:dyDescent="0.25">
      <c r="A73" s="18">
        <v>67.5</v>
      </c>
      <c r="B73" s="18">
        <v>0.03</v>
      </c>
    </row>
    <row r="74" spans="1:2" x14ac:dyDescent="0.25">
      <c r="A74" s="18">
        <v>68</v>
      </c>
      <c r="B74" s="18">
        <v>2.29E-2</v>
      </c>
    </row>
    <row r="75" spans="1:2" x14ac:dyDescent="0.25">
      <c r="A75" s="18">
        <v>68.5</v>
      </c>
      <c r="B75" s="18">
        <v>2.2800000000000001E-2</v>
      </c>
    </row>
    <row r="76" spans="1:2" x14ac:dyDescent="0.25">
      <c r="A76" s="18">
        <v>69</v>
      </c>
      <c r="B76" s="18">
        <v>2.63E-2</v>
      </c>
    </row>
    <row r="77" spans="1:2" x14ac:dyDescent="0.25">
      <c r="A77" s="18">
        <v>69.5</v>
      </c>
      <c r="B77" s="18">
        <v>2.3699999999999999E-2</v>
      </c>
    </row>
    <row r="78" spans="1:2" x14ac:dyDescent="0.25">
      <c r="A78" s="18">
        <v>70</v>
      </c>
      <c r="B78" s="18">
        <v>2.12E-2</v>
      </c>
    </row>
    <row r="79" spans="1:2" x14ac:dyDescent="0.25">
      <c r="A79" s="18">
        <v>70.5</v>
      </c>
      <c r="B79" s="18">
        <v>2.1100000000000001E-2</v>
      </c>
    </row>
    <row r="80" spans="1:2" x14ac:dyDescent="0.25">
      <c r="A80" s="18">
        <v>71</v>
      </c>
      <c r="B80" s="18">
        <v>2.0799999999999999E-2</v>
      </c>
    </row>
    <row r="81" spans="1:2" x14ac:dyDescent="0.25">
      <c r="A81" s="18">
        <v>71.5</v>
      </c>
      <c r="B81" s="18">
        <v>2.0500000000000001E-2</v>
      </c>
    </row>
    <row r="82" spans="1:2" x14ac:dyDescent="0.25">
      <c r="A82" s="18">
        <v>72</v>
      </c>
      <c r="B82" s="18">
        <v>2.01E-2</v>
      </c>
    </row>
    <row r="83" spans="1:2" x14ac:dyDescent="0.25">
      <c r="A83" s="18">
        <v>72.5</v>
      </c>
      <c r="B83" s="18">
        <v>1.9699999999999999E-2</v>
      </c>
    </row>
    <row r="84" spans="1:2" x14ac:dyDescent="0.25">
      <c r="A84" s="18">
        <v>73</v>
      </c>
      <c r="B84" s="18">
        <v>1.9199999999999998E-2</v>
      </c>
    </row>
    <row r="85" spans="1:2" x14ac:dyDescent="0.25">
      <c r="A85" s="18">
        <v>73.5</v>
      </c>
      <c r="B85" s="18">
        <v>1.8499999999999999E-2</v>
      </c>
    </row>
    <row r="86" spans="1:2" x14ac:dyDescent="0.25">
      <c r="A86" s="18">
        <v>74</v>
      </c>
      <c r="B86" s="18">
        <v>1.7899999999999999E-2</v>
      </c>
    </row>
    <row r="87" spans="1:2" x14ac:dyDescent="0.25">
      <c r="A87" s="18">
        <v>74.5</v>
      </c>
      <c r="B87" s="18">
        <v>1.72E-2</v>
      </c>
    </row>
    <row r="88" spans="1:2" x14ac:dyDescent="0.25">
      <c r="A88" s="18">
        <v>75</v>
      </c>
      <c r="B88" s="18">
        <v>1.6199999999999999E-2</v>
      </c>
    </row>
    <row r="89" spans="1:2" x14ac:dyDescent="0.25">
      <c r="A89" s="18">
        <v>75.5</v>
      </c>
      <c r="B89" s="18">
        <v>1.5299999999999999E-2</v>
      </c>
    </row>
    <row r="90" spans="1:2" x14ac:dyDescent="0.25">
      <c r="A90" s="18">
        <v>76</v>
      </c>
      <c r="B90" s="18">
        <v>1.43E-2</v>
      </c>
    </row>
    <row r="91" spans="1:2" x14ac:dyDescent="0.25">
      <c r="A91" s="18">
        <v>76.5</v>
      </c>
      <c r="B91" s="18">
        <v>1.3100000000000001E-2</v>
      </c>
    </row>
    <row r="92" spans="1:2" x14ac:dyDescent="0.25">
      <c r="A92" s="18">
        <v>77</v>
      </c>
      <c r="B92" s="18">
        <v>1.1900000000000001E-2</v>
      </c>
    </row>
    <row r="93" spans="1:2" x14ac:dyDescent="0.25">
      <c r="A93" s="18">
        <v>77.5</v>
      </c>
      <c r="B93" s="18">
        <v>1.06E-2</v>
      </c>
    </row>
    <row r="94" spans="1:2" x14ac:dyDescent="0.25">
      <c r="A94" s="18">
        <v>78</v>
      </c>
      <c r="B94" s="18">
        <v>9.1699999999999993E-3</v>
      </c>
    </row>
    <row r="95" spans="1:2" x14ac:dyDescent="0.25">
      <c r="A95" s="18">
        <v>78.5</v>
      </c>
      <c r="B95" s="18">
        <v>7.4400000000000004E-3</v>
      </c>
    </row>
    <row r="96" spans="1:2" x14ac:dyDescent="0.25">
      <c r="A96" s="18">
        <v>79</v>
      </c>
      <c r="B96" s="18">
        <v>5.5599999999999998E-3</v>
      </c>
    </row>
    <row r="97" spans="1:2" x14ac:dyDescent="0.25">
      <c r="A97" s="18">
        <v>79.5</v>
      </c>
      <c r="B97" s="18">
        <v>3.4299999999999999E-3</v>
      </c>
    </row>
    <row r="98" spans="1:2" x14ac:dyDescent="0.25">
      <c r="A98" s="18">
        <v>80</v>
      </c>
      <c r="B98" s="18">
        <v>9.8799999999999995E-4</v>
      </c>
    </row>
    <row r="99" spans="1:2" x14ac:dyDescent="0.25">
      <c r="A99" s="18">
        <v>80.5</v>
      </c>
      <c r="B99" s="18">
        <v>3.9899999999999999E-6</v>
      </c>
    </row>
    <row r="100" spans="1:2" x14ac:dyDescent="0.25">
      <c r="A100" s="18">
        <v>81</v>
      </c>
      <c r="B100" s="18">
        <v>7.9599999999999998E-7</v>
      </c>
    </row>
    <row r="101" spans="1:2" x14ac:dyDescent="0.25">
      <c r="A101" s="18">
        <v>81.5</v>
      </c>
      <c r="B101" s="18">
        <v>9.4100000000000002E-8</v>
      </c>
    </row>
    <row r="102" spans="1:2" x14ac:dyDescent="0.25">
      <c r="A102" s="18">
        <v>82</v>
      </c>
      <c r="B102" s="18">
        <v>7.3499999999999995E-7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dimension ref="A1:B12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40</v>
      </c>
      <c r="B2" s="18">
        <v>7.5800000000000003E-6</v>
      </c>
    </row>
    <row r="3" spans="1:2" x14ac:dyDescent="0.25">
      <c r="A3" s="18">
        <v>40.5</v>
      </c>
      <c r="B3" s="18">
        <v>2.1600000000000001E-6</v>
      </c>
    </row>
    <row r="4" spans="1:2" x14ac:dyDescent="0.25">
      <c r="A4" s="18">
        <v>41</v>
      </c>
      <c r="B4" s="18">
        <v>1.06E-5</v>
      </c>
    </row>
    <row r="5" spans="1:2" x14ac:dyDescent="0.25">
      <c r="A5" s="18">
        <v>41.5</v>
      </c>
      <c r="B5" s="18">
        <v>1.6099999999999998E-5</v>
      </c>
    </row>
    <row r="6" spans="1:2" x14ac:dyDescent="0.25">
      <c r="A6" s="18">
        <v>42</v>
      </c>
      <c r="B6" s="18">
        <v>7.8399999999999995E-6</v>
      </c>
    </row>
    <row r="7" spans="1:2" x14ac:dyDescent="0.25">
      <c r="A7" s="18">
        <v>42.5</v>
      </c>
      <c r="B7" s="18">
        <v>6.72E-6</v>
      </c>
    </row>
    <row r="8" spans="1:2" x14ac:dyDescent="0.25">
      <c r="A8" s="18">
        <v>43</v>
      </c>
      <c r="B8" s="18">
        <v>7.9300000000000003E-6</v>
      </c>
    </row>
    <row r="9" spans="1:2" x14ac:dyDescent="0.25">
      <c r="A9" s="18">
        <v>43.5</v>
      </c>
      <c r="B9" s="18">
        <v>7.2200000000000003E-6</v>
      </c>
    </row>
    <row r="10" spans="1:2" x14ac:dyDescent="0.25">
      <c r="A10" s="18">
        <v>44</v>
      </c>
      <c r="B10" s="18">
        <v>1.45E-5</v>
      </c>
    </row>
    <row r="11" spans="1:2" x14ac:dyDescent="0.25">
      <c r="A11" s="18">
        <v>44.5</v>
      </c>
      <c r="B11" s="18">
        <v>7.8900000000000007E-6</v>
      </c>
    </row>
    <row r="12" spans="1:2" x14ac:dyDescent="0.25">
      <c r="A12" s="18">
        <v>45</v>
      </c>
      <c r="B12" s="18">
        <v>3.9099999999999998E-6</v>
      </c>
    </row>
    <row r="13" spans="1:2" x14ac:dyDescent="0.25">
      <c r="A13" s="18">
        <v>45.5</v>
      </c>
      <c r="B13" s="18">
        <v>6.5699999999999998E-6</v>
      </c>
    </row>
    <row r="14" spans="1:2" x14ac:dyDescent="0.25">
      <c r="A14" s="18">
        <v>46</v>
      </c>
      <c r="B14" s="18">
        <v>1.4100000000000001E-5</v>
      </c>
    </row>
    <row r="15" spans="1:2" x14ac:dyDescent="0.25">
      <c r="A15" s="18">
        <v>46.5</v>
      </c>
      <c r="B15" s="18">
        <v>7.1899999999999998E-6</v>
      </c>
    </row>
    <row r="16" spans="1:2" x14ac:dyDescent="0.25">
      <c r="A16" s="18">
        <v>47</v>
      </c>
      <c r="B16" s="18">
        <v>1.0699999999999999E-5</v>
      </c>
    </row>
    <row r="17" spans="1:2" x14ac:dyDescent="0.25">
      <c r="A17" s="18">
        <v>47.5</v>
      </c>
      <c r="B17" s="18">
        <v>6.7800000000000003E-6</v>
      </c>
    </row>
    <row r="18" spans="1:2" x14ac:dyDescent="0.25">
      <c r="A18" s="18">
        <v>48</v>
      </c>
      <c r="B18" s="18">
        <v>9.7499999999999998E-6</v>
      </c>
    </row>
    <row r="19" spans="1:2" x14ac:dyDescent="0.25">
      <c r="A19" s="18">
        <v>48.5</v>
      </c>
      <c r="B19" s="18">
        <v>1.0200000000000001E-5</v>
      </c>
    </row>
    <row r="20" spans="1:2" x14ac:dyDescent="0.25">
      <c r="A20" s="18">
        <v>49</v>
      </c>
      <c r="B20" s="18">
        <v>1.43E-5</v>
      </c>
    </row>
    <row r="21" spans="1:2" x14ac:dyDescent="0.25">
      <c r="A21" s="18">
        <v>49.5</v>
      </c>
      <c r="B21" s="18">
        <v>1.5400000000000002E-5</v>
      </c>
    </row>
    <row r="22" spans="1:2" x14ac:dyDescent="0.25">
      <c r="A22" s="18">
        <v>50</v>
      </c>
      <c r="B22" s="18">
        <v>2.4300000000000001E-5</v>
      </c>
    </row>
    <row r="23" spans="1:2" x14ac:dyDescent="0.25">
      <c r="A23" s="18">
        <v>50.5</v>
      </c>
      <c r="B23" s="18">
        <v>2.3499999999999999E-5</v>
      </c>
    </row>
    <row r="24" spans="1:2" x14ac:dyDescent="0.25">
      <c r="A24" s="18">
        <v>51</v>
      </c>
      <c r="B24" s="18">
        <v>3.1300000000000002E-5</v>
      </c>
    </row>
    <row r="25" spans="1:2" x14ac:dyDescent="0.25">
      <c r="A25" s="18">
        <v>51.5</v>
      </c>
      <c r="B25" s="18">
        <v>3.2700000000000002E-5</v>
      </c>
    </row>
    <row r="26" spans="1:2" x14ac:dyDescent="0.25">
      <c r="A26" s="18">
        <v>52</v>
      </c>
      <c r="B26" s="18">
        <v>4.9200000000000003E-5</v>
      </c>
    </row>
    <row r="27" spans="1:2" x14ac:dyDescent="0.25">
      <c r="A27" s="18">
        <v>52.5</v>
      </c>
      <c r="B27" s="18">
        <v>5.8499999999999999E-5</v>
      </c>
    </row>
    <row r="28" spans="1:2" x14ac:dyDescent="0.25">
      <c r="A28" s="18">
        <v>53</v>
      </c>
      <c r="B28" s="18">
        <v>7.8499999999999997E-5</v>
      </c>
    </row>
    <row r="29" spans="1:2" x14ac:dyDescent="0.25">
      <c r="A29" s="18">
        <v>53.5</v>
      </c>
      <c r="B29" s="18">
        <v>9.2299999999999994E-5</v>
      </c>
    </row>
    <row r="30" spans="1:2" x14ac:dyDescent="0.25">
      <c r="A30" s="18">
        <v>54</v>
      </c>
      <c r="B30" s="18">
        <v>1.17E-4</v>
      </c>
    </row>
    <row r="31" spans="1:2" x14ac:dyDescent="0.25">
      <c r="A31" s="18">
        <v>54.5</v>
      </c>
      <c r="B31" s="18">
        <v>1.4100000000000001E-4</v>
      </c>
    </row>
    <row r="32" spans="1:2" x14ac:dyDescent="0.25">
      <c r="A32" s="18">
        <v>55</v>
      </c>
      <c r="B32" s="18">
        <v>1.6799999999999999E-4</v>
      </c>
    </row>
    <row r="33" spans="1:2" x14ac:dyDescent="0.25">
      <c r="A33" s="18">
        <v>55.5</v>
      </c>
      <c r="B33" s="18">
        <v>2.03E-4</v>
      </c>
    </row>
    <row r="34" spans="1:2" x14ac:dyDescent="0.25">
      <c r="A34" s="18">
        <v>56</v>
      </c>
      <c r="B34" s="18">
        <v>2.7799999999999998E-4</v>
      </c>
    </row>
    <row r="35" spans="1:2" x14ac:dyDescent="0.25">
      <c r="A35" s="18">
        <v>56.5</v>
      </c>
      <c r="B35" s="18">
        <v>2.9500000000000001E-4</v>
      </c>
    </row>
    <row r="36" spans="1:2" x14ac:dyDescent="0.25">
      <c r="A36" s="18">
        <v>57</v>
      </c>
      <c r="B36" s="18">
        <v>3.68E-4</v>
      </c>
    </row>
    <row r="37" spans="1:2" x14ac:dyDescent="0.25">
      <c r="A37" s="18">
        <v>57.5</v>
      </c>
      <c r="B37" s="18">
        <v>5.71E-4</v>
      </c>
    </row>
    <row r="38" spans="1:2" x14ac:dyDescent="0.25">
      <c r="A38" s="18">
        <v>58</v>
      </c>
      <c r="B38" s="18">
        <v>1.5200000000000001E-3</v>
      </c>
    </row>
    <row r="39" spans="1:2" x14ac:dyDescent="0.25">
      <c r="A39" s="18">
        <v>58.5</v>
      </c>
      <c r="B39" s="18">
        <v>7.2999999999999996E-4</v>
      </c>
    </row>
    <row r="40" spans="1:2" x14ac:dyDescent="0.25">
      <c r="A40" s="18">
        <v>59</v>
      </c>
      <c r="B40" s="18">
        <v>1.74E-3</v>
      </c>
    </row>
    <row r="41" spans="1:2" x14ac:dyDescent="0.25">
      <c r="A41" s="18">
        <v>59.5</v>
      </c>
      <c r="B41" s="18">
        <v>3.0500000000000002E-3</v>
      </c>
    </row>
    <row r="42" spans="1:2" x14ac:dyDescent="0.25">
      <c r="A42" s="18">
        <v>60</v>
      </c>
      <c r="B42" s="18">
        <v>9.6299999999999999E-4</v>
      </c>
    </row>
    <row r="43" spans="1:2" x14ac:dyDescent="0.25">
      <c r="A43" s="18">
        <v>60.5</v>
      </c>
      <c r="B43" s="18">
        <v>1.0399999999999999E-3</v>
      </c>
    </row>
    <row r="44" spans="1:2" x14ac:dyDescent="0.25">
      <c r="A44" s="18">
        <v>61</v>
      </c>
      <c r="B44" s="18">
        <v>1.1999999999999999E-3</v>
      </c>
    </row>
    <row r="45" spans="1:2" x14ac:dyDescent="0.25">
      <c r="A45" s="18">
        <v>61.5</v>
      </c>
      <c r="B45" s="18">
        <v>1.33E-3</v>
      </c>
    </row>
    <row r="46" spans="1:2" x14ac:dyDescent="0.25">
      <c r="A46" s="18">
        <v>62</v>
      </c>
      <c r="B46" s="18">
        <v>1.56E-3</v>
      </c>
    </row>
    <row r="47" spans="1:2" x14ac:dyDescent="0.25">
      <c r="A47" s="18">
        <v>62.5</v>
      </c>
      <c r="B47" s="18">
        <v>1.73E-3</v>
      </c>
    </row>
    <row r="48" spans="1:2" x14ac:dyDescent="0.25">
      <c r="A48" s="18">
        <v>63</v>
      </c>
      <c r="B48" s="18">
        <v>1.92E-3</v>
      </c>
    </row>
    <row r="49" spans="1:2" x14ac:dyDescent="0.25">
      <c r="A49" s="18">
        <v>63.5</v>
      </c>
      <c r="B49" s="18">
        <v>2.1700000000000001E-3</v>
      </c>
    </row>
    <row r="50" spans="1:2" x14ac:dyDescent="0.25">
      <c r="A50" s="18">
        <v>64</v>
      </c>
      <c r="B50" s="18">
        <v>2.4099999999999998E-3</v>
      </c>
    </row>
    <row r="51" spans="1:2" x14ac:dyDescent="0.25">
      <c r="A51" s="18">
        <v>64.5</v>
      </c>
      <c r="B51" s="18">
        <v>2.65E-3</v>
      </c>
    </row>
    <row r="52" spans="1:2" x14ac:dyDescent="0.25">
      <c r="A52" s="18">
        <v>65</v>
      </c>
      <c r="B52" s="18">
        <v>2.98E-3</v>
      </c>
    </row>
    <row r="53" spans="1:2" x14ac:dyDescent="0.25">
      <c r="A53" s="18">
        <v>65.5</v>
      </c>
      <c r="B53" s="18">
        <v>3.3E-3</v>
      </c>
    </row>
    <row r="54" spans="1:2" x14ac:dyDescent="0.25">
      <c r="A54" s="18">
        <v>66</v>
      </c>
      <c r="B54" s="18">
        <v>3.5799999999999998E-3</v>
      </c>
    </row>
    <row r="55" spans="1:2" x14ac:dyDescent="0.25">
      <c r="A55" s="18">
        <v>66.5</v>
      </c>
      <c r="B55" s="18">
        <v>4.3800000000000002E-3</v>
      </c>
    </row>
    <row r="56" spans="1:2" x14ac:dyDescent="0.25">
      <c r="A56" s="18">
        <v>67</v>
      </c>
      <c r="B56" s="18">
        <v>9.7199999999999995E-3</v>
      </c>
    </row>
    <row r="57" spans="1:2" x14ac:dyDescent="0.25">
      <c r="A57" s="18">
        <v>67.5</v>
      </c>
      <c r="B57" s="18">
        <v>8.4700000000000001E-3</v>
      </c>
    </row>
    <row r="58" spans="1:2" x14ac:dyDescent="0.25">
      <c r="A58" s="18">
        <v>68</v>
      </c>
      <c r="B58" s="18">
        <v>5.2100000000000002E-3</v>
      </c>
    </row>
    <row r="59" spans="1:2" x14ac:dyDescent="0.25">
      <c r="A59" s="18">
        <v>68.5</v>
      </c>
      <c r="B59" s="18">
        <v>5.6299999999999996E-3</v>
      </c>
    </row>
    <row r="60" spans="1:2" x14ac:dyDescent="0.25">
      <c r="A60" s="18">
        <v>69</v>
      </c>
      <c r="B60" s="18">
        <v>8.3899999999999999E-3</v>
      </c>
    </row>
    <row r="61" spans="1:2" x14ac:dyDescent="0.25">
      <c r="A61" s="18">
        <v>69.5</v>
      </c>
      <c r="B61" s="18">
        <v>7.26E-3</v>
      </c>
    </row>
    <row r="62" spans="1:2" x14ac:dyDescent="0.25">
      <c r="A62" s="18">
        <v>70</v>
      </c>
      <c r="B62" s="18">
        <v>6.3E-3</v>
      </c>
    </row>
    <row r="63" spans="1:2" x14ac:dyDescent="0.25">
      <c r="A63" s="18">
        <v>70.5</v>
      </c>
      <c r="B63" s="18">
        <v>6.6800000000000002E-3</v>
      </c>
    </row>
    <row r="64" spans="1:2" x14ac:dyDescent="0.25">
      <c r="A64" s="18">
        <v>71</v>
      </c>
      <c r="B64" s="18">
        <v>7.1199999999999996E-3</v>
      </c>
    </row>
    <row r="65" spans="1:2" x14ac:dyDescent="0.25">
      <c r="A65" s="18">
        <v>71.5</v>
      </c>
      <c r="B65" s="18">
        <v>7.6600000000000001E-3</v>
      </c>
    </row>
    <row r="66" spans="1:2" x14ac:dyDescent="0.25">
      <c r="A66" s="18">
        <v>72</v>
      </c>
      <c r="B66" s="18">
        <v>8.09E-3</v>
      </c>
    </row>
    <row r="67" spans="1:2" x14ac:dyDescent="0.25">
      <c r="A67" s="18">
        <v>72.5</v>
      </c>
      <c r="B67" s="18">
        <v>8.5800000000000008E-3</v>
      </c>
    </row>
    <row r="68" spans="1:2" x14ac:dyDescent="0.25">
      <c r="A68" s="18">
        <v>73</v>
      </c>
      <c r="B68" s="18">
        <v>9.1599999999999997E-3</v>
      </c>
    </row>
    <row r="69" spans="1:2" x14ac:dyDescent="0.25">
      <c r="A69" s="18">
        <v>73.5</v>
      </c>
      <c r="B69" s="18">
        <v>9.5999999999999992E-3</v>
      </c>
    </row>
    <row r="70" spans="1:2" x14ac:dyDescent="0.25">
      <c r="A70" s="18">
        <v>74</v>
      </c>
      <c r="B70" s="18">
        <v>1.01E-2</v>
      </c>
    </row>
    <row r="71" spans="1:2" x14ac:dyDescent="0.25">
      <c r="A71" s="18">
        <v>74.5</v>
      </c>
      <c r="B71" s="18">
        <v>1.0699999999999999E-2</v>
      </c>
    </row>
    <row r="72" spans="1:2" x14ac:dyDescent="0.25">
      <c r="A72" s="18">
        <v>75</v>
      </c>
      <c r="B72" s="18">
        <v>1.11E-2</v>
      </c>
    </row>
    <row r="73" spans="1:2" x14ac:dyDescent="0.25">
      <c r="A73" s="18">
        <v>75.5</v>
      </c>
      <c r="B73" s="18">
        <v>1.18E-2</v>
      </c>
    </row>
    <row r="74" spans="1:2" x14ac:dyDescent="0.25">
      <c r="A74" s="18">
        <v>76</v>
      </c>
      <c r="B74" s="18">
        <v>1.23E-2</v>
      </c>
    </row>
    <row r="75" spans="1:2" x14ac:dyDescent="0.25">
      <c r="A75" s="18">
        <v>76.5</v>
      </c>
      <c r="B75" s="18">
        <v>1.2800000000000001E-2</v>
      </c>
    </row>
    <row r="76" spans="1:2" x14ac:dyDescent="0.25">
      <c r="A76" s="18">
        <v>77</v>
      </c>
      <c r="B76" s="18">
        <v>1.35E-2</v>
      </c>
    </row>
    <row r="77" spans="1:2" x14ac:dyDescent="0.25">
      <c r="A77" s="18">
        <v>77.5</v>
      </c>
      <c r="B77" s="18">
        <v>1.38E-2</v>
      </c>
    </row>
    <row r="78" spans="1:2" x14ac:dyDescent="0.25">
      <c r="A78" s="18">
        <v>78</v>
      </c>
      <c r="B78" s="18">
        <v>1.4200000000000001E-2</v>
      </c>
    </row>
    <row r="79" spans="1:2" x14ac:dyDescent="0.25">
      <c r="A79" s="18">
        <v>78.5</v>
      </c>
      <c r="B79" s="18">
        <v>1.49E-2</v>
      </c>
    </row>
    <row r="80" spans="1:2" x14ac:dyDescent="0.25">
      <c r="A80" s="18">
        <v>79</v>
      </c>
      <c r="B80" s="18">
        <v>1.54E-2</v>
      </c>
    </row>
    <row r="81" spans="1:2" x14ac:dyDescent="0.25">
      <c r="A81" s="18">
        <v>79.5</v>
      </c>
      <c r="B81" s="18">
        <v>1.5800000000000002E-2</v>
      </c>
    </row>
    <row r="82" spans="1:2" x14ac:dyDescent="0.25">
      <c r="A82" s="18">
        <v>80</v>
      </c>
      <c r="B82" s="18">
        <v>1.6299999999999999E-2</v>
      </c>
    </row>
    <row r="83" spans="1:2" x14ac:dyDescent="0.25">
      <c r="A83" s="18">
        <v>80.5</v>
      </c>
      <c r="B83" s="18">
        <v>1.67E-2</v>
      </c>
    </row>
    <row r="84" spans="1:2" x14ac:dyDescent="0.25">
      <c r="A84" s="18">
        <v>81</v>
      </c>
      <c r="B84" s="18">
        <v>1.7299999999999999E-2</v>
      </c>
    </row>
    <row r="85" spans="1:2" x14ac:dyDescent="0.25">
      <c r="A85" s="18">
        <v>81.5</v>
      </c>
      <c r="B85" s="18">
        <v>1.78E-2</v>
      </c>
    </row>
    <row r="86" spans="1:2" x14ac:dyDescent="0.25">
      <c r="A86" s="18">
        <v>82</v>
      </c>
      <c r="B86" s="18">
        <v>1.8200000000000001E-2</v>
      </c>
    </row>
    <row r="87" spans="1:2" x14ac:dyDescent="0.25">
      <c r="A87" s="18">
        <v>82.5</v>
      </c>
      <c r="B87" s="18">
        <v>1.8800000000000001E-2</v>
      </c>
    </row>
    <row r="88" spans="1:2" x14ac:dyDescent="0.25">
      <c r="A88" s="18">
        <v>83</v>
      </c>
      <c r="B88" s="18">
        <v>1.9099999999999999E-2</v>
      </c>
    </row>
    <row r="89" spans="1:2" x14ac:dyDescent="0.25">
      <c r="A89" s="18">
        <v>83.5</v>
      </c>
      <c r="B89" s="18">
        <v>1.9599999999999999E-2</v>
      </c>
    </row>
    <row r="90" spans="1:2" x14ac:dyDescent="0.25">
      <c r="A90" s="18">
        <v>84</v>
      </c>
      <c r="B90" s="18">
        <v>1.9800000000000002E-2</v>
      </c>
    </row>
    <row r="91" spans="1:2" x14ac:dyDescent="0.25">
      <c r="A91" s="18">
        <v>84.5</v>
      </c>
      <c r="B91" s="18">
        <v>2.0400000000000001E-2</v>
      </c>
    </row>
    <row r="92" spans="1:2" x14ac:dyDescent="0.25">
      <c r="A92" s="18">
        <v>85</v>
      </c>
      <c r="B92" s="18">
        <v>2.06E-2</v>
      </c>
    </row>
    <row r="93" spans="1:2" x14ac:dyDescent="0.25">
      <c r="A93" s="18">
        <v>85.5</v>
      </c>
      <c r="B93" s="18">
        <v>2.0899999999999998E-2</v>
      </c>
    </row>
    <row r="94" spans="1:2" x14ac:dyDescent="0.25">
      <c r="A94" s="18">
        <v>86</v>
      </c>
      <c r="B94" s="18">
        <v>2.12E-2</v>
      </c>
    </row>
    <row r="95" spans="1:2" x14ac:dyDescent="0.25">
      <c r="A95" s="18">
        <v>86.5</v>
      </c>
      <c r="B95" s="18">
        <v>2.12E-2</v>
      </c>
    </row>
    <row r="96" spans="1:2" x14ac:dyDescent="0.25">
      <c r="A96" s="18">
        <v>87</v>
      </c>
      <c r="B96" s="18">
        <v>2.1399999999999999E-2</v>
      </c>
    </row>
    <row r="97" spans="1:2" x14ac:dyDescent="0.25">
      <c r="A97" s="18">
        <v>87.5</v>
      </c>
      <c r="B97" s="18">
        <v>2.1499999999999998E-2</v>
      </c>
    </row>
    <row r="98" spans="1:2" x14ac:dyDescent="0.25">
      <c r="A98" s="18">
        <v>88</v>
      </c>
      <c r="B98" s="18">
        <v>2.1499999999999998E-2</v>
      </c>
    </row>
    <row r="99" spans="1:2" x14ac:dyDescent="0.25">
      <c r="A99" s="18">
        <v>88.5</v>
      </c>
      <c r="B99" s="18">
        <v>2.1299999999999999E-2</v>
      </c>
    </row>
    <row r="100" spans="1:2" x14ac:dyDescent="0.25">
      <c r="A100" s="18">
        <v>89</v>
      </c>
      <c r="B100" s="18">
        <v>2.1100000000000001E-2</v>
      </c>
    </row>
    <row r="101" spans="1:2" x14ac:dyDescent="0.25">
      <c r="A101" s="18">
        <v>89.5</v>
      </c>
      <c r="B101" s="18">
        <v>2.1299999999999999E-2</v>
      </c>
    </row>
    <row r="102" spans="1:2" x14ac:dyDescent="0.25">
      <c r="A102" s="18">
        <v>90</v>
      </c>
      <c r="B102" s="18">
        <v>2.1100000000000001E-2</v>
      </c>
    </row>
    <row r="103" spans="1:2" x14ac:dyDescent="0.25">
      <c r="A103" s="18">
        <v>90.5</v>
      </c>
      <c r="B103" s="18">
        <v>2.07E-2</v>
      </c>
    </row>
    <row r="104" spans="1:2" x14ac:dyDescent="0.25">
      <c r="A104" s="18">
        <v>91</v>
      </c>
      <c r="B104" s="18">
        <v>2.06E-2</v>
      </c>
    </row>
    <row r="105" spans="1:2" x14ac:dyDescent="0.25">
      <c r="A105" s="18">
        <v>91.5</v>
      </c>
      <c r="B105" s="18">
        <v>2.0400000000000001E-2</v>
      </c>
    </row>
    <row r="106" spans="1:2" x14ac:dyDescent="0.25">
      <c r="A106" s="18">
        <v>92</v>
      </c>
      <c r="B106" s="18">
        <v>1.9900000000000001E-2</v>
      </c>
    </row>
    <row r="107" spans="1:2" x14ac:dyDescent="0.25">
      <c r="A107" s="18">
        <v>92.5</v>
      </c>
      <c r="B107" s="18">
        <v>1.9400000000000001E-2</v>
      </c>
    </row>
    <row r="108" spans="1:2" x14ac:dyDescent="0.25">
      <c r="A108" s="18">
        <v>93</v>
      </c>
      <c r="B108" s="18">
        <v>1.8700000000000001E-2</v>
      </c>
    </row>
    <row r="109" spans="1:2" x14ac:dyDescent="0.25">
      <c r="A109" s="18">
        <v>93.5</v>
      </c>
      <c r="B109" s="18">
        <v>1.8200000000000001E-2</v>
      </c>
    </row>
    <row r="110" spans="1:2" x14ac:dyDescent="0.25">
      <c r="A110" s="18">
        <v>94</v>
      </c>
      <c r="B110" s="18">
        <v>1.7600000000000001E-2</v>
      </c>
    </row>
    <row r="111" spans="1:2" x14ac:dyDescent="0.25">
      <c r="A111" s="18">
        <v>94.5</v>
      </c>
      <c r="B111" s="18">
        <v>1.66E-2</v>
      </c>
    </row>
    <row r="112" spans="1:2" x14ac:dyDescent="0.25">
      <c r="A112" s="18">
        <v>95</v>
      </c>
      <c r="B112" s="18">
        <v>1.61E-2</v>
      </c>
    </row>
    <row r="113" spans="1:2" x14ac:dyDescent="0.25">
      <c r="A113" s="18">
        <v>95.5</v>
      </c>
      <c r="B113" s="18">
        <v>1.4999999999999999E-2</v>
      </c>
    </row>
    <row r="114" spans="1:2" x14ac:dyDescent="0.25">
      <c r="A114" s="18">
        <v>96</v>
      </c>
      <c r="B114" s="18">
        <v>1.41E-2</v>
      </c>
    </row>
    <row r="115" spans="1:2" x14ac:dyDescent="0.25">
      <c r="A115" s="18">
        <v>96.5</v>
      </c>
      <c r="B115" s="18">
        <v>1.2800000000000001E-2</v>
      </c>
    </row>
    <row r="116" spans="1:2" x14ac:dyDescent="0.25">
      <c r="A116" s="18">
        <v>97</v>
      </c>
      <c r="B116" s="18">
        <v>1.1599999999999999E-2</v>
      </c>
    </row>
    <row r="117" spans="1:2" x14ac:dyDescent="0.25">
      <c r="A117" s="18">
        <v>97.5</v>
      </c>
      <c r="B117" s="18">
        <v>1.04E-2</v>
      </c>
    </row>
    <row r="118" spans="1:2" x14ac:dyDescent="0.25">
      <c r="A118" s="18">
        <v>98</v>
      </c>
      <c r="B118" s="18">
        <v>8.8100000000000001E-3</v>
      </c>
    </row>
    <row r="119" spans="1:2" x14ac:dyDescent="0.25">
      <c r="A119" s="18">
        <v>98.5</v>
      </c>
      <c r="B119" s="18">
        <v>7.11E-3</v>
      </c>
    </row>
    <row r="120" spans="1:2" x14ac:dyDescent="0.25">
      <c r="A120" s="18">
        <v>99</v>
      </c>
      <c r="B120" s="18">
        <v>5.4799999999999996E-3</v>
      </c>
    </row>
    <row r="121" spans="1:2" x14ac:dyDescent="0.25">
      <c r="A121" s="18">
        <v>99.5</v>
      </c>
      <c r="B121" s="18">
        <v>3.29E-3</v>
      </c>
    </row>
    <row r="122" spans="1:2" x14ac:dyDescent="0.25">
      <c r="A122" s="18">
        <v>100</v>
      </c>
      <c r="B122" s="18">
        <v>8.9899999999999995E-4</v>
      </c>
    </row>
    <row r="123" spans="1:2" x14ac:dyDescent="0.25">
      <c r="A123" s="18">
        <v>101</v>
      </c>
      <c r="B123" s="18">
        <v>2.7800000000000001E-6</v>
      </c>
    </row>
    <row r="124" spans="1:2" x14ac:dyDescent="0.25">
      <c r="A124" s="18">
        <v>101</v>
      </c>
      <c r="B124" s="18">
        <v>1.7999999999999999E-6</v>
      </c>
    </row>
    <row r="125" spans="1:2" x14ac:dyDescent="0.25">
      <c r="A125" s="18">
        <v>102</v>
      </c>
      <c r="B125" s="18">
        <v>1.0699999999999999E-6</v>
      </c>
    </row>
    <row r="126" spans="1:2" x14ac:dyDescent="0.25">
      <c r="A126" s="18">
        <v>102</v>
      </c>
      <c r="B126" s="18">
        <v>9.1399999999999995E-7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dimension ref="A1:B14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50</v>
      </c>
      <c r="B2" s="18">
        <v>1.24E-5</v>
      </c>
    </row>
    <row r="3" spans="1:2" x14ac:dyDescent="0.25">
      <c r="A3" s="18">
        <v>50.5</v>
      </c>
      <c r="B3" s="18">
        <v>1.34E-5</v>
      </c>
    </row>
    <row r="4" spans="1:2" x14ac:dyDescent="0.25">
      <c r="A4" s="18">
        <v>51</v>
      </c>
      <c r="B4" s="18">
        <v>1.2099999999999999E-5</v>
      </c>
    </row>
    <row r="5" spans="1:2" x14ac:dyDescent="0.25">
      <c r="A5" s="18">
        <v>51.5</v>
      </c>
      <c r="B5" s="18">
        <v>1.5400000000000002E-5</v>
      </c>
    </row>
    <row r="6" spans="1:2" x14ac:dyDescent="0.25">
      <c r="A6" s="18">
        <v>52</v>
      </c>
      <c r="B6" s="18">
        <v>1.1600000000000001E-5</v>
      </c>
    </row>
    <row r="7" spans="1:2" x14ac:dyDescent="0.25">
      <c r="A7" s="18">
        <v>52.5</v>
      </c>
      <c r="B7" s="18">
        <v>1.24E-5</v>
      </c>
    </row>
    <row r="8" spans="1:2" x14ac:dyDescent="0.25">
      <c r="A8" s="18">
        <v>53</v>
      </c>
      <c r="B8" s="18">
        <v>1.5400000000000002E-5</v>
      </c>
    </row>
    <row r="9" spans="1:2" x14ac:dyDescent="0.25">
      <c r="A9" s="18">
        <v>53.5</v>
      </c>
      <c r="B9" s="18">
        <v>1.2300000000000001E-5</v>
      </c>
    </row>
    <row r="10" spans="1:2" x14ac:dyDescent="0.25">
      <c r="A10" s="18">
        <v>54</v>
      </c>
      <c r="B10" s="18">
        <v>1.5800000000000001E-5</v>
      </c>
    </row>
    <row r="11" spans="1:2" x14ac:dyDescent="0.25">
      <c r="A11" s="18">
        <v>54.5</v>
      </c>
      <c r="B11" s="18">
        <v>1.3900000000000001E-5</v>
      </c>
    </row>
    <row r="12" spans="1:2" x14ac:dyDescent="0.25">
      <c r="A12" s="18">
        <v>55</v>
      </c>
      <c r="B12" s="18">
        <v>1.31E-5</v>
      </c>
    </row>
    <row r="13" spans="1:2" x14ac:dyDescent="0.25">
      <c r="A13" s="18">
        <v>55.5</v>
      </c>
      <c r="B13" s="18">
        <v>1.2799999999999999E-5</v>
      </c>
    </row>
    <row r="14" spans="1:2" x14ac:dyDescent="0.25">
      <c r="A14" s="18">
        <v>56</v>
      </c>
      <c r="B14" s="18">
        <v>1.01E-5</v>
      </c>
    </row>
    <row r="15" spans="1:2" x14ac:dyDescent="0.25">
      <c r="A15" s="18">
        <v>56.5</v>
      </c>
      <c r="B15" s="18">
        <v>1.6799999999999998E-5</v>
      </c>
    </row>
    <row r="16" spans="1:2" x14ac:dyDescent="0.25">
      <c r="A16" s="18">
        <v>57</v>
      </c>
      <c r="B16" s="18">
        <v>1.6500000000000001E-5</v>
      </c>
    </row>
    <row r="17" spans="1:2" x14ac:dyDescent="0.25">
      <c r="A17" s="18">
        <v>57.5</v>
      </c>
      <c r="B17" s="18">
        <v>2.1299999999999999E-5</v>
      </c>
    </row>
    <row r="18" spans="1:2" x14ac:dyDescent="0.25">
      <c r="A18" s="18">
        <v>58</v>
      </c>
      <c r="B18" s="18">
        <v>2.4600000000000002E-5</v>
      </c>
    </row>
    <row r="19" spans="1:2" x14ac:dyDescent="0.25">
      <c r="A19" s="18">
        <v>58.5</v>
      </c>
      <c r="B19" s="18">
        <v>2.3099999999999999E-5</v>
      </c>
    </row>
    <row r="20" spans="1:2" x14ac:dyDescent="0.25">
      <c r="A20" s="18">
        <v>59</v>
      </c>
      <c r="B20" s="18">
        <v>3.6300000000000001E-5</v>
      </c>
    </row>
    <row r="21" spans="1:2" x14ac:dyDescent="0.25">
      <c r="A21" s="18">
        <v>59.5</v>
      </c>
      <c r="B21" s="18">
        <v>6.3800000000000006E-5</v>
      </c>
    </row>
    <row r="22" spans="1:2" x14ac:dyDescent="0.25">
      <c r="A22" s="18">
        <v>60</v>
      </c>
      <c r="B22" s="18">
        <v>2.5899999999999999E-5</v>
      </c>
    </row>
    <row r="23" spans="1:2" x14ac:dyDescent="0.25">
      <c r="A23" s="18">
        <v>60.5</v>
      </c>
      <c r="B23" s="18">
        <v>2.2900000000000001E-5</v>
      </c>
    </row>
    <row r="24" spans="1:2" x14ac:dyDescent="0.25">
      <c r="A24" s="18">
        <v>61</v>
      </c>
      <c r="B24" s="18">
        <v>3.0599999999999998E-5</v>
      </c>
    </row>
    <row r="25" spans="1:2" x14ac:dyDescent="0.25">
      <c r="A25" s="18">
        <v>61.5</v>
      </c>
      <c r="B25" s="18">
        <v>3.5500000000000002E-5</v>
      </c>
    </row>
    <row r="26" spans="1:2" x14ac:dyDescent="0.25">
      <c r="A26" s="18">
        <v>62</v>
      </c>
      <c r="B26" s="18">
        <v>3.3899999999999997E-5</v>
      </c>
    </row>
    <row r="27" spans="1:2" x14ac:dyDescent="0.25">
      <c r="A27" s="18">
        <v>62.5</v>
      </c>
      <c r="B27" s="18">
        <v>3.8099999999999998E-5</v>
      </c>
    </row>
    <row r="28" spans="1:2" x14ac:dyDescent="0.25">
      <c r="A28" s="18">
        <v>63</v>
      </c>
      <c r="B28" s="18">
        <v>4.9499999999999997E-5</v>
      </c>
    </row>
    <row r="29" spans="1:2" x14ac:dyDescent="0.25">
      <c r="A29" s="18">
        <v>63.5</v>
      </c>
      <c r="B29" s="18">
        <v>5.7000000000000003E-5</v>
      </c>
    </row>
    <row r="30" spans="1:2" x14ac:dyDescent="0.25">
      <c r="A30" s="18">
        <v>64</v>
      </c>
      <c r="B30" s="18">
        <v>6.9999999999999994E-5</v>
      </c>
    </row>
    <row r="31" spans="1:2" x14ac:dyDescent="0.25">
      <c r="A31" s="18">
        <v>64.5</v>
      </c>
      <c r="B31" s="18">
        <v>8.4900000000000004E-5</v>
      </c>
    </row>
    <row r="32" spans="1:2" x14ac:dyDescent="0.25">
      <c r="A32" s="18">
        <v>65</v>
      </c>
      <c r="B32" s="18">
        <v>9.8200000000000002E-5</v>
      </c>
    </row>
    <row r="33" spans="1:2" x14ac:dyDescent="0.25">
      <c r="A33" s="18">
        <v>65.5</v>
      </c>
      <c r="B33" s="18">
        <v>1.1E-4</v>
      </c>
    </row>
    <row r="34" spans="1:2" x14ac:dyDescent="0.25">
      <c r="A34" s="18">
        <v>66</v>
      </c>
      <c r="B34" s="18">
        <v>1.46E-4</v>
      </c>
    </row>
    <row r="35" spans="1:2" x14ac:dyDescent="0.25">
      <c r="A35" s="18">
        <v>66.5</v>
      </c>
      <c r="B35" s="18">
        <v>1.84E-4</v>
      </c>
    </row>
    <row r="36" spans="1:2" x14ac:dyDescent="0.25">
      <c r="A36" s="18">
        <v>67</v>
      </c>
      <c r="B36" s="18">
        <v>5.0699999999999996E-4</v>
      </c>
    </row>
    <row r="37" spans="1:2" x14ac:dyDescent="0.25">
      <c r="A37" s="18">
        <v>67.5</v>
      </c>
      <c r="B37" s="18">
        <v>4.3199999999999998E-4</v>
      </c>
    </row>
    <row r="38" spans="1:2" x14ac:dyDescent="0.25">
      <c r="A38" s="18">
        <v>68</v>
      </c>
      <c r="B38" s="18">
        <v>2.5099999999999998E-4</v>
      </c>
    </row>
    <row r="39" spans="1:2" x14ac:dyDescent="0.25">
      <c r="A39" s="18">
        <v>68.5</v>
      </c>
      <c r="B39" s="18">
        <v>2.9599999999999998E-4</v>
      </c>
    </row>
    <row r="40" spans="1:2" x14ac:dyDescent="0.25">
      <c r="A40" s="18">
        <v>69</v>
      </c>
      <c r="B40" s="18">
        <v>5.3300000000000005E-4</v>
      </c>
    </row>
    <row r="41" spans="1:2" x14ac:dyDescent="0.25">
      <c r="A41" s="18">
        <v>69.5</v>
      </c>
      <c r="B41" s="18">
        <v>4.3800000000000002E-4</v>
      </c>
    </row>
    <row r="42" spans="1:2" x14ac:dyDescent="0.25">
      <c r="A42" s="18">
        <v>70</v>
      </c>
      <c r="B42" s="18">
        <v>3.9399999999999998E-4</v>
      </c>
    </row>
    <row r="43" spans="1:2" x14ac:dyDescent="0.25">
      <c r="A43" s="18">
        <v>70.5</v>
      </c>
      <c r="B43" s="18">
        <v>4.2700000000000002E-4</v>
      </c>
    </row>
    <row r="44" spans="1:2" x14ac:dyDescent="0.25">
      <c r="A44" s="18">
        <v>71</v>
      </c>
      <c r="B44" s="18">
        <v>4.86E-4</v>
      </c>
    </row>
    <row r="45" spans="1:2" x14ac:dyDescent="0.25">
      <c r="A45" s="18">
        <v>71.5</v>
      </c>
      <c r="B45" s="18">
        <v>5.5900000000000004E-4</v>
      </c>
    </row>
    <row r="46" spans="1:2" x14ac:dyDescent="0.25">
      <c r="A46" s="18">
        <v>72</v>
      </c>
      <c r="B46" s="18">
        <v>6.2100000000000002E-4</v>
      </c>
    </row>
    <row r="47" spans="1:2" x14ac:dyDescent="0.25">
      <c r="A47" s="18">
        <v>72.5</v>
      </c>
      <c r="B47" s="18">
        <v>7.1100000000000004E-4</v>
      </c>
    </row>
    <row r="48" spans="1:2" x14ac:dyDescent="0.25">
      <c r="A48" s="18">
        <v>73</v>
      </c>
      <c r="B48" s="18">
        <v>7.6099999999999996E-4</v>
      </c>
    </row>
    <row r="49" spans="1:2" x14ac:dyDescent="0.25">
      <c r="A49" s="18">
        <v>73.5</v>
      </c>
      <c r="B49" s="18">
        <v>8.7500000000000002E-4</v>
      </c>
    </row>
    <row r="50" spans="1:2" x14ac:dyDescent="0.25">
      <c r="A50" s="18">
        <v>74</v>
      </c>
      <c r="B50" s="18">
        <v>9.5500000000000001E-4</v>
      </c>
    </row>
    <row r="51" spans="1:2" x14ac:dyDescent="0.25">
      <c r="A51" s="18">
        <v>74.5</v>
      </c>
      <c r="B51" s="18">
        <v>1.0499999999999999E-3</v>
      </c>
    </row>
    <row r="52" spans="1:2" x14ac:dyDescent="0.25">
      <c r="A52" s="18">
        <v>75</v>
      </c>
      <c r="B52" s="18">
        <v>1.2099999999999999E-3</v>
      </c>
    </row>
    <row r="53" spans="1:2" x14ac:dyDescent="0.25">
      <c r="A53" s="18">
        <v>75.5</v>
      </c>
      <c r="B53" s="18">
        <v>1.32E-3</v>
      </c>
    </row>
    <row r="54" spans="1:2" x14ac:dyDescent="0.25">
      <c r="A54" s="18">
        <v>76</v>
      </c>
      <c r="B54" s="18">
        <v>1.4400000000000001E-3</v>
      </c>
    </row>
    <row r="55" spans="1:2" x14ac:dyDescent="0.25">
      <c r="A55" s="18">
        <v>76.5</v>
      </c>
      <c r="B55" s="18">
        <v>1.6199999999999999E-3</v>
      </c>
    </row>
    <row r="56" spans="1:2" x14ac:dyDescent="0.25">
      <c r="A56" s="18">
        <v>77</v>
      </c>
      <c r="B56" s="18">
        <v>1.6900000000000001E-3</v>
      </c>
    </row>
    <row r="57" spans="1:2" x14ac:dyDescent="0.25">
      <c r="A57" s="18">
        <v>77.5</v>
      </c>
      <c r="B57" s="18">
        <v>1.89E-3</v>
      </c>
    </row>
    <row r="58" spans="1:2" x14ac:dyDescent="0.25">
      <c r="A58" s="18">
        <v>78</v>
      </c>
      <c r="B58" s="18">
        <v>2.1199999999999999E-3</v>
      </c>
    </row>
    <row r="59" spans="1:2" x14ac:dyDescent="0.25">
      <c r="A59" s="18">
        <v>78.5</v>
      </c>
      <c r="B59" s="18">
        <v>2.2300000000000002E-3</v>
      </c>
    </row>
    <row r="60" spans="1:2" x14ac:dyDescent="0.25">
      <c r="A60" s="18">
        <v>79</v>
      </c>
      <c r="B60" s="18">
        <v>2.4399999999999999E-3</v>
      </c>
    </row>
    <row r="61" spans="1:2" x14ac:dyDescent="0.25">
      <c r="A61" s="18">
        <v>79.5</v>
      </c>
      <c r="B61" s="18">
        <v>2.64E-3</v>
      </c>
    </row>
    <row r="62" spans="1:2" x14ac:dyDescent="0.25">
      <c r="A62" s="18">
        <v>80</v>
      </c>
      <c r="B62" s="18">
        <v>2.8600000000000001E-3</v>
      </c>
    </row>
    <row r="63" spans="1:2" x14ac:dyDescent="0.25">
      <c r="A63" s="18">
        <v>80.5</v>
      </c>
      <c r="B63" s="18">
        <v>3.0799999999999998E-3</v>
      </c>
    </row>
    <row r="64" spans="1:2" x14ac:dyDescent="0.25">
      <c r="A64" s="18">
        <v>81</v>
      </c>
      <c r="B64" s="18">
        <v>3.2799999999999999E-3</v>
      </c>
    </row>
    <row r="65" spans="1:2" x14ac:dyDescent="0.25">
      <c r="A65" s="18">
        <v>81.5</v>
      </c>
      <c r="B65" s="18">
        <v>3.5699999999999998E-3</v>
      </c>
    </row>
    <row r="66" spans="1:2" x14ac:dyDescent="0.25">
      <c r="A66" s="18">
        <v>82</v>
      </c>
      <c r="B66" s="18">
        <v>3.8600000000000001E-3</v>
      </c>
    </row>
    <row r="67" spans="1:2" x14ac:dyDescent="0.25">
      <c r="A67" s="18">
        <v>82.5</v>
      </c>
      <c r="B67" s="18">
        <v>4.1599999999999996E-3</v>
      </c>
    </row>
    <row r="68" spans="1:2" x14ac:dyDescent="0.25">
      <c r="A68" s="18">
        <v>83</v>
      </c>
      <c r="B68" s="18">
        <v>4.4400000000000004E-3</v>
      </c>
    </row>
    <row r="69" spans="1:2" x14ac:dyDescent="0.25">
      <c r="A69" s="18">
        <v>83.5</v>
      </c>
      <c r="B69" s="18">
        <v>4.6899999999999997E-3</v>
      </c>
    </row>
    <row r="70" spans="1:2" x14ac:dyDescent="0.25">
      <c r="A70" s="18">
        <v>84</v>
      </c>
      <c r="B70" s="18">
        <v>4.9800000000000001E-3</v>
      </c>
    </row>
    <row r="71" spans="1:2" x14ac:dyDescent="0.25">
      <c r="A71" s="18">
        <v>84.5</v>
      </c>
      <c r="B71" s="18">
        <v>5.3400000000000001E-3</v>
      </c>
    </row>
    <row r="72" spans="1:2" x14ac:dyDescent="0.25">
      <c r="A72" s="18">
        <v>85</v>
      </c>
      <c r="B72" s="18">
        <v>5.7099999999999998E-3</v>
      </c>
    </row>
    <row r="73" spans="1:2" x14ac:dyDescent="0.25">
      <c r="A73" s="18">
        <v>85.5</v>
      </c>
      <c r="B73" s="18">
        <v>5.9800000000000001E-3</v>
      </c>
    </row>
    <row r="74" spans="1:2" x14ac:dyDescent="0.25">
      <c r="A74" s="18">
        <v>86</v>
      </c>
      <c r="B74" s="18">
        <v>6.2399999999999999E-3</v>
      </c>
    </row>
    <row r="75" spans="1:2" x14ac:dyDescent="0.25">
      <c r="A75" s="18">
        <v>86.5</v>
      </c>
      <c r="B75" s="18">
        <v>6.6800000000000002E-3</v>
      </c>
    </row>
    <row r="76" spans="1:2" x14ac:dyDescent="0.25">
      <c r="A76" s="18">
        <v>87</v>
      </c>
      <c r="B76" s="18">
        <v>7.0299999999999998E-3</v>
      </c>
    </row>
    <row r="77" spans="1:2" x14ac:dyDescent="0.25">
      <c r="A77" s="18">
        <v>87.5</v>
      </c>
      <c r="B77" s="18">
        <v>7.3099999999999997E-3</v>
      </c>
    </row>
    <row r="78" spans="1:2" x14ac:dyDescent="0.25">
      <c r="A78" s="18">
        <v>88</v>
      </c>
      <c r="B78" s="18">
        <v>7.6600000000000001E-3</v>
      </c>
    </row>
    <row r="79" spans="1:2" x14ac:dyDescent="0.25">
      <c r="A79" s="18">
        <v>88.5</v>
      </c>
      <c r="B79" s="18">
        <v>7.9699999999999997E-3</v>
      </c>
    </row>
    <row r="80" spans="1:2" x14ac:dyDescent="0.25">
      <c r="A80" s="18">
        <v>89</v>
      </c>
      <c r="B80" s="18">
        <v>8.3400000000000002E-3</v>
      </c>
    </row>
    <row r="81" spans="1:2" x14ac:dyDescent="0.25">
      <c r="A81" s="18">
        <v>89.5</v>
      </c>
      <c r="B81" s="18">
        <v>8.6899999999999998E-3</v>
      </c>
    </row>
    <row r="82" spans="1:2" x14ac:dyDescent="0.25">
      <c r="A82" s="18">
        <v>90</v>
      </c>
      <c r="B82" s="18">
        <v>9.1400000000000006E-3</v>
      </c>
    </row>
    <row r="83" spans="1:2" x14ac:dyDescent="0.25">
      <c r="A83" s="18">
        <v>90.5</v>
      </c>
      <c r="B83" s="18">
        <v>9.5099999999999994E-3</v>
      </c>
    </row>
    <row r="84" spans="1:2" x14ac:dyDescent="0.25">
      <c r="A84" s="18">
        <v>91</v>
      </c>
      <c r="B84" s="18">
        <v>9.9399999999999992E-3</v>
      </c>
    </row>
    <row r="85" spans="1:2" x14ac:dyDescent="0.25">
      <c r="A85" s="18">
        <v>91.5</v>
      </c>
      <c r="B85" s="18">
        <v>1.03E-2</v>
      </c>
    </row>
    <row r="86" spans="1:2" x14ac:dyDescent="0.25">
      <c r="A86" s="18">
        <v>92</v>
      </c>
      <c r="B86" s="18">
        <v>1.06E-2</v>
      </c>
    </row>
    <row r="87" spans="1:2" x14ac:dyDescent="0.25">
      <c r="A87" s="18">
        <v>92.5</v>
      </c>
      <c r="B87" s="18">
        <v>1.0999999999999999E-2</v>
      </c>
    </row>
    <row r="88" spans="1:2" x14ac:dyDescent="0.25">
      <c r="A88" s="18">
        <v>93</v>
      </c>
      <c r="B88" s="18">
        <v>1.15E-2</v>
      </c>
    </row>
    <row r="89" spans="1:2" x14ac:dyDescent="0.25">
      <c r="A89" s="18">
        <v>93.5</v>
      </c>
      <c r="B89" s="18">
        <v>1.2E-2</v>
      </c>
    </row>
    <row r="90" spans="1:2" x14ac:dyDescent="0.25">
      <c r="A90" s="18">
        <v>94</v>
      </c>
      <c r="B90" s="18">
        <v>1.2200000000000001E-2</v>
      </c>
    </row>
    <row r="91" spans="1:2" x14ac:dyDescent="0.25">
      <c r="A91" s="18">
        <v>94.5</v>
      </c>
      <c r="B91" s="18">
        <v>1.2699999999999999E-2</v>
      </c>
    </row>
    <row r="92" spans="1:2" x14ac:dyDescent="0.25">
      <c r="A92" s="18">
        <v>95</v>
      </c>
      <c r="B92" s="18">
        <v>1.3100000000000001E-2</v>
      </c>
    </row>
    <row r="93" spans="1:2" x14ac:dyDescent="0.25">
      <c r="A93" s="18">
        <v>95.5</v>
      </c>
      <c r="B93" s="18">
        <v>1.34E-2</v>
      </c>
    </row>
    <row r="94" spans="1:2" x14ac:dyDescent="0.25">
      <c r="A94" s="18">
        <v>96</v>
      </c>
      <c r="B94" s="18">
        <v>1.3899999999999999E-2</v>
      </c>
    </row>
    <row r="95" spans="1:2" x14ac:dyDescent="0.25">
      <c r="A95" s="18">
        <v>96.5</v>
      </c>
      <c r="B95" s="18">
        <v>1.43E-2</v>
      </c>
    </row>
    <row r="96" spans="1:2" x14ac:dyDescent="0.25">
      <c r="A96" s="18">
        <v>97</v>
      </c>
      <c r="B96" s="18">
        <v>1.47E-2</v>
      </c>
    </row>
    <row r="97" spans="1:2" x14ac:dyDescent="0.25">
      <c r="A97" s="18">
        <v>97.5</v>
      </c>
      <c r="B97" s="18">
        <v>1.4999999999999999E-2</v>
      </c>
    </row>
    <row r="98" spans="1:2" x14ac:dyDescent="0.25">
      <c r="A98" s="18">
        <v>98</v>
      </c>
      <c r="B98" s="18">
        <v>1.52E-2</v>
      </c>
    </row>
    <row r="99" spans="1:2" x14ac:dyDescent="0.25">
      <c r="A99" s="18">
        <v>98.5</v>
      </c>
      <c r="B99" s="18">
        <v>1.5699999999999999E-2</v>
      </c>
    </row>
    <row r="100" spans="1:2" x14ac:dyDescent="0.25">
      <c r="A100" s="18">
        <v>99</v>
      </c>
      <c r="B100" s="18">
        <v>1.5900000000000001E-2</v>
      </c>
    </row>
    <row r="101" spans="1:2" x14ac:dyDescent="0.25">
      <c r="A101" s="18">
        <v>99.5</v>
      </c>
      <c r="B101" s="18">
        <v>1.6199999999999999E-2</v>
      </c>
    </row>
    <row r="102" spans="1:2" x14ac:dyDescent="0.25">
      <c r="A102" s="18">
        <v>100</v>
      </c>
      <c r="B102" s="18">
        <v>1.6400000000000001E-2</v>
      </c>
    </row>
    <row r="103" spans="1:2" x14ac:dyDescent="0.25">
      <c r="A103" s="18">
        <v>101</v>
      </c>
      <c r="B103" s="18">
        <v>1.67E-2</v>
      </c>
    </row>
    <row r="104" spans="1:2" x14ac:dyDescent="0.25">
      <c r="A104" s="18">
        <v>101</v>
      </c>
      <c r="B104" s="18">
        <v>1.7100000000000001E-2</v>
      </c>
    </row>
    <row r="105" spans="1:2" x14ac:dyDescent="0.25">
      <c r="A105" s="18">
        <v>102</v>
      </c>
      <c r="B105" s="18">
        <v>1.7100000000000001E-2</v>
      </c>
    </row>
    <row r="106" spans="1:2" x14ac:dyDescent="0.25">
      <c r="A106" s="18">
        <v>102</v>
      </c>
      <c r="B106" s="18">
        <v>1.7500000000000002E-2</v>
      </c>
    </row>
    <row r="107" spans="1:2" x14ac:dyDescent="0.25">
      <c r="A107" s="18">
        <v>103</v>
      </c>
      <c r="B107" s="18">
        <v>1.78E-2</v>
      </c>
    </row>
    <row r="108" spans="1:2" x14ac:dyDescent="0.25">
      <c r="A108" s="18">
        <v>103</v>
      </c>
      <c r="B108" s="18">
        <v>1.8100000000000002E-2</v>
      </c>
    </row>
    <row r="109" spans="1:2" x14ac:dyDescent="0.25">
      <c r="A109" s="18">
        <v>104</v>
      </c>
      <c r="B109" s="18">
        <v>1.8200000000000001E-2</v>
      </c>
    </row>
    <row r="110" spans="1:2" x14ac:dyDescent="0.25">
      <c r="A110" s="18">
        <v>104</v>
      </c>
      <c r="B110" s="18">
        <v>1.8200000000000001E-2</v>
      </c>
    </row>
    <row r="111" spans="1:2" x14ac:dyDescent="0.25">
      <c r="A111" s="18">
        <v>105</v>
      </c>
      <c r="B111" s="18">
        <v>1.8499999999999999E-2</v>
      </c>
    </row>
    <row r="112" spans="1:2" x14ac:dyDescent="0.25">
      <c r="A112" s="18">
        <v>105</v>
      </c>
      <c r="B112" s="18">
        <v>1.8499999999999999E-2</v>
      </c>
    </row>
    <row r="113" spans="1:2" x14ac:dyDescent="0.25">
      <c r="A113" s="18">
        <v>106</v>
      </c>
      <c r="B113" s="18">
        <v>1.8599999999999998E-2</v>
      </c>
    </row>
    <row r="114" spans="1:2" x14ac:dyDescent="0.25">
      <c r="A114" s="18">
        <v>106</v>
      </c>
      <c r="B114" s="18">
        <v>1.8800000000000001E-2</v>
      </c>
    </row>
    <row r="115" spans="1:2" x14ac:dyDescent="0.25">
      <c r="A115" s="18">
        <v>107</v>
      </c>
      <c r="B115" s="18">
        <v>1.8700000000000001E-2</v>
      </c>
    </row>
    <row r="116" spans="1:2" x14ac:dyDescent="0.25">
      <c r="A116" s="18">
        <v>107</v>
      </c>
      <c r="B116" s="18">
        <v>1.8700000000000001E-2</v>
      </c>
    </row>
    <row r="117" spans="1:2" x14ac:dyDescent="0.25">
      <c r="A117" s="18">
        <v>108</v>
      </c>
      <c r="B117" s="18">
        <v>1.8800000000000001E-2</v>
      </c>
    </row>
    <row r="118" spans="1:2" x14ac:dyDescent="0.25">
      <c r="A118" s="18">
        <v>108</v>
      </c>
      <c r="B118" s="18">
        <v>1.8499999999999999E-2</v>
      </c>
    </row>
    <row r="119" spans="1:2" x14ac:dyDescent="0.25">
      <c r="A119" s="18">
        <v>109</v>
      </c>
      <c r="B119" s="18">
        <v>1.84E-2</v>
      </c>
    </row>
    <row r="120" spans="1:2" x14ac:dyDescent="0.25">
      <c r="A120" s="18">
        <v>109</v>
      </c>
      <c r="B120" s="18">
        <v>1.83E-2</v>
      </c>
    </row>
    <row r="121" spans="1:2" x14ac:dyDescent="0.25">
      <c r="A121" s="18">
        <v>110</v>
      </c>
      <c r="B121" s="18">
        <v>1.8100000000000002E-2</v>
      </c>
    </row>
    <row r="122" spans="1:2" x14ac:dyDescent="0.25">
      <c r="A122" s="18">
        <v>110</v>
      </c>
      <c r="B122" s="18">
        <v>1.7899999999999999E-2</v>
      </c>
    </row>
    <row r="123" spans="1:2" x14ac:dyDescent="0.25">
      <c r="A123" s="18">
        <v>111</v>
      </c>
      <c r="B123" s="18">
        <v>1.7500000000000002E-2</v>
      </c>
    </row>
    <row r="124" spans="1:2" x14ac:dyDescent="0.25">
      <c r="A124" s="18">
        <v>111</v>
      </c>
      <c r="B124" s="18">
        <v>1.7100000000000001E-2</v>
      </c>
    </row>
    <row r="125" spans="1:2" x14ac:dyDescent="0.25">
      <c r="A125" s="18">
        <v>112</v>
      </c>
      <c r="B125" s="18">
        <v>1.6799999999999999E-2</v>
      </c>
    </row>
    <row r="126" spans="1:2" x14ac:dyDescent="0.25">
      <c r="A126" s="18">
        <v>112</v>
      </c>
      <c r="B126" s="18">
        <v>1.6299999999999999E-2</v>
      </c>
    </row>
    <row r="127" spans="1:2" x14ac:dyDescent="0.25">
      <c r="A127" s="18">
        <v>113</v>
      </c>
      <c r="B127" s="18">
        <v>1.6E-2</v>
      </c>
    </row>
    <row r="128" spans="1:2" x14ac:dyDescent="0.25">
      <c r="A128" s="18">
        <v>113</v>
      </c>
      <c r="B128" s="18">
        <v>1.55E-2</v>
      </c>
    </row>
    <row r="129" spans="1:2" x14ac:dyDescent="0.25">
      <c r="A129" s="18">
        <v>114</v>
      </c>
      <c r="B129" s="18">
        <v>1.4800000000000001E-2</v>
      </c>
    </row>
    <row r="130" spans="1:2" x14ac:dyDescent="0.25">
      <c r="A130" s="18">
        <v>114</v>
      </c>
      <c r="B130" s="18">
        <v>1.4E-2</v>
      </c>
    </row>
    <row r="131" spans="1:2" x14ac:dyDescent="0.25">
      <c r="A131" s="18">
        <v>115</v>
      </c>
      <c r="B131" s="18">
        <v>1.35E-2</v>
      </c>
    </row>
    <row r="132" spans="1:2" x14ac:dyDescent="0.25">
      <c r="A132" s="18">
        <v>115</v>
      </c>
      <c r="B132" s="18">
        <v>1.2699999999999999E-2</v>
      </c>
    </row>
    <row r="133" spans="1:2" x14ac:dyDescent="0.25">
      <c r="A133" s="18">
        <v>116</v>
      </c>
      <c r="B133" s="18">
        <v>1.1900000000000001E-2</v>
      </c>
    </row>
    <row r="134" spans="1:2" x14ac:dyDescent="0.25">
      <c r="A134" s="18">
        <v>116</v>
      </c>
      <c r="B134" s="18">
        <v>1.09E-2</v>
      </c>
    </row>
    <row r="135" spans="1:2" x14ac:dyDescent="0.25">
      <c r="A135" s="18">
        <v>117</v>
      </c>
      <c r="B135" s="18">
        <v>1.01E-2</v>
      </c>
    </row>
    <row r="136" spans="1:2" x14ac:dyDescent="0.25">
      <c r="A136" s="18">
        <v>117</v>
      </c>
      <c r="B136" s="18">
        <v>8.8900000000000003E-3</v>
      </c>
    </row>
    <row r="137" spans="1:2" x14ac:dyDescent="0.25">
      <c r="A137" s="18">
        <v>118</v>
      </c>
      <c r="B137" s="18">
        <v>7.9799999999999992E-3</v>
      </c>
    </row>
    <row r="138" spans="1:2" x14ac:dyDescent="0.25">
      <c r="A138" s="18">
        <v>118</v>
      </c>
      <c r="B138" s="18">
        <v>6.8100000000000001E-3</v>
      </c>
    </row>
    <row r="139" spans="1:2" x14ac:dyDescent="0.25">
      <c r="A139" s="18">
        <v>119</v>
      </c>
      <c r="B139" s="18">
        <v>5.4799999999999996E-3</v>
      </c>
    </row>
    <row r="140" spans="1:2" x14ac:dyDescent="0.25">
      <c r="A140" s="18">
        <v>119</v>
      </c>
      <c r="B140" s="18">
        <v>3.9399999999999999E-3</v>
      </c>
    </row>
    <row r="141" spans="1:2" x14ac:dyDescent="0.25">
      <c r="A141" s="18">
        <v>120</v>
      </c>
      <c r="B141" s="18">
        <v>2.47E-3</v>
      </c>
    </row>
    <row r="142" spans="1:2" x14ac:dyDescent="0.25">
      <c r="A142" s="18">
        <v>120</v>
      </c>
      <c r="B142" s="18">
        <v>7.2000000000000005E-4</v>
      </c>
    </row>
    <row r="143" spans="1:2" x14ac:dyDescent="0.25">
      <c r="A143" s="18">
        <v>121</v>
      </c>
      <c r="B143" s="18">
        <v>1.5299999999999999E-5</v>
      </c>
    </row>
    <row r="144" spans="1:2" x14ac:dyDescent="0.25">
      <c r="A144" s="18">
        <v>121</v>
      </c>
      <c r="B144" s="18">
        <v>1.11E-7</v>
      </c>
    </row>
    <row r="145" spans="1:2" x14ac:dyDescent="0.25">
      <c r="A145" s="18">
        <v>122</v>
      </c>
      <c r="B145" s="18">
        <v>2.1900000000000002E-6</v>
      </c>
    </row>
    <row r="146" spans="1:2" x14ac:dyDescent="0.25">
      <c r="A146" s="18">
        <v>122</v>
      </c>
      <c r="B146" s="18">
        <v>1.2500000000000001E-6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dimension ref="A1:B114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40</v>
      </c>
      <c r="B2" s="18">
        <v>1.3999999999999999E-4</v>
      </c>
    </row>
    <row r="3" spans="1:2" x14ac:dyDescent="0.25">
      <c r="A3" s="18">
        <v>41</v>
      </c>
      <c r="B3" s="18">
        <v>1.06E-4</v>
      </c>
    </row>
    <row r="4" spans="1:2" x14ac:dyDescent="0.25">
      <c r="A4" s="18">
        <v>42</v>
      </c>
      <c r="B4" s="18">
        <v>1.13E-4</v>
      </c>
    </row>
    <row r="5" spans="1:2" x14ac:dyDescent="0.25">
      <c r="A5" s="18">
        <v>43</v>
      </c>
      <c r="B5" s="18">
        <v>1.0399999999999999E-4</v>
      </c>
    </row>
    <row r="6" spans="1:2" x14ac:dyDescent="0.25">
      <c r="A6" s="18">
        <v>44</v>
      </c>
      <c r="B6" s="18">
        <v>9.59E-5</v>
      </c>
    </row>
    <row r="7" spans="1:2" x14ac:dyDescent="0.25">
      <c r="A7" s="18">
        <v>45</v>
      </c>
      <c r="B7" s="18">
        <v>1.01E-4</v>
      </c>
    </row>
    <row r="8" spans="1:2" x14ac:dyDescent="0.25">
      <c r="A8" s="18">
        <v>46</v>
      </c>
      <c r="B8" s="18">
        <v>9.0600000000000007E-5</v>
      </c>
    </row>
    <row r="9" spans="1:2" x14ac:dyDescent="0.25">
      <c r="A9" s="18">
        <v>47</v>
      </c>
      <c r="B9" s="18">
        <v>8.4300000000000003E-5</v>
      </c>
    </row>
    <row r="10" spans="1:2" x14ac:dyDescent="0.25">
      <c r="A10" s="18">
        <v>48</v>
      </c>
      <c r="B10" s="18">
        <v>7.1600000000000006E-5</v>
      </c>
    </row>
    <row r="11" spans="1:2" x14ac:dyDescent="0.25">
      <c r="A11" s="18">
        <v>49</v>
      </c>
      <c r="B11" s="18">
        <v>3.2700000000000002E-5</v>
      </c>
    </row>
    <row r="12" spans="1:2" x14ac:dyDescent="0.25">
      <c r="A12" s="18">
        <v>50</v>
      </c>
      <c r="B12" s="18">
        <v>4.3000000000000002E-5</v>
      </c>
    </row>
    <row r="13" spans="1:2" x14ac:dyDescent="0.25">
      <c r="A13" s="18">
        <v>51</v>
      </c>
      <c r="B13" s="18">
        <v>7.7000000000000001E-5</v>
      </c>
    </row>
    <row r="14" spans="1:2" x14ac:dyDescent="0.25">
      <c r="A14" s="18">
        <v>52</v>
      </c>
      <c r="B14" s="18">
        <v>6.02E-5</v>
      </c>
    </row>
    <row r="15" spans="1:2" x14ac:dyDescent="0.25">
      <c r="A15" s="18">
        <v>53</v>
      </c>
      <c r="B15" s="18">
        <v>4.74E-5</v>
      </c>
    </row>
    <row r="16" spans="1:2" x14ac:dyDescent="0.25">
      <c r="A16" s="18">
        <v>54</v>
      </c>
      <c r="B16" s="18">
        <v>5.4599999999999999E-5</v>
      </c>
    </row>
    <row r="17" spans="1:2" x14ac:dyDescent="0.25">
      <c r="A17" s="18">
        <v>55</v>
      </c>
      <c r="B17" s="18">
        <v>4.8900000000000003E-5</v>
      </c>
    </row>
    <row r="18" spans="1:2" x14ac:dyDescent="0.25">
      <c r="A18" s="18">
        <v>56</v>
      </c>
      <c r="B18" s="18">
        <v>2.94E-5</v>
      </c>
    </row>
    <row r="19" spans="1:2" x14ac:dyDescent="0.25">
      <c r="A19" s="18">
        <v>57</v>
      </c>
      <c r="B19" s="18">
        <v>3.2400000000000001E-5</v>
      </c>
    </row>
    <row r="20" spans="1:2" x14ac:dyDescent="0.25">
      <c r="A20" s="18">
        <v>58</v>
      </c>
      <c r="B20" s="18">
        <v>3.6699999999999998E-5</v>
      </c>
    </row>
    <row r="21" spans="1:2" x14ac:dyDescent="0.25">
      <c r="A21" s="18">
        <v>59</v>
      </c>
      <c r="B21" s="18">
        <v>3.4799999999999999E-5</v>
      </c>
    </row>
    <row r="22" spans="1:2" x14ac:dyDescent="0.25">
      <c r="A22" s="18">
        <v>60</v>
      </c>
      <c r="B22" s="18">
        <v>3.9100000000000002E-5</v>
      </c>
    </row>
    <row r="23" spans="1:2" x14ac:dyDescent="0.25">
      <c r="A23" s="18">
        <v>61</v>
      </c>
      <c r="B23" s="18">
        <v>4.3099999999999997E-5</v>
      </c>
    </row>
    <row r="24" spans="1:2" x14ac:dyDescent="0.25">
      <c r="A24" s="18">
        <v>62</v>
      </c>
      <c r="B24" s="18">
        <v>3.1399999999999998E-5</v>
      </c>
    </row>
    <row r="25" spans="1:2" x14ac:dyDescent="0.25">
      <c r="A25" s="18">
        <v>63</v>
      </c>
      <c r="B25" s="18">
        <v>4.1199999999999999E-5</v>
      </c>
    </row>
    <row r="26" spans="1:2" x14ac:dyDescent="0.25">
      <c r="A26" s="18">
        <v>64</v>
      </c>
      <c r="B26" s="18">
        <v>4.2299999999999998E-5</v>
      </c>
    </row>
    <row r="27" spans="1:2" x14ac:dyDescent="0.25">
      <c r="A27" s="18">
        <v>65</v>
      </c>
      <c r="B27" s="18">
        <v>5.5899999999999997E-5</v>
      </c>
    </row>
    <row r="28" spans="1:2" x14ac:dyDescent="0.25">
      <c r="A28" s="18">
        <v>66</v>
      </c>
      <c r="B28" s="18">
        <v>7.3800000000000005E-5</v>
      </c>
    </row>
    <row r="29" spans="1:2" x14ac:dyDescent="0.25">
      <c r="A29" s="18">
        <v>67</v>
      </c>
      <c r="B29" s="18">
        <v>1.8699999999999999E-4</v>
      </c>
    </row>
    <row r="30" spans="1:2" x14ac:dyDescent="0.25">
      <c r="A30" s="18">
        <v>68</v>
      </c>
      <c r="B30" s="18">
        <v>1.34E-4</v>
      </c>
    </row>
    <row r="31" spans="1:2" x14ac:dyDescent="0.25">
      <c r="A31" s="18">
        <v>69</v>
      </c>
      <c r="B31" s="18">
        <v>2.0000000000000001E-4</v>
      </c>
    </row>
    <row r="32" spans="1:2" x14ac:dyDescent="0.25">
      <c r="A32" s="18">
        <v>70</v>
      </c>
      <c r="B32" s="18">
        <v>1.6000000000000001E-4</v>
      </c>
    </row>
    <row r="33" spans="1:2" x14ac:dyDescent="0.25">
      <c r="A33" s="18">
        <v>71</v>
      </c>
      <c r="B33" s="18">
        <v>1.8799999999999999E-4</v>
      </c>
    </row>
    <row r="34" spans="1:2" x14ac:dyDescent="0.25">
      <c r="A34" s="18">
        <v>72</v>
      </c>
      <c r="B34" s="18">
        <v>2.1900000000000001E-4</v>
      </c>
    </row>
    <row r="35" spans="1:2" x14ac:dyDescent="0.25">
      <c r="A35" s="18">
        <v>73</v>
      </c>
      <c r="B35" s="18">
        <v>2.9100000000000003E-4</v>
      </c>
    </row>
    <row r="36" spans="1:2" x14ac:dyDescent="0.25">
      <c r="A36" s="18">
        <v>74</v>
      </c>
      <c r="B36" s="18">
        <v>3.5500000000000001E-4</v>
      </c>
    </row>
    <row r="37" spans="1:2" x14ac:dyDescent="0.25">
      <c r="A37" s="18">
        <v>75</v>
      </c>
      <c r="B37" s="18">
        <v>4.5800000000000002E-4</v>
      </c>
    </row>
    <row r="38" spans="1:2" x14ac:dyDescent="0.25">
      <c r="A38" s="18">
        <v>76</v>
      </c>
      <c r="B38" s="18">
        <v>5.4500000000000002E-4</v>
      </c>
    </row>
    <row r="39" spans="1:2" x14ac:dyDescent="0.25">
      <c r="A39" s="18">
        <v>77</v>
      </c>
      <c r="B39" s="18">
        <v>6.2699999999999995E-4</v>
      </c>
    </row>
    <row r="40" spans="1:2" x14ac:dyDescent="0.25">
      <c r="A40" s="18">
        <v>78</v>
      </c>
      <c r="B40" s="18">
        <v>7.8100000000000001E-4</v>
      </c>
    </row>
    <row r="41" spans="1:2" x14ac:dyDescent="0.25">
      <c r="A41" s="18">
        <v>79</v>
      </c>
      <c r="B41" s="18">
        <v>9.0399999999999996E-4</v>
      </c>
    </row>
    <row r="42" spans="1:2" x14ac:dyDescent="0.25">
      <c r="A42" s="18">
        <v>80</v>
      </c>
      <c r="B42" s="18">
        <v>1.1000000000000001E-3</v>
      </c>
    </row>
    <row r="43" spans="1:2" x14ac:dyDescent="0.25">
      <c r="A43" s="18">
        <v>81</v>
      </c>
      <c r="B43" s="18">
        <v>1.2700000000000001E-3</v>
      </c>
    </row>
    <row r="44" spans="1:2" x14ac:dyDescent="0.25">
      <c r="A44" s="18">
        <v>82</v>
      </c>
      <c r="B44" s="18">
        <v>1.5299999999999999E-3</v>
      </c>
    </row>
    <row r="45" spans="1:2" x14ac:dyDescent="0.25">
      <c r="A45" s="18">
        <v>83</v>
      </c>
      <c r="B45" s="18">
        <v>1.8E-3</v>
      </c>
    </row>
    <row r="46" spans="1:2" x14ac:dyDescent="0.25">
      <c r="A46" s="18">
        <v>84</v>
      </c>
      <c r="B46" s="18">
        <v>2.0799999999999998E-3</v>
      </c>
    </row>
    <row r="47" spans="1:2" x14ac:dyDescent="0.25">
      <c r="A47" s="18">
        <v>85</v>
      </c>
      <c r="B47" s="18">
        <v>2.4599999999999999E-3</v>
      </c>
    </row>
    <row r="48" spans="1:2" x14ac:dyDescent="0.25">
      <c r="A48" s="18">
        <v>86</v>
      </c>
      <c r="B48" s="18">
        <v>2.7599999999999999E-3</v>
      </c>
    </row>
    <row r="49" spans="1:2" x14ac:dyDescent="0.25">
      <c r="A49" s="18">
        <v>87</v>
      </c>
      <c r="B49" s="18">
        <v>3.1199999999999999E-3</v>
      </c>
    </row>
    <row r="50" spans="1:2" x14ac:dyDescent="0.25">
      <c r="A50" s="18">
        <v>88</v>
      </c>
      <c r="B50" s="18">
        <v>3.5200000000000001E-3</v>
      </c>
    </row>
    <row r="51" spans="1:2" x14ac:dyDescent="0.25">
      <c r="A51" s="18">
        <v>89</v>
      </c>
      <c r="B51" s="18">
        <v>3.9199999999999999E-3</v>
      </c>
    </row>
    <row r="52" spans="1:2" x14ac:dyDescent="0.25">
      <c r="A52" s="18">
        <v>90</v>
      </c>
      <c r="B52" s="18">
        <v>4.3400000000000001E-3</v>
      </c>
    </row>
    <row r="53" spans="1:2" x14ac:dyDescent="0.25">
      <c r="A53" s="18">
        <v>91</v>
      </c>
      <c r="B53" s="18">
        <v>4.8700000000000002E-3</v>
      </c>
    </row>
    <row r="54" spans="1:2" x14ac:dyDescent="0.25">
      <c r="A54" s="18">
        <v>92</v>
      </c>
      <c r="B54" s="18">
        <v>5.3899999999999998E-3</v>
      </c>
    </row>
    <row r="55" spans="1:2" x14ac:dyDescent="0.25">
      <c r="A55" s="18">
        <v>93</v>
      </c>
      <c r="B55" s="18">
        <v>6.0000000000000001E-3</v>
      </c>
    </row>
    <row r="56" spans="1:2" x14ac:dyDescent="0.25">
      <c r="A56" s="18">
        <v>94</v>
      </c>
      <c r="B56" s="18">
        <v>6.5300000000000002E-3</v>
      </c>
    </row>
    <row r="57" spans="1:2" x14ac:dyDescent="0.25">
      <c r="A57" s="18">
        <v>95</v>
      </c>
      <c r="B57" s="18">
        <v>7.1599999999999997E-3</v>
      </c>
    </row>
    <row r="58" spans="1:2" x14ac:dyDescent="0.25">
      <c r="A58" s="18">
        <v>96</v>
      </c>
      <c r="B58" s="18">
        <v>7.8300000000000002E-3</v>
      </c>
    </row>
    <row r="59" spans="1:2" x14ac:dyDescent="0.25">
      <c r="A59" s="18">
        <v>97</v>
      </c>
      <c r="B59" s="18">
        <v>8.3999999999999995E-3</v>
      </c>
    </row>
    <row r="60" spans="1:2" x14ac:dyDescent="0.25">
      <c r="A60" s="18">
        <v>98</v>
      </c>
      <c r="B60" s="18">
        <v>9.0699999999999999E-3</v>
      </c>
    </row>
    <row r="61" spans="1:2" x14ac:dyDescent="0.25">
      <c r="A61" s="18">
        <v>99</v>
      </c>
      <c r="B61" s="18">
        <v>9.7000000000000003E-3</v>
      </c>
    </row>
    <row r="62" spans="1:2" x14ac:dyDescent="0.25">
      <c r="A62" s="18">
        <v>100</v>
      </c>
      <c r="B62" s="18">
        <v>1.04E-2</v>
      </c>
    </row>
    <row r="63" spans="1:2" x14ac:dyDescent="0.25">
      <c r="A63" s="18">
        <v>101</v>
      </c>
      <c r="B63" s="18">
        <v>1.0999999999999999E-2</v>
      </c>
    </row>
    <row r="64" spans="1:2" x14ac:dyDescent="0.25">
      <c r="A64" s="18">
        <v>102</v>
      </c>
      <c r="B64" s="18">
        <v>1.1900000000000001E-2</v>
      </c>
    </row>
    <row r="65" spans="1:2" x14ac:dyDescent="0.25">
      <c r="A65" s="18">
        <v>103</v>
      </c>
      <c r="B65" s="18">
        <v>1.24E-2</v>
      </c>
    </row>
    <row r="66" spans="1:2" x14ac:dyDescent="0.25">
      <c r="A66" s="18">
        <v>104</v>
      </c>
      <c r="B66" s="18">
        <v>1.32E-2</v>
      </c>
    </row>
    <row r="67" spans="1:2" x14ac:dyDescent="0.25">
      <c r="A67" s="18">
        <v>105</v>
      </c>
      <c r="B67" s="18">
        <v>1.41E-2</v>
      </c>
    </row>
    <row r="68" spans="1:2" x14ac:dyDescent="0.25">
      <c r="A68" s="18">
        <v>106</v>
      </c>
      <c r="B68" s="18">
        <v>1.46E-2</v>
      </c>
    </row>
    <row r="69" spans="1:2" x14ac:dyDescent="0.25">
      <c r="A69" s="18">
        <v>107</v>
      </c>
      <c r="B69" s="18">
        <v>1.55E-2</v>
      </c>
    </row>
    <row r="70" spans="1:2" x14ac:dyDescent="0.25">
      <c r="A70" s="18">
        <v>108</v>
      </c>
      <c r="B70" s="18">
        <v>1.61E-2</v>
      </c>
    </row>
    <row r="71" spans="1:2" x14ac:dyDescent="0.25">
      <c r="A71" s="18">
        <v>109</v>
      </c>
      <c r="B71" s="18">
        <v>1.6799999999999999E-2</v>
      </c>
    </row>
    <row r="72" spans="1:2" x14ac:dyDescent="0.25">
      <c r="A72" s="18">
        <v>110</v>
      </c>
      <c r="B72" s="18">
        <v>1.7500000000000002E-2</v>
      </c>
    </row>
    <row r="73" spans="1:2" x14ac:dyDescent="0.25">
      <c r="A73" s="18">
        <v>111</v>
      </c>
      <c r="B73" s="18">
        <v>1.8200000000000001E-2</v>
      </c>
    </row>
    <row r="74" spans="1:2" x14ac:dyDescent="0.25">
      <c r="A74" s="18">
        <v>112</v>
      </c>
      <c r="B74" s="18">
        <v>1.89E-2</v>
      </c>
    </row>
    <row r="75" spans="1:2" x14ac:dyDescent="0.25">
      <c r="A75" s="18">
        <v>113</v>
      </c>
      <c r="B75" s="18">
        <v>1.95E-2</v>
      </c>
    </row>
    <row r="76" spans="1:2" x14ac:dyDescent="0.25">
      <c r="A76" s="18">
        <v>114</v>
      </c>
      <c r="B76" s="18">
        <v>2.0199999999999999E-2</v>
      </c>
    </row>
    <row r="77" spans="1:2" x14ac:dyDescent="0.25">
      <c r="A77" s="18">
        <v>115</v>
      </c>
      <c r="B77" s="18">
        <v>2.06E-2</v>
      </c>
    </row>
    <row r="78" spans="1:2" x14ac:dyDescent="0.25">
      <c r="A78" s="18">
        <v>116</v>
      </c>
      <c r="B78" s="18">
        <v>2.1100000000000001E-2</v>
      </c>
    </row>
    <row r="79" spans="1:2" x14ac:dyDescent="0.25">
      <c r="A79" s="18">
        <v>117</v>
      </c>
      <c r="B79" s="18">
        <v>2.1600000000000001E-2</v>
      </c>
    </row>
    <row r="80" spans="1:2" x14ac:dyDescent="0.25">
      <c r="A80" s="18">
        <v>118</v>
      </c>
      <c r="B80" s="18">
        <v>2.2100000000000002E-2</v>
      </c>
    </row>
    <row r="81" spans="1:2" x14ac:dyDescent="0.25">
      <c r="A81" s="18">
        <v>119</v>
      </c>
      <c r="B81" s="18">
        <v>2.24E-2</v>
      </c>
    </row>
    <row r="82" spans="1:2" x14ac:dyDescent="0.25">
      <c r="A82" s="18">
        <v>120</v>
      </c>
      <c r="B82" s="18">
        <v>2.2800000000000001E-2</v>
      </c>
    </row>
    <row r="83" spans="1:2" x14ac:dyDescent="0.25">
      <c r="A83" s="18">
        <v>121</v>
      </c>
      <c r="B83" s="18">
        <v>2.3199999999999998E-2</v>
      </c>
    </row>
    <row r="84" spans="1:2" x14ac:dyDescent="0.25">
      <c r="A84" s="18">
        <v>122</v>
      </c>
      <c r="B84" s="18">
        <v>2.35E-2</v>
      </c>
    </row>
    <row r="85" spans="1:2" x14ac:dyDescent="0.25">
      <c r="A85" s="18">
        <v>123</v>
      </c>
      <c r="B85" s="18">
        <v>2.3699999999999999E-2</v>
      </c>
    </row>
    <row r="86" spans="1:2" x14ac:dyDescent="0.25">
      <c r="A86" s="18">
        <v>124</v>
      </c>
      <c r="B86" s="18">
        <v>2.3699999999999999E-2</v>
      </c>
    </row>
    <row r="87" spans="1:2" x14ac:dyDescent="0.25">
      <c r="A87" s="18">
        <v>125</v>
      </c>
      <c r="B87" s="18">
        <v>2.41E-2</v>
      </c>
    </row>
    <row r="88" spans="1:2" x14ac:dyDescent="0.25">
      <c r="A88" s="18">
        <v>126</v>
      </c>
      <c r="B88" s="18">
        <v>2.41E-2</v>
      </c>
    </row>
    <row r="89" spans="1:2" x14ac:dyDescent="0.25">
      <c r="A89" s="18">
        <v>127</v>
      </c>
      <c r="B89" s="18">
        <v>2.4E-2</v>
      </c>
    </row>
    <row r="90" spans="1:2" x14ac:dyDescent="0.25">
      <c r="A90" s="18">
        <v>128</v>
      </c>
      <c r="B90" s="18">
        <v>2.41E-2</v>
      </c>
    </row>
    <row r="91" spans="1:2" x14ac:dyDescent="0.25">
      <c r="A91" s="18">
        <v>129</v>
      </c>
      <c r="B91" s="18">
        <v>2.3800000000000002E-2</v>
      </c>
    </row>
    <row r="92" spans="1:2" x14ac:dyDescent="0.25">
      <c r="A92" s="18">
        <v>130</v>
      </c>
      <c r="B92" s="18">
        <v>2.35E-2</v>
      </c>
    </row>
    <row r="93" spans="1:2" x14ac:dyDescent="0.25">
      <c r="A93" s="18">
        <v>131</v>
      </c>
      <c r="B93" s="18">
        <v>2.35E-2</v>
      </c>
    </row>
    <row r="94" spans="1:2" x14ac:dyDescent="0.25">
      <c r="A94" s="18">
        <v>132</v>
      </c>
      <c r="B94" s="18">
        <v>2.3099999999999999E-2</v>
      </c>
    </row>
    <row r="95" spans="1:2" x14ac:dyDescent="0.25">
      <c r="A95" s="18">
        <v>133</v>
      </c>
      <c r="B95" s="18">
        <v>2.24E-2</v>
      </c>
    </row>
    <row r="96" spans="1:2" x14ac:dyDescent="0.25">
      <c r="A96" s="18">
        <v>134</v>
      </c>
      <c r="B96" s="18">
        <v>2.2100000000000002E-2</v>
      </c>
    </row>
    <row r="97" spans="1:2" x14ac:dyDescent="0.25">
      <c r="A97" s="18">
        <v>135</v>
      </c>
      <c r="B97" s="18">
        <v>2.1299999999999999E-2</v>
      </c>
    </row>
    <row r="98" spans="1:2" x14ac:dyDescent="0.25">
      <c r="A98" s="18">
        <v>136</v>
      </c>
      <c r="B98" s="18">
        <v>2.0899999999999998E-2</v>
      </c>
    </row>
    <row r="99" spans="1:2" x14ac:dyDescent="0.25">
      <c r="A99" s="18">
        <v>137</v>
      </c>
      <c r="B99" s="18">
        <v>2.01E-2</v>
      </c>
    </row>
    <row r="100" spans="1:2" x14ac:dyDescent="0.25">
      <c r="A100" s="18">
        <v>138</v>
      </c>
      <c r="B100" s="18">
        <v>1.9300000000000001E-2</v>
      </c>
    </row>
    <row r="101" spans="1:2" x14ac:dyDescent="0.25">
      <c r="A101" s="18">
        <v>139</v>
      </c>
      <c r="B101" s="18">
        <v>1.8200000000000001E-2</v>
      </c>
    </row>
    <row r="102" spans="1:2" x14ac:dyDescent="0.25">
      <c r="A102" s="18">
        <v>140</v>
      </c>
      <c r="B102" s="18">
        <v>1.7399999999999999E-2</v>
      </c>
    </row>
    <row r="103" spans="1:2" x14ac:dyDescent="0.25">
      <c r="A103" s="18">
        <v>141</v>
      </c>
      <c r="B103" s="18">
        <v>1.61E-2</v>
      </c>
    </row>
    <row r="104" spans="1:2" x14ac:dyDescent="0.25">
      <c r="A104" s="18">
        <v>142</v>
      </c>
      <c r="B104" s="18">
        <v>1.49E-2</v>
      </c>
    </row>
    <row r="105" spans="1:2" x14ac:dyDescent="0.25">
      <c r="A105" s="18">
        <v>143</v>
      </c>
      <c r="B105" s="18">
        <v>1.35E-2</v>
      </c>
    </row>
    <row r="106" spans="1:2" x14ac:dyDescent="0.25">
      <c r="A106" s="18">
        <v>144</v>
      </c>
      <c r="B106" s="18">
        <v>1.2200000000000001E-2</v>
      </c>
    </row>
    <row r="107" spans="1:2" x14ac:dyDescent="0.25">
      <c r="A107" s="18">
        <v>145</v>
      </c>
      <c r="B107" s="18">
        <v>1.0699999999999999E-2</v>
      </c>
    </row>
    <row r="108" spans="1:2" x14ac:dyDescent="0.25">
      <c r="A108" s="18">
        <v>146</v>
      </c>
      <c r="B108" s="18">
        <v>9.1500000000000001E-3</v>
      </c>
    </row>
    <row r="109" spans="1:2" x14ac:dyDescent="0.25">
      <c r="A109" s="18">
        <v>147</v>
      </c>
      <c r="B109" s="18">
        <v>7.2700000000000004E-3</v>
      </c>
    </row>
    <row r="110" spans="1:2" x14ac:dyDescent="0.25">
      <c r="A110" s="18">
        <v>148</v>
      </c>
      <c r="B110" s="18">
        <v>5.3800000000000002E-3</v>
      </c>
    </row>
    <row r="111" spans="1:2" x14ac:dyDescent="0.25">
      <c r="A111" s="18">
        <v>149</v>
      </c>
      <c r="B111" s="18">
        <v>3.3400000000000001E-3</v>
      </c>
    </row>
    <row r="112" spans="1:2" x14ac:dyDescent="0.25">
      <c r="A112" s="18">
        <v>150</v>
      </c>
      <c r="B112" s="18">
        <v>1.1299999999999999E-3</v>
      </c>
    </row>
    <row r="113" spans="1:2" x14ac:dyDescent="0.25">
      <c r="A113" s="18">
        <v>151</v>
      </c>
      <c r="B113" s="18">
        <v>3.8099999999999998E-5</v>
      </c>
    </row>
    <row r="114" spans="1:2" x14ac:dyDescent="0.25">
      <c r="A114" s="18">
        <v>152</v>
      </c>
      <c r="B114" s="18">
        <v>4.8400000000000002E-6</v>
      </c>
    </row>
  </sheetData>
  <pageMargins left="0.7" right="0.7" top="0.75" bottom="0.75" header="0.3" footer="0.3"/>
  <pageSetup paperSize="9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dimension ref="A1:B154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50</v>
      </c>
      <c r="B2" s="18">
        <v>2.5899999999999999E-5</v>
      </c>
    </row>
    <row r="3" spans="1:2" x14ac:dyDescent="0.25">
      <c r="A3" s="18">
        <v>51</v>
      </c>
      <c r="B3" s="18">
        <v>6.4300000000000004E-5</v>
      </c>
    </row>
    <row r="4" spans="1:2" x14ac:dyDescent="0.25">
      <c r="A4" s="18">
        <v>52</v>
      </c>
      <c r="B4" s="18">
        <v>4.8300000000000002E-5</v>
      </c>
    </row>
    <row r="5" spans="1:2" x14ac:dyDescent="0.25">
      <c r="A5" s="18">
        <v>53</v>
      </c>
      <c r="B5" s="18">
        <v>4.2799999999999997E-5</v>
      </c>
    </row>
    <row r="6" spans="1:2" x14ac:dyDescent="0.25">
      <c r="A6" s="18">
        <v>54</v>
      </c>
      <c r="B6" s="18">
        <v>3.8800000000000001E-5</v>
      </c>
    </row>
    <row r="7" spans="1:2" x14ac:dyDescent="0.25">
      <c r="A7" s="18">
        <v>55</v>
      </c>
      <c r="B7" s="18">
        <v>4.6799999999999999E-5</v>
      </c>
    </row>
    <row r="8" spans="1:2" x14ac:dyDescent="0.25">
      <c r="A8" s="18">
        <v>56</v>
      </c>
      <c r="B8" s="18">
        <v>6.86E-5</v>
      </c>
    </row>
    <row r="9" spans="1:2" x14ac:dyDescent="0.25">
      <c r="A9" s="18">
        <v>57</v>
      </c>
      <c r="B9" s="18">
        <v>5.0899999999999997E-5</v>
      </c>
    </row>
    <row r="10" spans="1:2" x14ac:dyDescent="0.25">
      <c r="A10" s="18">
        <v>58</v>
      </c>
      <c r="B10" s="18">
        <v>4.7700000000000001E-5</v>
      </c>
    </row>
    <row r="11" spans="1:2" x14ac:dyDescent="0.25">
      <c r="A11" s="18">
        <v>59</v>
      </c>
      <c r="B11" s="18">
        <v>4.0800000000000002E-5</v>
      </c>
    </row>
    <row r="12" spans="1:2" x14ac:dyDescent="0.25">
      <c r="A12" s="18">
        <v>60</v>
      </c>
      <c r="B12" s="18">
        <v>6.1400000000000002E-5</v>
      </c>
    </row>
    <row r="13" spans="1:2" x14ac:dyDescent="0.25">
      <c r="A13" s="18">
        <v>61</v>
      </c>
      <c r="B13" s="18">
        <v>5.3399999999999997E-5</v>
      </c>
    </row>
    <row r="14" spans="1:2" x14ac:dyDescent="0.25">
      <c r="A14" s="18">
        <v>62</v>
      </c>
      <c r="B14" s="18">
        <v>6.3399999999999996E-5</v>
      </c>
    </row>
    <row r="15" spans="1:2" x14ac:dyDescent="0.25">
      <c r="A15" s="18">
        <v>63</v>
      </c>
      <c r="B15" s="18">
        <v>6.0300000000000002E-5</v>
      </c>
    </row>
    <row r="16" spans="1:2" x14ac:dyDescent="0.25">
      <c r="A16" s="18">
        <v>64</v>
      </c>
      <c r="B16" s="18">
        <v>5.7200000000000001E-5</v>
      </c>
    </row>
    <row r="17" spans="1:2" x14ac:dyDescent="0.25">
      <c r="A17" s="18">
        <v>65</v>
      </c>
      <c r="B17" s="18">
        <v>6.1400000000000002E-5</v>
      </c>
    </row>
    <row r="18" spans="1:2" x14ac:dyDescent="0.25">
      <c r="A18" s="18">
        <v>66</v>
      </c>
      <c r="B18" s="18">
        <v>5.7599999999999997E-5</v>
      </c>
    </row>
    <row r="19" spans="1:2" x14ac:dyDescent="0.25">
      <c r="A19" s="18">
        <v>67</v>
      </c>
      <c r="B19" s="18">
        <v>6.8999999999999997E-5</v>
      </c>
    </row>
    <row r="20" spans="1:2" x14ac:dyDescent="0.25">
      <c r="A20" s="18">
        <v>68</v>
      </c>
      <c r="B20" s="18">
        <v>6.4900000000000005E-5</v>
      </c>
    </row>
    <row r="21" spans="1:2" x14ac:dyDescent="0.25">
      <c r="A21" s="18">
        <v>69</v>
      </c>
      <c r="B21" s="18">
        <v>9.3300000000000005E-5</v>
      </c>
    </row>
    <row r="22" spans="1:2" x14ac:dyDescent="0.25">
      <c r="A22" s="18">
        <v>70</v>
      </c>
      <c r="B22" s="18">
        <v>4.3800000000000001E-5</v>
      </c>
    </row>
    <row r="23" spans="1:2" x14ac:dyDescent="0.25">
      <c r="A23" s="18">
        <v>71</v>
      </c>
      <c r="B23" s="18">
        <v>5.52E-5</v>
      </c>
    </row>
    <row r="24" spans="1:2" x14ac:dyDescent="0.25">
      <c r="A24" s="18">
        <v>72</v>
      </c>
      <c r="B24" s="18">
        <v>4.9799999999999998E-5</v>
      </c>
    </row>
    <row r="25" spans="1:2" x14ac:dyDescent="0.25">
      <c r="A25" s="18">
        <v>73</v>
      </c>
      <c r="B25" s="18">
        <v>8.8399999999999994E-5</v>
      </c>
    </row>
    <row r="26" spans="1:2" x14ac:dyDescent="0.25">
      <c r="A26" s="18">
        <v>74</v>
      </c>
      <c r="B26" s="18">
        <v>6.5900000000000003E-5</v>
      </c>
    </row>
    <row r="27" spans="1:2" x14ac:dyDescent="0.25">
      <c r="A27" s="18">
        <v>75</v>
      </c>
      <c r="B27" s="18">
        <v>1.36E-4</v>
      </c>
    </row>
    <row r="28" spans="1:2" x14ac:dyDescent="0.25">
      <c r="A28" s="18">
        <v>76</v>
      </c>
      <c r="B28" s="18">
        <v>6.6600000000000006E-5</v>
      </c>
    </row>
    <row r="29" spans="1:2" x14ac:dyDescent="0.25">
      <c r="A29" s="18">
        <v>77</v>
      </c>
      <c r="B29" s="18">
        <v>5.9700000000000001E-5</v>
      </c>
    </row>
    <row r="30" spans="1:2" x14ac:dyDescent="0.25">
      <c r="A30" s="18">
        <v>78</v>
      </c>
      <c r="B30" s="18">
        <v>8.5599999999999994E-5</v>
      </c>
    </row>
    <row r="31" spans="1:2" x14ac:dyDescent="0.25">
      <c r="A31" s="18">
        <v>79</v>
      </c>
      <c r="B31" s="18">
        <v>7.7200000000000006E-5</v>
      </c>
    </row>
    <row r="32" spans="1:2" x14ac:dyDescent="0.25">
      <c r="A32" s="18">
        <v>80</v>
      </c>
      <c r="B32" s="18">
        <v>8.14E-5</v>
      </c>
    </row>
    <row r="33" spans="1:2" x14ac:dyDescent="0.25">
      <c r="A33" s="18">
        <v>81</v>
      </c>
      <c r="B33" s="18">
        <v>8.8599999999999999E-5</v>
      </c>
    </row>
    <row r="34" spans="1:2" x14ac:dyDescent="0.25">
      <c r="A34" s="18">
        <v>82</v>
      </c>
      <c r="B34" s="18">
        <v>1.02E-4</v>
      </c>
    </row>
    <row r="35" spans="1:2" x14ac:dyDescent="0.25">
      <c r="A35" s="18">
        <v>83</v>
      </c>
      <c r="B35" s="18">
        <v>1.26E-4</v>
      </c>
    </row>
    <row r="36" spans="1:2" x14ac:dyDescent="0.25">
      <c r="A36" s="18">
        <v>84</v>
      </c>
      <c r="B36" s="18">
        <v>1.5699999999999999E-4</v>
      </c>
    </row>
    <row r="37" spans="1:2" x14ac:dyDescent="0.25">
      <c r="A37" s="18">
        <v>85</v>
      </c>
      <c r="B37" s="18">
        <v>2.02E-4</v>
      </c>
    </row>
    <row r="38" spans="1:2" x14ac:dyDescent="0.25">
      <c r="A38" s="18">
        <v>86</v>
      </c>
      <c r="B38" s="18">
        <v>2.14E-4</v>
      </c>
    </row>
    <row r="39" spans="1:2" x14ac:dyDescent="0.25">
      <c r="A39" s="18">
        <v>87</v>
      </c>
      <c r="B39" s="18">
        <v>2.6800000000000001E-4</v>
      </c>
    </row>
    <row r="40" spans="1:2" x14ac:dyDescent="0.25">
      <c r="A40" s="18">
        <v>88</v>
      </c>
      <c r="B40" s="18">
        <v>1.6699999999999999E-4</v>
      </c>
    </row>
    <row r="41" spans="1:2" x14ac:dyDescent="0.25">
      <c r="A41" s="18">
        <v>89</v>
      </c>
      <c r="B41" s="18">
        <v>2.5000000000000001E-5</v>
      </c>
    </row>
    <row r="42" spans="1:2" x14ac:dyDescent="0.25">
      <c r="A42" s="18">
        <v>90</v>
      </c>
      <c r="B42" s="18">
        <v>2.37E-5</v>
      </c>
    </row>
    <row r="43" spans="1:2" x14ac:dyDescent="0.25">
      <c r="A43" s="18">
        <v>91</v>
      </c>
      <c r="B43" s="18">
        <v>2.0800000000000001E-5</v>
      </c>
    </row>
    <row r="44" spans="1:2" x14ac:dyDescent="0.25">
      <c r="A44" s="18">
        <v>92</v>
      </c>
      <c r="B44" s="18">
        <v>2.3099999999999999E-5</v>
      </c>
    </row>
    <row r="45" spans="1:2" x14ac:dyDescent="0.25">
      <c r="A45" s="18">
        <v>93</v>
      </c>
      <c r="B45" s="18">
        <v>9.8300000000000008E-6</v>
      </c>
    </row>
    <row r="46" spans="1:2" x14ac:dyDescent="0.25">
      <c r="A46" s="18">
        <v>94</v>
      </c>
      <c r="B46" s="18">
        <v>3.4999999999999999E-6</v>
      </c>
    </row>
    <row r="47" spans="1:2" x14ac:dyDescent="0.25">
      <c r="A47" s="18">
        <v>95</v>
      </c>
      <c r="B47" s="18">
        <v>2.4000000000000001E-5</v>
      </c>
    </row>
    <row r="48" spans="1:2" x14ac:dyDescent="0.25">
      <c r="A48" s="18">
        <v>96</v>
      </c>
      <c r="B48" s="18">
        <v>1.2E-5</v>
      </c>
    </row>
    <row r="49" spans="1:2" x14ac:dyDescent="0.25">
      <c r="A49" s="18">
        <v>97</v>
      </c>
      <c r="B49" s="18">
        <v>3.3299999999999999E-6</v>
      </c>
    </row>
    <row r="50" spans="1:2" x14ac:dyDescent="0.25">
      <c r="A50" s="18">
        <v>98</v>
      </c>
      <c r="B50" s="18">
        <v>2.83E-6</v>
      </c>
    </row>
    <row r="51" spans="1:2" x14ac:dyDescent="0.25">
      <c r="A51" s="18">
        <v>99</v>
      </c>
      <c r="B51" s="18">
        <v>4.1200000000000004E-6</v>
      </c>
    </row>
    <row r="52" spans="1:2" x14ac:dyDescent="0.25">
      <c r="A52" s="18">
        <v>100</v>
      </c>
      <c r="B52" s="18">
        <v>1.84E-5</v>
      </c>
    </row>
    <row r="53" spans="1:2" x14ac:dyDescent="0.25">
      <c r="A53" s="18">
        <v>101</v>
      </c>
      <c r="B53" s="18">
        <v>1.38E-5</v>
      </c>
    </row>
    <row r="54" spans="1:2" x14ac:dyDescent="0.25">
      <c r="A54" s="18">
        <v>102</v>
      </c>
      <c r="B54" s="18">
        <v>3.3399999999999999E-5</v>
      </c>
    </row>
    <row r="55" spans="1:2" x14ac:dyDescent="0.25">
      <c r="A55" s="18">
        <v>103</v>
      </c>
      <c r="B55" s="18">
        <v>4.3699999999999998E-5</v>
      </c>
    </row>
    <row r="56" spans="1:2" x14ac:dyDescent="0.25">
      <c r="A56" s="18">
        <v>104</v>
      </c>
      <c r="B56" s="18">
        <v>5.1400000000000003E-5</v>
      </c>
    </row>
    <row r="57" spans="1:2" x14ac:dyDescent="0.25">
      <c r="A57" s="18">
        <v>105</v>
      </c>
      <c r="B57" s="18">
        <v>5.5899999999999997E-5</v>
      </c>
    </row>
    <row r="58" spans="1:2" x14ac:dyDescent="0.25">
      <c r="A58" s="18">
        <v>106</v>
      </c>
      <c r="B58" s="18">
        <v>8.2899999999999996E-5</v>
      </c>
    </row>
    <row r="59" spans="1:2" x14ac:dyDescent="0.25">
      <c r="A59" s="18">
        <v>107</v>
      </c>
      <c r="B59" s="18">
        <v>9.3900000000000006E-5</v>
      </c>
    </row>
    <row r="60" spans="1:2" x14ac:dyDescent="0.25">
      <c r="A60" s="18">
        <v>108</v>
      </c>
      <c r="B60" s="18">
        <v>1.4999999999999999E-4</v>
      </c>
    </row>
    <row r="61" spans="1:2" x14ac:dyDescent="0.25">
      <c r="A61" s="18">
        <v>109</v>
      </c>
      <c r="B61" s="18">
        <v>1.85E-4</v>
      </c>
    </row>
    <row r="62" spans="1:2" x14ac:dyDescent="0.25">
      <c r="A62" s="18">
        <v>110</v>
      </c>
      <c r="B62" s="18">
        <v>2.3000000000000001E-4</v>
      </c>
    </row>
    <row r="63" spans="1:2" x14ac:dyDescent="0.25">
      <c r="A63" s="18">
        <v>111</v>
      </c>
      <c r="B63" s="18">
        <v>2.9799999999999998E-4</v>
      </c>
    </row>
    <row r="64" spans="1:2" x14ac:dyDescent="0.25">
      <c r="A64" s="18">
        <v>112</v>
      </c>
      <c r="B64" s="18">
        <v>3.6000000000000002E-4</v>
      </c>
    </row>
    <row r="65" spans="1:2" x14ac:dyDescent="0.25">
      <c r="A65" s="18">
        <v>113</v>
      </c>
      <c r="B65" s="18">
        <v>3.88E-4</v>
      </c>
    </row>
    <row r="66" spans="1:2" x14ac:dyDescent="0.25">
      <c r="A66" s="18">
        <v>114</v>
      </c>
      <c r="B66" s="18">
        <v>4.73E-4</v>
      </c>
    </row>
    <row r="67" spans="1:2" x14ac:dyDescent="0.25">
      <c r="A67" s="18">
        <v>115</v>
      </c>
      <c r="B67" s="18">
        <v>5.7899999999999998E-4</v>
      </c>
    </row>
    <row r="68" spans="1:2" x14ac:dyDescent="0.25">
      <c r="A68" s="18">
        <v>116</v>
      </c>
      <c r="B68" s="18">
        <v>6.4099999999999997E-4</v>
      </c>
    </row>
    <row r="69" spans="1:2" x14ac:dyDescent="0.25">
      <c r="A69" s="18">
        <v>117</v>
      </c>
      <c r="B69" s="18">
        <v>7.3999999999999999E-4</v>
      </c>
    </row>
    <row r="70" spans="1:2" x14ac:dyDescent="0.25">
      <c r="A70" s="18">
        <v>118</v>
      </c>
      <c r="B70" s="18">
        <v>8.7200000000000005E-4</v>
      </c>
    </row>
    <row r="71" spans="1:2" x14ac:dyDescent="0.25">
      <c r="A71" s="18">
        <v>119</v>
      </c>
      <c r="B71" s="18">
        <v>9.5E-4</v>
      </c>
    </row>
    <row r="72" spans="1:2" x14ac:dyDescent="0.25">
      <c r="A72" s="18">
        <v>120</v>
      </c>
      <c r="B72" s="18">
        <v>1.1000000000000001E-3</v>
      </c>
    </row>
    <row r="73" spans="1:2" x14ac:dyDescent="0.25">
      <c r="A73" s="18">
        <v>121</v>
      </c>
      <c r="B73" s="18">
        <v>1.1999999999999999E-3</v>
      </c>
    </row>
    <row r="74" spans="1:2" x14ac:dyDescent="0.25">
      <c r="A74" s="18">
        <v>122</v>
      </c>
      <c r="B74" s="18">
        <v>1.3600000000000001E-3</v>
      </c>
    </row>
    <row r="75" spans="1:2" x14ac:dyDescent="0.25">
      <c r="A75" s="18">
        <v>123</v>
      </c>
      <c r="B75" s="18">
        <v>1.5499999999999999E-3</v>
      </c>
    </row>
    <row r="76" spans="1:2" x14ac:dyDescent="0.25">
      <c r="A76" s="18">
        <v>124</v>
      </c>
      <c r="B76" s="18">
        <v>1.6999999999999999E-3</v>
      </c>
    </row>
    <row r="77" spans="1:2" x14ac:dyDescent="0.25">
      <c r="A77" s="18">
        <v>125</v>
      </c>
      <c r="B77" s="18">
        <v>1.89E-3</v>
      </c>
    </row>
    <row r="78" spans="1:2" x14ac:dyDescent="0.25">
      <c r="A78" s="18">
        <v>126</v>
      </c>
      <c r="B78" s="18">
        <v>2.0899999999999998E-3</v>
      </c>
    </row>
    <row r="79" spans="1:2" x14ac:dyDescent="0.25">
      <c r="A79" s="18">
        <v>127</v>
      </c>
      <c r="B79" s="18">
        <v>2.31E-3</v>
      </c>
    </row>
    <row r="80" spans="1:2" x14ac:dyDescent="0.25">
      <c r="A80" s="18">
        <v>128</v>
      </c>
      <c r="B80" s="18">
        <v>2.5500000000000002E-3</v>
      </c>
    </row>
    <row r="81" spans="1:2" x14ac:dyDescent="0.25">
      <c r="A81" s="18">
        <v>129</v>
      </c>
      <c r="B81" s="18">
        <v>2.7899999999999999E-3</v>
      </c>
    </row>
    <row r="82" spans="1:2" x14ac:dyDescent="0.25">
      <c r="A82" s="18">
        <v>130</v>
      </c>
      <c r="B82" s="18">
        <v>3.0500000000000002E-3</v>
      </c>
    </row>
    <row r="83" spans="1:2" x14ac:dyDescent="0.25">
      <c r="A83" s="18">
        <v>131</v>
      </c>
      <c r="B83" s="18">
        <v>3.4099999999999998E-3</v>
      </c>
    </row>
    <row r="84" spans="1:2" x14ac:dyDescent="0.25">
      <c r="A84" s="18">
        <v>132</v>
      </c>
      <c r="B84" s="18">
        <v>3.62E-3</v>
      </c>
    </row>
    <row r="85" spans="1:2" x14ac:dyDescent="0.25">
      <c r="A85" s="18">
        <v>133</v>
      </c>
      <c r="B85" s="18">
        <v>4.0699999999999998E-3</v>
      </c>
    </row>
    <row r="86" spans="1:2" x14ac:dyDescent="0.25">
      <c r="A86" s="18">
        <v>134</v>
      </c>
      <c r="B86" s="18">
        <v>4.3200000000000001E-3</v>
      </c>
    </row>
    <row r="87" spans="1:2" x14ac:dyDescent="0.25">
      <c r="A87" s="18">
        <v>135</v>
      </c>
      <c r="B87" s="18">
        <v>4.7499999999999999E-3</v>
      </c>
    </row>
    <row r="88" spans="1:2" x14ac:dyDescent="0.25">
      <c r="A88" s="18">
        <v>136</v>
      </c>
      <c r="B88" s="18">
        <v>5.11E-3</v>
      </c>
    </row>
    <row r="89" spans="1:2" x14ac:dyDescent="0.25">
      <c r="A89" s="18">
        <v>137</v>
      </c>
      <c r="B89" s="18">
        <v>5.4999999999999997E-3</v>
      </c>
    </row>
    <row r="90" spans="1:2" x14ac:dyDescent="0.25">
      <c r="A90" s="18">
        <v>138</v>
      </c>
      <c r="B90" s="18">
        <v>5.9199999999999999E-3</v>
      </c>
    </row>
    <row r="91" spans="1:2" x14ac:dyDescent="0.25">
      <c r="A91" s="18">
        <v>139</v>
      </c>
      <c r="B91" s="18">
        <v>6.3499999999999997E-3</v>
      </c>
    </row>
    <row r="92" spans="1:2" x14ac:dyDescent="0.25">
      <c r="A92" s="18">
        <v>140</v>
      </c>
      <c r="B92" s="18">
        <v>6.8199999999999997E-3</v>
      </c>
    </row>
    <row r="93" spans="1:2" x14ac:dyDescent="0.25">
      <c r="A93" s="18">
        <v>141</v>
      </c>
      <c r="B93" s="18">
        <v>7.3499999999999998E-3</v>
      </c>
    </row>
    <row r="94" spans="1:2" x14ac:dyDescent="0.25">
      <c r="A94" s="18">
        <v>142</v>
      </c>
      <c r="B94" s="18">
        <v>7.7299999999999999E-3</v>
      </c>
    </row>
    <row r="95" spans="1:2" x14ac:dyDescent="0.25">
      <c r="A95" s="18">
        <v>143</v>
      </c>
      <c r="B95" s="18">
        <v>8.2100000000000003E-3</v>
      </c>
    </row>
    <row r="96" spans="1:2" x14ac:dyDescent="0.25">
      <c r="A96" s="18">
        <v>144</v>
      </c>
      <c r="B96" s="18">
        <v>8.6400000000000001E-3</v>
      </c>
    </row>
    <row r="97" spans="1:2" x14ac:dyDescent="0.25">
      <c r="A97" s="18">
        <v>145</v>
      </c>
      <c r="B97" s="18">
        <v>9.1900000000000003E-3</v>
      </c>
    </row>
    <row r="98" spans="1:2" x14ac:dyDescent="0.25">
      <c r="A98" s="18">
        <v>146</v>
      </c>
      <c r="B98" s="18">
        <v>9.7000000000000003E-3</v>
      </c>
    </row>
    <row r="99" spans="1:2" x14ac:dyDescent="0.25">
      <c r="A99" s="18">
        <v>147</v>
      </c>
      <c r="B99" s="18">
        <v>1.0200000000000001E-2</v>
      </c>
    </row>
    <row r="100" spans="1:2" x14ac:dyDescent="0.25">
      <c r="A100" s="18">
        <v>148</v>
      </c>
      <c r="B100" s="18">
        <v>1.0800000000000001E-2</v>
      </c>
    </row>
    <row r="101" spans="1:2" x14ac:dyDescent="0.25">
      <c r="A101" s="18">
        <v>149</v>
      </c>
      <c r="B101" s="18">
        <v>1.1299999999999999E-2</v>
      </c>
    </row>
    <row r="102" spans="1:2" x14ac:dyDescent="0.25">
      <c r="A102" s="18">
        <v>150</v>
      </c>
      <c r="B102" s="18">
        <v>1.1900000000000001E-2</v>
      </c>
    </row>
    <row r="103" spans="1:2" x14ac:dyDescent="0.25">
      <c r="A103" s="18">
        <v>151</v>
      </c>
      <c r="B103" s="18">
        <v>1.24E-2</v>
      </c>
    </row>
    <row r="104" spans="1:2" x14ac:dyDescent="0.25">
      <c r="A104" s="18">
        <v>152</v>
      </c>
      <c r="B104" s="18">
        <v>1.2999999999999999E-2</v>
      </c>
    </row>
    <row r="105" spans="1:2" x14ac:dyDescent="0.25">
      <c r="A105" s="18">
        <v>153</v>
      </c>
      <c r="B105" s="18">
        <v>1.3599999999999999E-2</v>
      </c>
    </row>
    <row r="106" spans="1:2" x14ac:dyDescent="0.25">
      <c r="A106" s="18">
        <v>154</v>
      </c>
      <c r="B106" s="18">
        <v>1.41E-2</v>
      </c>
    </row>
    <row r="107" spans="1:2" x14ac:dyDescent="0.25">
      <c r="A107" s="18">
        <v>155</v>
      </c>
      <c r="B107" s="18">
        <v>1.47E-2</v>
      </c>
    </row>
    <row r="108" spans="1:2" x14ac:dyDescent="0.25">
      <c r="A108" s="18">
        <v>156</v>
      </c>
      <c r="B108" s="18">
        <v>1.52E-2</v>
      </c>
    </row>
    <row r="109" spans="1:2" x14ac:dyDescent="0.25">
      <c r="A109" s="18">
        <v>157</v>
      </c>
      <c r="B109" s="18">
        <v>1.5699999999999999E-2</v>
      </c>
    </row>
    <row r="110" spans="1:2" x14ac:dyDescent="0.25">
      <c r="A110" s="18">
        <v>158</v>
      </c>
      <c r="B110" s="18">
        <v>1.6299999999999999E-2</v>
      </c>
    </row>
    <row r="111" spans="1:2" x14ac:dyDescent="0.25">
      <c r="A111" s="18">
        <v>159</v>
      </c>
      <c r="B111" s="18">
        <v>1.67E-2</v>
      </c>
    </row>
    <row r="112" spans="1:2" x14ac:dyDescent="0.25">
      <c r="A112" s="18">
        <v>160</v>
      </c>
      <c r="B112" s="18">
        <v>1.72E-2</v>
      </c>
    </row>
    <row r="113" spans="1:2" x14ac:dyDescent="0.25">
      <c r="A113" s="18">
        <v>161</v>
      </c>
      <c r="B113" s="18">
        <v>1.7899999999999999E-2</v>
      </c>
    </row>
    <row r="114" spans="1:2" x14ac:dyDescent="0.25">
      <c r="A114" s="18">
        <v>162</v>
      </c>
      <c r="B114" s="18">
        <v>1.83E-2</v>
      </c>
    </row>
    <row r="115" spans="1:2" x14ac:dyDescent="0.25">
      <c r="A115" s="18">
        <v>163</v>
      </c>
      <c r="B115" s="18">
        <v>1.8700000000000001E-2</v>
      </c>
    </row>
    <row r="116" spans="1:2" x14ac:dyDescent="0.25">
      <c r="A116" s="18">
        <v>164</v>
      </c>
      <c r="B116" s="18">
        <v>1.9099999999999999E-2</v>
      </c>
    </row>
    <row r="117" spans="1:2" x14ac:dyDescent="0.25">
      <c r="A117" s="18">
        <v>165</v>
      </c>
      <c r="B117" s="18">
        <v>1.9599999999999999E-2</v>
      </c>
    </row>
    <row r="118" spans="1:2" x14ac:dyDescent="0.25">
      <c r="A118" s="18">
        <v>166</v>
      </c>
      <c r="B118" s="18">
        <v>1.9900000000000001E-2</v>
      </c>
    </row>
    <row r="119" spans="1:2" x14ac:dyDescent="0.25">
      <c r="A119" s="18">
        <v>167</v>
      </c>
      <c r="B119" s="18">
        <v>2.01E-2</v>
      </c>
    </row>
    <row r="120" spans="1:2" x14ac:dyDescent="0.25">
      <c r="A120" s="18">
        <v>168</v>
      </c>
      <c r="B120" s="18">
        <v>2.06E-2</v>
      </c>
    </row>
    <row r="121" spans="1:2" x14ac:dyDescent="0.25">
      <c r="A121" s="18">
        <v>169</v>
      </c>
      <c r="B121" s="18">
        <v>2.0799999999999999E-2</v>
      </c>
    </row>
    <row r="122" spans="1:2" x14ac:dyDescent="0.25">
      <c r="A122" s="18">
        <v>170</v>
      </c>
      <c r="B122" s="18">
        <v>2.1000000000000001E-2</v>
      </c>
    </row>
    <row r="123" spans="1:2" x14ac:dyDescent="0.25">
      <c r="A123" s="18">
        <v>171</v>
      </c>
      <c r="B123" s="18">
        <v>2.1100000000000001E-2</v>
      </c>
    </row>
    <row r="124" spans="1:2" x14ac:dyDescent="0.25">
      <c r="A124" s="18">
        <v>172</v>
      </c>
      <c r="B124" s="18">
        <v>2.1299999999999999E-2</v>
      </c>
    </row>
    <row r="125" spans="1:2" x14ac:dyDescent="0.25">
      <c r="A125" s="18">
        <v>173</v>
      </c>
      <c r="B125" s="18">
        <v>2.1499999999999998E-2</v>
      </c>
    </row>
    <row r="126" spans="1:2" x14ac:dyDescent="0.25">
      <c r="A126" s="18">
        <v>174</v>
      </c>
      <c r="B126" s="18">
        <v>2.1499999999999998E-2</v>
      </c>
    </row>
    <row r="127" spans="1:2" x14ac:dyDescent="0.25">
      <c r="A127" s="18">
        <v>175</v>
      </c>
      <c r="B127" s="18">
        <v>2.1600000000000001E-2</v>
      </c>
    </row>
    <row r="128" spans="1:2" x14ac:dyDescent="0.25">
      <c r="A128" s="18">
        <v>176</v>
      </c>
      <c r="B128" s="18">
        <v>2.18E-2</v>
      </c>
    </row>
    <row r="129" spans="1:2" x14ac:dyDescent="0.25">
      <c r="A129" s="18">
        <v>177</v>
      </c>
      <c r="B129" s="18">
        <v>2.1600000000000001E-2</v>
      </c>
    </row>
    <row r="130" spans="1:2" x14ac:dyDescent="0.25">
      <c r="A130" s="18">
        <v>178</v>
      </c>
      <c r="B130" s="18">
        <v>2.1499999999999998E-2</v>
      </c>
    </row>
    <row r="131" spans="1:2" x14ac:dyDescent="0.25">
      <c r="A131" s="18">
        <v>179</v>
      </c>
      <c r="B131" s="18">
        <v>2.1299999999999999E-2</v>
      </c>
    </row>
    <row r="132" spans="1:2" x14ac:dyDescent="0.25">
      <c r="A132" s="18">
        <v>180</v>
      </c>
      <c r="B132" s="18">
        <v>2.1299999999999999E-2</v>
      </c>
    </row>
    <row r="133" spans="1:2" x14ac:dyDescent="0.25">
      <c r="A133" s="18">
        <v>181</v>
      </c>
      <c r="B133" s="18">
        <v>2.1000000000000001E-2</v>
      </c>
    </row>
    <row r="134" spans="1:2" x14ac:dyDescent="0.25">
      <c r="A134" s="18">
        <v>182</v>
      </c>
      <c r="B134" s="18">
        <v>2.0400000000000001E-2</v>
      </c>
    </row>
    <row r="135" spans="1:2" x14ac:dyDescent="0.25">
      <c r="A135" s="18">
        <v>183</v>
      </c>
      <c r="B135" s="18">
        <v>2.0199999999999999E-2</v>
      </c>
    </row>
    <row r="136" spans="1:2" x14ac:dyDescent="0.25">
      <c r="A136" s="18">
        <v>184</v>
      </c>
      <c r="B136" s="18">
        <v>1.95E-2</v>
      </c>
    </row>
    <row r="137" spans="1:2" x14ac:dyDescent="0.25">
      <c r="A137" s="18">
        <v>185</v>
      </c>
      <c r="B137" s="18">
        <v>1.9199999999999998E-2</v>
      </c>
    </row>
    <row r="138" spans="1:2" x14ac:dyDescent="0.25">
      <c r="A138" s="18">
        <v>186</v>
      </c>
      <c r="B138" s="18">
        <v>1.8499999999999999E-2</v>
      </c>
    </row>
    <row r="139" spans="1:2" x14ac:dyDescent="0.25">
      <c r="A139" s="18">
        <v>187</v>
      </c>
      <c r="B139" s="18">
        <v>1.7600000000000001E-2</v>
      </c>
    </row>
    <row r="140" spans="1:2" x14ac:dyDescent="0.25">
      <c r="A140" s="18">
        <v>188</v>
      </c>
      <c r="B140" s="18">
        <v>1.7000000000000001E-2</v>
      </c>
    </row>
    <row r="141" spans="1:2" x14ac:dyDescent="0.25">
      <c r="A141" s="18">
        <v>189</v>
      </c>
      <c r="B141" s="18">
        <v>1.6199999999999999E-2</v>
      </c>
    </row>
    <row r="142" spans="1:2" x14ac:dyDescent="0.25">
      <c r="A142" s="18">
        <v>190</v>
      </c>
      <c r="B142" s="18">
        <v>1.5299999999999999E-2</v>
      </c>
    </row>
    <row r="143" spans="1:2" x14ac:dyDescent="0.25">
      <c r="A143" s="18">
        <v>191</v>
      </c>
      <c r="B143" s="18">
        <v>1.41E-2</v>
      </c>
    </row>
    <row r="144" spans="1:2" x14ac:dyDescent="0.25">
      <c r="A144" s="18">
        <v>192</v>
      </c>
      <c r="B144" s="18">
        <v>1.29E-2</v>
      </c>
    </row>
    <row r="145" spans="1:2" x14ac:dyDescent="0.25">
      <c r="A145" s="18">
        <v>193</v>
      </c>
      <c r="B145" s="18">
        <v>1.1900000000000001E-2</v>
      </c>
    </row>
    <row r="146" spans="1:2" x14ac:dyDescent="0.25">
      <c r="A146" s="18">
        <v>194</v>
      </c>
      <c r="B146" s="18">
        <v>1.0500000000000001E-2</v>
      </c>
    </row>
    <row r="147" spans="1:2" x14ac:dyDescent="0.25">
      <c r="A147" s="18">
        <v>195</v>
      </c>
      <c r="B147" s="18">
        <v>9.0699999999999999E-3</v>
      </c>
    </row>
    <row r="148" spans="1:2" x14ac:dyDescent="0.25">
      <c r="A148" s="18">
        <v>196</v>
      </c>
      <c r="B148" s="18">
        <v>7.5100000000000002E-3</v>
      </c>
    </row>
    <row r="149" spans="1:2" x14ac:dyDescent="0.25">
      <c r="A149" s="18">
        <v>197</v>
      </c>
      <c r="B149" s="18">
        <v>5.8900000000000003E-3</v>
      </c>
    </row>
    <row r="150" spans="1:2" x14ac:dyDescent="0.25">
      <c r="A150" s="18">
        <v>198</v>
      </c>
      <c r="B150" s="18">
        <v>4.3200000000000001E-3</v>
      </c>
    </row>
    <row r="151" spans="1:2" x14ac:dyDescent="0.25">
      <c r="A151" s="18">
        <v>199</v>
      </c>
      <c r="B151" s="18">
        <v>2.5899999999999999E-3</v>
      </c>
    </row>
    <row r="152" spans="1:2" x14ac:dyDescent="0.25">
      <c r="A152" s="18">
        <v>200</v>
      </c>
      <c r="B152" s="18">
        <v>7.67E-4</v>
      </c>
    </row>
    <row r="153" spans="1:2" x14ac:dyDescent="0.25">
      <c r="A153" s="18">
        <v>201</v>
      </c>
      <c r="B153" s="18">
        <v>1.36E-5</v>
      </c>
    </row>
    <row r="154" spans="1:2" x14ac:dyDescent="0.25">
      <c r="A154" s="18">
        <v>202</v>
      </c>
      <c r="B154" s="18">
        <v>4.9599999999999999E-6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dimension ref="A1:B204"/>
  <sheetViews>
    <sheetView workbookViewId="0">
      <selection activeCell="H12" sqref="H12"/>
    </sheetView>
  </sheetViews>
  <sheetFormatPr defaultRowHeight="15" x14ac:dyDescent="0.25"/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50</v>
      </c>
      <c r="B2" s="18">
        <v>3.79E-5</v>
      </c>
    </row>
    <row r="3" spans="1:2" x14ac:dyDescent="0.25">
      <c r="A3" s="18">
        <v>51</v>
      </c>
      <c r="B3" s="18">
        <v>2.62E-5</v>
      </c>
    </row>
    <row r="4" spans="1:2" x14ac:dyDescent="0.25">
      <c r="A4" s="18">
        <v>52</v>
      </c>
      <c r="B4" s="18">
        <v>1.4E-5</v>
      </c>
    </row>
    <row r="5" spans="1:2" x14ac:dyDescent="0.25">
      <c r="A5" s="18">
        <v>53</v>
      </c>
      <c r="B5" s="18">
        <v>1.45E-5</v>
      </c>
    </row>
    <row r="6" spans="1:2" x14ac:dyDescent="0.25">
      <c r="A6" s="18">
        <v>54</v>
      </c>
      <c r="B6" s="18">
        <v>3.2400000000000001E-5</v>
      </c>
    </row>
    <row r="7" spans="1:2" x14ac:dyDescent="0.25">
      <c r="A7" s="18">
        <v>55</v>
      </c>
      <c r="B7" s="18">
        <v>2.41E-5</v>
      </c>
    </row>
    <row r="8" spans="1:2" x14ac:dyDescent="0.25">
      <c r="A8" s="18">
        <v>56</v>
      </c>
      <c r="B8" s="18">
        <v>3.7700000000000002E-5</v>
      </c>
    </row>
    <row r="9" spans="1:2" x14ac:dyDescent="0.25">
      <c r="A9" s="18">
        <v>57</v>
      </c>
      <c r="B9" s="18">
        <v>2.0699999999999998E-5</v>
      </c>
    </row>
    <row r="10" spans="1:2" x14ac:dyDescent="0.25">
      <c r="A10" s="18">
        <v>58</v>
      </c>
      <c r="B10" s="18">
        <v>1.9400000000000001E-5</v>
      </c>
    </row>
    <row r="11" spans="1:2" x14ac:dyDescent="0.25">
      <c r="A11" s="18">
        <v>59</v>
      </c>
      <c r="B11" s="18">
        <v>2.0599999999999999E-5</v>
      </c>
    </row>
    <row r="12" spans="1:2" x14ac:dyDescent="0.25">
      <c r="A12" s="18">
        <v>60</v>
      </c>
      <c r="B12" s="18">
        <v>3.1000000000000001E-5</v>
      </c>
    </row>
    <row r="13" spans="1:2" x14ac:dyDescent="0.25">
      <c r="A13" s="18">
        <v>61</v>
      </c>
      <c r="B13" s="18">
        <v>1.9599999999999999E-5</v>
      </c>
    </row>
    <row r="14" spans="1:2" x14ac:dyDescent="0.25">
      <c r="A14" s="18">
        <v>62</v>
      </c>
      <c r="B14" s="18">
        <v>2.0299999999999999E-5</v>
      </c>
    </row>
    <row r="15" spans="1:2" x14ac:dyDescent="0.25">
      <c r="A15" s="18">
        <v>63</v>
      </c>
      <c r="B15" s="18">
        <v>7.1899999999999998E-6</v>
      </c>
    </row>
    <row r="16" spans="1:2" x14ac:dyDescent="0.25">
      <c r="A16" s="18">
        <v>64</v>
      </c>
      <c r="B16" s="18">
        <v>2.0599999999999999E-5</v>
      </c>
    </row>
    <row r="17" spans="1:2" x14ac:dyDescent="0.25">
      <c r="A17" s="18">
        <v>65</v>
      </c>
      <c r="B17" s="18">
        <v>3.8500000000000001E-5</v>
      </c>
    </row>
    <row r="18" spans="1:2" x14ac:dyDescent="0.25">
      <c r="A18" s="18">
        <v>66</v>
      </c>
      <c r="B18" s="18">
        <v>1.9700000000000001E-5</v>
      </c>
    </row>
    <row r="19" spans="1:2" x14ac:dyDescent="0.25">
      <c r="A19" s="18">
        <v>67</v>
      </c>
      <c r="B19" s="18">
        <v>3.3699999999999999E-5</v>
      </c>
    </row>
    <row r="20" spans="1:2" x14ac:dyDescent="0.25">
      <c r="A20" s="18">
        <v>68</v>
      </c>
      <c r="B20" s="18">
        <v>4.1199999999999999E-5</v>
      </c>
    </row>
    <row r="21" spans="1:2" x14ac:dyDescent="0.25">
      <c r="A21" s="18">
        <v>69</v>
      </c>
      <c r="B21" s="18">
        <v>4.9599999999999999E-5</v>
      </c>
    </row>
    <row r="22" spans="1:2" x14ac:dyDescent="0.25">
      <c r="A22" s="18">
        <v>70</v>
      </c>
      <c r="B22" s="18">
        <v>2.7699999999999999E-5</v>
      </c>
    </row>
    <row r="23" spans="1:2" x14ac:dyDescent="0.25">
      <c r="A23" s="18">
        <v>71</v>
      </c>
      <c r="B23" s="18">
        <v>2.23E-5</v>
      </c>
    </row>
    <row r="24" spans="1:2" x14ac:dyDescent="0.25">
      <c r="A24" s="18">
        <v>72</v>
      </c>
      <c r="B24" s="18">
        <v>5.0500000000000001E-5</v>
      </c>
    </row>
    <row r="25" spans="1:2" x14ac:dyDescent="0.25">
      <c r="A25" s="18">
        <v>73</v>
      </c>
      <c r="B25" s="18">
        <v>6.4499999999999996E-5</v>
      </c>
    </row>
    <row r="26" spans="1:2" x14ac:dyDescent="0.25">
      <c r="A26" s="18">
        <v>74</v>
      </c>
      <c r="B26" s="18">
        <v>4.32E-5</v>
      </c>
    </row>
    <row r="27" spans="1:2" x14ac:dyDescent="0.25">
      <c r="A27" s="18">
        <v>75</v>
      </c>
      <c r="B27" s="18">
        <v>1.1900000000000001E-4</v>
      </c>
    </row>
    <row r="28" spans="1:2" x14ac:dyDescent="0.25">
      <c r="A28" s="18">
        <v>76</v>
      </c>
      <c r="B28" s="18">
        <v>4.6100000000000002E-5</v>
      </c>
    </row>
    <row r="29" spans="1:2" x14ac:dyDescent="0.25">
      <c r="A29" s="18">
        <v>77</v>
      </c>
      <c r="B29" s="18">
        <v>2.9200000000000002E-5</v>
      </c>
    </row>
    <row r="30" spans="1:2" x14ac:dyDescent="0.25">
      <c r="A30" s="18">
        <v>78</v>
      </c>
      <c r="B30" s="18">
        <v>5.0399999999999999E-5</v>
      </c>
    </row>
    <row r="31" spans="1:2" x14ac:dyDescent="0.25">
      <c r="A31" s="18">
        <v>79</v>
      </c>
      <c r="B31" s="18">
        <v>3.8099999999999998E-5</v>
      </c>
    </row>
    <row r="32" spans="1:2" x14ac:dyDescent="0.25">
      <c r="A32" s="18">
        <v>80</v>
      </c>
      <c r="B32" s="18">
        <v>4.0599999999999998E-5</v>
      </c>
    </row>
    <row r="33" spans="1:2" x14ac:dyDescent="0.25">
      <c r="A33" s="18">
        <v>81</v>
      </c>
      <c r="B33" s="18">
        <v>4.2899999999999999E-5</v>
      </c>
    </row>
    <row r="34" spans="1:2" x14ac:dyDescent="0.25">
      <c r="A34" s="18">
        <v>82</v>
      </c>
      <c r="B34" s="18">
        <v>6.4999999999999994E-5</v>
      </c>
    </row>
    <row r="35" spans="1:2" x14ac:dyDescent="0.25">
      <c r="A35" s="18">
        <v>83</v>
      </c>
      <c r="B35" s="18">
        <v>7.6899999999999999E-5</v>
      </c>
    </row>
    <row r="36" spans="1:2" x14ac:dyDescent="0.25">
      <c r="A36" s="18">
        <v>84</v>
      </c>
      <c r="B36" s="18">
        <v>7.5500000000000006E-5</v>
      </c>
    </row>
    <row r="37" spans="1:2" x14ac:dyDescent="0.25">
      <c r="A37" s="18">
        <v>85</v>
      </c>
      <c r="B37" s="18">
        <v>1.08E-4</v>
      </c>
    </row>
    <row r="38" spans="1:2" x14ac:dyDescent="0.25">
      <c r="A38" s="18">
        <v>86</v>
      </c>
      <c r="B38" s="18">
        <v>1.1400000000000001E-4</v>
      </c>
    </row>
    <row r="39" spans="1:2" x14ac:dyDescent="0.25">
      <c r="A39" s="18">
        <v>87</v>
      </c>
      <c r="B39" s="18">
        <v>1.0900000000000001E-4</v>
      </c>
    </row>
    <row r="40" spans="1:2" x14ac:dyDescent="0.25">
      <c r="A40" s="18">
        <v>88</v>
      </c>
      <c r="B40" s="18">
        <v>7.6100000000000007E-5</v>
      </c>
    </row>
    <row r="41" spans="1:2" x14ac:dyDescent="0.25">
      <c r="A41" s="18">
        <v>89</v>
      </c>
      <c r="B41" s="18">
        <v>4.5099999999999998E-5</v>
      </c>
    </row>
    <row r="42" spans="1:2" x14ac:dyDescent="0.25">
      <c r="A42" s="18">
        <v>90</v>
      </c>
      <c r="B42" s="18">
        <v>3.3599999999999997E-5</v>
      </c>
    </row>
    <row r="43" spans="1:2" x14ac:dyDescent="0.25">
      <c r="A43" s="18">
        <v>91</v>
      </c>
      <c r="B43" s="18">
        <v>3.0599999999999998E-5</v>
      </c>
    </row>
    <row r="44" spans="1:2" x14ac:dyDescent="0.25">
      <c r="A44" s="18">
        <v>92</v>
      </c>
      <c r="B44" s="18">
        <v>3.6600000000000002E-5</v>
      </c>
    </row>
    <row r="45" spans="1:2" x14ac:dyDescent="0.25">
      <c r="A45" s="18">
        <v>93</v>
      </c>
      <c r="B45" s="18">
        <v>4.74E-5</v>
      </c>
    </row>
    <row r="46" spans="1:2" x14ac:dyDescent="0.25">
      <c r="A46" s="18">
        <v>94</v>
      </c>
      <c r="B46" s="18">
        <v>3.0800000000000003E-5</v>
      </c>
    </row>
    <row r="47" spans="1:2" x14ac:dyDescent="0.25">
      <c r="A47" s="18">
        <v>95</v>
      </c>
      <c r="B47" s="18">
        <v>4.3600000000000003E-5</v>
      </c>
    </row>
    <row r="48" spans="1:2" x14ac:dyDescent="0.25">
      <c r="A48" s="18">
        <v>96</v>
      </c>
      <c r="B48" s="18">
        <v>4.35E-5</v>
      </c>
    </row>
    <row r="49" spans="1:2" x14ac:dyDescent="0.25">
      <c r="A49" s="18">
        <v>97</v>
      </c>
      <c r="B49" s="18">
        <v>4.3399999999999998E-5</v>
      </c>
    </row>
    <row r="50" spans="1:2" x14ac:dyDescent="0.25">
      <c r="A50" s="18">
        <v>98</v>
      </c>
      <c r="B50" s="18">
        <v>3.5899999999999998E-5</v>
      </c>
    </row>
    <row r="51" spans="1:2" x14ac:dyDescent="0.25">
      <c r="A51" s="18">
        <v>99</v>
      </c>
      <c r="B51" s="18">
        <v>4.8000000000000001E-5</v>
      </c>
    </row>
    <row r="52" spans="1:2" x14ac:dyDescent="0.25">
      <c r="A52" s="18">
        <v>100</v>
      </c>
      <c r="B52" s="18">
        <v>6.5400000000000004E-5</v>
      </c>
    </row>
    <row r="53" spans="1:2" x14ac:dyDescent="0.25">
      <c r="A53" s="18">
        <v>101</v>
      </c>
      <c r="B53" s="18">
        <v>4.3000000000000002E-5</v>
      </c>
    </row>
    <row r="54" spans="1:2" x14ac:dyDescent="0.25">
      <c r="A54" s="18">
        <v>102</v>
      </c>
      <c r="B54" s="18">
        <v>3.8300000000000003E-5</v>
      </c>
    </row>
    <row r="55" spans="1:2" x14ac:dyDescent="0.25">
      <c r="A55" s="18">
        <v>103</v>
      </c>
      <c r="B55" s="18">
        <v>3.9499999999999998E-5</v>
      </c>
    </row>
    <row r="56" spans="1:2" x14ac:dyDescent="0.25">
      <c r="A56" s="18">
        <v>104</v>
      </c>
      <c r="B56" s="18">
        <v>4.5000000000000003E-5</v>
      </c>
    </row>
    <row r="57" spans="1:2" x14ac:dyDescent="0.25">
      <c r="A57" s="18">
        <v>105</v>
      </c>
      <c r="B57" s="18">
        <v>3.6699999999999998E-5</v>
      </c>
    </row>
    <row r="58" spans="1:2" x14ac:dyDescent="0.25">
      <c r="A58" s="18">
        <v>106</v>
      </c>
      <c r="B58" s="18">
        <v>5.4700000000000001E-5</v>
      </c>
    </row>
    <row r="59" spans="1:2" x14ac:dyDescent="0.25">
      <c r="A59" s="18">
        <v>107</v>
      </c>
      <c r="B59" s="18">
        <v>4.1900000000000002E-5</v>
      </c>
    </row>
    <row r="60" spans="1:2" x14ac:dyDescent="0.25">
      <c r="A60" s="18">
        <v>108</v>
      </c>
      <c r="B60" s="18">
        <v>5.2599999999999998E-5</v>
      </c>
    </row>
    <row r="61" spans="1:2" x14ac:dyDescent="0.25">
      <c r="A61" s="18">
        <v>109</v>
      </c>
      <c r="B61" s="18">
        <v>4.5200000000000001E-5</v>
      </c>
    </row>
    <row r="62" spans="1:2" x14ac:dyDescent="0.25">
      <c r="A62" s="18">
        <v>110</v>
      </c>
      <c r="B62" s="18">
        <v>3.6600000000000002E-5</v>
      </c>
    </row>
    <row r="63" spans="1:2" x14ac:dyDescent="0.25">
      <c r="A63" s="18">
        <v>111</v>
      </c>
      <c r="B63" s="18">
        <v>2.97E-5</v>
      </c>
    </row>
    <row r="64" spans="1:2" x14ac:dyDescent="0.25">
      <c r="A64" s="18">
        <v>112</v>
      </c>
      <c r="B64" s="18">
        <v>2.73E-5</v>
      </c>
    </row>
    <row r="65" spans="1:2" x14ac:dyDescent="0.25">
      <c r="A65" s="18">
        <v>113</v>
      </c>
      <c r="B65" s="18">
        <v>2.9200000000000002E-5</v>
      </c>
    </row>
    <row r="66" spans="1:2" x14ac:dyDescent="0.25">
      <c r="A66" s="18">
        <v>114</v>
      </c>
      <c r="B66" s="18">
        <v>2.6800000000000001E-5</v>
      </c>
    </row>
    <row r="67" spans="1:2" x14ac:dyDescent="0.25">
      <c r="A67" s="18">
        <v>115</v>
      </c>
      <c r="B67" s="18">
        <v>3.0899999999999999E-5</v>
      </c>
    </row>
    <row r="68" spans="1:2" x14ac:dyDescent="0.25">
      <c r="A68" s="18">
        <v>116</v>
      </c>
      <c r="B68" s="18">
        <v>1.98E-5</v>
      </c>
    </row>
    <row r="69" spans="1:2" x14ac:dyDescent="0.25">
      <c r="A69" s="18">
        <v>117</v>
      </c>
      <c r="B69" s="18">
        <v>2.9E-5</v>
      </c>
    </row>
    <row r="70" spans="1:2" x14ac:dyDescent="0.25">
      <c r="A70" s="18">
        <v>118</v>
      </c>
      <c r="B70" s="18">
        <v>4.3900000000000003E-5</v>
      </c>
    </row>
    <row r="71" spans="1:2" x14ac:dyDescent="0.25">
      <c r="A71" s="18">
        <v>119</v>
      </c>
      <c r="B71" s="18">
        <v>4.9200000000000003E-5</v>
      </c>
    </row>
    <row r="72" spans="1:2" x14ac:dyDescent="0.25">
      <c r="A72" s="18">
        <v>120</v>
      </c>
      <c r="B72" s="18">
        <v>3.3699999999999999E-5</v>
      </c>
    </row>
    <row r="73" spans="1:2" x14ac:dyDescent="0.25">
      <c r="A73" s="18">
        <v>121</v>
      </c>
      <c r="B73" s="18">
        <v>5.0899999999999997E-5</v>
      </c>
    </row>
    <row r="74" spans="1:2" x14ac:dyDescent="0.25">
      <c r="A74" s="18">
        <v>122</v>
      </c>
      <c r="B74" s="18">
        <v>6.97E-5</v>
      </c>
    </row>
    <row r="75" spans="1:2" x14ac:dyDescent="0.25">
      <c r="A75" s="18">
        <v>123</v>
      </c>
      <c r="B75" s="18">
        <v>5.8600000000000001E-5</v>
      </c>
    </row>
    <row r="76" spans="1:2" x14ac:dyDescent="0.25">
      <c r="A76" s="18">
        <v>124</v>
      </c>
      <c r="B76" s="18">
        <v>8.2299999999999995E-5</v>
      </c>
    </row>
    <row r="77" spans="1:2" x14ac:dyDescent="0.25">
      <c r="A77" s="18">
        <v>125</v>
      </c>
      <c r="B77" s="18">
        <v>8.3499999999999997E-5</v>
      </c>
    </row>
    <row r="78" spans="1:2" x14ac:dyDescent="0.25">
      <c r="A78" s="18">
        <v>126</v>
      </c>
      <c r="B78" s="18">
        <v>9.5199999999999997E-5</v>
      </c>
    </row>
    <row r="79" spans="1:2" x14ac:dyDescent="0.25">
      <c r="A79" s="18">
        <v>127</v>
      </c>
      <c r="B79" s="18">
        <v>1.1900000000000001E-4</v>
      </c>
    </row>
    <row r="80" spans="1:2" x14ac:dyDescent="0.25">
      <c r="A80" s="18">
        <v>128</v>
      </c>
      <c r="B80" s="18">
        <v>1.15E-4</v>
      </c>
    </row>
    <row r="81" spans="1:2" x14ac:dyDescent="0.25">
      <c r="A81" s="18">
        <v>129</v>
      </c>
      <c r="B81" s="18">
        <v>1.4200000000000001E-4</v>
      </c>
    </row>
    <row r="82" spans="1:2" x14ac:dyDescent="0.25">
      <c r="A82" s="18">
        <v>130</v>
      </c>
      <c r="B82" s="18">
        <v>1.3899999999999999E-4</v>
      </c>
    </row>
    <row r="83" spans="1:2" x14ac:dyDescent="0.25">
      <c r="A83" s="18">
        <v>131</v>
      </c>
      <c r="B83" s="18">
        <v>1.56E-4</v>
      </c>
    </row>
    <row r="84" spans="1:2" x14ac:dyDescent="0.25">
      <c r="A84" s="18">
        <v>132</v>
      </c>
      <c r="B84" s="18">
        <v>1.8200000000000001E-4</v>
      </c>
    </row>
    <row r="85" spans="1:2" x14ac:dyDescent="0.25">
      <c r="A85" s="18">
        <v>133</v>
      </c>
      <c r="B85" s="18">
        <v>1.6899999999999999E-4</v>
      </c>
    </row>
    <row r="86" spans="1:2" x14ac:dyDescent="0.25">
      <c r="A86" s="18">
        <v>134</v>
      </c>
      <c r="B86" s="18">
        <v>1.93E-4</v>
      </c>
    </row>
    <row r="87" spans="1:2" x14ac:dyDescent="0.25">
      <c r="A87" s="18">
        <v>135</v>
      </c>
      <c r="B87" s="18">
        <v>1.7100000000000001E-4</v>
      </c>
    </row>
    <row r="88" spans="1:2" x14ac:dyDescent="0.25">
      <c r="A88" s="18">
        <v>136</v>
      </c>
      <c r="B88" s="18">
        <v>1.84E-4</v>
      </c>
    </row>
    <row r="89" spans="1:2" x14ac:dyDescent="0.25">
      <c r="A89" s="18">
        <v>137</v>
      </c>
      <c r="B89" s="18">
        <v>2.0599999999999999E-4</v>
      </c>
    </row>
    <row r="90" spans="1:2" x14ac:dyDescent="0.25">
      <c r="A90" s="18">
        <v>138</v>
      </c>
      <c r="B90" s="18">
        <v>2.1499999999999999E-4</v>
      </c>
    </row>
    <row r="91" spans="1:2" x14ac:dyDescent="0.25">
      <c r="A91" s="18">
        <v>139</v>
      </c>
      <c r="B91" s="18">
        <v>2.4000000000000001E-4</v>
      </c>
    </row>
    <row r="92" spans="1:2" x14ac:dyDescent="0.25">
      <c r="A92" s="18">
        <v>140</v>
      </c>
      <c r="B92" s="18">
        <v>2.43E-4</v>
      </c>
    </row>
    <row r="93" spans="1:2" x14ac:dyDescent="0.25">
      <c r="A93" s="18">
        <v>141</v>
      </c>
      <c r="B93" s="18">
        <v>2.6800000000000001E-4</v>
      </c>
    </row>
    <row r="94" spans="1:2" x14ac:dyDescent="0.25">
      <c r="A94" s="18">
        <v>142</v>
      </c>
      <c r="B94" s="18">
        <v>2.9100000000000003E-4</v>
      </c>
    </row>
    <row r="95" spans="1:2" x14ac:dyDescent="0.25">
      <c r="A95" s="18">
        <v>143</v>
      </c>
      <c r="B95" s="18">
        <v>2.9700000000000001E-4</v>
      </c>
    </row>
    <row r="96" spans="1:2" x14ac:dyDescent="0.25">
      <c r="A96" s="18">
        <v>144</v>
      </c>
      <c r="B96" s="18">
        <v>3.5100000000000002E-4</v>
      </c>
    </row>
    <row r="97" spans="1:2" x14ac:dyDescent="0.25">
      <c r="A97" s="18">
        <v>145</v>
      </c>
      <c r="B97" s="18">
        <v>3.5300000000000002E-4</v>
      </c>
    </row>
    <row r="98" spans="1:2" x14ac:dyDescent="0.25">
      <c r="A98" s="18">
        <v>146</v>
      </c>
      <c r="B98" s="18">
        <v>4.0499999999999998E-4</v>
      </c>
    </row>
    <row r="99" spans="1:2" x14ac:dyDescent="0.25">
      <c r="A99" s="18">
        <v>147</v>
      </c>
      <c r="B99" s="18">
        <v>4.2999999999999999E-4</v>
      </c>
    </row>
    <row r="100" spans="1:2" x14ac:dyDescent="0.25">
      <c r="A100" s="18">
        <v>148</v>
      </c>
      <c r="B100" s="18">
        <v>4.8500000000000003E-4</v>
      </c>
    </row>
    <row r="101" spans="1:2" x14ac:dyDescent="0.25">
      <c r="A101" s="18">
        <v>149</v>
      </c>
      <c r="B101" s="18">
        <v>5.2899999999999996E-4</v>
      </c>
    </row>
    <row r="102" spans="1:2" x14ac:dyDescent="0.25">
      <c r="A102" s="18">
        <v>150</v>
      </c>
      <c r="B102" s="18">
        <v>5.9299999999999999E-4</v>
      </c>
    </row>
    <row r="103" spans="1:2" x14ac:dyDescent="0.25">
      <c r="A103" s="18">
        <v>151</v>
      </c>
      <c r="B103" s="18">
        <v>6.5399999999999996E-4</v>
      </c>
    </row>
    <row r="104" spans="1:2" x14ac:dyDescent="0.25">
      <c r="A104" s="18">
        <v>152</v>
      </c>
      <c r="B104" s="18">
        <v>7.2800000000000002E-4</v>
      </c>
    </row>
    <row r="105" spans="1:2" x14ac:dyDescent="0.25">
      <c r="A105" s="18">
        <v>153</v>
      </c>
      <c r="B105" s="18">
        <v>7.9900000000000001E-4</v>
      </c>
    </row>
    <row r="106" spans="1:2" x14ac:dyDescent="0.25">
      <c r="A106" s="18">
        <v>154</v>
      </c>
      <c r="B106" s="18">
        <v>8.5300000000000003E-4</v>
      </c>
    </row>
    <row r="107" spans="1:2" x14ac:dyDescent="0.25">
      <c r="A107" s="18">
        <v>155</v>
      </c>
      <c r="B107" s="18">
        <v>9.7400000000000004E-4</v>
      </c>
    </row>
    <row r="108" spans="1:2" x14ac:dyDescent="0.25">
      <c r="A108" s="18">
        <v>156</v>
      </c>
      <c r="B108" s="18">
        <v>1.09E-3</v>
      </c>
    </row>
    <row r="109" spans="1:2" x14ac:dyDescent="0.25">
      <c r="A109" s="18">
        <v>157</v>
      </c>
      <c r="B109" s="18">
        <v>1.1900000000000001E-3</v>
      </c>
    </row>
    <row r="110" spans="1:2" x14ac:dyDescent="0.25">
      <c r="A110" s="18">
        <v>158</v>
      </c>
      <c r="B110" s="18">
        <v>1.2899999999999999E-3</v>
      </c>
    </row>
    <row r="111" spans="1:2" x14ac:dyDescent="0.25">
      <c r="A111" s="18">
        <v>159</v>
      </c>
      <c r="B111" s="18">
        <v>1.4300000000000001E-3</v>
      </c>
    </row>
    <row r="112" spans="1:2" x14ac:dyDescent="0.25">
      <c r="A112" s="18">
        <v>160</v>
      </c>
      <c r="B112" s="18">
        <v>1.5299999999999999E-3</v>
      </c>
    </row>
    <row r="113" spans="1:2" x14ac:dyDescent="0.25">
      <c r="A113" s="18">
        <v>161</v>
      </c>
      <c r="B113" s="18">
        <v>1.67E-3</v>
      </c>
    </row>
    <row r="114" spans="1:2" x14ac:dyDescent="0.25">
      <c r="A114" s="18">
        <v>162</v>
      </c>
      <c r="B114" s="18">
        <v>1.83E-3</v>
      </c>
    </row>
    <row r="115" spans="1:2" x14ac:dyDescent="0.25">
      <c r="A115" s="18">
        <v>163</v>
      </c>
      <c r="B115" s="18">
        <v>2.0100000000000001E-3</v>
      </c>
    </row>
    <row r="116" spans="1:2" x14ac:dyDescent="0.25">
      <c r="A116" s="18">
        <v>164</v>
      </c>
      <c r="B116" s="18">
        <v>2.1700000000000001E-3</v>
      </c>
    </row>
    <row r="117" spans="1:2" x14ac:dyDescent="0.25">
      <c r="A117" s="18">
        <v>165</v>
      </c>
      <c r="B117" s="18">
        <v>2.3500000000000001E-3</v>
      </c>
    </row>
    <row r="118" spans="1:2" x14ac:dyDescent="0.25">
      <c r="A118" s="18">
        <v>166</v>
      </c>
      <c r="B118" s="18">
        <v>2.48E-3</v>
      </c>
    </row>
    <row r="119" spans="1:2" x14ac:dyDescent="0.25">
      <c r="A119" s="18">
        <v>167</v>
      </c>
      <c r="B119" s="18">
        <v>2.7299999999999998E-3</v>
      </c>
    </row>
    <row r="120" spans="1:2" x14ac:dyDescent="0.25">
      <c r="A120" s="18">
        <v>168</v>
      </c>
      <c r="B120" s="18">
        <v>2.8999999999999998E-3</v>
      </c>
    </row>
    <row r="121" spans="1:2" x14ac:dyDescent="0.25">
      <c r="A121" s="18">
        <v>169</v>
      </c>
      <c r="B121" s="18">
        <v>3.0799999999999998E-3</v>
      </c>
    </row>
    <row r="122" spans="1:2" x14ac:dyDescent="0.25">
      <c r="A122" s="18">
        <v>170</v>
      </c>
      <c r="B122" s="18">
        <v>3.3E-3</v>
      </c>
    </row>
    <row r="123" spans="1:2" x14ac:dyDescent="0.25">
      <c r="A123" s="18">
        <v>171</v>
      </c>
      <c r="B123" s="18">
        <v>3.6099999999999999E-3</v>
      </c>
    </row>
    <row r="124" spans="1:2" x14ac:dyDescent="0.25">
      <c r="A124" s="18">
        <v>172</v>
      </c>
      <c r="B124" s="18">
        <v>3.81E-3</v>
      </c>
    </row>
    <row r="125" spans="1:2" x14ac:dyDescent="0.25">
      <c r="A125" s="18">
        <v>173</v>
      </c>
      <c r="B125" s="18">
        <v>4.1099999999999999E-3</v>
      </c>
    </row>
    <row r="126" spans="1:2" x14ac:dyDescent="0.25">
      <c r="A126" s="18">
        <v>174</v>
      </c>
      <c r="B126" s="18">
        <v>4.3099999999999996E-3</v>
      </c>
    </row>
    <row r="127" spans="1:2" x14ac:dyDescent="0.25">
      <c r="A127" s="18">
        <v>175</v>
      </c>
      <c r="B127" s="18">
        <v>4.6699999999999997E-3</v>
      </c>
    </row>
    <row r="128" spans="1:2" x14ac:dyDescent="0.25">
      <c r="A128" s="18">
        <v>176</v>
      </c>
      <c r="B128" s="18">
        <v>4.9300000000000004E-3</v>
      </c>
    </row>
    <row r="129" spans="1:2" x14ac:dyDescent="0.25">
      <c r="A129" s="18">
        <v>177</v>
      </c>
      <c r="B129" s="18">
        <v>5.0299999999999997E-3</v>
      </c>
    </row>
    <row r="130" spans="1:2" x14ac:dyDescent="0.25">
      <c r="A130" s="18">
        <v>178</v>
      </c>
      <c r="B130" s="18">
        <v>5.4000000000000003E-3</v>
      </c>
    </row>
    <row r="131" spans="1:2" x14ac:dyDescent="0.25">
      <c r="A131" s="18">
        <v>179</v>
      </c>
      <c r="B131" s="18">
        <v>5.7000000000000002E-3</v>
      </c>
    </row>
    <row r="132" spans="1:2" x14ac:dyDescent="0.25">
      <c r="A132" s="18">
        <v>180</v>
      </c>
      <c r="B132" s="18">
        <v>5.9899999999999997E-3</v>
      </c>
    </row>
    <row r="133" spans="1:2" x14ac:dyDescent="0.25">
      <c r="A133" s="18">
        <v>181</v>
      </c>
      <c r="B133" s="18">
        <v>6.3800000000000003E-3</v>
      </c>
    </row>
    <row r="134" spans="1:2" x14ac:dyDescent="0.25">
      <c r="A134" s="18">
        <v>182</v>
      </c>
      <c r="B134" s="18">
        <v>6.6899999999999998E-3</v>
      </c>
    </row>
    <row r="135" spans="1:2" x14ac:dyDescent="0.25">
      <c r="A135" s="18">
        <v>183</v>
      </c>
      <c r="B135" s="18">
        <v>7.0899999999999999E-3</v>
      </c>
    </row>
    <row r="136" spans="1:2" x14ac:dyDescent="0.25">
      <c r="A136" s="18">
        <v>184</v>
      </c>
      <c r="B136" s="18">
        <v>7.45E-3</v>
      </c>
    </row>
    <row r="137" spans="1:2" x14ac:dyDescent="0.25">
      <c r="A137" s="18">
        <v>185</v>
      </c>
      <c r="B137" s="18">
        <v>7.7600000000000004E-3</v>
      </c>
    </row>
    <row r="138" spans="1:2" x14ac:dyDescent="0.25">
      <c r="A138" s="18">
        <v>186</v>
      </c>
      <c r="B138" s="18">
        <v>8.1300000000000001E-3</v>
      </c>
    </row>
    <row r="139" spans="1:2" x14ac:dyDescent="0.25">
      <c r="A139" s="18">
        <v>187</v>
      </c>
      <c r="B139" s="18">
        <v>8.5699999999999995E-3</v>
      </c>
    </row>
    <row r="140" spans="1:2" x14ac:dyDescent="0.25">
      <c r="A140" s="18">
        <v>188</v>
      </c>
      <c r="B140" s="18">
        <v>8.9300000000000004E-3</v>
      </c>
    </row>
    <row r="141" spans="1:2" x14ac:dyDescent="0.25">
      <c r="A141" s="18">
        <v>189</v>
      </c>
      <c r="B141" s="18">
        <v>9.3399999999999993E-3</v>
      </c>
    </row>
    <row r="142" spans="1:2" x14ac:dyDescent="0.25">
      <c r="A142" s="18">
        <v>190</v>
      </c>
      <c r="B142" s="18">
        <v>9.7199999999999995E-3</v>
      </c>
    </row>
    <row r="143" spans="1:2" x14ac:dyDescent="0.25">
      <c r="A143" s="18">
        <v>191</v>
      </c>
      <c r="B143" s="18">
        <v>1.0200000000000001E-2</v>
      </c>
    </row>
    <row r="144" spans="1:2" x14ac:dyDescent="0.25">
      <c r="A144" s="18">
        <v>192</v>
      </c>
      <c r="B144" s="18">
        <v>1.0500000000000001E-2</v>
      </c>
    </row>
    <row r="145" spans="1:2" x14ac:dyDescent="0.25">
      <c r="A145" s="18">
        <v>193</v>
      </c>
      <c r="B145" s="18">
        <v>1.09E-2</v>
      </c>
    </row>
    <row r="146" spans="1:2" x14ac:dyDescent="0.25">
      <c r="A146" s="18">
        <v>194</v>
      </c>
      <c r="B146" s="18">
        <v>1.14E-2</v>
      </c>
    </row>
    <row r="147" spans="1:2" x14ac:dyDescent="0.25">
      <c r="A147" s="18">
        <v>195</v>
      </c>
      <c r="B147" s="18">
        <v>1.17E-2</v>
      </c>
    </row>
    <row r="148" spans="1:2" x14ac:dyDescent="0.25">
      <c r="A148" s="18">
        <v>196</v>
      </c>
      <c r="B148" s="18">
        <v>1.2200000000000001E-2</v>
      </c>
    </row>
    <row r="149" spans="1:2" x14ac:dyDescent="0.25">
      <c r="A149" s="18">
        <v>197</v>
      </c>
      <c r="B149" s="18">
        <v>1.2500000000000001E-2</v>
      </c>
    </row>
    <row r="150" spans="1:2" x14ac:dyDescent="0.25">
      <c r="A150" s="18">
        <v>198</v>
      </c>
      <c r="B150" s="18">
        <v>1.29E-2</v>
      </c>
    </row>
    <row r="151" spans="1:2" x14ac:dyDescent="0.25">
      <c r="A151" s="18">
        <v>199</v>
      </c>
      <c r="B151" s="18">
        <v>1.32E-2</v>
      </c>
    </row>
    <row r="152" spans="1:2" x14ac:dyDescent="0.25">
      <c r="A152" s="18">
        <v>200</v>
      </c>
      <c r="B152" s="18">
        <v>1.3599999999999999E-2</v>
      </c>
    </row>
    <row r="153" spans="1:2" x14ac:dyDescent="0.25">
      <c r="A153" s="18">
        <v>201</v>
      </c>
      <c r="B153" s="18">
        <v>1.4200000000000001E-2</v>
      </c>
    </row>
    <row r="154" spans="1:2" x14ac:dyDescent="0.25">
      <c r="A154" s="18">
        <v>202</v>
      </c>
      <c r="B154" s="18">
        <v>1.4500000000000001E-2</v>
      </c>
    </row>
    <row r="155" spans="1:2" x14ac:dyDescent="0.25">
      <c r="A155" s="18">
        <v>203</v>
      </c>
      <c r="B155" s="18">
        <v>1.49E-2</v>
      </c>
    </row>
    <row r="156" spans="1:2" x14ac:dyDescent="0.25">
      <c r="A156" s="18">
        <v>204</v>
      </c>
      <c r="B156" s="18">
        <v>1.5100000000000001E-2</v>
      </c>
    </row>
    <row r="157" spans="1:2" x14ac:dyDescent="0.25">
      <c r="A157" s="18">
        <v>205</v>
      </c>
      <c r="B157" s="18">
        <v>1.54E-2</v>
      </c>
    </row>
    <row r="158" spans="1:2" x14ac:dyDescent="0.25">
      <c r="A158" s="18">
        <v>206</v>
      </c>
      <c r="B158" s="18">
        <v>1.5599999999999999E-2</v>
      </c>
    </row>
    <row r="159" spans="1:2" x14ac:dyDescent="0.25">
      <c r="A159" s="18">
        <v>207</v>
      </c>
      <c r="B159" s="18">
        <v>1.61E-2</v>
      </c>
    </row>
    <row r="160" spans="1:2" x14ac:dyDescent="0.25">
      <c r="A160" s="18">
        <v>208</v>
      </c>
      <c r="B160" s="18">
        <v>1.6400000000000001E-2</v>
      </c>
    </row>
    <row r="161" spans="1:2" x14ac:dyDescent="0.25">
      <c r="A161" s="18">
        <v>209</v>
      </c>
      <c r="B161" s="18">
        <v>1.67E-2</v>
      </c>
    </row>
    <row r="162" spans="1:2" x14ac:dyDescent="0.25">
      <c r="A162" s="18">
        <v>210</v>
      </c>
      <c r="B162" s="18">
        <v>1.67E-2</v>
      </c>
    </row>
    <row r="163" spans="1:2" x14ac:dyDescent="0.25">
      <c r="A163" s="18">
        <v>211</v>
      </c>
      <c r="B163" s="18">
        <v>1.7299999999999999E-2</v>
      </c>
    </row>
    <row r="164" spans="1:2" x14ac:dyDescent="0.25">
      <c r="A164" s="18">
        <v>212</v>
      </c>
      <c r="B164" s="18">
        <v>1.7500000000000002E-2</v>
      </c>
    </row>
    <row r="165" spans="1:2" x14ac:dyDescent="0.25">
      <c r="A165" s="18">
        <v>213</v>
      </c>
      <c r="B165" s="18">
        <v>1.7500000000000002E-2</v>
      </c>
    </row>
    <row r="166" spans="1:2" x14ac:dyDescent="0.25">
      <c r="A166" s="18">
        <v>214</v>
      </c>
      <c r="B166" s="18">
        <v>1.78E-2</v>
      </c>
    </row>
    <row r="167" spans="1:2" x14ac:dyDescent="0.25">
      <c r="A167" s="18">
        <v>215</v>
      </c>
      <c r="B167" s="18">
        <v>1.7999999999999999E-2</v>
      </c>
    </row>
    <row r="168" spans="1:2" x14ac:dyDescent="0.25">
      <c r="A168" s="18">
        <v>216</v>
      </c>
      <c r="B168" s="18">
        <v>1.83E-2</v>
      </c>
    </row>
    <row r="169" spans="1:2" x14ac:dyDescent="0.25">
      <c r="A169" s="18">
        <v>217</v>
      </c>
      <c r="B169" s="18">
        <v>1.83E-2</v>
      </c>
    </row>
    <row r="170" spans="1:2" x14ac:dyDescent="0.25">
      <c r="A170" s="18">
        <v>218</v>
      </c>
      <c r="B170" s="18">
        <v>1.8599999999999998E-2</v>
      </c>
    </row>
    <row r="171" spans="1:2" x14ac:dyDescent="0.25">
      <c r="A171" s="18">
        <v>219</v>
      </c>
      <c r="B171" s="18">
        <v>1.84E-2</v>
      </c>
    </row>
    <row r="172" spans="1:2" x14ac:dyDescent="0.25">
      <c r="A172" s="18">
        <v>220</v>
      </c>
      <c r="B172" s="18">
        <v>1.84E-2</v>
      </c>
    </row>
    <row r="173" spans="1:2" x14ac:dyDescent="0.25">
      <c r="A173" s="18">
        <v>221</v>
      </c>
      <c r="B173" s="18">
        <v>1.8599999999999998E-2</v>
      </c>
    </row>
    <row r="174" spans="1:2" x14ac:dyDescent="0.25">
      <c r="A174" s="18">
        <v>222</v>
      </c>
      <c r="B174" s="18">
        <v>1.8100000000000002E-2</v>
      </c>
    </row>
    <row r="175" spans="1:2" x14ac:dyDescent="0.25">
      <c r="A175" s="18">
        <v>223</v>
      </c>
      <c r="B175" s="18">
        <v>1.84E-2</v>
      </c>
    </row>
    <row r="176" spans="1:2" x14ac:dyDescent="0.25">
      <c r="A176" s="18">
        <v>224</v>
      </c>
      <c r="B176" s="18">
        <v>1.7999999999999999E-2</v>
      </c>
    </row>
    <row r="177" spans="1:2" x14ac:dyDescent="0.25">
      <c r="A177" s="18">
        <v>225</v>
      </c>
      <c r="B177" s="18">
        <v>1.8200000000000001E-2</v>
      </c>
    </row>
    <row r="178" spans="1:2" x14ac:dyDescent="0.25">
      <c r="A178" s="18">
        <v>226</v>
      </c>
      <c r="B178" s="18">
        <v>1.7899999999999999E-2</v>
      </c>
    </row>
    <row r="179" spans="1:2" x14ac:dyDescent="0.25">
      <c r="A179" s="18">
        <v>227</v>
      </c>
      <c r="B179" s="18">
        <v>1.78E-2</v>
      </c>
    </row>
    <row r="180" spans="1:2" x14ac:dyDescent="0.25">
      <c r="A180" s="18">
        <v>228</v>
      </c>
      <c r="B180" s="18">
        <v>1.7600000000000001E-2</v>
      </c>
    </row>
    <row r="181" spans="1:2" x14ac:dyDescent="0.25">
      <c r="A181" s="18">
        <v>229</v>
      </c>
      <c r="B181" s="18">
        <v>1.72E-2</v>
      </c>
    </row>
    <row r="182" spans="1:2" x14ac:dyDescent="0.25">
      <c r="A182" s="18">
        <v>230</v>
      </c>
      <c r="B182" s="18">
        <v>1.7000000000000001E-2</v>
      </c>
    </row>
    <row r="183" spans="1:2" x14ac:dyDescent="0.25">
      <c r="A183" s="18">
        <v>231</v>
      </c>
      <c r="B183" s="18">
        <v>1.6400000000000001E-2</v>
      </c>
    </row>
    <row r="184" spans="1:2" x14ac:dyDescent="0.25">
      <c r="A184" s="18">
        <v>232</v>
      </c>
      <c r="B184" s="18">
        <v>1.61E-2</v>
      </c>
    </row>
    <row r="185" spans="1:2" x14ac:dyDescent="0.25">
      <c r="A185" s="18">
        <v>233</v>
      </c>
      <c r="B185" s="18">
        <v>1.5599999999999999E-2</v>
      </c>
    </row>
    <row r="186" spans="1:2" x14ac:dyDescent="0.25">
      <c r="A186" s="18">
        <v>234</v>
      </c>
      <c r="B186" s="18">
        <v>1.4999999999999999E-2</v>
      </c>
    </row>
    <row r="187" spans="1:2" x14ac:dyDescent="0.25">
      <c r="A187" s="18">
        <v>235</v>
      </c>
      <c r="B187" s="18">
        <v>1.4500000000000001E-2</v>
      </c>
    </row>
    <row r="188" spans="1:2" x14ac:dyDescent="0.25">
      <c r="A188" s="18">
        <v>236</v>
      </c>
      <c r="B188" s="18">
        <v>1.38E-2</v>
      </c>
    </row>
    <row r="189" spans="1:2" x14ac:dyDescent="0.25">
      <c r="A189" s="18">
        <v>237</v>
      </c>
      <c r="B189" s="18">
        <v>1.32E-2</v>
      </c>
    </row>
    <row r="190" spans="1:2" x14ac:dyDescent="0.25">
      <c r="A190" s="18">
        <v>238</v>
      </c>
      <c r="B190" s="18">
        <v>1.24E-2</v>
      </c>
    </row>
    <row r="191" spans="1:2" x14ac:dyDescent="0.25">
      <c r="A191" s="18">
        <v>239</v>
      </c>
      <c r="B191" s="18">
        <v>1.18E-2</v>
      </c>
    </row>
    <row r="192" spans="1:2" x14ac:dyDescent="0.25">
      <c r="A192" s="18">
        <v>240</v>
      </c>
      <c r="B192" s="18">
        <v>1.0999999999999999E-2</v>
      </c>
    </row>
    <row r="193" spans="1:2" x14ac:dyDescent="0.25">
      <c r="A193" s="18">
        <v>241</v>
      </c>
      <c r="B193" s="18">
        <v>9.9500000000000005E-3</v>
      </c>
    </row>
    <row r="194" spans="1:2" x14ac:dyDescent="0.25">
      <c r="A194" s="18">
        <v>242</v>
      </c>
      <c r="B194" s="18">
        <v>8.9800000000000001E-3</v>
      </c>
    </row>
    <row r="195" spans="1:2" x14ac:dyDescent="0.25">
      <c r="A195" s="18">
        <v>243</v>
      </c>
      <c r="B195" s="18">
        <v>8.1399999999999997E-3</v>
      </c>
    </row>
    <row r="196" spans="1:2" x14ac:dyDescent="0.25">
      <c r="A196" s="18">
        <v>244</v>
      </c>
      <c r="B196" s="18">
        <v>7.1799999999999998E-3</v>
      </c>
    </row>
    <row r="197" spans="1:2" x14ac:dyDescent="0.25">
      <c r="A197" s="18">
        <v>245</v>
      </c>
      <c r="B197" s="18">
        <v>6.13E-3</v>
      </c>
    </row>
    <row r="198" spans="1:2" x14ac:dyDescent="0.25">
      <c r="A198" s="18">
        <v>246</v>
      </c>
      <c r="B198" s="18">
        <v>4.8700000000000002E-3</v>
      </c>
    </row>
    <row r="199" spans="1:2" x14ac:dyDescent="0.25">
      <c r="A199" s="18">
        <v>247</v>
      </c>
      <c r="B199" s="18">
        <v>3.8500000000000001E-3</v>
      </c>
    </row>
    <row r="200" spans="1:2" x14ac:dyDescent="0.25">
      <c r="A200" s="18">
        <v>248</v>
      </c>
      <c r="B200" s="18">
        <v>2.7499999999999998E-3</v>
      </c>
    </row>
    <row r="201" spans="1:2" x14ac:dyDescent="0.25">
      <c r="A201" s="18">
        <v>249</v>
      </c>
      <c r="B201" s="18">
        <v>1.57E-3</v>
      </c>
    </row>
    <row r="202" spans="1:2" x14ac:dyDescent="0.25">
      <c r="A202" s="18">
        <v>250</v>
      </c>
      <c r="B202" s="18">
        <v>4.5899999999999999E-4</v>
      </c>
    </row>
    <row r="203" spans="1:2" x14ac:dyDescent="0.25">
      <c r="A203" s="18">
        <v>251</v>
      </c>
      <c r="B203" s="18">
        <v>1.0900000000000001E-5</v>
      </c>
    </row>
    <row r="204" spans="1:2" x14ac:dyDescent="0.25">
      <c r="A204" s="18">
        <v>252</v>
      </c>
      <c r="B204" s="18">
        <v>6.7299999999999999E-6</v>
      </c>
    </row>
  </sheetData>
  <pageMargins left="0.7" right="0.7" top="0.75" bottom="0.75" header="0.3" footer="0.3"/>
  <pageSetup paperSize="9" orientation="portrait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dimension ref="A1:B244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60</v>
      </c>
      <c r="B2" s="18">
        <v>1.2099999999999999E-5</v>
      </c>
    </row>
    <row r="3" spans="1:2" x14ac:dyDescent="0.25">
      <c r="A3" s="18">
        <v>61</v>
      </c>
      <c r="B3" s="18">
        <v>2.7800000000000001E-5</v>
      </c>
    </row>
    <row r="4" spans="1:2" x14ac:dyDescent="0.25">
      <c r="A4" s="18">
        <v>62</v>
      </c>
      <c r="B4" s="18">
        <v>2.3300000000000001E-5</v>
      </c>
    </row>
    <row r="5" spans="1:2" x14ac:dyDescent="0.25">
      <c r="A5" s="18">
        <v>63</v>
      </c>
      <c r="B5" s="18">
        <v>2.5299999999999998E-5</v>
      </c>
    </row>
    <row r="6" spans="1:2" x14ac:dyDescent="0.25">
      <c r="A6" s="18">
        <v>64</v>
      </c>
      <c r="B6" s="18">
        <v>1.1199999999999999E-5</v>
      </c>
    </row>
    <row r="7" spans="1:2" x14ac:dyDescent="0.25">
      <c r="A7" s="18">
        <v>65</v>
      </c>
      <c r="B7" s="18">
        <v>1.52E-5</v>
      </c>
    </row>
    <row r="8" spans="1:2" x14ac:dyDescent="0.25">
      <c r="A8" s="18">
        <v>66</v>
      </c>
      <c r="B8" s="18">
        <v>3.0599999999999998E-5</v>
      </c>
    </row>
    <row r="9" spans="1:2" x14ac:dyDescent="0.25">
      <c r="A9" s="18">
        <v>67</v>
      </c>
      <c r="B9" s="18">
        <v>1.88E-5</v>
      </c>
    </row>
    <row r="10" spans="1:2" x14ac:dyDescent="0.25">
      <c r="A10" s="18">
        <v>68</v>
      </c>
      <c r="B10" s="18">
        <v>1.95E-5</v>
      </c>
    </row>
    <row r="11" spans="1:2" x14ac:dyDescent="0.25">
      <c r="A11" s="18">
        <v>69</v>
      </c>
      <c r="B11" s="18">
        <v>3.6900000000000002E-5</v>
      </c>
    </row>
    <row r="12" spans="1:2" x14ac:dyDescent="0.25">
      <c r="A12" s="18">
        <v>70</v>
      </c>
      <c r="B12" s="18">
        <v>2.34E-5</v>
      </c>
    </row>
    <row r="13" spans="1:2" x14ac:dyDescent="0.25">
      <c r="A13" s="18">
        <v>71</v>
      </c>
      <c r="B13" s="18">
        <v>7.4100000000000002E-6</v>
      </c>
    </row>
    <row r="14" spans="1:2" x14ac:dyDescent="0.25">
      <c r="A14" s="18">
        <v>72</v>
      </c>
      <c r="B14" s="18">
        <v>1.59E-5</v>
      </c>
    </row>
    <row r="15" spans="1:2" x14ac:dyDescent="0.25">
      <c r="A15" s="18">
        <v>73</v>
      </c>
      <c r="B15" s="18">
        <v>5.8400000000000003E-5</v>
      </c>
    </row>
    <row r="16" spans="1:2" x14ac:dyDescent="0.25">
      <c r="A16" s="18">
        <v>74</v>
      </c>
      <c r="B16" s="18">
        <v>3.0800000000000003E-5</v>
      </c>
    </row>
    <row r="17" spans="1:2" x14ac:dyDescent="0.25">
      <c r="A17" s="18">
        <v>75</v>
      </c>
      <c r="B17" s="18">
        <v>9.98E-5</v>
      </c>
    </row>
    <row r="18" spans="1:2" x14ac:dyDescent="0.25">
      <c r="A18" s="18">
        <v>76</v>
      </c>
      <c r="B18" s="18">
        <v>3.4400000000000003E-5</v>
      </c>
    </row>
    <row r="19" spans="1:2" x14ac:dyDescent="0.25">
      <c r="A19" s="18">
        <v>77</v>
      </c>
      <c r="B19" s="18">
        <v>1.22E-5</v>
      </c>
    </row>
    <row r="20" spans="1:2" x14ac:dyDescent="0.25">
      <c r="A20" s="18">
        <v>78</v>
      </c>
      <c r="B20" s="18">
        <v>2.4199999999999999E-5</v>
      </c>
    </row>
    <row r="21" spans="1:2" x14ac:dyDescent="0.25">
      <c r="A21" s="18">
        <v>79</v>
      </c>
      <c r="B21" s="18">
        <v>1.27E-5</v>
      </c>
    </row>
    <row r="22" spans="1:2" x14ac:dyDescent="0.25">
      <c r="A22" s="18">
        <v>80</v>
      </c>
      <c r="B22" s="18">
        <v>1.84E-5</v>
      </c>
    </row>
    <row r="23" spans="1:2" x14ac:dyDescent="0.25">
      <c r="A23" s="18">
        <v>81</v>
      </c>
      <c r="B23" s="18">
        <v>1.29E-5</v>
      </c>
    </row>
    <row r="24" spans="1:2" x14ac:dyDescent="0.25">
      <c r="A24" s="18">
        <v>82</v>
      </c>
      <c r="B24" s="18">
        <v>2.5000000000000001E-5</v>
      </c>
    </row>
    <row r="25" spans="1:2" x14ac:dyDescent="0.25">
      <c r="A25" s="18">
        <v>83</v>
      </c>
      <c r="B25" s="18">
        <v>2.0999999999999999E-5</v>
      </c>
    </row>
    <row r="26" spans="1:2" x14ac:dyDescent="0.25">
      <c r="A26" s="18">
        <v>84</v>
      </c>
      <c r="B26" s="18">
        <v>2.9799999999999999E-5</v>
      </c>
    </row>
    <row r="27" spans="1:2" x14ac:dyDescent="0.25">
      <c r="A27" s="18">
        <v>85</v>
      </c>
      <c r="B27" s="18">
        <v>5.66E-5</v>
      </c>
    </row>
    <row r="28" spans="1:2" x14ac:dyDescent="0.25">
      <c r="A28" s="18">
        <v>86</v>
      </c>
      <c r="B28" s="18">
        <v>3.0000000000000001E-5</v>
      </c>
    </row>
    <row r="29" spans="1:2" x14ac:dyDescent="0.25">
      <c r="A29" s="18">
        <v>87</v>
      </c>
      <c r="B29" s="18">
        <v>3.4700000000000003E-5</v>
      </c>
    </row>
    <row r="30" spans="1:2" x14ac:dyDescent="0.25">
      <c r="A30" s="18">
        <v>88</v>
      </c>
      <c r="B30" s="18">
        <v>4.5500000000000001E-5</v>
      </c>
    </row>
    <row r="31" spans="1:2" x14ac:dyDescent="0.25">
      <c r="A31" s="18">
        <v>89</v>
      </c>
      <c r="B31" s="18">
        <v>2.6699999999999998E-5</v>
      </c>
    </row>
    <row r="32" spans="1:2" x14ac:dyDescent="0.25">
      <c r="A32" s="18">
        <v>90</v>
      </c>
      <c r="B32" s="18">
        <v>2.4499999999999999E-5</v>
      </c>
    </row>
    <row r="33" spans="1:2" x14ac:dyDescent="0.25">
      <c r="A33" s="18">
        <v>91</v>
      </c>
      <c r="B33" s="18">
        <v>1.38E-5</v>
      </c>
    </row>
    <row r="34" spans="1:2" x14ac:dyDescent="0.25">
      <c r="A34" s="18">
        <v>92</v>
      </c>
      <c r="B34" s="18">
        <v>2.0800000000000001E-5</v>
      </c>
    </row>
    <row r="35" spans="1:2" x14ac:dyDescent="0.25">
      <c r="A35" s="18">
        <v>93</v>
      </c>
      <c r="B35" s="18">
        <v>2.23E-5</v>
      </c>
    </row>
    <row r="36" spans="1:2" x14ac:dyDescent="0.25">
      <c r="A36" s="18">
        <v>94</v>
      </c>
      <c r="B36" s="18">
        <v>3.15E-5</v>
      </c>
    </row>
    <row r="37" spans="1:2" x14ac:dyDescent="0.25">
      <c r="A37" s="18">
        <v>95</v>
      </c>
      <c r="B37" s="18">
        <v>3.8300000000000003E-5</v>
      </c>
    </row>
    <row r="38" spans="1:2" x14ac:dyDescent="0.25">
      <c r="A38" s="18">
        <v>96</v>
      </c>
      <c r="B38" s="18">
        <v>3.2199999999999997E-5</v>
      </c>
    </row>
    <row r="39" spans="1:2" x14ac:dyDescent="0.25">
      <c r="A39" s="18">
        <v>97</v>
      </c>
      <c r="B39" s="18">
        <v>1.98E-5</v>
      </c>
    </row>
    <row r="40" spans="1:2" x14ac:dyDescent="0.25">
      <c r="A40" s="18">
        <v>98</v>
      </c>
      <c r="B40" s="18">
        <v>2.4600000000000002E-5</v>
      </c>
    </row>
    <row r="41" spans="1:2" x14ac:dyDescent="0.25">
      <c r="A41" s="18">
        <v>99</v>
      </c>
      <c r="B41" s="18">
        <v>2.8099999999999999E-5</v>
      </c>
    </row>
    <row r="42" spans="1:2" x14ac:dyDescent="0.25">
      <c r="A42" s="18">
        <v>100</v>
      </c>
      <c r="B42" s="18">
        <v>3.65E-5</v>
      </c>
    </row>
    <row r="43" spans="1:2" x14ac:dyDescent="0.25">
      <c r="A43" s="18">
        <v>101</v>
      </c>
      <c r="B43" s="18">
        <v>2.9899999999999998E-5</v>
      </c>
    </row>
    <row r="44" spans="1:2" x14ac:dyDescent="0.25">
      <c r="A44" s="18">
        <v>102</v>
      </c>
      <c r="B44" s="18">
        <v>4.3900000000000003E-5</v>
      </c>
    </row>
    <row r="45" spans="1:2" x14ac:dyDescent="0.25">
      <c r="A45" s="18">
        <v>103</v>
      </c>
      <c r="B45" s="18">
        <v>4.2400000000000001E-5</v>
      </c>
    </row>
    <row r="46" spans="1:2" x14ac:dyDescent="0.25">
      <c r="A46" s="18">
        <v>104</v>
      </c>
      <c r="B46" s="18">
        <v>4.8900000000000003E-5</v>
      </c>
    </row>
    <row r="47" spans="1:2" x14ac:dyDescent="0.25">
      <c r="A47" s="18">
        <v>105</v>
      </c>
      <c r="B47" s="18">
        <v>2.7399999999999999E-5</v>
      </c>
    </row>
    <row r="48" spans="1:2" x14ac:dyDescent="0.25">
      <c r="A48" s="18">
        <v>106</v>
      </c>
      <c r="B48" s="18">
        <v>2.5700000000000001E-5</v>
      </c>
    </row>
    <row r="49" spans="1:2" x14ac:dyDescent="0.25">
      <c r="A49" s="18">
        <v>107</v>
      </c>
      <c r="B49" s="18">
        <v>3.9900000000000001E-5</v>
      </c>
    </row>
    <row r="50" spans="1:2" x14ac:dyDescent="0.25">
      <c r="A50" s="18">
        <v>108</v>
      </c>
      <c r="B50" s="18">
        <v>4.46E-5</v>
      </c>
    </row>
    <row r="51" spans="1:2" x14ac:dyDescent="0.25">
      <c r="A51" s="18">
        <v>109</v>
      </c>
      <c r="B51" s="18">
        <v>6.0900000000000003E-5</v>
      </c>
    </row>
    <row r="52" spans="1:2" x14ac:dyDescent="0.25">
      <c r="A52" s="18">
        <v>110</v>
      </c>
      <c r="B52" s="18">
        <v>2.3499999999999999E-5</v>
      </c>
    </row>
    <row r="53" spans="1:2" x14ac:dyDescent="0.25">
      <c r="A53" s="18">
        <v>111</v>
      </c>
      <c r="B53" s="18">
        <v>4.85E-5</v>
      </c>
    </row>
    <row r="54" spans="1:2" x14ac:dyDescent="0.25">
      <c r="A54" s="18">
        <v>112</v>
      </c>
      <c r="B54" s="18">
        <v>2.69E-5</v>
      </c>
    </row>
    <row r="55" spans="1:2" x14ac:dyDescent="0.25">
      <c r="A55" s="18">
        <v>113</v>
      </c>
      <c r="B55" s="18">
        <v>4.5599999999999997E-5</v>
      </c>
    </row>
    <row r="56" spans="1:2" x14ac:dyDescent="0.25">
      <c r="A56" s="18">
        <v>114</v>
      </c>
      <c r="B56" s="18">
        <v>5.49E-5</v>
      </c>
    </row>
    <row r="57" spans="1:2" x14ac:dyDescent="0.25">
      <c r="A57" s="18">
        <v>115</v>
      </c>
      <c r="B57" s="18">
        <v>5.52E-5</v>
      </c>
    </row>
    <row r="58" spans="1:2" x14ac:dyDescent="0.25">
      <c r="A58" s="18">
        <v>116</v>
      </c>
      <c r="B58" s="18">
        <v>5.6199999999999997E-5</v>
      </c>
    </row>
    <row r="59" spans="1:2" x14ac:dyDescent="0.25">
      <c r="A59" s="18">
        <v>117</v>
      </c>
      <c r="B59" s="18">
        <v>7.1400000000000001E-5</v>
      </c>
    </row>
    <row r="60" spans="1:2" x14ac:dyDescent="0.25">
      <c r="A60" s="18">
        <v>118</v>
      </c>
      <c r="B60" s="18">
        <v>6.0900000000000003E-5</v>
      </c>
    </row>
    <row r="61" spans="1:2" x14ac:dyDescent="0.25">
      <c r="A61" s="18">
        <v>119</v>
      </c>
      <c r="B61" s="18">
        <v>6.1699999999999995E-5</v>
      </c>
    </row>
    <row r="62" spans="1:2" x14ac:dyDescent="0.25">
      <c r="A62" s="18">
        <v>120</v>
      </c>
      <c r="B62" s="18">
        <v>6.3499999999999999E-5</v>
      </c>
    </row>
    <row r="63" spans="1:2" x14ac:dyDescent="0.25">
      <c r="A63" s="18">
        <v>121</v>
      </c>
      <c r="B63" s="18">
        <v>6.2899999999999997E-5</v>
      </c>
    </row>
    <row r="64" spans="1:2" x14ac:dyDescent="0.25">
      <c r="A64" s="18">
        <v>122</v>
      </c>
      <c r="B64" s="18">
        <v>6.7600000000000003E-5</v>
      </c>
    </row>
    <row r="65" spans="1:2" x14ac:dyDescent="0.25">
      <c r="A65" s="18">
        <v>123</v>
      </c>
      <c r="B65" s="18">
        <v>6.4200000000000002E-5</v>
      </c>
    </row>
    <row r="66" spans="1:2" x14ac:dyDescent="0.25">
      <c r="A66" s="18">
        <v>124</v>
      </c>
      <c r="B66" s="18">
        <v>3.7599999999999999E-5</v>
      </c>
    </row>
    <row r="67" spans="1:2" x14ac:dyDescent="0.25">
      <c r="A67" s="18">
        <v>125</v>
      </c>
      <c r="B67" s="18">
        <v>5.0399999999999999E-5</v>
      </c>
    </row>
    <row r="68" spans="1:2" x14ac:dyDescent="0.25">
      <c r="A68" s="18">
        <v>126</v>
      </c>
      <c r="B68" s="18">
        <v>7.8300000000000006E-5</v>
      </c>
    </row>
    <row r="69" spans="1:2" x14ac:dyDescent="0.25">
      <c r="A69" s="18">
        <v>127</v>
      </c>
      <c r="B69" s="18">
        <v>7.7600000000000002E-5</v>
      </c>
    </row>
    <row r="70" spans="1:2" x14ac:dyDescent="0.25">
      <c r="A70" s="18">
        <v>128</v>
      </c>
      <c r="B70" s="18">
        <v>6.7600000000000003E-5</v>
      </c>
    </row>
    <row r="71" spans="1:2" x14ac:dyDescent="0.25">
      <c r="A71" s="18">
        <v>129</v>
      </c>
      <c r="B71" s="18">
        <v>7.7899999999999996E-5</v>
      </c>
    </row>
    <row r="72" spans="1:2" x14ac:dyDescent="0.25">
      <c r="A72" s="18">
        <v>130</v>
      </c>
      <c r="B72" s="18">
        <v>8.8999999999999995E-5</v>
      </c>
    </row>
    <row r="73" spans="1:2" x14ac:dyDescent="0.25">
      <c r="A73" s="18">
        <v>131</v>
      </c>
      <c r="B73" s="18">
        <v>1.25E-4</v>
      </c>
    </row>
    <row r="74" spans="1:2" x14ac:dyDescent="0.25">
      <c r="A74" s="18">
        <v>132</v>
      </c>
      <c r="B74" s="18">
        <v>1.15E-4</v>
      </c>
    </row>
    <row r="75" spans="1:2" x14ac:dyDescent="0.25">
      <c r="A75" s="18">
        <v>133</v>
      </c>
      <c r="B75" s="18">
        <v>1.2300000000000001E-4</v>
      </c>
    </row>
    <row r="76" spans="1:2" x14ac:dyDescent="0.25">
      <c r="A76" s="18">
        <v>134</v>
      </c>
      <c r="B76" s="18">
        <v>9.7E-5</v>
      </c>
    </row>
    <row r="77" spans="1:2" x14ac:dyDescent="0.25">
      <c r="A77" s="18">
        <v>135</v>
      </c>
      <c r="B77" s="18">
        <v>1.25E-4</v>
      </c>
    </row>
    <row r="78" spans="1:2" x14ac:dyDescent="0.25">
      <c r="A78" s="18">
        <v>136</v>
      </c>
      <c r="B78" s="18">
        <v>1.4200000000000001E-4</v>
      </c>
    </row>
    <row r="79" spans="1:2" x14ac:dyDescent="0.25">
      <c r="A79" s="18">
        <v>137</v>
      </c>
      <c r="B79" s="18">
        <v>1.25E-4</v>
      </c>
    </row>
    <row r="80" spans="1:2" x14ac:dyDescent="0.25">
      <c r="A80" s="18">
        <v>138</v>
      </c>
      <c r="B80" s="18">
        <v>1.7200000000000001E-4</v>
      </c>
    </row>
    <row r="81" spans="1:2" x14ac:dyDescent="0.25">
      <c r="A81" s="18">
        <v>139</v>
      </c>
      <c r="B81" s="18">
        <v>1.18E-4</v>
      </c>
    </row>
    <row r="82" spans="1:2" x14ac:dyDescent="0.25">
      <c r="A82" s="18">
        <v>140</v>
      </c>
      <c r="B82" s="18">
        <v>1.1E-4</v>
      </c>
    </row>
    <row r="83" spans="1:2" x14ac:dyDescent="0.25">
      <c r="A83" s="18">
        <v>141</v>
      </c>
      <c r="B83" s="18">
        <v>1.4200000000000001E-4</v>
      </c>
    </row>
    <row r="84" spans="1:2" x14ac:dyDescent="0.25">
      <c r="A84" s="18">
        <v>142</v>
      </c>
      <c r="B84" s="18">
        <v>1.6200000000000001E-4</v>
      </c>
    </row>
    <row r="85" spans="1:2" x14ac:dyDescent="0.25">
      <c r="A85" s="18">
        <v>143</v>
      </c>
      <c r="B85" s="18">
        <v>1.7899999999999999E-4</v>
      </c>
    </row>
    <row r="86" spans="1:2" x14ac:dyDescent="0.25">
      <c r="A86" s="18">
        <v>144</v>
      </c>
      <c r="B86" s="18">
        <v>1.4999999999999999E-4</v>
      </c>
    </row>
    <row r="87" spans="1:2" x14ac:dyDescent="0.25">
      <c r="A87" s="18">
        <v>145</v>
      </c>
      <c r="B87" s="18">
        <v>1.56E-4</v>
      </c>
    </row>
    <row r="88" spans="1:2" x14ac:dyDescent="0.25">
      <c r="A88" s="18">
        <v>146</v>
      </c>
      <c r="B88" s="18">
        <v>1.56E-4</v>
      </c>
    </row>
    <row r="89" spans="1:2" x14ac:dyDescent="0.25">
      <c r="A89" s="18">
        <v>147</v>
      </c>
      <c r="B89" s="18">
        <v>1.5200000000000001E-4</v>
      </c>
    </row>
    <row r="90" spans="1:2" x14ac:dyDescent="0.25">
      <c r="A90" s="18">
        <v>148</v>
      </c>
      <c r="B90" s="18">
        <v>1.35E-4</v>
      </c>
    </row>
    <row r="91" spans="1:2" x14ac:dyDescent="0.25">
      <c r="A91" s="18">
        <v>149</v>
      </c>
      <c r="B91" s="18">
        <v>1.4799999999999999E-4</v>
      </c>
    </row>
    <row r="92" spans="1:2" x14ac:dyDescent="0.25">
      <c r="A92" s="18">
        <v>150</v>
      </c>
      <c r="B92" s="18">
        <v>1.37E-4</v>
      </c>
    </row>
    <row r="93" spans="1:2" x14ac:dyDescent="0.25">
      <c r="A93" s="18">
        <v>151</v>
      </c>
      <c r="B93" s="18">
        <v>1.4100000000000001E-4</v>
      </c>
    </row>
    <row r="94" spans="1:2" x14ac:dyDescent="0.25">
      <c r="A94" s="18">
        <v>152</v>
      </c>
      <c r="B94" s="18">
        <v>1.2300000000000001E-4</v>
      </c>
    </row>
    <row r="95" spans="1:2" x14ac:dyDescent="0.25">
      <c r="A95" s="18">
        <v>153</v>
      </c>
      <c r="B95" s="18">
        <v>1.45E-4</v>
      </c>
    </row>
    <row r="96" spans="1:2" x14ac:dyDescent="0.25">
      <c r="A96" s="18">
        <v>154</v>
      </c>
      <c r="B96" s="18">
        <v>1.22E-4</v>
      </c>
    </row>
    <row r="97" spans="1:2" x14ac:dyDescent="0.25">
      <c r="A97" s="18">
        <v>155</v>
      </c>
      <c r="B97" s="18">
        <v>1.4799999999999999E-4</v>
      </c>
    </row>
    <row r="98" spans="1:2" x14ac:dyDescent="0.25">
      <c r="A98" s="18">
        <v>156</v>
      </c>
      <c r="B98" s="18">
        <v>1.22E-4</v>
      </c>
    </row>
    <row r="99" spans="1:2" x14ac:dyDescent="0.25">
      <c r="A99" s="18">
        <v>157</v>
      </c>
      <c r="B99" s="18">
        <v>1.4999999999999999E-4</v>
      </c>
    </row>
    <row r="100" spans="1:2" x14ac:dyDescent="0.25">
      <c r="A100" s="18">
        <v>158</v>
      </c>
      <c r="B100" s="18">
        <v>1.34E-4</v>
      </c>
    </row>
    <row r="101" spans="1:2" x14ac:dyDescent="0.25">
      <c r="A101" s="18">
        <v>159</v>
      </c>
      <c r="B101" s="18">
        <v>1.3799999999999999E-4</v>
      </c>
    </row>
    <row r="102" spans="1:2" x14ac:dyDescent="0.25">
      <c r="A102" s="18">
        <v>160</v>
      </c>
      <c r="B102" s="18">
        <v>1.07E-4</v>
      </c>
    </row>
    <row r="103" spans="1:2" x14ac:dyDescent="0.25">
      <c r="A103" s="18">
        <v>161</v>
      </c>
      <c r="B103" s="18">
        <v>1.55E-4</v>
      </c>
    </row>
    <row r="104" spans="1:2" x14ac:dyDescent="0.25">
      <c r="A104" s="18">
        <v>162</v>
      </c>
      <c r="B104" s="18">
        <v>1.47E-4</v>
      </c>
    </row>
    <row r="105" spans="1:2" x14ac:dyDescent="0.25">
      <c r="A105" s="18">
        <v>163</v>
      </c>
      <c r="B105" s="18">
        <v>1.18E-4</v>
      </c>
    </row>
    <row r="106" spans="1:2" x14ac:dyDescent="0.25">
      <c r="A106" s="18">
        <v>164</v>
      </c>
      <c r="B106" s="18">
        <v>1.56E-4</v>
      </c>
    </row>
    <row r="107" spans="1:2" x14ac:dyDescent="0.25">
      <c r="A107" s="18">
        <v>165</v>
      </c>
      <c r="B107" s="18">
        <v>1.65E-4</v>
      </c>
    </row>
    <row r="108" spans="1:2" x14ac:dyDescent="0.25">
      <c r="A108" s="18">
        <v>166</v>
      </c>
      <c r="B108" s="18">
        <v>1.65E-4</v>
      </c>
    </row>
    <row r="109" spans="1:2" x14ac:dyDescent="0.25">
      <c r="A109" s="18">
        <v>167</v>
      </c>
      <c r="B109" s="18">
        <v>1.8799999999999999E-4</v>
      </c>
    </row>
    <row r="110" spans="1:2" x14ac:dyDescent="0.25">
      <c r="A110" s="18">
        <v>168</v>
      </c>
      <c r="B110" s="18">
        <v>1.8000000000000001E-4</v>
      </c>
    </row>
    <row r="111" spans="1:2" x14ac:dyDescent="0.25">
      <c r="A111" s="18">
        <v>169</v>
      </c>
      <c r="B111" s="18">
        <v>1.83E-4</v>
      </c>
    </row>
    <row r="112" spans="1:2" x14ac:dyDescent="0.25">
      <c r="A112" s="18">
        <v>170</v>
      </c>
      <c r="B112" s="18">
        <v>2.32E-4</v>
      </c>
    </row>
    <row r="113" spans="1:2" x14ac:dyDescent="0.25">
      <c r="A113" s="18">
        <v>171</v>
      </c>
      <c r="B113" s="18">
        <v>2.52E-4</v>
      </c>
    </row>
    <row r="114" spans="1:2" x14ac:dyDescent="0.25">
      <c r="A114" s="18">
        <v>172</v>
      </c>
      <c r="B114" s="18">
        <v>2.3800000000000001E-4</v>
      </c>
    </row>
    <row r="115" spans="1:2" x14ac:dyDescent="0.25">
      <c r="A115" s="18">
        <v>173</v>
      </c>
      <c r="B115" s="18">
        <v>2.8299999999999999E-4</v>
      </c>
    </row>
    <row r="116" spans="1:2" x14ac:dyDescent="0.25">
      <c r="A116" s="18">
        <v>174</v>
      </c>
      <c r="B116" s="18">
        <v>2.8299999999999999E-4</v>
      </c>
    </row>
    <row r="117" spans="1:2" x14ac:dyDescent="0.25">
      <c r="A117" s="18">
        <v>175</v>
      </c>
      <c r="B117" s="18">
        <v>3.28E-4</v>
      </c>
    </row>
    <row r="118" spans="1:2" x14ac:dyDescent="0.25">
      <c r="A118" s="18">
        <v>176</v>
      </c>
      <c r="B118" s="18">
        <v>3.6600000000000001E-4</v>
      </c>
    </row>
    <row r="119" spans="1:2" x14ac:dyDescent="0.25">
      <c r="A119" s="18">
        <v>177</v>
      </c>
      <c r="B119" s="18">
        <v>3.97E-4</v>
      </c>
    </row>
    <row r="120" spans="1:2" x14ac:dyDescent="0.25">
      <c r="A120" s="18">
        <v>178</v>
      </c>
      <c r="B120" s="18">
        <v>4.2400000000000001E-4</v>
      </c>
    </row>
    <row r="121" spans="1:2" x14ac:dyDescent="0.25">
      <c r="A121" s="18">
        <v>179</v>
      </c>
      <c r="B121" s="18">
        <v>5.0600000000000005E-4</v>
      </c>
    </row>
    <row r="122" spans="1:2" x14ac:dyDescent="0.25">
      <c r="A122" s="18">
        <v>180</v>
      </c>
      <c r="B122" s="18">
        <v>4.7899999999999999E-4</v>
      </c>
    </row>
    <row r="123" spans="1:2" x14ac:dyDescent="0.25">
      <c r="A123" s="18">
        <v>181</v>
      </c>
      <c r="B123" s="18">
        <v>5.8399999999999999E-4</v>
      </c>
    </row>
    <row r="124" spans="1:2" x14ac:dyDescent="0.25">
      <c r="A124" s="18">
        <v>182</v>
      </c>
      <c r="B124" s="18">
        <v>6.2600000000000004E-4</v>
      </c>
    </row>
    <row r="125" spans="1:2" x14ac:dyDescent="0.25">
      <c r="A125" s="18">
        <v>183</v>
      </c>
      <c r="B125" s="18">
        <v>6.38E-4</v>
      </c>
    </row>
    <row r="126" spans="1:2" x14ac:dyDescent="0.25">
      <c r="A126" s="18">
        <v>184</v>
      </c>
      <c r="B126" s="18">
        <v>6.9999999999999999E-4</v>
      </c>
    </row>
    <row r="127" spans="1:2" x14ac:dyDescent="0.25">
      <c r="A127" s="18">
        <v>185</v>
      </c>
      <c r="B127" s="18">
        <v>7.7899999999999996E-4</v>
      </c>
    </row>
    <row r="128" spans="1:2" x14ac:dyDescent="0.25">
      <c r="A128" s="18">
        <v>186</v>
      </c>
      <c r="B128" s="18">
        <v>8.5499999999999997E-4</v>
      </c>
    </row>
    <row r="129" spans="1:2" x14ac:dyDescent="0.25">
      <c r="A129" s="18">
        <v>187</v>
      </c>
      <c r="B129" s="18">
        <v>8.7299999999999997E-4</v>
      </c>
    </row>
    <row r="130" spans="1:2" x14ac:dyDescent="0.25">
      <c r="A130" s="18">
        <v>188</v>
      </c>
      <c r="B130" s="18">
        <v>9.8400000000000007E-4</v>
      </c>
    </row>
    <row r="131" spans="1:2" x14ac:dyDescent="0.25">
      <c r="A131" s="18">
        <v>189</v>
      </c>
      <c r="B131" s="18">
        <v>1.0300000000000001E-3</v>
      </c>
    </row>
    <row r="132" spans="1:2" x14ac:dyDescent="0.25">
      <c r="A132" s="18">
        <v>190</v>
      </c>
      <c r="B132" s="18">
        <v>1.14E-3</v>
      </c>
    </row>
    <row r="133" spans="1:2" x14ac:dyDescent="0.25">
      <c r="A133" s="18">
        <v>191</v>
      </c>
      <c r="B133" s="18">
        <v>1.24E-3</v>
      </c>
    </row>
    <row r="134" spans="1:2" x14ac:dyDescent="0.25">
      <c r="A134" s="18">
        <v>192</v>
      </c>
      <c r="B134" s="18">
        <v>1.31E-3</v>
      </c>
    </row>
    <row r="135" spans="1:2" x14ac:dyDescent="0.25">
      <c r="A135" s="18">
        <v>193</v>
      </c>
      <c r="B135" s="18">
        <v>1.4499999999999999E-3</v>
      </c>
    </row>
    <row r="136" spans="1:2" x14ac:dyDescent="0.25">
      <c r="A136" s="18">
        <v>194</v>
      </c>
      <c r="B136" s="18">
        <v>1.5399999999999999E-3</v>
      </c>
    </row>
    <row r="137" spans="1:2" x14ac:dyDescent="0.25">
      <c r="A137" s="18">
        <v>195</v>
      </c>
      <c r="B137" s="18">
        <v>1.6199999999999999E-3</v>
      </c>
    </row>
    <row r="138" spans="1:2" x14ac:dyDescent="0.25">
      <c r="A138" s="18">
        <v>196</v>
      </c>
      <c r="B138" s="18">
        <v>1.72E-3</v>
      </c>
    </row>
    <row r="139" spans="1:2" x14ac:dyDescent="0.25">
      <c r="A139" s="18">
        <v>197</v>
      </c>
      <c r="B139" s="18">
        <v>1.9300000000000001E-3</v>
      </c>
    </row>
    <row r="140" spans="1:2" x14ac:dyDescent="0.25">
      <c r="A140" s="18">
        <v>198</v>
      </c>
      <c r="B140" s="18">
        <v>1.99E-3</v>
      </c>
    </row>
    <row r="141" spans="1:2" x14ac:dyDescent="0.25">
      <c r="A141" s="18">
        <v>199</v>
      </c>
      <c r="B141" s="18">
        <v>2.1299999999999999E-3</v>
      </c>
    </row>
    <row r="142" spans="1:2" x14ac:dyDescent="0.25">
      <c r="A142" s="18">
        <v>200</v>
      </c>
      <c r="B142" s="18">
        <v>2.2699999999999999E-3</v>
      </c>
    </row>
    <row r="143" spans="1:2" x14ac:dyDescent="0.25">
      <c r="A143" s="18">
        <v>201</v>
      </c>
      <c r="B143" s="18">
        <v>2.5300000000000001E-3</v>
      </c>
    </row>
    <row r="144" spans="1:2" x14ac:dyDescent="0.25">
      <c r="A144" s="18">
        <v>202</v>
      </c>
      <c r="B144" s="18">
        <v>2.5999999999999999E-3</v>
      </c>
    </row>
    <row r="145" spans="1:2" x14ac:dyDescent="0.25">
      <c r="A145" s="18">
        <v>203</v>
      </c>
      <c r="B145" s="18">
        <v>2.8E-3</v>
      </c>
    </row>
    <row r="146" spans="1:2" x14ac:dyDescent="0.25">
      <c r="A146" s="18">
        <v>204</v>
      </c>
      <c r="B146" s="18">
        <v>3.0400000000000002E-3</v>
      </c>
    </row>
    <row r="147" spans="1:2" x14ac:dyDescent="0.25">
      <c r="A147" s="18">
        <v>205</v>
      </c>
      <c r="B147" s="18">
        <v>3.15E-3</v>
      </c>
    </row>
    <row r="148" spans="1:2" x14ac:dyDescent="0.25">
      <c r="A148" s="18">
        <v>206</v>
      </c>
      <c r="B148" s="18">
        <v>3.29E-3</v>
      </c>
    </row>
    <row r="149" spans="1:2" x14ac:dyDescent="0.25">
      <c r="A149" s="18">
        <v>207</v>
      </c>
      <c r="B149" s="18">
        <v>3.5000000000000001E-3</v>
      </c>
    </row>
    <row r="150" spans="1:2" x14ac:dyDescent="0.25">
      <c r="A150" s="18">
        <v>208</v>
      </c>
      <c r="B150" s="18">
        <v>3.5799999999999998E-3</v>
      </c>
    </row>
    <row r="151" spans="1:2" x14ac:dyDescent="0.25">
      <c r="A151" s="18">
        <v>209</v>
      </c>
      <c r="B151" s="18">
        <v>3.7000000000000002E-3</v>
      </c>
    </row>
    <row r="152" spans="1:2" x14ac:dyDescent="0.25">
      <c r="A152" s="18">
        <v>210</v>
      </c>
      <c r="B152" s="18">
        <v>3.9899999999999996E-3</v>
      </c>
    </row>
    <row r="153" spans="1:2" x14ac:dyDescent="0.25">
      <c r="A153" s="18">
        <v>211</v>
      </c>
      <c r="B153" s="18">
        <v>4.1399999999999996E-3</v>
      </c>
    </row>
    <row r="154" spans="1:2" x14ac:dyDescent="0.25">
      <c r="A154" s="18">
        <v>212</v>
      </c>
      <c r="B154" s="18">
        <v>4.2900000000000004E-3</v>
      </c>
    </row>
    <row r="155" spans="1:2" x14ac:dyDescent="0.25">
      <c r="A155" s="18">
        <v>213</v>
      </c>
      <c r="B155" s="18">
        <v>4.47E-3</v>
      </c>
    </row>
    <row r="156" spans="1:2" x14ac:dyDescent="0.25">
      <c r="A156" s="18">
        <v>214</v>
      </c>
      <c r="B156" s="18">
        <v>4.7400000000000003E-3</v>
      </c>
    </row>
    <row r="157" spans="1:2" x14ac:dyDescent="0.25">
      <c r="A157" s="18">
        <v>215</v>
      </c>
      <c r="B157" s="18">
        <v>4.9500000000000004E-3</v>
      </c>
    </row>
    <row r="158" spans="1:2" x14ac:dyDescent="0.25">
      <c r="A158" s="18">
        <v>216</v>
      </c>
      <c r="B158" s="18">
        <v>5.2100000000000002E-3</v>
      </c>
    </row>
    <row r="159" spans="1:2" x14ac:dyDescent="0.25">
      <c r="A159" s="18">
        <v>217</v>
      </c>
      <c r="B159" s="18">
        <v>5.3499999999999997E-3</v>
      </c>
    </row>
    <row r="160" spans="1:2" x14ac:dyDescent="0.25">
      <c r="A160" s="18">
        <v>218</v>
      </c>
      <c r="B160" s="18">
        <v>5.5999999999999999E-3</v>
      </c>
    </row>
    <row r="161" spans="1:2" x14ac:dyDescent="0.25">
      <c r="A161" s="18">
        <v>219</v>
      </c>
      <c r="B161" s="18">
        <v>5.9800000000000001E-3</v>
      </c>
    </row>
    <row r="162" spans="1:2" x14ac:dyDescent="0.25">
      <c r="A162" s="18">
        <v>220</v>
      </c>
      <c r="B162" s="18">
        <v>6.3400000000000001E-3</v>
      </c>
    </row>
    <row r="163" spans="1:2" x14ac:dyDescent="0.25">
      <c r="A163" s="18">
        <v>221</v>
      </c>
      <c r="B163" s="18">
        <v>6.5199999999999998E-3</v>
      </c>
    </row>
    <row r="164" spans="1:2" x14ac:dyDescent="0.25">
      <c r="A164" s="18">
        <v>222</v>
      </c>
      <c r="B164" s="18">
        <v>6.8599999999999998E-3</v>
      </c>
    </row>
    <row r="165" spans="1:2" x14ac:dyDescent="0.25">
      <c r="A165" s="18">
        <v>223</v>
      </c>
      <c r="B165" s="18">
        <v>7.0699999999999999E-3</v>
      </c>
    </row>
    <row r="166" spans="1:2" x14ac:dyDescent="0.25">
      <c r="A166" s="18">
        <v>224</v>
      </c>
      <c r="B166" s="18">
        <v>7.3099999999999997E-3</v>
      </c>
    </row>
    <row r="167" spans="1:2" x14ac:dyDescent="0.25">
      <c r="A167" s="18">
        <v>225</v>
      </c>
      <c r="B167" s="18">
        <v>7.8399999999999997E-3</v>
      </c>
    </row>
    <row r="168" spans="1:2" x14ac:dyDescent="0.25">
      <c r="A168" s="18">
        <v>226</v>
      </c>
      <c r="B168" s="18">
        <v>7.8600000000000007E-3</v>
      </c>
    </row>
    <row r="169" spans="1:2" x14ac:dyDescent="0.25">
      <c r="A169" s="18">
        <v>227</v>
      </c>
      <c r="B169" s="18">
        <v>8.2199999999999999E-3</v>
      </c>
    </row>
    <row r="170" spans="1:2" x14ac:dyDescent="0.25">
      <c r="A170" s="18">
        <v>228</v>
      </c>
      <c r="B170" s="18">
        <v>8.3499999999999998E-3</v>
      </c>
    </row>
    <row r="171" spans="1:2" x14ac:dyDescent="0.25">
      <c r="A171" s="18">
        <v>229</v>
      </c>
      <c r="B171" s="18">
        <v>8.6E-3</v>
      </c>
    </row>
    <row r="172" spans="1:2" x14ac:dyDescent="0.25">
      <c r="A172" s="18">
        <v>230</v>
      </c>
      <c r="B172" s="18">
        <v>9.0299999999999998E-3</v>
      </c>
    </row>
    <row r="173" spans="1:2" x14ac:dyDescent="0.25">
      <c r="A173" s="18">
        <v>231</v>
      </c>
      <c r="B173" s="18">
        <v>9.1999999999999998E-3</v>
      </c>
    </row>
    <row r="174" spans="1:2" x14ac:dyDescent="0.25">
      <c r="A174" s="18">
        <v>232</v>
      </c>
      <c r="B174" s="18">
        <v>9.6699999999999998E-3</v>
      </c>
    </row>
    <row r="175" spans="1:2" x14ac:dyDescent="0.25">
      <c r="A175" s="18">
        <v>233</v>
      </c>
      <c r="B175" s="18">
        <v>9.7599999999999996E-3</v>
      </c>
    </row>
    <row r="176" spans="1:2" x14ac:dyDescent="0.25">
      <c r="A176" s="18">
        <v>234</v>
      </c>
      <c r="B176" s="18">
        <v>1.0200000000000001E-2</v>
      </c>
    </row>
    <row r="177" spans="1:2" x14ac:dyDescent="0.25">
      <c r="A177" s="18">
        <v>235</v>
      </c>
      <c r="B177" s="18">
        <v>1.0500000000000001E-2</v>
      </c>
    </row>
    <row r="178" spans="1:2" x14ac:dyDescent="0.25">
      <c r="A178" s="18">
        <v>236</v>
      </c>
      <c r="B178" s="18">
        <v>1.09E-2</v>
      </c>
    </row>
    <row r="179" spans="1:2" x14ac:dyDescent="0.25">
      <c r="A179" s="18">
        <v>237</v>
      </c>
      <c r="B179" s="18">
        <v>1.0999999999999999E-2</v>
      </c>
    </row>
    <row r="180" spans="1:2" x14ac:dyDescent="0.25">
      <c r="A180" s="18">
        <v>238</v>
      </c>
      <c r="B180" s="18">
        <v>1.14E-2</v>
      </c>
    </row>
    <row r="181" spans="1:2" x14ac:dyDescent="0.25">
      <c r="A181" s="18">
        <v>239</v>
      </c>
      <c r="B181" s="18">
        <v>1.1599999999999999E-2</v>
      </c>
    </row>
    <row r="182" spans="1:2" x14ac:dyDescent="0.25">
      <c r="A182" s="18">
        <v>240</v>
      </c>
      <c r="B182" s="18">
        <v>1.17E-2</v>
      </c>
    </row>
    <row r="183" spans="1:2" x14ac:dyDescent="0.25">
      <c r="A183" s="18">
        <v>241</v>
      </c>
      <c r="B183" s="18">
        <v>1.2200000000000001E-2</v>
      </c>
    </row>
    <row r="184" spans="1:2" x14ac:dyDescent="0.25">
      <c r="A184" s="18">
        <v>242</v>
      </c>
      <c r="B184" s="18">
        <v>1.24E-2</v>
      </c>
    </row>
    <row r="185" spans="1:2" x14ac:dyDescent="0.25">
      <c r="A185" s="18">
        <v>243</v>
      </c>
      <c r="B185" s="18">
        <v>1.26E-2</v>
      </c>
    </row>
    <row r="186" spans="1:2" x14ac:dyDescent="0.25">
      <c r="A186" s="18">
        <v>244</v>
      </c>
      <c r="B186" s="18">
        <v>1.29E-2</v>
      </c>
    </row>
    <row r="187" spans="1:2" x14ac:dyDescent="0.25">
      <c r="A187" s="18">
        <v>245</v>
      </c>
      <c r="B187" s="18">
        <v>1.3100000000000001E-2</v>
      </c>
    </row>
    <row r="188" spans="1:2" x14ac:dyDescent="0.25">
      <c r="A188" s="18">
        <v>246</v>
      </c>
      <c r="B188" s="18">
        <v>1.3100000000000001E-2</v>
      </c>
    </row>
    <row r="189" spans="1:2" x14ac:dyDescent="0.25">
      <c r="A189" s="18">
        <v>247</v>
      </c>
      <c r="B189" s="18">
        <v>1.34E-2</v>
      </c>
    </row>
    <row r="190" spans="1:2" x14ac:dyDescent="0.25">
      <c r="A190" s="18">
        <v>248</v>
      </c>
      <c r="B190" s="18">
        <v>1.38E-2</v>
      </c>
    </row>
    <row r="191" spans="1:2" x14ac:dyDescent="0.25">
      <c r="A191" s="18">
        <v>249</v>
      </c>
      <c r="B191" s="18">
        <v>1.35E-2</v>
      </c>
    </row>
    <row r="192" spans="1:2" x14ac:dyDescent="0.25">
      <c r="A192" s="18">
        <v>250</v>
      </c>
      <c r="B192" s="18">
        <v>1.38E-2</v>
      </c>
    </row>
    <row r="193" spans="1:2" x14ac:dyDescent="0.25">
      <c r="A193" s="18">
        <v>251</v>
      </c>
      <c r="B193" s="18">
        <v>1.41E-2</v>
      </c>
    </row>
    <row r="194" spans="1:2" x14ac:dyDescent="0.25">
      <c r="A194" s="18">
        <v>252</v>
      </c>
      <c r="B194" s="18">
        <v>1.4200000000000001E-2</v>
      </c>
    </row>
    <row r="195" spans="1:2" x14ac:dyDescent="0.25">
      <c r="A195" s="18">
        <v>253</v>
      </c>
      <c r="B195" s="18">
        <v>1.46E-2</v>
      </c>
    </row>
    <row r="196" spans="1:2" x14ac:dyDescent="0.25">
      <c r="A196" s="18">
        <v>254</v>
      </c>
      <c r="B196" s="18">
        <v>1.43E-2</v>
      </c>
    </row>
    <row r="197" spans="1:2" x14ac:dyDescent="0.25">
      <c r="A197" s="18">
        <v>255</v>
      </c>
      <c r="B197" s="18">
        <v>1.47E-2</v>
      </c>
    </row>
    <row r="198" spans="1:2" x14ac:dyDescent="0.25">
      <c r="A198" s="18">
        <v>256</v>
      </c>
      <c r="B198" s="18">
        <v>1.4500000000000001E-2</v>
      </c>
    </row>
    <row r="199" spans="1:2" x14ac:dyDescent="0.25">
      <c r="A199" s="18">
        <v>257</v>
      </c>
      <c r="B199" s="18">
        <v>1.49E-2</v>
      </c>
    </row>
    <row r="200" spans="1:2" x14ac:dyDescent="0.25">
      <c r="A200" s="18">
        <v>258</v>
      </c>
      <c r="B200" s="18">
        <v>1.47E-2</v>
      </c>
    </row>
    <row r="201" spans="1:2" x14ac:dyDescent="0.25">
      <c r="A201" s="18">
        <v>259</v>
      </c>
      <c r="B201" s="18">
        <v>1.47E-2</v>
      </c>
    </row>
    <row r="202" spans="1:2" x14ac:dyDescent="0.25">
      <c r="A202" s="18">
        <v>260</v>
      </c>
      <c r="B202" s="18">
        <v>1.4800000000000001E-2</v>
      </c>
    </row>
    <row r="203" spans="1:2" x14ac:dyDescent="0.25">
      <c r="A203" s="18">
        <v>261</v>
      </c>
      <c r="B203" s="18">
        <v>1.47E-2</v>
      </c>
    </row>
    <row r="204" spans="1:2" x14ac:dyDescent="0.25">
      <c r="A204" s="18">
        <v>262</v>
      </c>
      <c r="B204" s="18">
        <v>1.47E-2</v>
      </c>
    </row>
    <row r="205" spans="1:2" x14ac:dyDescent="0.25">
      <c r="A205" s="18">
        <v>263</v>
      </c>
      <c r="B205" s="18">
        <v>1.44E-2</v>
      </c>
    </row>
    <row r="206" spans="1:2" x14ac:dyDescent="0.25">
      <c r="A206" s="18">
        <v>264</v>
      </c>
      <c r="B206" s="18">
        <v>1.4500000000000001E-2</v>
      </c>
    </row>
    <row r="207" spans="1:2" x14ac:dyDescent="0.25">
      <c r="A207" s="18">
        <v>265</v>
      </c>
      <c r="B207" s="18">
        <v>1.4500000000000001E-2</v>
      </c>
    </row>
    <row r="208" spans="1:2" x14ac:dyDescent="0.25">
      <c r="A208" s="18">
        <v>266</v>
      </c>
      <c r="B208" s="18">
        <v>1.46E-2</v>
      </c>
    </row>
    <row r="209" spans="1:2" x14ac:dyDescent="0.25">
      <c r="A209" s="18">
        <v>267</v>
      </c>
      <c r="B209" s="18">
        <v>1.4500000000000001E-2</v>
      </c>
    </row>
    <row r="210" spans="1:2" x14ac:dyDescent="0.25">
      <c r="A210" s="18">
        <v>268</v>
      </c>
      <c r="B210" s="18">
        <v>1.44E-2</v>
      </c>
    </row>
    <row r="211" spans="1:2" x14ac:dyDescent="0.25">
      <c r="A211" s="18">
        <v>269</v>
      </c>
      <c r="B211" s="18">
        <v>1.4500000000000001E-2</v>
      </c>
    </row>
    <row r="212" spans="1:2" x14ac:dyDescent="0.25">
      <c r="A212" s="18">
        <v>270</v>
      </c>
      <c r="B212" s="18">
        <v>1.4200000000000001E-2</v>
      </c>
    </row>
    <row r="213" spans="1:2" x14ac:dyDescent="0.25">
      <c r="A213" s="18">
        <v>271</v>
      </c>
      <c r="B213" s="18">
        <v>1.44E-2</v>
      </c>
    </row>
    <row r="214" spans="1:2" x14ac:dyDescent="0.25">
      <c r="A214" s="18">
        <v>272</v>
      </c>
      <c r="B214" s="18">
        <v>1.43E-2</v>
      </c>
    </row>
    <row r="215" spans="1:2" x14ac:dyDescent="0.25">
      <c r="A215" s="18">
        <v>273</v>
      </c>
      <c r="B215" s="18">
        <v>1.43E-2</v>
      </c>
    </row>
    <row r="216" spans="1:2" x14ac:dyDescent="0.25">
      <c r="A216" s="18">
        <v>274</v>
      </c>
      <c r="B216" s="18">
        <v>1.41E-2</v>
      </c>
    </row>
    <row r="217" spans="1:2" x14ac:dyDescent="0.25">
      <c r="A217" s="18">
        <v>275</v>
      </c>
      <c r="B217" s="18">
        <v>1.3899999999999999E-2</v>
      </c>
    </row>
    <row r="218" spans="1:2" x14ac:dyDescent="0.25">
      <c r="A218" s="18">
        <v>276</v>
      </c>
      <c r="B218" s="18">
        <v>1.4200000000000001E-2</v>
      </c>
    </row>
    <row r="219" spans="1:2" x14ac:dyDescent="0.25">
      <c r="A219" s="18">
        <v>277</v>
      </c>
      <c r="B219" s="18">
        <v>1.34E-2</v>
      </c>
    </row>
    <row r="220" spans="1:2" x14ac:dyDescent="0.25">
      <c r="A220" s="18">
        <v>278</v>
      </c>
      <c r="B220" s="18">
        <v>1.34E-2</v>
      </c>
    </row>
    <row r="221" spans="1:2" x14ac:dyDescent="0.25">
      <c r="A221" s="18">
        <v>279</v>
      </c>
      <c r="B221" s="18">
        <v>1.3100000000000001E-2</v>
      </c>
    </row>
    <row r="222" spans="1:2" x14ac:dyDescent="0.25">
      <c r="A222" s="18">
        <v>280</v>
      </c>
      <c r="B222" s="18">
        <v>1.2500000000000001E-2</v>
      </c>
    </row>
    <row r="223" spans="1:2" x14ac:dyDescent="0.25">
      <c r="A223" s="18">
        <v>281</v>
      </c>
      <c r="B223" s="18">
        <v>1.24E-2</v>
      </c>
    </row>
    <row r="224" spans="1:2" x14ac:dyDescent="0.25">
      <c r="A224" s="18">
        <v>282</v>
      </c>
      <c r="B224" s="18">
        <v>1.2E-2</v>
      </c>
    </row>
    <row r="225" spans="1:2" x14ac:dyDescent="0.25">
      <c r="A225" s="18">
        <v>283</v>
      </c>
      <c r="B225" s="18">
        <v>1.1299999999999999E-2</v>
      </c>
    </row>
    <row r="226" spans="1:2" x14ac:dyDescent="0.25">
      <c r="A226" s="18">
        <v>284</v>
      </c>
      <c r="B226" s="18">
        <v>1.0999999999999999E-2</v>
      </c>
    </row>
    <row r="227" spans="1:2" x14ac:dyDescent="0.25">
      <c r="A227" s="18">
        <v>285</v>
      </c>
      <c r="B227" s="18">
        <v>1.0699999999999999E-2</v>
      </c>
    </row>
    <row r="228" spans="1:2" x14ac:dyDescent="0.25">
      <c r="A228" s="18">
        <v>286</v>
      </c>
      <c r="B228" s="18">
        <v>1.01E-2</v>
      </c>
    </row>
    <row r="229" spans="1:2" x14ac:dyDescent="0.25">
      <c r="A229" s="18">
        <v>287</v>
      </c>
      <c r="B229" s="18">
        <v>9.3399999999999993E-3</v>
      </c>
    </row>
    <row r="230" spans="1:2" x14ac:dyDescent="0.25">
      <c r="A230" s="18">
        <v>288</v>
      </c>
      <c r="B230" s="18">
        <v>8.9999999999999993E-3</v>
      </c>
    </row>
    <row r="231" spans="1:2" x14ac:dyDescent="0.25">
      <c r="A231" s="18">
        <v>289</v>
      </c>
      <c r="B231" s="18">
        <v>8.0199999999999994E-3</v>
      </c>
    </row>
    <row r="232" spans="1:2" x14ac:dyDescent="0.25">
      <c r="A232" s="18">
        <v>290</v>
      </c>
      <c r="B232" s="18">
        <v>7.4599999999999996E-3</v>
      </c>
    </row>
    <row r="233" spans="1:2" x14ac:dyDescent="0.25">
      <c r="A233" s="18">
        <v>291</v>
      </c>
      <c r="B233" s="18">
        <v>7.0200000000000002E-3</v>
      </c>
    </row>
    <row r="234" spans="1:2" x14ac:dyDescent="0.25">
      <c r="A234" s="18">
        <v>292</v>
      </c>
      <c r="B234" s="18">
        <v>6.28E-3</v>
      </c>
    </row>
    <row r="235" spans="1:2" x14ac:dyDescent="0.25">
      <c r="A235" s="18">
        <v>293</v>
      </c>
      <c r="B235" s="18">
        <v>5.4999999999999997E-3</v>
      </c>
    </row>
    <row r="236" spans="1:2" x14ac:dyDescent="0.25">
      <c r="A236" s="18">
        <v>294</v>
      </c>
      <c r="B236" s="18">
        <v>4.64E-3</v>
      </c>
    </row>
    <row r="237" spans="1:2" x14ac:dyDescent="0.25">
      <c r="A237" s="18">
        <v>295</v>
      </c>
      <c r="B237" s="18">
        <v>3.81E-3</v>
      </c>
    </row>
    <row r="238" spans="1:2" x14ac:dyDescent="0.25">
      <c r="A238" s="18">
        <v>296</v>
      </c>
      <c r="B238" s="18">
        <v>3.0799999999999998E-3</v>
      </c>
    </row>
    <row r="239" spans="1:2" x14ac:dyDescent="0.25">
      <c r="A239" s="18">
        <v>297</v>
      </c>
      <c r="B239" s="18">
        <v>2.3700000000000001E-3</v>
      </c>
    </row>
    <row r="240" spans="1:2" x14ac:dyDescent="0.25">
      <c r="A240" s="18">
        <v>298</v>
      </c>
      <c r="B240" s="18">
        <v>1.6800000000000001E-3</v>
      </c>
    </row>
    <row r="241" spans="1:2" x14ac:dyDescent="0.25">
      <c r="A241" s="18">
        <v>299</v>
      </c>
      <c r="B241" s="18">
        <v>9.19E-4</v>
      </c>
    </row>
    <row r="242" spans="1:2" x14ac:dyDescent="0.25">
      <c r="A242" s="18">
        <v>300</v>
      </c>
      <c r="B242" s="18">
        <v>1.6100000000000001E-4</v>
      </c>
    </row>
    <row r="243" spans="1:2" x14ac:dyDescent="0.25">
      <c r="A243" s="18">
        <v>301</v>
      </c>
      <c r="B243" s="18">
        <v>3.3699999999999999E-6</v>
      </c>
    </row>
    <row r="244" spans="1:2" x14ac:dyDescent="0.25">
      <c r="A244" s="18">
        <v>302</v>
      </c>
      <c r="B244" s="18">
        <v>1.0699999999999999E-6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dimension ref="A1:B39"/>
  <sheetViews>
    <sheetView workbookViewId="0">
      <selection activeCell="H12" sqref="H12"/>
    </sheetView>
  </sheetViews>
  <sheetFormatPr defaultRowHeight="15" x14ac:dyDescent="0.25"/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4.5999999999999996</v>
      </c>
      <c r="B2" s="18">
        <v>4.8099999999999998E-4</v>
      </c>
    </row>
    <row r="3" spans="1:2" x14ac:dyDescent="0.25">
      <c r="A3" s="18">
        <v>4.8</v>
      </c>
      <c r="B3" s="18">
        <v>6.8700000000000003E-5</v>
      </c>
    </row>
    <row r="4" spans="1:2" x14ac:dyDescent="0.25">
      <c r="A4" s="18">
        <v>5</v>
      </c>
      <c r="B4" s="18">
        <v>4.8099999999999998E-4</v>
      </c>
    </row>
    <row r="5" spans="1:2" x14ac:dyDescent="0.25">
      <c r="A5" s="18">
        <v>5.2</v>
      </c>
      <c r="B5" s="18">
        <v>1.35E-4</v>
      </c>
    </row>
    <row r="6" spans="1:2" x14ac:dyDescent="0.25">
      <c r="A6" s="18">
        <v>5.4</v>
      </c>
      <c r="B6" s="18">
        <v>4.1399999999999998E-4</v>
      </c>
    </row>
    <row r="7" spans="1:2" x14ac:dyDescent="0.25">
      <c r="A7" s="18">
        <v>5.6</v>
      </c>
      <c r="B7" s="18">
        <v>2.4000000000000001E-4</v>
      </c>
    </row>
    <row r="8" spans="1:2" x14ac:dyDescent="0.25">
      <c r="A8" s="18">
        <v>5.8</v>
      </c>
      <c r="B8" s="18">
        <v>5.2300000000000003E-4</v>
      </c>
    </row>
    <row r="9" spans="1:2" x14ac:dyDescent="0.25">
      <c r="A9" s="18">
        <v>6</v>
      </c>
      <c r="B9" s="18">
        <v>4.84E-4</v>
      </c>
    </row>
    <row r="10" spans="1:2" x14ac:dyDescent="0.25">
      <c r="A10" s="18">
        <v>6.2</v>
      </c>
      <c r="B10" s="18">
        <v>1.1900000000000001E-3</v>
      </c>
    </row>
    <row r="11" spans="1:2" x14ac:dyDescent="0.25">
      <c r="A11" s="18">
        <v>6.4</v>
      </c>
      <c r="B11" s="18">
        <v>2E-3</v>
      </c>
    </row>
    <row r="12" spans="1:2" x14ac:dyDescent="0.25">
      <c r="A12" s="18">
        <v>6.6</v>
      </c>
      <c r="B12" s="18">
        <v>4.4299999999999999E-3</v>
      </c>
    </row>
    <row r="13" spans="1:2" x14ac:dyDescent="0.25">
      <c r="A13" s="18">
        <v>6.8</v>
      </c>
      <c r="B13" s="18">
        <v>7.3499999999999998E-3</v>
      </c>
    </row>
    <row r="14" spans="1:2" x14ac:dyDescent="0.25">
      <c r="A14" s="18">
        <v>7</v>
      </c>
      <c r="B14" s="18">
        <v>1.1900000000000001E-2</v>
      </c>
    </row>
    <row r="15" spans="1:2" x14ac:dyDescent="0.25">
      <c r="A15" s="18">
        <v>7.2</v>
      </c>
      <c r="B15" s="18">
        <v>1.8100000000000002E-2</v>
      </c>
    </row>
    <row r="16" spans="1:2" x14ac:dyDescent="0.25">
      <c r="A16" s="18">
        <v>7.4</v>
      </c>
      <c r="B16" s="18">
        <v>2.3800000000000002E-2</v>
      </c>
    </row>
    <row r="17" spans="1:2" x14ac:dyDescent="0.25">
      <c r="A17" s="18">
        <v>7.6</v>
      </c>
      <c r="B17" s="18">
        <v>3.3599999999999998E-2</v>
      </c>
    </row>
    <row r="18" spans="1:2" x14ac:dyDescent="0.25">
      <c r="A18" s="18">
        <v>7.8</v>
      </c>
      <c r="B18" s="18">
        <v>4.3499999999999997E-2</v>
      </c>
    </row>
    <row r="19" spans="1:2" x14ac:dyDescent="0.25">
      <c r="A19" s="18">
        <v>8</v>
      </c>
      <c r="B19" s="18">
        <v>5.6800000000000003E-2</v>
      </c>
    </row>
    <row r="20" spans="1:2" x14ac:dyDescent="0.25">
      <c r="A20" s="18">
        <v>8.1999999999999993</v>
      </c>
      <c r="B20" s="18">
        <v>6.7000000000000004E-2</v>
      </c>
    </row>
    <row r="21" spans="1:2" x14ac:dyDescent="0.25">
      <c r="A21" s="18">
        <v>8.4</v>
      </c>
      <c r="B21" s="18">
        <v>7.8600000000000003E-2</v>
      </c>
    </row>
    <row r="22" spans="1:2" x14ac:dyDescent="0.25">
      <c r="A22" s="18">
        <v>8.6</v>
      </c>
      <c r="B22" s="18">
        <v>8.7599999999999997E-2</v>
      </c>
    </row>
    <row r="23" spans="1:2" x14ac:dyDescent="0.25">
      <c r="A23" s="18">
        <v>8.8000000000000007</v>
      </c>
      <c r="B23" s="18">
        <v>9.4600000000000004E-2</v>
      </c>
    </row>
    <row r="24" spans="1:2" x14ac:dyDescent="0.25">
      <c r="A24" s="18">
        <v>9</v>
      </c>
      <c r="B24" s="18">
        <v>9.9699999999999997E-2</v>
      </c>
    </row>
    <row r="25" spans="1:2" x14ac:dyDescent="0.25">
      <c r="A25" s="18">
        <v>9.1999999999999993</v>
      </c>
      <c r="B25" s="18">
        <v>0.1</v>
      </c>
    </row>
    <row r="26" spans="1:2" x14ac:dyDescent="0.25">
      <c r="A26" s="18">
        <v>9.4</v>
      </c>
      <c r="B26" s="18">
        <v>9.5799999999999996E-2</v>
      </c>
    </row>
    <row r="27" spans="1:2" x14ac:dyDescent="0.25">
      <c r="A27" s="18">
        <v>9.6</v>
      </c>
      <c r="B27" s="18">
        <v>8.2000000000000003E-2</v>
      </c>
    </row>
    <row r="28" spans="1:2" x14ac:dyDescent="0.25">
      <c r="A28" s="18">
        <v>9.8000000000000007</v>
      </c>
      <c r="B28" s="18">
        <v>6.3200000000000006E-2</v>
      </c>
    </row>
    <row r="29" spans="1:2" x14ac:dyDescent="0.25">
      <c r="A29" s="18">
        <v>10</v>
      </c>
      <c r="B29" s="18">
        <v>2.58E-2</v>
      </c>
    </row>
    <row r="30" spans="1:2" x14ac:dyDescent="0.25">
      <c r="A30" s="18">
        <v>10.199999999999999</v>
      </c>
      <c r="B30" s="18">
        <v>2.6499999999999999E-4</v>
      </c>
    </row>
    <row r="31" spans="1:2" x14ac:dyDescent="0.25">
      <c r="A31" s="18">
        <v>10.4</v>
      </c>
      <c r="B31" s="18">
        <v>7.6899999999999999E-5</v>
      </c>
    </row>
    <row r="32" spans="1:2" x14ac:dyDescent="0.25">
      <c r="A32" s="18">
        <v>10.6</v>
      </c>
      <c r="B32" s="18">
        <v>2.0100000000000001E-5</v>
      </c>
    </row>
    <row r="33" spans="1:2" x14ac:dyDescent="0.25">
      <c r="A33" s="18">
        <v>10.8</v>
      </c>
      <c r="B33" s="18">
        <v>6.0700000000000003E-6</v>
      </c>
    </row>
    <row r="34" spans="1:2" x14ac:dyDescent="0.25">
      <c r="A34" s="18">
        <v>11</v>
      </c>
      <c r="B34" s="18">
        <v>4.6099999999999999E-6</v>
      </c>
    </row>
    <row r="35" spans="1:2" x14ac:dyDescent="0.25">
      <c r="A35" s="18">
        <v>11.2</v>
      </c>
      <c r="B35" s="18">
        <v>1.42E-6</v>
      </c>
    </row>
    <row r="36" spans="1:2" x14ac:dyDescent="0.25">
      <c r="A36" s="18">
        <v>11.4</v>
      </c>
      <c r="B36" s="18">
        <v>6.2700000000000001E-6</v>
      </c>
    </row>
    <row r="37" spans="1:2" x14ac:dyDescent="0.25">
      <c r="A37" s="18">
        <v>11.6</v>
      </c>
      <c r="B37" s="18">
        <v>2.1600000000000001E-6</v>
      </c>
    </row>
    <row r="38" spans="1:2" x14ac:dyDescent="0.25">
      <c r="A38" s="18">
        <v>11.8</v>
      </c>
      <c r="B38" s="18">
        <v>9.55E-6</v>
      </c>
    </row>
    <row r="39" spans="1:2" x14ac:dyDescent="0.25">
      <c r="A39" s="18">
        <v>12</v>
      </c>
      <c r="B39" s="18">
        <v>3.9500000000000003E-6</v>
      </c>
    </row>
  </sheetData>
  <pageMargins left="0.7" right="0.7" top="0.75" bottom="0.75" header="0.3" footer="0.3"/>
  <pageSetup paperSize="9" orientation="portrait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dimension ref="A1:B54"/>
  <sheetViews>
    <sheetView workbookViewId="0">
      <selection activeCell="H12" sqref="H12"/>
    </sheetView>
  </sheetViews>
  <sheetFormatPr defaultRowHeight="15" x14ac:dyDescent="0.25"/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6.6</v>
      </c>
      <c r="B2" s="18">
        <v>3.9899999999999999E-4</v>
      </c>
    </row>
    <row r="3" spans="1:2" x14ac:dyDescent="0.25">
      <c r="A3" s="18">
        <v>6.8</v>
      </c>
      <c r="B3" s="18">
        <v>1.2999999999999999E-4</v>
      </c>
    </row>
    <row r="4" spans="1:2" x14ac:dyDescent="0.25">
      <c r="A4" s="18">
        <v>7</v>
      </c>
      <c r="B4" s="18">
        <v>5.6599999999999999E-4</v>
      </c>
    </row>
    <row r="5" spans="1:2" x14ac:dyDescent="0.25">
      <c r="A5" s="18">
        <v>7.2</v>
      </c>
      <c r="B5" s="18">
        <v>3.0899999999999998E-4</v>
      </c>
    </row>
    <row r="6" spans="1:2" x14ac:dyDescent="0.25">
      <c r="A6" s="18">
        <v>7.4</v>
      </c>
      <c r="B6" s="18">
        <v>4.6200000000000001E-4</v>
      </c>
    </row>
    <row r="7" spans="1:2" x14ac:dyDescent="0.25">
      <c r="A7" s="18">
        <v>7.6</v>
      </c>
      <c r="B7" s="18">
        <v>3.2400000000000001E-4</v>
      </c>
    </row>
    <row r="8" spans="1:2" x14ac:dyDescent="0.25">
      <c r="A8" s="18">
        <v>7.8</v>
      </c>
      <c r="B8" s="18">
        <v>4.9600000000000002E-4</v>
      </c>
    </row>
    <row r="9" spans="1:2" x14ac:dyDescent="0.25">
      <c r="A9" s="18">
        <v>8</v>
      </c>
      <c r="B9" s="18">
        <v>1.95E-4</v>
      </c>
    </row>
    <row r="10" spans="1:2" x14ac:dyDescent="0.25">
      <c r="A10" s="18">
        <v>8.1999999999999993</v>
      </c>
      <c r="B10" s="18">
        <v>1.0399999999999999E-3</v>
      </c>
    </row>
    <row r="11" spans="1:2" x14ac:dyDescent="0.25">
      <c r="A11" s="18">
        <v>8.4</v>
      </c>
      <c r="B11" s="18">
        <v>4.6899999999999997E-3</v>
      </c>
    </row>
    <row r="12" spans="1:2" x14ac:dyDescent="0.25">
      <c r="A12" s="18">
        <v>8.6</v>
      </c>
      <c r="B12" s="18">
        <v>3.32E-3</v>
      </c>
    </row>
    <row r="13" spans="1:2" x14ac:dyDescent="0.25">
      <c r="A13" s="18">
        <v>8.8000000000000007</v>
      </c>
      <c r="B13" s="18">
        <v>2.1800000000000001E-3</v>
      </c>
    </row>
    <row r="14" spans="1:2" x14ac:dyDescent="0.25">
      <c r="A14" s="18">
        <v>9</v>
      </c>
      <c r="B14" s="18">
        <v>3.6700000000000001E-3</v>
      </c>
    </row>
    <row r="15" spans="1:2" x14ac:dyDescent="0.25">
      <c r="A15" s="18">
        <v>9.1999999999999993</v>
      </c>
      <c r="B15" s="18">
        <v>4.7999999999999996E-3</v>
      </c>
    </row>
    <row r="16" spans="1:2" x14ac:dyDescent="0.25">
      <c r="A16" s="18">
        <v>9.4</v>
      </c>
      <c r="B16" s="18">
        <v>5.8100000000000001E-3</v>
      </c>
    </row>
    <row r="17" spans="1:2" x14ac:dyDescent="0.25">
      <c r="A17" s="18">
        <v>9.6</v>
      </c>
      <c r="B17" s="18">
        <v>1.7999999999999999E-2</v>
      </c>
    </row>
    <row r="18" spans="1:2" x14ac:dyDescent="0.25">
      <c r="A18" s="18">
        <v>9.8000000000000007</v>
      </c>
      <c r="B18" s="18">
        <v>2.75E-2</v>
      </c>
    </row>
    <row r="19" spans="1:2" x14ac:dyDescent="0.25">
      <c r="A19" s="18">
        <v>10</v>
      </c>
      <c r="B19" s="18">
        <v>2.9600000000000001E-2</v>
      </c>
    </row>
    <row r="20" spans="1:2" x14ac:dyDescent="0.25">
      <c r="A20" s="18">
        <v>10.199999999999999</v>
      </c>
      <c r="B20" s="18">
        <v>1.9199999999999998E-2</v>
      </c>
    </row>
    <row r="21" spans="1:2" x14ac:dyDescent="0.25">
      <c r="A21" s="18">
        <v>10.4</v>
      </c>
      <c r="B21" s="18">
        <v>1.8100000000000002E-2</v>
      </c>
    </row>
    <row r="22" spans="1:2" x14ac:dyDescent="0.25">
      <c r="A22" s="18">
        <v>10.6</v>
      </c>
      <c r="B22" s="18">
        <v>2.0299999999999999E-2</v>
      </c>
    </row>
    <row r="23" spans="1:2" x14ac:dyDescent="0.25">
      <c r="A23" s="18">
        <v>10.8</v>
      </c>
      <c r="B23" s="18">
        <v>2.58E-2</v>
      </c>
    </row>
    <row r="24" spans="1:2" x14ac:dyDescent="0.25">
      <c r="A24" s="18">
        <v>11</v>
      </c>
      <c r="B24" s="18">
        <v>2.8299999999999999E-2</v>
      </c>
    </row>
    <row r="25" spans="1:2" x14ac:dyDescent="0.25">
      <c r="A25" s="18">
        <v>11.2</v>
      </c>
      <c r="B25" s="18">
        <v>3.6700000000000003E-2</v>
      </c>
    </row>
    <row r="26" spans="1:2" x14ac:dyDescent="0.25">
      <c r="A26" s="18">
        <v>11.4</v>
      </c>
      <c r="B26" s="18">
        <v>4.8500000000000001E-2</v>
      </c>
    </row>
    <row r="27" spans="1:2" x14ac:dyDescent="0.25">
      <c r="A27" s="18">
        <v>11.6</v>
      </c>
      <c r="B27" s="18">
        <v>4.1399999999999999E-2</v>
      </c>
    </row>
    <row r="28" spans="1:2" x14ac:dyDescent="0.25">
      <c r="A28" s="18">
        <v>11.8</v>
      </c>
      <c r="B28" s="18">
        <v>4.2500000000000003E-2</v>
      </c>
    </row>
    <row r="29" spans="1:2" x14ac:dyDescent="0.25">
      <c r="A29" s="18">
        <v>12</v>
      </c>
      <c r="B29" s="18">
        <v>4.2700000000000002E-2</v>
      </c>
    </row>
    <row r="30" spans="1:2" x14ac:dyDescent="0.25">
      <c r="A30" s="18">
        <v>12.2</v>
      </c>
      <c r="B30" s="18">
        <v>4.5100000000000001E-2</v>
      </c>
    </row>
    <row r="31" spans="1:2" x14ac:dyDescent="0.25">
      <c r="A31" s="18">
        <v>12.4</v>
      </c>
      <c r="B31" s="18">
        <v>4.5900000000000003E-2</v>
      </c>
    </row>
    <row r="32" spans="1:2" x14ac:dyDescent="0.25">
      <c r="A32" s="18">
        <v>12.6</v>
      </c>
      <c r="B32" s="18">
        <v>4.6899999999999997E-2</v>
      </c>
    </row>
    <row r="33" spans="1:2" x14ac:dyDescent="0.25">
      <c r="A33" s="18">
        <v>12.8</v>
      </c>
      <c r="B33" s="18">
        <v>4.87E-2</v>
      </c>
    </row>
    <row r="34" spans="1:2" x14ac:dyDescent="0.25">
      <c r="A34" s="18">
        <v>13</v>
      </c>
      <c r="B34" s="18">
        <v>4.7399999999999998E-2</v>
      </c>
    </row>
    <row r="35" spans="1:2" x14ac:dyDescent="0.25">
      <c r="A35" s="18">
        <v>13.2</v>
      </c>
      <c r="B35" s="18">
        <v>4.7699999999999999E-2</v>
      </c>
    </row>
    <row r="36" spans="1:2" x14ac:dyDescent="0.25">
      <c r="A36" s="18">
        <v>13.4</v>
      </c>
      <c r="B36" s="18">
        <v>4.6800000000000001E-2</v>
      </c>
    </row>
    <row r="37" spans="1:2" x14ac:dyDescent="0.25">
      <c r="A37" s="18">
        <v>13.6</v>
      </c>
      <c r="B37" s="18">
        <v>4.4999999999999998E-2</v>
      </c>
    </row>
    <row r="38" spans="1:2" x14ac:dyDescent="0.25">
      <c r="A38" s="18">
        <v>13.8</v>
      </c>
      <c r="B38" s="18">
        <v>4.2799999999999998E-2</v>
      </c>
    </row>
    <row r="39" spans="1:2" x14ac:dyDescent="0.25">
      <c r="A39" s="18">
        <v>14</v>
      </c>
      <c r="B39" s="18">
        <v>3.9399999999999998E-2</v>
      </c>
    </row>
    <row r="40" spans="1:2" x14ac:dyDescent="0.25">
      <c r="A40" s="18">
        <v>14.2</v>
      </c>
      <c r="B40" s="18">
        <v>3.5799999999999998E-2</v>
      </c>
    </row>
    <row r="41" spans="1:2" x14ac:dyDescent="0.25">
      <c r="A41" s="18">
        <v>14.4</v>
      </c>
      <c r="B41" s="18">
        <v>3.0700000000000002E-2</v>
      </c>
    </row>
    <row r="42" spans="1:2" x14ac:dyDescent="0.25">
      <c r="A42" s="18">
        <v>14.6</v>
      </c>
      <c r="B42" s="18">
        <v>2.53E-2</v>
      </c>
    </row>
    <row r="43" spans="1:2" x14ac:dyDescent="0.25">
      <c r="A43" s="18">
        <v>14.8</v>
      </c>
      <c r="B43" s="18">
        <v>1.7899999999999999E-2</v>
      </c>
    </row>
    <row r="44" spans="1:2" x14ac:dyDescent="0.25">
      <c r="A44" s="18">
        <v>15</v>
      </c>
      <c r="B44" s="18">
        <v>7.26E-3</v>
      </c>
    </row>
    <row r="45" spans="1:2" x14ac:dyDescent="0.25">
      <c r="A45" s="18">
        <v>15.2</v>
      </c>
      <c r="B45" s="18">
        <v>9.1299999999999997E-5</v>
      </c>
    </row>
    <row r="46" spans="1:2" x14ac:dyDescent="0.25">
      <c r="A46" s="18">
        <v>15.4</v>
      </c>
      <c r="B46" s="18">
        <v>3.9499999999999998E-5</v>
      </c>
    </row>
    <row r="47" spans="1:2" x14ac:dyDescent="0.25">
      <c r="A47" s="18">
        <v>15.6</v>
      </c>
      <c r="B47" s="18">
        <v>2.3099999999999999E-6</v>
      </c>
    </row>
    <row r="48" spans="1:2" x14ac:dyDescent="0.25">
      <c r="A48" s="18">
        <v>15.8</v>
      </c>
      <c r="B48" s="18">
        <v>6.8299999999999998E-6</v>
      </c>
    </row>
    <row r="49" spans="1:2" x14ac:dyDescent="0.25">
      <c r="A49" s="18">
        <v>16</v>
      </c>
      <c r="B49" s="18">
        <v>8.5799999999999992E-6</v>
      </c>
    </row>
    <row r="50" spans="1:2" x14ac:dyDescent="0.25">
      <c r="A50" s="18">
        <v>16.2</v>
      </c>
      <c r="B50" s="18">
        <v>1.8499999999999999E-5</v>
      </c>
    </row>
    <row r="51" spans="1:2" x14ac:dyDescent="0.25">
      <c r="A51" s="18">
        <v>16.399999999999999</v>
      </c>
      <c r="B51" s="18">
        <v>2.3599999999999999E-6</v>
      </c>
    </row>
    <row r="52" spans="1:2" x14ac:dyDescent="0.25">
      <c r="A52" s="18">
        <v>16.600000000000001</v>
      </c>
      <c r="B52" s="18">
        <v>3.6600000000000002E-7</v>
      </c>
    </row>
    <row r="53" spans="1:2" x14ac:dyDescent="0.25">
      <c r="A53" s="18">
        <v>16.8</v>
      </c>
      <c r="B53" s="18">
        <v>3.5200000000000002E-6</v>
      </c>
    </row>
    <row r="54" spans="1:2" x14ac:dyDescent="0.25">
      <c r="A54" s="18">
        <v>17</v>
      </c>
      <c r="B54" s="18">
        <v>4.9899999999999997E-6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dimension ref="A1:B77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7</v>
      </c>
      <c r="B2" s="18">
        <v>1.98E-3</v>
      </c>
    </row>
    <row r="3" spans="1:2" x14ac:dyDescent="0.25">
      <c r="A3" s="18">
        <v>7.2</v>
      </c>
      <c r="B3" s="18">
        <v>7.5199999999999996E-4</v>
      </c>
    </row>
    <row r="4" spans="1:2" x14ac:dyDescent="0.25">
      <c r="A4" s="18">
        <v>7.4</v>
      </c>
      <c r="B4" s="18">
        <v>1.3500000000000001E-3</v>
      </c>
    </row>
    <row r="5" spans="1:2" x14ac:dyDescent="0.25">
      <c r="A5" s="18">
        <v>7.6</v>
      </c>
      <c r="B5" s="18">
        <v>1.15E-3</v>
      </c>
    </row>
    <row r="6" spans="1:2" x14ac:dyDescent="0.25">
      <c r="A6" s="18">
        <v>7.8</v>
      </c>
      <c r="B6" s="18">
        <v>1.0200000000000001E-3</v>
      </c>
    </row>
    <row r="7" spans="1:2" x14ac:dyDescent="0.25">
      <c r="A7" s="18">
        <v>8</v>
      </c>
      <c r="B7" s="18">
        <v>5.8100000000000003E-4</v>
      </c>
    </row>
    <row r="8" spans="1:2" x14ac:dyDescent="0.25">
      <c r="A8" s="18">
        <v>8.1999999999999993</v>
      </c>
      <c r="B8" s="18">
        <v>8.9099999999999997E-4</v>
      </c>
    </row>
    <row r="9" spans="1:2" x14ac:dyDescent="0.25">
      <c r="A9" s="18">
        <v>8.4</v>
      </c>
      <c r="B9" s="18">
        <v>6.2799999999999998E-4</v>
      </c>
    </row>
    <row r="10" spans="1:2" x14ac:dyDescent="0.25">
      <c r="A10" s="18">
        <v>8.6</v>
      </c>
      <c r="B10" s="18">
        <v>8.8900000000000003E-4</v>
      </c>
    </row>
    <row r="11" spans="1:2" x14ac:dyDescent="0.25">
      <c r="A11" s="18">
        <v>8.8000000000000007</v>
      </c>
      <c r="B11" s="18">
        <v>8.61E-4</v>
      </c>
    </row>
    <row r="12" spans="1:2" x14ac:dyDescent="0.25">
      <c r="A12" s="18">
        <v>9</v>
      </c>
      <c r="B12" s="18">
        <v>7.6800000000000002E-4</v>
      </c>
    </row>
    <row r="13" spans="1:2" x14ac:dyDescent="0.25">
      <c r="A13" s="18">
        <v>9.1999999999999993</v>
      </c>
      <c r="B13" s="18">
        <v>8.4999999999999995E-4</v>
      </c>
    </row>
    <row r="14" spans="1:2" x14ac:dyDescent="0.25">
      <c r="A14" s="18">
        <v>9.4</v>
      </c>
      <c r="B14" s="18">
        <v>8.3500000000000002E-4</v>
      </c>
    </row>
    <row r="15" spans="1:2" x14ac:dyDescent="0.25">
      <c r="A15" s="18">
        <v>9.6</v>
      </c>
      <c r="B15" s="18">
        <v>1.5100000000000001E-3</v>
      </c>
    </row>
    <row r="16" spans="1:2" x14ac:dyDescent="0.25">
      <c r="A16" s="18">
        <v>9.8000000000000007</v>
      </c>
      <c r="B16" s="18">
        <v>1.8600000000000001E-3</v>
      </c>
    </row>
    <row r="17" spans="1:2" x14ac:dyDescent="0.25">
      <c r="A17" s="18">
        <v>10</v>
      </c>
      <c r="B17" s="18">
        <v>2.8300000000000001E-3</v>
      </c>
    </row>
    <row r="18" spans="1:2" x14ac:dyDescent="0.25">
      <c r="A18" s="18">
        <v>10.199999999999999</v>
      </c>
      <c r="B18" s="18">
        <v>1.64E-3</v>
      </c>
    </row>
    <row r="19" spans="1:2" x14ac:dyDescent="0.25">
      <c r="A19" s="18">
        <v>10.4</v>
      </c>
      <c r="B19" s="18">
        <v>1.0300000000000001E-3</v>
      </c>
    </row>
    <row r="20" spans="1:2" x14ac:dyDescent="0.25">
      <c r="A20" s="18">
        <v>10.6</v>
      </c>
      <c r="B20" s="18">
        <v>1.3600000000000001E-3</v>
      </c>
    </row>
    <row r="21" spans="1:2" x14ac:dyDescent="0.25">
      <c r="A21" s="18">
        <v>10.8</v>
      </c>
      <c r="B21" s="18">
        <v>1.7700000000000001E-3</v>
      </c>
    </row>
    <row r="22" spans="1:2" x14ac:dyDescent="0.25">
      <c r="A22" s="18">
        <v>11</v>
      </c>
      <c r="B22" s="18">
        <v>2.14E-3</v>
      </c>
    </row>
    <row r="23" spans="1:2" x14ac:dyDescent="0.25">
      <c r="A23" s="18">
        <v>11.2</v>
      </c>
      <c r="B23" s="18">
        <v>4.3600000000000002E-3</v>
      </c>
    </row>
    <row r="24" spans="1:2" x14ac:dyDescent="0.25">
      <c r="A24" s="18">
        <v>11.4</v>
      </c>
      <c r="B24" s="18">
        <v>6.2199999999999998E-3</v>
      </c>
    </row>
    <row r="25" spans="1:2" x14ac:dyDescent="0.25">
      <c r="A25" s="18">
        <v>11.6</v>
      </c>
      <c r="B25" s="18">
        <v>5.8199999999999997E-3</v>
      </c>
    </row>
    <row r="26" spans="1:2" x14ac:dyDescent="0.25">
      <c r="A26" s="18">
        <v>11.8</v>
      </c>
      <c r="B26" s="18">
        <v>6.5500000000000003E-3</v>
      </c>
    </row>
    <row r="27" spans="1:2" x14ac:dyDescent="0.25">
      <c r="A27" s="18">
        <v>12</v>
      </c>
      <c r="B27" s="18">
        <v>6.8500000000000002E-3</v>
      </c>
    </row>
    <row r="28" spans="1:2" x14ac:dyDescent="0.25">
      <c r="A28" s="18">
        <v>12.2</v>
      </c>
      <c r="B28" s="18">
        <v>8.09E-3</v>
      </c>
    </row>
    <row r="29" spans="1:2" x14ac:dyDescent="0.25">
      <c r="A29" s="18">
        <v>12.4</v>
      </c>
      <c r="B29" s="18">
        <v>9.3100000000000006E-3</v>
      </c>
    </row>
    <row r="30" spans="1:2" x14ac:dyDescent="0.25">
      <c r="A30" s="18">
        <v>12.6</v>
      </c>
      <c r="B30" s="18">
        <v>1.06E-2</v>
      </c>
    </row>
    <row r="31" spans="1:2" x14ac:dyDescent="0.25">
      <c r="A31" s="18">
        <v>12.8</v>
      </c>
      <c r="B31" s="18">
        <v>1.24E-2</v>
      </c>
    </row>
    <row r="32" spans="1:2" x14ac:dyDescent="0.25">
      <c r="A32" s="18">
        <v>13</v>
      </c>
      <c r="B32" s="18">
        <v>1.4E-2</v>
      </c>
    </row>
    <row r="33" spans="1:2" x14ac:dyDescent="0.25">
      <c r="A33" s="18">
        <v>13.2</v>
      </c>
      <c r="B33" s="18">
        <v>1.5900000000000001E-2</v>
      </c>
    </row>
    <row r="34" spans="1:2" x14ac:dyDescent="0.25">
      <c r="A34" s="18">
        <v>13.4</v>
      </c>
      <c r="B34" s="18">
        <v>1.7600000000000001E-2</v>
      </c>
    </row>
    <row r="35" spans="1:2" x14ac:dyDescent="0.25">
      <c r="A35" s="18">
        <v>13.6</v>
      </c>
      <c r="B35" s="18">
        <v>1.9E-2</v>
      </c>
    </row>
    <row r="36" spans="1:2" x14ac:dyDescent="0.25">
      <c r="A36" s="18">
        <v>13.8</v>
      </c>
      <c r="B36" s="18">
        <v>2.1499999999999998E-2</v>
      </c>
    </row>
    <row r="37" spans="1:2" x14ac:dyDescent="0.25">
      <c r="A37" s="18">
        <v>14</v>
      </c>
      <c r="B37" s="18">
        <v>2.2599999999999999E-2</v>
      </c>
    </row>
    <row r="38" spans="1:2" x14ac:dyDescent="0.25">
      <c r="A38" s="18">
        <v>14.2</v>
      </c>
      <c r="B38" s="18">
        <v>2.4500000000000001E-2</v>
      </c>
    </row>
    <row r="39" spans="1:2" x14ac:dyDescent="0.25">
      <c r="A39" s="18">
        <v>14.4</v>
      </c>
      <c r="B39" s="18">
        <v>2.6100000000000002E-2</v>
      </c>
    </row>
    <row r="40" spans="1:2" x14ac:dyDescent="0.25">
      <c r="A40" s="18">
        <v>14.6</v>
      </c>
      <c r="B40" s="18">
        <v>2.7900000000000001E-2</v>
      </c>
    </row>
    <row r="41" spans="1:2" x14ac:dyDescent="0.25">
      <c r="A41" s="18">
        <v>14.8</v>
      </c>
      <c r="B41" s="18">
        <v>2.86E-2</v>
      </c>
    </row>
    <row r="42" spans="1:2" x14ac:dyDescent="0.25">
      <c r="A42" s="18">
        <v>15</v>
      </c>
      <c r="B42" s="18">
        <v>3.0599999999999999E-2</v>
      </c>
    </row>
    <row r="43" spans="1:2" x14ac:dyDescent="0.25">
      <c r="A43" s="18">
        <v>15.2</v>
      </c>
      <c r="B43" s="18">
        <v>3.1600000000000003E-2</v>
      </c>
    </row>
    <row r="44" spans="1:2" x14ac:dyDescent="0.25">
      <c r="A44" s="18">
        <v>15.4</v>
      </c>
      <c r="B44" s="18">
        <v>3.2099999999999997E-2</v>
      </c>
    </row>
    <row r="45" spans="1:2" x14ac:dyDescent="0.25">
      <c r="A45" s="18">
        <v>15.6</v>
      </c>
      <c r="B45" s="18">
        <v>3.27E-2</v>
      </c>
    </row>
    <row r="46" spans="1:2" x14ac:dyDescent="0.25">
      <c r="A46" s="18">
        <v>15.8</v>
      </c>
      <c r="B46" s="18">
        <v>3.3700000000000001E-2</v>
      </c>
    </row>
    <row r="47" spans="1:2" x14ac:dyDescent="0.25">
      <c r="A47" s="18">
        <v>16</v>
      </c>
      <c r="B47" s="18">
        <v>3.4000000000000002E-2</v>
      </c>
    </row>
    <row r="48" spans="1:2" x14ac:dyDescent="0.25">
      <c r="A48" s="18">
        <v>16.2</v>
      </c>
      <c r="B48" s="18">
        <v>3.3700000000000001E-2</v>
      </c>
    </row>
    <row r="49" spans="1:2" x14ac:dyDescent="0.25">
      <c r="A49" s="18">
        <v>16.399999999999999</v>
      </c>
      <c r="B49" s="18">
        <v>3.4599999999999999E-2</v>
      </c>
    </row>
    <row r="50" spans="1:2" x14ac:dyDescent="0.25">
      <c r="A50" s="18">
        <v>16.600000000000001</v>
      </c>
      <c r="B50" s="18">
        <v>3.3799999999999997E-2</v>
      </c>
    </row>
    <row r="51" spans="1:2" x14ac:dyDescent="0.25">
      <c r="A51" s="18">
        <v>16.8</v>
      </c>
      <c r="B51" s="18">
        <v>3.3799999999999997E-2</v>
      </c>
    </row>
    <row r="52" spans="1:2" x14ac:dyDescent="0.25">
      <c r="A52" s="18">
        <v>17</v>
      </c>
      <c r="B52" s="18">
        <v>3.2899999999999999E-2</v>
      </c>
    </row>
    <row r="53" spans="1:2" x14ac:dyDescent="0.25">
      <c r="A53" s="18">
        <v>17.2</v>
      </c>
      <c r="B53" s="18">
        <v>3.2500000000000001E-2</v>
      </c>
    </row>
    <row r="54" spans="1:2" x14ac:dyDescent="0.25">
      <c r="A54" s="18">
        <v>17.399999999999999</v>
      </c>
      <c r="B54" s="18">
        <v>3.1899999999999998E-2</v>
      </c>
    </row>
    <row r="55" spans="1:2" x14ac:dyDescent="0.25">
      <c r="A55" s="18">
        <v>17.600000000000001</v>
      </c>
      <c r="B55" s="18">
        <v>3.09E-2</v>
      </c>
    </row>
    <row r="56" spans="1:2" x14ac:dyDescent="0.25">
      <c r="A56" s="18">
        <v>17.8</v>
      </c>
      <c r="B56" s="18">
        <v>2.9700000000000001E-2</v>
      </c>
    </row>
    <row r="57" spans="1:2" x14ac:dyDescent="0.25">
      <c r="A57" s="18">
        <v>18</v>
      </c>
      <c r="B57" s="18">
        <v>2.8299999999999999E-2</v>
      </c>
    </row>
    <row r="58" spans="1:2" x14ac:dyDescent="0.25">
      <c r="A58" s="18">
        <v>18.2</v>
      </c>
      <c r="B58" s="18">
        <v>2.7E-2</v>
      </c>
    </row>
    <row r="59" spans="1:2" x14ac:dyDescent="0.25">
      <c r="A59" s="18">
        <v>18.399999999999999</v>
      </c>
      <c r="B59" s="18">
        <v>2.4899999999999999E-2</v>
      </c>
    </row>
    <row r="60" spans="1:2" x14ac:dyDescent="0.25">
      <c r="A60" s="18">
        <v>18.600000000000001</v>
      </c>
      <c r="B60" s="18">
        <v>2.3699999999999999E-2</v>
      </c>
    </row>
    <row r="61" spans="1:2" x14ac:dyDescent="0.25">
      <c r="A61" s="18">
        <v>18.8</v>
      </c>
      <c r="B61" s="18">
        <v>2.1100000000000001E-2</v>
      </c>
    </row>
    <row r="62" spans="1:2" x14ac:dyDescent="0.25">
      <c r="A62" s="18">
        <v>19</v>
      </c>
      <c r="B62" s="18">
        <v>1.9199999999999998E-2</v>
      </c>
    </row>
    <row r="63" spans="1:2" x14ac:dyDescent="0.25">
      <c r="A63" s="18">
        <v>19.2</v>
      </c>
      <c r="B63" s="18">
        <v>1.6500000000000001E-2</v>
      </c>
    </row>
    <row r="64" spans="1:2" x14ac:dyDescent="0.25">
      <c r="A64" s="18">
        <v>19.399999999999999</v>
      </c>
      <c r="B64" s="18">
        <v>1.4200000000000001E-2</v>
      </c>
    </row>
    <row r="65" spans="1:2" x14ac:dyDescent="0.25">
      <c r="A65" s="18">
        <v>19.600000000000001</v>
      </c>
      <c r="B65" s="18">
        <v>1.0999999999999999E-2</v>
      </c>
    </row>
    <row r="66" spans="1:2" x14ac:dyDescent="0.25">
      <c r="A66" s="18">
        <v>19.8</v>
      </c>
      <c r="B66" s="18">
        <v>8.0000000000000002E-3</v>
      </c>
    </row>
    <row r="67" spans="1:2" x14ac:dyDescent="0.25">
      <c r="A67" s="18">
        <v>20</v>
      </c>
      <c r="B67" s="18">
        <v>2.7799999999999999E-3</v>
      </c>
    </row>
    <row r="68" spans="1:2" x14ac:dyDescent="0.25">
      <c r="A68" s="18">
        <v>20.2</v>
      </c>
      <c r="B68" s="18">
        <v>1.07E-4</v>
      </c>
    </row>
    <row r="69" spans="1:2" x14ac:dyDescent="0.25">
      <c r="A69" s="18">
        <v>20.399999999999999</v>
      </c>
      <c r="B69" s="18">
        <v>2.9100000000000001E-6</v>
      </c>
    </row>
    <row r="70" spans="1:2" x14ac:dyDescent="0.25">
      <c r="A70" s="18">
        <v>20.6</v>
      </c>
      <c r="B70" s="18">
        <v>1.19E-5</v>
      </c>
    </row>
    <row r="71" spans="1:2" x14ac:dyDescent="0.25">
      <c r="A71" s="18">
        <v>20.8</v>
      </c>
      <c r="B71" s="18">
        <v>1.3400000000000001E-6</v>
      </c>
    </row>
    <row r="72" spans="1:2" x14ac:dyDescent="0.25">
      <c r="A72" s="18">
        <v>21</v>
      </c>
      <c r="B72" s="18">
        <v>9.8200000000000008E-6</v>
      </c>
    </row>
    <row r="73" spans="1:2" x14ac:dyDescent="0.25">
      <c r="A73" s="18">
        <v>21.2</v>
      </c>
      <c r="B73" s="18">
        <v>4.9799999999999998E-6</v>
      </c>
    </row>
    <row r="74" spans="1:2" x14ac:dyDescent="0.25">
      <c r="A74" s="18">
        <v>21.4</v>
      </c>
      <c r="B74" s="18">
        <v>2.6299999999999998E-6</v>
      </c>
    </row>
    <row r="75" spans="1:2" x14ac:dyDescent="0.25">
      <c r="A75" s="18">
        <v>21.6</v>
      </c>
      <c r="B75" s="18">
        <v>6.4200000000000004E-6</v>
      </c>
    </row>
    <row r="76" spans="1:2" x14ac:dyDescent="0.25">
      <c r="A76" s="18">
        <v>21.8</v>
      </c>
      <c r="B76" s="18">
        <v>4.9500000000000003E-7</v>
      </c>
    </row>
    <row r="77" spans="1:2" x14ac:dyDescent="0.25">
      <c r="A77" s="18">
        <v>22</v>
      </c>
      <c r="B77" s="18">
        <v>3.3699999999999999E-6</v>
      </c>
    </row>
  </sheetData>
  <pageMargins left="0.7" right="0.7" top="0.75" bottom="0.75" header="0.3" footer="0.3"/>
  <pageSetup paperSize="9" orientation="portrait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dimension ref="A1:B107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11</v>
      </c>
      <c r="B2" s="18">
        <v>8.5400000000000002E-5</v>
      </c>
    </row>
    <row r="3" spans="1:2" x14ac:dyDescent="0.25">
      <c r="A3" s="18">
        <v>11.2</v>
      </c>
      <c r="B3" s="18">
        <v>3.3E-4</v>
      </c>
    </row>
    <row r="4" spans="1:2" x14ac:dyDescent="0.25">
      <c r="A4" s="18">
        <v>11.4</v>
      </c>
      <c r="B4" s="18">
        <v>1.47E-4</v>
      </c>
    </row>
    <row r="5" spans="1:2" x14ac:dyDescent="0.25">
      <c r="A5" s="18">
        <v>11.6</v>
      </c>
      <c r="B5" s="18">
        <v>1.35E-4</v>
      </c>
    </row>
    <row r="6" spans="1:2" x14ac:dyDescent="0.25">
      <c r="A6" s="18">
        <v>11.8</v>
      </c>
      <c r="B6" s="18">
        <v>1.4799999999999999E-4</v>
      </c>
    </row>
    <row r="7" spans="1:2" x14ac:dyDescent="0.25">
      <c r="A7" s="18">
        <v>12</v>
      </c>
      <c r="B7" s="18">
        <v>2.8499999999999999E-4</v>
      </c>
    </row>
    <row r="8" spans="1:2" x14ac:dyDescent="0.25">
      <c r="A8" s="18">
        <v>12.2</v>
      </c>
      <c r="B8" s="18">
        <v>3.4200000000000002E-4</v>
      </c>
    </row>
    <row r="9" spans="1:2" x14ac:dyDescent="0.25">
      <c r="A9" s="18">
        <v>12.4</v>
      </c>
      <c r="B9" s="18">
        <v>3.1799999999999998E-4</v>
      </c>
    </row>
    <row r="10" spans="1:2" x14ac:dyDescent="0.25">
      <c r="A10" s="18">
        <v>12.6</v>
      </c>
      <c r="B10" s="18">
        <v>1.6899999999999999E-4</v>
      </c>
    </row>
    <row r="11" spans="1:2" x14ac:dyDescent="0.25">
      <c r="A11" s="18">
        <v>12.8</v>
      </c>
      <c r="B11" s="18">
        <v>3.5300000000000002E-4</v>
      </c>
    </row>
    <row r="12" spans="1:2" x14ac:dyDescent="0.25">
      <c r="A12" s="18">
        <v>13</v>
      </c>
      <c r="B12" s="18">
        <v>3.9599999999999998E-4</v>
      </c>
    </row>
    <row r="13" spans="1:2" x14ac:dyDescent="0.25">
      <c r="A13" s="18">
        <v>13.2</v>
      </c>
      <c r="B13" s="18">
        <v>8.6899999999999998E-5</v>
      </c>
    </row>
    <row r="14" spans="1:2" x14ac:dyDescent="0.25">
      <c r="A14" s="18">
        <v>13.4</v>
      </c>
      <c r="B14" s="18">
        <v>3.6999999999999999E-4</v>
      </c>
    </row>
    <row r="15" spans="1:2" x14ac:dyDescent="0.25">
      <c r="A15" s="18">
        <v>13.6</v>
      </c>
      <c r="B15" s="18">
        <v>3.2499999999999997E-5</v>
      </c>
    </row>
    <row r="16" spans="1:2" x14ac:dyDescent="0.25">
      <c r="A16" s="18">
        <v>13.8</v>
      </c>
      <c r="B16" s="18">
        <v>5.0000000000000001E-4</v>
      </c>
    </row>
    <row r="17" spans="1:2" x14ac:dyDescent="0.25">
      <c r="A17" s="18">
        <v>14</v>
      </c>
      <c r="B17" s="18">
        <v>3.1E-4</v>
      </c>
    </row>
    <row r="18" spans="1:2" x14ac:dyDescent="0.25">
      <c r="A18" s="18">
        <v>14.2</v>
      </c>
      <c r="B18" s="18">
        <v>2.9300000000000002E-4</v>
      </c>
    </row>
    <row r="19" spans="1:2" x14ac:dyDescent="0.25">
      <c r="A19" s="18">
        <v>14.4</v>
      </c>
      <c r="B19" s="18">
        <v>3.59E-4</v>
      </c>
    </row>
    <row r="20" spans="1:2" x14ac:dyDescent="0.25">
      <c r="A20" s="18">
        <v>14.6</v>
      </c>
      <c r="B20" s="18">
        <v>1.6000000000000001E-4</v>
      </c>
    </row>
    <row r="21" spans="1:2" x14ac:dyDescent="0.25">
      <c r="A21" s="18">
        <v>14.8</v>
      </c>
      <c r="B21" s="18">
        <v>6.3100000000000005E-4</v>
      </c>
    </row>
    <row r="22" spans="1:2" x14ac:dyDescent="0.25">
      <c r="A22" s="18">
        <v>15</v>
      </c>
      <c r="B22" s="18">
        <v>3.1300000000000002E-4</v>
      </c>
    </row>
    <row r="23" spans="1:2" x14ac:dyDescent="0.25">
      <c r="A23" s="18">
        <v>15.2</v>
      </c>
      <c r="B23" s="18">
        <v>4.8200000000000001E-4</v>
      </c>
    </row>
    <row r="24" spans="1:2" x14ac:dyDescent="0.25">
      <c r="A24" s="18">
        <v>15.4</v>
      </c>
      <c r="B24" s="18">
        <v>7.5000000000000002E-4</v>
      </c>
    </row>
    <row r="25" spans="1:2" x14ac:dyDescent="0.25">
      <c r="A25" s="18">
        <v>15.6</v>
      </c>
      <c r="B25" s="18">
        <v>7.0200000000000004E-4</v>
      </c>
    </row>
    <row r="26" spans="1:2" x14ac:dyDescent="0.25">
      <c r="A26" s="18">
        <v>15.8</v>
      </c>
      <c r="B26" s="18">
        <v>8.5300000000000003E-4</v>
      </c>
    </row>
    <row r="27" spans="1:2" x14ac:dyDescent="0.25">
      <c r="A27" s="18">
        <v>16</v>
      </c>
      <c r="B27" s="18">
        <v>8.8199999999999997E-4</v>
      </c>
    </row>
    <row r="28" spans="1:2" x14ac:dyDescent="0.25">
      <c r="A28" s="18">
        <v>16.2</v>
      </c>
      <c r="B28" s="18">
        <v>1.1800000000000001E-3</v>
      </c>
    </row>
    <row r="29" spans="1:2" x14ac:dyDescent="0.25">
      <c r="A29" s="18">
        <v>16.399999999999999</v>
      </c>
      <c r="B29" s="18">
        <v>1.6100000000000001E-3</v>
      </c>
    </row>
    <row r="30" spans="1:2" x14ac:dyDescent="0.25">
      <c r="A30" s="18">
        <v>16.600000000000001</v>
      </c>
      <c r="B30" s="18">
        <v>1.7799999999999999E-3</v>
      </c>
    </row>
    <row r="31" spans="1:2" x14ac:dyDescent="0.25">
      <c r="A31" s="18">
        <v>16.8</v>
      </c>
      <c r="B31" s="18">
        <v>1.8E-3</v>
      </c>
    </row>
    <row r="32" spans="1:2" x14ac:dyDescent="0.25">
      <c r="A32" s="18">
        <v>17</v>
      </c>
      <c r="B32" s="18">
        <v>2.3E-3</v>
      </c>
    </row>
    <row r="33" spans="1:2" x14ac:dyDescent="0.25">
      <c r="A33" s="18">
        <v>17.2</v>
      </c>
      <c r="B33" s="18">
        <v>2.7499999999999998E-3</v>
      </c>
    </row>
    <row r="34" spans="1:2" x14ac:dyDescent="0.25">
      <c r="A34" s="18">
        <v>17.399999999999999</v>
      </c>
      <c r="B34" s="18">
        <v>3.4499999999999999E-3</v>
      </c>
    </row>
    <row r="35" spans="1:2" x14ac:dyDescent="0.25">
      <c r="A35" s="18">
        <v>17.600000000000001</v>
      </c>
      <c r="B35" s="18">
        <v>3.3999999999999998E-3</v>
      </c>
    </row>
    <row r="36" spans="1:2" x14ac:dyDescent="0.25">
      <c r="A36" s="18">
        <v>17.8</v>
      </c>
      <c r="B36" s="18">
        <v>4.1999999999999997E-3</v>
      </c>
    </row>
    <row r="37" spans="1:2" x14ac:dyDescent="0.25">
      <c r="A37" s="18">
        <v>18</v>
      </c>
      <c r="B37" s="18">
        <v>4.5500000000000002E-3</v>
      </c>
    </row>
    <row r="38" spans="1:2" x14ac:dyDescent="0.25">
      <c r="A38" s="18">
        <v>18.2</v>
      </c>
      <c r="B38" s="18">
        <v>5.64E-3</v>
      </c>
    </row>
    <row r="39" spans="1:2" x14ac:dyDescent="0.25">
      <c r="A39" s="18">
        <v>18.399999999999999</v>
      </c>
      <c r="B39" s="18">
        <v>5.94E-3</v>
      </c>
    </row>
    <row r="40" spans="1:2" x14ac:dyDescent="0.25">
      <c r="A40" s="18">
        <v>18.600000000000001</v>
      </c>
      <c r="B40" s="18">
        <v>6.7000000000000002E-3</v>
      </c>
    </row>
    <row r="41" spans="1:2" x14ac:dyDescent="0.25">
      <c r="A41" s="18">
        <v>18.8</v>
      </c>
      <c r="B41" s="18">
        <v>7.6099999999999996E-3</v>
      </c>
    </row>
    <row r="42" spans="1:2" x14ac:dyDescent="0.25">
      <c r="A42" s="18">
        <v>19</v>
      </c>
      <c r="B42" s="18">
        <v>8.0199999999999994E-3</v>
      </c>
    </row>
    <row r="43" spans="1:2" x14ac:dyDescent="0.25">
      <c r="A43" s="18">
        <v>19.2</v>
      </c>
      <c r="B43" s="18">
        <v>8.9200000000000008E-3</v>
      </c>
    </row>
    <row r="44" spans="1:2" x14ac:dyDescent="0.25">
      <c r="A44" s="18">
        <v>19.399999999999999</v>
      </c>
      <c r="B44" s="18">
        <v>9.5300000000000003E-3</v>
      </c>
    </row>
    <row r="45" spans="1:2" x14ac:dyDescent="0.25">
      <c r="A45" s="18">
        <v>19.600000000000001</v>
      </c>
      <c r="B45" s="18">
        <v>1.06E-2</v>
      </c>
    </row>
    <row r="46" spans="1:2" x14ac:dyDescent="0.25">
      <c r="A46" s="18">
        <v>19.8</v>
      </c>
      <c r="B46" s="18">
        <v>1.0999999999999999E-2</v>
      </c>
    </row>
    <row r="47" spans="1:2" x14ac:dyDescent="0.25">
      <c r="A47" s="18">
        <v>20</v>
      </c>
      <c r="B47" s="18">
        <v>1.21E-2</v>
      </c>
    </row>
    <row r="48" spans="1:2" x14ac:dyDescent="0.25">
      <c r="A48" s="18">
        <v>20.2</v>
      </c>
      <c r="B48" s="18">
        <v>1.26E-2</v>
      </c>
    </row>
    <row r="49" spans="1:2" x14ac:dyDescent="0.25">
      <c r="A49" s="18">
        <v>20.399999999999999</v>
      </c>
      <c r="B49" s="18">
        <v>1.35E-2</v>
      </c>
    </row>
    <row r="50" spans="1:2" x14ac:dyDescent="0.25">
      <c r="A50" s="18">
        <v>20.6</v>
      </c>
      <c r="B50" s="18">
        <v>1.43E-2</v>
      </c>
    </row>
    <row r="51" spans="1:2" x14ac:dyDescent="0.25">
      <c r="A51" s="18">
        <v>20.8</v>
      </c>
      <c r="B51" s="18">
        <v>1.5299999999999999E-2</v>
      </c>
    </row>
    <row r="52" spans="1:2" x14ac:dyDescent="0.25">
      <c r="A52" s="18">
        <v>21</v>
      </c>
      <c r="B52" s="18">
        <v>1.5699999999999999E-2</v>
      </c>
    </row>
    <row r="53" spans="1:2" x14ac:dyDescent="0.25">
      <c r="A53" s="18">
        <v>21.2</v>
      </c>
      <c r="B53" s="18">
        <v>1.6799999999999999E-2</v>
      </c>
    </row>
    <row r="54" spans="1:2" x14ac:dyDescent="0.25">
      <c r="A54" s="18">
        <v>21.4</v>
      </c>
      <c r="B54" s="18">
        <v>1.72E-2</v>
      </c>
    </row>
    <row r="55" spans="1:2" x14ac:dyDescent="0.25">
      <c r="A55" s="18">
        <v>21.6</v>
      </c>
      <c r="B55" s="18">
        <v>1.8499999999999999E-2</v>
      </c>
    </row>
    <row r="56" spans="1:2" x14ac:dyDescent="0.25">
      <c r="A56" s="18">
        <v>21.8</v>
      </c>
      <c r="B56" s="18">
        <v>1.89E-2</v>
      </c>
    </row>
    <row r="57" spans="1:2" x14ac:dyDescent="0.25">
      <c r="A57" s="18">
        <v>22</v>
      </c>
      <c r="B57" s="18">
        <v>1.9300000000000001E-2</v>
      </c>
    </row>
    <row r="58" spans="1:2" x14ac:dyDescent="0.25">
      <c r="A58" s="18">
        <v>22.2</v>
      </c>
      <c r="B58" s="18">
        <v>1.9900000000000001E-2</v>
      </c>
    </row>
    <row r="59" spans="1:2" x14ac:dyDescent="0.25">
      <c r="A59" s="18">
        <v>22.4</v>
      </c>
      <c r="B59" s="18">
        <v>2.0500000000000001E-2</v>
      </c>
    </row>
    <row r="60" spans="1:2" x14ac:dyDescent="0.25">
      <c r="A60" s="18">
        <v>22.6</v>
      </c>
      <c r="B60" s="18">
        <v>2.1399999999999999E-2</v>
      </c>
    </row>
    <row r="61" spans="1:2" x14ac:dyDescent="0.25">
      <c r="A61" s="18">
        <v>22.8</v>
      </c>
      <c r="B61" s="18">
        <v>2.1499999999999998E-2</v>
      </c>
    </row>
    <row r="62" spans="1:2" x14ac:dyDescent="0.25">
      <c r="A62" s="18">
        <v>23</v>
      </c>
      <c r="B62" s="18">
        <v>2.1999999999999999E-2</v>
      </c>
    </row>
    <row r="63" spans="1:2" x14ac:dyDescent="0.25">
      <c r="A63" s="18">
        <v>23.2</v>
      </c>
      <c r="B63" s="18">
        <v>2.24E-2</v>
      </c>
    </row>
    <row r="64" spans="1:2" x14ac:dyDescent="0.25">
      <c r="A64" s="18">
        <v>23.4</v>
      </c>
      <c r="B64" s="18">
        <v>2.2599999999999999E-2</v>
      </c>
    </row>
    <row r="65" spans="1:2" x14ac:dyDescent="0.25">
      <c r="A65" s="18">
        <v>23.6</v>
      </c>
      <c r="B65" s="18">
        <v>2.2700000000000001E-2</v>
      </c>
    </row>
    <row r="66" spans="1:2" x14ac:dyDescent="0.25">
      <c r="A66" s="18">
        <v>23.8</v>
      </c>
      <c r="B66" s="18">
        <v>2.3400000000000001E-2</v>
      </c>
    </row>
    <row r="67" spans="1:2" x14ac:dyDescent="0.25">
      <c r="A67" s="18">
        <v>24</v>
      </c>
      <c r="B67" s="18">
        <v>2.3099999999999999E-2</v>
      </c>
    </row>
    <row r="68" spans="1:2" x14ac:dyDescent="0.25">
      <c r="A68" s="18">
        <v>24.2</v>
      </c>
      <c r="B68" s="18">
        <v>2.3400000000000001E-2</v>
      </c>
    </row>
    <row r="69" spans="1:2" x14ac:dyDescent="0.25">
      <c r="A69" s="18">
        <v>24.4</v>
      </c>
      <c r="B69" s="18">
        <v>2.3300000000000001E-2</v>
      </c>
    </row>
    <row r="70" spans="1:2" x14ac:dyDescent="0.25">
      <c r="A70" s="18">
        <v>24.6</v>
      </c>
      <c r="B70" s="18">
        <v>2.3400000000000001E-2</v>
      </c>
    </row>
    <row r="71" spans="1:2" x14ac:dyDescent="0.25">
      <c r="A71" s="18">
        <v>24.8</v>
      </c>
      <c r="B71" s="18">
        <v>2.3300000000000001E-2</v>
      </c>
    </row>
    <row r="72" spans="1:2" x14ac:dyDescent="0.25">
      <c r="A72" s="18">
        <v>25</v>
      </c>
      <c r="B72" s="18">
        <v>2.2800000000000001E-2</v>
      </c>
    </row>
    <row r="73" spans="1:2" x14ac:dyDescent="0.25">
      <c r="A73" s="18">
        <v>25.2</v>
      </c>
      <c r="B73" s="18">
        <v>2.3300000000000001E-2</v>
      </c>
    </row>
    <row r="74" spans="1:2" x14ac:dyDescent="0.25">
      <c r="A74" s="18">
        <v>25.4</v>
      </c>
      <c r="B74" s="18">
        <v>2.2599999999999999E-2</v>
      </c>
    </row>
    <row r="75" spans="1:2" x14ac:dyDescent="0.25">
      <c r="A75" s="18">
        <v>25.6</v>
      </c>
      <c r="B75" s="18">
        <v>2.2599999999999999E-2</v>
      </c>
    </row>
    <row r="76" spans="1:2" x14ac:dyDescent="0.25">
      <c r="A76" s="18">
        <v>25.8</v>
      </c>
      <c r="B76" s="18">
        <v>2.2100000000000002E-2</v>
      </c>
    </row>
    <row r="77" spans="1:2" x14ac:dyDescent="0.25">
      <c r="A77" s="18">
        <v>26</v>
      </c>
      <c r="B77" s="18">
        <v>2.1700000000000001E-2</v>
      </c>
    </row>
    <row r="78" spans="1:2" x14ac:dyDescent="0.25">
      <c r="A78" s="18">
        <v>26.2</v>
      </c>
      <c r="B78" s="18">
        <v>2.12E-2</v>
      </c>
    </row>
    <row r="79" spans="1:2" x14ac:dyDescent="0.25">
      <c r="A79" s="18">
        <v>26.4</v>
      </c>
      <c r="B79" s="18">
        <v>2.07E-2</v>
      </c>
    </row>
    <row r="80" spans="1:2" x14ac:dyDescent="0.25">
      <c r="A80" s="18">
        <v>26.6</v>
      </c>
      <c r="B80" s="18">
        <v>2.0299999999999999E-2</v>
      </c>
    </row>
    <row r="81" spans="1:2" x14ac:dyDescent="0.25">
      <c r="A81" s="18">
        <v>26.8</v>
      </c>
      <c r="B81" s="18">
        <v>1.9099999999999999E-2</v>
      </c>
    </row>
    <row r="82" spans="1:2" x14ac:dyDescent="0.25">
      <c r="A82" s="18">
        <v>27</v>
      </c>
      <c r="B82" s="18">
        <v>1.9E-2</v>
      </c>
    </row>
    <row r="83" spans="1:2" x14ac:dyDescent="0.25">
      <c r="A83" s="18">
        <v>27.2</v>
      </c>
      <c r="B83" s="18">
        <v>1.7999999999999999E-2</v>
      </c>
    </row>
    <row r="84" spans="1:2" x14ac:dyDescent="0.25">
      <c r="A84" s="18">
        <v>27.4</v>
      </c>
      <c r="B84" s="18">
        <v>1.7399999999999999E-2</v>
      </c>
    </row>
    <row r="85" spans="1:2" x14ac:dyDescent="0.25">
      <c r="A85" s="18">
        <v>27.6</v>
      </c>
      <c r="B85" s="18">
        <v>1.6799999999999999E-2</v>
      </c>
    </row>
    <row r="86" spans="1:2" x14ac:dyDescent="0.25">
      <c r="A86" s="18">
        <v>27.8</v>
      </c>
      <c r="B86" s="18">
        <v>1.5900000000000001E-2</v>
      </c>
    </row>
    <row r="87" spans="1:2" x14ac:dyDescent="0.25">
      <c r="A87" s="18">
        <v>28</v>
      </c>
      <c r="B87" s="18">
        <v>1.47E-2</v>
      </c>
    </row>
    <row r="88" spans="1:2" x14ac:dyDescent="0.25">
      <c r="A88" s="18">
        <v>28.2</v>
      </c>
      <c r="B88" s="18">
        <v>1.4E-2</v>
      </c>
    </row>
    <row r="89" spans="1:2" x14ac:dyDescent="0.25">
      <c r="A89" s="18">
        <v>28.4</v>
      </c>
      <c r="B89" s="18">
        <v>1.2999999999999999E-2</v>
      </c>
    </row>
    <row r="90" spans="1:2" x14ac:dyDescent="0.25">
      <c r="A90" s="18">
        <v>28.6</v>
      </c>
      <c r="B90" s="18">
        <v>1.1900000000000001E-2</v>
      </c>
    </row>
    <row r="91" spans="1:2" x14ac:dyDescent="0.25">
      <c r="A91" s="18">
        <v>28.8</v>
      </c>
      <c r="B91" s="18">
        <v>1.06E-2</v>
      </c>
    </row>
    <row r="92" spans="1:2" x14ac:dyDescent="0.25">
      <c r="A92" s="18">
        <v>29</v>
      </c>
      <c r="B92" s="18">
        <v>9.7099999999999999E-3</v>
      </c>
    </row>
    <row r="93" spans="1:2" x14ac:dyDescent="0.25">
      <c r="A93" s="18">
        <v>29.2</v>
      </c>
      <c r="B93" s="18">
        <v>8.0999999999999996E-3</v>
      </c>
    </row>
    <row r="94" spans="1:2" x14ac:dyDescent="0.25">
      <c r="A94" s="18">
        <v>29.4</v>
      </c>
      <c r="B94" s="18">
        <v>6.8599999999999998E-3</v>
      </c>
    </row>
    <row r="95" spans="1:2" x14ac:dyDescent="0.25">
      <c r="A95" s="18">
        <v>29.6</v>
      </c>
      <c r="B95" s="18">
        <v>5.2700000000000004E-3</v>
      </c>
    </row>
    <row r="96" spans="1:2" x14ac:dyDescent="0.25">
      <c r="A96" s="18">
        <v>29.8</v>
      </c>
      <c r="B96" s="18">
        <v>3.6600000000000001E-3</v>
      </c>
    </row>
    <row r="97" spans="1:2" x14ac:dyDescent="0.25">
      <c r="A97" s="18">
        <v>30</v>
      </c>
      <c r="B97" s="18">
        <v>1.3500000000000001E-3</v>
      </c>
    </row>
    <row r="98" spans="1:2" x14ac:dyDescent="0.25">
      <c r="A98" s="18">
        <v>30.2</v>
      </c>
      <c r="B98" s="18">
        <v>5.9499999999999998E-6</v>
      </c>
    </row>
    <row r="99" spans="1:2" x14ac:dyDescent="0.25">
      <c r="A99" s="18">
        <v>30.4</v>
      </c>
      <c r="B99" s="18">
        <v>1.3900000000000001E-5</v>
      </c>
    </row>
    <row r="100" spans="1:2" x14ac:dyDescent="0.25">
      <c r="A100" s="18">
        <v>30.6</v>
      </c>
      <c r="B100" s="18">
        <v>5.5999999999999997E-6</v>
      </c>
    </row>
    <row r="101" spans="1:2" x14ac:dyDescent="0.25">
      <c r="A101" s="18">
        <v>30.8</v>
      </c>
      <c r="B101" s="18">
        <v>2.3300000000000001E-6</v>
      </c>
    </row>
    <row r="102" spans="1:2" x14ac:dyDescent="0.25">
      <c r="A102" s="18">
        <v>31</v>
      </c>
      <c r="B102" s="18">
        <v>1.19E-6</v>
      </c>
    </row>
    <row r="103" spans="1:2" x14ac:dyDescent="0.25">
      <c r="A103" s="18">
        <v>31.2</v>
      </c>
      <c r="B103" s="18">
        <v>2.21E-6</v>
      </c>
    </row>
    <row r="104" spans="1:2" x14ac:dyDescent="0.25">
      <c r="A104" s="18">
        <v>31.4</v>
      </c>
      <c r="B104" s="18">
        <v>3.1499999999999999E-6</v>
      </c>
    </row>
    <row r="105" spans="1:2" x14ac:dyDescent="0.25">
      <c r="A105" s="18">
        <v>31.6</v>
      </c>
      <c r="B105" s="18">
        <v>1.11E-6</v>
      </c>
    </row>
    <row r="106" spans="1:2" x14ac:dyDescent="0.25">
      <c r="A106" s="18">
        <v>31.8</v>
      </c>
      <c r="B106" s="18">
        <v>9.3699999999999999E-7</v>
      </c>
    </row>
    <row r="107" spans="1:2" x14ac:dyDescent="0.25">
      <c r="A107" s="18">
        <v>32</v>
      </c>
      <c r="B107" s="18">
        <v>3.8700000000000001E-7</v>
      </c>
    </row>
  </sheetData>
  <pageMargins left="0.7" right="0.7" top="0.75" bottom="0.75" header="0.3" footer="0.3"/>
  <pageSetup paperSize="9" orientation="portrait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dimension ref="A1:B92"/>
  <sheetViews>
    <sheetView workbookViewId="0">
      <selection activeCell="H12" sqref="H12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9</v>
      </c>
      <c r="B2" s="18">
        <v>5.62E-4</v>
      </c>
    </row>
    <row r="3" spans="1:2" x14ac:dyDescent="0.25">
      <c r="A3" s="18">
        <v>9.1999999999999993</v>
      </c>
      <c r="B3" s="18">
        <v>2.5700000000000001E-4</v>
      </c>
    </row>
    <row r="4" spans="1:2" x14ac:dyDescent="0.25">
      <c r="A4" s="18">
        <v>9.4</v>
      </c>
      <c r="B4" s="18">
        <v>6.86E-5</v>
      </c>
    </row>
    <row r="5" spans="1:2" x14ac:dyDescent="0.25">
      <c r="A5" s="18">
        <v>9.6</v>
      </c>
      <c r="B5" s="18">
        <v>4.1599999999999997E-4</v>
      </c>
    </row>
    <row r="6" spans="1:2" x14ac:dyDescent="0.25">
      <c r="A6" s="18">
        <v>9.8000000000000007</v>
      </c>
      <c r="B6" s="18">
        <v>5.9299999999999999E-4</v>
      </c>
    </row>
    <row r="7" spans="1:2" x14ac:dyDescent="0.25">
      <c r="A7" s="18">
        <v>10</v>
      </c>
      <c r="B7" s="18">
        <v>3.8999999999999999E-4</v>
      </c>
    </row>
    <row r="8" spans="1:2" x14ac:dyDescent="0.25">
      <c r="A8" s="18">
        <v>10.199999999999999</v>
      </c>
      <c r="B8" s="18">
        <v>5.9199999999999997E-4</v>
      </c>
    </row>
    <row r="9" spans="1:2" x14ac:dyDescent="0.25">
      <c r="A9" s="18">
        <v>10.4</v>
      </c>
      <c r="B9" s="18">
        <v>5.9900000000000003E-4</v>
      </c>
    </row>
    <row r="10" spans="1:2" x14ac:dyDescent="0.25">
      <c r="A10" s="18">
        <v>10.6</v>
      </c>
      <c r="B10" s="18">
        <v>4.0700000000000003E-4</v>
      </c>
    </row>
    <row r="11" spans="1:2" x14ac:dyDescent="0.25">
      <c r="A11" s="18">
        <v>10.8</v>
      </c>
      <c r="B11" s="18">
        <v>5.5800000000000001E-4</v>
      </c>
    </row>
    <row r="12" spans="1:2" x14ac:dyDescent="0.25">
      <c r="A12" s="18">
        <v>11</v>
      </c>
      <c r="B12" s="18">
        <v>6.4700000000000001E-4</v>
      </c>
    </row>
    <row r="13" spans="1:2" x14ac:dyDescent="0.25">
      <c r="A13" s="18">
        <v>11.2</v>
      </c>
      <c r="B13" s="18">
        <v>2.1900000000000001E-4</v>
      </c>
    </row>
    <row r="14" spans="1:2" x14ac:dyDescent="0.25">
      <c r="A14" s="18">
        <v>11.4</v>
      </c>
      <c r="B14" s="18">
        <v>1.06E-3</v>
      </c>
    </row>
    <row r="15" spans="1:2" x14ac:dyDescent="0.25">
      <c r="A15" s="18">
        <v>11.6</v>
      </c>
      <c r="B15" s="18">
        <v>4.08E-4</v>
      </c>
    </row>
    <row r="16" spans="1:2" x14ac:dyDescent="0.25">
      <c r="A16" s="18">
        <v>11.8</v>
      </c>
      <c r="B16" s="18">
        <v>3.7500000000000001E-4</v>
      </c>
    </row>
    <row r="17" spans="1:2" x14ac:dyDescent="0.25">
      <c r="A17" s="18">
        <v>12</v>
      </c>
      <c r="B17" s="18">
        <v>8.4900000000000004E-4</v>
      </c>
    </row>
    <row r="18" spans="1:2" x14ac:dyDescent="0.25">
      <c r="A18" s="18">
        <v>12.2</v>
      </c>
      <c r="B18" s="18">
        <v>7.0200000000000004E-4</v>
      </c>
    </row>
    <row r="19" spans="1:2" x14ac:dyDescent="0.25">
      <c r="A19" s="18">
        <v>12.4</v>
      </c>
      <c r="B19" s="18">
        <v>8.0599999999999997E-4</v>
      </c>
    </row>
    <row r="20" spans="1:2" x14ac:dyDescent="0.25">
      <c r="A20" s="18">
        <v>12.6</v>
      </c>
      <c r="B20" s="18">
        <v>9.9799999999999997E-4</v>
      </c>
    </row>
    <row r="21" spans="1:2" x14ac:dyDescent="0.25">
      <c r="A21" s="18">
        <v>12.8</v>
      </c>
      <c r="B21" s="18">
        <v>9.859999999999999E-4</v>
      </c>
    </row>
    <row r="22" spans="1:2" x14ac:dyDescent="0.25">
      <c r="A22" s="18">
        <v>13</v>
      </c>
      <c r="B22" s="18">
        <v>1.2999999999999999E-3</v>
      </c>
    </row>
    <row r="23" spans="1:2" x14ac:dyDescent="0.25">
      <c r="A23" s="18">
        <v>13.2</v>
      </c>
      <c r="B23" s="18">
        <v>1.47E-3</v>
      </c>
    </row>
    <row r="24" spans="1:2" x14ac:dyDescent="0.25">
      <c r="A24" s="18">
        <v>13.4</v>
      </c>
      <c r="B24" s="18">
        <v>1.8400000000000001E-3</v>
      </c>
    </row>
    <row r="25" spans="1:2" x14ac:dyDescent="0.25">
      <c r="A25" s="18">
        <v>13.6</v>
      </c>
      <c r="B25" s="18">
        <v>1.7899999999999999E-3</v>
      </c>
    </row>
    <row r="26" spans="1:2" x14ac:dyDescent="0.25">
      <c r="A26" s="18">
        <v>13.8</v>
      </c>
      <c r="B26" s="18">
        <v>2.8300000000000001E-3</v>
      </c>
    </row>
    <row r="27" spans="1:2" x14ac:dyDescent="0.25">
      <c r="A27" s="18">
        <v>14</v>
      </c>
      <c r="B27" s="18">
        <v>3.2100000000000002E-3</v>
      </c>
    </row>
    <row r="28" spans="1:2" x14ac:dyDescent="0.25">
      <c r="A28" s="18">
        <v>14.2</v>
      </c>
      <c r="B28" s="18">
        <v>3.5899999999999999E-3</v>
      </c>
    </row>
    <row r="29" spans="1:2" x14ac:dyDescent="0.25">
      <c r="A29" s="18">
        <v>14.4</v>
      </c>
      <c r="B29" s="18">
        <v>4.7400000000000003E-3</v>
      </c>
    </row>
    <row r="30" spans="1:2" x14ac:dyDescent="0.25">
      <c r="A30" s="18">
        <v>14.6</v>
      </c>
      <c r="B30" s="18">
        <v>5.0899999999999999E-3</v>
      </c>
    </row>
    <row r="31" spans="1:2" x14ac:dyDescent="0.25">
      <c r="A31" s="18">
        <v>14.8</v>
      </c>
      <c r="B31" s="18">
        <v>6.62E-3</v>
      </c>
    </row>
    <row r="32" spans="1:2" x14ac:dyDescent="0.25">
      <c r="A32" s="18">
        <v>15</v>
      </c>
      <c r="B32" s="18">
        <v>6.79E-3</v>
      </c>
    </row>
    <row r="33" spans="1:2" x14ac:dyDescent="0.25">
      <c r="A33" s="18">
        <v>15.2</v>
      </c>
      <c r="B33" s="18">
        <v>7.9399999999999991E-3</v>
      </c>
    </row>
    <row r="34" spans="1:2" x14ac:dyDescent="0.25">
      <c r="A34" s="18">
        <v>15.4</v>
      </c>
      <c r="B34" s="18">
        <v>9.0399999999999994E-3</v>
      </c>
    </row>
    <row r="35" spans="1:2" x14ac:dyDescent="0.25">
      <c r="A35" s="18">
        <v>15.6</v>
      </c>
      <c r="B35" s="18">
        <v>9.41E-3</v>
      </c>
    </row>
    <row r="36" spans="1:2" x14ac:dyDescent="0.25">
      <c r="A36" s="18">
        <v>15.8</v>
      </c>
      <c r="B36" s="18">
        <v>1.0999999999999999E-2</v>
      </c>
    </row>
    <row r="37" spans="1:2" x14ac:dyDescent="0.25">
      <c r="A37" s="18">
        <v>16</v>
      </c>
      <c r="B37" s="18">
        <v>1.1900000000000001E-2</v>
      </c>
    </row>
    <row r="38" spans="1:2" x14ac:dyDescent="0.25">
      <c r="A38" s="18">
        <v>16.2</v>
      </c>
      <c r="B38" s="18">
        <v>1.3299999999999999E-2</v>
      </c>
    </row>
    <row r="39" spans="1:2" x14ac:dyDescent="0.25">
      <c r="A39" s="18">
        <v>16.399999999999999</v>
      </c>
      <c r="B39" s="18">
        <v>1.3599999999999999E-2</v>
      </c>
    </row>
    <row r="40" spans="1:2" x14ac:dyDescent="0.25">
      <c r="A40" s="18">
        <v>16.600000000000001</v>
      </c>
      <c r="B40" s="18">
        <v>1.5800000000000002E-2</v>
      </c>
    </row>
    <row r="41" spans="1:2" x14ac:dyDescent="0.25">
      <c r="A41" s="18">
        <v>16.8</v>
      </c>
      <c r="B41" s="18">
        <v>1.61E-2</v>
      </c>
    </row>
    <row r="42" spans="1:2" x14ac:dyDescent="0.25">
      <c r="A42" s="18">
        <v>17</v>
      </c>
      <c r="B42" s="18">
        <v>1.72E-2</v>
      </c>
    </row>
    <row r="43" spans="1:2" x14ac:dyDescent="0.25">
      <c r="A43" s="18">
        <v>17.2</v>
      </c>
      <c r="B43" s="18">
        <v>1.8800000000000001E-2</v>
      </c>
    </row>
    <row r="44" spans="1:2" x14ac:dyDescent="0.25">
      <c r="A44" s="18">
        <v>17.399999999999999</v>
      </c>
      <c r="B44" s="18">
        <v>1.9400000000000001E-2</v>
      </c>
    </row>
    <row r="45" spans="1:2" x14ac:dyDescent="0.25">
      <c r="A45" s="18">
        <v>17.600000000000001</v>
      </c>
      <c r="B45" s="18">
        <v>2.0500000000000001E-2</v>
      </c>
    </row>
    <row r="46" spans="1:2" x14ac:dyDescent="0.25">
      <c r="A46" s="18">
        <v>17.8</v>
      </c>
      <c r="B46" s="18">
        <v>2.1600000000000001E-2</v>
      </c>
    </row>
    <row r="47" spans="1:2" x14ac:dyDescent="0.25">
      <c r="A47" s="18">
        <v>18</v>
      </c>
      <c r="B47" s="18">
        <v>2.23E-2</v>
      </c>
    </row>
    <row r="48" spans="1:2" x14ac:dyDescent="0.25">
      <c r="A48" s="18">
        <v>18.2</v>
      </c>
      <c r="B48" s="18">
        <v>2.3300000000000001E-2</v>
      </c>
    </row>
    <row r="49" spans="1:2" x14ac:dyDescent="0.25">
      <c r="A49" s="18">
        <v>18.399999999999999</v>
      </c>
      <c r="B49" s="18">
        <v>2.3599999999999999E-2</v>
      </c>
    </row>
    <row r="50" spans="1:2" x14ac:dyDescent="0.25">
      <c r="A50" s="18">
        <v>18.600000000000001</v>
      </c>
      <c r="B50" s="18">
        <v>2.4899999999999999E-2</v>
      </c>
    </row>
    <row r="51" spans="1:2" x14ac:dyDescent="0.25">
      <c r="A51" s="18">
        <v>18.8</v>
      </c>
      <c r="B51" s="18">
        <v>2.5100000000000001E-2</v>
      </c>
    </row>
    <row r="52" spans="1:2" x14ac:dyDescent="0.25">
      <c r="A52" s="18">
        <v>19</v>
      </c>
      <c r="B52" s="18">
        <v>2.5899999999999999E-2</v>
      </c>
    </row>
    <row r="53" spans="1:2" x14ac:dyDescent="0.25">
      <c r="A53" s="18">
        <v>19.2</v>
      </c>
      <c r="B53" s="18">
        <v>2.64E-2</v>
      </c>
    </row>
    <row r="54" spans="1:2" x14ac:dyDescent="0.25">
      <c r="A54" s="18">
        <v>19.399999999999999</v>
      </c>
      <c r="B54" s="18">
        <v>2.6200000000000001E-2</v>
      </c>
    </row>
    <row r="55" spans="1:2" x14ac:dyDescent="0.25">
      <c r="A55" s="18">
        <v>19.600000000000001</v>
      </c>
      <c r="B55" s="18">
        <v>2.7E-2</v>
      </c>
    </row>
    <row r="56" spans="1:2" x14ac:dyDescent="0.25">
      <c r="A56" s="18">
        <v>19.8</v>
      </c>
      <c r="B56" s="18">
        <v>2.69E-2</v>
      </c>
    </row>
    <row r="57" spans="1:2" x14ac:dyDescent="0.25">
      <c r="A57" s="18">
        <v>20</v>
      </c>
      <c r="B57" s="18">
        <v>2.6800000000000001E-2</v>
      </c>
    </row>
    <row r="58" spans="1:2" x14ac:dyDescent="0.25">
      <c r="A58" s="18">
        <v>20.2</v>
      </c>
      <c r="B58" s="18">
        <v>2.7E-2</v>
      </c>
    </row>
    <row r="59" spans="1:2" x14ac:dyDescent="0.25">
      <c r="A59" s="18">
        <v>20.399999999999999</v>
      </c>
      <c r="B59" s="18">
        <v>2.69E-2</v>
      </c>
    </row>
    <row r="60" spans="1:2" x14ac:dyDescent="0.25">
      <c r="A60" s="18">
        <v>20.6</v>
      </c>
      <c r="B60" s="18">
        <v>2.7E-2</v>
      </c>
    </row>
    <row r="61" spans="1:2" x14ac:dyDescent="0.25">
      <c r="A61" s="18">
        <v>20.8</v>
      </c>
      <c r="B61" s="18">
        <v>2.6100000000000002E-2</v>
      </c>
    </row>
    <row r="62" spans="1:2" x14ac:dyDescent="0.25">
      <c r="A62" s="18">
        <v>21</v>
      </c>
      <c r="B62" s="18">
        <v>2.63E-2</v>
      </c>
    </row>
    <row r="63" spans="1:2" x14ac:dyDescent="0.25">
      <c r="A63" s="18">
        <v>21.2</v>
      </c>
      <c r="B63" s="18">
        <v>2.58E-2</v>
      </c>
    </row>
    <row r="64" spans="1:2" x14ac:dyDescent="0.25">
      <c r="A64" s="18">
        <v>21.4</v>
      </c>
      <c r="B64" s="18">
        <v>2.5000000000000001E-2</v>
      </c>
    </row>
    <row r="65" spans="1:2" x14ac:dyDescent="0.25">
      <c r="A65" s="18">
        <v>21.6</v>
      </c>
      <c r="B65" s="18">
        <v>2.4899999999999999E-2</v>
      </c>
    </row>
    <row r="66" spans="1:2" x14ac:dyDescent="0.25">
      <c r="A66" s="18">
        <v>21.8</v>
      </c>
      <c r="B66" s="18">
        <v>2.3599999999999999E-2</v>
      </c>
    </row>
    <row r="67" spans="1:2" x14ac:dyDescent="0.25">
      <c r="A67" s="18">
        <v>22</v>
      </c>
      <c r="B67" s="18">
        <v>2.3199999999999998E-2</v>
      </c>
    </row>
    <row r="68" spans="1:2" x14ac:dyDescent="0.25">
      <c r="A68" s="18">
        <v>22.2</v>
      </c>
      <c r="B68" s="18">
        <v>2.2700000000000001E-2</v>
      </c>
    </row>
    <row r="69" spans="1:2" x14ac:dyDescent="0.25">
      <c r="A69" s="18">
        <v>22.4</v>
      </c>
      <c r="B69" s="18">
        <v>2.1499999999999998E-2</v>
      </c>
    </row>
    <row r="70" spans="1:2" x14ac:dyDescent="0.25">
      <c r="A70" s="18">
        <v>22.6</v>
      </c>
      <c r="B70" s="18">
        <v>2.07E-2</v>
      </c>
    </row>
    <row r="71" spans="1:2" x14ac:dyDescent="0.25">
      <c r="A71" s="18">
        <v>22.8</v>
      </c>
      <c r="B71" s="18">
        <v>1.9699999999999999E-2</v>
      </c>
    </row>
    <row r="72" spans="1:2" x14ac:dyDescent="0.25">
      <c r="A72" s="18">
        <v>23</v>
      </c>
      <c r="B72" s="18">
        <v>1.8599999999999998E-2</v>
      </c>
    </row>
    <row r="73" spans="1:2" x14ac:dyDescent="0.25">
      <c r="A73" s="18">
        <v>23.2</v>
      </c>
      <c r="B73" s="18">
        <v>1.7500000000000002E-2</v>
      </c>
    </row>
    <row r="74" spans="1:2" x14ac:dyDescent="0.25">
      <c r="A74" s="18">
        <v>23.4</v>
      </c>
      <c r="B74" s="18">
        <v>1.5900000000000001E-2</v>
      </c>
    </row>
    <row r="75" spans="1:2" x14ac:dyDescent="0.25">
      <c r="A75" s="18">
        <v>23.6</v>
      </c>
      <c r="B75" s="18">
        <v>1.5299999999999999E-2</v>
      </c>
    </row>
    <row r="76" spans="1:2" x14ac:dyDescent="0.25">
      <c r="A76" s="18">
        <v>23.8</v>
      </c>
      <c r="B76" s="18">
        <v>1.3299999999999999E-2</v>
      </c>
    </row>
    <row r="77" spans="1:2" x14ac:dyDescent="0.25">
      <c r="A77" s="18">
        <v>24</v>
      </c>
      <c r="B77" s="18">
        <v>1.2200000000000001E-2</v>
      </c>
    </row>
    <row r="78" spans="1:2" x14ac:dyDescent="0.25">
      <c r="A78" s="18">
        <v>24.2</v>
      </c>
      <c r="B78" s="18">
        <v>1.03E-2</v>
      </c>
    </row>
    <row r="79" spans="1:2" x14ac:dyDescent="0.25">
      <c r="A79" s="18">
        <v>24.4</v>
      </c>
      <c r="B79" s="18">
        <v>8.6800000000000002E-3</v>
      </c>
    </row>
    <row r="80" spans="1:2" x14ac:dyDescent="0.25">
      <c r="A80" s="18">
        <v>24.6</v>
      </c>
      <c r="B80" s="18">
        <v>6.79E-3</v>
      </c>
    </row>
    <row r="81" spans="1:2" x14ac:dyDescent="0.25">
      <c r="A81" s="18">
        <v>24.8</v>
      </c>
      <c r="B81" s="18">
        <v>4.6600000000000001E-3</v>
      </c>
    </row>
    <row r="82" spans="1:2" x14ac:dyDescent="0.25">
      <c r="A82" s="18">
        <v>25</v>
      </c>
      <c r="B82" s="18">
        <v>1.6900000000000001E-3</v>
      </c>
    </row>
    <row r="83" spans="1:2" x14ac:dyDescent="0.25">
      <c r="A83" s="18">
        <v>25.2</v>
      </c>
      <c r="B83" s="18">
        <v>4.0599999999999998E-5</v>
      </c>
    </row>
    <row r="84" spans="1:2" x14ac:dyDescent="0.25">
      <c r="A84" s="18">
        <v>25.4</v>
      </c>
      <c r="B84" s="18">
        <v>1.7500000000000001E-8</v>
      </c>
    </row>
    <row r="85" spans="1:2" x14ac:dyDescent="0.25">
      <c r="A85" s="18">
        <v>25.6</v>
      </c>
      <c r="B85" s="18">
        <v>4.1899999999999998E-7</v>
      </c>
    </row>
    <row r="86" spans="1:2" x14ac:dyDescent="0.25">
      <c r="A86" s="18">
        <v>25.8</v>
      </c>
      <c r="B86" s="18">
        <v>3.3400000000000002E-6</v>
      </c>
    </row>
    <row r="87" spans="1:2" x14ac:dyDescent="0.25">
      <c r="A87" s="18">
        <v>26</v>
      </c>
      <c r="B87" s="18">
        <v>3.36E-6</v>
      </c>
    </row>
    <row r="88" spans="1:2" x14ac:dyDescent="0.25">
      <c r="A88" s="18">
        <v>26.2</v>
      </c>
      <c r="B88" s="18">
        <v>2.9200000000000002E-7</v>
      </c>
    </row>
    <row r="89" spans="1:2" x14ac:dyDescent="0.25">
      <c r="A89" s="18">
        <v>26.4</v>
      </c>
      <c r="B89" s="18">
        <v>2.74E-6</v>
      </c>
    </row>
    <row r="90" spans="1:2" x14ac:dyDescent="0.25">
      <c r="A90" s="18">
        <v>26.6</v>
      </c>
      <c r="B90" s="18">
        <v>1.2100000000000001E-6</v>
      </c>
    </row>
    <row r="91" spans="1:2" x14ac:dyDescent="0.25">
      <c r="A91" s="18">
        <v>26.8</v>
      </c>
      <c r="B91" s="18">
        <v>5.1099999999999996E-7</v>
      </c>
    </row>
    <row r="92" spans="1:2" x14ac:dyDescent="0.25">
      <c r="A92" s="18">
        <v>27</v>
      </c>
      <c r="B92" s="18">
        <v>2.79E-6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dimension ref="A1:B122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18</v>
      </c>
      <c r="B2" s="18">
        <v>1.0399999999999999E-4</v>
      </c>
    </row>
    <row r="3" spans="1:2" x14ac:dyDescent="0.25">
      <c r="A3" s="18">
        <v>18.2</v>
      </c>
      <c r="B3" s="18">
        <v>9.3499999999999996E-5</v>
      </c>
    </row>
    <row r="4" spans="1:2" x14ac:dyDescent="0.25">
      <c r="A4" s="18">
        <v>18.399999999999999</v>
      </c>
      <c r="B4" s="18">
        <v>1.94E-4</v>
      </c>
    </row>
    <row r="5" spans="1:2" x14ac:dyDescent="0.25">
      <c r="A5" s="18">
        <v>18.600000000000001</v>
      </c>
      <c r="B5" s="18">
        <v>2.3000000000000001E-4</v>
      </c>
    </row>
    <row r="6" spans="1:2" x14ac:dyDescent="0.25">
      <c r="A6" s="18">
        <v>18.8</v>
      </c>
      <c r="B6" s="18">
        <v>9.8700000000000004E-7</v>
      </c>
    </row>
    <row r="7" spans="1:2" x14ac:dyDescent="0.25">
      <c r="A7" s="18">
        <v>19</v>
      </c>
      <c r="B7" s="18">
        <v>2.5000000000000001E-4</v>
      </c>
    </row>
    <row r="8" spans="1:2" x14ac:dyDescent="0.25">
      <c r="A8" s="18">
        <v>19.2</v>
      </c>
      <c r="B8" s="18">
        <v>1E-4</v>
      </c>
    </row>
    <row r="9" spans="1:2" x14ac:dyDescent="0.25">
      <c r="A9" s="18">
        <v>19.399999999999999</v>
      </c>
      <c r="B9" s="18">
        <v>2.24E-4</v>
      </c>
    </row>
    <row r="10" spans="1:2" x14ac:dyDescent="0.25">
      <c r="A10" s="18">
        <v>19.600000000000001</v>
      </c>
      <c r="B10" s="18">
        <v>3.6900000000000002E-5</v>
      </c>
    </row>
    <row r="11" spans="1:2" x14ac:dyDescent="0.25">
      <c r="A11" s="18">
        <v>19.8</v>
      </c>
      <c r="B11" s="18">
        <v>1.36E-4</v>
      </c>
    </row>
    <row r="12" spans="1:2" x14ac:dyDescent="0.25">
      <c r="A12" s="18">
        <v>20</v>
      </c>
      <c r="B12" s="18">
        <v>1.54E-4</v>
      </c>
    </row>
    <row r="13" spans="1:2" x14ac:dyDescent="0.25">
      <c r="A13" s="18">
        <v>20.2</v>
      </c>
      <c r="B13" s="18">
        <v>1.4100000000000001E-4</v>
      </c>
    </row>
    <row r="14" spans="1:2" x14ac:dyDescent="0.25">
      <c r="A14" s="18">
        <v>20.399999999999999</v>
      </c>
      <c r="B14" s="18">
        <v>1.7699999999999999E-4</v>
      </c>
    </row>
    <row r="15" spans="1:2" x14ac:dyDescent="0.25">
      <c r="A15" s="18">
        <v>20.6</v>
      </c>
      <c r="B15" s="18">
        <v>1.9699999999999999E-4</v>
      </c>
    </row>
    <row r="16" spans="1:2" x14ac:dyDescent="0.25">
      <c r="A16" s="18">
        <v>20.8</v>
      </c>
      <c r="B16" s="18">
        <v>1.3799999999999999E-4</v>
      </c>
    </row>
    <row r="17" spans="1:2" x14ac:dyDescent="0.25">
      <c r="A17" s="18">
        <v>21</v>
      </c>
      <c r="B17" s="18">
        <v>5.04E-4</v>
      </c>
    </row>
    <row r="18" spans="1:2" x14ac:dyDescent="0.25">
      <c r="A18" s="18">
        <v>21.2</v>
      </c>
      <c r="B18" s="18">
        <v>3.01E-4</v>
      </c>
    </row>
    <row r="19" spans="1:2" x14ac:dyDescent="0.25">
      <c r="A19" s="18">
        <v>21.4</v>
      </c>
      <c r="B19" s="18">
        <v>5.6800000000000004E-4</v>
      </c>
    </row>
    <row r="20" spans="1:2" x14ac:dyDescent="0.25">
      <c r="A20" s="18">
        <v>21.6</v>
      </c>
      <c r="B20" s="18">
        <v>3.7599999999999998E-4</v>
      </c>
    </row>
    <row r="21" spans="1:2" x14ac:dyDescent="0.25">
      <c r="A21" s="18">
        <v>21.8</v>
      </c>
      <c r="B21" s="18">
        <v>7.6000000000000004E-4</v>
      </c>
    </row>
    <row r="22" spans="1:2" x14ac:dyDescent="0.25">
      <c r="A22" s="18">
        <v>22</v>
      </c>
      <c r="B22" s="18">
        <v>5.4500000000000002E-4</v>
      </c>
    </row>
    <row r="23" spans="1:2" x14ac:dyDescent="0.25">
      <c r="A23" s="18">
        <v>22.2</v>
      </c>
      <c r="B23" s="18">
        <v>8.8099999999999995E-4</v>
      </c>
    </row>
    <row r="24" spans="1:2" x14ac:dyDescent="0.25">
      <c r="A24" s="18">
        <v>22.4</v>
      </c>
      <c r="B24" s="18">
        <v>9.6500000000000004E-4</v>
      </c>
    </row>
    <row r="25" spans="1:2" x14ac:dyDescent="0.25">
      <c r="A25" s="18">
        <v>22.6</v>
      </c>
      <c r="B25" s="18">
        <v>1.09E-3</v>
      </c>
    </row>
    <row r="26" spans="1:2" x14ac:dyDescent="0.25">
      <c r="A26" s="18">
        <v>22.8</v>
      </c>
      <c r="B26" s="18">
        <v>1.25E-3</v>
      </c>
    </row>
    <row r="27" spans="1:2" x14ac:dyDescent="0.25">
      <c r="A27" s="18">
        <v>23</v>
      </c>
      <c r="B27" s="18">
        <v>1.2199999999999999E-3</v>
      </c>
    </row>
    <row r="28" spans="1:2" x14ac:dyDescent="0.25">
      <c r="A28" s="18">
        <v>23.2</v>
      </c>
      <c r="B28" s="18">
        <v>1.7600000000000001E-3</v>
      </c>
    </row>
    <row r="29" spans="1:2" x14ac:dyDescent="0.25">
      <c r="A29" s="18">
        <v>23.4</v>
      </c>
      <c r="B29" s="18">
        <v>1.4499999999999999E-3</v>
      </c>
    </row>
    <row r="30" spans="1:2" x14ac:dyDescent="0.25">
      <c r="A30" s="18">
        <v>23.6</v>
      </c>
      <c r="B30" s="18">
        <v>2.1900000000000001E-3</v>
      </c>
    </row>
    <row r="31" spans="1:2" x14ac:dyDescent="0.25">
      <c r="A31" s="18">
        <v>23.8</v>
      </c>
      <c r="B31" s="18">
        <v>2.1199999999999999E-3</v>
      </c>
    </row>
    <row r="32" spans="1:2" x14ac:dyDescent="0.25">
      <c r="A32" s="18">
        <v>24</v>
      </c>
      <c r="B32" s="18">
        <v>2.4599999999999999E-3</v>
      </c>
    </row>
    <row r="33" spans="1:2" x14ac:dyDescent="0.25">
      <c r="A33" s="18">
        <v>24.2</v>
      </c>
      <c r="B33" s="18">
        <v>2.7100000000000002E-3</v>
      </c>
    </row>
    <row r="34" spans="1:2" x14ac:dyDescent="0.25">
      <c r="A34" s="18">
        <v>24.4</v>
      </c>
      <c r="B34" s="18">
        <v>2.97E-3</v>
      </c>
    </row>
    <row r="35" spans="1:2" x14ac:dyDescent="0.25">
      <c r="A35" s="18">
        <v>24.6</v>
      </c>
      <c r="B35" s="18">
        <v>3.5000000000000001E-3</v>
      </c>
    </row>
    <row r="36" spans="1:2" x14ac:dyDescent="0.25">
      <c r="A36" s="18">
        <v>24.8</v>
      </c>
      <c r="B36" s="18">
        <v>3.4199999999999999E-3</v>
      </c>
    </row>
    <row r="37" spans="1:2" x14ac:dyDescent="0.25">
      <c r="A37" s="18">
        <v>25</v>
      </c>
      <c r="B37" s="18">
        <v>4.1700000000000001E-3</v>
      </c>
    </row>
    <row r="38" spans="1:2" x14ac:dyDescent="0.25">
      <c r="A38" s="18">
        <v>25.2</v>
      </c>
      <c r="B38" s="18">
        <v>4.0299999999999997E-3</v>
      </c>
    </row>
    <row r="39" spans="1:2" x14ac:dyDescent="0.25">
      <c r="A39" s="18">
        <v>25.4</v>
      </c>
      <c r="B39" s="18">
        <v>4.8999999999999998E-3</v>
      </c>
    </row>
    <row r="40" spans="1:2" x14ac:dyDescent="0.25">
      <c r="A40" s="18">
        <v>25.6</v>
      </c>
      <c r="B40" s="18">
        <v>4.9300000000000004E-3</v>
      </c>
    </row>
    <row r="41" spans="1:2" x14ac:dyDescent="0.25">
      <c r="A41" s="18">
        <v>25.8</v>
      </c>
      <c r="B41" s="18">
        <v>5.5900000000000004E-3</v>
      </c>
    </row>
    <row r="42" spans="1:2" x14ac:dyDescent="0.25">
      <c r="A42" s="18">
        <v>26</v>
      </c>
      <c r="B42" s="18">
        <v>5.77E-3</v>
      </c>
    </row>
    <row r="43" spans="1:2" x14ac:dyDescent="0.25">
      <c r="A43" s="18">
        <v>26.2</v>
      </c>
      <c r="B43" s="18">
        <v>6.6600000000000001E-3</v>
      </c>
    </row>
    <row r="44" spans="1:2" x14ac:dyDescent="0.25">
      <c r="A44" s="18">
        <v>26.4</v>
      </c>
      <c r="B44" s="18">
        <v>6.5399999999999998E-3</v>
      </c>
    </row>
    <row r="45" spans="1:2" x14ac:dyDescent="0.25">
      <c r="A45" s="18">
        <v>26.6</v>
      </c>
      <c r="B45" s="18">
        <v>7.3699999999999998E-3</v>
      </c>
    </row>
    <row r="46" spans="1:2" x14ac:dyDescent="0.25">
      <c r="A46" s="18">
        <v>26.8</v>
      </c>
      <c r="B46" s="18">
        <v>7.3099999999999997E-3</v>
      </c>
    </row>
    <row r="47" spans="1:2" x14ac:dyDescent="0.25">
      <c r="A47" s="18">
        <v>27</v>
      </c>
      <c r="B47" s="18">
        <v>8.3300000000000006E-3</v>
      </c>
    </row>
    <row r="48" spans="1:2" x14ac:dyDescent="0.25">
      <c r="A48" s="18">
        <v>27.2</v>
      </c>
      <c r="B48" s="18">
        <v>8.6400000000000001E-3</v>
      </c>
    </row>
    <row r="49" spans="1:2" x14ac:dyDescent="0.25">
      <c r="A49" s="18">
        <v>27.4</v>
      </c>
      <c r="B49" s="18">
        <v>8.9200000000000008E-3</v>
      </c>
    </row>
    <row r="50" spans="1:2" x14ac:dyDescent="0.25">
      <c r="A50" s="18">
        <v>27.6</v>
      </c>
      <c r="B50" s="18">
        <v>9.5999999999999992E-3</v>
      </c>
    </row>
    <row r="51" spans="1:2" x14ac:dyDescent="0.25">
      <c r="A51" s="18">
        <v>27.8</v>
      </c>
      <c r="B51" s="18">
        <v>9.9799999999999993E-3</v>
      </c>
    </row>
    <row r="52" spans="1:2" x14ac:dyDescent="0.25">
      <c r="A52" s="18">
        <v>28</v>
      </c>
      <c r="B52" s="18">
        <v>1.03E-2</v>
      </c>
    </row>
    <row r="53" spans="1:2" x14ac:dyDescent="0.25">
      <c r="A53" s="18">
        <v>28.2</v>
      </c>
      <c r="B53" s="18">
        <v>1.0800000000000001E-2</v>
      </c>
    </row>
    <row r="54" spans="1:2" x14ac:dyDescent="0.25">
      <c r="A54" s="18">
        <v>28.4</v>
      </c>
      <c r="B54" s="18">
        <v>1.15E-2</v>
      </c>
    </row>
    <row r="55" spans="1:2" x14ac:dyDescent="0.25">
      <c r="A55" s="18">
        <v>28.6</v>
      </c>
      <c r="B55" s="18">
        <v>1.17E-2</v>
      </c>
    </row>
    <row r="56" spans="1:2" x14ac:dyDescent="0.25">
      <c r="A56" s="18">
        <v>28.8</v>
      </c>
      <c r="B56" s="18">
        <v>1.2699999999999999E-2</v>
      </c>
    </row>
    <row r="57" spans="1:2" x14ac:dyDescent="0.25">
      <c r="A57" s="18">
        <v>29</v>
      </c>
      <c r="B57" s="18">
        <v>1.23E-2</v>
      </c>
    </row>
    <row r="58" spans="1:2" x14ac:dyDescent="0.25">
      <c r="A58" s="18">
        <v>29.2</v>
      </c>
      <c r="B58" s="18">
        <v>1.35E-2</v>
      </c>
    </row>
    <row r="59" spans="1:2" x14ac:dyDescent="0.25">
      <c r="A59" s="18">
        <v>29.4</v>
      </c>
      <c r="B59" s="18">
        <v>1.37E-2</v>
      </c>
    </row>
    <row r="60" spans="1:2" x14ac:dyDescent="0.25">
      <c r="A60" s="18">
        <v>29.6</v>
      </c>
      <c r="B60" s="18">
        <v>1.38E-2</v>
      </c>
    </row>
    <row r="61" spans="1:2" x14ac:dyDescent="0.25">
      <c r="A61" s="18">
        <v>29.8</v>
      </c>
      <c r="B61" s="18">
        <v>1.44E-2</v>
      </c>
    </row>
    <row r="62" spans="1:2" x14ac:dyDescent="0.25">
      <c r="A62" s="18">
        <v>30</v>
      </c>
      <c r="B62" s="18">
        <v>1.47E-2</v>
      </c>
    </row>
    <row r="63" spans="1:2" x14ac:dyDescent="0.25">
      <c r="A63" s="18">
        <v>30.2</v>
      </c>
      <c r="B63" s="18">
        <v>1.5100000000000001E-2</v>
      </c>
    </row>
    <row r="64" spans="1:2" x14ac:dyDescent="0.25">
      <c r="A64" s="18">
        <v>30.4</v>
      </c>
      <c r="B64" s="18">
        <v>1.5299999999999999E-2</v>
      </c>
    </row>
    <row r="65" spans="1:2" x14ac:dyDescent="0.25">
      <c r="A65" s="18">
        <v>30.6</v>
      </c>
      <c r="B65" s="18">
        <v>1.61E-2</v>
      </c>
    </row>
    <row r="66" spans="1:2" x14ac:dyDescent="0.25">
      <c r="A66" s="18">
        <v>30.8</v>
      </c>
      <c r="B66" s="18">
        <v>1.6199999999999999E-2</v>
      </c>
    </row>
    <row r="67" spans="1:2" x14ac:dyDescent="0.25">
      <c r="A67" s="18">
        <v>31</v>
      </c>
      <c r="B67" s="18">
        <v>1.67E-2</v>
      </c>
    </row>
    <row r="68" spans="1:2" x14ac:dyDescent="0.25">
      <c r="A68" s="18">
        <v>31.2</v>
      </c>
      <c r="B68" s="18">
        <v>1.66E-2</v>
      </c>
    </row>
    <row r="69" spans="1:2" x14ac:dyDescent="0.25">
      <c r="A69" s="18">
        <v>31.4</v>
      </c>
      <c r="B69" s="18">
        <v>1.67E-2</v>
      </c>
    </row>
    <row r="70" spans="1:2" x14ac:dyDescent="0.25">
      <c r="A70" s="18">
        <v>31.6</v>
      </c>
      <c r="B70" s="18">
        <v>1.7500000000000002E-2</v>
      </c>
    </row>
    <row r="71" spans="1:2" x14ac:dyDescent="0.25">
      <c r="A71" s="18">
        <v>31.8</v>
      </c>
      <c r="B71" s="18">
        <v>1.72E-2</v>
      </c>
    </row>
    <row r="72" spans="1:2" x14ac:dyDescent="0.25">
      <c r="A72" s="18">
        <v>32</v>
      </c>
      <c r="B72" s="18">
        <v>1.8200000000000001E-2</v>
      </c>
    </row>
    <row r="73" spans="1:2" x14ac:dyDescent="0.25">
      <c r="A73" s="18">
        <v>32.200000000000003</v>
      </c>
      <c r="B73" s="18">
        <v>1.7399999999999999E-2</v>
      </c>
    </row>
    <row r="74" spans="1:2" x14ac:dyDescent="0.25">
      <c r="A74" s="18">
        <v>32.4</v>
      </c>
      <c r="B74" s="18">
        <v>1.8100000000000002E-2</v>
      </c>
    </row>
    <row r="75" spans="1:2" x14ac:dyDescent="0.25">
      <c r="A75" s="18">
        <v>32.6</v>
      </c>
      <c r="B75" s="18">
        <v>1.8499999999999999E-2</v>
      </c>
    </row>
    <row r="76" spans="1:2" x14ac:dyDescent="0.25">
      <c r="A76" s="18">
        <v>32.799999999999997</v>
      </c>
      <c r="B76" s="18">
        <v>1.83E-2</v>
      </c>
    </row>
    <row r="77" spans="1:2" x14ac:dyDescent="0.25">
      <c r="A77" s="18">
        <v>33</v>
      </c>
      <c r="B77" s="18">
        <v>1.7999999999999999E-2</v>
      </c>
    </row>
    <row r="78" spans="1:2" x14ac:dyDescent="0.25">
      <c r="A78" s="18">
        <v>33.200000000000003</v>
      </c>
      <c r="B78" s="18">
        <v>1.8499999999999999E-2</v>
      </c>
    </row>
    <row r="79" spans="1:2" x14ac:dyDescent="0.25">
      <c r="A79" s="18">
        <v>33.4</v>
      </c>
      <c r="B79" s="18">
        <v>1.8599999999999998E-2</v>
      </c>
    </row>
    <row r="80" spans="1:2" x14ac:dyDescent="0.25">
      <c r="A80" s="18">
        <v>33.6</v>
      </c>
      <c r="B80" s="18">
        <v>1.8499999999999999E-2</v>
      </c>
    </row>
    <row r="81" spans="1:2" x14ac:dyDescent="0.25">
      <c r="A81" s="18">
        <v>33.799999999999997</v>
      </c>
      <c r="B81" s="18">
        <v>1.8499999999999999E-2</v>
      </c>
    </row>
    <row r="82" spans="1:2" x14ac:dyDescent="0.25">
      <c r="A82" s="18">
        <v>34</v>
      </c>
      <c r="B82" s="18">
        <v>1.84E-2</v>
      </c>
    </row>
    <row r="83" spans="1:2" x14ac:dyDescent="0.25">
      <c r="A83" s="18">
        <v>34.200000000000003</v>
      </c>
      <c r="B83" s="18">
        <v>1.8200000000000001E-2</v>
      </c>
    </row>
    <row r="84" spans="1:2" x14ac:dyDescent="0.25">
      <c r="A84" s="18">
        <v>34.4</v>
      </c>
      <c r="B84" s="18">
        <v>1.8599999999999998E-2</v>
      </c>
    </row>
    <row r="85" spans="1:2" x14ac:dyDescent="0.25">
      <c r="A85" s="18">
        <v>34.6</v>
      </c>
      <c r="B85" s="18">
        <v>1.78E-2</v>
      </c>
    </row>
    <row r="86" spans="1:2" x14ac:dyDescent="0.25">
      <c r="A86" s="18">
        <v>34.799999999999997</v>
      </c>
      <c r="B86" s="18">
        <v>1.83E-2</v>
      </c>
    </row>
    <row r="87" spans="1:2" x14ac:dyDescent="0.25">
      <c r="A87" s="18">
        <v>35</v>
      </c>
      <c r="B87" s="18">
        <v>1.7600000000000001E-2</v>
      </c>
    </row>
    <row r="88" spans="1:2" x14ac:dyDescent="0.25">
      <c r="A88" s="18">
        <v>35.200000000000003</v>
      </c>
      <c r="B88" s="18">
        <v>1.77E-2</v>
      </c>
    </row>
    <row r="89" spans="1:2" x14ac:dyDescent="0.25">
      <c r="A89" s="18">
        <v>35.4</v>
      </c>
      <c r="B89" s="18">
        <v>1.7299999999999999E-2</v>
      </c>
    </row>
    <row r="90" spans="1:2" x14ac:dyDescent="0.25">
      <c r="A90" s="18">
        <v>35.6</v>
      </c>
      <c r="B90" s="18">
        <v>1.6899999999999998E-2</v>
      </c>
    </row>
    <row r="91" spans="1:2" x14ac:dyDescent="0.25">
      <c r="A91" s="18">
        <v>35.799999999999997</v>
      </c>
      <c r="B91" s="18">
        <v>1.6799999999999999E-2</v>
      </c>
    </row>
    <row r="92" spans="1:2" x14ac:dyDescent="0.25">
      <c r="A92" s="18">
        <v>36</v>
      </c>
      <c r="B92" s="18">
        <v>1.6299999999999999E-2</v>
      </c>
    </row>
    <row r="93" spans="1:2" x14ac:dyDescent="0.25">
      <c r="A93" s="18">
        <v>36.200000000000003</v>
      </c>
      <c r="B93" s="18">
        <v>1.6E-2</v>
      </c>
    </row>
    <row r="94" spans="1:2" x14ac:dyDescent="0.25">
      <c r="A94" s="18">
        <v>36.4</v>
      </c>
      <c r="B94" s="18">
        <v>1.5299999999999999E-2</v>
      </c>
    </row>
    <row r="95" spans="1:2" x14ac:dyDescent="0.25">
      <c r="A95" s="18">
        <v>36.6</v>
      </c>
      <c r="B95" s="18">
        <v>1.54E-2</v>
      </c>
    </row>
    <row r="96" spans="1:2" x14ac:dyDescent="0.25">
      <c r="A96" s="18">
        <v>36.799999999999997</v>
      </c>
      <c r="B96" s="18">
        <v>1.43E-2</v>
      </c>
    </row>
    <row r="97" spans="1:2" x14ac:dyDescent="0.25">
      <c r="A97" s="18">
        <v>37</v>
      </c>
      <c r="B97" s="18">
        <v>1.4500000000000001E-2</v>
      </c>
    </row>
    <row r="98" spans="1:2" x14ac:dyDescent="0.25">
      <c r="A98" s="18">
        <v>37.200000000000003</v>
      </c>
      <c r="B98" s="18">
        <v>1.35E-2</v>
      </c>
    </row>
    <row r="99" spans="1:2" x14ac:dyDescent="0.25">
      <c r="A99" s="18">
        <v>37.4</v>
      </c>
      <c r="B99" s="18">
        <v>1.2999999999999999E-2</v>
      </c>
    </row>
    <row r="100" spans="1:2" x14ac:dyDescent="0.25">
      <c r="A100" s="18">
        <v>37.6</v>
      </c>
      <c r="B100" s="18">
        <v>1.26E-2</v>
      </c>
    </row>
    <row r="101" spans="1:2" x14ac:dyDescent="0.25">
      <c r="A101" s="18">
        <v>37.799999999999997</v>
      </c>
      <c r="B101" s="18">
        <v>1.15E-2</v>
      </c>
    </row>
    <row r="102" spans="1:2" x14ac:dyDescent="0.25">
      <c r="A102" s="18">
        <v>38</v>
      </c>
      <c r="B102" s="18">
        <v>1.12E-2</v>
      </c>
    </row>
    <row r="103" spans="1:2" x14ac:dyDescent="0.25">
      <c r="A103" s="18">
        <v>38.200000000000003</v>
      </c>
      <c r="B103" s="18">
        <v>1.03E-2</v>
      </c>
    </row>
    <row r="104" spans="1:2" x14ac:dyDescent="0.25">
      <c r="A104" s="18">
        <v>38.4</v>
      </c>
      <c r="B104" s="18">
        <v>9.7099999999999999E-3</v>
      </c>
    </row>
    <row r="105" spans="1:2" x14ac:dyDescent="0.25">
      <c r="A105" s="18">
        <v>38.6</v>
      </c>
      <c r="B105" s="18">
        <v>8.9200000000000008E-3</v>
      </c>
    </row>
    <row r="106" spans="1:2" x14ac:dyDescent="0.25">
      <c r="A106" s="18">
        <v>38.799999999999997</v>
      </c>
      <c r="B106" s="18">
        <v>8.09E-3</v>
      </c>
    </row>
    <row r="107" spans="1:2" x14ac:dyDescent="0.25">
      <c r="A107" s="18">
        <v>39</v>
      </c>
      <c r="B107" s="18">
        <v>7.2399999999999999E-3</v>
      </c>
    </row>
    <row r="108" spans="1:2" x14ac:dyDescent="0.25">
      <c r="A108" s="18">
        <v>39.200000000000003</v>
      </c>
      <c r="B108" s="18">
        <v>6.0499999999999998E-3</v>
      </c>
    </row>
    <row r="109" spans="1:2" x14ac:dyDescent="0.25">
      <c r="A109" s="18">
        <v>39.4</v>
      </c>
      <c r="B109" s="18">
        <v>5.2100000000000002E-3</v>
      </c>
    </row>
    <row r="110" spans="1:2" x14ac:dyDescent="0.25">
      <c r="A110" s="18">
        <v>39.6</v>
      </c>
      <c r="B110" s="18">
        <v>4.0000000000000001E-3</v>
      </c>
    </row>
    <row r="111" spans="1:2" x14ac:dyDescent="0.25">
      <c r="A111" s="18">
        <v>39.799999999999997</v>
      </c>
      <c r="B111" s="18">
        <v>2.8E-3</v>
      </c>
    </row>
    <row r="112" spans="1:2" x14ac:dyDescent="0.25">
      <c r="A112" s="18">
        <v>40</v>
      </c>
      <c r="B112" s="18">
        <v>9.4600000000000001E-4</v>
      </c>
    </row>
    <row r="113" spans="1:2" x14ac:dyDescent="0.25">
      <c r="A113" s="18">
        <v>40.200000000000003</v>
      </c>
      <c r="B113" s="18">
        <v>2.5000000000000001E-5</v>
      </c>
    </row>
    <row r="114" spans="1:2" x14ac:dyDescent="0.25">
      <c r="A114" s="18">
        <v>40.4</v>
      </c>
      <c r="B114" s="18">
        <v>9.3899999999999999E-6</v>
      </c>
    </row>
    <row r="115" spans="1:2" x14ac:dyDescent="0.25">
      <c r="A115" s="18">
        <v>40.6</v>
      </c>
      <c r="B115" s="18">
        <v>6.2299999999999996E-6</v>
      </c>
    </row>
    <row r="116" spans="1:2" x14ac:dyDescent="0.25">
      <c r="A116" s="18">
        <v>40.799999999999997</v>
      </c>
      <c r="B116" s="18">
        <v>4.0899999999999998E-6</v>
      </c>
    </row>
    <row r="117" spans="1:2" x14ac:dyDescent="0.25">
      <c r="A117" s="18">
        <v>41</v>
      </c>
      <c r="B117" s="18">
        <v>3.2600000000000001E-6</v>
      </c>
    </row>
    <row r="118" spans="1:2" x14ac:dyDescent="0.25">
      <c r="A118" s="18">
        <v>41.2</v>
      </c>
      <c r="B118" s="18">
        <v>3.58E-6</v>
      </c>
    </row>
    <row r="119" spans="1:2" x14ac:dyDescent="0.25">
      <c r="A119" s="18">
        <v>41.4</v>
      </c>
      <c r="B119" s="18">
        <v>3.7500000000000001E-6</v>
      </c>
    </row>
    <row r="120" spans="1:2" x14ac:dyDescent="0.25">
      <c r="A120" s="18">
        <v>41.6</v>
      </c>
      <c r="B120" s="18">
        <v>4.25E-6</v>
      </c>
    </row>
    <row r="121" spans="1:2" x14ac:dyDescent="0.25">
      <c r="A121" s="18">
        <v>41.8</v>
      </c>
      <c r="B121" s="18">
        <v>2.7E-6</v>
      </c>
    </row>
    <row r="122" spans="1:2" x14ac:dyDescent="0.25">
      <c r="A122" s="18">
        <v>42</v>
      </c>
      <c r="B122" s="18">
        <v>4.0300000000000004E-6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dimension ref="A1:B78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24</v>
      </c>
      <c r="B2" s="18">
        <v>2.8600000000000001E-5</v>
      </c>
    </row>
    <row r="3" spans="1:2" x14ac:dyDescent="0.25">
      <c r="A3" s="18">
        <v>24.5</v>
      </c>
      <c r="B3" s="18">
        <v>3.5899999999999998E-5</v>
      </c>
    </row>
    <row r="4" spans="1:2" x14ac:dyDescent="0.25">
      <c r="A4" s="18">
        <v>25</v>
      </c>
      <c r="B4" s="18">
        <v>4.9200000000000003E-5</v>
      </c>
    </row>
    <row r="5" spans="1:2" x14ac:dyDescent="0.25">
      <c r="A5" s="18">
        <v>25.5</v>
      </c>
      <c r="B5" s="18">
        <v>7.3200000000000004E-5</v>
      </c>
    </row>
    <row r="6" spans="1:2" x14ac:dyDescent="0.25">
      <c r="A6" s="18">
        <v>26</v>
      </c>
      <c r="B6" s="18">
        <v>1.02E-4</v>
      </c>
    </row>
    <row r="7" spans="1:2" x14ac:dyDescent="0.25">
      <c r="A7" s="18">
        <v>26.5</v>
      </c>
      <c r="B7" s="18">
        <v>1.37E-4</v>
      </c>
    </row>
    <row r="8" spans="1:2" x14ac:dyDescent="0.25">
      <c r="A8" s="18">
        <v>27</v>
      </c>
      <c r="B8" s="18">
        <v>1.9000000000000001E-4</v>
      </c>
    </row>
    <row r="9" spans="1:2" x14ac:dyDescent="0.25">
      <c r="A9" s="18">
        <v>27.5</v>
      </c>
      <c r="B9" s="18">
        <v>2.3599999999999999E-4</v>
      </c>
    </row>
    <row r="10" spans="1:2" x14ac:dyDescent="0.25">
      <c r="A10" s="18">
        <v>28</v>
      </c>
      <c r="B10" s="18">
        <v>3.48E-4</v>
      </c>
    </row>
    <row r="11" spans="1:2" x14ac:dyDescent="0.25">
      <c r="A11" s="18">
        <v>28.5</v>
      </c>
      <c r="B11" s="18">
        <v>4.73E-4</v>
      </c>
    </row>
    <row r="12" spans="1:2" x14ac:dyDescent="0.25">
      <c r="A12" s="18">
        <v>29</v>
      </c>
      <c r="B12" s="18">
        <v>6.9399999999999996E-4</v>
      </c>
    </row>
    <row r="13" spans="1:2" x14ac:dyDescent="0.25">
      <c r="A13" s="18">
        <v>29.5</v>
      </c>
      <c r="B13" s="18">
        <v>8.12E-4</v>
      </c>
    </row>
    <row r="14" spans="1:2" x14ac:dyDescent="0.25">
      <c r="A14" s="18">
        <v>30</v>
      </c>
      <c r="B14" s="18">
        <v>1.1299999999999999E-3</v>
      </c>
    </row>
    <row r="15" spans="1:2" x14ac:dyDescent="0.25">
      <c r="A15" s="18">
        <v>30.5</v>
      </c>
      <c r="B15" s="18">
        <v>1.4599999999999999E-3</v>
      </c>
    </row>
    <row r="16" spans="1:2" x14ac:dyDescent="0.25">
      <c r="A16" s="18">
        <v>31</v>
      </c>
      <c r="B16" s="18">
        <v>1.7899999999999999E-3</v>
      </c>
    </row>
    <row r="17" spans="1:2" x14ac:dyDescent="0.25">
      <c r="A17" s="18">
        <v>31.5</v>
      </c>
      <c r="B17" s="18">
        <v>2.2599999999999999E-3</v>
      </c>
    </row>
    <row r="18" spans="1:2" x14ac:dyDescent="0.25">
      <c r="A18" s="18">
        <v>32</v>
      </c>
      <c r="B18" s="18">
        <v>2.8E-3</v>
      </c>
    </row>
    <row r="19" spans="1:2" x14ac:dyDescent="0.25">
      <c r="A19" s="18">
        <v>32.5</v>
      </c>
      <c r="B19" s="18">
        <v>3.3899999999999998E-3</v>
      </c>
    </row>
    <row r="20" spans="1:2" x14ac:dyDescent="0.25">
      <c r="A20" s="18">
        <v>33</v>
      </c>
      <c r="B20" s="18">
        <v>4.0800000000000003E-3</v>
      </c>
    </row>
    <row r="21" spans="1:2" x14ac:dyDescent="0.25">
      <c r="A21" s="18">
        <v>33.5</v>
      </c>
      <c r="B21" s="18">
        <v>4.7200000000000002E-3</v>
      </c>
    </row>
    <row r="22" spans="1:2" x14ac:dyDescent="0.25">
      <c r="A22" s="18">
        <v>34</v>
      </c>
      <c r="B22" s="18">
        <v>5.5799999999999999E-3</v>
      </c>
    </row>
    <row r="23" spans="1:2" x14ac:dyDescent="0.25">
      <c r="A23" s="18">
        <v>34.5</v>
      </c>
      <c r="B23" s="18">
        <v>6.4900000000000001E-3</v>
      </c>
    </row>
    <row r="24" spans="1:2" x14ac:dyDescent="0.25">
      <c r="A24" s="18">
        <v>35</v>
      </c>
      <c r="B24" s="18">
        <v>7.3499999999999998E-3</v>
      </c>
    </row>
    <row r="25" spans="1:2" x14ac:dyDescent="0.25">
      <c r="A25" s="18">
        <v>35.5</v>
      </c>
      <c r="B25" s="18">
        <v>8.2500000000000004E-3</v>
      </c>
    </row>
    <row r="26" spans="1:2" x14ac:dyDescent="0.25">
      <c r="A26" s="18">
        <v>36</v>
      </c>
      <c r="B26" s="18">
        <v>9.2700000000000005E-3</v>
      </c>
    </row>
    <row r="27" spans="1:2" x14ac:dyDescent="0.25">
      <c r="A27" s="18">
        <v>36.5</v>
      </c>
      <c r="B27" s="18">
        <v>1.03E-2</v>
      </c>
    </row>
    <row r="28" spans="1:2" x14ac:dyDescent="0.25">
      <c r="A28" s="18">
        <v>37</v>
      </c>
      <c r="B28" s="18">
        <v>1.1299999999999999E-2</v>
      </c>
    </row>
    <row r="29" spans="1:2" x14ac:dyDescent="0.25">
      <c r="A29" s="18">
        <v>37.5</v>
      </c>
      <c r="B29" s="18">
        <v>1.24E-2</v>
      </c>
    </row>
    <row r="30" spans="1:2" x14ac:dyDescent="0.25">
      <c r="A30" s="18">
        <v>38</v>
      </c>
      <c r="B30" s="18">
        <v>1.34E-2</v>
      </c>
    </row>
    <row r="31" spans="1:2" x14ac:dyDescent="0.25">
      <c r="A31" s="18">
        <v>38.5</v>
      </c>
      <c r="B31" s="18">
        <v>1.4500000000000001E-2</v>
      </c>
    </row>
    <row r="32" spans="1:2" x14ac:dyDescent="0.25">
      <c r="A32" s="18">
        <v>39</v>
      </c>
      <c r="B32" s="18">
        <v>1.55E-2</v>
      </c>
    </row>
    <row r="33" spans="1:2" x14ac:dyDescent="0.25">
      <c r="A33" s="18">
        <v>39.5</v>
      </c>
      <c r="B33" s="18">
        <v>1.66E-2</v>
      </c>
    </row>
    <row r="34" spans="1:2" x14ac:dyDescent="0.25">
      <c r="A34" s="18">
        <v>40</v>
      </c>
      <c r="B34" s="18">
        <v>1.7500000000000002E-2</v>
      </c>
    </row>
    <row r="35" spans="1:2" x14ac:dyDescent="0.25">
      <c r="A35" s="18">
        <v>40.5</v>
      </c>
      <c r="B35" s="18">
        <v>1.8499999999999999E-2</v>
      </c>
    </row>
    <row r="36" spans="1:2" x14ac:dyDescent="0.25">
      <c r="A36" s="18">
        <v>41</v>
      </c>
      <c r="B36" s="18">
        <v>1.9699999999999999E-2</v>
      </c>
    </row>
    <row r="37" spans="1:2" x14ac:dyDescent="0.25">
      <c r="A37" s="18">
        <v>41.5</v>
      </c>
      <c r="B37" s="18">
        <v>2.07E-2</v>
      </c>
    </row>
    <row r="38" spans="1:2" x14ac:dyDescent="0.25">
      <c r="A38" s="18">
        <v>42</v>
      </c>
      <c r="B38" s="18">
        <v>2.1399999999999999E-2</v>
      </c>
    </row>
    <row r="39" spans="1:2" x14ac:dyDescent="0.25">
      <c r="A39" s="18">
        <v>42.5</v>
      </c>
      <c r="B39" s="18">
        <v>2.24E-2</v>
      </c>
    </row>
    <row r="40" spans="1:2" x14ac:dyDescent="0.25">
      <c r="A40" s="18">
        <v>43</v>
      </c>
      <c r="B40" s="18">
        <v>2.3300000000000001E-2</v>
      </c>
    </row>
    <row r="41" spans="1:2" x14ac:dyDescent="0.25">
      <c r="A41" s="18">
        <v>43.5</v>
      </c>
      <c r="B41" s="18">
        <v>2.4E-2</v>
      </c>
    </row>
    <row r="42" spans="1:2" x14ac:dyDescent="0.25">
      <c r="A42" s="18">
        <v>44</v>
      </c>
      <c r="B42" s="18">
        <v>2.46E-2</v>
      </c>
    </row>
    <row r="43" spans="1:2" x14ac:dyDescent="0.25">
      <c r="A43" s="18">
        <v>44.5</v>
      </c>
      <c r="B43" s="18">
        <v>2.5100000000000001E-2</v>
      </c>
    </row>
    <row r="44" spans="1:2" x14ac:dyDescent="0.25">
      <c r="A44" s="18">
        <v>45</v>
      </c>
      <c r="B44" s="18">
        <v>2.5600000000000001E-2</v>
      </c>
    </row>
    <row r="45" spans="1:2" x14ac:dyDescent="0.25">
      <c r="A45" s="18">
        <v>45.5</v>
      </c>
      <c r="B45" s="18">
        <v>2.5899999999999999E-2</v>
      </c>
    </row>
    <row r="46" spans="1:2" x14ac:dyDescent="0.25">
      <c r="A46" s="18">
        <v>46</v>
      </c>
      <c r="B46" s="18">
        <v>2.64E-2</v>
      </c>
    </row>
    <row r="47" spans="1:2" x14ac:dyDescent="0.25">
      <c r="A47" s="18">
        <v>46.5</v>
      </c>
      <c r="B47" s="18">
        <v>2.6700000000000002E-2</v>
      </c>
    </row>
    <row r="48" spans="1:2" x14ac:dyDescent="0.25">
      <c r="A48" s="18">
        <v>47</v>
      </c>
      <c r="B48" s="18">
        <v>2.69E-2</v>
      </c>
    </row>
    <row r="49" spans="1:2" x14ac:dyDescent="0.25">
      <c r="A49" s="18">
        <v>47.5</v>
      </c>
      <c r="B49" s="18">
        <v>2.6800000000000001E-2</v>
      </c>
    </row>
    <row r="50" spans="1:2" x14ac:dyDescent="0.25">
      <c r="A50" s="18">
        <v>48</v>
      </c>
      <c r="B50" s="18">
        <v>2.69E-2</v>
      </c>
    </row>
    <row r="51" spans="1:2" x14ac:dyDescent="0.25">
      <c r="A51" s="18">
        <v>48.5</v>
      </c>
      <c r="B51" s="18">
        <v>2.6800000000000001E-2</v>
      </c>
    </row>
    <row r="52" spans="1:2" x14ac:dyDescent="0.25">
      <c r="A52" s="18">
        <v>49</v>
      </c>
      <c r="B52" s="18">
        <v>2.6599999999999999E-2</v>
      </c>
    </row>
    <row r="53" spans="1:2" x14ac:dyDescent="0.25">
      <c r="A53" s="18">
        <v>49.5</v>
      </c>
      <c r="B53" s="18">
        <v>2.63E-2</v>
      </c>
    </row>
    <row r="54" spans="1:2" x14ac:dyDescent="0.25">
      <c r="A54" s="18">
        <v>50</v>
      </c>
      <c r="B54" s="18">
        <v>2.6100000000000002E-2</v>
      </c>
    </row>
    <row r="55" spans="1:2" x14ac:dyDescent="0.25">
      <c r="A55" s="18">
        <v>50.5</v>
      </c>
      <c r="B55" s="18">
        <v>2.5700000000000001E-2</v>
      </c>
    </row>
    <row r="56" spans="1:2" x14ac:dyDescent="0.25">
      <c r="A56" s="18">
        <v>51</v>
      </c>
      <c r="B56" s="18">
        <v>2.5399999999999999E-2</v>
      </c>
    </row>
    <row r="57" spans="1:2" x14ac:dyDescent="0.25">
      <c r="A57" s="18">
        <v>51.5</v>
      </c>
      <c r="B57" s="18">
        <v>2.4899999999999999E-2</v>
      </c>
    </row>
    <row r="58" spans="1:2" x14ac:dyDescent="0.25">
      <c r="A58" s="18">
        <v>52</v>
      </c>
      <c r="B58" s="18">
        <v>2.4400000000000002E-2</v>
      </c>
    </row>
    <row r="59" spans="1:2" x14ac:dyDescent="0.25">
      <c r="A59" s="18">
        <v>52.5</v>
      </c>
      <c r="B59" s="18">
        <v>2.3599999999999999E-2</v>
      </c>
    </row>
    <row r="60" spans="1:2" x14ac:dyDescent="0.25">
      <c r="A60" s="18">
        <v>53</v>
      </c>
      <c r="B60" s="18">
        <v>2.3E-2</v>
      </c>
    </row>
    <row r="61" spans="1:2" x14ac:dyDescent="0.25">
      <c r="A61" s="18">
        <v>53.5</v>
      </c>
      <c r="B61" s="18">
        <v>2.2100000000000002E-2</v>
      </c>
    </row>
    <row r="62" spans="1:2" x14ac:dyDescent="0.25">
      <c r="A62" s="18">
        <v>54</v>
      </c>
      <c r="B62" s="18">
        <v>2.12E-2</v>
      </c>
    </row>
    <row r="63" spans="1:2" x14ac:dyDescent="0.25">
      <c r="A63" s="18">
        <v>54.5</v>
      </c>
      <c r="B63" s="18">
        <v>2.0199999999999999E-2</v>
      </c>
    </row>
    <row r="64" spans="1:2" x14ac:dyDescent="0.25">
      <c r="A64" s="18">
        <v>55</v>
      </c>
      <c r="B64" s="18">
        <v>1.9199999999999998E-2</v>
      </c>
    </row>
    <row r="65" spans="1:2" x14ac:dyDescent="0.25">
      <c r="A65" s="18">
        <v>55.5</v>
      </c>
      <c r="B65" s="18">
        <v>1.7899999999999999E-2</v>
      </c>
    </row>
    <row r="66" spans="1:2" x14ac:dyDescent="0.25">
      <c r="A66" s="18">
        <v>56</v>
      </c>
      <c r="B66" s="18">
        <v>1.66E-2</v>
      </c>
    </row>
    <row r="67" spans="1:2" x14ac:dyDescent="0.25">
      <c r="A67" s="18">
        <v>56.5</v>
      </c>
      <c r="B67" s="18">
        <v>1.52E-2</v>
      </c>
    </row>
    <row r="68" spans="1:2" x14ac:dyDescent="0.25">
      <c r="A68" s="18">
        <v>57</v>
      </c>
      <c r="B68" s="18">
        <v>1.37E-2</v>
      </c>
    </row>
    <row r="69" spans="1:2" x14ac:dyDescent="0.25">
      <c r="A69" s="18">
        <v>57.5</v>
      </c>
      <c r="B69" s="18">
        <v>1.2200000000000001E-2</v>
      </c>
    </row>
    <row r="70" spans="1:2" x14ac:dyDescent="0.25">
      <c r="A70" s="18">
        <v>58</v>
      </c>
      <c r="B70" s="18">
        <v>1.0500000000000001E-2</v>
      </c>
    </row>
    <row r="71" spans="1:2" x14ac:dyDescent="0.25">
      <c r="A71" s="18">
        <v>58.5</v>
      </c>
      <c r="B71" s="18">
        <v>8.5100000000000002E-3</v>
      </c>
    </row>
    <row r="72" spans="1:2" x14ac:dyDescent="0.25">
      <c r="A72" s="18">
        <v>59</v>
      </c>
      <c r="B72" s="18">
        <v>6.4000000000000003E-3</v>
      </c>
    </row>
    <row r="73" spans="1:2" x14ac:dyDescent="0.25">
      <c r="A73" s="18">
        <v>59.5</v>
      </c>
      <c r="B73" s="18">
        <v>3.96E-3</v>
      </c>
    </row>
    <row r="74" spans="1:2" x14ac:dyDescent="0.25">
      <c r="A74" s="18">
        <v>60</v>
      </c>
      <c r="B74" s="18">
        <v>1.1000000000000001E-3</v>
      </c>
    </row>
    <row r="75" spans="1:2" x14ac:dyDescent="0.25">
      <c r="A75" s="18">
        <v>60.5</v>
      </c>
      <c r="B75" s="18">
        <v>1.2999999999999999E-5</v>
      </c>
    </row>
    <row r="76" spans="1:2" x14ac:dyDescent="0.25">
      <c r="A76" s="18">
        <v>61</v>
      </c>
      <c r="B76" s="18">
        <v>1.53E-6</v>
      </c>
    </row>
    <row r="77" spans="1:2" x14ac:dyDescent="0.25">
      <c r="A77" s="18">
        <v>61.5</v>
      </c>
      <c r="B77" s="18">
        <v>6.9400000000000005E-7</v>
      </c>
    </row>
    <row r="78" spans="1:2" x14ac:dyDescent="0.25">
      <c r="A78" s="18">
        <v>62</v>
      </c>
      <c r="B78" s="18">
        <v>2.4900000000000002E-7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dimension ref="A1:B67"/>
  <sheetViews>
    <sheetView workbookViewId="0">
      <selection activeCell="J35" sqref="J35"/>
    </sheetView>
  </sheetViews>
  <sheetFormatPr defaultRowHeight="15" x14ac:dyDescent="0.25"/>
  <cols>
    <col min="1" max="1" width="14" style="1" customWidth="1"/>
    <col min="2" max="2" width="16.42578125" style="1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3">
        <v>4</v>
      </c>
      <c r="B2" s="13">
        <v>4.4499999999999997E-4</v>
      </c>
    </row>
    <row r="3" spans="1:2" x14ac:dyDescent="0.25">
      <c r="A3" s="13">
        <v>4.2</v>
      </c>
      <c r="B3" s="13">
        <v>5.2599999999999999E-4</v>
      </c>
    </row>
    <row r="4" spans="1:2" x14ac:dyDescent="0.25">
      <c r="A4" s="13">
        <v>4.4000000000000004</v>
      </c>
      <c r="B4" s="13">
        <v>2.5799999999999998E-4</v>
      </c>
    </row>
    <row r="5" spans="1:2" x14ac:dyDescent="0.25">
      <c r="A5" s="13">
        <v>4.5999999999999996</v>
      </c>
      <c r="B5" s="13">
        <v>5.7499999999999999E-4</v>
      </c>
    </row>
    <row r="6" spans="1:2" x14ac:dyDescent="0.25">
      <c r="A6" s="13">
        <v>4.8</v>
      </c>
      <c r="B6" s="13">
        <v>7.3700000000000002E-4</v>
      </c>
    </row>
    <row r="7" spans="1:2" x14ac:dyDescent="0.25">
      <c r="A7" s="13">
        <v>5</v>
      </c>
      <c r="B7" s="13">
        <v>1.1900000000000001E-3</v>
      </c>
    </row>
    <row r="8" spans="1:2" x14ac:dyDescent="0.25">
      <c r="A8" s="13">
        <v>5.2</v>
      </c>
      <c r="B8" s="13">
        <v>1.7600000000000001E-3</v>
      </c>
    </row>
    <row r="9" spans="1:2" x14ac:dyDescent="0.25">
      <c r="A9" s="13">
        <v>5.4</v>
      </c>
      <c r="B9" s="13">
        <v>2.7299999999999998E-3</v>
      </c>
    </row>
    <row r="10" spans="1:2" x14ac:dyDescent="0.25">
      <c r="A10" s="13">
        <v>5.6</v>
      </c>
      <c r="B10" s="13">
        <v>3.7799999999999999E-3</v>
      </c>
    </row>
    <row r="11" spans="1:2" x14ac:dyDescent="0.25">
      <c r="A11" s="13">
        <v>5.8</v>
      </c>
      <c r="B11" s="13">
        <v>5.6800000000000002E-3</v>
      </c>
    </row>
    <row r="12" spans="1:2" x14ac:dyDescent="0.25">
      <c r="A12" s="13">
        <v>6</v>
      </c>
      <c r="B12" s="13">
        <v>7.5500000000000003E-3</v>
      </c>
    </row>
    <row r="13" spans="1:2" x14ac:dyDescent="0.25">
      <c r="A13" s="13">
        <v>6.2</v>
      </c>
      <c r="B13" s="13">
        <v>9.6200000000000001E-3</v>
      </c>
    </row>
    <row r="14" spans="1:2" x14ac:dyDescent="0.25">
      <c r="A14" s="13">
        <v>6.4</v>
      </c>
      <c r="B14" s="13">
        <v>1.24E-2</v>
      </c>
    </row>
    <row r="15" spans="1:2" x14ac:dyDescent="0.25">
      <c r="A15" s="13">
        <v>6.6</v>
      </c>
      <c r="B15" s="13">
        <v>1.4500000000000001E-2</v>
      </c>
    </row>
    <row r="16" spans="1:2" x14ac:dyDescent="0.25">
      <c r="A16" s="13">
        <v>6.8</v>
      </c>
      <c r="B16" s="13">
        <v>1.6500000000000001E-2</v>
      </c>
    </row>
    <row r="17" spans="1:2" x14ac:dyDescent="0.25">
      <c r="A17" s="13">
        <v>7</v>
      </c>
      <c r="B17" s="13">
        <v>1.9099999999999999E-2</v>
      </c>
    </row>
    <row r="18" spans="1:2" x14ac:dyDescent="0.25">
      <c r="A18" s="13">
        <v>7.2</v>
      </c>
      <c r="B18" s="13">
        <v>2.01E-2</v>
      </c>
    </row>
    <row r="19" spans="1:2" x14ac:dyDescent="0.25">
      <c r="A19" s="13">
        <v>7.4</v>
      </c>
      <c r="B19" s="13">
        <v>2.52E-2</v>
      </c>
    </row>
    <row r="20" spans="1:2" x14ac:dyDescent="0.25">
      <c r="A20" s="13">
        <v>7.6</v>
      </c>
      <c r="B20" s="13">
        <v>2.4500000000000001E-2</v>
      </c>
    </row>
    <row r="21" spans="1:2" x14ac:dyDescent="0.25">
      <c r="A21" s="13">
        <v>7.8</v>
      </c>
      <c r="B21" s="13">
        <v>2.4199999999999999E-2</v>
      </c>
    </row>
    <row r="22" spans="1:2" x14ac:dyDescent="0.25">
      <c r="A22" s="13">
        <v>8</v>
      </c>
      <c r="B22" s="13">
        <v>2.53E-2</v>
      </c>
    </row>
    <row r="23" spans="1:2" x14ac:dyDescent="0.25">
      <c r="A23" s="13">
        <v>8.1999999999999993</v>
      </c>
      <c r="B23" s="13">
        <v>3.32E-2</v>
      </c>
    </row>
    <row r="24" spans="1:2" x14ac:dyDescent="0.25">
      <c r="A24" s="13">
        <v>8.4</v>
      </c>
      <c r="B24" s="13">
        <v>0.14599999999999999</v>
      </c>
    </row>
    <row r="25" spans="1:2" x14ac:dyDescent="0.25">
      <c r="A25" s="13">
        <v>8.6</v>
      </c>
      <c r="B25" s="13">
        <v>6.3200000000000006E-2</v>
      </c>
    </row>
    <row r="26" spans="1:2" x14ac:dyDescent="0.25">
      <c r="A26" s="13">
        <v>8.8000000000000007</v>
      </c>
      <c r="B26" s="13">
        <v>2.2700000000000001E-2</v>
      </c>
    </row>
    <row r="27" spans="1:2" x14ac:dyDescent="0.25">
      <c r="A27" s="13">
        <v>9</v>
      </c>
      <c r="B27" s="13">
        <v>2.7799999999999998E-2</v>
      </c>
    </row>
    <row r="28" spans="1:2" x14ac:dyDescent="0.25">
      <c r="A28" s="13">
        <v>9.1999999999999993</v>
      </c>
      <c r="B28" s="13">
        <v>2.5899999999999999E-2</v>
      </c>
    </row>
    <row r="29" spans="1:2" x14ac:dyDescent="0.25">
      <c r="A29" s="13">
        <v>9.4</v>
      </c>
      <c r="B29" s="13">
        <v>2.3900000000000001E-2</v>
      </c>
    </row>
    <row r="30" spans="1:2" x14ac:dyDescent="0.25">
      <c r="A30" s="13">
        <v>9.6</v>
      </c>
      <c r="B30" s="13">
        <v>5.4800000000000001E-2</v>
      </c>
    </row>
    <row r="31" spans="1:2" x14ac:dyDescent="0.25">
      <c r="A31" s="13">
        <v>9.8000000000000007</v>
      </c>
      <c r="B31" s="13">
        <v>6.2899999999999998E-2</v>
      </c>
    </row>
    <row r="32" spans="1:2" x14ac:dyDescent="0.25">
      <c r="A32" s="13">
        <v>10</v>
      </c>
      <c r="B32" s="13">
        <v>5.0999999999999997E-2</v>
      </c>
    </row>
    <row r="33" spans="1:2" x14ac:dyDescent="0.25">
      <c r="A33" s="13">
        <v>10.199999999999999</v>
      </c>
      <c r="B33" s="13">
        <v>2.69E-2</v>
      </c>
    </row>
    <row r="34" spans="1:2" x14ac:dyDescent="0.25">
      <c r="A34" s="13">
        <v>10.4</v>
      </c>
      <c r="B34" s="13">
        <v>1.89E-2</v>
      </c>
    </row>
    <row r="35" spans="1:2" x14ac:dyDescent="0.25">
      <c r="A35" s="13">
        <v>10.6</v>
      </c>
      <c r="B35" s="13">
        <v>1.89E-2</v>
      </c>
    </row>
    <row r="36" spans="1:2" x14ac:dyDescent="0.25">
      <c r="A36" s="13">
        <v>10.8</v>
      </c>
      <c r="B36" s="13">
        <v>1.8100000000000002E-2</v>
      </c>
    </row>
    <row r="37" spans="1:2" x14ac:dyDescent="0.25">
      <c r="A37" s="13">
        <v>11</v>
      </c>
      <c r="B37" s="13">
        <v>1.6899999999999998E-2</v>
      </c>
    </row>
    <row r="38" spans="1:2" x14ac:dyDescent="0.25">
      <c r="A38" s="13">
        <v>11.2</v>
      </c>
      <c r="B38" s="13">
        <v>1.9400000000000001E-2</v>
      </c>
    </row>
    <row r="39" spans="1:2" x14ac:dyDescent="0.25">
      <c r="A39" s="13">
        <v>11.4</v>
      </c>
      <c r="B39" s="13">
        <v>2.0500000000000001E-2</v>
      </c>
    </row>
    <row r="40" spans="1:2" x14ac:dyDescent="0.25">
      <c r="A40" s="13">
        <v>11.6</v>
      </c>
      <c r="B40" s="13">
        <v>1.55E-2</v>
      </c>
    </row>
    <row r="41" spans="1:2" x14ac:dyDescent="0.25">
      <c r="A41" s="13">
        <v>11.8</v>
      </c>
      <c r="B41" s="13">
        <v>1.41E-2</v>
      </c>
    </row>
    <row r="42" spans="1:2" x14ac:dyDescent="0.25">
      <c r="A42" s="13">
        <v>12</v>
      </c>
      <c r="B42" s="13">
        <v>1.24E-2</v>
      </c>
    </row>
    <row r="43" spans="1:2" x14ac:dyDescent="0.25">
      <c r="A43" s="13">
        <v>12.2</v>
      </c>
      <c r="B43" s="13">
        <v>1.1599999999999999E-2</v>
      </c>
    </row>
    <row r="44" spans="1:2" x14ac:dyDescent="0.25">
      <c r="A44" s="13">
        <v>12.4</v>
      </c>
      <c r="B44" s="13">
        <v>1.06E-2</v>
      </c>
    </row>
    <row r="45" spans="1:2" x14ac:dyDescent="0.25">
      <c r="A45" s="13">
        <v>12.6</v>
      </c>
      <c r="B45" s="13">
        <v>9.8200000000000006E-3</v>
      </c>
    </row>
    <row r="46" spans="1:2" x14ac:dyDescent="0.25">
      <c r="A46" s="13">
        <v>12.8</v>
      </c>
      <c r="B46" s="13">
        <v>8.94E-3</v>
      </c>
    </row>
    <row r="47" spans="1:2" x14ac:dyDescent="0.25">
      <c r="A47" s="13">
        <v>13</v>
      </c>
      <c r="B47" s="13">
        <v>8.2400000000000008E-3</v>
      </c>
    </row>
    <row r="48" spans="1:2" x14ac:dyDescent="0.25">
      <c r="A48" s="13">
        <v>13.2</v>
      </c>
      <c r="B48" s="13">
        <v>7.3899999999999999E-3</v>
      </c>
    </row>
    <row r="49" spans="1:2" x14ac:dyDescent="0.25">
      <c r="A49" s="13">
        <v>13.4</v>
      </c>
      <c r="B49" s="13">
        <v>6.6699999999999997E-3</v>
      </c>
    </row>
    <row r="50" spans="1:2" x14ac:dyDescent="0.25">
      <c r="A50" s="13">
        <v>13.6</v>
      </c>
      <c r="B50" s="13">
        <v>6.0000000000000001E-3</v>
      </c>
    </row>
    <row r="51" spans="1:2" x14ac:dyDescent="0.25">
      <c r="A51" s="13">
        <v>13.8</v>
      </c>
      <c r="B51" s="13">
        <v>5.2700000000000004E-3</v>
      </c>
    </row>
    <row r="52" spans="1:2" x14ac:dyDescent="0.25">
      <c r="A52" s="13">
        <v>14</v>
      </c>
      <c r="B52" s="13">
        <v>4.64E-3</v>
      </c>
    </row>
    <row r="53" spans="1:2" x14ac:dyDescent="0.25">
      <c r="A53" s="13">
        <v>14.2</v>
      </c>
      <c r="B53" s="13">
        <v>3.7599999999999999E-3</v>
      </c>
    </row>
    <row r="54" spans="1:2" x14ac:dyDescent="0.25">
      <c r="A54" s="13">
        <v>14.4</v>
      </c>
      <c r="B54" s="13">
        <v>3.2299999999999998E-3</v>
      </c>
    </row>
    <row r="55" spans="1:2" x14ac:dyDescent="0.25">
      <c r="A55" s="13">
        <v>14.6</v>
      </c>
      <c r="B55" s="13">
        <v>2.3800000000000002E-3</v>
      </c>
    </row>
    <row r="56" spans="1:2" x14ac:dyDescent="0.25">
      <c r="A56" s="13">
        <v>14.8</v>
      </c>
      <c r="B56" s="13">
        <v>1.6299999999999999E-3</v>
      </c>
    </row>
    <row r="57" spans="1:2" x14ac:dyDescent="0.25">
      <c r="A57" s="13">
        <v>15</v>
      </c>
      <c r="B57" s="13">
        <v>6.0999999999999997E-4</v>
      </c>
    </row>
    <row r="58" spans="1:2" x14ac:dyDescent="0.25">
      <c r="A58" s="13">
        <v>15.2</v>
      </c>
      <c r="B58" s="13">
        <v>9.3900000000000003E-7</v>
      </c>
    </row>
    <row r="59" spans="1:2" x14ac:dyDescent="0.25">
      <c r="A59" s="13">
        <v>15.4</v>
      </c>
      <c r="B59" s="13">
        <v>4.5200000000000001E-5</v>
      </c>
    </row>
    <row r="60" spans="1:2" x14ac:dyDescent="0.25">
      <c r="A60" s="13">
        <v>15.6</v>
      </c>
      <c r="B60" s="13">
        <v>2.05E-5</v>
      </c>
    </row>
    <row r="61" spans="1:2" x14ac:dyDescent="0.25">
      <c r="A61" s="13">
        <v>15.8</v>
      </c>
      <c r="B61" s="13">
        <v>2.5999999999999998E-5</v>
      </c>
    </row>
    <row r="62" spans="1:2" x14ac:dyDescent="0.25">
      <c r="A62" s="13">
        <v>16</v>
      </c>
      <c r="B62" s="13">
        <v>2.0699999999999998E-5</v>
      </c>
    </row>
    <row r="63" spans="1:2" x14ac:dyDescent="0.25">
      <c r="A63" s="13">
        <v>16.2</v>
      </c>
      <c r="B63" s="13">
        <v>2.9300000000000001E-5</v>
      </c>
    </row>
    <row r="64" spans="1:2" x14ac:dyDescent="0.25">
      <c r="A64" s="13">
        <v>16.399999999999999</v>
      </c>
      <c r="B64" s="13">
        <v>2.37E-5</v>
      </c>
    </row>
    <row r="65" spans="1:2" x14ac:dyDescent="0.25">
      <c r="A65" s="13">
        <v>16.600000000000001</v>
      </c>
      <c r="B65" s="13">
        <v>2.0999999999999999E-5</v>
      </c>
    </row>
    <row r="66" spans="1:2" x14ac:dyDescent="0.25">
      <c r="A66" s="13">
        <v>16.8</v>
      </c>
      <c r="B66" s="13">
        <v>2.3799999999999999E-5</v>
      </c>
    </row>
    <row r="67" spans="1:2" x14ac:dyDescent="0.25">
      <c r="A67" s="13">
        <v>17</v>
      </c>
      <c r="B67" s="13">
        <v>1.59E-5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dimension ref="A1:B97"/>
  <sheetViews>
    <sheetView workbookViewId="0">
      <selection activeCell="J32" sqref="J32"/>
    </sheetView>
  </sheetViews>
  <sheetFormatPr defaultRowHeight="15" x14ac:dyDescent="0.25"/>
  <cols>
    <col min="1" max="1" width="16.7109375" customWidth="1"/>
    <col min="2" max="2" width="14.425781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8.1100000000000006E-5</v>
      </c>
    </row>
    <row r="3" spans="1:2" x14ac:dyDescent="0.25">
      <c r="A3" s="18">
        <v>3.2</v>
      </c>
      <c r="B3" s="18">
        <v>8.4499999999999994E-5</v>
      </c>
    </row>
    <row r="4" spans="1:2" x14ac:dyDescent="0.25">
      <c r="A4" s="18">
        <v>3.4</v>
      </c>
      <c r="B4" s="18">
        <v>1.8200000000000001E-4</v>
      </c>
    </row>
    <row r="5" spans="1:2" x14ac:dyDescent="0.25">
      <c r="A5" s="18">
        <v>3.6</v>
      </c>
      <c r="B5" s="18">
        <v>3.6200000000000002E-4</v>
      </c>
    </row>
    <row r="6" spans="1:2" x14ac:dyDescent="0.25">
      <c r="A6" s="18">
        <v>3.8</v>
      </c>
      <c r="B6" s="18">
        <v>4.1900000000000002E-5</v>
      </c>
    </row>
    <row r="7" spans="1:2" x14ac:dyDescent="0.25">
      <c r="A7" s="18">
        <v>4</v>
      </c>
      <c r="B7" s="18">
        <v>2.99E-4</v>
      </c>
    </row>
    <row r="8" spans="1:2" x14ac:dyDescent="0.25">
      <c r="A8" s="18">
        <v>4.2</v>
      </c>
      <c r="B8" s="18">
        <v>3.9599999999999998E-4</v>
      </c>
    </row>
    <row r="9" spans="1:2" x14ac:dyDescent="0.25">
      <c r="A9" s="18">
        <v>4.4000000000000004</v>
      </c>
      <c r="B9" s="18">
        <v>4.08E-4</v>
      </c>
    </row>
    <row r="10" spans="1:2" x14ac:dyDescent="0.25">
      <c r="A10" s="18">
        <v>4.5999999999999996</v>
      </c>
      <c r="B10" s="18">
        <v>1.5799999999999999E-4</v>
      </c>
    </row>
    <row r="11" spans="1:2" x14ac:dyDescent="0.25">
      <c r="A11" s="18">
        <v>4.8</v>
      </c>
      <c r="B11" s="18">
        <v>7.3899999999999997E-4</v>
      </c>
    </row>
    <row r="12" spans="1:2" x14ac:dyDescent="0.25">
      <c r="A12" s="18">
        <v>5</v>
      </c>
      <c r="B12" s="18">
        <v>3.9500000000000001E-4</v>
      </c>
    </row>
    <row r="13" spans="1:2" x14ac:dyDescent="0.25">
      <c r="A13" s="18">
        <v>5.2</v>
      </c>
      <c r="B13" s="18">
        <v>1.24E-3</v>
      </c>
    </row>
    <row r="14" spans="1:2" x14ac:dyDescent="0.25">
      <c r="A14" s="18">
        <v>5.4</v>
      </c>
      <c r="B14" s="18">
        <v>1.67E-3</v>
      </c>
    </row>
    <row r="15" spans="1:2" x14ac:dyDescent="0.25">
      <c r="A15" s="18">
        <v>5.6</v>
      </c>
      <c r="B15" s="18">
        <v>2.8800000000000002E-3</v>
      </c>
    </row>
    <row r="16" spans="1:2" x14ac:dyDescent="0.25">
      <c r="A16" s="18">
        <v>5.8</v>
      </c>
      <c r="B16" s="18">
        <v>3.2799999999999999E-3</v>
      </c>
    </row>
    <row r="17" spans="1:2" x14ac:dyDescent="0.25">
      <c r="A17" s="18">
        <v>6</v>
      </c>
      <c r="B17" s="18">
        <v>4.8199999999999996E-3</v>
      </c>
    </row>
    <row r="18" spans="1:2" x14ac:dyDescent="0.25">
      <c r="A18" s="18">
        <v>6.2</v>
      </c>
      <c r="B18" s="18">
        <v>5.8999999999999999E-3</v>
      </c>
    </row>
    <row r="19" spans="1:2" x14ac:dyDescent="0.25">
      <c r="A19" s="18">
        <v>6.4</v>
      </c>
      <c r="B19" s="18">
        <v>7.6600000000000001E-3</v>
      </c>
    </row>
    <row r="20" spans="1:2" x14ac:dyDescent="0.25">
      <c r="A20" s="18">
        <v>6.6</v>
      </c>
      <c r="B20" s="18">
        <v>9.4000000000000004E-3</v>
      </c>
    </row>
    <row r="21" spans="1:2" x14ac:dyDescent="0.25">
      <c r="A21" s="18">
        <v>6.8</v>
      </c>
      <c r="B21" s="18">
        <v>1.03E-2</v>
      </c>
    </row>
    <row r="22" spans="1:2" x14ac:dyDescent="0.25">
      <c r="A22" s="18">
        <v>7</v>
      </c>
      <c r="B22" s="18">
        <v>1.17E-2</v>
      </c>
    </row>
    <row r="23" spans="1:2" x14ac:dyDescent="0.25">
      <c r="A23" s="18">
        <v>7.2</v>
      </c>
      <c r="B23" s="18">
        <v>1.32E-2</v>
      </c>
    </row>
    <row r="24" spans="1:2" x14ac:dyDescent="0.25">
      <c r="A24" s="18">
        <v>7.4</v>
      </c>
      <c r="B24" s="18">
        <v>1.8499999999999999E-2</v>
      </c>
    </row>
    <row r="25" spans="1:2" x14ac:dyDescent="0.25">
      <c r="A25" s="18">
        <v>7.6</v>
      </c>
      <c r="B25" s="18">
        <v>1.61E-2</v>
      </c>
    </row>
    <row r="26" spans="1:2" x14ac:dyDescent="0.25">
      <c r="A26" s="18">
        <v>7.8</v>
      </c>
      <c r="B26" s="18">
        <v>1.5800000000000002E-2</v>
      </c>
    </row>
    <row r="27" spans="1:2" x14ac:dyDescent="0.25">
      <c r="A27" s="18">
        <v>8</v>
      </c>
      <c r="B27" s="18">
        <v>1.6799999999999999E-2</v>
      </c>
    </row>
    <row r="28" spans="1:2" x14ac:dyDescent="0.25">
      <c r="A28" s="18">
        <v>8.1999999999999993</v>
      </c>
      <c r="B28" s="18">
        <v>2.63E-2</v>
      </c>
    </row>
    <row r="29" spans="1:2" x14ac:dyDescent="0.25">
      <c r="A29" s="18">
        <v>8.4</v>
      </c>
      <c r="B29" s="18">
        <v>0.16900000000000001</v>
      </c>
    </row>
    <row r="30" spans="1:2" x14ac:dyDescent="0.25">
      <c r="A30" s="18">
        <v>8.6</v>
      </c>
      <c r="B30" s="18">
        <v>6.3700000000000007E-2</v>
      </c>
    </row>
    <row r="31" spans="1:2" x14ac:dyDescent="0.25">
      <c r="A31" s="18">
        <v>8.8000000000000007</v>
      </c>
      <c r="B31" s="18">
        <v>1.4E-2</v>
      </c>
    </row>
    <row r="32" spans="1:2" x14ac:dyDescent="0.25">
      <c r="A32" s="18">
        <v>9</v>
      </c>
      <c r="B32" s="18">
        <v>1.95E-2</v>
      </c>
    </row>
    <row r="33" spans="1:2" x14ac:dyDescent="0.25">
      <c r="A33" s="18">
        <v>9.1999999999999993</v>
      </c>
      <c r="B33" s="18">
        <v>1.83E-2</v>
      </c>
    </row>
    <row r="34" spans="1:2" x14ac:dyDescent="0.25">
      <c r="A34" s="18">
        <v>9.4</v>
      </c>
      <c r="B34" s="18">
        <v>1.6500000000000001E-2</v>
      </c>
    </row>
    <row r="35" spans="1:2" x14ac:dyDescent="0.25">
      <c r="A35" s="18">
        <v>9.6</v>
      </c>
      <c r="B35" s="18">
        <v>6.93E-2</v>
      </c>
    </row>
    <row r="36" spans="1:2" x14ac:dyDescent="0.25">
      <c r="A36" s="18">
        <v>9.8000000000000007</v>
      </c>
      <c r="B36" s="18">
        <v>8.2699999999999996E-2</v>
      </c>
    </row>
    <row r="37" spans="1:2" x14ac:dyDescent="0.25">
      <c r="A37" s="18">
        <v>10</v>
      </c>
      <c r="B37" s="18">
        <v>5.3999999999999999E-2</v>
      </c>
    </row>
    <row r="38" spans="1:2" x14ac:dyDescent="0.25">
      <c r="A38" s="18">
        <v>10.199999999999999</v>
      </c>
      <c r="B38" s="18">
        <v>2.3699999999999999E-2</v>
      </c>
    </row>
    <row r="39" spans="1:2" x14ac:dyDescent="0.25">
      <c r="A39" s="18">
        <v>10.4</v>
      </c>
      <c r="B39" s="18">
        <v>1.37E-2</v>
      </c>
    </row>
    <row r="40" spans="1:2" x14ac:dyDescent="0.25">
      <c r="A40" s="18">
        <v>10.6</v>
      </c>
      <c r="B40" s="18">
        <v>1.4200000000000001E-2</v>
      </c>
    </row>
    <row r="41" spans="1:2" x14ac:dyDescent="0.25">
      <c r="A41" s="18">
        <v>10.8</v>
      </c>
      <c r="B41" s="18">
        <v>1.3899999999999999E-2</v>
      </c>
    </row>
    <row r="42" spans="1:2" x14ac:dyDescent="0.25">
      <c r="A42" s="18">
        <v>11</v>
      </c>
      <c r="B42" s="18">
        <v>1.3100000000000001E-2</v>
      </c>
    </row>
    <row r="43" spans="1:2" x14ac:dyDescent="0.25">
      <c r="A43" s="18">
        <v>11.2</v>
      </c>
      <c r="B43" s="18">
        <v>1.8599999999999998E-2</v>
      </c>
    </row>
    <row r="44" spans="1:2" x14ac:dyDescent="0.25">
      <c r="A44" s="18">
        <v>11.4</v>
      </c>
      <c r="B44" s="18">
        <v>2.1499999999999998E-2</v>
      </c>
    </row>
    <row r="45" spans="1:2" x14ac:dyDescent="0.25">
      <c r="A45" s="18">
        <v>11.6</v>
      </c>
      <c r="B45" s="18">
        <v>1.46E-2</v>
      </c>
    </row>
    <row r="46" spans="1:2" x14ac:dyDescent="0.25">
      <c r="A46" s="18">
        <v>11.8</v>
      </c>
      <c r="B46" s="18">
        <v>1.32E-2</v>
      </c>
    </row>
    <row r="47" spans="1:2" x14ac:dyDescent="0.25">
      <c r="A47" s="18">
        <v>12</v>
      </c>
      <c r="B47" s="18">
        <v>1.09E-2</v>
      </c>
    </row>
    <row r="48" spans="1:2" x14ac:dyDescent="0.25">
      <c r="A48" s="18">
        <v>12.2</v>
      </c>
      <c r="B48" s="18">
        <v>1.0200000000000001E-2</v>
      </c>
    </row>
    <row r="49" spans="1:2" x14ac:dyDescent="0.25">
      <c r="A49" s="18">
        <v>12.4</v>
      </c>
      <c r="B49" s="18">
        <v>9.3399999999999993E-3</v>
      </c>
    </row>
    <row r="50" spans="1:2" x14ac:dyDescent="0.25">
      <c r="A50" s="18">
        <v>12.6</v>
      </c>
      <c r="B50" s="18">
        <v>9.3600000000000003E-3</v>
      </c>
    </row>
    <row r="51" spans="1:2" x14ac:dyDescent="0.25">
      <c r="A51" s="18">
        <v>12.8</v>
      </c>
      <c r="B51" s="18">
        <v>8.4600000000000005E-3</v>
      </c>
    </row>
    <row r="52" spans="1:2" x14ac:dyDescent="0.25">
      <c r="A52" s="18">
        <v>13</v>
      </c>
      <c r="B52" s="18">
        <v>8.5100000000000002E-3</v>
      </c>
    </row>
    <row r="53" spans="1:2" x14ac:dyDescent="0.25">
      <c r="A53" s="18">
        <v>13.2</v>
      </c>
      <c r="B53" s="18">
        <v>8.1499999999999993E-3</v>
      </c>
    </row>
    <row r="54" spans="1:2" x14ac:dyDescent="0.25">
      <c r="A54" s="18">
        <v>13.4</v>
      </c>
      <c r="B54" s="18">
        <v>7.5300000000000002E-3</v>
      </c>
    </row>
    <row r="55" spans="1:2" x14ac:dyDescent="0.25">
      <c r="A55" s="18">
        <v>13.6</v>
      </c>
      <c r="B55" s="18">
        <v>7.3400000000000002E-3</v>
      </c>
    </row>
    <row r="56" spans="1:2" x14ac:dyDescent="0.25">
      <c r="A56" s="18">
        <v>13.8</v>
      </c>
      <c r="B56" s="18">
        <v>7.0600000000000003E-3</v>
      </c>
    </row>
    <row r="57" spans="1:2" x14ac:dyDescent="0.25">
      <c r="A57" s="18">
        <v>14</v>
      </c>
      <c r="B57" s="18">
        <v>6.4700000000000001E-3</v>
      </c>
    </row>
    <row r="58" spans="1:2" x14ac:dyDescent="0.25">
      <c r="A58" s="18">
        <v>14.2</v>
      </c>
      <c r="B58" s="18">
        <v>6.3899999999999998E-3</v>
      </c>
    </row>
    <row r="59" spans="1:2" x14ac:dyDescent="0.25">
      <c r="A59" s="18">
        <v>14.4</v>
      </c>
      <c r="B59" s="18">
        <v>5.9199999999999999E-3</v>
      </c>
    </row>
    <row r="60" spans="1:2" x14ac:dyDescent="0.25">
      <c r="A60" s="18">
        <v>14.6</v>
      </c>
      <c r="B60" s="18">
        <v>5.7800000000000004E-3</v>
      </c>
    </row>
    <row r="61" spans="1:2" x14ac:dyDescent="0.25">
      <c r="A61" s="18">
        <v>14.8</v>
      </c>
      <c r="B61" s="18">
        <v>5.3400000000000001E-3</v>
      </c>
    </row>
    <row r="62" spans="1:2" x14ac:dyDescent="0.25">
      <c r="A62" s="18">
        <v>15</v>
      </c>
      <c r="B62" s="18">
        <v>5.1999999999999998E-3</v>
      </c>
    </row>
    <row r="63" spans="1:2" x14ac:dyDescent="0.25">
      <c r="A63" s="18">
        <v>15.2</v>
      </c>
      <c r="B63" s="18">
        <v>4.7200000000000002E-3</v>
      </c>
    </row>
    <row r="64" spans="1:2" x14ac:dyDescent="0.25">
      <c r="A64" s="18">
        <v>15.4</v>
      </c>
      <c r="B64" s="18">
        <v>4.5599999999999998E-3</v>
      </c>
    </row>
    <row r="65" spans="1:2" x14ac:dyDescent="0.25">
      <c r="A65" s="18">
        <v>15.6</v>
      </c>
      <c r="B65" s="18">
        <v>4.1900000000000001E-3</v>
      </c>
    </row>
    <row r="66" spans="1:2" x14ac:dyDescent="0.25">
      <c r="A66" s="18">
        <v>15.8</v>
      </c>
      <c r="B66" s="18">
        <v>4.0800000000000003E-3</v>
      </c>
    </row>
    <row r="67" spans="1:2" x14ac:dyDescent="0.25">
      <c r="A67" s="18">
        <v>16</v>
      </c>
      <c r="B67" s="18">
        <v>3.8600000000000001E-3</v>
      </c>
    </row>
    <row r="68" spans="1:2" x14ac:dyDescent="0.25">
      <c r="A68" s="18">
        <v>16.2</v>
      </c>
      <c r="B68" s="18">
        <v>3.5000000000000001E-3</v>
      </c>
    </row>
    <row r="69" spans="1:2" x14ac:dyDescent="0.25">
      <c r="A69" s="18">
        <v>16.399999999999999</v>
      </c>
      <c r="B69" s="18">
        <v>3.2699999999999999E-3</v>
      </c>
    </row>
    <row r="70" spans="1:2" x14ac:dyDescent="0.25">
      <c r="A70" s="18">
        <v>16.600000000000001</v>
      </c>
      <c r="B70" s="18">
        <v>3.1099999999999999E-3</v>
      </c>
    </row>
    <row r="71" spans="1:2" x14ac:dyDescent="0.25">
      <c r="A71" s="18">
        <v>16.8</v>
      </c>
      <c r="B71" s="18">
        <v>2.9199999999999999E-3</v>
      </c>
    </row>
    <row r="72" spans="1:2" x14ac:dyDescent="0.25">
      <c r="A72" s="18">
        <v>17</v>
      </c>
      <c r="B72" s="18">
        <v>2.65E-3</v>
      </c>
    </row>
    <row r="73" spans="1:2" x14ac:dyDescent="0.25">
      <c r="A73" s="18">
        <v>17.2</v>
      </c>
      <c r="B73" s="18">
        <v>2.47E-3</v>
      </c>
    </row>
    <row r="74" spans="1:2" x14ac:dyDescent="0.25">
      <c r="A74" s="18">
        <v>17.399999999999999</v>
      </c>
      <c r="B74" s="18">
        <v>2.2499999999999998E-3</v>
      </c>
    </row>
    <row r="75" spans="1:2" x14ac:dyDescent="0.25">
      <c r="A75" s="18">
        <v>17.600000000000001</v>
      </c>
      <c r="B75" s="18">
        <v>2.14E-3</v>
      </c>
    </row>
    <row r="76" spans="1:2" x14ac:dyDescent="0.25">
      <c r="A76" s="18">
        <v>17.8</v>
      </c>
      <c r="B76" s="18">
        <v>1.9400000000000001E-3</v>
      </c>
    </row>
    <row r="77" spans="1:2" x14ac:dyDescent="0.25">
      <c r="A77" s="18">
        <v>18</v>
      </c>
      <c r="B77" s="18">
        <v>1.7799999999999999E-3</v>
      </c>
    </row>
    <row r="78" spans="1:2" x14ac:dyDescent="0.25">
      <c r="A78" s="18">
        <v>18.2</v>
      </c>
      <c r="B78" s="18">
        <v>1.58E-3</v>
      </c>
    </row>
    <row r="79" spans="1:2" x14ac:dyDescent="0.25">
      <c r="A79" s="18">
        <v>18.399999999999999</v>
      </c>
      <c r="B79" s="18">
        <v>1.47E-3</v>
      </c>
    </row>
    <row r="80" spans="1:2" x14ac:dyDescent="0.25">
      <c r="A80" s="18">
        <v>18.600000000000001</v>
      </c>
      <c r="B80" s="18">
        <v>1.25E-3</v>
      </c>
    </row>
    <row r="81" spans="1:2" x14ac:dyDescent="0.25">
      <c r="A81" s="18">
        <v>18.8</v>
      </c>
      <c r="B81" s="18">
        <v>1.16E-3</v>
      </c>
    </row>
    <row r="82" spans="1:2" x14ac:dyDescent="0.25">
      <c r="A82" s="18">
        <v>19</v>
      </c>
      <c r="B82" s="18">
        <v>9.8200000000000002E-4</v>
      </c>
    </row>
    <row r="83" spans="1:2" x14ac:dyDescent="0.25">
      <c r="A83" s="18">
        <v>19.2</v>
      </c>
      <c r="B83" s="18">
        <v>8.1300000000000003E-4</v>
      </c>
    </row>
    <row r="84" spans="1:2" x14ac:dyDescent="0.25">
      <c r="A84" s="18">
        <v>19.399999999999999</v>
      </c>
      <c r="B84" s="18">
        <v>6.6500000000000001E-4</v>
      </c>
    </row>
    <row r="85" spans="1:2" x14ac:dyDescent="0.25">
      <c r="A85" s="18">
        <v>19.600000000000001</v>
      </c>
      <c r="B85" s="18">
        <v>5.1199999999999998E-4</v>
      </c>
    </row>
    <row r="86" spans="1:2" x14ac:dyDescent="0.25">
      <c r="A86" s="18">
        <v>19.8</v>
      </c>
      <c r="B86" s="18">
        <v>3.3399999999999999E-4</v>
      </c>
    </row>
    <row r="87" spans="1:2" x14ac:dyDescent="0.25">
      <c r="A87" s="18">
        <v>20</v>
      </c>
      <c r="B87" s="18">
        <v>1.18E-4</v>
      </c>
    </row>
    <row r="88" spans="1:2" x14ac:dyDescent="0.25">
      <c r="A88" s="18">
        <v>20.2</v>
      </c>
      <c r="B88" s="18">
        <v>7.5700000000000004E-6</v>
      </c>
    </row>
    <row r="89" spans="1:2" x14ac:dyDescent="0.25">
      <c r="A89" s="18">
        <v>20.399999999999999</v>
      </c>
      <c r="B89" s="18">
        <v>1.0699999999999999E-5</v>
      </c>
    </row>
    <row r="90" spans="1:2" x14ac:dyDescent="0.25">
      <c r="A90" s="18">
        <v>20.6</v>
      </c>
      <c r="B90" s="18">
        <v>3.1E-6</v>
      </c>
    </row>
    <row r="91" spans="1:2" x14ac:dyDescent="0.25">
      <c r="A91" s="18">
        <v>20.8</v>
      </c>
      <c r="B91" s="18">
        <v>9.1200000000000008E-6</v>
      </c>
    </row>
    <row r="92" spans="1:2" x14ac:dyDescent="0.25">
      <c r="A92" s="18">
        <v>21</v>
      </c>
      <c r="B92" s="18">
        <v>3.4699999999999998E-6</v>
      </c>
    </row>
    <row r="93" spans="1:2" x14ac:dyDescent="0.25">
      <c r="A93" s="18">
        <v>21.2</v>
      </c>
      <c r="B93" s="18">
        <v>7.1500000000000002E-6</v>
      </c>
    </row>
    <row r="94" spans="1:2" x14ac:dyDescent="0.25">
      <c r="A94" s="18">
        <v>21.4</v>
      </c>
      <c r="B94" s="18">
        <v>3.27E-6</v>
      </c>
    </row>
    <row r="95" spans="1:2" x14ac:dyDescent="0.25">
      <c r="A95" s="18">
        <v>21.6</v>
      </c>
      <c r="B95" s="18">
        <v>7.0600000000000002E-6</v>
      </c>
    </row>
    <row r="96" spans="1:2" x14ac:dyDescent="0.25">
      <c r="A96" s="18">
        <v>21.8</v>
      </c>
      <c r="B96" s="18">
        <v>2.65E-6</v>
      </c>
    </row>
    <row r="97" spans="1:2" x14ac:dyDescent="0.25">
      <c r="A97" s="18">
        <v>22</v>
      </c>
      <c r="B97" s="18">
        <v>4.8600000000000001E-6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dimension ref="A1:B122"/>
  <sheetViews>
    <sheetView workbookViewId="0">
      <selection activeCell="I23" sqref="I23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5.8799999999999999E-5</v>
      </c>
    </row>
    <row r="3" spans="1:2" x14ac:dyDescent="0.25">
      <c r="A3" s="18">
        <v>3.2</v>
      </c>
      <c r="B3" s="18">
        <v>2.2000000000000001E-4</v>
      </c>
    </row>
    <row r="4" spans="1:2" x14ac:dyDescent="0.25">
      <c r="A4" s="18">
        <v>3.4</v>
      </c>
      <c r="B4" s="18">
        <v>1.37E-4</v>
      </c>
    </row>
    <row r="5" spans="1:2" x14ac:dyDescent="0.25">
      <c r="A5" s="18">
        <v>3.6</v>
      </c>
      <c r="B5" s="18">
        <v>1.6200000000000001E-4</v>
      </c>
    </row>
    <row r="6" spans="1:2" x14ac:dyDescent="0.25">
      <c r="A6" s="18">
        <v>3.8</v>
      </c>
      <c r="B6" s="18">
        <v>3.79E-4</v>
      </c>
    </row>
    <row r="7" spans="1:2" x14ac:dyDescent="0.25">
      <c r="A7" s="18">
        <v>4</v>
      </c>
      <c r="B7" s="18">
        <v>1.4899999999999999E-4</v>
      </c>
    </row>
    <row r="8" spans="1:2" x14ac:dyDescent="0.25">
      <c r="A8" s="18">
        <v>4.2</v>
      </c>
      <c r="B8" s="18">
        <v>3.7100000000000002E-4</v>
      </c>
    </row>
    <row r="9" spans="1:2" x14ac:dyDescent="0.25">
      <c r="A9" s="18">
        <v>4.4000000000000004</v>
      </c>
      <c r="B9" s="18">
        <v>3.6499999999999998E-4</v>
      </c>
    </row>
    <row r="10" spans="1:2" x14ac:dyDescent="0.25">
      <c r="A10" s="18">
        <v>4.5999999999999996</v>
      </c>
      <c r="B10" s="18">
        <v>3.8900000000000002E-4</v>
      </c>
    </row>
    <row r="11" spans="1:2" x14ac:dyDescent="0.25">
      <c r="A11" s="18">
        <v>4.8</v>
      </c>
      <c r="B11" s="18">
        <v>4.84E-4</v>
      </c>
    </row>
    <row r="12" spans="1:2" x14ac:dyDescent="0.25">
      <c r="A12" s="18">
        <v>5</v>
      </c>
      <c r="B12" s="18">
        <v>5.04E-4</v>
      </c>
    </row>
    <row r="13" spans="1:2" x14ac:dyDescent="0.25">
      <c r="A13" s="18">
        <v>5.2</v>
      </c>
      <c r="B13" s="18">
        <v>1.1199999999999999E-3</v>
      </c>
    </row>
    <row r="14" spans="1:2" x14ac:dyDescent="0.25">
      <c r="A14" s="18">
        <v>5.4</v>
      </c>
      <c r="B14" s="18">
        <v>1.14E-3</v>
      </c>
    </row>
    <row r="15" spans="1:2" x14ac:dyDescent="0.25">
      <c r="A15" s="18">
        <v>5.6</v>
      </c>
      <c r="B15" s="18">
        <v>1.7899999999999999E-3</v>
      </c>
    </row>
    <row r="16" spans="1:2" x14ac:dyDescent="0.25">
      <c r="A16" s="18">
        <v>5.8</v>
      </c>
      <c r="B16" s="18">
        <v>2.5799999999999998E-3</v>
      </c>
    </row>
    <row r="17" spans="1:2" x14ac:dyDescent="0.25">
      <c r="A17" s="18">
        <v>6</v>
      </c>
      <c r="B17" s="18">
        <v>3.6900000000000001E-3</v>
      </c>
    </row>
    <row r="18" spans="1:2" x14ac:dyDescent="0.25">
      <c r="A18" s="18">
        <v>6.2</v>
      </c>
      <c r="B18" s="18">
        <v>4.5300000000000002E-3</v>
      </c>
    </row>
    <row r="19" spans="1:2" x14ac:dyDescent="0.25">
      <c r="A19" s="18">
        <v>6.4</v>
      </c>
      <c r="B19" s="18">
        <v>6.0600000000000003E-3</v>
      </c>
    </row>
    <row r="20" spans="1:2" x14ac:dyDescent="0.25">
      <c r="A20" s="18">
        <v>6.6</v>
      </c>
      <c r="B20" s="18">
        <v>7.0600000000000003E-3</v>
      </c>
    </row>
    <row r="21" spans="1:2" x14ac:dyDescent="0.25">
      <c r="A21" s="18">
        <v>6.8</v>
      </c>
      <c r="B21" s="18">
        <v>7.9000000000000008E-3</v>
      </c>
    </row>
    <row r="22" spans="1:2" x14ac:dyDescent="0.25">
      <c r="A22" s="18">
        <v>7</v>
      </c>
      <c r="B22" s="18">
        <v>9.1400000000000006E-3</v>
      </c>
    </row>
    <row r="23" spans="1:2" x14ac:dyDescent="0.25">
      <c r="A23" s="18">
        <v>7.2</v>
      </c>
      <c r="B23" s="18">
        <v>1.03E-2</v>
      </c>
    </row>
    <row r="24" spans="1:2" x14ac:dyDescent="0.25">
      <c r="A24" s="18">
        <v>7.4</v>
      </c>
      <c r="B24" s="18">
        <v>1.6E-2</v>
      </c>
    </row>
    <row r="25" spans="1:2" x14ac:dyDescent="0.25">
      <c r="A25" s="18">
        <v>7.6</v>
      </c>
      <c r="B25" s="18">
        <v>1.29E-2</v>
      </c>
    </row>
    <row r="26" spans="1:2" x14ac:dyDescent="0.25">
      <c r="A26" s="18">
        <v>7.8</v>
      </c>
      <c r="B26" s="18">
        <v>1.3100000000000001E-2</v>
      </c>
    </row>
    <row r="27" spans="1:2" x14ac:dyDescent="0.25">
      <c r="A27" s="18">
        <v>8</v>
      </c>
      <c r="B27" s="18">
        <v>1.29E-2</v>
      </c>
    </row>
    <row r="28" spans="1:2" x14ac:dyDescent="0.25">
      <c r="A28" s="18">
        <v>8.1999999999999993</v>
      </c>
      <c r="B28" s="18">
        <v>2.3800000000000002E-2</v>
      </c>
    </row>
    <row r="29" spans="1:2" x14ac:dyDescent="0.25">
      <c r="A29" s="18">
        <v>8.4</v>
      </c>
      <c r="B29" s="18">
        <v>0.17899999999999999</v>
      </c>
    </row>
    <row r="30" spans="1:2" x14ac:dyDescent="0.25">
      <c r="A30" s="18">
        <v>8.6</v>
      </c>
      <c r="B30" s="18">
        <v>6.4299999999999996E-2</v>
      </c>
    </row>
    <row r="31" spans="1:2" x14ac:dyDescent="0.25">
      <c r="A31" s="18">
        <v>8.8000000000000007</v>
      </c>
      <c r="B31" s="18">
        <v>1.06E-2</v>
      </c>
    </row>
    <row r="32" spans="1:2" x14ac:dyDescent="0.25">
      <c r="A32" s="18">
        <v>9</v>
      </c>
      <c r="B32" s="18">
        <v>1.7100000000000001E-2</v>
      </c>
    </row>
    <row r="33" spans="1:2" x14ac:dyDescent="0.25">
      <c r="A33" s="18">
        <v>9.1999999999999993</v>
      </c>
      <c r="B33" s="18">
        <v>1.5900000000000001E-2</v>
      </c>
    </row>
    <row r="34" spans="1:2" x14ac:dyDescent="0.25">
      <c r="A34" s="18">
        <v>9.4</v>
      </c>
      <c r="B34" s="18">
        <v>1.2999999999999999E-2</v>
      </c>
    </row>
    <row r="35" spans="1:2" x14ac:dyDescent="0.25">
      <c r="A35" s="18">
        <v>9.6</v>
      </c>
      <c r="B35" s="18">
        <v>7.7600000000000002E-2</v>
      </c>
    </row>
    <row r="36" spans="1:2" x14ac:dyDescent="0.25">
      <c r="A36" s="18">
        <v>9.8000000000000007</v>
      </c>
      <c r="B36" s="18">
        <v>9.2899999999999996E-2</v>
      </c>
    </row>
    <row r="37" spans="1:2" x14ac:dyDescent="0.25">
      <c r="A37" s="18">
        <v>10</v>
      </c>
      <c r="B37" s="18">
        <v>5.6300000000000003E-2</v>
      </c>
    </row>
    <row r="38" spans="1:2" x14ac:dyDescent="0.25">
      <c r="A38" s="18">
        <v>10.199999999999999</v>
      </c>
      <c r="B38" s="18">
        <v>2.1600000000000001E-2</v>
      </c>
    </row>
    <row r="39" spans="1:2" x14ac:dyDescent="0.25">
      <c r="A39" s="18">
        <v>10.4</v>
      </c>
      <c r="B39" s="18">
        <v>1.15E-2</v>
      </c>
    </row>
    <row r="40" spans="1:2" x14ac:dyDescent="0.25">
      <c r="A40" s="18">
        <v>10.6</v>
      </c>
      <c r="B40" s="18">
        <v>1.2E-2</v>
      </c>
    </row>
    <row r="41" spans="1:2" x14ac:dyDescent="0.25">
      <c r="A41" s="18">
        <v>10.8</v>
      </c>
      <c r="B41" s="18">
        <v>1.17E-2</v>
      </c>
    </row>
    <row r="42" spans="1:2" x14ac:dyDescent="0.25">
      <c r="A42" s="18">
        <v>11</v>
      </c>
      <c r="B42" s="18">
        <v>1.0800000000000001E-2</v>
      </c>
    </row>
    <row r="43" spans="1:2" x14ac:dyDescent="0.25">
      <c r="A43" s="18">
        <v>11.2</v>
      </c>
      <c r="B43" s="18">
        <v>1.7899999999999999E-2</v>
      </c>
    </row>
    <row r="44" spans="1:2" x14ac:dyDescent="0.25">
      <c r="A44" s="18">
        <v>11.4</v>
      </c>
      <c r="B44" s="18">
        <v>2.18E-2</v>
      </c>
    </row>
    <row r="45" spans="1:2" x14ac:dyDescent="0.25">
      <c r="A45" s="18">
        <v>11.6</v>
      </c>
      <c r="B45" s="18">
        <v>1.3299999999999999E-2</v>
      </c>
    </row>
    <row r="46" spans="1:2" x14ac:dyDescent="0.25">
      <c r="A46" s="18">
        <v>11.8</v>
      </c>
      <c r="B46" s="18">
        <v>1.21E-2</v>
      </c>
    </row>
    <row r="47" spans="1:2" x14ac:dyDescent="0.25">
      <c r="A47" s="18">
        <v>12</v>
      </c>
      <c r="B47" s="18">
        <v>9.2399999999999999E-3</v>
      </c>
    </row>
    <row r="48" spans="1:2" x14ac:dyDescent="0.25">
      <c r="A48" s="18">
        <v>12.2</v>
      </c>
      <c r="B48" s="18">
        <v>9.0100000000000006E-3</v>
      </c>
    </row>
    <row r="49" spans="1:2" x14ac:dyDescent="0.25">
      <c r="A49" s="18">
        <v>12.4</v>
      </c>
      <c r="B49" s="18">
        <v>8.26E-3</v>
      </c>
    </row>
    <row r="50" spans="1:2" x14ac:dyDescent="0.25">
      <c r="A50" s="18">
        <v>12.6</v>
      </c>
      <c r="B50" s="18">
        <v>7.9799999999999992E-3</v>
      </c>
    </row>
    <row r="51" spans="1:2" x14ac:dyDescent="0.25">
      <c r="A51" s="18">
        <v>12.8</v>
      </c>
      <c r="B51" s="18">
        <v>7.6E-3</v>
      </c>
    </row>
    <row r="52" spans="1:2" x14ac:dyDescent="0.25">
      <c r="A52" s="18">
        <v>13</v>
      </c>
      <c r="B52" s="18">
        <v>7.62E-3</v>
      </c>
    </row>
    <row r="53" spans="1:2" x14ac:dyDescent="0.25">
      <c r="A53" s="18">
        <v>13.2</v>
      </c>
      <c r="B53" s="18">
        <v>7.0699999999999999E-3</v>
      </c>
    </row>
    <row r="54" spans="1:2" x14ac:dyDescent="0.25">
      <c r="A54" s="18">
        <v>13.4</v>
      </c>
      <c r="B54" s="18">
        <v>6.96E-3</v>
      </c>
    </row>
    <row r="55" spans="1:2" x14ac:dyDescent="0.25">
      <c r="A55" s="18">
        <v>13.6</v>
      </c>
      <c r="B55" s="18">
        <v>6.8999999999999999E-3</v>
      </c>
    </row>
    <row r="56" spans="1:2" x14ac:dyDescent="0.25">
      <c r="A56" s="18">
        <v>13.8</v>
      </c>
      <c r="B56" s="18">
        <v>6.3E-3</v>
      </c>
    </row>
    <row r="57" spans="1:2" x14ac:dyDescent="0.25">
      <c r="A57" s="18">
        <v>14</v>
      </c>
      <c r="B57" s="18">
        <v>6.3E-3</v>
      </c>
    </row>
    <row r="58" spans="1:2" x14ac:dyDescent="0.25">
      <c r="A58" s="18">
        <v>14.2</v>
      </c>
      <c r="B58" s="18">
        <v>5.96E-3</v>
      </c>
    </row>
    <row r="59" spans="1:2" x14ac:dyDescent="0.25">
      <c r="A59" s="18">
        <v>14.4</v>
      </c>
      <c r="B59" s="18">
        <v>5.7299999999999999E-3</v>
      </c>
    </row>
    <row r="60" spans="1:2" x14ac:dyDescent="0.25">
      <c r="A60" s="18">
        <v>14.6</v>
      </c>
      <c r="B60" s="18">
        <v>5.5300000000000002E-3</v>
      </c>
    </row>
    <row r="61" spans="1:2" x14ac:dyDescent="0.25">
      <c r="A61" s="18">
        <v>14.8</v>
      </c>
      <c r="B61" s="18">
        <v>5.2599999999999999E-3</v>
      </c>
    </row>
    <row r="62" spans="1:2" x14ac:dyDescent="0.25">
      <c r="A62" s="18">
        <v>15</v>
      </c>
      <c r="B62" s="18">
        <v>5.2199999999999998E-3</v>
      </c>
    </row>
    <row r="63" spans="1:2" x14ac:dyDescent="0.25">
      <c r="A63" s="18">
        <v>15.2</v>
      </c>
      <c r="B63" s="18">
        <v>4.7099999999999998E-3</v>
      </c>
    </row>
    <row r="64" spans="1:2" x14ac:dyDescent="0.25">
      <c r="A64" s="18">
        <v>15.4</v>
      </c>
      <c r="B64" s="18">
        <v>4.8399999999999997E-3</v>
      </c>
    </row>
    <row r="65" spans="1:2" x14ac:dyDescent="0.25">
      <c r="A65" s="18">
        <v>15.6</v>
      </c>
      <c r="B65" s="18">
        <v>4.47E-3</v>
      </c>
    </row>
    <row r="66" spans="1:2" x14ac:dyDescent="0.25">
      <c r="A66" s="18">
        <v>15.8</v>
      </c>
      <c r="B66" s="18">
        <v>4.28E-3</v>
      </c>
    </row>
    <row r="67" spans="1:2" x14ac:dyDescent="0.25">
      <c r="A67" s="18">
        <v>16</v>
      </c>
      <c r="B67" s="18">
        <v>4.0600000000000002E-3</v>
      </c>
    </row>
    <row r="68" spans="1:2" x14ac:dyDescent="0.25">
      <c r="A68" s="18">
        <v>16.2</v>
      </c>
      <c r="B68" s="18">
        <v>3.8500000000000001E-3</v>
      </c>
    </row>
    <row r="69" spans="1:2" x14ac:dyDescent="0.25">
      <c r="A69" s="18">
        <v>16.399999999999999</v>
      </c>
      <c r="B69" s="18">
        <v>3.8700000000000002E-3</v>
      </c>
    </row>
    <row r="70" spans="1:2" x14ac:dyDescent="0.25">
      <c r="A70" s="18">
        <v>16.600000000000001</v>
      </c>
      <c r="B70" s="18">
        <v>3.63E-3</v>
      </c>
    </row>
    <row r="71" spans="1:2" x14ac:dyDescent="0.25">
      <c r="A71" s="18">
        <v>16.8</v>
      </c>
      <c r="B71" s="18">
        <v>3.4299999999999999E-3</v>
      </c>
    </row>
    <row r="72" spans="1:2" x14ac:dyDescent="0.25">
      <c r="A72" s="18">
        <v>17</v>
      </c>
      <c r="B72" s="18">
        <v>3.2799999999999999E-3</v>
      </c>
    </row>
    <row r="73" spans="1:2" x14ac:dyDescent="0.25">
      <c r="A73" s="18">
        <v>17.2</v>
      </c>
      <c r="B73" s="18">
        <v>3.15E-3</v>
      </c>
    </row>
    <row r="74" spans="1:2" x14ac:dyDescent="0.25">
      <c r="A74" s="18">
        <v>17.399999999999999</v>
      </c>
      <c r="B74" s="18">
        <v>3.0000000000000001E-3</v>
      </c>
    </row>
    <row r="75" spans="1:2" x14ac:dyDescent="0.25">
      <c r="A75" s="18">
        <v>17.600000000000001</v>
      </c>
      <c r="B75" s="18">
        <v>2.8500000000000001E-3</v>
      </c>
    </row>
    <row r="76" spans="1:2" x14ac:dyDescent="0.25">
      <c r="A76" s="18">
        <v>17.8</v>
      </c>
      <c r="B76" s="18">
        <v>2.8E-3</v>
      </c>
    </row>
    <row r="77" spans="1:2" x14ac:dyDescent="0.25">
      <c r="A77" s="18">
        <v>18</v>
      </c>
      <c r="B77" s="18">
        <v>2.5799999999999998E-3</v>
      </c>
    </row>
    <row r="78" spans="1:2" x14ac:dyDescent="0.25">
      <c r="A78" s="18">
        <v>18.2</v>
      </c>
      <c r="B78" s="18">
        <v>2.4199999999999998E-3</v>
      </c>
    </row>
    <row r="79" spans="1:2" x14ac:dyDescent="0.25">
      <c r="A79" s="18">
        <v>18.399999999999999</v>
      </c>
      <c r="B79" s="18">
        <v>2.3900000000000002E-3</v>
      </c>
    </row>
    <row r="80" spans="1:2" x14ac:dyDescent="0.25">
      <c r="A80" s="18">
        <v>18.600000000000001</v>
      </c>
      <c r="B80" s="18">
        <v>2.31E-3</v>
      </c>
    </row>
    <row r="81" spans="1:2" x14ac:dyDescent="0.25">
      <c r="A81" s="18">
        <v>18.8</v>
      </c>
      <c r="B81" s="18">
        <v>2.1299999999999999E-3</v>
      </c>
    </row>
    <row r="82" spans="1:2" x14ac:dyDescent="0.25">
      <c r="A82" s="18">
        <v>19</v>
      </c>
      <c r="B82" s="18">
        <v>2.0699999999999998E-3</v>
      </c>
    </row>
    <row r="83" spans="1:2" x14ac:dyDescent="0.25">
      <c r="A83" s="18">
        <v>19.2</v>
      </c>
      <c r="B83" s="18">
        <v>1.92E-3</v>
      </c>
    </row>
    <row r="84" spans="1:2" x14ac:dyDescent="0.25">
      <c r="A84" s="18">
        <v>19.399999999999999</v>
      </c>
      <c r="B84" s="18">
        <v>1.9E-3</v>
      </c>
    </row>
    <row r="85" spans="1:2" x14ac:dyDescent="0.25">
      <c r="A85" s="18">
        <v>19.600000000000001</v>
      </c>
      <c r="B85" s="18">
        <v>1.74E-3</v>
      </c>
    </row>
    <row r="86" spans="1:2" x14ac:dyDescent="0.25">
      <c r="A86" s="18">
        <v>19.8</v>
      </c>
      <c r="B86" s="18">
        <v>1.7099999999999999E-3</v>
      </c>
    </row>
    <row r="87" spans="1:2" x14ac:dyDescent="0.25">
      <c r="A87" s="18">
        <v>20</v>
      </c>
      <c r="B87" s="18">
        <v>1.5299999999999999E-3</v>
      </c>
    </row>
    <row r="88" spans="1:2" x14ac:dyDescent="0.25">
      <c r="A88" s="18">
        <v>20.2</v>
      </c>
      <c r="B88" s="18">
        <v>1.5100000000000001E-3</v>
      </c>
    </row>
    <row r="89" spans="1:2" x14ac:dyDescent="0.25">
      <c r="A89" s="18">
        <v>20.399999999999999</v>
      </c>
      <c r="B89" s="18">
        <v>1.39E-3</v>
      </c>
    </row>
    <row r="90" spans="1:2" x14ac:dyDescent="0.25">
      <c r="A90" s="18">
        <v>20.6</v>
      </c>
      <c r="B90" s="18">
        <v>1.3600000000000001E-3</v>
      </c>
    </row>
    <row r="91" spans="1:2" x14ac:dyDescent="0.25">
      <c r="A91" s="18">
        <v>20.8</v>
      </c>
      <c r="B91" s="18">
        <v>1.25E-3</v>
      </c>
    </row>
    <row r="92" spans="1:2" x14ac:dyDescent="0.25">
      <c r="A92" s="18">
        <v>21</v>
      </c>
      <c r="B92" s="18">
        <v>1.1800000000000001E-3</v>
      </c>
    </row>
    <row r="93" spans="1:2" x14ac:dyDescent="0.25">
      <c r="A93" s="18">
        <v>21.2</v>
      </c>
      <c r="B93" s="18">
        <v>1.1199999999999999E-3</v>
      </c>
    </row>
    <row r="94" spans="1:2" x14ac:dyDescent="0.25">
      <c r="A94" s="18">
        <v>21.4</v>
      </c>
      <c r="B94" s="18">
        <v>1.0399999999999999E-3</v>
      </c>
    </row>
    <row r="95" spans="1:2" x14ac:dyDescent="0.25">
      <c r="A95" s="18">
        <v>21.6</v>
      </c>
      <c r="B95" s="18">
        <v>9.6599999999999995E-4</v>
      </c>
    </row>
    <row r="96" spans="1:2" x14ac:dyDescent="0.25">
      <c r="A96" s="18">
        <v>21.8</v>
      </c>
      <c r="B96" s="18">
        <v>9.3300000000000002E-4</v>
      </c>
    </row>
    <row r="97" spans="1:2" x14ac:dyDescent="0.25">
      <c r="A97" s="18">
        <v>22</v>
      </c>
      <c r="B97" s="18">
        <v>8.4500000000000005E-4</v>
      </c>
    </row>
    <row r="98" spans="1:2" x14ac:dyDescent="0.25">
      <c r="A98" s="18">
        <v>22.2</v>
      </c>
      <c r="B98" s="18">
        <v>7.94E-4</v>
      </c>
    </row>
    <row r="99" spans="1:2" x14ac:dyDescent="0.25">
      <c r="A99" s="18">
        <v>22.4</v>
      </c>
      <c r="B99" s="18">
        <v>7.2800000000000002E-4</v>
      </c>
    </row>
    <row r="100" spans="1:2" x14ac:dyDescent="0.25">
      <c r="A100" s="18">
        <v>22.6</v>
      </c>
      <c r="B100" s="18">
        <v>6.8499999999999995E-4</v>
      </c>
    </row>
    <row r="101" spans="1:2" x14ac:dyDescent="0.25">
      <c r="A101" s="18">
        <v>22.8</v>
      </c>
      <c r="B101" s="18">
        <v>6.2399999999999999E-4</v>
      </c>
    </row>
    <row r="102" spans="1:2" x14ac:dyDescent="0.25">
      <c r="A102" s="18">
        <v>23</v>
      </c>
      <c r="B102" s="18">
        <v>5.5800000000000001E-4</v>
      </c>
    </row>
    <row r="103" spans="1:2" x14ac:dyDescent="0.25">
      <c r="A103" s="18">
        <v>23.2</v>
      </c>
      <c r="B103" s="18">
        <v>5.22E-4</v>
      </c>
    </row>
    <row r="104" spans="1:2" x14ac:dyDescent="0.25">
      <c r="A104" s="18">
        <v>23.4</v>
      </c>
      <c r="B104" s="18">
        <v>4.4000000000000002E-4</v>
      </c>
    </row>
    <row r="105" spans="1:2" x14ac:dyDescent="0.25">
      <c r="A105" s="18">
        <v>23.6</v>
      </c>
      <c r="B105" s="18">
        <v>4.3399999999999998E-4</v>
      </c>
    </row>
    <row r="106" spans="1:2" x14ac:dyDescent="0.25">
      <c r="A106" s="18">
        <v>23.8</v>
      </c>
      <c r="B106" s="18">
        <v>3.6400000000000001E-4</v>
      </c>
    </row>
    <row r="107" spans="1:2" x14ac:dyDescent="0.25">
      <c r="A107" s="18">
        <v>24</v>
      </c>
      <c r="B107" s="18">
        <v>3.1E-4</v>
      </c>
    </row>
    <row r="108" spans="1:2" x14ac:dyDescent="0.25">
      <c r="A108" s="18">
        <v>24.2</v>
      </c>
      <c r="B108" s="18">
        <v>2.7399999999999999E-4</v>
      </c>
    </row>
    <row r="109" spans="1:2" x14ac:dyDescent="0.25">
      <c r="A109" s="18">
        <v>24.4</v>
      </c>
      <c r="B109" s="18">
        <v>2.1499999999999999E-4</v>
      </c>
    </row>
    <row r="110" spans="1:2" x14ac:dyDescent="0.25">
      <c r="A110" s="18">
        <v>24.6</v>
      </c>
      <c r="B110" s="18">
        <v>1.6699999999999999E-4</v>
      </c>
    </row>
    <row r="111" spans="1:2" x14ac:dyDescent="0.25">
      <c r="A111" s="18">
        <v>24.8</v>
      </c>
      <c r="B111" s="18">
        <v>1E-4</v>
      </c>
    </row>
    <row r="112" spans="1:2" x14ac:dyDescent="0.25">
      <c r="A112" s="18">
        <v>25</v>
      </c>
      <c r="B112" s="18">
        <v>3.9799999999999998E-5</v>
      </c>
    </row>
    <row r="113" spans="1:2" x14ac:dyDescent="0.25">
      <c r="A113" s="18">
        <v>25.2</v>
      </c>
      <c r="B113" s="18">
        <v>2.9399999999999998E-6</v>
      </c>
    </row>
    <row r="114" spans="1:2" x14ac:dyDescent="0.25">
      <c r="A114" s="18">
        <v>25.4</v>
      </c>
      <c r="B114" s="18">
        <v>2.2400000000000002E-6</v>
      </c>
    </row>
    <row r="115" spans="1:2" x14ac:dyDescent="0.25">
      <c r="A115" s="18">
        <v>25.6</v>
      </c>
      <c r="B115" s="18">
        <v>1.2500000000000001E-6</v>
      </c>
    </row>
    <row r="116" spans="1:2" x14ac:dyDescent="0.25">
      <c r="A116" s="18">
        <v>25.8</v>
      </c>
      <c r="B116" s="18">
        <v>3.9400000000000001E-7</v>
      </c>
    </row>
    <row r="117" spans="1:2" x14ac:dyDescent="0.25">
      <c r="A117" s="18">
        <v>26</v>
      </c>
      <c r="B117" s="18">
        <v>2.6699999999999998E-6</v>
      </c>
    </row>
    <row r="118" spans="1:2" x14ac:dyDescent="0.25">
      <c r="A118" s="18">
        <v>26.2</v>
      </c>
      <c r="B118" s="18">
        <v>1.0100000000000001E-6</v>
      </c>
    </row>
    <row r="119" spans="1:2" x14ac:dyDescent="0.25">
      <c r="A119" s="18">
        <v>26.4</v>
      </c>
      <c r="B119" s="18">
        <v>9.6500000000000008E-7</v>
      </c>
    </row>
    <row r="120" spans="1:2" x14ac:dyDescent="0.25">
      <c r="A120" s="18">
        <v>26.6</v>
      </c>
      <c r="B120" s="18">
        <v>1.48E-6</v>
      </c>
    </row>
    <row r="121" spans="1:2" x14ac:dyDescent="0.25">
      <c r="A121" s="18">
        <v>26.8</v>
      </c>
      <c r="B121" s="18">
        <v>7.8999999999999995E-7</v>
      </c>
    </row>
    <row r="122" spans="1:2" x14ac:dyDescent="0.25">
      <c r="A122" s="18">
        <v>27</v>
      </c>
      <c r="B122" s="18">
        <v>9.4399999999999998E-7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dimension ref="A1:B14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1.4200000000000001E-4</v>
      </c>
    </row>
    <row r="3" spans="1:2" x14ac:dyDescent="0.25">
      <c r="A3" s="18">
        <v>3.2</v>
      </c>
      <c r="B3" s="18">
        <v>6.3499999999999999E-5</v>
      </c>
    </row>
    <row r="4" spans="1:2" x14ac:dyDescent="0.25">
      <c r="A4" s="18">
        <v>3.4</v>
      </c>
      <c r="B4" s="18">
        <v>3.4000000000000002E-4</v>
      </c>
    </row>
    <row r="5" spans="1:2" x14ac:dyDescent="0.25">
      <c r="A5" s="18">
        <v>3.6</v>
      </c>
      <c r="B5" s="18">
        <v>1.02E-4</v>
      </c>
    </row>
    <row r="6" spans="1:2" x14ac:dyDescent="0.25">
      <c r="A6" s="18">
        <v>3.8</v>
      </c>
      <c r="B6" s="18">
        <v>5.5199999999999997E-4</v>
      </c>
    </row>
    <row r="7" spans="1:2" x14ac:dyDescent="0.25">
      <c r="A7" s="18">
        <v>4</v>
      </c>
      <c r="B7" s="18">
        <v>1.07E-4</v>
      </c>
    </row>
    <row r="8" spans="1:2" x14ac:dyDescent="0.25">
      <c r="A8" s="18">
        <v>4.2</v>
      </c>
      <c r="B8" s="18">
        <v>3.1E-4</v>
      </c>
    </row>
    <row r="9" spans="1:2" x14ac:dyDescent="0.25">
      <c r="A9" s="18">
        <v>4.4000000000000004</v>
      </c>
      <c r="B9" s="18">
        <v>2.8299999999999999E-4</v>
      </c>
    </row>
    <row r="10" spans="1:2" x14ac:dyDescent="0.25">
      <c r="A10" s="18">
        <v>4.5999999999999996</v>
      </c>
      <c r="B10" s="18">
        <v>1.8699999999999999E-4</v>
      </c>
    </row>
    <row r="11" spans="1:2" x14ac:dyDescent="0.25">
      <c r="A11" s="18">
        <v>4.8</v>
      </c>
      <c r="B11" s="18">
        <v>5.4900000000000001E-4</v>
      </c>
    </row>
    <row r="12" spans="1:2" x14ac:dyDescent="0.25">
      <c r="A12" s="18">
        <v>5</v>
      </c>
      <c r="B12" s="18">
        <v>4.44E-4</v>
      </c>
    </row>
    <row r="13" spans="1:2" x14ac:dyDescent="0.25">
      <c r="A13" s="18">
        <v>5.2</v>
      </c>
      <c r="B13" s="18">
        <v>7.3999999999999999E-4</v>
      </c>
    </row>
    <row r="14" spans="1:2" x14ac:dyDescent="0.25">
      <c r="A14" s="18">
        <v>5.4</v>
      </c>
      <c r="B14" s="18">
        <v>1.3600000000000001E-3</v>
      </c>
    </row>
    <row r="15" spans="1:2" x14ac:dyDescent="0.25">
      <c r="A15" s="18">
        <v>5.6</v>
      </c>
      <c r="B15" s="18">
        <v>1.6100000000000001E-3</v>
      </c>
    </row>
    <row r="16" spans="1:2" x14ac:dyDescent="0.25">
      <c r="A16" s="18">
        <v>5.8</v>
      </c>
      <c r="B16" s="18">
        <v>2.2200000000000002E-3</v>
      </c>
    </row>
    <row r="17" spans="1:2" x14ac:dyDescent="0.25">
      <c r="A17" s="18">
        <v>6</v>
      </c>
      <c r="B17" s="18">
        <v>2.9399999999999999E-3</v>
      </c>
    </row>
    <row r="18" spans="1:2" x14ac:dyDescent="0.25">
      <c r="A18" s="18">
        <v>6.2</v>
      </c>
      <c r="B18" s="18">
        <v>3.7100000000000002E-3</v>
      </c>
    </row>
    <row r="19" spans="1:2" x14ac:dyDescent="0.25">
      <c r="A19" s="18">
        <v>6.4</v>
      </c>
      <c r="B19" s="18">
        <v>4.7400000000000003E-3</v>
      </c>
    </row>
    <row r="20" spans="1:2" x14ac:dyDescent="0.25">
      <c r="A20" s="18">
        <v>6.6</v>
      </c>
      <c r="B20" s="18">
        <v>6.1399999999999996E-3</v>
      </c>
    </row>
    <row r="21" spans="1:2" x14ac:dyDescent="0.25">
      <c r="A21" s="18">
        <v>6.8</v>
      </c>
      <c r="B21" s="18">
        <v>6.4700000000000001E-3</v>
      </c>
    </row>
    <row r="22" spans="1:2" x14ac:dyDescent="0.25">
      <c r="A22" s="18">
        <v>7</v>
      </c>
      <c r="B22" s="18">
        <v>7.92E-3</v>
      </c>
    </row>
    <row r="23" spans="1:2" x14ac:dyDescent="0.25">
      <c r="A23" s="18">
        <v>7.2</v>
      </c>
      <c r="B23" s="18">
        <v>8.7899999999999992E-3</v>
      </c>
    </row>
    <row r="24" spans="1:2" x14ac:dyDescent="0.25">
      <c r="A24" s="18">
        <v>7.4</v>
      </c>
      <c r="B24" s="18">
        <v>1.4500000000000001E-2</v>
      </c>
    </row>
    <row r="25" spans="1:2" x14ac:dyDescent="0.25">
      <c r="A25" s="18">
        <v>7.6</v>
      </c>
      <c r="B25" s="18">
        <v>1.2E-2</v>
      </c>
    </row>
    <row r="26" spans="1:2" x14ac:dyDescent="0.25">
      <c r="A26" s="18">
        <v>7.8</v>
      </c>
      <c r="B26" s="18">
        <v>1.11E-2</v>
      </c>
    </row>
    <row r="27" spans="1:2" x14ac:dyDescent="0.25">
      <c r="A27" s="18">
        <v>8</v>
      </c>
      <c r="B27" s="18">
        <v>1.12E-2</v>
      </c>
    </row>
    <row r="28" spans="1:2" x14ac:dyDescent="0.25">
      <c r="A28" s="18">
        <v>8.1999999999999993</v>
      </c>
      <c r="B28" s="18">
        <v>2.1499999999999998E-2</v>
      </c>
    </row>
    <row r="29" spans="1:2" x14ac:dyDescent="0.25">
      <c r="A29" s="18">
        <v>8.4</v>
      </c>
      <c r="B29" s="18">
        <v>0.185</v>
      </c>
    </row>
    <row r="30" spans="1:2" x14ac:dyDescent="0.25">
      <c r="A30" s="18">
        <v>8.6</v>
      </c>
      <c r="B30" s="18">
        <v>6.6199999999999995E-2</v>
      </c>
    </row>
    <row r="31" spans="1:2" x14ac:dyDescent="0.25">
      <c r="A31" s="18">
        <v>8.8000000000000007</v>
      </c>
      <c r="B31" s="18">
        <v>8.5500000000000003E-3</v>
      </c>
    </row>
    <row r="32" spans="1:2" x14ac:dyDescent="0.25">
      <c r="A32" s="18">
        <v>9</v>
      </c>
      <c r="B32" s="18">
        <v>1.5299999999999999E-2</v>
      </c>
    </row>
    <row r="33" spans="1:2" x14ac:dyDescent="0.25">
      <c r="A33" s="18">
        <v>9.1999999999999993</v>
      </c>
      <c r="B33" s="18">
        <v>1.4E-2</v>
      </c>
    </row>
    <row r="34" spans="1:2" x14ac:dyDescent="0.25">
      <c r="A34" s="18">
        <v>9.4</v>
      </c>
      <c r="B34" s="18">
        <v>1.1900000000000001E-2</v>
      </c>
    </row>
    <row r="35" spans="1:2" x14ac:dyDescent="0.25">
      <c r="A35" s="18">
        <v>9.6</v>
      </c>
      <c r="B35" s="18">
        <v>8.2199999999999995E-2</v>
      </c>
    </row>
    <row r="36" spans="1:2" x14ac:dyDescent="0.25">
      <c r="A36" s="18">
        <v>9.8000000000000007</v>
      </c>
      <c r="B36" s="18">
        <v>9.9900000000000003E-2</v>
      </c>
    </row>
    <row r="37" spans="1:2" x14ac:dyDescent="0.25">
      <c r="A37" s="18">
        <v>10</v>
      </c>
      <c r="B37" s="18">
        <v>5.79E-2</v>
      </c>
    </row>
    <row r="38" spans="1:2" x14ac:dyDescent="0.25">
      <c r="A38" s="18">
        <v>10.199999999999999</v>
      </c>
      <c r="B38" s="18">
        <v>2.1100000000000001E-2</v>
      </c>
    </row>
    <row r="39" spans="1:2" x14ac:dyDescent="0.25">
      <c r="A39" s="18">
        <v>10.4</v>
      </c>
      <c r="B39" s="18">
        <v>9.9000000000000008E-3</v>
      </c>
    </row>
    <row r="40" spans="1:2" x14ac:dyDescent="0.25">
      <c r="A40" s="18">
        <v>10.6</v>
      </c>
      <c r="B40" s="18">
        <v>1.03E-2</v>
      </c>
    </row>
    <row r="41" spans="1:2" x14ac:dyDescent="0.25">
      <c r="A41" s="18">
        <v>10.8</v>
      </c>
      <c r="B41" s="18">
        <v>1.0200000000000001E-2</v>
      </c>
    </row>
    <row r="42" spans="1:2" x14ac:dyDescent="0.25">
      <c r="A42" s="18">
        <v>11</v>
      </c>
      <c r="B42" s="18">
        <v>9.8399999999999998E-3</v>
      </c>
    </row>
    <row r="43" spans="1:2" x14ac:dyDescent="0.25">
      <c r="A43" s="18">
        <v>11.2</v>
      </c>
      <c r="B43" s="18">
        <v>1.7100000000000001E-2</v>
      </c>
    </row>
    <row r="44" spans="1:2" x14ac:dyDescent="0.25">
      <c r="A44" s="18">
        <v>11.4</v>
      </c>
      <c r="B44" s="18">
        <v>2.1899999999999999E-2</v>
      </c>
    </row>
    <row r="45" spans="1:2" x14ac:dyDescent="0.25">
      <c r="A45" s="18">
        <v>11.6</v>
      </c>
      <c r="B45" s="18">
        <v>1.2800000000000001E-2</v>
      </c>
    </row>
    <row r="46" spans="1:2" x14ac:dyDescent="0.25">
      <c r="A46" s="18">
        <v>11.8</v>
      </c>
      <c r="B46" s="18">
        <v>1.11E-2</v>
      </c>
    </row>
    <row r="47" spans="1:2" x14ac:dyDescent="0.25">
      <c r="A47" s="18">
        <v>12</v>
      </c>
      <c r="B47" s="18">
        <v>8.3899999999999999E-3</v>
      </c>
    </row>
    <row r="48" spans="1:2" x14ac:dyDescent="0.25">
      <c r="A48" s="18">
        <v>12.2</v>
      </c>
      <c r="B48" s="18">
        <v>8.1799999999999998E-3</v>
      </c>
    </row>
    <row r="49" spans="1:2" x14ac:dyDescent="0.25">
      <c r="A49" s="18">
        <v>12.4</v>
      </c>
      <c r="B49" s="18">
        <v>7.2300000000000003E-3</v>
      </c>
    </row>
    <row r="50" spans="1:2" x14ac:dyDescent="0.25">
      <c r="A50" s="18">
        <v>12.6</v>
      </c>
      <c r="B50" s="18">
        <v>7.0800000000000004E-3</v>
      </c>
    </row>
    <row r="51" spans="1:2" x14ac:dyDescent="0.25">
      <c r="A51" s="18">
        <v>12.8</v>
      </c>
      <c r="B51" s="18">
        <v>6.8999999999999999E-3</v>
      </c>
    </row>
    <row r="52" spans="1:2" x14ac:dyDescent="0.25">
      <c r="A52" s="18">
        <v>13</v>
      </c>
      <c r="B52" s="18">
        <v>6.7200000000000003E-3</v>
      </c>
    </row>
    <row r="53" spans="1:2" x14ac:dyDescent="0.25">
      <c r="A53" s="18">
        <v>13.2</v>
      </c>
      <c r="B53" s="18">
        <v>6.7000000000000002E-3</v>
      </c>
    </row>
    <row r="54" spans="1:2" x14ac:dyDescent="0.25">
      <c r="A54" s="18">
        <v>13.4</v>
      </c>
      <c r="B54" s="18">
        <v>6.1599999999999997E-3</v>
      </c>
    </row>
    <row r="55" spans="1:2" x14ac:dyDescent="0.25">
      <c r="A55" s="18">
        <v>13.6</v>
      </c>
      <c r="B55" s="18">
        <v>6.3400000000000001E-3</v>
      </c>
    </row>
    <row r="56" spans="1:2" x14ac:dyDescent="0.25">
      <c r="A56" s="18">
        <v>13.8</v>
      </c>
      <c r="B56" s="18">
        <v>5.8500000000000002E-3</v>
      </c>
    </row>
    <row r="57" spans="1:2" x14ac:dyDescent="0.25">
      <c r="A57" s="18">
        <v>14</v>
      </c>
      <c r="B57" s="18">
        <v>5.8399999999999997E-3</v>
      </c>
    </row>
    <row r="58" spans="1:2" x14ac:dyDescent="0.25">
      <c r="A58" s="18">
        <v>14.2</v>
      </c>
      <c r="B58" s="18">
        <v>5.5300000000000002E-3</v>
      </c>
    </row>
    <row r="59" spans="1:2" x14ac:dyDescent="0.25">
      <c r="A59" s="18">
        <v>14.4</v>
      </c>
      <c r="B59" s="18">
        <v>5.4000000000000003E-3</v>
      </c>
    </row>
    <row r="60" spans="1:2" x14ac:dyDescent="0.25">
      <c r="A60" s="18">
        <v>14.6</v>
      </c>
      <c r="B60" s="18">
        <v>5.3800000000000002E-3</v>
      </c>
    </row>
    <row r="61" spans="1:2" x14ac:dyDescent="0.25">
      <c r="A61" s="18">
        <v>14.8</v>
      </c>
      <c r="B61" s="18">
        <v>4.96E-3</v>
      </c>
    </row>
    <row r="62" spans="1:2" x14ac:dyDescent="0.25">
      <c r="A62" s="18">
        <v>15</v>
      </c>
      <c r="B62" s="18">
        <v>4.9399999999999999E-3</v>
      </c>
    </row>
    <row r="63" spans="1:2" x14ac:dyDescent="0.25">
      <c r="A63" s="18">
        <v>15.2</v>
      </c>
      <c r="B63" s="18">
        <v>4.7299999999999998E-3</v>
      </c>
    </row>
    <row r="64" spans="1:2" x14ac:dyDescent="0.25">
      <c r="A64" s="18">
        <v>15.4</v>
      </c>
      <c r="B64" s="18">
        <v>4.5399999999999998E-3</v>
      </c>
    </row>
    <row r="65" spans="1:2" x14ac:dyDescent="0.25">
      <c r="A65" s="18">
        <v>15.6</v>
      </c>
      <c r="B65" s="18">
        <v>4.3200000000000001E-3</v>
      </c>
    </row>
    <row r="66" spans="1:2" x14ac:dyDescent="0.25">
      <c r="A66" s="18">
        <v>15.8</v>
      </c>
      <c r="B66" s="18">
        <v>4.3400000000000001E-3</v>
      </c>
    </row>
    <row r="67" spans="1:2" x14ac:dyDescent="0.25">
      <c r="A67" s="18">
        <v>16</v>
      </c>
      <c r="B67" s="18">
        <v>3.98E-3</v>
      </c>
    </row>
    <row r="68" spans="1:2" x14ac:dyDescent="0.25">
      <c r="A68" s="18">
        <v>16.2</v>
      </c>
      <c r="B68" s="18">
        <v>3.9899999999999996E-3</v>
      </c>
    </row>
    <row r="69" spans="1:2" x14ac:dyDescent="0.25">
      <c r="A69" s="18">
        <v>16.399999999999999</v>
      </c>
      <c r="B69" s="18">
        <v>3.7499999999999999E-3</v>
      </c>
    </row>
    <row r="70" spans="1:2" x14ac:dyDescent="0.25">
      <c r="A70" s="18">
        <v>16.600000000000001</v>
      </c>
      <c r="B70" s="18">
        <v>3.5200000000000001E-3</v>
      </c>
    </row>
    <row r="71" spans="1:2" x14ac:dyDescent="0.25">
      <c r="A71" s="18">
        <v>16.8</v>
      </c>
      <c r="B71" s="18">
        <v>3.5799999999999998E-3</v>
      </c>
    </row>
    <row r="72" spans="1:2" x14ac:dyDescent="0.25">
      <c r="A72" s="18">
        <v>17</v>
      </c>
      <c r="B72" s="18">
        <v>3.32E-3</v>
      </c>
    </row>
    <row r="73" spans="1:2" x14ac:dyDescent="0.25">
      <c r="A73" s="18">
        <v>17.2</v>
      </c>
      <c r="B73" s="18">
        <v>3.2599999999999999E-3</v>
      </c>
    </row>
    <row r="74" spans="1:2" x14ac:dyDescent="0.25">
      <c r="A74" s="18">
        <v>17.399999999999999</v>
      </c>
      <c r="B74" s="18">
        <v>3.0899999999999999E-3</v>
      </c>
    </row>
    <row r="75" spans="1:2" x14ac:dyDescent="0.25">
      <c r="A75" s="18">
        <v>17.600000000000001</v>
      </c>
      <c r="B75" s="18">
        <v>3.0899999999999999E-3</v>
      </c>
    </row>
    <row r="76" spans="1:2" x14ac:dyDescent="0.25">
      <c r="A76" s="18">
        <v>17.8</v>
      </c>
      <c r="B76" s="18">
        <v>2.8300000000000001E-3</v>
      </c>
    </row>
    <row r="77" spans="1:2" x14ac:dyDescent="0.25">
      <c r="A77" s="18">
        <v>18</v>
      </c>
      <c r="B77" s="18">
        <v>2.82E-3</v>
      </c>
    </row>
    <row r="78" spans="1:2" x14ac:dyDescent="0.25">
      <c r="A78" s="18">
        <v>18.2</v>
      </c>
      <c r="B78" s="18">
        <v>2.6700000000000001E-3</v>
      </c>
    </row>
    <row r="79" spans="1:2" x14ac:dyDescent="0.25">
      <c r="A79" s="18">
        <v>18.399999999999999</v>
      </c>
      <c r="B79" s="18">
        <v>2.5799999999999998E-3</v>
      </c>
    </row>
    <row r="80" spans="1:2" x14ac:dyDescent="0.25">
      <c r="A80" s="18">
        <v>18.600000000000001</v>
      </c>
      <c r="B80" s="18">
        <v>2.4299999999999999E-3</v>
      </c>
    </row>
    <row r="81" spans="1:2" x14ac:dyDescent="0.25">
      <c r="A81" s="18">
        <v>18.8</v>
      </c>
      <c r="B81" s="18">
        <v>2.4299999999999999E-3</v>
      </c>
    </row>
    <row r="82" spans="1:2" x14ac:dyDescent="0.25">
      <c r="A82" s="18">
        <v>19</v>
      </c>
      <c r="B82" s="18">
        <v>2.2799999999999999E-3</v>
      </c>
    </row>
    <row r="83" spans="1:2" x14ac:dyDescent="0.25">
      <c r="A83" s="18">
        <v>19.2</v>
      </c>
      <c r="B83" s="18">
        <v>2.2300000000000002E-3</v>
      </c>
    </row>
    <row r="84" spans="1:2" x14ac:dyDescent="0.25">
      <c r="A84" s="18">
        <v>19.399999999999999</v>
      </c>
      <c r="B84" s="18">
        <v>2.0999999999999999E-3</v>
      </c>
    </row>
    <row r="85" spans="1:2" x14ac:dyDescent="0.25">
      <c r="A85" s="18">
        <v>19.600000000000001</v>
      </c>
      <c r="B85" s="18">
        <v>2.0699999999999998E-3</v>
      </c>
    </row>
    <row r="86" spans="1:2" x14ac:dyDescent="0.25">
      <c r="A86" s="18">
        <v>19.8</v>
      </c>
      <c r="B86" s="18">
        <v>2E-3</v>
      </c>
    </row>
    <row r="87" spans="1:2" x14ac:dyDescent="0.25">
      <c r="A87" s="18">
        <v>20</v>
      </c>
      <c r="B87" s="18">
        <v>1.8E-3</v>
      </c>
    </row>
    <row r="88" spans="1:2" x14ac:dyDescent="0.25">
      <c r="A88" s="18">
        <v>20.2</v>
      </c>
      <c r="B88" s="18">
        <v>1.83E-3</v>
      </c>
    </row>
    <row r="89" spans="1:2" x14ac:dyDescent="0.25">
      <c r="A89" s="18">
        <v>20.399999999999999</v>
      </c>
      <c r="B89" s="18">
        <v>1.73E-3</v>
      </c>
    </row>
    <row r="90" spans="1:2" x14ac:dyDescent="0.25">
      <c r="A90" s="18">
        <v>20.6</v>
      </c>
      <c r="B90" s="18">
        <v>1.65E-3</v>
      </c>
    </row>
    <row r="91" spans="1:2" x14ac:dyDescent="0.25">
      <c r="A91" s="18">
        <v>20.8</v>
      </c>
      <c r="B91" s="18">
        <v>1.5499999999999999E-3</v>
      </c>
    </row>
    <row r="92" spans="1:2" x14ac:dyDescent="0.25">
      <c r="A92" s="18">
        <v>21</v>
      </c>
      <c r="B92" s="18">
        <v>1.5900000000000001E-3</v>
      </c>
    </row>
    <row r="93" spans="1:2" x14ac:dyDescent="0.25">
      <c r="A93" s="18">
        <v>21.2</v>
      </c>
      <c r="B93" s="18">
        <v>1.4599999999999999E-3</v>
      </c>
    </row>
    <row r="94" spans="1:2" x14ac:dyDescent="0.25">
      <c r="A94" s="18">
        <v>21.4</v>
      </c>
      <c r="B94" s="18">
        <v>1.39E-3</v>
      </c>
    </row>
    <row r="95" spans="1:2" x14ac:dyDescent="0.25">
      <c r="A95" s="18">
        <v>21.6</v>
      </c>
      <c r="B95" s="18">
        <v>1.3699999999999999E-3</v>
      </c>
    </row>
    <row r="96" spans="1:2" x14ac:dyDescent="0.25">
      <c r="A96" s="18">
        <v>21.8</v>
      </c>
      <c r="B96" s="18">
        <v>1.2700000000000001E-3</v>
      </c>
    </row>
    <row r="97" spans="1:2" x14ac:dyDescent="0.25">
      <c r="A97" s="18">
        <v>22</v>
      </c>
      <c r="B97" s="18">
        <v>1.32E-3</v>
      </c>
    </row>
    <row r="98" spans="1:2" x14ac:dyDescent="0.25">
      <c r="A98" s="18">
        <v>22.2</v>
      </c>
      <c r="B98" s="18">
        <v>1.14E-3</v>
      </c>
    </row>
    <row r="99" spans="1:2" x14ac:dyDescent="0.25">
      <c r="A99" s="18">
        <v>22.4</v>
      </c>
      <c r="B99" s="18">
        <v>1.16E-3</v>
      </c>
    </row>
    <row r="100" spans="1:2" x14ac:dyDescent="0.25">
      <c r="A100" s="18">
        <v>22.6</v>
      </c>
      <c r="B100" s="18">
        <v>1.1000000000000001E-3</v>
      </c>
    </row>
    <row r="101" spans="1:2" x14ac:dyDescent="0.25">
      <c r="A101" s="18">
        <v>22.8</v>
      </c>
      <c r="B101" s="18">
        <v>1.0399999999999999E-3</v>
      </c>
    </row>
    <row r="102" spans="1:2" x14ac:dyDescent="0.25">
      <c r="A102" s="18">
        <v>23</v>
      </c>
      <c r="B102" s="18">
        <v>9.9299999999999996E-4</v>
      </c>
    </row>
    <row r="103" spans="1:2" x14ac:dyDescent="0.25">
      <c r="A103" s="18">
        <v>23.2</v>
      </c>
      <c r="B103" s="18">
        <v>9.5799999999999998E-4</v>
      </c>
    </row>
    <row r="104" spans="1:2" x14ac:dyDescent="0.25">
      <c r="A104" s="18">
        <v>23.4</v>
      </c>
      <c r="B104" s="18">
        <v>9.5100000000000002E-4</v>
      </c>
    </row>
    <row r="105" spans="1:2" x14ac:dyDescent="0.25">
      <c r="A105" s="18">
        <v>23.6</v>
      </c>
      <c r="B105" s="18">
        <v>8.7100000000000003E-4</v>
      </c>
    </row>
    <row r="106" spans="1:2" x14ac:dyDescent="0.25">
      <c r="A106" s="18">
        <v>23.8</v>
      </c>
      <c r="B106" s="18">
        <v>8.4400000000000002E-4</v>
      </c>
    </row>
    <row r="107" spans="1:2" x14ac:dyDescent="0.25">
      <c r="A107" s="18">
        <v>24</v>
      </c>
      <c r="B107" s="18">
        <v>8.0000000000000004E-4</v>
      </c>
    </row>
    <row r="108" spans="1:2" x14ac:dyDescent="0.25">
      <c r="A108" s="18">
        <v>24.2</v>
      </c>
      <c r="B108" s="18">
        <v>7.5000000000000002E-4</v>
      </c>
    </row>
    <row r="109" spans="1:2" x14ac:dyDescent="0.25">
      <c r="A109" s="18">
        <v>24.4</v>
      </c>
      <c r="B109" s="18">
        <v>7.3800000000000005E-4</v>
      </c>
    </row>
    <row r="110" spans="1:2" x14ac:dyDescent="0.25">
      <c r="A110" s="18">
        <v>24.6</v>
      </c>
      <c r="B110" s="18">
        <v>6.7100000000000005E-4</v>
      </c>
    </row>
    <row r="111" spans="1:2" x14ac:dyDescent="0.25">
      <c r="A111" s="18">
        <v>24.8</v>
      </c>
      <c r="B111" s="18">
        <v>6.6100000000000002E-4</v>
      </c>
    </row>
    <row r="112" spans="1:2" x14ac:dyDescent="0.25">
      <c r="A112" s="18">
        <v>25</v>
      </c>
      <c r="B112" s="18">
        <v>6.0899999999999995E-4</v>
      </c>
    </row>
    <row r="113" spans="1:2" x14ac:dyDescent="0.25">
      <c r="A113" s="18">
        <v>25.2</v>
      </c>
      <c r="B113" s="18">
        <v>6.02E-4</v>
      </c>
    </row>
    <row r="114" spans="1:2" x14ac:dyDescent="0.25">
      <c r="A114" s="18">
        <v>25.4</v>
      </c>
      <c r="B114" s="18">
        <v>5.6899999999999995E-4</v>
      </c>
    </row>
    <row r="115" spans="1:2" x14ac:dyDescent="0.25">
      <c r="A115" s="18">
        <v>25.6</v>
      </c>
      <c r="B115" s="18">
        <v>5.1199999999999998E-4</v>
      </c>
    </row>
    <row r="116" spans="1:2" x14ac:dyDescent="0.25">
      <c r="A116" s="18">
        <v>25.8</v>
      </c>
      <c r="B116" s="18">
        <v>5.2700000000000002E-4</v>
      </c>
    </row>
    <row r="117" spans="1:2" x14ac:dyDescent="0.25">
      <c r="A117" s="18">
        <v>26</v>
      </c>
      <c r="B117" s="18">
        <v>4.57E-4</v>
      </c>
    </row>
    <row r="118" spans="1:2" x14ac:dyDescent="0.25">
      <c r="A118" s="18">
        <v>26.2</v>
      </c>
      <c r="B118" s="18">
        <v>4.6999999999999999E-4</v>
      </c>
    </row>
    <row r="119" spans="1:2" x14ac:dyDescent="0.25">
      <c r="A119" s="18">
        <v>26.4</v>
      </c>
      <c r="B119" s="18">
        <v>4.0499999999999998E-4</v>
      </c>
    </row>
    <row r="120" spans="1:2" x14ac:dyDescent="0.25">
      <c r="A120" s="18">
        <v>26.6</v>
      </c>
      <c r="B120" s="18">
        <v>4.1399999999999998E-4</v>
      </c>
    </row>
    <row r="121" spans="1:2" x14ac:dyDescent="0.25">
      <c r="A121" s="18">
        <v>26.8</v>
      </c>
      <c r="B121" s="18">
        <v>3.5599999999999998E-4</v>
      </c>
    </row>
    <row r="122" spans="1:2" x14ac:dyDescent="0.25">
      <c r="A122" s="18">
        <v>27</v>
      </c>
      <c r="B122" s="18">
        <v>3.6600000000000001E-4</v>
      </c>
    </row>
    <row r="123" spans="1:2" x14ac:dyDescent="0.25">
      <c r="A123" s="18">
        <v>27.2</v>
      </c>
      <c r="B123" s="18">
        <v>3.2400000000000001E-4</v>
      </c>
    </row>
    <row r="124" spans="1:2" x14ac:dyDescent="0.25">
      <c r="A124" s="18">
        <v>27.4</v>
      </c>
      <c r="B124" s="18">
        <v>3.1599999999999998E-4</v>
      </c>
    </row>
    <row r="125" spans="1:2" x14ac:dyDescent="0.25">
      <c r="A125" s="18">
        <v>27.6</v>
      </c>
      <c r="B125" s="18">
        <v>2.5900000000000001E-4</v>
      </c>
    </row>
    <row r="126" spans="1:2" x14ac:dyDescent="0.25">
      <c r="A126" s="18">
        <v>27.8</v>
      </c>
      <c r="B126" s="18">
        <v>2.7399999999999999E-4</v>
      </c>
    </row>
    <row r="127" spans="1:2" x14ac:dyDescent="0.25">
      <c r="A127" s="18">
        <v>28</v>
      </c>
      <c r="B127" s="18">
        <v>2.24E-4</v>
      </c>
    </row>
    <row r="128" spans="1:2" x14ac:dyDescent="0.25">
      <c r="A128" s="18">
        <v>28.2</v>
      </c>
      <c r="B128" s="18">
        <v>2.2699999999999999E-4</v>
      </c>
    </row>
    <row r="129" spans="1:2" x14ac:dyDescent="0.25">
      <c r="A129" s="18">
        <v>28.4</v>
      </c>
      <c r="B129" s="18">
        <v>1.9100000000000001E-4</v>
      </c>
    </row>
    <row r="130" spans="1:2" x14ac:dyDescent="0.25">
      <c r="A130" s="18">
        <v>28.6</v>
      </c>
      <c r="B130" s="18">
        <v>1.73E-4</v>
      </c>
    </row>
    <row r="131" spans="1:2" x14ac:dyDescent="0.25">
      <c r="A131" s="18">
        <v>28.8</v>
      </c>
      <c r="B131" s="18">
        <v>1.4100000000000001E-4</v>
      </c>
    </row>
    <row r="132" spans="1:2" x14ac:dyDescent="0.25">
      <c r="A132" s="18">
        <v>29</v>
      </c>
      <c r="B132" s="18">
        <v>1.4200000000000001E-4</v>
      </c>
    </row>
    <row r="133" spans="1:2" x14ac:dyDescent="0.25">
      <c r="A133" s="18">
        <v>29.2</v>
      </c>
      <c r="B133" s="18">
        <v>1.1400000000000001E-4</v>
      </c>
    </row>
    <row r="134" spans="1:2" x14ac:dyDescent="0.25">
      <c r="A134" s="18">
        <v>29.4</v>
      </c>
      <c r="B134" s="18">
        <v>9.7E-5</v>
      </c>
    </row>
    <row r="135" spans="1:2" x14ac:dyDescent="0.25">
      <c r="A135" s="18">
        <v>29.6</v>
      </c>
      <c r="B135" s="18">
        <v>6.9300000000000004E-5</v>
      </c>
    </row>
    <row r="136" spans="1:2" x14ac:dyDescent="0.25">
      <c r="A136" s="18">
        <v>29.8</v>
      </c>
      <c r="B136" s="18">
        <v>4.57E-5</v>
      </c>
    </row>
    <row r="137" spans="1:2" x14ac:dyDescent="0.25">
      <c r="A137" s="18">
        <v>30</v>
      </c>
      <c r="B137" s="18">
        <v>1.7600000000000001E-5</v>
      </c>
    </row>
    <row r="138" spans="1:2" x14ac:dyDescent="0.25">
      <c r="A138" s="18">
        <v>30.2</v>
      </c>
      <c r="B138" s="18">
        <v>1.44E-6</v>
      </c>
    </row>
    <row r="139" spans="1:2" x14ac:dyDescent="0.25">
      <c r="A139" s="18">
        <v>30.4</v>
      </c>
      <c r="B139" s="18">
        <v>1.9599999999999999E-6</v>
      </c>
    </row>
    <row r="140" spans="1:2" x14ac:dyDescent="0.25">
      <c r="A140" s="18">
        <v>30.6</v>
      </c>
      <c r="B140" s="18">
        <v>1.81E-6</v>
      </c>
    </row>
    <row r="141" spans="1:2" x14ac:dyDescent="0.25">
      <c r="A141" s="18">
        <v>30.8</v>
      </c>
      <c r="B141" s="18">
        <v>5.0399999999999996E-7</v>
      </c>
    </row>
    <row r="142" spans="1:2" x14ac:dyDescent="0.25">
      <c r="A142" s="18">
        <v>31</v>
      </c>
      <c r="B142" s="18">
        <v>1.2300000000000001E-6</v>
      </c>
    </row>
    <row r="143" spans="1:2" x14ac:dyDescent="0.25">
      <c r="A143" s="18">
        <v>31.2</v>
      </c>
      <c r="B143" s="18">
        <v>4.34E-7</v>
      </c>
    </row>
    <row r="144" spans="1:2" x14ac:dyDescent="0.25">
      <c r="A144" s="18">
        <v>31.4</v>
      </c>
      <c r="B144" s="18">
        <v>1.4699999999999999E-6</v>
      </c>
    </row>
    <row r="145" spans="1:2" x14ac:dyDescent="0.25">
      <c r="A145" s="18">
        <v>31.6</v>
      </c>
      <c r="B145" s="18">
        <v>1.3799999999999999E-6</v>
      </c>
    </row>
    <row r="146" spans="1:2" x14ac:dyDescent="0.25">
      <c r="A146" s="18">
        <v>31.8</v>
      </c>
      <c r="B146" s="18">
        <v>1.12E-7</v>
      </c>
    </row>
    <row r="147" spans="1:2" x14ac:dyDescent="0.25">
      <c r="A147" s="18">
        <v>32</v>
      </c>
      <c r="B147" s="18">
        <v>1.19E-6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dimension ref="A1:B172"/>
  <sheetViews>
    <sheetView workbookViewId="0">
      <selection sqref="A1:B1"/>
    </sheetView>
  </sheetViews>
  <sheetFormatPr defaultRowHeight="15" x14ac:dyDescent="0.25"/>
  <cols>
    <col min="1" max="1" width="15.5703125" customWidth="1"/>
    <col min="2" max="2" width="17.425781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5.02E-5</v>
      </c>
    </row>
    <row r="3" spans="1:2" x14ac:dyDescent="0.25">
      <c r="A3" s="18">
        <v>3.2</v>
      </c>
      <c r="B3" s="18">
        <v>1.76E-4</v>
      </c>
    </row>
    <row r="4" spans="1:2" x14ac:dyDescent="0.25">
      <c r="A4" s="18">
        <v>3.4</v>
      </c>
      <c r="B4" s="18">
        <v>1.2300000000000001E-4</v>
      </c>
    </row>
    <row r="5" spans="1:2" x14ac:dyDescent="0.25">
      <c r="A5" s="18">
        <v>3.6</v>
      </c>
      <c r="B5" s="18">
        <v>4.0999999999999999E-4</v>
      </c>
    </row>
    <row r="6" spans="1:2" x14ac:dyDescent="0.25">
      <c r="A6" s="18">
        <v>3.8</v>
      </c>
      <c r="B6" s="18">
        <v>1.85E-4</v>
      </c>
    </row>
    <row r="7" spans="1:2" x14ac:dyDescent="0.25">
      <c r="A7" s="18">
        <v>4</v>
      </c>
      <c r="B7" s="18">
        <v>4.4900000000000002E-4</v>
      </c>
    </row>
    <row r="8" spans="1:2" x14ac:dyDescent="0.25">
      <c r="A8" s="18">
        <v>4.2</v>
      </c>
      <c r="B8" s="18">
        <v>2.24E-4</v>
      </c>
    </row>
    <row r="9" spans="1:2" x14ac:dyDescent="0.25">
      <c r="A9" s="18">
        <v>4.4000000000000004</v>
      </c>
      <c r="B9" s="18">
        <v>4.2200000000000001E-4</v>
      </c>
    </row>
    <row r="10" spans="1:2" x14ac:dyDescent="0.25">
      <c r="A10" s="18">
        <v>4.5999999999999996</v>
      </c>
      <c r="B10" s="18">
        <v>3.86E-4</v>
      </c>
    </row>
    <row r="11" spans="1:2" x14ac:dyDescent="0.25">
      <c r="A11" s="18">
        <v>4.8</v>
      </c>
      <c r="B11" s="18">
        <v>5.6999999999999998E-4</v>
      </c>
    </row>
    <row r="12" spans="1:2" x14ac:dyDescent="0.25">
      <c r="A12" s="18">
        <v>5</v>
      </c>
      <c r="B12" s="18">
        <v>3.2200000000000002E-4</v>
      </c>
    </row>
    <row r="13" spans="1:2" x14ac:dyDescent="0.25">
      <c r="A13" s="18">
        <v>5.2</v>
      </c>
      <c r="B13" s="18">
        <v>5.8500000000000002E-4</v>
      </c>
    </row>
    <row r="14" spans="1:2" x14ac:dyDescent="0.25">
      <c r="A14" s="18">
        <v>5.4</v>
      </c>
      <c r="B14" s="18">
        <v>9.5799999999999998E-4</v>
      </c>
    </row>
    <row r="15" spans="1:2" x14ac:dyDescent="0.25">
      <c r="A15" s="18">
        <v>5.6</v>
      </c>
      <c r="B15" s="18">
        <v>1.41E-3</v>
      </c>
    </row>
    <row r="16" spans="1:2" x14ac:dyDescent="0.25">
      <c r="A16" s="18">
        <v>5.8</v>
      </c>
      <c r="B16" s="18">
        <v>2E-3</v>
      </c>
    </row>
    <row r="17" spans="1:2" x14ac:dyDescent="0.25">
      <c r="A17" s="18">
        <v>6</v>
      </c>
      <c r="B17" s="18">
        <v>2.48E-3</v>
      </c>
    </row>
    <row r="18" spans="1:2" x14ac:dyDescent="0.25">
      <c r="A18" s="18">
        <v>6.2</v>
      </c>
      <c r="B18" s="18">
        <v>3.4299999999999999E-3</v>
      </c>
    </row>
    <row r="19" spans="1:2" x14ac:dyDescent="0.25">
      <c r="A19" s="18">
        <v>6.4</v>
      </c>
      <c r="B19" s="18">
        <v>4.0899999999999999E-3</v>
      </c>
    </row>
    <row r="20" spans="1:2" x14ac:dyDescent="0.25">
      <c r="A20" s="18">
        <v>6.6</v>
      </c>
      <c r="B20" s="18">
        <v>5.0200000000000002E-3</v>
      </c>
    </row>
    <row r="21" spans="1:2" x14ac:dyDescent="0.25">
      <c r="A21" s="18">
        <v>6.8</v>
      </c>
      <c r="B21" s="18">
        <v>6.0099999999999997E-3</v>
      </c>
    </row>
    <row r="22" spans="1:2" x14ac:dyDescent="0.25">
      <c r="A22" s="18">
        <v>7</v>
      </c>
      <c r="B22" s="18">
        <v>6.4999999999999997E-3</v>
      </c>
    </row>
    <row r="23" spans="1:2" x14ac:dyDescent="0.25">
      <c r="A23" s="18">
        <v>7.2</v>
      </c>
      <c r="B23" s="18">
        <v>7.9299999999999995E-3</v>
      </c>
    </row>
    <row r="24" spans="1:2" x14ac:dyDescent="0.25">
      <c r="A24" s="18">
        <v>7.4</v>
      </c>
      <c r="B24" s="18">
        <v>1.38E-2</v>
      </c>
    </row>
    <row r="25" spans="1:2" x14ac:dyDescent="0.25">
      <c r="A25" s="18">
        <v>7.6</v>
      </c>
      <c r="B25" s="18">
        <v>1.06E-2</v>
      </c>
    </row>
    <row r="26" spans="1:2" x14ac:dyDescent="0.25">
      <c r="A26" s="18">
        <v>7.8</v>
      </c>
      <c r="B26" s="18">
        <v>0.01</v>
      </c>
    </row>
    <row r="27" spans="1:2" x14ac:dyDescent="0.25">
      <c r="A27" s="18">
        <v>8</v>
      </c>
      <c r="B27" s="18">
        <v>1.01E-2</v>
      </c>
    </row>
    <row r="28" spans="1:2" x14ac:dyDescent="0.25">
      <c r="A28" s="18">
        <v>8.1999999999999993</v>
      </c>
      <c r="B28" s="18">
        <v>2.1100000000000001E-2</v>
      </c>
    </row>
    <row r="29" spans="1:2" x14ac:dyDescent="0.25">
      <c r="A29" s="18">
        <v>8.4</v>
      </c>
      <c r="B29" s="18">
        <v>0.187</v>
      </c>
    </row>
    <row r="30" spans="1:2" x14ac:dyDescent="0.25">
      <c r="A30" s="18">
        <v>8.6</v>
      </c>
      <c r="B30" s="18">
        <v>6.7500000000000004E-2</v>
      </c>
    </row>
    <row r="31" spans="1:2" x14ac:dyDescent="0.25">
      <c r="A31" s="18">
        <v>8.8000000000000007</v>
      </c>
      <c r="B31" s="18">
        <v>7.1900000000000002E-3</v>
      </c>
    </row>
    <row r="32" spans="1:2" x14ac:dyDescent="0.25">
      <c r="A32" s="18">
        <v>9</v>
      </c>
      <c r="B32" s="18">
        <v>1.44E-2</v>
      </c>
    </row>
    <row r="33" spans="1:2" x14ac:dyDescent="0.25">
      <c r="A33" s="18">
        <v>9.1999999999999993</v>
      </c>
      <c r="B33" s="18">
        <v>1.35E-2</v>
      </c>
    </row>
    <row r="34" spans="1:2" x14ac:dyDescent="0.25">
      <c r="A34" s="18">
        <v>9.4</v>
      </c>
      <c r="B34" s="18">
        <v>1.03E-2</v>
      </c>
    </row>
    <row r="35" spans="1:2" x14ac:dyDescent="0.25">
      <c r="A35" s="18">
        <v>9.6</v>
      </c>
      <c r="B35" s="18">
        <v>8.6300000000000002E-2</v>
      </c>
    </row>
    <row r="36" spans="1:2" x14ac:dyDescent="0.25">
      <c r="A36" s="18">
        <v>9.8000000000000007</v>
      </c>
      <c r="B36" s="18">
        <v>0.105</v>
      </c>
    </row>
    <row r="37" spans="1:2" x14ac:dyDescent="0.25">
      <c r="A37" s="18">
        <v>10</v>
      </c>
      <c r="B37" s="18">
        <v>6.0299999999999999E-2</v>
      </c>
    </row>
    <row r="38" spans="1:2" x14ac:dyDescent="0.25">
      <c r="A38" s="18">
        <v>10.199999999999999</v>
      </c>
      <c r="B38" s="18">
        <v>2.0500000000000001E-2</v>
      </c>
    </row>
    <row r="39" spans="1:2" x14ac:dyDescent="0.25">
      <c r="A39" s="18">
        <v>10.4</v>
      </c>
      <c r="B39" s="18">
        <v>8.9999999999999993E-3</v>
      </c>
    </row>
    <row r="40" spans="1:2" x14ac:dyDescent="0.25">
      <c r="A40" s="18">
        <v>10.6</v>
      </c>
      <c r="B40" s="18">
        <v>9.2099999999999994E-3</v>
      </c>
    </row>
    <row r="41" spans="1:2" x14ac:dyDescent="0.25">
      <c r="A41" s="18">
        <v>10.8</v>
      </c>
      <c r="B41" s="18">
        <v>9.2999999999999992E-3</v>
      </c>
    </row>
    <row r="42" spans="1:2" x14ac:dyDescent="0.25">
      <c r="A42" s="18">
        <v>11</v>
      </c>
      <c r="B42" s="18">
        <v>8.8699999999999994E-3</v>
      </c>
    </row>
    <row r="43" spans="1:2" x14ac:dyDescent="0.25">
      <c r="A43" s="18">
        <v>11.2</v>
      </c>
      <c r="B43" s="18">
        <v>1.6500000000000001E-2</v>
      </c>
    </row>
    <row r="44" spans="1:2" x14ac:dyDescent="0.25">
      <c r="A44" s="18">
        <v>11.4</v>
      </c>
      <c r="B44" s="18">
        <v>2.1299999999999999E-2</v>
      </c>
    </row>
    <row r="45" spans="1:2" x14ac:dyDescent="0.25">
      <c r="A45" s="18">
        <v>11.6</v>
      </c>
      <c r="B45" s="18">
        <v>1.1900000000000001E-2</v>
      </c>
    </row>
    <row r="46" spans="1:2" x14ac:dyDescent="0.25">
      <c r="A46" s="18">
        <v>11.8</v>
      </c>
      <c r="B46" s="18">
        <v>1.0800000000000001E-2</v>
      </c>
    </row>
    <row r="47" spans="1:2" x14ac:dyDescent="0.25">
      <c r="A47" s="18">
        <v>12</v>
      </c>
      <c r="B47" s="18">
        <v>7.5199999999999998E-3</v>
      </c>
    </row>
    <row r="48" spans="1:2" x14ac:dyDescent="0.25">
      <c r="A48" s="18">
        <v>12.2</v>
      </c>
      <c r="B48" s="18">
        <v>7.3600000000000002E-3</v>
      </c>
    </row>
    <row r="49" spans="1:2" x14ac:dyDescent="0.25">
      <c r="A49" s="18">
        <v>12.4</v>
      </c>
      <c r="B49" s="18">
        <v>6.5199999999999998E-3</v>
      </c>
    </row>
    <row r="50" spans="1:2" x14ac:dyDescent="0.25">
      <c r="A50" s="18">
        <v>12.6</v>
      </c>
      <c r="B50" s="18">
        <v>6.5700000000000003E-3</v>
      </c>
    </row>
    <row r="51" spans="1:2" x14ac:dyDescent="0.25">
      <c r="A51" s="18">
        <v>12.8</v>
      </c>
      <c r="B51" s="18">
        <v>6.3299999999999997E-3</v>
      </c>
    </row>
    <row r="52" spans="1:2" x14ac:dyDescent="0.25">
      <c r="A52" s="18">
        <v>13</v>
      </c>
      <c r="B52" s="18">
        <v>6.3600000000000002E-3</v>
      </c>
    </row>
    <row r="53" spans="1:2" x14ac:dyDescent="0.25">
      <c r="A53" s="18">
        <v>13.2</v>
      </c>
      <c r="B53" s="18">
        <v>5.8500000000000002E-3</v>
      </c>
    </row>
    <row r="54" spans="1:2" x14ac:dyDescent="0.25">
      <c r="A54" s="18">
        <v>13.4</v>
      </c>
      <c r="B54" s="18">
        <v>5.9699999999999996E-3</v>
      </c>
    </row>
    <row r="55" spans="1:2" x14ac:dyDescent="0.25">
      <c r="A55" s="18">
        <v>13.6</v>
      </c>
      <c r="B55" s="18">
        <v>5.64E-3</v>
      </c>
    </row>
    <row r="56" spans="1:2" x14ac:dyDescent="0.25">
      <c r="A56" s="18">
        <v>13.8</v>
      </c>
      <c r="B56" s="18">
        <v>5.62E-3</v>
      </c>
    </row>
    <row r="57" spans="1:2" x14ac:dyDescent="0.25">
      <c r="A57" s="18">
        <v>14</v>
      </c>
      <c r="B57" s="18">
        <v>5.3600000000000002E-3</v>
      </c>
    </row>
    <row r="58" spans="1:2" x14ac:dyDescent="0.25">
      <c r="A58" s="18">
        <v>14.2</v>
      </c>
      <c r="B58" s="18">
        <v>5.45E-3</v>
      </c>
    </row>
    <row r="59" spans="1:2" x14ac:dyDescent="0.25">
      <c r="A59" s="18">
        <v>14.4</v>
      </c>
      <c r="B59" s="18">
        <v>5.0600000000000003E-3</v>
      </c>
    </row>
    <row r="60" spans="1:2" x14ac:dyDescent="0.25">
      <c r="A60" s="18">
        <v>14.6</v>
      </c>
      <c r="B60" s="18">
        <v>4.9500000000000004E-3</v>
      </c>
    </row>
    <row r="61" spans="1:2" x14ac:dyDescent="0.25">
      <c r="A61" s="18">
        <v>14.8</v>
      </c>
      <c r="B61" s="18">
        <v>4.8799999999999998E-3</v>
      </c>
    </row>
    <row r="62" spans="1:2" x14ac:dyDescent="0.25">
      <c r="A62" s="18">
        <v>15</v>
      </c>
      <c r="B62" s="18">
        <v>4.6499999999999996E-3</v>
      </c>
    </row>
    <row r="63" spans="1:2" x14ac:dyDescent="0.25">
      <c r="A63" s="18">
        <v>15.2</v>
      </c>
      <c r="B63" s="18">
        <v>4.6299999999999996E-3</v>
      </c>
    </row>
    <row r="64" spans="1:2" x14ac:dyDescent="0.25">
      <c r="A64" s="18">
        <v>15.4</v>
      </c>
      <c r="B64" s="18">
        <v>4.4799999999999996E-3</v>
      </c>
    </row>
    <row r="65" spans="1:2" x14ac:dyDescent="0.25">
      <c r="A65" s="18">
        <v>15.6</v>
      </c>
      <c r="B65" s="18">
        <v>4.3E-3</v>
      </c>
    </row>
    <row r="66" spans="1:2" x14ac:dyDescent="0.25">
      <c r="A66" s="18">
        <v>15.8</v>
      </c>
      <c r="B66" s="18">
        <v>4.0200000000000001E-3</v>
      </c>
    </row>
    <row r="67" spans="1:2" x14ac:dyDescent="0.25">
      <c r="A67" s="18">
        <v>16</v>
      </c>
      <c r="B67" s="18">
        <v>4.0600000000000002E-3</v>
      </c>
    </row>
    <row r="68" spans="1:2" x14ac:dyDescent="0.25">
      <c r="A68" s="18">
        <v>16.2</v>
      </c>
      <c r="B68" s="18">
        <v>3.8E-3</v>
      </c>
    </row>
    <row r="69" spans="1:2" x14ac:dyDescent="0.25">
      <c r="A69" s="18">
        <v>16.399999999999999</v>
      </c>
      <c r="B69" s="18">
        <v>3.8500000000000001E-3</v>
      </c>
    </row>
    <row r="70" spans="1:2" x14ac:dyDescent="0.25">
      <c r="A70" s="18">
        <v>16.600000000000001</v>
      </c>
      <c r="B70" s="18">
        <v>3.5400000000000002E-3</v>
      </c>
    </row>
    <row r="71" spans="1:2" x14ac:dyDescent="0.25">
      <c r="A71" s="18">
        <v>16.8</v>
      </c>
      <c r="B71" s="18">
        <v>3.5100000000000001E-3</v>
      </c>
    </row>
    <row r="72" spans="1:2" x14ac:dyDescent="0.25">
      <c r="A72" s="18">
        <v>17</v>
      </c>
      <c r="B72" s="18">
        <v>3.4099999999999998E-3</v>
      </c>
    </row>
    <row r="73" spans="1:2" x14ac:dyDescent="0.25">
      <c r="A73" s="18">
        <v>17.2</v>
      </c>
      <c r="B73" s="18">
        <v>3.1700000000000001E-3</v>
      </c>
    </row>
    <row r="74" spans="1:2" x14ac:dyDescent="0.25">
      <c r="A74" s="18">
        <v>17.399999999999999</v>
      </c>
      <c r="B74" s="18">
        <v>3.2399999999999998E-3</v>
      </c>
    </row>
    <row r="75" spans="1:2" x14ac:dyDescent="0.25">
      <c r="A75" s="18">
        <v>17.600000000000001</v>
      </c>
      <c r="B75" s="18">
        <v>2.96E-3</v>
      </c>
    </row>
    <row r="76" spans="1:2" x14ac:dyDescent="0.25">
      <c r="A76" s="18">
        <v>17.8</v>
      </c>
      <c r="B76" s="18">
        <v>2.9199999999999999E-3</v>
      </c>
    </row>
    <row r="77" spans="1:2" x14ac:dyDescent="0.25">
      <c r="A77" s="18">
        <v>18</v>
      </c>
      <c r="B77" s="18">
        <v>2.82E-3</v>
      </c>
    </row>
    <row r="78" spans="1:2" x14ac:dyDescent="0.25">
      <c r="A78" s="18">
        <v>18.2</v>
      </c>
      <c r="B78" s="18">
        <v>2.7899999999999999E-3</v>
      </c>
    </row>
    <row r="79" spans="1:2" x14ac:dyDescent="0.25">
      <c r="A79" s="18">
        <v>18.399999999999999</v>
      </c>
      <c r="B79" s="18">
        <v>2.6199999999999999E-3</v>
      </c>
    </row>
    <row r="80" spans="1:2" x14ac:dyDescent="0.25">
      <c r="A80" s="18">
        <v>18.600000000000001</v>
      </c>
      <c r="B80" s="18">
        <v>2.6199999999999999E-3</v>
      </c>
    </row>
    <row r="81" spans="1:2" x14ac:dyDescent="0.25">
      <c r="A81" s="18">
        <v>18.8</v>
      </c>
      <c r="B81" s="18">
        <v>2.47E-3</v>
      </c>
    </row>
    <row r="82" spans="1:2" x14ac:dyDescent="0.25">
      <c r="A82" s="18">
        <v>19</v>
      </c>
      <c r="B82" s="18">
        <v>2.3800000000000002E-3</v>
      </c>
    </row>
    <row r="83" spans="1:2" x14ac:dyDescent="0.25">
      <c r="A83" s="18">
        <v>19.2</v>
      </c>
      <c r="B83" s="18">
        <v>2.33E-3</v>
      </c>
    </row>
    <row r="84" spans="1:2" x14ac:dyDescent="0.25">
      <c r="A84" s="18">
        <v>19.399999999999999</v>
      </c>
      <c r="B84" s="18">
        <v>2.2300000000000002E-3</v>
      </c>
    </row>
    <row r="85" spans="1:2" x14ac:dyDescent="0.25">
      <c r="A85" s="18">
        <v>19.600000000000001</v>
      </c>
      <c r="B85" s="18">
        <v>2.16E-3</v>
      </c>
    </row>
    <row r="86" spans="1:2" x14ac:dyDescent="0.25">
      <c r="A86" s="18">
        <v>19.8</v>
      </c>
      <c r="B86" s="18">
        <v>2.0600000000000002E-3</v>
      </c>
    </row>
    <row r="87" spans="1:2" x14ac:dyDescent="0.25">
      <c r="A87" s="18">
        <v>20</v>
      </c>
      <c r="B87" s="18">
        <v>2.0300000000000001E-3</v>
      </c>
    </row>
    <row r="88" spans="1:2" x14ac:dyDescent="0.25">
      <c r="A88" s="18">
        <v>20.2</v>
      </c>
      <c r="B88" s="18">
        <v>1.8699999999999999E-3</v>
      </c>
    </row>
    <row r="89" spans="1:2" x14ac:dyDescent="0.25">
      <c r="A89" s="18">
        <v>20.399999999999999</v>
      </c>
      <c r="B89" s="18">
        <v>1.89E-3</v>
      </c>
    </row>
    <row r="90" spans="1:2" x14ac:dyDescent="0.25">
      <c r="A90" s="18">
        <v>20.6</v>
      </c>
      <c r="B90" s="18">
        <v>1.7799999999999999E-3</v>
      </c>
    </row>
    <row r="91" spans="1:2" x14ac:dyDescent="0.25">
      <c r="A91" s="18">
        <v>20.8</v>
      </c>
      <c r="B91" s="18">
        <v>1.75E-3</v>
      </c>
    </row>
    <row r="92" spans="1:2" x14ac:dyDescent="0.25">
      <c r="A92" s="18">
        <v>21</v>
      </c>
      <c r="B92" s="18">
        <v>1.6199999999999999E-3</v>
      </c>
    </row>
    <row r="93" spans="1:2" x14ac:dyDescent="0.25">
      <c r="A93" s="18">
        <v>21.2</v>
      </c>
      <c r="B93" s="18">
        <v>1.64E-3</v>
      </c>
    </row>
    <row r="94" spans="1:2" x14ac:dyDescent="0.25">
      <c r="A94" s="18">
        <v>21.4</v>
      </c>
      <c r="B94" s="18">
        <v>1.56E-3</v>
      </c>
    </row>
    <row r="95" spans="1:2" x14ac:dyDescent="0.25">
      <c r="A95" s="18">
        <v>21.6</v>
      </c>
      <c r="B95" s="18">
        <v>1.5399999999999999E-3</v>
      </c>
    </row>
    <row r="96" spans="1:2" x14ac:dyDescent="0.25">
      <c r="A96" s="18">
        <v>21.8</v>
      </c>
      <c r="B96" s="18">
        <v>1.41E-3</v>
      </c>
    </row>
    <row r="97" spans="1:2" x14ac:dyDescent="0.25">
      <c r="A97" s="18">
        <v>22</v>
      </c>
      <c r="B97" s="18">
        <v>1.41E-3</v>
      </c>
    </row>
    <row r="98" spans="1:2" x14ac:dyDescent="0.25">
      <c r="A98" s="18">
        <v>22.2</v>
      </c>
      <c r="B98" s="18">
        <v>1.3699999999999999E-3</v>
      </c>
    </row>
    <row r="99" spans="1:2" x14ac:dyDescent="0.25">
      <c r="A99" s="18">
        <v>22.4</v>
      </c>
      <c r="B99" s="18">
        <v>1.34E-3</v>
      </c>
    </row>
    <row r="100" spans="1:2" x14ac:dyDescent="0.25">
      <c r="A100" s="18">
        <v>22.6</v>
      </c>
      <c r="B100" s="18">
        <v>1.23E-3</v>
      </c>
    </row>
    <row r="101" spans="1:2" x14ac:dyDescent="0.25">
      <c r="A101" s="18">
        <v>22.8</v>
      </c>
      <c r="B101" s="18">
        <v>1.24E-3</v>
      </c>
    </row>
    <row r="102" spans="1:2" x14ac:dyDescent="0.25">
      <c r="A102" s="18">
        <v>23</v>
      </c>
      <c r="B102" s="18">
        <v>1.1900000000000001E-3</v>
      </c>
    </row>
    <row r="103" spans="1:2" x14ac:dyDescent="0.25">
      <c r="A103" s="18">
        <v>23.2</v>
      </c>
      <c r="B103" s="18">
        <v>1.1299999999999999E-3</v>
      </c>
    </row>
    <row r="104" spans="1:2" x14ac:dyDescent="0.25">
      <c r="A104" s="18">
        <v>23.4</v>
      </c>
      <c r="B104" s="18">
        <v>1.1100000000000001E-3</v>
      </c>
    </row>
    <row r="105" spans="1:2" x14ac:dyDescent="0.25">
      <c r="A105" s="18">
        <v>23.6</v>
      </c>
      <c r="B105" s="18">
        <v>1.0399999999999999E-3</v>
      </c>
    </row>
    <row r="106" spans="1:2" x14ac:dyDescent="0.25">
      <c r="A106" s="18">
        <v>23.8</v>
      </c>
      <c r="B106" s="18">
        <v>1E-3</v>
      </c>
    </row>
    <row r="107" spans="1:2" x14ac:dyDescent="0.25">
      <c r="A107" s="18">
        <v>24</v>
      </c>
      <c r="B107" s="18">
        <v>1.0300000000000001E-3</v>
      </c>
    </row>
    <row r="108" spans="1:2" x14ac:dyDescent="0.25">
      <c r="A108" s="18">
        <v>24.2</v>
      </c>
      <c r="B108" s="18">
        <v>9.2299999999999999E-4</v>
      </c>
    </row>
    <row r="109" spans="1:2" x14ac:dyDescent="0.25">
      <c r="A109" s="18">
        <v>24.4</v>
      </c>
      <c r="B109" s="18">
        <v>9.2800000000000001E-4</v>
      </c>
    </row>
    <row r="110" spans="1:2" x14ac:dyDescent="0.25">
      <c r="A110" s="18">
        <v>24.6</v>
      </c>
      <c r="B110" s="18">
        <v>8.8199999999999997E-4</v>
      </c>
    </row>
    <row r="111" spans="1:2" x14ac:dyDescent="0.25">
      <c r="A111" s="18">
        <v>24.8</v>
      </c>
      <c r="B111" s="18">
        <v>8.3699999999999996E-4</v>
      </c>
    </row>
    <row r="112" spans="1:2" x14ac:dyDescent="0.25">
      <c r="A112" s="18">
        <v>25</v>
      </c>
      <c r="B112" s="18">
        <v>8.2600000000000002E-4</v>
      </c>
    </row>
    <row r="113" spans="1:2" x14ac:dyDescent="0.25">
      <c r="A113" s="18">
        <v>25.2</v>
      </c>
      <c r="B113" s="18">
        <v>7.8799999999999996E-4</v>
      </c>
    </row>
    <row r="114" spans="1:2" x14ac:dyDescent="0.25">
      <c r="A114" s="18">
        <v>25.4</v>
      </c>
      <c r="B114" s="18">
        <v>7.6099999999999996E-4</v>
      </c>
    </row>
    <row r="115" spans="1:2" x14ac:dyDescent="0.25">
      <c r="A115" s="18">
        <v>25.6</v>
      </c>
      <c r="B115" s="18">
        <v>6.9700000000000003E-4</v>
      </c>
    </row>
    <row r="116" spans="1:2" x14ac:dyDescent="0.25">
      <c r="A116" s="18">
        <v>25.8</v>
      </c>
      <c r="B116" s="18">
        <v>7.1900000000000002E-4</v>
      </c>
    </row>
    <row r="117" spans="1:2" x14ac:dyDescent="0.25">
      <c r="A117" s="18">
        <v>26</v>
      </c>
      <c r="B117" s="18">
        <v>6.8000000000000005E-4</v>
      </c>
    </row>
    <row r="118" spans="1:2" x14ac:dyDescent="0.25">
      <c r="A118" s="18">
        <v>26.2</v>
      </c>
      <c r="B118" s="18">
        <v>6.5300000000000004E-4</v>
      </c>
    </row>
    <row r="119" spans="1:2" x14ac:dyDescent="0.25">
      <c r="A119" s="18">
        <v>26.4</v>
      </c>
      <c r="B119" s="18">
        <v>6.2200000000000005E-4</v>
      </c>
    </row>
    <row r="120" spans="1:2" x14ac:dyDescent="0.25">
      <c r="A120" s="18">
        <v>26.6</v>
      </c>
      <c r="B120" s="18">
        <v>6.1300000000000005E-4</v>
      </c>
    </row>
    <row r="121" spans="1:2" x14ac:dyDescent="0.25">
      <c r="A121" s="18">
        <v>26.8</v>
      </c>
      <c r="B121" s="18">
        <v>5.7799999999999995E-4</v>
      </c>
    </row>
    <row r="122" spans="1:2" x14ac:dyDescent="0.25">
      <c r="A122" s="18">
        <v>27</v>
      </c>
      <c r="B122" s="18">
        <v>5.5500000000000005E-4</v>
      </c>
    </row>
    <row r="123" spans="1:2" x14ac:dyDescent="0.25">
      <c r="A123" s="18">
        <v>27.2</v>
      </c>
      <c r="B123" s="18">
        <v>5.3300000000000005E-4</v>
      </c>
    </row>
    <row r="124" spans="1:2" x14ac:dyDescent="0.25">
      <c r="A124" s="18">
        <v>27.4</v>
      </c>
      <c r="B124" s="18">
        <v>5.1099999999999995E-4</v>
      </c>
    </row>
    <row r="125" spans="1:2" x14ac:dyDescent="0.25">
      <c r="A125" s="18">
        <v>27.6</v>
      </c>
      <c r="B125" s="18">
        <v>5.1900000000000004E-4</v>
      </c>
    </row>
    <row r="126" spans="1:2" x14ac:dyDescent="0.25">
      <c r="A126" s="18">
        <v>27.8</v>
      </c>
      <c r="B126" s="18">
        <v>4.6700000000000002E-4</v>
      </c>
    </row>
    <row r="127" spans="1:2" x14ac:dyDescent="0.25">
      <c r="A127" s="18">
        <v>28</v>
      </c>
      <c r="B127" s="18">
        <v>4.6000000000000001E-4</v>
      </c>
    </row>
    <row r="128" spans="1:2" x14ac:dyDescent="0.25">
      <c r="A128" s="18">
        <v>28.2</v>
      </c>
      <c r="B128" s="18">
        <v>4.2700000000000002E-4</v>
      </c>
    </row>
    <row r="129" spans="1:2" x14ac:dyDescent="0.25">
      <c r="A129" s="18">
        <v>28.4</v>
      </c>
      <c r="B129" s="18">
        <v>4.1199999999999999E-4</v>
      </c>
    </row>
    <row r="130" spans="1:2" x14ac:dyDescent="0.25">
      <c r="A130" s="18">
        <v>28.6</v>
      </c>
      <c r="B130" s="18">
        <v>4.0299999999999998E-4</v>
      </c>
    </row>
    <row r="131" spans="1:2" x14ac:dyDescent="0.25">
      <c r="A131" s="18">
        <v>28.8</v>
      </c>
      <c r="B131" s="18">
        <v>4.15E-4</v>
      </c>
    </row>
    <row r="132" spans="1:2" x14ac:dyDescent="0.25">
      <c r="A132" s="18">
        <v>29</v>
      </c>
      <c r="B132" s="18">
        <v>3.3100000000000002E-4</v>
      </c>
    </row>
    <row r="133" spans="1:2" x14ac:dyDescent="0.25">
      <c r="A133" s="18">
        <v>29.2</v>
      </c>
      <c r="B133" s="18">
        <v>3.97E-4</v>
      </c>
    </row>
    <row r="134" spans="1:2" x14ac:dyDescent="0.25">
      <c r="A134" s="18">
        <v>29.4</v>
      </c>
      <c r="B134" s="18">
        <v>3.19E-4</v>
      </c>
    </row>
    <row r="135" spans="1:2" x14ac:dyDescent="0.25">
      <c r="A135" s="18">
        <v>29.6</v>
      </c>
      <c r="B135" s="18">
        <v>3.4000000000000002E-4</v>
      </c>
    </row>
    <row r="136" spans="1:2" x14ac:dyDescent="0.25">
      <c r="A136" s="18">
        <v>29.8</v>
      </c>
      <c r="B136" s="18">
        <v>3.0699999999999998E-4</v>
      </c>
    </row>
    <row r="137" spans="1:2" x14ac:dyDescent="0.25">
      <c r="A137" s="18">
        <v>30</v>
      </c>
      <c r="B137" s="18">
        <v>2.8400000000000002E-4</v>
      </c>
    </row>
    <row r="138" spans="1:2" x14ac:dyDescent="0.25">
      <c r="A138" s="18">
        <v>30.2</v>
      </c>
      <c r="B138" s="18">
        <v>2.8800000000000001E-4</v>
      </c>
    </row>
    <row r="139" spans="1:2" x14ac:dyDescent="0.25">
      <c r="A139" s="18">
        <v>30.4</v>
      </c>
      <c r="B139" s="18">
        <v>2.6800000000000001E-4</v>
      </c>
    </row>
    <row r="140" spans="1:2" x14ac:dyDescent="0.25">
      <c r="A140" s="18">
        <v>30.6</v>
      </c>
      <c r="B140" s="18">
        <v>2.4600000000000002E-4</v>
      </c>
    </row>
    <row r="141" spans="1:2" x14ac:dyDescent="0.25">
      <c r="A141" s="18">
        <v>30.8</v>
      </c>
      <c r="B141" s="18">
        <v>2.5500000000000002E-4</v>
      </c>
    </row>
    <row r="142" spans="1:2" x14ac:dyDescent="0.25">
      <c r="A142" s="18">
        <v>31</v>
      </c>
      <c r="B142" s="18">
        <v>2.23E-4</v>
      </c>
    </row>
    <row r="143" spans="1:2" x14ac:dyDescent="0.25">
      <c r="A143" s="18">
        <v>31.2</v>
      </c>
      <c r="B143" s="18">
        <v>2.22E-4</v>
      </c>
    </row>
    <row r="144" spans="1:2" x14ac:dyDescent="0.25">
      <c r="A144" s="18">
        <v>31.4</v>
      </c>
      <c r="B144" s="18">
        <v>2.0799999999999999E-4</v>
      </c>
    </row>
    <row r="145" spans="1:2" x14ac:dyDescent="0.25">
      <c r="A145" s="18">
        <v>31.6</v>
      </c>
      <c r="B145" s="18">
        <v>1.9100000000000001E-4</v>
      </c>
    </row>
    <row r="146" spans="1:2" x14ac:dyDescent="0.25">
      <c r="A146" s="18">
        <v>31.8</v>
      </c>
      <c r="B146" s="18">
        <v>1.85E-4</v>
      </c>
    </row>
    <row r="147" spans="1:2" x14ac:dyDescent="0.25">
      <c r="A147" s="18">
        <v>32</v>
      </c>
      <c r="B147" s="18">
        <v>1.7699999999999999E-4</v>
      </c>
    </row>
    <row r="148" spans="1:2" x14ac:dyDescent="0.25">
      <c r="A148" s="18">
        <v>32.200000000000003</v>
      </c>
      <c r="B148" s="18">
        <v>1.4799999999999999E-4</v>
      </c>
    </row>
    <row r="149" spans="1:2" x14ac:dyDescent="0.25">
      <c r="A149" s="18">
        <v>32.4</v>
      </c>
      <c r="B149" s="18">
        <v>1.5300000000000001E-4</v>
      </c>
    </row>
    <row r="150" spans="1:2" x14ac:dyDescent="0.25">
      <c r="A150" s="18">
        <v>32.6</v>
      </c>
      <c r="B150" s="18">
        <v>1.4300000000000001E-4</v>
      </c>
    </row>
    <row r="151" spans="1:2" x14ac:dyDescent="0.25">
      <c r="A151" s="18">
        <v>32.799999999999997</v>
      </c>
      <c r="B151" s="18">
        <v>1.2999999999999999E-4</v>
      </c>
    </row>
    <row r="152" spans="1:2" x14ac:dyDescent="0.25">
      <c r="A152" s="18">
        <v>33</v>
      </c>
      <c r="B152" s="18">
        <v>1.16E-4</v>
      </c>
    </row>
    <row r="153" spans="1:2" x14ac:dyDescent="0.25">
      <c r="A153" s="18">
        <v>33.200000000000003</v>
      </c>
      <c r="B153" s="18">
        <v>1.12E-4</v>
      </c>
    </row>
    <row r="154" spans="1:2" x14ac:dyDescent="0.25">
      <c r="A154" s="18">
        <v>33.4</v>
      </c>
      <c r="B154" s="18">
        <v>9.7700000000000003E-5</v>
      </c>
    </row>
    <row r="155" spans="1:2" x14ac:dyDescent="0.25">
      <c r="A155" s="18">
        <v>33.6</v>
      </c>
      <c r="B155" s="18">
        <v>9.5400000000000001E-5</v>
      </c>
    </row>
    <row r="156" spans="1:2" x14ac:dyDescent="0.25">
      <c r="A156" s="18">
        <v>33.799999999999997</v>
      </c>
      <c r="B156" s="18">
        <v>6.3800000000000006E-5</v>
      </c>
    </row>
    <row r="157" spans="1:2" x14ac:dyDescent="0.25">
      <c r="A157" s="18">
        <v>34</v>
      </c>
      <c r="B157" s="18">
        <v>6.9099999999999999E-5</v>
      </c>
    </row>
    <row r="158" spans="1:2" x14ac:dyDescent="0.25">
      <c r="A158" s="18">
        <v>34.200000000000003</v>
      </c>
      <c r="B158" s="18">
        <v>6.0300000000000002E-5</v>
      </c>
    </row>
    <row r="159" spans="1:2" x14ac:dyDescent="0.25">
      <c r="A159" s="18">
        <v>34.4</v>
      </c>
      <c r="B159" s="18">
        <v>4.2299999999999998E-5</v>
      </c>
    </row>
    <row r="160" spans="1:2" x14ac:dyDescent="0.25">
      <c r="A160" s="18">
        <v>34.6</v>
      </c>
      <c r="B160" s="18">
        <v>3.7599999999999999E-5</v>
      </c>
    </row>
    <row r="161" spans="1:2" x14ac:dyDescent="0.25">
      <c r="A161" s="18">
        <v>34.799999999999997</v>
      </c>
      <c r="B161" s="18">
        <v>2.2500000000000001E-5</v>
      </c>
    </row>
    <row r="162" spans="1:2" x14ac:dyDescent="0.25">
      <c r="A162" s="18">
        <v>35</v>
      </c>
      <c r="B162" s="18">
        <v>7.3599999999999998E-6</v>
      </c>
    </row>
    <row r="163" spans="1:2" x14ac:dyDescent="0.25">
      <c r="A163" s="18">
        <v>35.200000000000003</v>
      </c>
      <c r="B163" s="18">
        <v>1.1599999999999999E-6</v>
      </c>
    </row>
    <row r="164" spans="1:2" x14ac:dyDescent="0.25">
      <c r="A164" s="18">
        <v>35.4</v>
      </c>
      <c r="B164" s="18">
        <v>9.4E-7</v>
      </c>
    </row>
    <row r="165" spans="1:2" x14ac:dyDescent="0.25">
      <c r="A165" s="18">
        <v>35.6</v>
      </c>
      <c r="B165" s="18">
        <v>8.5899999999999995E-7</v>
      </c>
    </row>
    <row r="166" spans="1:2" x14ac:dyDescent="0.25">
      <c r="A166" s="18">
        <v>35.799999999999997</v>
      </c>
      <c r="B166" s="18">
        <v>7.1900000000000002E-7</v>
      </c>
    </row>
    <row r="167" spans="1:2" x14ac:dyDescent="0.25">
      <c r="A167" s="18">
        <v>36</v>
      </c>
      <c r="B167" s="18">
        <v>2.5600000000000002E-7</v>
      </c>
    </row>
    <row r="168" spans="1:2" x14ac:dyDescent="0.25">
      <c r="A168" s="18">
        <v>36.200000000000003</v>
      </c>
      <c r="B168" s="18">
        <v>1.3200000000000001E-6</v>
      </c>
    </row>
    <row r="169" spans="1:2" x14ac:dyDescent="0.25">
      <c r="A169" s="18">
        <v>36.4</v>
      </c>
      <c r="B169" s="18">
        <v>1.66E-7</v>
      </c>
    </row>
    <row r="170" spans="1:2" x14ac:dyDescent="0.25">
      <c r="A170" s="18">
        <v>36.6</v>
      </c>
      <c r="B170" s="18">
        <v>8.0999999999999997E-7</v>
      </c>
    </row>
    <row r="171" spans="1:2" x14ac:dyDescent="0.25">
      <c r="A171" s="18">
        <v>36.799999999999997</v>
      </c>
      <c r="B171" s="18">
        <v>2.23E-7</v>
      </c>
    </row>
    <row r="172" spans="1:2" x14ac:dyDescent="0.25">
      <c r="A172" s="18">
        <v>37</v>
      </c>
      <c r="B172" s="18">
        <v>1.3999999999999999E-6</v>
      </c>
    </row>
  </sheetData>
  <pageMargins left="0.7" right="0.7" top="0.75" bottom="0.75" header="0.3" footer="0.3"/>
  <pageSetup paperSize="9" orientation="portrait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dimension ref="A1:B19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7.1400000000000001E-5</v>
      </c>
    </row>
    <row r="3" spans="1:2" x14ac:dyDescent="0.25">
      <c r="A3" s="18">
        <v>3.2</v>
      </c>
      <c r="B3" s="18">
        <v>2.31E-4</v>
      </c>
    </row>
    <row r="4" spans="1:2" x14ac:dyDescent="0.25">
      <c r="A4" s="18">
        <v>3.4</v>
      </c>
      <c r="B4" s="18">
        <v>2.2499999999999999E-4</v>
      </c>
    </row>
    <row r="5" spans="1:2" x14ac:dyDescent="0.25">
      <c r="A5" s="18">
        <v>3.6</v>
      </c>
      <c r="B5" s="18">
        <v>1.6000000000000001E-4</v>
      </c>
    </row>
    <row r="6" spans="1:2" x14ac:dyDescent="0.25">
      <c r="A6" s="18">
        <v>3.8</v>
      </c>
      <c r="B6" s="18">
        <v>3.3E-4</v>
      </c>
    </row>
    <row r="7" spans="1:2" x14ac:dyDescent="0.25">
      <c r="A7" s="18">
        <v>4</v>
      </c>
      <c r="B7" s="18">
        <v>2.7399999999999999E-4</v>
      </c>
    </row>
    <row r="8" spans="1:2" x14ac:dyDescent="0.25">
      <c r="A8" s="18">
        <v>4.2</v>
      </c>
      <c r="B8" s="18">
        <v>4.9100000000000001E-4</v>
      </c>
    </row>
    <row r="9" spans="1:2" x14ac:dyDescent="0.25">
      <c r="A9" s="18">
        <v>4.4000000000000004</v>
      </c>
      <c r="B9" s="18">
        <v>3.88E-4</v>
      </c>
    </row>
    <row r="10" spans="1:2" x14ac:dyDescent="0.25">
      <c r="A10" s="18">
        <v>4.5999999999999996</v>
      </c>
      <c r="B10" s="18">
        <v>2.23E-4</v>
      </c>
    </row>
    <row r="11" spans="1:2" x14ac:dyDescent="0.25">
      <c r="A11" s="18">
        <v>4.8</v>
      </c>
      <c r="B11" s="18">
        <v>4.3100000000000001E-4</v>
      </c>
    </row>
    <row r="12" spans="1:2" x14ac:dyDescent="0.25">
      <c r="A12" s="18">
        <v>5</v>
      </c>
      <c r="B12" s="18">
        <v>4.2700000000000002E-4</v>
      </c>
    </row>
    <row r="13" spans="1:2" x14ac:dyDescent="0.25">
      <c r="A13" s="18">
        <v>5.2</v>
      </c>
      <c r="B13" s="18">
        <v>7.1199999999999996E-4</v>
      </c>
    </row>
    <row r="14" spans="1:2" x14ac:dyDescent="0.25">
      <c r="A14" s="18">
        <v>5.4</v>
      </c>
      <c r="B14" s="18">
        <v>1.01E-3</v>
      </c>
    </row>
    <row r="15" spans="1:2" x14ac:dyDescent="0.25">
      <c r="A15" s="18">
        <v>5.6</v>
      </c>
      <c r="B15" s="18">
        <v>1.32E-3</v>
      </c>
    </row>
    <row r="16" spans="1:2" x14ac:dyDescent="0.25">
      <c r="A16" s="18">
        <v>5.8</v>
      </c>
      <c r="B16" s="18">
        <v>1.65E-3</v>
      </c>
    </row>
    <row r="17" spans="1:2" x14ac:dyDescent="0.25">
      <c r="A17" s="18">
        <v>6</v>
      </c>
      <c r="B17" s="18">
        <v>2.16E-3</v>
      </c>
    </row>
    <row r="18" spans="1:2" x14ac:dyDescent="0.25">
      <c r="A18" s="18">
        <v>6.2</v>
      </c>
      <c r="B18" s="18">
        <v>2.9199999999999999E-3</v>
      </c>
    </row>
    <row r="19" spans="1:2" x14ac:dyDescent="0.25">
      <c r="A19" s="18">
        <v>6.4</v>
      </c>
      <c r="B19" s="18">
        <v>3.8899999999999998E-3</v>
      </c>
    </row>
    <row r="20" spans="1:2" x14ac:dyDescent="0.25">
      <c r="A20" s="18">
        <v>6.6</v>
      </c>
      <c r="B20" s="18">
        <v>4.5300000000000002E-3</v>
      </c>
    </row>
    <row r="21" spans="1:2" x14ac:dyDescent="0.25">
      <c r="A21" s="18">
        <v>6.8</v>
      </c>
      <c r="B21" s="18">
        <v>5.64E-3</v>
      </c>
    </row>
    <row r="22" spans="1:2" x14ac:dyDescent="0.25">
      <c r="A22" s="18">
        <v>7</v>
      </c>
      <c r="B22" s="18">
        <v>6.1999999999999998E-3</v>
      </c>
    </row>
    <row r="23" spans="1:2" x14ac:dyDescent="0.25">
      <c r="A23" s="18">
        <v>7.2</v>
      </c>
      <c r="B23" s="18">
        <v>7.2300000000000003E-3</v>
      </c>
    </row>
    <row r="24" spans="1:2" x14ac:dyDescent="0.25">
      <c r="A24" s="18">
        <v>7.4</v>
      </c>
      <c r="B24" s="18">
        <v>1.2699999999999999E-2</v>
      </c>
    </row>
    <row r="25" spans="1:2" x14ac:dyDescent="0.25">
      <c r="A25" s="18">
        <v>7.6</v>
      </c>
      <c r="B25" s="18">
        <v>0.01</v>
      </c>
    </row>
    <row r="26" spans="1:2" x14ac:dyDescent="0.25">
      <c r="A26" s="18">
        <v>7.8</v>
      </c>
      <c r="B26" s="18">
        <v>9.3100000000000006E-3</v>
      </c>
    </row>
    <row r="27" spans="1:2" x14ac:dyDescent="0.25">
      <c r="A27" s="18">
        <v>8</v>
      </c>
      <c r="B27" s="18">
        <v>9.7599999999999996E-3</v>
      </c>
    </row>
    <row r="28" spans="1:2" x14ac:dyDescent="0.25">
      <c r="A28" s="18">
        <v>8.1999999999999993</v>
      </c>
      <c r="B28" s="18">
        <v>1.9900000000000001E-2</v>
      </c>
    </row>
    <row r="29" spans="1:2" x14ac:dyDescent="0.25">
      <c r="A29" s="18">
        <v>8.4</v>
      </c>
      <c r="B29" s="18">
        <v>0.19</v>
      </c>
    </row>
    <row r="30" spans="1:2" x14ac:dyDescent="0.25">
      <c r="A30" s="18">
        <v>8.6</v>
      </c>
      <c r="B30" s="18">
        <v>6.7400000000000002E-2</v>
      </c>
    </row>
    <row r="31" spans="1:2" x14ac:dyDescent="0.25">
      <c r="A31" s="18">
        <v>8.8000000000000007</v>
      </c>
      <c r="B31" s="18">
        <v>6.5900000000000004E-3</v>
      </c>
    </row>
    <row r="32" spans="1:2" x14ac:dyDescent="0.25">
      <c r="A32" s="18">
        <v>9</v>
      </c>
      <c r="B32" s="18">
        <v>1.38E-2</v>
      </c>
    </row>
    <row r="33" spans="1:2" x14ac:dyDescent="0.25">
      <c r="A33" s="18">
        <v>9.1999999999999993</v>
      </c>
      <c r="B33" s="18">
        <v>1.29E-2</v>
      </c>
    </row>
    <row r="34" spans="1:2" x14ac:dyDescent="0.25">
      <c r="A34" s="18">
        <v>9.4</v>
      </c>
      <c r="B34" s="18">
        <v>9.5700000000000004E-3</v>
      </c>
    </row>
    <row r="35" spans="1:2" x14ac:dyDescent="0.25">
      <c r="A35" s="18">
        <v>9.6</v>
      </c>
      <c r="B35" s="18">
        <v>8.9499999999999996E-2</v>
      </c>
    </row>
    <row r="36" spans="1:2" x14ac:dyDescent="0.25">
      <c r="A36" s="18">
        <v>9.8000000000000007</v>
      </c>
      <c r="B36" s="18">
        <v>0.109</v>
      </c>
    </row>
    <row r="37" spans="1:2" x14ac:dyDescent="0.25">
      <c r="A37" s="18">
        <v>10</v>
      </c>
      <c r="B37" s="18">
        <v>6.1199999999999997E-2</v>
      </c>
    </row>
    <row r="38" spans="1:2" x14ac:dyDescent="0.25">
      <c r="A38" s="18">
        <v>10.199999999999999</v>
      </c>
      <c r="B38" s="18">
        <v>2.0199999999999999E-2</v>
      </c>
    </row>
    <row r="39" spans="1:2" x14ac:dyDescent="0.25">
      <c r="A39" s="18">
        <v>10.4</v>
      </c>
      <c r="B39" s="18">
        <v>8.1700000000000002E-3</v>
      </c>
    </row>
    <row r="40" spans="1:2" x14ac:dyDescent="0.25">
      <c r="A40" s="18">
        <v>10.6</v>
      </c>
      <c r="B40" s="18">
        <v>8.5199999999999998E-3</v>
      </c>
    </row>
    <row r="41" spans="1:2" x14ac:dyDescent="0.25">
      <c r="A41" s="18">
        <v>10.8</v>
      </c>
      <c r="B41" s="18">
        <v>8.6999999999999994E-3</v>
      </c>
    </row>
    <row r="42" spans="1:2" x14ac:dyDescent="0.25">
      <c r="A42" s="18">
        <v>11</v>
      </c>
      <c r="B42" s="18">
        <v>8.1700000000000002E-3</v>
      </c>
    </row>
    <row r="43" spans="1:2" x14ac:dyDescent="0.25">
      <c r="A43" s="18">
        <v>11.2</v>
      </c>
      <c r="B43" s="18">
        <v>1.66E-2</v>
      </c>
    </row>
    <row r="44" spans="1:2" x14ac:dyDescent="0.25">
      <c r="A44" s="18">
        <v>11.4</v>
      </c>
      <c r="B44" s="18">
        <v>2.07E-2</v>
      </c>
    </row>
    <row r="45" spans="1:2" x14ac:dyDescent="0.25">
      <c r="A45" s="18">
        <v>11.6</v>
      </c>
      <c r="B45" s="18">
        <v>1.1900000000000001E-2</v>
      </c>
    </row>
    <row r="46" spans="1:2" x14ac:dyDescent="0.25">
      <c r="A46" s="18">
        <v>11.8</v>
      </c>
      <c r="B46" s="18">
        <v>1.01E-2</v>
      </c>
    </row>
    <row r="47" spans="1:2" x14ac:dyDescent="0.25">
      <c r="A47" s="18">
        <v>12</v>
      </c>
      <c r="B47" s="18">
        <v>7.0899999999999999E-3</v>
      </c>
    </row>
    <row r="48" spans="1:2" x14ac:dyDescent="0.25">
      <c r="A48" s="18">
        <v>12.2</v>
      </c>
      <c r="B48" s="18">
        <v>6.9499999999999996E-3</v>
      </c>
    </row>
    <row r="49" spans="1:2" x14ac:dyDescent="0.25">
      <c r="A49" s="18">
        <v>12.4</v>
      </c>
      <c r="B49" s="18">
        <v>6.1000000000000004E-3</v>
      </c>
    </row>
    <row r="50" spans="1:2" x14ac:dyDescent="0.25">
      <c r="A50" s="18">
        <v>12.6</v>
      </c>
      <c r="B50" s="18">
        <v>5.8999999999999999E-3</v>
      </c>
    </row>
    <row r="51" spans="1:2" x14ac:dyDescent="0.25">
      <c r="A51" s="18">
        <v>12.8</v>
      </c>
      <c r="B51" s="18">
        <v>5.96E-3</v>
      </c>
    </row>
    <row r="52" spans="1:2" x14ac:dyDescent="0.25">
      <c r="A52" s="18">
        <v>13</v>
      </c>
      <c r="B52" s="18">
        <v>5.6800000000000002E-3</v>
      </c>
    </row>
    <row r="53" spans="1:2" x14ac:dyDescent="0.25">
      <c r="A53" s="18">
        <v>13.2</v>
      </c>
      <c r="B53" s="18">
        <v>5.64E-3</v>
      </c>
    </row>
    <row r="54" spans="1:2" x14ac:dyDescent="0.25">
      <c r="A54" s="18">
        <v>13.4</v>
      </c>
      <c r="B54" s="18">
        <v>5.4400000000000004E-3</v>
      </c>
    </row>
    <row r="55" spans="1:2" x14ac:dyDescent="0.25">
      <c r="A55" s="18">
        <v>13.6</v>
      </c>
      <c r="B55" s="18">
        <v>5.4000000000000003E-3</v>
      </c>
    </row>
    <row r="56" spans="1:2" x14ac:dyDescent="0.25">
      <c r="A56" s="18">
        <v>13.8</v>
      </c>
      <c r="B56" s="18">
        <v>5.2599999999999999E-3</v>
      </c>
    </row>
    <row r="57" spans="1:2" x14ac:dyDescent="0.25">
      <c r="A57" s="18">
        <v>14</v>
      </c>
      <c r="B57" s="18">
        <v>5.1999999999999998E-3</v>
      </c>
    </row>
    <row r="58" spans="1:2" x14ac:dyDescent="0.25">
      <c r="A58" s="18">
        <v>14.2</v>
      </c>
      <c r="B58" s="18">
        <v>4.9699999999999996E-3</v>
      </c>
    </row>
    <row r="59" spans="1:2" x14ac:dyDescent="0.25">
      <c r="A59" s="18">
        <v>14.4</v>
      </c>
      <c r="B59" s="18">
        <v>4.9100000000000003E-3</v>
      </c>
    </row>
    <row r="60" spans="1:2" x14ac:dyDescent="0.25">
      <c r="A60" s="18">
        <v>14.6</v>
      </c>
      <c r="B60" s="18">
        <v>4.7600000000000003E-3</v>
      </c>
    </row>
    <row r="61" spans="1:2" x14ac:dyDescent="0.25">
      <c r="A61" s="18">
        <v>14.8</v>
      </c>
      <c r="B61" s="18">
        <v>4.6100000000000004E-3</v>
      </c>
    </row>
    <row r="62" spans="1:2" x14ac:dyDescent="0.25">
      <c r="A62" s="18">
        <v>15</v>
      </c>
      <c r="B62" s="18">
        <v>4.6299999999999996E-3</v>
      </c>
    </row>
    <row r="63" spans="1:2" x14ac:dyDescent="0.25">
      <c r="A63" s="18">
        <v>15.2</v>
      </c>
      <c r="B63" s="18">
        <v>4.3899999999999998E-3</v>
      </c>
    </row>
    <row r="64" spans="1:2" x14ac:dyDescent="0.25">
      <c r="A64" s="18">
        <v>15.4</v>
      </c>
      <c r="B64" s="18">
        <v>4.2700000000000004E-3</v>
      </c>
    </row>
    <row r="65" spans="1:2" x14ac:dyDescent="0.25">
      <c r="A65" s="18">
        <v>15.6</v>
      </c>
      <c r="B65" s="18">
        <v>4.1099999999999999E-3</v>
      </c>
    </row>
    <row r="66" spans="1:2" x14ac:dyDescent="0.25">
      <c r="A66" s="18">
        <v>15.8</v>
      </c>
      <c r="B66" s="18">
        <v>4.0299999999999997E-3</v>
      </c>
    </row>
    <row r="67" spans="1:2" x14ac:dyDescent="0.25">
      <c r="A67" s="18">
        <v>16</v>
      </c>
      <c r="B67" s="18">
        <v>3.8899999999999998E-3</v>
      </c>
    </row>
    <row r="68" spans="1:2" x14ac:dyDescent="0.25">
      <c r="A68" s="18">
        <v>16.2</v>
      </c>
      <c r="B68" s="18">
        <v>3.79E-3</v>
      </c>
    </row>
    <row r="69" spans="1:2" x14ac:dyDescent="0.25">
      <c r="A69" s="18">
        <v>16.399999999999999</v>
      </c>
      <c r="B69" s="18">
        <v>3.6099999999999999E-3</v>
      </c>
    </row>
    <row r="70" spans="1:2" x14ac:dyDescent="0.25">
      <c r="A70" s="18">
        <v>16.600000000000001</v>
      </c>
      <c r="B70" s="18">
        <v>3.5799999999999998E-3</v>
      </c>
    </row>
    <row r="71" spans="1:2" x14ac:dyDescent="0.25">
      <c r="A71" s="18">
        <v>16.8</v>
      </c>
      <c r="B71" s="18">
        <v>3.3899999999999998E-3</v>
      </c>
    </row>
    <row r="72" spans="1:2" x14ac:dyDescent="0.25">
      <c r="A72" s="18">
        <v>17</v>
      </c>
      <c r="B72" s="18">
        <v>3.3700000000000002E-3</v>
      </c>
    </row>
    <row r="73" spans="1:2" x14ac:dyDescent="0.25">
      <c r="A73" s="18">
        <v>17.2</v>
      </c>
      <c r="B73" s="18">
        <v>3.2599999999999999E-3</v>
      </c>
    </row>
    <row r="74" spans="1:2" x14ac:dyDescent="0.25">
      <c r="A74" s="18">
        <v>17.399999999999999</v>
      </c>
      <c r="B74" s="18">
        <v>3.0799999999999998E-3</v>
      </c>
    </row>
    <row r="75" spans="1:2" x14ac:dyDescent="0.25">
      <c r="A75" s="18">
        <v>17.600000000000001</v>
      </c>
      <c r="B75" s="18">
        <v>3.0599999999999998E-3</v>
      </c>
    </row>
    <row r="76" spans="1:2" x14ac:dyDescent="0.25">
      <c r="A76" s="18">
        <v>17.8</v>
      </c>
      <c r="B76" s="18">
        <v>2.96E-3</v>
      </c>
    </row>
    <row r="77" spans="1:2" x14ac:dyDescent="0.25">
      <c r="A77" s="18">
        <v>18</v>
      </c>
      <c r="B77" s="18">
        <v>2.8500000000000001E-3</v>
      </c>
    </row>
    <row r="78" spans="1:2" x14ac:dyDescent="0.25">
      <c r="A78" s="18">
        <v>18.2</v>
      </c>
      <c r="B78" s="18">
        <v>2.81E-3</v>
      </c>
    </row>
    <row r="79" spans="1:2" x14ac:dyDescent="0.25">
      <c r="A79" s="18">
        <v>18.399999999999999</v>
      </c>
      <c r="B79" s="18">
        <v>2.5799999999999998E-3</v>
      </c>
    </row>
    <row r="80" spans="1:2" x14ac:dyDescent="0.25">
      <c r="A80" s="18">
        <v>18.600000000000001</v>
      </c>
      <c r="B80" s="18">
        <v>2.64E-3</v>
      </c>
    </row>
    <row r="81" spans="1:2" x14ac:dyDescent="0.25">
      <c r="A81" s="18">
        <v>18.8</v>
      </c>
      <c r="B81" s="18">
        <v>2.4399999999999999E-3</v>
      </c>
    </row>
    <row r="82" spans="1:2" x14ac:dyDescent="0.25">
      <c r="A82" s="18">
        <v>19</v>
      </c>
      <c r="B82" s="18">
        <v>2.4299999999999999E-3</v>
      </c>
    </row>
    <row r="83" spans="1:2" x14ac:dyDescent="0.25">
      <c r="A83" s="18">
        <v>19.2</v>
      </c>
      <c r="B83" s="18">
        <v>2.3700000000000001E-3</v>
      </c>
    </row>
    <row r="84" spans="1:2" x14ac:dyDescent="0.25">
      <c r="A84" s="18">
        <v>19.399999999999999</v>
      </c>
      <c r="B84" s="18">
        <v>2.2599999999999999E-3</v>
      </c>
    </row>
    <row r="85" spans="1:2" x14ac:dyDescent="0.25">
      <c r="A85" s="18">
        <v>19.600000000000001</v>
      </c>
      <c r="B85" s="18">
        <v>2.2100000000000002E-3</v>
      </c>
    </row>
    <row r="86" spans="1:2" x14ac:dyDescent="0.25">
      <c r="A86" s="18">
        <v>19.8</v>
      </c>
      <c r="B86" s="18">
        <v>2.0999999999999999E-3</v>
      </c>
    </row>
    <row r="87" spans="1:2" x14ac:dyDescent="0.25">
      <c r="A87" s="18">
        <v>20</v>
      </c>
      <c r="B87" s="18">
        <v>2.1299999999999999E-3</v>
      </c>
    </row>
    <row r="88" spans="1:2" x14ac:dyDescent="0.25">
      <c r="A88" s="18">
        <v>20.2</v>
      </c>
      <c r="B88" s="18">
        <v>1.9599999999999999E-3</v>
      </c>
    </row>
    <row r="89" spans="1:2" x14ac:dyDescent="0.25">
      <c r="A89" s="18">
        <v>20.399999999999999</v>
      </c>
      <c r="B89" s="18">
        <v>1.97E-3</v>
      </c>
    </row>
    <row r="90" spans="1:2" x14ac:dyDescent="0.25">
      <c r="A90" s="18">
        <v>20.6</v>
      </c>
      <c r="B90" s="18">
        <v>1.8500000000000001E-3</v>
      </c>
    </row>
    <row r="91" spans="1:2" x14ac:dyDescent="0.25">
      <c r="A91" s="18">
        <v>20.8</v>
      </c>
      <c r="B91" s="18">
        <v>1.8500000000000001E-3</v>
      </c>
    </row>
    <row r="92" spans="1:2" x14ac:dyDescent="0.25">
      <c r="A92" s="18">
        <v>21</v>
      </c>
      <c r="B92" s="18">
        <v>1.74E-3</v>
      </c>
    </row>
    <row r="93" spans="1:2" x14ac:dyDescent="0.25">
      <c r="A93" s="18">
        <v>21.2</v>
      </c>
      <c r="B93" s="18">
        <v>1.7099999999999999E-3</v>
      </c>
    </row>
    <row r="94" spans="1:2" x14ac:dyDescent="0.25">
      <c r="A94" s="18">
        <v>21.4</v>
      </c>
      <c r="B94" s="18">
        <v>1.65E-3</v>
      </c>
    </row>
    <row r="95" spans="1:2" x14ac:dyDescent="0.25">
      <c r="A95" s="18">
        <v>21.6</v>
      </c>
      <c r="B95" s="18">
        <v>1.6000000000000001E-3</v>
      </c>
    </row>
    <row r="96" spans="1:2" x14ac:dyDescent="0.25">
      <c r="A96" s="18">
        <v>21.8</v>
      </c>
      <c r="B96" s="18">
        <v>1.5399999999999999E-3</v>
      </c>
    </row>
    <row r="97" spans="1:2" x14ac:dyDescent="0.25">
      <c r="A97" s="18">
        <v>22</v>
      </c>
      <c r="B97" s="18">
        <v>1.5399999999999999E-3</v>
      </c>
    </row>
    <row r="98" spans="1:2" x14ac:dyDescent="0.25">
      <c r="A98" s="18">
        <v>22.2</v>
      </c>
      <c r="B98" s="18">
        <v>1.41E-3</v>
      </c>
    </row>
    <row r="99" spans="1:2" x14ac:dyDescent="0.25">
      <c r="A99" s="18">
        <v>22.4</v>
      </c>
      <c r="B99" s="18">
        <v>1.4300000000000001E-3</v>
      </c>
    </row>
    <row r="100" spans="1:2" x14ac:dyDescent="0.25">
      <c r="A100" s="18">
        <v>22.6</v>
      </c>
      <c r="B100" s="18">
        <v>1.3600000000000001E-3</v>
      </c>
    </row>
    <row r="101" spans="1:2" x14ac:dyDescent="0.25">
      <c r="A101" s="18">
        <v>22.8</v>
      </c>
      <c r="B101" s="18">
        <v>1.32E-3</v>
      </c>
    </row>
    <row r="102" spans="1:2" x14ac:dyDescent="0.25">
      <c r="A102" s="18">
        <v>23</v>
      </c>
      <c r="B102" s="18">
        <v>1.2600000000000001E-3</v>
      </c>
    </row>
    <row r="103" spans="1:2" x14ac:dyDescent="0.25">
      <c r="A103" s="18">
        <v>23.2</v>
      </c>
      <c r="B103" s="18">
        <v>1.25E-3</v>
      </c>
    </row>
    <row r="104" spans="1:2" x14ac:dyDescent="0.25">
      <c r="A104" s="18">
        <v>23.4</v>
      </c>
      <c r="B104" s="18">
        <v>1.1900000000000001E-3</v>
      </c>
    </row>
    <row r="105" spans="1:2" x14ac:dyDescent="0.25">
      <c r="A105" s="18">
        <v>23.6</v>
      </c>
      <c r="B105" s="18">
        <v>1.1800000000000001E-3</v>
      </c>
    </row>
    <row r="106" spans="1:2" x14ac:dyDescent="0.25">
      <c r="A106" s="18">
        <v>23.8</v>
      </c>
      <c r="B106" s="18">
        <v>1.08E-3</v>
      </c>
    </row>
    <row r="107" spans="1:2" x14ac:dyDescent="0.25">
      <c r="A107" s="18">
        <v>24</v>
      </c>
      <c r="B107" s="18">
        <v>1.1100000000000001E-3</v>
      </c>
    </row>
    <row r="108" spans="1:2" x14ac:dyDescent="0.25">
      <c r="A108" s="18">
        <v>24.2</v>
      </c>
      <c r="B108" s="18">
        <v>1.06E-3</v>
      </c>
    </row>
    <row r="109" spans="1:2" x14ac:dyDescent="0.25">
      <c r="A109" s="18">
        <v>24.4</v>
      </c>
      <c r="B109" s="18">
        <v>1.01E-3</v>
      </c>
    </row>
    <row r="110" spans="1:2" x14ac:dyDescent="0.25">
      <c r="A110" s="18">
        <v>24.6</v>
      </c>
      <c r="B110" s="18">
        <v>9.9099999999999991E-4</v>
      </c>
    </row>
    <row r="111" spans="1:2" x14ac:dyDescent="0.25">
      <c r="A111" s="18">
        <v>24.8</v>
      </c>
      <c r="B111" s="18">
        <v>9.4300000000000004E-4</v>
      </c>
    </row>
    <row r="112" spans="1:2" x14ac:dyDescent="0.25">
      <c r="A112" s="18">
        <v>25</v>
      </c>
      <c r="B112" s="18">
        <v>9.41E-4</v>
      </c>
    </row>
    <row r="113" spans="1:2" x14ac:dyDescent="0.25">
      <c r="A113" s="18">
        <v>25.2</v>
      </c>
      <c r="B113" s="18">
        <v>8.8699999999999998E-4</v>
      </c>
    </row>
    <row r="114" spans="1:2" x14ac:dyDescent="0.25">
      <c r="A114" s="18">
        <v>25.4</v>
      </c>
      <c r="B114" s="18">
        <v>8.7699999999999996E-4</v>
      </c>
    </row>
    <row r="115" spans="1:2" x14ac:dyDescent="0.25">
      <c r="A115" s="18">
        <v>25.6</v>
      </c>
      <c r="B115" s="18">
        <v>8.4699999999999999E-4</v>
      </c>
    </row>
    <row r="116" spans="1:2" x14ac:dyDescent="0.25">
      <c r="A116" s="18">
        <v>25.8</v>
      </c>
      <c r="B116" s="18">
        <v>8.0999999999999996E-4</v>
      </c>
    </row>
    <row r="117" spans="1:2" x14ac:dyDescent="0.25">
      <c r="A117" s="18">
        <v>26</v>
      </c>
      <c r="B117" s="18">
        <v>7.8899999999999999E-4</v>
      </c>
    </row>
    <row r="118" spans="1:2" x14ac:dyDescent="0.25">
      <c r="A118" s="18">
        <v>26.2</v>
      </c>
      <c r="B118" s="18">
        <v>7.5799999999999999E-4</v>
      </c>
    </row>
    <row r="119" spans="1:2" x14ac:dyDescent="0.25">
      <c r="A119" s="18">
        <v>26.4</v>
      </c>
      <c r="B119" s="18">
        <v>7.3899999999999997E-4</v>
      </c>
    </row>
    <row r="120" spans="1:2" x14ac:dyDescent="0.25">
      <c r="A120" s="18">
        <v>26.6</v>
      </c>
      <c r="B120" s="18">
        <v>7.2900000000000005E-4</v>
      </c>
    </row>
    <row r="121" spans="1:2" x14ac:dyDescent="0.25">
      <c r="A121" s="18">
        <v>26.8</v>
      </c>
      <c r="B121" s="18">
        <v>6.8000000000000005E-4</v>
      </c>
    </row>
    <row r="122" spans="1:2" x14ac:dyDescent="0.25">
      <c r="A122" s="18">
        <v>27</v>
      </c>
      <c r="B122" s="18">
        <v>6.78E-4</v>
      </c>
    </row>
    <row r="123" spans="1:2" x14ac:dyDescent="0.25">
      <c r="A123" s="18">
        <v>27.2</v>
      </c>
      <c r="B123" s="18">
        <v>6.4099999999999997E-4</v>
      </c>
    </row>
    <row r="124" spans="1:2" x14ac:dyDescent="0.25">
      <c r="A124" s="18">
        <v>27.4</v>
      </c>
      <c r="B124" s="18">
        <v>6.3599999999999996E-4</v>
      </c>
    </row>
    <row r="125" spans="1:2" x14ac:dyDescent="0.25">
      <c r="A125" s="18">
        <v>27.6</v>
      </c>
      <c r="B125" s="18">
        <v>6.1799999999999995E-4</v>
      </c>
    </row>
    <row r="126" spans="1:2" x14ac:dyDescent="0.25">
      <c r="A126" s="18">
        <v>27.8</v>
      </c>
      <c r="B126" s="18">
        <v>5.8500000000000002E-4</v>
      </c>
    </row>
    <row r="127" spans="1:2" x14ac:dyDescent="0.25">
      <c r="A127" s="18">
        <v>28</v>
      </c>
      <c r="B127" s="18">
        <v>5.6899999999999995E-4</v>
      </c>
    </row>
    <row r="128" spans="1:2" x14ac:dyDescent="0.25">
      <c r="A128" s="18">
        <v>28.2</v>
      </c>
      <c r="B128" s="18">
        <v>5.6700000000000001E-4</v>
      </c>
    </row>
    <row r="129" spans="1:2" x14ac:dyDescent="0.25">
      <c r="A129" s="18">
        <v>28.4</v>
      </c>
      <c r="B129" s="18">
        <v>5.3899999999999998E-4</v>
      </c>
    </row>
    <row r="130" spans="1:2" x14ac:dyDescent="0.25">
      <c r="A130" s="18">
        <v>28.6</v>
      </c>
      <c r="B130" s="18">
        <v>5.1699999999999999E-4</v>
      </c>
    </row>
    <row r="131" spans="1:2" x14ac:dyDescent="0.25">
      <c r="A131" s="18">
        <v>28.8</v>
      </c>
      <c r="B131" s="18">
        <v>5.0799999999999999E-4</v>
      </c>
    </row>
    <row r="132" spans="1:2" x14ac:dyDescent="0.25">
      <c r="A132" s="18">
        <v>29</v>
      </c>
      <c r="B132" s="18">
        <v>4.73E-4</v>
      </c>
    </row>
    <row r="133" spans="1:2" x14ac:dyDescent="0.25">
      <c r="A133" s="18">
        <v>29.2</v>
      </c>
      <c r="B133" s="18">
        <v>4.6700000000000002E-4</v>
      </c>
    </row>
    <row r="134" spans="1:2" x14ac:dyDescent="0.25">
      <c r="A134" s="18">
        <v>29.4</v>
      </c>
      <c r="B134" s="18">
        <v>4.5600000000000003E-4</v>
      </c>
    </row>
    <row r="135" spans="1:2" x14ac:dyDescent="0.25">
      <c r="A135" s="18">
        <v>29.6</v>
      </c>
      <c r="B135" s="18">
        <v>4.1899999999999999E-4</v>
      </c>
    </row>
    <row r="136" spans="1:2" x14ac:dyDescent="0.25">
      <c r="A136" s="18">
        <v>29.8</v>
      </c>
      <c r="B136" s="18">
        <v>4.3600000000000003E-4</v>
      </c>
    </row>
    <row r="137" spans="1:2" x14ac:dyDescent="0.25">
      <c r="A137" s="18">
        <v>30</v>
      </c>
      <c r="B137" s="18">
        <v>4.0299999999999998E-4</v>
      </c>
    </row>
    <row r="138" spans="1:2" x14ac:dyDescent="0.25">
      <c r="A138" s="18">
        <v>30.2</v>
      </c>
      <c r="B138" s="18">
        <v>4.0000000000000002E-4</v>
      </c>
    </row>
    <row r="139" spans="1:2" x14ac:dyDescent="0.25">
      <c r="A139" s="18">
        <v>30.4</v>
      </c>
      <c r="B139" s="18">
        <v>3.8499999999999998E-4</v>
      </c>
    </row>
    <row r="140" spans="1:2" x14ac:dyDescent="0.25">
      <c r="A140" s="18">
        <v>30.6</v>
      </c>
      <c r="B140" s="18">
        <v>3.7300000000000001E-4</v>
      </c>
    </row>
    <row r="141" spans="1:2" x14ac:dyDescent="0.25">
      <c r="A141" s="18">
        <v>30.8</v>
      </c>
      <c r="B141" s="18">
        <v>3.57E-4</v>
      </c>
    </row>
    <row r="142" spans="1:2" x14ac:dyDescent="0.25">
      <c r="A142" s="18">
        <v>31</v>
      </c>
      <c r="B142" s="18">
        <v>3.5399999999999999E-4</v>
      </c>
    </row>
    <row r="143" spans="1:2" x14ac:dyDescent="0.25">
      <c r="A143" s="18">
        <v>31.2</v>
      </c>
      <c r="B143" s="18">
        <v>3.3399999999999999E-4</v>
      </c>
    </row>
    <row r="144" spans="1:2" x14ac:dyDescent="0.25">
      <c r="A144" s="18">
        <v>31.4</v>
      </c>
      <c r="B144" s="18">
        <v>3.2200000000000002E-4</v>
      </c>
    </row>
    <row r="145" spans="1:2" x14ac:dyDescent="0.25">
      <c r="A145" s="18">
        <v>31.6</v>
      </c>
      <c r="B145" s="18">
        <v>3.0899999999999998E-4</v>
      </c>
    </row>
    <row r="146" spans="1:2" x14ac:dyDescent="0.25">
      <c r="A146" s="18">
        <v>31.8</v>
      </c>
      <c r="B146" s="18">
        <v>2.9599999999999998E-4</v>
      </c>
    </row>
    <row r="147" spans="1:2" x14ac:dyDescent="0.25">
      <c r="A147" s="18">
        <v>32</v>
      </c>
      <c r="B147" s="18">
        <v>3.0600000000000001E-4</v>
      </c>
    </row>
    <row r="148" spans="1:2" x14ac:dyDescent="0.25">
      <c r="A148" s="18">
        <v>32.200000000000003</v>
      </c>
      <c r="B148" s="18">
        <v>2.7999999999999998E-4</v>
      </c>
    </row>
    <row r="149" spans="1:2" x14ac:dyDescent="0.25">
      <c r="A149" s="18">
        <v>32.4</v>
      </c>
      <c r="B149" s="18">
        <v>2.6600000000000001E-4</v>
      </c>
    </row>
    <row r="150" spans="1:2" x14ac:dyDescent="0.25">
      <c r="A150" s="18">
        <v>32.6</v>
      </c>
      <c r="B150" s="18">
        <v>2.7399999999999999E-4</v>
      </c>
    </row>
    <row r="151" spans="1:2" x14ac:dyDescent="0.25">
      <c r="A151" s="18">
        <v>32.799999999999997</v>
      </c>
      <c r="B151" s="18">
        <v>2.63E-4</v>
      </c>
    </row>
    <row r="152" spans="1:2" x14ac:dyDescent="0.25">
      <c r="A152" s="18">
        <v>33</v>
      </c>
      <c r="B152" s="18">
        <v>2.3599999999999999E-4</v>
      </c>
    </row>
    <row r="153" spans="1:2" x14ac:dyDescent="0.25">
      <c r="A153" s="18">
        <v>33.200000000000003</v>
      </c>
      <c r="B153" s="18">
        <v>2.4800000000000001E-4</v>
      </c>
    </row>
    <row r="154" spans="1:2" x14ac:dyDescent="0.25">
      <c r="A154" s="18">
        <v>33.4</v>
      </c>
      <c r="B154" s="18">
        <v>2.2599999999999999E-4</v>
      </c>
    </row>
    <row r="155" spans="1:2" x14ac:dyDescent="0.25">
      <c r="A155" s="18">
        <v>33.6</v>
      </c>
      <c r="B155" s="18">
        <v>2.12E-4</v>
      </c>
    </row>
    <row r="156" spans="1:2" x14ac:dyDescent="0.25">
      <c r="A156" s="18">
        <v>33.799999999999997</v>
      </c>
      <c r="B156" s="18">
        <v>2.1000000000000001E-4</v>
      </c>
    </row>
    <row r="157" spans="1:2" x14ac:dyDescent="0.25">
      <c r="A157" s="18">
        <v>34</v>
      </c>
      <c r="B157" s="18">
        <v>2.02E-4</v>
      </c>
    </row>
    <row r="158" spans="1:2" x14ac:dyDescent="0.25">
      <c r="A158" s="18">
        <v>34.200000000000003</v>
      </c>
      <c r="B158" s="18">
        <v>1.9599999999999999E-4</v>
      </c>
    </row>
    <row r="159" spans="1:2" x14ac:dyDescent="0.25">
      <c r="A159" s="18">
        <v>34.4</v>
      </c>
      <c r="B159" s="18">
        <v>1.84E-4</v>
      </c>
    </row>
    <row r="160" spans="1:2" x14ac:dyDescent="0.25">
      <c r="A160" s="18">
        <v>34.6</v>
      </c>
      <c r="B160" s="18">
        <v>1.8000000000000001E-4</v>
      </c>
    </row>
    <row r="161" spans="1:2" x14ac:dyDescent="0.25">
      <c r="A161" s="18">
        <v>34.799999999999997</v>
      </c>
      <c r="B161" s="18">
        <v>1.7200000000000001E-4</v>
      </c>
    </row>
    <row r="162" spans="1:2" x14ac:dyDescent="0.25">
      <c r="A162" s="18">
        <v>35</v>
      </c>
      <c r="B162" s="18">
        <v>1.54E-4</v>
      </c>
    </row>
    <row r="163" spans="1:2" x14ac:dyDescent="0.25">
      <c r="A163" s="18">
        <v>35.200000000000003</v>
      </c>
      <c r="B163" s="18">
        <v>1.6200000000000001E-4</v>
      </c>
    </row>
    <row r="164" spans="1:2" x14ac:dyDescent="0.25">
      <c r="A164" s="18">
        <v>35.4</v>
      </c>
      <c r="B164" s="18">
        <v>1.45E-4</v>
      </c>
    </row>
    <row r="165" spans="1:2" x14ac:dyDescent="0.25">
      <c r="A165" s="18">
        <v>35.6</v>
      </c>
      <c r="B165" s="18">
        <v>1.4300000000000001E-4</v>
      </c>
    </row>
    <row r="166" spans="1:2" x14ac:dyDescent="0.25">
      <c r="A166" s="18">
        <v>35.799999999999997</v>
      </c>
      <c r="B166" s="18">
        <v>1.3200000000000001E-4</v>
      </c>
    </row>
    <row r="167" spans="1:2" x14ac:dyDescent="0.25">
      <c r="A167" s="18">
        <v>36</v>
      </c>
      <c r="B167" s="18">
        <v>1.3300000000000001E-4</v>
      </c>
    </row>
    <row r="168" spans="1:2" x14ac:dyDescent="0.25">
      <c r="A168" s="18">
        <v>36.200000000000003</v>
      </c>
      <c r="B168" s="18">
        <v>1.2E-4</v>
      </c>
    </row>
    <row r="169" spans="1:2" x14ac:dyDescent="0.25">
      <c r="A169" s="18">
        <v>36.4</v>
      </c>
      <c r="B169" s="18">
        <v>1.16E-4</v>
      </c>
    </row>
    <row r="170" spans="1:2" x14ac:dyDescent="0.25">
      <c r="A170" s="18">
        <v>36.6</v>
      </c>
      <c r="B170" s="18">
        <v>1.0900000000000001E-4</v>
      </c>
    </row>
    <row r="171" spans="1:2" x14ac:dyDescent="0.25">
      <c r="A171" s="18">
        <v>36.799999999999997</v>
      </c>
      <c r="B171" s="18">
        <v>1.0399999999999999E-4</v>
      </c>
    </row>
    <row r="172" spans="1:2" x14ac:dyDescent="0.25">
      <c r="A172" s="18">
        <v>37</v>
      </c>
      <c r="B172" s="18">
        <v>9.7600000000000001E-5</v>
      </c>
    </row>
    <row r="173" spans="1:2" x14ac:dyDescent="0.25">
      <c r="A173" s="18">
        <v>37.200000000000003</v>
      </c>
      <c r="B173" s="18">
        <v>8.4400000000000005E-5</v>
      </c>
    </row>
    <row r="174" spans="1:2" x14ac:dyDescent="0.25">
      <c r="A174" s="18">
        <v>37.4</v>
      </c>
      <c r="B174" s="18">
        <v>9.2899999999999995E-5</v>
      </c>
    </row>
    <row r="175" spans="1:2" x14ac:dyDescent="0.25">
      <c r="A175" s="18">
        <v>37.6</v>
      </c>
      <c r="B175" s="18">
        <v>7.1899999999999999E-5</v>
      </c>
    </row>
    <row r="176" spans="1:2" x14ac:dyDescent="0.25">
      <c r="A176" s="18">
        <v>37.799999999999997</v>
      </c>
      <c r="B176" s="18">
        <v>7.75E-5</v>
      </c>
    </row>
    <row r="177" spans="1:2" x14ac:dyDescent="0.25">
      <c r="A177" s="18">
        <v>38</v>
      </c>
      <c r="B177" s="18">
        <v>6.2799999999999995E-5</v>
      </c>
    </row>
    <row r="178" spans="1:2" x14ac:dyDescent="0.25">
      <c r="A178" s="18">
        <v>38.200000000000003</v>
      </c>
      <c r="B178" s="18">
        <v>6.6699999999999995E-5</v>
      </c>
    </row>
    <row r="179" spans="1:2" x14ac:dyDescent="0.25">
      <c r="A179" s="18">
        <v>38.4</v>
      </c>
      <c r="B179" s="18">
        <v>4.49E-5</v>
      </c>
    </row>
    <row r="180" spans="1:2" x14ac:dyDescent="0.25">
      <c r="A180" s="18">
        <v>38.6</v>
      </c>
      <c r="B180" s="18">
        <v>5.38E-5</v>
      </c>
    </row>
    <row r="181" spans="1:2" x14ac:dyDescent="0.25">
      <c r="A181" s="18">
        <v>38.799999999999997</v>
      </c>
      <c r="B181" s="18">
        <v>4.3699999999999998E-5</v>
      </c>
    </row>
    <row r="182" spans="1:2" x14ac:dyDescent="0.25">
      <c r="A182" s="18">
        <v>39</v>
      </c>
      <c r="B182" s="18">
        <v>4.0099999999999999E-5</v>
      </c>
    </row>
    <row r="183" spans="1:2" x14ac:dyDescent="0.25">
      <c r="A183" s="18">
        <v>39.200000000000003</v>
      </c>
      <c r="B183" s="18">
        <v>3.2100000000000001E-5</v>
      </c>
    </row>
    <row r="184" spans="1:2" x14ac:dyDescent="0.25">
      <c r="A184" s="18">
        <v>39.4</v>
      </c>
      <c r="B184" s="18">
        <v>2.5400000000000001E-5</v>
      </c>
    </row>
    <row r="185" spans="1:2" x14ac:dyDescent="0.25">
      <c r="A185" s="18">
        <v>39.6</v>
      </c>
      <c r="B185" s="18">
        <v>2.0299999999999999E-5</v>
      </c>
    </row>
    <row r="186" spans="1:2" x14ac:dyDescent="0.25">
      <c r="A186" s="18">
        <v>39.799999999999997</v>
      </c>
      <c r="B186" s="18">
        <v>1.24E-5</v>
      </c>
    </row>
    <row r="187" spans="1:2" x14ac:dyDescent="0.25">
      <c r="A187" s="18">
        <v>40</v>
      </c>
      <c r="B187" s="18">
        <v>4.7999999999999998E-6</v>
      </c>
    </row>
    <row r="188" spans="1:2" x14ac:dyDescent="0.25">
      <c r="A188" s="18">
        <v>40.200000000000003</v>
      </c>
      <c r="B188" s="18">
        <v>8.5399999999999997E-8</v>
      </c>
    </row>
    <row r="189" spans="1:2" x14ac:dyDescent="0.25">
      <c r="A189" s="18">
        <v>40.4</v>
      </c>
      <c r="B189" s="18">
        <v>9.4799999999999997E-7</v>
      </c>
    </row>
    <row r="190" spans="1:2" x14ac:dyDescent="0.25">
      <c r="A190" s="18">
        <v>40.6</v>
      </c>
      <c r="B190" s="18">
        <v>2.28E-7</v>
      </c>
    </row>
    <row r="191" spans="1:2" x14ac:dyDescent="0.25">
      <c r="A191" s="18">
        <v>40.799999999999997</v>
      </c>
      <c r="B191" s="18">
        <v>3.3000000000000002E-7</v>
      </c>
    </row>
    <row r="192" spans="1:2" x14ac:dyDescent="0.25">
      <c r="A192" s="18">
        <v>41</v>
      </c>
      <c r="B192" s="18">
        <v>8.6000000000000002E-7</v>
      </c>
    </row>
    <row r="193" spans="1:2" x14ac:dyDescent="0.25">
      <c r="A193" s="18">
        <v>41.2</v>
      </c>
      <c r="B193" s="18">
        <v>1.35E-8</v>
      </c>
    </row>
    <row r="194" spans="1:2" x14ac:dyDescent="0.25">
      <c r="A194" s="18">
        <v>41.4</v>
      </c>
      <c r="B194" s="18">
        <v>1.11E-6</v>
      </c>
    </row>
    <row r="195" spans="1:2" x14ac:dyDescent="0.25">
      <c r="A195" s="18">
        <v>41.6</v>
      </c>
      <c r="B195" s="18">
        <v>2.4299999999999999E-7</v>
      </c>
    </row>
    <row r="196" spans="1:2" x14ac:dyDescent="0.25">
      <c r="A196" s="18">
        <v>41.8</v>
      </c>
      <c r="B196" s="18">
        <v>4.0400000000000002E-7</v>
      </c>
    </row>
    <row r="197" spans="1:2" x14ac:dyDescent="0.25">
      <c r="A197" s="18">
        <v>42</v>
      </c>
      <c r="B197" s="18">
        <v>4.4299999999999998E-7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dimension ref="A1:B23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4.8</v>
      </c>
      <c r="B2" s="18">
        <v>9.0899999999999998E-4</v>
      </c>
    </row>
    <row r="3" spans="1:2" x14ac:dyDescent="0.25">
      <c r="A3" s="18">
        <v>5</v>
      </c>
      <c r="B3" s="18">
        <v>4.0499999999999998E-4</v>
      </c>
    </row>
    <row r="4" spans="1:2" x14ac:dyDescent="0.25">
      <c r="A4" s="18">
        <v>5.2</v>
      </c>
      <c r="B4" s="18">
        <v>1.33E-3</v>
      </c>
    </row>
    <row r="5" spans="1:2" x14ac:dyDescent="0.25">
      <c r="A5" s="18">
        <v>5.4</v>
      </c>
      <c r="B5" s="18">
        <v>7.2999999999999996E-4</v>
      </c>
    </row>
    <row r="6" spans="1:2" x14ac:dyDescent="0.25">
      <c r="A6" s="18">
        <v>5.6</v>
      </c>
      <c r="B6" s="18">
        <v>1.1299999999999999E-3</v>
      </c>
    </row>
    <row r="7" spans="1:2" x14ac:dyDescent="0.25">
      <c r="A7" s="18">
        <v>5.8</v>
      </c>
      <c r="B7" s="18">
        <v>1.2600000000000001E-3</v>
      </c>
    </row>
    <row r="8" spans="1:2" x14ac:dyDescent="0.25">
      <c r="A8" s="18">
        <v>6</v>
      </c>
      <c r="B8" s="18">
        <v>2.0400000000000001E-3</v>
      </c>
    </row>
    <row r="9" spans="1:2" x14ac:dyDescent="0.25">
      <c r="A9" s="18">
        <v>6.2</v>
      </c>
      <c r="B9" s="18">
        <v>2.1800000000000001E-3</v>
      </c>
    </row>
    <row r="10" spans="1:2" x14ac:dyDescent="0.25">
      <c r="A10" s="18">
        <v>6.4</v>
      </c>
      <c r="B10" s="18">
        <v>3.2299999999999998E-3</v>
      </c>
    </row>
    <row r="11" spans="1:2" x14ac:dyDescent="0.25">
      <c r="A11" s="18">
        <v>6.6</v>
      </c>
      <c r="B11" s="18">
        <v>3.5500000000000002E-3</v>
      </c>
    </row>
    <row r="12" spans="1:2" x14ac:dyDescent="0.25">
      <c r="A12" s="18">
        <v>6.8</v>
      </c>
      <c r="B12" s="18">
        <v>4.3E-3</v>
      </c>
    </row>
    <row r="13" spans="1:2" x14ac:dyDescent="0.25">
      <c r="A13" s="18">
        <v>7</v>
      </c>
      <c r="B13" s="18">
        <v>4.9699999999999996E-3</v>
      </c>
    </row>
    <row r="14" spans="1:2" x14ac:dyDescent="0.25">
      <c r="A14" s="18">
        <v>7.2</v>
      </c>
      <c r="B14" s="18">
        <v>5.8100000000000001E-3</v>
      </c>
    </row>
    <row r="15" spans="1:2" x14ac:dyDescent="0.25">
      <c r="A15" s="18">
        <v>7.4</v>
      </c>
      <c r="B15" s="18">
        <v>1.09E-2</v>
      </c>
    </row>
    <row r="16" spans="1:2" x14ac:dyDescent="0.25">
      <c r="A16" s="18">
        <v>7.6</v>
      </c>
      <c r="B16" s="18">
        <v>9.0100000000000006E-3</v>
      </c>
    </row>
    <row r="17" spans="1:2" x14ac:dyDescent="0.25">
      <c r="A17" s="18">
        <v>7.8</v>
      </c>
      <c r="B17" s="18">
        <v>7.3800000000000003E-3</v>
      </c>
    </row>
    <row r="18" spans="1:2" x14ac:dyDescent="0.25">
      <c r="A18" s="18">
        <v>8</v>
      </c>
      <c r="B18" s="18">
        <v>9.3699999999999999E-3</v>
      </c>
    </row>
    <row r="19" spans="1:2" x14ac:dyDescent="0.25">
      <c r="A19" s="18">
        <v>8.1999999999999993</v>
      </c>
      <c r="B19" s="18">
        <v>1.0200000000000001E-2</v>
      </c>
    </row>
    <row r="20" spans="1:2" x14ac:dyDescent="0.25">
      <c r="A20" s="18">
        <v>8.4</v>
      </c>
      <c r="B20" s="18">
        <v>0.17699999999999999</v>
      </c>
    </row>
    <row r="21" spans="1:2" x14ac:dyDescent="0.25">
      <c r="A21" s="18">
        <v>8.6</v>
      </c>
      <c r="B21" s="18">
        <v>8.4199999999999997E-2</v>
      </c>
    </row>
    <row r="22" spans="1:2" x14ac:dyDescent="0.25">
      <c r="A22" s="18">
        <v>8.8000000000000007</v>
      </c>
      <c r="B22" s="18">
        <v>4.2300000000000003E-3</v>
      </c>
    </row>
    <row r="23" spans="1:2" x14ac:dyDescent="0.25">
      <c r="A23" s="18">
        <v>9</v>
      </c>
      <c r="B23" s="18">
        <v>1.2999999999999999E-2</v>
      </c>
    </row>
    <row r="24" spans="1:2" x14ac:dyDescent="0.25">
      <c r="A24" s="18">
        <v>9.1999999999999993</v>
      </c>
      <c r="B24" s="18">
        <v>1.1900000000000001E-2</v>
      </c>
    </row>
    <row r="25" spans="1:2" x14ac:dyDescent="0.25">
      <c r="A25" s="18">
        <v>9.4</v>
      </c>
      <c r="B25" s="18">
        <v>7.4999999999999997E-3</v>
      </c>
    </row>
    <row r="26" spans="1:2" x14ac:dyDescent="0.25">
      <c r="A26" s="18">
        <v>9.6</v>
      </c>
      <c r="B26" s="18">
        <v>8.4099999999999994E-2</v>
      </c>
    </row>
    <row r="27" spans="1:2" x14ac:dyDescent="0.25">
      <c r="A27" s="18">
        <v>9.8000000000000007</v>
      </c>
      <c r="B27" s="18">
        <v>0.121</v>
      </c>
    </row>
    <row r="28" spans="1:2" x14ac:dyDescent="0.25">
      <c r="A28" s="18">
        <v>10</v>
      </c>
      <c r="B28" s="18">
        <v>6.6900000000000001E-2</v>
      </c>
    </row>
    <row r="29" spans="1:2" x14ac:dyDescent="0.25">
      <c r="A29" s="18">
        <v>10.199999999999999</v>
      </c>
      <c r="B29" s="18">
        <v>2.3599999999999999E-2</v>
      </c>
    </row>
    <row r="30" spans="1:2" x14ac:dyDescent="0.25">
      <c r="A30" s="18">
        <v>10.4</v>
      </c>
      <c r="B30" s="18">
        <v>6.9699999999999996E-3</v>
      </c>
    </row>
    <row r="31" spans="1:2" x14ac:dyDescent="0.25">
      <c r="A31" s="18">
        <v>10.6</v>
      </c>
      <c r="B31" s="18">
        <v>7.7200000000000003E-3</v>
      </c>
    </row>
    <row r="32" spans="1:2" x14ac:dyDescent="0.25">
      <c r="A32" s="18">
        <v>10.8</v>
      </c>
      <c r="B32" s="18">
        <v>7.7099999999999998E-3</v>
      </c>
    </row>
    <row r="33" spans="1:2" x14ac:dyDescent="0.25">
      <c r="A33" s="18">
        <v>11</v>
      </c>
      <c r="B33" s="18">
        <v>7.3899999999999999E-3</v>
      </c>
    </row>
    <row r="34" spans="1:2" x14ac:dyDescent="0.25">
      <c r="A34" s="18">
        <v>11.2</v>
      </c>
      <c r="B34" s="18">
        <v>1.4800000000000001E-2</v>
      </c>
    </row>
    <row r="35" spans="1:2" x14ac:dyDescent="0.25">
      <c r="A35" s="18">
        <v>11.4</v>
      </c>
      <c r="B35" s="18">
        <v>2.1700000000000001E-2</v>
      </c>
    </row>
    <row r="36" spans="1:2" x14ac:dyDescent="0.25">
      <c r="A36" s="18">
        <v>11.6</v>
      </c>
      <c r="B36" s="18">
        <v>1.11E-2</v>
      </c>
    </row>
    <row r="37" spans="1:2" x14ac:dyDescent="0.25">
      <c r="A37" s="18">
        <v>11.8</v>
      </c>
      <c r="B37" s="18">
        <v>9.8200000000000006E-3</v>
      </c>
    </row>
    <row r="38" spans="1:2" x14ac:dyDescent="0.25">
      <c r="A38" s="18">
        <v>12</v>
      </c>
      <c r="B38" s="18">
        <v>6.4400000000000004E-3</v>
      </c>
    </row>
    <row r="39" spans="1:2" x14ac:dyDescent="0.25">
      <c r="A39" s="18">
        <v>12.2</v>
      </c>
      <c r="B39" s="18">
        <v>6.3699999999999998E-3</v>
      </c>
    </row>
    <row r="40" spans="1:2" x14ac:dyDescent="0.25">
      <c r="A40" s="18">
        <v>12.4</v>
      </c>
      <c r="B40" s="18">
        <v>5.3099999999999996E-3</v>
      </c>
    </row>
    <row r="41" spans="1:2" x14ac:dyDescent="0.25">
      <c r="A41" s="18">
        <v>12.6</v>
      </c>
      <c r="B41" s="18">
        <v>5.4299999999999999E-3</v>
      </c>
    </row>
    <row r="42" spans="1:2" x14ac:dyDescent="0.25">
      <c r="A42" s="18">
        <v>12.8</v>
      </c>
      <c r="B42" s="18">
        <v>5.3400000000000001E-3</v>
      </c>
    </row>
    <row r="43" spans="1:2" x14ac:dyDescent="0.25">
      <c r="A43" s="18">
        <v>13</v>
      </c>
      <c r="B43" s="18">
        <v>5.3400000000000001E-3</v>
      </c>
    </row>
    <row r="44" spans="1:2" x14ac:dyDescent="0.25">
      <c r="A44" s="18">
        <v>13.2</v>
      </c>
      <c r="B44" s="18">
        <v>5.1599999999999997E-3</v>
      </c>
    </row>
    <row r="45" spans="1:2" x14ac:dyDescent="0.25">
      <c r="A45" s="18">
        <v>13.4</v>
      </c>
      <c r="B45" s="18">
        <v>5.0699999999999999E-3</v>
      </c>
    </row>
    <row r="46" spans="1:2" x14ac:dyDescent="0.25">
      <c r="A46" s="18">
        <v>13.6</v>
      </c>
      <c r="B46" s="18">
        <v>4.9800000000000001E-3</v>
      </c>
    </row>
    <row r="47" spans="1:2" x14ac:dyDescent="0.25">
      <c r="A47" s="18">
        <v>13.8</v>
      </c>
      <c r="B47" s="18">
        <v>5.0000000000000001E-3</v>
      </c>
    </row>
    <row r="48" spans="1:2" x14ac:dyDescent="0.25">
      <c r="A48" s="18">
        <v>14</v>
      </c>
      <c r="B48" s="18">
        <v>4.79E-3</v>
      </c>
    </row>
    <row r="49" spans="1:2" x14ac:dyDescent="0.25">
      <c r="A49" s="18">
        <v>14.2</v>
      </c>
      <c r="B49" s="18">
        <v>4.7999999999999996E-3</v>
      </c>
    </row>
    <row r="50" spans="1:2" x14ac:dyDescent="0.25">
      <c r="A50" s="18">
        <v>14.4</v>
      </c>
      <c r="B50" s="18">
        <v>4.6699999999999997E-3</v>
      </c>
    </row>
    <row r="51" spans="1:2" x14ac:dyDescent="0.25">
      <c r="A51" s="18">
        <v>14.6</v>
      </c>
      <c r="B51" s="18">
        <v>4.5399999999999998E-3</v>
      </c>
    </row>
    <row r="52" spans="1:2" x14ac:dyDescent="0.25">
      <c r="A52" s="18">
        <v>14.8</v>
      </c>
      <c r="B52" s="18">
        <v>4.5199999999999997E-3</v>
      </c>
    </row>
    <row r="53" spans="1:2" x14ac:dyDescent="0.25">
      <c r="A53" s="18">
        <v>15</v>
      </c>
      <c r="B53" s="18">
        <v>4.3800000000000002E-3</v>
      </c>
    </row>
    <row r="54" spans="1:2" x14ac:dyDescent="0.25">
      <c r="A54" s="18">
        <v>15.2</v>
      </c>
      <c r="B54" s="18">
        <v>4.2500000000000003E-3</v>
      </c>
    </row>
    <row r="55" spans="1:2" x14ac:dyDescent="0.25">
      <c r="A55" s="18">
        <v>15.4</v>
      </c>
      <c r="B55" s="18">
        <v>4.1700000000000001E-3</v>
      </c>
    </row>
    <row r="56" spans="1:2" x14ac:dyDescent="0.25">
      <c r="A56" s="18">
        <v>15.6</v>
      </c>
      <c r="B56" s="18">
        <v>4.0800000000000003E-3</v>
      </c>
    </row>
    <row r="57" spans="1:2" x14ac:dyDescent="0.25">
      <c r="A57" s="18">
        <v>15.8</v>
      </c>
      <c r="B57" s="18">
        <v>3.9300000000000003E-3</v>
      </c>
    </row>
    <row r="58" spans="1:2" x14ac:dyDescent="0.25">
      <c r="A58" s="18">
        <v>16</v>
      </c>
      <c r="B58" s="18">
        <v>3.8999999999999998E-3</v>
      </c>
    </row>
    <row r="59" spans="1:2" x14ac:dyDescent="0.25">
      <c r="A59" s="18">
        <v>16.2</v>
      </c>
      <c r="B59" s="18">
        <v>3.7000000000000002E-3</v>
      </c>
    </row>
    <row r="60" spans="1:2" x14ac:dyDescent="0.25">
      <c r="A60" s="18">
        <v>16.399999999999999</v>
      </c>
      <c r="B60" s="18">
        <v>3.7000000000000002E-3</v>
      </c>
    </row>
    <row r="61" spans="1:2" x14ac:dyDescent="0.25">
      <c r="A61" s="18">
        <v>16.600000000000001</v>
      </c>
      <c r="B61" s="18">
        <v>3.5999999999999999E-3</v>
      </c>
    </row>
    <row r="62" spans="1:2" x14ac:dyDescent="0.25">
      <c r="A62" s="18">
        <v>16.8</v>
      </c>
      <c r="B62" s="18">
        <v>3.5100000000000001E-3</v>
      </c>
    </row>
    <row r="63" spans="1:2" x14ac:dyDescent="0.25">
      <c r="A63" s="18">
        <v>17</v>
      </c>
      <c r="B63" s="18">
        <v>3.3999999999999998E-3</v>
      </c>
    </row>
    <row r="64" spans="1:2" x14ac:dyDescent="0.25">
      <c r="A64" s="18">
        <v>17.2</v>
      </c>
      <c r="B64" s="18">
        <v>3.29E-3</v>
      </c>
    </row>
    <row r="65" spans="1:2" x14ac:dyDescent="0.25">
      <c r="A65" s="18">
        <v>17.399999999999999</v>
      </c>
      <c r="B65" s="18">
        <v>3.2200000000000002E-3</v>
      </c>
    </row>
    <row r="66" spans="1:2" x14ac:dyDescent="0.25">
      <c r="A66" s="18">
        <v>17.600000000000001</v>
      </c>
      <c r="B66" s="18">
        <v>3.1099999999999999E-3</v>
      </c>
    </row>
    <row r="67" spans="1:2" x14ac:dyDescent="0.25">
      <c r="A67" s="18">
        <v>17.8</v>
      </c>
      <c r="B67" s="18">
        <v>3.0699999999999998E-3</v>
      </c>
    </row>
    <row r="68" spans="1:2" x14ac:dyDescent="0.25">
      <c r="A68" s="18">
        <v>18</v>
      </c>
      <c r="B68" s="18">
        <v>2.96E-3</v>
      </c>
    </row>
    <row r="69" spans="1:2" x14ac:dyDescent="0.25">
      <c r="A69" s="18">
        <v>18.2</v>
      </c>
      <c r="B69" s="18">
        <v>2.8700000000000002E-3</v>
      </c>
    </row>
    <row r="70" spans="1:2" x14ac:dyDescent="0.25">
      <c r="A70" s="18">
        <v>18.399999999999999</v>
      </c>
      <c r="B70" s="18">
        <v>2.82E-3</v>
      </c>
    </row>
    <row r="71" spans="1:2" x14ac:dyDescent="0.25">
      <c r="A71" s="18">
        <v>18.600000000000001</v>
      </c>
      <c r="B71" s="18">
        <v>2.6800000000000001E-3</v>
      </c>
    </row>
    <row r="72" spans="1:2" x14ac:dyDescent="0.25">
      <c r="A72" s="18">
        <v>18.8</v>
      </c>
      <c r="B72" s="18">
        <v>2.63E-3</v>
      </c>
    </row>
    <row r="73" spans="1:2" x14ac:dyDescent="0.25">
      <c r="A73" s="18">
        <v>19</v>
      </c>
      <c r="B73" s="18">
        <v>2.6199999999999999E-3</v>
      </c>
    </row>
    <row r="74" spans="1:2" x14ac:dyDescent="0.25">
      <c r="A74" s="18">
        <v>19.2</v>
      </c>
      <c r="B74" s="18">
        <v>2.4499999999999999E-3</v>
      </c>
    </row>
    <row r="75" spans="1:2" x14ac:dyDescent="0.25">
      <c r="A75" s="18">
        <v>19.399999999999999</v>
      </c>
      <c r="B75" s="18">
        <v>2.47E-3</v>
      </c>
    </row>
    <row r="76" spans="1:2" x14ac:dyDescent="0.25">
      <c r="A76" s="18">
        <v>19.600000000000001</v>
      </c>
      <c r="B76" s="18">
        <v>2.32E-3</v>
      </c>
    </row>
    <row r="77" spans="1:2" x14ac:dyDescent="0.25">
      <c r="A77" s="18">
        <v>19.8</v>
      </c>
      <c r="B77" s="18">
        <v>2.31E-3</v>
      </c>
    </row>
    <row r="78" spans="1:2" x14ac:dyDescent="0.25">
      <c r="A78" s="18">
        <v>20</v>
      </c>
      <c r="B78" s="18">
        <v>2.2499999999999998E-3</v>
      </c>
    </row>
    <row r="79" spans="1:2" x14ac:dyDescent="0.25">
      <c r="A79" s="18">
        <v>20.2</v>
      </c>
      <c r="B79" s="18">
        <v>2.15E-3</v>
      </c>
    </row>
    <row r="80" spans="1:2" x14ac:dyDescent="0.25">
      <c r="A80" s="18">
        <v>20.399999999999999</v>
      </c>
      <c r="B80" s="18">
        <v>2.1099999999999999E-3</v>
      </c>
    </row>
    <row r="81" spans="1:2" x14ac:dyDescent="0.25">
      <c r="A81" s="18">
        <v>20.6</v>
      </c>
      <c r="B81" s="18">
        <v>2.0500000000000002E-3</v>
      </c>
    </row>
    <row r="82" spans="1:2" x14ac:dyDescent="0.25">
      <c r="A82" s="18">
        <v>20.8</v>
      </c>
      <c r="B82" s="18">
        <v>1.97E-3</v>
      </c>
    </row>
    <row r="83" spans="1:2" x14ac:dyDescent="0.25">
      <c r="A83" s="18">
        <v>21</v>
      </c>
      <c r="B83" s="18">
        <v>1.91E-3</v>
      </c>
    </row>
    <row r="84" spans="1:2" x14ac:dyDescent="0.25">
      <c r="A84" s="18">
        <v>21.2</v>
      </c>
      <c r="B84" s="18">
        <v>1.8799999999999999E-3</v>
      </c>
    </row>
    <row r="85" spans="1:2" x14ac:dyDescent="0.25">
      <c r="A85" s="18">
        <v>21.4</v>
      </c>
      <c r="B85" s="18">
        <v>1.8400000000000001E-3</v>
      </c>
    </row>
    <row r="86" spans="1:2" x14ac:dyDescent="0.25">
      <c r="A86" s="18">
        <v>21.6</v>
      </c>
      <c r="B86" s="18">
        <v>1.7899999999999999E-3</v>
      </c>
    </row>
    <row r="87" spans="1:2" x14ac:dyDescent="0.25">
      <c r="A87" s="18">
        <v>21.8</v>
      </c>
      <c r="B87" s="18">
        <v>1.7099999999999999E-3</v>
      </c>
    </row>
    <row r="88" spans="1:2" x14ac:dyDescent="0.25">
      <c r="A88" s="18">
        <v>22</v>
      </c>
      <c r="B88" s="18">
        <v>1.6999999999999999E-3</v>
      </c>
    </row>
    <row r="89" spans="1:2" x14ac:dyDescent="0.25">
      <c r="A89" s="18">
        <v>22.2</v>
      </c>
      <c r="B89" s="18">
        <v>1.6199999999999999E-3</v>
      </c>
    </row>
    <row r="90" spans="1:2" x14ac:dyDescent="0.25">
      <c r="A90" s="18">
        <v>22.4</v>
      </c>
      <c r="B90" s="18">
        <v>1.56E-3</v>
      </c>
    </row>
    <row r="91" spans="1:2" x14ac:dyDescent="0.25">
      <c r="A91" s="18">
        <v>22.6</v>
      </c>
      <c r="B91" s="18">
        <v>1.5499999999999999E-3</v>
      </c>
    </row>
    <row r="92" spans="1:2" x14ac:dyDescent="0.25">
      <c r="A92" s="18">
        <v>22.8</v>
      </c>
      <c r="B92" s="18">
        <v>1.5E-3</v>
      </c>
    </row>
    <row r="93" spans="1:2" x14ac:dyDescent="0.25">
      <c r="A93" s="18">
        <v>23</v>
      </c>
      <c r="B93" s="18">
        <v>1.4599999999999999E-3</v>
      </c>
    </row>
    <row r="94" spans="1:2" x14ac:dyDescent="0.25">
      <c r="A94" s="18">
        <v>23.2</v>
      </c>
      <c r="B94" s="18">
        <v>1.41E-3</v>
      </c>
    </row>
    <row r="95" spans="1:2" x14ac:dyDescent="0.25">
      <c r="A95" s="18">
        <v>23.4</v>
      </c>
      <c r="B95" s="18">
        <v>1.3799999999999999E-3</v>
      </c>
    </row>
    <row r="96" spans="1:2" x14ac:dyDescent="0.25">
      <c r="A96" s="18">
        <v>23.6</v>
      </c>
      <c r="B96" s="18">
        <v>1.34E-3</v>
      </c>
    </row>
    <row r="97" spans="1:2" x14ac:dyDescent="0.25">
      <c r="A97" s="18">
        <v>23.8</v>
      </c>
      <c r="B97" s="18">
        <v>1.32E-3</v>
      </c>
    </row>
    <row r="98" spans="1:2" x14ac:dyDescent="0.25">
      <c r="A98" s="18">
        <v>24</v>
      </c>
      <c r="B98" s="18">
        <v>1.25E-3</v>
      </c>
    </row>
    <row r="99" spans="1:2" x14ac:dyDescent="0.25">
      <c r="A99" s="18">
        <v>24.2</v>
      </c>
      <c r="B99" s="18">
        <v>1.24E-3</v>
      </c>
    </row>
    <row r="100" spans="1:2" x14ac:dyDescent="0.25">
      <c r="A100" s="18">
        <v>24.4</v>
      </c>
      <c r="B100" s="18">
        <v>1.1900000000000001E-3</v>
      </c>
    </row>
    <row r="101" spans="1:2" x14ac:dyDescent="0.25">
      <c r="A101" s="18">
        <v>24.6</v>
      </c>
      <c r="B101" s="18">
        <v>1.17E-3</v>
      </c>
    </row>
    <row r="102" spans="1:2" x14ac:dyDescent="0.25">
      <c r="A102" s="18">
        <v>24.8</v>
      </c>
      <c r="B102" s="18">
        <v>1.1299999999999999E-3</v>
      </c>
    </row>
    <row r="103" spans="1:2" x14ac:dyDescent="0.25">
      <c r="A103" s="18">
        <v>25</v>
      </c>
      <c r="B103" s="18">
        <v>1.1100000000000001E-3</v>
      </c>
    </row>
    <row r="104" spans="1:2" x14ac:dyDescent="0.25">
      <c r="A104" s="18">
        <v>25.2</v>
      </c>
      <c r="B104" s="18">
        <v>1.06E-3</v>
      </c>
    </row>
    <row r="105" spans="1:2" x14ac:dyDescent="0.25">
      <c r="A105" s="18">
        <v>25.4</v>
      </c>
      <c r="B105" s="18">
        <v>1.0499999999999999E-3</v>
      </c>
    </row>
    <row r="106" spans="1:2" x14ac:dyDescent="0.25">
      <c r="A106" s="18">
        <v>25.6</v>
      </c>
      <c r="B106" s="18">
        <v>1.0300000000000001E-3</v>
      </c>
    </row>
    <row r="107" spans="1:2" x14ac:dyDescent="0.25">
      <c r="A107" s="18">
        <v>25.8</v>
      </c>
      <c r="B107" s="18">
        <v>9.7400000000000004E-4</v>
      </c>
    </row>
    <row r="108" spans="1:2" x14ac:dyDescent="0.25">
      <c r="A108" s="18">
        <v>26</v>
      </c>
      <c r="B108" s="18">
        <v>9.6599999999999995E-4</v>
      </c>
    </row>
    <row r="109" spans="1:2" x14ac:dyDescent="0.25">
      <c r="A109" s="18">
        <v>26.2</v>
      </c>
      <c r="B109" s="18">
        <v>9.4399999999999996E-4</v>
      </c>
    </row>
    <row r="110" spans="1:2" x14ac:dyDescent="0.25">
      <c r="A110" s="18">
        <v>26.4</v>
      </c>
      <c r="B110" s="18">
        <v>9.0600000000000001E-4</v>
      </c>
    </row>
    <row r="111" spans="1:2" x14ac:dyDescent="0.25">
      <c r="A111" s="18">
        <v>26.6</v>
      </c>
      <c r="B111" s="18">
        <v>8.8400000000000002E-4</v>
      </c>
    </row>
    <row r="112" spans="1:2" x14ac:dyDescent="0.25">
      <c r="A112" s="18">
        <v>26.8</v>
      </c>
      <c r="B112" s="18">
        <v>8.5999999999999998E-4</v>
      </c>
    </row>
    <row r="113" spans="1:2" x14ac:dyDescent="0.25">
      <c r="A113" s="18">
        <v>27</v>
      </c>
      <c r="B113" s="18">
        <v>8.3799999999999999E-4</v>
      </c>
    </row>
    <row r="114" spans="1:2" x14ac:dyDescent="0.25">
      <c r="A114" s="18">
        <v>27.2</v>
      </c>
      <c r="B114" s="18">
        <v>8.1099999999999998E-4</v>
      </c>
    </row>
    <row r="115" spans="1:2" x14ac:dyDescent="0.25">
      <c r="A115" s="18">
        <v>27.4</v>
      </c>
      <c r="B115" s="18">
        <v>8.1599999999999999E-4</v>
      </c>
    </row>
    <row r="116" spans="1:2" x14ac:dyDescent="0.25">
      <c r="A116" s="18">
        <v>27.6</v>
      </c>
      <c r="B116" s="18">
        <v>7.6199999999999998E-4</v>
      </c>
    </row>
    <row r="117" spans="1:2" x14ac:dyDescent="0.25">
      <c r="A117" s="18">
        <v>27.8</v>
      </c>
      <c r="B117" s="18">
        <v>7.6300000000000001E-4</v>
      </c>
    </row>
    <row r="118" spans="1:2" x14ac:dyDescent="0.25">
      <c r="A118" s="18">
        <v>28</v>
      </c>
      <c r="B118" s="18">
        <v>7.3999999999999999E-4</v>
      </c>
    </row>
    <row r="119" spans="1:2" x14ac:dyDescent="0.25">
      <c r="A119" s="18">
        <v>28.2</v>
      </c>
      <c r="B119" s="18">
        <v>7.1000000000000002E-4</v>
      </c>
    </row>
    <row r="120" spans="1:2" x14ac:dyDescent="0.25">
      <c r="A120" s="18">
        <v>28.4</v>
      </c>
      <c r="B120" s="18">
        <v>7.0699999999999995E-4</v>
      </c>
    </row>
    <row r="121" spans="1:2" x14ac:dyDescent="0.25">
      <c r="A121" s="18">
        <v>28.6</v>
      </c>
      <c r="B121" s="18">
        <v>6.69E-4</v>
      </c>
    </row>
    <row r="122" spans="1:2" x14ac:dyDescent="0.25">
      <c r="A122" s="18">
        <v>28.8</v>
      </c>
      <c r="B122" s="18">
        <v>6.6E-4</v>
      </c>
    </row>
    <row r="123" spans="1:2" x14ac:dyDescent="0.25">
      <c r="A123" s="18">
        <v>29</v>
      </c>
      <c r="B123" s="18">
        <v>6.4000000000000005E-4</v>
      </c>
    </row>
    <row r="124" spans="1:2" x14ac:dyDescent="0.25">
      <c r="A124" s="18">
        <v>29.2</v>
      </c>
      <c r="B124" s="18">
        <v>6.2699999999999995E-4</v>
      </c>
    </row>
    <row r="125" spans="1:2" x14ac:dyDescent="0.25">
      <c r="A125" s="18">
        <v>29.4</v>
      </c>
      <c r="B125" s="18">
        <v>6.1799999999999995E-4</v>
      </c>
    </row>
    <row r="126" spans="1:2" x14ac:dyDescent="0.25">
      <c r="A126" s="18">
        <v>29.6</v>
      </c>
      <c r="B126" s="18">
        <v>5.8200000000000005E-4</v>
      </c>
    </row>
    <row r="127" spans="1:2" x14ac:dyDescent="0.25">
      <c r="A127" s="18">
        <v>29.8</v>
      </c>
      <c r="B127" s="18">
        <v>5.8699999999999996E-4</v>
      </c>
    </row>
    <row r="128" spans="1:2" x14ac:dyDescent="0.25">
      <c r="A128" s="18">
        <v>30</v>
      </c>
      <c r="B128" s="18">
        <v>5.53E-4</v>
      </c>
    </row>
    <row r="129" spans="1:2" x14ac:dyDescent="0.25">
      <c r="A129" s="18">
        <v>30.2</v>
      </c>
      <c r="B129" s="18">
        <v>5.5500000000000005E-4</v>
      </c>
    </row>
    <row r="130" spans="1:2" x14ac:dyDescent="0.25">
      <c r="A130" s="18">
        <v>30.4</v>
      </c>
      <c r="B130" s="18">
        <v>5.1599999999999997E-4</v>
      </c>
    </row>
    <row r="131" spans="1:2" x14ac:dyDescent="0.25">
      <c r="A131" s="18">
        <v>30.6</v>
      </c>
      <c r="B131" s="18">
        <v>5.4100000000000003E-4</v>
      </c>
    </row>
    <row r="132" spans="1:2" x14ac:dyDescent="0.25">
      <c r="A132" s="18">
        <v>30.8</v>
      </c>
      <c r="B132" s="18">
        <v>4.8999999999999998E-4</v>
      </c>
    </row>
    <row r="133" spans="1:2" x14ac:dyDescent="0.25">
      <c r="A133" s="18">
        <v>31</v>
      </c>
      <c r="B133" s="18">
        <v>5.13E-4</v>
      </c>
    </row>
    <row r="134" spans="1:2" x14ac:dyDescent="0.25">
      <c r="A134" s="18">
        <v>31.2</v>
      </c>
      <c r="B134" s="18">
        <v>4.7699999999999999E-4</v>
      </c>
    </row>
    <row r="135" spans="1:2" x14ac:dyDescent="0.25">
      <c r="A135" s="18">
        <v>31.4</v>
      </c>
      <c r="B135" s="18">
        <v>4.6900000000000002E-4</v>
      </c>
    </row>
    <row r="136" spans="1:2" x14ac:dyDescent="0.25">
      <c r="A136" s="18">
        <v>31.6</v>
      </c>
      <c r="B136" s="18">
        <v>4.6200000000000001E-4</v>
      </c>
    </row>
    <row r="137" spans="1:2" x14ac:dyDescent="0.25">
      <c r="A137" s="18">
        <v>31.8</v>
      </c>
      <c r="B137" s="18">
        <v>4.44E-4</v>
      </c>
    </row>
    <row r="138" spans="1:2" x14ac:dyDescent="0.25">
      <c r="A138" s="18">
        <v>32</v>
      </c>
      <c r="B138" s="18">
        <v>4.4099999999999999E-4</v>
      </c>
    </row>
    <row r="139" spans="1:2" x14ac:dyDescent="0.25">
      <c r="A139" s="18">
        <v>32.200000000000003</v>
      </c>
      <c r="B139" s="18">
        <v>4.2099999999999999E-4</v>
      </c>
    </row>
    <row r="140" spans="1:2" x14ac:dyDescent="0.25">
      <c r="A140" s="18">
        <v>32.4</v>
      </c>
      <c r="B140" s="18">
        <v>4.2099999999999999E-4</v>
      </c>
    </row>
    <row r="141" spans="1:2" x14ac:dyDescent="0.25">
      <c r="A141" s="18">
        <v>32.6</v>
      </c>
      <c r="B141" s="18">
        <v>4.0400000000000001E-4</v>
      </c>
    </row>
    <row r="142" spans="1:2" x14ac:dyDescent="0.25">
      <c r="A142" s="18">
        <v>32.799999999999997</v>
      </c>
      <c r="B142" s="18">
        <v>3.9300000000000001E-4</v>
      </c>
    </row>
    <row r="143" spans="1:2" x14ac:dyDescent="0.25">
      <c r="A143" s="18">
        <v>33</v>
      </c>
      <c r="B143" s="18">
        <v>3.8400000000000001E-4</v>
      </c>
    </row>
    <row r="144" spans="1:2" x14ac:dyDescent="0.25">
      <c r="A144" s="18">
        <v>33.200000000000003</v>
      </c>
      <c r="B144" s="18">
        <v>3.7399999999999998E-4</v>
      </c>
    </row>
    <row r="145" spans="1:2" x14ac:dyDescent="0.25">
      <c r="A145" s="18">
        <v>33.4</v>
      </c>
      <c r="B145" s="18">
        <v>3.7100000000000002E-4</v>
      </c>
    </row>
    <row r="146" spans="1:2" x14ac:dyDescent="0.25">
      <c r="A146" s="18">
        <v>33.6</v>
      </c>
      <c r="B146" s="18">
        <v>3.5500000000000001E-4</v>
      </c>
    </row>
    <row r="147" spans="1:2" x14ac:dyDescent="0.25">
      <c r="A147" s="18">
        <v>33.799999999999997</v>
      </c>
      <c r="B147" s="18">
        <v>3.5E-4</v>
      </c>
    </row>
    <row r="148" spans="1:2" x14ac:dyDescent="0.25">
      <c r="A148" s="18">
        <v>34</v>
      </c>
      <c r="B148" s="18">
        <v>3.4400000000000001E-4</v>
      </c>
    </row>
    <row r="149" spans="1:2" x14ac:dyDescent="0.25">
      <c r="A149" s="18">
        <v>34.200000000000003</v>
      </c>
      <c r="B149" s="18">
        <v>3.2699999999999998E-4</v>
      </c>
    </row>
    <row r="150" spans="1:2" x14ac:dyDescent="0.25">
      <c r="A150" s="18">
        <v>34.4</v>
      </c>
      <c r="B150" s="18">
        <v>3.28E-4</v>
      </c>
    </row>
    <row r="151" spans="1:2" x14ac:dyDescent="0.25">
      <c r="A151" s="18">
        <v>34.6</v>
      </c>
      <c r="B151" s="18">
        <v>3.1500000000000001E-4</v>
      </c>
    </row>
    <row r="152" spans="1:2" x14ac:dyDescent="0.25">
      <c r="A152" s="18">
        <v>34.799999999999997</v>
      </c>
      <c r="B152" s="18">
        <v>3.0200000000000002E-4</v>
      </c>
    </row>
    <row r="153" spans="1:2" x14ac:dyDescent="0.25">
      <c r="A153" s="18">
        <v>35</v>
      </c>
      <c r="B153" s="18">
        <v>3.0499999999999999E-4</v>
      </c>
    </row>
    <row r="154" spans="1:2" x14ac:dyDescent="0.25">
      <c r="A154" s="18">
        <v>35.200000000000003</v>
      </c>
      <c r="B154" s="18">
        <v>2.9300000000000002E-4</v>
      </c>
    </row>
    <row r="155" spans="1:2" x14ac:dyDescent="0.25">
      <c r="A155" s="18">
        <v>35.4</v>
      </c>
      <c r="B155" s="18">
        <v>2.81E-4</v>
      </c>
    </row>
    <row r="156" spans="1:2" x14ac:dyDescent="0.25">
      <c r="A156" s="18">
        <v>35.6</v>
      </c>
      <c r="B156" s="18">
        <v>2.7300000000000002E-4</v>
      </c>
    </row>
    <row r="157" spans="1:2" x14ac:dyDescent="0.25">
      <c r="A157" s="18">
        <v>35.799999999999997</v>
      </c>
      <c r="B157" s="18">
        <v>2.7500000000000002E-4</v>
      </c>
    </row>
    <row r="158" spans="1:2" x14ac:dyDescent="0.25">
      <c r="A158" s="18">
        <v>36</v>
      </c>
      <c r="B158" s="18">
        <v>2.5900000000000001E-4</v>
      </c>
    </row>
    <row r="159" spans="1:2" x14ac:dyDescent="0.25">
      <c r="A159" s="18">
        <v>36.200000000000003</v>
      </c>
      <c r="B159" s="18">
        <v>2.5999999999999998E-4</v>
      </c>
    </row>
    <row r="160" spans="1:2" x14ac:dyDescent="0.25">
      <c r="A160" s="18">
        <v>36.4</v>
      </c>
      <c r="B160" s="18">
        <v>2.5000000000000001E-4</v>
      </c>
    </row>
    <row r="161" spans="1:2" x14ac:dyDescent="0.25">
      <c r="A161" s="18">
        <v>36.6</v>
      </c>
      <c r="B161" s="18">
        <v>2.41E-4</v>
      </c>
    </row>
    <row r="162" spans="1:2" x14ac:dyDescent="0.25">
      <c r="A162" s="18">
        <v>36.799999999999997</v>
      </c>
      <c r="B162" s="18">
        <v>2.3900000000000001E-4</v>
      </c>
    </row>
    <row r="163" spans="1:2" x14ac:dyDescent="0.25">
      <c r="A163" s="18">
        <v>37</v>
      </c>
      <c r="B163" s="18">
        <v>2.3499999999999999E-4</v>
      </c>
    </row>
    <row r="164" spans="1:2" x14ac:dyDescent="0.25">
      <c r="A164" s="18">
        <v>37.200000000000003</v>
      </c>
      <c r="B164" s="18">
        <v>2.2499999999999999E-4</v>
      </c>
    </row>
    <row r="165" spans="1:2" x14ac:dyDescent="0.25">
      <c r="A165" s="18">
        <v>37.4</v>
      </c>
      <c r="B165" s="18">
        <v>2.14E-4</v>
      </c>
    </row>
    <row r="166" spans="1:2" x14ac:dyDescent="0.25">
      <c r="A166" s="18">
        <v>37.6</v>
      </c>
      <c r="B166" s="18">
        <v>2.1900000000000001E-4</v>
      </c>
    </row>
    <row r="167" spans="1:2" x14ac:dyDescent="0.25">
      <c r="A167" s="18">
        <v>37.799999999999997</v>
      </c>
      <c r="B167" s="18">
        <v>2.0599999999999999E-4</v>
      </c>
    </row>
    <row r="168" spans="1:2" x14ac:dyDescent="0.25">
      <c r="A168" s="18">
        <v>38</v>
      </c>
      <c r="B168" s="18">
        <v>2.02E-4</v>
      </c>
    </row>
    <row r="169" spans="1:2" x14ac:dyDescent="0.25">
      <c r="A169" s="18">
        <v>38.200000000000003</v>
      </c>
      <c r="B169" s="18">
        <v>1.9599999999999999E-4</v>
      </c>
    </row>
    <row r="170" spans="1:2" x14ac:dyDescent="0.25">
      <c r="A170" s="18">
        <v>38.4</v>
      </c>
      <c r="B170" s="18">
        <v>1.93E-4</v>
      </c>
    </row>
    <row r="171" spans="1:2" x14ac:dyDescent="0.25">
      <c r="A171" s="18">
        <v>38.6</v>
      </c>
      <c r="B171" s="18">
        <v>1.8799999999999999E-4</v>
      </c>
    </row>
    <row r="172" spans="1:2" x14ac:dyDescent="0.25">
      <c r="A172" s="18">
        <v>38.799999999999997</v>
      </c>
      <c r="B172" s="18">
        <v>1.8000000000000001E-4</v>
      </c>
    </row>
    <row r="173" spans="1:2" x14ac:dyDescent="0.25">
      <c r="A173" s="18">
        <v>39</v>
      </c>
      <c r="B173" s="18">
        <v>1.75E-4</v>
      </c>
    </row>
    <row r="174" spans="1:2" x14ac:dyDescent="0.25">
      <c r="A174" s="18">
        <v>39.200000000000003</v>
      </c>
      <c r="B174" s="18">
        <v>1.6799999999999999E-4</v>
      </c>
    </row>
    <row r="175" spans="1:2" x14ac:dyDescent="0.25">
      <c r="A175" s="18">
        <v>39.4</v>
      </c>
      <c r="B175" s="18">
        <v>1.8100000000000001E-4</v>
      </c>
    </row>
    <row r="176" spans="1:2" x14ac:dyDescent="0.25">
      <c r="A176" s="18">
        <v>39.6</v>
      </c>
      <c r="B176" s="18">
        <v>1.5300000000000001E-4</v>
      </c>
    </row>
    <row r="177" spans="1:2" x14ac:dyDescent="0.25">
      <c r="A177" s="18">
        <v>39.799999999999997</v>
      </c>
      <c r="B177" s="18">
        <v>1.6699999999999999E-4</v>
      </c>
    </row>
    <row r="178" spans="1:2" x14ac:dyDescent="0.25">
      <c r="A178" s="18">
        <v>40</v>
      </c>
      <c r="B178" s="18">
        <v>1.5100000000000001E-4</v>
      </c>
    </row>
    <row r="179" spans="1:2" x14ac:dyDescent="0.25">
      <c r="A179" s="18">
        <v>40.200000000000003</v>
      </c>
      <c r="B179" s="18">
        <v>1.55E-4</v>
      </c>
    </row>
    <row r="180" spans="1:2" x14ac:dyDescent="0.25">
      <c r="A180" s="18">
        <v>40.4</v>
      </c>
      <c r="B180" s="18">
        <v>1.4200000000000001E-4</v>
      </c>
    </row>
    <row r="181" spans="1:2" x14ac:dyDescent="0.25">
      <c r="A181" s="18">
        <v>40.6</v>
      </c>
      <c r="B181" s="18">
        <v>1.47E-4</v>
      </c>
    </row>
    <row r="182" spans="1:2" x14ac:dyDescent="0.25">
      <c r="A182" s="18">
        <v>40.799999999999997</v>
      </c>
      <c r="B182" s="18">
        <v>1.34E-4</v>
      </c>
    </row>
    <row r="183" spans="1:2" x14ac:dyDescent="0.25">
      <c r="A183" s="18">
        <v>41</v>
      </c>
      <c r="B183" s="18">
        <v>1.3899999999999999E-4</v>
      </c>
    </row>
    <row r="184" spans="1:2" x14ac:dyDescent="0.25">
      <c r="A184" s="18">
        <v>41.2</v>
      </c>
      <c r="B184" s="18">
        <v>1.34E-4</v>
      </c>
    </row>
    <row r="185" spans="1:2" x14ac:dyDescent="0.25">
      <c r="A185" s="18">
        <v>41.4</v>
      </c>
      <c r="B185" s="18">
        <v>1.2300000000000001E-4</v>
      </c>
    </row>
    <row r="186" spans="1:2" x14ac:dyDescent="0.25">
      <c r="A186" s="18">
        <v>41.6</v>
      </c>
      <c r="B186" s="18">
        <v>1.21E-4</v>
      </c>
    </row>
    <row r="187" spans="1:2" x14ac:dyDescent="0.25">
      <c r="A187" s="18">
        <v>41.8</v>
      </c>
      <c r="B187" s="18">
        <v>1.2400000000000001E-4</v>
      </c>
    </row>
    <row r="188" spans="1:2" x14ac:dyDescent="0.25">
      <c r="A188" s="18">
        <v>42</v>
      </c>
      <c r="B188" s="18">
        <v>1.12E-4</v>
      </c>
    </row>
    <row r="189" spans="1:2" x14ac:dyDescent="0.25">
      <c r="A189" s="18">
        <v>42.2</v>
      </c>
      <c r="B189" s="18">
        <v>1.17E-4</v>
      </c>
    </row>
    <row r="190" spans="1:2" x14ac:dyDescent="0.25">
      <c r="A190" s="18">
        <v>42.4</v>
      </c>
      <c r="B190" s="18">
        <v>1.11E-4</v>
      </c>
    </row>
    <row r="191" spans="1:2" x14ac:dyDescent="0.25">
      <c r="A191" s="18">
        <v>42.6</v>
      </c>
      <c r="B191" s="18">
        <v>1.07E-4</v>
      </c>
    </row>
    <row r="192" spans="1:2" x14ac:dyDescent="0.25">
      <c r="A192" s="18">
        <v>42.8</v>
      </c>
      <c r="B192" s="18">
        <v>1.0399999999999999E-4</v>
      </c>
    </row>
    <row r="193" spans="1:2" x14ac:dyDescent="0.25">
      <c r="A193" s="18">
        <v>43</v>
      </c>
      <c r="B193" s="18">
        <v>9.9500000000000006E-5</v>
      </c>
    </row>
    <row r="194" spans="1:2" x14ac:dyDescent="0.25">
      <c r="A194" s="18">
        <v>43.2</v>
      </c>
      <c r="B194" s="18">
        <v>9.6899999999999997E-5</v>
      </c>
    </row>
    <row r="195" spans="1:2" x14ac:dyDescent="0.25">
      <c r="A195" s="18">
        <v>43.4</v>
      </c>
      <c r="B195" s="18">
        <v>9.3700000000000001E-5</v>
      </c>
    </row>
    <row r="196" spans="1:2" x14ac:dyDescent="0.25">
      <c r="A196" s="18">
        <v>43.6</v>
      </c>
      <c r="B196" s="18">
        <v>9.1799999999999995E-5</v>
      </c>
    </row>
    <row r="197" spans="1:2" x14ac:dyDescent="0.25">
      <c r="A197" s="18">
        <v>43.8</v>
      </c>
      <c r="B197" s="18">
        <v>9.09E-5</v>
      </c>
    </row>
    <row r="198" spans="1:2" x14ac:dyDescent="0.25">
      <c r="A198" s="18">
        <v>44</v>
      </c>
      <c r="B198" s="18">
        <v>8.5400000000000002E-5</v>
      </c>
    </row>
    <row r="199" spans="1:2" x14ac:dyDescent="0.25">
      <c r="A199" s="18">
        <v>44.2</v>
      </c>
      <c r="B199" s="18">
        <v>8.3599999999999999E-5</v>
      </c>
    </row>
    <row r="200" spans="1:2" x14ac:dyDescent="0.25">
      <c r="A200" s="18">
        <v>44.4</v>
      </c>
      <c r="B200" s="18">
        <v>7.6600000000000005E-5</v>
      </c>
    </row>
    <row r="201" spans="1:2" x14ac:dyDescent="0.25">
      <c r="A201" s="18">
        <v>44.6</v>
      </c>
      <c r="B201" s="18">
        <v>8.0199999999999998E-5</v>
      </c>
    </row>
    <row r="202" spans="1:2" x14ac:dyDescent="0.25">
      <c r="A202" s="18">
        <v>44.8</v>
      </c>
      <c r="B202" s="18">
        <v>6.7000000000000002E-5</v>
      </c>
    </row>
    <row r="203" spans="1:2" x14ac:dyDescent="0.25">
      <c r="A203" s="18">
        <v>45</v>
      </c>
      <c r="B203" s="18">
        <v>7.2100000000000004E-5</v>
      </c>
    </row>
    <row r="204" spans="1:2" x14ac:dyDescent="0.25">
      <c r="A204" s="18">
        <v>45.2</v>
      </c>
      <c r="B204" s="18">
        <v>6.6500000000000004E-5</v>
      </c>
    </row>
    <row r="205" spans="1:2" x14ac:dyDescent="0.25">
      <c r="A205" s="18">
        <v>45.4</v>
      </c>
      <c r="B205" s="18">
        <v>6.5199999999999999E-5</v>
      </c>
    </row>
    <row r="206" spans="1:2" x14ac:dyDescent="0.25">
      <c r="A206" s="18">
        <v>45.6</v>
      </c>
      <c r="B206" s="18">
        <v>6.0900000000000003E-5</v>
      </c>
    </row>
    <row r="207" spans="1:2" x14ac:dyDescent="0.25">
      <c r="A207" s="18">
        <v>45.8</v>
      </c>
      <c r="B207" s="18">
        <v>6.0900000000000003E-5</v>
      </c>
    </row>
    <row r="208" spans="1:2" x14ac:dyDescent="0.25">
      <c r="A208" s="18">
        <v>46</v>
      </c>
      <c r="B208" s="18">
        <v>5.4299999999999998E-5</v>
      </c>
    </row>
    <row r="209" spans="1:2" x14ac:dyDescent="0.25">
      <c r="A209" s="18">
        <v>46.2</v>
      </c>
      <c r="B209" s="18">
        <v>5.8499999999999999E-5</v>
      </c>
    </row>
    <row r="210" spans="1:2" x14ac:dyDescent="0.25">
      <c r="A210" s="18">
        <v>46.4</v>
      </c>
      <c r="B210" s="18">
        <v>4.6100000000000002E-5</v>
      </c>
    </row>
    <row r="211" spans="1:2" x14ac:dyDescent="0.25">
      <c r="A211" s="18">
        <v>46.6</v>
      </c>
      <c r="B211" s="18">
        <v>5.5300000000000002E-5</v>
      </c>
    </row>
    <row r="212" spans="1:2" x14ac:dyDescent="0.25">
      <c r="A212" s="18">
        <v>46.8</v>
      </c>
      <c r="B212" s="18">
        <v>4.3600000000000003E-5</v>
      </c>
    </row>
    <row r="213" spans="1:2" x14ac:dyDescent="0.25">
      <c r="A213" s="18">
        <v>47</v>
      </c>
      <c r="B213" s="18">
        <v>4.5500000000000001E-5</v>
      </c>
    </row>
    <row r="214" spans="1:2" x14ac:dyDescent="0.25">
      <c r="A214" s="18">
        <v>47.2</v>
      </c>
      <c r="B214" s="18">
        <v>4.2400000000000001E-5</v>
      </c>
    </row>
    <row r="215" spans="1:2" x14ac:dyDescent="0.25">
      <c r="A215" s="18">
        <v>47.4</v>
      </c>
      <c r="B215" s="18">
        <v>3.65E-5</v>
      </c>
    </row>
    <row r="216" spans="1:2" x14ac:dyDescent="0.25">
      <c r="A216" s="18">
        <v>47.6</v>
      </c>
      <c r="B216" s="18">
        <v>3.65E-5</v>
      </c>
    </row>
    <row r="217" spans="1:2" x14ac:dyDescent="0.25">
      <c r="A217" s="18">
        <v>47.8</v>
      </c>
      <c r="B217" s="18">
        <v>3.3599999999999997E-5</v>
      </c>
    </row>
    <row r="218" spans="1:2" x14ac:dyDescent="0.25">
      <c r="A218" s="18">
        <v>48</v>
      </c>
      <c r="B218" s="18">
        <v>3.1000000000000001E-5</v>
      </c>
    </row>
    <row r="219" spans="1:2" x14ac:dyDescent="0.25">
      <c r="A219" s="18">
        <v>48.2</v>
      </c>
      <c r="B219" s="18">
        <v>2.6800000000000001E-5</v>
      </c>
    </row>
    <row r="220" spans="1:2" x14ac:dyDescent="0.25">
      <c r="A220" s="18">
        <v>48.4</v>
      </c>
      <c r="B220" s="18">
        <v>2.65E-5</v>
      </c>
    </row>
    <row r="221" spans="1:2" x14ac:dyDescent="0.25">
      <c r="A221" s="18">
        <v>48.6</v>
      </c>
      <c r="B221" s="18">
        <v>2.1299999999999999E-5</v>
      </c>
    </row>
    <row r="222" spans="1:2" x14ac:dyDescent="0.25">
      <c r="A222" s="18">
        <v>48.8</v>
      </c>
      <c r="B222" s="18">
        <v>2.3300000000000001E-5</v>
      </c>
    </row>
    <row r="223" spans="1:2" x14ac:dyDescent="0.25">
      <c r="A223" s="18">
        <v>49</v>
      </c>
      <c r="B223" s="18">
        <v>1.6200000000000001E-5</v>
      </c>
    </row>
    <row r="224" spans="1:2" x14ac:dyDescent="0.25">
      <c r="A224" s="18">
        <v>49.2</v>
      </c>
      <c r="B224" s="18">
        <v>1.52E-5</v>
      </c>
    </row>
    <row r="225" spans="1:2" x14ac:dyDescent="0.25">
      <c r="A225" s="18">
        <v>49.4</v>
      </c>
      <c r="B225" s="18">
        <v>1.22E-5</v>
      </c>
    </row>
    <row r="226" spans="1:2" x14ac:dyDescent="0.25">
      <c r="A226" s="18">
        <v>49.6</v>
      </c>
      <c r="B226" s="18">
        <v>8.5699999999999993E-6</v>
      </c>
    </row>
    <row r="227" spans="1:2" x14ac:dyDescent="0.25">
      <c r="A227" s="18">
        <v>49.8</v>
      </c>
      <c r="B227" s="18">
        <v>6.8299999999999998E-6</v>
      </c>
    </row>
    <row r="228" spans="1:2" x14ac:dyDescent="0.25">
      <c r="A228" s="18">
        <v>50</v>
      </c>
      <c r="B228" s="18">
        <v>1.95E-6</v>
      </c>
    </row>
    <row r="229" spans="1:2" x14ac:dyDescent="0.25">
      <c r="A229" s="18">
        <v>50.2</v>
      </c>
      <c r="B229" s="18">
        <v>4.9399999999999995E-7</v>
      </c>
    </row>
    <row r="230" spans="1:2" x14ac:dyDescent="0.25">
      <c r="A230" s="18">
        <v>50.4</v>
      </c>
      <c r="B230" s="18">
        <v>4.6600000000000002E-7</v>
      </c>
    </row>
    <row r="231" spans="1:2" x14ac:dyDescent="0.25">
      <c r="A231" s="18">
        <v>50.6</v>
      </c>
      <c r="B231" s="18">
        <v>8.9199999999999999E-7</v>
      </c>
    </row>
    <row r="232" spans="1:2" x14ac:dyDescent="0.25">
      <c r="A232" s="18">
        <v>50.8</v>
      </c>
      <c r="B232" s="18">
        <v>2.72E-7</v>
      </c>
    </row>
    <row r="233" spans="1:2" x14ac:dyDescent="0.25">
      <c r="A233" s="18">
        <v>51</v>
      </c>
      <c r="B233" s="18">
        <v>7.7700000000000004E-7</v>
      </c>
    </row>
    <row r="234" spans="1:2" x14ac:dyDescent="0.25">
      <c r="A234" s="18">
        <v>51.2</v>
      </c>
      <c r="B234" s="18">
        <v>5.3399999999999999E-7</v>
      </c>
    </row>
    <row r="235" spans="1:2" x14ac:dyDescent="0.25">
      <c r="A235" s="18">
        <v>51.4</v>
      </c>
      <c r="B235" s="18">
        <v>2.28E-7</v>
      </c>
    </row>
    <row r="236" spans="1:2" x14ac:dyDescent="0.25">
      <c r="A236" s="18">
        <v>51.6</v>
      </c>
      <c r="B236" s="18">
        <v>9.879999999999999E-7</v>
      </c>
    </row>
    <row r="237" spans="1:2" x14ac:dyDescent="0.25">
      <c r="A237" s="18">
        <v>51.8</v>
      </c>
      <c r="B237" s="18">
        <v>7.7699999999999994E-9</v>
      </c>
    </row>
    <row r="238" spans="1:2" x14ac:dyDescent="0.25">
      <c r="A238" s="18">
        <v>52</v>
      </c>
      <c r="B238" s="18">
        <v>7.1800000000000005E-7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dimension ref="A1:B272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1.2300000000000001E-4</v>
      </c>
    </row>
    <row r="3" spans="1:2" x14ac:dyDescent="0.25">
      <c r="A3" s="18">
        <v>3.2</v>
      </c>
      <c r="B3" s="18">
        <v>1.8100000000000001E-4</v>
      </c>
    </row>
    <row r="4" spans="1:2" x14ac:dyDescent="0.25">
      <c r="A4" s="18">
        <v>3.4</v>
      </c>
      <c r="B4" s="18">
        <v>1.0399999999999999E-4</v>
      </c>
    </row>
    <row r="5" spans="1:2" x14ac:dyDescent="0.25">
      <c r="A5" s="18">
        <v>3.6</v>
      </c>
      <c r="B5" s="18">
        <v>3.0800000000000001E-4</v>
      </c>
    </row>
    <row r="6" spans="1:2" x14ac:dyDescent="0.25">
      <c r="A6" s="18">
        <v>3.8</v>
      </c>
      <c r="B6" s="18">
        <v>1.2E-4</v>
      </c>
    </row>
    <row r="7" spans="1:2" x14ac:dyDescent="0.25">
      <c r="A7" s="18">
        <v>4</v>
      </c>
      <c r="B7" s="18">
        <v>3.8299999999999999E-4</v>
      </c>
    </row>
    <row r="8" spans="1:2" x14ac:dyDescent="0.25">
      <c r="A8" s="18">
        <v>4.2</v>
      </c>
      <c r="B8" s="18">
        <v>2.3499999999999999E-4</v>
      </c>
    </row>
    <row r="9" spans="1:2" x14ac:dyDescent="0.25">
      <c r="A9" s="18">
        <v>4.4000000000000004</v>
      </c>
      <c r="B9" s="18">
        <v>2.9599999999999998E-4</v>
      </c>
    </row>
    <row r="10" spans="1:2" x14ac:dyDescent="0.25">
      <c r="A10" s="18">
        <v>4.5999999999999996</v>
      </c>
      <c r="B10" s="18">
        <v>2.81E-4</v>
      </c>
    </row>
    <row r="11" spans="1:2" x14ac:dyDescent="0.25">
      <c r="A11" s="18">
        <v>4.8</v>
      </c>
      <c r="B11" s="18">
        <v>2.8699999999999998E-4</v>
      </c>
    </row>
    <row r="12" spans="1:2" x14ac:dyDescent="0.25">
      <c r="A12" s="18">
        <v>5</v>
      </c>
      <c r="B12" s="18">
        <v>4.6900000000000002E-4</v>
      </c>
    </row>
    <row r="13" spans="1:2" x14ac:dyDescent="0.25">
      <c r="A13" s="18">
        <v>5.2</v>
      </c>
      <c r="B13" s="18">
        <v>5.0100000000000003E-4</v>
      </c>
    </row>
    <row r="14" spans="1:2" x14ac:dyDescent="0.25">
      <c r="A14" s="18">
        <v>5.4</v>
      </c>
      <c r="B14" s="18">
        <v>7.5199999999999996E-4</v>
      </c>
    </row>
    <row r="15" spans="1:2" x14ac:dyDescent="0.25">
      <c r="A15" s="18">
        <v>5.6</v>
      </c>
      <c r="B15" s="18">
        <v>6.9999999999999999E-4</v>
      </c>
    </row>
    <row r="16" spans="1:2" x14ac:dyDescent="0.25">
      <c r="A16" s="18">
        <v>5.8</v>
      </c>
      <c r="B16" s="18">
        <v>1.4599999999999999E-3</v>
      </c>
    </row>
    <row r="17" spans="1:2" x14ac:dyDescent="0.25">
      <c r="A17" s="18">
        <v>6</v>
      </c>
      <c r="B17" s="18">
        <v>1.75E-3</v>
      </c>
    </row>
    <row r="18" spans="1:2" x14ac:dyDescent="0.25">
      <c r="A18" s="18">
        <v>6.2</v>
      </c>
      <c r="B18" s="18">
        <v>2.0999999999999999E-3</v>
      </c>
    </row>
    <row r="19" spans="1:2" x14ac:dyDescent="0.25">
      <c r="A19" s="18">
        <v>6.4</v>
      </c>
      <c r="B19" s="18">
        <v>3.0599999999999998E-3</v>
      </c>
    </row>
    <row r="20" spans="1:2" x14ac:dyDescent="0.25">
      <c r="A20" s="18">
        <v>6.6</v>
      </c>
      <c r="B20" s="18">
        <v>3.5000000000000001E-3</v>
      </c>
    </row>
    <row r="21" spans="1:2" x14ac:dyDescent="0.25">
      <c r="A21" s="18">
        <v>6.8</v>
      </c>
      <c r="B21" s="18">
        <v>4.1900000000000001E-3</v>
      </c>
    </row>
    <row r="22" spans="1:2" x14ac:dyDescent="0.25">
      <c r="A22" s="18">
        <v>7</v>
      </c>
      <c r="B22" s="18">
        <v>4.79E-3</v>
      </c>
    </row>
    <row r="23" spans="1:2" x14ac:dyDescent="0.25">
      <c r="A23" s="18">
        <v>7.2</v>
      </c>
      <c r="B23" s="18">
        <v>5.9100000000000003E-3</v>
      </c>
    </row>
    <row r="24" spans="1:2" x14ac:dyDescent="0.25">
      <c r="A24" s="18">
        <v>7.4</v>
      </c>
      <c r="B24" s="18">
        <v>1.11E-2</v>
      </c>
    </row>
    <row r="25" spans="1:2" x14ac:dyDescent="0.25">
      <c r="A25" s="18">
        <v>7.6</v>
      </c>
      <c r="B25" s="18">
        <v>8.2500000000000004E-3</v>
      </c>
    </row>
    <row r="26" spans="1:2" x14ac:dyDescent="0.25">
      <c r="A26" s="18">
        <v>7.8</v>
      </c>
      <c r="B26" s="18">
        <v>7.8399999999999997E-3</v>
      </c>
    </row>
    <row r="27" spans="1:2" x14ac:dyDescent="0.25">
      <c r="A27" s="18">
        <v>8</v>
      </c>
      <c r="B27" s="18">
        <v>7.5399999999999998E-3</v>
      </c>
    </row>
    <row r="28" spans="1:2" x14ac:dyDescent="0.25">
      <c r="A28" s="18">
        <v>8.1999999999999993</v>
      </c>
      <c r="B28" s="18">
        <v>1.95E-2</v>
      </c>
    </row>
    <row r="29" spans="1:2" x14ac:dyDescent="0.25">
      <c r="A29" s="18">
        <v>8.4</v>
      </c>
      <c r="B29" s="18">
        <v>0.191</v>
      </c>
    </row>
    <row r="30" spans="1:2" x14ac:dyDescent="0.25">
      <c r="A30" s="18">
        <v>8.6</v>
      </c>
      <c r="B30" s="18">
        <v>6.5000000000000002E-2</v>
      </c>
    </row>
    <row r="31" spans="1:2" x14ac:dyDescent="0.25">
      <c r="A31" s="18">
        <v>8.8000000000000007</v>
      </c>
      <c r="B31" s="18">
        <v>5.5799999999999999E-3</v>
      </c>
    </row>
    <row r="32" spans="1:2" x14ac:dyDescent="0.25">
      <c r="A32" s="18">
        <v>9</v>
      </c>
      <c r="B32" s="18">
        <v>1.21E-2</v>
      </c>
    </row>
    <row r="33" spans="1:2" x14ac:dyDescent="0.25">
      <c r="A33" s="18">
        <v>9.1999999999999993</v>
      </c>
      <c r="B33" s="18">
        <v>1.1900000000000001E-2</v>
      </c>
    </row>
    <row r="34" spans="1:2" x14ac:dyDescent="0.25">
      <c r="A34" s="18">
        <v>9.4</v>
      </c>
      <c r="B34" s="18">
        <v>8.5900000000000004E-3</v>
      </c>
    </row>
    <row r="35" spans="1:2" x14ac:dyDescent="0.25">
      <c r="A35" s="18">
        <v>9.6</v>
      </c>
      <c r="B35" s="18">
        <v>9.7699999999999995E-2</v>
      </c>
    </row>
    <row r="36" spans="1:2" x14ac:dyDescent="0.25">
      <c r="A36" s="18">
        <v>9.8000000000000007</v>
      </c>
      <c r="B36" s="18">
        <v>0.11799999999999999</v>
      </c>
    </row>
    <row r="37" spans="1:2" x14ac:dyDescent="0.25">
      <c r="A37" s="18">
        <v>10</v>
      </c>
      <c r="B37" s="18">
        <v>6.4500000000000002E-2</v>
      </c>
    </row>
    <row r="38" spans="1:2" x14ac:dyDescent="0.25">
      <c r="A38" s="18">
        <v>10.199999999999999</v>
      </c>
      <c r="B38" s="18">
        <v>1.9699999999999999E-2</v>
      </c>
    </row>
    <row r="39" spans="1:2" x14ac:dyDescent="0.25">
      <c r="A39" s="18">
        <v>10.4</v>
      </c>
      <c r="B39" s="18">
        <v>6.6E-3</v>
      </c>
    </row>
    <row r="40" spans="1:2" x14ac:dyDescent="0.25">
      <c r="A40" s="18">
        <v>10.6</v>
      </c>
      <c r="B40" s="18">
        <v>7.0800000000000004E-3</v>
      </c>
    </row>
    <row r="41" spans="1:2" x14ac:dyDescent="0.25">
      <c r="A41" s="18">
        <v>10.8</v>
      </c>
      <c r="B41" s="18">
        <v>7.43E-3</v>
      </c>
    </row>
    <row r="42" spans="1:2" x14ac:dyDescent="0.25">
      <c r="A42" s="18">
        <v>11</v>
      </c>
      <c r="B42" s="18">
        <v>6.7600000000000004E-3</v>
      </c>
    </row>
    <row r="43" spans="1:2" x14ac:dyDescent="0.25">
      <c r="A43" s="18">
        <v>11.2</v>
      </c>
      <c r="B43" s="18">
        <v>1.5800000000000002E-2</v>
      </c>
    </row>
    <row r="44" spans="1:2" x14ac:dyDescent="0.25">
      <c r="A44" s="18">
        <v>11.4</v>
      </c>
      <c r="B44" s="18">
        <v>0.02</v>
      </c>
    </row>
    <row r="45" spans="1:2" x14ac:dyDescent="0.25">
      <c r="A45" s="18">
        <v>11.6</v>
      </c>
      <c r="B45" s="18">
        <v>1.06E-2</v>
      </c>
    </row>
    <row r="46" spans="1:2" x14ac:dyDescent="0.25">
      <c r="A46" s="18">
        <v>11.8</v>
      </c>
      <c r="B46" s="18">
        <v>8.7799999999999996E-3</v>
      </c>
    </row>
    <row r="47" spans="1:2" x14ac:dyDescent="0.25">
      <c r="A47" s="18">
        <v>12</v>
      </c>
      <c r="B47" s="18">
        <v>6.3E-3</v>
      </c>
    </row>
    <row r="48" spans="1:2" x14ac:dyDescent="0.25">
      <c r="A48" s="18">
        <v>12.2</v>
      </c>
      <c r="B48" s="18">
        <v>5.5900000000000004E-3</v>
      </c>
    </row>
    <row r="49" spans="1:2" x14ac:dyDescent="0.25">
      <c r="A49" s="18">
        <v>12.4</v>
      </c>
      <c r="B49" s="18">
        <v>5.11E-3</v>
      </c>
    </row>
    <row r="50" spans="1:2" x14ac:dyDescent="0.25">
      <c r="A50" s="18">
        <v>12.6</v>
      </c>
      <c r="B50" s="18">
        <v>5.0200000000000002E-3</v>
      </c>
    </row>
    <row r="51" spans="1:2" x14ac:dyDescent="0.25">
      <c r="A51" s="18">
        <v>12.8</v>
      </c>
      <c r="B51" s="18">
        <v>5.0600000000000003E-3</v>
      </c>
    </row>
    <row r="52" spans="1:2" x14ac:dyDescent="0.25">
      <c r="A52" s="18">
        <v>13</v>
      </c>
      <c r="B52" s="18">
        <v>4.8700000000000002E-3</v>
      </c>
    </row>
    <row r="53" spans="1:2" x14ac:dyDescent="0.25">
      <c r="A53" s="18">
        <v>13.2</v>
      </c>
      <c r="B53" s="18">
        <v>4.79E-3</v>
      </c>
    </row>
    <row r="54" spans="1:2" x14ac:dyDescent="0.25">
      <c r="A54" s="18">
        <v>13.4</v>
      </c>
      <c r="B54" s="18">
        <v>4.8500000000000001E-3</v>
      </c>
    </row>
    <row r="55" spans="1:2" x14ac:dyDescent="0.25">
      <c r="A55" s="18">
        <v>13.6</v>
      </c>
      <c r="B55" s="18">
        <v>4.62E-3</v>
      </c>
    </row>
    <row r="56" spans="1:2" x14ac:dyDescent="0.25">
      <c r="A56" s="18">
        <v>13.8</v>
      </c>
      <c r="B56" s="18">
        <v>4.7200000000000002E-3</v>
      </c>
    </row>
    <row r="57" spans="1:2" x14ac:dyDescent="0.25">
      <c r="A57" s="18">
        <v>14</v>
      </c>
      <c r="B57" s="18">
        <v>4.4799999999999996E-3</v>
      </c>
    </row>
    <row r="58" spans="1:2" x14ac:dyDescent="0.25">
      <c r="A58" s="18">
        <v>14.2</v>
      </c>
      <c r="B58" s="18">
        <v>4.5399999999999998E-3</v>
      </c>
    </row>
    <row r="59" spans="1:2" x14ac:dyDescent="0.25">
      <c r="A59" s="18">
        <v>14.4</v>
      </c>
      <c r="B59" s="18">
        <v>4.45E-3</v>
      </c>
    </row>
    <row r="60" spans="1:2" x14ac:dyDescent="0.25">
      <c r="A60" s="18">
        <v>14.6</v>
      </c>
      <c r="B60" s="18">
        <v>4.2500000000000003E-3</v>
      </c>
    </row>
    <row r="61" spans="1:2" x14ac:dyDescent="0.25">
      <c r="A61" s="18">
        <v>14.8</v>
      </c>
      <c r="B61" s="18">
        <v>4.3400000000000001E-3</v>
      </c>
    </row>
    <row r="62" spans="1:2" x14ac:dyDescent="0.25">
      <c r="A62" s="18">
        <v>15</v>
      </c>
      <c r="B62" s="18">
        <v>4.0699999999999998E-3</v>
      </c>
    </row>
    <row r="63" spans="1:2" x14ac:dyDescent="0.25">
      <c r="A63" s="18">
        <v>15.2</v>
      </c>
      <c r="B63" s="18">
        <v>4.1799999999999997E-3</v>
      </c>
    </row>
    <row r="64" spans="1:2" x14ac:dyDescent="0.25">
      <c r="A64" s="18">
        <v>15.4</v>
      </c>
      <c r="B64" s="18">
        <v>3.9100000000000003E-3</v>
      </c>
    </row>
    <row r="65" spans="1:2" x14ac:dyDescent="0.25">
      <c r="A65" s="18">
        <v>15.6</v>
      </c>
      <c r="B65" s="18">
        <v>4.0200000000000001E-3</v>
      </c>
    </row>
    <row r="66" spans="1:2" x14ac:dyDescent="0.25">
      <c r="A66" s="18">
        <v>15.8</v>
      </c>
      <c r="B66" s="18">
        <v>3.65E-3</v>
      </c>
    </row>
    <row r="67" spans="1:2" x14ac:dyDescent="0.25">
      <c r="A67" s="18">
        <v>16</v>
      </c>
      <c r="B67" s="18">
        <v>3.7699999999999999E-3</v>
      </c>
    </row>
    <row r="68" spans="1:2" x14ac:dyDescent="0.25">
      <c r="A68" s="18">
        <v>16.2</v>
      </c>
      <c r="B68" s="18">
        <v>3.63E-3</v>
      </c>
    </row>
    <row r="69" spans="1:2" x14ac:dyDescent="0.25">
      <c r="A69" s="18">
        <v>16.399999999999999</v>
      </c>
      <c r="B69" s="18">
        <v>3.5000000000000001E-3</v>
      </c>
    </row>
    <row r="70" spans="1:2" x14ac:dyDescent="0.25">
      <c r="A70" s="18">
        <v>16.600000000000001</v>
      </c>
      <c r="B70" s="18">
        <v>3.48E-3</v>
      </c>
    </row>
    <row r="71" spans="1:2" x14ac:dyDescent="0.25">
      <c r="A71" s="18">
        <v>16.8</v>
      </c>
      <c r="B71" s="18">
        <v>3.4399999999999999E-3</v>
      </c>
    </row>
    <row r="72" spans="1:2" x14ac:dyDescent="0.25">
      <c r="A72" s="18">
        <v>17</v>
      </c>
      <c r="B72" s="18">
        <v>3.2799999999999999E-3</v>
      </c>
    </row>
    <row r="73" spans="1:2" x14ac:dyDescent="0.25">
      <c r="A73" s="18">
        <v>17.2</v>
      </c>
      <c r="B73" s="18">
        <v>3.1099999999999999E-3</v>
      </c>
    </row>
    <row r="74" spans="1:2" x14ac:dyDescent="0.25">
      <c r="A74" s="18">
        <v>17.399999999999999</v>
      </c>
      <c r="B74" s="18">
        <v>3.1800000000000001E-3</v>
      </c>
    </row>
    <row r="75" spans="1:2" x14ac:dyDescent="0.25">
      <c r="A75" s="18">
        <v>17.600000000000001</v>
      </c>
      <c r="B75" s="18">
        <v>3.0400000000000002E-3</v>
      </c>
    </row>
    <row r="76" spans="1:2" x14ac:dyDescent="0.25">
      <c r="A76" s="18">
        <v>17.8</v>
      </c>
      <c r="B76" s="18">
        <v>2.96E-3</v>
      </c>
    </row>
    <row r="77" spans="1:2" x14ac:dyDescent="0.25">
      <c r="A77" s="18">
        <v>18</v>
      </c>
      <c r="B77" s="18">
        <v>2.81E-3</v>
      </c>
    </row>
    <row r="78" spans="1:2" x14ac:dyDescent="0.25">
      <c r="A78" s="18">
        <v>18.2</v>
      </c>
      <c r="B78" s="18">
        <v>2.9099999999999998E-3</v>
      </c>
    </row>
    <row r="79" spans="1:2" x14ac:dyDescent="0.25">
      <c r="A79" s="18">
        <v>18.399999999999999</v>
      </c>
      <c r="B79" s="18">
        <v>2.65E-3</v>
      </c>
    </row>
    <row r="80" spans="1:2" x14ac:dyDescent="0.25">
      <c r="A80" s="18">
        <v>18.600000000000001</v>
      </c>
      <c r="B80" s="18">
        <v>2.6900000000000001E-3</v>
      </c>
    </row>
    <row r="81" spans="1:2" x14ac:dyDescent="0.25">
      <c r="A81" s="18">
        <v>18.8</v>
      </c>
      <c r="B81" s="18">
        <v>2.5799999999999998E-3</v>
      </c>
    </row>
    <row r="82" spans="1:2" x14ac:dyDescent="0.25">
      <c r="A82" s="18">
        <v>19</v>
      </c>
      <c r="B82" s="18">
        <v>2.5799999999999998E-3</v>
      </c>
    </row>
    <row r="83" spans="1:2" x14ac:dyDescent="0.25">
      <c r="A83" s="18">
        <v>19.2</v>
      </c>
      <c r="B83" s="18">
        <v>2.3999999999999998E-3</v>
      </c>
    </row>
    <row r="84" spans="1:2" x14ac:dyDescent="0.25">
      <c r="A84" s="18">
        <v>19.399999999999999</v>
      </c>
      <c r="B84" s="18">
        <v>2.3900000000000002E-3</v>
      </c>
    </row>
    <row r="85" spans="1:2" x14ac:dyDescent="0.25">
      <c r="A85" s="18">
        <v>19.600000000000001</v>
      </c>
      <c r="B85" s="18">
        <v>2.2899999999999999E-3</v>
      </c>
    </row>
    <row r="86" spans="1:2" x14ac:dyDescent="0.25">
      <c r="A86" s="18">
        <v>19.8</v>
      </c>
      <c r="B86" s="18">
        <v>2.31E-3</v>
      </c>
    </row>
    <row r="87" spans="1:2" x14ac:dyDescent="0.25">
      <c r="A87" s="18">
        <v>20</v>
      </c>
      <c r="B87" s="18">
        <v>2.1700000000000001E-3</v>
      </c>
    </row>
    <row r="88" spans="1:2" x14ac:dyDescent="0.25">
      <c r="A88" s="18">
        <v>20.2</v>
      </c>
      <c r="B88" s="18">
        <v>2.16E-3</v>
      </c>
    </row>
    <row r="89" spans="1:2" x14ac:dyDescent="0.25">
      <c r="A89" s="18">
        <v>20.399999999999999</v>
      </c>
      <c r="B89" s="18">
        <v>2.0799999999999998E-3</v>
      </c>
    </row>
    <row r="90" spans="1:2" x14ac:dyDescent="0.25">
      <c r="A90" s="18">
        <v>20.6</v>
      </c>
      <c r="B90" s="18">
        <v>2.0400000000000001E-3</v>
      </c>
    </row>
    <row r="91" spans="1:2" x14ac:dyDescent="0.25">
      <c r="A91" s="18">
        <v>20.8</v>
      </c>
      <c r="B91" s="18">
        <v>1.9400000000000001E-3</v>
      </c>
    </row>
    <row r="92" spans="1:2" x14ac:dyDescent="0.25">
      <c r="A92" s="18">
        <v>21</v>
      </c>
      <c r="B92" s="18">
        <v>1.98E-3</v>
      </c>
    </row>
    <row r="93" spans="1:2" x14ac:dyDescent="0.25">
      <c r="A93" s="18">
        <v>21.2</v>
      </c>
      <c r="B93" s="18">
        <v>1.81E-3</v>
      </c>
    </row>
    <row r="94" spans="1:2" x14ac:dyDescent="0.25">
      <c r="A94" s="18">
        <v>21.4</v>
      </c>
      <c r="B94" s="18">
        <v>1.8699999999999999E-3</v>
      </c>
    </row>
    <row r="95" spans="1:2" x14ac:dyDescent="0.25">
      <c r="A95" s="18">
        <v>21.6</v>
      </c>
      <c r="B95" s="18">
        <v>1.8E-3</v>
      </c>
    </row>
    <row r="96" spans="1:2" x14ac:dyDescent="0.25">
      <c r="A96" s="18">
        <v>21.8</v>
      </c>
      <c r="B96" s="18">
        <v>1.7099999999999999E-3</v>
      </c>
    </row>
    <row r="97" spans="1:2" x14ac:dyDescent="0.25">
      <c r="A97" s="18">
        <v>22</v>
      </c>
      <c r="B97" s="18">
        <v>1.6999999999999999E-3</v>
      </c>
    </row>
    <row r="98" spans="1:2" x14ac:dyDescent="0.25">
      <c r="A98" s="18">
        <v>22.2</v>
      </c>
      <c r="B98" s="18">
        <v>1.64E-3</v>
      </c>
    </row>
    <row r="99" spans="1:2" x14ac:dyDescent="0.25">
      <c r="A99" s="18">
        <v>22.4</v>
      </c>
      <c r="B99" s="18">
        <v>1.57E-3</v>
      </c>
    </row>
    <row r="100" spans="1:2" x14ac:dyDescent="0.25">
      <c r="A100" s="18">
        <v>22.6</v>
      </c>
      <c r="B100" s="18">
        <v>1.5900000000000001E-3</v>
      </c>
    </row>
    <row r="101" spans="1:2" x14ac:dyDescent="0.25">
      <c r="A101" s="18">
        <v>22.8</v>
      </c>
      <c r="B101" s="18">
        <v>1.49E-3</v>
      </c>
    </row>
    <row r="102" spans="1:2" x14ac:dyDescent="0.25">
      <c r="A102" s="18">
        <v>23</v>
      </c>
      <c r="B102" s="18">
        <v>1.49E-3</v>
      </c>
    </row>
    <row r="103" spans="1:2" x14ac:dyDescent="0.25">
      <c r="A103" s="18">
        <v>23.2</v>
      </c>
      <c r="B103" s="18">
        <v>1.42E-3</v>
      </c>
    </row>
    <row r="104" spans="1:2" x14ac:dyDescent="0.25">
      <c r="A104" s="18">
        <v>23.4</v>
      </c>
      <c r="B104" s="18">
        <v>1.42E-3</v>
      </c>
    </row>
    <row r="105" spans="1:2" x14ac:dyDescent="0.25">
      <c r="A105" s="18">
        <v>23.6</v>
      </c>
      <c r="B105" s="18">
        <v>1.3600000000000001E-3</v>
      </c>
    </row>
    <row r="106" spans="1:2" x14ac:dyDescent="0.25">
      <c r="A106" s="18">
        <v>23.8</v>
      </c>
      <c r="B106" s="18">
        <v>1.32E-3</v>
      </c>
    </row>
    <row r="107" spans="1:2" x14ac:dyDescent="0.25">
      <c r="A107" s="18">
        <v>24</v>
      </c>
      <c r="B107" s="18">
        <v>1.31E-3</v>
      </c>
    </row>
    <row r="108" spans="1:2" x14ac:dyDescent="0.25">
      <c r="A108" s="18">
        <v>24.2</v>
      </c>
      <c r="B108" s="18">
        <v>1.2600000000000001E-3</v>
      </c>
    </row>
    <row r="109" spans="1:2" x14ac:dyDescent="0.25">
      <c r="A109" s="18">
        <v>24.4</v>
      </c>
      <c r="B109" s="18">
        <v>1.23E-3</v>
      </c>
    </row>
    <row r="110" spans="1:2" x14ac:dyDescent="0.25">
      <c r="A110" s="18">
        <v>24.6</v>
      </c>
      <c r="B110" s="18">
        <v>1.1800000000000001E-3</v>
      </c>
    </row>
    <row r="111" spans="1:2" x14ac:dyDescent="0.25">
      <c r="A111" s="18">
        <v>24.8</v>
      </c>
      <c r="B111" s="18">
        <v>1.15E-3</v>
      </c>
    </row>
    <row r="112" spans="1:2" x14ac:dyDescent="0.25">
      <c r="A112" s="18">
        <v>25</v>
      </c>
      <c r="B112" s="18">
        <v>1.15E-3</v>
      </c>
    </row>
    <row r="113" spans="1:2" x14ac:dyDescent="0.25">
      <c r="A113" s="18">
        <v>25.2</v>
      </c>
      <c r="B113" s="18">
        <v>1.08E-3</v>
      </c>
    </row>
    <row r="114" spans="1:2" x14ac:dyDescent="0.25">
      <c r="A114" s="18">
        <v>25.4</v>
      </c>
      <c r="B114" s="18">
        <v>1.08E-3</v>
      </c>
    </row>
    <row r="115" spans="1:2" x14ac:dyDescent="0.25">
      <c r="A115" s="18">
        <v>25.6</v>
      </c>
      <c r="B115" s="18">
        <v>1.0200000000000001E-3</v>
      </c>
    </row>
    <row r="116" spans="1:2" x14ac:dyDescent="0.25">
      <c r="A116" s="18">
        <v>25.8</v>
      </c>
      <c r="B116" s="18">
        <v>1.0300000000000001E-3</v>
      </c>
    </row>
    <row r="117" spans="1:2" x14ac:dyDescent="0.25">
      <c r="A117" s="18">
        <v>26</v>
      </c>
      <c r="B117" s="18">
        <v>9.9099999999999991E-4</v>
      </c>
    </row>
    <row r="118" spans="1:2" x14ac:dyDescent="0.25">
      <c r="A118" s="18">
        <v>26.2</v>
      </c>
      <c r="B118" s="18">
        <v>9.8900000000000008E-4</v>
      </c>
    </row>
    <row r="119" spans="1:2" x14ac:dyDescent="0.25">
      <c r="A119" s="18">
        <v>26.4</v>
      </c>
      <c r="B119" s="18">
        <v>9.3300000000000002E-4</v>
      </c>
    </row>
    <row r="120" spans="1:2" x14ac:dyDescent="0.25">
      <c r="A120" s="18">
        <v>26.6</v>
      </c>
      <c r="B120" s="18">
        <v>9.4200000000000002E-4</v>
      </c>
    </row>
    <row r="121" spans="1:2" x14ac:dyDescent="0.25">
      <c r="A121" s="18">
        <v>26.8</v>
      </c>
      <c r="B121" s="18">
        <v>8.9599999999999999E-4</v>
      </c>
    </row>
    <row r="122" spans="1:2" x14ac:dyDescent="0.25">
      <c r="A122" s="18">
        <v>27</v>
      </c>
      <c r="B122" s="18">
        <v>8.5800000000000004E-4</v>
      </c>
    </row>
    <row r="123" spans="1:2" x14ac:dyDescent="0.25">
      <c r="A123" s="18">
        <v>27.2</v>
      </c>
      <c r="B123" s="18">
        <v>8.43E-4</v>
      </c>
    </row>
    <row r="124" spans="1:2" x14ac:dyDescent="0.25">
      <c r="A124" s="18">
        <v>27.4</v>
      </c>
      <c r="B124" s="18">
        <v>8.1999999999999998E-4</v>
      </c>
    </row>
    <row r="125" spans="1:2" x14ac:dyDescent="0.25">
      <c r="A125" s="18">
        <v>27.6</v>
      </c>
      <c r="B125" s="18">
        <v>8.0400000000000003E-4</v>
      </c>
    </row>
    <row r="126" spans="1:2" x14ac:dyDescent="0.25">
      <c r="A126" s="18">
        <v>27.8</v>
      </c>
      <c r="B126" s="18">
        <v>7.7999999999999999E-4</v>
      </c>
    </row>
    <row r="127" spans="1:2" x14ac:dyDescent="0.25">
      <c r="A127" s="18">
        <v>28</v>
      </c>
      <c r="B127" s="18">
        <v>7.5600000000000005E-4</v>
      </c>
    </row>
    <row r="128" spans="1:2" x14ac:dyDescent="0.25">
      <c r="A128" s="18">
        <v>28.2</v>
      </c>
      <c r="B128" s="18">
        <v>7.4100000000000001E-4</v>
      </c>
    </row>
    <row r="129" spans="1:2" x14ac:dyDescent="0.25">
      <c r="A129" s="18">
        <v>28.4</v>
      </c>
      <c r="B129" s="18">
        <v>7.3700000000000002E-4</v>
      </c>
    </row>
    <row r="130" spans="1:2" x14ac:dyDescent="0.25">
      <c r="A130" s="18">
        <v>28.6</v>
      </c>
      <c r="B130" s="18">
        <v>6.9200000000000002E-4</v>
      </c>
    </row>
    <row r="131" spans="1:2" x14ac:dyDescent="0.25">
      <c r="A131" s="18">
        <v>28.8</v>
      </c>
      <c r="B131" s="18">
        <v>7.1299999999999998E-4</v>
      </c>
    </row>
    <row r="132" spans="1:2" x14ac:dyDescent="0.25">
      <c r="A132" s="18">
        <v>29</v>
      </c>
      <c r="B132" s="18">
        <v>6.4800000000000003E-4</v>
      </c>
    </row>
    <row r="133" spans="1:2" x14ac:dyDescent="0.25">
      <c r="A133" s="18">
        <v>29.2</v>
      </c>
      <c r="B133" s="18">
        <v>6.9200000000000002E-4</v>
      </c>
    </row>
    <row r="134" spans="1:2" x14ac:dyDescent="0.25">
      <c r="A134" s="18">
        <v>29.4</v>
      </c>
      <c r="B134" s="18">
        <v>6.3000000000000003E-4</v>
      </c>
    </row>
    <row r="135" spans="1:2" x14ac:dyDescent="0.25">
      <c r="A135" s="18">
        <v>29.6</v>
      </c>
      <c r="B135" s="18">
        <v>6.1700000000000004E-4</v>
      </c>
    </row>
    <row r="136" spans="1:2" x14ac:dyDescent="0.25">
      <c r="A136" s="18">
        <v>29.8</v>
      </c>
      <c r="B136" s="18">
        <v>6.0800000000000003E-4</v>
      </c>
    </row>
    <row r="137" spans="1:2" x14ac:dyDescent="0.25">
      <c r="A137" s="18">
        <v>30</v>
      </c>
      <c r="B137" s="18">
        <v>5.9199999999999997E-4</v>
      </c>
    </row>
    <row r="138" spans="1:2" x14ac:dyDescent="0.25">
      <c r="A138" s="18">
        <v>30.2</v>
      </c>
      <c r="B138" s="18">
        <v>5.8600000000000004E-4</v>
      </c>
    </row>
    <row r="139" spans="1:2" x14ac:dyDescent="0.25">
      <c r="A139" s="18">
        <v>30.4</v>
      </c>
      <c r="B139" s="18">
        <v>5.6899999999999995E-4</v>
      </c>
    </row>
    <row r="140" spans="1:2" x14ac:dyDescent="0.25">
      <c r="A140" s="18">
        <v>30.6</v>
      </c>
      <c r="B140" s="18">
        <v>5.5999999999999995E-4</v>
      </c>
    </row>
    <row r="141" spans="1:2" x14ac:dyDescent="0.25">
      <c r="A141" s="18">
        <v>30.8</v>
      </c>
      <c r="B141" s="18">
        <v>5.1800000000000001E-4</v>
      </c>
    </row>
    <row r="142" spans="1:2" x14ac:dyDescent="0.25">
      <c r="A142" s="18">
        <v>31</v>
      </c>
      <c r="B142" s="18">
        <v>5.4900000000000001E-4</v>
      </c>
    </row>
    <row r="143" spans="1:2" x14ac:dyDescent="0.25">
      <c r="A143" s="18">
        <v>31.2</v>
      </c>
      <c r="B143" s="18">
        <v>5.0799999999999999E-4</v>
      </c>
    </row>
    <row r="144" spans="1:2" x14ac:dyDescent="0.25">
      <c r="A144" s="18">
        <v>31.4</v>
      </c>
      <c r="B144" s="18">
        <v>5.0900000000000001E-4</v>
      </c>
    </row>
    <row r="145" spans="1:2" x14ac:dyDescent="0.25">
      <c r="A145" s="18">
        <v>31.6</v>
      </c>
      <c r="B145" s="18">
        <v>4.8899999999999996E-4</v>
      </c>
    </row>
    <row r="146" spans="1:2" x14ac:dyDescent="0.25">
      <c r="A146" s="18">
        <v>31.8</v>
      </c>
      <c r="B146" s="18">
        <v>4.8700000000000002E-4</v>
      </c>
    </row>
    <row r="147" spans="1:2" x14ac:dyDescent="0.25">
      <c r="A147" s="18">
        <v>32</v>
      </c>
      <c r="B147" s="18">
        <v>4.6700000000000002E-4</v>
      </c>
    </row>
    <row r="148" spans="1:2" x14ac:dyDescent="0.25">
      <c r="A148" s="18">
        <v>32.200000000000003</v>
      </c>
      <c r="B148" s="18">
        <v>4.66E-4</v>
      </c>
    </row>
    <row r="149" spans="1:2" x14ac:dyDescent="0.25">
      <c r="A149" s="18">
        <v>32.4</v>
      </c>
      <c r="B149" s="18">
        <v>4.46E-4</v>
      </c>
    </row>
    <row r="150" spans="1:2" x14ac:dyDescent="0.25">
      <c r="A150" s="18">
        <v>32.6</v>
      </c>
      <c r="B150" s="18">
        <v>4.2999999999999999E-4</v>
      </c>
    </row>
    <row r="151" spans="1:2" x14ac:dyDescent="0.25">
      <c r="A151" s="18">
        <v>32.799999999999997</v>
      </c>
      <c r="B151" s="18">
        <v>4.4700000000000002E-4</v>
      </c>
    </row>
    <row r="152" spans="1:2" x14ac:dyDescent="0.25">
      <c r="A152" s="18">
        <v>33</v>
      </c>
      <c r="B152" s="18">
        <v>3.9199999999999999E-4</v>
      </c>
    </row>
    <row r="153" spans="1:2" x14ac:dyDescent="0.25">
      <c r="A153" s="18">
        <v>33.200000000000003</v>
      </c>
      <c r="B153" s="18">
        <v>4.2400000000000001E-4</v>
      </c>
    </row>
    <row r="154" spans="1:2" x14ac:dyDescent="0.25">
      <c r="A154" s="18">
        <v>33.4</v>
      </c>
      <c r="B154" s="18">
        <v>3.8699999999999997E-4</v>
      </c>
    </row>
    <row r="155" spans="1:2" x14ac:dyDescent="0.25">
      <c r="A155" s="18">
        <v>33.6</v>
      </c>
      <c r="B155" s="18">
        <v>3.8900000000000002E-4</v>
      </c>
    </row>
    <row r="156" spans="1:2" x14ac:dyDescent="0.25">
      <c r="A156" s="18">
        <v>33.799999999999997</v>
      </c>
      <c r="B156" s="18">
        <v>3.8699999999999997E-4</v>
      </c>
    </row>
    <row r="157" spans="1:2" x14ac:dyDescent="0.25">
      <c r="A157" s="18">
        <v>34</v>
      </c>
      <c r="B157" s="18">
        <v>3.6000000000000002E-4</v>
      </c>
    </row>
    <row r="158" spans="1:2" x14ac:dyDescent="0.25">
      <c r="A158" s="18">
        <v>34.200000000000003</v>
      </c>
      <c r="B158" s="18">
        <v>3.7399999999999998E-4</v>
      </c>
    </row>
    <row r="159" spans="1:2" x14ac:dyDescent="0.25">
      <c r="A159" s="18">
        <v>34.4</v>
      </c>
      <c r="B159" s="18">
        <v>3.5500000000000001E-4</v>
      </c>
    </row>
    <row r="160" spans="1:2" x14ac:dyDescent="0.25">
      <c r="A160" s="18">
        <v>34.6</v>
      </c>
      <c r="B160" s="18">
        <v>3.5100000000000002E-4</v>
      </c>
    </row>
    <row r="161" spans="1:2" x14ac:dyDescent="0.25">
      <c r="A161" s="18">
        <v>34.799999999999997</v>
      </c>
      <c r="B161" s="18">
        <v>3.3799999999999998E-4</v>
      </c>
    </row>
    <row r="162" spans="1:2" x14ac:dyDescent="0.25">
      <c r="A162" s="18">
        <v>35</v>
      </c>
      <c r="B162" s="18">
        <v>3.3799999999999998E-4</v>
      </c>
    </row>
    <row r="163" spans="1:2" x14ac:dyDescent="0.25">
      <c r="A163" s="18">
        <v>35.200000000000003</v>
      </c>
      <c r="B163" s="18">
        <v>3.21E-4</v>
      </c>
    </row>
    <row r="164" spans="1:2" x14ac:dyDescent="0.25">
      <c r="A164" s="18">
        <v>35.4</v>
      </c>
      <c r="B164" s="18">
        <v>3.1300000000000002E-4</v>
      </c>
    </row>
    <row r="165" spans="1:2" x14ac:dyDescent="0.25">
      <c r="A165" s="18">
        <v>35.6</v>
      </c>
      <c r="B165" s="18">
        <v>3.0699999999999998E-4</v>
      </c>
    </row>
    <row r="166" spans="1:2" x14ac:dyDescent="0.25">
      <c r="A166" s="18">
        <v>35.799999999999997</v>
      </c>
      <c r="B166" s="18">
        <v>3.0699999999999998E-4</v>
      </c>
    </row>
    <row r="167" spans="1:2" x14ac:dyDescent="0.25">
      <c r="A167" s="18">
        <v>36</v>
      </c>
      <c r="B167" s="18">
        <v>2.9E-4</v>
      </c>
    </row>
    <row r="168" spans="1:2" x14ac:dyDescent="0.25">
      <c r="A168" s="18">
        <v>36.200000000000003</v>
      </c>
      <c r="B168" s="18">
        <v>2.9E-4</v>
      </c>
    </row>
    <row r="169" spans="1:2" x14ac:dyDescent="0.25">
      <c r="A169" s="18">
        <v>36.4</v>
      </c>
      <c r="B169" s="18">
        <v>2.8499999999999999E-4</v>
      </c>
    </row>
    <row r="170" spans="1:2" x14ac:dyDescent="0.25">
      <c r="A170" s="18">
        <v>36.6</v>
      </c>
      <c r="B170" s="18">
        <v>2.72E-4</v>
      </c>
    </row>
    <row r="171" spans="1:2" x14ac:dyDescent="0.25">
      <c r="A171" s="18">
        <v>36.799999999999997</v>
      </c>
      <c r="B171" s="18">
        <v>2.7399999999999999E-4</v>
      </c>
    </row>
    <row r="172" spans="1:2" x14ac:dyDescent="0.25">
      <c r="A172" s="18">
        <v>37</v>
      </c>
      <c r="B172" s="18">
        <v>2.5399999999999999E-4</v>
      </c>
    </row>
    <row r="173" spans="1:2" x14ac:dyDescent="0.25">
      <c r="A173" s="18">
        <v>37.200000000000003</v>
      </c>
      <c r="B173" s="18">
        <v>2.7099999999999997E-4</v>
      </c>
    </row>
    <row r="174" spans="1:2" x14ac:dyDescent="0.25">
      <c r="A174" s="18">
        <v>37.4</v>
      </c>
      <c r="B174" s="18">
        <v>2.3800000000000001E-4</v>
      </c>
    </row>
    <row r="175" spans="1:2" x14ac:dyDescent="0.25">
      <c r="A175" s="18">
        <v>37.6</v>
      </c>
      <c r="B175" s="18">
        <v>2.5000000000000001E-4</v>
      </c>
    </row>
    <row r="176" spans="1:2" x14ac:dyDescent="0.25">
      <c r="A176" s="18">
        <v>37.799999999999997</v>
      </c>
      <c r="B176" s="18">
        <v>2.41E-4</v>
      </c>
    </row>
    <row r="177" spans="1:2" x14ac:dyDescent="0.25">
      <c r="A177" s="18">
        <v>38</v>
      </c>
      <c r="B177" s="18">
        <v>2.4699999999999999E-4</v>
      </c>
    </row>
    <row r="178" spans="1:2" x14ac:dyDescent="0.25">
      <c r="A178" s="18">
        <v>38.200000000000003</v>
      </c>
      <c r="B178" s="18">
        <v>2.1800000000000001E-4</v>
      </c>
    </row>
    <row r="179" spans="1:2" x14ac:dyDescent="0.25">
      <c r="A179" s="18">
        <v>38.4</v>
      </c>
      <c r="B179" s="18">
        <v>2.42E-4</v>
      </c>
    </row>
    <row r="180" spans="1:2" x14ac:dyDescent="0.25">
      <c r="A180" s="18">
        <v>38.6</v>
      </c>
      <c r="B180" s="18">
        <v>2.0799999999999999E-4</v>
      </c>
    </row>
    <row r="181" spans="1:2" x14ac:dyDescent="0.25">
      <c r="A181" s="18">
        <v>38.799999999999997</v>
      </c>
      <c r="B181" s="18">
        <v>2.12E-4</v>
      </c>
    </row>
    <row r="182" spans="1:2" x14ac:dyDescent="0.25">
      <c r="A182" s="18">
        <v>39</v>
      </c>
      <c r="B182" s="18">
        <v>2.1599999999999999E-4</v>
      </c>
    </row>
    <row r="183" spans="1:2" x14ac:dyDescent="0.25">
      <c r="A183" s="18">
        <v>39.200000000000003</v>
      </c>
      <c r="B183" s="18">
        <v>2.03E-4</v>
      </c>
    </row>
    <row r="184" spans="1:2" x14ac:dyDescent="0.25">
      <c r="A184" s="18">
        <v>39.4</v>
      </c>
      <c r="B184" s="18">
        <v>2.0100000000000001E-4</v>
      </c>
    </row>
    <row r="185" spans="1:2" x14ac:dyDescent="0.25">
      <c r="A185" s="18">
        <v>39.6</v>
      </c>
      <c r="B185" s="18">
        <v>1.94E-4</v>
      </c>
    </row>
    <row r="186" spans="1:2" x14ac:dyDescent="0.25">
      <c r="A186" s="18">
        <v>39.799999999999997</v>
      </c>
      <c r="B186" s="18">
        <v>1.8900000000000001E-4</v>
      </c>
    </row>
    <row r="187" spans="1:2" x14ac:dyDescent="0.25">
      <c r="A187" s="18">
        <v>40</v>
      </c>
      <c r="B187" s="18">
        <v>1.8799999999999999E-4</v>
      </c>
    </row>
    <row r="188" spans="1:2" x14ac:dyDescent="0.25">
      <c r="A188" s="18">
        <v>40.200000000000003</v>
      </c>
      <c r="B188" s="18">
        <v>1.7799999999999999E-4</v>
      </c>
    </row>
    <row r="189" spans="1:2" x14ac:dyDescent="0.25">
      <c r="A189" s="18">
        <v>40.4</v>
      </c>
      <c r="B189" s="18">
        <v>1.6699999999999999E-4</v>
      </c>
    </row>
    <row r="190" spans="1:2" x14ac:dyDescent="0.25">
      <c r="A190" s="18">
        <v>40.6</v>
      </c>
      <c r="B190" s="18">
        <v>1.8200000000000001E-4</v>
      </c>
    </row>
    <row r="191" spans="1:2" x14ac:dyDescent="0.25">
      <c r="A191" s="18">
        <v>40.799999999999997</v>
      </c>
      <c r="B191" s="18">
        <v>1.6200000000000001E-4</v>
      </c>
    </row>
    <row r="192" spans="1:2" x14ac:dyDescent="0.25">
      <c r="A192" s="18">
        <v>41</v>
      </c>
      <c r="B192" s="18">
        <v>1.74E-4</v>
      </c>
    </row>
    <row r="193" spans="1:2" x14ac:dyDescent="0.25">
      <c r="A193" s="18">
        <v>41.2</v>
      </c>
      <c r="B193" s="18">
        <v>1.63E-4</v>
      </c>
    </row>
    <row r="194" spans="1:2" x14ac:dyDescent="0.25">
      <c r="A194" s="18">
        <v>41.4</v>
      </c>
      <c r="B194" s="18">
        <v>1.5200000000000001E-4</v>
      </c>
    </row>
    <row r="195" spans="1:2" x14ac:dyDescent="0.25">
      <c r="A195" s="18">
        <v>41.6</v>
      </c>
      <c r="B195" s="18">
        <v>1.5799999999999999E-4</v>
      </c>
    </row>
    <row r="196" spans="1:2" x14ac:dyDescent="0.25">
      <c r="A196" s="18">
        <v>41.8</v>
      </c>
      <c r="B196" s="18">
        <v>1.4999999999999999E-4</v>
      </c>
    </row>
    <row r="197" spans="1:2" x14ac:dyDescent="0.25">
      <c r="A197" s="18">
        <v>42</v>
      </c>
      <c r="B197" s="18">
        <v>1.6000000000000001E-4</v>
      </c>
    </row>
    <row r="198" spans="1:2" x14ac:dyDescent="0.25">
      <c r="A198" s="18">
        <v>42.2</v>
      </c>
      <c r="B198" s="18">
        <v>1.35E-4</v>
      </c>
    </row>
    <row r="199" spans="1:2" x14ac:dyDescent="0.25">
      <c r="A199" s="18">
        <v>42.4</v>
      </c>
      <c r="B199" s="18">
        <v>1.4899999999999999E-4</v>
      </c>
    </row>
    <row r="200" spans="1:2" x14ac:dyDescent="0.25">
      <c r="A200" s="18">
        <v>42.6</v>
      </c>
      <c r="B200" s="18">
        <v>1.3899999999999999E-4</v>
      </c>
    </row>
    <row r="201" spans="1:2" x14ac:dyDescent="0.25">
      <c r="A201" s="18">
        <v>42.8</v>
      </c>
      <c r="B201" s="18">
        <v>1.3899999999999999E-4</v>
      </c>
    </row>
    <row r="202" spans="1:2" x14ac:dyDescent="0.25">
      <c r="A202" s="18">
        <v>43</v>
      </c>
      <c r="B202" s="18">
        <v>1.2799999999999999E-4</v>
      </c>
    </row>
    <row r="203" spans="1:2" x14ac:dyDescent="0.25">
      <c r="A203" s="18">
        <v>43.2</v>
      </c>
      <c r="B203" s="18">
        <v>1.3100000000000001E-4</v>
      </c>
    </row>
    <row r="204" spans="1:2" x14ac:dyDescent="0.25">
      <c r="A204" s="18">
        <v>43.4</v>
      </c>
      <c r="B204" s="18">
        <v>1.2999999999999999E-4</v>
      </c>
    </row>
    <row r="205" spans="1:2" x14ac:dyDescent="0.25">
      <c r="A205" s="18">
        <v>43.6</v>
      </c>
      <c r="B205" s="18">
        <v>1.18E-4</v>
      </c>
    </row>
    <row r="206" spans="1:2" x14ac:dyDescent="0.25">
      <c r="A206" s="18">
        <v>43.8</v>
      </c>
      <c r="B206" s="18">
        <v>1.3100000000000001E-4</v>
      </c>
    </row>
    <row r="207" spans="1:2" x14ac:dyDescent="0.25">
      <c r="A207" s="18">
        <v>44</v>
      </c>
      <c r="B207" s="18">
        <v>1.12E-4</v>
      </c>
    </row>
    <row r="208" spans="1:2" x14ac:dyDescent="0.25">
      <c r="A208" s="18">
        <v>44.2</v>
      </c>
      <c r="B208" s="18">
        <v>1.26E-4</v>
      </c>
    </row>
    <row r="209" spans="1:2" x14ac:dyDescent="0.25">
      <c r="A209" s="18">
        <v>44.4</v>
      </c>
      <c r="B209" s="18">
        <v>1.1E-4</v>
      </c>
    </row>
    <row r="210" spans="1:2" x14ac:dyDescent="0.25">
      <c r="A210" s="18">
        <v>44.6</v>
      </c>
      <c r="B210" s="18">
        <v>1.1900000000000001E-4</v>
      </c>
    </row>
    <row r="211" spans="1:2" x14ac:dyDescent="0.25">
      <c r="A211" s="18">
        <v>44.8</v>
      </c>
      <c r="B211" s="18">
        <v>1.02E-4</v>
      </c>
    </row>
    <row r="212" spans="1:2" x14ac:dyDescent="0.25">
      <c r="A212" s="18">
        <v>45</v>
      </c>
      <c r="B212" s="18">
        <v>1.1400000000000001E-4</v>
      </c>
    </row>
    <row r="213" spans="1:2" x14ac:dyDescent="0.25">
      <c r="A213" s="18">
        <v>45.2</v>
      </c>
      <c r="B213" s="18">
        <v>9.7100000000000002E-5</v>
      </c>
    </row>
    <row r="214" spans="1:2" x14ac:dyDescent="0.25">
      <c r="A214" s="18">
        <v>45.4</v>
      </c>
      <c r="B214" s="18">
        <v>1.03E-4</v>
      </c>
    </row>
    <row r="215" spans="1:2" x14ac:dyDescent="0.25">
      <c r="A215" s="18">
        <v>45.6</v>
      </c>
      <c r="B215" s="18">
        <v>9.0600000000000007E-5</v>
      </c>
    </row>
    <row r="216" spans="1:2" x14ac:dyDescent="0.25">
      <c r="A216" s="18">
        <v>45.8</v>
      </c>
      <c r="B216" s="18">
        <v>1.05E-4</v>
      </c>
    </row>
    <row r="217" spans="1:2" x14ac:dyDescent="0.25">
      <c r="A217" s="18">
        <v>46</v>
      </c>
      <c r="B217" s="18">
        <v>7.75E-5</v>
      </c>
    </row>
    <row r="218" spans="1:2" x14ac:dyDescent="0.25">
      <c r="A218" s="18">
        <v>46.2</v>
      </c>
      <c r="B218" s="18">
        <v>1E-4</v>
      </c>
    </row>
    <row r="219" spans="1:2" x14ac:dyDescent="0.25">
      <c r="A219" s="18">
        <v>46.4</v>
      </c>
      <c r="B219" s="18">
        <v>7.7799999999999994E-5</v>
      </c>
    </row>
    <row r="220" spans="1:2" x14ac:dyDescent="0.25">
      <c r="A220" s="18">
        <v>46.6</v>
      </c>
      <c r="B220" s="18">
        <v>8.6500000000000002E-5</v>
      </c>
    </row>
    <row r="221" spans="1:2" x14ac:dyDescent="0.25">
      <c r="A221" s="18">
        <v>46.8</v>
      </c>
      <c r="B221" s="18">
        <v>8.1799999999999996E-5</v>
      </c>
    </row>
    <row r="222" spans="1:2" x14ac:dyDescent="0.25">
      <c r="A222" s="18">
        <v>47</v>
      </c>
      <c r="B222" s="18">
        <v>7.8700000000000002E-5</v>
      </c>
    </row>
    <row r="223" spans="1:2" x14ac:dyDescent="0.25">
      <c r="A223" s="18">
        <v>47.2</v>
      </c>
      <c r="B223" s="18">
        <v>8.1100000000000006E-5</v>
      </c>
    </row>
    <row r="224" spans="1:2" x14ac:dyDescent="0.25">
      <c r="A224" s="18">
        <v>47.4</v>
      </c>
      <c r="B224" s="18">
        <v>7.3999999999999996E-5</v>
      </c>
    </row>
    <row r="225" spans="1:2" x14ac:dyDescent="0.25">
      <c r="A225" s="18">
        <v>47.6</v>
      </c>
      <c r="B225" s="18">
        <v>7.6500000000000003E-5</v>
      </c>
    </row>
    <row r="226" spans="1:2" x14ac:dyDescent="0.25">
      <c r="A226" s="18">
        <v>47.8</v>
      </c>
      <c r="B226" s="18">
        <v>7.2600000000000003E-5</v>
      </c>
    </row>
    <row r="227" spans="1:2" x14ac:dyDescent="0.25">
      <c r="A227" s="18">
        <v>48</v>
      </c>
      <c r="B227" s="18">
        <v>6.6199999999999996E-5</v>
      </c>
    </row>
    <row r="228" spans="1:2" x14ac:dyDescent="0.25">
      <c r="A228" s="18">
        <v>48.2</v>
      </c>
      <c r="B228" s="18">
        <v>6.9400000000000006E-5</v>
      </c>
    </row>
    <row r="229" spans="1:2" x14ac:dyDescent="0.25">
      <c r="A229" s="18">
        <v>48.4</v>
      </c>
      <c r="B229" s="18">
        <v>6.3E-5</v>
      </c>
    </row>
    <row r="230" spans="1:2" x14ac:dyDescent="0.25">
      <c r="A230" s="18">
        <v>48.6</v>
      </c>
      <c r="B230" s="18">
        <v>6.1699999999999995E-5</v>
      </c>
    </row>
    <row r="231" spans="1:2" x14ac:dyDescent="0.25">
      <c r="A231" s="18">
        <v>48.8</v>
      </c>
      <c r="B231" s="18">
        <v>5.7399999999999999E-5</v>
      </c>
    </row>
    <row r="232" spans="1:2" x14ac:dyDescent="0.25">
      <c r="A232" s="18">
        <v>49</v>
      </c>
      <c r="B232" s="18">
        <v>6.2700000000000006E-5</v>
      </c>
    </row>
    <row r="233" spans="1:2" x14ac:dyDescent="0.25">
      <c r="A233" s="18">
        <v>49.2</v>
      </c>
      <c r="B233" s="18">
        <v>5.6799999999999998E-5</v>
      </c>
    </row>
    <row r="234" spans="1:2" x14ac:dyDescent="0.25">
      <c r="A234" s="18">
        <v>49.4</v>
      </c>
      <c r="B234" s="18">
        <v>5.52E-5</v>
      </c>
    </row>
    <row r="235" spans="1:2" x14ac:dyDescent="0.25">
      <c r="A235" s="18">
        <v>49.6</v>
      </c>
      <c r="B235" s="18">
        <v>5.3199999999999999E-5</v>
      </c>
    </row>
    <row r="236" spans="1:2" x14ac:dyDescent="0.25">
      <c r="A236" s="18">
        <v>49.8</v>
      </c>
      <c r="B236" s="18">
        <v>5.1199999999999998E-5</v>
      </c>
    </row>
    <row r="237" spans="1:2" x14ac:dyDescent="0.25">
      <c r="A237" s="18">
        <v>50</v>
      </c>
      <c r="B237" s="18">
        <v>4.6699999999999997E-5</v>
      </c>
    </row>
    <row r="238" spans="1:2" x14ac:dyDescent="0.25">
      <c r="A238" s="18">
        <v>50.2</v>
      </c>
      <c r="B238" s="18">
        <v>5.02E-5</v>
      </c>
    </row>
    <row r="239" spans="1:2" x14ac:dyDescent="0.25">
      <c r="A239" s="18">
        <v>50.4</v>
      </c>
      <c r="B239" s="18">
        <v>4.6100000000000002E-5</v>
      </c>
    </row>
    <row r="240" spans="1:2" x14ac:dyDescent="0.25">
      <c r="A240" s="18">
        <v>50.6</v>
      </c>
      <c r="B240" s="18">
        <v>4.1199999999999999E-5</v>
      </c>
    </row>
    <row r="241" spans="1:2" x14ac:dyDescent="0.25">
      <c r="A241" s="18">
        <v>50.8</v>
      </c>
      <c r="B241" s="18">
        <v>4.3300000000000002E-5</v>
      </c>
    </row>
    <row r="242" spans="1:2" x14ac:dyDescent="0.25">
      <c r="A242" s="18">
        <v>51</v>
      </c>
      <c r="B242" s="18">
        <v>4.0000000000000003E-5</v>
      </c>
    </row>
    <row r="243" spans="1:2" x14ac:dyDescent="0.25">
      <c r="A243" s="18">
        <v>51.2</v>
      </c>
      <c r="B243" s="18">
        <v>3.7100000000000001E-5</v>
      </c>
    </row>
    <row r="244" spans="1:2" x14ac:dyDescent="0.25">
      <c r="A244" s="18">
        <v>51.4</v>
      </c>
      <c r="B244" s="18">
        <v>3.65E-5</v>
      </c>
    </row>
    <row r="245" spans="1:2" x14ac:dyDescent="0.25">
      <c r="A245" s="18">
        <v>51.6</v>
      </c>
      <c r="B245" s="18">
        <v>3.2700000000000002E-5</v>
      </c>
    </row>
    <row r="246" spans="1:2" x14ac:dyDescent="0.25">
      <c r="A246" s="18">
        <v>51.8</v>
      </c>
      <c r="B246" s="18">
        <v>3.3800000000000002E-5</v>
      </c>
    </row>
    <row r="247" spans="1:2" x14ac:dyDescent="0.25">
      <c r="A247" s="18">
        <v>52</v>
      </c>
      <c r="B247" s="18">
        <v>2.9099999999999999E-5</v>
      </c>
    </row>
    <row r="248" spans="1:2" x14ac:dyDescent="0.25">
      <c r="A248" s="18">
        <v>52.2</v>
      </c>
      <c r="B248" s="18">
        <v>2.8600000000000001E-5</v>
      </c>
    </row>
    <row r="249" spans="1:2" x14ac:dyDescent="0.25">
      <c r="A249" s="18">
        <v>52.4</v>
      </c>
      <c r="B249" s="18">
        <v>3.1600000000000002E-5</v>
      </c>
    </row>
    <row r="250" spans="1:2" x14ac:dyDescent="0.25">
      <c r="A250" s="18">
        <v>52.6</v>
      </c>
      <c r="B250" s="18">
        <v>2.12E-5</v>
      </c>
    </row>
    <row r="251" spans="1:2" x14ac:dyDescent="0.25">
      <c r="A251" s="18">
        <v>52.8</v>
      </c>
      <c r="B251" s="18">
        <v>2.7500000000000001E-5</v>
      </c>
    </row>
    <row r="252" spans="1:2" x14ac:dyDescent="0.25">
      <c r="A252" s="18">
        <v>53</v>
      </c>
      <c r="B252" s="18">
        <v>2.3200000000000001E-5</v>
      </c>
    </row>
    <row r="253" spans="1:2" x14ac:dyDescent="0.25">
      <c r="A253" s="18">
        <v>53.2</v>
      </c>
      <c r="B253" s="18">
        <v>2.0999999999999999E-5</v>
      </c>
    </row>
    <row r="254" spans="1:2" x14ac:dyDescent="0.25">
      <c r="A254" s="18">
        <v>53.4</v>
      </c>
      <c r="B254" s="18">
        <v>1.9000000000000001E-5</v>
      </c>
    </row>
    <row r="255" spans="1:2" x14ac:dyDescent="0.25">
      <c r="A255" s="18">
        <v>53.6</v>
      </c>
      <c r="B255" s="18">
        <v>1.4800000000000001E-5</v>
      </c>
    </row>
    <row r="256" spans="1:2" x14ac:dyDescent="0.25">
      <c r="A256" s="18">
        <v>53.8</v>
      </c>
      <c r="B256" s="18">
        <v>1.77E-5</v>
      </c>
    </row>
    <row r="257" spans="1:2" x14ac:dyDescent="0.25">
      <c r="A257" s="18">
        <v>54</v>
      </c>
      <c r="B257" s="18">
        <v>1.27E-5</v>
      </c>
    </row>
    <row r="258" spans="1:2" x14ac:dyDescent="0.25">
      <c r="A258" s="18">
        <v>54.2</v>
      </c>
      <c r="B258" s="18">
        <v>9.5400000000000001E-6</v>
      </c>
    </row>
    <row r="259" spans="1:2" x14ac:dyDescent="0.25">
      <c r="A259" s="18">
        <v>54.4</v>
      </c>
      <c r="B259" s="18">
        <v>1.0200000000000001E-5</v>
      </c>
    </row>
    <row r="260" spans="1:2" x14ac:dyDescent="0.25">
      <c r="A260" s="18">
        <v>54.6</v>
      </c>
      <c r="B260" s="18">
        <v>4.3900000000000003E-6</v>
      </c>
    </row>
    <row r="261" spans="1:2" x14ac:dyDescent="0.25">
      <c r="A261" s="18">
        <v>54.8</v>
      </c>
      <c r="B261" s="18">
        <v>5.2299999999999999E-6</v>
      </c>
    </row>
    <row r="262" spans="1:2" x14ac:dyDescent="0.25">
      <c r="A262" s="18">
        <v>55</v>
      </c>
      <c r="B262" s="18">
        <v>9.3099999999999996E-7</v>
      </c>
    </row>
    <row r="263" spans="1:2" x14ac:dyDescent="0.25">
      <c r="A263" s="18">
        <v>55.2</v>
      </c>
      <c r="B263" s="18">
        <v>4.8400000000000005E-7</v>
      </c>
    </row>
    <row r="264" spans="1:2" x14ac:dyDescent="0.25">
      <c r="A264" s="18">
        <v>55.4</v>
      </c>
      <c r="B264" s="18">
        <v>1.3400000000000001E-7</v>
      </c>
    </row>
    <row r="265" spans="1:2" x14ac:dyDescent="0.25">
      <c r="A265" s="18">
        <v>55.6</v>
      </c>
      <c r="B265" s="18">
        <v>1.18E-7</v>
      </c>
    </row>
    <row r="266" spans="1:2" x14ac:dyDescent="0.25">
      <c r="A266" s="18">
        <v>55.8</v>
      </c>
      <c r="B266" s="18">
        <v>4.2500000000000001E-7</v>
      </c>
    </row>
    <row r="267" spans="1:2" x14ac:dyDescent="0.25">
      <c r="A267" s="18">
        <v>56</v>
      </c>
      <c r="B267" s="18">
        <v>2.34E-7</v>
      </c>
    </row>
    <row r="268" spans="1:2" x14ac:dyDescent="0.25">
      <c r="A268" s="18">
        <v>56.2</v>
      </c>
      <c r="B268" s="18">
        <v>3.6199999999999999E-7</v>
      </c>
    </row>
    <row r="269" spans="1:2" x14ac:dyDescent="0.25">
      <c r="A269" s="18">
        <v>56.4</v>
      </c>
      <c r="B269" s="18">
        <v>3.2599999999999998E-7</v>
      </c>
    </row>
    <row r="270" spans="1:2" x14ac:dyDescent="0.25">
      <c r="A270" s="18">
        <v>56.6</v>
      </c>
      <c r="B270" s="18">
        <v>2.3699999999999999E-7</v>
      </c>
    </row>
    <row r="271" spans="1:2" x14ac:dyDescent="0.25">
      <c r="A271" s="18">
        <v>56.8</v>
      </c>
      <c r="B271" s="18">
        <v>9.6600000000000005E-8</v>
      </c>
    </row>
    <row r="272" spans="1:2" x14ac:dyDescent="0.25">
      <c r="A272" s="18">
        <v>57</v>
      </c>
      <c r="B272" s="18">
        <v>2.0100000000000001E-7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dimension ref="A1:B12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2.4600000000000002E-4</v>
      </c>
    </row>
    <row r="3" spans="1:2" x14ac:dyDescent="0.25">
      <c r="A3" s="18">
        <v>3.5</v>
      </c>
      <c r="B3" s="18">
        <v>5.2499999999999997E-4</v>
      </c>
    </row>
    <row r="4" spans="1:2" x14ac:dyDescent="0.25">
      <c r="A4" s="18">
        <v>4</v>
      </c>
      <c r="B4" s="18">
        <v>5.8799999999999998E-4</v>
      </c>
    </row>
    <row r="5" spans="1:2" x14ac:dyDescent="0.25">
      <c r="A5" s="18">
        <v>4.5</v>
      </c>
      <c r="B5" s="18">
        <v>6.9999999999999999E-4</v>
      </c>
    </row>
    <row r="6" spans="1:2" x14ac:dyDescent="0.25">
      <c r="A6" s="18">
        <v>5</v>
      </c>
      <c r="B6" s="18">
        <v>1.2899999999999999E-3</v>
      </c>
    </row>
    <row r="7" spans="1:2" x14ac:dyDescent="0.25">
      <c r="A7" s="18">
        <v>5.5</v>
      </c>
      <c r="B7" s="18">
        <v>1.8699999999999999E-3</v>
      </c>
    </row>
    <row r="8" spans="1:2" x14ac:dyDescent="0.25">
      <c r="A8" s="18">
        <v>6</v>
      </c>
      <c r="B8" s="18">
        <v>3.7699999999999999E-3</v>
      </c>
    </row>
    <row r="9" spans="1:2" x14ac:dyDescent="0.25">
      <c r="A9" s="18">
        <v>6.5</v>
      </c>
      <c r="B9" s="18">
        <v>7.5300000000000002E-3</v>
      </c>
    </row>
    <row r="10" spans="1:2" x14ac:dyDescent="0.25">
      <c r="A10" s="18">
        <v>7</v>
      </c>
      <c r="B10" s="18">
        <v>1.2200000000000001E-2</v>
      </c>
    </row>
    <row r="11" spans="1:2" x14ac:dyDescent="0.25">
      <c r="A11" s="18">
        <v>7.5</v>
      </c>
      <c r="B11" s="18">
        <v>2.1100000000000001E-2</v>
      </c>
    </row>
    <row r="12" spans="1:2" x14ac:dyDescent="0.25">
      <c r="A12" s="18">
        <v>8</v>
      </c>
      <c r="B12" s="18">
        <v>4.0599999999999997E-2</v>
      </c>
    </row>
    <row r="13" spans="1:2" x14ac:dyDescent="0.25">
      <c r="A13" s="18">
        <v>8.5</v>
      </c>
      <c r="B13" s="18">
        <v>0.24299999999999999</v>
      </c>
    </row>
    <row r="14" spans="1:2" x14ac:dyDescent="0.25">
      <c r="A14" s="18">
        <v>9</v>
      </c>
      <c r="B14" s="18">
        <v>2.8199999999999999E-2</v>
      </c>
    </row>
    <row r="15" spans="1:2" x14ac:dyDescent="0.25">
      <c r="A15" s="18">
        <v>9.5</v>
      </c>
      <c r="B15" s="18">
        <v>0.14699999999999999</v>
      </c>
    </row>
    <row r="16" spans="1:2" x14ac:dyDescent="0.25">
      <c r="A16" s="18">
        <v>10</v>
      </c>
      <c r="B16" s="18">
        <v>0.16600000000000001</v>
      </c>
    </row>
    <row r="17" spans="1:2" x14ac:dyDescent="0.25">
      <c r="A17" s="18">
        <v>10.5</v>
      </c>
      <c r="B17" s="18">
        <v>2.0799999999999999E-2</v>
      </c>
    </row>
    <row r="18" spans="1:2" x14ac:dyDescent="0.25">
      <c r="A18" s="18">
        <v>11</v>
      </c>
      <c r="B18" s="18">
        <v>2.1100000000000001E-2</v>
      </c>
    </row>
    <row r="19" spans="1:2" x14ac:dyDescent="0.25">
      <c r="A19" s="18">
        <v>11.5</v>
      </c>
      <c r="B19" s="18">
        <v>3.6799999999999999E-2</v>
      </c>
    </row>
    <row r="20" spans="1:2" x14ac:dyDescent="0.25">
      <c r="A20" s="18">
        <v>12</v>
      </c>
      <c r="B20" s="18">
        <v>1.67E-2</v>
      </c>
    </row>
    <row r="21" spans="1:2" x14ac:dyDescent="0.25">
      <c r="A21" s="18">
        <v>12.5</v>
      </c>
      <c r="B21" s="18">
        <v>1.2200000000000001E-2</v>
      </c>
    </row>
    <row r="22" spans="1:2" x14ac:dyDescent="0.25">
      <c r="A22" s="18">
        <v>13</v>
      </c>
      <c r="B22" s="18">
        <v>1.18E-2</v>
      </c>
    </row>
    <row r="23" spans="1:2" x14ac:dyDescent="0.25">
      <c r="A23" s="18">
        <v>13.5</v>
      </c>
      <c r="B23" s="18">
        <v>1.14E-2</v>
      </c>
    </row>
    <row r="24" spans="1:2" x14ac:dyDescent="0.25">
      <c r="A24" s="18">
        <v>14</v>
      </c>
      <c r="B24" s="18">
        <v>1.11E-2</v>
      </c>
    </row>
    <row r="25" spans="1:2" x14ac:dyDescent="0.25">
      <c r="A25" s="18">
        <v>14.5</v>
      </c>
      <c r="B25" s="18">
        <v>1.0500000000000001E-2</v>
      </c>
    </row>
    <row r="26" spans="1:2" x14ac:dyDescent="0.25">
      <c r="A26" s="18">
        <v>15</v>
      </c>
      <c r="B26" s="18">
        <v>1.01E-2</v>
      </c>
    </row>
    <row r="27" spans="1:2" x14ac:dyDescent="0.25">
      <c r="A27" s="18">
        <v>15.5</v>
      </c>
      <c r="B27" s="18">
        <v>9.7099999999999999E-3</v>
      </c>
    </row>
    <row r="28" spans="1:2" x14ac:dyDescent="0.25">
      <c r="A28" s="18">
        <v>16</v>
      </c>
      <c r="B28" s="18">
        <v>9.0799999999999995E-3</v>
      </c>
    </row>
    <row r="29" spans="1:2" x14ac:dyDescent="0.25">
      <c r="A29" s="18">
        <v>16.5</v>
      </c>
      <c r="B29" s="18">
        <v>8.6499999999999997E-3</v>
      </c>
    </row>
    <row r="30" spans="1:2" x14ac:dyDescent="0.25">
      <c r="A30" s="18">
        <v>17</v>
      </c>
      <c r="B30" s="18">
        <v>8.1799999999999998E-3</v>
      </c>
    </row>
    <row r="31" spans="1:2" x14ac:dyDescent="0.25">
      <c r="A31" s="18">
        <v>17.5</v>
      </c>
      <c r="B31" s="18">
        <v>7.6400000000000001E-3</v>
      </c>
    </row>
    <row r="32" spans="1:2" x14ac:dyDescent="0.25">
      <c r="A32" s="18">
        <v>18</v>
      </c>
      <c r="B32" s="18">
        <v>7.2100000000000003E-3</v>
      </c>
    </row>
    <row r="33" spans="1:2" x14ac:dyDescent="0.25">
      <c r="A33" s="18">
        <v>18.5</v>
      </c>
      <c r="B33" s="18">
        <v>6.77E-3</v>
      </c>
    </row>
    <row r="34" spans="1:2" x14ac:dyDescent="0.25">
      <c r="A34" s="18">
        <v>19</v>
      </c>
      <c r="B34" s="18">
        <v>6.3299999999999997E-3</v>
      </c>
    </row>
    <row r="35" spans="1:2" x14ac:dyDescent="0.25">
      <c r="A35" s="18">
        <v>19.5</v>
      </c>
      <c r="B35" s="18">
        <v>5.96E-3</v>
      </c>
    </row>
    <row r="36" spans="1:2" x14ac:dyDescent="0.25">
      <c r="A36" s="18">
        <v>20</v>
      </c>
      <c r="B36" s="18">
        <v>5.5599999999999998E-3</v>
      </c>
    </row>
    <row r="37" spans="1:2" x14ac:dyDescent="0.25">
      <c r="A37" s="18">
        <v>20.5</v>
      </c>
      <c r="B37" s="18">
        <v>5.1599999999999997E-3</v>
      </c>
    </row>
    <row r="38" spans="1:2" x14ac:dyDescent="0.25">
      <c r="A38" s="18">
        <v>21</v>
      </c>
      <c r="B38" s="18">
        <v>4.9199999999999999E-3</v>
      </c>
    </row>
    <row r="39" spans="1:2" x14ac:dyDescent="0.25">
      <c r="A39" s="18">
        <v>21.5</v>
      </c>
      <c r="B39" s="18">
        <v>4.62E-3</v>
      </c>
    </row>
    <row r="40" spans="1:2" x14ac:dyDescent="0.25">
      <c r="A40" s="18">
        <v>22</v>
      </c>
      <c r="B40" s="18">
        <v>4.3E-3</v>
      </c>
    </row>
    <row r="41" spans="1:2" x14ac:dyDescent="0.25">
      <c r="A41" s="18">
        <v>22.5</v>
      </c>
      <c r="B41" s="18">
        <v>4.0099999999999997E-3</v>
      </c>
    </row>
    <row r="42" spans="1:2" x14ac:dyDescent="0.25">
      <c r="A42" s="18">
        <v>23</v>
      </c>
      <c r="B42" s="18">
        <v>3.79E-3</v>
      </c>
    </row>
    <row r="43" spans="1:2" x14ac:dyDescent="0.25">
      <c r="A43" s="18">
        <v>23.5</v>
      </c>
      <c r="B43" s="18">
        <v>3.5599999999999998E-3</v>
      </c>
    </row>
    <row r="44" spans="1:2" x14ac:dyDescent="0.25">
      <c r="A44" s="18">
        <v>24</v>
      </c>
      <c r="B44" s="18">
        <v>3.31E-3</v>
      </c>
    </row>
    <row r="45" spans="1:2" x14ac:dyDescent="0.25">
      <c r="A45" s="18">
        <v>24.5</v>
      </c>
      <c r="B45" s="18">
        <v>3.14E-3</v>
      </c>
    </row>
    <row r="46" spans="1:2" x14ac:dyDescent="0.25">
      <c r="A46" s="18">
        <v>25</v>
      </c>
      <c r="B46" s="18">
        <v>2.9499999999999999E-3</v>
      </c>
    </row>
    <row r="47" spans="1:2" x14ac:dyDescent="0.25">
      <c r="A47" s="18">
        <v>25.5</v>
      </c>
      <c r="B47" s="18">
        <v>2.7599999999999999E-3</v>
      </c>
    </row>
    <row r="48" spans="1:2" x14ac:dyDescent="0.25">
      <c r="A48" s="18">
        <v>26</v>
      </c>
      <c r="B48" s="18">
        <v>2.5699999999999998E-3</v>
      </c>
    </row>
    <row r="49" spans="1:2" x14ac:dyDescent="0.25">
      <c r="A49" s="18">
        <v>26.5</v>
      </c>
      <c r="B49" s="18">
        <v>2.4399999999999999E-3</v>
      </c>
    </row>
    <row r="50" spans="1:2" x14ac:dyDescent="0.25">
      <c r="A50" s="18">
        <v>27</v>
      </c>
      <c r="B50" s="18">
        <v>2.2799999999999999E-3</v>
      </c>
    </row>
    <row r="51" spans="1:2" x14ac:dyDescent="0.25">
      <c r="A51" s="18">
        <v>27.5</v>
      </c>
      <c r="B51" s="18">
        <v>2.15E-3</v>
      </c>
    </row>
    <row r="52" spans="1:2" x14ac:dyDescent="0.25">
      <c r="A52" s="18">
        <v>28</v>
      </c>
      <c r="B52" s="18">
        <v>2.0200000000000001E-3</v>
      </c>
    </row>
    <row r="53" spans="1:2" x14ac:dyDescent="0.25">
      <c r="A53" s="18">
        <v>28.5</v>
      </c>
      <c r="B53" s="18">
        <v>1.9E-3</v>
      </c>
    </row>
    <row r="54" spans="1:2" x14ac:dyDescent="0.25">
      <c r="A54" s="18">
        <v>29</v>
      </c>
      <c r="B54" s="18">
        <v>1.7899999999999999E-3</v>
      </c>
    </row>
    <row r="55" spans="1:2" x14ac:dyDescent="0.25">
      <c r="A55" s="18">
        <v>29.5</v>
      </c>
      <c r="B55" s="18">
        <v>1.6900000000000001E-3</v>
      </c>
    </row>
    <row r="56" spans="1:2" x14ac:dyDescent="0.25">
      <c r="A56" s="18">
        <v>30</v>
      </c>
      <c r="B56" s="18">
        <v>1.6000000000000001E-3</v>
      </c>
    </row>
    <row r="57" spans="1:2" x14ac:dyDescent="0.25">
      <c r="A57" s="18">
        <v>30.5</v>
      </c>
      <c r="B57" s="18">
        <v>1.49E-3</v>
      </c>
    </row>
    <row r="58" spans="1:2" x14ac:dyDescent="0.25">
      <c r="A58" s="18">
        <v>31</v>
      </c>
      <c r="B58" s="18">
        <v>1.42E-3</v>
      </c>
    </row>
    <row r="59" spans="1:2" x14ac:dyDescent="0.25">
      <c r="A59" s="18">
        <v>31.5</v>
      </c>
      <c r="B59" s="18">
        <v>1.3500000000000001E-3</v>
      </c>
    </row>
    <row r="60" spans="1:2" x14ac:dyDescent="0.25">
      <c r="A60" s="18">
        <v>32</v>
      </c>
      <c r="B60" s="18">
        <v>1.2700000000000001E-3</v>
      </c>
    </row>
    <row r="61" spans="1:2" x14ac:dyDescent="0.25">
      <c r="A61" s="18">
        <v>32.5</v>
      </c>
      <c r="B61" s="18">
        <v>1.2099999999999999E-3</v>
      </c>
    </row>
    <row r="62" spans="1:2" x14ac:dyDescent="0.25">
      <c r="A62" s="18">
        <v>33</v>
      </c>
      <c r="B62" s="18">
        <v>1.1299999999999999E-3</v>
      </c>
    </row>
    <row r="63" spans="1:2" x14ac:dyDescent="0.25">
      <c r="A63" s="18">
        <v>33.5</v>
      </c>
      <c r="B63" s="18">
        <v>1.08E-3</v>
      </c>
    </row>
    <row r="64" spans="1:2" x14ac:dyDescent="0.25">
      <c r="A64" s="18">
        <v>34</v>
      </c>
      <c r="B64" s="18">
        <v>1.01E-3</v>
      </c>
    </row>
    <row r="65" spans="1:2" x14ac:dyDescent="0.25">
      <c r="A65" s="18">
        <v>34.5</v>
      </c>
      <c r="B65" s="18">
        <v>9.6900000000000003E-4</v>
      </c>
    </row>
    <row r="66" spans="1:2" x14ac:dyDescent="0.25">
      <c r="A66" s="18">
        <v>35</v>
      </c>
      <c r="B66" s="18">
        <v>9.2400000000000002E-4</v>
      </c>
    </row>
    <row r="67" spans="1:2" x14ac:dyDescent="0.25">
      <c r="A67" s="18">
        <v>35.5</v>
      </c>
      <c r="B67" s="18">
        <v>8.6700000000000004E-4</v>
      </c>
    </row>
    <row r="68" spans="1:2" x14ac:dyDescent="0.25">
      <c r="A68" s="18">
        <v>36</v>
      </c>
      <c r="B68" s="18">
        <v>8.4800000000000001E-4</v>
      </c>
    </row>
    <row r="69" spans="1:2" x14ac:dyDescent="0.25">
      <c r="A69" s="18">
        <v>36.5</v>
      </c>
      <c r="B69" s="18">
        <v>7.8299999999999995E-4</v>
      </c>
    </row>
    <row r="70" spans="1:2" x14ac:dyDescent="0.25">
      <c r="A70" s="18">
        <v>37</v>
      </c>
      <c r="B70" s="18">
        <v>7.4799999999999997E-4</v>
      </c>
    </row>
    <row r="71" spans="1:2" x14ac:dyDescent="0.25">
      <c r="A71" s="18">
        <v>37.5</v>
      </c>
      <c r="B71" s="18">
        <v>7.0799999999999997E-4</v>
      </c>
    </row>
    <row r="72" spans="1:2" x14ac:dyDescent="0.25">
      <c r="A72" s="18">
        <v>38</v>
      </c>
      <c r="B72" s="18">
        <v>6.6699999999999995E-4</v>
      </c>
    </row>
    <row r="73" spans="1:2" x14ac:dyDescent="0.25">
      <c r="A73" s="18">
        <v>38.5</v>
      </c>
      <c r="B73" s="18">
        <v>6.3500000000000004E-4</v>
      </c>
    </row>
    <row r="74" spans="1:2" x14ac:dyDescent="0.25">
      <c r="A74" s="18">
        <v>39</v>
      </c>
      <c r="B74" s="18">
        <v>5.9999999999999995E-4</v>
      </c>
    </row>
    <row r="75" spans="1:2" x14ac:dyDescent="0.25">
      <c r="A75" s="18">
        <v>39.5</v>
      </c>
      <c r="B75" s="18">
        <v>5.6800000000000004E-4</v>
      </c>
    </row>
    <row r="76" spans="1:2" x14ac:dyDescent="0.25">
      <c r="A76" s="18">
        <v>40</v>
      </c>
      <c r="B76" s="18">
        <v>5.4000000000000001E-4</v>
      </c>
    </row>
    <row r="77" spans="1:2" x14ac:dyDescent="0.25">
      <c r="A77" s="18">
        <v>40.5</v>
      </c>
      <c r="B77" s="18">
        <v>5.1500000000000005E-4</v>
      </c>
    </row>
    <row r="78" spans="1:2" x14ac:dyDescent="0.25">
      <c r="A78" s="18">
        <v>41</v>
      </c>
      <c r="B78" s="18">
        <v>4.9200000000000003E-4</v>
      </c>
    </row>
    <row r="79" spans="1:2" x14ac:dyDescent="0.25">
      <c r="A79" s="18">
        <v>41.5</v>
      </c>
      <c r="B79" s="18">
        <v>4.66E-4</v>
      </c>
    </row>
    <row r="80" spans="1:2" x14ac:dyDescent="0.25">
      <c r="A80" s="18">
        <v>42</v>
      </c>
      <c r="B80" s="18">
        <v>4.4200000000000001E-4</v>
      </c>
    </row>
    <row r="81" spans="1:2" x14ac:dyDescent="0.25">
      <c r="A81" s="18">
        <v>42.5</v>
      </c>
      <c r="B81" s="18">
        <v>4.28E-4</v>
      </c>
    </row>
    <row r="82" spans="1:2" x14ac:dyDescent="0.25">
      <c r="A82" s="18">
        <v>43</v>
      </c>
      <c r="B82" s="18">
        <v>4.0999999999999999E-4</v>
      </c>
    </row>
    <row r="83" spans="1:2" x14ac:dyDescent="0.25">
      <c r="A83" s="18">
        <v>43.5</v>
      </c>
      <c r="B83" s="18">
        <v>3.8699999999999997E-4</v>
      </c>
    </row>
    <row r="84" spans="1:2" x14ac:dyDescent="0.25">
      <c r="A84" s="18">
        <v>44</v>
      </c>
      <c r="B84" s="18">
        <v>3.6699999999999998E-4</v>
      </c>
    </row>
    <row r="85" spans="1:2" x14ac:dyDescent="0.25">
      <c r="A85" s="18">
        <v>44.5</v>
      </c>
      <c r="B85" s="18">
        <v>3.48E-4</v>
      </c>
    </row>
    <row r="86" spans="1:2" x14ac:dyDescent="0.25">
      <c r="A86" s="18">
        <v>45</v>
      </c>
      <c r="B86" s="18">
        <v>3.2899999999999997E-4</v>
      </c>
    </row>
    <row r="87" spans="1:2" x14ac:dyDescent="0.25">
      <c r="A87" s="18">
        <v>45.5</v>
      </c>
      <c r="B87" s="18">
        <v>3.1700000000000001E-4</v>
      </c>
    </row>
    <row r="88" spans="1:2" x14ac:dyDescent="0.25">
      <c r="A88" s="18">
        <v>46</v>
      </c>
      <c r="B88" s="18">
        <v>3.0299999999999999E-4</v>
      </c>
    </row>
    <row r="89" spans="1:2" x14ac:dyDescent="0.25">
      <c r="A89" s="18">
        <v>46.5</v>
      </c>
      <c r="B89" s="18">
        <v>2.8600000000000001E-4</v>
      </c>
    </row>
    <row r="90" spans="1:2" x14ac:dyDescent="0.25">
      <c r="A90" s="18">
        <v>47</v>
      </c>
      <c r="B90" s="18">
        <v>2.7300000000000002E-4</v>
      </c>
    </row>
    <row r="91" spans="1:2" x14ac:dyDescent="0.25">
      <c r="A91" s="18">
        <v>47.5</v>
      </c>
      <c r="B91" s="18">
        <v>2.5799999999999998E-4</v>
      </c>
    </row>
    <row r="92" spans="1:2" x14ac:dyDescent="0.25">
      <c r="A92" s="18">
        <v>48</v>
      </c>
      <c r="B92" s="18">
        <v>2.41E-4</v>
      </c>
    </row>
    <row r="93" spans="1:2" x14ac:dyDescent="0.25">
      <c r="A93" s="18">
        <v>48.5</v>
      </c>
      <c r="B93" s="18">
        <v>2.2599999999999999E-4</v>
      </c>
    </row>
    <row r="94" spans="1:2" x14ac:dyDescent="0.25">
      <c r="A94" s="18">
        <v>49</v>
      </c>
      <c r="B94" s="18">
        <v>2.1699999999999999E-4</v>
      </c>
    </row>
    <row r="95" spans="1:2" x14ac:dyDescent="0.25">
      <c r="A95" s="18">
        <v>49.5</v>
      </c>
      <c r="B95" s="18">
        <v>2.0599999999999999E-4</v>
      </c>
    </row>
    <row r="96" spans="1:2" x14ac:dyDescent="0.25">
      <c r="A96" s="18">
        <v>50</v>
      </c>
      <c r="B96" s="18">
        <v>1.9100000000000001E-4</v>
      </c>
    </row>
    <row r="97" spans="1:2" x14ac:dyDescent="0.25">
      <c r="A97" s="18">
        <v>50.5</v>
      </c>
      <c r="B97" s="18">
        <v>1.85E-4</v>
      </c>
    </row>
    <row r="98" spans="1:2" x14ac:dyDescent="0.25">
      <c r="A98" s="18">
        <v>51</v>
      </c>
      <c r="B98" s="18">
        <v>1.7200000000000001E-4</v>
      </c>
    </row>
    <row r="99" spans="1:2" x14ac:dyDescent="0.25">
      <c r="A99" s="18">
        <v>51.5</v>
      </c>
      <c r="B99" s="18">
        <v>1.6200000000000001E-4</v>
      </c>
    </row>
    <row r="100" spans="1:2" x14ac:dyDescent="0.25">
      <c r="A100" s="18">
        <v>52</v>
      </c>
      <c r="B100" s="18">
        <v>1.54E-4</v>
      </c>
    </row>
    <row r="101" spans="1:2" x14ac:dyDescent="0.25">
      <c r="A101" s="18">
        <v>52.5</v>
      </c>
      <c r="B101" s="18">
        <v>1.4200000000000001E-4</v>
      </c>
    </row>
    <row r="102" spans="1:2" x14ac:dyDescent="0.25">
      <c r="A102" s="18">
        <v>53</v>
      </c>
      <c r="B102" s="18">
        <v>1.37E-4</v>
      </c>
    </row>
    <row r="103" spans="1:2" x14ac:dyDescent="0.25">
      <c r="A103" s="18">
        <v>53.5</v>
      </c>
      <c r="B103" s="18">
        <v>1.2400000000000001E-4</v>
      </c>
    </row>
    <row r="104" spans="1:2" x14ac:dyDescent="0.25">
      <c r="A104" s="18">
        <v>54</v>
      </c>
      <c r="B104" s="18">
        <v>1.16E-4</v>
      </c>
    </row>
    <row r="105" spans="1:2" x14ac:dyDescent="0.25">
      <c r="A105" s="18">
        <v>54.5</v>
      </c>
      <c r="B105" s="18">
        <v>1.0399999999999999E-4</v>
      </c>
    </row>
    <row r="106" spans="1:2" x14ac:dyDescent="0.25">
      <c r="A106" s="18">
        <v>55</v>
      </c>
      <c r="B106" s="18">
        <v>9.9099999999999996E-5</v>
      </c>
    </row>
    <row r="107" spans="1:2" x14ac:dyDescent="0.25">
      <c r="A107" s="18">
        <v>55.5</v>
      </c>
      <c r="B107" s="18">
        <v>8.5900000000000001E-5</v>
      </c>
    </row>
    <row r="108" spans="1:2" x14ac:dyDescent="0.25">
      <c r="A108" s="18">
        <v>56</v>
      </c>
      <c r="B108" s="18">
        <v>7.9900000000000004E-5</v>
      </c>
    </row>
    <row r="109" spans="1:2" x14ac:dyDescent="0.25">
      <c r="A109" s="18">
        <v>56.5</v>
      </c>
      <c r="B109" s="18">
        <v>6.9800000000000003E-5</v>
      </c>
    </row>
    <row r="110" spans="1:2" x14ac:dyDescent="0.25">
      <c r="A110" s="18">
        <v>57</v>
      </c>
      <c r="B110" s="18">
        <v>6.3600000000000001E-5</v>
      </c>
    </row>
    <row r="111" spans="1:2" x14ac:dyDescent="0.25">
      <c r="A111" s="18">
        <v>57.5</v>
      </c>
      <c r="B111" s="18">
        <v>5.38E-5</v>
      </c>
    </row>
    <row r="112" spans="1:2" x14ac:dyDescent="0.25">
      <c r="A112" s="18">
        <v>58</v>
      </c>
      <c r="B112" s="18">
        <v>4.5300000000000003E-5</v>
      </c>
    </row>
    <row r="113" spans="1:2" x14ac:dyDescent="0.25">
      <c r="A113" s="18">
        <v>58.5</v>
      </c>
      <c r="B113" s="18">
        <v>3.4400000000000003E-5</v>
      </c>
    </row>
    <row r="114" spans="1:2" x14ac:dyDescent="0.25">
      <c r="A114" s="18">
        <v>59</v>
      </c>
      <c r="B114" s="18">
        <v>2.5899999999999999E-5</v>
      </c>
    </row>
    <row r="115" spans="1:2" x14ac:dyDescent="0.25">
      <c r="A115" s="18">
        <v>59.5</v>
      </c>
      <c r="B115" s="18">
        <v>1.52E-5</v>
      </c>
    </row>
    <row r="116" spans="1:2" x14ac:dyDescent="0.25">
      <c r="A116" s="18">
        <v>60</v>
      </c>
      <c r="B116" s="18">
        <v>4.3599999999999998E-6</v>
      </c>
    </row>
    <row r="117" spans="1:2" x14ac:dyDescent="0.25">
      <c r="A117" s="18">
        <v>60.5</v>
      </c>
      <c r="B117" s="18">
        <v>6.0200000000000002E-7</v>
      </c>
    </row>
    <row r="118" spans="1:2" x14ac:dyDescent="0.25">
      <c r="A118" s="18">
        <v>61</v>
      </c>
      <c r="B118" s="18">
        <v>3.8500000000000002E-7</v>
      </c>
    </row>
    <row r="119" spans="1:2" x14ac:dyDescent="0.25">
      <c r="A119" s="18">
        <v>61.5</v>
      </c>
      <c r="B119" s="18">
        <v>4.8999999999999997E-7</v>
      </c>
    </row>
    <row r="120" spans="1:2" x14ac:dyDescent="0.25">
      <c r="A120" s="18">
        <v>62</v>
      </c>
      <c r="B120" s="18">
        <v>7.23E-7</v>
      </c>
    </row>
  </sheetData>
  <pageMargins left="0.7" right="0.7" top="0.75" bottom="0.75" header="0.3" footer="0.3"/>
  <pageSetup paperSize="9" orientation="portrait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dimension ref="A1:B14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1.9900000000000001E-4</v>
      </c>
    </row>
    <row r="3" spans="1:2" x14ac:dyDescent="0.25">
      <c r="A3" s="18">
        <v>3.5</v>
      </c>
      <c r="B3" s="18">
        <v>3.2899999999999997E-4</v>
      </c>
    </row>
    <row r="4" spans="1:2" x14ac:dyDescent="0.25">
      <c r="A4" s="18">
        <v>4</v>
      </c>
      <c r="B4" s="18">
        <v>5.3499999999999999E-4</v>
      </c>
    </row>
    <row r="5" spans="1:2" x14ac:dyDescent="0.25">
      <c r="A5" s="18">
        <v>4.5</v>
      </c>
      <c r="B5" s="18">
        <v>7.0399999999999998E-4</v>
      </c>
    </row>
    <row r="6" spans="1:2" x14ac:dyDescent="0.25">
      <c r="A6" s="18">
        <v>5</v>
      </c>
      <c r="B6" s="18">
        <v>1.0200000000000001E-3</v>
      </c>
    </row>
    <row r="7" spans="1:2" x14ac:dyDescent="0.25">
      <c r="A7" s="18">
        <v>5.5</v>
      </c>
      <c r="B7" s="18">
        <v>1.74E-3</v>
      </c>
    </row>
    <row r="8" spans="1:2" x14ac:dyDescent="0.25">
      <c r="A8" s="18">
        <v>6</v>
      </c>
      <c r="B8" s="18">
        <v>3.3800000000000002E-3</v>
      </c>
    </row>
    <row r="9" spans="1:2" x14ac:dyDescent="0.25">
      <c r="A9" s="18">
        <v>6.5</v>
      </c>
      <c r="B9" s="18">
        <v>6.6899999999999998E-3</v>
      </c>
    </row>
    <row r="10" spans="1:2" x14ac:dyDescent="0.25">
      <c r="A10" s="18">
        <v>7</v>
      </c>
      <c r="B10" s="18">
        <v>1.11E-2</v>
      </c>
    </row>
    <row r="11" spans="1:2" x14ac:dyDescent="0.25">
      <c r="A11" s="18">
        <v>7.5</v>
      </c>
      <c r="B11" s="18">
        <v>1.95E-2</v>
      </c>
    </row>
    <row r="12" spans="1:2" x14ac:dyDescent="0.25">
      <c r="A12" s="18">
        <v>8</v>
      </c>
      <c r="B12" s="18">
        <v>3.9100000000000003E-2</v>
      </c>
    </row>
    <row r="13" spans="1:2" x14ac:dyDescent="0.25">
      <c r="A13" s="18">
        <v>8.5</v>
      </c>
      <c r="B13" s="18">
        <v>0.23899999999999999</v>
      </c>
    </row>
    <row r="14" spans="1:2" x14ac:dyDescent="0.25">
      <c r="A14" s="18">
        <v>9</v>
      </c>
      <c r="B14" s="18">
        <v>2.6599999999999999E-2</v>
      </c>
    </row>
    <row r="15" spans="1:2" x14ac:dyDescent="0.25">
      <c r="A15" s="18">
        <v>9.5</v>
      </c>
      <c r="B15" s="18">
        <v>0.154</v>
      </c>
    </row>
    <row r="16" spans="1:2" x14ac:dyDescent="0.25">
      <c r="A16" s="18">
        <v>10</v>
      </c>
      <c r="B16" s="18">
        <v>0.16700000000000001</v>
      </c>
    </row>
    <row r="17" spans="1:2" x14ac:dyDescent="0.25">
      <c r="A17" s="18">
        <v>10.5</v>
      </c>
      <c r="B17" s="18">
        <v>1.89E-2</v>
      </c>
    </row>
    <row r="18" spans="1:2" x14ac:dyDescent="0.25">
      <c r="A18" s="18">
        <v>11</v>
      </c>
      <c r="B18" s="18">
        <v>2.01E-2</v>
      </c>
    </row>
    <row r="19" spans="1:2" x14ac:dyDescent="0.25">
      <c r="A19" s="18">
        <v>11.5</v>
      </c>
      <c r="B19" s="18">
        <v>3.5000000000000003E-2</v>
      </c>
    </row>
    <row r="20" spans="1:2" x14ac:dyDescent="0.25">
      <c r="A20" s="18">
        <v>12</v>
      </c>
      <c r="B20" s="18">
        <v>1.5299999999999999E-2</v>
      </c>
    </row>
    <row r="21" spans="1:2" x14ac:dyDescent="0.25">
      <c r="A21" s="18">
        <v>12.5</v>
      </c>
      <c r="B21" s="18">
        <v>1.0999999999999999E-2</v>
      </c>
    </row>
    <row r="22" spans="1:2" x14ac:dyDescent="0.25">
      <c r="A22" s="18">
        <v>13</v>
      </c>
      <c r="B22" s="18">
        <v>1.09E-2</v>
      </c>
    </row>
    <row r="23" spans="1:2" x14ac:dyDescent="0.25">
      <c r="A23" s="18">
        <v>13.5</v>
      </c>
      <c r="B23" s="18">
        <v>1.06E-2</v>
      </c>
    </row>
    <row r="24" spans="1:2" x14ac:dyDescent="0.25">
      <c r="A24" s="18">
        <v>14</v>
      </c>
      <c r="B24" s="18">
        <v>1.0500000000000001E-2</v>
      </c>
    </row>
    <row r="25" spans="1:2" x14ac:dyDescent="0.25">
      <c r="A25" s="18">
        <v>14.5</v>
      </c>
      <c r="B25" s="18">
        <v>0.01</v>
      </c>
    </row>
    <row r="26" spans="1:2" x14ac:dyDescent="0.25">
      <c r="A26" s="18">
        <v>15</v>
      </c>
      <c r="B26" s="18">
        <v>9.75E-3</v>
      </c>
    </row>
    <row r="27" spans="1:2" x14ac:dyDescent="0.25">
      <c r="A27" s="18">
        <v>15.5</v>
      </c>
      <c r="B27" s="18">
        <v>9.3500000000000007E-3</v>
      </c>
    </row>
    <row r="28" spans="1:2" x14ac:dyDescent="0.25">
      <c r="A28" s="18">
        <v>16</v>
      </c>
      <c r="B28" s="18">
        <v>8.9800000000000001E-3</v>
      </c>
    </row>
    <row r="29" spans="1:2" x14ac:dyDescent="0.25">
      <c r="A29" s="18">
        <v>16.5</v>
      </c>
      <c r="B29" s="18">
        <v>8.5100000000000002E-3</v>
      </c>
    </row>
    <row r="30" spans="1:2" x14ac:dyDescent="0.25">
      <c r="A30" s="18">
        <v>17</v>
      </c>
      <c r="B30" s="18">
        <v>8.0700000000000008E-3</v>
      </c>
    </row>
    <row r="31" spans="1:2" x14ac:dyDescent="0.25">
      <c r="A31" s="18">
        <v>17.5</v>
      </c>
      <c r="B31" s="18">
        <v>7.6600000000000001E-3</v>
      </c>
    </row>
    <row r="32" spans="1:2" x14ac:dyDescent="0.25">
      <c r="A32" s="18">
        <v>18</v>
      </c>
      <c r="B32" s="18">
        <v>7.2199999999999999E-3</v>
      </c>
    </row>
    <row r="33" spans="1:2" x14ac:dyDescent="0.25">
      <c r="A33" s="18">
        <v>18.5</v>
      </c>
      <c r="B33" s="18">
        <v>6.8599999999999998E-3</v>
      </c>
    </row>
    <row r="34" spans="1:2" x14ac:dyDescent="0.25">
      <c r="A34" s="18">
        <v>19</v>
      </c>
      <c r="B34" s="18">
        <v>6.4700000000000001E-3</v>
      </c>
    </row>
    <row r="35" spans="1:2" x14ac:dyDescent="0.25">
      <c r="A35" s="18">
        <v>19.5</v>
      </c>
      <c r="B35" s="18">
        <v>6.13E-3</v>
      </c>
    </row>
    <row r="36" spans="1:2" x14ac:dyDescent="0.25">
      <c r="A36" s="18">
        <v>20</v>
      </c>
      <c r="B36" s="18">
        <v>5.7499999999999999E-3</v>
      </c>
    </row>
    <row r="37" spans="1:2" x14ac:dyDescent="0.25">
      <c r="A37" s="18">
        <v>20.5</v>
      </c>
      <c r="B37" s="18">
        <v>5.4099999999999999E-3</v>
      </c>
    </row>
    <row r="38" spans="1:2" x14ac:dyDescent="0.25">
      <c r="A38" s="18">
        <v>21</v>
      </c>
      <c r="B38" s="18">
        <v>5.1000000000000004E-3</v>
      </c>
    </row>
    <row r="39" spans="1:2" x14ac:dyDescent="0.25">
      <c r="A39" s="18">
        <v>21.5</v>
      </c>
      <c r="B39" s="18">
        <v>4.8199999999999996E-3</v>
      </c>
    </row>
    <row r="40" spans="1:2" x14ac:dyDescent="0.25">
      <c r="A40" s="18">
        <v>22</v>
      </c>
      <c r="B40" s="18">
        <v>4.5300000000000002E-3</v>
      </c>
    </row>
    <row r="41" spans="1:2" x14ac:dyDescent="0.25">
      <c r="A41" s="18">
        <v>22.5</v>
      </c>
      <c r="B41" s="18">
        <v>4.2900000000000004E-3</v>
      </c>
    </row>
    <row r="42" spans="1:2" x14ac:dyDescent="0.25">
      <c r="A42" s="18">
        <v>23</v>
      </c>
      <c r="B42" s="18">
        <v>4.0400000000000002E-3</v>
      </c>
    </row>
    <row r="43" spans="1:2" x14ac:dyDescent="0.25">
      <c r="A43" s="18">
        <v>23.5</v>
      </c>
      <c r="B43" s="18">
        <v>3.82E-3</v>
      </c>
    </row>
    <row r="44" spans="1:2" x14ac:dyDescent="0.25">
      <c r="A44" s="18">
        <v>24</v>
      </c>
      <c r="B44" s="18">
        <v>3.5799999999999998E-3</v>
      </c>
    </row>
    <row r="45" spans="1:2" x14ac:dyDescent="0.25">
      <c r="A45" s="18">
        <v>24.5</v>
      </c>
      <c r="B45" s="18">
        <v>3.3700000000000002E-3</v>
      </c>
    </row>
    <row r="46" spans="1:2" x14ac:dyDescent="0.25">
      <c r="A46" s="18">
        <v>25</v>
      </c>
      <c r="B46" s="18">
        <v>3.1700000000000001E-3</v>
      </c>
    </row>
    <row r="47" spans="1:2" x14ac:dyDescent="0.25">
      <c r="A47" s="18">
        <v>25.5</v>
      </c>
      <c r="B47" s="18">
        <v>2.99E-3</v>
      </c>
    </row>
    <row r="48" spans="1:2" x14ac:dyDescent="0.25">
      <c r="A48" s="18">
        <v>26</v>
      </c>
      <c r="B48" s="18">
        <v>2.82E-3</v>
      </c>
    </row>
    <row r="49" spans="1:2" x14ac:dyDescent="0.25">
      <c r="A49" s="18">
        <v>26.5</v>
      </c>
      <c r="B49" s="18">
        <v>2.6900000000000001E-3</v>
      </c>
    </row>
    <row r="50" spans="1:2" x14ac:dyDescent="0.25">
      <c r="A50" s="18">
        <v>27</v>
      </c>
      <c r="B50" s="18">
        <v>2.5200000000000001E-3</v>
      </c>
    </row>
    <row r="51" spans="1:2" x14ac:dyDescent="0.25">
      <c r="A51" s="18">
        <v>27.5</v>
      </c>
      <c r="B51" s="18">
        <v>2.3600000000000001E-3</v>
      </c>
    </row>
    <row r="52" spans="1:2" x14ac:dyDescent="0.25">
      <c r="A52" s="18">
        <v>28</v>
      </c>
      <c r="B52" s="18">
        <v>2.2499999999999998E-3</v>
      </c>
    </row>
    <row r="53" spans="1:2" x14ac:dyDescent="0.25">
      <c r="A53" s="18">
        <v>28.5</v>
      </c>
      <c r="B53" s="18">
        <v>2.1199999999999999E-3</v>
      </c>
    </row>
    <row r="54" spans="1:2" x14ac:dyDescent="0.25">
      <c r="A54" s="18">
        <v>29</v>
      </c>
      <c r="B54" s="18">
        <v>2.0100000000000001E-3</v>
      </c>
    </row>
    <row r="55" spans="1:2" x14ac:dyDescent="0.25">
      <c r="A55" s="18">
        <v>29.5</v>
      </c>
      <c r="B55" s="18">
        <v>1.89E-3</v>
      </c>
    </row>
    <row r="56" spans="1:2" x14ac:dyDescent="0.25">
      <c r="A56" s="18">
        <v>30</v>
      </c>
      <c r="B56" s="18">
        <v>1.7899999999999999E-3</v>
      </c>
    </row>
    <row r="57" spans="1:2" x14ac:dyDescent="0.25">
      <c r="A57" s="18">
        <v>30.5</v>
      </c>
      <c r="B57" s="18">
        <v>1.6900000000000001E-3</v>
      </c>
    </row>
    <row r="58" spans="1:2" x14ac:dyDescent="0.25">
      <c r="A58" s="18">
        <v>31</v>
      </c>
      <c r="B58" s="18">
        <v>1.6299999999999999E-3</v>
      </c>
    </row>
    <row r="59" spans="1:2" x14ac:dyDescent="0.25">
      <c r="A59" s="18">
        <v>31.5</v>
      </c>
      <c r="B59" s="18">
        <v>1.5399999999999999E-3</v>
      </c>
    </row>
    <row r="60" spans="1:2" x14ac:dyDescent="0.25">
      <c r="A60" s="18">
        <v>32</v>
      </c>
      <c r="B60" s="18">
        <v>1.4599999999999999E-3</v>
      </c>
    </row>
    <row r="61" spans="1:2" x14ac:dyDescent="0.25">
      <c r="A61" s="18">
        <v>32.5</v>
      </c>
      <c r="B61" s="18">
        <v>1.39E-3</v>
      </c>
    </row>
    <row r="62" spans="1:2" x14ac:dyDescent="0.25">
      <c r="A62" s="18">
        <v>33</v>
      </c>
      <c r="B62" s="18">
        <v>1.32E-3</v>
      </c>
    </row>
    <row r="63" spans="1:2" x14ac:dyDescent="0.25">
      <c r="A63" s="18">
        <v>33.5</v>
      </c>
      <c r="B63" s="18">
        <v>1.2600000000000001E-3</v>
      </c>
    </row>
    <row r="64" spans="1:2" x14ac:dyDescent="0.25">
      <c r="A64" s="18">
        <v>34</v>
      </c>
      <c r="B64" s="18">
        <v>1.1999999999999999E-3</v>
      </c>
    </row>
    <row r="65" spans="1:2" x14ac:dyDescent="0.25">
      <c r="A65" s="18">
        <v>34.5</v>
      </c>
      <c r="B65" s="18">
        <v>1.14E-3</v>
      </c>
    </row>
    <row r="66" spans="1:2" x14ac:dyDescent="0.25">
      <c r="A66" s="18">
        <v>35</v>
      </c>
      <c r="B66" s="18">
        <v>1.08E-3</v>
      </c>
    </row>
    <row r="67" spans="1:2" x14ac:dyDescent="0.25">
      <c r="A67" s="18">
        <v>35.5</v>
      </c>
      <c r="B67" s="18">
        <v>1.0399999999999999E-3</v>
      </c>
    </row>
    <row r="68" spans="1:2" x14ac:dyDescent="0.25">
      <c r="A68" s="18">
        <v>36</v>
      </c>
      <c r="B68" s="18">
        <v>9.7400000000000004E-4</v>
      </c>
    </row>
    <row r="69" spans="1:2" x14ac:dyDescent="0.25">
      <c r="A69" s="18">
        <v>36.5</v>
      </c>
      <c r="B69" s="18">
        <v>9.4300000000000004E-4</v>
      </c>
    </row>
    <row r="70" spans="1:2" x14ac:dyDescent="0.25">
      <c r="A70" s="18">
        <v>37</v>
      </c>
      <c r="B70" s="18">
        <v>8.8999999999999995E-4</v>
      </c>
    </row>
    <row r="71" spans="1:2" x14ac:dyDescent="0.25">
      <c r="A71" s="18">
        <v>37.5</v>
      </c>
      <c r="B71" s="18">
        <v>8.5499999999999997E-4</v>
      </c>
    </row>
    <row r="72" spans="1:2" x14ac:dyDescent="0.25">
      <c r="A72" s="18">
        <v>38</v>
      </c>
      <c r="B72" s="18">
        <v>8.1400000000000005E-4</v>
      </c>
    </row>
    <row r="73" spans="1:2" x14ac:dyDescent="0.25">
      <c r="A73" s="18">
        <v>38.5</v>
      </c>
      <c r="B73" s="18">
        <v>7.6300000000000001E-4</v>
      </c>
    </row>
    <row r="74" spans="1:2" x14ac:dyDescent="0.25">
      <c r="A74" s="18">
        <v>39</v>
      </c>
      <c r="B74" s="18">
        <v>7.3999999999999999E-4</v>
      </c>
    </row>
    <row r="75" spans="1:2" x14ac:dyDescent="0.25">
      <c r="A75" s="18">
        <v>39.5</v>
      </c>
      <c r="B75" s="18">
        <v>6.9999999999999999E-4</v>
      </c>
    </row>
    <row r="76" spans="1:2" x14ac:dyDescent="0.25">
      <c r="A76" s="18">
        <v>40</v>
      </c>
      <c r="B76" s="18">
        <v>6.6100000000000002E-4</v>
      </c>
    </row>
    <row r="77" spans="1:2" x14ac:dyDescent="0.25">
      <c r="A77" s="18">
        <v>40.5</v>
      </c>
      <c r="B77" s="18">
        <v>6.4199999999999999E-4</v>
      </c>
    </row>
    <row r="78" spans="1:2" x14ac:dyDescent="0.25">
      <c r="A78" s="18">
        <v>41</v>
      </c>
      <c r="B78" s="18">
        <v>6.1799999999999995E-4</v>
      </c>
    </row>
    <row r="79" spans="1:2" x14ac:dyDescent="0.25">
      <c r="A79" s="18">
        <v>41.5</v>
      </c>
      <c r="B79" s="18">
        <v>5.9800000000000001E-4</v>
      </c>
    </row>
    <row r="80" spans="1:2" x14ac:dyDescent="0.25">
      <c r="A80" s="18">
        <v>42</v>
      </c>
      <c r="B80" s="18">
        <v>5.6300000000000002E-4</v>
      </c>
    </row>
    <row r="81" spans="1:2" x14ac:dyDescent="0.25">
      <c r="A81" s="18">
        <v>42.5</v>
      </c>
      <c r="B81" s="18">
        <v>5.4199999999999995E-4</v>
      </c>
    </row>
    <row r="82" spans="1:2" x14ac:dyDescent="0.25">
      <c r="A82" s="18">
        <v>43</v>
      </c>
      <c r="B82" s="18">
        <v>5.1599999999999997E-4</v>
      </c>
    </row>
    <row r="83" spans="1:2" x14ac:dyDescent="0.25">
      <c r="A83" s="18">
        <v>43.5</v>
      </c>
      <c r="B83" s="18">
        <v>5.0100000000000003E-4</v>
      </c>
    </row>
    <row r="84" spans="1:2" x14ac:dyDescent="0.25">
      <c r="A84" s="18">
        <v>44</v>
      </c>
      <c r="B84" s="18">
        <v>4.8899999999999996E-4</v>
      </c>
    </row>
    <row r="85" spans="1:2" x14ac:dyDescent="0.25">
      <c r="A85" s="18">
        <v>44.5</v>
      </c>
      <c r="B85" s="18">
        <v>4.6500000000000003E-4</v>
      </c>
    </row>
    <row r="86" spans="1:2" x14ac:dyDescent="0.25">
      <c r="A86" s="18">
        <v>45</v>
      </c>
      <c r="B86" s="18">
        <v>4.4299999999999998E-4</v>
      </c>
    </row>
    <row r="87" spans="1:2" x14ac:dyDescent="0.25">
      <c r="A87" s="18">
        <v>45.5</v>
      </c>
      <c r="B87" s="18">
        <v>4.28E-4</v>
      </c>
    </row>
    <row r="88" spans="1:2" x14ac:dyDescent="0.25">
      <c r="A88" s="18">
        <v>46</v>
      </c>
      <c r="B88" s="18">
        <v>4.1399999999999998E-4</v>
      </c>
    </row>
    <row r="89" spans="1:2" x14ac:dyDescent="0.25">
      <c r="A89" s="18">
        <v>46.5</v>
      </c>
      <c r="B89" s="18">
        <v>3.9800000000000002E-4</v>
      </c>
    </row>
    <row r="90" spans="1:2" x14ac:dyDescent="0.25">
      <c r="A90" s="18">
        <v>47</v>
      </c>
      <c r="B90" s="18">
        <v>3.7300000000000001E-4</v>
      </c>
    </row>
    <row r="91" spans="1:2" x14ac:dyDescent="0.25">
      <c r="A91" s="18">
        <v>47.5</v>
      </c>
      <c r="B91" s="18">
        <v>3.59E-4</v>
      </c>
    </row>
    <row r="92" spans="1:2" x14ac:dyDescent="0.25">
      <c r="A92" s="18">
        <v>48</v>
      </c>
      <c r="B92" s="18">
        <v>3.5100000000000002E-4</v>
      </c>
    </row>
    <row r="93" spans="1:2" x14ac:dyDescent="0.25">
      <c r="A93" s="18">
        <v>48.5</v>
      </c>
      <c r="B93" s="18">
        <v>3.3500000000000001E-4</v>
      </c>
    </row>
    <row r="94" spans="1:2" x14ac:dyDescent="0.25">
      <c r="A94" s="18">
        <v>49</v>
      </c>
      <c r="B94" s="18">
        <v>3.2200000000000002E-4</v>
      </c>
    </row>
    <row r="95" spans="1:2" x14ac:dyDescent="0.25">
      <c r="A95" s="18">
        <v>49.5</v>
      </c>
      <c r="B95" s="18">
        <v>3.1100000000000002E-4</v>
      </c>
    </row>
    <row r="96" spans="1:2" x14ac:dyDescent="0.25">
      <c r="A96" s="18">
        <v>50</v>
      </c>
      <c r="B96" s="18">
        <v>2.9500000000000001E-4</v>
      </c>
    </row>
    <row r="97" spans="1:2" x14ac:dyDescent="0.25">
      <c r="A97" s="18">
        <v>50.5</v>
      </c>
      <c r="B97" s="18">
        <v>2.8800000000000001E-4</v>
      </c>
    </row>
    <row r="98" spans="1:2" x14ac:dyDescent="0.25">
      <c r="A98" s="18">
        <v>51</v>
      </c>
      <c r="B98" s="18">
        <v>2.7399999999999999E-4</v>
      </c>
    </row>
    <row r="99" spans="1:2" x14ac:dyDescent="0.25">
      <c r="A99" s="18">
        <v>51.5</v>
      </c>
      <c r="B99" s="18">
        <v>2.6400000000000002E-4</v>
      </c>
    </row>
    <row r="100" spans="1:2" x14ac:dyDescent="0.25">
      <c r="A100" s="18">
        <v>52</v>
      </c>
      <c r="B100" s="18">
        <v>2.5599999999999999E-4</v>
      </c>
    </row>
    <row r="101" spans="1:2" x14ac:dyDescent="0.25">
      <c r="A101" s="18">
        <v>52.5</v>
      </c>
      <c r="B101" s="18">
        <v>2.4600000000000002E-4</v>
      </c>
    </row>
    <row r="102" spans="1:2" x14ac:dyDescent="0.25">
      <c r="A102" s="18">
        <v>53</v>
      </c>
      <c r="B102" s="18">
        <v>2.4000000000000001E-4</v>
      </c>
    </row>
    <row r="103" spans="1:2" x14ac:dyDescent="0.25">
      <c r="A103" s="18">
        <v>53.5</v>
      </c>
      <c r="B103" s="18">
        <v>2.2900000000000001E-4</v>
      </c>
    </row>
    <row r="104" spans="1:2" x14ac:dyDescent="0.25">
      <c r="A104" s="18">
        <v>54</v>
      </c>
      <c r="B104" s="18">
        <v>2.1800000000000001E-4</v>
      </c>
    </row>
    <row r="105" spans="1:2" x14ac:dyDescent="0.25">
      <c r="A105" s="18">
        <v>54.5</v>
      </c>
      <c r="B105" s="18">
        <v>2.13E-4</v>
      </c>
    </row>
    <row r="106" spans="1:2" x14ac:dyDescent="0.25">
      <c r="A106" s="18">
        <v>55</v>
      </c>
      <c r="B106" s="18">
        <v>2.0599999999999999E-4</v>
      </c>
    </row>
    <row r="107" spans="1:2" x14ac:dyDescent="0.25">
      <c r="A107" s="18">
        <v>55.5</v>
      </c>
      <c r="B107" s="18">
        <v>1.93E-4</v>
      </c>
    </row>
    <row r="108" spans="1:2" x14ac:dyDescent="0.25">
      <c r="A108" s="18">
        <v>56</v>
      </c>
      <c r="B108" s="18">
        <v>1.83E-4</v>
      </c>
    </row>
    <row r="109" spans="1:2" x14ac:dyDescent="0.25">
      <c r="A109" s="18">
        <v>56.5</v>
      </c>
      <c r="B109" s="18">
        <v>1.8200000000000001E-4</v>
      </c>
    </row>
    <row r="110" spans="1:2" x14ac:dyDescent="0.25">
      <c r="A110" s="18">
        <v>57</v>
      </c>
      <c r="B110" s="18">
        <v>1.6899999999999999E-4</v>
      </c>
    </row>
    <row r="111" spans="1:2" x14ac:dyDescent="0.25">
      <c r="A111" s="18">
        <v>57.5</v>
      </c>
      <c r="B111" s="18">
        <v>1.64E-4</v>
      </c>
    </row>
    <row r="112" spans="1:2" x14ac:dyDescent="0.25">
      <c r="A112" s="18">
        <v>58</v>
      </c>
      <c r="B112" s="18">
        <v>1.55E-4</v>
      </c>
    </row>
    <row r="113" spans="1:2" x14ac:dyDescent="0.25">
      <c r="A113" s="18">
        <v>58.5</v>
      </c>
      <c r="B113" s="18">
        <v>1.4999999999999999E-4</v>
      </c>
    </row>
    <row r="114" spans="1:2" x14ac:dyDescent="0.25">
      <c r="A114" s="18">
        <v>59</v>
      </c>
      <c r="B114" s="18">
        <v>1.4200000000000001E-4</v>
      </c>
    </row>
    <row r="115" spans="1:2" x14ac:dyDescent="0.25">
      <c r="A115" s="18">
        <v>59.5</v>
      </c>
      <c r="B115" s="18">
        <v>1.35E-4</v>
      </c>
    </row>
    <row r="116" spans="1:2" x14ac:dyDescent="0.25">
      <c r="A116" s="18">
        <v>60</v>
      </c>
      <c r="B116" s="18">
        <v>1.2999999999999999E-4</v>
      </c>
    </row>
    <row r="117" spans="1:2" x14ac:dyDescent="0.25">
      <c r="A117" s="18">
        <v>60.5</v>
      </c>
      <c r="B117" s="18">
        <v>1.2300000000000001E-4</v>
      </c>
    </row>
    <row r="118" spans="1:2" x14ac:dyDescent="0.25">
      <c r="A118" s="18">
        <v>61</v>
      </c>
      <c r="B118" s="18">
        <v>1.13E-4</v>
      </c>
    </row>
    <row r="119" spans="1:2" x14ac:dyDescent="0.25">
      <c r="A119" s="18">
        <v>61.5</v>
      </c>
      <c r="B119" s="18">
        <v>1.0900000000000001E-4</v>
      </c>
    </row>
    <row r="120" spans="1:2" x14ac:dyDescent="0.25">
      <c r="A120" s="18">
        <v>62</v>
      </c>
      <c r="B120" s="18">
        <v>1.03E-4</v>
      </c>
    </row>
    <row r="121" spans="1:2" x14ac:dyDescent="0.25">
      <c r="A121" s="18">
        <v>62.5</v>
      </c>
      <c r="B121" s="18">
        <v>9.9699999999999998E-5</v>
      </c>
    </row>
    <row r="122" spans="1:2" x14ac:dyDescent="0.25">
      <c r="A122" s="18">
        <v>63</v>
      </c>
      <c r="B122" s="18">
        <v>9.1799999999999995E-5</v>
      </c>
    </row>
    <row r="123" spans="1:2" x14ac:dyDescent="0.25">
      <c r="A123" s="18">
        <v>63.5</v>
      </c>
      <c r="B123" s="18">
        <v>8.6399999999999999E-5</v>
      </c>
    </row>
    <row r="124" spans="1:2" x14ac:dyDescent="0.25">
      <c r="A124" s="18">
        <v>64</v>
      </c>
      <c r="B124" s="18">
        <v>8.1500000000000002E-5</v>
      </c>
    </row>
    <row r="125" spans="1:2" x14ac:dyDescent="0.25">
      <c r="A125" s="18">
        <v>64.5</v>
      </c>
      <c r="B125" s="18">
        <v>7.47E-5</v>
      </c>
    </row>
    <row r="126" spans="1:2" x14ac:dyDescent="0.25">
      <c r="A126" s="18">
        <v>65</v>
      </c>
      <c r="B126" s="18">
        <v>6.7999999999999999E-5</v>
      </c>
    </row>
    <row r="127" spans="1:2" x14ac:dyDescent="0.25">
      <c r="A127" s="18">
        <v>65.5</v>
      </c>
      <c r="B127" s="18">
        <v>6.4300000000000004E-5</v>
      </c>
    </row>
    <row r="128" spans="1:2" x14ac:dyDescent="0.25">
      <c r="A128" s="18">
        <v>66</v>
      </c>
      <c r="B128" s="18">
        <v>5.6499999999999998E-5</v>
      </c>
    </row>
    <row r="129" spans="1:2" x14ac:dyDescent="0.25">
      <c r="A129" s="18">
        <v>66.5</v>
      </c>
      <c r="B129" s="18">
        <v>5.1400000000000003E-5</v>
      </c>
    </row>
    <row r="130" spans="1:2" x14ac:dyDescent="0.25">
      <c r="A130" s="18">
        <v>67</v>
      </c>
      <c r="B130" s="18">
        <v>4.49E-5</v>
      </c>
    </row>
    <row r="131" spans="1:2" x14ac:dyDescent="0.25">
      <c r="A131" s="18">
        <v>67.5</v>
      </c>
      <c r="B131" s="18">
        <v>3.9199999999999997E-5</v>
      </c>
    </row>
    <row r="132" spans="1:2" x14ac:dyDescent="0.25">
      <c r="A132" s="18">
        <v>68</v>
      </c>
      <c r="B132" s="18">
        <v>3.2100000000000001E-5</v>
      </c>
    </row>
    <row r="133" spans="1:2" x14ac:dyDescent="0.25">
      <c r="A133" s="18">
        <v>68.5</v>
      </c>
      <c r="B133" s="18">
        <v>2.5299999999999998E-5</v>
      </c>
    </row>
    <row r="134" spans="1:2" x14ac:dyDescent="0.25">
      <c r="A134" s="18">
        <v>69</v>
      </c>
      <c r="B134" s="18">
        <v>1.8300000000000001E-5</v>
      </c>
    </row>
    <row r="135" spans="1:2" x14ac:dyDescent="0.25">
      <c r="A135" s="18">
        <v>69.5</v>
      </c>
      <c r="B135" s="18">
        <v>1.13E-5</v>
      </c>
    </row>
    <row r="136" spans="1:2" x14ac:dyDescent="0.25">
      <c r="A136" s="18">
        <v>70</v>
      </c>
      <c r="B136" s="18">
        <v>2.74E-6</v>
      </c>
    </row>
    <row r="137" spans="1:2" x14ac:dyDescent="0.25">
      <c r="A137" s="18">
        <v>70.5</v>
      </c>
      <c r="B137" s="18">
        <v>1.06E-7</v>
      </c>
    </row>
    <row r="138" spans="1:2" x14ac:dyDescent="0.25">
      <c r="A138" s="18">
        <v>71</v>
      </c>
      <c r="B138" s="18">
        <v>1.2100000000000001E-8</v>
      </c>
    </row>
    <row r="139" spans="1:2" x14ac:dyDescent="0.25">
      <c r="A139" s="18">
        <v>71.5</v>
      </c>
      <c r="B139" s="18">
        <v>9.3100000000000006E-8</v>
      </c>
    </row>
    <row r="140" spans="1:2" x14ac:dyDescent="0.25">
      <c r="A140" s="18">
        <v>72</v>
      </c>
      <c r="B140" s="18">
        <v>8.8800000000000001E-8</v>
      </c>
    </row>
  </sheetData>
  <pageMargins left="0.7" right="0.7" top="0.75" bottom="0.75" header="0.3" footer="0.3"/>
  <pageSetup paperSize="9" orientation="portrait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dimension ref="A1:B16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2.0799999999999999E-4</v>
      </c>
    </row>
    <row r="3" spans="1:2" x14ac:dyDescent="0.25">
      <c r="A3" s="18">
        <v>3.5</v>
      </c>
      <c r="B3" s="18">
        <v>4.6000000000000001E-4</v>
      </c>
    </row>
    <row r="4" spans="1:2" x14ac:dyDescent="0.25">
      <c r="A4" s="18">
        <v>4</v>
      </c>
      <c r="B4" s="18">
        <v>4.46E-4</v>
      </c>
    </row>
    <row r="5" spans="1:2" x14ac:dyDescent="0.25">
      <c r="A5" s="18">
        <v>4.5</v>
      </c>
      <c r="B5" s="18">
        <v>6.6E-4</v>
      </c>
    </row>
    <row r="6" spans="1:2" x14ac:dyDescent="0.25">
      <c r="A6" s="18">
        <v>5</v>
      </c>
      <c r="B6" s="18">
        <v>1.0200000000000001E-3</v>
      </c>
    </row>
    <row r="7" spans="1:2" x14ac:dyDescent="0.25">
      <c r="A7" s="18">
        <v>5.5</v>
      </c>
      <c r="B7" s="18">
        <v>1.67E-3</v>
      </c>
    </row>
    <row r="8" spans="1:2" x14ac:dyDescent="0.25">
      <c r="A8" s="18">
        <v>6</v>
      </c>
      <c r="B8" s="18">
        <v>3.2299999999999998E-3</v>
      </c>
    </row>
    <row r="9" spans="1:2" x14ac:dyDescent="0.25">
      <c r="A9" s="18">
        <v>6.5</v>
      </c>
      <c r="B9" s="18">
        <v>6.2599999999999999E-3</v>
      </c>
    </row>
    <row r="10" spans="1:2" x14ac:dyDescent="0.25">
      <c r="A10" s="18">
        <v>7</v>
      </c>
      <c r="B10" s="18">
        <v>1.0200000000000001E-2</v>
      </c>
    </row>
    <row r="11" spans="1:2" x14ac:dyDescent="0.25">
      <c r="A11" s="18">
        <v>7.5</v>
      </c>
      <c r="B11" s="18">
        <v>1.8100000000000002E-2</v>
      </c>
    </row>
    <row r="12" spans="1:2" x14ac:dyDescent="0.25">
      <c r="A12" s="18">
        <v>8</v>
      </c>
      <c r="B12" s="18">
        <v>3.7600000000000001E-2</v>
      </c>
    </row>
    <row r="13" spans="1:2" x14ac:dyDescent="0.25">
      <c r="A13" s="18">
        <v>8.5</v>
      </c>
      <c r="B13" s="18">
        <v>0.23599999999999999</v>
      </c>
    </row>
    <row r="14" spans="1:2" x14ac:dyDescent="0.25">
      <c r="A14" s="18">
        <v>9</v>
      </c>
      <c r="B14" s="18">
        <v>2.6200000000000001E-2</v>
      </c>
    </row>
    <row r="15" spans="1:2" x14ac:dyDescent="0.25">
      <c r="A15" s="18">
        <v>9.5</v>
      </c>
      <c r="B15" s="18">
        <v>0.154</v>
      </c>
    </row>
    <row r="16" spans="1:2" x14ac:dyDescent="0.25">
      <c r="A16" s="18">
        <v>10</v>
      </c>
      <c r="B16" s="18">
        <v>0.17100000000000001</v>
      </c>
    </row>
    <row r="17" spans="1:2" x14ac:dyDescent="0.25">
      <c r="A17" s="18">
        <v>10.5</v>
      </c>
      <c r="B17" s="18">
        <v>1.84E-2</v>
      </c>
    </row>
    <row r="18" spans="1:2" x14ac:dyDescent="0.25">
      <c r="A18" s="18">
        <v>11</v>
      </c>
      <c r="B18" s="18">
        <v>1.89E-2</v>
      </c>
    </row>
    <row r="19" spans="1:2" x14ac:dyDescent="0.25">
      <c r="A19" s="18">
        <v>11.5</v>
      </c>
      <c r="B19" s="18">
        <v>3.4099999999999998E-2</v>
      </c>
    </row>
    <row r="20" spans="1:2" x14ac:dyDescent="0.25">
      <c r="A20" s="18">
        <v>12</v>
      </c>
      <c r="B20" s="18">
        <v>1.41E-2</v>
      </c>
    </row>
    <row r="21" spans="1:2" x14ac:dyDescent="0.25">
      <c r="A21" s="18">
        <v>12.5</v>
      </c>
      <c r="B21" s="18">
        <v>1.0200000000000001E-2</v>
      </c>
    </row>
    <row r="22" spans="1:2" x14ac:dyDescent="0.25">
      <c r="A22" s="18">
        <v>13</v>
      </c>
      <c r="B22" s="18">
        <v>1.01E-2</v>
      </c>
    </row>
    <row r="23" spans="1:2" x14ac:dyDescent="0.25">
      <c r="A23" s="18">
        <v>13.5</v>
      </c>
      <c r="B23" s="18">
        <v>9.8499999999999994E-3</v>
      </c>
    </row>
    <row r="24" spans="1:2" x14ac:dyDescent="0.25">
      <c r="A24" s="18">
        <v>14</v>
      </c>
      <c r="B24" s="18">
        <v>9.8799999999999999E-3</v>
      </c>
    </row>
    <row r="25" spans="1:2" x14ac:dyDescent="0.25">
      <c r="A25" s="18">
        <v>14.5</v>
      </c>
      <c r="B25" s="18">
        <v>9.6500000000000006E-3</v>
      </c>
    </row>
    <row r="26" spans="1:2" x14ac:dyDescent="0.25">
      <c r="A26" s="18">
        <v>15</v>
      </c>
      <c r="B26" s="18">
        <v>9.3799999999999994E-3</v>
      </c>
    </row>
    <row r="27" spans="1:2" x14ac:dyDescent="0.25">
      <c r="A27" s="18">
        <v>15.5</v>
      </c>
      <c r="B27" s="18">
        <v>9.0200000000000002E-3</v>
      </c>
    </row>
    <row r="28" spans="1:2" x14ac:dyDescent="0.25">
      <c r="A28" s="18">
        <v>16</v>
      </c>
      <c r="B28" s="18">
        <v>8.6999999999999994E-3</v>
      </c>
    </row>
    <row r="29" spans="1:2" x14ac:dyDescent="0.25">
      <c r="A29" s="18">
        <v>16.5</v>
      </c>
      <c r="B29" s="18">
        <v>8.2699999999999996E-3</v>
      </c>
    </row>
    <row r="30" spans="1:2" x14ac:dyDescent="0.25">
      <c r="A30" s="18">
        <v>17</v>
      </c>
      <c r="B30" s="18">
        <v>7.8700000000000003E-3</v>
      </c>
    </row>
    <row r="31" spans="1:2" x14ac:dyDescent="0.25">
      <c r="A31" s="18">
        <v>17.5</v>
      </c>
      <c r="B31" s="18">
        <v>7.5700000000000003E-3</v>
      </c>
    </row>
    <row r="32" spans="1:2" x14ac:dyDescent="0.25">
      <c r="A32" s="18">
        <v>18</v>
      </c>
      <c r="B32" s="18">
        <v>7.1300000000000001E-3</v>
      </c>
    </row>
    <row r="33" spans="1:2" x14ac:dyDescent="0.25">
      <c r="A33" s="18">
        <v>18.5</v>
      </c>
      <c r="B33" s="18">
        <v>6.8500000000000002E-3</v>
      </c>
    </row>
    <row r="34" spans="1:2" x14ac:dyDescent="0.25">
      <c r="A34" s="18">
        <v>19</v>
      </c>
      <c r="B34" s="18">
        <v>6.5500000000000003E-3</v>
      </c>
    </row>
    <row r="35" spans="1:2" x14ac:dyDescent="0.25">
      <c r="A35" s="18">
        <v>19.5</v>
      </c>
      <c r="B35" s="18">
        <v>6.1999999999999998E-3</v>
      </c>
    </row>
    <row r="36" spans="1:2" x14ac:dyDescent="0.25">
      <c r="A36" s="18">
        <v>20</v>
      </c>
      <c r="B36" s="18">
        <v>5.8799999999999998E-3</v>
      </c>
    </row>
    <row r="37" spans="1:2" x14ac:dyDescent="0.25">
      <c r="A37" s="18">
        <v>20.5</v>
      </c>
      <c r="B37" s="18">
        <v>5.5599999999999998E-3</v>
      </c>
    </row>
    <row r="38" spans="1:2" x14ac:dyDescent="0.25">
      <c r="A38" s="18">
        <v>21</v>
      </c>
      <c r="B38" s="18">
        <v>5.2599999999999999E-3</v>
      </c>
    </row>
    <row r="39" spans="1:2" x14ac:dyDescent="0.25">
      <c r="A39" s="18">
        <v>21.5</v>
      </c>
      <c r="B39" s="18">
        <v>4.9399999999999999E-3</v>
      </c>
    </row>
    <row r="40" spans="1:2" x14ac:dyDescent="0.25">
      <c r="A40" s="18">
        <v>22</v>
      </c>
      <c r="B40" s="18">
        <v>4.7200000000000002E-3</v>
      </c>
    </row>
    <row r="41" spans="1:2" x14ac:dyDescent="0.25">
      <c r="A41" s="18">
        <v>22.5</v>
      </c>
      <c r="B41" s="18">
        <v>4.4000000000000003E-3</v>
      </c>
    </row>
    <row r="42" spans="1:2" x14ac:dyDescent="0.25">
      <c r="A42" s="18">
        <v>23</v>
      </c>
      <c r="B42" s="18">
        <v>4.2199999999999998E-3</v>
      </c>
    </row>
    <row r="43" spans="1:2" x14ac:dyDescent="0.25">
      <c r="A43" s="18">
        <v>23.5</v>
      </c>
      <c r="B43" s="18">
        <v>4.0000000000000001E-3</v>
      </c>
    </row>
    <row r="44" spans="1:2" x14ac:dyDescent="0.25">
      <c r="A44" s="18">
        <v>24</v>
      </c>
      <c r="B44" s="18">
        <v>3.7399999999999998E-3</v>
      </c>
    </row>
    <row r="45" spans="1:2" x14ac:dyDescent="0.25">
      <c r="A45" s="18">
        <v>24.5</v>
      </c>
      <c r="B45" s="18">
        <v>3.5500000000000002E-3</v>
      </c>
    </row>
    <row r="46" spans="1:2" x14ac:dyDescent="0.25">
      <c r="A46" s="18">
        <v>25</v>
      </c>
      <c r="B46" s="18">
        <v>3.3500000000000001E-3</v>
      </c>
    </row>
    <row r="47" spans="1:2" x14ac:dyDescent="0.25">
      <c r="A47" s="18">
        <v>25.5</v>
      </c>
      <c r="B47" s="18">
        <v>3.1900000000000001E-3</v>
      </c>
    </row>
    <row r="48" spans="1:2" x14ac:dyDescent="0.25">
      <c r="A48" s="18">
        <v>26</v>
      </c>
      <c r="B48" s="18">
        <v>3.0300000000000001E-3</v>
      </c>
    </row>
    <row r="49" spans="1:2" x14ac:dyDescent="0.25">
      <c r="A49" s="18">
        <v>26.5</v>
      </c>
      <c r="B49" s="18">
        <v>2.8700000000000002E-3</v>
      </c>
    </row>
    <row r="50" spans="1:2" x14ac:dyDescent="0.25">
      <c r="A50" s="18">
        <v>27</v>
      </c>
      <c r="B50" s="18">
        <v>2.7299999999999998E-3</v>
      </c>
    </row>
    <row r="51" spans="1:2" x14ac:dyDescent="0.25">
      <c r="A51" s="18">
        <v>27.5</v>
      </c>
      <c r="B51" s="18">
        <v>2.5699999999999998E-3</v>
      </c>
    </row>
    <row r="52" spans="1:2" x14ac:dyDescent="0.25">
      <c r="A52" s="18">
        <v>28</v>
      </c>
      <c r="B52" s="18">
        <v>2.4299999999999999E-3</v>
      </c>
    </row>
    <row r="53" spans="1:2" x14ac:dyDescent="0.25">
      <c r="A53" s="18">
        <v>28.5</v>
      </c>
      <c r="B53" s="18">
        <v>2.3E-3</v>
      </c>
    </row>
    <row r="54" spans="1:2" x14ac:dyDescent="0.25">
      <c r="A54" s="18">
        <v>29</v>
      </c>
      <c r="B54" s="18">
        <v>2.2000000000000001E-3</v>
      </c>
    </row>
    <row r="55" spans="1:2" x14ac:dyDescent="0.25">
      <c r="A55" s="18">
        <v>29.5</v>
      </c>
      <c r="B55" s="18">
        <v>2.0699999999999998E-3</v>
      </c>
    </row>
    <row r="56" spans="1:2" x14ac:dyDescent="0.25">
      <c r="A56" s="18">
        <v>30</v>
      </c>
      <c r="B56" s="18">
        <v>1.9599999999999999E-3</v>
      </c>
    </row>
    <row r="57" spans="1:2" x14ac:dyDescent="0.25">
      <c r="A57" s="18">
        <v>30.5</v>
      </c>
      <c r="B57" s="18">
        <v>1.8699999999999999E-3</v>
      </c>
    </row>
    <row r="58" spans="1:2" x14ac:dyDescent="0.25">
      <c r="A58" s="18">
        <v>31</v>
      </c>
      <c r="B58" s="18">
        <v>1.7899999999999999E-3</v>
      </c>
    </row>
    <row r="59" spans="1:2" x14ac:dyDescent="0.25">
      <c r="A59" s="18">
        <v>31.5</v>
      </c>
      <c r="B59" s="18">
        <v>1.6900000000000001E-3</v>
      </c>
    </row>
    <row r="60" spans="1:2" x14ac:dyDescent="0.25">
      <c r="A60" s="18">
        <v>32</v>
      </c>
      <c r="B60" s="18">
        <v>1.6199999999999999E-3</v>
      </c>
    </row>
    <row r="61" spans="1:2" x14ac:dyDescent="0.25">
      <c r="A61" s="18">
        <v>32.5</v>
      </c>
      <c r="B61" s="18">
        <v>1.5399999999999999E-3</v>
      </c>
    </row>
    <row r="62" spans="1:2" x14ac:dyDescent="0.25">
      <c r="A62" s="18">
        <v>33</v>
      </c>
      <c r="B62" s="18">
        <v>1.4599999999999999E-3</v>
      </c>
    </row>
    <row r="63" spans="1:2" x14ac:dyDescent="0.25">
      <c r="A63" s="18">
        <v>33.5</v>
      </c>
      <c r="B63" s="18">
        <v>1.41E-3</v>
      </c>
    </row>
    <row r="64" spans="1:2" x14ac:dyDescent="0.25">
      <c r="A64" s="18">
        <v>34</v>
      </c>
      <c r="B64" s="18">
        <v>1.3500000000000001E-3</v>
      </c>
    </row>
    <row r="65" spans="1:2" x14ac:dyDescent="0.25">
      <c r="A65" s="18">
        <v>34.5</v>
      </c>
      <c r="B65" s="18">
        <v>1.2899999999999999E-3</v>
      </c>
    </row>
    <row r="66" spans="1:2" x14ac:dyDescent="0.25">
      <c r="A66" s="18">
        <v>35</v>
      </c>
      <c r="B66" s="18">
        <v>1.2199999999999999E-3</v>
      </c>
    </row>
    <row r="67" spans="1:2" x14ac:dyDescent="0.25">
      <c r="A67" s="18">
        <v>35.5</v>
      </c>
      <c r="B67" s="18">
        <v>1.17E-3</v>
      </c>
    </row>
    <row r="68" spans="1:2" x14ac:dyDescent="0.25">
      <c r="A68" s="18">
        <v>36</v>
      </c>
      <c r="B68" s="18">
        <v>1.1100000000000001E-3</v>
      </c>
    </row>
    <row r="69" spans="1:2" x14ac:dyDescent="0.25">
      <c r="A69" s="18">
        <v>36.5</v>
      </c>
      <c r="B69" s="18">
        <v>1.06E-3</v>
      </c>
    </row>
    <row r="70" spans="1:2" x14ac:dyDescent="0.25">
      <c r="A70" s="18">
        <v>37</v>
      </c>
      <c r="B70" s="18">
        <v>1.01E-3</v>
      </c>
    </row>
    <row r="71" spans="1:2" x14ac:dyDescent="0.25">
      <c r="A71" s="18">
        <v>37.5</v>
      </c>
      <c r="B71" s="18">
        <v>9.7199999999999999E-4</v>
      </c>
    </row>
    <row r="72" spans="1:2" x14ac:dyDescent="0.25">
      <c r="A72" s="18">
        <v>38</v>
      </c>
      <c r="B72" s="18">
        <v>9.3499999999999996E-4</v>
      </c>
    </row>
    <row r="73" spans="1:2" x14ac:dyDescent="0.25">
      <c r="A73" s="18">
        <v>38.5</v>
      </c>
      <c r="B73" s="18">
        <v>8.8400000000000002E-4</v>
      </c>
    </row>
    <row r="74" spans="1:2" x14ac:dyDescent="0.25">
      <c r="A74" s="18">
        <v>39</v>
      </c>
      <c r="B74" s="18">
        <v>8.52E-4</v>
      </c>
    </row>
    <row r="75" spans="1:2" x14ac:dyDescent="0.25">
      <c r="A75" s="18">
        <v>39.5</v>
      </c>
      <c r="B75" s="18">
        <v>8.1099999999999998E-4</v>
      </c>
    </row>
    <row r="76" spans="1:2" x14ac:dyDescent="0.25">
      <c r="A76" s="18">
        <v>40</v>
      </c>
      <c r="B76" s="18">
        <v>7.6999999999999996E-4</v>
      </c>
    </row>
    <row r="77" spans="1:2" x14ac:dyDescent="0.25">
      <c r="A77" s="18">
        <v>40.5</v>
      </c>
      <c r="B77" s="18">
        <v>7.4700000000000005E-4</v>
      </c>
    </row>
    <row r="78" spans="1:2" x14ac:dyDescent="0.25">
      <c r="A78" s="18">
        <v>41</v>
      </c>
      <c r="B78" s="18">
        <v>7.2800000000000002E-4</v>
      </c>
    </row>
    <row r="79" spans="1:2" x14ac:dyDescent="0.25">
      <c r="A79" s="18">
        <v>41.5</v>
      </c>
      <c r="B79" s="18">
        <v>6.9099999999999999E-4</v>
      </c>
    </row>
    <row r="80" spans="1:2" x14ac:dyDescent="0.25">
      <c r="A80" s="18">
        <v>42</v>
      </c>
      <c r="B80" s="18">
        <v>6.6699999999999995E-4</v>
      </c>
    </row>
    <row r="81" spans="1:2" x14ac:dyDescent="0.25">
      <c r="A81" s="18">
        <v>42.5</v>
      </c>
      <c r="B81" s="18">
        <v>6.5200000000000002E-4</v>
      </c>
    </row>
    <row r="82" spans="1:2" x14ac:dyDescent="0.25">
      <c r="A82" s="18">
        <v>43</v>
      </c>
      <c r="B82" s="18">
        <v>6.11E-4</v>
      </c>
    </row>
    <row r="83" spans="1:2" x14ac:dyDescent="0.25">
      <c r="A83" s="18">
        <v>43.5</v>
      </c>
      <c r="B83" s="18">
        <v>5.9800000000000001E-4</v>
      </c>
    </row>
    <row r="84" spans="1:2" x14ac:dyDescent="0.25">
      <c r="A84" s="18">
        <v>44</v>
      </c>
      <c r="B84" s="18">
        <v>5.7399999999999997E-4</v>
      </c>
    </row>
    <row r="85" spans="1:2" x14ac:dyDescent="0.25">
      <c r="A85" s="18">
        <v>44.5</v>
      </c>
      <c r="B85" s="18">
        <v>5.6099999999999998E-4</v>
      </c>
    </row>
    <row r="86" spans="1:2" x14ac:dyDescent="0.25">
      <c r="A86" s="18">
        <v>45</v>
      </c>
      <c r="B86" s="18">
        <v>5.3399999999999997E-4</v>
      </c>
    </row>
    <row r="87" spans="1:2" x14ac:dyDescent="0.25">
      <c r="A87" s="18">
        <v>45.5</v>
      </c>
      <c r="B87" s="18">
        <v>5.1400000000000003E-4</v>
      </c>
    </row>
    <row r="88" spans="1:2" x14ac:dyDescent="0.25">
      <c r="A88" s="18">
        <v>46</v>
      </c>
      <c r="B88" s="18">
        <v>5.0299999999999997E-4</v>
      </c>
    </row>
    <row r="89" spans="1:2" x14ac:dyDescent="0.25">
      <c r="A89" s="18">
        <v>46.5</v>
      </c>
      <c r="B89" s="18">
        <v>4.8700000000000002E-4</v>
      </c>
    </row>
    <row r="90" spans="1:2" x14ac:dyDescent="0.25">
      <c r="A90" s="18">
        <v>47</v>
      </c>
      <c r="B90" s="18">
        <v>4.64E-4</v>
      </c>
    </row>
    <row r="91" spans="1:2" x14ac:dyDescent="0.25">
      <c r="A91" s="18">
        <v>47.5</v>
      </c>
      <c r="B91" s="18">
        <v>4.5300000000000001E-4</v>
      </c>
    </row>
    <row r="92" spans="1:2" x14ac:dyDescent="0.25">
      <c r="A92" s="18">
        <v>48</v>
      </c>
      <c r="B92" s="18">
        <v>4.3399999999999998E-4</v>
      </c>
    </row>
    <row r="93" spans="1:2" x14ac:dyDescent="0.25">
      <c r="A93" s="18">
        <v>48.5</v>
      </c>
      <c r="B93" s="18">
        <v>4.2000000000000002E-4</v>
      </c>
    </row>
    <row r="94" spans="1:2" x14ac:dyDescent="0.25">
      <c r="A94" s="18">
        <v>49</v>
      </c>
      <c r="B94" s="18">
        <v>4.0200000000000001E-4</v>
      </c>
    </row>
    <row r="95" spans="1:2" x14ac:dyDescent="0.25">
      <c r="A95" s="18">
        <v>49.5</v>
      </c>
      <c r="B95" s="18">
        <v>3.8999999999999999E-4</v>
      </c>
    </row>
    <row r="96" spans="1:2" x14ac:dyDescent="0.25">
      <c r="A96" s="18">
        <v>50</v>
      </c>
      <c r="B96" s="18">
        <v>3.7399999999999998E-4</v>
      </c>
    </row>
    <row r="97" spans="1:2" x14ac:dyDescent="0.25">
      <c r="A97" s="18">
        <v>50.5</v>
      </c>
      <c r="B97" s="18">
        <v>3.6200000000000002E-4</v>
      </c>
    </row>
    <row r="98" spans="1:2" x14ac:dyDescent="0.25">
      <c r="A98" s="18">
        <v>51</v>
      </c>
      <c r="B98" s="18">
        <v>3.5199999999999999E-4</v>
      </c>
    </row>
    <row r="99" spans="1:2" x14ac:dyDescent="0.25">
      <c r="A99" s="18">
        <v>51.5</v>
      </c>
      <c r="B99" s="18">
        <v>3.4000000000000002E-4</v>
      </c>
    </row>
    <row r="100" spans="1:2" x14ac:dyDescent="0.25">
      <c r="A100" s="18">
        <v>52</v>
      </c>
      <c r="B100" s="18">
        <v>3.3199999999999999E-4</v>
      </c>
    </row>
    <row r="101" spans="1:2" x14ac:dyDescent="0.25">
      <c r="A101" s="18">
        <v>52.5</v>
      </c>
      <c r="B101" s="18">
        <v>3.2499999999999999E-4</v>
      </c>
    </row>
    <row r="102" spans="1:2" x14ac:dyDescent="0.25">
      <c r="A102" s="18">
        <v>53</v>
      </c>
      <c r="B102" s="18">
        <v>3.1599999999999998E-4</v>
      </c>
    </row>
    <row r="103" spans="1:2" x14ac:dyDescent="0.25">
      <c r="A103" s="18">
        <v>53.5</v>
      </c>
      <c r="B103" s="18">
        <v>3.0800000000000001E-4</v>
      </c>
    </row>
    <row r="104" spans="1:2" x14ac:dyDescent="0.25">
      <c r="A104" s="18">
        <v>54</v>
      </c>
      <c r="B104" s="18">
        <v>2.9700000000000001E-4</v>
      </c>
    </row>
    <row r="105" spans="1:2" x14ac:dyDescent="0.25">
      <c r="A105" s="18">
        <v>54.5</v>
      </c>
      <c r="B105" s="18">
        <v>2.8699999999999998E-4</v>
      </c>
    </row>
    <row r="106" spans="1:2" x14ac:dyDescent="0.25">
      <c r="A106" s="18">
        <v>55</v>
      </c>
      <c r="B106" s="18">
        <v>2.7799999999999998E-4</v>
      </c>
    </row>
    <row r="107" spans="1:2" x14ac:dyDescent="0.25">
      <c r="A107" s="18">
        <v>55.5</v>
      </c>
      <c r="B107" s="18">
        <v>2.6899999999999998E-4</v>
      </c>
    </row>
    <row r="108" spans="1:2" x14ac:dyDescent="0.25">
      <c r="A108" s="18">
        <v>56</v>
      </c>
      <c r="B108" s="18">
        <v>2.6699999999999998E-4</v>
      </c>
    </row>
    <row r="109" spans="1:2" x14ac:dyDescent="0.25">
      <c r="A109" s="18">
        <v>56.5</v>
      </c>
      <c r="B109" s="18">
        <v>2.5599999999999999E-4</v>
      </c>
    </row>
    <row r="110" spans="1:2" x14ac:dyDescent="0.25">
      <c r="A110" s="18">
        <v>57</v>
      </c>
      <c r="B110" s="18">
        <v>2.4600000000000002E-4</v>
      </c>
    </row>
    <row r="111" spans="1:2" x14ac:dyDescent="0.25">
      <c r="A111" s="18">
        <v>57.5</v>
      </c>
      <c r="B111" s="18">
        <v>2.5700000000000001E-4</v>
      </c>
    </row>
    <row r="112" spans="1:2" x14ac:dyDescent="0.25">
      <c r="A112" s="18">
        <v>58</v>
      </c>
      <c r="B112" s="18">
        <v>3.7500000000000001E-4</v>
      </c>
    </row>
    <row r="113" spans="1:2" x14ac:dyDescent="0.25">
      <c r="A113" s="18">
        <v>58.5</v>
      </c>
      <c r="B113" s="18">
        <v>2.32E-4</v>
      </c>
    </row>
    <row r="114" spans="1:2" x14ac:dyDescent="0.25">
      <c r="A114" s="18">
        <v>59</v>
      </c>
      <c r="B114" s="18">
        <v>3.2299999999999999E-4</v>
      </c>
    </row>
    <row r="115" spans="1:2" x14ac:dyDescent="0.25">
      <c r="A115" s="18">
        <v>59.5</v>
      </c>
      <c r="B115" s="18">
        <v>3.9199999999999999E-4</v>
      </c>
    </row>
    <row r="116" spans="1:2" x14ac:dyDescent="0.25">
      <c r="A116" s="18">
        <v>60</v>
      </c>
      <c r="B116" s="18">
        <v>2.04E-4</v>
      </c>
    </row>
    <row r="117" spans="1:2" x14ac:dyDescent="0.25">
      <c r="A117" s="18">
        <v>60.5</v>
      </c>
      <c r="B117" s="18">
        <v>1.95E-4</v>
      </c>
    </row>
    <row r="118" spans="1:2" x14ac:dyDescent="0.25">
      <c r="A118" s="18">
        <v>61</v>
      </c>
      <c r="B118" s="18">
        <v>1.9000000000000001E-4</v>
      </c>
    </row>
    <row r="119" spans="1:2" x14ac:dyDescent="0.25">
      <c r="A119" s="18">
        <v>61.5</v>
      </c>
      <c r="B119" s="18">
        <v>1.85E-4</v>
      </c>
    </row>
    <row r="120" spans="1:2" x14ac:dyDescent="0.25">
      <c r="A120" s="18">
        <v>62</v>
      </c>
      <c r="B120" s="18">
        <v>1.8200000000000001E-4</v>
      </c>
    </row>
    <row r="121" spans="1:2" x14ac:dyDescent="0.25">
      <c r="A121" s="18">
        <v>62.5</v>
      </c>
      <c r="B121" s="18">
        <v>1.76E-4</v>
      </c>
    </row>
    <row r="122" spans="1:2" x14ac:dyDescent="0.25">
      <c r="A122" s="18">
        <v>63</v>
      </c>
      <c r="B122" s="18">
        <v>1.6699999999999999E-4</v>
      </c>
    </row>
    <row r="123" spans="1:2" x14ac:dyDescent="0.25">
      <c r="A123" s="18">
        <v>63.5</v>
      </c>
      <c r="B123" s="18">
        <v>1.65E-4</v>
      </c>
    </row>
    <row r="124" spans="1:2" x14ac:dyDescent="0.25">
      <c r="A124" s="18">
        <v>64</v>
      </c>
      <c r="B124" s="18">
        <v>1.6000000000000001E-4</v>
      </c>
    </row>
    <row r="125" spans="1:2" x14ac:dyDescent="0.25">
      <c r="A125" s="18">
        <v>64.5</v>
      </c>
      <c r="B125" s="18">
        <v>1.54E-4</v>
      </c>
    </row>
    <row r="126" spans="1:2" x14ac:dyDescent="0.25">
      <c r="A126" s="18">
        <v>65</v>
      </c>
      <c r="B126" s="18">
        <v>1.5200000000000001E-4</v>
      </c>
    </row>
    <row r="127" spans="1:2" x14ac:dyDescent="0.25">
      <c r="A127" s="18">
        <v>65.5</v>
      </c>
      <c r="B127" s="18">
        <v>1.44E-4</v>
      </c>
    </row>
    <row r="128" spans="1:2" x14ac:dyDescent="0.25">
      <c r="A128" s="18">
        <v>66</v>
      </c>
      <c r="B128" s="18">
        <v>1.3899999999999999E-4</v>
      </c>
    </row>
    <row r="129" spans="1:2" x14ac:dyDescent="0.25">
      <c r="A129" s="18">
        <v>66.5</v>
      </c>
      <c r="B129" s="18">
        <v>1.4300000000000001E-4</v>
      </c>
    </row>
    <row r="130" spans="1:2" x14ac:dyDescent="0.25">
      <c r="A130" s="18">
        <v>67</v>
      </c>
      <c r="B130" s="18">
        <v>1.9100000000000001E-4</v>
      </c>
    </row>
    <row r="131" spans="1:2" x14ac:dyDescent="0.25">
      <c r="A131" s="18">
        <v>67.5</v>
      </c>
      <c r="B131" s="18">
        <v>1.6000000000000001E-4</v>
      </c>
    </row>
    <row r="132" spans="1:2" x14ac:dyDescent="0.25">
      <c r="A132" s="18">
        <v>68</v>
      </c>
      <c r="B132" s="18">
        <v>1.2300000000000001E-4</v>
      </c>
    </row>
    <row r="133" spans="1:2" x14ac:dyDescent="0.25">
      <c r="A133" s="18">
        <v>68.5</v>
      </c>
      <c r="B133" s="18">
        <v>1.2E-4</v>
      </c>
    </row>
    <row r="134" spans="1:2" x14ac:dyDescent="0.25">
      <c r="A134" s="18">
        <v>69</v>
      </c>
      <c r="B134" s="18">
        <v>1.2899999999999999E-4</v>
      </c>
    </row>
    <row r="135" spans="1:2" x14ac:dyDescent="0.25">
      <c r="A135" s="18">
        <v>69.5</v>
      </c>
      <c r="B135" s="18">
        <v>1.11E-4</v>
      </c>
    </row>
    <row r="136" spans="1:2" x14ac:dyDescent="0.25">
      <c r="A136" s="18">
        <v>70</v>
      </c>
      <c r="B136" s="18">
        <v>9.5299999999999999E-5</v>
      </c>
    </row>
    <row r="137" spans="1:2" x14ac:dyDescent="0.25">
      <c r="A137" s="18">
        <v>70.5</v>
      </c>
      <c r="B137" s="18">
        <v>9.5799999999999998E-5</v>
      </c>
    </row>
    <row r="138" spans="1:2" x14ac:dyDescent="0.25">
      <c r="A138" s="18">
        <v>71</v>
      </c>
      <c r="B138" s="18">
        <v>9.0600000000000007E-5</v>
      </c>
    </row>
    <row r="139" spans="1:2" x14ac:dyDescent="0.25">
      <c r="A139" s="18">
        <v>71.5</v>
      </c>
      <c r="B139" s="18">
        <v>8.8499999999999996E-5</v>
      </c>
    </row>
    <row r="140" spans="1:2" x14ac:dyDescent="0.25">
      <c r="A140" s="18">
        <v>72</v>
      </c>
      <c r="B140" s="18">
        <v>8.2100000000000003E-5</v>
      </c>
    </row>
    <row r="141" spans="1:2" x14ac:dyDescent="0.25">
      <c r="A141" s="18">
        <v>72.5</v>
      </c>
      <c r="B141" s="18">
        <v>7.5799999999999999E-5</v>
      </c>
    </row>
    <row r="142" spans="1:2" x14ac:dyDescent="0.25">
      <c r="A142" s="18">
        <v>73</v>
      </c>
      <c r="B142" s="18">
        <v>7.2399999999999998E-5</v>
      </c>
    </row>
    <row r="143" spans="1:2" x14ac:dyDescent="0.25">
      <c r="A143" s="18">
        <v>73.5</v>
      </c>
      <c r="B143" s="18">
        <v>6.7600000000000003E-5</v>
      </c>
    </row>
    <row r="144" spans="1:2" x14ac:dyDescent="0.25">
      <c r="A144" s="18">
        <v>74</v>
      </c>
      <c r="B144" s="18">
        <v>6.3299999999999994E-5</v>
      </c>
    </row>
    <row r="145" spans="1:2" x14ac:dyDescent="0.25">
      <c r="A145" s="18">
        <v>74.5</v>
      </c>
      <c r="B145" s="18">
        <v>5.9200000000000002E-5</v>
      </c>
    </row>
    <row r="146" spans="1:2" x14ac:dyDescent="0.25">
      <c r="A146" s="18">
        <v>75</v>
      </c>
      <c r="B146" s="18">
        <v>5.2899999999999998E-5</v>
      </c>
    </row>
    <row r="147" spans="1:2" x14ac:dyDescent="0.25">
      <c r="A147" s="18">
        <v>75.5</v>
      </c>
      <c r="B147" s="18">
        <v>4.9700000000000002E-5</v>
      </c>
    </row>
    <row r="148" spans="1:2" x14ac:dyDescent="0.25">
      <c r="A148" s="18">
        <v>76</v>
      </c>
      <c r="B148" s="18">
        <v>4.6100000000000002E-5</v>
      </c>
    </row>
    <row r="149" spans="1:2" x14ac:dyDescent="0.25">
      <c r="A149" s="18">
        <v>76.5</v>
      </c>
      <c r="B149" s="18">
        <v>4.0899999999999998E-5</v>
      </c>
    </row>
    <row r="150" spans="1:2" x14ac:dyDescent="0.25">
      <c r="A150" s="18">
        <v>77</v>
      </c>
      <c r="B150" s="18">
        <v>3.6100000000000003E-5</v>
      </c>
    </row>
    <row r="151" spans="1:2" x14ac:dyDescent="0.25">
      <c r="A151" s="18">
        <v>77.5</v>
      </c>
      <c r="B151" s="18">
        <v>2.87E-5</v>
      </c>
    </row>
    <row r="152" spans="1:2" x14ac:dyDescent="0.25">
      <c r="A152" s="18">
        <v>78</v>
      </c>
      <c r="B152" s="18">
        <v>2.6699999999999998E-5</v>
      </c>
    </row>
    <row r="153" spans="1:2" x14ac:dyDescent="0.25">
      <c r="A153" s="18">
        <v>78.5</v>
      </c>
      <c r="B153" s="18">
        <v>2.1399999999999998E-5</v>
      </c>
    </row>
    <row r="154" spans="1:2" x14ac:dyDescent="0.25">
      <c r="A154" s="18">
        <v>79</v>
      </c>
      <c r="B154" s="18">
        <v>1.47E-5</v>
      </c>
    </row>
    <row r="155" spans="1:2" x14ac:dyDescent="0.25">
      <c r="A155" s="18">
        <v>79.5</v>
      </c>
      <c r="B155" s="18">
        <v>9.5000000000000005E-6</v>
      </c>
    </row>
    <row r="156" spans="1:2" x14ac:dyDescent="0.25">
      <c r="A156" s="18">
        <v>80</v>
      </c>
      <c r="B156" s="18">
        <v>2.7800000000000001E-6</v>
      </c>
    </row>
    <row r="157" spans="1:2" x14ac:dyDescent="0.25">
      <c r="A157" s="18">
        <v>80.5</v>
      </c>
      <c r="B157" s="18">
        <v>7.4399999999999999E-7</v>
      </c>
    </row>
    <row r="158" spans="1:2" x14ac:dyDescent="0.25">
      <c r="A158" s="18">
        <v>81</v>
      </c>
      <c r="B158" s="18">
        <v>3.3700000000000001E-7</v>
      </c>
    </row>
    <row r="159" spans="1:2" x14ac:dyDescent="0.25">
      <c r="A159" s="18">
        <v>81.5</v>
      </c>
      <c r="B159" s="18">
        <v>4.4499999999999997E-7</v>
      </c>
    </row>
    <row r="160" spans="1:2" x14ac:dyDescent="0.25">
      <c r="A160" s="18">
        <v>82</v>
      </c>
      <c r="B160" s="18">
        <v>1.6400000000000001E-7</v>
      </c>
    </row>
  </sheetData>
  <pageMargins left="0.7" right="0.7" top="0.75" bottom="0.75" header="0.3" footer="0.3"/>
  <pageSetup paperSize="9" orientation="portrait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dimension ref="A1:B17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4</v>
      </c>
      <c r="B2" s="18">
        <v>2.2000000000000001E-3</v>
      </c>
    </row>
    <row r="3" spans="1:2" x14ac:dyDescent="0.25">
      <c r="A3" s="18">
        <v>4.5</v>
      </c>
      <c r="B3" s="18">
        <v>1.7799999999999999E-3</v>
      </c>
    </row>
    <row r="4" spans="1:2" x14ac:dyDescent="0.25">
      <c r="A4" s="18">
        <v>5</v>
      </c>
      <c r="B4" s="18">
        <v>2.0500000000000002E-3</v>
      </c>
    </row>
    <row r="5" spans="1:2" x14ac:dyDescent="0.25">
      <c r="A5" s="18">
        <v>5.5</v>
      </c>
      <c r="B5" s="18">
        <v>2.0100000000000001E-3</v>
      </c>
    </row>
    <row r="6" spans="1:2" x14ac:dyDescent="0.25">
      <c r="A6" s="18">
        <v>6</v>
      </c>
      <c r="B6" s="18">
        <v>2.7899999999999999E-3</v>
      </c>
    </row>
    <row r="7" spans="1:2" x14ac:dyDescent="0.25">
      <c r="A7" s="18">
        <v>6.5</v>
      </c>
      <c r="B7" s="18">
        <v>5.6299999999999996E-3</v>
      </c>
    </row>
    <row r="8" spans="1:2" x14ac:dyDescent="0.25">
      <c r="A8" s="18">
        <v>7</v>
      </c>
      <c r="B8" s="18">
        <v>8.8900000000000003E-3</v>
      </c>
    </row>
    <row r="9" spans="1:2" x14ac:dyDescent="0.25">
      <c r="A9" s="18">
        <v>7.5</v>
      </c>
      <c r="B9" s="18">
        <v>1.6799999999999999E-2</v>
      </c>
    </row>
    <row r="10" spans="1:2" x14ac:dyDescent="0.25">
      <c r="A10" s="18">
        <v>8</v>
      </c>
      <c r="B10" s="18">
        <v>2.9600000000000001E-2</v>
      </c>
    </row>
    <row r="11" spans="1:2" x14ac:dyDescent="0.25">
      <c r="A11" s="18">
        <v>8.5</v>
      </c>
      <c r="B11" s="18">
        <v>0.23</v>
      </c>
    </row>
    <row r="12" spans="1:2" x14ac:dyDescent="0.25">
      <c r="A12" s="18">
        <v>9</v>
      </c>
      <c r="B12" s="18">
        <v>2.5000000000000001E-2</v>
      </c>
    </row>
    <row r="13" spans="1:2" x14ac:dyDescent="0.25">
      <c r="A13" s="18">
        <v>9.5</v>
      </c>
      <c r="B13" s="18">
        <v>0.14699999999999999</v>
      </c>
    </row>
    <row r="14" spans="1:2" x14ac:dyDescent="0.25">
      <c r="A14" s="18">
        <v>10</v>
      </c>
      <c r="B14" s="18">
        <v>0.17899999999999999</v>
      </c>
    </row>
    <row r="15" spans="1:2" x14ac:dyDescent="0.25">
      <c r="A15" s="18">
        <v>10.5</v>
      </c>
      <c r="B15" s="18">
        <v>1.7899999999999999E-2</v>
      </c>
    </row>
    <row r="16" spans="1:2" x14ac:dyDescent="0.25">
      <c r="A16" s="18">
        <v>11</v>
      </c>
      <c r="B16" s="18">
        <v>1.7600000000000001E-2</v>
      </c>
    </row>
    <row r="17" spans="1:2" x14ac:dyDescent="0.25">
      <c r="A17" s="18">
        <v>11.5</v>
      </c>
      <c r="B17" s="18">
        <v>3.3300000000000003E-2</v>
      </c>
    </row>
    <row r="18" spans="1:2" x14ac:dyDescent="0.25">
      <c r="A18" s="18">
        <v>12</v>
      </c>
      <c r="B18" s="18">
        <v>1.38E-2</v>
      </c>
    </row>
    <row r="19" spans="1:2" x14ac:dyDescent="0.25">
      <c r="A19" s="18">
        <v>12.5</v>
      </c>
      <c r="B19" s="18">
        <v>9.7199999999999995E-3</v>
      </c>
    </row>
    <row r="20" spans="1:2" x14ac:dyDescent="0.25">
      <c r="A20" s="18">
        <v>13</v>
      </c>
      <c r="B20" s="18">
        <v>9.6299999999999997E-3</v>
      </c>
    </row>
    <row r="21" spans="1:2" x14ac:dyDescent="0.25">
      <c r="A21" s="18">
        <v>13.5</v>
      </c>
      <c r="B21" s="18">
        <v>9.5499999999999995E-3</v>
      </c>
    </row>
    <row r="22" spans="1:2" x14ac:dyDescent="0.25">
      <c r="A22" s="18">
        <v>14</v>
      </c>
      <c r="B22" s="18">
        <v>9.5099999999999994E-3</v>
      </c>
    </row>
    <row r="23" spans="1:2" x14ac:dyDescent="0.25">
      <c r="A23" s="18">
        <v>14.5</v>
      </c>
      <c r="B23" s="18">
        <v>9.3299999999999998E-3</v>
      </c>
    </row>
    <row r="24" spans="1:2" x14ac:dyDescent="0.25">
      <c r="A24" s="18">
        <v>15</v>
      </c>
      <c r="B24" s="18">
        <v>9.11E-3</v>
      </c>
    </row>
    <row r="25" spans="1:2" x14ac:dyDescent="0.25">
      <c r="A25" s="18">
        <v>15.5</v>
      </c>
      <c r="B25" s="18">
        <v>8.8800000000000007E-3</v>
      </c>
    </row>
    <row r="26" spans="1:2" x14ac:dyDescent="0.25">
      <c r="A26" s="18">
        <v>16</v>
      </c>
      <c r="B26" s="18">
        <v>8.6400000000000001E-3</v>
      </c>
    </row>
    <row r="27" spans="1:2" x14ac:dyDescent="0.25">
      <c r="A27" s="18">
        <v>16.5</v>
      </c>
      <c r="B27" s="18">
        <v>8.3000000000000001E-3</v>
      </c>
    </row>
    <row r="28" spans="1:2" x14ac:dyDescent="0.25">
      <c r="A28" s="18">
        <v>17</v>
      </c>
      <c r="B28" s="18">
        <v>8.0099999999999998E-3</v>
      </c>
    </row>
    <row r="29" spans="1:2" x14ac:dyDescent="0.25">
      <c r="A29" s="18">
        <v>17.5</v>
      </c>
      <c r="B29" s="18">
        <v>7.6899999999999998E-3</v>
      </c>
    </row>
    <row r="30" spans="1:2" x14ac:dyDescent="0.25">
      <c r="A30" s="18">
        <v>18</v>
      </c>
      <c r="B30" s="18">
        <v>7.4000000000000003E-3</v>
      </c>
    </row>
    <row r="31" spans="1:2" x14ac:dyDescent="0.25">
      <c r="A31" s="18">
        <v>18.5</v>
      </c>
      <c r="B31" s="18">
        <v>7.0600000000000003E-3</v>
      </c>
    </row>
    <row r="32" spans="1:2" x14ac:dyDescent="0.25">
      <c r="A32" s="18">
        <v>19</v>
      </c>
      <c r="B32" s="18">
        <v>6.7000000000000002E-3</v>
      </c>
    </row>
    <row r="33" spans="1:2" x14ac:dyDescent="0.25">
      <c r="A33" s="18">
        <v>19.5</v>
      </c>
      <c r="B33" s="18">
        <v>6.3899999999999998E-3</v>
      </c>
    </row>
    <row r="34" spans="1:2" x14ac:dyDescent="0.25">
      <c r="A34" s="18">
        <v>20</v>
      </c>
      <c r="B34" s="18">
        <v>6.0800000000000003E-3</v>
      </c>
    </row>
    <row r="35" spans="1:2" x14ac:dyDescent="0.25">
      <c r="A35" s="18">
        <v>20.5</v>
      </c>
      <c r="B35" s="18">
        <v>5.7800000000000004E-3</v>
      </c>
    </row>
    <row r="36" spans="1:2" x14ac:dyDescent="0.25">
      <c r="A36" s="18">
        <v>21</v>
      </c>
      <c r="B36" s="18">
        <v>5.5300000000000002E-3</v>
      </c>
    </row>
    <row r="37" spans="1:2" x14ac:dyDescent="0.25">
      <c r="A37" s="18">
        <v>21.5</v>
      </c>
      <c r="B37" s="18">
        <v>5.2500000000000003E-3</v>
      </c>
    </row>
    <row r="38" spans="1:2" x14ac:dyDescent="0.25">
      <c r="A38" s="18">
        <v>22</v>
      </c>
      <c r="B38" s="18">
        <v>4.9699999999999996E-3</v>
      </c>
    </row>
    <row r="39" spans="1:2" x14ac:dyDescent="0.25">
      <c r="A39" s="18">
        <v>22.5</v>
      </c>
      <c r="B39" s="18">
        <v>4.7499999999999999E-3</v>
      </c>
    </row>
    <row r="40" spans="1:2" x14ac:dyDescent="0.25">
      <c r="A40" s="18">
        <v>23</v>
      </c>
      <c r="B40" s="18">
        <v>4.4799999999999996E-3</v>
      </c>
    </row>
    <row r="41" spans="1:2" x14ac:dyDescent="0.25">
      <c r="A41" s="18">
        <v>23.5</v>
      </c>
      <c r="B41" s="18">
        <v>4.2700000000000004E-3</v>
      </c>
    </row>
    <row r="42" spans="1:2" x14ac:dyDescent="0.25">
      <c r="A42" s="18">
        <v>24</v>
      </c>
      <c r="B42" s="18">
        <v>4.0600000000000002E-3</v>
      </c>
    </row>
    <row r="43" spans="1:2" x14ac:dyDescent="0.25">
      <c r="A43" s="18">
        <v>24.5</v>
      </c>
      <c r="B43" s="18">
        <v>3.8600000000000001E-3</v>
      </c>
    </row>
    <row r="44" spans="1:2" x14ac:dyDescent="0.25">
      <c r="A44" s="18">
        <v>25</v>
      </c>
      <c r="B44" s="18">
        <v>3.6700000000000001E-3</v>
      </c>
    </row>
    <row r="45" spans="1:2" x14ac:dyDescent="0.25">
      <c r="A45" s="18">
        <v>25.5</v>
      </c>
      <c r="B45" s="18">
        <v>3.47E-3</v>
      </c>
    </row>
    <row r="46" spans="1:2" x14ac:dyDescent="0.25">
      <c r="A46" s="18">
        <v>26</v>
      </c>
      <c r="B46" s="18">
        <v>3.3E-3</v>
      </c>
    </row>
    <row r="47" spans="1:2" x14ac:dyDescent="0.25">
      <c r="A47" s="18">
        <v>26.5</v>
      </c>
      <c r="B47" s="18">
        <v>3.15E-3</v>
      </c>
    </row>
    <row r="48" spans="1:2" x14ac:dyDescent="0.25">
      <c r="A48" s="18">
        <v>27</v>
      </c>
      <c r="B48" s="18">
        <v>2.97E-3</v>
      </c>
    </row>
    <row r="49" spans="1:2" x14ac:dyDescent="0.25">
      <c r="A49" s="18">
        <v>27.5</v>
      </c>
      <c r="B49" s="18">
        <v>2.8300000000000001E-3</v>
      </c>
    </row>
    <row r="50" spans="1:2" x14ac:dyDescent="0.25">
      <c r="A50" s="18">
        <v>28</v>
      </c>
      <c r="B50" s="18">
        <v>2.6900000000000001E-3</v>
      </c>
    </row>
    <row r="51" spans="1:2" x14ac:dyDescent="0.25">
      <c r="A51" s="18">
        <v>28.5</v>
      </c>
      <c r="B51" s="18">
        <v>2.5600000000000002E-3</v>
      </c>
    </row>
    <row r="52" spans="1:2" x14ac:dyDescent="0.25">
      <c r="A52" s="18">
        <v>29</v>
      </c>
      <c r="B52" s="18">
        <v>2.4299999999999999E-3</v>
      </c>
    </row>
    <row r="53" spans="1:2" x14ac:dyDescent="0.25">
      <c r="A53" s="18">
        <v>29.5</v>
      </c>
      <c r="B53" s="18">
        <v>2.3E-3</v>
      </c>
    </row>
    <row r="54" spans="1:2" x14ac:dyDescent="0.25">
      <c r="A54" s="18">
        <v>30</v>
      </c>
      <c r="B54" s="18">
        <v>2.1800000000000001E-3</v>
      </c>
    </row>
    <row r="55" spans="1:2" x14ac:dyDescent="0.25">
      <c r="A55" s="18">
        <v>30.5</v>
      </c>
      <c r="B55" s="18">
        <v>2.0899999999999998E-3</v>
      </c>
    </row>
    <row r="56" spans="1:2" x14ac:dyDescent="0.25">
      <c r="A56" s="18">
        <v>31</v>
      </c>
      <c r="B56" s="18">
        <v>1.98E-3</v>
      </c>
    </row>
    <row r="57" spans="1:2" x14ac:dyDescent="0.25">
      <c r="A57" s="18">
        <v>31.5</v>
      </c>
      <c r="B57" s="18">
        <v>1.9E-3</v>
      </c>
    </row>
    <row r="58" spans="1:2" x14ac:dyDescent="0.25">
      <c r="A58" s="18">
        <v>32</v>
      </c>
      <c r="B58" s="18">
        <v>1.82E-3</v>
      </c>
    </row>
    <row r="59" spans="1:2" x14ac:dyDescent="0.25">
      <c r="A59" s="18">
        <v>32.5</v>
      </c>
      <c r="B59" s="18">
        <v>1.74E-3</v>
      </c>
    </row>
    <row r="60" spans="1:2" x14ac:dyDescent="0.25">
      <c r="A60" s="18">
        <v>33</v>
      </c>
      <c r="B60" s="18">
        <v>1.66E-3</v>
      </c>
    </row>
    <row r="61" spans="1:2" x14ac:dyDescent="0.25">
      <c r="A61" s="18">
        <v>33.5</v>
      </c>
      <c r="B61" s="18">
        <v>1.5900000000000001E-3</v>
      </c>
    </row>
    <row r="62" spans="1:2" x14ac:dyDescent="0.25">
      <c r="A62" s="18">
        <v>34</v>
      </c>
      <c r="B62" s="18">
        <v>1.5399999999999999E-3</v>
      </c>
    </row>
    <row r="63" spans="1:2" x14ac:dyDescent="0.25">
      <c r="A63" s="18">
        <v>34.5</v>
      </c>
      <c r="B63" s="18">
        <v>1.4499999999999999E-3</v>
      </c>
    </row>
    <row r="64" spans="1:2" x14ac:dyDescent="0.25">
      <c r="A64" s="18">
        <v>35</v>
      </c>
      <c r="B64" s="18">
        <v>1.4E-3</v>
      </c>
    </row>
    <row r="65" spans="1:2" x14ac:dyDescent="0.25">
      <c r="A65" s="18">
        <v>35.5</v>
      </c>
      <c r="B65" s="18">
        <v>1.33E-3</v>
      </c>
    </row>
    <row r="66" spans="1:2" x14ac:dyDescent="0.25">
      <c r="A66" s="18">
        <v>36</v>
      </c>
      <c r="B66" s="18">
        <v>1.2800000000000001E-3</v>
      </c>
    </row>
    <row r="67" spans="1:2" x14ac:dyDescent="0.25">
      <c r="A67" s="18">
        <v>36.5</v>
      </c>
      <c r="B67" s="18">
        <v>1.2199999999999999E-3</v>
      </c>
    </row>
    <row r="68" spans="1:2" x14ac:dyDescent="0.25">
      <c r="A68" s="18">
        <v>37</v>
      </c>
      <c r="B68" s="18">
        <v>1.17E-3</v>
      </c>
    </row>
    <row r="69" spans="1:2" x14ac:dyDescent="0.25">
      <c r="A69" s="18">
        <v>37.5</v>
      </c>
      <c r="B69" s="18">
        <v>1.1199999999999999E-3</v>
      </c>
    </row>
    <row r="70" spans="1:2" x14ac:dyDescent="0.25">
      <c r="A70" s="18">
        <v>38</v>
      </c>
      <c r="B70" s="18">
        <v>1.08E-3</v>
      </c>
    </row>
    <row r="71" spans="1:2" x14ac:dyDescent="0.25">
      <c r="A71" s="18">
        <v>38.5</v>
      </c>
      <c r="B71" s="18">
        <v>1.0200000000000001E-3</v>
      </c>
    </row>
    <row r="72" spans="1:2" x14ac:dyDescent="0.25">
      <c r="A72" s="18">
        <v>39</v>
      </c>
      <c r="B72" s="18">
        <v>9.9299999999999996E-4</v>
      </c>
    </row>
    <row r="73" spans="1:2" x14ac:dyDescent="0.25">
      <c r="A73" s="18">
        <v>39.5</v>
      </c>
      <c r="B73" s="18">
        <v>9.4899999999999997E-4</v>
      </c>
    </row>
    <row r="74" spans="1:2" x14ac:dyDescent="0.25">
      <c r="A74" s="18">
        <v>40</v>
      </c>
      <c r="B74" s="18">
        <v>9.1E-4</v>
      </c>
    </row>
    <row r="75" spans="1:2" x14ac:dyDescent="0.25">
      <c r="A75" s="18">
        <v>40.5</v>
      </c>
      <c r="B75" s="18">
        <v>8.7799999999999998E-4</v>
      </c>
    </row>
    <row r="76" spans="1:2" x14ac:dyDescent="0.25">
      <c r="A76" s="18">
        <v>41</v>
      </c>
      <c r="B76" s="18">
        <v>8.5599999999999999E-4</v>
      </c>
    </row>
    <row r="77" spans="1:2" x14ac:dyDescent="0.25">
      <c r="A77" s="18">
        <v>41.5</v>
      </c>
      <c r="B77" s="18">
        <v>8.2200000000000003E-4</v>
      </c>
    </row>
    <row r="78" spans="1:2" x14ac:dyDescent="0.25">
      <c r="A78" s="18">
        <v>42</v>
      </c>
      <c r="B78" s="18">
        <v>7.9299999999999998E-4</v>
      </c>
    </row>
    <row r="79" spans="1:2" x14ac:dyDescent="0.25">
      <c r="A79" s="18">
        <v>42.5</v>
      </c>
      <c r="B79" s="18">
        <v>7.6099999999999996E-4</v>
      </c>
    </row>
    <row r="80" spans="1:2" x14ac:dyDescent="0.25">
      <c r="A80" s="18">
        <v>43</v>
      </c>
      <c r="B80" s="18">
        <v>7.4200000000000004E-4</v>
      </c>
    </row>
    <row r="81" spans="1:2" x14ac:dyDescent="0.25">
      <c r="A81" s="18">
        <v>43.5</v>
      </c>
      <c r="B81" s="18">
        <v>7.1699999999999997E-4</v>
      </c>
    </row>
    <row r="82" spans="1:2" x14ac:dyDescent="0.25">
      <c r="A82" s="18">
        <v>44</v>
      </c>
      <c r="B82" s="18">
        <v>6.8999999999999997E-4</v>
      </c>
    </row>
    <row r="83" spans="1:2" x14ac:dyDescent="0.25">
      <c r="A83" s="18">
        <v>44.5</v>
      </c>
      <c r="B83" s="18">
        <v>6.6699999999999995E-4</v>
      </c>
    </row>
    <row r="84" spans="1:2" x14ac:dyDescent="0.25">
      <c r="A84" s="18">
        <v>45</v>
      </c>
      <c r="B84" s="18">
        <v>6.4199999999999999E-4</v>
      </c>
    </row>
    <row r="85" spans="1:2" x14ac:dyDescent="0.25">
      <c r="A85" s="18">
        <v>45.5</v>
      </c>
      <c r="B85" s="18">
        <v>6.2500000000000001E-4</v>
      </c>
    </row>
    <row r="86" spans="1:2" x14ac:dyDescent="0.25">
      <c r="A86" s="18">
        <v>46</v>
      </c>
      <c r="B86" s="18">
        <v>6.0300000000000002E-4</v>
      </c>
    </row>
    <row r="87" spans="1:2" x14ac:dyDescent="0.25">
      <c r="A87" s="18">
        <v>46.5</v>
      </c>
      <c r="B87" s="18">
        <v>5.8299999999999997E-4</v>
      </c>
    </row>
    <row r="88" spans="1:2" x14ac:dyDescent="0.25">
      <c r="A88" s="18">
        <v>47</v>
      </c>
      <c r="B88" s="18">
        <v>5.6300000000000002E-4</v>
      </c>
    </row>
    <row r="89" spans="1:2" x14ac:dyDescent="0.25">
      <c r="A89" s="18">
        <v>47.5</v>
      </c>
      <c r="B89" s="18">
        <v>5.4900000000000001E-4</v>
      </c>
    </row>
    <row r="90" spans="1:2" x14ac:dyDescent="0.25">
      <c r="A90" s="18">
        <v>48</v>
      </c>
      <c r="B90" s="18">
        <v>5.2400000000000005E-4</v>
      </c>
    </row>
    <row r="91" spans="1:2" x14ac:dyDescent="0.25">
      <c r="A91" s="18">
        <v>48.5</v>
      </c>
      <c r="B91" s="18">
        <v>5.13E-4</v>
      </c>
    </row>
    <row r="92" spans="1:2" x14ac:dyDescent="0.25">
      <c r="A92" s="18">
        <v>49</v>
      </c>
      <c r="B92" s="18">
        <v>4.9200000000000003E-4</v>
      </c>
    </row>
    <row r="93" spans="1:2" x14ac:dyDescent="0.25">
      <c r="A93" s="18">
        <v>49.5</v>
      </c>
      <c r="B93" s="18">
        <v>4.8099999999999998E-4</v>
      </c>
    </row>
    <row r="94" spans="1:2" x14ac:dyDescent="0.25">
      <c r="A94" s="18">
        <v>50</v>
      </c>
      <c r="B94" s="18">
        <v>4.6500000000000003E-4</v>
      </c>
    </row>
    <row r="95" spans="1:2" x14ac:dyDescent="0.25">
      <c r="A95" s="18">
        <v>50.5</v>
      </c>
      <c r="B95" s="18">
        <v>4.5600000000000003E-4</v>
      </c>
    </row>
    <row r="96" spans="1:2" x14ac:dyDescent="0.25">
      <c r="A96" s="18">
        <v>51</v>
      </c>
      <c r="B96" s="18">
        <v>4.3899999999999999E-4</v>
      </c>
    </row>
    <row r="97" spans="1:2" x14ac:dyDescent="0.25">
      <c r="A97" s="18">
        <v>51.5</v>
      </c>
      <c r="B97" s="18">
        <v>4.28E-4</v>
      </c>
    </row>
    <row r="98" spans="1:2" x14ac:dyDescent="0.25">
      <c r="A98" s="18">
        <v>52</v>
      </c>
      <c r="B98" s="18">
        <v>4.15E-4</v>
      </c>
    </row>
    <row r="99" spans="1:2" x14ac:dyDescent="0.25">
      <c r="A99" s="18">
        <v>52.5</v>
      </c>
      <c r="B99" s="18">
        <v>4.06E-4</v>
      </c>
    </row>
    <row r="100" spans="1:2" x14ac:dyDescent="0.25">
      <c r="A100" s="18">
        <v>53</v>
      </c>
      <c r="B100" s="18">
        <v>3.9199999999999999E-4</v>
      </c>
    </row>
    <row r="101" spans="1:2" x14ac:dyDescent="0.25">
      <c r="A101" s="18">
        <v>53.5</v>
      </c>
      <c r="B101" s="18">
        <v>3.8400000000000001E-4</v>
      </c>
    </row>
    <row r="102" spans="1:2" x14ac:dyDescent="0.25">
      <c r="A102" s="18">
        <v>54</v>
      </c>
      <c r="B102" s="18">
        <v>3.7800000000000003E-4</v>
      </c>
    </row>
    <row r="103" spans="1:2" x14ac:dyDescent="0.25">
      <c r="A103" s="18">
        <v>54.5</v>
      </c>
      <c r="B103" s="18">
        <v>3.6900000000000002E-4</v>
      </c>
    </row>
    <row r="104" spans="1:2" x14ac:dyDescent="0.25">
      <c r="A104" s="18">
        <v>55</v>
      </c>
      <c r="B104" s="18">
        <v>3.59E-4</v>
      </c>
    </row>
    <row r="105" spans="1:2" x14ac:dyDescent="0.25">
      <c r="A105" s="18">
        <v>55.5</v>
      </c>
      <c r="B105" s="18">
        <v>3.48E-4</v>
      </c>
    </row>
    <row r="106" spans="1:2" x14ac:dyDescent="0.25">
      <c r="A106" s="18">
        <v>56</v>
      </c>
      <c r="B106" s="18">
        <v>3.3700000000000001E-4</v>
      </c>
    </row>
    <row r="107" spans="1:2" x14ac:dyDescent="0.25">
      <c r="A107" s="18">
        <v>56.5</v>
      </c>
      <c r="B107" s="18">
        <v>3.2899999999999997E-4</v>
      </c>
    </row>
    <row r="108" spans="1:2" x14ac:dyDescent="0.25">
      <c r="A108" s="18">
        <v>57</v>
      </c>
      <c r="B108" s="18">
        <v>3.2299999999999999E-4</v>
      </c>
    </row>
    <row r="109" spans="1:2" x14ac:dyDescent="0.25">
      <c r="A109" s="18">
        <v>57.5</v>
      </c>
      <c r="B109" s="18">
        <v>3.8499999999999998E-4</v>
      </c>
    </row>
    <row r="110" spans="1:2" x14ac:dyDescent="0.25">
      <c r="A110" s="18">
        <v>58</v>
      </c>
      <c r="B110" s="18">
        <v>6.9899999999999997E-4</v>
      </c>
    </row>
    <row r="111" spans="1:2" x14ac:dyDescent="0.25">
      <c r="A111" s="18">
        <v>58.5</v>
      </c>
      <c r="B111" s="18">
        <v>3.2899999999999997E-4</v>
      </c>
    </row>
    <row r="112" spans="1:2" x14ac:dyDescent="0.25">
      <c r="A112" s="18">
        <v>59</v>
      </c>
      <c r="B112" s="18">
        <v>6.5899999999999997E-4</v>
      </c>
    </row>
    <row r="113" spans="1:2" x14ac:dyDescent="0.25">
      <c r="A113" s="18">
        <v>59.5</v>
      </c>
      <c r="B113" s="18">
        <v>7.6000000000000004E-4</v>
      </c>
    </row>
    <row r="114" spans="1:2" x14ac:dyDescent="0.25">
      <c r="A114" s="18">
        <v>60</v>
      </c>
      <c r="B114" s="18">
        <v>2.8200000000000002E-4</v>
      </c>
    </row>
    <row r="115" spans="1:2" x14ac:dyDescent="0.25">
      <c r="A115" s="18">
        <v>60.5</v>
      </c>
      <c r="B115" s="18">
        <v>2.7099999999999997E-4</v>
      </c>
    </row>
    <row r="116" spans="1:2" x14ac:dyDescent="0.25">
      <c r="A116" s="18">
        <v>61</v>
      </c>
      <c r="B116" s="18">
        <v>2.63E-4</v>
      </c>
    </row>
    <row r="117" spans="1:2" x14ac:dyDescent="0.25">
      <c r="A117" s="18">
        <v>61.5</v>
      </c>
      <c r="B117" s="18">
        <v>2.5700000000000001E-4</v>
      </c>
    </row>
    <row r="118" spans="1:2" x14ac:dyDescent="0.25">
      <c r="A118" s="18">
        <v>62</v>
      </c>
      <c r="B118" s="18">
        <v>2.52E-4</v>
      </c>
    </row>
    <row r="119" spans="1:2" x14ac:dyDescent="0.25">
      <c r="A119" s="18">
        <v>62.5</v>
      </c>
      <c r="B119" s="18">
        <v>2.4600000000000002E-4</v>
      </c>
    </row>
    <row r="120" spans="1:2" x14ac:dyDescent="0.25">
      <c r="A120" s="18">
        <v>63</v>
      </c>
      <c r="B120" s="18">
        <v>2.4499999999999999E-4</v>
      </c>
    </row>
    <row r="121" spans="1:2" x14ac:dyDescent="0.25">
      <c r="A121" s="18">
        <v>63.5</v>
      </c>
      <c r="B121" s="18">
        <v>2.3499999999999999E-4</v>
      </c>
    </row>
    <row r="122" spans="1:2" x14ac:dyDescent="0.25">
      <c r="A122" s="18">
        <v>64</v>
      </c>
      <c r="B122" s="18">
        <v>2.31E-4</v>
      </c>
    </row>
    <row r="123" spans="1:2" x14ac:dyDescent="0.25">
      <c r="A123" s="18">
        <v>64.5</v>
      </c>
      <c r="B123" s="18">
        <v>2.24E-4</v>
      </c>
    </row>
    <row r="124" spans="1:2" x14ac:dyDescent="0.25">
      <c r="A124" s="18">
        <v>65</v>
      </c>
      <c r="B124" s="18">
        <v>2.1699999999999999E-4</v>
      </c>
    </row>
    <row r="125" spans="1:2" x14ac:dyDescent="0.25">
      <c r="A125" s="18">
        <v>65.5</v>
      </c>
      <c r="B125" s="18">
        <v>2.14E-4</v>
      </c>
    </row>
    <row r="126" spans="1:2" x14ac:dyDescent="0.25">
      <c r="A126" s="18">
        <v>66</v>
      </c>
      <c r="B126" s="18">
        <v>2.12E-4</v>
      </c>
    </row>
    <row r="127" spans="1:2" x14ac:dyDescent="0.25">
      <c r="A127" s="18">
        <v>66.5</v>
      </c>
      <c r="B127" s="18">
        <v>2.3000000000000001E-4</v>
      </c>
    </row>
    <row r="128" spans="1:2" x14ac:dyDescent="0.25">
      <c r="A128" s="18">
        <v>67</v>
      </c>
      <c r="B128" s="18">
        <v>3.9899999999999999E-4</v>
      </c>
    </row>
    <row r="129" spans="1:2" x14ac:dyDescent="0.25">
      <c r="A129" s="18">
        <v>67.5</v>
      </c>
      <c r="B129" s="18">
        <v>2.7900000000000001E-4</v>
      </c>
    </row>
    <row r="130" spans="1:2" x14ac:dyDescent="0.25">
      <c r="A130" s="18">
        <v>68</v>
      </c>
      <c r="B130" s="18">
        <v>1.95E-4</v>
      </c>
    </row>
    <row r="131" spans="1:2" x14ac:dyDescent="0.25">
      <c r="A131" s="18">
        <v>68.5</v>
      </c>
      <c r="B131" s="18">
        <v>1.93E-4</v>
      </c>
    </row>
    <row r="132" spans="1:2" x14ac:dyDescent="0.25">
      <c r="A132" s="18">
        <v>69</v>
      </c>
      <c r="B132" s="18">
        <v>2.41E-4</v>
      </c>
    </row>
    <row r="133" spans="1:2" x14ac:dyDescent="0.25">
      <c r="A133" s="18">
        <v>69.5</v>
      </c>
      <c r="B133" s="18">
        <v>1.8799999999999999E-4</v>
      </c>
    </row>
    <row r="134" spans="1:2" x14ac:dyDescent="0.25">
      <c r="A134" s="18">
        <v>70</v>
      </c>
      <c r="B134" s="18">
        <v>1.6100000000000001E-4</v>
      </c>
    </row>
    <row r="135" spans="1:2" x14ac:dyDescent="0.25">
      <c r="A135" s="18">
        <v>70.5</v>
      </c>
      <c r="B135" s="18">
        <v>1.5799999999999999E-4</v>
      </c>
    </row>
    <row r="136" spans="1:2" x14ac:dyDescent="0.25">
      <c r="A136" s="18">
        <v>71</v>
      </c>
      <c r="B136" s="18">
        <v>1.5100000000000001E-4</v>
      </c>
    </row>
    <row r="137" spans="1:2" x14ac:dyDescent="0.25">
      <c r="A137" s="18">
        <v>71.5</v>
      </c>
      <c r="B137" s="18">
        <v>1.5100000000000001E-4</v>
      </c>
    </row>
    <row r="138" spans="1:2" x14ac:dyDescent="0.25">
      <c r="A138" s="18">
        <v>72</v>
      </c>
      <c r="B138" s="18">
        <v>1.46E-4</v>
      </c>
    </row>
    <row r="139" spans="1:2" x14ac:dyDescent="0.25">
      <c r="A139" s="18">
        <v>72.5</v>
      </c>
      <c r="B139" s="18">
        <v>1.4200000000000001E-4</v>
      </c>
    </row>
    <row r="140" spans="1:2" x14ac:dyDescent="0.25">
      <c r="A140" s="18">
        <v>73</v>
      </c>
      <c r="B140" s="18">
        <v>1.3799999999999999E-4</v>
      </c>
    </row>
    <row r="141" spans="1:2" x14ac:dyDescent="0.25">
      <c r="A141" s="18">
        <v>73.5</v>
      </c>
      <c r="B141" s="18">
        <v>1.34E-4</v>
      </c>
    </row>
    <row r="142" spans="1:2" x14ac:dyDescent="0.25">
      <c r="A142" s="18">
        <v>74</v>
      </c>
      <c r="B142" s="18">
        <v>1.2999999999999999E-4</v>
      </c>
    </row>
    <row r="143" spans="1:2" x14ac:dyDescent="0.25">
      <c r="A143" s="18">
        <v>74.5</v>
      </c>
      <c r="B143" s="18">
        <v>1.2799999999999999E-4</v>
      </c>
    </row>
    <row r="144" spans="1:2" x14ac:dyDescent="0.25">
      <c r="A144" s="18">
        <v>75</v>
      </c>
      <c r="B144" s="18">
        <v>1.2400000000000001E-4</v>
      </c>
    </row>
    <row r="145" spans="1:2" x14ac:dyDescent="0.25">
      <c r="A145" s="18">
        <v>75.5</v>
      </c>
      <c r="B145" s="18">
        <v>1.2E-4</v>
      </c>
    </row>
    <row r="146" spans="1:2" x14ac:dyDescent="0.25">
      <c r="A146" s="18">
        <v>76</v>
      </c>
      <c r="B146" s="18">
        <v>1.13E-4</v>
      </c>
    </row>
    <row r="147" spans="1:2" x14ac:dyDescent="0.25">
      <c r="A147" s="18">
        <v>76.5</v>
      </c>
      <c r="B147" s="18">
        <v>1.13E-4</v>
      </c>
    </row>
    <row r="148" spans="1:2" x14ac:dyDescent="0.25">
      <c r="A148" s="18">
        <v>77</v>
      </c>
      <c r="B148" s="18">
        <v>1.0900000000000001E-4</v>
      </c>
    </row>
    <row r="149" spans="1:2" x14ac:dyDescent="0.25">
      <c r="A149" s="18">
        <v>77.5</v>
      </c>
      <c r="B149" s="18">
        <v>1.06E-4</v>
      </c>
    </row>
    <row r="150" spans="1:2" x14ac:dyDescent="0.25">
      <c r="A150" s="18">
        <v>78</v>
      </c>
      <c r="B150" s="18">
        <v>1.01E-4</v>
      </c>
    </row>
    <row r="151" spans="1:2" x14ac:dyDescent="0.25">
      <c r="A151" s="18">
        <v>78.5</v>
      </c>
      <c r="B151" s="18">
        <v>9.6199999999999994E-5</v>
      </c>
    </row>
    <row r="152" spans="1:2" x14ac:dyDescent="0.25">
      <c r="A152" s="18">
        <v>79</v>
      </c>
      <c r="B152" s="18">
        <v>9.1700000000000006E-5</v>
      </c>
    </row>
    <row r="153" spans="1:2" x14ac:dyDescent="0.25">
      <c r="A153" s="18">
        <v>79.5</v>
      </c>
      <c r="B153" s="18">
        <v>9.1500000000000001E-5</v>
      </c>
    </row>
    <row r="154" spans="1:2" x14ac:dyDescent="0.25">
      <c r="A154" s="18">
        <v>80</v>
      </c>
      <c r="B154" s="18">
        <v>8.4900000000000004E-5</v>
      </c>
    </row>
    <row r="155" spans="1:2" x14ac:dyDescent="0.25">
      <c r="A155" s="18">
        <v>80.5</v>
      </c>
      <c r="B155" s="18">
        <v>8.3399999999999994E-5</v>
      </c>
    </row>
    <row r="156" spans="1:2" x14ac:dyDescent="0.25">
      <c r="A156" s="18">
        <v>81</v>
      </c>
      <c r="B156" s="18">
        <v>7.8399999999999995E-5</v>
      </c>
    </row>
    <row r="157" spans="1:2" x14ac:dyDescent="0.25">
      <c r="A157" s="18">
        <v>81.5</v>
      </c>
      <c r="B157" s="18">
        <v>7.6100000000000007E-5</v>
      </c>
    </row>
    <row r="158" spans="1:2" x14ac:dyDescent="0.25">
      <c r="A158" s="18">
        <v>82</v>
      </c>
      <c r="B158" s="18">
        <v>7.08E-5</v>
      </c>
    </row>
    <row r="159" spans="1:2" x14ac:dyDescent="0.25">
      <c r="A159" s="18">
        <v>82.5</v>
      </c>
      <c r="B159" s="18">
        <v>6.7199999999999994E-5</v>
      </c>
    </row>
    <row r="160" spans="1:2" x14ac:dyDescent="0.25">
      <c r="A160" s="18">
        <v>83</v>
      </c>
      <c r="B160" s="18">
        <v>6.5199999999999999E-5</v>
      </c>
    </row>
    <row r="161" spans="1:2" x14ac:dyDescent="0.25">
      <c r="A161" s="18">
        <v>83.5</v>
      </c>
      <c r="B161" s="18">
        <v>6.02E-5</v>
      </c>
    </row>
    <row r="162" spans="1:2" x14ac:dyDescent="0.25">
      <c r="A162" s="18">
        <v>84</v>
      </c>
      <c r="B162" s="18">
        <v>5.5800000000000001E-5</v>
      </c>
    </row>
    <row r="163" spans="1:2" x14ac:dyDescent="0.25">
      <c r="A163" s="18">
        <v>84.5</v>
      </c>
      <c r="B163" s="18">
        <v>5.2800000000000003E-5</v>
      </c>
    </row>
    <row r="164" spans="1:2" x14ac:dyDescent="0.25">
      <c r="A164" s="18">
        <v>85</v>
      </c>
      <c r="B164" s="18">
        <v>4.9299999999999999E-5</v>
      </c>
    </row>
    <row r="165" spans="1:2" x14ac:dyDescent="0.25">
      <c r="A165" s="18">
        <v>85.5</v>
      </c>
      <c r="B165" s="18">
        <v>4.46E-5</v>
      </c>
    </row>
    <row r="166" spans="1:2" x14ac:dyDescent="0.25">
      <c r="A166" s="18">
        <v>86</v>
      </c>
      <c r="B166" s="18">
        <v>4.1900000000000002E-5</v>
      </c>
    </row>
    <row r="167" spans="1:2" x14ac:dyDescent="0.25">
      <c r="A167" s="18">
        <v>86.5</v>
      </c>
      <c r="B167" s="18">
        <v>3.57E-5</v>
      </c>
    </row>
    <row r="168" spans="1:2" x14ac:dyDescent="0.25">
      <c r="A168" s="18">
        <v>87</v>
      </c>
      <c r="B168" s="18">
        <v>3.2299999999999999E-5</v>
      </c>
    </row>
    <row r="169" spans="1:2" x14ac:dyDescent="0.25">
      <c r="A169" s="18">
        <v>87.5</v>
      </c>
      <c r="B169" s="18">
        <v>2.72E-5</v>
      </c>
    </row>
    <row r="170" spans="1:2" x14ac:dyDescent="0.25">
      <c r="A170" s="18">
        <v>88</v>
      </c>
      <c r="B170" s="18">
        <v>2.3E-5</v>
      </c>
    </row>
    <row r="171" spans="1:2" x14ac:dyDescent="0.25">
      <c r="A171" s="18">
        <v>88.5</v>
      </c>
      <c r="B171" s="18">
        <v>1.8099999999999999E-5</v>
      </c>
    </row>
    <row r="172" spans="1:2" x14ac:dyDescent="0.25">
      <c r="A172" s="18">
        <v>89</v>
      </c>
      <c r="B172" s="18">
        <v>1.27E-5</v>
      </c>
    </row>
    <row r="173" spans="1:2" x14ac:dyDescent="0.25">
      <c r="A173" s="18">
        <v>89.5</v>
      </c>
      <c r="B173" s="18">
        <v>6.81E-6</v>
      </c>
    </row>
    <row r="174" spans="1:2" x14ac:dyDescent="0.25">
      <c r="A174" s="18">
        <v>90</v>
      </c>
      <c r="B174" s="18">
        <v>1.73E-6</v>
      </c>
    </row>
    <row r="175" spans="1:2" x14ac:dyDescent="0.25">
      <c r="A175" s="18">
        <v>90.5</v>
      </c>
      <c r="B175" s="18">
        <v>6.7899999999999998E-7</v>
      </c>
    </row>
    <row r="176" spans="1:2" x14ac:dyDescent="0.25">
      <c r="A176" s="18">
        <v>91</v>
      </c>
      <c r="B176" s="18">
        <v>5.9800000000000003E-7</v>
      </c>
    </row>
    <row r="177" spans="1:2" x14ac:dyDescent="0.25">
      <c r="A177" s="18">
        <v>91.5</v>
      </c>
      <c r="B177" s="18">
        <v>5.5599999999999995E-7</v>
      </c>
    </row>
    <row r="178" spans="1:2" x14ac:dyDescent="0.25">
      <c r="A178" s="18">
        <v>92</v>
      </c>
      <c r="B178" s="18">
        <v>4.63E-7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dimension ref="A1:B20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2.4899999999999998E-4</v>
      </c>
    </row>
    <row r="3" spans="1:2" x14ac:dyDescent="0.25">
      <c r="A3" s="18">
        <v>3.5</v>
      </c>
      <c r="B3" s="18">
        <v>2.9100000000000003E-4</v>
      </c>
    </row>
    <row r="4" spans="1:2" x14ac:dyDescent="0.25">
      <c r="A4" s="18">
        <v>4</v>
      </c>
      <c r="B4" s="18">
        <v>6.0499999999999996E-4</v>
      </c>
    </row>
    <row r="5" spans="1:2" x14ac:dyDescent="0.25">
      <c r="A5" s="18">
        <v>4.5</v>
      </c>
      <c r="B5" s="18">
        <v>4.1399999999999998E-4</v>
      </c>
    </row>
    <row r="6" spans="1:2" x14ac:dyDescent="0.25">
      <c r="A6" s="18">
        <v>5</v>
      </c>
      <c r="B6" s="18">
        <v>7.8100000000000001E-4</v>
      </c>
    </row>
    <row r="7" spans="1:2" x14ac:dyDescent="0.25">
      <c r="A7" s="18">
        <v>5.5</v>
      </c>
      <c r="B7" s="18">
        <v>1.48E-3</v>
      </c>
    </row>
    <row r="8" spans="1:2" x14ac:dyDescent="0.25">
      <c r="A8" s="18">
        <v>6</v>
      </c>
      <c r="B8" s="18">
        <v>2.5000000000000001E-3</v>
      </c>
    </row>
    <row r="9" spans="1:2" x14ac:dyDescent="0.25">
      <c r="A9" s="18">
        <v>6.5</v>
      </c>
      <c r="B9" s="18">
        <v>5.1999999999999998E-3</v>
      </c>
    </row>
    <row r="10" spans="1:2" x14ac:dyDescent="0.25">
      <c r="A10" s="18">
        <v>7</v>
      </c>
      <c r="B10" s="18">
        <v>8.8100000000000001E-3</v>
      </c>
    </row>
    <row r="11" spans="1:2" x14ac:dyDescent="0.25">
      <c r="A11" s="18">
        <v>7.5</v>
      </c>
      <c r="B11" s="18">
        <v>1.6E-2</v>
      </c>
    </row>
    <row r="12" spans="1:2" x14ac:dyDescent="0.25">
      <c r="A12" s="18">
        <v>8</v>
      </c>
      <c r="B12" s="18">
        <v>3.6299999999999999E-2</v>
      </c>
    </row>
    <row r="13" spans="1:2" x14ac:dyDescent="0.25">
      <c r="A13" s="18">
        <v>8.5</v>
      </c>
      <c r="B13" s="18">
        <v>0.224</v>
      </c>
    </row>
    <row r="14" spans="1:2" x14ac:dyDescent="0.25">
      <c r="A14" s="18">
        <v>9</v>
      </c>
      <c r="B14" s="18">
        <v>2.3900000000000001E-2</v>
      </c>
    </row>
    <row r="15" spans="1:2" x14ac:dyDescent="0.25">
      <c r="A15" s="18">
        <v>9.5</v>
      </c>
      <c r="B15" s="18">
        <v>0.16</v>
      </c>
    </row>
    <row r="16" spans="1:2" x14ac:dyDescent="0.25">
      <c r="A16" s="18">
        <v>10</v>
      </c>
      <c r="B16" s="18">
        <v>0.17100000000000001</v>
      </c>
    </row>
    <row r="17" spans="1:2" x14ac:dyDescent="0.25">
      <c r="A17" s="18">
        <v>10.5</v>
      </c>
      <c r="B17" s="18">
        <v>1.6400000000000001E-2</v>
      </c>
    </row>
    <row r="18" spans="1:2" x14ac:dyDescent="0.25">
      <c r="A18" s="18">
        <v>11</v>
      </c>
      <c r="B18" s="18">
        <v>1.7399999999999999E-2</v>
      </c>
    </row>
    <row r="19" spans="1:2" x14ac:dyDescent="0.25">
      <c r="A19" s="18">
        <v>11.5</v>
      </c>
      <c r="B19" s="18">
        <v>3.1199999999999999E-2</v>
      </c>
    </row>
    <row r="20" spans="1:2" x14ac:dyDescent="0.25">
      <c r="A20" s="18">
        <v>12</v>
      </c>
      <c r="B20" s="18">
        <v>1.24E-2</v>
      </c>
    </row>
    <row r="21" spans="1:2" x14ac:dyDescent="0.25">
      <c r="A21" s="18">
        <v>12.5</v>
      </c>
      <c r="B21" s="18">
        <v>8.94E-3</v>
      </c>
    </row>
    <row r="22" spans="1:2" x14ac:dyDescent="0.25">
      <c r="A22" s="18">
        <v>13</v>
      </c>
      <c r="B22" s="18">
        <v>8.9499999999999996E-3</v>
      </c>
    </row>
    <row r="23" spans="1:2" x14ac:dyDescent="0.25">
      <c r="A23" s="18">
        <v>13.5</v>
      </c>
      <c r="B23" s="18">
        <v>9.1699999999999993E-3</v>
      </c>
    </row>
    <row r="24" spans="1:2" x14ac:dyDescent="0.25">
      <c r="A24" s="18">
        <v>14</v>
      </c>
      <c r="B24" s="18">
        <v>8.8800000000000007E-3</v>
      </c>
    </row>
    <row r="25" spans="1:2" x14ac:dyDescent="0.25">
      <c r="A25" s="18">
        <v>14.5</v>
      </c>
      <c r="B25" s="18">
        <v>8.8800000000000007E-3</v>
      </c>
    </row>
    <row r="26" spans="1:2" x14ac:dyDescent="0.25">
      <c r="A26" s="18">
        <v>15</v>
      </c>
      <c r="B26" s="18">
        <v>8.7399999999999995E-3</v>
      </c>
    </row>
    <row r="27" spans="1:2" x14ac:dyDescent="0.25">
      <c r="A27" s="18">
        <v>15.5</v>
      </c>
      <c r="B27" s="18">
        <v>8.5599999999999999E-3</v>
      </c>
    </row>
    <row r="28" spans="1:2" x14ac:dyDescent="0.25">
      <c r="A28" s="18">
        <v>16</v>
      </c>
      <c r="B28" s="18">
        <v>8.3300000000000006E-3</v>
      </c>
    </row>
    <row r="29" spans="1:2" x14ac:dyDescent="0.25">
      <c r="A29" s="18">
        <v>16.5</v>
      </c>
      <c r="B29" s="18">
        <v>8.0599999999999995E-3</v>
      </c>
    </row>
    <row r="30" spans="1:2" x14ac:dyDescent="0.25">
      <c r="A30" s="18">
        <v>17</v>
      </c>
      <c r="B30" s="18">
        <v>7.7499999999999999E-3</v>
      </c>
    </row>
    <row r="31" spans="1:2" x14ac:dyDescent="0.25">
      <c r="A31" s="18">
        <v>17.5</v>
      </c>
      <c r="B31" s="18">
        <v>7.5700000000000003E-3</v>
      </c>
    </row>
    <row r="32" spans="1:2" x14ac:dyDescent="0.25">
      <c r="A32" s="18">
        <v>18</v>
      </c>
      <c r="B32" s="18">
        <v>7.1599999999999997E-3</v>
      </c>
    </row>
    <row r="33" spans="1:2" x14ac:dyDescent="0.25">
      <c r="A33" s="18">
        <v>18.5</v>
      </c>
      <c r="B33" s="18">
        <v>6.9899999999999997E-3</v>
      </c>
    </row>
    <row r="34" spans="1:2" x14ac:dyDescent="0.25">
      <c r="A34" s="18">
        <v>19</v>
      </c>
      <c r="B34" s="18">
        <v>6.6E-3</v>
      </c>
    </row>
    <row r="35" spans="1:2" x14ac:dyDescent="0.25">
      <c r="A35" s="18">
        <v>19.5</v>
      </c>
      <c r="B35" s="18">
        <v>6.3899999999999998E-3</v>
      </c>
    </row>
    <row r="36" spans="1:2" x14ac:dyDescent="0.25">
      <c r="A36" s="18">
        <v>20</v>
      </c>
      <c r="B36" s="18">
        <v>6.1000000000000004E-3</v>
      </c>
    </row>
    <row r="37" spans="1:2" x14ac:dyDescent="0.25">
      <c r="A37" s="18">
        <v>20.5</v>
      </c>
      <c r="B37" s="18">
        <v>5.79E-3</v>
      </c>
    </row>
    <row r="38" spans="1:2" x14ac:dyDescent="0.25">
      <c r="A38" s="18">
        <v>21</v>
      </c>
      <c r="B38" s="18">
        <v>5.5900000000000004E-3</v>
      </c>
    </row>
    <row r="39" spans="1:2" x14ac:dyDescent="0.25">
      <c r="A39" s="18">
        <v>21.5</v>
      </c>
      <c r="B39" s="18">
        <v>5.28E-3</v>
      </c>
    </row>
    <row r="40" spans="1:2" x14ac:dyDescent="0.25">
      <c r="A40" s="18">
        <v>22</v>
      </c>
      <c r="B40" s="18">
        <v>5.0400000000000002E-3</v>
      </c>
    </row>
    <row r="41" spans="1:2" x14ac:dyDescent="0.25">
      <c r="A41" s="18">
        <v>22.5</v>
      </c>
      <c r="B41" s="18">
        <v>4.8399999999999997E-3</v>
      </c>
    </row>
    <row r="42" spans="1:2" x14ac:dyDescent="0.25">
      <c r="A42" s="18">
        <v>23</v>
      </c>
      <c r="B42" s="18">
        <v>4.62E-3</v>
      </c>
    </row>
    <row r="43" spans="1:2" x14ac:dyDescent="0.25">
      <c r="A43" s="18">
        <v>23.5</v>
      </c>
      <c r="B43" s="18">
        <v>4.3899999999999998E-3</v>
      </c>
    </row>
    <row r="44" spans="1:2" x14ac:dyDescent="0.25">
      <c r="A44" s="18">
        <v>24</v>
      </c>
      <c r="B44" s="18">
        <v>4.1599999999999996E-3</v>
      </c>
    </row>
    <row r="45" spans="1:2" x14ac:dyDescent="0.25">
      <c r="A45" s="18">
        <v>24.5</v>
      </c>
      <c r="B45" s="18">
        <v>3.9500000000000004E-3</v>
      </c>
    </row>
    <row r="46" spans="1:2" x14ac:dyDescent="0.25">
      <c r="A46" s="18">
        <v>25</v>
      </c>
      <c r="B46" s="18">
        <v>3.7799999999999999E-3</v>
      </c>
    </row>
    <row r="47" spans="1:2" x14ac:dyDescent="0.25">
      <c r="A47" s="18">
        <v>25.5</v>
      </c>
      <c r="B47" s="18">
        <v>3.5799999999999998E-3</v>
      </c>
    </row>
    <row r="48" spans="1:2" x14ac:dyDescent="0.25">
      <c r="A48" s="18">
        <v>26</v>
      </c>
      <c r="B48" s="18">
        <v>3.4399999999999999E-3</v>
      </c>
    </row>
    <row r="49" spans="1:2" x14ac:dyDescent="0.25">
      <c r="A49" s="18">
        <v>26.5</v>
      </c>
      <c r="B49" s="18">
        <v>3.2699999999999999E-3</v>
      </c>
    </row>
    <row r="50" spans="1:2" x14ac:dyDescent="0.25">
      <c r="A50" s="18">
        <v>27</v>
      </c>
      <c r="B50" s="18">
        <v>3.1099999999999999E-3</v>
      </c>
    </row>
    <row r="51" spans="1:2" x14ac:dyDescent="0.25">
      <c r="A51" s="18">
        <v>27.5</v>
      </c>
      <c r="B51" s="18">
        <v>2.99E-3</v>
      </c>
    </row>
    <row r="52" spans="1:2" x14ac:dyDescent="0.25">
      <c r="A52" s="18">
        <v>28</v>
      </c>
      <c r="B52" s="18">
        <v>2.82E-3</v>
      </c>
    </row>
    <row r="53" spans="1:2" x14ac:dyDescent="0.25">
      <c r="A53" s="18">
        <v>28.5</v>
      </c>
      <c r="B53" s="18">
        <v>2.66E-3</v>
      </c>
    </row>
    <row r="54" spans="1:2" x14ac:dyDescent="0.25">
      <c r="A54" s="18">
        <v>29</v>
      </c>
      <c r="B54" s="18">
        <v>2.5699999999999998E-3</v>
      </c>
    </row>
    <row r="55" spans="1:2" x14ac:dyDescent="0.25">
      <c r="A55" s="18">
        <v>29.5</v>
      </c>
      <c r="B55" s="18">
        <v>2.4199999999999998E-3</v>
      </c>
    </row>
    <row r="56" spans="1:2" x14ac:dyDescent="0.25">
      <c r="A56" s="18">
        <v>30</v>
      </c>
      <c r="B56" s="18">
        <v>2.31E-3</v>
      </c>
    </row>
    <row r="57" spans="1:2" x14ac:dyDescent="0.25">
      <c r="A57" s="18">
        <v>30.5</v>
      </c>
      <c r="B57" s="18">
        <v>2.2300000000000002E-3</v>
      </c>
    </row>
    <row r="58" spans="1:2" x14ac:dyDescent="0.25">
      <c r="A58" s="18">
        <v>31</v>
      </c>
      <c r="B58" s="18">
        <v>2.1199999999999999E-3</v>
      </c>
    </row>
    <row r="59" spans="1:2" x14ac:dyDescent="0.25">
      <c r="A59" s="18">
        <v>31.5</v>
      </c>
      <c r="B59" s="18">
        <v>2.0300000000000001E-3</v>
      </c>
    </row>
    <row r="60" spans="1:2" x14ac:dyDescent="0.25">
      <c r="A60" s="18">
        <v>32</v>
      </c>
      <c r="B60" s="18">
        <v>1.9499999999999999E-3</v>
      </c>
    </row>
    <row r="61" spans="1:2" x14ac:dyDescent="0.25">
      <c r="A61" s="18">
        <v>32.5</v>
      </c>
      <c r="B61" s="18">
        <v>1.8600000000000001E-3</v>
      </c>
    </row>
    <row r="62" spans="1:2" x14ac:dyDescent="0.25">
      <c r="A62" s="18">
        <v>33</v>
      </c>
      <c r="B62" s="18">
        <v>1.7899999999999999E-3</v>
      </c>
    </row>
    <row r="63" spans="1:2" x14ac:dyDescent="0.25">
      <c r="A63" s="18">
        <v>33.5</v>
      </c>
      <c r="B63" s="18">
        <v>1.72E-3</v>
      </c>
    </row>
    <row r="64" spans="1:2" x14ac:dyDescent="0.25">
      <c r="A64" s="18">
        <v>34</v>
      </c>
      <c r="B64" s="18">
        <v>1.6299999999999999E-3</v>
      </c>
    </row>
    <row r="65" spans="1:2" x14ac:dyDescent="0.25">
      <c r="A65" s="18">
        <v>34.5</v>
      </c>
      <c r="B65" s="18">
        <v>1.57E-3</v>
      </c>
    </row>
    <row r="66" spans="1:2" x14ac:dyDescent="0.25">
      <c r="A66" s="18">
        <v>35</v>
      </c>
      <c r="B66" s="18">
        <v>1.5200000000000001E-3</v>
      </c>
    </row>
    <row r="67" spans="1:2" x14ac:dyDescent="0.25">
      <c r="A67" s="18">
        <v>35.5</v>
      </c>
      <c r="B67" s="18">
        <v>1.4300000000000001E-3</v>
      </c>
    </row>
    <row r="68" spans="1:2" x14ac:dyDescent="0.25">
      <c r="A68" s="18">
        <v>36</v>
      </c>
      <c r="B68" s="18">
        <v>1.3799999999999999E-3</v>
      </c>
    </row>
    <row r="69" spans="1:2" x14ac:dyDescent="0.25">
      <c r="A69" s="18">
        <v>36.5</v>
      </c>
      <c r="B69" s="18">
        <v>1.32E-3</v>
      </c>
    </row>
    <row r="70" spans="1:2" x14ac:dyDescent="0.25">
      <c r="A70" s="18">
        <v>37</v>
      </c>
      <c r="B70" s="18">
        <v>1.2700000000000001E-3</v>
      </c>
    </row>
    <row r="71" spans="1:2" x14ac:dyDescent="0.25">
      <c r="A71" s="18">
        <v>37.5</v>
      </c>
      <c r="B71" s="18">
        <v>1.2199999999999999E-3</v>
      </c>
    </row>
    <row r="72" spans="1:2" x14ac:dyDescent="0.25">
      <c r="A72" s="18">
        <v>38</v>
      </c>
      <c r="B72" s="18">
        <v>1.16E-3</v>
      </c>
    </row>
    <row r="73" spans="1:2" x14ac:dyDescent="0.25">
      <c r="A73" s="18">
        <v>38.5</v>
      </c>
      <c r="B73" s="18">
        <v>1.1199999999999999E-3</v>
      </c>
    </row>
    <row r="74" spans="1:2" x14ac:dyDescent="0.25">
      <c r="A74" s="18">
        <v>39</v>
      </c>
      <c r="B74" s="18">
        <v>1.07E-3</v>
      </c>
    </row>
    <row r="75" spans="1:2" x14ac:dyDescent="0.25">
      <c r="A75" s="18">
        <v>39.5</v>
      </c>
      <c r="B75" s="18">
        <v>1.0300000000000001E-3</v>
      </c>
    </row>
    <row r="76" spans="1:2" x14ac:dyDescent="0.25">
      <c r="A76" s="18">
        <v>40</v>
      </c>
      <c r="B76" s="18">
        <v>1E-3</v>
      </c>
    </row>
    <row r="77" spans="1:2" x14ac:dyDescent="0.25">
      <c r="A77" s="18">
        <v>40.5</v>
      </c>
      <c r="B77" s="18">
        <v>9.6400000000000001E-4</v>
      </c>
    </row>
    <row r="78" spans="1:2" x14ac:dyDescent="0.25">
      <c r="A78" s="18">
        <v>41</v>
      </c>
      <c r="B78" s="18">
        <v>9.2900000000000003E-4</v>
      </c>
    </row>
    <row r="79" spans="1:2" x14ac:dyDescent="0.25">
      <c r="A79" s="18">
        <v>41.5</v>
      </c>
      <c r="B79" s="18">
        <v>8.9999999999999998E-4</v>
      </c>
    </row>
    <row r="80" spans="1:2" x14ac:dyDescent="0.25">
      <c r="A80" s="18">
        <v>42</v>
      </c>
      <c r="B80" s="18">
        <v>8.7200000000000005E-4</v>
      </c>
    </row>
    <row r="81" spans="1:2" x14ac:dyDescent="0.25">
      <c r="A81" s="18">
        <v>42.5</v>
      </c>
      <c r="B81" s="18">
        <v>8.4599999999999996E-4</v>
      </c>
    </row>
    <row r="82" spans="1:2" x14ac:dyDescent="0.25">
      <c r="A82" s="18">
        <v>43</v>
      </c>
      <c r="B82" s="18">
        <v>8.1800000000000004E-4</v>
      </c>
    </row>
    <row r="83" spans="1:2" x14ac:dyDescent="0.25">
      <c r="A83" s="18">
        <v>43.5</v>
      </c>
      <c r="B83" s="18">
        <v>7.9100000000000004E-4</v>
      </c>
    </row>
    <row r="84" spans="1:2" x14ac:dyDescent="0.25">
      <c r="A84" s="18">
        <v>44</v>
      </c>
      <c r="B84" s="18">
        <v>7.6099999999999996E-4</v>
      </c>
    </row>
    <row r="85" spans="1:2" x14ac:dyDescent="0.25">
      <c r="A85" s="18">
        <v>44.5</v>
      </c>
      <c r="B85" s="18">
        <v>7.3700000000000002E-4</v>
      </c>
    </row>
    <row r="86" spans="1:2" x14ac:dyDescent="0.25">
      <c r="A86" s="18">
        <v>45</v>
      </c>
      <c r="B86" s="18">
        <v>7.1599999999999995E-4</v>
      </c>
    </row>
    <row r="87" spans="1:2" x14ac:dyDescent="0.25">
      <c r="A87" s="18">
        <v>45.5</v>
      </c>
      <c r="B87" s="18">
        <v>6.8400000000000004E-4</v>
      </c>
    </row>
    <row r="88" spans="1:2" x14ac:dyDescent="0.25">
      <c r="A88" s="18">
        <v>46</v>
      </c>
      <c r="B88" s="18">
        <v>6.6699999999999995E-4</v>
      </c>
    </row>
    <row r="89" spans="1:2" x14ac:dyDescent="0.25">
      <c r="A89" s="18">
        <v>46.5</v>
      </c>
      <c r="B89" s="18">
        <v>6.5200000000000002E-4</v>
      </c>
    </row>
    <row r="90" spans="1:2" x14ac:dyDescent="0.25">
      <c r="A90" s="18">
        <v>47</v>
      </c>
      <c r="B90" s="18">
        <v>6.2799999999999998E-4</v>
      </c>
    </row>
    <row r="91" spans="1:2" x14ac:dyDescent="0.25">
      <c r="A91" s="18">
        <v>47.5</v>
      </c>
      <c r="B91" s="18">
        <v>6.2500000000000001E-4</v>
      </c>
    </row>
    <row r="92" spans="1:2" x14ac:dyDescent="0.25">
      <c r="A92" s="18">
        <v>48</v>
      </c>
      <c r="B92" s="18">
        <v>5.8600000000000004E-4</v>
      </c>
    </row>
    <row r="93" spans="1:2" x14ac:dyDescent="0.25">
      <c r="A93" s="18">
        <v>48.5</v>
      </c>
      <c r="B93" s="18">
        <v>5.8E-4</v>
      </c>
    </row>
    <row r="94" spans="1:2" x14ac:dyDescent="0.25">
      <c r="A94" s="18">
        <v>49</v>
      </c>
      <c r="B94" s="18">
        <v>5.5800000000000001E-4</v>
      </c>
    </row>
    <row r="95" spans="1:2" x14ac:dyDescent="0.25">
      <c r="A95" s="18">
        <v>49.5</v>
      </c>
      <c r="B95" s="18">
        <v>5.44E-4</v>
      </c>
    </row>
    <row r="96" spans="1:2" x14ac:dyDescent="0.25">
      <c r="A96" s="18">
        <v>50</v>
      </c>
      <c r="B96" s="18">
        <v>5.2899999999999996E-4</v>
      </c>
    </row>
    <row r="97" spans="1:2" x14ac:dyDescent="0.25">
      <c r="A97" s="18">
        <v>50.5</v>
      </c>
      <c r="B97" s="18">
        <v>5.13E-4</v>
      </c>
    </row>
    <row r="98" spans="1:2" x14ac:dyDescent="0.25">
      <c r="A98" s="18">
        <v>51</v>
      </c>
      <c r="B98" s="18">
        <v>5.04E-4</v>
      </c>
    </row>
    <row r="99" spans="1:2" x14ac:dyDescent="0.25">
      <c r="A99" s="18">
        <v>51.5</v>
      </c>
      <c r="B99" s="18">
        <v>4.8700000000000002E-4</v>
      </c>
    </row>
    <row r="100" spans="1:2" x14ac:dyDescent="0.25">
      <c r="A100" s="18">
        <v>52</v>
      </c>
      <c r="B100" s="18">
        <v>4.7800000000000002E-4</v>
      </c>
    </row>
    <row r="101" spans="1:2" x14ac:dyDescent="0.25">
      <c r="A101" s="18">
        <v>52.5</v>
      </c>
      <c r="B101" s="18">
        <v>4.6299999999999998E-4</v>
      </c>
    </row>
    <row r="102" spans="1:2" x14ac:dyDescent="0.25">
      <c r="A102" s="18">
        <v>53</v>
      </c>
      <c r="B102" s="18">
        <v>4.5399999999999998E-4</v>
      </c>
    </row>
    <row r="103" spans="1:2" x14ac:dyDescent="0.25">
      <c r="A103" s="18">
        <v>53.5</v>
      </c>
      <c r="B103" s="18">
        <v>4.4000000000000002E-4</v>
      </c>
    </row>
    <row r="104" spans="1:2" x14ac:dyDescent="0.25">
      <c r="A104" s="18">
        <v>54</v>
      </c>
      <c r="B104" s="18">
        <v>4.3600000000000003E-4</v>
      </c>
    </row>
    <row r="105" spans="1:2" x14ac:dyDescent="0.25">
      <c r="A105" s="18">
        <v>54.5</v>
      </c>
      <c r="B105" s="18">
        <v>4.3100000000000001E-4</v>
      </c>
    </row>
    <row r="106" spans="1:2" x14ac:dyDescent="0.25">
      <c r="A106" s="18">
        <v>55</v>
      </c>
      <c r="B106" s="18">
        <v>4.1199999999999999E-4</v>
      </c>
    </row>
    <row r="107" spans="1:2" x14ac:dyDescent="0.25">
      <c r="A107" s="18">
        <v>55.5</v>
      </c>
      <c r="B107" s="18">
        <v>4.0400000000000001E-4</v>
      </c>
    </row>
    <row r="108" spans="1:2" x14ac:dyDescent="0.25">
      <c r="A108" s="18">
        <v>56</v>
      </c>
      <c r="B108" s="18">
        <v>4.0000000000000002E-4</v>
      </c>
    </row>
    <row r="109" spans="1:2" x14ac:dyDescent="0.25">
      <c r="A109" s="18">
        <v>56.5</v>
      </c>
      <c r="B109" s="18">
        <v>3.8999999999999999E-4</v>
      </c>
    </row>
    <row r="110" spans="1:2" x14ac:dyDescent="0.25">
      <c r="A110" s="18">
        <v>57</v>
      </c>
      <c r="B110" s="18">
        <v>3.8099999999999999E-4</v>
      </c>
    </row>
    <row r="111" spans="1:2" x14ac:dyDescent="0.25">
      <c r="A111" s="18">
        <v>57.5</v>
      </c>
      <c r="B111" s="18">
        <v>4.6700000000000002E-4</v>
      </c>
    </row>
    <row r="112" spans="1:2" x14ac:dyDescent="0.25">
      <c r="A112" s="18">
        <v>58</v>
      </c>
      <c r="B112" s="18">
        <v>1.08E-3</v>
      </c>
    </row>
    <row r="113" spans="1:2" x14ac:dyDescent="0.25">
      <c r="A113" s="18">
        <v>58.5</v>
      </c>
      <c r="B113" s="18">
        <v>4.17E-4</v>
      </c>
    </row>
    <row r="114" spans="1:2" x14ac:dyDescent="0.25">
      <c r="A114" s="18">
        <v>59</v>
      </c>
      <c r="B114" s="18">
        <v>9.1299999999999997E-4</v>
      </c>
    </row>
    <row r="115" spans="1:2" x14ac:dyDescent="0.25">
      <c r="A115" s="18">
        <v>59.5</v>
      </c>
      <c r="B115" s="18">
        <v>1.2899999999999999E-3</v>
      </c>
    </row>
    <row r="116" spans="1:2" x14ac:dyDescent="0.25">
      <c r="A116" s="18">
        <v>60</v>
      </c>
      <c r="B116" s="18">
        <v>3.48E-4</v>
      </c>
    </row>
    <row r="117" spans="1:2" x14ac:dyDescent="0.25">
      <c r="A117" s="18">
        <v>60.5</v>
      </c>
      <c r="B117" s="18">
        <v>3.19E-4</v>
      </c>
    </row>
    <row r="118" spans="1:2" x14ac:dyDescent="0.25">
      <c r="A118" s="18">
        <v>61</v>
      </c>
      <c r="B118" s="18">
        <v>3.1700000000000001E-4</v>
      </c>
    </row>
    <row r="119" spans="1:2" x14ac:dyDescent="0.25">
      <c r="A119" s="18">
        <v>61.5</v>
      </c>
      <c r="B119" s="18">
        <v>3.1E-4</v>
      </c>
    </row>
    <row r="120" spans="1:2" x14ac:dyDescent="0.25">
      <c r="A120" s="18">
        <v>62</v>
      </c>
      <c r="B120" s="18">
        <v>3.01E-4</v>
      </c>
    </row>
    <row r="121" spans="1:2" x14ac:dyDescent="0.25">
      <c r="A121" s="18">
        <v>62.5</v>
      </c>
      <c r="B121" s="18">
        <v>2.9599999999999998E-4</v>
      </c>
    </row>
    <row r="122" spans="1:2" x14ac:dyDescent="0.25">
      <c r="A122" s="18">
        <v>63</v>
      </c>
      <c r="B122" s="18">
        <v>2.8699999999999998E-4</v>
      </c>
    </row>
    <row r="123" spans="1:2" x14ac:dyDescent="0.25">
      <c r="A123" s="18">
        <v>63.5</v>
      </c>
      <c r="B123" s="18">
        <v>2.8800000000000001E-4</v>
      </c>
    </row>
    <row r="124" spans="1:2" x14ac:dyDescent="0.25">
      <c r="A124" s="18">
        <v>64</v>
      </c>
      <c r="B124" s="18">
        <v>2.8299999999999999E-4</v>
      </c>
    </row>
    <row r="125" spans="1:2" x14ac:dyDescent="0.25">
      <c r="A125" s="18">
        <v>64.5</v>
      </c>
      <c r="B125" s="18">
        <v>2.8299999999999999E-4</v>
      </c>
    </row>
    <row r="126" spans="1:2" x14ac:dyDescent="0.25">
      <c r="A126" s="18">
        <v>65</v>
      </c>
      <c r="B126" s="18">
        <v>2.7700000000000001E-4</v>
      </c>
    </row>
    <row r="127" spans="1:2" x14ac:dyDescent="0.25">
      <c r="A127" s="18">
        <v>65.5</v>
      </c>
      <c r="B127" s="18">
        <v>2.6800000000000001E-4</v>
      </c>
    </row>
    <row r="128" spans="1:2" x14ac:dyDescent="0.25">
      <c r="A128" s="18">
        <v>66</v>
      </c>
      <c r="B128" s="18">
        <v>2.6200000000000003E-4</v>
      </c>
    </row>
    <row r="129" spans="1:2" x14ac:dyDescent="0.25">
      <c r="A129" s="18">
        <v>66.5</v>
      </c>
      <c r="B129" s="18">
        <v>2.8699999999999998E-4</v>
      </c>
    </row>
    <row r="130" spans="1:2" x14ac:dyDescent="0.25">
      <c r="A130" s="18">
        <v>67</v>
      </c>
      <c r="B130" s="18">
        <v>5.9299999999999999E-4</v>
      </c>
    </row>
    <row r="131" spans="1:2" x14ac:dyDescent="0.25">
      <c r="A131" s="18">
        <v>67.5</v>
      </c>
      <c r="B131" s="18">
        <v>4.28E-4</v>
      </c>
    </row>
    <row r="132" spans="1:2" x14ac:dyDescent="0.25">
      <c r="A132" s="18">
        <v>68</v>
      </c>
      <c r="B132" s="18">
        <v>2.5300000000000002E-4</v>
      </c>
    </row>
    <row r="133" spans="1:2" x14ac:dyDescent="0.25">
      <c r="A133" s="18">
        <v>68.5</v>
      </c>
      <c r="B133" s="18">
        <v>2.4499999999999999E-4</v>
      </c>
    </row>
    <row r="134" spans="1:2" x14ac:dyDescent="0.25">
      <c r="A134" s="18">
        <v>69</v>
      </c>
      <c r="B134" s="18">
        <v>3.3199999999999999E-4</v>
      </c>
    </row>
    <row r="135" spans="1:2" x14ac:dyDescent="0.25">
      <c r="A135" s="18">
        <v>69.5</v>
      </c>
      <c r="B135" s="18">
        <v>2.61E-4</v>
      </c>
    </row>
    <row r="136" spans="1:2" x14ac:dyDescent="0.25">
      <c r="A136" s="18">
        <v>70</v>
      </c>
      <c r="B136" s="18">
        <v>2.0599999999999999E-4</v>
      </c>
    </row>
    <row r="137" spans="1:2" x14ac:dyDescent="0.25">
      <c r="A137" s="18">
        <v>70.5</v>
      </c>
      <c r="B137" s="18">
        <v>2.04E-4</v>
      </c>
    </row>
    <row r="138" spans="1:2" x14ac:dyDescent="0.25">
      <c r="A138" s="18">
        <v>71</v>
      </c>
      <c r="B138" s="18">
        <v>1.9900000000000001E-4</v>
      </c>
    </row>
    <row r="139" spans="1:2" x14ac:dyDescent="0.25">
      <c r="A139" s="18">
        <v>71.5</v>
      </c>
      <c r="B139" s="18">
        <v>1.9799999999999999E-4</v>
      </c>
    </row>
    <row r="140" spans="1:2" x14ac:dyDescent="0.25">
      <c r="A140" s="18">
        <v>72</v>
      </c>
      <c r="B140" s="18">
        <v>1.95E-4</v>
      </c>
    </row>
    <row r="141" spans="1:2" x14ac:dyDescent="0.25">
      <c r="A141" s="18">
        <v>72.5</v>
      </c>
      <c r="B141" s="18">
        <v>1.8900000000000001E-4</v>
      </c>
    </row>
    <row r="142" spans="1:2" x14ac:dyDescent="0.25">
      <c r="A142" s="18">
        <v>73</v>
      </c>
      <c r="B142" s="18">
        <v>1.8200000000000001E-4</v>
      </c>
    </row>
    <row r="143" spans="1:2" x14ac:dyDescent="0.25">
      <c r="A143" s="18">
        <v>73.5</v>
      </c>
      <c r="B143" s="18">
        <v>1.8100000000000001E-4</v>
      </c>
    </row>
    <row r="144" spans="1:2" x14ac:dyDescent="0.25">
      <c r="A144" s="18">
        <v>74</v>
      </c>
      <c r="B144" s="18">
        <v>1.7699999999999999E-4</v>
      </c>
    </row>
    <row r="145" spans="1:2" x14ac:dyDescent="0.25">
      <c r="A145" s="18">
        <v>74.5</v>
      </c>
      <c r="B145" s="18">
        <v>1.73E-4</v>
      </c>
    </row>
    <row r="146" spans="1:2" x14ac:dyDescent="0.25">
      <c r="A146" s="18">
        <v>75</v>
      </c>
      <c r="B146" s="18">
        <v>1.74E-4</v>
      </c>
    </row>
    <row r="147" spans="1:2" x14ac:dyDescent="0.25">
      <c r="A147" s="18">
        <v>75.5</v>
      </c>
      <c r="B147" s="18">
        <v>1.6799999999999999E-4</v>
      </c>
    </row>
    <row r="148" spans="1:2" x14ac:dyDescent="0.25">
      <c r="A148" s="18">
        <v>76</v>
      </c>
      <c r="B148" s="18">
        <v>1.65E-4</v>
      </c>
    </row>
    <row r="149" spans="1:2" x14ac:dyDescent="0.25">
      <c r="A149" s="18">
        <v>76.5</v>
      </c>
      <c r="B149" s="18">
        <v>1.6200000000000001E-4</v>
      </c>
    </row>
    <row r="150" spans="1:2" x14ac:dyDescent="0.25">
      <c r="A150" s="18">
        <v>77</v>
      </c>
      <c r="B150" s="18">
        <v>1.6000000000000001E-4</v>
      </c>
    </row>
    <row r="151" spans="1:2" x14ac:dyDescent="0.25">
      <c r="A151" s="18">
        <v>77.5</v>
      </c>
      <c r="B151" s="18">
        <v>1.5300000000000001E-4</v>
      </c>
    </row>
    <row r="152" spans="1:2" x14ac:dyDescent="0.25">
      <c r="A152" s="18">
        <v>78</v>
      </c>
      <c r="B152" s="18">
        <v>1.5100000000000001E-4</v>
      </c>
    </row>
    <row r="153" spans="1:2" x14ac:dyDescent="0.25">
      <c r="A153" s="18">
        <v>78.5</v>
      </c>
      <c r="B153" s="18">
        <v>1.46E-4</v>
      </c>
    </row>
    <row r="154" spans="1:2" x14ac:dyDescent="0.25">
      <c r="A154" s="18">
        <v>79</v>
      </c>
      <c r="B154" s="18">
        <v>1.44E-4</v>
      </c>
    </row>
    <row r="155" spans="1:2" x14ac:dyDescent="0.25">
      <c r="A155" s="18">
        <v>79.5</v>
      </c>
      <c r="B155" s="18">
        <v>1.3899999999999999E-4</v>
      </c>
    </row>
    <row r="156" spans="1:2" x14ac:dyDescent="0.25">
      <c r="A156" s="18">
        <v>80</v>
      </c>
      <c r="B156" s="18">
        <v>1.3799999999999999E-4</v>
      </c>
    </row>
    <row r="157" spans="1:2" x14ac:dyDescent="0.25">
      <c r="A157" s="18">
        <v>80.5</v>
      </c>
      <c r="B157" s="18">
        <v>1.35E-4</v>
      </c>
    </row>
    <row r="158" spans="1:2" x14ac:dyDescent="0.25">
      <c r="A158" s="18">
        <v>81</v>
      </c>
      <c r="B158" s="18">
        <v>1.2999999999999999E-4</v>
      </c>
    </row>
    <row r="159" spans="1:2" x14ac:dyDescent="0.25">
      <c r="A159" s="18">
        <v>81.5</v>
      </c>
      <c r="B159" s="18">
        <v>1.2999999999999999E-4</v>
      </c>
    </row>
    <row r="160" spans="1:2" x14ac:dyDescent="0.25">
      <c r="A160" s="18">
        <v>82</v>
      </c>
      <c r="B160" s="18">
        <v>1.25E-4</v>
      </c>
    </row>
    <row r="161" spans="1:2" x14ac:dyDescent="0.25">
      <c r="A161" s="18">
        <v>82.5</v>
      </c>
      <c r="B161" s="18">
        <v>1.21E-4</v>
      </c>
    </row>
    <row r="162" spans="1:2" x14ac:dyDescent="0.25">
      <c r="A162" s="18">
        <v>83</v>
      </c>
      <c r="B162" s="18">
        <v>1.2300000000000001E-4</v>
      </c>
    </row>
    <row r="163" spans="1:2" x14ac:dyDescent="0.25">
      <c r="A163" s="18">
        <v>83.5</v>
      </c>
      <c r="B163" s="18">
        <v>1.16E-4</v>
      </c>
    </row>
    <row r="164" spans="1:2" x14ac:dyDescent="0.25">
      <c r="A164" s="18">
        <v>84</v>
      </c>
      <c r="B164" s="18">
        <v>1.15E-4</v>
      </c>
    </row>
    <row r="165" spans="1:2" x14ac:dyDescent="0.25">
      <c r="A165" s="18">
        <v>84.5</v>
      </c>
      <c r="B165" s="18">
        <v>1.12E-4</v>
      </c>
    </row>
    <row r="166" spans="1:2" x14ac:dyDescent="0.25">
      <c r="A166" s="18">
        <v>85</v>
      </c>
      <c r="B166" s="18">
        <v>1.11E-4</v>
      </c>
    </row>
    <row r="167" spans="1:2" x14ac:dyDescent="0.25">
      <c r="A167" s="18">
        <v>85.5</v>
      </c>
      <c r="B167" s="18">
        <v>1.0399999999999999E-4</v>
      </c>
    </row>
    <row r="168" spans="1:2" x14ac:dyDescent="0.25">
      <c r="A168" s="18">
        <v>86</v>
      </c>
      <c r="B168" s="18">
        <v>1.03E-4</v>
      </c>
    </row>
    <row r="169" spans="1:2" x14ac:dyDescent="0.25">
      <c r="A169" s="18">
        <v>86.5</v>
      </c>
      <c r="B169" s="18">
        <v>9.7999999999999997E-5</v>
      </c>
    </row>
    <row r="170" spans="1:2" x14ac:dyDescent="0.25">
      <c r="A170" s="18">
        <v>87</v>
      </c>
      <c r="B170" s="18">
        <v>9.7200000000000004E-5</v>
      </c>
    </row>
    <row r="171" spans="1:2" x14ac:dyDescent="0.25">
      <c r="A171" s="18">
        <v>87.5</v>
      </c>
      <c r="B171" s="18">
        <v>9.4300000000000002E-5</v>
      </c>
    </row>
    <row r="172" spans="1:2" x14ac:dyDescent="0.25">
      <c r="A172" s="18">
        <v>88</v>
      </c>
      <c r="B172" s="18">
        <v>9.2899999999999995E-5</v>
      </c>
    </row>
    <row r="173" spans="1:2" x14ac:dyDescent="0.25">
      <c r="A173" s="18">
        <v>88.5</v>
      </c>
      <c r="B173" s="18">
        <v>8.8599999999999999E-5</v>
      </c>
    </row>
    <row r="174" spans="1:2" x14ac:dyDescent="0.25">
      <c r="A174" s="18">
        <v>89</v>
      </c>
      <c r="B174" s="18">
        <v>8.3499999999999997E-5</v>
      </c>
    </row>
    <row r="175" spans="1:2" x14ac:dyDescent="0.25">
      <c r="A175" s="18">
        <v>89.5</v>
      </c>
      <c r="B175" s="18">
        <v>7.75E-5</v>
      </c>
    </row>
    <row r="176" spans="1:2" x14ac:dyDescent="0.25">
      <c r="A176" s="18">
        <v>90</v>
      </c>
      <c r="B176" s="18">
        <v>7.7000000000000001E-5</v>
      </c>
    </row>
    <row r="177" spans="1:2" x14ac:dyDescent="0.25">
      <c r="A177" s="18">
        <v>90.5</v>
      </c>
      <c r="B177" s="18">
        <v>7.4099999999999999E-5</v>
      </c>
    </row>
    <row r="178" spans="1:2" x14ac:dyDescent="0.25">
      <c r="A178" s="18">
        <v>91</v>
      </c>
      <c r="B178" s="18">
        <v>7.0599999999999995E-5</v>
      </c>
    </row>
    <row r="179" spans="1:2" x14ac:dyDescent="0.25">
      <c r="A179" s="18">
        <v>91.5</v>
      </c>
      <c r="B179" s="18">
        <v>6.7799999999999995E-5</v>
      </c>
    </row>
    <row r="180" spans="1:2" x14ac:dyDescent="0.25">
      <c r="A180" s="18">
        <v>92</v>
      </c>
      <c r="B180" s="18">
        <v>6.3700000000000003E-5</v>
      </c>
    </row>
    <row r="181" spans="1:2" x14ac:dyDescent="0.25">
      <c r="A181" s="18">
        <v>92.5</v>
      </c>
      <c r="B181" s="18">
        <v>5.8999999999999998E-5</v>
      </c>
    </row>
    <row r="182" spans="1:2" x14ac:dyDescent="0.25">
      <c r="A182" s="18">
        <v>93</v>
      </c>
      <c r="B182" s="18">
        <v>5.91E-5</v>
      </c>
    </row>
    <row r="183" spans="1:2" x14ac:dyDescent="0.25">
      <c r="A183" s="18">
        <v>93.5</v>
      </c>
      <c r="B183" s="18">
        <v>5.3100000000000003E-5</v>
      </c>
    </row>
    <row r="184" spans="1:2" x14ac:dyDescent="0.25">
      <c r="A184" s="18">
        <v>94</v>
      </c>
      <c r="B184" s="18">
        <v>4.8900000000000003E-5</v>
      </c>
    </row>
    <row r="185" spans="1:2" x14ac:dyDescent="0.25">
      <c r="A185" s="18">
        <v>94.5</v>
      </c>
      <c r="B185" s="18">
        <v>4.7800000000000003E-5</v>
      </c>
    </row>
    <row r="186" spans="1:2" x14ac:dyDescent="0.25">
      <c r="A186" s="18">
        <v>95</v>
      </c>
      <c r="B186" s="18">
        <v>4.1600000000000002E-5</v>
      </c>
    </row>
    <row r="187" spans="1:2" x14ac:dyDescent="0.25">
      <c r="A187" s="18">
        <v>95.5</v>
      </c>
      <c r="B187" s="18">
        <v>3.7299999999999999E-5</v>
      </c>
    </row>
    <row r="188" spans="1:2" x14ac:dyDescent="0.25">
      <c r="A188" s="18">
        <v>96</v>
      </c>
      <c r="B188" s="18">
        <v>3.5599999999999998E-5</v>
      </c>
    </row>
    <row r="189" spans="1:2" x14ac:dyDescent="0.25">
      <c r="A189" s="18">
        <v>96.5</v>
      </c>
      <c r="B189" s="18">
        <v>3.1900000000000003E-5</v>
      </c>
    </row>
    <row r="190" spans="1:2" x14ac:dyDescent="0.25">
      <c r="A190" s="18">
        <v>97</v>
      </c>
      <c r="B190" s="18">
        <v>2.7500000000000001E-5</v>
      </c>
    </row>
    <row r="191" spans="1:2" x14ac:dyDescent="0.25">
      <c r="A191" s="18">
        <v>97.5</v>
      </c>
      <c r="B191" s="18">
        <v>2.5700000000000001E-5</v>
      </c>
    </row>
    <row r="192" spans="1:2" x14ac:dyDescent="0.25">
      <c r="A192" s="18">
        <v>98</v>
      </c>
      <c r="B192" s="18">
        <v>1.9000000000000001E-5</v>
      </c>
    </row>
    <row r="193" spans="1:2" x14ac:dyDescent="0.25">
      <c r="A193" s="18">
        <v>98.5</v>
      </c>
      <c r="B193" s="18">
        <v>1.6900000000000001E-5</v>
      </c>
    </row>
    <row r="194" spans="1:2" x14ac:dyDescent="0.25">
      <c r="A194" s="18">
        <v>99</v>
      </c>
      <c r="B194" s="18">
        <v>1.0000000000000001E-5</v>
      </c>
    </row>
    <row r="195" spans="1:2" x14ac:dyDescent="0.25">
      <c r="A195" s="18">
        <v>99.5</v>
      </c>
      <c r="B195" s="18">
        <v>7.25E-6</v>
      </c>
    </row>
    <row r="196" spans="1:2" x14ac:dyDescent="0.25">
      <c r="A196" s="18">
        <v>100</v>
      </c>
      <c r="B196" s="18">
        <v>1.3599999999999999E-6</v>
      </c>
    </row>
    <row r="197" spans="1:2" x14ac:dyDescent="0.25">
      <c r="A197" s="18">
        <v>101</v>
      </c>
      <c r="B197" s="18">
        <v>8.0400000000000005E-8</v>
      </c>
    </row>
    <row r="198" spans="1:2" x14ac:dyDescent="0.25">
      <c r="A198" s="18">
        <v>101</v>
      </c>
      <c r="B198" s="18">
        <v>7.7000000000000001E-8</v>
      </c>
    </row>
    <row r="199" spans="1:2" x14ac:dyDescent="0.25">
      <c r="A199" s="18">
        <v>102</v>
      </c>
      <c r="B199" s="18">
        <v>2.6399999999999998E-7</v>
      </c>
    </row>
    <row r="200" spans="1:2" x14ac:dyDescent="0.25">
      <c r="A200" s="18">
        <v>102</v>
      </c>
      <c r="B200" s="18">
        <v>1.74E-7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dimension ref="A1:B22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</v>
      </c>
      <c r="B2" s="18">
        <v>2.4600000000000002E-4</v>
      </c>
    </row>
    <row r="3" spans="1:2" x14ac:dyDescent="0.25">
      <c r="A3" s="18">
        <v>3.5</v>
      </c>
      <c r="B3" s="18">
        <v>4.2200000000000001E-4</v>
      </c>
    </row>
    <row r="4" spans="1:2" x14ac:dyDescent="0.25">
      <c r="A4" s="18">
        <v>4</v>
      </c>
      <c r="B4" s="18">
        <v>5.8600000000000004E-4</v>
      </c>
    </row>
    <row r="5" spans="1:2" x14ac:dyDescent="0.25">
      <c r="A5" s="18">
        <v>4.5</v>
      </c>
      <c r="B5" s="18">
        <v>6.78E-4</v>
      </c>
    </row>
    <row r="6" spans="1:2" x14ac:dyDescent="0.25">
      <c r="A6" s="18">
        <v>5</v>
      </c>
      <c r="B6" s="18">
        <v>8.4199999999999998E-4</v>
      </c>
    </row>
    <row r="7" spans="1:2" x14ac:dyDescent="0.25">
      <c r="A7" s="18">
        <v>5.5</v>
      </c>
      <c r="B7" s="18">
        <v>1.4400000000000001E-3</v>
      </c>
    </row>
    <row r="8" spans="1:2" x14ac:dyDescent="0.25">
      <c r="A8" s="18">
        <v>6</v>
      </c>
      <c r="B8" s="18">
        <v>2.5600000000000002E-3</v>
      </c>
    </row>
    <row r="9" spans="1:2" x14ac:dyDescent="0.25">
      <c r="A9" s="18">
        <v>6.5</v>
      </c>
      <c r="B9" s="18">
        <v>4.79E-3</v>
      </c>
    </row>
    <row r="10" spans="1:2" x14ac:dyDescent="0.25">
      <c r="A10" s="18">
        <v>7</v>
      </c>
      <c r="B10" s="18">
        <v>8.3499999999999998E-3</v>
      </c>
    </row>
    <row r="11" spans="1:2" x14ac:dyDescent="0.25">
      <c r="A11" s="18">
        <v>7.5</v>
      </c>
      <c r="B11" s="18">
        <v>1.5599999999999999E-2</v>
      </c>
    </row>
    <row r="12" spans="1:2" x14ac:dyDescent="0.25">
      <c r="A12" s="18">
        <v>8</v>
      </c>
      <c r="B12" s="18">
        <v>3.5099999999999999E-2</v>
      </c>
    </row>
    <row r="13" spans="1:2" x14ac:dyDescent="0.25">
      <c r="A13" s="18">
        <v>8.5</v>
      </c>
      <c r="B13" s="18">
        <v>0.218</v>
      </c>
    </row>
    <row r="14" spans="1:2" x14ac:dyDescent="0.25">
      <c r="A14" s="18">
        <v>9</v>
      </c>
      <c r="B14" s="18">
        <v>2.3099999999999999E-2</v>
      </c>
    </row>
    <row r="15" spans="1:2" x14ac:dyDescent="0.25">
      <c r="A15" s="18">
        <v>9.5</v>
      </c>
      <c r="B15" s="18">
        <v>0.159</v>
      </c>
    </row>
    <row r="16" spans="1:2" x14ac:dyDescent="0.25">
      <c r="A16" s="18">
        <v>10</v>
      </c>
      <c r="B16" s="18">
        <v>0.17100000000000001</v>
      </c>
    </row>
    <row r="17" spans="1:2" x14ac:dyDescent="0.25">
      <c r="A17" s="18">
        <v>10.5</v>
      </c>
      <c r="B17" s="18">
        <v>1.5900000000000001E-2</v>
      </c>
    </row>
    <row r="18" spans="1:2" x14ac:dyDescent="0.25">
      <c r="A18" s="18">
        <v>11</v>
      </c>
      <c r="B18" s="18">
        <v>1.67E-2</v>
      </c>
    </row>
    <row r="19" spans="1:2" x14ac:dyDescent="0.25">
      <c r="A19" s="18">
        <v>11.5</v>
      </c>
      <c r="B19" s="18">
        <v>3.0200000000000001E-2</v>
      </c>
    </row>
    <row r="20" spans="1:2" x14ac:dyDescent="0.25">
      <c r="A20" s="18">
        <v>12</v>
      </c>
      <c r="B20" s="18">
        <v>1.1900000000000001E-2</v>
      </c>
    </row>
    <row r="21" spans="1:2" x14ac:dyDescent="0.25">
      <c r="A21" s="18">
        <v>12.5</v>
      </c>
      <c r="B21" s="18">
        <v>8.6800000000000002E-3</v>
      </c>
    </row>
    <row r="22" spans="1:2" x14ac:dyDescent="0.25">
      <c r="A22" s="18">
        <v>13</v>
      </c>
      <c r="B22" s="18">
        <v>8.6300000000000005E-3</v>
      </c>
    </row>
    <row r="23" spans="1:2" x14ac:dyDescent="0.25">
      <c r="A23" s="18">
        <v>13.5</v>
      </c>
      <c r="B23" s="18">
        <v>8.6499999999999997E-3</v>
      </c>
    </row>
    <row r="24" spans="1:2" x14ac:dyDescent="0.25">
      <c r="A24" s="18">
        <v>14</v>
      </c>
      <c r="B24" s="18">
        <v>8.7500000000000008E-3</v>
      </c>
    </row>
    <row r="25" spans="1:2" x14ac:dyDescent="0.25">
      <c r="A25" s="18">
        <v>14.5</v>
      </c>
      <c r="B25" s="18">
        <v>8.5599999999999999E-3</v>
      </c>
    </row>
    <row r="26" spans="1:2" x14ac:dyDescent="0.25">
      <c r="A26" s="18">
        <v>15</v>
      </c>
      <c r="B26" s="18">
        <v>8.4899999999999993E-3</v>
      </c>
    </row>
    <row r="27" spans="1:2" x14ac:dyDescent="0.25">
      <c r="A27" s="18">
        <v>15.5</v>
      </c>
      <c r="B27" s="18">
        <v>8.3199999999999993E-3</v>
      </c>
    </row>
    <row r="28" spans="1:2" x14ac:dyDescent="0.25">
      <c r="A28" s="18">
        <v>16</v>
      </c>
      <c r="B28" s="18">
        <v>8.09E-3</v>
      </c>
    </row>
    <row r="29" spans="1:2" x14ac:dyDescent="0.25">
      <c r="A29" s="18">
        <v>16.5</v>
      </c>
      <c r="B29" s="18">
        <v>7.8899999999999994E-3</v>
      </c>
    </row>
    <row r="30" spans="1:2" x14ac:dyDescent="0.25">
      <c r="A30" s="18">
        <v>17</v>
      </c>
      <c r="B30" s="18">
        <v>7.62E-3</v>
      </c>
    </row>
    <row r="31" spans="1:2" x14ac:dyDescent="0.25">
      <c r="A31" s="18">
        <v>17.5</v>
      </c>
      <c r="B31" s="18">
        <v>7.4799999999999997E-3</v>
      </c>
    </row>
    <row r="32" spans="1:2" x14ac:dyDescent="0.25">
      <c r="A32" s="18">
        <v>18</v>
      </c>
      <c r="B32" s="18">
        <v>7.1799999999999998E-3</v>
      </c>
    </row>
    <row r="33" spans="1:2" x14ac:dyDescent="0.25">
      <c r="A33" s="18">
        <v>18.5</v>
      </c>
      <c r="B33" s="18">
        <v>6.9699999999999996E-3</v>
      </c>
    </row>
    <row r="34" spans="1:2" x14ac:dyDescent="0.25">
      <c r="A34" s="18">
        <v>19</v>
      </c>
      <c r="B34" s="18">
        <v>6.5700000000000003E-3</v>
      </c>
    </row>
    <row r="35" spans="1:2" x14ac:dyDescent="0.25">
      <c r="A35" s="18">
        <v>19.5</v>
      </c>
      <c r="B35" s="18">
        <v>6.4900000000000001E-3</v>
      </c>
    </row>
    <row r="36" spans="1:2" x14ac:dyDescent="0.25">
      <c r="A36" s="18">
        <v>20</v>
      </c>
      <c r="B36" s="18">
        <v>6.1700000000000001E-3</v>
      </c>
    </row>
    <row r="37" spans="1:2" x14ac:dyDescent="0.25">
      <c r="A37" s="18">
        <v>20.5</v>
      </c>
      <c r="B37" s="18">
        <v>5.9300000000000004E-3</v>
      </c>
    </row>
    <row r="38" spans="1:2" x14ac:dyDescent="0.25">
      <c r="A38" s="18">
        <v>21</v>
      </c>
      <c r="B38" s="18">
        <v>5.6600000000000001E-3</v>
      </c>
    </row>
    <row r="39" spans="1:2" x14ac:dyDescent="0.25">
      <c r="A39" s="18">
        <v>21.5</v>
      </c>
      <c r="B39" s="18">
        <v>5.3600000000000002E-3</v>
      </c>
    </row>
    <row r="40" spans="1:2" x14ac:dyDescent="0.25">
      <c r="A40" s="18">
        <v>22</v>
      </c>
      <c r="B40" s="18">
        <v>5.1500000000000001E-3</v>
      </c>
    </row>
    <row r="41" spans="1:2" x14ac:dyDescent="0.25">
      <c r="A41" s="18">
        <v>22.5</v>
      </c>
      <c r="B41" s="18">
        <v>4.8799999999999998E-3</v>
      </c>
    </row>
    <row r="42" spans="1:2" x14ac:dyDescent="0.25">
      <c r="A42" s="18">
        <v>23</v>
      </c>
      <c r="B42" s="18">
        <v>4.7499999999999999E-3</v>
      </c>
    </row>
    <row r="43" spans="1:2" x14ac:dyDescent="0.25">
      <c r="A43" s="18">
        <v>23.5</v>
      </c>
      <c r="B43" s="18">
        <v>4.5500000000000002E-3</v>
      </c>
    </row>
    <row r="44" spans="1:2" x14ac:dyDescent="0.25">
      <c r="A44" s="18">
        <v>24</v>
      </c>
      <c r="B44" s="18">
        <v>4.3299999999999996E-3</v>
      </c>
    </row>
    <row r="45" spans="1:2" x14ac:dyDescent="0.25">
      <c r="A45" s="18">
        <v>24.5</v>
      </c>
      <c r="B45" s="18">
        <v>4.1200000000000004E-3</v>
      </c>
    </row>
    <row r="46" spans="1:2" x14ac:dyDescent="0.25">
      <c r="A46" s="18">
        <v>25</v>
      </c>
      <c r="B46" s="18">
        <v>3.96E-3</v>
      </c>
    </row>
    <row r="47" spans="1:2" x14ac:dyDescent="0.25">
      <c r="A47" s="18">
        <v>25.5</v>
      </c>
      <c r="B47" s="18">
        <v>3.7499999999999999E-3</v>
      </c>
    </row>
    <row r="48" spans="1:2" x14ac:dyDescent="0.25">
      <c r="A48" s="18">
        <v>26</v>
      </c>
      <c r="B48" s="18">
        <v>3.5999999999999999E-3</v>
      </c>
    </row>
    <row r="49" spans="1:2" x14ac:dyDescent="0.25">
      <c r="A49" s="18">
        <v>26.5</v>
      </c>
      <c r="B49" s="18">
        <v>3.4099999999999998E-3</v>
      </c>
    </row>
    <row r="50" spans="1:2" x14ac:dyDescent="0.25">
      <c r="A50" s="18">
        <v>27</v>
      </c>
      <c r="B50" s="18">
        <v>3.29E-3</v>
      </c>
    </row>
    <row r="51" spans="1:2" x14ac:dyDescent="0.25">
      <c r="A51" s="18">
        <v>27.5</v>
      </c>
      <c r="B51" s="18">
        <v>3.1099999999999999E-3</v>
      </c>
    </row>
    <row r="52" spans="1:2" x14ac:dyDescent="0.25">
      <c r="A52" s="18">
        <v>28</v>
      </c>
      <c r="B52" s="18">
        <v>2.96E-3</v>
      </c>
    </row>
    <row r="53" spans="1:2" x14ac:dyDescent="0.25">
      <c r="A53" s="18">
        <v>28.5</v>
      </c>
      <c r="B53" s="18">
        <v>2.8500000000000001E-3</v>
      </c>
    </row>
    <row r="54" spans="1:2" x14ac:dyDescent="0.25">
      <c r="A54" s="18">
        <v>29</v>
      </c>
      <c r="B54" s="18">
        <v>2.7399999999999998E-3</v>
      </c>
    </row>
    <row r="55" spans="1:2" x14ac:dyDescent="0.25">
      <c r="A55" s="18">
        <v>29.5</v>
      </c>
      <c r="B55" s="18">
        <v>2.6099999999999999E-3</v>
      </c>
    </row>
    <row r="56" spans="1:2" x14ac:dyDescent="0.25">
      <c r="A56" s="18">
        <v>30</v>
      </c>
      <c r="B56" s="18">
        <v>2.5000000000000001E-3</v>
      </c>
    </row>
    <row r="57" spans="1:2" x14ac:dyDescent="0.25">
      <c r="A57" s="18">
        <v>30.5</v>
      </c>
      <c r="B57" s="18">
        <v>2.3900000000000002E-3</v>
      </c>
    </row>
    <row r="58" spans="1:2" x14ac:dyDescent="0.25">
      <c r="A58" s="18">
        <v>31</v>
      </c>
      <c r="B58" s="18">
        <v>2.2899999999999999E-3</v>
      </c>
    </row>
    <row r="59" spans="1:2" x14ac:dyDescent="0.25">
      <c r="A59" s="18">
        <v>31.5</v>
      </c>
      <c r="B59" s="18">
        <v>2.1700000000000001E-3</v>
      </c>
    </row>
    <row r="60" spans="1:2" x14ac:dyDescent="0.25">
      <c r="A60" s="18">
        <v>32</v>
      </c>
      <c r="B60" s="18">
        <v>2.1199999999999999E-3</v>
      </c>
    </row>
    <row r="61" spans="1:2" x14ac:dyDescent="0.25">
      <c r="A61" s="18">
        <v>32.5</v>
      </c>
      <c r="B61" s="18">
        <v>2.0100000000000001E-3</v>
      </c>
    </row>
    <row r="62" spans="1:2" x14ac:dyDescent="0.25">
      <c r="A62" s="18">
        <v>33</v>
      </c>
      <c r="B62" s="18">
        <v>1.91E-3</v>
      </c>
    </row>
    <row r="63" spans="1:2" x14ac:dyDescent="0.25">
      <c r="A63" s="18">
        <v>33.5</v>
      </c>
      <c r="B63" s="18">
        <v>1.8400000000000001E-3</v>
      </c>
    </row>
    <row r="64" spans="1:2" x14ac:dyDescent="0.25">
      <c r="A64" s="18">
        <v>34</v>
      </c>
      <c r="B64" s="18">
        <v>1.7700000000000001E-3</v>
      </c>
    </row>
    <row r="65" spans="1:2" x14ac:dyDescent="0.25">
      <c r="A65" s="18">
        <v>34.5</v>
      </c>
      <c r="B65" s="18">
        <v>1.6900000000000001E-3</v>
      </c>
    </row>
    <row r="66" spans="1:2" x14ac:dyDescent="0.25">
      <c r="A66" s="18">
        <v>35</v>
      </c>
      <c r="B66" s="18">
        <v>1.6199999999999999E-3</v>
      </c>
    </row>
    <row r="67" spans="1:2" x14ac:dyDescent="0.25">
      <c r="A67" s="18">
        <v>35.5</v>
      </c>
      <c r="B67" s="18">
        <v>1.56E-3</v>
      </c>
    </row>
    <row r="68" spans="1:2" x14ac:dyDescent="0.25">
      <c r="A68" s="18">
        <v>36</v>
      </c>
      <c r="B68" s="18">
        <v>1.5200000000000001E-3</v>
      </c>
    </row>
    <row r="69" spans="1:2" x14ac:dyDescent="0.25">
      <c r="A69" s="18">
        <v>36.5</v>
      </c>
      <c r="B69" s="18">
        <v>1.4400000000000001E-3</v>
      </c>
    </row>
    <row r="70" spans="1:2" x14ac:dyDescent="0.25">
      <c r="A70" s="18">
        <v>37</v>
      </c>
      <c r="B70" s="18">
        <v>1.39E-3</v>
      </c>
    </row>
    <row r="71" spans="1:2" x14ac:dyDescent="0.25">
      <c r="A71" s="18">
        <v>37.5</v>
      </c>
      <c r="B71" s="18">
        <v>1.33E-3</v>
      </c>
    </row>
    <row r="72" spans="1:2" x14ac:dyDescent="0.25">
      <c r="A72" s="18">
        <v>38</v>
      </c>
      <c r="B72" s="18">
        <v>1.2999999999999999E-3</v>
      </c>
    </row>
    <row r="73" spans="1:2" x14ac:dyDescent="0.25">
      <c r="A73" s="18">
        <v>38.5</v>
      </c>
      <c r="B73" s="18">
        <v>1.23E-3</v>
      </c>
    </row>
    <row r="74" spans="1:2" x14ac:dyDescent="0.25">
      <c r="A74" s="18">
        <v>39</v>
      </c>
      <c r="B74" s="18">
        <v>1.1900000000000001E-3</v>
      </c>
    </row>
    <row r="75" spans="1:2" x14ac:dyDescent="0.25">
      <c r="A75" s="18">
        <v>39.5</v>
      </c>
      <c r="B75" s="18">
        <v>1.1299999999999999E-3</v>
      </c>
    </row>
    <row r="76" spans="1:2" x14ac:dyDescent="0.25">
      <c r="A76" s="18">
        <v>40</v>
      </c>
      <c r="B76" s="18">
        <v>1.1000000000000001E-3</v>
      </c>
    </row>
    <row r="77" spans="1:2" x14ac:dyDescent="0.25">
      <c r="A77" s="18">
        <v>40.5</v>
      </c>
      <c r="B77" s="18">
        <v>1.08E-3</v>
      </c>
    </row>
    <row r="78" spans="1:2" x14ac:dyDescent="0.25">
      <c r="A78" s="18">
        <v>41</v>
      </c>
      <c r="B78" s="18">
        <v>1.0300000000000001E-3</v>
      </c>
    </row>
    <row r="79" spans="1:2" x14ac:dyDescent="0.25">
      <c r="A79" s="18">
        <v>41.5</v>
      </c>
      <c r="B79" s="18">
        <v>1.01E-3</v>
      </c>
    </row>
    <row r="80" spans="1:2" x14ac:dyDescent="0.25">
      <c r="A80" s="18">
        <v>42</v>
      </c>
      <c r="B80" s="18">
        <v>9.6199999999999996E-4</v>
      </c>
    </row>
    <row r="81" spans="1:2" x14ac:dyDescent="0.25">
      <c r="A81" s="18">
        <v>42.5</v>
      </c>
      <c r="B81" s="18">
        <v>9.2299999999999999E-4</v>
      </c>
    </row>
    <row r="82" spans="1:2" x14ac:dyDescent="0.25">
      <c r="A82" s="18">
        <v>43</v>
      </c>
      <c r="B82" s="18">
        <v>9.0399999999999996E-4</v>
      </c>
    </row>
    <row r="83" spans="1:2" x14ac:dyDescent="0.25">
      <c r="A83" s="18">
        <v>43.5</v>
      </c>
      <c r="B83" s="18">
        <v>8.6899999999999998E-4</v>
      </c>
    </row>
    <row r="84" spans="1:2" x14ac:dyDescent="0.25">
      <c r="A84" s="18">
        <v>44</v>
      </c>
      <c r="B84" s="18">
        <v>8.7100000000000003E-4</v>
      </c>
    </row>
    <row r="85" spans="1:2" x14ac:dyDescent="0.25">
      <c r="A85" s="18">
        <v>44.5</v>
      </c>
      <c r="B85" s="18">
        <v>8.2799999999999996E-4</v>
      </c>
    </row>
    <row r="86" spans="1:2" x14ac:dyDescent="0.25">
      <c r="A86" s="18">
        <v>45</v>
      </c>
      <c r="B86" s="18">
        <v>8.0000000000000004E-4</v>
      </c>
    </row>
    <row r="87" spans="1:2" x14ac:dyDescent="0.25">
      <c r="A87" s="18">
        <v>45.5</v>
      </c>
      <c r="B87" s="18">
        <v>7.7200000000000001E-4</v>
      </c>
    </row>
    <row r="88" spans="1:2" x14ac:dyDescent="0.25">
      <c r="A88" s="18">
        <v>46</v>
      </c>
      <c r="B88" s="18">
        <v>7.5500000000000003E-4</v>
      </c>
    </row>
    <row r="89" spans="1:2" x14ac:dyDescent="0.25">
      <c r="A89" s="18">
        <v>46.5</v>
      </c>
      <c r="B89" s="18">
        <v>7.1599999999999995E-4</v>
      </c>
    </row>
    <row r="90" spans="1:2" x14ac:dyDescent="0.25">
      <c r="A90" s="18">
        <v>47</v>
      </c>
      <c r="B90" s="18">
        <v>7.0899999999999999E-4</v>
      </c>
    </row>
    <row r="91" spans="1:2" x14ac:dyDescent="0.25">
      <c r="A91" s="18">
        <v>47.5</v>
      </c>
      <c r="B91" s="18">
        <v>6.8300000000000001E-4</v>
      </c>
    </row>
    <row r="92" spans="1:2" x14ac:dyDescent="0.25">
      <c r="A92" s="18">
        <v>48</v>
      </c>
      <c r="B92" s="18">
        <v>6.6799999999999997E-4</v>
      </c>
    </row>
    <row r="93" spans="1:2" x14ac:dyDescent="0.25">
      <c r="A93" s="18">
        <v>48.5</v>
      </c>
      <c r="B93" s="18">
        <v>6.5600000000000001E-4</v>
      </c>
    </row>
    <row r="94" spans="1:2" x14ac:dyDescent="0.25">
      <c r="A94" s="18">
        <v>49</v>
      </c>
      <c r="B94" s="18">
        <v>6.2200000000000005E-4</v>
      </c>
    </row>
    <row r="95" spans="1:2" x14ac:dyDescent="0.25">
      <c r="A95" s="18">
        <v>49.5</v>
      </c>
      <c r="B95" s="18">
        <v>6.2E-4</v>
      </c>
    </row>
    <row r="96" spans="1:2" x14ac:dyDescent="0.25">
      <c r="A96" s="18">
        <v>50</v>
      </c>
      <c r="B96" s="18">
        <v>5.9299999999999999E-4</v>
      </c>
    </row>
    <row r="97" spans="1:2" x14ac:dyDescent="0.25">
      <c r="A97" s="18">
        <v>50.5</v>
      </c>
      <c r="B97" s="18">
        <v>5.8900000000000001E-4</v>
      </c>
    </row>
    <row r="98" spans="1:2" x14ac:dyDescent="0.25">
      <c r="A98" s="18">
        <v>51</v>
      </c>
      <c r="B98" s="18">
        <v>5.7600000000000001E-4</v>
      </c>
    </row>
    <row r="99" spans="1:2" x14ac:dyDescent="0.25">
      <c r="A99" s="18">
        <v>51.5</v>
      </c>
      <c r="B99" s="18">
        <v>5.4699999999999996E-4</v>
      </c>
    </row>
    <row r="100" spans="1:2" x14ac:dyDescent="0.25">
      <c r="A100" s="18">
        <v>52</v>
      </c>
      <c r="B100" s="18">
        <v>5.4799999999999998E-4</v>
      </c>
    </row>
    <row r="101" spans="1:2" x14ac:dyDescent="0.25">
      <c r="A101" s="18">
        <v>52.5</v>
      </c>
      <c r="B101" s="18">
        <v>5.3899999999999998E-4</v>
      </c>
    </row>
    <row r="102" spans="1:2" x14ac:dyDescent="0.25">
      <c r="A102" s="18">
        <v>53</v>
      </c>
      <c r="B102" s="18">
        <v>5.2499999999999997E-4</v>
      </c>
    </row>
    <row r="103" spans="1:2" x14ac:dyDescent="0.25">
      <c r="A103" s="18">
        <v>53.5</v>
      </c>
      <c r="B103" s="18">
        <v>5.0000000000000001E-4</v>
      </c>
    </row>
    <row r="104" spans="1:2" x14ac:dyDescent="0.25">
      <c r="A104" s="18">
        <v>54</v>
      </c>
      <c r="B104" s="18">
        <v>4.9600000000000002E-4</v>
      </c>
    </row>
    <row r="105" spans="1:2" x14ac:dyDescent="0.25">
      <c r="A105" s="18">
        <v>54.5</v>
      </c>
      <c r="B105" s="18">
        <v>4.9299999999999995E-4</v>
      </c>
    </row>
    <row r="106" spans="1:2" x14ac:dyDescent="0.25">
      <c r="A106" s="18">
        <v>55</v>
      </c>
      <c r="B106" s="18">
        <v>4.84E-4</v>
      </c>
    </row>
    <row r="107" spans="1:2" x14ac:dyDescent="0.25">
      <c r="A107" s="18">
        <v>55.5</v>
      </c>
      <c r="B107" s="18">
        <v>4.6700000000000002E-4</v>
      </c>
    </row>
    <row r="108" spans="1:2" x14ac:dyDescent="0.25">
      <c r="A108" s="18">
        <v>56</v>
      </c>
      <c r="B108" s="18">
        <v>4.57E-4</v>
      </c>
    </row>
    <row r="109" spans="1:2" x14ac:dyDescent="0.25">
      <c r="A109" s="18">
        <v>56.5</v>
      </c>
      <c r="B109" s="18">
        <v>4.5100000000000001E-4</v>
      </c>
    </row>
    <row r="110" spans="1:2" x14ac:dyDescent="0.25">
      <c r="A110" s="18">
        <v>57</v>
      </c>
      <c r="B110" s="18">
        <v>4.46E-4</v>
      </c>
    </row>
    <row r="111" spans="1:2" x14ac:dyDescent="0.25">
      <c r="A111" s="18">
        <v>57.5</v>
      </c>
      <c r="B111" s="18">
        <v>5.8399999999999999E-4</v>
      </c>
    </row>
    <row r="112" spans="1:2" x14ac:dyDescent="0.25">
      <c r="A112" s="18">
        <v>58</v>
      </c>
      <c r="B112" s="18">
        <v>1.5E-3</v>
      </c>
    </row>
    <row r="113" spans="1:2" x14ac:dyDescent="0.25">
      <c r="A113" s="18">
        <v>58.5</v>
      </c>
      <c r="B113" s="18">
        <v>5.1999999999999995E-4</v>
      </c>
    </row>
    <row r="114" spans="1:2" x14ac:dyDescent="0.25">
      <c r="A114" s="18">
        <v>59</v>
      </c>
      <c r="B114" s="18">
        <v>1.25E-3</v>
      </c>
    </row>
    <row r="115" spans="1:2" x14ac:dyDescent="0.25">
      <c r="A115" s="18">
        <v>59.5</v>
      </c>
      <c r="B115" s="18">
        <v>1.8500000000000001E-3</v>
      </c>
    </row>
    <row r="116" spans="1:2" x14ac:dyDescent="0.25">
      <c r="A116" s="18">
        <v>60</v>
      </c>
      <c r="B116" s="18">
        <v>4.08E-4</v>
      </c>
    </row>
    <row r="117" spans="1:2" x14ac:dyDescent="0.25">
      <c r="A117" s="18">
        <v>60.5</v>
      </c>
      <c r="B117" s="18">
        <v>3.8299999999999999E-4</v>
      </c>
    </row>
    <row r="118" spans="1:2" x14ac:dyDescent="0.25">
      <c r="A118" s="18">
        <v>61</v>
      </c>
      <c r="B118" s="18">
        <v>3.6400000000000001E-4</v>
      </c>
    </row>
    <row r="119" spans="1:2" x14ac:dyDescent="0.25">
      <c r="A119" s="18">
        <v>61.5</v>
      </c>
      <c r="B119" s="18">
        <v>3.6200000000000002E-4</v>
      </c>
    </row>
    <row r="120" spans="1:2" x14ac:dyDescent="0.25">
      <c r="A120" s="18">
        <v>62</v>
      </c>
      <c r="B120" s="18">
        <v>3.6999999999999999E-4</v>
      </c>
    </row>
    <row r="121" spans="1:2" x14ac:dyDescent="0.25">
      <c r="A121" s="18">
        <v>62.5</v>
      </c>
      <c r="B121" s="18">
        <v>3.4900000000000003E-4</v>
      </c>
    </row>
    <row r="122" spans="1:2" x14ac:dyDescent="0.25">
      <c r="A122" s="18">
        <v>63</v>
      </c>
      <c r="B122" s="18">
        <v>3.4699999999999998E-4</v>
      </c>
    </row>
    <row r="123" spans="1:2" x14ac:dyDescent="0.25">
      <c r="A123" s="18">
        <v>63.5</v>
      </c>
      <c r="B123" s="18">
        <v>3.3599999999999998E-4</v>
      </c>
    </row>
    <row r="124" spans="1:2" x14ac:dyDescent="0.25">
      <c r="A124" s="18">
        <v>64</v>
      </c>
      <c r="B124" s="18">
        <v>3.3700000000000001E-4</v>
      </c>
    </row>
    <row r="125" spans="1:2" x14ac:dyDescent="0.25">
      <c r="A125" s="18">
        <v>64.5</v>
      </c>
      <c r="B125" s="18">
        <v>3.3700000000000001E-4</v>
      </c>
    </row>
    <row r="126" spans="1:2" x14ac:dyDescent="0.25">
      <c r="A126" s="18">
        <v>65</v>
      </c>
      <c r="B126" s="18">
        <v>3.2400000000000001E-4</v>
      </c>
    </row>
    <row r="127" spans="1:2" x14ac:dyDescent="0.25">
      <c r="A127" s="18">
        <v>65.5</v>
      </c>
      <c r="B127" s="18">
        <v>3.1700000000000001E-4</v>
      </c>
    </row>
    <row r="128" spans="1:2" x14ac:dyDescent="0.25">
      <c r="A128" s="18">
        <v>66</v>
      </c>
      <c r="B128" s="18">
        <v>3.1399999999999999E-4</v>
      </c>
    </row>
    <row r="129" spans="1:2" x14ac:dyDescent="0.25">
      <c r="A129" s="18">
        <v>66.5</v>
      </c>
      <c r="B129" s="18">
        <v>3.6200000000000002E-4</v>
      </c>
    </row>
    <row r="130" spans="1:2" x14ac:dyDescent="0.25">
      <c r="A130" s="18">
        <v>67</v>
      </c>
      <c r="B130" s="18">
        <v>7.9699999999999997E-4</v>
      </c>
    </row>
    <row r="131" spans="1:2" x14ac:dyDescent="0.25">
      <c r="A131" s="18">
        <v>67.5</v>
      </c>
      <c r="B131" s="18">
        <v>5.7200000000000003E-4</v>
      </c>
    </row>
    <row r="132" spans="1:2" x14ac:dyDescent="0.25">
      <c r="A132" s="18">
        <v>68</v>
      </c>
      <c r="B132" s="18">
        <v>3.0699999999999998E-4</v>
      </c>
    </row>
    <row r="133" spans="1:2" x14ac:dyDescent="0.25">
      <c r="A133" s="18">
        <v>68.5</v>
      </c>
      <c r="B133" s="18">
        <v>3.0200000000000002E-4</v>
      </c>
    </row>
    <row r="134" spans="1:2" x14ac:dyDescent="0.25">
      <c r="A134" s="18">
        <v>69</v>
      </c>
      <c r="B134" s="18">
        <v>4.3899999999999999E-4</v>
      </c>
    </row>
    <row r="135" spans="1:2" x14ac:dyDescent="0.25">
      <c r="A135" s="18">
        <v>69.5</v>
      </c>
      <c r="B135" s="18">
        <v>3.3100000000000002E-4</v>
      </c>
    </row>
    <row r="136" spans="1:2" x14ac:dyDescent="0.25">
      <c r="A136" s="18">
        <v>70</v>
      </c>
      <c r="B136" s="18">
        <v>2.4499999999999999E-4</v>
      </c>
    </row>
    <row r="137" spans="1:2" x14ac:dyDescent="0.25">
      <c r="A137" s="18">
        <v>70.5</v>
      </c>
      <c r="B137" s="18">
        <v>2.43E-4</v>
      </c>
    </row>
    <row r="138" spans="1:2" x14ac:dyDescent="0.25">
      <c r="A138" s="18">
        <v>71</v>
      </c>
      <c r="B138" s="18">
        <v>2.3900000000000001E-4</v>
      </c>
    </row>
    <row r="139" spans="1:2" x14ac:dyDescent="0.25">
      <c r="A139" s="18">
        <v>71.5</v>
      </c>
      <c r="B139" s="18">
        <v>2.41E-4</v>
      </c>
    </row>
    <row r="140" spans="1:2" x14ac:dyDescent="0.25">
      <c r="A140" s="18">
        <v>72</v>
      </c>
      <c r="B140" s="18">
        <v>2.41E-4</v>
      </c>
    </row>
    <row r="141" spans="1:2" x14ac:dyDescent="0.25">
      <c r="A141" s="18">
        <v>72.5</v>
      </c>
      <c r="B141" s="18">
        <v>2.3599999999999999E-4</v>
      </c>
    </row>
    <row r="142" spans="1:2" x14ac:dyDescent="0.25">
      <c r="A142" s="18">
        <v>73</v>
      </c>
      <c r="B142" s="18">
        <v>2.3000000000000001E-4</v>
      </c>
    </row>
    <row r="143" spans="1:2" x14ac:dyDescent="0.25">
      <c r="A143" s="18">
        <v>73.5</v>
      </c>
      <c r="B143" s="18">
        <v>2.2499999999999999E-4</v>
      </c>
    </row>
    <row r="144" spans="1:2" x14ac:dyDescent="0.25">
      <c r="A144" s="18">
        <v>74</v>
      </c>
      <c r="B144" s="18">
        <v>2.1900000000000001E-4</v>
      </c>
    </row>
    <row r="145" spans="1:2" x14ac:dyDescent="0.25">
      <c r="A145" s="18">
        <v>74.5</v>
      </c>
      <c r="B145" s="18">
        <v>2.2000000000000001E-4</v>
      </c>
    </row>
    <row r="146" spans="1:2" x14ac:dyDescent="0.25">
      <c r="A146" s="18">
        <v>75</v>
      </c>
      <c r="B146" s="18">
        <v>2.13E-4</v>
      </c>
    </row>
    <row r="147" spans="1:2" x14ac:dyDescent="0.25">
      <c r="A147" s="18">
        <v>75.5</v>
      </c>
      <c r="B147" s="18">
        <v>2.0599999999999999E-4</v>
      </c>
    </row>
    <row r="148" spans="1:2" x14ac:dyDescent="0.25">
      <c r="A148" s="18">
        <v>76</v>
      </c>
      <c r="B148" s="18">
        <v>2.1100000000000001E-4</v>
      </c>
    </row>
    <row r="149" spans="1:2" x14ac:dyDescent="0.25">
      <c r="A149" s="18">
        <v>76.5</v>
      </c>
      <c r="B149" s="18">
        <v>2.0599999999999999E-4</v>
      </c>
    </row>
    <row r="150" spans="1:2" x14ac:dyDescent="0.25">
      <c r="A150" s="18">
        <v>77</v>
      </c>
      <c r="B150" s="18">
        <v>2.02E-4</v>
      </c>
    </row>
    <row r="151" spans="1:2" x14ac:dyDescent="0.25">
      <c r="A151" s="18">
        <v>77.5</v>
      </c>
      <c r="B151" s="18">
        <v>2.03E-4</v>
      </c>
    </row>
    <row r="152" spans="1:2" x14ac:dyDescent="0.25">
      <c r="A152" s="18">
        <v>78</v>
      </c>
      <c r="B152" s="18">
        <v>1.9699999999999999E-4</v>
      </c>
    </row>
    <row r="153" spans="1:2" x14ac:dyDescent="0.25">
      <c r="A153" s="18">
        <v>78.5</v>
      </c>
      <c r="B153" s="18">
        <v>1.8900000000000001E-4</v>
      </c>
    </row>
    <row r="154" spans="1:2" x14ac:dyDescent="0.25">
      <c r="A154" s="18">
        <v>79</v>
      </c>
      <c r="B154" s="18">
        <v>1.93E-4</v>
      </c>
    </row>
    <row r="155" spans="1:2" x14ac:dyDescent="0.25">
      <c r="A155" s="18">
        <v>79.5</v>
      </c>
      <c r="B155" s="18">
        <v>1.8100000000000001E-4</v>
      </c>
    </row>
    <row r="156" spans="1:2" x14ac:dyDescent="0.25">
      <c r="A156" s="18">
        <v>80</v>
      </c>
      <c r="B156" s="18">
        <v>1.8599999999999999E-4</v>
      </c>
    </row>
    <row r="157" spans="1:2" x14ac:dyDescent="0.25">
      <c r="A157" s="18">
        <v>80.5</v>
      </c>
      <c r="B157" s="18">
        <v>1.7699999999999999E-4</v>
      </c>
    </row>
    <row r="158" spans="1:2" x14ac:dyDescent="0.25">
      <c r="A158" s="18">
        <v>81</v>
      </c>
      <c r="B158" s="18">
        <v>1.75E-4</v>
      </c>
    </row>
    <row r="159" spans="1:2" x14ac:dyDescent="0.25">
      <c r="A159" s="18">
        <v>81.5</v>
      </c>
      <c r="B159" s="18">
        <v>1.7799999999999999E-4</v>
      </c>
    </row>
    <row r="160" spans="1:2" x14ac:dyDescent="0.25">
      <c r="A160" s="18">
        <v>82</v>
      </c>
      <c r="B160" s="18">
        <v>1.6899999999999999E-4</v>
      </c>
    </row>
    <row r="161" spans="1:2" x14ac:dyDescent="0.25">
      <c r="A161" s="18">
        <v>82.5</v>
      </c>
      <c r="B161" s="18">
        <v>1.7000000000000001E-4</v>
      </c>
    </row>
    <row r="162" spans="1:2" x14ac:dyDescent="0.25">
      <c r="A162" s="18">
        <v>83</v>
      </c>
      <c r="B162" s="18">
        <v>1.66E-4</v>
      </c>
    </row>
    <row r="163" spans="1:2" x14ac:dyDescent="0.25">
      <c r="A163" s="18">
        <v>83.5</v>
      </c>
      <c r="B163" s="18">
        <v>1.63E-4</v>
      </c>
    </row>
    <row r="164" spans="1:2" x14ac:dyDescent="0.25">
      <c r="A164" s="18">
        <v>84</v>
      </c>
      <c r="B164" s="18">
        <v>1.6200000000000001E-4</v>
      </c>
    </row>
    <row r="165" spans="1:2" x14ac:dyDescent="0.25">
      <c r="A165" s="18">
        <v>84.5</v>
      </c>
      <c r="B165" s="18">
        <v>1.5799999999999999E-4</v>
      </c>
    </row>
    <row r="166" spans="1:2" x14ac:dyDescent="0.25">
      <c r="A166" s="18">
        <v>85</v>
      </c>
      <c r="B166" s="18">
        <v>1.6200000000000001E-4</v>
      </c>
    </row>
    <row r="167" spans="1:2" x14ac:dyDescent="0.25">
      <c r="A167" s="18">
        <v>85.5</v>
      </c>
      <c r="B167" s="18">
        <v>1.6000000000000001E-4</v>
      </c>
    </row>
    <row r="168" spans="1:2" x14ac:dyDescent="0.25">
      <c r="A168" s="18">
        <v>86</v>
      </c>
      <c r="B168" s="18">
        <v>1.54E-4</v>
      </c>
    </row>
    <row r="169" spans="1:2" x14ac:dyDescent="0.25">
      <c r="A169" s="18">
        <v>86.5</v>
      </c>
      <c r="B169" s="18">
        <v>1.4799999999999999E-4</v>
      </c>
    </row>
    <row r="170" spans="1:2" x14ac:dyDescent="0.25">
      <c r="A170" s="18">
        <v>87</v>
      </c>
      <c r="B170" s="18">
        <v>1.4300000000000001E-4</v>
      </c>
    </row>
    <row r="171" spans="1:2" x14ac:dyDescent="0.25">
      <c r="A171" s="18">
        <v>87.5</v>
      </c>
      <c r="B171" s="18">
        <v>1.47E-4</v>
      </c>
    </row>
    <row r="172" spans="1:2" x14ac:dyDescent="0.25">
      <c r="A172" s="18">
        <v>88</v>
      </c>
      <c r="B172" s="18">
        <v>1.4100000000000001E-4</v>
      </c>
    </row>
    <row r="173" spans="1:2" x14ac:dyDescent="0.25">
      <c r="A173" s="18">
        <v>88.5</v>
      </c>
      <c r="B173" s="18">
        <v>1.35E-4</v>
      </c>
    </row>
    <row r="174" spans="1:2" x14ac:dyDescent="0.25">
      <c r="A174" s="18">
        <v>89</v>
      </c>
      <c r="B174" s="18">
        <v>1.3300000000000001E-4</v>
      </c>
    </row>
    <row r="175" spans="1:2" x14ac:dyDescent="0.25">
      <c r="A175" s="18">
        <v>89.5</v>
      </c>
      <c r="B175" s="18">
        <v>1.36E-4</v>
      </c>
    </row>
    <row r="176" spans="1:2" x14ac:dyDescent="0.25">
      <c r="A176" s="18">
        <v>90</v>
      </c>
      <c r="B176" s="18">
        <v>1.25E-4</v>
      </c>
    </row>
    <row r="177" spans="1:2" x14ac:dyDescent="0.25">
      <c r="A177" s="18">
        <v>90.5</v>
      </c>
      <c r="B177" s="18">
        <v>1.2400000000000001E-4</v>
      </c>
    </row>
    <row r="178" spans="1:2" x14ac:dyDescent="0.25">
      <c r="A178" s="18">
        <v>91</v>
      </c>
      <c r="B178" s="18">
        <v>1.1900000000000001E-4</v>
      </c>
    </row>
    <row r="179" spans="1:2" x14ac:dyDescent="0.25">
      <c r="A179" s="18">
        <v>91.5</v>
      </c>
      <c r="B179" s="18">
        <v>1.1900000000000001E-4</v>
      </c>
    </row>
    <row r="180" spans="1:2" x14ac:dyDescent="0.25">
      <c r="A180" s="18">
        <v>92</v>
      </c>
      <c r="B180" s="18">
        <v>1.16E-4</v>
      </c>
    </row>
    <row r="181" spans="1:2" x14ac:dyDescent="0.25">
      <c r="A181" s="18">
        <v>92.5</v>
      </c>
      <c r="B181" s="18">
        <v>1.11E-4</v>
      </c>
    </row>
    <row r="182" spans="1:2" x14ac:dyDescent="0.25">
      <c r="A182" s="18">
        <v>93</v>
      </c>
      <c r="B182" s="18">
        <v>1.15E-4</v>
      </c>
    </row>
    <row r="183" spans="1:2" x14ac:dyDescent="0.25">
      <c r="A183" s="18">
        <v>93.5</v>
      </c>
      <c r="B183" s="18">
        <v>1.0900000000000001E-4</v>
      </c>
    </row>
    <row r="184" spans="1:2" x14ac:dyDescent="0.25">
      <c r="A184" s="18">
        <v>94</v>
      </c>
      <c r="B184" s="18">
        <v>1.05E-4</v>
      </c>
    </row>
    <row r="185" spans="1:2" x14ac:dyDescent="0.25">
      <c r="A185" s="18">
        <v>94.5</v>
      </c>
      <c r="B185" s="18">
        <v>1.05E-4</v>
      </c>
    </row>
    <row r="186" spans="1:2" x14ac:dyDescent="0.25">
      <c r="A186" s="18">
        <v>95</v>
      </c>
      <c r="B186" s="18">
        <v>1.03E-4</v>
      </c>
    </row>
    <row r="187" spans="1:2" x14ac:dyDescent="0.25">
      <c r="A187" s="18">
        <v>95.5</v>
      </c>
      <c r="B187" s="18">
        <v>1E-4</v>
      </c>
    </row>
    <row r="188" spans="1:2" x14ac:dyDescent="0.25">
      <c r="A188" s="18">
        <v>96</v>
      </c>
      <c r="B188" s="18">
        <v>9.4199999999999999E-5</v>
      </c>
    </row>
    <row r="189" spans="1:2" x14ac:dyDescent="0.25">
      <c r="A189" s="18">
        <v>96.5</v>
      </c>
      <c r="B189" s="18">
        <v>9.3900000000000006E-5</v>
      </c>
    </row>
    <row r="190" spans="1:2" x14ac:dyDescent="0.25">
      <c r="A190" s="18">
        <v>97</v>
      </c>
      <c r="B190" s="18">
        <v>8.8499999999999996E-5</v>
      </c>
    </row>
    <row r="191" spans="1:2" x14ac:dyDescent="0.25">
      <c r="A191" s="18">
        <v>97.5</v>
      </c>
      <c r="B191" s="18">
        <v>8.5099999999999995E-5</v>
      </c>
    </row>
    <row r="192" spans="1:2" x14ac:dyDescent="0.25">
      <c r="A192" s="18">
        <v>98</v>
      </c>
      <c r="B192" s="18">
        <v>8.5500000000000005E-5</v>
      </c>
    </row>
    <row r="193" spans="1:2" x14ac:dyDescent="0.25">
      <c r="A193" s="18">
        <v>98.5</v>
      </c>
      <c r="B193" s="18">
        <v>8.2299999999999995E-5</v>
      </c>
    </row>
    <row r="194" spans="1:2" x14ac:dyDescent="0.25">
      <c r="A194" s="18">
        <v>99</v>
      </c>
      <c r="B194" s="18">
        <v>7.6799999999999997E-5</v>
      </c>
    </row>
    <row r="195" spans="1:2" x14ac:dyDescent="0.25">
      <c r="A195" s="18">
        <v>99.5</v>
      </c>
      <c r="B195" s="18">
        <v>7.2899999999999997E-5</v>
      </c>
    </row>
    <row r="196" spans="1:2" x14ac:dyDescent="0.25">
      <c r="A196" s="18">
        <v>100</v>
      </c>
      <c r="B196" s="18">
        <v>7.2799999999999994E-5</v>
      </c>
    </row>
    <row r="197" spans="1:2" x14ac:dyDescent="0.25">
      <c r="A197" s="18">
        <v>101</v>
      </c>
      <c r="B197" s="18">
        <v>6.6799999999999997E-5</v>
      </c>
    </row>
    <row r="198" spans="1:2" x14ac:dyDescent="0.25">
      <c r="A198" s="18">
        <v>101</v>
      </c>
      <c r="B198" s="18">
        <v>6.7199999999999994E-5</v>
      </c>
    </row>
    <row r="199" spans="1:2" x14ac:dyDescent="0.25">
      <c r="A199" s="18">
        <v>102</v>
      </c>
      <c r="B199" s="18">
        <v>6.3800000000000006E-5</v>
      </c>
    </row>
    <row r="200" spans="1:2" x14ac:dyDescent="0.25">
      <c r="A200" s="18">
        <v>102</v>
      </c>
      <c r="B200" s="18">
        <v>5.7099999999999999E-5</v>
      </c>
    </row>
    <row r="201" spans="1:2" x14ac:dyDescent="0.25">
      <c r="A201" s="18">
        <v>103</v>
      </c>
      <c r="B201" s="18">
        <v>5.6400000000000002E-5</v>
      </c>
    </row>
    <row r="202" spans="1:2" x14ac:dyDescent="0.25">
      <c r="A202" s="18">
        <v>103</v>
      </c>
      <c r="B202" s="18">
        <v>5.3399999999999997E-5</v>
      </c>
    </row>
    <row r="203" spans="1:2" x14ac:dyDescent="0.25">
      <c r="A203" s="18">
        <v>104</v>
      </c>
      <c r="B203" s="18">
        <v>5.1E-5</v>
      </c>
    </row>
    <row r="204" spans="1:2" x14ac:dyDescent="0.25">
      <c r="A204" s="18">
        <v>104</v>
      </c>
      <c r="B204" s="18">
        <v>4.88E-5</v>
      </c>
    </row>
    <row r="205" spans="1:2" x14ac:dyDescent="0.25">
      <c r="A205" s="18">
        <v>105</v>
      </c>
      <c r="B205" s="18">
        <v>4.35E-5</v>
      </c>
    </row>
    <row r="206" spans="1:2" x14ac:dyDescent="0.25">
      <c r="A206" s="18">
        <v>105</v>
      </c>
      <c r="B206" s="18">
        <v>3.8600000000000003E-5</v>
      </c>
    </row>
    <row r="207" spans="1:2" x14ac:dyDescent="0.25">
      <c r="A207" s="18">
        <v>106</v>
      </c>
      <c r="B207" s="18">
        <v>3.65E-5</v>
      </c>
    </row>
    <row r="208" spans="1:2" x14ac:dyDescent="0.25">
      <c r="A208" s="18">
        <v>106</v>
      </c>
      <c r="B208" s="18">
        <v>3.6199999999999999E-5</v>
      </c>
    </row>
    <row r="209" spans="1:2" x14ac:dyDescent="0.25">
      <c r="A209" s="18">
        <v>107</v>
      </c>
      <c r="B209" s="18">
        <v>3.1900000000000003E-5</v>
      </c>
    </row>
    <row r="210" spans="1:2" x14ac:dyDescent="0.25">
      <c r="A210" s="18">
        <v>107</v>
      </c>
      <c r="B210" s="18">
        <v>2.6100000000000001E-5</v>
      </c>
    </row>
    <row r="211" spans="1:2" x14ac:dyDescent="0.25">
      <c r="A211" s="18">
        <v>108</v>
      </c>
      <c r="B211" s="18">
        <v>2.5000000000000001E-5</v>
      </c>
    </row>
    <row r="212" spans="1:2" x14ac:dyDescent="0.25">
      <c r="A212" s="18">
        <v>108</v>
      </c>
      <c r="B212" s="18">
        <v>1.9000000000000001E-5</v>
      </c>
    </row>
    <row r="213" spans="1:2" x14ac:dyDescent="0.25">
      <c r="A213" s="18">
        <v>109</v>
      </c>
      <c r="B213" s="18">
        <v>1.38E-5</v>
      </c>
    </row>
    <row r="214" spans="1:2" x14ac:dyDescent="0.25">
      <c r="A214" s="18">
        <v>109</v>
      </c>
      <c r="B214" s="18">
        <v>1.01E-5</v>
      </c>
    </row>
    <row r="215" spans="1:2" x14ac:dyDescent="0.25">
      <c r="A215" s="18">
        <v>110</v>
      </c>
      <c r="B215" s="18">
        <v>5.4600000000000002E-6</v>
      </c>
    </row>
    <row r="216" spans="1:2" x14ac:dyDescent="0.25">
      <c r="A216" s="18">
        <v>110</v>
      </c>
      <c r="B216" s="18">
        <v>1.88E-6</v>
      </c>
    </row>
    <row r="217" spans="1:2" x14ac:dyDescent="0.25">
      <c r="A217" s="18">
        <v>111</v>
      </c>
      <c r="B217" s="18">
        <v>4.8599999999999998E-7</v>
      </c>
    </row>
    <row r="218" spans="1:2" x14ac:dyDescent="0.25">
      <c r="A218" s="18">
        <v>111</v>
      </c>
      <c r="B218" s="18">
        <v>2.8599999999999999E-7</v>
      </c>
    </row>
    <row r="219" spans="1:2" x14ac:dyDescent="0.25">
      <c r="A219" s="18">
        <v>112</v>
      </c>
      <c r="B219" s="18">
        <v>1.68E-7</v>
      </c>
    </row>
    <row r="220" spans="1:2" x14ac:dyDescent="0.25">
      <c r="A220" s="18">
        <v>112</v>
      </c>
      <c r="B220" s="18">
        <v>4.3900000000000003E-8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dimension ref="A1:B23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5</v>
      </c>
      <c r="B2" s="18">
        <v>8.3000000000000001E-4</v>
      </c>
    </row>
    <row r="3" spans="1:2" x14ac:dyDescent="0.25">
      <c r="A3" s="18">
        <v>5.5</v>
      </c>
      <c r="B3" s="18">
        <v>1.3500000000000001E-3</v>
      </c>
    </row>
    <row r="4" spans="1:2" x14ac:dyDescent="0.25">
      <c r="A4" s="18">
        <v>6</v>
      </c>
      <c r="B4" s="18">
        <v>2.3500000000000001E-3</v>
      </c>
    </row>
    <row r="5" spans="1:2" x14ac:dyDescent="0.25">
      <c r="A5" s="18">
        <v>6.5</v>
      </c>
      <c r="B5" s="18">
        <v>4.7600000000000003E-3</v>
      </c>
    </row>
    <row r="6" spans="1:2" x14ac:dyDescent="0.25">
      <c r="A6" s="18">
        <v>7</v>
      </c>
      <c r="B6" s="18">
        <v>7.5799999999999999E-3</v>
      </c>
    </row>
    <row r="7" spans="1:2" x14ac:dyDescent="0.25">
      <c r="A7" s="18">
        <v>7.5</v>
      </c>
      <c r="B7" s="18">
        <v>1.47E-2</v>
      </c>
    </row>
    <row r="8" spans="1:2" x14ac:dyDescent="0.25">
      <c r="A8" s="18">
        <v>8</v>
      </c>
      <c r="B8" s="18">
        <v>3.4599999999999999E-2</v>
      </c>
    </row>
    <row r="9" spans="1:2" x14ac:dyDescent="0.25">
      <c r="A9" s="18">
        <v>8.5</v>
      </c>
      <c r="B9" s="18">
        <v>0.214</v>
      </c>
    </row>
    <row r="10" spans="1:2" x14ac:dyDescent="0.25">
      <c r="A10" s="18">
        <v>9</v>
      </c>
      <c r="B10" s="18">
        <v>2.2700000000000001E-2</v>
      </c>
    </row>
    <row r="11" spans="1:2" x14ac:dyDescent="0.25">
      <c r="A11" s="18">
        <v>9.5</v>
      </c>
      <c r="B11" s="18">
        <v>0.158</v>
      </c>
    </row>
    <row r="12" spans="1:2" x14ac:dyDescent="0.25">
      <c r="A12" s="18">
        <v>10</v>
      </c>
      <c r="B12" s="18">
        <v>0.17100000000000001</v>
      </c>
    </row>
    <row r="13" spans="1:2" x14ac:dyDescent="0.25">
      <c r="A13" s="18">
        <v>10.5</v>
      </c>
      <c r="B13" s="18">
        <v>1.54E-2</v>
      </c>
    </row>
    <row r="14" spans="1:2" x14ac:dyDescent="0.25">
      <c r="A14" s="18">
        <v>11</v>
      </c>
      <c r="B14" s="18">
        <v>1.6199999999999999E-2</v>
      </c>
    </row>
    <row r="15" spans="1:2" x14ac:dyDescent="0.25">
      <c r="A15" s="18">
        <v>11.5</v>
      </c>
      <c r="B15" s="18">
        <v>2.92E-2</v>
      </c>
    </row>
    <row r="16" spans="1:2" x14ac:dyDescent="0.25">
      <c r="A16" s="18">
        <v>12</v>
      </c>
      <c r="B16" s="18">
        <v>1.1599999999999999E-2</v>
      </c>
    </row>
    <row r="17" spans="1:2" x14ac:dyDescent="0.25">
      <c r="A17" s="18">
        <v>12.5</v>
      </c>
      <c r="B17" s="18">
        <v>8.1399999999999997E-3</v>
      </c>
    </row>
    <row r="18" spans="1:2" x14ac:dyDescent="0.25">
      <c r="A18" s="18">
        <v>13</v>
      </c>
      <c r="B18" s="18">
        <v>8.2799999999999992E-3</v>
      </c>
    </row>
    <row r="19" spans="1:2" x14ac:dyDescent="0.25">
      <c r="A19" s="18">
        <v>13.5</v>
      </c>
      <c r="B19" s="18">
        <v>8.3099999999999997E-3</v>
      </c>
    </row>
    <row r="20" spans="1:2" x14ac:dyDescent="0.25">
      <c r="A20" s="18">
        <v>14</v>
      </c>
      <c r="B20" s="18">
        <v>8.3099999999999997E-3</v>
      </c>
    </row>
    <row r="21" spans="1:2" x14ac:dyDescent="0.25">
      <c r="A21" s="18">
        <v>14.5</v>
      </c>
      <c r="B21" s="18">
        <v>8.2900000000000005E-3</v>
      </c>
    </row>
    <row r="22" spans="1:2" x14ac:dyDescent="0.25">
      <c r="A22" s="18">
        <v>15</v>
      </c>
      <c r="B22" s="18">
        <v>8.1099999999999992E-3</v>
      </c>
    </row>
    <row r="23" spans="1:2" x14ac:dyDescent="0.25">
      <c r="A23" s="18">
        <v>15.5</v>
      </c>
      <c r="B23" s="18">
        <v>8.0400000000000003E-3</v>
      </c>
    </row>
    <row r="24" spans="1:2" x14ac:dyDescent="0.25">
      <c r="A24" s="18">
        <v>16</v>
      </c>
      <c r="B24" s="18">
        <v>7.8799999999999999E-3</v>
      </c>
    </row>
    <row r="25" spans="1:2" x14ac:dyDescent="0.25">
      <c r="A25" s="18">
        <v>16.5</v>
      </c>
      <c r="B25" s="18">
        <v>7.7400000000000004E-3</v>
      </c>
    </row>
    <row r="26" spans="1:2" x14ac:dyDescent="0.25">
      <c r="A26" s="18">
        <v>17</v>
      </c>
      <c r="B26" s="18">
        <v>7.5199999999999998E-3</v>
      </c>
    </row>
    <row r="27" spans="1:2" x14ac:dyDescent="0.25">
      <c r="A27" s="18">
        <v>17.5</v>
      </c>
      <c r="B27" s="18">
        <v>7.3099999999999997E-3</v>
      </c>
    </row>
    <row r="28" spans="1:2" x14ac:dyDescent="0.25">
      <c r="A28" s="18">
        <v>18</v>
      </c>
      <c r="B28" s="18">
        <v>7.0800000000000004E-3</v>
      </c>
    </row>
    <row r="29" spans="1:2" x14ac:dyDescent="0.25">
      <c r="A29" s="18">
        <v>18.5</v>
      </c>
      <c r="B29" s="18">
        <v>6.9300000000000004E-3</v>
      </c>
    </row>
    <row r="30" spans="1:2" x14ac:dyDescent="0.25">
      <c r="A30" s="18">
        <v>19</v>
      </c>
      <c r="B30" s="18">
        <v>6.6100000000000004E-3</v>
      </c>
    </row>
    <row r="31" spans="1:2" x14ac:dyDescent="0.25">
      <c r="A31" s="18">
        <v>19.5</v>
      </c>
      <c r="B31" s="18">
        <v>6.3899999999999998E-3</v>
      </c>
    </row>
    <row r="32" spans="1:2" x14ac:dyDescent="0.25">
      <c r="A32" s="18">
        <v>20</v>
      </c>
      <c r="B32" s="18">
        <v>6.1399999999999996E-3</v>
      </c>
    </row>
    <row r="33" spans="1:2" x14ac:dyDescent="0.25">
      <c r="A33" s="18">
        <v>20.5</v>
      </c>
      <c r="B33" s="18">
        <v>5.9699999999999996E-3</v>
      </c>
    </row>
    <row r="34" spans="1:2" x14ac:dyDescent="0.25">
      <c r="A34" s="18">
        <v>21</v>
      </c>
      <c r="B34" s="18">
        <v>5.6899999999999997E-3</v>
      </c>
    </row>
    <row r="35" spans="1:2" x14ac:dyDescent="0.25">
      <c r="A35" s="18">
        <v>21.5</v>
      </c>
      <c r="B35" s="18">
        <v>5.4999999999999997E-3</v>
      </c>
    </row>
    <row r="36" spans="1:2" x14ac:dyDescent="0.25">
      <c r="A36" s="18">
        <v>22</v>
      </c>
      <c r="B36" s="18">
        <v>5.2700000000000004E-3</v>
      </c>
    </row>
    <row r="37" spans="1:2" x14ac:dyDescent="0.25">
      <c r="A37" s="18">
        <v>22.5</v>
      </c>
      <c r="B37" s="18">
        <v>5.0699999999999999E-3</v>
      </c>
    </row>
    <row r="38" spans="1:2" x14ac:dyDescent="0.25">
      <c r="A38" s="18">
        <v>23</v>
      </c>
      <c r="B38" s="18">
        <v>4.8700000000000002E-3</v>
      </c>
    </row>
    <row r="39" spans="1:2" x14ac:dyDescent="0.25">
      <c r="A39" s="18">
        <v>23.5</v>
      </c>
      <c r="B39" s="18">
        <v>4.6699999999999997E-3</v>
      </c>
    </row>
    <row r="40" spans="1:2" x14ac:dyDescent="0.25">
      <c r="A40" s="18">
        <v>24</v>
      </c>
      <c r="B40" s="18">
        <v>4.4600000000000004E-3</v>
      </c>
    </row>
    <row r="41" spans="1:2" x14ac:dyDescent="0.25">
      <c r="A41" s="18">
        <v>24.5</v>
      </c>
      <c r="B41" s="18">
        <v>4.3E-3</v>
      </c>
    </row>
    <row r="42" spans="1:2" x14ac:dyDescent="0.25">
      <c r="A42" s="18">
        <v>25</v>
      </c>
      <c r="B42" s="18">
        <v>4.1099999999999999E-3</v>
      </c>
    </row>
    <row r="43" spans="1:2" x14ac:dyDescent="0.25">
      <c r="A43" s="18">
        <v>25.5</v>
      </c>
      <c r="B43" s="18">
        <v>3.9199999999999999E-3</v>
      </c>
    </row>
    <row r="44" spans="1:2" x14ac:dyDescent="0.25">
      <c r="A44" s="18">
        <v>26</v>
      </c>
      <c r="B44" s="18">
        <v>3.7699999999999999E-3</v>
      </c>
    </row>
    <row r="45" spans="1:2" x14ac:dyDescent="0.25">
      <c r="A45" s="18">
        <v>26.5</v>
      </c>
      <c r="B45" s="18">
        <v>3.5799999999999998E-3</v>
      </c>
    </row>
    <row r="46" spans="1:2" x14ac:dyDescent="0.25">
      <c r="A46" s="18">
        <v>27</v>
      </c>
      <c r="B46" s="18">
        <v>3.3800000000000002E-3</v>
      </c>
    </row>
    <row r="47" spans="1:2" x14ac:dyDescent="0.25">
      <c r="A47" s="18">
        <v>27.5</v>
      </c>
      <c r="B47" s="18">
        <v>3.29E-3</v>
      </c>
    </row>
    <row r="48" spans="1:2" x14ac:dyDescent="0.25">
      <c r="A48" s="18">
        <v>28</v>
      </c>
      <c r="B48" s="18">
        <v>3.1099999999999999E-3</v>
      </c>
    </row>
    <row r="49" spans="1:2" x14ac:dyDescent="0.25">
      <c r="A49" s="18">
        <v>28.5</v>
      </c>
      <c r="B49" s="18">
        <v>3.0000000000000001E-3</v>
      </c>
    </row>
    <row r="50" spans="1:2" x14ac:dyDescent="0.25">
      <c r="A50" s="18">
        <v>29</v>
      </c>
      <c r="B50" s="18">
        <v>2.8700000000000002E-3</v>
      </c>
    </row>
    <row r="51" spans="1:2" x14ac:dyDescent="0.25">
      <c r="A51" s="18">
        <v>29.5</v>
      </c>
      <c r="B51" s="18">
        <v>2.7299999999999998E-3</v>
      </c>
    </row>
    <row r="52" spans="1:2" x14ac:dyDescent="0.25">
      <c r="A52" s="18">
        <v>30</v>
      </c>
      <c r="B52" s="18">
        <v>2.63E-3</v>
      </c>
    </row>
    <row r="53" spans="1:2" x14ac:dyDescent="0.25">
      <c r="A53" s="18">
        <v>30.5</v>
      </c>
      <c r="B53" s="18">
        <v>2.5100000000000001E-3</v>
      </c>
    </row>
    <row r="54" spans="1:2" x14ac:dyDescent="0.25">
      <c r="A54" s="18">
        <v>31</v>
      </c>
      <c r="B54" s="18">
        <v>2.4199999999999998E-3</v>
      </c>
    </row>
    <row r="55" spans="1:2" x14ac:dyDescent="0.25">
      <c r="A55" s="18">
        <v>31.5</v>
      </c>
      <c r="B55" s="18">
        <v>2.33E-3</v>
      </c>
    </row>
    <row r="56" spans="1:2" x14ac:dyDescent="0.25">
      <c r="A56" s="18">
        <v>32</v>
      </c>
      <c r="B56" s="18">
        <v>2.2100000000000002E-3</v>
      </c>
    </row>
    <row r="57" spans="1:2" x14ac:dyDescent="0.25">
      <c r="A57" s="18">
        <v>32.5</v>
      </c>
      <c r="B57" s="18">
        <v>2.14E-3</v>
      </c>
    </row>
    <row r="58" spans="1:2" x14ac:dyDescent="0.25">
      <c r="A58" s="18">
        <v>33</v>
      </c>
      <c r="B58" s="18">
        <v>2.0699999999999998E-3</v>
      </c>
    </row>
    <row r="59" spans="1:2" x14ac:dyDescent="0.25">
      <c r="A59" s="18">
        <v>33.5</v>
      </c>
      <c r="B59" s="18">
        <v>1.98E-3</v>
      </c>
    </row>
    <row r="60" spans="1:2" x14ac:dyDescent="0.25">
      <c r="A60" s="18">
        <v>34</v>
      </c>
      <c r="B60" s="18">
        <v>1.9E-3</v>
      </c>
    </row>
    <row r="61" spans="1:2" x14ac:dyDescent="0.25">
      <c r="A61" s="18">
        <v>34.5</v>
      </c>
      <c r="B61" s="18">
        <v>1.8400000000000001E-3</v>
      </c>
    </row>
    <row r="62" spans="1:2" x14ac:dyDescent="0.25">
      <c r="A62" s="18">
        <v>35</v>
      </c>
      <c r="B62" s="18">
        <v>1.75E-3</v>
      </c>
    </row>
    <row r="63" spans="1:2" x14ac:dyDescent="0.25">
      <c r="A63" s="18">
        <v>35.5</v>
      </c>
      <c r="B63" s="18">
        <v>1.6900000000000001E-3</v>
      </c>
    </row>
    <row r="64" spans="1:2" x14ac:dyDescent="0.25">
      <c r="A64" s="18">
        <v>36</v>
      </c>
      <c r="B64" s="18">
        <v>1.6100000000000001E-3</v>
      </c>
    </row>
    <row r="65" spans="1:2" x14ac:dyDescent="0.25">
      <c r="A65" s="18">
        <v>36.5</v>
      </c>
      <c r="B65" s="18">
        <v>1.56E-3</v>
      </c>
    </row>
    <row r="66" spans="1:2" x14ac:dyDescent="0.25">
      <c r="A66" s="18">
        <v>37</v>
      </c>
      <c r="B66" s="18">
        <v>1.5E-3</v>
      </c>
    </row>
    <row r="67" spans="1:2" x14ac:dyDescent="0.25">
      <c r="A67" s="18">
        <v>37.5</v>
      </c>
      <c r="B67" s="18">
        <v>1.4400000000000001E-3</v>
      </c>
    </row>
    <row r="68" spans="1:2" x14ac:dyDescent="0.25">
      <c r="A68" s="18">
        <v>38</v>
      </c>
      <c r="B68" s="18">
        <v>1.39E-3</v>
      </c>
    </row>
    <row r="69" spans="1:2" x14ac:dyDescent="0.25">
      <c r="A69" s="18">
        <v>38.5</v>
      </c>
      <c r="B69" s="18">
        <v>1.33E-3</v>
      </c>
    </row>
    <row r="70" spans="1:2" x14ac:dyDescent="0.25">
      <c r="A70" s="18">
        <v>39</v>
      </c>
      <c r="B70" s="18">
        <v>1.2899999999999999E-3</v>
      </c>
    </row>
    <row r="71" spans="1:2" x14ac:dyDescent="0.25">
      <c r="A71" s="18">
        <v>39.5</v>
      </c>
      <c r="B71" s="18">
        <v>1.25E-3</v>
      </c>
    </row>
    <row r="72" spans="1:2" x14ac:dyDescent="0.25">
      <c r="A72" s="18">
        <v>40</v>
      </c>
      <c r="B72" s="18">
        <v>1.1900000000000001E-3</v>
      </c>
    </row>
    <row r="73" spans="1:2" x14ac:dyDescent="0.25">
      <c r="A73" s="18">
        <v>40.5</v>
      </c>
      <c r="B73" s="18">
        <v>1.17E-3</v>
      </c>
    </row>
    <row r="74" spans="1:2" x14ac:dyDescent="0.25">
      <c r="A74" s="18">
        <v>41</v>
      </c>
      <c r="B74" s="18">
        <v>1.1299999999999999E-3</v>
      </c>
    </row>
    <row r="75" spans="1:2" x14ac:dyDescent="0.25">
      <c r="A75" s="18">
        <v>41.5</v>
      </c>
      <c r="B75" s="18">
        <v>1.08E-3</v>
      </c>
    </row>
    <row r="76" spans="1:2" x14ac:dyDescent="0.25">
      <c r="A76" s="18">
        <v>42</v>
      </c>
      <c r="B76" s="18">
        <v>1.06E-3</v>
      </c>
    </row>
    <row r="77" spans="1:2" x14ac:dyDescent="0.25">
      <c r="A77" s="18">
        <v>42.5</v>
      </c>
      <c r="B77" s="18">
        <v>1.0300000000000001E-3</v>
      </c>
    </row>
    <row r="78" spans="1:2" x14ac:dyDescent="0.25">
      <c r="A78" s="18">
        <v>43</v>
      </c>
      <c r="B78" s="18">
        <v>9.9400000000000009E-4</v>
      </c>
    </row>
    <row r="79" spans="1:2" x14ac:dyDescent="0.25">
      <c r="A79" s="18">
        <v>43.5</v>
      </c>
      <c r="B79" s="18">
        <v>9.6100000000000005E-4</v>
      </c>
    </row>
    <row r="80" spans="1:2" x14ac:dyDescent="0.25">
      <c r="A80" s="18">
        <v>44</v>
      </c>
      <c r="B80" s="18">
        <v>9.3000000000000005E-4</v>
      </c>
    </row>
    <row r="81" spans="1:2" x14ac:dyDescent="0.25">
      <c r="A81" s="18">
        <v>44.5</v>
      </c>
      <c r="B81" s="18">
        <v>9.01E-4</v>
      </c>
    </row>
    <row r="82" spans="1:2" x14ac:dyDescent="0.25">
      <c r="A82" s="18">
        <v>45</v>
      </c>
      <c r="B82" s="18">
        <v>8.83E-4</v>
      </c>
    </row>
    <row r="83" spans="1:2" x14ac:dyDescent="0.25">
      <c r="A83" s="18">
        <v>45.5</v>
      </c>
      <c r="B83" s="18">
        <v>8.6300000000000005E-4</v>
      </c>
    </row>
    <row r="84" spans="1:2" x14ac:dyDescent="0.25">
      <c r="A84" s="18">
        <v>46</v>
      </c>
      <c r="B84" s="18">
        <v>8.2799999999999996E-4</v>
      </c>
    </row>
    <row r="85" spans="1:2" x14ac:dyDescent="0.25">
      <c r="A85" s="18">
        <v>46.5</v>
      </c>
      <c r="B85" s="18">
        <v>8.0900000000000004E-4</v>
      </c>
    </row>
    <row r="86" spans="1:2" x14ac:dyDescent="0.25">
      <c r="A86" s="18">
        <v>47</v>
      </c>
      <c r="B86" s="18">
        <v>7.94E-4</v>
      </c>
    </row>
    <row r="87" spans="1:2" x14ac:dyDescent="0.25">
      <c r="A87" s="18">
        <v>47.5</v>
      </c>
      <c r="B87" s="18">
        <v>7.6400000000000003E-4</v>
      </c>
    </row>
    <row r="88" spans="1:2" x14ac:dyDescent="0.25">
      <c r="A88" s="18">
        <v>48</v>
      </c>
      <c r="B88" s="18">
        <v>7.4600000000000003E-4</v>
      </c>
    </row>
    <row r="89" spans="1:2" x14ac:dyDescent="0.25">
      <c r="A89" s="18">
        <v>48.5</v>
      </c>
      <c r="B89" s="18">
        <v>7.3700000000000002E-4</v>
      </c>
    </row>
    <row r="90" spans="1:2" x14ac:dyDescent="0.25">
      <c r="A90" s="18">
        <v>49</v>
      </c>
      <c r="B90" s="18">
        <v>7.0100000000000002E-4</v>
      </c>
    </row>
    <row r="91" spans="1:2" x14ac:dyDescent="0.25">
      <c r="A91" s="18">
        <v>49.5</v>
      </c>
      <c r="B91" s="18">
        <v>6.9099999999999999E-4</v>
      </c>
    </row>
    <row r="92" spans="1:2" x14ac:dyDescent="0.25">
      <c r="A92" s="18">
        <v>50</v>
      </c>
      <c r="B92" s="18">
        <v>6.6699999999999995E-4</v>
      </c>
    </row>
    <row r="93" spans="1:2" x14ac:dyDescent="0.25">
      <c r="A93" s="18">
        <v>50.5</v>
      </c>
      <c r="B93" s="18">
        <v>6.5600000000000001E-4</v>
      </c>
    </row>
    <row r="94" spans="1:2" x14ac:dyDescent="0.25">
      <c r="A94" s="18">
        <v>51</v>
      </c>
      <c r="B94" s="18">
        <v>6.3400000000000001E-4</v>
      </c>
    </row>
    <row r="95" spans="1:2" x14ac:dyDescent="0.25">
      <c r="A95" s="18">
        <v>51.5</v>
      </c>
      <c r="B95" s="18">
        <v>6.1799999999999995E-4</v>
      </c>
    </row>
    <row r="96" spans="1:2" x14ac:dyDescent="0.25">
      <c r="A96" s="18">
        <v>52</v>
      </c>
      <c r="B96" s="18">
        <v>6.1399999999999996E-4</v>
      </c>
    </row>
    <row r="97" spans="1:2" x14ac:dyDescent="0.25">
      <c r="A97" s="18">
        <v>52.5</v>
      </c>
      <c r="B97" s="18">
        <v>5.9199999999999997E-4</v>
      </c>
    </row>
    <row r="98" spans="1:2" x14ac:dyDescent="0.25">
      <c r="A98" s="18">
        <v>53</v>
      </c>
      <c r="B98" s="18">
        <v>5.8299999999999997E-4</v>
      </c>
    </row>
    <row r="99" spans="1:2" x14ac:dyDescent="0.25">
      <c r="A99" s="18">
        <v>53.5</v>
      </c>
      <c r="B99" s="18">
        <v>5.7499999999999999E-4</v>
      </c>
    </row>
    <row r="100" spans="1:2" x14ac:dyDescent="0.25">
      <c r="A100" s="18">
        <v>54</v>
      </c>
      <c r="B100" s="18">
        <v>5.5999999999999995E-4</v>
      </c>
    </row>
    <row r="101" spans="1:2" x14ac:dyDescent="0.25">
      <c r="A101" s="18">
        <v>54.5</v>
      </c>
      <c r="B101" s="18">
        <v>5.53E-4</v>
      </c>
    </row>
    <row r="102" spans="1:2" x14ac:dyDescent="0.25">
      <c r="A102" s="18">
        <v>55</v>
      </c>
      <c r="B102" s="18">
        <v>5.3799999999999996E-4</v>
      </c>
    </row>
    <row r="103" spans="1:2" x14ac:dyDescent="0.25">
      <c r="A103" s="18">
        <v>55.5</v>
      </c>
      <c r="B103" s="18">
        <v>5.2999999999999998E-4</v>
      </c>
    </row>
    <row r="104" spans="1:2" x14ac:dyDescent="0.25">
      <c r="A104" s="18">
        <v>56</v>
      </c>
      <c r="B104" s="18">
        <v>5.1599999999999997E-4</v>
      </c>
    </row>
    <row r="105" spans="1:2" x14ac:dyDescent="0.25">
      <c r="A105" s="18">
        <v>56.5</v>
      </c>
      <c r="B105" s="18">
        <v>5.1099999999999995E-4</v>
      </c>
    </row>
    <row r="106" spans="1:2" x14ac:dyDescent="0.25">
      <c r="A106" s="18">
        <v>57</v>
      </c>
      <c r="B106" s="18">
        <v>5.0600000000000005E-4</v>
      </c>
    </row>
    <row r="107" spans="1:2" x14ac:dyDescent="0.25">
      <c r="A107" s="18">
        <v>57.5</v>
      </c>
      <c r="B107" s="18">
        <v>6.9200000000000002E-4</v>
      </c>
    </row>
    <row r="108" spans="1:2" x14ac:dyDescent="0.25">
      <c r="A108" s="18">
        <v>58</v>
      </c>
      <c r="B108" s="18">
        <v>1.9599999999999999E-3</v>
      </c>
    </row>
    <row r="109" spans="1:2" x14ac:dyDescent="0.25">
      <c r="A109" s="18">
        <v>58.5</v>
      </c>
      <c r="B109" s="18">
        <v>6.1700000000000004E-4</v>
      </c>
    </row>
    <row r="110" spans="1:2" x14ac:dyDescent="0.25">
      <c r="A110" s="18">
        <v>59</v>
      </c>
      <c r="B110" s="18">
        <v>1.6100000000000001E-3</v>
      </c>
    </row>
    <row r="111" spans="1:2" x14ac:dyDescent="0.25">
      <c r="A111" s="18">
        <v>59.5</v>
      </c>
      <c r="B111" s="18">
        <v>2.4399999999999999E-3</v>
      </c>
    </row>
    <row r="112" spans="1:2" x14ac:dyDescent="0.25">
      <c r="A112" s="18">
        <v>60</v>
      </c>
      <c r="B112" s="18">
        <v>4.7699999999999999E-4</v>
      </c>
    </row>
    <row r="113" spans="1:2" x14ac:dyDescent="0.25">
      <c r="A113" s="18">
        <v>60.5</v>
      </c>
      <c r="B113" s="18">
        <v>4.3399999999999998E-4</v>
      </c>
    </row>
    <row r="114" spans="1:2" x14ac:dyDescent="0.25">
      <c r="A114" s="18">
        <v>61</v>
      </c>
      <c r="B114" s="18">
        <v>4.28E-4</v>
      </c>
    </row>
    <row r="115" spans="1:2" x14ac:dyDescent="0.25">
      <c r="A115" s="18">
        <v>61.5</v>
      </c>
      <c r="B115" s="18">
        <v>4.2000000000000002E-4</v>
      </c>
    </row>
    <row r="116" spans="1:2" x14ac:dyDescent="0.25">
      <c r="A116" s="18">
        <v>62</v>
      </c>
      <c r="B116" s="18">
        <v>4.1399999999999998E-4</v>
      </c>
    </row>
    <row r="117" spans="1:2" x14ac:dyDescent="0.25">
      <c r="A117" s="18">
        <v>62.5</v>
      </c>
      <c r="B117" s="18">
        <v>4.06E-4</v>
      </c>
    </row>
    <row r="118" spans="1:2" x14ac:dyDescent="0.25">
      <c r="A118" s="18">
        <v>63</v>
      </c>
      <c r="B118" s="18">
        <v>3.9800000000000002E-4</v>
      </c>
    </row>
    <row r="119" spans="1:2" x14ac:dyDescent="0.25">
      <c r="A119" s="18">
        <v>63.5</v>
      </c>
      <c r="B119" s="18">
        <v>3.8999999999999999E-4</v>
      </c>
    </row>
    <row r="120" spans="1:2" x14ac:dyDescent="0.25">
      <c r="A120" s="18">
        <v>64</v>
      </c>
      <c r="B120" s="18">
        <v>3.8900000000000002E-4</v>
      </c>
    </row>
    <row r="121" spans="1:2" x14ac:dyDescent="0.25">
      <c r="A121" s="18">
        <v>64.5</v>
      </c>
      <c r="B121" s="18">
        <v>3.8299999999999999E-4</v>
      </c>
    </row>
    <row r="122" spans="1:2" x14ac:dyDescent="0.25">
      <c r="A122" s="18">
        <v>65</v>
      </c>
      <c r="B122" s="18">
        <v>3.7500000000000001E-4</v>
      </c>
    </row>
    <row r="123" spans="1:2" x14ac:dyDescent="0.25">
      <c r="A123" s="18">
        <v>65.5</v>
      </c>
      <c r="B123" s="18">
        <v>3.7599999999999998E-4</v>
      </c>
    </row>
    <row r="124" spans="1:2" x14ac:dyDescent="0.25">
      <c r="A124" s="18">
        <v>66</v>
      </c>
      <c r="B124" s="18">
        <v>3.7199999999999999E-4</v>
      </c>
    </row>
    <row r="125" spans="1:2" x14ac:dyDescent="0.25">
      <c r="A125" s="18">
        <v>66.5</v>
      </c>
      <c r="B125" s="18">
        <v>4.2299999999999998E-4</v>
      </c>
    </row>
    <row r="126" spans="1:2" x14ac:dyDescent="0.25">
      <c r="A126" s="18">
        <v>67</v>
      </c>
      <c r="B126" s="18">
        <v>1.0399999999999999E-3</v>
      </c>
    </row>
    <row r="127" spans="1:2" x14ac:dyDescent="0.25">
      <c r="A127" s="18">
        <v>67.5</v>
      </c>
      <c r="B127" s="18">
        <v>7.36E-4</v>
      </c>
    </row>
    <row r="128" spans="1:2" x14ac:dyDescent="0.25">
      <c r="A128" s="18">
        <v>68</v>
      </c>
      <c r="B128" s="18">
        <v>3.5E-4</v>
      </c>
    </row>
    <row r="129" spans="1:2" x14ac:dyDescent="0.25">
      <c r="A129" s="18">
        <v>68.5</v>
      </c>
      <c r="B129" s="18">
        <v>3.6000000000000002E-4</v>
      </c>
    </row>
    <row r="130" spans="1:2" x14ac:dyDescent="0.25">
      <c r="A130" s="18">
        <v>69</v>
      </c>
      <c r="B130" s="18">
        <v>5.5199999999999997E-4</v>
      </c>
    </row>
    <row r="131" spans="1:2" x14ac:dyDescent="0.25">
      <c r="A131" s="18">
        <v>69.5</v>
      </c>
      <c r="B131" s="18">
        <v>3.8699999999999997E-4</v>
      </c>
    </row>
    <row r="132" spans="1:2" x14ac:dyDescent="0.25">
      <c r="A132" s="18">
        <v>70</v>
      </c>
      <c r="B132" s="18">
        <v>2.8800000000000001E-4</v>
      </c>
    </row>
    <row r="133" spans="1:2" x14ac:dyDescent="0.25">
      <c r="A133" s="18">
        <v>70.5</v>
      </c>
      <c r="B133" s="18">
        <v>2.8600000000000001E-4</v>
      </c>
    </row>
    <row r="134" spans="1:2" x14ac:dyDescent="0.25">
      <c r="A134" s="18">
        <v>71</v>
      </c>
      <c r="B134" s="18">
        <v>2.81E-4</v>
      </c>
    </row>
    <row r="135" spans="1:2" x14ac:dyDescent="0.25">
      <c r="A135" s="18">
        <v>71.5</v>
      </c>
      <c r="B135" s="18">
        <v>2.7700000000000001E-4</v>
      </c>
    </row>
    <row r="136" spans="1:2" x14ac:dyDescent="0.25">
      <c r="A136" s="18">
        <v>72</v>
      </c>
      <c r="B136" s="18">
        <v>2.7999999999999998E-4</v>
      </c>
    </row>
    <row r="137" spans="1:2" x14ac:dyDescent="0.25">
      <c r="A137" s="18">
        <v>72.5</v>
      </c>
      <c r="B137" s="18">
        <v>2.72E-4</v>
      </c>
    </row>
    <row r="138" spans="1:2" x14ac:dyDescent="0.25">
      <c r="A138" s="18">
        <v>73</v>
      </c>
      <c r="B138" s="18">
        <v>2.6499999999999999E-4</v>
      </c>
    </row>
    <row r="139" spans="1:2" x14ac:dyDescent="0.25">
      <c r="A139" s="18">
        <v>73.5</v>
      </c>
      <c r="B139" s="18">
        <v>2.5900000000000001E-4</v>
      </c>
    </row>
    <row r="140" spans="1:2" x14ac:dyDescent="0.25">
      <c r="A140" s="18">
        <v>74</v>
      </c>
      <c r="B140" s="18">
        <v>2.5999999999999998E-4</v>
      </c>
    </row>
    <row r="141" spans="1:2" x14ac:dyDescent="0.25">
      <c r="A141" s="18">
        <v>74.5</v>
      </c>
      <c r="B141" s="18">
        <v>2.5799999999999998E-4</v>
      </c>
    </row>
    <row r="142" spans="1:2" x14ac:dyDescent="0.25">
      <c r="A142" s="18">
        <v>75</v>
      </c>
      <c r="B142" s="18">
        <v>2.5500000000000002E-4</v>
      </c>
    </row>
    <row r="143" spans="1:2" x14ac:dyDescent="0.25">
      <c r="A143" s="18">
        <v>75.5</v>
      </c>
      <c r="B143" s="18">
        <v>2.4699999999999999E-4</v>
      </c>
    </row>
    <row r="144" spans="1:2" x14ac:dyDescent="0.25">
      <c r="A144" s="18">
        <v>76</v>
      </c>
      <c r="B144" s="18">
        <v>2.5000000000000001E-4</v>
      </c>
    </row>
    <row r="145" spans="1:2" x14ac:dyDescent="0.25">
      <c r="A145" s="18">
        <v>76.5</v>
      </c>
      <c r="B145" s="18">
        <v>2.4899999999999998E-4</v>
      </c>
    </row>
    <row r="146" spans="1:2" x14ac:dyDescent="0.25">
      <c r="A146" s="18">
        <v>77</v>
      </c>
      <c r="B146" s="18">
        <v>2.42E-4</v>
      </c>
    </row>
    <row r="147" spans="1:2" x14ac:dyDescent="0.25">
      <c r="A147" s="18">
        <v>77.5</v>
      </c>
      <c r="B147" s="18">
        <v>2.3499999999999999E-4</v>
      </c>
    </row>
    <row r="148" spans="1:2" x14ac:dyDescent="0.25">
      <c r="A148" s="18">
        <v>78</v>
      </c>
      <c r="B148" s="18">
        <v>2.3699999999999999E-4</v>
      </c>
    </row>
    <row r="149" spans="1:2" x14ac:dyDescent="0.25">
      <c r="A149" s="18">
        <v>78.5</v>
      </c>
      <c r="B149" s="18">
        <v>2.31E-4</v>
      </c>
    </row>
    <row r="150" spans="1:2" x14ac:dyDescent="0.25">
      <c r="A150" s="18">
        <v>79</v>
      </c>
      <c r="B150" s="18">
        <v>2.2699999999999999E-4</v>
      </c>
    </row>
    <row r="151" spans="1:2" x14ac:dyDescent="0.25">
      <c r="A151" s="18">
        <v>79.5</v>
      </c>
      <c r="B151" s="18">
        <v>2.23E-4</v>
      </c>
    </row>
    <row r="152" spans="1:2" x14ac:dyDescent="0.25">
      <c r="A152" s="18">
        <v>80</v>
      </c>
      <c r="B152" s="18">
        <v>2.2100000000000001E-4</v>
      </c>
    </row>
    <row r="153" spans="1:2" x14ac:dyDescent="0.25">
      <c r="A153" s="18">
        <v>80.5</v>
      </c>
      <c r="B153" s="18">
        <v>2.1900000000000001E-4</v>
      </c>
    </row>
    <row r="154" spans="1:2" x14ac:dyDescent="0.25">
      <c r="A154" s="18">
        <v>81</v>
      </c>
      <c r="B154" s="18">
        <v>2.1800000000000001E-4</v>
      </c>
    </row>
    <row r="155" spans="1:2" x14ac:dyDescent="0.25">
      <c r="A155" s="18">
        <v>81.5</v>
      </c>
      <c r="B155" s="18">
        <v>2.14E-4</v>
      </c>
    </row>
    <row r="156" spans="1:2" x14ac:dyDescent="0.25">
      <c r="A156" s="18">
        <v>82</v>
      </c>
      <c r="B156" s="18">
        <v>2.1499999999999999E-4</v>
      </c>
    </row>
    <row r="157" spans="1:2" x14ac:dyDescent="0.25">
      <c r="A157" s="18">
        <v>82.5</v>
      </c>
      <c r="B157" s="18">
        <v>2.0799999999999999E-4</v>
      </c>
    </row>
    <row r="158" spans="1:2" x14ac:dyDescent="0.25">
      <c r="A158" s="18">
        <v>83</v>
      </c>
      <c r="B158" s="18">
        <v>2.0900000000000001E-4</v>
      </c>
    </row>
    <row r="159" spans="1:2" x14ac:dyDescent="0.25">
      <c r="A159" s="18">
        <v>83.5</v>
      </c>
      <c r="B159" s="18">
        <v>2.05E-4</v>
      </c>
    </row>
    <row r="160" spans="1:2" x14ac:dyDescent="0.25">
      <c r="A160" s="18">
        <v>84</v>
      </c>
      <c r="B160" s="18">
        <v>2.02E-4</v>
      </c>
    </row>
    <row r="161" spans="1:2" x14ac:dyDescent="0.25">
      <c r="A161" s="18">
        <v>84.5</v>
      </c>
      <c r="B161" s="18">
        <v>2.0100000000000001E-4</v>
      </c>
    </row>
    <row r="162" spans="1:2" x14ac:dyDescent="0.25">
      <c r="A162" s="18">
        <v>85</v>
      </c>
      <c r="B162" s="18">
        <v>2.0100000000000001E-4</v>
      </c>
    </row>
    <row r="163" spans="1:2" x14ac:dyDescent="0.25">
      <c r="A163" s="18">
        <v>85.5</v>
      </c>
      <c r="B163" s="18">
        <v>1.9599999999999999E-4</v>
      </c>
    </row>
    <row r="164" spans="1:2" x14ac:dyDescent="0.25">
      <c r="A164" s="18">
        <v>86</v>
      </c>
      <c r="B164" s="18">
        <v>1.9599999999999999E-4</v>
      </c>
    </row>
    <row r="165" spans="1:2" x14ac:dyDescent="0.25">
      <c r="A165" s="18">
        <v>86.5</v>
      </c>
      <c r="B165" s="18">
        <v>1.8900000000000001E-4</v>
      </c>
    </row>
    <row r="166" spans="1:2" x14ac:dyDescent="0.25">
      <c r="A166" s="18">
        <v>87</v>
      </c>
      <c r="B166" s="18">
        <v>1.8599999999999999E-4</v>
      </c>
    </row>
    <row r="167" spans="1:2" x14ac:dyDescent="0.25">
      <c r="A167" s="18">
        <v>87.5</v>
      </c>
      <c r="B167" s="18">
        <v>1.8900000000000001E-4</v>
      </c>
    </row>
    <row r="168" spans="1:2" x14ac:dyDescent="0.25">
      <c r="A168" s="18">
        <v>88</v>
      </c>
      <c r="B168" s="18">
        <v>1.8699999999999999E-4</v>
      </c>
    </row>
    <row r="169" spans="1:2" x14ac:dyDescent="0.25">
      <c r="A169" s="18">
        <v>88.5</v>
      </c>
      <c r="B169" s="18">
        <v>1.8200000000000001E-4</v>
      </c>
    </row>
    <row r="170" spans="1:2" x14ac:dyDescent="0.25">
      <c r="A170" s="18">
        <v>89</v>
      </c>
      <c r="B170" s="18">
        <v>1.75E-4</v>
      </c>
    </row>
    <row r="171" spans="1:2" x14ac:dyDescent="0.25">
      <c r="A171" s="18">
        <v>89.5</v>
      </c>
      <c r="B171" s="18">
        <v>1.75E-4</v>
      </c>
    </row>
    <row r="172" spans="1:2" x14ac:dyDescent="0.25">
      <c r="A172" s="18">
        <v>90</v>
      </c>
      <c r="B172" s="18">
        <v>1.7200000000000001E-4</v>
      </c>
    </row>
    <row r="173" spans="1:2" x14ac:dyDescent="0.25">
      <c r="A173" s="18">
        <v>90.5</v>
      </c>
      <c r="B173" s="18">
        <v>1.6899999999999999E-4</v>
      </c>
    </row>
    <row r="174" spans="1:2" x14ac:dyDescent="0.25">
      <c r="A174" s="18">
        <v>91</v>
      </c>
      <c r="B174" s="18">
        <v>1.6699999999999999E-4</v>
      </c>
    </row>
    <row r="175" spans="1:2" x14ac:dyDescent="0.25">
      <c r="A175" s="18">
        <v>91.5</v>
      </c>
      <c r="B175" s="18">
        <v>1.6899999999999999E-4</v>
      </c>
    </row>
    <row r="176" spans="1:2" x14ac:dyDescent="0.25">
      <c r="A176" s="18">
        <v>92</v>
      </c>
      <c r="B176" s="18">
        <v>1.6200000000000001E-4</v>
      </c>
    </row>
    <row r="177" spans="1:2" x14ac:dyDescent="0.25">
      <c r="A177" s="18">
        <v>92.5</v>
      </c>
      <c r="B177" s="18">
        <v>1.6000000000000001E-4</v>
      </c>
    </row>
    <row r="178" spans="1:2" x14ac:dyDescent="0.25">
      <c r="A178" s="18">
        <v>93</v>
      </c>
      <c r="B178" s="18">
        <v>1.56E-4</v>
      </c>
    </row>
    <row r="179" spans="1:2" x14ac:dyDescent="0.25">
      <c r="A179" s="18">
        <v>93.5</v>
      </c>
      <c r="B179" s="18">
        <v>1.5699999999999999E-4</v>
      </c>
    </row>
    <row r="180" spans="1:2" x14ac:dyDescent="0.25">
      <c r="A180" s="18">
        <v>94</v>
      </c>
      <c r="B180" s="18">
        <v>1.4799999999999999E-4</v>
      </c>
    </row>
    <row r="181" spans="1:2" x14ac:dyDescent="0.25">
      <c r="A181" s="18">
        <v>94.5</v>
      </c>
      <c r="B181" s="18">
        <v>1.45E-4</v>
      </c>
    </row>
    <row r="182" spans="1:2" x14ac:dyDescent="0.25">
      <c r="A182" s="18">
        <v>95</v>
      </c>
      <c r="B182" s="18">
        <v>1.46E-4</v>
      </c>
    </row>
    <row r="183" spans="1:2" x14ac:dyDescent="0.25">
      <c r="A183" s="18">
        <v>95.5</v>
      </c>
      <c r="B183" s="18">
        <v>1.44E-4</v>
      </c>
    </row>
    <row r="184" spans="1:2" x14ac:dyDescent="0.25">
      <c r="A184" s="18">
        <v>96</v>
      </c>
      <c r="B184" s="18">
        <v>1.4300000000000001E-4</v>
      </c>
    </row>
    <row r="185" spans="1:2" x14ac:dyDescent="0.25">
      <c r="A185" s="18">
        <v>96.5</v>
      </c>
      <c r="B185" s="18">
        <v>1.4100000000000001E-4</v>
      </c>
    </row>
    <row r="186" spans="1:2" x14ac:dyDescent="0.25">
      <c r="A186" s="18">
        <v>97</v>
      </c>
      <c r="B186" s="18">
        <v>1.3799999999999999E-4</v>
      </c>
    </row>
    <row r="187" spans="1:2" x14ac:dyDescent="0.25">
      <c r="A187" s="18">
        <v>97.5</v>
      </c>
      <c r="B187" s="18">
        <v>1.3799999999999999E-4</v>
      </c>
    </row>
    <row r="188" spans="1:2" x14ac:dyDescent="0.25">
      <c r="A188" s="18">
        <v>98</v>
      </c>
      <c r="B188" s="18">
        <v>1.3300000000000001E-4</v>
      </c>
    </row>
    <row r="189" spans="1:2" x14ac:dyDescent="0.25">
      <c r="A189" s="18">
        <v>98.5</v>
      </c>
      <c r="B189" s="18">
        <v>1.2999999999999999E-4</v>
      </c>
    </row>
    <row r="190" spans="1:2" x14ac:dyDescent="0.25">
      <c r="A190" s="18">
        <v>99</v>
      </c>
      <c r="B190" s="18">
        <v>1.3100000000000001E-4</v>
      </c>
    </row>
    <row r="191" spans="1:2" x14ac:dyDescent="0.25">
      <c r="A191" s="18">
        <v>99.5</v>
      </c>
      <c r="B191" s="18">
        <v>1.1900000000000001E-4</v>
      </c>
    </row>
    <row r="192" spans="1:2" x14ac:dyDescent="0.25">
      <c r="A192" s="18">
        <v>100</v>
      </c>
      <c r="B192" s="18">
        <v>1.2400000000000001E-4</v>
      </c>
    </row>
    <row r="193" spans="1:2" x14ac:dyDescent="0.25">
      <c r="A193" s="18">
        <v>101</v>
      </c>
      <c r="B193" s="18">
        <v>1.18E-4</v>
      </c>
    </row>
    <row r="194" spans="1:2" x14ac:dyDescent="0.25">
      <c r="A194" s="18">
        <v>101</v>
      </c>
      <c r="B194" s="18">
        <v>1.16E-4</v>
      </c>
    </row>
    <row r="195" spans="1:2" x14ac:dyDescent="0.25">
      <c r="A195" s="18">
        <v>102</v>
      </c>
      <c r="B195" s="18">
        <v>1.1400000000000001E-4</v>
      </c>
    </row>
    <row r="196" spans="1:2" x14ac:dyDescent="0.25">
      <c r="A196" s="18">
        <v>102</v>
      </c>
      <c r="B196" s="18">
        <v>1.16E-4</v>
      </c>
    </row>
    <row r="197" spans="1:2" x14ac:dyDescent="0.25">
      <c r="A197" s="18">
        <v>103</v>
      </c>
      <c r="B197" s="18">
        <v>1.11E-4</v>
      </c>
    </row>
    <row r="198" spans="1:2" x14ac:dyDescent="0.25">
      <c r="A198" s="18">
        <v>103</v>
      </c>
      <c r="B198" s="18">
        <v>1.06E-4</v>
      </c>
    </row>
    <row r="199" spans="1:2" x14ac:dyDescent="0.25">
      <c r="A199" s="18">
        <v>104</v>
      </c>
      <c r="B199" s="18">
        <v>1.05E-4</v>
      </c>
    </row>
    <row r="200" spans="1:2" x14ac:dyDescent="0.25">
      <c r="A200" s="18">
        <v>104</v>
      </c>
      <c r="B200" s="18">
        <v>1.0399999999999999E-4</v>
      </c>
    </row>
    <row r="201" spans="1:2" x14ac:dyDescent="0.25">
      <c r="A201" s="18">
        <v>105</v>
      </c>
      <c r="B201" s="18">
        <v>9.7100000000000002E-5</v>
      </c>
    </row>
    <row r="202" spans="1:2" x14ac:dyDescent="0.25">
      <c r="A202" s="18">
        <v>105</v>
      </c>
      <c r="B202" s="18">
        <v>9.7999999999999997E-5</v>
      </c>
    </row>
    <row r="203" spans="1:2" x14ac:dyDescent="0.25">
      <c r="A203" s="18">
        <v>106</v>
      </c>
      <c r="B203" s="18">
        <v>9.6399999999999999E-5</v>
      </c>
    </row>
    <row r="204" spans="1:2" x14ac:dyDescent="0.25">
      <c r="A204" s="18">
        <v>106</v>
      </c>
      <c r="B204" s="18">
        <v>9.4199999999999999E-5</v>
      </c>
    </row>
    <row r="205" spans="1:2" x14ac:dyDescent="0.25">
      <c r="A205" s="18">
        <v>107</v>
      </c>
      <c r="B205" s="18">
        <v>8.6899999999999998E-5</v>
      </c>
    </row>
    <row r="206" spans="1:2" x14ac:dyDescent="0.25">
      <c r="A206" s="18">
        <v>107</v>
      </c>
      <c r="B206" s="18">
        <v>8.7100000000000003E-5</v>
      </c>
    </row>
    <row r="207" spans="1:2" x14ac:dyDescent="0.25">
      <c r="A207" s="18">
        <v>108</v>
      </c>
      <c r="B207" s="18">
        <v>8.3800000000000004E-5</v>
      </c>
    </row>
    <row r="208" spans="1:2" x14ac:dyDescent="0.25">
      <c r="A208" s="18">
        <v>108</v>
      </c>
      <c r="B208" s="18">
        <v>7.8499999999999997E-5</v>
      </c>
    </row>
    <row r="209" spans="1:2" x14ac:dyDescent="0.25">
      <c r="A209" s="18">
        <v>109</v>
      </c>
      <c r="B209" s="18">
        <v>7.9300000000000003E-5</v>
      </c>
    </row>
    <row r="210" spans="1:2" x14ac:dyDescent="0.25">
      <c r="A210" s="18">
        <v>109</v>
      </c>
      <c r="B210" s="18">
        <v>7.4200000000000001E-5</v>
      </c>
    </row>
    <row r="211" spans="1:2" x14ac:dyDescent="0.25">
      <c r="A211" s="18">
        <v>110</v>
      </c>
      <c r="B211" s="18">
        <v>7.2999999999999999E-5</v>
      </c>
    </row>
    <row r="212" spans="1:2" x14ac:dyDescent="0.25">
      <c r="A212" s="18">
        <v>110</v>
      </c>
      <c r="B212" s="18">
        <v>7.1899999999999999E-5</v>
      </c>
    </row>
    <row r="213" spans="1:2" x14ac:dyDescent="0.25">
      <c r="A213" s="18">
        <v>111</v>
      </c>
      <c r="B213" s="18">
        <v>6.5099999999999997E-5</v>
      </c>
    </row>
    <row r="214" spans="1:2" x14ac:dyDescent="0.25">
      <c r="A214" s="18">
        <v>111</v>
      </c>
      <c r="B214" s="18">
        <v>6.2899999999999997E-5</v>
      </c>
    </row>
    <row r="215" spans="1:2" x14ac:dyDescent="0.25">
      <c r="A215" s="18">
        <v>112</v>
      </c>
      <c r="B215" s="18">
        <v>6.02E-5</v>
      </c>
    </row>
    <row r="216" spans="1:2" x14ac:dyDescent="0.25">
      <c r="A216" s="18">
        <v>112</v>
      </c>
      <c r="B216" s="18">
        <v>5.7500000000000002E-5</v>
      </c>
    </row>
    <row r="217" spans="1:2" x14ac:dyDescent="0.25">
      <c r="A217" s="18">
        <v>113</v>
      </c>
      <c r="B217" s="18">
        <v>5.5899999999999997E-5</v>
      </c>
    </row>
    <row r="218" spans="1:2" x14ac:dyDescent="0.25">
      <c r="A218" s="18">
        <v>113</v>
      </c>
      <c r="B218" s="18">
        <v>5.1499999999999998E-5</v>
      </c>
    </row>
    <row r="219" spans="1:2" x14ac:dyDescent="0.25">
      <c r="A219" s="18">
        <v>114</v>
      </c>
      <c r="B219" s="18">
        <v>4.7800000000000003E-5</v>
      </c>
    </row>
    <row r="220" spans="1:2" x14ac:dyDescent="0.25">
      <c r="A220" s="18">
        <v>114</v>
      </c>
      <c r="B220" s="18">
        <v>4.8199999999999999E-5</v>
      </c>
    </row>
    <row r="221" spans="1:2" x14ac:dyDescent="0.25">
      <c r="A221" s="18">
        <v>115</v>
      </c>
      <c r="B221" s="18">
        <v>4.4299999999999999E-5</v>
      </c>
    </row>
    <row r="222" spans="1:2" x14ac:dyDescent="0.25">
      <c r="A222" s="18">
        <v>115</v>
      </c>
      <c r="B222" s="18">
        <v>3.9700000000000003E-5</v>
      </c>
    </row>
    <row r="223" spans="1:2" x14ac:dyDescent="0.25">
      <c r="A223" s="18">
        <v>116</v>
      </c>
      <c r="B223" s="18">
        <v>3.6699999999999998E-5</v>
      </c>
    </row>
    <row r="224" spans="1:2" x14ac:dyDescent="0.25">
      <c r="A224" s="18">
        <v>116</v>
      </c>
      <c r="B224" s="18">
        <v>3.2299999999999999E-5</v>
      </c>
    </row>
    <row r="225" spans="1:2" x14ac:dyDescent="0.25">
      <c r="A225" s="18">
        <v>117</v>
      </c>
      <c r="B225" s="18">
        <v>2.9499999999999999E-5</v>
      </c>
    </row>
    <row r="226" spans="1:2" x14ac:dyDescent="0.25">
      <c r="A226" s="18">
        <v>117</v>
      </c>
      <c r="B226" s="18">
        <v>2.4899999999999999E-5</v>
      </c>
    </row>
    <row r="227" spans="1:2" x14ac:dyDescent="0.25">
      <c r="A227" s="18">
        <v>118</v>
      </c>
      <c r="B227" s="18">
        <v>2.0699999999999998E-5</v>
      </c>
    </row>
    <row r="228" spans="1:2" x14ac:dyDescent="0.25">
      <c r="A228" s="18">
        <v>118</v>
      </c>
      <c r="B228" s="18">
        <v>1.6900000000000001E-5</v>
      </c>
    </row>
    <row r="229" spans="1:2" x14ac:dyDescent="0.25">
      <c r="A229" s="18">
        <v>119</v>
      </c>
      <c r="B229" s="18">
        <v>1.3499999999999999E-5</v>
      </c>
    </row>
    <row r="230" spans="1:2" x14ac:dyDescent="0.25">
      <c r="A230" s="18">
        <v>119</v>
      </c>
      <c r="B230" s="18">
        <v>1.0200000000000001E-5</v>
      </c>
    </row>
    <row r="231" spans="1:2" x14ac:dyDescent="0.25">
      <c r="A231" s="18">
        <v>120</v>
      </c>
      <c r="B231" s="18">
        <v>6.1099999999999999E-6</v>
      </c>
    </row>
    <row r="232" spans="1:2" x14ac:dyDescent="0.25">
      <c r="A232" s="18">
        <v>120</v>
      </c>
      <c r="B232" s="18">
        <v>1.9599999999999999E-6</v>
      </c>
    </row>
    <row r="233" spans="1:2" x14ac:dyDescent="0.25">
      <c r="A233" s="18">
        <v>121</v>
      </c>
      <c r="B233" s="18">
        <v>1.8099999999999999E-7</v>
      </c>
    </row>
    <row r="234" spans="1:2" x14ac:dyDescent="0.25">
      <c r="A234" s="18">
        <v>121</v>
      </c>
      <c r="B234" s="18">
        <v>1.3799999999999999E-8</v>
      </c>
    </row>
    <row r="235" spans="1:2" x14ac:dyDescent="0.25">
      <c r="A235" s="18">
        <v>122</v>
      </c>
      <c r="B235" s="18">
        <v>2.6100000000000002E-7</v>
      </c>
    </row>
    <row r="236" spans="1:2" x14ac:dyDescent="0.25">
      <c r="A236" s="18">
        <v>122</v>
      </c>
      <c r="B236" s="18">
        <v>9.9400000000000003E-8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dimension ref="A1:B172"/>
  <sheetViews>
    <sheetView workbookViewId="0">
      <selection sqref="A1:B1"/>
    </sheetView>
  </sheetViews>
  <sheetFormatPr defaultRowHeight="15" x14ac:dyDescent="0.25"/>
  <cols>
    <col min="1" max="1" width="14.85546875" customWidth="1"/>
    <col min="2" max="2" width="18.1406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2.5099999999999998E-4</v>
      </c>
    </row>
    <row r="3" spans="1:2" x14ac:dyDescent="0.25">
      <c r="A3" s="18">
        <v>8.1999999999999993</v>
      </c>
      <c r="B3" s="18">
        <v>4.9100000000000001E-4</v>
      </c>
    </row>
    <row r="4" spans="1:2" x14ac:dyDescent="0.25">
      <c r="A4" s="18">
        <v>8.4</v>
      </c>
      <c r="B4" s="18">
        <v>6.5099999999999997E-5</v>
      </c>
    </row>
    <row r="5" spans="1:2" x14ac:dyDescent="0.25">
      <c r="A5" s="18">
        <v>8.6</v>
      </c>
      <c r="B5" s="18">
        <v>2.3800000000000001E-4</v>
      </c>
    </row>
    <row r="6" spans="1:2" x14ac:dyDescent="0.25">
      <c r="A6" s="18">
        <v>8.8000000000000007</v>
      </c>
      <c r="B6" s="18">
        <v>6.0300000000000002E-4</v>
      </c>
    </row>
    <row r="7" spans="1:2" x14ac:dyDescent="0.25">
      <c r="A7" s="18">
        <v>9</v>
      </c>
      <c r="B7" s="18">
        <v>1.64E-4</v>
      </c>
    </row>
    <row r="8" spans="1:2" x14ac:dyDescent="0.25">
      <c r="A8" s="18">
        <v>9.1999999999999993</v>
      </c>
      <c r="B8" s="18">
        <v>3.77E-4</v>
      </c>
    </row>
    <row r="9" spans="1:2" x14ac:dyDescent="0.25">
      <c r="A9" s="18">
        <v>9.4</v>
      </c>
      <c r="B9" s="18">
        <v>2.48E-5</v>
      </c>
    </row>
    <row r="10" spans="1:2" x14ac:dyDescent="0.25">
      <c r="A10" s="18">
        <v>9.6</v>
      </c>
      <c r="B10" s="18">
        <v>2.6699999999999998E-4</v>
      </c>
    </row>
    <row r="11" spans="1:2" x14ac:dyDescent="0.25">
      <c r="A11" s="18">
        <v>9.8000000000000007</v>
      </c>
      <c r="B11" s="18">
        <v>1.8000000000000001E-4</v>
      </c>
    </row>
    <row r="12" spans="1:2" x14ac:dyDescent="0.25">
      <c r="A12" s="18">
        <v>10</v>
      </c>
      <c r="B12" s="18">
        <v>4.8099999999999998E-4</v>
      </c>
    </row>
    <row r="13" spans="1:2" x14ac:dyDescent="0.25">
      <c r="A13" s="18">
        <v>10.199999999999999</v>
      </c>
      <c r="B13" s="18">
        <v>4.08E-4</v>
      </c>
    </row>
    <row r="14" spans="1:2" x14ac:dyDescent="0.25">
      <c r="A14" s="18">
        <v>10.4</v>
      </c>
      <c r="B14" s="18">
        <v>1.24E-6</v>
      </c>
    </row>
    <row r="15" spans="1:2" x14ac:dyDescent="0.25">
      <c r="A15" s="18">
        <v>10.6</v>
      </c>
      <c r="B15" s="18">
        <v>4.4200000000000001E-4</v>
      </c>
    </row>
    <row r="16" spans="1:2" x14ac:dyDescent="0.25">
      <c r="A16" s="18">
        <v>10.8</v>
      </c>
      <c r="B16" s="18">
        <v>3.5E-4</v>
      </c>
    </row>
    <row r="17" spans="1:2" x14ac:dyDescent="0.25">
      <c r="A17" s="18">
        <v>11</v>
      </c>
      <c r="B17" s="18">
        <v>2.5099999999999998E-4</v>
      </c>
    </row>
    <row r="18" spans="1:2" x14ac:dyDescent="0.25">
      <c r="A18" s="18">
        <v>11.2</v>
      </c>
      <c r="B18" s="18">
        <v>5.62E-4</v>
      </c>
    </row>
    <row r="19" spans="1:2" x14ac:dyDescent="0.25">
      <c r="A19" s="18">
        <v>11.4</v>
      </c>
      <c r="B19" s="18">
        <v>1.8799999999999999E-4</v>
      </c>
    </row>
    <row r="20" spans="1:2" x14ac:dyDescent="0.25">
      <c r="A20" s="18">
        <v>11.6</v>
      </c>
      <c r="B20" s="18">
        <v>5.6700000000000003E-5</v>
      </c>
    </row>
    <row r="21" spans="1:2" x14ac:dyDescent="0.25">
      <c r="A21" s="18">
        <v>11.8</v>
      </c>
      <c r="B21" s="18">
        <v>5.3200000000000003E-4</v>
      </c>
    </row>
    <row r="22" spans="1:2" x14ac:dyDescent="0.25">
      <c r="A22" s="18">
        <v>12</v>
      </c>
      <c r="B22" s="18">
        <v>3.1500000000000001E-4</v>
      </c>
    </row>
    <row r="23" spans="1:2" x14ac:dyDescent="0.25">
      <c r="A23" s="18">
        <v>12.2</v>
      </c>
      <c r="B23" s="18">
        <v>3.8900000000000002E-4</v>
      </c>
    </row>
    <row r="24" spans="1:2" x14ac:dyDescent="0.25">
      <c r="A24" s="18">
        <v>12.4</v>
      </c>
      <c r="B24" s="18">
        <v>4.0099999999999999E-5</v>
      </c>
    </row>
    <row r="25" spans="1:2" x14ac:dyDescent="0.25">
      <c r="A25" s="18">
        <v>12.6</v>
      </c>
      <c r="B25" s="18">
        <v>3.9399999999999998E-4</v>
      </c>
    </row>
    <row r="26" spans="1:2" x14ac:dyDescent="0.25">
      <c r="A26" s="18">
        <v>12.8</v>
      </c>
      <c r="B26" s="18">
        <v>2.8299999999999999E-4</v>
      </c>
    </row>
    <row r="27" spans="1:2" x14ac:dyDescent="0.25">
      <c r="A27" s="18">
        <v>13</v>
      </c>
      <c r="B27" s="18">
        <v>3.7800000000000003E-4</v>
      </c>
    </row>
    <row r="28" spans="1:2" x14ac:dyDescent="0.25">
      <c r="A28" s="18">
        <v>13.2</v>
      </c>
      <c r="B28" s="18">
        <v>3.5399999999999999E-4</v>
      </c>
    </row>
    <row r="29" spans="1:2" x14ac:dyDescent="0.25">
      <c r="A29" s="18">
        <v>13.4</v>
      </c>
      <c r="B29" s="18">
        <v>4.2400000000000001E-4</v>
      </c>
    </row>
    <row r="30" spans="1:2" x14ac:dyDescent="0.25">
      <c r="A30" s="18">
        <v>13.6</v>
      </c>
      <c r="B30" s="18">
        <v>2.4899999999999998E-4</v>
      </c>
    </row>
    <row r="31" spans="1:2" x14ac:dyDescent="0.25">
      <c r="A31" s="18">
        <v>13.8</v>
      </c>
      <c r="B31" s="18">
        <v>5.13E-4</v>
      </c>
    </row>
    <row r="32" spans="1:2" x14ac:dyDescent="0.25">
      <c r="A32" s="18">
        <v>14</v>
      </c>
      <c r="B32" s="18">
        <v>5.2400000000000005E-4</v>
      </c>
    </row>
    <row r="33" spans="1:2" x14ac:dyDescent="0.25">
      <c r="A33" s="18">
        <v>14.2</v>
      </c>
      <c r="B33" s="18">
        <v>6.4300000000000002E-4</v>
      </c>
    </row>
    <row r="34" spans="1:2" x14ac:dyDescent="0.25">
      <c r="A34" s="18">
        <v>14.4</v>
      </c>
      <c r="B34" s="18">
        <v>7.6199999999999998E-4</v>
      </c>
    </row>
    <row r="35" spans="1:2" x14ac:dyDescent="0.25">
      <c r="A35" s="18">
        <v>14.6</v>
      </c>
      <c r="B35" s="18">
        <v>8.6899999999999998E-4</v>
      </c>
    </row>
    <row r="36" spans="1:2" x14ac:dyDescent="0.25">
      <c r="A36" s="18">
        <v>14.8</v>
      </c>
      <c r="B36" s="18">
        <v>1.1000000000000001E-3</v>
      </c>
    </row>
    <row r="37" spans="1:2" x14ac:dyDescent="0.25">
      <c r="A37" s="18">
        <v>15</v>
      </c>
      <c r="B37" s="18">
        <v>1.24E-3</v>
      </c>
    </row>
    <row r="38" spans="1:2" x14ac:dyDescent="0.25">
      <c r="A38" s="18">
        <v>15.2</v>
      </c>
      <c r="B38" s="18">
        <v>1.4300000000000001E-3</v>
      </c>
    </row>
    <row r="39" spans="1:2" x14ac:dyDescent="0.25">
      <c r="A39" s="18">
        <v>15.4</v>
      </c>
      <c r="B39" s="18">
        <v>1.64E-3</v>
      </c>
    </row>
    <row r="40" spans="1:2" x14ac:dyDescent="0.25">
      <c r="A40" s="18">
        <v>15.6</v>
      </c>
      <c r="B40" s="18">
        <v>1.8799999999999999E-3</v>
      </c>
    </row>
    <row r="41" spans="1:2" x14ac:dyDescent="0.25">
      <c r="A41" s="18">
        <v>15.8</v>
      </c>
      <c r="B41" s="18">
        <v>2.0999999999999999E-3</v>
      </c>
    </row>
    <row r="42" spans="1:2" x14ac:dyDescent="0.25">
      <c r="A42" s="18">
        <v>16</v>
      </c>
      <c r="B42" s="18">
        <v>2.32E-3</v>
      </c>
    </row>
    <row r="43" spans="1:2" x14ac:dyDescent="0.25">
      <c r="A43" s="18">
        <v>16.2</v>
      </c>
      <c r="B43" s="18">
        <v>2.7499999999999998E-3</v>
      </c>
    </row>
    <row r="44" spans="1:2" x14ac:dyDescent="0.25">
      <c r="A44" s="18">
        <v>16.399999999999999</v>
      </c>
      <c r="B44" s="18">
        <v>3.0799999999999998E-3</v>
      </c>
    </row>
    <row r="45" spans="1:2" x14ac:dyDescent="0.25">
      <c r="A45" s="18">
        <v>16.600000000000001</v>
      </c>
      <c r="B45" s="18">
        <v>3.3600000000000001E-3</v>
      </c>
    </row>
    <row r="46" spans="1:2" x14ac:dyDescent="0.25">
      <c r="A46" s="18">
        <v>16.8</v>
      </c>
      <c r="B46" s="18">
        <v>3.7699999999999999E-3</v>
      </c>
    </row>
    <row r="47" spans="1:2" x14ac:dyDescent="0.25">
      <c r="A47" s="18">
        <v>17</v>
      </c>
      <c r="B47" s="18">
        <v>4.1200000000000004E-3</v>
      </c>
    </row>
    <row r="48" spans="1:2" x14ac:dyDescent="0.25">
      <c r="A48" s="18">
        <v>17.2</v>
      </c>
      <c r="B48" s="18">
        <v>4.5700000000000003E-3</v>
      </c>
    </row>
    <row r="49" spans="1:2" x14ac:dyDescent="0.25">
      <c r="A49" s="18">
        <v>17.399999999999999</v>
      </c>
      <c r="B49" s="18">
        <v>4.8900000000000002E-3</v>
      </c>
    </row>
    <row r="50" spans="1:2" x14ac:dyDescent="0.25">
      <c r="A50" s="18">
        <v>17.600000000000001</v>
      </c>
      <c r="B50" s="18">
        <v>5.3200000000000001E-3</v>
      </c>
    </row>
    <row r="51" spans="1:2" x14ac:dyDescent="0.25">
      <c r="A51" s="18">
        <v>17.8</v>
      </c>
      <c r="B51" s="18">
        <v>6.1000000000000004E-3</v>
      </c>
    </row>
    <row r="52" spans="1:2" x14ac:dyDescent="0.25">
      <c r="A52" s="18">
        <v>18</v>
      </c>
      <c r="B52" s="18">
        <v>5.8300000000000001E-3</v>
      </c>
    </row>
    <row r="53" spans="1:2" x14ac:dyDescent="0.25">
      <c r="A53" s="18">
        <v>18.2</v>
      </c>
      <c r="B53" s="18">
        <v>6.5700000000000003E-3</v>
      </c>
    </row>
    <row r="54" spans="1:2" x14ac:dyDescent="0.25">
      <c r="A54" s="18">
        <v>18.399999999999999</v>
      </c>
      <c r="B54" s="18">
        <v>7.0299999999999998E-3</v>
      </c>
    </row>
    <row r="55" spans="1:2" x14ac:dyDescent="0.25">
      <c r="A55" s="18">
        <v>18.600000000000001</v>
      </c>
      <c r="B55" s="18">
        <v>7.6099999999999996E-3</v>
      </c>
    </row>
    <row r="56" spans="1:2" x14ac:dyDescent="0.25">
      <c r="A56" s="18">
        <v>18.8</v>
      </c>
      <c r="B56" s="18">
        <v>7.6499999999999997E-3</v>
      </c>
    </row>
    <row r="57" spans="1:2" x14ac:dyDescent="0.25">
      <c r="A57" s="18">
        <v>19</v>
      </c>
      <c r="B57" s="18">
        <v>8.3300000000000006E-3</v>
      </c>
    </row>
    <row r="58" spans="1:2" x14ac:dyDescent="0.25">
      <c r="A58" s="18">
        <v>19.2</v>
      </c>
      <c r="B58" s="18">
        <v>8.6400000000000001E-3</v>
      </c>
    </row>
    <row r="59" spans="1:2" x14ac:dyDescent="0.25">
      <c r="A59" s="18">
        <v>19.399999999999999</v>
      </c>
      <c r="B59" s="18">
        <v>9.11E-3</v>
      </c>
    </row>
    <row r="60" spans="1:2" x14ac:dyDescent="0.25">
      <c r="A60" s="18">
        <v>19.600000000000001</v>
      </c>
      <c r="B60" s="18">
        <v>9.4599999999999997E-3</v>
      </c>
    </row>
    <row r="61" spans="1:2" x14ac:dyDescent="0.25">
      <c r="A61" s="18">
        <v>19.8</v>
      </c>
      <c r="B61" s="18">
        <v>9.8799999999999999E-3</v>
      </c>
    </row>
    <row r="62" spans="1:2" x14ac:dyDescent="0.25">
      <c r="A62" s="18">
        <v>20</v>
      </c>
      <c r="B62" s="18">
        <v>1.03E-2</v>
      </c>
    </row>
    <row r="63" spans="1:2" x14ac:dyDescent="0.25">
      <c r="A63" s="18">
        <v>20.2</v>
      </c>
      <c r="B63" s="18">
        <v>1.0500000000000001E-2</v>
      </c>
    </row>
    <row r="64" spans="1:2" x14ac:dyDescent="0.25">
      <c r="A64" s="18">
        <v>20.399999999999999</v>
      </c>
      <c r="B64" s="18">
        <v>1.0999999999999999E-2</v>
      </c>
    </row>
    <row r="65" spans="1:2" x14ac:dyDescent="0.25">
      <c r="A65" s="18">
        <v>20.6</v>
      </c>
      <c r="B65" s="18">
        <v>1.09E-2</v>
      </c>
    </row>
    <row r="66" spans="1:2" x14ac:dyDescent="0.25">
      <c r="A66" s="18">
        <v>20.8</v>
      </c>
      <c r="B66" s="18">
        <v>1.15E-2</v>
      </c>
    </row>
    <row r="67" spans="1:2" x14ac:dyDescent="0.25">
      <c r="A67" s="18">
        <v>21</v>
      </c>
      <c r="B67" s="18">
        <v>1.17E-2</v>
      </c>
    </row>
    <row r="68" spans="1:2" x14ac:dyDescent="0.25">
      <c r="A68" s="18">
        <v>21.2</v>
      </c>
      <c r="B68" s="18">
        <v>1.2E-2</v>
      </c>
    </row>
    <row r="69" spans="1:2" x14ac:dyDescent="0.25">
      <c r="A69" s="18">
        <v>21.4</v>
      </c>
      <c r="B69" s="18">
        <v>1.21E-2</v>
      </c>
    </row>
    <row r="70" spans="1:2" x14ac:dyDescent="0.25">
      <c r="A70" s="18">
        <v>21.6</v>
      </c>
      <c r="B70" s="18">
        <v>1.2500000000000001E-2</v>
      </c>
    </row>
    <row r="71" spans="1:2" x14ac:dyDescent="0.25">
      <c r="A71" s="18">
        <v>21.8</v>
      </c>
      <c r="B71" s="18">
        <v>1.2500000000000001E-2</v>
      </c>
    </row>
    <row r="72" spans="1:2" x14ac:dyDescent="0.25">
      <c r="A72" s="18">
        <v>22</v>
      </c>
      <c r="B72" s="18">
        <v>1.2800000000000001E-2</v>
      </c>
    </row>
    <row r="73" spans="1:2" x14ac:dyDescent="0.25">
      <c r="A73" s="18">
        <v>22.2</v>
      </c>
      <c r="B73" s="18">
        <v>1.32E-2</v>
      </c>
    </row>
    <row r="74" spans="1:2" x14ac:dyDescent="0.25">
      <c r="A74" s="18">
        <v>22.4</v>
      </c>
      <c r="B74" s="18">
        <v>1.2999999999999999E-2</v>
      </c>
    </row>
    <row r="75" spans="1:2" x14ac:dyDescent="0.25">
      <c r="A75" s="18">
        <v>22.6</v>
      </c>
      <c r="B75" s="18">
        <v>1.3299999999999999E-2</v>
      </c>
    </row>
    <row r="76" spans="1:2" x14ac:dyDescent="0.25">
      <c r="A76" s="18">
        <v>22.8</v>
      </c>
      <c r="B76" s="18">
        <v>1.32E-2</v>
      </c>
    </row>
    <row r="77" spans="1:2" x14ac:dyDescent="0.25">
      <c r="A77" s="18">
        <v>23</v>
      </c>
      <c r="B77" s="18">
        <v>1.34E-2</v>
      </c>
    </row>
    <row r="78" spans="1:2" x14ac:dyDescent="0.25">
      <c r="A78" s="18">
        <v>23.2</v>
      </c>
      <c r="B78" s="18">
        <v>1.3599999999999999E-2</v>
      </c>
    </row>
    <row r="79" spans="1:2" x14ac:dyDescent="0.25">
      <c r="A79" s="18">
        <v>23.4</v>
      </c>
      <c r="B79" s="18">
        <v>1.35E-2</v>
      </c>
    </row>
    <row r="80" spans="1:2" x14ac:dyDescent="0.25">
      <c r="A80" s="18">
        <v>23.6</v>
      </c>
      <c r="B80" s="18">
        <v>1.37E-2</v>
      </c>
    </row>
    <row r="81" spans="1:2" x14ac:dyDescent="0.25">
      <c r="A81" s="18">
        <v>23.8</v>
      </c>
      <c r="B81" s="18">
        <v>1.3599999999999999E-2</v>
      </c>
    </row>
    <row r="82" spans="1:2" x14ac:dyDescent="0.25">
      <c r="A82" s="18">
        <v>24</v>
      </c>
      <c r="B82" s="18">
        <v>1.37E-2</v>
      </c>
    </row>
    <row r="83" spans="1:2" x14ac:dyDescent="0.25">
      <c r="A83" s="18">
        <v>24.2</v>
      </c>
      <c r="B83" s="18">
        <v>1.37E-2</v>
      </c>
    </row>
    <row r="84" spans="1:2" x14ac:dyDescent="0.25">
      <c r="A84" s="18">
        <v>24.4</v>
      </c>
      <c r="B84" s="18">
        <v>1.34E-2</v>
      </c>
    </row>
    <row r="85" spans="1:2" x14ac:dyDescent="0.25">
      <c r="A85" s="18">
        <v>24.6</v>
      </c>
      <c r="B85" s="18">
        <v>1.35E-2</v>
      </c>
    </row>
    <row r="86" spans="1:2" x14ac:dyDescent="0.25">
      <c r="A86" s="18">
        <v>24.8</v>
      </c>
      <c r="B86" s="18">
        <v>1.3599999999999999E-2</v>
      </c>
    </row>
    <row r="87" spans="1:2" x14ac:dyDescent="0.25">
      <c r="A87" s="18">
        <v>25</v>
      </c>
      <c r="B87" s="18">
        <v>1.3100000000000001E-2</v>
      </c>
    </row>
    <row r="88" spans="1:2" x14ac:dyDescent="0.25">
      <c r="A88" s="18">
        <v>25.2</v>
      </c>
      <c r="B88" s="18">
        <v>1.35E-2</v>
      </c>
    </row>
    <row r="89" spans="1:2" x14ac:dyDescent="0.25">
      <c r="A89" s="18">
        <v>25.4</v>
      </c>
      <c r="B89" s="18">
        <v>1.3100000000000001E-2</v>
      </c>
    </row>
    <row r="90" spans="1:2" x14ac:dyDescent="0.25">
      <c r="A90" s="18">
        <v>25.6</v>
      </c>
      <c r="B90" s="18">
        <v>1.32E-2</v>
      </c>
    </row>
    <row r="91" spans="1:2" x14ac:dyDescent="0.25">
      <c r="A91" s="18">
        <v>25.8</v>
      </c>
      <c r="B91" s="18">
        <v>1.2999999999999999E-2</v>
      </c>
    </row>
    <row r="92" spans="1:2" x14ac:dyDescent="0.25">
      <c r="A92" s="18">
        <v>26</v>
      </c>
      <c r="B92" s="18">
        <v>1.3100000000000001E-2</v>
      </c>
    </row>
    <row r="93" spans="1:2" x14ac:dyDescent="0.25">
      <c r="A93" s="18">
        <v>26.2</v>
      </c>
      <c r="B93" s="18">
        <v>1.26E-2</v>
      </c>
    </row>
    <row r="94" spans="1:2" x14ac:dyDescent="0.25">
      <c r="A94" s="18">
        <v>26.4</v>
      </c>
      <c r="B94" s="18">
        <v>1.26E-2</v>
      </c>
    </row>
    <row r="95" spans="1:2" x14ac:dyDescent="0.25">
      <c r="A95" s="18">
        <v>26.6</v>
      </c>
      <c r="B95" s="18">
        <v>1.2699999999999999E-2</v>
      </c>
    </row>
    <row r="96" spans="1:2" x14ac:dyDescent="0.25">
      <c r="A96" s="18">
        <v>26.8</v>
      </c>
      <c r="B96" s="18">
        <v>1.24E-2</v>
      </c>
    </row>
    <row r="97" spans="1:2" x14ac:dyDescent="0.25">
      <c r="A97" s="18">
        <v>27</v>
      </c>
      <c r="B97" s="18">
        <v>1.23E-2</v>
      </c>
    </row>
    <row r="98" spans="1:2" x14ac:dyDescent="0.25">
      <c r="A98" s="18">
        <v>27.2</v>
      </c>
      <c r="B98" s="18">
        <v>1.2200000000000001E-2</v>
      </c>
    </row>
    <row r="99" spans="1:2" x14ac:dyDescent="0.25">
      <c r="A99" s="18">
        <v>27.4</v>
      </c>
      <c r="B99" s="18">
        <v>1.1900000000000001E-2</v>
      </c>
    </row>
    <row r="100" spans="1:2" x14ac:dyDescent="0.25">
      <c r="A100" s="18">
        <v>27.6</v>
      </c>
      <c r="B100" s="18">
        <v>1.1900000000000001E-2</v>
      </c>
    </row>
    <row r="101" spans="1:2" x14ac:dyDescent="0.25">
      <c r="A101" s="18">
        <v>27.8</v>
      </c>
      <c r="B101" s="18">
        <v>1.17E-2</v>
      </c>
    </row>
    <row r="102" spans="1:2" x14ac:dyDescent="0.25">
      <c r="A102" s="18">
        <v>28</v>
      </c>
      <c r="B102" s="18">
        <v>1.1299999999999999E-2</v>
      </c>
    </row>
    <row r="103" spans="1:2" x14ac:dyDescent="0.25">
      <c r="A103" s="18">
        <v>28.2</v>
      </c>
      <c r="B103" s="18">
        <v>1.1299999999999999E-2</v>
      </c>
    </row>
    <row r="104" spans="1:2" x14ac:dyDescent="0.25">
      <c r="A104" s="18">
        <v>28.4</v>
      </c>
      <c r="B104" s="18">
        <v>1.0999999999999999E-2</v>
      </c>
    </row>
    <row r="105" spans="1:2" x14ac:dyDescent="0.25">
      <c r="A105" s="18">
        <v>28.6</v>
      </c>
      <c r="B105" s="18">
        <v>1.0800000000000001E-2</v>
      </c>
    </row>
    <row r="106" spans="1:2" x14ac:dyDescent="0.25">
      <c r="A106" s="18">
        <v>28.8</v>
      </c>
      <c r="B106" s="18">
        <v>1.06E-2</v>
      </c>
    </row>
    <row r="107" spans="1:2" x14ac:dyDescent="0.25">
      <c r="A107" s="18">
        <v>29</v>
      </c>
      <c r="B107" s="18">
        <v>1.0500000000000001E-2</v>
      </c>
    </row>
    <row r="108" spans="1:2" x14ac:dyDescent="0.25">
      <c r="A108" s="18">
        <v>29.2</v>
      </c>
      <c r="B108" s="18">
        <v>1.03E-2</v>
      </c>
    </row>
    <row r="109" spans="1:2" x14ac:dyDescent="0.25">
      <c r="A109" s="18">
        <v>29.4</v>
      </c>
      <c r="B109" s="18">
        <v>1.01E-2</v>
      </c>
    </row>
    <row r="110" spans="1:2" x14ac:dyDescent="0.25">
      <c r="A110" s="18">
        <v>29.6</v>
      </c>
      <c r="B110" s="18">
        <v>9.9500000000000005E-3</v>
      </c>
    </row>
    <row r="111" spans="1:2" x14ac:dyDescent="0.25">
      <c r="A111" s="18">
        <v>29.8</v>
      </c>
      <c r="B111" s="18">
        <v>9.6900000000000007E-3</v>
      </c>
    </row>
    <row r="112" spans="1:2" x14ac:dyDescent="0.25">
      <c r="A112" s="18">
        <v>30</v>
      </c>
      <c r="B112" s="18">
        <v>9.5200000000000007E-3</v>
      </c>
    </row>
    <row r="113" spans="1:2" x14ac:dyDescent="0.25">
      <c r="A113" s="18">
        <v>30.2</v>
      </c>
      <c r="B113" s="18">
        <v>9.1400000000000006E-3</v>
      </c>
    </row>
    <row r="114" spans="1:2" x14ac:dyDescent="0.25">
      <c r="A114" s="18">
        <v>30.4</v>
      </c>
      <c r="B114" s="18">
        <v>9.2599999999999991E-3</v>
      </c>
    </row>
    <row r="115" spans="1:2" x14ac:dyDescent="0.25">
      <c r="A115" s="18">
        <v>30.6</v>
      </c>
      <c r="B115" s="18">
        <v>8.8500000000000002E-3</v>
      </c>
    </row>
    <row r="116" spans="1:2" x14ac:dyDescent="0.25">
      <c r="A116" s="18">
        <v>30.8</v>
      </c>
      <c r="B116" s="18">
        <v>8.6899999999999998E-3</v>
      </c>
    </row>
    <row r="117" spans="1:2" x14ac:dyDescent="0.25">
      <c r="A117" s="18">
        <v>31</v>
      </c>
      <c r="B117" s="18">
        <v>8.6300000000000005E-3</v>
      </c>
    </row>
    <row r="118" spans="1:2" x14ac:dyDescent="0.25">
      <c r="A118" s="18">
        <v>31.2</v>
      </c>
      <c r="B118" s="18">
        <v>8.2900000000000005E-3</v>
      </c>
    </row>
    <row r="119" spans="1:2" x14ac:dyDescent="0.25">
      <c r="A119" s="18">
        <v>31.4</v>
      </c>
      <c r="B119" s="18">
        <v>8.2299999999999995E-3</v>
      </c>
    </row>
    <row r="120" spans="1:2" x14ac:dyDescent="0.25">
      <c r="A120" s="18">
        <v>31.6</v>
      </c>
      <c r="B120" s="18">
        <v>7.9399999999999991E-3</v>
      </c>
    </row>
    <row r="121" spans="1:2" x14ac:dyDescent="0.25">
      <c r="A121" s="18">
        <v>31.8</v>
      </c>
      <c r="B121" s="18">
        <v>7.7999999999999996E-3</v>
      </c>
    </row>
    <row r="122" spans="1:2" x14ac:dyDescent="0.25">
      <c r="A122" s="18">
        <v>32</v>
      </c>
      <c r="B122" s="18">
        <v>7.6099999999999996E-3</v>
      </c>
    </row>
    <row r="123" spans="1:2" x14ac:dyDescent="0.25">
      <c r="A123" s="18">
        <v>32.200000000000003</v>
      </c>
      <c r="B123" s="18">
        <v>7.3899999999999999E-3</v>
      </c>
    </row>
    <row r="124" spans="1:2" x14ac:dyDescent="0.25">
      <c r="A124" s="18">
        <v>32.4</v>
      </c>
      <c r="B124" s="18">
        <v>7.1300000000000001E-3</v>
      </c>
    </row>
    <row r="125" spans="1:2" x14ac:dyDescent="0.25">
      <c r="A125" s="18">
        <v>32.6</v>
      </c>
      <c r="B125" s="18">
        <v>7.26E-3</v>
      </c>
    </row>
    <row r="126" spans="1:2" x14ac:dyDescent="0.25">
      <c r="A126" s="18">
        <v>32.799999999999997</v>
      </c>
      <c r="B126" s="18">
        <v>6.7499999999999999E-3</v>
      </c>
    </row>
    <row r="127" spans="1:2" x14ac:dyDescent="0.25">
      <c r="A127" s="18">
        <v>33</v>
      </c>
      <c r="B127" s="18">
        <v>6.6899999999999998E-3</v>
      </c>
    </row>
    <row r="128" spans="1:2" x14ac:dyDescent="0.25">
      <c r="A128" s="18">
        <v>33.200000000000003</v>
      </c>
      <c r="B128" s="18">
        <v>6.3899999999999998E-3</v>
      </c>
    </row>
    <row r="129" spans="1:2" x14ac:dyDescent="0.25">
      <c r="A129" s="18">
        <v>33.4</v>
      </c>
      <c r="B129" s="18">
        <v>6.28E-3</v>
      </c>
    </row>
    <row r="130" spans="1:2" x14ac:dyDescent="0.25">
      <c r="A130" s="18">
        <v>33.6</v>
      </c>
      <c r="B130" s="18">
        <v>5.9899999999999997E-3</v>
      </c>
    </row>
    <row r="131" spans="1:2" x14ac:dyDescent="0.25">
      <c r="A131" s="18">
        <v>33.799999999999997</v>
      </c>
      <c r="B131" s="18">
        <v>6.0299999999999998E-3</v>
      </c>
    </row>
    <row r="132" spans="1:2" x14ac:dyDescent="0.25">
      <c r="A132" s="18">
        <v>34</v>
      </c>
      <c r="B132" s="18">
        <v>5.64E-3</v>
      </c>
    </row>
    <row r="133" spans="1:2" x14ac:dyDescent="0.25">
      <c r="A133" s="18">
        <v>34.200000000000003</v>
      </c>
      <c r="B133" s="18">
        <v>5.5300000000000002E-3</v>
      </c>
    </row>
    <row r="134" spans="1:2" x14ac:dyDescent="0.25">
      <c r="A134" s="18">
        <v>34.4</v>
      </c>
      <c r="B134" s="18">
        <v>5.4299999999999999E-3</v>
      </c>
    </row>
    <row r="135" spans="1:2" x14ac:dyDescent="0.25">
      <c r="A135" s="18">
        <v>34.6</v>
      </c>
      <c r="B135" s="18">
        <v>5.11E-3</v>
      </c>
    </row>
    <row r="136" spans="1:2" x14ac:dyDescent="0.25">
      <c r="A136" s="18">
        <v>34.799999999999997</v>
      </c>
      <c r="B136" s="18">
        <v>4.9399999999999999E-3</v>
      </c>
    </row>
    <row r="137" spans="1:2" x14ac:dyDescent="0.25">
      <c r="A137" s="18">
        <v>35</v>
      </c>
      <c r="B137" s="18">
        <v>4.8700000000000002E-3</v>
      </c>
    </row>
    <row r="138" spans="1:2" x14ac:dyDescent="0.25">
      <c r="A138" s="18">
        <v>35.200000000000003</v>
      </c>
      <c r="B138" s="18">
        <v>4.5599999999999998E-3</v>
      </c>
    </row>
    <row r="139" spans="1:2" x14ac:dyDescent="0.25">
      <c r="A139" s="18">
        <v>35.4</v>
      </c>
      <c r="B139" s="18">
        <v>4.4400000000000004E-3</v>
      </c>
    </row>
    <row r="140" spans="1:2" x14ac:dyDescent="0.25">
      <c r="A140" s="18">
        <v>35.6</v>
      </c>
      <c r="B140" s="18">
        <v>4.3099999999999996E-3</v>
      </c>
    </row>
    <row r="141" spans="1:2" x14ac:dyDescent="0.25">
      <c r="A141" s="18">
        <v>35.799999999999997</v>
      </c>
      <c r="B141" s="18">
        <v>4.0400000000000002E-3</v>
      </c>
    </row>
    <row r="142" spans="1:2" x14ac:dyDescent="0.25">
      <c r="A142" s="18">
        <v>36</v>
      </c>
      <c r="B142" s="18">
        <v>3.9100000000000003E-3</v>
      </c>
    </row>
    <row r="143" spans="1:2" x14ac:dyDescent="0.25">
      <c r="A143" s="18">
        <v>36.200000000000003</v>
      </c>
      <c r="B143" s="18">
        <v>3.6900000000000001E-3</v>
      </c>
    </row>
    <row r="144" spans="1:2" x14ac:dyDescent="0.25">
      <c r="A144" s="18">
        <v>36.4</v>
      </c>
      <c r="B144" s="18">
        <v>3.5599999999999998E-3</v>
      </c>
    </row>
    <row r="145" spans="1:2" x14ac:dyDescent="0.25">
      <c r="A145" s="18">
        <v>36.6</v>
      </c>
      <c r="B145" s="18">
        <v>3.4399999999999999E-3</v>
      </c>
    </row>
    <row r="146" spans="1:2" x14ac:dyDescent="0.25">
      <c r="A146" s="18">
        <v>36.799999999999997</v>
      </c>
      <c r="B146" s="18">
        <v>3.14E-3</v>
      </c>
    </row>
    <row r="147" spans="1:2" x14ac:dyDescent="0.25">
      <c r="A147" s="18">
        <v>37</v>
      </c>
      <c r="B147" s="18">
        <v>3.0100000000000001E-3</v>
      </c>
    </row>
    <row r="148" spans="1:2" x14ac:dyDescent="0.25">
      <c r="A148" s="18">
        <v>37.200000000000003</v>
      </c>
      <c r="B148" s="18">
        <v>2.82E-3</v>
      </c>
    </row>
    <row r="149" spans="1:2" x14ac:dyDescent="0.25">
      <c r="A149" s="18">
        <v>37.4</v>
      </c>
      <c r="B149" s="18">
        <v>2.7100000000000002E-3</v>
      </c>
    </row>
    <row r="150" spans="1:2" x14ac:dyDescent="0.25">
      <c r="A150" s="18">
        <v>37.6</v>
      </c>
      <c r="B150" s="18">
        <v>2.48E-3</v>
      </c>
    </row>
    <row r="151" spans="1:2" x14ac:dyDescent="0.25">
      <c r="A151" s="18">
        <v>37.799999999999997</v>
      </c>
      <c r="B151" s="18">
        <v>2.2899999999999999E-3</v>
      </c>
    </row>
    <row r="152" spans="1:2" x14ac:dyDescent="0.25">
      <c r="A152" s="18">
        <v>38</v>
      </c>
      <c r="B152" s="18">
        <v>2.1700000000000001E-3</v>
      </c>
    </row>
    <row r="153" spans="1:2" x14ac:dyDescent="0.25">
      <c r="A153" s="18">
        <v>38.200000000000003</v>
      </c>
      <c r="B153" s="18">
        <v>1.98E-3</v>
      </c>
    </row>
    <row r="154" spans="1:2" x14ac:dyDescent="0.25">
      <c r="A154" s="18">
        <v>38.4</v>
      </c>
      <c r="B154" s="18">
        <v>1.75E-3</v>
      </c>
    </row>
    <row r="155" spans="1:2" x14ac:dyDescent="0.25">
      <c r="A155" s="18">
        <v>38.6</v>
      </c>
      <c r="B155" s="18">
        <v>1.6999999999999999E-3</v>
      </c>
    </row>
    <row r="156" spans="1:2" x14ac:dyDescent="0.25">
      <c r="A156" s="18">
        <v>38.799999999999997</v>
      </c>
      <c r="B156" s="18">
        <v>1.41E-3</v>
      </c>
    </row>
    <row r="157" spans="1:2" x14ac:dyDescent="0.25">
      <c r="A157" s="18">
        <v>39</v>
      </c>
      <c r="B157" s="18">
        <v>1.2600000000000001E-3</v>
      </c>
    </row>
    <row r="158" spans="1:2" x14ac:dyDescent="0.25">
      <c r="A158" s="18">
        <v>39.200000000000003</v>
      </c>
      <c r="B158" s="18">
        <v>1.0399999999999999E-3</v>
      </c>
    </row>
    <row r="159" spans="1:2" x14ac:dyDescent="0.25">
      <c r="A159" s="18">
        <v>39.4</v>
      </c>
      <c r="B159" s="18">
        <v>8.83E-4</v>
      </c>
    </row>
    <row r="160" spans="1:2" x14ac:dyDescent="0.25">
      <c r="A160" s="18">
        <v>39.6</v>
      </c>
      <c r="B160" s="18">
        <v>6.7500000000000004E-4</v>
      </c>
    </row>
    <row r="161" spans="1:2" x14ac:dyDescent="0.25">
      <c r="A161" s="18">
        <v>39.799999999999997</v>
      </c>
      <c r="B161" s="18">
        <v>4.1300000000000001E-4</v>
      </c>
    </row>
    <row r="162" spans="1:2" x14ac:dyDescent="0.25">
      <c r="A162" s="18">
        <v>40</v>
      </c>
      <c r="B162" s="18">
        <v>1.54E-4</v>
      </c>
    </row>
    <row r="163" spans="1:2" x14ac:dyDescent="0.25">
      <c r="A163" s="18">
        <v>40.200000000000003</v>
      </c>
      <c r="B163" s="18">
        <v>1.1600000000000001E-5</v>
      </c>
    </row>
    <row r="164" spans="1:2" x14ac:dyDescent="0.25">
      <c r="A164" s="18">
        <v>40.4</v>
      </c>
      <c r="B164" s="18">
        <v>8.4700000000000002E-6</v>
      </c>
    </row>
    <row r="165" spans="1:2" x14ac:dyDescent="0.25">
      <c r="A165" s="18">
        <v>40.6</v>
      </c>
      <c r="B165" s="18">
        <v>2.8100000000000002E-6</v>
      </c>
    </row>
    <row r="166" spans="1:2" x14ac:dyDescent="0.25">
      <c r="A166" s="18">
        <v>40.799999999999997</v>
      </c>
      <c r="B166" s="18">
        <v>2.5100000000000001E-6</v>
      </c>
    </row>
    <row r="167" spans="1:2" x14ac:dyDescent="0.25">
      <c r="A167" s="18">
        <v>41</v>
      </c>
      <c r="B167" s="18">
        <v>1.43E-7</v>
      </c>
    </row>
    <row r="168" spans="1:2" x14ac:dyDescent="0.25">
      <c r="A168" s="18">
        <v>41.2</v>
      </c>
      <c r="B168" s="18">
        <v>1.33E-6</v>
      </c>
    </row>
    <row r="169" spans="1:2" x14ac:dyDescent="0.25">
      <c r="A169" s="18">
        <v>41.4</v>
      </c>
      <c r="B169" s="18">
        <v>4.6499999999999999E-7</v>
      </c>
    </row>
    <row r="170" spans="1:2" x14ac:dyDescent="0.25">
      <c r="A170" s="18">
        <v>41.6</v>
      </c>
      <c r="B170" s="18">
        <v>2.7099999999999999E-6</v>
      </c>
    </row>
    <row r="171" spans="1:2" x14ac:dyDescent="0.25">
      <c r="A171" s="18">
        <v>41.8</v>
      </c>
      <c r="B171" s="18">
        <v>1.1799999999999999E-6</v>
      </c>
    </row>
    <row r="172" spans="1:2" x14ac:dyDescent="0.25">
      <c r="A172" s="18">
        <v>42</v>
      </c>
      <c r="B172" s="18">
        <v>1.9999999999999999E-6</v>
      </c>
    </row>
  </sheetData>
  <pageMargins left="0.7" right="0.7" top="0.75" bottom="0.75" header="0.3" footer="0.3"/>
  <pageSetup paperSize="9" orientation="portrait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dimension ref="A1:B212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10</v>
      </c>
      <c r="B2" s="18">
        <v>6.9099999999999999E-4</v>
      </c>
    </row>
    <row r="3" spans="1:2" x14ac:dyDescent="0.25">
      <c r="A3" s="18">
        <v>10.199999999999999</v>
      </c>
      <c r="B3" s="18">
        <v>1.6899999999999999E-4</v>
      </c>
    </row>
    <row r="4" spans="1:2" x14ac:dyDescent="0.25">
      <c r="A4" s="18">
        <v>10.4</v>
      </c>
      <c r="B4" s="18">
        <v>3.6000000000000002E-4</v>
      </c>
    </row>
    <row r="5" spans="1:2" x14ac:dyDescent="0.25">
      <c r="A5" s="18">
        <v>10.6</v>
      </c>
      <c r="B5" s="18">
        <v>2.7700000000000001E-4</v>
      </c>
    </row>
    <row r="6" spans="1:2" x14ac:dyDescent="0.25">
      <c r="A6" s="18">
        <v>10.8</v>
      </c>
      <c r="B6" s="18">
        <v>4.2500000000000003E-5</v>
      </c>
    </row>
    <row r="7" spans="1:2" x14ac:dyDescent="0.25">
      <c r="A7" s="18">
        <v>11</v>
      </c>
      <c r="B7" s="18">
        <v>4.55E-4</v>
      </c>
    </row>
    <row r="8" spans="1:2" x14ac:dyDescent="0.25">
      <c r="A8" s="18">
        <v>11.2</v>
      </c>
      <c r="B8" s="18">
        <v>2.31E-4</v>
      </c>
    </row>
    <row r="9" spans="1:2" x14ac:dyDescent="0.25">
      <c r="A9" s="18">
        <v>11.4</v>
      </c>
      <c r="B9" s="18">
        <v>2.2000000000000001E-4</v>
      </c>
    </row>
    <row r="10" spans="1:2" x14ac:dyDescent="0.25">
      <c r="A10" s="18">
        <v>11.6</v>
      </c>
      <c r="B10" s="18">
        <v>2.12E-4</v>
      </c>
    </row>
    <row r="11" spans="1:2" x14ac:dyDescent="0.25">
      <c r="A11" s="18">
        <v>11.8</v>
      </c>
      <c r="B11" s="18">
        <v>3.3799999999999998E-4</v>
      </c>
    </row>
    <row r="12" spans="1:2" x14ac:dyDescent="0.25">
      <c r="A12" s="18">
        <v>12</v>
      </c>
      <c r="B12" s="18">
        <v>2.02E-4</v>
      </c>
    </row>
    <row r="13" spans="1:2" x14ac:dyDescent="0.25">
      <c r="A13" s="18">
        <v>12.2</v>
      </c>
      <c r="B13" s="18">
        <v>2.6200000000000003E-4</v>
      </c>
    </row>
    <row r="14" spans="1:2" x14ac:dyDescent="0.25">
      <c r="A14" s="18">
        <v>12.4</v>
      </c>
      <c r="B14" s="18">
        <v>2.2800000000000001E-4</v>
      </c>
    </row>
    <row r="15" spans="1:2" x14ac:dyDescent="0.25">
      <c r="A15" s="18">
        <v>12.6</v>
      </c>
      <c r="B15" s="18">
        <v>3.0899999999999998E-4</v>
      </c>
    </row>
    <row r="16" spans="1:2" x14ac:dyDescent="0.25">
      <c r="A16" s="18">
        <v>12.8</v>
      </c>
      <c r="B16" s="18">
        <v>3.1E-4</v>
      </c>
    </row>
    <row r="17" spans="1:2" x14ac:dyDescent="0.25">
      <c r="A17" s="18">
        <v>13</v>
      </c>
      <c r="B17" s="18">
        <v>2.6600000000000001E-4</v>
      </c>
    </row>
    <row r="18" spans="1:2" x14ac:dyDescent="0.25">
      <c r="A18" s="18">
        <v>13.2</v>
      </c>
      <c r="B18" s="18">
        <v>2.03E-4</v>
      </c>
    </row>
    <row r="19" spans="1:2" x14ac:dyDescent="0.25">
      <c r="A19" s="18">
        <v>13.4</v>
      </c>
      <c r="B19" s="18">
        <v>2.7099999999999997E-4</v>
      </c>
    </row>
    <row r="20" spans="1:2" x14ac:dyDescent="0.25">
      <c r="A20" s="18">
        <v>13.6</v>
      </c>
      <c r="B20" s="18">
        <v>1.6200000000000001E-4</v>
      </c>
    </row>
    <row r="21" spans="1:2" x14ac:dyDescent="0.25">
      <c r="A21" s="18">
        <v>13.8</v>
      </c>
      <c r="B21" s="18">
        <v>6.8599999999999998E-4</v>
      </c>
    </row>
    <row r="22" spans="1:2" x14ac:dyDescent="0.25">
      <c r="A22" s="18">
        <v>14</v>
      </c>
      <c r="B22" s="18">
        <v>1.85E-4</v>
      </c>
    </row>
    <row r="23" spans="1:2" x14ac:dyDescent="0.25">
      <c r="A23" s="18">
        <v>14.2</v>
      </c>
      <c r="B23" s="18">
        <v>5.8900000000000001E-4</v>
      </c>
    </row>
    <row r="24" spans="1:2" x14ac:dyDescent="0.25">
      <c r="A24" s="18">
        <v>14.4</v>
      </c>
      <c r="B24" s="18">
        <v>4.1399999999999998E-4</v>
      </c>
    </row>
    <row r="25" spans="1:2" x14ac:dyDescent="0.25">
      <c r="A25" s="18">
        <v>14.6</v>
      </c>
      <c r="B25" s="18">
        <v>7.0699999999999995E-4</v>
      </c>
    </row>
    <row r="26" spans="1:2" x14ac:dyDescent="0.25">
      <c r="A26" s="18">
        <v>14.8</v>
      </c>
      <c r="B26" s="18">
        <v>6.3299999999999999E-4</v>
      </c>
    </row>
    <row r="27" spans="1:2" x14ac:dyDescent="0.25">
      <c r="A27" s="18">
        <v>15</v>
      </c>
      <c r="B27" s="18">
        <v>8.7799999999999998E-4</v>
      </c>
    </row>
    <row r="28" spans="1:2" x14ac:dyDescent="0.25">
      <c r="A28" s="18">
        <v>15.2</v>
      </c>
      <c r="B28" s="18">
        <v>1.1000000000000001E-3</v>
      </c>
    </row>
    <row r="29" spans="1:2" x14ac:dyDescent="0.25">
      <c r="A29" s="18">
        <v>15.4</v>
      </c>
      <c r="B29" s="18">
        <v>1.1100000000000001E-3</v>
      </c>
    </row>
    <row r="30" spans="1:2" x14ac:dyDescent="0.25">
      <c r="A30" s="18">
        <v>15.6</v>
      </c>
      <c r="B30" s="18">
        <v>1.2899999999999999E-3</v>
      </c>
    </row>
    <row r="31" spans="1:2" x14ac:dyDescent="0.25">
      <c r="A31" s="18">
        <v>15.8</v>
      </c>
      <c r="B31" s="18">
        <v>1.4499999999999999E-3</v>
      </c>
    </row>
    <row r="32" spans="1:2" x14ac:dyDescent="0.25">
      <c r="A32" s="18">
        <v>16</v>
      </c>
      <c r="B32" s="18">
        <v>1.64E-3</v>
      </c>
    </row>
    <row r="33" spans="1:2" x14ac:dyDescent="0.25">
      <c r="A33" s="18">
        <v>16.2</v>
      </c>
      <c r="B33" s="18">
        <v>1.92E-3</v>
      </c>
    </row>
    <row r="34" spans="1:2" x14ac:dyDescent="0.25">
      <c r="A34" s="18">
        <v>16.399999999999999</v>
      </c>
      <c r="B34" s="18">
        <v>1.99E-3</v>
      </c>
    </row>
    <row r="35" spans="1:2" x14ac:dyDescent="0.25">
      <c r="A35" s="18">
        <v>16.600000000000001</v>
      </c>
      <c r="B35" s="18">
        <v>2.33E-3</v>
      </c>
    </row>
    <row r="36" spans="1:2" x14ac:dyDescent="0.25">
      <c r="A36" s="18">
        <v>16.8</v>
      </c>
      <c r="B36" s="18">
        <v>2.63E-3</v>
      </c>
    </row>
    <row r="37" spans="1:2" x14ac:dyDescent="0.25">
      <c r="A37" s="18">
        <v>17</v>
      </c>
      <c r="B37" s="18">
        <v>2.8800000000000002E-3</v>
      </c>
    </row>
    <row r="38" spans="1:2" x14ac:dyDescent="0.25">
      <c r="A38" s="18">
        <v>17.2</v>
      </c>
      <c r="B38" s="18">
        <v>3.1700000000000001E-3</v>
      </c>
    </row>
    <row r="39" spans="1:2" x14ac:dyDescent="0.25">
      <c r="A39" s="18">
        <v>17.399999999999999</v>
      </c>
      <c r="B39" s="18">
        <v>3.5100000000000001E-3</v>
      </c>
    </row>
    <row r="40" spans="1:2" x14ac:dyDescent="0.25">
      <c r="A40" s="18">
        <v>17.600000000000001</v>
      </c>
      <c r="B40" s="18">
        <v>3.7200000000000002E-3</v>
      </c>
    </row>
    <row r="41" spans="1:2" x14ac:dyDescent="0.25">
      <c r="A41" s="18">
        <v>17.8</v>
      </c>
      <c r="B41" s="18">
        <v>4.2199999999999998E-3</v>
      </c>
    </row>
    <row r="42" spans="1:2" x14ac:dyDescent="0.25">
      <c r="A42" s="18">
        <v>18</v>
      </c>
      <c r="B42" s="18">
        <v>4.3299999999999996E-3</v>
      </c>
    </row>
    <row r="43" spans="1:2" x14ac:dyDescent="0.25">
      <c r="A43" s="18">
        <v>18.2</v>
      </c>
      <c r="B43" s="18">
        <v>4.7499999999999999E-3</v>
      </c>
    </row>
    <row r="44" spans="1:2" x14ac:dyDescent="0.25">
      <c r="A44" s="18">
        <v>18.399999999999999</v>
      </c>
      <c r="B44" s="18">
        <v>5.1999999999999998E-3</v>
      </c>
    </row>
    <row r="45" spans="1:2" x14ac:dyDescent="0.25">
      <c r="A45" s="18">
        <v>18.600000000000001</v>
      </c>
      <c r="B45" s="18">
        <v>5.1900000000000002E-3</v>
      </c>
    </row>
    <row r="46" spans="1:2" x14ac:dyDescent="0.25">
      <c r="A46" s="18">
        <v>18.8</v>
      </c>
      <c r="B46" s="18">
        <v>5.5900000000000004E-3</v>
      </c>
    </row>
    <row r="47" spans="1:2" x14ac:dyDescent="0.25">
      <c r="A47" s="18">
        <v>19</v>
      </c>
      <c r="B47" s="18">
        <v>6.1199999999999996E-3</v>
      </c>
    </row>
    <row r="48" spans="1:2" x14ac:dyDescent="0.25">
      <c r="A48" s="18">
        <v>19.2</v>
      </c>
      <c r="B48" s="18">
        <v>6.2500000000000003E-3</v>
      </c>
    </row>
    <row r="49" spans="1:2" x14ac:dyDescent="0.25">
      <c r="A49" s="18">
        <v>19.399999999999999</v>
      </c>
      <c r="B49" s="18">
        <v>6.6400000000000001E-3</v>
      </c>
    </row>
    <row r="50" spans="1:2" x14ac:dyDescent="0.25">
      <c r="A50" s="18">
        <v>19.600000000000001</v>
      </c>
      <c r="B50" s="18">
        <v>6.8500000000000002E-3</v>
      </c>
    </row>
    <row r="51" spans="1:2" x14ac:dyDescent="0.25">
      <c r="A51" s="18">
        <v>19.8</v>
      </c>
      <c r="B51" s="18">
        <v>7.2300000000000003E-3</v>
      </c>
    </row>
    <row r="52" spans="1:2" x14ac:dyDescent="0.25">
      <c r="A52" s="18">
        <v>20</v>
      </c>
      <c r="B52" s="18">
        <v>7.4799999999999997E-3</v>
      </c>
    </row>
    <row r="53" spans="1:2" x14ac:dyDescent="0.25">
      <c r="A53" s="18">
        <v>20.2</v>
      </c>
      <c r="B53" s="18">
        <v>7.7200000000000003E-3</v>
      </c>
    </row>
    <row r="54" spans="1:2" x14ac:dyDescent="0.25">
      <c r="A54" s="18">
        <v>20.399999999999999</v>
      </c>
      <c r="B54" s="18">
        <v>7.9399999999999991E-3</v>
      </c>
    </row>
    <row r="55" spans="1:2" x14ac:dyDescent="0.25">
      <c r="A55" s="18">
        <v>20.6</v>
      </c>
      <c r="B55" s="18">
        <v>8.2900000000000005E-3</v>
      </c>
    </row>
    <row r="56" spans="1:2" x14ac:dyDescent="0.25">
      <c r="A56" s="18">
        <v>20.8</v>
      </c>
      <c r="B56" s="18">
        <v>8.7500000000000008E-3</v>
      </c>
    </row>
    <row r="57" spans="1:2" x14ac:dyDescent="0.25">
      <c r="A57" s="18">
        <v>21</v>
      </c>
      <c r="B57" s="18">
        <v>8.6300000000000005E-3</v>
      </c>
    </row>
    <row r="58" spans="1:2" x14ac:dyDescent="0.25">
      <c r="A58" s="18">
        <v>21.2</v>
      </c>
      <c r="B58" s="18">
        <v>9.0200000000000002E-3</v>
      </c>
    </row>
    <row r="59" spans="1:2" x14ac:dyDescent="0.25">
      <c r="A59" s="18">
        <v>21.4</v>
      </c>
      <c r="B59" s="18">
        <v>9.41E-3</v>
      </c>
    </row>
    <row r="60" spans="1:2" x14ac:dyDescent="0.25">
      <c r="A60" s="18">
        <v>21.6</v>
      </c>
      <c r="B60" s="18">
        <v>9.3100000000000006E-3</v>
      </c>
    </row>
    <row r="61" spans="1:2" x14ac:dyDescent="0.25">
      <c r="A61" s="18">
        <v>21.8</v>
      </c>
      <c r="B61" s="18">
        <v>9.5899999999999996E-3</v>
      </c>
    </row>
    <row r="62" spans="1:2" x14ac:dyDescent="0.25">
      <c r="A62" s="18">
        <v>22</v>
      </c>
      <c r="B62" s="18">
        <v>9.7800000000000005E-3</v>
      </c>
    </row>
    <row r="63" spans="1:2" x14ac:dyDescent="0.25">
      <c r="A63" s="18">
        <v>22.2</v>
      </c>
      <c r="B63" s="18">
        <v>1.01E-2</v>
      </c>
    </row>
    <row r="64" spans="1:2" x14ac:dyDescent="0.25">
      <c r="A64" s="18">
        <v>22.4</v>
      </c>
      <c r="B64" s="18">
        <v>1.01E-2</v>
      </c>
    </row>
    <row r="65" spans="1:2" x14ac:dyDescent="0.25">
      <c r="A65" s="18">
        <v>22.6</v>
      </c>
      <c r="B65" s="18">
        <v>1.0200000000000001E-2</v>
      </c>
    </row>
    <row r="66" spans="1:2" x14ac:dyDescent="0.25">
      <c r="A66" s="18">
        <v>22.8</v>
      </c>
      <c r="B66" s="18">
        <v>1.0200000000000001E-2</v>
      </c>
    </row>
    <row r="67" spans="1:2" x14ac:dyDescent="0.25">
      <c r="A67" s="18">
        <v>23</v>
      </c>
      <c r="B67" s="18">
        <v>1.0500000000000001E-2</v>
      </c>
    </row>
    <row r="68" spans="1:2" x14ac:dyDescent="0.25">
      <c r="A68" s="18">
        <v>23.2</v>
      </c>
      <c r="B68" s="18">
        <v>1.0500000000000001E-2</v>
      </c>
    </row>
    <row r="69" spans="1:2" x14ac:dyDescent="0.25">
      <c r="A69" s="18">
        <v>23.4</v>
      </c>
      <c r="B69" s="18">
        <v>1.0699999999999999E-2</v>
      </c>
    </row>
    <row r="70" spans="1:2" x14ac:dyDescent="0.25">
      <c r="A70" s="18">
        <v>23.6</v>
      </c>
      <c r="B70" s="18">
        <v>1.0699999999999999E-2</v>
      </c>
    </row>
    <row r="71" spans="1:2" x14ac:dyDescent="0.25">
      <c r="A71" s="18">
        <v>23.8</v>
      </c>
      <c r="B71" s="18">
        <v>1.0699999999999999E-2</v>
      </c>
    </row>
    <row r="72" spans="1:2" x14ac:dyDescent="0.25">
      <c r="A72" s="18">
        <v>24</v>
      </c>
      <c r="B72" s="18">
        <v>1.0800000000000001E-2</v>
      </c>
    </row>
    <row r="73" spans="1:2" x14ac:dyDescent="0.25">
      <c r="A73" s="18">
        <v>24.2</v>
      </c>
      <c r="B73" s="18">
        <v>1.09E-2</v>
      </c>
    </row>
    <row r="74" spans="1:2" x14ac:dyDescent="0.25">
      <c r="A74" s="18">
        <v>24.4</v>
      </c>
      <c r="B74" s="18">
        <v>1.0999999999999999E-2</v>
      </c>
    </row>
    <row r="75" spans="1:2" x14ac:dyDescent="0.25">
      <c r="A75" s="18">
        <v>24.6</v>
      </c>
      <c r="B75" s="18">
        <v>1.06E-2</v>
      </c>
    </row>
    <row r="76" spans="1:2" x14ac:dyDescent="0.25">
      <c r="A76" s="18">
        <v>24.8</v>
      </c>
      <c r="B76" s="18">
        <v>1.11E-2</v>
      </c>
    </row>
    <row r="77" spans="1:2" x14ac:dyDescent="0.25">
      <c r="A77" s="18">
        <v>25</v>
      </c>
      <c r="B77" s="18">
        <v>1.09E-2</v>
      </c>
    </row>
    <row r="78" spans="1:2" x14ac:dyDescent="0.25">
      <c r="A78" s="18">
        <v>25.2</v>
      </c>
      <c r="B78" s="18">
        <v>1.09E-2</v>
      </c>
    </row>
    <row r="79" spans="1:2" x14ac:dyDescent="0.25">
      <c r="A79" s="18">
        <v>25.4</v>
      </c>
      <c r="B79" s="18">
        <v>1.09E-2</v>
      </c>
    </row>
    <row r="80" spans="1:2" x14ac:dyDescent="0.25">
      <c r="A80" s="18">
        <v>25.6</v>
      </c>
      <c r="B80" s="18">
        <v>1.09E-2</v>
      </c>
    </row>
    <row r="81" spans="1:2" x14ac:dyDescent="0.25">
      <c r="A81" s="18">
        <v>25.8</v>
      </c>
      <c r="B81" s="18">
        <v>1.09E-2</v>
      </c>
    </row>
    <row r="82" spans="1:2" x14ac:dyDescent="0.25">
      <c r="A82" s="18">
        <v>26</v>
      </c>
      <c r="B82" s="18">
        <v>1.0699999999999999E-2</v>
      </c>
    </row>
    <row r="83" spans="1:2" x14ac:dyDescent="0.25">
      <c r="A83" s="18">
        <v>26.2</v>
      </c>
      <c r="B83" s="18">
        <v>1.0699999999999999E-2</v>
      </c>
    </row>
    <row r="84" spans="1:2" x14ac:dyDescent="0.25">
      <c r="A84" s="18">
        <v>26.4</v>
      </c>
      <c r="B84" s="18">
        <v>1.0800000000000001E-2</v>
      </c>
    </row>
    <row r="85" spans="1:2" x14ac:dyDescent="0.25">
      <c r="A85" s="18">
        <v>26.6</v>
      </c>
      <c r="B85" s="18">
        <v>1.0500000000000001E-2</v>
      </c>
    </row>
    <row r="86" spans="1:2" x14ac:dyDescent="0.25">
      <c r="A86" s="18">
        <v>26.8</v>
      </c>
      <c r="B86" s="18">
        <v>1.06E-2</v>
      </c>
    </row>
    <row r="87" spans="1:2" x14ac:dyDescent="0.25">
      <c r="A87" s="18">
        <v>27</v>
      </c>
      <c r="B87" s="18">
        <v>1.0500000000000001E-2</v>
      </c>
    </row>
    <row r="88" spans="1:2" x14ac:dyDescent="0.25">
      <c r="A88" s="18">
        <v>27.2</v>
      </c>
      <c r="B88" s="18">
        <v>1.04E-2</v>
      </c>
    </row>
    <row r="89" spans="1:2" x14ac:dyDescent="0.25">
      <c r="A89" s="18">
        <v>27.4</v>
      </c>
      <c r="B89" s="18">
        <v>1.04E-2</v>
      </c>
    </row>
    <row r="90" spans="1:2" x14ac:dyDescent="0.25">
      <c r="A90" s="18">
        <v>27.6</v>
      </c>
      <c r="B90" s="18">
        <v>1.01E-2</v>
      </c>
    </row>
    <row r="91" spans="1:2" x14ac:dyDescent="0.25">
      <c r="A91" s="18">
        <v>27.8</v>
      </c>
      <c r="B91" s="18">
        <v>1.03E-2</v>
      </c>
    </row>
    <row r="92" spans="1:2" x14ac:dyDescent="0.25">
      <c r="A92" s="18">
        <v>28</v>
      </c>
      <c r="B92" s="18">
        <v>9.9900000000000006E-3</v>
      </c>
    </row>
    <row r="93" spans="1:2" x14ac:dyDescent="0.25">
      <c r="A93" s="18">
        <v>28.2</v>
      </c>
      <c r="B93" s="18">
        <v>9.9500000000000005E-3</v>
      </c>
    </row>
    <row r="94" spans="1:2" x14ac:dyDescent="0.25">
      <c r="A94" s="18">
        <v>28.4</v>
      </c>
      <c r="B94" s="18">
        <v>9.9699999999999997E-3</v>
      </c>
    </row>
    <row r="95" spans="1:2" x14ac:dyDescent="0.25">
      <c r="A95" s="18">
        <v>28.6</v>
      </c>
      <c r="B95" s="18">
        <v>9.7400000000000004E-3</v>
      </c>
    </row>
    <row r="96" spans="1:2" x14ac:dyDescent="0.25">
      <c r="A96" s="18">
        <v>28.8</v>
      </c>
      <c r="B96" s="18">
        <v>9.5200000000000007E-3</v>
      </c>
    </row>
    <row r="97" spans="1:2" x14ac:dyDescent="0.25">
      <c r="A97" s="18">
        <v>29</v>
      </c>
      <c r="B97" s="18">
        <v>9.5399999999999999E-3</v>
      </c>
    </row>
    <row r="98" spans="1:2" x14ac:dyDescent="0.25">
      <c r="A98" s="18">
        <v>29.2</v>
      </c>
      <c r="B98" s="18">
        <v>9.4900000000000002E-3</v>
      </c>
    </row>
    <row r="99" spans="1:2" x14ac:dyDescent="0.25">
      <c r="A99" s="18">
        <v>29.4</v>
      </c>
      <c r="B99" s="18">
        <v>9.2099999999999994E-3</v>
      </c>
    </row>
    <row r="100" spans="1:2" x14ac:dyDescent="0.25">
      <c r="A100" s="18">
        <v>29.6</v>
      </c>
      <c r="B100" s="18">
        <v>9.2200000000000008E-3</v>
      </c>
    </row>
    <row r="101" spans="1:2" x14ac:dyDescent="0.25">
      <c r="A101" s="18">
        <v>29.8</v>
      </c>
      <c r="B101" s="18">
        <v>8.9599999999999992E-3</v>
      </c>
    </row>
    <row r="102" spans="1:2" x14ac:dyDescent="0.25">
      <c r="A102" s="18">
        <v>30</v>
      </c>
      <c r="B102" s="18">
        <v>8.8900000000000003E-3</v>
      </c>
    </row>
    <row r="103" spans="1:2" x14ac:dyDescent="0.25">
      <c r="A103" s="18">
        <v>30.2</v>
      </c>
      <c r="B103" s="18">
        <v>8.8100000000000001E-3</v>
      </c>
    </row>
    <row r="104" spans="1:2" x14ac:dyDescent="0.25">
      <c r="A104" s="18">
        <v>30.4</v>
      </c>
      <c r="B104" s="18">
        <v>8.6899999999999998E-3</v>
      </c>
    </row>
    <row r="105" spans="1:2" x14ac:dyDescent="0.25">
      <c r="A105" s="18">
        <v>30.6</v>
      </c>
      <c r="B105" s="18">
        <v>8.6099999999999996E-3</v>
      </c>
    </row>
    <row r="106" spans="1:2" x14ac:dyDescent="0.25">
      <c r="A106" s="18">
        <v>30.8</v>
      </c>
      <c r="B106" s="18">
        <v>8.5000000000000006E-3</v>
      </c>
    </row>
    <row r="107" spans="1:2" x14ac:dyDescent="0.25">
      <c r="A107" s="18">
        <v>31</v>
      </c>
      <c r="B107" s="18">
        <v>8.2799999999999992E-3</v>
      </c>
    </row>
    <row r="108" spans="1:2" x14ac:dyDescent="0.25">
      <c r="A108" s="18">
        <v>31.2</v>
      </c>
      <c r="B108" s="18">
        <v>8.3000000000000001E-3</v>
      </c>
    </row>
    <row r="109" spans="1:2" x14ac:dyDescent="0.25">
      <c r="A109" s="18">
        <v>31.4</v>
      </c>
      <c r="B109" s="18">
        <v>8.0400000000000003E-3</v>
      </c>
    </row>
    <row r="110" spans="1:2" x14ac:dyDescent="0.25">
      <c r="A110" s="18">
        <v>31.6</v>
      </c>
      <c r="B110" s="18">
        <v>8.0499999999999999E-3</v>
      </c>
    </row>
    <row r="111" spans="1:2" x14ac:dyDescent="0.25">
      <c r="A111" s="18">
        <v>31.8</v>
      </c>
      <c r="B111" s="18">
        <v>7.8899999999999994E-3</v>
      </c>
    </row>
    <row r="112" spans="1:2" x14ac:dyDescent="0.25">
      <c r="A112" s="18">
        <v>32</v>
      </c>
      <c r="B112" s="18">
        <v>7.7499999999999999E-3</v>
      </c>
    </row>
    <row r="113" spans="1:2" x14ac:dyDescent="0.25">
      <c r="A113" s="18">
        <v>32.200000000000003</v>
      </c>
      <c r="B113" s="18">
        <v>7.7000000000000002E-3</v>
      </c>
    </row>
    <row r="114" spans="1:2" x14ac:dyDescent="0.25">
      <c r="A114" s="18">
        <v>32.4</v>
      </c>
      <c r="B114" s="18">
        <v>7.4599999999999996E-3</v>
      </c>
    </row>
    <row r="115" spans="1:2" x14ac:dyDescent="0.25">
      <c r="A115" s="18">
        <v>32.6</v>
      </c>
      <c r="B115" s="18">
        <v>7.4999999999999997E-3</v>
      </c>
    </row>
    <row r="116" spans="1:2" x14ac:dyDescent="0.25">
      <c r="A116" s="18">
        <v>32.799999999999997</v>
      </c>
      <c r="B116" s="18">
        <v>7.2700000000000004E-3</v>
      </c>
    </row>
    <row r="117" spans="1:2" x14ac:dyDescent="0.25">
      <c r="A117" s="18">
        <v>33</v>
      </c>
      <c r="B117" s="18">
        <v>7.3400000000000002E-3</v>
      </c>
    </row>
    <row r="118" spans="1:2" x14ac:dyDescent="0.25">
      <c r="A118" s="18">
        <v>33.200000000000003</v>
      </c>
      <c r="B118" s="18">
        <v>7.0200000000000002E-3</v>
      </c>
    </row>
    <row r="119" spans="1:2" x14ac:dyDescent="0.25">
      <c r="A119" s="18">
        <v>33.4</v>
      </c>
      <c r="B119" s="18">
        <v>6.9499999999999996E-3</v>
      </c>
    </row>
    <row r="120" spans="1:2" x14ac:dyDescent="0.25">
      <c r="A120" s="18">
        <v>33.6</v>
      </c>
      <c r="B120" s="18">
        <v>6.8500000000000002E-3</v>
      </c>
    </row>
    <row r="121" spans="1:2" x14ac:dyDescent="0.25">
      <c r="A121" s="18">
        <v>33.799999999999997</v>
      </c>
      <c r="B121" s="18">
        <v>6.6899999999999998E-3</v>
      </c>
    </row>
    <row r="122" spans="1:2" x14ac:dyDescent="0.25">
      <c r="A122" s="18">
        <v>34</v>
      </c>
      <c r="B122" s="18">
        <v>6.7400000000000003E-3</v>
      </c>
    </row>
    <row r="123" spans="1:2" x14ac:dyDescent="0.25">
      <c r="A123" s="18">
        <v>34.200000000000003</v>
      </c>
      <c r="B123" s="18">
        <v>6.3E-3</v>
      </c>
    </row>
    <row r="124" spans="1:2" x14ac:dyDescent="0.25">
      <c r="A124" s="18">
        <v>34.4</v>
      </c>
      <c r="B124" s="18">
        <v>6.5300000000000002E-3</v>
      </c>
    </row>
    <row r="125" spans="1:2" x14ac:dyDescent="0.25">
      <c r="A125" s="18">
        <v>34.6</v>
      </c>
      <c r="B125" s="18">
        <v>6.2300000000000003E-3</v>
      </c>
    </row>
    <row r="126" spans="1:2" x14ac:dyDescent="0.25">
      <c r="A126" s="18">
        <v>34.799999999999997</v>
      </c>
      <c r="B126" s="18">
        <v>6.2300000000000003E-3</v>
      </c>
    </row>
    <row r="127" spans="1:2" x14ac:dyDescent="0.25">
      <c r="A127" s="18">
        <v>35</v>
      </c>
      <c r="B127" s="18">
        <v>5.94E-3</v>
      </c>
    </row>
    <row r="128" spans="1:2" x14ac:dyDescent="0.25">
      <c r="A128" s="18">
        <v>35.200000000000003</v>
      </c>
      <c r="B128" s="18">
        <v>6.0400000000000002E-3</v>
      </c>
    </row>
    <row r="129" spans="1:2" x14ac:dyDescent="0.25">
      <c r="A129" s="18">
        <v>35.4</v>
      </c>
      <c r="B129" s="18">
        <v>5.7400000000000003E-3</v>
      </c>
    </row>
    <row r="130" spans="1:2" x14ac:dyDescent="0.25">
      <c r="A130" s="18">
        <v>35.6</v>
      </c>
      <c r="B130" s="18">
        <v>5.7299999999999999E-3</v>
      </c>
    </row>
    <row r="131" spans="1:2" x14ac:dyDescent="0.25">
      <c r="A131" s="18">
        <v>35.799999999999997</v>
      </c>
      <c r="B131" s="18">
        <v>5.6299999999999996E-3</v>
      </c>
    </row>
    <row r="132" spans="1:2" x14ac:dyDescent="0.25">
      <c r="A132" s="18">
        <v>36</v>
      </c>
      <c r="B132" s="18">
        <v>5.47E-3</v>
      </c>
    </row>
    <row r="133" spans="1:2" x14ac:dyDescent="0.25">
      <c r="A133" s="18">
        <v>36.200000000000003</v>
      </c>
      <c r="B133" s="18">
        <v>5.4099999999999999E-3</v>
      </c>
    </row>
    <row r="134" spans="1:2" x14ac:dyDescent="0.25">
      <c r="A134" s="18">
        <v>36.4</v>
      </c>
      <c r="B134" s="18">
        <v>5.3099999999999996E-3</v>
      </c>
    </row>
    <row r="135" spans="1:2" x14ac:dyDescent="0.25">
      <c r="A135" s="18">
        <v>36.6</v>
      </c>
      <c r="B135" s="18">
        <v>5.1200000000000004E-3</v>
      </c>
    </row>
    <row r="136" spans="1:2" x14ac:dyDescent="0.25">
      <c r="A136" s="18">
        <v>36.799999999999997</v>
      </c>
      <c r="B136" s="18">
        <v>5.0800000000000003E-3</v>
      </c>
    </row>
    <row r="137" spans="1:2" x14ac:dyDescent="0.25">
      <c r="A137" s="18">
        <v>37</v>
      </c>
      <c r="B137" s="18">
        <v>4.9699999999999996E-3</v>
      </c>
    </row>
    <row r="138" spans="1:2" x14ac:dyDescent="0.25">
      <c r="A138" s="18">
        <v>37.200000000000003</v>
      </c>
      <c r="B138" s="18">
        <v>4.8399999999999997E-3</v>
      </c>
    </row>
    <row r="139" spans="1:2" x14ac:dyDescent="0.25">
      <c r="A139" s="18">
        <v>37.4</v>
      </c>
      <c r="B139" s="18">
        <v>4.8500000000000001E-3</v>
      </c>
    </row>
    <row r="140" spans="1:2" x14ac:dyDescent="0.25">
      <c r="A140" s="18">
        <v>37.6</v>
      </c>
      <c r="B140" s="18">
        <v>4.5900000000000003E-3</v>
      </c>
    </row>
    <row r="141" spans="1:2" x14ac:dyDescent="0.25">
      <c r="A141" s="18">
        <v>37.799999999999997</v>
      </c>
      <c r="B141" s="18">
        <v>4.5599999999999998E-3</v>
      </c>
    </row>
    <row r="142" spans="1:2" x14ac:dyDescent="0.25">
      <c r="A142" s="18">
        <v>38</v>
      </c>
      <c r="B142" s="18">
        <v>4.4799999999999996E-3</v>
      </c>
    </row>
    <row r="143" spans="1:2" x14ac:dyDescent="0.25">
      <c r="A143" s="18">
        <v>38.200000000000003</v>
      </c>
      <c r="B143" s="18">
        <v>4.4299999999999999E-3</v>
      </c>
    </row>
    <row r="144" spans="1:2" x14ac:dyDescent="0.25">
      <c r="A144" s="18">
        <v>38.4</v>
      </c>
      <c r="B144" s="18">
        <v>4.2100000000000002E-3</v>
      </c>
    </row>
    <row r="145" spans="1:2" x14ac:dyDescent="0.25">
      <c r="A145" s="18">
        <v>38.6</v>
      </c>
      <c r="B145" s="18">
        <v>4.2300000000000003E-3</v>
      </c>
    </row>
    <row r="146" spans="1:2" x14ac:dyDescent="0.25">
      <c r="A146" s="18">
        <v>38.799999999999997</v>
      </c>
      <c r="B146" s="18">
        <v>4.15E-3</v>
      </c>
    </row>
    <row r="147" spans="1:2" x14ac:dyDescent="0.25">
      <c r="A147" s="18">
        <v>39</v>
      </c>
      <c r="B147" s="18">
        <v>3.96E-3</v>
      </c>
    </row>
    <row r="148" spans="1:2" x14ac:dyDescent="0.25">
      <c r="A148" s="18">
        <v>39.200000000000003</v>
      </c>
      <c r="B148" s="18">
        <v>3.9300000000000003E-3</v>
      </c>
    </row>
    <row r="149" spans="1:2" x14ac:dyDescent="0.25">
      <c r="A149" s="18">
        <v>39.4</v>
      </c>
      <c r="B149" s="18">
        <v>3.79E-3</v>
      </c>
    </row>
    <row r="150" spans="1:2" x14ac:dyDescent="0.25">
      <c r="A150" s="18">
        <v>39.6</v>
      </c>
      <c r="B150" s="18">
        <v>3.7499999999999999E-3</v>
      </c>
    </row>
    <row r="151" spans="1:2" x14ac:dyDescent="0.25">
      <c r="A151" s="18">
        <v>39.799999999999997</v>
      </c>
      <c r="B151" s="18">
        <v>3.6600000000000001E-3</v>
      </c>
    </row>
    <row r="152" spans="1:2" x14ac:dyDescent="0.25">
      <c r="A152" s="18">
        <v>40</v>
      </c>
      <c r="B152" s="18">
        <v>3.5500000000000002E-3</v>
      </c>
    </row>
    <row r="153" spans="1:2" x14ac:dyDescent="0.25">
      <c r="A153" s="18">
        <v>40.200000000000003</v>
      </c>
      <c r="B153" s="18">
        <v>3.4299999999999999E-3</v>
      </c>
    </row>
    <row r="154" spans="1:2" x14ac:dyDescent="0.25">
      <c r="A154" s="18">
        <v>40.4</v>
      </c>
      <c r="B154" s="18">
        <v>3.3999999999999998E-3</v>
      </c>
    </row>
    <row r="155" spans="1:2" x14ac:dyDescent="0.25">
      <c r="A155" s="18">
        <v>40.6</v>
      </c>
      <c r="B155" s="18">
        <v>3.3700000000000002E-3</v>
      </c>
    </row>
    <row r="156" spans="1:2" x14ac:dyDescent="0.25">
      <c r="A156" s="18">
        <v>40.799999999999997</v>
      </c>
      <c r="B156" s="18">
        <v>3.2299999999999998E-3</v>
      </c>
    </row>
    <row r="157" spans="1:2" x14ac:dyDescent="0.25">
      <c r="A157" s="18">
        <v>41</v>
      </c>
      <c r="B157" s="18">
        <v>3.1700000000000001E-3</v>
      </c>
    </row>
    <row r="158" spans="1:2" x14ac:dyDescent="0.25">
      <c r="A158" s="18">
        <v>41.2</v>
      </c>
      <c r="B158" s="18">
        <v>3.1099999999999999E-3</v>
      </c>
    </row>
    <row r="159" spans="1:2" x14ac:dyDescent="0.25">
      <c r="A159" s="18">
        <v>41.4</v>
      </c>
      <c r="B159" s="18">
        <v>3.0300000000000001E-3</v>
      </c>
    </row>
    <row r="160" spans="1:2" x14ac:dyDescent="0.25">
      <c r="A160" s="18">
        <v>41.6</v>
      </c>
      <c r="B160" s="18">
        <v>2.96E-3</v>
      </c>
    </row>
    <row r="161" spans="1:2" x14ac:dyDescent="0.25">
      <c r="A161" s="18">
        <v>41.8</v>
      </c>
      <c r="B161" s="18">
        <v>2.8400000000000001E-3</v>
      </c>
    </row>
    <row r="162" spans="1:2" x14ac:dyDescent="0.25">
      <c r="A162" s="18">
        <v>42</v>
      </c>
      <c r="B162" s="18">
        <v>2.82E-3</v>
      </c>
    </row>
    <row r="163" spans="1:2" x14ac:dyDescent="0.25">
      <c r="A163" s="18">
        <v>42.2</v>
      </c>
      <c r="B163" s="18">
        <v>2.7000000000000001E-3</v>
      </c>
    </row>
    <row r="164" spans="1:2" x14ac:dyDescent="0.25">
      <c r="A164" s="18">
        <v>42.4</v>
      </c>
      <c r="B164" s="18">
        <v>2.65E-3</v>
      </c>
    </row>
    <row r="165" spans="1:2" x14ac:dyDescent="0.25">
      <c r="A165" s="18">
        <v>42.6</v>
      </c>
      <c r="B165" s="18">
        <v>2.63E-3</v>
      </c>
    </row>
    <row r="166" spans="1:2" x14ac:dyDescent="0.25">
      <c r="A166" s="18">
        <v>42.8</v>
      </c>
      <c r="B166" s="18">
        <v>2.5000000000000001E-3</v>
      </c>
    </row>
    <row r="167" spans="1:2" x14ac:dyDescent="0.25">
      <c r="A167" s="18">
        <v>43</v>
      </c>
      <c r="B167" s="18">
        <v>2.4299999999999999E-3</v>
      </c>
    </row>
    <row r="168" spans="1:2" x14ac:dyDescent="0.25">
      <c r="A168" s="18">
        <v>43.2</v>
      </c>
      <c r="B168" s="18">
        <v>2.3900000000000002E-3</v>
      </c>
    </row>
    <row r="169" spans="1:2" x14ac:dyDescent="0.25">
      <c r="A169" s="18">
        <v>43.4</v>
      </c>
      <c r="B169" s="18">
        <v>2.32E-3</v>
      </c>
    </row>
    <row r="170" spans="1:2" x14ac:dyDescent="0.25">
      <c r="A170" s="18">
        <v>43.6</v>
      </c>
      <c r="B170" s="18">
        <v>2.1900000000000001E-3</v>
      </c>
    </row>
    <row r="171" spans="1:2" x14ac:dyDescent="0.25">
      <c r="A171" s="18">
        <v>43.8</v>
      </c>
      <c r="B171" s="18">
        <v>2.2399999999999998E-3</v>
      </c>
    </row>
    <row r="172" spans="1:2" x14ac:dyDescent="0.25">
      <c r="A172" s="18">
        <v>44</v>
      </c>
      <c r="B172" s="18">
        <v>2.0100000000000001E-3</v>
      </c>
    </row>
    <row r="173" spans="1:2" x14ac:dyDescent="0.25">
      <c r="A173" s="18">
        <v>44.2</v>
      </c>
      <c r="B173" s="18">
        <v>2.0899999999999998E-3</v>
      </c>
    </row>
    <row r="174" spans="1:2" x14ac:dyDescent="0.25">
      <c r="A174" s="18">
        <v>44.4</v>
      </c>
      <c r="B174" s="18">
        <v>1.97E-3</v>
      </c>
    </row>
    <row r="175" spans="1:2" x14ac:dyDescent="0.25">
      <c r="A175" s="18">
        <v>44.6</v>
      </c>
      <c r="B175" s="18">
        <v>1.9300000000000001E-3</v>
      </c>
    </row>
    <row r="176" spans="1:2" x14ac:dyDescent="0.25">
      <c r="A176" s="18">
        <v>44.8</v>
      </c>
      <c r="B176" s="18">
        <v>1.82E-3</v>
      </c>
    </row>
    <row r="177" spans="1:2" x14ac:dyDescent="0.25">
      <c r="A177" s="18">
        <v>45</v>
      </c>
      <c r="B177" s="18">
        <v>1.7799999999999999E-3</v>
      </c>
    </row>
    <row r="178" spans="1:2" x14ac:dyDescent="0.25">
      <c r="A178" s="18">
        <v>45.2</v>
      </c>
      <c r="B178" s="18">
        <v>1.73E-3</v>
      </c>
    </row>
    <row r="179" spans="1:2" x14ac:dyDescent="0.25">
      <c r="A179" s="18">
        <v>45.4</v>
      </c>
      <c r="B179" s="18">
        <v>1.5900000000000001E-3</v>
      </c>
    </row>
    <row r="180" spans="1:2" x14ac:dyDescent="0.25">
      <c r="A180" s="18">
        <v>45.6</v>
      </c>
      <c r="B180" s="18">
        <v>1.67E-3</v>
      </c>
    </row>
    <row r="181" spans="1:2" x14ac:dyDescent="0.25">
      <c r="A181" s="18">
        <v>45.8</v>
      </c>
      <c r="B181" s="18">
        <v>1.4300000000000001E-3</v>
      </c>
    </row>
    <row r="182" spans="1:2" x14ac:dyDescent="0.25">
      <c r="A182" s="18">
        <v>46</v>
      </c>
      <c r="B182" s="18">
        <v>1.5100000000000001E-3</v>
      </c>
    </row>
    <row r="183" spans="1:2" x14ac:dyDescent="0.25">
      <c r="A183" s="18">
        <v>46.2</v>
      </c>
      <c r="B183" s="18">
        <v>1.3500000000000001E-3</v>
      </c>
    </row>
    <row r="184" spans="1:2" x14ac:dyDescent="0.25">
      <c r="A184" s="18">
        <v>46.4</v>
      </c>
      <c r="B184" s="18">
        <v>1.3500000000000001E-3</v>
      </c>
    </row>
    <row r="185" spans="1:2" x14ac:dyDescent="0.25">
      <c r="A185" s="18">
        <v>46.6</v>
      </c>
      <c r="B185" s="18">
        <v>1.2600000000000001E-3</v>
      </c>
    </row>
    <row r="186" spans="1:2" x14ac:dyDescent="0.25">
      <c r="A186" s="18">
        <v>46.8</v>
      </c>
      <c r="B186" s="18">
        <v>1.14E-3</v>
      </c>
    </row>
    <row r="187" spans="1:2" x14ac:dyDescent="0.25">
      <c r="A187" s="18">
        <v>47</v>
      </c>
      <c r="B187" s="18">
        <v>1.16E-3</v>
      </c>
    </row>
    <row r="188" spans="1:2" x14ac:dyDescent="0.25">
      <c r="A188" s="18">
        <v>47.2</v>
      </c>
      <c r="B188" s="18">
        <v>1.0300000000000001E-3</v>
      </c>
    </row>
    <row r="189" spans="1:2" x14ac:dyDescent="0.25">
      <c r="A189" s="18">
        <v>47.4</v>
      </c>
      <c r="B189" s="18">
        <v>1.0399999999999999E-3</v>
      </c>
    </row>
    <row r="190" spans="1:2" x14ac:dyDescent="0.25">
      <c r="A190" s="18">
        <v>47.6</v>
      </c>
      <c r="B190" s="18">
        <v>9.0600000000000001E-4</v>
      </c>
    </row>
    <row r="191" spans="1:2" x14ac:dyDescent="0.25">
      <c r="A191" s="18">
        <v>47.8</v>
      </c>
      <c r="B191" s="18">
        <v>9.4200000000000002E-4</v>
      </c>
    </row>
    <row r="192" spans="1:2" x14ac:dyDescent="0.25">
      <c r="A192" s="18">
        <v>48</v>
      </c>
      <c r="B192" s="18">
        <v>7.4200000000000004E-4</v>
      </c>
    </row>
    <row r="193" spans="1:2" x14ac:dyDescent="0.25">
      <c r="A193" s="18">
        <v>48.2</v>
      </c>
      <c r="B193" s="18">
        <v>7.7899999999999996E-4</v>
      </c>
    </row>
    <row r="194" spans="1:2" x14ac:dyDescent="0.25">
      <c r="A194" s="18">
        <v>48.4</v>
      </c>
      <c r="B194" s="18">
        <v>6.8199999999999999E-4</v>
      </c>
    </row>
    <row r="195" spans="1:2" x14ac:dyDescent="0.25">
      <c r="A195" s="18">
        <v>48.6</v>
      </c>
      <c r="B195" s="18">
        <v>6.0599999999999998E-4</v>
      </c>
    </row>
    <row r="196" spans="1:2" x14ac:dyDescent="0.25">
      <c r="A196" s="18">
        <v>48.8</v>
      </c>
      <c r="B196" s="18">
        <v>5.4199999999999995E-4</v>
      </c>
    </row>
    <row r="197" spans="1:2" x14ac:dyDescent="0.25">
      <c r="A197" s="18">
        <v>49</v>
      </c>
      <c r="B197" s="18">
        <v>4.8500000000000003E-4</v>
      </c>
    </row>
    <row r="198" spans="1:2" x14ac:dyDescent="0.25">
      <c r="A198" s="18">
        <v>49.2</v>
      </c>
      <c r="B198" s="18">
        <v>4.0999999999999999E-4</v>
      </c>
    </row>
    <row r="199" spans="1:2" x14ac:dyDescent="0.25">
      <c r="A199" s="18">
        <v>49.4</v>
      </c>
      <c r="B199" s="18">
        <v>3.1399999999999999E-4</v>
      </c>
    </row>
    <row r="200" spans="1:2" x14ac:dyDescent="0.25">
      <c r="A200" s="18">
        <v>49.6</v>
      </c>
      <c r="B200" s="18">
        <v>2.9100000000000003E-4</v>
      </c>
    </row>
    <row r="201" spans="1:2" x14ac:dyDescent="0.25">
      <c r="A201" s="18">
        <v>49.8</v>
      </c>
      <c r="B201" s="18">
        <v>1.56E-4</v>
      </c>
    </row>
    <row r="202" spans="1:2" x14ac:dyDescent="0.25">
      <c r="A202" s="18">
        <v>50</v>
      </c>
      <c r="B202" s="18">
        <v>8.8300000000000005E-5</v>
      </c>
    </row>
    <row r="203" spans="1:2" x14ac:dyDescent="0.25">
      <c r="A203" s="18">
        <v>50.2</v>
      </c>
      <c r="B203" s="18">
        <v>5.2100000000000001E-6</v>
      </c>
    </row>
    <row r="204" spans="1:2" x14ac:dyDescent="0.25">
      <c r="A204" s="18">
        <v>50.4</v>
      </c>
      <c r="B204" s="18">
        <v>5.6300000000000003E-6</v>
      </c>
    </row>
    <row r="205" spans="1:2" x14ac:dyDescent="0.25">
      <c r="A205" s="18">
        <v>50.6</v>
      </c>
      <c r="B205" s="18">
        <v>1.4300000000000001E-6</v>
      </c>
    </row>
    <row r="206" spans="1:2" x14ac:dyDescent="0.25">
      <c r="A206" s="18">
        <v>50.8</v>
      </c>
      <c r="B206" s="18">
        <v>3.4000000000000001E-6</v>
      </c>
    </row>
    <row r="207" spans="1:2" x14ac:dyDescent="0.25">
      <c r="A207" s="18">
        <v>51</v>
      </c>
      <c r="B207" s="18">
        <v>3.0800000000000001E-7</v>
      </c>
    </row>
    <row r="208" spans="1:2" x14ac:dyDescent="0.25">
      <c r="A208" s="18">
        <v>51.2</v>
      </c>
      <c r="B208" s="18">
        <v>1.79E-6</v>
      </c>
    </row>
    <row r="209" spans="1:2" x14ac:dyDescent="0.25">
      <c r="A209" s="18">
        <v>51.4</v>
      </c>
      <c r="B209" s="18">
        <v>2.1600000000000001E-6</v>
      </c>
    </row>
    <row r="210" spans="1:2" x14ac:dyDescent="0.25">
      <c r="A210" s="18">
        <v>51.6</v>
      </c>
      <c r="B210" s="18">
        <v>9.78E-7</v>
      </c>
    </row>
    <row r="211" spans="1:2" x14ac:dyDescent="0.25">
      <c r="A211" s="18">
        <v>51.8</v>
      </c>
      <c r="B211" s="18">
        <v>9.47E-7</v>
      </c>
    </row>
    <row r="212" spans="1:2" x14ac:dyDescent="0.25">
      <c r="A212" s="18">
        <v>52</v>
      </c>
      <c r="B212" s="18">
        <v>2.3499999999999999E-6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dimension ref="A1:B10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4.0900000000000002E-4</v>
      </c>
    </row>
    <row r="3" spans="1:2" x14ac:dyDescent="0.25">
      <c r="A3" s="18">
        <v>9.5</v>
      </c>
      <c r="B3" s="18">
        <v>7.2300000000000001E-4</v>
      </c>
    </row>
    <row r="4" spans="1:2" x14ac:dyDescent="0.25">
      <c r="A4" s="18">
        <v>10</v>
      </c>
      <c r="B4" s="18">
        <v>8.8000000000000003E-4</v>
      </c>
    </row>
    <row r="5" spans="1:2" x14ac:dyDescent="0.25">
      <c r="A5" s="18">
        <v>10.5</v>
      </c>
      <c r="B5" s="18">
        <v>7.45E-4</v>
      </c>
    </row>
    <row r="6" spans="1:2" x14ac:dyDescent="0.25">
      <c r="A6" s="18">
        <v>11</v>
      </c>
      <c r="B6" s="18">
        <v>5.9299999999999999E-4</v>
      </c>
    </row>
    <row r="7" spans="1:2" x14ac:dyDescent="0.25">
      <c r="A7" s="18">
        <v>11.5</v>
      </c>
      <c r="B7" s="18">
        <v>8.4400000000000002E-4</v>
      </c>
    </row>
    <row r="8" spans="1:2" x14ac:dyDescent="0.25">
      <c r="A8" s="18">
        <v>12</v>
      </c>
      <c r="B8" s="18">
        <v>8.7000000000000001E-4</v>
      </c>
    </row>
    <row r="9" spans="1:2" x14ac:dyDescent="0.25">
      <c r="A9" s="18">
        <v>12.5</v>
      </c>
      <c r="B9" s="18">
        <v>4.1100000000000002E-4</v>
      </c>
    </row>
    <row r="10" spans="1:2" x14ac:dyDescent="0.25">
      <c r="A10" s="18">
        <v>13</v>
      </c>
      <c r="B10" s="18">
        <v>8.2299999999999995E-4</v>
      </c>
    </row>
    <row r="11" spans="1:2" x14ac:dyDescent="0.25">
      <c r="A11" s="18">
        <v>13.5</v>
      </c>
      <c r="B11" s="18">
        <v>6.7000000000000002E-4</v>
      </c>
    </row>
    <row r="12" spans="1:2" x14ac:dyDescent="0.25">
      <c r="A12" s="18">
        <v>14</v>
      </c>
      <c r="B12" s="18">
        <v>8.4599999999999996E-4</v>
      </c>
    </row>
    <row r="13" spans="1:2" x14ac:dyDescent="0.25">
      <c r="A13" s="18">
        <v>14.5</v>
      </c>
      <c r="B13" s="18">
        <v>1.1299999999999999E-3</v>
      </c>
    </row>
    <row r="14" spans="1:2" x14ac:dyDescent="0.25">
      <c r="A14" s="18">
        <v>15</v>
      </c>
      <c r="B14" s="18">
        <v>1.6299999999999999E-3</v>
      </c>
    </row>
    <row r="15" spans="1:2" x14ac:dyDescent="0.25">
      <c r="A15" s="18">
        <v>15.5</v>
      </c>
      <c r="B15" s="18">
        <v>2.3500000000000001E-3</v>
      </c>
    </row>
    <row r="16" spans="1:2" x14ac:dyDescent="0.25">
      <c r="A16" s="18">
        <v>16</v>
      </c>
      <c r="B16" s="18">
        <v>3.1800000000000001E-3</v>
      </c>
    </row>
    <row r="17" spans="1:2" x14ac:dyDescent="0.25">
      <c r="A17" s="18">
        <v>16.5</v>
      </c>
      <c r="B17" s="18">
        <v>4.3699999999999998E-3</v>
      </c>
    </row>
    <row r="18" spans="1:2" x14ac:dyDescent="0.25">
      <c r="A18" s="18">
        <v>17</v>
      </c>
      <c r="B18" s="18">
        <v>5.6800000000000002E-3</v>
      </c>
    </row>
    <row r="19" spans="1:2" x14ac:dyDescent="0.25">
      <c r="A19" s="18">
        <v>17.5</v>
      </c>
      <c r="B19" s="18">
        <v>7.0299999999999998E-3</v>
      </c>
    </row>
    <row r="20" spans="1:2" x14ac:dyDescent="0.25">
      <c r="A20" s="18">
        <v>18</v>
      </c>
      <c r="B20" s="18">
        <v>8.5500000000000003E-3</v>
      </c>
    </row>
    <row r="21" spans="1:2" x14ac:dyDescent="0.25">
      <c r="A21" s="18">
        <v>18.5</v>
      </c>
      <c r="B21" s="18">
        <v>1.03E-2</v>
      </c>
    </row>
    <row r="22" spans="1:2" x14ac:dyDescent="0.25">
      <c r="A22" s="18">
        <v>19</v>
      </c>
      <c r="B22" s="18">
        <v>1.17E-2</v>
      </c>
    </row>
    <row r="23" spans="1:2" x14ac:dyDescent="0.25">
      <c r="A23" s="18">
        <v>19.5</v>
      </c>
      <c r="B23" s="18">
        <v>1.35E-2</v>
      </c>
    </row>
    <row r="24" spans="1:2" x14ac:dyDescent="0.25">
      <c r="A24" s="18">
        <v>20</v>
      </c>
      <c r="B24" s="18">
        <v>1.5100000000000001E-2</v>
      </c>
    </row>
    <row r="25" spans="1:2" x14ac:dyDescent="0.25">
      <c r="A25" s="18">
        <v>20.5</v>
      </c>
      <c r="B25" s="18">
        <v>1.6500000000000001E-2</v>
      </c>
    </row>
    <row r="26" spans="1:2" x14ac:dyDescent="0.25">
      <c r="A26" s="18">
        <v>21</v>
      </c>
      <c r="B26" s="18">
        <v>1.8100000000000002E-2</v>
      </c>
    </row>
    <row r="27" spans="1:2" x14ac:dyDescent="0.25">
      <c r="A27" s="18">
        <v>21.5</v>
      </c>
      <c r="B27" s="18">
        <v>1.9300000000000001E-2</v>
      </c>
    </row>
    <row r="28" spans="1:2" x14ac:dyDescent="0.25">
      <c r="A28" s="18">
        <v>22</v>
      </c>
      <c r="B28" s="18">
        <v>2.0299999999999999E-2</v>
      </c>
    </row>
    <row r="29" spans="1:2" x14ac:dyDescent="0.25">
      <c r="A29" s="18">
        <v>22.5</v>
      </c>
      <c r="B29" s="18">
        <v>2.12E-2</v>
      </c>
    </row>
    <row r="30" spans="1:2" x14ac:dyDescent="0.25">
      <c r="A30" s="18">
        <v>23</v>
      </c>
      <c r="B30" s="18">
        <v>2.1899999999999999E-2</v>
      </c>
    </row>
    <row r="31" spans="1:2" x14ac:dyDescent="0.25">
      <c r="A31" s="18">
        <v>23.5</v>
      </c>
      <c r="B31" s="18">
        <v>2.2599999999999999E-2</v>
      </c>
    </row>
    <row r="32" spans="1:2" x14ac:dyDescent="0.25">
      <c r="A32" s="18">
        <v>24</v>
      </c>
      <c r="B32" s="18">
        <v>2.3099999999999999E-2</v>
      </c>
    </row>
    <row r="33" spans="1:2" x14ac:dyDescent="0.25">
      <c r="A33" s="18">
        <v>24.5</v>
      </c>
      <c r="B33" s="18">
        <v>2.3400000000000001E-2</v>
      </c>
    </row>
    <row r="34" spans="1:2" x14ac:dyDescent="0.25">
      <c r="A34" s="18">
        <v>25</v>
      </c>
      <c r="B34" s="18">
        <v>2.3599999999999999E-2</v>
      </c>
    </row>
    <row r="35" spans="1:2" x14ac:dyDescent="0.25">
      <c r="A35" s="18">
        <v>25.5</v>
      </c>
      <c r="B35" s="18">
        <v>2.3400000000000001E-2</v>
      </c>
    </row>
    <row r="36" spans="1:2" x14ac:dyDescent="0.25">
      <c r="A36" s="18">
        <v>26</v>
      </c>
      <c r="B36" s="18">
        <v>2.3599999999999999E-2</v>
      </c>
    </row>
    <row r="37" spans="1:2" x14ac:dyDescent="0.25">
      <c r="A37" s="18">
        <v>26.5</v>
      </c>
      <c r="B37" s="18">
        <v>2.3400000000000001E-2</v>
      </c>
    </row>
    <row r="38" spans="1:2" x14ac:dyDescent="0.25">
      <c r="A38" s="18">
        <v>27</v>
      </c>
      <c r="B38" s="18">
        <v>2.3300000000000001E-2</v>
      </c>
    </row>
    <row r="39" spans="1:2" x14ac:dyDescent="0.25">
      <c r="A39" s="18">
        <v>27.5</v>
      </c>
      <c r="B39" s="18">
        <v>2.2800000000000001E-2</v>
      </c>
    </row>
    <row r="40" spans="1:2" x14ac:dyDescent="0.25">
      <c r="A40" s="18">
        <v>28</v>
      </c>
      <c r="B40" s="18">
        <v>2.23E-2</v>
      </c>
    </row>
    <row r="41" spans="1:2" x14ac:dyDescent="0.25">
      <c r="A41" s="18">
        <v>28.5</v>
      </c>
      <c r="B41" s="18">
        <v>2.2100000000000002E-2</v>
      </c>
    </row>
    <row r="42" spans="1:2" x14ac:dyDescent="0.25">
      <c r="A42" s="18">
        <v>29</v>
      </c>
      <c r="B42" s="18">
        <v>2.1600000000000001E-2</v>
      </c>
    </row>
    <row r="43" spans="1:2" x14ac:dyDescent="0.25">
      <c r="A43" s="18">
        <v>29.5</v>
      </c>
      <c r="B43" s="18">
        <v>2.1000000000000001E-2</v>
      </c>
    </row>
    <row r="44" spans="1:2" x14ac:dyDescent="0.25">
      <c r="A44" s="18">
        <v>30</v>
      </c>
      <c r="B44" s="18">
        <v>2.0400000000000001E-2</v>
      </c>
    </row>
    <row r="45" spans="1:2" x14ac:dyDescent="0.25">
      <c r="A45" s="18">
        <v>30.5</v>
      </c>
      <c r="B45" s="18">
        <v>1.9900000000000001E-2</v>
      </c>
    </row>
    <row r="46" spans="1:2" x14ac:dyDescent="0.25">
      <c r="A46" s="18">
        <v>31</v>
      </c>
      <c r="B46" s="18">
        <v>1.95E-2</v>
      </c>
    </row>
    <row r="47" spans="1:2" x14ac:dyDescent="0.25">
      <c r="A47" s="18">
        <v>31.5</v>
      </c>
      <c r="B47" s="18">
        <v>1.89E-2</v>
      </c>
    </row>
    <row r="48" spans="1:2" x14ac:dyDescent="0.25">
      <c r="A48" s="18">
        <v>32</v>
      </c>
      <c r="B48" s="18">
        <v>1.84E-2</v>
      </c>
    </row>
    <row r="49" spans="1:2" x14ac:dyDescent="0.25">
      <c r="A49" s="18">
        <v>32.5</v>
      </c>
      <c r="B49" s="18">
        <v>1.78E-2</v>
      </c>
    </row>
    <row r="50" spans="1:2" x14ac:dyDescent="0.25">
      <c r="A50" s="18">
        <v>33</v>
      </c>
      <c r="B50" s="18">
        <v>1.72E-2</v>
      </c>
    </row>
    <row r="51" spans="1:2" x14ac:dyDescent="0.25">
      <c r="A51" s="18">
        <v>33.5</v>
      </c>
      <c r="B51" s="18">
        <v>1.66E-2</v>
      </c>
    </row>
    <row r="52" spans="1:2" x14ac:dyDescent="0.25">
      <c r="A52" s="18">
        <v>34</v>
      </c>
      <c r="B52" s="18">
        <v>1.6199999999999999E-2</v>
      </c>
    </row>
    <row r="53" spans="1:2" x14ac:dyDescent="0.25">
      <c r="A53" s="18">
        <v>34.5</v>
      </c>
      <c r="B53" s="18">
        <v>1.5599999999999999E-2</v>
      </c>
    </row>
    <row r="54" spans="1:2" x14ac:dyDescent="0.25">
      <c r="A54" s="18">
        <v>35</v>
      </c>
      <c r="B54" s="18">
        <v>1.5100000000000001E-2</v>
      </c>
    </row>
    <row r="55" spans="1:2" x14ac:dyDescent="0.25">
      <c r="A55" s="18">
        <v>35.5</v>
      </c>
      <c r="B55" s="18">
        <v>1.4500000000000001E-2</v>
      </c>
    </row>
    <row r="56" spans="1:2" x14ac:dyDescent="0.25">
      <c r="A56" s="18">
        <v>36</v>
      </c>
      <c r="B56" s="18">
        <v>1.4E-2</v>
      </c>
    </row>
    <row r="57" spans="1:2" x14ac:dyDescent="0.25">
      <c r="A57" s="18">
        <v>36.5</v>
      </c>
      <c r="B57" s="18">
        <v>1.35E-2</v>
      </c>
    </row>
    <row r="58" spans="1:2" x14ac:dyDescent="0.25">
      <c r="A58" s="18">
        <v>37</v>
      </c>
      <c r="B58" s="18">
        <v>1.2800000000000001E-2</v>
      </c>
    </row>
    <row r="59" spans="1:2" x14ac:dyDescent="0.25">
      <c r="A59" s="18">
        <v>37.5</v>
      </c>
      <c r="B59" s="18">
        <v>1.2500000000000001E-2</v>
      </c>
    </row>
    <row r="60" spans="1:2" x14ac:dyDescent="0.25">
      <c r="A60" s="18">
        <v>38</v>
      </c>
      <c r="B60" s="18">
        <v>1.1900000000000001E-2</v>
      </c>
    </row>
    <row r="61" spans="1:2" x14ac:dyDescent="0.25">
      <c r="A61" s="18">
        <v>38.5</v>
      </c>
      <c r="B61" s="18">
        <v>1.15E-2</v>
      </c>
    </row>
    <row r="62" spans="1:2" x14ac:dyDescent="0.25">
      <c r="A62" s="18">
        <v>39</v>
      </c>
      <c r="B62" s="18">
        <v>1.11E-2</v>
      </c>
    </row>
    <row r="63" spans="1:2" x14ac:dyDescent="0.25">
      <c r="A63" s="18">
        <v>39.5</v>
      </c>
      <c r="B63" s="18">
        <v>1.0500000000000001E-2</v>
      </c>
    </row>
    <row r="64" spans="1:2" x14ac:dyDescent="0.25">
      <c r="A64" s="18">
        <v>40</v>
      </c>
      <c r="B64" s="18">
        <v>1.01E-2</v>
      </c>
    </row>
    <row r="65" spans="1:2" x14ac:dyDescent="0.25">
      <c r="A65" s="18">
        <v>40.5</v>
      </c>
      <c r="B65" s="18">
        <v>9.75E-3</v>
      </c>
    </row>
    <row r="66" spans="1:2" x14ac:dyDescent="0.25">
      <c r="A66" s="18">
        <v>41</v>
      </c>
      <c r="B66" s="18">
        <v>9.41E-3</v>
      </c>
    </row>
    <row r="67" spans="1:2" x14ac:dyDescent="0.25">
      <c r="A67" s="18">
        <v>41.5</v>
      </c>
      <c r="B67" s="18">
        <v>9.0600000000000003E-3</v>
      </c>
    </row>
    <row r="68" spans="1:2" x14ac:dyDescent="0.25">
      <c r="A68" s="18">
        <v>42</v>
      </c>
      <c r="B68" s="18">
        <v>8.6499999999999997E-3</v>
      </c>
    </row>
    <row r="69" spans="1:2" x14ac:dyDescent="0.25">
      <c r="A69" s="18">
        <v>42.5</v>
      </c>
      <c r="B69" s="18">
        <v>8.3099999999999997E-3</v>
      </c>
    </row>
    <row r="70" spans="1:2" x14ac:dyDescent="0.25">
      <c r="A70" s="18">
        <v>43</v>
      </c>
      <c r="B70" s="18">
        <v>8.0000000000000002E-3</v>
      </c>
    </row>
    <row r="71" spans="1:2" x14ac:dyDescent="0.25">
      <c r="A71" s="18">
        <v>43.5</v>
      </c>
      <c r="B71" s="18">
        <v>7.7000000000000002E-3</v>
      </c>
    </row>
    <row r="72" spans="1:2" x14ac:dyDescent="0.25">
      <c r="A72" s="18">
        <v>44</v>
      </c>
      <c r="B72" s="18">
        <v>7.4200000000000004E-3</v>
      </c>
    </row>
    <row r="73" spans="1:2" x14ac:dyDescent="0.25">
      <c r="A73" s="18">
        <v>44.5</v>
      </c>
      <c r="B73" s="18">
        <v>7.0699999999999999E-3</v>
      </c>
    </row>
    <row r="74" spans="1:2" x14ac:dyDescent="0.25">
      <c r="A74" s="18">
        <v>45</v>
      </c>
      <c r="B74" s="18">
        <v>6.7600000000000004E-3</v>
      </c>
    </row>
    <row r="75" spans="1:2" x14ac:dyDescent="0.25">
      <c r="A75" s="18">
        <v>45.5</v>
      </c>
      <c r="B75" s="18">
        <v>6.45E-3</v>
      </c>
    </row>
    <row r="76" spans="1:2" x14ac:dyDescent="0.25">
      <c r="A76" s="18">
        <v>46</v>
      </c>
      <c r="B76" s="18">
        <v>6.13E-3</v>
      </c>
    </row>
    <row r="77" spans="1:2" x14ac:dyDescent="0.25">
      <c r="A77" s="18">
        <v>46.5</v>
      </c>
      <c r="B77" s="18">
        <v>5.9500000000000004E-3</v>
      </c>
    </row>
    <row r="78" spans="1:2" x14ac:dyDescent="0.25">
      <c r="A78" s="18">
        <v>47</v>
      </c>
      <c r="B78" s="18">
        <v>5.64E-3</v>
      </c>
    </row>
    <row r="79" spans="1:2" x14ac:dyDescent="0.25">
      <c r="A79" s="18">
        <v>47.5</v>
      </c>
      <c r="B79" s="18">
        <v>5.3800000000000002E-3</v>
      </c>
    </row>
    <row r="80" spans="1:2" x14ac:dyDescent="0.25">
      <c r="A80" s="18">
        <v>48</v>
      </c>
      <c r="B80" s="18">
        <v>5.1200000000000004E-3</v>
      </c>
    </row>
    <row r="81" spans="1:2" x14ac:dyDescent="0.25">
      <c r="A81" s="18">
        <v>48.5</v>
      </c>
      <c r="B81" s="18">
        <v>4.8399999999999997E-3</v>
      </c>
    </row>
    <row r="82" spans="1:2" x14ac:dyDescent="0.25">
      <c r="A82" s="18">
        <v>49</v>
      </c>
      <c r="B82" s="18">
        <v>4.5999999999999999E-3</v>
      </c>
    </row>
    <row r="83" spans="1:2" x14ac:dyDescent="0.25">
      <c r="A83" s="18">
        <v>49.5</v>
      </c>
      <c r="B83" s="18">
        <v>4.3899999999999998E-3</v>
      </c>
    </row>
    <row r="84" spans="1:2" x14ac:dyDescent="0.25">
      <c r="A84" s="18">
        <v>50</v>
      </c>
      <c r="B84" s="18">
        <v>4.1099999999999999E-3</v>
      </c>
    </row>
    <row r="85" spans="1:2" x14ac:dyDescent="0.25">
      <c r="A85" s="18">
        <v>50.5</v>
      </c>
      <c r="B85" s="18">
        <v>3.9300000000000003E-3</v>
      </c>
    </row>
    <row r="86" spans="1:2" x14ac:dyDescent="0.25">
      <c r="A86" s="18">
        <v>51</v>
      </c>
      <c r="B86" s="18">
        <v>3.7699999999999999E-3</v>
      </c>
    </row>
    <row r="87" spans="1:2" x14ac:dyDescent="0.25">
      <c r="A87" s="18">
        <v>51.5</v>
      </c>
      <c r="B87" s="18">
        <v>3.5400000000000002E-3</v>
      </c>
    </row>
    <row r="88" spans="1:2" x14ac:dyDescent="0.25">
      <c r="A88" s="18">
        <v>52</v>
      </c>
      <c r="B88" s="18">
        <v>3.3400000000000001E-3</v>
      </c>
    </row>
    <row r="89" spans="1:2" x14ac:dyDescent="0.25">
      <c r="A89" s="18">
        <v>52.5</v>
      </c>
      <c r="B89" s="18">
        <v>3.1199999999999999E-3</v>
      </c>
    </row>
    <row r="90" spans="1:2" x14ac:dyDescent="0.25">
      <c r="A90" s="18">
        <v>53</v>
      </c>
      <c r="B90" s="18">
        <v>2.9099999999999998E-3</v>
      </c>
    </row>
    <row r="91" spans="1:2" x14ac:dyDescent="0.25">
      <c r="A91" s="18">
        <v>53.5</v>
      </c>
      <c r="B91" s="18">
        <v>2.7299999999999998E-3</v>
      </c>
    </row>
    <row r="92" spans="1:2" x14ac:dyDescent="0.25">
      <c r="A92" s="18">
        <v>54</v>
      </c>
      <c r="B92" s="18">
        <v>2.5500000000000002E-3</v>
      </c>
    </row>
    <row r="93" spans="1:2" x14ac:dyDescent="0.25">
      <c r="A93" s="18">
        <v>54.5</v>
      </c>
      <c r="B93" s="18">
        <v>2.3600000000000001E-3</v>
      </c>
    </row>
    <row r="94" spans="1:2" x14ac:dyDescent="0.25">
      <c r="A94" s="18">
        <v>55</v>
      </c>
      <c r="B94" s="18">
        <v>2.1700000000000001E-3</v>
      </c>
    </row>
    <row r="95" spans="1:2" x14ac:dyDescent="0.25">
      <c r="A95" s="18">
        <v>55.5</v>
      </c>
      <c r="B95" s="18">
        <v>1.99E-3</v>
      </c>
    </row>
    <row r="96" spans="1:2" x14ac:dyDescent="0.25">
      <c r="A96" s="18">
        <v>56</v>
      </c>
      <c r="B96" s="18">
        <v>1.81E-3</v>
      </c>
    </row>
    <row r="97" spans="1:2" x14ac:dyDescent="0.25">
      <c r="A97" s="18">
        <v>56.5</v>
      </c>
      <c r="B97" s="18">
        <v>1.6100000000000001E-3</v>
      </c>
    </row>
    <row r="98" spans="1:2" x14ac:dyDescent="0.25">
      <c r="A98" s="18">
        <v>57</v>
      </c>
      <c r="B98" s="18">
        <v>1.42E-3</v>
      </c>
    </row>
    <row r="99" spans="1:2" x14ac:dyDescent="0.25">
      <c r="A99" s="18">
        <v>57.5</v>
      </c>
      <c r="B99" s="18">
        <v>1.1999999999999999E-3</v>
      </c>
    </row>
    <row r="100" spans="1:2" x14ac:dyDescent="0.25">
      <c r="A100" s="18">
        <v>58</v>
      </c>
      <c r="B100" s="18">
        <v>1.01E-3</v>
      </c>
    </row>
    <row r="101" spans="1:2" x14ac:dyDescent="0.25">
      <c r="A101" s="18">
        <v>58.5</v>
      </c>
      <c r="B101" s="18">
        <v>8.1599999999999999E-4</v>
      </c>
    </row>
    <row r="102" spans="1:2" x14ac:dyDescent="0.25">
      <c r="A102" s="18">
        <v>59</v>
      </c>
      <c r="B102" s="18">
        <v>6.0999999999999997E-4</v>
      </c>
    </row>
    <row r="103" spans="1:2" x14ac:dyDescent="0.25">
      <c r="A103" s="18">
        <v>59.5</v>
      </c>
      <c r="B103" s="18">
        <v>3.77E-4</v>
      </c>
    </row>
    <row r="104" spans="1:2" x14ac:dyDescent="0.25">
      <c r="A104" s="18">
        <v>60</v>
      </c>
      <c r="B104" s="18">
        <v>1.1400000000000001E-4</v>
      </c>
    </row>
    <row r="105" spans="1:2" x14ac:dyDescent="0.25">
      <c r="A105" s="18">
        <v>60.5</v>
      </c>
      <c r="B105" s="18">
        <v>5.7200000000000003E-6</v>
      </c>
    </row>
    <row r="106" spans="1:2" x14ac:dyDescent="0.25">
      <c r="A106" s="18">
        <v>61</v>
      </c>
      <c r="B106" s="18">
        <v>2.6699999999999998E-6</v>
      </c>
    </row>
    <row r="107" spans="1:2" x14ac:dyDescent="0.25">
      <c r="A107" s="18">
        <v>61.5</v>
      </c>
      <c r="B107" s="18">
        <v>3.4999999999999999E-6</v>
      </c>
    </row>
    <row r="108" spans="1:2" x14ac:dyDescent="0.25">
      <c r="A108" s="18">
        <v>62</v>
      </c>
      <c r="B108" s="18">
        <v>3.3000000000000002E-6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dimension ref="A1:B12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4.3399999999999998E-4</v>
      </c>
    </row>
    <row r="3" spans="1:2" x14ac:dyDescent="0.25">
      <c r="A3" s="18">
        <v>9.5</v>
      </c>
      <c r="B3" s="18">
        <v>5.0100000000000003E-4</v>
      </c>
    </row>
    <row r="4" spans="1:2" x14ac:dyDescent="0.25">
      <c r="A4" s="18">
        <v>10</v>
      </c>
      <c r="B4" s="18">
        <v>9.7199999999999999E-4</v>
      </c>
    </row>
    <row r="5" spans="1:2" x14ac:dyDescent="0.25">
      <c r="A5" s="18">
        <v>10.5</v>
      </c>
      <c r="B5" s="18">
        <v>7.6199999999999998E-4</v>
      </c>
    </row>
    <row r="6" spans="1:2" x14ac:dyDescent="0.25">
      <c r="A6" s="18">
        <v>11</v>
      </c>
      <c r="B6" s="18">
        <v>6.0599999999999998E-4</v>
      </c>
    </row>
    <row r="7" spans="1:2" x14ac:dyDescent="0.25">
      <c r="A7" s="18">
        <v>11.5</v>
      </c>
      <c r="B7" s="18">
        <v>9.8299999999999993E-4</v>
      </c>
    </row>
    <row r="8" spans="1:2" x14ac:dyDescent="0.25">
      <c r="A8" s="18">
        <v>12</v>
      </c>
      <c r="B8" s="18">
        <v>8.6200000000000003E-4</v>
      </c>
    </row>
    <row r="9" spans="1:2" x14ac:dyDescent="0.25">
      <c r="A9" s="18">
        <v>12.5</v>
      </c>
      <c r="B9" s="18">
        <v>5.6999999999999998E-4</v>
      </c>
    </row>
    <row r="10" spans="1:2" x14ac:dyDescent="0.25">
      <c r="A10" s="18">
        <v>13</v>
      </c>
      <c r="B10" s="18">
        <v>7.1100000000000004E-4</v>
      </c>
    </row>
    <row r="11" spans="1:2" x14ac:dyDescent="0.25">
      <c r="A11" s="18">
        <v>13.5</v>
      </c>
      <c r="B11" s="18">
        <v>6.1499999999999999E-4</v>
      </c>
    </row>
    <row r="12" spans="1:2" x14ac:dyDescent="0.25">
      <c r="A12" s="18">
        <v>14</v>
      </c>
      <c r="B12" s="18">
        <v>9.2000000000000003E-4</v>
      </c>
    </row>
    <row r="13" spans="1:2" x14ac:dyDescent="0.25">
      <c r="A13" s="18">
        <v>14.5</v>
      </c>
      <c r="B13" s="18">
        <v>9.6400000000000001E-4</v>
      </c>
    </row>
    <row r="14" spans="1:2" x14ac:dyDescent="0.25">
      <c r="A14" s="18">
        <v>15</v>
      </c>
      <c r="B14" s="18">
        <v>1.4400000000000001E-3</v>
      </c>
    </row>
    <row r="15" spans="1:2" x14ac:dyDescent="0.25">
      <c r="A15" s="18">
        <v>15.5</v>
      </c>
      <c r="B15" s="18">
        <v>1.9300000000000001E-3</v>
      </c>
    </row>
    <row r="16" spans="1:2" x14ac:dyDescent="0.25">
      <c r="A16" s="18">
        <v>16</v>
      </c>
      <c r="B16" s="18">
        <v>2.5400000000000002E-3</v>
      </c>
    </row>
    <row r="17" spans="1:2" x14ac:dyDescent="0.25">
      <c r="A17" s="18">
        <v>16.5</v>
      </c>
      <c r="B17" s="18">
        <v>3.4499999999999999E-3</v>
      </c>
    </row>
    <row r="18" spans="1:2" x14ac:dyDescent="0.25">
      <c r="A18" s="18">
        <v>17</v>
      </c>
      <c r="B18" s="18">
        <v>4.62E-3</v>
      </c>
    </row>
    <row r="19" spans="1:2" x14ac:dyDescent="0.25">
      <c r="A19" s="18">
        <v>17.5</v>
      </c>
      <c r="B19" s="18">
        <v>5.8700000000000002E-3</v>
      </c>
    </row>
    <row r="20" spans="1:2" x14ac:dyDescent="0.25">
      <c r="A20" s="18">
        <v>18</v>
      </c>
      <c r="B20" s="18">
        <v>7.1399999999999996E-3</v>
      </c>
    </row>
    <row r="21" spans="1:2" x14ac:dyDescent="0.25">
      <c r="A21" s="18">
        <v>18.5</v>
      </c>
      <c r="B21" s="18">
        <v>8.5100000000000002E-3</v>
      </c>
    </row>
    <row r="22" spans="1:2" x14ac:dyDescent="0.25">
      <c r="A22" s="18">
        <v>19</v>
      </c>
      <c r="B22" s="18">
        <v>9.9500000000000005E-3</v>
      </c>
    </row>
    <row r="23" spans="1:2" x14ac:dyDescent="0.25">
      <c r="A23" s="18">
        <v>19.5</v>
      </c>
      <c r="B23" s="18">
        <v>1.14E-2</v>
      </c>
    </row>
    <row r="24" spans="1:2" x14ac:dyDescent="0.25">
      <c r="A24" s="18">
        <v>20</v>
      </c>
      <c r="B24" s="18">
        <v>1.2800000000000001E-2</v>
      </c>
    </row>
    <row r="25" spans="1:2" x14ac:dyDescent="0.25">
      <c r="A25" s="18">
        <v>20.5</v>
      </c>
      <c r="B25" s="18">
        <v>1.4200000000000001E-2</v>
      </c>
    </row>
    <row r="26" spans="1:2" x14ac:dyDescent="0.25">
      <c r="A26" s="18">
        <v>21</v>
      </c>
      <c r="B26" s="18">
        <v>1.55E-2</v>
      </c>
    </row>
    <row r="27" spans="1:2" x14ac:dyDescent="0.25">
      <c r="A27" s="18">
        <v>21.5</v>
      </c>
      <c r="B27" s="18">
        <v>1.6500000000000001E-2</v>
      </c>
    </row>
    <row r="28" spans="1:2" x14ac:dyDescent="0.25">
      <c r="A28" s="18">
        <v>22</v>
      </c>
      <c r="B28" s="18">
        <v>1.7500000000000002E-2</v>
      </c>
    </row>
    <row r="29" spans="1:2" x14ac:dyDescent="0.25">
      <c r="A29" s="18">
        <v>22.5</v>
      </c>
      <c r="B29" s="18">
        <v>1.8499999999999999E-2</v>
      </c>
    </row>
    <row r="30" spans="1:2" x14ac:dyDescent="0.25">
      <c r="A30" s="18">
        <v>23</v>
      </c>
      <c r="B30" s="18">
        <v>1.9300000000000001E-2</v>
      </c>
    </row>
    <row r="31" spans="1:2" x14ac:dyDescent="0.25">
      <c r="A31" s="18">
        <v>23.5</v>
      </c>
      <c r="B31" s="18">
        <v>1.9699999999999999E-2</v>
      </c>
    </row>
    <row r="32" spans="1:2" x14ac:dyDescent="0.25">
      <c r="A32" s="18">
        <v>24</v>
      </c>
      <c r="B32" s="18">
        <v>2.0299999999999999E-2</v>
      </c>
    </row>
    <row r="33" spans="1:2" x14ac:dyDescent="0.25">
      <c r="A33" s="18">
        <v>24.5</v>
      </c>
      <c r="B33" s="18">
        <v>2.07E-2</v>
      </c>
    </row>
    <row r="34" spans="1:2" x14ac:dyDescent="0.25">
      <c r="A34" s="18">
        <v>25</v>
      </c>
      <c r="B34" s="18">
        <v>2.1100000000000001E-2</v>
      </c>
    </row>
    <row r="35" spans="1:2" x14ac:dyDescent="0.25">
      <c r="A35" s="18">
        <v>25.5</v>
      </c>
      <c r="B35" s="18">
        <v>2.1100000000000001E-2</v>
      </c>
    </row>
    <row r="36" spans="1:2" x14ac:dyDescent="0.25">
      <c r="A36" s="18">
        <v>26</v>
      </c>
      <c r="B36" s="18">
        <v>2.1000000000000001E-2</v>
      </c>
    </row>
    <row r="37" spans="1:2" x14ac:dyDescent="0.25">
      <c r="A37" s="18">
        <v>26.5</v>
      </c>
      <c r="B37" s="18">
        <v>2.1100000000000001E-2</v>
      </c>
    </row>
    <row r="38" spans="1:2" x14ac:dyDescent="0.25">
      <c r="A38" s="18">
        <v>27</v>
      </c>
      <c r="B38" s="18">
        <v>2.0899999999999998E-2</v>
      </c>
    </row>
    <row r="39" spans="1:2" x14ac:dyDescent="0.25">
      <c r="A39" s="18">
        <v>27.5</v>
      </c>
      <c r="B39" s="18">
        <v>2.07E-2</v>
      </c>
    </row>
    <row r="40" spans="1:2" x14ac:dyDescent="0.25">
      <c r="A40" s="18">
        <v>28</v>
      </c>
      <c r="B40" s="18">
        <v>2.0500000000000001E-2</v>
      </c>
    </row>
    <row r="41" spans="1:2" x14ac:dyDescent="0.25">
      <c r="A41" s="18">
        <v>28.5</v>
      </c>
      <c r="B41" s="18">
        <v>2.01E-2</v>
      </c>
    </row>
    <row r="42" spans="1:2" x14ac:dyDescent="0.25">
      <c r="A42" s="18">
        <v>29</v>
      </c>
      <c r="B42" s="18">
        <v>1.9800000000000002E-2</v>
      </c>
    </row>
    <row r="43" spans="1:2" x14ac:dyDescent="0.25">
      <c r="A43" s="18">
        <v>29.5</v>
      </c>
      <c r="B43" s="18">
        <v>1.9300000000000001E-2</v>
      </c>
    </row>
    <row r="44" spans="1:2" x14ac:dyDescent="0.25">
      <c r="A44" s="18">
        <v>30</v>
      </c>
      <c r="B44" s="18">
        <v>1.89E-2</v>
      </c>
    </row>
    <row r="45" spans="1:2" x14ac:dyDescent="0.25">
      <c r="A45" s="18">
        <v>30.5</v>
      </c>
      <c r="B45" s="18">
        <v>1.8499999999999999E-2</v>
      </c>
    </row>
    <row r="46" spans="1:2" x14ac:dyDescent="0.25">
      <c r="A46" s="18">
        <v>31</v>
      </c>
      <c r="B46" s="18">
        <v>1.8200000000000001E-2</v>
      </c>
    </row>
    <row r="47" spans="1:2" x14ac:dyDescent="0.25">
      <c r="A47" s="18">
        <v>31.5</v>
      </c>
      <c r="B47" s="18">
        <v>1.77E-2</v>
      </c>
    </row>
    <row r="48" spans="1:2" x14ac:dyDescent="0.25">
      <c r="A48" s="18">
        <v>32</v>
      </c>
      <c r="B48" s="18">
        <v>1.7299999999999999E-2</v>
      </c>
    </row>
    <row r="49" spans="1:2" x14ac:dyDescent="0.25">
      <c r="A49" s="18">
        <v>32.5</v>
      </c>
      <c r="B49" s="18">
        <v>1.6899999999999998E-2</v>
      </c>
    </row>
    <row r="50" spans="1:2" x14ac:dyDescent="0.25">
      <c r="A50" s="18">
        <v>33</v>
      </c>
      <c r="B50" s="18">
        <v>1.6400000000000001E-2</v>
      </c>
    </row>
    <row r="51" spans="1:2" x14ac:dyDescent="0.25">
      <c r="A51" s="18">
        <v>33.5</v>
      </c>
      <c r="B51" s="18">
        <v>1.5900000000000001E-2</v>
      </c>
    </row>
    <row r="52" spans="1:2" x14ac:dyDescent="0.25">
      <c r="A52" s="18">
        <v>34</v>
      </c>
      <c r="B52" s="18">
        <v>1.55E-2</v>
      </c>
    </row>
    <row r="53" spans="1:2" x14ac:dyDescent="0.25">
      <c r="A53" s="18">
        <v>34.5</v>
      </c>
      <c r="B53" s="18">
        <v>1.4999999999999999E-2</v>
      </c>
    </row>
    <row r="54" spans="1:2" x14ac:dyDescent="0.25">
      <c r="A54" s="18">
        <v>35</v>
      </c>
      <c r="B54" s="18">
        <v>1.46E-2</v>
      </c>
    </row>
    <row r="55" spans="1:2" x14ac:dyDescent="0.25">
      <c r="A55" s="18">
        <v>35.5</v>
      </c>
      <c r="B55" s="18">
        <v>1.41E-2</v>
      </c>
    </row>
    <row r="56" spans="1:2" x14ac:dyDescent="0.25">
      <c r="A56" s="18">
        <v>36</v>
      </c>
      <c r="B56" s="18">
        <v>1.3599999999999999E-2</v>
      </c>
    </row>
    <row r="57" spans="1:2" x14ac:dyDescent="0.25">
      <c r="A57" s="18">
        <v>36.5</v>
      </c>
      <c r="B57" s="18">
        <v>1.32E-2</v>
      </c>
    </row>
    <row r="58" spans="1:2" x14ac:dyDescent="0.25">
      <c r="A58" s="18">
        <v>37</v>
      </c>
      <c r="B58" s="18">
        <v>1.2699999999999999E-2</v>
      </c>
    </row>
    <row r="59" spans="1:2" x14ac:dyDescent="0.25">
      <c r="A59" s="18">
        <v>37.5</v>
      </c>
      <c r="B59" s="18">
        <v>1.23E-2</v>
      </c>
    </row>
    <row r="60" spans="1:2" x14ac:dyDescent="0.25">
      <c r="A60" s="18">
        <v>38</v>
      </c>
      <c r="B60" s="18">
        <v>1.1900000000000001E-2</v>
      </c>
    </row>
    <row r="61" spans="1:2" x14ac:dyDescent="0.25">
      <c r="A61" s="18">
        <v>38.5</v>
      </c>
      <c r="B61" s="18">
        <v>1.14E-2</v>
      </c>
    </row>
    <row r="62" spans="1:2" x14ac:dyDescent="0.25">
      <c r="A62" s="18">
        <v>39</v>
      </c>
      <c r="B62" s="18">
        <v>1.11E-2</v>
      </c>
    </row>
    <row r="63" spans="1:2" x14ac:dyDescent="0.25">
      <c r="A63" s="18">
        <v>39.5</v>
      </c>
      <c r="B63" s="18">
        <v>1.0699999999999999E-2</v>
      </c>
    </row>
    <row r="64" spans="1:2" x14ac:dyDescent="0.25">
      <c r="A64" s="18">
        <v>40</v>
      </c>
      <c r="B64" s="18">
        <v>1.03E-2</v>
      </c>
    </row>
    <row r="65" spans="1:2" x14ac:dyDescent="0.25">
      <c r="A65" s="18">
        <v>40.5</v>
      </c>
      <c r="B65" s="18">
        <v>9.9699999999999997E-3</v>
      </c>
    </row>
    <row r="66" spans="1:2" x14ac:dyDescent="0.25">
      <c r="A66" s="18">
        <v>41</v>
      </c>
      <c r="B66" s="18">
        <v>9.7000000000000003E-3</v>
      </c>
    </row>
    <row r="67" spans="1:2" x14ac:dyDescent="0.25">
      <c r="A67" s="18">
        <v>41.5</v>
      </c>
      <c r="B67" s="18">
        <v>9.3500000000000007E-3</v>
      </c>
    </row>
    <row r="68" spans="1:2" x14ac:dyDescent="0.25">
      <c r="A68" s="18">
        <v>42</v>
      </c>
      <c r="B68" s="18">
        <v>9.1199999999999996E-3</v>
      </c>
    </row>
    <row r="69" spans="1:2" x14ac:dyDescent="0.25">
      <c r="A69" s="18">
        <v>42.5</v>
      </c>
      <c r="B69" s="18">
        <v>8.8100000000000001E-3</v>
      </c>
    </row>
    <row r="70" spans="1:2" x14ac:dyDescent="0.25">
      <c r="A70" s="18">
        <v>43</v>
      </c>
      <c r="B70" s="18">
        <v>8.5400000000000007E-3</v>
      </c>
    </row>
    <row r="71" spans="1:2" x14ac:dyDescent="0.25">
      <c r="A71" s="18">
        <v>43.5</v>
      </c>
      <c r="B71" s="18">
        <v>8.2799999999999992E-3</v>
      </c>
    </row>
    <row r="72" spans="1:2" x14ac:dyDescent="0.25">
      <c r="A72" s="18">
        <v>44</v>
      </c>
      <c r="B72" s="18">
        <v>7.9799999999999992E-3</v>
      </c>
    </row>
    <row r="73" spans="1:2" x14ac:dyDescent="0.25">
      <c r="A73" s="18">
        <v>44.5</v>
      </c>
      <c r="B73" s="18">
        <v>7.77E-3</v>
      </c>
    </row>
    <row r="74" spans="1:2" x14ac:dyDescent="0.25">
      <c r="A74" s="18">
        <v>45</v>
      </c>
      <c r="B74" s="18">
        <v>7.4400000000000004E-3</v>
      </c>
    </row>
    <row r="75" spans="1:2" x14ac:dyDescent="0.25">
      <c r="A75" s="18">
        <v>45.5</v>
      </c>
      <c r="B75" s="18">
        <v>7.2399999999999999E-3</v>
      </c>
    </row>
    <row r="76" spans="1:2" x14ac:dyDescent="0.25">
      <c r="A76" s="18">
        <v>46</v>
      </c>
      <c r="B76" s="18">
        <v>6.9699999999999996E-3</v>
      </c>
    </row>
    <row r="77" spans="1:2" x14ac:dyDescent="0.25">
      <c r="A77" s="18">
        <v>46.5</v>
      </c>
      <c r="B77" s="18">
        <v>6.7600000000000004E-3</v>
      </c>
    </row>
    <row r="78" spans="1:2" x14ac:dyDescent="0.25">
      <c r="A78" s="18">
        <v>47</v>
      </c>
      <c r="B78" s="18">
        <v>6.5399999999999998E-3</v>
      </c>
    </row>
    <row r="79" spans="1:2" x14ac:dyDescent="0.25">
      <c r="A79" s="18">
        <v>47.5</v>
      </c>
      <c r="B79" s="18">
        <v>6.28E-3</v>
      </c>
    </row>
    <row r="80" spans="1:2" x14ac:dyDescent="0.25">
      <c r="A80" s="18">
        <v>48</v>
      </c>
      <c r="B80" s="18">
        <v>6.0699999999999999E-3</v>
      </c>
    </row>
    <row r="81" spans="1:2" x14ac:dyDescent="0.25">
      <c r="A81" s="18">
        <v>48.5</v>
      </c>
      <c r="B81" s="18">
        <v>5.8300000000000001E-3</v>
      </c>
    </row>
    <row r="82" spans="1:2" x14ac:dyDescent="0.25">
      <c r="A82" s="18">
        <v>49</v>
      </c>
      <c r="B82" s="18">
        <v>5.5999999999999999E-3</v>
      </c>
    </row>
    <row r="83" spans="1:2" x14ac:dyDescent="0.25">
      <c r="A83" s="18">
        <v>49.5</v>
      </c>
      <c r="B83" s="18">
        <v>5.4200000000000003E-3</v>
      </c>
    </row>
    <row r="84" spans="1:2" x14ac:dyDescent="0.25">
      <c r="A84" s="18">
        <v>50</v>
      </c>
      <c r="B84" s="18">
        <v>5.2399999999999999E-3</v>
      </c>
    </row>
    <row r="85" spans="1:2" x14ac:dyDescent="0.25">
      <c r="A85" s="18">
        <v>50.5</v>
      </c>
      <c r="B85" s="18">
        <v>5.0499999999999998E-3</v>
      </c>
    </row>
    <row r="86" spans="1:2" x14ac:dyDescent="0.25">
      <c r="A86" s="18">
        <v>51</v>
      </c>
      <c r="B86" s="18">
        <v>4.8999999999999998E-3</v>
      </c>
    </row>
    <row r="87" spans="1:2" x14ac:dyDescent="0.25">
      <c r="A87" s="18">
        <v>51.5</v>
      </c>
      <c r="B87" s="18">
        <v>4.7400000000000003E-3</v>
      </c>
    </row>
    <row r="88" spans="1:2" x14ac:dyDescent="0.25">
      <c r="A88" s="18">
        <v>52</v>
      </c>
      <c r="B88" s="18">
        <v>4.5500000000000002E-3</v>
      </c>
    </row>
    <row r="89" spans="1:2" x14ac:dyDescent="0.25">
      <c r="A89" s="18">
        <v>52.5</v>
      </c>
      <c r="B89" s="18">
        <v>4.4400000000000004E-3</v>
      </c>
    </row>
    <row r="90" spans="1:2" x14ac:dyDescent="0.25">
      <c r="A90" s="18">
        <v>53</v>
      </c>
      <c r="B90" s="18">
        <v>4.2399999999999998E-3</v>
      </c>
    </row>
    <row r="91" spans="1:2" x14ac:dyDescent="0.25">
      <c r="A91" s="18">
        <v>53.5</v>
      </c>
      <c r="B91" s="18">
        <v>4.1000000000000003E-3</v>
      </c>
    </row>
    <row r="92" spans="1:2" x14ac:dyDescent="0.25">
      <c r="A92" s="18">
        <v>54</v>
      </c>
      <c r="B92" s="18">
        <v>4.0000000000000001E-3</v>
      </c>
    </row>
    <row r="93" spans="1:2" x14ac:dyDescent="0.25">
      <c r="A93" s="18">
        <v>54.5</v>
      </c>
      <c r="B93" s="18">
        <v>3.8400000000000001E-3</v>
      </c>
    </row>
    <row r="94" spans="1:2" x14ac:dyDescent="0.25">
      <c r="A94" s="18">
        <v>55</v>
      </c>
      <c r="B94" s="18">
        <v>3.7000000000000002E-3</v>
      </c>
    </row>
    <row r="95" spans="1:2" x14ac:dyDescent="0.25">
      <c r="A95" s="18">
        <v>55.5</v>
      </c>
      <c r="B95" s="18">
        <v>3.5599999999999998E-3</v>
      </c>
    </row>
    <row r="96" spans="1:2" x14ac:dyDescent="0.25">
      <c r="A96" s="18">
        <v>56</v>
      </c>
      <c r="B96" s="18">
        <v>3.4199999999999999E-3</v>
      </c>
    </row>
    <row r="97" spans="1:2" x14ac:dyDescent="0.25">
      <c r="A97" s="18">
        <v>56.5</v>
      </c>
      <c r="B97" s="18">
        <v>3.2799999999999999E-3</v>
      </c>
    </row>
    <row r="98" spans="1:2" x14ac:dyDescent="0.25">
      <c r="A98" s="18">
        <v>57</v>
      </c>
      <c r="B98" s="18">
        <v>3.16E-3</v>
      </c>
    </row>
    <row r="99" spans="1:2" x14ac:dyDescent="0.25">
      <c r="A99" s="18">
        <v>57.5</v>
      </c>
      <c r="B99" s="18">
        <v>3.0200000000000001E-3</v>
      </c>
    </row>
    <row r="100" spans="1:2" x14ac:dyDescent="0.25">
      <c r="A100" s="18">
        <v>58</v>
      </c>
      <c r="B100" s="18">
        <v>2.9199999999999999E-3</v>
      </c>
    </row>
    <row r="101" spans="1:2" x14ac:dyDescent="0.25">
      <c r="A101" s="18">
        <v>58.5</v>
      </c>
      <c r="B101" s="18">
        <v>2.7699999999999999E-3</v>
      </c>
    </row>
    <row r="102" spans="1:2" x14ac:dyDescent="0.25">
      <c r="A102" s="18">
        <v>59</v>
      </c>
      <c r="B102" s="18">
        <v>2.66E-3</v>
      </c>
    </row>
    <row r="103" spans="1:2" x14ac:dyDescent="0.25">
      <c r="A103" s="18">
        <v>59.5</v>
      </c>
      <c r="B103" s="18">
        <v>2.5300000000000001E-3</v>
      </c>
    </row>
    <row r="104" spans="1:2" x14ac:dyDescent="0.25">
      <c r="A104" s="18">
        <v>60</v>
      </c>
      <c r="B104" s="18">
        <v>2.4199999999999998E-3</v>
      </c>
    </row>
    <row r="105" spans="1:2" x14ac:dyDescent="0.25">
      <c r="A105" s="18">
        <v>60.5</v>
      </c>
      <c r="B105" s="18">
        <v>2.2899999999999999E-3</v>
      </c>
    </row>
    <row r="106" spans="1:2" x14ac:dyDescent="0.25">
      <c r="A106" s="18">
        <v>61</v>
      </c>
      <c r="B106" s="18">
        <v>2.1800000000000001E-3</v>
      </c>
    </row>
    <row r="107" spans="1:2" x14ac:dyDescent="0.25">
      <c r="A107" s="18">
        <v>61.5</v>
      </c>
      <c r="B107" s="18">
        <v>2.0799999999999998E-3</v>
      </c>
    </row>
    <row r="108" spans="1:2" x14ac:dyDescent="0.25">
      <c r="A108" s="18">
        <v>62</v>
      </c>
      <c r="B108" s="18">
        <v>1.99E-3</v>
      </c>
    </row>
    <row r="109" spans="1:2" x14ac:dyDescent="0.25">
      <c r="A109" s="18">
        <v>62.5</v>
      </c>
      <c r="B109" s="18">
        <v>1.89E-3</v>
      </c>
    </row>
    <row r="110" spans="1:2" x14ac:dyDescent="0.25">
      <c r="A110" s="18">
        <v>63</v>
      </c>
      <c r="B110" s="18">
        <v>1.7799999999999999E-3</v>
      </c>
    </row>
    <row r="111" spans="1:2" x14ac:dyDescent="0.25">
      <c r="A111" s="18">
        <v>63.5</v>
      </c>
      <c r="B111" s="18">
        <v>1.66E-3</v>
      </c>
    </row>
    <row r="112" spans="1:2" x14ac:dyDescent="0.25">
      <c r="A112" s="18">
        <v>64</v>
      </c>
      <c r="B112" s="18">
        <v>1.56E-3</v>
      </c>
    </row>
    <row r="113" spans="1:2" x14ac:dyDescent="0.25">
      <c r="A113" s="18">
        <v>64.5</v>
      </c>
      <c r="B113" s="18">
        <v>1.4599999999999999E-3</v>
      </c>
    </row>
    <row r="114" spans="1:2" x14ac:dyDescent="0.25">
      <c r="A114" s="18">
        <v>65</v>
      </c>
      <c r="B114" s="18">
        <v>1.34E-3</v>
      </c>
    </row>
    <row r="115" spans="1:2" x14ac:dyDescent="0.25">
      <c r="A115" s="18">
        <v>65.5</v>
      </c>
      <c r="B115" s="18">
        <v>1.2199999999999999E-3</v>
      </c>
    </row>
    <row r="116" spans="1:2" x14ac:dyDescent="0.25">
      <c r="A116" s="18">
        <v>66</v>
      </c>
      <c r="B116" s="18">
        <v>1.1199999999999999E-3</v>
      </c>
    </row>
    <row r="117" spans="1:2" x14ac:dyDescent="0.25">
      <c r="A117" s="18">
        <v>66.5</v>
      </c>
      <c r="B117" s="18">
        <v>9.9500000000000001E-4</v>
      </c>
    </row>
    <row r="118" spans="1:2" x14ac:dyDescent="0.25">
      <c r="A118" s="18">
        <v>67</v>
      </c>
      <c r="B118" s="18">
        <v>9.01E-4</v>
      </c>
    </row>
    <row r="119" spans="1:2" x14ac:dyDescent="0.25">
      <c r="A119" s="18">
        <v>67.5</v>
      </c>
      <c r="B119" s="18">
        <v>7.76E-4</v>
      </c>
    </row>
    <row r="120" spans="1:2" x14ac:dyDescent="0.25">
      <c r="A120" s="18">
        <v>68</v>
      </c>
      <c r="B120" s="18">
        <v>6.5700000000000003E-4</v>
      </c>
    </row>
    <row r="121" spans="1:2" x14ac:dyDescent="0.25">
      <c r="A121" s="18">
        <v>68.5</v>
      </c>
      <c r="B121" s="18">
        <v>5.1400000000000003E-4</v>
      </c>
    </row>
    <row r="122" spans="1:2" x14ac:dyDescent="0.25">
      <c r="A122" s="18">
        <v>69</v>
      </c>
      <c r="B122" s="18">
        <v>3.9100000000000002E-4</v>
      </c>
    </row>
    <row r="123" spans="1:2" x14ac:dyDescent="0.25">
      <c r="A123" s="18">
        <v>69.5</v>
      </c>
      <c r="B123" s="18">
        <v>2.4399999999999999E-4</v>
      </c>
    </row>
    <row r="124" spans="1:2" x14ac:dyDescent="0.25">
      <c r="A124" s="18">
        <v>70</v>
      </c>
      <c r="B124" s="18">
        <v>7.2200000000000007E-5</v>
      </c>
    </row>
    <row r="125" spans="1:2" x14ac:dyDescent="0.25">
      <c r="A125" s="18">
        <v>70.5</v>
      </c>
      <c r="B125" s="18">
        <v>4.8799999999999999E-6</v>
      </c>
    </row>
    <row r="126" spans="1:2" x14ac:dyDescent="0.25">
      <c r="A126" s="18">
        <v>71</v>
      </c>
      <c r="B126" s="18">
        <v>3.7000000000000002E-6</v>
      </c>
    </row>
    <row r="127" spans="1:2" x14ac:dyDescent="0.25">
      <c r="A127" s="18">
        <v>71.5</v>
      </c>
      <c r="B127" s="18">
        <v>3.8099999999999999E-6</v>
      </c>
    </row>
    <row r="128" spans="1:2" x14ac:dyDescent="0.25">
      <c r="A128" s="18">
        <v>72</v>
      </c>
      <c r="B128" s="18">
        <v>3.0599999999999999E-6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dimension ref="A1:B14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6.0899999999999995E-4</v>
      </c>
    </row>
    <row r="3" spans="1:2" x14ac:dyDescent="0.25">
      <c r="A3" s="18">
        <v>9.5</v>
      </c>
      <c r="B3" s="18">
        <v>4.2499999999999998E-4</v>
      </c>
    </row>
    <row r="4" spans="1:2" x14ac:dyDescent="0.25">
      <c r="A4" s="18">
        <v>10</v>
      </c>
      <c r="B4" s="18">
        <v>8.03E-4</v>
      </c>
    </row>
    <row r="5" spans="1:2" x14ac:dyDescent="0.25">
      <c r="A5" s="18">
        <v>10.5</v>
      </c>
      <c r="B5" s="18">
        <v>6.9499999999999998E-4</v>
      </c>
    </row>
    <row r="6" spans="1:2" x14ac:dyDescent="0.25">
      <c r="A6" s="18">
        <v>11</v>
      </c>
      <c r="B6" s="18">
        <v>6.8800000000000003E-4</v>
      </c>
    </row>
    <row r="7" spans="1:2" x14ac:dyDescent="0.25">
      <c r="A7" s="18">
        <v>11.5</v>
      </c>
      <c r="B7" s="18">
        <v>7.2900000000000005E-4</v>
      </c>
    </row>
    <row r="8" spans="1:2" x14ac:dyDescent="0.25">
      <c r="A8" s="18">
        <v>12</v>
      </c>
      <c r="B8" s="18">
        <v>7.2800000000000002E-4</v>
      </c>
    </row>
    <row r="9" spans="1:2" x14ac:dyDescent="0.25">
      <c r="A9" s="18">
        <v>12.5</v>
      </c>
      <c r="B9" s="18">
        <v>5.4000000000000001E-4</v>
      </c>
    </row>
    <row r="10" spans="1:2" x14ac:dyDescent="0.25">
      <c r="A10" s="18">
        <v>13</v>
      </c>
      <c r="B10" s="18">
        <v>7.5000000000000002E-4</v>
      </c>
    </row>
    <row r="11" spans="1:2" x14ac:dyDescent="0.25">
      <c r="A11" s="18">
        <v>13.5</v>
      </c>
      <c r="B11" s="18">
        <v>4.9799999999999996E-4</v>
      </c>
    </row>
    <row r="12" spans="1:2" x14ac:dyDescent="0.25">
      <c r="A12" s="18">
        <v>14</v>
      </c>
      <c r="B12" s="18">
        <v>7.54E-4</v>
      </c>
    </row>
    <row r="13" spans="1:2" x14ac:dyDescent="0.25">
      <c r="A13" s="18">
        <v>14.5</v>
      </c>
      <c r="B13" s="18">
        <v>8.8999999999999995E-4</v>
      </c>
    </row>
    <row r="14" spans="1:2" x14ac:dyDescent="0.25">
      <c r="A14" s="18">
        <v>15</v>
      </c>
      <c r="B14" s="18">
        <v>1.14E-3</v>
      </c>
    </row>
    <row r="15" spans="1:2" x14ac:dyDescent="0.25">
      <c r="A15" s="18">
        <v>15.5</v>
      </c>
      <c r="B15" s="18">
        <v>1.5499999999999999E-3</v>
      </c>
    </row>
    <row r="16" spans="1:2" x14ac:dyDescent="0.25">
      <c r="A16" s="18">
        <v>16</v>
      </c>
      <c r="B16" s="18">
        <v>2.2699999999999999E-3</v>
      </c>
    </row>
    <row r="17" spans="1:2" x14ac:dyDescent="0.25">
      <c r="A17" s="18">
        <v>16.5</v>
      </c>
      <c r="B17" s="18">
        <v>3.0100000000000001E-3</v>
      </c>
    </row>
    <row r="18" spans="1:2" x14ac:dyDescent="0.25">
      <c r="A18" s="18">
        <v>17</v>
      </c>
      <c r="B18" s="18">
        <v>3.96E-3</v>
      </c>
    </row>
    <row r="19" spans="1:2" x14ac:dyDescent="0.25">
      <c r="A19" s="18">
        <v>17.5</v>
      </c>
      <c r="B19" s="18">
        <v>4.8999999999999998E-3</v>
      </c>
    </row>
    <row r="20" spans="1:2" x14ac:dyDescent="0.25">
      <c r="A20" s="18">
        <v>18</v>
      </c>
      <c r="B20" s="18">
        <v>5.9899999999999997E-3</v>
      </c>
    </row>
    <row r="21" spans="1:2" x14ac:dyDescent="0.25">
      <c r="A21" s="18">
        <v>18.5</v>
      </c>
      <c r="B21" s="18">
        <v>7.3099999999999997E-3</v>
      </c>
    </row>
    <row r="22" spans="1:2" x14ac:dyDescent="0.25">
      <c r="A22" s="18">
        <v>19</v>
      </c>
      <c r="B22" s="18">
        <v>8.5500000000000003E-3</v>
      </c>
    </row>
    <row r="23" spans="1:2" x14ac:dyDescent="0.25">
      <c r="A23" s="18">
        <v>19.5</v>
      </c>
      <c r="B23" s="18">
        <v>9.8099999999999993E-3</v>
      </c>
    </row>
    <row r="24" spans="1:2" x14ac:dyDescent="0.25">
      <c r="A24" s="18">
        <v>20</v>
      </c>
      <c r="B24" s="18">
        <v>1.11E-2</v>
      </c>
    </row>
    <row r="25" spans="1:2" x14ac:dyDescent="0.25">
      <c r="A25" s="18">
        <v>20.5</v>
      </c>
      <c r="B25" s="18">
        <v>1.2200000000000001E-2</v>
      </c>
    </row>
    <row r="26" spans="1:2" x14ac:dyDescent="0.25">
      <c r="A26" s="18">
        <v>21</v>
      </c>
      <c r="B26" s="18">
        <v>1.35E-2</v>
      </c>
    </row>
    <row r="27" spans="1:2" x14ac:dyDescent="0.25">
      <c r="A27" s="18">
        <v>21.5</v>
      </c>
      <c r="B27" s="18">
        <v>1.44E-2</v>
      </c>
    </row>
    <row r="28" spans="1:2" x14ac:dyDescent="0.25">
      <c r="A28" s="18">
        <v>22</v>
      </c>
      <c r="B28" s="18">
        <v>1.54E-2</v>
      </c>
    </row>
    <row r="29" spans="1:2" x14ac:dyDescent="0.25">
      <c r="A29" s="18">
        <v>22.5</v>
      </c>
      <c r="B29" s="18">
        <v>1.6400000000000001E-2</v>
      </c>
    </row>
    <row r="30" spans="1:2" x14ac:dyDescent="0.25">
      <c r="A30" s="18">
        <v>23</v>
      </c>
      <c r="B30" s="18">
        <v>1.6899999999999998E-2</v>
      </c>
    </row>
    <row r="31" spans="1:2" x14ac:dyDescent="0.25">
      <c r="A31" s="18">
        <v>23.5</v>
      </c>
      <c r="B31" s="18">
        <v>1.77E-2</v>
      </c>
    </row>
    <row r="32" spans="1:2" x14ac:dyDescent="0.25">
      <c r="A32" s="18">
        <v>24</v>
      </c>
      <c r="B32" s="18">
        <v>1.8100000000000002E-2</v>
      </c>
    </row>
    <row r="33" spans="1:2" x14ac:dyDescent="0.25">
      <c r="A33" s="18">
        <v>24.5</v>
      </c>
      <c r="B33" s="18">
        <v>1.8499999999999999E-2</v>
      </c>
    </row>
    <row r="34" spans="1:2" x14ac:dyDescent="0.25">
      <c r="A34" s="18">
        <v>25</v>
      </c>
      <c r="B34" s="18">
        <v>1.8800000000000001E-2</v>
      </c>
    </row>
    <row r="35" spans="1:2" x14ac:dyDescent="0.25">
      <c r="A35" s="18">
        <v>25.5</v>
      </c>
      <c r="B35" s="18">
        <v>1.89E-2</v>
      </c>
    </row>
    <row r="36" spans="1:2" x14ac:dyDescent="0.25">
      <c r="A36" s="18">
        <v>26</v>
      </c>
      <c r="B36" s="18">
        <v>1.9099999999999999E-2</v>
      </c>
    </row>
    <row r="37" spans="1:2" x14ac:dyDescent="0.25">
      <c r="A37" s="18">
        <v>26.5</v>
      </c>
      <c r="B37" s="18">
        <v>1.9099999999999999E-2</v>
      </c>
    </row>
    <row r="38" spans="1:2" x14ac:dyDescent="0.25">
      <c r="A38" s="18">
        <v>27</v>
      </c>
      <c r="B38" s="18">
        <v>1.9099999999999999E-2</v>
      </c>
    </row>
    <row r="39" spans="1:2" x14ac:dyDescent="0.25">
      <c r="A39" s="18">
        <v>27.5</v>
      </c>
      <c r="B39" s="18">
        <v>1.8700000000000001E-2</v>
      </c>
    </row>
    <row r="40" spans="1:2" x14ac:dyDescent="0.25">
      <c r="A40" s="18">
        <v>28</v>
      </c>
      <c r="B40" s="18">
        <v>1.8700000000000001E-2</v>
      </c>
    </row>
    <row r="41" spans="1:2" x14ac:dyDescent="0.25">
      <c r="A41" s="18">
        <v>28.5</v>
      </c>
      <c r="B41" s="18">
        <v>1.84E-2</v>
      </c>
    </row>
    <row r="42" spans="1:2" x14ac:dyDescent="0.25">
      <c r="A42" s="18">
        <v>29</v>
      </c>
      <c r="B42" s="18">
        <v>1.8200000000000001E-2</v>
      </c>
    </row>
    <row r="43" spans="1:2" x14ac:dyDescent="0.25">
      <c r="A43" s="18">
        <v>29.5</v>
      </c>
      <c r="B43" s="18">
        <v>1.78E-2</v>
      </c>
    </row>
    <row r="44" spans="1:2" x14ac:dyDescent="0.25">
      <c r="A44" s="18">
        <v>30</v>
      </c>
      <c r="B44" s="18">
        <v>1.7500000000000002E-2</v>
      </c>
    </row>
    <row r="45" spans="1:2" x14ac:dyDescent="0.25">
      <c r="A45" s="18">
        <v>30.5</v>
      </c>
      <c r="B45" s="18">
        <v>1.72E-2</v>
      </c>
    </row>
    <row r="46" spans="1:2" x14ac:dyDescent="0.25">
      <c r="A46" s="18">
        <v>31</v>
      </c>
      <c r="B46" s="18">
        <v>1.6899999999999998E-2</v>
      </c>
    </row>
    <row r="47" spans="1:2" x14ac:dyDescent="0.25">
      <c r="A47" s="18">
        <v>31.5</v>
      </c>
      <c r="B47" s="18">
        <v>1.66E-2</v>
      </c>
    </row>
    <row r="48" spans="1:2" x14ac:dyDescent="0.25">
      <c r="A48" s="18">
        <v>32</v>
      </c>
      <c r="B48" s="18">
        <v>1.61E-2</v>
      </c>
    </row>
    <row r="49" spans="1:2" x14ac:dyDescent="0.25">
      <c r="A49" s="18">
        <v>32.5</v>
      </c>
      <c r="B49" s="18">
        <v>1.5800000000000002E-2</v>
      </c>
    </row>
    <row r="50" spans="1:2" x14ac:dyDescent="0.25">
      <c r="A50" s="18">
        <v>33</v>
      </c>
      <c r="B50" s="18">
        <v>1.55E-2</v>
      </c>
    </row>
    <row r="51" spans="1:2" x14ac:dyDescent="0.25">
      <c r="A51" s="18">
        <v>33.5</v>
      </c>
      <c r="B51" s="18">
        <v>1.4999999999999999E-2</v>
      </c>
    </row>
    <row r="52" spans="1:2" x14ac:dyDescent="0.25">
      <c r="A52" s="18">
        <v>34</v>
      </c>
      <c r="B52" s="18">
        <v>1.46E-2</v>
      </c>
    </row>
    <row r="53" spans="1:2" x14ac:dyDescent="0.25">
      <c r="A53" s="18">
        <v>34.5</v>
      </c>
      <c r="B53" s="18">
        <v>1.43E-2</v>
      </c>
    </row>
    <row r="54" spans="1:2" x14ac:dyDescent="0.25">
      <c r="A54" s="18">
        <v>35</v>
      </c>
      <c r="B54" s="18">
        <v>1.38E-2</v>
      </c>
    </row>
    <row r="55" spans="1:2" x14ac:dyDescent="0.25">
      <c r="A55" s="18">
        <v>35.5</v>
      </c>
      <c r="B55" s="18">
        <v>1.35E-2</v>
      </c>
    </row>
    <row r="56" spans="1:2" x14ac:dyDescent="0.25">
      <c r="A56" s="18">
        <v>36</v>
      </c>
      <c r="B56" s="18">
        <v>1.3100000000000001E-2</v>
      </c>
    </row>
    <row r="57" spans="1:2" x14ac:dyDescent="0.25">
      <c r="A57" s="18">
        <v>36.5</v>
      </c>
      <c r="B57" s="18">
        <v>1.2699999999999999E-2</v>
      </c>
    </row>
    <row r="58" spans="1:2" x14ac:dyDescent="0.25">
      <c r="A58" s="18">
        <v>37</v>
      </c>
      <c r="B58" s="18">
        <v>1.23E-2</v>
      </c>
    </row>
    <row r="59" spans="1:2" x14ac:dyDescent="0.25">
      <c r="A59" s="18">
        <v>37.5</v>
      </c>
      <c r="B59" s="18">
        <v>1.1900000000000001E-2</v>
      </c>
    </row>
    <row r="60" spans="1:2" x14ac:dyDescent="0.25">
      <c r="A60" s="18">
        <v>38</v>
      </c>
      <c r="B60" s="18">
        <v>1.15E-2</v>
      </c>
    </row>
    <row r="61" spans="1:2" x14ac:dyDescent="0.25">
      <c r="A61" s="18">
        <v>38.5</v>
      </c>
      <c r="B61" s="18">
        <v>1.12E-2</v>
      </c>
    </row>
    <row r="62" spans="1:2" x14ac:dyDescent="0.25">
      <c r="A62" s="18">
        <v>39</v>
      </c>
      <c r="B62" s="18">
        <v>1.0800000000000001E-2</v>
      </c>
    </row>
    <row r="63" spans="1:2" x14ac:dyDescent="0.25">
      <c r="A63" s="18">
        <v>39.5</v>
      </c>
      <c r="B63" s="18">
        <v>1.0500000000000001E-2</v>
      </c>
    </row>
    <row r="64" spans="1:2" x14ac:dyDescent="0.25">
      <c r="A64" s="18">
        <v>40</v>
      </c>
      <c r="B64" s="18">
        <v>1.01E-2</v>
      </c>
    </row>
    <row r="65" spans="1:2" x14ac:dyDescent="0.25">
      <c r="A65" s="18">
        <v>40.5</v>
      </c>
      <c r="B65" s="18">
        <v>9.8099999999999993E-3</v>
      </c>
    </row>
    <row r="66" spans="1:2" x14ac:dyDescent="0.25">
      <c r="A66" s="18">
        <v>41</v>
      </c>
      <c r="B66" s="18">
        <v>9.5999999999999992E-3</v>
      </c>
    </row>
    <row r="67" spans="1:2" x14ac:dyDescent="0.25">
      <c r="A67" s="18">
        <v>41.5</v>
      </c>
      <c r="B67" s="18">
        <v>9.3399999999999993E-3</v>
      </c>
    </row>
    <row r="68" spans="1:2" x14ac:dyDescent="0.25">
      <c r="A68" s="18">
        <v>42</v>
      </c>
      <c r="B68" s="18">
        <v>9.0500000000000008E-3</v>
      </c>
    </row>
    <row r="69" spans="1:2" x14ac:dyDescent="0.25">
      <c r="A69" s="18">
        <v>42.5</v>
      </c>
      <c r="B69" s="18">
        <v>8.8299999999999993E-3</v>
      </c>
    </row>
    <row r="70" spans="1:2" x14ac:dyDescent="0.25">
      <c r="A70" s="18">
        <v>43</v>
      </c>
      <c r="B70" s="18">
        <v>8.5699999999999995E-3</v>
      </c>
    </row>
    <row r="71" spans="1:2" x14ac:dyDescent="0.25">
      <c r="A71" s="18">
        <v>43.5</v>
      </c>
      <c r="B71" s="18">
        <v>8.3000000000000001E-3</v>
      </c>
    </row>
    <row r="72" spans="1:2" x14ac:dyDescent="0.25">
      <c r="A72" s="18">
        <v>44</v>
      </c>
      <c r="B72" s="18">
        <v>8.0700000000000008E-3</v>
      </c>
    </row>
    <row r="73" spans="1:2" x14ac:dyDescent="0.25">
      <c r="A73" s="18">
        <v>44.5</v>
      </c>
      <c r="B73" s="18">
        <v>7.8399999999999997E-3</v>
      </c>
    </row>
    <row r="74" spans="1:2" x14ac:dyDescent="0.25">
      <c r="A74" s="18">
        <v>45</v>
      </c>
      <c r="B74" s="18">
        <v>7.6099999999999996E-3</v>
      </c>
    </row>
    <row r="75" spans="1:2" x14ac:dyDescent="0.25">
      <c r="A75" s="18">
        <v>45.5</v>
      </c>
      <c r="B75" s="18">
        <v>7.4099999999999999E-3</v>
      </c>
    </row>
    <row r="76" spans="1:2" x14ac:dyDescent="0.25">
      <c r="A76" s="18">
        <v>46</v>
      </c>
      <c r="B76" s="18">
        <v>7.1999999999999998E-3</v>
      </c>
    </row>
    <row r="77" spans="1:2" x14ac:dyDescent="0.25">
      <c r="A77" s="18">
        <v>46.5</v>
      </c>
      <c r="B77" s="18">
        <v>6.9699999999999996E-3</v>
      </c>
    </row>
    <row r="78" spans="1:2" x14ac:dyDescent="0.25">
      <c r="A78" s="18">
        <v>47</v>
      </c>
      <c r="B78" s="18">
        <v>6.7799999999999996E-3</v>
      </c>
    </row>
    <row r="79" spans="1:2" x14ac:dyDescent="0.25">
      <c r="A79" s="18">
        <v>47.5</v>
      </c>
      <c r="B79" s="18">
        <v>6.5399999999999998E-3</v>
      </c>
    </row>
    <row r="80" spans="1:2" x14ac:dyDescent="0.25">
      <c r="A80" s="18">
        <v>48</v>
      </c>
      <c r="B80" s="18">
        <v>6.3400000000000001E-3</v>
      </c>
    </row>
    <row r="81" spans="1:2" x14ac:dyDescent="0.25">
      <c r="A81" s="18">
        <v>48.5</v>
      </c>
      <c r="B81" s="18">
        <v>6.1599999999999997E-3</v>
      </c>
    </row>
    <row r="82" spans="1:2" x14ac:dyDescent="0.25">
      <c r="A82" s="18">
        <v>49</v>
      </c>
      <c r="B82" s="18">
        <v>5.9500000000000004E-3</v>
      </c>
    </row>
    <row r="83" spans="1:2" x14ac:dyDescent="0.25">
      <c r="A83" s="18">
        <v>49.5</v>
      </c>
      <c r="B83" s="18">
        <v>5.77E-3</v>
      </c>
    </row>
    <row r="84" spans="1:2" x14ac:dyDescent="0.25">
      <c r="A84" s="18">
        <v>50</v>
      </c>
      <c r="B84" s="18">
        <v>5.6299999999999996E-3</v>
      </c>
    </row>
    <row r="85" spans="1:2" x14ac:dyDescent="0.25">
      <c r="A85" s="18">
        <v>50.5</v>
      </c>
      <c r="B85" s="18">
        <v>5.4799999999999996E-3</v>
      </c>
    </row>
    <row r="86" spans="1:2" x14ac:dyDescent="0.25">
      <c r="A86" s="18">
        <v>51</v>
      </c>
      <c r="B86" s="18">
        <v>5.3299999999999997E-3</v>
      </c>
    </row>
    <row r="87" spans="1:2" x14ac:dyDescent="0.25">
      <c r="A87" s="18">
        <v>51.5</v>
      </c>
      <c r="B87" s="18">
        <v>5.1900000000000002E-3</v>
      </c>
    </row>
    <row r="88" spans="1:2" x14ac:dyDescent="0.25">
      <c r="A88" s="18">
        <v>52</v>
      </c>
      <c r="B88" s="18">
        <v>5.0499999999999998E-3</v>
      </c>
    </row>
    <row r="89" spans="1:2" x14ac:dyDescent="0.25">
      <c r="A89" s="18">
        <v>52.5</v>
      </c>
      <c r="B89" s="18">
        <v>4.9100000000000003E-3</v>
      </c>
    </row>
    <row r="90" spans="1:2" x14ac:dyDescent="0.25">
      <c r="A90" s="18">
        <v>53</v>
      </c>
      <c r="B90" s="18">
        <v>4.81E-3</v>
      </c>
    </row>
    <row r="91" spans="1:2" x14ac:dyDescent="0.25">
      <c r="A91" s="18">
        <v>53.5</v>
      </c>
      <c r="B91" s="18">
        <v>4.7000000000000002E-3</v>
      </c>
    </row>
    <row r="92" spans="1:2" x14ac:dyDescent="0.25">
      <c r="A92" s="18">
        <v>54</v>
      </c>
      <c r="B92" s="18">
        <v>4.5199999999999997E-3</v>
      </c>
    </row>
    <row r="93" spans="1:2" x14ac:dyDescent="0.25">
      <c r="A93" s="18">
        <v>54.5</v>
      </c>
      <c r="B93" s="18">
        <v>4.4299999999999999E-3</v>
      </c>
    </row>
    <row r="94" spans="1:2" x14ac:dyDescent="0.25">
      <c r="A94" s="18">
        <v>55</v>
      </c>
      <c r="B94" s="18">
        <v>4.2900000000000004E-3</v>
      </c>
    </row>
    <row r="95" spans="1:2" x14ac:dyDescent="0.25">
      <c r="A95" s="18">
        <v>55.5</v>
      </c>
      <c r="B95" s="18">
        <v>4.2100000000000002E-3</v>
      </c>
    </row>
    <row r="96" spans="1:2" x14ac:dyDescent="0.25">
      <c r="A96" s="18">
        <v>56</v>
      </c>
      <c r="B96" s="18">
        <v>4.0699999999999998E-3</v>
      </c>
    </row>
    <row r="97" spans="1:2" x14ac:dyDescent="0.25">
      <c r="A97" s="18">
        <v>56.5</v>
      </c>
      <c r="B97" s="18">
        <v>3.9699999999999996E-3</v>
      </c>
    </row>
    <row r="98" spans="1:2" x14ac:dyDescent="0.25">
      <c r="A98" s="18">
        <v>57</v>
      </c>
      <c r="B98" s="18">
        <v>3.8600000000000001E-3</v>
      </c>
    </row>
    <row r="99" spans="1:2" x14ac:dyDescent="0.25">
      <c r="A99" s="18">
        <v>57.5</v>
      </c>
      <c r="B99" s="18">
        <v>3.9100000000000003E-3</v>
      </c>
    </row>
    <row r="100" spans="1:2" x14ac:dyDescent="0.25">
      <c r="A100" s="18">
        <v>58</v>
      </c>
      <c r="B100" s="18">
        <v>5.7499999999999999E-3</v>
      </c>
    </row>
    <row r="101" spans="1:2" x14ac:dyDescent="0.25">
      <c r="A101" s="18">
        <v>58.5</v>
      </c>
      <c r="B101" s="18">
        <v>3.8899999999999998E-3</v>
      </c>
    </row>
    <row r="102" spans="1:2" x14ac:dyDescent="0.25">
      <c r="A102" s="18">
        <v>59</v>
      </c>
      <c r="B102" s="18">
        <v>4.4999999999999997E-3</v>
      </c>
    </row>
    <row r="103" spans="1:2" x14ac:dyDescent="0.25">
      <c r="A103" s="18">
        <v>59.5</v>
      </c>
      <c r="B103" s="18">
        <v>6.7299999999999999E-3</v>
      </c>
    </row>
    <row r="104" spans="1:2" x14ac:dyDescent="0.25">
      <c r="A104" s="18">
        <v>60</v>
      </c>
      <c r="B104" s="18">
        <v>3.3300000000000001E-3</v>
      </c>
    </row>
    <row r="105" spans="1:2" x14ac:dyDescent="0.25">
      <c r="A105" s="18">
        <v>60.5</v>
      </c>
      <c r="B105" s="18">
        <v>3.14E-3</v>
      </c>
    </row>
    <row r="106" spans="1:2" x14ac:dyDescent="0.25">
      <c r="A106" s="18">
        <v>61</v>
      </c>
      <c r="B106" s="18">
        <v>3.0799999999999998E-3</v>
      </c>
    </row>
    <row r="107" spans="1:2" x14ac:dyDescent="0.25">
      <c r="A107" s="18">
        <v>61.5</v>
      </c>
      <c r="B107" s="18">
        <v>2.97E-3</v>
      </c>
    </row>
    <row r="108" spans="1:2" x14ac:dyDescent="0.25">
      <c r="A108" s="18">
        <v>62</v>
      </c>
      <c r="B108" s="18">
        <v>2.9099999999999998E-3</v>
      </c>
    </row>
    <row r="109" spans="1:2" x14ac:dyDescent="0.25">
      <c r="A109" s="18">
        <v>62.5</v>
      </c>
      <c r="B109" s="18">
        <v>2.82E-3</v>
      </c>
    </row>
    <row r="110" spans="1:2" x14ac:dyDescent="0.25">
      <c r="A110" s="18">
        <v>63</v>
      </c>
      <c r="B110" s="18">
        <v>2.7499999999999998E-3</v>
      </c>
    </row>
    <row r="111" spans="1:2" x14ac:dyDescent="0.25">
      <c r="A111" s="18">
        <v>63.5</v>
      </c>
      <c r="B111" s="18">
        <v>2.65E-3</v>
      </c>
    </row>
    <row r="112" spans="1:2" x14ac:dyDescent="0.25">
      <c r="A112" s="18">
        <v>64</v>
      </c>
      <c r="B112" s="18">
        <v>2.5899999999999999E-3</v>
      </c>
    </row>
    <row r="113" spans="1:2" x14ac:dyDescent="0.25">
      <c r="A113" s="18">
        <v>64.5</v>
      </c>
      <c r="B113" s="18">
        <v>2.5200000000000001E-3</v>
      </c>
    </row>
    <row r="114" spans="1:2" x14ac:dyDescent="0.25">
      <c r="A114" s="18">
        <v>65</v>
      </c>
      <c r="B114" s="18">
        <v>2.4199999999999998E-3</v>
      </c>
    </row>
    <row r="115" spans="1:2" x14ac:dyDescent="0.25">
      <c r="A115" s="18">
        <v>65.5</v>
      </c>
      <c r="B115" s="18">
        <v>2.3600000000000001E-3</v>
      </c>
    </row>
    <row r="116" spans="1:2" x14ac:dyDescent="0.25">
      <c r="A116" s="18">
        <v>66</v>
      </c>
      <c r="B116" s="18">
        <v>2.2899999999999999E-3</v>
      </c>
    </row>
    <row r="117" spans="1:2" x14ac:dyDescent="0.25">
      <c r="A117" s="18">
        <v>66.5</v>
      </c>
      <c r="B117" s="18">
        <v>2.2699999999999999E-3</v>
      </c>
    </row>
    <row r="118" spans="1:2" x14ac:dyDescent="0.25">
      <c r="A118" s="18">
        <v>67</v>
      </c>
      <c r="B118" s="18">
        <v>3.0000000000000001E-3</v>
      </c>
    </row>
    <row r="119" spans="1:2" x14ac:dyDescent="0.25">
      <c r="A119" s="18">
        <v>67.5</v>
      </c>
      <c r="B119" s="18">
        <v>2.82E-3</v>
      </c>
    </row>
    <row r="120" spans="1:2" x14ac:dyDescent="0.25">
      <c r="A120" s="18">
        <v>68</v>
      </c>
      <c r="B120" s="18">
        <v>2.0200000000000001E-3</v>
      </c>
    </row>
    <row r="121" spans="1:2" x14ac:dyDescent="0.25">
      <c r="A121" s="18">
        <v>68.5</v>
      </c>
      <c r="B121" s="18">
        <v>1.9E-3</v>
      </c>
    </row>
    <row r="122" spans="1:2" x14ac:dyDescent="0.25">
      <c r="A122" s="18">
        <v>69</v>
      </c>
      <c r="B122" s="18">
        <v>2.1099999999999999E-3</v>
      </c>
    </row>
    <row r="123" spans="1:2" x14ac:dyDescent="0.25">
      <c r="A123" s="18">
        <v>69.5</v>
      </c>
      <c r="B123" s="18">
        <v>1.8799999999999999E-3</v>
      </c>
    </row>
    <row r="124" spans="1:2" x14ac:dyDescent="0.25">
      <c r="A124" s="18">
        <v>70</v>
      </c>
      <c r="B124" s="18">
        <v>1.6100000000000001E-3</v>
      </c>
    </row>
    <row r="125" spans="1:2" x14ac:dyDescent="0.25">
      <c r="A125" s="18">
        <v>70.5</v>
      </c>
      <c r="B125" s="18">
        <v>1.5299999999999999E-3</v>
      </c>
    </row>
    <row r="126" spans="1:2" x14ac:dyDescent="0.25">
      <c r="A126" s="18">
        <v>71</v>
      </c>
      <c r="B126" s="18">
        <v>1.47E-3</v>
      </c>
    </row>
    <row r="127" spans="1:2" x14ac:dyDescent="0.25">
      <c r="A127" s="18">
        <v>71.5</v>
      </c>
      <c r="B127" s="18">
        <v>1.4E-3</v>
      </c>
    </row>
    <row r="128" spans="1:2" x14ac:dyDescent="0.25">
      <c r="A128" s="18">
        <v>72</v>
      </c>
      <c r="B128" s="18">
        <v>1.33E-3</v>
      </c>
    </row>
    <row r="129" spans="1:2" x14ac:dyDescent="0.25">
      <c r="A129" s="18">
        <v>72.5</v>
      </c>
      <c r="B129" s="18">
        <v>1.2800000000000001E-3</v>
      </c>
    </row>
    <row r="130" spans="1:2" x14ac:dyDescent="0.25">
      <c r="A130" s="18">
        <v>73</v>
      </c>
      <c r="B130" s="18">
        <v>1.1999999999999999E-3</v>
      </c>
    </row>
    <row r="131" spans="1:2" x14ac:dyDescent="0.25">
      <c r="A131" s="18">
        <v>73.5</v>
      </c>
      <c r="B131" s="18">
        <v>1.1299999999999999E-3</v>
      </c>
    </row>
    <row r="132" spans="1:2" x14ac:dyDescent="0.25">
      <c r="A132" s="18">
        <v>74</v>
      </c>
      <c r="B132" s="18">
        <v>1.0499999999999999E-3</v>
      </c>
    </row>
    <row r="133" spans="1:2" x14ac:dyDescent="0.25">
      <c r="A133" s="18">
        <v>74.5</v>
      </c>
      <c r="B133" s="18">
        <v>9.810000000000001E-4</v>
      </c>
    </row>
    <row r="134" spans="1:2" x14ac:dyDescent="0.25">
      <c r="A134" s="18">
        <v>75</v>
      </c>
      <c r="B134" s="18">
        <v>9.1E-4</v>
      </c>
    </row>
    <row r="135" spans="1:2" x14ac:dyDescent="0.25">
      <c r="A135" s="18">
        <v>75.5</v>
      </c>
      <c r="B135" s="18">
        <v>8.2899999999999998E-4</v>
      </c>
    </row>
    <row r="136" spans="1:2" x14ac:dyDescent="0.25">
      <c r="A136" s="18">
        <v>76</v>
      </c>
      <c r="B136" s="18">
        <v>7.5900000000000002E-4</v>
      </c>
    </row>
    <row r="137" spans="1:2" x14ac:dyDescent="0.25">
      <c r="A137" s="18">
        <v>76.5</v>
      </c>
      <c r="B137" s="18">
        <v>6.8900000000000005E-4</v>
      </c>
    </row>
    <row r="138" spans="1:2" x14ac:dyDescent="0.25">
      <c r="A138" s="18">
        <v>77</v>
      </c>
      <c r="B138" s="18">
        <v>6.0599999999999998E-4</v>
      </c>
    </row>
    <row r="139" spans="1:2" x14ac:dyDescent="0.25">
      <c r="A139" s="18">
        <v>77.5</v>
      </c>
      <c r="B139" s="18">
        <v>5.22E-4</v>
      </c>
    </row>
    <row r="140" spans="1:2" x14ac:dyDescent="0.25">
      <c r="A140" s="18">
        <v>78</v>
      </c>
      <c r="B140" s="18">
        <v>4.4799999999999999E-4</v>
      </c>
    </row>
    <row r="141" spans="1:2" x14ac:dyDescent="0.25">
      <c r="A141" s="18">
        <v>78.5</v>
      </c>
      <c r="B141" s="18">
        <v>3.5500000000000001E-4</v>
      </c>
    </row>
    <row r="142" spans="1:2" x14ac:dyDescent="0.25">
      <c r="A142" s="18">
        <v>79</v>
      </c>
      <c r="B142" s="18">
        <v>2.6200000000000003E-4</v>
      </c>
    </row>
    <row r="143" spans="1:2" x14ac:dyDescent="0.25">
      <c r="A143" s="18">
        <v>79.5</v>
      </c>
      <c r="B143" s="18">
        <v>1.65E-4</v>
      </c>
    </row>
    <row r="144" spans="1:2" x14ac:dyDescent="0.25">
      <c r="A144" s="18">
        <v>80</v>
      </c>
      <c r="B144" s="18">
        <v>5.6799999999999998E-5</v>
      </c>
    </row>
    <row r="145" spans="1:2" x14ac:dyDescent="0.25">
      <c r="A145" s="18">
        <v>80.5</v>
      </c>
      <c r="B145" s="18">
        <v>6.8900000000000001E-6</v>
      </c>
    </row>
    <row r="146" spans="1:2" x14ac:dyDescent="0.25">
      <c r="A146" s="18">
        <v>81</v>
      </c>
      <c r="B146" s="18">
        <v>5.9000000000000003E-6</v>
      </c>
    </row>
    <row r="147" spans="1:2" x14ac:dyDescent="0.25">
      <c r="A147" s="18">
        <v>81.5</v>
      </c>
      <c r="B147" s="18">
        <v>5.8100000000000003E-6</v>
      </c>
    </row>
    <row r="148" spans="1:2" x14ac:dyDescent="0.25">
      <c r="A148" s="18">
        <v>82</v>
      </c>
      <c r="B148" s="18">
        <v>7.1400000000000002E-6</v>
      </c>
    </row>
  </sheetData>
  <pageMargins left="0.7" right="0.7" top="0.75" bottom="0.75" header="0.3" footer="0.3"/>
  <pageSetup paperSize="9" orientation="portrait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dimension ref="A1:B16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3.19E-4</v>
      </c>
    </row>
    <row r="3" spans="1:2" x14ac:dyDescent="0.25">
      <c r="A3" s="18">
        <v>9.5</v>
      </c>
      <c r="B3" s="18">
        <v>3.8999999999999999E-4</v>
      </c>
    </row>
    <row r="4" spans="1:2" x14ac:dyDescent="0.25">
      <c r="A4" s="18">
        <v>10</v>
      </c>
      <c r="B4" s="18">
        <v>5.5199999999999997E-4</v>
      </c>
    </row>
    <row r="5" spans="1:2" x14ac:dyDescent="0.25">
      <c r="A5" s="18">
        <v>10.5</v>
      </c>
      <c r="B5" s="18">
        <v>7.8600000000000002E-4</v>
      </c>
    </row>
    <row r="6" spans="1:2" x14ac:dyDescent="0.25">
      <c r="A6" s="18">
        <v>11</v>
      </c>
      <c r="B6" s="18">
        <v>7.2199999999999999E-4</v>
      </c>
    </row>
    <row r="7" spans="1:2" x14ac:dyDescent="0.25">
      <c r="A7" s="18">
        <v>11.5</v>
      </c>
      <c r="B7" s="18">
        <v>6.4199999999999999E-4</v>
      </c>
    </row>
    <row r="8" spans="1:2" x14ac:dyDescent="0.25">
      <c r="A8" s="18">
        <v>12</v>
      </c>
      <c r="B8" s="18">
        <v>6.7400000000000001E-4</v>
      </c>
    </row>
    <row r="9" spans="1:2" x14ac:dyDescent="0.25">
      <c r="A9" s="18">
        <v>12.5</v>
      </c>
      <c r="B9" s="18">
        <v>6.38E-4</v>
      </c>
    </row>
    <row r="10" spans="1:2" x14ac:dyDescent="0.25">
      <c r="A10" s="18">
        <v>13</v>
      </c>
      <c r="B10" s="18">
        <v>4.6099999999999998E-4</v>
      </c>
    </row>
    <row r="11" spans="1:2" x14ac:dyDescent="0.25">
      <c r="A11" s="18">
        <v>13.5</v>
      </c>
      <c r="B11" s="18">
        <v>5.2300000000000003E-4</v>
      </c>
    </row>
    <row r="12" spans="1:2" x14ac:dyDescent="0.25">
      <c r="A12" s="18">
        <v>14</v>
      </c>
      <c r="B12" s="18">
        <v>7.5299999999999998E-4</v>
      </c>
    </row>
    <row r="13" spans="1:2" x14ac:dyDescent="0.25">
      <c r="A13" s="18">
        <v>14.5</v>
      </c>
      <c r="B13" s="18">
        <v>8.1400000000000005E-4</v>
      </c>
    </row>
    <row r="14" spans="1:2" x14ac:dyDescent="0.25">
      <c r="A14" s="18">
        <v>15</v>
      </c>
      <c r="B14" s="18">
        <v>1.1100000000000001E-3</v>
      </c>
    </row>
    <row r="15" spans="1:2" x14ac:dyDescent="0.25">
      <c r="A15" s="18">
        <v>15.5</v>
      </c>
      <c r="B15" s="18">
        <v>1.5E-3</v>
      </c>
    </row>
    <row r="16" spans="1:2" x14ac:dyDescent="0.25">
      <c r="A16" s="18">
        <v>16</v>
      </c>
      <c r="B16" s="18">
        <v>1.9499999999999999E-3</v>
      </c>
    </row>
    <row r="17" spans="1:2" x14ac:dyDescent="0.25">
      <c r="A17" s="18">
        <v>16.5</v>
      </c>
      <c r="B17" s="18">
        <v>2.5799999999999998E-3</v>
      </c>
    </row>
    <row r="18" spans="1:2" x14ac:dyDescent="0.25">
      <c r="A18" s="18">
        <v>17</v>
      </c>
      <c r="B18" s="18">
        <v>3.2299999999999998E-3</v>
      </c>
    </row>
    <row r="19" spans="1:2" x14ac:dyDescent="0.25">
      <c r="A19" s="18">
        <v>17.5</v>
      </c>
      <c r="B19" s="18">
        <v>4.1399999999999996E-3</v>
      </c>
    </row>
    <row r="20" spans="1:2" x14ac:dyDescent="0.25">
      <c r="A20" s="18">
        <v>18</v>
      </c>
      <c r="B20" s="18">
        <v>5.1999999999999998E-3</v>
      </c>
    </row>
    <row r="21" spans="1:2" x14ac:dyDescent="0.25">
      <c r="A21" s="18">
        <v>18.5</v>
      </c>
      <c r="B21" s="18">
        <v>6.2300000000000003E-3</v>
      </c>
    </row>
    <row r="22" spans="1:2" x14ac:dyDescent="0.25">
      <c r="A22" s="18">
        <v>19</v>
      </c>
      <c r="B22" s="18">
        <v>7.5100000000000002E-3</v>
      </c>
    </row>
    <row r="23" spans="1:2" x14ac:dyDescent="0.25">
      <c r="A23" s="18">
        <v>19.5</v>
      </c>
      <c r="B23" s="18">
        <v>8.5100000000000002E-3</v>
      </c>
    </row>
    <row r="24" spans="1:2" x14ac:dyDescent="0.25">
      <c r="A24" s="18">
        <v>20</v>
      </c>
      <c r="B24" s="18">
        <v>9.7199999999999995E-3</v>
      </c>
    </row>
    <row r="25" spans="1:2" x14ac:dyDescent="0.25">
      <c r="A25" s="18">
        <v>20.5</v>
      </c>
      <c r="B25" s="18">
        <v>1.06E-2</v>
      </c>
    </row>
    <row r="26" spans="1:2" x14ac:dyDescent="0.25">
      <c r="A26" s="18">
        <v>21</v>
      </c>
      <c r="B26" s="18">
        <v>1.18E-2</v>
      </c>
    </row>
    <row r="27" spans="1:2" x14ac:dyDescent="0.25">
      <c r="A27" s="18">
        <v>21.5</v>
      </c>
      <c r="B27" s="18">
        <v>1.2800000000000001E-2</v>
      </c>
    </row>
    <row r="28" spans="1:2" x14ac:dyDescent="0.25">
      <c r="A28" s="18">
        <v>22</v>
      </c>
      <c r="B28" s="18">
        <v>1.37E-2</v>
      </c>
    </row>
    <row r="29" spans="1:2" x14ac:dyDescent="0.25">
      <c r="A29" s="18">
        <v>22.5</v>
      </c>
      <c r="B29" s="18">
        <v>1.44E-2</v>
      </c>
    </row>
    <row r="30" spans="1:2" x14ac:dyDescent="0.25">
      <c r="A30" s="18">
        <v>23</v>
      </c>
      <c r="B30" s="18">
        <v>1.5100000000000001E-2</v>
      </c>
    </row>
    <row r="31" spans="1:2" x14ac:dyDescent="0.25">
      <c r="A31" s="18">
        <v>23.5</v>
      </c>
      <c r="B31" s="18">
        <v>1.5699999999999999E-2</v>
      </c>
    </row>
    <row r="32" spans="1:2" x14ac:dyDescent="0.25">
      <c r="A32" s="18">
        <v>24</v>
      </c>
      <c r="B32" s="18">
        <v>1.6199999999999999E-2</v>
      </c>
    </row>
    <row r="33" spans="1:2" x14ac:dyDescent="0.25">
      <c r="A33" s="18">
        <v>24.5</v>
      </c>
      <c r="B33" s="18">
        <v>1.66E-2</v>
      </c>
    </row>
    <row r="34" spans="1:2" x14ac:dyDescent="0.25">
      <c r="A34" s="18">
        <v>25</v>
      </c>
      <c r="B34" s="18">
        <v>1.7100000000000001E-2</v>
      </c>
    </row>
    <row r="35" spans="1:2" x14ac:dyDescent="0.25">
      <c r="A35" s="18">
        <v>25.5</v>
      </c>
      <c r="B35" s="18">
        <v>1.7100000000000001E-2</v>
      </c>
    </row>
    <row r="36" spans="1:2" x14ac:dyDescent="0.25">
      <c r="A36" s="18">
        <v>26</v>
      </c>
      <c r="B36" s="18">
        <v>1.72E-2</v>
      </c>
    </row>
    <row r="37" spans="1:2" x14ac:dyDescent="0.25">
      <c r="A37" s="18">
        <v>26.5</v>
      </c>
      <c r="B37" s="18">
        <v>1.7399999999999999E-2</v>
      </c>
    </row>
    <row r="38" spans="1:2" x14ac:dyDescent="0.25">
      <c r="A38" s="18">
        <v>27</v>
      </c>
      <c r="B38" s="18">
        <v>1.7399999999999999E-2</v>
      </c>
    </row>
    <row r="39" spans="1:2" x14ac:dyDescent="0.25">
      <c r="A39" s="18">
        <v>27.5</v>
      </c>
      <c r="B39" s="18">
        <v>1.7399999999999999E-2</v>
      </c>
    </row>
    <row r="40" spans="1:2" x14ac:dyDescent="0.25">
      <c r="A40" s="18">
        <v>28</v>
      </c>
      <c r="B40" s="18">
        <v>1.72E-2</v>
      </c>
    </row>
    <row r="41" spans="1:2" x14ac:dyDescent="0.25">
      <c r="A41" s="18">
        <v>28.5</v>
      </c>
      <c r="B41" s="18">
        <v>1.6899999999999998E-2</v>
      </c>
    </row>
    <row r="42" spans="1:2" x14ac:dyDescent="0.25">
      <c r="A42" s="18">
        <v>29</v>
      </c>
      <c r="B42" s="18">
        <v>1.6799999999999999E-2</v>
      </c>
    </row>
    <row r="43" spans="1:2" x14ac:dyDescent="0.25">
      <c r="A43" s="18">
        <v>29.5</v>
      </c>
      <c r="B43" s="18">
        <v>1.6500000000000001E-2</v>
      </c>
    </row>
    <row r="44" spans="1:2" x14ac:dyDescent="0.25">
      <c r="A44" s="18">
        <v>30</v>
      </c>
      <c r="B44" s="18">
        <v>1.6199999999999999E-2</v>
      </c>
    </row>
    <row r="45" spans="1:2" x14ac:dyDescent="0.25">
      <c r="A45" s="18">
        <v>30.5</v>
      </c>
      <c r="B45" s="18">
        <v>1.6E-2</v>
      </c>
    </row>
    <row r="46" spans="1:2" x14ac:dyDescent="0.25">
      <c r="A46" s="18">
        <v>31</v>
      </c>
      <c r="B46" s="18">
        <v>1.5599999999999999E-2</v>
      </c>
    </row>
    <row r="47" spans="1:2" x14ac:dyDescent="0.25">
      <c r="A47" s="18">
        <v>31.5</v>
      </c>
      <c r="B47" s="18">
        <v>1.55E-2</v>
      </c>
    </row>
    <row r="48" spans="1:2" x14ac:dyDescent="0.25">
      <c r="A48" s="18">
        <v>32</v>
      </c>
      <c r="B48" s="18">
        <v>1.5100000000000001E-2</v>
      </c>
    </row>
    <row r="49" spans="1:2" x14ac:dyDescent="0.25">
      <c r="A49" s="18">
        <v>32.5</v>
      </c>
      <c r="B49" s="18">
        <v>1.4800000000000001E-2</v>
      </c>
    </row>
    <row r="50" spans="1:2" x14ac:dyDescent="0.25">
      <c r="A50" s="18">
        <v>33</v>
      </c>
      <c r="B50" s="18">
        <v>1.4500000000000001E-2</v>
      </c>
    </row>
    <row r="51" spans="1:2" x14ac:dyDescent="0.25">
      <c r="A51" s="18">
        <v>33.5</v>
      </c>
      <c r="B51" s="18">
        <v>1.4200000000000001E-2</v>
      </c>
    </row>
    <row r="52" spans="1:2" x14ac:dyDescent="0.25">
      <c r="A52" s="18">
        <v>34</v>
      </c>
      <c r="B52" s="18">
        <v>1.38E-2</v>
      </c>
    </row>
    <row r="53" spans="1:2" x14ac:dyDescent="0.25">
      <c r="A53" s="18">
        <v>34.5</v>
      </c>
      <c r="B53" s="18">
        <v>1.35E-2</v>
      </c>
    </row>
    <row r="54" spans="1:2" x14ac:dyDescent="0.25">
      <c r="A54" s="18">
        <v>35</v>
      </c>
      <c r="B54" s="18">
        <v>1.3100000000000001E-2</v>
      </c>
    </row>
    <row r="55" spans="1:2" x14ac:dyDescent="0.25">
      <c r="A55" s="18">
        <v>35.5</v>
      </c>
      <c r="B55" s="18">
        <v>1.2800000000000001E-2</v>
      </c>
    </row>
    <row r="56" spans="1:2" x14ac:dyDescent="0.25">
      <c r="A56" s="18">
        <v>36</v>
      </c>
      <c r="B56" s="18">
        <v>1.24E-2</v>
      </c>
    </row>
    <row r="57" spans="1:2" x14ac:dyDescent="0.25">
      <c r="A57" s="18">
        <v>36.5</v>
      </c>
      <c r="B57" s="18">
        <v>1.21E-2</v>
      </c>
    </row>
    <row r="58" spans="1:2" x14ac:dyDescent="0.25">
      <c r="A58" s="18">
        <v>37</v>
      </c>
      <c r="B58" s="18">
        <v>1.18E-2</v>
      </c>
    </row>
    <row r="59" spans="1:2" x14ac:dyDescent="0.25">
      <c r="A59" s="18">
        <v>37.5</v>
      </c>
      <c r="B59" s="18">
        <v>1.14E-2</v>
      </c>
    </row>
    <row r="60" spans="1:2" x14ac:dyDescent="0.25">
      <c r="A60" s="18">
        <v>38</v>
      </c>
      <c r="B60" s="18">
        <v>1.11E-2</v>
      </c>
    </row>
    <row r="61" spans="1:2" x14ac:dyDescent="0.25">
      <c r="A61" s="18">
        <v>38.5</v>
      </c>
      <c r="B61" s="18">
        <v>1.0800000000000001E-2</v>
      </c>
    </row>
    <row r="62" spans="1:2" x14ac:dyDescent="0.25">
      <c r="A62" s="18">
        <v>39</v>
      </c>
      <c r="B62" s="18">
        <v>1.0500000000000001E-2</v>
      </c>
    </row>
    <row r="63" spans="1:2" x14ac:dyDescent="0.25">
      <c r="A63" s="18">
        <v>39.5</v>
      </c>
      <c r="B63" s="18">
        <v>1.01E-2</v>
      </c>
    </row>
    <row r="64" spans="1:2" x14ac:dyDescent="0.25">
      <c r="A64" s="18">
        <v>40</v>
      </c>
      <c r="B64" s="18">
        <v>9.7400000000000004E-3</v>
      </c>
    </row>
    <row r="65" spans="1:2" x14ac:dyDescent="0.25">
      <c r="A65" s="18">
        <v>40.5</v>
      </c>
      <c r="B65" s="18">
        <v>9.5399999999999999E-3</v>
      </c>
    </row>
    <row r="66" spans="1:2" x14ac:dyDescent="0.25">
      <c r="A66" s="18">
        <v>41</v>
      </c>
      <c r="B66" s="18">
        <v>9.3100000000000006E-3</v>
      </c>
    </row>
    <row r="67" spans="1:2" x14ac:dyDescent="0.25">
      <c r="A67" s="18">
        <v>41.5</v>
      </c>
      <c r="B67" s="18">
        <v>9.0799999999999995E-3</v>
      </c>
    </row>
    <row r="68" spans="1:2" x14ac:dyDescent="0.25">
      <c r="A68" s="18">
        <v>42</v>
      </c>
      <c r="B68" s="18">
        <v>8.8500000000000002E-3</v>
      </c>
    </row>
    <row r="69" spans="1:2" x14ac:dyDescent="0.25">
      <c r="A69" s="18">
        <v>42.5</v>
      </c>
      <c r="B69" s="18">
        <v>8.6400000000000001E-3</v>
      </c>
    </row>
    <row r="70" spans="1:2" x14ac:dyDescent="0.25">
      <c r="A70" s="18">
        <v>43</v>
      </c>
      <c r="B70" s="18">
        <v>8.4499999999999992E-3</v>
      </c>
    </row>
    <row r="71" spans="1:2" x14ac:dyDescent="0.25">
      <c r="A71" s="18">
        <v>43.5</v>
      </c>
      <c r="B71" s="18">
        <v>8.1600000000000006E-3</v>
      </c>
    </row>
    <row r="72" spans="1:2" x14ac:dyDescent="0.25">
      <c r="A72" s="18">
        <v>44</v>
      </c>
      <c r="B72" s="18">
        <v>7.9299999999999995E-3</v>
      </c>
    </row>
    <row r="73" spans="1:2" x14ac:dyDescent="0.25">
      <c r="A73" s="18">
        <v>44.5</v>
      </c>
      <c r="B73" s="18">
        <v>7.7600000000000004E-3</v>
      </c>
    </row>
    <row r="74" spans="1:2" x14ac:dyDescent="0.25">
      <c r="A74" s="18">
        <v>45</v>
      </c>
      <c r="B74" s="18">
        <v>7.5300000000000002E-3</v>
      </c>
    </row>
    <row r="75" spans="1:2" x14ac:dyDescent="0.25">
      <c r="A75" s="18">
        <v>45.5</v>
      </c>
      <c r="B75" s="18">
        <v>7.2899999999999996E-3</v>
      </c>
    </row>
    <row r="76" spans="1:2" x14ac:dyDescent="0.25">
      <c r="A76" s="18">
        <v>46</v>
      </c>
      <c r="B76" s="18">
        <v>7.1399999999999996E-3</v>
      </c>
    </row>
    <row r="77" spans="1:2" x14ac:dyDescent="0.25">
      <c r="A77" s="18">
        <v>46.5</v>
      </c>
      <c r="B77" s="18">
        <v>6.96E-3</v>
      </c>
    </row>
    <row r="78" spans="1:2" x14ac:dyDescent="0.25">
      <c r="A78" s="18">
        <v>47</v>
      </c>
      <c r="B78" s="18">
        <v>6.7600000000000004E-3</v>
      </c>
    </row>
    <row r="79" spans="1:2" x14ac:dyDescent="0.25">
      <c r="A79" s="18">
        <v>47.5</v>
      </c>
      <c r="B79" s="18">
        <v>6.5599999999999999E-3</v>
      </c>
    </row>
    <row r="80" spans="1:2" x14ac:dyDescent="0.25">
      <c r="A80" s="18">
        <v>48</v>
      </c>
      <c r="B80" s="18">
        <v>6.3899999999999998E-3</v>
      </c>
    </row>
    <row r="81" spans="1:2" x14ac:dyDescent="0.25">
      <c r="A81" s="18">
        <v>48.5</v>
      </c>
      <c r="B81" s="18">
        <v>6.2300000000000003E-3</v>
      </c>
    </row>
    <row r="82" spans="1:2" x14ac:dyDescent="0.25">
      <c r="A82" s="18">
        <v>49</v>
      </c>
      <c r="B82" s="18">
        <v>6.0800000000000003E-3</v>
      </c>
    </row>
    <row r="83" spans="1:2" x14ac:dyDescent="0.25">
      <c r="A83" s="18">
        <v>49.5</v>
      </c>
      <c r="B83" s="18">
        <v>5.8799999999999998E-3</v>
      </c>
    </row>
    <row r="84" spans="1:2" x14ac:dyDescent="0.25">
      <c r="A84" s="18">
        <v>50</v>
      </c>
      <c r="B84" s="18">
        <v>5.7299999999999999E-3</v>
      </c>
    </row>
    <row r="85" spans="1:2" x14ac:dyDescent="0.25">
      <c r="A85" s="18">
        <v>50.5</v>
      </c>
      <c r="B85" s="18">
        <v>5.5900000000000004E-3</v>
      </c>
    </row>
    <row r="86" spans="1:2" x14ac:dyDescent="0.25">
      <c r="A86" s="18">
        <v>51</v>
      </c>
      <c r="B86" s="18">
        <v>5.4599999999999996E-3</v>
      </c>
    </row>
    <row r="87" spans="1:2" x14ac:dyDescent="0.25">
      <c r="A87" s="18">
        <v>51.5</v>
      </c>
      <c r="B87" s="18">
        <v>5.3400000000000001E-3</v>
      </c>
    </row>
    <row r="88" spans="1:2" x14ac:dyDescent="0.25">
      <c r="A88" s="18">
        <v>52</v>
      </c>
      <c r="B88" s="18">
        <v>5.2199999999999998E-3</v>
      </c>
    </row>
    <row r="89" spans="1:2" x14ac:dyDescent="0.25">
      <c r="A89" s="18">
        <v>52.5</v>
      </c>
      <c r="B89" s="18">
        <v>5.1399999999999996E-3</v>
      </c>
    </row>
    <row r="90" spans="1:2" x14ac:dyDescent="0.25">
      <c r="A90" s="18">
        <v>53</v>
      </c>
      <c r="B90" s="18">
        <v>5.0099999999999997E-3</v>
      </c>
    </row>
    <row r="91" spans="1:2" x14ac:dyDescent="0.25">
      <c r="A91" s="18">
        <v>53.5</v>
      </c>
      <c r="B91" s="18">
        <v>4.8999999999999998E-3</v>
      </c>
    </row>
    <row r="92" spans="1:2" x14ac:dyDescent="0.25">
      <c r="A92" s="18">
        <v>54</v>
      </c>
      <c r="B92" s="18">
        <v>4.7800000000000004E-3</v>
      </c>
    </row>
    <row r="93" spans="1:2" x14ac:dyDescent="0.25">
      <c r="A93" s="18">
        <v>54.5</v>
      </c>
      <c r="B93" s="18">
        <v>4.6899999999999997E-3</v>
      </c>
    </row>
    <row r="94" spans="1:2" x14ac:dyDescent="0.25">
      <c r="A94" s="18">
        <v>55</v>
      </c>
      <c r="B94" s="18">
        <v>4.5700000000000003E-3</v>
      </c>
    </row>
    <row r="95" spans="1:2" x14ac:dyDescent="0.25">
      <c r="A95" s="18">
        <v>55.5</v>
      </c>
      <c r="B95" s="18">
        <v>4.4900000000000001E-3</v>
      </c>
    </row>
    <row r="96" spans="1:2" x14ac:dyDescent="0.25">
      <c r="A96" s="18">
        <v>56</v>
      </c>
      <c r="B96" s="18">
        <v>4.3600000000000002E-3</v>
      </c>
    </row>
    <row r="97" spans="1:2" x14ac:dyDescent="0.25">
      <c r="A97" s="18">
        <v>56.5</v>
      </c>
      <c r="B97" s="18">
        <v>4.28E-3</v>
      </c>
    </row>
    <row r="98" spans="1:2" x14ac:dyDescent="0.25">
      <c r="A98" s="18">
        <v>57</v>
      </c>
      <c r="B98" s="18">
        <v>4.1799999999999997E-3</v>
      </c>
    </row>
    <row r="99" spans="1:2" x14ac:dyDescent="0.25">
      <c r="A99" s="18">
        <v>57.5</v>
      </c>
      <c r="B99" s="18">
        <v>4.4900000000000001E-3</v>
      </c>
    </row>
    <row r="100" spans="1:2" x14ac:dyDescent="0.25">
      <c r="A100" s="18">
        <v>58</v>
      </c>
      <c r="B100" s="18">
        <v>9.1599999999999997E-3</v>
      </c>
    </row>
    <row r="101" spans="1:2" x14ac:dyDescent="0.25">
      <c r="A101" s="18">
        <v>58.5</v>
      </c>
      <c r="B101" s="18">
        <v>4.7299999999999998E-3</v>
      </c>
    </row>
    <row r="102" spans="1:2" x14ac:dyDescent="0.25">
      <c r="A102" s="18">
        <v>59</v>
      </c>
      <c r="B102" s="18">
        <v>6.5799999999999999E-3</v>
      </c>
    </row>
    <row r="103" spans="1:2" x14ac:dyDescent="0.25">
      <c r="A103" s="18">
        <v>59.5</v>
      </c>
      <c r="B103" s="18">
        <v>1.1900000000000001E-2</v>
      </c>
    </row>
    <row r="104" spans="1:2" x14ac:dyDescent="0.25">
      <c r="A104" s="18">
        <v>60</v>
      </c>
      <c r="B104" s="18">
        <v>3.8700000000000002E-3</v>
      </c>
    </row>
    <row r="105" spans="1:2" x14ac:dyDescent="0.25">
      <c r="A105" s="18">
        <v>60.5</v>
      </c>
      <c r="B105" s="18">
        <v>3.5200000000000001E-3</v>
      </c>
    </row>
    <row r="106" spans="1:2" x14ac:dyDescent="0.25">
      <c r="A106" s="18">
        <v>61</v>
      </c>
      <c r="B106" s="18">
        <v>3.4399999999999999E-3</v>
      </c>
    </row>
    <row r="107" spans="1:2" x14ac:dyDescent="0.25">
      <c r="A107" s="18">
        <v>61.5</v>
      </c>
      <c r="B107" s="18">
        <v>3.3899999999999998E-3</v>
      </c>
    </row>
    <row r="108" spans="1:2" x14ac:dyDescent="0.25">
      <c r="A108" s="18">
        <v>62</v>
      </c>
      <c r="B108" s="18">
        <v>3.3400000000000001E-3</v>
      </c>
    </row>
    <row r="109" spans="1:2" x14ac:dyDescent="0.25">
      <c r="A109" s="18">
        <v>62.5</v>
      </c>
      <c r="B109" s="18">
        <v>3.2499999999999999E-3</v>
      </c>
    </row>
    <row r="110" spans="1:2" x14ac:dyDescent="0.25">
      <c r="A110" s="18">
        <v>63</v>
      </c>
      <c r="B110" s="18">
        <v>3.1800000000000001E-3</v>
      </c>
    </row>
    <row r="111" spans="1:2" x14ac:dyDescent="0.25">
      <c r="A111" s="18">
        <v>63.5</v>
      </c>
      <c r="B111" s="18">
        <v>3.1099999999999999E-3</v>
      </c>
    </row>
    <row r="112" spans="1:2" x14ac:dyDescent="0.25">
      <c r="A112" s="18">
        <v>64</v>
      </c>
      <c r="B112" s="18">
        <v>3.0599999999999998E-3</v>
      </c>
    </row>
    <row r="113" spans="1:2" x14ac:dyDescent="0.25">
      <c r="A113" s="18">
        <v>64.5</v>
      </c>
      <c r="B113" s="18">
        <v>2.97E-3</v>
      </c>
    </row>
    <row r="114" spans="1:2" x14ac:dyDescent="0.25">
      <c r="A114" s="18">
        <v>65</v>
      </c>
      <c r="B114" s="18">
        <v>2.9499999999999999E-3</v>
      </c>
    </row>
    <row r="115" spans="1:2" x14ac:dyDescent="0.25">
      <c r="A115" s="18">
        <v>65.5</v>
      </c>
      <c r="B115" s="18">
        <v>2.8999999999999998E-3</v>
      </c>
    </row>
    <row r="116" spans="1:2" x14ac:dyDescent="0.25">
      <c r="A116" s="18">
        <v>66</v>
      </c>
      <c r="B116" s="18">
        <v>2.82E-3</v>
      </c>
    </row>
    <row r="117" spans="1:2" x14ac:dyDescent="0.25">
      <c r="A117" s="18">
        <v>66.5</v>
      </c>
      <c r="B117" s="18">
        <v>2.8800000000000002E-3</v>
      </c>
    </row>
    <row r="118" spans="1:2" x14ac:dyDescent="0.25">
      <c r="A118" s="18">
        <v>67</v>
      </c>
      <c r="B118" s="18">
        <v>4.8500000000000001E-3</v>
      </c>
    </row>
    <row r="119" spans="1:2" x14ac:dyDescent="0.25">
      <c r="A119" s="18">
        <v>67.5</v>
      </c>
      <c r="B119" s="18">
        <v>4.4099999999999999E-3</v>
      </c>
    </row>
    <row r="120" spans="1:2" x14ac:dyDescent="0.25">
      <c r="A120" s="18">
        <v>68</v>
      </c>
      <c r="B120" s="18">
        <v>2.6099999999999999E-3</v>
      </c>
    </row>
    <row r="121" spans="1:2" x14ac:dyDescent="0.25">
      <c r="A121" s="18">
        <v>68.5</v>
      </c>
      <c r="B121" s="18">
        <v>2.5400000000000002E-3</v>
      </c>
    </row>
    <row r="122" spans="1:2" x14ac:dyDescent="0.25">
      <c r="A122" s="18">
        <v>69</v>
      </c>
      <c r="B122" s="18">
        <v>3.15E-3</v>
      </c>
    </row>
    <row r="123" spans="1:2" x14ac:dyDescent="0.25">
      <c r="A123" s="18">
        <v>69.5</v>
      </c>
      <c r="B123" s="18">
        <v>2.7200000000000002E-3</v>
      </c>
    </row>
    <row r="124" spans="1:2" x14ac:dyDescent="0.25">
      <c r="A124" s="18">
        <v>70</v>
      </c>
      <c r="B124" s="18">
        <v>2.1800000000000001E-3</v>
      </c>
    </row>
    <row r="125" spans="1:2" x14ac:dyDescent="0.25">
      <c r="A125" s="18">
        <v>70.5</v>
      </c>
      <c r="B125" s="18">
        <v>2.1299999999999999E-3</v>
      </c>
    </row>
    <row r="126" spans="1:2" x14ac:dyDescent="0.25">
      <c r="A126" s="18">
        <v>71</v>
      </c>
      <c r="B126" s="18">
        <v>2.0799999999999998E-3</v>
      </c>
    </row>
    <row r="127" spans="1:2" x14ac:dyDescent="0.25">
      <c r="A127" s="18">
        <v>71.5</v>
      </c>
      <c r="B127" s="18">
        <v>2.0500000000000002E-3</v>
      </c>
    </row>
    <row r="128" spans="1:2" x14ac:dyDescent="0.25">
      <c r="A128" s="18">
        <v>72</v>
      </c>
      <c r="B128" s="18">
        <v>1.97E-3</v>
      </c>
    </row>
    <row r="129" spans="1:2" x14ac:dyDescent="0.25">
      <c r="A129" s="18">
        <v>72.5</v>
      </c>
      <c r="B129" s="18">
        <v>1.9300000000000001E-3</v>
      </c>
    </row>
    <row r="130" spans="1:2" x14ac:dyDescent="0.25">
      <c r="A130" s="18">
        <v>73</v>
      </c>
      <c r="B130" s="18">
        <v>1.89E-3</v>
      </c>
    </row>
    <row r="131" spans="1:2" x14ac:dyDescent="0.25">
      <c r="A131" s="18">
        <v>73.5</v>
      </c>
      <c r="B131" s="18">
        <v>1.8400000000000001E-3</v>
      </c>
    </row>
    <row r="132" spans="1:2" x14ac:dyDescent="0.25">
      <c r="A132" s="18">
        <v>74</v>
      </c>
      <c r="B132" s="18">
        <v>1.7899999999999999E-3</v>
      </c>
    </row>
    <row r="133" spans="1:2" x14ac:dyDescent="0.25">
      <c r="A133" s="18">
        <v>74.5</v>
      </c>
      <c r="B133" s="18">
        <v>1.72E-3</v>
      </c>
    </row>
    <row r="134" spans="1:2" x14ac:dyDescent="0.25">
      <c r="A134" s="18">
        <v>75</v>
      </c>
      <c r="B134" s="18">
        <v>1.6900000000000001E-3</v>
      </c>
    </row>
    <row r="135" spans="1:2" x14ac:dyDescent="0.25">
      <c r="A135" s="18">
        <v>75.5</v>
      </c>
      <c r="B135" s="18">
        <v>1.64E-3</v>
      </c>
    </row>
    <row r="136" spans="1:2" x14ac:dyDescent="0.25">
      <c r="A136" s="18">
        <v>76</v>
      </c>
      <c r="B136" s="18">
        <v>1.5900000000000001E-3</v>
      </c>
    </row>
    <row r="137" spans="1:2" x14ac:dyDescent="0.25">
      <c r="A137" s="18">
        <v>76.5</v>
      </c>
      <c r="B137" s="18">
        <v>1.5399999999999999E-3</v>
      </c>
    </row>
    <row r="138" spans="1:2" x14ac:dyDescent="0.25">
      <c r="A138" s="18">
        <v>77</v>
      </c>
      <c r="B138" s="18">
        <v>1.5200000000000001E-3</v>
      </c>
    </row>
    <row r="139" spans="1:2" x14ac:dyDescent="0.25">
      <c r="A139" s="18">
        <v>77.5</v>
      </c>
      <c r="B139" s="18">
        <v>1.4300000000000001E-3</v>
      </c>
    </row>
    <row r="140" spans="1:2" x14ac:dyDescent="0.25">
      <c r="A140" s="18">
        <v>78</v>
      </c>
      <c r="B140" s="18">
        <v>1.39E-3</v>
      </c>
    </row>
    <row r="141" spans="1:2" x14ac:dyDescent="0.25">
      <c r="A141" s="18">
        <v>78.5</v>
      </c>
      <c r="B141" s="18">
        <v>1.33E-3</v>
      </c>
    </row>
    <row r="142" spans="1:2" x14ac:dyDescent="0.25">
      <c r="A142" s="18">
        <v>79</v>
      </c>
      <c r="B142" s="18">
        <v>1.2700000000000001E-3</v>
      </c>
    </row>
    <row r="143" spans="1:2" x14ac:dyDescent="0.25">
      <c r="A143" s="18">
        <v>79.5</v>
      </c>
      <c r="B143" s="18">
        <v>1.25E-3</v>
      </c>
    </row>
    <row r="144" spans="1:2" x14ac:dyDescent="0.25">
      <c r="A144" s="18">
        <v>80</v>
      </c>
      <c r="B144" s="18">
        <v>1.17E-3</v>
      </c>
    </row>
    <row r="145" spans="1:2" x14ac:dyDescent="0.25">
      <c r="A145" s="18">
        <v>80.5</v>
      </c>
      <c r="B145" s="18">
        <v>1.15E-3</v>
      </c>
    </row>
    <row r="146" spans="1:2" x14ac:dyDescent="0.25">
      <c r="A146" s="18">
        <v>81</v>
      </c>
      <c r="B146" s="18">
        <v>1.1000000000000001E-3</v>
      </c>
    </row>
    <row r="147" spans="1:2" x14ac:dyDescent="0.25">
      <c r="A147" s="18">
        <v>81.5</v>
      </c>
      <c r="B147" s="18">
        <v>1.0300000000000001E-3</v>
      </c>
    </row>
    <row r="148" spans="1:2" x14ac:dyDescent="0.25">
      <c r="A148" s="18">
        <v>82</v>
      </c>
      <c r="B148" s="18">
        <v>1E-3</v>
      </c>
    </row>
    <row r="149" spans="1:2" x14ac:dyDescent="0.25">
      <c r="A149" s="18">
        <v>82.5</v>
      </c>
      <c r="B149" s="18">
        <v>9.5200000000000005E-4</v>
      </c>
    </row>
    <row r="150" spans="1:2" x14ac:dyDescent="0.25">
      <c r="A150" s="18">
        <v>83</v>
      </c>
      <c r="B150" s="18">
        <v>8.9300000000000002E-4</v>
      </c>
    </row>
    <row r="151" spans="1:2" x14ac:dyDescent="0.25">
      <c r="A151" s="18">
        <v>83.5</v>
      </c>
      <c r="B151" s="18">
        <v>8.5300000000000003E-4</v>
      </c>
    </row>
    <row r="152" spans="1:2" x14ac:dyDescent="0.25">
      <c r="A152" s="18">
        <v>84</v>
      </c>
      <c r="B152" s="18">
        <v>7.8700000000000005E-4</v>
      </c>
    </row>
    <row r="153" spans="1:2" x14ac:dyDescent="0.25">
      <c r="A153" s="18">
        <v>84.5</v>
      </c>
      <c r="B153" s="18">
        <v>7.27E-4</v>
      </c>
    </row>
    <row r="154" spans="1:2" x14ac:dyDescent="0.25">
      <c r="A154" s="18">
        <v>85</v>
      </c>
      <c r="B154" s="18">
        <v>6.96E-4</v>
      </c>
    </row>
    <row r="155" spans="1:2" x14ac:dyDescent="0.25">
      <c r="A155" s="18">
        <v>85.5</v>
      </c>
      <c r="B155" s="18">
        <v>6.3000000000000003E-4</v>
      </c>
    </row>
    <row r="156" spans="1:2" x14ac:dyDescent="0.25">
      <c r="A156" s="18">
        <v>86</v>
      </c>
      <c r="B156" s="18">
        <v>5.7600000000000001E-4</v>
      </c>
    </row>
    <row r="157" spans="1:2" x14ac:dyDescent="0.25">
      <c r="A157" s="18">
        <v>86.5</v>
      </c>
      <c r="B157" s="18">
        <v>5.1599999999999997E-4</v>
      </c>
    </row>
    <row r="158" spans="1:2" x14ac:dyDescent="0.25">
      <c r="A158" s="18">
        <v>87</v>
      </c>
      <c r="B158" s="18">
        <v>4.5899999999999999E-4</v>
      </c>
    </row>
    <row r="159" spans="1:2" x14ac:dyDescent="0.25">
      <c r="A159" s="18">
        <v>87.5</v>
      </c>
      <c r="B159" s="18">
        <v>4.0700000000000003E-4</v>
      </c>
    </row>
    <row r="160" spans="1:2" x14ac:dyDescent="0.25">
      <c r="A160" s="18">
        <v>88</v>
      </c>
      <c r="B160" s="18">
        <v>3.3100000000000002E-4</v>
      </c>
    </row>
    <row r="161" spans="1:2" x14ac:dyDescent="0.25">
      <c r="A161" s="18">
        <v>88.5</v>
      </c>
      <c r="B161" s="18">
        <v>2.61E-4</v>
      </c>
    </row>
    <row r="162" spans="1:2" x14ac:dyDescent="0.25">
      <c r="A162" s="18">
        <v>89</v>
      </c>
      <c r="B162" s="18">
        <v>2.0799999999999999E-4</v>
      </c>
    </row>
    <row r="163" spans="1:2" x14ac:dyDescent="0.25">
      <c r="A163" s="18">
        <v>89.5</v>
      </c>
      <c r="B163" s="18">
        <v>1.27E-4</v>
      </c>
    </row>
    <row r="164" spans="1:2" x14ac:dyDescent="0.25">
      <c r="A164" s="18">
        <v>90</v>
      </c>
      <c r="B164" s="18">
        <v>4.1300000000000001E-5</v>
      </c>
    </row>
    <row r="165" spans="1:2" x14ac:dyDescent="0.25">
      <c r="A165" s="18">
        <v>90.5</v>
      </c>
      <c r="B165" s="18">
        <v>8.4500000000000004E-6</v>
      </c>
    </row>
    <row r="166" spans="1:2" x14ac:dyDescent="0.25">
      <c r="A166" s="18">
        <v>91</v>
      </c>
      <c r="B166" s="18">
        <v>8.8200000000000003E-6</v>
      </c>
    </row>
    <row r="167" spans="1:2" x14ac:dyDescent="0.25">
      <c r="A167" s="18">
        <v>91.5</v>
      </c>
      <c r="B167" s="18">
        <v>8.2600000000000005E-6</v>
      </c>
    </row>
    <row r="168" spans="1:2" x14ac:dyDescent="0.25">
      <c r="A168" s="18">
        <v>92</v>
      </c>
      <c r="B168" s="18">
        <v>7.4599999999999997E-6</v>
      </c>
    </row>
  </sheetData>
  <pageMargins left="0.7" right="0.7" top="0.75" bottom="0.75" header="0.3" footer="0.3"/>
  <pageSetup paperSize="9" orientation="portrait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dimension ref="A1:B18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3.19E-4</v>
      </c>
    </row>
    <row r="3" spans="1:2" x14ac:dyDescent="0.25">
      <c r="A3" s="18">
        <v>9.5</v>
      </c>
      <c r="B3" s="18">
        <v>5.1800000000000001E-4</v>
      </c>
    </row>
    <row r="4" spans="1:2" x14ac:dyDescent="0.25">
      <c r="A4" s="18">
        <v>10</v>
      </c>
      <c r="B4" s="18">
        <v>8.3100000000000003E-4</v>
      </c>
    </row>
    <row r="5" spans="1:2" x14ac:dyDescent="0.25">
      <c r="A5" s="18">
        <v>10.5</v>
      </c>
      <c r="B5" s="18">
        <v>7.3099999999999999E-4</v>
      </c>
    </row>
    <row r="6" spans="1:2" x14ac:dyDescent="0.25">
      <c r="A6" s="18">
        <v>11</v>
      </c>
      <c r="B6" s="18">
        <v>5.9199999999999997E-4</v>
      </c>
    </row>
    <row r="7" spans="1:2" x14ac:dyDescent="0.25">
      <c r="A7" s="18">
        <v>11.5</v>
      </c>
      <c r="B7" s="18">
        <v>6.2500000000000001E-4</v>
      </c>
    </row>
    <row r="8" spans="1:2" x14ac:dyDescent="0.25">
      <c r="A8" s="18">
        <v>12</v>
      </c>
      <c r="B8" s="18">
        <v>6.2799999999999998E-4</v>
      </c>
    </row>
    <row r="9" spans="1:2" x14ac:dyDescent="0.25">
      <c r="A9" s="18">
        <v>12.5</v>
      </c>
      <c r="B9" s="18">
        <v>5.5599999999999996E-4</v>
      </c>
    </row>
    <row r="10" spans="1:2" x14ac:dyDescent="0.25">
      <c r="A10" s="18">
        <v>13</v>
      </c>
      <c r="B10" s="18">
        <v>4.2700000000000002E-4</v>
      </c>
    </row>
    <row r="11" spans="1:2" x14ac:dyDescent="0.25">
      <c r="A11" s="18">
        <v>13.5</v>
      </c>
      <c r="B11" s="18">
        <v>3.1399999999999999E-4</v>
      </c>
    </row>
    <row r="12" spans="1:2" x14ac:dyDescent="0.25">
      <c r="A12" s="18">
        <v>14</v>
      </c>
      <c r="B12" s="18">
        <v>5.8699999999999996E-4</v>
      </c>
    </row>
    <row r="13" spans="1:2" x14ac:dyDescent="0.25">
      <c r="A13" s="18">
        <v>14.5</v>
      </c>
      <c r="B13" s="18">
        <v>5.62E-4</v>
      </c>
    </row>
    <row r="14" spans="1:2" x14ac:dyDescent="0.25">
      <c r="A14" s="18">
        <v>15</v>
      </c>
      <c r="B14" s="18">
        <v>8.9300000000000002E-4</v>
      </c>
    </row>
    <row r="15" spans="1:2" x14ac:dyDescent="0.25">
      <c r="A15" s="18">
        <v>15.5</v>
      </c>
      <c r="B15" s="18">
        <v>1.33E-3</v>
      </c>
    </row>
    <row r="16" spans="1:2" x14ac:dyDescent="0.25">
      <c r="A16" s="18">
        <v>16</v>
      </c>
      <c r="B16" s="18">
        <v>1.57E-3</v>
      </c>
    </row>
    <row r="17" spans="1:2" x14ac:dyDescent="0.25">
      <c r="A17" s="18">
        <v>16.5</v>
      </c>
      <c r="B17" s="18">
        <v>2.1900000000000001E-3</v>
      </c>
    </row>
    <row r="18" spans="1:2" x14ac:dyDescent="0.25">
      <c r="A18" s="18">
        <v>17</v>
      </c>
      <c r="B18" s="18">
        <v>2.9499999999999999E-3</v>
      </c>
    </row>
    <row r="19" spans="1:2" x14ac:dyDescent="0.25">
      <c r="A19" s="18">
        <v>17.5</v>
      </c>
      <c r="B19" s="18">
        <v>3.62E-3</v>
      </c>
    </row>
    <row r="20" spans="1:2" x14ac:dyDescent="0.25">
      <c r="A20" s="18">
        <v>18</v>
      </c>
      <c r="B20" s="18">
        <v>4.5799999999999999E-3</v>
      </c>
    </row>
    <row r="21" spans="1:2" x14ac:dyDescent="0.25">
      <c r="A21" s="18">
        <v>18.5</v>
      </c>
      <c r="B21" s="18">
        <v>5.4599999999999996E-3</v>
      </c>
    </row>
    <row r="22" spans="1:2" x14ac:dyDescent="0.25">
      <c r="A22" s="18">
        <v>19</v>
      </c>
      <c r="B22" s="18">
        <v>6.4000000000000003E-3</v>
      </c>
    </row>
    <row r="23" spans="1:2" x14ac:dyDescent="0.25">
      <c r="A23" s="18">
        <v>19.5</v>
      </c>
      <c r="B23" s="18">
        <v>7.3099999999999997E-3</v>
      </c>
    </row>
    <row r="24" spans="1:2" x14ac:dyDescent="0.25">
      <c r="A24" s="18">
        <v>20</v>
      </c>
      <c r="B24" s="18">
        <v>8.43E-3</v>
      </c>
    </row>
    <row r="25" spans="1:2" x14ac:dyDescent="0.25">
      <c r="A25" s="18">
        <v>20.5</v>
      </c>
      <c r="B25" s="18">
        <v>9.3600000000000003E-3</v>
      </c>
    </row>
    <row r="26" spans="1:2" x14ac:dyDescent="0.25">
      <c r="A26" s="18">
        <v>21</v>
      </c>
      <c r="B26" s="18">
        <v>1.0500000000000001E-2</v>
      </c>
    </row>
    <row r="27" spans="1:2" x14ac:dyDescent="0.25">
      <c r="A27" s="18">
        <v>21.5</v>
      </c>
      <c r="B27" s="18">
        <v>1.1299999999999999E-2</v>
      </c>
    </row>
    <row r="28" spans="1:2" x14ac:dyDescent="0.25">
      <c r="A28" s="18">
        <v>22</v>
      </c>
      <c r="B28" s="18">
        <v>1.21E-2</v>
      </c>
    </row>
    <row r="29" spans="1:2" x14ac:dyDescent="0.25">
      <c r="A29" s="18">
        <v>22.5</v>
      </c>
      <c r="B29" s="18">
        <v>1.2699999999999999E-2</v>
      </c>
    </row>
    <row r="30" spans="1:2" x14ac:dyDescent="0.25">
      <c r="A30" s="18">
        <v>23</v>
      </c>
      <c r="B30" s="18">
        <v>1.3599999999999999E-2</v>
      </c>
    </row>
    <row r="31" spans="1:2" x14ac:dyDescent="0.25">
      <c r="A31" s="18">
        <v>23.5</v>
      </c>
      <c r="B31" s="18">
        <v>1.4200000000000001E-2</v>
      </c>
    </row>
    <row r="32" spans="1:2" x14ac:dyDescent="0.25">
      <c r="A32" s="18">
        <v>24</v>
      </c>
      <c r="B32" s="18">
        <v>1.46E-2</v>
      </c>
    </row>
    <row r="33" spans="1:2" x14ac:dyDescent="0.25">
      <c r="A33" s="18">
        <v>24.5</v>
      </c>
      <c r="B33" s="18">
        <v>1.5100000000000001E-2</v>
      </c>
    </row>
    <row r="34" spans="1:2" x14ac:dyDescent="0.25">
      <c r="A34" s="18">
        <v>25</v>
      </c>
      <c r="B34" s="18">
        <v>1.54E-2</v>
      </c>
    </row>
    <row r="35" spans="1:2" x14ac:dyDescent="0.25">
      <c r="A35" s="18">
        <v>25.5</v>
      </c>
      <c r="B35" s="18">
        <v>1.5599999999999999E-2</v>
      </c>
    </row>
    <row r="36" spans="1:2" x14ac:dyDescent="0.25">
      <c r="A36" s="18">
        <v>26</v>
      </c>
      <c r="B36" s="18">
        <v>1.5800000000000002E-2</v>
      </c>
    </row>
    <row r="37" spans="1:2" x14ac:dyDescent="0.25">
      <c r="A37" s="18">
        <v>26.5</v>
      </c>
      <c r="B37" s="18">
        <v>1.5800000000000002E-2</v>
      </c>
    </row>
    <row r="38" spans="1:2" x14ac:dyDescent="0.25">
      <c r="A38" s="18">
        <v>27</v>
      </c>
      <c r="B38" s="18">
        <v>1.5800000000000002E-2</v>
      </c>
    </row>
    <row r="39" spans="1:2" x14ac:dyDescent="0.25">
      <c r="A39" s="18">
        <v>27.5</v>
      </c>
      <c r="B39" s="18">
        <v>1.6E-2</v>
      </c>
    </row>
    <row r="40" spans="1:2" x14ac:dyDescent="0.25">
      <c r="A40" s="18">
        <v>28</v>
      </c>
      <c r="B40" s="18">
        <v>1.5900000000000001E-2</v>
      </c>
    </row>
    <row r="41" spans="1:2" x14ac:dyDescent="0.25">
      <c r="A41" s="18">
        <v>28.5</v>
      </c>
      <c r="B41" s="18">
        <v>1.5800000000000002E-2</v>
      </c>
    </row>
    <row r="42" spans="1:2" x14ac:dyDescent="0.25">
      <c r="A42" s="18">
        <v>29</v>
      </c>
      <c r="B42" s="18">
        <v>1.55E-2</v>
      </c>
    </row>
    <row r="43" spans="1:2" x14ac:dyDescent="0.25">
      <c r="A43" s="18">
        <v>29.5</v>
      </c>
      <c r="B43" s="18">
        <v>1.54E-2</v>
      </c>
    </row>
    <row r="44" spans="1:2" x14ac:dyDescent="0.25">
      <c r="A44" s="18">
        <v>30</v>
      </c>
      <c r="B44" s="18">
        <v>1.4999999999999999E-2</v>
      </c>
    </row>
    <row r="45" spans="1:2" x14ac:dyDescent="0.25">
      <c r="A45" s="18">
        <v>30.5</v>
      </c>
      <c r="B45" s="18">
        <v>1.49E-2</v>
      </c>
    </row>
    <row r="46" spans="1:2" x14ac:dyDescent="0.25">
      <c r="A46" s="18">
        <v>31</v>
      </c>
      <c r="B46" s="18">
        <v>1.47E-2</v>
      </c>
    </row>
    <row r="47" spans="1:2" x14ac:dyDescent="0.25">
      <c r="A47" s="18">
        <v>31.5</v>
      </c>
      <c r="B47" s="18">
        <v>1.4500000000000001E-2</v>
      </c>
    </row>
    <row r="48" spans="1:2" x14ac:dyDescent="0.25">
      <c r="A48" s="18">
        <v>32</v>
      </c>
      <c r="B48" s="18">
        <v>1.4200000000000001E-2</v>
      </c>
    </row>
    <row r="49" spans="1:2" x14ac:dyDescent="0.25">
      <c r="A49" s="18">
        <v>32.5</v>
      </c>
      <c r="B49" s="18">
        <v>1.3899999999999999E-2</v>
      </c>
    </row>
    <row r="50" spans="1:2" x14ac:dyDescent="0.25">
      <c r="A50" s="18">
        <v>33</v>
      </c>
      <c r="B50" s="18">
        <v>1.37E-2</v>
      </c>
    </row>
    <row r="51" spans="1:2" x14ac:dyDescent="0.25">
      <c r="A51" s="18">
        <v>33.5</v>
      </c>
      <c r="B51" s="18">
        <v>1.34E-2</v>
      </c>
    </row>
    <row r="52" spans="1:2" x14ac:dyDescent="0.25">
      <c r="A52" s="18">
        <v>34</v>
      </c>
      <c r="B52" s="18">
        <v>1.3100000000000001E-2</v>
      </c>
    </row>
    <row r="53" spans="1:2" x14ac:dyDescent="0.25">
      <c r="A53" s="18">
        <v>34.5</v>
      </c>
      <c r="B53" s="18">
        <v>1.2800000000000001E-2</v>
      </c>
    </row>
    <row r="54" spans="1:2" x14ac:dyDescent="0.25">
      <c r="A54" s="18">
        <v>35</v>
      </c>
      <c r="B54" s="18">
        <v>1.24E-2</v>
      </c>
    </row>
    <row r="55" spans="1:2" x14ac:dyDescent="0.25">
      <c r="A55" s="18">
        <v>35.5</v>
      </c>
      <c r="B55" s="18">
        <v>1.21E-2</v>
      </c>
    </row>
    <row r="56" spans="1:2" x14ac:dyDescent="0.25">
      <c r="A56" s="18">
        <v>36</v>
      </c>
      <c r="B56" s="18">
        <v>1.18E-2</v>
      </c>
    </row>
    <row r="57" spans="1:2" x14ac:dyDescent="0.25">
      <c r="A57" s="18">
        <v>36.5</v>
      </c>
      <c r="B57" s="18">
        <v>1.1599999999999999E-2</v>
      </c>
    </row>
    <row r="58" spans="1:2" x14ac:dyDescent="0.25">
      <c r="A58" s="18">
        <v>37</v>
      </c>
      <c r="B58" s="18">
        <v>1.12E-2</v>
      </c>
    </row>
    <row r="59" spans="1:2" x14ac:dyDescent="0.25">
      <c r="A59" s="18">
        <v>37.5</v>
      </c>
      <c r="B59" s="18">
        <v>1.09E-2</v>
      </c>
    </row>
    <row r="60" spans="1:2" x14ac:dyDescent="0.25">
      <c r="A60" s="18">
        <v>38</v>
      </c>
      <c r="B60" s="18">
        <v>1.0699999999999999E-2</v>
      </c>
    </row>
    <row r="61" spans="1:2" x14ac:dyDescent="0.25">
      <c r="A61" s="18">
        <v>38.5</v>
      </c>
      <c r="B61" s="18">
        <v>1.04E-2</v>
      </c>
    </row>
    <row r="62" spans="1:2" x14ac:dyDescent="0.25">
      <c r="A62" s="18">
        <v>39</v>
      </c>
      <c r="B62" s="18">
        <v>9.9799999999999993E-3</v>
      </c>
    </row>
    <row r="63" spans="1:2" x14ac:dyDescent="0.25">
      <c r="A63" s="18">
        <v>39.5</v>
      </c>
      <c r="B63" s="18">
        <v>9.7199999999999995E-3</v>
      </c>
    </row>
    <row r="64" spans="1:2" x14ac:dyDescent="0.25">
      <c r="A64" s="18">
        <v>40</v>
      </c>
      <c r="B64" s="18">
        <v>9.4599999999999997E-3</v>
      </c>
    </row>
    <row r="65" spans="1:2" x14ac:dyDescent="0.25">
      <c r="A65" s="18">
        <v>40.5</v>
      </c>
      <c r="B65" s="18">
        <v>9.1900000000000003E-3</v>
      </c>
    </row>
    <row r="66" spans="1:2" x14ac:dyDescent="0.25">
      <c r="A66" s="18">
        <v>41</v>
      </c>
      <c r="B66" s="18">
        <v>9.0399999999999994E-3</v>
      </c>
    </row>
    <row r="67" spans="1:2" x14ac:dyDescent="0.25">
      <c r="A67" s="18">
        <v>41.5</v>
      </c>
      <c r="B67" s="18">
        <v>8.8400000000000006E-3</v>
      </c>
    </row>
    <row r="68" spans="1:2" x14ac:dyDescent="0.25">
      <c r="A68" s="18">
        <v>42</v>
      </c>
      <c r="B68" s="18">
        <v>8.6099999999999996E-3</v>
      </c>
    </row>
    <row r="69" spans="1:2" x14ac:dyDescent="0.25">
      <c r="A69" s="18">
        <v>42.5</v>
      </c>
      <c r="B69" s="18">
        <v>8.4200000000000004E-3</v>
      </c>
    </row>
    <row r="70" spans="1:2" x14ac:dyDescent="0.25">
      <c r="A70" s="18">
        <v>43</v>
      </c>
      <c r="B70" s="18">
        <v>8.1799999999999998E-3</v>
      </c>
    </row>
    <row r="71" spans="1:2" x14ac:dyDescent="0.25">
      <c r="A71" s="18">
        <v>43.5</v>
      </c>
      <c r="B71" s="18">
        <v>7.9799999999999992E-3</v>
      </c>
    </row>
    <row r="72" spans="1:2" x14ac:dyDescent="0.25">
      <c r="A72" s="18">
        <v>44</v>
      </c>
      <c r="B72" s="18">
        <v>7.7799999999999996E-3</v>
      </c>
    </row>
    <row r="73" spans="1:2" x14ac:dyDescent="0.25">
      <c r="A73" s="18">
        <v>44.5</v>
      </c>
      <c r="B73" s="18">
        <v>7.6E-3</v>
      </c>
    </row>
    <row r="74" spans="1:2" x14ac:dyDescent="0.25">
      <c r="A74" s="18">
        <v>45</v>
      </c>
      <c r="B74" s="18">
        <v>7.3699999999999998E-3</v>
      </c>
    </row>
    <row r="75" spans="1:2" x14ac:dyDescent="0.25">
      <c r="A75" s="18">
        <v>45.5</v>
      </c>
      <c r="B75" s="18">
        <v>7.26E-3</v>
      </c>
    </row>
    <row r="76" spans="1:2" x14ac:dyDescent="0.25">
      <c r="A76" s="18">
        <v>46</v>
      </c>
      <c r="B76" s="18">
        <v>7.0200000000000002E-3</v>
      </c>
    </row>
    <row r="77" spans="1:2" x14ac:dyDescent="0.25">
      <c r="A77" s="18">
        <v>46.5</v>
      </c>
      <c r="B77" s="18">
        <v>6.8799999999999998E-3</v>
      </c>
    </row>
    <row r="78" spans="1:2" x14ac:dyDescent="0.25">
      <c r="A78" s="18">
        <v>47</v>
      </c>
      <c r="B78" s="18">
        <v>6.6899999999999998E-3</v>
      </c>
    </row>
    <row r="79" spans="1:2" x14ac:dyDescent="0.25">
      <c r="A79" s="18">
        <v>47.5</v>
      </c>
      <c r="B79" s="18">
        <v>6.5399999999999998E-3</v>
      </c>
    </row>
    <row r="80" spans="1:2" x14ac:dyDescent="0.25">
      <c r="A80" s="18">
        <v>48</v>
      </c>
      <c r="B80" s="18">
        <v>6.3600000000000002E-3</v>
      </c>
    </row>
    <row r="81" spans="1:2" x14ac:dyDescent="0.25">
      <c r="A81" s="18">
        <v>48.5</v>
      </c>
      <c r="B81" s="18">
        <v>6.2100000000000002E-3</v>
      </c>
    </row>
    <row r="82" spans="1:2" x14ac:dyDescent="0.25">
      <c r="A82" s="18">
        <v>49</v>
      </c>
      <c r="B82" s="18">
        <v>6.0000000000000001E-3</v>
      </c>
    </row>
    <row r="83" spans="1:2" x14ac:dyDescent="0.25">
      <c r="A83" s="18">
        <v>49.5</v>
      </c>
      <c r="B83" s="18">
        <v>5.9199999999999999E-3</v>
      </c>
    </row>
    <row r="84" spans="1:2" x14ac:dyDescent="0.25">
      <c r="A84" s="18">
        <v>50</v>
      </c>
      <c r="B84" s="18">
        <v>5.7299999999999999E-3</v>
      </c>
    </row>
    <row r="85" spans="1:2" x14ac:dyDescent="0.25">
      <c r="A85" s="18">
        <v>50.5</v>
      </c>
      <c r="B85" s="18">
        <v>5.5900000000000004E-3</v>
      </c>
    </row>
    <row r="86" spans="1:2" x14ac:dyDescent="0.25">
      <c r="A86" s="18">
        <v>51</v>
      </c>
      <c r="B86" s="18">
        <v>5.4900000000000001E-3</v>
      </c>
    </row>
    <row r="87" spans="1:2" x14ac:dyDescent="0.25">
      <c r="A87" s="18">
        <v>51.5</v>
      </c>
      <c r="B87" s="18">
        <v>5.4400000000000004E-3</v>
      </c>
    </row>
    <row r="88" spans="1:2" x14ac:dyDescent="0.25">
      <c r="A88" s="18">
        <v>52</v>
      </c>
      <c r="B88" s="18">
        <v>5.2900000000000004E-3</v>
      </c>
    </row>
    <row r="89" spans="1:2" x14ac:dyDescent="0.25">
      <c r="A89" s="18">
        <v>52.5</v>
      </c>
      <c r="B89" s="18">
        <v>5.1700000000000001E-3</v>
      </c>
    </row>
    <row r="90" spans="1:2" x14ac:dyDescent="0.25">
      <c r="A90" s="18">
        <v>53</v>
      </c>
      <c r="B90" s="18">
        <v>5.0699999999999999E-3</v>
      </c>
    </row>
    <row r="91" spans="1:2" x14ac:dyDescent="0.25">
      <c r="A91" s="18">
        <v>53.5</v>
      </c>
      <c r="B91" s="18">
        <v>4.96E-3</v>
      </c>
    </row>
    <row r="92" spans="1:2" x14ac:dyDescent="0.25">
      <c r="A92" s="18">
        <v>54</v>
      </c>
      <c r="B92" s="18">
        <v>4.8199999999999996E-3</v>
      </c>
    </row>
    <row r="93" spans="1:2" x14ac:dyDescent="0.25">
      <c r="A93" s="18">
        <v>54.5</v>
      </c>
      <c r="B93" s="18">
        <v>4.7999999999999996E-3</v>
      </c>
    </row>
    <row r="94" spans="1:2" x14ac:dyDescent="0.25">
      <c r="A94" s="18">
        <v>55</v>
      </c>
      <c r="B94" s="18">
        <v>4.6899999999999997E-3</v>
      </c>
    </row>
    <row r="95" spans="1:2" x14ac:dyDescent="0.25">
      <c r="A95" s="18">
        <v>55.5</v>
      </c>
      <c r="B95" s="18">
        <v>4.5700000000000003E-3</v>
      </c>
    </row>
    <row r="96" spans="1:2" x14ac:dyDescent="0.25">
      <c r="A96" s="18">
        <v>56</v>
      </c>
      <c r="B96" s="18">
        <v>4.4999999999999997E-3</v>
      </c>
    </row>
    <row r="97" spans="1:2" x14ac:dyDescent="0.25">
      <c r="A97" s="18">
        <v>56.5</v>
      </c>
      <c r="B97" s="18">
        <v>4.4000000000000003E-3</v>
      </c>
    </row>
    <row r="98" spans="1:2" x14ac:dyDescent="0.25">
      <c r="A98" s="18">
        <v>57</v>
      </c>
      <c r="B98" s="18">
        <v>4.3499999999999997E-3</v>
      </c>
    </row>
    <row r="99" spans="1:2" x14ac:dyDescent="0.25">
      <c r="A99" s="18">
        <v>57.5</v>
      </c>
      <c r="B99" s="18">
        <v>4.8500000000000001E-3</v>
      </c>
    </row>
    <row r="100" spans="1:2" x14ac:dyDescent="0.25">
      <c r="A100" s="18">
        <v>58</v>
      </c>
      <c r="B100" s="18">
        <v>1.2200000000000001E-2</v>
      </c>
    </row>
    <row r="101" spans="1:2" x14ac:dyDescent="0.25">
      <c r="A101" s="18">
        <v>58.5</v>
      </c>
      <c r="B101" s="18">
        <v>5.4099999999999999E-3</v>
      </c>
    </row>
    <row r="102" spans="1:2" x14ac:dyDescent="0.25">
      <c r="A102" s="18">
        <v>59</v>
      </c>
      <c r="B102" s="18">
        <v>8.3700000000000007E-3</v>
      </c>
    </row>
    <row r="103" spans="1:2" x14ac:dyDescent="0.25">
      <c r="A103" s="18">
        <v>59.5</v>
      </c>
      <c r="B103" s="18">
        <v>1.67E-2</v>
      </c>
    </row>
    <row r="104" spans="1:2" x14ac:dyDescent="0.25">
      <c r="A104" s="18">
        <v>60</v>
      </c>
      <c r="B104" s="18">
        <v>4.1900000000000001E-3</v>
      </c>
    </row>
    <row r="105" spans="1:2" x14ac:dyDescent="0.25">
      <c r="A105" s="18">
        <v>60.5</v>
      </c>
      <c r="B105" s="18">
        <v>3.7599999999999999E-3</v>
      </c>
    </row>
    <row r="106" spans="1:2" x14ac:dyDescent="0.25">
      <c r="A106" s="18">
        <v>61</v>
      </c>
      <c r="B106" s="18">
        <v>3.6600000000000001E-3</v>
      </c>
    </row>
    <row r="107" spans="1:2" x14ac:dyDescent="0.25">
      <c r="A107" s="18">
        <v>61.5</v>
      </c>
      <c r="B107" s="18">
        <v>3.6099999999999999E-3</v>
      </c>
    </row>
    <row r="108" spans="1:2" x14ac:dyDescent="0.25">
      <c r="A108" s="18">
        <v>62</v>
      </c>
      <c r="B108" s="18">
        <v>3.5300000000000002E-3</v>
      </c>
    </row>
    <row r="109" spans="1:2" x14ac:dyDescent="0.25">
      <c r="A109" s="18">
        <v>62.5</v>
      </c>
      <c r="B109" s="18">
        <v>3.48E-3</v>
      </c>
    </row>
    <row r="110" spans="1:2" x14ac:dyDescent="0.25">
      <c r="A110" s="18">
        <v>63</v>
      </c>
      <c r="B110" s="18">
        <v>3.46E-3</v>
      </c>
    </row>
    <row r="111" spans="1:2" x14ac:dyDescent="0.25">
      <c r="A111" s="18">
        <v>63.5</v>
      </c>
      <c r="B111" s="18">
        <v>3.3800000000000002E-3</v>
      </c>
    </row>
    <row r="112" spans="1:2" x14ac:dyDescent="0.25">
      <c r="A112" s="18">
        <v>64</v>
      </c>
      <c r="B112" s="18">
        <v>3.31E-3</v>
      </c>
    </row>
    <row r="113" spans="1:2" x14ac:dyDescent="0.25">
      <c r="A113" s="18">
        <v>64.5</v>
      </c>
      <c r="B113" s="18">
        <v>3.2499999999999999E-3</v>
      </c>
    </row>
    <row r="114" spans="1:2" x14ac:dyDescent="0.25">
      <c r="A114" s="18">
        <v>65</v>
      </c>
      <c r="B114" s="18">
        <v>3.2100000000000002E-3</v>
      </c>
    </row>
    <row r="115" spans="1:2" x14ac:dyDescent="0.25">
      <c r="A115" s="18">
        <v>65.5</v>
      </c>
      <c r="B115" s="18">
        <v>3.14E-3</v>
      </c>
    </row>
    <row r="116" spans="1:2" x14ac:dyDescent="0.25">
      <c r="A116" s="18">
        <v>66</v>
      </c>
      <c r="B116" s="18">
        <v>3.1199999999999999E-3</v>
      </c>
    </row>
    <row r="117" spans="1:2" x14ac:dyDescent="0.25">
      <c r="A117" s="18">
        <v>66.5</v>
      </c>
      <c r="B117" s="18">
        <v>3.2799999999999999E-3</v>
      </c>
    </row>
    <row r="118" spans="1:2" x14ac:dyDescent="0.25">
      <c r="A118" s="18">
        <v>67</v>
      </c>
      <c r="B118" s="18">
        <v>6.3899999999999998E-3</v>
      </c>
    </row>
    <row r="119" spans="1:2" x14ac:dyDescent="0.25">
      <c r="A119" s="18">
        <v>67.5</v>
      </c>
      <c r="B119" s="18">
        <v>5.79E-3</v>
      </c>
    </row>
    <row r="120" spans="1:2" x14ac:dyDescent="0.25">
      <c r="A120" s="18">
        <v>68</v>
      </c>
      <c r="B120" s="18">
        <v>3.0000000000000001E-3</v>
      </c>
    </row>
    <row r="121" spans="1:2" x14ac:dyDescent="0.25">
      <c r="A121" s="18">
        <v>68.5</v>
      </c>
      <c r="B121" s="18">
        <v>2.8700000000000002E-3</v>
      </c>
    </row>
    <row r="122" spans="1:2" x14ac:dyDescent="0.25">
      <c r="A122" s="18">
        <v>69</v>
      </c>
      <c r="B122" s="18">
        <v>3.8600000000000001E-3</v>
      </c>
    </row>
    <row r="123" spans="1:2" x14ac:dyDescent="0.25">
      <c r="A123" s="18">
        <v>69.5</v>
      </c>
      <c r="B123" s="18">
        <v>3.2499999999999999E-3</v>
      </c>
    </row>
    <row r="124" spans="1:2" x14ac:dyDescent="0.25">
      <c r="A124" s="18">
        <v>70</v>
      </c>
      <c r="B124" s="18">
        <v>2.48E-3</v>
      </c>
    </row>
    <row r="125" spans="1:2" x14ac:dyDescent="0.25">
      <c r="A125" s="18">
        <v>70.5</v>
      </c>
      <c r="B125" s="18">
        <v>2.4299999999999999E-3</v>
      </c>
    </row>
    <row r="126" spans="1:2" x14ac:dyDescent="0.25">
      <c r="A126" s="18">
        <v>71</v>
      </c>
      <c r="B126" s="18">
        <v>2.3999999999999998E-3</v>
      </c>
    </row>
    <row r="127" spans="1:2" x14ac:dyDescent="0.25">
      <c r="A127" s="18">
        <v>71.5</v>
      </c>
      <c r="B127" s="18">
        <v>2.3600000000000001E-3</v>
      </c>
    </row>
    <row r="128" spans="1:2" x14ac:dyDescent="0.25">
      <c r="A128" s="18">
        <v>72</v>
      </c>
      <c r="B128" s="18">
        <v>2.2899999999999999E-3</v>
      </c>
    </row>
    <row r="129" spans="1:2" x14ac:dyDescent="0.25">
      <c r="A129" s="18">
        <v>72.5</v>
      </c>
      <c r="B129" s="18">
        <v>2.2799999999999999E-3</v>
      </c>
    </row>
    <row r="130" spans="1:2" x14ac:dyDescent="0.25">
      <c r="A130" s="18">
        <v>73</v>
      </c>
      <c r="B130" s="18">
        <v>2.2300000000000002E-3</v>
      </c>
    </row>
    <row r="131" spans="1:2" x14ac:dyDescent="0.25">
      <c r="A131" s="18">
        <v>73.5</v>
      </c>
      <c r="B131" s="18">
        <v>2.1900000000000001E-3</v>
      </c>
    </row>
    <row r="132" spans="1:2" x14ac:dyDescent="0.25">
      <c r="A132" s="18">
        <v>74</v>
      </c>
      <c r="B132" s="18">
        <v>2.16E-3</v>
      </c>
    </row>
    <row r="133" spans="1:2" x14ac:dyDescent="0.25">
      <c r="A133" s="18">
        <v>74.5</v>
      </c>
      <c r="B133" s="18">
        <v>2.1199999999999999E-3</v>
      </c>
    </row>
    <row r="134" spans="1:2" x14ac:dyDescent="0.25">
      <c r="A134" s="18">
        <v>75</v>
      </c>
      <c r="B134" s="18">
        <v>2.0600000000000002E-3</v>
      </c>
    </row>
    <row r="135" spans="1:2" x14ac:dyDescent="0.25">
      <c r="A135" s="18">
        <v>75.5</v>
      </c>
      <c r="B135" s="18">
        <v>2.0400000000000001E-3</v>
      </c>
    </row>
    <row r="136" spans="1:2" x14ac:dyDescent="0.25">
      <c r="A136" s="18">
        <v>76</v>
      </c>
      <c r="B136" s="18">
        <v>2E-3</v>
      </c>
    </row>
    <row r="137" spans="1:2" x14ac:dyDescent="0.25">
      <c r="A137" s="18">
        <v>76.5</v>
      </c>
      <c r="B137" s="18">
        <v>1.97E-3</v>
      </c>
    </row>
    <row r="138" spans="1:2" x14ac:dyDescent="0.25">
      <c r="A138" s="18">
        <v>77</v>
      </c>
      <c r="B138" s="18">
        <v>1.92E-3</v>
      </c>
    </row>
    <row r="139" spans="1:2" x14ac:dyDescent="0.25">
      <c r="A139" s="18">
        <v>77.5</v>
      </c>
      <c r="B139" s="18">
        <v>1.89E-3</v>
      </c>
    </row>
    <row r="140" spans="1:2" x14ac:dyDescent="0.25">
      <c r="A140" s="18">
        <v>78</v>
      </c>
      <c r="B140" s="18">
        <v>1.8500000000000001E-3</v>
      </c>
    </row>
    <row r="141" spans="1:2" x14ac:dyDescent="0.25">
      <c r="A141" s="18">
        <v>78.5</v>
      </c>
      <c r="B141" s="18">
        <v>1.7799999999999999E-3</v>
      </c>
    </row>
    <row r="142" spans="1:2" x14ac:dyDescent="0.25">
      <c r="A142" s="18">
        <v>79</v>
      </c>
      <c r="B142" s="18">
        <v>1.75E-3</v>
      </c>
    </row>
    <row r="143" spans="1:2" x14ac:dyDescent="0.25">
      <c r="A143" s="18">
        <v>79.5</v>
      </c>
      <c r="B143" s="18">
        <v>1.72E-3</v>
      </c>
    </row>
    <row r="144" spans="1:2" x14ac:dyDescent="0.25">
      <c r="A144" s="18">
        <v>80</v>
      </c>
      <c r="B144" s="18">
        <v>1.6900000000000001E-3</v>
      </c>
    </row>
    <row r="145" spans="1:2" x14ac:dyDescent="0.25">
      <c r="A145" s="18">
        <v>80.5</v>
      </c>
      <c r="B145" s="18">
        <v>1.64E-3</v>
      </c>
    </row>
    <row r="146" spans="1:2" x14ac:dyDescent="0.25">
      <c r="A146" s="18">
        <v>81</v>
      </c>
      <c r="B146" s="18">
        <v>1.6000000000000001E-3</v>
      </c>
    </row>
    <row r="147" spans="1:2" x14ac:dyDescent="0.25">
      <c r="A147" s="18">
        <v>81.5</v>
      </c>
      <c r="B147" s="18">
        <v>1.57E-3</v>
      </c>
    </row>
    <row r="148" spans="1:2" x14ac:dyDescent="0.25">
      <c r="A148" s="18">
        <v>82</v>
      </c>
      <c r="B148" s="18">
        <v>1.5399999999999999E-3</v>
      </c>
    </row>
    <row r="149" spans="1:2" x14ac:dyDescent="0.25">
      <c r="A149" s="18">
        <v>82.5</v>
      </c>
      <c r="B149" s="18">
        <v>1.5E-3</v>
      </c>
    </row>
    <row r="150" spans="1:2" x14ac:dyDescent="0.25">
      <c r="A150" s="18">
        <v>83</v>
      </c>
      <c r="B150" s="18">
        <v>1.49E-3</v>
      </c>
    </row>
    <row r="151" spans="1:2" x14ac:dyDescent="0.25">
      <c r="A151" s="18">
        <v>83.5</v>
      </c>
      <c r="B151" s="18">
        <v>1.4499999999999999E-3</v>
      </c>
    </row>
    <row r="152" spans="1:2" x14ac:dyDescent="0.25">
      <c r="A152" s="18">
        <v>84</v>
      </c>
      <c r="B152" s="18">
        <v>1.4E-3</v>
      </c>
    </row>
    <row r="153" spans="1:2" x14ac:dyDescent="0.25">
      <c r="A153" s="18">
        <v>84.5</v>
      </c>
      <c r="B153" s="18">
        <v>1.39E-3</v>
      </c>
    </row>
    <row r="154" spans="1:2" x14ac:dyDescent="0.25">
      <c r="A154" s="18">
        <v>85</v>
      </c>
      <c r="B154" s="18">
        <v>1.33E-3</v>
      </c>
    </row>
    <row r="155" spans="1:2" x14ac:dyDescent="0.25">
      <c r="A155" s="18">
        <v>85.5</v>
      </c>
      <c r="B155" s="18">
        <v>1.2999999999999999E-3</v>
      </c>
    </row>
    <row r="156" spans="1:2" x14ac:dyDescent="0.25">
      <c r="A156" s="18">
        <v>86</v>
      </c>
      <c r="B156" s="18">
        <v>1.2800000000000001E-3</v>
      </c>
    </row>
    <row r="157" spans="1:2" x14ac:dyDescent="0.25">
      <c r="A157" s="18">
        <v>86.5</v>
      </c>
      <c r="B157" s="18">
        <v>1.24E-3</v>
      </c>
    </row>
    <row r="158" spans="1:2" x14ac:dyDescent="0.25">
      <c r="A158" s="18">
        <v>87</v>
      </c>
      <c r="B158" s="18">
        <v>1.1999999999999999E-3</v>
      </c>
    </row>
    <row r="159" spans="1:2" x14ac:dyDescent="0.25">
      <c r="A159" s="18">
        <v>87.5</v>
      </c>
      <c r="B159" s="18">
        <v>1.16E-3</v>
      </c>
    </row>
    <row r="160" spans="1:2" x14ac:dyDescent="0.25">
      <c r="A160" s="18">
        <v>88</v>
      </c>
      <c r="B160" s="18">
        <v>1.1000000000000001E-3</v>
      </c>
    </row>
    <row r="161" spans="1:2" x14ac:dyDescent="0.25">
      <c r="A161" s="18">
        <v>88.5</v>
      </c>
      <c r="B161" s="18">
        <v>1.06E-3</v>
      </c>
    </row>
    <row r="162" spans="1:2" x14ac:dyDescent="0.25">
      <c r="A162" s="18">
        <v>89</v>
      </c>
      <c r="B162" s="18">
        <v>1.0200000000000001E-3</v>
      </c>
    </row>
    <row r="163" spans="1:2" x14ac:dyDescent="0.25">
      <c r="A163" s="18">
        <v>89.5</v>
      </c>
      <c r="B163" s="18">
        <v>9.8400000000000007E-4</v>
      </c>
    </row>
    <row r="164" spans="1:2" x14ac:dyDescent="0.25">
      <c r="A164" s="18">
        <v>90</v>
      </c>
      <c r="B164" s="18">
        <v>9.41E-4</v>
      </c>
    </row>
    <row r="165" spans="1:2" x14ac:dyDescent="0.25">
      <c r="A165" s="18">
        <v>90.5</v>
      </c>
      <c r="B165" s="18">
        <v>9.2400000000000002E-4</v>
      </c>
    </row>
    <row r="166" spans="1:2" x14ac:dyDescent="0.25">
      <c r="A166" s="18">
        <v>91</v>
      </c>
      <c r="B166" s="18">
        <v>8.7699999999999996E-4</v>
      </c>
    </row>
    <row r="167" spans="1:2" x14ac:dyDescent="0.25">
      <c r="A167" s="18">
        <v>91.5</v>
      </c>
      <c r="B167" s="18">
        <v>8.3199999999999995E-4</v>
      </c>
    </row>
    <row r="168" spans="1:2" x14ac:dyDescent="0.25">
      <c r="A168" s="18">
        <v>92</v>
      </c>
      <c r="B168" s="18">
        <v>8.0400000000000003E-4</v>
      </c>
    </row>
    <row r="169" spans="1:2" x14ac:dyDescent="0.25">
      <c r="A169" s="18">
        <v>92.5</v>
      </c>
      <c r="B169" s="18">
        <v>7.4899999999999999E-4</v>
      </c>
    </row>
    <row r="170" spans="1:2" x14ac:dyDescent="0.25">
      <c r="A170" s="18">
        <v>93</v>
      </c>
      <c r="B170" s="18">
        <v>7.27E-4</v>
      </c>
    </row>
    <row r="171" spans="1:2" x14ac:dyDescent="0.25">
      <c r="A171" s="18">
        <v>93.5</v>
      </c>
      <c r="B171" s="18">
        <v>6.6500000000000001E-4</v>
      </c>
    </row>
    <row r="172" spans="1:2" x14ac:dyDescent="0.25">
      <c r="A172" s="18">
        <v>94</v>
      </c>
      <c r="B172" s="18">
        <v>6.3100000000000005E-4</v>
      </c>
    </row>
    <row r="173" spans="1:2" x14ac:dyDescent="0.25">
      <c r="A173" s="18">
        <v>94.5</v>
      </c>
      <c r="B173" s="18">
        <v>5.8600000000000004E-4</v>
      </c>
    </row>
    <row r="174" spans="1:2" x14ac:dyDescent="0.25">
      <c r="A174" s="18">
        <v>95</v>
      </c>
      <c r="B174" s="18">
        <v>5.4500000000000002E-4</v>
      </c>
    </row>
    <row r="175" spans="1:2" x14ac:dyDescent="0.25">
      <c r="A175" s="18">
        <v>95.5</v>
      </c>
      <c r="B175" s="18">
        <v>4.9399999999999997E-4</v>
      </c>
    </row>
    <row r="176" spans="1:2" x14ac:dyDescent="0.25">
      <c r="A176" s="18">
        <v>96</v>
      </c>
      <c r="B176" s="18">
        <v>4.6299999999999998E-4</v>
      </c>
    </row>
    <row r="177" spans="1:2" x14ac:dyDescent="0.25">
      <c r="A177" s="18">
        <v>96.5</v>
      </c>
      <c r="B177" s="18">
        <v>3.97E-4</v>
      </c>
    </row>
    <row r="178" spans="1:2" x14ac:dyDescent="0.25">
      <c r="A178" s="18">
        <v>97</v>
      </c>
      <c r="B178" s="18">
        <v>3.6000000000000002E-4</v>
      </c>
    </row>
    <row r="179" spans="1:2" x14ac:dyDescent="0.25">
      <c r="A179" s="18">
        <v>97.5</v>
      </c>
      <c r="B179" s="18">
        <v>3.1300000000000002E-4</v>
      </c>
    </row>
    <row r="180" spans="1:2" x14ac:dyDescent="0.25">
      <c r="A180" s="18">
        <v>98</v>
      </c>
      <c r="B180" s="18">
        <v>2.7300000000000002E-4</v>
      </c>
    </row>
    <row r="181" spans="1:2" x14ac:dyDescent="0.25">
      <c r="A181" s="18">
        <v>98.5</v>
      </c>
      <c r="B181" s="18">
        <v>2.2100000000000001E-4</v>
      </c>
    </row>
    <row r="182" spans="1:2" x14ac:dyDescent="0.25">
      <c r="A182" s="18">
        <v>99</v>
      </c>
      <c r="B182" s="18">
        <v>1.5799999999999999E-4</v>
      </c>
    </row>
    <row r="183" spans="1:2" x14ac:dyDescent="0.25">
      <c r="A183" s="18">
        <v>99.5</v>
      </c>
      <c r="B183" s="18">
        <v>1.05E-4</v>
      </c>
    </row>
    <row r="184" spans="1:2" x14ac:dyDescent="0.25">
      <c r="A184" s="18">
        <v>100</v>
      </c>
      <c r="B184" s="18">
        <v>3.65E-5</v>
      </c>
    </row>
    <row r="185" spans="1:2" x14ac:dyDescent="0.25">
      <c r="A185" s="18">
        <v>101</v>
      </c>
      <c r="B185" s="18">
        <v>6.1500000000000004E-6</v>
      </c>
    </row>
    <row r="186" spans="1:2" x14ac:dyDescent="0.25">
      <c r="A186" s="18">
        <v>101</v>
      </c>
      <c r="B186" s="18">
        <v>8.1699999999999997E-6</v>
      </c>
    </row>
    <row r="187" spans="1:2" x14ac:dyDescent="0.25">
      <c r="A187" s="18">
        <v>102</v>
      </c>
      <c r="B187" s="18">
        <v>6.9999999999999999E-6</v>
      </c>
    </row>
    <row r="188" spans="1:2" x14ac:dyDescent="0.25">
      <c r="A188" s="18">
        <v>102</v>
      </c>
      <c r="B188" s="18">
        <v>7.8199999999999997E-6</v>
      </c>
    </row>
  </sheetData>
  <pageMargins left="0.7" right="0.7" top="0.75" bottom="0.75" header="0.3" footer="0.3"/>
  <pageSetup paperSize="9" orientation="portrait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dimension ref="A1:B22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3.01E-4</v>
      </c>
    </row>
    <row r="3" spans="1:2" x14ac:dyDescent="0.25">
      <c r="A3" s="18">
        <v>9.5</v>
      </c>
      <c r="B3" s="18">
        <v>3.88E-4</v>
      </c>
    </row>
    <row r="4" spans="1:2" x14ac:dyDescent="0.25">
      <c r="A4" s="18">
        <v>10</v>
      </c>
      <c r="B4" s="18">
        <v>6.4300000000000002E-4</v>
      </c>
    </row>
    <row r="5" spans="1:2" x14ac:dyDescent="0.25">
      <c r="A5" s="18">
        <v>10.5</v>
      </c>
      <c r="B5" s="18">
        <v>7.1500000000000003E-4</v>
      </c>
    </row>
    <row r="6" spans="1:2" x14ac:dyDescent="0.25">
      <c r="A6" s="18">
        <v>11</v>
      </c>
      <c r="B6" s="18">
        <v>5.2899999999999996E-4</v>
      </c>
    </row>
    <row r="7" spans="1:2" x14ac:dyDescent="0.25">
      <c r="A7" s="18">
        <v>11.5</v>
      </c>
      <c r="B7" s="18">
        <v>6.7199999999999996E-4</v>
      </c>
    </row>
    <row r="8" spans="1:2" x14ac:dyDescent="0.25">
      <c r="A8" s="18">
        <v>12</v>
      </c>
      <c r="B8" s="18">
        <v>6.6699999999999995E-4</v>
      </c>
    </row>
    <row r="9" spans="1:2" x14ac:dyDescent="0.25">
      <c r="A9" s="18">
        <v>12.5</v>
      </c>
      <c r="B9" s="18">
        <v>4.1800000000000002E-4</v>
      </c>
    </row>
    <row r="10" spans="1:2" x14ac:dyDescent="0.25">
      <c r="A10" s="18">
        <v>13</v>
      </c>
      <c r="B10" s="18">
        <v>5.9699999999999998E-4</v>
      </c>
    </row>
    <row r="11" spans="1:2" x14ac:dyDescent="0.25">
      <c r="A11" s="18">
        <v>13.5</v>
      </c>
      <c r="B11" s="18">
        <v>5.3700000000000004E-4</v>
      </c>
    </row>
    <row r="12" spans="1:2" x14ac:dyDescent="0.25">
      <c r="A12" s="18">
        <v>14</v>
      </c>
      <c r="B12" s="18">
        <v>4.8299999999999998E-4</v>
      </c>
    </row>
    <row r="13" spans="1:2" x14ac:dyDescent="0.25">
      <c r="A13" s="18">
        <v>14.5</v>
      </c>
      <c r="B13" s="18">
        <v>4.6099999999999998E-4</v>
      </c>
    </row>
    <row r="14" spans="1:2" x14ac:dyDescent="0.25">
      <c r="A14" s="18">
        <v>15</v>
      </c>
      <c r="B14" s="18">
        <v>7.3499999999999998E-4</v>
      </c>
    </row>
    <row r="15" spans="1:2" x14ac:dyDescent="0.25">
      <c r="A15" s="18">
        <v>15.5</v>
      </c>
      <c r="B15" s="18">
        <v>1.0200000000000001E-3</v>
      </c>
    </row>
    <row r="16" spans="1:2" x14ac:dyDescent="0.25">
      <c r="A16" s="18">
        <v>16</v>
      </c>
      <c r="B16" s="18">
        <v>1.23E-3</v>
      </c>
    </row>
    <row r="17" spans="1:2" x14ac:dyDescent="0.25">
      <c r="A17" s="18">
        <v>16.5</v>
      </c>
      <c r="B17" s="18">
        <v>1.66E-3</v>
      </c>
    </row>
    <row r="18" spans="1:2" x14ac:dyDescent="0.25">
      <c r="A18" s="18">
        <v>17</v>
      </c>
      <c r="B18" s="18">
        <v>2.16E-3</v>
      </c>
    </row>
    <row r="19" spans="1:2" x14ac:dyDescent="0.25">
      <c r="A19" s="18">
        <v>17.5</v>
      </c>
      <c r="B19" s="18">
        <v>2.8300000000000001E-3</v>
      </c>
    </row>
    <row r="20" spans="1:2" x14ac:dyDescent="0.25">
      <c r="A20" s="18">
        <v>18</v>
      </c>
      <c r="B20" s="18">
        <v>3.4199999999999999E-3</v>
      </c>
    </row>
    <row r="21" spans="1:2" x14ac:dyDescent="0.25">
      <c r="A21" s="18">
        <v>18.5</v>
      </c>
      <c r="B21" s="18">
        <v>4.13E-3</v>
      </c>
    </row>
    <row r="22" spans="1:2" x14ac:dyDescent="0.25">
      <c r="A22" s="18">
        <v>19</v>
      </c>
      <c r="B22" s="18">
        <v>5.0699999999999999E-3</v>
      </c>
    </row>
    <row r="23" spans="1:2" x14ac:dyDescent="0.25">
      <c r="A23" s="18">
        <v>19.5</v>
      </c>
      <c r="B23" s="18">
        <v>5.7600000000000004E-3</v>
      </c>
    </row>
    <row r="24" spans="1:2" x14ac:dyDescent="0.25">
      <c r="A24" s="18">
        <v>20</v>
      </c>
      <c r="B24" s="18">
        <v>6.62E-3</v>
      </c>
    </row>
    <row r="25" spans="1:2" x14ac:dyDescent="0.25">
      <c r="A25" s="18">
        <v>20.5</v>
      </c>
      <c r="B25" s="18">
        <v>7.5300000000000002E-3</v>
      </c>
    </row>
    <row r="26" spans="1:2" x14ac:dyDescent="0.25">
      <c r="A26" s="18">
        <v>21</v>
      </c>
      <c r="B26" s="18">
        <v>8.3199999999999993E-3</v>
      </c>
    </row>
    <row r="27" spans="1:2" x14ac:dyDescent="0.25">
      <c r="A27" s="18">
        <v>21.5</v>
      </c>
      <c r="B27" s="18">
        <v>9.0500000000000008E-3</v>
      </c>
    </row>
    <row r="28" spans="1:2" x14ac:dyDescent="0.25">
      <c r="A28" s="18">
        <v>22</v>
      </c>
      <c r="B28" s="18">
        <v>9.7999999999999997E-3</v>
      </c>
    </row>
    <row r="29" spans="1:2" x14ac:dyDescent="0.25">
      <c r="A29" s="18">
        <v>22.5</v>
      </c>
      <c r="B29" s="18">
        <v>1.0500000000000001E-2</v>
      </c>
    </row>
    <row r="30" spans="1:2" x14ac:dyDescent="0.25">
      <c r="A30" s="18">
        <v>23</v>
      </c>
      <c r="B30" s="18">
        <v>1.0999999999999999E-2</v>
      </c>
    </row>
    <row r="31" spans="1:2" x14ac:dyDescent="0.25">
      <c r="A31" s="18">
        <v>23.5</v>
      </c>
      <c r="B31" s="18">
        <v>1.1599999999999999E-2</v>
      </c>
    </row>
    <row r="32" spans="1:2" x14ac:dyDescent="0.25">
      <c r="A32" s="18">
        <v>24</v>
      </c>
      <c r="B32" s="18">
        <v>1.2200000000000001E-2</v>
      </c>
    </row>
    <row r="33" spans="1:2" x14ac:dyDescent="0.25">
      <c r="A33" s="18">
        <v>24.5</v>
      </c>
      <c r="B33" s="18">
        <v>1.2500000000000001E-2</v>
      </c>
    </row>
    <row r="34" spans="1:2" x14ac:dyDescent="0.25">
      <c r="A34" s="18">
        <v>25</v>
      </c>
      <c r="B34" s="18">
        <v>1.29E-2</v>
      </c>
    </row>
    <row r="35" spans="1:2" x14ac:dyDescent="0.25">
      <c r="A35" s="18">
        <v>25.5</v>
      </c>
      <c r="B35" s="18">
        <v>1.3100000000000001E-2</v>
      </c>
    </row>
    <row r="36" spans="1:2" x14ac:dyDescent="0.25">
      <c r="A36" s="18">
        <v>26</v>
      </c>
      <c r="B36" s="18">
        <v>1.3299999999999999E-2</v>
      </c>
    </row>
    <row r="37" spans="1:2" x14ac:dyDescent="0.25">
      <c r="A37" s="18">
        <v>26.5</v>
      </c>
      <c r="B37" s="18">
        <v>1.35E-2</v>
      </c>
    </row>
    <row r="38" spans="1:2" x14ac:dyDescent="0.25">
      <c r="A38" s="18">
        <v>27</v>
      </c>
      <c r="B38" s="18">
        <v>1.3599999999999999E-2</v>
      </c>
    </row>
    <row r="39" spans="1:2" x14ac:dyDescent="0.25">
      <c r="A39" s="18">
        <v>27.5</v>
      </c>
      <c r="B39" s="18">
        <v>1.3599999999999999E-2</v>
      </c>
    </row>
    <row r="40" spans="1:2" x14ac:dyDescent="0.25">
      <c r="A40" s="18">
        <v>28</v>
      </c>
      <c r="B40" s="18">
        <v>1.35E-2</v>
      </c>
    </row>
    <row r="41" spans="1:2" x14ac:dyDescent="0.25">
      <c r="A41" s="18">
        <v>28.5</v>
      </c>
      <c r="B41" s="18">
        <v>1.3599999999999999E-2</v>
      </c>
    </row>
    <row r="42" spans="1:2" x14ac:dyDescent="0.25">
      <c r="A42" s="18">
        <v>29</v>
      </c>
      <c r="B42" s="18">
        <v>1.34E-2</v>
      </c>
    </row>
    <row r="43" spans="1:2" x14ac:dyDescent="0.25">
      <c r="A43" s="18">
        <v>29.5</v>
      </c>
      <c r="B43" s="18">
        <v>1.34E-2</v>
      </c>
    </row>
    <row r="44" spans="1:2" x14ac:dyDescent="0.25">
      <c r="A44" s="18">
        <v>30</v>
      </c>
      <c r="B44" s="18">
        <v>1.32E-2</v>
      </c>
    </row>
    <row r="45" spans="1:2" x14ac:dyDescent="0.25">
      <c r="A45" s="18">
        <v>30.5</v>
      </c>
      <c r="B45" s="18">
        <v>1.3100000000000001E-2</v>
      </c>
    </row>
    <row r="46" spans="1:2" x14ac:dyDescent="0.25">
      <c r="A46" s="18">
        <v>31</v>
      </c>
      <c r="B46" s="18">
        <v>1.29E-2</v>
      </c>
    </row>
    <row r="47" spans="1:2" x14ac:dyDescent="0.25">
      <c r="A47" s="18">
        <v>31.5</v>
      </c>
      <c r="B47" s="18">
        <v>1.2699999999999999E-2</v>
      </c>
    </row>
    <row r="48" spans="1:2" x14ac:dyDescent="0.25">
      <c r="A48" s="18">
        <v>32</v>
      </c>
      <c r="B48" s="18">
        <v>1.2500000000000001E-2</v>
      </c>
    </row>
    <row r="49" spans="1:2" x14ac:dyDescent="0.25">
      <c r="A49" s="18">
        <v>32.5</v>
      </c>
      <c r="B49" s="18">
        <v>1.2500000000000001E-2</v>
      </c>
    </row>
    <row r="50" spans="1:2" x14ac:dyDescent="0.25">
      <c r="A50" s="18">
        <v>33</v>
      </c>
      <c r="B50" s="18">
        <v>1.2200000000000001E-2</v>
      </c>
    </row>
    <row r="51" spans="1:2" x14ac:dyDescent="0.25">
      <c r="A51" s="18">
        <v>33.5</v>
      </c>
      <c r="B51" s="18">
        <v>1.2E-2</v>
      </c>
    </row>
    <row r="52" spans="1:2" x14ac:dyDescent="0.25">
      <c r="A52" s="18">
        <v>34</v>
      </c>
      <c r="B52" s="18">
        <v>1.17E-2</v>
      </c>
    </row>
    <row r="53" spans="1:2" x14ac:dyDescent="0.25">
      <c r="A53" s="18">
        <v>34.5</v>
      </c>
      <c r="B53" s="18">
        <v>1.15E-2</v>
      </c>
    </row>
    <row r="54" spans="1:2" x14ac:dyDescent="0.25">
      <c r="A54" s="18">
        <v>35</v>
      </c>
      <c r="B54" s="18">
        <v>1.1299999999999999E-2</v>
      </c>
    </row>
    <row r="55" spans="1:2" x14ac:dyDescent="0.25">
      <c r="A55" s="18">
        <v>35.5</v>
      </c>
      <c r="B55" s="18">
        <v>1.0999999999999999E-2</v>
      </c>
    </row>
    <row r="56" spans="1:2" x14ac:dyDescent="0.25">
      <c r="A56" s="18">
        <v>36</v>
      </c>
      <c r="B56" s="18">
        <v>1.0699999999999999E-2</v>
      </c>
    </row>
    <row r="57" spans="1:2" x14ac:dyDescent="0.25">
      <c r="A57" s="18">
        <v>36.5</v>
      </c>
      <c r="B57" s="18">
        <v>1.0500000000000001E-2</v>
      </c>
    </row>
    <row r="58" spans="1:2" x14ac:dyDescent="0.25">
      <c r="A58" s="18">
        <v>37</v>
      </c>
      <c r="B58" s="18">
        <v>1.0200000000000001E-2</v>
      </c>
    </row>
    <row r="59" spans="1:2" x14ac:dyDescent="0.25">
      <c r="A59" s="18">
        <v>37.5</v>
      </c>
      <c r="B59" s="18">
        <v>0.01</v>
      </c>
    </row>
    <row r="60" spans="1:2" x14ac:dyDescent="0.25">
      <c r="A60" s="18">
        <v>38</v>
      </c>
      <c r="B60" s="18">
        <v>9.75E-3</v>
      </c>
    </row>
    <row r="61" spans="1:2" x14ac:dyDescent="0.25">
      <c r="A61" s="18">
        <v>38.5</v>
      </c>
      <c r="B61" s="18">
        <v>9.4999999999999998E-3</v>
      </c>
    </row>
    <row r="62" spans="1:2" x14ac:dyDescent="0.25">
      <c r="A62" s="18">
        <v>39</v>
      </c>
      <c r="B62" s="18">
        <v>9.3100000000000006E-3</v>
      </c>
    </row>
    <row r="63" spans="1:2" x14ac:dyDescent="0.25">
      <c r="A63" s="18">
        <v>39.5</v>
      </c>
      <c r="B63" s="18">
        <v>8.9800000000000001E-3</v>
      </c>
    </row>
    <row r="64" spans="1:2" x14ac:dyDescent="0.25">
      <c r="A64" s="18">
        <v>40</v>
      </c>
      <c r="B64" s="18">
        <v>8.77E-3</v>
      </c>
    </row>
    <row r="65" spans="1:2" x14ac:dyDescent="0.25">
      <c r="A65" s="18">
        <v>40.5</v>
      </c>
      <c r="B65" s="18">
        <v>8.5800000000000008E-3</v>
      </c>
    </row>
    <row r="66" spans="1:2" x14ac:dyDescent="0.25">
      <c r="A66" s="18">
        <v>41</v>
      </c>
      <c r="B66" s="18">
        <v>8.4399999999999996E-3</v>
      </c>
    </row>
    <row r="67" spans="1:2" x14ac:dyDescent="0.25">
      <c r="A67" s="18">
        <v>41.5</v>
      </c>
      <c r="B67" s="18">
        <v>8.2100000000000003E-3</v>
      </c>
    </row>
    <row r="68" spans="1:2" x14ac:dyDescent="0.25">
      <c r="A68" s="18">
        <v>42</v>
      </c>
      <c r="B68" s="18">
        <v>8.0999999999999996E-3</v>
      </c>
    </row>
    <row r="69" spans="1:2" x14ac:dyDescent="0.25">
      <c r="A69" s="18">
        <v>42.5</v>
      </c>
      <c r="B69" s="18">
        <v>7.8499999999999993E-3</v>
      </c>
    </row>
    <row r="70" spans="1:2" x14ac:dyDescent="0.25">
      <c r="A70" s="18">
        <v>43</v>
      </c>
      <c r="B70" s="18">
        <v>7.7499999999999999E-3</v>
      </c>
    </row>
    <row r="71" spans="1:2" x14ac:dyDescent="0.25">
      <c r="A71" s="18">
        <v>43.5</v>
      </c>
      <c r="B71" s="18">
        <v>7.5100000000000002E-3</v>
      </c>
    </row>
    <row r="72" spans="1:2" x14ac:dyDescent="0.25">
      <c r="A72" s="18">
        <v>44</v>
      </c>
      <c r="B72" s="18">
        <v>7.3899999999999999E-3</v>
      </c>
    </row>
    <row r="73" spans="1:2" x14ac:dyDescent="0.25">
      <c r="A73" s="18">
        <v>44.5</v>
      </c>
      <c r="B73" s="18">
        <v>7.1900000000000002E-3</v>
      </c>
    </row>
    <row r="74" spans="1:2" x14ac:dyDescent="0.25">
      <c r="A74" s="18">
        <v>45</v>
      </c>
      <c r="B74" s="18">
        <v>7.0299999999999998E-3</v>
      </c>
    </row>
    <row r="75" spans="1:2" x14ac:dyDescent="0.25">
      <c r="A75" s="18">
        <v>45.5</v>
      </c>
      <c r="B75" s="18">
        <v>6.8999999999999999E-3</v>
      </c>
    </row>
    <row r="76" spans="1:2" x14ac:dyDescent="0.25">
      <c r="A76" s="18">
        <v>46</v>
      </c>
      <c r="B76" s="18">
        <v>6.7400000000000003E-3</v>
      </c>
    </row>
    <row r="77" spans="1:2" x14ac:dyDescent="0.25">
      <c r="A77" s="18">
        <v>46.5</v>
      </c>
      <c r="B77" s="18">
        <v>6.5399999999999998E-3</v>
      </c>
    </row>
    <row r="78" spans="1:2" x14ac:dyDescent="0.25">
      <c r="A78" s="18">
        <v>47</v>
      </c>
      <c r="B78" s="18">
        <v>6.45E-3</v>
      </c>
    </row>
    <row r="79" spans="1:2" x14ac:dyDescent="0.25">
      <c r="A79" s="18">
        <v>47.5</v>
      </c>
      <c r="B79" s="18">
        <v>6.2599999999999999E-3</v>
      </c>
    </row>
    <row r="80" spans="1:2" x14ac:dyDescent="0.25">
      <c r="A80" s="18">
        <v>48</v>
      </c>
      <c r="B80" s="18">
        <v>6.11E-3</v>
      </c>
    </row>
    <row r="81" spans="1:2" x14ac:dyDescent="0.25">
      <c r="A81" s="18">
        <v>48.5</v>
      </c>
      <c r="B81" s="18">
        <v>6.0000000000000001E-3</v>
      </c>
    </row>
    <row r="82" spans="1:2" x14ac:dyDescent="0.25">
      <c r="A82" s="18">
        <v>49</v>
      </c>
      <c r="B82" s="18">
        <v>5.8100000000000001E-3</v>
      </c>
    </row>
    <row r="83" spans="1:2" x14ac:dyDescent="0.25">
      <c r="A83" s="18">
        <v>49.5</v>
      </c>
      <c r="B83" s="18">
        <v>5.7099999999999998E-3</v>
      </c>
    </row>
    <row r="84" spans="1:2" x14ac:dyDescent="0.25">
      <c r="A84" s="18">
        <v>50</v>
      </c>
      <c r="B84" s="18">
        <v>5.6100000000000004E-3</v>
      </c>
    </row>
    <row r="85" spans="1:2" x14ac:dyDescent="0.25">
      <c r="A85" s="18">
        <v>50.5</v>
      </c>
      <c r="B85" s="18">
        <v>5.4900000000000001E-3</v>
      </c>
    </row>
    <row r="86" spans="1:2" x14ac:dyDescent="0.25">
      <c r="A86" s="18">
        <v>51</v>
      </c>
      <c r="B86" s="18">
        <v>5.3600000000000002E-3</v>
      </c>
    </row>
    <row r="87" spans="1:2" x14ac:dyDescent="0.25">
      <c r="A87" s="18">
        <v>51.5</v>
      </c>
      <c r="B87" s="18">
        <v>5.3E-3</v>
      </c>
    </row>
    <row r="88" spans="1:2" x14ac:dyDescent="0.25">
      <c r="A88" s="18">
        <v>52</v>
      </c>
      <c r="B88" s="18">
        <v>5.2199999999999998E-3</v>
      </c>
    </row>
    <row r="89" spans="1:2" x14ac:dyDescent="0.25">
      <c r="A89" s="18">
        <v>52.5</v>
      </c>
      <c r="B89" s="18">
        <v>5.1000000000000004E-3</v>
      </c>
    </row>
    <row r="90" spans="1:2" x14ac:dyDescent="0.25">
      <c r="A90" s="18">
        <v>53</v>
      </c>
      <c r="B90" s="18">
        <v>5.0299999999999997E-3</v>
      </c>
    </row>
    <row r="91" spans="1:2" x14ac:dyDescent="0.25">
      <c r="A91" s="18">
        <v>53.5</v>
      </c>
      <c r="B91" s="18">
        <v>4.9300000000000004E-3</v>
      </c>
    </row>
    <row r="92" spans="1:2" x14ac:dyDescent="0.25">
      <c r="A92" s="18">
        <v>54</v>
      </c>
      <c r="B92" s="18">
        <v>4.8300000000000001E-3</v>
      </c>
    </row>
    <row r="93" spans="1:2" x14ac:dyDescent="0.25">
      <c r="A93" s="18">
        <v>54.5</v>
      </c>
      <c r="B93" s="18">
        <v>4.7800000000000004E-3</v>
      </c>
    </row>
    <row r="94" spans="1:2" x14ac:dyDescent="0.25">
      <c r="A94" s="18">
        <v>55</v>
      </c>
      <c r="B94" s="18">
        <v>4.7099999999999998E-3</v>
      </c>
    </row>
    <row r="95" spans="1:2" x14ac:dyDescent="0.25">
      <c r="A95" s="18">
        <v>55.5</v>
      </c>
      <c r="B95" s="18">
        <v>4.5900000000000003E-3</v>
      </c>
    </row>
    <row r="96" spans="1:2" x14ac:dyDescent="0.25">
      <c r="A96" s="18">
        <v>56</v>
      </c>
      <c r="B96" s="18">
        <v>4.5199999999999997E-3</v>
      </c>
    </row>
    <row r="97" spans="1:2" x14ac:dyDescent="0.25">
      <c r="A97" s="18">
        <v>56.5</v>
      </c>
      <c r="B97" s="18">
        <v>4.47E-3</v>
      </c>
    </row>
    <row r="98" spans="1:2" x14ac:dyDescent="0.25">
      <c r="A98" s="18">
        <v>57</v>
      </c>
      <c r="B98" s="18">
        <v>4.4200000000000003E-3</v>
      </c>
    </row>
    <row r="99" spans="1:2" x14ac:dyDescent="0.25">
      <c r="A99" s="18">
        <v>57.5</v>
      </c>
      <c r="B99" s="18">
        <v>5.3699999999999998E-3</v>
      </c>
    </row>
    <row r="100" spans="1:2" x14ac:dyDescent="0.25">
      <c r="A100" s="18">
        <v>58</v>
      </c>
      <c r="B100" s="18">
        <v>1.72E-2</v>
      </c>
    </row>
    <row r="101" spans="1:2" x14ac:dyDescent="0.25">
      <c r="A101" s="18">
        <v>58.5</v>
      </c>
      <c r="B101" s="18">
        <v>6.3800000000000003E-3</v>
      </c>
    </row>
    <row r="102" spans="1:2" x14ac:dyDescent="0.25">
      <c r="A102" s="18">
        <v>59</v>
      </c>
      <c r="B102" s="18">
        <v>1.11E-2</v>
      </c>
    </row>
    <row r="103" spans="1:2" x14ac:dyDescent="0.25">
      <c r="A103" s="18">
        <v>59.5</v>
      </c>
      <c r="B103" s="18">
        <v>2.4400000000000002E-2</v>
      </c>
    </row>
    <row r="104" spans="1:2" x14ac:dyDescent="0.25">
      <c r="A104" s="18">
        <v>60</v>
      </c>
      <c r="B104" s="18">
        <v>4.6899999999999997E-3</v>
      </c>
    </row>
    <row r="105" spans="1:2" x14ac:dyDescent="0.25">
      <c r="A105" s="18">
        <v>60.5</v>
      </c>
      <c r="B105" s="18">
        <v>3.9199999999999999E-3</v>
      </c>
    </row>
    <row r="106" spans="1:2" x14ac:dyDescent="0.25">
      <c r="A106" s="18">
        <v>61</v>
      </c>
      <c r="B106" s="18">
        <v>3.82E-3</v>
      </c>
    </row>
    <row r="107" spans="1:2" x14ac:dyDescent="0.25">
      <c r="A107" s="18">
        <v>61.5</v>
      </c>
      <c r="B107" s="18">
        <v>3.7399999999999998E-3</v>
      </c>
    </row>
    <row r="108" spans="1:2" x14ac:dyDescent="0.25">
      <c r="A108" s="18">
        <v>62</v>
      </c>
      <c r="B108" s="18">
        <v>3.7100000000000002E-3</v>
      </c>
    </row>
    <row r="109" spans="1:2" x14ac:dyDescent="0.25">
      <c r="A109" s="18">
        <v>62.5</v>
      </c>
      <c r="B109" s="18">
        <v>3.6600000000000001E-3</v>
      </c>
    </row>
    <row r="110" spans="1:2" x14ac:dyDescent="0.25">
      <c r="A110" s="18">
        <v>63</v>
      </c>
      <c r="B110" s="18">
        <v>3.6099999999999999E-3</v>
      </c>
    </row>
    <row r="111" spans="1:2" x14ac:dyDescent="0.25">
      <c r="A111" s="18">
        <v>63.5</v>
      </c>
      <c r="B111" s="18">
        <v>3.5699999999999998E-3</v>
      </c>
    </row>
    <row r="112" spans="1:2" x14ac:dyDescent="0.25">
      <c r="A112" s="18">
        <v>64</v>
      </c>
      <c r="B112" s="18">
        <v>3.5000000000000001E-3</v>
      </c>
    </row>
    <row r="113" spans="1:2" x14ac:dyDescent="0.25">
      <c r="A113" s="18">
        <v>64.5</v>
      </c>
      <c r="B113" s="18">
        <v>3.47E-3</v>
      </c>
    </row>
    <row r="114" spans="1:2" x14ac:dyDescent="0.25">
      <c r="A114" s="18">
        <v>65</v>
      </c>
      <c r="B114" s="18">
        <v>3.4299999999999999E-3</v>
      </c>
    </row>
    <row r="115" spans="1:2" x14ac:dyDescent="0.25">
      <c r="A115" s="18">
        <v>65.5</v>
      </c>
      <c r="B115" s="18">
        <v>3.3800000000000002E-3</v>
      </c>
    </row>
    <row r="116" spans="1:2" x14ac:dyDescent="0.25">
      <c r="A116" s="18">
        <v>66</v>
      </c>
      <c r="B116" s="18">
        <v>3.3800000000000002E-3</v>
      </c>
    </row>
    <row r="117" spans="1:2" x14ac:dyDescent="0.25">
      <c r="A117" s="18">
        <v>66.5</v>
      </c>
      <c r="B117" s="18">
        <v>3.64E-3</v>
      </c>
    </row>
    <row r="118" spans="1:2" x14ac:dyDescent="0.25">
      <c r="A118" s="18">
        <v>67</v>
      </c>
      <c r="B118" s="18">
        <v>8.7399999999999995E-3</v>
      </c>
    </row>
    <row r="119" spans="1:2" x14ac:dyDescent="0.25">
      <c r="A119" s="18">
        <v>67.5</v>
      </c>
      <c r="B119" s="18">
        <v>7.8100000000000001E-3</v>
      </c>
    </row>
    <row r="120" spans="1:2" x14ac:dyDescent="0.25">
      <c r="A120" s="18">
        <v>68</v>
      </c>
      <c r="B120" s="18">
        <v>3.3400000000000001E-3</v>
      </c>
    </row>
    <row r="121" spans="1:2" x14ac:dyDescent="0.25">
      <c r="A121" s="18">
        <v>68.5</v>
      </c>
      <c r="B121" s="18">
        <v>3.2299999999999998E-3</v>
      </c>
    </row>
    <row r="122" spans="1:2" x14ac:dyDescent="0.25">
      <c r="A122" s="18">
        <v>69</v>
      </c>
      <c r="B122" s="18">
        <v>4.8300000000000001E-3</v>
      </c>
    </row>
    <row r="123" spans="1:2" x14ac:dyDescent="0.25">
      <c r="A123" s="18">
        <v>69.5</v>
      </c>
      <c r="B123" s="18">
        <v>3.8999999999999998E-3</v>
      </c>
    </row>
    <row r="124" spans="1:2" x14ac:dyDescent="0.25">
      <c r="A124" s="18">
        <v>70</v>
      </c>
      <c r="B124" s="18">
        <v>2.6900000000000001E-3</v>
      </c>
    </row>
    <row r="125" spans="1:2" x14ac:dyDescent="0.25">
      <c r="A125" s="18">
        <v>70.5</v>
      </c>
      <c r="B125" s="18">
        <v>2.6199999999999999E-3</v>
      </c>
    </row>
    <row r="126" spans="1:2" x14ac:dyDescent="0.25">
      <c r="A126" s="18">
        <v>71</v>
      </c>
      <c r="B126" s="18">
        <v>2.5999999999999999E-3</v>
      </c>
    </row>
    <row r="127" spans="1:2" x14ac:dyDescent="0.25">
      <c r="A127" s="18">
        <v>71.5</v>
      </c>
      <c r="B127" s="18">
        <v>2.5899999999999999E-3</v>
      </c>
    </row>
    <row r="128" spans="1:2" x14ac:dyDescent="0.25">
      <c r="A128" s="18">
        <v>72</v>
      </c>
      <c r="B128" s="18">
        <v>2.5400000000000002E-3</v>
      </c>
    </row>
    <row r="129" spans="1:2" x14ac:dyDescent="0.25">
      <c r="A129" s="18">
        <v>72.5</v>
      </c>
      <c r="B129" s="18">
        <v>2.5400000000000002E-3</v>
      </c>
    </row>
    <row r="130" spans="1:2" x14ac:dyDescent="0.25">
      <c r="A130" s="18">
        <v>73</v>
      </c>
      <c r="B130" s="18">
        <v>2.49E-3</v>
      </c>
    </row>
    <row r="131" spans="1:2" x14ac:dyDescent="0.25">
      <c r="A131" s="18">
        <v>73.5</v>
      </c>
      <c r="B131" s="18">
        <v>2.4599999999999999E-3</v>
      </c>
    </row>
    <row r="132" spans="1:2" x14ac:dyDescent="0.25">
      <c r="A132" s="18">
        <v>74</v>
      </c>
      <c r="B132" s="18">
        <v>2.4499999999999999E-3</v>
      </c>
    </row>
    <row r="133" spans="1:2" x14ac:dyDescent="0.25">
      <c r="A133" s="18">
        <v>74.5</v>
      </c>
      <c r="B133" s="18">
        <v>2.3999999999999998E-3</v>
      </c>
    </row>
    <row r="134" spans="1:2" x14ac:dyDescent="0.25">
      <c r="A134" s="18">
        <v>75</v>
      </c>
      <c r="B134" s="18">
        <v>2.3700000000000001E-3</v>
      </c>
    </row>
    <row r="135" spans="1:2" x14ac:dyDescent="0.25">
      <c r="A135" s="18">
        <v>75.5</v>
      </c>
      <c r="B135" s="18">
        <v>2.3600000000000001E-3</v>
      </c>
    </row>
    <row r="136" spans="1:2" x14ac:dyDescent="0.25">
      <c r="A136" s="18">
        <v>76</v>
      </c>
      <c r="B136" s="18">
        <v>2.33E-3</v>
      </c>
    </row>
    <row r="137" spans="1:2" x14ac:dyDescent="0.25">
      <c r="A137" s="18">
        <v>76.5</v>
      </c>
      <c r="B137" s="18">
        <v>2.31E-3</v>
      </c>
    </row>
    <row r="138" spans="1:2" x14ac:dyDescent="0.25">
      <c r="A138" s="18">
        <v>77</v>
      </c>
      <c r="B138" s="18">
        <v>2.2899999999999999E-3</v>
      </c>
    </row>
    <row r="139" spans="1:2" x14ac:dyDescent="0.25">
      <c r="A139" s="18">
        <v>77.5</v>
      </c>
      <c r="B139" s="18">
        <v>2.2100000000000002E-3</v>
      </c>
    </row>
    <row r="140" spans="1:2" x14ac:dyDescent="0.25">
      <c r="A140" s="18">
        <v>78</v>
      </c>
      <c r="B140" s="18">
        <v>2.2200000000000002E-3</v>
      </c>
    </row>
    <row r="141" spans="1:2" x14ac:dyDescent="0.25">
      <c r="A141" s="18">
        <v>78.5</v>
      </c>
      <c r="B141" s="18">
        <v>2.1800000000000001E-3</v>
      </c>
    </row>
    <row r="142" spans="1:2" x14ac:dyDescent="0.25">
      <c r="A142" s="18">
        <v>79</v>
      </c>
      <c r="B142" s="18">
        <v>2.14E-3</v>
      </c>
    </row>
    <row r="143" spans="1:2" x14ac:dyDescent="0.25">
      <c r="A143" s="18">
        <v>79.5</v>
      </c>
      <c r="B143" s="18">
        <v>2.1099999999999999E-3</v>
      </c>
    </row>
    <row r="144" spans="1:2" x14ac:dyDescent="0.25">
      <c r="A144" s="18">
        <v>80</v>
      </c>
      <c r="B144" s="18">
        <v>2.0899999999999998E-3</v>
      </c>
    </row>
    <row r="145" spans="1:2" x14ac:dyDescent="0.25">
      <c r="A145" s="18">
        <v>80.5</v>
      </c>
      <c r="B145" s="18">
        <v>2.0500000000000002E-3</v>
      </c>
    </row>
    <row r="146" spans="1:2" x14ac:dyDescent="0.25">
      <c r="A146" s="18">
        <v>81</v>
      </c>
      <c r="B146" s="18">
        <v>2.0500000000000002E-3</v>
      </c>
    </row>
    <row r="147" spans="1:2" x14ac:dyDescent="0.25">
      <c r="A147" s="18">
        <v>81.5</v>
      </c>
      <c r="B147" s="18">
        <v>2.0400000000000001E-3</v>
      </c>
    </row>
    <row r="148" spans="1:2" x14ac:dyDescent="0.25">
      <c r="A148" s="18">
        <v>82</v>
      </c>
      <c r="B148" s="18">
        <v>2E-3</v>
      </c>
    </row>
    <row r="149" spans="1:2" x14ac:dyDescent="0.25">
      <c r="A149" s="18">
        <v>82.5</v>
      </c>
      <c r="B149" s="18">
        <v>2E-3</v>
      </c>
    </row>
    <row r="150" spans="1:2" x14ac:dyDescent="0.25">
      <c r="A150" s="18">
        <v>83</v>
      </c>
      <c r="B150" s="18">
        <v>1.98E-3</v>
      </c>
    </row>
    <row r="151" spans="1:2" x14ac:dyDescent="0.25">
      <c r="A151" s="18">
        <v>83.5</v>
      </c>
      <c r="B151" s="18">
        <v>1.9400000000000001E-3</v>
      </c>
    </row>
    <row r="152" spans="1:2" x14ac:dyDescent="0.25">
      <c r="A152" s="18">
        <v>84</v>
      </c>
      <c r="B152" s="18">
        <v>1.9400000000000001E-3</v>
      </c>
    </row>
    <row r="153" spans="1:2" x14ac:dyDescent="0.25">
      <c r="A153" s="18">
        <v>84.5</v>
      </c>
      <c r="B153" s="18">
        <v>1.92E-3</v>
      </c>
    </row>
    <row r="154" spans="1:2" x14ac:dyDescent="0.25">
      <c r="A154" s="18">
        <v>85</v>
      </c>
      <c r="B154" s="18">
        <v>1.91E-3</v>
      </c>
    </row>
    <row r="155" spans="1:2" x14ac:dyDescent="0.25">
      <c r="A155" s="18">
        <v>85.5</v>
      </c>
      <c r="B155" s="18">
        <v>1.8600000000000001E-3</v>
      </c>
    </row>
    <row r="156" spans="1:2" x14ac:dyDescent="0.25">
      <c r="A156" s="18">
        <v>86</v>
      </c>
      <c r="B156" s="18">
        <v>1.8400000000000001E-3</v>
      </c>
    </row>
    <row r="157" spans="1:2" x14ac:dyDescent="0.25">
      <c r="A157" s="18">
        <v>86.5</v>
      </c>
      <c r="B157" s="18">
        <v>1.83E-3</v>
      </c>
    </row>
    <row r="158" spans="1:2" x14ac:dyDescent="0.25">
      <c r="A158" s="18">
        <v>87</v>
      </c>
      <c r="B158" s="18">
        <v>1.7899999999999999E-3</v>
      </c>
    </row>
    <row r="159" spans="1:2" x14ac:dyDescent="0.25">
      <c r="A159" s="18">
        <v>87.5</v>
      </c>
      <c r="B159" s="18">
        <v>1.7899999999999999E-3</v>
      </c>
    </row>
    <row r="160" spans="1:2" x14ac:dyDescent="0.25">
      <c r="A160" s="18">
        <v>88</v>
      </c>
      <c r="B160" s="18">
        <v>1.75E-3</v>
      </c>
    </row>
    <row r="161" spans="1:2" x14ac:dyDescent="0.25">
      <c r="A161" s="18">
        <v>88.5</v>
      </c>
      <c r="B161" s="18">
        <v>1.7099999999999999E-3</v>
      </c>
    </row>
    <row r="162" spans="1:2" x14ac:dyDescent="0.25">
      <c r="A162" s="18">
        <v>89</v>
      </c>
      <c r="B162" s="18">
        <v>1.6800000000000001E-3</v>
      </c>
    </row>
    <row r="163" spans="1:2" x14ac:dyDescent="0.25">
      <c r="A163" s="18">
        <v>89.5</v>
      </c>
      <c r="B163" s="18">
        <v>1.66E-3</v>
      </c>
    </row>
    <row r="164" spans="1:2" x14ac:dyDescent="0.25">
      <c r="A164" s="18">
        <v>90</v>
      </c>
      <c r="B164" s="18">
        <v>1.64E-3</v>
      </c>
    </row>
    <row r="165" spans="1:2" x14ac:dyDescent="0.25">
      <c r="A165" s="18">
        <v>90.5</v>
      </c>
      <c r="B165" s="18">
        <v>1.5900000000000001E-3</v>
      </c>
    </row>
    <row r="166" spans="1:2" x14ac:dyDescent="0.25">
      <c r="A166" s="18">
        <v>91</v>
      </c>
      <c r="B166" s="18">
        <v>1.6100000000000001E-3</v>
      </c>
    </row>
    <row r="167" spans="1:2" x14ac:dyDescent="0.25">
      <c r="A167" s="18">
        <v>91.5</v>
      </c>
      <c r="B167" s="18">
        <v>1.6000000000000001E-3</v>
      </c>
    </row>
    <row r="168" spans="1:2" x14ac:dyDescent="0.25">
      <c r="A168" s="18">
        <v>92</v>
      </c>
      <c r="B168" s="18">
        <v>1.5299999999999999E-3</v>
      </c>
    </row>
    <row r="169" spans="1:2" x14ac:dyDescent="0.25">
      <c r="A169" s="18">
        <v>92.5</v>
      </c>
      <c r="B169" s="18">
        <v>1.5399999999999999E-3</v>
      </c>
    </row>
    <row r="170" spans="1:2" x14ac:dyDescent="0.25">
      <c r="A170" s="18">
        <v>93</v>
      </c>
      <c r="B170" s="18">
        <v>1.49E-3</v>
      </c>
    </row>
    <row r="171" spans="1:2" x14ac:dyDescent="0.25">
      <c r="A171" s="18">
        <v>93.5</v>
      </c>
      <c r="B171" s="18">
        <v>1.47E-3</v>
      </c>
    </row>
    <row r="172" spans="1:2" x14ac:dyDescent="0.25">
      <c r="A172" s="18">
        <v>94</v>
      </c>
      <c r="B172" s="18">
        <v>1.47E-3</v>
      </c>
    </row>
    <row r="173" spans="1:2" x14ac:dyDescent="0.25">
      <c r="A173" s="18">
        <v>94.5</v>
      </c>
      <c r="B173" s="18">
        <v>1.4400000000000001E-3</v>
      </c>
    </row>
    <row r="174" spans="1:2" x14ac:dyDescent="0.25">
      <c r="A174" s="18">
        <v>95</v>
      </c>
      <c r="B174" s="18">
        <v>1.42E-3</v>
      </c>
    </row>
    <row r="175" spans="1:2" x14ac:dyDescent="0.25">
      <c r="A175" s="18">
        <v>95.5</v>
      </c>
      <c r="B175" s="18">
        <v>1.41E-3</v>
      </c>
    </row>
    <row r="176" spans="1:2" x14ac:dyDescent="0.25">
      <c r="A176" s="18">
        <v>96</v>
      </c>
      <c r="B176" s="18">
        <v>1.3799999999999999E-3</v>
      </c>
    </row>
    <row r="177" spans="1:2" x14ac:dyDescent="0.25">
      <c r="A177" s="18">
        <v>96.5</v>
      </c>
      <c r="B177" s="18">
        <v>1.3500000000000001E-3</v>
      </c>
    </row>
    <row r="178" spans="1:2" x14ac:dyDescent="0.25">
      <c r="A178" s="18">
        <v>97</v>
      </c>
      <c r="B178" s="18">
        <v>1.32E-3</v>
      </c>
    </row>
    <row r="179" spans="1:2" x14ac:dyDescent="0.25">
      <c r="A179" s="18">
        <v>97.5</v>
      </c>
      <c r="B179" s="18">
        <v>1.2999999999999999E-3</v>
      </c>
    </row>
    <row r="180" spans="1:2" x14ac:dyDescent="0.25">
      <c r="A180" s="18">
        <v>98</v>
      </c>
      <c r="B180" s="18">
        <v>1.2700000000000001E-3</v>
      </c>
    </row>
    <row r="181" spans="1:2" x14ac:dyDescent="0.25">
      <c r="A181" s="18">
        <v>98.5</v>
      </c>
      <c r="B181" s="18">
        <v>1.23E-3</v>
      </c>
    </row>
    <row r="182" spans="1:2" x14ac:dyDescent="0.25">
      <c r="A182" s="18">
        <v>99</v>
      </c>
      <c r="B182" s="18">
        <v>1.23E-3</v>
      </c>
    </row>
    <row r="183" spans="1:2" x14ac:dyDescent="0.25">
      <c r="A183" s="18">
        <v>99.5</v>
      </c>
      <c r="B183" s="18">
        <v>1.1999999999999999E-3</v>
      </c>
    </row>
    <row r="184" spans="1:2" x14ac:dyDescent="0.25">
      <c r="A184" s="18">
        <v>100</v>
      </c>
      <c r="B184" s="18">
        <v>1.1900000000000001E-3</v>
      </c>
    </row>
    <row r="185" spans="1:2" x14ac:dyDescent="0.25">
      <c r="A185" s="18">
        <v>101</v>
      </c>
      <c r="B185" s="18">
        <v>1.14E-3</v>
      </c>
    </row>
    <row r="186" spans="1:2" x14ac:dyDescent="0.25">
      <c r="A186" s="18">
        <v>101</v>
      </c>
      <c r="B186" s="18">
        <v>1.14E-3</v>
      </c>
    </row>
    <row r="187" spans="1:2" x14ac:dyDescent="0.25">
      <c r="A187" s="18">
        <v>102</v>
      </c>
      <c r="B187" s="18">
        <v>1.1100000000000001E-3</v>
      </c>
    </row>
    <row r="188" spans="1:2" x14ac:dyDescent="0.25">
      <c r="A188" s="18">
        <v>102</v>
      </c>
      <c r="B188" s="18">
        <v>1.1000000000000001E-3</v>
      </c>
    </row>
    <row r="189" spans="1:2" x14ac:dyDescent="0.25">
      <c r="A189" s="18">
        <v>103</v>
      </c>
      <c r="B189" s="18">
        <v>1.07E-3</v>
      </c>
    </row>
    <row r="190" spans="1:2" x14ac:dyDescent="0.25">
      <c r="A190" s="18">
        <v>103</v>
      </c>
      <c r="B190" s="18">
        <v>1.0499999999999999E-3</v>
      </c>
    </row>
    <row r="191" spans="1:2" x14ac:dyDescent="0.25">
      <c r="A191" s="18">
        <v>104</v>
      </c>
      <c r="B191" s="18">
        <v>1.01E-3</v>
      </c>
    </row>
    <row r="192" spans="1:2" x14ac:dyDescent="0.25">
      <c r="A192" s="18">
        <v>104</v>
      </c>
      <c r="B192" s="18">
        <v>9.810000000000001E-4</v>
      </c>
    </row>
    <row r="193" spans="1:2" x14ac:dyDescent="0.25">
      <c r="A193" s="18">
        <v>105</v>
      </c>
      <c r="B193" s="18">
        <v>9.7000000000000005E-4</v>
      </c>
    </row>
    <row r="194" spans="1:2" x14ac:dyDescent="0.25">
      <c r="A194" s="18">
        <v>105</v>
      </c>
      <c r="B194" s="18">
        <v>9.5200000000000005E-4</v>
      </c>
    </row>
    <row r="195" spans="1:2" x14ac:dyDescent="0.25">
      <c r="A195" s="18">
        <v>106</v>
      </c>
      <c r="B195" s="18">
        <v>9.0700000000000004E-4</v>
      </c>
    </row>
    <row r="196" spans="1:2" x14ac:dyDescent="0.25">
      <c r="A196" s="18">
        <v>106</v>
      </c>
      <c r="B196" s="18">
        <v>8.9800000000000004E-4</v>
      </c>
    </row>
    <row r="197" spans="1:2" x14ac:dyDescent="0.25">
      <c r="A197" s="18">
        <v>107</v>
      </c>
      <c r="B197" s="18">
        <v>8.7299999999999997E-4</v>
      </c>
    </row>
    <row r="198" spans="1:2" x14ac:dyDescent="0.25">
      <c r="A198" s="18">
        <v>107</v>
      </c>
      <c r="B198" s="18">
        <v>8.4999999999999995E-4</v>
      </c>
    </row>
    <row r="199" spans="1:2" x14ac:dyDescent="0.25">
      <c r="A199" s="18">
        <v>108</v>
      </c>
      <c r="B199" s="18">
        <v>7.9799999999999999E-4</v>
      </c>
    </row>
    <row r="200" spans="1:2" x14ac:dyDescent="0.25">
      <c r="A200" s="18">
        <v>108</v>
      </c>
      <c r="B200" s="18">
        <v>7.7700000000000002E-4</v>
      </c>
    </row>
    <row r="201" spans="1:2" x14ac:dyDescent="0.25">
      <c r="A201" s="18">
        <v>109</v>
      </c>
      <c r="B201" s="18">
        <v>7.6199999999999998E-4</v>
      </c>
    </row>
    <row r="202" spans="1:2" x14ac:dyDescent="0.25">
      <c r="A202" s="18">
        <v>109</v>
      </c>
      <c r="B202" s="18">
        <v>7.4399999999999998E-4</v>
      </c>
    </row>
    <row r="203" spans="1:2" x14ac:dyDescent="0.25">
      <c r="A203" s="18">
        <v>110</v>
      </c>
      <c r="B203" s="18">
        <v>7.1400000000000001E-4</v>
      </c>
    </row>
    <row r="204" spans="1:2" x14ac:dyDescent="0.25">
      <c r="A204" s="18">
        <v>110</v>
      </c>
      <c r="B204" s="18">
        <v>6.8999999999999997E-4</v>
      </c>
    </row>
    <row r="205" spans="1:2" x14ac:dyDescent="0.25">
      <c r="A205" s="18">
        <v>111</v>
      </c>
      <c r="B205" s="18">
        <v>6.6699999999999995E-4</v>
      </c>
    </row>
    <row r="206" spans="1:2" x14ac:dyDescent="0.25">
      <c r="A206" s="18">
        <v>111</v>
      </c>
      <c r="B206" s="18">
        <v>6.2100000000000002E-4</v>
      </c>
    </row>
    <row r="207" spans="1:2" x14ac:dyDescent="0.25">
      <c r="A207" s="18">
        <v>112</v>
      </c>
      <c r="B207" s="18">
        <v>5.9599999999999996E-4</v>
      </c>
    </row>
    <row r="208" spans="1:2" x14ac:dyDescent="0.25">
      <c r="A208" s="18">
        <v>112</v>
      </c>
      <c r="B208" s="18">
        <v>5.9199999999999997E-4</v>
      </c>
    </row>
    <row r="209" spans="1:2" x14ac:dyDescent="0.25">
      <c r="A209" s="18">
        <v>113</v>
      </c>
      <c r="B209" s="18">
        <v>5.3399999999999997E-4</v>
      </c>
    </row>
    <row r="210" spans="1:2" x14ac:dyDescent="0.25">
      <c r="A210" s="18">
        <v>113</v>
      </c>
      <c r="B210" s="18">
        <v>5.1999999999999995E-4</v>
      </c>
    </row>
    <row r="211" spans="1:2" x14ac:dyDescent="0.25">
      <c r="A211" s="18">
        <v>114</v>
      </c>
      <c r="B211" s="18">
        <v>4.84E-4</v>
      </c>
    </row>
    <row r="212" spans="1:2" x14ac:dyDescent="0.25">
      <c r="A212" s="18">
        <v>114</v>
      </c>
      <c r="B212" s="18">
        <v>4.5800000000000002E-4</v>
      </c>
    </row>
    <row r="213" spans="1:2" x14ac:dyDescent="0.25">
      <c r="A213" s="18">
        <v>115</v>
      </c>
      <c r="B213" s="18">
        <v>4.2900000000000002E-4</v>
      </c>
    </row>
    <row r="214" spans="1:2" x14ac:dyDescent="0.25">
      <c r="A214" s="18">
        <v>115</v>
      </c>
      <c r="B214" s="18">
        <v>3.86E-4</v>
      </c>
    </row>
    <row r="215" spans="1:2" x14ac:dyDescent="0.25">
      <c r="A215" s="18">
        <v>116</v>
      </c>
      <c r="B215" s="18">
        <v>3.6400000000000001E-4</v>
      </c>
    </row>
    <row r="216" spans="1:2" x14ac:dyDescent="0.25">
      <c r="A216" s="18">
        <v>116</v>
      </c>
      <c r="B216" s="18">
        <v>3.3500000000000001E-4</v>
      </c>
    </row>
    <row r="217" spans="1:2" x14ac:dyDescent="0.25">
      <c r="A217" s="18">
        <v>117</v>
      </c>
      <c r="B217" s="18">
        <v>2.8699999999999998E-4</v>
      </c>
    </row>
    <row r="218" spans="1:2" x14ac:dyDescent="0.25">
      <c r="A218" s="18">
        <v>117</v>
      </c>
      <c r="B218" s="18">
        <v>2.6899999999999998E-4</v>
      </c>
    </row>
    <row r="219" spans="1:2" x14ac:dyDescent="0.25">
      <c r="A219" s="18">
        <v>118</v>
      </c>
      <c r="B219" s="18">
        <v>2.31E-4</v>
      </c>
    </row>
    <row r="220" spans="1:2" x14ac:dyDescent="0.25">
      <c r="A220" s="18">
        <v>118</v>
      </c>
      <c r="B220" s="18">
        <v>1.8799999999999999E-4</v>
      </c>
    </row>
    <row r="221" spans="1:2" x14ac:dyDescent="0.25">
      <c r="A221" s="18">
        <v>119</v>
      </c>
      <c r="B221" s="18">
        <v>1.6100000000000001E-4</v>
      </c>
    </row>
    <row r="222" spans="1:2" x14ac:dyDescent="0.25">
      <c r="A222" s="18">
        <v>119</v>
      </c>
      <c r="B222" s="18">
        <v>1.2300000000000001E-4</v>
      </c>
    </row>
    <row r="223" spans="1:2" x14ac:dyDescent="0.25">
      <c r="A223" s="18">
        <v>120</v>
      </c>
      <c r="B223" s="18">
        <v>8.2700000000000004E-5</v>
      </c>
    </row>
    <row r="224" spans="1:2" x14ac:dyDescent="0.25">
      <c r="A224" s="18">
        <v>120</v>
      </c>
      <c r="B224" s="18">
        <v>2.8500000000000002E-5</v>
      </c>
    </row>
    <row r="225" spans="1:2" x14ac:dyDescent="0.25">
      <c r="A225" s="18">
        <v>121</v>
      </c>
      <c r="B225" s="18">
        <v>8.9299999999999992E-6</v>
      </c>
    </row>
    <row r="226" spans="1:2" x14ac:dyDescent="0.25">
      <c r="A226" s="18">
        <v>121</v>
      </c>
      <c r="B226" s="18">
        <v>1.2799999999999999E-5</v>
      </c>
    </row>
    <row r="227" spans="1:2" x14ac:dyDescent="0.25">
      <c r="A227" s="18">
        <v>122</v>
      </c>
      <c r="B227" s="18">
        <v>1.03E-5</v>
      </c>
    </row>
    <row r="228" spans="1:2" x14ac:dyDescent="0.25">
      <c r="A228" s="18">
        <v>122</v>
      </c>
      <c r="B228" s="18">
        <v>8.4600000000000003E-6</v>
      </c>
    </row>
  </sheetData>
  <pageMargins left="0.7" right="0.7" top="0.75" bottom="0.75" header="0.3" footer="0.3"/>
  <pageSetup paperSize="9" orientation="portrait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dimension ref="A1:B14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2.8499999999999999E-4</v>
      </c>
    </row>
    <row r="3" spans="1:2" x14ac:dyDescent="0.25">
      <c r="A3" s="18">
        <v>9</v>
      </c>
      <c r="B3" s="18">
        <v>9.5E-4</v>
      </c>
    </row>
    <row r="4" spans="1:2" x14ac:dyDescent="0.25">
      <c r="A4" s="18">
        <v>10</v>
      </c>
      <c r="B4" s="18">
        <v>1.5100000000000001E-3</v>
      </c>
    </row>
    <row r="5" spans="1:2" x14ac:dyDescent="0.25">
      <c r="A5" s="18">
        <v>11</v>
      </c>
      <c r="B5" s="18">
        <v>2.14E-3</v>
      </c>
    </row>
    <row r="6" spans="1:2" x14ac:dyDescent="0.25">
      <c r="A6" s="18">
        <v>12</v>
      </c>
      <c r="B6" s="18">
        <v>1.3600000000000001E-3</v>
      </c>
    </row>
    <row r="7" spans="1:2" x14ac:dyDescent="0.25">
      <c r="A7" s="18">
        <v>13</v>
      </c>
      <c r="B7" s="18">
        <v>1.2600000000000001E-3</v>
      </c>
    </row>
    <row r="8" spans="1:2" x14ac:dyDescent="0.25">
      <c r="A8" s="18">
        <v>14</v>
      </c>
      <c r="B8" s="18">
        <v>1.32E-3</v>
      </c>
    </row>
    <row r="9" spans="1:2" x14ac:dyDescent="0.25">
      <c r="A9" s="18">
        <v>15</v>
      </c>
      <c r="B9" s="18">
        <v>1.1900000000000001E-3</v>
      </c>
    </row>
    <row r="10" spans="1:2" x14ac:dyDescent="0.25">
      <c r="A10" s="18">
        <v>16</v>
      </c>
      <c r="B10" s="18">
        <v>1.7700000000000001E-3</v>
      </c>
    </row>
    <row r="11" spans="1:2" x14ac:dyDescent="0.25">
      <c r="A11" s="18">
        <v>17</v>
      </c>
      <c r="B11" s="18">
        <v>2.5899999999999999E-3</v>
      </c>
    </row>
    <row r="12" spans="1:2" x14ac:dyDescent="0.25">
      <c r="A12" s="18">
        <v>18</v>
      </c>
      <c r="B12" s="18">
        <v>3.8999999999999998E-3</v>
      </c>
    </row>
    <row r="13" spans="1:2" x14ac:dyDescent="0.25">
      <c r="A13" s="18">
        <v>19</v>
      </c>
      <c r="B13" s="18">
        <v>6.2599999999999999E-3</v>
      </c>
    </row>
    <row r="14" spans="1:2" x14ac:dyDescent="0.25">
      <c r="A14" s="18">
        <v>20</v>
      </c>
      <c r="B14" s="18">
        <v>8.6E-3</v>
      </c>
    </row>
    <row r="15" spans="1:2" x14ac:dyDescent="0.25">
      <c r="A15" s="18">
        <v>21</v>
      </c>
      <c r="B15" s="18">
        <v>1.0800000000000001E-2</v>
      </c>
    </row>
    <row r="16" spans="1:2" x14ac:dyDescent="0.25">
      <c r="A16" s="18">
        <v>22</v>
      </c>
      <c r="B16" s="18">
        <v>1.3599999999999999E-2</v>
      </c>
    </row>
    <row r="17" spans="1:2" x14ac:dyDescent="0.25">
      <c r="A17" s="18">
        <v>23</v>
      </c>
      <c r="B17" s="18">
        <v>1.5699999999999999E-2</v>
      </c>
    </row>
    <row r="18" spans="1:2" x14ac:dyDescent="0.25">
      <c r="A18" s="18">
        <v>24</v>
      </c>
      <c r="B18" s="18">
        <v>1.7500000000000002E-2</v>
      </c>
    </row>
    <row r="19" spans="1:2" x14ac:dyDescent="0.25">
      <c r="A19" s="18">
        <v>25</v>
      </c>
      <c r="B19" s="18">
        <v>1.89E-2</v>
      </c>
    </row>
    <row r="20" spans="1:2" x14ac:dyDescent="0.25">
      <c r="A20" s="18">
        <v>26</v>
      </c>
      <c r="B20" s="18">
        <v>0.02</v>
      </c>
    </row>
    <row r="21" spans="1:2" x14ac:dyDescent="0.25">
      <c r="A21" s="18">
        <v>27</v>
      </c>
      <c r="B21" s="18">
        <v>2.1000000000000001E-2</v>
      </c>
    </row>
    <row r="22" spans="1:2" x14ac:dyDescent="0.25">
      <c r="A22" s="18">
        <v>28</v>
      </c>
      <c r="B22" s="18">
        <v>2.1000000000000001E-2</v>
      </c>
    </row>
    <row r="23" spans="1:2" x14ac:dyDescent="0.25">
      <c r="A23" s="18">
        <v>29</v>
      </c>
      <c r="B23" s="18">
        <v>2.12E-2</v>
      </c>
    </row>
    <row r="24" spans="1:2" x14ac:dyDescent="0.25">
      <c r="A24" s="18">
        <v>30</v>
      </c>
      <c r="B24" s="18">
        <v>2.12E-2</v>
      </c>
    </row>
    <row r="25" spans="1:2" x14ac:dyDescent="0.25">
      <c r="A25" s="18">
        <v>31</v>
      </c>
      <c r="B25" s="18">
        <v>2.1000000000000001E-2</v>
      </c>
    </row>
    <row r="26" spans="1:2" x14ac:dyDescent="0.25">
      <c r="A26" s="18">
        <v>32</v>
      </c>
      <c r="B26" s="18">
        <v>2.0899999999999998E-2</v>
      </c>
    </row>
    <row r="27" spans="1:2" x14ac:dyDescent="0.25">
      <c r="A27" s="18">
        <v>33</v>
      </c>
      <c r="B27" s="18">
        <v>2.0500000000000001E-2</v>
      </c>
    </row>
    <row r="28" spans="1:2" x14ac:dyDescent="0.25">
      <c r="A28" s="18">
        <v>34</v>
      </c>
      <c r="B28" s="18">
        <v>1.9900000000000001E-2</v>
      </c>
    </row>
    <row r="29" spans="1:2" x14ac:dyDescent="0.25">
      <c r="A29" s="18">
        <v>35</v>
      </c>
      <c r="B29" s="18">
        <v>1.9300000000000001E-2</v>
      </c>
    </row>
    <row r="30" spans="1:2" x14ac:dyDescent="0.25">
      <c r="A30" s="18">
        <v>36</v>
      </c>
      <c r="B30" s="18">
        <v>1.8499999999999999E-2</v>
      </c>
    </row>
    <row r="31" spans="1:2" x14ac:dyDescent="0.25">
      <c r="A31" s="18">
        <v>37</v>
      </c>
      <c r="B31" s="18">
        <v>1.78E-2</v>
      </c>
    </row>
    <row r="32" spans="1:2" x14ac:dyDescent="0.25">
      <c r="A32" s="18">
        <v>38</v>
      </c>
      <c r="B32" s="18">
        <v>1.7100000000000001E-2</v>
      </c>
    </row>
    <row r="33" spans="1:2" x14ac:dyDescent="0.25">
      <c r="A33" s="18">
        <v>39</v>
      </c>
      <c r="B33" s="18">
        <v>1.6299999999999999E-2</v>
      </c>
    </row>
    <row r="34" spans="1:2" x14ac:dyDescent="0.25">
      <c r="A34" s="18">
        <v>40</v>
      </c>
      <c r="B34" s="18">
        <v>1.5800000000000002E-2</v>
      </c>
    </row>
    <row r="35" spans="1:2" x14ac:dyDescent="0.25">
      <c r="A35" s="18">
        <v>41</v>
      </c>
      <c r="B35" s="18">
        <v>1.4999999999999999E-2</v>
      </c>
    </row>
    <row r="36" spans="1:2" x14ac:dyDescent="0.25">
      <c r="A36" s="18">
        <v>42</v>
      </c>
      <c r="B36" s="18">
        <v>1.4500000000000001E-2</v>
      </c>
    </row>
    <row r="37" spans="1:2" x14ac:dyDescent="0.25">
      <c r="A37" s="18">
        <v>43</v>
      </c>
      <c r="B37" s="18">
        <v>1.41E-2</v>
      </c>
    </row>
    <row r="38" spans="1:2" x14ac:dyDescent="0.25">
      <c r="A38" s="18">
        <v>44</v>
      </c>
      <c r="B38" s="18">
        <v>1.35E-2</v>
      </c>
    </row>
    <row r="39" spans="1:2" x14ac:dyDescent="0.25">
      <c r="A39" s="18">
        <v>45</v>
      </c>
      <c r="B39" s="18">
        <v>1.3100000000000001E-2</v>
      </c>
    </row>
    <row r="40" spans="1:2" x14ac:dyDescent="0.25">
      <c r="A40" s="18">
        <v>46</v>
      </c>
      <c r="B40" s="18">
        <v>1.2500000000000001E-2</v>
      </c>
    </row>
    <row r="41" spans="1:2" x14ac:dyDescent="0.25">
      <c r="A41" s="18">
        <v>47</v>
      </c>
      <c r="B41" s="18">
        <v>1.1900000000000001E-2</v>
      </c>
    </row>
    <row r="42" spans="1:2" x14ac:dyDescent="0.25">
      <c r="A42" s="18">
        <v>48</v>
      </c>
      <c r="B42" s="18">
        <v>1.15E-2</v>
      </c>
    </row>
    <row r="43" spans="1:2" x14ac:dyDescent="0.25">
      <c r="A43" s="18">
        <v>49</v>
      </c>
      <c r="B43" s="18">
        <v>1.0999999999999999E-2</v>
      </c>
    </row>
    <row r="44" spans="1:2" x14ac:dyDescent="0.25">
      <c r="A44" s="18">
        <v>50</v>
      </c>
      <c r="B44" s="18">
        <v>1.0699999999999999E-2</v>
      </c>
    </row>
    <row r="45" spans="1:2" x14ac:dyDescent="0.25">
      <c r="A45" s="18">
        <v>51</v>
      </c>
      <c r="B45" s="18">
        <v>1.03E-2</v>
      </c>
    </row>
    <row r="46" spans="1:2" x14ac:dyDescent="0.25">
      <c r="A46" s="18">
        <v>52</v>
      </c>
      <c r="B46" s="18">
        <v>0.01</v>
      </c>
    </row>
    <row r="47" spans="1:2" x14ac:dyDescent="0.25">
      <c r="A47" s="18">
        <v>53</v>
      </c>
      <c r="B47" s="18">
        <v>9.7099999999999999E-3</v>
      </c>
    </row>
    <row r="48" spans="1:2" x14ac:dyDescent="0.25">
      <c r="A48" s="18">
        <v>54</v>
      </c>
      <c r="B48" s="18">
        <v>9.4500000000000001E-3</v>
      </c>
    </row>
    <row r="49" spans="1:2" x14ac:dyDescent="0.25">
      <c r="A49" s="18">
        <v>55</v>
      </c>
      <c r="B49" s="18">
        <v>9.2300000000000004E-3</v>
      </c>
    </row>
    <row r="50" spans="1:2" x14ac:dyDescent="0.25">
      <c r="A50" s="18">
        <v>56</v>
      </c>
      <c r="B50" s="18">
        <v>8.8999999999999999E-3</v>
      </c>
    </row>
    <row r="51" spans="1:2" x14ac:dyDescent="0.25">
      <c r="A51" s="18">
        <v>57</v>
      </c>
      <c r="B51" s="18">
        <v>8.94E-3</v>
      </c>
    </row>
    <row r="52" spans="1:2" x14ac:dyDescent="0.25">
      <c r="A52" s="18">
        <v>58</v>
      </c>
      <c r="B52" s="18">
        <v>3.0300000000000001E-2</v>
      </c>
    </row>
    <row r="53" spans="1:2" x14ac:dyDescent="0.25">
      <c r="A53" s="18">
        <v>59</v>
      </c>
      <c r="B53" s="18">
        <v>3.5499999999999997E-2</v>
      </c>
    </row>
    <row r="54" spans="1:2" x14ac:dyDescent="0.25">
      <c r="A54" s="18">
        <v>60</v>
      </c>
      <c r="B54" s="18">
        <v>2.0500000000000001E-2</v>
      </c>
    </row>
    <row r="55" spans="1:2" x14ac:dyDescent="0.25">
      <c r="A55" s="18">
        <v>61</v>
      </c>
      <c r="B55" s="18">
        <v>7.79E-3</v>
      </c>
    </row>
    <row r="56" spans="1:2" x14ac:dyDescent="0.25">
      <c r="A56" s="18">
        <v>62</v>
      </c>
      <c r="B56" s="18">
        <v>7.4700000000000001E-3</v>
      </c>
    </row>
    <row r="57" spans="1:2" x14ac:dyDescent="0.25">
      <c r="A57" s="18">
        <v>63</v>
      </c>
      <c r="B57" s="18">
        <v>7.3600000000000002E-3</v>
      </c>
    </row>
    <row r="58" spans="1:2" x14ac:dyDescent="0.25">
      <c r="A58" s="18">
        <v>64</v>
      </c>
      <c r="B58" s="18">
        <v>7.2300000000000003E-3</v>
      </c>
    </row>
    <row r="59" spans="1:2" x14ac:dyDescent="0.25">
      <c r="A59" s="18">
        <v>65</v>
      </c>
      <c r="B59" s="18">
        <v>7.0800000000000004E-3</v>
      </c>
    </row>
    <row r="60" spans="1:2" x14ac:dyDescent="0.25">
      <c r="A60" s="18">
        <v>66</v>
      </c>
      <c r="B60" s="18">
        <v>7.0699999999999999E-3</v>
      </c>
    </row>
    <row r="61" spans="1:2" x14ac:dyDescent="0.25">
      <c r="A61" s="18">
        <v>67</v>
      </c>
      <c r="B61" s="18">
        <v>1.9400000000000001E-2</v>
      </c>
    </row>
    <row r="62" spans="1:2" x14ac:dyDescent="0.25">
      <c r="A62" s="18">
        <v>68</v>
      </c>
      <c r="B62" s="18">
        <v>8.8699999999999994E-3</v>
      </c>
    </row>
    <row r="63" spans="1:2" x14ac:dyDescent="0.25">
      <c r="A63" s="18">
        <v>69</v>
      </c>
      <c r="B63" s="18">
        <v>0.01</v>
      </c>
    </row>
    <row r="64" spans="1:2" x14ac:dyDescent="0.25">
      <c r="A64" s="18">
        <v>70</v>
      </c>
      <c r="B64" s="18">
        <v>5.96E-3</v>
      </c>
    </row>
    <row r="65" spans="1:2" x14ac:dyDescent="0.25">
      <c r="A65" s="18">
        <v>71</v>
      </c>
      <c r="B65" s="18">
        <v>5.3099999999999996E-3</v>
      </c>
    </row>
    <row r="66" spans="1:2" x14ac:dyDescent="0.25">
      <c r="A66" s="18">
        <v>72</v>
      </c>
      <c r="B66" s="18">
        <v>5.3E-3</v>
      </c>
    </row>
    <row r="67" spans="1:2" x14ac:dyDescent="0.25">
      <c r="A67" s="18">
        <v>73</v>
      </c>
      <c r="B67" s="18">
        <v>5.2399999999999999E-3</v>
      </c>
    </row>
    <row r="68" spans="1:2" x14ac:dyDescent="0.25">
      <c r="A68" s="18">
        <v>74</v>
      </c>
      <c r="B68" s="18">
        <v>5.13E-3</v>
      </c>
    </row>
    <row r="69" spans="1:2" x14ac:dyDescent="0.25">
      <c r="A69" s="18">
        <v>75</v>
      </c>
      <c r="B69" s="18">
        <v>5.0400000000000002E-3</v>
      </c>
    </row>
    <row r="70" spans="1:2" x14ac:dyDescent="0.25">
      <c r="A70" s="18">
        <v>76</v>
      </c>
      <c r="B70" s="18">
        <v>4.9399999999999999E-3</v>
      </c>
    </row>
    <row r="71" spans="1:2" x14ac:dyDescent="0.25">
      <c r="A71" s="18">
        <v>77</v>
      </c>
      <c r="B71" s="18">
        <v>4.8300000000000001E-3</v>
      </c>
    </row>
    <row r="72" spans="1:2" x14ac:dyDescent="0.25">
      <c r="A72" s="18">
        <v>78</v>
      </c>
      <c r="B72" s="18">
        <v>4.7699999999999999E-3</v>
      </c>
    </row>
    <row r="73" spans="1:2" x14ac:dyDescent="0.25">
      <c r="A73" s="18">
        <v>79</v>
      </c>
      <c r="B73" s="18">
        <v>4.6899999999999997E-3</v>
      </c>
    </row>
    <row r="74" spans="1:2" x14ac:dyDescent="0.25">
      <c r="A74" s="18">
        <v>80</v>
      </c>
      <c r="B74" s="18">
        <v>4.64E-3</v>
      </c>
    </row>
    <row r="75" spans="1:2" x14ac:dyDescent="0.25">
      <c r="A75" s="18">
        <v>81</v>
      </c>
      <c r="B75" s="18">
        <v>4.5500000000000002E-3</v>
      </c>
    </row>
    <row r="76" spans="1:2" x14ac:dyDescent="0.25">
      <c r="A76" s="18">
        <v>82</v>
      </c>
      <c r="B76" s="18">
        <v>4.5100000000000001E-3</v>
      </c>
    </row>
    <row r="77" spans="1:2" x14ac:dyDescent="0.25">
      <c r="A77" s="18">
        <v>83</v>
      </c>
      <c r="B77" s="18">
        <v>4.45E-3</v>
      </c>
    </row>
    <row r="78" spans="1:2" x14ac:dyDescent="0.25">
      <c r="A78" s="18">
        <v>84</v>
      </c>
      <c r="B78" s="18">
        <v>4.4600000000000004E-3</v>
      </c>
    </row>
    <row r="79" spans="1:2" x14ac:dyDescent="0.25">
      <c r="A79" s="18">
        <v>85</v>
      </c>
      <c r="B79" s="18">
        <v>4.3800000000000002E-3</v>
      </c>
    </row>
    <row r="80" spans="1:2" x14ac:dyDescent="0.25">
      <c r="A80" s="18">
        <v>86</v>
      </c>
      <c r="B80" s="18">
        <v>4.3400000000000001E-3</v>
      </c>
    </row>
    <row r="81" spans="1:2" x14ac:dyDescent="0.25">
      <c r="A81" s="18">
        <v>87</v>
      </c>
      <c r="B81" s="18">
        <v>4.2900000000000004E-3</v>
      </c>
    </row>
    <row r="82" spans="1:2" x14ac:dyDescent="0.25">
      <c r="A82" s="18">
        <v>88</v>
      </c>
      <c r="B82" s="18">
        <v>4.2100000000000002E-3</v>
      </c>
    </row>
    <row r="83" spans="1:2" x14ac:dyDescent="0.25">
      <c r="A83" s="18">
        <v>89</v>
      </c>
      <c r="B83" s="18">
        <v>4.1099999999999999E-3</v>
      </c>
    </row>
    <row r="84" spans="1:2" x14ac:dyDescent="0.25">
      <c r="A84" s="18">
        <v>90</v>
      </c>
      <c r="B84" s="18">
        <v>4.0600000000000002E-3</v>
      </c>
    </row>
    <row r="85" spans="1:2" x14ac:dyDescent="0.25">
      <c r="A85" s="18">
        <v>91</v>
      </c>
      <c r="B85" s="18">
        <v>4.0400000000000002E-3</v>
      </c>
    </row>
    <row r="86" spans="1:2" x14ac:dyDescent="0.25">
      <c r="A86" s="18">
        <v>92</v>
      </c>
      <c r="B86" s="18">
        <v>3.9500000000000004E-3</v>
      </c>
    </row>
    <row r="87" spans="1:2" x14ac:dyDescent="0.25">
      <c r="A87" s="18">
        <v>93</v>
      </c>
      <c r="B87" s="18">
        <v>3.9500000000000004E-3</v>
      </c>
    </row>
    <row r="88" spans="1:2" x14ac:dyDescent="0.25">
      <c r="A88" s="18">
        <v>94</v>
      </c>
      <c r="B88" s="18">
        <v>3.8300000000000001E-3</v>
      </c>
    </row>
    <row r="89" spans="1:2" x14ac:dyDescent="0.25">
      <c r="A89" s="18">
        <v>95</v>
      </c>
      <c r="B89" s="18">
        <v>3.79E-3</v>
      </c>
    </row>
    <row r="90" spans="1:2" x14ac:dyDescent="0.25">
      <c r="A90" s="18">
        <v>96</v>
      </c>
      <c r="B90" s="18">
        <v>3.7799999999999999E-3</v>
      </c>
    </row>
    <row r="91" spans="1:2" x14ac:dyDescent="0.25">
      <c r="A91" s="18">
        <v>97</v>
      </c>
      <c r="B91" s="18">
        <v>3.7100000000000002E-3</v>
      </c>
    </row>
    <row r="92" spans="1:2" x14ac:dyDescent="0.25">
      <c r="A92" s="18">
        <v>98</v>
      </c>
      <c r="B92" s="18">
        <v>3.5699999999999998E-3</v>
      </c>
    </row>
    <row r="93" spans="1:2" x14ac:dyDescent="0.25">
      <c r="A93" s="18">
        <v>99</v>
      </c>
      <c r="B93" s="18">
        <v>3.63E-3</v>
      </c>
    </row>
    <row r="94" spans="1:2" x14ac:dyDescent="0.25">
      <c r="A94" s="18">
        <v>100</v>
      </c>
      <c r="B94" s="18">
        <v>3.5300000000000002E-3</v>
      </c>
    </row>
    <row r="95" spans="1:2" x14ac:dyDescent="0.25">
      <c r="A95" s="18">
        <v>101</v>
      </c>
      <c r="B95" s="18">
        <v>3.49E-3</v>
      </c>
    </row>
    <row r="96" spans="1:2" x14ac:dyDescent="0.25">
      <c r="A96" s="18">
        <v>102</v>
      </c>
      <c r="B96" s="18">
        <v>3.4299999999999999E-3</v>
      </c>
    </row>
    <row r="97" spans="1:2" x14ac:dyDescent="0.25">
      <c r="A97" s="18">
        <v>103</v>
      </c>
      <c r="B97" s="18">
        <v>3.3400000000000001E-3</v>
      </c>
    </row>
    <row r="98" spans="1:2" x14ac:dyDescent="0.25">
      <c r="A98" s="18">
        <v>104</v>
      </c>
      <c r="B98" s="18">
        <v>3.3300000000000001E-3</v>
      </c>
    </row>
    <row r="99" spans="1:2" x14ac:dyDescent="0.25">
      <c r="A99" s="18">
        <v>105</v>
      </c>
      <c r="B99" s="18">
        <v>3.2699999999999999E-3</v>
      </c>
    </row>
    <row r="100" spans="1:2" x14ac:dyDescent="0.25">
      <c r="A100" s="18">
        <v>106</v>
      </c>
      <c r="B100" s="18">
        <v>3.2100000000000002E-3</v>
      </c>
    </row>
    <row r="101" spans="1:2" x14ac:dyDescent="0.25">
      <c r="A101" s="18">
        <v>107</v>
      </c>
      <c r="B101" s="18">
        <v>3.13E-3</v>
      </c>
    </row>
    <row r="102" spans="1:2" x14ac:dyDescent="0.25">
      <c r="A102" s="18">
        <v>108</v>
      </c>
      <c r="B102" s="18">
        <v>3.1199999999999999E-3</v>
      </c>
    </row>
    <row r="103" spans="1:2" x14ac:dyDescent="0.25">
      <c r="A103" s="18">
        <v>109</v>
      </c>
      <c r="B103" s="18">
        <v>3.0599999999999998E-3</v>
      </c>
    </row>
    <row r="104" spans="1:2" x14ac:dyDescent="0.25">
      <c r="A104" s="18">
        <v>110</v>
      </c>
      <c r="B104" s="18">
        <v>2.97E-3</v>
      </c>
    </row>
    <row r="105" spans="1:2" x14ac:dyDescent="0.25">
      <c r="A105" s="18">
        <v>111</v>
      </c>
      <c r="B105" s="18">
        <v>2.9499999999999999E-3</v>
      </c>
    </row>
    <row r="106" spans="1:2" x14ac:dyDescent="0.25">
      <c r="A106" s="18">
        <v>112</v>
      </c>
      <c r="B106" s="18">
        <v>2.9099999999999998E-3</v>
      </c>
    </row>
    <row r="107" spans="1:2" x14ac:dyDescent="0.25">
      <c r="A107" s="18">
        <v>113</v>
      </c>
      <c r="B107" s="18">
        <v>2.8700000000000002E-3</v>
      </c>
    </row>
    <row r="108" spans="1:2" x14ac:dyDescent="0.25">
      <c r="A108" s="18">
        <v>114</v>
      </c>
      <c r="B108" s="18">
        <v>2.7899999999999999E-3</v>
      </c>
    </row>
    <row r="109" spans="1:2" x14ac:dyDescent="0.25">
      <c r="A109" s="18">
        <v>115</v>
      </c>
      <c r="B109" s="18">
        <v>2.7399999999999998E-3</v>
      </c>
    </row>
    <row r="110" spans="1:2" x14ac:dyDescent="0.25">
      <c r="A110" s="18">
        <v>116</v>
      </c>
      <c r="B110" s="18">
        <v>2.64E-3</v>
      </c>
    </row>
    <row r="111" spans="1:2" x14ac:dyDescent="0.25">
      <c r="A111" s="18">
        <v>117</v>
      </c>
      <c r="B111" s="18">
        <v>2.64E-3</v>
      </c>
    </row>
    <row r="112" spans="1:2" x14ac:dyDescent="0.25">
      <c r="A112" s="18">
        <v>118</v>
      </c>
      <c r="B112" s="18">
        <v>2.5899999999999999E-3</v>
      </c>
    </row>
    <row r="113" spans="1:2" x14ac:dyDescent="0.25">
      <c r="A113" s="18">
        <v>119</v>
      </c>
      <c r="B113" s="18">
        <v>2.47E-3</v>
      </c>
    </row>
    <row r="114" spans="1:2" x14ac:dyDescent="0.25">
      <c r="A114" s="18">
        <v>120</v>
      </c>
      <c r="B114" s="18">
        <v>2.3900000000000002E-3</v>
      </c>
    </row>
    <row r="115" spans="1:2" x14ac:dyDescent="0.25">
      <c r="A115" s="18">
        <v>121</v>
      </c>
      <c r="B115" s="18">
        <v>2.3600000000000001E-3</v>
      </c>
    </row>
    <row r="116" spans="1:2" x14ac:dyDescent="0.25">
      <c r="A116" s="18">
        <v>122</v>
      </c>
      <c r="B116" s="18">
        <v>2.33E-3</v>
      </c>
    </row>
    <row r="117" spans="1:2" x14ac:dyDescent="0.25">
      <c r="A117" s="18">
        <v>123</v>
      </c>
      <c r="B117" s="18">
        <v>2.2300000000000002E-3</v>
      </c>
    </row>
    <row r="118" spans="1:2" x14ac:dyDescent="0.25">
      <c r="A118" s="18">
        <v>124</v>
      </c>
      <c r="B118" s="18">
        <v>2.1700000000000001E-3</v>
      </c>
    </row>
    <row r="119" spans="1:2" x14ac:dyDescent="0.25">
      <c r="A119" s="18">
        <v>125</v>
      </c>
      <c r="B119" s="18">
        <v>2.1199999999999999E-3</v>
      </c>
    </row>
    <row r="120" spans="1:2" x14ac:dyDescent="0.25">
      <c r="A120" s="18">
        <v>126</v>
      </c>
      <c r="B120" s="18">
        <v>2.0300000000000001E-3</v>
      </c>
    </row>
    <row r="121" spans="1:2" x14ac:dyDescent="0.25">
      <c r="A121" s="18">
        <v>127</v>
      </c>
      <c r="B121" s="18">
        <v>1.9599999999999999E-3</v>
      </c>
    </row>
    <row r="122" spans="1:2" x14ac:dyDescent="0.25">
      <c r="A122" s="18">
        <v>128</v>
      </c>
      <c r="B122" s="18">
        <v>1.9E-3</v>
      </c>
    </row>
    <row r="123" spans="1:2" x14ac:dyDescent="0.25">
      <c r="A123" s="18">
        <v>129</v>
      </c>
      <c r="B123" s="18">
        <v>1.8E-3</v>
      </c>
    </row>
    <row r="124" spans="1:2" x14ac:dyDescent="0.25">
      <c r="A124" s="18">
        <v>130</v>
      </c>
      <c r="B124" s="18">
        <v>1.74E-3</v>
      </c>
    </row>
    <row r="125" spans="1:2" x14ac:dyDescent="0.25">
      <c r="A125" s="18">
        <v>131</v>
      </c>
      <c r="B125" s="18">
        <v>1.6999999999999999E-3</v>
      </c>
    </row>
    <row r="126" spans="1:2" x14ac:dyDescent="0.25">
      <c r="A126" s="18">
        <v>132</v>
      </c>
      <c r="B126" s="18">
        <v>1.65E-3</v>
      </c>
    </row>
    <row r="127" spans="1:2" x14ac:dyDescent="0.25">
      <c r="A127" s="18">
        <v>133</v>
      </c>
      <c r="B127" s="18">
        <v>1.57E-3</v>
      </c>
    </row>
    <row r="128" spans="1:2" x14ac:dyDescent="0.25">
      <c r="A128" s="18">
        <v>134</v>
      </c>
      <c r="B128" s="18">
        <v>1.47E-3</v>
      </c>
    </row>
    <row r="129" spans="1:2" x14ac:dyDescent="0.25">
      <c r="A129" s="18">
        <v>135</v>
      </c>
      <c r="B129" s="18">
        <v>1.3600000000000001E-3</v>
      </c>
    </row>
    <row r="130" spans="1:2" x14ac:dyDescent="0.25">
      <c r="A130" s="18">
        <v>136</v>
      </c>
      <c r="B130" s="18">
        <v>1.33E-3</v>
      </c>
    </row>
    <row r="131" spans="1:2" x14ac:dyDescent="0.25">
      <c r="A131" s="18">
        <v>137</v>
      </c>
      <c r="B131" s="18">
        <v>1.23E-3</v>
      </c>
    </row>
    <row r="132" spans="1:2" x14ac:dyDescent="0.25">
      <c r="A132" s="18">
        <v>138</v>
      </c>
      <c r="B132" s="18">
        <v>1.15E-3</v>
      </c>
    </row>
    <row r="133" spans="1:2" x14ac:dyDescent="0.25">
      <c r="A133" s="18">
        <v>139</v>
      </c>
      <c r="B133" s="18">
        <v>1.07E-3</v>
      </c>
    </row>
    <row r="134" spans="1:2" x14ac:dyDescent="0.25">
      <c r="A134" s="18">
        <v>140</v>
      </c>
      <c r="B134" s="18">
        <v>9.8900000000000008E-4</v>
      </c>
    </row>
    <row r="135" spans="1:2" x14ac:dyDescent="0.25">
      <c r="A135" s="18">
        <v>141</v>
      </c>
      <c r="B135" s="18">
        <v>9.2199999999999997E-4</v>
      </c>
    </row>
    <row r="136" spans="1:2" x14ac:dyDescent="0.25">
      <c r="A136" s="18">
        <v>142</v>
      </c>
      <c r="B136" s="18">
        <v>8.2899999999999998E-4</v>
      </c>
    </row>
    <row r="137" spans="1:2" x14ac:dyDescent="0.25">
      <c r="A137" s="18">
        <v>143</v>
      </c>
      <c r="B137" s="18">
        <v>7.4399999999999998E-4</v>
      </c>
    </row>
    <row r="138" spans="1:2" x14ac:dyDescent="0.25">
      <c r="A138" s="18">
        <v>144</v>
      </c>
      <c r="B138" s="18">
        <v>6.6E-4</v>
      </c>
    </row>
    <row r="139" spans="1:2" x14ac:dyDescent="0.25">
      <c r="A139" s="18">
        <v>145</v>
      </c>
      <c r="B139" s="18">
        <v>5.6499999999999996E-4</v>
      </c>
    </row>
    <row r="140" spans="1:2" x14ac:dyDescent="0.25">
      <c r="A140" s="18">
        <v>146</v>
      </c>
      <c r="B140" s="18">
        <v>4.7399999999999997E-4</v>
      </c>
    </row>
    <row r="141" spans="1:2" x14ac:dyDescent="0.25">
      <c r="A141" s="18">
        <v>147</v>
      </c>
      <c r="B141" s="18">
        <v>3.8400000000000001E-4</v>
      </c>
    </row>
    <row r="142" spans="1:2" x14ac:dyDescent="0.25">
      <c r="A142" s="18">
        <v>148</v>
      </c>
      <c r="B142" s="18">
        <v>2.81E-4</v>
      </c>
    </row>
    <row r="143" spans="1:2" x14ac:dyDescent="0.25">
      <c r="A143" s="18">
        <v>149</v>
      </c>
      <c r="B143" s="18">
        <v>1.7899999999999999E-4</v>
      </c>
    </row>
    <row r="144" spans="1:2" x14ac:dyDescent="0.25">
      <c r="A144" s="18">
        <v>150</v>
      </c>
      <c r="B144" s="18">
        <v>7.08E-5</v>
      </c>
    </row>
    <row r="145" spans="1:2" x14ac:dyDescent="0.25">
      <c r="A145" s="18">
        <v>151</v>
      </c>
      <c r="B145" s="18">
        <v>4.7899999999999999E-5</v>
      </c>
    </row>
    <row r="146" spans="1:2" x14ac:dyDescent="0.25">
      <c r="A146" s="18">
        <v>152</v>
      </c>
      <c r="B146" s="18">
        <v>4.1E-5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dimension ref="A1:B20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20</v>
      </c>
      <c r="B2" s="18">
        <v>9.5600000000000006E-5</v>
      </c>
    </row>
    <row r="3" spans="1:2" x14ac:dyDescent="0.25">
      <c r="A3" s="18">
        <v>20.5</v>
      </c>
      <c r="B3" s="18">
        <v>9.0500000000000004E-5</v>
      </c>
    </row>
    <row r="4" spans="1:2" x14ac:dyDescent="0.25">
      <c r="A4" s="18">
        <v>21</v>
      </c>
      <c r="B4" s="18">
        <v>1.15E-4</v>
      </c>
    </row>
    <row r="5" spans="1:2" x14ac:dyDescent="0.25">
      <c r="A5" s="18">
        <v>21.5</v>
      </c>
      <c r="B5" s="18">
        <v>6.2100000000000005E-5</v>
      </c>
    </row>
    <row r="6" spans="1:2" x14ac:dyDescent="0.25">
      <c r="A6" s="18">
        <v>22</v>
      </c>
      <c r="B6" s="18">
        <v>1E-4</v>
      </c>
    </row>
    <row r="7" spans="1:2" x14ac:dyDescent="0.25">
      <c r="A7" s="18">
        <v>22.5</v>
      </c>
      <c r="B7" s="18">
        <v>2.3799999999999999E-5</v>
      </c>
    </row>
    <row r="8" spans="1:2" x14ac:dyDescent="0.25">
      <c r="A8" s="18">
        <v>23</v>
      </c>
      <c r="B8" s="18">
        <v>9.5299999999999999E-5</v>
      </c>
    </row>
    <row r="9" spans="1:2" x14ac:dyDescent="0.25">
      <c r="A9" s="18">
        <v>23.5</v>
      </c>
      <c r="B9" s="18">
        <v>9.0299999999999999E-5</v>
      </c>
    </row>
    <row r="10" spans="1:2" x14ac:dyDescent="0.25">
      <c r="A10" s="18">
        <v>24</v>
      </c>
      <c r="B10" s="18">
        <v>6.6099999999999994E-5</v>
      </c>
    </row>
    <row r="11" spans="1:2" x14ac:dyDescent="0.25">
      <c r="A11" s="18">
        <v>24.5</v>
      </c>
      <c r="B11" s="18">
        <v>7.3999999999999996E-5</v>
      </c>
    </row>
    <row r="12" spans="1:2" x14ac:dyDescent="0.25">
      <c r="A12" s="18">
        <v>25</v>
      </c>
      <c r="B12" s="18">
        <v>6.7500000000000001E-5</v>
      </c>
    </row>
    <row r="13" spans="1:2" x14ac:dyDescent="0.25">
      <c r="A13" s="18">
        <v>25.5</v>
      </c>
      <c r="B13" s="18">
        <v>8.9900000000000003E-5</v>
      </c>
    </row>
    <row r="14" spans="1:2" x14ac:dyDescent="0.25">
      <c r="A14" s="18">
        <v>26</v>
      </c>
      <c r="B14" s="18">
        <v>7.1799999999999997E-5</v>
      </c>
    </row>
    <row r="15" spans="1:2" x14ac:dyDescent="0.25">
      <c r="A15" s="18">
        <v>26.5</v>
      </c>
      <c r="B15" s="18">
        <v>7.3499999999999998E-5</v>
      </c>
    </row>
    <row r="16" spans="1:2" x14ac:dyDescent="0.25">
      <c r="A16" s="18">
        <v>27</v>
      </c>
      <c r="B16" s="18">
        <v>7.0099999999999996E-5</v>
      </c>
    </row>
    <row r="17" spans="1:2" x14ac:dyDescent="0.25">
      <c r="A17" s="18">
        <v>27.5</v>
      </c>
      <c r="B17" s="18">
        <v>8.9400000000000005E-5</v>
      </c>
    </row>
    <row r="18" spans="1:2" x14ac:dyDescent="0.25">
      <c r="A18" s="18">
        <v>28</v>
      </c>
      <c r="B18" s="18">
        <v>1.3899999999999999E-4</v>
      </c>
    </row>
    <row r="19" spans="1:2" x14ac:dyDescent="0.25">
      <c r="A19" s="18">
        <v>28.5</v>
      </c>
      <c r="B19" s="18">
        <v>1.16E-4</v>
      </c>
    </row>
    <row r="20" spans="1:2" x14ac:dyDescent="0.25">
      <c r="A20" s="18">
        <v>29</v>
      </c>
      <c r="B20" s="18">
        <v>1.4799999999999999E-4</v>
      </c>
    </row>
    <row r="21" spans="1:2" x14ac:dyDescent="0.25">
      <c r="A21" s="18">
        <v>29.5</v>
      </c>
      <c r="B21" s="18">
        <v>1.7799999999999999E-4</v>
      </c>
    </row>
    <row r="22" spans="1:2" x14ac:dyDescent="0.25">
      <c r="A22" s="18">
        <v>30</v>
      </c>
      <c r="B22" s="18">
        <v>2.2100000000000001E-4</v>
      </c>
    </row>
    <row r="23" spans="1:2" x14ac:dyDescent="0.25">
      <c r="A23" s="18">
        <v>30.5</v>
      </c>
      <c r="B23" s="18">
        <v>2.7900000000000001E-4</v>
      </c>
    </row>
    <row r="24" spans="1:2" x14ac:dyDescent="0.25">
      <c r="A24" s="18">
        <v>31</v>
      </c>
      <c r="B24" s="18">
        <v>3.3500000000000001E-4</v>
      </c>
    </row>
    <row r="25" spans="1:2" x14ac:dyDescent="0.25">
      <c r="A25" s="18">
        <v>31.5</v>
      </c>
      <c r="B25" s="18">
        <v>4.1300000000000001E-4</v>
      </c>
    </row>
    <row r="26" spans="1:2" x14ac:dyDescent="0.25">
      <c r="A26" s="18">
        <v>32</v>
      </c>
      <c r="B26" s="18">
        <v>5.1199999999999998E-4</v>
      </c>
    </row>
    <row r="27" spans="1:2" x14ac:dyDescent="0.25">
      <c r="A27" s="18">
        <v>32.5</v>
      </c>
      <c r="B27" s="18">
        <v>5.9299999999999999E-4</v>
      </c>
    </row>
    <row r="28" spans="1:2" x14ac:dyDescent="0.25">
      <c r="A28" s="18">
        <v>33</v>
      </c>
      <c r="B28" s="18">
        <v>7.3399999999999995E-4</v>
      </c>
    </row>
    <row r="29" spans="1:2" x14ac:dyDescent="0.25">
      <c r="A29" s="18">
        <v>33.5</v>
      </c>
      <c r="B29" s="18">
        <v>8.4699999999999999E-4</v>
      </c>
    </row>
    <row r="30" spans="1:2" x14ac:dyDescent="0.25">
      <c r="A30" s="18">
        <v>34</v>
      </c>
      <c r="B30" s="18">
        <v>1E-3</v>
      </c>
    </row>
    <row r="31" spans="1:2" x14ac:dyDescent="0.25">
      <c r="A31" s="18">
        <v>34.5</v>
      </c>
      <c r="B31" s="18">
        <v>1.1299999999999999E-3</v>
      </c>
    </row>
    <row r="32" spans="1:2" x14ac:dyDescent="0.25">
      <c r="A32" s="18">
        <v>35</v>
      </c>
      <c r="B32" s="18">
        <v>1.2899999999999999E-3</v>
      </c>
    </row>
    <row r="33" spans="1:2" x14ac:dyDescent="0.25">
      <c r="A33" s="18">
        <v>35.5</v>
      </c>
      <c r="B33" s="18">
        <v>1.4599999999999999E-3</v>
      </c>
    </row>
    <row r="34" spans="1:2" x14ac:dyDescent="0.25">
      <c r="A34" s="18">
        <v>36</v>
      </c>
      <c r="B34" s="18">
        <v>1.64E-3</v>
      </c>
    </row>
    <row r="35" spans="1:2" x14ac:dyDescent="0.25">
      <c r="A35" s="18">
        <v>36.5</v>
      </c>
      <c r="B35" s="18">
        <v>1.83E-3</v>
      </c>
    </row>
    <row r="36" spans="1:2" x14ac:dyDescent="0.25">
      <c r="A36" s="18">
        <v>37</v>
      </c>
      <c r="B36" s="18">
        <v>2.0100000000000001E-3</v>
      </c>
    </row>
    <row r="37" spans="1:2" x14ac:dyDescent="0.25">
      <c r="A37" s="18">
        <v>37.5</v>
      </c>
      <c r="B37" s="18">
        <v>2.1900000000000001E-3</v>
      </c>
    </row>
    <row r="38" spans="1:2" x14ac:dyDescent="0.25">
      <c r="A38" s="18">
        <v>38</v>
      </c>
      <c r="B38" s="18">
        <v>2.3999999999999998E-3</v>
      </c>
    </row>
    <row r="39" spans="1:2" x14ac:dyDescent="0.25">
      <c r="A39" s="18">
        <v>38.5</v>
      </c>
      <c r="B39" s="18">
        <v>2.6099999999999999E-3</v>
      </c>
    </row>
    <row r="40" spans="1:2" x14ac:dyDescent="0.25">
      <c r="A40" s="18">
        <v>39</v>
      </c>
      <c r="B40" s="18">
        <v>2.82E-3</v>
      </c>
    </row>
    <row r="41" spans="1:2" x14ac:dyDescent="0.25">
      <c r="A41" s="18">
        <v>39.5</v>
      </c>
      <c r="B41" s="18">
        <v>3.0500000000000002E-3</v>
      </c>
    </row>
    <row r="42" spans="1:2" x14ac:dyDescent="0.25">
      <c r="A42" s="18">
        <v>40</v>
      </c>
      <c r="B42" s="18">
        <v>3.2000000000000002E-3</v>
      </c>
    </row>
    <row r="43" spans="1:2" x14ac:dyDescent="0.25">
      <c r="A43" s="18">
        <v>40.5</v>
      </c>
      <c r="B43" s="18">
        <v>3.4099999999999998E-3</v>
      </c>
    </row>
    <row r="44" spans="1:2" x14ac:dyDescent="0.25">
      <c r="A44" s="18">
        <v>41</v>
      </c>
      <c r="B44" s="18">
        <v>3.65E-3</v>
      </c>
    </row>
    <row r="45" spans="1:2" x14ac:dyDescent="0.25">
      <c r="A45" s="18">
        <v>41.5</v>
      </c>
      <c r="B45" s="18">
        <v>3.8700000000000002E-3</v>
      </c>
    </row>
    <row r="46" spans="1:2" x14ac:dyDescent="0.25">
      <c r="A46" s="18">
        <v>42</v>
      </c>
      <c r="B46" s="18">
        <v>4.0800000000000003E-3</v>
      </c>
    </row>
    <row r="47" spans="1:2" x14ac:dyDescent="0.25">
      <c r="A47" s="18">
        <v>42.5</v>
      </c>
      <c r="B47" s="18">
        <v>4.2199999999999998E-3</v>
      </c>
    </row>
    <row r="48" spans="1:2" x14ac:dyDescent="0.25">
      <c r="A48" s="18">
        <v>43</v>
      </c>
      <c r="B48" s="18">
        <v>4.4400000000000004E-3</v>
      </c>
    </row>
    <row r="49" spans="1:2" x14ac:dyDescent="0.25">
      <c r="A49" s="18">
        <v>43.5</v>
      </c>
      <c r="B49" s="18">
        <v>4.6600000000000001E-3</v>
      </c>
    </row>
    <row r="50" spans="1:2" x14ac:dyDescent="0.25">
      <c r="A50" s="18">
        <v>44</v>
      </c>
      <c r="B50" s="18">
        <v>4.8799999999999998E-3</v>
      </c>
    </row>
    <row r="51" spans="1:2" x14ac:dyDescent="0.25">
      <c r="A51" s="18">
        <v>44.5</v>
      </c>
      <c r="B51" s="18">
        <v>5.0400000000000002E-3</v>
      </c>
    </row>
    <row r="52" spans="1:2" x14ac:dyDescent="0.25">
      <c r="A52" s="18">
        <v>45</v>
      </c>
      <c r="B52" s="18">
        <v>5.2399999999999999E-3</v>
      </c>
    </row>
    <row r="53" spans="1:2" x14ac:dyDescent="0.25">
      <c r="A53" s="18">
        <v>45.5</v>
      </c>
      <c r="B53" s="18">
        <v>5.3600000000000002E-3</v>
      </c>
    </row>
    <row r="54" spans="1:2" x14ac:dyDescent="0.25">
      <c r="A54" s="18">
        <v>46</v>
      </c>
      <c r="B54" s="18">
        <v>5.5300000000000002E-3</v>
      </c>
    </row>
    <row r="55" spans="1:2" x14ac:dyDescent="0.25">
      <c r="A55" s="18">
        <v>46.5</v>
      </c>
      <c r="B55" s="18">
        <v>5.6699999999999997E-3</v>
      </c>
    </row>
    <row r="56" spans="1:2" x14ac:dyDescent="0.25">
      <c r="A56" s="18">
        <v>47</v>
      </c>
      <c r="B56" s="18">
        <v>5.8100000000000001E-3</v>
      </c>
    </row>
    <row r="57" spans="1:2" x14ac:dyDescent="0.25">
      <c r="A57" s="18">
        <v>47.5</v>
      </c>
      <c r="B57" s="18">
        <v>5.9699999999999996E-3</v>
      </c>
    </row>
    <row r="58" spans="1:2" x14ac:dyDescent="0.25">
      <c r="A58" s="18">
        <v>48</v>
      </c>
      <c r="B58" s="18">
        <v>6.1500000000000001E-3</v>
      </c>
    </row>
    <row r="59" spans="1:2" x14ac:dyDescent="0.25">
      <c r="A59" s="18">
        <v>48.5</v>
      </c>
      <c r="B59" s="18">
        <v>6.2599999999999999E-3</v>
      </c>
    </row>
    <row r="60" spans="1:2" x14ac:dyDescent="0.25">
      <c r="A60" s="18">
        <v>49</v>
      </c>
      <c r="B60" s="18">
        <v>6.2199999999999998E-3</v>
      </c>
    </row>
    <row r="61" spans="1:2" x14ac:dyDescent="0.25">
      <c r="A61" s="18">
        <v>49.5</v>
      </c>
      <c r="B61" s="18">
        <v>6.4799999999999996E-3</v>
      </c>
    </row>
    <row r="62" spans="1:2" x14ac:dyDescent="0.25">
      <c r="A62" s="18">
        <v>50</v>
      </c>
      <c r="B62" s="18">
        <v>6.5199999999999998E-3</v>
      </c>
    </row>
    <row r="63" spans="1:2" x14ac:dyDescent="0.25">
      <c r="A63" s="18">
        <v>50.5</v>
      </c>
      <c r="B63" s="18">
        <v>6.6400000000000001E-3</v>
      </c>
    </row>
    <row r="64" spans="1:2" x14ac:dyDescent="0.25">
      <c r="A64" s="18">
        <v>51</v>
      </c>
      <c r="B64" s="18">
        <v>6.7400000000000003E-3</v>
      </c>
    </row>
    <row r="65" spans="1:2" x14ac:dyDescent="0.25">
      <c r="A65" s="18">
        <v>51.5</v>
      </c>
      <c r="B65" s="18">
        <v>6.8799999999999998E-3</v>
      </c>
    </row>
    <row r="66" spans="1:2" x14ac:dyDescent="0.25">
      <c r="A66" s="18">
        <v>52</v>
      </c>
      <c r="B66" s="18">
        <v>6.9100000000000003E-3</v>
      </c>
    </row>
    <row r="67" spans="1:2" x14ac:dyDescent="0.25">
      <c r="A67" s="18">
        <v>52.5</v>
      </c>
      <c r="B67" s="18">
        <v>7.0400000000000003E-3</v>
      </c>
    </row>
    <row r="68" spans="1:2" x14ac:dyDescent="0.25">
      <c r="A68" s="18">
        <v>53</v>
      </c>
      <c r="B68" s="18">
        <v>7.11E-3</v>
      </c>
    </row>
    <row r="69" spans="1:2" x14ac:dyDescent="0.25">
      <c r="A69" s="18">
        <v>53.5</v>
      </c>
      <c r="B69" s="18">
        <v>7.1900000000000002E-3</v>
      </c>
    </row>
    <row r="70" spans="1:2" x14ac:dyDescent="0.25">
      <c r="A70" s="18">
        <v>54</v>
      </c>
      <c r="B70" s="18">
        <v>7.28E-3</v>
      </c>
    </row>
    <row r="71" spans="1:2" x14ac:dyDescent="0.25">
      <c r="A71" s="18">
        <v>54.5</v>
      </c>
      <c r="B71" s="18">
        <v>7.3299999999999997E-3</v>
      </c>
    </row>
    <row r="72" spans="1:2" x14ac:dyDescent="0.25">
      <c r="A72" s="18">
        <v>55</v>
      </c>
      <c r="B72" s="18">
        <v>7.4000000000000003E-3</v>
      </c>
    </row>
    <row r="73" spans="1:2" x14ac:dyDescent="0.25">
      <c r="A73" s="18">
        <v>55.5</v>
      </c>
      <c r="B73" s="18">
        <v>7.5199999999999998E-3</v>
      </c>
    </row>
    <row r="74" spans="1:2" x14ac:dyDescent="0.25">
      <c r="A74" s="18">
        <v>56</v>
      </c>
      <c r="B74" s="18">
        <v>7.5599999999999999E-3</v>
      </c>
    </row>
    <row r="75" spans="1:2" x14ac:dyDescent="0.25">
      <c r="A75" s="18">
        <v>56.5</v>
      </c>
      <c r="B75" s="18">
        <v>7.6E-3</v>
      </c>
    </row>
    <row r="76" spans="1:2" x14ac:dyDescent="0.25">
      <c r="A76" s="18">
        <v>57</v>
      </c>
      <c r="B76" s="18">
        <v>7.7099999999999998E-3</v>
      </c>
    </row>
    <row r="77" spans="1:2" x14ac:dyDescent="0.25">
      <c r="A77" s="18">
        <v>57.5</v>
      </c>
      <c r="B77" s="18">
        <v>1.1299999999999999E-2</v>
      </c>
    </row>
    <row r="78" spans="1:2" x14ac:dyDescent="0.25">
      <c r="A78" s="18">
        <v>58</v>
      </c>
      <c r="B78" s="18">
        <v>3.1600000000000003E-2</v>
      </c>
    </row>
    <row r="79" spans="1:2" x14ac:dyDescent="0.25">
      <c r="A79" s="18">
        <v>58.5</v>
      </c>
      <c r="B79" s="18">
        <v>9.7999999999999997E-3</v>
      </c>
    </row>
    <row r="80" spans="1:2" x14ac:dyDescent="0.25">
      <c r="A80" s="18">
        <v>59</v>
      </c>
      <c r="B80" s="18">
        <v>2.8500000000000001E-2</v>
      </c>
    </row>
    <row r="81" spans="1:2" x14ac:dyDescent="0.25">
      <c r="A81" s="18">
        <v>59.5</v>
      </c>
      <c r="B81" s="18">
        <v>4.0300000000000002E-2</v>
      </c>
    </row>
    <row r="82" spans="1:2" x14ac:dyDescent="0.25">
      <c r="A82" s="18">
        <v>60</v>
      </c>
      <c r="B82" s="18">
        <v>8.2199999999999999E-3</v>
      </c>
    </row>
    <row r="83" spans="1:2" x14ac:dyDescent="0.25">
      <c r="A83" s="18">
        <v>60.5</v>
      </c>
      <c r="B83" s="18">
        <v>7.7600000000000004E-3</v>
      </c>
    </row>
    <row r="84" spans="1:2" x14ac:dyDescent="0.25">
      <c r="A84" s="18">
        <v>61</v>
      </c>
      <c r="B84" s="18">
        <v>7.6899999999999998E-3</v>
      </c>
    </row>
    <row r="85" spans="1:2" x14ac:dyDescent="0.25">
      <c r="A85" s="18">
        <v>61.5</v>
      </c>
      <c r="B85" s="18">
        <v>7.7799999999999996E-3</v>
      </c>
    </row>
    <row r="86" spans="1:2" x14ac:dyDescent="0.25">
      <c r="A86" s="18">
        <v>62</v>
      </c>
      <c r="B86" s="18">
        <v>7.7799999999999996E-3</v>
      </c>
    </row>
    <row r="87" spans="1:2" x14ac:dyDescent="0.25">
      <c r="A87" s="18">
        <v>62.5</v>
      </c>
      <c r="B87" s="18">
        <v>7.79E-3</v>
      </c>
    </row>
    <row r="88" spans="1:2" x14ac:dyDescent="0.25">
      <c r="A88" s="18">
        <v>63</v>
      </c>
      <c r="B88" s="18">
        <v>7.8200000000000006E-3</v>
      </c>
    </row>
    <row r="89" spans="1:2" x14ac:dyDescent="0.25">
      <c r="A89" s="18">
        <v>63.5</v>
      </c>
      <c r="B89" s="18">
        <v>7.8399999999999997E-3</v>
      </c>
    </row>
    <row r="90" spans="1:2" x14ac:dyDescent="0.25">
      <c r="A90" s="18">
        <v>64</v>
      </c>
      <c r="B90" s="18">
        <v>7.8499999999999993E-3</v>
      </c>
    </row>
    <row r="91" spans="1:2" x14ac:dyDescent="0.25">
      <c r="A91" s="18">
        <v>64.5</v>
      </c>
      <c r="B91" s="18">
        <v>7.8899999999999994E-3</v>
      </c>
    </row>
    <row r="92" spans="1:2" x14ac:dyDescent="0.25">
      <c r="A92" s="18">
        <v>65</v>
      </c>
      <c r="B92" s="18">
        <v>7.9100000000000004E-3</v>
      </c>
    </row>
    <row r="93" spans="1:2" x14ac:dyDescent="0.25">
      <c r="A93" s="18">
        <v>65.5</v>
      </c>
      <c r="B93" s="18">
        <v>7.8700000000000003E-3</v>
      </c>
    </row>
    <row r="94" spans="1:2" x14ac:dyDescent="0.25">
      <c r="A94" s="18">
        <v>66</v>
      </c>
      <c r="B94" s="18">
        <v>7.92E-3</v>
      </c>
    </row>
    <row r="95" spans="1:2" x14ac:dyDescent="0.25">
      <c r="A95" s="18">
        <v>66.5</v>
      </c>
      <c r="B95" s="18">
        <v>9.5499999999999995E-3</v>
      </c>
    </row>
    <row r="96" spans="1:2" x14ac:dyDescent="0.25">
      <c r="A96" s="18">
        <v>67</v>
      </c>
      <c r="B96" s="18">
        <v>2.3699999999999999E-2</v>
      </c>
    </row>
    <row r="97" spans="1:2" x14ac:dyDescent="0.25">
      <c r="A97" s="18">
        <v>67.5</v>
      </c>
      <c r="B97" s="18">
        <v>1.5699999999999999E-2</v>
      </c>
    </row>
    <row r="98" spans="1:2" x14ac:dyDescent="0.25">
      <c r="A98" s="18">
        <v>68</v>
      </c>
      <c r="B98" s="18">
        <v>7.9799999999999992E-3</v>
      </c>
    </row>
    <row r="99" spans="1:2" x14ac:dyDescent="0.25">
      <c r="A99" s="18">
        <v>68.5</v>
      </c>
      <c r="B99" s="18">
        <v>8.2199999999999999E-3</v>
      </c>
    </row>
    <row r="100" spans="1:2" x14ac:dyDescent="0.25">
      <c r="A100" s="18">
        <v>69</v>
      </c>
      <c r="B100" s="18">
        <v>1.29E-2</v>
      </c>
    </row>
    <row r="101" spans="1:2" x14ac:dyDescent="0.25">
      <c r="A101" s="18">
        <v>69.5</v>
      </c>
      <c r="B101" s="18">
        <v>8.9499999999999996E-3</v>
      </c>
    </row>
    <row r="102" spans="1:2" x14ac:dyDescent="0.25">
      <c r="A102" s="18">
        <v>70</v>
      </c>
      <c r="B102" s="18">
        <v>6.8900000000000003E-3</v>
      </c>
    </row>
    <row r="103" spans="1:2" x14ac:dyDescent="0.25">
      <c r="A103" s="18">
        <v>70.5</v>
      </c>
      <c r="B103" s="18">
        <v>6.8300000000000001E-3</v>
      </c>
    </row>
    <row r="104" spans="1:2" x14ac:dyDescent="0.25">
      <c r="A104" s="18">
        <v>71</v>
      </c>
      <c r="B104" s="18">
        <v>6.8700000000000002E-3</v>
      </c>
    </row>
    <row r="105" spans="1:2" x14ac:dyDescent="0.25">
      <c r="A105" s="18">
        <v>71.5</v>
      </c>
      <c r="B105" s="18">
        <v>6.8500000000000002E-3</v>
      </c>
    </row>
    <row r="106" spans="1:2" x14ac:dyDescent="0.25">
      <c r="A106" s="18">
        <v>72</v>
      </c>
      <c r="B106" s="18">
        <v>6.7400000000000003E-3</v>
      </c>
    </row>
    <row r="107" spans="1:2" x14ac:dyDescent="0.25">
      <c r="A107" s="18">
        <v>72.5</v>
      </c>
      <c r="B107" s="18">
        <v>6.79E-3</v>
      </c>
    </row>
    <row r="108" spans="1:2" x14ac:dyDescent="0.25">
      <c r="A108" s="18">
        <v>73</v>
      </c>
      <c r="B108" s="18">
        <v>6.7600000000000004E-3</v>
      </c>
    </row>
    <row r="109" spans="1:2" x14ac:dyDescent="0.25">
      <c r="A109" s="18">
        <v>73.5</v>
      </c>
      <c r="B109" s="18">
        <v>6.7999999999999996E-3</v>
      </c>
    </row>
    <row r="110" spans="1:2" x14ac:dyDescent="0.25">
      <c r="A110" s="18">
        <v>74</v>
      </c>
      <c r="B110" s="18">
        <v>6.7099999999999998E-3</v>
      </c>
    </row>
    <row r="111" spans="1:2" x14ac:dyDescent="0.25">
      <c r="A111" s="18">
        <v>74.5</v>
      </c>
      <c r="B111" s="18">
        <v>6.7799999999999996E-3</v>
      </c>
    </row>
    <row r="112" spans="1:2" x14ac:dyDescent="0.25">
      <c r="A112" s="18">
        <v>75</v>
      </c>
      <c r="B112" s="18">
        <v>6.7099999999999998E-3</v>
      </c>
    </row>
    <row r="113" spans="1:2" x14ac:dyDescent="0.25">
      <c r="A113" s="18">
        <v>75.5</v>
      </c>
      <c r="B113" s="18">
        <v>6.6699999999999997E-3</v>
      </c>
    </row>
    <row r="114" spans="1:2" x14ac:dyDescent="0.25">
      <c r="A114" s="18">
        <v>76</v>
      </c>
      <c r="B114" s="18">
        <v>6.6600000000000001E-3</v>
      </c>
    </row>
    <row r="115" spans="1:2" x14ac:dyDescent="0.25">
      <c r="A115" s="18">
        <v>76.5</v>
      </c>
      <c r="B115" s="18">
        <v>6.6299999999999996E-3</v>
      </c>
    </row>
    <row r="116" spans="1:2" x14ac:dyDescent="0.25">
      <c r="A116" s="18">
        <v>77</v>
      </c>
      <c r="B116" s="18">
        <v>6.5900000000000004E-3</v>
      </c>
    </row>
    <row r="117" spans="1:2" x14ac:dyDescent="0.25">
      <c r="A117" s="18">
        <v>77.5</v>
      </c>
      <c r="B117" s="18">
        <v>6.5399999999999998E-3</v>
      </c>
    </row>
    <row r="118" spans="1:2" x14ac:dyDescent="0.25">
      <c r="A118" s="18">
        <v>78</v>
      </c>
      <c r="B118" s="18">
        <v>6.5500000000000003E-3</v>
      </c>
    </row>
    <row r="119" spans="1:2" x14ac:dyDescent="0.25">
      <c r="A119" s="18">
        <v>78.5</v>
      </c>
      <c r="B119" s="18">
        <v>6.4999999999999997E-3</v>
      </c>
    </row>
    <row r="120" spans="1:2" x14ac:dyDescent="0.25">
      <c r="A120" s="18">
        <v>79</v>
      </c>
      <c r="B120" s="18">
        <v>6.4200000000000004E-3</v>
      </c>
    </row>
    <row r="121" spans="1:2" x14ac:dyDescent="0.25">
      <c r="A121" s="18">
        <v>79.5</v>
      </c>
      <c r="B121" s="18">
        <v>6.3899999999999998E-3</v>
      </c>
    </row>
    <row r="122" spans="1:2" x14ac:dyDescent="0.25">
      <c r="A122" s="18">
        <v>80</v>
      </c>
      <c r="B122" s="18">
        <v>6.3699999999999998E-3</v>
      </c>
    </row>
    <row r="123" spans="1:2" x14ac:dyDescent="0.25">
      <c r="A123" s="18">
        <v>80.5</v>
      </c>
      <c r="B123" s="18">
        <v>6.3400000000000001E-3</v>
      </c>
    </row>
    <row r="124" spans="1:2" x14ac:dyDescent="0.25">
      <c r="A124" s="18">
        <v>81</v>
      </c>
      <c r="B124" s="18">
        <v>6.2599999999999999E-3</v>
      </c>
    </row>
    <row r="125" spans="1:2" x14ac:dyDescent="0.25">
      <c r="A125" s="18">
        <v>81.5</v>
      </c>
      <c r="B125" s="18">
        <v>6.3E-3</v>
      </c>
    </row>
    <row r="126" spans="1:2" x14ac:dyDescent="0.25">
      <c r="A126" s="18">
        <v>82</v>
      </c>
      <c r="B126" s="18">
        <v>6.2500000000000003E-3</v>
      </c>
    </row>
    <row r="127" spans="1:2" x14ac:dyDescent="0.25">
      <c r="A127" s="18">
        <v>82.5</v>
      </c>
      <c r="B127" s="18">
        <v>6.2199999999999998E-3</v>
      </c>
    </row>
    <row r="128" spans="1:2" x14ac:dyDescent="0.25">
      <c r="A128" s="18">
        <v>83</v>
      </c>
      <c r="B128" s="18">
        <v>6.2300000000000003E-3</v>
      </c>
    </row>
    <row r="129" spans="1:2" x14ac:dyDescent="0.25">
      <c r="A129" s="18">
        <v>83.5</v>
      </c>
      <c r="B129" s="18">
        <v>6.1399999999999996E-3</v>
      </c>
    </row>
    <row r="130" spans="1:2" x14ac:dyDescent="0.25">
      <c r="A130" s="18">
        <v>84</v>
      </c>
      <c r="B130" s="18">
        <v>6.1599999999999997E-3</v>
      </c>
    </row>
    <row r="131" spans="1:2" x14ac:dyDescent="0.25">
      <c r="A131" s="18">
        <v>84.5</v>
      </c>
      <c r="B131" s="18">
        <v>6.1399999999999996E-3</v>
      </c>
    </row>
    <row r="132" spans="1:2" x14ac:dyDescent="0.25">
      <c r="A132" s="18">
        <v>85</v>
      </c>
      <c r="B132" s="18">
        <v>6.1199999999999996E-3</v>
      </c>
    </row>
    <row r="133" spans="1:2" x14ac:dyDescent="0.25">
      <c r="A133" s="18">
        <v>85.5</v>
      </c>
      <c r="B133" s="18">
        <v>5.9800000000000001E-3</v>
      </c>
    </row>
    <row r="134" spans="1:2" x14ac:dyDescent="0.25">
      <c r="A134" s="18">
        <v>86</v>
      </c>
      <c r="B134" s="18">
        <v>6.0299999999999998E-3</v>
      </c>
    </row>
    <row r="135" spans="1:2" x14ac:dyDescent="0.25">
      <c r="A135" s="18">
        <v>86.5</v>
      </c>
      <c r="B135" s="18">
        <v>5.9500000000000004E-3</v>
      </c>
    </row>
    <row r="136" spans="1:2" x14ac:dyDescent="0.25">
      <c r="A136" s="18">
        <v>87</v>
      </c>
      <c r="B136" s="18">
        <v>5.8799999999999998E-3</v>
      </c>
    </row>
    <row r="137" spans="1:2" x14ac:dyDescent="0.25">
      <c r="A137" s="18">
        <v>87.5</v>
      </c>
      <c r="B137" s="18">
        <v>5.8300000000000001E-3</v>
      </c>
    </row>
    <row r="138" spans="1:2" x14ac:dyDescent="0.25">
      <c r="A138" s="18">
        <v>88</v>
      </c>
      <c r="B138" s="18">
        <v>5.7299999999999999E-3</v>
      </c>
    </row>
    <row r="139" spans="1:2" x14ac:dyDescent="0.25">
      <c r="A139" s="18">
        <v>88.5</v>
      </c>
      <c r="B139" s="18">
        <v>5.64E-3</v>
      </c>
    </row>
    <row r="140" spans="1:2" x14ac:dyDescent="0.25">
      <c r="A140" s="18">
        <v>89</v>
      </c>
      <c r="B140" s="18">
        <v>5.5900000000000004E-3</v>
      </c>
    </row>
    <row r="141" spans="1:2" x14ac:dyDescent="0.25">
      <c r="A141" s="18">
        <v>89.5</v>
      </c>
      <c r="B141" s="18">
        <v>5.5199999999999997E-3</v>
      </c>
    </row>
    <row r="142" spans="1:2" x14ac:dyDescent="0.25">
      <c r="A142" s="18">
        <v>90</v>
      </c>
      <c r="B142" s="18">
        <v>5.4900000000000001E-3</v>
      </c>
    </row>
    <row r="143" spans="1:2" x14ac:dyDescent="0.25">
      <c r="A143" s="18">
        <v>90.5</v>
      </c>
      <c r="B143" s="18">
        <v>5.4099999999999999E-3</v>
      </c>
    </row>
    <row r="144" spans="1:2" x14ac:dyDescent="0.25">
      <c r="A144" s="18">
        <v>91</v>
      </c>
      <c r="B144" s="18">
        <v>5.3699999999999998E-3</v>
      </c>
    </row>
    <row r="145" spans="1:2" x14ac:dyDescent="0.25">
      <c r="A145" s="18">
        <v>91.5</v>
      </c>
      <c r="B145" s="18">
        <v>5.3200000000000001E-3</v>
      </c>
    </row>
    <row r="146" spans="1:2" x14ac:dyDescent="0.25">
      <c r="A146" s="18">
        <v>92</v>
      </c>
      <c r="B146" s="18">
        <v>5.2700000000000004E-3</v>
      </c>
    </row>
    <row r="147" spans="1:2" x14ac:dyDescent="0.25">
      <c r="A147" s="18">
        <v>92.5</v>
      </c>
      <c r="B147" s="18">
        <v>5.2100000000000002E-3</v>
      </c>
    </row>
    <row r="148" spans="1:2" x14ac:dyDescent="0.25">
      <c r="A148" s="18">
        <v>93</v>
      </c>
      <c r="B148" s="18">
        <v>5.1900000000000002E-3</v>
      </c>
    </row>
    <row r="149" spans="1:2" x14ac:dyDescent="0.25">
      <c r="A149" s="18">
        <v>93.5</v>
      </c>
      <c r="B149" s="18">
        <v>5.0800000000000003E-3</v>
      </c>
    </row>
    <row r="150" spans="1:2" x14ac:dyDescent="0.25">
      <c r="A150" s="18">
        <v>94</v>
      </c>
      <c r="B150" s="18">
        <v>5.0499999999999998E-3</v>
      </c>
    </row>
    <row r="151" spans="1:2" x14ac:dyDescent="0.25">
      <c r="A151" s="18">
        <v>94.5</v>
      </c>
      <c r="B151" s="18">
        <v>4.9800000000000001E-3</v>
      </c>
    </row>
    <row r="152" spans="1:2" x14ac:dyDescent="0.25">
      <c r="A152" s="18">
        <v>95</v>
      </c>
      <c r="B152" s="18">
        <v>4.96E-3</v>
      </c>
    </row>
    <row r="153" spans="1:2" x14ac:dyDescent="0.25">
      <c r="A153" s="18">
        <v>95.5</v>
      </c>
      <c r="B153" s="18">
        <v>4.8399999999999997E-3</v>
      </c>
    </row>
    <row r="154" spans="1:2" x14ac:dyDescent="0.25">
      <c r="A154" s="18">
        <v>96</v>
      </c>
      <c r="B154" s="18">
        <v>4.79E-3</v>
      </c>
    </row>
    <row r="155" spans="1:2" x14ac:dyDescent="0.25">
      <c r="A155" s="18">
        <v>96.5</v>
      </c>
      <c r="B155" s="18">
        <v>4.79E-3</v>
      </c>
    </row>
    <row r="156" spans="1:2" x14ac:dyDescent="0.25">
      <c r="A156" s="18">
        <v>97</v>
      </c>
      <c r="B156" s="18">
        <v>4.6499999999999996E-3</v>
      </c>
    </row>
    <row r="157" spans="1:2" x14ac:dyDescent="0.25">
      <c r="A157" s="18">
        <v>97.5</v>
      </c>
      <c r="B157" s="18">
        <v>4.62E-3</v>
      </c>
    </row>
    <row r="158" spans="1:2" x14ac:dyDescent="0.25">
      <c r="A158" s="18">
        <v>98</v>
      </c>
      <c r="B158" s="18">
        <v>4.5300000000000002E-3</v>
      </c>
    </row>
    <row r="159" spans="1:2" x14ac:dyDescent="0.25">
      <c r="A159" s="18">
        <v>98.5</v>
      </c>
      <c r="B159" s="18">
        <v>4.4099999999999999E-3</v>
      </c>
    </row>
    <row r="160" spans="1:2" x14ac:dyDescent="0.25">
      <c r="A160" s="18">
        <v>99</v>
      </c>
      <c r="B160" s="18">
        <v>4.3800000000000002E-3</v>
      </c>
    </row>
    <row r="161" spans="1:2" x14ac:dyDescent="0.25">
      <c r="A161" s="18">
        <v>99.5</v>
      </c>
      <c r="B161" s="18">
        <v>4.28E-3</v>
      </c>
    </row>
    <row r="162" spans="1:2" x14ac:dyDescent="0.25">
      <c r="A162" s="18">
        <v>100</v>
      </c>
      <c r="B162" s="18">
        <v>4.2500000000000003E-3</v>
      </c>
    </row>
    <row r="163" spans="1:2" x14ac:dyDescent="0.25">
      <c r="A163" s="18">
        <v>101</v>
      </c>
      <c r="B163" s="18">
        <v>4.1599999999999996E-3</v>
      </c>
    </row>
    <row r="164" spans="1:2" x14ac:dyDescent="0.25">
      <c r="A164" s="18">
        <v>101</v>
      </c>
      <c r="B164" s="18">
        <v>4.0800000000000003E-3</v>
      </c>
    </row>
    <row r="165" spans="1:2" x14ac:dyDescent="0.25">
      <c r="A165" s="18">
        <v>102</v>
      </c>
      <c r="B165" s="18">
        <v>4.0600000000000002E-3</v>
      </c>
    </row>
    <row r="166" spans="1:2" x14ac:dyDescent="0.25">
      <c r="A166" s="18">
        <v>102</v>
      </c>
      <c r="B166" s="18">
        <v>3.98E-3</v>
      </c>
    </row>
    <row r="167" spans="1:2" x14ac:dyDescent="0.25">
      <c r="A167" s="18">
        <v>103</v>
      </c>
      <c r="B167" s="18">
        <v>3.9100000000000003E-3</v>
      </c>
    </row>
    <row r="168" spans="1:2" x14ac:dyDescent="0.25">
      <c r="A168" s="18">
        <v>103</v>
      </c>
      <c r="B168" s="18">
        <v>3.79E-3</v>
      </c>
    </row>
    <row r="169" spans="1:2" x14ac:dyDescent="0.25">
      <c r="A169" s="18">
        <v>104</v>
      </c>
      <c r="B169" s="18">
        <v>3.7200000000000002E-3</v>
      </c>
    </row>
    <row r="170" spans="1:2" x14ac:dyDescent="0.25">
      <c r="A170" s="18">
        <v>104</v>
      </c>
      <c r="B170" s="18">
        <v>3.64E-3</v>
      </c>
    </row>
    <row r="171" spans="1:2" x14ac:dyDescent="0.25">
      <c r="A171" s="18">
        <v>105</v>
      </c>
      <c r="B171" s="18">
        <v>3.5400000000000002E-3</v>
      </c>
    </row>
    <row r="172" spans="1:2" x14ac:dyDescent="0.25">
      <c r="A172" s="18">
        <v>105</v>
      </c>
      <c r="B172" s="18">
        <v>3.46E-3</v>
      </c>
    </row>
    <row r="173" spans="1:2" x14ac:dyDescent="0.25">
      <c r="A173" s="18">
        <v>106</v>
      </c>
      <c r="B173" s="18">
        <v>3.3899999999999998E-3</v>
      </c>
    </row>
    <row r="174" spans="1:2" x14ac:dyDescent="0.25">
      <c r="A174" s="18">
        <v>106</v>
      </c>
      <c r="B174" s="18">
        <v>3.3400000000000001E-3</v>
      </c>
    </row>
    <row r="175" spans="1:2" x14ac:dyDescent="0.25">
      <c r="A175" s="18">
        <v>107</v>
      </c>
      <c r="B175" s="18">
        <v>3.2799999999999999E-3</v>
      </c>
    </row>
    <row r="176" spans="1:2" x14ac:dyDescent="0.25">
      <c r="A176" s="18">
        <v>107</v>
      </c>
      <c r="B176" s="18">
        <v>3.13E-3</v>
      </c>
    </row>
    <row r="177" spans="1:2" x14ac:dyDescent="0.25">
      <c r="A177" s="18">
        <v>108</v>
      </c>
      <c r="B177" s="18">
        <v>3.0699999999999998E-3</v>
      </c>
    </row>
    <row r="178" spans="1:2" x14ac:dyDescent="0.25">
      <c r="A178" s="18">
        <v>108</v>
      </c>
      <c r="B178" s="18">
        <v>2.96E-3</v>
      </c>
    </row>
    <row r="179" spans="1:2" x14ac:dyDescent="0.25">
      <c r="A179" s="18">
        <v>109</v>
      </c>
      <c r="B179" s="18">
        <v>2.8400000000000001E-3</v>
      </c>
    </row>
    <row r="180" spans="1:2" x14ac:dyDescent="0.25">
      <c r="A180" s="18">
        <v>109</v>
      </c>
      <c r="B180" s="18">
        <v>2.7799999999999999E-3</v>
      </c>
    </row>
    <row r="181" spans="1:2" x14ac:dyDescent="0.25">
      <c r="A181" s="18">
        <v>110</v>
      </c>
      <c r="B181" s="18">
        <v>2.64E-3</v>
      </c>
    </row>
    <row r="182" spans="1:2" x14ac:dyDescent="0.25">
      <c r="A182" s="18">
        <v>110</v>
      </c>
      <c r="B182" s="18">
        <v>2.5500000000000002E-3</v>
      </c>
    </row>
    <row r="183" spans="1:2" x14ac:dyDescent="0.25">
      <c r="A183" s="18">
        <v>111</v>
      </c>
      <c r="B183" s="18">
        <v>2.48E-3</v>
      </c>
    </row>
    <row r="184" spans="1:2" x14ac:dyDescent="0.25">
      <c r="A184" s="18">
        <v>111</v>
      </c>
      <c r="B184" s="18">
        <v>2.3500000000000001E-3</v>
      </c>
    </row>
    <row r="185" spans="1:2" x14ac:dyDescent="0.25">
      <c r="A185" s="18">
        <v>112</v>
      </c>
      <c r="B185" s="18">
        <v>2.2799999999999999E-3</v>
      </c>
    </row>
    <row r="186" spans="1:2" x14ac:dyDescent="0.25">
      <c r="A186" s="18">
        <v>112</v>
      </c>
      <c r="B186" s="18">
        <v>2.1700000000000001E-3</v>
      </c>
    </row>
    <row r="187" spans="1:2" x14ac:dyDescent="0.25">
      <c r="A187" s="18">
        <v>113</v>
      </c>
      <c r="B187" s="18">
        <v>2.0600000000000002E-3</v>
      </c>
    </row>
    <row r="188" spans="1:2" x14ac:dyDescent="0.25">
      <c r="A188" s="18">
        <v>113</v>
      </c>
      <c r="B188" s="18">
        <v>1.9499999999999999E-3</v>
      </c>
    </row>
    <row r="189" spans="1:2" x14ac:dyDescent="0.25">
      <c r="A189" s="18">
        <v>114</v>
      </c>
      <c r="B189" s="18">
        <v>1.83E-3</v>
      </c>
    </row>
    <row r="190" spans="1:2" x14ac:dyDescent="0.25">
      <c r="A190" s="18">
        <v>114</v>
      </c>
      <c r="B190" s="18">
        <v>1.6900000000000001E-3</v>
      </c>
    </row>
    <row r="191" spans="1:2" x14ac:dyDescent="0.25">
      <c r="A191" s="18">
        <v>115</v>
      </c>
      <c r="B191" s="18">
        <v>1.5900000000000001E-3</v>
      </c>
    </row>
    <row r="192" spans="1:2" x14ac:dyDescent="0.25">
      <c r="A192" s="18">
        <v>115</v>
      </c>
      <c r="B192" s="18">
        <v>1.49E-3</v>
      </c>
    </row>
    <row r="193" spans="1:2" x14ac:dyDescent="0.25">
      <c r="A193" s="18">
        <v>116</v>
      </c>
      <c r="B193" s="18">
        <v>1.3600000000000001E-3</v>
      </c>
    </row>
    <row r="194" spans="1:2" x14ac:dyDescent="0.25">
      <c r="A194" s="18">
        <v>116</v>
      </c>
      <c r="B194" s="18">
        <v>1.2199999999999999E-3</v>
      </c>
    </row>
    <row r="195" spans="1:2" x14ac:dyDescent="0.25">
      <c r="A195" s="18">
        <v>117</v>
      </c>
      <c r="B195" s="18">
        <v>1.1000000000000001E-3</v>
      </c>
    </row>
    <row r="196" spans="1:2" x14ac:dyDescent="0.25">
      <c r="A196" s="18">
        <v>117</v>
      </c>
      <c r="B196" s="18">
        <v>9.3000000000000005E-4</v>
      </c>
    </row>
    <row r="197" spans="1:2" x14ac:dyDescent="0.25">
      <c r="A197" s="18">
        <v>118</v>
      </c>
      <c r="B197" s="18">
        <v>8.1400000000000005E-4</v>
      </c>
    </row>
    <row r="198" spans="1:2" x14ac:dyDescent="0.25">
      <c r="A198" s="18">
        <v>118</v>
      </c>
      <c r="B198" s="18">
        <v>6.69E-4</v>
      </c>
    </row>
    <row r="199" spans="1:2" x14ac:dyDescent="0.25">
      <c r="A199" s="18">
        <v>119</v>
      </c>
      <c r="B199" s="18">
        <v>5.2099999999999998E-4</v>
      </c>
    </row>
    <row r="200" spans="1:2" x14ac:dyDescent="0.25">
      <c r="A200" s="18">
        <v>119</v>
      </c>
      <c r="B200" s="18">
        <v>3.8299999999999999E-4</v>
      </c>
    </row>
    <row r="201" spans="1:2" x14ac:dyDescent="0.25">
      <c r="A201" s="18">
        <v>120</v>
      </c>
      <c r="B201" s="18">
        <v>2.0100000000000001E-4</v>
      </c>
    </row>
    <row r="202" spans="1:2" x14ac:dyDescent="0.25">
      <c r="A202" s="18">
        <v>120</v>
      </c>
      <c r="B202" s="18">
        <v>3.2100000000000001E-5</v>
      </c>
    </row>
    <row r="203" spans="1:2" x14ac:dyDescent="0.25">
      <c r="A203" s="18">
        <v>121</v>
      </c>
      <c r="B203" s="18">
        <v>6.4799999999999998E-6</v>
      </c>
    </row>
    <row r="204" spans="1:2" x14ac:dyDescent="0.25">
      <c r="A204" s="18">
        <v>121</v>
      </c>
      <c r="B204" s="18">
        <v>4.7099999999999998E-6</v>
      </c>
    </row>
    <row r="205" spans="1:2" x14ac:dyDescent="0.25">
      <c r="A205" s="18">
        <v>122</v>
      </c>
      <c r="B205" s="18">
        <v>8.2300000000000008E-6</v>
      </c>
    </row>
    <row r="206" spans="1:2" x14ac:dyDescent="0.25">
      <c r="A206" s="18">
        <v>122</v>
      </c>
      <c r="B206" s="18">
        <v>6.9199999999999998E-6</v>
      </c>
    </row>
  </sheetData>
  <pageMargins left="0.7" right="0.7" top="0.75" bottom="0.75" header="0.3" footer="0.3"/>
  <pageSetup paperSize="9" orientation="portrait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dimension ref="A1:B222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1.6699999999999999E-4</v>
      </c>
    </row>
    <row r="3" spans="1:2" x14ac:dyDescent="0.25">
      <c r="A3" s="18">
        <v>8.1999999999999993</v>
      </c>
      <c r="B3" s="18">
        <v>1.01E-4</v>
      </c>
    </row>
    <row r="4" spans="1:2" x14ac:dyDescent="0.25">
      <c r="A4" s="18">
        <v>8.4</v>
      </c>
      <c r="B4" s="18">
        <v>1.5200000000000001E-4</v>
      </c>
    </row>
    <row r="5" spans="1:2" x14ac:dyDescent="0.25">
      <c r="A5" s="18">
        <v>8.6</v>
      </c>
      <c r="B5" s="18">
        <v>1.37E-4</v>
      </c>
    </row>
    <row r="6" spans="1:2" x14ac:dyDescent="0.25">
      <c r="A6" s="18">
        <v>8.8000000000000007</v>
      </c>
      <c r="B6" s="18">
        <v>2.63E-4</v>
      </c>
    </row>
    <row r="7" spans="1:2" x14ac:dyDescent="0.25">
      <c r="A7" s="18">
        <v>9</v>
      </c>
      <c r="B7" s="18">
        <v>1.15E-4</v>
      </c>
    </row>
    <row r="8" spans="1:2" x14ac:dyDescent="0.25">
      <c r="A8" s="18">
        <v>9.1999999999999993</v>
      </c>
      <c r="B8" s="18">
        <v>3.8800000000000001E-5</v>
      </c>
    </row>
    <row r="9" spans="1:2" x14ac:dyDescent="0.25">
      <c r="A9" s="18">
        <v>9.4</v>
      </c>
      <c r="B9" s="18">
        <v>1.47E-4</v>
      </c>
    </row>
    <row r="10" spans="1:2" x14ac:dyDescent="0.25">
      <c r="A10" s="18">
        <v>9.6</v>
      </c>
      <c r="B10" s="18">
        <v>1.13E-4</v>
      </c>
    </row>
    <row r="11" spans="1:2" x14ac:dyDescent="0.25">
      <c r="A11" s="18">
        <v>9.8000000000000007</v>
      </c>
      <c r="B11" s="18">
        <v>2.14E-4</v>
      </c>
    </row>
    <row r="12" spans="1:2" x14ac:dyDescent="0.25">
      <c r="A12" s="18">
        <v>10</v>
      </c>
      <c r="B12" s="18">
        <v>3.2000000000000003E-4</v>
      </c>
    </row>
    <row r="13" spans="1:2" x14ac:dyDescent="0.25">
      <c r="A13" s="18">
        <v>10.199999999999999</v>
      </c>
      <c r="B13" s="18">
        <v>2.6600000000000001E-4</v>
      </c>
    </row>
    <row r="14" spans="1:2" x14ac:dyDescent="0.25">
      <c r="A14" s="18">
        <v>10.4</v>
      </c>
      <c r="B14" s="18">
        <v>1.7899999999999999E-4</v>
      </c>
    </row>
    <row r="15" spans="1:2" x14ac:dyDescent="0.25">
      <c r="A15" s="18">
        <v>10.6</v>
      </c>
      <c r="B15" s="18">
        <v>2.2499999999999999E-4</v>
      </c>
    </row>
    <row r="16" spans="1:2" x14ac:dyDescent="0.25">
      <c r="A16" s="18">
        <v>10.8</v>
      </c>
      <c r="B16" s="18">
        <v>2.6899999999999998E-4</v>
      </c>
    </row>
    <row r="17" spans="1:2" x14ac:dyDescent="0.25">
      <c r="A17" s="18">
        <v>11</v>
      </c>
      <c r="B17" s="18">
        <v>1.54E-4</v>
      </c>
    </row>
    <row r="18" spans="1:2" x14ac:dyDescent="0.25">
      <c r="A18" s="18">
        <v>11.2</v>
      </c>
      <c r="B18" s="18">
        <v>3.8200000000000002E-4</v>
      </c>
    </row>
    <row r="19" spans="1:2" x14ac:dyDescent="0.25">
      <c r="A19" s="18">
        <v>11.4</v>
      </c>
      <c r="B19" s="18">
        <v>1.1400000000000001E-4</v>
      </c>
    </row>
    <row r="20" spans="1:2" x14ac:dyDescent="0.25">
      <c r="A20" s="18">
        <v>11.6</v>
      </c>
      <c r="B20" s="18">
        <v>2.2800000000000001E-4</v>
      </c>
    </row>
    <row r="21" spans="1:2" x14ac:dyDescent="0.25">
      <c r="A21" s="18">
        <v>11.8</v>
      </c>
      <c r="B21" s="18">
        <v>3.0200000000000002E-4</v>
      </c>
    </row>
    <row r="22" spans="1:2" x14ac:dyDescent="0.25">
      <c r="A22" s="18">
        <v>12</v>
      </c>
      <c r="B22" s="18">
        <v>1.3799999999999999E-4</v>
      </c>
    </row>
    <row r="23" spans="1:2" x14ac:dyDescent="0.25">
      <c r="A23" s="18">
        <v>12.2</v>
      </c>
      <c r="B23" s="18">
        <v>3.6699999999999998E-4</v>
      </c>
    </row>
    <row r="24" spans="1:2" x14ac:dyDescent="0.25">
      <c r="A24" s="18">
        <v>12.4</v>
      </c>
      <c r="B24" s="18">
        <v>2.0100000000000001E-4</v>
      </c>
    </row>
    <row r="25" spans="1:2" x14ac:dyDescent="0.25">
      <c r="A25" s="18">
        <v>12.6</v>
      </c>
      <c r="B25" s="18">
        <v>1.36E-4</v>
      </c>
    </row>
    <row r="26" spans="1:2" x14ac:dyDescent="0.25">
      <c r="A26" s="18">
        <v>12.8</v>
      </c>
      <c r="B26" s="18">
        <v>2.0599999999999999E-4</v>
      </c>
    </row>
    <row r="27" spans="1:2" x14ac:dyDescent="0.25">
      <c r="A27" s="18">
        <v>13</v>
      </c>
      <c r="B27" s="18">
        <v>2.5599999999999999E-4</v>
      </c>
    </row>
    <row r="28" spans="1:2" x14ac:dyDescent="0.25">
      <c r="A28" s="18">
        <v>13.2</v>
      </c>
      <c r="B28" s="18">
        <v>1.83E-4</v>
      </c>
    </row>
    <row r="29" spans="1:2" x14ac:dyDescent="0.25">
      <c r="A29" s="18">
        <v>13.4</v>
      </c>
      <c r="B29" s="18">
        <v>3.1399999999999999E-4</v>
      </c>
    </row>
    <row r="30" spans="1:2" x14ac:dyDescent="0.25">
      <c r="A30" s="18">
        <v>13.6</v>
      </c>
      <c r="B30" s="18">
        <v>4.1999999999999998E-5</v>
      </c>
    </row>
    <row r="31" spans="1:2" x14ac:dyDescent="0.25">
      <c r="A31" s="18">
        <v>13.8</v>
      </c>
      <c r="B31" s="18">
        <v>3.48E-4</v>
      </c>
    </row>
    <row r="32" spans="1:2" x14ac:dyDescent="0.25">
      <c r="A32" s="18">
        <v>14</v>
      </c>
      <c r="B32" s="18">
        <v>5.6100000000000002E-5</v>
      </c>
    </row>
    <row r="33" spans="1:2" x14ac:dyDescent="0.25">
      <c r="A33" s="18">
        <v>14.2</v>
      </c>
      <c r="B33" s="18">
        <v>2.4899999999999998E-4</v>
      </c>
    </row>
    <row r="34" spans="1:2" x14ac:dyDescent="0.25">
      <c r="A34" s="18">
        <v>14.4</v>
      </c>
      <c r="B34" s="18">
        <v>2.32E-4</v>
      </c>
    </row>
    <row r="35" spans="1:2" x14ac:dyDescent="0.25">
      <c r="A35" s="18">
        <v>14.6</v>
      </c>
      <c r="B35" s="18">
        <v>1.3100000000000001E-4</v>
      </c>
    </row>
    <row r="36" spans="1:2" x14ac:dyDescent="0.25">
      <c r="A36" s="18">
        <v>14.8</v>
      </c>
      <c r="B36" s="18">
        <v>1.8799999999999999E-4</v>
      </c>
    </row>
    <row r="37" spans="1:2" x14ac:dyDescent="0.25">
      <c r="A37" s="18">
        <v>15</v>
      </c>
      <c r="B37" s="18">
        <v>3.77E-4</v>
      </c>
    </row>
    <row r="38" spans="1:2" x14ac:dyDescent="0.25">
      <c r="A38" s="18">
        <v>15.2</v>
      </c>
      <c r="B38" s="18">
        <v>5.0300000000000003E-5</v>
      </c>
    </row>
    <row r="39" spans="1:2" x14ac:dyDescent="0.25">
      <c r="A39" s="18">
        <v>15.4</v>
      </c>
      <c r="B39" s="18">
        <v>2.8800000000000001E-4</v>
      </c>
    </row>
    <row r="40" spans="1:2" x14ac:dyDescent="0.25">
      <c r="A40" s="18">
        <v>15.6</v>
      </c>
      <c r="B40" s="18">
        <v>2.2699999999999999E-4</v>
      </c>
    </row>
    <row r="41" spans="1:2" x14ac:dyDescent="0.25">
      <c r="A41" s="18">
        <v>15.8</v>
      </c>
      <c r="B41" s="18">
        <v>2.72E-4</v>
      </c>
    </row>
    <row r="42" spans="1:2" x14ac:dyDescent="0.25">
      <c r="A42" s="18">
        <v>16</v>
      </c>
      <c r="B42" s="18">
        <v>3.2899999999999997E-4</v>
      </c>
    </row>
    <row r="43" spans="1:2" x14ac:dyDescent="0.25">
      <c r="A43" s="18">
        <v>16.2</v>
      </c>
      <c r="B43" s="18">
        <v>2.7E-4</v>
      </c>
    </row>
    <row r="44" spans="1:2" x14ac:dyDescent="0.25">
      <c r="A44" s="18">
        <v>16.399999999999999</v>
      </c>
      <c r="B44" s="18">
        <v>5.0299999999999997E-4</v>
      </c>
    </row>
    <row r="45" spans="1:2" x14ac:dyDescent="0.25">
      <c r="A45" s="18">
        <v>16.600000000000001</v>
      </c>
      <c r="B45" s="18">
        <v>3.9899999999999999E-4</v>
      </c>
    </row>
    <row r="46" spans="1:2" x14ac:dyDescent="0.25">
      <c r="A46" s="18">
        <v>16.8</v>
      </c>
      <c r="B46" s="18">
        <v>5.4600000000000004E-4</v>
      </c>
    </row>
    <row r="47" spans="1:2" x14ac:dyDescent="0.25">
      <c r="A47" s="18">
        <v>17</v>
      </c>
      <c r="B47" s="18">
        <v>5.8799999999999998E-4</v>
      </c>
    </row>
    <row r="48" spans="1:2" x14ac:dyDescent="0.25">
      <c r="A48" s="18">
        <v>17.2</v>
      </c>
      <c r="B48" s="18">
        <v>7.36E-4</v>
      </c>
    </row>
    <row r="49" spans="1:2" x14ac:dyDescent="0.25">
      <c r="A49" s="18">
        <v>17.399999999999999</v>
      </c>
      <c r="B49" s="18">
        <v>8.4500000000000005E-4</v>
      </c>
    </row>
    <row r="50" spans="1:2" x14ac:dyDescent="0.25">
      <c r="A50" s="18">
        <v>17.600000000000001</v>
      </c>
      <c r="B50" s="18">
        <v>1.08E-3</v>
      </c>
    </row>
    <row r="51" spans="1:2" x14ac:dyDescent="0.25">
      <c r="A51" s="18">
        <v>17.8</v>
      </c>
      <c r="B51" s="18">
        <v>1.09E-3</v>
      </c>
    </row>
    <row r="52" spans="1:2" x14ac:dyDescent="0.25">
      <c r="A52" s="18">
        <v>18</v>
      </c>
      <c r="B52" s="18">
        <v>1.25E-3</v>
      </c>
    </row>
    <row r="53" spans="1:2" x14ac:dyDescent="0.25">
      <c r="A53" s="18">
        <v>18.2</v>
      </c>
      <c r="B53" s="18">
        <v>1.49E-3</v>
      </c>
    </row>
    <row r="54" spans="1:2" x14ac:dyDescent="0.25">
      <c r="A54" s="18">
        <v>18.399999999999999</v>
      </c>
      <c r="B54" s="18">
        <v>1.6199999999999999E-3</v>
      </c>
    </row>
    <row r="55" spans="1:2" x14ac:dyDescent="0.25">
      <c r="A55" s="18">
        <v>18.600000000000001</v>
      </c>
      <c r="B55" s="18">
        <v>1.73E-3</v>
      </c>
    </row>
    <row r="56" spans="1:2" x14ac:dyDescent="0.25">
      <c r="A56" s="18">
        <v>18.8</v>
      </c>
      <c r="B56" s="18">
        <v>1.9599999999999999E-3</v>
      </c>
    </row>
    <row r="57" spans="1:2" x14ac:dyDescent="0.25">
      <c r="A57" s="18">
        <v>19</v>
      </c>
      <c r="B57" s="18">
        <v>2.1900000000000001E-3</v>
      </c>
    </row>
    <row r="58" spans="1:2" x14ac:dyDescent="0.25">
      <c r="A58" s="18">
        <v>19.2</v>
      </c>
      <c r="B58" s="18">
        <v>2.4499999999999999E-3</v>
      </c>
    </row>
    <row r="59" spans="1:2" x14ac:dyDescent="0.25">
      <c r="A59" s="18">
        <v>19.399999999999999</v>
      </c>
      <c r="B59" s="18">
        <v>2.5799999999999998E-3</v>
      </c>
    </row>
    <row r="60" spans="1:2" x14ac:dyDescent="0.25">
      <c r="A60" s="18">
        <v>19.600000000000001</v>
      </c>
      <c r="B60" s="18">
        <v>3.0000000000000001E-3</v>
      </c>
    </row>
    <row r="61" spans="1:2" x14ac:dyDescent="0.25">
      <c r="A61" s="18">
        <v>19.8</v>
      </c>
      <c r="B61" s="18">
        <v>3.0400000000000002E-3</v>
      </c>
    </row>
    <row r="62" spans="1:2" x14ac:dyDescent="0.25">
      <c r="A62" s="18">
        <v>20</v>
      </c>
      <c r="B62" s="18">
        <v>3.5000000000000001E-3</v>
      </c>
    </row>
    <row r="63" spans="1:2" x14ac:dyDescent="0.25">
      <c r="A63" s="18">
        <v>20.2</v>
      </c>
      <c r="B63" s="18">
        <v>3.65E-3</v>
      </c>
    </row>
    <row r="64" spans="1:2" x14ac:dyDescent="0.25">
      <c r="A64" s="18">
        <v>20.399999999999999</v>
      </c>
      <c r="B64" s="18">
        <v>3.9500000000000004E-3</v>
      </c>
    </row>
    <row r="65" spans="1:2" x14ac:dyDescent="0.25">
      <c r="A65" s="18">
        <v>20.6</v>
      </c>
      <c r="B65" s="18">
        <v>4.2300000000000003E-3</v>
      </c>
    </row>
    <row r="66" spans="1:2" x14ac:dyDescent="0.25">
      <c r="A66" s="18">
        <v>20.8</v>
      </c>
      <c r="B66" s="18">
        <v>4.4900000000000001E-3</v>
      </c>
    </row>
    <row r="67" spans="1:2" x14ac:dyDescent="0.25">
      <c r="A67" s="18">
        <v>21</v>
      </c>
      <c r="B67" s="18">
        <v>4.8599999999999997E-3</v>
      </c>
    </row>
    <row r="68" spans="1:2" x14ac:dyDescent="0.25">
      <c r="A68" s="18">
        <v>21.2</v>
      </c>
      <c r="B68" s="18">
        <v>4.9100000000000003E-3</v>
      </c>
    </row>
    <row r="69" spans="1:2" x14ac:dyDescent="0.25">
      <c r="A69" s="18">
        <v>21.4</v>
      </c>
      <c r="B69" s="18">
        <v>5.4299999999999999E-3</v>
      </c>
    </row>
    <row r="70" spans="1:2" x14ac:dyDescent="0.25">
      <c r="A70" s="18">
        <v>21.6</v>
      </c>
      <c r="B70" s="18">
        <v>5.6100000000000004E-3</v>
      </c>
    </row>
    <row r="71" spans="1:2" x14ac:dyDescent="0.25">
      <c r="A71" s="18">
        <v>21.8</v>
      </c>
      <c r="B71" s="18">
        <v>5.9100000000000003E-3</v>
      </c>
    </row>
    <row r="72" spans="1:2" x14ac:dyDescent="0.25">
      <c r="A72" s="18">
        <v>22</v>
      </c>
      <c r="B72" s="18">
        <v>6.1799999999999997E-3</v>
      </c>
    </row>
    <row r="73" spans="1:2" x14ac:dyDescent="0.25">
      <c r="A73" s="18">
        <v>22.2</v>
      </c>
      <c r="B73" s="18">
        <v>6.4799999999999996E-3</v>
      </c>
    </row>
    <row r="74" spans="1:2" x14ac:dyDescent="0.25">
      <c r="A74" s="18">
        <v>22.4</v>
      </c>
      <c r="B74" s="18">
        <v>6.79E-3</v>
      </c>
    </row>
    <row r="75" spans="1:2" x14ac:dyDescent="0.25">
      <c r="A75" s="18">
        <v>22.6</v>
      </c>
      <c r="B75" s="18">
        <v>6.8199999999999997E-3</v>
      </c>
    </row>
    <row r="76" spans="1:2" x14ac:dyDescent="0.25">
      <c r="A76" s="18">
        <v>22.8</v>
      </c>
      <c r="B76" s="18">
        <v>7.4099999999999999E-3</v>
      </c>
    </row>
    <row r="77" spans="1:2" x14ac:dyDescent="0.25">
      <c r="A77" s="18">
        <v>23</v>
      </c>
      <c r="B77" s="18">
        <v>7.3600000000000002E-3</v>
      </c>
    </row>
    <row r="78" spans="1:2" x14ac:dyDescent="0.25">
      <c r="A78" s="18">
        <v>23.2</v>
      </c>
      <c r="B78" s="18">
        <v>7.79E-3</v>
      </c>
    </row>
    <row r="79" spans="1:2" x14ac:dyDescent="0.25">
      <c r="A79" s="18">
        <v>23.4</v>
      </c>
      <c r="B79" s="18">
        <v>7.8399999999999997E-3</v>
      </c>
    </row>
    <row r="80" spans="1:2" x14ac:dyDescent="0.25">
      <c r="A80" s="18">
        <v>23.6</v>
      </c>
      <c r="B80" s="18">
        <v>8.3300000000000006E-3</v>
      </c>
    </row>
    <row r="81" spans="1:2" x14ac:dyDescent="0.25">
      <c r="A81" s="18">
        <v>23.8</v>
      </c>
      <c r="B81" s="18">
        <v>8.3999999999999995E-3</v>
      </c>
    </row>
    <row r="82" spans="1:2" x14ac:dyDescent="0.25">
      <c r="A82" s="18">
        <v>24</v>
      </c>
      <c r="B82" s="18">
        <v>8.5400000000000007E-3</v>
      </c>
    </row>
    <row r="83" spans="1:2" x14ac:dyDescent="0.25">
      <c r="A83" s="18">
        <v>24.2</v>
      </c>
      <c r="B83" s="18">
        <v>8.9200000000000008E-3</v>
      </c>
    </row>
    <row r="84" spans="1:2" x14ac:dyDescent="0.25">
      <c r="A84" s="18">
        <v>24.4</v>
      </c>
      <c r="B84" s="18">
        <v>8.9099999999999995E-3</v>
      </c>
    </row>
    <row r="85" spans="1:2" x14ac:dyDescent="0.25">
      <c r="A85" s="18">
        <v>24.6</v>
      </c>
      <c r="B85" s="18">
        <v>9.2200000000000008E-3</v>
      </c>
    </row>
    <row r="86" spans="1:2" x14ac:dyDescent="0.25">
      <c r="A86" s="18">
        <v>24.8</v>
      </c>
      <c r="B86" s="18">
        <v>9.2999999999999992E-3</v>
      </c>
    </row>
    <row r="87" spans="1:2" x14ac:dyDescent="0.25">
      <c r="A87" s="18">
        <v>25</v>
      </c>
      <c r="B87" s="18">
        <v>9.4599999999999997E-3</v>
      </c>
    </row>
    <row r="88" spans="1:2" x14ac:dyDescent="0.25">
      <c r="A88" s="18">
        <v>25.2</v>
      </c>
      <c r="B88" s="18">
        <v>9.7599999999999996E-3</v>
      </c>
    </row>
    <row r="89" spans="1:2" x14ac:dyDescent="0.25">
      <c r="A89" s="18">
        <v>25.4</v>
      </c>
      <c r="B89" s="18">
        <v>9.6900000000000007E-3</v>
      </c>
    </row>
    <row r="90" spans="1:2" x14ac:dyDescent="0.25">
      <c r="A90" s="18">
        <v>25.6</v>
      </c>
      <c r="B90" s="18">
        <v>0.01</v>
      </c>
    </row>
    <row r="91" spans="1:2" x14ac:dyDescent="0.25">
      <c r="A91" s="18">
        <v>25.8</v>
      </c>
      <c r="B91" s="18">
        <v>1.01E-2</v>
      </c>
    </row>
    <row r="92" spans="1:2" x14ac:dyDescent="0.25">
      <c r="A92" s="18">
        <v>26</v>
      </c>
      <c r="B92" s="18">
        <v>0.01</v>
      </c>
    </row>
    <row r="93" spans="1:2" x14ac:dyDescent="0.25">
      <c r="A93" s="18">
        <v>26.2</v>
      </c>
      <c r="B93" s="18">
        <v>1.03E-2</v>
      </c>
    </row>
    <row r="94" spans="1:2" x14ac:dyDescent="0.25">
      <c r="A94" s="18">
        <v>26.4</v>
      </c>
      <c r="B94" s="18">
        <v>1.0200000000000001E-2</v>
      </c>
    </row>
    <row r="95" spans="1:2" x14ac:dyDescent="0.25">
      <c r="A95" s="18">
        <v>26.6</v>
      </c>
      <c r="B95" s="18">
        <v>1.0500000000000001E-2</v>
      </c>
    </row>
    <row r="96" spans="1:2" x14ac:dyDescent="0.25">
      <c r="A96" s="18">
        <v>26.8</v>
      </c>
      <c r="B96" s="18">
        <v>1.0200000000000001E-2</v>
      </c>
    </row>
    <row r="97" spans="1:2" x14ac:dyDescent="0.25">
      <c r="A97" s="18">
        <v>27</v>
      </c>
      <c r="B97" s="18">
        <v>1.06E-2</v>
      </c>
    </row>
    <row r="98" spans="1:2" x14ac:dyDescent="0.25">
      <c r="A98" s="18">
        <v>27.2</v>
      </c>
      <c r="B98" s="18">
        <v>1.0500000000000001E-2</v>
      </c>
    </row>
    <row r="99" spans="1:2" x14ac:dyDescent="0.25">
      <c r="A99" s="18">
        <v>27.4</v>
      </c>
      <c r="B99" s="18">
        <v>1.06E-2</v>
      </c>
    </row>
    <row r="100" spans="1:2" x14ac:dyDescent="0.25">
      <c r="A100" s="18">
        <v>27.6</v>
      </c>
      <c r="B100" s="18">
        <v>1.0699999999999999E-2</v>
      </c>
    </row>
    <row r="101" spans="1:2" x14ac:dyDescent="0.25">
      <c r="A101" s="18">
        <v>27.8</v>
      </c>
      <c r="B101" s="18">
        <v>1.0699999999999999E-2</v>
      </c>
    </row>
    <row r="102" spans="1:2" x14ac:dyDescent="0.25">
      <c r="A102" s="18">
        <v>28</v>
      </c>
      <c r="B102" s="18">
        <v>1.0500000000000001E-2</v>
      </c>
    </row>
    <row r="103" spans="1:2" x14ac:dyDescent="0.25">
      <c r="A103" s="18">
        <v>28.2</v>
      </c>
      <c r="B103" s="18">
        <v>1.09E-2</v>
      </c>
    </row>
    <row r="104" spans="1:2" x14ac:dyDescent="0.25">
      <c r="A104" s="18">
        <v>28.4</v>
      </c>
      <c r="B104" s="18">
        <v>1.04E-2</v>
      </c>
    </row>
    <row r="105" spans="1:2" x14ac:dyDescent="0.25">
      <c r="A105" s="18">
        <v>28.6</v>
      </c>
      <c r="B105" s="18">
        <v>1.0800000000000001E-2</v>
      </c>
    </row>
    <row r="106" spans="1:2" x14ac:dyDescent="0.25">
      <c r="A106" s="18">
        <v>28.8</v>
      </c>
      <c r="B106" s="18">
        <v>1.04E-2</v>
      </c>
    </row>
    <row r="107" spans="1:2" x14ac:dyDescent="0.25">
      <c r="A107" s="18">
        <v>29</v>
      </c>
      <c r="B107" s="18">
        <v>1.06E-2</v>
      </c>
    </row>
    <row r="108" spans="1:2" x14ac:dyDescent="0.25">
      <c r="A108" s="18">
        <v>29.2</v>
      </c>
      <c r="B108" s="18">
        <v>1.0699999999999999E-2</v>
      </c>
    </row>
    <row r="109" spans="1:2" x14ac:dyDescent="0.25">
      <c r="A109" s="18">
        <v>29.4</v>
      </c>
      <c r="B109" s="18">
        <v>1.03E-2</v>
      </c>
    </row>
    <row r="110" spans="1:2" x14ac:dyDescent="0.25">
      <c r="A110" s="18">
        <v>29.6</v>
      </c>
      <c r="B110" s="18">
        <v>1.0699999999999999E-2</v>
      </c>
    </row>
    <row r="111" spans="1:2" x14ac:dyDescent="0.25">
      <c r="A111" s="18">
        <v>29.8</v>
      </c>
      <c r="B111" s="18">
        <v>1.03E-2</v>
      </c>
    </row>
    <row r="112" spans="1:2" x14ac:dyDescent="0.25">
      <c r="A112" s="18">
        <v>30</v>
      </c>
      <c r="B112" s="18">
        <v>1.04E-2</v>
      </c>
    </row>
    <row r="113" spans="1:2" x14ac:dyDescent="0.25">
      <c r="A113" s="18">
        <v>30.2</v>
      </c>
      <c r="B113" s="18">
        <v>1.03E-2</v>
      </c>
    </row>
    <row r="114" spans="1:2" x14ac:dyDescent="0.25">
      <c r="A114" s="18">
        <v>30.4</v>
      </c>
      <c r="B114" s="18">
        <v>1.03E-2</v>
      </c>
    </row>
    <row r="115" spans="1:2" x14ac:dyDescent="0.25">
      <c r="A115" s="18">
        <v>30.6</v>
      </c>
      <c r="B115" s="18">
        <v>1.01E-2</v>
      </c>
    </row>
    <row r="116" spans="1:2" x14ac:dyDescent="0.25">
      <c r="A116" s="18">
        <v>30.8</v>
      </c>
      <c r="B116" s="18">
        <v>1.04E-2</v>
      </c>
    </row>
    <row r="117" spans="1:2" x14ac:dyDescent="0.25">
      <c r="A117" s="18">
        <v>31</v>
      </c>
      <c r="B117" s="18">
        <v>9.9799999999999993E-3</v>
      </c>
    </row>
    <row r="118" spans="1:2" x14ac:dyDescent="0.25">
      <c r="A118" s="18">
        <v>31.2</v>
      </c>
      <c r="B118" s="18">
        <v>0.01</v>
      </c>
    </row>
    <row r="119" spans="1:2" x14ac:dyDescent="0.25">
      <c r="A119" s="18">
        <v>31.4</v>
      </c>
      <c r="B119" s="18">
        <v>9.8099999999999993E-3</v>
      </c>
    </row>
    <row r="120" spans="1:2" x14ac:dyDescent="0.25">
      <c r="A120" s="18">
        <v>31.6</v>
      </c>
      <c r="B120" s="18">
        <v>9.9100000000000004E-3</v>
      </c>
    </row>
    <row r="121" spans="1:2" x14ac:dyDescent="0.25">
      <c r="A121" s="18">
        <v>31.8</v>
      </c>
      <c r="B121" s="18">
        <v>9.7900000000000001E-3</v>
      </c>
    </row>
    <row r="122" spans="1:2" x14ac:dyDescent="0.25">
      <c r="A122" s="18">
        <v>32</v>
      </c>
      <c r="B122" s="18">
        <v>9.4999999999999998E-3</v>
      </c>
    </row>
    <row r="123" spans="1:2" x14ac:dyDescent="0.25">
      <c r="A123" s="18">
        <v>32.200000000000003</v>
      </c>
      <c r="B123" s="18">
        <v>9.6699999999999998E-3</v>
      </c>
    </row>
    <row r="124" spans="1:2" x14ac:dyDescent="0.25">
      <c r="A124" s="18">
        <v>32.4</v>
      </c>
      <c r="B124" s="18">
        <v>9.4500000000000001E-3</v>
      </c>
    </row>
    <row r="125" spans="1:2" x14ac:dyDescent="0.25">
      <c r="A125" s="18">
        <v>32.6</v>
      </c>
      <c r="B125" s="18">
        <v>9.4599999999999997E-3</v>
      </c>
    </row>
    <row r="126" spans="1:2" x14ac:dyDescent="0.25">
      <c r="A126" s="18">
        <v>32.799999999999997</v>
      </c>
      <c r="B126" s="18">
        <v>9.1000000000000004E-3</v>
      </c>
    </row>
    <row r="127" spans="1:2" x14ac:dyDescent="0.25">
      <c r="A127" s="18">
        <v>33</v>
      </c>
      <c r="B127" s="18">
        <v>9.4699999999999993E-3</v>
      </c>
    </row>
    <row r="128" spans="1:2" x14ac:dyDescent="0.25">
      <c r="A128" s="18">
        <v>33.200000000000003</v>
      </c>
      <c r="B128" s="18">
        <v>8.9599999999999992E-3</v>
      </c>
    </row>
    <row r="129" spans="1:2" x14ac:dyDescent="0.25">
      <c r="A129" s="18">
        <v>33.4</v>
      </c>
      <c r="B129" s="18">
        <v>9.1800000000000007E-3</v>
      </c>
    </row>
    <row r="130" spans="1:2" x14ac:dyDescent="0.25">
      <c r="A130" s="18">
        <v>33.6</v>
      </c>
      <c r="B130" s="18">
        <v>8.8199999999999997E-3</v>
      </c>
    </row>
    <row r="131" spans="1:2" x14ac:dyDescent="0.25">
      <c r="A131" s="18">
        <v>33.799999999999997</v>
      </c>
      <c r="B131" s="18">
        <v>8.8000000000000005E-3</v>
      </c>
    </row>
    <row r="132" spans="1:2" x14ac:dyDescent="0.25">
      <c r="A132" s="18">
        <v>34</v>
      </c>
      <c r="B132" s="18">
        <v>8.8100000000000001E-3</v>
      </c>
    </row>
    <row r="133" spans="1:2" x14ac:dyDescent="0.25">
      <c r="A133" s="18">
        <v>34.200000000000003</v>
      </c>
      <c r="B133" s="18">
        <v>8.4499999999999992E-3</v>
      </c>
    </row>
    <row r="134" spans="1:2" x14ac:dyDescent="0.25">
      <c r="A134" s="18">
        <v>34.4</v>
      </c>
      <c r="B134" s="18">
        <v>8.5699999999999995E-3</v>
      </c>
    </row>
    <row r="135" spans="1:2" x14ac:dyDescent="0.25">
      <c r="A135" s="18">
        <v>34.6</v>
      </c>
      <c r="B135" s="18">
        <v>8.3300000000000006E-3</v>
      </c>
    </row>
    <row r="136" spans="1:2" x14ac:dyDescent="0.25">
      <c r="A136" s="18">
        <v>34.799999999999997</v>
      </c>
      <c r="B136" s="18">
        <v>8.2000000000000007E-3</v>
      </c>
    </row>
    <row r="137" spans="1:2" x14ac:dyDescent="0.25">
      <c r="A137" s="18">
        <v>35</v>
      </c>
      <c r="B137" s="18">
        <v>8.2500000000000004E-3</v>
      </c>
    </row>
    <row r="138" spans="1:2" x14ac:dyDescent="0.25">
      <c r="A138" s="18">
        <v>35.200000000000003</v>
      </c>
      <c r="B138" s="18">
        <v>7.9799999999999992E-3</v>
      </c>
    </row>
    <row r="139" spans="1:2" x14ac:dyDescent="0.25">
      <c r="A139" s="18">
        <v>35.4</v>
      </c>
      <c r="B139" s="18">
        <v>7.9100000000000004E-3</v>
      </c>
    </row>
    <row r="140" spans="1:2" x14ac:dyDescent="0.25">
      <c r="A140" s="18">
        <v>35.6</v>
      </c>
      <c r="B140" s="18">
        <v>7.7099999999999998E-3</v>
      </c>
    </row>
    <row r="141" spans="1:2" x14ac:dyDescent="0.25">
      <c r="A141" s="18">
        <v>35.799999999999997</v>
      </c>
      <c r="B141" s="18">
        <v>7.7299999999999999E-3</v>
      </c>
    </row>
    <row r="142" spans="1:2" x14ac:dyDescent="0.25">
      <c r="A142" s="18">
        <v>36</v>
      </c>
      <c r="B142" s="18">
        <v>7.5100000000000002E-3</v>
      </c>
    </row>
    <row r="143" spans="1:2" x14ac:dyDescent="0.25">
      <c r="A143" s="18">
        <v>36.200000000000003</v>
      </c>
      <c r="B143" s="18">
        <v>7.4099999999999999E-3</v>
      </c>
    </row>
    <row r="144" spans="1:2" x14ac:dyDescent="0.25">
      <c r="A144" s="18">
        <v>36.4</v>
      </c>
      <c r="B144" s="18">
        <v>7.3499999999999998E-3</v>
      </c>
    </row>
    <row r="145" spans="1:2" x14ac:dyDescent="0.25">
      <c r="A145" s="18">
        <v>36.6</v>
      </c>
      <c r="B145" s="18">
        <v>7.0899999999999999E-3</v>
      </c>
    </row>
    <row r="146" spans="1:2" x14ac:dyDescent="0.25">
      <c r="A146" s="18">
        <v>36.799999999999997</v>
      </c>
      <c r="B146" s="18">
        <v>7.1900000000000002E-3</v>
      </c>
    </row>
    <row r="147" spans="1:2" x14ac:dyDescent="0.25">
      <c r="A147" s="18">
        <v>37</v>
      </c>
      <c r="B147" s="18">
        <v>6.8500000000000002E-3</v>
      </c>
    </row>
    <row r="148" spans="1:2" x14ac:dyDescent="0.25">
      <c r="A148" s="18">
        <v>37.200000000000003</v>
      </c>
      <c r="B148" s="18">
        <v>6.8700000000000002E-3</v>
      </c>
    </row>
    <row r="149" spans="1:2" x14ac:dyDescent="0.25">
      <c r="A149" s="18">
        <v>37.4</v>
      </c>
      <c r="B149" s="18">
        <v>6.7200000000000003E-3</v>
      </c>
    </row>
    <row r="150" spans="1:2" x14ac:dyDescent="0.25">
      <c r="A150" s="18">
        <v>37.6</v>
      </c>
      <c r="B150" s="18">
        <v>6.5900000000000004E-3</v>
      </c>
    </row>
    <row r="151" spans="1:2" x14ac:dyDescent="0.25">
      <c r="A151" s="18">
        <v>37.799999999999997</v>
      </c>
      <c r="B151" s="18">
        <v>6.4200000000000004E-3</v>
      </c>
    </row>
    <row r="152" spans="1:2" x14ac:dyDescent="0.25">
      <c r="A152" s="18">
        <v>38</v>
      </c>
      <c r="B152" s="18">
        <v>6.3800000000000003E-3</v>
      </c>
    </row>
    <row r="153" spans="1:2" x14ac:dyDescent="0.25">
      <c r="A153" s="18">
        <v>38.200000000000003</v>
      </c>
      <c r="B153" s="18">
        <v>6.2100000000000002E-3</v>
      </c>
    </row>
    <row r="154" spans="1:2" x14ac:dyDescent="0.25">
      <c r="A154" s="18">
        <v>38.4</v>
      </c>
      <c r="B154" s="18">
        <v>6.2399999999999999E-3</v>
      </c>
    </row>
    <row r="155" spans="1:2" x14ac:dyDescent="0.25">
      <c r="A155" s="18">
        <v>38.6</v>
      </c>
      <c r="B155" s="18">
        <v>5.9699999999999996E-3</v>
      </c>
    </row>
    <row r="156" spans="1:2" x14ac:dyDescent="0.25">
      <c r="A156" s="18">
        <v>38.799999999999997</v>
      </c>
      <c r="B156" s="18">
        <v>5.7499999999999999E-3</v>
      </c>
    </row>
    <row r="157" spans="1:2" x14ac:dyDescent="0.25">
      <c r="A157" s="18">
        <v>39</v>
      </c>
      <c r="B157" s="18">
        <v>5.8799999999999998E-3</v>
      </c>
    </row>
    <row r="158" spans="1:2" x14ac:dyDescent="0.25">
      <c r="A158" s="18">
        <v>39.200000000000003</v>
      </c>
      <c r="B158" s="18">
        <v>5.5900000000000004E-3</v>
      </c>
    </row>
    <row r="159" spans="1:2" x14ac:dyDescent="0.25">
      <c r="A159" s="18">
        <v>39.4</v>
      </c>
      <c r="B159" s="18">
        <v>5.5500000000000002E-3</v>
      </c>
    </row>
    <row r="160" spans="1:2" x14ac:dyDescent="0.25">
      <c r="A160" s="18">
        <v>39.6</v>
      </c>
      <c r="B160" s="18">
        <v>5.3600000000000002E-3</v>
      </c>
    </row>
    <row r="161" spans="1:2" x14ac:dyDescent="0.25">
      <c r="A161" s="18">
        <v>39.799999999999997</v>
      </c>
      <c r="B161" s="18">
        <v>5.3200000000000001E-3</v>
      </c>
    </row>
    <row r="162" spans="1:2" x14ac:dyDescent="0.25">
      <c r="A162" s="18">
        <v>40</v>
      </c>
      <c r="B162" s="18">
        <v>5.1700000000000001E-3</v>
      </c>
    </row>
    <row r="163" spans="1:2" x14ac:dyDescent="0.25">
      <c r="A163" s="18">
        <v>40.200000000000003</v>
      </c>
      <c r="B163" s="18">
        <v>5.11E-3</v>
      </c>
    </row>
    <row r="164" spans="1:2" x14ac:dyDescent="0.25">
      <c r="A164" s="18">
        <v>40.4</v>
      </c>
      <c r="B164" s="18">
        <v>4.9500000000000004E-3</v>
      </c>
    </row>
    <row r="165" spans="1:2" x14ac:dyDescent="0.25">
      <c r="A165" s="18">
        <v>40.6</v>
      </c>
      <c r="B165" s="18">
        <v>4.8199999999999996E-3</v>
      </c>
    </row>
    <row r="166" spans="1:2" x14ac:dyDescent="0.25">
      <c r="A166" s="18">
        <v>40.799999999999997</v>
      </c>
      <c r="B166" s="18">
        <v>4.7800000000000004E-3</v>
      </c>
    </row>
    <row r="167" spans="1:2" x14ac:dyDescent="0.25">
      <c r="A167" s="18">
        <v>41</v>
      </c>
      <c r="B167" s="18">
        <v>4.6899999999999997E-3</v>
      </c>
    </row>
    <row r="168" spans="1:2" x14ac:dyDescent="0.25">
      <c r="A168" s="18">
        <v>41.2</v>
      </c>
      <c r="B168" s="18">
        <v>4.5399999999999998E-3</v>
      </c>
    </row>
    <row r="169" spans="1:2" x14ac:dyDescent="0.25">
      <c r="A169" s="18">
        <v>41.4</v>
      </c>
      <c r="B169" s="18">
        <v>4.4900000000000001E-3</v>
      </c>
    </row>
    <row r="170" spans="1:2" x14ac:dyDescent="0.25">
      <c r="A170" s="18">
        <v>41.6</v>
      </c>
      <c r="B170" s="18">
        <v>4.3299999999999996E-3</v>
      </c>
    </row>
    <row r="171" spans="1:2" x14ac:dyDescent="0.25">
      <c r="A171" s="18">
        <v>41.8</v>
      </c>
      <c r="B171" s="18">
        <v>4.2399999999999998E-3</v>
      </c>
    </row>
    <row r="172" spans="1:2" x14ac:dyDescent="0.25">
      <c r="A172" s="18">
        <v>42</v>
      </c>
      <c r="B172" s="18">
        <v>4.1599999999999996E-3</v>
      </c>
    </row>
    <row r="173" spans="1:2" x14ac:dyDescent="0.25">
      <c r="A173" s="18">
        <v>42.2</v>
      </c>
      <c r="B173" s="18">
        <v>4.0499999999999998E-3</v>
      </c>
    </row>
    <row r="174" spans="1:2" x14ac:dyDescent="0.25">
      <c r="A174" s="18">
        <v>42.4</v>
      </c>
      <c r="B174" s="18">
        <v>3.96E-3</v>
      </c>
    </row>
    <row r="175" spans="1:2" x14ac:dyDescent="0.25">
      <c r="A175" s="18">
        <v>42.6</v>
      </c>
      <c r="B175" s="18">
        <v>3.82E-3</v>
      </c>
    </row>
    <row r="176" spans="1:2" x14ac:dyDescent="0.25">
      <c r="A176" s="18">
        <v>42.8</v>
      </c>
      <c r="B176" s="18">
        <v>3.8E-3</v>
      </c>
    </row>
    <row r="177" spans="1:2" x14ac:dyDescent="0.25">
      <c r="A177" s="18">
        <v>43</v>
      </c>
      <c r="B177" s="18">
        <v>3.6600000000000001E-3</v>
      </c>
    </row>
    <row r="178" spans="1:2" x14ac:dyDescent="0.25">
      <c r="A178" s="18">
        <v>43.2</v>
      </c>
      <c r="B178" s="18">
        <v>3.5000000000000001E-3</v>
      </c>
    </row>
    <row r="179" spans="1:2" x14ac:dyDescent="0.25">
      <c r="A179" s="18">
        <v>43.4</v>
      </c>
      <c r="B179" s="18">
        <v>3.47E-3</v>
      </c>
    </row>
    <row r="180" spans="1:2" x14ac:dyDescent="0.25">
      <c r="A180" s="18">
        <v>43.6</v>
      </c>
      <c r="B180" s="18">
        <v>3.3500000000000001E-3</v>
      </c>
    </row>
    <row r="181" spans="1:2" x14ac:dyDescent="0.25">
      <c r="A181" s="18">
        <v>43.8</v>
      </c>
      <c r="B181" s="18">
        <v>3.31E-3</v>
      </c>
    </row>
    <row r="182" spans="1:2" x14ac:dyDescent="0.25">
      <c r="A182" s="18">
        <v>44</v>
      </c>
      <c r="B182" s="18">
        <v>3.14E-3</v>
      </c>
    </row>
    <row r="183" spans="1:2" x14ac:dyDescent="0.25">
      <c r="A183" s="18">
        <v>44.2</v>
      </c>
      <c r="B183" s="18">
        <v>3.0799999999999998E-3</v>
      </c>
    </row>
    <row r="184" spans="1:2" x14ac:dyDescent="0.25">
      <c r="A184" s="18">
        <v>44.4</v>
      </c>
      <c r="B184" s="18">
        <v>2.99E-3</v>
      </c>
    </row>
    <row r="185" spans="1:2" x14ac:dyDescent="0.25">
      <c r="A185" s="18">
        <v>44.6</v>
      </c>
      <c r="B185" s="18">
        <v>2.8600000000000001E-3</v>
      </c>
    </row>
    <row r="186" spans="1:2" x14ac:dyDescent="0.25">
      <c r="A186" s="18">
        <v>44.8</v>
      </c>
      <c r="B186" s="18">
        <v>2.7699999999999999E-3</v>
      </c>
    </row>
    <row r="187" spans="1:2" x14ac:dyDescent="0.25">
      <c r="A187" s="18">
        <v>45</v>
      </c>
      <c r="B187" s="18">
        <v>2.7000000000000001E-3</v>
      </c>
    </row>
    <row r="188" spans="1:2" x14ac:dyDescent="0.25">
      <c r="A188" s="18">
        <v>45.2</v>
      </c>
      <c r="B188" s="18">
        <v>2.5699999999999998E-3</v>
      </c>
    </row>
    <row r="189" spans="1:2" x14ac:dyDescent="0.25">
      <c r="A189" s="18">
        <v>45.4</v>
      </c>
      <c r="B189" s="18">
        <v>2.5200000000000001E-3</v>
      </c>
    </row>
    <row r="190" spans="1:2" x14ac:dyDescent="0.25">
      <c r="A190" s="18">
        <v>45.6</v>
      </c>
      <c r="B190" s="18">
        <v>2.3600000000000001E-3</v>
      </c>
    </row>
    <row r="191" spans="1:2" x14ac:dyDescent="0.25">
      <c r="A191" s="18">
        <v>45.8</v>
      </c>
      <c r="B191" s="18">
        <v>2.3E-3</v>
      </c>
    </row>
    <row r="192" spans="1:2" x14ac:dyDescent="0.25">
      <c r="A192" s="18">
        <v>46</v>
      </c>
      <c r="B192" s="18">
        <v>2.2300000000000002E-3</v>
      </c>
    </row>
    <row r="193" spans="1:2" x14ac:dyDescent="0.25">
      <c r="A193" s="18">
        <v>46.2</v>
      </c>
      <c r="B193" s="18">
        <v>2.0999999999999999E-3</v>
      </c>
    </row>
    <row r="194" spans="1:2" x14ac:dyDescent="0.25">
      <c r="A194" s="18">
        <v>46.4</v>
      </c>
      <c r="B194" s="18">
        <v>2E-3</v>
      </c>
    </row>
    <row r="195" spans="1:2" x14ac:dyDescent="0.25">
      <c r="A195" s="18">
        <v>46.6</v>
      </c>
      <c r="B195" s="18">
        <v>1.92E-3</v>
      </c>
    </row>
    <row r="196" spans="1:2" x14ac:dyDescent="0.25">
      <c r="A196" s="18">
        <v>46.8</v>
      </c>
      <c r="B196" s="18">
        <v>1.8400000000000001E-3</v>
      </c>
    </row>
    <row r="197" spans="1:2" x14ac:dyDescent="0.25">
      <c r="A197" s="18">
        <v>47</v>
      </c>
      <c r="B197" s="18">
        <v>1.7099999999999999E-3</v>
      </c>
    </row>
    <row r="198" spans="1:2" x14ac:dyDescent="0.25">
      <c r="A198" s="18">
        <v>47.2</v>
      </c>
      <c r="B198" s="18">
        <v>1.6800000000000001E-3</v>
      </c>
    </row>
    <row r="199" spans="1:2" x14ac:dyDescent="0.25">
      <c r="A199" s="18">
        <v>47.4</v>
      </c>
      <c r="B199" s="18">
        <v>1.5100000000000001E-3</v>
      </c>
    </row>
    <row r="200" spans="1:2" x14ac:dyDescent="0.25">
      <c r="A200" s="18">
        <v>47.6</v>
      </c>
      <c r="B200" s="18">
        <v>1.4300000000000001E-3</v>
      </c>
    </row>
    <row r="201" spans="1:2" x14ac:dyDescent="0.25">
      <c r="A201" s="18">
        <v>47.8</v>
      </c>
      <c r="B201" s="18">
        <v>1.34E-3</v>
      </c>
    </row>
    <row r="202" spans="1:2" x14ac:dyDescent="0.25">
      <c r="A202" s="18">
        <v>48</v>
      </c>
      <c r="B202" s="18">
        <v>1.25E-3</v>
      </c>
    </row>
    <row r="203" spans="1:2" x14ac:dyDescent="0.25">
      <c r="A203" s="18">
        <v>48.2</v>
      </c>
      <c r="B203" s="18">
        <v>1.14E-3</v>
      </c>
    </row>
    <row r="204" spans="1:2" x14ac:dyDescent="0.25">
      <c r="A204" s="18">
        <v>48.4</v>
      </c>
      <c r="B204" s="18">
        <v>1.0399999999999999E-3</v>
      </c>
    </row>
    <row r="205" spans="1:2" x14ac:dyDescent="0.25">
      <c r="A205" s="18">
        <v>48.6</v>
      </c>
      <c r="B205" s="18">
        <v>8.9999999999999998E-4</v>
      </c>
    </row>
    <row r="206" spans="1:2" x14ac:dyDescent="0.25">
      <c r="A206" s="18">
        <v>48.8</v>
      </c>
      <c r="B206" s="18">
        <v>8.7399999999999999E-4</v>
      </c>
    </row>
    <row r="207" spans="1:2" x14ac:dyDescent="0.25">
      <c r="A207" s="18">
        <v>49</v>
      </c>
      <c r="B207" s="18">
        <v>6.8800000000000003E-4</v>
      </c>
    </row>
    <row r="208" spans="1:2" x14ac:dyDescent="0.25">
      <c r="A208" s="18">
        <v>49.2</v>
      </c>
      <c r="B208" s="18">
        <v>6.2100000000000002E-4</v>
      </c>
    </row>
    <row r="209" spans="1:2" x14ac:dyDescent="0.25">
      <c r="A209" s="18">
        <v>49.4</v>
      </c>
      <c r="B209" s="18">
        <v>4.9700000000000005E-4</v>
      </c>
    </row>
    <row r="210" spans="1:2" x14ac:dyDescent="0.25">
      <c r="A210" s="18">
        <v>49.6</v>
      </c>
      <c r="B210" s="18">
        <v>3.8699999999999997E-4</v>
      </c>
    </row>
    <row r="211" spans="1:2" x14ac:dyDescent="0.25">
      <c r="A211" s="18">
        <v>49.8</v>
      </c>
      <c r="B211" s="18">
        <v>2.2599999999999999E-4</v>
      </c>
    </row>
    <row r="212" spans="1:2" x14ac:dyDescent="0.25">
      <c r="A212" s="18">
        <v>50</v>
      </c>
      <c r="B212" s="18">
        <v>6.8200000000000004E-5</v>
      </c>
    </row>
    <row r="213" spans="1:2" x14ac:dyDescent="0.25">
      <c r="A213" s="18">
        <v>50.2</v>
      </c>
      <c r="B213" s="18">
        <v>9.0800000000000003E-7</v>
      </c>
    </row>
    <row r="214" spans="1:2" x14ac:dyDescent="0.25">
      <c r="A214" s="18">
        <v>50.4</v>
      </c>
      <c r="B214" s="18">
        <v>7.91E-8</v>
      </c>
    </row>
    <row r="215" spans="1:2" x14ac:dyDescent="0.25">
      <c r="A215" s="18">
        <v>50.6</v>
      </c>
      <c r="B215" s="18">
        <v>3.5999999999999999E-7</v>
      </c>
    </row>
    <row r="216" spans="1:2" x14ac:dyDescent="0.25">
      <c r="A216" s="18">
        <v>50.8</v>
      </c>
      <c r="B216" s="18">
        <v>9.2699999999999998E-7</v>
      </c>
    </row>
    <row r="217" spans="1:2" x14ac:dyDescent="0.25">
      <c r="A217" s="18">
        <v>51</v>
      </c>
      <c r="B217" s="18">
        <v>2.1400000000000001E-7</v>
      </c>
    </row>
    <row r="218" spans="1:2" x14ac:dyDescent="0.25">
      <c r="A218" s="18">
        <v>51.2</v>
      </c>
      <c r="B218" s="18">
        <v>7.6599999999999995E-7</v>
      </c>
    </row>
    <row r="219" spans="1:2" x14ac:dyDescent="0.25">
      <c r="A219" s="18">
        <v>51.4</v>
      </c>
      <c r="B219" s="18">
        <v>1.39E-8</v>
      </c>
    </row>
    <row r="220" spans="1:2" x14ac:dyDescent="0.25">
      <c r="A220" s="18">
        <v>51.6</v>
      </c>
      <c r="B220" s="18">
        <v>5.2900000000000004E-7</v>
      </c>
    </row>
    <row r="221" spans="1:2" x14ac:dyDescent="0.25">
      <c r="A221" s="18">
        <v>51.8</v>
      </c>
      <c r="B221" s="18">
        <v>8.6299999999999999E-8</v>
      </c>
    </row>
    <row r="222" spans="1:2" x14ac:dyDescent="0.25">
      <c r="A222" s="18">
        <v>52</v>
      </c>
      <c r="B222" s="18">
        <v>1.7099999999999999E-6</v>
      </c>
    </row>
  </sheetData>
  <pageMargins left="0.7" right="0.7" top="0.75" bottom="0.75" header="0.3" footer="0.3"/>
  <pageSetup paperSize="9" orientation="portrait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dimension ref="A1:B13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5.22E-4</v>
      </c>
    </row>
    <row r="3" spans="1:2" x14ac:dyDescent="0.25">
      <c r="A3" s="18">
        <v>8.5</v>
      </c>
      <c r="B3" s="18">
        <v>6.4599999999999998E-4</v>
      </c>
    </row>
    <row r="4" spans="1:2" x14ac:dyDescent="0.25">
      <c r="A4" s="18">
        <v>9</v>
      </c>
      <c r="B4" s="18">
        <v>6.7699999999999998E-4</v>
      </c>
    </row>
    <row r="5" spans="1:2" x14ac:dyDescent="0.25">
      <c r="A5" s="18">
        <v>9.5</v>
      </c>
      <c r="B5" s="18">
        <v>3.3300000000000002E-4</v>
      </c>
    </row>
    <row r="6" spans="1:2" x14ac:dyDescent="0.25">
      <c r="A6" s="18">
        <v>10</v>
      </c>
      <c r="B6" s="18">
        <v>7.9600000000000005E-4</v>
      </c>
    </row>
    <row r="7" spans="1:2" x14ac:dyDescent="0.25">
      <c r="A7" s="18">
        <v>10.5</v>
      </c>
      <c r="B7" s="18">
        <v>6.9999999999999999E-4</v>
      </c>
    </row>
    <row r="8" spans="1:2" x14ac:dyDescent="0.25">
      <c r="A8" s="18">
        <v>11</v>
      </c>
      <c r="B8" s="18">
        <v>5.7899999999999998E-4</v>
      </c>
    </row>
    <row r="9" spans="1:2" x14ac:dyDescent="0.25">
      <c r="A9" s="18">
        <v>11.5</v>
      </c>
      <c r="B9" s="18">
        <v>7.4799999999999997E-4</v>
      </c>
    </row>
    <row r="10" spans="1:2" x14ac:dyDescent="0.25">
      <c r="A10" s="18">
        <v>12</v>
      </c>
      <c r="B10" s="18">
        <v>6.6200000000000005E-4</v>
      </c>
    </row>
    <row r="11" spans="1:2" x14ac:dyDescent="0.25">
      <c r="A11" s="18">
        <v>12.5</v>
      </c>
      <c r="B11" s="18">
        <v>6.3000000000000003E-4</v>
      </c>
    </row>
    <row r="12" spans="1:2" x14ac:dyDescent="0.25">
      <c r="A12" s="18">
        <v>13</v>
      </c>
      <c r="B12" s="18">
        <v>6.5700000000000003E-4</v>
      </c>
    </row>
    <row r="13" spans="1:2" x14ac:dyDescent="0.25">
      <c r="A13" s="18">
        <v>13.5</v>
      </c>
      <c r="B13" s="18">
        <v>4.2200000000000001E-4</v>
      </c>
    </row>
    <row r="14" spans="1:2" x14ac:dyDescent="0.25">
      <c r="A14" s="18">
        <v>14</v>
      </c>
      <c r="B14" s="18">
        <v>3.0600000000000001E-4</v>
      </c>
    </row>
    <row r="15" spans="1:2" x14ac:dyDescent="0.25">
      <c r="A15" s="18">
        <v>14.5</v>
      </c>
      <c r="B15" s="18">
        <v>5.0199999999999995E-4</v>
      </c>
    </row>
    <row r="16" spans="1:2" x14ac:dyDescent="0.25">
      <c r="A16" s="18">
        <v>15</v>
      </c>
      <c r="B16" s="18">
        <v>3.8200000000000002E-4</v>
      </c>
    </row>
    <row r="17" spans="1:2" x14ac:dyDescent="0.25">
      <c r="A17" s="18">
        <v>15.5</v>
      </c>
      <c r="B17" s="18">
        <v>4.5300000000000001E-4</v>
      </c>
    </row>
    <row r="18" spans="1:2" x14ac:dyDescent="0.25">
      <c r="A18" s="18">
        <v>16</v>
      </c>
      <c r="B18" s="18">
        <v>5.2800000000000004E-4</v>
      </c>
    </row>
    <row r="19" spans="1:2" x14ac:dyDescent="0.25">
      <c r="A19" s="18">
        <v>16.5</v>
      </c>
      <c r="B19" s="18">
        <v>8.1899999999999996E-4</v>
      </c>
    </row>
    <row r="20" spans="1:2" x14ac:dyDescent="0.25">
      <c r="A20" s="18">
        <v>17</v>
      </c>
      <c r="B20" s="18">
        <v>1.15E-3</v>
      </c>
    </row>
    <row r="21" spans="1:2" x14ac:dyDescent="0.25">
      <c r="A21" s="18">
        <v>17.5</v>
      </c>
      <c r="B21" s="18">
        <v>1.57E-3</v>
      </c>
    </row>
    <row r="22" spans="1:2" x14ac:dyDescent="0.25">
      <c r="A22" s="18">
        <v>18</v>
      </c>
      <c r="B22" s="18">
        <v>1.9E-3</v>
      </c>
    </row>
    <row r="23" spans="1:2" x14ac:dyDescent="0.25">
      <c r="A23" s="18">
        <v>18.5</v>
      </c>
      <c r="B23" s="18">
        <v>2.4399999999999999E-3</v>
      </c>
    </row>
    <row r="24" spans="1:2" x14ac:dyDescent="0.25">
      <c r="A24" s="18">
        <v>19</v>
      </c>
      <c r="B24" s="18">
        <v>3.3500000000000001E-3</v>
      </c>
    </row>
    <row r="25" spans="1:2" x14ac:dyDescent="0.25">
      <c r="A25" s="18">
        <v>19.5</v>
      </c>
      <c r="B25" s="18">
        <v>4.2100000000000002E-3</v>
      </c>
    </row>
    <row r="26" spans="1:2" x14ac:dyDescent="0.25">
      <c r="A26" s="18">
        <v>20</v>
      </c>
      <c r="B26" s="18">
        <v>5.2900000000000004E-3</v>
      </c>
    </row>
    <row r="27" spans="1:2" x14ac:dyDescent="0.25">
      <c r="A27" s="18">
        <v>20.5</v>
      </c>
      <c r="B27" s="18">
        <v>6.4000000000000003E-3</v>
      </c>
    </row>
    <row r="28" spans="1:2" x14ac:dyDescent="0.25">
      <c r="A28" s="18">
        <v>21</v>
      </c>
      <c r="B28" s="18">
        <v>7.5799999999999999E-3</v>
      </c>
    </row>
    <row r="29" spans="1:2" x14ac:dyDescent="0.25">
      <c r="A29" s="18">
        <v>21.5</v>
      </c>
      <c r="B29" s="18">
        <v>8.6700000000000006E-3</v>
      </c>
    </row>
    <row r="30" spans="1:2" x14ac:dyDescent="0.25">
      <c r="A30" s="18">
        <v>22</v>
      </c>
      <c r="B30" s="18">
        <v>0.01</v>
      </c>
    </row>
    <row r="31" spans="1:2" x14ac:dyDescent="0.25">
      <c r="A31" s="18">
        <v>22.5</v>
      </c>
      <c r="B31" s="18">
        <v>1.12E-2</v>
      </c>
    </row>
    <row r="32" spans="1:2" x14ac:dyDescent="0.25">
      <c r="A32" s="18">
        <v>23</v>
      </c>
      <c r="B32" s="18">
        <v>1.24E-2</v>
      </c>
    </row>
    <row r="33" spans="1:2" x14ac:dyDescent="0.25">
      <c r="A33" s="18">
        <v>23.5</v>
      </c>
      <c r="B33" s="18">
        <v>1.3299999999999999E-2</v>
      </c>
    </row>
    <row r="34" spans="1:2" x14ac:dyDescent="0.25">
      <c r="A34" s="18">
        <v>24</v>
      </c>
      <c r="B34" s="18">
        <v>1.44E-2</v>
      </c>
    </row>
    <row r="35" spans="1:2" x14ac:dyDescent="0.25">
      <c r="A35" s="18">
        <v>24.5</v>
      </c>
      <c r="B35" s="18">
        <v>1.5299999999999999E-2</v>
      </c>
    </row>
    <row r="36" spans="1:2" x14ac:dyDescent="0.25">
      <c r="A36" s="18">
        <v>25</v>
      </c>
      <c r="B36" s="18">
        <v>1.61E-2</v>
      </c>
    </row>
    <row r="37" spans="1:2" x14ac:dyDescent="0.25">
      <c r="A37" s="18">
        <v>25.5</v>
      </c>
      <c r="B37" s="18">
        <v>1.7000000000000001E-2</v>
      </c>
    </row>
    <row r="38" spans="1:2" x14ac:dyDescent="0.25">
      <c r="A38" s="18">
        <v>26</v>
      </c>
      <c r="B38" s="18">
        <v>1.7500000000000002E-2</v>
      </c>
    </row>
    <row r="39" spans="1:2" x14ac:dyDescent="0.25">
      <c r="A39" s="18">
        <v>26.5</v>
      </c>
      <c r="B39" s="18">
        <v>1.7999999999999999E-2</v>
      </c>
    </row>
    <row r="40" spans="1:2" x14ac:dyDescent="0.25">
      <c r="A40" s="18">
        <v>27</v>
      </c>
      <c r="B40" s="18">
        <v>1.8499999999999999E-2</v>
      </c>
    </row>
    <row r="41" spans="1:2" x14ac:dyDescent="0.25">
      <c r="A41" s="18">
        <v>27.5</v>
      </c>
      <c r="B41" s="18">
        <v>1.89E-2</v>
      </c>
    </row>
    <row r="42" spans="1:2" x14ac:dyDescent="0.25">
      <c r="A42" s="18">
        <v>28</v>
      </c>
      <c r="B42" s="18">
        <v>1.9199999999999998E-2</v>
      </c>
    </row>
    <row r="43" spans="1:2" x14ac:dyDescent="0.25">
      <c r="A43" s="18">
        <v>28.5</v>
      </c>
      <c r="B43" s="18">
        <v>1.9199999999999998E-2</v>
      </c>
    </row>
    <row r="44" spans="1:2" x14ac:dyDescent="0.25">
      <c r="A44" s="18">
        <v>29</v>
      </c>
      <c r="B44" s="18">
        <v>1.95E-2</v>
      </c>
    </row>
    <row r="45" spans="1:2" x14ac:dyDescent="0.25">
      <c r="A45" s="18">
        <v>29.5</v>
      </c>
      <c r="B45" s="18">
        <v>1.9300000000000001E-2</v>
      </c>
    </row>
    <row r="46" spans="1:2" x14ac:dyDescent="0.25">
      <c r="A46" s="18">
        <v>30</v>
      </c>
      <c r="B46" s="18">
        <v>1.9400000000000001E-2</v>
      </c>
    </row>
    <row r="47" spans="1:2" x14ac:dyDescent="0.25">
      <c r="A47" s="18">
        <v>30.5</v>
      </c>
      <c r="B47" s="18">
        <v>1.9099999999999999E-2</v>
      </c>
    </row>
    <row r="48" spans="1:2" x14ac:dyDescent="0.25">
      <c r="A48" s="18">
        <v>31</v>
      </c>
      <c r="B48" s="18">
        <v>1.9E-2</v>
      </c>
    </row>
    <row r="49" spans="1:2" x14ac:dyDescent="0.25">
      <c r="A49" s="18">
        <v>31.5</v>
      </c>
      <c r="B49" s="18">
        <v>1.89E-2</v>
      </c>
    </row>
    <row r="50" spans="1:2" x14ac:dyDescent="0.25">
      <c r="A50" s="18">
        <v>32</v>
      </c>
      <c r="B50" s="18">
        <v>1.8800000000000001E-2</v>
      </c>
    </row>
    <row r="51" spans="1:2" x14ac:dyDescent="0.25">
      <c r="A51" s="18">
        <v>32.5</v>
      </c>
      <c r="B51" s="18">
        <v>1.8599999999999998E-2</v>
      </c>
    </row>
    <row r="52" spans="1:2" x14ac:dyDescent="0.25">
      <c r="A52" s="18">
        <v>33</v>
      </c>
      <c r="B52" s="18">
        <v>1.84E-2</v>
      </c>
    </row>
    <row r="53" spans="1:2" x14ac:dyDescent="0.25">
      <c r="A53" s="18">
        <v>33.5</v>
      </c>
      <c r="B53" s="18">
        <v>1.7999999999999999E-2</v>
      </c>
    </row>
    <row r="54" spans="1:2" x14ac:dyDescent="0.25">
      <c r="A54" s="18">
        <v>34</v>
      </c>
      <c r="B54" s="18">
        <v>1.78E-2</v>
      </c>
    </row>
    <row r="55" spans="1:2" x14ac:dyDescent="0.25">
      <c r="A55" s="18">
        <v>34.5</v>
      </c>
      <c r="B55" s="18">
        <v>1.7500000000000002E-2</v>
      </c>
    </row>
    <row r="56" spans="1:2" x14ac:dyDescent="0.25">
      <c r="A56" s="18">
        <v>35</v>
      </c>
      <c r="B56" s="18">
        <v>1.7000000000000001E-2</v>
      </c>
    </row>
    <row r="57" spans="1:2" x14ac:dyDescent="0.25">
      <c r="A57" s="18">
        <v>35.5</v>
      </c>
      <c r="B57" s="18">
        <v>1.67E-2</v>
      </c>
    </row>
    <row r="58" spans="1:2" x14ac:dyDescent="0.25">
      <c r="A58" s="18">
        <v>36</v>
      </c>
      <c r="B58" s="18">
        <v>1.6299999999999999E-2</v>
      </c>
    </row>
    <row r="59" spans="1:2" x14ac:dyDescent="0.25">
      <c r="A59" s="18">
        <v>36.5</v>
      </c>
      <c r="B59" s="18">
        <v>1.6E-2</v>
      </c>
    </row>
    <row r="60" spans="1:2" x14ac:dyDescent="0.25">
      <c r="A60" s="18">
        <v>37</v>
      </c>
      <c r="B60" s="18">
        <v>1.55E-2</v>
      </c>
    </row>
    <row r="61" spans="1:2" x14ac:dyDescent="0.25">
      <c r="A61" s="18">
        <v>37.5</v>
      </c>
      <c r="B61" s="18">
        <v>1.4999999999999999E-2</v>
      </c>
    </row>
    <row r="62" spans="1:2" x14ac:dyDescent="0.25">
      <c r="A62" s="18">
        <v>38</v>
      </c>
      <c r="B62" s="18">
        <v>1.47E-2</v>
      </c>
    </row>
    <row r="63" spans="1:2" x14ac:dyDescent="0.25">
      <c r="A63" s="18">
        <v>38.5</v>
      </c>
      <c r="B63" s="18">
        <v>1.43E-2</v>
      </c>
    </row>
    <row r="64" spans="1:2" x14ac:dyDescent="0.25">
      <c r="A64" s="18">
        <v>39</v>
      </c>
      <c r="B64" s="18">
        <v>1.3899999999999999E-2</v>
      </c>
    </row>
    <row r="65" spans="1:2" x14ac:dyDescent="0.25">
      <c r="A65" s="18">
        <v>39.5</v>
      </c>
      <c r="B65" s="18">
        <v>1.35E-2</v>
      </c>
    </row>
    <row r="66" spans="1:2" x14ac:dyDescent="0.25">
      <c r="A66" s="18">
        <v>40</v>
      </c>
      <c r="B66" s="18">
        <v>1.2999999999999999E-2</v>
      </c>
    </row>
    <row r="67" spans="1:2" x14ac:dyDescent="0.25">
      <c r="A67" s="18">
        <v>40.5</v>
      </c>
      <c r="B67" s="18">
        <v>1.2699999999999999E-2</v>
      </c>
    </row>
    <row r="68" spans="1:2" x14ac:dyDescent="0.25">
      <c r="A68" s="18">
        <v>41</v>
      </c>
      <c r="B68" s="18">
        <v>1.24E-2</v>
      </c>
    </row>
    <row r="69" spans="1:2" x14ac:dyDescent="0.25">
      <c r="A69" s="18">
        <v>41.5</v>
      </c>
      <c r="B69" s="18">
        <v>1.21E-2</v>
      </c>
    </row>
    <row r="70" spans="1:2" x14ac:dyDescent="0.25">
      <c r="A70" s="18">
        <v>42</v>
      </c>
      <c r="B70" s="18">
        <v>1.18E-2</v>
      </c>
    </row>
    <row r="71" spans="1:2" x14ac:dyDescent="0.25">
      <c r="A71" s="18">
        <v>42.5</v>
      </c>
      <c r="B71" s="18">
        <v>1.15E-2</v>
      </c>
    </row>
    <row r="72" spans="1:2" x14ac:dyDescent="0.25">
      <c r="A72" s="18">
        <v>43</v>
      </c>
      <c r="B72" s="18">
        <v>1.12E-2</v>
      </c>
    </row>
    <row r="73" spans="1:2" x14ac:dyDescent="0.25">
      <c r="A73" s="18">
        <v>43.5</v>
      </c>
      <c r="B73" s="18">
        <v>1.09E-2</v>
      </c>
    </row>
    <row r="74" spans="1:2" x14ac:dyDescent="0.25">
      <c r="A74" s="18">
        <v>44</v>
      </c>
      <c r="B74" s="18">
        <v>1.0500000000000001E-2</v>
      </c>
    </row>
    <row r="75" spans="1:2" x14ac:dyDescent="0.25">
      <c r="A75" s="18">
        <v>44.5</v>
      </c>
      <c r="B75" s="18">
        <v>1.0200000000000001E-2</v>
      </c>
    </row>
    <row r="76" spans="1:2" x14ac:dyDescent="0.25">
      <c r="A76" s="18">
        <v>45</v>
      </c>
      <c r="B76" s="18">
        <v>9.8899999999999995E-3</v>
      </c>
    </row>
    <row r="77" spans="1:2" x14ac:dyDescent="0.25">
      <c r="A77" s="18">
        <v>45.5</v>
      </c>
      <c r="B77" s="18">
        <v>9.6600000000000002E-3</v>
      </c>
    </row>
    <row r="78" spans="1:2" x14ac:dyDescent="0.25">
      <c r="A78" s="18">
        <v>46</v>
      </c>
      <c r="B78" s="18">
        <v>9.3600000000000003E-3</v>
      </c>
    </row>
    <row r="79" spans="1:2" x14ac:dyDescent="0.25">
      <c r="A79" s="18">
        <v>46.5</v>
      </c>
      <c r="B79" s="18">
        <v>9.0799999999999995E-3</v>
      </c>
    </row>
    <row r="80" spans="1:2" x14ac:dyDescent="0.25">
      <c r="A80" s="18">
        <v>47</v>
      </c>
      <c r="B80" s="18">
        <v>8.6999999999999994E-3</v>
      </c>
    </row>
    <row r="81" spans="1:2" x14ac:dyDescent="0.25">
      <c r="A81" s="18">
        <v>47.5</v>
      </c>
      <c r="B81" s="18">
        <v>8.5199999999999998E-3</v>
      </c>
    </row>
    <row r="82" spans="1:2" x14ac:dyDescent="0.25">
      <c r="A82" s="18">
        <v>48</v>
      </c>
      <c r="B82" s="18">
        <v>8.26E-3</v>
      </c>
    </row>
    <row r="83" spans="1:2" x14ac:dyDescent="0.25">
      <c r="A83" s="18">
        <v>48.5</v>
      </c>
      <c r="B83" s="18">
        <v>7.9299999999999995E-3</v>
      </c>
    </row>
    <row r="84" spans="1:2" x14ac:dyDescent="0.25">
      <c r="A84" s="18">
        <v>49</v>
      </c>
      <c r="B84" s="18">
        <v>7.6800000000000002E-3</v>
      </c>
    </row>
    <row r="85" spans="1:2" x14ac:dyDescent="0.25">
      <c r="A85" s="18">
        <v>49.5</v>
      </c>
      <c r="B85" s="18">
        <v>7.3699999999999998E-3</v>
      </c>
    </row>
    <row r="86" spans="1:2" x14ac:dyDescent="0.25">
      <c r="A86" s="18">
        <v>50</v>
      </c>
      <c r="B86" s="18">
        <v>7.1900000000000002E-3</v>
      </c>
    </row>
    <row r="87" spans="1:2" x14ac:dyDescent="0.25">
      <c r="A87" s="18">
        <v>50.5</v>
      </c>
      <c r="B87" s="18">
        <v>6.9199999999999999E-3</v>
      </c>
    </row>
    <row r="88" spans="1:2" x14ac:dyDescent="0.25">
      <c r="A88" s="18">
        <v>51</v>
      </c>
      <c r="B88" s="18">
        <v>6.7499999999999999E-3</v>
      </c>
    </row>
    <row r="89" spans="1:2" x14ac:dyDescent="0.25">
      <c r="A89" s="18">
        <v>51.5</v>
      </c>
      <c r="B89" s="18">
        <v>6.5199999999999998E-3</v>
      </c>
    </row>
    <row r="90" spans="1:2" x14ac:dyDescent="0.25">
      <c r="A90" s="18">
        <v>52</v>
      </c>
      <c r="B90" s="18">
        <v>6.3400000000000001E-3</v>
      </c>
    </row>
    <row r="91" spans="1:2" x14ac:dyDescent="0.25">
      <c r="A91" s="18">
        <v>52.5</v>
      </c>
      <c r="B91" s="18">
        <v>6.1500000000000001E-3</v>
      </c>
    </row>
    <row r="92" spans="1:2" x14ac:dyDescent="0.25">
      <c r="A92" s="18">
        <v>53</v>
      </c>
      <c r="B92" s="18">
        <v>5.9500000000000004E-3</v>
      </c>
    </row>
    <row r="93" spans="1:2" x14ac:dyDescent="0.25">
      <c r="A93" s="18">
        <v>53.5</v>
      </c>
      <c r="B93" s="18">
        <v>5.77E-3</v>
      </c>
    </row>
    <row r="94" spans="1:2" x14ac:dyDescent="0.25">
      <c r="A94" s="18">
        <v>54</v>
      </c>
      <c r="B94" s="18">
        <v>5.5599999999999998E-3</v>
      </c>
    </row>
    <row r="95" spans="1:2" x14ac:dyDescent="0.25">
      <c r="A95" s="18">
        <v>54.5</v>
      </c>
      <c r="B95" s="18">
        <v>5.3600000000000002E-3</v>
      </c>
    </row>
    <row r="96" spans="1:2" x14ac:dyDescent="0.25">
      <c r="A96" s="18">
        <v>55</v>
      </c>
      <c r="B96" s="18">
        <v>5.2100000000000002E-3</v>
      </c>
    </row>
    <row r="97" spans="1:2" x14ac:dyDescent="0.25">
      <c r="A97" s="18">
        <v>55.5</v>
      </c>
      <c r="B97" s="18">
        <v>5.0200000000000002E-3</v>
      </c>
    </row>
    <row r="98" spans="1:2" x14ac:dyDescent="0.25">
      <c r="A98" s="18">
        <v>56</v>
      </c>
      <c r="B98" s="18">
        <v>4.7999999999999996E-3</v>
      </c>
    </row>
    <row r="99" spans="1:2" x14ac:dyDescent="0.25">
      <c r="A99" s="18">
        <v>56.5</v>
      </c>
      <c r="B99" s="18">
        <v>4.6800000000000001E-3</v>
      </c>
    </row>
    <row r="100" spans="1:2" x14ac:dyDescent="0.25">
      <c r="A100" s="18">
        <v>57</v>
      </c>
      <c r="B100" s="18">
        <v>4.4600000000000004E-3</v>
      </c>
    </row>
    <row r="101" spans="1:2" x14ac:dyDescent="0.25">
      <c r="A101" s="18">
        <v>57.5</v>
      </c>
      <c r="B101" s="18">
        <v>4.3E-3</v>
      </c>
    </row>
    <row r="102" spans="1:2" x14ac:dyDescent="0.25">
      <c r="A102" s="18">
        <v>58</v>
      </c>
      <c r="B102" s="18">
        <v>4.13E-3</v>
      </c>
    </row>
    <row r="103" spans="1:2" x14ac:dyDescent="0.25">
      <c r="A103" s="18">
        <v>58.5</v>
      </c>
      <c r="B103" s="18">
        <v>3.9300000000000003E-3</v>
      </c>
    </row>
    <row r="104" spans="1:2" x14ac:dyDescent="0.25">
      <c r="A104" s="18">
        <v>59</v>
      </c>
      <c r="B104" s="18">
        <v>3.79E-3</v>
      </c>
    </row>
    <row r="105" spans="1:2" x14ac:dyDescent="0.25">
      <c r="A105" s="18">
        <v>59.5</v>
      </c>
      <c r="B105" s="18">
        <v>3.6099999999999999E-3</v>
      </c>
    </row>
    <row r="106" spans="1:2" x14ac:dyDescent="0.25">
      <c r="A106" s="18">
        <v>60</v>
      </c>
      <c r="B106" s="18">
        <v>3.4299999999999999E-3</v>
      </c>
    </row>
    <row r="107" spans="1:2" x14ac:dyDescent="0.25">
      <c r="A107" s="18">
        <v>60.5</v>
      </c>
      <c r="B107" s="18">
        <v>3.2699999999999999E-3</v>
      </c>
    </row>
    <row r="108" spans="1:2" x14ac:dyDescent="0.25">
      <c r="A108" s="18">
        <v>61</v>
      </c>
      <c r="B108" s="18">
        <v>3.16E-3</v>
      </c>
    </row>
    <row r="109" spans="1:2" x14ac:dyDescent="0.25">
      <c r="A109" s="18">
        <v>61.5</v>
      </c>
      <c r="B109" s="18">
        <v>2.96E-3</v>
      </c>
    </row>
    <row r="110" spans="1:2" x14ac:dyDescent="0.25">
      <c r="A110" s="18">
        <v>62</v>
      </c>
      <c r="B110" s="18">
        <v>2.8300000000000001E-3</v>
      </c>
    </row>
    <row r="111" spans="1:2" x14ac:dyDescent="0.25">
      <c r="A111" s="18">
        <v>62.5</v>
      </c>
      <c r="B111" s="18">
        <v>2.6700000000000001E-3</v>
      </c>
    </row>
    <row r="112" spans="1:2" x14ac:dyDescent="0.25">
      <c r="A112" s="18">
        <v>63</v>
      </c>
      <c r="B112" s="18">
        <v>2.5300000000000001E-3</v>
      </c>
    </row>
    <row r="113" spans="1:2" x14ac:dyDescent="0.25">
      <c r="A113" s="18">
        <v>63.5</v>
      </c>
      <c r="B113" s="18">
        <v>2.3900000000000002E-3</v>
      </c>
    </row>
    <row r="114" spans="1:2" x14ac:dyDescent="0.25">
      <c r="A114" s="18">
        <v>64</v>
      </c>
      <c r="B114" s="18">
        <v>2.2499999999999998E-3</v>
      </c>
    </row>
    <row r="115" spans="1:2" x14ac:dyDescent="0.25">
      <c r="A115" s="18">
        <v>64.5</v>
      </c>
      <c r="B115" s="18">
        <v>2.0899999999999998E-3</v>
      </c>
    </row>
    <row r="116" spans="1:2" x14ac:dyDescent="0.25">
      <c r="A116" s="18">
        <v>65</v>
      </c>
      <c r="B116" s="18">
        <v>1.9400000000000001E-3</v>
      </c>
    </row>
    <row r="117" spans="1:2" x14ac:dyDescent="0.25">
      <c r="A117" s="18">
        <v>65.5</v>
      </c>
      <c r="B117" s="18">
        <v>1.7700000000000001E-3</v>
      </c>
    </row>
    <row r="118" spans="1:2" x14ac:dyDescent="0.25">
      <c r="A118" s="18">
        <v>66</v>
      </c>
      <c r="B118" s="18">
        <v>1.6299999999999999E-3</v>
      </c>
    </row>
    <row r="119" spans="1:2" x14ac:dyDescent="0.25">
      <c r="A119" s="18">
        <v>66.5</v>
      </c>
      <c r="B119" s="18">
        <v>1.4499999999999999E-3</v>
      </c>
    </row>
    <row r="120" spans="1:2" x14ac:dyDescent="0.25">
      <c r="A120" s="18">
        <v>67</v>
      </c>
      <c r="B120" s="18">
        <v>1.2999999999999999E-3</v>
      </c>
    </row>
    <row r="121" spans="1:2" x14ac:dyDescent="0.25">
      <c r="A121" s="18">
        <v>67.5</v>
      </c>
      <c r="B121" s="18">
        <v>1.1100000000000001E-3</v>
      </c>
    </row>
    <row r="122" spans="1:2" x14ac:dyDescent="0.25">
      <c r="A122" s="18">
        <v>68</v>
      </c>
      <c r="B122" s="18">
        <v>9.3099999999999997E-4</v>
      </c>
    </row>
    <row r="123" spans="1:2" x14ac:dyDescent="0.25">
      <c r="A123" s="18">
        <v>68.5</v>
      </c>
      <c r="B123" s="18">
        <v>7.4600000000000003E-4</v>
      </c>
    </row>
    <row r="124" spans="1:2" x14ac:dyDescent="0.25">
      <c r="A124" s="18">
        <v>69</v>
      </c>
      <c r="B124" s="18">
        <v>5.5400000000000002E-4</v>
      </c>
    </row>
    <row r="125" spans="1:2" x14ac:dyDescent="0.25">
      <c r="A125" s="18">
        <v>69.5</v>
      </c>
      <c r="B125" s="18">
        <v>3.4499999999999998E-4</v>
      </c>
    </row>
    <row r="126" spans="1:2" x14ac:dyDescent="0.25">
      <c r="A126" s="18">
        <v>70</v>
      </c>
      <c r="B126" s="18">
        <v>1.0399999999999999E-4</v>
      </c>
    </row>
    <row r="127" spans="1:2" x14ac:dyDescent="0.25">
      <c r="A127" s="18">
        <v>70.5</v>
      </c>
      <c r="B127" s="18">
        <v>5.8000000000000004E-6</v>
      </c>
    </row>
    <row r="128" spans="1:2" x14ac:dyDescent="0.25">
      <c r="A128" s="18">
        <v>71</v>
      </c>
      <c r="B128" s="18">
        <v>3.2100000000000002E-6</v>
      </c>
    </row>
    <row r="129" spans="1:2" x14ac:dyDescent="0.25">
      <c r="A129" s="18">
        <v>71.5</v>
      </c>
      <c r="B129" s="18">
        <v>3.7299999999999999E-6</v>
      </c>
    </row>
    <row r="130" spans="1:2" x14ac:dyDescent="0.25">
      <c r="A130" s="18">
        <v>72</v>
      </c>
      <c r="B130" s="18">
        <v>4.5700000000000003E-6</v>
      </c>
    </row>
  </sheetData>
  <pageMargins left="0.7" right="0.7" top="0.75" bottom="0.75" header="0.3" footer="0.3"/>
  <pageSetup paperSize="9" orientation="portrait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dimension ref="A1:B13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5.4500000000000002E-4</v>
      </c>
    </row>
    <row r="3" spans="1:2" x14ac:dyDescent="0.25">
      <c r="A3" s="18">
        <v>8.5</v>
      </c>
      <c r="B3" s="18">
        <v>6.8300000000000001E-4</v>
      </c>
    </row>
    <row r="4" spans="1:2" x14ac:dyDescent="0.25">
      <c r="A4" s="18">
        <v>9</v>
      </c>
      <c r="B4" s="18">
        <v>5.6599999999999999E-4</v>
      </c>
    </row>
    <row r="5" spans="1:2" x14ac:dyDescent="0.25">
      <c r="A5" s="18">
        <v>9.5</v>
      </c>
      <c r="B5" s="18">
        <v>6.2699999999999995E-4</v>
      </c>
    </row>
    <row r="6" spans="1:2" x14ac:dyDescent="0.25">
      <c r="A6" s="18">
        <v>10</v>
      </c>
      <c r="B6" s="18">
        <v>5.6800000000000004E-4</v>
      </c>
    </row>
    <row r="7" spans="1:2" x14ac:dyDescent="0.25">
      <c r="A7" s="18">
        <v>10.5</v>
      </c>
      <c r="B7" s="18">
        <v>5.7300000000000005E-4</v>
      </c>
    </row>
    <row r="8" spans="1:2" x14ac:dyDescent="0.25">
      <c r="A8" s="18">
        <v>11</v>
      </c>
      <c r="B8" s="18">
        <v>7.1400000000000001E-4</v>
      </c>
    </row>
    <row r="9" spans="1:2" x14ac:dyDescent="0.25">
      <c r="A9" s="18">
        <v>11.5</v>
      </c>
      <c r="B9" s="18">
        <v>7.5100000000000004E-4</v>
      </c>
    </row>
    <row r="10" spans="1:2" x14ac:dyDescent="0.25">
      <c r="A10" s="18">
        <v>12</v>
      </c>
      <c r="B10" s="18">
        <v>1.1000000000000001E-3</v>
      </c>
    </row>
    <row r="11" spans="1:2" x14ac:dyDescent="0.25">
      <c r="A11" s="18">
        <v>12.5</v>
      </c>
      <c r="B11" s="18">
        <v>3.1799999999999998E-4</v>
      </c>
    </row>
    <row r="12" spans="1:2" x14ac:dyDescent="0.25">
      <c r="A12" s="18">
        <v>13</v>
      </c>
      <c r="B12" s="18">
        <v>7.2300000000000001E-4</v>
      </c>
    </row>
    <row r="13" spans="1:2" x14ac:dyDescent="0.25">
      <c r="A13" s="18">
        <v>13.5</v>
      </c>
      <c r="B13" s="18">
        <v>7.2800000000000002E-4</v>
      </c>
    </row>
    <row r="14" spans="1:2" x14ac:dyDescent="0.25">
      <c r="A14" s="18">
        <v>14</v>
      </c>
      <c r="B14" s="18">
        <v>9.3300000000000002E-4</v>
      </c>
    </row>
    <row r="15" spans="1:2" x14ac:dyDescent="0.25">
      <c r="A15" s="18">
        <v>14.5</v>
      </c>
      <c r="B15" s="18">
        <v>1.1999999999999999E-3</v>
      </c>
    </row>
    <row r="16" spans="1:2" x14ac:dyDescent="0.25">
      <c r="A16" s="18">
        <v>15</v>
      </c>
      <c r="B16" s="18">
        <v>1.6000000000000001E-3</v>
      </c>
    </row>
    <row r="17" spans="1:2" x14ac:dyDescent="0.25">
      <c r="A17" s="18">
        <v>15.5</v>
      </c>
      <c r="B17" s="18">
        <v>2.3E-3</v>
      </c>
    </row>
    <row r="18" spans="1:2" x14ac:dyDescent="0.25">
      <c r="A18" s="18">
        <v>16</v>
      </c>
      <c r="B18" s="18">
        <v>2.8999999999999998E-3</v>
      </c>
    </row>
    <row r="19" spans="1:2" x14ac:dyDescent="0.25">
      <c r="A19" s="18">
        <v>16.5</v>
      </c>
      <c r="B19" s="18">
        <v>4.1399999999999996E-3</v>
      </c>
    </row>
    <row r="20" spans="1:2" x14ac:dyDescent="0.25">
      <c r="A20" s="18">
        <v>17</v>
      </c>
      <c r="B20" s="18">
        <v>5.2100000000000002E-3</v>
      </c>
    </row>
    <row r="21" spans="1:2" x14ac:dyDescent="0.25">
      <c r="A21" s="18">
        <v>17.5</v>
      </c>
      <c r="B21" s="18">
        <v>6.28E-3</v>
      </c>
    </row>
    <row r="22" spans="1:2" x14ac:dyDescent="0.25">
      <c r="A22" s="18">
        <v>18</v>
      </c>
      <c r="B22" s="18">
        <v>7.8600000000000007E-3</v>
      </c>
    </row>
    <row r="23" spans="1:2" x14ac:dyDescent="0.25">
      <c r="A23" s="18">
        <v>18.5</v>
      </c>
      <c r="B23" s="18">
        <v>9.2899999999999996E-3</v>
      </c>
    </row>
    <row r="24" spans="1:2" x14ac:dyDescent="0.25">
      <c r="A24" s="18">
        <v>19</v>
      </c>
      <c r="B24" s="18">
        <v>1.0800000000000001E-2</v>
      </c>
    </row>
    <row r="25" spans="1:2" x14ac:dyDescent="0.25">
      <c r="A25" s="18">
        <v>19.5</v>
      </c>
      <c r="B25" s="18">
        <v>1.21E-2</v>
      </c>
    </row>
    <row r="26" spans="1:2" x14ac:dyDescent="0.25">
      <c r="A26" s="18">
        <v>20</v>
      </c>
      <c r="B26" s="18">
        <v>1.37E-2</v>
      </c>
    </row>
    <row r="27" spans="1:2" x14ac:dyDescent="0.25">
      <c r="A27" s="18">
        <v>20.5</v>
      </c>
      <c r="B27" s="18">
        <v>1.4999999999999999E-2</v>
      </c>
    </row>
    <row r="28" spans="1:2" x14ac:dyDescent="0.25">
      <c r="A28" s="18">
        <v>21</v>
      </c>
      <c r="B28" s="18">
        <v>1.6299999999999999E-2</v>
      </c>
    </row>
    <row r="29" spans="1:2" x14ac:dyDescent="0.25">
      <c r="A29" s="18">
        <v>21.5</v>
      </c>
      <c r="B29" s="18">
        <v>1.7299999999999999E-2</v>
      </c>
    </row>
    <row r="30" spans="1:2" x14ac:dyDescent="0.25">
      <c r="A30" s="18">
        <v>22</v>
      </c>
      <c r="B30" s="18">
        <v>1.8100000000000002E-2</v>
      </c>
    </row>
    <row r="31" spans="1:2" x14ac:dyDescent="0.25">
      <c r="A31" s="18">
        <v>22.5</v>
      </c>
      <c r="B31" s="18">
        <v>1.9199999999999998E-2</v>
      </c>
    </row>
    <row r="32" spans="1:2" x14ac:dyDescent="0.25">
      <c r="A32" s="18">
        <v>23</v>
      </c>
      <c r="B32" s="18">
        <v>1.9599999999999999E-2</v>
      </c>
    </row>
    <row r="33" spans="1:2" x14ac:dyDescent="0.25">
      <c r="A33" s="18">
        <v>23.5</v>
      </c>
      <c r="B33" s="18">
        <v>2.0299999999999999E-2</v>
      </c>
    </row>
    <row r="34" spans="1:2" x14ac:dyDescent="0.25">
      <c r="A34" s="18">
        <v>24</v>
      </c>
      <c r="B34" s="18">
        <v>2.07E-2</v>
      </c>
    </row>
    <row r="35" spans="1:2" x14ac:dyDescent="0.25">
      <c r="A35" s="18">
        <v>24.5</v>
      </c>
      <c r="B35" s="18">
        <v>2.1100000000000001E-2</v>
      </c>
    </row>
    <row r="36" spans="1:2" x14ac:dyDescent="0.25">
      <c r="A36" s="18">
        <v>25</v>
      </c>
      <c r="B36" s="18">
        <v>2.1399999999999999E-2</v>
      </c>
    </row>
    <row r="37" spans="1:2" x14ac:dyDescent="0.25">
      <c r="A37" s="18">
        <v>25.5</v>
      </c>
      <c r="B37" s="18">
        <v>2.1299999999999999E-2</v>
      </c>
    </row>
    <row r="38" spans="1:2" x14ac:dyDescent="0.25">
      <c r="A38" s="18">
        <v>26</v>
      </c>
      <c r="B38" s="18">
        <v>2.1299999999999999E-2</v>
      </c>
    </row>
    <row r="39" spans="1:2" x14ac:dyDescent="0.25">
      <c r="A39" s="18">
        <v>26.5</v>
      </c>
      <c r="B39" s="18">
        <v>2.1100000000000001E-2</v>
      </c>
    </row>
    <row r="40" spans="1:2" x14ac:dyDescent="0.25">
      <c r="A40" s="18">
        <v>27</v>
      </c>
      <c r="B40" s="18">
        <v>2.0899999999999998E-2</v>
      </c>
    </row>
    <row r="41" spans="1:2" x14ac:dyDescent="0.25">
      <c r="A41" s="18">
        <v>27.5</v>
      </c>
      <c r="B41" s="18">
        <v>2.06E-2</v>
      </c>
    </row>
    <row r="42" spans="1:2" x14ac:dyDescent="0.25">
      <c r="A42" s="18">
        <v>28</v>
      </c>
      <c r="B42" s="18">
        <v>2.0400000000000001E-2</v>
      </c>
    </row>
    <row r="43" spans="1:2" x14ac:dyDescent="0.25">
      <c r="A43" s="18">
        <v>28.5</v>
      </c>
      <c r="B43" s="18">
        <v>0.02</v>
      </c>
    </row>
    <row r="44" spans="1:2" x14ac:dyDescent="0.25">
      <c r="A44" s="18">
        <v>29</v>
      </c>
      <c r="B44" s="18">
        <v>1.95E-2</v>
      </c>
    </row>
    <row r="45" spans="1:2" x14ac:dyDescent="0.25">
      <c r="A45" s="18">
        <v>29.5</v>
      </c>
      <c r="B45" s="18">
        <v>1.9199999999999998E-2</v>
      </c>
    </row>
    <row r="46" spans="1:2" x14ac:dyDescent="0.25">
      <c r="A46" s="18">
        <v>30</v>
      </c>
      <c r="B46" s="18">
        <v>1.8700000000000001E-2</v>
      </c>
    </row>
    <row r="47" spans="1:2" x14ac:dyDescent="0.25">
      <c r="A47" s="18">
        <v>30.5</v>
      </c>
      <c r="B47" s="18">
        <v>1.84E-2</v>
      </c>
    </row>
    <row r="48" spans="1:2" x14ac:dyDescent="0.25">
      <c r="A48" s="18">
        <v>31</v>
      </c>
      <c r="B48" s="18">
        <v>1.7899999999999999E-2</v>
      </c>
    </row>
    <row r="49" spans="1:2" x14ac:dyDescent="0.25">
      <c r="A49" s="18">
        <v>31.5</v>
      </c>
      <c r="B49" s="18">
        <v>1.7399999999999999E-2</v>
      </c>
    </row>
    <row r="50" spans="1:2" x14ac:dyDescent="0.25">
      <c r="A50" s="18">
        <v>32</v>
      </c>
      <c r="B50" s="18">
        <v>1.7000000000000001E-2</v>
      </c>
    </row>
    <row r="51" spans="1:2" x14ac:dyDescent="0.25">
      <c r="A51" s="18">
        <v>32.5</v>
      </c>
      <c r="B51" s="18">
        <v>1.66E-2</v>
      </c>
    </row>
    <row r="52" spans="1:2" x14ac:dyDescent="0.25">
      <c r="A52" s="18">
        <v>33</v>
      </c>
      <c r="B52" s="18">
        <v>1.61E-2</v>
      </c>
    </row>
    <row r="53" spans="1:2" x14ac:dyDescent="0.25">
      <c r="A53" s="18">
        <v>33.5</v>
      </c>
      <c r="B53" s="18">
        <v>1.5699999999999999E-2</v>
      </c>
    </row>
    <row r="54" spans="1:2" x14ac:dyDescent="0.25">
      <c r="A54" s="18">
        <v>34</v>
      </c>
      <c r="B54" s="18">
        <v>1.5299999999999999E-2</v>
      </c>
    </row>
    <row r="55" spans="1:2" x14ac:dyDescent="0.25">
      <c r="A55" s="18">
        <v>34.5</v>
      </c>
      <c r="B55" s="18">
        <v>1.47E-2</v>
      </c>
    </row>
    <row r="56" spans="1:2" x14ac:dyDescent="0.25">
      <c r="A56" s="18">
        <v>35</v>
      </c>
      <c r="B56" s="18">
        <v>1.4200000000000001E-2</v>
      </c>
    </row>
    <row r="57" spans="1:2" x14ac:dyDescent="0.25">
      <c r="A57" s="18">
        <v>35.5</v>
      </c>
      <c r="B57" s="18">
        <v>1.38E-2</v>
      </c>
    </row>
    <row r="58" spans="1:2" x14ac:dyDescent="0.25">
      <c r="A58" s="18">
        <v>36</v>
      </c>
      <c r="B58" s="18">
        <v>1.34E-2</v>
      </c>
    </row>
    <row r="59" spans="1:2" x14ac:dyDescent="0.25">
      <c r="A59" s="18">
        <v>36.5</v>
      </c>
      <c r="B59" s="18">
        <v>1.29E-2</v>
      </c>
    </row>
    <row r="60" spans="1:2" x14ac:dyDescent="0.25">
      <c r="A60" s="18">
        <v>37</v>
      </c>
      <c r="B60" s="18">
        <v>1.24E-2</v>
      </c>
    </row>
    <row r="61" spans="1:2" x14ac:dyDescent="0.25">
      <c r="A61" s="18">
        <v>37.5</v>
      </c>
      <c r="B61" s="18">
        <v>1.2E-2</v>
      </c>
    </row>
    <row r="62" spans="1:2" x14ac:dyDescent="0.25">
      <c r="A62" s="18">
        <v>38</v>
      </c>
      <c r="B62" s="18">
        <v>1.1599999999999999E-2</v>
      </c>
    </row>
    <row r="63" spans="1:2" x14ac:dyDescent="0.25">
      <c r="A63" s="18">
        <v>38.5</v>
      </c>
      <c r="B63" s="18">
        <v>1.12E-2</v>
      </c>
    </row>
    <row r="64" spans="1:2" x14ac:dyDescent="0.25">
      <c r="A64" s="18">
        <v>39</v>
      </c>
      <c r="B64" s="18">
        <v>1.0800000000000001E-2</v>
      </c>
    </row>
    <row r="65" spans="1:2" x14ac:dyDescent="0.25">
      <c r="A65" s="18">
        <v>39.5</v>
      </c>
      <c r="B65" s="18">
        <v>1.0500000000000001E-2</v>
      </c>
    </row>
    <row r="66" spans="1:2" x14ac:dyDescent="0.25">
      <c r="A66" s="18">
        <v>40</v>
      </c>
      <c r="B66" s="18">
        <v>0.01</v>
      </c>
    </row>
    <row r="67" spans="1:2" x14ac:dyDescent="0.25">
      <c r="A67" s="18">
        <v>40.5</v>
      </c>
      <c r="B67" s="18">
        <v>9.7800000000000005E-3</v>
      </c>
    </row>
    <row r="68" spans="1:2" x14ac:dyDescent="0.25">
      <c r="A68" s="18">
        <v>41</v>
      </c>
      <c r="B68" s="18">
        <v>9.4599999999999997E-3</v>
      </c>
    </row>
    <row r="69" spans="1:2" x14ac:dyDescent="0.25">
      <c r="A69" s="18">
        <v>41.5</v>
      </c>
      <c r="B69" s="18">
        <v>9.1199999999999996E-3</v>
      </c>
    </row>
    <row r="70" spans="1:2" x14ac:dyDescent="0.25">
      <c r="A70" s="18">
        <v>42</v>
      </c>
      <c r="B70" s="18">
        <v>8.8100000000000001E-3</v>
      </c>
    </row>
    <row r="71" spans="1:2" x14ac:dyDescent="0.25">
      <c r="A71" s="18">
        <v>42.5</v>
      </c>
      <c r="B71" s="18">
        <v>8.5800000000000008E-3</v>
      </c>
    </row>
    <row r="72" spans="1:2" x14ac:dyDescent="0.25">
      <c r="A72" s="18">
        <v>43</v>
      </c>
      <c r="B72" s="18">
        <v>8.3099999999999997E-3</v>
      </c>
    </row>
    <row r="73" spans="1:2" x14ac:dyDescent="0.25">
      <c r="A73" s="18">
        <v>43.5</v>
      </c>
      <c r="B73" s="18">
        <v>8.0599999999999995E-3</v>
      </c>
    </row>
    <row r="74" spans="1:2" x14ac:dyDescent="0.25">
      <c r="A74" s="18">
        <v>44</v>
      </c>
      <c r="B74" s="18">
        <v>7.7499999999999999E-3</v>
      </c>
    </row>
    <row r="75" spans="1:2" x14ac:dyDescent="0.25">
      <c r="A75" s="18">
        <v>44.5</v>
      </c>
      <c r="B75" s="18">
        <v>7.5100000000000002E-3</v>
      </c>
    </row>
    <row r="76" spans="1:2" x14ac:dyDescent="0.25">
      <c r="A76" s="18">
        <v>45</v>
      </c>
      <c r="B76" s="18">
        <v>7.26E-3</v>
      </c>
    </row>
    <row r="77" spans="1:2" x14ac:dyDescent="0.25">
      <c r="A77" s="18">
        <v>45.5</v>
      </c>
      <c r="B77" s="18">
        <v>7.0200000000000002E-3</v>
      </c>
    </row>
    <row r="78" spans="1:2" x14ac:dyDescent="0.25">
      <c r="A78" s="18">
        <v>46</v>
      </c>
      <c r="B78" s="18">
        <v>6.7600000000000004E-3</v>
      </c>
    </row>
    <row r="79" spans="1:2" x14ac:dyDescent="0.25">
      <c r="A79" s="18">
        <v>46.5</v>
      </c>
      <c r="B79" s="18">
        <v>6.5399999999999998E-3</v>
      </c>
    </row>
    <row r="80" spans="1:2" x14ac:dyDescent="0.25">
      <c r="A80" s="18">
        <v>47</v>
      </c>
      <c r="B80" s="18">
        <v>6.3E-3</v>
      </c>
    </row>
    <row r="81" spans="1:2" x14ac:dyDescent="0.25">
      <c r="A81" s="18">
        <v>47.5</v>
      </c>
      <c r="B81" s="18">
        <v>6.0800000000000003E-3</v>
      </c>
    </row>
    <row r="82" spans="1:2" x14ac:dyDescent="0.25">
      <c r="A82" s="18">
        <v>48</v>
      </c>
      <c r="B82" s="18">
        <v>5.8799999999999998E-3</v>
      </c>
    </row>
    <row r="83" spans="1:2" x14ac:dyDescent="0.25">
      <c r="A83" s="18">
        <v>48.5</v>
      </c>
      <c r="B83" s="18">
        <v>5.6600000000000001E-3</v>
      </c>
    </row>
    <row r="84" spans="1:2" x14ac:dyDescent="0.25">
      <c r="A84" s="18">
        <v>49</v>
      </c>
      <c r="B84" s="18">
        <v>5.45E-3</v>
      </c>
    </row>
    <row r="85" spans="1:2" x14ac:dyDescent="0.25">
      <c r="A85" s="18">
        <v>49.5</v>
      </c>
      <c r="B85" s="18">
        <v>5.2599999999999999E-3</v>
      </c>
    </row>
    <row r="86" spans="1:2" x14ac:dyDescent="0.25">
      <c r="A86" s="18">
        <v>50</v>
      </c>
      <c r="B86" s="18">
        <v>5.0400000000000002E-3</v>
      </c>
    </row>
    <row r="87" spans="1:2" x14ac:dyDescent="0.25">
      <c r="A87" s="18">
        <v>50.5</v>
      </c>
      <c r="B87" s="18">
        <v>4.8900000000000002E-3</v>
      </c>
    </row>
    <row r="88" spans="1:2" x14ac:dyDescent="0.25">
      <c r="A88" s="18">
        <v>51</v>
      </c>
      <c r="B88" s="18">
        <v>4.7099999999999998E-3</v>
      </c>
    </row>
    <row r="89" spans="1:2" x14ac:dyDescent="0.25">
      <c r="A89" s="18">
        <v>51.5</v>
      </c>
      <c r="B89" s="18">
        <v>4.5500000000000002E-3</v>
      </c>
    </row>
    <row r="90" spans="1:2" x14ac:dyDescent="0.25">
      <c r="A90" s="18">
        <v>52</v>
      </c>
      <c r="B90" s="18">
        <v>4.4200000000000003E-3</v>
      </c>
    </row>
    <row r="91" spans="1:2" x14ac:dyDescent="0.25">
      <c r="A91" s="18">
        <v>52.5</v>
      </c>
      <c r="B91" s="18">
        <v>4.2700000000000004E-3</v>
      </c>
    </row>
    <row r="92" spans="1:2" x14ac:dyDescent="0.25">
      <c r="A92" s="18">
        <v>53</v>
      </c>
      <c r="B92" s="18">
        <v>4.1099999999999999E-3</v>
      </c>
    </row>
    <row r="93" spans="1:2" x14ac:dyDescent="0.25">
      <c r="A93" s="18">
        <v>53.5</v>
      </c>
      <c r="B93" s="18">
        <v>3.98E-3</v>
      </c>
    </row>
    <row r="94" spans="1:2" x14ac:dyDescent="0.25">
      <c r="A94" s="18">
        <v>54</v>
      </c>
      <c r="B94" s="18">
        <v>3.8700000000000002E-3</v>
      </c>
    </row>
    <row r="95" spans="1:2" x14ac:dyDescent="0.25">
      <c r="A95" s="18">
        <v>54.5</v>
      </c>
      <c r="B95" s="18">
        <v>3.7100000000000002E-3</v>
      </c>
    </row>
    <row r="96" spans="1:2" x14ac:dyDescent="0.25">
      <c r="A96" s="18">
        <v>55</v>
      </c>
      <c r="B96" s="18">
        <v>3.5699999999999998E-3</v>
      </c>
    </row>
    <row r="97" spans="1:2" x14ac:dyDescent="0.25">
      <c r="A97" s="18">
        <v>55.5</v>
      </c>
      <c r="B97" s="18">
        <v>3.4499999999999999E-3</v>
      </c>
    </row>
    <row r="98" spans="1:2" x14ac:dyDescent="0.25">
      <c r="A98" s="18">
        <v>56</v>
      </c>
      <c r="B98" s="18">
        <v>3.32E-3</v>
      </c>
    </row>
    <row r="99" spans="1:2" x14ac:dyDescent="0.25">
      <c r="A99" s="18">
        <v>56.5</v>
      </c>
      <c r="B99" s="18">
        <v>3.14E-3</v>
      </c>
    </row>
    <row r="100" spans="1:2" x14ac:dyDescent="0.25">
      <c r="A100" s="18">
        <v>57</v>
      </c>
      <c r="B100" s="18">
        <v>3.0699999999999998E-3</v>
      </c>
    </row>
    <row r="101" spans="1:2" x14ac:dyDescent="0.25">
      <c r="A101" s="18">
        <v>57.5</v>
      </c>
      <c r="B101" s="18">
        <v>2.96E-3</v>
      </c>
    </row>
    <row r="102" spans="1:2" x14ac:dyDescent="0.25">
      <c r="A102" s="18">
        <v>58</v>
      </c>
      <c r="B102" s="18">
        <v>2.8600000000000001E-3</v>
      </c>
    </row>
    <row r="103" spans="1:2" x14ac:dyDescent="0.25">
      <c r="A103" s="18">
        <v>58.5</v>
      </c>
      <c r="B103" s="18">
        <v>2.6900000000000001E-3</v>
      </c>
    </row>
    <row r="104" spans="1:2" x14ac:dyDescent="0.25">
      <c r="A104" s="18">
        <v>59</v>
      </c>
      <c r="B104" s="18">
        <v>2.5799999999999998E-3</v>
      </c>
    </row>
    <row r="105" spans="1:2" x14ac:dyDescent="0.25">
      <c r="A105" s="18">
        <v>59.5</v>
      </c>
      <c r="B105" s="18">
        <v>2.48E-3</v>
      </c>
    </row>
    <row r="106" spans="1:2" x14ac:dyDescent="0.25">
      <c r="A106" s="18">
        <v>60</v>
      </c>
      <c r="B106" s="18">
        <v>2.32E-3</v>
      </c>
    </row>
    <row r="107" spans="1:2" x14ac:dyDescent="0.25">
      <c r="A107" s="18">
        <v>60.5</v>
      </c>
      <c r="B107" s="18">
        <v>2.2300000000000002E-3</v>
      </c>
    </row>
    <row r="108" spans="1:2" x14ac:dyDescent="0.25">
      <c r="A108" s="18">
        <v>61</v>
      </c>
      <c r="B108" s="18">
        <v>2.1199999999999999E-3</v>
      </c>
    </row>
    <row r="109" spans="1:2" x14ac:dyDescent="0.25">
      <c r="A109" s="18">
        <v>61.5</v>
      </c>
      <c r="B109" s="18">
        <v>2.0400000000000001E-3</v>
      </c>
    </row>
    <row r="110" spans="1:2" x14ac:dyDescent="0.25">
      <c r="A110" s="18">
        <v>62</v>
      </c>
      <c r="B110" s="18">
        <v>1.9300000000000001E-3</v>
      </c>
    </row>
    <row r="111" spans="1:2" x14ac:dyDescent="0.25">
      <c r="A111" s="18">
        <v>62.5</v>
      </c>
      <c r="B111" s="18">
        <v>1.82E-3</v>
      </c>
    </row>
    <row r="112" spans="1:2" x14ac:dyDescent="0.25">
      <c r="A112" s="18">
        <v>63</v>
      </c>
      <c r="B112" s="18">
        <v>1.6999999999999999E-3</v>
      </c>
    </row>
    <row r="113" spans="1:2" x14ac:dyDescent="0.25">
      <c r="A113" s="18">
        <v>63.5</v>
      </c>
      <c r="B113" s="18">
        <v>1.6000000000000001E-3</v>
      </c>
    </row>
    <row r="114" spans="1:2" x14ac:dyDescent="0.25">
      <c r="A114" s="18">
        <v>64</v>
      </c>
      <c r="B114" s="18">
        <v>1.5100000000000001E-3</v>
      </c>
    </row>
    <row r="115" spans="1:2" x14ac:dyDescent="0.25">
      <c r="A115" s="18">
        <v>64.5</v>
      </c>
      <c r="B115" s="18">
        <v>1.4E-3</v>
      </c>
    </row>
    <row r="116" spans="1:2" x14ac:dyDescent="0.25">
      <c r="A116" s="18">
        <v>65</v>
      </c>
      <c r="B116" s="18">
        <v>1.31E-3</v>
      </c>
    </row>
    <row r="117" spans="1:2" x14ac:dyDescent="0.25">
      <c r="A117" s="18">
        <v>65.5</v>
      </c>
      <c r="B117" s="18">
        <v>1.1800000000000001E-3</v>
      </c>
    </row>
    <row r="118" spans="1:2" x14ac:dyDescent="0.25">
      <c r="A118" s="18">
        <v>66</v>
      </c>
      <c r="B118" s="18">
        <v>1.1000000000000001E-3</v>
      </c>
    </row>
    <row r="119" spans="1:2" x14ac:dyDescent="0.25">
      <c r="A119" s="18">
        <v>66.5</v>
      </c>
      <c r="B119" s="18">
        <v>9.68E-4</v>
      </c>
    </row>
    <row r="120" spans="1:2" x14ac:dyDescent="0.25">
      <c r="A120" s="18">
        <v>67</v>
      </c>
      <c r="B120" s="18">
        <v>8.5899999999999995E-4</v>
      </c>
    </row>
    <row r="121" spans="1:2" x14ac:dyDescent="0.25">
      <c r="A121" s="18">
        <v>67.5</v>
      </c>
      <c r="B121" s="18">
        <v>7.5900000000000002E-4</v>
      </c>
    </row>
    <row r="122" spans="1:2" x14ac:dyDescent="0.25">
      <c r="A122" s="18">
        <v>68</v>
      </c>
      <c r="B122" s="18">
        <v>6.2699999999999995E-4</v>
      </c>
    </row>
    <row r="123" spans="1:2" x14ac:dyDescent="0.25">
      <c r="A123" s="18">
        <v>68.5</v>
      </c>
      <c r="B123" s="18">
        <v>4.9200000000000003E-4</v>
      </c>
    </row>
    <row r="124" spans="1:2" x14ac:dyDescent="0.25">
      <c r="A124" s="18">
        <v>69</v>
      </c>
      <c r="B124" s="18">
        <v>3.8699999999999997E-4</v>
      </c>
    </row>
    <row r="125" spans="1:2" x14ac:dyDescent="0.25">
      <c r="A125" s="18">
        <v>69.5</v>
      </c>
      <c r="B125" s="18">
        <v>2.3699999999999999E-4</v>
      </c>
    </row>
    <row r="126" spans="1:2" x14ac:dyDescent="0.25">
      <c r="A126" s="18">
        <v>70</v>
      </c>
      <c r="B126" s="18">
        <v>7.4900000000000005E-5</v>
      </c>
    </row>
    <row r="127" spans="1:2" x14ac:dyDescent="0.25">
      <c r="A127" s="18">
        <v>70.5</v>
      </c>
      <c r="B127" s="18">
        <v>9.3899999999999999E-6</v>
      </c>
    </row>
    <row r="128" spans="1:2" x14ac:dyDescent="0.25">
      <c r="A128" s="18">
        <v>71</v>
      </c>
      <c r="B128" s="18">
        <v>5.3800000000000002E-6</v>
      </c>
    </row>
    <row r="129" spans="1:2" x14ac:dyDescent="0.25">
      <c r="A129" s="18">
        <v>71.5</v>
      </c>
      <c r="B129" s="18">
        <v>5.5600000000000001E-6</v>
      </c>
    </row>
    <row r="130" spans="1:2" x14ac:dyDescent="0.25">
      <c r="A130" s="18">
        <v>72</v>
      </c>
      <c r="B130" s="18">
        <v>6.3199999999999996E-6</v>
      </c>
    </row>
  </sheetData>
  <pageMargins left="0.7" right="0.7" top="0.75" bottom="0.75" header="0.3" footer="0.3"/>
  <pageSetup paperSize="9" orientation="portrait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dimension ref="A1:B19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5.0600000000000005E-4</v>
      </c>
    </row>
    <row r="3" spans="1:2" x14ac:dyDescent="0.25">
      <c r="A3" s="18">
        <v>8.5</v>
      </c>
      <c r="B3" s="18">
        <v>5.7899999999999998E-5</v>
      </c>
    </row>
    <row r="4" spans="1:2" x14ac:dyDescent="0.25">
      <c r="A4" s="18">
        <v>9</v>
      </c>
      <c r="B4" s="18">
        <v>2.9399999999999999E-4</v>
      </c>
    </row>
    <row r="5" spans="1:2" x14ac:dyDescent="0.25">
      <c r="A5" s="18">
        <v>9.5</v>
      </c>
      <c r="B5" s="18">
        <v>3.2899999999999997E-4</v>
      </c>
    </row>
    <row r="6" spans="1:2" x14ac:dyDescent="0.25">
      <c r="A6" s="18">
        <v>10</v>
      </c>
      <c r="B6" s="18">
        <v>7.0100000000000002E-4</v>
      </c>
    </row>
    <row r="7" spans="1:2" x14ac:dyDescent="0.25">
      <c r="A7" s="18">
        <v>10.5</v>
      </c>
      <c r="B7" s="18">
        <v>7.3700000000000002E-4</v>
      </c>
    </row>
    <row r="8" spans="1:2" x14ac:dyDescent="0.25">
      <c r="A8" s="18">
        <v>11</v>
      </c>
      <c r="B8" s="18">
        <v>6.3500000000000004E-4</v>
      </c>
    </row>
    <row r="9" spans="1:2" x14ac:dyDescent="0.25">
      <c r="A9" s="18">
        <v>11.5</v>
      </c>
      <c r="B9" s="18">
        <v>6.8400000000000004E-4</v>
      </c>
    </row>
    <row r="10" spans="1:2" x14ac:dyDescent="0.25">
      <c r="A10" s="18">
        <v>12</v>
      </c>
      <c r="B10" s="18">
        <v>4.0099999999999999E-4</v>
      </c>
    </row>
    <row r="11" spans="1:2" x14ac:dyDescent="0.25">
      <c r="A11" s="18">
        <v>12.5</v>
      </c>
      <c r="B11" s="18">
        <v>3.3199999999999999E-4</v>
      </c>
    </row>
    <row r="12" spans="1:2" x14ac:dyDescent="0.25">
      <c r="A12" s="18">
        <v>13</v>
      </c>
      <c r="B12" s="18">
        <v>3.8400000000000001E-4</v>
      </c>
    </row>
    <row r="13" spans="1:2" x14ac:dyDescent="0.25">
      <c r="A13" s="18">
        <v>13.5</v>
      </c>
      <c r="B13" s="18">
        <v>3.0499999999999999E-4</v>
      </c>
    </row>
    <row r="14" spans="1:2" x14ac:dyDescent="0.25">
      <c r="A14" s="18">
        <v>14</v>
      </c>
      <c r="B14" s="18">
        <v>4.75E-4</v>
      </c>
    </row>
    <row r="15" spans="1:2" x14ac:dyDescent="0.25">
      <c r="A15" s="18">
        <v>14.5</v>
      </c>
      <c r="B15" s="18">
        <v>3.1100000000000002E-4</v>
      </c>
    </row>
    <row r="16" spans="1:2" x14ac:dyDescent="0.25">
      <c r="A16" s="18">
        <v>15</v>
      </c>
      <c r="B16" s="18">
        <v>3.2299999999999999E-4</v>
      </c>
    </row>
    <row r="17" spans="1:2" x14ac:dyDescent="0.25">
      <c r="A17" s="18">
        <v>15.5</v>
      </c>
      <c r="B17" s="18">
        <v>3.5199999999999999E-4</v>
      </c>
    </row>
    <row r="18" spans="1:2" x14ac:dyDescent="0.25">
      <c r="A18" s="18">
        <v>16</v>
      </c>
      <c r="B18" s="18">
        <v>2.8699999999999998E-4</v>
      </c>
    </row>
    <row r="19" spans="1:2" x14ac:dyDescent="0.25">
      <c r="A19" s="18">
        <v>16.5</v>
      </c>
      <c r="B19" s="18">
        <v>2.8400000000000002E-4</v>
      </c>
    </row>
    <row r="20" spans="1:2" x14ac:dyDescent="0.25">
      <c r="A20" s="18">
        <v>17</v>
      </c>
      <c r="B20" s="18">
        <v>4.5899999999999999E-4</v>
      </c>
    </row>
    <row r="21" spans="1:2" x14ac:dyDescent="0.25">
      <c r="A21" s="18">
        <v>17.5</v>
      </c>
      <c r="B21" s="18">
        <v>5.2700000000000002E-4</v>
      </c>
    </row>
    <row r="22" spans="1:2" x14ac:dyDescent="0.25">
      <c r="A22" s="18">
        <v>18</v>
      </c>
      <c r="B22" s="18">
        <v>7.27E-4</v>
      </c>
    </row>
    <row r="23" spans="1:2" x14ac:dyDescent="0.25">
      <c r="A23" s="18">
        <v>18.5</v>
      </c>
      <c r="B23" s="18">
        <v>1.01E-3</v>
      </c>
    </row>
    <row r="24" spans="1:2" x14ac:dyDescent="0.25">
      <c r="A24" s="18">
        <v>19</v>
      </c>
      <c r="B24" s="18">
        <v>1.25E-3</v>
      </c>
    </row>
    <row r="25" spans="1:2" x14ac:dyDescent="0.25">
      <c r="A25" s="18">
        <v>19.5</v>
      </c>
      <c r="B25" s="18">
        <v>1.6199999999999999E-3</v>
      </c>
    </row>
    <row r="26" spans="1:2" x14ac:dyDescent="0.25">
      <c r="A26" s="18">
        <v>20</v>
      </c>
      <c r="B26" s="18">
        <v>2.14E-3</v>
      </c>
    </row>
    <row r="27" spans="1:2" x14ac:dyDescent="0.25">
      <c r="A27" s="18">
        <v>20.5</v>
      </c>
      <c r="B27" s="18">
        <v>2.7299999999999998E-3</v>
      </c>
    </row>
    <row r="28" spans="1:2" x14ac:dyDescent="0.25">
      <c r="A28" s="18">
        <v>21</v>
      </c>
      <c r="B28" s="18">
        <v>3.3400000000000001E-3</v>
      </c>
    </row>
    <row r="29" spans="1:2" x14ac:dyDescent="0.25">
      <c r="A29" s="18">
        <v>21.5</v>
      </c>
      <c r="B29" s="18">
        <v>3.9300000000000003E-3</v>
      </c>
    </row>
    <row r="30" spans="1:2" x14ac:dyDescent="0.25">
      <c r="A30" s="18">
        <v>22</v>
      </c>
      <c r="B30" s="18">
        <v>4.7099999999999998E-3</v>
      </c>
    </row>
    <row r="31" spans="1:2" x14ac:dyDescent="0.25">
      <c r="A31" s="18">
        <v>22.5</v>
      </c>
      <c r="B31" s="18">
        <v>5.47E-3</v>
      </c>
    </row>
    <row r="32" spans="1:2" x14ac:dyDescent="0.25">
      <c r="A32" s="18">
        <v>23</v>
      </c>
      <c r="B32" s="18">
        <v>6.11E-3</v>
      </c>
    </row>
    <row r="33" spans="1:2" x14ac:dyDescent="0.25">
      <c r="A33" s="18">
        <v>23.5</v>
      </c>
      <c r="B33" s="18">
        <v>6.96E-3</v>
      </c>
    </row>
    <row r="34" spans="1:2" x14ac:dyDescent="0.25">
      <c r="A34" s="18">
        <v>24</v>
      </c>
      <c r="B34" s="18">
        <v>7.62E-3</v>
      </c>
    </row>
    <row r="35" spans="1:2" x14ac:dyDescent="0.25">
      <c r="A35" s="18">
        <v>24.5</v>
      </c>
      <c r="B35" s="18">
        <v>8.3199999999999993E-3</v>
      </c>
    </row>
    <row r="36" spans="1:2" x14ac:dyDescent="0.25">
      <c r="A36" s="18">
        <v>25</v>
      </c>
      <c r="B36" s="18">
        <v>9.0500000000000008E-3</v>
      </c>
    </row>
    <row r="37" spans="1:2" x14ac:dyDescent="0.25">
      <c r="A37" s="18">
        <v>25.5</v>
      </c>
      <c r="B37" s="18">
        <v>9.6500000000000006E-3</v>
      </c>
    </row>
    <row r="38" spans="1:2" x14ac:dyDescent="0.25">
      <c r="A38" s="18">
        <v>26</v>
      </c>
      <c r="B38" s="18">
        <v>1.03E-2</v>
      </c>
    </row>
    <row r="39" spans="1:2" x14ac:dyDescent="0.25">
      <c r="A39" s="18">
        <v>26.5</v>
      </c>
      <c r="B39" s="18">
        <v>1.0699999999999999E-2</v>
      </c>
    </row>
    <row r="40" spans="1:2" x14ac:dyDescent="0.25">
      <c r="A40" s="18">
        <v>27</v>
      </c>
      <c r="B40" s="18">
        <v>1.1299999999999999E-2</v>
      </c>
    </row>
    <row r="41" spans="1:2" x14ac:dyDescent="0.25">
      <c r="A41" s="18">
        <v>27.5</v>
      </c>
      <c r="B41" s="18">
        <v>1.18E-2</v>
      </c>
    </row>
    <row r="42" spans="1:2" x14ac:dyDescent="0.25">
      <c r="A42" s="18">
        <v>28</v>
      </c>
      <c r="B42" s="18">
        <v>1.21E-2</v>
      </c>
    </row>
    <row r="43" spans="1:2" x14ac:dyDescent="0.25">
      <c r="A43" s="18">
        <v>28.5</v>
      </c>
      <c r="B43" s="18">
        <v>1.2500000000000001E-2</v>
      </c>
    </row>
    <row r="44" spans="1:2" x14ac:dyDescent="0.25">
      <c r="A44" s="18">
        <v>29</v>
      </c>
      <c r="B44" s="18">
        <v>1.26E-2</v>
      </c>
    </row>
    <row r="45" spans="1:2" x14ac:dyDescent="0.25">
      <c r="A45" s="18">
        <v>29.5</v>
      </c>
      <c r="B45" s="18">
        <v>1.29E-2</v>
      </c>
    </row>
    <row r="46" spans="1:2" x14ac:dyDescent="0.25">
      <c r="A46" s="18">
        <v>30</v>
      </c>
      <c r="B46" s="18">
        <v>1.3100000000000001E-2</v>
      </c>
    </row>
    <row r="47" spans="1:2" x14ac:dyDescent="0.25">
      <c r="A47" s="18">
        <v>30.5</v>
      </c>
      <c r="B47" s="18">
        <v>1.32E-2</v>
      </c>
    </row>
    <row r="48" spans="1:2" x14ac:dyDescent="0.25">
      <c r="A48" s="18">
        <v>31</v>
      </c>
      <c r="B48" s="18">
        <v>1.3299999999999999E-2</v>
      </c>
    </row>
    <row r="49" spans="1:2" x14ac:dyDescent="0.25">
      <c r="A49" s="18">
        <v>31.5</v>
      </c>
      <c r="B49" s="18">
        <v>1.35E-2</v>
      </c>
    </row>
    <row r="50" spans="1:2" x14ac:dyDescent="0.25">
      <c r="A50" s="18">
        <v>32</v>
      </c>
      <c r="B50" s="18">
        <v>1.35E-2</v>
      </c>
    </row>
    <row r="51" spans="1:2" x14ac:dyDescent="0.25">
      <c r="A51" s="18">
        <v>32.5</v>
      </c>
      <c r="B51" s="18">
        <v>1.35E-2</v>
      </c>
    </row>
    <row r="52" spans="1:2" x14ac:dyDescent="0.25">
      <c r="A52" s="18">
        <v>33</v>
      </c>
      <c r="B52" s="18">
        <v>1.3599999999999999E-2</v>
      </c>
    </row>
    <row r="53" spans="1:2" x14ac:dyDescent="0.25">
      <c r="A53" s="18">
        <v>33.5</v>
      </c>
      <c r="B53" s="18">
        <v>1.34E-2</v>
      </c>
    </row>
    <row r="54" spans="1:2" x14ac:dyDescent="0.25">
      <c r="A54" s="18">
        <v>34</v>
      </c>
      <c r="B54" s="18">
        <v>1.3299999999999999E-2</v>
      </c>
    </row>
    <row r="55" spans="1:2" x14ac:dyDescent="0.25">
      <c r="A55" s="18">
        <v>34.5</v>
      </c>
      <c r="B55" s="18">
        <v>1.32E-2</v>
      </c>
    </row>
    <row r="56" spans="1:2" x14ac:dyDescent="0.25">
      <c r="A56" s="18">
        <v>35</v>
      </c>
      <c r="B56" s="18">
        <v>1.32E-2</v>
      </c>
    </row>
    <row r="57" spans="1:2" x14ac:dyDescent="0.25">
      <c r="A57" s="18">
        <v>35.5</v>
      </c>
      <c r="B57" s="18">
        <v>1.29E-2</v>
      </c>
    </row>
    <row r="58" spans="1:2" x14ac:dyDescent="0.25">
      <c r="A58" s="18">
        <v>36</v>
      </c>
      <c r="B58" s="18">
        <v>1.2699999999999999E-2</v>
      </c>
    </row>
    <row r="59" spans="1:2" x14ac:dyDescent="0.25">
      <c r="A59" s="18">
        <v>36.5</v>
      </c>
      <c r="B59" s="18">
        <v>1.26E-2</v>
      </c>
    </row>
    <row r="60" spans="1:2" x14ac:dyDescent="0.25">
      <c r="A60" s="18">
        <v>37</v>
      </c>
      <c r="B60" s="18">
        <v>1.24E-2</v>
      </c>
    </row>
    <row r="61" spans="1:2" x14ac:dyDescent="0.25">
      <c r="A61" s="18">
        <v>37.5</v>
      </c>
      <c r="B61" s="18">
        <v>1.2200000000000001E-2</v>
      </c>
    </row>
    <row r="62" spans="1:2" x14ac:dyDescent="0.25">
      <c r="A62" s="18">
        <v>38</v>
      </c>
      <c r="B62" s="18">
        <v>1.2E-2</v>
      </c>
    </row>
    <row r="63" spans="1:2" x14ac:dyDescent="0.25">
      <c r="A63" s="18">
        <v>38.5</v>
      </c>
      <c r="B63" s="18">
        <v>1.18E-2</v>
      </c>
    </row>
    <row r="64" spans="1:2" x14ac:dyDescent="0.25">
      <c r="A64" s="18">
        <v>39</v>
      </c>
      <c r="B64" s="18">
        <v>1.15E-2</v>
      </c>
    </row>
    <row r="65" spans="1:2" x14ac:dyDescent="0.25">
      <c r="A65" s="18">
        <v>39.5</v>
      </c>
      <c r="B65" s="18">
        <v>1.1299999999999999E-2</v>
      </c>
    </row>
    <row r="66" spans="1:2" x14ac:dyDescent="0.25">
      <c r="A66" s="18">
        <v>40</v>
      </c>
      <c r="B66" s="18">
        <v>1.11E-2</v>
      </c>
    </row>
    <row r="67" spans="1:2" x14ac:dyDescent="0.25">
      <c r="A67" s="18">
        <v>40.5</v>
      </c>
      <c r="B67" s="18">
        <v>1.09E-2</v>
      </c>
    </row>
    <row r="68" spans="1:2" x14ac:dyDescent="0.25">
      <c r="A68" s="18">
        <v>41</v>
      </c>
      <c r="B68" s="18">
        <v>1.0699999999999999E-2</v>
      </c>
    </row>
    <row r="69" spans="1:2" x14ac:dyDescent="0.25">
      <c r="A69" s="18">
        <v>41.5</v>
      </c>
      <c r="B69" s="18">
        <v>1.06E-2</v>
      </c>
    </row>
    <row r="70" spans="1:2" x14ac:dyDescent="0.25">
      <c r="A70" s="18">
        <v>42</v>
      </c>
      <c r="B70" s="18">
        <v>1.04E-2</v>
      </c>
    </row>
    <row r="71" spans="1:2" x14ac:dyDescent="0.25">
      <c r="A71" s="18">
        <v>42.5</v>
      </c>
      <c r="B71" s="18">
        <v>1.0200000000000001E-2</v>
      </c>
    </row>
    <row r="72" spans="1:2" x14ac:dyDescent="0.25">
      <c r="A72" s="18">
        <v>43</v>
      </c>
      <c r="B72" s="18">
        <v>9.9900000000000006E-3</v>
      </c>
    </row>
    <row r="73" spans="1:2" x14ac:dyDescent="0.25">
      <c r="A73" s="18">
        <v>43.5</v>
      </c>
      <c r="B73" s="18">
        <v>9.8600000000000007E-3</v>
      </c>
    </row>
    <row r="74" spans="1:2" x14ac:dyDescent="0.25">
      <c r="A74" s="18">
        <v>44</v>
      </c>
      <c r="B74" s="18">
        <v>9.7000000000000003E-3</v>
      </c>
    </row>
    <row r="75" spans="1:2" x14ac:dyDescent="0.25">
      <c r="A75" s="18">
        <v>44.5</v>
      </c>
      <c r="B75" s="18">
        <v>9.4500000000000001E-3</v>
      </c>
    </row>
    <row r="76" spans="1:2" x14ac:dyDescent="0.25">
      <c r="A76" s="18">
        <v>45</v>
      </c>
      <c r="B76" s="18">
        <v>9.2300000000000004E-3</v>
      </c>
    </row>
    <row r="77" spans="1:2" x14ac:dyDescent="0.25">
      <c r="A77" s="18">
        <v>45.5</v>
      </c>
      <c r="B77" s="18">
        <v>9.1299999999999992E-3</v>
      </c>
    </row>
    <row r="78" spans="1:2" x14ac:dyDescent="0.25">
      <c r="A78" s="18">
        <v>46</v>
      </c>
      <c r="B78" s="18">
        <v>8.8599999999999998E-3</v>
      </c>
    </row>
    <row r="79" spans="1:2" x14ac:dyDescent="0.25">
      <c r="A79" s="18">
        <v>46.5</v>
      </c>
      <c r="B79" s="18">
        <v>8.7500000000000008E-3</v>
      </c>
    </row>
    <row r="80" spans="1:2" x14ac:dyDescent="0.25">
      <c r="A80" s="18">
        <v>47</v>
      </c>
      <c r="B80" s="18">
        <v>8.5000000000000006E-3</v>
      </c>
    </row>
    <row r="81" spans="1:2" x14ac:dyDescent="0.25">
      <c r="A81" s="18">
        <v>47.5</v>
      </c>
      <c r="B81" s="18">
        <v>8.3099999999999997E-3</v>
      </c>
    </row>
    <row r="82" spans="1:2" x14ac:dyDescent="0.25">
      <c r="A82" s="18">
        <v>48</v>
      </c>
      <c r="B82" s="18">
        <v>8.1499999999999993E-3</v>
      </c>
    </row>
    <row r="83" spans="1:2" x14ac:dyDescent="0.25">
      <c r="A83" s="18">
        <v>48.5</v>
      </c>
      <c r="B83" s="18">
        <v>7.9900000000000006E-3</v>
      </c>
    </row>
    <row r="84" spans="1:2" x14ac:dyDescent="0.25">
      <c r="A84" s="18">
        <v>49</v>
      </c>
      <c r="B84" s="18">
        <v>7.7600000000000004E-3</v>
      </c>
    </row>
    <row r="85" spans="1:2" x14ac:dyDescent="0.25">
      <c r="A85" s="18">
        <v>49.5</v>
      </c>
      <c r="B85" s="18">
        <v>7.6E-3</v>
      </c>
    </row>
    <row r="86" spans="1:2" x14ac:dyDescent="0.25">
      <c r="A86" s="18">
        <v>50</v>
      </c>
      <c r="B86" s="18">
        <v>7.45E-3</v>
      </c>
    </row>
    <row r="87" spans="1:2" x14ac:dyDescent="0.25">
      <c r="A87" s="18">
        <v>50.5</v>
      </c>
      <c r="B87" s="18">
        <v>7.3499999999999998E-3</v>
      </c>
    </row>
    <row r="88" spans="1:2" x14ac:dyDescent="0.25">
      <c r="A88" s="18">
        <v>51</v>
      </c>
      <c r="B88" s="18">
        <v>7.2399999999999999E-3</v>
      </c>
    </row>
    <row r="89" spans="1:2" x14ac:dyDescent="0.25">
      <c r="A89" s="18">
        <v>51.5</v>
      </c>
      <c r="B89" s="18">
        <v>7.0600000000000003E-3</v>
      </c>
    </row>
    <row r="90" spans="1:2" x14ac:dyDescent="0.25">
      <c r="A90" s="18">
        <v>52</v>
      </c>
      <c r="B90" s="18">
        <v>6.96E-3</v>
      </c>
    </row>
    <row r="91" spans="1:2" x14ac:dyDescent="0.25">
      <c r="A91" s="18">
        <v>52.5</v>
      </c>
      <c r="B91" s="18">
        <v>6.8700000000000002E-3</v>
      </c>
    </row>
    <row r="92" spans="1:2" x14ac:dyDescent="0.25">
      <c r="A92" s="18">
        <v>53</v>
      </c>
      <c r="B92" s="18">
        <v>6.6899999999999998E-3</v>
      </c>
    </row>
    <row r="93" spans="1:2" x14ac:dyDescent="0.25">
      <c r="A93" s="18">
        <v>53.5</v>
      </c>
      <c r="B93" s="18">
        <v>6.6100000000000004E-3</v>
      </c>
    </row>
    <row r="94" spans="1:2" x14ac:dyDescent="0.25">
      <c r="A94" s="18">
        <v>54</v>
      </c>
      <c r="B94" s="18">
        <v>6.5300000000000002E-3</v>
      </c>
    </row>
    <row r="95" spans="1:2" x14ac:dyDescent="0.25">
      <c r="A95" s="18">
        <v>54.5</v>
      </c>
      <c r="B95" s="18">
        <v>6.3499999999999997E-3</v>
      </c>
    </row>
    <row r="96" spans="1:2" x14ac:dyDescent="0.25">
      <c r="A96" s="18">
        <v>55</v>
      </c>
      <c r="B96" s="18">
        <v>6.28E-3</v>
      </c>
    </row>
    <row r="97" spans="1:2" x14ac:dyDescent="0.25">
      <c r="A97" s="18">
        <v>55.5</v>
      </c>
      <c r="B97" s="18">
        <v>6.1500000000000001E-3</v>
      </c>
    </row>
    <row r="98" spans="1:2" x14ac:dyDescent="0.25">
      <c r="A98" s="18">
        <v>56</v>
      </c>
      <c r="B98" s="18">
        <v>6.0299999999999998E-3</v>
      </c>
    </row>
    <row r="99" spans="1:2" x14ac:dyDescent="0.25">
      <c r="A99" s="18">
        <v>56.5</v>
      </c>
      <c r="B99" s="18">
        <v>5.9500000000000004E-3</v>
      </c>
    </row>
    <row r="100" spans="1:2" x14ac:dyDescent="0.25">
      <c r="A100" s="18">
        <v>57</v>
      </c>
      <c r="B100" s="18">
        <v>5.8799999999999998E-3</v>
      </c>
    </row>
    <row r="101" spans="1:2" x14ac:dyDescent="0.25">
      <c r="A101" s="18">
        <v>57.5</v>
      </c>
      <c r="B101" s="18">
        <v>7.1399999999999996E-3</v>
      </c>
    </row>
    <row r="102" spans="1:2" x14ac:dyDescent="0.25">
      <c r="A102" s="18">
        <v>58</v>
      </c>
      <c r="B102" s="18">
        <v>1.6799999999999999E-2</v>
      </c>
    </row>
    <row r="103" spans="1:2" x14ac:dyDescent="0.25">
      <c r="A103" s="18">
        <v>58.5</v>
      </c>
      <c r="B103" s="18">
        <v>6.7299999999999999E-3</v>
      </c>
    </row>
    <row r="104" spans="1:2" x14ac:dyDescent="0.25">
      <c r="A104" s="18">
        <v>59</v>
      </c>
      <c r="B104" s="18">
        <v>1.35E-2</v>
      </c>
    </row>
    <row r="105" spans="1:2" x14ac:dyDescent="0.25">
      <c r="A105" s="18">
        <v>59.5</v>
      </c>
      <c r="B105" s="18">
        <v>2.0899999999999998E-2</v>
      </c>
    </row>
    <row r="106" spans="1:2" x14ac:dyDescent="0.25">
      <c r="A106" s="18">
        <v>60</v>
      </c>
      <c r="B106" s="18">
        <v>5.5199999999999997E-3</v>
      </c>
    </row>
    <row r="107" spans="1:2" x14ac:dyDescent="0.25">
      <c r="A107" s="18">
        <v>60.5</v>
      </c>
      <c r="B107" s="18">
        <v>5.1399999999999996E-3</v>
      </c>
    </row>
    <row r="108" spans="1:2" x14ac:dyDescent="0.25">
      <c r="A108" s="18">
        <v>61</v>
      </c>
      <c r="B108" s="18">
        <v>5.0000000000000001E-3</v>
      </c>
    </row>
    <row r="109" spans="1:2" x14ac:dyDescent="0.25">
      <c r="A109" s="18">
        <v>61.5</v>
      </c>
      <c r="B109" s="18">
        <v>4.9399999999999999E-3</v>
      </c>
    </row>
    <row r="110" spans="1:2" x14ac:dyDescent="0.25">
      <c r="A110" s="18">
        <v>62</v>
      </c>
      <c r="B110" s="18">
        <v>4.8799999999999998E-3</v>
      </c>
    </row>
    <row r="111" spans="1:2" x14ac:dyDescent="0.25">
      <c r="A111" s="18">
        <v>62.5</v>
      </c>
      <c r="B111" s="18">
        <v>4.7999999999999996E-3</v>
      </c>
    </row>
    <row r="112" spans="1:2" x14ac:dyDescent="0.25">
      <c r="A112" s="18">
        <v>63</v>
      </c>
      <c r="B112" s="18">
        <v>4.7299999999999998E-3</v>
      </c>
    </row>
    <row r="113" spans="1:2" x14ac:dyDescent="0.25">
      <c r="A113" s="18">
        <v>63.5</v>
      </c>
      <c r="B113" s="18">
        <v>4.6699999999999997E-3</v>
      </c>
    </row>
    <row r="114" spans="1:2" x14ac:dyDescent="0.25">
      <c r="A114" s="18">
        <v>64</v>
      </c>
      <c r="B114" s="18">
        <v>4.5799999999999999E-3</v>
      </c>
    </row>
    <row r="115" spans="1:2" x14ac:dyDescent="0.25">
      <c r="A115" s="18">
        <v>64.5</v>
      </c>
      <c r="B115" s="18">
        <v>4.5300000000000002E-3</v>
      </c>
    </row>
    <row r="116" spans="1:2" x14ac:dyDescent="0.25">
      <c r="A116" s="18">
        <v>65</v>
      </c>
      <c r="B116" s="18">
        <v>4.4400000000000004E-3</v>
      </c>
    </row>
    <row r="117" spans="1:2" x14ac:dyDescent="0.25">
      <c r="A117" s="18">
        <v>65.5</v>
      </c>
      <c r="B117" s="18">
        <v>4.4000000000000003E-3</v>
      </c>
    </row>
    <row r="118" spans="1:2" x14ac:dyDescent="0.25">
      <c r="A118" s="18">
        <v>66</v>
      </c>
      <c r="B118" s="18">
        <v>4.3600000000000002E-3</v>
      </c>
    </row>
    <row r="119" spans="1:2" x14ac:dyDescent="0.25">
      <c r="A119" s="18">
        <v>66.5</v>
      </c>
      <c r="B119" s="18">
        <v>4.7200000000000002E-3</v>
      </c>
    </row>
    <row r="120" spans="1:2" x14ac:dyDescent="0.25">
      <c r="A120" s="18">
        <v>67</v>
      </c>
      <c r="B120" s="18">
        <v>9.5399999999999999E-3</v>
      </c>
    </row>
    <row r="121" spans="1:2" x14ac:dyDescent="0.25">
      <c r="A121" s="18">
        <v>67.5</v>
      </c>
      <c r="B121" s="18">
        <v>7.3499999999999998E-3</v>
      </c>
    </row>
    <row r="122" spans="1:2" x14ac:dyDescent="0.25">
      <c r="A122" s="18">
        <v>68</v>
      </c>
      <c r="B122" s="18">
        <v>4.15E-3</v>
      </c>
    </row>
    <row r="123" spans="1:2" x14ac:dyDescent="0.25">
      <c r="A123" s="18">
        <v>68.5</v>
      </c>
      <c r="B123" s="18">
        <v>4.0800000000000003E-3</v>
      </c>
    </row>
    <row r="124" spans="1:2" x14ac:dyDescent="0.25">
      <c r="A124" s="18">
        <v>69</v>
      </c>
      <c r="B124" s="18">
        <v>5.5999999999999999E-3</v>
      </c>
    </row>
    <row r="125" spans="1:2" x14ac:dyDescent="0.25">
      <c r="A125" s="18">
        <v>69.5</v>
      </c>
      <c r="B125" s="18">
        <v>4.3400000000000001E-3</v>
      </c>
    </row>
    <row r="126" spans="1:2" x14ac:dyDescent="0.25">
      <c r="A126" s="18">
        <v>70</v>
      </c>
      <c r="B126" s="18">
        <v>3.46E-3</v>
      </c>
    </row>
    <row r="127" spans="1:2" x14ac:dyDescent="0.25">
      <c r="A127" s="18">
        <v>70.5</v>
      </c>
      <c r="B127" s="18">
        <v>3.4099999999999998E-3</v>
      </c>
    </row>
    <row r="128" spans="1:2" x14ac:dyDescent="0.25">
      <c r="A128" s="18">
        <v>71</v>
      </c>
      <c r="B128" s="18">
        <v>3.3500000000000001E-3</v>
      </c>
    </row>
    <row r="129" spans="1:2" x14ac:dyDescent="0.25">
      <c r="A129" s="18">
        <v>71.5</v>
      </c>
      <c r="B129" s="18">
        <v>3.31E-3</v>
      </c>
    </row>
    <row r="130" spans="1:2" x14ac:dyDescent="0.25">
      <c r="A130" s="18">
        <v>72</v>
      </c>
      <c r="B130" s="18">
        <v>3.2399999999999998E-3</v>
      </c>
    </row>
    <row r="131" spans="1:2" x14ac:dyDescent="0.25">
      <c r="A131" s="18">
        <v>72.5</v>
      </c>
      <c r="B131" s="18">
        <v>3.2100000000000002E-3</v>
      </c>
    </row>
    <row r="132" spans="1:2" x14ac:dyDescent="0.25">
      <c r="A132" s="18">
        <v>73</v>
      </c>
      <c r="B132" s="18">
        <v>3.14E-3</v>
      </c>
    </row>
    <row r="133" spans="1:2" x14ac:dyDescent="0.25">
      <c r="A133" s="18">
        <v>73.5</v>
      </c>
      <c r="B133" s="18">
        <v>3.1099999999999999E-3</v>
      </c>
    </row>
    <row r="134" spans="1:2" x14ac:dyDescent="0.25">
      <c r="A134" s="18">
        <v>74</v>
      </c>
      <c r="B134" s="18">
        <v>3.0500000000000002E-3</v>
      </c>
    </row>
    <row r="135" spans="1:2" x14ac:dyDescent="0.25">
      <c r="A135" s="18">
        <v>74.5</v>
      </c>
      <c r="B135" s="18">
        <v>3.0200000000000001E-3</v>
      </c>
    </row>
    <row r="136" spans="1:2" x14ac:dyDescent="0.25">
      <c r="A136" s="18">
        <v>75</v>
      </c>
      <c r="B136" s="18">
        <v>2.9299999999999999E-3</v>
      </c>
    </row>
    <row r="137" spans="1:2" x14ac:dyDescent="0.25">
      <c r="A137" s="18">
        <v>75.5</v>
      </c>
      <c r="B137" s="18">
        <v>2.8900000000000002E-3</v>
      </c>
    </row>
    <row r="138" spans="1:2" x14ac:dyDescent="0.25">
      <c r="A138" s="18">
        <v>76</v>
      </c>
      <c r="B138" s="18">
        <v>2.81E-3</v>
      </c>
    </row>
    <row r="139" spans="1:2" x14ac:dyDescent="0.25">
      <c r="A139" s="18">
        <v>76.5</v>
      </c>
      <c r="B139" s="18">
        <v>2.7799999999999999E-3</v>
      </c>
    </row>
    <row r="140" spans="1:2" x14ac:dyDescent="0.25">
      <c r="A140" s="18">
        <v>77</v>
      </c>
      <c r="B140" s="18">
        <v>2.7000000000000001E-3</v>
      </c>
    </row>
    <row r="141" spans="1:2" x14ac:dyDescent="0.25">
      <c r="A141" s="18">
        <v>77.5</v>
      </c>
      <c r="B141" s="18">
        <v>2.64E-3</v>
      </c>
    </row>
    <row r="142" spans="1:2" x14ac:dyDescent="0.25">
      <c r="A142" s="18">
        <v>78</v>
      </c>
      <c r="B142" s="18">
        <v>2.5999999999999999E-3</v>
      </c>
    </row>
    <row r="143" spans="1:2" x14ac:dyDescent="0.25">
      <c r="A143" s="18">
        <v>78.5</v>
      </c>
      <c r="B143" s="18">
        <v>2.5600000000000002E-3</v>
      </c>
    </row>
    <row r="144" spans="1:2" x14ac:dyDescent="0.25">
      <c r="A144" s="18">
        <v>79</v>
      </c>
      <c r="B144" s="18">
        <v>2.49E-3</v>
      </c>
    </row>
    <row r="145" spans="1:2" x14ac:dyDescent="0.25">
      <c r="A145" s="18">
        <v>79.5</v>
      </c>
      <c r="B145" s="18">
        <v>2.4299999999999999E-3</v>
      </c>
    </row>
    <row r="146" spans="1:2" x14ac:dyDescent="0.25">
      <c r="A146" s="18">
        <v>80</v>
      </c>
      <c r="B146" s="18">
        <v>2.3700000000000001E-3</v>
      </c>
    </row>
    <row r="147" spans="1:2" x14ac:dyDescent="0.25">
      <c r="A147" s="18">
        <v>80.5</v>
      </c>
      <c r="B147" s="18">
        <v>2.33E-3</v>
      </c>
    </row>
    <row r="148" spans="1:2" x14ac:dyDescent="0.25">
      <c r="A148" s="18">
        <v>81</v>
      </c>
      <c r="B148" s="18">
        <v>2.2699999999999999E-3</v>
      </c>
    </row>
    <row r="149" spans="1:2" x14ac:dyDescent="0.25">
      <c r="A149" s="18">
        <v>81.5</v>
      </c>
      <c r="B149" s="18">
        <v>2.2399999999999998E-3</v>
      </c>
    </row>
    <row r="150" spans="1:2" x14ac:dyDescent="0.25">
      <c r="A150" s="18">
        <v>82</v>
      </c>
      <c r="B150" s="18">
        <v>2.2100000000000002E-3</v>
      </c>
    </row>
    <row r="151" spans="1:2" x14ac:dyDescent="0.25">
      <c r="A151" s="18">
        <v>82.5</v>
      </c>
      <c r="B151" s="18">
        <v>2.14E-3</v>
      </c>
    </row>
    <row r="152" spans="1:2" x14ac:dyDescent="0.25">
      <c r="A152" s="18">
        <v>83</v>
      </c>
      <c r="B152" s="18">
        <v>2.1199999999999999E-3</v>
      </c>
    </row>
    <row r="153" spans="1:2" x14ac:dyDescent="0.25">
      <c r="A153" s="18">
        <v>83.5</v>
      </c>
      <c r="B153" s="18">
        <v>2.0699999999999998E-3</v>
      </c>
    </row>
    <row r="154" spans="1:2" x14ac:dyDescent="0.25">
      <c r="A154" s="18">
        <v>84</v>
      </c>
      <c r="B154" s="18">
        <v>2.0100000000000001E-3</v>
      </c>
    </row>
    <row r="155" spans="1:2" x14ac:dyDescent="0.25">
      <c r="A155" s="18">
        <v>84.5</v>
      </c>
      <c r="B155" s="18">
        <v>1.97E-3</v>
      </c>
    </row>
    <row r="156" spans="1:2" x14ac:dyDescent="0.25">
      <c r="A156" s="18">
        <v>85</v>
      </c>
      <c r="B156" s="18">
        <v>1.92E-3</v>
      </c>
    </row>
    <row r="157" spans="1:2" x14ac:dyDescent="0.25">
      <c r="A157" s="18">
        <v>85.5</v>
      </c>
      <c r="B157" s="18">
        <v>1.8600000000000001E-3</v>
      </c>
    </row>
    <row r="158" spans="1:2" x14ac:dyDescent="0.25">
      <c r="A158" s="18">
        <v>86</v>
      </c>
      <c r="B158" s="18">
        <v>1.81E-3</v>
      </c>
    </row>
    <row r="159" spans="1:2" x14ac:dyDescent="0.25">
      <c r="A159" s="18">
        <v>86.5</v>
      </c>
      <c r="B159" s="18">
        <v>1.7799999999999999E-3</v>
      </c>
    </row>
    <row r="160" spans="1:2" x14ac:dyDescent="0.25">
      <c r="A160" s="18">
        <v>87</v>
      </c>
      <c r="B160" s="18">
        <v>1.6999999999999999E-3</v>
      </c>
    </row>
    <row r="161" spans="1:2" x14ac:dyDescent="0.25">
      <c r="A161" s="18">
        <v>87.5</v>
      </c>
      <c r="B161" s="18">
        <v>1.64E-3</v>
      </c>
    </row>
    <row r="162" spans="1:2" x14ac:dyDescent="0.25">
      <c r="A162" s="18">
        <v>88</v>
      </c>
      <c r="B162" s="18">
        <v>1.58E-3</v>
      </c>
    </row>
    <row r="163" spans="1:2" x14ac:dyDescent="0.25">
      <c r="A163" s="18">
        <v>88.5</v>
      </c>
      <c r="B163" s="18">
        <v>1.5100000000000001E-3</v>
      </c>
    </row>
    <row r="164" spans="1:2" x14ac:dyDescent="0.25">
      <c r="A164" s="18">
        <v>89</v>
      </c>
      <c r="B164" s="18">
        <v>1.4599999999999999E-3</v>
      </c>
    </row>
    <row r="165" spans="1:2" x14ac:dyDescent="0.25">
      <c r="A165" s="18">
        <v>89.5</v>
      </c>
      <c r="B165" s="18">
        <v>1.4300000000000001E-3</v>
      </c>
    </row>
    <row r="166" spans="1:2" x14ac:dyDescent="0.25">
      <c r="A166" s="18">
        <v>90</v>
      </c>
      <c r="B166" s="18">
        <v>1.3600000000000001E-3</v>
      </c>
    </row>
    <row r="167" spans="1:2" x14ac:dyDescent="0.25">
      <c r="A167" s="18">
        <v>90.5</v>
      </c>
      <c r="B167" s="18">
        <v>1.2999999999999999E-3</v>
      </c>
    </row>
    <row r="168" spans="1:2" x14ac:dyDescent="0.25">
      <c r="A168" s="18">
        <v>91</v>
      </c>
      <c r="B168" s="18">
        <v>1.25E-3</v>
      </c>
    </row>
    <row r="169" spans="1:2" x14ac:dyDescent="0.25">
      <c r="A169" s="18">
        <v>91.5</v>
      </c>
      <c r="B169" s="18">
        <v>1.1999999999999999E-3</v>
      </c>
    </row>
    <row r="170" spans="1:2" x14ac:dyDescent="0.25">
      <c r="A170" s="18">
        <v>92</v>
      </c>
      <c r="B170" s="18">
        <v>1.14E-3</v>
      </c>
    </row>
    <row r="171" spans="1:2" x14ac:dyDescent="0.25">
      <c r="A171" s="18">
        <v>92.5</v>
      </c>
      <c r="B171" s="18">
        <v>1.08E-3</v>
      </c>
    </row>
    <row r="172" spans="1:2" x14ac:dyDescent="0.25">
      <c r="A172" s="18">
        <v>93</v>
      </c>
      <c r="B172" s="18">
        <v>1.01E-3</v>
      </c>
    </row>
    <row r="173" spans="1:2" x14ac:dyDescent="0.25">
      <c r="A173" s="18">
        <v>93.5</v>
      </c>
      <c r="B173" s="18">
        <v>9.6699999999999998E-4</v>
      </c>
    </row>
    <row r="174" spans="1:2" x14ac:dyDescent="0.25">
      <c r="A174" s="18">
        <v>94</v>
      </c>
      <c r="B174" s="18">
        <v>8.9099999999999997E-4</v>
      </c>
    </row>
    <row r="175" spans="1:2" x14ac:dyDescent="0.25">
      <c r="A175" s="18">
        <v>94.5</v>
      </c>
      <c r="B175" s="18">
        <v>8.1800000000000004E-4</v>
      </c>
    </row>
    <row r="176" spans="1:2" x14ac:dyDescent="0.25">
      <c r="A176" s="18">
        <v>95</v>
      </c>
      <c r="B176" s="18">
        <v>7.7700000000000002E-4</v>
      </c>
    </row>
    <row r="177" spans="1:2" x14ac:dyDescent="0.25">
      <c r="A177" s="18">
        <v>95.5</v>
      </c>
      <c r="B177" s="18">
        <v>7.1100000000000004E-4</v>
      </c>
    </row>
    <row r="178" spans="1:2" x14ac:dyDescent="0.25">
      <c r="A178" s="18">
        <v>96</v>
      </c>
      <c r="B178" s="18">
        <v>6.3500000000000004E-4</v>
      </c>
    </row>
    <row r="179" spans="1:2" x14ac:dyDescent="0.25">
      <c r="A179" s="18">
        <v>96.5</v>
      </c>
      <c r="B179" s="18">
        <v>5.7600000000000001E-4</v>
      </c>
    </row>
    <row r="180" spans="1:2" x14ac:dyDescent="0.25">
      <c r="A180" s="18">
        <v>97</v>
      </c>
      <c r="B180" s="18">
        <v>4.9899999999999999E-4</v>
      </c>
    </row>
    <row r="181" spans="1:2" x14ac:dyDescent="0.25">
      <c r="A181" s="18">
        <v>97.5</v>
      </c>
      <c r="B181" s="18">
        <v>4.3899999999999999E-4</v>
      </c>
    </row>
    <row r="182" spans="1:2" x14ac:dyDescent="0.25">
      <c r="A182" s="18">
        <v>98</v>
      </c>
      <c r="B182" s="18">
        <v>3.6699999999999998E-4</v>
      </c>
    </row>
    <row r="183" spans="1:2" x14ac:dyDescent="0.25">
      <c r="A183" s="18">
        <v>98.5</v>
      </c>
      <c r="B183" s="18">
        <v>2.8299999999999999E-4</v>
      </c>
    </row>
    <row r="184" spans="1:2" x14ac:dyDescent="0.25">
      <c r="A184" s="18">
        <v>99</v>
      </c>
      <c r="B184" s="18">
        <v>2.13E-4</v>
      </c>
    </row>
    <row r="185" spans="1:2" x14ac:dyDescent="0.25">
      <c r="A185" s="18">
        <v>99.5</v>
      </c>
      <c r="B185" s="18">
        <v>1.2E-4</v>
      </c>
    </row>
    <row r="186" spans="1:2" x14ac:dyDescent="0.25">
      <c r="A186" s="18">
        <v>100</v>
      </c>
      <c r="B186" s="18">
        <v>2.9300000000000001E-5</v>
      </c>
    </row>
    <row r="187" spans="1:2" x14ac:dyDescent="0.25">
      <c r="A187" s="18">
        <v>101</v>
      </c>
      <c r="B187" s="18">
        <v>5.6699999999999999E-6</v>
      </c>
    </row>
    <row r="188" spans="1:2" x14ac:dyDescent="0.25">
      <c r="A188" s="18">
        <v>101</v>
      </c>
      <c r="B188" s="18">
        <v>6.6100000000000002E-6</v>
      </c>
    </row>
    <row r="189" spans="1:2" x14ac:dyDescent="0.25">
      <c r="A189" s="18">
        <v>102</v>
      </c>
      <c r="B189" s="18">
        <v>6.9399999999999996E-6</v>
      </c>
    </row>
    <row r="190" spans="1:2" x14ac:dyDescent="0.25">
      <c r="A190" s="18">
        <v>102</v>
      </c>
      <c r="B190" s="18">
        <v>6.2299999999999996E-6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dimension ref="A1:B23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8</v>
      </c>
      <c r="B2" s="18">
        <v>4.3600000000000003E-4</v>
      </c>
    </row>
    <row r="3" spans="1:2" x14ac:dyDescent="0.25">
      <c r="A3" s="18">
        <v>8.5</v>
      </c>
      <c r="B3" s="18">
        <v>1.3799999999999999E-4</v>
      </c>
    </row>
    <row r="4" spans="1:2" x14ac:dyDescent="0.25">
      <c r="A4" s="18">
        <v>9</v>
      </c>
      <c r="B4" s="18">
        <v>6.0899999999999995E-4</v>
      </c>
    </row>
    <row r="5" spans="1:2" x14ac:dyDescent="0.25">
      <c r="A5" s="18">
        <v>9.5</v>
      </c>
      <c r="B5" s="18">
        <v>4.66E-4</v>
      </c>
    </row>
    <row r="6" spans="1:2" x14ac:dyDescent="0.25">
      <c r="A6" s="18">
        <v>10</v>
      </c>
      <c r="B6" s="18">
        <v>6.4199999999999999E-4</v>
      </c>
    </row>
    <row r="7" spans="1:2" x14ac:dyDescent="0.25">
      <c r="A7" s="18">
        <v>10.5</v>
      </c>
      <c r="B7" s="18">
        <v>5.7300000000000005E-4</v>
      </c>
    </row>
    <row r="8" spans="1:2" x14ac:dyDescent="0.25">
      <c r="A8" s="18">
        <v>11</v>
      </c>
      <c r="B8" s="18">
        <v>7.18E-4</v>
      </c>
    </row>
    <row r="9" spans="1:2" x14ac:dyDescent="0.25">
      <c r="A9" s="18">
        <v>11.5</v>
      </c>
      <c r="B9" s="18">
        <v>5.7700000000000004E-4</v>
      </c>
    </row>
    <row r="10" spans="1:2" x14ac:dyDescent="0.25">
      <c r="A10" s="18">
        <v>12</v>
      </c>
      <c r="B10" s="18">
        <v>4.4700000000000002E-4</v>
      </c>
    </row>
    <row r="11" spans="1:2" x14ac:dyDescent="0.25">
      <c r="A11" s="18">
        <v>12.5</v>
      </c>
      <c r="B11" s="18">
        <v>4.7899999999999999E-4</v>
      </c>
    </row>
    <row r="12" spans="1:2" x14ac:dyDescent="0.25">
      <c r="A12" s="18">
        <v>13</v>
      </c>
      <c r="B12" s="18">
        <v>3.9800000000000002E-4</v>
      </c>
    </row>
    <row r="13" spans="1:2" x14ac:dyDescent="0.25">
      <c r="A13" s="18">
        <v>13.5</v>
      </c>
      <c r="B13" s="18">
        <v>3.3300000000000002E-4</v>
      </c>
    </row>
    <row r="14" spans="1:2" x14ac:dyDescent="0.25">
      <c r="A14" s="18">
        <v>14</v>
      </c>
      <c r="B14" s="18">
        <v>3.28E-4</v>
      </c>
    </row>
    <row r="15" spans="1:2" x14ac:dyDescent="0.25">
      <c r="A15" s="18">
        <v>14.5</v>
      </c>
      <c r="B15" s="18">
        <v>3.0600000000000001E-4</v>
      </c>
    </row>
    <row r="16" spans="1:2" x14ac:dyDescent="0.25">
      <c r="A16" s="18">
        <v>15</v>
      </c>
      <c r="B16" s="18">
        <v>3.0200000000000002E-4</v>
      </c>
    </row>
    <row r="17" spans="1:2" x14ac:dyDescent="0.25">
      <c r="A17" s="18">
        <v>15.5</v>
      </c>
      <c r="B17" s="18">
        <v>2.7700000000000001E-4</v>
      </c>
    </row>
    <row r="18" spans="1:2" x14ac:dyDescent="0.25">
      <c r="A18" s="18">
        <v>16</v>
      </c>
      <c r="B18" s="18">
        <v>2.2800000000000001E-4</v>
      </c>
    </row>
    <row r="19" spans="1:2" x14ac:dyDescent="0.25">
      <c r="A19" s="18">
        <v>16.5</v>
      </c>
      <c r="B19" s="18">
        <v>2.05E-4</v>
      </c>
    </row>
    <row r="20" spans="1:2" x14ac:dyDescent="0.25">
      <c r="A20" s="18">
        <v>17</v>
      </c>
      <c r="B20" s="18">
        <v>2.7E-4</v>
      </c>
    </row>
    <row r="21" spans="1:2" x14ac:dyDescent="0.25">
      <c r="A21" s="18">
        <v>17.5</v>
      </c>
      <c r="B21" s="18">
        <v>3.0899999999999998E-4</v>
      </c>
    </row>
    <row r="22" spans="1:2" x14ac:dyDescent="0.25">
      <c r="A22" s="18">
        <v>18</v>
      </c>
      <c r="B22" s="18">
        <v>2.5799999999999998E-4</v>
      </c>
    </row>
    <row r="23" spans="1:2" x14ac:dyDescent="0.25">
      <c r="A23" s="18">
        <v>18.5</v>
      </c>
      <c r="B23" s="18">
        <v>3.4099999999999999E-4</v>
      </c>
    </row>
    <row r="24" spans="1:2" x14ac:dyDescent="0.25">
      <c r="A24" s="18">
        <v>19</v>
      </c>
      <c r="B24" s="18">
        <v>3.8200000000000002E-4</v>
      </c>
    </row>
    <row r="25" spans="1:2" x14ac:dyDescent="0.25">
      <c r="A25" s="18">
        <v>19.5</v>
      </c>
      <c r="B25" s="18">
        <v>4.0499999999999998E-4</v>
      </c>
    </row>
    <row r="26" spans="1:2" x14ac:dyDescent="0.25">
      <c r="A26" s="18">
        <v>20</v>
      </c>
      <c r="B26" s="18">
        <v>5.5199999999999997E-4</v>
      </c>
    </row>
    <row r="27" spans="1:2" x14ac:dyDescent="0.25">
      <c r="A27" s="18">
        <v>20.5</v>
      </c>
      <c r="B27" s="18">
        <v>7.7800000000000005E-4</v>
      </c>
    </row>
    <row r="28" spans="1:2" x14ac:dyDescent="0.25">
      <c r="A28" s="18">
        <v>21</v>
      </c>
      <c r="B28" s="18">
        <v>1.07E-3</v>
      </c>
    </row>
    <row r="29" spans="1:2" x14ac:dyDescent="0.25">
      <c r="A29" s="18">
        <v>21.5</v>
      </c>
      <c r="B29" s="18">
        <v>1.2600000000000001E-3</v>
      </c>
    </row>
    <row r="30" spans="1:2" x14ac:dyDescent="0.25">
      <c r="A30" s="18">
        <v>22</v>
      </c>
      <c r="B30" s="18">
        <v>1.64E-3</v>
      </c>
    </row>
    <row r="31" spans="1:2" x14ac:dyDescent="0.25">
      <c r="A31" s="18">
        <v>22.5</v>
      </c>
      <c r="B31" s="18">
        <v>2E-3</v>
      </c>
    </row>
    <row r="32" spans="1:2" x14ac:dyDescent="0.25">
      <c r="A32" s="18">
        <v>23</v>
      </c>
      <c r="B32" s="18">
        <v>2.4099999999999998E-3</v>
      </c>
    </row>
    <row r="33" spans="1:2" x14ac:dyDescent="0.25">
      <c r="A33" s="18">
        <v>23.5</v>
      </c>
      <c r="B33" s="18">
        <v>2.8700000000000002E-3</v>
      </c>
    </row>
    <row r="34" spans="1:2" x14ac:dyDescent="0.25">
      <c r="A34" s="18">
        <v>24</v>
      </c>
      <c r="B34" s="18">
        <v>3.3800000000000002E-3</v>
      </c>
    </row>
    <row r="35" spans="1:2" x14ac:dyDescent="0.25">
      <c r="A35" s="18">
        <v>24.5</v>
      </c>
      <c r="B35" s="18">
        <v>3.8899999999999998E-3</v>
      </c>
    </row>
    <row r="36" spans="1:2" x14ac:dyDescent="0.25">
      <c r="A36" s="18">
        <v>25</v>
      </c>
      <c r="B36" s="18">
        <v>4.3699999999999998E-3</v>
      </c>
    </row>
    <row r="37" spans="1:2" x14ac:dyDescent="0.25">
      <c r="A37" s="18">
        <v>25.5</v>
      </c>
      <c r="B37" s="18">
        <v>4.8799999999999998E-3</v>
      </c>
    </row>
    <row r="38" spans="1:2" x14ac:dyDescent="0.25">
      <c r="A38" s="18">
        <v>26</v>
      </c>
      <c r="B38" s="18">
        <v>5.3099999999999996E-3</v>
      </c>
    </row>
    <row r="39" spans="1:2" x14ac:dyDescent="0.25">
      <c r="A39" s="18">
        <v>26.5</v>
      </c>
      <c r="B39" s="18">
        <v>5.9100000000000003E-3</v>
      </c>
    </row>
    <row r="40" spans="1:2" x14ac:dyDescent="0.25">
      <c r="A40" s="18">
        <v>27</v>
      </c>
      <c r="B40" s="18">
        <v>6.3400000000000001E-3</v>
      </c>
    </row>
    <row r="41" spans="1:2" x14ac:dyDescent="0.25">
      <c r="A41" s="18">
        <v>27.5</v>
      </c>
      <c r="B41" s="18">
        <v>6.6899999999999998E-3</v>
      </c>
    </row>
    <row r="42" spans="1:2" x14ac:dyDescent="0.25">
      <c r="A42" s="18">
        <v>28</v>
      </c>
      <c r="B42" s="18">
        <v>7.2100000000000003E-3</v>
      </c>
    </row>
    <row r="43" spans="1:2" x14ac:dyDescent="0.25">
      <c r="A43" s="18">
        <v>28.5</v>
      </c>
      <c r="B43" s="18">
        <v>7.6299999999999996E-3</v>
      </c>
    </row>
    <row r="44" spans="1:2" x14ac:dyDescent="0.25">
      <c r="A44" s="18">
        <v>29</v>
      </c>
      <c r="B44" s="18">
        <v>8.0300000000000007E-3</v>
      </c>
    </row>
    <row r="45" spans="1:2" x14ac:dyDescent="0.25">
      <c r="A45" s="18">
        <v>29.5</v>
      </c>
      <c r="B45" s="18">
        <v>8.3400000000000002E-3</v>
      </c>
    </row>
    <row r="46" spans="1:2" x14ac:dyDescent="0.25">
      <c r="A46" s="18">
        <v>30</v>
      </c>
      <c r="B46" s="18">
        <v>8.6599999999999993E-3</v>
      </c>
    </row>
    <row r="47" spans="1:2" x14ac:dyDescent="0.25">
      <c r="A47" s="18">
        <v>30.5</v>
      </c>
      <c r="B47" s="18">
        <v>8.9899999999999997E-3</v>
      </c>
    </row>
    <row r="48" spans="1:2" x14ac:dyDescent="0.25">
      <c r="A48" s="18">
        <v>31</v>
      </c>
      <c r="B48" s="18">
        <v>9.1299999999999992E-3</v>
      </c>
    </row>
    <row r="49" spans="1:2" x14ac:dyDescent="0.25">
      <c r="A49" s="18">
        <v>31.5</v>
      </c>
      <c r="B49" s="18">
        <v>9.4299999999999991E-3</v>
      </c>
    </row>
    <row r="50" spans="1:2" x14ac:dyDescent="0.25">
      <c r="A50" s="18">
        <v>32</v>
      </c>
      <c r="B50" s="18">
        <v>9.5899999999999996E-3</v>
      </c>
    </row>
    <row r="51" spans="1:2" x14ac:dyDescent="0.25">
      <c r="A51" s="18">
        <v>32.5</v>
      </c>
      <c r="B51" s="18">
        <v>9.7900000000000001E-3</v>
      </c>
    </row>
    <row r="52" spans="1:2" x14ac:dyDescent="0.25">
      <c r="A52" s="18">
        <v>33</v>
      </c>
      <c r="B52" s="18">
        <v>9.9299999999999996E-3</v>
      </c>
    </row>
    <row r="53" spans="1:2" x14ac:dyDescent="0.25">
      <c r="A53" s="18">
        <v>33.5</v>
      </c>
      <c r="B53" s="18">
        <v>1.01E-2</v>
      </c>
    </row>
    <row r="54" spans="1:2" x14ac:dyDescent="0.25">
      <c r="A54" s="18">
        <v>34</v>
      </c>
      <c r="B54" s="18">
        <v>1.01E-2</v>
      </c>
    </row>
    <row r="55" spans="1:2" x14ac:dyDescent="0.25">
      <c r="A55" s="18">
        <v>34.5</v>
      </c>
      <c r="B55" s="18">
        <v>1.03E-2</v>
      </c>
    </row>
    <row r="56" spans="1:2" x14ac:dyDescent="0.25">
      <c r="A56" s="18">
        <v>35</v>
      </c>
      <c r="B56" s="18">
        <v>1.03E-2</v>
      </c>
    </row>
    <row r="57" spans="1:2" x14ac:dyDescent="0.25">
      <c r="A57" s="18">
        <v>35.5</v>
      </c>
      <c r="B57" s="18">
        <v>1.0200000000000001E-2</v>
      </c>
    </row>
    <row r="58" spans="1:2" x14ac:dyDescent="0.25">
      <c r="A58" s="18">
        <v>36</v>
      </c>
      <c r="B58" s="18">
        <v>1.03E-2</v>
      </c>
    </row>
    <row r="59" spans="1:2" x14ac:dyDescent="0.25">
      <c r="A59" s="18">
        <v>36.5</v>
      </c>
      <c r="B59" s="18">
        <v>1.0200000000000001E-2</v>
      </c>
    </row>
    <row r="60" spans="1:2" x14ac:dyDescent="0.25">
      <c r="A60" s="18">
        <v>37</v>
      </c>
      <c r="B60" s="18">
        <v>1.0200000000000001E-2</v>
      </c>
    </row>
    <row r="61" spans="1:2" x14ac:dyDescent="0.25">
      <c r="A61" s="18">
        <v>37.5</v>
      </c>
      <c r="B61" s="18">
        <v>1.01E-2</v>
      </c>
    </row>
    <row r="62" spans="1:2" x14ac:dyDescent="0.25">
      <c r="A62" s="18">
        <v>38</v>
      </c>
      <c r="B62" s="18">
        <v>1.01E-2</v>
      </c>
    </row>
    <row r="63" spans="1:2" x14ac:dyDescent="0.25">
      <c r="A63" s="18">
        <v>38.5</v>
      </c>
      <c r="B63" s="18">
        <v>0.01</v>
      </c>
    </row>
    <row r="64" spans="1:2" x14ac:dyDescent="0.25">
      <c r="A64" s="18">
        <v>39</v>
      </c>
      <c r="B64" s="18">
        <v>9.9000000000000008E-3</v>
      </c>
    </row>
    <row r="65" spans="1:2" x14ac:dyDescent="0.25">
      <c r="A65" s="18">
        <v>39.5</v>
      </c>
      <c r="B65" s="18">
        <v>9.75E-3</v>
      </c>
    </row>
    <row r="66" spans="1:2" x14ac:dyDescent="0.25">
      <c r="A66" s="18">
        <v>40</v>
      </c>
      <c r="B66" s="18">
        <v>9.6600000000000002E-3</v>
      </c>
    </row>
    <row r="67" spans="1:2" x14ac:dyDescent="0.25">
      <c r="A67" s="18">
        <v>40.5</v>
      </c>
      <c r="B67" s="18">
        <v>9.5399999999999999E-3</v>
      </c>
    </row>
    <row r="68" spans="1:2" x14ac:dyDescent="0.25">
      <c r="A68" s="18">
        <v>41</v>
      </c>
      <c r="B68" s="18">
        <v>9.4800000000000006E-3</v>
      </c>
    </row>
    <row r="69" spans="1:2" x14ac:dyDescent="0.25">
      <c r="A69" s="18">
        <v>41.5</v>
      </c>
      <c r="B69" s="18">
        <v>9.4299999999999991E-3</v>
      </c>
    </row>
    <row r="70" spans="1:2" x14ac:dyDescent="0.25">
      <c r="A70" s="18">
        <v>42</v>
      </c>
      <c r="B70" s="18">
        <v>9.3399999999999993E-3</v>
      </c>
    </row>
    <row r="71" spans="1:2" x14ac:dyDescent="0.25">
      <c r="A71" s="18">
        <v>42.5</v>
      </c>
      <c r="B71" s="18">
        <v>9.2800000000000001E-3</v>
      </c>
    </row>
    <row r="72" spans="1:2" x14ac:dyDescent="0.25">
      <c r="A72" s="18">
        <v>43</v>
      </c>
      <c r="B72" s="18">
        <v>9.1299999999999992E-3</v>
      </c>
    </row>
    <row r="73" spans="1:2" x14ac:dyDescent="0.25">
      <c r="A73" s="18">
        <v>43.5</v>
      </c>
      <c r="B73" s="18">
        <v>9.0100000000000006E-3</v>
      </c>
    </row>
    <row r="74" spans="1:2" x14ac:dyDescent="0.25">
      <c r="A74" s="18">
        <v>44</v>
      </c>
      <c r="B74" s="18">
        <v>8.8999999999999999E-3</v>
      </c>
    </row>
    <row r="75" spans="1:2" x14ac:dyDescent="0.25">
      <c r="A75" s="18">
        <v>44.5</v>
      </c>
      <c r="B75" s="18">
        <v>8.7799999999999996E-3</v>
      </c>
    </row>
    <row r="76" spans="1:2" x14ac:dyDescent="0.25">
      <c r="A76" s="18">
        <v>45</v>
      </c>
      <c r="B76" s="18">
        <v>8.6800000000000002E-3</v>
      </c>
    </row>
    <row r="77" spans="1:2" x14ac:dyDescent="0.25">
      <c r="A77" s="18">
        <v>45.5</v>
      </c>
      <c r="B77" s="18">
        <v>8.5800000000000008E-3</v>
      </c>
    </row>
    <row r="78" spans="1:2" x14ac:dyDescent="0.25">
      <c r="A78" s="18">
        <v>46</v>
      </c>
      <c r="B78" s="18">
        <v>8.3999999999999995E-3</v>
      </c>
    </row>
    <row r="79" spans="1:2" x14ac:dyDescent="0.25">
      <c r="A79" s="18">
        <v>46.5</v>
      </c>
      <c r="B79" s="18">
        <v>8.2799999999999992E-3</v>
      </c>
    </row>
    <row r="80" spans="1:2" x14ac:dyDescent="0.25">
      <c r="A80" s="18">
        <v>47</v>
      </c>
      <c r="B80" s="18">
        <v>8.2000000000000007E-3</v>
      </c>
    </row>
    <row r="81" spans="1:2" x14ac:dyDescent="0.25">
      <c r="A81" s="18">
        <v>47.5</v>
      </c>
      <c r="B81" s="18">
        <v>8.0499999999999999E-3</v>
      </c>
    </row>
    <row r="82" spans="1:2" x14ac:dyDescent="0.25">
      <c r="A82" s="18">
        <v>48</v>
      </c>
      <c r="B82" s="18">
        <v>7.92E-3</v>
      </c>
    </row>
    <row r="83" spans="1:2" x14ac:dyDescent="0.25">
      <c r="A83" s="18">
        <v>48.5</v>
      </c>
      <c r="B83" s="18">
        <v>7.8100000000000001E-3</v>
      </c>
    </row>
    <row r="84" spans="1:2" x14ac:dyDescent="0.25">
      <c r="A84" s="18">
        <v>49</v>
      </c>
      <c r="B84" s="18">
        <v>7.6099999999999996E-3</v>
      </c>
    </row>
    <row r="85" spans="1:2" x14ac:dyDescent="0.25">
      <c r="A85" s="18">
        <v>49.5</v>
      </c>
      <c r="B85" s="18">
        <v>7.5500000000000003E-3</v>
      </c>
    </row>
    <row r="86" spans="1:2" x14ac:dyDescent="0.25">
      <c r="A86" s="18">
        <v>50</v>
      </c>
      <c r="B86" s="18">
        <v>7.4099999999999999E-3</v>
      </c>
    </row>
    <row r="87" spans="1:2" x14ac:dyDescent="0.25">
      <c r="A87" s="18">
        <v>50.5</v>
      </c>
      <c r="B87" s="18">
        <v>7.3299999999999997E-3</v>
      </c>
    </row>
    <row r="88" spans="1:2" x14ac:dyDescent="0.25">
      <c r="A88" s="18">
        <v>51</v>
      </c>
      <c r="B88" s="18">
        <v>7.1799999999999998E-3</v>
      </c>
    </row>
    <row r="89" spans="1:2" x14ac:dyDescent="0.25">
      <c r="A89" s="18">
        <v>51.5</v>
      </c>
      <c r="B89" s="18">
        <v>7.1300000000000001E-3</v>
      </c>
    </row>
    <row r="90" spans="1:2" x14ac:dyDescent="0.25">
      <c r="A90" s="18">
        <v>52</v>
      </c>
      <c r="B90" s="18">
        <v>7.0200000000000002E-3</v>
      </c>
    </row>
    <row r="91" spans="1:2" x14ac:dyDescent="0.25">
      <c r="A91" s="18">
        <v>52.5</v>
      </c>
      <c r="B91" s="18">
        <v>6.9800000000000001E-3</v>
      </c>
    </row>
    <row r="92" spans="1:2" x14ac:dyDescent="0.25">
      <c r="A92" s="18">
        <v>53</v>
      </c>
      <c r="B92" s="18">
        <v>6.8599999999999998E-3</v>
      </c>
    </row>
    <row r="93" spans="1:2" x14ac:dyDescent="0.25">
      <c r="A93" s="18">
        <v>53.5</v>
      </c>
      <c r="B93" s="18">
        <v>6.7799999999999996E-3</v>
      </c>
    </row>
    <row r="94" spans="1:2" x14ac:dyDescent="0.25">
      <c r="A94" s="18">
        <v>54</v>
      </c>
      <c r="B94" s="18">
        <v>6.6800000000000002E-3</v>
      </c>
    </row>
    <row r="95" spans="1:2" x14ac:dyDescent="0.25">
      <c r="A95" s="18">
        <v>54.5</v>
      </c>
      <c r="B95" s="18">
        <v>6.5900000000000004E-3</v>
      </c>
    </row>
    <row r="96" spans="1:2" x14ac:dyDescent="0.25">
      <c r="A96" s="18">
        <v>55</v>
      </c>
      <c r="B96" s="18">
        <v>6.4999999999999997E-3</v>
      </c>
    </row>
    <row r="97" spans="1:2" x14ac:dyDescent="0.25">
      <c r="A97" s="18">
        <v>55.5</v>
      </c>
      <c r="B97" s="18">
        <v>6.4099999999999999E-3</v>
      </c>
    </row>
    <row r="98" spans="1:2" x14ac:dyDescent="0.25">
      <c r="A98" s="18">
        <v>56</v>
      </c>
      <c r="B98" s="18">
        <v>6.3800000000000003E-3</v>
      </c>
    </row>
    <row r="99" spans="1:2" x14ac:dyDescent="0.25">
      <c r="A99" s="18">
        <v>56.5</v>
      </c>
      <c r="B99" s="18">
        <v>6.3099999999999996E-3</v>
      </c>
    </row>
    <row r="100" spans="1:2" x14ac:dyDescent="0.25">
      <c r="A100" s="18">
        <v>57</v>
      </c>
      <c r="B100" s="18">
        <v>6.2599999999999999E-3</v>
      </c>
    </row>
    <row r="101" spans="1:2" x14ac:dyDescent="0.25">
      <c r="A101" s="18">
        <v>57.5</v>
      </c>
      <c r="B101" s="18">
        <v>8.4399999999999996E-3</v>
      </c>
    </row>
    <row r="102" spans="1:2" x14ac:dyDescent="0.25">
      <c r="A102" s="18">
        <v>58</v>
      </c>
      <c r="B102" s="18">
        <v>2.4799999999999999E-2</v>
      </c>
    </row>
    <row r="103" spans="1:2" x14ac:dyDescent="0.25">
      <c r="A103" s="18">
        <v>58.5</v>
      </c>
      <c r="B103" s="18">
        <v>7.9399999999999991E-3</v>
      </c>
    </row>
    <row r="104" spans="1:2" x14ac:dyDescent="0.25">
      <c r="A104" s="18">
        <v>59</v>
      </c>
      <c r="B104" s="18">
        <v>1.9699999999999999E-2</v>
      </c>
    </row>
    <row r="105" spans="1:2" x14ac:dyDescent="0.25">
      <c r="A105" s="18">
        <v>59.5</v>
      </c>
      <c r="B105" s="18">
        <v>3.1800000000000002E-2</v>
      </c>
    </row>
    <row r="106" spans="1:2" x14ac:dyDescent="0.25">
      <c r="A106" s="18">
        <v>60</v>
      </c>
      <c r="B106" s="18">
        <v>6.1900000000000002E-3</v>
      </c>
    </row>
    <row r="107" spans="1:2" x14ac:dyDescent="0.25">
      <c r="A107" s="18">
        <v>60.5</v>
      </c>
      <c r="B107" s="18">
        <v>5.64E-3</v>
      </c>
    </row>
    <row r="108" spans="1:2" x14ac:dyDescent="0.25">
      <c r="A108" s="18">
        <v>61</v>
      </c>
      <c r="B108" s="18">
        <v>5.5500000000000002E-3</v>
      </c>
    </row>
    <row r="109" spans="1:2" x14ac:dyDescent="0.25">
      <c r="A109" s="18">
        <v>61.5</v>
      </c>
      <c r="B109" s="18">
        <v>5.4299999999999999E-3</v>
      </c>
    </row>
    <row r="110" spans="1:2" x14ac:dyDescent="0.25">
      <c r="A110" s="18">
        <v>62</v>
      </c>
      <c r="B110" s="18">
        <v>5.3899999999999998E-3</v>
      </c>
    </row>
    <row r="111" spans="1:2" x14ac:dyDescent="0.25">
      <c r="A111" s="18">
        <v>62.5</v>
      </c>
      <c r="B111" s="18">
        <v>5.3400000000000001E-3</v>
      </c>
    </row>
    <row r="112" spans="1:2" x14ac:dyDescent="0.25">
      <c r="A112" s="18">
        <v>63</v>
      </c>
      <c r="B112" s="18">
        <v>5.2900000000000004E-3</v>
      </c>
    </row>
    <row r="113" spans="1:2" x14ac:dyDescent="0.25">
      <c r="A113" s="18">
        <v>63.5</v>
      </c>
      <c r="B113" s="18">
        <v>5.2100000000000002E-3</v>
      </c>
    </row>
    <row r="114" spans="1:2" x14ac:dyDescent="0.25">
      <c r="A114" s="18">
        <v>64</v>
      </c>
      <c r="B114" s="18">
        <v>5.1599999999999997E-3</v>
      </c>
    </row>
    <row r="115" spans="1:2" x14ac:dyDescent="0.25">
      <c r="A115" s="18">
        <v>64.5</v>
      </c>
      <c r="B115" s="18">
        <v>5.11E-3</v>
      </c>
    </row>
    <row r="116" spans="1:2" x14ac:dyDescent="0.25">
      <c r="A116" s="18">
        <v>65</v>
      </c>
      <c r="B116" s="18">
        <v>5.0600000000000003E-3</v>
      </c>
    </row>
    <row r="117" spans="1:2" x14ac:dyDescent="0.25">
      <c r="A117" s="18">
        <v>65.5</v>
      </c>
      <c r="B117" s="18">
        <v>5.0299999999999997E-3</v>
      </c>
    </row>
    <row r="118" spans="1:2" x14ac:dyDescent="0.25">
      <c r="A118" s="18">
        <v>66</v>
      </c>
      <c r="B118" s="18">
        <v>5.0200000000000002E-3</v>
      </c>
    </row>
    <row r="119" spans="1:2" x14ac:dyDescent="0.25">
      <c r="A119" s="18">
        <v>66.5</v>
      </c>
      <c r="B119" s="18">
        <v>5.7200000000000003E-3</v>
      </c>
    </row>
    <row r="120" spans="1:2" x14ac:dyDescent="0.25">
      <c r="A120" s="18">
        <v>67</v>
      </c>
      <c r="B120" s="18">
        <v>1.4200000000000001E-2</v>
      </c>
    </row>
    <row r="121" spans="1:2" x14ac:dyDescent="0.25">
      <c r="A121" s="18">
        <v>67.5</v>
      </c>
      <c r="B121" s="18">
        <v>1.0200000000000001E-2</v>
      </c>
    </row>
    <row r="122" spans="1:2" x14ac:dyDescent="0.25">
      <c r="A122" s="18">
        <v>68</v>
      </c>
      <c r="B122" s="18">
        <v>4.8799999999999998E-3</v>
      </c>
    </row>
    <row r="123" spans="1:2" x14ac:dyDescent="0.25">
      <c r="A123" s="18">
        <v>68.5</v>
      </c>
      <c r="B123" s="18">
        <v>4.8500000000000001E-3</v>
      </c>
    </row>
    <row r="124" spans="1:2" x14ac:dyDescent="0.25">
      <c r="A124" s="18">
        <v>69</v>
      </c>
      <c r="B124" s="18">
        <v>7.5199999999999998E-3</v>
      </c>
    </row>
    <row r="125" spans="1:2" x14ac:dyDescent="0.25">
      <c r="A125" s="18">
        <v>69.5</v>
      </c>
      <c r="B125" s="18">
        <v>5.4000000000000003E-3</v>
      </c>
    </row>
    <row r="126" spans="1:2" x14ac:dyDescent="0.25">
      <c r="A126" s="18">
        <v>70</v>
      </c>
      <c r="B126" s="18">
        <v>4.0299999999999997E-3</v>
      </c>
    </row>
    <row r="127" spans="1:2" x14ac:dyDescent="0.25">
      <c r="A127" s="18">
        <v>70.5</v>
      </c>
      <c r="B127" s="18">
        <v>3.96E-3</v>
      </c>
    </row>
    <row r="128" spans="1:2" x14ac:dyDescent="0.25">
      <c r="A128" s="18">
        <v>71</v>
      </c>
      <c r="B128" s="18">
        <v>3.9300000000000003E-3</v>
      </c>
    </row>
    <row r="129" spans="1:2" x14ac:dyDescent="0.25">
      <c r="A129" s="18">
        <v>71.5</v>
      </c>
      <c r="B129" s="18">
        <v>3.8800000000000002E-3</v>
      </c>
    </row>
    <row r="130" spans="1:2" x14ac:dyDescent="0.25">
      <c r="A130" s="18">
        <v>72</v>
      </c>
      <c r="B130" s="18">
        <v>3.8500000000000001E-3</v>
      </c>
    </row>
    <row r="131" spans="1:2" x14ac:dyDescent="0.25">
      <c r="A131" s="18">
        <v>72.5</v>
      </c>
      <c r="B131" s="18">
        <v>3.81E-3</v>
      </c>
    </row>
    <row r="132" spans="1:2" x14ac:dyDescent="0.25">
      <c r="A132" s="18">
        <v>73</v>
      </c>
      <c r="B132" s="18">
        <v>3.7499999999999999E-3</v>
      </c>
    </row>
    <row r="133" spans="1:2" x14ac:dyDescent="0.25">
      <c r="A133" s="18">
        <v>73.5</v>
      </c>
      <c r="B133" s="18">
        <v>3.7100000000000002E-3</v>
      </c>
    </row>
    <row r="134" spans="1:2" x14ac:dyDescent="0.25">
      <c r="A134" s="18">
        <v>74</v>
      </c>
      <c r="B134" s="18">
        <v>3.7100000000000002E-3</v>
      </c>
    </row>
    <row r="135" spans="1:2" x14ac:dyDescent="0.25">
      <c r="A135" s="18">
        <v>74.5</v>
      </c>
      <c r="B135" s="18">
        <v>3.65E-3</v>
      </c>
    </row>
    <row r="136" spans="1:2" x14ac:dyDescent="0.25">
      <c r="A136" s="18">
        <v>75</v>
      </c>
      <c r="B136" s="18">
        <v>3.63E-3</v>
      </c>
    </row>
    <row r="137" spans="1:2" x14ac:dyDescent="0.25">
      <c r="A137" s="18">
        <v>75.5</v>
      </c>
      <c r="B137" s="18">
        <v>3.5899999999999999E-3</v>
      </c>
    </row>
    <row r="138" spans="1:2" x14ac:dyDescent="0.25">
      <c r="A138" s="18">
        <v>76</v>
      </c>
      <c r="B138" s="18">
        <v>3.5400000000000002E-3</v>
      </c>
    </row>
    <row r="139" spans="1:2" x14ac:dyDescent="0.25">
      <c r="A139" s="18">
        <v>76.5</v>
      </c>
      <c r="B139" s="18">
        <v>3.5400000000000002E-3</v>
      </c>
    </row>
    <row r="140" spans="1:2" x14ac:dyDescent="0.25">
      <c r="A140" s="18">
        <v>77</v>
      </c>
      <c r="B140" s="18">
        <v>3.47E-3</v>
      </c>
    </row>
    <row r="141" spans="1:2" x14ac:dyDescent="0.25">
      <c r="A141" s="18">
        <v>77.5</v>
      </c>
      <c r="B141" s="18">
        <v>3.4299999999999999E-3</v>
      </c>
    </row>
    <row r="142" spans="1:2" x14ac:dyDescent="0.25">
      <c r="A142" s="18">
        <v>78</v>
      </c>
      <c r="B142" s="18">
        <v>3.3899999999999998E-3</v>
      </c>
    </row>
    <row r="143" spans="1:2" x14ac:dyDescent="0.25">
      <c r="A143" s="18">
        <v>78.5</v>
      </c>
      <c r="B143" s="18">
        <v>3.3500000000000001E-3</v>
      </c>
    </row>
    <row r="144" spans="1:2" x14ac:dyDescent="0.25">
      <c r="A144" s="18">
        <v>79</v>
      </c>
      <c r="B144" s="18">
        <v>3.32E-3</v>
      </c>
    </row>
    <row r="145" spans="1:2" x14ac:dyDescent="0.25">
      <c r="A145" s="18">
        <v>79.5</v>
      </c>
      <c r="B145" s="18">
        <v>3.2799999999999999E-3</v>
      </c>
    </row>
    <row r="146" spans="1:2" x14ac:dyDescent="0.25">
      <c r="A146" s="18">
        <v>80</v>
      </c>
      <c r="B146" s="18">
        <v>3.2100000000000002E-3</v>
      </c>
    </row>
    <row r="147" spans="1:2" x14ac:dyDescent="0.25">
      <c r="A147" s="18">
        <v>80.5</v>
      </c>
      <c r="B147" s="18">
        <v>3.2100000000000002E-3</v>
      </c>
    </row>
    <row r="148" spans="1:2" x14ac:dyDescent="0.25">
      <c r="A148" s="18">
        <v>81</v>
      </c>
      <c r="B148" s="18">
        <v>3.1800000000000001E-3</v>
      </c>
    </row>
    <row r="149" spans="1:2" x14ac:dyDescent="0.25">
      <c r="A149" s="18">
        <v>81.5</v>
      </c>
      <c r="B149" s="18">
        <v>3.13E-3</v>
      </c>
    </row>
    <row r="150" spans="1:2" x14ac:dyDescent="0.25">
      <c r="A150" s="18">
        <v>82</v>
      </c>
      <c r="B150" s="18">
        <v>3.0999999999999999E-3</v>
      </c>
    </row>
    <row r="151" spans="1:2" x14ac:dyDescent="0.25">
      <c r="A151" s="18">
        <v>82.5</v>
      </c>
      <c r="B151" s="18">
        <v>3.0799999999999998E-3</v>
      </c>
    </row>
    <row r="152" spans="1:2" x14ac:dyDescent="0.25">
      <c r="A152" s="18">
        <v>83</v>
      </c>
      <c r="B152" s="18">
        <v>3.0500000000000002E-3</v>
      </c>
    </row>
    <row r="153" spans="1:2" x14ac:dyDescent="0.25">
      <c r="A153" s="18">
        <v>83.5</v>
      </c>
      <c r="B153" s="18">
        <v>3.0300000000000001E-3</v>
      </c>
    </row>
    <row r="154" spans="1:2" x14ac:dyDescent="0.25">
      <c r="A154" s="18">
        <v>84</v>
      </c>
      <c r="B154" s="18">
        <v>3.0200000000000001E-3</v>
      </c>
    </row>
    <row r="155" spans="1:2" x14ac:dyDescent="0.25">
      <c r="A155" s="18">
        <v>84.5</v>
      </c>
      <c r="B155" s="18">
        <v>2.97E-3</v>
      </c>
    </row>
    <row r="156" spans="1:2" x14ac:dyDescent="0.25">
      <c r="A156" s="18">
        <v>85</v>
      </c>
      <c r="B156" s="18">
        <v>2.9399999999999999E-3</v>
      </c>
    </row>
    <row r="157" spans="1:2" x14ac:dyDescent="0.25">
      <c r="A157" s="18">
        <v>85.5</v>
      </c>
      <c r="B157" s="18">
        <v>2.9099999999999998E-3</v>
      </c>
    </row>
    <row r="158" spans="1:2" x14ac:dyDescent="0.25">
      <c r="A158" s="18">
        <v>86</v>
      </c>
      <c r="B158" s="18">
        <v>2.8800000000000002E-3</v>
      </c>
    </row>
    <row r="159" spans="1:2" x14ac:dyDescent="0.25">
      <c r="A159" s="18">
        <v>86.5</v>
      </c>
      <c r="B159" s="18">
        <v>2.8400000000000001E-3</v>
      </c>
    </row>
    <row r="160" spans="1:2" x14ac:dyDescent="0.25">
      <c r="A160" s="18">
        <v>87</v>
      </c>
      <c r="B160" s="18">
        <v>2.8E-3</v>
      </c>
    </row>
    <row r="161" spans="1:2" x14ac:dyDescent="0.25">
      <c r="A161" s="18">
        <v>87.5</v>
      </c>
      <c r="B161" s="18">
        <v>2.7799999999999999E-3</v>
      </c>
    </row>
    <row r="162" spans="1:2" x14ac:dyDescent="0.25">
      <c r="A162" s="18">
        <v>88</v>
      </c>
      <c r="B162" s="18">
        <v>2.7000000000000001E-3</v>
      </c>
    </row>
    <row r="163" spans="1:2" x14ac:dyDescent="0.25">
      <c r="A163" s="18">
        <v>88.5</v>
      </c>
      <c r="B163" s="18">
        <v>2.66E-3</v>
      </c>
    </row>
    <row r="164" spans="1:2" x14ac:dyDescent="0.25">
      <c r="A164" s="18">
        <v>89</v>
      </c>
      <c r="B164" s="18">
        <v>2.6199999999999999E-3</v>
      </c>
    </row>
    <row r="165" spans="1:2" x14ac:dyDescent="0.25">
      <c r="A165" s="18">
        <v>89.5</v>
      </c>
      <c r="B165" s="18">
        <v>2.5999999999999999E-3</v>
      </c>
    </row>
    <row r="166" spans="1:2" x14ac:dyDescent="0.25">
      <c r="A166" s="18">
        <v>90</v>
      </c>
      <c r="B166" s="18">
        <v>2.5600000000000002E-3</v>
      </c>
    </row>
    <row r="167" spans="1:2" x14ac:dyDescent="0.25">
      <c r="A167" s="18">
        <v>90.5</v>
      </c>
      <c r="B167" s="18">
        <v>2.5400000000000002E-3</v>
      </c>
    </row>
    <row r="168" spans="1:2" x14ac:dyDescent="0.25">
      <c r="A168" s="18">
        <v>91</v>
      </c>
      <c r="B168" s="18">
        <v>2.49E-3</v>
      </c>
    </row>
    <row r="169" spans="1:2" x14ac:dyDescent="0.25">
      <c r="A169" s="18">
        <v>91.5</v>
      </c>
      <c r="B169" s="18">
        <v>2.4599999999999999E-3</v>
      </c>
    </row>
    <row r="170" spans="1:2" x14ac:dyDescent="0.25">
      <c r="A170" s="18">
        <v>92</v>
      </c>
      <c r="B170" s="18">
        <v>2.4299999999999999E-3</v>
      </c>
    </row>
    <row r="171" spans="1:2" x14ac:dyDescent="0.25">
      <c r="A171" s="18">
        <v>92.5</v>
      </c>
      <c r="B171" s="18">
        <v>2.3900000000000002E-3</v>
      </c>
    </row>
    <row r="172" spans="1:2" x14ac:dyDescent="0.25">
      <c r="A172" s="18">
        <v>93</v>
      </c>
      <c r="B172" s="18">
        <v>2.32E-3</v>
      </c>
    </row>
    <row r="173" spans="1:2" x14ac:dyDescent="0.25">
      <c r="A173" s="18">
        <v>93.5</v>
      </c>
      <c r="B173" s="18">
        <v>2.3400000000000001E-3</v>
      </c>
    </row>
    <row r="174" spans="1:2" x14ac:dyDescent="0.25">
      <c r="A174" s="18">
        <v>94</v>
      </c>
      <c r="B174" s="18">
        <v>2.2699999999999999E-3</v>
      </c>
    </row>
    <row r="175" spans="1:2" x14ac:dyDescent="0.25">
      <c r="A175" s="18">
        <v>94.5</v>
      </c>
      <c r="B175" s="18">
        <v>2.2699999999999999E-3</v>
      </c>
    </row>
    <row r="176" spans="1:2" x14ac:dyDescent="0.25">
      <c r="A176" s="18">
        <v>95</v>
      </c>
      <c r="B176" s="18">
        <v>2.2100000000000002E-3</v>
      </c>
    </row>
    <row r="177" spans="1:2" x14ac:dyDescent="0.25">
      <c r="A177" s="18">
        <v>95.5</v>
      </c>
      <c r="B177" s="18">
        <v>2.1900000000000001E-3</v>
      </c>
    </row>
    <row r="178" spans="1:2" x14ac:dyDescent="0.25">
      <c r="A178" s="18">
        <v>96</v>
      </c>
      <c r="B178" s="18">
        <v>2.15E-3</v>
      </c>
    </row>
    <row r="179" spans="1:2" x14ac:dyDescent="0.25">
      <c r="A179" s="18">
        <v>96.5</v>
      </c>
      <c r="B179" s="18">
        <v>2.14E-3</v>
      </c>
    </row>
    <row r="180" spans="1:2" x14ac:dyDescent="0.25">
      <c r="A180" s="18">
        <v>97</v>
      </c>
      <c r="B180" s="18">
        <v>2.0899999999999998E-3</v>
      </c>
    </row>
    <row r="181" spans="1:2" x14ac:dyDescent="0.25">
      <c r="A181" s="18">
        <v>97.5</v>
      </c>
      <c r="B181" s="18">
        <v>2.0300000000000001E-3</v>
      </c>
    </row>
    <row r="182" spans="1:2" x14ac:dyDescent="0.25">
      <c r="A182" s="18">
        <v>98</v>
      </c>
      <c r="B182" s="18">
        <v>2.0100000000000001E-3</v>
      </c>
    </row>
    <row r="183" spans="1:2" x14ac:dyDescent="0.25">
      <c r="A183" s="18">
        <v>98.5</v>
      </c>
      <c r="B183" s="18">
        <v>1.9499999999999999E-3</v>
      </c>
    </row>
    <row r="184" spans="1:2" x14ac:dyDescent="0.25">
      <c r="A184" s="18">
        <v>99</v>
      </c>
      <c r="B184" s="18">
        <v>1.9300000000000001E-3</v>
      </c>
    </row>
    <row r="185" spans="1:2" x14ac:dyDescent="0.25">
      <c r="A185" s="18">
        <v>99.5</v>
      </c>
      <c r="B185" s="18">
        <v>1.8799999999999999E-3</v>
      </c>
    </row>
    <row r="186" spans="1:2" x14ac:dyDescent="0.25">
      <c r="A186" s="18">
        <v>100</v>
      </c>
      <c r="B186" s="18">
        <v>1.8500000000000001E-3</v>
      </c>
    </row>
    <row r="187" spans="1:2" x14ac:dyDescent="0.25">
      <c r="A187" s="18">
        <v>101</v>
      </c>
      <c r="B187" s="18">
        <v>1.81E-3</v>
      </c>
    </row>
    <row r="188" spans="1:2" x14ac:dyDescent="0.25">
      <c r="A188" s="18">
        <v>101</v>
      </c>
      <c r="B188" s="18">
        <v>1.7799999999999999E-3</v>
      </c>
    </row>
    <row r="189" spans="1:2" x14ac:dyDescent="0.25">
      <c r="A189" s="18">
        <v>102</v>
      </c>
      <c r="B189" s="18">
        <v>1.74E-3</v>
      </c>
    </row>
    <row r="190" spans="1:2" x14ac:dyDescent="0.25">
      <c r="A190" s="18">
        <v>102</v>
      </c>
      <c r="B190" s="18">
        <v>1.6999999999999999E-3</v>
      </c>
    </row>
    <row r="191" spans="1:2" x14ac:dyDescent="0.25">
      <c r="A191" s="18">
        <v>103</v>
      </c>
      <c r="B191" s="18">
        <v>1.67E-3</v>
      </c>
    </row>
    <row r="192" spans="1:2" x14ac:dyDescent="0.25">
      <c r="A192" s="18">
        <v>103</v>
      </c>
      <c r="B192" s="18">
        <v>1.64E-3</v>
      </c>
    </row>
    <row r="193" spans="1:2" x14ac:dyDescent="0.25">
      <c r="A193" s="18">
        <v>104</v>
      </c>
      <c r="B193" s="18">
        <v>1.6299999999999999E-3</v>
      </c>
    </row>
    <row r="194" spans="1:2" x14ac:dyDescent="0.25">
      <c r="A194" s="18">
        <v>104</v>
      </c>
      <c r="B194" s="18">
        <v>1.57E-3</v>
      </c>
    </row>
    <row r="195" spans="1:2" x14ac:dyDescent="0.25">
      <c r="A195" s="18">
        <v>105</v>
      </c>
      <c r="B195" s="18">
        <v>1.5499999999999999E-3</v>
      </c>
    </row>
    <row r="196" spans="1:2" x14ac:dyDescent="0.25">
      <c r="A196" s="18">
        <v>105</v>
      </c>
      <c r="B196" s="18">
        <v>1.49E-3</v>
      </c>
    </row>
    <row r="197" spans="1:2" x14ac:dyDescent="0.25">
      <c r="A197" s="18">
        <v>106</v>
      </c>
      <c r="B197" s="18">
        <v>1.4499999999999999E-3</v>
      </c>
    </row>
    <row r="198" spans="1:2" x14ac:dyDescent="0.25">
      <c r="A198" s="18">
        <v>106</v>
      </c>
      <c r="B198" s="18">
        <v>1.42E-3</v>
      </c>
    </row>
    <row r="199" spans="1:2" x14ac:dyDescent="0.25">
      <c r="A199" s="18">
        <v>107</v>
      </c>
      <c r="B199" s="18">
        <v>1.3799999999999999E-3</v>
      </c>
    </row>
    <row r="200" spans="1:2" x14ac:dyDescent="0.25">
      <c r="A200" s="18">
        <v>107</v>
      </c>
      <c r="B200" s="18">
        <v>1.33E-3</v>
      </c>
    </row>
    <row r="201" spans="1:2" x14ac:dyDescent="0.25">
      <c r="A201" s="18">
        <v>108</v>
      </c>
      <c r="B201" s="18">
        <v>1.2800000000000001E-3</v>
      </c>
    </row>
    <row r="202" spans="1:2" x14ac:dyDescent="0.25">
      <c r="A202" s="18">
        <v>108</v>
      </c>
      <c r="B202" s="18">
        <v>1.25E-3</v>
      </c>
    </row>
    <row r="203" spans="1:2" x14ac:dyDescent="0.25">
      <c r="A203" s="18">
        <v>109</v>
      </c>
      <c r="B203" s="18">
        <v>1.2199999999999999E-3</v>
      </c>
    </row>
    <row r="204" spans="1:2" x14ac:dyDescent="0.25">
      <c r="A204" s="18">
        <v>109</v>
      </c>
      <c r="B204" s="18">
        <v>1.17E-3</v>
      </c>
    </row>
    <row r="205" spans="1:2" x14ac:dyDescent="0.25">
      <c r="A205" s="18">
        <v>110</v>
      </c>
      <c r="B205" s="18">
        <v>1.1100000000000001E-3</v>
      </c>
    </row>
    <row r="206" spans="1:2" x14ac:dyDescent="0.25">
      <c r="A206" s="18">
        <v>110</v>
      </c>
      <c r="B206" s="18">
        <v>1.1000000000000001E-3</v>
      </c>
    </row>
    <row r="207" spans="1:2" x14ac:dyDescent="0.25">
      <c r="A207" s="18">
        <v>111</v>
      </c>
      <c r="B207" s="18">
        <v>1.0399999999999999E-3</v>
      </c>
    </row>
    <row r="208" spans="1:2" x14ac:dyDescent="0.25">
      <c r="A208" s="18">
        <v>111</v>
      </c>
      <c r="B208" s="18">
        <v>9.9299999999999996E-4</v>
      </c>
    </row>
    <row r="209" spans="1:2" x14ac:dyDescent="0.25">
      <c r="A209" s="18">
        <v>112</v>
      </c>
      <c r="B209" s="18">
        <v>9.4600000000000001E-4</v>
      </c>
    </row>
    <row r="210" spans="1:2" x14ac:dyDescent="0.25">
      <c r="A210" s="18">
        <v>112</v>
      </c>
      <c r="B210" s="18">
        <v>8.8800000000000001E-4</v>
      </c>
    </row>
    <row r="211" spans="1:2" x14ac:dyDescent="0.25">
      <c r="A211" s="18">
        <v>113</v>
      </c>
      <c r="B211" s="18">
        <v>8.4800000000000001E-4</v>
      </c>
    </row>
    <row r="212" spans="1:2" x14ac:dyDescent="0.25">
      <c r="A212" s="18">
        <v>113</v>
      </c>
      <c r="B212" s="18">
        <v>8.2299999999999995E-4</v>
      </c>
    </row>
    <row r="213" spans="1:2" x14ac:dyDescent="0.25">
      <c r="A213" s="18">
        <v>114</v>
      </c>
      <c r="B213" s="18">
        <v>7.4600000000000003E-4</v>
      </c>
    </row>
    <row r="214" spans="1:2" x14ac:dyDescent="0.25">
      <c r="A214" s="18">
        <v>114</v>
      </c>
      <c r="B214" s="18">
        <v>6.9300000000000004E-4</v>
      </c>
    </row>
    <row r="215" spans="1:2" x14ac:dyDescent="0.25">
      <c r="A215" s="18">
        <v>115</v>
      </c>
      <c r="B215" s="18">
        <v>6.7500000000000004E-4</v>
      </c>
    </row>
    <row r="216" spans="1:2" x14ac:dyDescent="0.25">
      <c r="A216" s="18">
        <v>115</v>
      </c>
      <c r="B216" s="18">
        <v>6.1600000000000001E-4</v>
      </c>
    </row>
    <row r="217" spans="1:2" x14ac:dyDescent="0.25">
      <c r="A217" s="18">
        <v>116</v>
      </c>
      <c r="B217" s="18">
        <v>5.7799999999999995E-4</v>
      </c>
    </row>
    <row r="218" spans="1:2" x14ac:dyDescent="0.25">
      <c r="A218" s="18">
        <v>116</v>
      </c>
      <c r="B218" s="18">
        <v>4.9799999999999996E-4</v>
      </c>
    </row>
    <row r="219" spans="1:2" x14ac:dyDescent="0.25">
      <c r="A219" s="18">
        <v>117</v>
      </c>
      <c r="B219" s="18">
        <v>4.5199999999999998E-4</v>
      </c>
    </row>
    <row r="220" spans="1:2" x14ac:dyDescent="0.25">
      <c r="A220" s="18">
        <v>117</v>
      </c>
      <c r="B220" s="18">
        <v>3.88E-4</v>
      </c>
    </row>
    <row r="221" spans="1:2" x14ac:dyDescent="0.25">
      <c r="A221" s="18">
        <v>118</v>
      </c>
      <c r="B221" s="18">
        <v>3.4499999999999998E-4</v>
      </c>
    </row>
    <row r="222" spans="1:2" x14ac:dyDescent="0.25">
      <c r="A222" s="18">
        <v>118</v>
      </c>
      <c r="B222" s="18">
        <v>2.7799999999999998E-4</v>
      </c>
    </row>
    <row r="223" spans="1:2" x14ac:dyDescent="0.25">
      <c r="A223" s="18">
        <v>119</v>
      </c>
      <c r="B223" s="18">
        <v>2.2699999999999999E-4</v>
      </c>
    </row>
    <row r="224" spans="1:2" x14ac:dyDescent="0.25">
      <c r="A224" s="18">
        <v>119</v>
      </c>
      <c r="B224" s="18">
        <v>1.63E-4</v>
      </c>
    </row>
    <row r="225" spans="1:2" x14ac:dyDescent="0.25">
      <c r="A225" s="18">
        <v>120</v>
      </c>
      <c r="B225" s="18">
        <v>9.9699999999999998E-5</v>
      </c>
    </row>
    <row r="226" spans="1:2" x14ac:dyDescent="0.25">
      <c r="A226" s="18">
        <v>120</v>
      </c>
      <c r="B226" s="18">
        <v>2.7100000000000001E-5</v>
      </c>
    </row>
    <row r="227" spans="1:2" x14ac:dyDescent="0.25">
      <c r="A227" s="18">
        <v>121</v>
      </c>
      <c r="B227" s="18">
        <v>5.6099999999999997E-6</v>
      </c>
    </row>
    <row r="228" spans="1:2" x14ac:dyDescent="0.25">
      <c r="A228" s="18">
        <v>121</v>
      </c>
      <c r="B228" s="18">
        <v>7.0099999999999998E-6</v>
      </c>
    </row>
    <row r="229" spans="1:2" x14ac:dyDescent="0.25">
      <c r="A229" s="18">
        <v>122</v>
      </c>
      <c r="B229" s="18">
        <v>7.3300000000000001E-6</v>
      </c>
    </row>
    <row r="230" spans="1:2" x14ac:dyDescent="0.25">
      <c r="A230" s="18">
        <v>122</v>
      </c>
      <c r="B230" s="18">
        <v>9.9499999999999996E-6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dimension ref="A1:B26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10</v>
      </c>
      <c r="B2" s="18">
        <v>5.0900000000000001E-4</v>
      </c>
    </row>
    <row r="3" spans="1:2" x14ac:dyDescent="0.25">
      <c r="A3" s="18">
        <v>10.5</v>
      </c>
      <c r="B3" s="18">
        <v>7.18E-4</v>
      </c>
    </row>
    <row r="4" spans="1:2" x14ac:dyDescent="0.25">
      <c r="A4" s="18">
        <v>11</v>
      </c>
      <c r="B4" s="18">
        <v>5.0500000000000002E-4</v>
      </c>
    </row>
    <row r="5" spans="1:2" x14ac:dyDescent="0.25">
      <c r="A5" s="18">
        <v>11.5</v>
      </c>
      <c r="B5" s="18">
        <v>1.0399999999999999E-3</v>
      </c>
    </row>
    <row r="6" spans="1:2" x14ac:dyDescent="0.25">
      <c r="A6" s="18">
        <v>12</v>
      </c>
      <c r="B6" s="18">
        <v>2.1599999999999999E-4</v>
      </c>
    </row>
    <row r="7" spans="1:2" x14ac:dyDescent="0.25">
      <c r="A7" s="18">
        <v>12.5</v>
      </c>
      <c r="B7" s="18">
        <v>5.5699999999999999E-4</v>
      </c>
    </row>
    <row r="8" spans="1:2" x14ac:dyDescent="0.25">
      <c r="A8" s="18">
        <v>13</v>
      </c>
      <c r="B8" s="18">
        <v>4.5800000000000002E-4</v>
      </c>
    </row>
    <row r="9" spans="1:2" x14ac:dyDescent="0.25">
      <c r="A9" s="18">
        <v>13.5</v>
      </c>
      <c r="B9" s="18">
        <v>2.7999999999999998E-4</v>
      </c>
    </row>
    <row r="10" spans="1:2" x14ac:dyDescent="0.25">
      <c r="A10" s="18">
        <v>14</v>
      </c>
      <c r="B10" s="18">
        <v>1.9699999999999999E-4</v>
      </c>
    </row>
    <row r="11" spans="1:2" x14ac:dyDescent="0.25">
      <c r="A11" s="18">
        <v>14.5</v>
      </c>
      <c r="B11" s="18">
        <v>2.81E-4</v>
      </c>
    </row>
    <row r="12" spans="1:2" x14ac:dyDescent="0.25">
      <c r="A12" s="18">
        <v>15</v>
      </c>
      <c r="B12" s="18">
        <v>1.7799999999999999E-4</v>
      </c>
    </row>
    <row r="13" spans="1:2" x14ac:dyDescent="0.25">
      <c r="A13" s="18">
        <v>15.5</v>
      </c>
      <c r="B13" s="18">
        <v>2.8400000000000002E-4</v>
      </c>
    </row>
    <row r="14" spans="1:2" x14ac:dyDescent="0.25">
      <c r="A14" s="18">
        <v>16</v>
      </c>
      <c r="B14" s="18">
        <v>2.33E-4</v>
      </c>
    </row>
    <row r="15" spans="1:2" x14ac:dyDescent="0.25">
      <c r="A15" s="18">
        <v>16.5</v>
      </c>
      <c r="B15" s="18">
        <v>2.3900000000000001E-4</v>
      </c>
    </row>
    <row r="16" spans="1:2" x14ac:dyDescent="0.25">
      <c r="A16" s="18">
        <v>17</v>
      </c>
      <c r="B16" s="18">
        <v>1.2400000000000001E-4</v>
      </c>
    </row>
    <row r="17" spans="1:2" x14ac:dyDescent="0.25">
      <c r="A17" s="18">
        <v>17.5</v>
      </c>
      <c r="B17" s="18">
        <v>3.8600000000000003E-5</v>
      </c>
    </row>
    <row r="18" spans="1:2" x14ac:dyDescent="0.25">
      <c r="A18" s="18">
        <v>18</v>
      </c>
      <c r="B18" s="18">
        <v>1.3799999999999999E-4</v>
      </c>
    </row>
    <row r="19" spans="1:2" x14ac:dyDescent="0.25">
      <c r="A19" s="18">
        <v>18.5</v>
      </c>
      <c r="B19" s="18">
        <v>2.8400000000000002E-4</v>
      </c>
    </row>
    <row r="20" spans="1:2" x14ac:dyDescent="0.25">
      <c r="A20" s="18">
        <v>19</v>
      </c>
      <c r="B20" s="18">
        <v>2.8200000000000002E-4</v>
      </c>
    </row>
    <row r="21" spans="1:2" x14ac:dyDescent="0.25">
      <c r="A21" s="18">
        <v>19.5</v>
      </c>
      <c r="B21" s="18">
        <v>7.7299999999999995E-5</v>
      </c>
    </row>
    <row r="22" spans="1:2" x14ac:dyDescent="0.25">
      <c r="A22" s="18">
        <v>20</v>
      </c>
      <c r="B22" s="18">
        <v>1.4999999999999999E-4</v>
      </c>
    </row>
    <row r="23" spans="1:2" x14ac:dyDescent="0.25">
      <c r="A23" s="18">
        <v>20.5</v>
      </c>
      <c r="B23" s="18">
        <v>1.8000000000000001E-4</v>
      </c>
    </row>
    <row r="24" spans="1:2" x14ac:dyDescent="0.25">
      <c r="A24" s="18">
        <v>21</v>
      </c>
      <c r="B24" s="18">
        <v>1.7200000000000001E-4</v>
      </c>
    </row>
    <row r="25" spans="1:2" x14ac:dyDescent="0.25">
      <c r="A25" s="18">
        <v>21.5</v>
      </c>
      <c r="B25" s="18">
        <v>1.8599999999999999E-4</v>
      </c>
    </row>
    <row r="26" spans="1:2" x14ac:dyDescent="0.25">
      <c r="A26" s="18">
        <v>22</v>
      </c>
      <c r="B26" s="18">
        <v>2.5700000000000001E-4</v>
      </c>
    </row>
    <row r="27" spans="1:2" x14ac:dyDescent="0.25">
      <c r="A27" s="18">
        <v>22.5</v>
      </c>
      <c r="B27" s="18">
        <v>3.0699999999999998E-4</v>
      </c>
    </row>
    <row r="28" spans="1:2" x14ac:dyDescent="0.25">
      <c r="A28" s="18">
        <v>23</v>
      </c>
      <c r="B28" s="18">
        <v>4.06E-4</v>
      </c>
    </row>
    <row r="29" spans="1:2" x14ac:dyDescent="0.25">
      <c r="A29" s="18">
        <v>23.5</v>
      </c>
      <c r="B29" s="18">
        <v>5.1000000000000004E-4</v>
      </c>
    </row>
    <row r="30" spans="1:2" x14ac:dyDescent="0.25">
      <c r="A30" s="18">
        <v>24</v>
      </c>
      <c r="B30" s="18">
        <v>6.6699999999999995E-4</v>
      </c>
    </row>
    <row r="31" spans="1:2" x14ac:dyDescent="0.25">
      <c r="A31" s="18">
        <v>24.5</v>
      </c>
      <c r="B31" s="18">
        <v>8.7000000000000001E-4</v>
      </c>
    </row>
    <row r="32" spans="1:2" x14ac:dyDescent="0.25">
      <c r="A32" s="18">
        <v>25</v>
      </c>
      <c r="B32" s="18">
        <v>1.08E-3</v>
      </c>
    </row>
    <row r="33" spans="1:2" x14ac:dyDescent="0.25">
      <c r="A33" s="18">
        <v>25.5</v>
      </c>
      <c r="B33" s="18">
        <v>1.25E-3</v>
      </c>
    </row>
    <row r="34" spans="1:2" x14ac:dyDescent="0.25">
      <c r="A34" s="18">
        <v>26</v>
      </c>
      <c r="B34" s="18">
        <v>1.58E-3</v>
      </c>
    </row>
    <row r="35" spans="1:2" x14ac:dyDescent="0.25">
      <c r="A35" s="18">
        <v>26.5</v>
      </c>
      <c r="B35" s="18">
        <v>1.7899999999999999E-3</v>
      </c>
    </row>
    <row r="36" spans="1:2" x14ac:dyDescent="0.25">
      <c r="A36" s="18">
        <v>27</v>
      </c>
      <c r="B36" s="18">
        <v>2.0400000000000001E-3</v>
      </c>
    </row>
    <row r="37" spans="1:2" x14ac:dyDescent="0.25">
      <c r="A37" s="18">
        <v>27.5</v>
      </c>
      <c r="B37" s="18">
        <v>2.33E-3</v>
      </c>
    </row>
    <row r="38" spans="1:2" x14ac:dyDescent="0.25">
      <c r="A38" s="18">
        <v>28</v>
      </c>
      <c r="B38" s="18">
        <v>2.5600000000000002E-3</v>
      </c>
    </row>
    <row r="39" spans="1:2" x14ac:dyDescent="0.25">
      <c r="A39" s="18">
        <v>28.5</v>
      </c>
      <c r="B39" s="18">
        <v>2.82E-3</v>
      </c>
    </row>
    <row r="40" spans="1:2" x14ac:dyDescent="0.25">
      <c r="A40" s="18">
        <v>29</v>
      </c>
      <c r="B40" s="18">
        <v>3.1099999999999999E-3</v>
      </c>
    </row>
    <row r="41" spans="1:2" x14ac:dyDescent="0.25">
      <c r="A41" s="18">
        <v>29.5</v>
      </c>
      <c r="B41" s="18">
        <v>3.46E-3</v>
      </c>
    </row>
    <row r="42" spans="1:2" x14ac:dyDescent="0.25">
      <c r="A42" s="18">
        <v>30</v>
      </c>
      <c r="B42" s="18">
        <v>3.7200000000000002E-3</v>
      </c>
    </row>
    <row r="43" spans="1:2" x14ac:dyDescent="0.25">
      <c r="A43" s="18">
        <v>30.5</v>
      </c>
      <c r="B43" s="18">
        <v>4.0499999999999998E-3</v>
      </c>
    </row>
    <row r="44" spans="1:2" x14ac:dyDescent="0.25">
      <c r="A44" s="18">
        <v>31</v>
      </c>
      <c r="B44" s="18">
        <v>4.3299999999999996E-3</v>
      </c>
    </row>
    <row r="45" spans="1:2" x14ac:dyDescent="0.25">
      <c r="A45" s="18">
        <v>31.5</v>
      </c>
      <c r="B45" s="18">
        <v>4.7400000000000003E-3</v>
      </c>
    </row>
    <row r="46" spans="1:2" x14ac:dyDescent="0.25">
      <c r="A46" s="18">
        <v>32</v>
      </c>
      <c r="B46" s="18">
        <v>4.9800000000000001E-3</v>
      </c>
    </row>
    <row r="47" spans="1:2" x14ac:dyDescent="0.25">
      <c r="A47" s="18">
        <v>32.5</v>
      </c>
      <c r="B47" s="18">
        <v>5.3200000000000001E-3</v>
      </c>
    </row>
    <row r="48" spans="1:2" x14ac:dyDescent="0.25">
      <c r="A48" s="18">
        <v>33</v>
      </c>
      <c r="B48" s="18">
        <v>5.4400000000000004E-3</v>
      </c>
    </row>
    <row r="49" spans="1:2" x14ac:dyDescent="0.25">
      <c r="A49" s="18">
        <v>33.5</v>
      </c>
      <c r="B49" s="18">
        <v>5.7000000000000002E-3</v>
      </c>
    </row>
    <row r="50" spans="1:2" x14ac:dyDescent="0.25">
      <c r="A50" s="18">
        <v>34</v>
      </c>
      <c r="B50" s="18">
        <v>5.9500000000000004E-3</v>
      </c>
    </row>
    <row r="51" spans="1:2" x14ac:dyDescent="0.25">
      <c r="A51" s="18">
        <v>34.5</v>
      </c>
      <c r="B51" s="18">
        <v>6.0400000000000002E-3</v>
      </c>
    </row>
    <row r="52" spans="1:2" x14ac:dyDescent="0.25">
      <c r="A52" s="18">
        <v>35</v>
      </c>
      <c r="B52" s="18">
        <v>6.2399999999999999E-3</v>
      </c>
    </row>
    <row r="53" spans="1:2" x14ac:dyDescent="0.25">
      <c r="A53" s="18">
        <v>35.5</v>
      </c>
      <c r="B53" s="18">
        <v>6.4700000000000001E-3</v>
      </c>
    </row>
    <row r="54" spans="1:2" x14ac:dyDescent="0.25">
      <c r="A54" s="18">
        <v>36</v>
      </c>
      <c r="B54" s="18">
        <v>6.6E-3</v>
      </c>
    </row>
    <row r="55" spans="1:2" x14ac:dyDescent="0.25">
      <c r="A55" s="18">
        <v>36.5</v>
      </c>
      <c r="B55" s="18">
        <v>6.79E-3</v>
      </c>
    </row>
    <row r="56" spans="1:2" x14ac:dyDescent="0.25">
      <c r="A56" s="18">
        <v>37</v>
      </c>
      <c r="B56" s="18">
        <v>6.7799999999999996E-3</v>
      </c>
    </row>
    <row r="57" spans="1:2" x14ac:dyDescent="0.25">
      <c r="A57" s="18">
        <v>37.5</v>
      </c>
      <c r="B57" s="18">
        <v>7.0000000000000001E-3</v>
      </c>
    </row>
    <row r="58" spans="1:2" x14ac:dyDescent="0.25">
      <c r="A58" s="18">
        <v>38</v>
      </c>
      <c r="B58" s="18">
        <v>6.9699999999999996E-3</v>
      </c>
    </row>
    <row r="59" spans="1:2" x14ac:dyDescent="0.25">
      <c r="A59" s="18">
        <v>38.5</v>
      </c>
      <c r="B59" s="18">
        <v>7.11E-3</v>
      </c>
    </row>
    <row r="60" spans="1:2" x14ac:dyDescent="0.25">
      <c r="A60" s="18">
        <v>39</v>
      </c>
      <c r="B60" s="18">
        <v>7.1399999999999996E-3</v>
      </c>
    </row>
    <row r="61" spans="1:2" x14ac:dyDescent="0.25">
      <c r="A61" s="18">
        <v>39.5</v>
      </c>
      <c r="B61" s="18">
        <v>7.1399999999999996E-3</v>
      </c>
    </row>
    <row r="62" spans="1:2" x14ac:dyDescent="0.25">
      <c r="A62" s="18">
        <v>40</v>
      </c>
      <c r="B62" s="18">
        <v>7.1700000000000002E-3</v>
      </c>
    </row>
    <row r="63" spans="1:2" x14ac:dyDescent="0.25">
      <c r="A63" s="18">
        <v>40.5</v>
      </c>
      <c r="B63" s="18">
        <v>7.2399999999999999E-3</v>
      </c>
    </row>
    <row r="64" spans="1:2" x14ac:dyDescent="0.25">
      <c r="A64" s="18">
        <v>41</v>
      </c>
      <c r="B64" s="18">
        <v>7.3499999999999998E-3</v>
      </c>
    </row>
    <row r="65" spans="1:2" x14ac:dyDescent="0.25">
      <c r="A65" s="18">
        <v>41.5</v>
      </c>
      <c r="B65" s="18">
        <v>7.3000000000000001E-3</v>
      </c>
    </row>
    <row r="66" spans="1:2" x14ac:dyDescent="0.25">
      <c r="A66" s="18">
        <v>42</v>
      </c>
      <c r="B66" s="18">
        <v>7.3099999999999997E-3</v>
      </c>
    </row>
    <row r="67" spans="1:2" x14ac:dyDescent="0.25">
      <c r="A67" s="18">
        <v>42.5</v>
      </c>
      <c r="B67" s="18">
        <v>7.3699999999999998E-3</v>
      </c>
    </row>
    <row r="68" spans="1:2" x14ac:dyDescent="0.25">
      <c r="A68" s="18">
        <v>43</v>
      </c>
      <c r="B68" s="18">
        <v>7.4200000000000004E-3</v>
      </c>
    </row>
    <row r="69" spans="1:2" x14ac:dyDescent="0.25">
      <c r="A69" s="18">
        <v>43.5</v>
      </c>
      <c r="B69" s="18">
        <v>7.4599999999999996E-3</v>
      </c>
    </row>
    <row r="70" spans="1:2" x14ac:dyDescent="0.25">
      <c r="A70" s="18">
        <v>44</v>
      </c>
      <c r="B70" s="18">
        <v>7.4700000000000001E-3</v>
      </c>
    </row>
    <row r="71" spans="1:2" x14ac:dyDescent="0.25">
      <c r="A71" s="18">
        <v>44.5</v>
      </c>
      <c r="B71" s="18">
        <v>7.3099999999999997E-3</v>
      </c>
    </row>
    <row r="72" spans="1:2" x14ac:dyDescent="0.25">
      <c r="A72" s="18">
        <v>45</v>
      </c>
      <c r="B72" s="18">
        <v>7.3299999999999997E-3</v>
      </c>
    </row>
    <row r="73" spans="1:2" x14ac:dyDescent="0.25">
      <c r="A73" s="18">
        <v>45.5</v>
      </c>
      <c r="B73" s="18">
        <v>7.3499999999999998E-3</v>
      </c>
    </row>
    <row r="74" spans="1:2" x14ac:dyDescent="0.25">
      <c r="A74" s="18">
        <v>46</v>
      </c>
      <c r="B74" s="18">
        <v>7.26E-3</v>
      </c>
    </row>
    <row r="75" spans="1:2" x14ac:dyDescent="0.25">
      <c r="A75" s="18">
        <v>46.5</v>
      </c>
      <c r="B75" s="18">
        <v>7.1700000000000002E-3</v>
      </c>
    </row>
    <row r="76" spans="1:2" x14ac:dyDescent="0.25">
      <c r="A76" s="18">
        <v>47</v>
      </c>
      <c r="B76" s="18">
        <v>7.1799999999999998E-3</v>
      </c>
    </row>
    <row r="77" spans="1:2" x14ac:dyDescent="0.25">
      <c r="A77" s="18">
        <v>47.5</v>
      </c>
      <c r="B77" s="18">
        <v>7.0800000000000004E-3</v>
      </c>
    </row>
    <row r="78" spans="1:2" x14ac:dyDescent="0.25">
      <c r="A78" s="18">
        <v>48</v>
      </c>
      <c r="B78" s="18">
        <v>7.0499999999999998E-3</v>
      </c>
    </row>
    <row r="79" spans="1:2" x14ac:dyDescent="0.25">
      <c r="A79" s="18">
        <v>48.5</v>
      </c>
      <c r="B79" s="18">
        <v>7.11E-3</v>
      </c>
    </row>
    <row r="80" spans="1:2" x14ac:dyDescent="0.25">
      <c r="A80" s="18">
        <v>49</v>
      </c>
      <c r="B80" s="18">
        <v>6.8700000000000002E-3</v>
      </c>
    </row>
    <row r="81" spans="1:2" x14ac:dyDescent="0.25">
      <c r="A81" s="18">
        <v>49.5</v>
      </c>
      <c r="B81" s="18">
        <v>6.9199999999999999E-3</v>
      </c>
    </row>
    <row r="82" spans="1:2" x14ac:dyDescent="0.25">
      <c r="A82" s="18">
        <v>50</v>
      </c>
      <c r="B82" s="18">
        <v>6.8599999999999998E-3</v>
      </c>
    </row>
    <row r="83" spans="1:2" x14ac:dyDescent="0.25">
      <c r="A83" s="18">
        <v>50.5</v>
      </c>
      <c r="B83" s="18">
        <v>6.77E-3</v>
      </c>
    </row>
    <row r="84" spans="1:2" x14ac:dyDescent="0.25">
      <c r="A84" s="18">
        <v>51</v>
      </c>
      <c r="B84" s="18">
        <v>6.7000000000000002E-3</v>
      </c>
    </row>
    <row r="85" spans="1:2" x14ac:dyDescent="0.25">
      <c r="A85" s="18">
        <v>51.5</v>
      </c>
      <c r="B85" s="18">
        <v>6.6499999999999997E-3</v>
      </c>
    </row>
    <row r="86" spans="1:2" x14ac:dyDescent="0.25">
      <c r="A86" s="18">
        <v>52</v>
      </c>
      <c r="B86" s="18">
        <v>6.6299999999999996E-3</v>
      </c>
    </row>
    <row r="87" spans="1:2" x14ac:dyDescent="0.25">
      <c r="A87" s="18">
        <v>52.5</v>
      </c>
      <c r="B87" s="18">
        <v>6.5700000000000003E-3</v>
      </c>
    </row>
    <row r="88" spans="1:2" x14ac:dyDescent="0.25">
      <c r="A88" s="18">
        <v>53</v>
      </c>
      <c r="B88" s="18">
        <v>6.5799999999999999E-3</v>
      </c>
    </row>
    <row r="89" spans="1:2" x14ac:dyDescent="0.25">
      <c r="A89" s="18">
        <v>53.5</v>
      </c>
      <c r="B89" s="18">
        <v>6.5700000000000003E-3</v>
      </c>
    </row>
    <row r="90" spans="1:2" x14ac:dyDescent="0.25">
      <c r="A90" s="18">
        <v>54</v>
      </c>
      <c r="B90" s="18">
        <v>6.5199999999999998E-3</v>
      </c>
    </row>
    <row r="91" spans="1:2" x14ac:dyDescent="0.25">
      <c r="A91" s="18">
        <v>54.5</v>
      </c>
      <c r="B91" s="18">
        <v>6.4799999999999996E-3</v>
      </c>
    </row>
    <row r="92" spans="1:2" x14ac:dyDescent="0.25">
      <c r="A92" s="18">
        <v>55</v>
      </c>
      <c r="B92" s="18">
        <v>6.3800000000000003E-3</v>
      </c>
    </row>
    <row r="93" spans="1:2" x14ac:dyDescent="0.25">
      <c r="A93" s="18">
        <v>55.5</v>
      </c>
      <c r="B93" s="18">
        <v>6.3499999999999997E-3</v>
      </c>
    </row>
    <row r="94" spans="1:2" x14ac:dyDescent="0.25">
      <c r="A94" s="18">
        <v>56</v>
      </c>
      <c r="B94" s="18">
        <v>6.3E-3</v>
      </c>
    </row>
    <row r="95" spans="1:2" x14ac:dyDescent="0.25">
      <c r="A95" s="18">
        <v>56.5</v>
      </c>
      <c r="B95" s="18">
        <v>6.28E-3</v>
      </c>
    </row>
    <row r="96" spans="1:2" x14ac:dyDescent="0.25">
      <c r="A96" s="18">
        <v>57</v>
      </c>
      <c r="B96" s="18">
        <v>6.3699999999999998E-3</v>
      </c>
    </row>
    <row r="97" spans="1:2" x14ac:dyDescent="0.25">
      <c r="A97" s="18">
        <v>57.5</v>
      </c>
      <c r="B97" s="18">
        <v>7.9799999999999992E-3</v>
      </c>
    </row>
    <row r="98" spans="1:2" x14ac:dyDescent="0.25">
      <c r="A98" s="18">
        <v>58</v>
      </c>
      <c r="B98" s="18">
        <v>2.86E-2</v>
      </c>
    </row>
    <row r="99" spans="1:2" x14ac:dyDescent="0.25">
      <c r="A99" s="18">
        <v>58.5</v>
      </c>
      <c r="B99" s="18">
        <v>1.17E-2</v>
      </c>
    </row>
    <row r="100" spans="1:2" x14ac:dyDescent="0.25">
      <c r="A100" s="18">
        <v>59</v>
      </c>
      <c r="B100" s="18">
        <v>1.7500000000000002E-2</v>
      </c>
    </row>
    <row r="101" spans="1:2" x14ac:dyDescent="0.25">
      <c r="A101" s="18">
        <v>59.5</v>
      </c>
      <c r="B101" s="18">
        <v>4.5199999999999997E-2</v>
      </c>
    </row>
    <row r="102" spans="1:2" x14ac:dyDescent="0.25">
      <c r="A102" s="18">
        <v>60</v>
      </c>
      <c r="B102" s="18">
        <v>8.0700000000000008E-3</v>
      </c>
    </row>
    <row r="103" spans="1:2" x14ac:dyDescent="0.25">
      <c r="A103" s="18">
        <v>60.5</v>
      </c>
      <c r="B103" s="18">
        <v>5.8999999999999999E-3</v>
      </c>
    </row>
    <row r="104" spans="1:2" x14ac:dyDescent="0.25">
      <c r="A104" s="18">
        <v>61</v>
      </c>
      <c r="B104" s="18">
        <v>5.7800000000000004E-3</v>
      </c>
    </row>
    <row r="105" spans="1:2" x14ac:dyDescent="0.25">
      <c r="A105" s="18">
        <v>61.5</v>
      </c>
      <c r="B105" s="18">
        <v>5.7099999999999998E-3</v>
      </c>
    </row>
    <row r="106" spans="1:2" x14ac:dyDescent="0.25">
      <c r="A106" s="18">
        <v>62</v>
      </c>
      <c r="B106" s="18">
        <v>5.6499999999999996E-3</v>
      </c>
    </row>
    <row r="107" spans="1:2" x14ac:dyDescent="0.25">
      <c r="A107" s="18">
        <v>62.5</v>
      </c>
      <c r="B107" s="18">
        <v>5.5900000000000004E-3</v>
      </c>
    </row>
    <row r="108" spans="1:2" x14ac:dyDescent="0.25">
      <c r="A108" s="18">
        <v>63</v>
      </c>
      <c r="B108" s="18">
        <v>5.5700000000000003E-3</v>
      </c>
    </row>
    <row r="109" spans="1:2" x14ac:dyDescent="0.25">
      <c r="A109" s="18">
        <v>63.5</v>
      </c>
      <c r="B109" s="18">
        <v>5.5799999999999999E-3</v>
      </c>
    </row>
    <row r="110" spans="1:2" x14ac:dyDescent="0.25">
      <c r="A110" s="18">
        <v>64</v>
      </c>
      <c r="B110" s="18">
        <v>5.5300000000000002E-3</v>
      </c>
    </row>
    <row r="111" spans="1:2" x14ac:dyDescent="0.25">
      <c r="A111" s="18">
        <v>64.5</v>
      </c>
      <c r="B111" s="18">
        <v>5.5599999999999998E-3</v>
      </c>
    </row>
    <row r="112" spans="1:2" x14ac:dyDescent="0.25">
      <c r="A112" s="18">
        <v>65</v>
      </c>
      <c r="B112" s="18">
        <v>5.5199999999999997E-3</v>
      </c>
    </row>
    <row r="113" spans="1:2" x14ac:dyDescent="0.25">
      <c r="A113" s="18">
        <v>65.5</v>
      </c>
      <c r="B113" s="18">
        <v>5.45E-3</v>
      </c>
    </row>
    <row r="114" spans="1:2" x14ac:dyDescent="0.25">
      <c r="A114" s="18">
        <v>66</v>
      </c>
      <c r="B114" s="18">
        <v>5.5199999999999997E-3</v>
      </c>
    </row>
    <row r="115" spans="1:2" x14ac:dyDescent="0.25">
      <c r="A115" s="18">
        <v>66.5</v>
      </c>
      <c r="B115" s="18">
        <v>6.1399999999999996E-3</v>
      </c>
    </row>
    <row r="116" spans="1:2" x14ac:dyDescent="0.25">
      <c r="A116" s="18">
        <v>67</v>
      </c>
      <c r="B116" s="18">
        <v>1.6E-2</v>
      </c>
    </row>
    <row r="117" spans="1:2" x14ac:dyDescent="0.25">
      <c r="A117" s="18">
        <v>67.5</v>
      </c>
      <c r="B117" s="18">
        <v>1.4999999999999999E-2</v>
      </c>
    </row>
    <row r="118" spans="1:2" x14ac:dyDescent="0.25">
      <c r="A118" s="18">
        <v>68</v>
      </c>
      <c r="B118" s="18">
        <v>5.6899999999999997E-3</v>
      </c>
    </row>
    <row r="119" spans="1:2" x14ac:dyDescent="0.25">
      <c r="A119" s="18">
        <v>68.5</v>
      </c>
      <c r="B119" s="18">
        <v>5.3800000000000002E-3</v>
      </c>
    </row>
    <row r="120" spans="1:2" x14ac:dyDescent="0.25">
      <c r="A120" s="18">
        <v>69</v>
      </c>
      <c r="B120" s="18">
        <v>8.6099999999999996E-3</v>
      </c>
    </row>
    <row r="121" spans="1:2" x14ac:dyDescent="0.25">
      <c r="A121" s="18">
        <v>69.5</v>
      </c>
      <c r="B121" s="18">
        <v>6.9899999999999997E-3</v>
      </c>
    </row>
    <row r="122" spans="1:2" x14ac:dyDescent="0.25">
      <c r="A122" s="18">
        <v>70</v>
      </c>
      <c r="B122" s="18">
        <v>4.47E-3</v>
      </c>
    </row>
    <row r="123" spans="1:2" x14ac:dyDescent="0.25">
      <c r="A123" s="18">
        <v>70.5</v>
      </c>
      <c r="B123" s="18">
        <v>4.3099999999999996E-3</v>
      </c>
    </row>
    <row r="124" spans="1:2" x14ac:dyDescent="0.25">
      <c r="A124" s="18">
        <v>71</v>
      </c>
      <c r="B124" s="18">
        <v>4.2700000000000004E-3</v>
      </c>
    </row>
    <row r="125" spans="1:2" x14ac:dyDescent="0.25">
      <c r="A125" s="18">
        <v>71.5</v>
      </c>
      <c r="B125" s="18">
        <v>4.2700000000000004E-3</v>
      </c>
    </row>
    <row r="126" spans="1:2" x14ac:dyDescent="0.25">
      <c r="A126" s="18">
        <v>72</v>
      </c>
      <c r="B126" s="18">
        <v>4.2599999999999999E-3</v>
      </c>
    </row>
    <row r="127" spans="1:2" x14ac:dyDescent="0.25">
      <c r="A127" s="18">
        <v>72.5</v>
      </c>
      <c r="B127" s="18">
        <v>4.2100000000000002E-3</v>
      </c>
    </row>
    <row r="128" spans="1:2" x14ac:dyDescent="0.25">
      <c r="A128" s="18">
        <v>73</v>
      </c>
      <c r="B128" s="18">
        <v>4.2599999999999999E-3</v>
      </c>
    </row>
    <row r="129" spans="1:2" x14ac:dyDescent="0.25">
      <c r="A129" s="18">
        <v>73.5</v>
      </c>
      <c r="B129" s="18">
        <v>4.1799999999999997E-3</v>
      </c>
    </row>
    <row r="130" spans="1:2" x14ac:dyDescent="0.25">
      <c r="A130" s="18">
        <v>74</v>
      </c>
      <c r="B130" s="18">
        <v>4.1799999999999997E-3</v>
      </c>
    </row>
    <row r="131" spans="1:2" x14ac:dyDescent="0.25">
      <c r="A131" s="18">
        <v>74.5</v>
      </c>
      <c r="B131" s="18">
        <v>4.1799999999999997E-3</v>
      </c>
    </row>
    <row r="132" spans="1:2" x14ac:dyDescent="0.25">
      <c r="A132" s="18">
        <v>75</v>
      </c>
      <c r="B132" s="18">
        <v>4.1200000000000004E-3</v>
      </c>
    </row>
    <row r="133" spans="1:2" x14ac:dyDescent="0.25">
      <c r="A133" s="18">
        <v>75.5</v>
      </c>
      <c r="B133" s="18">
        <v>4.0699999999999998E-3</v>
      </c>
    </row>
    <row r="134" spans="1:2" x14ac:dyDescent="0.25">
      <c r="A134" s="18">
        <v>76</v>
      </c>
      <c r="B134" s="18">
        <v>4.0499999999999998E-3</v>
      </c>
    </row>
    <row r="135" spans="1:2" x14ac:dyDescent="0.25">
      <c r="A135" s="18">
        <v>76.5</v>
      </c>
      <c r="B135" s="18">
        <v>4.0200000000000001E-3</v>
      </c>
    </row>
    <row r="136" spans="1:2" x14ac:dyDescent="0.25">
      <c r="A136" s="18">
        <v>77</v>
      </c>
      <c r="B136" s="18">
        <v>3.9899999999999996E-3</v>
      </c>
    </row>
    <row r="137" spans="1:2" x14ac:dyDescent="0.25">
      <c r="A137" s="18">
        <v>77.5</v>
      </c>
      <c r="B137" s="18">
        <v>4.0400000000000002E-3</v>
      </c>
    </row>
    <row r="138" spans="1:2" x14ac:dyDescent="0.25">
      <c r="A138" s="18">
        <v>78</v>
      </c>
      <c r="B138" s="18">
        <v>3.9899999999999996E-3</v>
      </c>
    </row>
    <row r="139" spans="1:2" x14ac:dyDescent="0.25">
      <c r="A139" s="18">
        <v>78.5</v>
      </c>
      <c r="B139" s="18">
        <v>3.8899999999999998E-3</v>
      </c>
    </row>
    <row r="140" spans="1:2" x14ac:dyDescent="0.25">
      <c r="A140" s="18">
        <v>79</v>
      </c>
      <c r="B140" s="18">
        <v>3.8800000000000002E-3</v>
      </c>
    </row>
    <row r="141" spans="1:2" x14ac:dyDescent="0.25">
      <c r="A141" s="18">
        <v>79.5</v>
      </c>
      <c r="B141" s="18">
        <v>3.8999999999999998E-3</v>
      </c>
    </row>
    <row r="142" spans="1:2" x14ac:dyDescent="0.25">
      <c r="A142" s="18">
        <v>80</v>
      </c>
      <c r="B142" s="18">
        <v>3.8700000000000002E-3</v>
      </c>
    </row>
    <row r="143" spans="1:2" x14ac:dyDescent="0.25">
      <c r="A143" s="18">
        <v>80.5</v>
      </c>
      <c r="B143" s="18">
        <v>3.82E-3</v>
      </c>
    </row>
    <row r="144" spans="1:2" x14ac:dyDescent="0.25">
      <c r="A144" s="18">
        <v>81</v>
      </c>
      <c r="B144" s="18">
        <v>3.82E-3</v>
      </c>
    </row>
    <row r="145" spans="1:2" x14ac:dyDescent="0.25">
      <c r="A145" s="18">
        <v>81.5</v>
      </c>
      <c r="B145" s="18">
        <v>3.82E-3</v>
      </c>
    </row>
    <row r="146" spans="1:2" x14ac:dyDescent="0.25">
      <c r="A146" s="18">
        <v>82</v>
      </c>
      <c r="B146" s="18">
        <v>3.7699999999999999E-3</v>
      </c>
    </row>
    <row r="147" spans="1:2" x14ac:dyDescent="0.25">
      <c r="A147" s="18">
        <v>82.5</v>
      </c>
      <c r="B147" s="18">
        <v>3.7699999999999999E-3</v>
      </c>
    </row>
    <row r="148" spans="1:2" x14ac:dyDescent="0.25">
      <c r="A148" s="18">
        <v>83</v>
      </c>
      <c r="B148" s="18">
        <v>3.7399999999999998E-3</v>
      </c>
    </row>
    <row r="149" spans="1:2" x14ac:dyDescent="0.25">
      <c r="A149" s="18">
        <v>83.5</v>
      </c>
      <c r="B149" s="18">
        <v>3.7200000000000002E-3</v>
      </c>
    </row>
    <row r="150" spans="1:2" x14ac:dyDescent="0.25">
      <c r="A150" s="18">
        <v>84</v>
      </c>
      <c r="B150" s="18">
        <v>3.6900000000000001E-3</v>
      </c>
    </row>
    <row r="151" spans="1:2" x14ac:dyDescent="0.25">
      <c r="A151" s="18">
        <v>84.5</v>
      </c>
      <c r="B151" s="18">
        <v>3.6600000000000001E-3</v>
      </c>
    </row>
    <row r="152" spans="1:2" x14ac:dyDescent="0.25">
      <c r="A152" s="18">
        <v>85</v>
      </c>
      <c r="B152" s="18">
        <v>3.6800000000000001E-3</v>
      </c>
    </row>
    <row r="153" spans="1:2" x14ac:dyDescent="0.25">
      <c r="A153" s="18">
        <v>85.5</v>
      </c>
      <c r="B153" s="18">
        <v>3.6800000000000001E-3</v>
      </c>
    </row>
    <row r="154" spans="1:2" x14ac:dyDescent="0.25">
      <c r="A154" s="18">
        <v>86</v>
      </c>
      <c r="B154" s="18">
        <v>3.6099999999999999E-3</v>
      </c>
    </row>
    <row r="155" spans="1:2" x14ac:dyDescent="0.25">
      <c r="A155" s="18">
        <v>86.5</v>
      </c>
      <c r="B155" s="18">
        <v>3.5999999999999999E-3</v>
      </c>
    </row>
    <row r="156" spans="1:2" x14ac:dyDescent="0.25">
      <c r="A156" s="18">
        <v>87</v>
      </c>
      <c r="B156" s="18">
        <v>3.5400000000000002E-3</v>
      </c>
    </row>
    <row r="157" spans="1:2" x14ac:dyDescent="0.25">
      <c r="A157" s="18">
        <v>87.5</v>
      </c>
      <c r="B157" s="18">
        <v>3.5699999999999998E-3</v>
      </c>
    </row>
    <row r="158" spans="1:2" x14ac:dyDescent="0.25">
      <c r="A158" s="18">
        <v>88</v>
      </c>
      <c r="B158" s="18">
        <v>3.5200000000000001E-3</v>
      </c>
    </row>
    <row r="159" spans="1:2" x14ac:dyDescent="0.25">
      <c r="A159" s="18">
        <v>88.5</v>
      </c>
      <c r="B159" s="18">
        <v>3.4399999999999999E-3</v>
      </c>
    </row>
    <row r="160" spans="1:2" x14ac:dyDescent="0.25">
      <c r="A160" s="18">
        <v>89</v>
      </c>
      <c r="B160" s="18">
        <v>3.4399999999999999E-3</v>
      </c>
    </row>
    <row r="161" spans="1:2" x14ac:dyDescent="0.25">
      <c r="A161" s="18">
        <v>89.5</v>
      </c>
      <c r="B161" s="18">
        <v>3.3899999999999998E-3</v>
      </c>
    </row>
    <row r="162" spans="1:2" x14ac:dyDescent="0.25">
      <c r="A162" s="18">
        <v>90</v>
      </c>
      <c r="B162" s="18">
        <v>3.4099999999999998E-3</v>
      </c>
    </row>
    <row r="163" spans="1:2" x14ac:dyDescent="0.25">
      <c r="A163" s="18">
        <v>90.5</v>
      </c>
      <c r="B163" s="18">
        <v>3.3899999999999998E-3</v>
      </c>
    </row>
    <row r="164" spans="1:2" x14ac:dyDescent="0.25">
      <c r="A164" s="18">
        <v>91</v>
      </c>
      <c r="B164" s="18">
        <v>3.32E-3</v>
      </c>
    </row>
    <row r="165" spans="1:2" x14ac:dyDescent="0.25">
      <c r="A165" s="18">
        <v>91.5</v>
      </c>
      <c r="B165" s="18">
        <v>3.3E-3</v>
      </c>
    </row>
    <row r="166" spans="1:2" x14ac:dyDescent="0.25">
      <c r="A166" s="18">
        <v>92</v>
      </c>
      <c r="B166" s="18">
        <v>3.2499999999999999E-3</v>
      </c>
    </row>
    <row r="167" spans="1:2" x14ac:dyDescent="0.25">
      <c r="A167" s="18">
        <v>92.5</v>
      </c>
      <c r="B167" s="18">
        <v>3.2599999999999999E-3</v>
      </c>
    </row>
    <row r="168" spans="1:2" x14ac:dyDescent="0.25">
      <c r="A168" s="18">
        <v>93</v>
      </c>
      <c r="B168" s="18">
        <v>3.2000000000000002E-3</v>
      </c>
    </row>
    <row r="169" spans="1:2" x14ac:dyDescent="0.25">
      <c r="A169" s="18">
        <v>93.5</v>
      </c>
      <c r="B169" s="18">
        <v>3.2499999999999999E-3</v>
      </c>
    </row>
    <row r="170" spans="1:2" x14ac:dyDescent="0.25">
      <c r="A170" s="18">
        <v>94</v>
      </c>
      <c r="B170" s="18">
        <v>3.2299999999999998E-3</v>
      </c>
    </row>
    <row r="171" spans="1:2" x14ac:dyDescent="0.25">
      <c r="A171" s="18">
        <v>94.5</v>
      </c>
      <c r="B171" s="18">
        <v>3.2000000000000002E-3</v>
      </c>
    </row>
    <row r="172" spans="1:2" x14ac:dyDescent="0.25">
      <c r="A172" s="18">
        <v>95</v>
      </c>
      <c r="B172" s="18">
        <v>3.2100000000000002E-3</v>
      </c>
    </row>
    <row r="173" spans="1:2" x14ac:dyDescent="0.25">
      <c r="A173" s="18">
        <v>95.5</v>
      </c>
      <c r="B173" s="18">
        <v>3.14E-3</v>
      </c>
    </row>
    <row r="174" spans="1:2" x14ac:dyDescent="0.25">
      <c r="A174" s="18">
        <v>96</v>
      </c>
      <c r="B174" s="18">
        <v>3.0799999999999998E-3</v>
      </c>
    </row>
    <row r="175" spans="1:2" x14ac:dyDescent="0.25">
      <c r="A175" s="18">
        <v>96.5</v>
      </c>
      <c r="B175" s="18">
        <v>3.0899999999999999E-3</v>
      </c>
    </row>
    <row r="176" spans="1:2" x14ac:dyDescent="0.25">
      <c r="A176" s="18">
        <v>97</v>
      </c>
      <c r="B176" s="18">
        <v>3.0300000000000001E-3</v>
      </c>
    </row>
    <row r="177" spans="1:2" x14ac:dyDescent="0.25">
      <c r="A177" s="18">
        <v>97.5</v>
      </c>
      <c r="B177" s="18">
        <v>3.0300000000000001E-3</v>
      </c>
    </row>
    <row r="178" spans="1:2" x14ac:dyDescent="0.25">
      <c r="A178" s="18">
        <v>98</v>
      </c>
      <c r="B178" s="18">
        <v>3.0200000000000001E-3</v>
      </c>
    </row>
    <row r="179" spans="1:2" x14ac:dyDescent="0.25">
      <c r="A179" s="18">
        <v>98.5</v>
      </c>
      <c r="B179" s="18">
        <v>2.97E-3</v>
      </c>
    </row>
    <row r="180" spans="1:2" x14ac:dyDescent="0.25">
      <c r="A180" s="18">
        <v>99</v>
      </c>
      <c r="B180" s="18">
        <v>2.9399999999999999E-3</v>
      </c>
    </row>
    <row r="181" spans="1:2" x14ac:dyDescent="0.25">
      <c r="A181" s="18">
        <v>99.5</v>
      </c>
      <c r="B181" s="18">
        <v>2.8800000000000002E-3</v>
      </c>
    </row>
    <row r="182" spans="1:2" x14ac:dyDescent="0.25">
      <c r="A182" s="18">
        <v>100</v>
      </c>
      <c r="B182" s="18">
        <v>2.9499999999999999E-3</v>
      </c>
    </row>
    <row r="183" spans="1:2" x14ac:dyDescent="0.25">
      <c r="A183" s="18">
        <v>101</v>
      </c>
      <c r="B183" s="18">
        <v>2.8500000000000001E-3</v>
      </c>
    </row>
    <row r="184" spans="1:2" x14ac:dyDescent="0.25">
      <c r="A184" s="18">
        <v>101</v>
      </c>
      <c r="B184" s="18">
        <v>2.9399999999999999E-3</v>
      </c>
    </row>
    <row r="185" spans="1:2" x14ac:dyDescent="0.25">
      <c r="A185" s="18">
        <v>102</v>
      </c>
      <c r="B185" s="18">
        <v>2.8500000000000001E-3</v>
      </c>
    </row>
    <row r="186" spans="1:2" x14ac:dyDescent="0.25">
      <c r="A186" s="18">
        <v>102</v>
      </c>
      <c r="B186" s="18">
        <v>2.8400000000000001E-3</v>
      </c>
    </row>
    <row r="187" spans="1:2" x14ac:dyDescent="0.25">
      <c r="A187" s="18">
        <v>103</v>
      </c>
      <c r="B187" s="18">
        <v>2.7499999999999998E-3</v>
      </c>
    </row>
    <row r="188" spans="1:2" x14ac:dyDescent="0.25">
      <c r="A188" s="18">
        <v>103</v>
      </c>
      <c r="B188" s="18">
        <v>2.7299999999999998E-3</v>
      </c>
    </row>
    <row r="189" spans="1:2" x14ac:dyDescent="0.25">
      <c r="A189" s="18">
        <v>104</v>
      </c>
      <c r="B189" s="18">
        <v>2.7200000000000002E-3</v>
      </c>
    </row>
    <row r="190" spans="1:2" x14ac:dyDescent="0.25">
      <c r="A190" s="18">
        <v>104</v>
      </c>
      <c r="B190" s="18">
        <v>2.7299999999999998E-3</v>
      </c>
    </row>
    <row r="191" spans="1:2" x14ac:dyDescent="0.25">
      <c r="A191" s="18">
        <v>105</v>
      </c>
      <c r="B191" s="18">
        <v>2.6800000000000001E-3</v>
      </c>
    </row>
    <row r="192" spans="1:2" x14ac:dyDescent="0.25">
      <c r="A192" s="18">
        <v>105</v>
      </c>
      <c r="B192" s="18">
        <v>2.6800000000000001E-3</v>
      </c>
    </row>
    <row r="193" spans="1:2" x14ac:dyDescent="0.25">
      <c r="A193" s="18">
        <v>106</v>
      </c>
      <c r="B193" s="18">
        <v>2.63E-3</v>
      </c>
    </row>
    <row r="194" spans="1:2" x14ac:dyDescent="0.25">
      <c r="A194" s="18">
        <v>106</v>
      </c>
      <c r="B194" s="18">
        <v>2.6199999999999999E-3</v>
      </c>
    </row>
    <row r="195" spans="1:2" x14ac:dyDescent="0.25">
      <c r="A195" s="18">
        <v>107</v>
      </c>
      <c r="B195" s="18">
        <v>2.6199999999999999E-3</v>
      </c>
    </row>
    <row r="196" spans="1:2" x14ac:dyDescent="0.25">
      <c r="A196" s="18">
        <v>107</v>
      </c>
      <c r="B196" s="18">
        <v>2.5799999999999998E-3</v>
      </c>
    </row>
    <row r="197" spans="1:2" x14ac:dyDescent="0.25">
      <c r="A197" s="18">
        <v>108</v>
      </c>
      <c r="B197" s="18">
        <v>2.5500000000000002E-3</v>
      </c>
    </row>
    <row r="198" spans="1:2" x14ac:dyDescent="0.25">
      <c r="A198" s="18">
        <v>108</v>
      </c>
      <c r="B198" s="18">
        <v>2.5300000000000001E-3</v>
      </c>
    </row>
    <row r="199" spans="1:2" x14ac:dyDescent="0.25">
      <c r="A199" s="18">
        <v>109</v>
      </c>
      <c r="B199" s="18">
        <v>2.4599999999999999E-3</v>
      </c>
    </row>
    <row r="200" spans="1:2" x14ac:dyDescent="0.25">
      <c r="A200" s="18">
        <v>109</v>
      </c>
      <c r="B200" s="18">
        <v>2.47E-3</v>
      </c>
    </row>
    <row r="201" spans="1:2" x14ac:dyDescent="0.25">
      <c r="A201" s="18">
        <v>110</v>
      </c>
      <c r="B201" s="18">
        <v>2.4499999999999999E-3</v>
      </c>
    </row>
    <row r="202" spans="1:2" x14ac:dyDescent="0.25">
      <c r="A202" s="18">
        <v>110</v>
      </c>
      <c r="B202" s="18">
        <v>2.3999999999999998E-3</v>
      </c>
    </row>
    <row r="203" spans="1:2" x14ac:dyDescent="0.25">
      <c r="A203" s="18">
        <v>111</v>
      </c>
      <c r="B203" s="18">
        <v>2.3900000000000002E-3</v>
      </c>
    </row>
    <row r="204" spans="1:2" x14ac:dyDescent="0.25">
      <c r="A204" s="18">
        <v>111</v>
      </c>
      <c r="B204" s="18">
        <v>2.33E-3</v>
      </c>
    </row>
    <row r="205" spans="1:2" x14ac:dyDescent="0.25">
      <c r="A205" s="18">
        <v>112</v>
      </c>
      <c r="B205" s="18">
        <v>2.31E-3</v>
      </c>
    </row>
    <row r="206" spans="1:2" x14ac:dyDescent="0.25">
      <c r="A206" s="18">
        <v>112</v>
      </c>
      <c r="B206" s="18">
        <v>2.31E-3</v>
      </c>
    </row>
    <row r="207" spans="1:2" x14ac:dyDescent="0.25">
      <c r="A207" s="18">
        <v>113</v>
      </c>
      <c r="B207" s="18">
        <v>2.2699999999999999E-3</v>
      </c>
    </row>
    <row r="208" spans="1:2" x14ac:dyDescent="0.25">
      <c r="A208" s="18">
        <v>113</v>
      </c>
      <c r="B208" s="18">
        <v>2.2399999999999998E-3</v>
      </c>
    </row>
    <row r="209" spans="1:2" x14ac:dyDescent="0.25">
      <c r="A209" s="18">
        <v>114</v>
      </c>
      <c r="B209" s="18">
        <v>2.14E-3</v>
      </c>
    </row>
    <row r="210" spans="1:2" x14ac:dyDescent="0.25">
      <c r="A210" s="18">
        <v>114</v>
      </c>
      <c r="B210" s="18">
        <v>2.1299999999999999E-3</v>
      </c>
    </row>
    <row r="211" spans="1:2" x14ac:dyDescent="0.25">
      <c r="A211" s="18">
        <v>115</v>
      </c>
      <c r="B211" s="18">
        <v>2.1099999999999999E-3</v>
      </c>
    </row>
    <row r="212" spans="1:2" x14ac:dyDescent="0.25">
      <c r="A212" s="18">
        <v>115</v>
      </c>
      <c r="B212" s="18">
        <v>2.1299999999999999E-3</v>
      </c>
    </row>
    <row r="213" spans="1:2" x14ac:dyDescent="0.25">
      <c r="A213" s="18">
        <v>116</v>
      </c>
      <c r="B213" s="18">
        <v>2.0999999999999999E-3</v>
      </c>
    </row>
    <row r="214" spans="1:2" x14ac:dyDescent="0.25">
      <c r="A214" s="18">
        <v>116</v>
      </c>
      <c r="B214" s="18">
        <v>2.0600000000000002E-3</v>
      </c>
    </row>
    <row r="215" spans="1:2" x14ac:dyDescent="0.25">
      <c r="A215" s="18">
        <v>117</v>
      </c>
      <c r="B215" s="18">
        <v>2.0300000000000001E-3</v>
      </c>
    </row>
    <row r="216" spans="1:2" x14ac:dyDescent="0.25">
      <c r="A216" s="18">
        <v>117</v>
      </c>
      <c r="B216" s="18">
        <v>1.98E-3</v>
      </c>
    </row>
    <row r="217" spans="1:2" x14ac:dyDescent="0.25">
      <c r="A217" s="18">
        <v>118</v>
      </c>
      <c r="B217" s="18">
        <v>1.9499999999999999E-3</v>
      </c>
    </row>
    <row r="218" spans="1:2" x14ac:dyDescent="0.25">
      <c r="A218" s="18">
        <v>118</v>
      </c>
      <c r="B218" s="18">
        <v>1.8799999999999999E-3</v>
      </c>
    </row>
    <row r="219" spans="1:2" x14ac:dyDescent="0.25">
      <c r="A219" s="18">
        <v>119</v>
      </c>
      <c r="B219" s="18">
        <v>1.9E-3</v>
      </c>
    </row>
    <row r="220" spans="1:2" x14ac:dyDescent="0.25">
      <c r="A220" s="18">
        <v>119</v>
      </c>
      <c r="B220" s="18">
        <v>1.8699999999999999E-3</v>
      </c>
    </row>
    <row r="221" spans="1:2" x14ac:dyDescent="0.25">
      <c r="A221" s="18">
        <v>120</v>
      </c>
      <c r="B221" s="18">
        <v>1.8400000000000001E-3</v>
      </c>
    </row>
    <row r="222" spans="1:2" x14ac:dyDescent="0.25">
      <c r="A222" s="18">
        <v>120</v>
      </c>
      <c r="B222" s="18">
        <v>1.7899999999999999E-3</v>
      </c>
    </row>
    <row r="223" spans="1:2" x14ac:dyDescent="0.25">
      <c r="A223" s="18">
        <v>121</v>
      </c>
      <c r="B223" s="18">
        <v>1.7799999999999999E-3</v>
      </c>
    </row>
    <row r="224" spans="1:2" x14ac:dyDescent="0.25">
      <c r="A224" s="18">
        <v>121</v>
      </c>
      <c r="B224" s="18">
        <v>1.75E-3</v>
      </c>
    </row>
    <row r="225" spans="1:2" x14ac:dyDescent="0.25">
      <c r="A225" s="18">
        <v>122</v>
      </c>
      <c r="B225" s="18">
        <v>1.67E-3</v>
      </c>
    </row>
    <row r="226" spans="1:2" x14ac:dyDescent="0.25">
      <c r="A226" s="18">
        <v>122</v>
      </c>
      <c r="B226" s="18">
        <v>1.6000000000000001E-3</v>
      </c>
    </row>
    <row r="227" spans="1:2" x14ac:dyDescent="0.25">
      <c r="A227" s="18">
        <v>123</v>
      </c>
      <c r="B227" s="18">
        <v>1.6100000000000001E-3</v>
      </c>
    </row>
    <row r="228" spans="1:2" x14ac:dyDescent="0.25">
      <c r="A228" s="18">
        <v>123</v>
      </c>
      <c r="B228" s="18">
        <v>1.58E-3</v>
      </c>
    </row>
    <row r="229" spans="1:2" x14ac:dyDescent="0.25">
      <c r="A229" s="18">
        <v>124</v>
      </c>
      <c r="B229" s="18">
        <v>1.5499999999999999E-3</v>
      </c>
    </row>
    <row r="230" spans="1:2" x14ac:dyDescent="0.25">
      <c r="A230" s="18">
        <v>124</v>
      </c>
      <c r="B230" s="18">
        <v>1.5E-3</v>
      </c>
    </row>
    <row r="231" spans="1:2" x14ac:dyDescent="0.25">
      <c r="A231" s="18">
        <v>125</v>
      </c>
      <c r="B231" s="18">
        <v>1.4400000000000001E-3</v>
      </c>
    </row>
    <row r="232" spans="1:2" x14ac:dyDescent="0.25">
      <c r="A232" s="18">
        <v>125</v>
      </c>
      <c r="B232" s="18">
        <v>1.49E-3</v>
      </c>
    </row>
    <row r="233" spans="1:2" x14ac:dyDescent="0.25">
      <c r="A233" s="18">
        <v>126</v>
      </c>
      <c r="B233" s="18">
        <v>1.4E-3</v>
      </c>
    </row>
    <row r="234" spans="1:2" x14ac:dyDescent="0.25">
      <c r="A234" s="18">
        <v>126</v>
      </c>
      <c r="B234" s="18">
        <v>1.3600000000000001E-3</v>
      </c>
    </row>
    <row r="235" spans="1:2" x14ac:dyDescent="0.25">
      <c r="A235" s="18">
        <v>127</v>
      </c>
      <c r="B235" s="18">
        <v>1.3600000000000001E-3</v>
      </c>
    </row>
    <row r="236" spans="1:2" x14ac:dyDescent="0.25">
      <c r="A236" s="18">
        <v>127</v>
      </c>
      <c r="B236" s="18">
        <v>1.2700000000000001E-3</v>
      </c>
    </row>
    <row r="237" spans="1:2" x14ac:dyDescent="0.25">
      <c r="A237" s="18">
        <v>128</v>
      </c>
      <c r="B237" s="18">
        <v>1.1999999999999999E-3</v>
      </c>
    </row>
    <row r="238" spans="1:2" x14ac:dyDescent="0.25">
      <c r="A238" s="18">
        <v>128</v>
      </c>
      <c r="B238" s="18">
        <v>1.2600000000000001E-3</v>
      </c>
    </row>
    <row r="239" spans="1:2" x14ac:dyDescent="0.25">
      <c r="A239" s="18">
        <v>129</v>
      </c>
      <c r="B239" s="18">
        <v>1.1100000000000001E-3</v>
      </c>
    </row>
    <row r="240" spans="1:2" x14ac:dyDescent="0.25">
      <c r="A240" s="18">
        <v>129</v>
      </c>
      <c r="B240" s="18">
        <v>1.1299999999999999E-3</v>
      </c>
    </row>
    <row r="241" spans="1:2" x14ac:dyDescent="0.25">
      <c r="A241" s="18">
        <v>130</v>
      </c>
      <c r="B241" s="18">
        <v>1.08E-3</v>
      </c>
    </row>
    <row r="242" spans="1:2" x14ac:dyDescent="0.25">
      <c r="A242" s="18">
        <v>130</v>
      </c>
      <c r="B242" s="18">
        <v>1.0399999999999999E-3</v>
      </c>
    </row>
    <row r="243" spans="1:2" x14ac:dyDescent="0.25">
      <c r="A243" s="18">
        <v>131</v>
      </c>
      <c r="B243" s="18">
        <v>9.8299999999999993E-4</v>
      </c>
    </row>
    <row r="244" spans="1:2" x14ac:dyDescent="0.25">
      <c r="A244" s="18">
        <v>131</v>
      </c>
      <c r="B244" s="18">
        <v>9.7099999999999997E-4</v>
      </c>
    </row>
    <row r="245" spans="1:2" x14ac:dyDescent="0.25">
      <c r="A245" s="18">
        <v>132</v>
      </c>
      <c r="B245" s="18">
        <v>9.3099999999999997E-4</v>
      </c>
    </row>
    <row r="246" spans="1:2" x14ac:dyDescent="0.25">
      <c r="A246" s="18">
        <v>132</v>
      </c>
      <c r="B246" s="18">
        <v>8.8400000000000002E-4</v>
      </c>
    </row>
    <row r="247" spans="1:2" x14ac:dyDescent="0.25">
      <c r="A247" s="18">
        <v>133</v>
      </c>
      <c r="B247" s="18">
        <v>8.1499999999999997E-4</v>
      </c>
    </row>
    <row r="248" spans="1:2" x14ac:dyDescent="0.25">
      <c r="A248" s="18">
        <v>133</v>
      </c>
      <c r="B248" s="18">
        <v>7.9100000000000004E-4</v>
      </c>
    </row>
    <row r="249" spans="1:2" x14ac:dyDescent="0.25">
      <c r="A249" s="18">
        <v>134</v>
      </c>
      <c r="B249" s="18">
        <v>7.27E-4</v>
      </c>
    </row>
    <row r="250" spans="1:2" x14ac:dyDescent="0.25">
      <c r="A250" s="18">
        <v>134</v>
      </c>
      <c r="B250" s="18">
        <v>6.9200000000000002E-4</v>
      </c>
    </row>
    <row r="251" spans="1:2" x14ac:dyDescent="0.25">
      <c r="A251" s="18">
        <v>135</v>
      </c>
      <c r="B251" s="18">
        <v>6.5399999999999996E-4</v>
      </c>
    </row>
    <row r="252" spans="1:2" x14ac:dyDescent="0.25">
      <c r="A252" s="18">
        <v>135</v>
      </c>
      <c r="B252" s="18">
        <v>5.7700000000000004E-4</v>
      </c>
    </row>
    <row r="253" spans="1:2" x14ac:dyDescent="0.25">
      <c r="A253" s="18">
        <v>136</v>
      </c>
      <c r="B253" s="18">
        <v>5.4900000000000001E-4</v>
      </c>
    </row>
    <row r="254" spans="1:2" x14ac:dyDescent="0.25">
      <c r="A254" s="18">
        <v>136</v>
      </c>
      <c r="B254" s="18">
        <v>4.8500000000000003E-4</v>
      </c>
    </row>
    <row r="255" spans="1:2" x14ac:dyDescent="0.25">
      <c r="A255" s="18">
        <v>137</v>
      </c>
      <c r="B255" s="18">
        <v>4.4200000000000001E-4</v>
      </c>
    </row>
    <row r="256" spans="1:2" x14ac:dyDescent="0.25">
      <c r="A256" s="18">
        <v>137</v>
      </c>
      <c r="B256" s="18">
        <v>4.0099999999999999E-4</v>
      </c>
    </row>
    <row r="257" spans="1:2" x14ac:dyDescent="0.25">
      <c r="A257" s="18">
        <v>138</v>
      </c>
      <c r="B257" s="18">
        <v>3.57E-4</v>
      </c>
    </row>
    <row r="258" spans="1:2" x14ac:dyDescent="0.25">
      <c r="A258" s="18">
        <v>138</v>
      </c>
      <c r="B258" s="18">
        <v>3.0600000000000001E-4</v>
      </c>
    </row>
    <row r="259" spans="1:2" x14ac:dyDescent="0.25">
      <c r="A259" s="18">
        <v>139</v>
      </c>
      <c r="B259" s="18">
        <v>2.34E-4</v>
      </c>
    </row>
    <row r="260" spans="1:2" x14ac:dyDescent="0.25">
      <c r="A260" s="18">
        <v>139</v>
      </c>
      <c r="B260" s="18">
        <v>1.85E-4</v>
      </c>
    </row>
    <row r="261" spans="1:2" x14ac:dyDescent="0.25">
      <c r="A261" s="18">
        <v>140</v>
      </c>
      <c r="B261" s="18">
        <v>1.4200000000000001E-4</v>
      </c>
    </row>
    <row r="262" spans="1:2" x14ac:dyDescent="0.25">
      <c r="A262" s="18">
        <v>140</v>
      </c>
      <c r="B262" s="18">
        <v>6.3899999999999995E-5</v>
      </c>
    </row>
    <row r="263" spans="1:2" x14ac:dyDescent="0.25">
      <c r="A263" s="18">
        <v>141</v>
      </c>
      <c r="B263" s="18">
        <v>3.9499999999999998E-5</v>
      </c>
    </row>
    <row r="264" spans="1:2" x14ac:dyDescent="0.25">
      <c r="A264" s="18">
        <v>141</v>
      </c>
      <c r="B264" s="18">
        <v>4.0399999999999999E-5</v>
      </c>
    </row>
    <row r="265" spans="1:2" x14ac:dyDescent="0.25">
      <c r="A265" s="18">
        <v>142</v>
      </c>
      <c r="B265" s="18">
        <v>4.1399999999999997E-5</v>
      </c>
    </row>
    <row r="266" spans="1:2" x14ac:dyDescent="0.25">
      <c r="A266" s="18">
        <v>142</v>
      </c>
      <c r="B266" s="18">
        <v>4.7599999999999998E-5</v>
      </c>
    </row>
  </sheetData>
  <pageMargins left="0.7" right="0.7" top="0.75" bottom="0.75" header="0.3" footer="0.3"/>
  <pageSetup paperSize="9" orientation="portrait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dimension ref="A1:B42"/>
  <sheetViews>
    <sheetView workbookViewId="0">
      <selection sqref="A1:B1"/>
    </sheetView>
  </sheetViews>
  <sheetFormatPr defaultRowHeight="15" x14ac:dyDescent="0.25"/>
  <cols>
    <col min="1" max="1" width="13.28515625" customWidth="1"/>
    <col min="2" max="2" width="14.285156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4</v>
      </c>
      <c r="B2" s="18">
        <v>4.7400000000000003E-3</v>
      </c>
    </row>
    <row r="3" spans="1:2" x14ac:dyDescent="0.25">
      <c r="A3" s="18">
        <v>4.2</v>
      </c>
      <c r="B3" s="18">
        <v>4.1099999999999999E-3</v>
      </c>
    </row>
    <row r="4" spans="1:2" x14ac:dyDescent="0.25">
      <c r="A4" s="18">
        <v>4.4000000000000004</v>
      </c>
      <c r="B4" s="18">
        <v>7.2399999999999999E-3</v>
      </c>
    </row>
    <row r="5" spans="1:2" x14ac:dyDescent="0.25">
      <c r="A5" s="18">
        <v>4.5999999999999996</v>
      </c>
      <c r="B5" s="18">
        <v>1.0999999999999999E-2</v>
      </c>
    </row>
    <row r="6" spans="1:2" x14ac:dyDescent="0.25">
      <c r="A6" s="18">
        <v>4.8</v>
      </c>
      <c r="B6" s="18">
        <v>1.52E-2</v>
      </c>
    </row>
    <row r="7" spans="1:2" x14ac:dyDescent="0.25">
      <c r="A7" s="18">
        <v>5</v>
      </c>
      <c r="B7" s="18">
        <v>2.1100000000000001E-2</v>
      </c>
    </row>
    <row r="8" spans="1:2" x14ac:dyDescent="0.25">
      <c r="A8" s="18">
        <v>5.2</v>
      </c>
      <c r="B8" s="18">
        <v>2.7199999999999998E-2</v>
      </c>
    </row>
    <row r="9" spans="1:2" x14ac:dyDescent="0.25">
      <c r="A9" s="18">
        <v>5.4</v>
      </c>
      <c r="B9" s="18">
        <v>3.3799999999999997E-2</v>
      </c>
    </row>
    <row r="10" spans="1:2" x14ac:dyDescent="0.25">
      <c r="A10" s="18">
        <v>5.6</v>
      </c>
      <c r="B10" s="18">
        <v>0.04</v>
      </c>
    </row>
    <row r="11" spans="1:2" x14ac:dyDescent="0.25">
      <c r="A11" s="18">
        <v>5.8</v>
      </c>
      <c r="B11" s="18">
        <v>4.65E-2</v>
      </c>
    </row>
    <row r="12" spans="1:2" x14ac:dyDescent="0.25">
      <c r="A12" s="18">
        <v>6</v>
      </c>
      <c r="B12" s="18">
        <v>4.9299999999999997E-2</v>
      </c>
    </row>
    <row r="13" spans="1:2" x14ac:dyDescent="0.25">
      <c r="A13" s="18">
        <v>6.2</v>
      </c>
      <c r="B13" s="18">
        <v>5.2699999999999997E-2</v>
      </c>
    </row>
    <row r="14" spans="1:2" x14ac:dyDescent="0.25">
      <c r="A14" s="18">
        <v>6.4</v>
      </c>
      <c r="B14" s="18">
        <v>5.5399999999999998E-2</v>
      </c>
    </row>
    <row r="15" spans="1:2" x14ac:dyDescent="0.25">
      <c r="A15" s="18">
        <v>6.6</v>
      </c>
      <c r="B15" s="18">
        <v>5.6399999999999999E-2</v>
      </c>
    </row>
    <row r="16" spans="1:2" x14ac:dyDescent="0.25">
      <c r="A16" s="18">
        <v>6.8</v>
      </c>
      <c r="B16" s="18">
        <v>5.6599999999999998E-2</v>
      </c>
    </row>
    <row r="17" spans="1:2" x14ac:dyDescent="0.25">
      <c r="A17" s="18">
        <v>7</v>
      </c>
      <c r="B17" s="18">
        <v>5.6000000000000001E-2</v>
      </c>
    </row>
    <row r="18" spans="1:2" x14ac:dyDescent="0.25">
      <c r="A18" s="18">
        <v>7.2</v>
      </c>
      <c r="B18" s="18">
        <v>5.2699999999999997E-2</v>
      </c>
    </row>
    <row r="19" spans="1:2" x14ac:dyDescent="0.25">
      <c r="A19" s="18">
        <v>7.4</v>
      </c>
      <c r="B19" s="18">
        <v>4.9599999999999998E-2</v>
      </c>
    </row>
    <row r="20" spans="1:2" x14ac:dyDescent="0.25">
      <c r="A20" s="18">
        <v>7.6</v>
      </c>
      <c r="B20" s="18">
        <v>4.7399999999999998E-2</v>
      </c>
    </row>
    <row r="21" spans="1:2" x14ac:dyDescent="0.25">
      <c r="A21" s="18">
        <v>7.8</v>
      </c>
      <c r="B21" s="18">
        <v>4.5100000000000001E-2</v>
      </c>
    </row>
    <row r="22" spans="1:2" x14ac:dyDescent="0.25">
      <c r="A22" s="18">
        <v>8</v>
      </c>
      <c r="B22" s="18">
        <v>4.2299999999999997E-2</v>
      </c>
    </row>
    <row r="23" spans="1:2" x14ac:dyDescent="0.25">
      <c r="A23" s="18">
        <v>8.1999999999999993</v>
      </c>
      <c r="B23" s="18">
        <v>3.9399999999999998E-2</v>
      </c>
    </row>
    <row r="24" spans="1:2" x14ac:dyDescent="0.25">
      <c r="A24" s="18">
        <v>8.4</v>
      </c>
      <c r="B24" s="18">
        <v>3.5700000000000003E-2</v>
      </c>
    </row>
    <row r="25" spans="1:2" x14ac:dyDescent="0.25">
      <c r="A25" s="18">
        <v>8.6</v>
      </c>
      <c r="B25" s="18">
        <v>3.1600000000000003E-2</v>
      </c>
    </row>
    <row r="26" spans="1:2" x14ac:dyDescent="0.25">
      <c r="A26" s="18">
        <v>8.8000000000000007</v>
      </c>
      <c r="B26" s="18">
        <v>2.93E-2</v>
      </c>
    </row>
    <row r="27" spans="1:2" x14ac:dyDescent="0.25">
      <c r="A27" s="18">
        <v>9</v>
      </c>
      <c r="B27" s="18">
        <v>2.4500000000000001E-2</v>
      </c>
    </row>
    <row r="28" spans="1:2" x14ac:dyDescent="0.25">
      <c r="A28" s="18">
        <v>9.1999999999999993</v>
      </c>
      <c r="B28" s="18">
        <v>2.1100000000000001E-2</v>
      </c>
    </row>
    <row r="29" spans="1:2" x14ac:dyDescent="0.25">
      <c r="A29" s="18">
        <v>9.4</v>
      </c>
      <c r="B29" s="18">
        <v>1.7299999999999999E-2</v>
      </c>
    </row>
    <row r="30" spans="1:2" x14ac:dyDescent="0.25">
      <c r="A30" s="18">
        <v>9.6</v>
      </c>
      <c r="B30" s="18">
        <v>1.3100000000000001E-2</v>
      </c>
    </row>
    <row r="31" spans="1:2" x14ac:dyDescent="0.25">
      <c r="A31" s="18">
        <v>9.8000000000000007</v>
      </c>
      <c r="B31" s="18">
        <v>9.3600000000000003E-3</v>
      </c>
    </row>
    <row r="32" spans="1:2" x14ac:dyDescent="0.25">
      <c r="A32" s="18">
        <v>10</v>
      </c>
      <c r="B32" s="18">
        <v>3.9399999999999999E-3</v>
      </c>
    </row>
    <row r="33" spans="1:2" x14ac:dyDescent="0.25">
      <c r="A33" s="18">
        <v>10.199999999999999</v>
      </c>
      <c r="B33" s="18">
        <v>1.94E-4</v>
      </c>
    </row>
    <row r="34" spans="1:2" x14ac:dyDescent="0.25">
      <c r="A34" s="18">
        <v>10.4</v>
      </c>
      <c r="B34" s="18">
        <v>2.3600000000000001E-5</v>
      </c>
    </row>
    <row r="35" spans="1:2" x14ac:dyDescent="0.25">
      <c r="A35" s="18">
        <v>10.6</v>
      </c>
      <c r="B35" s="18">
        <v>2.7500000000000001E-5</v>
      </c>
    </row>
    <row r="36" spans="1:2" x14ac:dyDescent="0.25">
      <c r="A36" s="18">
        <v>10.8</v>
      </c>
      <c r="B36" s="18">
        <v>9.3500000000000003E-6</v>
      </c>
    </row>
    <row r="37" spans="1:2" x14ac:dyDescent="0.25">
      <c r="A37" s="18">
        <v>11</v>
      </c>
      <c r="B37" s="18">
        <v>1.7600000000000001E-5</v>
      </c>
    </row>
    <row r="38" spans="1:2" x14ac:dyDescent="0.25">
      <c r="A38" s="18">
        <v>11.2</v>
      </c>
      <c r="B38" s="18">
        <v>1.17E-5</v>
      </c>
    </row>
    <row r="39" spans="1:2" x14ac:dyDescent="0.25">
      <c r="A39" s="18">
        <v>11.4</v>
      </c>
      <c r="B39" s="18">
        <v>2.0699999999999998E-5</v>
      </c>
    </row>
    <row r="40" spans="1:2" x14ac:dyDescent="0.25">
      <c r="A40" s="18">
        <v>11.6</v>
      </c>
      <c r="B40" s="18">
        <v>1.36E-5</v>
      </c>
    </row>
    <row r="41" spans="1:2" x14ac:dyDescent="0.25">
      <c r="A41" s="18">
        <v>11.8</v>
      </c>
      <c r="B41" s="18">
        <v>1.4600000000000001E-5</v>
      </c>
    </row>
    <row r="42" spans="1:2" x14ac:dyDescent="0.25">
      <c r="A42" s="18">
        <v>12</v>
      </c>
      <c r="B42" s="18">
        <v>2.6999999999999999E-5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dimension ref="A1:B64"/>
  <sheetViews>
    <sheetView workbookViewId="0">
      <selection sqref="A1:B1"/>
    </sheetView>
  </sheetViews>
  <sheetFormatPr defaultRowHeight="15" x14ac:dyDescent="0.25"/>
  <cols>
    <col min="1" max="1" width="15" style="1" customWidth="1"/>
    <col min="2" max="2" width="15.28515625" style="1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3">
        <v>4.5999999999999996</v>
      </c>
      <c r="B2" s="13">
        <v>2.9399999999999999E-3</v>
      </c>
    </row>
    <row r="3" spans="1:2" x14ac:dyDescent="0.25">
      <c r="A3" s="13">
        <v>4.8</v>
      </c>
      <c r="B3" s="13">
        <v>4.0200000000000001E-3</v>
      </c>
    </row>
    <row r="4" spans="1:2" x14ac:dyDescent="0.25">
      <c r="A4" s="13">
        <v>5</v>
      </c>
      <c r="B4" s="13">
        <v>3.4099999999999998E-3</v>
      </c>
    </row>
    <row r="5" spans="1:2" x14ac:dyDescent="0.25">
      <c r="A5" s="13">
        <v>5.2</v>
      </c>
      <c r="B5" s="13">
        <v>3.5200000000000001E-3</v>
      </c>
    </row>
    <row r="6" spans="1:2" x14ac:dyDescent="0.25">
      <c r="A6" s="13">
        <v>5.4</v>
      </c>
      <c r="B6" s="13">
        <v>3.1800000000000001E-3</v>
      </c>
    </row>
    <row r="7" spans="1:2" x14ac:dyDescent="0.25">
      <c r="A7" s="13">
        <v>5.6</v>
      </c>
      <c r="B7" s="13">
        <v>5.3099999999999996E-3</v>
      </c>
    </row>
    <row r="8" spans="1:2" x14ac:dyDescent="0.25">
      <c r="A8" s="13">
        <v>5.8</v>
      </c>
      <c r="B8" s="13">
        <v>7.1599999999999997E-3</v>
      </c>
    </row>
    <row r="9" spans="1:2" x14ac:dyDescent="0.25">
      <c r="A9" s="13">
        <v>6</v>
      </c>
      <c r="B9" s="13">
        <v>8.9499999999999996E-3</v>
      </c>
    </row>
    <row r="10" spans="1:2" x14ac:dyDescent="0.25">
      <c r="A10" s="13">
        <v>6.2</v>
      </c>
      <c r="B10" s="13">
        <v>1.14E-2</v>
      </c>
    </row>
    <row r="11" spans="1:2" x14ac:dyDescent="0.25">
      <c r="A11" s="13">
        <v>6.4</v>
      </c>
      <c r="B11" s="13">
        <v>1.35E-2</v>
      </c>
    </row>
    <row r="12" spans="1:2" x14ac:dyDescent="0.25">
      <c r="A12" s="13">
        <v>6.6</v>
      </c>
      <c r="B12" s="13">
        <v>1.6500000000000001E-2</v>
      </c>
    </row>
    <row r="13" spans="1:2" x14ac:dyDescent="0.25">
      <c r="A13" s="13">
        <v>6.8</v>
      </c>
      <c r="B13" s="13">
        <v>1.7899999999999999E-2</v>
      </c>
    </row>
    <row r="14" spans="1:2" x14ac:dyDescent="0.25">
      <c r="A14" s="13">
        <v>7</v>
      </c>
      <c r="B14" s="13">
        <v>0.02</v>
      </c>
    </row>
    <row r="15" spans="1:2" x14ac:dyDescent="0.25">
      <c r="A15" s="13">
        <v>7.2</v>
      </c>
      <c r="B15" s="13">
        <v>2.1299999999999999E-2</v>
      </c>
    </row>
    <row r="16" spans="1:2" x14ac:dyDescent="0.25">
      <c r="A16" s="13">
        <v>7.4</v>
      </c>
      <c r="B16" s="13">
        <v>2.6100000000000002E-2</v>
      </c>
    </row>
    <row r="17" spans="1:2" x14ac:dyDescent="0.25">
      <c r="A17" s="13">
        <v>7.6</v>
      </c>
      <c r="B17" s="13">
        <v>2.53E-2</v>
      </c>
    </row>
    <row r="18" spans="1:2" x14ac:dyDescent="0.25">
      <c r="A18" s="13">
        <v>7.8</v>
      </c>
      <c r="B18" s="13">
        <v>2.3800000000000002E-2</v>
      </c>
    </row>
    <row r="19" spans="1:2" x14ac:dyDescent="0.25">
      <c r="A19" s="13">
        <v>8</v>
      </c>
      <c r="B19" s="13">
        <v>2.87E-2</v>
      </c>
    </row>
    <row r="20" spans="1:2" x14ac:dyDescent="0.25">
      <c r="A20" s="13">
        <v>8.1999999999999993</v>
      </c>
      <c r="B20" s="13">
        <v>1.8200000000000001E-2</v>
      </c>
    </row>
    <row r="21" spans="1:2" x14ac:dyDescent="0.25">
      <c r="A21" s="13">
        <v>8.4</v>
      </c>
      <c r="B21" s="13">
        <v>0.13</v>
      </c>
    </row>
    <row r="22" spans="1:2" x14ac:dyDescent="0.25">
      <c r="A22" s="13">
        <v>8.6</v>
      </c>
      <c r="B22" s="13">
        <v>8.8499999999999995E-2</v>
      </c>
    </row>
    <row r="23" spans="1:2" x14ac:dyDescent="0.25">
      <c r="A23" s="13">
        <v>8.8000000000000007</v>
      </c>
      <c r="B23" s="13">
        <v>1.95E-2</v>
      </c>
    </row>
    <row r="24" spans="1:2" x14ac:dyDescent="0.25">
      <c r="A24" s="13">
        <v>9</v>
      </c>
      <c r="B24" s="13">
        <v>2.7900000000000001E-2</v>
      </c>
    </row>
    <row r="25" spans="1:2" x14ac:dyDescent="0.25">
      <c r="A25" s="13">
        <v>9.1999999999999993</v>
      </c>
      <c r="B25" s="13">
        <v>2.53E-2</v>
      </c>
    </row>
    <row r="26" spans="1:2" x14ac:dyDescent="0.25">
      <c r="A26" s="13">
        <v>9.4</v>
      </c>
      <c r="B26" s="13">
        <v>2.2499999999999999E-2</v>
      </c>
    </row>
    <row r="27" spans="1:2" x14ac:dyDescent="0.25">
      <c r="A27" s="13">
        <v>9.6</v>
      </c>
      <c r="B27" s="13">
        <v>4.3200000000000002E-2</v>
      </c>
    </row>
    <row r="28" spans="1:2" x14ac:dyDescent="0.25">
      <c r="A28" s="13">
        <v>9.8000000000000007</v>
      </c>
      <c r="B28" s="13">
        <v>6.3799999999999996E-2</v>
      </c>
    </row>
    <row r="29" spans="1:2" x14ac:dyDescent="0.25">
      <c r="A29" s="13">
        <v>10</v>
      </c>
      <c r="B29" s="13">
        <v>5.0700000000000002E-2</v>
      </c>
    </row>
    <row r="30" spans="1:2" x14ac:dyDescent="0.25">
      <c r="A30" s="13">
        <v>10.199999999999999</v>
      </c>
      <c r="B30" s="13">
        <v>3.0099999999999998E-2</v>
      </c>
    </row>
    <row r="31" spans="1:2" x14ac:dyDescent="0.25">
      <c r="A31" s="13">
        <v>10.4</v>
      </c>
      <c r="B31" s="13">
        <v>1.77E-2</v>
      </c>
    </row>
    <row r="32" spans="1:2" x14ac:dyDescent="0.25">
      <c r="A32" s="13">
        <v>10.6</v>
      </c>
      <c r="B32" s="13">
        <v>1.84E-2</v>
      </c>
    </row>
    <row r="33" spans="1:2" x14ac:dyDescent="0.25">
      <c r="A33" s="13">
        <v>10.8</v>
      </c>
      <c r="B33" s="13">
        <v>1.6899999999999998E-2</v>
      </c>
    </row>
    <row r="34" spans="1:2" x14ac:dyDescent="0.25">
      <c r="A34" s="13">
        <v>11</v>
      </c>
      <c r="B34" s="13">
        <v>1.6299999999999999E-2</v>
      </c>
    </row>
    <row r="35" spans="1:2" x14ac:dyDescent="0.25">
      <c r="A35" s="13">
        <v>11.2</v>
      </c>
      <c r="B35" s="13">
        <v>1.77E-2</v>
      </c>
    </row>
    <row r="36" spans="1:2" x14ac:dyDescent="0.25">
      <c r="A36" s="13">
        <v>11.4</v>
      </c>
      <c r="B36" s="13">
        <v>2.0899999999999998E-2</v>
      </c>
    </row>
    <row r="37" spans="1:2" x14ac:dyDescent="0.25">
      <c r="A37" s="13">
        <v>11.6</v>
      </c>
      <c r="B37" s="13">
        <v>1.49E-2</v>
      </c>
    </row>
    <row r="38" spans="1:2" x14ac:dyDescent="0.25">
      <c r="A38" s="13">
        <v>11.8</v>
      </c>
      <c r="B38" s="13">
        <v>1.4E-2</v>
      </c>
    </row>
    <row r="39" spans="1:2" x14ac:dyDescent="0.25">
      <c r="A39" s="13">
        <v>12</v>
      </c>
      <c r="B39" s="13">
        <v>1.17E-2</v>
      </c>
    </row>
    <row r="40" spans="1:2" x14ac:dyDescent="0.25">
      <c r="A40" s="13">
        <v>12.2</v>
      </c>
      <c r="B40" s="13">
        <v>1.09E-2</v>
      </c>
    </row>
    <row r="41" spans="1:2" x14ac:dyDescent="0.25">
      <c r="A41" s="13">
        <v>12.4</v>
      </c>
      <c r="B41" s="13">
        <v>0.01</v>
      </c>
    </row>
    <row r="42" spans="1:2" x14ac:dyDescent="0.25">
      <c r="A42" s="13">
        <v>12.6</v>
      </c>
      <c r="B42" s="13">
        <v>9.2599999999999991E-3</v>
      </c>
    </row>
    <row r="43" spans="1:2" x14ac:dyDescent="0.25">
      <c r="A43" s="13">
        <v>12.8</v>
      </c>
      <c r="B43" s="13">
        <v>8.6700000000000006E-3</v>
      </c>
    </row>
    <row r="44" spans="1:2" x14ac:dyDescent="0.25">
      <c r="A44" s="13">
        <v>13</v>
      </c>
      <c r="B44" s="13">
        <v>7.77E-3</v>
      </c>
    </row>
    <row r="45" spans="1:2" x14ac:dyDescent="0.25">
      <c r="A45" s="13">
        <v>13.2</v>
      </c>
      <c r="B45" s="13">
        <v>7.3800000000000003E-3</v>
      </c>
    </row>
    <row r="46" spans="1:2" x14ac:dyDescent="0.25">
      <c r="A46" s="13">
        <v>13.4</v>
      </c>
      <c r="B46" s="13">
        <v>6.3600000000000002E-3</v>
      </c>
    </row>
    <row r="47" spans="1:2" x14ac:dyDescent="0.25">
      <c r="A47" s="13">
        <v>13.6</v>
      </c>
      <c r="B47" s="13">
        <v>5.6800000000000002E-3</v>
      </c>
    </row>
    <row r="48" spans="1:2" x14ac:dyDescent="0.25">
      <c r="A48" s="13">
        <v>13.8</v>
      </c>
      <c r="B48" s="13">
        <v>5.0800000000000003E-3</v>
      </c>
    </row>
    <row r="49" spans="1:2" x14ac:dyDescent="0.25">
      <c r="A49" s="13">
        <v>14</v>
      </c>
      <c r="B49" s="13">
        <v>4.5999999999999999E-3</v>
      </c>
    </row>
    <row r="50" spans="1:2" x14ac:dyDescent="0.25">
      <c r="A50" s="13">
        <v>14.2</v>
      </c>
      <c r="B50" s="13">
        <v>3.7799999999999999E-3</v>
      </c>
    </row>
    <row r="51" spans="1:2" x14ac:dyDescent="0.25">
      <c r="A51" s="13">
        <v>14.4</v>
      </c>
      <c r="B51" s="13">
        <v>3.0599999999999998E-3</v>
      </c>
    </row>
    <row r="52" spans="1:2" x14ac:dyDescent="0.25">
      <c r="A52" s="13">
        <v>14.6</v>
      </c>
      <c r="B52" s="13">
        <v>2.4499999999999999E-3</v>
      </c>
    </row>
    <row r="53" spans="1:2" x14ac:dyDescent="0.25">
      <c r="A53" s="13">
        <v>14.8</v>
      </c>
      <c r="B53" s="13">
        <v>1.73E-3</v>
      </c>
    </row>
    <row r="54" spans="1:2" x14ac:dyDescent="0.25">
      <c r="A54" s="13">
        <v>15</v>
      </c>
      <c r="B54" s="13">
        <v>7.7999999999999999E-4</v>
      </c>
    </row>
    <row r="55" spans="1:2" x14ac:dyDescent="0.25">
      <c r="A55" s="13">
        <v>15.2</v>
      </c>
      <c r="B55" s="13">
        <v>1.2799999999999999E-4</v>
      </c>
    </row>
    <row r="56" spans="1:2" x14ac:dyDescent="0.25">
      <c r="A56" s="13">
        <v>15.4</v>
      </c>
      <c r="B56" s="13">
        <v>9.1199999999999994E-5</v>
      </c>
    </row>
    <row r="57" spans="1:2" x14ac:dyDescent="0.25">
      <c r="A57" s="13">
        <v>15.6</v>
      </c>
      <c r="B57" s="13">
        <v>8.8700000000000001E-5</v>
      </c>
    </row>
    <row r="58" spans="1:2" x14ac:dyDescent="0.25">
      <c r="A58" s="13">
        <v>15.8</v>
      </c>
      <c r="B58" s="13">
        <v>1E-4</v>
      </c>
    </row>
    <row r="59" spans="1:2" x14ac:dyDescent="0.25">
      <c r="A59" s="13">
        <v>16</v>
      </c>
      <c r="B59" s="13">
        <v>8.7299999999999994E-5</v>
      </c>
    </row>
    <row r="60" spans="1:2" x14ac:dyDescent="0.25">
      <c r="A60" s="13">
        <v>16.2</v>
      </c>
      <c r="B60" s="13">
        <v>9.6899999999999997E-5</v>
      </c>
    </row>
    <row r="61" spans="1:2" x14ac:dyDescent="0.25">
      <c r="A61" s="13">
        <v>16.399999999999999</v>
      </c>
      <c r="B61" s="13">
        <v>7.7799999999999994E-5</v>
      </c>
    </row>
    <row r="62" spans="1:2" x14ac:dyDescent="0.25">
      <c r="A62" s="13">
        <v>16.600000000000001</v>
      </c>
      <c r="B62" s="13">
        <v>8.7800000000000006E-5</v>
      </c>
    </row>
    <row r="63" spans="1:2" x14ac:dyDescent="0.25">
      <c r="A63" s="13">
        <v>16.8</v>
      </c>
      <c r="B63" s="13">
        <v>8.1000000000000004E-5</v>
      </c>
    </row>
    <row r="64" spans="1:2" x14ac:dyDescent="0.25">
      <c r="A64" s="13">
        <v>17</v>
      </c>
      <c r="B64" s="13">
        <v>8.25E-5</v>
      </c>
    </row>
  </sheetData>
  <pageMargins left="0.7" right="0.7" top="0.75" bottom="0.75" header="0.3" footer="0.3"/>
  <pageSetup paperSize="9" orientation="portrait" r:id="rId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dimension ref="A1:B84"/>
  <sheetViews>
    <sheetView workbookViewId="0">
      <selection sqref="A1:B1"/>
    </sheetView>
  </sheetViews>
  <sheetFormatPr defaultRowHeight="15" x14ac:dyDescent="0.25"/>
  <cols>
    <col min="1" max="1" width="15.85546875" customWidth="1"/>
    <col min="2" max="2" width="16.710937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5.6</v>
      </c>
      <c r="B2" s="18">
        <v>1.24E-3</v>
      </c>
    </row>
    <row r="3" spans="1:2" x14ac:dyDescent="0.25">
      <c r="A3" s="18">
        <v>5.8</v>
      </c>
      <c r="B3" s="18">
        <v>1.8400000000000001E-3</v>
      </c>
    </row>
    <row r="4" spans="1:2" x14ac:dyDescent="0.25">
      <c r="A4" s="18">
        <v>6</v>
      </c>
      <c r="B4" s="18">
        <v>1.15E-3</v>
      </c>
    </row>
    <row r="5" spans="1:2" x14ac:dyDescent="0.25">
      <c r="A5" s="18">
        <v>6.2</v>
      </c>
      <c r="B5" s="18">
        <v>1.7099999999999999E-3</v>
      </c>
    </row>
    <row r="6" spans="1:2" x14ac:dyDescent="0.25">
      <c r="A6" s="18">
        <v>6.4</v>
      </c>
      <c r="B6" s="18">
        <v>2.14E-3</v>
      </c>
    </row>
    <row r="7" spans="1:2" x14ac:dyDescent="0.25">
      <c r="A7" s="18">
        <v>6.6</v>
      </c>
      <c r="B7" s="18">
        <v>2.8400000000000001E-3</v>
      </c>
    </row>
    <row r="8" spans="1:2" x14ac:dyDescent="0.25">
      <c r="A8" s="18">
        <v>6.8</v>
      </c>
      <c r="B8" s="18">
        <v>3.0699999999999998E-3</v>
      </c>
    </row>
    <row r="9" spans="1:2" x14ac:dyDescent="0.25">
      <c r="A9" s="18">
        <v>7</v>
      </c>
      <c r="B9" s="18">
        <v>4.2900000000000004E-3</v>
      </c>
    </row>
    <row r="10" spans="1:2" x14ac:dyDescent="0.25">
      <c r="A10" s="18">
        <v>7.2</v>
      </c>
      <c r="B10" s="18">
        <v>4.4200000000000003E-3</v>
      </c>
    </row>
    <row r="11" spans="1:2" x14ac:dyDescent="0.25">
      <c r="A11" s="18">
        <v>7.4</v>
      </c>
      <c r="B11" s="18">
        <v>7.8100000000000001E-3</v>
      </c>
    </row>
    <row r="12" spans="1:2" x14ac:dyDescent="0.25">
      <c r="A12" s="18">
        <v>7.6</v>
      </c>
      <c r="B12" s="18">
        <v>7.9299999999999995E-3</v>
      </c>
    </row>
    <row r="13" spans="1:2" x14ac:dyDescent="0.25">
      <c r="A13" s="18">
        <v>7.8</v>
      </c>
      <c r="B13" s="18">
        <v>7.8799999999999999E-3</v>
      </c>
    </row>
    <row r="14" spans="1:2" x14ac:dyDescent="0.25">
      <c r="A14" s="18">
        <v>8</v>
      </c>
      <c r="B14" s="18">
        <v>1.1299999999999999E-2</v>
      </c>
    </row>
    <row r="15" spans="1:2" x14ac:dyDescent="0.25">
      <c r="A15" s="18">
        <v>8.1999999999999993</v>
      </c>
      <c r="B15" s="18">
        <v>5.6100000000000004E-3</v>
      </c>
    </row>
    <row r="16" spans="1:2" x14ac:dyDescent="0.25">
      <c r="A16" s="18">
        <v>8.4</v>
      </c>
      <c r="B16" s="18">
        <v>0.106</v>
      </c>
    </row>
    <row r="17" spans="1:2" x14ac:dyDescent="0.25">
      <c r="A17" s="18">
        <v>8.6</v>
      </c>
      <c r="B17" s="18">
        <v>6.7799999999999999E-2</v>
      </c>
    </row>
    <row r="18" spans="1:2" x14ac:dyDescent="0.25">
      <c r="A18" s="18">
        <v>8.8000000000000007</v>
      </c>
      <c r="B18" s="18">
        <v>9.7900000000000001E-3</v>
      </c>
    </row>
    <row r="19" spans="1:2" x14ac:dyDescent="0.25">
      <c r="A19" s="18">
        <v>9</v>
      </c>
      <c r="B19" s="18">
        <v>1.6799999999999999E-2</v>
      </c>
    </row>
    <row r="20" spans="1:2" x14ac:dyDescent="0.25">
      <c r="A20" s="18">
        <v>9.1999999999999993</v>
      </c>
      <c r="B20" s="18">
        <v>1.7100000000000001E-2</v>
      </c>
    </row>
    <row r="21" spans="1:2" x14ac:dyDescent="0.25">
      <c r="A21" s="18">
        <v>9.4</v>
      </c>
      <c r="B21" s="18">
        <v>1.34E-2</v>
      </c>
    </row>
    <row r="22" spans="1:2" x14ac:dyDescent="0.25">
      <c r="A22" s="18">
        <v>9.6</v>
      </c>
      <c r="B22" s="18">
        <v>5.4800000000000001E-2</v>
      </c>
    </row>
    <row r="23" spans="1:2" x14ac:dyDescent="0.25">
      <c r="A23" s="18">
        <v>9.8000000000000007</v>
      </c>
      <c r="B23" s="18">
        <v>9.1499999999999998E-2</v>
      </c>
    </row>
    <row r="24" spans="1:2" x14ac:dyDescent="0.25">
      <c r="A24" s="18">
        <v>10</v>
      </c>
      <c r="B24" s="18">
        <v>6.3399999999999998E-2</v>
      </c>
    </row>
    <row r="25" spans="1:2" x14ac:dyDescent="0.25">
      <c r="A25" s="18">
        <v>10.199999999999999</v>
      </c>
      <c r="B25" s="18">
        <v>3.1899999999999998E-2</v>
      </c>
    </row>
    <row r="26" spans="1:2" x14ac:dyDescent="0.25">
      <c r="A26" s="18">
        <v>10.4</v>
      </c>
      <c r="B26" s="18">
        <v>1.6299999999999999E-2</v>
      </c>
    </row>
    <row r="27" spans="1:2" x14ac:dyDescent="0.25">
      <c r="A27" s="18">
        <v>10.6</v>
      </c>
      <c r="B27" s="18">
        <v>1.7000000000000001E-2</v>
      </c>
    </row>
    <row r="28" spans="1:2" x14ac:dyDescent="0.25">
      <c r="A28" s="18">
        <v>10.8</v>
      </c>
      <c r="B28" s="18">
        <v>1.72E-2</v>
      </c>
    </row>
    <row r="29" spans="1:2" x14ac:dyDescent="0.25">
      <c r="A29" s="18">
        <v>11</v>
      </c>
      <c r="B29" s="18">
        <v>1.7000000000000001E-2</v>
      </c>
    </row>
    <row r="30" spans="1:2" x14ac:dyDescent="0.25">
      <c r="A30" s="18">
        <v>11.2</v>
      </c>
      <c r="B30" s="18">
        <v>2.2100000000000002E-2</v>
      </c>
    </row>
    <row r="31" spans="1:2" x14ac:dyDescent="0.25">
      <c r="A31" s="18">
        <v>11.4</v>
      </c>
      <c r="B31" s="18">
        <v>3.1899999999999998E-2</v>
      </c>
    </row>
    <row r="32" spans="1:2" x14ac:dyDescent="0.25">
      <c r="A32" s="18">
        <v>11.6</v>
      </c>
      <c r="B32" s="18">
        <v>2.0199999999999999E-2</v>
      </c>
    </row>
    <row r="33" spans="1:2" x14ac:dyDescent="0.25">
      <c r="A33" s="18">
        <v>11.8</v>
      </c>
      <c r="B33" s="18">
        <v>1.9699999999999999E-2</v>
      </c>
    </row>
    <row r="34" spans="1:2" x14ac:dyDescent="0.25">
      <c r="A34" s="18">
        <v>12</v>
      </c>
      <c r="B34" s="18">
        <v>1.5599999999999999E-2</v>
      </c>
    </row>
    <row r="35" spans="1:2" x14ac:dyDescent="0.25">
      <c r="A35" s="18">
        <v>12.2</v>
      </c>
      <c r="B35" s="18">
        <v>1.5599999999999999E-2</v>
      </c>
    </row>
    <row r="36" spans="1:2" x14ac:dyDescent="0.25">
      <c r="A36" s="18">
        <v>12.4</v>
      </c>
      <c r="B36" s="18">
        <v>1.41E-2</v>
      </c>
    </row>
    <row r="37" spans="1:2" x14ac:dyDescent="0.25">
      <c r="A37" s="18">
        <v>12.6</v>
      </c>
      <c r="B37" s="18">
        <v>1.43E-2</v>
      </c>
    </row>
    <row r="38" spans="1:2" x14ac:dyDescent="0.25">
      <c r="A38" s="18">
        <v>12.8</v>
      </c>
      <c r="B38" s="18">
        <v>1.35E-2</v>
      </c>
    </row>
    <row r="39" spans="1:2" x14ac:dyDescent="0.25">
      <c r="A39" s="18">
        <v>13</v>
      </c>
      <c r="B39" s="18">
        <v>1.3299999999999999E-2</v>
      </c>
    </row>
    <row r="40" spans="1:2" x14ac:dyDescent="0.25">
      <c r="A40" s="18">
        <v>13.2</v>
      </c>
      <c r="B40" s="18">
        <v>1.29E-2</v>
      </c>
    </row>
    <row r="41" spans="1:2" x14ac:dyDescent="0.25">
      <c r="A41" s="18">
        <v>13.4</v>
      </c>
      <c r="B41" s="18">
        <v>1.24E-2</v>
      </c>
    </row>
    <row r="42" spans="1:2" x14ac:dyDescent="0.25">
      <c r="A42" s="18">
        <v>13.6</v>
      </c>
      <c r="B42" s="18">
        <v>1.21E-2</v>
      </c>
    </row>
    <row r="43" spans="1:2" x14ac:dyDescent="0.25">
      <c r="A43" s="18">
        <v>13.8</v>
      </c>
      <c r="B43" s="18">
        <v>1.15E-2</v>
      </c>
    </row>
    <row r="44" spans="1:2" x14ac:dyDescent="0.25">
      <c r="A44" s="18">
        <v>14</v>
      </c>
      <c r="B44" s="18">
        <v>1.12E-2</v>
      </c>
    </row>
    <row r="45" spans="1:2" x14ac:dyDescent="0.25">
      <c r="A45" s="18">
        <v>14.2</v>
      </c>
      <c r="B45" s="18">
        <v>1.0800000000000001E-2</v>
      </c>
    </row>
    <row r="46" spans="1:2" x14ac:dyDescent="0.25">
      <c r="A46" s="18">
        <v>14.4</v>
      </c>
      <c r="B46" s="18">
        <v>1.03E-2</v>
      </c>
    </row>
    <row r="47" spans="1:2" x14ac:dyDescent="0.25">
      <c r="A47" s="18">
        <v>14.6</v>
      </c>
      <c r="B47" s="18">
        <v>0.01</v>
      </c>
    </row>
    <row r="48" spans="1:2" x14ac:dyDescent="0.25">
      <c r="A48" s="18">
        <v>14.8</v>
      </c>
      <c r="B48" s="18">
        <v>9.4500000000000001E-3</v>
      </c>
    </row>
    <row r="49" spans="1:2" x14ac:dyDescent="0.25">
      <c r="A49" s="18">
        <v>15</v>
      </c>
      <c r="B49" s="18">
        <v>9.0900000000000009E-3</v>
      </c>
    </row>
    <row r="50" spans="1:2" x14ac:dyDescent="0.25">
      <c r="A50" s="18">
        <v>15.2</v>
      </c>
      <c r="B50" s="18">
        <v>8.5900000000000004E-3</v>
      </c>
    </row>
    <row r="51" spans="1:2" x14ac:dyDescent="0.25">
      <c r="A51" s="18">
        <v>15.4</v>
      </c>
      <c r="B51" s="18">
        <v>8.2500000000000004E-3</v>
      </c>
    </row>
    <row r="52" spans="1:2" x14ac:dyDescent="0.25">
      <c r="A52" s="18">
        <v>15.6</v>
      </c>
      <c r="B52" s="18">
        <v>7.8300000000000002E-3</v>
      </c>
    </row>
    <row r="53" spans="1:2" x14ac:dyDescent="0.25">
      <c r="A53" s="18">
        <v>15.8</v>
      </c>
      <c r="B53" s="18">
        <v>7.3299999999999997E-3</v>
      </c>
    </row>
    <row r="54" spans="1:2" x14ac:dyDescent="0.25">
      <c r="A54" s="18">
        <v>16</v>
      </c>
      <c r="B54" s="18">
        <v>7.0299999999999998E-3</v>
      </c>
    </row>
    <row r="55" spans="1:2" x14ac:dyDescent="0.25">
      <c r="A55" s="18">
        <v>16.2</v>
      </c>
      <c r="B55" s="18">
        <v>6.62E-3</v>
      </c>
    </row>
    <row r="56" spans="1:2" x14ac:dyDescent="0.25">
      <c r="A56" s="18">
        <v>16.399999999999999</v>
      </c>
      <c r="B56" s="18">
        <v>6.2199999999999998E-3</v>
      </c>
    </row>
    <row r="57" spans="1:2" x14ac:dyDescent="0.25">
      <c r="A57" s="18">
        <v>16.600000000000001</v>
      </c>
      <c r="B57" s="18">
        <v>5.8100000000000001E-3</v>
      </c>
    </row>
    <row r="58" spans="1:2" x14ac:dyDescent="0.25">
      <c r="A58" s="18">
        <v>16.8</v>
      </c>
      <c r="B58" s="18">
        <v>5.5199999999999997E-3</v>
      </c>
    </row>
    <row r="59" spans="1:2" x14ac:dyDescent="0.25">
      <c r="A59" s="18">
        <v>17</v>
      </c>
      <c r="B59" s="18">
        <v>5.0899999999999999E-3</v>
      </c>
    </row>
    <row r="60" spans="1:2" x14ac:dyDescent="0.25">
      <c r="A60" s="18">
        <v>17.2</v>
      </c>
      <c r="B60" s="18">
        <v>4.8999999999999998E-3</v>
      </c>
    </row>
    <row r="61" spans="1:2" x14ac:dyDescent="0.25">
      <c r="A61" s="18">
        <v>17.399999999999999</v>
      </c>
      <c r="B61" s="18">
        <v>4.4600000000000004E-3</v>
      </c>
    </row>
    <row r="62" spans="1:2" x14ac:dyDescent="0.25">
      <c r="A62" s="18">
        <v>17.600000000000001</v>
      </c>
      <c r="B62" s="18">
        <v>4.1399999999999996E-3</v>
      </c>
    </row>
    <row r="63" spans="1:2" x14ac:dyDescent="0.25">
      <c r="A63" s="18">
        <v>17.8</v>
      </c>
      <c r="B63" s="18">
        <v>3.7799999999999999E-3</v>
      </c>
    </row>
    <row r="64" spans="1:2" x14ac:dyDescent="0.25">
      <c r="A64" s="18">
        <v>18</v>
      </c>
      <c r="B64" s="18">
        <v>3.5100000000000001E-3</v>
      </c>
    </row>
    <row r="65" spans="1:2" x14ac:dyDescent="0.25">
      <c r="A65" s="18">
        <v>18.2</v>
      </c>
      <c r="B65" s="18">
        <v>3.2200000000000002E-3</v>
      </c>
    </row>
    <row r="66" spans="1:2" x14ac:dyDescent="0.25">
      <c r="A66" s="18">
        <v>18.399999999999999</v>
      </c>
      <c r="B66" s="18">
        <v>2.82E-3</v>
      </c>
    </row>
    <row r="67" spans="1:2" x14ac:dyDescent="0.25">
      <c r="A67" s="18">
        <v>18.600000000000001</v>
      </c>
      <c r="B67" s="18">
        <v>2.5899999999999999E-3</v>
      </c>
    </row>
    <row r="68" spans="1:2" x14ac:dyDescent="0.25">
      <c r="A68" s="18">
        <v>18.8</v>
      </c>
      <c r="B68" s="18">
        <v>2.2499999999999998E-3</v>
      </c>
    </row>
    <row r="69" spans="1:2" x14ac:dyDescent="0.25">
      <c r="A69" s="18">
        <v>19</v>
      </c>
      <c r="B69" s="18">
        <v>1.9400000000000001E-3</v>
      </c>
    </row>
    <row r="70" spans="1:2" x14ac:dyDescent="0.25">
      <c r="A70" s="18">
        <v>19.2</v>
      </c>
      <c r="B70" s="18">
        <v>1.73E-3</v>
      </c>
    </row>
    <row r="71" spans="1:2" x14ac:dyDescent="0.25">
      <c r="A71" s="18">
        <v>19.399999999999999</v>
      </c>
      <c r="B71" s="18">
        <v>1.3699999999999999E-3</v>
      </c>
    </row>
    <row r="72" spans="1:2" x14ac:dyDescent="0.25">
      <c r="A72" s="18">
        <v>19.600000000000001</v>
      </c>
      <c r="B72" s="18">
        <v>1.06E-3</v>
      </c>
    </row>
    <row r="73" spans="1:2" x14ac:dyDescent="0.25">
      <c r="A73" s="18">
        <v>19.8</v>
      </c>
      <c r="B73" s="18">
        <v>7.2900000000000005E-4</v>
      </c>
    </row>
    <row r="74" spans="1:2" x14ac:dyDescent="0.25">
      <c r="A74" s="18">
        <v>20</v>
      </c>
      <c r="B74" s="18">
        <v>3.6699999999999998E-4</v>
      </c>
    </row>
    <row r="75" spans="1:2" x14ac:dyDescent="0.25">
      <c r="A75" s="18">
        <v>20.2</v>
      </c>
      <c r="B75" s="18">
        <v>1.7900000000000001E-5</v>
      </c>
    </row>
    <row r="76" spans="1:2" x14ac:dyDescent="0.25">
      <c r="A76" s="18">
        <v>20.399999999999999</v>
      </c>
      <c r="B76" s="18">
        <v>2.8399999999999999E-5</v>
      </c>
    </row>
    <row r="77" spans="1:2" x14ac:dyDescent="0.25">
      <c r="A77" s="18">
        <v>20.6</v>
      </c>
      <c r="B77" s="18">
        <v>1.5099999999999999E-5</v>
      </c>
    </row>
    <row r="78" spans="1:2" x14ac:dyDescent="0.25">
      <c r="A78" s="18">
        <v>20.8</v>
      </c>
      <c r="B78" s="18">
        <v>2.1800000000000001E-5</v>
      </c>
    </row>
    <row r="79" spans="1:2" x14ac:dyDescent="0.25">
      <c r="A79" s="18">
        <v>21</v>
      </c>
      <c r="B79" s="18">
        <v>1.36E-5</v>
      </c>
    </row>
    <row r="80" spans="1:2" x14ac:dyDescent="0.25">
      <c r="A80" s="18">
        <v>21.2</v>
      </c>
      <c r="B80" s="18">
        <v>2.1399999999999998E-5</v>
      </c>
    </row>
    <row r="81" spans="1:2" x14ac:dyDescent="0.25">
      <c r="A81" s="18">
        <v>21.4</v>
      </c>
      <c r="B81" s="18">
        <v>1.19E-5</v>
      </c>
    </row>
    <row r="82" spans="1:2" x14ac:dyDescent="0.25">
      <c r="A82" s="18">
        <v>21.6</v>
      </c>
      <c r="B82" s="18">
        <v>1.7099999999999999E-5</v>
      </c>
    </row>
    <row r="83" spans="1:2" x14ac:dyDescent="0.25">
      <c r="A83" s="18">
        <v>21.8</v>
      </c>
      <c r="B83" s="18">
        <v>1.06E-5</v>
      </c>
    </row>
    <row r="84" spans="1:2" x14ac:dyDescent="0.25">
      <c r="A84" s="18">
        <v>22</v>
      </c>
      <c r="B84" s="18">
        <v>1.2999999999999999E-5</v>
      </c>
    </row>
  </sheetData>
  <pageMargins left="0.7" right="0.7" top="0.75" bottom="0.75" header="0.3" footer="0.3"/>
  <pageSetup paperSize="9" orientation="portrait" r:id="rId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dimension ref="A1:B12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7</v>
      </c>
      <c r="B2" s="18">
        <v>9.4799999999999995E-4</v>
      </c>
    </row>
    <row r="3" spans="1:2" x14ac:dyDescent="0.25">
      <c r="A3" s="18">
        <v>7.2</v>
      </c>
      <c r="B3" s="18">
        <v>5.0900000000000001E-4</v>
      </c>
    </row>
    <row r="4" spans="1:2" x14ac:dyDescent="0.25">
      <c r="A4" s="18">
        <v>7.4</v>
      </c>
      <c r="B4" s="18">
        <v>1.8E-3</v>
      </c>
    </row>
    <row r="5" spans="1:2" x14ac:dyDescent="0.25">
      <c r="A5" s="18">
        <v>7.6</v>
      </c>
      <c r="B5" s="18">
        <v>1.6900000000000001E-3</v>
      </c>
    </row>
    <row r="6" spans="1:2" x14ac:dyDescent="0.25">
      <c r="A6" s="18">
        <v>7.8</v>
      </c>
      <c r="B6" s="18">
        <v>1.5E-3</v>
      </c>
    </row>
    <row r="7" spans="1:2" x14ac:dyDescent="0.25">
      <c r="A7" s="18">
        <v>8</v>
      </c>
      <c r="B7" s="18">
        <v>2.9399999999999999E-3</v>
      </c>
    </row>
    <row r="8" spans="1:2" x14ac:dyDescent="0.25">
      <c r="A8" s="18">
        <v>8.1999999999999993</v>
      </c>
      <c r="B8" s="18">
        <v>1.25E-3</v>
      </c>
    </row>
    <row r="9" spans="1:2" x14ac:dyDescent="0.25">
      <c r="A9" s="18">
        <v>8.4</v>
      </c>
      <c r="B9" s="18">
        <v>4.3499999999999997E-2</v>
      </c>
    </row>
    <row r="10" spans="1:2" x14ac:dyDescent="0.25">
      <c r="A10" s="18">
        <v>8.6</v>
      </c>
      <c r="B10" s="18">
        <v>2.64E-2</v>
      </c>
    </row>
    <row r="11" spans="1:2" x14ac:dyDescent="0.25">
      <c r="A11" s="18">
        <v>8.8000000000000007</v>
      </c>
      <c r="B11" s="18">
        <v>3.5899999999999999E-3</v>
      </c>
    </row>
    <row r="12" spans="1:2" x14ac:dyDescent="0.25">
      <c r="A12" s="18">
        <v>9</v>
      </c>
      <c r="B12" s="18">
        <v>6.43E-3</v>
      </c>
    </row>
    <row r="13" spans="1:2" x14ac:dyDescent="0.25">
      <c r="A13" s="18">
        <v>9.1999999999999993</v>
      </c>
      <c r="B13" s="18">
        <v>7.3899999999999999E-3</v>
      </c>
    </row>
    <row r="14" spans="1:2" x14ac:dyDescent="0.25">
      <c r="A14" s="18">
        <v>9.4</v>
      </c>
      <c r="B14" s="18">
        <v>5.2300000000000003E-3</v>
      </c>
    </row>
    <row r="15" spans="1:2" x14ac:dyDescent="0.25">
      <c r="A15" s="18">
        <v>9.6</v>
      </c>
      <c r="B15" s="18">
        <v>4.2200000000000001E-2</v>
      </c>
    </row>
    <row r="16" spans="1:2" x14ac:dyDescent="0.25">
      <c r="A16" s="18">
        <v>9.8000000000000007</v>
      </c>
      <c r="B16" s="18">
        <v>7.2900000000000006E-2</v>
      </c>
    </row>
    <row r="17" spans="1:2" x14ac:dyDescent="0.25">
      <c r="A17" s="18">
        <v>10</v>
      </c>
      <c r="B17" s="18">
        <v>4.9700000000000001E-2</v>
      </c>
    </row>
    <row r="18" spans="1:2" x14ac:dyDescent="0.25">
      <c r="A18" s="18">
        <v>10.199999999999999</v>
      </c>
      <c r="B18" s="18">
        <v>2.2499999999999999E-2</v>
      </c>
    </row>
    <row r="19" spans="1:2" x14ac:dyDescent="0.25">
      <c r="A19" s="18">
        <v>10.4</v>
      </c>
      <c r="B19" s="18">
        <v>9.1500000000000001E-3</v>
      </c>
    </row>
    <row r="20" spans="1:2" x14ac:dyDescent="0.25">
      <c r="A20" s="18">
        <v>10.6</v>
      </c>
      <c r="B20" s="18">
        <v>1.0800000000000001E-2</v>
      </c>
    </row>
    <row r="21" spans="1:2" x14ac:dyDescent="0.25">
      <c r="A21" s="18">
        <v>10.8</v>
      </c>
      <c r="B21" s="18">
        <v>1.12E-2</v>
      </c>
    </row>
    <row r="22" spans="1:2" x14ac:dyDescent="0.25">
      <c r="A22" s="18">
        <v>11</v>
      </c>
      <c r="B22" s="18">
        <v>1.1900000000000001E-2</v>
      </c>
    </row>
    <row r="23" spans="1:2" x14ac:dyDescent="0.25">
      <c r="A23" s="18">
        <v>11.2</v>
      </c>
      <c r="B23" s="18">
        <v>1.8499999999999999E-2</v>
      </c>
    </row>
    <row r="24" spans="1:2" x14ac:dyDescent="0.25">
      <c r="A24" s="18">
        <v>11.4</v>
      </c>
      <c r="B24" s="18">
        <v>3.1E-2</v>
      </c>
    </row>
    <row r="25" spans="1:2" x14ac:dyDescent="0.25">
      <c r="A25" s="18">
        <v>11.6</v>
      </c>
      <c r="B25" s="18">
        <v>1.8599999999999998E-2</v>
      </c>
    </row>
    <row r="26" spans="1:2" x14ac:dyDescent="0.25">
      <c r="A26" s="18">
        <v>11.8</v>
      </c>
      <c r="B26" s="18">
        <v>1.8100000000000002E-2</v>
      </c>
    </row>
    <row r="27" spans="1:2" x14ac:dyDescent="0.25">
      <c r="A27" s="18">
        <v>12</v>
      </c>
      <c r="B27" s="18">
        <v>1.3599999999999999E-2</v>
      </c>
    </row>
    <row r="28" spans="1:2" x14ac:dyDescent="0.25">
      <c r="A28" s="18">
        <v>12.2</v>
      </c>
      <c r="B28" s="18">
        <v>1.37E-2</v>
      </c>
    </row>
    <row r="29" spans="1:2" x14ac:dyDescent="0.25">
      <c r="A29" s="18">
        <v>12.4</v>
      </c>
      <c r="B29" s="18">
        <v>1.26E-2</v>
      </c>
    </row>
    <row r="30" spans="1:2" x14ac:dyDescent="0.25">
      <c r="A30" s="18">
        <v>12.6</v>
      </c>
      <c r="B30" s="18">
        <v>1.32E-2</v>
      </c>
    </row>
    <row r="31" spans="1:2" x14ac:dyDescent="0.25">
      <c r="A31" s="18">
        <v>12.8</v>
      </c>
      <c r="B31" s="18">
        <v>1.29E-2</v>
      </c>
    </row>
    <row r="32" spans="1:2" x14ac:dyDescent="0.25">
      <c r="A32" s="18">
        <v>13</v>
      </c>
      <c r="B32" s="18">
        <v>1.34E-2</v>
      </c>
    </row>
    <row r="33" spans="1:2" x14ac:dyDescent="0.25">
      <c r="A33" s="18">
        <v>13.2</v>
      </c>
      <c r="B33" s="18">
        <v>1.3100000000000001E-2</v>
      </c>
    </row>
    <row r="34" spans="1:2" x14ac:dyDescent="0.25">
      <c r="A34" s="18">
        <v>13.4</v>
      </c>
      <c r="B34" s="18">
        <v>1.35E-2</v>
      </c>
    </row>
    <row r="35" spans="1:2" x14ac:dyDescent="0.25">
      <c r="A35" s="18">
        <v>13.6</v>
      </c>
      <c r="B35" s="18">
        <v>1.32E-2</v>
      </c>
    </row>
    <row r="36" spans="1:2" x14ac:dyDescent="0.25">
      <c r="A36" s="18">
        <v>13.8</v>
      </c>
      <c r="B36" s="18">
        <v>1.35E-2</v>
      </c>
    </row>
    <row r="37" spans="1:2" x14ac:dyDescent="0.25">
      <c r="A37" s="18">
        <v>14</v>
      </c>
      <c r="B37" s="18">
        <v>1.34E-2</v>
      </c>
    </row>
    <row r="38" spans="1:2" x14ac:dyDescent="0.25">
      <c r="A38" s="18">
        <v>14.2</v>
      </c>
      <c r="B38" s="18">
        <v>1.2699999999999999E-2</v>
      </c>
    </row>
    <row r="39" spans="1:2" x14ac:dyDescent="0.25">
      <c r="A39" s="18">
        <v>14.4</v>
      </c>
      <c r="B39" s="18">
        <v>1.32E-2</v>
      </c>
    </row>
    <row r="40" spans="1:2" x14ac:dyDescent="0.25">
      <c r="A40" s="18">
        <v>14.6</v>
      </c>
      <c r="B40" s="18">
        <v>1.3100000000000001E-2</v>
      </c>
    </row>
    <row r="41" spans="1:2" x14ac:dyDescent="0.25">
      <c r="A41" s="18">
        <v>14.8</v>
      </c>
      <c r="B41" s="18">
        <v>1.2699999999999999E-2</v>
      </c>
    </row>
    <row r="42" spans="1:2" x14ac:dyDescent="0.25">
      <c r="A42" s="18">
        <v>15</v>
      </c>
      <c r="B42" s="18">
        <v>1.2800000000000001E-2</v>
      </c>
    </row>
    <row r="43" spans="1:2" x14ac:dyDescent="0.25">
      <c r="A43" s="18">
        <v>15.2</v>
      </c>
      <c r="B43" s="18">
        <v>1.2500000000000001E-2</v>
      </c>
    </row>
    <row r="44" spans="1:2" x14ac:dyDescent="0.25">
      <c r="A44" s="18">
        <v>15.4</v>
      </c>
      <c r="B44" s="18">
        <v>1.21E-2</v>
      </c>
    </row>
    <row r="45" spans="1:2" x14ac:dyDescent="0.25">
      <c r="A45" s="18">
        <v>15.6</v>
      </c>
      <c r="B45" s="18">
        <v>1.2200000000000001E-2</v>
      </c>
    </row>
    <row r="46" spans="1:2" x14ac:dyDescent="0.25">
      <c r="A46" s="18">
        <v>15.8</v>
      </c>
      <c r="B46" s="18">
        <v>1.14E-2</v>
      </c>
    </row>
    <row r="47" spans="1:2" x14ac:dyDescent="0.25">
      <c r="A47" s="18">
        <v>16</v>
      </c>
      <c r="B47" s="18">
        <v>1.17E-2</v>
      </c>
    </row>
    <row r="48" spans="1:2" x14ac:dyDescent="0.25">
      <c r="A48" s="18">
        <v>16.2</v>
      </c>
      <c r="B48" s="18">
        <v>1.1299999999999999E-2</v>
      </c>
    </row>
    <row r="49" spans="1:2" x14ac:dyDescent="0.25">
      <c r="A49" s="18">
        <v>16.399999999999999</v>
      </c>
      <c r="B49" s="18">
        <v>1.0999999999999999E-2</v>
      </c>
    </row>
    <row r="50" spans="1:2" x14ac:dyDescent="0.25">
      <c r="A50" s="18">
        <v>16.600000000000001</v>
      </c>
      <c r="B50" s="18">
        <v>1.0699999999999999E-2</v>
      </c>
    </row>
    <row r="51" spans="1:2" x14ac:dyDescent="0.25">
      <c r="A51" s="18">
        <v>16.8</v>
      </c>
      <c r="B51" s="18">
        <v>1.06E-2</v>
      </c>
    </row>
    <row r="52" spans="1:2" x14ac:dyDescent="0.25">
      <c r="A52" s="18">
        <v>17</v>
      </c>
      <c r="B52" s="18">
        <v>1.03E-2</v>
      </c>
    </row>
    <row r="53" spans="1:2" x14ac:dyDescent="0.25">
      <c r="A53" s="18">
        <v>17.2</v>
      </c>
      <c r="B53" s="18">
        <v>9.7599999999999996E-3</v>
      </c>
    </row>
    <row r="54" spans="1:2" x14ac:dyDescent="0.25">
      <c r="A54" s="18">
        <v>17.399999999999999</v>
      </c>
      <c r="B54" s="18">
        <v>0.01</v>
      </c>
    </row>
    <row r="55" spans="1:2" x14ac:dyDescent="0.25">
      <c r="A55" s="18">
        <v>17.600000000000001</v>
      </c>
      <c r="B55" s="18">
        <v>9.4400000000000005E-3</v>
      </c>
    </row>
    <row r="56" spans="1:2" x14ac:dyDescent="0.25">
      <c r="A56" s="18">
        <v>17.8</v>
      </c>
      <c r="B56" s="18">
        <v>9.2899999999999996E-3</v>
      </c>
    </row>
    <row r="57" spans="1:2" x14ac:dyDescent="0.25">
      <c r="A57" s="18">
        <v>18</v>
      </c>
      <c r="B57" s="18">
        <v>8.9200000000000008E-3</v>
      </c>
    </row>
    <row r="58" spans="1:2" x14ac:dyDescent="0.25">
      <c r="A58" s="18">
        <v>18.2</v>
      </c>
      <c r="B58" s="18">
        <v>8.7100000000000007E-3</v>
      </c>
    </row>
    <row r="59" spans="1:2" x14ac:dyDescent="0.25">
      <c r="A59" s="18">
        <v>18.399999999999999</v>
      </c>
      <c r="B59" s="18">
        <v>8.1499999999999993E-3</v>
      </c>
    </row>
    <row r="60" spans="1:2" x14ac:dyDescent="0.25">
      <c r="A60" s="18">
        <v>18.600000000000001</v>
      </c>
      <c r="B60" s="18">
        <v>8.2500000000000004E-3</v>
      </c>
    </row>
    <row r="61" spans="1:2" x14ac:dyDescent="0.25">
      <c r="A61" s="18">
        <v>18.8</v>
      </c>
      <c r="B61" s="18">
        <v>7.8799999999999999E-3</v>
      </c>
    </row>
    <row r="62" spans="1:2" x14ac:dyDescent="0.25">
      <c r="A62" s="18">
        <v>19</v>
      </c>
      <c r="B62" s="18">
        <v>7.77E-3</v>
      </c>
    </row>
    <row r="63" spans="1:2" x14ac:dyDescent="0.25">
      <c r="A63" s="18">
        <v>19.2</v>
      </c>
      <c r="B63" s="18">
        <v>7.3000000000000001E-3</v>
      </c>
    </row>
    <row r="64" spans="1:2" x14ac:dyDescent="0.25">
      <c r="A64" s="18">
        <v>19.399999999999999</v>
      </c>
      <c r="B64" s="18">
        <v>7.3600000000000002E-3</v>
      </c>
    </row>
    <row r="65" spans="1:2" x14ac:dyDescent="0.25">
      <c r="A65" s="18">
        <v>19.600000000000001</v>
      </c>
      <c r="B65" s="18">
        <v>6.9800000000000001E-3</v>
      </c>
    </row>
    <row r="66" spans="1:2" x14ac:dyDescent="0.25">
      <c r="A66" s="18">
        <v>19.8</v>
      </c>
      <c r="B66" s="18">
        <v>6.6800000000000002E-3</v>
      </c>
    </row>
    <row r="67" spans="1:2" x14ac:dyDescent="0.25">
      <c r="A67" s="18">
        <v>20</v>
      </c>
      <c r="B67" s="18">
        <v>6.5100000000000002E-3</v>
      </c>
    </row>
    <row r="68" spans="1:2" x14ac:dyDescent="0.25">
      <c r="A68" s="18">
        <v>20.2</v>
      </c>
      <c r="B68" s="18">
        <v>6.2700000000000004E-3</v>
      </c>
    </row>
    <row r="69" spans="1:2" x14ac:dyDescent="0.25">
      <c r="A69" s="18">
        <v>20.399999999999999</v>
      </c>
      <c r="B69" s="18">
        <v>6.11E-3</v>
      </c>
    </row>
    <row r="70" spans="1:2" x14ac:dyDescent="0.25">
      <c r="A70" s="18">
        <v>20.6</v>
      </c>
      <c r="B70" s="18">
        <v>6.0000000000000001E-3</v>
      </c>
    </row>
    <row r="71" spans="1:2" x14ac:dyDescent="0.25">
      <c r="A71" s="18">
        <v>20.8</v>
      </c>
      <c r="B71" s="18">
        <v>5.6899999999999997E-3</v>
      </c>
    </row>
    <row r="72" spans="1:2" x14ac:dyDescent="0.25">
      <c r="A72" s="18">
        <v>21</v>
      </c>
      <c r="B72" s="18">
        <v>5.5900000000000004E-3</v>
      </c>
    </row>
    <row r="73" spans="1:2" x14ac:dyDescent="0.25">
      <c r="A73" s="18">
        <v>21.2</v>
      </c>
      <c r="B73" s="18">
        <v>5.2500000000000003E-3</v>
      </c>
    </row>
    <row r="74" spans="1:2" x14ac:dyDescent="0.25">
      <c r="A74" s="18">
        <v>21.4</v>
      </c>
      <c r="B74" s="18">
        <v>5.0400000000000002E-3</v>
      </c>
    </row>
    <row r="75" spans="1:2" x14ac:dyDescent="0.25">
      <c r="A75" s="18">
        <v>21.6</v>
      </c>
      <c r="B75" s="18">
        <v>4.8900000000000002E-3</v>
      </c>
    </row>
    <row r="76" spans="1:2" x14ac:dyDescent="0.25">
      <c r="A76" s="18">
        <v>21.8</v>
      </c>
      <c r="B76" s="18">
        <v>4.6800000000000001E-3</v>
      </c>
    </row>
    <row r="77" spans="1:2" x14ac:dyDescent="0.25">
      <c r="A77" s="18">
        <v>22</v>
      </c>
      <c r="B77" s="18">
        <v>4.4799999999999996E-3</v>
      </c>
    </row>
    <row r="78" spans="1:2" x14ac:dyDescent="0.25">
      <c r="A78" s="18">
        <v>22.2</v>
      </c>
      <c r="B78" s="18">
        <v>4.3600000000000002E-3</v>
      </c>
    </row>
    <row r="79" spans="1:2" x14ac:dyDescent="0.25">
      <c r="A79" s="18">
        <v>22.4</v>
      </c>
      <c r="B79" s="18">
        <v>4.2500000000000003E-3</v>
      </c>
    </row>
    <row r="80" spans="1:2" x14ac:dyDescent="0.25">
      <c r="A80" s="18">
        <v>22.6</v>
      </c>
      <c r="B80" s="18">
        <v>4.0600000000000002E-3</v>
      </c>
    </row>
    <row r="81" spans="1:2" x14ac:dyDescent="0.25">
      <c r="A81" s="18">
        <v>22.8</v>
      </c>
      <c r="B81" s="18">
        <v>3.8500000000000001E-3</v>
      </c>
    </row>
    <row r="82" spans="1:2" x14ac:dyDescent="0.25">
      <c r="A82" s="18">
        <v>23</v>
      </c>
      <c r="B82" s="18">
        <v>3.8E-3</v>
      </c>
    </row>
    <row r="83" spans="1:2" x14ac:dyDescent="0.25">
      <c r="A83" s="18">
        <v>23.2</v>
      </c>
      <c r="B83" s="18">
        <v>3.5799999999999998E-3</v>
      </c>
    </row>
    <row r="84" spans="1:2" x14ac:dyDescent="0.25">
      <c r="A84" s="18">
        <v>23.4</v>
      </c>
      <c r="B84" s="18">
        <v>3.4399999999999999E-3</v>
      </c>
    </row>
    <row r="85" spans="1:2" x14ac:dyDescent="0.25">
      <c r="A85" s="18">
        <v>23.6</v>
      </c>
      <c r="B85" s="18">
        <v>3.32E-3</v>
      </c>
    </row>
    <row r="86" spans="1:2" x14ac:dyDescent="0.25">
      <c r="A86" s="18">
        <v>23.8</v>
      </c>
      <c r="B86" s="18">
        <v>3.2399999999999998E-3</v>
      </c>
    </row>
    <row r="87" spans="1:2" x14ac:dyDescent="0.25">
      <c r="A87" s="18">
        <v>24</v>
      </c>
      <c r="B87" s="18">
        <v>2.98E-3</v>
      </c>
    </row>
    <row r="88" spans="1:2" x14ac:dyDescent="0.25">
      <c r="A88" s="18">
        <v>24.2</v>
      </c>
      <c r="B88" s="18">
        <v>2.8800000000000002E-3</v>
      </c>
    </row>
    <row r="89" spans="1:2" x14ac:dyDescent="0.25">
      <c r="A89" s="18">
        <v>24.4</v>
      </c>
      <c r="B89" s="18">
        <v>2.8700000000000002E-3</v>
      </c>
    </row>
    <row r="90" spans="1:2" x14ac:dyDescent="0.25">
      <c r="A90" s="18">
        <v>24.6</v>
      </c>
      <c r="B90" s="18">
        <v>2.5799999999999998E-3</v>
      </c>
    </row>
    <row r="91" spans="1:2" x14ac:dyDescent="0.25">
      <c r="A91" s="18">
        <v>24.8</v>
      </c>
      <c r="B91" s="18">
        <v>2.5400000000000002E-3</v>
      </c>
    </row>
    <row r="92" spans="1:2" x14ac:dyDescent="0.25">
      <c r="A92" s="18">
        <v>25</v>
      </c>
      <c r="B92" s="18">
        <v>2.4499999999999999E-3</v>
      </c>
    </row>
    <row r="93" spans="1:2" x14ac:dyDescent="0.25">
      <c r="A93" s="18">
        <v>25.2</v>
      </c>
      <c r="B93" s="18">
        <v>2.2799999999999999E-3</v>
      </c>
    </row>
    <row r="94" spans="1:2" x14ac:dyDescent="0.25">
      <c r="A94" s="18">
        <v>25.4</v>
      </c>
      <c r="B94" s="18">
        <v>2.2699999999999999E-3</v>
      </c>
    </row>
    <row r="95" spans="1:2" x14ac:dyDescent="0.25">
      <c r="A95" s="18">
        <v>25.6</v>
      </c>
      <c r="B95" s="18">
        <v>1.9599999999999999E-3</v>
      </c>
    </row>
    <row r="96" spans="1:2" x14ac:dyDescent="0.25">
      <c r="A96" s="18">
        <v>25.8</v>
      </c>
      <c r="B96" s="18">
        <v>2.0400000000000001E-3</v>
      </c>
    </row>
    <row r="97" spans="1:2" x14ac:dyDescent="0.25">
      <c r="A97" s="18">
        <v>26</v>
      </c>
      <c r="B97" s="18">
        <v>1.8400000000000001E-3</v>
      </c>
    </row>
    <row r="98" spans="1:2" x14ac:dyDescent="0.25">
      <c r="A98" s="18">
        <v>26.2</v>
      </c>
      <c r="B98" s="18">
        <v>1.75E-3</v>
      </c>
    </row>
    <row r="99" spans="1:2" x14ac:dyDescent="0.25">
      <c r="A99" s="18">
        <v>26.4</v>
      </c>
      <c r="B99" s="18">
        <v>1.66E-3</v>
      </c>
    </row>
    <row r="100" spans="1:2" x14ac:dyDescent="0.25">
      <c r="A100" s="18">
        <v>26.6</v>
      </c>
      <c r="B100" s="18">
        <v>1.57E-3</v>
      </c>
    </row>
    <row r="101" spans="1:2" x14ac:dyDescent="0.25">
      <c r="A101" s="18">
        <v>26.8</v>
      </c>
      <c r="B101" s="18">
        <v>1.48E-3</v>
      </c>
    </row>
    <row r="102" spans="1:2" x14ac:dyDescent="0.25">
      <c r="A102" s="18">
        <v>27</v>
      </c>
      <c r="B102" s="18">
        <v>1.3699999999999999E-3</v>
      </c>
    </row>
    <row r="103" spans="1:2" x14ac:dyDescent="0.25">
      <c r="A103" s="18">
        <v>27.2</v>
      </c>
      <c r="B103" s="18">
        <v>1.2800000000000001E-3</v>
      </c>
    </row>
    <row r="104" spans="1:2" x14ac:dyDescent="0.25">
      <c r="A104" s="18">
        <v>27.4</v>
      </c>
      <c r="B104" s="18">
        <v>1.1999999999999999E-3</v>
      </c>
    </row>
    <row r="105" spans="1:2" x14ac:dyDescent="0.25">
      <c r="A105" s="18">
        <v>27.6</v>
      </c>
      <c r="B105" s="18">
        <v>1.14E-3</v>
      </c>
    </row>
    <row r="106" spans="1:2" x14ac:dyDescent="0.25">
      <c r="A106" s="18">
        <v>27.8</v>
      </c>
      <c r="B106" s="18">
        <v>9.9599999999999992E-4</v>
      </c>
    </row>
    <row r="107" spans="1:2" x14ac:dyDescent="0.25">
      <c r="A107" s="18">
        <v>28</v>
      </c>
      <c r="B107" s="18">
        <v>9.7400000000000004E-4</v>
      </c>
    </row>
    <row r="108" spans="1:2" x14ac:dyDescent="0.25">
      <c r="A108" s="18">
        <v>28.2</v>
      </c>
      <c r="B108" s="18">
        <v>8.5499999999999997E-4</v>
      </c>
    </row>
    <row r="109" spans="1:2" x14ac:dyDescent="0.25">
      <c r="A109" s="18">
        <v>28.4</v>
      </c>
      <c r="B109" s="18">
        <v>7.7099999999999998E-4</v>
      </c>
    </row>
    <row r="110" spans="1:2" x14ac:dyDescent="0.25">
      <c r="A110" s="18">
        <v>28.6</v>
      </c>
      <c r="B110" s="18">
        <v>7.2499999999999995E-4</v>
      </c>
    </row>
    <row r="111" spans="1:2" x14ac:dyDescent="0.25">
      <c r="A111" s="18">
        <v>28.8</v>
      </c>
      <c r="B111" s="18">
        <v>5.9900000000000003E-4</v>
      </c>
    </row>
    <row r="112" spans="1:2" x14ac:dyDescent="0.25">
      <c r="A112" s="18">
        <v>29</v>
      </c>
      <c r="B112" s="18">
        <v>5.4000000000000001E-4</v>
      </c>
    </row>
    <row r="113" spans="1:2" x14ac:dyDescent="0.25">
      <c r="A113" s="18">
        <v>29.2</v>
      </c>
      <c r="B113" s="18">
        <v>4.46E-4</v>
      </c>
    </row>
    <row r="114" spans="1:2" x14ac:dyDescent="0.25">
      <c r="A114" s="18">
        <v>29.4</v>
      </c>
      <c r="B114" s="18">
        <v>3.6299999999999999E-4</v>
      </c>
    </row>
    <row r="115" spans="1:2" x14ac:dyDescent="0.25">
      <c r="A115" s="18">
        <v>29.6</v>
      </c>
      <c r="B115" s="18">
        <v>2.9799999999999998E-4</v>
      </c>
    </row>
    <row r="116" spans="1:2" x14ac:dyDescent="0.25">
      <c r="A116" s="18">
        <v>29.8</v>
      </c>
      <c r="B116" s="18">
        <v>1.9599999999999999E-4</v>
      </c>
    </row>
    <row r="117" spans="1:2" x14ac:dyDescent="0.25">
      <c r="A117" s="18">
        <v>30</v>
      </c>
      <c r="B117" s="18">
        <v>8.81E-5</v>
      </c>
    </row>
    <row r="118" spans="1:2" x14ac:dyDescent="0.25">
      <c r="A118" s="18">
        <v>30.2</v>
      </c>
      <c r="B118" s="18">
        <v>4.95E-6</v>
      </c>
    </row>
    <row r="119" spans="1:2" x14ac:dyDescent="0.25">
      <c r="A119" s="18">
        <v>30.4</v>
      </c>
      <c r="B119" s="18">
        <v>4.7099999999999998E-6</v>
      </c>
    </row>
    <row r="120" spans="1:2" x14ac:dyDescent="0.25">
      <c r="A120" s="18">
        <v>30.6</v>
      </c>
      <c r="B120" s="18">
        <v>1.15E-6</v>
      </c>
    </row>
    <row r="121" spans="1:2" x14ac:dyDescent="0.25">
      <c r="A121" s="18">
        <v>30.8</v>
      </c>
      <c r="B121" s="18">
        <v>1.75E-6</v>
      </c>
    </row>
    <row r="122" spans="1:2" x14ac:dyDescent="0.25">
      <c r="A122" s="18">
        <v>31</v>
      </c>
      <c r="B122" s="18">
        <v>2.1600000000000001E-6</v>
      </c>
    </row>
    <row r="123" spans="1:2" x14ac:dyDescent="0.25">
      <c r="A123" s="18">
        <v>31.2</v>
      </c>
      <c r="B123" s="18">
        <v>3.5599999999999998E-6</v>
      </c>
    </row>
    <row r="124" spans="1:2" x14ac:dyDescent="0.25">
      <c r="A124" s="18">
        <v>31.4</v>
      </c>
      <c r="B124" s="18">
        <v>1.1799999999999999E-6</v>
      </c>
    </row>
    <row r="125" spans="1:2" x14ac:dyDescent="0.25">
      <c r="A125" s="18">
        <v>31.6</v>
      </c>
      <c r="B125" s="18">
        <v>3.8E-6</v>
      </c>
    </row>
    <row r="126" spans="1:2" x14ac:dyDescent="0.25">
      <c r="A126" s="18">
        <v>31.8</v>
      </c>
      <c r="B126" s="18">
        <v>1.64E-6</v>
      </c>
    </row>
    <row r="127" spans="1:2" x14ac:dyDescent="0.25">
      <c r="A127" s="18">
        <v>32</v>
      </c>
      <c r="B127" s="18">
        <v>1.22E-6</v>
      </c>
    </row>
  </sheetData>
  <pageMargins left="0.7" right="0.7" top="0.75" bottom="0.75" header="0.3" footer="0.3"/>
  <pageSetup paperSize="9" orientation="portrait" r:id="rId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dimension ref="A1:B17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6.8</v>
      </c>
      <c r="B2" s="18">
        <v>7.1400000000000001E-4</v>
      </c>
    </row>
    <row r="3" spans="1:2" x14ac:dyDescent="0.25">
      <c r="A3" s="18">
        <v>7</v>
      </c>
      <c r="B3" s="18">
        <v>8.1800000000000004E-4</v>
      </c>
    </row>
    <row r="4" spans="1:2" x14ac:dyDescent="0.25">
      <c r="A4" s="18">
        <v>7.2</v>
      </c>
      <c r="B4" s="18">
        <v>8.25E-4</v>
      </c>
    </row>
    <row r="5" spans="1:2" x14ac:dyDescent="0.25">
      <c r="A5" s="18">
        <v>7.4</v>
      </c>
      <c r="B5" s="18">
        <v>6.7299999999999999E-4</v>
      </c>
    </row>
    <row r="6" spans="1:2" x14ac:dyDescent="0.25">
      <c r="A6" s="18">
        <v>7.6</v>
      </c>
      <c r="B6" s="18">
        <v>8.92E-4</v>
      </c>
    </row>
    <row r="7" spans="1:2" x14ac:dyDescent="0.25">
      <c r="A7" s="18">
        <v>7.8</v>
      </c>
      <c r="B7" s="18">
        <v>3.2899999999999997E-4</v>
      </c>
    </row>
    <row r="8" spans="1:2" x14ac:dyDescent="0.25">
      <c r="A8" s="18">
        <v>8</v>
      </c>
      <c r="B8" s="18">
        <v>1.16E-3</v>
      </c>
    </row>
    <row r="9" spans="1:2" x14ac:dyDescent="0.25">
      <c r="A9" s="18">
        <v>8.1999999999999993</v>
      </c>
      <c r="B9" s="18">
        <v>1.5699999999999999E-4</v>
      </c>
    </row>
    <row r="10" spans="1:2" x14ac:dyDescent="0.25">
      <c r="A10" s="18">
        <v>8.4</v>
      </c>
      <c r="B10" s="18">
        <v>8.9800000000000001E-3</v>
      </c>
    </row>
    <row r="11" spans="1:2" x14ac:dyDescent="0.25">
      <c r="A11" s="18">
        <v>8.6</v>
      </c>
      <c r="B11" s="18">
        <v>5.45E-3</v>
      </c>
    </row>
    <row r="12" spans="1:2" x14ac:dyDescent="0.25">
      <c r="A12" s="18">
        <v>8.8000000000000007</v>
      </c>
      <c r="B12" s="18">
        <v>1.15E-3</v>
      </c>
    </row>
    <row r="13" spans="1:2" x14ac:dyDescent="0.25">
      <c r="A13" s="18">
        <v>9</v>
      </c>
      <c r="B13" s="18">
        <v>1.7099999999999999E-3</v>
      </c>
    </row>
    <row r="14" spans="1:2" x14ac:dyDescent="0.25">
      <c r="A14" s="18">
        <v>9.1999999999999993</v>
      </c>
      <c r="B14" s="18">
        <v>2.5100000000000001E-3</v>
      </c>
    </row>
    <row r="15" spans="1:2" x14ac:dyDescent="0.25">
      <c r="A15" s="18">
        <v>9.4</v>
      </c>
      <c r="B15" s="18">
        <v>1.08E-3</v>
      </c>
    </row>
    <row r="16" spans="1:2" x14ac:dyDescent="0.25">
      <c r="A16" s="18">
        <v>9.6</v>
      </c>
      <c r="B16" s="18">
        <v>1.72E-2</v>
      </c>
    </row>
    <row r="17" spans="1:2" x14ac:dyDescent="0.25">
      <c r="A17" s="18">
        <v>9.8000000000000007</v>
      </c>
      <c r="B17" s="18">
        <v>3.2500000000000001E-2</v>
      </c>
    </row>
    <row r="18" spans="1:2" x14ac:dyDescent="0.25">
      <c r="A18" s="18">
        <v>10</v>
      </c>
      <c r="B18" s="18">
        <v>2.3199999999999998E-2</v>
      </c>
    </row>
    <row r="19" spans="1:2" x14ac:dyDescent="0.25">
      <c r="A19" s="18">
        <v>10.199999999999999</v>
      </c>
      <c r="B19" s="18">
        <v>1.09E-2</v>
      </c>
    </row>
    <row r="20" spans="1:2" x14ac:dyDescent="0.25">
      <c r="A20" s="18">
        <v>10.4</v>
      </c>
      <c r="B20" s="18">
        <v>4.4400000000000004E-3</v>
      </c>
    </row>
    <row r="21" spans="1:2" x14ac:dyDescent="0.25">
      <c r="A21" s="18">
        <v>10.6</v>
      </c>
      <c r="B21" s="18">
        <v>5.0699999999999999E-3</v>
      </c>
    </row>
    <row r="22" spans="1:2" x14ac:dyDescent="0.25">
      <c r="A22" s="18">
        <v>10.8</v>
      </c>
      <c r="B22" s="18">
        <v>5.6800000000000002E-3</v>
      </c>
    </row>
    <row r="23" spans="1:2" x14ac:dyDescent="0.25">
      <c r="A23" s="18">
        <v>11</v>
      </c>
      <c r="B23" s="18">
        <v>5.9699999999999996E-3</v>
      </c>
    </row>
    <row r="24" spans="1:2" x14ac:dyDescent="0.25">
      <c r="A24" s="18">
        <v>11.2</v>
      </c>
      <c r="B24" s="18">
        <v>1.1299999999999999E-2</v>
      </c>
    </row>
    <row r="25" spans="1:2" x14ac:dyDescent="0.25">
      <c r="A25" s="18">
        <v>11.4</v>
      </c>
      <c r="B25" s="18">
        <v>2.0799999999999999E-2</v>
      </c>
    </row>
    <row r="26" spans="1:2" x14ac:dyDescent="0.25">
      <c r="A26" s="18">
        <v>11.6</v>
      </c>
      <c r="B26" s="18">
        <v>1.21E-2</v>
      </c>
    </row>
    <row r="27" spans="1:2" x14ac:dyDescent="0.25">
      <c r="A27" s="18">
        <v>11.8</v>
      </c>
      <c r="B27" s="18">
        <v>1.2500000000000001E-2</v>
      </c>
    </row>
    <row r="28" spans="1:2" x14ac:dyDescent="0.25">
      <c r="A28" s="18">
        <v>12</v>
      </c>
      <c r="B28" s="18">
        <v>8.6099999999999996E-3</v>
      </c>
    </row>
    <row r="29" spans="1:2" x14ac:dyDescent="0.25">
      <c r="A29" s="18">
        <v>12.2</v>
      </c>
      <c r="B29" s="18">
        <v>9.7099999999999999E-3</v>
      </c>
    </row>
    <row r="30" spans="1:2" x14ac:dyDescent="0.25">
      <c r="A30" s="18">
        <v>12.4</v>
      </c>
      <c r="B30" s="18">
        <v>8.6099999999999996E-3</v>
      </c>
    </row>
    <row r="31" spans="1:2" x14ac:dyDescent="0.25">
      <c r="A31" s="18">
        <v>12.6</v>
      </c>
      <c r="B31" s="18">
        <v>9.5200000000000007E-3</v>
      </c>
    </row>
    <row r="32" spans="1:2" x14ac:dyDescent="0.25">
      <c r="A32" s="18">
        <v>12.8</v>
      </c>
      <c r="B32" s="18">
        <v>9.2499999999999995E-3</v>
      </c>
    </row>
    <row r="33" spans="1:2" x14ac:dyDescent="0.25">
      <c r="A33" s="18">
        <v>13</v>
      </c>
      <c r="B33" s="18">
        <v>1.0500000000000001E-2</v>
      </c>
    </row>
    <row r="34" spans="1:2" x14ac:dyDescent="0.25">
      <c r="A34" s="18">
        <v>13.2</v>
      </c>
      <c r="B34" s="18">
        <v>1.06E-2</v>
      </c>
    </row>
    <row r="35" spans="1:2" x14ac:dyDescent="0.25">
      <c r="A35" s="18">
        <v>13.4</v>
      </c>
      <c r="B35" s="18">
        <v>1.0999999999999999E-2</v>
      </c>
    </row>
    <row r="36" spans="1:2" x14ac:dyDescent="0.25">
      <c r="A36" s="18">
        <v>13.6</v>
      </c>
      <c r="B36" s="18">
        <v>1.11E-2</v>
      </c>
    </row>
    <row r="37" spans="1:2" x14ac:dyDescent="0.25">
      <c r="A37" s="18">
        <v>13.8</v>
      </c>
      <c r="B37" s="18">
        <v>1.17E-2</v>
      </c>
    </row>
    <row r="38" spans="1:2" x14ac:dyDescent="0.25">
      <c r="A38" s="18">
        <v>14</v>
      </c>
      <c r="B38" s="18">
        <v>1.1900000000000001E-2</v>
      </c>
    </row>
    <row r="39" spans="1:2" x14ac:dyDescent="0.25">
      <c r="A39" s="18">
        <v>14.2</v>
      </c>
      <c r="B39" s="18">
        <v>1.23E-2</v>
      </c>
    </row>
    <row r="40" spans="1:2" x14ac:dyDescent="0.25">
      <c r="A40" s="18">
        <v>14.4</v>
      </c>
      <c r="B40" s="18">
        <v>1.23E-2</v>
      </c>
    </row>
    <row r="41" spans="1:2" x14ac:dyDescent="0.25">
      <c r="A41" s="18">
        <v>14.6</v>
      </c>
      <c r="B41" s="18">
        <v>1.2699999999999999E-2</v>
      </c>
    </row>
    <row r="42" spans="1:2" x14ac:dyDescent="0.25">
      <c r="A42" s="18">
        <v>14.8</v>
      </c>
      <c r="B42" s="18">
        <v>1.2800000000000001E-2</v>
      </c>
    </row>
    <row r="43" spans="1:2" x14ac:dyDescent="0.25">
      <c r="A43" s="18">
        <v>15</v>
      </c>
      <c r="B43" s="18">
        <v>1.2800000000000001E-2</v>
      </c>
    </row>
    <row r="44" spans="1:2" x14ac:dyDescent="0.25">
      <c r="A44" s="18">
        <v>15.2</v>
      </c>
      <c r="B44" s="18">
        <v>1.3100000000000001E-2</v>
      </c>
    </row>
    <row r="45" spans="1:2" x14ac:dyDescent="0.25">
      <c r="A45" s="18">
        <v>15.4</v>
      </c>
      <c r="B45" s="18">
        <v>1.29E-2</v>
      </c>
    </row>
    <row r="46" spans="1:2" x14ac:dyDescent="0.25">
      <c r="A46" s="18">
        <v>15.6</v>
      </c>
      <c r="B46" s="18">
        <v>1.2999999999999999E-2</v>
      </c>
    </row>
    <row r="47" spans="1:2" x14ac:dyDescent="0.25">
      <c r="A47" s="18">
        <v>15.8</v>
      </c>
      <c r="B47" s="18">
        <v>1.3100000000000001E-2</v>
      </c>
    </row>
    <row r="48" spans="1:2" x14ac:dyDescent="0.25">
      <c r="A48" s="18">
        <v>16</v>
      </c>
      <c r="B48" s="18">
        <v>1.29E-2</v>
      </c>
    </row>
    <row r="49" spans="1:2" x14ac:dyDescent="0.25">
      <c r="A49" s="18">
        <v>16.2</v>
      </c>
      <c r="B49" s="18">
        <v>1.2999999999999999E-2</v>
      </c>
    </row>
    <row r="50" spans="1:2" x14ac:dyDescent="0.25">
      <c r="A50" s="18">
        <v>16.399999999999999</v>
      </c>
      <c r="B50" s="18">
        <v>1.29E-2</v>
      </c>
    </row>
    <row r="51" spans="1:2" x14ac:dyDescent="0.25">
      <c r="A51" s="18">
        <v>16.600000000000001</v>
      </c>
      <c r="B51" s="18">
        <v>1.2800000000000001E-2</v>
      </c>
    </row>
    <row r="52" spans="1:2" x14ac:dyDescent="0.25">
      <c r="A52" s="18">
        <v>16.8</v>
      </c>
      <c r="B52" s="18">
        <v>1.2699999999999999E-2</v>
      </c>
    </row>
    <row r="53" spans="1:2" x14ac:dyDescent="0.25">
      <c r="A53" s="18">
        <v>17</v>
      </c>
      <c r="B53" s="18">
        <v>1.2800000000000001E-2</v>
      </c>
    </row>
    <row r="54" spans="1:2" x14ac:dyDescent="0.25">
      <c r="A54" s="18">
        <v>17.2</v>
      </c>
      <c r="B54" s="18">
        <v>1.26E-2</v>
      </c>
    </row>
    <row r="55" spans="1:2" x14ac:dyDescent="0.25">
      <c r="A55" s="18">
        <v>17.399999999999999</v>
      </c>
      <c r="B55" s="18">
        <v>1.23E-2</v>
      </c>
    </row>
    <row r="56" spans="1:2" x14ac:dyDescent="0.25">
      <c r="A56" s="18">
        <v>17.600000000000001</v>
      </c>
      <c r="B56" s="18">
        <v>1.23E-2</v>
      </c>
    </row>
    <row r="57" spans="1:2" x14ac:dyDescent="0.25">
      <c r="A57" s="18">
        <v>17.8</v>
      </c>
      <c r="B57" s="18">
        <v>1.21E-2</v>
      </c>
    </row>
    <row r="58" spans="1:2" x14ac:dyDescent="0.25">
      <c r="A58" s="18">
        <v>18</v>
      </c>
      <c r="B58" s="18">
        <v>1.18E-2</v>
      </c>
    </row>
    <row r="59" spans="1:2" x14ac:dyDescent="0.25">
      <c r="A59" s="18">
        <v>18.2</v>
      </c>
      <c r="B59" s="18">
        <v>1.18E-2</v>
      </c>
    </row>
    <row r="60" spans="1:2" x14ac:dyDescent="0.25">
      <c r="A60" s="18">
        <v>18.399999999999999</v>
      </c>
      <c r="B60" s="18">
        <v>1.15E-2</v>
      </c>
    </row>
    <row r="61" spans="1:2" x14ac:dyDescent="0.25">
      <c r="A61" s="18">
        <v>18.600000000000001</v>
      </c>
      <c r="B61" s="18">
        <v>1.12E-2</v>
      </c>
    </row>
    <row r="62" spans="1:2" x14ac:dyDescent="0.25">
      <c r="A62" s="18">
        <v>18.8</v>
      </c>
      <c r="B62" s="18">
        <v>1.1299999999999999E-2</v>
      </c>
    </row>
    <row r="63" spans="1:2" x14ac:dyDescent="0.25">
      <c r="A63" s="18">
        <v>19</v>
      </c>
      <c r="B63" s="18">
        <v>1.09E-2</v>
      </c>
    </row>
    <row r="64" spans="1:2" x14ac:dyDescent="0.25">
      <c r="A64" s="18">
        <v>19.2</v>
      </c>
      <c r="B64" s="18">
        <v>1.09E-2</v>
      </c>
    </row>
    <row r="65" spans="1:2" x14ac:dyDescent="0.25">
      <c r="A65" s="18">
        <v>19.399999999999999</v>
      </c>
      <c r="B65" s="18">
        <v>1.04E-2</v>
      </c>
    </row>
    <row r="66" spans="1:2" x14ac:dyDescent="0.25">
      <c r="A66" s="18">
        <v>19.600000000000001</v>
      </c>
      <c r="B66" s="18">
        <v>1.04E-2</v>
      </c>
    </row>
    <row r="67" spans="1:2" x14ac:dyDescent="0.25">
      <c r="A67" s="18">
        <v>19.8</v>
      </c>
      <c r="B67" s="18">
        <v>1.0200000000000001E-2</v>
      </c>
    </row>
    <row r="68" spans="1:2" x14ac:dyDescent="0.25">
      <c r="A68" s="18">
        <v>20</v>
      </c>
      <c r="B68" s="18">
        <v>9.9699999999999997E-3</v>
      </c>
    </row>
    <row r="69" spans="1:2" x14ac:dyDescent="0.25">
      <c r="A69" s="18">
        <v>20.2</v>
      </c>
      <c r="B69" s="18">
        <v>9.6900000000000007E-3</v>
      </c>
    </row>
    <row r="70" spans="1:2" x14ac:dyDescent="0.25">
      <c r="A70" s="18">
        <v>20.399999999999999</v>
      </c>
      <c r="B70" s="18">
        <v>9.5999999999999992E-3</v>
      </c>
    </row>
    <row r="71" spans="1:2" x14ac:dyDescent="0.25">
      <c r="A71" s="18">
        <v>20.6</v>
      </c>
      <c r="B71" s="18">
        <v>9.3200000000000002E-3</v>
      </c>
    </row>
    <row r="72" spans="1:2" x14ac:dyDescent="0.25">
      <c r="A72" s="18">
        <v>20.8</v>
      </c>
      <c r="B72" s="18">
        <v>9.1299999999999992E-3</v>
      </c>
    </row>
    <row r="73" spans="1:2" x14ac:dyDescent="0.25">
      <c r="A73" s="18">
        <v>21</v>
      </c>
      <c r="B73" s="18">
        <v>8.8000000000000005E-3</v>
      </c>
    </row>
    <row r="74" spans="1:2" x14ac:dyDescent="0.25">
      <c r="A74" s="18">
        <v>21.2</v>
      </c>
      <c r="B74" s="18">
        <v>8.8100000000000001E-3</v>
      </c>
    </row>
    <row r="75" spans="1:2" x14ac:dyDescent="0.25">
      <c r="A75" s="18">
        <v>21.4</v>
      </c>
      <c r="B75" s="18">
        <v>8.3800000000000003E-3</v>
      </c>
    </row>
    <row r="76" spans="1:2" x14ac:dyDescent="0.25">
      <c r="A76" s="18">
        <v>21.6</v>
      </c>
      <c r="B76" s="18">
        <v>8.3599999999999994E-3</v>
      </c>
    </row>
    <row r="77" spans="1:2" x14ac:dyDescent="0.25">
      <c r="A77" s="18">
        <v>21.8</v>
      </c>
      <c r="B77" s="18">
        <v>8.2199999999999999E-3</v>
      </c>
    </row>
    <row r="78" spans="1:2" x14ac:dyDescent="0.25">
      <c r="A78" s="18">
        <v>22</v>
      </c>
      <c r="B78" s="18">
        <v>7.8399999999999997E-3</v>
      </c>
    </row>
    <row r="79" spans="1:2" x14ac:dyDescent="0.25">
      <c r="A79" s="18">
        <v>22.2</v>
      </c>
      <c r="B79" s="18">
        <v>7.7499999999999999E-3</v>
      </c>
    </row>
    <row r="80" spans="1:2" x14ac:dyDescent="0.25">
      <c r="A80" s="18">
        <v>22.4</v>
      </c>
      <c r="B80" s="18">
        <v>7.5599999999999999E-3</v>
      </c>
    </row>
    <row r="81" spans="1:2" x14ac:dyDescent="0.25">
      <c r="A81" s="18">
        <v>22.6</v>
      </c>
      <c r="B81" s="18">
        <v>7.3099999999999997E-3</v>
      </c>
    </row>
    <row r="82" spans="1:2" x14ac:dyDescent="0.25">
      <c r="A82" s="18">
        <v>22.8</v>
      </c>
      <c r="B82" s="18">
        <v>7.2100000000000003E-3</v>
      </c>
    </row>
    <row r="83" spans="1:2" x14ac:dyDescent="0.25">
      <c r="A83" s="18">
        <v>23</v>
      </c>
      <c r="B83" s="18">
        <v>6.96E-3</v>
      </c>
    </row>
    <row r="84" spans="1:2" x14ac:dyDescent="0.25">
      <c r="A84" s="18">
        <v>23.2</v>
      </c>
      <c r="B84" s="18">
        <v>6.8999999999999999E-3</v>
      </c>
    </row>
    <row r="85" spans="1:2" x14ac:dyDescent="0.25">
      <c r="A85" s="18">
        <v>23.4</v>
      </c>
      <c r="B85" s="18">
        <v>6.5399999999999998E-3</v>
      </c>
    </row>
    <row r="86" spans="1:2" x14ac:dyDescent="0.25">
      <c r="A86" s="18">
        <v>23.6</v>
      </c>
      <c r="B86" s="18">
        <v>6.5500000000000003E-3</v>
      </c>
    </row>
    <row r="87" spans="1:2" x14ac:dyDescent="0.25">
      <c r="A87" s="18">
        <v>23.8</v>
      </c>
      <c r="B87" s="18">
        <v>6.3E-3</v>
      </c>
    </row>
    <row r="88" spans="1:2" x14ac:dyDescent="0.25">
      <c r="A88" s="18">
        <v>24</v>
      </c>
      <c r="B88" s="18">
        <v>6.2500000000000003E-3</v>
      </c>
    </row>
    <row r="89" spans="1:2" x14ac:dyDescent="0.25">
      <c r="A89" s="18">
        <v>24.2</v>
      </c>
      <c r="B89" s="18">
        <v>5.9899999999999997E-3</v>
      </c>
    </row>
    <row r="90" spans="1:2" x14ac:dyDescent="0.25">
      <c r="A90" s="18">
        <v>24.4</v>
      </c>
      <c r="B90" s="18">
        <v>5.8700000000000002E-3</v>
      </c>
    </row>
    <row r="91" spans="1:2" x14ac:dyDescent="0.25">
      <c r="A91" s="18">
        <v>24.6</v>
      </c>
      <c r="B91" s="18">
        <v>5.6499999999999996E-3</v>
      </c>
    </row>
    <row r="92" spans="1:2" x14ac:dyDescent="0.25">
      <c r="A92" s="18">
        <v>24.8</v>
      </c>
      <c r="B92" s="18">
        <v>5.5700000000000003E-3</v>
      </c>
    </row>
    <row r="93" spans="1:2" x14ac:dyDescent="0.25">
      <c r="A93" s="18">
        <v>25</v>
      </c>
      <c r="B93" s="18">
        <v>5.4000000000000003E-3</v>
      </c>
    </row>
    <row r="94" spans="1:2" x14ac:dyDescent="0.25">
      <c r="A94" s="18">
        <v>25.2</v>
      </c>
      <c r="B94" s="18">
        <v>5.1900000000000002E-3</v>
      </c>
    </row>
    <row r="95" spans="1:2" x14ac:dyDescent="0.25">
      <c r="A95" s="18">
        <v>25.4</v>
      </c>
      <c r="B95" s="18">
        <v>5.13E-3</v>
      </c>
    </row>
    <row r="96" spans="1:2" x14ac:dyDescent="0.25">
      <c r="A96" s="18">
        <v>25.6</v>
      </c>
      <c r="B96" s="18">
        <v>4.9300000000000004E-3</v>
      </c>
    </row>
    <row r="97" spans="1:2" x14ac:dyDescent="0.25">
      <c r="A97" s="18">
        <v>25.8</v>
      </c>
      <c r="B97" s="18">
        <v>4.8399999999999997E-3</v>
      </c>
    </row>
    <row r="98" spans="1:2" x14ac:dyDescent="0.25">
      <c r="A98" s="18">
        <v>26</v>
      </c>
      <c r="B98" s="18">
        <v>4.7699999999999999E-3</v>
      </c>
    </row>
    <row r="99" spans="1:2" x14ac:dyDescent="0.25">
      <c r="A99" s="18">
        <v>26.2</v>
      </c>
      <c r="B99" s="18">
        <v>4.47E-3</v>
      </c>
    </row>
    <row r="100" spans="1:2" x14ac:dyDescent="0.25">
      <c r="A100" s="18">
        <v>26.4</v>
      </c>
      <c r="B100" s="18">
        <v>4.47E-3</v>
      </c>
    </row>
    <row r="101" spans="1:2" x14ac:dyDescent="0.25">
      <c r="A101" s="18">
        <v>26.6</v>
      </c>
      <c r="B101" s="18">
        <v>4.2900000000000004E-3</v>
      </c>
    </row>
    <row r="102" spans="1:2" x14ac:dyDescent="0.25">
      <c r="A102" s="18">
        <v>26.8</v>
      </c>
      <c r="B102" s="18">
        <v>4.2100000000000002E-3</v>
      </c>
    </row>
    <row r="103" spans="1:2" x14ac:dyDescent="0.25">
      <c r="A103" s="18">
        <v>27</v>
      </c>
      <c r="B103" s="18">
        <v>4.0600000000000002E-3</v>
      </c>
    </row>
    <row r="104" spans="1:2" x14ac:dyDescent="0.25">
      <c r="A104" s="18">
        <v>27.2</v>
      </c>
      <c r="B104" s="18">
        <v>3.9899999999999996E-3</v>
      </c>
    </row>
    <row r="105" spans="1:2" x14ac:dyDescent="0.25">
      <c r="A105" s="18">
        <v>27.4</v>
      </c>
      <c r="B105" s="18">
        <v>3.8300000000000001E-3</v>
      </c>
    </row>
    <row r="106" spans="1:2" x14ac:dyDescent="0.25">
      <c r="A106" s="18">
        <v>27.6</v>
      </c>
      <c r="B106" s="18">
        <v>3.7200000000000002E-3</v>
      </c>
    </row>
    <row r="107" spans="1:2" x14ac:dyDescent="0.25">
      <c r="A107" s="18">
        <v>27.8</v>
      </c>
      <c r="B107" s="18">
        <v>3.6600000000000001E-3</v>
      </c>
    </row>
    <row r="108" spans="1:2" x14ac:dyDescent="0.25">
      <c r="A108" s="18">
        <v>28</v>
      </c>
      <c r="B108" s="18">
        <v>3.5100000000000001E-3</v>
      </c>
    </row>
    <row r="109" spans="1:2" x14ac:dyDescent="0.25">
      <c r="A109" s="18">
        <v>28.2</v>
      </c>
      <c r="B109" s="18">
        <v>3.4099999999999998E-3</v>
      </c>
    </row>
    <row r="110" spans="1:2" x14ac:dyDescent="0.25">
      <c r="A110" s="18">
        <v>28.4</v>
      </c>
      <c r="B110" s="18">
        <v>3.31E-3</v>
      </c>
    </row>
    <row r="111" spans="1:2" x14ac:dyDescent="0.25">
      <c r="A111" s="18">
        <v>28.6</v>
      </c>
      <c r="B111" s="18">
        <v>3.2100000000000002E-3</v>
      </c>
    </row>
    <row r="112" spans="1:2" x14ac:dyDescent="0.25">
      <c r="A112" s="18">
        <v>28.8</v>
      </c>
      <c r="B112" s="18">
        <v>3.14E-3</v>
      </c>
    </row>
    <row r="113" spans="1:2" x14ac:dyDescent="0.25">
      <c r="A113" s="18">
        <v>29</v>
      </c>
      <c r="B113" s="18">
        <v>2.98E-3</v>
      </c>
    </row>
    <row r="114" spans="1:2" x14ac:dyDescent="0.25">
      <c r="A114" s="18">
        <v>29.2</v>
      </c>
      <c r="B114" s="18">
        <v>2.99E-3</v>
      </c>
    </row>
    <row r="115" spans="1:2" x14ac:dyDescent="0.25">
      <c r="A115" s="18">
        <v>29.4</v>
      </c>
      <c r="B115" s="18">
        <v>2.7899999999999999E-3</v>
      </c>
    </row>
    <row r="116" spans="1:2" x14ac:dyDescent="0.25">
      <c r="A116" s="18">
        <v>29.6</v>
      </c>
      <c r="B116" s="18">
        <v>2.7799999999999999E-3</v>
      </c>
    </row>
    <row r="117" spans="1:2" x14ac:dyDescent="0.25">
      <c r="A117" s="18">
        <v>29.8</v>
      </c>
      <c r="B117" s="18">
        <v>2.6800000000000001E-3</v>
      </c>
    </row>
    <row r="118" spans="1:2" x14ac:dyDescent="0.25">
      <c r="A118" s="18">
        <v>30</v>
      </c>
      <c r="B118" s="18">
        <v>2.5600000000000002E-3</v>
      </c>
    </row>
    <row r="119" spans="1:2" x14ac:dyDescent="0.25">
      <c r="A119" s="18">
        <v>30.2</v>
      </c>
      <c r="B119" s="18">
        <v>2.5300000000000001E-3</v>
      </c>
    </row>
    <row r="120" spans="1:2" x14ac:dyDescent="0.25">
      <c r="A120" s="18">
        <v>30.4</v>
      </c>
      <c r="B120" s="18">
        <v>2.4299999999999999E-3</v>
      </c>
    </row>
    <row r="121" spans="1:2" x14ac:dyDescent="0.25">
      <c r="A121" s="18">
        <v>30.6</v>
      </c>
      <c r="B121" s="18">
        <v>2.3600000000000001E-3</v>
      </c>
    </row>
    <row r="122" spans="1:2" x14ac:dyDescent="0.25">
      <c r="A122" s="18">
        <v>30.8</v>
      </c>
      <c r="B122" s="18">
        <v>2.2799999999999999E-3</v>
      </c>
    </row>
    <row r="123" spans="1:2" x14ac:dyDescent="0.25">
      <c r="A123" s="18">
        <v>31</v>
      </c>
      <c r="B123" s="18">
        <v>2.2200000000000002E-3</v>
      </c>
    </row>
    <row r="124" spans="1:2" x14ac:dyDescent="0.25">
      <c r="A124" s="18">
        <v>31.2</v>
      </c>
      <c r="B124" s="18">
        <v>2.1299999999999999E-3</v>
      </c>
    </row>
    <row r="125" spans="1:2" x14ac:dyDescent="0.25">
      <c r="A125" s="18">
        <v>31.4</v>
      </c>
      <c r="B125" s="18">
        <v>2.14E-3</v>
      </c>
    </row>
    <row r="126" spans="1:2" x14ac:dyDescent="0.25">
      <c r="A126" s="18">
        <v>31.6</v>
      </c>
      <c r="B126" s="18">
        <v>2E-3</v>
      </c>
    </row>
    <row r="127" spans="1:2" x14ac:dyDescent="0.25">
      <c r="A127" s="18">
        <v>31.8</v>
      </c>
      <c r="B127" s="18">
        <v>1.9499999999999999E-3</v>
      </c>
    </row>
    <row r="128" spans="1:2" x14ac:dyDescent="0.25">
      <c r="A128" s="18">
        <v>32</v>
      </c>
      <c r="B128" s="18">
        <v>1.9E-3</v>
      </c>
    </row>
    <row r="129" spans="1:2" x14ac:dyDescent="0.25">
      <c r="A129" s="18">
        <v>32.200000000000003</v>
      </c>
      <c r="B129" s="18">
        <v>1.83E-3</v>
      </c>
    </row>
    <row r="130" spans="1:2" x14ac:dyDescent="0.25">
      <c r="A130" s="18">
        <v>32.4</v>
      </c>
      <c r="B130" s="18">
        <v>1.7700000000000001E-3</v>
      </c>
    </row>
    <row r="131" spans="1:2" x14ac:dyDescent="0.25">
      <c r="A131" s="18">
        <v>32.6</v>
      </c>
      <c r="B131" s="18">
        <v>1.6800000000000001E-3</v>
      </c>
    </row>
    <row r="132" spans="1:2" x14ac:dyDescent="0.25">
      <c r="A132" s="18">
        <v>32.799999999999997</v>
      </c>
      <c r="B132" s="18">
        <v>1.65E-3</v>
      </c>
    </row>
    <row r="133" spans="1:2" x14ac:dyDescent="0.25">
      <c r="A133" s="18">
        <v>33</v>
      </c>
      <c r="B133" s="18">
        <v>1.6000000000000001E-3</v>
      </c>
    </row>
    <row r="134" spans="1:2" x14ac:dyDescent="0.25">
      <c r="A134" s="18">
        <v>33.200000000000003</v>
      </c>
      <c r="B134" s="18">
        <v>1.5200000000000001E-3</v>
      </c>
    </row>
    <row r="135" spans="1:2" x14ac:dyDescent="0.25">
      <c r="A135" s="18">
        <v>33.4</v>
      </c>
      <c r="B135" s="18">
        <v>1.47E-3</v>
      </c>
    </row>
    <row r="136" spans="1:2" x14ac:dyDescent="0.25">
      <c r="A136" s="18">
        <v>33.6</v>
      </c>
      <c r="B136" s="18">
        <v>1.4400000000000001E-3</v>
      </c>
    </row>
    <row r="137" spans="1:2" x14ac:dyDescent="0.25">
      <c r="A137" s="18">
        <v>33.799999999999997</v>
      </c>
      <c r="B137" s="18">
        <v>1.3699999999999999E-3</v>
      </c>
    </row>
    <row r="138" spans="1:2" x14ac:dyDescent="0.25">
      <c r="A138" s="18">
        <v>34</v>
      </c>
      <c r="B138" s="18">
        <v>1.32E-3</v>
      </c>
    </row>
    <row r="139" spans="1:2" x14ac:dyDescent="0.25">
      <c r="A139" s="18">
        <v>34.200000000000003</v>
      </c>
      <c r="B139" s="18">
        <v>1.2899999999999999E-3</v>
      </c>
    </row>
    <row r="140" spans="1:2" x14ac:dyDescent="0.25">
      <c r="A140" s="18">
        <v>34.4</v>
      </c>
      <c r="B140" s="18">
        <v>1.2099999999999999E-3</v>
      </c>
    </row>
    <row r="141" spans="1:2" x14ac:dyDescent="0.25">
      <c r="A141" s="18">
        <v>34.6</v>
      </c>
      <c r="B141" s="18">
        <v>1.1800000000000001E-3</v>
      </c>
    </row>
    <row r="142" spans="1:2" x14ac:dyDescent="0.25">
      <c r="A142" s="18">
        <v>34.799999999999997</v>
      </c>
      <c r="B142" s="18">
        <v>1.1299999999999999E-3</v>
      </c>
    </row>
    <row r="143" spans="1:2" x14ac:dyDescent="0.25">
      <c r="A143" s="18">
        <v>35</v>
      </c>
      <c r="B143" s="18">
        <v>1.08E-3</v>
      </c>
    </row>
    <row r="144" spans="1:2" x14ac:dyDescent="0.25">
      <c r="A144" s="18">
        <v>35.200000000000003</v>
      </c>
      <c r="B144" s="18">
        <v>1.01E-3</v>
      </c>
    </row>
    <row r="145" spans="1:2" x14ac:dyDescent="0.25">
      <c r="A145" s="18">
        <v>35.4</v>
      </c>
      <c r="B145" s="18">
        <v>1.01E-3</v>
      </c>
    </row>
    <row r="146" spans="1:2" x14ac:dyDescent="0.25">
      <c r="A146" s="18">
        <v>35.6</v>
      </c>
      <c r="B146" s="18">
        <v>9.2500000000000004E-4</v>
      </c>
    </row>
    <row r="147" spans="1:2" x14ac:dyDescent="0.25">
      <c r="A147" s="18">
        <v>35.799999999999997</v>
      </c>
      <c r="B147" s="18">
        <v>8.9300000000000002E-4</v>
      </c>
    </row>
    <row r="148" spans="1:2" x14ac:dyDescent="0.25">
      <c r="A148" s="18">
        <v>36</v>
      </c>
      <c r="B148" s="18">
        <v>8.6600000000000002E-4</v>
      </c>
    </row>
    <row r="149" spans="1:2" x14ac:dyDescent="0.25">
      <c r="A149" s="18">
        <v>36.200000000000003</v>
      </c>
      <c r="B149" s="18">
        <v>8.0900000000000004E-4</v>
      </c>
    </row>
    <row r="150" spans="1:2" x14ac:dyDescent="0.25">
      <c r="A150" s="18">
        <v>36.4</v>
      </c>
      <c r="B150" s="18">
        <v>7.7700000000000002E-4</v>
      </c>
    </row>
    <row r="151" spans="1:2" x14ac:dyDescent="0.25">
      <c r="A151" s="18">
        <v>36.6</v>
      </c>
      <c r="B151" s="18">
        <v>7.2499999999999995E-4</v>
      </c>
    </row>
    <row r="152" spans="1:2" x14ac:dyDescent="0.25">
      <c r="A152" s="18">
        <v>36.799999999999997</v>
      </c>
      <c r="B152" s="18">
        <v>6.96E-4</v>
      </c>
    </row>
    <row r="153" spans="1:2" x14ac:dyDescent="0.25">
      <c r="A153" s="18">
        <v>37</v>
      </c>
      <c r="B153" s="18">
        <v>6.6399999999999999E-4</v>
      </c>
    </row>
    <row r="154" spans="1:2" x14ac:dyDescent="0.25">
      <c r="A154" s="18">
        <v>37.200000000000003</v>
      </c>
      <c r="B154" s="18">
        <v>6.1600000000000001E-4</v>
      </c>
    </row>
    <row r="155" spans="1:2" x14ac:dyDescent="0.25">
      <c r="A155" s="18">
        <v>37.4</v>
      </c>
      <c r="B155" s="18">
        <v>5.62E-4</v>
      </c>
    </row>
    <row r="156" spans="1:2" x14ac:dyDescent="0.25">
      <c r="A156" s="18">
        <v>37.6</v>
      </c>
      <c r="B156" s="18">
        <v>5.2800000000000004E-4</v>
      </c>
    </row>
    <row r="157" spans="1:2" x14ac:dyDescent="0.25">
      <c r="A157" s="18">
        <v>37.799999999999997</v>
      </c>
      <c r="B157" s="18">
        <v>5.0699999999999996E-4</v>
      </c>
    </row>
    <row r="158" spans="1:2" x14ac:dyDescent="0.25">
      <c r="A158" s="18">
        <v>38</v>
      </c>
      <c r="B158" s="18">
        <v>4.5899999999999999E-4</v>
      </c>
    </row>
    <row r="159" spans="1:2" x14ac:dyDescent="0.25">
      <c r="A159" s="18">
        <v>38.200000000000003</v>
      </c>
      <c r="B159" s="18">
        <v>4.26E-4</v>
      </c>
    </row>
    <row r="160" spans="1:2" x14ac:dyDescent="0.25">
      <c r="A160" s="18">
        <v>38.4</v>
      </c>
      <c r="B160" s="18">
        <v>3.7599999999999998E-4</v>
      </c>
    </row>
    <row r="161" spans="1:2" x14ac:dyDescent="0.25">
      <c r="A161" s="18">
        <v>38.6</v>
      </c>
      <c r="B161" s="18">
        <v>3.4299999999999999E-4</v>
      </c>
    </row>
    <row r="162" spans="1:2" x14ac:dyDescent="0.25">
      <c r="A162" s="18">
        <v>38.799999999999997</v>
      </c>
      <c r="B162" s="18">
        <v>3.1E-4</v>
      </c>
    </row>
    <row r="163" spans="1:2" x14ac:dyDescent="0.25">
      <c r="A163" s="18">
        <v>39</v>
      </c>
      <c r="B163" s="18">
        <v>2.7300000000000002E-4</v>
      </c>
    </row>
    <row r="164" spans="1:2" x14ac:dyDescent="0.25">
      <c r="A164" s="18">
        <v>39.200000000000003</v>
      </c>
      <c r="B164" s="18">
        <v>2.1699999999999999E-4</v>
      </c>
    </row>
    <row r="165" spans="1:2" x14ac:dyDescent="0.25">
      <c r="A165" s="18">
        <v>39.4</v>
      </c>
      <c r="B165" s="18">
        <v>1.94E-4</v>
      </c>
    </row>
    <row r="166" spans="1:2" x14ac:dyDescent="0.25">
      <c r="A166" s="18">
        <v>39.6</v>
      </c>
      <c r="B166" s="18">
        <v>1.44E-4</v>
      </c>
    </row>
    <row r="167" spans="1:2" x14ac:dyDescent="0.25">
      <c r="A167" s="18">
        <v>39.799999999999997</v>
      </c>
      <c r="B167" s="18">
        <v>1.12E-4</v>
      </c>
    </row>
    <row r="168" spans="1:2" x14ac:dyDescent="0.25">
      <c r="A168" s="18">
        <v>40</v>
      </c>
      <c r="B168" s="18">
        <v>4.6400000000000003E-5</v>
      </c>
    </row>
    <row r="169" spans="1:2" x14ac:dyDescent="0.25">
      <c r="A169" s="18">
        <v>40.200000000000003</v>
      </c>
      <c r="B169" s="18">
        <v>7.7200000000000006E-6</v>
      </c>
    </row>
    <row r="170" spans="1:2" x14ac:dyDescent="0.25">
      <c r="A170" s="18">
        <v>40.4</v>
      </c>
      <c r="B170" s="18">
        <v>6.7800000000000003E-6</v>
      </c>
    </row>
    <row r="171" spans="1:2" x14ac:dyDescent="0.25">
      <c r="A171" s="18">
        <v>40.6</v>
      </c>
      <c r="B171" s="18">
        <v>6.4200000000000004E-6</v>
      </c>
    </row>
    <row r="172" spans="1:2" x14ac:dyDescent="0.25">
      <c r="A172" s="18">
        <v>40.799999999999997</v>
      </c>
      <c r="B172" s="18">
        <v>5.13E-6</v>
      </c>
    </row>
    <row r="173" spans="1:2" x14ac:dyDescent="0.25">
      <c r="A173" s="18">
        <v>41</v>
      </c>
      <c r="B173" s="18">
        <v>4.7299999999999996E-6</v>
      </c>
    </row>
    <row r="174" spans="1:2" x14ac:dyDescent="0.25">
      <c r="A174" s="18">
        <v>41.2</v>
      </c>
      <c r="B174" s="18">
        <v>5.8000000000000004E-6</v>
      </c>
    </row>
    <row r="175" spans="1:2" x14ac:dyDescent="0.25">
      <c r="A175" s="18">
        <v>41.4</v>
      </c>
      <c r="B175" s="18">
        <v>4.7999999999999998E-6</v>
      </c>
    </row>
    <row r="176" spans="1:2" x14ac:dyDescent="0.25">
      <c r="A176" s="18">
        <v>41.6</v>
      </c>
      <c r="B176" s="18">
        <v>3.9999999999999998E-6</v>
      </c>
    </row>
    <row r="177" spans="1:2" x14ac:dyDescent="0.25">
      <c r="A177" s="18">
        <v>41.8</v>
      </c>
      <c r="B177" s="18">
        <v>5.3800000000000002E-6</v>
      </c>
    </row>
    <row r="178" spans="1:2" x14ac:dyDescent="0.25">
      <c r="A178" s="18">
        <v>42</v>
      </c>
      <c r="B178" s="18">
        <v>5.3399999999999997E-6</v>
      </c>
    </row>
  </sheetData>
  <pageMargins left="0.7" right="0.7" top="0.75" bottom="0.75" header="0.3" footer="0.3"/>
  <pageSetup paperSize="9" orientation="portrait" r:id="rId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dimension ref="A1:B22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7</v>
      </c>
      <c r="B2" s="18">
        <v>2.5399999999999998E-6</v>
      </c>
    </row>
    <row r="3" spans="1:2" x14ac:dyDescent="0.25">
      <c r="A3" s="18">
        <v>7.2</v>
      </c>
      <c r="B3" s="18">
        <v>7.9100000000000004E-4</v>
      </c>
    </row>
    <row r="4" spans="1:2" x14ac:dyDescent="0.25">
      <c r="A4" s="18">
        <v>7.4</v>
      </c>
      <c r="B4" s="18">
        <v>6.4899999999999995E-4</v>
      </c>
    </row>
    <row r="5" spans="1:2" x14ac:dyDescent="0.25">
      <c r="A5" s="18">
        <v>7.6</v>
      </c>
      <c r="B5" s="18">
        <v>5.3300000000000005E-4</v>
      </c>
    </row>
    <row r="6" spans="1:2" x14ac:dyDescent="0.25">
      <c r="A6" s="18">
        <v>7.8</v>
      </c>
      <c r="B6" s="18">
        <v>3.3100000000000002E-4</v>
      </c>
    </row>
    <row r="7" spans="1:2" x14ac:dyDescent="0.25">
      <c r="A7" s="18">
        <v>8</v>
      </c>
      <c r="B7" s="18">
        <v>5.1599999999999997E-4</v>
      </c>
    </row>
    <row r="8" spans="1:2" x14ac:dyDescent="0.25">
      <c r="A8" s="18">
        <v>8.1999999999999993</v>
      </c>
      <c r="B8" s="18">
        <v>3.9599999999999998E-4</v>
      </c>
    </row>
    <row r="9" spans="1:2" x14ac:dyDescent="0.25">
      <c r="A9" s="18">
        <v>8.4</v>
      </c>
      <c r="B9" s="18">
        <v>6.2200000000000005E-4</v>
      </c>
    </row>
    <row r="10" spans="1:2" x14ac:dyDescent="0.25">
      <c r="A10" s="18">
        <v>8.6</v>
      </c>
      <c r="B10" s="18">
        <v>2.04E-4</v>
      </c>
    </row>
    <row r="11" spans="1:2" x14ac:dyDescent="0.25">
      <c r="A11" s="18">
        <v>8.8000000000000007</v>
      </c>
      <c r="B11" s="18">
        <v>6.96E-4</v>
      </c>
    </row>
    <row r="12" spans="1:2" x14ac:dyDescent="0.25">
      <c r="A12" s="18">
        <v>9</v>
      </c>
      <c r="B12" s="18">
        <v>4.6099999999999998E-4</v>
      </c>
    </row>
    <row r="13" spans="1:2" x14ac:dyDescent="0.25">
      <c r="A13" s="18">
        <v>9.1999999999999993</v>
      </c>
      <c r="B13" s="18">
        <v>4.6900000000000002E-4</v>
      </c>
    </row>
    <row r="14" spans="1:2" x14ac:dyDescent="0.25">
      <c r="A14" s="18">
        <v>9.4</v>
      </c>
      <c r="B14" s="18">
        <v>2.0599999999999999E-4</v>
      </c>
    </row>
    <row r="15" spans="1:2" x14ac:dyDescent="0.25">
      <c r="A15" s="18">
        <v>9.6</v>
      </c>
      <c r="B15" s="18">
        <v>1.2800000000000001E-3</v>
      </c>
    </row>
    <row r="16" spans="1:2" x14ac:dyDescent="0.25">
      <c r="A16" s="18">
        <v>9.8000000000000007</v>
      </c>
      <c r="B16" s="18">
        <v>1.5200000000000001E-3</v>
      </c>
    </row>
    <row r="17" spans="1:2" x14ac:dyDescent="0.25">
      <c r="A17" s="18">
        <v>10</v>
      </c>
      <c r="B17" s="18">
        <v>1.8600000000000001E-3</v>
      </c>
    </row>
    <row r="18" spans="1:2" x14ac:dyDescent="0.25">
      <c r="A18" s="18">
        <v>10.199999999999999</v>
      </c>
      <c r="B18" s="18">
        <v>7.5500000000000003E-4</v>
      </c>
    </row>
    <row r="19" spans="1:2" x14ac:dyDescent="0.25">
      <c r="A19" s="18">
        <v>10.4</v>
      </c>
      <c r="B19" s="18">
        <v>7.6800000000000002E-4</v>
      </c>
    </row>
    <row r="20" spans="1:2" x14ac:dyDescent="0.25">
      <c r="A20" s="18">
        <v>10.6</v>
      </c>
      <c r="B20" s="18">
        <v>8.4699999999999999E-4</v>
      </c>
    </row>
    <row r="21" spans="1:2" x14ac:dyDescent="0.25">
      <c r="A21" s="18">
        <v>10.8</v>
      </c>
      <c r="B21" s="18">
        <v>9.4300000000000004E-4</v>
      </c>
    </row>
    <row r="22" spans="1:2" x14ac:dyDescent="0.25">
      <c r="A22" s="18">
        <v>11</v>
      </c>
      <c r="B22" s="18">
        <v>9.9400000000000009E-4</v>
      </c>
    </row>
    <row r="23" spans="1:2" x14ac:dyDescent="0.25">
      <c r="A23" s="18">
        <v>11.2</v>
      </c>
      <c r="B23" s="18">
        <v>2.1199999999999999E-3</v>
      </c>
    </row>
    <row r="24" spans="1:2" x14ac:dyDescent="0.25">
      <c r="A24" s="18">
        <v>11.4</v>
      </c>
      <c r="B24" s="18">
        <v>3.2200000000000002E-3</v>
      </c>
    </row>
    <row r="25" spans="1:2" x14ac:dyDescent="0.25">
      <c r="A25" s="18">
        <v>11.6</v>
      </c>
      <c r="B25" s="18">
        <v>2.2499999999999998E-3</v>
      </c>
    </row>
    <row r="26" spans="1:2" x14ac:dyDescent="0.25">
      <c r="A26" s="18">
        <v>11.8</v>
      </c>
      <c r="B26" s="18">
        <v>2.2300000000000002E-3</v>
      </c>
    </row>
    <row r="27" spans="1:2" x14ac:dyDescent="0.25">
      <c r="A27" s="18">
        <v>12</v>
      </c>
      <c r="B27" s="18">
        <v>1.82E-3</v>
      </c>
    </row>
    <row r="28" spans="1:2" x14ac:dyDescent="0.25">
      <c r="A28" s="18">
        <v>12.2</v>
      </c>
      <c r="B28" s="18">
        <v>2.2899999999999999E-3</v>
      </c>
    </row>
    <row r="29" spans="1:2" x14ac:dyDescent="0.25">
      <c r="A29" s="18">
        <v>12.4</v>
      </c>
      <c r="B29" s="18">
        <v>2.2100000000000002E-3</v>
      </c>
    </row>
    <row r="30" spans="1:2" x14ac:dyDescent="0.25">
      <c r="A30" s="18">
        <v>12.6</v>
      </c>
      <c r="B30" s="18">
        <v>2.64E-3</v>
      </c>
    </row>
    <row r="31" spans="1:2" x14ac:dyDescent="0.25">
      <c r="A31" s="18">
        <v>12.8</v>
      </c>
      <c r="B31" s="18">
        <v>2.96E-3</v>
      </c>
    </row>
    <row r="32" spans="1:2" x14ac:dyDescent="0.25">
      <c r="A32" s="18">
        <v>13</v>
      </c>
      <c r="B32" s="18">
        <v>3.1800000000000001E-3</v>
      </c>
    </row>
    <row r="33" spans="1:2" x14ac:dyDescent="0.25">
      <c r="A33" s="18">
        <v>13.2</v>
      </c>
      <c r="B33" s="18">
        <v>3.8800000000000002E-3</v>
      </c>
    </row>
    <row r="34" spans="1:2" x14ac:dyDescent="0.25">
      <c r="A34" s="18">
        <v>13.4</v>
      </c>
      <c r="B34" s="18">
        <v>3.8400000000000001E-3</v>
      </c>
    </row>
    <row r="35" spans="1:2" x14ac:dyDescent="0.25">
      <c r="A35" s="18">
        <v>13.6</v>
      </c>
      <c r="B35" s="18">
        <v>4.5199999999999997E-3</v>
      </c>
    </row>
    <row r="36" spans="1:2" x14ac:dyDescent="0.25">
      <c r="A36" s="18">
        <v>13.8</v>
      </c>
      <c r="B36" s="18">
        <v>5.0400000000000002E-3</v>
      </c>
    </row>
    <row r="37" spans="1:2" x14ac:dyDescent="0.25">
      <c r="A37" s="18">
        <v>14</v>
      </c>
      <c r="B37" s="18">
        <v>5.1399999999999996E-3</v>
      </c>
    </row>
    <row r="38" spans="1:2" x14ac:dyDescent="0.25">
      <c r="A38" s="18">
        <v>14.2</v>
      </c>
      <c r="B38" s="18">
        <v>6.0200000000000002E-3</v>
      </c>
    </row>
    <row r="39" spans="1:2" x14ac:dyDescent="0.25">
      <c r="A39" s="18">
        <v>14.4</v>
      </c>
      <c r="B39" s="18">
        <v>6.2300000000000003E-3</v>
      </c>
    </row>
    <row r="40" spans="1:2" x14ac:dyDescent="0.25">
      <c r="A40" s="18">
        <v>14.6</v>
      </c>
      <c r="B40" s="18">
        <v>6.6100000000000004E-3</v>
      </c>
    </row>
    <row r="41" spans="1:2" x14ac:dyDescent="0.25">
      <c r="A41" s="18">
        <v>14.8</v>
      </c>
      <c r="B41" s="18">
        <v>7.1799999999999998E-3</v>
      </c>
    </row>
    <row r="42" spans="1:2" x14ac:dyDescent="0.25">
      <c r="A42" s="18">
        <v>15</v>
      </c>
      <c r="B42" s="18">
        <v>7.4599999999999996E-3</v>
      </c>
    </row>
    <row r="43" spans="1:2" x14ac:dyDescent="0.25">
      <c r="A43" s="18">
        <v>15.2</v>
      </c>
      <c r="B43" s="18">
        <v>7.9100000000000004E-3</v>
      </c>
    </row>
    <row r="44" spans="1:2" x14ac:dyDescent="0.25">
      <c r="A44" s="18">
        <v>15.4</v>
      </c>
      <c r="B44" s="18">
        <v>8.2000000000000007E-3</v>
      </c>
    </row>
    <row r="45" spans="1:2" x14ac:dyDescent="0.25">
      <c r="A45" s="18">
        <v>15.6</v>
      </c>
      <c r="B45" s="18">
        <v>8.6899999999999998E-3</v>
      </c>
    </row>
    <row r="46" spans="1:2" x14ac:dyDescent="0.25">
      <c r="A46" s="18">
        <v>15.8</v>
      </c>
      <c r="B46" s="18">
        <v>9.0600000000000003E-3</v>
      </c>
    </row>
    <row r="47" spans="1:2" x14ac:dyDescent="0.25">
      <c r="A47" s="18">
        <v>16</v>
      </c>
      <c r="B47" s="18">
        <v>9.2599999999999991E-3</v>
      </c>
    </row>
    <row r="48" spans="1:2" x14ac:dyDescent="0.25">
      <c r="A48" s="18">
        <v>16.2</v>
      </c>
      <c r="B48" s="18">
        <v>9.6699999999999998E-3</v>
      </c>
    </row>
    <row r="49" spans="1:2" x14ac:dyDescent="0.25">
      <c r="A49" s="18">
        <v>16.399999999999999</v>
      </c>
      <c r="B49" s="18">
        <v>9.9000000000000008E-3</v>
      </c>
    </row>
    <row r="50" spans="1:2" x14ac:dyDescent="0.25">
      <c r="A50" s="18">
        <v>16.600000000000001</v>
      </c>
      <c r="B50" s="18">
        <v>1.03E-2</v>
      </c>
    </row>
    <row r="51" spans="1:2" x14ac:dyDescent="0.25">
      <c r="A51" s="18">
        <v>16.8</v>
      </c>
      <c r="B51" s="18">
        <v>1.03E-2</v>
      </c>
    </row>
    <row r="52" spans="1:2" x14ac:dyDescent="0.25">
      <c r="A52" s="18">
        <v>17</v>
      </c>
      <c r="B52" s="18">
        <v>1.0800000000000001E-2</v>
      </c>
    </row>
    <row r="53" spans="1:2" x14ac:dyDescent="0.25">
      <c r="A53" s="18">
        <v>17.2</v>
      </c>
      <c r="B53" s="18">
        <v>1.0999999999999999E-2</v>
      </c>
    </row>
    <row r="54" spans="1:2" x14ac:dyDescent="0.25">
      <c r="A54" s="18">
        <v>17.399999999999999</v>
      </c>
      <c r="B54" s="18">
        <v>1.0999999999999999E-2</v>
      </c>
    </row>
    <row r="55" spans="1:2" x14ac:dyDescent="0.25">
      <c r="A55" s="18">
        <v>17.600000000000001</v>
      </c>
      <c r="B55" s="18">
        <v>1.1299999999999999E-2</v>
      </c>
    </row>
    <row r="56" spans="1:2" x14ac:dyDescent="0.25">
      <c r="A56" s="18">
        <v>17.8</v>
      </c>
      <c r="B56" s="18">
        <v>1.14E-2</v>
      </c>
    </row>
    <row r="57" spans="1:2" x14ac:dyDescent="0.25">
      <c r="A57" s="18">
        <v>18</v>
      </c>
      <c r="B57" s="18">
        <v>1.1599999999999999E-2</v>
      </c>
    </row>
    <row r="58" spans="1:2" x14ac:dyDescent="0.25">
      <c r="A58" s="18">
        <v>18.2</v>
      </c>
      <c r="B58" s="18">
        <v>1.17E-2</v>
      </c>
    </row>
    <row r="59" spans="1:2" x14ac:dyDescent="0.25">
      <c r="A59" s="18">
        <v>18.399999999999999</v>
      </c>
      <c r="B59" s="18">
        <v>1.17E-2</v>
      </c>
    </row>
    <row r="60" spans="1:2" x14ac:dyDescent="0.25">
      <c r="A60" s="18">
        <v>18.600000000000001</v>
      </c>
      <c r="B60" s="18">
        <v>1.18E-2</v>
      </c>
    </row>
    <row r="61" spans="1:2" x14ac:dyDescent="0.25">
      <c r="A61" s="18">
        <v>18.8</v>
      </c>
      <c r="B61" s="18">
        <v>1.2E-2</v>
      </c>
    </row>
    <row r="62" spans="1:2" x14ac:dyDescent="0.25">
      <c r="A62" s="18">
        <v>19</v>
      </c>
      <c r="B62" s="18">
        <v>1.17E-2</v>
      </c>
    </row>
    <row r="63" spans="1:2" x14ac:dyDescent="0.25">
      <c r="A63" s="18">
        <v>19.2</v>
      </c>
      <c r="B63" s="18">
        <v>1.21E-2</v>
      </c>
    </row>
    <row r="64" spans="1:2" x14ac:dyDescent="0.25">
      <c r="A64" s="18">
        <v>19.399999999999999</v>
      </c>
      <c r="B64" s="18">
        <v>1.1900000000000001E-2</v>
      </c>
    </row>
    <row r="65" spans="1:2" x14ac:dyDescent="0.25">
      <c r="A65" s="18">
        <v>19.600000000000001</v>
      </c>
      <c r="B65" s="18">
        <v>1.1900000000000001E-2</v>
      </c>
    </row>
    <row r="66" spans="1:2" x14ac:dyDescent="0.25">
      <c r="A66" s="18">
        <v>19.8</v>
      </c>
      <c r="B66" s="18">
        <v>1.2E-2</v>
      </c>
    </row>
    <row r="67" spans="1:2" x14ac:dyDescent="0.25">
      <c r="A67" s="18">
        <v>20</v>
      </c>
      <c r="B67" s="18">
        <v>1.1900000000000001E-2</v>
      </c>
    </row>
    <row r="68" spans="1:2" x14ac:dyDescent="0.25">
      <c r="A68" s="18">
        <v>20.2</v>
      </c>
      <c r="B68" s="18">
        <v>1.18E-2</v>
      </c>
    </row>
    <row r="69" spans="1:2" x14ac:dyDescent="0.25">
      <c r="A69" s="18">
        <v>20.399999999999999</v>
      </c>
      <c r="B69" s="18">
        <v>1.17E-2</v>
      </c>
    </row>
    <row r="70" spans="1:2" x14ac:dyDescent="0.25">
      <c r="A70" s="18">
        <v>20.6</v>
      </c>
      <c r="B70" s="18">
        <v>1.17E-2</v>
      </c>
    </row>
    <row r="71" spans="1:2" x14ac:dyDescent="0.25">
      <c r="A71" s="18">
        <v>20.8</v>
      </c>
      <c r="B71" s="18">
        <v>1.15E-2</v>
      </c>
    </row>
    <row r="72" spans="1:2" x14ac:dyDescent="0.25">
      <c r="A72" s="18">
        <v>21</v>
      </c>
      <c r="B72" s="18">
        <v>1.17E-2</v>
      </c>
    </row>
    <row r="73" spans="1:2" x14ac:dyDescent="0.25">
      <c r="A73" s="18">
        <v>21.2</v>
      </c>
      <c r="B73" s="18">
        <v>1.14E-2</v>
      </c>
    </row>
    <row r="74" spans="1:2" x14ac:dyDescent="0.25">
      <c r="A74" s="18">
        <v>21.4</v>
      </c>
      <c r="B74" s="18">
        <v>1.1299999999999999E-2</v>
      </c>
    </row>
    <row r="75" spans="1:2" x14ac:dyDescent="0.25">
      <c r="A75" s="18">
        <v>21.6</v>
      </c>
      <c r="B75" s="18">
        <v>1.1299999999999999E-2</v>
      </c>
    </row>
    <row r="76" spans="1:2" x14ac:dyDescent="0.25">
      <c r="A76" s="18">
        <v>21.8</v>
      </c>
      <c r="B76" s="18">
        <v>1.0999999999999999E-2</v>
      </c>
    </row>
    <row r="77" spans="1:2" x14ac:dyDescent="0.25">
      <c r="A77" s="18">
        <v>22</v>
      </c>
      <c r="B77" s="18">
        <v>1.11E-2</v>
      </c>
    </row>
    <row r="78" spans="1:2" x14ac:dyDescent="0.25">
      <c r="A78" s="18">
        <v>22.2</v>
      </c>
      <c r="B78" s="18">
        <v>1.0699999999999999E-2</v>
      </c>
    </row>
    <row r="79" spans="1:2" x14ac:dyDescent="0.25">
      <c r="A79" s="18">
        <v>22.4</v>
      </c>
      <c r="B79" s="18">
        <v>1.0800000000000001E-2</v>
      </c>
    </row>
    <row r="80" spans="1:2" x14ac:dyDescent="0.25">
      <c r="A80" s="18">
        <v>22.6</v>
      </c>
      <c r="B80" s="18">
        <v>1.06E-2</v>
      </c>
    </row>
    <row r="81" spans="1:2" x14ac:dyDescent="0.25">
      <c r="A81" s="18">
        <v>22.8</v>
      </c>
      <c r="B81" s="18">
        <v>1.0500000000000001E-2</v>
      </c>
    </row>
    <row r="82" spans="1:2" x14ac:dyDescent="0.25">
      <c r="A82" s="18">
        <v>23</v>
      </c>
      <c r="B82" s="18">
        <v>1.03E-2</v>
      </c>
    </row>
    <row r="83" spans="1:2" x14ac:dyDescent="0.25">
      <c r="A83" s="18">
        <v>23.2</v>
      </c>
      <c r="B83" s="18">
        <v>1.03E-2</v>
      </c>
    </row>
    <row r="84" spans="1:2" x14ac:dyDescent="0.25">
      <c r="A84" s="18">
        <v>23.4</v>
      </c>
      <c r="B84" s="18">
        <v>9.8600000000000007E-3</v>
      </c>
    </row>
    <row r="85" spans="1:2" x14ac:dyDescent="0.25">
      <c r="A85" s="18">
        <v>23.6</v>
      </c>
      <c r="B85" s="18">
        <v>9.9699999999999997E-3</v>
      </c>
    </row>
    <row r="86" spans="1:2" x14ac:dyDescent="0.25">
      <c r="A86" s="18">
        <v>23.8</v>
      </c>
      <c r="B86" s="18">
        <v>9.7099999999999999E-3</v>
      </c>
    </row>
    <row r="87" spans="1:2" x14ac:dyDescent="0.25">
      <c r="A87" s="18">
        <v>24</v>
      </c>
      <c r="B87" s="18">
        <v>9.6200000000000001E-3</v>
      </c>
    </row>
    <row r="88" spans="1:2" x14ac:dyDescent="0.25">
      <c r="A88" s="18">
        <v>24.2</v>
      </c>
      <c r="B88" s="18">
        <v>9.4699999999999993E-3</v>
      </c>
    </row>
    <row r="89" spans="1:2" x14ac:dyDescent="0.25">
      <c r="A89" s="18">
        <v>24.4</v>
      </c>
      <c r="B89" s="18">
        <v>9.2499999999999995E-3</v>
      </c>
    </row>
    <row r="90" spans="1:2" x14ac:dyDescent="0.25">
      <c r="A90" s="18">
        <v>24.6</v>
      </c>
      <c r="B90" s="18">
        <v>9.1999999999999998E-3</v>
      </c>
    </row>
    <row r="91" spans="1:2" x14ac:dyDescent="0.25">
      <c r="A91" s="18">
        <v>24.8</v>
      </c>
      <c r="B91" s="18">
        <v>8.77E-3</v>
      </c>
    </row>
    <row r="92" spans="1:2" x14ac:dyDescent="0.25">
      <c r="A92" s="18">
        <v>25</v>
      </c>
      <c r="B92" s="18">
        <v>8.9499999999999996E-3</v>
      </c>
    </row>
    <row r="93" spans="1:2" x14ac:dyDescent="0.25">
      <c r="A93" s="18">
        <v>25.2</v>
      </c>
      <c r="B93" s="18">
        <v>8.6300000000000005E-3</v>
      </c>
    </row>
    <row r="94" spans="1:2" x14ac:dyDescent="0.25">
      <c r="A94" s="18">
        <v>25.4</v>
      </c>
      <c r="B94" s="18">
        <v>8.4499999999999992E-3</v>
      </c>
    </row>
    <row r="95" spans="1:2" x14ac:dyDescent="0.25">
      <c r="A95" s="18">
        <v>25.6</v>
      </c>
      <c r="B95" s="18">
        <v>8.4499999999999992E-3</v>
      </c>
    </row>
    <row r="96" spans="1:2" x14ac:dyDescent="0.25">
      <c r="A96" s="18">
        <v>25.8</v>
      </c>
      <c r="B96" s="18">
        <v>8.0800000000000004E-3</v>
      </c>
    </row>
    <row r="97" spans="1:2" x14ac:dyDescent="0.25">
      <c r="A97" s="18">
        <v>26</v>
      </c>
      <c r="B97" s="18">
        <v>8.0599999999999995E-3</v>
      </c>
    </row>
    <row r="98" spans="1:2" x14ac:dyDescent="0.25">
      <c r="A98" s="18">
        <v>26.2</v>
      </c>
      <c r="B98" s="18">
        <v>7.92E-3</v>
      </c>
    </row>
    <row r="99" spans="1:2" x14ac:dyDescent="0.25">
      <c r="A99" s="18">
        <v>26.4</v>
      </c>
      <c r="B99" s="18">
        <v>7.7200000000000003E-3</v>
      </c>
    </row>
    <row r="100" spans="1:2" x14ac:dyDescent="0.25">
      <c r="A100" s="18">
        <v>26.6</v>
      </c>
      <c r="B100" s="18">
        <v>7.5700000000000003E-3</v>
      </c>
    </row>
    <row r="101" spans="1:2" x14ac:dyDescent="0.25">
      <c r="A101" s="18">
        <v>26.8</v>
      </c>
      <c r="B101" s="18">
        <v>7.5100000000000002E-3</v>
      </c>
    </row>
    <row r="102" spans="1:2" x14ac:dyDescent="0.25">
      <c r="A102" s="18">
        <v>27</v>
      </c>
      <c r="B102" s="18">
        <v>7.3099999999999997E-3</v>
      </c>
    </row>
    <row r="103" spans="1:2" x14ac:dyDescent="0.25">
      <c r="A103" s="18">
        <v>27.2</v>
      </c>
      <c r="B103" s="18">
        <v>7.1900000000000002E-3</v>
      </c>
    </row>
    <row r="104" spans="1:2" x14ac:dyDescent="0.25">
      <c r="A104" s="18">
        <v>27.4</v>
      </c>
      <c r="B104" s="18">
        <v>7.0000000000000001E-3</v>
      </c>
    </row>
    <row r="105" spans="1:2" x14ac:dyDescent="0.25">
      <c r="A105" s="18">
        <v>27.6</v>
      </c>
      <c r="B105" s="18">
        <v>6.8700000000000002E-3</v>
      </c>
    </row>
    <row r="106" spans="1:2" x14ac:dyDescent="0.25">
      <c r="A106" s="18">
        <v>27.8</v>
      </c>
      <c r="B106" s="18">
        <v>6.7200000000000003E-3</v>
      </c>
    </row>
    <row r="107" spans="1:2" x14ac:dyDescent="0.25">
      <c r="A107" s="18">
        <v>28</v>
      </c>
      <c r="B107" s="18">
        <v>6.6100000000000004E-3</v>
      </c>
    </row>
    <row r="108" spans="1:2" x14ac:dyDescent="0.25">
      <c r="A108" s="18">
        <v>28.2</v>
      </c>
      <c r="B108" s="18">
        <v>6.5199999999999998E-3</v>
      </c>
    </row>
    <row r="109" spans="1:2" x14ac:dyDescent="0.25">
      <c r="A109" s="18">
        <v>28.4</v>
      </c>
      <c r="B109" s="18">
        <v>6.2500000000000003E-3</v>
      </c>
    </row>
    <row r="110" spans="1:2" x14ac:dyDescent="0.25">
      <c r="A110" s="18">
        <v>28.6</v>
      </c>
      <c r="B110" s="18">
        <v>6.2899999999999996E-3</v>
      </c>
    </row>
    <row r="111" spans="1:2" x14ac:dyDescent="0.25">
      <c r="A111" s="18">
        <v>28.8</v>
      </c>
      <c r="B111" s="18">
        <v>5.9800000000000001E-3</v>
      </c>
    </row>
    <row r="112" spans="1:2" x14ac:dyDescent="0.25">
      <c r="A112" s="18">
        <v>29</v>
      </c>
      <c r="B112" s="18">
        <v>5.9800000000000001E-3</v>
      </c>
    </row>
    <row r="113" spans="1:2" x14ac:dyDescent="0.25">
      <c r="A113" s="18">
        <v>29.2</v>
      </c>
      <c r="B113" s="18">
        <v>5.8100000000000001E-3</v>
      </c>
    </row>
    <row r="114" spans="1:2" x14ac:dyDescent="0.25">
      <c r="A114" s="18">
        <v>29.4</v>
      </c>
      <c r="B114" s="18">
        <v>5.6499999999999996E-3</v>
      </c>
    </row>
    <row r="115" spans="1:2" x14ac:dyDescent="0.25">
      <c r="A115" s="18">
        <v>29.6</v>
      </c>
      <c r="B115" s="18">
        <v>5.64E-3</v>
      </c>
    </row>
    <row r="116" spans="1:2" x14ac:dyDescent="0.25">
      <c r="A116" s="18">
        <v>29.8</v>
      </c>
      <c r="B116" s="18">
        <v>5.3800000000000002E-3</v>
      </c>
    </row>
    <row r="117" spans="1:2" x14ac:dyDescent="0.25">
      <c r="A117" s="18">
        <v>30</v>
      </c>
      <c r="B117" s="18">
        <v>5.3200000000000001E-3</v>
      </c>
    </row>
    <row r="118" spans="1:2" x14ac:dyDescent="0.25">
      <c r="A118" s="18">
        <v>30.2</v>
      </c>
      <c r="B118" s="18">
        <v>5.28E-3</v>
      </c>
    </row>
    <row r="119" spans="1:2" x14ac:dyDescent="0.25">
      <c r="A119" s="18">
        <v>30.4</v>
      </c>
      <c r="B119" s="18">
        <v>5.0400000000000002E-3</v>
      </c>
    </row>
    <row r="120" spans="1:2" x14ac:dyDescent="0.25">
      <c r="A120" s="18">
        <v>30.6</v>
      </c>
      <c r="B120" s="18">
        <v>5.0400000000000002E-3</v>
      </c>
    </row>
    <row r="121" spans="1:2" x14ac:dyDescent="0.25">
      <c r="A121" s="18">
        <v>30.8</v>
      </c>
      <c r="B121" s="18">
        <v>4.8900000000000002E-3</v>
      </c>
    </row>
    <row r="122" spans="1:2" x14ac:dyDescent="0.25">
      <c r="A122" s="18">
        <v>31</v>
      </c>
      <c r="B122" s="18">
        <v>4.7600000000000003E-3</v>
      </c>
    </row>
    <row r="123" spans="1:2" x14ac:dyDescent="0.25">
      <c r="A123" s="18">
        <v>31.2</v>
      </c>
      <c r="B123" s="18">
        <v>4.7299999999999998E-3</v>
      </c>
    </row>
    <row r="124" spans="1:2" x14ac:dyDescent="0.25">
      <c r="A124" s="18">
        <v>31.4</v>
      </c>
      <c r="B124" s="18">
        <v>4.5599999999999998E-3</v>
      </c>
    </row>
    <row r="125" spans="1:2" x14ac:dyDescent="0.25">
      <c r="A125" s="18">
        <v>31.6</v>
      </c>
      <c r="B125" s="18">
        <v>4.5900000000000003E-3</v>
      </c>
    </row>
    <row r="126" spans="1:2" x14ac:dyDescent="0.25">
      <c r="A126" s="18">
        <v>31.8</v>
      </c>
      <c r="B126" s="18">
        <v>4.3899999999999998E-3</v>
      </c>
    </row>
    <row r="127" spans="1:2" x14ac:dyDescent="0.25">
      <c r="A127" s="18">
        <v>32</v>
      </c>
      <c r="B127" s="18">
        <v>4.3400000000000001E-3</v>
      </c>
    </row>
    <row r="128" spans="1:2" x14ac:dyDescent="0.25">
      <c r="A128" s="18">
        <v>32.200000000000003</v>
      </c>
      <c r="B128" s="18">
        <v>4.1799999999999997E-3</v>
      </c>
    </row>
    <row r="129" spans="1:2" x14ac:dyDescent="0.25">
      <c r="A129" s="18">
        <v>32.4</v>
      </c>
      <c r="B129" s="18">
        <v>4.1099999999999999E-3</v>
      </c>
    </row>
    <row r="130" spans="1:2" x14ac:dyDescent="0.25">
      <c r="A130" s="18">
        <v>32.6</v>
      </c>
      <c r="B130" s="18">
        <v>4.0800000000000003E-3</v>
      </c>
    </row>
    <row r="131" spans="1:2" x14ac:dyDescent="0.25">
      <c r="A131" s="18">
        <v>32.799999999999997</v>
      </c>
      <c r="B131" s="18">
        <v>3.9300000000000003E-3</v>
      </c>
    </row>
    <row r="132" spans="1:2" x14ac:dyDescent="0.25">
      <c r="A132" s="18">
        <v>33</v>
      </c>
      <c r="B132" s="18">
        <v>3.9300000000000003E-3</v>
      </c>
    </row>
    <row r="133" spans="1:2" x14ac:dyDescent="0.25">
      <c r="A133" s="18">
        <v>33.200000000000003</v>
      </c>
      <c r="B133" s="18">
        <v>3.7299999999999998E-3</v>
      </c>
    </row>
    <row r="134" spans="1:2" x14ac:dyDescent="0.25">
      <c r="A134" s="18">
        <v>33.4</v>
      </c>
      <c r="B134" s="18">
        <v>3.79E-3</v>
      </c>
    </row>
    <row r="135" spans="1:2" x14ac:dyDescent="0.25">
      <c r="A135" s="18">
        <v>33.6</v>
      </c>
      <c r="B135" s="18">
        <v>3.63E-3</v>
      </c>
    </row>
    <row r="136" spans="1:2" x14ac:dyDescent="0.25">
      <c r="A136" s="18">
        <v>33.799999999999997</v>
      </c>
      <c r="B136" s="18">
        <v>3.5799999999999998E-3</v>
      </c>
    </row>
    <row r="137" spans="1:2" x14ac:dyDescent="0.25">
      <c r="A137" s="18">
        <v>34</v>
      </c>
      <c r="B137" s="18">
        <v>3.5000000000000001E-3</v>
      </c>
    </row>
    <row r="138" spans="1:2" x14ac:dyDescent="0.25">
      <c r="A138" s="18">
        <v>34.200000000000003</v>
      </c>
      <c r="B138" s="18">
        <v>3.3899999999999998E-3</v>
      </c>
    </row>
    <row r="139" spans="1:2" x14ac:dyDescent="0.25">
      <c r="A139" s="18">
        <v>34.4</v>
      </c>
      <c r="B139" s="18">
        <v>3.2799999999999999E-3</v>
      </c>
    </row>
    <row r="140" spans="1:2" x14ac:dyDescent="0.25">
      <c r="A140" s="18">
        <v>34.6</v>
      </c>
      <c r="B140" s="18">
        <v>3.2599999999999999E-3</v>
      </c>
    </row>
    <row r="141" spans="1:2" x14ac:dyDescent="0.25">
      <c r="A141" s="18">
        <v>34.799999999999997</v>
      </c>
      <c r="B141" s="18">
        <v>3.2000000000000002E-3</v>
      </c>
    </row>
    <row r="142" spans="1:2" x14ac:dyDescent="0.25">
      <c r="A142" s="18">
        <v>35</v>
      </c>
      <c r="B142" s="18">
        <v>3.0699999999999998E-3</v>
      </c>
    </row>
    <row r="143" spans="1:2" x14ac:dyDescent="0.25">
      <c r="A143" s="18">
        <v>35.200000000000003</v>
      </c>
      <c r="B143" s="18">
        <v>3.0899999999999999E-3</v>
      </c>
    </row>
    <row r="144" spans="1:2" x14ac:dyDescent="0.25">
      <c r="A144" s="18">
        <v>35.4</v>
      </c>
      <c r="B144" s="18">
        <v>2.96E-3</v>
      </c>
    </row>
    <row r="145" spans="1:2" x14ac:dyDescent="0.25">
      <c r="A145" s="18">
        <v>35.6</v>
      </c>
      <c r="B145" s="18">
        <v>2.8400000000000001E-3</v>
      </c>
    </row>
    <row r="146" spans="1:2" x14ac:dyDescent="0.25">
      <c r="A146" s="18">
        <v>35.799999999999997</v>
      </c>
      <c r="B146" s="18">
        <v>2.8999999999999998E-3</v>
      </c>
    </row>
    <row r="147" spans="1:2" x14ac:dyDescent="0.25">
      <c r="A147" s="18">
        <v>36</v>
      </c>
      <c r="B147" s="18">
        <v>2.7100000000000002E-3</v>
      </c>
    </row>
    <row r="148" spans="1:2" x14ac:dyDescent="0.25">
      <c r="A148" s="18">
        <v>36.200000000000003</v>
      </c>
      <c r="B148" s="18">
        <v>2.7200000000000002E-3</v>
      </c>
    </row>
    <row r="149" spans="1:2" x14ac:dyDescent="0.25">
      <c r="A149" s="18">
        <v>36.4</v>
      </c>
      <c r="B149" s="18">
        <v>2.6199999999999999E-3</v>
      </c>
    </row>
    <row r="150" spans="1:2" x14ac:dyDescent="0.25">
      <c r="A150" s="18">
        <v>36.6</v>
      </c>
      <c r="B150" s="18">
        <v>2.5999999999999999E-3</v>
      </c>
    </row>
    <row r="151" spans="1:2" x14ac:dyDescent="0.25">
      <c r="A151" s="18">
        <v>36.799999999999997</v>
      </c>
      <c r="B151" s="18">
        <v>2.48E-3</v>
      </c>
    </row>
    <row r="152" spans="1:2" x14ac:dyDescent="0.25">
      <c r="A152" s="18">
        <v>37</v>
      </c>
      <c r="B152" s="18">
        <v>2.5000000000000001E-3</v>
      </c>
    </row>
    <row r="153" spans="1:2" x14ac:dyDescent="0.25">
      <c r="A153" s="18">
        <v>37.200000000000003</v>
      </c>
      <c r="B153" s="18">
        <v>2.3600000000000001E-3</v>
      </c>
    </row>
    <row r="154" spans="1:2" x14ac:dyDescent="0.25">
      <c r="A154" s="18">
        <v>37.4</v>
      </c>
      <c r="B154" s="18">
        <v>2.3600000000000001E-3</v>
      </c>
    </row>
    <row r="155" spans="1:2" x14ac:dyDescent="0.25">
      <c r="A155" s="18">
        <v>37.6</v>
      </c>
      <c r="B155" s="18">
        <v>2.2699999999999999E-3</v>
      </c>
    </row>
    <row r="156" spans="1:2" x14ac:dyDescent="0.25">
      <c r="A156" s="18">
        <v>37.799999999999997</v>
      </c>
      <c r="B156" s="18">
        <v>2.2399999999999998E-3</v>
      </c>
    </row>
    <row r="157" spans="1:2" x14ac:dyDescent="0.25">
      <c r="A157" s="18">
        <v>38</v>
      </c>
      <c r="B157" s="18">
        <v>2.1800000000000001E-3</v>
      </c>
    </row>
    <row r="158" spans="1:2" x14ac:dyDescent="0.25">
      <c r="A158" s="18">
        <v>38.200000000000003</v>
      </c>
      <c r="B158" s="18">
        <v>2.1199999999999999E-3</v>
      </c>
    </row>
    <row r="159" spans="1:2" x14ac:dyDescent="0.25">
      <c r="A159" s="18">
        <v>38.4</v>
      </c>
      <c r="B159" s="18">
        <v>2.0500000000000002E-3</v>
      </c>
    </row>
    <row r="160" spans="1:2" x14ac:dyDescent="0.25">
      <c r="A160" s="18">
        <v>38.6</v>
      </c>
      <c r="B160" s="18">
        <v>2.0200000000000001E-3</v>
      </c>
    </row>
    <row r="161" spans="1:2" x14ac:dyDescent="0.25">
      <c r="A161" s="18">
        <v>38.799999999999997</v>
      </c>
      <c r="B161" s="18">
        <v>1.9599999999999999E-3</v>
      </c>
    </row>
    <row r="162" spans="1:2" x14ac:dyDescent="0.25">
      <c r="A162" s="18">
        <v>39</v>
      </c>
      <c r="B162" s="18">
        <v>1.9400000000000001E-3</v>
      </c>
    </row>
    <row r="163" spans="1:2" x14ac:dyDescent="0.25">
      <c r="A163" s="18">
        <v>39.200000000000003</v>
      </c>
      <c r="B163" s="18">
        <v>1.8699999999999999E-3</v>
      </c>
    </row>
    <row r="164" spans="1:2" x14ac:dyDescent="0.25">
      <c r="A164" s="18">
        <v>39.4</v>
      </c>
      <c r="B164" s="18">
        <v>1.7899999999999999E-3</v>
      </c>
    </row>
    <row r="165" spans="1:2" x14ac:dyDescent="0.25">
      <c r="A165" s="18">
        <v>39.6</v>
      </c>
      <c r="B165" s="18">
        <v>1.7799999999999999E-3</v>
      </c>
    </row>
    <row r="166" spans="1:2" x14ac:dyDescent="0.25">
      <c r="A166" s="18">
        <v>39.799999999999997</v>
      </c>
      <c r="B166" s="18">
        <v>1.6900000000000001E-3</v>
      </c>
    </row>
    <row r="167" spans="1:2" x14ac:dyDescent="0.25">
      <c r="A167" s="18">
        <v>40</v>
      </c>
      <c r="B167" s="18">
        <v>1.6999999999999999E-3</v>
      </c>
    </row>
    <row r="168" spans="1:2" x14ac:dyDescent="0.25">
      <c r="A168" s="18">
        <v>40.200000000000003</v>
      </c>
      <c r="B168" s="18">
        <v>1.6299999999999999E-3</v>
      </c>
    </row>
    <row r="169" spans="1:2" x14ac:dyDescent="0.25">
      <c r="A169" s="18">
        <v>40.4</v>
      </c>
      <c r="B169" s="18">
        <v>1.6100000000000001E-3</v>
      </c>
    </row>
    <row r="170" spans="1:2" x14ac:dyDescent="0.25">
      <c r="A170" s="18">
        <v>40.6</v>
      </c>
      <c r="B170" s="18">
        <v>1.5399999999999999E-3</v>
      </c>
    </row>
    <row r="171" spans="1:2" x14ac:dyDescent="0.25">
      <c r="A171" s="18">
        <v>40.799999999999997</v>
      </c>
      <c r="B171" s="18">
        <v>1.5200000000000001E-3</v>
      </c>
    </row>
    <row r="172" spans="1:2" x14ac:dyDescent="0.25">
      <c r="A172" s="18">
        <v>41</v>
      </c>
      <c r="B172" s="18">
        <v>1.47E-3</v>
      </c>
    </row>
    <row r="173" spans="1:2" x14ac:dyDescent="0.25">
      <c r="A173" s="18">
        <v>41.2</v>
      </c>
      <c r="B173" s="18">
        <v>1.41E-3</v>
      </c>
    </row>
    <row r="174" spans="1:2" x14ac:dyDescent="0.25">
      <c r="A174" s="18">
        <v>41.4</v>
      </c>
      <c r="B174" s="18">
        <v>1.41E-3</v>
      </c>
    </row>
    <row r="175" spans="1:2" x14ac:dyDescent="0.25">
      <c r="A175" s="18">
        <v>41.6</v>
      </c>
      <c r="B175" s="18">
        <v>1.3699999999999999E-3</v>
      </c>
    </row>
    <row r="176" spans="1:2" x14ac:dyDescent="0.25">
      <c r="A176" s="18">
        <v>41.8</v>
      </c>
      <c r="B176" s="18">
        <v>1.31E-3</v>
      </c>
    </row>
    <row r="177" spans="1:2" x14ac:dyDescent="0.25">
      <c r="A177" s="18">
        <v>42</v>
      </c>
      <c r="B177" s="18">
        <v>1.2899999999999999E-3</v>
      </c>
    </row>
    <row r="178" spans="1:2" x14ac:dyDescent="0.25">
      <c r="A178" s="18">
        <v>42.2</v>
      </c>
      <c r="B178" s="18">
        <v>1.2700000000000001E-3</v>
      </c>
    </row>
    <row r="179" spans="1:2" x14ac:dyDescent="0.25">
      <c r="A179" s="18">
        <v>42.4</v>
      </c>
      <c r="B179" s="18">
        <v>1.24E-3</v>
      </c>
    </row>
    <row r="180" spans="1:2" x14ac:dyDescent="0.25">
      <c r="A180" s="18">
        <v>42.6</v>
      </c>
      <c r="B180" s="18">
        <v>1.14E-3</v>
      </c>
    </row>
    <row r="181" spans="1:2" x14ac:dyDescent="0.25">
      <c r="A181" s="18">
        <v>42.8</v>
      </c>
      <c r="B181" s="18">
        <v>1.1800000000000001E-3</v>
      </c>
    </row>
    <row r="182" spans="1:2" x14ac:dyDescent="0.25">
      <c r="A182" s="18">
        <v>43</v>
      </c>
      <c r="B182" s="18">
        <v>1.1000000000000001E-3</v>
      </c>
    </row>
    <row r="183" spans="1:2" x14ac:dyDescent="0.25">
      <c r="A183" s="18">
        <v>43.2</v>
      </c>
      <c r="B183" s="18">
        <v>1.0499999999999999E-3</v>
      </c>
    </row>
    <row r="184" spans="1:2" x14ac:dyDescent="0.25">
      <c r="A184" s="18">
        <v>43.4</v>
      </c>
      <c r="B184" s="18">
        <v>1.1100000000000001E-3</v>
      </c>
    </row>
    <row r="185" spans="1:2" x14ac:dyDescent="0.25">
      <c r="A185" s="18">
        <v>43.6</v>
      </c>
      <c r="B185" s="18">
        <v>9.6100000000000005E-4</v>
      </c>
    </row>
    <row r="186" spans="1:2" x14ac:dyDescent="0.25">
      <c r="A186" s="18">
        <v>43.8</v>
      </c>
      <c r="B186" s="18">
        <v>1.01E-3</v>
      </c>
    </row>
    <row r="187" spans="1:2" x14ac:dyDescent="0.25">
      <c r="A187" s="18">
        <v>44</v>
      </c>
      <c r="B187" s="18">
        <v>9.3899999999999995E-4</v>
      </c>
    </row>
    <row r="188" spans="1:2" x14ac:dyDescent="0.25">
      <c r="A188" s="18">
        <v>44.2</v>
      </c>
      <c r="B188" s="18">
        <v>9.1E-4</v>
      </c>
    </row>
    <row r="189" spans="1:2" x14ac:dyDescent="0.25">
      <c r="A189" s="18">
        <v>44.4</v>
      </c>
      <c r="B189" s="18">
        <v>8.9400000000000005E-4</v>
      </c>
    </row>
    <row r="190" spans="1:2" x14ac:dyDescent="0.25">
      <c r="A190" s="18">
        <v>44.6</v>
      </c>
      <c r="B190" s="18">
        <v>8.3600000000000005E-4</v>
      </c>
    </row>
    <row r="191" spans="1:2" x14ac:dyDescent="0.25">
      <c r="A191" s="18">
        <v>44.8</v>
      </c>
      <c r="B191" s="18">
        <v>8.5099999999999998E-4</v>
      </c>
    </row>
    <row r="192" spans="1:2" x14ac:dyDescent="0.25">
      <c r="A192" s="18">
        <v>45</v>
      </c>
      <c r="B192" s="18">
        <v>7.5699999999999997E-4</v>
      </c>
    </row>
    <row r="193" spans="1:2" x14ac:dyDescent="0.25">
      <c r="A193" s="18">
        <v>45.2</v>
      </c>
      <c r="B193" s="18">
        <v>7.7899999999999996E-4</v>
      </c>
    </row>
    <row r="194" spans="1:2" x14ac:dyDescent="0.25">
      <c r="A194" s="18">
        <v>45.4</v>
      </c>
      <c r="B194" s="18">
        <v>6.9999999999999999E-4</v>
      </c>
    </row>
    <row r="195" spans="1:2" x14ac:dyDescent="0.25">
      <c r="A195" s="18">
        <v>45.6</v>
      </c>
      <c r="B195" s="18">
        <v>7.18E-4</v>
      </c>
    </row>
    <row r="196" spans="1:2" x14ac:dyDescent="0.25">
      <c r="A196" s="18">
        <v>45.8</v>
      </c>
      <c r="B196" s="18">
        <v>6.3900000000000003E-4</v>
      </c>
    </row>
    <row r="197" spans="1:2" x14ac:dyDescent="0.25">
      <c r="A197" s="18">
        <v>46</v>
      </c>
      <c r="B197" s="18">
        <v>6.5799999999999995E-4</v>
      </c>
    </row>
    <row r="198" spans="1:2" x14ac:dyDescent="0.25">
      <c r="A198" s="18">
        <v>46.2</v>
      </c>
      <c r="B198" s="18">
        <v>5.8E-4</v>
      </c>
    </row>
    <row r="199" spans="1:2" x14ac:dyDescent="0.25">
      <c r="A199" s="18">
        <v>46.4</v>
      </c>
      <c r="B199" s="18">
        <v>6.0599999999999998E-4</v>
      </c>
    </row>
    <row r="200" spans="1:2" x14ac:dyDescent="0.25">
      <c r="A200" s="18">
        <v>46.6</v>
      </c>
      <c r="B200" s="18">
        <v>5.2499999999999997E-4</v>
      </c>
    </row>
    <row r="201" spans="1:2" x14ac:dyDescent="0.25">
      <c r="A201" s="18">
        <v>46.8</v>
      </c>
      <c r="B201" s="18">
        <v>5.3399999999999997E-4</v>
      </c>
    </row>
    <row r="202" spans="1:2" x14ac:dyDescent="0.25">
      <c r="A202" s="18">
        <v>47</v>
      </c>
      <c r="B202" s="18">
        <v>4.7800000000000002E-4</v>
      </c>
    </row>
    <row r="203" spans="1:2" x14ac:dyDescent="0.25">
      <c r="A203" s="18">
        <v>47.2</v>
      </c>
      <c r="B203" s="18">
        <v>4.66E-4</v>
      </c>
    </row>
    <row r="204" spans="1:2" x14ac:dyDescent="0.25">
      <c r="A204" s="18">
        <v>47.4</v>
      </c>
      <c r="B204" s="18">
        <v>4.3899999999999999E-4</v>
      </c>
    </row>
    <row r="205" spans="1:2" x14ac:dyDescent="0.25">
      <c r="A205" s="18">
        <v>47.6</v>
      </c>
      <c r="B205" s="18">
        <v>4.08E-4</v>
      </c>
    </row>
    <row r="206" spans="1:2" x14ac:dyDescent="0.25">
      <c r="A206" s="18">
        <v>47.8</v>
      </c>
      <c r="B206" s="18">
        <v>3.7500000000000001E-4</v>
      </c>
    </row>
    <row r="207" spans="1:2" x14ac:dyDescent="0.25">
      <c r="A207" s="18">
        <v>48</v>
      </c>
      <c r="B207" s="18">
        <v>3.3700000000000001E-4</v>
      </c>
    </row>
    <row r="208" spans="1:2" x14ac:dyDescent="0.25">
      <c r="A208" s="18">
        <v>48.2</v>
      </c>
      <c r="B208" s="18">
        <v>3.4200000000000002E-4</v>
      </c>
    </row>
    <row r="209" spans="1:2" x14ac:dyDescent="0.25">
      <c r="A209" s="18">
        <v>48.4</v>
      </c>
      <c r="B209" s="18">
        <v>2.7700000000000001E-4</v>
      </c>
    </row>
    <row r="210" spans="1:2" x14ac:dyDescent="0.25">
      <c r="A210" s="18">
        <v>48.6</v>
      </c>
      <c r="B210" s="18">
        <v>2.6499999999999999E-4</v>
      </c>
    </row>
    <row r="211" spans="1:2" x14ac:dyDescent="0.25">
      <c r="A211" s="18">
        <v>48.8</v>
      </c>
      <c r="B211" s="18">
        <v>2.42E-4</v>
      </c>
    </row>
    <row r="212" spans="1:2" x14ac:dyDescent="0.25">
      <c r="A212" s="18">
        <v>49</v>
      </c>
      <c r="B212" s="18">
        <v>1.9100000000000001E-4</v>
      </c>
    </row>
    <row r="213" spans="1:2" x14ac:dyDescent="0.25">
      <c r="A213" s="18">
        <v>49.2</v>
      </c>
      <c r="B213" s="18">
        <v>1.7699999999999999E-4</v>
      </c>
    </row>
    <row r="214" spans="1:2" x14ac:dyDescent="0.25">
      <c r="A214" s="18">
        <v>49.4</v>
      </c>
      <c r="B214" s="18">
        <v>1.35E-4</v>
      </c>
    </row>
    <row r="215" spans="1:2" x14ac:dyDescent="0.25">
      <c r="A215" s="18">
        <v>49.6</v>
      </c>
      <c r="B215" s="18">
        <v>1.05E-4</v>
      </c>
    </row>
    <row r="216" spans="1:2" x14ac:dyDescent="0.25">
      <c r="A216" s="18">
        <v>49.8</v>
      </c>
      <c r="B216" s="18">
        <v>5.5699999999999999E-5</v>
      </c>
    </row>
    <row r="217" spans="1:2" x14ac:dyDescent="0.25">
      <c r="A217" s="18">
        <v>50</v>
      </c>
      <c r="B217" s="18">
        <v>2.37E-5</v>
      </c>
    </row>
    <row r="218" spans="1:2" x14ac:dyDescent="0.25">
      <c r="A218" s="18">
        <v>50.2</v>
      </c>
      <c r="B218" s="18">
        <v>2.0700000000000001E-6</v>
      </c>
    </row>
    <row r="219" spans="1:2" x14ac:dyDescent="0.25">
      <c r="A219" s="18">
        <v>50.4</v>
      </c>
      <c r="B219" s="18">
        <v>3.1599999999999998E-6</v>
      </c>
    </row>
    <row r="220" spans="1:2" x14ac:dyDescent="0.25">
      <c r="A220" s="18">
        <v>50.6</v>
      </c>
      <c r="B220" s="18">
        <v>2.2700000000000001E-7</v>
      </c>
    </row>
    <row r="221" spans="1:2" x14ac:dyDescent="0.25">
      <c r="A221" s="18">
        <v>50.8</v>
      </c>
      <c r="B221" s="18">
        <v>9.6099999999999999E-7</v>
      </c>
    </row>
    <row r="222" spans="1:2" x14ac:dyDescent="0.25">
      <c r="A222" s="18">
        <v>51</v>
      </c>
      <c r="B222" s="18">
        <v>1.5999999999999999E-6</v>
      </c>
    </row>
    <row r="223" spans="1:2" x14ac:dyDescent="0.25">
      <c r="A223" s="18">
        <v>51.2</v>
      </c>
      <c r="B223" s="18">
        <v>3.6100000000000002E-7</v>
      </c>
    </row>
    <row r="224" spans="1:2" x14ac:dyDescent="0.25">
      <c r="A224" s="18">
        <v>51.4</v>
      </c>
      <c r="B224" s="18">
        <v>8.0200000000000001E-7</v>
      </c>
    </row>
    <row r="225" spans="1:2" x14ac:dyDescent="0.25">
      <c r="A225" s="18">
        <v>51.6</v>
      </c>
      <c r="B225" s="18">
        <v>1.1999999999999999E-6</v>
      </c>
    </row>
    <row r="226" spans="1:2" x14ac:dyDescent="0.25">
      <c r="A226" s="18">
        <v>51.8</v>
      </c>
      <c r="B226" s="18">
        <v>6.2500000000000005E-7</v>
      </c>
    </row>
    <row r="227" spans="1:2" x14ac:dyDescent="0.25">
      <c r="A227" s="18">
        <v>52</v>
      </c>
      <c r="B227" s="18">
        <v>1.1999999999999999E-6</v>
      </c>
    </row>
  </sheetData>
  <pageMargins left="0.7" right="0.7" top="0.75" bottom="0.75" header="0.3" footer="0.3"/>
  <pageSetup paperSize="9" orientation="portrait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dimension ref="A1:B3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4</v>
      </c>
      <c r="B2" s="18">
        <v>5.3600000000000002E-3</v>
      </c>
    </row>
    <row r="3" spans="1:2" x14ac:dyDescent="0.25">
      <c r="A3" s="18">
        <v>4.2</v>
      </c>
      <c r="B3" s="18">
        <v>1.11E-2</v>
      </c>
    </row>
    <row r="4" spans="1:2" x14ac:dyDescent="0.25">
      <c r="A4" s="18">
        <v>4.4000000000000004</v>
      </c>
      <c r="B4" s="18">
        <v>1.4500000000000001E-2</v>
      </c>
    </row>
    <row r="5" spans="1:2" x14ac:dyDescent="0.25">
      <c r="A5" s="18">
        <v>4.5999999999999996</v>
      </c>
      <c r="B5" s="18">
        <v>2.52E-2</v>
      </c>
    </row>
    <row r="6" spans="1:2" x14ac:dyDescent="0.25">
      <c r="A6" s="18">
        <v>4.8</v>
      </c>
      <c r="B6" s="18">
        <v>3.4799999999999998E-2</v>
      </c>
    </row>
    <row r="7" spans="1:2" x14ac:dyDescent="0.25">
      <c r="A7" s="18">
        <v>5</v>
      </c>
      <c r="B7" s="18">
        <v>4.6100000000000002E-2</v>
      </c>
    </row>
    <row r="8" spans="1:2" x14ac:dyDescent="0.25">
      <c r="A8" s="18">
        <v>5.2</v>
      </c>
      <c r="B8" s="18">
        <v>5.8299999999999998E-2</v>
      </c>
    </row>
    <row r="9" spans="1:2" x14ac:dyDescent="0.25">
      <c r="A9" s="18">
        <v>5.4</v>
      </c>
      <c r="B9" s="18">
        <v>6.9599999999999995E-2</v>
      </c>
    </row>
    <row r="10" spans="1:2" x14ac:dyDescent="0.25">
      <c r="A10" s="18">
        <v>5.6</v>
      </c>
      <c r="B10" s="18">
        <v>7.9100000000000004E-2</v>
      </c>
    </row>
    <row r="11" spans="1:2" x14ac:dyDescent="0.25">
      <c r="A11" s="18">
        <v>5.8</v>
      </c>
      <c r="B11" s="18">
        <v>8.6800000000000002E-2</v>
      </c>
    </row>
    <row r="12" spans="1:2" x14ac:dyDescent="0.25">
      <c r="A12" s="18">
        <v>6</v>
      </c>
      <c r="B12" s="18">
        <v>8.8700000000000001E-2</v>
      </c>
    </row>
    <row r="13" spans="1:2" x14ac:dyDescent="0.25">
      <c r="A13" s="18">
        <v>6.2</v>
      </c>
      <c r="B13" s="18">
        <v>8.9599999999999999E-2</v>
      </c>
    </row>
    <row r="14" spans="1:2" x14ac:dyDescent="0.25">
      <c r="A14" s="18">
        <v>6.4</v>
      </c>
      <c r="B14" s="18">
        <v>8.6999999999999994E-2</v>
      </c>
    </row>
    <row r="15" spans="1:2" x14ac:dyDescent="0.25">
      <c r="A15" s="18">
        <v>6.6</v>
      </c>
      <c r="B15" s="18">
        <v>8.1799999999999998E-2</v>
      </c>
    </row>
    <row r="16" spans="1:2" x14ac:dyDescent="0.25">
      <c r="A16" s="18">
        <v>6.8</v>
      </c>
      <c r="B16" s="18">
        <v>7.4099999999999999E-2</v>
      </c>
    </row>
    <row r="17" spans="1:2" x14ac:dyDescent="0.25">
      <c r="A17" s="18">
        <v>7</v>
      </c>
      <c r="B17" s="18">
        <v>6.3E-2</v>
      </c>
    </row>
    <row r="18" spans="1:2" x14ac:dyDescent="0.25">
      <c r="A18" s="18">
        <v>7.2</v>
      </c>
      <c r="B18" s="18">
        <v>4.8000000000000001E-2</v>
      </c>
    </row>
    <row r="19" spans="1:2" x14ac:dyDescent="0.25">
      <c r="A19" s="18">
        <v>7.4</v>
      </c>
      <c r="B19" s="18">
        <v>2.9399999999999999E-2</v>
      </c>
    </row>
    <row r="20" spans="1:2" x14ac:dyDescent="0.25">
      <c r="A20" s="18">
        <v>7.6</v>
      </c>
      <c r="B20" s="18">
        <v>7.0800000000000004E-3</v>
      </c>
    </row>
    <row r="21" spans="1:2" x14ac:dyDescent="0.25">
      <c r="A21" s="18">
        <v>7.8</v>
      </c>
      <c r="B21" s="18">
        <v>2.9500000000000001E-4</v>
      </c>
    </row>
    <row r="22" spans="1:2" x14ac:dyDescent="0.25">
      <c r="A22" s="18">
        <v>8</v>
      </c>
      <c r="B22" s="18">
        <v>8.7899999999999995E-5</v>
      </c>
    </row>
    <row r="23" spans="1:2" x14ac:dyDescent="0.25">
      <c r="A23" s="18">
        <v>8.1999999999999993</v>
      </c>
      <c r="B23" s="18">
        <v>4.6399999999999996E-6</v>
      </c>
    </row>
    <row r="24" spans="1:2" x14ac:dyDescent="0.25">
      <c r="A24" s="18">
        <v>8.4</v>
      </c>
      <c r="B24" s="18">
        <v>1.5400000000000002E-5</v>
      </c>
    </row>
    <row r="25" spans="1:2" x14ac:dyDescent="0.25">
      <c r="A25" s="18">
        <v>8.6</v>
      </c>
      <c r="B25" s="18">
        <v>1.2099999999999999E-5</v>
      </c>
    </row>
    <row r="26" spans="1:2" x14ac:dyDescent="0.25">
      <c r="A26" s="18">
        <v>8.8000000000000007</v>
      </c>
      <c r="B26" s="18">
        <v>9.7499999999999998E-6</v>
      </c>
    </row>
    <row r="27" spans="1:2" x14ac:dyDescent="0.25">
      <c r="A27" s="18">
        <v>9</v>
      </c>
      <c r="B27" s="18">
        <v>6.4899999999999997E-6</v>
      </c>
    </row>
    <row r="28" spans="1:2" x14ac:dyDescent="0.25">
      <c r="A28" s="18">
        <v>9.1999999999999993</v>
      </c>
      <c r="B28" s="18">
        <v>4.6399999999999996E-6</v>
      </c>
    </row>
    <row r="29" spans="1:2" x14ac:dyDescent="0.25">
      <c r="A29" s="18">
        <v>9.4</v>
      </c>
      <c r="B29" s="18">
        <v>9.3600000000000002E-6</v>
      </c>
    </row>
    <row r="30" spans="1:2" x14ac:dyDescent="0.25">
      <c r="A30" s="18">
        <v>9.6</v>
      </c>
      <c r="B30" s="18">
        <v>7.9999999999999996E-6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dimension ref="A1:B16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9</v>
      </c>
      <c r="B2" s="18">
        <v>2.9999999999999997E-4</v>
      </c>
    </row>
    <row r="3" spans="1:2" x14ac:dyDescent="0.25">
      <c r="A3" s="18">
        <v>9.1999999999999993</v>
      </c>
      <c r="B3" s="18">
        <v>2.6200000000000003E-4</v>
      </c>
    </row>
    <row r="4" spans="1:2" x14ac:dyDescent="0.25">
      <c r="A4" s="18">
        <v>9.4</v>
      </c>
      <c r="B4" s="18">
        <v>8.5699999999999996E-5</v>
      </c>
    </row>
    <row r="5" spans="1:2" x14ac:dyDescent="0.25">
      <c r="A5" s="18">
        <v>9.6</v>
      </c>
      <c r="B5" s="18">
        <v>2.1900000000000001E-4</v>
      </c>
    </row>
    <row r="6" spans="1:2" x14ac:dyDescent="0.25">
      <c r="A6" s="18">
        <v>9.8000000000000007</v>
      </c>
      <c r="B6" s="18">
        <v>2.6699999999999998E-4</v>
      </c>
    </row>
    <row r="7" spans="1:2" x14ac:dyDescent="0.25">
      <c r="A7" s="18">
        <v>10</v>
      </c>
      <c r="B7" s="18">
        <v>5.0299999999999997E-4</v>
      </c>
    </row>
    <row r="8" spans="1:2" x14ac:dyDescent="0.25">
      <c r="A8" s="18">
        <v>10.199999999999999</v>
      </c>
      <c r="B8" s="18">
        <v>3.3300000000000002E-4</v>
      </c>
    </row>
    <row r="9" spans="1:2" x14ac:dyDescent="0.25">
      <c r="A9" s="18">
        <v>10.4</v>
      </c>
      <c r="B9" s="18">
        <v>2.4800000000000001E-4</v>
      </c>
    </row>
    <row r="10" spans="1:2" x14ac:dyDescent="0.25">
      <c r="A10" s="18">
        <v>10.6</v>
      </c>
      <c r="B10" s="18">
        <v>2.2699999999999999E-4</v>
      </c>
    </row>
    <row r="11" spans="1:2" x14ac:dyDescent="0.25">
      <c r="A11" s="18">
        <v>10.8</v>
      </c>
      <c r="B11" s="18">
        <v>3.3799999999999998E-4</v>
      </c>
    </row>
    <row r="12" spans="1:2" x14ac:dyDescent="0.25">
      <c r="A12" s="18">
        <v>11</v>
      </c>
      <c r="B12" s="18">
        <v>1.13E-4</v>
      </c>
    </row>
    <row r="13" spans="1:2" x14ac:dyDescent="0.25">
      <c r="A13" s="18">
        <v>11.2</v>
      </c>
      <c r="B13" s="18">
        <v>1.2799999999999999E-4</v>
      </c>
    </row>
    <row r="14" spans="1:2" x14ac:dyDescent="0.25">
      <c r="A14" s="18">
        <v>11.4</v>
      </c>
      <c r="B14" s="18">
        <v>2.0000000000000001E-4</v>
      </c>
    </row>
    <row r="15" spans="1:2" x14ac:dyDescent="0.25">
      <c r="A15" s="18">
        <v>11.6</v>
      </c>
      <c r="B15" s="18">
        <v>3.4000000000000002E-4</v>
      </c>
    </row>
    <row r="16" spans="1:2" x14ac:dyDescent="0.25">
      <c r="A16" s="18">
        <v>11.8</v>
      </c>
      <c r="B16" s="18">
        <v>4.0500000000000002E-5</v>
      </c>
    </row>
    <row r="17" spans="1:2" x14ac:dyDescent="0.25">
      <c r="A17" s="18">
        <v>12</v>
      </c>
      <c r="B17" s="18">
        <v>4.75E-4</v>
      </c>
    </row>
    <row r="18" spans="1:2" x14ac:dyDescent="0.25">
      <c r="A18" s="18">
        <v>12.2</v>
      </c>
      <c r="B18" s="18">
        <v>1.7799999999999999E-4</v>
      </c>
    </row>
    <row r="19" spans="1:2" x14ac:dyDescent="0.25">
      <c r="A19" s="18">
        <v>12.4</v>
      </c>
      <c r="B19" s="18">
        <v>3.9199999999999999E-4</v>
      </c>
    </row>
    <row r="20" spans="1:2" x14ac:dyDescent="0.25">
      <c r="A20" s="18">
        <v>12.6</v>
      </c>
      <c r="B20" s="18">
        <v>1.0399999999999999E-4</v>
      </c>
    </row>
    <row r="21" spans="1:2" x14ac:dyDescent="0.25">
      <c r="A21" s="18">
        <v>12.8</v>
      </c>
      <c r="B21" s="18">
        <v>2.33E-4</v>
      </c>
    </row>
    <row r="22" spans="1:2" x14ac:dyDescent="0.25">
      <c r="A22" s="18">
        <v>13</v>
      </c>
      <c r="B22" s="18">
        <v>4.7500000000000003E-5</v>
      </c>
    </row>
    <row r="23" spans="1:2" x14ac:dyDescent="0.25">
      <c r="A23" s="18">
        <v>13.2</v>
      </c>
      <c r="B23" s="18">
        <v>4.9599999999999999E-5</v>
      </c>
    </row>
    <row r="24" spans="1:2" x14ac:dyDescent="0.25">
      <c r="A24" s="18">
        <v>13.4</v>
      </c>
      <c r="B24" s="18">
        <v>2.8699999999999998E-4</v>
      </c>
    </row>
    <row r="25" spans="1:2" x14ac:dyDescent="0.25">
      <c r="A25" s="18">
        <v>13.6</v>
      </c>
      <c r="B25" s="18">
        <v>6.7000000000000002E-5</v>
      </c>
    </row>
    <row r="26" spans="1:2" x14ac:dyDescent="0.25">
      <c r="A26" s="18">
        <v>13.8</v>
      </c>
      <c r="B26" s="18">
        <v>2.7500000000000002E-4</v>
      </c>
    </row>
    <row r="27" spans="1:2" x14ac:dyDescent="0.25">
      <c r="A27" s="18">
        <v>14</v>
      </c>
      <c r="B27" s="18">
        <v>1.1600000000000001E-5</v>
      </c>
    </row>
    <row r="28" spans="1:2" x14ac:dyDescent="0.25">
      <c r="A28" s="18">
        <v>14.2</v>
      </c>
      <c r="B28" s="18">
        <v>1.6899999999999999E-4</v>
      </c>
    </row>
    <row r="29" spans="1:2" x14ac:dyDescent="0.25">
      <c r="A29" s="18">
        <v>14.4</v>
      </c>
      <c r="B29" s="18">
        <v>2.1900000000000001E-4</v>
      </c>
    </row>
    <row r="30" spans="1:2" x14ac:dyDescent="0.25">
      <c r="A30" s="18">
        <v>14.6</v>
      </c>
      <c r="B30" s="18">
        <v>1.3900000000000001E-5</v>
      </c>
    </row>
    <row r="31" spans="1:2" x14ac:dyDescent="0.25">
      <c r="A31" s="18">
        <v>14.8</v>
      </c>
      <c r="B31" s="18">
        <v>3.0299999999999999E-4</v>
      </c>
    </row>
    <row r="32" spans="1:2" x14ac:dyDescent="0.25">
      <c r="A32" s="18">
        <v>15</v>
      </c>
      <c r="B32" s="18">
        <v>7.5400000000000003E-5</v>
      </c>
    </row>
    <row r="33" spans="1:2" x14ac:dyDescent="0.25">
      <c r="A33" s="18">
        <v>15.2</v>
      </c>
      <c r="B33" s="18">
        <v>1.5899999999999999E-4</v>
      </c>
    </row>
    <row r="34" spans="1:2" x14ac:dyDescent="0.25">
      <c r="A34" s="18">
        <v>15.4</v>
      </c>
      <c r="B34" s="18">
        <v>1.44E-4</v>
      </c>
    </row>
    <row r="35" spans="1:2" x14ac:dyDescent="0.25">
      <c r="A35" s="18">
        <v>15.6</v>
      </c>
      <c r="B35" s="18">
        <v>2.0699999999999999E-4</v>
      </c>
    </row>
    <row r="36" spans="1:2" x14ac:dyDescent="0.25">
      <c r="A36" s="18">
        <v>15.8</v>
      </c>
      <c r="B36" s="18">
        <v>3.5299999999999997E-5</v>
      </c>
    </row>
    <row r="37" spans="1:2" x14ac:dyDescent="0.25">
      <c r="A37" s="18">
        <v>16</v>
      </c>
      <c r="B37" s="18">
        <v>7.8999999999999996E-5</v>
      </c>
    </row>
    <row r="38" spans="1:2" x14ac:dyDescent="0.25">
      <c r="A38" s="18">
        <v>16.2</v>
      </c>
      <c r="B38" s="18">
        <v>3.3700000000000001E-4</v>
      </c>
    </row>
    <row r="39" spans="1:2" x14ac:dyDescent="0.25">
      <c r="A39" s="18">
        <v>16.399999999999999</v>
      </c>
      <c r="B39" s="18">
        <v>4.0000000000000003E-5</v>
      </c>
    </row>
    <row r="40" spans="1:2" x14ac:dyDescent="0.25">
      <c r="A40" s="18">
        <v>16.600000000000001</v>
      </c>
      <c r="B40" s="18">
        <v>2.7900000000000001E-4</v>
      </c>
    </row>
    <row r="41" spans="1:2" x14ac:dyDescent="0.25">
      <c r="A41" s="18">
        <v>16.8</v>
      </c>
      <c r="B41" s="18">
        <v>8.6500000000000002E-5</v>
      </c>
    </row>
    <row r="42" spans="1:2" x14ac:dyDescent="0.25">
      <c r="A42" s="18">
        <v>17</v>
      </c>
      <c r="B42" s="18">
        <v>1.5799999999999999E-4</v>
      </c>
    </row>
    <row r="43" spans="1:2" x14ac:dyDescent="0.25">
      <c r="A43" s="18">
        <v>17.2</v>
      </c>
      <c r="B43" s="18">
        <v>2.9100000000000003E-4</v>
      </c>
    </row>
    <row r="44" spans="1:2" x14ac:dyDescent="0.25">
      <c r="A44" s="18">
        <v>17.399999999999999</v>
      </c>
      <c r="B44" s="18">
        <v>1.3300000000000001E-4</v>
      </c>
    </row>
    <row r="45" spans="1:2" x14ac:dyDescent="0.25">
      <c r="A45" s="18">
        <v>17.600000000000001</v>
      </c>
      <c r="B45" s="18">
        <v>2.5799999999999998E-4</v>
      </c>
    </row>
    <row r="46" spans="1:2" x14ac:dyDescent="0.25">
      <c r="A46" s="18">
        <v>17.8</v>
      </c>
      <c r="B46" s="18">
        <v>1.15E-4</v>
      </c>
    </row>
    <row r="47" spans="1:2" x14ac:dyDescent="0.25">
      <c r="A47" s="18">
        <v>18</v>
      </c>
      <c r="B47" s="18">
        <v>3.77E-4</v>
      </c>
    </row>
    <row r="48" spans="1:2" x14ac:dyDescent="0.25">
      <c r="A48" s="18">
        <v>18.2</v>
      </c>
      <c r="B48" s="18">
        <v>2.52E-4</v>
      </c>
    </row>
    <row r="49" spans="1:2" x14ac:dyDescent="0.25">
      <c r="A49" s="18">
        <v>18.399999999999999</v>
      </c>
      <c r="B49" s="18">
        <v>5.5699999999999999E-4</v>
      </c>
    </row>
    <row r="50" spans="1:2" x14ac:dyDescent="0.25">
      <c r="A50" s="18">
        <v>18.600000000000001</v>
      </c>
      <c r="B50" s="18">
        <v>4.7199999999999998E-4</v>
      </c>
    </row>
    <row r="51" spans="1:2" x14ac:dyDescent="0.25">
      <c r="A51" s="18">
        <v>18.8</v>
      </c>
      <c r="B51" s="18">
        <v>5.3600000000000002E-4</v>
      </c>
    </row>
    <row r="52" spans="1:2" x14ac:dyDescent="0.25">
      <c r="A52" s="18">
        <v>19</v>
      </c>
      <c r="B52" s="18">
        <v>6.6299999999999996E-4</v>
      </c>
    </row>
    <row r="53" spans="1:2" x14ac:dyDescent="0.25">
      <c r="A53" s="18">
        <v>19.2</v>
      </c>
      <c r="B53" s="18">
        <v>5.8E-4</v>
      </c>
    </row>
    <row r="54" spans="1:2" x14ac:dyDescent="0.25">
      <c r="A54" s="18">
        <v>19.399999999999999</v>
      </c>
      <c r="B54" s="18">
        <v>1.01E-3</v>
      </c>
    </row>
    <row r="55" spans="1:2" x14ac:dyDescent="0.25">
      <c r="A55" s="18">
        <v>19.600000000000001</v>
      </c>
      <c r="B55" s="18">
        <v>1E-3</v>
      </c>
    </row>
    <row r="56" spans="1:2" x14ac:dyDescent="0.25">
      <c r="A56" s="18">
        <v>19.8</v>
      </c>
      <c r="B56" s="18">
        <v>1.2099999999999999E-3</v>
      </c>
    </row>
    <row r="57" spans="1:2" x14ac:dyDescent="0.25">
      <c r="A57" s="18">
        <v>20</v>
      </c>
      <c r="B57" s="18">
        <v>1.32E-3</v>
      </c>
    </row>
    <row r="58" spans="1:2" x14ac:dyDescent="0.25">
      <c r="A58" s="18">
        <v>20.2</v>
      </c>
      <c r="B58" s="18">
        <v>1.6100000000000001E-3</v>
      </c>
    </row>
    <row r="59" spans="1:2" x14ac:dyDescent="0.25">
      <c r="A59" s="18">
        <v>20.399999999999999</v>
      </c>
      <c r="B59" s="18">
        <v>1.6199999999999999E-3</v>
      </c>
    </row>
    <row r="60" spans="1:2" x14ac:dyDescent="0.25">
      <c r="A60" s="18">
        <v>20.6</v>
      </c>
      <c r="B60" s="18">
        <v>2.16E-3</v>
      </c>
    </row>
    <row r="61" spans="1:2" x14ac:dyDescent="0.25">
      <c r="A61" s="18">
        <v>20.8</v>
      </c>
      <c r="B61" s="18">
        <v>2.1199999999999999E-3</v>
      </c>
    </row>
    <row r="62" spans="1:2" x14ac:dyDescent="0.25">
      <c r="A62" s="18">
        <v>21</v>
      </c>
      <c r="B62" s="18">
        <v>2.6700000000000001E-3</v>
      </c>
    </row>
    <row r="63" spans="1:2" x14ac:dyDescent="0.25">
      <c r="A63" s="18">
        <v>21.2</v>
      </c>
      <c r="B63" s="18">
        <v>2.99E-3</v>
      </c>
    </row>
    <row r="64" spans="1:2" x14ac:dyDescent="0.25">
      <c r="A64" s="18">
        <v>21.4</v>
      </c>
      <c r="B64" s="18">
        <v>2.9199999999999999E-3</v>
      </c>
    </row>
    <row r="65" spans="1:2" x14ac:dyDescent="0.25">
      <c r="A65" s="18">
        <v>21.6</v>
      </c>
      <c r="B65" s="18">
        <v>3.5200000000000001E-3</v>
      </c>
    </row>
    <row r="66" spans="1:2" x14ac:dyDescent="0.25">
      <c r="A66" s="18">
        <v>21.8</v>
      </c>
      <c r="B66" s="18">
        <v>3.7299999999999998E-3</v>
      </c>
    </row>
    <row r="67" spans="1:2" x14ac:dyDescent="0.25">
      <c r="A67" s="18">
        <v>22</v>
      </c>
      <c r="B67" s="18">
        <v>4.1599999999999996E-3</v>
      </c>
    </row>
    <row r="68" spans="1:2" x14ac:dyDescent="0.25">
      <c r="A68" s="18">
        <v>22.2</v>
      </c>
      <c r="B68" s="18">
        <v>4.7200000000000002E-3</v>
      </c>
    </row>
    <row r="69" spans="1:2" x14ac:dyDescent="0.25">
      <c r="A69" s="18">
        <v>22.4</v>
      </c>
      <c r="B69" s="18">
        <v>4.8999999999999998E-3</v>
      </c>
    </row>
    <row r="70" spans="1:2" x14ac:dyDescent="0.25">
      <c r="A70" s="18">
        <v>22.6</v>
      </c>
      <c r="B70" s="18">
        <v>5.2599999999999999E-3</v>
      </c>
    </row>
    <row r="71" spans="1:2" x14ac:dyDescent="0.25">
      <c r="A71" s="18">
        <v>22.8</v>
      </c>
      <c r="B71" s="18">
        <v>5.8799999999999998E-3</v>
      </c>
    </row>
    <row r="72" spans="1:2" x14ac:dyDescent="0.25">
      <c r="A72" s="18">
        <v>23</v>
      </c>
      <c r="B72" s="18">
        <v>5.6499999999999996E-3</v>
      </c>
    </row>
    <row r="73" spans="1:2" x14ac:dyDescent="0.25">
      <c r="A73" s="18">
        <v>23.2</v>
      </c>
      <c r="B73" s="18">
        <v>6.7400000000000003E-3</v>
      </c>
    </row>
    <row r="74" spans="1:2" x14ac:dyDescent="0.25">
      <c r="A74" s="18">
        <v>23.4</v>
      </c>
      <c r="B74" s="18">
        <v>6.6499999999999997E-3</v>
      </c>
    </row>
    <row r="75" spans="1:2" x14ac:dyDescent="0.25">
      <c r="A75" s="18">
        <v>23.6</v>
      </c>
      <c r="B75" s="18">
        <v>7.3000000000000001E-3</v>
      </c>
    </row>
    <row r="76" spans="1:2" x14ac:dyDescent="0.25">
      <c r="A76" s="18">
        <v>23.8</v>
      </c>
      <c r="B76" s="18">
        <v>7.6800000000000002E-3</v>
      </c>
    </row>
    <row r="77" spans="1:2" x14ac:dyDescent="0.25">
      <c r="A77" s="18">
        <v>24</v>
      </c>
      <c r="B77" s="18">
        <v>7.6E-3</v>
      </c>
    </row>
    <row r="78" spans="1:2" x14ac:dyDescent="0.25">
      <c r="A78" s="18">
        <v>24.2</v>
      </c>
      <c r="B78" s="18">
        <v>8.8100000000000001E-3</v>
      </c>
    </row>
    <row r="79" spans="1:2" x14ac:dyDescent="0.25">
      <c r="A79" s="18">
        <v>24.4</v>
      </c>
      <c r="B79" s="18">
        <v>8.6499999999999997E-3</v>
      </c>
    </row>
    <row r="80" spans="1:2" x14ac:dyDescent="0.25">
      <c r="A80" s="18">
        <v>24.6</v>
      </c>
      <c r="B80" s="18">
        <v>9.4500000000000001E-3</v>
      </c>
    </row>
    <row r="81" spans="1:2" x14ac:dyDescent="0.25">
      <c r="A81" s="18">
        <v>24.8</v>
      </c>
      <c r="B81" s="18">
        <v>9.6299999999999997E-3</v>
      </c>
    </row>
    <row r="82" spans="1:2" x14ac:dyDescent="0.25">
      <c r="A82" s="18">
        <v>25</v>
      </c>
      <c r="B82" s="18">
        <v>9.8799999999999999E-3</v>
      </c>
    </row>
    <row r="83" spans="1:2" x14ac:dyDescent="0.25">
      <c r="A83" s="18">
        <v>25.2</v>
      </c>
      <c r="B83" s="18">
        <v>1.0800000000000001E-2</v>
      </c>
    </row>
    <row r="84" spans="1:2" x14ac:dyDescent="0.25">
      <c r="A84" s="18">
        <v>25.4</v>
      </c>
      <c r="B84" s="18">
        <v>1.0800000000000001E-2</v>
      </c>
    </row>
    <row r="85" spans="1:2" x14ac:dyDescent="0.25">
      <c r="A85" s="18">
        <v>25.6</v>
      </c>
      <c r="B85" s="18">
        <v>1.0999999999999999E-2</v>
      </c>
    </row>
    <row r="86" spans="1:2" x14ac:dyDescent="0.25">
      <c r="A86" s="18">
        <v>25.8</v>
      </c>
      <c r="B86" s="18">
        <v>1.17E-2</v>
      </c>
    </row>
    <row r="87" spans="1:2" x14ac:dyDescent="0.25">
      <c r="A87" s="18">
        <v>26</v>
      </c>
      <c r="B87" s="18">
        <v>1.1900000000000001E-2</v>
      </c>
    </row>
    <row r="88" spans="1:2" x14ac:dyDescent="0.25">
      <c r="A88" s="18">
        <v>26.2</v>
      </c>
      <c r="B88" s="18">
        <v>1.2E-2</v>
      </c>
    </row>
    <row r="89" spans="1:2" x14ac:dyDescent="0.25">
      <c r="A89" s="18">
        <v>26.4</v>
      </c>
      <c r="B89" s="18">
        <v>1.26E-2</v>
      </c>
    </row>
    <row r="90" spans="1:2" x14ac:dyDescent="0.25">
      <c r="A90" s="18">
        <v>26.6</v>
      </c>
      <c r="B90" s="18">
        <v>1.2800000000000001E-2</v>
      </c>
    </row>
    <row r="91" spans="1:2" x14ac:dyDescent="0.25">
      <c r="A91" s="18">
        <v>26.8</v>
      </c>
      <c r="B91" s="18">
        <v>1.3100000000000001E-2</v>
      </c>
    </row>
    <row r="92" spans="1:2" x14ac:dyDescent="0.25">
      <c r="A92" s="18">
        <v>27</v>
      </c>
      <c r="B92" s="18">
        <v>1.3100000000000001E-2</v>
      </c>
    </row>
    <row r="93" spans="1:2" x14ac:dyDescent="0.25">
      <c r="A93" s="18">
        <v>27.2</v>
      </c>
      <c r="B93" s="18">
        <v>1.3599999999999999E-2</v>
      </c>
    </row>
    <row r="94" spans="1:2" x14ac:dyDescent="0.25">
      <c r="A94" s="18">
        <v>27.4</v>
      </c>
      <c r="B94" s="18">
        <v>1.38E-2</v>
      </c>
    </row>
    <row r="95" spans="1:2" x14ac:dyDescent="0.25">
      <c r="A95" s="18">
        <v>27.6</v>
      </c>
      <c r="B95" s="18">
        <v>1.41E-2</v>
      </c>
    </row>
    <row r="96" spans="1:2" x14ac:dyDescent="0.25">
      <c r="A96" s="18">
        <v>27.8</v>
      </c>
      <c r="B96" s="18">
        <v>1.43E-2</v>
      </c>
    </row>
    <row r="97" spans="1:2" x14ac:dyDescent="0.25">
      <c r="A97" s="18">
        <v>28</v>
      </c>
      <c r="B97" s="18">
        <v>1.46E-2</v>
      </c>
    </row>
    <row r="98" spans="1:2" x14ac:dyDescent="0.25">
      <c r="A98" s="18">
        <v>28.2</v>
      </c>
      <c r="B98" s="18">
        <v>1.44E-2</v>
      </c>
    </row>
    <row r="99" spans="1:2" x14ac:dyDescent="0.25">
      <c r="A99" s="18">
        <v>28.4</v>
      </c>
      <c r="B99" s="18">
        <v>1.47E-2</v>
      </c>
    </row>
    <row r="100" spans="1:2" x14ac:dyDescent="0.25">
      <c r="A100" s="18">
        <v>28.6</v>
      </c>
      <c r="B100" s="18">
        <v>1.49E-2</v>
      </c>
    </row>
    <row r="101" spans="1:2" x14ac:dyDescent="0.25">
      <c r="A101" s="18">
        <v>28.8</v>
      </c>
      <c r="B101" s="18">
        <v>1.4800000000000001E-2</v>
      </c>
    </row>
    <row r="102" spans="1:2" x14ac:dyDescent="0.25">
      <c r="A102" s="18">
        <v>29</v>
      </c>
      <c r="B102" s="18">
        <v>1.5100000000000001E-2</v>
      </c>
    </row>
    <row r="103" spans="1:2" x14ac:dyDescent="0.25">
      <c r="A103" s="18">
        <v>29.2</v>
      </c>
      <c r="B103" s="18">
        <v>1.5299999999999999E-2</v>
      </c>
    </row>
    <row r="104" spans="1:2" x14ac:dyDescent="0.25">
      <c r="A104" s="18">
        <v>29.4</v>
      </c>
      <c r="B104" s="18">
        <v>1.49E-2</v>
      </c>
    </row>
    <row r="105" spans="1:2" x14ac:dyDescent="0.25">
      <c r="A105" s="18">
        <v>29.6</v>
      </c>
      <c r="B105" s="18">
        <v>1.5599999999999999E-2</v>
      </c>
    </row>
    <row r="106" spans="1:2" x14ac:dyDescent="0.25">
      <c r="A106" s="18">
        <v>29.8</v>
      </c>
      <c r="B106" s="18">
        <v>1.4800000000000001E-2</v>
      </c>
    </row>
    <row r="107" spans="1:2" x14ac:dyDescent="0.25">
      <c r="A107" s="18">
        <v>30</v>
      </c>
      <c r="B107" s="18">
        <v>1.5900000000000001E-2</v>
      </c>
    </row>
    <row r="108" spans="1:2" x14ac:dyDescent="0.25">
      <c r="A108" s="18">
        <v>30.2</v>
      </c>
      <c r="B108" s="18">
        <v>1.4800000000000001E-2</v>
      </c>
    </row>
    <row r="109" spans="1:2" x14ac:dyDescent="0.25">
      <c r="A109" s="18">
        <v>30.4</v>
      </c>
      <c r="B109" s="18">
        <v>1.5299999999999999E-2</v>
      </c>
    </row>
    <row r="110" spans="1:2" x14ac:dyDescent="0.25">
      <c r="A110" s="18">
        <v>30.6</v>
      </c>
      <c r="B110" s="18">
        <v>1.54E-2</v>
      </c>
    </row>
    <row r="111" spans="1:2" x14ac:dyDescent="0.25">
      <c r="A111" s="18">
        <v>30.8</v>
      </c>
      <c r="B111" s="18">
        <v>1.5100000000000001E-2</v>
      </c>
    </row>
    <row r="112" spans="1:2" x14ac:dyDescent="0.25">
      <c r="A112" s="18">
        <v>31</v>
      </c>
      <c r="B112" s="18">
        <v>1.5100000000000001E-2</v>
      </c>
    </row>
    <row r="113" spans="1:2" x14ac:dyDescent="0.25">
      <c r="A113" s="18">
        <v>31.2</v>
      </c>
      <c r="B113" s="18">
        <v>1.52E-2</v>
      </c>
    </row>
    <row r="114" spans="1:2" x14ac:dyDescent="0.25">
      <c r="A114" s="18">
        <v>31.4</v>
      </c>
      <c r="B114" s="18">
        <v>1.4800000000000001E-2</v>
      </c>
    </row>
    <row r="115" spans="1:2" x14ac:dyDescent="0.25">
      <c r="A115" s="18">
        <v>31.6</v>
      </c>
      <c r="B115" s="18">
        <v>1.4800000000000001E-2</v>
      </c>
    </row>
    <row r="116" spans="1:2" x14ac:dyDescent="0.25">
      <c r="A116" s="18">
        <v>31.8</v>
      </c>
      <c r="B116" s="18">
        <v>1.49E-2</v>
      </c>
    </row>
    <row r="117" spans="1:2" x14ac:dyDescent="0.25">
      <c r="A117" s="18">
        <v>32</v>
      </c>
      <c r="B117" s="18">
        <v>1.44E-2</v>
      </c>
    </row>
    <row r="118" spans="1:2" x14ac:dyDescent="0.25">
      <c r="A118" s="18">
        <v>32.200000000000003</v>
      </c>
      <c r="B118" s="18">
        <v>1.46E-2</v>
      </c>
    </row>
    <row r="119" spans="1:2" x14ac:dyDescent="0.25">
      <c r="A119" s="18">
        <v>32.4</v>
      </c>
      <c r="B119" s="18">
        <v>1.43E-2</v>
      </c>
    </row>
    <row r="120" spans="1:2" x14ac:dyDescent="0.25">
      <c r="A120" s="18">
        <v>32.6</v>
      </c>
      <c r="B120" s="18">
        <v>1.43E-2</v>
      </c>
    </row>
    <row r="121" spans="1:2" x14ac:dyDescent="0.25">
      <c r="A121" s="18">
        <v>32.799999999999997</v>
      </c>
      <c r="B121" s="18">
        <v>1.3899999999999999E-2</v>
      </c>
    </row>
    <row r="122" spans="1:2" x14ac:dyDescent="0.25">
      <c r="A122" s="18">
        <v>33</v>
      </c>
      <c r="B122" s="18">
        <v>1.4E-2</v>
      </c>
    </row>
    <row r="123" spans="1:2" x14ac:dyDescent="0.25">
      <c r="A123" s="18">
        <v>33.200000000000003</v>
      </c>
      <c r="B123" s="18">
        <v>1.3599999999999999E-2</v>
      </c>
    </row>
    <row r="124" spans="1:2" x14ac:dyDescent="0.25">
      <c r="A124" s="18">
        <v>33.4</v>
      </c>
      <c r="B124" s="18">
        <v>1.35E-2</v>
      </c>
    </row>
    <row r="125" spans="1:2" x14ac:dyDescent="0.25">
      <c r="A125" s="18">
        <v>33.6</v>
      </c>
      <c r="B125" s="18">
        <v>1.35E-2</v>
      </c>
    </row>
    <row r="126" spans="1:2" x14ac:dyDescent="0.25">
      <c r="A126" s="18">
        <v>33.799999999999997</v>
      </c>
      <c r="B126" s="18">
        <v>1.2800000000000001E-2</v>
      </c>
    </row>
    <row r="127" spans="1:2" x14ac:dyDescent="0.25">
      <c r="A127" s="18">
        <v>34</v>
      </c>
      <c r="B127" s="18">
        <v>1.2800000000000001E-2</v>
      </c>
    </row>
    <row r="128" spans="1:2" x14ac:dyDescent="0.25">
      <c r="A128" s="18">
        <v>34.200000000000003</v>
      </c>
      <c r="B128" s="18">
        <v>1.2200000000000001E-2</v>
      </c>
    </row>
    <row r="129" spans="1:2" x14ac:dyDescent="0.25">
      <c r="A129" s="18">
        <v>34.4</v>
      </c>
      <c r="B129" s="18">
        <v>1.24E-2</v>
      </c>
    </row>
    <row r="130" spans="1:2" x14ac:dyDescent="0.25">
      <c r="A130" s="18">
        <v>34.6</v>
      </c>
      <c r="B130" s="18">
        <v>1.17E-2</v>
      </c>
    </row>
    <row r="131" spans="1:2" x14ac:dyDescent="0.25">
      <c r="A131" s="18">
        <v>34.799999999999997</v>
      </c>
      <c r="B131" s="18">
        <v>1.18E-2</v>
      </c>
    </row>
    <row r="132" spans="1:2" x14ac:dyDescent="0.25">
      <c r="A132" s="18">
        <v>35</v>
      </c>
      <c r="B132" s="18">
        <v>1.09E-2</v>
      </c>
    </row>
    <row r="133" spans="1:2" x14ac:dyDescent="0.25">
      <c r="A133" s="18">
        <v>35.200000000000003</v>
      </c>
      <c r="B133" s="18">
        <v>1.14E-2</v>
      </c>
    </row>
    <row r="134" spans="1:2" x14ac:dyDescent="0.25">
      <c r="A134" s="18">
        <v>35.4</v>
      </c>
      <c r="B134" s="18">
        <v>1.04E-2</v>
      </c>
    </row>
    <row r="135" spans="1:2" x14ac:dyDescent="0.25">
      <c r="A135" s="18">
        <v>35.6</v>
      </c>
      <c r="B135" s="18">
        <v>1.06E-2</v>
      </c>
    </row>
    <row r="136" spans="1:2" x14ac:dyDescent="0.25">
      <c r="A136" s="18">
        <v>35.799999999999997</v>
      </c>
      <c r="B136" s="18">
        <v>9.9399999999999992E-3</v>
      </c>
    </row>
    <row r="137" spans="1:2" x14ac:dyDescent="0.25">
      <c r="A137" s="18">
        <v>36</v>
      </c>
      <c r="B137" s="18">
        <v>9.6699999999999998E-3</v>
      </c>
    </row>
    <row r="138" spans="1:2" x14ac:dyDescent="0.25">
      <c r="A138" s="18">
        <v>36.200000000000003</v>
      </c>
      <c r="B138" s="18">
        <v>9.4299999999999991E-3</v>
      </c>
    </row>
    <row r="139" spans="1:2" x14ac:dyDescent="0.25">
      <c r="A139" s="18">
        <v>36.4</v>
      </c>
      <c r="B139" s="18">
        <v>9.0100000000000006E-3</v>
      </c>
    </row>
    <row r="140" spans="1:2" x14ac:dyDescent="0.25">
      <c r="A140" s="18">
        <v>36.6</v>
      </c>
      <c r="B140" s="18">
        <v>8.4200000000000004E-3</v>
      </c>
    </row>
    <row r="141" spans="1:2" x14ac:dyDescent="0.25">
      <c r="A141" s="18">
        <v>36.799999999999997</v>
      </c>
      <c r="B141" s="18">
        <v>8.4600000000000005E-3</v>
      </c>
    </row>
    <row r="142" spans="1:2" x14ac:dyDescent="0.25">
      <c r="A142" s="18">
        <v>37</v>
      </c>
      <c r="B142" s="18">
        <v>7.7099999999999998E-3</v>
      </c>
    </row>
    <row r="143" spans="1:2" x14ac:dyDescent="0.25">
      <c r="A143" s="18">
        <v>37.200000000000003</v>
      </c>
      <c r="B143" s="18">
        <v>7.4900000000000001E-3</v>
      </c>
    </row>
    <row r="144" spans="1:2" x14ac:dyDescent="0.25">
      <c r="A144" s="18">
        <v>37.4</v>
      </c>
      <c r="B144" s="18">
        <v>7.3600000000000002E-3</v>
      </c>
    </row>
    <row r="145" spans="1:2" x14ac:dyDescent="0.25">
      <c r="A145" s="18">
        <v>37.6</v>
      </c>
      <c r="B145" s="18">
        <v>6.4799999999999996E-3</v>
      </c>
    </row>
    <row r="146" spans="1:2" x14ac:dyDescent="0.25">
      <c r="A146" s="18">
        <v>37.799999999999997</v>
      </c>
      <c r="B146" s="18">
        <v>6.3200000000000001E-3</v>
      </c>
    </row>
    <row r="147" spans="1:2" x14ac:dyDescent="0.25">
      <c r="A147" s="18">
        <v>38</v>
      </c>
      <c r="B147" s="18">
        <v>5.9300000000000004E-3</v>
      </c>
    </row>
    <row r="148" spans="1:2" x14ac:dyDescent="0.25">
      <c r="A148" s="18">
        <v>38.200000000000003</v>
      </c>
      <c r="B148" s="18">
        <v>5.28E-3</v>
      </c>
    </row>
    <row r="149" spans="1:2" x14ac:dyDescent="0.25">
      <c r="A149" s="18">
        <v>38.4</v>
      </c>
      <c r="B149" s="18">
        <v>5.1700000000000001E-3</v>
      </c>
    </row>
    <row r="150" spans="1:2" x14ac:dyDescent="0.25">
      <c r="A150" s="18">
        <v>38.6</v>
      </c>
      <c r="B150" s="18">
        <v>4.2900000000000004E-3</v>
      </c>
    </row>
    <row r="151" spans="1:2" x14ac:dyDescent="0.25">
      <c r="A151" s="18">
        <v>38.799999999999997</v>
      </c>
      <c r="B151" s="18">
        <v>4.1999999999999997E-3</v>
      </c>
    </row>
    <row r="152" spans="1:2" x14ac:dyDescent="0.25">
      <c r="A152" s="18">
        <v>39</v>
      </c>
      <c r="B152" s="18">
        <v>3.5200000000000001E-3</v>
      </c>
    </row>
    <row r="153" spans="1:2" x14ac:dyDescent="0.25">
      <c r="A153" s="18">
        <v>39.200000000000003</v>
      </c>
      <c r="B153" s="18">
        <v>2.96E-3</v>
      </c>
    </row>
    <row r="154" spans="1:2" x14ac:dyDescent="0.25">
      <c r="A154" s="18">
        <v>39.4</v>
      </c>
      <c r="B154" s="18">
        <v>2.5899999999999999E-3</v>
      </c>
    </row>
    <row r="155" spans="1:2" x14ac:dyDescent="0.25">
      <c r="A155" s="18">
        <v>39.6</v>
      </c>
      <c r="B155" s="18">
        <v>1.8699999999999999E-3</v>
      </c>
    </row>
    <row r="156" spans="1:2" x14ac:dyDescent="0.25">
      <c r="A156" s="18">
        <v>39.799999999999997</v>
      </c>
      <c r="B156" s="18">
        <v>1.2899999999999999E-3</v>
      </c>
    </row>
    <row r="157" spans="1:2" x14ac:dyDescent="0.25">
      <c r="A157" s="18">
        <v>40</v>
      </c>
      <c r="B157" s="18">
        <v>3.8499999999999998E-4</v>
      </c>
    </row>
    <row r="158" spans="1:2" x14ac:dyDescent="0.25">
      <c r="A158" s="18">
        <v>40.200000000000003</v>
      </c>
      <c r="B158" s="18">
        <v>1.2099999999999999E-5</v>
      </c>
    </row>
    <row r="159" spans="1:2" x14ac:dyDescent="0.25">
      <c r="A159" s="18">
        <v>40.4</v>
      </c>
      <c r="B159" s="18">
        <v>1.03E-5</v>
      </c>
    </row>
    <row r="160" spans="1:2" x14ac:dyDescent="0.25">
      <c r="A160" s="18">
        <v>40.6</v>
      </c>
      <c r="B160" s="18">
        <v>4.0799999999999999E-6</v>
      </c>
    </row>
    <row r="161" spans="1:2" x14ac:dyDescent="0.25">
      <c r="A161" s="18">
        <v>40.799999999999997</v>
      </c>
      <c r="B161" s="18">
        <v>1.9199999999999998E-6</v>
      </c>
    </row>
    <row r="162" spans="1:2" x14ac:dyDescent="0.25">
      <c r="A162" s="18">
        <v>41</v>
      </c>
      <c r="B162" s="18">
        <v>2.5500000000000001E-6</v>
      </c>
    </row>
    <row r="163" spans="1:2" x14ac:dyDescent="0.25">
      <c r="A163" s="18">
        <v>41.2</v>
      </c>
      <c r="B163" s="18">
        <v>1.6899999999999999E-6</v>
      </c>
    </row>
    <row r="164" spans="1:2" x14ac:dyDescent="0.25">
      <c r="A164" s="18">
        <v>41.4</v>
      </c>
      <c r="B164" s="18">
        <v>2.3800000000000001E-6</v>
      </c>
    </row>
    <row r="165" spans="1:2" x14ac:dyDescent="0.25">
      <c r="A165" s="18">
        <v>41.6</v>
      </c>
      <c r="B165" s="18">
        <v>3.7100000000000001E-6</v>
      </c>
    </row>
    <row r="166" spans="1:2" x14ac:dyDescent="0.25">
      <c r="A166" s="18">
        <v>41.8</v>
      </c>
      <c r="B166" s="18">
        <v>2.2500000000000001E-6</v>
      </c>
    </row>
    <row r="167" spans="1:2" x14ac:dyDescent="0.25">
      <c r="A167" s="18">
        <v>42</v>
      </c>
      <c r="B167" s="18">
        <v>1.26E-6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dimension ref="A1:B192"/>
  <sheetViews>
    <sheetView workbookViewId="0">
      <selection activeCell="N23" sqref="N23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14</v>
      </c>
      <c r="B2" s="18">
        <v>1.34E-4</v>
      </c>
    </row>
    <row r="3" spans="1:2" x14ac:dyDescent="0.25">
      <c r="A3" s="18">
        <v>14.2</v>
      </c>
      <c r="B3" s="18">
        <v>1.2E-4</v>
      </c>
    </row>
    <row r="4" spans="1:2" x14ac:dyDescent="0.25">
      <c r="A4" s="18">
        <v>14.4</v>
      </c>
      <c r="B4" s="18">
        <v>1.03E-4</v>
      </c>
    </row>
    <row r="5" spans="1:2" x14ac:dyDescent="0.25">
      <c r="A5" s="18">
        <v>14.6</v>
      </c>
      <c r="B5" s="18">
        <v>6.6000000000000005E-5</v>
      </c>
    </row>
    <row r="6" spans="1:2" x14ac:dyDescent="0.25">
      <c r="A6" s="18">
        <v>14.8</v>
      </c>
      <c r="B6" s="18">
        <v>1.55E-4</v>
      </c>
    </row>
    <row r="7" spans="1:2" x14ac:dyDescent="0.25">
      <c r="A7" s="18">
        <v>15</v>
      </c>
      <c r="B7" s="18">
        <v>1.13E-4</v>
      </c>
    </row>
    <row r="8" spans="1:2" x14ac:dyDescent="0.25">
      <c r="A8" s="18">
        <v>15.2</v>
      </c>
      <c r="B8" s="18">
        <v>9.0799999999999998E-5</v>
      </c>
    </row>
    <row r="9" spans="1:2" x14ac:dyDescent="0.25">
      <c r="A9" s="18">
        <v>15.4</v>
      </c>
      <c r="B9" s="18">
        <v>1.4200000000000001E-4</v>
      </c>
    </row>
    <row r="10" spans="1:2" x14ac:dyDescent="0.25">
      <c r="A10" s="18">
        <v>15.6</v>
      </c>
      <c r="B10" s="18">
        <v>1.01E-4</v>
      </c>
    </row>
    <row r="11" spans="1:2" x14ac:dyDescent="0.25">
      <c r="A11" s="18">
        <v>15.8</v>
      </c>
      <c r="B11" s="18">
        <v>6.2100000000000005E-5</v>
      </c>
    </row>
    <row r="12" spans="1:2" x14ac:dyDescent="0.25">
      <c r="A12" s="18">
        <v>16</v>
      </c>
      <c r="B12" s="18">
        <v>9.0199999999999997E-5</v>
      </c>
    </row>
    <row r="13" spans="1:2" x14ac:dyDescent="0.25">
      <c r="A13" s="18">
        <v>16.2</v>
      </c>
      <c r="B13" s="18">
        <v>8.6000000000000003E-5</v>
      </c>
    </row>
    <row r="14" spans="1:2" x14ac:dyDescent="0.25">
      <c r="A14" s="18">
        <v>16.399999999999999</v>
      </c>
      <c r="B14" s="18">
        <v>1.1400000000000001E-4</v>
      </c>
    </row>
    <row r="15" spans="1:2" x14ac:dyDescent="0.25">
      <c r="A15" s="18">
        <v>16.600000000000001</v>
      </c>
      <c r="B15" s="18">
        <v>5.0099999999999998E-5</v>
      </c>
    </row>
    <row r="16" spans="1:2" x14ac:dyDescent="0.25">
      <c r="A16" s="18">
        <v>16.8</v>
      </c>
      <c r="B16" s="18">
        <v>2.6699999999999998E-5</v>
      </c>
    </row>
    <row r="17" spans="1:2" x14ac:dyDescent="0.25">
      <c r="A17" s="18">
        <v>17</v>
      </c>
      <c r="B17" s="18">
        <v>1.6799999999999999E-4</v>
      </c>
    </row>
    <row r="18" spans="1:2" x14ac:dyDescent="0.25">
      <c r="A18" s="18">
        <v>17.2</v>
      </c>
      <c r="B18" s="18">
        <v>1.11E-5</v>
      </c>
    </row>
    <row r="19" spans="1:2" x14ac:dyDescent="0.25">
      <c r="A19" s="18">
        <v>17.399999999999999</v>
      </c>
      <c r="B19" s="18">
        <v>6.4999999999999994E-5</v>
      </c>
    </row>
    <row r="20" spans="1:2" x14ac:dyDescent="0.25">
      <c r="A20" s="18">
        <v>17.600000000000001</v>
      </c>
      <c r="B20" s="18">
        <v>1.21E-4</v>
      </c>
    </row>
    <row r="21" spans="1:2" x14ac:dyDescent="0.25">
      <c r="A21" s="18">
        <v>17.8</v>
      </c>
      <c r="B21" s="18">
        <v>1.7799999999999999E-5</v>
      </c>
    </row>
    <row r="22" spans="1:2" x14ac:dyDescent="0.25">
      <c r="A22" s="18">
        <v>18</v>
      </c>
      <c r="B22" s="18">
        <v>1.03E-4</v>
      </c>
    </row>
    <row r="23" spans="1:2" x14ac:dyDescent="0.25">
      <c r="A23" s="18">
        <v>18.2</v>
      </c>
      <c r="B23" s="18">
        <v>1.05E-4</v>
      </c>
    </row>
    <row r="24" spans="1:2" x14ac:dyDescent="0.25">
      <c r="A24" s="18">
        <v>18.399999999999999</v>
      </c>
      <c r="B24" s="18">
        <v>2.97E-5</v>
      </c>
    </row>
    <row r="25" spans="1:2" x14ac:dyDescent="0.25">
      <c r="A25" s="18">
        <v>18.600000000000001</v>
      </c>
      <c r="B25" s="18">
        <v>2.6800000000000001E-5</v>
      </c>
    </row>
    <row r="26" spans="1:2" x14ac:dyDescent="0.25">
      <c r="A26" s="18">
        <v>18.8</v>
      </c>
      <c r="B26" s="18">
        <v>9.4299999999999995E-6</v>
      </c>
    </row>
    <row r="27" spans="1:2" x14ac:dyDescent="0.25">
      <c r="A27" s="18">
        <v>19</v>
      </c>
      <c r="B27" s="18">
        <v>9.0000000000000006E-5</v>
      </c>
    </row>
    <row r="28" spans="1:2" x14ac:dyDescent="0.25">
      <c r="A28" s="18">
        <v>19.2</v>
      </c>
      <c r="B28" s="18">
        <v>4.74E-5</v>
      </c>
    </row>
    <row r="29" spans="1:2" x14ac:dyDescent="0.25">
      <c r="A29" s="18">
        <v>19.399999999999999</v>
      </c>
      <c r="B29" s="18">
        <v>7.3899999999999994E-5</v>
      </c>
    </row>
    <row r="30" spans="1:2" x14ac:dyDescent="0.25">
      <c r="A30" s="18">
        <v>19.600000000000001</v>
      </c>
      <c r="B30" s="18">
        <v>3.3300000000000003E-5</v>
      </c>
    </row>
    <row r="31" spans="1:2" x14ac:dyDescent="0.25">
      <c r="A31" s="18">
        <v>19.8</v>
      </c>
      <c r="B31" s="18">
        <v>1.22E-4</v>
      </c>
    </row>
    <row r="32" spans="1:2" x14ac:dyDescent="0.25">
      <c r="A32" s="18">
        <v>20</v>
      </c>
      <c r="B32" s="18">
        <v>8.2700000000000004E-5</v>
      </c>
    </row>
    <row r="33" spans="1:2" x14ac:dyDescent="0.25">
      <c r="A33" s="18">
        <v>20.2</v>
      </c>
      <c r="B33" s="18">
        <v>9.0099999999999995E-5</v>
      </c>
    </row>
    <row r="34" spans="1:2" x14ac:dyDescent="0.25">
      <c r="A34" s="18">
        <v>20.399999999999999</v>
      </c>
      <c r="B34" s="18">
        <v>6.2000000000000003E-5</v>
      </c>
    </row>
    <row r="35" spans="1:2" x14ac:dyDescent="0.25">
      <c r="A35" s="18">
        <v>20.6</v>
      </c>
      <c r="B35" s="18">
        <v>4.8399999999999997E-5</v>
      </c>
    </row>
    <row r="36" spans="1:2" x14ac:dyDescent="0.25">
      <c r="A36" s="18">
        <v>20.8</v>
      </c>
      <c r="B36" s="18">
        <v>2.23E-5</v>
      </c>
    </row>
    <row r="37" spans="1:2" x14ac:dyDescent="0.25">
      <c r="A37" s="18">
        <v>21</v>
      </c>
      <c r="B37" s="18">
        <v>1.4300000000000001E-4</v>
      </c>
    </row>
    <row r="38" spans="1:2" x14ac:dyDescent="0.25">
      <c r="A38" s="18">
        <v>21.2</v>
      </c>
      <c r="B38" s="18">
        <v>3.2400000000000001E-5</v>
      </c>
    </row>
    <row r="39" spans="1:2" x14ac:dyDescent="0.25">
      <c r="A39" s="18">
        <v>21.4</v>
      </c>
      <c r="B39" s="18">
        <v>7.3899999999999994E-5</v>
      </c>
    </row>
    <row r="40" spans="1:2" x14ac:dyDescent="0.25">
      <c r="A40" s="18">
        <v>21.6</v>
      </c>
      <c r="B40" s="18">
        <v>1.5300000000000001E-4</v>
      </c>
    </row>
    <row r="41" spans="1:2" x14ac:dyDescent="0.25">
      <c r="A41" s="18">
        <v>21.8</v>
      </c>
      <c r="B41" s="18">
        <v>1.83E-4</v>
      </c>
    </row>
    <row r="42" spans="1:2" x14ac:dyDescent="0.25">
      <c r="A42" s="18">
        <v>22</v>
      </c>
      <c r="B42" s="18">
        <v>1.25E-4</v>
      </c>
    </row>
    <row r="43" spans="1:2" x14ac:dyDescent="0.25">
      <c r="A43" s="18">
        <v>22.2</v>
      </c>
      <c r="B43" s="18">
        <v>2.8299999999999999E-4</v>
      </c>
    </row>
    <row r="44" spans="1:2" x14ac:dyDescent="0.25">
      <c r="A44" s="18">
        <v>22.4</v>
      </c>
      <c r="B44" s="18">
        <v>2.6200000000000003E-4</v>
      </c>
    </row>
    <row r="45" spans="1:2" x14ac:dyDescent="0.25">
      <c r="A45" s="18">
        <v>22.6</v>
      </c>
      <c r="B45" s="18">
        <v>3.0200000000000002E-4</v>
      </c>
    </row>
    <row r="46" spans="1:2" x14ac:dyDescent="0.25">
      <c r="A46" s="18">
        <v>22.8</v>
      </c>
      <c r="B46" s="18">
        <v>2.52E-4</v>
      </c>
    </row>
    <row r="47" spans="1:2" x14ac:dyDescent="0.25">
      <c r="A47" s="18">
        <v>23</v>
      </c>
      <c r="B47" s="18">
        <v>3.6299999999999999E-4</v>
      </c>
    </row>
    <row r="48" spans="1:2" x14ac:dyDescent="0.25">
      <c r="A48" s="18">
        <v>23.2</v>
      </c>
      <c r="B48" s="18">
        <v>4.2099999999999999E-4</v>
      </c>
    </row>
    <row r="49" spans="1:2" x14ac:dyDescent="0.25">
      <c r="A49" s="18">
        <v>23.4</v>
      </c>
      <c r="B49" s="18">
        <v>4.1300000000000001E-4</v>
      </c>
    </row>
    <row r="50" spans="1:2" x14ac:dyDescent="0.25">
      <c r="A50" s="18">
        <v>23.6</v>
      </c>
      <c r="B50" s="18">
        <v>6.3900000000000003E-4</v>
      </c>
    </row>
    <row r="51" spans="1:2" x14ac:dyDescent="0.25">
      <c r="A51" s="18">
        <v>23.8</v>
      </c>
      <c r="B51" s="18">
        <v>6.4700000000000001E-4</v>
      </c>
    </row>
    <row r="52" spans="1:2" x14ac:dyDescent="0.25">
      <c r="A52" s="18">
        <v>24</v>
      </c>
      <c r="B52" s="18">
        <v>6.7400000000000001E-4</v>
      </c>
    </row>
    <row r="53" spans="1:2" x14ac:dyDescent="0.25">
      <c r="A53" s="18">
        <v>24.2</v>
      </c>
      <c r="B53" s="18">
        <v>8.3900000000000001E-4</v>
      </c>
    </row>
    <row r="54" spans="1:2" x14ac:dyDescent="0.25">
      <c r="A54" s="18">
        <v>24.4</v>
      </c>
      <c r="B54" s="18">
        <v>9.8200000000000002E-4</v>
      </c>
    </row>
    <row r="55" spans="1:2" x14ac:dyDescent="0.25">
      <c r="A55" s="18">
        <v>24.6</v>
      </c>
      <c r="B55" s="18">
        <v>9.6500000000000004E-4</v>
      </c>
    </row>
    <row r="56" spans="1:2" x14ac:dyDescent="0.25">
      <c r="A56" s="18">
        <v>24.8</v>
      </c>
      <c r="B56" s="18">
        <v>1.1100000000000001E-3</v>
      </c>
    </row>
    <row r="57" spans="1:2" x14ac:dyDescent="0.25">
      <c r="A57" s="18">
        <v>25</v>
      </c>
      <c r="B57" s="18">
        <v>1.2199999999999999E-3</v>
      </c>
    </row>
    <row r="58" spans="1:2" x14ac:dyDescent="0.25">
      <c r="A58" s="18">
        <v>25.2</v>
      </c>
      <c r="B58" s="18">
        <v>1.39E-3</v>
      </c>
    </row>
    <row r="59" spans="1:2" x14ac:dyDescent="0.25">
      <c r="A59" s="18">
        <v>25.4</v>
      </c>
      <c r="B59" s="18">
        <v>1.39E-3</v>
      </c>
    </row>
    <row r="60" spans="1:2" x14ac:dyDescent="0.25">
      <c r="A60" s="18">
        <v>25.6</v>
      </c>
      <c r="B60" s="18">
        <v>1.7899999999999999E-3</v>
      </c>
    </row>
    <row r="61" spans="1:2" x14ac:dyDescent="0.25">
      <c r="A61" s="18">
        <v>25.8</v>
      </c>
      <c r="B61" s="18">
        <v>1.7600000000000001E-3</v>
      </c>
    </row>
    <row r="62" spans="1:2" x14ac:dyDescent="0.25">
      <c r="A62" s="18">
        <v>26</v>
      </c>
      <c r="B62" s="18">
        <v>2.0300000000000001E-3</v>
      </c>
    </row>
    <row r="63" spans="1:2" x14ac:dyDescent="0.25">
      <c r="A63" s="18">
        <v>26.2</v>
      </c>
      <c r="B63" s="18">
        <v>2.1800000000000001E-3</v>
      </c>
    </row>
    <row r="64" spans="1:2" x14ac:dyDescent="0.25">
      <c r="A64" s="18">
        <v>26.4</v>
      </c>
      <c r="B64" s="18">
        <v>2.2699999999999999E-3</v>
      </c>
    </row>
    <row r="65" spans="1:2" x14ac:dyDescent="0.25">
      <c r="A65" s="18">
        <v>26.6</v>
      </c>
      <c r="B65" s="18">
        <v>2.6199999999999999E-3</v>
      </c>
    </row>
    <row r="66" spans="1:2" x14ac:dyDescent="0.25">
      <c r="A66" s="18">
        <v>26.8</v>
      </c>
      <c r="B66" s="18">
        <v>2.7200000000000002E-3</v>
      </c>
    </row>
    <row r="67" spans="1:2" x14ac:dyDescent="0.25">
      <c r="A67" s="18">
        <v>27</v>
      </c>
      <c r="B67" s="18">
        <v>2.96E-3</v>
      </c>
    </row>
    <row r="68" spans="1:2" x14ac:dyDescent="0.25">
      <c r="A68" s="18">
        <v>27.2</v>
      </c>
      <c r="B68" s="18">
        <v>3.1900000000000001E-3</v>
      </c>
    </row>
    <row r="69" spans="1:2" x14ac:dyDescent="0.25">
      <c r="A69" s="18">
        <v>27.4</v>
      </c>
      <c r="B69" s="18">
        <v>3.5599999999999998E-3</v>
      </c>
    </row>
    <row r="70" spans="1:2" x14ac:dyDescent="0.25">
      <c r="A70" s="18">
        <v>27.6</v>
      </c>
      <c r="B70" s="18">
        <v>3.48E-3</v>
      </c>
    </row>
    <row r="71" spans="1:2" x14ac:dyDescent="0.25">
      <c r="A71" s="18">
        <v>27.8</v>
      </c>
      <c r="B71" s="18">
        <v>3.82E-3</v>
      </c>
    </row>
    <row r="72" spans="1:2" x14ac:dyDescent="0.25">
      <c r="A72" s="18">
        <v>28</v>
      </c>
      <c r="B72" s="18">
        <v>4.0899999999999999E-3</v>
      </c>
    </row>
    <row r="73" spans="1:2" x14ac:dyDescent="0.25">
      <c r="A73" s="18">
        <v>28.2</v>
      </c>
      <c r="B73" s="18">
        <v>4.2100000000000002E-3</v>
      </c>
    </row>
    <row r="74" spans="1:2" x14ac:dyDescent="0.25">
      <c r="A74" s="18">
        <v>28.4</v>
      </c>
      <c r="B74" s="18">
        <v>4.5599999999999998E-3</v>
      </c>
    </row>
    <row r="75" spans="1:2" x14ac:dyDescent="0.25">
      <c r="A75" s="18">
        <v>28.6</v>
      </c>
      <c r="B75" s="18">
        <v>4.8799999999999998E-3</v>
      </c>
    </row>
    <row r="76" spans="1:2" x14ac:dyDescent="0.25">
      <c r="A76" s="18">
        <v>28.8</v>
      </c>
      <c r="B76" s="18">
        <v>5.13E-3</v>
      </c>
    </row>
    <row r="77" spans="1:2" x14ac:dyDescent="0.25">
      <c r="A77" s="18">
        <v>29</v>
      </c>
      <c r="B77" s="18">
        <v>5.1999999999999998E-3</v>
      </c>
    </row>
    <row r="78" spans="1:2" x14ac:dyDescent="0.25">
      <c r="A78" s="18">
        <v>29.2</v>
      </c>
      <c r="B78" s="18">
        <v>5.4799999999999996E-3</v>
      </c>
    </row>
    <row r="79" spans="1:2" x14ac:dyDescent="0.25">
      <c r="A79" s="18">
        <v>29.4</v>
      </c>
      <c r="B79" s="18">
        <v>5.8199999999999997E-3</v>
      </c>
    </row>
    <row r="80" spans="1:2" x14ac:dyDescent="0.25">
      <c r="A80" s="18">
        <v>29.6</v>
      </c>
      <c r="B80" s="18">
        <v>5.9100000000000003E-3</v>
      </c>
    </row>
    <row r="81" spans="1:2" x14ac:dyDescent="0.25">
      <c r="A81" s="18">
        <v>29.8</v>
      </c>
      <c r="B81" s="18">
        <v>6.5799999999999999E-3</v>
      </c>
    </row>
    <row r="82" spans="1:2" x14ac:dyDescent="0.25">
      <c r="A82" s="18">
        <v>30</v>
      </c>
      <c r="B82" s="18">
        <v>6.3400000000000001E-3</v>
      </c>
    </row>
    <row r="83" spans="1:2" x14ac:dyDescent="0.25">
      <c r="A83" s="18">
        <v>30.2</v>
      </c>
      <c r="B83" s="18">
        <v>6.9699999999999996E-3</v>
      </c>
    </row>
    <row r="84" spans="1:2" x14ac:dyDescent="0.25">
      <c r="A84" s="18">
        <v>30.4</v>
      </c>
      <c r="B84" s="18">
        <v>6.8999999999999999E-3</v>
      </c>
    </row>
    <row r="85" spans="1:2" x14ac:dyDescent="0.25">
      <c r="A85" s="18">
        <v>30.6</v>
      </c>
      <c r="B85" s="18">
        <v>7.45E-3</v>
      </c>
    </row>
    <row r="86" spans="1:2" x14ac:dyDescent="0.25">
      <c r="A86" s="18">
        <v>30.8</v>
      </c>
      <c r="B86" s="18">
        <v>7.4099999999999999E-3</v>
      </c>
    </row>
    <row r="87" spans="1:2" x14ac:dyDescent="0.25">
      <c r="A87" s="18">
        <v>31</v>
      </c>
      <c r="B87" s="18">
        <v>7.7299999999999999E-3</v>
      </c>
    </row>
    <row r="88" spans="1:2" x14ac:dyDescent="0.25">
      <c r="A88" s="18">
        <v>31.2</v>
      </c>
      <c r="B88" s="18">
        <v>8.0999999999999996E-3</v>
      </c>
    </row>
    <row r="89" spans="1:2" x14ac:dyDescent="0.25">
      <c r="A89" s="18">
        <v>31.4</v>
      </c>
      <c r="B89" s="18">
        <v>8.2400000000000008E-3</v>
      </c>
    </row>
    <row r="90" spans="1:2" x14ac:dyDescent="0.25">
      <c r="A90" s="18">
        <v>31.6</v>
      </c>
      <c r="B90" s="18">
        <v>8.4799999999999997E-3</v>
      </c>
    </row>
    <row r="91" spans="1:2" x14ac:dyDescent="0.25">
      <c r="A91" s="18">
        <v>31.8</v>
      </c>
      <c r="B91" s="18">
        <v>8.7299999999999999E-3</v>
      </c>
    </row>
    <row r="92" spans="1:2" x14ac:dyDescent="0.25">
      <c r="A92" s="18">
        <v>32</v>
      </c>
      <c r="B92" s="18">
        <v>8.9099999999999995E-3</v>
      </c>
    </row>
    <row r="93" spans="1:2" x14ac:dyDescent="0.25">
      <c r="A93" s="18">
        <v>32.200000000000003</v>
      </c>
      <c r="B93" s="18">
        <v>9.0900000000000009E-3</v>
      </c>
    </row>
    <row r="94" spans="1:2" x14ac:dyDescent="0.25">
      <c r="A94" s="18">
        <v>32.4</v>
      </c>
      <c r="B94" s="18">
        <v>9.6699999999999998E-3</v>
      </c>
    </row>
    <row r="95" spans="1:2" x14ac:dyDescent="0.25">
      <c r="A95" s="18">
        <v>32.6</v>
      </c>
      <c r="B95" s="18">
        <v>9.4999999999999998E-3</v>
      </c>
    </row>
    <row r="96" spans="1:2" x14ac:dyDescent="0.25">
      <c r="A96" s="18">
        <v>32.799999999999997</v>
      </c>
      <c r="B96" s="18">
        <v>9.75E-3</v>
      </c>
    </row>
    <row r="97" spans="1:2" x14ac:dyDescent="0.25">
      <c r="A97" s="18">
        <v>33</v>
      </c>
      <c r="B97" s="18">
        <v>0.01</v>
      </c>
    </row>
    <row r="98" spans="1:2" x14ac:dyDescent="0.25">
      <c r="A98" s="18">
        <v>33.200000000000003</v>
      </c>
      <c r="B98" s="18">
        <v>1.04E-2</v>
      </c>
    </row>
    <row r="99" spans="1:2" x14ac:dyDescent="0.25">
      <c r="A99" s="18">
        <v>33.4</v>
      </c>
      <c r="B99" s="18">
        <v>1.03E-2</v>
      </c>
    </row>
    <row r="100" spans="1:2" x14ac:dyDescent="0.25">
      <c r="A100" s="18">
        <v>33.6</v>
      </c>
      <c r="B100" s="18">
        <v>1.0699999999999999E-2</v>
      </c>
    </row>
    <row r="101" spans="1:2" x14ac:dyDescent="0.25">
      <c r="A101" s="18">
        <v>33.799999999999997</v>
      </c>
      <c r="B101" s="18">
        <v>1.0500000000000001E-2</v>
      </c>
    </row>
    <row r="102" spans="1:2" x14ac:dyDescent="0.25">
      <c r="A102" s="18">
        <v>34</v>
      </c>
      <c r="B102" s="18">
        <v>1.0999999999999999E-2</v>
      </c>
    </row>
    <row r="103" spans="1:2" x14ac:dyDescent="0.25">
      <c r="A103" s="18">
        <v>34.200000000000003</v>
      </c>
      <c r="B103" s="18">
        <v>1.0999999999999999E-2</v>
      </c>
    </row>
    <row r="104" spans="1:2" x14ac:dyDescent="0.25">
      <c r="A104" s="18">
        <v>34.4</v>
      </c>
      <c r="B104" s="18">
        <v>1.11E-2</v>
      </c>
    </row>
    <row r="105" spans="1:2" x14ac:dyDescent="0.25">
      <c r="A105" s="18">
        <v>34.6</v>
      </c>
      <c r="B105" s="18">
        <v>1.1299999999999999E-2</v>
      </c>
    </row>
    <row r="106" spans="1:2" x14ac:dyDescent="0.25">
      <c r="A106" s="18">
        <v>34.799999999999997</v>
      </c>
      <c r="B106" s="18">
        <v>1.1299999999999999E-2</v>
      </c>
    </row>
    <row r="107" spans="1:2" x14ac:dyDescent="0.25">
      <c r="A107" s="18">
        <v>35</v>
      </c>
      <c r="B107" s="18">
        <v>1.14E-2</v>
      </c>
    </row>
    <row r="108" spans="1:2" x14ac:dyDescent="0.25">
      <c r="A108" s="18">
        <v>35.200000000000003</v>
      </c>
      <c r="B108" s="18">
        <v>1.1599999999999999E-2</v>
      </c>
    </row>
    <row r="109" spans="1:2" x14ac:dyDescent="0.25">
      <c r="A109" s="18">
        <v>35.4</v>
      </c>
      <c r="B109" s="18">
        <v>1.1599999999999999E-2</v>
      </c>
    </row>
    <row r="110" spans="1:2" x14ac:dyDescent="0.25">
      <c r="A110" s="18">
        <v>35.6</v>
      </c>
      <c r="B110" s="18">
        <v>1.1900000000000001E-2</v>
      </c>
    </row>
    <row r="111" spans="1:2" x14ac:dyDescent="0.25">
      <c r="A111" s="18">
        <v>35.799999999999997</v>
      </c>
      <c r="B111" s="18">
        <v>1.1900000000000001E-2</v>
      </c>
    </row>
    <row r="112" spans="1:2" x14ac:dyDescent="0.25">
      <c r="A112" s="18">
        <v>36</v>
      </c>
      <c r="B112" s="18">
        <v>1.2E-2</v>
      </c>
    </row>
    <row r="113" spans="1:2" x14ac:dyDescent="0.25">
      <c r="A113" s="18">
        <v>36.200000000000003</v>
      </c>
      <c r="B113" s="18">
        <v>1.2E-2</v>
      </c>
    </row>
    <row r="114" spans="1:2" x14ac:dyDescent="0.25">
      <c r="A114" s="18">
        <v>36.4</v>
      </c>
      <c r="B114" s="18">
        <v>1.1900000000000001E-2</v>
      </c>
    </row>
    <row r="115" spans="1:2" x14ac:dyDescent="0.25">
      <c r="A115" s="18">
        <v>36.6</v>
      </c>
      <c r="B115" s="18">
        <v>1.2200000000000001E-2</v>
      </c>
    </row>
    <row r="116" spans="1:2" x14ac:dyDescent="0.25">
      <c r="A116" s="18">
        <v>36.799999999999997</v>
      </c>
      <c r="B116" s="18">
        <v>1.23E-2</v>
      </c>
    </row>
    <row r="117" spans="1:2" x14ac:dyDescent="0.25">
      <c r="A117" s="18">
        <v>37</v>
      </c>
      <c r="B117" s="18">
        <v>1.1900000000000001E-2</v>
      </c>
    </row>
    <row r="118" spans="1:2" x14ac:dyDescent="0.25">
      <c r="A118" s="18">
        <v>37.200000000000003</v>
      </c>
      <c r="B118" s="18">
        <v>1.23E-2</v>
      </c>
    </row>
    <row r="119" spans="1:2" x14ac:dyDescent="0.25">
      <c r="A119" s="18">
        <v>37.4</v>
      </c>
      <c r="B119" s="18">
        <v>1.21E-2</v>
      </c>
    </row>
    <row r="120" spans="1:2" x14ac:dyDescent="0.25">
      <c r="A120" s="18">
        <v>37.6</v>
      </c>
      <c r="B120" s="18">
        <v>1.2200000000000001E-2</v>
      </c>
    </row>
    <row r="121" spans="1:2" x14ac:dyDescent="0.25">
      <c r="A121" s="18">
        <v>37.799999999999997</v>
      </c>
      <c r="B121" s="18">
        <v>1.21E-2</v>
      </c>
    </row>
    <row r="122" spans="1:2" x14ac:dyDescent="0.25">
      <c r="A122" s="18">
        <v>38</v>
      </c>
      <c r="B122" s="18">
        <v>1.21E-2</v>
      </c>
    </row>
    <row r="123" spans="1:2" x14ac:dyDescent="0.25">
      <c r="A123" s="18">
        <v>38.200000000000003</v>
      </c>
      <c r="B123" s="18">
        <v>1.23E-2</v>
      </c>
    </row>
    <row r="124" spans="1:2" x14ac:dyDescent="0.25">
      <c r="A124" s="18">
        <v>38.4</v>
      </c>
      <c r="B124" s="18">
        <v>1.2E-2</v>
      </c>
    </row>
    <row r="125" spans="1:2" x14ac:dyDescent="0.25">
      <c r="A125" s="18">
        <v>38.6</v>
      </c>
      <c r="B125" s="18">
        <v>1.21E-2</v>
      </c>
    </row>
    <row r="126" spans="1:2" x14ac:dyDescent="0.25">
      <c r="A126" s="18">
        <v>38.799999999999997</v>
      </c>
      <c r="B126" s="18">
        <v>1.1900000000000001E-2</v>
      </c>
    </row>
    <row r="127" spans="1:2" x14ac:dyDescent="0.25">
      <c r="A127" s="18">
        <v>39</v>
      </c>
      <c r="B127" s="18">
        <v>1.21E-2</v>
      </c>
    </row>
    <row r="128" spans="1:2" x14ac:dyDescent="0.25">
      <c r="A128" s="18">
        <v>39.200000000000003</v>
      </c>
      <c r="B128" s="18">
        <v>1.15E-2</v>
      </c>
    </row>
    <row r="129" spans="1:2" x14ac:dyDescent="0.25">
      <c r="A129" s="18">
        <v>39.4</v>
      </c>
      <c r="B129" s="18">
        <v>1.1900000000000001E-2</v>
      </c>
    </row>
    <row r="130" spans="1:2" x14ac:dyDescent="0.25">
      <c r="A130" s="18">
        <v>39.6</v>
      </c>
      <c r="B130" s="18">
        <v>1.17E-2</v>
      </c>
    </row>
    <row r="131" spans="1:2" x14ac:dyDescent="0.25">
      <c r="A131" s="18">
        <v>39.799999999999997</v>
      </c>
      <c r="B131" s="18">
        <v>1.15E-2</v>
      </c>
    </row>
    <row r="132" spans="1:2" x14ac:dyDescent="0.25">
      <c r="A132" s="18">
        <v>40</v>
      </c>
      <c r="B132" s="18">
        <v>1.1599999999999999E-2</v>
      </c>
    </row>
    <row r="133" spans="1:2" x14ac:dyDescent="0.25">
      <c r="A133" s="18">
        <v>40.200000000000003</v>
      </c>
      <c r="B133" s="18">
        <v>1.15E-2</v>
      </c>
    </row>
    <row r="134" spans="1:2" x14ac:dyDescent="0.25">
      <c r="A134" s="18">
        <v>40.4</v>
      </c>
      <c r="B134" s="18">
        <v>1.15E-2</v>
      </c>
    </row>
    <row r="135" spans="1:2" x14ac:dyDescent="0.25">
      <c r="A135" s="18">
        <v>40.6</v>
      </c>
      <c r="B135" s="18">
        <v>1.11E-2</v>
      </c>
    </row>
    <row r="136" spans="1:2" x14ac:dyDescent="0.25">
      <c r="A136" s="18">
        <v>40.799999999999997</v>
      </c>
      <c r="B136" s="18">
        <v>1.11E-2</v>
      </c>
    </row>
    <row r="137" spans="1:2" x14ac:dyDescent="0.25">
      <c r="A137" s="18">
        <v>41</v>
      </c>
      <c r="B137" s="18">
        <v>1.1299999999999999E-2</v>
      </c>
    </row>
    <row r="138" spans="1:2" x14ac:dyDescent="0.25">
      <c r="A138" s="18">
        <v>41.2</v>
      </c>
      <c r="B138" s="18">
        <v>1.09E-2</v>
      </c>
    </row>
    <row r="139" spans="1:2" x14ac:dyDescent="0.25">
      <c r="A139" s="18">
        <v>41.4</v>
      </c>
      <c r="B139" s="18">
        <v>1.11E-2</v>
      </c>
    </row>
    <row r="140" spans="1:2" x14ac:dyDescent="0.25">
      <c r="A140" s="18">
        <v>41.6</v>
      </c>
      <c r="B140" s="18">
        <v>1.0699999999999999E-2</v>
      </c>
    </row>
    <row r="141" spans="1:2" x14ac:dyDescent="0.25">
      <c r="A141" s="18">
        <v>41.8</v>
      </c>
      <c r="B141" s="18">
        <v>1.06E-2</v>
      </c>
    </row>
    <row r="142" spans="1:2" x14ac:dyDescent="0.25">
      <c r="A142" s="18">
        <v>42</v>
      </c>
      <c r="B142" s="18">
        <v>1.0500000000000001E-2</v>
      </c>
    </row>
    <row r="143" spans="1:2" x14ac:dyDescent="0.25">
      <c r="A143" s="18">
        <v>42.2</v>
      </c>
      <c r="B143" s="18">
        <v>1.03E-2</v>
      </c>
    </row>
    <row r="144" spans="1:2" x14ac:dyDescent="0.25">
      <c r="A144" s="18">
        <v>42.4</v>
      </c>
      <c r="B144" s="18">
        <v>1.03E-2</v>
      </c>
    </row>
    <row r="145" spans="1:2" x14ac:dyDescent="0.25">
      <c r="A145" s="18">
        <v>42.6</v>
      </c>
      <c r="B145" s="18">
        <v>9.7599999999999996E-3</v>
      </c>
    </row>
    <row r="146" spans="1:2" x14ac:dyDescent="0.25">
      <c r="A146" s="18">
        <v>42.8</v>
      </c>
      <c r="B146" s="18">
        <v>1.03E-2</v>
      </c>
    </row>
    <row r="147" spans="1:2" x14ac:dyDescent="0.25">
      <c r="A147" s="18">
        <v>43</v>
      </c>
      <c r="B147" s="18">
        <v>9.5099999999999994E-3</v>
      </c>
    </row>
    <row r="148" spans="1:2" x14ac:dyDescent="0.25">
      <c r="A148" s="18">
        <v>43.2</v>
      </c>
      <c r="B148" s="18">
        <v>9.8899999999999995E-3</v>
      </c>
    </row>
    <row r="149" spans="1:2" x14ac:dyDescent="0.25">
      <c r="A149" s="18">
        <v>43.4</v>
      </c>
      <c r="B149" s="18">
        <v>9.1800000000000007E-3</v>
      </c>
    </row>
    <row r="150" spans="1:2" x14ac:dyDescent="0.25">
      <c r="A150" s="18">
        <v>43.6</v>
      </c>
      <c r="B150" s="18">
        <v>9.4199999999999996E-3</v>
      </c>
    </row>
    <row r="151" spans="1:2" x14ac:dyDescent="0.25">
      <c r="A151" s="18">
        <v>43.8</v>
      </c>
      <c r="B151" s="18">
        <v>8.9700000000000005E-3</v>
      </c>
    </row>
    <row r="152" spans="1:2" x14ac:dyDescent="0.25">
      <c r="A152" s="18">
        <v>44</v>
      </c>
      <c r="B152" s="18">
        <v>8.9899999999999997E-3</v>
      </c>
    </row>
    <row r="153" spans="1:2" x14ac:dyDescent="0.25">
      <c r="A153" s="18">
        <v>44.2</v>
      </c>
      <c r="B153" s="18">
        <v>8.5599999999999999E-3</v>
      </c>
    </row>
    <row r="154" spans="1:2" x14ac:dyDescent="0.25">
      <c r="A154" s="18">
        <v>44.4</v>
      </c>
      <c r="B154" s="18">
        <v>8.7600000000000004E-3</v>
      </c>
    </row>
    <row r="155" spans="1:2" x14ac:dyDescent="0.25">
      <c r="A155" s="18">
        <v>44.6</v>
      </c>
      <c r="B155" s="18">
        <v>7.9299999999999995E-3</v>
      </c>
    </row>
    <row r="156" spans="1:2" x14ac:dyDescent="0.25">
      <c r="A156" s="18">
        <v>44.8</v>
      </c>
      <c r="B156" s="18">
        <v>8.3800000000000003E-3</v>
      </c>
    </row>
    <row r="157" spans="1:2" x14ac:dyDescent="0.25">
      <c r="A157" s="18">
        <v>45</v>
      </c>
      <c r="B157" s="18">
        <v>7.6400000000000001E-3</v>
      </c>
    </row>
    <row r="158" spans="1:2" x14ac:dyDescent="0.25">
      <c r="A158" s="18">
        <v>45.2</v>
      </c>
      <c r="B158" s="18">
        <v>7.7000000000000002E-3</v>
      </c>
    </row>
    <row r="159" spans="1:2" x14ac:dyDescent="0.25">
      <c r="A159" s="18">
        <v>45.4</v>
      </c>
      <c r="B159" s="18">
        <v>7.5199999999999998E-3</v>
      </c>
    </row>
    <row r="160" spans="1:2" x14ac:dyDescent="0.25">
      <c r="A160" s="18">
        <v>45.6</v>
      </c>
      <c r="B160" s="18">
        <v>7.1599999999999997E-3</v>
      </c>
    </row>
    <row r="161" spans="1:2" x14ac:dyDescent="0.25">
      <c r="A161" s="18">
        <v>45.8</v>
      </c>
      <c r="B161" s="18">
        <v>6.9699999999999996E-3</v>
      </c>
    </row>
    <row r="162" spans="1:2" x14ac:dyDescent="0.25">
      <c r="A162" s="18">
        <v>46</v>
      </c>
      <c r="B162" s="18">
        <v>6.6699999999999997E-3</v>
      </c>
    </row>
    <row r="163" spans="1:2" x14ac:dyDescent="0.25">
      <c r="A163" s="18">
        <v>46.2</v>
      </c>
      <c r="B163" s="18">
        <v>6.5799999999999999E-3</v>
      </c>
    </row>
    <row r="164" spans="1:2" x14ac:dyDescent="0.25">
      <c r="A164" s="18">
        <v>46.4</v>
      </c>
      <c r="B164" s="18">
        <v>6.2399999999999999E-3</v>
      </c>
    </row>
    <row r="165" spans="1:2" x14ac:dyDescent="0.25">
      <c r="A165" s="18">
        <v>46.6</v>
      </c>
      <c r="B165" s="18">
        <v>5.9899999999999997E-3</v>
      </c>
    </row>
    <row r="166" spans="1:2" x14ac:dyDescent="0.25">
      <c r="A166" s="18">
        <v>46.8</v>
      </c>
      <c r="B166" s="18">
        <v>5.7400000000000003E-3</v>
      </c>
    </row>
    <row r="167" spans="1:2" x14ac:dyDescent="0.25">
      <c r="A167" s="18">
        <v>47</v>
      </c>
      <c r="B167" s="18">
        <v>5.47E-3</v>
      </c>
    </row>
    <row r="168" spans="1:2" x14ac:dyDescent="0.25">
      <c r="A168" s="18">
        <v>47.2</v>
      </c>
      <c r="B168" s="18">
        <v>5.1000000000000004E-3</v>
      </c>
    </row>
    <row r="169" spans="1:2" x14ac:dyDescent="0.25">
      <c r="A169" s="18">
        <v>47.4</v>
      </c>
      <c r="B169" s="18">
        <v>5.0699999999999999E-3</v>
      </c>
    </row>
    <row r="170" spans="1:2" x14ac:dyDescent="0.25">
      <c r="A170" s="18">
        <v>47.6</v>
      </c>
      <c r="B170" s="18">
        <v>4.5700000000000003E-3</v>
      </c>
    </row>
    <row r="171" spans="1:2" x14ac:dyDescent="0.25">
      <c r="A171" s="18">
        <v>47.8</v>
      </c>
      <c r="B171" s="18">
        <v>4.2700000000000004E-3</v>
      </c>
    </row>
    <row r="172" spans="1:2" x14ac:dyDescent="0.25">
      <c r="A172" s="18">
        <v>48</v>
      </c>
      <c r="B172" s="18">
        <v>4.0600000000000002E-3</v>
      </c>
    </row>
    <row r="173" spans="1:2" x14ac:dyDescent="0.25">
      <c r="A173" s="18">
        <v>48.2</v>
      </c>
      <c r="B173" s="18">
        <v>3.8500000000000001E-3</v>
      </c>
    </row>
    <row r="174" spans="1:2" x14ac:dyDescent="0.25">
      <c r="A174" s="18">
        <v>48.4</v>
      </c>
      <c r="B174" s="18">
        <v>3.2000000000000002E-3</v>
      </c>
    </row>
    <row r="175" spans="1:2" x14ac:dyDescent="0.25">
      <c r="A175" s="18">
        <v>48.6</v>
      </c>
      <c r="B175" s="18">
        <v>3.31E-3</v>
      </c>
    </row>
    <row r="176" spans="1:2" x14ac:dyDescent="0.25">
      <c r="A176" s="18">
        <v>48.8</v>
      </c>
      <c r="B176" s="18">
        <v>2.5699999999999998E-3</v>
      </c>
    </row>
    <row r="177" spans="1:2" x14ac:dyDescent="0.25">
      <c r="A177" s="18">
        <v>49</v>
      </c>
      <c r="B177" s="18">
        <v>2.5799999999999998E-3</v>
      </c>
    </row>
    <row r="178" spans="1:2" x14ac:dyDescent="0.25">
      <c r="A178" s="18">
        <v>49.2</v>
      </c>
      <c r="B178" s="18">
        <v>1.99E-3</v>
      </c>
    </row>
    <row r="179" spans="1:2" x14ac:dyDescent="0.25">
      <c r="A179" s="18">
        <v>49.4</v>
      </c>
      <c r="B179" s="18">
        <v>1.66E-3</v>
      </c>
    </row>
    <row r="180" spans="1:2" x14ac:dyDescent="0.25">
      <c r="A180" s="18">
        <v>49.6</v>
      </c>
      <c r="B180" s="18">
        <v>1.24E-3</v>
      </c>
    </row>
    <row r="181" spans="1:2" x14ac:dyDescent="0.25">
      <c r="A181" s="18">
        <v>49.8</v>
      </c>
      <c r="B181" s="18">
        <v>7.4299999999999995E-4</v>
      </c>
    </row>
    <row r="182" spans="1:2" x14ac:dyDescent="0.25">
      <c r="A182" s="18">
        <v>50</v>
      </c>
      <c r="B182" s="18">
        <v>2.9700000000000001E-4</v>
      </c>
    </row>
    <row r="183" spans="1:2" x14ac:dyDescent="0.25">
      <c r="A183" s="18">
        <v>50.2</v>
      </c>
      <c r="B183" s="18">
        <v>2.3099999999999999E-5</v>
      </c>
    </row>
    <row r="184" spans="1:2" x14ac:dyDescent="0.25">
      <c r="A184" s="18">
        <v>50.4</v>
      </c>
      <c r="B184" s="18">
        <v>1.22E-5</v>
      </c>
    </row>
    <row r="185" spans="1:2" x14ac:dyDescent="0.25">
      <c r="A185" s="18">
        <v>50.6</v>
      </c>
      <c r="B185" s="18">
        <v>1.1599999999999999E-6</v>
      </c>
    </row>
    <row r="186" spans="1:2" x14ac:dyDescent="0.25">
      <c r="A186" s="18">
        <v>50.8</v>
      </c>
      <c r="B186" s="18">
        <v>4.4099999999999999E-7</v>
      </c>
    </row>
    <row r="187" spans="1:2" x14ac:dyDescent="0.25">
      <c r="A187" s="18">
        <v>51</v>
      </c>
      <c r="B187" s="18">
        <v>3.3400000000000002E-6</v>
      </c>
    </row>
    <row r="188" spans="1:2" x14ac:dyDescent="0.25">
      <c r="A188" s="18">
        <v>51.2</v>
      </c>
      <c r="B188" s="18">
        <v>4.5399999999999997E-6</v>
      </c>
    </row>
    <row r="189" spans="1:2" x14ac:dyDescent="0.25">
      <c r="A189" s="18">
        <v>51.4</v>
      </c>
      <c r="B189" s="18">
        <v>5.6400000000000002E-6</v>
      </c>
    </row>
    <row r="190" spans="1:2" x14ac:dyDescent="0.25">
      <c r="A190" s="18">
        <v>51.6</v>
      </c>
      <c r="B190" s="18">
        <v>2.8700000000000001E-6</v>
      </c>
    </row>
    <row r="191" spans="1:2" x14ac:dyDescent="0.25">
      <c r="A191" s="18">
        <v>51.8</v>
      </c>
      <c r="B191" s="18">
        <v>2.2500000000000001E-6</v>
      </c>
    </row>
    <row r="192" spans="1:2" x14ac:dyDescent="0.25">
      <c r="A192" s="18">
        <v>52</v>
      </c>
      <c r="B192" s="18">
        <v>1.66E-6</v>
      </c>
    </row>
  </sheetData>
  <pageMargins left="0.7" right="0.7" top="0.75" bottom="0.75" header="0.3" footer="0.3"/>
  <pageSetup paperSize="9" orientation="portrait" r:id="rId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0-000000000000}">
  <dimension ref="A1:B86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20</v>
      </c>
      <c r="B2" s="18">
        <v>1.03E-4</v>
      </c>
    </row>
    <row r="3" spans="1:2" x14ac:dyDescent="0.25">
      <c r="A3" s="18">
        <v>20.5</v>
      </c>
      <c r="B3" s="18">
        <v>1.17E-4</v>
      </c>
    </row>
    <row r="4" spans="1:2" x14ac:dyDescent="0.25">
      <c r="A4" s="18">
        <v>21</v>
      </c>
      <c r="B4" s="18">
        <v>1.2E-4</v>
      </c>
    </row>
    <row r="5" spans="1:2" x14ac:dyDescent="0.25">
      <c r="A5" s="18">
        <v>21.5</v>
      </c>
      <c r="B5" s="18">
        <v>5.1499999999999998E-5</v>
      </c>
    </row>
    <row r="6" spans="1:2" x14ac:dyDescent="0.25">
      <c r="A6" s="18">
        <v>22</v>
      </c>
      <c r="B6" s="18">
        <v>7.0400000000000004E-5</v>
      </c>
    </row>
    <row r="7" spans="1:2" x14ac:dyDescent="0.25">
      <c r="A7" s="18">
        <v>22.5</v>
      </c>
      <c r="B7" s="18">
        <v>3.7599999999999999E-5</v>
      </c>
    </row>
    <row r="8" spans="1:2" x14ac:dyDescent="0.25">
      <c r="A8" s="18">
        <v>23</v>
      </c>
      <c r="B8" s="18">
        <v>1.15E-4</v>
      </c>
    </row>
    <row r="9" spans="1:2" x14ac:dyDescent="0.25">
      <c r="A9" s="18">
        <v>23.5</v>
      </c>
      <c r="B9" s="18">
        <v>1.5300000000000001E-4</v>
      </c>
    </row>
    <row r="10" spans="1:2" x14ac:dyDescent="0.25">
      <c r="A10" s="18">
        <v>24</v>
      </c>
      <c r="B10" s="18">
        <v>1.4300000000000001E-4</v>
      </c>
    </row>
    <row r="11" spans="1:2" x14ac:dyDescent="0.25">
      <c r="A11" s="18">
        <v>24.5</v>
      </c>
      <c r="B11" s="18">
        <v>1.6100000000000001E-4</v>
      </c>
    </row>
    <row r="12" spans="1:2" x14ac:dyDescent="0.25">
      <c r="A12" s="18">
        <v>25</v>
      </c>
      <c r="B12" s="18">
        <v>2.24E-4</v>
      </c>
    </row>
    <row r="13" spans="1:2" x14ac:dyDescent="0.25">
      <c r="A13" s="18">
        <v>25.5</v>
      </c>
      <c r="B13" s="18">
        <v>3.6499999999999998E-4</v>
      </c>
    </row>
    <row r="14" spans="1:2" x14ac:dyDescent="0.25">
      <c r="A14" s="18">
        <v>26</v>
      </c>
      <c r="B14" s="18">
        <v>5.9100000000000005E-4</v>
      </c>
    </row>
    <row r="15" spans="1:2" x14ac:dyDescent="0.25">
      <c r="A15" s="18">
        <v>26.5</v>
      </c>
      <c r="B15" s="18">
        <v>7.3200000000000001E-4</v>
      </c>
    </row>
    <row r="16" spans="1:2" x14ac:dyDescent="0.25">
      <c r="A16" s="18">
        <v>27</v>
      </c>
      <c r="B16" s="18">
        <v>1.01E-3</v>
      </c>
    </row>
    <row r="17" spans="1:2" x14ac:dyDescent="0.25">
      <c r="A17" s="18">
        <v>27.5</v>
      </c>
      <c r="B17" s="18">
        <v>1.25E-3</v>
      </c>
    </row>
    <row r="18" spans="1:2" x14ac:dyDescent="0.25">
      <c r="A18" s="18">
        <v>28</v>
      </c>
      <c r="B18" s="18">
        <v>1.6999999999999999E-3</v>
      </c>
    </row>
    <row r="19" spans="1:2" x14ac:dyDescent="0.25">
      <c r="A19" s="18">
        <v>28.5</v>
      </c>
      <c r="B19" s="18">
        <v>2.2300000000000002E-3</v>
      </c>
    </row>
    <row r="20" spans="1:2" x14ac:dyDescent="0.25">
      <c r="A20" s="18">
        <v>29</v>
      </c>
      <c r="B20" s="18">
        <v>2.7499999999999998E-3</v>
      </c>
    </row>
    <row r="21" spans="1:2" x14ac:dyDescent="0.25">
      <c r="A21" s="18">
        <v>29.5</v>
      </c>
      <c r="B21" s="18">
        <v>3.32E-3</v>
      </c>
    </row>
    <row r="22" spans="1:2" x14ac:dyDescent="0.25">
      <c r="A22" s="18">
        <v>30</v>
      </c>
      <c r="B22" s="18">
        <v>3.9699999999999996E-3</v>
      </c>
    </row>
    <row r="23" spans="1:2" x14ac:dyDescent="0.25">
      <c r="A23" s="18">
        <v>30.5</v>
      </c>
      <c r="B23" s="18">
        <v>4.7600000000000003E-3</v>
      </c>
    </row>
    <row r="24" spans="1:2" x14ac:dyDescent="0.25">
      <c r="A24" s="18">
        <v>31</v>
      </c>
      <c r="B24" s="18">
        <v>5.6100000000000004E-3</v>
      </c>
    </row>
    <row r="25" spans="1:2" x14ac:dyDescent="0.25">
      <c r="A25" s="18">
        <v>31.5</v>
      </c>
      <c r="B25" s="18">
        <v>6.4700000000000001E-3</v>
      </c>
    </row>
    <row r="26" spans="1:2" x14ac:dyDescent="0.25">
      <c r="A26" s="18">
        <v>32</v>
      </c>
      <c r="B26" s="18">
        <v>7.5399999999999998E-3</v>
      </c>
    </row>
    <row r="27" spans="1:2" x14ac:dyDescent="0.25">
      <c r="A27" s="18">
        <v>32.5</v>
      </c>
      <c r="B27" s="18">
        <v>8.4399999999999996E-3</v>
      </c>
    </row>
    <row r="28" spans="1:2" x14ac:dyDescent="0.25">
      <c r="A28" s="18">
        <v>33</v>
      </c>
      <c r="B28" s="18">
        <v>9.4400000000000005E-3</v>
      </c>
    </row>
    <row r="29" spans="1:2" x14ac:dyDescent="0.25">
      <c r="A29" s="18">
        <v>33.5</v>
      </c>
      <c r="B29" s="18">
        <v>1.0500000000000001E-2</v>
      </c>
    </row>
    <row r="30" spans="1:2" x14ac:dyDescent="0.25">
      <c r="A30" s="18">
        <v>34</v>
      </c>
      <c r="B30" s="18">
        <v>1.1599999999999999E-2</v>
      </c>
    </row>
    <row r="31" spans="1:2" x14ac:dyDescent="0.25">
      <c r="A31" s="18">
        <v>34.5</v>
      </c>
      <c r="B31" s="18">
        <v>1.26E-2</v>
      </c>
    </row>
    <row r="32" spans="1:2" x14ac:dyDescent="0.25">
      <c r="A32" s="18">
        <v>35</v>
      </c>
      <c r="B32" s="18">
        <v>1.3599999999999999E-2</v>
      </c>
    </row>
    <row r="33" spans="1:2" x14ac:dyDescent="0.25">
      <c r="A33" s="18">
        <v>35.5</v>
      </c>
      <c r="B33" s="18">
        <v>1.47E-2</v>
      </c>
    </row>
    <row r="34" spans="1:2" x14ac:dyDescent="0.25">
      <c r="A34" s="18">
        <v>36</v>
      </c>
      <c r="B34" s="18">
        <v>1.5599999999999999E-2</v>
      </c>
    </row>
    <row r="35" spans="1:2" x14ac:dyDescent="0.25">
      <c r="A35" s="18">
        <v>36.5</v>
      </c>
      <c r="B35" s="18">
        <v>1.6400000000000001E-2</v>
      </c>
    </row>
    <row r="36" spans="1:2" x14ac:dyDescent="0.25">
      <c r="A36" s="18">
        <v>37</v>
      </c>
      <c r="B36" s="18">
        <v>1.7500000000000002E-2</v>
      </c>
    </row>
    <row r="37" spans="1:2" x14ac:dyDescent="0.25">
      <c r="A37" s="18">
        <v>37.5</v>
      </c>
      <c r="B37" s="18">
        <v>1.84E-2</v>
      </c>
    </row>
    <row r="38" spans="1:2" x14ac:dyDescent="0.25">
      <c r="A38" s="18">
        <v>38</v>
      </c>
      <c r="B38" s="18">
        <v>1.9099999999999999E-2</v>
      </c>
    </row>
    <row r="39" spans="1:2" x14ac:dyDescent="0.25">
      <c r="A39" s="18">
        <v>38.5</v>
      </c>
      <c r="B39" s="18">
        <v>1.9699999999999999E-2</v>
      </c>
    </row>
    <row r="40" spans="1:2" x14ac:dyDescent="0.25">
      <c r="A40" s="18">
        <v>39</v>
      </c>
      <c r="B40" s="18">
        <v>2.0299999999999999E-2</v>
      </c>
    </row>
    <row r="41" spans="1:2" x14ac:dyDescent="0.25">
      <c r="A41" s="18">
        <v>39.5</v>
      </c>
      <c r="B41" s="18">
        <v>2.1000000000000001E-2</v>
      </c>
    </row>
    <row r="42" spans="1:2" x14ac:dyDescent="0.25">
      <c r="A42" s="18">
        <v>40</v>
      </c>
      <c r="B42" s="18">
        <v>2.1600000000000001E-2</v>
      </c>
    </row>
    <row r="43" spans="1:2" x14ac:dyDescent="0.25">
      <c r="A43" s="18">
        <v>40.5</v>
      </c>
      <c r="B43" s="18">
        <v>2.2100000000000002E-2</v>
      </c>
    </row>
    <row r="44" spans="1:2" x14ac:dyDescent="0.25">
      <c r="A44" s="18">
        <v>41</v>
      </c>
      <c r="B44" s="18">
        <v>2.2599999999999999E-2</v>
      </c>
    </row>
    <row r="45" spans="1:2" x14ac:dyDescent="0.25">
      <c r="A45" s="18">
        <v>41.5</v>
      </c>
      <c r="B45" s="18">
        <v>2.3E-2</v>
      </c>
    </row>
    <row r="46" spans="1:2" x14ac:dyDescent="0.25">
      <c r="A46" s="18">
        <v>42</v>
      </c>
      <c r="B46" s="18">
        <v>2.35E-2</v>
      </c>
    </row>
    <row r="47" spans="1:2" x14ac:dyDescent="0.25">
      <c r="A47" s="18">
        <v>42.5</v>
      </c>
      <c r="B47" s="18">
        <v>2.3800000000000002E-2</v>
      </c>
    </row>
    <row r="48" spans="1:2" x14ac:dyDescent="0.25">
      <c r="A48" s="18">
        <v>43</v>
      </c>
      <c r="B48" s="18">
        <v>2.3900000000000001E-2</v>
      </c>
    </row>
    <row r="49" spans="1:2" x14ac:dyDescent="0.25">
      <c r="A49" s="18">
        <v>43.5</v>
      </c>
      <c r="B49" s="18">
        <v>2.4199999999999999E-2</v>
      </c>
    </row>
    <row r="50" spans="1:2" x14ac:dyDescent="0.25">
      <c r="A50" s="18">
        <v>44</v>
      </c>
      <c r="B50" s="18">
        <v>2.4199999999999999E-2</v>
      </c>
    </row>
    <row r="51" spans="1:2" x14ac:dyDescent="0.25">
      <c r="A51" s="18">
        <v>44.5</v>
      </c>
      <c r="B51" s="18">
        <v>2.4299999999999999E-2</v>
      </c>
    </row>
    <row r="52" spans="1:2" x14ac:dyDescent="0.25">
      <c r="A52" s="18">
        <v>45</v>
      </c>
      <c r="B52" s="18">
        <v>2.4199999999999999E-2</v>
      </c>
    </row>
    <row r="53" spans="1:2" x14ac:dyDescent="0.25">
      <c r="A53" s="18">
        <v>45.5</v>
      </c>
      <c r="B53" s="18">
        <v>2.4199999999999999E-2</v>
      </c>
    </row>
    <row r="54" spans="1:2" x14ac:dyDescent="0.25">
      <c r="A54" s="18">
        <v>46</v>
      </c>
      <c r="B54" s="18">
        <v>2.3900000000000001E-2</v>
      </c>
    </row>
    <row r="55" spans="1:2" x14ac:dyDescent="0.25">
      <c r="A55" s="18">
        <v>46.5</v>
      </c>
      <c r="B55" s="18">
        <v>2.3599999999999999E-2</v>
      </c>
    </row>
    <row r="56" spans="1:2" x14ac:dyDescent="0.25">
      <c r="A56" s="18">
        <v>47</v>
      </c>
      <c r="B56" s="18">
        <v>2.3400000000000001E-2</v>
      </c>
    </row>
    <row r="57" spans="1:2" x14ac:dyDescent="0.25">
      <c r="A57" s="18">
        <v>47.5</v>
      </c>
      <c r="B57" s="18">
        <v>2.3E-2</v>
      </c>
    </row>
    <row r="58" spans="1:2" x14ac:dyDescent="0.25">
      <c r="A58" s="18">
        <v>48</v>
      </c>
      <c r="B58" s="18">
        <v>2.2700000000000001E-2</v>
      </c>
    </row>
    <row r="59" spans="1:2" x14ac:dyDescent="0.25">
      <c r="A59" s="18">
        <v>48.5</v>
      </c>
      <c r="B59" s="18">
        <v>2.23E-2</v>
      </c>
    </row>
    <row r="60" spans="1:2" x14ac:dyDescent="0.25">
      <c r="A60" s="18">
        <v>49</v>
      </c>
      <c r="B60" s="18">
        <v>2.1700000000000001E-2</v>
      </c>
    </row>
    <row r="61" spans="1:2" x14ac:dyDescent="0.25">
      <c r="A61" s="18">
        <v>49.5</v>
      </c>
      <c r="B61" s="18">
        <v>2.1299999999999999E-2</v>
      </c>
    </row>
    <row r="62" spans="1:2" x14ac:dyDescent="0.25">
      <c r="A62" s="18">
        <v>50</v>
      </c>
      <c r="B62" s="18">
        <v>2.07E-2</v>
      </c>
    </row>
    <row r="63" spans="1:2" x14ac:dyDescent="0.25">
      <c r="A63" s="18">
        <v>50.5</v>
      </c>
      <c r="B63" s="18">
        <v>2.01E-2</v>
      </c>
    </row>
    <row r="64" spans="1:2" x14ac:dyDescent="0.25">
      <c r="A64" s="18">
        <v>51</v>
      </c>
      <c r="B64" s="18">
        <v>1.95E-2</v>
      </c>
    </row>
    <row r="65" spans="1:2" x14ac:dyDescent="0.25">
      <c r="A65" s="18">
        <v>51.5</v>
      </c>
      <c r="B65" s="18">
        <v>1.9E-2</v>
      </c>
    </row>
    <row r="66" spans="1:2" x14ac:dyDescent="0.25">
      <c r="A66" s="18">
        <v>52</v>
      </c>
      <c r="B66" s="18">
        <v>1.8200000000000001E-2</v>
      </c>
    </row>
    <row r="67" spans="1:2" x14ac:dyDescent="0.25">
      <c r="A67" s="18">
        <v>52.5</v>
      </c>
      <c r="B67" s="18">
        <v>1.77E-2</v>
      </c>
    </row>
    <row r="68" spans="1:2" x14ac:dyDescent="0.25">
      <c r="A68" s="18">
        <v>53</v>
      </c>
      <c r="B68" s="18">
        <v>1.6899999999999998E-2</v>
      </c>
    </row>
    <row r="69" spans="1:2" x14ac:dyDescent="0.25">
      <c r="A69" s="18">
        <v>53.5</v>
      </c>
      <c r="B69" s="18">
        <v>1.6199999999999999E-2</v>
      </c>
    </row>
    <row r="70" spans="1:2" x14ac:dyDescent="0.25">
      <c r="A70" s="18">
        <v>54</v>
      </c>
      <c r="B70" s="18">
        <v>1.52E-2</v>
      </c>
    </row>
    <row r="71" spans="1:2" x14ac:dyDescent="0.25">
      <c r="A71" s="18">
        <v>54.5</v>
      </c>
      <c r="B71" s="18">
        <v>1.4500000000000001E-2</v>
      </c>
    </row>
    <row r="72" spans="1:2" x14ac:dyDescent="0.25">
      <c r="A72" s="18">
        <v>55</v>
      </c>
      <c r="B72" s="18">
        <v>1.35E-2</v>
      </c>
    </row>
    <row r="73" spans="1:2" x14ac:dyDescent="0.25">
      <c r="A73" s="18">
        <v>55.5</v>
      </c>
      <c r="B73" s="18">
        <v>1.26E-2</v>
      </c>
    </row>
    <row r="74" spans="1:2" x14ac:dyDescent="0.25">
      <c r="A74" s="18">
        <v>56</v>
      </c>
      <c r="B74" s="18">
        <v>1.15E-2</v>
      </c>
    </row>
    <row r="75" spans="1:2" x14ac:dyDescent="0.25">
      <c r="A75" s="18">
        <v>56.5</v>
      </c>
      <c r="B75" s="18">
        <v>1.0500000000000001E-2</v>
      </c>
    </row>
    <row r="76" spans="1:2" x14ac:dyDescent="0.25">
      <c r="A76" s="18">
        <v>57</v>
      </c>
      <c r="B76" s="18">
        <v>9.4199999999999996E-3</v>
      </c>
    </row>
    <row r="77" spans="1:2" x14ac:dyDescent="0.25">
      <c r="A77" s="18">
        <v>57.5</v>
      </c>
      <c r="B77" s="18">
        <v>8.1799999999999998E-3</v>
      </c>
    </row>
    <row r="78" spans="1:2" x14ac:dyDescent="0.25">
      <c r="A78" s="18">
        <v>58</v>
      </c>
      <c r="B78" s="18">
        <v>6.96E-3</v>
      </c>
    </row>
    <row r="79" spans="1:2" x14ac:dyDescent="0.25">
      <c r="A79" s="18">
        <v>58.5</v>
      </c>
      <c r="B79" s="18">
        <v>5.6800000000000002E-3</v>
      </c>
    </row>
    <row r="80" spans="1:2" x14ac:dyDescent="0.25">
      <c r="A80" s="18">
        <v>59</v>
      </c>
      <c r="B80" s="18">
        <v>4.2199999999999998E-3</v>
      </c>
    </row>
    <row r="81" spans="1:2" x14ac:dyDescent="0.25">
      <c r="A81" s="18">
        <v>59.5</v>
      </c>
      <c r="B81" s="18">
        <v>2.64E-3</v>
      </c>
    </row>
    <row r="82" spans="1:2" x14ac:dyDescent="0.25">
      <c r="A82" s="18">
        <v>60</v>
      </c>
      <c r="B82" s="18">
        <v>7.2599999999999997E-4</v>
      </c>
    </row>
    <row r="83" spans="1:2" x14ac:dyDescent="0.25">
      <c r="A83" s="18">
        <v>60.5</v>
      </c>
      <c r="B83" s="18">
        <v>8.4100000000000008E-6</v>
      </c>
    </row>
    <row r="84" spans="1:2" x14ac:dyDescent="0.25">
      <c r="A84" s="18">
        <v>61</v>
      </c>
      <c r="B84" s="18">
        <v>3.3200000000000001E-7</v>
      </c>
    </row>
    <row r="85" spans="1:2" x14ac:dyDescent="0.25">
      <c r="A85" s="18">
        <v>61.5</v>
      </c>
      <c r="B85" s="18">
        <v>1.1799999999999999E-6</v>
      </c>
    </row>
    <row r="86" spans="1:2" x14ac:dyDescent="0.25">
      <c r="A86" s="18">
        <v>62</v>
      </c>
      <c r="B86" s="18">
        <v>1.1000000000000001E-7</v>
      </c>
    </row>
  </sheetData>
  <pageMargins left="0.7" right="0.7" top="0.75" bottom="0.75" header="0.3" footer="0.3"/>
  <pageSetup paperSize="9" orientation="portrait" r:id="rId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0-000000000000}">
  <dimension ref="A1:B100"/>
  <sheetViews>
    <sheetView workbookViewId="0"/>
  </sheetViews>
  <sheetFormatPr defaultRowHeight="15" x14ac:dyDescent="0.25"/>
  <cols>
    <col min="1" max="1" width="21.42578125" customWidth="1"/>
    <col min="2" max="2" width="19.425781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23</v>
      </c>
      <c r="B2" s="18">
        <v>4.7599999999999998E-5</v>
      </c>
    </row>
    <row r="3" spans="1:2" x14ac:dyDescent="0.25">
      <c r="A3" s="18">
        <v>23.5</v>
      </c>
      <c r="B3" s="18">
        <v>7.3399999999999995E-5</v>
      </c>
    </row>
    <row r="4" spans="1:2" x14ac:dyDescent="0.25">
      <c r="A4" s="18">
        <v>24</v>
      </c>
      <c r="B4" s="18">
        <v>4.0899999999999998E-5</v>
      </c>
    </row>
    <row r="5" spans="1:2" x14ac:dyDescent="0.25">
      <c r="A5" s="18">
        <v>24.5</v>
      </c>
      <c r="B5" s="18">
        <v>6.1600000000000007E-5</v>
      </c>
    </row>
    <row r="6" spans="1:2" x14ac:dyDescent="0.25">
      <c r="A6" s="18">
        <v>25</v>
      </c>
      <c r="B6" s="18">
        <v>5.0699999999999999E-5</v>
      </c>
    </row>
    <row r="7" spans="1:2" x14ac:dyDescent="0.25">
      <c r="A7" s="18">
        <v>25.5</v>
      </c>
      <c r="B7" s="18">
        <v>8.0199999999999998E-5</v>
      </c>
    </row>
    <row r="8" spans="1:2" x14ac:dyDescent="0.25">
      <c r="A8" s="18">
        <v>26</v>
      </c>
      <c r="B8" s="18">
        <v>1.2300000000000001E-4</v>
      </c>
    </row>
    <row r="9" spans="1:2" x14ac:dyDescent="0.25">
      <c r="A9" s="18">
        <v>26.5</v>
      </c>
      <c r="B9" s="18">
        <v>1.36E-4</v>
      </c>
    </row>
    <row r="10" spans="1:2" x14ac:dyDescent="0.25">
      <c r="A10" s="18">
        <v>27</v>
      </c>
      <c r="B10" s="18">
        <v>1.6899999999999999E-4</v>
      </c>
    </row>
    <row r="11" spans="1:2" x14ac:dyDescent="0.25">
      <c r="A11" s="18">
        <v>27.5</v>
      </c>
      <c r="B11" s="18">
        <v>2.23E-4</v>
      </c>
    </row>
    <row r="12" spans="1:2" x14ac:dyDescent="0.25">
      <c r="A12" s="18">
        <v>28</v>
      </c>
      <c r="B12" s="18">
        <v>3.28E-4</v>
      </c>
    </row>
    <row r="13" spans="1:2" x14ac:dyDescent="0.25">
      <c r="A13" s="18">
        <v>28.5</v>
      </c>
      <c r="B13" s="18">
        <v>4.5800000000000002E-4</v>
      </c>
    </row>
    <row r="14" spans="1:2" x14ac:dyDescent="0.25">
      <c r="A14" s="18">
        <v>29</v>
      </c>
      <c r="B14" s="18">
        <v>6.2699999999999995E-4</v>
      </c>
    </row>
    <row r="15" spans="1:2" x14ac:dyDescent="0.25">
      <c r="A15" s="18">
        <v>29.5</v>
      </c>
      <c r="B15" s="18">
        <v>8.3299999999999997E-4</v>
      </c>
    </row>
    <row r="16" spans="1:2" x14ac:dyDescent="0.25">
      <c r="A16" s="18">
        <v>30</v>
      </c>
      <c r="B16" s="18">
        <v>1.06E-3</v>
      </c>
    </row>
    <row r="17" spans="1:2" x14ac:dyDescent="0.25">
      <c r="A17" s="18">
        <v>30.5</v>
      </c>
      <c r="B17" s="18">
        <v>1.31E-3</v>
      </c>
    </row>
    <row r="18" spans="1:2" x14ac:dyDescent="0.25">
      <c r="A18" s="18">
        <v>31</v>
      </c>
      <c r="B18" s="18">
        <v>1.6100000000000001E-3</v>
      </c>
    </row>
    <row r="19" spans="1:2" x14ac:dyDescent="0.25">
      <c r="A19" s="18">
        <v>31.5</v>
      </c>
      <c r="B19" s="18">
        <v>1.9499999999999999E-3</v>
      </c>
    </row>
    <row r="20" spans="1:2" x14ac:dyDescent="0.25">
      <c r="A20" s="18">
        <v>32</v>
      </c>
      <c r="B20" s="18">
        <v>2.3999999999999998E-3</v>
      </c>
    </row>
    <row r="21" spans="1:2" x14ac:dyDescent="0.25">
      <c r="A21" s="18">
        <v>32.5</v>
      </c>
      <c r="B21" s="18">
        <v>2.8500000000000001E-3</v>
      </c>
    </row>
    <row r="22" spans="1:2" x14ac:dyDescent="0.25">
      <c r="A22" s="18">
        <v>33</v>
      </c>
      <c r="B22" s="18">
        <v>3.3500000000000001E-3</v>
      </c>
    </row>
    <row r="23" spans="1:2" x14ac:dyDescent="0.25">
      <c r="A23" s="18">
        <v>33.5</v>
      </c>
      <c r="B23" s="18">
        <v>3.8E-3</v>
      </c>
    </row>
    <row r="24" spans="1:2" x14ac:dyDescent="0.25">
      <c r="A24" s="18">
        <v>34</v>
      </c>
      <c r="B24" s="18">
        <v>4.4999999999999997E-3</v>
      </c>
    </row>
    <row r="25" spans="1:2" x14ac:dyDescent="0.25">
      <c r="A25" s="18">
        <v>34.5</v>
      </c>
      <c r="B25" s="18">
        <v>5.0000000000000001E-3</v>
      </c>
    </row>
    <row r="26" spans="1:2" x14ac:dyDescent="0.25">
      <c r="A26" s="18">
        <v>35</v>
      </c>
      <c r="B26" s="18">
        <v>5.64E-3</v>
      </c>
    </row>
    <row r="27" spans="1:2" x14ac:dyDescent="0.25">
      <c r="A27" s="18">
        <v>35.5</v>
      </c>
      <c r="B27" s="18">
        <v>6.3899999999999998E-3</v>
      </c>
    </row>
    <row r="28" spans="1:2" x14ac:dyDescent="0.25">
      <c r="A28" s="18">
        <v>36</v>
      </c>
      <c r="B28" s="18">
        <v>6.9800000000000001E-3</v>
      </c>
    </row>
    <row r="29" spans="1:2" x14ac:dyDescent="0.25">
      <c r="A29" s="18">
        <v>36.5</v>
      </c>
      <c r="B29" s="18">
        <v>7.7099999999999998E-3</v>
      </c>
    </row>
    <row r="30" spans="1:2" x14ac:dyDescent="0.25">
      <c r="A30" s="18">
        <v>37</v>
      </c>
      <c r="B30" s="18">
        <v>8.3899999999999999E-3</v>
      </c>
    </row>
    <row r="31" spans="1:2" x14ac:dyDescent="0.25">
      <c r="A31" s="18">
        <v>37.5</v>
      </c>
      <c r="B31" s="18">
        <v>9.0500000000000008E-3</v>
      </c>
    </row>
    <row r="32" spans="1:2" x14ac:dyDescent="0.25">
      <c r="A32" s="18">
        <v>38</v>
      </c>
      <c r="B32" s="18">
        <v>9.7699999999999992E-3</v>
      </c>
    </row>
    <row r="33" spans="1:2" x14ac:dyDescent="0.25">
      <c r="A33" s="18">
        <v>38.5</v>
      </c>
      <c r="B33" s="18">
        <v>1.0500000000000001E-2</v>
      </c>
    </row>
    <row r="34" spans="1:2" x14ac:dyDescent="0.25">
      <c r="A34" s="18">
        <v>39</v>
      </c>
      <c r="B34" s="18">
        <v>1.12E-2</v>
      </c>
    </row>
    <row r="35" spans="1:2" x14ac:dyDescent="0.25">
      <c r="A35" s="18">
        <v>39.5</v>
      </c>
      <c r="B35" s="18">
        <v>1.17E-2</v>
      </c>
    </row>
    <row r="36" spans="1:2" x14ac:dyDescent="0.25">
      <c r="A36" s="18">
        <v>40</v>
      </c>
      <c r="B36" s="18">
        <v>1.2500000000000001E-2</v>
      </c>
    </row>
    <row r="37" spans="1:2" x14ac:dyDescent="0.25">
      <c r="A37" s="18">
        <v>40.5</v>
      </c>
      <c r="B37" s="18">
        <v>1.2999999999999999E-2</v>
      </c>
    </row>
    <row r="38" spans="1:2" x14ac:dyDescent="0.25">
      <c r="A38" s="18">
        <v>41</v>
      </c>
      <c r="B38" s="18">
        <v>1.37E-2</v>
      </c>
    </row>
    <row r="39" spans="1:2" x14ac:dyDescent="0.25">
      <c r="A39" s="18">
        <v>41.5</v>
      </c>
      <c r="B39" s="18">
        <v>1.44E-2</v>
      </c>
    </row>
    <row r="40" spans="1:2" x14ac:dyDescent="0.25">
      <c r="A40" s="18">
        <v>42</v>
      </c>
      <c r="B40" s="18">
        <v>1.4999999999999999E-2</v>
      </c>
    </row>
    <row r="41" spans="1:2" x14ac:dyDescent="0.25">
      <c r="A41" s="18">
        <v>42.5</v>
      </c>
      <c r="B41" s="18">
        <v>1.55E-2</v>
      </c>
    </row>
    <row r="42" spans="1:2" x14ac:dyDescent="0.25">
      <c r="A42" s="18">
        <v>43</v>
      </c>
      <c r="B42" s="18">
        <v>1.6E-2</v>
      </c>
    </row>
    <row r="43" spans="1:2" x14ac:dyDescent="0.25">
      <c r="A43" s="18">
        <v>43.5</v>
      </c>
      <c r="B43" s="18">
        <v>1.6500000000000001E-2</v>
      </c>
    </row>
    <row r="44" spans="1:2" x14ac:dyDescent="0.25">
      <c r="A44" s="18">
        <v>44</v>
      </c>
      <c r="B44" s="18">
        <v>1.7000000000000001E-2</v>
      </c>
    </row>
    <row r="45" spans="1:2" x14ac:dyDescent="0.25">
      <c r="A45" s="18">
        <v>44.5</v>
      </c>
      <c r="B45" s="18">
        <v>1.7500000000000002E-2</v>
      </c>
    </row>
    <row r="46" spans="1:2" x14ac:dyDescent="0.25">
      <c r="A46" s="18">
        <v>45</v>
      </c>
      <c r="B46" s="18">
        <v>1.78E-2</v>
      </c>
    </row>
    <row r="47" spans="1:2" x14ac:dyDescent="0.25">
      <c r="A47" s="18">
        <v>45.5</v>
      </c>
      <c r="B47" s="18">
        <v>1.7999999999999999E-2</v>
      </c>
    </row>
    <row r="48" spans="1:2" x14ac:dyDescent="0.25">
      <c r="A48" s="18">
        <v>46</v>
      </c>
      <c r="B48" s="18">
        <v>1.83E-2</v>
      </c>
    </row>
    <row r="49" spans="1:2" x14ac:dyDescent="0.25">
      <c r="A49" s="18">
        <v>46.5</v>
      </c>
      <c r="B49" s="18">
        <v>1.8599999999999998E-2</v>
      </c>
    </row>
    <row r="50" spans="1:2" x14ac:dyDescent="0.25">
      <c r="A50" s="18">
        <v>47</v>
      </c>
      <c r="B50" s="18">
        <v>1.8700000000000001E-2</v>
      </c>
    </row>
    <row r="51" spans="1:2" x14ac:dyDescent="0.25">
      <c r="A51" s="18">
        <v>47.5</v>
      </c>
      <c r="B51" s="18">
        <v>1.9E-2</v>
      </c>
    </row>
    <row r="52" spans="1:2" x14ac:dyDescent="0.25">
      <c r="A52" s="18">
        <v>48</v>
      </c>
      <c r="B52" s="18">
        <v>1.9099999999999999E-2</v>
      </c>
    </row>
    <row r="53" spans="1:2" x14ac:dyDescent="0.25">
      <c r="A53" s="18">
        <v>48.5</v>
      </c>
      <c r="B53" s="18">
        <v>1.9099999999999999E-2</v>
      </c>
    </row>
    <row r="54" spans="1:2" x14ac:dyDescent="0.25">
      <c r="A54" s="18">
        <v>49</v>
      </c>
      <c r="B54" s="18">
        <v>1.9099999999999999E-2</v>
      </c>
    </row>
    <row r="55" spans="1:2" x14ac:dyDescent="0.25">
      <c r="A55" s="18">
        <v>49.5</v>
      </c>
      <c r="B55" s="18">
        <v>1.9199999999999998E-2</v>
      </c>
    </row>
    <row r="56" spans="1:2" x14ac:dyDescent="0.25">
      <c r="A56" s="18">
        <v>50</v>
      </c>
      <c r="B56" s="18">
        <v>1.9300000000000001E-2</v>
      </c>
    </row>
    <row r="57" spans="1:2" x14ac:dyDescent="0.25">
      <c r="A57" s="18">
        <v>50.5</v>
      </c>
      <c r="B57" s="18">
        <v>1.9199999999999998E-2</v>
      </c>
    </row>
    <row r="58" spans="1:2" x14ac:dyDescent="0.25">
      <c r="A58" s="18">
        <v>51</v>
      </c>
      <c r="B58" s="18">
        <v>1.9199999999999998E-2</v>
      </c>
    </row>
    <row r="59" spans="1:2" x14ac:dyDescent="0.25">
      <c r="A59" s="18">
        <v>51.5</v>
      </c>
      <c r="B59" s="18">
        <v>1.9199999999999998E-2</v>
      </c>
    </row>
    <row r="60" spans="1:2" x14ac:dyDescent="0.25">
      <c r="A60" s="18">
        <v>52</v>
      </c>
      <c r="B60" s="18">
        <v>1.9199999999999998E-2</v>
      </c>
    </row>
    <row r="61" spans="1:2" x14ac:dyDescent="0.25">
      <c r="A61" s="18">
        <v>52.5</v>
      </c>
      <c r="B61" s="18">
        <v>1.9300000000000001E-2</v>
      </c>
    </row>
    <row r="62" spans="1:2" x14ac:dyDescent="0.25">
      <c r="A62" s="18">
        <v>53</v>
      </c>
      <c r="B62" s="18">
        <v>1.89E-2</v>
      </c>
    </row>
    <row r="63" spans="1:2" x14ac:dyDescent="0.25">
      <c r="A63" s="18">
        <v>53.5</v>
      </c>
      <c r="B63" s="18">
        <v>1.89E-2</v>
      </c>
    </row>
    <row r="64" spans="1:2" x14ac:dyDescent="0.25">
      <c r="A64" s="18">
        <v>54</v>
      </c>
      <c r="B64" s="18">
        <v>1.8700000000000001E-2</v>
      </c>
    </row>
    <row r="65" spans="1:2" x14ac:dyDescent="0.25">
      <c r="A65" s="18">
        <v>54.5</v>
      </c>
      <c r="B65" s="18">
        <v>1.8499999999999999E-2</v>
      </c>
    </row>
    <row r="66" spans="1:2" x14ac:dyDescent="0.25">
      <c r="A66" s="18">
        <v>55</v>
      </c>
      <c r="B66" s="18">
        <v>1.8200000000000001E-2</v>
      </c>
    </row>
    <row r="67" spans="1:2" x14ac:dyDescent="0.25">
      <c r="A67" s="18">
        <v>55.5</v>
      </c>
      <c r="B67" s="18">
        <v>1.8100000000000002E-2</v>
      </c>
    </row>
    <row r="68" spans="1:2" x14ac:dyDescent="0.25">
      <c r="A68" s="18">
        <v>56</v>
      </c>
      <c r="B68" s="18">
        <v>1.77E-2</v>
      </c>
    </row>
    <row r="69" spans="1:2" x14ac:dyDescent="0.25">
      <c r="A69" s="18">
        <v>56.5</v>
      </c>
      <c r="B69" s="18">
        <v>1.7399999999999999E-2</v>
      </c>
    </row>
    <row r="70" spans="1:2" x14ac:dyDescent="0.25">
      <c r="A70" s="18">
        <v>57</v>
      </c>
      <c r="B70" s="18">
        <v>1.7100000000000001E-2</v>
      </c>
    </row>
    <row r="71" spans="1:2" x14ac:dyDescent="0.25">
      <c r="A71" s="18">
        <v>57.5</v>
      </c>
      <c r="B71" s="18">
        <v>1.6799999999999999E-2</v>
      </c>
    </row>
    <row r="72" spans="1:2" x14ac:dyDescent="0.25">
      <c r="A72" s="18">
        <v>58</v>
      </c>
      <c r="B72" s="18">
        <v>1.6500000000000001E-2</v>
      </c>
    </row>
    <row r="73" spans="1:2" x14ac:dyDescent="0.25">
      <c r="A73" s="18">
        <v>58.5</v>
      </c>
      <c r="B73" s="18">
        <v>1.5900000000000001E-2</v>
      </c>
    </row>
    <row r="74" spans="1:2" x14ac:dyDescent="0.25">
      <c r="A74" s="18">
        <v>59</v>
      </c>
      <c r="B74" s="18">
        <v>1.55E-2</v>
      </c>
    </row>
    <row r="75" spans="1:2" x14ac:dyDescent="0.25">
      <c r="A75" s="18">
        <v>59.5</v>
      </c>
      <c r="B75" s="18">
        <v>1.5100000000000001E-2</v>
      </c>
    </row>
    <row r="76" spans="1:2" x14ac:dyDescent="0.25">
      <c r="A76" s="18">
        <v>60</v>
      </c>
      <c r="B76" s="18">
        <v>1.46E-2</v>
      </c>
    </row>
    <row r="77" spans="1:2" x14ac:dyDescent="0.25">
      <c r="A77" s="18">
        <v>60.5</v>
      </c>
      <c r="B77" s="18">
        <v>1.4200000000000001E-2</v>
      </c>
    </row>
    <row r="78" spans="1:2" x14ac:dyDescent="0.25">
      <c r="A78" s="18">
        <v>61</v>
      </c>
      <c r="B78" s="18">
        <v>1.38E-2</v>
      </c>
    </row>
    <row r="79" spans="1:2" x14ac:dyDescent="0.25">
      <c r="A79" s="18">
        <v>61.5</v>
      </c>
      <c r="B79" s="18">
        <v>1.34E-2</v>
      </c>
    </row>
    <row r="80" spans="1:2" x14ac:dyDescent="0.25">
      <c r="A80" s="18">
        <v>62</v>
      </c>
      <c r="B80" s="18">
        <v>1.29E-2</v>
      </c>
    </row>
    <row r="81" spans="1:2" x14ac:dyDescent="0.25">
      <c r="A81" s="18">
        <v>62.5</v>
      </c>
      <c r="B81" s="18">
        <v>1.24E-2</v>
      </c>
    </row>
    <row r="82" spans="1:2" x14ac:dyDescent="0.25">
      <c r="A82" s="18">
        <v>63</v>
      </c>
      <c r="B82" s="18">
        <v>1.18E-2</v>
      </c>
    </row>
    <row r="83" spans="1:2" x14ac:dyDescent="0.25">
      <c r="A83" s="18">
        <v>63.5</v>
      </c>
      <c r="B83" s="18">
        <v>1.1299999999999999E-2</v>
      </c>
    </row>
    <row r="84" spans="1:2" x14ac:dyDescent="0.25">
      <c r="A84" s="18">
        <v>64</v>
      </c>
      <c r="B84" s="18">
        <v>1.06E-2</v>
      </c>
    </row>
    <row r="85" spans="1:2" x14ac:dyDescent="0.25">
      <c r="A85" s="18">
        <v>64.5</v>
      </c>
      <c r="B85" s="18">
        <v>1.01E-2</v>
      </c>
    </row>
    <row r="86" spans="1:2" x14ac:dyDescent="0.25">
      <c r="A86" s="18">
        <v>65</v>
      </c>
      <c r="B86" s="18">
        <v>9.5200000000000007E-3</v>
      </c>
    </row>
    <row r="87" spans="1:2" x14ac:dyDescent="0.25">
      <c r="A87" s="18">
        <v>65.5</v>
      </c>
      <c r="B87" s="18">
        <v>8.7399999999999995E-3</v>
      </c>
    </row>
    <row r="88" spans="1:2" x14ac:dyDescent="0.25">
      <c r="A88" s="18">
        <v>66</v>
      </c>
      <c r="B88" s="18">
        <v>8.0199999999999994E-3</v>
      </c>
    </row>
    <row r="89" spans="1:2" x14ac:dyDescent="0.25">
      <c r="A89" s="18">
        <v>66.5</v>
      </c>
      <c r="B89" s="18">
        <v>7.2899999999999996E-3</v>
      </c>
    </row>
    <row r="90" spans="1:2" x14ac:dyDescent="0.25">
      <c r="A90" s="18">
        <v>67</v>
      </c>
      <c r="B90" s="18">
        <v>6.5900000000000004E-3</v>
      </c>
    </row>
    <row r="91" spans="1:2" x14ac:dyDescent="0.25">
      <c r="A91" s="18">
        <v>67.5</v>
      </c>
      <c r="B91" s="18">
        <v>5.7400000000000003E-3</v>
      </c>
    </row>
    <row r="92" spans="1:2" x14ac:dyDescent="0.25">
      <c r="A92" s="18">
        <v>68</v>
      </c>
      <c r="B92" s="18">
        <v>4.8500000000000001E-3</v>
      </c>
    </row>
    <row r="93" spans="1:2" x14ac:dyDescent="0.25">
      <c r="A93" s="18">
        <v>68.5</v>
      </c>
      <c r="B93" s="18">
        <v>3.8800000000000002E-3</v>
      </c>
    </row>
    <row r="94" spans="1:2" x14ac:dyDescent="0.25">
      <c r="A94" s="18">
        <v>69</v>
      </c>
      <c r="B94" s="18">
        <v>2.9299999999999999E-3</v>
      </c>
    </row>
    <row r="95" spans="1:2" x14ac:dyDescent="0.25">
      <c r="A95" s="18">
        <v>69.5</v>
      </c>
      <c r="B95" s="18">
        <v>1.7799999999999999E-3</v>
      </c>
    </row>
    <row r="96" spans="1:2" x14ac:dyDescent="0.25">
      <c r="A96" s="18">
        <v>70</v>
      </c>
      <c r="B96" s="18">
        <v>5.1099999999999995E-4</v>
      </c>
    </row>
    <row r="97" spans="1:2" x14ac:dyDescent="0.25">
      <c r="A97" s="18">
        <v>70.5</v>
      </c>
      <c r="B97" s="18">
        <v>3.8500000000000004E-6</v>
      </c>
    </row>
    <row r="98" spans="1:2" x14ac:dyDescent="0.25">
      <c r="A98" s="18">
        <v>71</v>
      </c>
      <c r="B98" s="18">
        <v>1.1599999999999999E-6</v>
      </c>
    </row>
    <row r="99" spans="1:2" x14ac:dyDescent="0.25">
      <c r="A99" s="18">
        <v>71.5</v>
      </c>
      <c r="B99" s="18">
        <v>4.58E-7</v>
      </c>
    </row>
    <row r="100" spans="1:2" x14ac:dyDescent="0.25">
      <c r="A100" s="18">
        <v>72</v>
      </c>
      <c r="B100" s="18">
        <v>7.8700000000000005E-7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C00-000000000000}">
  <dimension ref="A1:B11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24</v>
      </c>
      <c r="B2" s="18">
        <v>3.2499999999999997E-5</v>
      </c>
    </row>
    <row r="3" spans="1:2" x14ac:dyDescent="0.25">
      <c r="A3" s="18">
        <v>24.5</v>
      </c>
      <c r="B3" s="18">
        <v>5.6100000000000002E-5</v>
      </c>
    </row>
    <row r="4" spans="1:2" x14ac:dyDescent="0.25">
      <c r="A4" s="18">
        <v>25</v>
      </c>
      <c r="B4" s="18">
        <v>3.8399999999999998E-5</v>
      </c>
    </row>
    <row r="5" spans="1:2" x14ac:dyDescent="0.25">
      <c r="A5" s="18">
        <v>25.5</v>
      </c>
      <c r="B5" s="18">
        <v>2.8200000000000001E-5</v>
      </c>
    </row>
    <row r="6" spans="1:2" x14ac:dyDescent="0.25">
      <c r="A6" s="18">
        <v>26</v>
      </c>
      <c r="B6" s="18">
        <v>5.1900000000000001E-5</v>
      </c>
    </row>
    <row r="7" spans="1:2" x14ac:dyDescent="0.25">
      <c r="A7" s="18">
        <v>26.5</v>
      </c>
      <c r="B7" s="18">
        <v>1.03E-5</v>
      </c>
    </row>
    <row r="8" spans="1:2" x14ac:dyDescent="0.25">
      <c r="A8" s="18">
        <v>27</v>
      </c>
      <c r="B8" s="18">
        <v>5.3499999999999999E-5</v>
      </c>
    </row>
    <row r="9" spans="1:2" x14ac:dyDescent="0.25">
      <c r="A9" s="18">
        <v>27.5</v>
      </c>
      <c r="B9" s="18">
        <v>8.5900000000000001E-5</v>
      </c>
    </row>
    <row r="10" spans="1:2" x14ac:dyDescent="0.25">
      <c r="A10" s="18">
        <v>28</v>
      </c>
      <c r="B10" s="18">
        <v>1.11E-4</v>
      </c>
    </row>
    <row r="11" spans="1:2" x14ac:dyDescent="0.25">
      <c r="A11" s="18">
        <v>28.5</v>
      </c>
      <c r="B11" s="18">
        <v>9.6899999999999997E-5</v>
      </c>
    </row>
    <row r="12" spans="1:2" x14ac:dyDescent="0.25">
      <c r="A12" s="18">
        <v>29</v>
      </c>
      <c r="B12" s="18">
        <v>1.46E-4</v>
      </c>
    </row>
    <row r="13" spans="1:2" x14ac:dyDescent="0.25">
      <c r="A13" s="18">
        <v>29.5</v>
      </c>
      <c r="B13" s="18">
        <v>2.03E-4</v>
      </c>
    </row>
    <row r="14" spans="1:2" x14ac:dyDescent="0.25">
      <c r="A14" s="18">
        <v>30</v>
      </c>
      <c r="B14" s="18">
        <v>2.7500000000000002E-4</v>
      </c>
    </row>
    <row r="15" spans="1:2" x14ac:dyDescent="0.25">
      <c r="A15" s="18">
        <v>30.5</v>
      </c>
      <c r="B15" s="18">
        <v>3.4900000000000003E-4</v>
      </c>
    </row>
    <row r="16" spans="1:2" x14ac:dyDescent="0.25">
      <c r="A16" s="18">
        <v>31</v>
      </c>
      <c r="B16" s="18">
        <v>4.4999999999999999E-4</v>
      </c>
    </row>
    <row r="17" spans="1:2" x14ac:dyDescent="0.25">
      <c r="A17" s="18">
        <v>31.5</v>
      </c>
      <c r="B17" s="18">
        <v>5.5099999999999995E-4</v>
      </c>
    </row>
    <row r="18" spans="1:2" x14ac:dyDescent="0.25">
      <c r="A18" s="18">
        <v>32</v>
      </c>
      <c r="B18" s="18">
        <v>7.1100000000000004E-4</v>
      </c>
    </row>
    <row r="19" spans="1:2" x14ac:dyDescent="0.25">
      <c r="A19" s="18">
        <v>32.5</v>
      </c>
      <c r="B19" s="18">
        <v>9.5E-4</v>
      </c>
    </row>
    <row r="20" spans="1:2" x14ac:dyDescent="0.25">
      <c r="A20" s="18">
        <v>33</v>
      </c>
      <c r="B20" s="18">
        <v>1.14E-3</v>
      </c>
    </row>
    <row r="21" spans="1:2" x14ac:dyDescent="0.25">
      <c r="A21" s="18">
        <v>33.5</v>
      </c>
      <c r="B21" s="18">
        <v>1.32E-3</v>
      </c>
    </row>
    <row r="22" spans="1:2" x14ac:dyDescent="0.25">
      <c r="A22" s="18">
        <v>34</v>
      </c>
      <c r="B22" s="18">
        <v>1.6199999999999999E-3</v>
      </c>
    </row>
    <row r="23" spans="1:2" x14ac:dyDescent="0.25">
      <c r="A23" s="18">
        <v>34.5</v>
      </c>
      <c r="B23" s="18">
        <v>1.9300000000000001E-3</v>
      </c>
    </row>
    <row r="24" spans="1:2" x14ac:dyDescent="0.25">
      <c r="A24" s="18">
        <v>35</v>
      </c>
      <c r="B24" s="18">
        <v>2.2399999999999998E-3</v>
      </c>
    </row>
    <row r="25" spans="1:2" x14ac:dyDescent="0.25">
      <c r="A25" s="18">
        <v>35.5</v>
      </c>
      <c r="B25" s="18">
        <v>2.5799999999999998E-3</v>
      </c>
    </row>
    <row r="26" spans="1:2" x14ac:dyDescent="0.25">
      <c r="A26" s="18">
        <v>36</v>
      </c>
      <c r="B26" s="18">
        <v>2.97E-3</v>
      </c>
    </row>
    <row r="27" spans="1:2" x14ac:dyDescent="0.25">
      <c r="A27" s="18">
        <v>36.5</v>
      </c>
      <c r="B27" s="18">
        <v>3.31E-3</v>
      </c>
    </row>
    <row r="28" spans="1:2" x14ac:dyDescent="0.25">
      <c r="A28" s="18">
        <v>37</v>
      </c>
      <c r="B28" s="18">
        <v>3.7499999999999999E-3</v>
      </c>
    </row>
    <row r="29" spans="1:2" x14ac:dyDescent="0.25">
      <c r="A29" s="18">
        <v>37.5</v>
      </c>
      <c r="B29" s="18">
        <v>4.1200000000000004E-3</v>
      </c>
    </row>
    <row r="30" spans="1:2" x14ac:dyDescent="0.25">
      <c r="A30" s="18">
        <v>38</v>
      </c>
      <c r="B30" s="18">
        <v>4.5300000000000002E-3</v>
      </c>
    </row>
    <row r="31" spans="1:2" x14ac:dyDescent="0.25">
      <c r="A31" s="18">
        <v>38.5</v>
      </c>
      <c r="B31" s="18">
        <v>5.0800000000000003E-3</v>
      </c>
    </row>
    <row r="32" spans="1:2" x14ac:dyDescent="0.25">
      <c r="A32" s="18">
        <v>39</v>
      </c>
      <c r="B32" s="18">
        <v>5.4999999999999997E-3</v>
      </c>
    </row>
    <row r="33" spans="1:2" x14ac:dyDescent="0.25">
      <c r="A33" s="18">
        <v>39.5</v>
      </c>
      <c r="B33" s="18">
        <v>5.9199999999999999E-3</v>
      </c>
    </row>
    <row r="34" spans="1:2" x14ac:dyDescent="0.25">
      <c r="A34" s="18">
        <v>40</v>
      </c>
      <c r="B34" s="18">
        <v>6.43E-3</v>
      </c>
    </row>
    <row r="35" spans="1:2" x14ac:dyDescent="0.25">
      <c r="A35" s="18">
        <v>40.5</v>
      </c>
      <c r="B35" s="18">
        <v>7.0200000000000002E-3</v>
      </c>
    </row>
    <row r="36" spans="1:2" x14ac:dyDescent="0.25">
      <c r="A36" s="18">
        <v>41</v>
      </c>
      <c r="B36" s="18">
        <v>7.3200000000000001E-3</v>
      </c>
    </row>
    <row r="37" spans="1:2" x14ac:dyDescent="0.25">
      <c r="A37" s="18">
        <v>41.5</v>
      </c>
      <c r="B37" s="18">
        <v>7.9000000000000008E-3</v>
      </c>
    </row>
    <row r="38" spans="1:2" x14ac:dyDescent="0.25">
      <c r="A38" s="18">
        <v>42</v>
      </c>
      <c r="B38" s="18">
        <v>8.3800000000000003E-3</v>
      </c>
    </row>
    <row r="39" spans="1:2" x14ac:dyDescent="0.25">
      <c r="A39" s="18">
        <v>42.5</v>
      </c>
      <c r="B39" s="18">
        <v>8.9499999999999996E-3</v>
      </c>
    </row>
    <row r="40" spans="1:2" x14ac:dyDescent="0.25">
      <c r="A40" s="18">
        <v>43</v>
      </c>
      <c r="B40" s="18">
        <v>9.3500000000000007E-3</v>
      </c>
    </row>
    <row r="41" spans="1:2" x14ac:dyDescent="0.25">
      <c r="A41" s="18">
        <v>43.5</v>
      </c>
      <c r="B41" s="18">
        <v>9.8399999999999998E-3</v>
      </c>
    </row>
    <row r="42" spans="1:2" x14ac:dyDescent="0.25">
      <c r="A42" s="18">
        <v>44</v>
      </c>
      <c r="B42" s="18">
        <v>1.0200000000000001E-2</v>
      </c>
    </row>
    <row r="43" spans="1:2" x14ac:dyDescent="0.25">
      <c r="A43" s="18">
        <v>44.5</v>
      </c>
      <c r="B43" s="18">
        <v>1.0699999999999999E-2</v>
      </c>
    </row>
    <row r="44" spans="1:2" x14ac:dyDescent="0.25">
      <c r="A44" s="18">
        <v>45</v>
      </c>
      <c r="B44" s="18">
        <v>1.12E-2</v>
      </c>
    </row>
    <row r="45" spans="1:2" x14ac:dyDescent="0.25">
      <c r="A45" s="18">
        <v>45.5</v>
      </c>
      <c r="B45" s="18">
        <v>1.1599999999999999E-2</v>
      </c>
    </row>
    <row r="46" spans="1:2" x14ac:dyDescent="0.25">
      <c r="A46" s="18">
        <v>46</v>
      </c>
      <c r="B46" s="18">
        <v>1.18E-2</v>
      </c>
    </row>
    <row r="47" spans="1:2" x14ac:dyDescent="0.25">
      <c r="A47" s="18">
        <v>46.5</v>
      </c>
      <c r="B47" s="18">
        <v>1.21E-2</v>
      </c>
    </row>
    <row r="48" spans="1:2" x14ac:dyDescent="0.25">
      <c r="A48" s="18">
        <v>47</v>
      </c>
      <c r="B48" s="18">
        <v>1.2500000000000001E-2</v>
      </c>
    </row>
    <row r="49" spans="1:2" x14ac:dyDescent="0.25">
      <c r="A49" s="18">
        <v>47.5</v>
      </c>
      <c r="B49" s="18">
        <v>1.2800000000000001E-2</v>
      </c>
    </row>
    <row r="50" spans="1:2" x14ac:dyDescent="0.25">
      <c r="A50" s="18">
        <v>48</v>
      </c>
      <c r="B50" s="18">
        <v>1.3100000000000001E-2</v>
      </c>
    </row>
    <row r="51" spans="1:2" x14ac:dyDescent="0.25">
      <c r="A51" s="18">
        <v>48.5</v>
      </c>
      <c r="B51" s="18">
        <v>1.34E-2</v>
      </c>
    </row>
    <row r="52" spans="1:2" x14ac:dyDescent="0.25">
      <c r="A52" s="18">
        <v>49</v>
      </c>
      <c r="B52" s="18">
        <v>1.3599999999999999E-2</v>
      </c>
    </row>
    <row r="53" spans="1:2" x14ac:dyDescent="0.25">
      <c r="A53" s="18">
        <v>49.5</v>
      </c>
      <c r="B53" s="18">
        <v>1.37E-2</v>
      </c>
    </row>
    <row r="54" spans="1:2" x14ac:dyDescent="0.25">
      <c r="A54" s="18">
        <v>50</v>
      </c>
      <c r="B54" s="18">
        <v>1.4E-2</v>
      </c>
    </row>
    <row r="55" spans="1:2" x14ac:dyDescent="0.25">
      <c r="A55" s="18">
        <v>50.5</v>
      </c>
      <c r="B55" s="18">
        <v>1.41E-2</v>
      </c>
    </row>
    <row r="56" spans="1:2" x14ac:dyDescent="0.25">
      <c r="A56" s="18">
        <v>51</v>
      </c>
      <c r="B56" s="18">
        <v>1.4500000000000001E-2</v>
      </c>
    </row>
    <row r="57" spans="1:2" x14ac:dyDescent="0.25">
      <c r="A57" s="18">
        <v>51.5</v>
      </c>
      <c r="B57" s="18">
        <v>1.47E-2</v>
      </c>
    </row>
    <row r="58" spans="1:2" x14ac:dyDescent="0.25">
      <c r="A58" s="18">
        <v>52</v>
      </c>
      <c r="B58" s="18">
        <v>1.4800000000000001E-2</v>
      </c>
    </row>
    <row r="59" spans="1:2" x14ac:dyDescent="0.25">
      <c r="A59" s="18">
        <v>52.5</v>
      </c>
      <c r="B59" s="18">
        <v>1.49E-2</v>
      </c>
    </row>
    <row r="60" spans="1:2" x14ac:dyDescent="0.25">
      <c r="A60" s="18">
        <v>53</v>
      </c>
      <c r="B60" s="18">
        <v>1.4999999999999999E-2</v>
      </c>
    </row>
    <row r="61" spans="1:2" x14ac:dyDescent="0.25">
      <c r="A61" s="18">
        <v>53.5</v>
      </c>
      <c r="B61" s="18">
        <v>1.52E-2</v>
      </c>
    </row>
    <row r="62" spans="1:2" x14ac:dyDescent="0.25">
      <c r="A62" s="18">
        <v>54</v>
      </c>
      <c r="B62" s="18">
        <v>1.5299999999999999E-2</v>
      </c>
    </row>
    <row r="63" spans="1:2" x14ac:dyDescent="0.25">
      <c r="A63" s="18">
        <v>54.5</v>
      </c>
      <c r="B63" s="18">
        <v>1.54E-2</v>
      </c>
    </row>
    <row r="64" spans="1:2" x14ac:dyDescent="0.25">
      <c r="A64" s="18">
        <v>55</v>
      </c>
      <c r="B64" s="18">
        <v>1.54E-2</v>
      </c>
    </row>
    <row r="65" spans="1:2" x14ac:dyDescent="0.25">
      <c r="A65" s="18">
        <v>55.5</v>
      </c>
      <c r="B65" s="18">
        <v>1.55E-2</v>
      </c>
    </row>
    <row r="66" spans="1:2" x14ac:dyDescent="0.25">
      <c r="A66" s="18">
        <v>56</v>
      </c>
      <c r="B66" s="18">
        <v>1.55E-2</v>
      </c>
    </row>
    <row r="67" spans="1:2" x14ac:dyDescent="0.25">
      <c r="A67" s="18">
        <v>56.5</v>
      </c>
      <c r="B67" s="18">
        <v>1.54E-2</v>
      </c>
    </row>
    <row r="68" spans="1:2" x14ac:dyDescent="0.25">
      <c r="A68" s="18">
        <v>57</v>
      </c>
      <c r="B68" s="18">
        <v>1.55E-2</v>
      </c>
    </row>
    <row r="69" spans="1:2" x14ac:dyDescent="0.25">
      <c r="A69" s="18">
        <v>57.5</v>
      </c>
      <c r="B69" s="18">
        <v>1.7399999999999999E-2</v>
      </c>
    </row>
    <row r="70" spans="1:2" x14ac:dyDescent="0.25">
      <c r="A70" s="18">
        <v>58</v>
      </c>
      <c r="B70" s="18">
        <v>2.3199999999999998E-2</v>
      </c>
    </row>
    <row r="71" spans="1:2" x14ac:dyDescent="0.25">
      <c r="A71" s="18">
        <v>58.5</v>
      </c>
      <c r="B71" s="18">
        <v>1.6799999999999999E-2</v>
      </c>
    </row>
    <row r="72" spans="1:2" x14ac:dyDescent="0.25">
      <c r="A72" s="18">
        <v>59</v>
      </c>
      <c r="B72" s="18">
        <v>2.3099999999999999E-2</v>
      </c>
    </row>
    <row r="73" spans="1:2" x14ac:dyDescent="0.25">
      <c r="A73" s="18">
        <v>59.5</v>
      </c>
      <c r="B73" s="18">
        <v>2.6800000000000001E-2</v>
      </c>
    </row>
    <row r="74" spans="1:2" x14ac:dyDescent="0.25">
      <c r="A74" s="18">
        <v>60</v>
      </c>
      <c r="B74" s="18">
        <v>1.55E-2</v>
      </c>
    </row>
    <row r="75" spans="1:2" x14ac:dyDescent="0.25">
      <c r="A75" s="18">
        <v>60.5</v>
      </c>
      <c r="B75" s="18">
        <v>1.4800000000000001E-2</v>
      </c>
    </row>
    <row r="76" spans="1:2" x14ac:dyDescent="0.25">
      <c r="A76" s="18">
        <v>61</v>
      </c>
      <c r="B76" s="18">
        <v>1.46E-2</v>
      </c>
    </row>
    <row r="77" spans="1:2" x14ac:dyDescent="0.25">
      <c r="A77" s="18">
        <v>61.5</v>
      </c>
      <c r="B77" s="18">
        <v>1.46E-2</v>
      </c>
    </row>
    <row r="78" spans="1:2" x14ac:dyDescent="0.25">
      <c r="A78" s="18">
        <v>62</v>
      </c>
      <c r="B78" s="18">
        <v>1.4500000000000001E-2</v>
      </c>
    </row>
    <row r="79" spans="1:2" x14ac:dyDescent="0.25">
      <c r="A79" s="18">
        <v>62.5</v>
      </c>
      <c r="B79" s="18">
        <v>1.44E-2</v>
      </c>
    </row>
    <row r="80" spans="1:2" x14ac:dyDescent="0.25">
      <c r="A80" s="18">
        <v>63</v>
      </c>
      <c r="B80" s="18">
        <v>1.4200000000000001E-2</v>
      </c>
    </row>
    <row r="81" spans="1:2" x14ac:dyDescent="0.25">
      <c r="A81" s="18">
        <v>63.5</v>
      </c>
      <c r="B81" s="18">
        <v>1.41E-2</v>
      </c>
    </row>
    <row r="82" spans="1:2" x14ac:dyDescent="0.25">
      <c r="A82" s="18">
        <v>64</v>
      </c>
      <c r="B82" s="18">
        <v>1.38E-2</v>
      </c>
    </row>
    <row r="83" spans="1:2" x14ac:dyDescent="0.25">
      <c r="A83" s="18">
        <v>64.5</v>
      </c>
      <c r="B83" s="18">
        <v>1.37E-2</v>
      </c>
    </row>
    <row r="84" spans="1:2" x14ac:dyDescent="0.25">
      <c r="A84" s="18">
        <v>65</v>
      </c>
      <c r="B84" s="18">
        <v>1.35E-2</v>
      </c>
    </row>
    <row r="85" spans="1:2" x14ac:dyDescent="0.25">
      <c r="A85" s="18">
        <v>65.5</v>
      </c>
      <c r="B85" s="18">
        <v>1.3299999999999999E-2</v>
      </c>
    </row>
    <row r="86" spans="1:2" x14ac:dyDescent="0.25">
      <c r="A86" s="18">
        <v>66</v>
      </c>
      <c r="B86" s="18">
        <v>1.3100000000000001E-2</v>
      </c>
    </row>
    <row r="87" spans="1:2" x14ac:dyDescent="0.25">
      <c r="A87" s="18">
        <v>66.5</v>
      </c>
      <c r="B87" s="18">
        <v>1.38E-2</v>
      </c>
    </row>
    <row r="88" spans="1:2" x14ac:dyDescent="0.25">
      <c r="A88" s="18">
        <v>67</v>
      </c>
      <c r="B88" s="18">
        <v>1.8200000000000001E-2</v>
      </c>
    </row>
    <row r="89" spans="1:2" x14ac:dyDescent="0.25">
      <c r="A89" s="18">
        <v>67.5</v>
      </c>
      <c r="B89" s="18">
        <v>1.5699999999999999E-2</v>
      </c>
    </row>
    <row r="90" spans="1:2" x14ac:dyDescent="0.25">
      <c r="A90" s="18">
        <v>68</v>
      </c>
      <c r="B90" s="18">
        <v>1.21E-2</v>
      </c>
    </row>
    <row r="91" spans="1:2" x14ac:dyDescent="0.25">
      <c r="A91" s="18">
        <v>68.5</v>
      </c>
      <c r="B91" s="18">
        <v>1.1900000000000001E-2</v>
      </c>
    </row>
    <row r="92" spans="1:2" x14ac:dyDescent="0.25">
      <c r="A92" s="18">
        <v>69</v>
      </c>
      <c r="B92" s="18">
        <v>1.3100000000000001E-2</v>
      </c>
    </row>
    <row r="93" spans="1:2" x14ac:dyDescent="0.25">
      <c r="A93" s="18">
        <v>69.5</v>
      </c>
      <c r="B93" s="18">
        <v>1.15E-2</v>
      </c>
    </row>
    <row r="94" spans="1:2" x14ac:dyDescent="0.25">
      <c r="A94" s="18">
        <v>70</v>
      </c>
      <c r="B94" s="18">
        <v>1.0200000000000001E-2</v>
      </c>
    </row>
    <row r="95" spans="1:2" x14ac:dyDescent="0.25">
      <c r="A95" s="18">
        <v>70.5</v>
      </c>
      <c r="B95" s="18">
        <v>9.8700000000000003E-3</v>
      </c>
    </row>
    <row r="96" spans="1:2" x14ac:dyDescent="0.25">
      <c r="A96" s="18">
        <v>71</v>
      </c>
      <c r="B96" s="18">
        <v>9.5399999999999999E-3</v>
      </c>
    </row>
    <row r="97" spans="1:2" x14ac:dyDescent="0.25">
      <c r="A97" s="18">
        <v>71.5</v>
      </c>
      <c r="B97" s="18">
        <v>9.1699999999999993E-3</v>
      </c>
    </row>
    <row r="98" spans="1:2" x14ac:dyDescent="0.25">
      <c r="A98" s="18">
        <v>72</v>
      </c>
      <c r="B98" s="18">
        <v>8.8100000000000001E-3</v>
      </c>
    </row>
    <row r="99" spans="1:2" x14ac:dyDescent="0.25">
      <c r="A99" s="18">
        <v>72.5</v>
      </c>
      <c r="B99" s="18">
        <v>8.4200000000000004E-3</v>
      </c>
    </row>
    <row r="100" spans="1:2" x14ac:dyDescent="0.25">
      <c r="A100" s="18">
        <v>73</v>
      </c>
      <c r="B100" s="18">
        <v>8.0499999999999999E-3</v>
      </c>
    </row>
    <row r="101" spans="1:2" x14ac:dyDescent="0.25">
      <c r="A101" s="18">
        <v>73.5</v>
      </c>
      <c r="B101" s="18">
        <v>7.6899999999999998E-3</v>
      </c>
    </row>
    <row r="102" spans="1:2" x14ac:dyDescent="0.25">
      <c r="A102" s="18">
        <v>74</v>
      </c>
      <c r="B102" s="18">
        <v>7.26E-3</v>
      </c>
    </row>
    <row r="103" spans="1:2" x14ac:dyDescent="0.25">
      <c r="A103" s="18">
        <v>74.5</v>
      </c>
      <c r="B103" s="18">
        <v>6.7099999999999998E-3</v>
      </c>
    </row>
    <row r="104" spans="1:2" x14ac:dyDescent="0.25">
      <c r="A104" s="18">
        <v>75</v>
      </c>
      <c r="B104" s="18">
        <v>6.3699999999999998E-3</v>
      </c>
    </row>
    <row r="105" spans="1:2" x14ac:dyDescent="0.25">
      <c r="A105" s="18">
        <v>75.5</v>
      </c>
      <c r="B105" s="18">
        <v>5.8900000000000003E-3</v>
      </c>
    </row>
    <row r="106" spans="1:2" x14ac:dyDescent="0.25">
      <c r="A106" s="18">
        <v>76</v>
      </c>
      <c r="B106" s="18">
        <v>5.3499999999999997E-3</v>
      </c>
    </row>
    <row r="107" spans="1:2" x14ac:dyDescent="0.25">
      <c r="A107" s="18">
        <v>76.5</v>
      </c>
      <c r="B107" s="18">
        <v>4.8300000000000001E-3</v>
      </c>
    </row>
    <row r="108" spans="1:2" x14ac:dyDescent="0.25">
      <c r="A108" s="18">
        <v>77</v>
      </c>
      <c r="B108" s="18">
        <v>4.3099999999999996E-3</v>
      </c>
    </row>
    <row r="109" spans="1:2" x14ac:dyDescent="0.25">
      <c r="A109" s="18">
        <v>77.5</v>
      </c>
      <c r="B109" s="18">
        <v>3.7499999999999999E-3</v>
      </c>
    </row>
    <row r="110" spans="1:2" x14ac:dyDescent="0.25">
      <c r="A110" s="18">
        <v>78</v>
      </c>
      <c r="B110" s="18">
        <v>3.1800000000000001E-3</v>
      </c>
    </row>
    <row r="111" spans="1:2" x14ac:dyDescent="0.25">
      <c r="A111" s="18">
        <v>78.5</v>
      </c>
      <c r="B111" s="18">
        <v>2.5300000000000001E-3</v>
      </c>
    </row>
    <row r="112" spans="1:2" x14ac:dyDescent="0.25">
      <c r="A112" s="18">
        <v>79</v>
      </c>
      <c r="B112" s="18">
        <v>1.8500000000000001E-3</v>
      </c>
    </row>
    <row r="113" spans="1:2" x14ac:dyDescent="0.25">
      <c r="A113" s="18">
        <v>79.5</v>
      </c>
      <c r="B113" s="18">
        <v>1.0200000000000001E-3</v>
      </c>
    </row>
    <row r="114" spans="1:2" x14ac:dyDescent="0.25">
      <c r="A114" s="18">
        <v>80</v>
      </c>
      <c r="B114" s="18">
        <v>2.72E-4</v>
      </c>
    </row>
    <row r="115" spans="1:2" x14ac:dyDescent="0.25">
      <c r="A115" s="18">
        <v>80.5</v>
      </c>
      <c r="B115" s="18">
        <v>5.22E-6</v>
      </c>
    </row>
    <row r="116" spans="1:2" x14ac:dyDescent="0.25">
      <c r="A116" s="18">
        <v>81</v>
      </c>
      <c r="B116" s="18">
        <v>1.11E-6</v>
      </c>
    </row>
    <row r="117" spans="1:2" x14ac:dyDescent="0.25">
      <c r="A117" s="18">
        <v>81.5</v>
      </c>
      <c r="B117" s="18">
        <v>7.8599999999999997E-7</v>
      </c>
    </row>
    <row r="118" spans="1:2" x14ac:dyDescent="0.25">
      <c r="A118" s="18">
        <v>82</v>
      </c>
      <c r="B118" s="18">
        <v>2.7599999999999998E-7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D00-000000000000}">
  <dimension ref="A1:B138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24</v>
      </c>
      <c r="B2" s="18">
        <v>5.0500000000000001E-5</v>
      </c>
    </row>
    <row r="3" spans="1:2" x14ac:dyDescent="0.25">
      <c r="A3" s="18">
        <v>24.5</v>
      </c>
      <c r="B3" s="18">
        <v>4.21E-5</v>
      </c>
    </row>
    <row r="4" spans="1:2" x14ac:dyDescent="0.25">
      <c r="A4" s="18">
        <v>25</v>
      </c>
      <c r="B4" s="18">
        <v>2.5400000000000001E-5</v>
      </c>
    </row>
    <row r="5" spans="1:2" x14ac:dyDescent="0.25">
      <c r="A5" s="18">
        <v>25.5</v>
      </c>
      <c r="B5" s="18">
        <v>3.0899999999999999E-5</v>
      </c>
    </row>
    <row r="6" spans="1:2" x14ac:dyDescent="0.25">
      <c r="A6" s="18">
        <v>26</v>
      </c>
      <c r="B6" s="18">
        <v>4.0200000000000001E-5</v>
      </c>
    </row>
    <row r="7" spans="1:2" x14ac:dyDescent="0.25">
      <c r="A7" s="18">
        <v>26.5</v>
      </c>
      <c r="B7" s="18">
        <v>4.5200000000000001E-5</v>
      </c>
    </row>
    <row r="8" spans="1:2" x14ac:dyDescent="0.25">
      <c r="A8" s="18">
        <v>27</v>
      </c>
      <c r="B8" s="18">
        <v>3.43E-5</v>
      </c>
    </row>
    <row r="9" spans="1:2" x14ac:dyDescent="0.25">
      <c r="A9" s="18">
        <v>27.5</v>
      </c>
      <c r="B9" s="18">
        <v>3.5599999999999998E-5</v>
      </c>
    </row>
    <row r="10" spans="1:2" x14ac:dyDescent="0.25">
      <c r="A10" s="18">
        <v>28</v>
      </c>
      <c r="B10" s="18">
        <v>4.3000000000000002E-5</v>
      </c>
    </row>
    <row r="11" spans="1:2" x14ac:dyDescent="0.25">
      <c r="A11" s="18">
        <v>28.5</v>
      </c>
      <c r="B11" s="18">
        <v>3.93E-5</v>
      </c>
    </row>
    <row r="12" spans="1:2" x14ac:dyDescent="0.25">
      <c r="A12" s="18">
        <v>29</v>
      </c>
      <c r="B12" s="18">
        <v>5.0000000000000002E-5</v>
      </c>
    </row>
    <row r="13" spans="1:2" x14ac:dyDescent="0.25">
      <c r="A13" s="18">
        <v>29.5</v>
      </c>
      <c r="B13" s="18">
        <v>7.4599999999999997E-5</v>
      </c>
    </row>
    <row r="14" spans="1:2" x14ac:dyDescent="0.25">
      <c r="A14" s="18">
        <v>30</v>
      </c>
      <c r="B14" s="18">
        <v>1.0399999999999999E-4</v>
      </c>
    </row>
    <row r="15" spans="1:2" x14ac:dyDescent="0.25">
      <c r="A15" s="18">
        <v>30.5</v>
      </c>
      <c r="B15" s="18">
        <v>1.2400000000000001E-4</v>
      </c>
    </row>
    <row r="16" spans="1:2" x14ac:dyDescent="0.25">
      <c r="A16" s="18">
        <v>31</v>
      </c>
      <c r="B16" s="18">
        <v>1.45E-4</v>
      </c>
    </row>
    <row r="17" spans="1:2" x14ac:dyDescent="0.25">
      <c r="A17" s="18">
        <v>31.5</v>
      </c>
      <c r="B17" s="18">
        <v>2.0000000000000001E-4</v>
      </c>
    </row>
    <row r="18" spans="1:2" x14ac:dyDescent="0.25">
      <c r="A18" s="18">
        <v>32</v>
      </c>
      <c r="B18" s="18">
        <v>2.4600000000000002E-4</v>
      </c>
    </row>
    <row r="19" spans="1:2" x14ac:dyDescent="0.25">
      <c r="A19" s="18">
        <v>32.5</v>
      </c>
      <c r="B19" s="18">
        <v>3.1599999999999998E-4</v>
      </c>
    </row>
    <row r="20" spans="1:2" x14ac:dyDescent="0.25">
      <c r="A20" s="18">
        <v>33</v>
      </c>
      <c r="B20" s="18">
        <v>4.1100000000000002E-4</v>
      </c>
    </row>
    <row r="21" spans="1:2" x14ac:dyDescent="0.25">
      <c r="A21" s="18">
        <v>33.5</v>
      </c>
      <c r="B21" s="18">
        <v>5.0799999999999999E-4</v>
      </c>
    </row>
    <row r="22" spans="1:2" x14ac:dyDescent="0.25">
      <c r="A22" s="18">
        <v>34</v>
      </c>
      <c r="B22" s="18">
        <v>6.3400000000000001E-4</v>
      </c>
    </row>
    <row r="23" spans="1:2" x14ac:dyDescent="0.25">
      <c r="A23" s="18">
        <v>34.5</v>
      </c>
      <c r="B23" s="18">
        <v>7.8399999999999997E-4</v>
      </c>
    </row>
    <row r="24" spans="1:2" x14ac:dyDescent="0.25">
      <c r="A24" s="18">
        <v>35</v>
      </c>
      <c r="B24" s="18">
        <v>9.5200000000000005E-4</v>
      </c>
    </row>
    <row r="25" spans="1:2" x14ac:dyDescent="0.25">
      <c r="A25" s="18">
        <v>35.5</v>
      </c>
      <c r="B25" s="18">
        <v>1.09E-3</v>
      </c>
    </row>
    <row r="26" spans="1:2" x14ac:dyDescent="0.25">
      <c r="A26" s="18">
        <v>36</v>
      </c>
      <c r="B26" s="18">
        <v>1.2600000000000001E-3</v>
      </c>
    </row>
    <row r="27" spans="1:2" x14ac:dyDescent="0.25">
      <c r="A27" s="18">
        <v>36.5</v>
      </c>
      <c r="B27" s="18">
        <v>1.5200000000000001E-3</v>
      </c>
    </row>
    <row r="28" spans="1:2" x14ac:dyDescent="0.25">
      <c r="A28" s="18">
        <v>37</v>
      </c>
      <c r="B28" s="18">
        <v>1.73E-3</v>
      </c>
    </row>
    <row r="29" spans="1:2" x14ac:dyDescent="0.25">
      <c r="A29" s="18">
        <v>37.5</v>
      </c>
      <c r="B29" s="18">
        <v>2.0100000000000001E-3</v>
      </c>
    </row>
    <row r="30" spans="1:2" x14ac:dyDescent="0.25">
      <c r="A30" s="18">
        <v>38</v>
      </c>
      <c r="B30" s="18">
        <v>2.2699999999999999E-3</v>
      </c>
    </row>
    <row r="31" spans="1:2" x14ac:dyDescent="0.25">
      <c r="A31" s="18">
        <v>38.5</v>
      </c>
      <c r="B31" s="18">
        <v>2.5699999999999998E-3</v>
      </c>
    </row>
    <row r="32" spans="1:2" x14ac:dyDescent="0.25">
      <c r="A32" s="18">
        <v>39</v>
      </c>
      <c r="B32" s="18">
        <v>2.82E-3</v>
      </c>
    </row>
    <row r="33" spans="1:2" x14ac:dyDescent="0.25">
      <c r="A33" s="18">
        <v>39.5</v>
      </c>
      <c r="B33" s="18">
        <v>3.0899999999999999E-3</v>
      </c>
    </row>
    <row r="34" spans="1:2" x14ac:dyDescent="0.25">
      <c r="A34" s="18">
        <v>40</v>
      </c>
      <c r="B34" s="18">
        <v>3.4099999999999998E-3</v>
      </c>
    </row>
    <row r="35" spans="1:2" x14ac:dyDescent="0.25">
      <c r="A35" s="18">
        <v>40.5</v>
      </c>
      <c r="B35" s="18">
        <v>3.7399999999999998E-3</v>
      </c>
    </row>
    <row r="36" spans="1:2" x14ac:dyDescent="0.25">
      <c r="A36" s="18">
        <v>41</v>
      </c>
      <c r="B36" s="18">
        <v>4.0800000000000003E-3</v>
      </c>
    </row>
    <row r="37" spans="1:2" x14ac:dyDescent="0.25">
      <c r="A37" s="18">
        <v>41.5</v>
      </c>
      <c r="B37" s="18">
        <v>4.4400000000000004E-3</v>
      </c>
    </row>
    <row r="38" spans="1:2" x14ac:dyDescent="0.25">
      <c r="A38" s="18">
        <v>42</v>
      </c>
      <c r="B38" s="18">
        <v>4.79E-3</v>
      </c>
    </row>
    <row r="39" spans="1:2" x14ac:dyDescent="0.25">
      <c r="A39" s="18">
        <v>42.5</v>
      </c>
      <c r="B39" s="18">
        <v>5.1599999999999997E-3</v>
      </c>
    </row>
    <row r="40" spans="1:2" x14ac:dyDescent="0.25">
      <c r="A40" s="18">
        <v>43</v>
      </c>
      <c r="B40" s="18">
        <v>5.4999999999999997E-3</v>
      </c>
    </row>
    <row r="41" spans="1:2" x14ac:dyDescent="0.25">
      <c r="A41" s="18">
        <v>43.5</v>
      </c>
      <c r="B41" s="18">
        <v>5.8599999999999998E-3</v>
      </c>
    </row>
    <row r="42" spans="1:2" x14ac:dyDescent="0.25">
      <c r="A42" s="18">
        <v>44</v>
      </c>
      <c r="B42" s="18">
        <v>6.2500000000000003E-3</v>
      </c>
    </row>
    <row r="43" spans="1:2" x14ac:dyDescent="0.25">
      <c r="A43" s="18">
        <v>44.5</v>
      </c>
      <c r="B43" s="18">
        <v>6.5599999999999999E-3</v>
      </c>
    </row>
    <row r="44" spans="1:2" x14ac:dyDescent="0.25">
      <c r="A44" s="18">
        <v>45</v>
      </c>
      <c r="B44" s="18">
        <v>6.9199999999999999E-3</v>
      </c>
    </row>
    <row r="45" spans="1:2" x14ac:dyDescent="0.25">
      <c r="A45" s="18">
        <v>45.5</v>
      </c>
      <c r="B45" s="18">
        <v>7.2399999999999999E-3</v>
      </c>
    </row>
    <row r="46" spans="1:2" x14ac:dyDescent="0.25">
      <c r="A46" s="18">
        <v>46</v>
      </c>
      <c r="B46" s="18">
        <v>7.5799999999999999E-3</v>
      </c>
    </row>
    <row r="47" spans="1:2" x14ac:dyDescent="0.25">
      <c r="A47" s="18">
        <v>46.5</v>
      </c>
      <c r="B47" s="18">
        <v>7.9100000000000004E-3</v>
      </c>
    </row>
    <row r="48" spans="1:2" x14ac:dyDescent="0.25">
      <c r="A48" s="18">
        <v>47</v>
      </c>
      <c r="B48" s="18">
        <v>8.1799999999999998E-3</v>
      </c>
    </row>
    <row r="49" spans="1:2" x14ac:dyDescent="0.25">
      <c r="A49" s="18">
        <v>47.5</v>
      </c>
      <c r="B49" s="18">
        <v>8.4200000000000004E-3</v>
      </c>
    </row>
    <row r="50" spans="1:2" x14ac:dyDescent="0.25">
      <c r="A50" s="18">
        <v>48</v>
      </c>
      <c r="B50" s="18">
        <v>8.7600000000000004E-3</v>
      </c>
    </row>
    <row r="51" spans="1:2" x14ac:dyDescent="0.25">
      <c r="A51" s="18">
        <v>48.5</v>
      </c>
      <c r="B51" s="18">
        <v>9.0299999999999998E-3</v>
      </c>
    </row>
    <row r="52" spans="1:2" x14ac:dyDescent="0.25">
      <c r="A52" s="18">
        <v>49</v>
      </c>
      <c r="B52" s="18">
        <v>9.1999999999999998E-3</v>
      </c>
    </row>
    <row r="53" spans="1:2" x14ac:dyDescent="0.25">
      <c r="A53" s="18">
        <v>49.5</v>
      </c>
      <c r="B53" s="18">
        <v>9.5399999999999999E-3</v>
      </c>
    </row>
    <row r="54" spans="1:2" x14ac:dyDescent="0.25">
      <c r="A54" s="18">
        <v>50</v>
      </c>
      <c r="B54" s="18">
        <v>9.7199999999999995E-3</v>
      </c>
    </row>
    <row r="55" spans="1:2" x14ac:dyDescent="0.25">
      <c r="A55" s="18">
        <v>50.5</v>
      </c>
      <c r="B55" s="18">
        <v>9.9600000000000001E-3</v>
      </c>
    </row>
    <row r="56" spans="1:2" x14ac:dyDescent="0.25">
      <c r="A56" s="18">
        <v>51</v>
      </c>
      <c r="B56" s="18">
        <v>1.03E-2</v>
      </c>
    </row>
    <row r="57" spans="1:2" x14ac:dyDescent="0.25">
      <c r="A57" s="18">
        <v>51.5</v>
      </c>
      <c r="B57" s="18">
        <v>1.0500000000000001E-2</v>
      </c>
    </row>
    <row r="58" spans="1:2" x14ac:dyDescent="0.25">
      <c r="A58" s="18">
        <v>52</v>
      </c>
      <c r="B58" s="18">
        <v>1.0800000000000001E-2</v>
      </c>
    </row>
    <row r="59" spans="1:2" x14ac:dyDescent="0.25">
      <c r="A59" s="18">
        <v>52.5</v>
      </c>
      <c r="B59" s="18">
        <v>1.09E-2</v>
      </c>
    </row>
    <row r="60" spans="1:2" x14ac:dyDescent="0.25">
      <c r="A60" s="18">
        <v>53</v>
      </c>
      <c r="B60" s="18">
        <v>1.11E-2</v>
      </c>
    </row>
    <row r="61" spans="1:2" x14ac:dyDescent="0.25">
      <c r="A61" s="18">
        <v>53.5</v>
      </c>
      <c r="B61" s="18">
        <v>1.14E-2</v>
      </c>
    </row>
    <row r="62" spans="1:2" x14ac:dyDescent="0.25">
      <c r="A62" s="18">
        <v>54</v>
      </c>
      <c r="B62" s="18">
        <v>1.15E-2</v>
      </c>
    </row>
    <row r="63" spans="1:2" x14ac:dyDescent="0.25">
      <c r="A63" s="18">
        <v>54.5</v>
      </c>
      <c r="B63" s="18">
        <v>1.17E-2</v>
      </c>
    </row>
    <row r="64" spans="1:2" x14ac:dyDescent="0.25">
      <c r="A64" s="18">
        <v>55</v>
      </c>
      <c r="B64" s="18">
        <v>1.17E-2</v>
      </c>
    </row>
    <row r="65" spans="1:2" x14ac:dyDescent="0.25">
      <c r="A65" s="18">
        <v>55.5</v>
      </c>
      <c r="B65" s="18">
        <v>1.2E-2</v>
      </c>
    </row>
    <row r="66" spans="1:2" x14ac:dyDescent="0.25">
      <c r="A66" s="18">
        <v>56</v>
      </c>
      <c r="B66" s="18">
        <v>1.21E-2</v>
      </c>
    </row>
    <row r="67" spans="1:2" x14ac:dyDescent="0.25">
      <c r="A67" s="18">
        <v>56.5</v>
      </c>
      <c r="B67" s="18">
        <v>1.2200000000000001E-2</v>
      </c>
    </row>
    <row r="68" spans="1:2" x14ac:dyDescent="0.25">
      <c r="A68" s="18">
        <v>57</v>
      </c>
      <c r="B68" s="18">
        <v>1.23E-2</v>
      </c>
    </row>
    <row r="69" spans="1:2" x14ac:dyDescent="0.25">
      <c r="A69" s="18">
        <v>57.5</v>
      </c>
      <c r="B69" s="18">
        <v>1.4800000000000001E-2</v>
      </c>
    </row>
    <row r="70" spans="1:2" x14ac:dyDescent="0.25">
      <c r="A70" s="18">
        <v>58</v>
      </c>
      <c r="B70" s="18">
        <v>2.87E-2</v>
      </c>
    </row>
    <row r="71" spans="1:2" x14ac:dyDescent="0.25">
      <c r="A71" s="18">
        <v>58.5</v>
      </c>
      <c r="B71" s="18">
        <v>1.38E-2</v>
      </c>
    </row>
    <row r="72" spans="1:2" x14ac:dyDescent="0.25">
      <c r="A72" s="18">
        <v>59</v>
      </c>
      <c r="B72" s="18">
        <v>2.76E-2</v>
      </c>
    </row>
    <row r="73" spans="1:2" x14ac:dyDescent="0.25">
      <c r="A73" s="18">
        <v>59.5</v>
      </c>
      <c r="B73" s="18">
        <v>3.4700000000000002E-2</v>
      </c>
    </row>
    <row r="74" spans="1:2" x14ac:dyDescent="0.25">
      <c r="A74" s="18">
        <v>60</v>
      </c>
      <c r="B74" s="18">
        <v>1.2800000000000001E-2</v>
      </c>
    </row>
    <row r="75" spans="1:2" x14ac:dyDescent="0.25">
      <c r="A75" s="18">
        <v>60.5</v>
      </c>
      <c r="B75" s="18">
        <v>1.26E-2</v>
      </c>
    </row>
    <row r="76" spans="1:2" x14ac:dyDescent="0.25">
      <c r="A76" s="18">
        <v>61</v>
      </c>
      <c r="B76" s="18">
        <v>1.26E-2</v>
      </c>
    </row>
    <row r="77" spans="1:2" x14ac:dyDescent="0.25">
      <c r="A77" s="18">
        <v>61.5</v>
      </c>
      <c r="B77" s="18">
        <v>1.26E-2</v>
      </c>
    </row>
    <row r="78" spans="1:2" x14ac:dyDescent="0.25">
      <c r="A78" s="18">
        <v>62</v>
      </c>
      <c r="B78" s="18">
        <v>1.26E-2</v>
      </c>
    </row>
    <row r="79" spans="1:2" x14ac:dyDescent="0.25">
      <c r="A79" s="18">
        <v>62.5</v>
      </c>
      <c r="B79" s="18">
        <v>1.26E-2</v>
      </c>
    </row>
    <row r="80" spans="1:2" x14ac:dyDescent="0.25">
      <c r="A80" s="18">
        <v>63</v>
      </c>
      <c r="B80" s="18">
        <v>1.2699999999999999E-2</v>
      </c>
    </row>
    <row r="81" spans="1:2" x14ac:dyDescent="0.25">
      <c r="A81" s="18">
        <v>63.5</v>
      </c>
      <c r="B81" s="18">
        <v>1.2699999999999999E-2</v>
      </c>
    </row>
    <row r="82" spans="1:2" x14ac:dyDescent="0.25">
      <c r="A82" s="18">
        <v>64</v>
      </c>
      <c r="B82" s="18">
        <v>1.26E-2</v>
      </c>
    </row>
    <row r="83" spans="1:2" x14ac:dyDescent="0.25">
      <c r="A83" s="18">
        <v>64.5</v>
      </c>
      <c r="B83" s="18">
        <v>1.2699999999999999E-2</v>
      </c>
    </row>
    <row r="84" spans="1:2" x14ac:dyDescent="0.25">
      <c r="A84" s="18">
        <v>65</v>
      </c>
      <c r="B84" s="18">
        <v>1.26E-2</v>
      </c>
    </row>
    <row r="85" spans="1:2" x14ac:dyDescent="0.25">
      <c r="A85" s="18">
        <v>65.5</v>
      </c>
      <c r="B85" s="18">
        <v>1.26E-2</v>
      </c>
    </row>
    <row r="86" spans="1:2" x14ac:dyDescent="0.25">
      <c r="A86" s="18">
        <v>66</v>
      </c>
      <c r="B86" s="18">
        <v>1.2500000000000001E-2</v>
      </c>
    </row>
    <row r="87" spans="1:2" x14ac:dyDescent="0.25">
      <c r="A87" s="18">
        <v>66.5</v>
      </c>
      <c r="B87" s="18">
        <v>1.38E-2</v>
      </c>
    </row>
    <row r="88" spans="1:2" x14ac:dyDescent="0.25">
      <c r="A88" s="18">
        <v>67</v>
      </c>
      <c r="B88" s="18">
        <v>2.4500000000000001E-2</v>
      </c>
    </row>
    <row r="89" spans="1:2" x14ac:dyDescent="0.25">
      <c r="A89" s="18">
        <v>67.5</v>
      </c>
      <c r="B89" s="18">
        <v>1.7999999999999999E-2</v>
      </c>
    </row>
    <row r="90" spans="1:2" x14ac:dyDescent="0.25">
      <c r="A90" s="18">
        <v>68</v>
      </c>
      <c r="B90" s="18">
        <v>1.23E-2</v>
      </c>
    </row>
    <row r="91" spans="1:2" x14ac:dyDescent="0.25">
      <c r="A91" s="18">
        <v>68.5</v>
      </c>
      <c r="B91" s="18">
        <v>1.2500000000000001E-2</v>
      </c>
    </row>
    <row r="92" spans="1:2" x14ac:dyDescent="0.25">
      <c r="A92" s="18">
        <v>69</v>
      </c>
      <c r="B92" s="18">
        <v>1.5900000000000001E-2</v>
      </c>
    </row>
    <row r="93" spans="1:2" x14ac:dyDescent="0.25">
      <c r="A93" s="18">
        <v>69.5</v>
      </c>
      <c r="B93" s="18">
        <v>1.2699999999999999E-2</v>
      </c>
    </row>
    <row r="94" spans="1:2" x14ac:dyDescent="0.25">
      <c r="A94" s="18">
        <v>70</v>
      </c>
      <c r="B94" s="18">
        <v>1.0999999999999999E-2</v>
      </c>
    </row>
    <row r="95" spans="1:2" x14ac:dyDescent="0.25">
      <c r="A95" s="18">
        <v>70.5</v>
      </c>
      <c r="B95" s="18">
        <v>1.09E-2</v>
      </c>
    </row>
    <row r="96" spans="1:2" x14ac:dyDescent="0.25">
      <c r="A96" s="18">
        <v>71</v>
      </c>
      <c r="B96" s="18">
        <v>1.0800000000000001E-2</v>
      </c>
    </row>
    <row r="97" spans="1:2" x14ac:dyDescent="0.25">
      <c r="A97" s="18">
        <v>71.5</v>
      </c>
      <c r="B97" s="18">
        <v>1.0800000000000001E-2</v>
      </c>
    </row>
    <row r="98" spans="1:2" x14ac:dyDescent="0.25">
      <c r="A98" s="18">
        <v>72</v>
      </c>
      <c r="B98" s="18">
        <v>1.06E-2</v>
      </c>
    </row>
    <row r="99" spans="1:2" x14ac:dyDescent="0.25">
      <c r="A99" s="18">
        <v>72.5</v>
      </c>
      <c r="B99" s="18">
        <v>1.04E-2</v>
      </c>
    </row>
    <row r="100" spans="1:2" x14ac:dyDescent="0.25">
      <c r="A100" s="18">
        <v>73</v>
      </c>
      <c r="B100" s="18">
        <v>1.03E-2</v>
      </c>
    </row>
    <row r="101" spans="1:2" x14ac:dyDescent="0.25">
      <c r="A101" s="18">
        <v>73.5</v>
      </c>
      <c r="B101" s="18">
        <v>1.01E-2</v>
      </c>
    </row>
    <row r="102" spans="1:2" x14ac:dyDescent="0.25">
      <c r="A102" s="18">
        <v>74</v>
      </c>
      <c r="B102" s="18">
        <v>9.9600000000000001E-3</v>
      </c>
    </row>
    <row r="103" spans="1:2" x14ac:dyDescent="0.25">
      <c r="A103" s="18">
        <v>74.5</v>
      </c>
      <c r="B103" s="18">
        <v>9.7800000000000005E-3</v>
      </c>
    </row>
    <row r="104" spans="1:2" x14ac:dyDescent="0.25">
      <c r="A104" s="18">
        <v>75</v>
      </c>
      <c r="B104" s="18">
        <v>9.6600000000000002E-3</v>
      </c>
    </row>
    <row r="105" spans="1:2" x14ac:dyDescent="0.25">
      <c r="A105" s="18">
        <v>75.5</v>
      </c>
      <c r="B105" s="18">
        <v>9.4299999999999991E-3</v>
      </c>
    </row>
    <row r="106" spans="1:2" x14ac:dyDescent="0.25">
      <c r="A106" s="18">
        <v>76</v>
      </c>
      <c r="B106" s="18">
        <v>9.2700000000000005E-3</v>
      </c>
    </row>
    <row r="107" spans="1:2" x14ac:dyDescent="0.25">
      <c r="A107" s="18">
        <v>76.5</v>
      </c>
      <c r="B107" s="18">
        <v>9.0500000000000008E-3</v>
      </c>
    </row>
    <row r="108" spans="1:2" x14ac:dyDescent="0.25">
      <c r="A108" s="18">
        <v>77</v>
      </c>
      <c r="B108" s="18">
        <v>8.8400000000000006E-3</v>
      </c>
    </row>
    <row r="109" spans="1:2" x14ac:dyDescent="0.25">
      <c r="A109" s="18">
        <v>77.5</v>
      </c>
      <c r="B109" s="18">
        <v>8.6300000000000005E-3</v>
      </c>
    </row>
    <row r="110" spans="1:2" x14ac:dyDescent="0.25">
      <c r="A110" s="18">
        <v>78</v>
      </c>
      <c r="B110" s="18">
        <v>8.4100000000000008E-3</v>
      </c>
    </row>
    <row r="111" spans="1:2" x14ac:dyDescent="0.25">
      <c r="A111" s="18">
        <v>78.5</v>
      </c>
      <c r="B111" s="18">
        <v>8.2299999999999995E-3</v>
      </c>
    </row>
    <row r="112" spans="1:2" x14ac:dyDescent="0.25">
      <c r="A112" s="18">
        <v>79</v>
      </c>
      <c r="B112" s="18">
        <v>7.8899999999999994E-3</v>
      </c>
    </row>
    <row r="113" spans="1:2" x14ac:dyDescent="0.25">
      <c r="A113" s="18">
        <v>79.5</v>
      </c>
      <c r="B113" s="18">
        <v>7.7000000000000002E-3</v>
      </c>
    </row>
    <row r="114" spans="1:2" x14ac:dyDescent="0.25">
      <c r="A114" s="18">
        <v>80</v>
      </c>
      <c r="B114" s="18">
        <v>7.45E-3</v>
      </c>
    </row>
    <row r="115" spans="1:2" x14ac:dyDescent="0.25">
      <c r="A115" s="18">
        <v>80.5</v>
      </c>
      <c r="B115" s="18">
        <v>7.1399999999999996E-3</v>
      </c>
    </row>
    <row r="116" spans="1:2" x14ac:dyDescent="0.25">
      <c r="A116" s="18">
        <v>81</v>
      </c>
      <c r="B116" s="18">
        <v>6.9899999999999997E-3</v>
      </c>
    </row>
    <row r="117" spans="1:2" x14ac:dyDescent="0.25">
      <c r="A117" s="18">
        <v>81.5</v>
      </c>
      <c r="B117" s="18">
        <v>6.7400000000000003E-3</v>
      </c>
    </row>
    <row r="118" spans="1:2" x14ac:dyDescent="0.25">
      <c r="A118" s="18">
        <v>82</v>
      </c>
      <c r="B118" s="18">
        <v>6.4400000000000004E-3</v>
      </c>
    </row>
    <row r="119" spans="1:2" x14ac:dyDescent="0.25">
      <c r="A119" s="18">
        <v>82.5</v>
      </c>
      <c r="B119" s="18">
        <v>6.1399999999999996E-3</v>
      </c>
    </row>
    <row r="120" spans="1:2" x14ac:dyDescent="0.25">
      <c r="A120" s="18">
        <v>83</v>
      </c>
      <c r="B120" s="18">
        <v>5.8999999999999999E-3</v>
      </c>
    </row>
    <row r="121" spans="1:2" x14ac:dyDescent="0.25">
      <c r="A121" s="18">
        <v>83.5</v>
      </c>
      <c r="B121" s="18">
        <v>5.5799999999999999E-3</v>
      </c>
    </row>
    <row r="122" spans="1:2" x14ac:dyDescent="0.25">
      <c r="A122" s="18">
        <v>84</v>
      </c>
      <c r="B122" s="18">
        <v>5.2199999999999998E-3</v>
      </c>
    </row>
    <row r="123" spans="1:2" x14ac:dyDescent="0.25">
      <c r="A123" s="18">
        <v>84.5</v>
      </c>
      <c r="B123" s="18">
        <v>4.9500000000000004E-3</v>
      </c>
    </row>
    <row r="124" spans="1:2" x14ac:dyDescent="0.25">
      <c r="A124" s="18">
        <v>85</v>
      </c>
      <c r="B124" s="18">
        <v>4.5999999999999999E-3</v>
      </c>
    </row>
    <row r="125" spans="1:2" x14ac:dyDescent="0.25">
      <c r="A125" s="18">
        <v>85.5</v>
      </c>
      <c r="B125" s="18">
        <v>4.2599999999999999E-3</v>
      </c>
    </row>
    <row r="126" spans="1:2" x14ac:dyDescent="0.25">
      <c r="A126" s="18">
        <v>86</v>
      </c>
      <c r="B126" s="18">
        <v>3.8899999999999998E-3</v>
      </c>
    </row>
    <row r="127" spans="1:2" x14ac:dyDescent="0.25">
      <c r="A127" s="18">
        <v>86.5</v>
      </c>
      <c r="B127" s="18">
        <v>3.5200000000000001E-3</v>
      </c>
    </row>
    <row r="128" spans="1:2" x14ac:dyDescent="0.25">
      <c r="A128" s="18">
        <v>87</v>
      </c>
      <c r="B128" s="18">
        <v>3.0999999999999999E-3</v>
      </c>
    </row>
    <row r="129" spans="1:2" x14ac:dyDescent="0.25">
      <c r="A129" s="18">
        <v>87.5</v>
      </c>
      <c r="B129" s="18">
        <v>2.6800000000000001E-3</v>
      </c>
    </row>
    <row r="130" spans="1:2" x14ac:dyDescent="0.25">
      <c r="A130" s="18">
        <v>88</v>
      </c>
      <c r="B130" s="18">
        <v>2.2200000000000002E-3</v>
      </c>
    </row>
    <row r="131" spans="1:2" x14ac:dyDescent="0.25">
      <c r="A131" s="18">
        <v>88.5</v>
      </c>
      <c r="B131" s="18">
        <v>1.7600000000000001E-3</v>
      </c>
    </row>
    <row r="132" spans="1:2" x14ac:dyDescent="0.25">
      <c r="A132" s="18">
        <v>89</v>
      </c>
      <c r="B132" s="18">
        <v>1.24E-3</v>
      </c>
    </row>
    <row r="133" spans="1:2" x14ac:dyDescent="0.25">
      <c r="A133" s="18">
        <v>89.5</v>
      </c>
      <c r="B133" s="18">
        <v>7.0399999999999998E-4</v>
      </c>
    </row>
    <row r="134" spans="1:2" x14ac:dyDescent="0.25">
      <c r="A134" s="18">
        <v>90</v>
      </c>
      <c r="B134" s="18">
        <v>1.3300000000000001E-4</v>
      </c>
    </row>
    <row r="135" spans="1:2" x14ac:dyDescent="0.25">
      <c r="A135" s="18">
        <v>90.5</v>
      </c>
      <c r="B135" s="18">
        <v>1.7800000000000001E-7</v>
      </c>
    </row>
    <row r="136" spans="1:2" x14ac:dyDescent="0.25">
      <c r="A136" s="18">
        <v>91</v>
      </c>
      <c r="B136" s="18">
        <v>1.86E-6</v>
      </c>
    </row>
    <row r="137" spans="1:2" x14ac:dyDescent="0.25">
      <c r="A137" s="18">
        <v>91.5</v>
      </c>
      <c r="B137" s="18">
        <v>7.6400000000000001E-7</v>
      </c>
    </row>
    <row r="138" spans="1:2" x14ac:dyDescent="0.25">
      <c r="A138" s="18">
        <v>92</v>
      </c>
      <c r="B138" s="18">
        <v>1.5099999999999999E-6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E00-000000000000}">
  <dimension ref="A1:B154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26</v>
      </c>
      <c r="B2" s="18">
        <v>6.8100000000000002E-5</v>
      </c>
    </row>
    <row r="3" spans="1:2" x14ac:dyDescent="0.25">
      <c r="A3" s="18">
        <v>26.5</v>
      </c>
      <c r="B3" s="18">
        <v>5.6700000000000003E-5</v>
      </c>
    </row>
    <row r="4" spans="1:2" x14ac:dyDescent="0.25">
      <c r="A4" s="18">
        <v>27</v>
      </c>
      <c r="B4" s="18">
        <v>3.43E-5</v>
      </c>
    </row>
    <row r="5" spans="1:2" x14ac:dyDescent="0.25">
      <c r="A5" s="18">
        <v>27.5</v>
      </c>
      <c r="B5" s="18">
        <v>1.1199999999999999E-5</v>
      </c>
    </row>
    <row r="6" spans="1:2" x14ac:dyDescent="0.25">
      <c r="A6" s="18">
        <v>28</v>
      </c>
      <c r="B6" s="18">
        <v>4.6799999999999999E-5</v>
      </c>
    </row>
    <row r="7" spans="1:2" x14ac:dyDescent="0.25">
      <c r="A7" s="18">
        <v>28.5</v>
      </c>
      <c r="B7" s="18">
        <v>3.5899999999999998E-5</v>
      </c>
    </row>
    <row r="8" spans="1:2" x14ac:dyDescent="0.25">
      <c r="A8" s="18">
        <v>29</v>
      </c>
      <c r="B8" s="18">
        <v>2.0699999999999998E-5</v>
      </c>
    </row>
    <row r="9" spans="1:2" x14ac:dyDescent="0.25">
      <c r="A9" s="18">
        <v>29.5</v>
      </c>
      <c r="B9" s="18">
        <v>3.3099999999999998E-5</v>
      </c>
    </row>
    <row r="10" spans="1:2" x14ac:dyDescent="0.25">
      <c r="A10" s="18">
        <v>30</v>
      </c>
      <c r="B10" s="18">
        <v>4.5300000000000003E-5</v>
      </c>
    </row>
    <row r="11" spans="1:2" x14ac:dyDescent="0.25">
      <c r="A11" s="18">
        <v>30.5</v>
      </c>
      <c r="B11" s="18">
        <v>6.2500000000000001E-5</v>
      </c>
    </row>
    <row r="12" spans="1:2" x14ac:dyDescent="0.25">
      <c r="A12" s="18">
        <v>31</v>
      </c>
      <c r="B12" s="18">
        <v>4.8000000000000001E-5</v>
      </c>
    </row>
    <row r="13" spans="1:2" x14ac:dyDescent="0.25">
      <c r="A13" s="18">
        <v>31.5</v>
      </c>
      <c r="B13" s="18">
        <v>8.7200000000000005E-5</v>
      </c>
    </row>
    <row r="14" spans="1:2" x14ac:dyDescent="0.25">
      <c r="A14" s="18">
        <v>32</v>
      </c>
      <c r="B14" s="18">
        <v>1E-4</v>
      </c>
    </row>
    <row r="15" spans="1:2" x14ac:dyDescent="0.25">
      <c r="A15" s="18">
        <v>32.5</v>
      </c>
      <c r="B15" s="18">
        <v>1.4799999999999999E-4</v>
      </c>
    </row>
    <row r="16" spans="1:2" x14ac:dyDescent="0.25">
      <c r="A16" s="18">
        <v>33</v>
      </c>
      <c r="B16" s="18">
        <v>1.8000000000000001E-4</v>
      </c>
    </row>
    <row r="17" spans="1:2" x14ac:dyDescent="0.25">
      <c r="A17" s="18">
        <v>33.5</v>
      </c>
      <c r="B17" s="18">
        <v>2.1900000000000001E-4</v>
      </c>
    </row>
    <row r="18" spans="1:2" x14ac:dyDescent="0.25">
      <c r="A18" s="18">
        <v>34</v>
      </c>
      <c r="B18" s="18">
        <v>2.5900000000000001E-4</v>
      </c>
    </row>
    <row r="19" spans="1:2" x14ac:dyDescent="0.25">
      <c r="A19" s="18">
        <v>34.5</v>
      </c>
      <c r="B19" s="18">
        <v>3.39E-4</v>
      </c>
    </row>
    <row r="20" spans="1:2" x14ac:dyDescent="0.25">
      <c r="A20" s="18">
        <v>35</v>
      </c>
      <c r="B20" s="18">
        <v>3.9899999999999999E-4</v>
      </c>
    </row>
    <row r="21" spans="1:2" x14ac:dyDescent="0.25">
      <c r="A21" s="18">
        <v>35.5</v>
      </c>
      <c r="B21" s="18">
        <v>5.31E-4</v>
      </c>
    </row>
    <row r="22" spans="1:2" x14ac:dyDescent="0.25">
      <c r="A22" s="18">
        <v>36</v>
      </c>
      <c r="B22" s="18">
        <v>6.1600000000000001E-4</v>
      </c>
    </row>
    <row r="23" spans="1:2" x14ac:dyDescent="0.25">
      <c r="A23" s="18">
        <v>36.5</v>
      </c>
      <c r="B23" s="18">
        <v>7.2000000000000005E-4</v>
      </c>
    </row>
    <row r="24" spans="1:2" x14ac:dyDescent="0.25">
      <c r="A24" s="18">
        <v>37</v>
      </c>
      <c r="B24" s="18">
        <v>8.2899999999999998E-4</v>
      </c>
    </row>
    <row r="25" spans="1:2" x14ac:dyDescent="0.25">
      <c r="A25" s="18">
        <v>37.5</v>
      </c>
      <c r="B25" s="18">
        <v>9.9200000000000004E-4</v>
      </c>
    </row>
    <row r="26" spans="1:2" x14ac:dyDescent="0.25">
      <c r="A26" s="18">
        <v>38</v>
      </c>
      <c r="B26" s="18">
        <v>1.1199999999999999E-3</v>
      </c>
    </row>
    <row r="27" spans="1:2" x14ac:dyDescent="0.25">
      <c r="A27" s="18">
        <v>38.5</v>
      </c>
      <c r="B27" s="18">
        <v>1.2899999999999999E-3</v>
      </c>
    </row>
    <row r="28" spans="1:2" x14ac:dyDescent="0.25">
      <c r="A28" s="18">
        <v>39</v>
      </c>
      <c r="B28" s="18">
        <v>1.47E-3</v>
      </c>
    </row>
    <row r="29" spans="1:2" x14ac:dyDescent="0.25">
      <c r="A29" s="18">
        <v>39.5</v>
      </c>
      <c r="B29" s="18">
        <v>1.6900000000000001E-3</v>
      </c>
    </row>
    <row r="30" spans="1:2" x14ac:dyDescent="0.25">
      <c r="A30" s="18">
        <v>40</v>
      </c>
      <c r="B30" s="18">
        <v>1.8699999999999999E-3</v>
      </c>
    </row>
    <row r="31" spans="1:2" x14ac:dyDescent="0.25">
      <c r="A31" s="18">
        <v>40.5</v>
      </c>
      <c r="B31" s="18">
        <v>2.0899999999999998E-3</v>
      </c>
    </row>
    <row r="32" spans="1:2" x14ac:dyDescent="0.25">
      <c r="A32" s="18">
        <v>41</v>
      </c>
      <c r="B32" s="18">
        <v>2.31E-3</v>
      </c>
    </row>
    <row r="33" spans="1:2" x14ac:dyDescent="0.25">
      <c r="A33" s="18">
        <v>41.5</v>
      </c>
      <c r="B33" s="18">
        <v>2.5999999999999999E-3</v>
      </c>
    </row>
    <row r="34" spans="1:2" x14ac:dyDescent="0.25">
      <c r="A34" s="18">
        <v>42</v>
      </c>
      <c r="B34" s="18">
        <v>2.7899999999999999E-3</v>
      </c>
    </row>
    <row r="35" spans="1:2" x14ac:dyDescent="0.25">
      <c r="A35" s="18">
        <v>42.5</v>
      </c>
      <c r="B35" s="18">
        <v>3.0400000000000002E-3</v>
      </c>
    </row>
    <row r="36" spans="1:2" x14ac:dyDescent="0.25">
      <c r="A36" s="18">
        <v>43</v>
      </c>
      <c r="B36" s="18">
        <v>3.32E-3</v>
      </c>
    </row>
    <row r="37" spans="1:2" x14ac:dyDescent="0.25">
      <c r="A37" s="18">
        <v>43.5</v>
      </c>
      <c r="B37" s="18">
        <v>3.5799999999999998E-3</v>
      </c>
    </row>
    <row r="38" spans="1:2" x14ac:dyDescent="0.25">
      <c r="A38" s="18">
        <v>44</v>
      </c>
      <c r="B38" s="18">
        <v>3.8E-3</v>
      </c>
    </row>
    <row r="39" spans="1:2" x14ac:dyDescent="0.25">
      <c r="A39" s="18">
        <v>44.5</v>
      </c>
      <c r="B39" s="18">
        <v>4.0899999999999999E-3</v>
      </c>
    </row>
    <row r="40" spans="1:2" x14ac:dyDescent="0.25">
      <c r="A40" s="18">
        <v>45</v>
      </c>
      <c r="B40" s="18">
        <v>4.3400000000000001E-3</v>
      </c>
    </row>
    <row r="41" spans="1:2" x14ac:dyDescent="0.25">
      <c r="A41" s="18">
        <v>45.5</v>
      </c>
      <c r="B41" s="18">
        <v>4.5900000000000003E-3</v>
      </c>
    </row>
    <row r="42" spans="1:2" x14ac:dyDescent="0.25">
      <c r="A42" s="18">
        <v>46</v>
      </c>
      <c r="B42" s="18">
        <v>4.8900000000000002E-3</v>
      </c>
    </row>
    <row r="43" spans="1:2" x14ac:dyDescent="0.25">
      <c r="A43" s="18">
        <v>46.5</v>
      </c>
      <c r="B43" s="18">
        <v>5.1799999999999997E-3</v>
      </c>
    </row>
    <row r="44" spans="1:2" x14ac:dyDescent="0.25">
      <c r="A44" s="18">
        <v>47</v>
      </c>
      <c r="B44" s="18">
        <v>5.3800000000000002E-3</v>
      </c>
    </row>
    <row r="45" spans="1:2" x14ac:dyDescent="0.25">
      <c r="A45" s="18">
        <v>47.5</v>
      </c>
      <c r="B45" s="18">
        <v>5.6299999999999996E-3</v>
      </c>
    </row>
    <row r="46" spans="1:2" x14ac:dyDescent="0.25">
      <c r="A46" s="18">
        <v>48</v>
      </c>
      <c r="B46" s="18">
        <v>5.9100000000000003E-3</v>
      </c>
    </row>
    <row r="47" spans="1:2" x14ac:dyDescent="0.25">
      <c r="A47" s="18">
        <v>48.5</v>
      </c>
      <c r="B47" s="18">
        <v>6.2199999999999998E-3</v>
      </c>
    </row>
    <row r="48" spans="1:2" x14ac:dyDescent="0.25">
      <c r="A48" s="18">
        <v>49</v>
      </c>
      <c r="B48" s="18">
        <v>6.3299999999999997E-3</v>
      </c>
    </row>
    <row r="49" spans="1:2" x14ac:dyDescent="0.25">
      <c r="A49" s="18">
        <v>49.5</v>
      </c>
      <c r="B49" s="18">
        <v>6.7000000000000002E-3</v>
      </c>
    </row>
    <row r="50" spans="1:2" x14ac:dyDescent="0.25">
      <c r="A50" s="18">
        <v>50</v>
      </c>
      <c r="B50" s="18">
        <v>6.79E-3</v>
      </c>
    </row>
    <row r="51" spans="1:2" x14ac:dyDescent="0.25">
      <c r="A51" s="18">
        <v>50.5</v>
      </c>
      <c r="B51" s="18">
        <v>7.0000000000000001E-3</v>
      </c>
    </row>
    <row r="52" spans="1:2" x14ac:dyDescent="0.25">
      <c r="A52" s="18">
        <v>51</v>
      </c>
      <c r="B52" s="18">
        <v>7.26E-3</v>
      </c>
    </row>
    <row r="53" spans="1:2" x14ac:dyDescent="0.25">
      <c r="A53" s="18">
        <v>51.5</v>
      </c>
      <c r="B53" s="18">
        <v>7.5500000000000003E-3</v>
      </c>
    </row>
    <row r="54" spans="1:2" x14ac:dyDescent="0.25">
      <c r="A54" s="18">
        <v>52</v>
      </c>
      <c r="B54" s="18">
        <v>7.7499999999999999E-3</v>
      </c>
    </row>
    <row r="55" spans="1:2" x14ac:dyDescent="0.25">
      <c r="A55" s="18">
        <v>52.5</v>
      </c>
      <c r="B55" s="18">
        <v>7.9900000000000006E-3</v>
      </c>
    </row>
    <row r="56" spans="1:2" x14ac:dyDescent="0.25">
      <c r="A56" s="18">
        <v>53</v>
      </c>
      <c r="B56" s="18">
        <v>8.1799999999999998E-3</v>
      </c>
    </row>
    <row r="57" spans="1:2" x14ac:dyDescent="0.25">
      <c r="A57" s="18">
        <v>53.5</v>
      </c>
      <c r="B57" s="18">
        <v>8.3499999999999998E-3</v>
      </c>
    </row>
    <row r="58" spans="1:2" x14ac:dyDescent="0.25">
      <c r="A58" s="18">
        <v>54</v>
      </c>
      <c r="B58" s="18">
        <v>8.6400000000000001E-3</v>
      </c>
    </row>
    <row r="59" spans="1:2" x14ac:dyDescent="0.25">
      <c r="A59" s="18">
        <v>54.5</v>
      </c>
      <c r="B59" s="18">
        <v>8.8100000000000001E-3</v>
      </c>
    </row>
    <row r="60" spans="1:2" x14ac:dyDescent="0.25">
      <c r="A60" s="18">
        <v>55</v>
      </c>
      <c r="B60" s="18">
        <v>8.9099999999999995E-3</v>
      </c>
    </row>
    <row r="61" spans="1:2" x14ac:dyDescent="0.25">
      <c r="A61" s="18">
        <v>55.5</v>
      </c>
      <c r="B61" s="18">
        <v>9.0500000000000008E-3</v>
      </c>
    </row>
    <row r="62" spans="1:2" x14ac:dyDescent="0.25">
      <c r="A62" s="18">
        <v>56</v>
      </c>
      <c r="B62" s="18">
        <v>9.3200000000000002E-3</v>
      </c>
    </row>
    <row r="63" spans="1:2" x14ac:dyDescent="0.25">
      <c r="A63" s="18">
        <v>56.5</v>
      </c>
      <c r="B63" s="18">
        <v>9.4000000000000004E-3</v>
      </c>
    </row>
    <row r="64" spans="1:2" x14ac:dyDescent="0.25">
      <c r="A64" s="18">
        <v>57</v>
      </c>
      <c r="B64" s="18">
        <v>9.6500000000000006E-3</v>
      </c>
    </row>
    <row r="65" spans="1:2" x14ac:dyDescent="0.25">
      <c r="A65" s="18">
        <v>57.5</v>
      </c>
      <c r="B65" s="18">
        <v>1.26E-2</v>
      </c>
    </row>
    <row r="66" spans="1:2" x14ac:dyDescent="0.25">
      <c r="A66" s="18">
        <v>58</v>
      </c>
      <c r="B66" s="18">
        <v>2.92E-2</v>
      </c>
    </row>
    <row r="67" spans="1:2" x14ac:dyDescent="0.25">
      <c r="A67" s="18">
        <v>58.5</v>
      </c>
      <c r="B67" s="18">
        <v>1.1599999999999999E-2</v>
      </c>
    </row>
    <row r="68" spans="1:2" x14ac:dyDescent="0.25">
      <c r="A68" s="18">
        <v>59</v>
      </c>
      <c r="B68" s="18">
        <v>2.7699999999999999E-2</v>
      </c>
    </row>
    <row r="69" spans="1:2" x14ac:dyDescent="0.25">
      <c r="A69" s="18">
        <v>59.5</v>
      </c>
      <c r="B69" s="18">
        <v>3.6999999999999998E-2</v>
      </c>
    </row>
    <row r="70" spans="1:2" x14ac:dyDescent="0.25">
      <c r="A70" s="18">
        <v>60</v>
      </c>
      <c r="B70" s="18">
        <v>1.0500000000000001E-2</v>
      </c>
    </row>
    <row r="71" spans="1:2" x14ac:dyDescent="0.25">
      <c r="A71" s="18">
        <v>60.5</v>
      </c>
      <c r="B71" s="18">
        <v>1.0200000000000001E-2</v>
      </c>
    </row>
    <row r="72" spans="1:2" x14ac:dyDescent="0.25">
      <c r="A72" s="18">
        <v>61</v>
      </c>
      <c r="B72" s="18">
        <v>1.03E-2</v>
      </c>
    </row>
    <row r="73" spans="1:2" x14ac:dyDescent="0.25">
      <c r="A73" s="18">
        <v>61.5</v>
      </c>
      <c r="B73" s="18">
        <v>1.03E-2</v>
      </c>
    </row>
    <row r="74" spans="1:2" x14ac:dyDescent="0.25">
      <c r="A74" s="18">
        <v>62</v>
      </c>
      <c r="B74" s="18">
        <v>1.0500000000000001E-2</v>
      </c>
    </row>
    <row r="75" spans="1:2" x14ac:dyDescent="0.25">
      <c r="A75" s="18">
        <v>62.5</v>
      </c>
      <c r="B75" s="18">
        <v>1.06E-2</v>
      </c>
    </row>
    <row r="76" spans="1:2" x14ac:dyDescent="0.25">
      <c r="A76" s="18">
        <v>63</v>
      </c>
      <c r="B76" s="18">
        <v>1.0699999999999999E-2</v>
      </c>
    </row>
    <row r="77" spans="1:2" x14ac:dyDescent="0.25">
      <c r="A77" s="18">
        <v>63.5</v>
      </c>
      <c r="B77" s="18">
        <v>1.0800000000000001E-2</v>
      </c>
    </row>
    <row r="78" spans="1:2" x14ac:dyDescent="0.25">
      <c r="A78" s="18">
        <v>64</v>
      </c>
      <c r="B78" s="18">
        <v>1.0800000000000001E-2</v>
      </c>
    </row>
    <row r="79" spans="1:2" x14ac:dyDescent="0.25">
      <c r="A79" s="18">
        <v>64.5</v>
      </c>
      <c r="B79" s="18">
        <v>1.0800000000000001E-2</v>
      </c>
    </row>
    <row r="80" spans="1:2" x14ac:dyDescent="0.25">
      <c r="A80" s="18">
        <v>65</v>
      </c>
      <c r="B80" s="18">
        <v>1.09E-2</v>
      </c>
    </row>
    <row r="81" spans="1:2" x14ac:dyDescent="0.25">
      <c r="A81" s="18">
        <v>65.5</v>
      </c>
      <c r="B81" s="18">
        <v>1.09E-2</v>
      </c>
    </row>
    <row r="82" spans="1:2" x14ac:dyDescent="0.25">
      <c r="A82" s="18">
        <v>66</v>
      </c>
      <c r="B82" s="18">
        <v>1.0999999999999999E-2</v>
      </c>
    </row>
    <row r="83" spans="1:2" x14ac:dyDescent="0.25">
      <c r="A83" s="18">
        <v>66.5</v>
      </c>
      <c r="B83" s="18">
        <v>1.2699999999999999E-2</v>
      </c>
    </row>
    <row r="84" spans="1:2" x14ac:dyDescent="0.25">
      <c r="A84" s="18">
        <v>67</v>
      </c>
      <c r="B84" s="18">
        <v>2.6200000000000001E-2</v>
      </c>
    </row>
    <row r="85" spans="1:2" x14ac:dyDescent="0.25">
      <c r="A85" s="18">
        <v>67.5</v>
      </c>
      <c r="B85" s="18">
        <v>1.84E-2</v>
      </c>
    </row>
    <row r="86" spans="1:2" x14ac:dyDescent="0.25">
      <c r="A86" s="18">
        <v>68</v>
      </c>
      <c r="B86" s="18">
        <v>1.1299999999999999E-2</v>
      </c>
    </row>
    <row r="87" spans="1:2" x14ac:dyDescent="0.25">
      <c r="A87" s="18">
        <v>68.5</v>
      </c>
      <c r="B87" s="18">
        <v>1.15E-2</v>
      </c>
    </row>
    <row r="88" spans="1:2" x14ac:dyDescent="0.25">
      <c r="A88" s="18">
        <v>69</v>
      </c>
      <c r="B88" s="18">
        <v>1.6E-2</v>
      </c>
    </row>
    <row r="89" spans="1:2" x14ac:dyDescent="0.25">
      <c r="A89" s="18">
        <v>69.5</v>
      </c>
      <c r="B89" s="18">
        <v>1.2E-2</v>
      </c>
    </row>
    <row r="90" spans="1:2" x14ac:dyDescent="0.25">
      <c r="A90" s="18">
        <v>70</v>
      </c>
      <c r="B90" s="18">
        <v>0.01</v>
      </c>
    </row>
    <row r="91" spans="1:2" x14ac:dyDescent="0.25">
      <c r="A91" s="18">
        <v>70.5</v>
      </c>
      <c r="B91" s="18">
        <v>0.01</v>
      </c>
    </row>
    <row r="92" spans="1:2" x14ac:dyDescent="0.25">
      <c r="A92" s="18">
        <v>71</v>
      </c>
      <c r="B92" s="18">
        <v>0.01</v>
      </c>
    </row>
    <row r="93" spans="1:2" x14ac:dyDescent="0.25">
      <c r="A93" s="18">
        <v>71.5</v>
      </c>
      <c r="B93" s="18">
        <v>0.01</v>
      </c>
    </row>
    <row r="94" spans="1:2" x14ac:dyDescent="0.25">
      <c r="A94" s="18">
        <v>72</v>
      </c>
      <c r="B94" s="18">
        <v>9.92E-3</v>
      </c>
    </row>
    <row r="95" spans="1:2" x14ac:dyDescent="0.25">
      <c r="A95" s="18">
        <v>72.5</v>
      </c>
      <c r="B95" s="18">
        <v>9.92E-3</v>
      </c>
    </row>
    <row r="96" spans="1:2" x14ac:dyDescent="0.25">
      <c r="A96" s="18">
        <v>73</v>
      </c>
      <c r="B96" s="18">
        <v>9.9299999999999996E-3</v>
      </c>
    </row>
    <row r="97" spans="1:2" x14ac:dyDescent="0.25">
      <c r="A97" s="18">
        <v>73.5</v>
      </c>
      <c r="B97" s="18">
        <v>9.9000000000000008E-3</v>
      </c>
    </row>
    <row r="98" spans="1:2" x14ac:dyDescent="0.25">
      <c r="A98" s="18">
        <v>74</v>
      </c>
      <c r="B98" s="18">
        <v>9.8799999999999999E-3</v>
      </c>
    </row>
    <row r="99" spans="1:2" x14ac:dyDescent="0.25">
      <c r="A99" s="18">
        <v>74.5</v>
      </c>
      <c r="B99" s="18">
        <v>9.8799999999999999E-3</v>
      </c>
    </row>
    <row r="100" spans="1:2" x14ac:dyDescent="0.25">
      <c r="A100" s="18">
        <v>75</v>
      </c>
      <c r="B100" s="18">
        <v>9.7099999999999999E-3</v>
      </c>
    </row>
    <row r="101" spans="1:2" x14ac:dyDescent="0.25">
      <c r="A101" s="18">
        <v>75.5</v>
      </c>
      <c r="B101" s="18">
        <v>9.6699999999999998E-3</v>
      </c>
    </row>
    <row r="102" spans="1:2" x14ac:dyDescent="0.25">
      <c r="A102" s="18">
        <v>76</v>
      </c>
      <c r="B102" s="18">
        <v>9.6100000000000005E-3</v>
      </c>
    </row>
    <row r="103" spans="1:2" x14ac:dyDescent="0.25">
      <c r="A103" s="18">
        <v>76.5</v>
      </c>
      <c r="B103" s="18">
        <v>9.4999999999999998E-3</v>
      </c>
    </row>
    <row r="104" spans="1:2" x14ac:dyDescent="0.25">
      <c r="A104" s="18">
        <v>77</v>
      </c>
      <c r="B104" s="18">
        <v>9.4400000000000005E-3</v>
      </c>
    </row>
    <row r="105" spans="1:2" x14ac:dyDescent="0.25">
      <c r="A105" s="18">
        <v>77.5</v>
      </c>
      <c r="B105" s="18">
        <v>9.2499999999999995E-3</v>
      </c>
    </row>
    <row r="106" spans="1:2" x14ac:dyDescent="0.25">
      <c r="A106" s="18">
        <v>78</v>
      </c>
      <c r="B106" s="18">
        <v>9.2300000000000004E-3</v>
      </c>
    </row>
    <row r="107" spans="1:2" x14ac:dyDescent="0.25">
      <c r="A107" s="18">
        <v>78.5</v>
      </c>
      <c r="B107" s="18">
        <v>9.0799999999999995E-3</v>
      </c>
    </row>
    <row r="108" spans="1:2" x14ac:dyDescent="0.25">
      <c r="A108" s="18">
        <v>79</v>
      </c>
      <c r="B108" s="18">
        <v>9.0500000000000008E-3</v>
      </c>
    </row>
    <row r="109" spans="1:2" x14ac:dyDescent="0.25">
      <c r="A109" s="18">
        <v>79.5</v>
      </c>
      <c r="B109" s="18">
        <v>8.8999999999999999E-3</v>
      </c>
    </row>
    <row r="110" spans="1:2" x14ac:dyDescent="0.25">
      <c r="A110" s="18">
        <v>80</v>
      </c>
      <c r="B110" s="18">
        <v>8.8400000000000006E-3</v>
      </c>
    </row>
    <row r="111" spans="1:2" x14ac:dyDescent="0.25">
      <c r="A111" s="18">
        <v>80.5</v>
      </c>
      <c r="B111" s="18">
        <v>8.77E-3</v>
      </c>
    </row>
    <row r="112" spans="1:2" x14ac:dyDescent="0.25">
      <c r="A112" s="18">
        <v>81</v>
      </c>
      <c r="B112" s="18">
        <v>8.6499999999999997E-3</v>
      </c>
    </row>
    <row r="113" spans="1:2" x14ac:dyDescent="0.25">
      <c r="A113" s="18">
        <v>81.5</v>
      </c>
      <c r="B113" s="18">
        <v>8.5599999999999999E-3</v>
      </c>
    </row>
    <row r="114" spans="1:2" x14ac:dyDescent="0.25">
      <c r="A114" s="18">
        <v>82</v>
      </c>
      <c r="B114" s="18">
        <v>8.4200000000000004E-3</v>
      </c>
    </row>
    <row r="115" spans="1:2" x14ac:dyDescent="0.25">
      <c r="A115" s="18">
        <v>82.5</v>
      </c>
      <c r="B115" s="18">
        <v>8.3199999999999993E-3</v>
      </c>
    </row>
    <row r="116" spans="1:2" x14ac:dyDescent="0.25">
      <c r="A116" s="18">
        <v>83</v>
      </c>
      <c r="B116" s="18">
        <v>8.1899999999999994E-3</v>
      </c>
    </row>
    <row r="117" spans="1:2" x14ac:dyDescent="0.25">
      <c r="A117" s="18">
        <v>83.5</v>
      </c>
      <c r="B117" s="18">
        <v>8.0499999999999999E-3</v>
      </c>
    </row>
    <row r="118" spans="1:2" x14ac:dyDescent="0.25">
      <c r="A118" s="18">
        <v>84</v>
      </c>
      <c r="B118" s="18">
        <v>7.9299999999999995E-3</v>
      </c>
    </row>
    <row r="119" spans="1:2" x14ac:dyDescent="0.25">
      <c r="A119" s="18">
        <v>84.5</v>
      </c>
      <c r="B119" s="18">
        <v>7.8200000000000006E-3</v>
      </c>
    </row>
    <row r="120" spans="1:2" x14ac:dyDescent="0.25">
      <c r="A120" s="18">
        <v>85</v>
      </c>
      <c r="B120" s="18">
        <v>7.6400000000000001E-3</v>
      </c>
    </row>
    <row r="121" spans="1:2" x14ac:dyDescent="0.25">
      <c r="A121" s="18">
        <v>85.5</v>
      </c>
      <c r="B121" s="18">
        <v>7.5799999999999999E-3</v>
      </c>
    </row>
    <row r="122" spans="1:2" x14ac:dyDescent="0.25">
      <c r="A122" s="18">
        <v>86</v>
      </c>
      <c r="B122" s="18">
        <v>7.4200000000000004E-3</v>
      </c>
    </row>
    <row r="123" spans="1:2" x14ac:dyDescent="0.25">
      <c r="A123" s="18">
        <v>86.5</v>
      </c>
      <c r="B123" s="18">
        <v>7.2399999999999999E-3</v>
      </c>
    </row>
    <row r="124" spans="1:2" x14ac:dyDescent="0.25">
      <c r="A124" s="18">
        <v>87</v>
      </c>
      <c r="B124" s="18">
        <v>7.0800000000000004E-3</v>
      </c>
    </row>
    <row r="125" spans="1:2" x14ac:dyDescent="0.25">
      <c r="A125" s="18">
        <v>87.5</v>
      </c>
      <c r="B125" s="18">
        <v>6.8300000000000001E-3</v>
      </c>
    </row>
    <row r="126" spans="1:2" x14ac:dyDescent="0.25">
      <c r="A126" s="18">
        <v>88</v>
      </c>
      <c r="B126" s="18">
        <v>6.6E-3</v>
      </c>
    </row>
    <row r="127" spans="1:2" x14ac:dyDescent="0.25">
      <c r="A127" s="18">
        <v>88.5</v>
      </c>
      <c r="B127" s="18">
        <v>6.3699999999999998E-3</v>
      </c>
    </row>
    <row r="128" spans="1:2" x14ac:dyDescent="0.25">
      <c r="A128" s="18">
        <v>89</v>
      </c>
      <c r="B128" s="18">
        <v>6.2100000000000002E-3</v>
      </c>
    </row>
    <row r="129" spans="1:2" x14ac:dyDescent="0.25">
      <c r="A129" s="18">
        <v>89.5</v>
      </c>
      <c r="B129" s="18">
        <v>5.9800000000000001E-3</v>
      </c>
    </row>
    <row r="130" spans="1:2" x14ac:dyDescent="0.25">
      <c r="A130" s="18">
        <v>90</v>
      </c>
      <c r="B130" s="18">
        <v>5.79E-3</v>
      </c>
    </row>
    <row r="131" spans="1:2" x14ac:dyDescent="0.25">
      <c r="A131" s="18">
        <v>90.5</v>
      </c>
      <c r="B131" s="18">
        <v>5.7000000000000002E-3</v>
      </c>
    </row>
    <row r="132" spans="1:2" x14ac:dyDescent="0.25">
      <c r="A132" s="18">
        <v>91</v>
      </c>
      <c r="B132" s="18">
        <v>5.4000000000000003E-3</v>
      </c>
    </row>
    <row r="133" spans="1:2" x14ac:dyDescent="0.25">
      <c r="A133" s="18">
        <v>91.5</v>
      </c>
      <c r="B133" s="18">
        <v>5.1799999999999997E-3</v>
      </c>
    </row>
    <row r="134" spans="1:2" x14ac:dyDescent="0.25">
      <c r="A134" s="18">
        <v>92</v>
      </c>
      <c r="B134" s="18">
        <v>4.9100000000000003E-3</v>
      </c>
    </row>
    <row r="135" spans="1:2" x14ac:dyDescent="0.25">
      <c r="A135" s="18">
        <v>92.5</v>
      </c>
      <c r="B135" s="18">
        <v>4.7200000000000002E-3</v>
      </c>
    </row>
    <row r="136" spans="1:2" x14ac:dyDescent="0.25">
      <c r="A136" s="18">
        <v>93</v>
      </c>
      <c r="B136" s="18">
        <v>4.4999999999999997E-3</v>
      </c>
    </row>
    <row r="137" spans="1:2" x14ac:dyDescent="0.25">
      <c r="A137" s="18">
        <v>93.5</v>
      </c>
      <c r="B137" s="18">
        <v>4.2700000000000004E-3</v>
      </c>
    </row>
    <row r="138" spans="1:2" x14ac:dyDescent="0.25">
      <c r="A138" s="18">
        <v>94</v>
      </c>
      <c r="B138" s="18">
        <v>4.0800000000000003E-3</v>
      </c>
    </row>
    <row r="139" spans="1:2" x14ac:dyDescent="0.25">
      <c r="A139" s="18">
        <v>94.5</v>
      </c>
      <c r="B139" s="18">
        <v>3.7499999999999999E-3</v>
      </c>
    </row>
    <row r="140" spans="1:2" x14ac:dyDescent="0.25">
      <c r="A140" s="18">
        <v>95</v>
      </c>
      <c r="B140" s="18">
        <v>3.4499999999999999E-3</v>
      </c>
    </row>
    <row r="141" spans="1:2" x14ac:dyDescent="0.25">
      <c r="A141" s="18">
        <v>95.5</v>
      </c>
      <c r="B141" s="18">
        <v>3.2100000000000002E-3</v>
      </c>
    </row>
    <row r="142" spans="1:2" x14ac:dyDescent="0.25">
      <c r="A142" s="18">
        <v>96</v>
      </c>
      <c r="B142" s="18">
        <v>2.9399999999999999E-3</v>
      </c>
    </row>
    <row r="143" spans="1:2" x14ac:dyDescent="0.25">
      <c r="A143" s="18">
        <v>96.5</v>
      </c>
      <c r="B143" s="18">
        <v>2.5799999999999998E-3</v>
      </c>
    </row>
    <row r="144" spans="1:2" x14ac:dyDescent="0.25">
      <c r="A144" s="18">
        <v>97</v>
      </c>
      <c r="B144" s="18">
        <v>2.3E-3</v>
      </c>
    </row>
    <row r="145" spans="1:2" x14ac:dyDescent="0.25">
      <c r="A145" s="18">
        <v>97.5</v>
      </c>
      <c r="B145" s="18">
        <v>2.0400000000000001E-3</v>
      </c>
    </row>
    <row r="146" spans="1:2" x14ac:dyDescent="0.25">
      <c r="A146" s="18">
        <v>98</v>
      </c>
      <c r="B146" s="18">
        <v>1.65E-3</v>
      </c>
    </row>
    <row r="147" spans="1:2" x14ac:dyDescent="0.25">
      <c r="A147" s="18">
        <v>98.5</v>
      </c>
      <c r="B147" s="18">
        <v>1.2999999999999999E-3</v>
      </c>
    </row>
    <row r="148" spans="1:2" x14ac:dyDescent="0.25">
      <c r="A148" s="18">
        <v>99</v>
      </c>
      <c r="B148" s="18">
        <v>9.5299999999999996E-4</v>
      </c>
    </row>
    <row r="149" spans="1:2" x14ac:dyDescent="0.25">
      <c r="A149" s="18">
        <v>99.5</v>
      </c>
      <c r="B149" s="18">
        <v>5.1599999999999997E-4</v>
      </c>
    </row>
    <row r="150" spans="1:2" x14ac:dyDescent="0.25">
      <c r="A150" s="18">
        <v>100</v>
      </c>
      <c r="B150" s="18">
        <v>8.6299999999999997E-5</v>
      </c>
    </row>
    <row r="151" spans="1:2" x14ac:dyDescent="0.25">
      <c r="A151" s="18">
        <v>101</v>
      </c>
      <c r="B151" s="18">
        <v>2.6399999999999998E-7</v>
      </c>
    </row>
    <row r="152" spans="1:2" x14ac:dyDescent="0.25">
      <c r="A152" s="18">
        <v>101</v>
      </c>
      <c r="B152" s="18">
        <v>2.0499999999999999E-6</v>
      </c>
    </row>
    <row r="153" spans="1:2" x14ac:dyDescent="0.25">
      <c r="A153" s="18">
        <v>102</v>
      </c>
      <c r="B153" s="18">
        <v>1.75E-6</v>
      </c>
    </row>
    <row r="154" spans="1:2" x14ac:dyDescent="0.25">
      <c r="A154" s="18">
        <v>102</v>
      </c>
      <c r="B154" s="18">
        <v>2.2199999999999999E-6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F00-000000000000}">
  <dimension ref="A1:B21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18</v>
      </c>
      <c r="B2" s="18">
        <v>3.4100000000000002E-5</v>
      </c>
    </row>
    <row r="3" spans="1:2" x14ac:dyDescent="0.25">
      <c r="A3" s="18">
        <v>18.5</v>
      </c>
      <c r="B3" s="18">
        <v>2.3499999999999999E-4</v>
      </c>
    </row>
    <row r="4" spans="1:2" x14ac:dyDescent="0.25">
      <c r="A4" s="18">
        <v>19</v>
      </c>
      <c r="B4" s="18">
        <v>2.32E-4</v>
      </c>
    </row>
    <row r="5" spans="1:2" x14ac:dyDescent="0.25">
      <c r="A5" s="18">
        <v>19.5</v>
      </c>
      <c r="B5" s="18">
        <v>1.5200000000000001E-4</v>
      </c>
    </row>
    <row r="6" spans="1:2" x14ac:dyDescent="0.25">
      <c r="A6" s="18">
        <v>20</v>
      </c>
      <c r="B6" s="18">
        <v>2.0100000000000001E-4</v>
      </c>
    </row>
    <row r="7" spans="1:2" x14ac:dyDescent="0.25">
      <c r="A7" s="18">
        <v>20.5</v>
      </c>
      <c r="B7" s="18">
        <v>1.6799999999999999E-4</v>
      </c>
    </row>
    <row r="8" spans="1:2" x14ac:dyDescent="0.25">
      <c r="A8" s="18">
        <v>21</v>
      </c>
      <c r="B8" s="18">
        <v>8.7800000000000006E-5</v>
      </c>
    </row>
    <row r="9" spans="1:2" x14ac:dyDescent="0.25">
      <c r="A9" s="18">
        <v>21.5</v>
      </c>
      <c r="B9" s="18">
        <v>1.07E-4</v>
      </c>
    </row>
    <row r="10" spans="1:2" x14ac:dyDescent="0.25">
      <c r="A10" s="18">
        <v>22</v>
      </c>
      <c r="B10" s="18">
        <v>1.1900000000000001E-4</v>
      </c>
    </row>
    <row r="11" spans="1:2" x14ac:dyDescent="0.25">
      <c r="A11" s="18">
        <v>22.5</v>
      </c>
      <c r="B11" s="18">
        <v>4.3099999999999997E-5</v>
      </c>
    </row>
    <row r="12" spans="1:2" x14ac:dyDescent="0.25">
      <c r="A12" s="18">
        <v>23</v>
      </c>
      <c r="B12" s="18">
        <v>8.2899999999999996E-5</v>
      </c>
    </row>
    <row r="13" spans="1:2" x14ac:dyDescent="0.25">
      <c r="A13" s="18">
        <v>23.5</v>
      </c>
      <c r="B13" s="18">
        <v>1.5300000000000001E-4</v>
      </c>
    </row>
    <row r="14" spans="1:2" x14ac:dyDescent="0.25">
      <c r="A14" s="18">
        <v>24</v>
      </c>
      <c r="B14" s="18">
        <v>1.0900000000000001E-5</v>
      </c>
    </row>
    <row r="15" spans="1:2" x14ac:dyDescent="0.25">
      <c r="A15" s="18">
        <v>24.5</v>
      </c>
      <c r="B15" s="18">
        <v>5.6699999999999999E-6</v>
      </c>
    </row>
    <row r="16" spans="1:2" x14ac:dyDescent="0.25">
      <c r="A16" s="18">
        <v>25</v>
      </c>
      <c r="B16" s="18">
        <v>1.02E-4</v>
      </c>
    </row>
    <row r="17" spans="1:2" x14ac:dyDescent="0.25">
      <c r="A17" s="18">
        <v>25.5</v>
      </c>
      <c r="B17" s="18">
        <v>1.01E-4</v>
      </c>
    </row>
    <row r="18" spans="1:2" x14ac:dyDescent="0.25">
      <c r="A18" s="18">
        <v>26</v>
      </c>
      <c r="B18" s="18">
        <v>1.18E-4</v>
      </c>
    </row>
    <row r="19" spans="1:2" x14ac:dyDescent="0.25">
      <c r="A19" s="18">
        <v>26.5</v>
      </c>
      <c r="B19" s="18">
        <v>9.1000000000000003E-5</v>
      </c>
    </row>
    <row r="20" spans="1:2" x14ac:dyDescent="0.25">
      <c r="A20" s="18">
        <v>27</v>
      </c>
      <c r="B20" s="18">
        <v>1.07E-4</v>
      </c>
    </row>
    <row r="21" spans="1:2" x14ac:dyDescent="0.25">
      <c r="A21" s="18">
        <v>27.5</v>
      </c>
      <c r="B21" s="18">
        <v>8.3100000000000001E-5</v>
      </c>
    </row>
    <row r="22" spans="1:2" x14ac:dyDescent="0.25">
      <c r="A22" s="18">
        <v>28</v>
      </c>
      <c r="B22" s="18">
        <v>9.2100000000000003E-5</v>
      </c>
    </row>
    <row r="23" spans="1:2" x14ac:dyDescent="0.25">
      <c r="A23" s="18">
        <v>28.5</v>
      </c>
      <c r="B23" s="18">
        <v>7.5199999999999998E-5</v>
      </c>
    </row>
    <row r="24" spans="1:2" x14ac:dyDescent="0.25">
      <c r="A24" s="18">
        <v>29</v>
      </c>
      <c r="B24" s="18">
        <v>4.9400000000000001E-5</v>
      </c>
    </row>
    <row r="25" spans="1:2" x14ac:dyDescent="0.25">
      <c r="A25" s="18">
        <v>29.5</v>
      </c>
      <c r="B25" s="18">
        <v>4.8199999999999999E-5</v>
      </c>
    </row>
    <row r="26" spans="1:2" x14ac:dyDescent="0.25">
      <c r="A26" s="18">
        <v>30</v>
      </c>
      <c r="B26" s="18">
        <v>3.9400000000000002E-5</v>
      </c>
    </row>
    <row r="27" spans="1:2" x14ac:dyDescent="0.25">
      <c r="A27" s="18">
        <v>30.5</v>
      </c>
      <c r="B27" s="18">
        <v>4.6199999999999998E-5</v>
      </c>
    </row>
    <row r="28" spans="1:2" x14ac:dyDescent="0.25">
      <c r="A28" s="18">
        <v>31</v>
      </c>
      <c r="B28" s="18">
        <v>8.3200000000000003E-5</v>
      </c>
    </row>
    <row r="29" spans="1:2" x14ac:dyDescent="0.25">
      <c r="A29" s="18">
        <v>31.5</v>
      </c>
      <c r="B29" s="18">
        <v>3.79E-5</v>
      </c>
    </row>
    <row r="30" spans="1:2" x14ac:dyDescent="0.25">
      <c r="A30" s="18">
        <v>32</v>
      </c>
      <c r="B30" s="18">
        <v>5.0099999999999998E-5</v>
      </c>
    </row>
    <row r="31" spans="1:2" x14ac:dyDescent="0.25">
      <c r="A31" s="18">
        <v>32.5</v>
      </c>
      <c r="B31" s="18">
        <v>5.5600000000000003E-5</v>
      </c>
    </row>
    <row r="32" spans="1:2" x14ac:dyDescent="0.25">
      <c r="A32" s="18">
        <v>33</v>
      </c>
      <c r="B32" s="18">
        <v>5.3699999999999997E-5</v>
      </c>
    </row>
    <row r="33" spans="1:2" x14ac:dyDescent="0.25">
      <c r="A33" s="18">
        <v>33.5</v>
      </c>
      <c r="B33" s="18">
        <v>7.8300000000000006E-5</v>
      </c>
    </row>
    <row r="34" spans="1:2" x14ac:dyDescent="0.25">
      <c r="A34" s="18">
        <v>34</v>
      </c>
      <c r="B34" s="18">
        <v>9.0500000000000004E-5</v>
      </c>
    </row>
    <row r="35" spans="1:2" x14ac:dyDescent="0.25">
      <c r="A35" s="18">
        <v>34.5</v>
      </c>
      <c r="B35" s="18">
        <v>9.87E-5</v>
      </c>
    </row>
    <row r="36" spans="1:2" x14ac:dyDescent="0.25">
      <c r="A36" s="18">
        <v>35</v>
      </c>
      <c r="B36" s="18">
        <v>1.25E-4</v>
      </c>
    </row>
    <row r="37" spans="1:2" x14ac:dyDescent="0.25">
      <c r="A37" s="18">
        <v>35.5</v>
      </c>
      <c r="B37" s="18">
        <v>1.4300000000000001E-4</v>
      </c>
    </row>
    <row r="38" spans="1:2" x14ac:dyDescent="0.25">
      <c r="A38" s="18">
        <v>36</v>
      </c>
      <c r="B38" s="18">
        <v>1.5799999999999999E-4</v>
      </c>
    </row>
    <row r="39" spans="1:2" x14ac:dyDescent="0.25">
      <c r="A39" s="18">
        <v>36.5</v>
      </c>
      <c r="B39" s="18">
        <v>2.1900000000000001E-4</v>
      </c>
    </row>
    <row r="40" spans="1:2" x14ac:dyDescent="0.25">
      <c r="A40" s="18">
        <v>37</v>
      </c>
      <c r="B40" s="18">
        <v>2.4699999999999999E-4</v>
      </c>
    </row>
    <row r="41" spans="1:2" x14ac:dyDescent="0.25">
      <c r="A41" s="18">
        <v>37.5</v>
      </c>
      <c r="B41" s="18">
        <v>3.1399999999999999E-4</v>
      </c>
    </row>
    <row r="42" spans="1:2" x14ac:dyDescent="0.25">
      <c r="A42" s="18">
        <v>38</v>
      </c>
      <c r="B42" s="18">
        <v>3.7599999999999998E-4</v>
      </c>
    </row>
    <row r="43" spans="1:2" x14ac:dyDescent="0.25">
      <c r="A43" s="18">
        <v>38.5</v>
      </c>
      <c r="B43" s="18">
        <v>4.4000000000000002E-4</v>
      </c>
    </row>
    <row r="44" spans="1:2" x14ac:dyDescent="0.25">
      <c r="A44" s="18">
        <v>39</v>
      </c>
      <c r="B44" s="18">
        <v>5.0299999999999997E-4</v>
      </c>
    </row>
    <row r="45" spans="1:2" x14ac:dyDescent="0.25">
      <c r="A45" s="18">
        <v>39.5</v>
      </c>
      <c r="B45" s="18">
        <v>5.9000000000000003E-4</v>
      </c>
    </row>
    <row r="46" spans="1:2" x14ac:dyDescent="0.25">
      <c r="A46" s="18">
        <v>40</v>
      </c>
      <c r="B46" s="18">
        <v>6.5899999999999997E-4</v>
      </c>
    </row>
    <row r="47" spans="1:2" x14ac:dyDescent="0.25">
      <c r="A47" s="18">
        <v>40.5</v>
      </c>
      <c r="B47" s="18">
        <v>7.7200000000000001E-4</v>
      </c>
    </row>
    <row r="48" spans="1:2" x14ac:dyDescent="0.25">
      <c r="A48" s="18">
        <v>41</v>
      </c>
      <c r="B48" s="18">
        <v>8.4599999999999996E-4</v>
      </c>
    </row>
    <row r="49" spans="1:2" x14ac:dyDescent="0.25">
      <c r="A49" s="18">
        <v>41.5</v>
      </c>
      <c r="B49" s="18">
        <v>9.8900000000000008E-4</v>
      </c>
    </row>
    <row r="50" spans="1:2" x14ac:dyDescent="0.25">
      <c r="A50" s="18">
        <v>42</v>
      </c>
      <c r="B50" s="18">
        <v>1.08E-3</v>
      </c>
    </row>
    <row r="51" spans="1:2" x14ac:dyDescent="0.25">
      <c r="A51" s="18">
        <v>42.5</v>
      </c>
      <c r="B51" s="18">
        <v>1.1800000000000001E-3</v>
      </c>
    </row>
    <row r="52" spans="1:2" x14ac:dyDescent="0.25">
      <c r="A52" s="18">
        <v>43</v>
      </c>
      <c r="B52" s="18">
        <v>1.3500000000000001E-3</v>
      </c>
    </row>
    <row r="53" spans="1:2" x14ac:dyDescent="0.25">
      <c r="A53" s="18">
        <v>43.5</v>
      </c>
      <c r="B53" s="18">
        <v>1.5399999999999999E-3</v>
      </c>
    </row>
    <row r="54" spans="1:2" x14ac:dyDescent="0.25">
      <c r="A54" s="18">
        <v>44</v>
      </c>
      <c r="B54" s="18">
        <v>1.66E-3</v>
      </c>
    </row>
    <row r="55" spans="1:2" x14ac:dyDescent="0.25">
      <c r="A55" s="18">
        <v>44.5</v>
      </c>
      <c r="B55" s="18">
        <v>1.75E-3</v>
      </c>
    </row>
    <row r="56" spans="1:2" x14ac:dyDescent="0.25">
      <c r="A56" s="18">
        <v>45</v>
      </c>
      <c r="B56" s="18">
        <v>1.91E-3</v>
      </c>
    </row>
    <row r="57" spans="1:2" x14ac:dyDescent="0.25">
      <c r="A57" s="18">
        <v>45.5</v>
      </c>
      <c r="B57" s="18">
        <v>2.1199999999999999E-3</v>
      </c>
    </row>
    <row r="58" spans="1:2" x14ac:dyDescent="0.25">
      <c r="A58" s="18">
        <v>46</v>
      </c>
      <c r="B58" s="18">
        <v>2.3E-3</v>
      </c>
    </row>
    <row r="59" spans="1:2" x14ac:dyDescent="0.25">
      <c r="A59" s="18">
        <v>46.5</v>
      </c>
      <c r="B59" s="18">
        <v>2.4399999999999999E-3</v>
      </c>
    </row>
    <row r="60" spans="1:2" x14ac:dyDescent="0.25">
      <c r="A60" s="18">
        <v>47</v>
      </c>
      <c r="B60" s="18">
        <v>2.5699999999999998E-3</v>
      </c>
    </row>
    <row r="61" spans="1:2" x14ac:dyDescent="0.25">
      <c r="A61" s="18">
        <v>47.5</v>
      </c>
      <c r="B61" s="18">
        <v>2.7100000000000002E-3</v>
      </c>
    </row>
    <row r="62" spans="1:2" x14ac:dyDescent="0.25">
      <c r="A62" s="18">
        <v>48</v>
      </c>
      <c r="B62" s="18">
        <v>2.8900000000000002E-3</v>
      </c>
    </row>
    <row r="63" spans="1:2" x14ac:dyDescent="0.25">
      <c r="A63" s="18">
        <v>48.5</v>
      </c>
      <c r="B63" s="18">
        <v>3.0899999999999999E-3</v>
      </c>
    </row>
    <row r="64" spans="1:2" x14ac:dyDescent="0.25">
      <c r="A64" s="18">
        <v>49</v>
      </c>
      <c r="B64" s="18">
        <v>3.1800000000000001E-3</v>
      </c>
    </row>
    <row r="65" spans="1:2" x14ac:dyDescent="0.25">
      <c r="A65" s="18">
        <v>49.5</v>
      </c>
      <c r="B65" s="18">
        <v>3.3600000000000001E-3</v>
      </c>
    </row>
    <row r="66" spans="1:2" x14ac:dyDescent="0.25">
      <c r="A66" s="18">
        <v>50</v>
      </c>
      <c r="B66" s="18">
        <v>3.5999999999999999E-3</v>
      </c>
    </row>
    <row r="67" spans="1:2" x14ac:dyDescent="0.25">
      <c r="A67" s="18">
        <v>50.5</v>
      </c>
      <c r="B67" s="18">
        <v>3.6800000000000001E-3</v>
      </c>
    </row>
    <row r="68" spans="1:2" x14ac:dyDescent="0.25">
      <c r="A68" s="18">
        <v>51</v>
      </c>
      <c r="B68" s="18">
        <v>3.9199999999999999E-3</v>
      </c>
    </row>
    <row r="69" spans="1:2" x14ac:dyDescent="0.25">
      <c r="A69" s="18">
        <v>51.5</v>
      </c>
      <c r="B69" s="18">
        <v>4.1000000000000003E-3</v>
      </c>
    </row>
    <row r="70" spans="1:2" x14ac:dyDescent="0.25">
      <c r="A70" s="18">
        <v>52</v>
      </c>
      <c r="B70" s="18">
        <v>4.2599999999999999E-3</v>
      </c>
    </row>
    <row r="71" spans="1:2" x14ac:dyDescent="0.25">
      <c r="A71" s="18">
        <v>52.5</v>
      </c>
      <c r="B71" s="18">
        <v>4.4000000000000003E-3</v>
      </c>
    </row>
    <row r="72" spans="1:2" x14ac:dyDescent="0.25">
      <c r="A72" s="18">
        <v>53</v>
      </c>
      <c r="B72" s="18">
        <v>4.5900000000000003E-3</v>
      </c>
    </row>
    <row r="73" spans="1:2" x14ac:dyDescent="0.25">
      <c r="A73" s="18">
        <v>53.5</v>
      </c>
      <c r="B73" s="18">
        <v>4.7800000000000004E-3</v>
      </c>
    </row>
    <row r="74" spans="1:2" x14ac:dyDescent="0.25">
      <c r="A74" s="18">
        <v>54</v>
      </c>
      <c r="B74" s="18">
        <v>4.96E-3</v>
      </c>
    </row>
    <row r="75" spans="1:2" x14ac:dyDescent="0.25">
      <c r="A75" s="18">
        <v>54.5</v>
      </c>
      <c r="B75" s="18">
        <v>5.1399999999999996E-3</v>
      </c>
    </row>
    <row r="76" spans="1:2" x14ac:dyDescent="0.25">
      <c r="A76" s="18">
        <v>55</v>
      </c>
      <c r="B76" s="18">
        <v>5.2199999999999998E-3</v>
      </c>
    </row>
    <row r="77" spans="1:2" x14ac:dyDescent="0.25">
      <c r="A77" s="18">
        <v>55.5</v>
      </c>
      <c r="B77" s="18">
        <v>5.3899999999999998E-3</v>
      </c>
    </row>
    <row r="78" spans="1:2" x14ac:dyDescent="0.25">
      <c r="A78" s="18">
        <v>56</v>
      </c>
      <c r="B78" s="18">
        <v>5.5500000000000002E-3</v>
      </c>
    </row>
    <row r="79" spans="1:2" x14ac:dyDescent="0.25">
      <c r="A79" s="18">
        <v>56.5</v>
      </c>
      <c r="B79" s="18">
        <v>5.8300000000000001E-3</v>
      </c>
    </row>
    <row r="80" spans="1:2" x14ac:dyDescent="0.25">
      <c r="A80" s="18">
        <v>57</v>
      </c>
      <c r="B80" s="18">
        <v>5.8799999999999998E-3</v>
      </c>
    </row>
    <row r="81" spans="1:2" x14ac:dyDescent="0.25">
      <c r="A81" s="18">
        <v>57.5</v>
      </c>
      <c r="B81" s="18">
        <v>7.5399999999999998E-3</v>
      </c>
    </row>
    <row r="82" spans="1:2" x14ac:dyDescent="0.25">
      <c r="A82" s="18">
        <v>58</v>
      </c>
      <c r="B82" s="18">
        <v>2.4199999999999999E-2</v>
      </c>
    </row>
    <row r="83" spans="1:2" x14ac:dyDescent="0.25">
      <c r="A83" s="18">
        <v>58.5</v>
      </c>
      <c r="B83" s="18">
        <v>1.0200000000000001E-2</v>
      </c>
    </row>
    <row r="84" spans="1:2" x14ac:dyDescent="0.25">
      <c r="A84" s="18">
        <v>59</v>
      </c>
      <c r="B84" s="18">
        <v>1.72E-2</v>
      </c>
    </row>
    <row r="85" spans="1:2" x14ac:dyDescent="0.25">
      <c r="A85" s="18">
        <v>59.5</v>
      </c>
      <c r="B85" s="18">
        <v>3.8600000000000002E-2</v>
      </c>
    </row>
    <row r="86" spans="1:2" x14ac:dyDescent="0.25">
      <c r="A86" s="18">
        <v>60</v>
      </c>
      <c r="B86" s="18">
        <v>8.1899999999999994E-3</v>
      </c>
    </row>
    <row r="87" spans="1:2" x14ac:dyDescent="0.25">
      <c r="A87" s="18">
        <v>60.5</v>
      </c>
      <c r="B87" s="18">
        <v>6.7200000000000003E-3</v>
      </c>
    </row>
    <row r="88" spans="1:2" x14ac:dyDescent="0.25">
      <c r="A88" s="18">
        <v>61</v>
      </c>
      <c r="B88" s="18">
        <v>6.8100000000000001E-3</v>
      </c>
    </row>
    <row r="89" spans="1:2" x14ac:dyDescent="0.25">
      <c r="A89" s="18">
        <v>61.5</v>
      </c>
      <c r="B89" s="18">
        <v>6.94E-3</v>
      </c>
    </row>
    <row r="90" spans="1:2" x14ac:dyDescent="0.25">
      <c r="A90" s="18">
        <v>62</v>
      </c>
      <c r="B90" s="18">
        <v>7.0099999999999997E-3</v>
      </c>
    </row>
    <row r="91" spans="1:2" x14ac:dyDescent="0.25">
      <c r="A91" s="18">
        <v>62.5</v>
      </c>
      <c r="B91" s="18">
        <v>7.1399999999999996E-3</v>
      </c>
    </row>
    <row r="92" spans="1:2" x14ac:dyDescent="0.25">
      <c r="A92" s="18">
        <v>63</v>
      </c>
      <c r="B92" s="18">
        <v>7.2100000000000003E-3</v>
      </c>
    </row>
    <row r="93" spans="1:2" x14ac:dyDescent="0.25">
      <c r="A93" s="18">
        <v>63.5</v>
      </c>
      <c r="B93" s="18">
        <v>7.3499999999999998E-3</v>
      </c>
    </row>
    <row r="94" spans="1:2" x14ac:dyDescent="0.25">
      <c r="A94" s="18">
        <v>64</v>
      </c>
      <c r="B94" s="18">
        <v>7.4599999999999996E-3</v>
      </c>
    </row>
    <row r="95" spans="1:2" x14ac:dyDescent="0.25">
      <c r="A95" s="18">
        <v>64.5</v>
      </c>
      <c r="B95" s="18">
        <v>7.5300000000000002E-3</v>
      </c>
    </row>
    <row r="96" spans="1:2" x14ac:dyDescent="0.25">
      <c r="A96" s="18">
        <v>65</v>
      </c>
      <c r="B96" s="18">
        <v>7.62E-3</v>
      </c>
    </row>
    <row r="97" spans="1:2" x14ac:dyDescent="0.25">
      <c r="A97" s="18">
        <v>65.5</v>
      </c>
      <c r="B97" s="18">
        <v>7.8799999999999999E-3</v>
      </c>
    </row>
    <row r="98" spans="1:2" x14ac:dyDescent="0.25">
      <c r="A98" s="18">
        <v>66</v>
      </c>
      <c r="B98" s="18">
        <v>7.9600000000000001E-3</v>
      </c>
    </row>
    <row r="99" spans="1:2" x14ac:dyDescent="0.25">
      <c r="A99" s="18">
        <v>66.5</v>
      </c>
      <c r="B99" s="18">
        <v>8.94E-3</v>
      </c>
    </row>
    <row r="100" spans="1:2" x14ac:dyDescent="0.25">
      <c r="A100" s="18">
        <v>67</v>
      </c>
      <c r="B100" s="18">
        <v>2.1299999999999999E-2</v>
      </c>
    </row>
    <row r="101" spans="1:2" x14ac:dyDescent="0.25">
      <c r="A101" s="18">
        <v>67.5</v>
      </c>
      <c r="B101" s="18">
        <v>1.9099999999999999E-2</v>
      </c>
    </row>
    <row r="102" spans="1:2" x14ac:dyDescent="0.25">
      <c r="A102" s="18">
        <v>68</v>
      </c>
      <c r="B102" s="18">
        <v>8.5199999999999998E-3</v>
      </c>
    </row>
    <row r="103" spans="1:2" x14ac:dyDescent="0.25">
      <c r="A103" s="18">
        <v>68.5</v>
      </c>
      <c r="B103" s="18">
        <v>8.43E-3</v>
      </c>
    </row>
    <row r="104" spans="1:2" x14ac:dyDescent="0.25">
      <c r="A104" s="18">
        <v>69</v>
      </c>
      <c r="B104" s="18">
        <v>1.29E-2</v>
      </c>
    </row>
    <row r="105" spans="1:2" x14ac:dyDescent="0.25">
      <c r="A105" s="18">
        <v>69.5</v>
      </c>
      <c r="B105" s="18">
        <v>1.0500000000000001E-2</v>
      </c>
    </row>
    <row r="106" spans="1:2" x14ac:dyDescent="0.25">
      <c r="A106" s="18">
        <v>70</v>
      </c>
      <c r="B106" s="18">
        <v>7.4700000000000001E-3</v>
      </c>
    </row>
    <row r="107" spans="1:2" x14ac:dyDescent="0.25">
      <c r="A107" s="18">
        <v>70.5</v>
      </c>
      <c r="B107" s="18">
        <v>7.3400000000000002E-3</v>
      </c>
    </row>
    <row r="108" spans="1:2" x14ac:dyDescent="0.25">
      <c r="A108" s="18">
        <v>71</v>
      </c>
      <c r="B108" s="18">
        <v>7.4799999999999997E-3</v>
      </c>
    </row>
    <row r="109" spans="1:2" x14ac:dyDescent="0.25">
      <c r="A109" s="18">
        <v>71.5</v>
      </c>
      <c r="B109" s="18">
        <v>7.5100000000000002E-3</v>
      </c>
    </row>
    <row r="110" spans="1:2" x14ac:dyDescent="0.25">
      <c r="A110" s="18">
        <v>72</v>
      </c>
      <c r="B110" s="18">
        <v>7.5100000000000002E-3</v>
      </c>
    </row>
    <row r="111" spans="1:2" x14ac:dyDescent="0.25">
      <c r="A111" s="18">
        <v>72.5</v>
      </c>
      <c r="B111" s="18">
        <v>7.62E-3</v>
      </c>
    </row>
    <row r="112" spans="1:2" x14ac:dyDescent="0.25">
      <c r="A112" s="18">
        <v>73</v>
      </c>
      <c r="B112" s="18">
        <v>7.6299999999999996E-3</v>
      </c>
    </row>
    <row r="113" spans="1:2" x14ac:dyDescent="0.25">
      <c r="A113" s="18">
        <v>73.5</v>
      </c>
      <c r="B113" s="18">
        <v>7.6899999999999998E-3</v>
      </c>
    </row>
    <row r="114" spans="1:2" x14ac:dyDescent="0.25">
      <c r="A114" s="18">
        <v>74</v>
      </c>
      <c r="B114" s="18">
        <v>7.6600000000000001E-3</v>
      </c>
    </row>
    <row r="115" spans="1:2" x14ac:dyDescent="0.25">
      <c r="A115" s="18">
        <v>74.5</v>
      </c>
      <c r="B115" s="18">
        <v>7.7600000000000004E-3</v>
      </c>
    </row>
    <row r="116" spans="1:2" x14ac:dyDescent="0.25">
      <c r="A116" s="18">
        <v>75</v>
      </c>
      <c r="B116" s="18">
        <v>7.7499999999999999E-3</v>
      </c>
    </row>
    <row r="117" spans="1:2" x14ac:dyDescent="0.25">
      <c r="A117" s="18">
        <v>75.5</v>
      </c>
      <c r="B117" s="18">
        <v>7.8200000000000006E-3</v>
      </c>
    </row>
    <row r="118" spans="1:2" x14ac:dyDescent="0.25">
      <c r="A118" s="18">
        <v>76</v>
      </c>
      <c r="B118" s="18">
        <v>7.8600000000000007E-3</v>
      </c>
    </row>
    <row r="119" spans="1:2" x14ac:dyDescent="0.25">
      <c r="A119" s="18">
        <v>76.5</v>
      </c>
      <c r="B119" s="18">
        <v>7.8300000000000002E-3</v>
      </c>
    </row>
    <row r="120" spans="1:2" x14ac:dyDescent="0.25">
      <c r="A120" s="18">
        <v>77</v>
      </c>
      <c r="B120" s="18">
        <v>7.77E-3</v>
      </c>
    </row>
    <row r="121" spans="1:2" x14ac:dyDescent="0.25">
      <c r="A121" s="18">
        <v>77.5</v>
      </c>
      <c r="B121" s="18">
        <v>7.8899999999999994E-3</v>
      </c>
    </row>
    <row r="122" spans="1:2" x14ac:dyDescent="0.25">
      <c r="A122" s="18">
        <v>78</v>
      </c>
      <c r="B122" s="18">
        <v>7.9500000000000005E-3</v>
      </c>
    </row>
    <row r="123" spans="1:2" x14ac:dyDescent="0.25">
      <c r="A123" s="18">
        <v>78.5</v>
      </c>
      <c r="B123" s="18">
        <v>7.9299999999999995E-3</v>
      </c>
    </row>
    <row r="124" spans="1:2" x14ac:dyDescent="0.25">
      <c r="A124" s="18">
        <v>79</v>
      </c>
      <c r="B124" s="18">
        <v>7.8100000000000001E-3</v>
      </c>
    </row>
    <row r="125" spans="1:2" x14ac:dyDescent="0.25">
      <c r="A125" s="18">
        <v>79.5</v>
      </c>
      <c r="B125" s="18">
        <v>7.9299999999999995E-3</v>
      </c>
    </row>
    <row r="126" spans="1:2" x14ac:dyDescent="0.25">
      <c r="A126" s="18">
        <v>80</v>
      </c>
      <c r="B126" s="18">
        <v>7.8799999999999999E-3</v>
      </c>
    </row>
    <row r="127" spans="1:2" x14ac:dyDescent="0.25">
      <c r="A127" s="18">
        <v>80.5</v>
      </c>
      <c r="B127" s="18">
        <v>7.9799999999999992E-3</v>
      </c>
    </row>
    <row r="128" spans="1:2" x14ac:dyDescent="0.25">
      <c r="A128" s="18">
        <v>81</v>
      </c>
      <c r="B128" s="18">
        <v>7.8799999999999999E-3</v>
      </c>
    </row>
    <row r="129" spans="1:2" x14ac:dyDescent="0.25">
      <c r="A129" s="18">
        <v>81.5</v>
      </c>
      <c r="B129" s="18">
        <v>7.9500000000000005E-3</v>
      </c>
    </row>
    <row r="130" spans="1:2" x14ac:dyDescent="0.25">
      <c r="A130" s="18">
        <v>82</v>
      </c>
      <c r="B130" s="18">
        <v>7.79E-3</v>
      </c>
    </row>
    <row r="131" spans="1:2" x14ac:dyDescent="0.25">
      <c r="A131" s="18">
        <v>82.5</v>
      </c>
      <c r="B131" s="18">
        <v>7.92E-3</v>
      </c>
    </row>
    <row r="132" spans="1:2" x14ac:dyDescent="0.25">
      <c r="A132" s="18">
        <v>83</v>
      </c>
      <c r="B132" s="18">
        <v>7.9299999999999995E-3</v>
      </c>
    </row>
    <row r="133" spans="1:2" x14ac:dyDescent="0.25">
      <c r="A133" s="18">
        <v>83.5</v>
      </c>
      <c r="B133" s="18">
        <v>7.9500000000000005E-3</v>
      </c>
    </row>
    <row r="134" spans="1:2" x14ac:dyDescent="0.25">
      <c r="A134" s="18">
        <v>84</v>
      </c>
      <c r="B134" s="18">
        <v>7.92E-3</v>
      </c>
    </row>
    <row r="135" spans="1:2" x14ac:dyDescent="0.25">
      <c r="A135" s="18">
        <v>84.5</v>
      </c>
      <c r="B135" s="18">
        <v>7.9399999999999991E-3</v>
      </c>
    </row>
    <row r="136" spans="1:2" x14ac:dyDescent="0.25">
      <c r="A136" s="18">
        <v>85</v>
      </c>
      <c r="B136" s="18">
        <v>7.9900000000000006E-3</v>
      </c>
    </row>
    <row r="137" spans="1:2" x14ac:dyDescent="0.25">
      <c r="A137" s="18">
        <v>85.5</v>
      </c>
      <c r="B137" s="18">
        <v>7.8799999999999999E-3</v>
      </c>
    </row>
    <row r="138" spans="1:2" x14ac:dyDescent="0.25">
      <c r="A138" s="18">
        <v>86</v>
      </c>
      <c r="B138" s="18">
        <v>7.8700000000000003E-3</v>
      </c>
    </row>
    <row r="139" spans="1:2" x14ac:dyDescent="0.25">
      <c r="A139" s="18">
        <v>86.5</v>
      </c>
      <c r="B139" s="18">
        <v>7.8200000000000006E-3</v>
      </c>
    </row>
    <row r="140" spans="1:2" x14ac:dyDescent="0.25">
      <c r="A140" s="18">
        <v>87</v>
      </c>
      <c r="B140" s="18">
        <v>7.8300000000000002E-3</v>
      </c>
    </row>
    <row r="141" spans="1:2" x14ac:dyDescent="0.25">
      <c r="A141" s="18">
        <v>87.5</v>
      </c>
      <c r="B141" s="18">
        <v>7.8300000000000002E-3</v>
      </c>
    </row>
    <row r="142" spans="1:2" x14ac:dyDescent="0.25">
      <c r="A142" s="18">
        <v>88</v>
      </c>
      <c r="B142" s="18">
        <v>7.7200000000000003E-3</v>
      </c>
    </row>
    <row r="143" spans="1:2" x14ac:dyDescent="0.25">
      <c r="A143" s="18">
        <v>88.5</v>
      </c>
      <c r="B143" s="18">
        <v>7.5399999999999998E-3</v>
      </c>
    </row>
    <row r="144" spans="1:2" x14ac:dyDescent="0.25">
      <c r="A144" s="18">
        <v>89</v>
      </c>
      <c r="B144" s="18">
        <v>7.4799999999999997E-3</v>
      </c>
    </row>
    <row r="145" spans="1:2" x14ac:dyDescent="0.25">
      <c r="A145" s="18">
        <v>89.5</v>
      </c>
      <c r="B145" s="18">
        <v>7.4799999999999997E-3</v>
      </c>
    </row>
    <row r="146" spans="1:2" x14ac:dyDescent="0.25">
      <c r="A146" s="18">
        <v>90</v>
      </c>
      <c r="B146" s="18">
        <v>7.4700000000000001E-3</v>
      </c>
    </row>
    <row r="147" spans="1:2" x14ac:dyDescent="0.25">
      <c r="A147" s="18">
        <v>90.5</v>
      </c>
      <c r="B147" s="18">
        <v>7.4099999999999999E-3</v>
      </c>
    </row>
    <row r="148" spans="1:2" x14ac:dyDescent="0.25">
      <c r="A148" s="18">
        <v>91</v>
      </c>
      <c r="B148" s="18">
        <v>7.28E-3</v>
      </c>
    </row>
    <row r="149" spans="1:2" x14ac:dyDescent="0.25">
      <c r="A149" s="18">
        <v>91.5</v>
      </c>
      <c r="B149" s="18">
        <v>7.4200000000000004E-3</v>
      </c>
    </row>
    <row r="150" spans="1:2" x14ac:dyDescent="0.25">
      <c r="A150" s="18">
        <v>92</v>
      </c>
      <c r="B150" s="18">
        <v>7.3899999999999999E-3</v>
      </c>
    </row>
    <row r="151" spans="1:2" x14ac:dyDescent="0.25">
      <c r="A151" s="18">
        <v>92.5</v>
      </c>
      <c r="B151" s="18">
        <v>7.2199999999999999E-3</v>
      </c>
    </row>
    <row r="152" spans="1:2" x14ac:dyDescent="0.25">
      <c r="A152" s="18">
        <v>93</v>
      </c>
      <c r="B152" s="18">
        <v>7.2300000000000003E-3</v>
      </c>
    </row>
    <row r="153" spans="1:2" x14ac:dyDescent="0.25">
      <c r="A153" s="18">
        <v>93.5</v>
      </c>
      <c r="B153" s="18">
        <v>7.1799999999999998E-3</v>
      </c>
    </row>
    <row r="154" spans="1:2" x14ac:dyDescent="0.25">
      <c r="A154" s="18">
        <v>94</v>
      </c>
      <c r="B154" s="18">
        <v>7.0499999999999998E-3</v>
      </c>
    </row>
    <row r="155" spans="1:2" x14ac:dyDescent="0.25">
      <c r="A155" s="18">
        <v>94.5</v>
      </c>
      <c r="B155" s="18">
        <v>7.0499999999999998E-3</v>
      </c>
    </row>
    <row r="156" spans="1:2" x14ac:dyDescent="0.25">
      <c r="A156" s="18">
        <v>95</v>
      </c>
      <c r="B156" s="18">
        <v>6.9300000000000004E-3</v>
      </c>
    </row>
    <row r="157" spans="1:2" x14ac:dyDescent="0.25">
      <c r="A157" s="18">
        <v>95.5</v>
      </c>
      <c r="B157" s="18">
        <v>6.9499999999999996E-3</v>
      </c>
    </row>
    <row r="158" spans="1:2" x14ac:dyDescent="0.25">
      <c r="A158" s="18">
        <v>96</v>
      </c>
      <c r="B158" s="18">
        <v>6.7299999999999999E-3</v>
      </c>
    </row>
    <row r="159" spans="1:2" x14ac:dyDescent="0.25">
      <c r="A159" s="18">
        <v>96.5</v>
      </c>
      <c r="B159" s="18">
        <v>6.79E-3</v>
      </c>
    </row>
    <row r="160" spans="1:2" x14ac:dyDescent="0.25">
      <c r="A160" s="18">
        <v>97</v>
      </c>
      <c r="B160" s="18">
        <v>6.5500000000000003E-3</v>
      </c>
    </row>
    <row r="161" spans="1:2" x14ac:dyDescent="0.25">
      <c r="A161" s="18">
        <v>97.5</v>
      </c>
      <c r="B161" s="18">
        <v>6.6E-3</v>
      </c>
    </row>
    <row r="162" spans="1:2" x14ac:dyDescent="0.25">
      <c r="A162" s="18">
        <v>98</v>
      </c>
      <c r="B162" s="18">
        <v>6.4900000000000001E-3</v>
      </c>
    </row>
    <row r="163" spans="1:2" x14ac:dyDescent="0.25">
      <c r="A163" s="18">
        <v>98.5</v>
      </c>
      <c r="B163" s="18">
        <v>6.4000000000000003E-3</v>
      </c>
    </row>
    <row r="164" spans="1:2" x14ac:dyDescent="0.25">
      <c r="A164" s="18">
        <v>99</v>
      </c>
      <c r="B164" s="18">
        <v>6.3400000000000001E-3</v>
      </c>
    </row>
    <row r="165" spans="1:2" x14ac:dyDescent="0.25">
      <c r="A165" s="18">
        <v>99.5</v>
      </c>
      <c r="B165" s="18">
        <v>6.2599999999999999E-3</v>
      </c>
    </row>
    <row r="166" spans="1:2" x14ac:dyDescent="0.25">
      <c r="A166" s="18">
        <v>100</v>
      </c>
      <c r="B166" s="18">
        <v>6.1599999999999997E-3</v>
      </c>
    </row>
    <row r="167" spans="1:2" x14ac:dyDescent="0.25">
      <c r="A167" s="18">
        <v>101</v>
      </c>
      <c r="B167" s="18">
        <v>6.1000000000000004E-3</v>
      </c>
    </row>
    <row r="168" spans="1:2" x14ac:dyDescent="0.25">
      <c r="A168" s="18">
        <v>101</v>
      </c>
      <c r="B168" s="18">
        <v>6.0400000000000002E-3</v>
      </c>
    </row>
    <row r="169" spans="1:2" x14ac:dyDescent="0.25">
      <c r="A169" s="18">
        <v>102</v>
      </c>
      <c r="B169" s="18">
        <v>5.8900000000000003E-3</v>
      </c>
    </row>
    <row r="170" spans="1:2" x14ac:dyDescent="0.25">
      <c r="A170" s="18">
        <v>102</v>
      </c>
      <c r="B170" s="18">
        <v>5.8199999999999997E-3</v>
      </c>
    </row>
    <row r="171" spans="1:2" x14ac:dyDescent="0.25">
      <c r="A171" s="18">
        <v>103</v>
      </c>
      <c r="B171" s="18">
        <v>5.7499999999999999E-3</v>
      </c>
    </row>
    <row r="172" spans="1:2" x14ac:dyDescent="0.25">
      <c r="A172" s="18">
        <v>103</v>
      </c>
      <c r="B172" s="18">
        <v>5.6899999999999997E-3</v>
      </c>
    </row>
    <row r="173" spans="1:2" x14ac:dyDescent="0.25">
      <c r="A173" s="18">
        <v>104</v>
      </c>
      <c r="B173" s="18">
        <v>5.45E-3</v>
      </c>
    </row>
    <row r="174" spans="1:2" x14ac:dyDescent="0.25">
      <c r="A174" s="18">
        <v>104</v>
      </c>
      <c r="B174" s="18">
        <v>5.4200000000000003E-3</v>
      </c>
    </row>
    <row r="175" spans="1:2" x14ac:dyDescent="0.25">
      <c r="A175" s="18">
        <v>105</v>
      </c>
      <c r="B175" s="18">
        <v>5.3E-3</v>
      </c>
    </row>
    <row r="176" spans="1:2" x14ac:dyDescent="0.25">
      <c r="A176" s="18">
        <v>105</v>
      </c>
      <c r="B176" s="18">
        <v>5.2100000000000002E-3</v>
      </c>
    </row>
    <row r="177" spans="1:2" x14ac:dyDescent="0.25">
      <c r="A177" s="18">
        <v>106</v>
      </c>
      <c r="B177" s="18">
        <v>5.1399999999999996E-3</v>
      </c>
    </row>
    <row r="178" spans="1:2" x14ac:dyDescent="0.25">
      <c r="A178" s="18">
        <v>106</v>
      </c>
      <c r="B178" s="18">
        <v>4.9500000000000004E-3</v>
      </c>
    </row>
    <row r="179" spans="1:2" x14ac:dyDescent="0.25">
      <c r="A179" s="18">
        <v>107</v>
      </c>
      <c r="B179" s="18">
        <v>4.9500000000000004E-3</v>
      </c>
    </row>
    <row r="180" spans="1:2" x14ac:dyDescent="0.25">
      <c r="A180" s="18">
        <v>107</v>
      </c>
      <c r="B180" s="18">
        <v>4.7200000000000002E-3</v>
      </c>
    </row>
    <row r="181" spans="1:2" x14ac:dyDescent="0.25">
      <c r="A181" s="18">
        <v>108</v>
      </c>
      <c r="B181" s="18">
        <v>4.6699999999999997E-3</v>
      </c>
    </row>
    <row r="182" spans="1:2" x14ac:dyDescent="0.25">
      <c r="A182" s="18">
        <v>108</v>
      </c>
      <c r="B182" s="18">
        <v>4.5300000000000002E-3</v>
      </c>
    </row>
    <row r="183" spans="1:2" x14ac:dyDescent="0.25">
      <c r="A183" s="18">
        <v>109</v>
      </c>
      <c r="B183" s="18">
        <v>4.28E-3</v>
      </c>
    </row>
    <row r="184" spans="1:2" x14ac:dyDescent="0.25">
      <c r="A184" s="18">
        <v>109</v>
      </c>
      <c r="B184" s="18">
        <v>4.2599999999999999E-3</v>
      </c>
    </row>
    <row r="185" spans="1:2" x14ac:dyDescent="0.25">
      <c r="A185" s="18">
        <v>110</v>
      </c>
      <c r="B185" s="18">
        <v>4.1000000000000003E-3</v>
      </c>
    </row>
    <row r="186" spans="1:2" x14ac:dyDescent="0.25">
      <c r="A186" s="18">
        <v>110</v>
      </c>
      <c r="B186" s="18">
        <v>4.0000000000000001E-3</v>
      </c>
    </row>
    <row r="187" spans="1:2" x14ac:dyDescent="0.25">
      <c r="A187" s="18">
        <v>111</v>
      </c>
      <c r="B187" s="18">
        <v>3.8E-3</v>
      </c>
    </row>
    <row r="188" spans="1:2" x14ac:dyDescent="0.25">
      <c r="A188" s="18">
        <v>111</v>
      </c>
      <c r="B188" s="18">
        <v>3.7499999999999999E-3</v>
      </c>
    </row>
    <row r="189" spans="1:2" x14ac:dyDescent="0.25">
      <c r="A189" s="18">
        <v>112</v>
      </c>
      <c r="B189" s="18">
        <v>3.47E-3</v>
      </c>
    </row>
    <row r="190" spans="1:2" x14ac:dyDescent="0.25">
      <c r="A190" s="18">
        <v>112</v>
      </c>
      <c r="B190" s="18">
        <v>3.3400000000000001E-3</v>
      </c>
    </row>
    <row r="191" spans="1:2" x14ac:dyDescent="0.25">
      <c r="A191" s="18">
        <v>113</v>
      </c>
      <c r="B191" s="18">
        <v>3.2200000000000002E-3</v>
      </c>
    </row>
    <row r="192" spans="1:2" x14ac:dyDescent="0.25">
      <c r="A192" s="18">
        <v>113</v>
      </c>
      <c r="B192" s="18">
        <v>3.0799999999999998E-3</v>
      </c>
    </row>
    <row r="193" spans="1:2" x14ac:dyDescent="0.25">
      <c r="A193" s="18">
        <v>114</v>
      </c>
      <c r="B193" s="18">
        <v>2.8700000000000002E-3</v>
      </c>
    </row>
    <row r="194" spans="1:2" x14ac:dyDescent="0.25">
      <c r="A194" s="18">
        <v>114</v>
      </c>
      <c r="B194" s="18">
        <v>2.7000000000000001E-3</v>
      </c>
    </row>
    <row r="195" spans="1:2" x14ac:dyDescent="0.25">
      <c r="A195" s="18">
        <v>115</v>
      </c>
      <c r="B195" s="18">
        <v>2.49E-3</v>
      </c>
    </row>
    <row r="196" spans="1:2" x14ac:dyDescent="0.25">
      <c r="A196" s="18">
        <v>115</v>
      </c>
      <c r="B196" s="18">
        <v>2.2799999999999999E-3</v>
      </c>
    </row>
    <row r="197" spans="1:2" x14ac:dyDescent="0.25">
      <c r="A197" s="18">
        <v>116</v>
      </c>
      <c r="B197" s="18">
        <v>2.15E-3</v>
      </c>
    </row>
    <row r="198" spans="1:2" x14ac:dyDescent="0.25">
      <c r="A198" s="18">
        <v>116</v>
      </c>
      <c r="B198" s="18">
        <v>1.9400000000000001E-3</v>
      </c>
    </row>
    <row r="199" spans="1:2" x14ac:dyDescent="0.25">
      <c r="A199" s="18">
        <v>117</v>
      </c>
      <c r="B199" s="18">
        <v>1.74E-3</v>
      </c>
    </row>
    <row r="200" spans="1:2" x14ac:dyDescent="0.25">
      <c r="A200" s="18">
        <v>117</v>
      </c>
      <c r="B200" s="18">
        <v>1.5200000000000001E-3</v>
      </c>
    </row>
    <row r="201" spans="1:2" x14ac:dyDescent="0.25">
      <c r="A201" s="18">
        <v>118</v>
      </c>
      <c r="B201" s="18">
        <v>1.3600000000000001E-3</v>
      </c>
    </row>
    <row r="202" spans="1:2" x14ac:dyDescent="0.25">
      <c r="A202" s="18">
        <v>118</v>
      </c>
      <c r="B202" s="18">
        <v>1.1000000000000001E-3</v>
      </c>
    </row>
    <row r="203" spans="1:2" x14ac:dyDescent="0.25">
      <c r="A203" s="18">
        <v>119</v>
      </c>
      <c r="B203" s="18">
        <v>8.92E-4</v>
      </c>
    </row>
    <row r="204" spans="1:2" x14ac:dyDescent="0.25">
      <c r="A204" s="18">
        <v>119</v>
      </c>
      <c r="B204" s="18">
        <v>6.4099999999999997E-4</v>
      </c>
    </row>
    <row r="205" spans="1:2" x14ac:dyDescent="0.25">
      <c r="A205" s="18">
        <v>120</v>
      </c>
      <c r="B205" s="18">
        <v>3.9899999999999999E-4</v>
      </c>
    </row>
    <row r="206" spans="1:2" x14ac:dyDescent="0.25">
      <c r="A206" s="18">
        <v>120</v>
      </c>
      <c r="B206" s="18">
        <v>1.02E-4</v>
      </c>
    </row>
    <row r="207" spans="1:2" x14ac:dyDescent="0.25">
      <c r="A207" s="18">
        <v>121</v>
      </c>
      <c r="B207" s="18">
        <v>5.4600000000000005E-7</v>
      </c>
    </row>
    <row r="208" spans="1:2" x14ac:dyDescent="0.25">
      <c r="A208" s="18">
        <v>121</v>
      </c>
      <c r="B208" s="18">
        <v>2.8399999999999999E-6</v>
      </c>
    </row>
    <row r="209" spans="1:2" x14ac:dyDescent="0.25">
      <c r="A209" s="18">
        <v>122</v>
      </c>
      <c r="B209" s="18">
        <v>1.72E-6</v>
      </c>
    </row>
    <row r="210" spans="1:2" x14ac:dyDescent="0.25">
      <c r="A210" s="18">
        <v>122</v>
      </c>
      <c r="B210" s="18">
        <v>2.7499999999999999E-6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000-000000000000}">
  <dimension ref="A1:B134"/>
  <sheetViews>
    <sheetView workbookViewId="0">
      <selection activeCell="E7" sqref="E7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20</v>
      </c>
      <c r="B2" s="18">
        <v>2.04E-4</v>
      </c>
    </row>
    <row r="3" spans="1:2" x14ac:dyDescent="0.25">
      <c r="A3" s="18">
        <v>21</v>
      </c>
      <c r="B3" s="18">
        <v>3.2899999999999997E-4</v>
      </c>
    </row>
    <row r="4" spans="1:2" x14ac:dyDescent="0.25">
      <c r="A4" s="18">
        <v>22</v>
      </c>
      <c r="B4" s="18">
        <v>3.0499999999999999E-4</v>
      </c>
    </row>
    <row r="5" spans="1:2" x14ac:dyDescent="0.25">
      <c r="A5" s="18">
        <v>23</v>
      </c>
      <c r="B5" s="18">
        <v>4.5399999999999998E-4</v>
      </c>
    </row>
    <row r="6" spans="1:2" x14ac:dyDescent="0.25">
      <c r="A6" s="18">
        <v>24</v>
      </c>
      <c r="B6" s="18">
        <v>2.23E-4</v>
      </c>
    </row>
    <row r="7" spans="1:2" x14ac:dyDescent="0.25">
      <c r="A7" s="18">
        <v>25</v>
      </c>
      <c r="B7" s="18">
        <v>2.8600000000000001E-4</v>
      </c>
    </row>
    <row r="8" spans="1:2" x14ac:dyDescent="0.25">
      <c r="A8" s="18">
        <v>26</v>
      </c>
      <c r="B8" s="18">
        <v>2.9700000000000001E-4</v>
      </c>
    </row>
    <row r="9" spans="1:2" x14ac:dyDescent="0.25">
      <c r="A9" s="18">
        <v>27</v>
      </c>
      <c r="B9" s="18">
        <v>2.2000000000000001E-4</v>
      </c>
    </row>
    <row r="10" spans="1:2" x14ac:dyDescent="0.25">
      <c r="A10" s="18">
        <v>28</v>
      </c>
      <c r="B10" s="18">
        <v>1.1900000000000001E-4</v>
      </c>
    </row>
    <row r="11" spans="1:2" x14ac:dyDescent="0.25">
      <c r="A11" s="18">
        <v>29</v>
      </c>
      <c r="B11" s="18">
        <v>1.6100000000000001E-4</v>
      </c>
    </row>
    <row r="12" spans="1:2" x14ac:dyDescent="0.25">
      <c r="A12" s="18">
        <v>30</v>
      </c>
      <c r="B12" s="18">
        <v>1.7200000000000001E-4</v>
      </c>
    </row>
    <row r="13" spans="1:2" x14ac:dyDescent="0.25">
      <c r="A13" s="18">
        <v>31</v>
      </c>
      <c r="B13" s="18">
        <v>8.8300000000000005E-5</v>
      </c>
    </row>
    <row r="14" spans="1:2" x14ac:dyDescent="0.25">
      <c r="A14" s="18">
        <v>32</v>
      </c>
      <c r="B14" s="18">
        <v>1.18E-4</v>
      </c>
    </row>
    <row r="15" spans="1:2" x14ac:dyDescent="0.25">
      <c r="A15" s="18">
        <v>33</v>
      </c>
      <c r="B15" s="18">
        <v>1.3999999999999999E-4</v>
      </c>
    </row>
    <row r="16" spans="1:2" x14ac:dyDescent="0.25">
      <c r="A16" s="18">
        <v>34</v>
      </c>
      <c r="B16" s="18">
        <v>1.35E-4</v>
      </c>
    </row>
    <row r="17" spans="1:2" x14ac:dyDescent="0.25">
      <c r="A17" s="18">
        <v>35</v>
      </c>
      <c r="B17" s="18">
        <v>1.6000000000000001E-4</v>
      </c>
    </row>
    <row r="18" spans="1:2" x14ac:dyDescent="0.25">
      <c r="A18" s="18">
        <v>36</v>
      </c>
      <c r="B18" s="18">
        <v>1.9599999999999999E-4</v>
      </c>
    </row>
    <row r="19" spans="1:2" x14ac:dyDescent="0.25">
      <c r="A19" s="18">
        <v>37</v>
      </c>
      <c r="B19" s="18">
        <v>2.3800000000000001E-4</v>
      </c>
    </row>
    <row r="20" spans="1:2" x14ac:dyDescent="0.25">
      <c r="A20" s="18">
        <v>38</v>
      </c>
      <c r="B20" s="18">
        <v>2.7700000000000001E-4</v>
      </c>
    </row>
    <row r="21" spans="1:2" x14ac:dyDescent="0.25">
      <c r="A21" s="18">
        <v>39</v>
      </c>
      <c r="B21" s="18">
        <v>4.2700000000000002E-4</v>
      </c>
    </row>
    <row r="22" spans="1:2" x14ac:dyDescent="0.25">
      <c r="A22" s="18">
        <v>40</v>
      </c>
      <c r="B22" s="18">
        <v>5.53E-4</v>
      </c>
    </row>
    <row r="23" spans="1:2" x14ac:dyDescent="0.25">
      <c r="A23" s="18">
        <v>41</v>
      </c>
      <c r="B23" s="18">
        <v>7.1000000000000002E-4</v>
      </c>
    </row>
    <row r="24" spans="1:2" x14ac:dyDescent="0.25">
      <c r="A24" s="18">
        <v>42</v>
      </c>
      <c r="B24" s="18">
        <v>8.9800000000000004E-4</v>
      </c>
    </row>
    <row r="25" spans="1:2" x14ac:dyDescent="0.25">
      <c r="A25" s="18">
        <v>43</v>
      </c>
      <c r="B25" s="18">
        <v>1.16E-3</v>
      </c>
    </row>
    <row r="26" spans="1:2" x14ac:dyDescent="0.25">
      <c r="A26" s="18">
        <v>44</v>
      </c>
      <c r="B26" s="18">
        <v>1.47E-3</v>
      </c>
    </row>
    <row r="27" spans="1:2" x14ac:dyDescent="0.25">
      <c r="A27" s="18">
        <v>45</v>
      </c>
      <c r="B27" s="18">
        <v>1.73E-3</v>
      </c>
    </row>
    <row r="28" spans="1:2" x14ac:dyDescent="0.25">
      <c r="A28" s="18">
        <v>46</v>
      </c>
      <c r="B28" s="18">
        <v>2.0400000000000001E-3</v>
      </c>
    </row>
    <row r="29" spans="1:2" x14ac:dyDescent="0.25">
      <c r="A29" s="18">
        <v>47</v>
      </c>
      <c r="B29" s="18">
        <v>2.3900000000000002E-3</v>
      </c>
    </row>
    <row r="30" spans="1:2" x14ac:dyDescent="0.25">
      <c r="A30" s="18">
        <v>48</v>
      </c>
      <c r="B30" s="18">
        <v>2.7899999999999999E-3</v>
      </c>
    </row>
    <row r="31" spans="1:2" x14ac:dyDescent="0.25">
      <c r="A31" s="18">
        <v>49</v>
      </c>
      <c r="B31" s="18">
        <v>3.0899999999999999E-3</v>
      </c>
    </row>
    <row r="32" spans="1:2" x14ac:dyDescent="0.25">
      <c r="A32" s="18">
        <v>50</v>
      </c>
      <c r="B32" s="18">
        <v>3.5899999999999999E-3</v>
      </c>
    </row>
    <row r="33" spans="1:2" x14ac:dyDescent="0.25">
      <c r="A33" s="18">
        <v>51</v>
      </c>
      <c r="B33" s="18">
        <v>3.9500000000000004E-3</v>
      </c>
    </row>
    <row r="34" spans="1:2" x14ac:dyDescent="0.25">
      <c r="A34" s="18">
        <v>52</v>
      </c>
      <c r="B34" s="18">
        <v>4.4299999999999999E-3</v>
      </c>
    </row>
    <row r="35" spans="1:2" x14ac:dyDescent="0.25">
      <c r="A35" s="18">
        <v>53</v>
      </c>
      <c r="B35" s="18">
        <v>4.8199999999999996E-3</v>
      </c>
    </row>
    <row r="36" spans="1:2" x14ac:dyDescent="0.25">
      <c r="A36" s="18">
        <v>54</v>
      </c>
      <c r="B36" s="18">
        <v>5.2900000000000004E-3</v>
      </c>
    </row>
    <row r="37" spans="1:2" x14ac:dyDescent="0.25">
      <c r="A37" s="18">
        <v>55</v>
      </c>
      <c r="B37" s="18">
        <v>5.7800000000000004E-3</v>
      </c>
    </row>
    <row r="38" spans="1:2" x14ac:dyDescent="0.25">
      <c r="A38" s="18">
        <v>56</v>
      </c>
      <c r="B38" s="18">
        <v>6.11E-3</v>
      </c>
    </row>
    <row r="39" spans="1:2" x14ac:dyDescent="0.25">
      <c r="A39" s="18">
        <v>57</v>
      </c>
      <c r="B39" s="18">
        <v>6.8199999999999997E-3</v>
      </c>
    </row>
    <row r="40" spans="1:2" x14ac:dyDescent="0.25">
      <c r="A40" s="18">
        <v>58</v>
      </c>
      <c r="B40" s="18">
        <v>2.53E-2</v>
      </c>
    </row>
    <row r="41" spans="1:2" x14ac:dyDescent="0.25">
      <c r="A41" s="18">
        <v>59</v>
      </c>
      <c r="B41" s="18">
        <v>3.56E-2</v>
      </c>
    </row>
    <row r="42" spans="1:2" x14ac:dyDescent="0.25">
      <c r="A42" s="18">
        <v>60</v>
      </c>
      <c r="B42" s="18">
        <v>1.6E-2</v>
      </c>
    </row>
    <row r="43" spans="1:2" x14ac:dyDescent="0.25">
      <c r="A43" s="18">
        <v>61</v>
      </c>
      <c r="B43" s="18">
        <v>8.0499999999999999E-3</v>
      </c>
    </row>
    <row r="44" spans="1:2" x14ac:dyDescent="0.25">
      <c r="A44" s="18">
        <v>62</v>
      </c>
      <c r="B44" s="18">
        <v>8.3800000000000003E-3</v>
      </c>
    </row>
    <row r="45" spans="1:2" x14ac:dyDescent="0.25">
      <c r="A45" s="18">
        <v>63</v>
      </c>
      <c r="B45" s="18">
        <v>8.7600000000000004E-3</v>
      </c>
    </row>
    <row r="46" spans="1:2" x14ac:dyDescent="0.25">
      <c r="A46" s="18">
        <v>64</v>
      </c>
      <c r="B46" s="18">
        <v>9.1299999999999992E-3</v>
      </c>
    </row>
    <row r="47" spans="1:2" x14ac:dyDescent="0.25">
      <c r="A47" s="18">
        <v>65</v>
      </c>
      <c r="B47" s="18">
        <v>9.5300000000000003E-3</v>
      </c>
    </row>
    <row r="48" spans="1:2" x14ac:dyDescent="0.25">
      <c r="A48" s="18">
        <v>66</v>
      </c>
      <c r="B48" s="18">
        <v>0.01</v>
      </c>
    </row>
    <row r="49" spans="1:2" x14ac:dyDescent="0.25">
      <c r="A49" s="18">
        <v>67</v>
      </c>
      <c r="B49" s="18">
        <v>3.0200000000000001E-2</v>
      </c>
    </row>
    <row r="50" spans="1:2" x14ac:dyDescent="0.25">
      <c r="A50" s="18">
        <v>68</v>
      </c>
      <c r="B50" s="18">
        <v>1.2699999999999999E-2</v>
      </c>
    </row>
    <row r="51" spans="1:2" x14ac:dyDescent="0.25">
      <c r="A51" s="18">
        <v>69</v>
      </c>
      <c r="B51" s="18">
        <v>1.6500000000000001E-2</v>
      </c>
    </row>
    <row r="52" spans="1:2" x14ac:dyDescent="0.25">
      <c r="A52" s="18">
        <v>70</v>
      </c>
      <c r="B52" s="18">
        <v>9.8499999999999994E-3</v>
      </c>
    </row>
    <row r="53" spans="1:2" x14ac:dyDescent="0.25">
      <c r="A53" s="18">
        <v>71</v>
      </c>
      <c r="B53" s="18">
        <v>9.3699999999999999E-3</v>
      </c>
    </row>
    <row r="54" spans="1:2" x14ac:dyDescent="0.25">
      <c r="A54" s="18">
        <v>72</v>
      </c>
      <c r="B54" s="18">
        <v>9.6900000000000007E-3</v>
      </c>
    </row>
    <row r="55" spans="1:2" x14ac:dyDescent="0.25">
      <c r="A55" s="18">
        <v>73</v>
      </c>
      <c r="B55" s="18">
        <v>9.8700000000000003E-3</v>
      </c>
    </row>
    <row r="56" spans="1:2" x14ac:dyDescent="0.25">
      <c r="A56" s="18">
        <v>74</v>
      </c>
      <c r="B56" s="18">
        <v>0.01</v>
      </c>
    </row>
    <row r="57" spans="1:2" x14ac:dyDescent="0.25">
      <c r="A57" s="18">
        <v>75</v>
      </c>
      <c r="B57" s="18">
        <v>1.03E-2</v>
      </c>
    </row>
    <row r="58" spans="1:2" x14ac:dyDescent="0.25">
      <c r="A58" s="18">
        <v>76</v>
      </c>
      <c r="B58" s="18">
        <v>1.0500000000000001E-2</v>
      </c>
    </row>
    <row r="59" spans="1:2" x14ac:dyDescent="0.25">
      <c r="A59" s="18">
        <v>77</v>
      </c>
      <c r="B59" s="18">
        <v>1.06E-2</v>
      </c>
    </row>
    <row r="60" spans="1:2" x14ac:dyDescent="0.25">
      <c r="A60" s="18">
        <v>78</v>
      </c>
      <c r="B60" s="18">
        <v>1.0699999999999999E-2</v>
      </c>
    </row>
    <row r="61" spans="1:2" x14ac:dyDescent="0.25">
      <c r="A61" s="18">
        <v>79</v>
      </c>
      <c r="B61" s="18">
        <v>1.09E-2</v>
      </c>
    </row>
    <row r="62" spans="1:2" x14ac:dyDescent="0.25">
      <c r="A62" s="18">
        <v>80</v>
      </c>
      <c r="B62" s="18">
        <v>1.09E-2</v>
      </c>
    </row>
    <row r="63" spans="1:2" x14ac:dyDescent="0.25">
      <c r="A63" s="18">
        <v>81</v>
      </c>
      <c r="B63" s="18">
        <v>1.11E-2</v>
      </c>
    </row>
    <row r="64" spans="1:2" x14ac:dyDescent="0.25">
      <c r="A64" s="18">
        <v>82</v>
      </c>
      <c r="B64" s="18">
        <v>1.1299999999999999E-2</v>
      </c>
    </row>
    <row r="65" spans="1:2" x14ac:dyDescent="0.25">
      <c r="A65" s="18">
        <v>83</v>
      </c>
      <c r="B65" s="18">
        <v>1.14E-2</v>
      </c>
    </row>
    <row r="66" spans="1:2" x14ac:dyDescent="0.25">
      <c r="A66" s="18">
        <v>84</v>
      </c>
      <c r="B66" s="18">
        <v>1.17E-2</v>
      </c>
    </row>
    <row r="67" spans="1:2" x14ac:dyDescent="0.25">
      <c r="A67" s="18">
        <v>85</v>
      </c>
      <c r="B67" s="18">
        <v>1.18E-2</v>
      </c>
    </row>
    <row r="68" spans="1:2" x14ac:dyDescent="0.25">
      <c r="A68" s="18">
        <v>86</v>
      </c>
      <c r="B68" s="18">
        <v>1.18E-2</v>
      </c>
    </row>
    <row r="69" spans="1:2" x14ac:dyDescent="0.25">
      <c r="A69" s="18">
        <v>87</v>
      </c>
      <c r="B69" s="18">
        <v>1.1900000000000001E-2</v>
      </c>
    </row>
    <row r="70" spans="1:2" x14ac:dyDescent="0.25">
      <c r="A70" s="18">
        <v>88</v>
      </c>
      <c r="B70" s="18">
        <v>1.2E-2</v>
      </c>
    </row>
    <row r="71" spans="1:2" x14ac:dyDescent="0.25">
      <c r="A71" s="18">
        <v>89</v>
      </c>
      <c r="B71" s="18">
        <v>1.1900000000000001E-2</v>
      </c>
    </row>
    <row r="72" spans="1:2" x14ac:dyDescent="0.25">
      <c r="A72" s="18">
        <v>90</v>
      </c>
      <c r="B72" s="18">
        <v>1.2E-2</v>
      </c>
    </row>
    <row r="73" spans="1:2" x14ac:dyDescent="0.25">
      <c r="A73" s="18">
        <v>91</v>
      </c>
      <c r="B73" s="18">
        <v>1.21E-2</v>
      </c>
    </row>
    <row r="74" spans="1:2" x14ac:dyDescent="0.25">
      <c r="A74" s="18">
        <v>92</v>
      </c>
      <c r="B74" s="18">
        <v>1.21E-2</v>
      </c>
    </row>
    <row r="75" spans="1:2" x14ac:dyDescent="0.25">
      <c r="A75" s="18">
        <v>93</v>
      </c>
      <c r="B75" s="18">
        <v>1.2E-2</v>
      </c>
    </row>
    <row r="76" spans="1:2" x14ac:dyDescent="0.25">
      <c r="A76" s="18">
        <v>94</v>
      </c>
      <c r="B76" s="18">
        <v>1.2E-2</v>
      </c>
    </row>
    <row r="77" spans="1:2" x14ac:dyDescent="0.25">
      <c r="A77" s="18">
        <v>95</v>
      </c>
      <c r="B77" s="18">
        <v>1.21E-2</v>
      </c>
    </row>
    <row r="78" spans="1:2" x14ac:dyDescent="0.25">
      <c r="A78" s="18">
        <v>96</v>
      </c>
      <c r="B78" s="18">
        <v>1.2E-2</v>
      </c>
    </row>
    <row r="79" spans="1:2" x14ac:dyDescent="0.25">
      <c r="A79" s="18">
        <v>97</v>
      </c>
      <c r="B79" s="18">
        <v>1.21E-2</v>
      </c>
    </row>
    <row r="80" spans="1:2" x14ac:dyDescent="0.25">
      <c r="A80" s="18">
        <v>98</v>
      </c>
      <c r="B80" s="18">
        <v>1.21E-2</v>
      </c>
    </row>
    <row r="81" spans="1:2" x14ac:dyDescent="0.25">
      <c r="A81" s="18">
        <v>99</v>
      </c>
      <c r="B81" s="18">
        <v>1.21E-2</v>
      </c>
    </row>
    <row r="82" spans="1:2" x14ac:dyDescent="0.25">
      <c r="A82" s="18">
        <v>100</v>
      </c>
      <c r="B82" s="18">
        <v>1.2E-2</v>
      </c>
    </row>
    <row r="83" spans="1:2" x14ac:dyDescent="0.25">
      <c r="A83" s="18">
        <v>101</v>
      </c>
      <c r="B83" s="18">
        <v>1.1900000000000001E-2</v>
      </c>
    </row>
    <row r="84" spans="1:2" x14ac:dyDescent="0.25">
      <c r="A84" s="18">
        <v>102</v>
      </c>
      <c r="B84" s="18">
        <v>1.2E-2</v>
      </c>
    </row>
    <row r="85" spans="1:2" x14ac:dyDescent="0.25">
      <c r="A85" s="18">
        <v>103</v>
      </c>
      <c r="B85" s="18">
        <v>1.2E-2</v>
      </c>
    </row>
    <row r="86" spans="1:2" x14ac:dyDescent="0.25">
      <c r="A86" s="18">
        <v>104</v>
      </c>
      <c r="B86" s="18">
        <v>1.1900000000000001E-2</v>
      </c>
    </row>
    <row r="87" spans="1:2" x14ac:dyDescent="0.25">
      <c r="A87" s="18">
        <v>105</v>
      </c>
      <c r="B87" s="18">
        <v>1.1900000000000001E-2</v>
      </c>
    </row>
    <row r="88" spans="1:2" x14ac:dyDescent="0.25">
      <c r="A88" s="18">
        <v>106</v>
      </c>
      <c r="B88" s="18">
        <v>1.18E-2</v>
      </c>
    </row>
    <row r="89" spans="1:2" x14ac:dyDescent="0.25">
      <c r="A89" s="18">
        <v>107</v>
      </c>
      <c r="B89" s="18">
        <v>1.17E-2</v>
      </c>
    </row>
    <row r="90" spans="1:2" x14ac:dyDescent="0.25">
      <c r="A90" s="18">
        <v>108</v>
      </c>
      <c r="B90" s="18">
        <v>1.1599999999999999E-2</v>
      </c>
    </row>
    <row r="91" spans="1:2" x14ac:dyDescent="0.25">
      <c r="A91" s="18">
        <v>109</v>
      </c>
      <c r="B91" s="18">
        <v>1.15E-2</v>
      </c>
    </row>
    <row r="92" spans="1:2" x14ac:dyDescent="0.25">
      <c r="A92" s="18">
        <v>110</v>
      </c>
      <c r="B92" s="18">
        <v>1.14E-2</v>
      </c>
    </row>
    <row r="93" spans="1:2" x14ac:dyDescent="0.25">
      <c r="A93" s="18">
        <v>111</v>
      </c>
      <c r="B93" s="18">
        <v>1.14E-2</v>
      </c>
    </row>
    <row r="94" spans="1:2" x14ac:dyDescent="0.25">
      <c r="A94" s="18">
        <v>112</v>
      </c>
      <c r="B94" s="18">
        <v>1.12E-2</v>
      </c>
    </row>
    <row r="95" spans="1:2" x14ac:dyDescent="0.25">
      <c r="A95" s="18">
        <v>113</v>
      </c>
      <c r="B95" s="18">
        <v>1.11E-2</v>
      </c>
    </row>
    <row r="96" spans="1:2" x14ac:dyDescent="0.25">
      <c r="A96" s="18">
        <v>114</v>
      </c>
      <c r="B96" s="18">
        <v>1.0999999999999999E-2</v>
      </c>
    </row>
    <row r="97" spans="1:2" x14ac:dyDescent="0.25">
      <c r="A97" s="18">
        <v>115</v>
      </c>
      <c r="B97" s="18">
        <v>1.09E-2</v>
      </c>
    </row>
    <row r="98" spans="1:2" x14ac:dyDescent="0.25">
      <c r="A98" s="18">
        <v>116</v>
      </c>
      <c r="B98" s="18">
        <v>1.0699999999999999E-2</v>
      </c>
    </row>
    <row r="99" spans="1:2" x14ac:dyDescent="0.25">
      <c r="A99" s="18">
        <v>117</v>
      </c>
      <c r="B99" s="18">
        <v>1.0500000000000001E-2</v>
      </c>
    </row>
    <row r="100" spans="1:2" x14ac:dyDescent="0.25">
      <c r="A100" s="18">
        <v>118</v>
      </c>
      <c r="B100" s="18">
        <v>1.0200000000000001E-2</v>
      </c>
    </row>
    <row r="101" spans="1:2" x14ac:dyDescent="0.25">
      <c r="A101" s="18">
        <v>119</v>
      </c>
      <c r="B101" s="18">
        <v>1.0200000000000001E-2</v>
      </c>
    </row>
    <row r="102" spans="1:2" x14ac:dyDescent="0.25">
      <c r="A102" s="18">
        <v>120</v>
      </c>
      <c r="B102" s="18">
        <v>0.01</v>
      </c>
    </row>
    <row r="103" spans="1:2" x14ac:dyDescent="0.25">
      <c r="A103" s="18">
        <v>121</v>
      </c>
      <c r="B103" s="18">
        <v>9.8700000000000003E-3</v>
      </c>
    </row>
    <row r="104" spans="1:2" x14ac:dyDescent="0.25">
      <c r="A104" s="18">
        <v>122</v>
      </c>
      <c r="B104" s="18">
        <v>9.6500000000000006E-3</v>
      </c>
    </row>
    <row r="105" spans="1:2" x14ac:dyDescent="0.25">
      <c r="A105" s="18">
        <v>123</v>
      </c>
      <c r="B105" s="18">
        <v>9.4900000000000002E-3</v>
      </c>
    </row>
    <row r="106" spans="1:2" x14ac:dyDescent="0.25">
      <c r="A106" s="18">
        <v>124</v>
      </c>
      <c r="B106" s="18">
        <v>9.3100000000000006E-3</v>
      </c>
    </row>
    <row r="107" spans="1:2" x14ac:dyDescent="0.25">
      <c r="A107" s="18">
        <v>125</v>
      </c>
      <c r="B107" s="18">
        <v>9.0900000000000009E-3</v>
      </c>
    </row>
    <row r="108" spans="1:2" x14ac:dyDescent="0.25">
      <c r="A108" s="18">
        <v>126</v>
      </c>
      <c r="B108" s="18">
        <v>8.77E-3</v>
      </c>
    </row>
    <row r="109" spans="1:2" x14ac:dyDescent="0.25">
      <c r="A109" s="18">
        <v>127</v>
      </c>
      <c r="B109" s="18">
        <v>8.4799999999999997E-3</v>
      </c>
    </row>
    <row r="110" spans="1:2" x14ac:dyDescent="0.25">
      <c r="A110" s="18">
        <v>128</v>
      </c>
      <c r="B110" s="18">
        <v>8.1899999999999994E-3</v>
      </c>
    </row>
    <row r="111" spans="1:2" x14ac:dyDescent="0.25">
      <c r="A111" s="18">
        <v>129</v>
      </c>
      <c r="B111" s="18">
        <v>7.9900000000000006E-3</v>
      </c>
    </row>
    <row r="112" spans="1:2" x14ac:dyDescent="0.25">
      <c r="A112" s="18">
        <v>130</v>
      </c>
      <c r="B112" s="18">
        <v>7.7799999999999996E-3</v>
      </c>
    </row>
    <row r="113" spans="1:2" x14ac:dyDescent="0.25">
      <c r="A113" s="18">
        <v>131</v>
      </c>
      <c r="B113" s="18">
        <v>7.4999999999999997E-3</v>
      </c>
    </row>
    <row r="114" spans="1:2" x14ac:dyDescent="0.25">
      <c r="A114" s="18">
        <v>132</v>
      </c>
      <c r="B114" s="18">
        <v>7.1999999999999998E-3</v>
      </c>
    </row>
    <row r="115" spans="1:2" x14ac:dyDescent="0.25">
      <c r="A115" s="18">
        <v>133</v>
      </c>
      <c r="B115" s="18">
        <v>6.9199999999999999E-3</v>
      </c>
    </row>
    <row r="116" spans="1:2" x14ac:dyDescent="0.25">
      <c r="A116" s="18">
        <v>134</v>
      </c>
      <c r="B116" s="18">
        <v>6.5599999999999999E-3</v>
      </c>
    </row>
    <row r="117" spans="1:2" x14ac:dyDescent="0.25">
      <c r="A117" s="18">
        <v>135</v>
      </c>
      <c r="B117" s="18">
        <v>6.2700000000000004E-3</v>
      </c>
    </row>
    <row r="118" spans="1:2" x14ac:dyDescent="0.25">
      <c r="A118" s="18">
        <v>136</v>
      </c>
      <c r="B118" s="18">
        <v>6.11E-3</v>
      </c>
    </row>
    <row r="119" spans="1:2" x14ac:dyDescent="0.25">
      <c r="A119" s="18">
        <v>137</v>
      </c>
      <c r="B119" s="18">
        <v>5.7000000000000002E-3</v>
      </c>
    </row>
    <row r="120" spans="1:2" x14ac:dyDescent="0.25">
      <c r="A120" s="18">
        <v>138</v>
      </c>
      <c r="B120" s="18">
        <v>5.3499999999999997E-3</v>
      </c>
    </row>
    <row r="121" spans="1:2" x14ac:dyDescent="0.25">
      <c r="A121" s="18">
        <v>139</v>
      </c>
      <c r="B121" s="18">
        <v>5.0800000000000003E-3</v>
      </c>
    </row>
    <row r="122" spans="1:2" x14ac:dyDescent="0.25">
      <c r="A122" s="18">
        <v>140</v>
      </c>
      <c r="B122" s="18">
        <v>4.6299999999999996E-3</v>
      </c>
    </row>
    <row r="123" spans="1:2" x14ac:dyDescent="0.25">
      <c r="A123" s="18">
        <v>141</v>
      </c>
      <c r="B123" s="18">
        <v>4.3E-3</v>
      </c>
    </row>
    <row r="124" spans="1:2" x14ac:dyDescent="0.25">
      <c r="A124" s="18">
        <v>142</v>
      </c>
      <c r="B124" s="18">
        <v>3.8E-3</v>
      </c>
    </row>
    <row r="125" spans="1:2" x14ac:dyDescent="0.25">
      <c r="A125" s="18">
        <v>143</v>
      </c>
      <c r="B125" s="18">
        <v>3.46E-3</v>
      </c>
    </row>
    <row r="126" spans="1:2" x14ac:dyDescent="0.25">
      <c r="A126" s="18">
        <v>144</v>
      </c>
      <c r="B126" s="18">
        <v>3.0300000000000001E-3</v>
      </c>
    </row>
    <row r="127" spans="1:2" x14ac:dyDescent="0.25">
      <c r="A127" s="18">
        <v>145</v>
      </c>
      <c r="B127" s="18">
        <v>2.6199999999999999E-3</v>
      </c>
    </row>
    <row r="128" spans="1:2" x14ac:dyDescent="0.25">
      <c r="A128" s="18">
        <v>146</v>
      </c>
      <c r="B128" s="18">
        <v>2.0799999999999998E-3</v>
      </c>
    </row>
    <row r="129" spans="1:2" x14ac:dyDescent="0.25">
      <c r="A129" s="18">
        <v>147</v>
      </c>
      <c r="B129" s="18">
        <v>1.6199999999999999E-3</v>
      </c>
    </row>
    <row r="130" spans="1:2" x14ac:dyDescent="0.25">
      <c r="A130" s="18">
        <v>148</v>
      </c>
      <c r="B130" s="18">
        <v>1.15E-3</v>
      </c>
    </row>
    <row r="131" spans="1:2" x14ac:dyDescent="0.25">
      <c r="A131" s="18">
        <v>149</v>
      </c>
      <c r="B131" s="18">
        <v>6.3699999999999998E-4</v>
      </c>
    </row>
    <row r="132" spans="1:2" x14ac:dyDescent="0.25">
      <c r="A132" s="18">
        <v>150</v>
      </c>
      <c r="B132" s="18">
        <v>1.21E-4</v>
      </c>
    </row>
    <row r="133" spans="1:2" x14ac:dyDescent="0.25">
      <c r="A133" s="18">
        <v>151</v>
      </c>
      <c r="B133" s="18">
        <v>4.07E-6</v>
      </c>
    </row>
    <row r="134" spans="1:2" x14ac:dyDescent="0.25">
      <c r="A134" s="18">
        <v>152</v>
      </c>
      <c r="B134" s="18">
        <v>1.19E-5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100-000000000000}">
  <dimension ref="A1:B112"/>
  <sheetViews>
    <sheetView workbookViewId="0">
      <selection sqref="A1:B1"/>
    </sheetView>
  </sheetViews>
  <sheetFormatPr defaultRowHeight="15" x14ac:dyDescent="0.25"/>
  <cols>
    <col min="1" max="1" width="17.140625" customWidth="1"/>
    <col min="2" max="2" width="9.140625" customWidth="1"/>
  </cols>
  <sheetData>
    <row r="1" spans="1:2" s="28" customFormat="1" x14ac:dyDescent="0.25">
      <c r="A1" s="28" t="s">
        <v>17</v>
      </c>
      <c r="B1" s="28" t="s">
        <v>12</v>
      </c>
    </row>
    <row r="2" spans="1:2" x14ac:dyDescent="0.25">
      <c r="A2" s="18">
        <v>10</v>
      </c>
      <c r="B2" s="18">
        <v>3.48E-4</v>
      </c>
    </row>
    <row r="3" spans="1:2" x14ac:dyDescent="0.25">
      <c r="A3" s="18">
        <v>10.199999999999999</v>
      </c>
      <c r="B3" s="18">
        <v>3.6999999999999999E-4</v>
      </c>
    </row>
    <row r="4" spans="1:2" x14ac:dyDescent="0.25">
      <c r="A4" s="18">
        <v>10.4</v>
      </c>
      <c r="B4" s="18">
        <v>5.5500000000000005E-4</v>
      </c>
    </row>
    <row r="5" spans="1:2" x14ac:dyDescent="0.25">
      <c r="A5" s="18">
        <v>10.6</v>
      </c>
      <c r="B5" s="18">
        <v>1.8699999999999999E-4</v>
      </c>
    </row>
    <row r="6" spans="1:2" x14ac:dyDescent="0.25">
      <c r="A6" s="18">
        <v>10.8</v>
      </c>
      <c r="B6" s="18">
        <v>3.4900000000000003E-4</v>
      </c>
    </row>
    <row r="7" spans="1:2" x14ac:dyDescent="0.25">
      <c r="A7" s="18">
        <v>11</v>
      </c>
      <c r="B7" s="18">
        <v>2.1699999999999999E-4</v>
      </c>
    </row>
    <row r="8" spans="1:2" x14ac:dyDescent="0.25">
      <c r="A8" s="18">
        <v>11.2</v>
      </c>
      <c r="B8" s="18">
        <v>4.4000000000000002E-4</v>
      </c>
    </row>
    <row r="9" spans="1:2" x14ac:dyDescent="0.25">
      <c r="A9" s="18">
        <v>11.4</v>
      </c>
      <c r="B9" s="18">
        <v>6.1499999999999999E-4</v>
      </c>
    </row>
    <row r="10" spans="1:2" x14ac:dyDescent="0.25">
      <c r="A10" s="18">
        <v>11.6</v>
      </c>
      <c r="B10" s="18">
        <v>4.3099999999999997E-5</v>
      </c>
    </row>
    <row r="11" spans="1:2" x14ac:dyDescent="0.25">
      <c r="A11" s="18">
        <v>11.8</v>
      </c>
      <c r="B11" s="18">
        <v>9.0300000000000005E-4</v>
      </c>
    </row>
    <row r="12" spans="1:2" x14ac:dyDescent="0.25">
      <c r="A12" s="18">
        <v>12</v>
      </c>
      <c r="B12" s="18">
        <v>2.24E-4</v>
      </c>
    </row>
    <row r="13" spans="1:2" x14ac:dyDescent="0.25">
      <c r="A13" s="18">
        <v>12.2</v>
      </c>
      <c r="B13" s="18">
        <v>7.6400000000000003E-4</v>
      </c>
    </row>
    <row r="14" spans="1:2" x14ac:dyDescent="0.25">
      <c r="A14" s="18">
        <v>12.4</v>
      </c>
      <c r="B14" s="18">
        <v>5.04E-4</v>
      </c>
    </row>
    <row r="15" spans="1:2" x14ac:dyDescent="0.25">
      <c r="A15" s="18">
        <v>12.6</v>
      </c>
      <c r="B15" s="18">
        <v>4.8200000000000001E-4</v>
      </c>
    </row>
    <row r="16" spans="1:2" x14ac:dyDescent="0.25">
      <c r="A16" s="18">
        <v>12.8</v>
      </c>
      <c r="B16" s="18">
        <v>8.1099999999999998E-4</v>
      </c>
    </row>
    <row r="17" spans="1:2" x14ac:dyDescent="0.25">
      <c r="A17" s="18">
        <v>13</v>
      </c>
      <c r="B17" s="18">
        <v>8.7799999999999998E-4</v>
      </c>
    </row>
    <row r="18" spans="1:2" x14ac:dyDescent="0.25">
      <c r="A18" s="18">
        <v>13.2</v>
      </c>
      <c r="B18" s="18">
        <v>1.06E-3</v>
      </c>
    </row>
    <row r="19" spans="1:2" x14ac:dyDescent="0.25">
      <c r="A19" s="18">
        <v>13.4</v>
      </c>
      <c r="B19" s="18">
        <v>1.1199999999999999E-3</v>
      </c>
    </row>
    <row r="20" spans="1:2" x14ac:dyDescent="0.25">
      <c r="A20" s="18">
        <v>13.6</v>
      </c>
      <c r="B20" s="18">
        <v>1.5499999999999999E-3</v>
      </c>
    </row>
    <row r="21" spans="1:2" x14ac:dyDescent="0.25">
      <c r="A21" s="18">
        <v>13.8</v>
      </c>
      <c r="B21" s="18">
        <v>2.1900000000000001E-3</v>
      </c>
    </row>
    <row r="22" spans="1:2" x14ac:dyDescent="0.25">
      <c r="A22" s="18">
        <v>14</v>
      </c>
      <c r="B22" s="18">
        <v>1.97E-3</v>
      </c>
    </row>
    <row r="23" spans="1:2" x14ac:dyDescent="0.25">
      <c r="A23" s="18">
        <v>14.2</v>
      </c>
      <c r="B23" s="18">
        <v>2.7299999999999998E-3</v>
      </c>
    </row>
    <row r="24" spans="1:2" x14ac:dyDescent="0.25">
      <c r="A24" s="18">
        <v>14.4</v>
      </c>
      <c r="B24" s="18">
        <v>3.0400000000000002E-3</v>
      </c>
    </row>
    <row r="25" spans="1:2" x14ac:dyDescent="0.25">
      <c r="A25" s="18">
        <v>14.6</v>
      </c>
      <c r="B25" s="18">
        <v>3.5899999999999999E-3</v>
      </c>
    </row>
    <row r="26" spans="1:2" x14ac:dyDescent="0.25">
      <c r="A26" s="18">
        <v>14.8</v>
      </c>
      <c r="B26" s="18">
        <v>3.9399999999999999E-3</v>
      </c>
    </row>
    <row r="27" spans="1:2" x14ac:dyDescent="0.25">
      <c r="A27" s="18">
        <v>15</v>
      </c>
      <c r="B27" s="18">
        <v>4.5799999999999999E-3</v>
      </c>
    </row>
    <row r="28" spans="1:2" x14ac:dyDescent="0.25">
      <c r="A28" s="18">
        <v>15.2</v>
      </c>
      <c r="B28" s="18">
        <v>5.0800000000000003E-3</v>
      </c>
    </row>
    <row r="29" spans="1:2" x14ac:dyDescent="0.25">
      <c r="A29" s="18">
        <v>15.4</v>
      </c>
      <c r="B29" s="18">
        <v>6.0000000000000001E-3</v>
      </c>
    </row>
    <row r="30" spans="1:2" x14ac:dyDescent="0.25">
      <c r="A30" s="18">
        <v>15.6</v>
      </c>
      <c r="B30" s="18">
        <v>6.1599999999999997E-3</v>
      </c>
    </row>
    <row r="31" spans="1:2" x14ac:dyDescent="0.25">
      <c r="A31" s="18">
        <v>15.8</v>
      </c>
      <c r="B31" s="18">
        <v>7.2199999999999999E-3</v>
      </c>
    </row>
    <row r="32" spans="1:2" x14ac:dyDescent="0.25">
      <c r="A32" s="18">
        <v>16</v>
      </c>
      <c r="B32" s="18">
        <v>7.6299999999999996E-3</v>
      </c>
    </row>
    <row r="33" spans="1:2" x14ac:dyDescent="0.25">
      <c r="A33" s="18">
        <v>16.2</v>
      </c>
      <c r="B33" s="18">
        <v>8.3599999999999994E-3</v>
      </c>
    </row>
    <row r="34" spans="1:2" x14ac:dyDescent="0.25">
      <c r="A34" s="18">
        <v>16.399999999999999</v>
      </c>
      <c r="B34" s="18">
        <v>9.2399999999999999E-3</v>
      </c>
    </row>
    <row r="35" spans="1:2" x14ac:dyDescent="0.25">
      <c r="A35" s="18">
        <v>16.600000000000001</v>
      </c>
      <c r="B35" s="18">
        <v>9.6200000000000001E-3</v>
      </c>
    </row>
    <row r="36" spans="1:2" x14ac:dyDescent="0.25">
      <c r="A36" s="18">
        <v>16.8</v>
      </c>
      <c r="B36" s="18">
        <v>1.0699999999999999E-2</v>
      </c>
    </row>
    <row r="37" spans="1:2" x14ac:dyDescent="0.25">
      <c r="A37" s="18">
        <v>17</v>
      </c>
      <c r="B37" s="18">
        <v>1.09E-2</v>
      </c>
    </row>
    <row r="38" spans="1:2" x14ac:dyDescent="0.25">
      <c r="A38" s="18">
        <v>17.2</v>
      </c>
      <c r="B38" s="18">
        <v>1.1900000000000001E-2</v>
      </c>
    </row>
    <row r="39" spans="1:2" x14ac:dyDescent="0.25">
      <c r="A39" s="18">
        <v>17.399999999999999</v>
      </c>
      <c r="B39" s="18">
        <v>1.26E-2</v>
      </c>
    </row>
    <row r="40" spans="1:2" x14ac:dyDescent="0.25">
      <c r="A40" s="18">
        <v>17.600000000000001</v>
      </c>
      <c r="B40" s="18">
        <v>1.32E-2</v>
      </c>
    </row>
    <row r="41" spans="1:2" x14ac:dyDescent="0.25">
      <c r="A41" s="18">
        <v>17.8</v>
      </c>
      <c r="B41" s="18">
        <v>1.4E-2</v>
      </c>
    </row>
    <row r="42" spans="1:2" x14ac:dyDescent="0.25">
      <c r="A42" s="18">
        <v>18</v>
      </c>
      <c r="B42" s="18">
        <v>1.4800000000000001E-2</v>
      </c>
    </row>
    <row r="43" spans="1:2" x14ac:dyDescent="0.25">
      <c r="A43" s="18">
        <v>18.2</v>
      </c>
      <c r="B43" s="18">
        <v>1.49E-2</v>
      </c>
    </row>
    <row r="44" spans="1:2" x14ac:dyDescent="0.25">
      <c r="A44" s="18">
        <v>18.399999999999999</v>
      </c>
      <c r="B44" s="18">
        <v>1.5599999999999999E-2</v>
      </c>
    </row>
    <row r="45" spans="1:2" x14ac:dyDescent="0.25">
      <c r="A45" s="18">
        <v>18.600000000000001</v>
      </c>
      <c r="B45" s="18">
        <v>1.6199999999999999E-2</v>
      </c>
    </row>
    <row r="46" spans="1:2" x14ac:dyDescent="0.25">
      <c r="A46" s="18">
        <v>18.8</v>
      </c>
      <c r="B46" s="18">
        <v>1.6799999999999999E-2</v>
      </c>
    </row>
    <row r="47" spans="1:2" x14ac:dyDescent="0.25">
      <c r="A47" s="18">
        <v>19</v>
      </c>
      <c r="B47" s="18">
        <v>1.7100000000000001E-2</v>
      </c>
    </row>
    <row r="48" spans="1:2" x14ac:dyDescent="0.25">
      <c r="A48" s="18">
        <v>19.2</v>
      </c>
      <c r="B48" s="18">
        <v>1.77E-2</v>
      </c>
    </row>
    <row r="49" spans="1:2" x14ac:dyDescent="0.25">
      <c r="A49" s="18">
        <v>19.399999999999999</v>
      </c>
      <c r="B49" s="18">
        <v>1.78E-2</v>
      </c>
    </row>
    <row r="50" spans="1:2" x14ac:dyDescent="0.25">
      <c r="A50" s="18">
        <v>19.600000000000001</v>
      </c>
      <c r="B50" s="18">
        <v>1.8200000000000001E-2</v>
      </c>
    </row>
    <row r="51" spans="1:2" x14ac:dyDescent="0.25">
      <c r="A51" s="18">
        <v>19.8</v>
      </c>
      <c r="B51" s="18">
        <v>1.84E-2</v>
      </c>
    </row>
    <row r="52" spans="1:2" x14ac:dyDescent="0.25">
      <c r="A52" s="18">
        <v>20</v>
      </c>
      <c r="B52" s="18">
        <v>1.89E-2</v>
      </c>
    </row>
    <row r="53" spans="1:2" x14ac:dyDescent="0.25">
      <c r="A53" s="18">
        <v>20.2</v>
      </c>
      <c r="B53" s="18">
        <v>1.8800000000000001E-2</v>
      </c>
    </row>
    <row r="54" spans="1:2" x14ac:dyDescent="0.25">
      <c r="A54" s="18">
        <v>20.399999999999999</v>
      </c>
      <c r="B54" s="18">
        <v>1.9099999999999999E-2</v>
      </c>
    </row>
    <row r="55" spans="1:2" x14ac:dyDescent="0.25">
      <c r="A55" s="18">
        <v>20.6</v>
      </c>
      <c r="B55" s="18">
        <v>1.9599999999999999E-2</v>
      </c>
    </row>
    <row r="56" spans="1:2" x14ac:dyDescent="0.25">
      <c r="A56" s="18">
        <v>20.8</v>
      </c>
      <c r="B56" s="18">
        <v>1.9199999999999998E-2</v>
      </c>
    </row>
    <row r="57" spans="1:2" x14ac:dyDescent="0.25">
      <c r="A57" s="18">
        <v>21</v>
      </c>
      <c r="B57" s="18">
        <v>1.9400000000000001E-2</v>
      </c>
    </row>
    <row r="58" spans="1:2" x14ac:dyDescent="0.25">
      <c r="A58" s="18">
        <v>21.2</v>
      </c>
      <c r="B58" s="18">
        <v>1.9400000000000001E-2</v>
      </c>
    </row>
    <row r="59" spans="1:2" x14ac:dyDescent="0.25">
      <c r="A59" s="18">
        <v>21.4</v>
      </c>
      <c r="B59" s="18">
        <v>1.9199999999999998E-2</v>
      </c>
    </row>
    <row r="60" spans="1:2" x14ac:dyDescent="0.25">
      <c r="A60" s="18">
        <v>21.6</v>
      </c>
      <c r="B60" s="18">
        <v>1.9400000000000001E-2</v>
      </c>
    </row>
    <row r="61" spans="1:2" x14ac:dyDescent="0.25">
      <c r="A61" s="18">
        <v>21.8</v>
      </c>
      <c r="B61" s="18">
        <v>1.9199999999999998E-2</v>
      </c>
    </row>
    <row r="62" spans="1:2" x14ac:dyDescent="0.25">
      <c r="A62" s="18">
        <v>22</v>
      </c>
      <c r="B62" s="18">
        <v>1.9300000000000001E-2</v>
      </c>
    </row>
    <row r="63" spans="1:2" x14ac:dyDescent="0.25">
      <c r="A63" s="18">
        <v>22.2</v>
      </c>
      <c r="B63" s="18">
        <v>1.9E-2</v>
      </c>
    </row>
    <row r="64" spans="1:2" x14ac:dyDescent="0.25">
      <c r="A64" s="18">
        <v>22.4</v>
      </c>
      <c r="B64" s="18">
        <v>1.89E-2</v>
      </c>
    </row>
    <row r="65" spans="1:2" x14ac:dyDescent="0.25">
      <c r="A65" s="18">
        <v>22.6</v>
      </c>
      <c r="B65" s="18">
        <v>1.8700000000000001E-2</v>
      </c>
    </row>
    <row r="66" spans="1:2" x14ac:dyDescent="0.25">
      <c r="A66" s="18">
        <v>22.8</v>
      </c>
      <c r="B66" s="18">
        <v>1.83E-2</v>
      </c>
    </row>
    <row r="67" spans="1:2" x14ac:dyDescent="0.25">
      <c r="A67" s="18">
        <v>23</v>
      </c>
      <c r="B67" s="18">
        <v>1.84E-2</v>
      </c>
    </row>
    <row r="68" spans="1:2" x14ac:dyDescent="0.25">
      <c r="A68" s="18">
        <v>23.2</v>
      </c>
      <c r="B68" s="18">
        <v>1.78E-2</v>
      </c>
    </row>
    <row r="69" spans="1:2" x14ac:dyDescent="0.25">
      <c r="A69" s="18">
        <v>23.4</v>
      </c>
      <c r="B69" s="18">
        <v>1.77E-2</v>
      </c>
    </row>
    <row r="70" spans="1:2" x14ac:dyDescent="0.25">
      <c r="A70" s="18">
        <v>23.6</v>
      </c>
      <c r="B70" s="18">
        <v>1.7299999999999999E-2</v>
      </c>
    </row>
    <row r="71" spans="1:2" x14ac:dyDescent="0.25">
      <c r="A71" s="18">
        <v>23.8</v>
      </c>
      <c r="B71" s="18">
        <v>1.67E-2</v>
      </c>
    </row>
    <row r="72" spans="1:2" x14ac:dyDescent="0.25">
      <c r="A72" s="18">
        <v>24</v>
      </c>
      <c r="B72" s="18">
        <v>1.67E-2</v>
      </c>
    </row>
    <row r="73" spans="1:2" x14ac:dyDescent="0.25">
      <c r="A73" s="18">
        <v>24.2</v>
      </c>
      <c r="B73" s="18">
        <v>1.6299999999999999E-2</v>
      </c>
    </row>
    <row r="74" spans="1:2" x14ac:dyDescent="0.25">
      <c r="A74" s="18">
        <v>24.4</v>
      </c>
      <c r="B74" s="18">
        <v>1.5900000000000001E-2</v>
      </c>
    </row>
    <row r="75" spans="1:2" x14ac:dyDescent="0.25">
      <c r="A75" s="18">
        <v>24.6</v>
      </c>
      <c r="B75" s="18">
        <v>1.55E-2</v>
      </c>
    </row>
    <row r="76" spans="1:2" x14ac:dyDescent="0.25">
      <c r="A76" s="18">
        <v>24.8</v>
      </c>
      <c r="B76" s="18">
        <v>1.5100000000000001E-2</v>
      </c>
    </row>
    <row r="77" spans="1:2" x14ac:dyDescent="0.25">
      <c r="A77" s="18">
        <v>25</v>
      </c>
      <c r="B77" s="18">
        <v>1.4500000000000001E-2</v>
      </c>
    </row>
    <row r="78" spans="1:2" x14ac:dyDescent="0.25">
      <c r="A78" s="18">
        <v>25.2</v>
      </c>
      <c r="B78" s="18">
        <v>1.4E-2</v>
      </c>
    </row>
    <row r="79" spans="1:2" x14ac:dyDescent="0.25">
      <c r="A79" s="18">
        <v>25.4</v>
      </c>
      <c r="B79" s="18">
        <v>1.38E-2</v>
      </c>
    </row>
    <row r="80" spans="1:2" x14ac:dyDescent="0.25">
      <c r="A80" s="18">
        <v>25.6</v>
      </c>
      <c r="B80" s="18">
        <v>1.32E-2</v>
      </c>
    </row>
    <row r="81" spans="1:2" x14ac:dyDescent="0.25">
      <c r="A81" s="18">
        <v>25.8</v>
      </c>
      <c r="B81" s="18">
        <v>1.29E-2</v>
      </c>
    </row>
    <row r="82" spans="1:2" x14ac:dyDescent="0.25">
      <c r="A82" s="18">
        <v>26</v>
      </c>
      <c r="B82" s="18">
        <v>1.2200000000000001E-2</v>
      </c>
    </row>
    <row r="83" spans="1:2" x14ac:dyDescent="0.25">
      <c r="A83" s="18">
        <v>26.2</v>
      </c>
      <c r="B83" s="18">
        <v>1.18E-2</v>
      </c>
    </row>
    <row r="84" spans="1:2" x14ac:dyDescent="0.25">
      <c r="A84" s="18">
        <v>26.4</v>
      </c>
      <c r="B84" s="18">
        <v>1.1299999999999999E-2</v>
      </c>
    </row>
    <row r="85" spans="1:2" x14ac:dyDescent="0.25">
      <c r="A85" s="18">
        <v>26.6</v>
      </c>
      <c r="B85" s="18">
        <v>1.0699999999999999E-2</v>
      </c>
    </row>
    <row r="86" spans="1:2" x14ac:dyDescent="0.25">
      <c r="A86" s="18">
        <v>26.8</v>
      </c>
      <c r="B86" s="18">
        <v>1.03E-2</v>
      </c>
    </row>
    <row r="87" spans="1:2" x14ac:dyDescent="0.25">
      <c r="A87" s="18">
        <v>27</v>
      </c>
      <c r="B87" s="18">
        <v>9.6799999999999994E-3</v>
      </c>
    </row>
    <row r="88" spans="1:2" x14ac:dyDescent="0.25">
      <c r="A88" s="18">
        <v>27.2</v>
      </c>
      <c r="B88" s="18">
        <v>9.2399999999999999E-3</v>
      </c>
    </row>
    <row r="89" spans="1:2" x14ac:dyDescent="0.25">
      <c r="A89" s="18">
        <v>27.4</v>
      </c>
      <c r="B89" s="18">
        <v>8.6400000000000001E-3</v>
      </c>
    </row>
    <row r="90" spans="1:2" x14ac:dyDescent="0.25">
      <c r="A90" s="18">
        <v>27.6</v>
      </c>
      <c r="B90" s="18">
        <v>8.2900000000000005E-3</v>
      </c>
    </row>
    <row r="91" spans="1:2" x14ac:dyDescent="0.25">
      <c r="A91" s="18">
        <v>27.8</v>
      </c>
      <c r="B91" s="18">
        <v>7.6E-3</v>
      </c>
    </row>
    <row r="92" spans="1:2" x14ac:dyDescent="0.25">
      <c r="A92" s="18">
        <v>28</v>
      </c>
      <c r="B92" s="18">
        <v>7.0400000000000003E-3</v>
      </c>
    </row>
    <row r="93" spans="1:2" x14ac:dyDescent="0.25">
      <c r="A93" s="18">
        <v>28.2</v>
      </c>
      <c r="B93" s="18">
        <v>6.62E-3</v>
      </c>
    </row>
    <row r="94" spans="1:2" x14ac:dyDescent="0.25">
      <c r="A94" s="18">
        <v>28.4</v>
      </c>
      <c r="B94" s="18">
        <v>6.0400000000000002E-3</v>
      </c>
    </row>
    <row r="95" spans="1:2" x14ac:dyDescent="0.25">
      <c r="A95" s="18">
        <v>28.6</v>
      </c>
      <c r="B95" s="18">
        <v>5.3699999999999998E-3</v>
      </c>
    </row>
    <row r="96" spans="1:2" x14ac:dyDescent="0.25">
      <c r="A96" s="18">
        <v>28.8</v>
      </c>
      <c r="B96" s="18">
        <v>4.8700000000000002E-3</v>
      </c>
    </row>
    <row r="97" spans="1:2" x14ac:dyDescent="0.25">
      <c r="A97" s="18">
        <v>29</v>
      </c>
      <c r="B97" s="18">
        <v>4.2100000000000002E-3</v>
      </c>
    </row>
    <row r="98" spans="1:2" x14ac:dyDescent="0.25">
      <c r="A98" s="18">
        <v>29.2</v>
      </c>
      <c r="B98" s="18">
        <v>3.5999999999999999E-3</v>
      </c>
    </row>
    <row r="99" spans="1:2" x14ac:dyDescent="0.25">
      <c r="A99" s="18">
        <v>29.4</v>
      </c>
      <c r="B99" s="18">
        <v>2.96E-3</v>
      </c>
    </row>
    <row r="100" spans="1:2" x14ac:dyDescent="0.25">
      <c r="A100" s="18">
        <v>29.6</v>
      </c>
      <c r="B100" s="18">
        <v>2.1900000000000001E-3</v>
      </c>
    </row>
    <row r="101" spans="1:2" x14ac:dyDescent="0.25">
      <c r="A101" s="18">
        <v>29.8</v>
      </c>
      <c r="B101" s="18">
        <v>1.48E-3</v>
      </c>
    </row>
    <row r="102" spans="1:2" x14ac:dyDescent="0.25">
      <c r="A102" s="18">
        <v>30</v>
      </c>
      <c r="B102" s="18">
        <v>4.2499999999999998E-4</v>
      </c>
    </row>
    <row r="103" spans="1:2" x14ac:dyDescent="0.25">
      <c r="A103" s="18">
        <v>30.2</v>
      </c>
      <c r="B103" s="18">
        <v>2.0100000000000001E-5</v>
      </c>
    </row>
    <row r="104" spans="1:2" x14ac:dyDescent="0.25">
      <c r="A104" s="18">
        <v>30.4</v>
      </c>
      <c r="B104" s="18">
        <v>5.4799999999999998E-7</v>
      </c>
    </row>
    <row r="105" spans="1:2" x14ac:dyDescent="0.25">
      <c r="A105" s="18">
        <v>30.6</v>
      </c>
      <c r="B105" s="18">
        <v>2.5199999999999998E-7</v>
      </c>
    </row>
    <row r="106" spans="1:2" x14ac:dyDescent="0.25">
      <c r="A106" s="18">
        <v>30.8</v>
      </c>
      <c r="B106" s="18">
        <v>9.9800000000000002E-7</v>
      </c>
    </row>
    <row r="107" spans="1:2" x14ac:dyDescent="0.25">
      <c r="A107" s="18">
        <v>31</v>
      </c>
      <c r="B107" s="18">
        <v>1.48E-7</v>
      </c>
    </row>
    <row r="108" spans="1:2" x14ac:dyDescent="0.25">
      <c r="A108" s="18">
        <v>31.2</v>
      </c>
      <c r="B108" s="18">
        <v>1.39E-6</v>
      </c>
    </row>
    <row r="109" spans="1:2" x14ac:dyDescent="0.25">
      <c r="A109" s="18">
        <v>31.4</v>
      </c>
      <c r="B109" s="18">
        <v>6.8600000000000005E-8</v>
      </c>
    </row>
    <row r="110" spans="1:2" x14ac:dyDescent="0.25">
      <c r="A110" s="18">
        <v>31.6</v>
      </c>
      <c r="B110" s="18">
        <v>9.2200000000000002E-7</v>
      </c>
    </row>
    <row r="111" spans="1:2" x14ac:dyDescent="0.25">
      <c r="A111" s="18">
        <v>31.8</v>
      </c>
      <c r="B111" s="18">
        <v>1.05E-7</v>
      </c>
    </row>
    <row r="112" spans="1:2" x14ac:dyDescent="0.25">
      <c r="A112" s="18">
        <v>32</v>
      </c>
      <c r="B112" s="18">
        <v>3.8599999999999999E-7</v>
      </c>
    </row>
  </sheetData>
  <pageMargins left="0.7" right="0.7" top="0.75" bottom="0.75" header="0.3" footer="0.3"/>
  <pageSetup paperSize="9" orientation="portrait" r:id="rId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200-000000000000}">
  <dimension ref="A1:B152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12</v>
      </c>
      <c r="B2" s="18">
        <v>2.9799999999999998E-4</v>
      </c>
    </row>
    <row r="3" spans="1:2" x14ac:dyDescent="0.25">
      <c r="A3" s="18">
        <v>12.2</v>
      </c>
      <c r="B3" s="18">
        <v>2.4399999999999999E-4</v>
      </c>
    </row>
    <row r="4" spans="1:2" x14ac:dyDescent="0.25">
      <c r="A4" s="18">
        <v>12.4</v>
      </c>
      <c r="B4" s="18">
        <v>2.99E-4</v>
      </c>
    </row>
    <row r="5" spans="1:2" x14ac:dyDescent="0.25">
      <c r="A5" s="18">
        <v>12.6</v>
      </c>
      <c r="B5" s="18">
        <v>5.8300000000000001E-5</v>
      </c>
    </row>
    <row r="6" spans="1:2" x14ac:dyDescent="0.25">
      <c r="A6" s="18">
        <v>12.8</v>
      </c>
      <c r="B6" s="18">
        <v>3.0200000000000002E-4</v>
      </c>
    </row>
    <row r="7" spans="1:2" x14ac:dyDescent="0.25">
      <c r="A7" s="18">
        <v>13</v>
      </c>
      <c r="B7" s="18">
        <v>1.13E-4</v>
      </c>
    </row>
    <row r="8" spans="1:2" x14ac:dyDescent="0.25">
      <c r="A8" s="18">
        <v>13.2</v>
      </c>
      <c r="B8" s="18">
        <v>9.6799999999999995E-5</v>
      </c>
    </row>
    <row r="9" spans="1:2" x14ac:dyDescent="0.25">
      <c r="A9" s="18">
        <v>13.4</v>
      </c>
      <c r="B9" s="18">
        <v>1.6699999999999999E-4</v>
      </c>
    </row>
    <row r="10" spans="1:2" x14ac:dyDescent="0.25">
      <c r="A10" s="18">
        <v>13.6</v>
      </c>
      <c r="B10" s="18">
        <v>2.2499999999999999E-4</v>
      </c>
    </row>
    <row r="11" spans="1:2" x14ac:dyDescent="0.25">
      <c r="A11" s="18">
        <v>13.8</v>
      </c>
      <c r="B11" s="18">
        <v>2.22E-4</v>
      </c>
    </row>
    <row r="12" spans="1:2" x14ac:dyDescent="0.25">
      <c r="A12" s="18">
        <v>14</v>
      </c>
      <c r="B12" s="18">
        <v>7.3800000000000005E-5</v>
      </c>
    </row>
    <row r="13" spans="1:2" x14ac:dyDescent="0.25">
      <c r="A13" s="18">
        <v>14.2</v>
      </c>
      <c r="B13" s="18">
        <v>3.8099999999999999E-4</v>
      </c>
    </row>
    <row r="14" spans="1:2" x14ac:dyDescent="0.25">
      <c r="A14" s="18">
        <v>14.4</v>
      </c>
      <c r="B14" s="18">
        <v>4.5100000000000001E-4</v>
      </c>
    </row>
    <row r="15" spans="1:2" x14ac:dyDescent="0.25">
      <c r="A15" s="18">
        <v>14.6</v>
      </c>
      <c r="B15" s="18">
        <v>8.6500000000000002E-5</v>
      </c>
    </row>
    <row r="16" spans="1:2" x14ac:dyDescent="0.25">
      <c r="A16" s="18">
        <v>14.8</v>
      </c>
      <c r="B16" s="18">
        <v>3.3100000000000002E-4</v>
      </c>
    </row>
    <row r="17" spans="1:2" x14ac:dyDescent="0.25">
      <c r="A17" s="18">
        <v>15</v>
      </c>
      <c r="B17" s="18">
        <v>1.74E-4</v>
      </c>
    </row>
    <row r="18" spans="1:2" x14ac:dyDescent="0.25">
      <c r="A18" s="18">
        <v>15.2</v>
      </c>
      <c r="B18" s="18">
        <v>2.52E-4</v>
      </c>
    </row>
    <row r="19" spans="1:2" x14ac:dyDescent="0.25">
      <c r="A19" s="18">
        <v>15.4</v>
      </c>
      <c r="B19" s="18">
        <v>3.4099999999999999E-4</v>
      </c>
    </row>
    <row r="20" spans="1:2" x14ac:dyDescent="0.25">
      <c r="A20" s="18">
        <v>15.6</v>
      </c>
      <c r="B20" s="18">
        <v>4.2400000000000001E-4</v>
      </c>
    </row>
    <row r="21" spans="1:2" x14ac:dyDescent="0.25">
      <c r="A21" s="18">
        <v>15.8</v>
      </c>
      <c r="B21" s="18">
        <v>3.7500000000000001E-4</v>
      </c>
    </row>
    <row r="22" spans="1:2" x14ac:dyDescent="0.25">
      <c r="A22" s="18">
        <v>16</v>
      </c>
      <c r="B22" s="18">
        <v>4.4299999999999998E-4</v>
      </c>
    </row>
    <row r="23" spans="1:2" x14ac:dyDescent="0.25">
      <c r="A23" s="18">
        <v>16.2</v>
      </c>
      <c r="B23" s="18">
        <v>5.0900000000000001E-4</v>
      </c>
    </row>
    <row r="24" spans="1:2" x14ac:dyDescent="0.25">
      <c r="A24" s="18">
        <v>16.399999999999999</v>
      </c>
      <c r="B24" s="18">
        <v>7.5799999999999999E-4</v>
      </c>
    </row>
    <row r="25" spans="1:2" x14ac:dyDescent="0.25">
      <c r="A25" s="18">
        <v>16.600000000000001</v>
      </c>
      <c r="B25" s="18">
        <v>7.36E-4</v>
      </c>
    </row>
    <row r="26" spans="1:2" x14ac:dyDescent="0.25">
      <c r="A26" s="18">
        <v>16.8</v>
      </c>
      <c r="B26" s="18">
        <v>1.08E-3</v>
      </c>
    </row>
    <row r="27" spans="1:2" x14ac:dyDescent="0.25">
      <c r="A27" s="18">
        <v>17</v>
      </c>
      <c r="B27" s="18">
        <v>1.01E-3</v>
      </c>
    </row>
    <row r="28" spans="1:2" x14ac:dyDescent="0.25">
      <c r="A28" s="18">
        <v>17.2</v>
      </c>
      <c r="B28" s="18">
        <v>1.2899999999999999E-3</v>
      </c>
    </row>
    <row r="29" spans="1:2" x14ac:dyDescent="0.25">
      <c r="A29" s="18">
        <v>17.399999999999999</v>
      </c>
      <c r="B29" s="18">
        <v>1.5E-3</v>
      </c>
    </row>
    <row r="30" spans="1:2" x14ac:dyDescent="0.25">
      <c r="A30" s="18">
        <v>17.600000000000001</v>
      </c>
      <c r="B30" s="18">
        <v>1.73E-3</v>
      </c>
    </row>
    <row r="31" spans="1:2" x14ac:dyDescent="0.25">
      <c r="A31" s="18">
        <v>17.8</v>
      </c>
      <c r="B31" s="18">
        <v>1.8500000000000001E-3</v>
      </c>
    </row>
    <row r="32" spans="1:2" x14ac:dyDescent="0.25">
      <c r="A32" s="18">
        <v>18</v>
      </c>
      <c r="B32" s="18">
        <v>2.0899999999999998E-3</v>
      </c>
    </row>
    <row r="33" spans="1:2" x14ac:dyDescent="0.25">
      <c r="A33" s="18">
        <v>18.2</v>
      </c>
      <c r="B33" s="18">
        <v>2.3999999999999998E-3</v>
      </c>
    </row>
    <row r="34" spans="1:2" x14ac:dyDescent="0.25">
      <c r="A34" s="18">
        <v>18.399999999999999</v>
      </c>
      <c r="B34" s="18">
        <v>2.7599999999999999E-3</v>
      </c>
    </row>
    <row r="35" spans="1:2" x14ac:dyDescent="0.25">
      <c r="A35" s="18">
        <v>18.600000000000001</v>
      </c>
      <c r="B35" s="18">
        <v>2.9099999999999998E-3</v>
      </c>
    </row>
    <row r="36" spans="1:2" x14ac:dyDescent="0.25">
      <c r="A36" s="18">
        <v>18.8</v>
      </c>
      <c r="B36" s="18">
        <v>3.31E-3</v>
      </c>
    </row>
    <row r="37" spans="1:2" x14ac:dyDescent="0.25">
      <c r="A37" s="18">
        <v>19</v>
      </c>
      <c r="B37" s="18">
        <v>3.5999999999999999E-3</v>
      </c>
    </row>
    <row r="38" spans="1:2" x14ac:dyDescent="0.25">
      <c r="A38" s="18">
        <v>19.2</v>
      </c>
      <c r="B38" s="18">
        <v>3.8600000000000001E-3</v>
      </c>
    </row>
    <row r="39" spans="1:2" x14ac:dyDescent="0.25">
      <c r="A39" s="18">
        <v>19.399999999999999</v>
      </c>
      <c r="B39" s="18">
        <v>4.4200000000000003E-3</v>
      </c>
    </row>
    <row r="40" spans="1:2" x14ac:dyDescent="0.25">
      <c r="A40" s="18">
        <v>19.600000000000001</v>
      </c>
      <c r="B40" s="18">
        <v>4.6699999999999997E-3</v>
      </c>
    </row>
    <row r="41" spans="1:2" x14ac:dyDescent="0.25">
      <c r="A41" s="18">
        <v>19.8</v>
      </c>
      <c r="B41" s="18">
        <v>5.2199999999999998E-3</v>
      </c>
    </row>
    <row r="42" spans="1:2" x14ac:dyDescent="0.25">
      <c r="A42" s="18">
        <v>20</v>
      </c>
      <c r="B42" s="18">
        <v>5.4099999999999999E-3</v>
      </c>
    </row>
    <row r="43" spans="1:2" x14ac:dyDescent="0.25">
      <c r="A43" s="18">
        <v>20.2</v>
      </c>
      <c r="B43" s="18">
        <v>5.9500000000000004E-3</v>
      </c>
    </row>
    <row r="44" spans="1:2" x14ac:dyDescent="0.25">
      <c r="A44" s="18">
        <v>20.399999999999999</v>
      </c>
      <c r="B44" s="18">
        <v>6.2199999999999998E-3</v>
      </c>
    </row>
    <row r="45" spans="1:2" x14ac:dyDescent="0.25">
      <c r="A45" s="18">
        <v>20.6</v>
      </c>
      <c r="B45" s="18">
        <v>6.77E-3</v>
      </c>
    </row>
    <row r="46" spans="1:2" x14ac:dyDescent="0.25">
      <c r="A46" s="18">
        <v>20.8</v>
      </c>
      <c r="B46" s="18">
        <v>6.9499999999999996E-3</v>
      </c>
    </row>
    <row r="47" spans="1:2" x14ac:dyDescent="0.25">
      <c r="A47" s="18">
        <v>21</v>
      </c>
      <c r="B47" s="18">
        <v>7.6299999999999996E-3</v>
      </c>
    </row>
    <row r="48" spans="1:2" x14ac:dyDescent="0.25">
      <c r="A48" s="18">
        <v>21.2</v>
      </c>
      <c r="B48" s="18">
        <v>7.9100000000000004E-3</v>
      </c>
    </row>
    <row r="49" spans="1:2" x14ac:dyDescent="0.25">
      <c r="A49" s="18">
        <v>21.4</v>
      </c>
      <c r="B49" s="18">
        <v>8.4100000000000008E-3</v>
      </c>
    </row>
    <row r="50" spans="1:2" x14ac:dyDescent="0.25">
      <c r="A50" s="18">
        <v>21.6</v>
      </c>
      <c r="B50" s="18">
        <v>8.77E-3</v>
      </c>
    </row>
    <row r="51" spans="1:2" x14ac:dyDescent="0.25">
      <c r="A51" s="18">
        <v>21.8</v>
      </c>
      <c r="B51" s="18">
        <v>9.0799999999999995E-3</v>
      </c>
    </row>
    <row r="52" spans="1:2" x14ac:dyDescent="0.25">
      <c r="A52" s="18">
        <v>22</v>
      </c>
      <c r="B52" s="18">
        <v>9.5499999999999995E-3</v>
      </c>
    </row>
    <row r="53" spans="1:2" x14ac:dyDescent="0.25">
      <c r="A53" s="18">
        <v>22.2</v>
      </c>
      <c r="B53" s="18">
        <v>9.6799999999999994E-3</v>
      </c>
    </row>
    <row r="54" spans="1:2" x14ac:dyDescent="0.25">
      <c r="A54" s="18">
        <v>22.4</v>
      </c>
      <c r="B54" s="18">
        <v>1.0200000000000001E-2</v>
      </c>
    </row>
    <row r="55" spans="1:2" x14ac:dyDescent="0.25">
      <c r="A55" s="18">
        <v>22.6</v>
      </c>
      <c r="B55" s="18">
        <v>1.06E-2</v>
      </c>
    </row>
    <row r="56" spans="1:2" x14ac:dyDescent="0.25">
      <c r="A56" s="18">
        <v>22.8</v>
      </c>
      <c r="B56" s="18">
        <v>1.0999999999999999E-2</v>
      </c>
    </row>
    <row r="57" spans="1:2" x14ac:dyDescent="0.25">
      <c r="A57" s="18">
        <v>23</v>
      </c>
      <c r="B57" s="18">
        <v>1.11E-2</v>
      </c>
    </row>
    <row r="58" spans="1:2" x14ac:dyDescent="0.25">
      <c r="A58" s="18">
        <v>23.2</v>
      </c>
      <c r="B58" s="18">
        <v>1.1599999999999999E-2</v>
      </c>
    </row>
    <row r="59" spans="1:2" x14ac:dyDescent="0.25">
      <c r="A59" s="18">
        <v>23.4</v>
      </c>
      <c r="B59" s="18">
        <v>1.18E-2</v>
      </c>
    </row>
    <row r="60" spans="1:2" x14ac:dyDescent="0.25">
      <c r="A60" s="18">
        <v>23.6</v>
      </c>
      <c r="B60" s="18">
        <v>1.2E-2</v>
      </c>
    </row>
    <row r="61" spans="1:2" x14ac:dyDescent="0.25">
      <c r="A61" s="18">
        <v>23.8</v>
      </c>
      <c r="B61" s="18">
        <v>1.2200000000000001E-2</v>
      </c>
    </row>
    <row r="62" spans="1:2" x14ac:dyDescent="0.25">
      <c r="A62" s="18">
        <v>24</v>
      </c>
      <c r="B62" s="18">
        <v>1.2500000000000001E-2</v>
      </c>
    </row>
    <row r="63" spans="1:2" x14ac:dyDescent="0.25">
      <c r="A63" s="18">
        <v>24.2</v>
      </c>
      <c r="B63" s="18">
        <v>1.2800000000000001E-2</v>
      </c>
    </row>
    <row r="64" spans="1:2" x14ac:dyDescent="0.25">
      <c r="A64" s="18">
        <v>24.4</v>
      </c>
      <c r="B64" s="18">
        <v>1.2999999999999999E-2</v>
      </c>
    </row>
    <row r="65" spans="1:2" x14ac:dyDescent="0.25">
      <c r="A65" s="18">
        <v>24.6</v>
      </c>
      <c r="B65" s="18">
        <v>1.3100000000000001E-2</v>
      </c>
    </row>
    <row r="66" spans="1:2" x14ac:dyDescent="0.25">
      <c r="A66" s="18">
        <v>24.8</v>
      </c>
      <c r="B66" s="18">
        <v>1.34E-2</v>
      </c>
    </row>
    <row r="67" spans="1:2" x14ac:dyDescent="0.25">
      <c r="A67" s="18">
        <v>25</v>
      </c>
      <c r="B67" s="18">
        <v>1.3599999999999999E-2</v>
      </c>
    </row>
    <row r="68" spans="1:2" x14ac:dyDescent="0.25">
      <c r="A68" s="18">
        <v>25.2</v>
      </c>
      <c r="B68" s="18">
        <v>1.37E-2</v>
      </c>
    </row>
    <row r="69" spans="1:2" x14ac:dyDescent="0.25">
      <c r="A69" s="18">
        <v>25.4</v>
      </c>
      <c r="B69" s="18">
        <v>1.35E-2</v>
      </c>
    </row>
    <row r="70" spans="1:2" x14ac:dyDescent="0.25">
      <c r="A70" s="18">
        <v>25.6</v>
      </c>
      <c r="B70" s="18">
        <v>1.4E-2</v>
      </c>
    </row>
    <row r="71" spans="1:2" x14ac:dyDescent="0.25">
      <c r="A71" s="18">
        <v>25.8</v>
      </c>
      <c r="B71" s="18">
        <v>1.4E-2</v>
      </c>
    </row>
    <row r="72" spans="1:2" x14ac:dyDescent="0.25">
      <c r="A72" s="18">
        <v>26</v>
      </c>
      <c r="B72" s="18">
        <v>1.3899999999999999E-2</v>
      </c>
    </row>
    <row r="73" spans="1:2" x14ac:dyDescent="0.25">
      <c r="A73" s="18">
        <v>26.2</v>
      </c>
      <c r="B73" s="18">
        <v>1.4E-2</v>
      </c>
    </row>
    <row r="74" spans="1:2" x14ac:dyDescent="0.25">
      <c r="A74" s="18">
        <v>26.4</v>
      </c>
      <c r="B74" s="18">
        <v>1.4E-2</v>
      </c>
    </row>
    <row r="75" spans="1:2" x14ac:dyDescent="0.25">
      <c r="A75" s="18">
        <v>26.6</v>
      </c>
      <c r="B75" s="18">
        <v>1.41E-2</v>
      </c>
    </row>
    <row r="76" spans="1:2" x14ac:dyDescent="0.25">
      <c r="A76" s="18">
        <v>26.8</v>
      </c>
      <c r="B76" s="18">
        <v>1.4E-2</v>
      </c>
    </row>
    <row r="77" spans="1:2" x14ac:dyDescent="0.25">
      <c r="A77" s="18">
        <v>27</v>
      </c>
      <c r="B77" s="18">
        <v>1.4E-2</v>
      </c>
    </row>
    <row r="78" spans="1:2" x14ac:dyDescent="0.25">
      <c r="A78" s="18">
        <v>27.2</v>
      </c>
      <c r="B78" s="18">
        <v>1.41E-2</v>
      </c>
    </row>
    <row r="79" spans="1:2" x14ac:dyDescent="0.25">
      <c r="A79" s="18">
        <v>27.4</v>
      </c>
      <c r="B79" s="18">
        <v>1.4200000000000001E-2</v>
      </c>
    </row>
    <row r="80" spans="1:2" x14ac:dyDescent="0.25">
      <c r="A80" s="18">
        <v>27.6</v>
      </c>
      <c r="B80" s="18">
        <v>1.3899999999999999E-2</v>
      </c>
    </row>
    <row r="81" spans="1:2" x14ac:dyDescent="0.25">
      <c r="A81" s="18">
        <v>27.8</v>
      </c>
      <c r="B81" s="18">
        <v>1.3899999999999999E-2</v>
      </c>
    </row>
    <row r="82" spans="1:2" x14ac:dyDescent="0.25">
      <c r="A82" s="18">
        <v>28</v>
      </c>
      <c r="B82" s="18">
        <v>1.4E-2</v>
      </c>
    </row>
    <row r="83" spans="1:2" x14ac:dyDescent="0.25">
      <c r="A83" s="18">
        <v>28.2</v>
      </c>
      <c r="B83" s="18">
        <v>1.38E-2</v>
      </c>
    </row>
    <row r="84" spans="1:2" x14ac:dyDescent="0.25">
      <c r="A84" s="18">
        <v>28.4</v>
      </c>
      <c r="B84" s="18">
        <v>1.3599999999999999E-2</v>
      </c>
    </row>
    <row r="85" spans="1:2" x14ac:dyDescent="0.25">
      <c r="A85" s="18">
        <v>28.6</v>
      </c>
      <c r="B85" s="18">
        <v>1.3599999999999999E-2</v>
      </c>
    </row>
    <row r="86" spans="1:2" x14ac:dyDescent="0.25">
      <c r="A86" s="18">
        <v>28.8</v>
      </c>
      <c r="B86" s="18">
        <v>1.3299999999999999E-2</v>
      </c>
    </row>
    <row r="87" spans="1:2" x14ac:dyDescent="0.25">
      <c r="A87" s="18">
        <v>29</v>
      </c>
      <c r="B87" s="18">
        <v>1.3299999999999999E-2</v>
      </c>
    </row>
    <row r="88" spans="1:2" x14ac:dyDescent="0.25">
      <c r="A88" s="18">
        <v>29.2</v>
      </c>
      <c r="B88" s="18">
        <v>1.3100000000000001E-2</v>
      </c>
    </row>
    <row r="89" spans="1:2" x14ac:dyDescent="0.25">
      <c r="A89" s="18">
        <v>29.4</v>
      </c>
      <c r="B89" s="18">
        <v>1.3100000000000001E-2</v>
      </c>
    </row>
    <row r="90" spans="1:2" x14ac:dyDescent="0.25">
      <c r="A90" s="18">
        <v>29.6</v>
      </c>
      <c r="B90" s="18">
        <v>1.2699999999999999E-2</v>
      </c>
    </row>
    <row r="91" spans="1:2" x14ac:dyDescent="0.25">
      <c r="A91" s="18">
        <v>29.8</v>
      </c>
      <c r="B91" s="18">
        <v>1.2800000000000001E-2</v>
      </c>
    </row>
    <row r="92" spans="1:2" x14ac:dyDescent="0.25">
      <c r="A92" s="18">
        <v>30</v>
      </c>
      <c r="B92" s="18">
        <v>1.2500000000000001E-2</v>
      </c>
    </row>
    <row r="93" spans="1:2" x14ac:dyDescent="0.25">
      <c r="A93" s="18">
        <v>30.2</v>
      </c>
      <c r="B93" s="18">
        <v>1.23E-2</v>
      </c>
    </row>
    <row r="94" spans="1:2" x14ac:dyDescent="0.25">
      <c r="A94" s="18">
        <v>30.4</v>
      </c>
      <c r="B94" s="18">
        <v>1.24E-2</v>
      </c>
    </row>
    <row r="95" spans="1:2" x14ac:dyDescent="0.25">
      <c r="A95" s="18">
        <v>30.6</v>
      </c>
      <c r="B95" s="18">
        <v>1.1900000000000001E-2</v>
      </c>
    </row>
    <row r="96" spans="1:2" x14ac:dyDescent="0.25">
      <c r="A96" s="18">
        <v>30.8</v>
      </c>
      <c r="B96" s="18">
        <v>1.21E-2</v>
      </c>
    </row>
    <row r="97" spans="1:2" x14ac:dyDescent="0.25">
      <c r="A97" s="18">
        <v>31</v>
      </c>
      <c r="B97" s="18">
        <v>1.1599999999999999E-2</v>
      </c>
    </row>
    <row r="98" spans="1:2" x14ac:dyDescent="0.25">
      <c r="A98" s="18">
        <v>31.2</v>
      </c>
      <c r="B98" s="18">
        <v>1.1599999999999999E-2</v>
      </c>
    </row>
    <row r="99" spans="1:2" x14ac:dyDescent="0.25">
      <c r="A99" s="18">
        <v>31.4</v>
      </c>
      <c r="B99" s="18">
        <v>1.1299999999999999E-2</v>
      </c>
    </row>
    <row r="100" spans="1:2" x14ac:dyDescent="0.25">
      <c r="A100" s="18">
        <v>31.6</v>
      </c>
      <c r="B100" s="18">
        <v>1.11E-2</v>
      </c>
    </row>
    <row r="101" spans="1:2" x14ac:dyDescent="0.25">
      <c r="A101" s="18">
        <v>31.8</v>
      </c>
      <c r="B101" s="18">
        <v>1.09E-2</v>
      </c>
    </row>
    <row r="102" spans="1:2" x14ac:dyDescent="0.25">
      <c r="A102" s="18">
        <v>32</v>
      </c>
      <c r="B102" s="18">
        <v>1.0800000000000001E-2</v>
      </c>
    </row>
    <row r="103" spans="1:2" x14ac:dyDescent="0.25">
      <c r="A103" s="18">
        <v>32.200000000000003</v>
      </c>
      <c r="B103" s="18">
        <v>1.04E-2</v>
      </c>
    </row>
    <row r="104" spans="1:2" x14ac:dyDescent="0.25">
      <c r="A104" s="18">
        <v>32.4</v>
      </c>
      <c r="B104" s="18">
        <v>1.04E-2</v>
      </c>
    </row>
    <row r="105" spans="1:2" x14ac:dyDescent="0.25">
      <c r="A105" s="18">
        <v>32.6</v>
      </c>
      <c r="B105" s="18">
        <v>1.01E-2</v>
      </c>
    </row>
    <row r="106" spans="1:2" x14ac:dyDescent="0.25">
      <c r="A106" s="18">
        <v>32.799999999999997</v>
      </c>
      <c r="B106" s="18">
        <v>9.9600000000000001E-3</v>
      </c>
    </row>
    <row r="107" spans="1:2" x14ac:dyDescent="0.25">
      <c r="A107" s="18">
        <v>33</v>
      </c>
      <c r="B107" s="18">
        <v>9.5099999999999994E-3</v>
      </c>
    </row>
    <row r="108" spans="1:2" x14ac:dyDescent="0.25">
      <c r="A108" s="18">
        <v>33.200000000000003</v>
      </c>
      <c r="B108" s="18">
        <v>9.4900000000000002E-3</v>
      </c>
    </row>
    <row r="109" spans="1:2" x14ac:dyDescent="0.25">
      <c r="A109" s="18">
        <v>33.4</v>
      </c>
      <c r="B109" s="18">
        <v>9.2099999999999994E-3</v>
      </c>
    </row>
    <row r="110" spans="1:2" x14ac:dyDescent="0.25">
      <c r="A110" s="18">
        <v>33.6</v>
      </c>
      <c r="B110" s="18">
        <v>8.8900000000000003E-3</v>
      </c>
    </row>
    <row r="111" spans="1:2" x14ac:dyDescent="0.25">
      <c r="A111" s="18">
        <v>33.799999999999997</v>
      </c>
      <c r="B111" s="18">
        <v>8.7500000000000008E-3</v>
      </c>
    </row>
    <row r="112" spans="1:2" x14ac:dyDescent="0.25">
      <c r="A112" s="18">
        <v>34</v>
      </c>
      <c r="B112" s="18">
        <v>8.4899999999999993E-3</v>
      </c>
    </row>
    <row r="113" spans="1:2" x14ac:dyDescent="0.25">
      <c r="A113" s="18">
        <v>34.200000000000003</v>
      </c>
      <c r="B113" s="18">
        <v>8.1399999999999997E-3</v>
      </c>
    </row>
    <row r="114" spans="1:2" x14ac:dyDescent="0.25">
      <c r="A114" s="18">
        <v>34.4</v>
      </c>
      <c r="B114" s="18">
        <v>8.1300000000000001E-3</v>
      </c>
    </row>
    <row r="115" spans="1:2" x14ac:dyDescent="0.25">
      <c r="A115" s="18">
        <v>34.6</v>
      </c>
      <c r="B115" s="18">
        <v>7.7499999999999999E-3</v>
      </c>
    </row>
    <row r="116" spans="1:2" x14ac:dyDescent="0.25">
      <c r="A116" s="18">
        <v>34.799999999999997</v>
      </c>
      <c r="B116" s="18">
        <v>7.5399999999999998E-3</v>
      </c>
    </row>
    <row r="117" spans="1:2" x14ac:dyDescent="0.25">
      <c r="A117" s="18">
        <v>35</v>
      </c>
      <c r="B117" s="18">
        <v>7.1900000000000002E-3</v>
      </c>
    </row>
    <row r="118" spans="1:2" x14ac:dyDescent="0.25">
      <c r="A118" s="18">
        <v>35.200000000000003</v>
      </c>
      <c r="B118" s="18">
        <v>7.0299999999999998E-3</v>
      </c>
    </row>
    <row r="119" spans="1:2" x14ac:dyDescent="0.25">
      <c r="A119" s="18">
        <v>35.4</v>
      </c>
      <c r="B119" s="18">
        <v>6.7299999999999999E-3</v>
      </c>
    </row>
    <row r="120" spans="1:2" x14ac:dyDescent="0.25">
      <c r="A120" s="18">
        <v>35.6</v>
      </c>
      <c r="B120" s="18">
        <v>6.6499999999999997E-3</v>
      </c>
    </row>
    <row r="121" spans="1:2" x14ac:dyDescent="0.25">
      <c r="A121" s="18">
        <v>35.799999999999997</v>
      </c>
      <c r="B121" s="18">
        <v>6.1700000000000001E-3</v>
      </c>
    </row>
    <row r="122" spans="1:2" x14ac:dyDescent="0.25">
      <c r="A122" s="18">
        <v>36</v>
      </c>
      <c r="B122" s="18">
        <v>6.0699999999999999E-3</v>
      </c>
    </row>
    <row r="123" spans="1:2" x14ac:dyDescent="0.25">
      <c r="A123" s="18">
        <v>36.200000000000003</v>
      </c>
      <c r="B123" s="18">
        <v>5.64E-3</v>
      </c>
    </row>
    <row r="124" spans="1:2" x14ac:dyDescent="0.25">
      <c r="A124" s="18">
        <v>36.4</v>
      </c>
      <c r="B124" s="18">
        <v>5.5799999999999999E-3</v>
      </c>
    </row>
    <row r="125" spans="1:2" x14ac:dyDescent="0.25">
      <c r="A125" s="18">
        <v>36.6</v>
      </c>
      <c r="B125" s="18">
        <v>5.1999999999999998E-3</v>
      </c>
    </row>
    <row r="126" spans="1:2" x14ac:dyDescent="0.25">
      <c r="A126" s="18">
        <v>36.799999999999997</v>
      </c>
      <c r="B126" s="18">
        <v>4.9800000000000001E-3</v>
      </c>
    </row>
    <row r="127" spans="1:2" x14ac:dyDescent="0.25">
      <c r="A127" s="18">
        <v>37</v>
      </c>
      <c r="B127" s="18">
        <v>4.7800000000000004E-3</v>
      </c>
    </row>
    <row r="128" spans="1:2" x14ac:dyDescent="0.25">
      <c r="A128" s="18">
        <v>37.200000000000003</v>
      </c>
      <c r="B128" s="18">
        <v>4.5300000000000002E-3</v>
      </c>
    </row>
    <row r="129" spans="1:2" x14ac:dyDescent="0.25">
      <c r="A129" s="18">
        <v>37.4</v>
      </c>
      <c r="B129" s="18">
        <v>4.1399999999999996E-3</v>
      </c>
    </row>
    <row r="130" spans="1:2" x14ac:dyDescent="0.25">
      <c r="A130" s="18">
        <v>37.6</v>
      </c>
      <c r="B130" s="18">
        <v>3.9899999999999996E-3</v>
      </c>
    </row>
    <row r="131" spans="1:2" x14ac:dyDescent="0.25">
      <c r="A131" s="18">
        <v>37.799999999999997</v>
      </c>
      <c r="B131" s="18">
        <v>3.7200000000000002E-3</v>
      </c>
    </row>
    <row r="132" spans="1:2" x14ac:dyDescent="0.25">
      <c r="A132" s="18">
        <v>38</v>
      </c>
      <c r="B132" s="18">
        <v>3.3600000000000001E-3</v>
      </c>
    </row>
    <row r="133" spans="1:2" x14ac:dyDescent="0.25">
      <c r="A133" s="18">
        <v>38.200000000000003</v>
      </c>
      <c r="B133" s="18">
        <v>3.1800000000000001E-3</v>
      </c>
    </row>
    <row r="134" spans="1:2" x14ac:dyDescent="0.25">
      <c r="A134" s="18">
        <v>38.4</v>
      </c>
      <c r="B134" s="18">
        <v>2.9099999999999998E-3</v>
      </c>
    </row>
    <row r="135" spans="1:2" x14ac:dyDescent="0.25">
      <c r="A135" s="18">
        <v>38.6</v>
      </c>
      <c r="B135" s="18">
        <v>2.5600000000000002E-3</v>
      </c>
    </row>
    <row r="136" spans="1:2" x14ac:dyDescent="0.25">
      <c r="A136" s="18">
        <v>38.799999999999997</v>
      </c>
      <c r="B136" s="18">
        <v>2.33E-3</v>
      </c>
    </row>
    <row r="137" spans="1:2" x14ac:dyDescent="0.25">
      <c r="A137" s="18">
        <v>39</v>
      </c>
      <c r="B137" s="18">
        <v>2.0400000000000001E-3</v>
      </c>
    </row>
    <row r="138" spans="1:2" x14ac:dyDescent="0.25">
      <c r="A138" s="18">
        <v>39.200000000000003</v>
      </c>
      <c r="B138" s="18">
        <v>1.6800000000000001E-3</v>
      </c>
    </row>
    <row r="139" spans="1:2" x14ac:dyDescent="0.25">
      <c r="A139" s="18">
        <v>39.4</v>
      </c>
      <c r="B139" s="18">
        <v>1.4300000000000001E-3</v>
      </c>
    </row>
    <row r="140" spans="1:2" x14ac:dyDescent="0.25">
      <c r="A140" s="18">
        <v>39.6</v>
      </c>
      <c r="B140" s="18">
        <v>1.07E-3</v>
      </c>
    </row>
    <row r="141" spans="1:2" x14ac:dyDescent="0.25">
      <c r="A141" s="18">
        <v>39.799999999999997</v>
      </c>
      <c r="B141" s="18">
        <v>6.7500000000000004E-4</v>
      </c>
    </row>
    <row r="142" spans="1:2" x14ac:dyDescent="0.25">
      <c r="A142" s="18">
        <v>40</v>
      </c>
      <c r="B142" s="18">
        <v>2.0599999999999999E-4</v>
      </c>
    </row>
    <row r="143" spans="1:2" x14ac:dyDescent="0.25">
      <c r="A143" s="18">
        <v>40.200000000000003</v>
      </c>
      <c r="B143" s="18">
        <v>2.2699999999999999E-6</v>
      </c>
    </row>
    <row r="144" spans="1:2" x14ac:dyDescent="0.25">
      <c r="A144" s="18">
        <v>40.4</v>
      </c>
      <c r="B144" s="18">
        <v>3.3500000000000001E-6</v>
      </c>
    </row>
    <row r="145" spans="1:2" x14ac:dyDescent="0.25">
      <c r="A145" s="18">
        <v>40.6</v>
      </c>
      <c r="B145" s="18">
        <v>1.88E-6</v>
      </c>
    </row>
    <row r="146" spans="1:2" x14ac:dyDescent="0.25">
      <c r="A146" s="18">
        <v>40.799999999999997</v>
      </c>
      <c r="B146" s="18">
        <v>8.7499999999999999E-7</v>
      </c>
    </row>
    <row r="147" spans="1:2" x14ac:dyDescent="0.25">
      <c r="A147" s="18">
        <v>41</v>
      </c>
      <c r="B147" s="18">
        <v>2.5800000000000001E-7</v>
      </c>
    </row>
    <row r="148" spans="1:2" x14ac:dyDescent="0.25">
      <c r="A148" s="18">
        <v>41.2</v>
      </c>
      <c r="B148" s="18">
        <v>9.879999999999999E-7</v>
      </c>
    </row>
    <row r="149" spans="1:2" x14ac:dyDescent="0.25">
      <c r="A149" s="18">
        <v>41.4</v>
      </c>
      <c r="B149" s="18">
        <v>1.79E-7</v>
      </c>
    </row>
    <row r="150" spans="1:2" x14ac:dyDescent="0.25">
      <c r="A150" s="18">
        <v>41.6</v>
      </c>
      <c r="B150" s="18">
        <v>1.5399999999999999E-8</v>
      </c>
    </row>
    <row r="151" spans="1:2" x14ac:dyDescent="0.25">
      <c r="A151" s="18">
        <v>41.8</v>
      </c>
      <c r="B151" s="18">
        <v>3.6399999999999998E-7</v>
      </c>
    </row>
    <row r="152" spans="1:2" x14ac:dyDescent="0.25">
      <c r="A152" s="18">
        <v>42</v>
      </c>
      <c r="B152" s="18">
        <v>8.4E-7</v>
      </c>
    </row>
  </sheetData>
  <pageMargins left="0.7" right="0.7" top="0.75" bottom="0.75" header="0.3" footer="0.3"/>
  <pageSetup paperSize="9" orientation="portrait" r:id="rId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300-000000000000}">
  <dimension ref="A1:B9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16</v>
      </c>
      <c r="B2" s="18">
        <v>1.37E-4</v>
      </c>
    </row>
    <row r="3" spans="1:2" x14ac:dyDescent="0.25">
      <c r="A3" s="18">
        <v>16.5</v>
      </c>
      <c r="B3" s="18">
        <v>1.95E-4</v>
      </c>
    </row>
    <row r="4" spans="1:2" x14ac:dyDescent="0.25">
      <c r="A4" s="18">
        <v>17</v>
      </c>
      <c r="B4" s="18">
        <v>2.1000000000000001E-4</v>
      </c>
    </row>
    <row r="5" spans="1:2" x14ac:dyDescent="0.25">
      <c r="A5" s="18">
        <v>17.5</v>
      </c>
      <c r="B5" s="18">
        <v>1.2999999999999999E-4</v>
      </c>
    </row>
    <row r="6" spans="1:2" x14ac:dyDescent="0.25">
      <c r="A6" s="18">
        <v>18</v>
      </c>
      <c r="B6" s="18">
        <v>1.4200000000000001E-4</v>
      </c>
    </row>
    <row r="7" spans="1:2" x14ac:dyDescent="0.25">
      <c r="A7" s="18">
        <v>18.5</v>
      </c>
      <c r="B7" s="18">
        <v>6.9800000000000003E-5</v>
      </c>
    </row>
    <row r="8" spans="1:2" x14ac:dyDescent="0.25">
      <c r="A8" s="18">
        <v>19</v>
      </c>
      <c r="B8" s="18">
        <v>7.4599999999999997E-5</v>
      </c>
    </row>
    <row r="9" spans="1:2" x14ac:dyDescent="0.25">
      <c r="A9" s="18">
        <v>19.5</v>
      </c>
      <c r="B9" s="18">
        <v>5.91E-5</v>
      </c>
    </row>
    <row r="10" spans="1:2" x14ac:dyDescent="0.25">
      <c r="A10" s="18">
        <v>20</v>
      </c>
      <c r="B10" s="18">
        <v>1.11E-4</v>
      </c>
    </row>
    <row r="11" spans="1:2" x14ac:dyDescent="0.25">
      <c r="A11" s="18">
        <v>20.5</v>
      </c>
      <c r="B11" s="18">
        <v>2.1999999999999999E-5</v>
      </c>
    </row>
    <row r="12" spans="1:2" x14ac:dyDescent="0.25">
      <c r="A12" s="18">
        <v>21</v>
      </c>
      <c r="B12" s="18">
        <v>6.2000000000000003E-5</v>
      </c>
    </row>
    <row r="13" spans="1:2" x14ac:dyDescent="0.25">
      <c r="A13" s="18">
        <v>21.5</v>
      </c>
      <c r="B13" s="18">
        <v>1.17E-4</v>
      </c>
    </row>
    <row r="14" spans="1:2" x14ac:dyDescent="0.25">
      <c r="A14" s="18">
        <v>22</v>
      </c>
      <c r="B14" s="18">
        <v>1.5799999999999999E-4</v>
      </c>
    </row>
    <row r="15" spans="1:2" x14ac:dyDescent="0.25">
      <c r="A15" s="18">
        <v>22.5</v>
      </c>
      <c r="B15" s="18">
        <v>1.7899999999999999E-4</v>
      </c>
    </row>
    <row r="16" spans="1:2" x14ac:dyDescent="0.25">
      <c r="A16" s="18">
        <v>23</v>
      </c>
      <c r="B16" s="18">
        <v>2.4499999999999999E-4</v>
      </c>
    </row>
    <row r="17" spans="1:2" x14ac:dyDescent="0.25">
      <c r="A17" s="18">
        <v>23.5</v>
      </c>
      <c r="B17" s="18">
        <v>4.3899999999999999E-4</v>
      </c>
    </row>
    <row r="18" spans="1:2" x14ac:dyDescent="0.25">
      <c r="A18" s="18">
        <v>24</v>
      </c>
      <c r="B18" s="18">
        <v>5.5000000000000003E-4</v>
      </c>
    </row>
    <row r="19" spans="1:2" x14ac:dyDescent="0.25">
      <c r="A19" s="18">
        <v>24.5</v>
      </c>
      <c r="B19" s="18">
        <v>7.7800000000000005E-4</v>
      </c>
    </row>
    <row r="20" spans="1:2" x14ac:dyDescent="0.25">
      <c r="A20" s="18">
        <v>25</v>
      </c>
      <c r="B20" s="18">
        <v>1.01E-3</v>
      </c>
    </row>
    <row r="21" spans="1:2" x14ac:dyDescent="0.25">
      <c r="A21" s="18">
        <v>25.5</v>
      </c>
      <c r="B21" s="18">
        <v>1.42E-3</v>
      </c>
    </row>
    <row r="22" spans="1:2" x14ac:dyDescent="0.25">
      <c r="A22" s="18">
        <v>26</v>
      </c>
      <c r="B22" s="18">
        <v>1.81E-3</v>
      </c>
    </row>
    <row r="23" spans="1:2" x14ac:dyDescent="0.25">
      <c r="A23" s="18">
        <v>26.5</v>
      </c>
      <c r="B23" s="18">
        <v>2.32E-3</v>
      </c>
    </row>
    <row r="24" spans="1:2" x14ac:dyDescent="0.25">
      <c r="A24" s="18">
        <v>27</v>
      </c>
      <c r="B24" s="18">
        <v>2.8300000000000001E-3</v>
      </c>
    </row>
    <row r="25" spans="1:2" x14ac:dyDescent="0.25">
      <c r="A25" s="18">
        <v>27.5</v>
      </c>
      <c r="B25" s="18">
        <v>3.4499999999999999E-3</v>
      </c>
    </row>
    <row r="26" spans="1:2" x14ac:dyDescent="0.25">
      <c r="A26" s="18">
        <v>28</v>
      </c>
      <c r="B26" s="18">
        <v>4.2399999999999998E-3</v>
      </c>
    </row>
    <row r="27" spans="1:2" x14ac:dyDescent="0.25">
      <c r="A27" s="18">
        <v>28.5</v>
      </c>
      <c r="B27" s="18">
        <v>4.9300000000000004E-3</v>
      </c>
    </row>
    <row r="28" spans="1:2" x14ac:dyDescent="0.25">
      <c r="A28" s="18">
        <v>29</v>
      </c>
      <c r="B28" s="18">
        <v>5.6800000000000002E-3</v>
      </c>
    </row>
    <row r="29" spans="1:2" x14ac:dyDescent="0.25">
      <c r="A29" s="18">
        <v>29.5</v>
      </c>
      <c r="B29" s="18">
        <v>6.6299999999999996E-3</v>
      </c>
    </row>
    <row r="30" spans="1:2" x14ac:dyDescent="0.25">
      <c r="A30" s="18">
        <v>30</v>
      </c>
      <c r="B30" s="18">
        <v>7.4900000000000001E-3</v>
      </c>
    </row>
    <row r="31" spans="1:2" x14ac:dyDescent="0.25">
      <c r="A31" s="18">
        <v>30.5</v>
      </c>
      <c r="B31" s="18">
        <v>8.5900000000000004E-3</v>
      </c>
    </row>
    <row r="32" spans="1:2" x14ac:dyDescent="0.25">
      <c r="A32" s="18">
        <v>31</v>
      </c>
      <c r="B32" s="18">
        <v>9.4000000000000004E-3</v>
      </c>
    </row>
    <row r="33" spans="1:2" x14ac:dyDescent="0.25">
      <c r="A33" s="18">
        <v>31.5</v>
      </c>
      <c r="B33" s="18">
        <v>1.04E-2</v>
      </c>
    </row>
    <row r="34" spans="1:2" x14ac:dyDescent="0.25">
      <c r="A34" s="18">
        <v>32</v>
      </c>
      <c r="B34" s="18">
        <v>1.17E-2</v>
      </c>
    </row>
    <row r="35" spans="1:2" x14ac:dyDescent="0.25">
      <c r="A35" s="18">
        <v>32.5</v>
      </c>
      <c r="B35" s="18">
        <v>1.2699999999999999E-2</v>
      </c>
    </row>
    <row r="36" spans="1:2" x14ac:dyDescent="0.25">
      <c r="A36" s="18">
        <v>33</v>
      </c>
      <c r="B36" s="18">
        <v>1.3599999999999999E-2</v>
      </c>
    </row>
    <row r="37" spans="1:2" x14ac:dyDescent="0.25">
      <c r="A37" s="18">
        <v>33.5</v>
      </c>
      <c r="B37" s="18">
        <v>1.46E-2</v>
      </c>
    </row>
    <row r="38" spans="1:2" x14ac:dyDescent="0.25">
      <c r="A38" s="18">
        <v>34</v>
      </c>
      <c r="B38" s="18">
        <v>1.54E-2</v>
      </c>
    </row>
    <row r="39" spans="1:2" x14ac:dyDescent="0.25">
      <c r="A39" s="18">
        <v>34.5</v>
      </c>
      <c r="B39" s="18">
        <v>1.6199999999999999E-2</v>
      </c>
    </row>
    <row r="40" spans="1:2" x14ac:dyDescent="0.25">
      <c r="A40" s="18">
        <v>35</v>
      </c>
      <c r="B40" s="18">
        <v>1.7299999999999999E-2</v>
      </c>
    </row>
    <row r="41" spans="1:2" x14ac:dyDescent="0.25">
      <c r="A41" s="18">
        <v>35.5</v>
      </c>
      <c r="B41" s="18">
        <v>1.7899999999999999E-2</v>
      </c>
    </row>
    <row r="42" spans="1:2" x14ac:dyDescent="0.25">
      <c r="A42" s="18">
        <v>36</v>
      </c>
      <c r="B42" s="18">
        <v>1.8700000000000001E-2</v>
      </c>
    </row>
    <row r="43" spans="1:2" x14ac:dyDescent="0.25">
      <c r="A43" s="18">
        <v>36.5</v>
      </c>
      <c r="B43" s="18">
        <v>1.9400000000000001E-2</v>
      </c>
    </row>
    <row r="44" spans="1:2" x14ac:dyDescent="0.25">
      <c r="A44" s="18">
        <v>37</v>
      </c>
      <c r="B44" s="18">
        <v>2.01E-2</v>
      </c>
    </row>
    <row r="45" spans="1:2" x14ac:dyDescent="0.25">
      <c r="A45" s="18">
        <v>37.5</v>
      </c>
      <c r="B45" s="18">
        <v>2.0500000000000001E-2</v>
      </c>
    </row>
    <row r="46" spans="1:2" x14ac:dyDescent="0.25">
      <c r="A46" s="18">
        <v>38</v>
      </c>
      <c r="B46" s="18">
        <v>2.1000000000000001E-2</v>
      </c>
    </row>
    <row r="47" spans="1:2" x14ac:dyDescent="0.25">
      <c r="A47" s="18">
        <v>38.5</v>
      </c>
      <c r="B47" s="18">
        <v>2.1299999999999999E-2</v>
      </c>
    </row>
    <row r="48" spans="1:2" x14ac:dyDescent="0.25">
      <c r="A48" s="18">
        <v>39</v>
      </c>
      <c r="B48" s="18">
        <v>2.1700000000000001E-2</v>
      </c>
    </row>
    <row r="49" spans="1:2" x14ac:dyDescent="0.25">
      <c r="A49" s="18">
        <v>39.5</v>
      </c>
      <c r="B49" s="18">
        <v>2.1999999999999999E-2</v>
      </c>
    </row>
    <row r="50" spans="1:2" x14ac:dyDescent="0.25">
      <c r="A50" s="18">
        <v>40</v>
      </c>
      <c r="B50" s="18">
        <v>2.2100000000000002E-2</v>
      </c>
    </row>
    <row r="51" spans="1:2" x14ac:dyDescent="0.25">
      <c r="A51" s="18">
        <v>40.5</v>
      </c>
      <c r="B51" s="18">
        <v>2.2499999999999999E-2</v>
      </c>
    </row>
    <row r="52" spans="1:2" x14ac:dyDescent="0.25">
      <c r="A52" s="18">
        <v>41</v>
      </c>
      <c r="B52" s="18">
        <v>2.2599999999999999E-2</v>
      </c>
    </row>
    <row r="53" spans="1:2" x14ac:dyDescent="0.25">
      <c r="A53" s="18">
        <v>41.5</v>
      </c>
      <c r="B53" s="18">
        <v>2.2800000000000001E-2</v>
      </c>
    </row>
    <row r="54" spans="1:2" x14ac:dyDescent="0.25">
      <c r="A54" s="18">
        <v>42</v>
      </c>
      <c r="B54" s="18">
        <v>2.2700000000000001E-2</v>
      </c>
    </row>
    <row r="55" spans="1:2" x14ac:dyDescent="0.25">
      <c r="A55" s="18">
        <v>42.5</v>
      </c>
      <c r="B55" s="18">
        <v>2.29E-2</v>
      </c>
    </row>
    <row r="56" spans="1:2" x14ac:dyDescent="0.25">
      <c r="A56" s="18">
        <v>43</v>
      </c>
      <c r="B56" s="18">
        <v>2.2700000000000001E-2</v>
      </c>
    </row>
    <row r="57" spans="1:2" x14ac:dyDescent="0.25">
      <c r="A57" s="18">
        <v>43.5</v>
      </c>
      <c r="B57" s="18">
        <v>2.2800000000000001E-2</v>
      </c>
    </row>
    <row r="58" spans="1:2" x14ac:dyDescent="0.25">
      <c r="A58" s="18">
        <v>44</v>
      </c>
      <c r="B58" s="18">
        <v>2.2499999999999999E-2</v>
      </c>
    </row>
    <row r="59" spans="1:2" x14ac:dyDescent="0.25">
      <c r="A59" s="18">
        <v>44.5</v>
      </c>
      <c r="B59" s="18">
        <v>2.2200000000000001E-2</v>
      </c>
    </row>
    <row r="60" spans="1:2" x14ac:dyDescent="0.25">
      <c r="A60" s="18">
        <v>45</v>
      </c>
      <c r="B60" s="18">
        <v>2.1999999999999999E-2</v>
      </c>
    </row>
    <row r="61" spans="1:2" x14ac:dyDescent="0.25">
      <c r="A61" s="18">
        <v>45.5</v>
      </c>
      <c r="B61" s="18">
        <v>2.18E-2</v>
      </c>
    </row>
    <row r="62" spans="1:2" x14ac:dyDescent="0.25">
      <c r="A62" s="18">
        <v>46</v>
      </c>
      <c r="B62" s="18">
        <v>2.1399999999999999E-2</v>
      </c>
    </row>
    <row r="63" spans="1:2" x14ac:dyDescent="0.25">
      <c r="A63" s="18">
        <v>46.5</v>
      </c>
      <c r="B63" s="18">
        <v>2.1000000000000001E-2</v>
      </c>
    </row>
    <row r="64" spans="1:2" x14ac:dyDescent="0.25">
      <c r="A64" s="18">
        <v>47</v>
      </c>
      <c r="B64" s="18">
        <v>2.06E-2</v>
      </c>
    </row>
    <row r="65" spans="1:2" x14ac:dyDescent="0.25">
      <c r="A65" s="18">
        <v>47.5</v>
      </c>
      <c r="B65" s="18">
        <v>2.01E-2</v>
      </c>
    </row>
    <row r="66" spans="1:2" x14ac:dyDescent="0.25">
      <c r="A66" s="18">
        <v>48</v>
      </c>
      <c r="B66" s="18">
        <v>1.9800000000000002E-2</v>
      </c>
    </row>
    <row r="67" spans="1:2" x14ac:dyDescent="0.25">
      <c r="A67" s="18">
        <v>48.5</v>
      </c>
      <c r="B67" s="18">
        <v>1.9199999999999998E-2</v>
      </c>
    </row>
    <row r="68" spans="1:2" x14ac:dyDescent="0.25">
      <c r="A68" s="18">
        <v>49</v>
      </c>
      <c r="B68" s="18">
        <v>1.8599999999999998E-2</v>
      </c>
    </row>
    <row r="69" spans="1:2" x14ac:dyDescent="0.25">
      <c r="A69" s="18">
        <v>49.5</v>
      </c>
      <c r="B69" s="18">
        <v>1.7999999999999999E-2</v>
      </c>
    </row>
    <row r="70" spans="1:2" x14ac:dyDescent="0.25">
      <c r="A70" s="18">
        <v>50</v>
      </c>
      <c r="B70" s="18">
        <v>1.7299999999999999E-2</v>
      </c>
    </row>
    <row r="71" spans="1:2" x14ac:dyDescent="0.25">
      <c r="A71" s="18">
        <v>50.5</v>
      </c>
      <c r="B71" s="18">
        <v>1.6899999999999998E-2</v>
      </c>
    </row>
    <row r="72" spans="1:2" x14ac:dyDescent="0.25">
      <c r="A72" s="18">
        <v>51</v>
      </c>
      <c r="B72" s="18">
        <v>1.6400000000000001E-2</v>
      </c>
    </row>
    <row r="73" spans="1:2" x14ac:dyDescent="0.25">
      <c r="A73" s="18">
        <v>51.5</v>
      </c>
      <c r="B73" s="18">
        <v>1.5699999999999999E-2</v>
      </c>
    </row>
    <row r="74" spans="1:2" x14ac:dyDescent="0.25">
      <c r="A74" s="18">
        <v>52</v>
      </c>
      <c r="B74" s="18">
        <v>1.5100000000000001E-2</v>
      </c>
    </row>
    <row r="75" spans="1:2" x14ac:dyDescent="0.25">
      <c r="A75" s="18">
        <v>52.5</v>
      </c>
      <c r="B75" s="18">
        <v>1.46E-2</v>
      </c>
    </row>
    <row r="76" spans="1:2" x14ac:dyDescent="0.25">
      <c r="A76" s="18">
        <v>53</v>
      </c>
      <c r="B76" s="18">
        <v>1.38E-2</v>
      </c>
    </row>
    <row r="77" spans="1:2" x14ac:dyDescent="0.25">
      <c r="A77" s="18">
        <v>53.5</v>
      </c>
      <c r="B77" s="18">
        <v>1.3100000000000001E-2</v>
      </c>
    </row>
    <row r="78" spans="1:2" x14ac:dyDescent="0.25">
      <c r="A78" s="18">
        <v>54</v>
      </c>
      <c r="B78" s="18">
        <v>1.23E-2</v>
      </c>
    </row>
    <row r="79" spans="1:2" x14ac:dyDescent="0.25">
      <c r="A79" s="18">
        <v>54.5</v>
      </c>
      <c r="B79" s="18">
        <v>1.1599999999999999E-2</v>
      </c>
    </row>
    <row r="80" spans="1:2" x14ac:dyDescent="0.25">
      <c r="A80" s="18">
        <v>55</v>
      </c>
      <c r="B80" s="18">
        <v>1.0800000000000001E-2</v>
      </c>
    </row>
    <row r="81" spans="1:2" x14ac:dyDescent="0.25">
      <c r="A81" s="18">
        <v>55.5</v>
      </c>
      <c r="B81" s="18">
        <v>9.9600000000000001E-3</v>
      </c>
    </row>
    <row r="82" spans="1:2" x14ac:dyDescent="0.25">
      <c r="A82" s="18">
        <v>56</v>
      </c>
      <c r="B82" s="18">
        <v>9.11E-3</v>
      </c>
    </row>
    <row r="83" spans="1:2" x14ac:dyDescent="0.25">
      <c r="A83" s="18">
        <v>56.5</v>
      </c>
      <c r="B83" s="18">
        <v>8.2299999999999995E-3</v>
      </c>
    </row>
    <row r="84" spans="1:2" x14ac:dyDescent="0.25">
      <c r="A84" s="18">
        <v>57</v>
      </c>
      <c r="B84" s="18">
        <v>7.3099999999999997E-3</v>
      </c>
    </row>
    <row r="85" spans="1:2" x14ac:dyDescent="0.25">
      <c r="A85" s="18">
        <v>57.5</v>
      </c>
      <c r="B85" s="18">
        <v>6.3899999999999998E-3</v>
      </c>
    </row>
    <row r="86" spans="1:2" x14ac:dyDescent="0.25">
      <c r="A86" s="18">
        <v>58</v>
      </c>
      <c r="B86" s="18">
        <v>5.4099999999999999E-3</v>
      </c>
    </row>
    <row r="87" spans="1:2" x14ac:dyDescent="0.25">
      <c r="A87" s="18">
        <v>58.5</v>
      </c>
      <c r="B87" s="18">
        <v>4.3499999999999997E-3</v>
      </c>
    </row>
    <row r="88" spans="1:2" x14ac:dyDescent="0.25">
      <c r="A88" s="18">
        <v>59</v>
      </c>
      <c r="B88" s="18">
        <v>3.15E-3</v>
      </c>
    </row>
    <row r="89" spans="1:2" x14ac:dyDescent="0.25">
      <c r="A89" s="18">
        <v>59.5</v>
      </c>
      <c r="B89" s="18">
        <v>1.8699999999999999E-3</v>
      </c>
    </row>
    <row r="90" spans="1:2" x14ac:dyDescent="0.25">
      <c r="A90" s="18">
        <v>60</v>
      </c>
      <c r="B90" s="18">
        <v>4.5399999999999998E-4</v>
      </c>
    </row>
    <row r="91" spans="1:2" x14ac:dyDescent="0.25">
      <c r="A91" s="18">
        <v>60.5</v>
      </c>
      <c r="B91" s="18">
        <v>1.75E-6</v>
      </c>
    </row>
    <row r="92" spans="1:2" x14ac:dyDescent="0.25">
      <c r="A92" s="18">
        <v>61</v>
      </c>
      <c r="B92" s="18">
        <v>2.05E-7</v>
      </c>
    </row>
    <row r="93" spans="1:2" x14ac:dyDescent="0.25">
      <c r="A93" s="18">
        <v>61.5</v>
      </c>
      <c r="B93" s="18">
        <v>1.81E-6</v>
      </c>
    </row>
    <row r="94" spans="1:2" x14ac:dyDescent="0.25">
      <c r="A94" s="18">
        <v>62</v>
      </c>
      <c r="B94" s="18">
        <v>3.1800000000000002E-7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400-000000000000}">
  <dimension ref="A1:B12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20</v>
      </c>
      <c r="B2" s="18">
        <v>5.1999999999999997E-5</v>
      </c>
    </row>
    <row r="3" spans="1:2" x14ac:dyDescent="0.25">
      <c r="A3" s="18">
        <v>20.5</v>
      </c>
      <c r="B3" s="18">
        <v>6.4599999999999998E-5</v>
      </c>
    </row>
    <row r="4" spans="1:2" x14ac:dyDescent="0.25">
      <c r="A4" s="18">
        <v>21</v>
      </c>
      <c r="B4" s="18">
        <v>4.8099999999999997E-5</v>
      </c>
    </row>
    <row r="5" spans="1:2" x14ac:dyDescent="0.25">
      <c r="A5" s="18">
        <v>21.5</v>
      </c>
      <c r="B5" s="18">
        <v>3.1000000000000001E-5</v>
      </c>
    </row>
    <row r="6" spans="1:2" x14ac:dyDescent="0.25">
      <c r="A6" s="18">
        <v>22</v>
      </c>
      <c r="B6" s="18">
        <v>6.1299999999999999E-5</v>
      </c>
    </row>
    <row r="7" spans="1:2" x14ac:dyDescent="0.25">
      <c r="A7" s="18">
        <v>22.5</v>
      </c>
      <c r="B7" s="18">
        <v>5.7099999999999999E-5</v>
      </c>
    </row>
    <row r="8" spans="1:2" x14ac:dyDescent="0.25">
      <c r="A8" s="18">
        <v>23</v>
      </c>
      <c r="B8" s="18">
        <v>3.93E-5</v>
      </c>
    </row>
    <row r="9" spans="1:2" x14ac:dyDescent="0.25">
      <c r="A9" s="18">
        <v>23.5</v>
      </c>
      <c r="B9" s="18">
        <v>6.5699999999999998E-5</v>
      </c>
    </row>
    <row r="10" spans="1:2" x14ac:dyDescent="0.25">
      <c r="A10" s="18">
        <v>24</v>
      </c>
      <c r="B10" s="18">
        <v>2.5899999999999999E-5</v>
      </c>
    </row>
    <row r="11" spans="1:2" x14ac:dyDescent="0.25">
      <c r="A11" s="18">
        <v>24.5</v>
      </c>
      <c r="B11" s="18">
        <v>6.1500000000000004E-5</v>
      </c>
    </row>
    <row r="12" spans="1:2" x14ac:dyDescent="0.25">
      <c r="A12" s="18">
        <v>25</v>
      </c>
      <c r="B12" s="18">
        <v>7.7700000000000005E-5</v>
      </c>
    </row>
    <row r="13" spans="1:2" x14ac:dyDescent="0.25">
      <c r="A13" s="18">
        <v>25.5</v>
      </c>
      <c r="B13" s="18">
        <v>9.9400000000000004E-5</v>
      </c>
    </row>
    <row r="14" spans="1:2" x14ac:dyDescent="0.25">
      <c r="A14" s="18">
        <v>26</v>
      </c>
      <c r="B14" s="18">
        <v>1.2999999999999999E-4</v>
      </c>
    </row>
    <row r="15" spans="1:2" x14ac:dyDescent="0.25">
      <c r="A15" s="18">
        <v>26.5</v>
      </c>
      <c r="B15" s="18">
        <v>1.37E-4</v>
      </c>
    </row>
    <row r="16" spans="1:2" x14ac:dyDescent="0.25">
      <c r="A16" s="18">
        <v>27</v>
      </c>
      <c r="B16" s="18">
        <v>1.7699999999999999E-4</v>
      </c>
    </row>
    <row r="17" spans="1:2" x14ac:dyDescent="0.25">
      <c r="A17" s="18">
        <v>27.5</v>
      </c>
      <c r="B17" s="18">
        <v>2.5000000000000001E-4</v>
      </c>
    </row>
    <row r="18" spans="1:2" x14ac:dyDescent="0.25">
      <c r="A18" s="18">
        <v>28</v>
      </c>
      <c r="B18" s="18">
        <v>3.6400000000000001E-4</v>
      </c>
    </row>
    <row r="19" spans="1:2" x14ac:dyDescent="0.25">
      <c r="A19" s="18">
        <v>28.5</v>
      </c>
      <c r="B19" s="18">
        <v>4.3100000000000001E-4</v>
      </c>
    </row>
    <row r="20" spans="1:2" x14ac:dyDescent="0.25">
      <c r="A20" s="18">
        <v>29</v>
      </c>
      <c r="B20" s="18">
        <v>5.71E-4</v>
      </c>
    </row>
    <row r="21" spans="1:2" x14ac:dyDescent="0.25">
      <c r="A21" s="18">
        <v>29.5</v>
      </c>
      <c r="B21" s="18">
        <v>7.2300000000000001E-4</v>
      </c>
    </row>
    <row r="22" spans="1:2" x14ac:dyDescent="0.25">
      <c r="A22" s="18">
        <v>30</v>
      </c>
      <c r="B22" s="18">
        <v>9.4499999999999998E-4</v>
      </c>
    </row>
    <row r="23" spans="1:2" x14ac:dyDescent="0.25">
      <c r="A23" s="18">
        <v>30.5</v>
      </c>
      <c r="B23" s="18">
        <v>1.14E-3</v>
      </c>
    </row>
    <row r="24" spans="1:2" x14ac:dyDescent="0.25">
      <c r="A24" s="18">
        <v>31</v>
      </c>
      <c r="B24" s="18">
        <v>1.34E-3</v>
      </c>
    </row>
    <row r="25" spans="1:2" x14ac:dyDescent="0.25">
      <c r="A25" s="18">
        <v>31.5</v>
      </c>
      <c r="B25" s="18">
        <v>1.67E-3</v>
      </c>
    </row>
    <row r="26" spans="1:2" x14ac:dyDescent="0.25">
      <c r="A26" s="18">
        <v>32</v>
      </c>
      <c r="B26" s="18">
        <v>1.9E-3</v>
      </c>
    </row>
    <row r="27" spans="1:2" x14ac:dyDescent="0.25">
      <c r="A27" s="18">
        <v>32.5</v>
      </c>
      <c r="B27" s="18">
        <v>2.2799999999999999E-3</v>
      </c>
    </row>
    <row r="28" spans="1:2" x14ac:dyDescent="0.25">
      <c r="A28" s="18">
        <v>33</v>
      </c>
      <c r="B28" s="18">
        <v>2.5999999999999999E-3</v>
      </c>
    </row>
    <row r="29" spans="1:2" x14ac:dyDescent="0.25">
      <c r="A29" s="18">
        <v>33.5</v>
      </c>
      <c r="B29" s="18">
        <v>3.0599999999999998E-3</v>
      </c>
    </row>
    <row r="30" spans="1:2" x14ac:dyDescent="0.25">
      <c r="A30" s="18">
        <v>34</v>
      </c>
      <c r="B30" s="18">
        <v>3.4499999999999999E-3</v>
      </c>
    </row>
    <row r="31" spans="1:2" x14ac:dyDescent="0.25">
      <c r="A31" s="18">
        <v>34.5</v>
      </c>
      <c r="B31" s="18">
        <v>3.8999999999999998E-3</v>
      </c>
    </row>
    <row r="32" spans="1:2" x14ac:dyDescent="0.25">
      <c r="A32" s="18">
        <v>35</v>
      </c>
      <c r="B32" s="18">
        <v>4.3800000000000002E-3</v>
      </c>
    </row>
    <row r="33" spans="1:2" x14ac:dyDescent="0.25">
      <c r="A33" s="18">
        <v>35.5</v>
      </c>
      <c r="B33" s="18">
        <v>4.8399999999999997E-3</v>
      </c>
    </row>
    <row r="34" spans="1:2" x14ac:dyDescent="0.25">
      <c r="A34" s="18">
        <v>36</v>
      </c>
      <c r="B34" s="18">
        <v>5.3299999999999997E-3</v>
      </c>
    </row>
    <row r="35" spans="1:2" x14ac:dyDescent="0.25">
      <c r="A35" s="18">
        <v>36.5</v>
      </c>
      <c r="B35" s="18">
        <v>5.79E-3</v>
      </c>
    </row>
    <row r="36" spans="1:2" x14ac:dyDescent="0.25">
      <c r="A36" s="18">
        <v>37</v>
      </c>
      <c r="B36" s="18">
        <v>6.1500000000000001E-3</v>
      </c>
    </row>
    <row r="37" spans="1:2" x14ac:dyDescent="0.25">
      <c r="A37" s="18">
        <v>37.5</v>
      </c>
      <c r="B37" s="18">
        <v>6.6600000000000001E-3</v>
      </c>
    </row>
    <row r="38" spans="1:2" x14ac:dyDescent="0.25">
      <c r="A38" s="18">
        <v>38</v>
      </c>
      <c r="B38" s="18">
        <v>7.1999999999999998E-3</v>
      </c>
    </row>
    <row r="39" spans="1:2" x14ac:dyDescent="0.25">
      <c r="A39" s="18">
        <v>38.5</v>
      </c>
      <c r="B39" s="18">
        <v>7.6899999999999998E-3</v>
      </c>
    </row>
    <row r="40" spans="1:2" x14ac:dyDescent="0.25">
      <c r="A40" s="18">
        <v>39</v>
      </c>
      <c r="B40" s="18">
        <v>8.26E-3</v>
      </c>
    </row>
    <row r="41" spans="1:2" x14ac:dyDescent="0.25">
      <c r="A41" s="18">
        <v>39.5</v>
      </c>
      <c r="B41" s="18">
        <v>8.6099999999999996E-3</v>
      </c>
    </row>
    <row r="42" spans="1:2" x14ac:dyDescent="0.25">
      <c r="A42" s="18">
        <v>40</v>
      </c>
      <c r="B42" s="18">
        <v>8.9499999999999996E-3</v>
      </c>
    </row>
    <row r="43" spans="1:2" x14ac:dyDescent="0.25">
      <c r="A43" s="18">
        <v>40.5</v>
      </c>
      <c r="B43" s="18">
        <v>9.5200000000000007E-3</v>
      </c>
    </row>
    <row r="44" spans="1:2" x14ac:dyDescent="0.25">
      <c r="A44" s="18">
        <v>41</v>
      </c>
      <c r="B44" s="18">
        <v>9.8899999999999995E-3</v>
      </c>
    </row>
    <row r="45" spans="1:2" x14ac:dyDescent="0.25">
      <c r="A45" s="18">
        <v>41.5</v>
      </c>
      <c r="B45" s="18">
        <v>1.04E-2</v>
      </c>
    </row>
    <row r="46" spans="1:2" x14ac:dyDescent="0.25">
      <c r="A46" s="18">
        <v>42</v>
      </c>
      <c r="B46" s="18">
        <v>1.0800000000000001E-2</v>
      </c>
    </row>
    <row r="47" spans="1:2" x14ac:dyDescent="0.25">
      <c r="A47" s="18">
        <v>42.5</v>
      </c>
      <c r="B47" s="18">
        <v>1.1299999999999999E-2</v>
      </c>
    </row>
    <row r="48" spans="1:2" x14ac:dyDescent="0.25">
      <c r="A48" s="18">
        <v>43</v>
      </c>
      <c r="B48" s="18">
        <v>1.1599999999999999E-2</v>
      </c>
    </row>
    <row r="49" spans="1:2" x14ac:dyDescent="0.25">
      <c r="A49" s="18">
        <v>43.5</v>
      </c>
      <c r="B49" s="18">
        <v>1.1900000000000001E-2</v>
      </c>
    </row>
    <row r="50" spans="1:2" x14ac:dyDescent="0.25">
      <c r="A50" s="18">
        <v>44</v>
      </c>
      <c r="B50" s="18">
        <v>1.23E-2</v>
      </c>
    </row>
    <row r="51" spans="1:2" x14ac:dyDescent="0.25">
      <c r="A51" s="18">
        <v>44.5</v>
      </c>
      <c r="B51" s="18">
        <v>1.26E-2</v>
      </c>
    </row>
    <row r="52" spans="1:2" x14ac:dyDescent="0.25">
      <c r="A52" s="18">
        <v>45</v>
      </c>
      <c r="B52" s="18">
        <v>1.29E-2</v>
      </c>
    </row>
    <row r="53" spans="1:2" x14ac:dyDescent="0.25">
      <c r="A53" s="18">
        <v>45.5</v>
      </c>
      <c r="B53" s="18">
        <v>1.32E-2</v>
      </c>
    </row>
    <row r="54" spans="1:2" x14ac:dyDescent="0.25">
      <c r="A54" s="18">
        <v>46</v>
      </c>
      <c r="B54" s="18">
        <v>1.34E-2</v>
      </c>
    </row>
    <row r="55" spans="1:2" x14ac:dyDescent="0.25">
      <c r="A55" s="18">
        <v>46.5</v>
      </c>
      <c r="B55" s="18">
        <v>1.3599999999999999E-2</v>
      </c>
    </row>
    <row r="56" spans="1:2" x14ac:dyDescent="0.25">
      <c r="A56" s="18">
        <v>47</v>
      </c>
      <c r="B56" s="18">
        <v>1.37E-2</v>
      </c>
    </row>
    <row r="57" spans="1:2" x14ac:dyDescent="0.25">
      <c r="A57" s="18">
        <v>47.5</v>
      </c>
      <c r="B57" s="18">
        <v>1.3899999999999999E-2</v>
      </c>
    </row>
    <row r="58" spans="1:2" x14ac:dyDescent="0.25">
      <c r="A58" s="18">
        <v>48</v>
      </c>
      <c r="B58" s="18">
        <v>1.4200000000000001E-2</v>
      </c>
    </row>
    <row r="59" spans="1:2" x14ac:dyDescent="0.25">
      <c r="A59" s="18">
        <v>48.5</v>
      </c>
      <c r="B59" s="18">
        <v>1.4200000000000001E-2</v>
      </c>
    </row>
    <row r="60" spans="1:2" x14ac:dyDescent="0.25">
      <c r="A60" s="18">
        <v>49</v>
      </c>
      <c r="B60" s="18">
        <v>1.4200000000000001E-2</v>
      </c>
    </row>
    <row r="61" spans="1:2" x14ac:dyDescent="0.25">
      <c r="A61" s="18">
        <v>49.5</v>
      </c>
      <c r="B61" s="18">
        <v>1.44E-2</v>
      </c>
    </row>
    <row r="62" spans="1:2" x14ac:dyDescent="0.25">
      <c r="A62" s="18">
        <v>50</v>
      </c>
      <c r="B62" s="18">
        <v>1.43E-2</v>
      </c>
    </row>
    <row r="63" spans="1:2" x14ac:dyDescent="0.25">
      <c r="A63" s="18">
        <v>50.5</v>
      </c>
      <c r="B63" s="18">
        <v>1.4500000000000001E-2</v>
      </c>
    </row>
    <row r="64" spans="1:2" x14ac:dyDescent="0.25">
      <c r="A64" s="18">
        <v>51</v>
      </c>
      <c r="B64" s="18">
        <v>1.47E-2</v>
      </c>
    </row>
    <row r="65" spans="1:2" x14ac:dyDescent="0.25">
      <c r="A65" s="18">
        <v>51.5</v>
      </c>
      <c r="B65" s="18">
        <v>1.47E-2</v>
      </c>
    </row>
    <row r="66" spans="1:2" x14ac:dyDescent="0.25">
      <c r="A66" s="18">
        <v>52</v>
      </c>
      <c r="B66" s="18">
        <v>1.4800000000000001E-2</v>
      </c>
    </row>
    <row r="67" spans="1:2" x14ac:dyDescent="0.25">
      <c r="A67" s="18">
        <v>52.5</v>
      </c>
      <c r="B67" s="18">
        <v>1.47E-2</v>
      </c>
    </row>
    <row r="68" spans="1:2" x14ac:dyDescent="0.25">
      <c r="A68" s="18">
        <v>53</v>
      </c>
      <c r="B68" s="18">
        <v>1.4800000000000001E-2</v>
      </c>
    </row>
    <row r="69" spans="1:2" x14ac:dyDescent="0.25">
      <c r="A69" s="18">
        <v>53.5</v>
      </c>
      <c r="B69" s="18">
        <v>1.4800000000000001E-2</v>
      </c>
    </row>
    <row r="70" spans="1:2" x14ac:dyDescent="0.25">
      <c r="A70" s="18">
        <v>54</v>
      </c>
      <c r="B70" s="18">
        <v>1.4800000000000001E-2</v>
      </c>
    </row>
    <row r="71" spans="1:2" x14ac:dyDescent="0.25">
      <c r="A71" s="18">
        <v>54.5</v>
      </c>
      <c r="B71" s="18">
        <v>1.47E-2</v>
      </c>
    </row>
    <row r="72" spans="1:2" x14ac:dyDescent="0.25">
      <c r="A72" s="18">
        <v>55</v>
      </c>
      <c r="B72" s="18">
        <v>1.47E-2</v>
      </c>
    </row>
    <row r="73" spans="1:2" x14ac:dyDescent="0.25">
      <c r="A73" s="18">
        <v>55.5</v>
      </c>
      <c r="B73" s="18">
        <v>1.46E-2</v>
      </c>
    </row>
    <row r="74" spans="1:2" x14ac:dyDescent="0.25">
      <c r="A74" s="18">
        <v>56</v>
      </c>
      <c r="B74" s="18">
        <v>1.4500000000000001E-2</v>
      </c>
    </row>
    <row r="75" spans="1:2" x14ac:dyDescent="0.25">
      <c r="A75" s="18">
        <v>56.5</v>
      </c>
      <c r="B75" s="18">
        <v>1.44E-2</v>
      </c>
    </row>
    <row r="76" spans="1:2" x14ac:dyDescent="0.25">
      <c r="A76" s="18">
        <v>57</v>
      </c>
      <c r="B76" s="18">
        <v>1.44E-2</v>
      </c>
    </row>
    <row r="77" spans="1:2" x14ac:dyDescent="0.25">
      <c r="A77" s="18">
        <v>57.5</v>
      </c>
      <c r="B77" s="18">
        <v>1.54E-2</v>
      </c>
    </row>
    <row r="78" spans="1:2" x14ac:dyDescent="0.25">
      <c r="A78" s="18">
        <v>58</v>
      </c>
      <c r="B78" s="18">
        <v>2.23E-2</v>
      </c>
    </row>
    <row r="79" spans="1:2" x14ac:dyDescent="0.25">
      <c r="A79" s="18">
        <v>58.5</v>
      </c>
      <c r="B79" s="18">
        <v>1.47E-2</v>
      </c>
    </row>
    <row r="80" spans="1:2" x14ac:dyDescent="0.25">
      <c r="A80" s="18">
        <v>59</v>
      </c>
      <c r="B80" s="18">
        <v>2.07E-2</v>
      </c>
    </row>
    <row r="81" spans="1:2" x14ac:dyDescent="0.25">
      <c r="A81" s="18">
        <v>59.5</v>
      </c>
      <c r="B81" s="18">
        <v>2.52E-2</v>
      </c>
    </row>
    <row r="82" spans="1:2" x14ac:dyDescent="0.25">
      <c r="A82" s="18">
        <v>60</v>
      </c>
      <c r="B82" s="18">
        <v>1.35E-2</v>
      </c>
    </row>
    <row r="83" spans="1:2" x14ac:dyDescent="0.25">
      <c r="A83" s="18">
        <v>60.5</v>
      </c>
      <c r="B83" s="18">
        <v>1.32E-2</v>
      </c>
    </row>
    <row r="84" spans="1:2" x14ac:dyDescent="0.25">
      <c r="A84" s="18">
        <v>61</v>
      </c>
      <c r="B84" s="18">
        <v>1.3100000000000001E-2</v>
      </c>
    </row>
    <row r="85" spans="1:2" x14ac:dyDescent="0.25">
      <c r="A85" s="18">
        <v>61.5</v>
      </c>
      <c r="B85" s="18">
        <v>1.29E-2</v>
      </c>
    </row>
    <row r="86" spans="1:2" x14ac:dyDescent="0.25">
      <c r="A86" s="18">
        <v>62</v>
      </c>
      <c r="B86" s="18">
        <v>1.2800000000000001E-2</v>
      </c>
    </row>
    <row r="87" spans="1:2" x14ac:dyDescent="0.25">
      <c r="A87" s="18">
        <v>62.5</v>
      </c>
      <c r="B87" s="18">
        <v>1.26E-2</v>
      </c>
    </row>
    <row r="88" spans="1:2" x14ac:dyDescent="0.25">
      <c r="A88" s="18">
        <v>63</v>
      </c>
      <c r="B88" s="18">
        <v>1.23E-2</v>
      </c>
    </row>
    <row r="89" spans="1:2" x14ac:dyDescent="0.25">
      <c r="A89" s="18">
        <v>63.5</v>
      </c>
      <c r="B89" s="18">
        <v>1.23E-2</v>
      </c>
    </row>
    <row r="90" spans="1:2" x14ac:dyDescent="0.25">
      <c r="A90" s="18">
        <v>64</v>
      </c>
      <c r="B90" s="18">
        <v>1.21E-2</v>
      </c>
    </row>
    <row r="91" spans="1:2" x14ac:dyDescent="0.25">
      <c r="A91" s="18">
        <v>64.5</v>
      </c>
      <c r="B91" s="18">
        <v>1.1900000000000001E-2</v>
      </c>
    </row>
    <row r="92" spans="1:2" x14ac:dyDescent="0.25">
      <c r="A92" s="18">
        <v>65</v>
      </c>
      <c r="B92" s="18">
        <v>1.1599999999999999E-2</v>
      </c>
    </row>
    <row r="93" spans="1:2" x14ac:dyDescent="0.25">
      <c r="A93" s="18">
        <v>65.5</v>
      </c>
      <c r="B93" s="18">
        <v>1.14E-2</v>
      </c>
    </row>
    <row r="94" spans="1:2" x14ac:dyDescent="0.25">
      <c r="A94" s="18">
        <v>66</v>
      </c>
      <c r="B94" s="18">
        <v>1.11E-2</v>
      </c>
    </row>
    <row r="95" spans="1:2" x14ac:dyDescent="0.25">
      <c r="A95" s="18">
        <v>66.5</v>
      </c>
      <c r="B95" s="18">
        <v>1.15E-2</v>
      </c>
    </row>
    <row r="96" spans="1:2" x14ac:dyDescent="0.25">
      <c r="A96" s="18">
        <v>67</v>
      </c>
      <c r="B96" s="18">
        <v>1.5900000000000001E-2</v>
      </c>
    </row>
    <row r="97" spans="1:2" x14ac:dyDescent="0.25">
      <c r="A97" s="18">
        <v>67.5</v>
      </c>
      <c r="B97" s="18">
        <v>1.32E-2</v>
      </c>
    </row>
    <row r="98" spans="1:2" x14ac:dyDescent="0.25">
      <c r="A98" s="18">
        <v>68</v>
      </c>
      <c r="B98" s="18">
        <v>1.01E-2</v>
      </c>
    </row>
    <row r="99" spans="1:2" x14ac:dyDescent="0.25">
      <c r="A99" s="18">
        <v>68.5</v>
      </c>
      <c r="B99" s="18">
        <v>9.8700000000000003E-3</v>
      </c>
    </row>
    <row r="100" spans="1:2" x14ac:dyDescent="0.25">
      <c r="A100" s="18">
        <v>69</v>
      </c>
      <c r="B100" s="18">
        <v>1.12E-2</v>
      </c>
    </row>
    <row r="101" spans="1:2" x14ac:dyDescent="0.25">
      <c r="A101" s="18">
        <v>69.5</v>
      </c>
      <c r="B101" s="18">
        <v>9.6100000000000005E-3</v>
      </c>
    </row>
    <row r="102" spans="1:2" x14ac:dyDescent="0.25">
      <c r="A102" s="18">
        <v>70</v>
      </c>
      <c r="B102" s="18">
        <v>8.4399999999999996E-3</v>
      </c>
    </row>
    <row r="103" spans="1:2" x14ac:dyDescent="0.25">
      <c r="A103" s="18">
        <v>70.5</v>
      </c>
      <c r="B103" s="18">
        <v>8.1799999999999998E-3</v>
      </c>
    </row>
    <row r="104" spans="1:2" x14ac:dyDescent="0.25">
      <c r="A104" s="18">
        <v>71</v>
      </c>
      <c r="B104" s="18">
        <v>8.0099999999999998E-3</v>
      </c>
    </row>
    <row r="105" spans="1:2" x14ac:dyDescent="0.25">
      <c r="A105" s="18">
        <v>71.5</v>
      </c>
      <c r="B105" s="18">
        <v>7.5799999999999999E-3</v>
      </c>
    </row>
    <row r="106" spans="1:2" x14ac:dyDescent="0.25">
      <c r="A106" s="18">
        <v>72</v>
      </c>
      <c r="B106" s="18">
        <v>7.2700000000000004E-3</v>
      </c>
    </row>
    <row r="107" spans="1:2" x14ac:dyDescent="0.25">
      <c r="A107" s="18">
        <v>72.5</v>
      </c>
      <c r="B107" s="18">
        <v>6.9499999999999996E-3</v>
      </c>
    </row>
    <row r="108" spans="1:2" x14ac:dyDescent="0.25">
      <c r="A108" s="18">
        <v>73</v>
      </c>
      <c r="B108" s="18">
        <v>6.6299999999999996E-3</v>
      </c>
    </row>
    <row r="109" spans="1:2" x14ac:dyDescent="0.25">
      <c r="A109" s="18">
        <v>73.5</v>
      </c>
      <c r="B109" s="18">
        <v>6.2500000000000003E-3</v>
      </c>
    </row>
    <row r="110" spans="1:2" x14ac:dyDescent="0.25">
      <c r="A110" s="18">
        <v>74</v>
      </c>
      <c r="B110" s="18">
        <v>5.9300000000000004E-3</v>
      </c>
    </row>
    <row r="111" spans="1:2" x14ac:dyDescent="0.25">
      <c r="A111" s="18">
        <v>74.5</v>
      </c>
      <c r="B111" s="18">
        <v>5.5399999999999998E-3</v>
      </c>
    </row>
    <row r="112" spans="1:2" x14ac:dyDescent="0.25">
      <c r="A112" s="18">
        <v>75</v>
      </c>
      <c r="B112" s="18">
        <v>5.13E-3</v>
      </c>
    </row>
    <row r="113" spans="1:2" x14ac:dyDescent="0.25">
      <c r="A113" s="18">
        <v>75.5</v>
      </c>
      <c r="B113" s="18">
        <v>4.7999999999999996E-3</v>
      </c>
    </row>
    <row r="114" spans="1:2" x14ac:dyDescent="0.25">
      <c r="A114" s="18">
        <v>76</v>
      </c>
      <c r="B114" s="18">
        <v>4.3299999999999996E-3</v>
      </c>
    </row>
    <row r="115" spans="1:2" x14ac:dyDescent="0.25">
      <c r="A115" s="18">
        <v>76.5</v>
      </c>
      <c r="B115" s="18">
        <v>3.9199999999999999E-3</v>
      </c>
    </row>
    <row r="116" spans="1:2" x14ac:dyDescent="0.25">
      <c r="A116" s="18">
        <v>77</v>
      </c>
      <c r="B116" s="18">
        <v>3.48E-3</v>
      </c>
    </row>
    <row r="117" spans="1:2" x14ac:dyDescent="0.25">
      <c r="A117" s="18">
        <v>77.5</v>
      </c>
      <c r="B117" s="18">
        <v>2.99E-3</v>
      </c>
    </row>
    <row r="118" spans="1:2" x14ac:dyDescent="0.25">
      <c r="A118" s="18">
        <v>78</v>
      </c>
      <c r="B118" s="18">
        <v>2.5500000000000002E-3</v>
      </c>
    </row>
    <row r="119" spans="1:2" x14ac:dyDescent="0.25">
      <c r="A119" s="18">
        <v>78.5</v>
      </c>
      <c r="B119" s="18">
        <v>2E-3</v>
      </c>
    </row>
    <row r="120" spans="1:2" x14ac:dyDescent="0.25">
      <c r="A120" s="18">
        <v>79</v>
      </c>
      <c r="B120" s="18">
        <v>1.47E-3</v>
      </c>
    </row>
    <row r="121" spans="1:2" x14ac:dyDescent="0.25">
      <c r="A121" s="18">
        <v>79.5</v>
      </c>
      <c r="B121" s="18">
        <v>8.52E-4</v>
      </c>
    </row>
    <row r="122" spans="1:2" x14ac:dyDescent="0.25">
      <c r="A122" s="18">
        <v>80</v>
      </c>
      <c r="B122" s="18">
        <v>1.9599999999999999E-4</v>
      </c>
    </row>
    <row r="123" spans="1:2" x14ac:dyDescent="0.25">
      <c r="A123" s="18">
        <v>80.5</v>
      </c>
      <c r="B123" s="18">
        <v>8.9700000000000005E-7</v>
      </c>
    </row>
    <row r="124" spans="1:2" x14ac:dyDescent="0.25">
      <c r="A124" s="18">
        <v>81</v>
      </c>
      <c r="B124" s="18">
        <v>2.8100000000000002E-6</v>
      </c>
    </row>
    <row r="125" spans="1:2" x14ac:dyDescent="0.25">
      <c r="A125" s="18">
        <v>81.5</v>
      </c>
      <c r="B125" s="18">
        <v>1.8199999999999999E-6</v>
      </c>
    </row>
    <row r="126" spans="1:2" x14ac:dyDescent="0.25">
      <c r="A126" s="18">
        <v>82</v>
      </c>
      <c r="B126" s="18">
        <v>1.2300000000000001E-6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500-000000000000}">
  <dimension ref="A1:B166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30</v>
      </c>
      <c r="B2" s="18">
        <v>5.66E-6</v>
      </c>
    </row>
    <row r="3" spans="1:2" x14ac:dyDescent="0.25">
      <c r="A3" s="18">
        <v>30.5</v>
      </c>
      <c r="B3" s="18">
        <v>5.2299999999999997E-5</v>
      </c>
    </row>
    <row r="4" spans="1:2" x14ac:dyDescent="0.25">
      <c r="A4" s="18">
        <v>31</v>
      </c>
      <c r="B4" s="18">
        <v>2.0400000000000001E-5</v>
      </c>
    </row>
    <row r="5" spans="1:2" x14ac:dyDescent="0.25">
      <c r="A5" s="18">
        <v>31.5</v>
      </c>
      <c r="B5" s="18">
        <v>3.8800000000000001E-5</v>
      </c>
    </row>
    <row r="6" spans="1:2" x14ac:dyDescent="0.25">
      <c r="A6" s="18">
        <v>32</v>
      </c>
      <c r="B6" s="18">
        <v>3.3500000000000001E-5</v>
      </c>
    </row>
    <row r="7" spans="1:2" x14ac:dyDescent="0.25">
      <c r="A7" s="18">
        <v>32.5</v>
      </c>
      <c r="B7" s="18">
        <v>2.4899999999999999E-5</v>
      </c>
    </row>
    <row r="8" spans="1:2" x14ac:dyDescent="0.25">
      <c r="A8" s="18">
        <v>33</v>
      </c>
      <c r="B8" s="18">
        <v>7.3200000000000002E-6</v>
      </c>
    </row>
    <row r="9" spans="1:2" x14ac:dyDescent="0.25">
      <c r="A9" s="18">
        <v>33.5</v>
      </c>
      <c r="B9" s="18">
        <v>2.51E-5</v>
      </c>
    </row>
    <row r="10" spans="1:2" x14ac:dyDescent="0.25">
      <c r="A10" s="18">
        <v>34</v>
      </c>
      <c r="B10" s="18">
        <v>2.12E-5</v>
      </c>
    </row>
    <row r="11" spans="1:2" x14ac:dyDescent="0.25">
      <c r="A11" s="18">
        <v>34.5</v>
      </c>
      <c r="B11" s="18">
        <v>1.7799999999999999E-5</v>
      </c>
    </row>
    <row r="12" spans="1:2" x14ac:dyDescent="0.25">
      <c r="A12" s="18">
        <v>35</v>
      </c>
      <c r="B12" s="18">
        <v>2.7399999999999999E-5</v>
      </c>
    </row>
    <row r="13" spans="1:2" x14ac:dyDescent="0.25">
      <c r="A13" s="18">
        <v>35.5</v>
      </c>
      <c r="B13" s="18">
        <v>1.7799999999999999E-5</v>
      </c>
    </row>
    <row r="14" spans="1:2" x14ac:dyDescent="0.25">
      <c r="A14" s="18">
        <v>36</v>
      </c>
      <c r="B14" s="18">
        <v>1.8499999999999999E-5</v>
      </c>
    </row>
    <row r="15" spans="1:2" x14ac:dyDescent="0.25">
      <c r="A15" s="18">
        <v>36.5</v>
      </c>
      <c r="B15" s="18">
        <v>2.0599999999999999E-5</v>
      </c>
    </row>
    <row r="16" spans="1:2" x14ac:dyDescent="0.25">
      <c r="A16" s="18">
        <v>37</v>
      </c>
      <c r="B16" s="18">
        <v>1.8199999999999999E-5</v>
      </c>
    </row>
    <row r="17" spans="1:2" x14ac:dyDescent="0.25">
      <c r="A17" s="18">
        <v>37.5</v>
      </c>
      <c r="B17" s="18">
        <v>1.5699999999999999E-5</v>
      </c>
    </row>
    <row r="18" spans="1:2" x14ac:dyDescent="0.25">
      <c r="A18" s="18">
        <v>38</v>
      </c>
      <c r="B18" s="18">
        <v>1.8300000000000001E-5</v>
      </c>
    </row>
    <row r="19" spans="1:2" x14ac:dyDescent="0.25">
      <c r="A19" s="18">
        <v>38.5</v>
      </c>
      <c r="B19" s="18">
        <v>2.0299999999999999E-5</v>
      </c>
    </row>
    <row r="20" spans="1:2" x14ac:dyDescent="0.25">
      <c r="A20" s="18">
        <v>39</v>
      </c>
      <c r="B20" s="18">
        <v>1.9599999999999999E-5</v>
      </c>
    </row>
    <row r="21" spans="1:2" x14ac:dyDescent="0.25">
      <c r="A21" s="18">
        <v>39.5</v>
      </c>
      <c r="B21" s="18">
        <v>3.2100000000000001E-5</v>
      </c>
    </row>
    <row r="22" spans="1:2" x14ac:dyDescent="0.25">
      <c r="A22" s="18">
        <v>40</v>
      </c>
      <c r="B22" s="18">
        <v>4.2299999999999998E-5</v>
      </c>
    </row>
    <row r="23" spans="1:2" x14ac:dyDescent="0.25">
      <c r="A23" s="18">
        <v>40.5</v>
      </c>
      <c r="B23" s="18">
        <v>4.32E-5</v>
      </c>
    </row>
    <row r="24" spans="1:2" x14ac:dyDescent="0.25">
      <c r="A24" s="18">
        <v>41</v>
      </c>
      <c r="B24" s="18">
        <v>5.2299999999999997E-5</v>
      </c>
    </row>
    <row r="25" spans="1:2" x14ac:dyDescent="0.25">
      <c r="A25" s="18">
        <v>41.5</v>
      </c>
      <c r="B25" s="18">
        <v>7.7999999999999999E-5</v>
      </c>
    </row>
    <row r="26" spans="1:2" x14ac:dyDescent="0.25">
      <c r="A26" s="18">
        <v>42</v>
      </c>
      <c r="B26" s="18">
        <v>9.9500000000000006E-5</v>
      </c>
    </row>
    <row r="27" spans="1:2" x14ac:dyDescent="0.25">
      <c r="A27" s="18">
        <v>42.5</v>
      </c>
      <c r="B27" s="18">
        <v>1.1900000000000001E-4</v>
      </c>
    </row>
    <row r="28" spans="1:2" x14ac:dyDescent="0.25">
      <c r="A28" s="18">
        <v>43</v>
      </c>
      <c r="B28" s="18">
        <v>1.4999999999999999E-4</v>
      </c>
    </row>
    <row r="29" spans="1:2" x14ac:dyDescent="0.25">
      <c r="A29" s="18">
        <v>43.5</v>
      </c>
      <c r="B29" s="18">
        <v>1.63E-4</v>
      </c>
    </row>
    <row r="30" spans="1:2" x14ac:dyDescent="0.25">
      <c r="A30" s="18">
        <v>44</v>
      </c>
      <c r="B30" s="18">
        <v>2.0699999999999999E-4</v>
      </c>
    </row>
    <row r="31" spans="1:2" x14ac:dyDescent="0.25">
      <c r="A31" s="18">
        <v>44.5</v>
      </c>
      <c r="B31" s="18">
        <v>2.3699999999999999E-4</v>
      </c>
    </row>
    <row r="32" spans="1:2" x14ac:dyDescent="0.25">
      <c r="A32" s="18">
        <v>45</v>
      </c>
      <c r="B32" s="18">
        <v>2.9E-4</v>
      </c>
    </row>
    <row r="33" spans="1:2" x14ac:dyDescent="0.25">
      <c r="A33" s="18">
        <v>45.5</v>
      </c>
      <c r="B33" s="18">
        <v>3.2400000000000001E-4</v>
      </c>
    </row>
    <row r="34" spans="1:2" x14ac:dyDescent="0.25">
      <c r="A34" s="18">
        <v>46</v>
      </c>
      <c r="B34" s="18">
        <v>4.1800000000000002E-4</v>
      </c>
    </row>
    <row r="35" spans="1:2" x14ac:dyDescent="0.25">
      <c r="A35" s="18">
        <v>46.5</v>
      </c>
      <c r="B35" s="18">
        <v>4.8799999999999999E-4</v>
      </c>
    </row>
    <row r="36" spans="1:2" x14ac:dyDescent="0.25">
      <c r="A36" s="18">
        <v>47</v>
      </c>
      <c r="B36" s="18">
        <v>5.6300000000000002E-4</v>
      </c>
    </row>
    <row r="37" spans="1:2" x14ac:dyDescent="0.25">
      <c r="A37" s="18">
        <v>47.5</v>
      </c>
      <c r="B37" s="18">
        <v>6.0400000000000004E-4</v>
      </c>
    </row>
    <row r="38" spans="1:2" x14ac:dyDescent="0.25">
      <c r="A38" s="18">
        <v>48</v>
      </c>
      <c r="B38" s="18">
        <v>7.1100000000000004E-4</v>
      </c>
    </row>
    <row r="39" spans="1:2" x14ac:dyDescent="0.25">
      <c r="A39" s="18">
        <v>48.5</v>
      </c>
      <c r="B39" s="18">
        <v>8.43E-4</v>
      </c>
    </row>
    <row r="40" spans="1:2" x14ac:dyDescent="0.25">
      <c r="A40" s="18">
        <v>49</v>
      </c>
      <c r="B40" s="18">
        <v>9.2900000000000003E-4</v>
      </c>
    </row>
    <row r="41" spans="1:2" x14ac:dyDescent="0.25">
      <c r="A41" s="18">
        <v>49.5</v>
      </c>
      <c r="B41" s="18">
        <v>1.08E-3</v>
      </c>
    </row>
    <row r="42" spans="1:2" x14ac:dyDescent="0.25">
      <c r="A42" s="18">
        <v>50</v>
      </c>
      <c r="B42" s="18">
        <v>1.14E-3</v>
      </c>
    </row>
    <row r="43" spans="1:2" x14ac:dyDescent="0.25">
      <c r="A43" s="18">
        <v>50.5</v>
      </c>
      <c r="B43" s="18">
        <v>1.2600000000000001E-3</v>
      </c>
    </row>
    <row r="44" spans="1:2" x14ac:dyDescent="0.25">
      <c r="A44" s="18">
        <v>51</v>
      </c>
      <c r="B44" s="18">
        <v>1.42E-3</v>
      </c>
    </row>
    <row r="45" spans="1:2" x14ac:dyDescent="0.25">
      <c r="A45" s="18">
        <v>51.5</v>
      </c>
      <c r="B45" s="18">
        <v>1.57E-3</v>
      </c>
    </row>
    <row r="46" spans="1:2" x14ac:dyDescent="0.25">
      <c r="A46" s="18">
        <v>52</v>
      </c>
      <c r="B46" s="18">
        <v>1.6800000000000001E-3</v>
      </c>
    </row>
    <row r="47" spans="1:2" x14ac:dyDescent="0.25">
      <c r="A47" s="18">
        <v>52.5</v>
      </c>
      <c r="B47" s="18">
        <v>1.9300000000000001E-3</v>
      </c>
    </row>
    <row r="48" spans="1:2" x14ac:dyDescent="0.25">
      <c r="A48" s="18">
        <v>53</v>
      </c>
      <c r="B48" s="18">
        <v>2.0400000000000001E-3</v>
      </c>
    </row>
    <row r="49" spans="1:2" x14ac:dyDescent="0.25">
      <c r="A49" s="18">
        <v>53.5</v>
      </c>
      <c r="B49" s="18">
        <v>2.2100000000000002E-3</v>
      </c>
    </row>
    <row r="50" spans="1:2" x14ac:dyDescent="0.25">
      <c r="A50" s="18">
        <v>54</v>
      </c>
      <c r="B50" s="18">
        <v>2.3800000000000002E-3</v>
      </c>
    </row>
    <row r="51" spans="1:2" x14ac:dyDescent="0.25">
      <c r="A51" s="18">
        <v>54.5</v>
      </c>
      <c r="B51" s="18">
        <v>2.5999999999999999E-3</v>
      </c>
    </row>
    <row r="52" spans="1:2" x14ac:dyDescent="0.25">
      <c r="A52" s="18">
        <v>55</v>
      </c>
      <c r="B52" s="18">
        <v>2.81E-3</v>
      </c>
    </row>
    <row r="53" spans="1:2" x14ac:dyDescent="0.25">
      <c r="A53" s="18">
        <v>55.5</v>
      </c>
      <c r="B53" s="18">
        <v>2.96E-3</v>
      </c>
    </row>
    <row r="54" spans="1:2" x14ac:dyDescent="0.25">
      <c r="A54" s="18">
        <v>56</v>
      </c>
      <c r="B54" s="18">
        <v>3.2100000000000002E-3</v>
      </c>
    </row>
    <row r="55" spans="1:2" x14ac:dyDescent="0.25">
      <c r="A55" s="18">
        <v>56.5</v>
      </c>
      <c r="B55" s="18">
        <v>3.4199999999999999E-3</v>
      </c>
    </row>
    <row r="56" spans="1:2" x14ac:dyDescent="0.25">
      <c r="A56" s="18">
        <v>57</v>
      </c>
      <c r="B56" s="18">
        <v>3.7100000000000002E-3</v>
      </c>
    </row>
    <row r="57" spans="1:2" x14ac:dyDescent="0.25">
      <c r="A57" s="18">
        <v>57.5</v>
      </c>
      <c r="B57" s="18">
        <v>5.45E-3</v>
      </c>
    </row>
    <row r="58" spans="1:2" x14ac:dyDescent="0.25">
      <c r="A58" s="18">
        <v>58</v>
      </c>
      <c r="B58" s="18">
        <v>1.47E-2</v>
      </c>
    </row>
    <row r="59" spans="1:2" x14ac:dyDescent="0.25">
      <c r="A59" s="18">
        <v>58.5</v>
      </c>
      <c r="B59" s="18">
        <v>5.28E-3</v>
      </c>
    </row>
    <row r="60" spans="1:2" x14ac:dyDescent="0.25">
      <c r="A60" s="18">
        <v>59</v>
      </c>
      <c r="B60" s="18">
        <v>1.4999999999999999E-2</v>
      </c>
    </row>
    <row r="61" spans="1:2" x14ac:dyDescent="0.25">
      <c r="A61" s="18">
        <v>59.5</v>
      </c>
      <c r="B61" s="18">
        <v>2.1399999999999999E-2</v>
      </c>
    </row>
    <row r="62" spans="1:2" x14ac:dyDescent="0.25">
      <c r="A62" s="18">
        <v>60</v>
      </c>
      <c r="B62" s="18">
        <v>5.1999999999999998E-3</v>
      </c>
    </row>
    <row r="63" spans="1:2" x14ac:dyDescent="0.25">
      <c r="A63" s="18">
        <v>60.5</v>
      </c>
      <c r="B63" s="18">
        <v>5.1900000000000002E-3</v>
      </c>
    </row>
    <row r="64" spans="1:2" x14ac:dyDescent="0.25">
      <c r="A64" s="18">
        <v>61</v>
      </c>
      <c r="B64" s="18">
        <v>5.4799999999999996E-3</v>
      </c>
    </row>
    <row r="65" spans="1:2" x14ac:dyDescent="0.25">
      <c r="A65" s="18">
        <v>61.5</v>
      </c>
      <c r="B65" s="18">
        <v>5.6600000000000001E-3</v>
      </c>
    </row>
    <row r="66" spans="1:2" x14ac:dyDescent="0.25">
      <c r="A66" s="18">
        <v>62</v>
      </c>
      <c r="B66" s="18">
        <v>5.8100000000000001E-3</v>
      </c>
    </row>
    <row r="67" spans="1:2" x14ac:dyDescent="0.25">
      <c r="A67" s="18">
        <v>62.5</v>
      </c>
      <c r="B67" s="18">
        <v>6.1599999999999997E-3</v>
      </c>
    </row>
    <row r="68" spans="1:2" x14ac:dyDescent="0.25">
      <c r="A68" s="18">
        <v>63</v>
      </c>
      <c r="B68" s="18">
        <v>6.3699999999999998E-3</v>
      </c>
    </row>
    <row r="69" spans="1:2" x14ac:dyDescent="0.25">
      <c r="A69" s="18">
        <v>63.5</v>
      </c>
      <c r="B69" s="18">
        <v>6.7099999999999998E-3</v>
      </c>
    </row>
    <row r="70" spans="1:2" x14ac:dyDescent="0.25">
      <c r="A70" s="18">
        <v>64</v>
      </c>
      <c r="B70" s="18">
        <v>6.8900000000000003E-3</v>
      </c>
    </row>
    <row r="71" spans="1:2" x14ac:dyDescent="0.25">
      <c r="A71" s="18">
        <v>64.5</v>
      </c>
      <c r="B71" s="18">
        <v>7.2300000000000003E-3</v>
      </c>
    </row>
    <row r="72" spans="1:2" x14ac:dyDescent="0.25">
      <c r="A72" s="18">
        <v>65</v>
      </c>
      <c r="B72" s="18">
        <v>7.3899999999999999E-3</v>
      </c>
    </row>
    <row r="73" spans="1:2" x14ac:dyDescent="0.25">
      <c r="A73" s="18">
        <v>65.5</v>
      </c>
      <c r="B73" s="18">
        <v>7.6499999999999997E-3</v>
      </c>
    </row>
    <row r="74" spans="1:2" x14ac:dyDescent="0.25">
      <c r="A74" s="18">
        <v>66</v>
      </c>
      <c r="B74" s="18">
        <v>7.9799999999999992E-3</v>
      </c>
    </row>
    <row r="75" spans="1:2" x14ac:dyDescent="0.25">
      <c r="A75" s="18">
        <v>66.5</v>
      </c>
      <c r="B75" s="18">
        <v>9.5600000000000008E-3</v>
      </c>
    </row>
    <row r="76" spans="1:2" x14ac:dyDescent="0.25">
      <c r="A76" s="18">
        <v>67</v>
      </c>
      <c r="B76" s="18">
        <v>2.2499999999999999E-2</v>
      </c>
    </row>
    <row r="77" spans="1:2" x14ac:dyDescent="0.25">
      <c r="A77" s="18">
        <v>67.5</v>
      </c>
      <c r="B77" s="18">
        <v>1.61E-2</v>
      </c>
    </row>
    <row r="78" spans="1:2" x14ac:dyDescent="0.25">
      <c r="A78" s="18">
        <v>68</v>
      </c>
      <c r="B78" s="18">
        <v>9.0200000000000002E-3</v>
      </c>
    </row>
    <row r="79" spans="1:2" x14ac:dyDescent="0.25">
      <c r="A79" s="18">
        <v>68.5</v>
      </c>
      <c r="B79" s="18">
        <v>9.3799999999999994E-3</v>
      </c>
    </row>
    <row r="80" spans="1:2" x14ac:dyDescent="0.25">
      <c r="A80" s="18">
        <v>69</v>
      </c>
      <c r="B80" s="18">
        <v>1.4200000000000001E-2</v>
      </c>
    </row>
    <row r="81" spans="1:2" x14ac:dyDescent="0.25">
      <c r="A81" s="18">
        <v>69.5</v>
      </c>
      <c r="B81" s="18">
        <v>1.06E-2</v>
      </c>
    </row>
    <row r="82" spans="1:2" x14ac:dyDescent="0.25">
      <c r="A82" s="18">
        <v>70</v>
      </c>
      <c r="B82" s="18">
        <v>8.6599999999999993E-3</v>
      </c>
    </row>
    <row r="83" spans="1:2" x14ac:dyDescent="0.25">
      <c r="A83" s="18">
        <v>70.5</v>
      </c>
      <c r="B83" s="18">
        <v>8.7799999999999996E-3</v>
      </c>
    </row>
    <row r="84" spans="1:2" x14ac:dyDescent="0.25">
      <c r="A84" s="18">
        <v>71</v>
      </c>
      <c r="B84" s="18">
        <v>9.0100000000000006E-3</v>
      </c>
    </row>
    <row r="85" spans="1:2" x14ac:dyDescent="0.25">
      <c r="A85" s="18">
        <v>71.5</v>
      </c>
      <c r="B85" s="18">
        <v>9.2200000000000008E-3</v>
      </c>
    </row>
    <row r="86" spans="1:2" x14ac:dyDescent="0.25">
      <c r="A86" s="18">
        <v>72</v>
      </c>
      <c r="B86" s="18">
        <v>9.4500000000000001E-3</v>
      </c>
    </row>
    <row r="87" spans="1:2" x14ac:dyDescent="0.25">
      <c r="A87" s="18">
        <v>72.5</v>
      </c>
      <c r="B87" s="18">
        <v>9.4800000000000006E-3</v>
      </c>
    </row>
    <row r="88" spans="1:2" x14ac:dyDescent="0.25">
      <c r="A88" s="18">
        <v>73</v>
      </c>
      <c r="B88" s="18">
        <v>9.7999999999999997E-3</v>
      </c>
    </row>
    <row r="89" spans="1:2" x14ac:dyDescent="0.25">
      <c r="A89" s="18">
        <v>73.5</v>
      </c>
      <c r="B89" s="18">
        <v>9.9299999999999996E-3</v>
      </c>
    </row>
    <row r="90" spans="1:2" x14ac:dyDescent="0.25">
      <c r="A90" s="18">
        <v>74</v>
      </c>
      <c r="B90" s="18">
        <v>0.01</v>
      </c>
    </row>
    <row r="91" spans="1:2" x14ac:dyDescent="0.25">
      <c r="A91" s="18">
        <v>74.5</v>
      </c>
      <c r="B91" s="18">
        <v>1.01E-2</v>
      </c>
    </row>
    <row r="92" spans="1:2" x14ac:dyDescent="0.25">
      <c r="A92" s="18">
        <v>75</v>
      </c>
      <c r="B92" s="18">
        <v>1.03E-2</v>
      </c>
    </row>
    <row r="93" spans="1:2" x14ac:dyDescent="0.25">
      <c r="A93" s="18">
        <v>75.5</v>
      </c>
      <c r="B93" s="18">
        <v>1.0500000000000001E-2</v>
      </c>
    </row>
    <row r="94" spans="1:2" x14ac:dyDescent="0.25">
      <c r="A94" s="18">
        <v>76</v>
      </c>
      <c r="B94" s="18">
        <v>1.0500000000000001E-2</v>
      </c>
    </row>
    <row r="95" spans="1:2" x14ac:dyDescent="0.25">
      <c r="A95" s="18">
        <v>76.5</v>
      </c>
      <c r="B95" s="18">
        <v>1.06E-2</v>
      </c>
    </row>
    <row r="96" spans="1:2" x14ac:dyDescent="0.25">
      <c r="A96" s="18">
        <v>77</v>
      </c>
      <c r="B96" s="18">
        <v>1.0800000000000001E-2</v>
      </c>
    </row>
    <row r="97" spans="1:2" x14ac:dyDescent="0.25">
      <c r="A97" s="18">
        <v>77.5</v>
      </c>
      <c r="B97" s="18">
        <v>1.09E-2</v>
      </c>
    </row>
    <row r="98" spans="1:2" x14ac:dyDescent="0.25">
      <c r="A98" s="18">
        <v>78</v>
      </c>
      <c r="B98" s="18">
        <v>1.0800000000000001E-2</v>
      </c>
    </row>
    <row r="99" spans="1:2" x14ac:dyDescent="0.25">
      <c r="A99" s="18">
        <v>78.5</v>
      </c>
      <c r="B99" s="18">
        <v>1.09E-2</v>
      </c>
    </row>
    <row r="100" spans="1:2" x14ac:dyDescent="0.25">
      <c r="A100" s="18">
        <v>79</v>
      </c>
      <c r="B100" s="18">
        <v>1.0999999999999999E-2</v>
      </c>
    </row>
    <row r="101" spans="1:2" x14ac:dyDescent="0.25">
      <c r="A101" s="18">
        <v>79.5</v>
      </c>
      <c r="B101" s="18">
        <v>1.11E-2</v>
      </c>
    </row>
    <row r="102" spans="1:2" x14ac:dyDescent="0.25">
      <c r="A102" s="18">
        <v>80</v>
      </c>
      <c r="B102" s="18">
        <v>1.12E-2</v>
      </c>
    </row>
    <row r="103" spans="1:2" x14ac:dyDescent="0.25">
      <c r="A103" s="18">
        <v>80.5</v>
      </c>
      <c r="B103" s="18">
        <v>1.11E-2</v>
      </c>
    </row>
    <row r="104" spans="1:2" x14ac:dyDescent="0.25">
      <c r="A104" s="18">
        <v>81</v>
      </c>
      <c r="B104" s="18">
        <v>1.1299999999999999E-2</v>
      </c>
    </row>
    <row r="105" spans="1:2" x14ac:dyDescent="0.25">
      <c r="A105" s="18">
        <v>81.5</v>
      </c>
      <c r="B105" s="18">
        <v>1.14E-2</v>
      </c>
    </row>
    <row r="106" spans="1:2" x14ac:dyDescent="0.25">
      <c r="A106" s="18">
        <v>82</v>
      </c>
      <c r="B106" s="18">
        <v>1.15E-2</v>
      </c>
    </row>
    <row r="107" spans="1:2" x14ac:dyDescent="0.25">
      <c r="A107" s="18">
        <v>82.5</v>
      </c>
      <c r="B107" s="18">
        <v>1.15E-2</v>
      </c>
    </row>
    <row r="108" spans="1:2" x14ac:dyDescent="0.25">
      <c r="A108" s="18">
        <v>83</v>
      </c>
      <c r="B108" s="18">
        <v>1.15E-2</v>
      </c>
    </row>
    <row r="109" spans="1:2" x14ac:dyDescent="0.25">
      <c r="A109" s="18">
        <v>83.5</v>
      </c>
      <c r="B109" s="18">
        <v>1.1599999999999999E-2</v>
      </c>
    </row>
    <row r="110" spans="1:2" x14ac:dyDescent="0.25">
      <c r="A110" s="18">
        <v>84</v>
      </c>
      <c r="B110" s="18">
        <v>1.17E-2</v>
      </c>
    </row>
    <row r="111" spans="1:2" x14ac:dyDescent="0.25">
      <c r="A111" s="18">
        <v>84.5</v>
      </c>
      <c r="B111" s="18">
        <v>1.15E-2</v>
      </c>
    </row>
    <row r="112" spans="1:2" x14ac:dyDescent="0.25">
      <c r="A112" s="18">
        <v>85</v>
      </c>
      <c r="B112" s="18">
        <v>1.17E-2</v>
      </c>
    </row>
    <row r="113" spans="1:2" x14ac:dyDescent="0.25">
      <c r="A113" s="18">
        <v>85.5</v>
      </c>
      <c r="B113" s="18">
        <v>1.15E-2</v>
      </c>
    </row>
    <row r="114" spans="1:2" x14ac:dyDescent="0.25">
      <c r="A114" s="18">
        <v>86</v>
      </c>
      <c r="B114" s="18">
        <v>1.1599999999999999E-2</v>
      </c>
    </row>
    <row r="115" spans="1:2" x14ac:dyDescent="0.25">
      <c r="A115" s="18">
        <v>86.5</v>
      </c>
      <c r="B115" s="18">
        <v>1.1599999999999999E-2</v>
      </c>
    </row>
    <row r="116" spans="1:2" x14ac:dyDescent="0.25">
      <c r="A116" s="18">
        <v>87</v>
      </c>
      <c r="B116" s="18">
        <v>1.17E-2</v>
      </c>
    </row>
    <row r="117" spans="1:2" x14ac:dyDescent="0.25">
      <c r="A117" s="18">
        <v>87.5</v>
      </c>
      <c r="B117" s="18">
        <v>1.15E-2</v>
      </c>
    </row>
    <row r="118" spans="1:2" x14ac:dyDescent="0.25">
      <c r="A118" s="18">
        <v>88</v>
      </c>
      <c r="B118" s="18">
        <v>1.15E-2</v>
      </c>
    </row>
    <row r="119" spans="1:2" x14ac:dyDescent="0.25">
      <c r="A119" s="18">
        <v>88.5</v>
      </c>
      <c r="B119" s="18">
        <v>1.1299999999999999E-2</v>
      </c>
    </row>
    <row r="120" spans="1:2" x14ac:dyDescent="0.25">
      <c r="A120" s="18">
        <v>89</v>
      </c>
      <c r="B120" s="18">
        <v>1.12E-2</v>
      </c>
    </row>
    <row r="121" spans="1:2" x14ac:dyDescent="0.25">
      <c r="A121" s="18">
        <v>89.5</v>
      </c>
      <c r="B121" s="18">
        <v>1.11E-2</v>
      </c>
    </row>
    <row r="122" spans="1:2" x14ac:dyDescent="0.25">
      <c r="A122" s="18">
        <v>90</v>
      </c>
      <c r="B122" s="18">
        <v>1.0999999999999999E-2</v>
      </c>
    </row>
    <row r="123" spans="1:2" x14ac:dyDescent="0.25">
      <c r="A123" s="18">
        <v>90.5</v>
      </c>
      <c r="B123" s="18">
        <v>1.09E-2</v>
      </c>
    </row>
    <row r="124" spans="1:2" x14ac:dyDescent="0.25">
      <c r="A124" s="18">
        <v>91</v>
      </c>
      <c r="B124" s="18">
        <v>1.09E-2</v>
      </c>
    </row>
    <row r="125" spans="1:2" x14ac:dyDescent="0.25">
      <c r="A125" s="18">
        <v>91.5</v>
      </c>
      <c r="B125" s="18">
        <v>1.09E-2</v>
      </c>
    </row>
    <row r="126" spans="1:2" x14ac:dyDescent="0.25">
      <c r="A126" s="18">
        <v>92</v>
      </c>
      <c r="B126" s="18">
        <v>1.0699999999999999E-2</v>
      </c>
    </row>
    <row r="127" spans="1:2" x14ac:dyDescent="0.25">
      <c r="A127" s="18">
        <v>92.5</v>
      </c>
      <c r="B127" s="18">
        <v>1.0500000000000001E-2</v>
      </c>
    </row>
    <row r="128" spans="1:2" x14ac:dyDescent="0.25">
      <c r="A128" s="18">
        <v>93</v>
      </c>
      <c r="B128" s="18">
        <v>1.04E-2</v>
      </c>
    </row>
    <row r="129" spans="1:2" x14ac:dyDescent="0.25">
      <c r="A129" s="18">
        <v>93.5</v>
      </c>
      <c r="B129" s="18">
        <v>1.03E-2</v>
      </c>
    </row>
    <row r="130" spans="1:2" x14ac:dyDescent="0.25">
      <c r="A130" s="18">
        <v>94</v>
      </c>
      <c r="B130" s="18">
        <v>1.01E-2</v>
      </c>
    </row>
    <row r="131" spans="1:2" x14ac:dyDescent="0.25">
      <c r="A131" s="18">
        <v>94.5</v>
      </c>
      <c r="B131" s="18">
        <v>9.9100000000000004E-3</v>
      </c>
    </row>
    <row r="132" spans="1:2" x14ac:dyDescent="0.25">
      <c r="A132" s="18">
        <v>95</v>
      </c>
      <c r="B132" s="18">
        <v>9.8300000000000002E-3</v>
      </c>
    </row>
    <row r="133" spans="1:2" x14ac:dyDescent="0.25">
      <c r="A133" s="18">
        <v>95.5</v>
      </c>
      <c r="B133" s="18">
        <v>9.6200000000000001E-3</v>
      </c>
    </row>
    <row r="134" spans="1:2" x14ac:dyDescent="0.25">
      <c r="A134" s="18">
        <v>96</v>
      </c>
      <c r="B134" s="18">
        <v>9.4500000000000001E-3</v>
      </c>
    </row>
    <row r="135" spans="1:2" x14ac:dyDescent="0.25">
      <c r="A135" s="18">
        <v>96.5</v>
      </c>
      <c r="B135" s="18">
        <v>9.3200000000000002E-3</v>
      </c>
    </row>
    <row r="136" spans="1:2" x14ac:dyDescent="0.25">
      <c r="A136" s="18">
        <v>97</v>
      </c>
      <c r="B136" s="18">
        <v>9.0900000000000009E-3</v>
      </c>
    </row>
    <row r="137" spans="1:2" x14ac:dyDescent="0.25">
      <c r="A137" s="18">
        <v>97.5</v>
      </c>
      <c r="B137" s="18">
        <v>8.94E-3</v>
      </c>
    </row>
    <row r="138" spans="1:2" x14ac:dyDescent="0.25">
      <c r="A138" s="18">
        <v>98</v>
      </c>
      <c r="B138" s="18">
        <v>8.5800000000000008E-3</v>
      </c>
    </row>
    <row r="139" spans="1:2" x14ac:dyDescent="0.25">
      <c r="A139" s="18">
        <v>98.5</v>
      </c>
      <c r="B139" s="18">
        <v>8.4399999999999996E-3</v>
      </c>
    </row>
    <row r="140" spans="1:2" x14ac:dyDescent="0.25">
      <c r="A140" s="18">
        <v>99</v>
      </c>
      <c r="B140" s="18">
        <v>8.3599999999999994E-3</v>
      </c>
    </row>
    <row r="141" spans="1:2" x14ac:dyDescent="0.25">
      <c r="A141" s="18">
        <v>99.5</v>
      </c>
      <c r="B141" s="18">
        <v>8.0099999999999998E-3</v>
      </c>
    </row>
    <row r="142" spans="1:2" x14ac:dyDescent="0.25">
      <c r="A142" s="18">
        <v>100</v>
      </c>
      <c r="B142" s="18">
        <v>7.8200000000000006E-3</v>
      </c>
    </row>
    <row r="143" spans="1:2" x14ac:dyDescent="0.25">
      <c r="A143" s="18">
        <v>101</v>
      </c>
      <c r="B143" s="18">
        <v>7.5500000000000003E-3</v>
      </c>
    </row>
    <row r="144" spans="1:2" x14ac:dyDescent="0.25">
      <c r="A144" s="18">
        <v>101</v>
      </c>
      <c r="B144" s="18">
        <v>7.2399999999999999E-3</v>
      </c>
    </row>
    <row r="145" spans="1:2" x14ac:dyDescent="0.25">
      <c r="A145" s="18">
        <v>102</v>
      </c>
      <c r="B145" s="18">
        <v>7.0200000000000002E-3</v>
      </c>
    </row>
    <row r="146" spans="1:2" x14ac:dyDescent="0.25">
      <c r="A146" s="18">
        <v>102</v>
      </c>
      <c r="B146" s="18">
        <v>6.77E-3</v>
      </c>
    </row>
    <row r="147" spans="1:2" x14ac:dyDescent="0.25">
      <c r="A147" s="18">
        <v>103</v>
      </c>
      <c r="B147" s="18">
        <v>6.4099999999999999E-3</v>
      </c>
    </row>
    <row r="148" spans="1:2" x14ac:dyDescent="0.25">
      <c r="A148" s="18">
        <v>103</v>
      </c>
      <c r="B148" s="18">
        <v>6.0600000000000003E-3</v>
      </c>
    </row>
    <row r="149" spans="1:2" x14ac:dyDescent="0.25">
      <c r="A149" s="18">
        <v>104</v>
      </c>
      <c r="B149" s="18">
        <v>5.7400000000000003E-3</v>
      </c>
    </row>
    <row r="150" spans="1:2" x14ac:dyDescent="0.25">
      <c r="A150" s="18">
        <v>104</v>
      </c>
      <c r="B150" s="18">
        <v>5.47E-3</v>
      </c>
    </row>
    <row r="151" spans="1:2" x14ac:dyDescent="0.25">
      <c r="A151" s="18">
        <v>105</v>
      </c>
      <c r="B151" s="18">
        <v>5.1599999999999997E-3</v>
      </c>
    </row>
    <row r="152" spans="1:2" x14ac:dyDescent="0.25">
      <c r="A152" s="18">
        <v>105</v>
      </c>
      <c r="B152" s="18">
        <v>4.7600000000000003E-3</v>
      </c>
    </row>
    <row r="153" spans="1:2" x14ac:dyDescent="0.25">
      <c r="A153" s="18">
        <v>106</v>
      </c>
      <c r="B153" s="18">
        <v>4.45E-3</v>
      </c>
    </row>
    <row r="154" spans="1:2" x14ac:dyDescent="0.25">
      <c r="A154" s="18">
        <v>106</v>
      </c>
      <c r="B154" s="18">
        <v>4.0400000000000002E-3</v>
      </c>
    </row>
    <row r="155" spans="1:2" x14ac:dyDescent="0.25">
      <c r="A155" s="18">
        <v>107</v>
      </c>
      <c r="B155" s="18">
        <v>3.6099999999999999E-3</v>
      </c>
    </row>
    <row r="156" spans="1:2" x14ac:dyDescent="0.25">
      <c r="A156" s="18">
        <v>107</v>
      </c>
      <c r="B156" s="18">
        <v>3.2599999999999999E-3</v>
      </c>
    </row>
    <row r="157" spans="1:2" x14ac:dyDescent="0.25">
      <c r="A157" s="18">
        <v>108</v>
      </c>
      <c r="B157" s="18">
        <v>2.8E-3</v>
      </c>
    </row>
    <row r="158" spans="1:2" x14ac:dyDescent="0.25">
      <c r="A158" s="18">
        <v>108</v>
      </c>
      <c r="B158" s="18">
        <v>2.3400000000000001E-3</v>
      </c>
    </row>
    <row r="159" spans="1:2" x14ac:dyDescent="0.25">
      <c r="A159" s="18">
        <v>109</v>
      </c>
      <c r="B159" s="18">
        <v>1.9E-3</v>
      </c>
    </row>
    <row r="160" spans="1:2" x14ac:dyDescent="0.25">
      <c r="A160" s="18">
        <v>109</v>
      </c>
      <c r="B160" s="18">
        <v>1.32E-3</v>
      </c>
    </row>
    <row r="161" spans="1:2" x14ac:dyDescent="0.25">
      <c r="A161" s="18">
        <v>110</v>
      </c>
      <c r="B161" s="18">
        <v>7.8600000000000002E-4</v>
      </c>
    </row>
    <row r="162" spans="1:2" x14ac:dyDescent="0.25">
      <c r="A162" s="18">
        <v>110</v>
      </c>
      <c r="B162" s="18">
        <v>1.83E-4</v>
      </c>
    </row>
    <row r="163" spans="1:2" x14ac:dyDescent="0.25">
      <c r="A163" s="18">
        <v>111</v>
      </c>
      <c r="B163" s="18">
        <v>7.7600000000000002E-6</v>
      </c>
    </row>
    <row r="164" spans="1:2" x14ac:dyDescent="0.25">
      <c r="A164" s="18">
        <v>111</v>
      </c>
      <c r="B164" s="18">
        <v>1.8500000000000001E-6</v>
      </c>
    </row>
    <row r="165" spans="1:2" x14ac:dyDescent="0.25">
      <c r="A165" s="18">
        <v>112</v>
      </c>
      <c r="B165" s="18">
        <v>4.3300000000000003E-7</v>
      </c>
    </row>
    <row r="166" spans="1:2" x14ac:dyDescent="0.25">
      <c r="A166" s="18">
        <v>112</v>
      </c>
      <c r="B166" s="18">
        <v>2.79E-6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600-000000000000}">
  <dimension ref="A1:B13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20</v>
      </c>
      <c r="B2" s="18">
        <v>3.2499999999999999E-4</v>
      </c>
    </row>
    <row r="3" spans="1:2" x14ac:dyDescent="0.25">
      <c r="A3" s="18">
        <v>21</v>
      </c>
      <c r="B3" s="18">
        <v>3.4499999999999998E-4</v>
      </c>
    </row>
    <row r="4" spans="1:2" x14ac:dyDescent="0.25">
      <c r="A4" s="18">
        <v>22</v>
      </c>
      <c r="B4" s="18">
        <v>2.13E-4</v>
      </c>
    </row>
    <row r="5" spans="1:2" x14ac:dyDescent="0.25">
      <c r="A5" s="18">
        <v>23</v>
      </c>
      <c r="B5" s="18">
        <v>3.1799999999999998E-4</v>
      </c>
    </row>
    <row r="6" spans="1:2" x14ac:dyDescent="0.25">
      <c r="A6" s="18">
        <v>24</v>
      </c>
      <c r="B6" s="18">
        <v>3.57E-4</v>
      </c>
    </row>
    <row r="7" spans="1:2" x14ac:dyDescent="0.25">
      <c r="A7" s="18">
        <v>25</v>
      </c>
      <c r="B7" s="18">
        <v>2.8400000000000002E-4</v>
      </c>
    </row>
    <row r="8" spans="1:2" x14ac:dyDescent="0.25">
      <c r="A8" s="18">
        <v>26</v>
      </c>
      <c r="B8" s="18">
        <v>3.6200000000000002E-4</v>
      </c>
    </row>
    <row r="9" spans="1:2" x14ac:dyDescent="0.25">
      <c r="A9" s="18">
        <v>27</v>
      </c>
      <c r="B9" s="18">
        <v>4.9799999999999996E-4</v>
      </c>
    </row>
    <row r="10" spans="1:2" x14ac:dyDescent="0.25">
      <c r="A10" s="18">
        <v>28</v>
      </c>
      <c r="B10" s="18">
        <v>6.1600000000000001E-4</v>
      </c>
    </row>
    <row r="11" spans="1:2" x14ac:dyDescent="0.25">
      <c r="A11" s="18">
        <v>29</v>
      </c>
      <c r="B11" s="18">
        <v>6.8199999999999999E-4</v>
      </c>
    </row>
    <row r="12" spans="1:2" x14ac:dyDescent="0.25">
      <c r="A12" s="18">
        <v>30</v>
      </c>
      <c r="B12" s="18">
        <v>1.8599999999999999E-4</v>
      </c>
    </row>
    <row r="13" spans="1:2" x14ac:dyDescent="0.25">
      <c r="A13" s="18">
        <v>31</v>
      </c>
      <c r="B13" s="18">
        <v>1.54E-4</v>
      </c>
    </row>
    <row r="14" spans="1:2" x14ac:dyDescent="0.25">
      <c r="A14" s="18">
        <v>32</v>
      </c>
      <c r="B14" s="18">
        <v>2.2900000000000001E-4</v>
      </c>
    </row>
    <row r="15" spans="1:2" x14ac:dyDescent="0.25">
      <c r="A15" s="18">
        <v>33</v>
      </c>
      <c r="B15" s="18">
        <v>2.1800000000000001E-4</v>
      </c>
    </row>
    <row r="16" spans="1:2" x14ac:dyDescent="0.25">
      <c r="A16" s="18">
        <v>34</v>
      </c>
      <c r="B16" s="18">
        <v>1.3300000000000001E-4</v>
      </c>
    </row>
    <row r="17" spans="1:2" x14ac:dyDescent="0.25">
      <c r="A17" s="18">
        <v>35</v>
      </c>
      <c r="B17" s="18">
        <v>1.4999999999999999E-4</v>
      </c>
    </row>
    <row r="18" spans="1:2" x14ac:dyDescent="0.25">
      <c r="A18" s="18">
        <v>36</v>
      </c>
      <c r="B18" s="18">
        <v>1.6100000000000001E-4</v>
      </c>
    </row>
    <row r="19" spans="1:2" x14ac:dyDescent="0.25">
      <c r="A19" s="18">
        <v>37</v>
      </c>
      <c r="B19" s="18">
        <v>1.6100000000000001E-4</v>
      </c>
    </row>
    <row r="20" spans="1:2" x14ac:dyDescent="0.25">
      <c r="A20" s="18">
        <v>38</v>
      </c>
      <c r="B20" s="18">
        <v>1.46E-4</v>
      </c>
    </row>
    <row r="21" spans="1:2" x14ac:dyDescent="0.25">
      <c r="A21" s="18">
        <v>39</v>
      </c>
      <c r="B21" s="18">
        <v>1.2400000000000001E-4</v>
      </c>
    </row>
    <row r="22" spans="1:2" x14ac:dyDescent="0.25">
      <c r="A22" s="18">
        <v>40</v>
      </c>
      <c r="B22" s="18">
        <v>9.1100000000000005E-5</v>
      </c>
    </row>
    <row r="23" spans="1:2" x14ac:dyDescent="0.25">
      <c r="A23" s="18">
        <v>41</v>
      </c>
      <c r="B23" s="18">
        <v>1.03E-4</v>
      </c>
    </row>
    <row r="24" spans="1:2" x14ac:dyDescent="0.25">
      <c r="A24" s="18">
        <v>42</v>
      </c>
      <c r="B24" s="18">
        <v>1.0900000000000001E-4</v>
      </c>
    </row>
    <row r="25" spans="1:2" x14ac:dyDescent="0.25">
      <c r="A25" s="18">
        <v>43</v>
      </c>
      <c r="B25" s="18">
        <v>1E-4</v>
      </c>
    </row>
    <row r="26" spans="1:2" x14ac:dyDescent="0.25">
      <c r="A26" s="18">
        <v>44</v>
      </c>
      <c r="B26" s="18">
        <v>1.03E-4</v>
      </c>
    </row>
    <row r="27" spans="1:2" x14ac:dyDescent="0.25">
      <c r="A27" s="18">
        <v>45</v>
      </c>
      <c r="B27" s="18">
        <v>8.5599999999999994E-5</v>
      </c>
    </row>
    <row r="28" spans="1:2" x14ac:dyDescent="0.25">
      <c r="A28" s="18">
        <v>46</v>
      </c>
      <c r="B28" s="18">
        <v>7.5799999999999999E-5</v>
      </c>
    </row>
    <row r="29" spans="1:2" x14ac:dyDescent="0.25">
      <c r="A29" s="18">
        <v>47</v>
      </c>
      <c r="B29" s="18">
        <v>8.6199999999999995E-5</v>
      </c>
    </row>
    <row r="30" spans="1:2" x14ac:dyDescent="0.25">
      <c r="A30" s="18">
        <v>48</v>
      </c>
      <c r="B30" s="18">
        <v>8.5699999999999996E-5</v>
      </c>
    </row>
    <row r="31" spans="1:2" x14ac:dyDescent="0.25">
      <c r="A31" s="18">
        <v>49</v>
      </c>
      <c r="B31" s="18">
        <v>9.1199999999999994E-5</v>
      </c>
    </row>
    <row r="32" spans="1:2" x14ac:dyDescent="0.25">
      <c r="A32" s="18">
        <v>50</v>
      </c>
      <c r="B32" s="18">
        <v>1.2E-4</v>
      </c>
    </row>
    <row r="33" spans="1:2" x14ac:dyDescent="0.25">
      <c r="A33" s="18">
        <v>51</v>
      </c>
      <c r="B33" s="18">
        <v>1.5300000000000001E-4</v>
      </c>
    </row>
    <row r="34" spans="1:2" x14ac:dyDescent="0.25">
      <c r="A34" s="18">
        <v>52</v>
      </c>
      <c r="B34" s="18">
        <v>1.8599999999999999E-4</v>
      </c>
    </row>
    <row r="35" spans="1:2" x14ac:dyDescent="0.25">
      <c r="A35" s="18">
        <v>53</v>
      </c>
      <c r="B35" s="18">
        <v>2.14E-4</v>
      </c>
    </row>
    <row r="36" spans="1:2" x14ac:dyDescent="0.25">
      <c r="A36" s="18">
        <v>54</v>
      </c>
      <c r="B36" s="18">
        <v>2.7700000000000001E-4</v>
      </c>
    </row>
    <row r="37" spans="1:2" x14ac:dyDescent="0.25">
      <c r="A37" s="18">
        <v>55</v>
      </c>
      <c r="B37" s="18">
        <v>3.4600000000000001E-4</v>
      </c>
    </row>
    <row r="38" spans="1:2" x14ac:dyDescent="0.25">
      <c r="A38" s="18">
        <v>56</v>
      </c>
      <c r="B38" s="18">
        <v>4.4999999999999999E-4</v>
      </c>
    </row>
    <row r="39" spans="1:2" x14ac:dyDescent="0.25">
      <c r="A39" s="18">
        <v>57</v>
      </c>
      <c r="B39" s="18">
        <v>6.29E-4</v>
      </c>
    </row>
    <row r="40" spans="1:2" x14ac:dyDescent="0.25">
      <c r="A40" s="18">
        <v>58</v>
      </c>
      <c r="B40" s="18">
        <v>2.3600000000000001E-3</v>
      </c>
    </row>
    <row r="41" spans="1:2" x14ac:dyDescent="0.25">
      <c r="A41" s="18">
        <v>59</v>
      </c>
      <c r="B41" s="18">
        <v>4.4600000000000004E-3</v>
      </c>
    </row>
    <row r="42" spans="1:2" x14ac:dyDescent="0.25">
      <c r="A42" s="18">
        <v>60</v>
      </c>
      <c r="B42" s="18">
        <v>1.6100000000000001E-3</v>
      </c>
    </row>
    <row r="43" spans="1:2" x14ac:dyDescent="0.25">
      <c r="A43" s="18">
        <v>61</v>
      </c>
      <c r="B43" s="18">
        <v>1.2099999999999999E-3</v>
      </c>
    </row>
    <row r="44" spans="1:2" x14ac:dyDescent="0.25">
      <c r="A44" s="18">
        <v>62</v>
      </c>
      <c r="B44" s="18">
        <v>1.4E-3</v>
      </c>
    </row>
    <row r="45" spans="1:2" x14ac:dyDescent="0.25">
      <c r="A45" s="18">
        <v>63</v>
      </c>
      <c r="B45" s="18">
        <v>1.65E-3</v>
      </c>
    </row>
    <row r="46" spans="1:2" x14ac:dyDescent="0.25">
      <c r="A46" s="18">
        <v>64</v>
      </c>
      <c r="B46" s="18">
        <v>1.98E-3</v>
      </c>
    </row>
    <row r="47" spans="1:2" x14ac:dyDescent="0.25">
      <c r="A47" s="18">
        <v>65</v>
      </c>
      <c r="B47" s="18">
        <v>2.2399999999999998E-3</v>
      </c>
    </row>
    <row r="48" spans="1:2" x14ac:dyDescent="0.25">
      <c r="A48" s="18">
        <v>66</v>
      </c>
      <c r="B48" s="18">
        <v>2.7699999999999999E-3</v>
      </c>
    </row>
    <row r="49" spans="1:2" x14ac:dyDescent="0.25">
      <c r="A49" s="18">
        <v>67</v>
      </c>
      <c r="B49" s="18">
        <v>8.8400000000000006E-3</v>
      </c>
    </row>
    <row r="50" spans="1:2" x14ac:dyDescent="0.25">
      <c r="A50" s="18">
        <v>68</v>
      </c>
      <c r="B50" s="18">
        <v>3.7299999999999998E-3</v>
      </c>
    </row>
    <row r="51" spans="1:2" x14ac:dyDescent="0.25">
      <c r="A51" s="18">
        <v>69</v>
      </c>
      <c r="B51" s="18">
        <v>5.7299999999999999E-3</v>
      </c>
    </row>
    <row r="52" spans="1:2" x14ac:dyDescent="0.25">
      <c r="A52" s="18">
        <v>70</v>
      </c>
      <c r="B52" s="18">
        <v>3.5599999999999998E-3</v>
      </c>
    </row>
    <row r="53" spans="1:2" x14ac:dyDescent="0.25">
      <c r="A53" s="18">
        <v>71</v>
      </c>
      <c r="B53" s="18">
        <v>3.8500000000000001E-3</v>
      </c>
    </row>
    <row r="54" spans="1:2" x14ac:dyDescent="0.25">
      <c r="A54" s="18">
        <v>72</v>
      </c>
      <c r="B54" s="18">
        <v>4.2199999999999998E-3</v>
      </c>
    </row>
    <row r="55" spans="1:2" x14ac:dyDescent="0.25">
      <c r="A55" s="18">
        <v>73</v>
      </c>
      <c r="B55" s="18">
        <v>4.6600000000000001E-3</v>
      </c>
    </row>
    <row r="56" spans="1:2" x14ac:dyDescent="0.25">
      <c r="A56" s="18">
        <v>74</v>
      </c>
      <c r="B56" s="18">
        <v>5.0499999999999998E-3</v>
      </c>
    </row>
    <row r="57" spans="1:2" x14ac:dyDescent="0.25">
      <c r="A57" s="18">
        <v>75</v>
      </c>
      <c r="B57" s="18">
        <v>5.5199999999999997E-3</v>
      </c>
    </row>
    <row r="58" spans="1:2" x14ac:dyDescent="0.25">
      <c r="A58" s="18">
        <v>76</v>
      </c>
      <c r="B58" s="18">
        <v>5.9199999999999999E-3</v>
      </c>
    </row>
    <row r="59" spans="1:2" x14ac:dyDescent="0.25">
      <c r="A59" s="18">
        <v>77</v>
      </c>
      <c r="B59" s="18">
        <v>6.3699999999999998E-3</v>
      </c>
    </row>
    <row r="60" spans="1:2" x14ac:dyDescent="0.25">
      <c r="A60" s="18">
        <v>78</v>
      </c>
      <c r="B60" s="18">
        <v>6.8199999999999997E-3</v>
      </c>
    </row>
    <row r="61" spans="1:2" x14ac:dyDescent="0.25">
      <c r="A61" s="18">
        <v>79</v>
      </c>
      <c r="B61" s="18">
        <v>7.2500000000000004E-3</v>
      </c>
    </row>
    <row r="62" spans="1:2" x14ac:dyDescent="0.25">
      <c r="A62" s="18">
        <v>80</v>
      </c>
      <c r="B62" s="18">
        <v>7.6600000000000001E-3</v>
      </c>
    </row>
    <row r="63" spans="1:2" x14ac:dyDescent="0.25">
      <c r="A63" s="18">
        <v>81</v>
      </c>
      <c r="B63" s="18">
        <v>8.1600000000000006E-3</v>
      </c>
    </row>
    <row r="64" spans="1:2" x14ac:dyDescent="0.25">
      <c r="A64" s="18">
        <v>82</v>
      </c>
      <c r="B64" s="18">
        <v>8.6400000000000001E-3</v>
      </c>
    </row>
    <row r="65" spans="1:2" x14ac:dyDescent="0.25">
      <c r="A65" s="18">
        <v>83</v>
      </c>
      <c r="B65" s="18">
        <v>9.2599999999999991E-3</v>
      </c>
    </row>
    <row r="66" spans="1:2" x14ac:dyDescent="0.25">
      <c r="A66" s="18">
        <v>84</v>
      </c>
      <c r="B66" s="18">
        <v>9.6900000000000007E-3</v>
      </c>
    </row>
    <row r="67" spans="1:2" x14ac:dyDescent="0.25">
      <c r="A67" s="18">
        <v>85</v>
      </c>
      <c r="B67" s="18">
        <v>1.0200000000000001E-2</v>
      </c>
    </row>
    <row r="68" spans="1:2" x14ac:dyDescent="0.25">
      <c r="A68" s="18">
        <v>86</v>
      </c>
      <c r="B68" s="18">
        <v>1.06E-2</v>
      </c>
    </row>
    <row r="69" spans="1:2" x14ac:dyDescent="0.25">
      <c r="A69" s="18">
        <v>87</v>
      </c>
      <c r="B69" s="18">
        <v>1.11E-2</v>
      </c>
    </row>
    <row r="70" spans="1:2" x14ac:dyDescent="0.25">
      <c r="A70" s="18">
        <v>88</v>
      </c>
      <c r="B70" s="18">
        <v>1.1299999999999999E-2</v>
      </c>
    </row>
    <row r="71" spans="1:2" x14ac:dyDescent="0.25">
      <c r="A71" s="18">
        <v>89</v>
      </c>
      <c r="B71" s="18">
        <v>1.18E-2</v>
      </c>
    </row>
    <row r="72" spans="1:2" x14ac:dyDescent="0.25">
      <c r="A72" s="18">
        <v>90</v>
      </c>
      <c r="B72" s="18">
        <v>1.2200000000000001E-2</v>
      </c>
    </row>
    <row r="73" spans="1:2" x14ac:dyDescent="0.25">
      <c r="A73" s="18">
        <v>91</v>
      </c>
      <c r="B73" s="18">
        <v>1.26E-2</v>
      </c>
    </row>
    <row r="74" spans="1:2" x14ac:dyDescent="0.25">
      <c r="A74" s="18">
        <v>92</v>
      </c>
      <c r="B74" s="18">
        <v>1.2999999999999999E-2</v>
      </c>
    </row>
    <row r="75" spans="1:2" x14ac:dyDescent="0.25">
      <c r="A75" s="18">
        <v>93</v>
      </c>
      <c r="B75" s="18">
        <v>1.34E-2</v>
      </c>
    </row>
    <row r="76" spans="1:2" x14ac:dyDescent="0.25">
      <c r="A76" s="18">
        <v>94</v>
      </c>
      <c r="B76" s="18">
        <v>1.37E-2</v>
      </c>
    </row>
    <row r="77" spans="1:2" x14ac:dyDescent="0.25">
      <c r="A77" s="18">
        <v>95</v>
      </c>
      <c r="B77" s="18">
        <v>1.41E-2</v>
      </c>
    </row>
    <row r="78" spans="1:2" x14ac:dyDescent="0.25">
      <c r="A78" s="18">
        <v>96</v>
      </c>
      <c r="B78" s="18">
        <v>1.4500000000000001E-2</v>
      </c>
    </row>
    <row r="79" spans="1:2" x14ac:dyDescent="0.25">
      <c r="A79" s="18">
        <v>97</v>
      </c>
      <c r="B79" s="18">
        <v>1.4800000000000001E-2</v>
      </c>
    </row>
    <row r="80" spans="1:2" x14ac:dyDescent="0.25">
      <c r="A80" s="18">
        <v>98</v>
      </c>
      <c r="B80" s="18">
        <v>1.4999999999999999E-2</v>
      </c>
    </row>
    <row r="81" spans="1:2" x14ac:dyDescent="0.25">
      <c r="A81" s="18">
        <v>99</v>
      </c>
      <c r="B81" s="18">
        <v>1.5299999999999999E-2</v>
      </c>
    </row>
    <row r="82" spans="1:2" x14ac:dyDescent="0.25">
      <c r="A82" s="18">
        <v>100</v>
      </c>
      <c r="B82" s="18">
        <v>1.55E-2</v>
      </c>
    </row>
    <row r="83" spans="1:2" x14ac:dyDescent="0.25">
      <c r="A83" s="18">
        <v>101</v>
      </c>
      <c r="B83" s="18">
        <v>1.5900000000000001E-2</v>
      </c>
    </row>
    <row r="84" spans="1:2" x14ac:dyDescent="0.25">
      <c r="A84" s="18">
        <v>102</v>
      </c>
      <c r="B84" s="18">
        <v>1.6199999999999999E-2</v>
      </c>
    </row>
    <row r="85" spans="1:2" x14ac:dyDescent="0.25">
      <c r="A85" s="18">
        <v>103</v>
      </c>
      <c r="B85" s="18">
        <v>1.6400000000000001E-2</v>
      </c>
    </row>
    <row r="86" spans="1:2" x14ac:dyDescent="0.25">
      <c r="A86" s="18">
        <v>104</v>
      </c>
      <c r="B86" s="18">
        <v>1.6500000000000001E-2</v>
      </c>
    </row>
    <row r="87" spans="1:2" x14ac:dyDescent="0.25">
      <c r="A87" s="18">
        <v>105</v>
      </c>
      <c r="B87" s="18">
        <v>1.67E-2</v>
      </c>
    </row>
    <row r="88" spans="1:2" x14ac:dyDescent="0.25">
      <c r="A88" s="18">
        <v>106</v>
      </c>
      <c r="B88" s="18">
        <v>1.7000000000000001E-2</v>
      </c>
    </row>
    <row r="89" spans="1:2" x14ac:dyDescent="0.25">
      <c r="A89" s="18">
        <v>107</v>
      </c>
      <c r="B89" s="18">
        <v>1.7100000000000001E-2</v>
      </c>
    </row>
    <row r="90" spans="1:2" x14ac:dyDescent="0.25">
      <c r="A90" s="18">
        <v>108</v>
      </c>
      <c r="B90" s="18">
        <v>1.72E-2</v>
      </c>
    </row>
    <row r="91" spans="1:2" x14ac:dyDescent="0.25">
      <c r="A91" s="18">
        <v>109</v>
      </c>
      <c r="B91" s="18">
        <v>1.72E-2</v>
      </c>
    </row>
    <row r="92" spans="1:2" x14ac:dyDescent="0.25">
      <c r="A92" s="18">
        <v>110</v>
      </c>
      <c r="B92" s="18">
        <v>1.7299999999999999E-2</v>
      </c>
    </row>
    <row r="93" spans="1:2" x14ac:dyDescent="0.25">
      <c r="A93" s="18">
        <v>111</v>
      </c>
      <c r="B93" s="18">
        <v>1.7399999999999999E-2</v>
      </c>
    </row>
    <row r="94" spans="1:2" x14ac:dyDescent="0.25">
      <c r="A94" s="18">
        <v>112</v>
      </c>
      <c r="B94" s="18">
        <v>1.7399999999999999E-2</v>
      </c>
    </row>
    <row r="95" spans="1:2" x14ac:dyDescent="0.25">
      <c r="A95" s="18">
        <v>113</v>
      </c>
      <c r="B95" s="18">
        <v>1.7399999999999999E-2</v>
      </c>
    </row>
    <row r="96" spans="1:2" x14ac:dyDescent="0.25">
      <c r="A96" s="18">
        <v>114</v>
      </c>
      <c r="B96" s="18">
        <v>1.7399999999999999E-2</v>
      </c>
    </row>
    <row r="97" spans="1:2" x14ac:dyDescent="0.25">
      <c r="A97" s="18">
        <v>115</v>
      </c>
      <c r="B97" s="18">
        <v>1.7500000000000002E-2</v>
      </c>
    </row>
    <row r="98" spans="1:2" x14ac:dyDescent="0.25">
      <c r="A98" s="18">
        <v>116</v>
      </c>
      <c r="B98" s="18">
        <v>1.72E-2</v>
      </c>
    </row>
    <row r="99" spans="1:2" x14ac:dyDescent="0.25">
      <c r="A99" s="18">
        <v>117</v>
      </c>
      <c r="B99" s="18">
        <v>1.7299999999999999E-2</v>
      </c>
    </row>
    <row r="100" spans="1:2" x14ac:dyDescent="0.25">
      <c r="A100" s="18">
        <v>118</v>
      </c>
      <c r="B100" s="18">
        <v>1.7100000000000001E-2</v>
      </c>
    </row>
    <row r="101" spans="1:2" x14ac:dyDescent="0.25">
      <c r="A101" s="18">
        <v>119</v>
      </c>
      <c r="B101" s="18">
        <v>1.7100000000000001E-2</v>
      </c>
    </row>
    <row r="102" spans="1:2" x14ac:dyDescent="0.25">
      <c r="A102" s="18">
        <v>120</v>
      </c>
      <c r="B102" s="18">
        <v>1.6799999999999999E-2</v>
      </c>
    </row>
    <row r="103" spans="1:2" x14ac:dyDescent="0.25">
      <c r="A103" s="18">
        <v>121</v>
      </c>
      <c r="B103" s="18">
        <v>1.67E-2</v>
      </c>
    </row>
    <row r="104" spans="1:2" x14ac:dyDescent="0.25">
      <c r="A104" s="18">
        <v>122</v>
      </c>
      <c r="B104" s="18">
        <v>1.6400000000000001E-2</v>
      </c>
    </row>
    <row r="105" spans="1:2" x14ac:dyDescent="0.25">
      <c r="A105" s="18">
        <v>123</v>
      </c>
      <c r="B105" s="18">
        <v>1.61E-2</v>
      </c>
    </row>
    <row r="106" spans="1:2" x14ac:dyDescent="0.25">
      <c r="A106" s="18">
        <v>124</v>
      </c>
      <c r="B106" s="18">
        <v>1.5900000000000001E-2</v>
      </c>
    </row>
    <row r="107" spans="1:2" x14ac:dyDescent="0.25">
      <c r="A107" s="18">
        <v>125</v>
      </c>
      <c r="B107" s="18">
        <v>1.5599999999999999E-2</v>
      </c>
    </row>
    <row r="108" spans="1:2" x14ac:dyDescent="0.25">
      <c r="A108" s="18">
        <v>126</v>
      </c>
      <c r="B108" s="18">
        <v>1.5299999999999999E-2</v>
      </c>
    </row>
    <row r="109" spans="1:2" x14ac:dyDescent="0.25">
      <c r="A109" s="18">
        <v>127</v>
      </c>
      <c r="B109" s="18">
        <v>1.4999999999999999E-2</v>
      </c>
    </row>
    <row r="110" spans="1:2" x14ac:dyDescent="0.25">
      <c r="A110" s="18">
        <v>128</v>
      </c>
      <c r="B110" s="18">
        <v>1.47E-2</v>
      </c>
    </row>
    <row r="111" spans="1:2" x14ac:dyDescent="0.25">
      <c r="A111" s="18">
        <v>129</v>
      </c>
      <c r="B111" s="18">
        <v>1.44E-2</v>
      </c>
    </row>
    <row r="112" spans="1:2" x14ac:dyDescent="0.25">
      <c r="A112" s="18">
        <v>130</v>
      </c>
      <c r="B112" s="18">
        <v>1.3899999999999999E-2</v>
      </c>
    </row>
    <row r="113" spans="1:2" x14ac:dyDescent="0.25">
      <c r="A113" s="18">
        <v>131</v>
      </c>
      <c r="B113" s="18">
        <v>1.35E-2</v>
      </c>
    </row>
    <row r="114" spans="1:2" x14ac:dyDescent="0.25">
      <c r="A114" s="18">
        <v>132</v>
      </c>
      <c r="B114" s="18">
        <v>1.2999999999999999E-2</v>
      </c>
    </row>
    <row r="115" spans="1:2" x14ac:dyDescent="0.25">
      <c r="A115" s="18">
        <v>133</v>
      </c>
      <c r="B115" s="18">
        <v>1.2500000000000001E-2</v>
      </c>
    </row>
    <row r="116" spans="1:2" x14ac:dyDescent="0.25">
      <c r="A116" s="18">
        <v>134</v>
      </c>
      <c r="B116" s="18">
        <v>1.21E-2</v>
      </c>
    </row>
    <row r="117" spans="1:2" x14ac:dyDescent="0.25">
      <c r="A117" s="18">
        <v>135</v>
      </c>
      <c r="B117" s="18">
        <v>1.1599999999999999E-2</v>
      </c>
    </row>
    <row r="118" spans="1:2" x14ac:dyDescent="0.25">
      <c r="A118" s="18">
        <v>136</v>
      </c>
      <c r="B118" s="18">
        <v>1.11E-2</v>
      </c>
    </row>
    <row r="119" spans="1:2" x14ac:dyDescent="0.25">
      <c r="A119" s="18">
        <v>137</v>
      </c>
      <c r="B119" s="18">
        <v>1.04E-2</v>
      </c>
    </row>
    <row r="120" spans="1:2" x14ac:dyDescent="0.25">
      <c r="A120" s="18">
        <v>138</v>
      </c>
      <c r="B120" s="18">
        <v>9.92E-3</v>
      </c>
    </row>
    <row r="121" spans="1:2" x14ac:dyDescent="0.25">
      <c r="A121" s="18">
        <v>139</v>
      </c>
      <c r="B121" s="18">
        <v>9.1299999999999992E-3</v>
      </c>
    </row>
    <row r="122" spans="1:2" x14ac:dyDescent="0.25">
      <c r="A122" s="18">
        <v>140</v>
      </c>
      <c r="B122" s="18">
        <v>8.5000000000000006E-3</v>
      </c>
    </row>
    <row r="123" spans="1:2" x14ac:dyDescent="0.25">
      <c r="A123" s="18">
        <v>141</v>
      </c>
      <c r="B123" s="18">
        <v>7.77E-3</v>
      </c>
    </row>
    <row r="124" spans="1:2" x14ac:dyDescent="0.25">
      <c r="A124" s="18">
        <v>142</v>
      </c>
      <c r="B124" s="18">
        <v>7.0699999999999999E-3</v>
      </c>
    </row>
    <row r="125" spans="1:2" x14ac:dyDescent="0.25">
      <c r="A125" s="18">
        <v>143</v>
      </c>
      <c r="B125" s="18">
        <v>6.3099999999999996E-3</v>
      </c>
    </row>
    <row r="126" spans="1:2" x14ac:dyDescent="0.25">
      <c r="A126" s="18">
        <v>144</v>
      </c>
      <c r="B126" s="18">
        <v>5.5100000000000001E-3</v>
      </c>
    </row>
    <row r="127" spans="1:2" x14ac:dyDescent="0.25">
      <c r="A127" s="18">
        <v>145</v>
      </c>
      <c r="B127" s="18">
        <v>4.7299999999999998E-3</v>
      </c>
    </row>
    <row r="128" spans="1:2" x14ac:dyDescent="0.25">
      <c r="A128" s="18">
        <v>146</v>
      </c>
      <c r="B128" s="18">
        <v>3.8700000000000002E-3</v>
      </c>
    </row>
    <row r="129" spans="1:2" x14ac:dyDescent="0.25">
      <c r="A129" s="18">
        <v>147</v>
      </c>
      <c r="B129" s="18">
        <v>2.9499999999999999E-3</v>
      </c>
    </row>
    <row r="130" spans="1:2" x14ac:dyDescent="0.25">
      <c r="A130" s="18">
        <v>148</v>
      </c>
      <c r="B130" s="18">
        <v>2E-3</v>
      </c>
    </row>
    <row r="131" spans="1:2" x14ac:dyDescent="0.25">
      <c r="A131" s="18">
        <v>149</v>
      </c>
      <c r="B131" s="18">
        <v>9.8400000000000007E-4</v>
      </c>
    </row>
    <row r="132" spans="1:2" x14ac:dyDescent="0.25">
      <c r="A132" s="18">
        <v>150</v>
      </c>
      <c r="B132" s="18">
        <v>1.3300000000000001E-4</v>
      </c>
    </row>
    <row r="133" spans="1:2" x14ac:dyDescent="0.25">
      <c r="A133" s="18">
        <v>151</v>
      </c>
      <c r="B133" s="18">
        <v>3.9099999999999998E-6</v>
      </c>
    </row>
    <row r="134" spans="1:2" x14ac:dyDescent="0.25">
      <c r="A134" s="18">
        <v>152</v>
      </c>
      <c r="B134" s="18">
        <v>7.17E-6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700-000000000000}">
  <dimension ref="A1:B16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40</v>
      </c>
      <c r="B2" s="18">
        <v>1.3100000000000001E-4</v>
      </c>
    </row>
    <row r="3" spans="1:2" x14ac:dyDescent="0.25">
      <c r="A3" s="18">
        <v>41</v>
      </c>
      <c r="B3" s="18">
        <v>1.08E-4</v>
      </c>
    </row>
    <row r="4" spans="1:2" x14ac:dyDescent="0.25">
      <c r="A4" s="18">
        <v>42</v>
      </c>
      <c r="B4" s="18">
        <v>1.2400000000000001E-4</v>
      </c>
    </row>
    <row r="5" spans="1:2" x14ac:dyDescent="0.25">
      <c r="A5" s="18">
        <v>43</v>
      </c>
      <c r="B5" s="18">
        <v>1.2400000000000001E-4</v>
      </c>
    </row>
    <row r="6" spans="1:2" x14ac:dyDescent="0.25">
      <c r="A6" s="18">
        <v>44</v>
      </c>
      <c r="B6" s="18">
        <v>1.37E-4</v>
      </c>
    </row>
    <row r="7" spans="1:2" x14ac:dyDescent="0.25">
      <c r="A7" s="18">
        <v>45</v>
      </c>
      <c r="B7" s="18">
        <v>1.02E-4</v>
      </c>
    </row>
    <row r="8" spans="1:2" x14ac:dyDescent="0.25">
      <c r="A8" s="18">
        <v>46</v>
      </c>
      <c r="B8" s="18">
        <v>1.02E-4</v>
      </c>
    </row>
    <row r="9" spans="1:2" x14ac:dyDescent="0.25">
      <c r="A9" s="18">
        <v>47</v>
      </c>
      <c r="B9" s="18">
        <v>9.1000000000000003E-5</v>
      </c>
    </row>
    <row r="10" spans="1:2" x14ac:dyDescent="0.25">
      <c r="A10" s="18">
        <v>48</v>
      </c>
      <c r="B10" s="18">
        <v>7.9400000000000006E-5</v>
      </c>
    </row>
    <row r="11" spans="1:2" x14ac:dyDescent="0.25">
      <c r="A11" s="18">
        <v>49</v>
      </c>
      <c r="B11" s="18">
        <v>7.9900000000000004E-5</v>
      </c>
    </row>
    <row r="12" spans="1:2" x14ac:dyDescent="0.25">
      <c r="A12" s="18">
        <v>50</v>
      </c>
      <c r="B12" s="18">
        <v>8.6700000000000007E-5</v>
      </c>
    </row>
    <row r="13" spans="1:2" x14ac:dyDescent="0.25">
      <c r="A13" s="18">
        <v>51</v>
      </c>
      <c r="B13" s="18">
        <v>1.05E-4</v>
      </c>
    </row>
    <row r="14" spans="1:2" x14ac:dyDescent="0.25">
      <c r="A14" s="18">
        <v>52</v>
      </c>
      <c r="B14" s="18">
        <v>6.7700000000000006E-5</v>
      </c>
    </row>
    <row r="15" spans="1:2" x14ac:dyDescent="0.25">
      <c r="A15" s="18">
        <v>53</v>
      </c>
      <c r="B15" s="18">
        <v>8.4699999999999999E-5</v>
      </c>
    </row>
    <row r="16" spans="1:2" x14ac:dyDescent="0.25">
      <c r="A16" s="18">
        <v>54</v>
      </c>
      <c r="B16" s="18">
        <v>6.0900000000000003E-5</v>
      </c>
    </row>
    <row r="17" spans="1:2" x14ac:dyDescent="0.25">
      <c r="A17" s="18">
        <v>55</v>
      </c>
      <c r="B17" s="18">
        <v>5.1199999999999998E-5</v>
      </c>
    </row>
    <row r="18" spans="1:2" x14ac:dyDescent="0.25">
      <c r="A18" s="18">
        <v>56</v>
      </c>
      <c r="B18" s="18">
        <v>6.7600000000000003E-5</v>
      </c>
    </row>
    <row r="19" spans="1:2" x14ac:dyDescent="0.25">
      <c r="A19" s="18">
        <v>57</v>
      </c>
      <c r="B19" s="18">
        <v>6.7500000000000001E-5</v>
      </c>
    </row>
    <row r="20" spans="1:2" x14ac:dyDescent="0.25">
      <c r="A20" s="18">
        <v>58</v>
      </c>
      <c r="B20" s="18">
        <v>5.8100000000000003E-5</v>
      </c>
    </row>
    <row r="21" spans="1:2" x14ac:dyDescent="0.25">
      <c r="A21" s="18">
        <v>59</v>
      </c>
      <c r="B21" s="18">
        <v>8.3900000000000006E-5</v>
      </c>
    </row>
    <row r="22" spans="1:2" x14ac:dyDescent="0.25">
      <c r="A22" s="18">
        <v>60</v>
      </c>
      <c r="B22" s="18">
        <v>7.8700000000000002E-5</v>
      </c>
    </row>
    <row r="23" spans="1:2" x14ac:dyDescent="0.25">
      <c r="A23" s="18">
        <v>61</v>
      </c>
      <c r="B23" s="18">
        <v>5.6499999999999998E-5</v>
      </c>
    </row>
    <row r="24" spans="1:2" x14ac:dyDescent="0.25">
      <c r="A24" s="18">
        <v>62</v>
      </c>
      <c r="B24" s="18">
        <v>8.0799999999999999E-5</v>
      </c>
    </row>
    <row r="25" spans="1:2" x14ac:dyDescent="0.25">
      <c r="A25" s="18">
        <v>63</v>
      </c>
      <c r="B25" s="18">
        <v>6.8200000000000004E-5</v>
      </c>
    </row>
    <row r="26" spans="1:2" x14ac:dyDescent="0.25">
      <c r="A26" s="18">
        <v>64</v>
      </c>
      <c r="B26" s="18">
        <v>8.81E-5</v>
      </c>
    </row>
    <row r="27" spans="1:2" x14ac:dyDescent="0.25">
      <c r="A27" s="18">
        <v>65</v>
      </c>
      <c r="B27" s="18">
        <v>7.8200000000000003E-5</v>
      </c>
    </row>
    <row r="28" spans="1:2" x14ac:dyDescent="0.25">
      <c r="A28" s="18">
        <v>66</v>
      </c>
      <c r="B28" s="18">
        <v>1.01E-4</v>
      </c>
    </row>
    <row r="29" spans="1:2" x14ac:dyDescent="0.25">
      <c r="A29" s="18">
        <v>67</v>
      </c>
      <c r="B29" s="18">
        <v>3.0200000000000002E-4</v>
      </c>
    </row>
    <row r="30" spans="1:2" x14ac:dyDescent="0.25">
      <c r="A30" s="18">
        <v>68</v>
      </c>
      <c r="B30" s="18">
        <v>1.6200000000000001E-4</v>
      </c>
    </row>
    <row r="31" spans="1:2" x14ac:dyDescent="0.25">
      <c r="A31" s="18">
        <v>69</v>
      </c>
      <c r="B31" s="18">
        <v>2.4399999999999999E-4</v>
      </c>
    </row>
    <row r="32" spans="1:2" x14ac:dyDescent="0.25">
      <c r="A32" s="18">
        <v>70</v>
      </c>
      <c r="B32" s="18">
        <v>1.6100000000000001E-4</v>
      </c>
    </row>
    <row r="33" spans="1:2" x14ac:dyDescent="0.25">
      <c r="A33" s="18">
        <v>71</v>
      </c>
      <c r="B33" s="18">
        <v>1.8900000000000001E-4</v>
      </c>
    </row>
    <row r="34" spans="1:2" x14ac:dyDescent="0.25">
      <c r="A34" s="18">
        <v>72</v>
      </c>
      <c r="B34" s="18">
        <v>2.24E-4</v>
      </c>
    </row>
    <row r="35" spans="1:2" x14ac:dyDescent="0.25">
      <c r="A35" s="18">
        <v>73</v>
      </c>
      <c r="B35" s="18">
        <v>2.61E-4</v>
      </c>
    </row>
    <row r="36" spans="1:2" x14ac:dyDescent="0.25">
      <c r="A36" s="18">
        <v>74</v>
      </c>
      <c r="B36" s="18">
        <v>3.01E-4</v>
      </c>
    </row>
    <row r="37" spans="1:2" x14ac:dyDescent="0.25">
      <c r="A37" s="18">
        <v>75</v>
      </c>
      <c r="B37" s="18">
        <v>3.8200000000000002E-4</v>
      </c>
    </row>
    <row r="38" spans="1:2" x14ac:dyDescent="0.25">
      <c r="A38" s="18">
        <v>76</v>
      </c>
      <c r="B38" s="18">
        <v>4.0700000000000003E-4</v>
      </c>
    </row>
    <row r="39" spans="1:2" x14ac:dyDescent="0.25">
      <c r="A39" s="18">
        <v>77</v>
      </c>
      <c r="B39" s="18">
        <v>4.7800000000000002E-4</v>
      </c>
    </row>
    <row r="40" spans="1:2" x14ac:dyDescent="0.25">
      <c r="A40" s="18">
        <v>78</v>
      </c>
      <c r="B40" s="18">
        <v>5.6300000000000002E-4</v>
      </c>
    </row>
    <row r="41" spans="1:2" x14ac:dyDescent="0.25">
      <c r="A41" s="18">
        <v>79</v>
      </c>
      <c r="B41" s="18">
        <v>6.2799999999999998E-4</v>
      </c>
    </row>
    <row r="42" spans="1:2" x14ac:dyDescent="0.25">
      <c r="A42" s="18">
        <v>80</v>
      </c>
      <c r="B42" s="18">
        <v>7.1400000000000001E-4</v>
      </c>
    </row>
    <row r="43" spans="1:2" x14ac:dyDescent="0.25">
      <c r="A43" s="18">
        <v>81</v>
      </c>
      <c r="B43" s="18">
        <v>8.1999999999999998E-4</v>
      </c>
    </row>
    <row r="44" spans="1:2" x14ac:dyDescent="0.25">
      <c r="A44" s="18">
        <v>82</v>
      </c>
      <c r="B44" s="18">
        <v>9.4399999999999996E-4</v>
      </c>
    </row>
    <row r="45" spans="1:2" x14ac:dyDescent="0.25">
      <c r="A45" s="18">
        <v>83</v>
      </c>
      <c r="B45" s="18">
        <v>1.07E-3</v>
      </c>
    </row>
    <row r="46" spans="1:2" x14ac:dyDescent="0.25">
      <c r="A46" s="18">
        <v>84</v>
      </c>
      <c r="B46" s="18">
        <v>1.1999999999999999E-3</v>
      </c>
    </row>
    <row r="47" spans="1:2" x14ac:dyDescent="0.25">
      <c r="A47" s="18">
        <v>85</v>
      </c>
      <c r="B47" s="18">
        <v>1.3699999999999999E-3</v>
      </c>
    </row>
    <row r="48" spans="1:2" x14ac:dyDescent="0.25">
      <c r="A48" s="18">
        <v>86</v>
      </c>
      <c r="B48" s="18">
        <v>1.5200000000000001E-3</v>
      </c>
    </row>
    <row r="49" spans="1:2" x14ac:dyDescent="0.25">
      <c r="A49" s="18">
        <v>87</v>
      </c>
      <c r="B49" s="18">
        <v>1.6999999999999999E-3</v>
      </c>
    </row>
    <row r="50" spans="1:2" x14ac:dyDescent="0.25">
      <c r="A50" s="18">
        <v>88</v>
      </c>
      <c r="B50" s="18">
        <v>1.8400000000000001E-3</v>
      </c>
    </row>
    <row r="51" spans="1:2" x14ac:dyDescent="0.25">
      <c r="A51" s="18">
        <v>89</v>
      </c>
      <c r="B51" s="18">
        <v>1.99E-3</v>
      </c>
    </row>
    <row r="52" spans="1:2" x14ac:dyDescent="0.25">
      <c r="A52" s="18">
        <v>90</v>
      </c>
      <c r="B52" s="18">
        <v>2.2000000000000001E-3</v>
      </c>
    </row>
    <row r="53" spans="1:2" x14ac:dyDescent="0.25">
      <c r="A53" s="18">
        <v>91</v>
      </c>
      <c r="B53" s="18">
        <v>2.3800000000000002E-3</v>
      </c>
    </row>
    <row r="54" spans="1:2" x14ac:dyDescent="0.25">
      <c r="A54" s="18">
        <v>92</v>
      </c>
      <c r="B54" s="18">
        <v>2.5699999999999998E-3</v>
      </c>
    </row>
    <row r="55" spans="1:2" x14ac:dyDescent="0.25">
      <c r="A55" s="18">
        <v>93</v>
      </c>
      <c r="B55" s="18">
        <v>2.8300000000000001E-3</v>
      </c>
    </row>
    <row r="56" spans="1:2" x14ac:dyDescent="0.25">
      <c r="A56" s="18">
        <v>94</v>
      </c>
      <c r="B56" s="18">
        <v>3.0599999999999998E-3</v>
      </c>
    </row>
    <row r="57" spans="1:2" x14ac:dyDescent="0.25">
      <c r="A57" s="18">
        <v>95</v>
      </c>
      <c r="B57" s="18">
        <v>3.29E-3</v>
      </c>
    </row>
    <row r="58" spans="1:2" x14ac:dyDescent="0.25">
      <c r="A58" s="18">
        <v>96</v>
      </c>
      <c r="B58" s="18">
        <v>3.5000000000000001E-3</v>
      </c>
    </row>
    <row r="59" spans="1:2" x14ac:dyDescent="0.25">
      <c r="A59" s="18">
        <v>97</v>
      </c>
      <c r="B59" s="18">
        <v>3.7699999999999999E-3</v>
      </c>
    </row>
    <row r="60" spans="1:2" x14ac:dyDescent="0.25">
      <c r="A60" s="18">
        <v>98</v>
      </c>
      <c r="B60" s="18">
        <v>4.0200000000000001E-3</v>
      </c>
    </row>
    <row r="61" spans="1:2" x14ac:dyDescent="0.25">
      <c r="A61" s="18">
        <v>99</v>
      </c>
      <c r="B61" s="18">
        <v>4.2700000000000004E-3</v>
      </c>
    </row>
    <row r="62" spans="1:2" x14ac:dyDescent="0.25">
      <c r="A62" s="18">
        <v>100</v>
      </c>
      <c r="B62" s="18">
        <v>4.5100000000000001E-3</v>
      </c>
    </row>
    <row r="63" spans="1:2" x14ac:dyDescent="0.25">
      <c r="A63" s="18">
        <v>101</v>
      </c>
      <c r="B63" s="18">
        <v>4.7800000000000004E-3</v>
      </c>
    </row>
    <row r="64" spans="1:2" x14ac:dyDescent="0.25">
      <c r="A64" s="18">
        <v>102</v>
      </c>
      <c r="B64" s="18">
        <v>5.0400000000000002E-3</v>
      </c>
    </row>
    <row r="65" spans="1:2" x14ac:dyDescent="0.25">
      <c r="A65" s="18">
        <v>103</v>
      </c>
      <c r="B65" s="18">
        <v>5.3699999999999998E-3</v>
      </c>
    </row>
    <row r="66" spans="1:2" x14ac:dyDescent="0.25">
      <c r="A66" s="18">
        <v>104</v>
      </c>
      <c r="B66" s="18">
        <v>5.6600000000000001E-3</v>
      </c>
    </row>
    <row r="67" spans="1:2" x14ac:dyDescent="0.25">
      <c r="A67" s="18">
        <v>105</v>
      </c>
      <c r="B67" s="18">
        <v>5.94E-3</v>
      </c>
    </row>
    <row r="68" spans="1:2" x14ac:dyDescent="0.25">
      <c r="A68" s="18">
        <v>106</v>
      </c>
      <c r="B68" s="18">
        <v>6.2500000000000003E-3</v>
      </c>
    </row>
    <row r="69" spans="1:2" x14ac:dyDescent="0.25">
      <c r="A69" s="18">
        <v>107</v>
      </c>
      <c r="B69" s="18">
        <v>6.5199999999999998E-3</v>
      </c>
    </row>
    <row r="70" spans="1:2" x14ac:dyDescent="0.25">
      <c r="A70" s="18">
        <v>108</v>
      </c>
      <c r="B70" s="18">
        <v>6.8199999999999997E-3</v>
      </c>
    </row>
    <row r="71" spans="1:2" x14ac:dyDescent="0.25">
      <c r="A71" s="18">
        <v>109</v>
      </c>
      <c r="B71" s="18">
        <v>7.0800000000000004E-3</v>
      </c>
    </row>
    <row r="72" spans="1:2" x14ac:dyDescent="0.25">
      <c r="A72" s="18">
        <v>110</v>
      </c>
      <c r="B72" s="18">
        <v>7.4000000000000003E-3</v>
      </c>
    </row>
    <row r="73" spans="1:2" x14ac:dyDescent="0.25">
      <c r="A73" s="18">
        <v>111</v>
      </c>
      <c r="B73" s="18">
        <v>7.6600000000000001E-3</v>
      </c>
    </row>
    <row r="74" spans="1:2" x14ac:dyDescent="0.25">
      <c r="A74" s="18">
        <v>112</v>
      </c>
      <c r="B74" s="18">
        <v>8.0300000000000007E-3</v>
      </c>
    </row>
    <row r="75" spans="1:2" x14ac:dyDescent="0.25">
      <c r="A75" s="18">
        <v>113</v>
      </c>
      <c r="B75" s="18">
        <v>8.2699999999999996E-3</v>
      </c>
    </row>
    <row r="76" spans="1:2" x14ac:dyDescent="0.25">
      <c r="A76" s="18">
        <v>114</v>
      </c>
      <c r="B76" s="18">
        <v>8.5500000000000003E-3</v>
      </c>
    </row>
    <row r="77" spans="1:2" x14ac:dyDescent="0.25">
      <c r="A77" s="18">
        <v>115</v>
      </c>
      <c r="B77" s="18">
        <v>8.7200000000000003E-3</v>
      </c>
    </row>
    <row r="78" spans="1:2" x14ac:dyDescent="0.25">
      <c r="A78" s="18">
        <v>116</v>
      </c>
      <c r="B78" s="18">
        <v>9.0699999999999999E-3</v>
      </c>
    </row>
    <row r="79" spans="1:2" x14ac:dyDescent="0.25">
      <c r="A79" s="18">
        <v>117</v>
      </c>
      <c r="B79" s="18">
        <v>9.2899999999999996E-3</v>
      </c>
    </row>
    <row r="80" spans="1:2" x14ac:dyDescent="0.25">
      <c r="A80" s="18">
        <v>118</v>
      </c>
      <c r="B80" s="18">
        <v>9.5700000000000004E-3</v>
      </c>
    </row>
    <row r="81" spans="1:2" x14ac:dyDescent="0.25">
      <c r="A81" s="18">
        <v>119</v>
      </c>
      <c r="B81" s="18">
        <v>9.7699999999999992E-3</v>
      </c>
    </row>
    <row r="82" spans="1:2" x14ac:dyDescent="0.25">
      <c r="A82" s="18">
        <v>120</v>
      </c>
      <c r="B82" s="18">
        <v>1.01E-2</v>
      </c>
    </row>
    <row r="83" spans="1:2" x14ac:dyDescent="0.25">
      <c r="A83" s="18">
        <v>121</v>
      </c>
      <c r="B83" s="18">
        <v>1.03E-2</v>
      </c>
    </row>
    <row r="84" spans="1:2" x14ac:dyDescent="0.25">
      <c r="A84" s="18">
        <v>122</v>
      </c>
      <c r="B84" s="18">
        <v>1.0500000000000001E-2</v>
      </c>
    </row>
    <row r="85" spans="1:2" x14ac:dyDescent="0.25">
      <c r="A85" s="18">
        <v>123</v>
      </c>
      <c r="B85" s="18">
        <v>1.0800000000000001E-2</v>
      </c>
    </row>
    <row r="86" spans="1:2" x14ac:dyDescent="0.25">
      <c r="A86" s="18">
        <v>124</v>
      </c>
      <c r="B86" s="18">
        <v>1.0999999999999999E-2</v>
      </c>
    </row>
    <row r="87" spans="1:2" x14ac:dyDescent="0.25">
      <c r="A87" s="18">
        <v>125</v>
      </c>
      <c r="B87" s="18">
        <v>1.11E-2</v>
      </c>
    </row>
    <row r="88" spans="1:2" x14ac:dyDescent="0.25">
      <c r="A88" s="18">
        <v>126</v>
      </c>
      <c r="B88" s="18">
        <v>1.1299999999999999E-2</v>
      </c>
    </row>
    <row r="89" spans="1:2" x14ac:dyDescent="0.25">
      <c r="A89" s="18">
        <v>127</v>
      </c>
      <c r="B89" s="18">
        <v>1.15E-2</v>
      </c>
    </row>
    <row r="90" spans="1:2" x14ac:dyDescent="0.25">
      <c r="A90" s="18">
        <v>128</v>
      </c>
      <c r="B90" s="18">
        <v>1.1599999999999999E-2</v>
      </c>
    </row>
    <row r="91" spans="1:2" x14ac:dyDescent="0.25">
      <c r="A91" s="18">
        <v>129</v>
      </c>
      <c r="B91" s="18">
        <v>1.1900000000000001E-2</v>
      </c>
    </row>
    <row r="92" spans="1:2" x14ac:dyDescent="0.25">
      <c r="A92" s="18">
        <v>130</v>
      </c>
      <c r="B92" s="18">
        <v>1.1900000000000001E-2</v>
      </c>
    </row>
    <row r="93" spans="1:2" x14ac:dyDescent="0.25">
      <c r="A93" s="18">
        <v>131</v>
      </c>
      <c r="B93" s="18">
        <v>1.2200000000000001E-2</v>
      </c>
    </row>
    <row r="94" spans="1:2" x14ac:dyDescent="0.25">
      <c r="A94" s="18">
        <v>132</v>
      </c>
      <c r="B94" s="18">
        <v>1.23E-2</v>
      </c>
    </row>
    <row r="95" spans="1:2" x14ac:dyDescent="0.25">
      <c r="A95" s="18">
        <v>133</v>
      </c>
      <c r="B95" s="18">
        <v>1.2500000000000001E-2</v>
      </c>
    </row>
    <row r="96" spans="1:2" x14ac:dyDescent="0.25">
      <c r="A96" s="18">
        <v>134</v>
      </c>
      <c r="B96" s="18">
        <v>1.2500000000000001E-2</v>
      </c>
    </row>
    <row r="97" spans="1:2" x14ac:dyDescent="0.25">
      <c r="A97" s="18">
        <v>135</v>
      </c>
      <c r="B97" s="18">
        <v>1.2699999999999999E-2</v>
      </c>
    </row>
    <row r="98" spans="1:2" x14ac:dyDescent="0.25">
      <c r="A98" s="18">
        <v>136</v>
      </c>
      <c r="B98" s="18">
        <v>1.2800000000000001E-2</v>
      </c>
    </row>
    <row r="99" spans="1:2" x14ac:dyDescent="0.25">
      <c r="A99" s="18">
        <v>137</v>
      </c>
      <c r="B99" s="18">
        <v>1.2800000000000001E-2</v>
      </c>
    </row>
    <row r="100" spans="1:2" x14ac:dyDescent="0.25">
      <c r="A100" s="18">
        <v>138</v>
      </c>
      <c r="B100" s="18">
        <v>1.29E-2</v>
      </c>
    </row>
    <row r="101" spans="1:2" x14ac:dyDescent="0.25">
      <c r="A101" s="18">
        <v>139</v>
      </c>
      <c r="B101" s="18">
        <v>1.2999999999999999E-2</v>
      </c>
    </row>
    <row r="102" spans="1:2" x14ac:dyDescent="0.25">
      <c r="A102" s="18">
        <v>140</v>
      </c>
      <c r="B102" s="18">
        <v>1.3100000000000001E-2</v>
      </c>
    </row>
    <row r="103" spans="1:2" x14ac:dyDescent="0.25">
      <c r="A103" s="18">
        <v>141</v>
      </c>
      <c r="B103" s="18">
        <v>1.3100000000000001E-2</v>
      </c>
    </row>
    <row r="104" spans="1:2" x14ac:dyDescent="0.25">
      <c r="A104" s="18">
        <v>142</v>
      </c>
      <c r="B104" s="18">
        <v>1.32E-2</v>
      </c>
    </row>
    <row r="105" spans="1:2" x14ac:dyDescent="0.25">
      <c r="A105" s="18">
        <v>143</v>
      </c>
      <c r="B105" s="18">
        <v>1.3100000000000001E-2</v>
      </c>
    </row>
    <row r="106" spans="1:2" x14ac:dyDescent="0.25">
      <c r="A106" s="18">
        <v>144</v>
      </c>
      <c r="B106" s="18">
        <v>1.32E-2</v>
      </c>
    </row>
    <row r="107" spans="1:2" x14ac:dyDescent="0.25">
      <c r="A107" s="18">
        <v>145</v>
      </c>
      <c r="B107" s="18">
        <v>1.3299999999999999E-2</v>
      </c>
    </row>
    <row r="108" spans="1:2" x14ac:dyDescent="0.25">
      <c r="A108" s="18">
        <v>146</v>
      </c>
      <c r="B108" s="18">
        <v>1.34E-2</v>
      </c>
    </row>
    <row r="109" spans="1:2" x14ac:dyDescent="0.25">
      <c r="A109" s="18">
        <v>147</v>
      </c>
      <c r="B109" s="18">
        <v>1.34E-2</v>
      </c>
    </row>
    <row r="110" spans="1:2" x14ac:dyDescent="0.25">
      <c r="A110" s="18">
        <v>148</v>
      </c>
      <c r="B110" s="18">
        <v>1.32E-2</v>
      </c>
    </row>
    <row r="111" spans="1:2" x14ac:dyDescent="0.25">
      <c r="A111" s="18">
        <v>149</v>
      </c>
      <c r="B111" s="18">
        <v>1.32E-2</v>
      </c>
    </row>
    <row r="112" spans="1:2" x14ac:dyDescent="0.25">
      <c r="A112" s="18">
        <v>150</v>
      </c>
      <c r="B112" s="18">
        <v>1.3299999999999999E-2</v>
      </c>
    </row>
    <row r="113" spans="1:2" x14ac:dyDescent="0.25">
      <c r="A113" s="18">
        <v>151</v>
      </c>
      <c r="B113" s="18">
        <v>1.32E-2</v>
      </c>
    </row>
    <row r="114" spans="1:2" x14ac:dyDescent="0.25">
      <c r="A114" s="18">
        <v>152</v>
      </c>
      <c r="B114" s="18">
        <v>1.32E-2</v>
      </c>
    </row>
    <row r="115" spans="1:2" x14ac:dyDescent="0.25">
      <c r="A115" s="18">
        <v>153</v>
      </c>
      <c r="B115" s="18">
        <v>1.3100000000000001E-2</v>
      </c>
    </row>
    <row r="116" spans="1:2" x14ac:dyDescent="0.25">
      <c r="A116" s="18">
        <v>154</v>
      </c>
      <c r="B116" s="18">
        <v>1.3100000000000001E-2</v>
      </c>
    </row>
    <row r="117" spans="1:2" x14ac:dyDescent="0.25">
      <c r="A117" s="18">
        <v>155</v>
      </c>
      <c r="B117" s="18">
        <v>1.2999999999999999E-2</v>
      </c>
    </row>
    <row r="118" spans="1:2" x14ac:dyDescent="0.25">
      <c r="A118" s="18">
        <v>156</v>
      </c>
      <c r="B118" s="18">
        <v>1.29E-2</v>
      </c>
    </row>
    <row r="119" spans="1:2" x14ac:dyDescent="0.25">
      <c r="A119" s="18">
        <v>157</v>
      </c>
      <c r="B119" s="18">
        <v>1.2800000000000001E-2</v>
      </c>
    </row>
    <row r="120" spans="1:2" x14ac:dyDescent="0.25">
      <c r="A120" s="18">
        <v>158</v>
      </c>
      <c r="B120" s="18">
        <v>1.2800000000000001E-2</v>
      </c>
    </row>
    <row r="121" spans="1:2" x14ac:dyDescent="0.25">
      <c r="A121" s="18">
        <v>159</v>
      </c>
      <c r="B121" s="18">
        <v>1.26E-2</v>
      </c>
    </row>
    <row r="122" spans="1:2" x14ac:dyDescent="0.25">
      <c r="A122" s="18">
        <v>160</v>
      </c>
      <c r="B122" s="18">
        <v>1.26E-2</v>
      </c>
    </row>
    <row r="123" spans="1:2" x14ac:dyDescent="0.25">
      <c r="A123" s="18">
        <v>161</v>
      </c>
      <c r="B123" s="18">
        <v>1.23E-2</v>
      </c>
    </row>
    <row r="124" spans="1:2" x14ac:dyDescent="0.25">
      <c r="A124" s="18">
        <v>162</v>
      </c>
      <c r="B124" s="18">
        <v>1.23E-2</v>
      </c>
    </row>
    <row r="125" spans="1:2" x14ac:dyDescent="0.25">
      <c r="A125" s="18">
        <v>163</v>
      </c>
      <c r="B125" s="18">
        <v>1.2200000000000001E-2</v>
      </c>
    </row>
    <row r="126" spans="1:2" x14ac:dyDescent="0.25">
      <c r="A126" s="18">
        <v>164</v>
      </c>
      <c r="B126" s="18">
        <v>1.2E-2</v>
      </c>
    </row>
    <row r="127" spans="1:2" x14ac:dyDescent="0.25">
      <c r="A127" s="18">
        <v>165</v>
      </c>
      <c r="B127" s="18">
        <v>1.1900000000000001E-2</v>
      </c>
    </row>
    <row r="128" spans="1:2" x14ac:dyDescent="0.25">
      <c r="A128" s="18">
        <v>166</v>
      </c>
      <c r="B128" s="18">
        <v>1.15E-2</v>
      </c>
    </row>
    <row r="129" spans="1:2" x14ac:dyDescent="0.25">
      <c r="A129" s="18">
        <v>167</v>
      </c>
      <c r="B129" s="18">
        <v>1.1599999999999999E-2</v>
      </c>
    </row>
    <row r="130" spans="1:2" x14ac:dyDescent="0.25">
      <c r="A130" s="18">
        <v>168</v>
      </c>
      <c r="B130" s="18">
        <v>1.12E-2</v>
      </c>
    </row>
    <row r="131" spans="1:2" x14ac:dyDescent="0.25">
      <c r="A131" s="18">
        <v>169</v>
      </c>
      <c r="B131" s="18">
        <v>1.0999999999999999E-2</v>
      </c>
    </row>
    <row r="132" spans="1:2" x14ac:dyDescent="0.25">
      <c r="A132" s="18">
        <v>170</v>
      </c>
      <c r="B132" s="18">
        <v>1.0800000000000001E-2</v>
      </c>
    </row>
    <row r="133" spans="1:2" x14ac:dyDescent="0.25">
      <c r="A133" s="18">
        <v>171</v>
      </c>
      <c r="B133" s="18">
        <v>1.0500000000000001E-2</v>
      </c>
    </row>
    <row r="134" spans="1:2" x14ac:dyDescent="0.25">
      <c r="A134" s="18">
        <v>172</v>
      </c>
      <c r="B134" s="18">
        <v>1.03E-2</v>
      </c>
    </row>
    <row r="135" spans="1:2" x14ac:dyDescent="0.25">
      <c r="A135" s="18">
        <v>173</v>
      </c>
      <c r="B135" s="18">
        <v>1.01E-2</v>
      </c>
    </row>
    <row r="136" spans="1:2" x14ac:dyDescent="0.25">
      <c r="A136" s="18">
        <v>174</v>
      </c>
      <c r="B136" s="18">
        <v>9.8200000000000006E-3</v>
      </c>
    </row>
    <row r="137" spans="1:2" x14ac:dyDescent="0.25">
      <c r="A137" s="18">
        <v>175</v>
      </c>
      <c r="B137" s="18">
        <v>9.4800000000000006E-3</v>
      </c>
    </row>
    <row r="138" spans="1:2" x14ac:dyDescent="0.25">
      <c r="A138" s="18">
        <v>176</v>
      </c>
      <c r="B138" s="18">
        <v>9.2399999999999999E-3</v>
      </c>
    </row>
    <row r="139" spans="1:2" x14ac:dyDescent="0.25">
      <c r="A139" s="18">
        <v>177</v>
      </c>
      <c r="B139" s="18">
        <v>8.9599999999999992E-3</v>
      </c>
    </row>
    <row r="140" spans="1:2" x14ac:dyDescent="0.25">
      <c r="A140" s="18">
        <v>178</v>
      </c>
      <c r="B140" s="18">
        <v>8.7500000000000008E-3</v>
      </c>
    </row>
    <row r="141" spans="1:2" x14ac:dyDescent="0.25">
      <c r="A141" s="18">
        <v>179</v>
      </c>
      <c r="B141" s="18">
        <v>8.3999999999999995E-3</v>
      </c>
    </row>
    <row r="142" spans="1:2" x14ac:dyDescent="0.25">
      <c r="A142" s="18">
        <v>180</v>
      </c>
      <c r="B142" s="18">
        <v>8.0999999999999996E-3</v>
      </c>
    </row>
    <row r="143" spans="1:2" x14ac:dyDescent="0.25">
      <c r="A143" s="18">
        <v>181</v>
      </c>
      <c r="B143" s="18">
        <v>7.8399999999999997E-3</v>
      </c>
    </row>
    <row r="144" spans="1:2" x14ac:dyDescent="0.25">
      <c r="A144" s="18">
        <v>182</v>
      </c>
      <c r="B144" s="18">
        <v>7.3499999999999998E-3</v>
      </c>
    </row>
    <row r="145" spans="1:2" x14ac:dyDescent="0.25">
      <c r="A145" s="18">
        <v>183</v>
      </c>
      <c r="B145" s="18">
        <v>7.1500000000000001E-3</v>
      </c>
    </row>
    <row r="146" spans="1:2" x14ac:dyDescent="0.25">
      <c r="A146" s="18">
        <v>184</v>
      </c>
      <c r="B146" s="18">
        <v>6.8399999999999997E-3</v>
      </c>
    </row>
    <row r="147" spans="1:2" x14ac:dyDescent="0.25">
      <c r="A147" s="18">
        <v>185</v>
      </c>
      <c r="B147" s="18">
        <v>6.4700000000000001E-3</v>
      </c>
    </row>
    <row r="148" spans="1:2" x14ac:dyDescent="0.25">
      <c r="A148" s="18">
        <v>186</v>
      </c>
      <c r="B148" s="18">
        <v>6.0000000000000001E-3</v>
      </c>
    </row>
    <row r="149" spans="1:2" x14ac:dyDescent="0.25">
      <c r="A149" s="18">
        <v>187</v>
      </c>
      <c r="B149" s="18">
        <v>5.7299999999999999E-3</v>
      </c>
    </row>
    <row r="150" spans="1:2" x14ac:dyDescent="0.25">
      <c r="A150" s="18">
        <v>188</v>
      </c>
      <c r="B150" s="18">
        <v>5.4299999999999999E-3</v>
      </c>
    </row>
    <row r="151" spans="1:2" x14ac:dyDescent="0.25">
      <c r="A151" s="18">
        <v>189</v>
      </c>
      <c r="B151" s="18">
        <v>4.9300000000000004E-3</v>
      </c>
    </row>
    <row r="152" spans="1:2" x14ac:dyDescent="0.25">
      <c r="A152" s="18">
        <v>190</v>
      </c>
      <c r="B152" s="18">
        <v>4.5199999999999997E-3</v>
      </c>
    </row>
    <row r="153" spans="1:2" x14ac:dyDescent="0.25">
      <c r="A153" s="18">
        <v>191</v>
      </c>
      <c r="B153" s="18">
        <v>4.1200000000000004E-3</v>
      </c>
    </row>
    <row r="154" spans="1:2" x14ac:dyDescent="0.25">
      <c r="A154" s="18">
        <v>192</v>
      </c>
      <c r="B154" s="18">
        <v>3.65E-3</v>
      </c>
    </row>
    <row r="155" spans="1:2" x14ac:dyDescent="0.25">
      <c r="A155" s="18">
        <v>193</v>
      </c>
      <c r="B155" s="18">
        <v>3.29E-3</v>
      </c>
    </row>
    <row r="156" spans="1:2" x14ac:dyDescent="0.25">
      <c r="A156" s="18">
        <v>194</v>
      </c>
      <c r="B156" s="18">
        <v>2.7899999999999999E-3</v>
      </c>
    </row>
    <row r="157" spans="1:2" x14ac:dyDescent="0.25">
      <c r="A157" s="18">
        <v>195</v>
      </c>
      <c r="B157" s="18">
        <v>2.3700000000000001E-3</v>
      </c>
    </row>
    <row r="158" spans="1:2" x14ac:dyDescent="0.25">
      <c r="A158" s="18">
        <v>196</v>
      </c>
      <c r="B158" s="18">
        <v>1.89E-3</v>
      </c>
    </row>
    <row r="159" spans="1:2" x14ac:dyDescent="0.25">
      <c r="A159" s="18">
        <v>197</v>
      </c>
      <c r="B159" s="18">
        <v>1.4E-3</v>
      </c>
    </row>
    <row r="160" spans="1:2" x14ac:dyDescent="0.25">
      <c r="A160" s="18">
        <v>198</v>
      </c>
      <c r="B160" s="18">
        <v>9.1699999999999995E-4</v>
      </c>
    </row>
    <row r="161" spans="1:2" x14ac:dyDescent="0.25">
      <c r="A161" s="18">
        <v>199</v>
      </c>
      <c r="B161" s="18">
        <v>4.2999999999999999E-4</v>
      </c>
    </row>
    <row r="162" spans="1:2" x14ac:dyDescent="0.25">
      <c r="A162" s="18">
        <v>200</v>
      </c>
      <c r="B162" s="18">
        <v>5.5800000000000001E-5</v>
      </c>
    </row>
    <row r="163" spans="1:2" x14ac:dyDescent="0.25">
      <c r="A163" s="18">
        <v>201</v>
      </c>
      <c r="B163" s="18">
        <v>1.11E-5</v>
      </c>
    </row>
    <row r="164" spans="1:2" x14ac:dyDescent="0.25">
      <c r="A164" s="18">
        <v>202</v>
      </c>
      <c r="B164" s="18">
        <v>1.6899999999999999E-6</v>
      </c>
    </row>
  </sheetData>
  <pageMargins left="0.7" right="0.7" top="0.75" bottom="0.75" header="0.3" footer="0.3"/>
  <pageSetup paperSize="9" orientation="portrait" r:id="rId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800-000000000000}">
  <dimension ref="A1:B204"/>
  <sheetViews>
    <sheetView workbookViewId="0">
      <selection sqref="A1:B1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50</v>
      </c>
      <c r="B2" s="18">
        <v>6.1299999999999999E-5</v>
      </c>
    </row>
    <row r="3" spans="1:2" x14ac:dyDescent="0.25">
      <c r="A3" s="18">
        <v>51</v>
      </c>
      <c r="B3" s="18">
        <v>8.7399999999999997E-5</v>
      </c>
    </row>
    <row r="4" spans="1:2" x14ac:dyDescent="0.25">
      <c r="A4" s="18">
        <v>52</v>
      </c>
      <c r="B4" s="18">
        <v>6.69E-5</v>
      </c>
    </row>
    <row r="5" spans="1:2" x14ac:dyDescent="0.25">
      <c r="A5" s="18">
        <v>53</v>
      </c>
      <c r="B5" s="18">
        <v>6.4399999999999993E-5</v>
      </c>
    </row>
    <row r="6" spans="1:2" x14ac:dyDescent="0.25">
      <c r="A6" s="18">
        <v>54</v>
      </c>
      <c r="B6" s="18">
        <v>6.1799999999999998E-5</v>
      </c>
    </row>
    <row r="7" spans="1:2" x14ac:dyDescent="0.25">
      <c r="A7" s="18">
        <v>55</v>
      </c>
      <c r="B7" s="18">
        <v>4.7899999999999999E-5</v>
      </c>
    </row>
    <row r="8" spans="1:2" x14ac:dyDescent="0.25">
      <c r="A8" s="18">
        <v>56</v>
      </c>
      <c r="B8" s="18">
        <v>6.7600000000000003E-5</v>
      </c>
    </row>
    <row r="9" spans="1:2" x14ac:dyDescent="0.25">
      <c r="A9" s="18">
        <v>57</v>
      </c>
      <c r="B9" s="18">
        <v>5.5800000000000001E-5</v>
      </c>
    </row>
    <row r="10" spans="1:2" x14ac:dyDescent="0.25">
      <c r="A10" s="18">
        <v>58</v>
      </c>
      <c r="B10" s="18">
        <v>3.9700000000000003E-5</v>
      </c>
    </row>
    <row r="11" spans="1:2" x14ac:dyDescent="0.25">
      <c r="A11" s="18">
        <v>59</v>
      </c>
      <c r="B11" s="18">
        <v>4.71E-5</v>
      </c>
    </row>
    <row r="12" spans="1:2" x14ac:dyDescent="0.25">
      <c r="A12" s="18">
        <v>60</v>
      </c>
      <c r="B12" s="18">
        <v>4.2200000000000003E-5</v>
      </c>
    </row>
    <row r="13" spans="1:2" x14ac:dyDescent="0.25">
      <c r="A13" s="18">
        <v>61</v>
      </c>
      <c r="B13" s="18">
        <v>6.4399999999999993E-5</v>
      </c>
    </row>
    <row r="14" spans="1:2" x14ac:dyDescent="0.25">
      <c r="A14" s="18">
        <v>62</v>
      </c>
      <c r="B14" s="18">
        <v>5.0000000000000002E-5</v>
      </c>
    </row>
    <row r="15" spans="1:2" x14ac:dyDescent="0.25">
      <c r="A15" s="18">
        <v>63</v>
      </c>
      <c r="B15" s="18">
        <v>4.71E-5</v>
      </c>
    </row>
    <row r="16" spans="1:2" x14ac:dyDescent="0.25">
      <c r="A16" s="18">
        <v>64</v>
      </c>
      <c r="B16" s="18">
        <v>4.1499999999999999E-5</v>
      </c>
    </row>
    <row r="17" spans="1:2" x14ac:dyDescent="0.25">
      <c r="A17" s="18">
        <v>65</v>
      </c>
      <c r="B17" s="18">
        <v>6.4999999999999994E-5</v>
      </c>
    </row>
    <row r="18" spans="1:2" x14ac:dyDescent="0.25">
      <c r="A18" s="18">
        <v>66</v>
      </c>
      <c r="B18" s="18">
        <v>4.5399999999999999E-5</v>
      </c>
    </row>
    <row r="19" spans="1:2" x14ac:dyDescent="0.25">
      <c r="A19" s="18">
        <v>67</v>
      </c>
      <c r="B19" s="18">
        <v>5.5800000000000001E-5</v>
      </c>
    </row>
    <row r="20" spans="1:2" x14ac:dyDescent="0.25">
      <c r="A20" s="18">
        <v>68</v>
      </c>
      <c r="B20" s="18">
        <v>4.5500000000000001E-5</v>
      </c>
    </row>
    <row r="21" spans="1:2" x14ac:dyDescent="0.25">
      <c r="A21" s="18">
        <v>69</v>
      </c>
      <c r="B21" s="18">
        <v>5.1100000000000002E-5</v>
      </c>
    </row>
    <row r="22" spans="1:2" x14ac:dyDescent="0.25">
      <c r="A22" s="18">
        <v>70</v>
      </c>
      <c r="B22" s="18">
        <v>4.2599999999999999E-5</v>
      </c>
    </row>
    <row r="23" spans="1:2" x14ac:dyDescent="0.25">
      <c r="A23" s="18">
        <v>71</v>
      </c>
      <c r="B23" s="18">
        <v>5.8600000000000001E-5</v>
      </c>
    </row>
    <row r="24" spans="1:2" x14ac:dyDescent="0.25">
      <c r="A24" s="18">
        <v>72</v>
      </c>
      <c r="B24" s="18">
        <v>5.2299999999999997E-5</v>
      </c>
    </row>
    <row r="25" spans="1:2" x14ac:dyDescent="0.25">
      <c r="A25" s="18">
        <v>73</v>
      </c>
      <c r="B25" s="18">
        <v>7.4200000000000001E-5</v>
      </c>
    </row>
    <row r="26" spans="1:2" x14ac:dyDescent="0.25">
      <c r="A26" s="18">
        <v>74</v>
      </c>
      <c r="B26" s="18">
        <v>4.0299999999999997E-5</v>
      </c>
    </row>
    <row r="27" spans="1:2" x14ac:dyDescent="0.25">
      <c r="A27" s="18">
        <v>75</v>
      </c>
      <c r="B27" s="18">
        <v>7.9900000000000004E-5</v>
      </c>
    </row>
    <row r="28" spans="1:2" x14ac:dyDescent="0.25">
      <c r="A28" s="18">
        <v>76</v>
      </c>
      <c r="B28" s="18">
        <v>3.8300000000000003E-5</v>
      </c>
    </row>
    <row r="29" spans="1:2" x14ac:dyDescent="0.25">
      <c r="A29" s="18">
        <v>77</v>
      </c>
      <c r="B29" s="18">
        <v>4.8000000000000001E-5</v>
      </c>
    </row>
    <row r="30" spans="1:2" x14ac:dyDescent="0.25">
      <c r="A30" s="18">
        <v>78</v>
      </c>
      <c r="B30" s="18">
        <v>5.38E-5</v>
      </c>
    </row>
    <row r="31" spans="1:2" x14ac:dyDescent="0.25">
      <c r="A31" s="18">
        <v>79</v>
      </c>
      <c r="B31" s="18">
        <v>5.2200000000000002E-5</v>
      </c>
    </row>
    <row r="32" spans="1:2" x14ac:dyDescent="0.25">
      <c r="A32" s="18">
        <v>80</v>
      </c>
      <c r="B32" s="18">
        <v>4.57E-5</v>
      </c>
    </row>
    <row r="33" spans="1:2" x14ac:dyDescent="0.25">
      <c r="A33" s="18">
        <v>81</v>
      </c>
      <c r="B33" s="18">
        <v>3.43E-5</v>
      </c>
    </row>
    <row r="34" spans="1:2" x14ac:dyDescent="0.25">
      <c r="A34" s="18">
        <v>82</v>
      </c>
      <c r="B34" s="18">
        <v>5.3000000000000001E-5</v>
      </c>
    </row>
    <row r="35" spans="1:2" x14ac:dyDescent="0.25">
      <c r="A35" s="18">
        <v>83</v>
      </c>
      <c r="B35" s="18">
        <v>5.3000000000000001E-5</v>
      </c>
    </row>
    <row r="36" spans="1:2" x14ac:dyDescent="0.25">
      <c r="A36" s="18">
        <v>84</v>
      </c>
      <c r="B36" s="18">
        <v>6.1400000000000002E-5</v>
      </c>
    </row>
    <row r="37" spans="1:2" x14ac:dyDescent="0.25">
      <c r="A37" s="18">
        <v>85</v>
      </c>
      <c r="B37" s="18">
        <v>6.97E-5</v>
      </c>
    </row>
    <row r="38" spans="1:2" x14ac:dyDescent="0.25">
      <c r="A38" s="18">
        <v>86</v>
      </c>
      <c r="B38" s="18">
        <v>7.1899999999999999E-5</v>
      </c>
    </row>
    <row r="39" spans="1:2" x14ac:dyDescent="0.25">
      <c r="A39" s="18">
        <v>87</v>
      </c>
      <c r="B39" s="18">
        <v>9.4900000000000003E-5</v>
      </c>
    </row>
    <row r="40" spans="1:2" x14ac:dyDescent="0.25">
      <c r="A40" s="18">
        <v>88</v>
      </c>
      <c r="B40" s="18">
        <v>7.7299999999999995E-5</v>
      </c>
    </row>
    <row r="41" spans="1:2" x14ac:dyDescent="0.25">
      <c r="A41" s="18">
        <v>89</v>
      </c>
      <c r="B41" s="18">
        <v>1.0399999999999999E-4</v>
      </c>
    </row>
    <row r="42" spans="1:2" x14ac:dyDescent="0.25">
      <c r="A42" s="18">
        <v>90</v>
      </c>
      <c r="B42" s="18">
        <v>1.05E-4</v>
      </c>
    </row>
    <row r="43" spans="1:2" x14ac:dyDescent="0.25">
      <c r="A43" s="18">
        <v>91</v>
      </c>
      <c r="B43" s="18">
        <v>1.22E-4</v>
      </c>
    </row>
    <row r="44" spans="1:2" x14ac:dyDescent="0.25">
      <c r="A44" s="18">
        <v>92</v>
      </c>
      <c r="B44" s="18">
        <v>1.4899999999999999E-4</v>
      </c>
    </row>
    <row r="45" spans="1:2" x14ac:dyDescent="0.25">
      <c r="A45" s="18">
        <v>93</v>
      </c>
      <c r="B45" s="18">
        <v>1.6899999999999999E-4</v>
      </c>
    </row>
    <row r="46" spans="1:2" x14ac:dyDescent="0.25">
      <c r="A46" s="18">
        <v>94</v>
      </c>
      <c r="B46" s="18">
        <v>1.85E-4</v>
      </c>
    </row>
    <row r="47" spans="1:2" x14ac:dyDescent="0.25">
      <c r="A47" s="18">
        <v>95</v>
      </c>
      <c r="B47" s="18">
        <v>2.2800000000000001E-4</v>
      </c>
    </row>
    <row r="48" spans="1:2" x14ac:dyDescent="0.25">
      <c r="A48" s="18">
        <v>96</v>
      </c>
      <c r="B48" s="18">
        <v>2.43E-4</v>
      </c>
    </row>
    <row r="49" spans="1:2" x14ac:dyDescent="0.25">
      <c r="A49" s="18">
        <v>97</v>
      </c>
      <c r="B49" s="18">
        <v>2.8499999999999999E-4</v>
      </c>
    </row>
    <row r="50" spans="1:2" x14ac:dyDescent="0.25">
      <c r="A50" s="18">
        <v>98</v>
      </c>
      <c r="B50" s="18">
        <v>3.2699999999999998E-4</v>
      </c>
    </row>
    <row r="51" spans="1:2" x14ac:dyDescent="0.25">
      <c r="A51" s="18">
        <v>99</v>
      </c>
      <c r="B51" s="18">
        <v>3.7199999999999999E-4</v>
      </c>
    </row>
    <row r="52" spans="1:2" x14ac:dyDescent="0.25">
      <c r="A52" s="18">
        <v>100</v>
      </c>
      <c r="B52" s="18">
        <v>4.4799999999999999E-4</v>
      </c>
    </row>
    <row r="53" spans="1:2" x14ac:dyDescent="0.25">
      <c r="A53" s="18">
        <v>101</v>
      </c>
      <c r="B53" s="18">
        <v>4.8000000000000001E-4</v>
      </c>
    </row>
    <row r="54" spans="1:2" x14ac:dyDescent="0.25">
      <c r="A54" s="18">
        <v>102</v>
      </c>
      <c r="B54" s="18">
        <v>5.6400000000000005E-4</v>
      </c>
    </row>
    <row r="55" spans="1:2" x14ac:dyDescent="0.25">
      <c r="A55" s="18">
        <v>103</v>
      </c>
      <c r="B55" s="18">
        <v>6.2699999999999995E-4</v>
      </c>
    </row>
    <row r="56" spans="1:2" x14ac:dyDescent="0.25">
      <c r="A56" s="18">
        <v>104</v>
      </c>
      <c r="B56" s="18">
        <v>6.8900000000000005E-4</v>
      </c>
    </row>
    <row r="57" spans="1:2" x14ac:dyDescent="0.25">
      <c r="A57" s="18">
        <v>105</v>
      </c>
      <c r="B57" s="18">
        <v>7.7800000000000005E-4</v>
      </c>
    </row>
    <row r="58" spans="1:2" x14ac:dyDescent="0.25">
      <c r="A58" s="18">
        <v>106</v>
      </c>
      <c r="B58" s="18">
        <v>8.7299999999999997E-4</v>
      </c>
    </row>
    <row r="59" spans="1:2" x14ac:dyDescent="0.25">
      <c r="A59" s="18">
        <v>107</v>
      </c>
      <c r="B59" s="18">
        <v>9.5200000000000005E-4</v>
      </c>
    </row>
    <row r="60" spans="1:2" x14ac:dyDescent="0.25">
      <c r="A60" s="18">
        <v>108</v>
      </c>
      <c r="B60" s="18">
        <v>1.0499999999999999E-3</v>
      </c>
    </row>
    <row r="61" spans="1:2" x14ac:dyDescent="0.25">
      <c r="A61" s="18">
        <v>109</v>
      </c>
      <c r="B61" s="18">
        <v>1.17E-3</v>
      </c>
    </row>
    <row r="62" spans="1:2" x14ac:dyDescent="0.25">
      <c r="A62" s="18">
        <v>110</v>
      </c>
      <c r="B62" s="18">
        <v>1.2700000000000001E-3</v>
      </c>
    </row>
    <row r="63" spans="1:2" x14ac:dyDescent="0.25">
      <c r="A63" s="18">
        <v>111</v>
      </c>
      <c r="B63" s="18">
        <v>1.4E-3</v>
      </c>
    </row>
    <row r="64" spans="1:2" x14ac:dyDescent="0.25">
      <c r="A64" s="18">
        <v>112</v>
      </c>
      <c r="B64" s="18">
        <v>1.5100000000000001E-3</v>
      </c>
    </row>
    <row r="65" spans="1:2" x14ac:dyDescent="0.25">
      <c r="A65" s="18">
        <v>113</v>
      </c>
      <c r="B65" s="18">
        <v>1.6100000000000001E-3</v>
      </c>
    </row>
    <row r="66" spans="1:2" x14ac:dyDescent="0.25">
      <c r="A66" s="18">
        <v>114</v>
      </c>
      <c r="B66" s="18">
        <v>1.7700000000000001E-3</v>
      </c>
    </row>
    <row r="67" spans="1:2" x14ac:dyDescent="0.25">
      <c r="A67" s="18">
        <v>115</v>
      </c>
      <c r="B67" s="18">
        <v>1.9300000000000001E-3</v>
      </c>
    </row>
    <row r="68" spans="1:2" x14ac:dyDescent="0.25">
      <c r="A68" s="18">
        <v>116</v>
      </c>
      <c r="B68" s="18">
        <v>2.0500000000000002E-3</v>
      </c>
    </row>
    <row r="69" spans="1:2" x14ac:dyDescent="0.25">
      <c r="A69" s="18">
        <v>117</v>
      </c>
      <c r="B69" s="18">
        <v>2.1900000000000001E-3</v>
      </c>
    </row>
    <row r="70" spans="1:2" x14ac:dyDescent="0.25">
      <c r="A70" s="18">
        <v>118</v>
      </c>
      <c r="B70" s="18">
        <v>2.3500000000000001E-3</v>
      </c>
    </row>
    <row r="71" spans="1:2" x14ac:dyDescent="0.25">
      <c r="A71" s="18">
        <v>119</v>
      </c>
      <c r="B71" s="18">
        <v>2.5400000000000002E-3</v>
      </c>
    </row>
    <row r="72" spans="1:2" x14ac:dyDescent="0.25">
      <c r="A72" s="18">
        <v>120</v>
      </c>
      <c r="B72" s="18">
        <v>2.6900000000000001E-3</v>
      </c>
    </row>
    <row r="73" spans="1:2" x14ac:dyDescent="0.25">
      <c r="A73" s="18">
        <v>121</v>
      </c>
      <c r="B73" s="18">
        <v>2.82E-3</v>
      </c>
    </row>
    <row r="74" spans="1:2" x14ac:dyDescent="0.25">
      <c r="A74" s="18">
        <v>122</v>
      </c>
      <c r="B74" s="18">
        <v>3.0200000000000001E-3</v>
      </c>
    </row>
    <row r="75" spans="1:2" x14ac:dyDescent="0.25">
      <c r="A75" s="18">
        <v>123</v>
      </c>
      <c r="B75" s="18">
        <v>3.1900000000000001E-3</v>
      </c>
    </row>
    <row r="76" spans="1:2" x14ac:dyDescent="0.25">
      <c r="A76" s="18">
        <v>124</v>
      </c>
      <c r="B76" s="18">
        <v>3.3500000000000001E-3</v>
      </c>
    </row>
    <row r="77" spans="1:2" x14ac:dyDescent="0.25">
      <c r="A77" s="18">
        <v>125</v>
      </c>
      <c r="B77" s="18">
        <v>3.5599999999999998E-3</v>
      </c>
    </row>
    <row r="78" spans="1:2" x14ac:dyDescent="0.25">
      <c r="A78" s="18">
        <v>126</v>
      </c>
      <c r="B78" s="18">
        <v>3.7299999999999998E-3</v>
      </c>
    </row>
    <row r="79" spans="1:2" x14ac:dyDescent="0.25">
      <c r="A79" s="18">
        <v>127</v>
      </c>
      <c r="B79" s="18">
        <v>3.96E-3</v>
      </c>
    </row>
    <row r="80" spans="1:2" x14ac:dyDescent="0.25">
      <c r="A80" s="18">
        <v>128</v>
      </c>
      <c r="B80" s="18">
        <v>4.1000000000000003E-3</v>
      </c>
    </row>
    <row r="81" spans="1:2" x14ac:dyDescent="0.25">
      <c r="A81" s="18">
        <v>129</v>
      </c>
      <c r="B81" s="18">
        <v>4.3E-3</v>
      </c>
    </row>
    <row r="82" spans="1:2" x14ac:dyDescent="0.25">
      <c r="A82" s="18">
        <v>130</v>
      </c>
      <c r="B82" s="18">
        <v>4.4900000000000001E-3</v>
      </c>
    </row>
    <row r="83" spans="1:2" x14ac:dyDescent="0.25">
      <c r="A83" s="18">
        <v>131</v>
      </c>
      <c r="B83" s="18">
        <v>4.6600000000000001E-3</v>
      </c>
    </row>
    <row r="84" spans="1:2" x14ac:dyDescent="0.25">
      <c r="A84" s="18">
        <v>132</v>
      </c>
      <c r="B84" s="18">
        <v>4.8500000000000001E-3</v>
      </c>
    </row>
    <row r="85" spans="1:2" x14ac:dyDescent="0.25">
      <c r="A85" s="18">
        <v>133</v>
      </c>
      <c r="B85" s="18">
        <v>5.0400000000000002E-3</v>
      </c>
    </row>
    <row r="86" spans="1:2" x14ac:dyDescent="0.25">
      <c r="A86" s="18">
        <v>134</v>
      </c>
      <c r="B86" s="18">
        <v>5.2700000000000004E-3</v>
      </c>
    </row>
    <row r="87" spans="1:2" x14ac:dyDescent="0.25">
      <c r="A87" s="18">
        <v>135</v>
      </c>
      <c r="B87" s="18">
        <v>5.4200000000000003E-3</v>
      </c>
    </row>
    <row r="88" spans="1:2" x14ac:dyDescent="0.25">
      <c r="A88" s="18">
        <v>136</v>
      </c>
      <c r="B88" s="18">
        <v>5.6100000000000004E-3</v>
      </c>
    </row>
    <row r="89" spans="1:2" x14ac:dyDescent="0.25">
      <c r="A89" s="18">
        <v>137</v>
      </c>
      <c r="B89" s="18">
        <v>5.79E-3</v>
      </c>
    </row>
    <row r="90" spans="1:2" x14ac:dyDescent="0.25">
      <c r="A90" s="18">
        <v>138</v>
      </c>
      <c r="B90" s="18">
        <v>5.9800000000000001E-3</v>
      </c>
    </row>
    <row r="91" spans="1:2" x14ac:dyDescent="0.25">
      <c r="A91" s="18">
        <v>139</v>
      </c>
      <c r="B91" s="18">
        <v>6.13E-3</v>
      </c>
    </row>
    <row r="92" spans="1:2" x14ac:dyDescent="0.25">
      <c r="A92" s="18">
        <v>140</v>
      </c>
      <c r="B92" s="18">
        <v>6.3400000000000001E-3</v>
      </c>
    </row>
    <row r="93" spans="1:2" x14ac:dyDescent="0.25">
      <c r="A93" s="18">
        <v>141</v>
      </c>
      <c r="B93" s="18">
        <v>6.5599999999999999E-3</v>
      </c>
    </row>
    <row r="94" spans="1:2" x14ac:dyDescent="0.25">
      <c r="A94" s="18">
        <v>142</v>
      </c>
      <c r="B94" s="18">
        <v>6.7499999999999999E-3</v>
      </c>
    </row>
    <row r="95" spans="1:2" x14ac:dyDescent="0.25">
      <c r="A95" s="18">
        <v>143</v>
      </c>
      <c r="B95" s="18">
        <v>6.8999999999999999E-3</v>
      </c>
    </row>
    <row r="96" spans="1:2" x14ac:dyDescent="0.25">
      <c r="A96" s="18">
        <v>144</v>
      </c>
      <c r="B96" s="18">
        <v>7.0400000000000003E-3</v>
      </c>
    </row>
    <row r="97" spans="1:2" x14ac:dyDescent="0.25">
      <c r="A97" s="18">
        <v>145</v>
      </c>
      <c r="B97" s="18">
        <v>7.2100000000000003E-3</v>
      </c>
    </row>
    <row r="98" spans="1:2" x14ac:dyDescent="0.25">
      <c r="A98" s="18">
        <v>146</v>
      </c>
      <c r="B98" s="18">
        <v>7.3299999999999997E-3</v>
      </c>
    </row>
    <row r="99" spans="1:2" x14ac:dyDescent="0.25">
      <c r="A99" s="18">
        <v>147</v>
      </c>
      <c r="B99" s="18">
        <v>7.5599999999999999E-3</v>
      </c>
    </row>
    <row r="100" spans="1:2" x14ac:dyDescent="0.25">
      <c r="A100" s="18">
        <v>148</v>
      </c>
      <c r="B100" s="18">
        <v>7.7400000000000004E-3</v>
      </c>
    </row>
    <row r="101" spans="1:2" x14ac:dyDescent="0.25">
      <c r="A101" s="18">
        <v>149</v>
      </c>
      <c r="B101" s="18">
        <v>7.8899999999999994E-3</v>
      </c>
    </row>
    <row r="102" spans="1:2" x14ac:dyDescent="0.25">
      <c r="A102" s="18">
        <v>150</v>
      </c>
      <c r="B102" s="18">
        <v>8.0300000000000007E-3</v>
      </c>
    </row>
    <row r="103" spans="1:2" x14ac:dyDescent="0.25">
      <c r="A103" s="18">
        <v>151</v>
      </c>
      <c r="B103" s="18">
        <v>8.1700000000000002E-3</v>
      </c>
    </row>
    <row r="104" spans="1:2" x14ac:dyDescent="0.25">
      <c r="A104" s="18">
        <v>152</v>
      </c>
      <c r="B104" s="18">
        <v>8.3000000000000001E-3</v>
      </c>
    </row>
    <row r="105" spans="1:2" x14ac:dyDescent="0.25">
      <c r="A105" s="18">
        <v>153</v>
      </c>
      <c r="B105" s="18">
        <v>8.4499999999999992E-3</v>
      </c>
    </row>
    <row r="106" spans="1:2" x14ac:dyDescent="0.25">
      <c r="A106" s="18">
        <v>154</v>
      </c>
      <c r="B106" s="18">
        <v>8.6999999999999994E-3</v>
      </c>
    </row>
    <row r="107" spans="1:2" x14ac:dyDescent="0.25">
      <c r="A107" s="18">
        <v>155</v>
      </c>
      <c r="B107" s="18">
        <v>8.7799999999999996E-3</v>
      </c>
    </row>
    <row r="108" spans="1:2" x14ac:dyDescent="0.25">
      <c r="A108" s="18">
        <v>156</v>
      </c>
      <c r="B108" s="18">
        <v>8.8299999999999993E-3</v>
      </c>
    </row>
    <row r="109" spans="1:2" x14ac:dyDescent="0.25">
      <c r="A109" s="18">
        <v>157</v>
      </c>
      <c r="B109" s="18">
        <v>9.0100000000000006E-3</v>
      </c>
    </row>
    <row r="110" spans="1:2" x14ac:dyDescent="0.25">
      <c r="A110" s="18">
        <v>158</v>
      </c>
      <c r="B110" s="18">
        <v>9.1900000000000003E-3</v>
      </c>
    </row>
    <row r="111" spans="1:2" x14ac:dyDescent="0.25">
      <c r="A111" s="18">
        <v>159</v>
      </c>
      <c r="B111" s="18">
        <v>9.3399999999999993E-3</v>
      </c>
    </row>
    <row r="112" spans="1:2" x14ac:dyDescent="0.25">
      <c r="A112" s="18">
        <v>160</v>
      </c>
      <c r="B112" s="18">
        <v>9.4199999999999996E-3</v>
      </c>
    </row>
    <row r="113" spans="1:2" x14ac:dyDescent="0.25">
      <c r="A113" s="18">
        <v>161</v>
      </c>
      <c r="B113" s="18">
        <v>9.6200000000000001E-3</v>
      </c>
    </row>
    <row r="114" spans="1:2" x14ac:dyDescent="0.25">
      <c r="A114" s="18">
        <v>162</v>
      </c>
      <c r="B114" s="18">
        <v>9.6900000000000007E-3</v>
      </c>
    </row>
    <row r="115" spans="1:2" x14ac:dyDescent="0.25">
      <c r="A115" s="18">
        <v>163</v>
      </c>
      <c r="B115" s="18">
        <v>9.7699999999999992E-3</v>
      </c>
    </row>
    <row r="116" spans="1:2" x14ac:dyDescent="0.25">
      <c r="A116" s="18">
        <v>164</v>
      </c>
      <c r="B116" s="18">
        <v>9.8899999999999995E-3</v>
      </c>
    </row>
    <row r="117" spans="1:2" x14ac:dyDescent="0.25">
      <c r="A117" s="18">
        <v>165</v>
      </c>
      <c r="B117" s="18">
        <v>9.9900000000000006E-3</v>
      </c>
    </row>
    <row r="118" spans="1:2" x14ac:dyDescent="0.25">
      <c r="A118" s="18">
        <v>166</v>
      </c>
      <c r="B118" s="18">
        <v>0.01</v>
      </c>
    </row>
    <row r="119" spans="1:2" x14ac:dyDescent="0.25">
      <c r="A119" s="18">
        <v>167</v>
      </c>
      <c r="B119" s="18">
        <v>1.0200000000000001E-2</v>
      </c>
    </row>
    <row r="120" spans="1:2" x14ac:dyDescent="0.25">
      <c r="A120" s="18">
        <v>168</v>
      </c>
      <c r="B120" s="18">
        <v>1.03E-2</v>
      </c>
    </row>
    <row r="121" spans="1:2" x14ac:dyDescent="0.25">
      <c r="A121" s="18">
        <v>169</v>
      </c>
      <c r="B121" s="18">
        <v>1.03E-2</v>
      </c>
    </row>
    <row r="122" spans="1:2" x14ac:dyDescent="0.25">
      <c r="A122" s="18">
        <v>170</v>
      </c>
      <c r="B122" s="18">
        <v>1.04E-2</v>
      </c>
    </row>
    <row r="123" spans="1:2" x14ac:dyDescent="0.25">
      <c r="A123" s="18">
        <v>171</v>
      </c>
      <c r="B123" s="18">
        <v>1.04E-2</v>
      </c>
    </row>
    <row r="124" spans="1:2" x14ac:dyDescent="0.25">
      <c r="A124" s="18">
        <v>172</v>
      </c>
      <c r="B124" s="18">
        <v>1.0500000000000001E-2</v>
      </c>
    </row>
    <row r="125" spans="1:2" x14ac:dyDescent="0.25">
      <c r="A125" s="18">
        <v>173</v>
      </c>
      <c r="B125" s="18">
        <v>1.0699999999999999E-2</v>
      </c>
    </row>
    <row r="126" spans="1:2" x14ac:dyDescent="0.25">
      <c r="A126" s="18">
        <v>174</v>
      </c>
      <c r="B126" s="18">
        <v>1.0500000000000001E-2</v>
      </c>
    </row>
    <row r="127" spans="1:2" x14ac:dyDescent="0.25">
      <c r="A127" s="18">
        <v>175</v>
      </c>
      <c r="B127" s="18">
        <v>1.0699999999999999E-2</v>
      </c>
    </row>
    <row r="128" spans="1:2" x14ac:dyDescent="0.25">
      <c r="A128" s="18">
        <v>176</v>
      </c>
      <c r="B128" s="18">
        <v>1.0699999999999999E-2</v>
      </c>
    </row>
    <row r="129" spans="1:2" x14ac:dyDescent="0.25">
      <c r="A129" s="18">
        <v>177</v>
      </c>
      <c r="B129" s="18">
        <v>1.0699999999999999E-2</v>
      </c>
    </row>
    <row r="130" spans="1:2" x14ac:dyDescent="0.25">
      <c r="A130" s="18">
        <v>178</v>
      </c>
      <c r="B130" s="18">
        <v>1.0699999999999999E-2</v>
      </c>
    </row>
    <row r="131" spans="1:2" x14ac:dyDescent="0.25">
      <c r="A131" s="18">
        <v>179</v>
      </c>
      <c r="B131" s="18">
        <v>1.0800000000000001E-2</v>
      </c>
    </row>
    <row r="132" spans="1:2" x14ac:dyDescent="0.25">
      <c r="A132" s="18">
        <v>180</v>
      </c>
      <c r="B132" s="18">
        <v>1.0800000000000001E-2</v>
      </c>
    </row>
    <row r="133" spans="1:2" x14ac:dyDescent="0.25">
      <c r="A133" s="18">
        <v>181</v>
      </c>
      <c r="B133" s="18">
        <v>1.0800000000000001E-2</v>
      </c>
    </row>
    <row r="134" spans="1:2" x14ac:dyDescent="0.25">
      <c r="A134" s="18">
        <v>182</v>
      </c>
      <c r="B134" s="18">
        <v>1.0800000000000001E-2</v>
      </c>
    </row>
    <row r="135" spans="1:2" x14ac:dyDescent="0.25">
      <c r="A135" s="18">
        <v>183</v>
      </c>
      <c r="B135" s="18">
        <v>1.0999999999999999E-2</v>
      </c>
    </row>
    <row r="136" spans="1:2" x14ac:dyDescent="0.25">
      <c r="A136" s="18">
        <v>184</v>
      </c>
      <c r="B136" s="18">
        <v>1.0999999999999999E-2</v>
      </c>
    </row>
    <row r="137" spans="1:2" x14ac:dyDescent="0.25">
      <c r="A137" s="18">
        <v>185</v>
      </c>
      <c r="B137" s="18">
        <v>1.09E-2</v>
      </c>
    </row>
    <row r="138" spans="1:2" x14ac:dyDescent="0.25">
      <c r="A138" s="18">
        <v>186</v>
      </c>
      <c r="B138" s="18">
        <v>1.0699999999999999E-2</v>
      </c>
    </row>
    <row r="139" spans="1:2" x14ac:dyDescent="0.25">
      <c r="A139" s="18">
        <v>187</v>
      </c>
      <c r="B139" s="18">
        <v>1.0699999999999999E-2</v>
      </c>
    </row>
    <row r="140" spans="1:2" x14ac:dyDescent="0.25">
      <c r="A140" s="18">
        <v>188</v>
      </c>
      <c r="B140" s="18">
        <v>1.09E-2</v>
      </c>
    </row>
    <row r="141" spans="1:2" x14ac:dyDescent="0.25">
      <c r="A141" s="18">
        <v>189</v>
      </c>
      <c r="B141" s="18">
        <v>1.0699999999999999E-2</v>
      </c>
    </row>
    <row r="142" spans="1:2" x14ac:dyDescent="0.25">
      <c r="A142" s="18">
        <v>190</v>
      </c>
      <c r="B142" s="18">
        <v>1.0699999999999999E-2</v>
      </c>
    </row>
    <row r="143" spans="1:2" x14ac:dyDescent="0.25">
      <c r="A143" s="18">
        <v>191</v>
      </c>
      <c r="B143" s="18">
        <v>1.0800000000000001E-2</v>
      </c>
    </row>
    <row r="144" spans="1:2" x14ac:dyDescent="0.25">
      <c r="A144" s="18">
        <v>192</v>
      </c>
      <c r="B144" s="18">
        <v>1.0699999999999999E-2</v>
      </c>
    </row>
    <row r="145" spans="1:2" x14ac:dyDescent="0.25">
      <c r="A145" s="18">
        <v>193</v>
      </c>
      <c r="B145" s="18">
        <v>1.06E-2</v>
      </c>
    </row>
    <row r="146" spans="1:2" x14ac:dyDescent="0.25">
      <c r="A146" s="18">
        <v>194</v>
      </c>
      <c r="B146" s="18">
        <v>1.0500000000000001E-2</v>
      </c>
    </row>
    <row r="147" spans="1:2" x14ac:dyDescent="0.25">
      <c r="A147" s="18">
        <v>195</v>
      </c>
      <c r="B147" s="18">
        <v>1.0500000000000001E-2</v>
      </c>
    </row>
    <row r="148" spans="1:2" x14ac:dyDescent="0.25">
      <c r="A148" s="18">
        <v>196</v>
      </c>
      <c r="B148" s="18">
        <v>1.06E-2</v>
      </c>
    </row>
    <row r="149" spans="1:2" x14ac:dyDescent="0.25">
      <c r="A149" s="18">
        <v>197</v>
      </c>
      <c r="B149" s="18">
        <v>1.04E-2</v>
      </c>
    </row>
    <row r="150" spans="1:2" x14ac:dyDescent="0.25">
      <c r="A150" s="18">
        <v>198</v>
      </c>
      <c r="B150" s="18">
        <v>1.0200000000000001E-2</v>
      </c>
    </row>
    <row r="151" spans="1:2" x14ac:dyDescent="0.25">
      <c r="A151" s="18">
        <v>199</v>
      </c>
      <c r="B151" s="18">
        <v>1.03E-2</v>
      </c>
    </row>
    <row r="152" spans="1:2" x14ac:dyDescent="0.25">
      <c r="A152" s="18">
        <v>200</v>
      </c>
      <c r="B152" s="18">
        <v>1.01E-2</v>
      </c>
    </row>
    <row r="153" spans="1:2" x14ac:dyDescent="0.25">
      <c r="A153" s="18">
        <v>201</v>
      </c>
      <c r="B153" s="18">
        <v>1.0200000000000001E-2</v>
      </c>
    </row>
    <row r="154" spans="1:2" x14ac:dyDescent="0.25">
      <c r="A154" s="18">
        <v>202</v>
      </c>
      <c r="B154" s="18">
        <v>9.9299999999999996E-3</v>
      </c>
    </row>
    <row r="155" spans="1:2" x14ac:dyDescent="0.25">
      <c r="A155" s="18">
        <v>203</v>
      </c>
      <c r="B155" s="18">
        <v>9.9000000000000008E-3</v>
      </c>
    </row>
    <row r="156" spans="1:2" x14ac:dyDescent="0.25">
      <c r="A156" s="18">
        <v>204</v>
      </c>
      <c r="B156" s="18">
        <v>9.7099999999999999E-3</v>
      </c>
    </row>
    <row r="157" spans="1:2" x14ac:dyDescent="0.25">
      <c r="A157" s="18">
        <v>205</v>
      </c>
      <c r="B157" s="18">
        <v>9.6600000000000002E-3</v>
      </c>
    </row>
    <row r="158" spans="1:2" x14ac:dyDescent="0.25">
      <c r="A158" s="18">
        <v>206</v>
      </c>
      <c r="B158" s="18">
        <v>9.4999999999999998E-3</v>
      </c>
    </row>
    <row r="159" spans="1:2" x14ac:dyDescent="0.25">
      <c r="A159" s="18">
        <v>207</v>
      </c>
      <c r="B159" s="18">
        <v>9.4999999999999998E-3</v>
      </c>
    </row>
    <row r="160" spans="1:2" x14ac:dyDescent="0.25">
      <c r="A160" s="18">
        <v>208</v>
      </c>
      <c r="B160" s="18">
        <v>9.3699999999999999E-3</v>
      </c>
    </row>
    <row r="161" spans="1:2" x14ac:dyDescent="0.25">
      <c r="A161" s="18">
        <v>209</v>
      </c>
      <c r="B161" s="18">
        <v>9.0900000000000009E-3</v>
      </c>
    </row>
    <row r="162" spans="1:2" x14ac:dyDescent="0.25">
      <c r="A162" s="18">
        <v>210</v>
      </c>
      <c r="B162" s="18">
        <v>9.0500000000000008E-3</v>
      </c>
    </row>
    <row r="163" spans="1:2" x14ac:dyDescent="0.25">
      <c r="A163" s="18">
        <v>211</v>
      </c>
      <c r="B163" s="18">
        <v>8.9800000000000001E-3</v>
      </c>
    </row>
    <row r="164" spans="1:2" x14ac:dyDescent="0.25">
      <c r="A164" s="18">
        <v>212</v>
      </c>
      <c r="B164" s="18">
        <v>8.7899999999999992E-3</v>
      </c>
    </row>
    <row r="165" spans="1:2" x14ac:dyDescent="0.25">
      <c r="A165" s="18">
        <v>213</v>
      </c>
      <c r="B165" s="18">
        <v>8.5900000000000004E-3</v>
      </c>
    </row>
    <row r="166" spans="1:2" x14ac:dyDescent="0.25">
      <c r="A166" s="18">
        <v>214</v>
      </c>
      <c r="B166" s="18">
        <v>8.4700000000000001E-3</v>
      </c>
    </row>
    <row r="167" spans="1:2" x14ac:dyDescent="0.25">
      <c r="A167" s="18">
        <v>215</v>
      </c>
      <c r="B167" s="18">
        <v>8.4600000000000005E-3</v>
      </c>
    </row>
    <row r="168" spans="1:2" x14ac:dyDescent="0.25">
      <c r="A168" s="18">
        <v>216</v>
      </c>
      <c r="B168" s="18">
        <v>8.0400000000000003E-3</v>
      </c>
    </row>
    <row r="169" spans="1:2" x14ac:dyDescent="0.25">
      <c r="A169" s="18">
        <v>217</v>
      </c>
      <c r="B169" s="18">
        <v>8.0000000000000002E-3</v>
      </c>
    </row>
    <row r="170" spans="1:2" x14ac:dyDescent="0.25">
      <c r="A170" s="18">
        <v>218</v>
      </c>
      <c r="B170" s="18">
        <v>7.8499999999999993E-3</v>
      </c>
    </row>
    <row r="171" spans="1:2" x14ac:dyDescent="0.25">
      <c r="A171" s="18">
        <v>219</v>
      </c>
      <c r="B171" s="18">
        <v>7.6E-3</v>
      </c>
    </row>
    <row r="172" spans="1:2" x14ac:dyDescent="0.25">
      <c r="A172" s="18">
        <v>220</v>
      </c>
      <c r="B172" s="18">
        <v>7.5300000000000002E-3</v>
      </c>
    </row>
    <row r="173" spans="1:2" x14ac:dyDescent="0.25">
      <c r="A173" s="18">
        <v>221</v>
      </c>
      <c r="B173" s="18">
        <v>7.3099999999999997E-3</v>
      </c>
    </row>
    <row r="174" spans="1:2" x14ac:dyDescent="0.25">
      <c r="A174" s="18">
        <v>222</v>
      </c>
      <c r="B174" s="18">
        <v>7.0400000000000003E-3</v>
      </c>
    </row>
    <row r="175" spans="1:2" x14ac:dyDescent="0.25">
      <c r="A175" s="18">
        <v>223</v>
      </c>
      <c r="B175" s="18">
        <v>6.8799999999999998E-3</v>
      </c>
    </row>
    <row r="176" spans="1:2" x14ac:dyDescent="0.25">
      <c r="A176" s="18">
        <v>224</v>
      </c>
      <c r="B176" s="18">
        <v>6.8199999999999997E-3</v>
      </c>
    </row>
    <row r="177" spans="1:2" x14ac:dyDescent="0.25">
      <c r="A177" s="18">
        <v>225</v>
      </c>
      <c r="B177" s="18">
        <v>6.43E-3</v>
      </c>
    </row>
    <row r="178" spans="1:2" x14ac:dyDescent="0.25">
      <c r="A178" s="18">
        <v>226</v>
      </c>
      <c r="B178" s="18">
        <v>6.28E-3</v>
      </c>
    </row>
    <row r="179" spans="1:2" x14ac:dyDescent="0.25">
      <c r="A179" s="18">
        <v>227</v>
      </c>
      <c r="B179" s="18">
        <v>6.11E-3</v>
      </c>
    </row>
    <row r="180" spans="1:2" x14ac:dyDescent="0.25">
      <c r="A180" s="18">
        <v>228</v>
      </c>
      <c r="B180" s="18">
        <v>5.8700000000000002E-3</v>
      </c>
    </row>
    <row r="181" spans="1:2" x14ac:dyDescent="0.25">
      <c r="A181" s="18">
        <v>229</v>
      </c>
      <c r="B181" s="18">
        <v>5.64E-3</v>
      </c>
    </row>
    <row r="182" spans="1:2" x14ac:dyDescent="0.25">
      <c r="A182" s="18">
        <v>230</v>
      </c>
      <c r="B182" s="18">
        <v>5.3600000000000002E-3</v>
      </c>
    </row>
    <row r="183" spans="1:2" x14ac:dyDescent="0.25">
      <c r="A183" s="18">
        <v>231</v>
      </c>
      <c r="B183" s="18">
        <v>5.1000000000000004E-3</v>
      </c>
    </row>
    <row r="184" spans="1:2" x14ac:dyDescent="0.25">
      <c r="A184" s="18">
        <v>232</v>
      </c>
      <c r="B184" s="18">
        <v>4.9100000000000003E-3</v>
      </c>
    </row>
    <row r="185" spans="1:2" x14ac:dyDescent="0.25">
      <c r="A185" s="18">
        <v>233</v>
      </c>
      <c r="B185" s="18">
        <v>4.6800000000000001E-3</v>
      </c>
    </row>
    <row r="186" spans="1:2" x14ac:dyDescent="0.25">
      <c r="A186" s="18">
        <v>234</v>
      </c>
      <c r="B186" s="18">
        <v>4.3299999999999996E-3</v>
      </c>
    </row>
    <row r="187" spans="1:2" x14ac:dyDescent="0.25">
      <c r="A187" s="18">
        <v>235</v>
      </c>
      <c r="B187" s="18">
        <v>4.1099999999999999E-3</v>
      </c>
    </row>
    <row r="188" spans="1:2" x14ac:dyDescent="0.25">
      <c r="A188" s="18">
        <v>236</v>
      </c>
      <c r="B188" s="18">
        <v>3.8999999999999998E-3</v>
      </c>
    </row>
    <row r="189" spans="1:2" x14ac:dyDescent="0.25">
      <c r="A189" s="18">
        <v>237</v>
      </c>
      <c r="B189" s="18">
        <v>3.5599999999999998E-3</v>
      </c>
    </row>
    <row r="190" spans="1:2" x14ac:dyDescent="0.25">
      <c r="A190" s="18">
        <v>238</v>
      </c>
      <c r="B190" s="18">
        <v>3.3500000000000001E-3</v>
      </c>
    </row>
    <row r="191" spans="1:2" x14ac:dyDescent="0.25">
      <c r="A191" s="18">
        <v>239</v>
      </c>
      <c r="B191" s="18">
        <v>3.0999999999999999E-3</v>
      </c>
    </row>
    <row r="192" spans="1:2" x14ac:dyDescent="0.25">
      <c r="A192" s="18">
        <v>240</v>
      </c>
      <c r="B192" s="18">
        <v>2.7499999999999998E-3</v>
      </c>
    </row>
    <row r="193" spans="1:2" x14ac:dyDescent="0.25">
      <c r="A193" s="18">
        <v>241</v>
      </c>
      <c r="B193" s="18">
        <v>2.5100000000000001E-3</v>
      </c>
    </row>
    <row r="194" spans="1:2" x14ac:dyDescent="0.25">
      <c r="A194" s="18">
        <v>242</v>
      </c>
      <c r="B194" s="18">
        <v>2.2200000000000002E-3</v>
      </c>
    </row>
    <row r="195" spans="1:2" x14ac:dyDescent="0.25">
      <c r="A195" s="18">
        <v>243</v>
      </c>
      <c r="B195" s="18">
        <v>1.9400000000000001E-3</v>
      </c>
    </row>
    <row r="196" spans="1:2" x14ac:dyDescent="0.25">
      <c r="A196" s="18">
        <v>244</v>
      </c>
      <c r="B196" s="18">
        <v>1.67E-3</v>
      </c>
    </row>
    <row r="197" spans="1:2" x14ac:dyDescent="0.25">
      <c r="A197" s="18">
        <v>245</v>
      </c>
      <c r="B197" s="18">
        <v>1.3699999999999999E-3</v>
      </c>
    </row>
    <row r="198" spans="1:2" x14ac:dyDescent="0.25">
      <c r="A198" s="18">
        <v>246</v>
      </c>
      <c r="B198" s="18">
        <v>1.1000000000000001E-3</v>
      </c>
    </row>
    <row r="199" spans="1:2" x14ac:dyDescent="0.25">
      <c r="A199" s="18">
        <v>247</v>
      </c>
      <c r="B199" s="18">
        <v>7.9100000000000004E-4</v>
      </c>
    </row>
    <row r="200" spans="1:2" x14ac:dyDescent="0.25">
      <c r="A200" s="18">
        <v>248</v>
      </c>
      <c r="B200" s="18">
        <v>4.8799999999999999E-4</v>
      </c>
    </row>
    <row r="201" spans="1:2" x14ac:dyDescent="0.25">
      <c r="A201" s="18">
        <v>249</v>
      </c>
      <c r="B201" s="18">
        <v>2.22E-4</v>
      </c>
    </row>
    <row r="202" spans="1:2" x14ac:dyDescent="0.25">
      <c r="A202" s="18">
        <v>250</v>
      </c>
      <c r="B202" s="18">
        <v>2.1999999999999999E-5</v>
      </c>
    </row>
    <row r="203" spans="1:2" x14ac:dyDescent="0.25">
      <c r="A203" s="18">
        <v>251</v>
      </c>
      <c r="B203" s="18">
        <v>4.4599999999999996E-6</v>
      </c>
    </row>
    <row r="204" spans="1:2" x14ac:dyDescent="0.25">
      <c r="A204" s="18">
        <v>252</v>
      </c>
      <c r="B204" s="18">
        <v>1.24E-5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900-000000000000}">
  <dimension ref="A1:B244"/>
  <sheetViews>
    <sheetView workbookViewId="0">
      <selection activeCell="F7" sqref="F7"/>
    </sheetView>
  </sheetViews>
  <sheetFormatPr defaultRowHeight="15" x14ac:dyDescent="0.25"/>
  <sheetData>
    <row r="1" spans="1:2" x14ac:dyDescent="0.25">
      <c r="A1" s="28" t="s">
        <v>17</v>
      </c>
      <c r="B1" s="28" t="s">
        <v>12</v>
      </c>
    </row>
    <row r="2" spans="1:2" x14ac:dyDescent="0.25">
      <c r="A2" s="18">
        <v>60</v>
      </c>
      <c r="B2" s="18">
        <v>4.2299999999999998E-5</v>
      </c>
    </row>
    <row r="3" spans="1:2" x14ac:dyDescent="0.25">
      <c r="A3" s="18">
        <v>61</v>
      </c>
      <c r="B3" s="18">
        <v>4.7800000000000003E-5</v>
      </c>
    </row>
    <row r="4" spans="1:2" x14ac:dyDescent="0.25">
      <c r="A4" s="18">
        <v>62</v>
      </c>
      <c r="B4" s="18">
        <v>3.8600000000000003E-5</v>
      </c>
    </row>
    <row r="5" spans="1:2" x14ac:dyDescent="0.25">
      <c r="A5" s="18">
        <v>63</v>
      </c>
      <c r="B5" s="18">
        <v>4.32E-5</v>
      </c>
    </row>
    <row r="6" spans="1:2" x14ac:dyDescent="0.25">
      <c r="A6" s="18">
        <v>64</v>
      </c>
      <c r="B6" s="18">
        <v>4.1300000000000001E-5</v>
      </c>
    </row>
    <row r="7" spans="1:2" x14ac:dyDescent="0.25">
      <c r="A7" s="18">
        <v>65</v>
      </c>
      <c r="B7" s="18">
        <v>4.6499999999999999E-5</v>
      </c>
    </row>
    <row r="8" spans="1:2" x14ac:dyDescent="0.25">
      <c r="A8" s="18">
        <v>66</v>
      </c>
      <c r="B8" s="18">
        <v>4.71E-5</v>
      </c>
    </row>
    <row r="9" spans="1:2" x14ac:dyDescent="0.25">
      <c r="A9" s="18">
        <v>67</v>
      </c>
      <c r="B9" s="18">
        <v>4.5800000000000002E-5</v>
      </c>
    </row>
    <row r="10" spans="1:2" x14ac:dyDescent="0.25">
      <c r="A10" s="18">
        <v>68</v>
      </c>
      <c r="B10" s="18">
        <v>4.8900000000000003E-5</v>
      </c>
    </row>
    <row r="11" spans="1:2" x14ac:dyDescent="0.25">
      <c r="A11" s="18">
        <v>69</v>
      </c>
      <c r="B11" s="18">
        <v>4.4100000000000001E-5</v>
      </c>
    </row>
    <row r="12" spans="1:2" x14ac:dyDescent="0.25">
      <c r="A12" s="18">
        <v>70</v>
      </c>
      <c r="B12" s="18">
        <v>4.5599999999999997E-5</v>
      </c>
    </row>
    <row r="13" spans="1:2" x14ac:dyDescent="0.25">
      <c r="A13" s="18">
        <v>71</v>
      </c>
      <c r="B13" s="18">
        <v>4.8000000000000001E-5</v>
      </c>
    </row>
    <row r="14" spans="1:2" x14ac:dyDescent="0.25">
      <c r="A14" s="18">
        <v>72</v>
      </c>
      <c r="B14" s="18">
        <v>5.0000000000000002E-5</v>
      </c>
    </row>
    <row r="15" spans="1:2" x14ac:dyDescent="0.25">
      <c r="A15" s="18">
        <v>73</v>
      </c>
      <c r="B15" s="18">
        <v>5.6900000000000001E-5</v>
      </c>
    </row>
    <row r="16" spans="1:2" x14ac:dyDescent="0.25">
      <c r="A16" s="18">
        <v>74</v>
      </c>
      <c r="B16" s="18">
        <v>5.2599999999999998E-5</v>
      </c>
    </row>
    <row r="17" spans="1:2" x14ac:dyDescent="0.25">
      <c r="A17" s="18">
        <v>75</v>
      </c>
      <c r="B17" s="18">
        <v>7.2200000000000007E-5</v>
      </c>
    </row>
    <row r="18" spans="1:2" x14ac:dyDescent="0.25">
      <c r="A18" s="18">
        <v>76</v>
      </c>
      <c r="B18" s="18">
        <v>4.1300000000000001E-5</v>
      </c>
    </row>
    <row r="19" spans="1:2" x14ac:dyDescent="0.25">
      <c r="A19" s="18">
        <v>77</v>
      </c>
      <c r="B19" s="18">
        <v>4.0899999999999998E-5</v>
      </c>
    </row>
    <row r="20" spans="1:2" x14ac:dyDescent="0.25">
      <c r="A20" s="18">
        <v>78</v>
      </c>
      <c r="B20" s="18">
        <v>5.8600000000000001E-5</v>
      </c>
    </row>
    <row r="21" spans="1:2" x14ac:dyDescent="0.25">
      <c r="A21" s="18">
        <v>79</v>
      </c>
      <c r="B21" s="18">
        <v>4.0200000000000001E-5</v>
      </c>
    </row>
    <row r="22" spans="1:2" x14ac:dyDescent="0.25">
      <c r="A22" s="18">
        <v>80</v>
      </c>
      <c r="B22" s="18">
        <v>3.65E-5</v>
      </c>
    </row>
    <row r="23" spans="1:2" x14ac:dyDescent="0.25">
      <c r="A23" s="18">
        <v>81</v>
      </c>
      <c r="B23" s="18">
        <v>3.57E-5</v>
      </c>
    </row>
    <row r="24" spans="1:2" x14ac:dyDescent="0.25">
      <c r="A24" s="18">
        <v>82</v>
      </c>
      <c r="B24" s="18">
        <v>3.8399999999999998E-5</v>
      </c>
    </row>
    <row r="25" spans="1:2" x14ac:dyDescent="0.25">
      <c r="A25" s="18">
        <v>83</v>
      </c>
      <c r="B25" s="18">
        <v>4.2500000000000003E-5</v>
      </c>
    </row>
    <row r="26" spans="1:2" x14ac:dyDescent="0.25">
      <c r="A26" s="18">
        <v>84</v>
      </c>
      <c r="B26" s="18">
        <v>4.1600000000000002E-5</v>
      </c>
    </row>
    <row r="27" spans="1:2" x14ac:dyDescent="0.25">
      <c r="A27" s="18">
        <v>85</v>
      </c>
      <c r="B27" s="18">
        <v>4.88E-5</v>
      </c>
    </row>
    <row r="28" spans="1:2" x14ac:dyDescent="0.25">
      <c r="A28" s="18">
        <v>86</v>
      </c>
      <c r="B28" s="18">
        <v>3.6900000000000002E-5</v>
      </c>
    </row>
    <row r="29" spans="1:2" x14ac:dyDescent="0.25">
      <c r="A29" s="18">
        <v>87</v>
      </c>
      <c r="B29" s="18">
        <v>4.8600000000000002E-5</v>
      </c>
    </row>
    <row r="30" spans="1:2" x14ac:dyDescent="0.25">
      <c r="A30" s="18">
        <v>88</v>
      </c>
      <c r="B30" s="18">
        <v>4.0399999999999999E-5</v>
      </c>
    </row>
    <row r="31" spans="1:2" x14ac:dyDescent="0.25">
      <c r="A31" s="18">
        <v>89</v>
      </c>
      <c r="B31" s="18">
        <v>2.5400000000000001E-5</v>
      </c>
    </row>
    <row r="32" spans="1:2" x14ac:dyDescent="0.25">
      <c r="A32" s="18">
        <v>90</v>
      </c>
      <c r="B32" s="18">
        <v>3.6100000000000003E-5</v>
      </c>
    </row>
    <row r="33" spans="1:2" x14ac:dyDescent="0.25">
      <c r="A33" s="18">
        <v>91</v>
      </c>
      <c r="B33" s="18">
        <v>2.0999999999999999E-5</v>
      </c>
    </row>
    <row r="34" spans="1:2" x14ac:dyDescent="0.25">
      <c r="A34" s="18">
        <v>92</v>
      </c>
      <c r="B34" s="18">
        <v>2.6599999999999999E-5</v>
      </c>
    </row>
    <row r="35" spans="1:2" x14ac:dyDescent="0.25">
      <c r="A35" s="18">
        <v>93</v>
      </c>
      <c r="B35" s="18">
        <v>1.5299999999999999E-5</v>
      </c>
    </row>
    <row r="36" spans="1:2" x14ac:dyDescent="0.25">
      <c r="A36" s="18">
        <v>94</v>
      </c>
      <c r="B36" s="18">
        <v>3.3399999999999999E-5</v>
      </c>
    </row>
    <row r="37" spans="1:2" x14ac:dyDescent="0.25">
      <c r="A37" s="18">
        <v>95</v>
      </c>
      <c r="B37" s="18">
        <v>1.5500000000000001E-5</v>
      </c>
    </row>
    <row r="38" spans="1:2" x14ac:dyDescent="0.25">
      <c r="A38" s="18">
        <v>96</v>
      </c>
      <c r="B38" s="18">
        <v>2.3900000000000002E-5</v>
      </c>
    </row>
    <row r="39" spans="1:2" x14ac:dyDescent="0.25">
      <c r="A39" s="18">
        <v>97</v>
      </c>
      <c r="B39" s="18">
        <v>1.98E-5</v>
      </c>
    </row>
    <row r="40" spans="1:2" x14ac:dyDescent="0.25">
      <c r="A40" s="18">
        <v>98</v>
      </c>
      <c r="B40" s="18">
        <v>1.4800000000000001E-5</v>
      </c>
    </row>
    <row r="41" spans="1:2" x14ac:dyDescent="0.25">
      <c r="A41" s="18">
        <v>99</v>
      </c>
      <c r="B41" s="18">
        <v>2.0599999999999999E-5</v>
      </c>
    </row>
    <row r="42" spans="1:2" x14ac:dyDescent="0.25">
      <c r="A42" s="18">
        <v>100</v>
      </c>
      <c r="B42" s="18">
        <v>3.0300000000000001E-5</v>
      </c>
    </row>
    <row r="43" spans="1:2" x14ac:dyDescent="0.25">
      <c r="A43" s="18">
        <v>101</v>
      </c>
      <c r="B43" s="18">
        <v>2.6400000000000001E-5</v>
      </c>
    </row>
    <row r="44" spans="1:2" x14ac:dyDescent="0.25">
      <c r="A44" s="18">
        <v>102</v>
      </c>
      <c r="B44" s="18">
        <v>3.6100000000000003E-5</v>
      </c>
    </row>
    <row r="45" spans="1:2" x14ac:dyDescent="0.25">
      <c r="A45" s="18">
        <v>103</v>
      </c>
      <c r="B45" s="18">
        <v>3.3699999999999999E-5</v>
      </c>
    </row>
    <row r="46" spans="1:2" x14ac:dyDescent="0.25">
      <c r="A46" s="18">
        <v>104</v>
      </c>
      <c r="B46" s="18">
        <v>4.4799999999999998E-5</v>
      </c>
    </row>
    <row r="47" spans="1:2" x14ac:dyDescent="0.25">
      <c r="A47" s="18">
        <v>105</v>
      </c>
      <c r="B47" s="18">
        <v>4.5399999999999999E-5</v>
      </c>
    </row>
    <row r="48" spans="1:2" x14ac:dyDescent="0.25">
      <c r="A48" s="18">
        <v>106</v>
      </c>
      <c r="B48" s="18">
        <v>6.1799999999999998E-5</v>
      </c>
    </row>
    <row r="49" spans="1:2" x14ac:dyDescent="0.25">
      <c r="A49" s="18">
        <v>107</v>
      </c>
      <c r="B49" s="18">
        <v>6.7700000000000006E-5</v>
      </c>
    </row>
    <row r="50" spans="1:2" x14ac:dyDescent="0.25">
      <c r="A50" s="18">
        <v>108</v>
      </c>
      <c r="B50" s="18">
        <v>8.14E-5</v>
      </c>
    </row>
    <row r="51" spans="1:2" x14ac:dyDescent="0.25">
      <c r="A51" s="18">
        <v>109</v>
      </c>
      <c r="B51" s="18">
        <v>8.8800000000000004E-5</v>
      </c>
    </row>
    <row r="52" spans="1:2" x14ac:dyDescent="0.25">
      <c r="A52" s="18">
        <v>110</v>
      </c>
      <c r="B52" s="18">
        <v>9.6000000000000002E-5</v>
      </c>
    </row>
    <row r="53" spans="1:2" x14ac:dyDescent="0.25">
      <c r="A53" s="18">
        <v>111</v>
      </c>
      <c r="B53" s="18">
        <v>1.21E-4</v>
      </c>
    </row>
    <row r="54" spans="1:2" x14ac:dyDescent="0.25">
      <c r="A54" s="18">
        <v>112</v>
      </c>
      <c r="B54" s="18">
        <v>1.3300000000000001E-4</v>
      </c>
    </row>
    <row r="55" spans="1:2" x14ac:dyDescent="0.25">
      <c r="A55" s="18">
        <v>113</v>
      </c>
      <c r="B55" s="18">
        <v>1.46E-4</v>
      </c>
    </row>
    <row r="56" spans="1:2" x14ac:dyDescent="0.25">
      <c r="A56" s="18">
        <v>114</v>
      </c>
      <c r="B56" s="18">
        <v>1.95E-4</v>
      </c>
    </row>
    <row r="57" spans="1:2" x14ac:dyDescent="0.25">
      <c r="A57" s="18">
        <v>115</v>
      </c>
      <c r="B57" s="18">
        <v>2.31E-4</v>
      </c>
    </row>
    <row r="58" spans="1:2" x14ac:dyDescent="0.25">
      <c r="A58" s="18">
        <v>116</v>
      </c>
      <c r="B58" s="18">
        <v>2.5399999999999999E-4</v>
      </c>
    </row>
    <row r="59" spans="1:2" x14ac:dyDescent="0.25">
      <c r="A59" s="18">
        <v>117</v>
      </c>
      <c r="B59" s="18">
        <v>2.92E-4</v>
      </c>
    </row>
    <row r="60" spans="1:2" x14ac:dyDescent="0.25">
      <c r="A60" s="18">
        <v>118</v>
      </c>
      <c r="B60" s="18">
        <v>3.21E-4</v>
      </c>
    </row>
    <row r="61" spans="1:2" x14ac:dyDescent="0.25">
      <c r="A61" s="18">
        <v>119</v>
      </c>
      <c r="B61" s="18">
        <v>3.5300000000000002E-4</v>
      </c>
    </row>
    <row r="62" spans="1:2" x14ac:dyDescent="0.25">
      <c r="A62" s="18">
        <v>120</v>
      </c>
      <c r="B62" s="18">
        <v>4.0299999999999998E-4</v>
      </c>
    </row>
    <row r="63" spans="1:2" x14ac:dyDescent="0.25">
      <c r="A63" s="18">
        <v>121</v>
      </c>
      <c r="B63" s="18">
        <v>4.5199999999999998E-4</v>
      </c>
    </row>
    <row r="64" spans="1:2" x14ac:dyDescent="0.25">
      <c r="A64" s="18">
        <v>122</v>
      </c>
      <c r="B64" s="18">
        <v>4.9700000000000005E-4</v>
      </c>
    </row>
    <row r="65" spans="1:2" x14ac:dyDescent="0.25">
      <c r="A65" s="18">
        <v>123</v>
      </c>
      <c r="B65" s="18">
        <v>5.53E-4</v>
      </c>
    </row>
    <row r="66" spans="1:2" x14ac:dyDescent="0.25">
      <c r="A66" s="18">
        <v>124</v>
      </c>
      <c r="B66" s="18">
        <v>6.0300000000000002E-4</v>
      </c>
    </row>
    <row r="67" spans="1:2" x14ac:dyDescent="0.25">
      <c r="A67" s="18">
        <v>125</v>
      </c>
      <c r="B67" s="18">
        <v>6.6200000000000005E-4</v>
      </c>
    </row>
    <row r="68" spans="1:2" x14ac:dyDescent="0.25">
      <c r="A68" s="18">
        <v>126</v>
      </c>
      <c r="B68" s="18">
        <v>7.2999999999999996E-4</v>
      </c>
    </row>
    <row r="69" spans="1:2" x14ac:dyDescent="0.25">
      <c r="A69" s="18">
        <v>127</v>
      </c>
      <c r="B69" s="18">
        <v>8.0699999999999999E-4</v>
      </c>
    </row>
    <row r="70" spans="1:2" x14ac:dyDescent="0.25">
      <c r="A70" s="18">
        <v>128</v>
      </c>
      <c r="B70" s="18">
        <v>8.7500000000000002E-4</v>
      </c>
    </row>
    <row r="71" spans="1:2" x14ac:dyDescent="0.25">
      <c r="A71" s="18">
        <v>129</v>
      </c>
      <c r="B71" s="18">
        <v>9.4799999999999995E-4</v>
      </c>
    </row>
    <row r="72" spans="1:2" x14ac:dyDescent="0.25">
      <c r="A72" s="18">
        <v>130</v>
      </c>
      <c r="B72" s="18">
        <v>1.01E-3</v>
      </c>
    </row>
    <row r="73" spans="1:2" x14ac:dyDescent="0.25">
      <c r="A73" s="18">
        <v>131</v>
      </c>
      <c r="B73" s="18">
        <v>1.09E-3</v>
      </c>
    </row>
    <row r="74" spans="1:2" x14ac:dyDescent="0.25">
      <c r="A74" s="18">
        <v>132</v>
      </c>
      <c r="B74" s="18">
        <v>1.1999999999999999E-3</v>
      </c>
    </row>
    <row r="75" spans="1:2" x14ac:dyDescent="0.25">
      <c r="A75" s="18">
        <v>133</v>
      </c>
      <c r="B75" s="18">
        <v>1.2700000000000001E-3</v>
      </c>
    </row>
    <row r="76" spans="1:2" x14ac:dyDescent="0.25">
      <c r="A76" s="18">
        <v>134</v>
      </c>
      <c r="B76" s="18">
        <v>1.3600000000000001E-3</v>
      </c>
    </row>
    <row r="77" spans="1:2" x14ac:dyDescent="0.25">
      <c r="A77" s="18">
        <v>135</v>
      </c>
      <c r="B77" s="18">
        <v>1.48E-3</v>
      </c>
    </row>
    <row r="78" spans="1:2" x14ac:dyDescent="0.25">
      <c r="A78" s="18">
        <v>136</v>
      </c>
      <c r="B78" s="18">
        <v>1.6000000000000001E-3</v>
      </c>
    </row>
    <row r="79" spans="1:2" x14ac:dyDescent="0.25">
      <c r="A79" s="18">
        <v>137</v>
      </c>
      <c r="B79" s="18">
        <v>1.67E-3</v>
      </c>
    </row>
    <row r="80" spans="1:2" x14ac:dyDescent="0.25">
      <c r="A80" s="18">
        <v>138</v>
      </c>
      <c r="B80" s="18">
        <v>1.7600000000000001E-3</v>
      </c>
    </row>
    <row r="81" spans="1:2" x14ac:dyDescent="0.25">
      <c r="A81" s="18">
        <v>139</v>
      </c>
      <c r="B81" s="18">
        <v>1.8699999999999999E-3</v>
      </c>
    </row>
    <row r="82" spans="1:2" x14ac:dyDescent="0.25">
      <c r="A82" s="18">
        <v>140</v>
      </c>
      <c r="B82" s="18">
        <v>1.99E-3</v>
      </c>
    </row>
    <row r="83" spans="1:2" x14ac:dyDescent="0.25">
      <c r="A83" s="18">
        <v>141</v>
      </c>
      <c r="B83" s="18">
        <v>2.0899999999999998E-3</v>
      </c>
    </row>
    <row r="84" spans="1:2" x14ac:dyDescent="0.25">
      <c r="A84" s="18">
        <v>142</v>
      </c>
      <c r="B84" s="18">
        <v>2.1900000000000001E-3</v>
      </c>
    </row>
    <row r="85" spans="1:2" x14ac:dyDescent="0.25">
      <c r="A85" s="18">
        <v>143</v>
      </c>
      <c r="B85" s="18">
        <v>2.33E-3</v>
      </c>
    </row>
    <row r="86" spans="1:2" x14ac:dyDescent="0.25">
      <c r="A86" s="18">
        <v>144</v>
      </c>
      <c r="B86" s="18">
        <v>2.4299999999999999E-3</v>
      </c>
    </row>
    <row r="87" spans="1:2" x14ac:dyDescent="0.25">
      <c r="A87" s="18">
        <v>145</v>
      </c>
      <c r="B87" s="18">
        <v>2.5400000000000002E-3</v>
      </c>
    </row>
    <row r="88" spans="1:2" x14ac:dyDescent="0.25">
      <c r="A88" s="18">
        <v>146</v>
      </c>
      <c r="B88" s="18">
        <v>2.6800000000000001E-3</v>
      </c>
    </row>
    <row r="89" spans="1:2" x14ac:dyDescent="0.25">
      <c r="A89" s="18">
        <v>147</v>
      </c>
      <c r="B89" s="18">
        <v>2.8E-3</v>
      </c>
    </row>
    <row r="90" spans="1:2" x14ac:dyDescent="0.25">
      <c r="A90" s="18">
        <v>148</v>
      </c>
      <c r="B90" s="18">
        <v>2.9199999999999999E-3</v>
      </c>
    </row>
    <row r="91" spans="1:2" x14ac:dyDescent="0.25">
      <c r="A91" s="18">
        <v>149</v>
      </c>
      <c r="B91" s="18">
        <v>3.0300000000000001E-3</v>
      </c>
    </row>
    <row r="92" spans="1:2" x14ac:dyDescent="0.25">
      <c r="A92" s="18">
        <v>150</v>
      </c>
      <c r="B92" s="18">
        <v>3.14E-3</v>
      </c>
    </row>
    <row r="93" spans="1:2" x14ac:dyDescent="0.25">
      <c r="A93" s="18">
        <v>151</v>
      </c>
      <c r="B93" s="18">
        <v>3.29E-3</v>
      </c>
    </row>
    <row r="94" spans="1:2" x14ac:dyDescent="0.25">
      <c r="A94" s="18">
        <v>152</v>
      </c>
      <c r="B94" s="18">
        <v>3.3700000000000002E-3</v>
      </c>
    </row>
    <row r="95" spans="1:2" x14ac:dyDescent="0.25">
      <c r="A95" s="18">
        <v>153</v>
      </c>
      <c r="B95" s="18">
        <v>3.5200000000000001E-3</v>
      </c>
    </row>
    <row r="96" spans="1:2" x14ac:dyDescent="0.25">
      <c r="A96" s="18">
        <v>154</v>
      </c>
      <c r="B96" s="18">
        <v>3.6600000000000001E-3</v>
      </c>
    </row>
    <row r="97" spans="1:2" x14ac:dyDescent="0.25">
      <c r="A97" s="18">
        <v>155</v>
      </c>
      <c r="B97" s="18">
        <v>3.7799999999999999E-3</v>
      </c>
    </row>
    <row r="98" spans="1:2" x14ac:dyDescent="0.25">
      <c r="A98" s="18">
        <v>156</v>
      </c>
      <c r="B98" s="18">
        <v>3.9300000000000003E-3</v>
      </c>
    </row>
    <row r="99" spans="1:2" x14ac:dyDescent="0.25">
      <c r="A99" s="18">
        <v>157</v>
      </c>
      <c r="B99" s="18">
        <v>4.0400000000000002E-3</v>
      </c>
    </row>
    <row r="100" spans="1:2" x14ac:dyDescent="0.25">
      <c r="A100" s="18">
        <v>158</v>
      </c>
      <c r="B100" s="18">
        <v>4.1700000000000001E-3</v>
      </c>
    </row>
    <row r="101" spans="1:2" x14ac:dyDescent="0.25">
      <c r="A101" s="18">
        <v>159</v>
      </c>
      <c r="B101" s="18">
        <v>4.3E-3</v>
      </c>
    </row>
    <row r="102" spans="1:2" x14ac:dyDescent="0.25">
      <c r="A102" s="18">
        <v>160</v>
      </c>
      <c r="B102" s="18">
        <v>4.4099999999999999E-3</v>
      </c>
    </row>
    <row r="103" spans="1:2" x14ac:dyDescent="0.25">
      <c r="A103" s="18">
        <v>161</v>
      </c>
      <c r="B103" s="18">
        <v>4.6100000000000004E-3</v>
      </c>
    </row>
    <row r="104" spans="1:2" x14ac:dyDescent="0.25">
      <c r="A104" s="18">
        <v>162</v>
      </c>
      <c r="B104" s="18">
        <v>4.7299999999999998E-3</v>
      </c>
    </row>
    <row r="105" spans="1:2" x14ac:dyDescent="0.25">
      <c r="A105" s="18">
        <v>163</v>
      </c>
      <c r="B105" s="18">
        <v>4.8500000000000001E-3</v>
      </c>
    </row>
    <row r="106" spans="1:2" x14ac:dyDescent="0.25">
      <c r="A106" s="18">
        <v>164</v>
      </c>
      <c r="B106" s="18">
        <v>4.9800000000000001E-3</v>
      </c>
    </row>
    <row r="107" spans="1:2" x14ac:dyDescent="0.25">
      <c r="A107" s="18">
        <v>165</v>
      </c>
      <c r="B107" s="18">
        <v>5.1500000000000001E-3</v>
      </c>
    </row>
    <row r="108" spans="1:2" x14ac:dyDescent="0.25">
      <c r="A108" s="18">
        <v>166</v>
      </c>
      <c r="B108" s="18">
        <v>5.2300000000000003E-3</v>
      </c>
    </row>
    <row r="109" spans="1:2" x14ac:dyDescent="0.25">
      <c r="A109" s="18">
        <v>167</v>
      </c>
      <c r="B109" s="18">
        <v>5.3499999999999997E-3</v>
      </c>
    </row>
    <row r="110" spans="1:2" x14ac:dyDescent="0.25">
      <c r="A110" s="18">
        <v>168</v>
      </c>
      <c r="B110" s="18">
        <v>5.4400000000000004E-3</v>
      </c>
    </row>
    <row r="111" spans="1:2" x14ac:dyDescent="0.25">
      <c r="A111" s="18">
        <v>169</v>
      </c>
      <c r="B111" s="18">
        <v>5.5900000000000004E-3</v>
      </c>
    </row>
    <row r="112" spans="1:2" x14ac:dyDescent="0.25">
      <c r="A112" s="18">
        <v>170</v>
      </c>
      <c r="B112" s="18">
        <v>5.7200000000000003E-3</v>
      </c>
    </row>
    <row r="113" spans="1:2" x14ac:dyDescent="0.25">
      <c r="A113" s="18">
        <v>171</v>
      </c>
      <c r="B113" s="18">
        <v>5.8799999999999998E-3</v>
      </c>
    </row>
    <row r="114" spans="1:2" x14ac:dyDescent="0.25">
      <c r="A114" s="18">
        <v>172</v>
      </c>
      <c r="B114" s="18">
        <v>5.96E-3</v>
      </c>
    </row>
    <row r="115" spans="1:2" x14ac:dyDescent="0.25">
      <c r="A115" s="18">
        <v>173</v>
      </c>
      <c r="B115" s="18">
        <v>6.11E-3</v>
      </c>
    </row>
    <row r="116" spans="1:2" x14ac:dyDescent="0.25">
      <c r="A116" s="18">
        <v>174</v>
      </c>
      <c r="B116" s="18">
        <v>6.2300000000000003E-3</v>
      </c>
    </row>
    <row r="117" spans="1:2" x14ac:dyDescent="0.25">
      <c r="A117" s="18">
        <v>175</v>
      </c>
      <c r="B117" s="18">
        <v>6.3299999999999997E-3</v>
      </c>
    </row>
    <row r="118" spans="1:2" x14ac:dyDescent="0.25">
      <c r="A118" s="18">
        <v>176</v>
      </c>
      <c r="B118" s="18">
        <v>6.4599999999999996E-3</v>
      </c>
    </row>
    <row r="119" spans="1:2" x14ac:dyDescent="0.25">
      <c r="A119" s="18">
        <v>177</v>
      </c>
      <c r="B119" s="18">
        <v>6.5100000000000002E-3</v>
      </c>
    </row>
    <row r="120" spans="1:2" x14ac:dyDescent="0.25">
      <c r="A120" s="18">
        <v>178</v>
      </c>
      <c r="B120" s="18">
        <v>6.6699999999999997E-3</v>
      </c>
    </row>
    <row r="121" spans="1:2" x14ac:dyDescent="0.25">
      <c r="A121" s="18">
        <v>179</v>
      </c>
      <c r="B121" s="18">
        <v>6.7600000000000004E-3</v>
      </c>
    </row>
    <row r="122" spans="1:2" x14ac:dyDescent="0.25">
      <c r="A122" s="18">
        <v>180</v>
      </c>
      <c r="B122" s="18">
        <v>6.8500000000000002E-3</v>
      </c>
    </row>
    <row r="123" spans="1:2" x14ac:dyDescent="0.25">
      <c r="A123" s="18">
        <v>181</v>
      </c>
      <c r="B123" s="18">
        <v>6.9699999999999996E-3</v>
      </c>
    </row>
    <row r="124" spans="1:2" x14ac:dyDescent="0.25">
      <c r="A124" s="18">
        <v>182</v>
      </c>
      <c r="B124" s="18">
        <v>7.0499999999999998E-3</v>
      </c>
    </row>
    <row r="125" spans="1:2" x14ac:dyDescent="0.25">
      <c r="A125" s="18">
        <v>183</v>
      </c>
      <c r="B125" s="18">
        <v>7.1999999999999998E-3</v>
      </c>
    </row>
    <row r="126" spans="1:2" x14ac:dyDescent="0.25">
      <c r="A126" s="18">
        <v>184</v>
      </c>
      <c r="B126" s="18">
        <v>7.2899999999999996E-3</v>
      </c>
    </row>
    <row r="127" spans="1:2" x14ac:dyDescent="0.25">
      <c r="A127" s="18">
        <v>185</v>
      </c>
      <c r="B127" s="18">
        <v>7.3699999999999998E-3</v>
      </c>
    </row>
    <row r="128" spans="1:2" x14ac:dyDescent="0.25">
      <c r="A128" s="18">
        <v>186</v>
      </c>
      <c r="B128" s="18">
        <v>7.4700000000000001E-3</v>
      </c>
    </row>
    <row r="129" spans="1:2" x14ac:dyDescent="0.25">
      <c r="A129" s="18">
        <v>187</v>
      </c>
      <c r="B129" s="18">
        <v>7.5100000000000002E-3</v>
      </c>
    </row>
    <row r="130" spans="1:2" x14ac:dyDescent="0.25">
      <c r="A130" s="18">
        <v>188</v>
      </c>
      <c r="B130" s="18">
        <v>7.7200000000000003E-3</v>
      </c>
    </row>
    <row r="131" spans="1:2" x14ac:dyDescent="0.25">
      <c r="A131" s="18">
        <v>189</v>
      </c>
      <c r="B131" s="18">
        <v>7.77E-3</v>
      </c>
    </row>
    <row r="132" spans="1:2" x14ac:dyDescent="0.25">
      <c r="A132" s="18">
        <v>190</v>
      </c>
      <c r="B132" s="18">
        <v>7.7999999999999996E-3</v>
      </c>
    </row>
    <row r="133" spans="1:2" x14ac:dyDescent="0.25">
      <c r="A133" s="18">
        <v>191</v>
      </c>
      <c r="B133" s="18">
        <v>7.9299999999999995E-3</v>
      </c>
    </row>
    <row r="134" spans="1:2" x14ac:dyDescent="0.25">
      <c r="A134" s="18">
        <v>192</v>
      </c>
      <c r="B134" s="18">
        <v>8.0000000000000002E-3</v>
      </c>
    </row>
    <row r="135" spans="1:2" x14ac:dyDescent="0.25">
      <c r="A135" s="18">
        <v>193</v>
      </c>
      <c r="B135" s="18">
        <v>8.1200000000000005E-3</v>
      </c>
    </row>
    <row r="136" spans="1:2" x14ac:dyDescent="0.25">
      <c r="A136" s="18">
        <v>194</v>
      </c>
      <c r="B136" s="18">
        <v>8.1399999999999997E-3</v>
      </c>
    </row>
    <row r="137" spans="1:2" x14ac:dyDescent="0.25">
      <c r="A137" s="18">
        <v>195</v>
      </c>
      <c r="B137" s="18">
        <v>8.1899999999999994E-3</v>
      </c>
    </row>
    <row r="138" spans="1:2" x14ac:dyDescent="0.25">
      <c r="A138" s="18">
        <v>196</v>
      </c>
      <c r="B138" s="18">
        <v>8.2900000000000005E-3</v>
      </c>
    </row>
    <row r="139" spans="1:2" x14ac:dyDescent="0.25">
      <c r="A139" s="18">
        <v>197</v>
      </c>
      <c r="B139" s="18">
        <v>8.3599999999999994E-3</v>
      </c>
    </row>
    <row r="140" spans="1:2" x14ac:dyDescent="0.25">
      <c r="A140" s="18">
        <v>198</v>
      </c>
      <c r="B140" s="18">
        <v>8.4200000000000004E-3</v>
      </c>
    </row>
    <row r="141" spans="1:2" x14ac:dyDescent="0.25">
      <c r="A141" s="18">
        <v>199</v>
      </c>
      <c r="B141" s="18">
        <v>8.5500000000000003E-3</v>
      </c>
    </row>
    <row r="142" spans="1:2" x14ac:dyDescent="0.25">
      <c r="A142" s="18">
        <v>200</v>
      </c>
      <c r="B142" s="18">
        <v>8.4100000000000008E-3</v>
      </c>
    </row>
    <row r="143" spans="1:2" x14ac:dyDescent="0.25">
      <c r="A143" s="18">
        <v>201</v>
      </c>
      <c r="B143" s="18">
        <v>8.6199999999999992E-3</v>
      </c>
    </row>
    <row r="144" spans="1:2" x14ac:dyDescent="0.25">
      <c r="A144" s="18">
        <v>202</v>
      </c>
      <c r="B144" s="18">
        <v>8.6199999999999992E-3</v>
      </c>
    </row>
    <row r="145" spans="1:2" x14ac:dyDescent="0.25">
      <c r="A145" s="18">
        <v>203</v>
      </c>
      <c r="B145" s="18">
        <v>8.6E-3</v>
      </c>
    </row>
    <row r="146" spans="1:2" x14ac:dyDescent="0.25">
      <c r="A146" s="18">
        <v>204</v>
      </c>
      <c r="B146" s="18">
        <v>8.7200000000000003E-3</v>
      </c>
    </row>
    <row r="147" spans="1:2" x14ac:dyDescent="0.25">
      <c r="A147" s="18">
        <v>205</v>
      </c>
      <c r="B147" s="18">
        <v>8.7200000000000003E-3</v>
      </c>
    </row>
    <row r="148" spans="1:2" x14ac:dyDescent="0.25">
      <c r="A148" s="18">
        <v>206</v>
      </c>
      <c r="B148" s="18">
        <v>8.7600000000000004E-3</v>
      </c>
    </row>
    <row r="149" spans="1:2" x14ac:dyDescent="0.25">
      <c r="A149" s="18">
        <v>207</v>
      </c>
      <c r="B149" s="18">
        <v>8.8800000000000007E-3</v>
      </c>
    </row>
    <row r="150" spans="1:2" x14ac:dyDescent="0.25">
      <c r="A150" s="18">
        <v>208</v>
      </c>
      <c r="B150" s="18">
        <v>8.8100000000000001E-3</v>
      </c>
    </row>
    <row r="151" spans="1:2" x14ac:dyDescent="0.25">
      <c r="A151" s="18">
        <v>209</v>
      </c>
      <c r="B151" s="18">
        <v>8.8800000000000007E-3</v>
      </c>
    </row>
    <row r="152" spans="1:2" x14ac:dyDescent="0.25">
      <c r="A152" s="18">
        <v>210</v>
      </c>
      <c r="B152" s="18">
        <v>8.9499999999999996E-3</v>
      </c>
    </row>
    <row r="153" spans="1:2" x14ac:dyDescent="0.25">
      <c r="A153" s="18">
        <v>211</v>
      </c>
      <c r="B153" s="18">
        <v>8.9800000000000001E-3</v>
      </c>
    </row>
    <row r="154" spans="1:2" x14ac:dyDescent="0.25">
      <c r="A154" s="18">
        <v>212</v>
      </c>
      <c r="B154" s="18">
        <v>8.9499999999999996E-3</v>
      </c>
    </row>
    <row r="155" spans="1:2" x14ac:dyDescent="0.25">
      <c r="A155" s="18">
        <v>213</v>
      </c>
      <c r="B155" s="18">
        <v>8.9800000000000001E-3</v>
      </c>
    </row>
    <row r="156" spans="1:2" x14ac:dyDescent="0.25">
      <c r="A156" s="18">
        <v>214</v>
      </c>
      <c r="B156" s="18">
        <v>9.0600000000000003E-3</v>
      </c>
    </row>
    <row r="157" spans="1:2" x14ac:dyDescent="0.25">
      <c r="A157" s="18">
        <v>215</v>
      </c>
      <c r="B157" s="18">
        <v>9.0600000000000003E-3</v>
      </c>
    </row>
    <row r="158" spans="1:2" x14ac:dyDescent="0.25">
      <c r="A158" s="18">
        <v>216</v>
      </c>
      <c r="B158" s="18">
        <v>8.9300000000000004E-3</v>
      </c>
    </row>
    <row r="159" spans="1:2" x14ac:dyDescent="0.25">
      <c r="A159" s="18">
        <v>217</v>
      </c>
      <c r="B159" s="18">
        <v>9.0699999999999999E-3</v>
      </c>
    </row>
    <row r="160" spans="1:2" x14ac:dyDescent="0.25">
      <c r="A160" s="18">
        <v>218</v>
      </c>
      <c r="B160" s="18">
        <v>9.0100000000000006E-3</v>
      </c>
    </row>
    <row r="161" spans="1:2" x14ac:dyDescent="0.25">
      <c r="A161" s="18">
        <v>219</v>
      </c>
      <c r="B161" s="18">
        <v>8.8199999999999997E-3</v>
      </c>
    </row>
    <row r="162" spans="1:2" x14ac:dyDescent="0.25">
      <c r="A162" s="18">
        <v>220</v>
      </c>
      <c r="B162" s="18">
        <v>8.9200000000000008E-3</v>
      </c>
    </row>
    <row r="163" spans="1:2" x14ac:dyDescent="0.25">
      <c r="A163" s="18">
        <v>221</v>
      </c>
      <c r="B163" s="18">
        <v>9.0600000000000003E-3</v>
      </c>
    </row>
    <row r="164" spans="1:2" x14ac:dyDescent="0.25">
      <c r="A164" s="18">
        <v>222</v>
      </c>
      <c r="B164" s="18">
        <v>8.9599999999999992E-3</v>
      </c>
    </row>
    <row r="165" spans="1:2" x14ac:dyDescent="0.25">
      <c r="A165" s="18">
        <v>223</v>
      </c>
      <c r="B165" s="18">
        <v>8.9800000000000001E-3</v>
      </c>
    </row>
    <row r="166" spans="1:2" x14ac:dyDescent="0.25">
      <c r="A166" s="18">
        <v>224</v>
      </c>
      <c r="B166" s="18">
        <v>8.9999999999999993E-3</v>
      </c>
    </row>
    <row r="167" spans="1:2" x14ac:dyDescent="0.25">
      <c r="A167" s="18">
        <v>225</v>
      </c>
      <c r="B167" s="18">
        <v>8.9800000000000001E-3</v>
      </c>
    </row>
    <row r="168" spans="1:2" x14ac:dyDescent="0.25">
      <c r="A168" s="18">
        <v>226</v>
      </c>
      <c r="B168" s="18">
        <v>8.9599999999999992E-3</v>
      </c>
    </row>
    <row r="169" spans="1:2" x14ac:dyDescent="0.25">
      <c r="A169" s="18">
        <v>227</v>
      </c>
      <c r="B169" s="18">
        <v>8.9499999999999996E-3</v>
      </c>
    </row>
    <row r="170" spans="1:2" x14ac:dyDescent="0.25">
      <c r="A170" s="18">
        <v>228</v>
      </c>
      <c r="B170" s="18">
        <v>8.9099999999999995E-3</v>
      </c>
    </row>
    <row r="171" spans="1:2" x14ac:dyDescent="0.25">
      <c r="A171" s="18">
        <v>229</v>
      </c>
      <c r="B171" s="18">
        <v>8.8500000000000002E-3</v>
      </c>
    </row>
    <row r="172" spans="1:2" x14ac:dyDescent="0.25">
      <c r="A172" s="18">
        <v>230</v>
      </c>
      <c r="B172" s="18">
        <v>8.8999999999999999E-3</v>
      </c>
    </row>
    <row r="173" spans="1:2" x14ac:dyDescent="0.25">
      <c r="A173" s="18">
        <v>231</v>
      </c>
      <c r="B173" s="18">
        <v>8.8100000000000001E-3</v>
      </c>
    </row>
    <row r="174" spans="1:2" x14ac:dyDescent="0.25">
      <c r="A174" s="18">
        <v>232</v>
      </c>
      <c r="B174" s="18">
        <v>8.7399999999999995E-3</v>
      </c>
    </row>
    <row r="175" spans="1:2" x14ac:dyDescent="0.25">
      <c r="A175" s="18">
        <v>233</v>
      </c>
      <c r="B175" s="18">
        <v>8.6899999999999998E-3</v>
      </c>
    </row>
    <row r="176" spans="1:2" x14ac:dyDescent="0.25">
      <c r="A176" s="18">
        <v>234</v>
      </c>
      <c r="B176" s="18">
        <v>8.6599999999999993E-3</v>
      </c>
    </row>
    <row r="177" spans="1:2" x14ac:dyDescent="0.25">
      <c r="A177" s="18">
        <v>235</v>
      </c>
      <c r="B177" s="18">
        <v>8.5199999999999998E-3</v>
      </c>
    </row>
    <row r="178" spans="1:2" x14ac:dyDescent="0.25">
      <c r="A178" s="18">
        <v>236</v>
      </c>
      <c r="B178" s="18">
        <v>8.5900000000000004E-3</v>
      </c>
    </row>
    <row r="179" spans="1:2" x14ac:dyDescent="0.25">
      <c r="A179" s="18">
        <v>237</v>
      </c>
      <c r="B179" s="18">
        <v>8.4799999999999997E-3</v>
      </c>
    </row>
    <row r="180" spans="1:2" x14ac:dyDescent="0.25">
      <c r="A180" s="18">
        <v>238</v>
      </c>
      <c r="B180" s="18">
        <v>8.5199999999999998E-3</v>
      </c>
    </row>
    <row r="181" spans="1:2" x14ac:dyDescent="0.25">
      <c r="A181" s="18">
        <v>239</v>
      </c>
      <c r="B181" s="18">
        <v>8.4600000000000005E-3</v>
      </c>
    </row>
    <row r="182" spans="1:2" x14ac:dyDescent="0.25">
      <c r="A182" s="18">
        <v>240</v>
      </c>
      <c r="B182" s="18">
        <v>8.3800000000000003E-3</v>
      </c>
    </row>
    <row r="183" spans="1:2" x14ac:dyDescent="0.25">
      <c r="A183" s="18">
        <v>241</v>
      </c>
      <c r="B183" s="18">
        <v>8.1499999999999993E-3</v>
      </c>
    </row>
    <row r="184" spans="1:2" x14ac:dyDescent="0.25">
      <c r="A184" s="18">
        <v>242</v>
      </c>
      <c r="B184" s="18">
        <v>8.1200000000000005E-3</v>
      </c>
    </row>
    <row r="185" spans="1:2" x14ac:dyDescent="0.25">
      <c r="A185" s="18">
        <v>243</v>
      </c>
      <c r="B185" s="18">
        <v>8.1799999999999998E-3</v>
      </c>
    </row>
    <row r="186" spans="1:2" x14ac:dyDescent="0.25">
      <c r="A186" s="18">
        <v>244</v>
      </c>
      <c r="B186" s="18">
        <v>8.0700000000000008E-3</v>
      </c>
    </row>
    <row r="187" spans="1:2" x14ac:dyDescent="0.25">
      <c r="A187" s="18">
        <v>245</v>
      </c>
      <c r="B187" s="18">
        <v>8.0400000000000003E-3</v>
      </c>
    </row>
    <row r="188" spans="1:2" x14ac:dyDescent="0.25">
      <c r="A188" s="18">
        <v>246</v>
      </c>
      <c r="B188" s="18">
        <v>7.9100000000000004E-3</v>
      </c>
    </row>
    <row r="189" spans="1:2" x14ac:dyDescent="0.25">
      <c r="A189" s="18">
        <v>247</v>
      </c>
      <c r="B189" s="18">
        <v>7.6899999999999998E-3</v>
      </c>
    </row>
    <row r="190" spans="1:2" x14ac:dyDescent="0.25">
      <c r="A190" s="18">
        <v>248</v>
      </c>
      <c r="B190" s="18">
        <v>7.5900000000000004E-3</v>
      </c>
    </row>
    <row r="191" spans="1:2" x14ac:dyDescent="0.25">
      <c r="A191" s="18">
        <v>249</v>
      </c>
      <c r="B191" s="18">
        <v>7.5900000000000004E-3</v>
      </c>
    </row>
    <row r="192" spans="1:2" x14ac:dyDescent="0.25">
      <c r="A192" s="18">
        <v>250</v>
      </c>
      <c r="B192" s="18">
        <v>7.4700000000000001E-3</v>
      </c>
    </row>
    <row r="193" spans="1:2" x14ac:dyDescent="0.25">
      <c r="A193" s="18">
        <v>251</v>
      </c>
      <c r="B193" s="18">
        <v>7.43E-3</v>
      </c>
    </row>
    <row r="194" spans="1:2" x14ac:dyDescent="0.25">
      <c r="A194" s="18">
        <v>252</v>
      </c>
      <c r="B194" s="18">
        <v>7.3099999999999997E-3</v>
      </c>
    </row>
    <row r="195" spans="1:2" x14ac:dyDescent="0.25">
      <c r="A195" s="18">
        <v>253</v>
      </c>
      <c r="B195" s="18">
        <v>7.3299999999999997E-3</v>
      </c>
    </row>
    <row r="196" spans="1:2" x14ac:dyDescent="0.25">
      <c r="A196" s="18">
        <v>254</v>
      </c>
      <c r="B196" s="18">
        <v>7.1300000000000001E-3</v>
      </c>
    </row>
    <row r="197" spans="1:2" x14ac:dyDescent="0.25">
      <c r="A197" s="18">
        <v>255</v>
      </c>
      <c r="B197" s="18">
        <v>7.0299999999999998E-3</v>
      </c>
    </row>
    <row r="198" spans="1:2" x14ac:dyDescent="0.25">
      <c r="A198" s="18">
        <v>256</v>
      </c>
      <c r="B198" s="18">
        <v>6.8399999999999997E-3</v>
      </c>
    </row>
    <row r="199" spans="1:2" x14ac:dyDescent="0.25">
      <c r="A199" s="18">
        <v>257</v>
      </c>
      <c r="B199" s="18">
        <v>6.7999999999999996E-3</v>
      </c>
    </row>
    <row r="200" spans="1:2" x14ac:dyDescent="0.25">
      <c r="A200" s="18">
        <v>258</v>
      </c>
      <c r="B200" s="18">
        <v>6.6400000000000001E-3</v>
      </c>
    </row>
    <row r="201" spans="1:2" x14ac:dyDescent="0.25">
      <c r="A201" s="18">
        <v>259</v>
      </c>
      <c r="B201" s="18">
        <v>6.6E-3</v>
      </c>
    </row>
    <row r="202" spans="1:2" x14ac:dyDescent="0.25">
      <c r="A202" s="18">
        <v>260</v>
      </c>
      <c r="B202" s="18">
        <v>6.5100000000000002E-3</v>
      </c>
    </row>
    <row r="203" spans="1:2" x14ac:dyDescent="0.25">
      <c r="A203" s="18">
        <v>261</v>
      </c>
      <c r="B203" s="18">
        <v>6.3699999999999998E-3</v>
      </c>
    </row>
    <row r="204" spans="1:2" x14ac:dyDescent="0.25">
      <c r="A204" s="18">
        <v>262</v>
      </c>
      <c r="B204" s="18">
        <v>6.3299999999999997E-3</v>
      </c>
    </row>
    <row r="205" spans="1:2" x14ac:dyDescent="0.25">
      <c r="A205" s="18">
        <v>263</v>
      </c>
      <c r="B205" s="18">
        <v>6.0699999999999999E-3</v>
      </c>
    </row>
    <row r="206" spans="1:2" x14ac:dyDescent="0.25">
      <c r="A206" s="18">
        <v>264</v>
      </c>
      <c r="B206" s="18">
        <v>5.9199999999999999E-3</v>
      </c>
    </row>
    <row r="207" spans="1:2" x14ac:dyDescent="0.25">
      <c r="A207" s="18">
        <v>265</v>
      </c>
      <c r="B207" s="18">
        <v>5.8300000000000001E-3</v>
      </c>
    </row>
    <row r="208" spans="1:2" x14ac:dyDescent="0.25">
      <c r="A208" s="18">
        <v>266</v>
      </c>
      <c r="B208" s="18">
        <v>5.7099999999999998E-3</v>
      </c>
    </row>
    <row r="209" spans="1:2" x14ac:dyDescent="0.25">
      <c r="A209" s="18">
        <v>267</v>
      </c>
      <c r="B209" s="18">
        <v>5.5999999999999999E-3</v>
      </c>
    </row>
    <row r="210" spans="1:2" x14ac:dyDescent="0.25">
      <c r="A210" s="18">
        <v>268</v>
      </c>
      <c r="B210" s="18">
        <v>5.3800000000000002E-3</v>
      </c>
    </row>
    <row r="211" spans="1:2" x14ac:dyDescent="0.25">
      <c r="A211" s="18">
        <v>269</v>
      </c>
      <c r="B211" s="18">
        <v>5.3699999999999998E-3</v>
      </c>
    </row>
    <row r="212" spans="1:2" x14ac:dyDescent="0.25">
      <c r="A212" s="18">
        <v>270</v>
      </c>
      <c r="B212" s="18">
        <v>5.1799999999999997E-3</v>
      </c>
    </row>
    <row r="213" spans="1:2" x14ac:dyDescent="0.25">
      <c r="A213" s="18">
        <v>271</v>
      </c>
      <c r="B213" s="18">
        <v>5.0000000000000001E-3</v>
      </c>
    </row>
    <row r="214" spans="1:2" x14ac:dyDescent="0.25">
      <c r="A214" s="18">
        <v>272</v>
      </c>
      <c r="B214" s="18">
        <v>5.0099999999999997E-3</v>
      </c>
    </row>
    <row r="215" spans="1:2" x14ac:dyDescent="0.25">
      <c r="A215" s="18">
        <v>273</v>
      </c>
      <c r="B215" s="18">
        <v>4.8199999999999996E-3</v>
      </c>
    </row>
    <row r="216" spans="1:2" x14ac:dyDescent="0.25">
      <c r="A216" s="18">
        <v>274</v>
      </c>
      <c r="B216" s="18">
        <v>4.6899999999999997E-3</v>
      </c>
    </row>
    <row r="217" spans="1:2" x14ac:dyDescent="0.25">
      <c r="A217" s="18">
        <v>275</v>
      </c>
      <c r="B217" s="18">
        <v>4.4200000000000003E-3</v>
      </c>
    </row>
    <row r="218" spans="1:2" x14ac:dyDescent="0.25">
      <c r="A218" s="18">
        <v>276</v>
      </c>
      <c r="B218" s="18">
        <v>4.2500000000000003E-3</v>
      </c>
    </row>
    <row r="219" spans="1:2" x14ac:dyDescent="0.25">
      <c r="A219" s="18">
        <v>277</v>
      </c>
      <c r="B219" s="18">
        <v>4.1999999999999997E-3</v>
      </c>
    </row>
    <row r="220" spans="1:2" x14ac:dyDescent="0.25">
      <c r="A220" s="18">
        <v>278</v>
      </c>
      <c r="B220" s="18">
        <v>3.9199999999999999E-3</v>
      </c>
    </row>
    <row r="221" spans="1:2" x14ac:dyDescent="0.25">
      <c r="A221" s="18">
        <v>279</v>
      </c>
      <c r="B221" s="18">
        <v>3.6600000000000001E-3</v>
      </c>
    </row>
    <row r="222" spans="1:2" x14ac:dyDescent="0.25">
      <c r="A222" s="18">
        <v>280</v>
      </c>
      <c r="B222" s="18">
        <v>3.63E-3</v>
      </c>
    </row>
    <row r="223" spans="1:2" x14ac:dyDescent="0.25">
      <c r="A223" s="18">
        <v>281</v>
      </c>
      <c r="B223" s="18">
        <v>3.3899999999999998E-3</v>
      </c>
    </row>
    <row r="224" spans="1:2" x14ac:dyDescent="0.25">
      <c r="A224" s="18">
        <v>282</v>
      </c>
      <c r="B224" s="18">
        <v>3.2299999999999998E-3</v>
      </c>
    </row>
    <row r="225" spans="1:2" x14ac:dyDescent="0.25">
      <c r="A225" s="18">
        <v>283</v>
      </c>
      <c r="B225" s="18">
        <v>3.0200000000000001E-3</v>
      </c>
    </row>
    <row r="226" spans="1:2" x14ac:dyDescent="0.25">
      <c r="A226" s="18">
        <v>284</v>
      </c>
      <c r="B226" s="18">
        <v>2.96E-3</v>
      </c>
    </row>
    <row r="227" spans="1:2" x14ac:dyDescent="0.25">
      <c r="A227" s="18">
        <v>285</v>
      </c>
      <c r="B227" s="18">
        <v>2.7299999999999998E-3</v>
      </c>
    </row>
    <row r="228" spans="1:2" x14ac:dyDescent="0.25">
      <c r="A228" s="18">
        <v>286</v>
      </c>
      <c r="B228" s="18">
        <v>2.5000000000000001E-3</v>
      </c>
    </row>
    <row r="229" spans="1:2" x14ac:dyDescent="0.25">
      <c r="A229" s="18">
        <v>287</v>
      </c>
      <c r="B229" s="18">
        <v>2.3400000000000001E-3</v>
      </c>
    </row>
    <row r="230" spans="1:2" x14ac:dyDescent="0.25">
      <c r="A230" s="18">
        <v>288</v>
      </c>
      <c r="B230" s="18">
        <v>2.2200000000000002E-3</v>
      </c>
    </row>
    <row r="231" spans="1:2" x14ac:dyDescent="0.25">
      <c r="A231" s="18">
        <v>289</v>
      </c>
      <c r="B231" s="18">
        <v>1.99E-3</v>
      </c>
    </row>
    <row r="232" spans="1:2" x14ac:dyDescent="0.25">
      <c r="A232" s="18">
        <v>290</v>
      </c>
      <c r="B232" s="18">
        <v>1.7700000000000001E-3</v>
      </c>
    </row>
    <row r="233" spans="1:2" x14ac:dyDescent="0.25">
      <c r="A233" s="18">
        <v>291</v>
      </c>
      <c r="B233" s="18">
        <v>1.6299999999999999E-3</v>
      </c>
    </row>
    <row r="234" spans="1:2" x14ac:dyDescent="0.25">
      <c r="A234" s="18">
        <v>292</v>
      </c>
      <c r="B234" s="18">
        <v>1.4E-3</v>
      </c>
    </row>
    <row r="235" spans="1:2" x14ac:dyDescent="0.25">
      <c r="A235" s="18">
        <v>293</v>
      </c>
      <c r="B235" s="18">
        <v>1.14E-3</v>
      </c>
    </row>
    <row r="236" spans="1:2" x14ac:dyDescent="0.25">
      <c r="A236" s="18">
        <v>294</v>
      </c>
      <c r="B236" s="18">
        <v>9.8200000000000002E-4</v>
      </c>
    </row>
    <row r="237" spans="1:2" x14ac:dyDescent="0.25">
      <c r="A237" s="18">
        <v>295</v>
      </c>
      <c r="B237" s="18">
        <v>8.7500000000000002E-4</v>
      </c>
    </row>
    <row r="238" spans="1:2" x14ac:dyDescent="0.25">
      <c r="A238" s="18">
        <v>296</v>
      </c>
      <c r="B238" s="18">
        <v>6.4800000000000003E-4</v>
      </c>
    </row>
    <row r="239" spans="1:2" x14ac:dyDescent="0.25">
      <c r="A239" s="18">
        <v>297</v>
      </c>
      <c r="B239" s="18">
        <v>4.7100000000000001E-4</v>
      </c>
    </row>
    <row r="240" spans="1:2" x14ac:dyDescent="0.25">
      <c r="A240" s="18">
        <v>298</v>
      </c>
      <c r="B240" s="18">
        <v>3.0699999999999998E-4</v>
      </c>
    </row>
    <row r="241" spans="1:2" x14ac:dyDescent="0.25">
      <c r="A241" s="18">
        <v>299</v>
      </c>
      <c r="B241" s="18">
        <v>1.47E-4</v>
      </c>
    </row>
    <row r="242" spans="1:2" x14ac:dyDescent="0.25">
      <c r="A242" s="18">
        <v>300</v>
      </c>
      <c r="B242" s="18">
        <v>2.5000000000000001E-5</v>
      </c>
    </row>
    <row r="243" spans="1:2" x14ac:dyDescent="0.25">
      <c r="A243" s="18">
        <v>301</v>
      </c>
      <c r="B243" s="18">
        <v>6.6900000000000003E-6</v>
      </c>
    </row>
    <row r="244" spans="1:2" x14ac:dyDescent="0.25">
      <c r="A244" s="18">
        <v>302</v>
      </c>
      <c r="B244" s="18">
        <v>5.7699999999999998E-6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A00-000000000000}">
  <sheetPr codeName="Sheet5"/>
  <dimension ref="A1:B37"/>
  <sheetViews>
    <sheetView workbookViewId="0">
      <selection sqref="A1:B1"/>
    </sheetView>
  </sheetViews>
  <sheetFormatPr defaultRowHeight="15" x14ac:dyDescent="0.25"/>
  <cols>
    <col min="1" max="1" width="14" customWidth="1"/>
    <col min="2" max="2" width="16.425781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5</v>
      </c>
      <c r="B2" s="18">
        <v>2.0299999999999999E-5</v>
      </c>
    </row>
    <row r="3" spans="1:2" x14ac:dyDescent="0.25">
      <c r="A3" s="18">
        <v>5.2</v>
      </c>
      <c r="B3" s="18">
        <v>2.7700000000000001E-4</v>
      </c>
    </row>
    <row r="4" spans="1:2" x14ac:dyDescent="0.25">
      <c r="A4" s="18">
        <v>5.4</v>
      </c>
      <c r="B4" s="18">
        <v>1.3200000000000001E-4</v>
      </c>
    </row>
    <row r="5" spans="1:2" x14ac:dyDescent="0.25">
      <c r="A5" s="18">
        <v>5.6</v>
      </c>
      <c r="B5" s="18">
        <v>2.2800000000000001E-4</v>
      </c>
    </row>
    <row r="6" spans="1:2" x14ac:dyDescent="0.25">
      <c r="A6" s="18">
        <v>5.8</v>
      </c>
      <c r="B6" s="18">
        <v>1.0399999999999999E-4</v>
      </c>
    </row>
    <row r="7" spans="1:2" x14ac:dyDescent="0.25">
      <c r="A7" s="18">
        <v>6</v>
      </c>
      <c r="B7" s="18">
        <v>3.9199999999999999E-4</v>
      </c>
    </row>
    <row r="8" spans="1:2" x14ac:dyDescent="0.25">
      <c r="A8" s="18">
        <v>6.2</v>
      </c>
      <c r="B8" s="18">
        <v>3.1199999999999999E-4</v>
      </c>
    </row>
    <row r="9" spans="1:2" x14ac:dyDescent="0.25">
      <c r="A9" s="18">
        <v>6.4</v>
      </c>
      <c r="B9" s="18">
        <v>1.1999999999999999E-3</v>
      </c>
    </row>
    <row r="10" spans="1:2" x14ac:dyDescent="0.25">
      <c r="A10" s="18">
        <v>6.6</v>
      </c>
      <c r="B10" s="18">
        <v>1.7099999999999999E-3</v>
      </c>
    </row>
    <row r="11" spans="1:2" x14ac:dyDescent="0.25">
      <c r="A11" s="18">
        <v>6.8</v>
      </c>
      <c r="B11" s="18">
        <v>3.5400000000000002E-3</v>
      </c>
    </row>
    <row r="12" spans="1:2" x14ac:dyDescent="0.25">
      <c r="A12" s="18">
        <v>7</v>
      </c>
      <c r="B12" s="18">
        <v>6.0299999999999998E-3</v>
      </c>
    </row>
    <row r="13" spans="1:2" x14ac:dyDescent="0.25">
      <c r="A13" s="18">
        <v>7.2</v>
      </c>
      <c r="B13" s="18">
        <v>0.01</v>
      </c>
    </row>
    <row r="14" spans="1:2" x14ac:dyDescent="0.25">
      <c r="A14" s="18">
        <v>7.4</v>
      </c>
      <c r="B14" s="18">
        <v>1.5900000000000001E-2</v>
      </c>
    </row>
    <row r="15" spans="1:2" x14ac:dyDescent="0.25">
      <c r="A15" s="18">
        <v>7.6</v>
      </c>
      <c r="B15" s="18">
        <v>2.3800000000000002E-2</v>
      </c>
    </row>
    <row r="16" spans="1:2" x14ac:dyDescent="0.25">
      <c r="A16" s="18">
        <v>7.8</v>
      </c>
      <c r="B16" s="18">
        <v>3.3399999999999999E-2</v>
      </c>
    </row>
    <row r="17" spans="1:2" x14ac:dyDescent="0.25">
      <c r="A17" s="18">
        <v>8</v>
      </c>
      <c r="B17" s="18">
        <v>4.6899999999999997E-2</v>
      </c>
    </row>
    <row r="18" spans="1:2" x14ac:dyDescent="0.25">
      <c r="A18" s="18">
        <v>8.1999999999999993</v>
      </c>
      <c r="B18" s="18">
        <v>5.8700000000000002E-2</v>
      </c>
    </row>
    <row r="19" spans="1:2" x14ac:dyDescent="0.25">
      <c r="A19" s="18">
        <v>8.4</v>
      </c>
      <c r="B19" s="18">
        <v>7.2499999999999995E-2</v>
      </c>
    </row>
    <row r="20" spans="1:2" x14ac:dyDescent="0.25">
      <c r="A20" s="18">
        <v>8.6</v>
      </c>
      <c r="B20" s="18">
        <v>8.6599999999999996E-2</v>
      </c>
    </row>
    <row r="21" spans="1:2" x14ac:dyDescent="0.25">
      <c r="A21" s="18">
        <v>8.8000000000000007</v>
      </c>
      <c r="B21" s="18">
        <v>9.7900000000000001E-2</v>
      </c>
    </row>
    <row r="22" spans="1:2" x14ac:dyDescent="0.25">
      <c r="A22" s="18">
        <v>9</v>
      </c>
      <c r="B22" s="18">
        <v>0.107</v>
      </c>
    </row>
    <row r="23" spans="1:2" x14ac:dyDescent="0.25">
      <c r="A23" s="18">
        <v>9.1999999999999993</v>
      </c>
      <c r="B23" s="18">
        <v>0.112</v>
      </c>
    </row>
    <row r="24" spans="1:2" x14ac:dyDescent="0.25">
      <c r="A24" s="18">
        <v>9.4</v>
      </c>
      <c r="B24" s="18">
        <v>0.108</v>
      </c>
    </row>
    <row r="25" spans="1:2" x14ac:dyDescent="0.25">
      <c r="A25" s="18">
        <v>9.6</v>
      </c>
      <c r="B25" s="18">
        <v>0.10199999999999999</v>
      </c>
    </row>
    <row r="26" spans="1:2" x14ac:dyDescent="0.25">
      <c r="A26" s="18">
        <v>9.8000000000000007</v>
      </c>
      <c r="B26" s="18">
        <v>7.8600000000000003E-2</v>
      </c>
    </row>
    <row r="27" spans="1:2" x14ac:dyDescent="0.25">
      <c r="A27" s="18">
        <v>10</v>
      </c>
      <c r="B27" s="18">
        <v>3.1899999999999998E-2</v>
      </c>
    </row>
    <row r="28" spans="1:2" x14ac:dyDescent="0.25">
      <c r="A28" s="18">
        <v>10.199999999999999</v>
      </c>
      <c r="B28" s="18">
        <v>1.6899999999999999E-4</v>
      </c>
    </row>
    <row r="29" spans="1:2" x14ac:dyDescent="0.25">
      <c r="A29" s="18">
        <v>10.4</v>
      </c>
      <c r="B29" s="18">
        <v>1.3100000000000001E-4</v>
      </c>
    </row>
    <row r="30" spans="1:2" x14ac:dyDescent="0.25">
      <c r="A30" s="18">
        <v>10.6</v>
      </c>
      <c r="B30" s="18">
        <v>3.57E-5</v>
      </c>
    </row>
    <row r="31" spans="1:2" x14ac:dyDescent="0.25">
      <c r="A31" s="18">
        <v>10.8</v>
      </c>
      <c r="B31" s="18">
        <v>5.1399999999999999E-6</v>
      </c>
    </row>
    <row r="32" spans="1:2" x14ac:dyDescent="0.25">
      <c r="A32" s="18">
        <v>11</v>
      </c>
      <c r="B32" s="18">
        <v>1.06E-6</v>
      </c>
    </row>
    <row r="33" spans="1:2" x14ac:dyDescent="0.25">
      <c r="A33" s="18">
        <v>11.2</v>
      </c>
      <c r="B33" s="18">
        <v>3.58E-6</v>
      </c>
    </row>
    <row r="34" spans="1:2" x14ac:dyDescent="0.25">
      <c r="A34" s="18">
        <v>11.4</v>
      </c>
      <c r="B34" s="18">
        <v>1.08E-6</v>
      </c>
    </row>
    <row r="35" spans="1:2" x14ac:dyDescent="0.25">
      <c r="A35" s="18">
        <v>11.6</v>
      </c>
      <c r="B35" s="18">
        <v>1.2500000000000001E-6</v>
      </c>
    </row>
    <row r="36" spans="1:2" x14ac:dyDescent="0.25">
      <c r="A36" s="18">
        <v>11.8</v>
      </c>
      <c r="B36" s="18">
        <v>3.54E-6</v>
      </c>
    </row>
    <row r="37" spans="1:2" x14ac:dyDescent="0.25">
      <c r="A37" s="18">
        <v>12</v>
      </c>
      <c r="B37" s="18">
        <v>1.8500000000000001E-6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B00-000000000000}">
  <dimension ref="A1:B72"/>
  <sheetViews>
    <sheetView workbookViewId="0">
      <selection sqref="A1:B1"/>
    </sheetView>
  </sheetViews>
  <sheetFormatPr defaultRowHeight="15" x14ac:dyDescent="0.25"/>
  <cols>
    <col min="1" max="1" width="15.5703125" style="1" customWidth="1"/>
    <col min="2" max="2" width="15.85546875" style="1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3">
        <v>8</v>
      </c>
      <c r="B2" s="13">
        <v>3.8900000000000002E-4</v>
      </c>
    </row>
    <row r="3" spans="1:2" x14ac:dyDescent="0.25">
      <c r="A3" s="13">
        <v>8.1999999999999993</v>
      </c>
      <c r="B3" s="13">
        <v>1E-3</v>
      </c>
    </row>
    <row r="4" spans="1:2" x14ac:dyDescent="0.25">
      <c r="A4" s="13">
        <v>8.4</v>
      </c>
      <c r="B4" s="13">
        <v>1.15E-3</v>
      </c>
    </row>
    <row r="5" spans="1:2" x14ac:dyDescent="0.25">
      <c r="A5" s="13">
        <v>8.6</v>
      </c>
      <c r="B5" s="13">
        <v>7.6500000000000003E-5</v>
      </c>
    </row>
    <row r="6" spans="1:2" x14ac:dyDescent="0.25">
      <c r="A6" s="13">
        <v>8.8000000000000007</v>
      </c>
      <c r="B6" s="13">
        <v>1.9400000000000001E-3</v>
      </c>
    </row>
    <row r="7" spans="1:2" x14ac:dyDescent="0.25">
      <c r="A7" s="13">
        <v>9</v>
      </c>
      <c r="B7" s="13">
        <v>2.9700000000000001E-4</v>
      </c>
    </row>
    <row r="8" spans="1:2" x14ac:dyDescent="0.25">
      <c r="A8" s="13">
        <v>9.1999999999999993</v>
      </c>
      <c r="B8" s="13">
        <v>1.8799999999999999E-3</v>
      </c>
    </row>
    <row r="9" spans="1:2" x14ac:dyDescent="0.25">
      <c r="A9" s="13">
        <v>9.4</v>
      </c>
      <c r="B9" s="13">
        <v>7.1000000000000002E-4</v>
      </c>
    </row>
    <row r="10" spans="1:2" x14ac:dyDescent="0.25">
      <c r="A10" s="13">
        <v>9.6</v>
      </c>
      <c r="B10" s="13">
        <v>1.17E-3</v>
      </c>
    </row>
    <row r="11" spans="1:2" x14ac:dyDescent="0.25">
      <c r="A11" s="13">
        <v>9.8000000000000007</v>
      </c>
      <c r="B11" s="13">
        <v>1.1299999999999999E-3</v>
      </c>
    </row>
    <row r="12" spans="1:2" x14ac:dyDescent="0.25">
      <c r="A12" s="13">
        <v>10</v>
      </c>
      <c r="B12" s="13">
        <v>2.15E-3</v>
      </c>
    </row>
    <row r="13" spans="1:2" x14ac:dyDescent="0.25">
      <c r="A13" s="13">
        <v>10.199999999999999</v>
      </c>
      <c r="B13" s="13">
        <v>1.2899999999999999E-3</v>
      </c>
    </row>
    <row r="14" spans="1:2" x14ac:dyDescent="0.25">
      <c r="A14" s="13">
        <v>10.4</v>
      </c>
      <c r="B14" s="13">
        <v>1.3300000000000001E-4</v>
      </c>
    </row>
    <row r="15" spans="1:2" x14ac:dyDescent="0.25">
      <c r="A15" s="13">
        <v>10.6</v>
      </c>
      <c r="B15" s="13">
        <v>2.0100000000000001E-4</v>
      </c>
    </row>
    <row r="16" spans="1:2" x14ac:dyDescent="0.25">
      <c r="A16" s="13">
        <v>10.8</v>
      </c>
      <c r="B16" s="13">
        <v>3.0400000000000002E-4</v>
      </c>
    </row>
    <row r="17" spans="1:2" x14ac:dyDescent="0.25">
      <c r="A17" s="13">
        <v>11</v>
      </c>
      <c r="B17" s="13">
        <v>3.1500000000000001E-4</v>
      </c>
    </row>
    <row r="18" spans="1:2" x14ac:dyDescent="0.25">
      <c r="A18" s="13">
        <v>11.2</v>
      </c>
      <c r="B18" s="13">
        <v>4.4099999999999999E-4</v>
      </c>
    </row>
    <row r="19" spans="1:2" x14ac:dyDescent="0.25">
      <c r="A19" s="13">
        <v>11.4</v>
      </c>
      <c r="B19" s="13">
        <v>5.0500000000000002E-4</v>
      </c>
    </row>
    <row r="20" spans="1:2" x14ac:dyDescent="0.25">
      <c r="A20" s="13">
        <v>11.6</v>
      </c>
      <c r="B20" s="13">
        <v>6.7500000000000004E-4</v>
      </c>
    </row>
    <row r="21" spans="1:2" x14ac:dyDescent="0.25">
      <c r="A21" s="13">
        <v>11.8</v>
      </c>
      <c r="B21" s="13">
        <v>7.7800000000000005E-4</v>
      </c>
    </row>
    <row r="22" spans="1:2" x14ac:dyDescent="0.25">
      <c r="A22" s="13">
        <v>12</v>
      </c>
      <c r="B22" s="13">
        <v>9.9700000000000006E-4</v>
      </c>
    </row>
    <row r="23" spans="1:2" x14ac:dyDescent="0.25">
      <c r="A23" s="13">
        <v>12.2</v>
      </c>
      <c r="B23" s="13">
        <v>1.2899999999999999E-3</v>
      </c>
    </row>
    <row r="24" spans="1:2" x14ac:dyDescent="0.25">
      <c r="A24" s="13">
        <v>12.4</v>
      </c>
      <c r="B24" s="13">
        <v>1.47E-3</v>
      </c>
    </row>
    <row r="25" spans="1:2" x14ac:dyDescent="0.25">
      <c r="A25" s="13">
        <v>12.6</v>
      </c>
      <c r="B25" s="13">
        <v>2.5400000000000002E-3</v>
      </c>
    </row>
    <row r="26" spans="1:2" x14ac:dyDescent="0.25">
      <c r="A26" s="13">
        <v>12.8</v>
      </c>
      <c r="B26" s="13">
        <v>2.8900000000000002E-3</v>
      </c>
    </row>
    <row r="27" spans="1:2" x14ac:dyDescent="0.25">
      <c r="A27" s="13">
        <v>13</v>
      </c>
      <c r="B27" s="13">
        <v>3.6099999999999999E-3</v>
      </c>
    </row>
    <row r="28" spans="1:2" x14ac:dyDescent="0.25">
      <c r="A28" s="13">
        <v>13.2</v>
      </c>
      <c r="B28" s="13">
        <v>4.9899999999999996E-3</v>
      </c>
    </row>
    <row r="29" spans="1:2" x14ac:dyDescent="0.25">
      <c r="A29" s="13">
        <v>13.4</v>
      </c>
      <c r="B29" s="13">
        <v>6.1900000000000002E-3</v>
      </c>
    </row>
    <row r="30" spans="1:2" x14ac:dyDescent="0.25">
      <c r="A30" s="13">
        <v>13.6</v>
      </c>
      <c r="B30" s="13">
        <v>7.2500000000000004E-3</v>
      </c>
    </row>
    <row r="31" spans="1:2" x14ac:dyDescent="0.25">
      <c r="A31" s="13">
        <v>13.8</v>
      </c>
      <c r="B31" s="13">
        <v>9.3299999999999998E-3</v>
      </c>
    </row>
    <row r="32" spans="1:2" x14ac:dyDescent="0.25">
      <c r="A32" s="13">
        <v>14</v>
      </c>
      <c r="B32" s="13">
        <v>1.06E-2</v>
      </c>
    </row>
    <row r="33" spans="1:2" x14ac:dyDescent="0.25">
      <c r="A33" s="13">
        <v>14.2</v>
      </c>
      <c r="B33" s="13">
        <v>1.2500000000000001E-2</v>
      </c>
    </row>
    <row r="34" spans="1:2" x14ac:dyDescent="0.25">
      <c r="A34" s="13">
        <v>14.4</v>
      </c>
      <c r="B34" s="13">
        <v>1.46E-2</v>
      </c>
    </row>
    <row r="35" spans="1:2" x14ac:dyDescent="0.25">
      <c r="A35" s="13">
        <v>14.6</v>
      </c>
      <c r="B35" s="13">
        <v>1.66E-2</v>
      </c>
    </row>
    <row r="36" spans="1:2" x14ac:dyDescent="0.25">
      <c r="A36" s="13">
        <v>14.8</v>
      </c>
      <c r="B36" s="13">
        <v>1.9599999999999999E-2</v>
      </c>
    </row>
    <row r="37" spans="1:2" x14ac:dyDescent="0.25">
      <c r="A37" s="13">
        <v>15</v>
      </c>
      <c r="B37" s="13">
        <v>2.1100000000000001E-2</v>
      </c>
    </row>
    <row r="38" spans="1:2" x14ac:dyDescent="0.25">
      <c r="A38" s="13">
        <v>15.2</v>
      </c>
      <c r="B38" s="13">
        <v>2.3900000000000001E-2</v>
      </c>
    </row>
    <row r="39" spans="1:2" x14ac:dyDescent="0.25">
      <c r="A39" s="13">
        <v>15.4</v>
      </c>
      <c r="B39" s="13">
        <v>2.63E-2</v>
      </c>
    </row>
    <row r="40" spans="1:2" x14ac:dyDescent="0.25">
      <c r="A40" s="13">
        <v>15.6</v>
      </c>
      <c r="B40" s="13">
        <v>2.8500000000000001E-2</v>
      </c>
    </row>
    <row r="41" spans="1:2" x14ac:dyDescent="0.25">
      <c r="A41" s="13">
        <v>15.8</v>
      </c>
      <c r="B41" s="13">
        <v>3.04E-2</v>
      </c>
    </row>
    <row r="42" spans="1:2" x14ac:dyDescent="0.25">
      <c r="A42" s="13">
        <v>16</v>
      </c>
      <c r="B42" s="13">
        <v>3.3099999999999997E-2</v>
      </c>
    </row>
    <row r="43" spans="1:2" x14ac:dyDescent="0.25">
      <c r="A43" s="13">
        <v>16.2</v>
      </c>
      <c r="B43" s="13">
        <v>3.5400000000000001E-2</v>
      </c>
    </row>
    <row r="44" spans="1:2" x14ac:dyDescent="0.25">
      <c r="A44" s="13">
        <v>16.399999999999999</v>
      </c>
      <c r="B44" s="13">
        <v>3.6900000000000002E-2</v>
      </c>
    </row>
    <row r="45" spans="1:2" x14ac:dyDescent="0.25">
      <c r="A45" s="13">
        <v>16.600000000000001</v>
      </c>
      <c r="B45" s="13">
        <v>3.8899999999999997E-2</v>
      </c>
    </row>
    <row r="46" spans="1:2" x14ac:dyDescent="0.25">
      <c r="A46" s="13">
        <v>16.8</v>
      </c>
      <c r="B46" s="13">
        <v>4.1599999999999998E-2</v>
      </c>
    </row>
    <row r="47" spans="1:2" x14ac:dyDescent="0.25">
      <c r="A47" s="13">
        <v>17</v>
      </c>
      <c r="B47" s="13">
        <v>4.1799999999999997E-2</v>
      </c>
    </row>
    <row r="48" spans="1:2" x14ac:dyDescent="0.25">
      <c r="A48" s="13">
        <v>17.2</v>
      </c>
      <c r="B48" s="13">
        <v>4.2299999999999997E-2</v>
      </c>
    </row>
    <row r="49" spans="1:2" x14ac:dyDescent="0.25">
      <c r="A49" s="13">
        <v>17.399999999999999</v>
      </c>
      <c r="B49" s="13">
        <v>4.3299999999999998E-2</v>
      </c>
    </row>
    <row r="50" spans="1:2" x14ac:dyDescent="0.25">
      <c r="A50" s="13">
        <v>17.600000000000001</v>
      </c>
      <c r="B50" s="13">
        <v>4.3999999999999997E-2</v>
      </c>
    </row>
    <row r="51" spans="1:2" x14ac:dyDescent="0.25">
      <c r="A51" s="13">
        <v>17.8</v>
      </c>
      <c r="B51" s="13">
        <v>4.4299999999999999E-2</v>
      </c>
    </row>
    <row r="52" spans="1:2" x14ac:dyDescent="0.25">
      <c r="A52" s="13">
        <v>18</v>
      </c>
      <c r="B52" s="13">
        <v>4.2999999999999997E-2</v>
      </c>
    </row>
    <row r="53" spans="1:2" x14ac:dyDescent="0.25">
      <c r="A53" s="13">
        <v>18.2</v>
      </c>
      <c r="B53" s="13">
        <v>4.2500000000000003E-2</v>
      </c>
    </row>
    <row r="54" spans="1:2" x14ac:dyDescent="0.25">
      <c r="A54" s="13">
        <v>18.399999999999999</v>
      </c>
      <c r="B54" s="13">
        <v>4.1099999999999998E-2</v>
      </c>
    </row>
    <row r="55" spans="1:2" x14ac:dyDescent="0.25">
      <c r="A55" s="13">
        <v>18.600000000000001</v>
      </c>
      <c r="B55" s="13">
        <v>3.9800000000000002E-2</v>
      </c>
    </row>
    <row r="56" spans="1:2" x14ac:dyDescent="0.25">
      <c r="A56" s="13">
        <v>18.8</v>
      </c>
      <c r="B56" s="13">
        <v>3.6799999999999999E-2</v>
      </c>
    </row>
    <row r="57" spans="1:2" x14ac:dyDescent="0.25">
      <c r="A57" s="13">
        <v>19</v>
      </c>
      <c r="B57" s="13">
        <v>3.4099999999999998E-2</v>
      </c>
    </row>
    <row r="58" spans="1:2" x14ac:dyDescent="0.25">
      <c r="A58" s="13">
        <v>19.2</v>
      </c>
      <c r="B58" s="13">
        <v>3.0300000000000001E-2</v>
      </c>
    </row>
    <row r="59" spans="1:2" x14ac:dyDescent="0.25">
      <c r="A59" s="13">
        <v>19.399999999999999</v>
      </c>
      <c r="B59" s="13">
        <v>2.6599999999999999E-2</v>
      </c>
    </row>
    <row r="60" spans="1:2" x14ac:dyDescent="0.25">
      <c r="A60" s="13">
        <v>19.600000000000001</v>
      </c>
      <c r="B60" s="13">
        <v>2.1100000000000001E-2</v>
      </c>
    </row>
    <row r="61" spans="1:2" x14ac:dyDescent="0.25">
      <c r="A61" s="13">
        <v>19.8</v>
      </c>
      <c r="B61" s="13">
        <v>1.5699999999999999E-2</v>
      </c>
    </row>
    <row r="62" spans="1:2" x14ac:dyDescent="0.25">
      <c r="A62" s="13">
        <v>20</v>
      </c>
      <c r="B62" s="13">
        <v>5.96E-3</v>
      </c>
    </row>
    <row r="63" spans="1:2" x14ac:dyDescent="0.25">
      <c r="A63" s="13">
        <v>20.2</v>
      </c>
      <c r="B63" s="13">
        <v>1.4E-5</v>
      </c>
    </row>
    <row r="64" spans="1:2" x14ac:dyDescent="0.25">
      <c r="A64" s="13">
        <v>20.399999999999999</v>
      </c>
      <c r="B64" s="13">
        <v>5.8799999999999999E-5</v>
      </c>
    </row>
    <row r="65" spans="1:2" x14ac:dyDescent="0.25">
      <c r="A65" s="13">
        <v>20.6</v>
      </c>
      <c r="B65" s="13">
        <v>2.2500000000000001E-5</v>
      </c>
    </row>
    <row r="66" spans="1:2" x14ac:dyDescent="0.25">
      <c r="A66" s="13">
        <v>20.8</v>
      </c>
      <c r="B66" s="13">
        <v>7.2599999999999999E-6</v>
      </c>
    </row>
    <row r="67" spans="1:2" x14ac:dyDescent="0.25">
      <c r="A67" s="13">
        <v>21</v>
      </c>
      <c r="B67" s="13">
        <v>1.6700000000000001E-6</v>
      </c>
    </row>
    <row r="68" spans="1:2" x14ac:dyDescent="0.25">
      <c r="A68" s="13">
        <v>21.2</v>
      </c>
      <c r="B68" s="13">
        <v>6.9E-6</v>
      </c>
    </row>
    <row r="69" spans="1:2" x14ac:dyDescent="0.25">
      <c r="A69" s="13">
        <v>21.4</v>
      </c>
      <c r="B69" s="13">
        <v>6.4400000000000002E-6</v>
      </c>
    </row>
    <row r="70" spans="1:2" x14ac:dyDescent="0.25">
      <c r="A70" s="13">
        <v>21.6</v>
      </c>
      <c r="B70" s="13">
        <v>3.1499999999999999E-6</v>
      </c>
    </row>
    <row r="71" spans="1:2" x14ac:dyDescent="0.25">
      <c r="A71" s="13">
        <v>21.8</v>
      </c>
      <c r="B71" s="13">
        <v>1.1799999999999999E-6</v>
      </c>
    </row>
    <row r="72" spans="1:2" x14ac:dyDescent="0.25">
      <c r="A72" s="13">
        <v>22</v>
      </c>
      <c r="B72" s="13">
        <v>3.41E-6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C00-000000000000}">
  <dimension ref="A1:B8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15</v>
      </c>
      <c r="B2" s="18">
        <v>1.5100000000000001E-4</v>
      </c>
    </row>
    <row r="3" spans="1:2" x14ac:dyDescent="0.25">
      <c r="A3" s="18">
        <v>15.2</v>
      </c>
      <c r="B3" s="18">
        <v>2.12E-4</v>
      </c>
    </row>
    <row r="4" spans="1:2" x14ac:dyDescent="0.25">
      <c r="A4" s="18">
        <v>15.4</v>
      </c>
      <c r="B4" s="18">
        <v>7.8899999999999993E-5</v>
      </c>
    </row>
    <row r="5" spans="1:2" x14ac:dyDescent="0.25">
      <c r="A5" s="18">
        <v>15.6</v>
      </c>
      <c r="B5" s="18">
        <v>1.7100000000000001E-4</v>
      </c>
    </row>
    <row r="6" spans="1:2" x14ac:dyDescent="0.25">
      <c r="A6" s="18">
        <v>15.8</v>
      </c>
      <c r="B6" s="18">
        <v>1.7100000000000001E-4</v>
      </c>
    </row>
    <row r="7" spans="1:2" x14ac:dyDescent="0.25">
      <c r="A7" s="18">
        <v>16</v>
      </c>
      <c r="B7" s="18">
        <v>9.8200000000000002E-5</v>
      </c>
    </row>
    <row r="8" spans="1:2" x14ac:dyDescent="0.25">
      <c r="A8" s="18">
        <v>16.2</v>
      </c>
      <c r="B8" s="18">
        <v>1.4600000000000001E-5</v>
      </c>
    </row>
    <row r="9" spans="1:2" x14ac:dyDescent="0.25">
      <c r="A9" s="18">
        <v>16.399999999999999</v>
      </c>
      <c r="B9" s="18">
        <v>1.91E-5</v>
      </c>
    </row>
    <row r="10" spans="1:2" x14ac:dyDescent="0.25">
      <c r="A10" s="18">
        <v>16.600000000000001</v>
      </c>
      <c r="B10" s="18">
        <v>3.3099999999999998E-5</v>
      </c>
    </row>
    <row r="11" spans="1:2" x14ac:dyDescent="0.25">
      <c r="A11" s="18">
        <v>16.8</v>
      </c>
      <c r="B11" s="18">
        <v>2.1699999999999999E-4</v>
      </c>
    </row>
    <row r="12" spans="1:2" x14ac:dyDescent="0.25">
      <c r="A12" s="18">
        <v>17</v>
      </c>
      <c r="B12" s="18">
        <v>1.45E-4</v>
      </c>
    </row>
    <row r="13" spans="1:2" x14ac:dyDescent="0.25">
      <c r="A13" s="18">
        <v>17.2</v>
      </c>
      <c r="B13" s="18">
        <v>3.6400000000000001E-4</v>
      </c>
    </row>
    <row r="14" spans="1:2" x14ac:dyDescent="0.25">
      <c r="A14" s="18">
        <v>17.399999999999999</v>
      </c>
      <c r="B14" s="18">
        <v>6.58E-5</v>
      </c>
    </row>
    <row r="15" spans="1:2" x14ac:dyDescent="0.25">
      <c r="A15" s="18">
        <v>17.600000000000001</v>
      </c>
      <c r="B15" s="18">
        <v>1.3100000000000001E-4</v>
      </c>
    </row>
    <row r="16" spans="1:2" x14ac:dyDescent="0.25">
      <c r="A16" s="18">
        <v>17.8</v>
      </c>
      <c r="B16" s="18">
        <v>2.4399999999999999E-4</v>
      </c>
    </row>
    <row r="17" spans="1:2" x14ac:dyDescent="0.25">
      <c r="A17" s="18">
        <v>18</v>
      </c>
      <c r="B17" s="18">
        <v>1.13E-4</v>
      </c>
    </row>
    <row r="18" spans="1:2" x14ac:dyDescent="0.25">
      <c r="A18" s="18">
        <v>18.2</v>
      </c>
      <c r="B18" s="18">
        <v>3.8299999999999999E-4</v>
      </c>
    </row>
    <row r="19" spans="1:2" x14ac:dyDescent="0.25">
      <c r="A19" s="18">
        <v>18.399999999999999</v>
      </c>
      <c r="B19" s="18">
        <v>5.8100000000000003E-4</v>
      </c>
    </row>
    <row r="20" spans="1:2" x14ac:dyDescent="0.25">
      <c r="A20" s="18">
        <v>18.600000000000001</v>
      </c>
      <c r="B20" s="18">
        <v>2.41E-4</v>
      </c>
    </row>
    <row r="21" spans="1:2" x14ac:dyDescent="0.25">
      <c r="A21" s="18">
        <v>18.8</v>
      </c>
      <c r="B21" s="18">
        <v>2.4499999999999999E-4</v>
      </c>
    </row>
    <row r="22" spans="1:2" x14ac:dyDescent="0.25">
      <c r="A22" s="18">
        <v>19</v>
      </c>
      <c r="B22" s="18">
        <v>5.3799999999999996E-4</v>
      </c>
    </row>
    <row r="23" spans="1:2" x14ac:dyDescent="0.25">
      <c r="A23" s="18">
        <v>19.2</v>
      </c>
      <c r="B23" s="18">
        <v>6.69E-4</v>
      </c>
    </row>
    <row r="24" spans="1:2" x14ac:dyDescent="0.25">
      <c r="A24" s="18">
        <v>19.399999999999999</v>
      </c>
      <c r="B24" s="18">
        <v>5.7600000000000001E-4</v>
      </c>
    </row>
    <row r="25" spans="1:2" x14ac:dyDescent="0.25">
      <c r="A25" s="18">
        <v>19.600000000000001</v>
      </c>
      <c r="B25" s="18">
        <v>1.09E-3</v>
      </c>
    </row>
    <row r="26" spans="1:2" x14ac:dyDescent="0.25">
      <c r="A26" s="18">
        <v>19.8</v>
      </c>
      <c r="B26" s="18">
        <v>1.15E-3</v>
      </c>
    </row>
    <row r="27" spans="1:2" x14ac:dyDescent="0.25">
      <c r="A27" s="18">
        <v>20</v>
      </c>
      <c r="B27" s="18">
        <v>1.5E-3</v>
      </c>
    </row>
    <row r="28" spans="1:2" x14ac:dyDescent="0.25">
      <c r="A28" s="18">
        <v>20.2</v>
      </c>
      <c r="B28" s="18">
        <v>1.64E-3</v>
      </c>
    </row>
    <row r="29" spans="1:2" x14ac:dyDescent="0.25">
      <c r="A29" s="18">
        <v>20.399999999999999</v>
      </c>
      <c r="B29" s="18">
        <v>1.6800000000000001E-3</v>
      </c>
    </row>
    <row r="30" spans="1:2" x14ac:dyDescent="0.25">
      <c r="A30" s="18">
        <v>20.6</v>
      </c>
      <c r="B30" s="18">
        <v>2.15E-3</v>
      </c>
    </row>
    <row r="31" spans="1:2" x14ac:dyDescent="0.25">
      <c r="A31" s="18">
        <v>20.8</v>
      </c>
      <c r="B31" s="18">
        <v>2.5500000000000002E-3</v>
      </c>
    </row>
    <row r="32" spans="1:2" x14ac:dyDescent="0.25">
      <c r="A32" s="18">
        <v>21</v>
      </c>
      <c r="B32" s="18">
        <v>3.0899999999999999E-3</v>
      </c>
    </row>
    <row r="33" spans="1:2" x14ac:dyDescent="0.25">
      <c r="A33" s="18">
        <v>21.2</v>
      </c>
      <c r="B33" s="18">
        <v>3.6800000000000001E-3</v>
      </c>
    </row>
    <row r="34" spans="1:2" x14ac:dyDescent="0.25">
      <c r="A34" s="18">
        <v>21.4</v>
      </c>
      <c r="B34" s="18">
        <v>4.1599999999999996E-3</v>
      </c>
    </row>
    <row r="35" spans="1:2" x14ac:dyDescent="0.25">
      <c r="A35" s="18">
        <v>21.6</v>
      </c>
      <c r="B35" s="18">
        <v>4.8399999999999997E-3</v>
      </c>
    </row>
    <row r="36" spans="1:2" x14ac:dyDescent="0.25">
      <c r="A36" s="18">
        <v>21.8</v>
      </c>
      <c r="B36" s="18">
        <v>5.4599999999999996E-3</v>
      </c>
    </row>
    <row r="37" spans="1:2" x14ac:dyDescent="0.25">
      <c r="A37" s="18">
        <v>22</v>
      </c>
      <c r="B37" s="18">
        <v>6.4799999999999996E-3</v>
      </c>
    </row>
    <row r="38" spans="1:2" x14ac:dyDescent="0.25">
      <c r="A38" s="18">
        <v>22.2</v>
      </c>
      <c r="B38" s="18">
        <v>6.9800000000000001E-3</v>
      </c>
    </row>
    <row r="39" spans="1:2" x14ac:dyDescent="0.25">
      <c r="A39" s="18">
        <v>22.4</v>
      </c>
      <c r="B39" s="18">
        <v>8.2699999999999996E-3</v>
      </c>
    </row>
    <row r="40" spans="1:2" x14ac:dyDescent="0.25">
      <c r="A40" s="18">
        <v>22.6</v>
      </c>
      <c r="B40" s="18">
        <v>8.8400000000000006E-3</v>
      </c>
    </row>
    <row r="41" spans="1:2" x14ac:dyDescent="0.25">
      <c r="A41" s="18">
        <v>22.8</v>
      </c>
      <c r="B41" s="18">
        <v>1.04E-2</v>
      </c>
    </row>
    <row r="42" spans="1:2" x14ac:dyDescent="0.25">
      <c r="A42" s="18">
        <v>23</v>
      </c>
      <c r="B42" s="18">
        <v>1.0999999999999999E-2</v>
      </c>
    </row>
    <row r="43" spans="1:2" x14ac:dyDescent="0.25">
      <c r="A43" s="18">
        <v>23.2</v>
      </c>
      <c r="B43" s="18">
        <v>1.26E-2</v>
      </c>
    </row>
    <row r="44" spans="1:2" x14ac:dyDescent="0.25">
      <c r="A44" s="18">
        <v>23.4</v>
      </c>
      <c r="B44" s="18">
        <v>1.38E-2</v>
      </c>
    </row>
    <row r="45" spans="1:2" x14ac:dyDescent="0.25">
      <c r="A45" s="18">
        <v>23.6</v>
      </c>
      <c r="B45" s="18">
        <v>1.54E-2</v>
      </c>
    </row>
    <row r="46" spans="1:2" x14ac:dyDescent="0.25">
      <c r="A46" s="18">
        <v>23.8</v>
      </c>
      <c r="B46" s="18">
        <v>1.6500000000000001E-2</v>
      </c>
    </row>
    <row r="47" spans="1:2" x14ac:dyDescent="0.25">
      <c r="A47" s="18">
        <v>24</v>
      </c>
      <c r="B47" s="18">
        <v>1.8200000000000001E-2</v>
      </c>
    </row>
    <row r="48" spans="1:2" x14ac:dyDescent="0.25">
      <c r="A48" s="18">
        <v>24.2</v>
      </c>
      <c r="B48" s="18">
        <v>1.9E-2</v>
      </c>
    </row>
    <row r="49" spans="1:2" x14ac:dyDescent="0.25">
      <c r="A49" s="18">
        <v>24.4</v>
      </c>
      <c r="B49" s="18">
        <v>2.07E-2</v>
      </c>
    </row>
    <row r="50" spans="1:2" x14ac:dyDescent="0.25">
      <c r="A50" s="18">
        <v>24.6</v>
      </c>
      <c r="B50" s="18">
        <v>2.24E-2</v>
      </c>
    </row>
    <row r="51" spans="1:2" x14ac:dyDescent="0.25">
      <c r="A51" s="18">
        <v>24.8</v>
      </c>
      <c r="B51" s="18">
        <v>2.29E-2</v>
      </c>
    </row>
    <row r="52" spans="1:2" x14ac:dyDescent="0.25">
      <c r="A52" s="18">
        <v>25</v>
      </c>
      <c r="B52" s="18">
        <v>2.5000000000000001E-2</v>
      </c>
    </row>
    <row r="53" spans="1:2" x14ac:dyDescent="0.25">
      <c r="A53" s="18">
        <v>25.2</v>
      </c>
      <c r="B53" s="18">
        <v>2.6599999999999999E-2</v>
      </c>
    </row>
    <row r="54" spans="1:2" x14ac:dyDescent="0.25">
      <c r="A54" s="18">
        <v>25.4</v>
      </c>
      <c r="B54" s="18">
        <v>2.7799999999999998E-2</v>
      </c>
    </row>
    <row r="55" spans="1:2" x14ac:dyDescent="0.25">
      <c r="A55" s="18">
        <v>25.6</v>
      </c>
      <c r="B55" s="18">
        <v>2.8799999999999999E-2</v>
      </c>
    </row>
    <row r="56" spans="1:2" x14ac:dyDescent="0.25">
      <c r="A56" s="18">
        <v>25.8</v>
      </c>
      <c r="B56" s="18">
        <v>3.0300000000000001E-2</v>
      </c>
    </row>
    <row r="57" spans="1:2" x14ac:dyDescent="0.25">
      <c r="A57" s="18">
        <v>26</v>
      </c>
      <c r="B57" s="18">
        <v>3.15E-2</v>
      </c>
    </row>
    <row r="58" spans="1:2" x14ac:dyDescent="0.25">
      <c r="A58" s="18">
        <v>26.2</v>
      </c>
      <c r="B58" s="18">
        <v>3.27E-2</v>
      </c>
    </row>
    <row r="59" spans="1:2" x14ac:dyDescent="0.25">
      <c r="A59" s="18">
        <v>26.4</v>
      </c>
      <c r="B59" s="18">
        <v>3.3799999999999997E-2</v>
      </c>
    </row>
    <row r="60" spans="1:2" x14ac:dyDescent="0.25">
      <c r="A60" s="18">
        <v>26.6</v>
      </c>
      <c r="B60" s="18">
        <v>3.3300000000000003E-2</v>
      </c>
    </row>
    <row r="61" spans="1:2" x14ac:dyDescent="0.25">
      <c r="A61" s="18">
        <v>26.8</v>
      </c>
      <c r="B61" s="18">
        <v>3.5299999999999998E-2</v>
      </c>
    </row>
    <row r="62" spans="1:2" x14ac:dyDescent="0.25">
      <c r="A62" s="18">
        <v>27</v>
      </c>
      <c r="B62" s="18">
        <v>3.49E-2</v>
      </c>
    </row>
    <row r="63" spans="1:2" x14ac:dyDescent="0.25">
      <c r="A63" s="18">
        <v>27.2</v>
      </c>
      <c r="B63" s="18">
        <v>3.5999999999999997E-2</v>
      </c>
    </row>
    <row r="64" spans="1:2" x14ac:dyDescent="0.25">
      <c r="A64" s="18">
        <v>27.4</v>
      </c>
      <c r="B64" s="18">
        <v>3.5799999999999998E-2</v>
      </c>
    </row>
    <row r="65" spans="1:2" x14ac:dyDescent="0.25">
      <c r="A65" s="18">
        <v>27.6</v>
      </c>
      <c r="B65" s="18">
        <v>3.5700000000000003E-2</v>
      </c>
    </row>
    <row r="66" spans="1:2" x14ac:dyDescent="0.25">
      <c r="A66" s="18">
        <v>27.8</v>
      </c>
      <c r="B66" s="18">
        <v>3.5099999999999999E-2</v>
      </c>
    </row>
    <row r="67" spans="1:2" x14ac:dyDescent="0.25">
      <c r="A67" s="18">
        <v>28</v>
      </c>
      <c r="B67" s="18">
        <v>3.4299999999999997E-2</v>
      </c>
    </row>
    <row r="68" spans="1:2" x14ac:dyDescent="0.25">
      <c r="A68" s="18">
        <v>28.2</v>
      </c>
      <c r="B68" s="18">
        <v>3.4099999999999998E-2</v>
      </c>
    </row>
    <row r="69" spans="1:2" x14ac:dyDescent="0.25">
      <c r="A69" s="18">
        <v>28.4</v>
      </c>
      <c r="B69" s="18">
        <v>3.2000000000000001E-2</v>
      </c>
    </row>
    <row r="70" spans="1:2" x14ac:dyDescent="0.25">
      <c r="A70" s="18">
        <v>28.6</v>
      </c>
      <c r="B70" s="18">
        <v>3.1699999999999999E-2</v>
      </c>
    </row>
    <row r="71" spans="1:2" x14ac:dyDescent="0.25">
      <c r="A71" s="18">
        <v>28.8</v>
      </c>
      <c r="B71" s="18">
        <v>2.8799999999999999E-2</v>
      </c>
    </row>
    <row r="72" spans="1:2" x14ac:dyDescent="0.25">
      <c r="A72" s="18">
        <v>29</v>
      </c>
      <c r="B72" s="18">
        <v>2.7300000000000001E-2</v>
      </c>
    </row>
    <row r="73" spans="1:2" x14ac:dyDescent="0.25">
      <c r="A73" s="18">
        <v>29.2</v>
      </c>
      <c r="B73" s="18">
        <v>2.3900000000000001E-2</v>
      </c>
    </row>
    <row r="74" spans="1:2" x14ac:dyDescent="0.25">
      <c r="A74" s="18">
        <v>29.4</v>
      </c>
      <c r="B74" s="18">
        <v>2.0799999999999999E-2</v>
      </c>
    </row>
    <row r="75" spans="1:2" x14ac:dyDescent="0.25">
      <c r="A75" s="18">
        <v>29.6</v>
      </c>
      <c r="B75" s="18">
        <v>1.6500000000000001E-2</v>
      </c>
    </row>
    <row r="76" spans="1:2" x14ac:dyDescent="0.25">
      <c r="A76" s="18">
        <v>29.8</v>
      </c>
      <c r="B76" s="18">
        <v>1.2E-2</v>
      </c>
    </row>
    <row r="77" spans="1:2" x14ac:dyDescent="0.25">
      <c r="A77" s="18">
        <v>30</v>
      </c>
      <c r="B77" s="18">
        <v>4.1999999999999997E-3</v>
      </c>
    </row>
    <row r="78" spans="1:2" x14ac:dyDescent="0.25">
      <c r="A78" s="18">
        <v>30.2</v>
      </c>
      <c r="B78" s="18">
        <v>1.1400000000000001E-4</v>
      </c>
    </row>
    <row r="79" spans="1:2" x14ac:dyDescent="0.25">
      <c r="A79" s="18">
        <v>30.4</v>
      </c>
      <c r="B79" s="18">
        <v>4.9699999999999996E-7</v>
      </c>
    </row>
    <row r="80" spans="1:2" x14ac:dyDescent="0.25">
      <c r="A80" s="18">
        <v>30.6</v>
      </c>
      <c r="B80" s="18">
        <v>2.74E-6</v>
      </c>
    </row>
    <row r="81" spans="1:2" x14ac:dyDescent="0.25">
      <c r="A81" s="18">
        <v>30.8</v>
      </c>
      <c r="B81" s="18">
        <v>4.0300000000000004E-6</v>
      </c>
    </row>
    <row r="82" spans="1:2" x14ac:dyDescent="0.25">
      <c r="A82" s="18">
        <v>31</v>
      </c>
      <c r="B82" s="18">
        <v>8.8400000000000003E-7</v>
      </c>
    </row>
    <row r="83" spans="1:2" x14ac:dyDescent="0.25">
      <c r="A83" s="18">
        <v>31.2</v>
      </c>
      <c r="B83" s="18">
        <v>6.7700000000000004E-7</v>
      </c>
    </row>
    <row r="84" spans="1:2" x14ac:dyDescent="0.25">
      <c r="A84" s="18">
        <v>31.4</v>
      </c>
      <c r="B84" s="18">
        <v>7.7999999999999999E-6</v>
      </c>
    </row>
    <row r="85" spans="1:2" x14ac:dyDescent="0.25">
      <c r="A85" s="18">
        <v>31.6</v>
      </c>
      <c r="B85" s="18">
        <v>2.1399999999999998E-6</v>
      </c>
    </row>
    <row r="86" spans="1:2" x14ac:dyDescent="0.25">
      <c r="A86" s="18">
        <v>31.8</v>
      </c>
      <c r="B86" s="18">
        <v>6.9500000000000004E-6</v>
      </c>
    </row>
    <row r="87" spans="1:2" x14ac:dyDescent="0.25">
      <c r="A87" s="18">
        <v>32</v>
      </c>
      <c r="B87" s="18">
        <v>2.2699999999999999E-6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D00-000000000000}">
  <dimension ref="A1:B10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16</v>
      </c>
      <c r="B2" s="18">
        <v>2.4499999999999999E-4</v>
      </c>
    </row>
    <row r="3" spans="1:2" x14ac:dyDescent="0.25">
      <c r="A3" s="18">
        <v>16.2</v>
      </c>
      <c r="B3" s="18">
        <v>4.64E-4</v>
      </c>
    </row>
    <row r="4" spans="1:2" x14ac:dyDescent="0.25">
      <c r="A4" s="18">
        <v>16.399999999999999</v>
      </c>
      <c r="B4" s="18">
        <v>2.0599999999999999E-4</v>
      </c>
    </row>
    <row r="5" spans="1:2" x14ac:dyDescent="0.25">
      <c r="A5" s="18">
        <v>16.600000000000001</v>
      </c>
      <c r="B5" s="18">
        <v>1.45E-4</v>
      </c>
    </row>
    <row r="6" spans="1:2" x14ac:dyDescent="0.25">
      <c r="A6" s="18">
        <v>16.8</v>
      </c>
      <c r="B6" s="18">
        <v>1.7200000000000001E-4</v>
      </c>
    </row>
    <row r="7" spans="1:2" x14ac:dyDescent="0.25">
      <c r="A7" s="18">
        <v>17</v>
      </c>
      <c r="B7" s="18">
        <v>6.8899999999999994E-5</v>
      </c>
    </row>
    <row r="8" spans="1:2" x14ac:dyDescent="0.25">
      <c r="A8" s="18">
        <v>17.2</v>
      </c>
      <c r="B8" s="18">
        <v>2.31E-4</v>
      </c>
    </row>
    <row r="9" spans="1:2" x14ac:dyDescent="0.25">
      <c r="A9" s="18">
        <v>17.399999999999999</v>
      </c>
      <c r="B9" s="18">
        <v>3.5499999999999999E-6</v>
      </c>
    </row>
    <row r="10" spans="1:2" x14ac:dyDescent="0.25">
      <c r="A10" s="18">
        <v>17.600000000000001</v>
      </c>
      <c r="B10" s="18">
        <v>4.21E-5</v>
      </c>
    </row>
    <row r="11" spans="1:2" x14ac:dyDescent="0.25">
      <c r="A11" s="18">
        <v>17.8</v>
      </c>
      <c r="B11" s="18">
        <v>6.8899999999999994E-5</v>
      </c>
    </row>
    <row r="12" spans="1:2" x14ac:dyDescent="0.25">
      <c r="A12" s="18">
        <v>18</v>
      </c>
      <c r="B12" s="18">
        <v>1.08E-4</v>
      </c>
    </row>
    <row r="13" spans="1:2" x14ac:dyDescent="0.25">
      <c r="A13" s="18">
        <v>18.2</v>
      </c>
      <c r="B13" s="18">
        <v>2.5600000000000001E-6</v>
      </c>
    </row>
    <row r="14" spans="1:2" x14ac:dyDescent="0.25">
      <c r="A14" s="18">
        <v>18.399999999999999</v>
      </c>
      <c r="B14" s="18">
        <v>1.11E-4</v>
      </c>
    </row>
    <row r="15" spans="1:2" x14ac:dyDescent="0.25">
      <c r="A15" s="18">
        <v>18.600000000000001</v>
      </c>
      <c r="B15" s="18">
        <v>1.11E-4</v>
      </c>
    </row>
    <row r="16" spans="1:2" x14ac:dyDescent="0.25">
      <c r="A16" s="18">
        <v>18.8</v>
      </c>
      <c r="B16" s="18">
        <v>1.3799999999999999E-4</v>
      </c>
    </row>
    <row r="17" spans="1:2" x14ac:dyDescent="0.25">
      <c r="A17" s="18">
        <v>19</v>
      </c>
      <c r="B17" s="18">
        <v>1.8699999999999999E-4</v>
      </c>
    </row>
    <row r="18" spans="1:2" x14ac:dyDescent="0.25">
      <c r="A18" s="18">
        <v>19.2</v>
      </c>
      <c r="B18" s="18">
        <v>6.7100000000000005E-5</v>
      </c>
    </row>
    <row r="19" spans="1:2" x14ac:dyDescent="0.25">
      <c r="A19" s="18">
        <v>19.399999999999999</v>
      </c>
      <c r="B19" s="18">
        <v>8.1299999999999997E-5</v>
      </c>
    </row>
    <row r="20" spans="1:2" x14ac:dyDescent="0.25">
      <c r="A20" s="18">
        <v>19.600000000000001</v>
      </c>
      <c r="B20" s="18">
        <v>2.3499999999999999E-5</v>
      </c>
    </row>
    <row r="21" spans="1:2" x14ac:dyDescent="0.25">
      <c r="A21" s="18">
        <v>19.8</v>
      </c>
      <c r="B21" s="18">
        <v>3.77E-4</v>
      </c>
    </row>
    <row r="22" spans="1:2" x14ac:dyDescent="0.25">
      <c r="A22" s="18">
        <v>20</v>
      </c>
      <c r="B22" s="18">
        <v>1.4999999999999999E-4</v>
      </c>
    </row>
    <row r="23" spans="1:2" x14ac:dyDescent="0.25">
      <c r="A23" s="18">
        <v>20.2</v>
      </c>
      <c r="B23" s="18">
        <v>3.6099999999999999E-4</v>
      </c>
    </row>
    <row r="24" spans="1:2" x14ac:dyDescent="0.25">
      <c r="A24" s="18">
        <v>20.399999999999999</v>
      </c>
      <c r="B24" s="18">
        <v>3.2499999999999999E-4</v>
      </c>
    </row>
    <row r="25" spans="1:2" x14ac:dyDescent="0.25">
      <c r="A25" s="18">
        <v>20.6</v>
      </c>
      <c r="B25" s="18">
        <v>2.2599999999999999E-4</v>
      </c>
    </row>
    <row r="26" spans="1:2" x14ac:dyDescent="0.25">
      <c r="A26" s="18">
        <v>20.8</v>
      </c>
      <c r="B26" s="18">
        <v>4.0700000000000003E-4</v>
      </c>
    </row>
    <row r="27" spans="1:2" x14ac:dyDescent="0.25">
      <c r="A27" s="18">
        <v>21</v>
      </c>
      <c r="B27" s="18">
        <v>5.1900000000000004E-4</v>
      </c>
    </row>
    <row r="28" spans="1:2" x14ac:dyDescent="0.25">
      <c r="A28" s="18">
        <v>21.2</v>
      </c>
      <c r="B28" s="18">
        <v>6.5099999999999999E-4</v>
      </c>
    </row>
    <row r="29" spans="1:2" x14ac:dyDescent="0.25">
      <c r="A29" s="18">
        <v>21.4</v>
      </c>
      <c r="B29" s="18">
        <v>7.5000000000000002E-4</v>
      </c>
    </row>
    <row r="30" spans="1:2" x14ac:dyDescent="0.25">
      <c r="A30" s="18">
        <v>21.6</v>
      </c>
      <c r="B30" s="18">
        <v>8.4400000000000002E-4</v>
      </c>
    </row>
    <row r="31" spans="1:2" x14ac:dyDescent="0.25">
      <c r="A31" s="18">
        <v>21.8</v>
      </c>
      <c r="B31" s="18">
        <v>7.3499999999999998E-4</v>
      </c>
    </row>
    <row r="32" spans="1:2" x14ac:dyDescent="0.25">
      <c r="A32" s="18">
        <v>22</v>
      </c>
      <c r="B32" s="18">
        <v>1.39E-3</v>
      </c>
    </row>
    <row r="33" spans="1:2" x14ac:dyDescent="0.25">
      <c r="A33" s="18">
        <v>22.2</v>
      </c>
      <c r="B33" s="18">
        <v>1.1900000000000001E-3</v>
      </c>
    </row>
    <row r="34" spans="1:2" x14ac:dyDescent="0.25">
      <c r="A34" s="18">
        <v>22.4</v>
      </c>
      <c r="B34" s="18">
        <v>1.58E-3</v>
      </c>
    </row>
    <row r="35" spans="1:2" x14ac:dyDescent="0.25">
      <c r="A35" s="18">
        <v>22.6</v>
      </c>
      <c r="B35" s="18">
        <v>1.7099999999999999E-3</v>
      </c>
    </row>
    <row r="36" spans="1:2" x14ac:dyDescent="0.25">
      <c r="A36" s="18">
        <v>22.8</v>
      </c>
      <c r="B36" s="18">
        <v>2.1700000000000001E-3</v>
      </c>
    </row>
    <row r="37" spans="1:2" x14ac:dyDescent="0.25">
      <c r="A37" s="18">
        <v>23</v>
      </c>
      <c r="B37" s="18">
        <v>2.2499999999999998E-3</v>
      </c>
    </row>
    <row r="38" spans="1:2" x14ac:dyDescent="0.25">
      <c r="A38" s="18">
        <v>23.2</v>
      </c>
      <c r="B38" s="18">
        <v>2.5500000000000002E-3</v>
      </c>
    </row>
    <row r="39" spans="1:2" x14ac:dyDescent="0.25">
      <c r="A39" s="18">
        <v>23.4</v>
      </c>
      <c r="B39" s="18">
        <v>3.14E-3</v>
      </c>
    </row>
    <row r="40" spans="1:2" x14ac:dyDescent="0.25">
      <c r="A40" s="18">
        <v>23.6</v>
      </c>
      <c r="B40" s="18">
        <v>3.3400000000000001E-3</v>
      </c>
    </row>
    <row r="41" spans="1:2" x14ac:dyDescent="0.25">
      <c r="A41" s="18">
        <v>23.8</v>
      </c>
      <c r="B41" s="18">
        <v>3.9699999999999996E-3</v>
      </c>
    </row>
    <row r="42" spans="1:2" x14ac:dyDescent="0.25">
      <c r="A42" s="18">
        <v>24</v>
      </c>
      <c r="B42" s="18">
        <v>4.1000000000000003E-3</v>
      </c>
    </row>
    <row r="43" spans="1:2" x14ac:dyDescent="0.25">
      <c r="A43" s="18">
        <v>24.2</v>
      </c>
      <c r="B43" s="18">
        <v>4.8300000000000001E-3</v>
      </c>
    </row>
    <row r="44" spans="1:2" x14ac:dyDescent="0.25">
      <c r="A44" s="18">
        <v>24.4</v>
      </c>
      <c r="B44" s="18">
        <v>5.0499999999999998E-3</v>
      </c>
    </row>
    <row r="45" spans="1:2" x14ac:dyDescent="0.25">
      <c r="A45" s="18">
        <v>24.6</v>
      </c>
      <c r="B45" s="18">
        <v>5.8100000000000001E-3</v>
      </c>
    </row>
    <row r="46" spans="1:2" x14ac:dyDescent="0.25">
      <c r="A46" s="18">
        <v>24.8</v>
      </c>
      <c r="B46" s="18">
        <v>6.7499999999999999E-3</v>
      </c>
    </row>
    <row r="47" spans="1:2" x14ac:dyDescent="0.25">
      <c r="A47" s="18">
        <v>25</v>
      </c>
      <c r="B47" s="18">
        <v>7.1000000000000004E-3</v>
      </c>
    </row>
    <row r="48" spans="1:2" x14ac:dyDescent="0.25">
      <c r="A48" s="18">
        <v>25.2</v>
      </c>
      <c r="B48" s="18">
        <v>8.0700000000000008E-3</v>
      </c>
    </row>
    <row r="49" spans="1:2" x14ac:dyDescent="0.25">
      <c r="A49" s="18">
        <v>25.4</v>
      </c>
      <c r="B49" s="18">
        <v>8.2500000000000004E-3</v>
      </c>
    </row>
    <row r="50" spans="1:2" x14ac:dyDescent="0.25">
      <c r="A50" s="18">
        <v>25.6</v>
      </c>
      <c r="B50" s="18">
        <v>8.8599999999999998E-3</v>
      </c>
    </row>
    <row r="51" spans="1:2" x14ac:dyDescent="0.25">
      <c r="A51" s="18">
        <v>25.8</v>
      </c>
      <c r="B51" s="18">
        <v>9.9000000000000008E-3</v>
      </c>
    </row>
    <row r="52" spans="1:2" x14ac:dyDescent="0.25">
      <c r="A52" s="18">
        <v>26</v>
      </c>
      <c r="B52" s="18">
        <v>1.06E-2</v>
      </c>
    </row>
    <row r="53" spans="1:2" x14ac:dyDescent="0.25">
      <c r="A53" s="18">
        <v>26.2</v>
      </c>
      <c r="B53" s="18">
        <v>1.12E-2</v>
      </c>
    </row>
    <row r="54" spans="1:2" x14ac:dyDescent="0.25">
      <c r="A54" s="18">
        <v>26.4</v>
      </c>
      <c r="B54" s="18">
        <v>1.21E-2</v>
      </c>
    </row>
    <row r="55" spans="1:2" x14ac:dyDescent="0.25">
      <c r="A55" s="18">
        <v>26.6</v>
      </c>
      <c r="B55" s="18">
        <v>1.29E-2</v>
      </c>
    </row>
    <row r="56" spans="1:2" x14ac:dyDescent="0.25">
      <c r="A56" s="18">
        <v>26.8</v>
      </c>
      <c r="B56" s="18">
        <v>1.38E-2</v>
      </c>
    </row>
    <row r="57" spans="1:2" x14ac:dyDescent="0.25">
      <c r="A57" s="18">
        <v>27</v>
      </c>
      <c r="B57" s="18">
        <v>1.46E-2</v>
      </c>
    </row>
    <row r="58" spans="1:2" x14ac:dyDescent="0.25">
      <c r="A58" s="18">
        <v>27.2</v>
      </c>
      <c r="B58" s="18">
        <v>1.55E-2</v>
      </c>
    </row>
    <row r="59" spans="1:2" x14ac:dyDescent="0.25">
      <c r="A59" s="18">
        <v>27.4</v>
      </c>
      <c r="B59" s="18">
        <v>1.66E-2</v>
      </c>
    </row>
    <row r="60" spans="1:2" x14ac:dyDescent="0.25">
      <c r="A60" s="18">
        <v>27.6</v>
      </c>
      <c r="B60" s="18">
        <v>1.6799999999999999E-2</v>
      </c>
    </row>
    <row r="61" spans="1:2" x14ac:dyDescent="0.25">
      <c r="A61" s="18">
        <v>27.8</v>
      </c>
      <c r="B61" s="18">
        <v>1.7999999999999999E-2</v>
      </c>
    </row>
    <row r="62" spans="1:2" x14ac:dyDescent="0.25">
      <c r="A62" s="18">
        <v>28</v>
      </c>
      <c r="B62" s="18">
        <v>1.89E-2</v>
      </c>
    </row>
    <row r="63" spans="1:2" x14ac:dyDescent="0.25">
      <c r="A63" s="18">
        <v>28.2</v>
      </c>
      <c r="B63" s="18">
        <v>1.9199999999999998E-2</v>
      </c>
    </row>
    <row r="64" spans="1:2" x14ac:dyDescent="0.25">
      <c r="A64" s="18">
        <v>28.4</v>
      </c>
      <c r="B64" s="18">
        <v>2.07E-2</v>
      </c>
    </row>
    <row r="65" spans="1:2" x14ac:dyDescent="0.25">
      <c r="A65" s="18">
        <v>28.6</v>
      </c>
      <c r="B65" s="18">
        <v>2.0799999999999999E-2</v>
      </c>
    </row>
    <row r="66" spans="1:2" x14ac:dyDescent="0.25">
      <c r="A66" s="18">
        <v>28.8</v>
      </c>
      <c r="B66" s="18">
        <v>2.1899999999999999E-2</v>
      </c>
    </row>
    <row r="67" spans="1:2" x14ac:dyDescent="0.25">
      <c r="A67" s="18">
        <v>29</v>
      </c>
      <c r="B67" s="18">
        <v>2.1899999999999999E-2</v>
      </c>
    </row>
    <row r="68" spans="1:2" x14ac:dyDescent="0.25">
      <c r="A68" s="18">
        <v>29.2</v>
      </c>
      <c r="B68" s="18">
        <v>2.3099999999999999E-2</v>
      </c>
    </row>
    <row r="69" spans="1:2" x14ac:dyDescent="0.25">
      <c r="A69" s="18">
        <v>29.4</v>
      </c>
      <c r="B69" s="18">
        <v>2.3400000000000001E-2</v>
      </c>
    </row>
    <row r="70" spans="1:2" x14ac:dyDescent="0.25">
      <c r="A70" s="18">
        <v>29.6</v>
      </c>
      <c r="B70" s="18">
        <v>2.4299999999999999E-2</v>
      </c>
    </row>
    <row r="71" spans="1:2" x14ac:dyDescent="0.25">
      <c r="A71" s="18">
        <v>29.8</v>
      </c>
      <c r="B71" s="18">
        <v>2.41E-2</v>
      </c>
    </row>
    <row r="72" spans="1:2" x14ac:dyDescent="0.25">
      <c r="A72" s="18">
        <v>30</v>
      </c>
      <c r="B72" s="18">
        <v>2.5399999999999999E-2</v>
      </c>
    </row>
    <row r="73" spans="1:2" x14ac:dyDescent="0.25">
      <c r="A73" s="18">
        <v>30.2</v>
      </c>
      <c r="B73" s="18">
        <v>2.52E-2</v>
      </c>
    </row>
    <row r="74" spans="1:2" x14ac:dyDescent="0.25">
      <c r="A74" s="18">
        <v>30.4</v>
      </c>
      <c r="B74" s="18">
        <v>2.53E-2</v>
      </c>
    </row>
    <row r="75" spans="1:2" x14ac:dyDescent="0.25">
      <c r="A75" s="18">
        <v>30.6</v>
      </c>
      <c r="B75" s="18">
        <v>2.6100000000000002E-2</v>
      </c>
    </row>
    <row r="76" spans="1:2" x14ac:dyDescent="0.25">
      <c r="A76" s="18">
        <v>30.8</v>
      </c>
      <c r="B76" s="18">
        <v>2.5899999999999999E-2</v>
      </c>
    </row>
    <row r="77" spans="1:2" x14ac:dyDescent="0.25">
      <c r="A77" s="18">
        <v>31</v>
      </c>
      <c r="B77" s="18">
        <v>2.6100000000000002E-2</v>
      </c>
    </row>
    <row r="78" spans="1:2" x14ac:dyDescent="0.25">
      <c r="A78" s="18">
        <v>31.2</v>
      </c>
      <c r="B78" s="18">
        <v>2.6499999999999999E-2</v>
      </c>
    </row>
    <row r="79" spans="1:2" x14ac:dyDescent="0.25">
      <c r="A79" s="18">
        <v>31.4</v>
      </c>
      <c r="B79" s="18">
        <v>2.6200000000000001E-2</v>
      </c>
    </row>
    <row r="80" spans="1:2" x14ac:dyDescent="0.25">
      <c r="A80" s="18">
        <v>31.6</v>
      </c>
      <c r="B80" s="18">
        <v>2.5999999999999999E-2</v>
      </c>
    </row>
    <row r="81" spans="1:2" x14ac:dyDescent="0.25">
      <c r="A81" s="18">
        <v>31.8</v>
      </c>
      <c r="B81" s="18">
        <v>2.5999999999999999E-2</v>
      </c>
    </row>
    <row r="82" spans="1:2" x14ac:dyDescent="0.25">
      <c r="A82" s="18">
        <v>32</v>
      </c>
      <c r="B82" s="18">
        <v>2.5100000000000001E-2</v>
      </c>
    </row>
    <row r="83" spans="1:2" x14ac:dyDescent="0.25">
      <c r="A83" s="18">
        <v>32.200000000000003</v>
      </c>
      <c r="B83" s="18">
        <v>2.5399999999999999E-2</v>
      </c>
    </row>
    <row r="84" spans="1:2" x14ac:dyDescent="0.25">
      <c r="A84" s="18">
        <v>32.4</v>
      </c>
      <c r="B84" s="18">
        <v>2.4199999999999999E-2</v>
      </c>
    </row>
    <row r="85" spans="1:2" x14ac:dyDescent="0.25">
      <c r="A85" s="18">
        <v>32.6</v>
      </c>
      <c r="B85" s="18">
        <v>2.4299999999999999E-2</v>
      </c>
    </row>
    <row r="86" spans="1:2" x14ac:dyDescent="0.25">
      <c r="A86" s="18">
        <v>32.799999999999997</v>
      </c>
      <c r="B86" s="18">
        <v>2.2800000000000001E-2</v>
      </c>
    </row>
    <row r="87" spans="1:2" x14ac:dyDescent="0.25">
      <c r="A87" s="18">
        <v>33</v>
      </c>
      <c r="B87" s="18">
        <v>2.2499999999999999E-2</v>
      </c>
    </row>
    <row r="88" spans="1:2" x14ac:dyDescent="0.25">
      <c r="A88" s="18">
        <v>33.200000000000003</v>
      </c>
      <c r="B88" s="18">
        <v>2.1000000000000001E-2</v>
      </c>
    </row>
    <row r="89" spans="1:2" x14ac:dyDescent="0.25">
      <c r="A89" s="18">
        <v>33.4</v>
      </c>
      <c r="B89" s="18">
        <v>2.0400000000000001E-2</v>
      </c>
    </row>
    <row r="90" spans="1:2" x14ac:dyDescent="0.25">
      <c r="A90" s="18">
        <v>33.6</v>
      </c>
      <c r="B90" s="18">
        <v>1.8499999999999999E-2</v>
      </c>
    </row>
    <row r="91" spans="1:2" x14ac:dyDescent="0.25">
      <c r="A91" s="18">
        <v>33.799999999999997</v>
      </c>
      <c r="B91" s="18">
        <v>1.7399999999999999E-2</v>
      </c>
    </row>
    <row r="92" spans="1:2" x14ac:dyDescent="0.25">
      <c r="A92" s="18">
        <v>34</v>
      </c>
      <c r="B92" s="18">
        <v>1.54E-2</v>
      </c>
    </row>
    <row r="93" spans="1:2" x14ac:dyDescent="0.25">
      <c r="A93" s="18">
        <v>34.200000000000003</v>
      </c>
      <c r="B93" s="18">
        <v>1.4E-2</v>
      </c>
    </row>
    <row r="94" spans="1:2" x14ac:dyDescent="0.25">
      <c r="A94" s="18">
        <v>34.4</v>
      </c>
      <c r="B94" s="18">
        <v>1.17E-2</v>
      </c>
    </row>
    <row r="95" spans="1:2" x14ac:dyDescent="0.25">
      <c r="A95" s="18">
        <v>34.6</v>
      </c>
      <c r="B95" s="18">
        <v>8.9899999999999997E-3</v>
      </c>
    </row>
    <row r="96" spans="1:2" x14ac:dyDescent="0.25">
      <c r="A96" s="18">
        <v>34.799999999999997</v>
      </c>
      <c r="B96" s="18">
        <v>6.5599999999999999E-3</v>
      </c>
    </row>
    <row r="97" spans="1:2" x14ac:dyDescent="0.25">
      <c r="A97" s="18">
        <v>35</v>
      </c>
      <c r="B97" s="18">
        <v>2.2100000000000002E-3</v>
      </c>
    </row>
    <row r="98" spans="1:2" x14ac:dyDescent="0.25">
      <c r="A98" s="18">
        <v>35.200000000000003</v>
      </c>
      <c r="B98" s="18">
        <v>7.47E-5</v>
      </c>
    </row>
    <row r="99" spans="1:2" x14ac:dyDescent="0.25">
      <c r="A99" s="18">
        <v>35.4</v>
      </c>
      <c r="B99" s="18">
        <v>3.2499999999999998E-6</v>
      </c>
    </row>
    <row r="100" spans="1:2" x14ac:dyDescent="0.25">
      <c r="A100" s="18">
        <v>35.6</v>
      </c>
      <c r="B100" s="18">
        <v>3.36E-6</v>
      </c>
    </row>
    <row r="101" spans="1:2" x14ac:dyDescent="0.25">
      <c r="A101" s="18">
        <v>35.799999999999997</v>
      </c>
      <c r="B101" s="18">
        <v>2.34E-6</v>
      </c>
    </row>
    <row r="102" spans="1:2" x14ac:dyDescent="0.25">
      <c r="A102" s="18">
        <v>36</v>
      </c>
      <c r="B102" s="18">
        <v>2.53E-7</v>
      </c>
    </row>
    <row r="103" spans="1:2" x14ac:dyDescent="0.25">
      <c r="A103" s="18">
        <v>36.200000000000003</v>
      </c>
      <c r="B103" s="18">
        <v>8.2999999999999999E-7</v>
      </c>
    </row>
    <row r="104" spans="1:2" x14ac:dyDescent="0.25">
      <c r="A104" s="18">
        <v>36.4</v>
      </c>
      <c r="B104" s="18">
        <v>1.4100000000000001E-7</v>
      </c>
    </row>
    <row r="105" spans="1:2" x14ac:dyDescent="0.25">
      <c r="A105" s="18">
        <v>36.6</v>
      </c>
      <c r="B105" s="18">
        <v>1.1400000000000001E-6</v>
      </c>
    </row>
    <row r="106" spans="1:2" x14ac:dyDescent="0.25">
      <c r="A106" s="18">
        <v>36.799999999999997</v>
      </c>
      <c r="B106" s="18">
        <v>1.4899999999999999E-6</v>
      </c>
    </row>
    <row r="107" spans="1:2" x14ac:dyDescent="0.25">
      <c r="A107" s="18">
        <v>37</v>
      </c>
      <c r="B107" s="18">
        <v>2.5900000000000002E-6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E00-000000000000}">
  <dimension ref="A1:B167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24</v>
      </c>
      <c r="B2" s="18">
        <v>2.1299999999999999E-5</v>
      </c>
    </row>
    <row r="3" spans="1:2" x14ac:dyDescent="0.25">
      <c r="A3" s="18">
        <v>24.2</v>
      </c>
      <c r="B3" s="18">
        <v>3.5500000000000002E-5</v>
      </c>
    </row>
    <row r="4" spans="1:2" x14ac:dyDescent="0.25">
      <c r="A4" s="18">
        <v>24.4</v>
      </c>
      <c r="B4" s="18">
        <v>8.2600000000000005E-6</v>
      </c>
    </row>
    <row r="5" spans="1:2" x14ac:dyDescent="0.25">
      <c r="A5" s="18">
        <v>24.6</v>
      </c>
      <c r="B5" s="18">
        <v>5.2100000000000001E-6</v>
      </c>
    </row>
    <row r="6" spans="1:2" x14ac:dyDescent="0.25">
      <c r="A6" s="18">
        <v>24.8</v>
      </c>
      <c r="B6" s="18">
        <v>5.9299999999999998E-5</v>
      </c>
    </row>
    <row r="7" spans="1:2" x14ac:dyDescent="0.25">
      <c r="A7" s="18">
        <v>25</v>
      </c>
      <c r="B7" s="18">
        <v>8.5499999999999995E-6</v>
      </c>
    </row>
    <row r="8" spans="1:2" x14ac:dyDescent="0.25">
      <c r="A8" s="18">
        <v>25.2</v>
      </c>
      <c r="B8" s="18">
        <v>3.8300000000000003E-5</v>
      </c>
    </row>
    <row r="9" spans="1:2" x14ac:dyDescent="0.25">
      <c r="A9" s="18">
        <v>25.4</v>
      </c>
      <c r="B9" s="18">
        <v>1.56E-5</v>
      </c>
    </row>
    <row r="10" spans="1:2" x14ac:dyDescent="0.25">
      <c r="A10" s="18">
        <v>25.6</v>
      </c>
      <c r="B10" s="18">
        <v>2.4499999999999998E-6</v>
      </c>
    </row>
    <row r="11" spans="1:2" x14ac:dyDescent="0.25">
      <c r="A11" s="18">
        <v>25.8</v>
      </c>
      <c r="B11" s="18">
        <v>3.79E-5</v>
      </c>
    </row>
    <row r="12" spans="1:2" x14ac:dyDescent="0.25">
      <c r="A12" s="18">
        <v>26</v>
      </c>
      <c r="B12" s="18">
        <v>2.0400000000000001E-5</v>
      </c>
    </row>
    <row r="13" spans="1:2" x14ac:dyDescent="0.25">
      <c r="A13" s="18">
        <v>26.2</v>
      </c>
      <c r="B13" s="18">
        <v>2.7500000000000001E-5</v>
      </c>
    </row>
    <row r="14" spans="1:2" x14ac:dyDescent="0.25">
      <c r="A14" s="18">
        <v>26.4</v>
      </c>
      <c r="B14" s="18">
        <v>1.5400000000000002E-5</v>
      </c>
    </row>
    <row r="15" spans="1:2" x14ac:dyDescent="0.25">
      <c r="A15" s="18">
        <v>26.6</v>
      </c>
      <c r="B15" s="18">
        <v>7.5399999999999998E-6</v>
      </c>
    </row>
    <row r="16" spans="1:2" x14ac:dyDescent="0.25">
      <c r="A16" s="18">
        <v>26.8</v>
      </c>
      <c r="B16" s="18">
        <v>1.6099999999999998E-5</v>
      </c>
    </row>
    <row r="17" spans="1:2" x14ac:dyDescent="0.25">
      <c r="A17" s="18">
        <v>27</v>
      </c>
      <c r="B17" s="18">
        <v>7.8399999999999995E-6</v>
      </c>
    </row>
    <row r="18" spans="1:2" x14ac:dyDescent="0.25">
      <c r="A18" s="18">
        <v>27.2</v>
      </c>
      <c r="B18" s="18">
        <v>1.08E-5</v>
      </c>
    </row>
    <row r="19" spans="1:2" x14ac:dyDescent="0.25">
      <c r="A19" s="18">
        <v>27.4</v>
      </c>
      <c r="B19" s="18">
        <v>1.26E-5</v>
      </c>
    </row>
    <row r="20" spans="1:2" x14ac:dyDescent="0.25">
      <c r="A20" s="18">
        <v>27.6</v>
      </c>
      <c r="B20" s="18">
        <v>7.1600000000000006E-5</v>
      </c>
    </row>
    <row r="21" spans="1:2" x14ac:dyDescent="0.25">
      <c r="A21" s="18">
        <v>27.8</v>
      </c>
      <c r="B21" s="18">
        <v>5.2299999999999997E-5</v>
      </c>
    </row>
    <row r="22" spans="1:2" x14ac:dyDescent="0.25">
      <c r="A22" s="18">
        <v>28</v>
      </c>
      <c r="B22" s="18">
        <v>5.4200000000000003E-5</v>
      </c>
    </row>
    <row r="23" spans="1:2" x14ac:dyDescent="0.25">
      <c r="A23" s="18">
        <v>28.2</v>
      </c>
      <c r="B23" s="18">
        <v>1.5400000000000001E-6</v>
      </c>
    </row>
    <row r="24" spans="1:2" x14ac:dyDescent="0.25">
      <c r="A24" s="18">
        <v>28.4</v>
      </c>
      <c r="B24" s="18">
        <v>4.1900000000000002E-5</v>
      </c>
    </row>
    <row r="25" spans="1:2" x14ac:dyDescent="0.25">
      <c r="A25" s="18">
        <v>28.6</v>
      </c>
      <c r="B25" s="18">
        <v>2.5399999999999998E-6</v>
      </c>
    </row>
    <row r="26" spans="1:2" x14ac:dyDescent="0.25">
      <c r="A26" s="18">
        <v>28.8</v>
      </c>
      <c r="B26" s="18">
        <v>1.7399999999999999E-5</v>
      </c>
    </row>
    <row r="27" spans="1:2" x14ac:dyDescent="0.25">
      <c r="A27" s="18">
        <v>29</v>
      </c>
      <c r="B27" s="18">
        <v>5.6400000000000002E-5</v>
      </c>
    </row>
    <row r="28" spans="1:2" x14ac:dyDescent="0.25">
      <c r="A28" s="18">
        <v>29.2</v>
      </c>
      <c r="B28" s="18">
        <v>3.4700000000000003E-5</v>
      </c>
    </row>
    <row r="29" spans="1:2" x14ac:dyDescent="0.25">
      <c r="A29" s="18">
        <v>29.4</v>
      </c>
      <c r="B29" s="18">
        <v>8.9400000000000005E-5</v>
      </c>
    </row>
    <row r="30" spans="1:2" x14ac:dyDescent="0.25">
      <c r="A30" s="18">
        <v>29.6</v>
      </c>
      <c r="B30" s="18">
        <v>1.6099999999999998E-5</v>
      </c>
    </row>
    <row r="31" spans="1:2" x14ac:dyDescent="0.25">
      <c r="A31" s="18">
        <v>29.8</v>
      </c>
      <c r="B31" s="18">
        <v>2.92E-6</v>
      </c>
    </row>
    <row r="32" spans="1:2" x14ac:dyDescent="0.25">
      <c r="A32" s="18">
        <v>30</v>
      </c>
      <c r="B32" s="18">
        <v>5.1600000000000001E-5</v>
      </c>
    </row>
    <row r="33" spans="1:2" x14ac:dyDescent="0.25">
      <c r="A33" s="18">
        <v>30.2</v>
      </c>
      <c r="B33" s="18">
        <v>5.77E-5</v>
      </c>
    </row>
    <row r="34" spans="1:2" x14ac:dyDescent="0.25">
      <c r="A34" s="18">
        <v>30.4</v>
      </c>
      <c r="B34" s="18">
        <v>2.51E-5</v>
      </c>
    </row>
    <row r="35" spans="1:2" x14ac:dyDescent="0.25">
      <c r="A35" s="18">
        <v>30.6</v>
      </c>
      <c r="B35" s="18">
        <v>5.7199999999999999E-7</v>
      </c>
    </row>
    <row r="36" spans="1:2" x14ac:dyDescent="0.25">
      <c r="A36" s="18">
        <v>30.8</v>
      </c>
      <c r="B36" s="18">
        <v>5.9700000000000001E-5</v>
      </c>
    </row>
    <row r="37" spans="1:2" x14ac:dyDescent="0.25">
      <c r="A37" s="18">
        <v>31</v>
      </c>
      <c r="B37" s="18">
        <v>6.8800000000000005E-5</v>
      </c>
    </row>
    <row r="38" spans="1:2" x14ac:dyDescent="0.25">
      <c r="A38" s="18">
        <v>31.2</v>
      </c>
      <c r="B38" s="18">
        <v>2.09E-5</v>
      </c>
    </row>
    <row r="39" spans="1:2" x14ac:dyDescent="0.25">
      <c r="A39" s="18">
        <v>31.4</v>
      </c>
      <c r="B39" s="18">
        <v>5.52E-5</v>
      </c>
    </row>
    <row r="40" spans="1:2" x14ac:dyDescent="0.25">
      <c r="A40" s="18">
        <v>31.6</v>
      </c>
      <c r="B40" s="18">
        <v>7.4800000000000002E-5</v>
      </c>
    </row>
    <row r="41" spans="1:2" x14ac:dyDescent="0.25">
      <c r="A41" s="18">
        <v>31.8</v>
      </c>
      <c r="B41" s="18">
        <v>7.2399999999999998E-5</v>
      </c>
    </row>
    <row r="42" spans="1:2" x14ac:dyDescent="0.25">
      <c r="A42" s="18">
        <v>32</v>
      </c>
      <c r="B42" s="18">
        <v>1.5200000000000001E-4</v>
      </c>
    </row>
    <row r="43" spans="1:2" x14ac:dyDescent="0.25">
      <c r="A43" s="18">
        <v>32.200000000000003</v>
      </c>
      <c r="B43" s="18">
        <v>1.3999999999999999E-4</v>
      </c>
    </row>
    <row r="44" spans="1:2" x14ac:dyDescent="0.25">
      <c r="A44" s="18">
        <v>32.4</v>
      </c>
      <c r="B44" s="18">
        <v>1.15E-4</v>
      </c>
    </row>
    <row r="45" spans="1:2" x14ac:dyDescent="0.25">
      <c r="A45" s="18">
        <v>32.6</v>
      </c>
      <c r="B45" s="18">
        <v>1.6000000000000001E-4</v>
      </c>
    </row>
    <row r="46" spans="1:2" x14ac:dyDescent="0.25">
      <c r="A46" s="18">
        <v>32.799999999999997</v>
      </c>
      <c r="B46" s="18">
        <v>1.63E-4</v>
      </c>
    </row>
    <row r="47" spans="1:2" x14ac:dyDescent="0.25">
      <c r="A47" s="18">
        <v>33</v>
      </c>
      <c r="B47" s="18">
        <v>2.12E-4</v>
      </c>
    </row>
    <row r="48" spans="1:2" x14ac:dyDescent="0.25">
      <c r="A48" s="18">
        <v>33.200000000000003</v>
      </c>
      <c r="B48" s="18">
        <v>2.24E-4</v>
      </c>
    </row>
    <row r="49" spans="1:2" x14ac:dyDescent="0.25">
      <c r="A49" s="18">
        <v>33.4</v>
      </c>
      <c r="B49" s="18">
        <v>2.2000000000000001E-4</v>
      </c>
    </row>
    <row r="50" spans="1:2" x14ac:dyDescent="0.25">
      <c r="A50" s="18">
        <v>33.6</v>
      </c>
      <c r="B50" s="18">
        <v>3.3300000000000002E-4</v>
      </c>
    </row>
    <row r="51" spans="1:2" x14ac:dyDescent="0.25">
      <c r="A51" s="18">
        <v>33.799999999999997</v>
      </c>
      <c r="B51" s="18">
        <v>2.9E-4</v>
      </c>
    </row>
    <row r="52" spans="1:2" x14ac:dyDescent="0.25">
      <c r="A52" s="18">
        <v>34</v>
      </c>
      <c r="B52" s="18">
        <v>3.7300000000000001E-4</v>
      </c>
    </row>
    <row r="53" spans="1:2" x14ac:dyDescent="0.25">
      <c r="A53" s="18">
        <v>34.200000000000003</v>
      </c>
      <c r="B53" s="18">
        <v>4.55E-4</v>
      </c>
    </row>
    <row r="54" spans="1:2" x14ac:dyDescent="0.25">
      <c r="A54" s="18">
        <v>34.4</v>
      </c>
      <c r="B54" s="18">
        <v>4.3399999999999998E-4</v>
      </c>
    </row>
    <row r="55" spans="1:2" x14ac:dyDescent="0.25">
      <c r="A55" s="18">
        <v>34.6</v>
      </c>
      <c r="B55" s="18">
        <v>6.2600000000000004E-4</v>
      </c>
    </row>
    <row r="56" spans="1:2" x14ac:dyDescent="0.25">
      <c r="A56" s="18">
        <v>34.799999999999997</v>
      </c>
      <c r="B56" s="18">
        <v>5.3399999999999997E-4</v>
      </c>
    </row>
    <row r="57" spans="1:2" x14ac:dyDescent="0.25">
      <c r="A57" s="18">
        <v>35</v>
      </c>
      <c r="B57" s="18">
        <v>6.6799999999999997E-4</v>
      </c>
    </row>
    <row r="58" spans="1:2" x14ac:dyDescent="0.25">
      <c r="A58" s="18">
        <v>35.200000000000003</v>
      </c>
      <c r="B58" s="18">
        <v>7.8100000000000001E-4</v>
      </c>
    </row>
    <row r="59" spans="1:2" x14ac:dyDescent="0.25">
      <c r="A59" s="18">
        <v>35.4</v>
      </c>
      <c r="B59" s="18">
        <v>9.1500000000000001E-4</v>
      </c>
    </row>
    <row r="60" spans="1:2" x14ac:dyDescent="0.25">
      <c r="A60" s="18">
        <v>35.6</v>
      </c>
      <c r="B60" s="18">
        <v>8.12E-4</v>
      </c>
    </row>
    <row r="61" spans="1:2" x14ac:dyDescent="0.25">
      <c r="A61" s="18">
        <v>35.799999999999997</v>
      </c>
      <c r="B61" s="18">
        <v>1.06E-3</v>
      </c>
    </row>
    <row r="62" spans="1:2" x14ac:dyDescent="0.25">
      <c r="A62" s="18">
        <v>36</v>
      </c>
      <c r="B62" s="18">
        <v>1.1900000000000001E-3</v>
      </c>
    </row>
    <row r="63" spans="1:2" x14ac:dyDescent="0.25">
      <c r="A63" s="18">
        <v>36.200000000000003</v>
      </c>
      <c r="B63" s="18">
        <v>1.1199999999999999E-3</v>
      </c>
    </row>
    <row r="64" spans="1:2" x14ac:dyDescent="0.25">
      <c r="A64" s="18">
        <v>36.4</v>
      </c>
      <c r="B64" s="18">
        <v>1.4400000000000001E-3</v>
      </c>
    </row>
    <row r="65" spans="1:2" x14ac:dyDescent="0.25">
      <c r="A65" s="18">
        <v>36.6</v>
      </c>
      <c r="B65" s="18">
        <v>1.4E-3</v>
      </c>
    </row>
    <row r="66" spans="1:2" x14ac:dyDescent="0.25">
      <c r="A66" s="18">
        <v>36.799999999999997</v>
      </c>
      <c r="B66" s="18">
        <v>1.5E-3</v>
      </c>
    </row>
    <row r="67" spans="1:2" x14ac:dyDescent="0.25">
      <c r="A67" s="18">
        <v>37</v>
      </c>
      <c r="B67" s="18">
        <v>1.81E-3</v>
      </c>
    </row>
    <row r="68" spans="1:2" x14ac:dyDescent="0.25">
      <c r="A68" s="18">
        <v>37.200000000000003</v>
      </c>
      <c r="B68" s="18">
        <v>1.7700000000000001E-3</v>
      </c>
    </row>
    <row r="69" spans="1:2" x14ac:dyDescent="0.25">
      <c r="A69" s="18">
        <v>37.4</v>
      </c>
      <c r="B69" s="18">
        <v>2.3E-3</v>
      </c>
    </row>
    <row r="70" spans="1:2" x14ac:dyDescent="0.25">
      <c r="A70" s="18">
        <v>37.6</v>
      </c>
      <c r="B70" s="18">
        <v>1.98E-3</v>
      </c>
    </row>
    <row r="71" spans="1:2" x14ac:dyDescent="0.25">
      <c r="A71" s="18">
        <v>37.799999999999997</v>
      </c>
      <c r="B71" s="18">
        <v>2.4499999999999999E-3</v>
      </c>
    </row>
    <row r="72" spans="1:2" x14ac:dyDescent="0.25">
      <c r="A72" s="18">
        <v>38</v>
      </c>
      <c r="B72" s="18">
        <v>2.5699999999999998E-3</v>
      </c>
    </row>
    <row r="73" spans="1:2" x14ac:dyDescent="0.25">
      <c r="A73" s="18">
        <v>38.200000000000003</v>
      </c>
      <c r="B73" s="18">
        <v>2.82E-3</v>
      </c>
    </row>
    <row r="74" spans="1:2" x14ac:dyDescent="0.25">
      <c r="A74" s="18">
        <v>38.4</v>
      </c>
      <c r="B74" s="18">
        <v>2.8600000000000001E-3</v>
      </c>
    </row>
    <row r="75" spans="1:2" x14ac:dyDescent="0.25">
      <c r="A75" s="18">
        <v>38.6</v>
      </c>
      <c r="B75" s="18">
        <v>3.13E-3</v>
      </c>
    </row>
    <row r="76" spans="1:2" x14ac:dyDescent="0.25">
      <c r="A76" s="18">
        <v>38.799999999999997</v>
      </c>
      <c r="B76" s="18">
        <v>3.5000000000000001E-3</v>
      </c>
    </row>
    <row r="77" spans="1:2" x14ac:dyDescent="0.25">
      <c r="A77" s="18">
        <v>39</v>
      </c>
      <c r="B77" s="18">
        <v>3.4499999999999999E-3</v>
      </c>
    </row>
    <row r="78" spans="1:2" x14ac:dyDescent="0.25">
      <c r="A78" s="18">
        <v>39.200000000000003</v>
      </c>
      <c r="B78" s="18">
        <v>3.98E-3</v>
      </c>
    </row>
    <row r="79" spans="1:2" x14ac:dyDescent="0.25">
      <c r="A79" s="18">
        <v>39.4</v>
      </c>
      <c r="B79" s="18">
        <v>3.9500000000000004E-3</v>
      </c>
    </row>
    <row r="80" spans="1:2" x14ac:dyDescent="0.25">
      <c r="A80" s="18">
        <v>39.6</v>
      </c>
      <c r="B80" s="18">
        <v>4.2599999999999999E-3</v>
      </c>
    </row>
    <row r="81" spans="1:2" x14ac:dyDescent="0.25">
      <c r="A81" s="18">
        <v>39.799999999999997</v>
      </c>
      <c r="B81" s="18">
        <v>4.8399999999999997E-3</v>
      </c>
    </row>
    <row r="82" spans="1:2" x14ac:dyDescent="0.25">
      <c r="A82" s="18">
        <v>40</v>
      </c>
      <c r="B82" s="18">
        <v>4.62E-3</v>
      </c>
    </row>
    <row r="83" spans="1:2" x14ac:dyDescent="0.25">
      <c r="A83" s="18">
        <v>40.200000000000003</v>
      </c>
      <c r="B83" s="18">
        <v>4.9800000000000001E-3</v>
      </c>
    </row>
    <row r="84" spans="1:2" x14ac:dyDescent="0.25">
      <c r="A84" s="18">
        <v>40.4</v>
      </c>
      <c r="B84" s="18">
        <v>5.64E-3</v>
      </c>
    </row>
    <row r="85" spans="1:2" x14ac:dyDescent="0.25">
      <c r="A85" s="18">
        <v>40.6</v>
      </c>
      <c r="B85" s="18">
        <v>5.4299999999999999E-3</v>
      </c>
    </row>
    <row r="86" spans="1:2" x14ac:dyDescent="0.25">
      <c r="A86" s="18">
        <v>40.799999999999997</v>
      </c>
      <c r="B86" s="18">
        <v>6.2399999999999999E-3</v>
      </c>
    </row>
    <row r="87" spans="1:2" x14ac:dyDescent="0.25">
      <c r="A87" s="18">
        <v>41</v>
      </c>
      <c r="B87" s="18">
        <v>6.0899999999999999E-3</v>
      </c>
    </row>
    <row r="88" spans="1:2" x14ac:dyDescent="0.25">
      <c r="A88" s="18">
        <v>41.2</v>
      </c>
      <c r="B88" s="18">
        <v>6.6899999999999998E-3</v>
      </c>
    </row>
    <row r="89" spans="1:2" x14ac:dyDescent="0.25">
      <c r="A89" s="18">
        <v>41.4</v>
      </c>
      <c r="B89" s="18">
        <v>7.0200000000000002E-3</v>
      </c>
    </row>
    <row r="90" spans="1:2" x14ac:dyDescent="0.25">
      <c r="A90" s="18">
        <v>41.6</v>
      </c>
      <c r="B90" s="18">
        <v>7.3800000000000003E-3</v>
      </c>
    </row>
    <row r="91" spans="1:2" x14ac:dyDescent="0.25">
      <c r="A91" s="18">
        <v>41.8</v>
      </c>
      <c r="B91" s="18">
        <v>7.6699999999999997E-3</v>
      </c>
    </row>
    <row r="92" spans="1:2" x14ac:dyDescent="0.25">
      <c r="A92" s="18">
        <v>42</v>
      </c>
      <c r="B92" s="18">
        <v>7.9500000000000005E-3</v>
      </c>
    </row>
    <row r="93" spans="1:2" x14ac:dyDescent="0.25">
      <c r="A93" s="18">
        <v>42.2</v>
      </c>
      <c r="B93" s="18">
        <v>8.3199999999999993E-3</v>
      </c>
    </row>
    <row r="94" spans="1:2" x14ac:dyDescent="0.25">
      <c r="A94" s="18">
        <v>42.4</v>
      </c>
      <c r="B94" s="18">
        <v>8.7200000000000003E-3</v>
      </c>
    </row>
    <row r="95" spans="1:2" x14ac:dyDescent="0.25">
      <c r="A95" s="18">
        <v>42.6</v>
      </c>
      <c r="B95" s="18">
        <v>8.7600000000000004E-3</v>
      </c>
    </row>
    <row r="96" spans="1:2" x14ac:dyDescent="0.25">
      <c r="A96" s="18">
        <v>42.8</v>
      </c>
      <c r="B96" s="18">
        <v>9.2999999999999992E-3</v>
      </c>
    </row>
    <row r="97" spans="1:2" x14ac:dyDescent="0.25">
      <c r="A97" s="18">
        <v>43</v>
      </c>
      <c r="B97" s="18">
        <v>9.9500000000000005E-3</v>
      </c>
    </row>
    <row r="98" spans="1:2" x14ac:dyDescent="0.25">
      <c r="A98" s="18">
        <v>43.2</v>
      </c>
      <c r="B98" s="18">
        <v>9.8200000000000006E-3</v>
      </c>
    </row>
    <row r="99" spans="1:2" x14ac:dyDescent="0.25">
      <c r="A99" s="18">
        <v>43.4</v>
      </c>
      <c r="B99" s="18">
        <v>1.06E-2</v>
      </c>
    </row>
    <row r="100" spans="1:2" x14ac:dyDescent="0.25">
      <c r="A100" s="18">
        <v>43.6</v>
      </c>
      <c r="B100" s="18">
        <v>1.09E-2</v>
      </c>
    </row>
    <row r="101" spans="1:2" x14ac:dyDescent="0.25">
      <c r="A101" s="18">
        <v>43.8</v>
      </c>
      <c r="B101" s="18">
        <v>1.11E-2</v>
      </c>
    </row>
    <row r="102" spans="1:2" x14ac:dyDescent="0.25">
      <c r="A102" s="18">
        <v>44</v>
      </c>
      <c r="B102" s="18">
        <v>1.14E-2</v>
      </c>
    </row>
    <row r="103" spans="1:2" x14ac:dyDescent="0.25">
      <c r="A103" s="18">
        <v>44.2</v>
      </c>
      <c r="B103" s="18">
        <v>1.2E-2</v>
      </c>
    </row>
    <row r="104" spans="1:2" x14ac:dyDescent="0.25">
      <c r="A104" s="18">
        <v>44.4</v>
      </c>
      <c r="B104" s="18">
        <v>1.23E-2</v>
      </c>
    </row>
    <row r="105" spans="1:2" x14ac:dyDescent="0.25">
      <c r="A105" s="18">
        <v>44.6</v>
      </c>
      <c r="B105" s="18">
        <v>1.23E-2</v>
      </c>
    </row>
    <row r="106" spans="1:2" x14ac:dyDescent="0.25">
      <c r="A106" s="18">
        <v>44.8</v>
      </c>
      <c r="B106" s="18">
        <v>1.3100000000000001E-2</v>
      </c>
    </row>
    <row r="107" spans="1:2" x14ac:dyDescent="0.25">
      <c r="A107" s="18">
        <v>45</v>
      </c>
      <c r="B107" s="18">
        <v>1.3100000000000001E-2</v>
      </c>
    </row>
    <row r="108" spans="1:2" x14ac:dyDescent="0.25">
      <c r="A108" s="18">
        <v>45.2</v>
      </c>
      <c r="B108" s="18">
        <v>1.34E-2</v>
      </c>
    </row>
    <row r="109" spans="1:2" x14ac:dyDescent="0.25">
      <c r="A109" s="18">
        <v>45.4</v>
      </c>
      <c r="B109" s="18">
        <v>1.4E-2</v>
      </c>
    </row>
    <row r="110" spans="1:2" x14ac:dyDescent="0.25">
      <c r="A110" s="18">
        <v>45.6</v>
      </c>
      <c r="B110" s="18">
        <v>1.4E-2</v>
      </c>
    </row>
    <row r="111" spans="1:2" x14ac:dyDescent="0.25">
      <c r="A111" s="18">
        <v>45.8</v>
      </c>
      <c r="B111" s="18">
        <v>1.49E-2</v>
      </c>
    </row>
    <row r="112" spans="1:2" x14ac:dyDescent="0.25">
      <c r="A112" s="18">
        <v>46</v>
      </c>
      <c r="B112" s="18">
        <v>1.43E-2</v>
      </c>
    </row>
    <row r="113" spans="1:2" x14ac:dyDescent="0.25">
      <c r="A113" s="18">
        <v>46.2</v>
      </c>
      <c r="B113" s="18">
        <v>1.5100000000000001E-2</v>
      </c>
    </row>
    <row r="114" spans="1:2" x14ac:dyDescent="0.25">
      <c r="A114" s="18">
        <v>46.4</v>
      </c>
      <c r="B114" s="18">
        <v>1.5599999999999999E-2</v>
      </c>
    </row>
    <row r="115" spans="1:2" x14ac:dyDescent="0.25">
      <c r="A115" s="18">
        <v>46.6</v>
      </c>
      <c r="B115" s="18">
        <v>1.55E-2</v>
      </c>
    </row>
    <row r="116" spans="1:2" x14ac:dyDescent="0.25">
      <c r="A116" s="18">
        <v>46.8</v>
      </c>
      <c r="B116" s="18">
        <v>1.5699999999999999E-2</v>
      </c>
    </row>
    <row r="117" spans="1:2" x14ac:dyDescent="0.25">
      <c r="A117" s="18">
        <v>47</v>
      </c>
      <c r="B117" s="18">
        <v>1.6199999999999999E-2</v>
      </c>
    </row>
    <row r="118" spans="1:2" x14ac:dyDescent="0.25">
      <c r="A118" s="18">
        <v>47.2</v>
      </c>
      <c r="B118" s="18">
        <v>1.5900000000000001E-2</v>
      </c>
    </row>
    <row r="119" spans="1:2" x14ac:dyDescent="0.25">
      <c r="A119" s="18">
        <v>47.4</v>
      </c>
      <c r="B119" s="18">
        <v>1.67E-2</v>
      </c>
    </row>
    <row r="120" spans="1:2" x14ac:dyDescent="0.25">
      <c r="A120" s="18">
        <v>47.6</v>
      </c>
      <c r="B120" s="18">
        <v>1.6500000000000001E-2</v>
      </c>
    </row>
    <row r="121" spans="1:2" x14ac:dyDescent="0.25">
      <c r="A121" s="18">
        <v>47.8</v>
      </c>
      <c r="B121" s="18">
        <v>1.7000000000000001E-2</v>
      </c>
    </row>
    <row r="122" spans="1:2" x14ac:dyDescent="0.25">
      <c r="A122" s="18">
        <v>48</v>
      </c>
      <c r="B122" s="18">
        <v>1.6400000000000001E-2</v>
      </c>
    </row>
    <row r="123" spans="1:2" x14ac:dyDescent="0.25">
      <c r="A123" s="18">
        <v>48.2</v>
      </c>
      <c r="B123" s="18">
        <v>1.7399999999999999E-2</v>
      </c>
    </row>
    <row r="124" spans="1:2" x14ac:dyDescent="0.25">
      <c r="A124" s="18">
        <v>48.4</v>
      </c>
      <c r="B124" s="18">
        <v>1.7000000000000001E-2</v>
      </c>
    </row>
    <row r="125" spans="1:2" x14ac:dyDescent="0.25">
      <c r="A125" s="18">
        <v>48.6</v>
      </c>
      <c r="B125" s="18">
        <v>1.7399999999999999E-2</v>
      </c>
    </row>
    <row r="126" spans="1:2" x14ac:dyDescent="0.25">
      <c r="A126" s="18">
        <v>48.8</v>
      </c>
      <c r="B126" s="18">
        <v>1.72E-2</v>
      </c>
    </row>
    <row r="127" spans="1:2" x14ac:dyDescent="0.25">
      <c r="A127" s="18">
        <v>49</v>
      </c>
      <c r="B127" s="18">
        <v>1.7399999999999999E-2</v>
      </c>
    </row>
    <row r="128" spans="1:2" x14ac:dyDescent="0.25">
      <c r="A128" s="18">
        <v>49.2</v>
      </c>
      <c r="B128" s="18">
        <v>1.7500000000000002E-2</v>
      </c>
    </row>
    <row r="129" spans="1:2" x14ac:dyDescent="0.25">
      <c r="A129" s="18">
        <v>49.4</v>
      </c>
      <c r="B129" s="18">
        <v>1.7299999999999999E-2</v>
      </c>
    </row>
    <row r="130" spans="1:2" x14ac:dyDescent="0.25">
      <c r="A130" s="18">
        <v>49.6</v>
      </c>
      <c r="B130" s="18">
        <v>1.7399999999999999E-2</v>
      </c>
    </row>
    <row r="131" spans="1:2" x14ac:dyDescent="0.25">
      <c r="A131" s="18">
        <v>49.8</v>
      </c>
      <c r="B131" s="18">
        <v>1.7299999999999999E-2</v>
      </c>
    </row>
    <row r="132" spans="1:2" x14ac:dyDescent="0.25">
      <c r="A132" s="18">
        <v>50</v>
      </c>
      <c r="B132" s="18">
        <v>1.66E-2</v>
      </c>
    </row>
    <row r="133" spans="1:2" x14ac:dyDescent="0.25">
      <c r="A133" s="18">
        <v>50.2</v>
      </c>
      <c r="B133" s="18">
        <v>1.7899999999999999E-2</v>
      </c>
    </row>
    <row r="134" spans="1:2" x14ac:dyDescent="0.25">
      <c r="A134" s="18">
        <v>50.4</v>
      </c>
      <c r="B134" s="18">
        <v>1.6299999999999999E-2</v>
      </c>
    </row>
    <row r="135" spans="1:2" x14ac:dyDescent="0.25">
      <c r="A135" s="18">
        <v>50.6</v>
      </c>
      <c r="B135" s="18">
        <v>1.7299999999999999E-2</v>
      </c>
    </row>
    <row r="136" spans="1:2" x14ac:dyDescent="0.25">
      <c r="A136" s="18">
        <v>50.8</v>
      </c>
      <c r="B136" s="18">
        <v>1.67E-2</v>
      </c>
    </row>
    <row r="137" spans="1:2" x14ac:dyDescent="0.25">
      <c r="A137" s="18">
        <v>51</v>
      </c>
      <c r="B137" s="18">
        <v>1.6400000000000001E-2</v>
      </c>
    </row>
    <row r="138" spans="1:2" x14ac:dyDescent="0.25">
      <c r="A138" s="18">
        <v>51.2</v>
      </c>
      <c r="B138" s="18">
        <v>1.6299999999999999E-2</v>
      </c>
    </row>
    <row r="139" spans="1:2" x14ac:dyDescent="0.25">
      <c r="A139" s="18">
        <v>51.4</v>
      </c>
      <c r="B139" s="18">
        <v>1.5800000000000002E-2</v>
      </c>
    </row>
    <row r="140" spans="1:2" x14ac:dyDescent="0.25">
      <c r="A140" s="18">
        <v>51.6</v>
      </c>
      <c r="B140" s="18">
        <v>1.54E-2</v>
      </c>
    </row>
    <row r="141" spans="1:2" x14ac:dyDescent="0.25">
      <c r="A141" s="18">
        <v>51.8</v>
      </c>
      <c r="B141" s="18">
        <v>1.5699999999999999E-2</v>
      </c>
    </row>
    <row r="142" spans="1:2" x14ac:dyDescent="0.25">
      <c r="A142" s="18">
        <v>52</v>
      </c>
      <c r="B142" s="18">
        <v>1.47E-2</v>
      </c>
    </row>
    <row r="143" spans="1:2" x14ac:dyDescent="0.25">
      <c r="A143" s="18">
        <v>52.2</v>
      </c>
      <c r="B143" s="18">
        <v>1.47E-2</v>
      </c>
    </row>
    <row r="144" spans="1:2" x14ac:dyDescent="0.25">
      <c r="A144" s="18">
        <v>52.4</v>
      </c>
      <c r="B144" s="18">
        <v>1.43E-2</v>
      </c>
    </row>
    <row r="145" spans="1:2" x14ac:dyDescent="0.25">
      <c r="A145" s="18">
        <v>52.6</v>
      </c>
      <c r="B145" s="18">
        <v>1.3100000000000001E-2</v>
      </c>
    </row>
    <row r="146" spans="1:2" x14ac:dyDescent="0.25">
      <c r="A146" s="18">
        <v>52.8</v>
      </c>
      <c r="B146" s="18">
        <v>1.32E-2</v>
      </c>
    </row>
    <row r="147" spans="1:2" x14ac:dyDescent="0.25">
      <c r="A147" s="18">
        <v>53</v>
      </c>
      <c r="B147" s="18">
        <v>1.2200000000000001E-2</v>
      </c>
    </row>
    <row r="148" spans="1:2" x14ac:dyDescent="0.25">
      <c r="A148" s="18">
        <v>53.2</v>
      </c>
      <c r="B148" s="18">
        <v>1.1599999999999999E-2</v>
      </c>
    </row>
    <row r="149" spans="1:2" x14ac:dyDescent="0.25">
      <c r="A149" s="18">
        <v>53.4</v>
      </c>
      <c r="B149" s="18">
        <v>1.11E-2</v>
      </c>
    </row>
    <row r="150" spans="1:2" x14ac:dyDescent="0.25">
      <c r="A150" s="18">
        <v>53.6</v>
      </c>
      <c r="B150" s="18">
        <v>9.9100000000000004E-3</v>
      </c>
    </row>
    <row r="151" spans="1:2" x14ac:dyDescent="0.25">
      <c r="A151" s="18">
        <v>53.8</v>
      </c>
      <c r="B151" s="18">
        <v>9.3200000000000002E-3</v>
      </c>
    </row>
    <row r="152" spans="1:2" x14ac:dyDescent="0.25">
      <c r="A152" s="18">
        <v>54</v>
      </c>
      <c r="B152" s="18">
        <v>8.1899999999999994E-3</v>
      </c>
    </row>
    <row r="153" spans="1:2" x14ac:dyDescent="0.25">
      <c r="A153" s="18">
        <v>54.2</v>
      </c>
      <c r="B153" s="18">
        <v>7.1999999999999998E-3</v>
      </c>
    </row>
    <row r="154" spans="1:2" x14ac:dyDescent="0.25">
      <c r="A154" s="18">
        <v>54.4</v>
      </c>
      <c r="B154" s="18">
        <v>5.9699999999999996E-3</v>
      </c>
    </row>
    <row r="155" spans="1:2" x14ac:dyDescent="0.25">
      <c r="A155" s="18">
        <v>54.6</v>
      </c>
      <c r="B155" s="18">
        <v>4.81E-3</v>
      </c>
    </row>
    <row r="156" spans="1:2" x14ac:dyDescent="0.25">
      <c r="A156" s="18">
        <v>54.8</v>
      </c>
      <c r="B156" s="18">
        <v>3.15E-3</v>
      </c>
    </row>
    <row r="157" spans="1:2" x14ac:dyDescent="0.25">
      <c r="A157" s="18">
        <v>55</v>
      </c>
      <c r="B157" s="18">
        <v>1.1800000000000001E-3</v>
      </c>
    </row>
    <row r="158" spans="1:2" x14ac:dyDescent="0.25">
      <c r="A158" s="18">
        <v>55.2</v>
      </c>
      <c r="B158" s="18">
        <v>1.36E-5</v>
      </c>
    </row>
    <row r="159" spans="1:2" x14ac:dyDescent="0.25">
      <c r="A159" s="18">
        <v>55.4</v>
      </c>
      <c r="B159" s="18">
        <v>8.8599999999999999E-6</v>
      </c>
    </row>
    <row r="160" spans="1:2" x14ac:dyDescent="0.25">
      <c r="A160" s="18">
        <v>55.6</v>
      </c>
      <c r="B160" s="18">
        <v>7.1099999999999997E-6</v>
      </c>
    </row>
    <row r="161" spans="1:2" x14ac:dyDescent="0.25">
      <c r="A161" s="18">
        <v>55.8</v>
      </c>
      <c r="B161" s="18">
        <v>3.7000000000000002E-6</v>
      </c>
    </row>
    <row r="162" spans="1:2" x14ac:dyDescent="0.25">
      <c r="A162" s="18">
        <v>56</v>
      </c>
      <c r="B162" s="18">
        <v>2.1100000000000001E-6</v>
      </c>
    </row>
    <row r="163" spans="1:2" x14ac:dyDescent="0.25">
      <c r="A163" s="18">
        <v>56.2</v>
      </c>
      <c r="B163" s="18">
        <v>4.4499999999999997E-6</v>
      </c>
    </row>
    <row r="164" spans="1:2" x14ac:dyDescent="0.25">
      <c r="A164" s="18">
        <v>56.4</v>
      </c>
      <c r="B164" s="18">
        <v>3.49E-6</v>
      </c>
    </row>
    <row r="165" spans="1:2" x14ac:dyDescent="0.25">
      <c r="A165" s="18">
        <v>56.6</v>
      </c>
      <c r="B165" s="18">
        <v>5.1599999999999997E-6</v>
      </c>
    </row>
    <row r="166" spans="1:2" x14ac:dyDescent="0.25">
      <c r="A166" s="18">
        <v>56.8</v>
      </c>
      <c r="B166" s="18">
        <v>5.13E-6</v>
      </c>
    </row>
    <row r="167" spans="1:2" x14ac:dyDescent="0.25">
      <c r="A167" s="18">
        <v>57</v>
      </c>
      <c r="B167" s="18">
        <v>1.9199999999999998E-6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F00-000000000000}">
  <dimension ref="A1:B86"/>
  <sheetViews>
    <sheetView workbookViewId="0">
      <selection sqref="A1:B1"/>
    </sheetView>
  </sheetViews>
  <sheetFormatPr defaultRowHeight="15" x14ac:dyDescent="0.25"/>
  <cols>
    <col min="1" max="1" width="12.28515625" bestFit="1" customWidth="1"/>
    <col min="2" max="2" width="17.7109375" bestFit="1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30</v>
      </c>
      <c r="B2" s="18">
        <v>8.9299999999999992E-6</v>
      </c>
    </row>
    <row r="3" spans="1:2" x14ac:dyDescent="0.25">
      <c r="A3" s="18">
        <v>30.5</v>
      </c>
      <c r="B3" s="18">
        <v>1.7099999999999999E-5</v>
      </c>
    </row>
    <row r="4" spans="1:2" x14ac:dyDescent="0.25">
      <c r="A4" s="18">
        <v>31</v>
      </c>
      <c r="B4" s="18">
        <v>9.1900000000000001E-6</v>
      </c>
    </row>
    <row r="5" spans="1:2" x14ac:dyDescent="0.25">
      <c r="A5" s="18">
        <v>31.5</v>
      </c>
      <c r="B5" s="18">
        <v>1.33E-5</v>
      </c>
    </row>
    <row r="6" spans="1:2" x14ac:dyDescent="0.25">
      <c r="A6" s="18">
        <v>32</v>
      </c>
      <c r="B6" s="18">
        <v>4.9699999999999998E-6</v>
      </c>
    </row>
    <row r="7" spans="1:2" x14ac:dyDescent="0.25">
      <c r="A7" s="18">
        <v>32.5</v>
      </c>
      <c r="B7" s="18">
        <v>1.45E-5</v>
      </c>
    </row>
    <row r="8" spans="1:2" x14ac:dyDescent="0.25">
      <c r="A8" s="18">
        <v>33</v>
      </c>
      <c r="B8" s="18">
        <v>2.05E-5</v>
      </c>
    </row>
    <row r="9" spans="1:2" x14ac:dyDescent="0.25">
      <c r="A9" s="18">
        <v>33.5</v>
      </c>
      <c r="B9" s="18">
        <v>1.0000000000000001E-5</v>
      </c>
    </row>
    <row r="10" spans="1:2" x14ac:dyDescent="0.25">
      <c r="A10" s="18">
        <v>34</v>
      </c>
      <c r="B10" s="18">
        <v>1.56E-5</v>
      </c>
    </row>
    <row r="11" spans="1:2" x14ac:dyDescent="0.25">
      <c r="A11" s="18">
        <v>34.5</v>
      </c>
      <c r="B11" s="18">
        <v>1.88E-6</v>
      </c>
    </row>
    <row r="12" spans="1:2" x14ac:dyDescent="0.25">
      <c r="A12" s="18">
        <v>35</v>
      </c>
      <c r="B12" s="18">
        <v>8.2900000000000002E-6</v>
      </c>
    </row>
    <row r="13" spans="1:2" x14ac:dyDescent="0.25">
      <c r="A13" s="18">
        <v>35.5</v>
      </c>
      <c r="B13" s="18">
        <v>3.2799999999999999E-6</v>
      </c>
    </row>
    <row r="14" spans="1:2" x14ac:dyDescent="0.25">
      <c r="A14" s="18">
        <v>36</v>
      </c>
      <c r="B14" s="18">
        <v>1.1399999999999999E-5</v>
      </c>
    </row>
    <row r="15" spans="1:2" x14ac:dyDescent="0.25">
      <c r="A15" s="18">
        <v>36.5</v>
      </c>
      <c r="B15" s="18">
        <v>8.6799999999999999E-6</v>
      </c>
    </row>
    <row r="16" spans="1:2" x14ac:dyDescent="0.25">
      <c r="A16" s="18">
        <v>37</v>
      </c>
      <c r="B16" s="18">
        <v>1.19E-5</v>
      </c>
    </row>
    <row r="17" spans="1:2" x14ac:dyDescent="0.25">
      <c r="A17" s="18">
        <v>37.5</v>
      </c>
      <c r="B17" s="18">
        <v>1.5500000000000001E-5</v>
      </c>
    </row>
    <row r="18" spans="1:2" x14ac:dyDescent="0.25">
      <c r="A18" s="18">
        <v>38</v>
      </c>
      <c r="B18" s="18">
        <v>2.4199999999999999E-5</v>
      </c>
    </row>
    <row r="19" spans="1:2" x14ac:dyDescent="0.25">
      <c r="A19" s="18">
        <v>38.5</v>
      </c>
      <c r="B19" s="18">
        <v>3.3500000000000001E-5</v>
      </c>
    </row>
    <row r="20" spans="1:2" x14ac:dyDescent="0.25">
      <c r="A20" s="18">
        <v>39</v>
      </c>
      <c r="B20" s="18">
        <v>5.7299999999999997E-5</v>
      </c>
    </row>
    <row r="21" spans="1:2" x14ac:dyDescent="0.25">
      <c r="A21" s="18">
        <v>39.5</v>
      </c>
      <c r="B21" s="18">
        <v>5.9599999999999999E-5</v>
      </c>
    </row>
    <row r="22" spans="1:2" x14ac:dyDescent="0.25">
      <c r="A22" s="18">
        <v>40</v>
      </c>
      <c r="B22" s="18">
        <v>9.9300000000000001E-5</v>
      </c>
    </row>
    <row r="23" spans="1:2" x14ac:dyDescent="0.25">
      <c r="A23" s="18">
        <v>40.5</v>
      </c>
      <c r="B23" s="18">
        <v>1.36E-4</v>
      </c>
    </row>
    <row r="24" spans="1:2" x14ac:dyDescent="0.25">
      <c r="A24" s="18">
        <v>41</v>
      </c>
      <c r="B24" s="18">
        <v>1.7200000000000001E-4</v>
      </c>
    </row>
    <row r="25" spans="1:2" x14ac:dyDescent="0.25">
      <c r="A25" s="18">
        <v>41.5</v>
      </c>
      <c r="B25" s="18">
        <v>2.41E-4</v>
      </c>
    </row>
    <row r="26" spans="1:2" x14ac:dyDescent="0.25">
      <c r="A26" s="18">
        <v>42</v>
      </c>
      <c r="B26" s="18">
        <v>3.1799999999999998E-4</v>
      </c>
    </row>
    <row r="27" spans="1:2" x14ac:dyDescent="0.25">
      <c r="A27" s="18">
        <v>42.5</v>
      </c>
      <c r="B27" s="18">
        <v>3.9599999999999998E-4</v>
      </c>
    </row>
    <row r="28" spans="1:2" x14ac:dyDescent="0.25">
      <c r="A28" s="18">
        <v>43</v>
      </c>
      <c r="B28" s="18">
        <v>5.8E-4</v>
      </c>
    </row>
    <row r="29" spans="1:2" x14ac:dyDescent="0.25">
      <c r="A29" s="18">
        <v>43.5</v>
      </c>
      <c r="B29" s="18">
        <v>7.45E-4</v>
      </c>
    </row>
    <row r="30" spans="1:2" x14ac:dyDescent="0.25">
      <c r="A30" s="18">
        <v>44</v>
      </c>
      <c r="B30" s="18">
        <v>9.1799999999999998E-4</v>
      </c>
    </row>
    <row r="31" spans="1:2" x14ac:dyDescent="0.25">
      <c r="A31" s="18">
        <v>44.5</v>
      </c>
      <c r="B31" s="18">
        <v>1.1299999999999999E-3</v>
      </c>
    </row>
    <row r="32" spans="1:2" x14ac:dyDescent="0.25">
      <c r="A32" s="18">
        <v>45</v>
      </c>
      <c r="B32" s="18">
        <v>1.42E-3</v>
      </c>
    </row>
    <row r="33" spans="1:2" x14ac:dyDescent="0.25">
      <c r="A33" s="18">
        <v>45.5</v>
      </c>
      <c r="B33" s="18">
        <v>1.6999999999999999E-3</v>
      </c>
    </row>
    <row r="34" spans="1:2" x14ac:dyDescent="0.25">
      <c r="A34" s="18">
        <v>46</v>
      </c>
      <c r="B34" s="18">
        <v>2.0400000000000001E-3</v>
      </c>
    </row>
    <row r="35" spans="1:2" x14ac:dyDescent="0.25">
      <c r="A35" s="18">
        <v>46.5</v>
      </c>
      <c r="B35" s="18">
        <v>2.4099999999999998E-3</v>
      </c>
    </row>
    <row r="36" spans="1:2" x14ac:dyDescent="0.25">
      <c r="A36" s="18">
        <v>47</v>
      </c>
      <c r="B36" s="18">
        <v>2.9299999999999999E-3</v>
      </c>
    </row>
    <row r="37" spans="1:2" x14ac:dyDescent="0.25">
      <c r="A37" s="18">
        <v>47.5</v>
      </c>
      <c r="B37" s="18">
        <v>3.48E-3</v>
      </c>
    </row>
    <row r="38" spans="1:2" x14ac:dyDescent="0.25">
      <c r="A38" s="18">
        <v>48</v>
      </c>
      <c r="B38" s="18">
        <v>4.0699999999999998E-3</v>
      </c>
    </row>
    <row r="39" spans="1:2" x14ac:dyDescent="0.25">
      <c r="A39" s="18">
        <v>48.5</v>
      </c>
      <c r="B39" s="18">
        <v>4.7400000000000003E-3</v>
      </c>
    </row>
    <row r="40" spans="1:2" x14ac:dyDescent="0.25">
      <c r="A40" s="18">
        <v>49</v>
      </c>
      <c r="B40" s="18">
        <v>5.45E-3</v>
      </c>
    </row>
    <row r="41" spans="1:2" x14ac:dyDescent="0.25">
      <c r="A41" s="18">
        <v>49.5</v>
      </c>
      <c r="B41" s="18">
        <v>6.13E-3</v>
      </c>
    </row>
    <row r="42" spans="1:2" x14ac:dyDescent="0.25">
      <c r="A42" s="18">
        <v>50</v>
      </c>
      <c r="B42" s="18">
        <v>7.0699999999999999E-3</v>
      </c>
    </row>
    <row r="43" spans="1:2" x14ac:dyDescent="0.25">
      <c r="A43" s="18">
        <v>50.5</v>
      </c>
      <c r="B43" s="18">
        <v>7.92E-3</v>
      </c>
    </row>
    <row r="44" spans="1:2" x14ac:dyDescent="0.25">
      <c r="A44" s="18">
        <v>51</v>
      </c>
      <c r="B44" s="18">
        <v>9.0200000000000002E-3</v>
      </c>
    </row>
    <row r="45" spans="1:2" x14ac:dyDescent="0.25">
      <c r="A45" s="18">
        <v>51.5</v>
      </c>
      <c r="B45" s="18">
        <v>1.01E-2</v>
      </c>
    </row>
    <row r="46" spans="1:2" x14ac:dyDescent="0.25">
      <c r="A46" s="18">
        <v>52</v>
      </c>
      <c r="B46" s="18">
        <v>1.14E-2</v>
      </c>
    </row>
    <row r="47" spans="1:2" x14ac:dyDescent="0.25">
      <c r="A47" s="18">
        <v>52.5</v>
      </c>
      <c r="B47" s="18">
        <v>1.2500000000000001E-2</v>
      </c>
    </row>
    <row r="48" spans="1:2" x14ac:dyDescent="0.25">
      <c r="A48" s="18">
        <v>53</v>
      </c>
      <c r="B48" s="18">
        <v>1.3599999999999999E-2</v>
      </c>
    </row>
    <row r="49" spans="1:2" x14ac:dyDescent="0.25">
      <c r="A49" s="18">
        <v>53.5</v>
      </c>
      <c r="B49" s="18">
        <v>1.4999999999999999E-2</v>
      </c>
    </row>
    <row r="50" spans="1:2" x14ac:dyDescent="0.25">
      <c r="A50" s="18">
        <v>54</v>
      </c>
      <c r="B50" s="18">
        <v>1.6199999999999999E-2</v>
      </c>
    </row>
    <row r="51" spans="1:2" x14ac:dyDescent="0.25">
      <c r="A51" s="18">
        <v>54.5</v>
      </c>
      <c r="B51" s="18">
        <v>1.7500000000000002E-2</v>
      </c>
    </row>
    <row r="52" spans="1:2" x14ac:dyDescent="0.25">
      <c r="A52" s="18">
        <v>55</v>
      </c>
      <c r="B52" s="18">
        <v>1.9099999999999999E-2</v>
      </c>
    </row>
    <row r="53" spans="1:2" x14ac:dyDescent="0.25">
      <c r="A53" s="18">
        <v>55.5</v>
      </c>
      <c r="B53" s="18">
        <v>2.0400000000000001E-2</v>
      </c>
    </row>
    <row r="54" spans="1:2" x14ac:dyDescent="0.25">
      <c r="A54" s="18">
        <v>56</v>
      </c>
      <c r="B54" s="18">
        <v>2.1700000000000001E-2</v>
      </c>
    </row>
    <row r="55" spans="1:2" x14ac:dyDescent="0.25">
      <c r="A55" s="18">
        <v>56.5</v>
      </c>
      <c r="B55" s="18">
        <v>2.3099999999999999E-2</v>
      </c>
    </row>
    <row r="56" spans="1:2" x14ac:dyDescent="0.25">
      <c r="A56" s="18">
        <v>57</v>
      </c>
      <c r="B56" s="18">
        <v>2.4400000000000002E-2</v>
      </c>
    </row>
    <row r="57" spans="1:2" x14ac:dyDescent="0.25">
      <c r="A57" s="18">
        <v>57.5</v>
      </c>
      <c r="B57" s="18">
        <v>2.5700000000000001E-2</v>
      </c>
    </row>
    <row r="58" spans="1:2" x14ac:dyDescent="0.25">
      <c r="A58" s="18">
        <v>58</v>
      </c>
      <c r="B58" s="18">
        <v>2.7199999999999998E-2</v>
      </c>
    </row>
    <row r="59" spans="1:2" x14ac:dyDescent="0.25">
      <c r="A59" s="18">
        <v>58.5</v>
      </c>
      <c r="B59" s="18">
        <v>2.81E-2</v>
      </c>
    </row>
    <row r="60" spans="1:2" x14ac:dyDescent="0.25">
      <c r="A60" s="18">
        <v>59</v>
      </c>
      <c r="B60" s="18">
        <v>2.9600000000000001E-2</v>
      </c>
    </row>
    <row r="61" spans="1:2" x14ac:dyDescent="0.25">
      <c r="A61" s="18">
        <v>59.5</v>
      </c>
      <c r="B61" s="18">
        <v>3.0700000000000002E-2</v>
      </c>
    </row>
    <row r="62" spans="1:2" x14ac:dyDescent="0.25">
      <c r="A62" s="18">
        <v>60</v>
      </c>
      <c r="B62" s="18">
        <v>3.1300000000000001E-2</v>
      </c>
    </row>
    <row r="63" spans="1:2" x14ac:dyDescent="0.25">
      <c r="A63" s="18">
        <v>60.5</v>
      </c>
      <c r="B63" s="18">
        <v>3.2500000000000001E-2</v>
      </c>
    </row>
    <row r="64" spans="1:2" x14ac:dyDescent="0.25">
      <c r="A64" s="18">
        <v>61</v>
      </c>
      <c r="B64" s="18">
        <v>3.3500000000000002E-2</v>
      </c>
    </row>
    <row r="65" spans="1:2" x14ac:dyDescent="0.25">
      <c r="A65" s="18">
        <v>61.5</v>
      </c>
      <c r="B65" s="18">
        <v>3.4200000000000001E-2</v>
      </c>
    </row>
    <row r="66" spans="1:2" x14ac:dyDescent="0.25">
      <c r="A66" s="18">
        <v>62</v>
      </c>
      <c r="B66" s="18">
        <v>3.44E-2</v>
      </c>
    </row>
    <row r="67" spans="1:2" x14ac:dyDescent="0.25">
      <c r="A67" s="18">
        <v>62.5</v>
      </c>
      <c r="B67" s="18">
        <v>3.5200000000000002E-2</v>
      </c>
    </row>
    <row r="68" spans="1:2" x14ac:dyDescent="0.25">
      <c r="A68" s="18">
        <v>63</v>
      </c>
      <c r="B68" s="18">
        <v>3.5400000000000001E-2</v>
      </c>
    </row>
    <row r="69" spans="1:2" x14ac:dyDescent="0.25">
      <c r="A69" s="18">
        <v>63.5</v>
      </c>
      <c r="B69" s="18">
        <v>3.5799999999999998E-2</v>
      </c>
    </row>
    <row r="70" spans="1:2" x14ac:dyDescent="0.25">
      <c r="A70" s="18">
        <v>64</v>
      </c>
      <c r="B70" s="18">
        <v>3.5499999999999997E-2</v>
      </c>
    </row>
    <row r="71" spans="1:2" x14ac:dyDescent="0.25">
      <c r="A71" s="18">
        <v>64.5</v>
      </c>
      <c r="B71" s="18">
        <v>3.4799999999999998E-2</v>
      </c>
    </row>
    <row r="72" spans="1:2" x14ac:dyDescent="0.25">
      <c r="A72" s="18">
        <v>65</v>
      </c>
      <c r="B72" s="18">
        <v>3.4000000000000002E-2</v>
      </c>
    </row>
    <row r="73" spans="1:2" x14ac:dyDescent="0.25">
      <c r="A73" s="18">
        <v>65.5</v>
      </c>
      <c r="B73" s="18">
        <v>3.3000000000000002E-2</v>
      </c>
    </row>
    <row r="74" spans="1:2" x14ac:dyDescent="0.25">
      <c r="A74" s="18">
        <v>66</v>
      </c>
      <c r="B74" s="18">
        <v>3.1800000000000002E-2</v>
      </c>
    </row>
    <row r="75" spans="1:2" x14ac:dyDescent="0.25">
      <c r="A75" s="18">
        <v>66.5</v>
      </c>
      <c r="B75" s="18">
        <v>3.0099999999999998E-2</v>
      </c>
    </row>
    <row r="76" spans="1:2" x14ac:dyDescent="0.25">
      <c r="A76" s="18">
        <v>67</v>
      </c>
      <c r="B76" s="18">
        <v>2.8000000000000001E-2</v>
      </c>
    </row>
    <row r="77" spans="1:2" x14ac:dyDescent="0.25">
      <c r="A77" s="18">
        <v>67.5</v>
      </c>
      <c r="B77" s="18">
        <v>2.5399999999999999E-2</v>
      </c>
    </row>
    <row r="78" spans="1:2" x14ac:dyDescent="0.25">
      <c r="A78" s="18">
        <v>68</v>
      </c>
      <c r="B78" s="18">
        <v>2.2100000000000002E-2</v>
      </c>
    </row>
    <row r="79" spans="1:2" x14ac:dyDescent="0.25">
      <c r="A79" s="18">
        <v>68.5</v>
      </c>
      <c r="B79" s="18">
        <v>1.8499999999999999E-2</v>
      </c>
    </row>
    <row r="80" spans="1:2" x14ac:dyDescent="0.25">
      <c r="A80" s="18">
        <v>69</v>
      </c>
      <c r="B80" s="18">
        <v>1.41E-2</v>
      </c>
    </row>
    <row r="81" spans="1:2" x14ac:dyDescent="0.25">
      <c r="A81" s="18">
        <v>69.5</v>
      </c>
      <c r="B81" s="18">
        <v>8.4899999999999993E-3</v>
      </c>
    </row>
    <row r="82" spans="1:2" x14ac:dyDescent="0.25">
      <c r="A82" s="18">
        <v>70</v>
      </c>
      <c r="B82" s="18">
        <v>2.0899999999999998E-3</v>
      </c>
    </row>
    <row r="83" spans="1:2" x14ac:dyDescent="0.25">
      <c r="A83" s="18">
        <v>70.5</v>
      </c>
      <c r="B83" s="18">
        <v>1.6899999999999999E-6</v>
      </c>
    </row>
    <row r="84" spans="1:2" x14ac:dyDescent="0.25">
      <c r="A84" s="18">
        <v>71</v>
      </c>
      <c r="B84" s="18">
        <v>6.0499999999999997E-6</v>
      </c>
    </row>
    <row r="85" spans="1:2" x14ac:dyDescent="0.25">
      <c r="A85" s="18">
        <v>71.5</v>
      </c>
      <c r="B85" s="18">
        <v>1.9300000000000002E-6</v>
      </c>
    </row>
    <row r="86" spans="1:2" x14ac:dyDescent="0.25">
      <c r="A86" s="18">
        <v>72</v>
      </c>
      <c r="B86" s="18">
        <v>3.6100000000000002E-7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000-000000000000}">
  <dimension ref="A1:B114"/>
  <sheetViews>
    <sheetView workbookViewId="0">
      <selection sqref="A1:B1"/>
    </sheetView>
  </sheetViews>
  <sheetFormatPr defaultRowHeight="15" x14ac:dyDescent="0.25"/>
  <cols>
    <col min="1" max="1" width="14.42578125" customWidth="1"/>
    <col min="2" max="2" width="16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46</v>
      </c>
      <c r="B2" s="18">
        <v>7.5700000000000004E-6</v>
      </c>
    </row>
    <row r="3" spans="1:2" x14ac:dyDescent="0.25">
      <c r="A3" s="18">
        <v>46.5</v>
      </c>
      <c r="B3" s="18">
        <v>5.0499999999999999E-6</v>
      </c>
    </row>
    <row r="4" spans="1:2" x14ac:dyDescent="0.25">
      <c r="A4" s="18">
        <v>47</v>
      </c>
      <c r="B4" s="18">
        <v>3.3000000000000002E-6</v>
      </c>
    </row>
    <row r="5" spans="1:2" x14ac:dyDescent="0.25">
      <c r="A5" s="18">
        <v>47.5</v>
      </c>
      <c r="B5" s="18">
        <v>4.9200000000000003E-6</v>
      </c>
    </row>
    <row r="6" spans="1:2" x14ac:dyDescent="0.25">
      <c r="A6" s="18">
        <v>48</v>
      </c>
      <c r="B6" s="18">
        <v>9.6900000000000004E-6</v>
      </c>
    </row>
    <row r="7" spans="1:2" x14ac:dyDescent="0.25">
      <c r="A7" s="18">
        <v>48.5</v>
      </c>
      <c r="B7" s="18">
        <v>3.4699999999999998E-6</v>
      </c>
    </row>
    <row r="8" spans="1:2" x14ac:dyDescent="0.25">
      <c r="A8" s="18">
        <v>49</v>
      </c>
      <c r="B8" s="18">
        <v>1.6500000000000001E-6</v>
      </c>
    </row>
    <row r="9" spans="1:2" x14ac:dyDescent="0.25">
      <c r="A9" s="18">
        <v>49.5</v>
      </c>
      <c r="B9" s="18">
        <v>4.4299999999999999E-6</v>
      </c>
    </row>
    <row r="10" spans="1:2" x14ac:dyDescent="0.25">
      <c r="A10" s="18">
        <v>50</v>
      </c>
      <c r="B10" s="18">
        <v>5.2499999999999997E-6</v>
      </c>
    </row>
    <row r="11" spans="1:2" x14ac:dyDescent="0.25">
      <c r="A11" s="18">
        <v>50.5</v>
      </c>
      <c r="B11" s="18">
        <v>2.65E-6</v>
      </c>
    </row>
    <row r="12" spans="1:2" x14ac:dyDescent="0.25">
      <c r="A12" s="18">
        <v>51</v>
      </c>
      <c r="B12" s="18">
        <v>1.3999999999999999E-6</v>
      </c>
    </row>
    <row r="13" spans="1:2" x14ac:dyDescent="0.25">
      <c r="A13" s="18">
        <v>51.5</v>
      </c>
      <c r="B13" s="18">
        <v>4.0999999999999997E-6</v>
      </c>
    </row>
    <row r="14" spans="1:2" x14ac:dyDescent="0.25">
      <c r="A14" s="18">
        <v>52</v>
      </c>
      <c r="B14" s="18">
        <v>1.7799999999999999E-5</v>
      </c>
    </row>
    <row r="15" spans="1:2" x14ac:dyDescent="0.25">
      <c r="A15" s="18">
        <v>52.5</v>
      </c>
      <c r="B15" s="18">
        <v>4.5600000000000004E-6</v>
      </c>
    </row>
    <row r="16" spans="1:2" x14ac:dyDescent="0.25">
      <c r="A16" s="18">
        <v>53</v>
      </c>
      <c r="B16" s="18">
        <v>9.4399999999999994E-6</v>
      </c>
    </row>
    <row r="17" spans="1:2" x14ac:dyDescent="0.25">
      <c r="A17" s="18">
        <v>53.5</v>
      </c>
      <c r="B17" s="18">
        <v>8.6899999999999998E-6</v>
      </c>
    </row>
    <row r="18" spans="1:2" x14ac:dyDescent="0.25">
      <c r="A18" s="18">
        <v>54</v>
      </c>
      <c r="B18" s="18">
        <v>5.8900000000000004E-6</v>
      </c>
    </row>
    <row r="19" spans="1:2" x14ac:dyDescent="0.25">
      <c r="A19" s="18">
        <v>54.5</v>
      </c>
      <c r="B19" s="18">
        <v>1.5500000000000001E-5</v>
      </c>
    </row>
    <row r="20" spans="1:2" x14ac:dyDescent="0.25">
      <c r="A20" s="18">
        <v>55</v>
      </c>
      <c r="B20" s="18">
        <v>1.1800000000000001E-5</v>
      </c>
    </row>
    <row r="21" spans="1:2" x14ac:dyDescent="0.25">
      <c r="A21" s="18">
        <v>55.5</v>
      </c>
      <c r="B21" s="18">
        <v>1.5999999999999999E-5</v>
      </c>
    </row>
    <row r="22" spans="1:2" x14ac:dyDescent="0.25">
      <c r="A22" s="18">
        <v>56</v>
      </c>
      <c r="B22" s="18">
        <v>2.5400000000000001E-5</v>
      </c>
    </row>
    <row r="23" spans="1:2" x14ac:dyDescent="0.25">
      <c r="A23" s="18">
        <v>56.5</v>
      </c>
      <c r="B23" s="18">
        <v>2.51E-5</v>
      </c>
    </row>
    <row r="24" spans="1:2" x14ac:dyDescent="0.25">
      <c r="A24" s="18">
        <v>57</v>
      </c>
      <c r="B24" s="18">
        <v>3.1999999999999999E-5</v>
      </c>
    </row>
    <row r="25" spans="1:2" x14ac:dyDescent="0.25">
      <c r="A25" s="18">
        <v>57.5</v>
      </c>
      <c r="B25" s="18">
        <v>6.1299999999999999E-5</v>
      </c>
    </row>
    <row r="26" spans="1:2" x14ac:dyDescent="0.25">
      <c r="A26" s="18">
        <v>58</v>
      </c>
      <c r="B26" s="18">
        <v>1.35E-4</v>
      </c>
    </row>
    <row r="27" spans="1:2" x14ac:dyDescent="0.25">
      <c r="A27" s="18">
        <v>58.5</v>
      </c>
      <c r="B27" s="18">
        <v>8.1500000000000002E-5</v>
      </c>
    </row>
    <row r="28" spans="1:2" x14ac:dyDescent="0.25">
      <c r="A28" s="18">
        <v>59</v>
      </c>
      <c r="B28" s="18">
        <v>2.5500000000000002E-4</v>
      </c>
    </row>
    <row r="29" spans="1:2" x14ac:dyDescent="0.25">
      <c r="A29" s="18">
        <v>59.5</v>
      </c>
      <c r="B29" s="18">
        <v>3.3E-4</v>
      </c>
    </row>
    <row r="30" spans="1:2" x14ac:dyDescent="0.25">
      <c r="A30" s="18">
        <v>60</v>
      </c>
      <c r="B30" s="18">
        <v>1.27E-4</v>
      </c>
    </row>
    <row r="31" spans="1:2" x14ac:dyDescent="0.25">
      <c r="A31" s="18">
        <v>60.5</v>
      </c>
      <c r="B31" s="18">
        <v>1.44E-4</v>
      </c>
    </row>
    <row r="32" spans="1:2" x14ac:dyDescent="0.25">
      <c r="A32" s="18">
        <v>61</v>
      </c>
      <c r="B32" s="18">
        <v>2.0100000000000001E-4</v>
      </c>
    </row>
    <row r="33" spans="1:2" x14ac:dyDescent="0.25">
      <c r="A33" s="18">
        <v>61.5</v>
      </c>
      <c r="B33" s="18">
        <v>2.14E-4</v>
      </c>
    </row>
    <row r="34" spans="1:2" x14ac:dyDescent="0.25">
      <c r="A34" s="18">
        <v>62</v>
      </c>
      <c r="B34" s="18">
        <v>2.8600000000000001E-4</v>
      </c>
    </row>
    <row r="35" spans="1:2" x14ac:dyDescent="0.25">
      <c r="A35" s="18">
        <v>62.5</v>
      </c>
      <c r="B35" s="18">
        <v>3.3500000000000001E-4</v>
      </c>
    </row>
    <row r="36" spans="1:2" x14ac:dyDescent="0.25">
      <c r="A36" s="18">
        <v>63</v>
      </c>
      <c r="B36" s="18">
        <v>3.7399999999999998E-4</v>
      </c>
    </row>
    <row r="37" spans="1:2" x14ac:dyDescent="0.25">
      <c r="A37" s="18">
        <v>63.5</v>
      </c>
      <c r="B37" s="18">
        <v>4.6099999999999998E-4</v>
      </c>
    </row>
    <row r="38" spans="1:2" x14ac:dyDescent="0.25">
      <c r="A38" s="18">
        <v>64</v>
      </c>
      <c r="B38" s="18">
        <v>5.2499999999999997E-4</v>
      </c>
    </row>
    <row r="39" spans="1:2" x14ac:dyDescent="0.25">
      <c r="A39" s="18">
        <v>64.5</v>
      </c>
      <c r="B39" s="18">
        <v>6.2299999999999996E-4</v>
      </c>
    </row>
    <row r="40" spans="1:2" x14ac:dyDescent="0.25">
      <c r="A40" s="18">
        <v>65</v>
      </c>
      <c r="B40" s="18">
        <v>7.4100000000000001E-4</v>
      </c>
    </row>
    <row r="41" spans="1:2" x14ac:dyDescent="0.25">
      <c r="A41" s="18">
        <v>65.5</v>
      </c>
      <c r="B41" s="18">
        <v>8.7600000000000004E-4</v>
      </c>
    </row>
    <row r="42" spans="1:2" x14ac:dyDescent="0.25">
      <c r="A42" s="18">
        <v>66</v>
      </c>
      <c r="B42" s="18">
        <v>9.8400000000000007E-4</v>
      </c>
    </row>
    <row r="43" spans="1:2" x14ac:dyDescent="0.25">
      <c r="A43" s="18">
        <v>66.5</v>
      </c>
      <c r="B43" s="18">
        <v>1.33E-3</v>
      </c>
    </row>
    <row r="44" spans="1:2" x14ac:dyDescent="0.25">
      <c r="A44" s="18">
        <v>67</v>
      </c>
      <c r="B44" s="18">
        <v>3.1800000000000001E-3</v>
      </c>
    </row>
    <row r="45" spans="1:2" x14ac:dyDescent="0.25">
      <c r="A45" s="18">
        <v>67.5</v>
      </c>
      <c r="B45" s="18">
        <v>2.5000000000000001E-3</v>
      </c>
    </row>
    <row r="46" spans="1:2" x14ac:dyDescent="0.25">
      <c r="A46" s="18">
        <v>68</v>
      </c>
      <c r="B46" s="18">
        <v>1.7799999999999999E-3</v>
      </c>
    </row>
    <row r="47" spans="1:2" x14ac:dyDescent="0.25">
      <c r="A47" s="18">
        <v>68.5</v>
      </c>
      <c r="B47" s="18">
        <v>2.0400000000000001E-3</v>
      </c>
    </row>
    <row r="48" spans="1:2" x14ac:dyDescent="0.25">
      <c r="A48" s="18">
        <v>69</v>
      </c>
      <c r="B48" s="18">
        <v>3.16E-3</v>
      </c>
    </row>
    <row r="49" spans="1:2" x14ac:dyDescent="0.25">
      <c r="A49" s="18">
        <v>69.5</v>
      </c>
      <c r="B49" s="18">
        <v>2.6700000000000001E-3</v>
      </c>
    </row>
    <row r="50" spans="1:2" x14ac:dyDescent="0.25">
      <c r="A50" s="18">
        <v>70</v>
      </c>
      <c r="B50" s="18">
        <v>2.5500000000000002E-3</v>
      </c>
    </row>
    <row r="51" spans="1:2" x14ac:dyDescent="0.25">
      <c r="A51" s="18">
        <v>70.5</v>
      </c>
      <c r="B51" s="18">
        <v>2.8300000000000001E-3</v>
      </c>
    </row>
    <row r="52" spans="1:2" x14ac:dyDescent="0.25">
      <c r="A52" s="18">
        <v>71</v>
      </c>
      <c r="B52" s="18">
        <v>3.1199999999999999E-3</v>
      </c>
    </row>
    <row r="53" spans="1:2" x14ac:dyDescent="0.25">
      <c r="A53" s="18">
        <v>71.5</v>
      </c>
      <c r="B53" s="18">
        <v>3.5100000000000001E-3</v>
      </c>
    </row>
    <row r="54" spans="1:2" x14ac:dyDescent="0.25">
      <c r="A54" s="18">
        <v>72</v>
      </c>
      <c r="B54" s="18">
        <v>3.8600000000000001E-3</v>
      </c>
    </row>
    <row r="55" spans="1:2" x14ac:dyDescent="0.25">
      <c r="A55" s="18">
        <v>72.5</v>
      </c>
      <c r="B55" s="18">
        <v>4.3200000000000001E-3</v>
      </c>
    </row>
    <row r="56" spans="1:2" x14ac:dyDescent="0.25">
      <c r="A56" s="18">
        <v>73</v>
      </c>
      <c r="B56" s="18">
        <v>4.7099999999999998E-3</v>
      </c>
    </row>
    <row r="57" spans="1:2" x14ac:dyDescent="0.25">
      <c r="A57" s="18">
        <v>73.5</v>
      </c>
      <c r="B57" s="18">
        <v>5.2500000000000003E-3</v>
      </c>
    </row>
    <row r="58" spans="1:2" x14ac:dyDescent="0.25">
      <c r="A58" s="18">
        <v>74</v>
      </c>
      <c r="B58" s="18">
        <v>5.6800000000000002E-3</v>
      </c>
    </row>
    <row r="59" spans="1:2" x14ac:dyDescent="0.25">
      <c r="A59" s="18">
        <v>74.5</v>
      </c>
      <c r="B59" s="18">
        <v>6.1199999999999996E-3</v>
      </c>
    </row>
    <row r="60" spans="1:2" x14ac:dyDescent="0.25">
      <c r="A60" s="18">
        <v>75</v>
      </c>
      <c r="B60" s="18">
        <v>6.7099999999999998E-3</v>
      </c>
    </row>
    <row r="61" spans="1:2" x14ac:dyDescent="0.25">
      <c r="A61" s="18">
        <v>75.5</v>
      </c>
      <c r="B61" s="18">
        <v>7.1300000000000001E-3</v>
      </c>
    </row>
    <row r="62" spans="1:2" x14ac:dyDescent="0.25">
      <c r="A62" s="18">
        <v>76</v>
      </c>
      <c r="B62" s="18">
        <v>7.8600000000000007E-3</v>
      </c>
    </row>
    <row r="63" spans="1:2" x14ac:dyDescent="0.25">
      <c r="A63" s="18">
        <v>76.5</v>
      </c>
      <c r="B63" s="18">
        <v>8.3899999999999999E-3</v>
      </c>
    </row>
    <row r="64" spans="1:2" x14ac:dyDescent="0.25">
      <c r="A64" s="18">
        <v>77</v>
      </c>
      <c r="B64" s="18">
        <v>9.1999999999999998E-3</v>
      </c>
    </row>
    <row r="65" spans="1:2" x14ac:dyDescent="0.25">
      <c r="A65" s="18">
        <v>77.5</v>
      </c>
      <c r="B65" s="18">
        <v>9.9299999999999996E-3</v>
      </c>
    </row>
    <row r="66" spans="1:2" x14ac:dyDescent="0.25">
      <c r="A66" s="18">
        <v>78</v>
      </c>
      <c r="B66" s="18">
        <v>1.0500000000000001E-2</v>
      </c>
    </row>
    <row r="67" spans="1:2" x14ac:dyDescent="0.25">
      <c r="A67" s="18">
        <v>78.5</v>
      </c>
      <c r="B67" s="18">
        <v>1.0999999999999999E-2</v>
      </c>
    </row>
    <row r="68" spans="1:2" x14ac:dyDescent="0.25">
      <c r="A68" s="18">
        <v>79</v>
      </c>
      <c r="B68" s="18">
        <v>1.2E-2</v>
      </c>
    </row>
    <row r="69" spans="1:2" x14ac:dyDescent="0.25">
      <c r="A69" s="18">
        <v>79.5</v>
      </c>
      <c r="B69" s="18">
        <v>1.26E-2</v>
      </c>
    </row>
    <row r="70" spans="1:2" x14ac:dyDescent="0.25">
      <c r="A70" s="18">
        <v>80</v>
      </c>
      <c r="B70" s="18">
        <v>1.32E-2</v>
      </c>
    </row>
    <row r="71" spans="1:2" x14ac:dyDescent="0.25">
      <c r="A71" s="18">
        <v>80.5</v>
      </c>
      <c r="B71" s="18">
        <v>1.41E-2</v>
      </c>
    </row>
    <row r="72" spans="1:2" x14ac:dyDescent="0.25">
      <c r="A72" s="18">
        <v>81</v>
      </c>
      <c r="B72" s="18">
        <v>1.4800000000000001E-2</v>
      </c>
    </row>
    <row r="73" spans="1:2" x14ac:dyDescent="0.25">
      <c r="A73" s="18">
        <v>81.5</v>
      </c>
      <c r="B73" s="18">
        <v>1.5800000000000002E-2</v>
      </c>
    </row>
    <row r="74" spans="1:2" x14ac:dyDescent="0.25">
      <c r="A74" s="18">
        <v>82</v>
      </c>
      <c r="B74" s="18">
        <v>1.67E-2</v>
      </c>
    </row>
    <row r="75" spans="1:2" x14ac:dyDescent="0.25">
      <c r="A75" s="18">
        <v>82.5</v>
      </c>
      <c r="B75" s="18">
        <v>1.7299999999999999E-2</v>
      </c>
    </row>
    <row r="76" spans="1:2" x14ac:dyDescent="0.25">
      <c r="A76" s="18">
        <v>83</v>
      </c>
      <c r="B76" s="18">
        <v>1.83E-2</v>
      </c>
    </row>
    <row r="77" spans="1:2" x14ac:dyDescent="0.25">
      <c r="A77" s="18">
        <v>83.5</v>
      </c>
      <c r="B77" s="18">
        <v>1.9199999999999998E-2</v>
      </c>
    </row>
    <row r="78" spans="1:2" x14ac:dyDescent="0.25">
      <c r="A78" s="18">
        <v>84</v>
      </c>
      <c r="B78" s="18">
        <v>1.9900000000000001E-2</v>
      </c>
    </row>
    <row r="79" spans="1:2" x14ac:dyDescent="0.25">
      <c r="A79" s="18">
        <v>84.5</v>
      </c>
      <c r="B79" s="18">
        <v>2.0799999999999999E-2</v>
      </c>
    </row>
    <row r="80" spans="1:2" x14ac:dyDescent="0.25">
      <c r="A80" s="18">
        <v>85</v>
      </c>
      <c r="B80" s="18">
        <v>2.1700000000000001E-2</v>
      </c>
    </row>
    <row r="81" spans="1:2" x14ac:dyDescent="0.25">
      <c r="A81" s="18">
        <v>85.5</v>
      </c>
      <c r="B81" s="18">
        <v>2.1999999999999999E-2</v>
      </c>
    </row>
    <row r="82" spans="1:2" x14ac:dyDescent="0.25">
      <c r="A82" s="18">
        <v>86</v>
      </c>
      <c r="B82" s="18">
        <v>2.2700000000000001E-2</v>
      </c>
    </row>
    <row r="83" spans="1:2" x14ac:dyDescent="0.25">
      <c r="A83" s="18">
        <v>86.5</v>
      </c>
      <c r="B83" s="18">
        <v>2.3900000000000001E-2</v>
      </c>
    </row>
    <row r="84" spans="1:2" x14ac:dyDescent="0.25">
      <c r="A84" s="18">
        <v>87</v>
      </c>
      <c r="B84" s="18">
        <v>2.4400000000000002E-2</v>
      </c>
    </row>
    <row r="85" spans="1:2" x14ac:dyDescent="0.25">
      <c r="A85" s="18">
        <v>87.5</v>
      </c>
      <c r="B85" s="18">
        <v>2.5000000000000001E-2</v>
      </c>
    </row>
    <row r="86" spans="1:2" x14ac:dyDescent="0.25">
      <c r="A86" s="18">
        <v>88</v>
      </c>
      <c r="B86" s="18">
        <v>2.5000000000000001E-2</v>
      </c>
    </row>
    <row r="87" spans="1:2" x14ac:dyDescent="0.25">
      <c r="A87" s="18">
        <v>88.5</v>
      </c>
      <c r="B87" s="18">
        <v>2.5499999999999998E-2</v>
      </c>
    </row>
    <row r="88" spans="1:2" x14ac:dyDescent="0.25">
      <c r="A88" s="18">
        <v>89</v>
      </c>
      <c r="B88" s="18">
        <v>2.5899999999999999E-2</v>
      </c>
    </row>
    <row r="89" spans="1:2" x14ac:dyDescent="0.25">
      <c r="A89" s="18">
        <v>89.5</v>
      </c>
      <c r="B89" s="18">
        <v>2.6200000000000001E-2</v>
      </c>
    </row>
    <row r="90" spans="1:2" x14ac:dyDescent="0.25">
      <c r="A90" s="18">
        <v>90</v>
      </c>
      <c r="B90" s="18">
        <v>2.69E-2</v>
      </c>
    </row>
    <row r="91" spans="1:2" x14ac:dyDescent="0.25">
      <c r="A91" s="18">
        <v>90.5</v>
      </c>
      <c r="B91" s="18">
        <v>2.7E-2</v>
      </c>
    </row>
    <row r="92" spans="1:2" x14ac:dyDescent="0.25">
      <c r="A92" s="18">
        <v>91</v>
      </c>
      <c r="B92" s="18">
        <v>2.69E-2</v>
      </c>
    </row>
    <row r="93" spans="1:2" x14ac:dyDescent="0.25">
      <c r="A93" s="18">
        <v>91.5</v>
      </c>
      <c r="B93" s="18">
        <v>2.7199999999999998E-2</v>
      </c>
    </row>
    <row r="94" spans="1:2" x14ac:dyDescent="0.25">
      <c r="A94" s="18">
        <v>92</v>
      </c>
      <c r="B94" s="18">
        <v>2.69E-2</v>
      </c>
    </row>
    <row r="95" spans="1:2" x14ac:dyDescent="0.25">
      <c r="A95" s="18">
        <v>92.5</v>
      </c>
      <c r="B95" s="18">
        <v>2.6700000000000002E-2</v>
      </c>
    </row>
    <row r="96" spans="1:2" x14ac:dyDescent="0.25">
      <c r="A96" s="18">
        <v>93</v>
      </c>
      <c r="B96" s="18">
        <v>2.6499999999999999E-2</v>
      </c>
    </row>
    <row r="97" spans="1:2" x14ac:dyDescent="0.25">
      <c r="A97" s="18">
        <v>93.5</v>
      </c>
      <c r="B97" s="18">
        <v>2.5899999999999999E-2</v>
      </c>
    </row>
    <row r="98" spans="1:2" x14ac:dyDescent="0.25">
      <c r="A98" s="18">
        <v>94</v>
      </c>
      <c r="B98" s="18">
        <v>2.53E-2</v>
      </c>
    </row>
    <row r="99" spans="1:2" x14ac:dyDescent="0.25">
      <c r="A99" s="18">
        <v>94.5</v>
      </c>
      <c r="B99" s="18">
        <v>2.4500000000000001E-2</v>
      </c>
    </row>
    <row r="100" spans="1:2" x14ac:dyDescent="0.25">
      <c r="A100" s="18">
        <v>95</v>
      </c>
      <c r="B100" s="18">
        <v>2.4E-2</v>
      </c>
    </row>
    <row r="101" spans="1:2" x14ac:dyDescent="0.25">
      <c r="A101" s="18">
        <v>95.5</v>
      </c>
      <c r="B101" s="18">
        <v>2.2599999999999999E-2</v>
      </c>
    </row>
    <row r="102" spans="1:2" x14ac:dyDescent="0.25">
      <c r="A102" s="18">
        <v>96</v>
      </c>
      <c r="B102" s="18">
        <v>2.1399999999999999E-2</v>
      </c>
    </row>
    <row r="103" spans="1:2" x14ac:dyDescent="0.25">
      <c r="A103" s="18">
        <v>96.5</v>
      </c>
      <c r="B103" s="18">
        <v>2.0199999999999999E-2</v>
      </c>
    </row>
    <row r="104" spans="1:2" x14ac:dyDescent="0.25">
      <c r="A104" s="18">
        <v>97</v>
      </c>
      <c r="B104" s="18">
        <v>1.84E-2</v>
      </c>
    </row>
    <row r="105" spans="1:2" x14ac:dyDescent="0.25">
      <c r="A105" s="18">
        <v>97.5</v>
      </c>
      <c r="B105" s="18">
        <v>1.61E-2</v>
      </c>
    </row>
    <row r="106" spans="1:2" x14ac:dyDescent="0.25">
      <c r="A106" s="18">
        <v>98</v>
      </c>
      <c r="B106" s="18">
        <v>1.41E-2</v>
      </c>
    </row>
    <row r="107" spans="1:2" x14ac:dyDescent="0.25">
      <c r="A107" s="18">
        <v>98.5</v>
      </c>
      <c r="B107" s="18">
        <v>1.14E-2</v>
      </c>
    </row>
    <row r="108" spans="1:2" x14ac:dyDescent="0.25">
      <c r="A108" s="18">
        <v>99</v>
      </c>
      <c r="B108" s="18">
        <v>8.43E-3</v>
      </c>
    </row>
    <row r="109" spans="1:2" x14ac:dyDescent="0.25">
      <c r="A109" s="18">
        <v>99.5</v>
      </c>
      <c r="B109" s="18">
        <v>5.0200000000000002E-3</v>
      </c>
    </row>
    <row r="110" spans="1:2" x14ac:dyDescent="0.25">
      <c r="A110" s="18">
        <v>100</v>
      </c>
      <c r="B110" s="18">
        <v>1.08E-3</v>
      </c>
    </row>
    <row r="111" spans="1:2" x14ac:dyDescent="0.25">
      <c r="A111" s="18">
        <v>101</v>
      </c>
      <c r="B111" s="18">
        <v>2.51E-5</v>
      </c>
    </row>
    <row r="112" spans="1:2" x14ac:dyDescent="0.25">
      <c r="A112" s="18">
        <v>101</v>
      </c>
      <c r="B112" s="18">
        <v>3.18E-6</v>
      </c>
    </row>
    <row r="113" spans="1:2" x14ac:dyDescent="0.25">
      <c r="A113" s="18">
        <v>102</v>
      </c>
      <c r="B113" s="18">
        <v>1.9599999999999999E-6</v>
      </c>
    </row>
    <row r="114" spans="1:2" x14ac:dyDescent="0.25">
      <c r="A114" s="18">
        <v>102</v>
      </c>
      <c r="B114" s="18">
        <v>1.84E-6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100-000000000000}">
  <dimension ref="A1:B140"/>
  <sheetViews>
    <sheetView workbookViewId="0">
      <selection sqref="A1:B1"/>
    </sheetView>
  </sheetViews>
  <sheetFormatPr defaultRowHeight="15" x14ac:dyDescent="0.25"/>
  <cols>
    <col min="1" max="1" width="15.85546875" customWidth="1"/>
    <col min="2" max="2" width="23.1406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58</v>
      </c>
      <c r="B2" s="18">
        <v>1.7200000000000001E-5</v>
      </c>
    </row>
    <row r="3" spans="1:2" x14ac:dyDescent="0.25">
      <c r="A3" s="18">
        <v>58.5</v>
      </c>
      <c r="B3" s="18">
        <v>1.31E-5</v>
      </c>
    </row>
    <row r="4" spans="1:2" x14ac:dyDescent="0.25">
      <c r="A4" s="18">
        <v>59</v>
      </c>
      <c r="B4" s="18">
        <v>1.5999999999999999E-5</v>
      </c>
    </row>
    <row r="5" spans="1:2" x14ac:dyDescent="0.25">
      <c r="A5" s="18">
        <v>59.5</v>
      </c>
      <c r="B5" s="18">
        <v>1.33E-5</v>
      </c>
    </row>
    <row r="6" spans="1:2" x14ac:dyDescent="0.25">
      <c r="A6" s="18">
        <v>60</v>
      </c>
      <c r="B6" s="18">
        <v>1.42E-5</v>
      </c>
    </row>
    <row r="7" spans="1:2" x14ac:dyDescent="0.25">
      <c r="A7" s="18">
        <v>60.5</v>
      </c>
      <c r="B7" s="18">
        <v>1.4100000000000001E-5</v>
      </c>
    </row>
    <row r="8" spans="1:2" x14ac:dyDescent="0.25">
      <c r="A8" s="18">
        <v>61</v>
      </c>
      <c r="B8" s="18">
        <v>1.06E-5</v>
      </c>
    </row>
    <row r="9" spans="1:2" x14ac:dyDescent="0.25">
      <c r="A9" s="18">
        <v>61.5</v>
      </c>
      <c r="B9" s="18">
        <v>1.04E-5</v>
      </c>
    </row>
    <row r="10" spans="1:2" x14ac:dyDescent="0.25">
      <c r="A10" s="18">
        <v>62</v>
      </c>
      <c r="B10" s="18">
        <v>1.36E-5</v>
      </c>
    </row>
    <row r="11" spans="1:2" x14ac:dyDescent="0.25">
      <c r="A11" s="18">
        <v>62.5</v>
      </c>
      <c r="B11" s="18">
        <v>1.3200000000000001E-5</v>
      </c>
    </row>
    <row r="12" spans="1:2" x14ac:dyDescent="0.25">
      <c r="A12" s="18">
        <v>63</v>
      </c>
      <c r="B12" s="18">
        <v>1.6099999999999998E-5</v>
      </c>
    </row>
    <row r="13" spans="1:2" x14ac:dyDescent="0.25">
      <c r="A13" s="18">
        <v>63.5</v>
      </c>
      <c r="B13" s="18">
        <v>1.15E-5</v>
      </c>
    </row>
    <row r="14" spans="1:2" x14ac:dyDescent="0.25">
      <c r="A14" s="18">
        <v>64</v>
      </c>
      <c r="B14" s="18">
        <v>1.6099999999999998E-5</v>
      </c>
    </row>
    <row r="15" spans="1:2" x14ac:dyDescent="0.25">
      <c r="A15" s="18">
        <v>64.5</v>
      </c>
      <c r="B15" s="18">
        <v>8.8999999999999995E-6</v>
      </c>
    </row>
    <row r="16" spans="1:2" x14ac:dyDescent="0.25">
      <c r="A16" s="18">
        <v>65</v>
      </c>
      <c r="B16" s="18">
        <v>1.3499999999999999E-5</v>
      </c>
    </row>
    <row r="17" spans="1:2" x14ac:dyDescent="0.25">
      <c r="A17" s="18">
        <v>65.5</v>
      </c>
      <c r="B17" s="18">
        <v>1.26E-5</v>
      </c>
    </row>
    <row r="18" spans="1:2" x14ac:dyDescent="0.25">
      <c r="A18" s="18">
        <v>66</v>
      </c>
      <c r="B18" s="18">
        <v>1.3200000000000001E-5</v>
      </c>
    </row>
    <row r="19" spans="1:2" x14ac:dyDescent="0.25">
      <c r="A19" s="18">
        <v>66.5</v>
      </c>
      <c r="B19" s="18">
        <v>1.3200000000000001E-5</v>
      </c>
    </row>
    <row r="20" spans="1:2" x14ac:dyDescent="0.25">
      <c r="A20" s="18">
        <v>67</v>
      </c>
      <c r="B20" s="18">
        <v>1.1800000000000001E-5</v>
      </c>
    </row>
    <row r="21" spans="1:2" x14ac:dyDescent="0.25">
      <c r="A21" s="18">
        <v>67.5</v>
      </c>
      <c r="B21" s="18">
        <v>1.9400000000000001E-5</v>
      </c>
    </row>
    <row r="22" spans="1:2" x14ac:dyDescent="0.25">
      <c r="A22" s="18">
        <v>68</v>
      </c>
      <c r="B22" s="18">
        <v>1.6399999999999999E-5</v>
      </c>
    </row>
    <row r="23" spans="1:2" x14ac:dyDescent="0.25">
      <c r="A23" s="18">
        <v>68.5</v>
      </c>
      <c r="B23" s="18">
        <v>1.36E-5</v>
      </c>
    </row>
    <row r="24" spans="1:2" x14ac:dyDescent="0.25">
      <c r="A24" s="18">
        <v>69</v>
      </c>
      <c r="B24" s="18">
        <v>1.5999999999999999E-5</v>
      </c>
    </row>
    <row r="25" spans="1:2" x14ac:dyDescent="0.25">
      <c r="A25" s="18">
        <v>69.5</v>
      </c>
      <c r="B25" s="18">
        <v>4.7299999999999996E-6</v>
      </c>
    </row>
    <row r="26" spans="1:2" x14ac:dyDescent="0.25">
      <c r="A26" s="18">
        <v>70</v>
      </c>
      <c r="B26" s="18">
        <v>1.3699999999999999E-5</v>
      </c>
    </row>
    <row r="27" spans="1:2" x14ac:dyDescent="0.25">
      <c r="A27" s="18">
        <v>70.5</v>
      </c>
      <c r="B27" s="18">
        <v>6.4999999999999996E-6</v>
      </c>
    </row>
    <row r="28" spans="1:2" x14ac:dyDescent="0.25">
      <c r="A28" s="18">
        <v>71</v>
      </c>
      <c r="B28" s="18">
        <v>2.0999999999999999E-5</v>
      </c>
    </row>
    <row r="29" spans="1:2" x14ac:dyDescent="0.25">
      <c r="A29" s="18">
        <v>71.5</v>
      </c>
      <c r="B29" s="18">
        <v>2.2399999999999999E-5</v>
      </c>
    </row>
    <row r="30" spans="1:2" x14ac:dyDescent="0.25">
      <c r="A30" s="18">
        <v>72</v>
      </c>
      <c r="B30" s="18">
        <v>2.5299999999999998E-5</v>
      </c>
    </row>
    <row r="31" spans="1:2" x14ac:dyDescent="0.25">
      <c r="A31" s="18">
        <v>72.5</v>
      </c>
      <c r="B31" s="18">
        <v>2.69E-5</v>
      </c>
    </row>
    <row r="32" spans="1:2" x14ac:dyDescent="0.25">
      <c r="A32" s="18">
        <v>73</v>
      </c>
      <c r="B32" s="18">
        <v>3.2199999999999997E-5</v>
      </c>
    </row>
    <row r="33" spans="1:2" x14ac:dyDescent="0.25">
      <c r="A33" s="18">
        <v>73.5</v>
      </c>
      <c r="B33" s="18">
        <v>2.9600000000000001E-5</v>
      </c>
    </row>
    <row r="34" spans="1:2" x14ac:dyDescent="0.25">
      <c r="A34" s="18">
        <v>74</v>
      </c>
      <c r="B34" s="18">
        <v>2.2500000000000001E-5</v>
      </c>
    </row>
    <row r="35" spans="1:2" x14ac:dyDescent="0.25">
      <c r="A35" s="18">
        <v>74.5</v>
      </c>
      <c r="B35" s="18">
        <v>3.7299999999999999E-5</v>
      </c>
    </row>
    <row r="36" spans="1:2" x14ac:dyDescent="0.25">
      <c r="A36" s="18">
        <v>75</v>
      </c>
      <c r="B36" s="18">
        <v>6.4599999999999998E-5</v>
      </c>
    </row>
    <row r="37" spans="1:2" x14ac:dyDescent="0.25">
      <c r="A37" s="18">
        <v>75.5</v>
      </c>
      <c r="B37" s="18">
        <v>5.8799999999999999E-5</v>
      </c>
    </row>
    <row r="38" spans="1:2" x14ac:dyDescent="0.25">
      <c r="A38" s="18">
        <v>76</v>
      </c>
      <c r="B38" s="18">
        <v>5.63E-5</v>
      </c>
    </row>
    <row r="39" spans="1:2" x14ac:dyDescent="0.25">
      <c r="A39" s="18">
        <v>76.5</v>
      </c>
      <c r="B39" s="18">
        <v>6.5099999999999997E-5</v>
      </c>
    </row>
    <row r="40" spans="1:2" x14ac:dyDescent="0.25">
      <c r="A40" s="18">
        <v>77</v>
      </c>
      <c r="B40" s="18">
        <v>7.8200000000000003E-5</v>
      </c>
    </row>
    <row r="41" spans="1:2" x14ac:dyDescent="0.25">
      <c r="A41" s="18">
        <v>77.5</v>
      </c>
      <c r="B41" s="18">
        <v>9.9099999999999996E-5</v>
      </c>
    </row>
    <row r="42" spans="1:2" x14ac:dyDescent="0.25">
      <c r="A42" s="18">
        <v>78</v>
      </c>
      <c r="B42" s="18">
        <v>1.16E-4</v>
      </c>
    </row>
    <row r="43" spans="1:2" x14ac:dyDescent="0.25">
      <c r="A43" s="18">
        <v>78.5</v>
      </c>
      <c r="B43" s="18">
        <v>1.27E-4</v>
      </c>
    </row>
    <row r="44" spans="1:2" x14ac:dyDescent="0.25">
      <c r="A44" s="18">
        <v>79</v>
      </c>
      <c r="B44" s="18">
        <v>1.44E-4</v>
      </c>
    </row>
    <row r="45" spans="1:2" x14ac:dyDescent="0.25">
      <c r="A45" s="18">
        <v>79.5</v>
      </c>
      <c r="B45" s="18">
        <v>1.9000000000000001E-4</v>
      </c>
    </row>
    <row r="46" spans="1:2" x14ac:dyDescent="0.25">
      <c r="A46" s="18">
        <v>80</v>
      </c>
      <c r="B46" s="18">
        <v>2.13E-4</v>
      </c>
    </row>
    <row r="47" spans="1:2" x14ac:dyDescent="0.25">
      <c r="A47" s="18">
        <v>80.5</v>
      </c>
      <c r="B47" s="18">
        <v>2.5500000000000002E-4</v>
      </c>
    </row>
    <row r="48" spans="1:2" x14ac:dyDescent="0.25">
      <c r="A48" s="18">
        <v>81</v>
      </c>
      <c r="B48" s="18">
        <v>2.7099999999999997E-4</v>
      </c>
    </row>
    <row r="49" spans="1:2" x14ac:dyDescent="0.25">
      <c r="A49" s="18">
        <v>81.5</v>
      </c>
      <c r="B49" s="18">
        <v>3.2000000000000003E-4</v>
      </c>
    </row>
    <row r="50" spans="1:2" x14ac:dyDescent="0.25">
      <c r="A50" s="18">
        <v>82</v>
      </c>
      <c r="B50" s="18">
        <v>3.59E-4</v>
      </c>
    </row>
    <row r="51" spans="1:2" x14ac:dyDescent="0.25">
      <c r="A51" s="18">
        <v>82.5</v>
      </c>
      <c r="B51" s="18">
        <v>4.3899999999999999E-4</v>
      </c>
    </row>
    <row r="52" spans="1:2" x14ac:dyDescent="0.25">
      <c r="A52" s="18">
        <v>83</v>
      </c>
      <c r="B52" s="18">
        <v>5.0500000000000002E-4</v>
      </c>
    </row>
    <row r="53" spans="1:2" x14ac:dyDescent="0.25">
      <c r="A53" s="18">
        <v>83.5</v>
      </c>
      <c r="B53" s="18">
        <v>5.6499999999999996E-4</v>
      </c>
    </row>
    <row r="54" spans="1:2" x14ac:dyDescent="0.25">
      <c r="A54" s="18">
        <v>84</v>
      </c>
      <c r="B54" s="18">
        <v>6.7100000000000005E-4</v>
      </c>
    </row>
    <row r="55" spans="1:2" x14ac:dyDescent="0.25">
      <c r="A55" s="18">
        <v>84.5</v>
      </c>
      <c r="B55" s="18">
        <v>7.6099999999999996E-4</v>
      </c>
    </row>
    <row r="56" spans="1:2" x14ac:dyDescent="0.25">
      <c r="A56" s="18">
        <v>85</v>
      </c>
      <c r="B56" s="18">
        <v>8.3100000000000003E-4</v>
      </c>
    </row>
    <row r="57" spans="1:2" x14ac:dyDescent="0.25">
      <c r="A57" s="18">
        <v>85.5</v>
      </c>
      <c r="B57" s="18">
        <v>9.59E-4</v>
      </c>
    </row>
    <row r="58" spans="1:2" x14ac:dyDescent="0.25">
      <c r="A58" s="18">
        <v>86</v>
      </c>
      <c r="B58" s="18">
        <v>1.1000000000000001E-3</v>
      </c>
    </row>
    <row r="59" spans="1:2" x14ac:dyDescent="0.25">
      <c r="A59" s="18">
        <v>86.5</v>
      </c>
      <c r="B59" s="18">
        <v>1.1999999999999999E-3</v>
      </c>
    </row>
    <row r="60" spans="1:2" x14ac:dyDescent="0.25">
      <c r="A60" s="18">
        <v>87</v>
      </c>
      <c r="B60" s="18">
        <v>1.34E-3</v>
      </c>
    </row>
    <row r="61" spans="1:2" x14ac:dyDescent="0.25">
      <c r="A61" s="18">
        <v>87.5</v>
      </c>
      <c r="B61" s="18">
        <v>1.4499999999999999E-3</v>
      </c>
    </row>
    <row r="62" spans="1:2" x14ac:dyDescent="0.25">
      <c r="A62" s="18">
        <v>88</v>
      </c>
      <c r="B62" s="18">
        <v>1.65E-3</v>
      </c>
    </row>
    <row r="63" spans="1:2" x14ac:dyDescent="0.25">
      <c r="A63" s="18">
        <v>88.5</v>
      </c>
      <c r="B63" s="18">
        <v>1.7799999999999999E-3</v>
      </c>
    </row>
    <row r="64" spans="1:2" x14ac:dyDescent="0.25">
      <c r="A64" s="18">
        <v>89</v>
      </c>
      <c r="B64" s="18">
        <v>2E-3</v>
      </c>
    </row>
    <row r="65" spans="1:2" x14ac:dyDescent="0.25">
      <c r="A65" s="18">
        <v>89.5</v>
      </c>
      <c r="B65" s="18">
        <v>2.2000000000000001E-3</v>
      </c>
    </row>
    <row r="66" spans="1:2" x14ac:dyDescent="0.25">
      <c r="A66" s="18">
        <v>90</v>
      </c>
      <c r="B66" s="18">
        <v>2.4399999999999999E-3</v>
      </c>
    </row>
    <row r="67" spans="1:2" x14ac:dyDescent="0.25">
      <c r="A67" s="18">
        <v>90.5</v>
      </c>
      <c r="B67" s="18">
        <v>2.6099999999999999E-3</v>
      </c>
    </row>
    <row r="68" spans="1:2" x14ac:dyDescent="0.25">
      <c r="A68" s="18">
        <v>91</v>
      </c>
      <c r="B68" s="18">
        <v>2.7599999999999999E-3</v>
      </c>
    </row>
    <row r="69" spans="1:2" x14ac:dyDescent="0.25">
      <c r="A69" s="18">
        <v>91.5</v>
      </c>
      <c r="B69" s="18">
        <v>3.0799999999999998E-3</v>
      </c>
    </row>
    <row r="70" spans="1:2" x14ac:dyDescent="0.25">
      <c r="A70" s="18">
        <v>92</v>
      </c>
      <c r="B70" s="18">
        <v>3.3500000000000001E-3</v>
      </c>
    </row>
    <row r="71" spans="1:2" x14ac:dyDescent="0.25">
      <c r="A71" s="18">
        <v>92.5</v>
      </c>
      <c r="B71" s="18">
        <v>3.7000000000000002E-3</v>
      </c>
    </row>
    <row r="72" spans="1:2" x14ac:dyDescent="0.25">
      <c r="A72" s="18">
        <v>93</v>
      </c>
      <c r="B72" s="18">
        <v>3.9300000000000003E-3</v>
      </c>
    </row>
    <row r="73" spans="1:2" x14ac:dyDescent="0.25">
      <c r="A73" s="18">
        <v>93.5</v>
      </c>
      <c r="B73" s="18">
        <v>4.2300000000000003E-3</v>
      </c>
    </row>
    <row r="74" spans="1:2" x14ac:dyDescent="0.25">
      <c r="A74" s="18">
        <v>94</v>
      </c>
      <c r="B74" s="18">
        <v>4.5799999999999999E-3</v>
      </c>
    </row>
    <row r="75" spans="1:2" x14ac:dyDescent="0.25">
      <c r="A75" s="18">
        <v>94.5</v>
      </c>
      <c r="B75" s="18">
        <v>4.8700000000000002E-3</v>
      </c>
    </row>
    <row r="76" spans="1:2" x14ac:dyDescent="0.25">
      <c r="A76" s="18">
        <v>95</v>
      </c>
      <c r="B76" s="18">
        <v>5.3E-3</v>
      </c>
    </row>
    <row r="77" spans="1:2" x14ac:dyDescent="0.25">
      <c r="A77" s="18">
        <v>95.5</v>
      </c>
      <c r="B77" s="18">
        <v>5.7000000000000002E-3</v>
      </c>
    </row>
    <row r="78" spans="1:2" x14ac:dyDescent="0.25">
      <c r="A78" s="18">
        <v>96</v>
      </c>
      <c r="B78" s="18">
        <v>6.11E-3</v>
      </c>
    </row>
    <row r="79" spans="1:2" x14ac:dyDescent="0.25">
      <c r="A79" s="18">
        <v>96.5</v>
      </c>
      <c r="B79" s="18">
        <v>6.4099999999999999E-3</v>
      </c>
    </row>
    <row r="80" spans="1:2" x14ac:dyDescent="0.25">
      <c r="A80" s="18">
        <v>97</v>
      </c>
      <c r="B80" s="18">
        <v>6.8300000000000001E-3</v>
      </c>
    </row>
    <row r="81" spans="1:2" x14ac:dyDescent="0.25">
      <c r="A81" s="18">
        <v>97.5</v>
      </c>
      <c r="B81" s="18">
        <v>7.4000000000000003E-3</v>
      </c>
    </row>
    <row r="82" spans="1:2" x14ac:dyDescent="0.25">
      <c r="A82" s="18">
        <v>98</v>
      </c>
      <c r="B82" s="18">
        <v>7.7600000000000004E-3</v>
      </c>
    </row>
    <row r="83" spans="1:2" x14ac:dyDescent="0.25">
      <c r="A83" s="18">
        <v>98.5</v>
      </c>
      <c r="B83" s="18">
        <v>8.1799999999999998E-3</v>
      </c>
    </row>
    <row r="84" spans="1:2" x14ac:dyDescent="0.25">
      <c r="A84" s="18">
        <v>99</v>
      </c>
      <c r="B84" s="18">
        <v>8.6899999999999998E-3</v>
      </c>
    </row>
    <row r="85" spans="1:2" x14ac:dyDescent="0.25">
      <c r="A85" s="18">
        <v>99.5</v>
      </c>
      <c r="B85" s="18">
        <v>9.2300000000000004E-3</v>
      </c>
    </row>
    <row r="86" spans="1:2" x14ac:dyDescent="0.25">
      <c r="A86" s="18">
        <v>100</v>
      </c>
      <c r="B86" s="18">
        <v>9.7900000000000001E-3</v>
      </c>
    </row>
    <row r="87" spans="1:2" x14ac:dyDescent="0.25">
      <c r="A87" s="18">
        <v>101</v>
      </c>
      <c r="B87" s="18">
        <v>1.03E-2</v>
      </c>
    </row>
    <row r="88" spans="1:2" x14ac:dyDescent="0.25">
      <c r="A88" s="18">
        <v>101</v>
      </c>
      <c r="B88" s="18">
        <v>1.0800000000000001E-2</v>
      </c>
    </row>
    <row r="89" spans="1:2" x14ac:dyDescent="0.25">
      <c r="A89" s="18">
        <v>102</v>
      </c>
      <c r="B89" s="18">
        <v>1.12E-2</v>
      </c>
    </row>
    <row r="90" spans="1:2" x14ac:dyDescent="0.25">
      <c r="A90" s="18">
        <v>102</v>
      </c>
      <c r="B90" s="18">
        <v>1.1900000000000001E-2</v>
      </c>
    </row>
    <row r="91" spans="1:2" x14ac:dyDescent="0.25">
      <c r="A91" s="18">
        <v>103</v>
      </c>
      <c r="B91" s="18">
        <v>1.26E-2</v>
      </c>
    </row>
    <row r="92" spans="1:2" x14ac:dyDescent="0.25">
      <c r="A92" s="18">
        <v>103</v>
      </c>
      <c r="B92" s="18">
        <v>1.32E-2</v>
      </c>
    </row>
    <row r="93" spans="1:2" x14ac:dyDescent="0.25">
      <c r="A93" s="18">
        <v>104</v>
      </c>
      <c r="B93" s="18">
        <v>1.35E-2</v>
      </c>
    </row>
    <row r="94" spans="1:2" x14ac:dyDescent="0.25">
      <c r="A94" s="18">
        <v>104</v>
      </c>
      <c r="B94" s="18">
        <v>1.43E-2</v>
      </c>
    </row>
    <row r="95" spans="1:2" x14ac:dyDescent="0.25">
      <c r="A95" s="18">
        <v>105</v>
      </c>
      <c r="B95" s="18">
        <v>1.47E-2</v>
      </c>
    </row>
    <row r="96" spans="1:2" x14ac:dyDescent="0.25">
      <c r="A96" s="18">
        <v>105</v>
      </c>
      <c r="B96" s="18">
        <v>1.54E-2</v>
      </c>
    </row>
    <row r="97" spans="1:2" x14ac:dyDescent="0.25">
      <c r="A97" s="18">
        <v>106</v>
      </c>
      <c r="B97" s="18">
        <v>1.5800000000000002E-2</v>
      </c>
    </row>
    <row r="98" spans="1:2" x14ac:dyDescent="0.25">
      <c r="A98" s="18">
        <v>106</v>
      </c>
      <c r="B98" s="18">
        <v>1.66E-2</v>
      </c>
    </row>
    <row r="99" spans="1:2" x14ac:dyDescent="0.25">
      <c r="A99" s="18">
        <v>107</v>
      </c>
      <c r="B99" s="18">
        <v>1.7100000000000001E-2</v>
      </c>
    </row>
    <row r="100" spans="1:2" x14ac:dyDescent="0.25">
      <c r="A100" s="18">
        <v>107</v>
      </c>
      <c r="B100" s="18">
        <v>1.77E-2</v>
      </c>
    </row>
    <row r="101" spans="1:2" x14ac:dyDescent="0.25">
      <c r="A101" s="18">
        <v>108</v>
      </c>
      <c r="B101" s="18">
        <v>1.8200000000000001E-2</v>
      </c>
    </row>
    <row r="102" spans="1:2" x14ac:dyDescent="0.25">
      <c r="A102" s="18">
        <v>108</v>
      </c>
      <c r="B102" s="18">
        <v>1.8599999999999998E-2</v>
      </c>
    </row>
    <row r="103" spans="1:2" x14ac:dyDescent="0.25">
      <c r="A103" s="18">
        <v>109</v>
      </c>
      <c r="B103" s="18">
        <v>1.95E-2</v>
      </c>
    </row>
    <row r="104" spans="1:2" x14ac:dyDescent="0.25">
      <c r="A104" s="18">
        <v>109</v>
      </c>
      <c r="B104" s="18">
        <v>1.9699999999999999E-2</v>
      </c>
    </row>
    <row r="105" spans="1:2" x14ac:dyDescent="0.25">
      <c r="A105" s="18">
        <v>110</v>
      </c>
      <c r="B105" s="18">
        <v>2.0299999999999999E-2</v>
      </c>
    </row>
    <row r="106" spans="1:2" x14ac:dyDescent="0.25">
      <c r="A106" s="18">
        <v>110</v>
      </c>
      <c r="B106" s="18">
        <v>2.07E-2</v>
      </c>
    </row>
    <row r="107" spans="1:2" x14ac:dyDescent="0.25">
      <c r="A107" s="18">
        <v>111</v>
      </c>
      <c r="B107" s="18">
        <v>2.1100000000000001E-2</v>
      </c>
    </row>
    <row r="108" spans="1:2" x14ac:dyDescent="0.25">
      <c r="A108" s="18">
        <v>111</v>
      </c>
      <c r="B108" s="18">
        <v>2.1600000000000001E-2</v>
      </c>
    </row>
    <row r="109" spans="1:2" x14ac:dyDescent="0.25">
      <c r="A109" s="18">
        <v>112</v>
      </c>
      <c r="B109" s="18">
        <v>2.2100000000000002E-2</v>
      </c>
    </row>
    <row r="110" spans="1:2" x14ac:dyDescent="0.25">
      <c r="A110" s="18">
        <v>112</v>
      </c>
      <c r="B110" s="18">
        <v>2.2200000000000001E-2</v>
      </c>
    </row>
    <row r="111" spans="1:2" x14ac:dyDescent="0.25">
      <c r="A111" s="18">
        <v>113</v>
      </c>
      <c r="B111" s="18">
        <v>2.2499999999999999E-2</v>
      </c>
    </row>
    <row r="112" spans="1:2" x14ac:dyDescent="0.25">
      <c r="A112" s="18">
        <v>113</v>
      </c>
      <c r="B112" s="18">
        <v>2.29E-2</v>
      </c>
    </row>
    <row r="113" spans="1:2" x14ac:dyDescent="0.25">
      <c r="A113" s="18">
        <v>114</v>
      </c>
      <c r="B113" s="18">
        <v>2.3E-2</v>
      </c>
    </row>
    <row r="114" spans="1:2" x14ac:dyDescent="0.25">
      <c r="A114" s="18">
        <v>114</v>
      </c>
      <c r="B114" s="18">
        <v>2.3199999999999998E-2</v>
      </c>
    </row>
    <row r="115" spans="1:2" x14ac:dyDescent="0.25">
      <c r="A115" s="18">
        <v>115</v>
      </c>
      <c r="B115" s="18">
        <v>2.3300000000000001E-2</v>
      </c>
    </row>
    <row r="116" spans="1:2" x14ac:dyDescent="0.25">
      <c r="A116" s="18">
        <v>115</v>
      </c>
      <c r="B116" s="18">
        <v>2.3300000000000001E-2</v>
      </c>
    </row>
    <row r="117" spans="1:2" x14ac:dyDescent="0.25">
      <c r="A117" s="18">
        <v>116</v>
      </c>
      <c r="B117" s="18">
        <v>2.3400000000000001E-2</v>
      </c>
    </row>
    <row r="118" spans="1:2" x14ac:dyDescent="0.25">
      <c r="A118" s="18">
        <v>116</v>
      </c>
      <c r="B118" s="18">
        <v>2.3E-2</v>
      </c>
    </row>
    <row r="119" spans="1:2" x14ac:dyDescent="0.25">
      <c r="A119" s="18">
        <v>117</v>
      </c>
      <c r="B119" s="18">
        <v>2.29E-2</v>
      </c>
    </row>
    <row r="120" spans="1:2" x14ac:dyDescent="0.25">
      <c r="A120" s="18">
        <v>117</v>
      </c>
      <c r="B120" s="18">
        <v>2.2499999999999999E-2</v>
      </c>
    </row>
    <row r="121" spans="1:2" x14ac:dyDescent="0.25">
      <c r="A121" s="18">
        <v>118</v>
      </c>
      <c r="B121" s="18">
        <v>2.24E-2</v>
      </c>
    </row>
    <row r="122" spans="1:2" x14ac:dyDescent="0.25">
      <c r="A122" s="18">
        <v>118</v>
      </c>
      <c r="B122" s="18">
        <v>2.18E-2</v>
      </c>
    </row>
    <row r="123" spans="1:2" x14ac:dyDescent="0.25">
      <c r="A123" s="18">
        <v>119</v>
      </c>
      <c r="B123" s="18">
        <v>2.1299999999999999E-2</v>
      </c>
    </row>
    <row r="124" spans="1:2" x14ac:dyDescent="0.25">
      <c r="A124" s="18">
        <v>119</v>
      </c>
      <c r="B124" s="18">
        <v>2.06E-2</v>
      </c>
    </row>
    <row r="125" spans="1:2" x14ac:dyDescent="0.25">
      <c r="A125" s="18">
        <v>120</v>
      </c>
      <c r="B125" s="18">
        <v>1.9900000000000001E-2</v>
      </c>
    </row>
    <row r="126" spans="1:2" x14ac:dyDescent="0.25">
      <c r="A126" s="18">
        <v>120</v>
      </c>
      <c r="B126" s="18">
        <v>1.9E-2</v>
      </c>
    </row>
    <row r="127" spans="1:2" x14ac:dyDescent="0.25">
      <c r="A127" s="18">
        <v>121</v>
      </c>
      <c r="B127" s="18">
        <v>1.7999999999999999E-2</v>
      </c>
    </row>
    <row r="128" spans="1:2" x14ac:dyDescent="0.25">
      <c r="A128" s="18">
        <v>121</v>
      </c>
      <c r="B128" s="18">
        <v>1.6899999999999998E-2</v>
      </c>
    </row>
    <row r="129" spans="1:2" x14ac:dyDescent="0.25">
      <c r="A129" s="18">
        <v>122</v>
      </c>
      <c r="B129" s="18">
        <v>1.55E-2</v>
      </c>
    </row>
    <row r="130" spans="1:2" x14ac:dyDescent="0.25">
      <c r="A130" s="18">
        <v>122</v>
      </c>
      <c r="B130" s="18">
        <v>1.4200000000000001E-2</v>
      </c>
    </row>
    <row r="131" spans="1:2" x14ac:dyDescent="0.25">
      <c r="A131" s="18">
        <v>123</v>
      </c>
      <c r="B131" s="18">
        <v>1.24E-2</v>
      </c>
    </row>
    <row r="132" spans="1:2" x14ac:dyDescent="0.25">
      <c r="A132" s="18">
        <v>123</v>
      </c>
      <c r="B132" s="18">
        <v>1.0800000000000001E-2</v>
      </c>
    </row>
    <row r="133" spans="1:2" x14ac:dyDescent="0.25">
      <c r="A133" s="18">
        <v>124</v>
      </c>
      <c r="B133" s="18">
        <v>8.8800000000000007E-3</v>
      </c>
    </row>
    <row r="134" spans="1:2" x14ac:dyDescent="0.25">
      <c r="A134" s="18">
        <v>124</v>
      </c>
      <c r="B134" s="18">
        <v>6.5599999999999999E-3</v>
      </c>
    </row>
    <row r="135" spans="1:2" x14ac:dyDescent="0.25">
      <c r="A135" s="18">
        <v>125</v>
      </c>
      <c r="B135" s="18">
        <v>4.0899999999999999E-3</v>
      </c>
    </row>
    <row r="136" spans="1:2" x14ac:dyDescent="0.25">
      <c r="A136" s="18">
        <v>125</v>
      </c>
      <c r="B136" s="18">
        <v>1.15E-3</v>
      </c>
    </row>
    <row r="137" spans="1:2" x14ac:dyDescent="0.25">
      <c r="A137" s="18">
        <v>126</v>
      </c>
      <c r="B137" s="18">
        <v>4.07E-6</v>
      </c>
    </row>
    <row r="138" spans="1:2" x14ac:dyDescent="0.25">
      <c r="A138" s="18">
        <v>126</v>
      </c>
      <c r="B138" s="18">
        <v>3.5700000000000001E-6</v>
      </c>
    </row>
    <row r="139" spans="1:2" x14ac:dyDescent="0.25">
      <c r="A139" s="18">
        <v>127</v>
      </c>
      <c r="B139" s="18">
        <v>2.6299999999999998E-6</v>
      </c>
    </row>
    <row r="140" spans="1:2" x14ac:dyDescent="0.25">
      <c r="A140" s="18">
        <v>127</v>
      </c>
      <c r="B140" s="18">
        <v>2.4899999999999999E-6</v>
      </c>
    </row>
  </sheetData>
  <pageMargins left="0.7" right="0.7" top="0.75" bottom="0.75" header="0.3" footer="0.3"/>
  <pageSetup paperSize="9" orientation="portrait" r:id="rId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200-000000000000}">
  <dimension ref="A1:B128"/>
  <sheetViews>
    <sheetView workbookViewId="0">
      <selection sqref="A1:B1"/>
    </sheetView>
  </sheetViews>
  <sheetFormatPr defaultRowHeight="15" x14ac:dyDescent="0.25"/>
  <cols>
    <col min="1" max="1" width="14.28515625" customWidth="1"/>
    <col min="2" max="2" width="16.5703125" customWidth="1"/>
  </cols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46</v>
      </c>
      <c r="B2" s="18">
        <v>9.6399999999999999E-5</v>
      </c>
    </row>
    <row r="3" spans="1:2" x14ac:dyDescent="0.25">
      <c r="A3" s="18">
        <v>47</v>
      </c>
      <c r="B3" s="18">
        <v>9.5000000000000005E-5</v>
      </c>
    </row>
    <row r="4" spans="1:2" x14ac:dyDescent="0.25">
      <c r="A4" s="18">
        <v>48</v>
      </c>
      <c r="B4" s="18">
        <v>8.8300000000000005E-5</v>
      </c>
    </row>
    <row r="5" spans="1:2" x14ac:dyDescent="0.25">
      <c r="A5" s="18">
        <v>49</v>
      </c>
      <c r="B5" s="18">
        <v>8.1199999999999995E-5</v>
      </c>
    </row>
    <row r="6" spans="1:2" x14ac:dyDescent="0.25">
      <c r="A6" s="18">
        <v>50</v>
      </c>
      <c r="B6" s="18">
        <v>9.59E-5</v>
      </c>
    </row>
    <row r="7" spans="1:2" x14ac:dyDescent="0.25">
      <c r="A7" s="18">
        <v>51</v>
      </c>
      <c r="B7" s="18">
        <v>1.0399999999999999E-4</v>
      </c>
    </row>
    <row r="8" spans="1:2" x14ac:dyDescent="0.25">
      <c r="A8" s="18">
        <v>52</v>
      </c>
      <c r="B8" s="18">
        <v>1.2300000000000001E-4</v>
      </c>
    </row>
    <row r="9" spans="1:2" x14ac:dyDescent="0.25">
      <c r="A9" s="18">
        <v>53</v>
      </c>
      <c r="B9" s="18">
        <v>9.6100000000000005E-5</v>
      </c>
    </row>
    <row r="10" spans="1:2" x14ac:dyDescent="0.25">
      <c r="A10" s="18">
        <v>54</v>
      </c>
      <c r="B10" s="18">
        <v>8.6399999999999999E-5</v>
      </c>
    </row>
    <row r="11" spans="1:2" x14ac:dyDescent="0.25">
      <c r="A11" s="18">
        <v>55</v>
      </c>
      <c r="B11" s="18">
        <v>1.13E-4</v>
      </c>
    </row>
    <row r="12" spans="1:2" x14ac:dyDescent="0.25">
      <c r="A12" s="18">
        <v>56</v>
      </c>
      <c r="B12" s="18">
        <v>6.4999999999999994E-5</v>
      </c>
    </row>
    <row r="13" spans="1:2" x14ac:dyDescent="0.25">
      <c r="A13" s="18">
        <v>57</v>
      </c>
      <c r="B13" s="18">
        <v>1.15E-4</v>
      </c>
    </row>
    <row r="14" spans="1:2" x14ac:dyDescent="0.25">
      <c r="A14" s="18">
        <v>58</v>
      </c>
      <c r="B14" s="18">
        <v>8.3999999999999995E-5</v>
      </c>
    </row>
    <row r="15" spans="1:2" x14ac:dyDescent="0.25">
      <c r="A15" s="18">
        <v>59</v>
      </c>
      <c r="B15" s="18">
        <v>8.7700000000000004E-5</v>
      </c>
    </row>
    <row r="16" spans="1:2" x14ac:dyDescent="0.25">
      <c r="A16" s="18">
        <v>60</v>
      </c>
      <c r="B16" s="18">
        <v>9.4300000000000002E-5</v>
      </c>
    </row>
    <row r="17" spans="1:2" x14ac:dyDescent="0.25">
      <c r="A17" s="18">
        <v>61</v>
      </c>
      <c r="B17" s="18">
        <v>8.3999999999999995E-5</v>
      </c>
    </row>
    <row r="18" spans="1:2" x14ac:dyDescent="0.25">
      <c r="A18" s="18">
        <v>62</v>
      </c>
      <c r="B18" s="18">
        <v>6.8899999999999994E-5</v>
      </c>
    </row>
    <row r="19" spans="1:2" x14ac:dyDescent="0.25">
      <c r="A19" s="18">
        <v>63</v>
      </c>
      <c r="B19" s="18">
        <v>7.3200000000000004E-5</v>
      </c>
    </row>
    <row r="20" spans="1:2" x14ac:dyDescent="0.25">
      <c r="A20" s="18">
        <v>64</v>
      </c>
      <c r="B20" s="18">
        <v>8.9300000000000002E-5</v>
      </c>
    </row>
    <row r="21" spans="1:2" x14ac:dyDescent="0.25">
      <c r="A21" s="18">
        <v>65</v>
      </c>
      <c r="B21" s="18">
        <v>5.7899999999999998E-5</v>
      </c>
    </row>
    <row r="22" spans="1:2" x14ac:dyDescent="0.25">
      <c r="A22" s="18">
        <v>66</v>
      </c>
      <c r="B22" s="18">
        <v>5.4799999999999997E-5</v>
      </c>
    </row>
    <row r="23" spans="1:2" x14ac:dyDescent="0.25">
      <c r="A23" s="18">
        <v>67</v>
      </c>
      <c r="B23" s="18">
        <v>5.5699999999999999E-5</v>
      </c>
    </row>
    <row r="24" spans="1:2" x14ac:dyDescent="0.25">
      <c r="A24" s="18">
        <v>68</v>
      </c>
      <c r="B24" s="18">
        <v>3.9700000000000003E-5</v>
      </c>
    </row>
    <row r="25" spans="1:2" x14ac:dyDescent="0.25">
      <c r="A25" s="18">
        <v>69</v>
      </c>
      <c r="B25" s="18">
        <v>4.9299999999999999E-5</v>
      </c>
    </row>
    <row r="26" spans="1:2" x14ac:dyDescent="0.25">
      <c r="A26" s="18">
        <v>70</v>
      </c>
      <c r="B26" s="18">
        <v>4.0299999999999997E-5</v>
      </c>
    </row>
    <row r="27" spans="1:2" x14ac:dyDescent="0.25">
      <c r="A27" s="18">
        <v>71</v>
      </c>
      <c r="B27" s="18">
        <v>5.4299999999999998E-5</v>
      </c>
    </row>
    <row r="28" spans="1:2" x14ac:dyDescent="0.25">
      <c r="A28" s="18">
        <v>72</v>
      </c>
      <c r="B28" s="18">
        <v>4.5300000000000003E-5</v>
      </c>
    </row>
    <row r="29" spans="1:2" x14ac:dyDescent="0.25">
      <c r="A29" s="18">
        <v>73</v>
      </c>
      <c r="B29" s="18">
        <v>6.69E-5</v>
      </c>
    </row>
    <row r="30" spans="1:2" x14ac:dyDescent="0.25">
      <c r="A30" s="18">
        <v>74</v>
      </c>
      <c r="B30" s="18">
        <v>6.6000000000000005E-5</v>
      </c>
    </row>
    <row r="31" spans="1:2" x14ac:dyDescent="0.25">
      <c r="A31" s="18">
        <v>75</v>
      </c>
      <c r="B31" s="18">
        <v>9.87E-5</v>
      </c>
    </row>
    <row r="32" spans="1:2" x14ac:dyDescent="0.25">
      <c r="A32" s="18">
        <v>76</v>
      </c>
      <c r="B32" s="18">
        <v>7.0300000000000001E-5</v>
      </c>
    </row>
    <row r="33" spans="1:2" x14ac:dyDescent="0.25">
      <c r="A33" s="18">
        <v>77</v>
      </c>
      <c r="B33" s="18">
        <v>8.4400000000000005E-5</v>
      </c>
    </row>
    <row r="34" spans="1:2" x14ac:dyDescent="0.25">
      <c r="A34" s="18">
        <v>78</v>
      </c>
      <c r="B34" s="18">
        <v>1.27E-4</v>
      </c>
    </row>
    <row r="35" spans="1:2" x14ac:dyDescent="0.25">
      <c r="A35" s="18">
        <v>79</v>
      </c>
      <c r="B35" s="18">
        <v>1.5100000000000001E-4</v>
      </c>
    </row>
    <row r="36" spans="1:2" x14ac:dyDescent="0.25">
      <c r="A36" s="18">
        <v>80</v>
      </c>
      <c r="B36" s="18">
        <v>2.1599999999999999E-4</v>
      </c>
    </row>
    <row r="37" spans="1:2" x14ac:dyDescent="0.25">
      <c r="A37" s="18">
        <v>81</v>
      </c>
      <c r="B37" s="18">
        <v>2.8699999999999998E-4</v>
      </c>
    </row>
    <row r="38" spans="1:2" x14ac:dyDescent="0.25">
      <c r="A38" s="18">
        <v>82</v>
      </c>
      <c r="B38" s="18">
        <v>3.8000000000000002E-4</v>
      </c>
    </row>
    <row r="39" spans="1:2" x14ac:dyDescent="0.25">
      <c r="A39" s="18">
        <v>83</v>
      </c>
      <c r="B39" s="18">
        <v>5.4500000000000002E-4</v>
      </c>
    </row>
    <row r="40" spans="1:2" x14ac:dyDescent="0.25">
      <c r="A40" s="18">
        <v>84</v>
      </c>
      <c r="B40" s="18">
        <v>7.2400000000000003E-4</v>
      </c>
    </row>
    <row r="41" spans="1:2" x14ac:dyDescent="0.25">
      <c r="A41" s="18">
        <v>85</v>
      </c>
      <c r="B41" s="18">
        <v>1E-3</v>
      </c>
    </row>
    <row r="42" spans="1:2" x14ac:dyDescent="0.25">
      <c r="A42" s="18">
        <v>86</v>
      </c>
      <c r="B42" s="18">
        <v>1.2600000000000001E-3</v>
      </c>
    </row>
    <row r="43" spans="1:2" x14ac:dyDescent="0.25">
      <c r="A43" s="18">
        <v>87</v>
      </c>
      <c r="B43" s="18">
        <v>1.5299999999999999E-3</v>
      </c>
    </row>
    <row r="44" spans="1:2" x14ac:dyDescent="0.25">
      <c r="A44" s="18">
        <v>88</v>
      </c>
      <c r="B44" s="18">
        <v>6.5399999999999996E-4</v>
      </c>
    </row>
    <row r="45" spans="1:2" x14ac:dyDescent="0.25">
      <c r="A45" s="18">
        <v>89</v>
      </c>
      <c r="B45" s="18">
        <v>3.6399999999999997E-5</v>
      </c>
    </row>
    <row r="46" spans="1:2" x14ac:dyDescent="0.25">
      <c r="A46" s="18">
        <v>90</v>
      </c>
      <c r="B46" s="18">
        <v>4.9299999999999999E-5</v>
      </c>
    </row>
    <row r="47" spans="1:2" x14ac:dyDescent="0.25">
      <c r="A47" s="18">
        <v>91</v>
      </c>
      <c r="B47" s="18">
        <v>5.2800000000000003E-5</v>
      </c>
    </row>
    <row r="48" spans="1:2" x14ac:dyDescent="0.25">
      <c r="A48" s="18">
        <v>92</v>
      </c>
      <c r="B48" s="18">
        <v>6.8700000000000003E-5</v>
      </c>
    </row>
    <row r="49" spans="1:2" x14ac:dyDescent="0.25">
      <c r="A49" s="18">
        <v>93</v>
      </c>
      <c r="B49" s="18">
        <v>9.59E-5</v>
      </c>
    </row>
    <row r="50" spans="1:2" x14ac:dyDescent="0.25">
      <c r="A50" s="18">
        <v>94</v>
      </c>
      <c r="B50" s="18">
        <v>1.11E-4</v>
      </c>
    </row>
    <row r="51" spans="1:2" x14ac:dyDescent="0.25">
      <c r="A51" s="18">
        <v>95</v>
      </c>
      <c r="B51" s="18">
        <v>1.0900000000000001E-4</v>
      </c>
    </row>
    <row r="52" spans="1:2" x14ac:dyDescent="0.25">
      <c r="A52" s="18">
        <v>96</v>
      </c>
      <c r="B52" s="18">
        <v>1.25E-4</v>
      </c>
    </row>
    <row r="53" spans="1:2" x14ac:dyDescent="0.25">
      <c r="A53" s="18">
        <v>97</v>
      </c>
      <c r="B53" s="18">
        <v>1.3100000000000001E-4</v>
      </c>
    </row>
    <row r="54" spans="1:2" x14ac:dyDescent="0.25">
      <c r="A54" s="18">
        <v>98</v>
      </c>
      <c r="B54" s="18">
        <v>1.35E-4</v>
      </c>
    </row>
    <row r="55" spans="1:2" x14ac:dyDescent="0.25">
      <c r="A55" s="18">
        <v>99</v>
      </c>
      <c r="B55" s="18">
        <v>1.22E-4</v>
      </c>
    </row>
    <row r="56" spans="1:2" x14ac:dyDescent="0.25">
      <c r="A56" s="18">
        <v>100</v>
      </c>
      <c r="B56" s="18">
        <v>1.05E-4</v>
      </c>
    </row>
    <row r="57" spans="1:2" x14ac:dyDescent="0.25">
      <c r="A57" s="18">
        <v>101</v>
      </c>
      <c r="B57" s="18">
        <v>9.3700000000000001E-5</v>
      </c>
    </row>
    <row r="58" spans="1:2" x14ac:dyDescent="0.25">
      <c r="A58" s="18">
        <v>102</v>
      </c>
      <c r="B58" s="18">
        <v>3.7499999999999997E-5</v>
      </c>
    </row>
    <row r="59" spans="1:2" x14ac:dyDescent="0.25">
      <c r="A59" s="18">
        <v>103</v>
      </c>
      <c r="B59" s="18">
        <v>1.1E-5</v>
      </c>
    </row>
    <row r="60" spans="1:2" x14ac:dyDescent="0.25">
      <c r="A60" s="18">
        <v>104</v>
      </c>
      <c r="B60" s="18">
        <v>3.3099999999999998E-5</v>
      </c>
    </row>
    <row r="61" spans="1:2" x14ac:dyDescent="0.25">
      <c r="A61" s="18">
        <v>105</v>
      </c>
      <c r="B61" s="18">
        <v>7.1199999999999996E-5</v>
      </c>
    </row>
    <row r="62" spans="1:2" x14ac:dyDescent="0.25">
      <c r="A62" s="18">
        <v>106</v>
      </c>
      <c r="B62" s="18">
        <v>1.16E-4</v>
      </c>
    </row>
    <row r="63" spans="1:2" x14ac:dyDescent="0.25">
      <c r="A63" s="18">
        <v>107</v>
      </c>
      <c r="B63" s="18">
        <v>1.47E-4</v>
      </c>
    </row>
    <row r="64" spans="1:2" x14ac:dyDescent="0.25">
      <c r="A64" s="18">
        <v>108</v>
      </c>
      <c r="B64" s="18">
        <v>1.8799999999999999E-4</v>
      </c>
    </row>
    <row r="65" spans="1:2" x14ac:dyDescent="0.25">
      <c r="A65" s="18">
        <v>109</v>
      </c>
      <c r="B65" s="18">
        <v>2.4699999999999999E-4</v>
      </c>
    </row>
    <row r="66" spans="1:2" x14ac:dyDescent="0.25">
      <c r="A66" s="18">
        <v>110</v>
      </c>
      <c r="B66" s="18">
        <v>3.0899999999999998E-4</v>
      </c>
    </row>
    <row r="67" spans="1:2" x14ac:dyDescent="0.25">
      <c r="A67" s="18">
        <v>111</v>
      </c>
      <c r="B67" s="18">
        <v>3.8900000000000002E-4</v>
      </c>
    </row>
    <row r="68" spans="1:2" x14ac:dyDescent="0.25">
      <c r="A68" s="18">
        <v>112</v>
      </c>
      <c r="B68" s="18">
        <v>5.0600000000000005E-4</v>
      </c>
    </row>
    <row r="69" spans="1:2" x14ac:dyDescent="0.25">
      <c r="A69" s="18">
        <v>113</v>
      </c>
      <c r="B69" s="18">
        <v>6.1300000000000005E-4</v>
      </c>
    </row>
    <row r="70" spans="1:2" x14ac:dyDescent="0.25">
      <c r="A70" s="18">
        <v>114</v>
      </c>
      <c r="B70" s="18">
        <v>7.0100000000000002E-4</v>
      </c>
    </row>
    <row r="71" spans="1:2" x14ac:dyDescent="0.25">
      <c r="A71" s="18">
        <v>115</v>
      </c>
      <c r="B71" s="18">
        <v>8.3100000000000003E-4</v>
      </c>
    </row>
    <row r="72" spans="1:2" x14ac:dyDescent="0.25">
      <c r="A72" s="18">
        <v>116</v>
      </c>
      <c r="B72" s="18">
        <v>1E-3</v>
      </c>
    </row>
    <row r="73" spans="1:2" x14ac:dyDescent="0.25">
      <c r="A73" s="18">
        <v>117</v>
      </c>
      <c r="B73" s="18">
        <v>1.1999999999999999E-3</v>
      </c>
    </row>
    <row r="74" spans="1:2" x14ac:dyDescent="0.25">
      <c r="A74" s="18">
        <v>118</v>
      </c>
      <c r="B74" s="18">
        <v>1.3799999999999999E-3</v>
      </c>
    </row>
    <row r="75" spans="1:2" x14ac:dyDescent="0.25">
      <c r="A75" s="18">
        <v>119</v>
      </c>
      <c r="B75" s="18">
        <v>1.6100000000000001E-3</v>
      </c>
    </row>
    <row r="76" spans="1:2" x14ac:dyDescent="0.25">
      <c r="A76" s="18">
        <v>120</v>
      </c>
      <c r="B76" s="18">
        <v>1.8799999999999999E-3</v>
      </c>
    </row>
    <row r="77" spans="1:2" x14ac:dyDescent="0.25">
      <c r="A77" s="18">
        <v>121</v>
      </c>
      <c r="B77" s="18">
        <v>2.2300000000000002E-3</v>
      </c>
    </row>
    <row r="78" spans="1:2" x14ac:dyDescent="0.25">
      <c r="A78" s="18">
        <v>122</v>
      </c>
      <c r="B78" s="18">
        <v>2.5400000000000002E-3</v>
      </c>
    </row>
    <row r="79" spans="1:2" x14ac:dyDescent="0.25">
      <c r="A79" s="18">
        <v>123</v>
      </c>
      <c r="B79" s="18">
        <v>3.0000000000000001E-3</v>
      </c>
    </row>
    <row r="80" spans="1:2" x14ac:dyDescent="0.25">
      <c r="A80" s="18">
        <v>124</v>
      </c>
      <c r="B80" s="18">
        <v>3.3800000000000002E-3</v>
      </c>
    </row>
    <row r="81" spans="1:2" x14ac:dyDescent="0.25">
      <c r="A81" s="18">
        <v>125</v>
      </c>
      <c r="B81" s="18">
        <v>3.96E-3</v>
      </c>
    </row>
    <row r="82" spans="1:2" x14ac:dyDescent="0.25">
      <c r="A82" s="18">
        <v>126</v>
      </c>
      <c r="B82" s="18">
        <v>4.4099999999999999E-3</v>
      </c>
    </row>
    <row r="83" spans="1:2" x14ac:dyDescent="0.25">
      <c r="A83" s="18">
        <v>127</v>
      </c>
      <c r="B83" s="18">
        <v>4.9800000000000001E-3</v>
      </c>
    </row>
    <row r="84" spans="1:2" x14ac:dyDescent="0.25">
      <c r="A84" s="18">
        <v>128</v>
      </c>
      <c r="B84" s="18">
        <v>5.6499999999999996E-3</v>
      </c>
    </row>
    <row r="85" spans="1:2" x14ac:dyDescent="0.25">
      <c r="A85" s="18">
        <v>129</v>
      </c>
      <c r="B85" s="18">
        <v>6.2399999999999999E-3</v>
      </c>
    </row>
    <row r="86" spans="1:2" x14ac:dyDescent="0.25">
      <c r="A86" s="18">
        <v>130</v>
      </c>
      <c r="B86" s="18">
        <v>7.0499999999999998E-3</v>
      </c>
    </row>
    <row r="87" spans="1:2" x14ac:dyDescent="0.25">
      <c r="A87" s="18">
        <v>131</v>
      </c>
      <c r="B87" s="18">
        <v>7.7799999999999996E-3</v>
      </c>
    </row>
    <row r="88" spans="1:2" x14ac:dyDescent="0.25">
      <c r="A88" s="18">
        <v>132</v>
      </c>
      <c r="B88" s="18">
        <v>8.6499999999999997E-3</v>
      </c>
    </row>
    <row r="89" spans="1:2" x14ac:dyDescent="0.25">
      <c r="A89" s="18">
        <v>133</v>
      </c>
      <c r="B89" s="18">
        <v>9.6299999999999997E-3</v>
      </c>
    </row>
    <row r="90" spans="1:2" x14ac:dyDescent="0.25">
      <c r="A90" s="18">
        <v>134</v>
      </c>
      <c r="B90" s="18">
        <v>1.06E-2</v>
      </c>
    </row>
    <row r="91" spans="1:2" x14ac:dyDescent="0.25">
      <c r="A91" s="18">
        <v>135</v>
      </c>
      <c r="B91" s="18">
        <v>1.1599999999999999E-2</v>
      </c>
    </row>
    <row r="92" spans="1:2" x14ac:dyDescent="0.25">
      <c r="A92" s="18">
        <v>136</v>
      </c>
      <c r="B92" s="18">
        <v>1.2800000000000001E-2</v>
      </c>
    </row>
    <row r="93" spans="1:2" x14ac:dyDescent="0.25">
      <c r="A93" s="18">
        <v>137</v>
      </c>
      <c r="B93" s="18">
        <v>1.41E-2</v>
      </c>
    </row>
    <row r="94" spans="1:2" x14ac:dyDescent="0.25">
      <c r="A94" s="18">
        <v>138</v>
      </c>
      <c r="B94" s="18">
        <v>1.5100000000000001E-2</v>
      </c>
    </row>
    <row r="95" spans="1:2" x14ac:dyDescent="0.25">
      <c r="A95" s="18">
        <v>139</v>
      </c>
      <c r="B95" s="18">
        <v>1.6500000000000001E-2</v>
      </c>
    </row>
    <row r="96" spans="1:2" x14ac:dyDescent="0.25">
      <c r="A96" s="18">
        <v>140</v>
      </c>
      <c r="B96" s="18">
        <v>1.78E-2</v>
      </c>
    </row>
    <row r="97" spans="1:2" x14ac:dyDescent="0.25">
      <c r="A97" s="18">
        <v>141</v>
      </c>
      <c r="B97" s="18">
        <v>1.9199999999999998E-2</v>
      </c>
    </row>
    <row r="98" spans="1:2" x14ac:dyDescent="0.25">
      <c r="A98" s="18">
        <v>142</v>
      </c>
      <c r="B98" s="18">
        <v>2.0400000000000001E-2</v>
      </c>
    </row>
    <row r="99" spans="1:2" x14ac:dyDescent="0.25">
      <c r="A99" s="18">
        <v>143</v>
      </c>
      <c r="B99" s="18">
        <v>2.1899999999999999E-2</v>
      </c>
    </row>
    <row r="100" spans="1:2" x14ac:dyDescent="0.25">
      <c r="A100" s="18">
        <v>144</v>
      </c>
      <c r="B100" s="18">
        <v>2.3300000000000001E-2</v>
      </c>
    </row>
    <row r="101" spans="1:2" x14ac:dyDescent="0.25">
      <c r="A101" s="18">
        <v>145</v>
      </c>
      <c r="B101" s="18">
        <v>2.47E-2</v>
      </c>
    </row>
    <row r="102" spans="1:2" x14ac:dyDescent="0.25">
      <c r="A102" s="18">
        <v>146</v>
      </c>
      <c r="B102" s="18">
        <v>2.63E-2</v>
      </c>
    </row>
    <row r="103" spans="1:2" x14ac:dyDescent="0.25">
      <c r="A103" s="18">
        <v>147</v>
      </c>
      <c r="B103" s="18">
        <v>2.7300000000000001E-2</v>
      </c>
    </row>
    <row r="104" spans="1:2" x14ac:dyDescent="0.25">
      <c r="A104" s="18">
        <v>148</v>
      </c>
      <c r="B104" s="18">
        <v>2.9000000000000001E-2</v>
      </c>
    </row>
    <row r="105" spans="1:2" x14ac:dyDescent="0.25">
      <c r="A105" s="18">
        <v>149</v>
      </c>
      <c r="B105" s="18">
        <v>3.0300000000000001E-2</v>
      </c>
    </row>
    <row r="106" spans="1:2" x14ac:dyDescent="0.25">
      <c r="A106" s="18">
        <v>150</v>
      </c>
      <c r="B106" s="18">
        <v>3.1300000000000001E-2</v>
      </c>
    </row>
    <row r="107" spans="1:2" x14ac:dyDescent="0.25">
      <c r="A107" s="18">
        <v>151</v>
      </c>
      <c r="B107" s="18">
        <v>3.2399999999999998E-2</v>
      </c>
    </row>
    <row r="108" spans="1:2" x14ac:dyDescent="0.25">
      <c r="A108" s="18">
        <v>152</v>
      </c>
      <c r="B108" s="18">
        <v>3.3300000000000003E-2</v>
      </c>
    </row>
    <row r="109" spans="1:2" x14ac:dyDescent="0.25">
      <c r="A109" s="18">
        <v>153</v>
      </c>
      <c r="B109" s="18">
        <v>3.44E-2</v>
      </c>
    </row>
    <row r="110" spans="1:2" x14ac:dyDescent="0.25">
      <c r="A110" s="18">
        <v>154</v>
      </c>
      <c r="B110" s="18">
        <v>3.5099999999999999E-2</v>
      </c>
    </row>
    <row r="111" spans="1:2" x14ac:dyDescent="0.25">
      <c r="A111" s="18">
        <v>155</v>
      </c>
      <c r="B111" s="18">
        <v>3.5499999999999997E-2</v>
      </c>
    </row>
    <row r="112" spans="1:2" x14ac:dyDescent="0.25">
      <c r="A112" s="18">
        <v>156</v>
      </c>
      <c r="B112" s="18">
        <v>3.5999999999999997E-2</v>
      </c>
    </row>
    <row r="113" spans="1:2" x14ac:dyDescent="0.25">
      <c r="A113" s="18">
        <v>157</v>
      </c>
      <c r="B113" s="18">
        <v>3.6200000000000003E-2</v>
      </c>
    </row>
    <row r="114" spans="1:2" x14ac:dyDescent="0.25">
      <c r="A114" s="18">
        <v>158</v>
      </c>
      <c r="B114" s="18">
        <v>3.5999999999999997E-2</v>
      </c>
    </row>
    <row r="115" spans="1:2" x14ac:dyDescent="0.25">
      <c r="A115" s="18">
        <v>159</v>
      </c>
      <c r="B115" s="18">
        <v>3.5299999999999998E-2</v>
      </c>
    </row>
    <row r="116" spans="1:2" x14ac:dyDescent="0.25">
      <c r="A116" s="18">
        <v>160</v>
      </c>
      <c r="B116" s="18">
        <v>3.4799999999999998E-2</v>
      </c>
    </row>
    <row r="117" spans="1:2" x14ac:dyDescent="0.25">
      <c r="A117" s="18">
        <v>161</v>
      </c>
      <c r="B117" s="18">
        <v>3.3599999999999998E-2</v>
      </c>
    </row>
    <row r="118" spans="1:2" x14ac:dyDescent="0.25">
      <c r="A118" s="18">
        <v>162</v>
      </c>
      <c r="B118" s="18">
        <v>3.2000000000000001E-2</v>
      </c>
    </row>
    <row r="119" spans="1:2" x14ac:dyDescent="0.25">
      <c r="A119" s="18">
        <v>163</v>
      </c>
      <c r="B119" s="18">
        <v>0.03</v>
      </c>
    </row>
    <row r="120" spans="1:2" x14ac:dyDescent="0.25">
      <c r="A120" s="18">
        <v>164</v>
      </c>
      <c r="B120" s="18">
        <v>2.7699999999999999E-2</v>
      </c>
    </row>
    <row r="121" spans="1:2" x14ac:dyDescent="0.25">
      <c r="A121" s="18">
        <v>165</v>
      </c>
      <c r="B121" s="18">
        <v>2.47E-2</v>
      </c>
    </row>
    <row r="122" spans="1:2" x14ac:dyDescent="0.25">
      <c r="A122" s="18">
        <v>166</v>
      </c>
      <c r="B122" s="18">
        <v>2.12E-2</v>
      </c>
    </row>
    <row r="123" spans="1:2" x14ac:dyDescent="0.25">
      <c r="A123" s="18">
        <v>167</v>
      </c>
      <c r="B123" s="18">
        <v>1.7100000000000001E-2</v>
      </c>
    </row>
    <row r="124" spans="1:2" x14ac:dyDescent="0.25">
      <c r="A124" s="18">
        <v>168</v>
      </c>
      <c r="B124" s="18">
        <v>1.2500000000000001E-2</v>
      </c>
    </row>
    <row r="125" spans="1:2" x14ac:dyDescent="0.25">
      <c r="A125" s="18">
        <v>169</v>
      </c>
      <c r="B125" s="18">
        <v>7.1199999999999996E-3</v>
      </c>
    </row>
    <row r="126" spans="1:2" x14ac:dyDescent="0.25">
      <c r="A126" s="18">
        <v>170</v>
      </c>
      <c r="B126" s="18">
        <v>1.4E-3</v>
      </c>
    </row>
    <row r="127" spans="1:2" x14ac:dyDescent="0.25">
      <c r="A127" s="18">
        <v>171</v>
      </c>
      <c r="B127" s="18">
        <v>1.77E-5</v>
      </c>
    </row>
    <row r="128" spans="1:2" x14ac:dyDescent="0.25">
      <c r="A128" s="18">
        <v>172</v>
      </c>
      <c r="B128" s="18">
        <v>6.9299999999999997E-6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300-000000000000}">
  <dimension ref="A1:B160"/>
  <sheetViews>
    <sheetView workbookViewId="0">
      <selection sqref="A1:B1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54</v>
      </c>
      <c r="B2" s="18">
        <v>6.3499999999999999E-5</v>
      </c>
    </row>
    <row r="3" spans="1:2" x14ac:dyDescent="0.25">
      <c r="A3" s="18">
        <v>55</v>
      </c>
      <c r="B3" s="18">
        <v>6.1400000000000002E-5</v>
      </c>
    </row>
    <row r="4" spans="1:2" x14ac:dyDescent="0.25">
      <c r="A4" s="18">
        <v>56</v>
      </c>
      <c r="B4" s="18">
        <v>6.6699999999999995E-5</v>
      </c>
    </row>
    <row r="5" spans="1:2" x14ac:dyDescent="0.25">
      <c r="A5" s="18">
        <v>57</v>
      </c>
      <c r="B5" s="18">
        <v>7.86E-5</v>
      </c>
    </row>
    <row r="6" spans="1:2" x14ac:dyDescent="0.25">
      <c r="A6" s="18">
        <v>58</v>
      </c>
      <c r="B6" s="18">
        <v>6.6799999999999997E-5</v>
      </c>
    </row>
    <row r="7" spans="1:2" x14ac:dyDescent="0.25">
      <c r="A7" s="18">
        <v>59</v>
      </c>
      <c r="B7" s="18">
        <v>3.5099999999999999E-5</v>
      </c>
    </row>
    <row r="8" spans="1:2" x14ac:dyDescent="0.25">
      <c r="A8" s="18">
        <v>60</v>
      </c>
      <c r="B8" s="18">
        <v>4.6699999999999997E-5</v>
      </c>
    </row>
    <row r="9" spans="1:2" x14ac:dyDescent="0.25">
      <c r="A9" s="18">
        <v>61</v>
      </c>
      <c r="B9" s="18">
        <v>5.49E-5</v>
      </c>
    </row>
    <row r="10" spans="1:2" x14ac:dyDescent="0.25">
      <c r="A10" s="18">
        <v>62</v>
      </c>
      <c r="B10" s="18">
        <v>5.0500000000000001E-5</v>
      </c>
    </row>
    <row r="11" spans="1:2" x14ac:dyDescent="0.25">
      <c r="A11" s="18">
        <v>63</v>
      </c>
      <c r="B11" s="18">
        <v>6.0399999999999998E-5</v>
      </c>
    </row>
    <row r="12" spans="1:2" x14ac:dyDescent="0.25">
      <c r="A12" s="18">
        <v>64</v>
      </c>
      <c r="B12" s="18">
        <v>3.8999999999999999E-5</v>
      </c>
    </row>
    <row r="13" spans="1:2" x14ac:dyDescent="0.25">
      <c r="A13" s="18">
        <v>65</v>
      </c>
      <c r="B13" s="18">
        <v>4.9299999999999999E-5</v>
      </c>
    </row>
    <row r="14" spans="1:2" x14ac:dyDescent="0.25">
      <c r="A14" s="18">
        <v>66</v>
      </c>
      <c r="B14" s="18">
        <v>6.5599999999999995E-5</v>
      </c>
    </row>
    <row r="15" spans="1:2" x14ac:dyDescent="0.25">
      <c r="A15" s="18">
        <v>67</v>
      </c>
      <c r="B15" s="18">
        <v>4.1900000000000002E-5</v>
      </c>
    </row>
    <row r="16" spans="1:2" x14ac:dyDescent="0.25">
      <c r="A16" s="18">
        <v>68</v>
      </c>
      <c r="B16" s="18">
        <v>5.6799999999999998E-5</v>
      </c>
    </row>
    <row r="17" spans="1:2" x14ac:dyDescent="0.25">
      <c r="A17" s="18">
        <v>69</v>
      </c>
      <c r="B17" s="18">
        <v>7.4400000000000006E-5</v>
      </c>
    </row>
    <row r="18" spans="1:2" x14ac:dyDescent="0.25">
      <c r="A18" s="18">
        <v>70</v>
      </c>
      <c r="B18" s="18">
        <v>5.7000000000000003E-5</v>
      </c>
    </row>
    <row r="19" spans="1:2" x14ac:dyDescent="0.25">
      <c r="A19" s="18">
        <v>71</v>
      </c>
      <c r="B19" s="18">
        <v>5.2099999999999999E-5</v>
      </c>
    </row>
    <row r="20" spans="1:2" x14ac:dyDescent="0.25">
      <c r="A20" s="18">
        <v>72</v>
      </c>
      <c r="B20" s="18">
        <v>6.9200000000000002E-5</v>
      </c>
    </row>
    <row r="21" spans="1:2" x14ac:dyDescent="0.25">
      <c r="A21" s="18">
        <v>73</v>
      </c>
      <c r="B21" s="18">
        <v>6.58E-5</v>
      </c>
    </row>
    <row r="22" spans="1:2" x14ac:dyDescent="0.25">
      <c r="A22" s="18">
        <v>74</v>
      </c>
      <c r="B22" s="18">
        <v>6.3100000000000002E-5</v>
      </c>
    </row>
    <row r="23" spans="1:2" x14ac:dyDescent="0.25">
      <c r="A23" s="18">
        <v>75</v>
      </c>
      <c r="B23" s="18">
        <v>1.25E-4</v>
      </c>
    </row>
    <row r="24" spans="1:2" x14ac:dyDescent="0.25">
      <c r="A24" s="18">
        <v>76</v>
      </c>
      <c r="B24" s="18">
        <v>8.7299999999999994E-5</v>
      </c>
    </row>
    <row r="25" spans="1:2" x14ac:dyDescent="0.25">
      <c r="A25" s="18">
        <v>77</v>
      </c>
      <c r="B25" s="18">
        <v>7.3999999999999996E-5</v>
      </c>
    </row>
    <row r="26" spans="1:2" x14ac:dyDescent="0.25">
      <c r="A26" s="18">
        <v>78</v>
      </c>
      <c r="B26" s="18">
        <v>1E-4</v>
      </c>
    </row>
    <row r="27" spans="1:2" x14ac:dyDescent="0.25">
      <c r="A27" s="18">
        <v>79</v>
      </c>
      <c r="B27" s="18">
        <v>1.02E-4</v>
      </c>
    </row>
    <row r="28" spans="1:2" x14ac:dyDescent="0.25">
      <c r="A28" s="18">
        <v>80</v>
      </c>
      <c r="B28" s="18">
        <v>8.8900000000000006E-5</v>
      </c>
    </row>
    <row r="29" spans="1:2" x14ac:dyDescent="0.25">
      <c r="A29" s="18">
        <v>81</v>
      </c>
      <c r="B29" s="18">
        <v>9.8300000000000004E-5</v>
      </c>
    </row>
    <row r="30" spans="1:2" x14ac:dyDescent="0.25">
      <c r="A30" s="18">
        <v>82</v>
      </c>
      <c r="B30" s="18">
        <v>1.03E-4</v>
      </c>
    </row>
    <row r="31" spans="1:2" x14ac:dyDescent="0.25">
      <c r="A31" s="18">
        <v>83</v>
      </c>
      <c r="B31" s="18">
        <v>1.21E-4</v>
      </c>
    </row>
    <row r="32" spans="1:2" x14ac:dyDescent="0.25">
      <c r="A32" s="18">
        <v>84</v>
      </c>
      <c r="B32" s="18">
        <v>1.56E-4</v>
      </c>
    </row>
    <row r="33" spans="1:2" x14ac:dyDescent="0.25">
      <c r="A33" s="18">
        <v>85</v>
      </c>
      <c r="B33" s="18">
        <v>2.0699999999999999E-4</v>
      </c>
    </row>
    <row r="34" spans="1:2" x14ac:dyDescent="0.25">
      <c r="A34" s="18">
        <v>86</v>
      </c>
      <c r="B34" s="18">
        <v>2.33E-4</v>
      </c>
    </row>
    <row r="35" spans="1:2" x14ac:dyDescent="0.25">
      <c r="A35" s="18">
        <v>87</v>
      </c>
      <c r="B35" s="18">
        <v>2.7599999999999999E-4</v>
      </c>
    </row>
    <row r="36" spans="1:2" x14ac:dyDescent="0.25">
      <c r="A36" s="18">
        <v>88</v>
      </c>
      <c r="B36" s="18">
        <v>1.3300000000000001E-4</v>
      </c>
    </row>
    <row r="37" spans="1:2" x14ac:dyDescent="0.25">
      <c r="A37" s="18">
        <v>89</v>
      </c>
      <c r="B37" s="18">
        <v>5.4299999999999998E-5</v>
      </c>
    </row>
    <row r="38" spans="1:2" x14ac:dyDescent="0.25">
      <c r="A38" s="18">
        <v>90</v>
      </c>
      <c r="B38" s="18">
        <v>5.2800000000000003E-5</v>
      </c>
    </row>
    <row r="39" spans="1:2" x14ac:dyDescent="0.25">
      <c r="A39" s="18">
        <v>91</v>
      </c>
      <c r="B39" s="18">
        <v>4.9200000000000003E-5</v>
      </c>
    </row>
    <row r="40" spans="1:2" x14ac:dyDescent="0.25">
      <c r="A40" s="18">
        <v>92</v>
      </c>
      <c r="B40" s="18">
        <v>4.3099999999999997E-5</v>
      </c>
    </row>
    <row r="41" spans="1:2" x14ac:dyDescent="0.25">
      <c r="A41" s="18">
        <v>93</v>
      </c>
      <c r="B41" s="18">
        <v>4.0599999999999998E-5</v>
      </c>
    </row>
    <row r="42" spans="1:2" x14ac:dyDescent="0.25">
      <c r="A42" s="18">
        <v>94</v>
      </c>
      <c r="B42" s="18">
        <v>2.2500000000000001E-5</v>
      </c>
    </row>
    <row r="43" spans="1:2" x14ac:dyDescent="0.25">
      <c r="A43" s="18">
        <v>95</v>
      </c>
      <c r="B43" s="18">
        <v>9.3399999999999997E-7</v>
      </c>
    </row>
    <row r="44" spans="1:2" x14ac:dyDescent="0.25">
      <c r="A44" s="18">
        <v>96</v>
      </c>
      <c r="B44" s="18">
        <v>1.8099999999999999E-5</v>
      </c>
    </row>
    <row r="45" spans="1:2" x14ac:dyDescent="0.25">
      <c r="A45" s="18">
        <v>97</v>
      </c>
      <c r="B45" s="18">
        <v>6.4200000000000004E-6</v>
      </c>
    </row>
    <row r="46" spans="1:2" x14ac:dyDescent="0.25">
      <c r="A46" s="18">
        <v>98</v>
      </c>
      <c r="B46" s="18">
        <v>9.4900000000000006E-6</v>
      </c>
    </row>
    <row r="47" spans="1:2" x14ac:dyDescent="0.25">
      <c r="A47" s="18">
        <v>99</v>
      </c>
      <c r="B47" s="18">
        <v>2.0000000000000002E-5</v>
      </c>
    </row>
    <row r="48" spans="1:2" x14ac:dyDescent="0.25">
      <c r="A48" s="18">
        <v>100</v>
      </c>
      <c r="B48" s="18">
        <v>1.8700000000000001E-5</v>
      </c>
    </row>
    <row r="49" spans="1:2" x14ac:dyDescent="0.25">
      <c r="A49" s="18">
        <v>101</v>
      </c>
      <c r="B49" s="18">
        <v>3.4799999999999999E-5</v>
      </c>
    </row>
    <row r="50" spans="1:2" x14ac:dyDescent="0.25">
      <c r="A50" s="18">
        <v>102</v>
      </c>
      <c r="B50" s="18">
        <v>4.57E-5</v>
      </c>
    </row>
    <row r="51" spans="1:2" x14ac:dyDescent="0.25">
      <c r="A51" s="18">
        <v>103</v>
      </c>
      <c r="B51" s="18">
        <v>6.0699999999999998E-5</v>
      </c>
    </row>
    <row r="52" spans="1:2" x14ac:dyDescent="0.25">
      <c r="A52" s="18">
        <v>104</v>
      </c>
      <c r="B52" s="18">
        <v>7.3100000000000001E-5</v>
      </c>
    </row>
    <row r="53" spans="1:2" x14ac:dyDescent="0.25">
      <c r="A53" s="18">
        <v>105</v>
      </c>
      <c r="B53" s="18">
        <v>8.9599999999999996E-5</v>
      </c>
    </row>
    <row r="54" spans="1:2" x14ac:dyDescent="0.25">
      <c r="A54" s="18">
        <v>106</v>
      </c>
      <c r="B54" s="18">
        <v>1.07E-4</v>
      </c>
    </row>
    <row r="55" spans="1:2" x14ac:dyDescent="0.25">
      <c r="A55" s="18">
        <v>107</v>
      </c>
      <c r="B55" s="18">
        <v>1.15E-4</v>
      </c>
    </row>
    <row r="56" spans="1:2" x14ac:dyDescent="0.25">
      <c r="A56" s="18">
        <v>108</v>
      </c>
      <c r="B56" s="18">
        <v>1.34E-4</v>
      </c>
    </row>
    <row r="57" spans="1:2" x14ac:dyDescent="0.25">
      <c r="A57" s="18">
        <v>109</v>
      </c>
      <c r="B57" s="18">
        <v>1.3999999999999999E-4</v>
      </c>
    </row>
    <row r="58" spans="1:2" x14ac:dyDescent="0.25">
      <c r="A58" s="18">
        <v>110</v>
      </c>
      <c r="B58" s="18">
        <v>1.47E-4</v>
      </c>
    </row>
    <row r="59" spans="1:2" x14ac:dyDescent="0.25">
      <c r="A59" s="18">
        <v>111</v>
      </c>
      <c r="B59" s="18">
        <v>1.6200000000000001E-4</v>
      </c>
    </row>
    <row r="60" spans="1:2" x14ac:dyDescent="0.25">
      <c r="A60" s="18">
        <v>112</v>
      </c>
      <c r="B60" s="18">
        <v>1.34E-4</v>
      </c>
    </row>
    <row r="61" spans="1:2" x14ac:dyDescent="0.25">
      <c r="A61" s="18">
        <v>113</v>
      </c>
      <c r="B61" s="18">
        <v>1.5699999999999999E-4</v>
      </c>
    </row>
    <row r="62" spans="1:2" x14ac:dyDescent="0.25">
      <c r="A62" s="18">
        <v>114</v>
      </c>
      <c r="B62" s="18">
        <v>1.2899999999999999E-4</v>
      </c>
    </row>
    <row r="63" spans="1:2" x14ac:dyDescent="0.25">
      <c r="A63" s="18">
        <v>115</v>
      </c>
      <c r="B63" s="18">
        <v>1.03E-4</v>
      </c>
    </row>
    <row r="64" spans="1:2" x14ac:dyDescent="0.25">
      <c r="A64" s="18">
        <v>116</v>
      </c>
      <c r="B64" s="18">
        <v>7.1899999999999999E-5</v>
      </c>
    </row>
    <row r="65" spans="1:2" x14ac:dyDescent="0.25">
      <c r="A65" s="18">
        <v>117</v>
      </c>
      <c r="B65" s="18">
        <v>6.1799999999999998E-5</v>
      </c>
    </row>
    <row r="66" spans="1:2" x14ac:dyDescent="0.25">
      <c r="A66" s="18">
        <v>118</v>
      </c>
      <c r="B66" s="18">
        <v>4.4199999999999997E-5</v>
      </c>
    </row>
    <row r="67" spans="1:2" x14ac:dyDescent="0.25">
      <c r="A67" s="18">
        <v>119</v>
      </c>
      <c r="B67" s="18">
        <v>6.2600000000000002E-6</v>
      </c>
    </row>
    <row r="68" spans="1:2" x14ac:dyDescent="0.25">
      <c r="A68" s="18">
        <v>120</v>
      </c>
      <c r="B68" s="18">
        <v>4.0099999999999997E-6</v>
      </c>
    </row>
    <row r="69" spans="1:2" x14ac:dyDescent="0.25">
      <c r="A69" s="18">
        <v>121</v>
      </c>
      <c r="B69" s="18">
        <v>1.5299999999999999E-5</v>
      </c>
    </row>
    <row r="70" spans="1:2" x14ac:dyDescent="0.25">
      <c r="A70" s="18">
        <v>122</v>
      </c>
      <c r="B70" s="18">
        <v>2.6100000000000001E-5</v>
      </c>
    </row>
    <row r="71" spans="1:2" x14ac:dyDescent="0.25">
      <c r="A71" s="18">
        <v>123</v>
      </c>
      <c r="B71" s="18">
        <v>4.0000000000000003E-5</v>
      </c>
    </row>
    <row r="72" spans="1:2" x14ac:dyDescent="0.25">
      <c r="A72" s="18">
        <v>124</v>
      </c>
      <c r="B72" s="18">
        <v>5.2800000000000003E-5</v>
      </c>
    </row>
    <row r="73" spans="1:2" x14ac:dyDescent="0.25">
      <c r="A73" s="18">
        <v>125</v>
      </c>
      <c r="B73" s="18">
        <v>7.2299999999999996E-5</v>
      </c>
    </row>
    <row r="74" spans="1:2" x14ac:dyDescent="0.25">
      <c r="A74" s="18">
        <v>126</v>
      </c>
      <c r="B74" s="18">
        <v>6.86E-5</v>
      </c>
    </row>
    <row r="75" spans="1:2" x14ac:dyDescent="0.25">
      <c r="A75" s="18">
        <v>127</v>
      </c>
      <c r="B75" s="18">
        <v>8.3800000000000004E-5</v>
      </c>
    </row>
    <row r="76" spans="1:2" x14ac:dyDescent="0.25">
      <c r="A76" s="18">
        <v>128</v>
      </c>
      <c r="B76" s="18">
        <v>8.5000000000000006E-5</v>
      </c>
    </row>
    <row r="77" spans="1:2" x14ac:dyDescent="0.25">
      <c r="A77" s="18">
        <v>129</v>
      </c>
      <c r="B77" s="18">
        <v>8.4400000000000005E-5</v>
      </c>
    </row>
    <row r="78" spans="1:2" x14ac:dyDescent="0.25">
      <c r="A78" s="18">
        <v>130</v>
      </c>
      <c r="B78" s="18">
        <v>1.15E-4</v>
      </c>
    </row>
    <row r="79" spans="1:2" x14ac:dyDescent="0.25">
      <c r="A79" s="18">
        <v>131</v>
      </c>
      <c r="B79" s="18">
        <v>1.2400000000000001E-4</v>
      </c>
    </row>
    <row r="80" spans="1:2" x14ac:dyDescent="0.25">
      <c r="A80" s="18">
        <v>132</v>
      </c>
      <c r="B80" s="18">
        <v>1.4100000000000001E-4</v>
      </c>
    </row>
    <row r="81" spans="1:2" x14ac:dyDescent="0.25">
      <c r="A81" s="18">
        <v>133</v>
      </c>
      <c r="B81" s="18">
        <v>1.5100000000000001E-4</v>
      </c>
    </row>
    <row r="82" spans="1:2" x14ac:dyDescent="0.25">
      <c r="A82" s="18">
        <v>134</v>
      </c>
      <c r="B82" s="18">
        <v>1.8200000000000001E-4</v>
      </c>
    </row>
    <row r="83" spans="1:2" x14ac:dyDescent="0.25">
      <c r="A83" s="18">
        <v>135</v>
      </c>
      <c r="B83" s="18">
        <v>2.1499999999999999E-4</v>
      </c>
    </row>
    <row r="84" spans="1:2" x14ac:dyDescent="0.25">
      <c r="A84" s="18">
        <v>136</v>
      </c>
      <c r="B84" s="18">
        <v>2.34E-4</v>
      </c>
    </row>
    <row r="85" spans="1:2" x14ac:dyDescent="0.25">
      <c r="A85" s="18">
        <v>137</v>
      </c>
      <c r="B85" s="18">
        <v>2.7999999999999998E-4</v>
      </c>
    </row>
    <row r="86" spans="1:2" x14ac:dyDescent="0.25">
      <c r="A86" s="18">
        <v>138</v>
      </c>
      <c r="B86" s="18">
        <v>3.3E-4</v>
      </c>
    </row>
    <row r="87" spans="1:2" x14ac:dyDescent="0.25">
      <c r="A87" s="18">
        <v>139</v>
      </c>
      <c r="B87" s="18">
        <v>3.7300000000000001E-4</v>
      </c>
    </row>
    <row r="88" spans="1:2" x14ac:dyDescent="0.25">
      <c r="A88" s="18">
        <v>140</v>
      </c>
      <c r="B88" s="18">
        <v>4.2499999999999998E-4</v>
      </c>
    </row>
    <row r="89" spans="1:2" x14ac:dyDescent="0.25">
      <c r="A89" s="18">
        <v>141</v>
      </c>
      <c r="B89" s="18">
        <v>4.84E-4</v>
      </c>
    </row>
    <row r="90" spans="1:2" x14ac:dyDescent="0.25">
      <c r="A90" s="18">
        <v>142</v>
      </c>
      <c r="B90" s="18">
        <v>5.5599999999999996E-4</v>
      </c>
    </row>
    <row r="91" spans="1:2" x14ac:dyDescent="0.25">
      <c r="A91" s="18">
        <v>143</v>
      </c>
      <c r="B91" s="18">
        <v>6.0400000000000004E-4</v>
      </c>
    </row>
    <row r="92" spans="1:2" x14ac:dyDescent="0.25">
      <c r="A92" s="18">
        <v>144</v>
      </c>
      <c r="B92" s="18">
        <v>7.36E-4</v>
      </c>
    </row>
    <row r="93" spans="1:2" x14ac:dyDescent="0.25">
      <c r="A93" s="18">
        <v>145</v>
      </c>
      <c r="B93" s="18">
        <v>8.2799999999999996E-4</v>
      </c>
    </row>
    <row r="94" spans="1:2" x14ac:dyDescent="0.25">
      <c r="A94" s="18">
        <v>146</v>
      </c>
      <c r="B94" s="18">
        <v>9.5699999999999995E-4</v>
      </c>
    </row>
    <row r="95" spans="1:2" x14ac:dyDescent="0.25">
      <c r="A95" s="18">
        <v>147</v>
      </c>
      <c r="B95" s="18">
        <v>1.08E-3</v>
      </c>
    </row>
    <row r="96" spans="1:2" x14ac:dyDescent="0.25">
      <c r="A96" s="18">
        <v>148</v>
      </c>
      <c r="B96" s="18">
        <v>1.2700000000000001E-3</v>
      </c>
    </row>
    <row r="97" spans="1:2" x14ac:dyDescent="0.25">
      <c r="A97" s="18">
        <v>149</v>
      </c>
      <c r="B97" s="18">
        <v>1.4300000000000001E-3</v>
      </c>
    </row>
    <row r="98" spans="1:2" x14ac:dyDescent="0.25">
      <c r="A98" s="18">
        <v>150</v>
      </c>
      <c r="B98" s="18">
        <v>1.6900000000000001E-3</v>
      </c>
    </row>
    <row r="99" spans="1:2" x14ac:dyDescent="0.25">
      <c r="A99" s="18">
        <v>151</v>
      </c>
      <c r="B99" s="18">
        <v>1.8799999999999999E-3</v>
      </c>
    </row>
    <row r="100" spans="1:2" x14ac:dyDescent="0.25">
      <c r="A100" s="18">
        <v>152</v>
      </c>
      <c r="B100" s="18">
        <v>2.15E-3</v>
      </c>
    </row>
    <row r="101" spans="1:2" x14ac:dyDescent="0.25">
      <c r="A101" s="18">
        <v>153</v>
      </c>
      <c r="B101" s="18">
        <v>2.4099999999999998E-3</v>
      </c>
    </row>
    <row r="102" spans="1:2" x14ac:dyDescent="0.25">
      <c r="A102" s="18">
        <v>154</v>
      </c>
      <c r="B102" s="18">
        <v>2.7299999999999998E-3</v>
      </c>
    </row>
    <row r="103" spans="1:2" x14ac:dyDescent="0.25">
      <c r="A103" s="18">
        <v>155</v>
      </c>
      <c r="B103" s="18">
        <v>3.0599999999999998E-3</v>
      </c>
    </row>
    <row r="104" spans="1:2" x14ac:dyDescent="0.25">
      <c r="A104" s="18">
        <v>156</v>
      </c>
      <c r="B104" s="18">
        <v>3.3800000000000002E-3</v>
      </c>
    </row>
    <row r="105" spans="1:2" x14ac:dyDescent="0.25">
      <c r="A105" s="18">
        <v>157</v>
      </c>
      <c r="B105" s="18">
        <v>3.79E-3</v>
      </c>
    </row>
    <row r="106" spans="1:2" x14ac:dyDescent="0.25">
      <c r="A106" s="18">
        <v>158</v>
      </c>
      <c r="B106" s="18">
        <v>4.1399999999999996E-3</v>
      </c>
    </row>
    <row r="107" spans="1:2" x14ac:dyDescent="0.25">
      <c r="A107" s="18">
        <v>159</v>
      </c>
      <c r="B107" s="18">
        <v>4.5900000000000003E-3</v>
      </c>
    </row>
    <row r="108" spans="1:2" x14ac:dyDescent="0.25">
      <c r="A108" s="18">
        <v>160</v>
      </c>
      <c r="B108" s="18">
        <v>5.0899999999999999E-3</v>
      </c>
    </row>
    <row r="109" spans="1:2" x14ac:dyDescent="0.25">
      <c r="A109" s="18">
        <v>161</v>
      </c>
      <c r="B109" s="18">
        <v>5.6499999999999996E-3</v>
      </c>
    </row>
    <row r="110" spans="1:2" x14ac:dyDescent="0.25">
      <c r="A110" s="18">
        <v>162</v>
      </c>
      <c r="B110" s="18">
        <v>6.1199999999999996E-3</v>
      </c>
    </row>
    <row r="111" spans="1:2" x14ac:dyDescent="0.25">
      <c r="A111" s="18">
        <v>163</v>
      </c>
      <c r="B111" s="18">
        <v>6.77E-3</v>
      </c>
    </row>
    <row r="112" spans="1:2" x14ac:dyDescent="0.25">
      <c r="A112" s="18">
        <v>164</v>
      </c>
      <c r="B112" s="18">
        <v>7.2899999999999996E-3</v>
      </c>
    </row>
    <row r="113" spans="1:2" x14ac:dyDescent="0.25">
      <c r="A113" s="18">
        <v>165</v>
      </c>
      <c r="B113" s="18">
        <v>7.9799999999999992E-3</v>
      </c>
    </row>
    <row r="114" spans="1:2" x14ac:dyDescent="0.25">
      <c r="A114" s="18">
        <v>166</v>
      </c>
      <c r="B114" s="18">
        <v>8.6E-3</v>
      </c>
    </row>
    <row r="115" spans="1:2" x14ac:dyDescent="0.25">
      <c r="A115" s="18">
        <v>167</v>
      </c>
      <c r="B115" s="18">
        <v>9.3600000000000003E-3</v>
      </c>
    </row>
    <row r="116" spans="1:2" x14ac:dyDescent="0.25">
      <c r="A116" s="18">
        <v>168</v>
      </c>
      <c r="B116" s="18">
        <v>0.01</v>
      </c>
    </row>
    <row r="117" spans="1:2" x14ac:dyDescent="0.25">
      <c r="A117" s="18">
        <v>169</v>
      </c>
      <c r="B117" s="18">
        <v>1.0800000000000001E-2</v>
      </c>
    </row>
    <row r="118" spans="1:2" x14ac:dyDescent="0.25">
      <c r="A118" s="18">
        <v>170</v>
      </c>
      <c r="B118" s="18">
        <v>1.1599999999999999E-2</v>
      </c>
    </row>
    <row r="119" spans="1:2" x14ac:dyDescent="0.25">
      <c r="A119" s="18">
        <v>171</v>
      </c>
      <c r="B119" s="18">
        <v>1.2500000000000001E-2</v>
      </c>
    </row>
    <row r="120" spans="1:2" x14ac:dyDescent="0.25">
      <c r="A120" s="18">
        <v>172</v>
      </c>
      <c r="B120" s="18">
        <v>1.32E-2</v>
      </c>
    </row>
    <row r="121" spans="1:2" x14ac:dyDescent="0.25">
      <c r="A121" s="18">
        <v>173</v>
      </c>
      <c r="B121" s="18">
        <v>1.4200000000000001E-2</v>
      </c>
    </row>
    <row r="122" spans="1:2" x14ac:dyDescent="0.25">
      <c r="A122" s="18">
        <v>174</v>
      </c>
      <c r="B122" s="18">
        <v>1.5100000000000001E-2</v>
      </c>
    </row>
    <row r="123" spans="1:2" x14ac:dyDescent="0.25">
      <c r="A123" s="18">
        <v>175</v>
      </c>
      <c r="B123" s="18">
        <v>1.5900000000000001E-2</v>
      </c>
    </row>
    <row r="124" spans="1:2" x14ac:dyDescent="0.25">
      <c r="A124" s="18">
        <v>176</v>
      </c>
      <c r="B124" s="18">
        <v>1.6899999999999998E-2</v>
      </c>
    </row>
    <row r="125" spans="1:2" x14ac:dyDescent="0.25">
      <c r="A125" s="18">
        <v>177</v>
      </c>
      <c r="B125" s="18">
        <v>1.78E-2</v>
      </c>
    </row>
    <row r="126" spans="1:2" x14ac:dyDescent="0.25">
      <c r="A126" s="18">
        <v>178</v>
      </c>
      <c r="B126" s="18">
        <v>1.8800000000000001E-2</v>
      </c>
    </row>
    <row r="127" spans="1:2" x14ac:dyDescent="0.25">
      <c r="A127" s="18">
        <v>179</v>
      </c>
      <c r="B127" s="18">
        <v>1.9699999999999999E-2</v>
      </c>
    </row>
    <row r="128" spans="1:2" x14ac:dyDescent="0.25">
      <c r="A128" s="18">
        <v>180</v>
      </c>
      <c r="B128" s="18">
        <v>2.0799999999999999E-2</v>
      </c>
    </row>
    <row r="129" spans="1:2" x14ac:dyDescent="0.25">
      <c r="A129" s="18">
        <v>181</v>
      </c>
      <c r="B129" s="18">
        <v>2.18E-2</v>
      </c>
    </row>
    <row r="130" spans="1:2" x14ac:dyDescent="0.25">
      <c r="A130" s="18">
        <v>182</v>
      </c>
      <c r="B130" s="18">
        <v>2.2499999999999999E-2</v>
      </c>
    </row>
    <row r="131" spans="1:2" x14ac:dyDescent="0.25">
      <c r="A131" s="18">
        <v>183</v>
      </c>
      <c r="B131" s="18">
        <v>2.3699999999999999E-2</v>
      </c>
    </row>
    <row r="132" spans="1:2" x14ac:dyDescent="0.25">
      <c r="A132" s="18">
        <v>184</v>
      </c>
      <c r="B132" s="18">
        <v>2.47E-2</v>
      </c>
    </row>
    <row r="133" spans="1:2" x14ac:dyDescent="0.25">
      <c r="A133" s="18">
        <v>185</v>
      </c>
      <c r="B133" s="18">
        <v>2.5499999999999998E-2</v>
      </c>
    </row>
    <row r="134" spans="1:2" x14ac:dyDescent="0.25">
      <c r="A134" s="18">
        <v>186</v>
      </c>
      <c r="B134" s="18">
        <v>2.64E-2</v>
      </c>
    </row>
    <row r="135" spans="1:2" x14ac:dyDescent="0.25">
      <c r="A135" s="18">
        <v>187</v>
      </c>
      <c r="B135" s="18">
        <v>2.69E-2</v>
      </c>
    </row>
    <row r="136" spans="1:2" x14ac:dyDescent="0.25">
      <c r="A136" s="18">
        <v>188</v>
      </c>
      <c r="B136" s="18">
        <v>2.7799999999999998E-2</v>
      </c>
    </row>
    <row r="137" spans="1:2" x14ac:dyDescent="0.25">
      <c r="A137" s="18">
        <v>189</v>
      </c>
      <c r="B137" s="18">
        <v>2.8400000000000002E-2</v>
      </c>
    </row>
    <row r="138" spans="1:2" x14ac:dyDescent="0.25">
      <c r="A138" s="18">
        <v>190</v>
      </c>
      <c r="B138" s="18">
        <v>2.8899999999999999E-2</v>
      </c>
    </row>
    <row r="139" spans="1:2" x14ac:dyDescent="0.25">
      <c r="A139" s="18">
        <v>191</v>
      </c>
      <c r="B139" s="18">
        <v>0.03</v>
      </c>
    </row>
    <row r="140" spans="1:2" x14ac:dyDescent="0.25">
      <c r="A140" s="18">
        <v>192</v>
      </c>
      <c r="B140" s="18">
        <v>2.9899999999999999E-2</v>
      </c>
    </row>
    <row r="141" spans="1:2" x14ac:dyDescent="0.25">
      <c r="A141" s="18">
        <v>193</v>
      </c>
      <c r="B141" s="18">
        <v>3.04E-2</v>
      </c>
    </row>
    <row r="142" spans="1:2" x14ac:dyDescent="0.25">
      <c r="A142" s="18">
        <v>194</v>
      </c>
      <c r="B142" s="18">
        <v>3.0200000000000001E-2</v>
      </c>
    </row>
    <row r="143" spans="1:2" x14ac:dyDescent="0.25">
      <c r="A143" s="18">
        <v>195</v>
      </c>
      <c r="B143" s="18">
        <v>0.03</v>
      </c>
    </row>
    <row r="144" spans="1:2" x14ac:dyDescent="0.25">
      <c r="A144" s="18">
        <v>196</v>
      </c>
      <c r="B144" s="18">
        <v>0.03</v>
      </c>
    </row>
    <row r="145" spans="1:2" x14ac:dyDescent="0.25">
      <c r="A145" s="18">
        <v>197</v>
      </c>
      <c r="B145" s="18">
        <v>2.9499999999999998E-2</v>
      </c>
    </row>
    <row r="146" spans="1:2" x14ac:dyDescent="0.25">
      <c r="A146" s="18">
        <v>198</v>
      </c>
      <c r="B146" s="18">
        <v>2.87E-2</v>
      </c>
    </row>
    <row r="147" spans="1:2" x14ac:dyDescent="0.25">
      <c r="A147" s="18">
        <v>199</v>
      </c>
      <c r="B147" s="18">
        <v>2.81E-2</v>
      </c>
    </row>
    <row r="148" spans="1:2" x14ac:dyDescent="0.25">
      <c r="A148" s="18">
        <v>200</v>
      </c>
      <c r="B148" s="18">
        <v>2.69E-2</v>
      </c>
    </row>
    <row r="149" spans="1:2" x14ac:dyDescent="0.25">
      <c r="A149" s="18">
        <v>201</v>
      </c>
      <c r="B149" s="18">
        <v>2.5499999999999998E-2</v>
      </c>
    </row>
    <row r="150" spans="1:2" x14ac:dyDescent="0.25">
      <c r="A150" s="18">
        <v>202</v>
      </c>
      <c r="B150" s="18">
        <v>2.41E-2</v>
      </c>
    </row>
    <row r="151" spans="1:2" x14ac:dyDescent="0.25">
      <c r="A151" s="18">
        <v>203</v>
      </c>
      <c r="B151" s="18">
        <v>2.2100000000000002E-2</v>
      </c>
    </row>
    <row r="152" spans="1:2" x14ac:dyDescent="0.25">
      <c r="A152" s="18">
        <v>204</v>
      </c>
      <c r="B152" s="18">
        <v>1.9800000000000002E-2</v>
      </c>
    </row>
    <row r="153" spans="1:2" x14ac:dyDescent="0.25">
      <c r="A153" s="18">
        <v>205</v>
      </c>
      <c r="B153" s="18">
        <v>1.7600000000000001E-2</v>
      </c>
    </row>
    <row r="154" spans="1:2" x14ac:dyDescent="0.25">
      <c r="A154" s="18">
        <v>206</v>
      </c>
      <c r="B154" s="18">
        <v>1.46E-2</v>
      </c>
    </row>
    <row r="155" spans="1:2" x14ac:dyDescent="0.25">
      <c r="A155" s="18">
        <v>207</v>
      </c>
      <c r="B155" s="18">
        <v>1.1599999999999999E-2</v>
      </c>
    </row>
    <row r="156" spans="1:2" x14ac:dyDescent="0.25">
      <c r="A156" s="18">
        <v>208</v>
      </c>
      <c r="B156" s="18">
        <v>8.4700000000000001E-3</v>
      </c>
    </row>
    <row r="157" spans="1:2" x14ac:dyDescent="0.25">
      <c r="A157" s="18">
        <v>209</v>
      </c>
      <c r="B157" s="18">
        <v>4.5300000000000002E-3</v>
      </c>
    </row>
    <row r="158" spans="1:2" x14ac:dyDescent="0.25">
      <c r="A158" s="18">
        <v>210</v>
      </c>
      <c r="B158" s="18">
        <v>9.6100000000000005E-4</v>
      </c>
    </row>
    <row r="159" spans="1:2" x14ac:dyDescent="0.25">
      <c r="A159" s="18">
        <v>211</v>
      </c>
      <c r="B159" s="18">
        <v>1.4600000000000001E-5</v>
      </c>
    </row>
    <row r="160" spans="1:2" x14ac:dyDescent="0.25">
      <c r="A160" s="18">
        <v>212</v>
      </c>
      <c r="B160" s="18">
        <v>1.7799999999999999E-5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400-000000000000}">
  <dimension ref="A1:B184"/>
  <sheetViews>
    <sheetView workbookViewId="0">
      <selection activeCell="G6" sqref="G6"/>
    </sheetView>
  </sheetViews>
  <sheetFormatPr defaultRowHeight="15" x14ac:dyDescent="0.25"/>
  <sheetData>
    <row r="1" spans="1:2" x14ac:dyDescent="0.25">
      <c r="A1" s="15" t="s">
        <v>17</v>
      </c>
      <c r="B1" s="3" t="s">
        <v>12</v>
      </c>
    </row>
    <row r="2" spans="1:2" x14ac:dyDescent="0.25">
      <c r="A2" s="18">
        <v>60</v>
      </c>
      <c r="B2" s="18">
        <v>4.1399999999999997E-5</v>
      </c>
    </row>
    <row r="3" spans="1:2" x14ac:dyDescent="0.25">
      <c r="A3" s="18">
        <v>61</v>
      </c>
      <c r="B3" s="18">
        <v>4.4799999999999998E-5</v>
      </c>
    </row>
    <row r="4" spans="1:2" x14ac:dyDescent="0.25">
      <c r="A4" s="18">
        <v>62</v>
      </c>
      <c r="B4" s="18">
        <v>4.7500000000000003E-5</v>
      </c>
    </row>
    <row r="5" spans="1:2" x14ac:dyDescent="0.25">
      <c r="A5" s="18">
        <v>63</v>
      </c>
      <c r="B5" s="18">
        <v>2.87E-5</v>
      </c>
    </row>
    <row r="6" spans="1:2" x14ac:dyDescent="0.25">
      <c r="A6" s="18">
        <v>64</v>
      </c>
      <c r="B6" s="18">
        <v>3.57E-5</v>
      </c>
    </row>
    <row r="7" spans="1:2" x14ac:dyDescent="0.25">
      <c r="A7" s="18">
        <v>65</v>
      </c>
      <c r="B7" s="18">
        <v>5.4400000000000001E-5</v>
      </c>
    </row>
    <row r="8" spans="1:2" x14ac:dyDescent="0.25">
      <c r="A8" s="18">
        <v>66</v>
      </c>
      <c r="B8" s="18">
        <v>4.6600000000000001E-5</v>
      </c>
    </row>
    <row r="9" spans="1:2" x14ac:dyDescent="0.25">
      <c r="A9" s="18">
        <v>67</v>
      </c>
      <c r="B9" s="18">
        <v>3.6100000000000003E-5</v>
      </c>
    </row>
    <row r="10" spans="1:2" x14ac:dyDescent="0.25">
      <c r="A10" s="18">
        <v>68</v>
      </c>
      <c r="B10" s="18">
        <v>4.3300000000000002E-5</v>
      </c>
    </row>
    <row r="11" spans="1:2" x14ac:dyDescent="0.25">
      <c r="A11" s="18">
        <v>69</v>
      </c>
      <c r="B11" s="18">
        <v>3.4799999999999999E-5</v>
      </c>
    </row>
    <row r="12" spans="1:2" x14ac:dyDescent="0.25">
      <c r="A12" s="18">
        <v>70</v>
      </c>
      <c r="B12" s="18">
        <v>4.3399999999999998E-5</v>
      </c>
    </row>
    <row r="13" spans="1:2" x14ac:dyDescent="0.25">
      <c r="A13" s="18">
        <v>71</v>
      </c>
      <c r="B13" s="18">
        <v>4.3999999999999999E-5</v>
      </c>
    </row>
    <row r="14" spans="1:2" x14ac:dyDescent="0.25">
      <c r="A14" s="18">
        <v>72</v>
      </c>
      <c r="B14" s="18">
        <v>4.0899999999999998E-5</v>
      </c>
    </row>
    <row r="15" spans="1:2" x14ac:dyDescent="0.25">
      <c r="A15" s="18">
        <v>73</v>
      </c>
      <c r="B15" s="18">
        <v>6.9599999999999998E-5</v>
      </c>
    </row>
    <row r="16" spans="1:2" x14ac:dyDescent="0.25">
      <c r="A16" s="18">
        <v>74</v>
      </c>
      <c r="B16" s="18">
        <v>5.4200000000000003E-5</v>
      </c>
    </row>
    <row r="17" spans="1:2" x14ac:dyDescent="0.25">
      <c r="A17" s="18">
        <v>75</v>
      </c>
      <c r="B17" s="18">
        <v>8.6299999999999997E-5</v>
      </c>
    </row>
    <row r="18" spans="1:2" x14ac:dyDescent="0.25">
      <c r="A18" s="18">
        <v>76</v>
      </c>
      <c r="B18" s="18">
        <v>3.1099999999999997E-5</v>
      </c>
    </row>
    <row r="19" spans="1:2" x14ac:dyDescent="0.25">
      <c r="A19" s="18">
        <v>77</v>
      </c>
      <c r="B19" s="18">
        <v>4.49E-5</v>
      </c>
    </row>
    <row r="20" spans="1:2" x14ac:dyDescent="0.25">
      <c r="A20" s="18">
        <v>78</v>
      </c>
      <c r="B20" s="18">
        <v>5.4400000000000001E-5</v>
      </c>
    </row>
    <row r="21" spans="1:2" x14ac:dyDescent="0.25">
      <c r="A21" s="18">
        <v>79</v>
      </c>
      <c r="B21" s="18">
        <v>5.5800000000000001E-5</v>
      </c>
    </row>
    <row r="22" spans="1:2" x14ac:dyDescent="0.25">
      <c r="A22" s="18">
        <v>80</v>
      </c>
      <c r="B22" s="18">
        <v>3.4999999999999997E-5</v>
      </c>
    </row>
    <row r="23" spans="1:2" x14ac:dyDescent="0.25">
      <c r="A23" s="18">
        <v>81</v>
      </c>
      <c r="B23" s="18">
        <v>4.2899999999999999E-5</v>
      </c>
    </row>
    <row r="24" spans="1:2" x14ac:dyDescent="0.25">
      <c r="A24" s="18">
        <v>82</v>
      </c>
      <c r="B24" s="18">
        <v>5.1600000000000001E-5</v>
      </c>
    </row>
    <row r="25" spans="1:2" x14ac:dyDescent="0.25">
      <c r="A25" s="18">
        <v>83</v>
      </c>
      <c r="B25" s="18">
        <v>4.6400000000000003E-5</v>
      </c>
    </row>
    <row r="26" spans="1:2" x14ac:dyDescent="0.25">
      <c r="A26" s="18">
        <v>84</v>
      </c>
      <c r="B26" s="18">
        <v>6.7600000000000003E-5</v>
      </c>
    </row>
    <row r="27" spans="1:2" x14ac:dyDescent="0.25">
      <c r="A27" s="18">
        <v>85</v>
      </c>
      <c r="B27" s="18">
        <v>7.6899999999999999E-5</v>
      </c>
    </row>
    <row r="28" spans="1:2" x14ac:dyDescent="0.25">
      <c r="A28" s="18">
        <v>86</v>
      </c>
      <c r="B28" s="18">
        <v>4.7899999999999999E-5</v>
      </c>
    </row>
    <row r="29" spans="1:2" x14ac:dyDescent="0.25">
      <c r="A29" s="18">
        <v>87</v>
      </c>
      <c r="B29" s="18">
        <v>6.8999999999999997E-5</v>
      </c>
    </row>
    <row r="30" spans="1:2" x14ac:dyDescent="0.25">
      <c r="A30" s="18">
        <v>88</v>
      </c>
      <c r="B30" s="18">
        <v>5.3999999999999998E-5</v>
      </c>
    </row>
    <row r="31" spans="1:2" x14ac:dyDescent="0.25">
      <c r="A31" s="18">
        <v>89</v>
      </c>
      <c r="B31" s="18">
        <v>5.5500000000000001E-5</v>
      </c>
    </row>
    <row r="32" spans="1:2" x14ac:dyDescent="0.25">
      <c r="A32" s="18">
        <v>90</v>
      </c>
      <c r="B32" s="18">
        <v>6.6799999999999997E-5</v>
      </c>
    </row>
    <row r="33" spans="1:2" x14ac:dyDescent="0.25">
      <c r="A33" s="18">
        <v>91</v>
      </c>
      <c r="B33" s="18">
        <v>5.4500000000000003E-5</v>
      </c>
    </row>
    <row r="34" spans="1:2" x14ac:dyDescent="0.25">
      <c r="A34" s="18">
        <v>92</v>
      </c>
      <c r="B34" s="18">
        <v>6.8499999999999998E-5</v>
      </c>
    </row>
    <row r="35" spans="1:2" x14ac:dyDescent="0.25">
      <c r="A35" s="18">
        <v>93</v>
      </c>
      <c r="B35" s="18">
        <v>4.8000000000000001E-5</v>
      </c>
    </row>
    <row r="36" spans="1:2" x14ac:dyDescent="0.25">
      <c r="A36" s="18">
        <v>94</v>
      </c>
      <c r="B36" s="18">
        <v>4.8399999999999997E-5</v>
      </c>
    </row>
    <row r="37" spans="1:2" x14ac:dyDescent="0.25">
      <c r="A37" s="18">
        <v>95</v>
      </c>
      <c r="B37" s="18">
        <v>6.3700000000000003E-5</v>
      </c>
    </row>
    <row r="38" spans="1:2" x14ac:dyDescent="0.25">
      <c r="A38" s="18">
        <v>96</v>
      </c>
      <c r="B38" s="18">
        <v>5.9200000000000002E-5</v>
      </c>
    </row>
    <row r="39" spans="1:2" x14ac:dyDescent="0.25">
      <c r="A39" s="18">
        <v>97</v>
      </c>
      <c r="B39" s="18">
        <v>5.7399999999999999E-5</v>
      </c>
    </row>
    <row r="40" spans="1:2" x14ac:dyDescent="0.25">
      <c r="A40" s="18">
        <v>98</v>
      </c>
      <c r="B40" s="18">
        <v>5.8E-5</v>
      </c>
    </row>
    <row r="41" spans="1:2" x14ac:dyDescent="0.25">
      <c r="A41" s="18">
        <v>99</v>
      </c>
      <c r="B41" s="18">
        <v>5.6700000000000003E-5</v>
      </c>
    </row>
    <row r="42" spans="1:2" x14ac:dyDescent="0.25">
      <c r="A42" s="18">
        <v>100</v>
      </c>
      <c r="B42" s="18">
        <v>5.3399999999999997E-5</v>
      </c>
    </row>
    <row r="43" spans="1:2" x14ac:dyDescent="0.25">
      <c r="A43" s="18">
        <v>101</v>
      </c>
      <c r="B43" s="18">
        <v>5.4400000000000001E-5</v>
      </c>
    </row>
    <row r="44" spans="1:2" x14ac:dyDescent="0.25">
      <c r="A44" s="18">
        <v>102</v>
      </c>
      <c r="B44" s="18">
        <v>5.8100000000000003E-5</v>
      </c>
    </row>
    <row r="45" spans="1:2" x14ac:dyDescent="0.25">
      <c r="A45" s="18">
        <v>103</v>
      </c>
      <c r="B45" s="18">
        <v>3.8899999999999997E-5</v>
      </c>
    </row>
    <row r="46" spans="1:2" x14ac:dyDescent="0.25">
      <c r="A46" s="18">
        <v>104</v>
      </c>
      <c r="B46" s="18">
        <v>3.8399999999999998E-5</v>
      </c>
    </row>
    <row r="47" spans="1:2" x14ac:dyDescent="0.25">
      <c r="A47" s="18">
        <v>105</v>
      </c>
      <c r="B47" s="18">
        <v>3.15E-5</v>
      </c>
    </row>
    <row r="48" spans="1:2" x14ac:dyDescent="0.25">
      <c r="A48" s="18">
        <v>106</v>
      </c>
      <c r="B48" s="18">
        <v>4.2299999999999998E-5</v>
      </c>
    </row>
    <row r="49" spans="1:2" x14ac:dyDescent="0.25">
      <c r="A49" s="18">
        <v>107</v>
      </c>
      <c r="B49" s="18">
        <v>1.8199999999999999E-5</v>
      </c>
    </row>
    <row r="50" spans="1:2" x14ac:dyDescent="0.25">
      <c r="A50" s="18">
        <v>108</v>
      </c>
      <c r="B50" s="18">
        <v>1.31E-5</v>
      </c>
    </row>
    <row r="51" spans="1:2" x14ac:dyDescent="0.25">
      <c r="A51" s="18">
        <v>109</v>
      </c>
      <c r="B51" s="18">
        <v>7.9899999999999997E-6</v>
      </c>
    </row>
    <row r="52" spans="1:2" x14ac:dyDescent="0.25">
      <c r="A52" s="18">
        <v>110</v>
      </c>
      <c r="B52" s="18">
        <v>2.12E-6</v>
      </c>
    </row>
    <row r="53" spans="1:2" x14ac:dyDescent="0.25">
      <c r="A53" s="18">
        <v>111</v>
      </c>
      <c r="B53" s="18">
        <v>2.16E-5</v>
      </c>
    </row>
    <row r="54" spans="1:2" x14ac:dyDescent="0.25">
      <c r="A54" s="18">
        <v>112</v>
      </c>
      <c r="B54" s="18">
        <v>3.0300000000000001E-5</v>
      </c>
    </row>
    <row r="55" spans="1:2" x14ac:dyDescent="0.25">
      <c r="A55" s="18">
        <v>113</v>
      </c>
      <c r="B55" s="18">
        <v>6.7600000000000003E-5</v>
      </c>
    </row>
    <row r="56" spans="1:2" x14ac:dyDescent="0.25">
      <c r="A56" s="18">
        <v>114</v>
      </c>
      <c r="B56" s="18">
        <v>5.52E-5</v>
      </c>
    </row>
    <row r="57" spans="1:2" x14ac:dyDescent="0.25">
      <c r="A57" s="18">
        <v>115</v>
      </c>
      <c r="B57" s="18">
        <v>8.7499999999999999E-5</v>
      </c>
    </row>
    <row r="58" spans="1:2" x14ac:dyDescent="0.25">
      <c r="A58" s="18">
        <v>116</v>
      </c>
      <c r="B58" s="18">
        <v>9.7299999999999993E-5</v>
      </c>
    </row>
    <row r="59" spans="1:2" x14ac:dyDescent="0.25">
      <c r="A59" s="18">
        <v>117</v>
      </c>
      <c r="B59" s="18">
        <v>1.03E-4</v>
      </c>
    </row>
    <row r="60" spans="1:2" x14ac:dyDescent="0.25">
      <c r="A60" s="18">
        <v>118</v>
      </c>
      <c r="B60" s="18">
        <v>1.1900000000000001E-4</v>
      </c>
    </row>
    <row r="61" spans="1:2" x14ac:dyDescent="0.25">
      <c r="A61" s="18">
        <v>119</v>
      </c>
      <c r="B61" s="18">
        <v>1.12E-4</v>
      </c>
    </row>
    <row r="62" spans="1:2" x14ac:dyDescent="0.25">
      <c r="A62" s="18">
        <v>120</v>
      </c>
      <c r="B62" s="18">
        <v>1.22E-4</v>
      </c>
    </row>
    <row r="63" spans="1:2" x14ac:dyDescent="0.25">
      <c r="A63" s="18">
        <v>121</v>
      </c>
      <c r="B63" s="18">
        <v>1.17E-4</v>
      </c>
    </row>
    <row r="64" spans="1:2" x14ac:dyDescent="0.25">
      <c r="A64" s="18">
        <v>122</v>
      </c>
      <c r="B64" s="18">
        <v>8.7700000000000004E-5</v>
      </c>
    </row>
    <row r="65" spans="1:2" x14ac:dyDescent="0.25">
      <c r="A65" s="18">
        <v>123</v>
      </c>
      <c r="B65" s="18">
        <v>8.5400000000000002E-5</v>
      </c>
    </row>
    <row r="66" spans="1:2" x14ac:dyDescent="0.25">
      <c r="A66" s="18">
        <v>124</v>
      </c>
      <c r="B66" s="18">
        <v>6.6500000000000004E-5</v>
      </c>
    </row>
    <row r="67" spans="1:2" x14ac:dyDescent="0.25">
      <c r="A67" s="18">
        <v>125</v>
      </c>
      <c r="B67" s="18">
        <v>4.2500000000000003E-5</v>
      </c>
    </row>
    <row r="68" spans="1:2" x14ac:dyDescent="0.25">
      <c r="A68" s="18">
        <v>126</v>
      </c>
      <c r="B68" s="18">
        <v>2.51E-5</v>
      </c>
    </row>
    <row r="69" spans="1:2" x14ac:dyDescent="0.25">
      <c r="A69" s="18">
        <v>127</v>
      </c>
      <c r="B69" s="18">
        <v>8.7399999999999993E-6</v>
      </c>
    </row>
    <row r="70" spans="1:2" x14ac:dyDescent="0.25">
      <c r="A70" s="18">
        <v>128</v>
      </c>
      <c r="B70" s="18">
        <v>5.8499999999999999E-6</v>
      </c>
    </row>
    <row r="71" spans="1:2" x14ac:dyDescent="0.25">
      <c r="A71" s="18">
        <v>129</v>
      </c>
      <c r="B71" s="18">
        <v>1.1600000000000001E-5</v>
      </c>
    </row>
    <row r="72" spans="1:2" x14ac:dyDescent="0.25">
      <c r="A72" s="18">
        <v>130</v>
      </c>
      <c r="B72" s="18">
        <v>4.6E-5</v>
      </c>
    </row>
    <row r="73" spans="1:2" x14ac:dyDescent="0.25">
      <c r="A73" s="18">
        <v>131</v>
      </c>
      <c r="B73" s="18">
        <v>4.6400000000000003E-5</v>
      </c>
    </row>
    <row r="74" spans="1:2" x14ac:dyDescent="0.25">
      <c r="A74" s="18">
        <v>132</v>
      </c>
      <c r="B74" s="18">
        <v>6.8399999999999996E-5</v>
      </c>
    </row>
    <row r="75" spans="1:2" x14ac:dyDescent="0.25">
      <c r="A75" s="18">
        <v>133</v>
      </c>
      <c r="B75" s="18">
        <v>6.0600000000000003E-5</v>
      </c>
    </row>
    <row r="76" spans="1:2" x14ac:dyDescent="0.25">
      <c r="A76" s="18">
        <v>134</v>
      </c>
      <c r="B76" s="18">
        <v>6.4999999999999994E-5</v>
      </c>
    </row>
    <row r="77" spans="1:2" x14ac:dyDescent="0.25">
      <c r="A77" s="18">
        <v>135</v>
      </c>
      <c r="B77" s="18">
        <v>7.4999999999999993E-5</v>
      </c>
    </row>
    <row r="78" spans="1:2" x14ac:dyDescent="0.25">
      <c r="A78" s="18">
        <v>136</v>
      </c>
      <c r="B78" s="18">
        <v>5.3100000000000003E-5</v>
      </c>
    </row>
    <row r="79" spans="1:2" x14ac:dyDescent="0.25">
      <c r="A79" s="18">
        <v>137</v>
      </c>
      <c r="B79" s="18">
        <v>7.7799999999999994E-5</v>
      </c>
    </row>
    <row r="80" spans="1:2" x14ac:dyDescent="0.25">
      <c r="A80" s="18">
        <v>138</v>
      </c>
      <c r="B80" s="18">
        <v>7.3100000000000001E-5</v>
      </c>
    </row>
    <row r="81" spans="1:2" x14ac:dyDescent="0.25">
      <c r="A81" s="18">
        <v>139</v>
      </c>
      <c r="B81" s="18">
        <v>7.8899999999999993E-5</v>
      </c>
    </row>
    <row r="82" spans="1:2" x14ac:dyDescent="0.25">
      <c r="A82" s="18">
        <v>140</v>
      </c>
      <c r="B82" s="18">
        <v>7.3399999999999995E-5</v>
      </c>
    </row>
    <row r="83" spans="1:2" x14ac:dyDescent="0.25">
      <c r="A83" s="18">
        <v>141</v>
      </c>
      <c r="B83" s="18">
        <v>7.7000000000000001E-5</v>
      </c>
    </row>
    <row r="84" spans="1:2" x14ac:dyDescent="0.25">
      <c r="A84" s="18">
        <v>142</v>
      </c>
      <c r="B84" s="18">
        <v>8.6899999999999998E-5</v>
      </c>
    </row>
    <row r="85" spans="1:2" x14ac:dyDescent="0.25">
      <c r="A85" s="18">
        <v>143</v>
      </c>
      <c r="B85" s="18">
        <v>7.75E-5</v>
      </c>
    </row>
    <row r="86" spans="1:2" x14ac:dyDescent="0.25">
      <c r="A86" s="18">
        <v>144</v>
      </c>
      <c r="B86" s="18">
        <v>7.47E-5</v>
      </c>
    </row>
    <row r="87" spans="1:2" x14ac:dyDescent="0.25">
      <c r="A87" s="18">
        <v>145</v>
      </c>
      <c r="B87" s="18">
        <v>7.9400000000000006E-5</v>
      </c>
    </row>
    <row r="88" spans="1:2" x14ac:dyDescent="0.25">
      <c r="A88" s="18">
        <v>146</v>
      </c>
      <c r="B88" s="18">
        <v>9.1000000000000003E-5</v>
      </c>
    </row>
    <row r="89" spans="1:2" x14ac:dyDescent="0.25">
      <c r="A89" s="18">
        <v>147</v>
      </c>
      <c r="B89" s="18">
        <v>8.3700000000000002E-5</v>
      </c>
    </row>
    <row r="90" spans="1:2" x14ac:dyDescent="0.25">
      <c r="A90" s="18">
        <v>148</v>
      </c>
      <c r="B90" s="18">
        <v>9.7800000000000006E-5</v>
      </c>
    </row>
    <row r="91" spans="1:2" x14ac:dyDescent="0.25">
      <c r="A91" s="18">
        <v>149</v>
      </c>
      <c r="B91" s="18">
        <v>1.02E-4</v>
      </c>
    </row>
    <row r="92" spans="1:2" x14ac:dyDescent="0.25">
      <c r="A92" s="18">
        <v>150</v>
      </c>
      <c r="B92" s="18">
        <v>1.13E-4</v>
      </c>
    </row>
    <row r="93" spans="1:2" x14ac:dyDescent="0.25">
      <c r="A93" s="18">
        <v>151</v>
      </c>
      <c r="B93" s="18">
        <v>1.16E-4</v>
      </c>
    </row>
    <row r="94" spans="1:2" x14ac:dyDescent="0.25">
      <c r="A94" s="18">
        <v>152</v>
      </c>
      <c r="B94" s="18">
        <v>1.25E-4</v>
      </c>
    </row>
    <row r="95" spans="1:2" x14ac:dyDescent="0.25">
      <c r="A95" s="18">
        <v>153</v>
      </c>
      <c r="B95" s="18">
        <v>1.3100000000000001E-4</v>
      </c>
    </row>
    <row r="96" spans="1:2" x14ac:dyDescent="0.25">
      <c r="A96" s="18">
        <v>154</v>
      </c>
      <c r="B96" s="18">
        <v>1.4899999999999999E-4</v>
      </c>
    </row>
    <row r="97" spans="1:2" x14ac:dyDescent="0.25">
      <c r="A97" s="18">
        <v>155</v>
      </c>
      <c r="B97" s="18">
        <v>1.5100000000000001E-4</v>
      </c>
    </row>
    <row r="98" spans="1:2" x14ac:dyDescent="0.25">
      <c r="A98" s="18">
        <v>156</v>
      </c>
      <c r="B98" s="18">
        <v>1.9699999999999999E-4</v>
      </c>
    </row>
    <row r="99" spans="1:2" x14ac:dyDescent="0.25">
      <c r="A99" s="18">
        <v>157</v>
      </c>
      <c r="B99" s="18">
        <v>2.14E-4</v>
      </c>
    </row>
    <row r="100" spans="1:2" x14ac:dyDescent="0.25">
      <c r="A100" s="18">
        <v>158</v>
      </c>
      <c r="B100" s="18">
        <v>2.4499999999999999E-4</v>
      </c>
    </row>
    <row r="101" spans="1:2" x14ac:dyDescent="0.25">
      <c r="A101" s="18">
        <v>159</v>
      </c>
      <c r="B101" s="18">
        <v>2.5700000000000001E-4</v>
      </c>
    </row>
    <row r="102" spans="1:2" x14ac:dyDescent="0.25">
      <c r="A102" s="18">
        <v>160</v>
      </c>
      <c r="B102" s="18">
        <v>3.01E-4</v>
      </c>
    </row>
    <row r="103" spans="1:2" x14ac:dyDescent="0.25">
      <c r="A103" s="18">
        <v>161</v>
      </c>
      <c r="B103" s="18">
        <v>3.4099999999999999E-4</v>
      </c>
    </row>
    <row r="104" spans="1:2" x14ac:dyDescent="0.25">
      <c r="A104" s="18">
        <v>162</v>
      </c>
      <c r="B104" s="18">
        <v>3.8999999999999999E-4</v>
      </c>
    </row>
    <row r="105" spans="1:2" x14ac:dyDescent="0.25">
      <c r="A105" s="18">
        <v>163</v>
      </c>
      <c r="B105" s="18">
        <v>4.3399999999999998E-4</v>
      </c>
    </row>
    <row r="106" spans="1:2" x14ac:dyDescent="0.25">
      <c r="A106" s="18">
        <v>164</v>
      </c>
      <c r="B106" s="18">
        <v>4.95E-4</v>
      </c>
    </row>
    <row r="107" spans="1:2" x14ac:dyDescent="0.25">
      <c r="A107" s="18">
        <v>165</v>
      </c>
      <c r="B107" s="18">
        <v>5.6899999999999995E-4</v>
      </c>
    </row>
    <row r="108" spans="1:2" x14ac:dyDescent="0.25">
      <c r="A108" s="18">
        <v>166</v>
      </c>
      <c r="B108" s="18">
        <v>6.3500000000000004E-4</v>
      </c>
    </row>
    <row r="109" spans="1:2" x14ac:dyDescent="0.25">
      <c r="A109" s="18">
        <v>167</v>
      </c>
      <c r="B109" s="18">
        <v>7.3099999999999999E-4</v>
      </c>
    </row>
    <row r="110" spans="1:2" x14ac:dyDescent="0.25">
      <c r="A110" s="18">
        <v>168</v>
      </c>
      <c r="B110" s="18">
        <v>8.03E-4</v>
      </c>
    </row>
    <row r="111" spans="1:2" x14ac:dyDescent="0.25">
      <c r="A111" s="18">
        <v>169</v>
      </c>
      <c r="B111" s="18">
        <v>9.3700000000000001E-4</v>
      </c>
    </row>
    <row r="112" spans="1:2" x14ac:dyDescent="0.25">
      <c r="A112" s="18">
        <v>170</v>
      </c>
      <c r="B112" s="18">
        <v>1.0300000000000001E-3</v>
      </c>
    </row>
    <row r="113" spans="1:2" x14ac:dyDescent="0.25">
      <c r="A113" s="18">
        <v>171</v>
      </c>
      <c r="B113" s="18">
        <v>1.1800000000000001E-3</v>
      </c>
    </row>
    <row r="114" spans="1:2" x14ac:dyDescent="0.25">
      <c r="A114" s="18">
        <v>172</v>
      </c>
      <c r="B114" s="18">
        <v>1.31E-3</v>
      </c>
    </row>
    <row r="115" spans="1:2" x14ac:dyDescent="0.25">
      <c r="A115" s="18">
        <v>173</v>
      </c>
      <c r="B115" s="18">
        <v>1.47E-3</v>
      </c>
    </row>
    <row r="116" spans="1:2" x14ac:dyDescent="0.25">
      <c r="A116" s="18">
        <v>174</v>
      </c>
      <c r="B116" s="18">
        <v>1.6199999999999999E-3</v>
      </c>
    </row>
    <row r="117" spans="1:2" x14ac:dyDescent="0.25">
      <c r="A117" s="18">
        <v>175</v>
      </c>
      <c r="B117" s="18">
        <v>1.8400000000000001E-3</v>
      </c>
    </row>
    <row r="118" spans="1:2" x14ac:dyDescent="0.25">
      <c r="A118" s="18">
        <v>176</v>
      </c>
      <c r="B118" s="18">
        <v>2.0699999999999998E-3</v>
      </c>
    </row>
    <row r="119" spans="1:2" x14ac:dyDescent="0.25">
      <c r="A119" s="18">
        <v>177</v>
      </c>
      <c r="B119" s="18">
        <v>2.2300000000000002E-3</v>
      </c>
    </row>
    <row r="120" spans="1:2" x14ac:dyDescent="0.25">
      <c r="A120" s="18">
        <v>178</v>
      </c>
      <c r="B120" s="18">
        <v>2.49E-3</v>
      </c>
    </row>
    <row r="121" spans="1:2" x14ac:dyDescent="0.25">
      <c r="A121" s="18">
        <v>179</v>
      </c>
      <c r="B121" s="18">
        <v>2.7499999999999998E-3</v>
      </c>
    </row>
    <row r="122" spans="1:2" x14ac:dyDescent="0.25">
      <c r="A122" s="18">
        <v>180</v>
      </c>
      <c r="B122" s="18">
        <v>3.14E-3</v>
      </c>
    </row>
    <row r="123" spans="1:2" x14ac:dyDescent="0.25">
      <c r="A123" s="18">
        <v>181</v>
      </c>
      <c r="B123" s="18">
        <v>3.4199999999999999E-3</v>
      </c>
    </row>
    <row r="124" spans="1:2" x14ac:dyDescent="0.25">
      <c r="A124" s="18">
        <v>182</v>
      </c>
      <c r="B124" s="18">
        <v>3.7200000000000002E-3</v>
      </c>
    </row>
    <row r="125" spans="1:2" x14ac:dyDescent="0.25">
      <c r="A125" s="18">
        <v>183</v>
      </c>
      <c r="B125" s="18">
        <v>4.0699999999999998E-3</v>
      </c>
    </row>
    <row r="126" spans="1:2" x14ac:dyDescent="0.25">
      <c r="A126" s="18">
        <v>184</v>
      </c>
      <c r="B126" s="18">
        <v>4.4600000000000004E-3</v>
      </c>
    </row>
    <row r="127" spans="1:2" x14ac:dyDescent="0.25">
      <c r="A127" s="18">
        <v>185</v>
      </c>
      <c r="B127" s="18">
        <v>4.8599999999999997E-3</v>
      </c>
    </row>
    <row r="128" spans="1:2" x14ac:dyDescent="0.25">
      <c r="A128" s="18">
        <v>186</v>
      </c>
      <c r="B128" s="18">
        <v>5.28E-3</v>
      </c>
    </row>
    <row r="129" spans="1:2" x14ac:dyDescent="0.25">
      <c r="A129" s="18">
        <v>187</v>
      </c>
      <c r="B129" s="18">
        <v>5.6499999999999996E-3</v>
      </c>
    </row>
    <row r="130" spans="1:2" x14ac:dyDescent="0.25">
      <c r="A130" s="18">
        <v>188</v>
      </c>
      <c r="B130" s="18">
        <v>6.28E-3</v>
      </c>
    </row>
    <row r="131" spans="1:2" x14ac:dyDescent="0.25">
      <c r="A131" s="18">
        <v>189</v>
      </c>
      <c r="B131" s="18">
        <v>6.6800000000000002E-3</v>
      </c>
    </row>
    <row r="132" spans="1:2" x14ac:dyDescent="0.25">
      <c r="A132" s="18">
        <v>190</v>
      </c>
      <c r="B132" s="18">
        <v>7.1500000000000001E-3</v>
      </c>
    </row>
    <row r="133" spans="1:2" x14ac:dyDescent="0.25">
      <c r="A133" s="18">
        <v>191</v>
      </c>
      <c r="B133" s="18">
        <v>7.8100000000000001E-3</v>
      </c>
    </row>
    <row r="134" spans="1:2" x14ac:dyDescent="0.25">
      <c r="A134" s="18">
        <v>192</v>
      </c>
      <c r="B134" s="18">
        <v>8.3899999999999999E-3</v>
      </c>
    </row>
    <row r="135" spans="1:2" x14ac:dyDescent="0.25">
      <c r="A135" s="18">
        <v>193</v>
      </c>
      <c r="B135" s="18">
        <v>8.9899999999999997E-3</v>
      </c>
    </row>
    <row r="136" spans="1:2" x14ac:dyDescent="0.25">
      <c r="A136" s="18">
        <v>194</v>
      </c>
      <c r="B136" s="18">
        <v>9.6799999999999994E-3</v>
      </c>
    </row>
    <row r="137" spans="1:2" x14ac:dyDescent="0.25">
      <c r="A137" s="18">
        <v>195</v>
      </c>
      <c r="B137" s="18">
        <v>1.03E-2</v>
      </c>
    </row>
    <row r="138" spans="1:2" x14ac:dyDescent="0.25">
      <c r="A138" s="18">
        <v>196</v>
      </c>
      <c r="B138" s="18">
        <v>1.0999999999999999E-2</v>
      </c>
    </row>
    <row r="139" spans="1:2" x14ac:dyDescent="0.25">
      <c r="A139" s="18">
        <v>197</v>
      </c>
      <c r="B139" s="18">
        <v>1.17E-2</v>
      </c>
    </row>
    <row r="140" spans="1:2" x14ac:dyDescent="0.25">
      <c r="A140" s="18">
        <v>198</v>
      </c>
      <c r="B140" s="18">
        <v>1.2200000000000001E-2</v>
      </c>
    </row>
    <row r="141" spans="1:2" x14ac:dyDescent="0.25">
      <c r="A141" s="18">
        <v>199</v>
      </c>
      <c r="B141" s="18">
        <v>1.32E-2</v>
      </c>
    </row>
    <row r="142" spans="1:2" x14ac:dyDescent="0.25">
      <c r="A142" s="18">
        <v>200</v>
      </c>
      <c r="B142" s="18">
        <v>1.3899999999999999E-2</v>
      </c>
    </row>
    <row r="143" spans="1:2" x14ac:dyDescent="0.25">
      <c r="A143" s="18">
        <v>201</v>
      </c>
      <c r="B143" s="18">
        <v>1.4800000000000001E-2</v>
      </c>
    </row>
    <row r="144" spans="1:2" x14ac:dyDescent="0.25">
      <c r="A144" s="18">
        <v>202</v>
      </c>
      <c r="B144" s="18">
        <v>1.55E-2</v>
      </c>
    </row>
    <row r="145" spans="1:2" x14ac:dyDescent="0.25">
      <c r="A145" s="18">
        <v>203</v>
      </c>
      <c r="B145" s="18">
        <v>1.6299999999999999E-2</v>
      </c>
    </row>
    <row r="146" spans="1:2" x14ac:dyDescent="0.25">
      <c r="A146" s="18">
        <v>204</v>
      </c>
      <c r="B146" s="18">
        <v>1.7100000000000001E-2</v>
      </c>
    </row>
    <row r="147" spans="1:2" x14ac:dyDescent="0.25">
      <c r="A147" s="18">
        <v>205</v>
      </c>
      <c r="B147" s="18">
        <v>1.7899999999999999E-2</v>
      </c>
    </row>
    <row r="148" spans="1:2" x14ac:dyDescent="0.25">
      <c r="A148" s="18">
        <v>206</v>
      </c>
      <c r="B148" s="18">
        <v>1.8700000000000001E-2</v>
      </c>
    </row>
    <row r="149" spans="1:2" x14ac:dyDescent="0.25">
      <c r="A149" s="18">
        <v>207</v>
      </c>
      <c r="B149" s="18">
        <v>1.9599999999999999E-2</v>
      </c>
    </row>
    <row r="150" spans="1:2" x14ac:dyDescent="0.25">
      <c r="A150" s="18">
        <v>208</v>
      </c>
      <c r="B150" s="18">
        <v>2.0299999999999999E-2</v>
      </c>
    </row>
    <row r="151" spans="1:2" x14ac:dyDescent="0.25">
      <c r="A151" s="18">
        <v>209</v>
      </c>
      <c r="B151" s="18">
        <v>2.1000000000000001E-2</v>
      </c>
    </row>
    <row r="152" spans="1:2" x14ac:dyDescent="0.25">
      <c r="A152" s="18">
        <v>210</v>
      </c>
      <c r="B152" s="18">
        <v>2.18E-2</v>
      </c>
    </row>
    <row r="153" spans="1:2" x14ac:dyDescent="0.25">
      <c r="A153" s="18">
        <v>211</v>
      </c>
      <c r="B153" s="18">
        <v>2.2700000000000001E-2</v>
      </c>
    </row>
    <row r="154" spans="1:2" x14ac:dyDescent="0.25">
      <c r="A154" s="18">
        <v>212</v>
      </c>
      <c r="B154" s="18">
        <v>2.3300000000000001E-2</v>
      </c>
    </row>
    <row r="155" spans="1:2" x14ac:dyDescent="0.25">
      <c r="A155" s="18">
        <v>213</v>
      </c>
      <c r="B155" s="18">
        <v>2.3800000000000002E-2</v>
      </c>
    </row>
    <row r="156" spans="1:2" x14ac:dyDescent="0.25">
      <c r="A156" s="18">
        <v>214</v>
      </c>
      <c r="B156" s="18">
        <v>2.4799999999999999E-2</v>
      </c>
    </row>
    <row r="157" spans="1:2" x14ac:dyDescent="0.25">
      <c r="A157" s="18">
        <v>215</v>
      </c>
      <c r="B157" s="18">
        <v>2.52E-2</v>
      </c>
    </row>
    <row r="158" spans="1:2" x14ac:dyDescent="0.25">
      <c r="A158" s="18">
        <v>216</v>
      </c>
      <c r="B158" s="18">
        <v>2.5499999999999998E-2</v>
      </c>
    </row>
    <row r="159" spans="1:2" x14ac:dyDescent="0.25">
      <c r="A159" s="18">
        <v>217</v>
      </c>
      <c r="B159" s="18">
        <v>2.63E-2</v>
      </c>
    </row>
    <row r="160" spans="1:2" x14ac:dyDescent="0.25">
      <c r="A160" s="18">
        <v>218</v>
      </c>
      <c r="B160" s="18">
        <v>2.6599999999999999E-2</v>
      </c>
    </row>
    <row r="161" spans="1:2" x14ac:dyDescent="0.25">
      <c r="A161" s="18">
        <v>219</v>
      </c>
      <c r="B161" s="18">
        <v>2.6700000000000002E-2</v>
      </c>
    </row>
    <row r="162" spans="1:2" x14ac:dyDescent="0.25">
      <c r="A162" s="18">
        <v>220</v>
      </c>
      <c r="B162" s="18">
        <v>2.7199999999999998E-2</v>
      </c>
    </row>
    <row r="163" spans="1:2" x14ac:dyDescent="0.25">
      <c r="A163" s="18">
        <v>221</v>
      </c>
      <c r="B163" s="18">
        <v>2.7300000000000001E-2</v>
      </c>
    </row>
    <row r="164" spans="1:2" x14ac:dyDescent="0.25">
      <c r="A164" s="18">
        <v>222</v>
      </c>
      <c r="B164" s="18">
        <v>2.7400000000000001E-2</v>
      </c>
    </row>
    <row r="165" spans="1:2" x14ac:dyDescent="0.25">
      <c r="A165" s="18">
        <v>223</v>
      </c>
      <c r="B165" s="18">
        <v>2.7199999999999998E-2</v>
      </c>
    </row>
    <row r="166" spans="1:2" x14ac:dyDescent="0.25">
      <c r="A166" s="18">
        <v>224</v>
      </c>
      <c r="B166" s="18">
        <v>2.6800000000000001E-2</v>
      </c>
    </row>
    <row r="167" spans="1:2" x14ac:dyDescent="0.25">
      <c r="A167" s="18">
        <v>225</v>
      </c>
      <c r="B167" s="18">
        <v>2.64E-2</v>
      </c>
    </row>
    <row r="168" spans="1:2" x14ac:dyDescent="0.25">
      <c r="A168" s="18">
        <v>226</v>
      </c>
      <c r="B168" s="18">
        <v>2.58E-2</v>
      </c>
    </row>
    <row r="169" spans="1:2" x14ac:dyDescent="0.25">
      <c r="A169" s="18">
        <v>227</v>
      </c>
      <c r="B169" s="18">
        <v>2.5600000000000001E-2</v>
      </c>
    </row>
    <row r="170" spans="1:2" x14ac:dyDescent="0.25">
      <c r="A170" s="18">
        <v>228</v>
      </c>
      <c r="B170" s="18">
        <v>2.47E-2</v>
      </c>
    </row>
    <row r="171" spans="1:2" x14ac:dyDescent="0.25">
      <c r="A171" s="18">
        <v>229</v>
      </c>
      <c r="B171" s="18">
        <v>2.3599999999999999E-2</v>
      </c>
    </row>
    <row r="172" spans="1:2" x14ac:dyDescent="0.25">
      <c r="A172" s="18">
        <v>230</v>
      </c>
      <c r="B172" s="18">
        <v>2.2499999999999999E-2</v>
      </c>
    </row>
    <row r="173" spans="1:2" x14ac:dyDescent="0.25">
      <c r="A173" s="18">
        <v>231</v>
      </c>
      <c r="B173" s="18">
        <v>2.1100000000000001E-2</v>
      </c>
    </row>
    <row r="174" spans="1:2" x14ac:dyDescent="0.25">
      <c r="A174" s="18">
        <v>232</v>
      </c>
      <c r="B174" s="18">
        <v>1.9400000000000001E-2</v>
      </c>
    </row>
    <row r="175" spans="1:2" x14ac:dyDescent="0.25">
      <c r="A175" s="18">
        <v>233</v>
      </c>
      <c r="B175" s="18">
        <v>1.7600000000000001E-2</v>
      </c>
    </row>
    <row r="176" spans="1:2" x14ac:dyDescent="0.25">
      <c r="A176" s="18">
        <v>234</v>
      </c>
      <c r="B176" s="18">
        <v>1.5800000000000002E-2</v>
      </c>
    </row>
    <row r="177" spans="1:2" x14ac:dyDescent="0.25">
      <c r="A177" s="18">
        <v>235</v>
      </c>
      <c r="B177" s="18">
        <v>1.34E-2</v>
      </c>
    </row>
    <row r="178" spans="1:2" x14ac:dyDescent="0.25">
      <c r="A178" s="18">
        <v>236</v>
      </c>
      <c r="B178" s="18">
        <v>1.11E-2</v>
      </c>
    </row>
    <row r="179" spans="1:2" x14ac:dyDescent="0.25">
      <c r="A179" s="18">
        <v>237</v>
      </c>
      <c r="B179" s="18">
        <v>8.3999999999999995E-3</v>
      </c>
    </row>
    <row r="180" spans="1:2" x14ac:dyDescent="0.25">
      <c r="A180" s="18">
        <v>238</v>
      </c>
      <c r="B180" s="18">
        <v>5.6699999999999997E-3</v>
      </c>
    </row>
    <row r="181" spans="1:2" x14ac:dyDescent="0.25">
      <c r="A181" s="18">
        <v>239</v>
      </c>
      <c r="B181" s="18">
        <v>2.66E-3</v>
      </c>
    </row>
    <row r="182" spans="1:2" x14ac:dyDescent="0.25">
      <c r="A182" s="18">
        <v>240</v>
      </c>
      <c r="B182" s="18">
        <v>2.7599999999999999E-4</v>
      </c>
    </row>
    <row r="183" spans="1:2" x14ac:dyDescent="0.25">
      <c r="A183" s="18">
        <v>241</v>
      </c>
      <c r="B183" s="18">
        <v>7.3699999999999997E-6</v>
      </c>
    </row>
    <row r="184" spans="1:2" x14ac:dyDescent="0.25">
      <c r="A184" s="18">
        <v>242</v>
      </c>
      <c r="B184" s="18">
        <v>4.0099999999999997E-6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FEFEF0-5752-47DB-8818-ACF1F5E5FC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181</vt:i4>
      </vt:variant>
      <vt:variant>
        <vt:lpstr>Named Ranges</vt:lpstr>
      </vt:variant>
      <vt:variant>
        <vt:i4>16</vt:i4>
      </vt:variant>
    </vt:vector>
  </HeadingPairs>
  <TitlesOfParts>
    <vt:vector size="197" baseType="lpstr">
      <vt:lpstr>Master</vt:lpstr>
      <vt:lpstr>Place_data_here</vt:lpstr>
      <vt:lpstr>About</vt:lpstr>
      <vt:lpstr>ICRU95_EyeLens_Dose</vt:lpstr>
      <vt:lpstr>ICRU95_SkinDose_PillarPhantom</vt:lpstr>
      <vt:lpstr>ICRU95_SkinDose_RodPhantom</vt:lpstr>
      <vt:lpstr>ICRU95_SkinDose_SlabPhantom</vt:lpstr>
      <vt:lpstr>ICRU95_PersonalDose_SlabPhantom</vt:lpstr>
      <vt:lpstr>H'(0.07)</vt:lpstr>
      <vt:lpstr>H'(3)</vt:lpstr>
      <vt:lpstr>H'(10)</vt:lpstr>
      <vt:lpstr>L_10_250cm</vt:lpstr>
      <vt:lpstr>L_20_250cm</vt:lpstr>
      <vt:lpstr>L_30_250cm</vt:lpstr>
      <vt:lpstr>L_35_250cm</vt:lpstr>
      <vt:lpstr>L_55_250cm</vt:lpstr>
      <vt:lpstr>L_70_250cm</vt:lpstr>
      <vt:lpstr>L_100_250cm</vt:lpstr>
      <vt:lpstr>L_125_250cm</vt:lpstr>
      <vt:lpstr>L_170_250cm</vt:lpstr>
      <vt:lpstr>L_210_250cm</vt:lpstr>
      <vt:lpstr>L_240_250cm</vt:lpstr>
      <vt:lpstr>H_20_250cm</vt:lpstr>
      <vt:lpstr>H_30_250cm</vt:lpstr>
      <vt:lpstr>H_40_250cm</vt:lpstr>
      <vt:lpstr>H_60_250cm</vt:lpstr>
      <vt:lpstr>H_80_250cm</vt:lpstr>
      <vt:lpstr>H_100_250cm</vt:lpstr>
      <vt:lpstr>H_150_250cm</vt:lpstr>
      <vt:lpstr>H_200_250cm</vt:lpstr>
      <vt:lpstr>H_250_250cm</vt:lpstr>
      <vt:lpstr>H_300_250cm</vt:lpstr>
      <vt:lpstr>H_280_250cm</vt:lpstr>
      <vt:lpstr>H_20_100cm</vt:lpstr>
      <vt:lpstr>H_30_100cm</vt:lpstr>
      <vt:lpstr>H_40_100cm</vt:lpstr>
      <vt:lpstr>H_60_100cm</vt:lpstr>
      <vt:lpstr>H_80_100cm</vt:lpstr>
      <vt:lpstr>H_100_100cm</vt:lpstr>
      <vt:lpstr>H_150_100cm</vt:lpstr>
      <vt:lpstr>H_200_100cm</vt:lpstr>
      <vt:lpstr>H_250_100cm</vt:lpstr>
      <vt:lpstr>H_280_100cm</vt:lpstr>
      <vt:lpstr>H_300_100cm</vt:lpstr>
      <vt:lpstr>Calculations</vt:lpstr>
      <vt:lpstr>N_10_100cm</vt:lpstr>
      <vt:lpstr>N_15_100cm</vt:lpstr>
      <vt:lpstr>Hp(0.07)_Slab_Phantom</vt:lpstr>
      <vt:lpstr>Hp(10)_Slab_Phantom</vt:lpstr>
      <vt:lpstr>Hp(0.07)_Pillar_Phantom</vt:lpstr>
      <vt:lpstr>Hp(0.07)_Rod_Phantom</vt:lpstr>
      <vt:lpstr>Hp(3)_Cylinder_Phantom</vt:lpstr>
      <vt:lpstr>Own_Spectrum_250cm</vt:lpstr>
      <vt:lpstr>Own_Spectrum_100cm</vt:lpstr>
      <vt:lpstr>N_20_100cm</vt:lpstr>
      <vt:lpstr>N_25_100cm</vt:lpstr>
      <vt:lpstr>N_30_100cm</vt:lpstr>
      <vt:lpstr>N_40_100cm</vt:lpstr>
      <vt:lpstr>N_60_100cm</vt:lpstr>
      <vt:lpstr>N_80_100cm</vt:lpstr>
      <vt:lpstr>N_100_100cm</vt:lpstr>
      <vt:lpstr>N_120_100cm</vt:lpstr>
      <vt:lpstr>N_150_100cm</vt:lpstr>
      <vt:lpstr>N_200_100cm</vt:lpstr>
      <vt:lpstr>N_250_100cm</vt:lpstr>
      <vt:lpstr>N_300_100cm</vt:lpstr>
      <vt:lpstr>list</vt:lpstr>
      <vt:lpstr>_15kVp_250cm</vt:lpstr>
      <vt:lpstr>_20kVp_250cm</vt:lpstr>
      <vt:lpstr>_25kVp_250cm</vt:lpstr>
      <vt:lpstr>_30kVp_250cm</vt:lpstr>
      <vt:lpstr>_35kVp_250cm</vt:lpstr>
      <vt:lpstr>_40kVp_250cm</vt:lpstr>
      <vt:lpstr>_50kVp_250cm</vt:lpstr>
      <vt:lpstr>_55kVp_250cm</vt:lpstr>
      <vt:lpstr>_60kVp_250cm</vt:lpstr>
      <vt:lpstr>_70kVp_250cm</vt:lpstr>
      <vt:lpstr>_80kVp_250cm</vt:lpstr>
      <vt:lpstr>_90kVp_250cm</vt:lpstr>
      <vt:lpstr>_100kVp_250cm</vt:lpstr>
      <vt:lpstr>_110kVp_250cm</vt:lpstr>
      <vt:lpstr>_120kVp_250cm</vt:lpstr>
      <vt:lpstr>_125kVp_250cm</vt:lpstr>
      <vt:lpstr>_140kVp_250cm</vt:lpstr>
      <vt:lpstr>_150kVp_250cm</vt:lpstr>
      <vt:lpstr>_170kVp_250cm</vt:lpstr>
      <vt:lpstr>_200kVp_250cm</vt:lpstr>
      <vt:lpstr>_240kVp_250cm</vt:lpstr>
      <vt:lpstr>_250kVp_250cm</vt:lpstr>
      <vt:lpstr>_280kVp_250cm</vt:lpstr>
      <vt:lpstr>_300kVp_250cm</vt:lpstr>
      <vt:lpstr>W_300_250cm</vt:lpstr>
      <vt:lpstr>W_30_250cm</vt:lpstr>
      <vt:lpstr>W_40_250cm</vt:lpstr>
      <vt:lpstr>W_60_250cm</vt:lpstr>
      <vt:lpstr>W_80_250cm</vt:lpstr>
      <vt:lpstr>W_110_250cm</vt:lpstr>
      <vt:lpstr>W_150_250cm</vt:lpstr>
      <vt:lpstr>W_200_250cm</vt:lpstr>
      <vt:lpstr>W_250_250cm</vt:lpstr>
      <vt:lpstr>N_80_250cm</vt:lpstr>
      <vt:lpstr>N_100_250cm</vt:lpstr>
      <vt:lpstr>N_120_250cm</vt:lpstr>
      <vt:lpstr>N_150_250cm</vt:lpstr>
      <vt:lpstr>N_200_250cm</vt:lpstr>
      <vt:lpstr>N_250_250cm</vt:lpstr>
      <vt:lpstr>N_300_250cm</vt:lpstr>
      <vt:lpstr>N_10_250cm</vt:lpstr>
      <vt:lpstr>N_15_250cm</vt:lpstr>
      <vt:lpstr>N_20_250cm</vt:lpstr>
      <vt:lpstr>N_30_250cm</vt:lpstr>
      <vt:lpstr>N_25_250cm</vt:lpstr>
      <vt:lpstr>N_40_250cm</vt:lpstr>
      <vt:lpstr>N_60_250cm</vt:lpstr>
      <vt:lpstr>_15kVp_100cm</vt:lpstr>
      <vt:lpstr>_20kVp_100cm</vt:lpstr>
      <vt:lpstr>_25kVp_100cm</vt:lpstr>
      <vt:lpstr>_30kVp_100cm</vt:lpstr>
      <vt:lpstr>_35kVp_100cm</vt:lpstr>
      <vt:lpstr>_40kVp_100cm</vt:lpstr>
      <vt:lpstr>_50kVp_100cm</vt:lpstr>
      <vt:lpstr>_55kVp_100cm</vt:lpstr>
      <vt:lpstr>_60kVp_100cm</vt:lpstr>
      <vt:lpstr>_70kVp_100cm</vt:lpstr>
      <vt:lpstr>_80kVp_100cm</vt:lpstr>
      <vt:lpstr>_90kVp_100cm</vt:lpstr>
      <vt:lpstr>_100kVp_100cm</vt:lpstr>
      <vt:lpstr>_110kVp_100cm</vt:lpstr>
      <vt:lpstr>_120kVp_100cm</vt:lpstr>
      <vt:lpstr>RQR2_100cm</vt:lpstr>
      <vt:lpstr>RQR3_100cm</vt:lpstr>
      <vt:lpstr>RQR4_100cm</vt:lpstr>
      <vt:lpstr>RQR5_100cm</vt:lpstr>
      <vt:lpstr>RQR6_100cm</vt:lpstr>
      <vt:lpstr>RQR7_100cm</vt:lpstr>
      <vt:lpstr>RQR8_100cm</vt:lpstr>
      <vt:lpstr>RQR9_100cm</vt:lpstr>
      <vt:lpstr>RQR10_100cm</vt:lpstr>
      <vt:lpstr>RQT_100cm</vt:lpstr>
      <vt:lpstr>SH50_100cm</vt:lpstr>
      <vt:lpstr>SH70_100cm</vt:lpstr>
      <vt:lpstr>TH70_100cm</vt:lpstr>
      <vt:lpstr>TH100_100cm</vt:lpstr>
      <vt:lpstr>TH120_100cm</vt:lpstr>
      <vt:lpstr>TH140_100cm</vt:lpstr>
      <vt:lpstr>TW10_300cm</vt:lpstr>
      <vt:lpstr>TW15_300cm</vt:lpstr>
      <vt:lpstr>TW20_300cm</vt:lpstr>
      <vt:lpstr>TW30_300cm</vt:lpstr>
      <vt:lpstr>TW40_300cm</vt:lpstr>
      <vt:lpstr>TW50_300cm</vt:lpstr>
      <vt:lpstr>TW75_300cm</vt:lpstr>
      <vt:lpstr>RQA2_100cm</vt:lpstr>
      <vt:lpstr>RQA3_100cm</vt:lpstr>
      <vt:lpstr>RQA4_100cm</vt:lpstr>
      <vt:lpstr>RQA5_100cm</vt:lpstr>
      <vt:lpstr>RQA6_100cm</vt:lpstr>
      <vt:lpstr>RQA7_100cm</vt:lpstr>
      <vt:lpstr>RQA8_100cm</vt:lpstr>
      <vt:lpstr>RQA9_100cm</vt:lpstr>
      <vt:lpstr>RQA10_100cm</vt:lpstr>
      <vt:lpstr>W_30_100cm</vt:lpstr>
      <vt:lpstr>W_40_100cm</vt:lpstr>
      <vt:lpstr>W_60_100cm</vt:lpstr>
      <vt:lpstr>W_80_100cm</vt:lpstr>
      <vt:lpstr>W_110_100cm</vt:lpstr>
      <vt:lpstr>W_150_100cm</vt:lpstr>
      <vt:lpstr>W_200_100cm</vt:lpstr>
      <vt:lpstr>W_250_100cm</vt:lpstr>
      <vt:lpstr>W_300_100cm</vt:lpstr>
      <vt:lpstr>L_10_100cm</vt:lpstr>
      <vt:lpstr>L_20_100cm</vt:lpstr>
      <vt:lpstr>L_30_100cm</vt:lpstr>
      <vt:lpstr>L_35_100cm</vt:lpstr>
      <vt:lpstr>L_55_100cm</vt:lpstr>
      <vt:lpstr>L_70_100cm</vt:lpstr>
      <vt:lpstr>L_100_100cm</vt:lpstr>
      <vt:lpstr>L_125_100cm</vt:lpstr>
      <vt:lpstr>L_170_100cm</vt:lpstr>
      <vt:lpstr>L_210_100cm</vt:lpstr>
      <vt:lpstr>L_240_100cm</vt:lpstr>
      <vt:lpstr>_100cm</vt:lpstr>
      <vt:lpstr>_250cm</vt:lpstr>
      <vt:lpstr>_300cm</vt:lpstr>
      <vt:lpstr>Area_Dosimetry</vt:lpstr>
      <vt:lpstr>Diagonostic_Beams</vt:lpstr>
      <vt:lpstr>Distance</vt:lpstr>
      <vt:lpstr>Dosimetry</vt:lpstr>
      <vt:lpstr>High_Kerma_Series</vt:lpstr>
      <vt:lpstr>Low_Kerma_Series</vt:lpstr>
      <vt:lpstr>Narrow_Series</vt:lpstr>
      <vt:lpstr>Own_Spectrum</vt:lpstr>
      <vt:lpstr>Personal_Dosimetry</vt:lpstr>
      <vt:lpstr>Therapy__Beams</vt:lpstr>
      <vt:lpstr>Therapy_Beams</vt:lpstr>
      <vt:lpstr>Unfiltered_Series</vt:lpstr>
      <vt:lpstr>Wide_Spectrum_Series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2024-10-21T05:32:41Z</dcterms:created>
  <dcterms:modified xsi:type="dcterms:W3CDTF">2025-02-03T06:07:48Z</dcterms:modified>
</cp:coreProperties>
</file>